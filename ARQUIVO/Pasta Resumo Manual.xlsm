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Usuario\Dropbox\Jogos\Magic\"/>
    </mc:Choice>
  </mc:AlternateContent>
  <xr:revisionPtr revIDLastSave="0" documentId="13_ncr:1_{AC0F99A4-69E0-4D78-992A-2F98783C7A66}" xr6:coauthVersionLast="47" xr6:coauthVersionMax="47" xr10:uidLastSave="{00000000-0000-0000-0000-000000000000}"/>
  <bookViews>
    <workbookView xWindow="-120" yWindow="-120" windowWidth="20730" windowHeight="11160" activeTab="2" xr2:uid="{AF3622D5-200C-4DA7-AB91-C457B66CDF20}"/>
  </bookViews>
  <sheets>
    <sheet name="COMPRAS" sheetId="6" r:id="rId1"/>
    <sheet name="Tabela2" sheetId="11" r:id="rId2"/>
    <sheet name="RESUMO" sheetId="2" r:id="rId3"/>
    <sheet name="COLEÇÃO" sheetId="3" r:id="rId4"/>
    <sheet name="STATS" sheetId="4" r:id="rId5"/>
    <sheet name="WATCH" sheetId="5" r:id="rId6"/>
    <sheet name="TOKENS" sheetId="8" r:id="rId7"/>
  </sheets>
  <externalReferences>
    <externalReference r:id="rId8"/>
  </externalReferences>
  <definedNames>
    <definedName name="_xlnm._FilterDatabase" localSheetId="3" hidden="1">COLEÇÃO!$A$2:$C$500</definedName>
    <definedName name="_xlnm._FilterDatabase" localSheetId="0" hidden="1">COMPRAS!$L$1:$P$52</definedName>
    <definedName name="_xlnm._FilterDatabase" localSheetId="2" hidden="1">RESUMO!$A$1:$H$1</definedName>
    <definedName name="_xlnm._FilterDatabase" localSheetId="6" hidden="1">TOKENS!$A$1:$AS$1</definedName>
    <definedName name="_xleta.CHOOSE" hidden="1" xlm="1">#NAME?</definedName>
    <definedName name="_xleta.COUNTA" hidden="1" xlm="1">#NAME?</definedName>
    <definedName name="_xleta.IF" hidden="1" xlm="1">#NAME?</definedName>
    <definedName name="DadosExternos_1" localSheetId="1" hidden="1">Tabela2!$A$1:$D$1001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43" i="8" l="1"/>
  <c r="K142" i="8" l="1"/>
  <c r="BL2" i="2" l="1" a="1"/>
  <c r="BL2" i="2" s="1"/>
  <c r="K44" i="2"/>
  <c r="K136" i="8"/>
  <c r="K110" i="8"/>
  <c r="K118" i="8"/>
  <c r="K36" i="8"/>
  <c r="K65" i="8"/>
  <c r="K99" i="8"/>
  <c r="K105" i="8"/>
  <c r="K75" i="8"/>
  <c r="K126" i="8"/>
  <c r="K31" i="8"/>
  <c r="K69" i="8"/>
  <c r="K68" i="8"/>
  <c r="K135" i="8"/>
  <c r="K130" i="8"/>
  <c r="K129" i="8"/>
  <c r="K109" i="8"/>
  <c r="K55" i="8"/>
  <c r="K56" i="8"/>
  <c r="K35" i="8"/>
  <c r="K3" i="8"/>
  <c r="K93" i="8"/>
  <c r="K113" i="8"/>
  <c r="K96" i="8"/>
  <c r="K86" i="8"/>
  <c r="K40" i="8"/>
  <c r="K22" i="8"/>
  <c r="K32" i="8"/>
  <c r="K91" i="8"/>
  <c r="K74" i="8"/>
  <c r="K5" i="8"/>
  <c r="K97" i="8"/>
  <c r="K66" i="8"/>
  <c r="K2" i="8"/>
  <c r="K28" i="8"/>
  <c r="K119" i="8"/>
  <c r="K30" i="8"/>
  <c r="K78" i="8"/>
  <c r="K79" i="8"/>
  <c r="K82" i="8"/>
  <c r="K64" i="8"/>
  <c r="K13" i="8"/>
  <c r="K100" i="8"/>
  <c r="K62" i="8"/>
  <c r="K104" i="8"/>
  <c r="K57" i="8"/>
  <c r="K131" i="8"/>
  <c r="K132" i="8"/>
  <c r="K133" i="8"/>
  <c r="K42" i="8"/>
  <c r="K103" i="8"/>
  <c r="K7" i="8"/>
  <c r="K24" i="8"/>
  <c r="K122" i="8"/>
  <c r="K121" i="8"/>
  <c r="K134" i="8"/>
  <c r="K98" i="8"/>
  <c r="K10" i="8"/>
  <c r="K125" i="8"/>
  <c r="K50" i="8"/>
  <c r="K19" i="8"/>
  <c r="K127" i="8"/>
  <c r="K101" i="8"/>
  <c r="K89" i="8"/>
  <c r="K83" i="8"/>
  <c r="K87" i="8"/>
  <c r="K20" i="8"/>
  <c r="K21" i="8"/>
  <c r="K52" i="8"/>
  <c r="K29" i="8"/>
  <c r="K84" i="8"/>
  <c r="K141" i="8"/>
  <c r="K77" i="8"/>
  <c r="K112" i="8"/>
  <c r="K44" i="8"/>
  <c r="K138" i="8"/>
  <c r="K47" i="8"/>
  <c r="K25" i="8"/>
  <c r="K6" i="8"/>
  <c r="K140" i="8"/>
  <c r="K117" i="8"/>
  <c r="K14" i="8"/>
  <c r="K27" i="8"/>
  <c r="K34" i="8"/>
  <c r="K102" i="8"/>
  <c r="K67" i="8"/>
  <c r="K90" i="8"/>
  <c r="K61" i="8"/>
  <c r="K111" i="8"/>
  <c r="K48" i="8"/>
  <c r="K33" i="8"/>
  <c r="K94" i="8"/>
  <c r="K49" i="8"/>
  <c r="K85" i="8"/>
  <c r="K26" i="8"/>
  <c r="K108" i="8"/>
  <c r="K88" i="8"/>
  <c r="K58" i="8"/>
  <c r="K80" i="8"/>
  <c r="K114" i="8"/>
  <c r="K115" i="8"/>
  <c r="K45" i="8"/>
  <c r="K4" i="8"/>
  <c r="K17" i="8"/>
  <c r="K46" i="8"/>
  <c r="K92" i="8"/>
  <c r="K73" i="8"/>
  <c r="K76" i="8"/>
  <c r="K81" i="8"/>
  <c r="K54" i="8"/>
  <c r="K37" i="8"/>
  <c r="K8" i="8"/>
  <c r="K63" i="8"/>
  <c r="K38" i="8"/>
  <c r="K39" i="8"/>
  <c r="K12" i="8"/>
  <c r="K120" i="8"/>
  <c r="K23" i="8"/>
  <c r="K16" i="8"/>
  <c r="K95" i="8"/>
  <c r="K18" i="8"/>
  <c r="K107" i="8"/>
  <c r="K124" i="8"/>
  <c r="K15" i="8"/>
  <c r="K139" i="8"/>
  <c r="K70" i="8"/>
  <c r="K106" i="8"/>
  <c r="K53" i="8"/>
  <c r="K9" i="8"/>
  <c r="K51" i="8"/>
  <c r="K116" i="8"/>
  <c r="K41" i="8"/>
  <c r="K11" i="8"/>
  <c r="K43" i="8"/>
  <c r="K71" i="8"/>
  <c r="K123" i="8"/>
  <c r="K72" i="8"/>
  <c r="K59" i="8"/>
  <c r="K60" i="8"/>
  <c r="K137" i="8"/>
  <c r="K128" i="8"/>
  <c r="Q1" i="2"/>
  <c r="M2" i="2"/>
  <c r="N2" i="2"/>
  <c r="O2" i="2"/>
  <c r="P2" i="2"/>
  <c r="L2" i="2"/>
  <c r="K43" i="2"/>
  <c r="K38" i="2"/>
  <c r="T38" i="2" s="1"/>
  <c r="AX2" i="2" a="1"/>
  <c r="AX2" i="2" s="1"/>
  <c r="BJ2" i="2" a="1"/>
  <c r="BJ2" i="2" s="1"/>
  <c r="G1" i="6"/>
  <c r="H1" i="6"/>
  <c r="BH3" i="3" a="1"/>
  <c r="BH3" i="3" s="1"/>
  <c r="BD3" i="3" a="1"/>
  <c r="BD3" i="3" s="1"/>
  <c r="BI2" i="2" l="1" a="1"/>
  <c r="BI2" i="2" s="1"/>
  <c r="BE2" i="2" a="1"/>
  <c r="BE2" i="2" s="1"/>
  <c r="N31" i="4" l="1"/>
  <c r="O31" i="4" s="1"/>
  <c r="N30" i="4"/>
  <c r="O30" i="4" s="1"/>
  <c r="N29" i="4"/>
  <c r="O29" i="4" s="1"/>
  <c r="N28" i="4"/>
  <c r="O28" i="4" s="1"/>
  <c r="N27" i="4"/>
  <c r="O27" i="4" s="1"/>
  <c r="T43" i="2"/>
  <c r="U3" i="3" l="1" a="1"/>
  <c r="U3" i="3" s="1"/>
  <c r="V3" i="3" a="1"/>
  <c r="V3" i="3" s="1"/>
  <c r="W3" i="3" a="1"/>
  <c r="W3" i="3" s="1"/>
  <c r="X3" i="3" a="1"/>
  <c r="X3" i="3" s="1"/>
  <c r="Y3" i="3" a="1"/>
  <c r="Y3" i="3" s="1"/>
  <c r="Z3" i="3" a="1"/>
  <c r="Z3" i="3" s="1"/>
  <c r="AA3" i="3" a="1"/>
  <c r="AA3" i="3" s="1"/>
  <c r="AB3" i="3" a="1"/>
  <c r="AB3" i="3" s="1"/>
  <c r="AC3" i="3" a="1"/>
  <c r="AC3" i="3" s="1"/>
  <c r="AD3" i="3" a="1"/>
  <c r="AD3" i="3" s="1"/>
  <c r="AE3" i="3" a="1"/>
  <c r="AE3" i="3" s="1"/>
  <c r="AF3" i="3" a="1"/>
  <c r="AF3" i="3" s="1"/>
  <c r="AG3" i="3" a="1"/>
  <c r="AG3" i="3" s="1"/>
  <c r="AH3" i="3" a="1"/>
  <c r="AH3" i="3" s="1"/>
  <c r="AI3" i="3" a="1"/>
  <c r="AI3" i="3" s="1"/>
  <c r="AJ3" i="3" a="1"/>
  <c r="AJ3" i="3" s="1"/>
  <c r="AK3" i="3" a="1"/>
  <c r="AK3" i="3" s="1"/>
  <c r="AL3" i="3" a="1"/>
  <c r="AL3" i="3" s="1"/>
  <c r="AM3" i="3" a="1"/>
  <c r="AM3" i="3" s="1"/>
  <c r="AN3" i="3" a="1"/>
  <c r="AN3" i="3" s="1"/>
  <c r="AO3" i="3" a="1"/>
  <c r="AO3" i="3" s="1"/>
  <c r="AP3" i="3" a="1"/>
  <c r="AP3" i="3" s="1"/>
  <c r="AQ3" i="3" a="1"/>
  <c r="AQ3" i="3" s="1"/>
  <c r="AR3" i="3" a="1"/>
  <c r="AR3" i="3" s="1"/>
  <c r="AS3" i="3" a="1"/>
  <c r="AS3" i="3" s="1"/>
  <c r="AT3" i="3" a="1"/>
  <c r="AT3" i="3" s="1"/>
  <c r="AU3" i="3" a="1"/>
  <c r="AV3" i="3" a="1"/>
  <c r="AV3" i="3" s="1"/>
  <c r="AX3" i="3" a="1"/>
  <c r="AX3" i="3" s="1"/>
  <c r="T4" i="2"/>
  <c r="T6" i="2"/>
  <c r="T7" i="2"/>
  <c r="T8" i="2"/>
  <c r="T12" i="2"/>
  <c r="T19" i="2"/>
  <c r="T20" i="2"/>
  <c r="T34" i="2"/>
  <c r="T42" i="2"/>
  <c r="T44" i="2"/>
  <c r="T3" i="2"/>
  <c r="F1" i="6"/>
  <c r="C3" i="6"/>
  <c r="C4" i="6"/>
  <c r="I1" i="6"/>
  <c r="C5" i="6" s="1"/>
  <c r="J1" i="6"/>
  <c r="C6" i="6" s="1"/>
  <c r="A3" i="6"/>
  <c r="N2" i="4"/>
  <c r="O2" i="4" s="1"/>
  <c r="R2" i="4"/>
  <c r="S2" i="4" s="1"/>
  <c r="N3" i="4"/>
  <c r="O3" i="4" s="1"/>
  <c r="R3" i="4"/>
  <c r="S3" i="4" s="1"/>
  <c r="N4" i="4"/>
  <c r="O4" i="4" s="1"/>
  <c r="R4" i="4"/>
  <c r="S4" i="4" s="1"/>
  <c r="N5" i="4"/>
  <c r="O5" i="4" s="1"/>
  <c r="R5" i="4"/>
  <c r="S5" i="4" s="1"/>
  <c r="N6" i="4"/>
  <c r="O6" i="4" s="1"/>
  <c r="R6" i="4"/>
  <c r="S6" i="4" s="1"/>
  <c r="N7" i="4"/>
  <c r="O7" i="4" s="1"/>
  <c r="R7" i="4"/>
  <c r="S7" i="4" s="1"/>
  <c r="N8" i="4"/>
  <c r="O8" i="4" s="1"/>
  <c r="R8" i="4"/>
  <c r="S8" i="4" s="1"/>
  <c r="N9" i="4"/>
  <c r="O9" i="4" s="1"/>
  <c r="R9" i="4"/>
  <c r="S9" i="4" s="1"/>
  <c r="N10" i="4"/>
  <c r="O10" i="4" s="1"/>
  <c r="N11" i="4"/>
  <c r="O11" i="4" s="1"/>
  <c r="N12" i="4"/>
  <c r="O12" i="4" s="1"/>
  <c r="N13" i="4"/>
  <c r="O13" i="4" s="1"/>
  <c r="N14" i="4"/>
  <c r="O14" i="4" s="1"/>
  <c r="N15" i="4"/>
  <c r="O15" i="4" s="1"/>
  <c r="N16" i="4"/>
  <c r="O16" i="4" s="1"/>
  <c r="N17" i="4"/>
  <c r="O17" i="4" s="1"/>
  <c r="N18" i="4"/>
  <c r="O18" i="4" s="1"/>
  <c r="N19" i="4"/>
  <c r="O19" i="4" s="1"/>
  <c r="N20" i="4"/>
  <c r="O20" i="4" s="1"/>
  <c r="N21" i="4"/>
  <c r="O21" i="4" s="1"/>
  <c r="N22" i="4"/>
  <c r="O22" i="4" s="1"/>
  <c r="N23" i="4"/>
  <c r="O23" i="4" s="1"/>
  <c r="N24" i="4"/>
  <c r="O24" i="4" s="1"/>
  <c r="N25" i="4"/>
  <c r="O25" i="4" s="1"/>
  <c r="N26" i="4"/>
  <c r="O26" i="4" s="1"/>
  <c r="V2" i="2" a="1"/>
  <c r="V2" i="2" s="1"/>
  <c r="W2" i="2" a="1"/>
  <c r="W2" i="2" s="1"/>
  <c r="X2" i="2" a="1"/>
  <c r="X2" i="2" s="1"/>
  <c r="Y2" i="2" a="1"/>
  <c r="Y2" i="2" s="1"/>
  <c r="Z2" i="2" a="1"/>
  <c r="Z2" i="2" s="1"/>
  <c r="AA2" i="2" a="1"/>
  <c r="AA2" i="2" s="1"/>
  <c r="AB2" i="2" a="1"/>
  <c r="AB2" i="2" s="1"/>
  <c r="AC2" i="2" a="1"/>
  <c r="AC2" i="2" s="1"/>
  <c r="AD2" i="2" a="1"/>
  <c r="AD2" i="2" s="1"/>
  <c r="AE2" i="2" a="1"/>
  <c r="AE2" i="2" s="1"/>
  <c r="AF2" i="2" a="1"/>
  <c r="AF2" i="2" s="1"/>
  <c r="AG2" i="2" a="1"/>
  <c r="AG2" i="2" s="1"/>
  <c r="AH2" i="2" a="1"/>
  <c r="AH2" i="2" s="1"/>
  <c r="AI2" i="2" a="1"/>
  <c r="AI2" i="2" s="1"/>
  <c r="AJ2" i="2" a="1"/>
  <c r="AJ2" i="2" s="1"/>
  <c r="AK2" i="2" a="1"/>
  <c r="AK2" i="2" s="1"/>
  <c r="AL2" i="2" a="1"/>
  <c r="AL2" i="2" s="1"/>
  <c r="AM2" i="2" a="1"/>
  <c r="AM2" i="2" s="1"/>
  <c r="AN2" i="2" a="1"/>
  <c r="AN2" i="2" s="1"/>
  <c r="AO2" i="2" a="1"/>
  <c r="AO2" i="2" s="1"/>
  <c r="AP2" i="2" a="1"/>
  <c r="AP2" i="2" s="1"/>
  <c r="AQ2" i="2" a="1"/>
  <c r="AQ2" i="2" s="1"/>
  <c r="AR2" i="2" a="1"/>
  <c r="AR2" i="2" s="1"/>
  <c r="AS2" i="2" a="1"/>
  <c r="AS2" i="2" s="1"/>
  <c r="AT2" i="2" a="1"/>
  <c r="AT2" i="2" s="1"/>
  <c r="AU2" i="2" a="1"/>
  <c r="AU2" i="2" s="1"/>
  <c r="AV2" i="2" a="1"/>
  <c r="AV2" i="2" s="1"/>
  <c r="AW2" i="2" a="1"/>
  <c r="AW2" i="2" s="1"/>
  <c r="AY2" i="2" a="1"/>
  <c r="AY2" i="2" s="1"/>
  <c r="DJ2" i="2" a="1"/>
  <c r="CZ3" i="3" a="1"/>
  <c r="DD2" i="2" a="1"/>
  <c r="DL2" i="2" a="1"/>
  <c r="DI2" i="2" a="1"/>
  <c r="DF3" i="3" a="1"/>
  <c r="DH2" i="2" a="1"/>
  <c r="DK2" i="2" a="1"/>
  <c r="DM2" i="2" a="1"/>
  <c r="DB2" i="2" a="1"/>
  <c r="CZ2" i="2" a="1"/>
  <c r="DE3" i="3" a="1"/>
  <c r="CX3" i="3" a="1"/>
  <c r="CY3" i="3" a="1"/>
  <c r="DK3" i="3" a="1"/>
  <c r="DG2" i="2" a="1"/>
  <c r="CY2" i="2" a="1"/>
  <c r="DD3" i="3" a="1"/>
  <c r="DC3" i="3" a="1"/>
  <c r="DE2" i="2" a="1"/>
  <c r="DM3" i="3" a="1"/>
  <c r="DB3" i="3" a="1"/>
  <c r="DL3" i="3" a="1"/>
  <c r="DA3" i="3" a="1"/>
  <c r="CW3" i="3" a="1"/>
  <c r="DJ3" i="3" a="1"/>
  <c r="DH3" i="3" a="1"/>
  <c r="DN2" i="2" a="1"/>
  <c r="DG3" i="3" a="1"/>
  <c r="DF2" i="2" a="1"/>
  <c r="DA2" i="2" a="1"/>
  <c r="DC2" i="2" a="1"/>
  <c r="DI3" i="3" a="1"/>
  <c r="CX2" i="2" a="1"/>
  <c r="AU3" i="3" l="1"/>
  <c r="N299" i="3" s="1"/>
  <c r="CW3" i="3"/>
  <c r="CY3" i="3"/>
  <c r="DA3" i="3"/>
  <c r="DC3" i="3"/>
  <c r="DE3" i="3"/>
  <c r="DG3" i="3"/>
  <c r="DI3" i="3"/>
  <c r="DK3" i="3"/>
  <c r="DM3" i="3"/>
  <c r="CX3" i="3"/>
  <c r="CZ3" i="3"/>
  <c r="DB3" i="3"/>
  <c r="DD3" i="3"/>
  <c r="DF3" i="3"/>
  <c r="DH3" i="3"/>
  <c r="DJ3" i="3"/>
  <c r="DL3" i="3"/>
  <c r="CY2" i="2"/>
  <c r="DA2" i="2"/>
  <c r="DC2" i="2"/>
  <c r="DE2" i="2"/>
  <c r="DG2" i="2"/>
  <c r="DI2" i="2"/>
  <c r="DK2" i="2"/>
  <c r="DM2" i="2"/>
  <c r="CX2" i="2"/>
  <c r="CZ2" i="2"/>
  <c r="DB2" i="2"/>
  <c r="DD2" i="2"/>
  <c r="DF2" i="2"/>
  <c r="DH2" i="2"/>
  <c r="DJ2" i="2"/>
  <c r="DL2" i="2"/>
  <c r="DN2" i="2"/>
  <c r="C2" i="6"/>
  <c r="B1" i="6" s="1"/>
  <c r="N303" i="3"/>
  <c r="N311" i="3"/>
  <c r="P322" i="3" a="1"/>
  <c r="P322" i="3" s="1"/>
  <c r="N330" i="3"/>
  <c r="O351" i="3"/>
  <c r="N359" i="3"/>
  <c r="P370" i="3" a="1"/>
  <c r="P370" i="3" s="1"/>
  <c r="O378" i="3"/>
  <c r="N398" i="3"/>
  <c r="N422" i="3"/>
  <c r="N446" i="3"/>
  <c r="O428" i="3"/>
  <c r="N291" i="3"/>
  <c r="O299" i="3"/>
  <c r="O307" i="3"/>
  <c r="Q322" i="3" a="1"/>
  <c r="Q322" i="3" s="1"/>
  <c r="O332" i="3"/>
  <c r="Q345" i="3" a="1"/>
  <c r="Q345" i="3" s="1"/>
  <c r="O353" i="3"/>
  <c r="N361" i="3"/>
  <c r="P378" i="3" a="1"/>
  <c r="P378" i="3" s="1"/>
  <c r="O398" i="3"/>
  <c r="O446" i="3"/>
  <c r="O291" i="3"/>
  <c r="P299" i="3" a="1"/>
  <c r="P299" i="3" s="1"/>
  <c r="P307" i="3" a="1"/>
  <c r="P307" i="3" s="1"/>
  <c r="P311" i="3" a="1"/>
  <c r="P311" i="3" s="1"/>
  <c r="N315" i="3"/>
  <c r="Q326" i="3" a="1"/>
  <c r="Q326" i="3" s="1"/>
  <c r="P332" i="3" a="1"/>
  <c r="P332" i="3" s="1"/>
  <c r="O336" i="3"/>
  <c r="N340" i="3"/>
  <c r="P353" i="3" a="1"/>
  <c r="P353" i="3" s="1"/>
  <c r="P357" i="3" a="1"/>
  <c r="P357" i="3" s="1"/>
  <c r="O361" i="3"/>
  <c r="Q372" i="3" a="1"/>
  <c r="Q372" i="3" s="1"/>
  <c r="N381" i="3"/>
  <c r="N393" i="3"/>
  <c r="N405" i="3"/>
  <c r="N417" i="3"/>
  <c r="N429" i="3"/>
  <c r="N441" i="3"/>
  <c r="O435" i="3"/>
  <c r="P289" i="3" a="1"/>
  <c r="P289" i="3" s="1"/>
  <c r="P293" i="3" a="1"/>
  <c r="P293" i="3" s="1"/>
  <c r="P297" i="3" a="1"/>
  <c r="P297" i="3" s="1"/>
  <c r="Q303" i="3" a="1"/>
  <c r="Q303" i="3" s="1"/>
  <c r="Q307" i="3" a="1"/>
  <c r="Q307" i="3" s="1"/>
  <c r="P313" i="3" a="1"/>
  <c r="P313" i="3" s="1"/>
  <c r="O315" i="3"/>
  <c r="N317" i="3"/>
  <c r="N319" i="3"/>
  <c r="N321" i="3"/>
  <c r="N323" i="3"/>
  <c r="Q328" i="3" a="1"/>
  <c r="Q328" i="3" s="1"/>
  <c r="Q330" i="3" a="1"/>
  <c r="Q330" i="3" s="1"/>
  <c r="Q332" i="3" a="1"/>
  <c r="Q332" i="3" s="1"/>
  <c r="P334" i="3" a="1"/>
  <c r="P334" i="3" s="1"/>
  <c r="P336" i="3" a="1"/>
  <c r="P336" i="3" s="1"/>
  <c r="O338" i="3"/>
  <c r="O340" i="3"/>
  <c r="N342" i="3"/>
  <c r="N344" i="3"/>
  <c r="Q355" i="3" a="1"/>
  <c r="Q355" i="3" s="1"/>
  <c r="P361" i="3" a="1"/>
  <c r="P361" i="3" s="1"/>
  <c r="O363" i="3"/>
  <c r="N365" i="3"/>
  <c r="N367" i="3"/>
  <c r="N369" i="3"/>
  <c r="N371" i="3"/>
  <c r="Q376" i="3" a="1"/>
  <c r="Q376" i="3" s="1"/>
  <c r="Q378" i="3" a="1"/>
  <c r="Q378" i="3" s="1"/>
  <c r="O381" i="3"/>
  <c r="O387" i="3"/>
  <c r="O393" i="3"/>
  <c r="O399" i="3"/>
  <c r="O405" i="3"/>
  <c r="O411" i="3"/>
  <c r="O417" i="3"/>
  <c r="O423" i="3"/>
  <c r="O429" i="3"/>
  <c r="O441" i="3"/>
  <c r="P287" i="3" a="1"/>
  <c r="P287" i="3" s="1"/>
  <c r="Q289" i="3" a="1"/>
  <c r="Q289" i="3" s="1"/>
  <c r="Q293" i="3" a="1"/>
  <c r="Q293" i="3" s="1"/>
  <c r="Q295" i="3" a="1"/>
  <c r="Q295" i="3" s="1"/>
  <c r="Q297" i="3" a="1"/>
  <c r="Q297" i="3" s="1"/>
  <c r="Q299" i="3" a="1"/>
  <c r="Q299" i="3" s="1"/>
  <c r="Q301" i="3" a="1"/>
  <c r="Q301" i="3" s="1"/>
  <c r="Q305" i="3" a="1"/>
  <c r="Q305" i="3" s="1"/>
  <c r="Q309" i="3" a="1"/>
  <c r="Q309" i="3" s="1"/>
  <c r="Q311" i="3" a="1"/>
  <c r="Q311" i="3" s="1"/>
  <c r="Q313" i="3" a="1"/>
  <c r="Q313" i="3" s="1"/>
  <c r="P315" i="3" a="1"/>
  <c r="P315" i="3" s="1"/>
  <c r="O317" i="3"/>
  <c r="O319" i="3"/>
  <c r="O321" i="3"/>
  <c r="O323" i="3"/>
  <c r="N325" i="3"/>
  <c r="Q334" i="3" a="1"/>
  <c r="Q334" i="3" s="1"/>
  <c r="P338" i="3" a="1"/>
  <c r="P338" i="3" s="1"/>
  <c r="P340" i="3" a="1"/>
  <c r="P340" i="3" s="1"/>
  <c r="O342" i="3"/>
  <c r="O344" i="3"/>
  <c r="N346" i="3"/>
  <c r="N348" i="3"/>
  <c r="Q353" i="3" a="1"/>
  <c r="Q353" i="3" s="1"/>
  <c r="Q357" i="3" a="1"/>
  <c r="Q357" i="3" s="1"/>
  <c r="Q359" i="3" a="1"/>
  <c r="Q359" i="3" s="1"/>
  <c r="Q361" i="3" a="1"/>
  <c r="Q361" i="3" s="1"/>
  <c r="P363" i="3" a="1"/>
  <c r="P363" i="3" s="1"/>
  <c r="O365" i="3"/>
  <c r="O367" i="3"/>
  <c r="O369" i="3"/>
  <c r="O371" i="3"/>
  <c r="N373" i="3"/>
  <c r="N382" i="3"/>
  <c r="N388" i="3"/>
  <c r="N394" i="3"/>
  <c r="N400" i="3"/>
  <c r="N406" i="3"/>
  <c r="N412" i="3"/>
  <c r="N418" i="3"/>
  <c r="N424" i="3"/>
  <c r="N430" i="3"/>
  <c r="N436" i="3"/>
  <c r="N442" i="3"/>
  <c r="N448" i="3"/>
  <c r="Q291" i="3" a="1"/>
  <c r="Q291" i="3" s="1"/>
  <c r="N304" i="3"/>
  <c r="Q315" i="3" a="1"/>
  <c r="Q315" i="3" s="1"/>
  <c r="P317" i="3" a="1"/>
  <c r="P317" i="3" s="1"/>
  <c r="P319" i="3" a="1"/>
  <c r="P319" i="3" s="1"/>
  <c r="P321" i="3" a="1"/>
  <c r="P321" i="3" s="1"/>
  <c r="P323" i="3" a="1"/>
  <c r="P323" i="3" s="1"/>
  <c r="O325" i="3"/>
  <c r="N327" i="3"/>
  <c r="Q336" i="3" a="1"/>
  <c r="Q336" i="3" s="1"/>
  <c r="Q338" i="3" a="1"/>
  <c r="Q338" i="3" s="1"/>
  <c r="P342" i="3" a="1"/>
  <c r="P342" i="3" s="1"/>
  <c r="P344" i="3" a="1"/>
  <c r="P344" i="3" s="1"/>
  <c r="O346" i="3"/>
  <c r="O348" i="3"/>
  <c r="N350" i="3"/>
  <c r="N352" i="3"/>
  <c r="Q363" i="3" a="1"/>
  <c r="Q363" i="3" s="1"/>
  <c r="P365" i="3" a="1"/>
  <c r="P365" i="3" s="1"/>
  <c r="P367" i="3" a="1"/>
  <c r="P367" i="3" s="1"/>
  <c r="P369" i="3" a="1"/>
  <c r="P369" i="3" s="1"/>
  <c r="P371" i="3" a="1"/>
  <c r="P371" i="3" s="1"/>
  <c r="O373" i="3"/>
  <c r="N375" i="3"/>
  <c r="N377" i="3"/>
  <c r="O382" i="3"/>
  <c r="O388" i="3"/>
  <c r="O394" i="3"/>
  <c r="O400" i="3"/>
  <c r="O406" i="3"/>
  <c r="O412" i="3"/>
  <c r="O418" i="3"/>
  <c r="O424" i="3"/>
  <c r="O430" i="3"/>
  <c r="O436" i="3"/>
  <c r="O442" i="3"/>
  <c r="O448" i="3"/>
  <c r="Q287" i="3" a="1"/>
  <c r="Q287" i="3" s="1"/>
  <c r="N298" i="3"/>
  <c r="N300" i="3"/>
  <c r="N302" i="3"/>
  <c r="O304" i="3"/>
  <c r="N306" i="3"/>
  <c r="N308" i="3"/>
  <c r="Q319" i="3" a="1"/>
  <c r="Q319" i="3" s="1"/>
  <c r="P325" i="3" a="1"/>
  <c r="P325" i="3" s="1"/>
  <c r="O327" i="3"/>
  <c r="N329" i="3"/>
  <c r="N331" i="3"/>
  <c r="N333" i="3"/>
  <c r="N335" i="3"/>
  <c r="Q340" i="3" a="1"/>
  <c r="Q340" i="3" s="1"/>
  <c r="Q342" i="3" a="1"/>
  <c r="Q342" i="3" s="1"/>
  <c r="Q344" i="3" a="1"/>
  <c r="Q344" i="3" s="1"/>
  <c r="P346" i="3" a="1"/>
  <c r="P346" i="3" s="1"/>
  <c r="P348" i="3" a="1"/>
  <c r="P348" i="3" s="1"/>
  <c r="O350" i="3"/>
  <c r="O352" i="3"/>
  <c r="N354" i="3"/>
  <c r="N356" i="3"/>
  <c r="Q367" i="3" a="1"/>
  <c r="Q367" i="3" s="1"/>
  <c r="P373" i="3" a="1"/>
  <c r="P373" i="3" s="1"/>
  <c r="O375" i="3"/>
  <c r="O377" i="3"/>
  <c r="N379" i="3"/>
  <c r="N383" i="3"/>
  <c r="N389" i="3"/>
  <c r="N395" i="3"/>
  <c r="N401" i="3"/>
  <c r="N407" i="3"/>
  <c r="N413" i="3"/>
  <c r="N419" i="3"/>
  <c r="N425" i="3"/>
  <c r="N431" i="3"/>
  <c r="N437" i="3"/>
  <c r="N443" i="3"/>
  <c r="N449" i="3"/>
  <c r="O383" i="3"/>
  <c r="O395" i="3"/>
  <c r="O407" i="3"/>
  <c r="O419" i="3"/>
  <c r="O431" i="3"/>
  <c r="O443" i="3"/>
  <c r="O438" i="3"/>
  <c r="N290" i="3"/>
  <c r="N294" i="3"/>
  <c r="N296" i="3"/>
  <c r="O298" i="3"/>
  <c r="O300" i="3"/>
  <c r="O302" i="3"/>
  <c r="P304" i="3" a="1"/>
  <c r="P304" i="3" s="1"/>
  <c r="O306" i="3"/>
  <c r="O308" i="3"/>
  <c r="N310" i="3"/>
  <c r="N312" i="3"/>
  <c r="Q317" i="3" a="1"/>
  <c r="Q317" i="3" s="1"/>
  <c r="Q321" i="3" a="1"/>
  <c r="Q321" i="3" s="1"/>
  <c r="Q323" i="3" a="1"/>
  <c r="Q323" i="3" s="1"/>
  <c r="Q325" i="3" a="1"/>
  <c r="Q325" i="3" s="1"/>
  <c r="P327" i="3" a="1"/>
  <c r="P327" i="3" s="1"/>
  <c r="O329" i="3"/>
  <c r="O331" i="3"/>
  <c r="O333" i="3"/>
  <c r="O335" i="3"/>
  <c r="N337" i="3"/>
  <c r="Q346" i="3" a="1"/>
  <c r="Q346" i="3" s="1"/>
  <c r="P350" i="3" a="1"/>
  <c r="P350" i="3" s="1"/>
  <c r="P352" i="3" a="1"/>
  <c r="P352" i="3" s="1"/>
  <c r="O354" i="3"/>
  <c r="O356" i="3"/>
  <c r="N358" i="3"/>
  <c r="N360" i="3"/>
  <c r="Q365" i="3" a="1"/>
  <c r="Q365" i="3" s="1"/>
  <c r="Q369" i="3" a="1"/>
  <c r="Q369" i="3" s="1"/>
  <c r="Q371" i="3" a="1"/>
  <c r="Q371" i="3" s="1"/>
  <c r="Q373" i="3" a="1"/>
  <c r="Q373" i="3" s="1"/>
  <c r="P375" i="3" a="1"/>
  <c r="P375" i="3" s="1"/>
  <c r="P377" i="3" a="1"/>
  <c r="P377" i="3" s="1"/>
  <c r="O379" i="3"/>
  <c r="O389" i="3"/>
  <c r="O401" i="3"/>
  <c r="O413" i="3"/>
  <c r="O425" i="3"/>
  <c r="O437" i="3"/>
  <c r="O449" i="3"/>
  <c r="O450" i="3"/>
  <c r="N286" i="3"/>
  <c r="N288" i="3"/>
  <c r="O290" i="3"/>
  <c r="N292" i="3"/>
  <c r="O294" i="3"/>
  <c r="O296" i="3"/>
  <c r="P298" i="3" a="1"/>
  <c r="P298" i="3" s="1"/>
  <c r="P300" i="3" a="1"/>
  <c r="P300" i="3" s="1"/>
  <c r="P302" i="3" a="1"/>
  <c r="P302" i="3" s="1"/>
  <c r="P306" i="3" a="1"/>
  <c r="P306" i="3" s="1"/>
  <c r="P308" i="3" a="1"/>
  <c r="P308" i="3" s="1"/>
  <c r="O310" i="3"/>
  <c r="O312" i="3"/>
  <c r="N314" i="3"/>
  <c r="N316" i="3"/>
  <c r="Q327" i="3" a="1"/>
  <c r="Q327" i="3" s="1"/>
  <c r="P329" i="3" a="1"/>
  <c r="P329" i="3" s="1"/>
  <c r="P331" i="3" a="1"/>
  <c r="P331" i="3" s="1"/>
  <c r="P333" i="3" a="1"/>
  <c r="P333" i="3" s="1"/>
  <c r="P335" i="3" a="1"/>
  <c r="P335" i="3" s="1"/>
  <c r="O337" i="3"/>
  <c r="N339" i="3"/>
  <c r="Q348" i="3" a="1"/>
  <c r="Q348" i="3" s="1"/>
  <c r="Q350" i="3" a="1"/>
  <c r="Q350" i="3" s="1"/>
  <c r="P354" i="3" a="1"/>
  <c r="P354" i="3" s="1"/>
  <c r="P356" i="3" a="1"/>
  <c r="P356" i="3" s="1"/>
  <c r="O358" i="3"/>
  <c r="O360" i="3"/>
  <c r="N362" i="3"/>
  <c r="N364" i="3"/>
  <c r="Q375" i="3" a="1"/>
  <c r="Q375" i="3" s="1"/>
  <c r="Q377" i="3" a="1"/>
  <c r="Q377" i="3" s="1"/>
  <c r="P379" i="3" a="1"/>
  <c r="P379" i="3" s="1"/>
  <c r="N384" i="3"/>
  <c r="N390" i="3"/>
  <c r="N396" i="3"/>
  <c r="N402" i="3"/>
  <c r="N408" i="3"/>
  <c r="N414" i="3"/>
  <c r="N420" i="3"/>
  <c r="N426" i="3"/>
  <c r="N432" i="3"/>
  <c r="N438" i="3"/>
  <c r="N444" i="3"/>
  <c r="N450" i="3"/>
  <c r="O432" i="3"/>
  <c r="O286" i="3"/>
  <c r="O288" i="3"/>
  <c r="P290" i="3" a="1"/>
  <c r="P290" i="3" s="1"/>
  <c r="O292" i="3"/>
  <c r="P294" i="3" a="1"/>
  <c r="P294" i="3" s="1"/>
  <c r="P296" i="3" a="1"/>
  <c r="P296" i="3" s="1"/>
  <c r="Q298" i="3" a="1"/>
  <c r="Q298" i="3" s="1"/>
  <c r="Q300" i="3" a="1"/>
  <c r="Q300" i="3" s="1"/>
  <c r="Q302" i="3" a="1"/>
  <c r="Q302" i="3" s="1"/>
  <c r="Q304" i="3" a="1"/>
  <c r="Q304" i="3" s="1"/>
  <c r="Q306" i="3" a="1"/>
  <c r="Q306" i="3" s="1"/>
  <c r="Q308" i="3" a="1"/>
  <c r="Q308" i="3" s="1"/>
  <c r="P310" i="3" a="1"/>
  <c r="P310" i="3" s="1"/>
  <c r="P312" i="3" a="1"/>
  <c r="P312" i="3" s="1"/>
  <c r="O314" i="3"/>
  <c r="O316" i="3"/>
  <c r="N318" i="3"/>
  <c r="N320" i="3"/>
  <c r="Q331" i="3" a="1"/>
  <c r="Q331" i="3" s="1"/>
  <c r="P337" i="3" a="1"/>
  <c r="P337" i="3" s="1"/>
  <c r="O339" i="3"/>
  <c r="N341" i="3"/>
  <c r="N343" i="3"/>
  <c r="N345" i="3"/>
  <c r="N347" i="3"/>
  <c r="Q352" i="3" a="1"/>
  <c r="Q352" i="3" s="1"/>
  <c r="Q354" i="3" a="1"/>
  <c r="Q354" i="3" s="1"/>
  <c r="Q356" i="3" a="1"/>
  <c r="Q356" i="3" s="1"/>
  <c r="P358" i="3" a="1"/>
  <c r="P358" i="3" s="1"/>
  <c r="P360" i="3" a="1"/>
  <c r="P360" i="3" s="1"/>
  <c r="O362" i="3"/>
  <c r="O364" i="3"/>
  <c r="N366" i="3"/>
  <c r="N368" i="3"/>
  <c r="Q379" i="3" a="1"/>
  <c r="Q379" i="3" s="1"/>
  <c r="O384" i="3"/>
  <c r="O390" i="3"/>
  <c r="O396" i="3"/>
  <c r="O402" i="3"/>
  <c r="O408" i="3"/>
  <c r="O414" i="3"/>
  <c r="O420" i="3"/>
  <c r="O426" i="3"/>
  <c r="O444" i="3"/>
  <c r="P286" i="3" a="1"/>
  <c r="P286" i="3" s="1"/>
  <c r="P288" i="3" a="1"/>
  <c r="P288" i="3" s="1"/>
  <c r="P292" i="3" a="1"/>
  <c r="P292" i="3" s="1"/>
  <c r="Q296" i="3" a="1"/>
  <c r="Q296" i="3" s="1"/>
  <c r="Q310" i="3" a="1"/>
  <c r="Q310" i="3" s="1"/>
  <c r="P314" i="3" a="1"/>
  <c r="P314" i="3" s="1"/>
  <c r="P316" i="3" a="1"/>
  <c r="P316" i="3" s="1"/>
  <c r="O318" i="3"/>
  <c r="O320" i="3"/>
  <c r="N322" i="3"/>
  <c r="N324" i="3"/>
  <c r="Q329" i="3" a="1"/>
  <c r="Q329" i="3" s="1"/>
  <c r="Q333" i="3" a="1"/>
  <c r="Q333" i="3" s="1"/>
  <c r="Q335" i="3" a="1"/>
  <c r="Q335" i="3" s="1"/>
  <c r="Q337" i="3" a="1"/>
  <c r="Q337" i="3" s="1"/>
  <c r="P339" i="3" a="1"/>
  <c r="P339" i="3" s="1"/>
  <c r="O341" i="3"/>
  <c r="O343" i="3"/>
  <c r="O345" i="3"/>
  <c r="O347" i="3"/>
  <c r="N349" i="3"/>
  <c r="Q358" i="3" a="1"/>
  <c r="Q358" i="3" s="1"/>
  <c r="P362" i="3" a="1"/>
  <c r="P362" i="3" s="1"/>
  <c r="P364" i="3" a="1"/>
  <c r="P364" i="3" s="1"/>
  <c r="O366" i="3"/>
  <c r="O368" i="3"/>
  <c r="N370" i="3"/>
  <c r="N372" i="3"/>
  <c r="N385" i="3"/>
  <c r="N391" i="3"/>
  <c r="N397" i="3"/>
  <c r="N403" i="3"/>
  <c r="N409" i="3"/>
  <c r="N415" i="3"/>
  <c r="N421" i="3"/>
  <c r="N427" i="3"/>
  <c r="N433" i="3"/>
  <c r="N439" i="3"/>
  <c r="N445" i="3"/>
  <c r="N451" i="3"/>
  <c r="O445" i="3"/>
  <c r="Q286" i="3" a="1"/>
  <c r="Q286" i="3" s="1"/>
  <c r="Q288" i="3" a="1"/>
  <c r="Q288" i="3" s="1"/>
  <c r="Q290" i="3" a="1"/>
  <c r="Q290" i="3" s="1"/>
  <c r="Q292" i="3" a="1"/>
  <c r="Q292" i="3" s="1"/>
  <c r="Q294" i="3" a="1"/>
  <c r="Q294" i="3" s="1"/>
  <c r="Q312" i="3" a="1"/>
  <c r="Q312" i="3" s="1"/>
  <c r="Q314" i="3" a="1"/>
  <c r="Q314" i="3" s="1"/>
  <c r="P318" i="3" a="1"/>
  <c r="P318" i="3" s="1"/>
  <c r="P320" i="3" a="1"/>
  <c r="P320" i="3" s="1"/>
  <c r="O322" i="3"/>
  <c r="O324" i="3"/>
  <c r="N326" i="3"/>
  <c r="N328" i="3"/>
  <c r="Q339" i="3" a="1"/>
  <c r="Q339" i="3" s="1"/>
  <c r="P341" i="3" a="1"/>
  <c r="P341" i="3" s="1"/>
  <c r="P343" i="3" a="1"/>
  <c r="P343" i="3" s="1"/>
  <c r="P345" i="3" a="1"/>
  <c r="P345" i="3" s="1"/>
  <c r="P347" i="3" a="1"/>
  <c r="P347" i="3" s="1"/>
  <c r="O349" i="3"/>
  <c r="N351" i="3"/>
  <c r="Q360" i="3" a="1"/>
  <c r="Q360" i="3" s="1"/>
  <c r="Q362" i="3" a="1"/>
  <c r="Q362" i="3" s="1"/>
  <c r="P366" i="3" a="1"/>
  <c r="P366" i="3" s="1"/>
  <c r="P368" i="3" a="1"/>
  <c r="P368" i="3" s="1"/>
  <c r="O370" i="3"/>
  <c r="O372" i="3"/>
  <c r="N374" i="3"/>
  <c r="N376" i="3"/>
  <c r="N378" i="3"/>
  <c r="O385" i="3"/>
  <c r="O391" i="3"/>
  <c r="O397" i="3"/>
  <c r="O403" i="3"/>
  <c r="O409" i="3"/>
  <c r="O415" i="3"/>
  <c r="O421" i="3"/>
  <c r="O427" i="3"/>
  <c r="O433" i="3"/>
  <c r="O439" i="3"/>
  <c r="O451" i="3"/>
  <c r="CR3" i="3" a="1"/>
  <c r="CS3" i="3" a="1"/>
  <c r="DW3" i="3" a="1"/>
  <c r="CT3" i="3" a="1"/>
  <c r="CK3" i="3" a="1"/>
  <c r="CU3" i="3" a="1"/>
  <c r="EA3" i="3" a="1"/>
  <c r="CN3" i="3" a="1"/>
  <c r="DZ2" i="2" a="1"/>
  <c r="DZ3" i="3" a="1"/>
  <c r="DX3" i="3" a="1"/>
  <c r="CJ3" i="3" a="1"/>
  <c r="CI3" i="3" a="1"/>
  <c r="CP3" i="3" a="1"/>
  <c r="CJ2" i="2" a="1"/>
  <c r="EB2" i="2" a="1"/>
  <c r="CH3" i="3" a="1"/>
  <c r="CQ3" i="3" a="1"/>
  <c r="CL3" i="3" a="1"/>
  <c r="CM3" i="3" a="1"/>
  <c r="CV3" i="3" a="1"/>
  <c r="EB3" i="3" a="1"/>
  <c r="EC3" i="3" a="1"/>
  <c r="ED2" i="2" a="1"/>
  <c r="ED3" i="3" a="1"/>
  <c r="CO3" i="3" a="1"/>
  <c r="CI2" i="2" a="1"/>
  <c r="DX2" i="2" a="1"/>
  <c r="DY3" i="3" a="1"/>
  <c r="CJ3" i="3" l="1"/>
  <c r="CH3" i="3"/>
  <c r="CP3" i="3"/>
  <c r="CN3" i="3"/>
  <c r="P291" i="3" a="1"/>
  <c r="P291" i="3" s="1"/>
  <c r="N447" i="3"/>
  <c r="N423" i="3"/>
  <c r="N399" i="3"/>
  <c r="Q374" i="3" a="1"/>
  <c r="Q374" i="3" s="1"/>
  <c r="P359" i="3" a="1"/>
  <c r="P359" i="3" s="1"/>
  <c r="Q351" i="3" a="1"/>
  <c r="Q351" i="3" s="1"/>
  <c r="O334" i="3"/>
  <c r="Q324" i="3" a="1"/>
  <c r="Q324" i="3" s="1"/>
  <c r="P309" i="3" a="1"/>
  <c r="P309" i="3" s="1"/>
  <c r="P301" i="3" a="1"/>
  <c r="P301" i="3" s="1"/>
  <c r="O293" i="3"/>
  <c r="O447" i="3"/>
  <c r="O410" i="3"/>
  <c r="O380" i="3"/>
  <c r="Q370" i="3" a="1"/>
  <c r="Q370" i="3" s="1"/>
  <c r="O355" i="3"/>
  <c r="Q347" i="3" a="1"/>
  <c r="Q347" i="3" s="1"/>
  <c r="N334" i="3"/>
  <c r="P326" i="3" a="1"/>
  <c r="P326" i="3" s="1"/>
  <c r="O309" i="3"/>
  <c r="O301" i="3"/>
  <c r="N293" i="3"/>
  <c r="O440" i="3"/>
  <c r="N452" i="3"/>
  <c r="N428" i="3"/>
  <c r="N404" i="3"/>
  <c r="N380" i="3"/>
  <c r="P372" i="3" a="1"/>
  <c r="P372" i="3" s="1"/>
  <c r="Q364" i="3" a="1"/>
  <c r="Q364" i="3" s="1"/>
  <c r="N353" i="3"/>
  <c r="N332" i="3"/>
  <c r="P324" i="3" a="1"/>
  <c r="P324" i="3" s="1"/>
  <c r="Q316" i="3" a="1"/>
  <c r="Q316" i="3" s="1"/>
  <c r="N305" i="3"/>
  <c r="P295" i="3" a="1"/>
  <c r="P295" i="3" s="1"/>
  <c r="O287" i="3"/>
  <c r="N435" i="3"/>
  <c r="N411" i="3"/>
  <c r="N387" i="3"/>
  <c r="N363" i="3"/>
  <c r="P355" i="3" a="1"/>
  <c r="P355" i="3" s="1"/>
  <c r="N338" i="3"/>
  <c r="P330" i="3" a="1"/>
  <c r="P330" i="3" s="1"/>
  <c r="O313" i="3"/>
  <c r="P305" i="3" a="1"/>
  <c r="P305" i="3" s="1"/>
  <c r="O297" i="3"/>
  <c r="O289" i="3"/>
  <c r="O434" i="3"/>
  <c r="O392" i="3"/>
  <c r="P376" i="3" a="1"/>
  <c r="P376" i="3" s="1"/>
  <c r="O359" i="3"/>
  <c r="P351" i="3" a="1"/>
  <c r="P351" i="3" s="1"/>
  <c r="Q341" i="3" a="1"/>
  <c r="Q341" i="3" s="1"/>
  <c r="O330" i="3"/>
  <c r="N313" i="3"/>
  <c r="O305" i="3"/>
  <c r="N297" i="3"/>
  <c r="N289" i="3"/>
  <c r="O416" i="3"/>
  <c r="N440" i="3"/>
  <c r="N416" i="3"/>
  <c r="N392" i="3"/>
  <c r="O376" i="3"/>
  <c r="Q368" i="3" a="1"/>
  <c r="Q368" i="3" s="1"/>
  <c r="N357" i="3"/>
  <c r="P349" i="3" a="1"/>
  <c r="P349" i="3" s="1"/>
  <c r="O328" i="3"/>
  <c r="Q320" i="3" a="1"/>
  <c r="Q320" i="3" s="1"/>
  <c r="N309" i="3"/>
  <c r="N301" i="3"/>
  <c r="P303" i="3" a="1"/>
  <c r="P303" i="3" s="1"/>
  <c r="O295" i="3"/>
  <c r="N287" i="3"/>
  <c r="O422" i="3"/>
  <c r="O386" i="3"/>
  <c r="P374" i="3" a="1"/>
  <c r="P374" i="3" s="1"/>
  <c r="O357" i="3"/>
  <c r="Q349" i="3" a="1"/>
  <c r="Q349" i="3" s="1"/>
  <c r="N336" i="3"/>
  <c r="P328" i="3" a="1"/>
  <c r="P328" i="3" s="1"/>
  <c r="O311" i="3"/>
  <c r="O303" i="3"/>
  <c r="N295" i="3"/>
  <c r="O452" i="3"/>
  <c r="O404" i="3"/>
  <c r="N434" i="3"/>
  <c r="N410" i="3"/>
  <c r="N386" i="3"/>
  <c r="O374" i="3"/>
  <c r="Q366" i="3" a="1"/>
  <c r="Q366" i="3" s="1"/>
  <c r="N355" i="3"/>
  <c r="Q343" i="3" a="1"/>
  <c r="Q343" i="3" s="1"/>
  <c r="O326" i="3"/>
  <c r="Q318" i="3" a="1"/>
  <c r="Q318" i="3" s="1"/>
  <c r="N307" i="3"/>
  <c r="CV3" i="3"/>
  <c r="CR3" i="3"/>
  <c r="CL3" i="3"/>
  <c r="CT3" i="3"/>
  <c r="CM3" i="3"/>
  <c r="CK3" i="3"/>
  <c r="CI2" i="2"/>
  <c r="CI3" i="3"/>
  <c r="CQ3" i="3"/>
  <c r="CS3" i="3"/>
  <c r="CO3" i="3"/>
  <c r="CU3" i="3"/>
  <c r="ED3" i="3"/>
  <c r="DZ3" i="3"/>
  <c r="EC3" i="3"/>
  <c r="DY3" i="3"/>
  <c r="EB3" i="3"/>
  <c r="DX3" i="3"/>
  <c r="EA3" i="3"/>
  <c r="DW3" i="3"/>
  <c r="ED2" i="2"/>
  <c r="DZ2" i="2"/>
  <c r="EB2" i="2"/>
  <c r="DX2" i="2"/>
  <c r="CJ2" i="2"/>
  <c r="CU2" i="2" a="1"/>
  <c r="DV3" i="3" a="1"/>
  <c r="DS3" i="3" a="1"/>
  <c r="EL3" i="3" a="1"/>
  <c r="CW2" i="2" a="1"/>
  <c r="EK3" i="3" a="1"/>
  <c r="CM2" i="2" a="1"/>
  <c r="CS2" i="2" a="1"/>
  <c r="DR3" i="3" a="1"/>
  <c r="CR2" i="2" a="1"/>
  <c r="CT2" i="2" a="1"/>
  <c r="CQ2" i="2" a="1"/>
  <c r="DP2" i="2" a="1"/>
  <c r="CP2" i="2" a="1"/>
  <c r="DO3" i="3" a="1"/>
  <c r="DY2" i="2" a="1"/>
  <c r="CN2" i="2" a="1"/>
  <c r="CL2" i="2" a="1"/>
  <c r="DU3" i="3" a="1"/>
  <c r="CV2" i="2" a="1"/>
  <c r="EC2" i="2" a="1"/>
  <c r="CK2" i="2" a="1"/>
  <c r="EA2" i="2" a="1"/>
  <c r="EE2" i="2" a="1"/>
  <c r="CO2" i="2" a="1"/>
  <c r="DQ3" i="3" a="1"/>
  <c r="DP3" i="3" a="1"/>
  <c r="DT3" i="3" a="1"/>
  <c r="EM3" i="3" a="1"/>
  <c r="DV3" i="3" l="1"/>
  <c r="DU3" i="3"/>
  <c r="DS3" i="3"/>
  <c r="DO3" i="3"/>
  <c r="DP3" i="3"/>
  <c r="DT3" i="3"/>
  <c r="EK3" i="3"/>
  <c r="DR3" i="3"/>
  <c r="EM3" i="3"/>
  <c r="DQ3" i="3"/>
  <c r="EL3" i="3"/>
  <c r="DY2" i="2"/>
  <c r="EC2" i="2"/>
  <c r="EA2" i="2"/>
  <c r="EE2" i="2"/>
  <c r="CW2" i="2"/>
  <c r="CQ2" i="2"/>
  <c r="CK2" i="2"/>
  <c r="CV2" i="2"/>
  <c r="CP2" i="2"/>
  <c r="CU2" i="2"/>
  <c r="CO2" i="2"/>
  <c r="CT2" i="2"/>
  <c r="CN2" i="2"/>
  <c r="DP2" i="2"/>
  <c r="CS2" i="2"/>
  <c r="CM2" i="2"/>
  <c r="CR2" i="2"/>
  <c r="CL2" i="2"/>
  <c r="DV2" i="2" a="1"/>
  <c r="EJ3" i="3" a="1"/>
  <c r="EK2" i="2" a="1"/>
  <c r="EI3" i="3" a="1"/>
  <c r="EH3" i="3" a="1"/>
  <c r="EL2" i="2" a="1"/>
  <c r="EM2" i="2" a="1"/>
  <c r="EN2" i="2" a="1"/>
  <c r="ER3" i="3" a="1"/>
  <c r="DU2" i="2" a="1"/>
  <c r="EF3" i="3" a="1"/>
  <c r="DW2" i="2" a="1"/>
  <c r="DT2" i="2" a="1"/>
  <c r="DS2" i="2" a="1"/>
  <c r="DR2" i="2" a="1"/>
  <c r="EI3" i="3" l="1"/>
  <c r="EF3" i="3"/>
  <c r="ER3" i="3"/>
  <c r="EJ3" i="3"/>
  <c r="EH3" i="3"/>
  <c r="EN2" i="2"/>
  <c r="EL2" i="2"/>
  <c r="EM2" i="2"/>
  <c r="DW2" i="2"/>
  <c r="EK2" i="2"/>
  <c r="DS2" i="2"/>
  <c r="DV2" i="2"/>
  <c r="DR2" i="2"/>
  <c r="DT2" i="2"/>
  <c r="DU2" i="2"/>
  <c r="EQ3" i="3" a="1"/>
  <c r="ES2" i="2" a="1"/>
  <c r="EH2" i="2" a="1"/>
  <c r="EI2" i="2" a="1"/>
  <c r="DQ2" i="2" a="1"/>
  <c r="EG3" i="3" a="1"/>
  <c r="EP3" i="3" a="1"/>
  <c r="EP3" i="3" l="1"/>
  <c r="EQ3" i="3"/>
  <c r="EG3" i="3"/>
  <c r="ES2" i="2"/>
  <c r="DQ2" i="2"/>
  <c r="EI2" i="2"/>
  <c r="EH2" i="2"/>
  <c r="EJ2" i="2" a="1"/>
  <c r="EU3" i="3" a="1"/>
  <c r="EG2" i="2" a="1"/>
  <c r="ER2" i="2" a="1"/>
  <c r="EO3" i="3" a="1"/>
  <c r="EO3" i="3" l="1"/>
  <c r="EU3" i="3"/>
  <c r="ER2" i="2"/>
  <c r="EG2" i="2"/>
  <c r="EJ2" i="2"/>
  <c r="EQ2" i="2" a="1"/>
  <c r="ET3" i="3" a="1"/>
  <c r="EP2" i="2" a="1"/>
  <c r="EV2" i="2" a="1"/>
  <c r="ET3" i="3" l="1"/>
  <c r="EV2" i="2"/>
  <c r="EQ2" i="2"/>
  <c r="EP2" i="2"/>
  <c r="EU2" i="2" a="1"/>
  <c r="EW3" i="3" a="1"/>
  <c r="EW3" i="3" l="1"/>
  <c r="M3" i="3" s="1" a="1"/>
  <c r="M3" i="3" s="1"/>
  <c r="N285" i="3"/>
  <c r="O285" i="3"/>
  <c r="Q285" i="3" a="1"/>
  <c r="Q285" i="3" s="1"/>
  <c r="P285" i="3" a="1"/>
  <c r="P285" i="3" s="1"/>
  <c r="P284" i="3" a="1"/>
  <c r="P284" i="3" s="1"/>
  <c r="O284" i="3"/>
  <c r="Q284" i="3" a="1"/>
  <c r="Q284" i="3" s="1"/>
  <c r="N284" i="3"/>
  <c r="O279" i="3"/>
  <c r="O278" i="3"/>
  <c r="N274" i="3"/>
  <c r="Q281" i="3" a="1"/>
  <c r="Q281" i="3" s="1"/>
  <c r="N281" i="3"/>
  <c r="Q274" i="3" a="1"/>
  <c r="Q274" i="3" s="1"/>
  <c r="P277" i="3" a="1"/>
  <c r="P277" i="3" s="1"/>
  <c r="P282" i="3" a="1"/>
  <c r="P282" i="3" s="1"/>
  <c r="O276" i="3"/>
  <c r="N275" i="3"/>
  <c r="O281" i="3"/>
  <c r="O274" i="3"/>
  <c r="N276" i="3"/>
  <c r="Q279" i="3" a="1"/>
  <c r="Q279" i="3" s="1"/>
  <c r="Q276" i="3" a="1"/>
  <c r="Q276" i="3" s="1"/>
  <c r="Q283" i="3" a="1"/>
  <c r="Q283" i="3" s="1"/>
  <c r="P281" i="3" a="1"/>
  <c r="P281" i="3" s="1"/>
  <c r="N278" i="3"/>
  <c r="P278" i="3" a="1"/>
  <c r="P278" i="3" s="1"/>
  <c r="Q275" i="3" a="1"/>
  <c r="Q275" i="3" s="1"/>
  <c r="Q282" i="3" a="1"/>
  <c r="Q282" i="3" s="1"/>
  <c r="N279" i="3"/>
  <c r="P279" i="3" a="1"/>
  <c r="P279" i="3" s="1"/>
  <c r="N283" i="3"/>
  <c r="N280" i="3"/>
  <c r="O277" i="3"/>
  <c r="P275" i="3" a="1"/>
  <c r="P275" i="3" s="1"/>
  <c r="P276" i="3" a="1"/>
  <c r="P276" i="3" s="1"/>
  <c r="P283" i="3" a="1"/>
  <c r="P283" i="3" s="1"/>
  <c r="O275" i="3"/>
  <c r="N277" i="3"/>
  <c r="Q280" i="3" a="1"/>
  <c r="Q280" i="3" s="1"/>
  <c r="Q278" i="3" a="1"/>
  <c r="Q278" i="3" s="1"/>
  <c r="P274" i="3" a="1"/>
  <c r="P274" i="3" s="1"/>
  <c r="O283" i="3"/>
  <c r="O280" i="3"/>
  <c r="P280" i="3" a="1"/>
  <c r="P280" i="3" s="1"/>
  <c r="Q277" i="3" a="1"/>
  <c r="Q277" i="3" s="1"/>
  <c r="N282" i="3"/>
  <c r="O282" i="3"/>
  <c r="EU2" i="2"/>
  <c r="P271" i="3" a="1"/>
  <c r="P271" i="3" s="1"/>
  <c r="O271" i="3"/>
  <c r="P272" i="3" a="1"/>
  <c r="P272" i="3" s="1"/>
  <c r="N272" i="3"/>
  <c r="Q271" i="3" a="1"/>
  <c r="Q271" i="3" s="1"/>
  <c r="N271" i="3"/>
  <c r="O270" i="3"/>
  <c r="O269" i="3"/>
  <c r="Q272" i="3" a="1"/>
  <c r="Q272" i="3" s="1"/>
  <c r="P269" i="3" a="1"/>
  <c r="P269" i="3" s="1"/>
  <c r="O268" i="3"/>
  <c r="P273" i="3" a="1"/>
  <c r="P273" i="3" s="1"/>
  <c r="P268" i="3" a="1"/>
  <c r="P268" i="3" s="1"/>
  <c r="P270" i="3" a="1"/>
  <c r="P270" i="3" s="1"/>
  <c r="N268" i="3"/>
  <c r="Q269" i="3" a="1"/>
  <c r="Q269" i="3" s="1"/>
  <c r="O273" i="3"/>
  <c r="Q270" i="3" a="1"/>
  <c r="Q270" i="3" s="1"/>
  <c r="N273" i="3"/>
  <c r="O272" i="3"/>
  <c r="Q273" i="3" a="1"/>
  <c r="Q273" i="3" s="1"/>
  <c r="N269" i="3"/>
  <c r="Q268" i="3" a="1"/>
  <c r="Q268" i="3" s="1"/>
  <c r="N270" i="3"/>
  <c r="EX2" i="2" a="1"/>
  <c r="O33" i="3" l="1"/>
  <c r="P88" i="3" a="1"/>
  <c r="P88" i="3" s="1"/>
  <c r="N71" i="3"/>
  <c r="N17" i="3"/>
  <c r="P165" i="3" a="1"/>
  <c r="P165" i="3" s="1"/>
  <c r="P64" i="3" a="1"/>
  <c r="P64" i="3" s="1"/>
  <c r="O169" i="3"/>
  <c r="O90" i="3"/>
  <c r="N80" i="3"/>
  <c r="O252" i="3"/>
  <c r="Q35" i="3" a="1"/>
  <c r="Q35" i="3" s="1"/>
  <c r="N248" i="3"/>
  <c r="Q15" i="3" a="1"/>
  <c r="Q15" i="3" s="1"/>
  <c r="O150" i="3"/>
  <c r="N77" i="3"/>
  <c r="Q55" i="3" a="1"/>
  <c r="Q55" i="3" s="1"/>
  <c r="O98" i="3"/>
  <c r="N188" i="3"/>
  <c r="Q48" i="3" a="1"/>
  <c r="Q48" i="3" s="1"/>
  <c r="Q27" i="3" a="1"/>
  <c r="Q27" i="3" s="1"/>
  <c r="O44" i="3"/>
  <c r="O174" i="3"/>
  <c r="O23" i="3"/>
  <c r="O14" i="3"/>
  <c r="N145" i="3"/>
  <c r="O170" i="3"/>
  <c r="Q266" i="3" a="1"/>
  <c r="Q266" i="3" s="1"/>
  <c r="P233" i="3" a="1"/>
  <c r="P233" i="3" s="1"/>
  <c r="O249" i="3"/>
  <c r="Q175" i="3" a="1"/>
  <c r="Q175" i="3" s="1"/>
  <c r="Q23" i="3" a="1"/>
  <c r="Q23" i="3" s="1"/>
  <c r="P155" i="3" a="1"/>
  <c r="P155" i="3" s="1"/>
  <c r="P52" i="3" a="1"/>
  <c r="P52" i="3" s="1"/>
  <c r="N97" i="3"/>
  <c r="Q52" i="3" a="1"/>
  <c r="Q52" i="3" s="1"/>
  <c r="N112" i="3"/>
  <c r="Q103" i="3" a="1"/>
  <c r="Q103" i="3" s="1"/>
  <c r="P54" i="3" a="1"/>
  <c r="P54" i="3" s="1"/>
  <c r="P21" i="3" a="1"/>
  <c r="P21" i="3" s="1"/>
  <c r="Q75" i="3" a="1"/>
  <c r="Q75" i="3" s="1"/>
  <c r="N186" i="3"/>
  <c r="O167" i="3"/>
  <c r="P10" i="3" a="1"/>
  <c r="P10" i="3" s="1"/>
  <c r="P109" i="3" a="1"/>
  <c r="P109" i="3" s="1"/>
  <c r="N265" i="3"/>
  <c r="O24" i="3"/>
  <c r="O208" i="3"/>
  <c r="P140" i="3" a="1"/>
  <c r="P140" i="3" s="1"/>
  <c r="O84" i="3"/>
  <c r="P48" i="3" a="1"/>
  <c r="P48" i="3" s="1"/>
  <c r="N18" i="3"/>
  <c r="N27" i="3"/>
  <c r="Q186" i="3" a="1"/>
  <c r="Q186" i="3" s="1"/>
  <c r="N32" i="3"/>
  <c r="N40" i="3"/>
  <c r="Q68" i="3" a="1"/>
  <c r="Q68" i="3" s="1"/>
  <c r="N205" i="3"/>
  <c r="N14" i="3"/>
  <c r="O105" i="3"/>
  <c r="O203" i="3"/>
  <c r="N202" i="3"/>
  <c r="Q216" i="3" a="1"/>
  <c r="Q216" i="3" s="1"/>
  <c r="P24" i="3" a="1"/>
  <c r="P24" i="3" s="1"/>
  <c r="O20" i="3"/>
  <c r="O13" i="3"/>
  <c r="O172" i="3"/>
  <c r="N72" i="3"/>
  <c r="N68" i="3"/>
  <c r="O135" i="3"/>
  <c r="Q44" i="3" a="1"/>
  <c r="Q44" i="3" s="1"/>
  <c r="P19" i="3" a="1"/>
  <c r="P19" i="3" s="1"/>
  <c r="Q236" i="3" a="1"/>
  <c r="Q236" i="3" s="1"/>
  <c r="O51" i="3"/>
  <c r="N180" i="3"/>
  <c r="P207" i="3" a="1"/>
  <c r="P207" i="3" s="1"/>
  <c r="N120" i="3"/>
  <c r="O16" i="3"/>
  <c r="Q28" i="3" a="1"/>
  <c r="Q28" i="3" s="1"/>
  <c r="Q73" i="3" a="1"/>
  <c r="Q73" i="3" s="1"/>
  <c r="Q263" i="3" a="1"/>
  <c r="Q263" i="3" s="1"/>
  <c r="O125" i="3"/>
  <c r="N263" i="3"/>
  <c r="N67" i="3"/>
  <c r="O181" i="3"/>
  <c r="O154" i="3"/>
  <c r="P98" i="3" a="1"/>
  <c r="P98" i="3" s="1"/>
  <c r="P159" i="3" a="1"/>
  <c r="P159" i="3" s="1"/>
  <c r="Q40" i="3" a="1"/>
  <c r="Q40" i="3" s="1"/>
  <c r="Q115" i="3" a="1"/>
  <c r="Q115" i="3" s="1"/>
  <c r="O36" i="3"/>
  <c r="O96" i="3"/>
  <c r="Q86" i="3" a="1"/>
  <c r="Q86" i="3" s="1"/>
  <c r="Q43" i="3" a="1"/>
  <c r="Q43" i="3" s="1"/>
  <c r="N37" i="3"/>
  <c r="O155" i="3"/>
  <c r="P263" i="3" a="1"/>
  <c r="P263" i="3" s="1"/>
  <c r="P96" i="3" a="1"/>
  <c r="P96" i="3" s="1"/>
  <c r="P218" i="3" a="1"/>
  <c r="P218" i="3" s="1"/>
  <c r="P190" i="3" a="1"/>
  <c r="P190" i="3" s="1"/>
  <c r="P256" i="3" a="1"/>
  <c r="P256" i="3" s="1"/>
  <c r="P103" i="3" a="1"/>
  <c r="P103" i="3" s="1"/>
  <c r="Q196" i="3" a="1"/>
  <c r="Q196" i="3" s="1"/>
  <c r="Q17" i="3" a="1"/>
  <c r="Q17" i="3" s="1"/>
  <c r="N8" i="3"/>
  <c r="P196" i="3" a="1"/>
  <c r="P196" i="3" s="1"/>
  <c r="P264" i="3" a="1"/>
  <c r="P264" i="3" s="1"/>
  <c r="O17" i="3"/>
  <c r="N83" i="3"/>
  <c r="P192" i="3" a="1"/>
  <c r="P192" i="3" s="1"/>
  <c r="O70" i="3"/>
  <c r="P143" i="3" a="1"/>
  <c r="P143" i="3" s="1"/>
  <c r="P173" i="3" a="1"/>
  <c r="P173" i="3" s="1"/>
  <c r="Q90" i="3" a="1"/>
  <c r="Q90" i="3" s="1"/>
  <c r="O88" i="3"/>
  <c r="O81" i="3"/>
  <c r="O176" i="3"/>
  <c r="N107" i="3"/>
  <c r="O99" i="3"/>
  <c r="P71" i="3" a="1"/>
  <c r="P71" i="3" s="1"/>
  <c r="Q194" i="3" a="1"/>
  <c r="Q194" i="3" s="1"/>
  <c r="P186" i="3" a="1"/>
  <c r="P186" i="3" s="1"/>
  <c r="P23" i="3" a="1"/>
  <c r="P23" i="3" s="1"/>
  <c r="O72" i="3"/>
  <c r="N178" i="3"/>
  <c r="P230" i="3" a="1"/>
  <c r="P230" i="3" s="1"/>
  <c r="P163" i="3" a="1"/>
  <c r="P163" i="3" s="1"/>
  <c r="N219" i="3"/>
  <c r="P70" i="3" a="1"/>
  <c r="P70" i="3" s="1"/>
  <c r="N35" i="3"/>
  <c r="N155" i="3"/>
  <c r="O161" i="3"/>
  <c r="O126" i="3"/>
  <c r="N125" i="3"/>
  <c r="O54" i="3"/>
  <c r="P266" i="3" a="1"/>
  <c r="P266" i="3" s="1"/>
  <c r="Q89" i="3" a="1"/>
  <c r="Q89" i="3" s="1"/>
  <c r="O263" i="3"/>
  <c r="P149" i="3" a="1"/>
  <c r="P149" i="3" s="1"/>
  <c r="O238" i="3"/>
  <c r="N203" i="3"/>
  <c r="O197" i="3"/>
  <c r="Q41" i="3" a="1"/>
  <c r="Q41" i="3" s="1"/>
  <c r="N26" i="3"/>
  <c r="P107" i="3" a="1"/>
  <c r="P107" i="3" s="1"/>
  <c r="O26" i="3"/>
  <c r="Q34" i="3" a="1"/>
  <c r="Q34" i="3" s="1"/>
  <c r="P195" i="3" a="1"/>
  <c r="P195" i="3" s="1"/>
  <c r="P259" i="3" a="1"/>
  <c r="P259" i="3" s="1"/>
  <c r="Q220" i="3" a="1"/>
  <c r="Q220" i="3" s="1"/>
  <c r="P267" i="3" a="1"/>
  <c r="P267" i="3" s="1"/>
  <c r="Q33" i="3" a="1"/>
  <c r="Q33" i="3" s="1"/>
  <c r="Q170" i="3" a="1"/>
  <c r="Q170" i="3" s="1"/>
  <c r="O140" i="3"/>
  <c r="Q153" i="3" a="1"/>
  <c r="Q153" i="3" s="1"/>
  <c r="P185" i="3" a="1"/>
  <c r="P185" i="3" s="1"/>
  <c r="O267" i="3"/>
  <c r="O266" i="3"/>
  <c r="N56" i="3"/>
  <c r="O22" i="3"/>
  <c r="N20" i="3"/>
  <c r="P53" i="3" a="1"/>
  <c r="P53" i="3" s="1"/>
  <c r="Q82" i="3" a="1"/>
  <c r="Q82" i="3" s="1"/>
  <c r="N24" i="3"/>
  <c r="O59" i="3"/>
  <c r="N231" i="3"/>
  <c r="O103" i="3"/>
  <c r="Q228" i="3" a="1"/>
  <c r="Q228" i="3" s="1"/>
  <c r="P72" i="3" a="1"/>
  <c r="P72" i="3" s="1"/>
  <c r="P44" i="3" a="1"/>
  <c r="P44" i="3" s="1"/>
  <c r="Q66" i="3" a="1"/>
  <c r="Q66" i="3" s="1"/>
  <c r="Q79" i="3" a="1"/>
  <c r="Q79" i="3" s="1"/>
  <c r="N74" i="3"/>
  <c r="P117" i="3" a="1"/>
  <c r="P117" i="3" s="1"/>
  <c r="P111" i="3" a="1"/>
  <c r="P111" i="3" s="1"/>
  <c r="Q8" i="3" a="1"/>
  <c r="Q8" i="3" s="1"/>
  <c r="O237" i="3"/>
  <c r="Q14" i="3" a="1"/>
  <c r="Q14" i="3" s="1"/>
  <c r="P236" i="3" a="1"/>
  <c r="P236" i="3" s="1"/>
  <c r="Q121" i="3" a="1"/>
  <c r="Q121" i="3" s="1"/>
  <c r="P110" i="3" a="1"/>
  <c r="P110" i="3" s="1"/>
  <c r="P178" i="3" a="1"/>
  <c r="P178" i="3" s="1"/>
  <c r="N266" i="3"/>
  <c r="O262" i="3"/>
  <c r="Q183" i="3" a="1"/>
  <c r="Q183" i="3" s="1"/>
  <c r="Q7" i="3" a="1"/>
  <c r="Q7" i="3" s="1"/>
  <c r="P73" i="3" a="1"/>
  <c r="P73" i="3" s="1"/>
  <c r="N33" i="3"/>
  <c r="O151" i="3"/>
  <c r="Q177" i="3" a="1"/>
  <c r="Q177" i="3" s="1"/>
  <c r="Q166" i="3" a="1"/>
  <c r="Q166" i="3" s="1"/>
  <c r="N115" i="3"/>
  <c r="P34" i="3" a="1"/>
  <c r="P34" i="3" s="1"/>
  <c r="N49" i="3"/>
  <c r="Q109" i="3" a="1"/>
  <c r="Q109" i="3" s="1"/>
  <c r="N234" i="3"/>
  <c r="Q208" i="3" a="1"/>
  <c r="Q208" i="3" s="1"/>
  <c r="P247" i="3" a="1"/>
  <c r="P247" i="3" s="1"/>
  <c r="N47" i="3"/>
  <c r="Q167" i="3" a="1"/>
  <c r="Q167" i="3" s="1"/>
  <c r="N240" i="3"/>
  <c r="P81" i="3" a="1"/>
  <c r="P81" i="3" s="1"/>
  <c r="N39" i="3"/>
  <c r="N176" i="3"/>
  <c r="N261" i="3"/>
  <c r="P60" i="3" a="1"/>
  <c r="P60" i="3" s="1"/>
  <c r="O4" i="3"/>
  <c r="P216" i="3" a="1"/>
  <c r="P216" i="3" s="1"/>
  <c r="P106" i="3" a="1"/>
  <c r="P106" i="3" s="1"/>
  <c r="N23" i="3"/>
  <c r="P210" i="3" a="1"/>
  <c r="P210" i="3" s="1"/>
  <c r="O60" i="3"/>
  <c r="Q262" i="3" a="1"/>
  <c r="Q262" i="3" s="1"/>
  <c r="Q169" i="3" a="1"/>
  <c r="Q169" i="3" s="1"/>
  <c r="P158" i="3" a="1"/>
  <c r="P158" i="3" s="1"/>
  <c r="Q147" i="3" a="1"/>
  <c r="Q147" i="3" s="1"/>
  <c r="Q149" i="3" a="1"/>
  <c r="Q149" i="3" s="1"/>
  <c r="N267" i="3"/>
  <c r="Q254" i="3" a="1"/>
  <c r="Q254" i="3" s="1"/>
  <c r="Q24" i="3" a="1"/>
  <c r="Q24" i="3" s="1"/>
  <c r="Q125" i="3" a="1"/>
  <c r="Q125" i="3" s="1"/>
  <c r="P213" i="3" a="1"/>
  <c r="P213" i="3" s="1"/>
  <c r="O205" i="3"/>
  <c r="O35" i="3"/>
  <c r="Q10" i="3" a="1"/>
  <c r="Q10" i="3" s="1"/>
  <c r="N193" i="3"/>
  <c r="N146" i="3"/>
  <c r="N251" i="3"/>
  <c r="O71" i="3"/>
  <c r="N215" i="3"/>
  <c r="N262" i="3"/>
  <c r="O66" i="3"/>
  <c r="P14" i="3" a="1"/>
  <c r="P14" i="3" s="1"/>
  <c r="N93" i="3"/>
  <c r="Q225" i="3" a="1"/>
  <c r="Q225" i="3" s="1"/>
  <c r="O65" i="3"/>
  <c r="P51" i="3" a="1"/>
  <c r="P51" i="3" s="1"/>
  <c r="N154" i="3"/>
  <c r="Q152" i="3" a="1"/>
  <c r="Q152" i="3" s="1"/>
  <c r="N48" i="3"/>
  <c r="N218" i="3"/>
  <c r="Q56" i="3" a="1"/>
  <c r="Q56" i="3" s="1"/>
  <c r="P227" i="3" a="1"/>
  <c r="P227" i="3" s="1"/>
  <c r="P265" i="3" a="1"/>
  <c r="P265" i="3" s="1"/>
  <c r="O114" i="3"/>
  <c r="O261" i="3"/>
  <c r="O207" i="3"/>
  <c r="N264" i="3"/>
  <c r="P262" i="3" a="1"/>
  <c r="P262" i="3" s="1"/>
  <c r="Q267" i="3" a="1"/>
  <c r="Q267" i="3" s="1"/>
  <c r="Q165" i="3" a="1"/>
  <c r="Q165" i="3" s="1"/>
  <c r="P46" i="3" a="1"/>
  <c r="P46" i="3" s="1"/>
  <c r="P119" i="3" a="1"/>
  <c r="P119" i="3" s="1"/>
  <c r="O146" i="3"/>
  <c r="O186" i="3"/>
  <c r="Q156" i="3" a="1"/>
  <c r="Q156" i="3" s="1"/>
  <c r="N25" i="3"/>
  <c r="O49" i="3"/>
  <c r="O115" i="3"/>
  <c r="O239" i="3"/>
  <c r="N220" i="3"/>
  <c r="P258" i="3" a="1"/>
  <c r="P258" i="3" s="1"/>
  <c r="Q69" i="3" a="1"/>
  <c r="Q69" i="3" s="1"/>
  <c r="Q184" i="3" a="1"/>
  <c r="Q184" i="3" s="1"/>
  <c r="Q32" i="3" a="1"/>
  <c r="Q32" i="3" s="1"/>
  <c r="O8" i="3"/>
  <c r="P62" i="3" a="1"/>
  <c r="P62" i="3" s="1"/>
  <c r="O191" i="3"/>
  <c r="N255" i="3"/>
  <c r="Q100" i="3" a="1"/>
  <c r="Q100" i="3" s="1"/>
  <c r="O18" i="3"/>
  <c r="P95" i="3" a="1"/>
  <c r="P95" i="3" s="1"/>
  <c r="Q259" i="3" a="1"/>
  <c r="Q259" i="3" s="1"/>
  <c r="Q9" i="3" a="1"/>
  <c r="Q9" i="3" s="1"/>
  <c r="O58" i="3"/>
  <c r="Q46" i="3" a="1"/>
  <c r="Q46" i="3" s="1"/>
  <c r="Q260" i="3" a="1"/>
  <c r="Q260" i="3" s="1"/>
  <c r="P261" i="3" a="1"/>
  <c r="P261" i="3" s="1"/>
  <c r="N7" i="3"/>
  <c r="O264" i="3"/>
  <c r="Q261" i="3" a="1"/>
  <c r="Q261" i="3" s="1"/>
  <c r="O5" i="3"/>
  <c r="O190" i="3"/>
  <c r="O34" i="3"/>
  <c r="Q6" i="3" a="1"/>
  <c r="Q6" i="3" s="1"/>
  <c r="P252" i="3" a="1"/>
  <c r="P252" i="3" s="1"/>
  <c r="Q144" i="3" a="1"/>
  <c r="Q144" i="3" s="1"/>
  <c r="N61" i="3"/>
  <c r="N63" i="3"/>
  <c r="O142" i="3"/>
  <c r="P257" i="3" a="1"/>
  <c r="P257" i="3" s="1"/>
  <c r="N148" i="3"/>
  <c r="N230" i="3"/>
  <c r="Q60" i="3" a="1"/>
  <c r="Q60" i="3" s="1"/>
  <c r="Q257" i="3" a="1"/>
  <c r="Q257" i="3" s="1"/>
  <c r="O74" i="3"/>
  <c r="N167" i="3"/>
  <c r="Q49" i="3" a="1"/>
  <c r="Q49" i="3" s="1"/>
  <c r="O110" i="3"/>
  <c r="Q21" i="3" a="1"/>
  <c r="Q21" i="3" s="1"/>
  <c r="Q264" i="3" a="1"/>
  <c r="Q264" i="3" s="1"/>
  <c r="Q16" i="3" a="1"/>
  <c r="Q16" i="3" s="1"/>
  <c r="O137" i="3"/>
  <c r="Q57" i="3" a="1"/>
  <c r="Q57" i="3" s="1"/>
  <c r="Q47" i="3" a="1"/>
  <c r="Q47" i="3" s="1"/>
  <c r="O50" i="3"/>
  <c r="O64" i="3"/>
  <c r="P37" i="3" a="1"/>
  <c r="P37" i="3" s="1"/>
  <c r="O265" i="3"/>
  <c r="O7" i="3"/>
  <c r="O163" i="3"/>
  <c r="Q265" i="3" a="1"/>
  <c r="Q265" i="3" s="1"/>
  <c r="N6" i="3"/>
  <c r="N168" i="3"/>
  <c r="P57" i="3" a="1"/>
  <c r="P57" i="3" s="1"/>
  <c r="N73" i="3"/>
  <c r="N5" i="3"/>
  <c r="P18" i="3" a="1"/>
  <c r="P18" i="3" s="1"/>
  <c r="Q141" i="3" a="1"/>
  <c r="Q141" i="3" s="1"/>
  <c r="N106" i="3"/>
  <c r="N158" i="3"/>
  <c r="P229" i="3" a="1"/>
  <c r="P229" i="3" s="1"/>
  <c r="Q58" i="3" a="1"/>
  <c r="Q58" i="3" s="1"/>
  <c r="P11" i="3" a="1"/>
  <c r="P11" i="3" s="1"/>
  <c r="P26" i="3" a="1"/>
  <c r="P26" i="3" s="1"/>
  <c r="N94" i="3"/>
  <c r="O193" i="3"/>
  <c r="P220" i="3" a="1"/>
  <c r="P220" i="3" s="1"/>
  <c r="N103" i="3"/>
  <c r="N252" i="3"/>
  <c r="O40" i="3"/>
  <c r="O25" i="3"/>
  <c r="P66" i="3" a="1"/>
  <c r="P66" i="3" s="1"/>
  <c r="O106" i="3"/>
  <c r="O12" i="3"/>
  <c r="Q11" i="3" a="1"/>
  <c r="Q11" i="3" s="1"/>
  <c r="O41" i="3"/>
  <c r="Q221" i="3" a="1"/>
  <c r="Q221" i="3" s="1"/>
  <c r="O195" i="3"/>
  <c r="N173" i="3"/>
  <c r="Q99" i="3" a="1"/>
  <c r="Q99" i="3" s="1"/>
  <c r="P114" i="3" a="1"/>
  <c r="P114" i="3" s="1"/>
  <c r="N50" i="3"/>
  <c r="N117" i="3"/>
  <c r="P9" i="3" a="1"/>
  <c r="P9" i="3" s="1"/>
  <c r="N75" i="3"/>
  <c r="N184" i="3"/>
  <c r="O232" i="3"/>
  <c r="N66" i="3"/>
  <c r="Q230" i="3" a="1"/>
  <c r="Q230" i="3" s="1"/>
  <c r="P58" i="3" a="1"/>
  <c r="P58" i="3" s="1"/>
  <c r="P13" i="3" a="1"/>
  <c r="P13" i="3" s="1"/>
  <c r="N65" i="3"/>
  <c r="Q190" i="3" a="1"/>
  <c r="Q190" i="3" s="1"/>
  <c r="Q94" i="3" a="1"/>
  <c r="Q94" i="3" s="1"/>
  <c r="N224" i="3"/>
  <c r="Q171" i="3" a="1"/>
  <c r="Q171" i="3" s="1"/>
  <c r="O166" i="3"/>
  <c r="Q80" i="3" a="1"/>
  <c r="Q80" i="3" s="1"/>
  <c r="O15" i="3"/>
  <c r="N54" i="3"/>
  <c r="O67" i="3"/>
  <c r="P105" i="3" a="1"/>
  <c r="P105" i="3" s="1"/>
  <c r="Q111" i="3" a="1"/>
  <c r="Q111" i="3" s="1"/>
  <c r="O216" i="3"/>
  <c r="Q163" i="3" a="1"/>
  <c r="Q163" i="3" s="1"/>
  <c r="O75" i="3"/>
  <c r="Q158" i="3" a="1"/>
  <c r="Q158" i="3" s="1"/>
  <c r="Q154" i="3" a="1"/>
  <c r="Q154" i="3" s="1"/>
  <c r="O27" i="3"/>
  <c r="Q39" i="3" a="1"/>
  <c r="Q39" i="3" s="1"/>
  <c r="P118" i="3" a="1"/>
  <c r="P118" i="3" s="1"/>
  <c r="N185" i="3"/>
  <c r="N57" i="3"/>
  <c r="P222" i="3" a="1"/>
  <c r="P222" i="3" s="1"/>
  <c r="Q127" i="3" a="1"/>
  <c r="Q127" i="3" s="1"/>
  <c r="P168" i="3" a="1"/>
  <c r="P168" i="3" s="1"/>
  <c r="P180" i="3" a="1"/>
  <c r="P180" i="3" s="1"/>
  <c r="O225" i="3"/>
  <c r="N46" i="3"/>
  <c r="N199" i="3"/>
  <c r="N90" i="3"/>
  <c r="N109" i="3"/>
  <c r="Q159" i="3" a="1"/>
  <c r="Q159" i="3" s="1"/>
  <c r="Q133" i="3" a="1"/>
  <c r="Q133" i="3" s="1"/>
  <c r="O80" i="3"/>
  <c r="P169" i="3" a="1"/>
  <c r="P169" i="3" s="1"/>
  <c r="N76" i="3"/>
  <c r="P164" i="3" a="1"/>
  <c r="P164" i="3" s="1"/>
  <c r="N100" i="3"/>
  <c r="N163" i="3"/>
  <c r="O223" i="3"/>
  <c r="O148" i="3"/>
  <c r="P234" i="3" a="1"/>
  <c r="P234" i="3" s="1"/>
  <c r="P243" i="3" a="1"/>
  <c r="P243" i="3" s="1"/>
  <c r="P201" i="3" a="1"/>
  <c r="P201" i="3" s="1"/>
  <c r="N239" i="3"/>
  <c r="O61" i="3"/>
  <c r="O11" i="3"/>
  <c r="P36" i="3" a="1"/>
  <c r="P36" i="3" s="1"/>
  <c r="N53" i="3"/>
  <c r="Q162" i="3" a="1"/>
  <c r="Q162" i="3" s="1"/>
  <c r="O32" i="3"/>
  <c r="N209" i="3"/>
  <c r="O97" i="3"/>
  <c r="N60" i="3"/>
  <c r="P45" i="3" a="1"/>
  <c r="P45" i="3" s="1"/>
  <c r="Q45" i="3" a="1"/>
  <c r="Q45" i="3" s="1"/>
  <c r="O29" i="3"/>
  <c r="O210" i="3"/>
  <c r="N110" i="3"/>
  <c r="O171" i="3"/>
  <c r="N223" i="3"/>
  <c r="O79" i="3"/>
  <c r="Q19" i="3" a="1"/>
  <c r="Q19" i="3" s="1"/>
  <c r="O38" i="3"/>
  <c r="P141" i="3" a="1"/>
  <c r="P141" i="3" s="1"/>
  <c r="Q31" i="3" a="1"/>
  <c r="Q31" i="3" s="1"/>
  <c r="P47" i="3" a="1"/>
  <c r="P47" i="3" s="1"/>
  <c r="Q59" i="3" a="1"/>
  <c r="Q59" i="3" s="1"/>
  <c r="N31" i="3"/>
  <c r="P151" i="3" a="1"/>
  <c r="P151" i="3" s="1"/>
  <c r="O222" i="3"/>
  <c r="Q108" i="3" a="1"/>
  <c r="Q108" i="3" s="1"/>
  <c r="O260" i="3"/>
  <c r="N244" i="3"/>
  <c r="O53" i="3"/>
  <c r="N86" i="3"/>
  <c r="O28" i="3"/>
  <c r="Q63" i="3" a="1"/>
  <c r="Q63" i="3" s="1"/>
  <c r="O156" i="3"/>
  <c r="N238" i="3"/>
  <c r="Q124" i="3" a="1"/>
  <c r="Q124" i="3" s="1"/>
  <c r="P33" i="3" a="1"/>
  <c r="P33" i="3" s="1"/>
  <c r="N13" i="3"/>
  <c r="P61" i="3" a="1"/>
  <c r="P61" i="3" s="1"/>
  <c r="N42" i="3"/>
  <c r="Q139" i="3" a="1"/>
  <c r="Q139" i="3" s="1"/>
  <c r="P113" i="3" a="1"/>
  <c r="P113" i="3" s="1"/>
  <c r="O86" i="3"/>
  <c r="N122" i="3"/>
  <c r="N59" i="3"/>
  <c r="P35" i="3" a="1"/>
  <c r="P35" i="3" s="1"/>
  <c r="N52" i="3"/>
  <c r="P29" i="3" a="1"/>
  <c r="P29" i="3" s="1"/>
  <c r="Q101" i="3" a="1"/>
  <c r="Q101" i="3" s="1"/>
  <c r="N157" i="3"/>
  <c r="P161" i="3" a="1"/>
  <c r="P161" i="3" s="1"/>
  <c r="O104" i="3"/>
  <c r="P224" i="3" a="1"/>
  <c r="P224" i="3" s="1"/>
  <c r="N139" i="3"/>
  <c r="P242" i="3" a="1"/>
  <c r="P242" i="3" s="1"/>
  <c r="P254" i="3" a="1"/>
  <c r="P254" i="3" s="1"/>
  <c r="N124" i="3"/>
  <c r="N64" i="3"/>
  <c r="Q4" i="3" a="1"/>
  <c r="Q4" i="3" s="1"/>
  <c r="P166" i="3" a="1"/>
  <c r="P166" i="3" s="1"/>
  <c r="O128" i="3"/>
  <c r="N121" i="3"/>
  <c r="Q74" i="3" a="1"/>
  <c r="Q74" i="3" s="1"/>
  <c r="N236" i="3"/>
  <c r="Q71" i="3" a="1"/>
  <c r="Q71" i="3" s="1"/>
  <c r="O130" i="3"/>
  <c r="N137" i="3"/>
  <c r="O132" i="3"/>
  <c r="Q106" i="3" a="1"/>
  <c r="Q106" i="3" s="1"/>
  <c r="O19" i="3"/>
  <c r="Q87" i="3" a="1"/>
  <c r="Q87" i="3" s="1"/>
  <c r="O116" i="3"/>
  <c r="N204" i="3"/>
  <c r="P123" i="3" a="1"/>
  <c r="P123" i="3" s="1"/>
  <c r="P225" i="3" a="1"/>
  <c r="P225" i="3" s="1"/>
  <c r="P128" i="3" a="1"/>
  <c r="P128" i="3" s="1"/>
  <c r="Q178" i="3" a="1"/>
  <c r="Q178" i="3" s="1"/>
  <c r="O73" i="3"/>
  <c r="N227" i="3"/>
  <c r="P108" i="3" a="1"/>
  <c r="P108" i="3" s="1"/>
  <c r="O82" i="3"/>
  <c r="O257" i="3"/>
  <c r="P137" i="3" a="1"/>
  <c r="P137" i="3" s="1"/>
  <c r="O221" i="3"/>
  <c r="Q26" i="3" a="1"/>
  <c r="Q26" i="3" s="1"/>
  <c r="O109" i="3"/>
  <c r="O159" i="3"/>
  <c r="Q138" i="3" a="1"/>
  <c r="Q138" i="3" s="1"/>
  <c r="P99" i="3" a="1"/>
  <c r="P99" i="3" s="1"/>
  <c r="O241" i="3"/>
  <c r="P27" i="3" a="1"/>
  <c r="P27" i="3" s="1"/>
  <c r="P212" i="3" a="1"/>
  <c r="P212" i="3" s="1"/>
  <c r="O37" i="3"/>
  <c r="O30" i="3"/>
  <c r="Q143" i="3" a="1"/>
  <c r="Q143" i="3" s="1"/>
  <c r="P214" i="3" a="1"/>
  <c r="P214" i="3" s="1"/>
  <c r="Q104" i="3" a="1"/>
  <c r="Q104" i="3" s="1"/>
  <c r="Q233" i="3" a="1"/>
  <c r="Q233" i="3" s="1"/>
  <c r="O120" i="3"/>
  <c r="N36" i="3"/>
  <c r="Q12" i="3" a="1"/>
  <c r="Q12" i="3" s="1"/>
  <c r="P179" i="3" a="1"/>
  <c r="P179" i="3" s="1"/>
  <c r="P22" i="3" a="1"/>
  <c r="P22" i="3" s="1"/>
  <c r="Q81" i="3" a="1"/>
  <c r="Q81" i="3" s="1"/>
  <c r="P15" i="3" a="1"/>
  <c r="P15" i="3" s="1"/>
  <c r="N98" i="3"/>
  <c r="Q92" i="3" a="1"/>
  <c r="Q92" i="3" s="1"/>
  <c r="N150" i="3"/>
  <c r="Q148" i="3" a="1"/>
  <c r="Q148" i="3" s="1"/>
  <c r="Q135" i="3" a="1"/>
  <c r="Q135" i="3" s="1"/>
  <c r="N181" i="3"/>
  <c r="P200" i="3" a="1"/>
  <c r="P200" i="3" s="1"/>
  <c r="P127" i="3" a="1"/>
  <c r="P127" i="3" s="1"/>
  <c r="N11" i="3"/>
  <c r="N210" i="3"/>
  <c r="Q211" i="3" a="1"/>
  <c r="Q211" i="3" s="1"/>
  <c r="O46" i="3"/>
  <c r="P102" i="3" a="1"/>
  <c r="P102" i="3" s="1"/>
  <c r="Q67" i="3" a="1"/>
  <c r="Q67" i="3" s="1"/>
  <c r="O48" i="3"/>
  <c r="O39" i="3"/>
  <c r="O31" i="3"/>
  <c r="Q223" i="3" a="1"/>
  <c r="Q223" i="3" s="1"/>
  <c r="Q206" i="3" a="1"/>
  <c r="Q206" i="3" s="1"/>
  <c r="Q180" i="3" a="1"/>
  <c r="Q180" i="3" s="1"/>
  <c r="Q129" i="3" a="1"/>
  <c r="Q129" i="3" s="1"/>
  <c r="N237" i="3"/>
  <c r="N12" i="3"/>
  <c r="Q22" i="3" a="1"/>
  <c r="Q22" i="3" s="1"/>
  <c r="Q61" i="3" a="1"/>
  <c r="Q61" i="3" s="1"/>
  <c r="P65" i="3" a="1"/>
  <c r="P65" i="3" s="1"/>
  <c r="O143" i="3"/>
  <c r="O113" i="3"/>
  <c r="N104" i="3"/>
  <c r="N211" i="3"/>
  <c r="Q117" i="3" a="1"/>
  <c r="Q117" i="3" s="1"/>
  <c r="N190" i="3"/>
  <c r="Q241" i="3" a="1"/>
  <c r="Q241" i="3" s="1"/>
  <c r="N62" i="3"/>
  <c r="Q37" i="3" a="1"/>
  <c r="Q37" i="3" s="1"/>
  <c r="P42" i="3" a="1"/>
  <c r="P42" i="3" s="1"/>
  <c r="P219" i="3" a="1"/>
  <c r="P219" i="3" s="1"/>
  <c r="P183" i="3" a="1"/>
  <c r="P183" i="3" s="1"/>
  <c r="O180" i="3"/>
  <c r="N135" i="3"/>
  <c r="O227" i="3"/>
  <c r="O76" i="3"/>
  <c r="N187" i="3"/>
  <c r="P133" i="3" a="1"/>
  <c r="P133" i="3" s="1"/>
  <c r="O235" i="3"/>
  <c r="Q85" i="3" a="1"/>
  <c r="Q85" i="3" s="1"/>
  <c r="N260" i="3"/>
  <c r="O83" i="3"/>
  <c r="P144" i="3" a="1"/>
  <c r="P144" i="3" s="1"/>
  <c r="P38" i="3" a="1"/>
  <c r="P38" i="3" s="1"/>
  <c r="P202" i="3" a="1"/>
  <c r="P202" i="3" s="1"/>
  <c r="O173" i="3"/>
  <c r="O69" i="3"/>
  <c r="Q97" i="3" a="1"/>
  <c r="Q97" i="3" s="1"/>
  <c r="Q13" i="3" a="1"/>
  <c r="Q13" i="3" s="1"/>
  <c r="O218" i="3"/>
  <c r="P237" i="3" a="1"/>
  <c r="P237" i="3" s="1"/>
  <c r="P12" i="3" a="1"/>
  <c r="P12" i="3" s="1"/>
  <c r="O240" i="3"/>
  <c r="O118" i="3"/>
  <c r="P170" i="3" a="1"/>
  <c r="P170" i="3" s="1"/>
  <c r="P68" i="3" a="1"/>
  <c r="P68" i="3" s="1"/>
  <c r="Q128" i="3" a="1"/>
  <c r="Q128" i="3" s="1"/>
  <c r="O45" i="3"/>
  <c r="O127" i="3"/>
  <c r="Q201" i="3" a="1"/>
  <c r="Q201" i="3" s="1"/>
  <c r="N200" i="3"/>
  <c r="Q227" i="3" a="1"/>
  <c r="Q227" i="3" s="1"/>
  <c r="N28" i="3"/>
  <c r="Q38" i="3" a="1"/>
  <c r="Q38" i="3" s="1"/>
  <c r="N44" i="3"/>
  <c r="P223" i="3" a="1"/>
  <c r="P223" i="3" s="1"/>
  <c r="O185" i="3"/>
  <c r="N81" i="3"/>
  <c r="N123" i="3"/>
  <c r="N34" i="3"/>
  <c r="P203" i="3" a="1"/>
  <c r="P203" i="3" s="1"/>
  <c r="P238" i="3" a="1"/>
  <c r="P238" i="3" s="1"/>
  <c r="Q242" i="3" a="1"/>
  <c r="Q242" i="3" s="1"/>
  <c r="P40" i="3" a="1"/>
  <c r="P40" i="3" s="1"/>
  <c r="P67" i="3" a="1"/>
  <c r="P67" i="3" s="1"/>
  <c r="N132" i="3"/>
  <c r="P80" i="3" a="1"/>
  <c r="P80" i="3" s="1"/>
  <c r="N142" i="3"/>
  <c r="P187" i="3" a="1"/>
  <c r="P187" i="3" s="1"/>
  <c r="P84" i="3" a="1"/>
  <c r="P84" i="3" s="1"/>
  <c r="N79" i="3"/>
  <c r="Q240" i="3" a="1"/>
  <c r="Q240" i="3" s="1"/>
  <c r="Q50" i="3" a="1"/>
  <c r="Q50" i="3" s="1"/>
  <c r="O55" i="3"/>
  <c r="P147" i="3" a="1"/>
  <c r="P147" i="3" s="1"/>
  <c r="N197" i="3"/>
  <c r="Q98" i="3" a="1"/>
  <c r="Q98" i="3" s="1"/>
  <c r="O144" i="3"/>
  <c r="P191" i="3" a="1"/>
  <c r="P191" i="3" s="1"/>
  <c r="N160" i="3"/>
  <c r="O162" i="3"/>
  <c r="N249" i="3"/>
  <c r="N29" i="3"/>
  <c r="P41" i="3" a="1"/>
  <c r="P41" i="3" s="1"/>
  <c r="O149" i="3"/>
  <c r="O77" i="3"/>
  <c r="N89" i="3"/>
  <c r="Q202" i="3" a="1"/>
  <c r="Q202" i="3" s="1"/>
  <c r="N82" i="3"/>
  <c r="P167" i="3" a="1"/>
  <c r="P167" i="3" s="1"/>
  <c r="Q110" i="3" a="1"/>
  <c r="Q110" i="3" s="1"/>
  <c r="Q226" i="3" a="1"/>
  <c r="Q226" i="3" s="1"/>
  <c r="N254" i="3"/>
  <c r="Q244" i="3" a="1"/>
  <c r="Q244" i="3" s="1"/>
  <c r="P244" i="3" a="1"/>
  <c r="P244" i="3" s="1"/>
  <c r="P55" i="3" a="1"/>
  <c r="P55" i="3" s="1"/>
  <c r="P126" i="3" a="1"/>
  <c r="P126" i="3" s="1"/>
  <c r="P206" i="3" a="1"/>
  <c r="P206" i="3" s="1"/>
  <c r="P115" i="3" a="1"/>
  <c r="P115" i="3" s="1"/>
  <c r="Q199" i="3" a="1"/>
  <c r="Q199" i="3" s="1"/>
  <c r="O211" i="3"/>
  <c r="P112" i="3" a="1"/>
  <c r="P112" i="3" s="1"/>
  <c r="N194" i="3"/>
  <c r="O233" i="3"/>
  <c r="O230" i="3"/>
  <c r="O62" i="3"/>
  <c r="N41" i="3"/>
  <c r="O43" i="3"/>
  <c r="Q198" i="3" a="1"/>
  <c r="Q198" i="3" s="1"/>
  <c r="Q107" i="3" a="1"/>
  <c r="Q107" i="3" s="1"/>
  <c r="O95" i="3"/>
  <c r="N225" i="3"/>
  <c r="P85" i="3" a="1"/>
  <c r="P85" i="3" s="1"/>
  <c r="Q123" i="3" a="1"/>
  <c r="Q123" i="3" s="1"/>
  <c r="N247" i="3"/>
  <c r="N242" i="3"/>
  <c r="N51" i="3"/>
  <c r="P188" i="3" a="1"/>
  <c r="P188" i="3" s="1"/>
  <c r="P136" i="3" a="1"/>
  <c r="P136" i="3" s="1"/>
  <c r="N22" i="3"/>
  <c r="O224" i="3"/>
  <c r="Q29" i="3" a="1"/>
  <c r="Q29" i="3" s="1"/>
  <c r="P204" i="3" a="1"/>
  <c r="P204" i="3" s="1"/>
  <c r="P148" i="3" a="1"/>
  <c r="P148" i="3" s="1"/>
  <c r="N170" i="3"/>
  <c r="Q232" i="3" a="1"/>
  <c r="Q232" i="3" s="1"/>
  <c r="N134" i="3"/>
  <c r="N165" i="3"/>
  <c r="Q191" i="3" a="1"/>
  <c r="Q191" i="3" s="1"/>
  <c r="P228" i="3" a="1"/>
  <c r="P228" i="3" s="1"/>
  <c r="Q18" i="3" a="1"/>
  <c r="Q18" i="3" s="1"/>
  <c r="P134" i="3" a="1"/>
  <c r="P134" i="3" s="1"/>
  <c r="P8" i="3" a="1"/>
  <c r="P8" i="3" s="1"/>
  <c r="N127" i="3"/>
  <c r="Q187" i="3" a="1"/>
  <c r="Q187" i="3" s="1"/>
  <c r="N101" i="3"/>
  <c r="P251" i="3" a="1"/>
  <c r="P251" i="3" s="1"/>
  <c r="P139" i="3" a="1"/>
  <c r="P139" i="3" s="1"/>
  <c r="Q246" i="3" a="1"/>
  <c r="Q246" i="3" s="1"/>
  <c r="Q72" i="3" a="1"/>
  <c r="Q72" i="3" s="1"/>
  <c r="P5" i="3" a="1"/>
  <c r="P5" i="3" s="1"/>
  <c r="Q54" i="3" a="1"/>
  <c r="Q54" i="3" s="1"/>
  <c r="N128" i="3"/>
  <c r="P77" i="3" a="1"/>
  <c r="P77" i="3" s="1"/>
  <c r="Q132" i="3" a="1"/>
  <c r="Q132" i="3" s="1"/>
  <c r="O182" i="3"/>
  <c r="Q189" i="3" a="1"/>
  <c r="Q189" i="3" s="1"/>
  <c r="N162" i="3"/>
  <c r="Q229" i="3" a="1"/>
  <c r="Q229" i="3" s="1"/>
  <c r="O6" i="3"/>
  <c r="O124" i="3"/>
  <c r="Q192" i="3" a="1"/>
  <c r="Q192" i="3" s="1"/>
  <c r="N138" i="3"/>
  <c r="O189" i="3"/>
  <c r="N70" i="3"/>
  <c r="Q142" i="3" a="1"/>
  <c r="Q142" i="3" s="1"/>
  <c r="N141" i="3"/>
  <c r="O200" i="3"/>
  <c r="P17" i="3" a="1"/>
  <c r="P17" i="3" s="1"/>
  <c r="P90" i="3" a="1"/>
  <c r="P90" i="3" s="1"/>
  <c r="Q200" i="3" a="1"/>
  <c r="Q200" i="3" s="1"/>
  <c r="O100" i="3"/>
  <c r="Q151" i="3" a="1"/>
  <c r="Q151" i="3" s="1"/>
  <c r="O201" i="3"/>
  <c r="P93" i="3" a="1"/>
  <c r="P93" i="3" s="1"/>
  <c r="Q218" i="3" a="1"/>
  <c r="Q218" i="3" s="1"/>
  <c r="Q245" i="3" a="1"/>
  <c r="Q245" i="3" s="1"/>
  <c r="N15" i="3"/>
  <c r="P63" i="3" a="1"/>
  <c r="P63" i="3" s="1"/>
  <c r="P30" i="3" a="1"/>
  <c r="P30" i="3" s="1"/>
  <c r="P43" i="3" a="1"/>
  <c r="P43" i="3" s="1"/>
  <c r="Q122" i="3" a="1"/>
  <c r="Q122" i="3" s="1"/>
  <c r="Q126" i="3" a="1"/>
  <c r="Q126" i="3" s="1"/>
  <c r="O57" i="3"/>
  <c r="O123" i="3"/>
  <c r="P209" i="3" a="1"/>
  <c r="P209" i="3" s="1"/>
  <c r="P152" i="3" a="1"/>
  <c r="P152" i="3" s="1"/>
  <c r="P255" i="3" a="1"/>
  <c r="P255" i="3" s="1"/>
  <c r="Q235" i="3" a="1"/>
  <c r="Q235" i="3" s="1"/>
  <c r="P246" i="3" a="1"/>
  <c r="P246" i="3" s="1"/>
  <c r="P79" i="3" a="1"/>
  <c r="P79" i="3" s="1"/>
  <c r="Q120" i="3" a="1"/>
  <c r="Q120" i="3" s="1"/>
  <c r="N161" i="3"/>
  <c r="O89" i="3"/>
  <c r="Q161" i="3" a="1"/>
  <c r="Q161" i="3" s="1"/>
  <c r="O78" i="3"/>
  <c r="Q91" i="3" a="1"/>
  <c r="Q91" i="3" s="1"/>
  <c r="P154" i="3" a="1"/>
  <c r="P154" i="3" s="1"/>
  <c r="P231" i="3" a="1"/>
  <c r="P231" i="3" s="1"/>
  <c r="O256" i="3"/>
  <c r="O226" i="3"/>
  <c r="N16" i="3"/>
  <c r="P75" i="3" a="1"/>
  <c r="P75" i="3" s="1"/>
  <c r="Q76" i="3" a="1"/>
  <c r="Q76" i="3" s="1"/>
  <c r="Q217" i="3" a="1"/>
  <c r="Q217" i="3" s="1"/>
  <c r="N182" i="3"/>
  <c r="O152" i="3"/>
  <c r="O147" i="3"/>
  <c r="O187" i="3"/>
  <c r="Q150" i="3" a="1"/>
  <c r="Q150" i="3" s="1"/>
  <c r="Q25" i="3" a="1"/>
  <c r="Q25" i="3" s="1"/>
  <c r="O183" i="3"/>
  <c r="O102" i="3"/>
  <c r="P211" i="3" a="1"/>
  <c r="P211" i="3" s="1"/>
  <c r="O160" i="3"/>
  <c r="Q53" i="3" a="1"/>
  <c r="Q53" i="3" s="1"/>
  <c r="O179" i="3"/>
  <c r="P197" i="3" a="1"/>
  <c r="P197" i="3" s="1"/>
  <c r="O112" i="3"/>
  <c r="N143" i="3"/>
  <c r="N246" i="3"/>
  <c r="O111" i="3"/>
  <c r="N108" i="3"/>
  <c r="P150" i="3" a="1"/>
  <c r="P150" i="3" s="1"/>
  <c r="O164" i="3"/>
  <c r="O231" i="3"/>
  <c r="N233" i="3"/>
  <c r="P39" i="3" a="1"/>
  <c r="P39" i="3" s="1"/>
  <c r="O42" i="3"/>
  <c r="P120" i="3" a="1"/>
  <c r="P120" i="3" s="1"/>
  <c r="O56" i="3"/>
  <c r="O136" i="3"/>
  <c r="Q185" i="3" a="1"/>
  <c r="Q185" i="3" s="1"/>
  <c r="N58" i="3"/>
  <c r="P78" i="3" a="1"/>
  <c r="P78" i="3" s="1"/>
  <c r="P226" i="3" a="1"/>
  <c r="P226" i="3" s="1"/>
  <c r="O168" i="3"/>
  <c r="N43" i="3"/>
  <c r="N172" i="3"/>
  <c r="O68" i="3"/>
  <c r="N189" i="3"/>
  <c r="N45" i="3"/>
  <c r="P182" i="3" a="1"/>
  <c r="P182" i="3" s="1"/>
  <c r="P205" i="3" a="1"/>
  <c r="P205" i="3" s="1"/>
  <c r="Q205" i="3" a="1"/>
  <c r="Q205" i="3" s="1"/>
  <c r="N55" i="3"/>
  <c r="N183" i="3"/>
  <c r="P92" i="3" a="1"/>
  <c r="P92" i="3" s="1"/>
  <c r="P153" i="3" a="1"/>
  <c r="P153" i="3" s="1"/>
  <c r="O199" i="3"/>
  <c r="O93" i="3"/>
  <c r="N152" i="3"/>
  <c r="N175" i="3"/>
  <c r="P175" i="3" a="1"/>
  <c r="P175" i="3" s="1"/>
  <c r="P49" i="3" a="1"/>
  <c r="P49" i="3" s="1"/>
  <c r="P16" i="3" a="1"/>
  <c r="P16" i="3" s="1"/>
  <c r="P76" i="3" a="1"/>
  <c r="P76" i="3" s="1"/>
  <c r="Q116" i="3" a="1"/>
  <c r="Q116" i="3" s="1"/>
  <c r="N159" i="3"/>
  <c r="P87" i="3" a="1"/>
  <c r="P87" i="3" s="1"/>
  <c r="Q113" i="3" a="1"/>
  <c r="Q113" i="3" s="1"/>
  <c r="Q197" i="3" a="1"/>
  <c r="Q197" i="3" s="1"/>
  <c r="O129" i="3"/>
  <c r="Q95" i="3" a="1"/>
  <c r="Q95" i="3" s="1"/>
  <c r="Q249" i="3" a="1"/>
  <c r="Q249" i="3" s="1"/>
  <c r="Q256" i="3" a="1"/>
  <c r="Q256" i="3" s="1"/>
  <c r="Q213" i="3" a="1"/>
  <c r="Q213" i="3" s="1"/>
  <c r="Q114" i="3" a="1"/>
  <c r="Q114" i="3" s="1"/>
  <c r="N206" i="3"/>
  <c r="O206" i="3"/>
  <c r="Q204" i="3" a="1"/>
  <c r="Q204" i="3" s="1"/>
  <c r="N84" i="3"/>
  <c r="P125" i="3" a="1"/>
  <c r="P125" i="3" s="1"/>
  <c r="N131" i="3"/>
  <c r="N196" i="3"/>
  <c r="N229" i="3"/>
  <c r="N232" i="3"/>
  <c r="P248" i="3" a="1"/>
  <c r="P248" i="3" s="1"/>
  <c r="P50" i="3" a="1"/>
  <c r="P50" i="3" s="1"/>
  <c r="P28" i="3" a="1"/>
  <c r="P28" i="3" s="1"/>
  <c r="N126" i="3"/>
  <c r="P94" i="3" a="1"/>
  <c r="P94" i="3" s="1"/>
  <c r="Q212" i="3" a="1"/>
  <c r="Q212" i="3" s="1"/>
  <c r="N164" i="3"/>
  <c r="N130" i="3"/>
  <c r="P193" i="3" a="1"/>
  <c r="P193" i="3" s="1"/>
  <c r="O192" i="3"/>
  <c r="Q234" i="3" a="1"/>
  <c r="Q234" i="3" s="1"/>
  <c r="P69" i="3" a="1"/>
  <c r="P69" i="3" s="1"/>
  <c r="Q62" i="3" a="1"/>
  <c r="Q62" i="3" s="1"/>
  <c r="O153" i="3"/>
  <c r="O108" i="3"/>
  <c r="P131" i="3" a="1"/>
  <c r="P131" i="3" s="1"/>
  <c r="P241" i="3" a="1"/>
  <c r="P241" i="3" s="1"/>
  <c r="Q188" i="3" a="1"/>
  <c r="Q188" i="3" s="1"/>
  <c r="Q155" i="3" a="1"/>
  <c r="Q155" i="3" s="1"/>
  <c r="P129" i="3" a="1"/>
  <c r="P129" i="3" s="1"/>
  <c r="P245" i="3" a="1"/>
  <c r="P245" i="3" s="1"/>
  <c r="Q237" i="3" a="1"/>
  <c r="Q237" i="3" s="1"/>
  <c r="P162" i="3" a="1"/>
  <c r="P162" i="3" s="1"/>
  <c r="P56" i="3" a="1"/>
  <c r="P56" i="3" s="1"/>
  <c r="N9" i="3"/>
  <c r="N198" i="3"/>
  <c r="N92" i="3"/>
  <c r="O92" i="3"/>
  <c r="O134" i="3"/>
  <c r="P100" i="3" a="1"/>
  <c r="P100" i="3" s="1"/>
  <c r="O91" i="3"/>
  <c r="N95" i="3"/>
  <c r="O184" i="3"/>
  <c r="Q78" i="3" a="1"/>
  <c r="Q78" i="3" s="1"/>
  <c r="O215" i="3"/>
  <c r="O243" i="3"/>
  <c r="P177" i="3" a="1"/>
  <c r="P177" i="3" s="1"/>
  <c r="Q168" i="3" a="1"/>
  <c r="Q168" i="3" s="1"/>
  <c r="N136" i="3"/>
  <c r="N214" i="3"/>
  <c r="N216" i="3"/>
  <c r="N21" i="3"/>
  <c r="Q140" i="3" a="1"/>
  <c r="Q140" i="3" s="1"/>
  <c r="O158" i="3"/>
  <c r="N118" i="3"/>
  <c r="Q231" i="3" a="1"/>
  <c r="Q231" i="3" s="1"/>
  <c r="Q137" i="3" a="1"/>
  <c r="Q137" i="3" s="1"/>
  <c r="Q20" i="3" a="1"/>
  <c r="Q20" i="3" s="1"/>
  <c r="N38" i="3"/>
  <c r="N4" i="3"/>
  <c r="O52" i="3"/>
  <c r="N19" i="3"/>
  <c r="Q64" i="3" a="1"/>
  <c r="Q64" i="3" s="1"/>
  <c r="Q5" i="3" a="1"/>
  <c r="Q5" i="3" s="1"/>
  <c r="N212" i="3"/>
  <c r="P7" i="3" a="1"/>
  <c r="P7" i="3" s="1"/>
  <c r="N195" i="3"/>
  <c r="P174" i="3" a="1"/>
  <c r="P174" i="3" s="1"/>
  <c r="Q134" i="3" a="1"/>
  <c r="Q134" i="3" s="1"/>
  <c r="P142" i="3" a="1"/>
  <c r="P142" i="3" s="1"/>
  <c r="P121" i="3" a="1"/>
  <c r="P121" i="3" s="1"/>
  <c r="N99" i="3"/>
  <c r="Q93" i="3" a="1"/>
  <c r="Q93" i="3" s="1"/>
  <c r="O175" i="3"/>
  <c r="O245" i="3"/>
  <c r="O248" i="3"/>
  <c r="P215" i="3" a="1"/>
  <c r="P215" i="3" s="1"/>
  <c r="N177" i="3"/>
  <c r="N258" i="3"/>
  <c r="P253" i="3" a="1"/>
  <c r="P253" i="3" s="1"/>
  <c r="P217" i="3" a="1"/>
  <c r="P217" i="3" s="1"/>
  <c r="Q248" i="3" a="1"/>
  <c r="Q248" i="3" s="1"/>
  <c r="N96" i="3"/>
  <c r="N85" i="3"/>
  <c r="Q215" i="3" a="1"/>
  <c r="Q215" i="3" s="1"/>
  <c r="Q181" i="3" a="1"/>
  <c r="Q181" i="3" s="1"/>
  <c r="N69" i="3"/>
  <c r="N222" i="3"/>
  <c r="P189" i="3" a="1"/>
  <c r="P189" i="3" s="1"/>
  <c r="P176" i="3" a="1"/>
  <c r="P176" i="3" s="1"/>
  <c r="Q176" i="3" a="1"/>
  <c r="Q176" i="3" s="1"/>
  <c r="Q146" i="3" a="1"/>
  <c r="Q146" i="3" s="1"/>
  <c r="P156" i="3" a="1"/>
  <c r="P156" i="3" s="1"/>
  <c r="Q173" i="3" a="1"/>
  <c r="Q173" i="3" s="1"/>
  <c r="Q131" i="3" a="1"/>
  <c r="Q131" i="3" s="1"/>
  <c r="O253" i="3"/>
  <c r="Q250" i="3" a="1"/>
  <c r="Q250" i="3" s="1"/>
  <c r="O196" i="3"/>
  <c r="Q247" i="3" a="1"/>
  <c r="Q247" i="3" s="1"/>
  <c r="O259" i="3"/>
  <c r="N147" i="3"/>
  <c r="P194" i="3" a="1"/>
  <c r="P194" i="3" s="1"/>
  <c r="Q164" i="3" a="1"/>
  <c r="Q164" i="3" s="1"/>
  <c r="Q145" i="3" a="1"/>
  <c r="Q145" i="3" s="1"/>
  <c r="Q105" i="3" a="1"/>
  <c r="Q105" i="3" s="1"/>
  <c r="Q210" i="3" a="1"/>
  <c r="Q210" i="3" s="1"/>
  <c r="N191" i="3"/>
  <c r="P138" i="3" a="1"/>
  <c r="P138" i="3" s="1"/>
  <c r="P91" i="3" a="1"/>
  <c r="P91" i="3" s="1"/>
  <c r="O21" i="3"/>
  <c r="Q222" i="3" a="1"/>
  <c r="Q222" i="3" s="1"/>
  <c r="Q182" i="3" a="1"/>
  <c r="Q182" i="3" s="1"/>
  <c r="P135" i="3" a="1"/>
  <c r="P135" i="3" s="1"/>
  <c r="N256" i="3"/>
  <c r="Q224" i="3" a="1"/>
  <c r="Q224" i="3" s="1"/>
  <c r="O141" i="3"/>
  <c r="N235" i="3"/>
  <c r="P181" i="3" a="1"/>
  <c r="P181" i="3" s="1"/>
  <c r="Q179" i="3" a="1"/>
  <c r="Q179" i="3" s="1"/>
  <c r="N144" i="3"/>
  <c r="Q130" i="3" a="1"/>
  <c r="Q130" i="3" s="1"/>
  <c r="Q136" i="3" a="1"/>
  <c r="Q136" i="3" s="1"/>
  <c r="N10" i="3"/>
  <c r="N217" i="3"/>
  <c r="P249" i="3" a="1"/>
  <c r="P249" i="3" s="1"/>
  <c r="P198" i="3" a="1"/>
  <c r="P198" i="3" s="1"/>
  <c r="O177" i="3"/>
  <c r="Q88" i="3" a="1"/>
  <c r="Q88" i="3" s="1"/>
  <c r="N208" i="3"/>
  <c r="O202" i="3"/>
  <c r="P172" i="3" a="1"/>
  <c r="P172" i="3" s="1"/>
  <c r="N91" i="3"/>
  <c r="O117" i="3"/>
  <c r="Q195" i="3" a="1"/>
  <c r="Q195" i="3" s="1"/>
  <c r="Q214" i="3" a="1"/>
  <c r="Q214" i="3" s="1"/>
  <c r="Q65" i="3" a="1"/>
  <c r="Q65" i="3" s="1"/>
  <c r="P160" i="3" a="1"/>
  <c r="P160" i="3" s="1"/>
  <c r="N228" i="3"/>
  <c r="P239" i="3" a="1"/>
  <c r="P239" i="3" s="1"/>
  <c r="O255" i="3"/>
  <c r="O47" i="3"/>
  <c r="Q70" i="3" a="1"/>
  <c r="Q70" i="3" s="1"/>
  <c r="Q36" i="3" a="1"/>
  <c r="Q36" i="3" s="1"/>
  <c r="P4" i="3" a="1"/>
  <c r="P4" i="3" s="1"/>
  <c r="Q51" i="3" a="1"/>
  <c r="Q51" i="3" s="1"/>
  <c r="Q42" i="3" a="1"/>
  <c r="Q42" i="3" s="1"/>
  <c r="N111" i="3"/>
  <c r="P83" i="3" a="1"/>
  <c r="P83" i="3" s="1"/>
  <c r="Q96" i="3" a="1"/>
  <c r="Q96" i="3" s="1"/>
  <c r="P32" i="3" a="1"/>
  <c r="P32" i="3" s="1"/>
  <c r="N201" i="3"/>
  <c r="N169" i="3"/>
  <c r="Q174" i="3" a="1"/>
  <c r="Q174" i="3" s="1"/>
  <c r="N156" i="3"/>
  <c r="N133" i="3"/>
  <c r="O131" i="3"/>
  <c r="O217" i="3"/>
  <c r="O219" i="3"/>
  <c r="O234" i="3"/>
  <c r="Q252" i="3" a="1"/>
  <c r="Q252" i="3" s="1"/>
  <c r="O229" i="3"/>
  <c r="Q243" i="3" a="1"/>
  <c r="Q243" i="3" s="1"/>
  <c r="P232" i="3" a="1"/>
  <c r="P232" i="3" s="1"/>
  <c r="O122" i="3"/>
  <c r="P122" i="3" a="1"/>
  <c r="P122" i="3" s="1"/>
  <c r="P124" i="3" a="1"/>
  <c r="P124" i="3" s="1"/>
  <c r="O85" i="3"/>
  <c r="O212" i="3"/>
  <c r="N140" i="3"/>
  <c r="P89" i="3" a="1"/>
  <c r="P89" i="3" s="1"/>
  <c r="O220" i="3"/>
  <c r="N207" i="3"/>
  <c r="N213" i="3"/>
  <c r="P184" i="3" a="1"/>
  <c r="P184" i="3" s="1"/>
  <c r="N221" i="3"/>
  <c r="Q203" i="3" a="1"/>
  <c r="Q203" i="3" s="1"/>
  <c r="Q253" i="3" a="1"/>
  <c r="Q253" i="3" s="1"/>
  <c r="N241" i="3"/>
  <c r="O228" i="3"/>
  <c r="O247" i="3"/>
  <c r="Q209" i="3" a="1"/>
  <c r="Q209" i="3" s="1"/>
  <c r="P240" i="3" a="1"/>
  <c r="P240" i="3" s="1"/>
  <c r="P260" i="3" a="1"/>
  <c r="P260" i="3" s="1"/>
  <c r="Q258" i="3" a="1"/>
  <c r="Q258" i="3" s="1"/>
  <c r="P250" i="3" a="1"/>
  <c r="P250" i="3" s="1"/>
  <c r="N253" i="3"/>
  <c r="Q30" i="3" a="1"/>
  <c r="Q30" i="3" s="1"/>
  <c r="Q219" i="3" a="1"/>
  <c r="Q219" i="3" s="1"/>
  <c r="N174" i="3"/>
  <c r="P130" i="3" a="1"/>
  <c r="P130" i="3" s="1"/>
  <c r="Q83" i="3" a="1"/>
  <c r="Q83" i="3" s="1"/>
  <c r="O214" i="3"/>
  <c r="O165" i="3"/>
  <c r="O121" i="3"/>
  <c r="P104" i="3" a="1"/>
  <c r="P104" i="3" s="1"/>
  <c r="N88" i="3"/>
  <c r="O213" i="3"/>
  <c r="N166" i="3"/>
  <c r="P101" i="3" a="1"/>
  <c r="P101" i="3" s="1"/>
  <c r="O251" i="3"/>
  <c r="O254" i="3"/>
  <c r="O246" i="3"/>
  <c r="O178" i="3"/>
  <c r="N171" i="3"/>
  <c r="Q102" i="3" a="1"/>
  <c r="Q102" i="3" s="1"/>
  <c r="N116" i="3"/>
  <c r="O194" i="3"/>
  <c r="N250" i="3"/>
  <c r="P116" i="3" a="1"/>
  <c r="P116" i="3" s="1"/>
  <c r="O94" i="3"/>
  <c r="P31" i="3" a="1"/>
  <c r="P31" i="3" s="1"/>
  <c r="P208" i="3" a="1"/>
  <c r="P208" i="3" s="1"/>
  <c r="P157" i="3" a="1"/>
  <c r="P157" i="3" s="1"/>
  <c r="Q157" i="3" a="1"/>
  <c r="Q157" i="3" s="1"/>
  <c r="O9" i="3"/>
  <c r="P86" i="3" a="1"/>
  <c r="P86" i="3" s="1"/>
  <c r="N114" i="3"/>
  <c r="O198" i="3"/>
  <c r="O236" i="3"/>
  <c r="N149" i="3"/>
  <c r="O10" i="3"/>
  <c r="P59" i="3" a="1"/>
  <c r="P59" i="3" s="1"/>
  <c r="P25" i="3" a="1"/>
  <c r="P25" i="3" s="1"/>
  <c r="O63" i="3"/>
  <c r="N30" i="3"/>
  <c r="P6" i="3" a="1"/>
  <c r="P6" i="3" s="1"/>
  <c r="Q160" i="3" a="1"/>
  <c r="Q160" i="3" s="1"/>
  <c r="P145" i="3" a="1"/>
  <c r="P145" i="3" s="1"/>
  <c r="Q118" i="3" a="1"/>
  <c r="Q118" i="3" s="1"/>
  <c r="P132" i="3" a="1"/>
  <c r="P132" i="3" s="1"/>
  <c r="N102" i="3"/>
  <c r="P20" i="3" a="1"/>
  <c r="P20" i="3" s="1"/>
  <c r="N78" i="3"/>
  <c r="O209" i="3"/>
  <c r="Q193" i="3" a="1"/>
  <c r="Q193" i="3" s="1"/>
  <c r="P171" i="3" a="1"/>
  <c r="P171" i="3" s="1"/>
  <c r="Q207" i="3" a="1"/>
  <c r="Q207" i="3" s="1"/>
  <c r="N245" i="3"/>
  <c r="O258" i="3"/>
  <c r="O250" i="3"/>
  <c r="N179" i="3"/>
  <c r="O133" i="3"/>
  <c r="Q251" i="3" a="1"/>
  <c r="Q251" i="3" s="1"/>
  <c r="P235" i="3" a="1"/>
  <c r="P235" i="3" s="1"/>
  <c r="N257" i="3"/>
  <c r="O242" i="3"/>
  <c r="N151" i="3"/>
  <c r="N153" i="3"/>
  <c r="N113" i="3"/>
  <c r="O87" i="3"/>
  <c r="Q172" i="3" a="1"/>
  <c r="Q172" i="3" s="1"/>
  <c r="N119" i="3"/>
  <c r="O119" i="3"/>
  <c r="P74" i="3" a="1"/>
  <c r="P74" i="3" s="1"/>
  <c r="P82" i="3" a="1"/>
  <c r="P82" i="3" s="1"/>
  <c r="P97" i="3" a="1"/>
  <c r="P97" i="3" s="1"/>
  <c r="O101" i="3"/>
  <c r="P221" i="3" a="1"/>
  <c r="P221" i="3" s="1"/>
  <c r="N226" i="3"/>
  <c r="N259" i="3"/>
  <c r="O244" i="3"/>
  <c r="O139" i="3"/>
  <c r="N105" i="3"/>
  <c r="Q112" i="3" a="1"/>
  <c r="Q112" i="3" s="1"/>
  <c r="Q239" i="3" a="1"/>
  <c r="Q239" i="3" s="1"/>
  <c r="O145" i="3"/>
  <c r="O107" i="3"/>
  <c r="N87" i="3"/>
  <c r="O204" i="3"/>
  <c r="O157" i="3"/>
  <c r="O138" i="3"/>
  <c r="Q77" i="3" a="1"/>
  <c r="Q77" i="3" s="1"/>
  <c r="P199" i="3" a="1"/>
  <c r="P199" i="3" s="1"/>
  <c r="P146" i="3" a="1"/>
  <c r="P146" i="3" s="1"/>
  <c r="N129" i="3"/>
  <c r="Q119" i="3" a="1"/>
  <c r="Q119" i="3" s="1"/>
  <c r="Q84" i="3" a="1"/>
  <c r="Q84" i="3" s="1"/>
  <c r="N192" i="3"/>
  <c r="N243" i="3"/>
  <c r="Q238" i="3" a="1"/>
  <c r="Q238" i="3" s="1"/>
  <c r="Q255" i="3" a="1"/>
  <c r="Q255" i="3" s="1"/>
  <c r="O188" i="3"/>
  <c r="EX2" i="2"/>
  <c r="G2" i="2" s="1" a="1"/>
  <c r="O3" i="3"/>
  <c r="P3" i="3" a="1"/>
  <c r="P3" i="3" s="1"/>
  <c r="Q3" i="3" a="1"/>
  <c r="Q3" i="3" s="1"/>
  <c r="N3" i="3"/>
  <c r="E3" i="3" a="1"/>
  <c r="B4" i="2" l="1"/>
  <c r="C5" i="2"/>
  <c r="B8" i="2"/>
  <c r="C9" i="2"/>
  <c r="A9" i="2" s="1"/>
  <c r="B12" i="2"/>
  <c r="C13" i="2"/>
  <c r="B16" i="2"/>
  <c r="C17" i="2"/>
  <c r="B20" i="2"/>
  <c r="C21" i="2"/>
  <c r="B24" i="2"/>
  <c r="C25" i="2"/>
  <c r="B28" i="2"/>
  <c r="C29" i="2"/>
  <c r="B32" i="2"/>
  <c r="C33" i="2"/>
  <c r="A33" i="2" s="1"/>
  <c r="B36" i="2"/>
  <c r="C37" i="2"/>
  <c r="B40" i="2"/>
  <c r="C41" i="2"/>
  <c r="B44" i="2"/>
  <c r="C45" i="2"/>
  <c r="A45" i="2" s="1"/>
  <c r="B48" i="2"/>
  <c r="C49" i="2"/>
  <c r="A49" i="2" s="1"/>
  <c r="B52" i="2"/>
  <c r="C53" i="2"/>
  <c r="B56" i="2"/>
  <c r="C57" i="2"/>
  <c r="B60" i="2"/>
  <c r="C61" i="2"/>
  <c r="B64" i="2"/>
  <c r="C65" i="2"/>
  <c r="B68" i="2"/>
  <c r="C69" i="2"/>
  <c r="B72" i="2"/>
  <c r="C73" i="2"/>
  <c r="A73" i="2" s="1"/>
  <c r="B76" i="2"/>
  <c r="C77" i="2"/>
  <c r="B80" i="2"/>
  <c r="C81" i="2"/>
  <c r="B84" i="2"/>
  <c r="C85" i="2"/>
  <c r="B88" i="2"/>
  <c r="C89" i="2"/>
  <c r="B92" i="2"/>
  <c r="C93" i="2"/>
  <c r="B96" i="2"/>
  <c r="C97" i="2"/>
  <c r="B100" i="2"/>
  <c r="C101" i="2"/>
  <c r="A101" i="2" s="1"/>
  <c r="B104" i="2"/>
  <c r="C105" i="2"/>
  <c r="B108" i="2"/>
  <c r="C109" i="2"/>
  <c r="A109" i="2" s="1"/>
  <c r="B112" i="2"/>
  <c r="C113" i="2"/>
  <c r="A113" i="2" s="1"/>
  <c r="B3" i="2"/>
  <c r="C4" i="2"/>
  <c r="B7" i="2"/>
  <c r="C8" i="2"/>
  <c r="B11" i="2"/>
  <c r="C12" i="2"/>
  <c r="A12" i="2" s="1"/>
  <c r="B15" i="2"/>
  <c r="C16" i="2"/>
  <c r="A16" i="2" s="1"/>
  <c r="B19" i="2"/>
  <c r="C20" i="2"/>
  <c r="B23" i="2"/>
  <c r="C24" i="2"/>
  <c r="A24" i="2" s="1"/>
  <c r="B27" i="2"/>
  <c r="C28" i="2"/>
  <c r="B31" i="2"/>
  <c r="C32" i="2"/>
  <c r="B35" i="2"/>
  <c r="C36" i="2"/>
  <c r="B39" i="2"/>
  <c r="C40" i="2"/>
  <c r="B43" i="2"/>
  <c r="C44" i="2"/>
  <c r="A44" i="2" s="1"/>
  <c r="B47" i="2"/>
  <c r="C48" i="2"/>
  <c r="B51" i="2"/>
  <c r="C52" i="2"/>
  <c r="A52" i="2" s="1"/>
  <c r="B55" i="2"/>
  <c r="C56" i="2"/>
  <c r="B59" i="2"/>
  <c r="C60" i="2"/>
  <c r="A60" i="2" s="1"/>
  <c r="B63" i="2"/>
  <c r="C64" i="2"/>
  <c r="B67" i="2"/>
  <c r="C68" i="2"/>
  <c r="B71" i="2"/>
  <c r="C72" i="2"/>
  <c r="A72" i="2" s="1"/>
  <c r="B75" i="2"/>
  <c r="C76" i="2"/>
  <c r="A76" i="2" s="1"/>
  <c r="B79" i="2"/>
  <c r="C80" i="2"/>
  <c r="B83" i="2"/>
  <c r="C84" i="2"/>
  <c r="B87" i="2"/>
  <c r="C88" i="2"/>
  <c r="A88" i="2" s="1"/>
  <c r="B91" i="2"/>
  <c r="C92" i="2"/>
  <c r="B95" i="2"/>
  <c r="C96" i="2"/>
  <c r="B99" i="2"/>
  <c r="C100" i="2"/>
  <c r="A100" i="2" s="1"/>
  <c r="B103" i="2"/>
  <c r="C104" i="2"/>
  <c r="B107" i="2"/>
  <c r="C108" i="2"/>
  <c r="C3" i="2"/>
  <c r="A3" i="2" s="1"/>
  <c r="B6" i="2"/>
  <c r="C7" i="2"/>
  <c r="B10" i="2"/>
  <c r="C11" i="2"/>
  <c r="B14" i="2"/>
  <c r="C15" i="2"/>
  <c r="B18" i="2"/>
  <c r="C19" i="2"/>
  <c r="B22" i="2"/>
  <c r="C23" i="2"/>
  <c r="A23" i="2" s="1"/>
  <c r="B26" i="2"/>
  <c r="C27" i="2"/>
  <c r="A27" i="2" s="1"/>
  <c r="B30" i="2"/>
  <c r="C31" i="2"/>
  <c r="B34" i="2"/>
  <c r="C35" i="2"/>
  <c r="A35" i="2" s="1"/>
  <c r="B38" i="2"/>
  <c r="C39" i="2"/>
  <c r="B42" i="2"/>
  <c r="C43" i="2"/>
  <c r="B46" i="2"/>
  <c r="C47" i="2"/>
  <c r="B50" i="2"/>
  <c r="C51" i="2"/>
  <c r="B54" i="2"/>
  <c r="C55" i="2"/>
  <c r="B58" i="2"/>
  <c r="C59" i="2"/>
  <c r="B62" i="2"/>
  <c r="C63" i="2"/>
  <c r="B66" i="2"/>
  <c r="C67" i="2"/>
  <c r="B70" i="2"/>
  <c r="C71" i="2"/>
  <c r="B74" i="2"/>
  <c r="C75" i="2"/>
  <c r="B78" i="2"/>
  <c r="C79" i="2"/>
  <c r="B82" i="2"/>
  <c r="C83" i="2"/>
  <c r="B86" i="2"/>
  <c r="C87" i="2"/>
  <c r="A87" i="2" s="1"/>
  <c r="B90" i="2"/>
  <c r="C91" i="2"/>
  <c r="B94" i="2"/>
  <c r="C95" i="2"/>
  <c r="A95" i="2" s="1"/>
  <c r="B98" i="2"/>
  <c r="C99" i="2"/>
  <c r="B102" i="2"/>
  <c r="C103" i="2"/>
  <c r="B106" i="2"/>
  <c r="C107" i="2"/>
  <c r="B110" i="2"/>
  <c r="C111" i="2"/>
  <c r="A111" i="2" s="1"/>
  <c r="B114" i="2"/>
  <c r="C115" i="2"/>
  <c r="B9" i="2"/>
  <c r="C14" i="2"/>
  <c r="A14" i="2" s="1"/>
  <c r="B25" i="2"/>
  <c r="C30" i="2"/>
  <c r="B41" i="2"/>
  <c r="C46" i="2"/>
  <c r="A46" i="2" s="1"/>
  <c r="B57" i="2"/>
  <c r="C62" i="2"/>
  <c r="B73" i="2"/>
  <c r="C78" i="2"/>
  <c r="B89" i="2"/>
  <c r="C94" i="2"/>
  <c r="B105" i="2"/>
  <c r="C112" i="2"/>
  <c r="A112" i="2" s="1"/>
  <c r="B115" i="2"/>
  <c r="B118" i="2"/>
  <c r="C119" i="2"/>
  <c r="B122" i="2"/>
  <c r="C123" i="2"/>
  <c r="B126" i="2"/>
  <c r="C127" i="2"/>
  <c r="B130" i="2"/>
  <c r="C131" i="2"/>
  <c r="B134" i="2"/>
  <c r="C135" i="2"/>
  <c r="B138" i="2"/>
  <c r="C139" i="2"/>
  <c r="B142" i="2"/>
  <c r="C143" i="2"/>
  <c r="A143" i="2" s="1"/>
  <c r="B146" i="2"/>
  <c r="C147" i="2"/>
  <c r="B150" i="2"/>
  <c r="C151" i="2"/>
  <c r="A151" i="2" s="1"/>
  <c r="B154" i="2"/>
  <c r="C155" i="2"/>
  <c r="B158" i="2"/>
  <c r="C159" i="2"/>
  <c r="A159" i="2" s="1"/>
  <c r="B162" i="2"/>
  <c r="C163" i="2"/>
  <c r="B166" i="2"/>
  <c r="C167" i="2"/>
  <c r="B170" i="2"/>
  <c r="C171" i="2"/>
  <c r="B174" i="2"/>
  <c r="C175" i="2"/>
  <c r="A175" i="2" s="1"/>
  <c r="B178" i="2"/>
  <c r="C179" i="2"/>
  <c r="B182" i="2"/>
  <c r="C183" i="2"/>
  <c r="B186" i="2"/>
  <c r="C187" i="2"/>
  <c r="A187" i="2" s="1"/>
  <c r="B190" i="2"/>
  <c r="C191" i="2"/>
  <c r="B194" i="2"/>
  <c r="C195" i="2"/>
  <c r="B198" i="2"/>
  <c r="C199" i="2"/>
  <c r="B202" i="2"/>
  <c r="C203" i="2"/>
  <c r="B206" i="2"/>
  <c r="C207" i="2"/>
  <c r="B5" i="2"/>
  <c r="C10" i="2"/>
  <c r="A10" i="2" s="1"/>
  <c r="B21" i="2"/>
  <c r="C26" i="2"/>
  <c r="B37" i="2"/>
  <c r="C42" i="2"/>
  <c r="A42" i="2" s="1"/>
  <c r="B53" i="2"/>
  <c r="C58" i="2"/>
  <c r="B69" i="2"/>
  <c r="C74" i="2"/>
  <c r="B85" i="2"/>
  <c r="C90" i="2"/>
  <c r="A90" i="2" s="1"/>
  <c r="B101" i="2"/>
  <c r="C106" i="2"/>
  <c r="C110" i="2"/>
  <c r="B113" i="2"/>
  <c r="B117" i="2"/>
  <c r="C118" i="2"/>
  <c r="A118" i="2" s="1"/>
  <c r="B121" i="2"/>
  <c r="C122" i="2"/>
  <c r="B125" i="2"/>
  <c r="C126" i="2"/>
  <c r="B129" i="2"/>
  <c r="C130" i="2"/>
  <c r="B133" i="2"/>
  <c r="C134" i="2"/>
  <c r="B137" i="2"/>
  <c r="C138" i="2"/>
  <c r="B141" i="2"/>
  <c r="C142" i="2"/>
  <c r="B145" i="2"/>
  <c r="C146" i="2"/>
  <c r="A146" i="2" s="1"/>
  <c r="B149" i="2"/>
  <c r="C150" i="2"/>
  <c r="B153" i="2"/>
  <c r="C154" i="2"/>
  <c r="B157" i="2"/>
  <c r="C158" i="2"/>
  <c r="B161" i="2"/>
  <c r="C162" i="2"/>
  <c r="B165" i="2"/>
  <c r="C166" i="2"/>
  <c r="B169" i="2"/>
  <c r="C170" i="2"/>
  <c r="B173" i="2"/>
  <c r="C174" i="2"/>
  <c r="B177" i="2"/>
  <c r="C178" i="2"/>
  <c r="B181" i="2"/>
  <c r="C182" i="2"/>
  <c r="B185" i="2"/>
  <c r="C186" i="2"/>
  <c r="B189" i="2"/>
  <c r="C190" i="2"/>
  <c r="A190" i="2" s="1"/>
  <c r="B193" i="2"/>
  <c r="C194" i="2"/>
  <c r="A194" i="2" s="1"/>
  <c r="B197" i="2"/>
  <c r="C198" i="2"/>
  <c r="C6" i="2"/>
  <c r="B17" i="2"/>
  <c r="C22" i="2"/>
  <c r="B33" i="2"/>
  <c r="C38" i="2"/>
  <c r="B49" i="2"/>
  <c r="C54" i="2"/>
  <c r="B65" i="2"/>
  <c r="C70" i="2"/>
  <c r="A70" i="2" s="1"/>
  <c r="B81" i="2"/>
  <c r="C86" i="2"/>
  <c r="B97" i="2"/>
  <c r="C102" i="2"/>
  <c r="A102" i="2" s="1"/>
  <c r="B111" i="2"/>
  <c r="B116" i="2"/>
  <c r="C117" i="2"/>
  <c r="A117" i="2" s="1"/>
  <c r="B120" i="2"/>
  <c r="C121" i="2"/>
  <c r="B124" i="2"/>
  <c r="C125" i="2"/>
  <c r="B128" i="2"/>
  <c r="C129" i="2"/>
  <c r="B132" i="2"/>
  <c r="C133" i="2"/>
  <c r="B136" i="2"/>
  <c r="C137" i="2"/>
  <c r="B140" i="2"/>
  <c r="C141" i="2"/>
  <c r="B144" i="2"/>
  <c r="C145" i="2"/>
  <c r="B148" i="2"/>
  <c r="C149" i="2"/>
  <c r="B152" i="2"/>
  <c r="C153" i="2"/>
  <c r="A153" i="2" s="1"/>
  <c r="B156" i="2"/>
  <c r="C157" i="2"/>
  <c r="B160" i="2"/>
  <c r="C161" i="2"/>
  <c r="B164" i="2"/>
  <c r="C165" i="2"/>
  <c r="B168" i="2"/>
  <c r="C169" i="2"/>
  <c r="B172" i="2"/>
  <c r="C173" i="2"/>
  <c r="B176" i="2"/>
  <c r="C177" i="2"/>
  <c r="B180" i="2"/>
  <c r="C181" i="2"/>
  <c r="B184" i="2"/>
  <c r="C185" i="2"/>
  <c r="B188" i="2"/>
  <c r="C189" i="2"/>
  <c r="B29" i="2"/>
  <c r="C50" i="2"/>
  <c r="B93" i="2"/>
  <c r="B119" i="2"/>
  <c r="C124" i="2"/>
  <c r="A124" i="2" s="1"/>
  <c r="B135" i="2"/>
  <c r="C140" i="2"/>
  <c r="B151" i="2"/>
  <c r="C156" i="2"/>
  <c r="A156" i="2" s="1"/>
  <c r="B167" i="2"/>
  <c r="C172" i="2"/>
  <c r="B183" i="2"/>
  <c r="C188" i="2"/>
  <c r="A188" i="2" s="1"/>
  <c r="B192" i="2"/>
  <c r="C197" i="2"/>
  <c r="C201" i="2"/>
  <c r="B203" i="2"/>
  <c r="B205" i="2"/>
  <c r="C208" i="2"/>
  <c r="A208" i="2" s="1"/>
  <c r="B211" i="2"/>
  <c r="C212" i="2"/>
  <c r="A212" i="2" s="1"/>
  <c r="B215" i="2"/>
  <c r="C216" i="2"/>
  <c r="B219" i="2"/>
  <c r="C220" i="2"/>
  <c r="A220" i="2" s="1"/>
  <c r="B223" i="2"/>
  <c r="C224" i="2"/>
  <c r="B227" i="2"/>
  <c r="C228" i="2"/>
  <c r="B231" i="2"/>
  <c r="C232" i="2"/>
  <c r="B235" i="2"/>
  <c r="C236" i="2"/>
  <c r="B239" i="2"/>
  <c r="C240" i="2"/>
  <c r="B243" i="2"/>
  <c r="C244" i="2"/>
  <c r="A244" i="2" s="1"/>
  <c r="B247" i="2"/>
  <c r="C248" i="2"/>
  <c r="B251" i="2"/>
  <c r="C252" i="2"/>
  <c r="A252" i="2" s="1"/>
  <c r="B255" i="2"/>
  <c r="C256" i="2"/>
  <c r="B259" i="2"/>
  <c r="C260" i="2"/>
  <c r="B263" i="2"/>
  <c r="C264" i="2"/>
  <c r="A264" i="2" s="1"/>
  <c r="B267" i="2"/>
  <c r="C268" i="2"/>
  <c r="A268" i="2" s="1"/>
  <c r="B271" i="2"/>
  <c r="C272" i="2"/>
  <c r="B275" i="2"/>
  <c r="C276" i="2"/>
  <c r="A276" i="2" s="1"/>
  <c r="B279" i="2"/>
  <c r="C280" i="2"/>
  <c r="B283" i="2"/>
  <c r="C284" i="2"/>
  <c r="B13" i="2"/>
  <c r="C34" i="2"/>
  <c r="B77" i="2"/>
  <c r="C98" i="2"/>
  <c r="C114" i="2"/>
  <c r="C120" i="2"/>
  <c r="B131" i="2"/>
  <c r="C136" i="2"/>
  <c r="B147" i="2"/>
  <c r="C152" i="2"/>
  <c r="A152" i="2" s="1"/>
  <c r="B163" i="2"/>
  <c r="C168" i="2"/>
  <c r="B179" i="2"/>
  <c r="C184" i="2"/>
  <c r="C192" i="2"/>
  <c r="B195" i="2"/>
  <c r="B200" i="2"/>
  <c r="C205" i="2"/>
  <c r="B207" i="2"/>
  <c r="B210" i="2"/>
  <c r="C211" i="2"/>
  <c r="B214" i="2"/>
  <c r="C215" i="2"/>
  <c r="B218" i="2"/>
  <c r="C219" i="2"/>
  <c r="A219" i="2" s="1"/>
  <c r="B222" i="2"/>
  <c r="C223" i="2"/>
  <c r="B226" i="2"/>
  <c r="C227" i="2"/>
  <c r="A227" i="2" s="1"/>
  <c r="B230" i="2"/>
  <c r="C231" i="2"/>
  <c r="B234" i="2"/>
  <c r="C235" i="2"/>
  <c r="A235" i="2" s="1"/>
  <c r="B238" i="2"/>
  <c r="C239" i="2"/>
  <c r="A239" i="2" s="1"/>
  <c r="B242" i="2"/>
  <c r="C243" i="2"/>
  <c r="B246" i="2"/>
  <c r="C247" i="2"/>
  <c r="B250" i="2"/>
  <c r="C251" i="2"/>
  <c r="B254" i="2"/>
  <c r="C255" i="2"/>
  <c r="B258" i="2"/>
  <c r="C259" i="2"/>
  <c r="A259" i="2" s="1"/>
  <c r="B262" i="2"/>
  <c r="C263" i="2"/>
  <c r="B266" i="2"/>
  <c r="C267" i="2"/>
  <c r="B270" i="2"/>
  <c r="C271" i="2"/>
  <c r="B274" i="2"/>
  <c r="C18" i="2"/>
  <c r="B61" i="2"/>
  <c r="C82" i="2"/>
  <c r="C116" i="2"/>
  <c r="B127" i="2"/>
  <c r="C132" i="2"/>
  <c r="B143" i="2"/>
  <c r="C148" i="2"/>
  <c r="B159" i="2"/>
  <c r="C164" i="2"/>
  <c r="B175" i="2"/>
  <c r="C180" i="2"/>
  <c r="C193" i="2"/>
  <c r="B196" i="2"/>
  <c r="C200" i="2"/>
  <c r="C202" i="2"/>
  <c r="A202" i="2" s="1"/>
  <c r="B204" i="2"/>
  <c r="B209" i="2"/>
  <c r="C210" i="2"/>
  <c r="B213" i="2"/>
  <c r="C214" i="2"/>
  <c r="B217" i="2"/>
  <c r="C218" i="2"/>
  <c r="A218" i="2" s="1"/>
  <c r="B221" i="2"/>
  <c r="C222" i="2"/>
  <c r="B225" i="2"/>
  <c r="C226" i="2"/>
  <c r="A226" i="2" s="1"/>
  <c r="B229" i="2"/>
  <c r="C230" i="2"/>
  <c r="B233" i="2"/>
  <c r="C234" i="2"/>
  <c r="B237" i="2"/>
  <c r="C238" i="2"/>
  <c r="B241" i="2"/>
  <c r="C242" i="2"/>
  <c r="B245" i="2"/>
  <c r="C246" i="2"/>
  <c r="B249" i="2"/>
  <c r="C250" i="2"/>
  <c r="B253" i="2"/>
  <c r="C254" i="2"/>
  <c r="B257" i="2"/>
  <c r="C258" i="2"/>
  <c r="A258" i="2" s="1"/>
  <c r="B261" i="2"/>
  <c r="C262" i="2"/>
  <c r="A262" i="2" s="1"/>
  <c r="B265" i="2"/>
  <c r="C266" i="2"/>
  <c r="B269" i="2"/>
  <c r="C270" i="2"/>
  <c r="B273" i="2"/>
  <c r="C274" i="2"/>
  <c r="B277" i="2"/>
  <c r="C278" i="2"/>
  <c r="B281" i="2"/>
  <c r="C282" i="2"/>
  <c r="B109" i="2"/>
  <c r="B155" i="2"/>
  <c r="C176" i="2"/>
  <c r="C209" i="2"/>
  <c r="B220" i="2"/>
  <c r="C225" i="2"/>
  <c r="A225" i="2" s="1"/>
  <c r="B236" i="2"/>
  <c r="C241" i="2"/>
  <c r="A241" i="2" s="1"/>
  <c r="B252" i="2"/>
  <c r="C257" i="2"/>
  <c r="B268" i="2"/>
  <c r="C273" i="2"/>
  <c r="C279" i="2"/>
  <c r="B282" i="2"/>
  <c r="B286" i="2"/>
  <c r="C287" i="2"/>
  <c r="B290" i="2"/>
  <c r="C291" i="2"/>
  <c r="B294" i="2"/>
  <c r="C295" i="2"/>
  <c r="A295" i="2" s="1"/>
  <c r="B298" i="2"/>
  <c r="C299" i="2"/>
  <c r="A299" i="2" s="1"/>
  <c r="B302" i="2"/>
  <c r="C303" i="2"/>
  <c r="B306" i="2"/>
  <c r="C307" i="2"/>
  <c r="B310" i="2"/>
  <c r="C311" i="2"/>
  <c r="B314" i="2"/>
  <c r="C315" i="2"/>
  <c r="A315" i="2" s="1"/>
  <c r="B318" i="2"/>
  <c r="C319" i="2"/>
  <c r="A319" i="2" s="1"/>
  <c r="B322" i="2"/>
  <c r="C323" i="2"/>
  <c r="B326" i="2"/>
  <c r="C327" i="2"/>
  <c r="B330" i="2"/>
  <c r="C331" i="2"/>
  <c r="B334" i="2"/>
  <c r="C335" i="2"/>
  <c r="A335" i="2" s="1"/>
  <c r="B338" i="2"/>
  <c r="C339" i="2"/>
  <c r="B342" i="2"/>
  <c r="C343" i="2"/>
  <c r="B346" i="2"/>
  <c r="C347" i="2"/>
  <c r="B350" i="2"/>
  <c r="C351" i="2"/>
  <c r="B354" i="2"/>
  <c r="C355" i="2"/>
  <c r="B358" i="2"/>
  <c r="C359" i="2"/>
  <c r="A359" i="2" s="1"/>
  <c r="B362" i="2"/>
  <c r="C363" i="2"/>
  <c r="B366" i="2"/>
  <c r="C367" i="2"/>
  <c r="B370" i="2"/>
  <c r="C371" i="2"/>
  <c r="B374" i="2"/>
  <c r="C375" i="2"/>
  <c r="B378" i="2"/>
  <c r="C379" i="2"/>
  <c r="A379" i="2" s="1"/>
  <c r="B382" i="2"/>
  <c r="C383" i="2"/>
  <c r="B386" i="2"/>
  <c r="C387" i="2"/>
  <c r="A387" i="2" s="1"/>
  <c r="B390" i="2"/>
  <c r="C391" i="2"/>
  <c r="B394" i="2"/>
  <c r="C395" i="2"/>
  <c r="A395" i="2" s="1"/>
  <c r="B398" i="2"/>
  <c r="C399" i="2"/>
  <c r="B402" i="2"/>
  <c r="C403" i="2"/>
  <c r="B406" i="2"/>
  <c r="C407" i="2"/>
  <c r="B410" i="2"/>
  <c r="C411" i="2"/>
  <c r="B414" i="2"/>
  <c r="C415" i="2"/>
  <c r="B418" i="2"/>
  <c r="C419" i="2"/>
  <c r="B422" i="2"/>
  <c r="C423" i="2"/>
  <c r="B426" i="2"/>
  <c r="C427" i="2"/>
  <c r="B430" i="2"/>
  <c r="C431" i="2"/>
  <c r="B434" i="2"/>
  <c r="C435" i="2"/>
  <c r="B438" i="2"/>
  <c r="C439" i="2"/>
  <c r="B442" i="2"/>
  <c r="C443" i="2"/>
  <c r="B446" i="2"/>
  <c r="C447" i="2"/>
  <c r="B450" i="2"/>
  <c r="C451" i="2"/>
  <c r="B454" i="2"/>
  <c r="C455" i="2"/>
  <c r="B458" i="2"/>
  <c r="C459" i="2"/>
  <c r="B45" i="2"/>
  <c r="B139" i="2"/>
  <c r="C160" i="2"/>
  <c r="C196" i="2"/>
  <c r="C204" i="2"/>
  <c r="B216" i="2"/>
  <c r="C221" i="2"/>
  <c r="B232" i="2"/>
  <c r="C237" i="2"/>
  <c r="B248" i="2"/>
  <c r="C253" i="2"/>
  <c r="B264" i="2"/>
  <c r="C269" i="2"/>
  <c r="C277" i="2"/>
  <c r="B280" i="2"/>
  <c r="B285" i="2"/>
  <c r="C286" i="2"/>
  <c r="B289" i="2"/>
  <c r="C290" i="2"/>
  <c r="A290" i="2" s="1"/>
  <c r="B293" i="2"/>
  <c r="C294" i="2"/>
  <c r="A294" i="2" s="1"/>
  <c r="B297" i="2"/>
  <c r="C298" i="2"/>
  <c r="B301" i="2"/>
  <c r="C302" i="2"/>
  <c r="A302" i="2" s="1"/>
  <c r="B305" i="2"/>
  <c r="C306" i="2"/>
  <c r="A306" i="2" s="1"/>
  <c r="B309" i="2"/>
  <c r="C310" i="2"/>
  <c r="B313" i="2"/>
  <c r="C314" i="2"/>
  <c r="A314" i="2" s="1"/>
  <c r="B317" i="2"/>
  <c r="C318" i="2"/>
  <c r="B321" i="2"/>
  <c r="C322" i="2"/>
  <c r="A322" i="2" s="1"/>
  <c r="B325" i="2"/>
  <c r="C326" i="2"/>
  <c r="A326" i="2" s="1"/>
  <c r="B329" i="2"/>
  <c r="C330" i="2"/>
  <c r="B333" i="2"/>
  <c r="C334" i="2"/>
  <c r="B337" i="2"/>
  <c r="C338" i="2"/>
  <c r="B341" i="2"/>
  <c r="C342" i="2"/>
  <c r="B345" i="2"/>
  <c r="C346" i="2"/>
  <c r="B349" i="2"/>
  <c r="C350" i="2"/>
  <c r="B353" i="2"/>
  <c r="C354" i="2"/>
  <c r="B357" i="2"/>
  <c r="C358" i="2"/>
  <c r="B361" i="2"/>
  <c r="C362" i="2"/>
  <c r="B365" i="2"/>
  <c r="C366" i="2"/>
  <c r="B369" i="2"/>
  <c r="C370" i="2"/>
  <c r="A370" i="2" s="1"/>
  <c r="B373" i="2"/>
  <c r="C374" i="2"/>
  <c r="B377" i="2"/>
  <c r="C378" i="2"/>
  <c r="B381" i="2"/>
  <c r="C382" i="2"/>
  <c r="A382" i="2" s="1"/>
  <c r="B385" i="2"/>
  <c r="C386" i="2"/>
  <c r="B389" i="2"/>
  <c r="C390" i="2"/>
  <c r="B393" i="2"/>
  <c r="C394" i="2"/>
  <c r="B397" i="2"/>
  <c r="C398" i="2"/>
  <c r="B401" i="2"/>
  <c r="C402" i="2"/>
  <c r="B405" i="2"/>
  <c r="C406" i="2"/>
  <c r="B409" i="2"/>
  <c r="C410" i="2"/>
  <c r="B413" i="2"/>
  <c r="C414" i="2"/>
  <c r="B417" i="2"/>
  <c r="C418" i="2"/>
  <c r="B421" i="2"/>
  <c r="C422" i="2"/>
  <c r="B425" i="2"/>
  <c r="C426" i="2"/>
  <c r="B429" i="2"/>
  <c r="C430" i="2"/>
  <c r="B433" i="2"/>
  <c r="C434" i="2"/>
  <c r="B437" i="2"/>
  <c r="C438" i="2"/>
  <c r="B441" i="2"/>
  <c r="C442" i="2"/>
  <c r="B445" i="2"/>
  <c r="C446" i="2"/>
  <c r="B449" i="2"/>
  <c r="C450" i="2"/>
  <c r="A450" i="2" s="1"/>
  <c r="B453" i="2"/>
  <c r="C454" i="2"/>
  <c r="B457" i="2"/>
  <c r="C458" i="2"/>
  <c r="A458" i="2" s="1"/>
  <c r="B461" i="2"/>
  <c r="C462" i="2"/>
  <c r="B465" i="2"/>
  <c r="C466" i="2"/>
  <c r="A466" i="2" s="1"/>
  <c r="B469" i="2"/>
  <c r="C470" i="2"/>
  <c r="B473" i="2"/>
  <c r="C474" i="2"/>
  <c r="B477" i="2"/>
  <c r="C478" i="2"/>
  <c r="C66" i="2"/>
  <c r="A66" i="2" s="1"/>
  <c r="B123" i="2"/>
  <c r="C144" i="2"/>
  <c r="B187" i="2"/>
  <c r="B199" i="2"/>
  <c r="C206" i="2"/>
  <c r="B212" i="2"/>
  <c r="C217" i="2"/>
  <c r="B228" i="2"/>
  <c r="C233" i="2"/>
  <c r="B244" i="2"/>
  <c r="C249" i="2"/>
  <c r="B260" i="2"/>
  <c r="C265" i="2"/>
  <c r="C275" i="2"/>
  <c r="B278" i="2"/>
  <c r="C283" i="2"/>
  <c r="C285" i="2"/>
  <c r="B288" i="2"/>
  <c r="C289" i="2"/>
  <c r="A289" i="2" s="1"/>
  <c r="B292" i="2"/>
  <c r="C293" i="2"/>
  <c r="B296" i="2"/>
  <c r="C297" i="2"/>
  <c r="B300" i="2"/>
  <c r="C301" i="2"/>
  <c r="B304" i="2"/>
  <c r="C305" i="2"/>
  <c r="A305" i="2" s="1"/>
  <c r="B308" i="2"/>
  <c r="C309" i="2"/>
  <c r="B312" i="2"/>
  <c r="C313" i="2"/>
  <c r="B316" i="2"/>
  <c r="C317" i="2"/>
  <c r="B320" i="2"/>
  <c r="C321" i="2"/>
  <c r="B324" i="2"/>
  <c r="C325" i="2"/>
  <c r="B328" i="2"/>
  <c r="C329" i="2"/>
  <c r="B332" i="2"/>
  <c r="C333" i="2"/>
  <c r="B336" i="2"/>
  <c r="C337" i="2"/>
  <c r="B340" i="2"/>
  <c r="C341" i="2"/>
  <c r="A341" i="2" s="1"/>
  <c r="B344" i="2"/>
  <c r="C345" i="2"/>
  <c r="A345" i="2" s="1"/>
  <c r="B348" i="2"/>
  <c r="C349" i="2"/>
  <c r="B352" i="2"/>
  <c r="C353" i="2"/>
  <c r="B356" i="2"/>
  <c r="C357" i="2"/>
  <c r="B360" i="2"/>
  <c r="C361" i="2"/>
  <c r="B364" i="2"/>
  <c r="C365" i="2"/>
  <c r="B368" i="2"/>
  <c r="C369" i="2"/>
  <c r="B372" i="2"/>
  <c r="C373" i="2"/>
  <c r="B376" i="2"/>
  <c r="C377" i="2"/>
  <c r="B380" i="2"/>
  <c r="C381" i="2"/>
  <c r="B384" i="2"/>
  <c r="C385" i="2"/>
  <c r="B191" i="2"/>
  <c r="B240" i="2"/>
  <c r="C261" i="2"/>
  <c r="B287" i="2"/>
  <c r="C292" i="2"/>
  <c r="A292" i="2" s="1"/>
  <c r="B303" i="2"/>
  <c r="C308" i="2"/>
  <c r="A308" i="2" s="1"/>
  <c r="B319" i="2"/>
  <c r="C324" i="2"/>
  <c r="A324" i="2" s="1"/>
  <c r="B335" i="2"/>
  <c r="C340" i="2"/>
  <c r="A340" i="2" s="1"/>
  <c r="B351" i="2"/>
  <c r="C356" i="2"/>
  <c r="A356" i="2" s="1"/>
  <c r="B367" i="2"/>
  <c r="C372" i="2"/>
  <c r="B383" i="2"/>
  <c r="B387" i="2"/>
  <c r="C392" i="2"/>
  <c r="B395" i="2"/>
  <c r="C400" i="2"/>
  <c r="B403" i="2"/>
  <c r="C408" i="2"/>
  <c r="B411" i="2"/>
  <c r="C416" i="2"/>
  <c r="B419" i="2"/>
  <c r="C424" i="2"/>
  <c r="A424" i="2" s="1"/>
  <c r="B427" i="2"/>
  <c r="C432" i="2"/>
  <c r="B435" i="2"/>
  <c r="C440" i="2"/>
  <c r="B443" i="2"/>
  <c r="C448" i="2"/>
  <c r="B451" i="2"/>
  <c r="C456" i="2"/>
  <c r="B459" i="2"/>
  <c r="C461" i="2"/>
  <c r="A461" i="2" s="1"/>
  <c r="B463" i="2"/>
  <c r="C468" i="2"/>
  <c r="B470" i="2"/>
  <c r="B472" i="2"/>
  <c r="C475" i="2"/>
  <c r="A475" i="2" s="1"/>
  <c r="C477" i="2"/>
  <c r="B479" i="2"/>
  <c r="B482" i="2"/>
  <c r="C483" i="2"/>
  <c r="B486" i="2"/>
  <c r="C487" i="2"/>
  <c r="B490" i="2"/>
  <c r="C491" i="2"/>
  <c r="B494" i="2"/>
  <c r="C495" i="2"/>
  <c r="B498" i="2"/>
  <c r="C499" i="2"/>
  <c r="B502" i="2"/>
  <c r="C503" i="2"/>
  <c r="B506" i="2"/>
  <c r="C507" i="2"/>
  <c r="B510" i="2"/>
  <c r="C511" i="2"/>
  <c r="A511" i="2" s="1"/>
  <c r="B514" i="2"/>
  <c r="C515" i="2"/>
  <c r="B518" i="2"/>
  <c r="C519" i="2"/>
  <c r="B522" i="2"/>
  <c r="C523" i="2"/>
  <c r="B526" i="2"/>
  <c r="C527" i="2"/>
  <c r="A527" i="2" s="1"/>
  <c r="B530" i="2"/>
  <c r="C531" i="2"/>
  <c r="A531" i="2" s="1"/>
  <c r="B534" i="2"/>
  <c r="C535" i="2"/>
  <c r="B538" i="2"/>
  <c r="C539" i="2"/>
  <c r="B542" i="2"/>
  <c r="B525" i="2"/>
  <c r="C526" i="2"/>
  <c r="B533" i="2"/>
  <c r="C534" i="2"/>
  <c r="B541" i="2"/>
  <c r="C542" i="2"/>
  <c r="A542" i="2" s="1"/>
  <c r="B276" i="2"/>
  <c r="C312" i="2"/>
  <c r="B355" i="2"/>
  <c r="B371" i="2"/>
  <c r="C376" i="2"/>
  <c r="B400" i="2"/>
  <c r="C405" i="2"/>
  <c r="B424" i="2"/>
  <c r="C429" i="2"/>
  <c r="B448" i="2"/>
  <c r="C453" i="2"/>
  <c r="A453" i="2" s="1"/>
  <c r="B466" i="2"/>
  <c r="C473" i="2"/>
  <c r="B483" i="2"/>
  <c r="B487" i="2"/>
  <c r="C488" i="2"/>
  <c r="B495" i="2"/>
  <c r="C496" i="2"/>
  <c r="A496" i="2" s="1"/>
  <c r="B503" i="2"/>
  <c r="C508" i="2"/>
  <c r="C516" i="2"/>
  <c r="C524" i="2"/>
  <c r="C532" i="2"/>
  <c r="C128" i="2"/>
  <c r="B201" i="2"/>
  <c r="B224" i="2"/>
  <c r="C245" i="2"/>
  <c r="C281" i="2"/>
  <c r="C288" i="2"/>
  <c r="B299" i="2"/>
  <c r="C304" i="2"/>
  <c r="B315" i="2"/>
  <c r="C320" i="2"/>
  <c r="B331" i="2"/>
  <c r="C336" i="2"/>
  <c r="B347" i="2"/>
  <c r="C352" i="2"/>
  <c r="B363" i="2"/>
  <c r="C368" i="2"/>
  <c r="B379" i="2"/>
  <c r="C384" i="2"/>
  <c r="B388" i="2"/>
  <c r="C393" i="2"/>
  <c r="B396" i="2"/>
  <c r="C401" i="2"/>
  <c r="B404" i="2"/>
  <c r="C409" i="2"/>
  <c r="B412" i="2"/>
  <c r="C417" i="2"/>
  <c r="B420" i="2"/>
  <c r="C425" i="2"/>
  <c r="B428" i="2"/>
  <c r="C433" i="2"/>
  <c r="A433" i="2" s="1"/>
  <c r="B436" i="2"/>
  <c r="C441" i="2"/>
  <c r="B444" i="2"/>
  <c r="C449" i="2"/>
  <c r="B452" i="2"/>
  <c r="C457" i="2"/>
  <c r="B460" i="2"/>
  <c r="C463" i="2"/>
  <c r="A463" i="2" s="1"/>
  <c r="C465" i="2"/>
  <c r="A465" i="2" s="1"/>
  <c r="B467" i="2"/>
  <c r="C472" i="2"/>
  <c r="B474" i="2"/>
  <c r="B476" i="2"/>
  <c r="C479" i="2"/>
  <c r="B481" i="2"/>
  <c r="C482" i="2"/>
  <c r="B485" i="2"/>
  <c r="C486" i="2"/>
  <c r="B489" i="2"/>
  <c r="C490" i="2"/>
  <c r="B493" i="2"/>
  <c r="C494" i="2"/>
  <c r="B497" i="2"/>
  <c r="C498" i="2"/>
  <c r="B501" i="2"/>
  <c r="C502" i="2"/>
  <c r="B505" i="2"/>
  <c r="C506" i="2"/>
  <c r="B509" i="2"/>
  <c r="C510" i="2"/>
  <c r="B513" i="2"/>
  <c r="C514" i="2"/>
  <c r="B517" i="2"/>
  <c r="C518" i="2"/>
  <c r="B521" i="2"/>
  <c r="C522" i="2"/>
  <c r="B529" i="2"/>
  <c r="C530" i="2"/>
  <c r="A530" i="2" s="1"/>
  <c r="B537" i="2"/>
  <c r="C538" i="2"/>
  <c r="B339" i="2"/>
  <c r="C344" i="2"/>
  <c r="A344" i="2" s="1"/>
  <c r="C389" i="2"/>
  <c r="B408" i="2"/>
  <c r="B416" i="2"/>
  <c r="C421" i="2"/>
  <c r="B440" i="2"/>
  <c r="C445" i="2"/>
  <c r="B468" i="2"/>
  <c r="C471" i="2"/>
  <c r="C480" i="2"/>
  <c r="C492" i="2"/>
  <c r="A492" i="2" s="1"/>
  <c r="C504" i="2"/>
  <c r="A504" i="2" s="1"/>
  <c r="B515" i="2"/>
  <c r="B519" i="2"/>
  <c r="B523" i="2"/>
  <c r="B527" i="2"/>
  <c r="B531" i="2"/>
  <c r="B535" i="2"/>
  <c r="C536" i="2"/>
  <c r="A536" i="2" s="1"/>
  <c r="B208" i="2"/>
  <c r="C229" i="2"/>
  <c r="B272" i="2"/>
  <c r="B284" i="2"/>
  <c r="B295" i="2"/>
  <c r="C300" i="2"/>
  <c r="B311" i="2"/>
  <c r="C316" i="2"/>
  <c r="B317" i="3" s="1" a="1"/>
  <c r="B317" i="3" s="1"/>
  <c r="B327" i="2"/>
  <c r="C332" i="2"/>
  <c r="B343" i="2"/>
  <c r="C348" i="2"/>
  <c r="A348" i="2" s="1"/>
  <c r="B359" i="2"/>
  <c r="C364" i="2"/>
  <c r="B375" i="2"/>
  <c r="C380" i="2"/>
  <c r="C388" i="2"/>
  <c r="B391" i="2"/>
  <c r="C396" i="2"/>
  <c r="A396" i="2" s="1"/>
  <c r="B399" i="2"/>
  <c r="C404" i="2"/>
  <c r="B407" i="2"/>
  <c r="C412" i="2"/>
  <c r="B415" i="2"/>
  <c r="C420" i="2"/>
  <c r="B423" i="2"/>
  <c r="C428" i="2"/>
  <c r="B431" i="2"/>
  <c r="C436" i="2"/>
  <c r="B439" i="2"/>
  <c r="C444" i="2"/>
  <c r="B447" i="2"/>
  <c r="C452" i="2"/>
  <c r="B455" i="2"/>
  <c r="C460" i="2"/>
  <c r="B462" i="2"/>
  <c r="B464" i="2"/>
  <c r="C467" i="2"/>
  <c r="C469" i="2"/>
  <c r="A469" i="2" s="1"/>
  <c r="B471" i="2"/>
  <c r="C476" i="2"/>
  <c r="B478" i="2"/>
  <c r="B480" i="2"/>
  <c r="C481" i="2"/>
  <c r="B484" i="2"/>
  <c r="C485" i="2"/>
  <c r="B488" i="2"/>
  <c r="C489" i="2"/>
  <c r="B492" i="2"/>
  <c r="C493" i="2"/>
  <c r="A493" i="2" s="1"/>
  <c r="B496" i="2"/>
  <c r="C497" i="2"/>
  <c r="B500" i="2"/>
  <c r="C501" i="2"/>
  <c r="B504" i="2"/>
  <c r="C505" i="2"/>
  <c r="B508" i="2"/>
  <c r="C509" i="2"/>
  <c r="B512" i="2"/>
  <c r="C513" i="2"/>
  <c r="B516" i="2"/>
  <c r="C517" i="2"/>
  <c r="B520" i="2"/>
  <c r="C521" i="2"/>
  <c r="A521" i="2" s="1"/>
  <c r="B524" i="2"/>
  <c r="C525" i="2"/>
  <c r="B528" i="2"/>
  <c r="C529" i="2"/>
  <c r="A529" i="2" s="1"/>
  <c r="B532" i="2"/>
  <c r="C533" i="2"/>
  <c r="B536" i="2"/>
  <c r="C537" i="2"/>
  <c r="B540" i="2"/>
  <c r="C541" i="2"/>
  <c r="A541" i="2" s="1"/>
  <c r="B171" i="2"/>
  <c r="C213" i="2"/>
  <c r="B256" i="2"/>
  <c r="B291" i="2"/>
  <c r="C296" i="2"/>
  <c r="B307" i="2"/>
  <c r="B323" i="2"/>
  <c r="C328" i="2"/>
  <c r="A328" i="2" s="1"/>
  <c r="C360" i="2"/>
  <c r="B392" i="2"/>
  <c r="C397" i="2"/>
  <c r="C413" i="2"/>
  <c r="B432" i="2"/>
  <c r="C437" i="2"/>
  <c r="B456" i="2"/>
  <c r="C464" i="2"/>
  <c r="A464" i="2" s="1"/>
  <c r="B475" i="2"/>
  <c r="C484" i="2"/>
  <c r="B491" i="2"/>
  <c r="B499" i="2"/>
  <c r="C500" i="2"/>
  <c r="B507" i="2"/>
  <c r="B511" i="2"/>
  <c r="C512" i="2"/>
  <c r="C520" i="2"/>
  <c r="C528" i="2"/>
  <c r="B539" i="2"/>
  <c r="C540" i="2"/>
  <c r="A540" i="2" s="1"/>
  <c r="F557" i="3"/>
  <c r="F593" i="3"/>
  <c r="F592" i="3"/>
  <c r="F569" i="3"/>
  <c r="F542" i="3"/>
  <c r="F580" i="3"/>
  <c r="F529" i="3"/>
  <c r="F540" i="3"/>
  <c r="F573" i="3"/>
  <c r="F532" i="3"/>
  <c r="F538" i="3"/>
  <c r="F541" i="3"/>
  <c r="F560" i="3"/>
  <c r="F599" i="3"/>
  <c r="F600" i="3"/>
  <c r="F528" i="3"/>
  <c r="F561" i="3"/>
  <c r="F544" i="3"/>
  <c r="F547" i="3"/>
  <c r="F566" i="3"/>
  <c r="F575" i="3"/>
  <c r="F594" i="3"/>
  <c r="F522" i="3"/>
  <c r="F555" i="3"/>
  <c r="F553" i="3"/>
  <c r="F584" i="3"/>
  <c r="F598" i="3"/>
  <c r="F588" i="3"/>
  <c r="F527" i="3"/>
  <c r="F549" i="3"/>
  <c r="F567" i="3"/>
  <c r="F550" i="3"/>
  <c r="F556" i="3"/>
  <c r="F559" i="3"/>
  <c r="F596" i="3"/>
  <c r="F574" i="3"/>
  <c r="F582" i="3"/>
  <c r="F521" i="3"/>
  <c r="F543" i="3"/>
  <c r="F525" i="3"/>
  <c r="F546" i="3"/>
  <c r="F548" i="3"/>
  <c r="F533" i="3"/>
  <c r="F565" i="3"/>
  <c r="F589" i="3"/>
  <c r="F595" i="3"/>
  <c r="F576" i="3"/>
  <c r="F526" i="3"/>
  <c r="F537" i="3"/>
  <c r="F581" i="3"/>
  <c r="F577" i="3"/>
  <c r="F539" i="3"/>
  <c r="F571" i="3"/>
  <c r="F519" i="3"/>
  <c r="F568" i="3"/>
  <c r="F570" i="3"/>
  <c r="F520" i="3"/>
  <c r="F531" i="3"/>
  <c r="F554" i="3"/>
  <c r="F587" i="3"/>
  <c r="F562" i="3"/>
  <c r="F597" i="3"/>
  <c r="F590" i="3"/>
  <c r="F523" i="3"/>
  <c r="F545" i="3"/>
  <c r="F564" i="3"/>
  <c r="F524" i="3"/>
  <c r="F535" i="3"/>
  <c r="F551" i="3"/>
  <c r="F572" i="3"/>
  <c r="F586" i="3"/>
  <c r="F536" i="3"/>
  <c r="F558" i="3"/>
  <c r="F591" i="3"/>
  <c r="F578" i="3"/>
  <c r="F583" i="3"/>
  <c r="F530" i="3"/>
  <c r="F552" i="3"/>
  <c r="F585" i="3"/>
  <c r="F563" i="3"/>
  <c r="F579" i="3"/>
  <c r="F534" i="3"/>
  <c r="B4" i="3" a="1"/>
  <c r="B4" i="3" s="1"/>
  <c r="B148" i="3" a="1"/>
  <c r="B148" i="3" s="1"/>
  <c r="B280" i="3" a="1"/>
  <c r="B280" i="3" s="1"/>
  <c r="B292" i="3" a="1"/>
  <c r="B292" i="3" s="1"/>
  <c r="B304" i="3" a="1"/>
  <c r="B304" i="3" s="1"/>
  <c r="B223" i="3" a="1"/>
  <c r="B223" i="3" s="1"/>
  <c r="B283" i="3" a="1"/>
  <c r="B283" i="3" s="1"/>
  <c r="B380" i="3" a="1"/>
  <c r="B380" i="3" s="1"/>
  <c r="B29" i="3" a="1"/>
  <c r="B29" i="3" s="1"/>
  <c r="B65" i="3" a="1"/>
  <c r="B65" i="3" s="1"/>
  <c r="B77" i="3" a="1"/>
  <c r="B77" i="3" s="1"/>
  <c r="B173" i="3" a="1"/>
  <c r="B173" i="3" s="1"/>
  <c r="B209" i="3" a="1"/>
  <c r="B209" i="3" s="1"/>
  <c r="B221" i="3" a="1"/>
  <c r="B221" i="3" s="1"/>
  <c r="B353" i="3" a="1"/>
  <c r="B353" i="3" s="1"/>
  <c r="B377" i="3" a="1"/>
  <c r="B377" i="3" s="1"/>
  <c r="B368" i="3" a="1"/>
  <c r="B368" i="3" s="1"/>
  <c r="B6" i="3" a="1"/>
  <c r="B6" i="3" s="1"/>
  <c r="B126" i="3" a="1"/>
  <c r="B126" i="3" s="1"/>
  <c r="B138" i="3" a="1"/>
  <c r="B138" i="3" s="1"/>
  <c r="B270" i="3" a="1"/>
  <c r="B270" i="3" s="1"/>
  <c r="B282" i="3" a="1"/>
  <c r="B282" i="3" s="1"/>
  <c r="B378" i="3" a="1"/>
  <c r="B378" i="3" s="1"/>
  <c r="B175" i="3" a="1"/>
  <c r="B175" i="3" s="1"/>
  <c r="B247" i="3" a="1"/>
  <c r="B247" i="3" s="1"/>
  <c r="B8" i="3" a="1"/>
  <c r="B8" i="3" s="1"/>
  <c r="B68" i="3" a="1"/>
  <c r="B68" i="3" s="1"/>
  <c r="B80" i="3" a="1"/>
  <c r="B80" i="3" s="1"/>
  <c r="B260" i="3" a="1"/>
  <c r="B260" i="3" s="1"/>
  <c r="B57" i="3" a="1"/>
  <c r="B57" i="3" s="1"/>
  <c r="B69" i="3" a="1"/>
  <c r="B69" i="3" s="1"/>
  <c r="B201" i="3" a="1"/>
  <c r="B201" i="3" s="1"/>
  <c r="B213" i="3" a="1"/>
  <c r="B213" i="3" s="1"/>
  <c r="B225" i="3" a="1"/>
  <c r="B225" i="3" s="1"/>
  <c r="B321" i="3" a="1"/>
  <c r="B321" i="3" s="1"/>
  <c r="B381" i="3" a="1"/>
  <c r="B381" i="3" s="1"/>
  <c r="B324" i="3" a="1"/>
  <c r="B324" i="3" s="1"/>
  <c r="B46" i="3" a="1"/>
  <c r="B46" i="3" s="1"/>
  <c r="B94" i="3" a="1"/>
  <c r="B94" i="3" s="1"/>
  <c r="B118" i="3" a="1"/>
  <c r="B118" i="3" s="1"/>
  <c r="B190" i="3" a="1"/>
  <c r="B190" i="3" s="1"/>
  <c r="B262" i="3" a="1"/>
  <c r="B262" i="3" s="1"/>
  <c r="B274" i="3" a="1"/>
  <c r="B274" i="3" s="1"/>
  <c r="B286" i="3" a="1"/>
  <c r="B286" i="3" s="1"/>
  <c r="B334" i="3" a="1"/>
  <c r="B334" i="3" s="1"/>
  <c r="B382" i="3" a="1"/>
  <c r="B382" i="3" s="1"/>
  <c r="B132" i="3" a="1"/>
  <c r="B132" i="3" s="1"/>
  <c r="B156" i="3" a="1"/>
  <c r="B156" i="3" s="1"/>
  <c r="B384" i="3" a="1"/>
  <c r="B384" i="3" s="1"/>
  <c r="B23" i="3" a="1"/>
  <c r="B23" i="3" s="1"/>
  <c r="B179" i="3" a="1"/>
  <c r="B179" i="3" s="1"/>
  <c r="B311" i="3" a="1"/>
  <c r="B311" i="3" s="1"/>
  <c r="B323" i="3" a="1"/>
  <c r="B323" i="3" s="1"/>
  <c r="B383" i="3" a="1"/>
  <c r="B383" i="3" s="1"/>
  <c r="B12" i="3" a="1"/>
  <c r="B12" i="3" s="1"/>
  <c r="B60" i="3" a="1"/>
  <c r="B60" i="3" s="1"/>
  <c r="B72" i="3" a="1"/>
  <c r="B72" i="3" s="1"/>
  <c r="B84" i="3" a="1"/>
  <c r="B84" i="3" s="1"/>
  <c r="B97" i="3" a="1"/>
  <c r="B97" i="3" s="1"/>
  <c r="B109" i="3" a="1"/>
  <c r="B109" i="3" s="1"/>
  <c r="B121" i="3" a="1"/>
  <c r="B121" i="3" s="1"/>
  <c r="B169" i="3" a="1"/>
  <c r="B169" i="3" s="1"/>
  <c r="B241" i="3" a="1"/>
  <c r="B241" i="3" s="1"/>
  <c r="B253" i="3" a="1"/>
  <c r="B253" i="3" s="1"/>
  <c r="B265" i="3" a="1"/>
  <c r="B265" i="3" s="1"/>
  <c r="B50" i="3" a="1"/>
  <c r="B50" i="3" s="1"/>
  <c r="B62" i="3" a="1"/>
  <c r="B62" i="3" s="1"/>
  <c r="B146" i="3" a="1"/>
  <c r="B146" i="3" s="1"/>
  <c r="B194" i="3" a="1"/>
  <c r="B194" i="3" s="1"/>
  <c r="B206" i="3" a="1"/>
  <c r="B206" i="3" s="1"/>
  <c r="B290" i="3" a="1"/>
  <c r="B290" i="3" s="1"/>
  <c r="B338" i="3" a="1"/>
  <c r="B338" i="3" s="1"/>
  <c r="B350" i="3" a="1"/>
  <c r="B350" i="3" s="1"/>
  <c r="B386" i="3" a="1"/>
  <c r="B386" i="3" s="1"/>
  <c r="B199" i="3" a="1"/>
  <c r="B199" i="3" s="1"/>
  <c r="B295" i="3" a="1"/>
  <c r="B295" i="3" s="1"/>
  <c r="B212" i="3" a="1"/>
  <c r="B212" i="3" s="1"/>
  <c r="B284" i="3" a="1"/>
  <c r="B284" i="3" s="1"/>
  <c r="B51" i="3" a="1"/>
  <c r="B51" i="3" s="1"/>
  <c r="B123" i="3" a="1"/>
  <c r="B123" i="3" s="1"/>
  <c r="B255" i="3" a="1"/>
  <c r="B255" i="3" s="1"/>
  <c r="B387" i="3" a="1"/>
  <c r="B387" i="3" s="1"/>
  <c r="B7" i="3" a="1"/>
  <c r="B7" i="3" s="1"/>
  <c r="B91" i="3" a="1"/>
  <c r="B91" i="3" s="1"/>
  <c r="B379" i="3" a="1"/>
  <c r="B379" i="3" s="1"/>
  <c r="B385" i="3" a="1"/>
  <c r="B385" i="3" s="1"/>
  <c r="D363" i="2" a="1"/>
  <c r="D363" i="2" s="1"/>
  <c r="E377" i="2" a="1"/>
  <c r="E377" i="2" s="1"/>
  <c r="E374" i="2" a="1"/>
  <c r="E374" i="2" s="1"/>
  <c r="E371" i="2" a="1"/>
  <c r="E371" i="2" s="1"/>
  <c r="D370" i="2" a="1"/>
  <c r="D370" i="2" s="1"/>
  <c r="D374" i="2" a="1"/>
  <c r="D374" i="2" s="1"/>
  <c r="D361" i="2" a="1"/>
  <c r="D361" i="2" s="1"/>
  <c r="D365" i="2" a="1"/>
  <c r="D365" i="2" s="1"/>
  <c r="F367" i="2" a="1"/>
  <c r="F367" i="2" s="1"/>
  <c r="F370" i="2" a="1"/>
  <c r="F370" i="2" s="1"/>
  <c r="D378" i="2" a="1"/>
  <c r="D378" i="2" s="1"/>
  <c r="D371" i="2" a="1"/>
  <c r="D371" i="2" s="1"/>
  <c r="D373" i="2" a="1"/>
  <c r="D373" i="2" s="1"/>
  <c r="F378" i="2" a="1"/>
  <c r="F378" i="2" s="1"/>
  <c r="E372" i="2" a="1"/>
  <c r="E372" i="2" s="1"/>
  <c r="F374" i="2" a="1"/>
  <c r="F374" i="2" s="1"/>
  <c r="E361" i="2" a="1"/>
  <c r="E361" i="2" s="1"/>
  <c r="E363" i="2" a="1"/>
  <c r="E363" i="2" s="1"/>
  <c r="E360" i="2" a="1"/>
  <c r="E360" i="2" s="1"/>
  <c r="D368" i="2" a="1"/>
  <c r="D368" i="2" s="1"/>
  <c r="F368" i="2" a="1"/>
  <c r="F368" i="2" s="1"/>
  <c r="F371" i="2" a="1"/>
  <c r="F371" i="2" s="1"/>
  <c r="F362" i="2" a="1"/>
  <c r="F362" i="2" s="1"/>
  <c r="E369" i="2" a="1"/>
  <c r="E369" i="2" s="1"/>
  <c r="E375" i="2" a="1"/>
  <c r="E375" i="2" s="1"/>
  <c r="D376" i="2" a="1"/>
  <c r="D376" i="2" s="1"/>
  <c r="E367" i="2" a="1"/>
  <c r="E367" i="2" s="1"/>
  <c r="E376" i="2" a="1"/>
  <c r="E376" i="2" s="1"/>
  <c r="F376" i="2" a="1"/>
  <c r="F376" i="2" s="1"/>
  <c r="F361" i="2" a="1"/>
  <c r="F361" i="2" s="1"/>
  <c r="F372" i="2" a="1"/>
  <c r="F372" i="2" s="1"/>
  <c r="D375" i="2" a="1"/>
  <c r="D375" i="2" s="1"/>
  <c r="D360" i="2" a="1"/>
  <c r="D360" i="2" s="1"/>
  <c r="E364" i="2" a="1"/>
  <c r="E364" i="2" s="1"/>
  <c r="F365" i="2" a="1"/>
  <c r="F365" i="2" s="1"/>
  <c r="E366" i="2" a="1"/>
  <c r="E366" i="2" s="1"/>
  <c r="E362" i="2" a="1"/>
  <c r="E362" i="2" s="1"/>
  <c r="F366" i="2" a="1"/>
  <c r="F366" i="2" s="1"/>
  <c r="F377" i="2" a="1"/>
  <c r="F377" i="2" s="1"/>
  <c r="E373" i="2" a="1"/>
  <c r="E373" i="2" s="1"/>
  <c r="F369" i="2" a="1"/>
  <c r="F369" i="2" s="1"/>
  <c r="F375" i="2" a="1"/>
  <c r="F375" i="2" s="1"/>
  <c r="F373" i="2" a="1"/>
  <c r="F373" i="2" s="1"/>
  <c r="E370" i="2" a="1"/>
  <c r="E370" i="2" s="1"/>
  <c r="E378" i="2" a="1"/>
  <c r="E378" i="2" s="1"/>
  <c r="D372" i="2" a="1"/>
  <c r="D372" i="2" s="1"/>
  <c r="D377" i="2" a="1"/>
  <c r="D377" i="2" s="1"/>
  <c r="F363" i="2" a="1"/>
  <c r="F363" i="2" s="1"/>
  <c r="D362" i="2" a="1"/>
  <c r="D362" i="2" s="1"/>
  <c r="D364" i="2" a="1"/>
  <c r="D364" i="2" s="1"/>
  <c r="F360" i="2" a="1"/>
  <c r="F360" i="2" s="1"/>
  <c r="D366" i="2" a="1"/>
  <c r="D366" i="2" s="1"/>
  <c r="D369" i="2" a="1"/>
  <c r="D369" i="2" s="1"/>
  <c r="E368" i="2" a="1"/>
  <c r="E368" i="2" s="1"/>
  <c r="F364" i="2" a="1"/>
  <c r="F364" i="2" s="1"/>
  <c r="E365" i="2" a="1"/>
  <c r="E365" i="2" s="1"/>
  <c r="D367" i="2" a="1"/>
  <c r="D367" i="2" s="1"/>
  <c r="B142" i="3" a="1"/>
  <c r="B142" i="3" s="1"/>
  <c r="B238" i="3" a="1"/>
  <c r="B238" i="3" s="1"/>
  <c r="B55" i="3" a="1"/>
  <c r="B55" i="3" s="1"/>
  <c r="B103" i="3" a="1"/>
  <c r="B103" i="3" s="1"/>
  <c r="B343" i="3" a="1"/>
  <c r="B343" i="3" s="1"/>
  <c r="B64" i="3" a="1"/>
  <c r="B64" i="3" s="1"/>
  <c r="B108" i="3" a="1"/>
  <c r="B108" i="3" s="1"/>
  <c r="B112" i="3" a="1"/>
  <c r="B112" i="3" s="1"/>
  <c r="B160" i="3" a="1"/>
  <c r="B160" i="3" s="1"/>
  <c r="B164" i="3" a="1"/>
  <c r="B164" i="3" s="1"/>
  <c r="B184" i="3" a="1"/>
  <c r="B184" i="3" s="1"/>
  <c r="B204" i="3" a="1"/>
  <c r="B204" i="3" s="1"/>
  <c r="B208" i="3" a="1"/>
  <c r="B208" i="3" s="1"/>
  <c r="B252" i="3" a="1"/>
  <c r="B252" i="3" s="1"/>
  <c r="B256" i="3" a="1"/>
  <c r="B256" i="3" s="1"/>
  <c r="B33" i="3" a="1"/>
  <c r="B33" i="3" s="1"/>
  <c r="B73" i="3" a="1"/>
  <c r="B73" i="3" s="1"/>
  <c r="B81" i="3" a="1"/>
  <c r="B81" i="3" s="1"/>
  <c r="B125" i="3" a="1"/>
  <c r="B125" i="3" s="1"/>
  <c r="B129" i="3" a="1"/>
  <c r="B129" i="3" s="1"/>
  <c r="B177" i="3" a="1"/>
  <c r="B177" i="3" s="1"/>
  <c r="B217" i="3" a="1"/>
  <c r="B217" i="3" s="1"/>
  <c r="B269" i="3" a="1"/>
  <c r="B269" i="3" s="1"/>
  <c r="B273" i="3" a="1"/>
  <c r="B273" i="3" s="1"/>
  <c r="D275" i="2" a="1"/>
  <c r="D275" i="2" s="1"/>
  <c r="F330" i="2" a="1"/>
  <c r="F330" i="2" s="1"/>
  <c r="F357" i="2" a="1"/>
  <c r="F357" i="2" s="1"/>
  <c r="D356" i="2" a="1"/>
  <c r="D356" i="2" s="1"/>
  <c r="E354" i="2" a="1"/>
  <c r="E354" i="2" s="1"/>
  <c r="E337" i="2" a="1"/>
  <c r="E337" i="2" s="1"/>
  <c r="D345" i="2" a="1"/>
  <c r="D345" i="2" s="1"/>
  <c r="E351" i="2" a="1"/>
  <c r="E351" i="2" s="1"/>
  <c r="E325" i="2" a="1"/>
  <c r="E325" i="2" s="1"/>
  <c r="D357" i="2" a="1"/>
  <c r="D357" i="2" s="1"/>
  <c r="D335" i="2" a="1"/>
  <c r="D335" i="2" s="1"/>
  <c r="D352" i="2" a="1"/>
  <c r="D352" i="2" s="1"/>
  <c r="F350" i="2" a="1"/>
  <c r="F350" i="2" s="1"/>
  <c r="F354" i="2" a="1"/>
  <c r="F354" i="2" s="1"/>
  <c r="F356" i="2" a="1"/>
  <c r="F356" i="2" s="1"/>
  <c r="E358" i="2" a="1"/>
  <c r="E358" i="2" s="1"/>
  <c r="E355" i="2" a="1"/>
  <c r="E355" i="2" s="1"/>
  <c r="E359" i="2" a="1"/>
  <c r="E359" i="2" s="1"/>
  <c r="E352" i="2" a="1"/>
  <c r="E352" i="2" s="1"/>
  <c r="E345" i="2" a="1"/>
  <c r="E345" i="2" s="1"/>
  <c r="D344" i="2" a="1"/>
  <c r="D344" i="2" s="1"/>
  <c r="E349" i="2" a="1"/>
  <c r="E349" i="2" s="1"/>
  <c r="F358" i="2" a="1"/>
  <c r="F358" i="2" s="1"/>
  <c r="F359" i="2" a="1"/>
  <c r="F359" i="2" s="1"/>
  <c r="D315" i="2" a="1"/>
  <c r="D315" i="2" s="1"/>
  <c r="D355" i="2" a="1"/>
  <c r="D355" i="2" s="1"/>
  <c r="D346" i="2" a="1"/>
  <c r="D346" i="2" s="1"/>
  <c r="F348" i="2" a="1"/>
  <c r="F348" i="2" s="1"/>
  <c r="E348" i="2" a="1"/>
  <c r="E348" i="2" s="1"/>
  <c r="D350" i="2" a="1"/>
  <c r="D350" i="2" s="1"/>
  <c r="F316" i="2" a="1"/>
  <c r="F316" i="2" s="1"/>
  <c r="D353" i="2" a="1"/>
  <c r="D353" i="2" s="1"/>
  <c r="F353" i="2" a="1"/>
  <c r="F353" i="2" s="1"/>
  <c r="D359" i="2" a="1"/>
  <c r="D359" i="2" s="1"/>
  <c r="D337" i="2" a="1"/>
  <c r="D337" i="2" s="1"/>
  <c r="D358" i="2" a="1"/>
  <c r="D358" i="2" s="1"/>
  <c r="D348" i="2" a="1"/>
  <c r="D348" i="2" s="1"/>
  <c r="F345" i="2" a="1"/>
  <c r="F345" i="2" s="1"/>
  <c r="F351" i="2" a="1"/>
  <c r="F351" i="2" s="1"/>
  <c r="D351" i="2" a="1"/>
  <c r="D351" i="2" s="1"/>
  <c r="E353" i="2" a="1"/>
  <c r="E353" i="2" s="1"/>
  <c r="F339" i="2" a="1"/>
  <c r="F339" i="2" s="1"/>
  <c r="E350" i="2" a="1"/>
  <c r="E350" i="2" s="1"/>
  <c r="F352" i="2" a="1"/>
  <c r="F352" i="2" s="1"/>
  <c r="D354" i="2" a="1"/>
  <c r="D354" i="2" s="1"/>
  <c r="F349" i="2" a="1"/>
  <c r="F349" i="2" s="1"/>
  <c r="E357" i="2" a="1"/>
  <c r="E357" i="2" s="1"/>
  <c r="D349" i="2" a="1"/>
  <c r="D349" i="2" s="1"/>
  <c r="F355" i="2" a="1"/>
  <c r="F355" i="2" s="1"/>
  <c r="E318" i="2" a="1"/>
  <c r="E318" i="2" s="1"/>
  <c r="E343" i="2" a="1"/>
  <c r="E343" i="2" s="1"/>
  <c r="E356" i="2" a="1"/>
  <c r="E356" i="2" s="1"/>
  <c r="D317" i="2" a="1"/>
  <c r="D317" i="2" s="1"/>
  <c r="D341" i="2" a="1"/>
  <c r="D341" i="2" s="1"/>
  <c r="F332" i="2" a="1"/>
  <c r="F332" i="2" s="1"/>
  <c r="D327" i="2" a="1"/>
  <c r="D327" i="2" s="1"/>
  <c r="F318" i="2" a="1"/>
  <c r="F318" i="2" s="1"/>
  <c r="E331" i="2" a="1"/>
  <c r="E331" i="2" s="1"/>
  <c r="E339" i="2" a="1"/>
  <c r="E339" i="2" s="1"/>
  <c r="E319" i="2" a="1"/>
  <c r="E319" i="2" s="1"/>
  <c r="E328" i="2" a="1"/>
  <c r="E328" i="2" s="1"/>
  <c r="E330" i="2" a="1"/>
  <c r="E330" i="2" s="1"/>
  <c r="F326" i="2" a="1"/>
  <c r="F326" i="2" s="1"/>
  <c r="D319" i="2" a="1"/>
  <c r="D319" i="2" s="1"/>
  <c r="D338" i="2" a="1"/>
  <c r="D338" i="2" s="1"/>
  <c r="E333" i="2" a="1"/>
  <c r="E333" i="2" s="1"/>
  <c r="E323" i="2" a="1"/>
  <c r="E323" i="2" s="1"/>
  <c r="E315" i="2" a="1"/>
  <c r="E315" i="2" s="1"/>
  <c r="E316" i="2" a="1"/>
  <c r="E316" i="2" s="1"/>
  <c r="D326" i="2" a="1"/>
  <c r="D326" i="2" s="1"/>
  <c r="E334" i="2" a="1"/>
  <c r="E334" i="2" s="1"/>
  <c r="F336" i="2" a="1"/>
  <c r="F336" i="2" s="1"/>
  <c r="E332" i="2" a="1"/>
  <c r="E332" i="2" s="1"/>
  <c r="F328" i="2" a="1"/>
  <c r="F328" i="2" s="1"/>
  <c r="F335" i="2" a="1"/>
  <c r="F335" i="2" s="1"/>
  <c r="E321" i="2" a="1"/>
  <c r="E321" i="2" s="1"/>
  <c r="E329" i="2" a="1"/>
  <c r="E329" i="2" s="1"/>
  <c r="D323" i="2" a="1"/>
  <c r="D323" i="2" s="1"/>
  <c r="D347" i="2" a="1"/>
  <c r="D347" i="2" s="1"/>
  <c r="F329" i="2" a="1"/>
  <c r="F329" i="2" s="1"/>
  <c r="D334" i="2" a="1"/>
  <c r="D334" i="2" s="1"/>
  <c r="E335" i="2" a="1"/>
  <c r="E335" i="2" s="1"/>
  <c r="F319" i="2" a="1"/>
  <c r="F319" i="2" s="1"/>
  <c r="D343" i="2" a="1"/>
  <c r="D343" i="2" s="1"/>
  <c r="D340" i="2" a="1"/>
  <c r="D340" i="2" s="1"/>
  <c r="D321" i="2" a="1"/>
  <c r="D321" i="2" s="1"/>
  <c r="F327" i="2" a="1"/>
  <c r="F327" i="2" s="1"/>
  <c r="E342" i="2" a="1"/>
  <c r="E342" i="2" s="1"/>
  <c r="E327" i="2" a="1"/>
  <c r="E327" i="2" s="1"/>
  <c r="D331" i="2" a="1"/>
  <c r="D331" i="2" s="1"/>
  <c r="E338" i="2" a="1"/>
  <c r="E338" i="2" s="1"/>
  <c r="E320" i="2" a="1"/>
  <c r="E320" i="2" s="1"/>
  <c r="D336" i="2" a="1"/>
  <c r="D336" i="2" s="1"/>
  <c r="D324" i="2" a="1"/>
  <c r="D324" i="2" s="1"/>
  <c r="F324" i="2" a="1"/>
  <c r="F324" i="2" s="1"/>
  <c r="F333" i="2" a="1"/>
  <c r="F333" i="2" s="1"/>
  <c r="F341" i="2" a="1"/>
  <c r="F341" i="2" s="1"/>
  <c r="E340" i="2" a="1"/>
  <c r="E340" i="2" s="1"/>
  <c r="F315" i="2" a="1"/>
  <c r="F315" i="2" s="1"/>
  <c r="D329" i="2" a="1"/>
  <c r="D329" i="2" s="1"/>
  <c r="D325" i="2" a="1"/>
  <c r="D325" i="2" s="1"/>
  <c r="F321" i="2" a="1"/>
  <c r="F321" i="2" s="1"/>
  <c r="D333" i="2" a="1"/>
  <c r="D333" i="2" s="1"/>
  <c r="D328" i="2" a="1"/>
  <c r="D328" i="2" s="1"/>
  <c r="D322" i="2" a="1"/>
  <c r="D322" i="2" s="1"/>
  <c r="E341" i="2" a="1"/>
  <c r="E341" i="2" s="1"/>
  <c r="D339" i="2" a="1"/>
  <c r="D339" i="2" s="1"/>
  <c r="D316" i="2" a="1"/>
  <c r="D316" i="2" s="1"/>
  <c r="E346" i="2" a="1"/>
  <c r="E346" i="2" s="1"/>
  <c r="F343" i="2" a="1"/>
  <c r="F343" i="2" s="1"/>
  <c r="E344" i="2" a="1"/>
  <c r="E344" i="2" s="1"/>
  <c r="F317" i="2" a="1"/>
  <c r="F317" i="2" s="1"/>
  <c r="F342" i="2" a="1"/>
  <c r="F342" i="2" s="1"/>
  <c r="F320" i="2" a="1"/>
  <c r="F320" i="2" s="1"/>
  <c r="F337" i="2" a="1"/>
  <c r="F337" i="2" s="1"/>
  <c r="D320" i="2" a="1"/>
  <c r="D320" i="2" s="1"/>
  <c r="D332" i="2" a="1"/>
  <c r="D332" i="2" s="1"/>
  <c r="E322" i="2" a="1"/>
  <c r="E322" i="2" s="1"/>
  <c r="F346" i="2" a="1"/>
  <c r="F346" i="2" s="1"/>
  <c r="F347" i="2" a="1"/>
  <c r="F347" i="2" s="1"/>
  <c r="F325" i="2" a="1"/>
  <c r="F325" i="2" s="1"/>
  <c r="E317" i="2" a="1"/>
  <c r="E317" i="2" s="1"/>
  <c r="F322" i="2" a="1"/>
  <c r="F322" i="2" s="1"/>
  <c r="E336" i="2" a="1"/>
  <c r="E336" i="2" s="1"/>
  <c r="F338" i="2" a="1"/>
  <c r="F338" i="2" s="1"/>
  <c r="F340" i="2" a="1"/>
  <c r="F340" i="2" s="1"/>
  <c r="E326" i="2" a="1"/>
  <c r="E326" i="2" s="1"/>
  <c r="F334" i="2" a="1"/>
  <c r="F334" i="2" s="1"/>
  <c r="E324" i="2" a="1"/>
  <c r="E324" i="2" s="1"/>
  <c r="D342" i="2" a="1"/>
  <c r="D342" i="2" s="1"/>
  <c r="E347" i="2" a="1"/>
  <c r="E347" i="2" s="1"/>
  <c r="D318" i="2" a="1"/>
  <c r="D318" i="2" s="1"/>
  <c r="F323" i="2" a="1"/>
  <c r="F323" i="2" s="1"/>
  <c r="D330" i="2" a="1"/>
  <c r="D330" i="2" s="1"/>
  <c r="F344" i="2" a="1"/>
  <c r="F344" i="2" s="1"/>
  <c r="F331" i="2" a="1"/>
  <c r="F331" i="2" s="1"/>
  <c r="E119" i="2" a="1"/>
  <c r="E119" i="2" s="1"/>
  <c r="G519" i="3"/>
  <c r="E90" i="2" a="1"/>
  <c r="E90" i="2" s="1"/>
  <c r="F108" i="2" a="1"/>
  <c r="F108" i="2" s="1"/>
  <c r="F27" i="2" a="1"/>
  <c r="F27" i="2" s="1"/>
  <c r="F92" i="2" a="1"/>
  <c r="F92" i="2" s="1"/>
  <c r="E180" i="2" a="1"/>
  <c r="E180" i="2" s="1"/>
  <c r="E67" i="2" a="1"/>
  <c r="E67" i="2" s="1"/>
  <c r="E72" i="2" a="1"/>
  <c r="E72" i="2" s="1"/>
  <c r="F193" i="2" a="1"/>
  <c r="F193" i="2" s="1"/>
  <c r="E310" i="2" a="1"/>
  <c r="E310" i="2" s="1"/>
  <c r="D312" i="2" a="1"/>
  <c r="D312" i="2" s="1"/>
  <c r="D309" i="2" a="1"/>
  <c r="D309" i="2" s="1"/>
  <c r="F71" i="2" a="1"/>
  <c r="F71" i="2" s="1"/>
  <c r="F314" i="2" a="1"/>
  <c r="F314" i="2" s="1"/>
  <c r="E308" i="2" a="1"/>
  <c r="E308" i="2" s="1"/>
  <c r="D314" i="2" a="1"/>
  <c r="D314" i="2" s="1"/>
  <c r="E173" i="2" a="1"/>
  <c r="E173" i="2" s="1"/>
  <c r="F176" i="2" a="1"/>
  <c r="F176" i="2" s="1"/>
  <c r="E314" i="2" a="1"/>
  <c r="E314" i="2" s="1"/>
  <c r="G536" i="3"/>
  <c r="G541" i="3"/>
  <c r="G552" i="3"/>
  <c r="G563" i="3"/>
  <c r="G574" i="3"/>
  <c r="G585" i="3"/>
  <c r="G530" i="3"/>
  <c r="G535" i="3"/>
  <c r="G546" i="3"/>
  <c r="G557" i="3"/>
  <c r="G568" i="3"/>
  <c r="G579" i="3"/>
  <c r="G596" i="3"/>
  <c r="G524" i="3"/>
  <c r="G529" i="3"/>
  <c r="G540" i="3"/>
  <c r="G551" i="3"/>
  <c r="G562" i="3"/>
  <c r="G573" i="3"/>
  <c r="G590" i="3"/>
  <c r="G595" i="3"/>
  <c r="G523" i="3"/>
  <c r="G534" i="3"/>
  <c r="G545" i="3"/>
  <c r="G556" i="3"/>
  <c r="G567" i="3"/>
  <c r="G584" i="3"/>
  <c r="G589" i="3"/>
  <c r="G600" i="3"/>
  <c r="G528" i="3"/>
  <c r="G539" i="3"/>
  <c r="G550" i="3"/>
  <c r="G561" i="3"/>
  <c r="G578" i="3"/>
  <c r="G583" i="3"/>
  <c r="G594" i="3"/>
  <c r="G522" i="3"/>
  <c r="G533" i="3"/>
  <c r="G544" i="3"/>
  <c r="G555" i="3"/>
  <c r="G572" i="3"/>
  <c r="G577" i="3"/>
  <c r="G588" i="3"/>
  <c r="G599" i="3"/>
  <c r="G527" i="3"/>
  <c r="G538" i="3"/>
  <c r="G549" i="3"/>
  <c r="G566" i="3"/>
  <c r="G571" i="3"/>
  <c r="G582" i="3"/>
  <c r="G593" i="3"/>
  <c r="G521" i="3"/>
  <c r="G532" i="3"/>
  <c r="G543" i="3"/>
  <c r="G560" i="3"/>
  <c r="G565" i="3"/>
  <c r="G576" i="3"/>
  <c r="G587" i="3"/>
  <c r="G598" i="3"/>
  <c r="G526" i="3"/>
  <c r="G537" i="3"/>
  <c r="G554" i="3"/>
  <c r="G559" i="3"/>
  <c r="G570" i="3"/>
  <c r="G581" i="3"/>
  <c r="G592" i="3"/>
  <c r="G520" i="3"/>
  <c r="G531" i="3"/>
  <c r="G548" i="3"/>
  <c r="G553" i="3"/>
  <c r="G564" i="3"/>
  <c r="G575" i="3"/>
  <c r="G586" i="3"/>
  <c r="G597" i="3"/>
  <c r="G525" i="3"/>
  <c r="G542" i="3"/>
  <c r="G547" i="3"/>
  <c r="G558" i="3"/>
  <c r="G569" i="3"/>
  <c r="G580" i="3"/>
  <c r="G591" i="3"/>
  <c r="F48" i="2" a="1"/>
  <c r="F48" i="2" s="1"/>
  <c r="D205" i="2" a="1"/>
  <c r="D205" i="2" s="1"/>
  <c r="F310" i="2" a="1"/>
  <c r="F310" i="2" s="1"/>
  <c r="E52" i="2" a="1"/>
  <c r="E52" i="2" s="1"/>
  <c r="E311" i="2" a="1"/>
  <c r="E311" i="2" s="1"/>
  <c r="E153" i="2" a="1"/>
  <c r="E153" i="2" s="1"/>
  <c r="E309" i="2" a="1"/>
  <c r="E309" i="2" s="1"/>
  <c r="F313" i="2" a="1"/>
  <c r="F313" i="2" s="1"/>
  <c r="E313" i="2" a="1"/>
  <c r="E313" i="2" s="1"/>
  <c r="D155" i="2" a="1"/>
  <c r="D155" i="2" s="1"/>
  <c r="F52" i="2" a="1"/>
  <c r="F52" i="2" s="1"/>
  <c r="D11" i="2" a="1"/>
  <c r="D11" i="2" s="1"/>
  <c r="F76" i="2" a="1"/>
  <c r="F76" i="2" s="1"/>
  <c r="D107" i="2" a="1"/>
  <c r="D107" i="2" s="1"/>
  <c r="E307" i="2" a="1"/>
  <c r="E307" i="2" s="1"/>
  <c r="F307" i="2" a="1"/>
  <c r="F307" i="2" s="1"/>
  <c r="F501" i="3"/>
  <c r="F507" i="3"/>
  <c r="F513" i="3"/>
  <c r="F287" i="3"/>
  <c r="F293" i="3"/>
  <c r="F299" i="3"/>
  <c r="F305" i="3"/>
  <c r="F311" i="3"/>
  <c r="F317" i="3"/>
  <c r="F323" i="3"/>
  <c r="F329" i="3"/>
  <c r="F335" i="3"/>
  <c r="F341" i="3"/>
  <c r="F347" i="3"/>
  <c r="F353" i="3"/>
  <c r="F359" i="3"/>
  <c r="F365" i="3"/>
  <c r="F371" i="3"/>
  <c r="F377" i="3"/>
  <c r="F383" i="3"/>
  <c r="F389" i="3"/>
  <c r="F395" i="3"/>
  <c r="F401" i="3"/>
  <c r="F407" i="3"/>
  <c r="F413" i="3"/>
  <c r="F419" i="3"/>
  <c r="F425" i="3"/>
  <c r="F431" i="3"/>
  <c r="F437" i="3"/>
  <c r="F443" i="3"/>
  <c r="F449" i="3"/>
  <c r="F455" i="3"/>
  <c r="F461" i="3"/>
  <c r="F467" i="3"/>
  <c r="F473" i="3"/>
  <c r="F479" i="3"/>
  <c r="F485" i="3"/>
  <c r="F491" i="3"/>
  <c r="F497" i="3"/>
  <c r="F33" i="3"/>
  <c r="F45" i="3"/>
  <c r="F57" i="3"/>
  <c r="F69" i="3"/>
  <c r="F81" i="3"/>
  <c r="F93" i="3"/>
  <c r="F105" i="3"/>
  <c r="F117" i="3"/>
  <c r="F129" i="3"/>
  <c r="F141" i="3"/>
  <c r="F153" i="3"/>
  <c r="F165" i="3"/>
  <c r="F177" i="3"/>
  <c r="F189" i="3"/>
  <c r="F201" i="3"/>
  <c r="F213" i="3"/>
  <c r="F225" i="3"/>
  <c r="F237" i="3"/>
  <c r="F249" i="3"/>
  <c r="F261" i="3"/>
  <c r="F273" i="3"/>
  <c r="F4" i="3"/>
  <c r="F16" i="3"/>
  <c r="F28" i="3"/>
  <c r="G501" i="3"/>
  <c r="G507" i="3"/>
  <c r="G513" i="3"/>
  <c r="G287" i="3"/>
  <c r="G293" i="3"/>
  <c r="G299" i="3"/>
  <c r="G305" i="3"/>
  <c r="G311" i="3"/>
  <c r="G317" i="3"/>
  <c r="G323" i="3"/>
  <c r="G329" i="3"/>
  <c r="G335" i="3"/>
  <c r="G341" i="3"/>
  <c r="G347" i="3"/>
  <c r="G353" i="3"/>
  <c r="G359" i="3"/>
  <c r="G365" i="3"/>
  <c r="G371" i="3"/>
  <c r="G377" i="3"/>
  <c r="G383" i="3"/>
  <c r="G389" i="3"/>
  <c r="G395" i="3"/>
  <c r="G401" i="3"/>
  <c r="G407" i="3"/>
  <c r="G413" i="3"/>
  <c r="G419" i="3"/>
  <c r="G425" i="3"/>
  <c r="G431" i="3"/>
  <c r="G437" i="3"/>
  <c r="G443" i="3"/>
  <c r="G449" i="3"/>
  <c r="G455" i="3"/>
  <c r="G461" i="3"/>
  <c r="G467" i="3"/>
  <c r="G473" i="3"/>
  <c r="G479" i="3"/>
  <c r="G485" i="3"/>
  <c r="G491" i="3"/>
  <c r="G497" i="3"/>
  <c r="F34" i="3"/>
  <c r="F46" i="3"/>
  <c r="F58" i="3"/>
  <c r="F70" i="3"/>
  <c r="F82" i="3"/>
  <c r="F94" i="3"/>
  <c r="F106" i="3"/>
  <c r="F118" i="3"/>
  <c r="F130" i="3"/>
  <c r="F142" i="3"/>
  <c r="F154" i="3"/>
  <c r="F166" i="3"/>
  <c r="F178" i="3"/>
  <c r="F190" i="3"/>
  <c r="F202" i="3"/>
  <c r="F214" i="3"/>
  <c r="F226" i="3"/>
  <c r="F238" i="3"/>
  <c r="F250" i="3"/>
  <c r="F262" i="3"/>
  <c r="F274" i="3"/>
  <c r="F5" i="3"/>
  <c r="F17" i="3"/>
  <c r="F502" i="3"/>
  <c r="F508" i="3"/>
  <c r="F514" i="3"/>
  <c r="G502" i="3"/>
  <c r="G508" i="3"/>
  <c r="G514" i="3"/>
  <c r="G288" i="3"/>
  <c r="G294" i="3"/>
  <c r="G300" i="3"/>
  <c r="G306" i="3"/>
  <c r="G312" i="3"/>
  <c r="G318" i="3"/>
  <c r="G324" i="3"/>
  <c r="G330" i="3"/>
  <c r="G336" i="3"/>
  <c r="G342" i="3"/>
  <c r="G348" i="3"/>
  <c r="G354" i="3"/>
  <c r="G360" i="3"/>
  <c r="G366" i="3"/>
  <c r="G372" i="3"/>
  <c r="G378" i="3"/>
  <c r="G384" i="3"/>
  <c r="G390" i="3"/>
  <c r="G396" i="3"/>
  <c r="G402" i="3"/>
  <c r="G408" i="3"/>
  <c r="G414" i="3"/>
  <c r="G420" i="3"/>
  <c r="G426" i="3"/>
  <c r="G432" i="3"/>
  <c r="G438" i="3"/>
  <c r="G444" i="3"/>
  <c r="G450" i="3"/>
  <c r="G456" i="3"/>
  <c r="G462" i="3"/>
  <c r="G468" i="3"/>
  <c r="G474" i="3"/>
  <c r="G480" i="3"/>
  <c r="G486" i="3"/>
  <c r="G492" i="3"/>
  <c r="G498" i="3"/>
  <c r="F36" i="3"/>
  <c r="F48" i="3"/>
  <c r="F60" i="3"/>
  <c r="F72" i="3"/>
  <c r="F84" i="3"/>
  <c r="F96" i="3"/>
  <c r="F108" i="3"/>
  <c r="F120" i="3"/>
  <c r="F132" i="3"/>
  <c r="F144" i="3"/>
  <c r="F156" i="3"/>
  <c r="F168" i="3"/>
  <c r="F180" i="3"/>
  <c r="F192" i="3"/>
  <c r="F204" i="3"/>
  <c r="F216" i="3"/>
  <c r="F228" i="3"/>
  <c r="F240" i="3"/>
  <c r="F252" i="3"/>
  <c r="F264" i="3"/>
  <c r="F276" i="3"/>
  <c r="F7" i="3"/>
  <c r="F19" i="3"/>
  <c r="F503" i="3"/>
  <c r="F509" i="3"/>
  <c r="F515" i="3"/>
  <c r="G503" i="3"/>
  <c r="G509" i="3"/>
  <c r="G515" i="3"/>
  <c r="G289" i="3"/>
  <c r="G295" i="3"/>
  <c r="G301" i="3"/>
  <c r="G307" i="3"/>
  <c r="G313" i="3"/>
  <c r="G319" i="3"/>
  <c r="G325" i="3"/>
  <c r="G331" i="3"/>
  <c r="G337" i="3"/>
  <c r="G343" i="3"/>
  <c r="G349" i="3"/>
  <c r="G355" i="3"/>
  <c r="G361" i="3"/>
  <c r="G367" i="3"/>
  <c r="G373" i="3"/>
  <c r="G379" i="3"/>
  <c r="G385" i="3"/>
  <c r="G391" i="3"/>
  <c r="G397" i="3"/>
  <c r="G403" i="3"/>
  <c r="G409" i="3"/>
  <c r="G415" i="3"/>
  <c r="G421" i="3"/>
  <c r="G427" i="3"/>
  <c r="G433" i="3"/>
  <c r="G439" i="3"/>
  <c r="G445" i="3"/>
  <c r="G451" i="3"/>
  <c r="G457" i="3"/>
  <c r="G463" i="3"/>
  <c r="G469" i="3"/>
  <c r="G475" i="3"/>
  <c r="G481" i="3"/>
  <c r="G487" i="3"/>
  <c r="G493" i="3"/>
  <c r="G499" i="3"/>
  <c r="F38" i="3"/>
  <c r="F50" i="3"/>
  <c r="F62" i="3"/>
  <c r="F74" i="3"/>
  <c r="F86" i="3"/>
  <c r="F98" i="3"/>
  <c r="F110" i="3"/>
  <c r="F122" i="3"/>
  <c r="F134" i="3"/>
  <c r="F146" i="3"/>
  <c r="F158" i="3"/>
  <c r="F170" i="3"/>
  <c r="F182" i="3"/>
  <c r="F194" i="3"/>
  <c r="F206" i="3"/>
  <c r="F218" i="3"/>
  <c r="F230" i="3"/>
  <c r="F242" i="3"/>
  <c r="F254" i="3"/>
  <c r="F266" i="3"/>
  <c r="F278" i="3"/>
  <c r="F9" i="3"/>
  <c r="F21" i="3"/>
  <c r="F504" i="3"/>
  <c r="F510" i="3"/>
  <c r="F516" i="3"/>
  <c r="F290" i="3"/>
  <c r="F296" i="3"/>
  <c r="F302" i="3"/>
  <c r="F308" i="3"/>
  <c r="F314" i="3"/>
  <c r="F320" i="3"/>
  <c r="F326" i="3"/>
  <c r="F332" i="3"/>
  <c r="F338" i="3"/>
  <c r="F344" i="3"/>
  <c r="F350" i="3"/>
  <c r="F356" i="3"/>
  <c r="F362" i="3"/>
  <c r="F368" i="3"/>
  <c r="F374" i="3"/>
  <c r="F380" i="3"/>
  <c r="F386" i="3"/>
  <c r="F392" i="3"/>
  <c r="F398" i="3"/>
  <c r="F404" i="3"/>
  <c r="F410" i="3"/>
  <c r="F416" i="3"/>
  <c r="F422" i="3"/>
  <c r="F428" i="3"/>
  <c r="F434" i="3"/>
  <c r="F440" i="3"/>
  <c r="F446" i="3"/>
  <c r="F452" i="3"/>
  <c r="F458" i="3"/>
  <c r="F464" i="3"/>
  <c r="F470" i="3"/>
  <c r="F476" i="3"/>
  <c r="F482" i="3"/>
  <c r="F488" i="3"/>
  <c r="F494" i="3"/>
  <c r="F500" i="3"/>
  <c r="F39" i="3"/>
  <c r="F51" i="3"/>
  <c r="F63" i="3"/>
  <c r="F75" i="3"/>
  <c r="F87" i="3"/>
  <c r="F99" i="3"/>
  <c r="F111" i="3"/>
  <c r="F123" i="3"/>
  <c r="F135" i="3"/>
  <c r="F147" i="3"/>
  <c r="F159" i="3"/>
  <c r="F171" i="3"/>
  <c r="F183" i="3"/>
  <c r="F195" i="3"/>
  <c r="F207" i="3"/>
  <c r="F219" i="3"/>
  <c r="F231" i="3"/>
  <c r="F243" i="3"/>
  <c r="F255" i="3"/>
  <c r="F267" i="3"/>
  <c r="F279" i="3"/>
  <c r="F10" i="3"/>
  <c r="F22" i="3"/>
  <c r="G504" i="3"/>
  <c r="G510" i="3"/>
  <c r="G516" i="3"/>
  <c r="G290" i="3"/>
  <c r="G296" i="3"/>
  <c r="G302" i="3"/>
  <c r="G308" i="3"/>
  <c r="G314" i="3"/>
  <c r="G320" i="3"/>
  <c r="G326" i="3"/>
  <c r="G332" i="3"/>
  <c r="G338" i="3"/>
  <c r="G344" i="3"/>
  <c r="G350" i="3"/>
  <c r="G356" i="3"/>
  <c r="G362" i="3"/>
  <c r="G368" i="3"/>
  <c r="G374" i="3"/>
  <c r="G380" i="3"/>
  <c r="G386" i="3"/>
  <c r="G392" i="3"/>
  <c r="G398" i="3"/>
  <c r="G404" i="3"/>
  <c r="G410" i="3"/>
  <c r="G416" i="3"/>
  <c r="G422" i="3"/>
  <c r="G428" i="3"/>
  <c r="G434" i="3"/>
  <c r="G440" i="3"/>
  <c r="G446" i="3"/>
  <c r="G452" i="3"/>
  <c r="G458" i="3"/>
  <c r="G464" i="3"/>
  <c r="G470" i="3"/>
  <c r="G476" i="3"/>
  <c r="G482" i="3"/>
  <c r="G488" i="3"/>
  <c r="G494" i="3"/>
  <c r="G500" i="3"/>
  <c r="F40" i="3"/>
  <c r="F52" i="3"/>
  <c r="F64" i="3"/>
  <c r="F76" i="3"/>
  <c r="F88" i="3"/>
  <c r="F100" i="3"/>
  <c r="F112" i="3"/>
  <c r="F124" i="3"/>
  <c r="F136" i="3"/>
  <c r="F148" i="3"/>
  <c r="F160" i="3"/>
  <c r="F172" i="3"/>
  <c r="F184" i="3"/>
  <c r="F196" i="3"/>
  <c r="F208" i="3"/>
  <c r="F220" i="3"/>
  <c r="F232" i="3"/>
  <c r="F244" i="3"/>
  <c r="F256" i="3"/>
  <c r="F268" i="3"/>
  <c r="F280" i="3"/>
  <c r="F11" i="3"/>
  <c r="F23" i="3"/>
  <c r="F505" i="3"/>
  <c r="F511" i="3"/>
  <c r="F517" i="3"/>
  <c r="G505" i="3"/>
  <c r="G511" i="3"/>
  <c r="G517" i="3"/>
  <c r="G285" i="3"/>
  <c r="G291" i="3"/>
  <c r="G297" i="3"/>
  <c r="G303" i="3"/>
  <c r="G309" i="3"/>
  <c r="G315" i="3"/>
  <c r="G321" i="3"/>
  <c r="G327" i="3"/>
  <c r="G333" i="3"/>
  <c r="G339" i="3"/>
  <c r="G345" i="3"/>
  <c r="G351" i="3"/>
  <c r="G357" i="3"/>
  <c r="G363" i="3"/>
  <c r="G369" i="3"/>
  <c r="G375" i="3"/>
  <c r="G381" i="3"/>
  <c r="G387" i="3"/>
  <c r="G393" i="3"/>
  <c r="G399" i="3"/>
  <c r="G405" i="3"/>
  <c r="G411" i="3"/>
  <c r="G417" i="3"/>
  <c r="G423" i="3"/>
  <c r="G429" i="3"/>
  <c r="G435" i="3"/>
  <c r="G441" i="3"/>
  <c r="G447" i="3"/>
  <c r="G453" i="3"/>
  <c r="G459" i="3"/>
  <c r="G465" i="3"/>
  <c r="G471" i="3"/>
  <c r="G477" i="3"/>
  <c r="G483" i="3"/>
  <c r="G489" i="3"/>
  <c r="G495" i="3"/>
  <c r="F30" i="3"/>
  <c r="F42" i="3"/>
  <c r="F54" i="3"/>
  <c r="F66" i="3"/>
  <c r="F78" i="3"/>
  <c r="F90" i="3"/>
  <c r="F102" i="3"/>
  <c r="F114" i="3"/>
  <c r="F126" i="3"/>
  <c r="F138" i="3"/>
  <c r="F150" i="3"/>
  <c r="F162" i="3"/>
  <c r="F174" i="3"/>
  <c r="F186" i="3"/>
  <c r="F198" i="3"/>
  <c r="F210" i="3"/>
  <c r="F222" i="3"/>
  <c r="F234" i="3"/>
  <c r="F246" i="3"/>
  <c r="F258" i="3"/>
  <c r="F270" i="3"/>
  <c r="F282" i="3"/>
  <c r="F13" i="3"/>
  <c r="F25" i="3"/>
  <c r="F286" i="3"/>
  <c r="F292" i="3"/>
  <c r="F298" i="3"/>
  <c r="F304" i="3"/>
  <c r="F310" i="3"/>
  <c r="F506" i="3"/>
  <c r="F512" i="3"/>
  <c r="F518" i="3"/>
  <c r="G506" i="3"/>
  <c r="G512" i="3"/>
  <c r="G518" i="3"/>
  <c r="G286" i="3"/>
  <c r="G292" i="3"/>
  <c r="G298" i="3"/>
  <c r="G304" i="3"/>
  <c r="G310" i="3"/>
  <c r="G316" i="3"/>
  <c r="G322" i="3"/>
  <c r="G328" i="3"/>
  <c r="G334" i="3"/>
  <c r="G340" i="3"/>
  <c r="G346" i="3"/>
  <c r="G352" i="3"/>
  <c r="G358" i="3"/>
  <c r="G364" i="3"/>
  <c r="G370" i="3"/>
  <c r="G376" i="3"/>
  <c r="G382" i="3"/>
  <c r="G388" i="3"/>
  <c r="G394" i="3"/>
  <c r="G400" i="3"/>
  <c r="G406" i="3"/>
  <c r="G412" i="3"/>
  <c r="G418" i="3"/>
  <c r="G424" i="3"/>
  <c r="G430" i="3"/>
  <c r="G436" i="3"/>
  <c r="G442" i="3"/>
  <c r="G448" i="3"/>
  <c r="G454" i="3"/>
  <c r="G460" i="3"/>
  <c r="G466" i="3"/>
  <c r="G472" i="3"/>
  <c r="G478" i="3"/>
  <c r="G484" i="3"/>
  <c r="G490" i="3"/>
  <c r="G496" i="3"/>
  <c r="F32" i="3"/>
  <c r="F44" i="3"/>
  <c r="F56" i="3"/>
  <c r="F68" i="3"/>
  <c r="F80" i="3"/>
  <c r="F92" i="3"/>
  <c r="F104" i="3"/>
  <c r="F116" i="3"/>
  <c r="F128" i="3"/>
  <c r="F140" i="3"/>
  <c r="F152" i="3"/>
  <c r="F164" i="3"/>
  <c r="F176" i="3"/>
  <c r="F188" i="3"/>
  <c r="F200" i="3"/>
  <c r="F212" i="3"/>
  <c r="F224" i="3"/>
  <c r="F236" i="3"/>
  <c r="F248" i="3"/>
  <c r="F260" i="3"/>
  <c r="F272" i="3"/>
  <c r="F284" i="3"/>
  <c r="F15" i="3"/>
  <c r="F27" i="3"/>
  <c r="F301" i="3"/>
  <c r="F322" i="3"/>
  <c r="F340" i="3"/>
  <c r="F358" i="3"/>
  <c r="F376" i="3"/>
  <c r="F394" i="3"/>
  <c r="F412" i="3"/>
  <c r="F430" i="3"/>
  <c r="F448" i="3"/>
  <c r="F466" i="3"/>
  <c r="F484" i="3"/>
  <c r="F31" i="3"/>
  <c r="F67" i="3"/>
  <c r="F103" i="3"/>
  <c r="F139" i="3"/>
  <c r="F175" i="3"/>
  <c r="F211" i="3"/>
  <c r="F247" i="3"/>
  <c r="F283" i="3"/>
  <c r="F303" i="3"/>
  <c r="F324" i="3"/>
  <c r="F342" i="3"/>
  <c r="F360" i="3"/>
  <c r="F378" i="3"/>
  <c r="F396" i="3"/>
  <c r="F414" i="3"/>
  <c r="F432" i="3"/>
  <c r="F450" i="3"/>
  <c r="F468" i="3"/>
  <c r="F486" i="3"/>
  <c r="F35" i="3"/>
  <c r="F71" i="3"/>
  <c r="F107" i="3"/>
  <c r="F143" i="3"/>
  <c r="F179" i="3"/>
  <c r="F215" i="3"/>
  <c r="F251" i="3"/>
  <c r="F6" i="3"/>
  <c r="F306" i="3"/>
  <c r="F325" i="3"/>
  <c r="F343" i="3"/>
  <c r="F361" i="3"/>
  <c r="F379" i="3"/>
  <c r="F397" i="3"/>
  <c r="F415" i="3"/>
  <c r="F433" i="3"/>
  <c r="F451" i="3"/>
  <c r="F469" i="3"/>
  <c r="F487" i="3"/>
  <c r="F37" i="3"/>
  <c r="F73" i="3"/>
  <c r="F109" i="3"/>
  <c r="F145" i="3"/>
  <c r="F181" i="3"/>
  <c r="F217" i="3"/>
  <c r="F253" i="3"/>
  <c r="F8" i="3"/>
  <c r="F307" i="3"/>
  <c r="F327" i="3"/>
  <c r="F345" i="3"/>
  <c r="F363" i="3"/>
  <c r="F381" i="3"/>
  <c r="F399" i="3"/>
  <c r="F417" i="3"/>
  <c r="F435" i="3"/>
  <c r="F453" i="3"/>
  <c r="F471" i="3"/>
  <c r="F489" i="3"/>
  <c r="F41" i="3"/>
  <c r="F77" i="3"/>
  <c r="F113" i="3"/>
  <c r="F149" i="3"/>
  <c r="F185" i="3"/>
  <c r="F221" i="3"/>
  <c r="F257" i="3"/>
  <c r="F12" i="3"/>
  <c r="F285" i="3"/>
  <c r="F309" i="3"/>
  <c r="F328" i="3"/>
  <c r="F346" i="3"/>
  <c r="F364" i="3"/>
  <c r="F382" i="3"/>
  <c r="F400" i="3"/>
  <c r="F418" i="3"/>
  <c r="F436" i="3"/>
  <c r="F454" i="3"/>
  <c r="F472" i="3"/>
  <c r="F490" i="3"/>
  <c r="F43" i="3"/>
  <c r="F79" i="3"/>
  <c r="F115" i="3"/>
  <c r="F151" i="3"/>
  <c r="F187" i="3"/>
  <c r="F223" i="3"/>
  <c r="F259" i="3"/>
  <c r="F14" i="3"/>
  <c r="F288" i="3"/>
  <c r="F312" i="3"/>
  <c r="F330" i="3"/>
  <c r="F348" i="3"/>
  <c r="F366" i="3"/>
  <c r="F384" i="3"/>
  <c r="F402" i="3"/>
  <c r="F420" i="3"/>
  <c r="F438" i="3"/>
  <c r="F456" i="3"/>
  <c r="F474" i="3"/>
  <c r="F492" i="3"/>
  <c r="F47" i="3"/>
  <c r="F83" i="3"/>
  <c r="F119" i="3"/>
  <c r="F155" i="3"/>
  <c r="F191" i="3"/>
  <c r="F227" i="3"/>
  <c r="F263" i="3"/>
  <c r="F18" i="3"/>
  <c r="F289" i="3"/>
  <c r="F313" i="3"/>
  <c r="F331" i="3"/>
  <c r="F349" i="3"/>
  <c r="F367" i="3"/>
  <c r="F385" i="3"/>
  <c r="F403" i="3"/>
  <c r="F421" i="3"/>
  <c r="F439" i="3"/>
  <c r="F457" i="3"/>
  <c r="F475" i="3"/>
  <c r="F493" i="3"/>
  <c r="F49" i="3"/>
  <c r="F85" i="3"/>
  <c r="F121" i="3"/>
  <c r="F157" i="3"/>
  <c r="F193" i="3"/>
  <c r="F229" i="3"/>
  <c r="F265" i="3"/>
  <c r="F20" i="3"/>
  <c r="F291" i="3"/>
  <c r="F315" i="3"/>
  <c r="F333" i="3"/>
  <c r="F351" i="3"/>
  <c r="F369" i="3"/>
  <c r="F387" i="3"/>
  <c r="F405" i="3"/>
  <c r="F423" i="3"/>
  <c r="F441" i="3"/>
  <c r="F459" i="3"/>
  <c r="F477" i="3"/>
  <c r="F495" i="3"/>
  <c r="F53" i="3"/>
  <c r="F89" i="3"/>
  <c r="F125" i="3"/>
  <c r="F161" i="3"/>
  <c r="F197" i="3"/>
  <c r="F233" i="3"/>
  <c r="F269" i="3"/>
  <c r="F24" i="3"/>
  <c r="F294" i="3"/>
  <c r="F316" i="3"/>
  <c r="F334" i="3"/>
  <c r="F352" i="3"/>
  <c r="F370" i="3"/>
  <c r="F388" i="3"/>
  <c r="F406" i="3"/>
  <c r="F424" i="3"/>
  <c r="F442" i="3"/>
  <c r="F460" i="3"/>
  <c r="F478" i="3"/>
  <c r="F496" i="3"/>
  <c r="F55" i="3"/>
  <c r="F91" i="3"/>
  <c r="F127" i="3"/>
  <c r="F163" i="3"/>
  <c r="F199" i="3"/>
  <c r="F235" i="3"/>
  <c r="F271" i="3"/>
  <c r="F26" i="3"/>
  <c r="F295" i="3"/>
  <c r="F318" i="3"/>
  <c r="F336" i="3"/>
  <c r="F354" i="3"/>
  <c r="F372" i="3"/>
  <c r="F390" i="3"/>
  <c r="F408" i="3"/>
  <c r="F426" i="3"/>
  <c r="F444" i="3"/>
  <c r="F462" i="3"/>
  <c r="F480" i="3"/>
  <c r="F498" i="3"/>
  <c r="F59" i="3"/>
  <c r="F95" i="3"/>
  <c r="F131" i="3"/>
  <c r="F167" i="3"/>
  <c r="F203" i="3"/>
  <c r="F239" i="3"/>
  <c r="F275" i="3"/>
  <c r="F297" i="3"/>
  <c r="F319" i="3"/>
  <c r="F337" i="3"/>
  <c r="F355" i="3"/>
  <c r="F373" i="3"/>
  <c r="F391" i="3"/>
  <c r="F409" i="3"/>
  <c r="F427" i="3"/>
  <c r="F445" i="3"/>
  <c r="F463" i="3"/>
  <c r="F481" i="3"/>
  <c r="F499" i="3"/>
  <c r="F61" i="3"/>
  <c r="F97" i="3"/>
  <c r="F133" i="3"/>
  <c r="F169" i="3"/>
  <c r="F205" i="3"/>
  <c r="F241" i="3"/>
  <c r="F277" i="3"/>
  <c r="F300" i="3"/>
  <c r="F321" i="3"/>
  <c r="F339" i="3"/>
  <c r="F357" i="3"/>
  <c r="F375" i="3"/>
  <c r="F393" i="3"/>
  <c r="F411" i="3"/>
  <c r="F429" i="3"/>
  <c r="F447" i="3"/>
  <c r="F465" i="3"/>
  <c r="F483" i="3"/>
  <c r="F29" i="3"/>
  <c r="F65" i="3"/>
  <c r="F101" i="3"/>
  <c r="F137" i="3"/>
  <c r="F173" i="3"/>
  <c r="F209" i="3"/>
  <c r="F245" i="3"/>
  <c r="F281" i="3"/>
  <c r="D5" i="2" a="1"/>
  <c r="D5" i="2" s="1"/>
  <c r="F126" i="2" a="1"/>
  <c r="F126" i="2" s="1"/>
  <c r="E46" i="2" a="1"/>
  <c r="E46" i="2" s="1"/>
  <c r="D66" i="2" a="1"/>
  <c r="D66" i="2" s="1"/>
  <c r="F308" i="2" a="1"/>
  <c r="F308" i="2" s="1"/>
  <c r="D308" i="2" a="1"/>
  <c r="D308" i="2" s="1"/>
  <c r="F23" i="2" a="1"/>
  <c r="F23" i="2" s="1"/>
  <c r="D84" i="2" a="1"/>
  <c r="D84" i="2" s="1"/>
  <c r="F100" i="2" a="1"/>
  <c r="F100" i="2" s="1"/>
  <c r="B151" i="3" a="1"/>
  <c r="B151" i="3" s="1"/>
  <c r="E15" i="2" a="1"/>
  <c r="E15" i="2" s="1"/>
  <c r="D72" i="2" a="1"/>
  <c r="D72" i="2" s="1"/>
  <c r="F183" i="2" a="1"/>
  <c r="F183" i="2" s="1"/>
  <c r="E14" i="2" a="1"/>
  <c r="E14" i="2" s="1"/>
  <c r="D189" i="2" a="1"/>
  <c r="D189" i="2" s="1"/>
  <c r="F309" i="2" a="1"/>
  <c r="F309" i="2" s="1"/>
  <c r="F221" i="2" a="1"/>
  <c r="F221" i="2" s="1"/>
  <c r="B215" i="3" a="1"/>
  <c r="B215" i="3" s="1"/>
  <c r="D51" i="2" a="1"/>
  <c r="D51" i="2" s="1"/>
  <c r="E84" i="2" a="1"/>
  <c r="E84" i="2" s="1"/>
  <c r="F312" i="2" a="1"/>
  <c r="F312" i="2" s="1"/>
  <c r="D173" i="2" a="1"/>
  <c r="D173" i="2" s="1"/>
  <c r="D79" i="2" a="1"/>
  <c r="D79" i="2" s="1"/>
  <c r="E295" i="2" a="1"/>
  <c r="E295" i="2" s="1"/>
  <c r="D313" i="2" a="1"/>
  <c r="D313" i="2" s="1"/>
  <c r="E31" i="2" a="1"/>
  <c r="E31" i="2" s="1"/>
  <c r="D259" i="2" a="1"/>
  <c r="D259" i="2" s="1"/>
  <c r="D307" i="2" a="1"/>
  <c r="D307" i="2" s="1"/>
  <c r="F311" i="2" a="1"/>
  <c r="F311" i="2" s="1"/>
  <c r="F72" i="2" a="1"/>
  <c r="F72" i="2" s="1"/>
  <c r="D7" i="2" a="1"/>
  <c r="D7" i="2" s="1"/>
  <c r="F47" i="2" a="1"/>
  <c r="F47" i="2" s="1"/>
  <c r="E291" i="2" a="1"/>
  <c r="E291" i="2" s="1"/>
  <c r="E312" i="2" a="1"/>
  <c r="E312" i="2" s="1"/>
  <c r="D310" i="2" a="1"/>
  <c r="D310" i="2" s="1"/>
  <c r="D311" i="2" a="1"/>
  <c r="D311" i="2" s="1"/>
  <c r="B310" i="3" a="1"/>
  <c r="B310" i="3" s="1"/>
  <c r="F22" i="2" a="1"/>
  <c r="F22" i="2" s="1"/>
  <c r="E159" i="2" a="1"/>
  <c r="E159" i="2" s="1"/>
  <c r="F105" i="2" a="1"/>
  <c r="F105" i="2" s="1"/>
  <c r="E63" i="2" a="1"/>
  <c r="E63" i="2" s="1"/>
  <c r="E86" i="2" a="1"/>
  <c r="E86" i="2" s="1"/>
  <c r="F214" i="2" a="1"/>
  <c r="F214" i="2" s="1"/>
  <c r="B245" i="3" a="1"/>
  <c r="B245" i="3" s="1"/>
  <c r="D201" i="2" a="1"/>
  <c r="D201" i="2" s="1"/>
  <c r="D208" i="2" a="1"/>
  <c r="D208" i="2" s="1"/>
  <c r="B71" i="3" a="1"/>
  <c r="B71" i="3" s="1"/>
  <c r="E96" i="2" a="1"/>
  <c r="E96" i="2" s="1"/>
  <c r="F89" i="2" a="1"/>
  <c r="F89" i="2" s="1"/>
  <c r="E200" i="2" a="1"/>
  <c r="E200" i="2" s="1"/>
  <c r="E56" i="2" a="1"/>
  <c r="E56" i="2" s="1"/>
  <c r="B136" i="3" a="1"/>
  <c r="B136" i="3" s="1"/>
  <c r="F73" i="2" a="1"/>
  <c r="F73" i="2" s="1"/>
  <c r="D145" i="2" a="1"/>
  <c r="D145" i="2" s="1"/>
  <c r="E95" i="2" a="1"/>
  <c r="E95" i="2" s="1"/>
  <c r="D67" i="2" a="1"/>
  <c r="D67" i="2" s="1"/>
  <c r="F149" i="2" a="1"/>
  <c r="F149" i="2" s="1"/>
  <c r="D306" i="2" a="1"/>
  <c r="D306" i="2" s="1"/>
  <c r="D298" i="2" a="1"/>
  <c r="D298" i="2" s="1"/>
  <c r="D15" i="2" a="1"/>
  <c r="D15" i="2" s="1"/>
  <c r="D29" i="2" a="1"/>
  <c r="D29" i="2" s="1"/>
  <c r="E65" i="2" a="1"/>
  <c r="E65" i="2" s="1"/>
  <c r="B48" i="3" a="1"/>
  <c r="B48" i="3" s="1"/>
  <c r="F4" i="2" a="1"/>
  <c r="F4" i="2" s="1"/>
  <c r="E103" i="2" a="1"/>
  <c r="E103" i="2" s="1"/>
  <c r="D187" i="2" a="1"/>
  <c r="D187" i="2" s="1"/>
  <c r="D227" i="2" a="1"/>
  <c r="D227" i="2" s="1"/>
  <c r="D161" i="2" a="1"/>
  <c r="D161" i="2" s="1"/>
  <c r="E227" i="2" a="1"/>
  <c r="E227" i="2" s="1"/>
  <c r="B163" i="3" a="1"/>
  <c r="B163" i="3" s="1"/>
  <c r="B76" i="3" a="1"/>
  <c r="B76" i="3" s="1"/>
  <c r="D28" i="2" a="1"/>
  <c r="D28" i="2" s="1"/>
  <c r="F75" i="2" a="1"/>
  <c r="F75" i="2" s="1"/>
  <c r="E186" i="2" a="1"/>
  <c r="E186" i="2" s="1"/>
  <c r="B119" i="3" a="1"/>
  <c r="B119" i="3" s="1"/>
  <c r="F30" i="2" a="1"/>
  <c r="F30" i="2" s="1"/>
  <c r="F223" i="2" a="1"/>
  <c r="F223" i="2" s="1"/>
  <c r="D96" i="2" a="1"/>
  <c r="D96" i="2" s="1"/>
  <c r="F58" i="2" a="1"/>
  <c r="F58" i="2" s="1"/>
  <c r="B21" i="3" a="1"/>
  <c r="B21" i="3" s="1"/>
  <c r="F29" i="2" a="1"/>
  <c r="F29" i="2" s="1"/>
  <c r="D52" i="2" a="1"/>
  <c r="D52" i="2" s="1"/>
  <c r="D63" i="2" a="1"/>
  <c r="D63" i="2" s="1"/>
  <c r="D172" i="2" a="1"/>
  <c r="D172" i="2" s="1"/>
  <c r="D303" i="2" a="1"/>
  <c r="D303" i="2" s="1"/>
  <c r="D50" i="2" a="1"/>
  <c r="D50" i="2" s="1"/>
  <c r="F99" i="2" a="1"/>
  <c r="F99" i="2" s="1"/>
  <c r="E37" i="2" a="1"/>
  <c r="E37" i="2" s="1"/>
  <c r="B232" i="3" a="1"/>
  <c r="B232" i="3" s="1"/>
  <c r="E8" i="2" a="1"/>
  <c r="E8" i="2" s="1"/>
  <c r="F80" i="2" a="1"/>
  <c r="F80" i="2" s="1"/>
  <c r="E25" i="2" a="1"/>
  <c r="E25" i="2" s="1"/>
  <c r="E70" i="2" a="1"/>
  <c r="E70" i="2" s="1"/>
  <c r="E21" i="2" a="1"/>
  <c r="E21" i="2" s="1"/>
  <c r="E144" i="2" a="1"/>
  <c r="E144" i="2" s="1"/>
  <c r="D30" i="2" a="1"/>
  <c r="D30" i="2" s="1"/>
  <c r="D17" i="2" a="1"/>
  <c r="D17" i="2" s="1"/>
  <c r="E80" i="2" a="1"/>
  <c r="E80" i="2" s="1"/>
  <c r="F103" i="2" a="1"/>
  <c r="F103" i="2" s="1"/>
  <c r="B166" i="3" a="1"/>
  <c r="B166" i="3" s="1"/>
  <c r="F182" i="2" a="1"/>
  <c r="F182" i="2" s="1"/>
  <c r="D138" i="2" a="1"/>
  <c r="D138" i="2" s="1"/>
  <c r="B28" i="3" a="1"/>
  <c r="B28" i="3" s="1"/>
  <c r="E19" i="2" a="1"/>
  <c r="E19" i="2" s="1"/>
  <c r="E75" i="2" a="1"/>
  <c r="E75" i="2" s="1"/>
  <c r="F122" i="2" a="1"/>
  <c r="F122" i="2" s="1"/>
  <c r="E195" i="2" a="1"/>
  <c r="E195" i="2" s="1"/>
  <c r="D115" i="2" a="1"/>
  <c r="D115" i="2" s="1"/>
  <c r="F59" i="2" a="1"/>
  <c r="F59" i="2" s="1"/>
  <c r="E89" i="2" a="1"/>
  <c r="E89" i="2" s="1"/>
  <c r="F3" i="2" a="1"/>
  <c r="F3" i="2" s="1"/>
  <c r="F97" i="2" a="1"/>
  <c r="F97" i="2" s="1"/>
  <c r="E55" i="2" a="1"/>
  <c r="E55" i="2" s="1"/>
  <c r="E78" i="2" a="1"/>
  <c r="E78" i="2" s="1"/>
  <c r="E20" i="2" a="1"/>
  <c r="E20" i="2" s="1"/>
  <c r="D14" i="2" a="1"/>
  <c r="D14" i="2" s="1"/>
  <c r="F39" i="2" a="1"/>
  <c r="F39" i="2" s="1"/>
  <c r="D185" i="2" a="1"/>
  <c r="D185" i="2" s="1"/>
  <c r="E172" i="2" a="1"/>
  <c r="E172" i="2" s="1"/>
  <c r="F77" i="2" a="1"/>
  <c r="F77" i="2" s="1"/>
  <c r="E147" i="2" a="1"/>
  <c r="E147" i="2" s="1"/>
  <c r="E18" i="2" a="1"/>
  <c r="E18" i="2" s="1"/>
  <c r="D179" i="2" a="1"/>
  <c r="D179" i="2" s="1"/>
  <c r="D113" i="2" a="1"/>
  <c r="D113" i="2" s="1"/>
  <c r="D176" i="2" a="1"/>
  <c r="D176" i="2" s="1"/>
  <c r="F299" i="2" a="1"/>
  <c r="F299" i="2" s="1"/>
  <c r="E267" i="2" a="1"/>
  <c r="E267" i="2" s="1"/>
  <c r="F254" i="2" a="1"/>
  <c r="F254" i="2" s="1"/>
  <c r="D157" i="2" a="1"/>
  <c r="D157" i="2" s="1"/>
  <c r="B188" i="3" a="1"/>
  <c r="B188" i="3" s="1"/>
  <c r="D279" i="2" a="1"/>
  <c r="D279" i="2" s="1"/>
  <c r="D158" i="2" a="1"/>
  <c r="D158" i="2" s="1"/>
  <c r="B153" i="3" a="1"/>
  <c r="B153" i="3" s="1"/>
  <c r="E279" i="2" a="1"/>
  <c r="E279" i="2" s="1"/>
  <c r="E157" i="2" a="1"/>
  <c r="E157" i="2" s="1"/>
  <c r="D19" i="2" a="1"/>
  <c r="D19" i="2" s="1"/>
  <c r="E302" i="2" a="1"/>
  <c r="E302" i="2" s="1"/>
  <c r="G2" i="2"/>
  <c r="F262" i="2" a="1"/>
  <c r="F262" i="2" s="1"/>
  <c r="F260" i="2" a="1"/>
  <c r="F260" i="2" s="1"/>
  <c r="E93" i="2" a="1"/>
  <c r="E93" i="2" s="1"/>
  <c r="E209" i="2" a="1"/>
  <c r="E209" i="2" s="1"/>
  <c r="E57" i="2" a="1"/>
  <c r="E57" i="2" s="1"/>
  <c r="B162" i="3" a="1"/>
  <c r="B162" i="3" s="1"/>
  <c r="F295" i="2" a="1"/>
  <c r="F295" i="2" s="1"/>
  <c r="E222" i="2" a="1"/>
  <c r="E222" i="2" s="1"/>
  <c r="E293" i="2" a="1"/>
  <c r="E293" i="2" s="1"/>
  <c r="E91" i="2" a="1"/>
  <c r="E91" i="2" s="1"/>
  <c r="D254" i="2" a="1"/>
  <c r="D254" i="2" s="1"/>
  <c r="F50" i="2" a="1"/>
  <c r="F50" i="2" s="1"/>
  <c r="B110" i="3" a="1"/>
  <c r="B110" i="3" s="1"/>
  <c r="D132" i="2" a="1"/>
  <c r="D132" i="2" s="1"/>
  <c r="E123" i="2" a="1"/>
  <c r="E123" i="2" s="1"/>
  <c r="F160" i="2" a="1"/>
  <c r="F160" i="2" s="1"/>
  <c r="D292" i="2" a="1"/>
  <c r="D292" i="2" s="1"/>
  <c r="F231" i="2" a="1"/>
  <c r="F231" i="2" s="1"/>
  <c r="D289" i="2" a="1"/>
  <c r="D289" i="2" s="1"/>
  <c r="D250" i="2" a="1"/>
  <c r="D250" i="2" s="1"/>
  <c r="E124" i="2" a="1"/>
  <c r="E124" i="2" s="1"/>
  <c r="F11" i="2" a="1"/>
  <c r="F11" i="2" s="1"/>
  <c r="E273" i="2" a="1"/>
  <c r="E273" i="2" s="1"/>
  <c r="D253" i="2" a="1"/>
  <c r="D253" i="2" s="1"/>
  <c r="B165" i="3" a="1"/>
  <c r="B165" i="3" s="1"/>
  <c r="F134" i="2" a="1"/>
  <c r="F134" i="2" s="1"/>
  <c r="D207" i="2" a="1"/>
  <c r="D207" i="2" s="1"/>
  <c r="E181" i="2" a="1"/>
  <c r="E181" i="2" s="1"/>
  <c r="B242" i="3" a="1"/>
  <c r="B242" i="3" s="1"/>
  <c r="E163" i="2" a="1"/>
  <c r="E163" i="2" s="1"/>
  <c r="F233" i="2" a="1"/>
  <c r="F233" i="2" s="1"/>
  <c r="B174" i="3" a="1"/>
  <c r="B174" i="3" s="1"/>
  <c r="E176" i="2" a="1"/>
  <c r="E176" i="2" s="1"/>
  <c r="E213" i="2" a="1"/>
  <c r="E213" i="2" s="1"/>
  <c r="D222" i="2" a="1"/>
  <c r="D222" i="2" s="1"/>
  <c r="E220" i="2" a="1"/>
  <c r="E220" i="2" s="1"/>
  <c r="E229" i="2" a="1"/>
  <c r="E229" i="2" s="1"/>
  <c r="D293" i="2" a="1"/>
  <c r="D293" i="2" s="1"/>
  <c r="E143" i="2" a="1"/>
  <c r="E143" i="2" s="1"/>
  <c r="E203" i="2" a="1"/>
  <c r="E203" i="2" s="1"/>
  <c r="D83" i="2" a="1"/>
  <c r="D83" i="2" s="1"/>
  <c r="D181" i="2" a="1"/>
  <c r="D181" i="2" s="1"/>
  <c r="F34" i="2" a="1"/>
  <c r="F34" i="2" s="1"/>
  <c r="F218" i="2" a="1"/>
  <c r="F218" i="2" s="1"/>
  <c r="F178" i="2" a="1"/>
  <c r="F178" i="2" s="1"/>
  <c r="F222" i="2" a="1"/>
  <c r="F222" i="2" s="1"/>
  <c r="E156" i="2" a="1"/>
  <c r="E156" i="2" s="1"/>
  <c r="E250" i="2" a="1"/>
  <c r="E250" i="2" s="1"/>
  <c r="D217" i="2" a="1"/>
  <c r="D217" i="2" s="1"/>
  <c r="D302" i="2" a="1"/>
  <c r="D302" i="2" s="1"/>
  <c r="E169" i="2" a="1"/>
  <c r="E169" i="2" s="1"/>
  <c r="E289" i="2" a="1"/>
  <c r="E289" i="2" s="1"/>
  <c r="E246" i="2" a="1"/>
  <c r="E246" i="2" s="1"/>
  <c r="F167" i="2" a="1"/>
  <c r="F167" i="2" s="1"/>
  <c r="E9" i="2" a="1"/>
  <c r="E9" i="2" s="1"/>
  <c r="D93" i="2" a="1"/>
  <c r="D93" i="2" s="1"/>
  <c r="F130" i="2" a="1"/>
  <c r="F130" i="2" s="1"/>
  <c r="D242" i="2" a="1"/>
  <c r="D242" i="2" s="1"/>
  <c r="D180" i="2" a="1"/>
  <c r="D180" i="2" s="1"/>
  <c r="D122" i="2" a="1"/>
  <c r="D122" i="2" s="1"/>
  <c r="F62" i="2" a="1"/>
  <c r="F62" i="2" s="1"/>
  <c r="F211" i="2" a="1"/>
  <c r="F211" i="2" s="1"/>
  <c r="E87" i="2" a="1"/>
  <c r="E87" i="2" s="1"/>
  <c r="D256" i="2" a="1"/>
  <c r="D256" i="2" s="1"/>
  <c r="F119" i="2" a="1"/>
  <c r="F119" i="2" s="1"/>
  <c r="E263" i="2" a="1"/>
  <c r="E263" i="2" s="1"/>
  <c r="D291" i="2" a="1"/>
  <c r="D291" i="2" s="1"/>
  <c r="F155" i="2" a="1"/>
  <c r="F155" i="2" s="1"/>
  <c r="D55" i="2" a="1"/>
  <c r="D55" i="2" s="1"/>
  <c r="E179" i="2" a="1"/>
  <c r="E179" i="2" s="1"/>
  <c r="D202" i="2" a="1"/>
  <c r="D202" i="2" s="1"/>
  <c r="B224" i="3" a="1"/>
  <c r="B224" i="3" s="1"/>
  <c r="D150" i="2" a="1"/>
  <c r="D150" i="2" s="1"/>
  <c r="E259" i="2" a="1"/>
  <c r="E259" i="2" s="1"/>
  <c r="B180" i="3" a="1"/>
  <c r="B180" i="3" s="1"/>
  <c r="D186" i="2" a="1"/>
  <c r="D186" i="2" s="1"/>
  <c r="B249" i="3" a="1"/>
  <c r="B249" i="3" s="1"/>
  <c r="E205" i="2" a="1"/>
  <c r="E205" i="2" s="1"/>
  <c r="D129" i="2" a="1"/>
  <c r="D129" i="2" s="1"/>
  <c r="E160" i="2" a="1"/>
  <c r="E160" i="2" s="1"/>
  <c r="D47" i="2" a="1"/>
  <c r="D47" i="2" s="1"/>
  <c r="D226" i="2" a="1"/>
  <c r="D226" i="2" s="1"/>
  <c r="E251" i="2" a="1"/>
  <c r="E251" i="2" s="1"/>
  <c r="D165" i="2" a="1"/>
  <c r="D165" i="2" s="1"/>
  <c r="F269" i="2" a="1"/>
  <c r="F269" i="2" s="1"/>
  <c r="D112" i="2" a="1"/>
  <c r="D112" i="2" s="1"/>
  <c r="F125" i="2" a="1"/>
  <c r="F125" i="2" s="1"/>
  <c r="E53" i="2" a="1"/>
  <c r="E53" i="2" s="1"/>
  <c r="E81" i="2" a="1"/>
  <c r="E81" i="2" s="1"/>
  <c r="D149" i="2" a="1"/>
  <c r="D149" i="2" s="1"/>
  <c r="F91" i="2" a="1"/>
  <c r="F91" i="2" s="1"/>
  <c r="D82" i="2" a="1"/>
  <c r="D82" i="2" s="1"/>
  <c r="E44" i="2" a="1"/>
  <c r="E44" i="2" s="1"/>
  <c r="F28" i="2" a="1"/>
  <c r="F28" i="2" s="1"/>
  <c r="D64" i="2" a="1"/>
  <c r="D64" i="2" s="1"/>
  <c r="F74" i="2" a="1"/>
  <c r="F74" i="2" s="1"/>
  <c r="D188" i="2" a="1"/>
  <c r="D188" i="2" s="1"/>
  <c r="D78" i="2" a="1"/>
  <c r="D78" i="2" s="1"/>
  <c r="F53" i="2" a="1"/>
  <c r="F53" i="2" s="1"/>
  <c r="B18" i="3" a="1"/>
  <c r="B18" i="3" s="1"/>
  <c r="E210" i="2" a="1"/>
  <c r="E210" i="2" s="1"/>
  <c r="B61" i="3" a="1"/>
  <c r="B61" i="3" s="1"/>
  <c r="D175" i="2" a="1"/>
  <c r="D175" i="2" s="1"/>
  <c r="E214" i="2" a="1"/>
  <c r="E214" i="2" s="1"/>
  <c r="E85" i="2" a="1"/>
  <c r="E85" i="2" s="1"/>
  <c r="F111" i="2" a="1"/>
  <c r="F111" i="2" s="1"/>
  <c r="B11" i="3" a="1"/>
  <c r="B11" i="3" s="1"/>
  <c r="E64" i="2" a="1"/>
  <c r="E64" i="2" s="1"/>
  <c r="D60" i="2" a="1"/>
  <c r="D60" i="2" s="1"/>
  <c r="F113" i="2" a="1"/>
  <c r="F113" i="2" s="1"/>
  <c r="B170" i="3" a="1"/>
  <c r="B170" i="3" s="1"/>
  <c r="D87" i="2" a="1"/>
  <c r="D87" i="2" s="1"/>
  <c r="D114" i="2" a="1"/>
  <c r="D114" i="2" s="1"/>
  <c r="B157" i="3" a="1"/>
  <c r="B157" i="3" s="1"/>
  <c r="E54" i="2" a="1"/>
  <c r="E54" i="2" s="1"/>
  <c r="D24" i="2" a="1"/>
  <c r="D24" i="2" s="1"/>
  <c r="F112" i="2" a="1"/>
  <c r="F112" i="2" s="1"/>
  <c r="B14" i="3" a="1"/>
  <c r="B14" i="3" s="1"/>
  <c r="E151" i="2" a="1"/>
  <c r="E151" i="2" s="1"/>
  <c r="D65" i="2" a="1"/>
  <c r="D65" i="2" s="1"/>
  <c r="F107" i="2" a="1"/>
  <c r="F107" i="2" s="1"/>
  <c r="F251" i="2" a="1"/>
  <c r="F251" i="2" s="1"/>
  <c r="E129" i="2" a="1"/>
  <c r="E129" i="2" s="1"/>
  <c r="B79" i="3" a="1"/>
  <c r="B79" i="3" s="1"/>
  <c r="F115" i="2" a="1"/>
  <c r="F115" i="2" s="1"/>
  <c r="D75" i="2" a="1"/>
  <c r="D75" i="2" s="1"/>
  <c r="D144" i="2" a="1"/>
  <c r="D144" i="2" s="1"/>
  <c r="E138" i="2" a="1"/>
  <c r="E138" i="2" s="1"/>
  <c r="E98" i="2" a="1"/>
  <c r="E98" i="2" s="1"/>
  <c r="D110" i="2" a="1"/>
  <c r="D110" i="2" s="1"/>
  <c r="E51" i="2" a="1"/>
  <c r="E51" i="2" s="1"/>
  <c r="F60" i="2" a="1"/>
  <c r="F60" i="2" s="1"/>
  <c r="F69" i="2" a="1"/>
  <c r="F69" i="2" s="1"/>
  <c r="D48" i="2" a="1"/>
  <c r="D48" i="2" s="1"/>
  <c r="D26" i="2" a="1"/>
  <c r="D26" i="2" s="1"/>
  <c r="F86" i="2" a="1"/>
  <c r="F86" i="2" s="1"/>
  <c r="F145" i="2" a="1"/>
  <c r="F145" i="2" s="1"/>
  <c r="E217" i="2" a="1"/>
  <c r="E217" i="2" s="1"/>
  <c r="F142" i="2" a="1"/>
  <c r="F142" i="2" s="1"/>
  <c r="E22" i="2" a="1"/>
  <c r="E22" i="2" s="1"/>
  <c r="F150" i="2" a="1"/>
  <c r="F150" i="2" s="1"/>
  <c r="F79" i="2" a="1"/>
  <c r="F79" i="2" s="1"/>
  <c r="D58" i="2" a="1"/>
  <c r="D58" i="2" s="1"/>
  <c r="F32" i="2" a="1"/>
  <c r="F32" i="2" s="1"/>
  <c r="F109" i="2" a="1"/>
  <c r="F109" i="2" s="1"/>
  <c r="F166" i="2" a="1"/>
  <c r="F166" i="2" s="1"/>
  <c r="D41" i="2" a="1"/>
  <c r="D41" i="2" s="1"/>
  <c r="B131" i="3" a="1"/>
  <c r="B131" i="3" s="1"/>
  <c r="D133" i="2" a="1"/>
  <c r="D133" i="2" s="1"/>
  <c r="F171" i="2" a="1"/>
  <c r="F171" i="2" s="1"/>
  <c r="E94" i="2" a="1"/>
  <c r="E94" i="2" s="1"/>
  <c r="D102" i="2" a="1"/>
  <c r="D102" i="2" s="1"/>
  <c r="E47" i="2" a="1"/>
  <c r="E47" i="2" s="1"/>
  <c r="F56" i="2" a="1"/>
  <c r="F56" i="2" s="1"/>
  <c r="F65" i="2" a="1"/>
  <c r="F65" i="2" s="1"/>
  <c r="D40" i="2" a="1"/>
  <c r="D40" i="2" s="1"/>
  <c r="B100" i="3" a="1"/>
  <c r="B100" i="3" s="1"/>
  <c r="D35" i="2" a="1"/>
  <c r="D35" i="2" s="1"/>
  <c r="F240" i="2" a="1"/>
  <c r="F240" i="2" s="1"/>
  <c r="D215" i="2" a="1"/>
  <c r="D215" i="2" s="1"/>
  <c r="F128" i="2" a="1"/>
  <c r="F128" i="2" s="1"/>
  <c r="D128" i="2" a="1"/>
  <c r="D128" i="2" s="1"/>
  <c r="E198" i="2" a="1"/>
  <c r="E198" i="2" s="1"/>
  <c r="F304" i="2" a="1"/>
  <c r="F304" i="2" s="1"/>
  <c r="B89" i="3" a="1"/>
  <c r="B89" i="3" s="1"/>
  <c r="F202" i="2" a="1"/>
  <c r="F202" i="2" s="1"/>
  <c r="E280" i="2" a="1"/>
  <c r="E280" i="2" s="1"/>
  <c r="E120" i="2" a="1"/>
  <c r="E120" i="2" s="1"/>
  <c r="F259" i="2" a="1"/>
  <c r="F259" i="2" s="1"/>
  <c r="F187" i="2" a="1"/>
  <c r="F187" i="2" s="1"/>
  <c r="D252" i="2" a="1"/>
  <c r="D252" i="2" s="1"/>
  <c r="D280" i="2" a="1"/>
  <c r="D280" i="2" s="1"/>
  <c r="D183" i="2" a="1"/>
  <c r="D183" i="2" s="1"/>
  <c r="F220" i="2" a="1"/>
  <c r="F220" i="2" s="1"/>
  <c r="E104" i="2" a="1"/>
  <c r="E104" i="2" s="1"/>
  <c r="D43" i="2" a="1"/>
  <c r="D43" i="2" s="1"/>
  <c r="D210" i="2" a="1"/>
  <c r="D210" i="2" s="1"/>
  <c r="F161" i="2" a="1"/>
  <c r="F161" i="2" s="1"/>
  <c r="D191" i="2" a="1"/>
  <c r="D191" i="2" s="1"/>
  <c r="F253" i="2" a="1"/>
  <c r="F253" i="2" s="1"/>
  <c r="D285" i="2" a="1"/>
  <c r="D285" i="2" s="1"/>
  <c r="B120" i="3" a="1"/>
  <c r="B120" i="3" s="1"/>
  <c r="B95" i="3" a="1"/>
  <c r="B95" i="3" s="1"/>
  <c r="F195" i="2" a="1"/>
  <c r="F195" i="2" s="1"/>
  <c r="F90" i="2" a="1"/>
  <c r="F90" i="2" s="1"/>
  <c r="E141" i="2" a="1"/>
  <c r="E141" i="2" s="1"/>
  <c r="E105" i="2" a="1"/>
  <c r="E105" i="2" s="1"/>
  <c r="F116" i="2" a="1"/>
  <c r="F116" i="2" s="1"/>
  <c r="B137" i="3" a="1"/>
  <c r="B137" i="3" s="1"/>
  <c r="F110" i="2" a="1"/>
  <c r="F110" i="2" s="1"/>
  <c r="F43" i="2" a="1"/>
  <c r="F43" i="2" s="1"/>
  <c r="F18" i="2" a="1"/>
  <c r="F18" i="2" s="1"/>
  <c r="D68" i="2" a="1"/>
  <c r="D68" i="2" s="1"/>
  <c r="E131" i="2" a="1"/>
  <c r="E131" i="2" s="1"/>
  <c r="F5" i="2" a="1"/>
  <c r="F5" i="2" s="1"/>
  <c r="B218" i="3" a="1"/>
  <c r="B218" i="3" s="1"/>
  <c r="D204" i="2" a="1"/>
  <c r="D204" i="2" s="1"/>
  <c r="D124" i="2" a="1"/>
  <c r="D124" i="2" s="1"/>
  <c r="B41" i="3" a="1"/>
  <c r="B41" i="3" s="1"/>
  <c r="F157" i="2" a="1"/>
  <c r="F157" i="2" s="1"/>
  <c r="D74" i="2" a="1"/>
  <c r="D74" i="2" s="1"/>
  <c r="E3" i="2" a="1"/>
  <c r="E3" i="2" s="1"/>
  <c r="E88" i="2" a="1"/>
  <c r="E88" i="2" s="1"/>
  <c r="F83" i="2" a="1"/>
  <c r="F83" i="2" s="1"/>
  <c r="D89" i="2" a="1"/>
  <c r="D89" i="2" s="1"/>
  <c r="D70" i="2" a="1"/>
  <c r="D70" i="2" s="1"/>
  <c r="F88" i="2" a="1"/>
  <c r="F88" i="2" s="1"/>
  <c r="F49" i="2" a="1"/>
  <c r="F49" i="2" s="1"/>
  <c r="E73" i="2" a="1"/>
  <c r="E73" i="2" s="1"/>
  <c r="B155" i="3" a="1"/>
  <c r="B155" i="3" s="1"/>
  <c r="F26" i="2" a="1"/>
  <c r="F26" i="2" s="1"/>
  <c r="B197" i="3" a="1"/>
  <c r="B197" i="3" s="1"/>
  <c r="E140" i="2" a="1"/>
  <c r="E140" i="2" s="1"/>
  <c r="F8" i="2" a="1"/>
  <c r="F8" i="2" s="1"/>
  <c r="E152" i="2" a="1"/>
  <c r="E152" i="2" s="1"/>
  <c r="F244" i="2" a="1"/>
  <c r="F244" i="2" s="1"/>
  <c r="E185" i="2" a="1"/>
  <c r="E185" i="2" s="1"/>
  <c r="D137" i="2" a="1"/>
  <c r="D137" i="2" s="1"/>
  <c r="E166" i="2" a="1"/>
  <c r="E166" i="2" s="1"/>
  <c r="D193" i="2" a="1"/>
  <c r="D193" i="2" s="1"/>
  <c r="D95" i="2" a="1"/>
  <c r="D95" i="2" s="1"/>
  <c r="E254" i="2" a="1"/>
  <c r="E254" i="2" s="1"/>
  <c r="E11" i="2" a="1"/>
  <c r="E11" i="2" s="1"/>
  <c r="D214" i="2" a="1"/>
  <c r="D214" i="2" s="1"/>
  <c r="B152" i="3" a="1"/>
  <c r="B152" i="3" s="1"/>
  <c r="F213" i="2" a="1"/>
  <c r="F213" i="2" s="1"/>
  <c r="E194" i="2" a="1"/>
  <c r="E194" i="2" s="1"/>
  <c r="D130" i="2" a="1"/>
  <c r="D130" i="2" s="1"/>
  <c r="F288" i="2" a="1"/>
  <c r="F288" i="2" s="1"/>
  <c r="F237" i="2" a="1"/>
  <c r="F237" i="2" s="1"/>
  <c r="B305" i="3" a="1"/>
  <c r="B305" i="3" s="1"/>
  <c r="B181" i="3" a="1"/>
  <c r="B181" i="3" s="1"/>
  <c r="D61" i="2" a="1"/>
  <c r="D61" i="2" s="1"/>
  <c r="D101" i="2" a="1"/>
  <c r="D101" i="2" s="1"/>
  <c r="D141" i="2" a="1"/>
  <c r="D141" i="2" s="1"/>
  <c r="D268" i="2" a="1"/>
  <c r="D268" i="2" s="1"/>
  <c r="F291" i="2" a="1"/>
  <c r="F291" i="2" s="1"/>
  <c r="E261" i="2" a="1"/>
  <c r="E261" i="2" s="1"/>
  <c r="D263" i="2" a="1"/>
  <c r="D263" i="2" s="1"/>
  <c r="B275" i="3" a="1"/>
  <c r="B275" i="3" s="1"/>
  <c r="B277" i="3" a="1"/>
  <c r="B277" i="3" s="1"/>
  <c r="D117" i="2" a="1"/>
  <c r="D117" i="2" s="1"/>
  <c r="D277" i="2" a="1"/>
  <c r="D277" i="2" s="1"/>
  <c r="E193" i="2" a="1"/>
  <c r="E193" i="2" s="1"/>
  <c r="F227" i="2" a="1"/>
  <c r="F227" i="2" s="1"/>
  <c r="E113" i="2" a="1"/>
  <c r="E113" i="2" s="1"/>
  <c r="D118" i="2" a="1"/>
  <c r="D118" i="2" s="1"/>
  <c r="F278" i="2" a="1"/>
  <c r="F278" i="2" s="1"/>
  <c r="F169" i="2" a="1"/>
  <c r="F169" i="2" s="1"/>
  <c r="E49" i="2" a="1"/>
  <c r="E49" i="2" s="1"/>
  <c r="F31" i="2" a="1"/>
  <c r="F31" i="2" s="1"/>
  <c r="F170" i="2" a="1"/>
  <c r="F170" i="2" s="1"/>
  <c r="F190" i="2" a="1"/>
  <c r="F190" i="2" s="1"/>
  <c r="D182" i="2" a="1"/>
  <c r="D182" i="2" s="1"/>
  <c r="E137" i="2" a="1"/>
  <c r="E137" i="2" s="1"/>
  <c r="F207" i="2" a="1"/>
  <c r="F207" i="2" s="1"/>
  <c r="D163" i="2" a="1"/>
  <c r="D163" i="2" s="1"/>
  <c r="B38" i="3" a="1"/>
  <c r="B38" i="3" s="1"/>
  <c r="E13" i="2" a="1"/>
  <c r="E13" i="2" s="1"/>
  <c r="E92" i="2" a="1"/>
  <c r="E92" i="2" s="1"/>
  <c r="E127" i="2" a="1"/>
  <c r="E127" i="2" s="1"/>
  <c r="F68" i="2" a="1"/>
  <c r="F68" i="2" s="1"/>
  <c r="E27" i="2" a="1"/>
  <c r="E27" i="2" s="1"/>
  <c r="F177" i="2" a="1"/>
  <c r="F177" i="2" s="1"/>
  <c r="F117" i="2" a="1"/>
  <c r="F117" i="2" s="1"/>
  <c r="E35" i="2" a="1"/>
  <c r="E35" i="2" s="1"/>
  <c r="B117" i="3" a="1"/>
  <c r="B117" i="3" s="1"/>
  <c r="F129" i="2" a="1"/>
  <c r="F129" i="2" s="1"/>
  <c r="F87" i="2" a="1"/>
  <c r="F87" i="2" s="1"/>
  <c r="E26" i="2" a="1"/>
  <c r="E26" i="2" s="1"/>
  <c r="E40" i="2" a="1"/>
  <c r="E40" i="2" s="1"/>
  <c r="F206" i="2" a="1"/>
  <c r="F206" i="2" s="1"/>
  <c r="F156" i="2" a="1"/>
  <c r="F156" i="2" s="1"/>
  <c r="D45" i="2" a="1"/>
  <c r="D45" i="2" s="1"/>
  <c r="E79" i="2" a="1"/>
  <c r="E79" i="2" s="1"/>
  <c r="F64" i="2" a="1"/>
  <c r="F64" i="2" s="1"/>
  <c r="D104" i="2" a="1"/>
  <c r="D104" i="2" s="1"/>
  <c r="B171" i="3" a="1"/>
  <c r="B171" i="3" s="1"/>
  <c r="D126" i="2" a="1"/>
  <c r="D126" i="2" s="1"/>
  <c r="F35" i="2" a="1"/>
  <c r="F35" i="2" s="1"/>
  <c r="E60" i="2" a="1"/>
  <c r="E60" i="2" s="1"/>
  <c r="E282" i="2" a="1"/>
  <c r="E282" i="2" s="1"/>
  <c r="F163" i="2" a="1"/>
  <c r="F163" i="2" s="1"/>
  <c r="F38" i="2" a="1"/>
  <c r="F38" i="2" s="1"/>
  <c r="F168" i="2" a="1"/>
  <c r="F168" i="2" s="1"/>
  <c r="F152" i="2" a="1"/>
  <c r="F152" i="2" s="1"/>
  <c r="E50" i="2" a="1"/>
  <c r="E50" i="2" s="1"/>
  <c r="D25" i="2" a="1"/>
  <c r="D25" i="2" s="1"/>
  <c r="F6" i="2" a="1"/>
  <c r="F6" i="2" s="1"/>
  <c r="F93" i="2" a="1"/>
  <c r="F93" i="2" s="1"/>
  <c r="F61" i="2" a="1"/>
  <c r="F61" i="2" s="1"/>
  <c r="D123" i="2" a="1"/>
  <c r="D123" i="2" s="1"/>
  <c r="E48" i="2" a="1"/>
  <c r="E48" i="2" s="1"/>
  <c r="E256" i="2" a="1"/>
  <c r="E256" i="2" s="1"/>
  <c r="E61" i="2" a="1"/>
  <c r="E61" i="2" s="1"/>
  <c r="B205" i="3" a="1"/>
  <c r="B205" i="3" s="1"/>
  <c r="B98" i="3" a="1"/>
  <c r="B98" i="3" s="1"/>
  <c r="F55" i="2" a="1"/>
  <c r="F55" i="2" s="1"/>
  <c r="B75" i="3" a="1"/>
  <c r="B75" i="3" s="1"/>
  <c r="D4" i="2" a="1"/>
  <c r="D4" i="2" s="1"/>
  <c r="D44" i="2" a="1"/>
  <c r="D44" i="2" s="1"/>
  <c r="B183" i="3" a="1"/>
  <c r="B183" i="3" s="1"/>
  <c r="E102" i="2" a="1"/>
  <c r="E102" i="2" s="1"/>
  <c r="F216" i="2" a="1"/>
  <c r="F216" i="2" s="1"/>
  <c r="E100" i="2" a="1"/>
  <c r="E100" i="2" s="1"/>
  <c r="D54" i="2" a="1"/>
  <c r="D54" i="2" s="1"/>
  <c r="F104" i="2" a="1"/>
  <c r="F104" i="2" s="1"/>
  <c r="F41" i="2" a="1"/>
  <c r="F41" i="2" s="1"/>
  <c r="E43" i="2" a="1"/>
  <c r="E43" i="2" s="1"/>
  <c r="E167" i="2" a="1"/>
  <c r="E167" i="2" s="1"/>
  <c r="F7" i="2" a="1"/>
  <c r="F7" i="2" s="1"/>
  <c r="B115" i="3" a="1"/>
  <c r="B115" i="3" s="1"/>
  <c r="F51" i="2" a="1"/>
  <c r="F51" i="2" s="1"/>
  <c r="D12" i="2" a="1"/>
  <c r="D12" i="2" s="1"/>
  <c r="D3" i="2" a="1"/>
  <c r="D3" i="2" s="1"/>
  <c r="E191" i="2" a="1"/>
  <c r="E191" i="2" s="1"/>
  <c r="D218" i="2" a="1"/>
  <c r="D218" i="2" s="1"/>
  <c r="D91" i="2" a="1"/>
  <c r="D91" i="2" s="1"/>
  <c r="D140" i="2" a="1"/>
  <c r="D140" i="2" s="1"/>
  <c r="E66" i="2" a="1"/>
  <c r="E66" i="2" s="1"/>
  <c r="D46" i="2" a="1"/>
  <c r="D46" i="2" s="1"/>
  <c r="E32" i="2" a="1"/>
  <c r="E32" i="2" s="1"/>
  <c r="D216" i="2" a="1"/>
  <c r="D216" i="2" s="1"/>
  <c r="D255" i="2" a="1"/>
  <c r="D255" i="2" s="1"/>
  <c r="F174" i="2" a="1"/>
  <c r="F174" i="2" s="1"/>
  <c r="F192" i="2" a="1"/>
  <c r="F192" i="2" s="1"/>
  <c r="E116" i="2" a="1"/>
  <c r="E116" i="2" s="1"/>
  <c r="D121" i="2" a="1"/>
  <c r="D121" i="2" s="1"/>
  <c r="E62" i="2" a="1"/>
  <c r="E62" i="2" s="1"/>
  <c r="D38" i="2" a="1"/>
  <c r="D38" i="2" s="1"/>
  <c r="B13" i="3" a="1"/>
  <c r="B13" i="3" s="1"/>
  <c r="F20" i="2" a="1"/>
  <c r="F20" i="2" s="1"/>
  <c r="F33" i="2" a="1"/>
  <c r="F33" i="2" s="1"/>
  <c r="D127" i="2" a="1"/>
  <c r="D127" i="2" s="1"/>
  <c r="E82" i="2" a="1"/>
  <c r="E82" i="2" s="1"/>
  <c r="E59" i="2" a="1"/>
  <c r="E59" i="2" s="1"/>
  <c r="F101" i="2" a="1"/>
  <c r="F101" i="2" s="1"/>
  <c r="E36" i="2" a="1"/>
  <c r="E36" i="2" s="1"/>
  <c r="D100" i="2" a="1"/>
  <c r="D100" i="2" s="1"/>
  <c r="F57" i="2" a="1"/>
  <c r="F57" i="2" s="1"/>
  <c r="F96" i="2" a="1"/>
  <c r="F96" i="2" s="1"/>
  <c r="D86" i="2" a="1"/>
  <c r="D86" i="2" s="1"/>
  <c r="D10" i="2" a="1"/>
  <c r="D10" i="2" s="1"/>
  <c r="F114" i="2" a="1"/>
  <c r="F114" i="2" s="1"/>
  <c r="D76" i="2" a="1"/>
  <c r="D76" i="2" s="1"/>
  <c r="B90" i="3" a="1"/>
  <c r="B90" i="3" s="1"/>
  <c r="D94" i="2" a="1"/>
  <c r="D94" i="2" s="1"/>
  <c r="F14" i="2" a="1"/>
  <c r="F14" i="2" s="1"/>
  <c r="E112" i="2" a="1"/>
  <c r="E112" i="2" s="1"/>
  <c r="E126" i="2" a="1"/>
  <c r="E126" i="2" s="1"/>
  <c r="E197" i="2" a="1"/>
  <c r="E197" i="2" s="1"/>
  <c r="B49" i="3" a="1"/>
  <c r="B49" i="3" s="1"/>
  <c r="D90" i="2" a="1"/>
  <c r="D90" i="2" s="1"/>
  <c r="D6" i="2" a="1"/>
  <c r="D6" i="2" s="1"/>
  <c r="E76" i="2" a="1"/>
  <c r="E76" i="2" s="1"/>
  <c r="F17" i="2" a="1"/>
  <c r="F17" i="2" s="1"/>
  <c r="D98" i="2" a="1"/>
  <c r="D98" i="2" s="1"/>
  <c r="E145" i="2" a="1"/>
  <c r="E145" i="2" s="1"/>
  <c r="F159" i="2" a="1"/>
  <c r="F159" i="2" s="1"/>
  <c r="E12" i="2" a="1"/>
  <c r="E12" i="2" s="1"/>
  <c r="D80" i="2" a="1"/>
  <c r="D80" i="2" s="1"/>
  <c r="D88" i="2" a="1"/>
  <c r="D88" i="2" s="1"/>
  <c r="E30" i="2" a="1"/>
  <c r="E30" i="2" s="1"/>
  <c r="E161" i="2" a="1"/>
  <c r="E161" i="2" s="1"/>
  <c r="D139" i="2" a="1"/>
  <c r="D139" i="2" s="1"/>
  <c r="E4" i="2" a="1"/>
  <c r="E4" i="2" s="1"/>
  <c r="F16" i="2" a="1"/>
  <c r="F16" i="2" s="1"/>
  <c r="D22" i="2" a="1"/>
  <c r="D22" i="2" s="1"/>
  <c r="B176" i="3" a="1"/>
  <c r="B176" i="3" s="1"/>
  <c r="E111" i="2" a="1"/>
  <c r="E111" i="2" s="1"/>
  <c r="E7" i="2" a="1"/>
  <c r="E7" i="2" s="1"/>
  <c r="E158" i="2" a="1"/>
  <c r="E158" i="2" s="1"/>
  <c r="F10" i="2" a="1"/>
  <c r="F10" i="2" s="1"/>
  <c r="F45" i="2" a="1"/>
  <c r="F45" i="2" s="1"/>
  <c r="F36" i="2" a="1"/>
  <c r="F36" i="2" s="1"/>
  <c r="E24" i="2" a="1"/>
  <c r="E24" i="2" s="1"/>
  <c r="F46" i="2" a="1"/>
  <c r="F46" i="2" s="1"/>
  <c r="E231" i="2" a="1"/>
  <c r="E231" i="2" s="1"/>
  <c r="B54" i="3" a="1"/>
  <c r="B54" i="3" s="1"/>
  <c r="D18" i="2" a="1"/>
  <c r="D18" i="2" s="1"/>
  <c r="B88" i="3" a="1"/>
  <c r="B88" i="3" s="1"/>
  <c r="B32" i="3" a="1"/>
  <c r="B32" i="3" s="1"/>
  <c r="D108" i="2" a="1"/>
  <c r="D108" i="2" s="1"/>
  <c r="F63" i="2" a="1"/>
  <c r="F63" i="2" s="1"/>
  <c r="F123" i="2" a="1"/>
  <c r="F123" i="2" s="1"/>
  <c r="F44" i="2" a="1"/>
  <c r="F44" i="2" s="1"/>
  <c r="F54" i="2" a="1"/>
  <c r="F54" i="2" s="1"/>
  <c r="D16" i="2" a="1"/>
  <c r="D16" i="2" s="1"/>
  <c r="D97" i="2" a="1"/>
  <c r="D97" i="2" s="1"/>
  <c r="E68" i="2" a="1"/>
  <c r="E68" i="2" s="1"/>
  <c r="D34" i="2" a="1"/>
  <c r="D34" i="2" s="1"/>
  <c r="D184" i="2" a="1"/>
  <c r="D184" i="2" s="1"/>
  <c r="D120" i="2" a="1"/>
  <c r="D120" i="2" s="1"/>
  <c r="B187" i="3" a="1"/>
  <c r="B187" i="3" s="1"/>
  <c r="B220" i="3" a="1"/>
  <c r="B220" i="3" s="1"/>
  <c r="F70" i="2" a="1"/>
  <c r="F70" i="2" s="1"/>
  <c r="D248" i="2" a="1"/>
  <c r="D248" i="2" s="1"/>
  <c r="F198" i="2" a="1"/>
  <c r="F198" i="2" s="1"/>
  <c r="E45" i="2" a="1"/>
  <c r="E45" i="2" s="1"/>
  <c r="D192" i="2" a="1"/>
  <c r="D192" i="2" s="1"/>
  <c r="B135" i="3" a="1"/>
  <c r="B135" i="3" s="1"/>
  <c r="F267" i="2" a="1"/>
  <c r="F267" i="2" s="1"/>
  <c r="F42" i="2" a="1"/>
  <c r="F42" i="2" s="1"/>
  <c r="B127" i="3" a="1"/>
  <c r="B127" i="3" s="1"/>
  <c r="D146" i="2" a="1"/>
  <c r="D146" i="2" s="1"/>
  <c r="D261" i="2" a="1"/>
  <c r="D261" i="2" s="1"/>
  <c r="F248" i="2" a="1"/>
  <c r="F248" i="2" s="1"/>
  <c r="F139" i="2" a="1"/>
  <c r="F139" i="2" s="1"/>
  <c r="E16" i="2" a="1"/>
  <c r="E16" i="2" s="1"/>
  <c r="E34" i="2" a="1"/>
  <c r="E34" i="2" s="1"/>
  <c r="B30" i="3" a="1"/>
  <c r="B30" i="3" s="1"/>
  <c r="F81" i="2" a="1"/>
  <c r="F81" i="2" s="1"/>
  <c r="B96" i="3" a="1"/>
  <c r="B96" i="3" s="1"/>
  <c r="E39" i="2" a="1"/>
  <c r="E39" i="2" s="1"/>
  <c r="F15" i="2" a="1"/>
  <c r="F15" i="2" s="1"/>
  <c r="E38" i="2" a="1"/>
  <c r="E38" i="2" s="1"/>
  <c r="F180" i="2" a="1"/>
  <c r="F180" i="2" s="1"/>
  <c r="D225" i="2" a="1"/>
  <c r="D225" i="2" s="1"/>
  <c r="B52" i="3" a="1"/>
  <c r="B52" i="3" s="1"/>
  <c r="E42" i="2" a="1"/>
  <c r="E42" i="2" s="1"/>
  <c r="E168" i="2" a="1"/>
  <c r="E168" i="2" s="1"/>
  <c r="D156" i="2" a="1"/>
  <c r="D156" i="2" s="1"/>
  <c r="D125" i="2" a="1"/>
  <c r="D125" i="2" s="1"/>
  <c r="F203" i="2" a="1"/>
  <c r="F203" i="2" s="1"/>
  <c r="F95" i="2" a="1"/>
  <c r="F95" i="2" s="1"/>
  <c r="F37" i="2" a="1"/>
  <c r="F37" i="2" s="1"/>
  <c r="D36" i="2" a="1"/>
  <c r="D36" i="2" s="1"/>
  <c r="E28" i="2" a="1"/>
  <c r="E28" i="2" s="1"/>
  <c r="B47" i="3" a="1"/>
  <c r="B47" i="3" s="1"/>
  <c r="D23" i="2" a="1"/>
  <c r="D23" i="2" s="1"/>
  <c r="E188" i="2" a="1"/>
  <c r="E188" i="2" s="1"/>
  <c r="D69" i="2" a="1"/>
  <c r="D69" i="2" s="1"/>
  <c r="D154" i="2" a="1"/>
  <c r="D154" i="2" s="1"/>
  <c r="F85" i="2" a="1"/>
  <c r="F85" i="2" s="1"/>
  <c r="B17" i="3" a="1"/>
  <c r="B17" i="3" s="1"/>
  <c r="E5" i="2" a="1"/>
  <c r="E5" i="2" s="1"/>
  <c r="E71" i="2" a="1"/>
  <c r="E71" i="2" s="1"/>
  <c r="B150" i="3" a="1"/>
  <c r="B150" i="3" s="1"/>
  <c r="D190" i="2" a="1"/>
  <c r="D190" i="2" s="1"/>
  <c r="D13" i="2" a="1"/>
  <c r="D13" i="2" s="1"/>
  <c r="F9" i="2" a="1"/>
  <c r="F9" i="2" s="1"/>
  <c r="D106" i="2" a="1"/>
  <c r="D106" i="2" s="1"/>
  <c r="D220" i="2" a="1"/>
  <c r="D220" i="2" s="1"/>
  <c r="D57" i="2" a="1"/>
  <c r="D57" i="2" s="1"/>
  <c r="D42" i="2" a="1"/>
  <c r="D42" i="2" s="1"/>
  <c r="D164" i="2" a="1"/>
  <c r="D164" i="2" s="1"/>
  <c r="D92" i="2" a="1"/>
  <c r="D92" i="2" s="1"/>
  <c r="E6" i="2" a="1"/>
  <c r="E6" i="2" s="1"/>
  <c r="F84" i="2" a="1"/>
  <c r="F84" i="2" s="1"/>
  <c r="D62" i="2" a="1"/>
  <c r="D62" i="2" s="1"/>
  <c r="E74" i="2" a="1"/>
  <c r="E74" i="2" s="1"/>
  <c r="E224" i="2" a="1"/>
  <c r="E224" i="2" s="1"/>
  <c r="B78" i="3" a="1"/>
  <c r="B78" i="3" s="1"/>
  <c r="D56" i="2" a="1"/>
  <c r="D56" i="2" s="1"/>
  <c r="F40" i="2" a="1"/>
  <c r="F40" i="2" s="1"/>
  <c r="F212" i="2" a="1"/>
  <c r="F212" i="2" s="1"/>
  <c r="E118" i="2" a="1"/>
  <c r="E118" i="2" s="1"/>
  <c r="F21" i="2" a="1"/>
  <c r="F21" i="2" s="1"/>
  <c r="B58" i="3" a="1"/>
  <c r="B58" i="3" s="1"/>
  <c r="E202" i="2" a="1"/>
  <c r="E202" i="2" s="1"/>
  <c r="D159" i="2" a="1"/>
  <c r="D159" i="2" s="1"/>
  <c r="E58" i="2" a="1"/>
  <c r="E58" i="2" s="1"/>
  <c r="E171" i="2" a="1"/>
  <c r="E171" i="2" s="1"/>
  <c r="E83" i="2" a="1"/>
  <c r="E83" i="2" s="1"/>
  <c r="B5" i="3" a="1"/>
  <c r="B5" i="3" s="1"/>
  <c r="F67" i="2" a="1"/>
  <c r="F67" i="2" s="1"/>
  <c r="F181" i="2" a="1"/>
  <c r="F181" i="2" s="1"/>
  <c r="F154" i="2" a="1"/>
  <c r="F154" i="2" s="1"/>
  <c r="E208" i="2" a="1"/>
  <c r="E208" i="2" s="1"/>
  <c r="E122" i="2" a="1"/>
  <c r="E122" i="2" s="1"/>
  <c r="F200" i="2" a="1"/>
  <c r="F200" i="2" s="1"/>
  <c r="B192" i="3" a="1"/>
  <c r="B192" i="3" s="1"/>
  <c r="E226" i="2" a="1"/>
  <c r="E226" i="2" s="1"/>
  <c r="D276" i="2" a="1"/>
  <c r="D276" i="2" s="1"/>
  <c r="B168" i="3" a="1"/>
  <c r="B168" i="3" s="1"/>
  <c r="E162" i="2" a="1"/>
  <c r="E162" i="2" s="1"/>
  <c r="B297" i="3" a="1"/>
  <c r="B297" i="3" s="1"/>
  <c r="B85" i="3" a="1"/>
  <c r="B85" i="3" s="1"/>
  <c r="B159" i="3" a="1"/>
  <c r="B159" i="3" s="1"/>
  <c r="F144" i="2" a="1"/>
  <c r="F144" i="2" s="1"/>
  <c r="E125" i="2" a="1"/>
  <c r="E125" i="2" s="1"/>
  <c r="E41" i="2" a="1"/>
  <c r="E41" i="2" s="1"/>
  <c r="E155" i="2" a="1"/>
  <c r="E155" i="2" s="1"/>
  <c r="E115" i="2" a="1"/>
  <c r="E115" i="2" s="1"/>
  <c r="F124" i="2" a="1"/>
  <c r="F124" i="2" s="1"/>
  <c r="B288" i="3" a="1"/>
  <c r="B288" i="3" s="1"/>
  <c r="F229" i="2" a="1"/>
  <c r="F229" i="2" s="1"/>
  <c r="D283" i="2" a="1"/>
  <c r="D283" i="2" s="1"/>
  <c r="E257" i="2" a="1"/>
  <c r="E257" i="2" s="1"/>
  <c r="D99" i="2" a="1"/>
  <c r="D99" i="2" s="1"/>
  <c r="F210" i="2" a="1"/>
  <c r="F210" i="2" s="1"/>
  <c r="D178" i="2" a="1"/>
  <c r="D178" i="2" s="1"/>
  <c r="D152" i="2" a="1"/>
  <c r="D152" i="2" s="1"/>
  <c r="B251" i="3" a="1"/>
  <c r="B251" i="3" s="1"/>
  <c r="E29" i="2" a="1"/>
  <c r="E29" i="2" s="1"/>
  <c r="B303" i="3" a="1"/>
  <c r="B303" i="3" s="1"/>
  <c r="F235" i="2" a="1"/>
  <c r="F235" i="2" s="1"/>
  <c r="D287" i="2" a="1"/>
  <c r="D287" i="2" s="1"/>
  <c r="F66" i="2" a="1"/>
  <c r="F66" i="2" s="1"/>
  <c r="D271" i="2" a="1"/>
  <c r="D271" i="2" s="1"/>
  <c r="E133" i="2" a="1"/>
  <c r="E133" i="2" s="1"/>
  <c r="D81" i="2" a="1"/>
  <c r="D81" i="2" s="1"/>
  <c r="F121" i="2" a="1"/>
  <c r="F121" i="2" s="1"/>
  <c r="F82" i="2" a="1"/>
  <c r="F82" i="2" s="1"/>
  <c r="D219" i="2" a="1"/>
  <c r="D219" i="2" s="1"/>
  <c r="F132" i="2" a="1"/>
  <c r="F132" i="2" s="1"/>
  <c r="D77" i="2" a="1"/>
  <c r="D77" i="2" s="1"/>
  <c r="E178" i="2" a="1"/>
  <c r="E178" i="2" s="1"/>
  <c r="E265" i="2" a="1"/>
  <c r="E265" i="2" s="1"/>
  <c r="F179" i="2" a="1"/>
  <c r="F179" i="2" s="1"/>
  <c r="D257" i="2" a="1"/>
  <c r="D257" i="2" s="1"/>
  <c r="E216" i="2" a="1"/>
  <c r="E216" i="2" s="1"/>
  <c r="F257" i="2" a="1"/>
  <c r="F257" i="2" s="1"/>
  <c r="B20" i="3" a="1"/>
  <c r="B20" i="3" s="1"/>
  <c r="F204" i="2" a="1"/>
  <c r="F204" i="2" s="1"/>
  <c r="B161" i="3" a="1"/>
  <c r="B161" i="3" s="1"/>
  <c r="B182" i="3" a="1"/>
  <c r="B182" i="3" s="1"/>
  <c r="F165" i="2" a="1"/>
  <c r="F165" i="2" s="1"/>
  <c r="E17" i="2" a="1"/>
  <c r="E17" i="2" s="1"/>
  <c r="F184" i="2" a="1"/>
  <c r="F184" i="2" s="1"/>
  <c r="F153" i="2" a="1"/>
  <c r="F153" i="2" s="1"/>
  <c r="B230" i="3" a="1"/>
  <c r="B230" i="3" s="1"/>
  <c r="B279" i="3" a="1"/>
  <c r="B279" i="3" s="1"/>
  <c r="D197" i="2" a="1"/>
  <c r="D197" i="2" s="1"/>
  <c r="F265" i="2" a="1"/>
  <c r="F265" i="2" s="1"/>
  <c r="D305" i="2" a="1"/>
  <c r="D305" i="2" s="1"/>
  <c r="E219" i="2" a="1"/>
  <c r="E219" i="2" s="1"/>
  <c r="D281" i="2" a="1"/>
  <c r="D281" i="2" s="1"/>
  <c r="D39" i="2" a="1"/>
  <c r="D39" i="2" s="1"/>
  <c r="E165" i="2" a="1"/>
  <c r="E165" i="2" s="1"/>
  <c r="D169" i="2" a="1"/>
  <c r="D169" i="2" s="1"/>
  <c r="E189" i="2" a="1"/>
  <c r="E189" i="2" s="1"/>
  <c r="D131" i="2" a="1"/>
  <c r="D131" i="2" s="1"/>
  <c r="D244" i="2" a="1"/>
  <c r="D244" i="2" s="1"/>
  <c r="E77" i="2" a="1"/>
  <c r="E77" i="2" s="1"/>
  <c r="B301" i="3" a="1"/>
  <c r="B301" i="3" s="1"/>
  <c r="D59" i="2" a="1"/>
  <c r="D59" i="2" s="1"/>
  <c r="D290" i="2" a="1"/>
  <c r="D290" i="2" s="1"/>
  <c r="D160" i="2" a="1"/>
  <c r="D160" i="2" s="1"/>
  <c r="D134" i="2" a="1"/>
  <c r="D134" i="2" s="1"/>
  <c r="B266" i="3" a="1"/>
  <c r="B266" i="3" s="1"/>
  <c r="F250" i="2" a="1"/>
  <c r="F250" i="2" s="1"/>
  <c r="F302" i="2" a="1"/>
  <c r="F302" i="2" s="1"/>
  <c r="E107" i="2" a="1"/>
  <c r="E107" i="2" s="1"/>
  <c r="E114" i="2" a="1"/>
  <c r="E114" i="2" s="1"/>
  <c r="B243" i="3" a="1"/>
  <c r="B243" i="3" s="1"/>
  <c r="B31" i="3" a="1"/>
  <c r="B31" i="3" s="1"/>
  <c r="F293" i="2" a="1"/>
  <c r="F293" i="2" s="1"/>
  <c r="B237" i="3" a="1"/>
  <c r="B237" i="3" s="1"/>
  <c r="D147" i="2" a="1"/>
  <c r="D147" i="2" s="1"/>
  <c r="D142" i="2" a="1"/>
  <c r="D142" i="2" s="1"/>
  <c r="E101" i="2" a="1"/>
  <c r="E101" i="2" s="1"/>
  <c r="E130" i="2" a="1"/>
  <c r="E130" i="2" s="1"/>
  <c r="D224" i="2" a="1"/>
  <c r="D224" i="2" s="1"/>
  <c r="F137" i="2" a="1"/>
  <c r="F137" i="2" s="1"/>
  <c r="F94" i="2" a="1"/>
  <c r="F94" i="2" s="1"/>
  <c r="F215" i="2" a="1"/>
  <c r="F215" i="2" s="1"/>
  <c r="F284" i="2" a="1"/>
  <c r="F284" i="2" s="1"/>
  <c r="E223" i="2" a="1"/>
  <c r="E223" i="2" s="1"/>
  <c r="D272" i="2" a="1"/>
  <c r="D272" i="2" s="1"/>
  <c r="F197" i="2" a="1"/>
  <c r="F197" i="2" s="1"/>
  <c r="F263" i="2" a="1"/>
  <c r="F263" i="2" s="1"/>
  <c r="B257" i="3" a="1"/>
  <c r="B257" i="3" s="1"/>
  <c r="E211" i="2" a="1"/>
  <c r="E211" i="2" s="1"/>
  <c r="D8" i="2" a="1"/>
  <c r="D8" i="2" s="1"/>
  <c r="E187" i="2" a="1"/>
  <c r="E187" i="2" s="1"/>
  <c r="D49" i="2" a="1"/>
  <c r="D49" i="2" s="1"/>
  <c r="F162" i="2" a="1"/>
  <c r="F162" i="2" s="1"/>
  <c r="E134" i="2" a="1"/>
  <c r="E134" i="2" s="1"/>
  <c r="E235" i="2" a="1"/>
  <c r="E235" i="2" s="1"/>
  <c r="B216" i="3" a="1"/>
  <c r="B216" i="3" s="1"/>
  <c r="E272" i="2" a="1"/>
  <c r="E272" i="2" s="1"/>
  <c r="D53" i="2" a="1"/>
  <c r="D53" i="2" s="1"/>
  <c r="B214" i="3" a="1"/>
  <c r="B214" i="3" s="1"/>
  <c r="F12" i="2" a="1"/>
  <c r="F12" i="2" s="1"/>
  <c r="F172" i="2" a="1"/>
  <c r="F172" i="2" s="1"/>
  <c r="F194" i="2" a="1"/>
  <c r="F194" i="2" s="1"/>
  <c r="E164" i="2" a="1"/>
  <c r="E164" i="2" s="1"/>
  <c r="E136" i="2" a="1"/>
  <c r="E136" i="2" s="1"/>
  <c r="E237" i="2" a="1"/>
  <c r="E237" i="2" s="1"/>
  <c r="F219" i="2" a="1"/>
  <c r="F219" i="2" s="1"/>
  <c r="E274" i="2" a="1"/>
  <c r="E274" i="2" s="1"/>
  <c r="E121" i="2" a="1"/>
  <c r="E121" i="2" s="1"/>
  <c r="E33" i="2" a="1"/>
  <c r="E33" i="2" s="1"/>
  <c r="F135" i="2" a="1"/>
  <c r="F135" i="2" s="1"/>
  <c r="D148" i="2" a="1"/>
  <c r="D148" i="2" s="1"/>
  <c r="D171" i="2" a="1"/>
  <c r="D171" i="2" s="1"/>
  <c r="D304" i="2" a="1"/>
  <c r="D304" i="2" s="1"/>
  <c r="E304" i="2" a="1"/>
  <c r="E304" i="2" s="1"/>
  <c r="F306" i="2" a="1"/>
  <c r="F306" i="2" s="1"/>
  <c r="B104" i="3" a="1"/>
  <c r="B104" i="3" s="1"/>
  <c r="D265" i="2" a="1"/>
  <c r="D265" i="2" s="1"/>
  <c r="E128" i="2" a="1"/>
  <c r="E128" i="2" s="1"/>
  <c r="D103" i="2" a="1"/>
  <c r="D103" i="2" s="1"/>
  <c r="E221" i="2" a="1"/>
  <c r="E221" i="2" s="1"/>
  <c r="E298" i="2" a="1"/>
  <c r="E298" i="2" s="1"/>
  <c r="B276" i="3" a="1"/>
  <c r="B276" i="3" s="1"/>
  <c r="B186" i="3" a="1"/>
  <c r="B186" i="3" s="1"/>
  <c r="B278" i="3" a="1"/>
  <c r="B278" i="3" s="1"/>
  <c r="F266" i="2" a="1"/>
  <c r="F266" i="2" s="1"/>
  <c r="D195" i="2" a="1"/>
  <c r="D195" i="2" s="1"/>
  <c r="D241" i="2" a="1"/>
  <c r="D241" i="2" s="1"/>
  <c r="D32" i="2" a="1"/>
  <c r="D32" i="2" s="1"/>
  <c r="E232" i="2" a="1"/>
  <c r="E232" i="2" s="1"/>
  <c r="D119" i="2" a="1"/>
  <c r="D119" i="2" s="1"/>
  <c r="E238" i="2" a="1"/>
  <c r="E238" i="2" s="1"/>
  <c r="B271" i="3" a="1"/>
  <c r="B271" i="3" s="1"/>
  <c r="E192" i="2" a="1"/>
  <c r="E192" i="2" s="1"/>
  <c r="F261" i="2" a="1"/>
  <c r="F261" i="2" s="1"/>
  <c r="E268" i="2" a="1"/>
  <c r="E268" i="2" s="1"/>
  <c r="B227" i="3" a="1"/>
  <c r="B227" i="3" s="1"/>
  <c r="B207" i="3" a="1"/>
  <c r="B207" i="3" s="1"/>
  <c r="E175" i="2" a="1"/>
  <c r="E175" i="2" s="1"/>
  <c r="E135" i="2" a="1"/>
  <c r="E135" i="2" s="1"/>
  <c r="D153" i="2" a="1"/>
  <c r="D153" i="2" s="1"/>
  <c r="F127" i="2" a="1"/>
  <c r="F127" i="2" s="1"/>
  <c r="E170" i="2" a="1"/>
  <c r="E170" i="2" s="1"/>
  <c r="F256" i="2" a="1"/>
  <c r="F256" i="2" s="1"/>
  <c r="D116" i="2" a="1"/>
  <c r="D116" i="2" s="1"/>
  <c r="E244" i="2" a="1"/>
  <c r="E244" i="2" s="1"/>
  <c r="E300" i="2" a="1"/>
  <c r="E300" i="2" s="1"/>
  <c r="E285" i="2" a="1"/>
  <c r="E285" i="2" s="1"/>
  <c r="E275" i="2" a="1"/>
  <c r="E275" i="2" s="1"/>
  <c r="B27" i="3" a="1"/>
  <c r="B27" i="3" s="1"/>
  <c r="E97" i="2" a="1"/>
  <c r="E97" i="2" s="1"/>
  <c r="E23" i="2" a="1"/>
  <c r="E23" i="2" s="1"/>
  <c r="F199" i="2" a="1"/>
  <c r="F199" i="2" s="1"/>
  <c r="F118" i="2" a="1"/>
  <c r="F118" i="2" s="1"/>
  <c r="F13" i="2" a="1"/>
  <c r="F13" i="2" s="1"/>
  <c r="D135" i="2" a="1"/>
  <c r="D135" i="2" s="1"/>
  <c r="D246" i="2" a="1"/>
  <c r="D246" i="2" s="1"/>
  <c r="B299" i="3" a="1"/>
  <c r="B299" i="3" s="1"/>
  <c r="D240" i="2" a="1"/>
  <c r="D240" i="2" s="1"/>
  <c r="D199" i="2" a="1"/>
  <c r="D199" i="2" s="1"/>
  <c r="D170" i="2" a="1"/>
  <c r="D170" i="2" s="1"/>
  <c r="D105" i="2" a="1"/>
  <c r="D105" i="2" s="1"/>
  <c r="D27" i="2" a="1"/>
  <c r="D27" i="2" s="1"/>
  <c r="D203" i="2" a="1"/>
  <c r="D203" i="2" s="1"/>
  <c r="F120" i="2" a="1"/>
  <c r="F120" i="2" s="1"/>
  <c r="D20" i="2" a="1"/>
  <c r="D20" i="2" s="1"/>
  <c r="E196" i="2" a="1"/>
  <c r="E196" i="2" s="1"/>
  <c r="F164" i="2" a="1"/>
  <c r="F164" i="2" s="1"/>
  <c r="B144" i="3" a="1"/>
  <c r="B144" i="3" s="1"/>
  <c r="E248" i="2" a="1"/>
  <c r="E248" i="2" s="1"/>
  <c r="D300" i="2" a="1"/>
  <c r="D300" i="2" s="1"/>
  <c r="E242" i="2" a="1"/>
  <c r="E242" i="2" s="1"/>
  <c r="B139" i="3" a="1"/>
  <c r="B139" i="3" s="1"/>
  <c r="E132" i="2" a="1"/>
  <c r="E132" i="2" s="1"/>
  <c r="D151" i="2" a="1"/>
  <c r="D151" i="2" s="1"/>
  <c r="B114" i="3" a="1"/>
  <c r="B114" i="3" s="1"/>
  <c r="F24" i="2" a="1"/>
  <c r="F24" i="2" s="1"/>
  <c r="D166" i="2" a="1"/>
  <c r="D166" i="2" s="1"/>
  <c r="F196" i="2" a="1"/>
  <c r="F196" i="2" s="1"/>
  <c r="B254" i="3" a="1"/>
  <c r="B254" i="3" s="1"/>
  <c r="E296" i="2" a="1"/>
  <c r="E296" i="2" s="1"/>
  <c r="F290" i="2" a="1"/>
  <c r="F290" i="2" s="1"/>
  <c r="F228" i="2" a="1"/>
  <c r="F228" i="2" s="1"/>
  <c r="E305" i="2" a="1"/>
  <c r="E305" i="2" s="1"/>
  <c r="D168" i="2" a="1"/>
  <c r="D168" i="2" s="1"/>
  <c r="B235" i="3" a="1"/>
  <c r="B235" i="3" s="1"/>
  <c r="E148" i="2" a="1"/>
  <c r="E148" i="2" s="1"/>
  <c r="D297" i="2" a="1"/>
  <c r="D297" i="2" s="1"/>
  <c r="E228" i="2" a="1"/>
  <c r="E228" i="2" s="1"/>
  <c r="F294" i="2" a="1"/>
  <c r="F294" i="2" s="1"/>
  <c r="F273" i="2" a="1"/>
  <c r="F273" i="2" s="1"/>
  <c r="F298" i="2" a="1"/>
  <c r="F298" i="2" s="1"/>
  <c r="D71" i="2" a="1"/>
  <c r="D71" i="2" s="1"/>
  <c r="F234" i="2" a="1"/>
  <c r="F234" i="2" s="1"/>
  <c r="F189" i="2" a="1"/>
  <c r="F189" i="2" s="1"/>
  <c r="D233" i="2" a="1"/>
  <c r="D233" i="2" s="1"/>
  <c r="F282" i="2" a="1"/>
  <c r="F282" i="2" s="1"/>
  <c r="F208" i="2" a="1"/>
  <c r="F208" i="2" s="1"/>
  <c r="D270" i="2" a="1"/>
  <c r="D270" i="2" s="1"/>
  <c r="F279" i="2" a="1"/>
  <c r="F279" i="2" s="1"/>
  <c r="B106" i="3" a="1"/>
  <c r="B106" i="3" s="1"/>
  <c r="B133" i="3" a="1"/>
  <c r="B133" i="3" s="1"/>
  <c r="E108" i="2" a="1"/>
  <c r="E108" i="2" s="1"/>
  <c r="D143" i="2" a="1"/>
  <c r="D143" i="2" s="1"/>
  <c r="E99" i="2" a="1"/>
  <c r="E99" i="2" s="1"/>
  <c r="B222" i="3" a="1"/>
  <c r="B222" i="3" s="1"/>
  <c r="F186" i="2" a="1"/>
  <c r="F186" i="2" s="1"/>
  <c r="F286" i="2" a="1"/>
  <c r="F286" i="2" s="1"/>
  <c r="F226" i="2" a="1"/>
  <c r="F226" i="2" s="1"/>
  <c r="D274" i="2" a="1"/>
  <c r="D274" i="2" s="1"/>
  <c r="D236" i="2" a="1"/>
  <c r="D236" i="2" s="1"/>
  <c r="B293" i="3" a="1"/>
  <c r="B293" i="3" s="1"/>
  <c r="E258" i="2" a="1"/>
  <c r="E258" i="2" s="1"/>
  <c r="E149" i="2" a="1"/>
  <c r="E149" i="2" s="1"/>
  <c r="F133" i="2" a="1"/>
  <c r="F133" i="2" s="1"/>
  <c r="D111" i="2" a="1"/>
  <c r="D111" i="2" s="1"/>
  <c r="D9" i="2" a="1"/>
  <c r="D9" i="2" s="1"/>
  <c r="F102" i="2" a="1"/>
  <c r="F102" i="2" s="1"/>
  <c r="D223" i="2" a="1"/>
  <c r="D223" i="2" s="1"/>
  <c r="E10" i="2" a="1"/>
  <c r="E10" i="2" s="1"/>
  <c r="D229" i="2" a="1"/>
  <c r="D229" i="2" s="1"/>
  <c r="E276" i="2" a="1"/>
  <c r="E276" i="2" s="1"/>
  <c r="B210" i="3" a="1"/>
  <c r="B210" i="3" s="1"/>
  <c r="E270" i="2" a="1"/>
  <c r="E270" i="2" s="1"/>
  <c r="E240" i="2" a="1"/>
  <c r="E240" i="2" s="1"/>
  <c r="D294" i="2" a="1"/>
  <c r="D294" i="2" s="1"/>
  <c r="D282" i="2" a="1"/>
  <c r="D282" i="2" s="1"/>
  <c r="D211" i="2" a="1"/>
  <c r="D211" i="2" s="1"/>
  <c r="F185" i="2" a="1"/>
  <c r="F185" i="2" s="1"/>
  <c r="E142" i="2" a="1"/>
  <c r="E142" i="2" s="1"/>
  <c r="D31" i="2" a="1"/>
  <c r="D31" i="2" s="1"/>
  <c r="F98" i="2" a="1"/>
  <c r="F98" i="2" s="1"/>
  <c r="D136" i="2" a="1"/>
  <c r="D136" i="2" s="1"/>
  <c r="F191" i="2" a="1"/>
  <c r="F191" i="2" s="1"/>
  <c r="F151" i="2" a="1"/>
  <c r="F151" i="2" s="1"/>
  <c r="F143" i="2" a="1"/>
  <c r="F143" i="2" s="1"/>
  <c r="E117" i="2" a="1"/>
  <c r="E117" i="2" s="1"/>
  <c r="E146" i="2" a="1"/>
  <c r="E146" i="2" s="1"/>
  <c r="F140" i="2" a="1"/>
  <c r="F140" i="2" s="1"/>
  <c r="E174" i="2" a="1"/>
  <c r="E174" i="2" s="1"/>
  <c r="F252" i="2" a="1"/>
  <c r="F252" i="2" s="1"/>
  <c r="D247" i="2" a="1"/>
  <c r="D247" i="2" s="1"/>
  <c r="F225" i="2" a="1"/>
  <c r="F225" i="2" s="1"/>
  <c r="F301" i="2" a="1"/>
  <c r="F301" i="2" s="1"/>
  <c r="B268" i="3" a="1"/>
  <c r="B268" i="3" s="1"/>
  <c r="E262" i="2" a="1"/>
  <c r="E262" i="2" s="1"/>
  <c r="E284" i="2" a="1"/>
  <c r="E284" i="2" s="1"/>
  <c r="E249" i="2" a="1"/>
  <c r="E249" i="2" s="1"/>
  <c r="B236" i="3" a="1"/>
  <c r="B236" i="3" s="1"/>
  <c r="E253" i="2" a="1"/>
  <c r="E253" i="2" s="1"/>
  <c r="D237" i="2" a="1"/>
  <c r="D237" i="2" s="1"/>
  <c r="E255" i="2" a="1"/>
  <c r="E255" i="2" s="1"/>
  <c r="E294" i="2" a="1"/>
  <c r="E294" i="2" s="1"/>
  <c r="F238" i="2" a="1"/>
  <c r="F238" i="2" s="1"/>
  <c r="F78" i="2" a="1"/>
  <c r="F78" i="2" s="1"/>
  <c r="E204" i="2" a="1"/>
  <c r="E204" i="2" s="1"/>
  <c r="F146" i="2" a="1"/>
  <c r="F146" i="2" s="1"/>
  <c r="E106" i="2" a="1"/>
  <c r="E106" i="2" s="1"/>
  <c r="B228" i="3" a="1"/>
  <c r="B228" i="3" s="1"/>
  <c r="D21" i="2" a="1"/>
  <c r="D21" i="2" s="1"/>
  <c r="B294" i="3" a="1"/>
  <c r="B294" i="3" s="1"/>
  <c r="D231" i="2" a="1"/>
  <c r="D231" i="2" s="1"/>
  <c r="D278" i="2" a="1"/>
  <c r="D278" i="2" s="1"/>
  <c r="E215" i="2" a="1"/>
  <c r="E215" i="2" s="1"/>
  <c r="F272" i="2" a="1"/>
  <c r="F272" i="2" s="1"/>
  <c r="F242" i="2" a="1"/>
  <c r="F242" i="2" s="1"/>
  <c r="D284" i="2" a="1"/>
  <c r="D284" i="2" s="1"/>
  <c r="F201" i="2" a="1"/>
  <c r="F201" i="2" s="1"/>
  <c r="F241" i="2" a="1"/>
  <c r="F241" i="2" s="1"/>
  <c r="E278" i="2" a="1"/>
  <c r="E278" i="2" s="1"/>
  <c r="D194" i="2" a="1"/>
  <c r="D194" i="2" s="1"/>
  <c r="E150" i="2" a="1"/>
  <c r="E150" i="2" s="1"/>
  <c r="E287" i="2" a="1"/>
  <c r="E287" i="2" s="1"/>
  <c r="B211" i="3" a="1"/>
  <c r="B211" i="3" s="1"/>
  <c r="F255" i="2" a="1"/>
  <c r="F255" i="2" s="1"/>
  <c r="F106" i="2" a="1"/>
  <c r="F106" i="2" s="1"/>
  <c r="D286" i="2" a="1"/>
  <c r="D286" i="2" s="1"/>
  <c r="D258" i="2" a="1"/>
  <c r="D258" i="2" s="1"/>
  <c r="E288" i="2" a="1"/>
  <c r="E288" i="2" s="1"/>
  <c r="D228" i="2" a="1"/>
  <c r="D228" i="2" s="1"/>
  <c r="F232" i="2" a="1"/>
  <c r="F232" i="2" s="1"/>
  <c r="F264" i="2" a="1"/>
  <c r="F264" i="2" s="1"/>
  <c r="E297" i="2" a="1"/>
  <c r="E297" i="2" s="1"/>
  <c r="F138" i="2" a="1"/>
  <c r="F138" i="2" s="1"/>
  <c r="B306" i="3" a="1"/>
  <c r="B306" i="3" s="1"/>
  <c r="D232" i="2" a="1"/>
  <c r="D232" i="2" s="1"/>
  <c r="B289" i="3" a="1"/>
  <c r="B289" i="3" s="1"/>
  <c r="D295" i="2" a="1"/>
  <c r="D295" i="2" s="1"/>
  <c r="E225" i="2" a="1"/>
  <c r="E225" i="2" s="1"/>
  <c r="E190" i="2" a="1"/>
  <c r="E190" i="2" s="1"/>
  <c r="D238" i="2" a="1"/>
  <c r="D238" i="2" s="1"/>
  <c r="E281" i="2" a="1"/>
  <c r="E281" i="2" s="1"/>
  <c r="D260" i="2" a="1"/>
  <c r="D260" i="2" s="1"/>
  <c r="E241" i="2" a="1"/>
  <c r="E241" i="2" s="1"/>
  <c r="D196" i="2" a="1"/>
  <c r="D196" i="2" s="1"/>
  <c r="F268" i="2" a="1"/>
  <c r="F268" i="2" s="1"/>
  <c r="D167" i="2" a="1"/>
  <c r="D167" i="2" s="1"/>
  <c r="E301" i="2" a="1"/>
  <c r="E301" i="2" s="1"/>
  <c r="F285" i="2" a="1"/>
  <c r="F285" i="2" s="1"/>
  <c r="D264" i="2" a="1"/>
  <c r="D264" i="2" s="1"/>
  <c r="D200" i="2" a="1"/>
  <c r="D200" i="2" s="1"/>
  <c r="F245" i="2" a="1"/>
  <c r="F245" i="2" s="1"/>
  <c r="D85" i="2" a="1"/>
  <c r="D85" i="2" s="1"/>
  <c r="F141" i="2" a="1"/>
  <c r="F141" i="2" s="1"/>
  <c r="F287" i="2" a="1"/>
  <c r="F287" i="2" s="1"/>
  <c r="E199" i="2" a="1"/>
  <c r="E199" i="2" s="1"/>
  <c r="E266" i="2" a="1"/>
  <c r="E266" i="2" s="1"/>
  <c r="E206" i="2" a="1"/>
  <c r="E206" i="2" s="1"/>
  <c r="F247" i="2" a="1"/>
  <c r="F247" i="2" s="1"/>
  <c r="E201" i="2" a="1"/>
  <c r="E201" i="2" s="1"/>
  <c r="F271" i="2" a="1"/>
  <c r="F271" i="2" s="1"/>
  <c r="F209" i="2" a="1"/>
  <c r="F209" i="2" s="1"/>
  <c r="B105" i="3" a="1"/>
  <c r="B105" i="3" s="1"/>
  <c r="F249" i="2" a="1"/>
  <c r="F249" i="2" s="1"/>
  <c r="D296" i="2" a="1"/>
  <c r="D296" i="2" s="1"/>
  <c r="E234" i="2" a="1"/>
  <c r="E234" i="2" s="1"/>
  <c r="D267" i="2" a="1"/>
  <c r="D267" i="2" s="1"/>
  <c r="D162" i="2" a="1"/>
  <c r="D162" i="2" s="1"/>
  <c r="E252" i="2" a="1"/>
  <c r="E252" i="2" s="1"/>
  <c r="F136" i="2" a="1"/>
  <c r="F136" i="2" s="1"/>
  <c r="E306" i="2" a="1"/>
  <c r="E306" i="2" s="1"/>
  <c r="F246" i="2" a="1"/>
  <c r="F246" i="2" s="1"/>
  <c r="E154" i="2" a="1"/>
  <c r="E154" i="2" s="1"/>
  <c r="B229" i="3" a="1"/>
  <c r="B229" i="3" s="1"/>
  <c r="E177" i="2" a="1"/>
  <c r="E177" i="2" s="1"/>
  <c r="B246" i="3" a="1"/>
  <c r="B246" i="3" s="1"/>
  <c r="F281" i="2" a="1"/>
  <c r="F281" i="2" s="1"/>
  <c r="D206" i="2" a="1"/>
  <c r="D206" i="2" s="1"/>
  <c r="F158" i="2" a="1"/>
  <c r="F158" i="2" s="1"/>
  <c r="F303" i="2" a="1"/>
  <c r="F303" i="2" s="1"/>
  <c r="E277" i="2" a="1"/>
  <c r="E277" i="2" s="1"/>
  <c r="B248" i="3" a="1"/>
  <c r="B248" i="3" s="1"/>
  <c r="F283" i="2" a="1"/>
  <c r="F283" i="2" s="1"/>
  <c r="D212" i="2" a="1"/>
  <c r="D212" i="2" s="1"/>
  <c r="F292" i="2" a="1"/>
  <c r="F292" i="2" s="1"/>
  <c r="B281" i="3" a="1"/>
  <c r="B281" i="3" s="1"/>
  <c r="D221" i="2" a="1"/>
  <c r="D221" i="2" s="1"/>
  <c r="B261" i="3" a="1"/>
  <c r="B261" i="3" s="1"/>
  <c r="F131" i="2" a="1"/>
  <c r="F131" i="2" s="1"/>
  <c r="E260" i="2" a="1"/>
  <c r="E260" i="2" s="1"/>
  <c r="E290" i="2" a="1"/>
  <c r="E290" i="2" s="1"/>
  <c r="B300" i="3" a="1"/>
  <c r="B300" i="3" s="1"/>
  <c r="B263" i="3" a="1"/>
  <c r="B263" i="3" s="1"/>
  <c r="B141" i="3" a="1"/>
  <c r="B141" i="3" s="1"/>
  <c r="E264" i="2" a="1"/>
  <c r="E264" i="2" s="1"/>
  <c r="B296" i="3" a="1"/>
  <c r="B296" i="3" s="1"/>
  <c r="E299" i="2" a="1"/>
  <c r="E299" i="2" s="1"/>
  <c r="B259" i="3" a="1"/>
  <c r="B259" i="3" s="1"/>
  <c r="B185" i="3" a="1"/>
  <c r="B185" i="3" s="1"/>
  <c r="D239" i="2" a="1"/>
  <c r="D239" i="2" s="1"/>
  <c r="E269" i="2" a="1"/>
  <c r="E269" i="2" s="1"/>
  <c r="B287" i="3" a="1"/>
  <c r="B287" i="3" s="1"/>
  <c r="F270" i="2" a="1"/>
  <c r="F270" i="2" s="1"/>
  <c r="F236" i="2" a="1"/>
  <c r="F236" i="2" s="1"/>
  <c r="E292" i="2" a="1"/>
  <c r="E292" i="2" s="1"/>
  <c r="B240" i="3" a="1"/>
  <c r="B240" i="3" s="1"/>
  <c r="E271" i="2" a="1"/>
  <c r="E271" i="2" s="1"/>
  <c r="F25" i="2" a="1"/>
  <c r="F25" i="2" s="1"/>
  <c r="F296" i="2" a="1"/>
  <c r="F296" i="2" s="1"/>
  <c r="E230" i="2" a="1"/>
  <c r="E230" i="2" s="1"/>
  <c r="B202" i="3" a="1"/>
  <c r="B202" i="3" s="1"/>
  <c r="E243" i="2" a="1"/>
  <c r="E243" i="2" s="1"/>
  <c r="F275" i="2" a="1"/>
  <c r="F275" i="2" s="1"/>
  <c r="E182" i="2" a="1"/>
  <c r="E182" i="2" s="1"/>
  <c r="B244" i="3" a="1"/>
  <c r="B244" i="3" s="1"/>
  <c r="E245" i="2" a="1"/>
  <c r="E245" i="2" s="1"/>
  <c r="F277" i="2" a="1"/>
  <c r="F277" i="2" s="1"/>
  <c r="F289" i="2" a="1"/>
  <c r="F289" i="2" s="1"/>
  <c r="F205" i="2" a="1"/>
  <c r="F205" i="2" s="1"/>
  <c r="B302" i="3" a="1"/>
  <c r="B302" i="3" s="1"/>
  <c r="F19" i="2" a="1"/>
  <c r="F19" i="2" s="1"/>
  <c r="D174" i="2" a="1"/>
  <c r="D174" i="2" s="1"/>
  <c r="E69" i="2" a="1"/>
  <c r="E69" i="2" s="1"/>
  <c r="D198" i="2" a="1"/>
  <c r="D198" i="2" s="1"/>
  <c r="B167" i="3" a="1"/>
  <c r="B167" i="3" s="1"/>
  <c r="F239" i="2" a="1"/>
  <c r="F239" i="2" s="1"/>
  <c r="F276" i="2" a="1"/>
  <c r="F276" i="2" s="1"/>
  <c r="D209" i="2" a="1"/>
  <c r="D209" i="2" s="1"/>
  <c r="D73" i="2" a="1"/>
  <c r="D73" i="2" s="1"/>
  <c r="F148" i="2" a="1"/>
  <c r="F148" i="2" s="1"/>
  <c r="D109" i="2" a="1"/>
  <c r="D109" i="2" s="1"/>
  <c r="F297" i="2" a="1"/>
  <c r="F297" i="2" s="1"/>
  <c r="E233" i="2" a="1"/>
  <c r="E233" i="2" s="1"/>
  <c r="F280" i="2" a="1"/>
  <c r="F280" i="2" s="1"/>
  <c r="F274" i="2" a="1"/>
  <c r="F274" i="2" s="1"/>
  <c r="B250" i="3" a="1"/>
  <c r="B250" i="3" s="1"/>
  <c r="F224" i="2" a="1"/>
  <c r="F224" i="2" s="1"/>
  <c r="E139" i="2" a="1"/>
  <c r="E139" i="2" s="1"/>
  <c r="D243" i="2" a="1"/>
  <c r="D243" i="2" s="1"/>
  <c r="F230" i="2" a="1"/>
  <c r="F230" i="2" s="1"/>
  <c r="F147" i="2" a="1"/>
  <c r="F147" i="2" s="1"/>
  <c r="E247" i="2" a="1"/>
  <c r="E247" i="2" s="1"/>
  <c r="D249" i="2" a="1"/>
  <c r="D249" i="2" s="1"/>
  <c r="F217" i="2" a="1"/>
  <c r="F217" i="2" s="1"/>
  <c r="D177" i="2" a="1"/>
  <c r="D177" i="2" s="1"/>
  <c r="B285" i="3" a="1"/>
  <c r="B285" i="3" s="1"/>
  <c r="F173" i="2" a="1"/>
  <c r="F173" i="2" s="1"/>
  <c r="D251" i="2" a="1"/>
  <c r="D251" i="2" s="1"/>
  <c r="E184" i="2" a="1"/>
  <c r="E184" i="2" s="1"/>
  <c r="B298" i="3" a="1"/>
  <c r="B298" i="3" s="1"/>
  <c r="B291" i="3" a="1"/>
  <c r="B291" i="3" s="1"/>
  <c r="D269" i="2" a="1"/>
  <c r="D269" i="2" s="1"/>
  <c r="F300" i="2" a="1"/>
  <c r="F300" i="2" s="1"/>
  <c r="D230" i="2" a="1"/>
  <c r="D230" i="2" s="1"/>
  <c r="D266" i="2" a="1"/>
  <c r="D266" i="2" s="1"/>
  <c r="B158" i="3" a="1"/>
  <c r="B158" i="3" s="1"/>
  <c r="D33" i="2" a="1"/>
  <c r="D33" i="2" s="1"/>
  <c r="D299" i="2" a="1"/>
  <c r="D299" i="2" s="1"/>
  <c r="E286" i="2" a="1"/>
  <c r="E286" i="2" s="1"/>
  <c r="E283" i="2" a="1"/>
  <c r="E283" i="2" s="1"/>
  <c r="D262" i="2" a="1"/>
  <c r="D262" i="2" s="1"/>
  <c r="B196" i="3" a="1"/>
  <c r="B196" i="3" s="1"/>
  <c r="F243" i="2" a="1"/>
  <c r="F243" i="2" s="1"/>
  <c r="E239" i="2" a="1"/>
  <c r="E239" i="2" s="1"/>
  <c r="D234" i="2" a="1"/>
  <c r="D234" i="2" s="1"/>
  <c r="B272" i="3" a="1"/>
  <c r="B272" i="3" s="1"/>
  <c r="F175" i="2" a="1"/>
  <c r="F175" i="2" s="1"/>
  <c r="E109" i="2" a="1"/>
  <c r="E109" i="2" s="1"/>
  <c r="E303" i="2" a="1"/>
  <c r="E303" i="2" s="1"/>
  <c r="E110" i="2" a="1"/>
  <c r="E110" i="2" s="1"/>
  <c r="D288" i="2" a="1"/>
  <c r="D288" i="2" s="1"/>
  <c r="D37" i="2" a="1"/>
  <c r="D37" i="2" s="1"/>
  <c r="B102" i="3" a="1"/>
  <c r="B102" i="3" s="1"/>
  <c r="E236" i="2" a="1"/>
  <c r="E236" i="2" s="1"/>
  <c r="D273" i="2" a="1"/>
  <c r="D273" i="2" s="1"/>
  <c r="E183" i="2" a="1"/>
  <c r="E183" i="2" s="1"/>
  <c r="B124" i="3" a="1"/>
  <c r="B124" i="3" s="1"/>
  <c r="F305" i="2" a="1"/>
  <c r="F305" i="2" s="1"/>
  <c r="E207" i="2" a="1"/>
  <c r="E207" i="2" s="1"/>
  <c r="F188" i="2" a="1"/>
  <c r="F188" i="2" s="1"/>
  <c r="D245" i="2" a="1"/>
  <c r="D245" i="2" s="1"/>
  <c r="B15" i="3" a="1"/>
  <c r="B15" i="3" s="1"/>
  <c r="E218" i="2" a="1"/>
  <c r="E218" i="2" s="1"/>
  <c r="E212" i="2" a="1"/>
  <c r="E212" i="2" s="1"/>
  <c r="D213" i="2" a="1"/>
  <c r="D213" i="2" s="1"/>
  <c r="F258" i="2" a="1"/>
  <c r="F258" i="2" s="1"/>
  <c r="D301" i="2" a="1"/>
  <c r="D301" i="2" s="1"/>
  <c r="D235" i="2" a="1"/>
  <c r="D235" i="2" s="1"/>
  <c r="G284" i="3"/>
  <c r="G282" i="3"/>
  <c r="G281" i="3"/>
  <c r="G275" i="3"/>
  <c r="G279" i="3"/>
  <c r="G280" i="3"/>
  <c r="G278" i="3"/>
  <c r="G276" i="3"/>
  <c r="G274" i="3"/>
  <c r="G277" i="3"/>
  <c r="G283" i="3"/>
  <c r="G156" i="3"/>
  <c r="G68" i="3"/>
  <c r="G169" i="3"/>
  <c r="G146" i="3"/>
  <c r="G140" i="3"/>
  <c r="G117" i="3"/>
  <c r="G154" i="3"/>
  <c r="G204" i="3"/>
  <c r="G244" i="3"/>
  <c r="G221" i="3"/>
  <c r="G211" i="3"/>
  <c r="G107" i="3"/>
  <c r="G250" i="3"/>
  <c r="G273" i="3"/>
  <c r="G8" i="3"/>
  <c r="G33" i="3"/>
  <c r="G121" i="3"/>
  <c r="G81" i="3"/>
  <c r="G159" i="3"/>
  <c r="G102" i="3"/>
  <c r="G92" i="3"/>
  <c r="G21" i="3"/>
  <c r="G123" i="3"/>
  <c r="G149" i="3"/>
  <c r="G139" i="3"/>
  <c r="G254" i="3"/>
  <c r="G231" i="3"/>
  <c r="G213" i="3"/>
  <c r="G130" i="3"/>
  <c r="G191" i="3"/>
  <c r="G194" i="3"/>
  <c r="G131" i="3"/>
  <c r="G259" i="3"/>
  <c r="G75" i="3"/>
  <c r="G20" i="3"/>
  <c r="G181" i="3"/>
  <c r="G170" i="3"/>
  <c r="G171" i="3"/>
  <c r="G185" i="3"/>
  <c r="G165" i="3"/>
  <c r="G193" i="3"/>
  <c r="G167" i="3"/>
  <c r="G196" i="3"/>
  <c r="G269" i="3"/>
  <c r="G270" i="3"/>
  <c r="G238" i="3"/>
  <c r="G138" i="3"/>
  <c r="G215" i="3"/>
  <c r="G188" i="3"/>
  <c r="G220" i="3"/>
  <c r="G212" i="3"/>
  <c r="G214" i="3"/>
  <c r="G120" i="3"/>
  <c r="G80" i="3"/>
  <c r="G141" i="3"/>
  <c r="G142" i="3"/>
  <c r="G239" i="3"/>
  <c r="G264" i="3"/>
  <c r="G206" i="3"/>
  <c r="G207" i="3"/>
  <c r="G236" i="3"/>
  <c r="G157" i="3"/>
  <c r="G87" i="3"/>
  <c r="G161" i="3"/>
  <c r="G91" i="3"/>
  <c r="G128" i="3"/>
  <c r="G56" i="3"/>
  <c r="G153" i="3"/>
  <c r="G251" i="3"/>
  <c r="G268" i="3"/>
  <c r="G223" i="3"/>
  <c r="G248" i="3"/>
  <c r="G78" i="3"/>
  <c r="G97" i="3"/>
  <c r="G83" i="3"/>
  <c r="G246" i="3"/>
  <c r="G271" i="3"/>
  <c r="G175" i="3"/>
  <c r="G263" i="3"/>
  <c r="G179" i="3"/>
  <c r="G208" i="3"/>
  <c r="G224" i="3"/>
  <c r="G201" i="3"/>
  <c r="G109" i="3"/>
  <c r="G111" i="3"/>
  <c r="G104" i="3"/>
  <c r="G82" i="3"/>
  <c r="G234" i="3"/>
  <c r="G272" i="3"/>
  <c r="G57" i="3"/>
  <c r="G148" i="3"/>
  <c r="G93" i="3"/>
  <c r="G252" i="3"/>
  <c r="G110" i="3"/>
  <c r="G195" i="3"/>
  <c r="G230" i="3"/>
  <c r="G172" i="3"/>
  <c r="G227" i="3"/>
  <c r="G133" i="3"/>
  <c r="G90" i="3"/>
  <c r="G152" i="3"/>
  <c r="G118" i="3"/>
  <c r="G232" i="3"/>
  <c r="G258" i="3"/>
  <c r="G115" i="3"/>
  <c r="G205" i="3"/>
  <c r="G249" i="3"/>
  <c r="G228" i="3"/>
  <c r="G184" i="3"/>
  <c r="G113" i="3"/>
  <c r="G88" i="3"/>
  <c r="G164" i="3"/>
  <c r="G166" i="3"/>
  <c r="G266" i="3"/>
  <c r="G199" i="3"/>
  <c r="G183" i="3"/>
  <c r="G182" i="3"/>
  <c r="G180" i="3"/>
  <c r="E3" i="3"/>
  <c r="F3" i="3" s="1"/>
  <c r="G197" i="3"/>
  <c r="G178" i="3"/>
  <c r="G209" i="3"/>
  <c r="G226" i="3"/>
  <c r="G129" i="3"/>
  <c r="G245" i="3"/>
  <c r="G237" i="3"/>
  <c r="G99" i="3"/>
  <c r="G125" i="3"/>
  <c r="G177" i="3"/>
  <c r="G247" i="3"/>
  <c r="G158" i="3"/>
  <c r="G255" i="3"/>
  <c r="G70" i="3"/>
  <c r="G52" i="3"/>
  <c r="G186" i="3"/>
  <c r="G145" i="3"/>
  <c r="G17" i="3"/>
  <c r="G58" i="3"/>
  <c r="G253" i="3"/>
  <c r="G39" i="3"/>
  <c r="G16" i="3"/>
  <c r="G49" i="3"/>
  <c r="G7" i="3"/>
  <c r="G23" i="3"/>
  <c r="G122" i="3"/>
  <c r="G190" i="3"/>
  <c r="G63" i="3"/>
  <c r="G134" i="3"/>
  <c r="G22" i="3"/>
  <c r="G127" i="3"/>
  <c r="G235" i="3"/>
  <c r="G101" i="3"/>
  <c r="G59" i="3"/>
  <c r="G96" i="3"/>
  <c r="G160" i="3"/>
  <c r="G10" i="3"/>
  <c r="G61" i="3"/>
  <c r="G106" i="3"/>
  <c r="G34" i="3"/>
  <c r="G114" i="3"/>
  <c r="G29" i="3"/>
  <c r="G79" i="3"/>
  <c r="G132" i="3"/>
  <c r="G6" i="3"/>
  <c r="G71" i="3"/>
  <c r="G136" i="3"/>
  <c r="G14" i="3"/>
  <c r="G119" i="3"/>
  <c r="G69" i="3"/>
  <c r="G85" i="3"/>
  <c r="G243" i="3"/>
  <c r="G222" i="3"/>
  <c r="G76" i="3"/>
  <c r="G219" i="3"/>
  <c r="G94" i="3"/>
  <c r="G66" i="3"/>
  <c r="G95" i="3"/>
  <c r="G202" i="3"/>
  <c r="G137" i="3"/>
  <c r="G242" i="3"/>
  <c r="G151" i="3"/>
  <c r="G217" i="3"/>
  <c r="G216" i="3"/>
  <c r="G162" i="3"/>
  <c r="G173" i="3"/>
  <c r="G18" i="3"/>
  <c r="G26" i="3"/>
  <c r="G72" i="3"/>
  <c r="G112" i="3"/>
  <c r="G135" i="3"/>
  <c r="G50" i="3"/>
  <c r="G260" i="3"/>
  <c r="G4" i="3"/>
  <c r="G77" i="3"/>
  <c r="G62" i="3"/>
  <c r="G257" i="3"/>
  <c r="G105" i="3"/>
  <c r="G150" i="3"/>
  <c r="G40" i="3"/>
  <c r="G74" i="3"/>
  <c r="G32" i="3"/>
  <c r="G44" i="3"/>
  <c r="G48" i="3"/>
  <c r="G155" i="3"/>
  <c r="G240" i="3"/>
  <c r="G12" i="3"/>
  <c r="G36" i="3"/>
  <c r="G89" i="3"/>
  <c r="G27" i="3"/>
  <c r="G53" i="3"/>
  <c r="G200" i="3"/>
  <c r="G45" i="3"/>
  <c r="G54" i="3"/>
  <c r="G233" i="3"/>
  <c r="G11" i="3"/>
  <c r="G229" i="3"/>
  <c r="G84" i="3"/>
  <c r="G28" i="3"/>
  <c r="G262" i="3"/>
  <c r="G261" i="3"/>
  <c r="G46" i="3"/>
  <c r="G9" i="3"/>
  <c r="G124" i="3"/>
  <c r="G267" i="3"/>
  <c r="G73" i="3"/>
  <c r="G256" i="3"/>
  <c r="G147" i="3"/>
  <c r="G30" i="3"/>
  <c r="G5" i="3"/>
  <c r="G42" i="3"/>
  <c r="G67" i="3"/>
  <c r="G37" i="3"/>
  <c r="G143" i="3"/>
  <c r="G86" i="3"/>
  <c r="G116" i="3"/>
  <c r="G225" i="3"/>
  <c r="G198" i="3"/>
  <c r="G192" i="3"/>
  <c r="G51" i="3"/>
  <c r="G103" i="3"/>
  <c r="G19" i="3"/>
  <c r="G265" i="3"/>
  <c r="G210" i="3"/>
  <c r="G168" i="3"/>
  <c r="G15" i="3"/>
  <c r="G163" i="3"/>
  <c r="G144" i="3"/>
  <c r="G25" i="3"/>
  <c r="G126" i="3"/>
  <c r="G187" i="3"/>
  <c r="G47" i="3"/>
  <c r="G41" i="3"/>
  <c r="G218" i="3"/>
  <c r="G24" i="3"/>
  <c r="G203" i="3"/>
  <c r="G65" i="3"/>
  <c r="G60" i="3"/>
  <c r="G98" i="3"/>
  <c r="G31" i="3"/>
  <c r="G174" i="3"/>
  <c r="G189" i="3"/>
  <c r="G64" i="3"/>
  <c r="G43" i="3"/>
  <c r="G241" i="3"/>
  <c r="G38" i="3"/>
  <c r="G108" i="3"/>
  <c r="G100" i="3"/>
  <c r="G176" i="3"/>
  <c r="G55" i="3"/>
  <c r="G13" i="3"/>
  <c r="G35" i="3"/>
  <c r="B198" i="3" a="1"/>
  <c r="B198" i="3" s="1"/>
  <c r="B59" i="3" a="1"/>
  <c r="B59" i="3" s="1"/>
  <c r="B39" i="3" a="1"/>
  <c r="B39" i="3" s="1"/>
  <c r="B86" i="3" a="1"/>
  <c r="B86" i="3" s="1"/>
  <c r="B203" i="3" a="1"/>
  <c r="B203" i="3" s="1"/>
  <c r="B154" i="3" a="1"/>
  <c r="B154" i="3" s="1"/>
  <c r="B309" i="3" a="1"/>
  <c r="B309" i="3" s="1"/>
  <c r="B231" i="3" a="1"/>
  <c r="B231" i="3" s="1"/>
  <c r="B333" i="3" a="1"/>
  <c r="B333" i="3" s="1"/>
  <c r="B348" i="3" a="1"/>
  <c r="B348" i="3" s="1"/>
  <c r="B341" i="3" a="1"/>
  <c r="B341" i="3" s="1"/>
  <c r="B346" i="3" a="1"/>
  <c r="B346" i="3" s="1"/>
  <c r="B45" i="3" a="1"/>
  <c r="B45" i="3" s="1"/>
  <c r="B83" i="3" a="1"/>
  <c r="B83" i="3" s="1"/>
  <c r="B63" i="3" a="1"/>
  <c r="B63" i="3" s="1"/>
  <c r="B101" i="3" a="1"/>
  <c r="B101" i="3" s="1"/>
  <c r="B93" i="3" a="1"/>
  <c r="B93" i="3" s="1"/>
  <c r="B352" i="3" a="1"/>
  <c r="B352" i="3" s="1"/>
  <c r="B267" i="3" a="1"/>
  <c r="B267" i="3" s="1"/>
  <c r="B340" i="3" a="1"/>
  <c r="B340" i="3" s="1"/>
  <c r="B264" i="3" a="1"/>
  <c r="B264" i="3" s="1"/>
  <c r="B329" i="3" a="1"/>
  <c r="B329" i="3" s="1"/>
  <c r="B342" i="3" a="1"/>
  <c r="B342" i="3" s="1"/>
  <c r="B178" i="3" a="1"/>
  <c r="B178" i="3" s="1"/>
  <c r="B325" i="3" a="1"/>
  <c r="B325" i="3" s="1"/>
  <c r="B9" i="3" a="1"/>
  <c r="B9" i="3" s="1"/>
  <c r="B16" i="3" a="1"/>
  <c r="B16" i="3" s="1"/>
  <c r="B87" i="3" a="1"/>
  <c r="B87" i="3" s="1"/>
  <c r="B134" i="3" a="1"/>
  <c r="B134" i="3" s="1"/>
  <c r="B53" i="3" a="1"/>
  <c r="B53" i="3" s="1"/>
  <c r="B332" i="3" a="1"/>
  <c r="B332" i="3" s="1"/>
  <c r="B239" i="3" a="1"/>
  <c r="B239" i="3" s="1"/>
  <c r="B320" i="3" a="1"/>
  <c r="B320" i="3" s="1"/>
  <c r="B336" i="3" a="1"/>
  <c r="B336" i="3" s="1"/>
  <c r="B358" i="3" a="1"/>
  <c r="B358" i="3" s="1"/>
  <c r="B335" i="3" a="1"/>
  <c r="B335" i="3" s="1"/>
  <c r="B322" i="3" a="1"/>
  <c r="B322" i="3" s="1"/>
  <c r="B70" i="3" a="1"/>
  <c r="B70" i="3" s="1"/>
  <c r="B193" i="3" a="1"/>
  <c r="B193" i="3" s="1"/>
  <c r="B113" i="3" a="1"/>
  <c r="B113" i="3" s="1"/>
  <c r="B351" i="3" a="1"/>
  <c r="B351" i="3" s="1"/>
  <c r="B339" i="3" a="1"/>
  <c r="B339" i="3" s="1"/>
  <c r="B363" i="3" a="1"/>
  <c r="B363" i="3" s="1"/>
  <c r="B56" i="3" a="1"/>
  <c r="B56" i="3" s="1"/>
  <c r="B25" i="3" a="1"/>
  <c r="B25" i="3" s="1"/>
  <c r="B74" i="3" a="1"/>
  <c r="B74" i="3" s="1"/>
  <c r="B258" i="3" a="1"/>
  <c r="B258" i="3" s="1"/>
  <c r="B99" i="3" a="1"/>
  <c r="B99" i="3" s="1"/>
  <c r="B191" i="3" a="1"/>
  <c r="B191" i="3" s="1"/>
  <c r="B312" i="3" a="1"/>
  <c r="B312" i="3" s="1"/>
  <c r="B376" i="3" a="1"/>
  <c r="B376" i="3" s="1"/>
  <c r="B195" i="3" a="1"/>
  <c r="B195" i="3" s="1"/>
  <c r="B111" i="3" a="1"/>
  <c r="B111" i="3" s="1"/>
  <c r="B40" i="3" a="1"/>
  <c r="B40" i="3" s="1"/>
  <c r="B24" i="3" a="1"/>
  <c r="B24" i="3" s="1"/>
  <c r="B44" i="3" a="1"/>
  <c r="B44" i="3" s="1"/>
  <c r="B219" i="3" a="1"/>
  <c r="B219" i="3" s="1"/>
  <c r="B357" i="3" a="1"/>
  <c r="B357" i="3" s="1"/>
  <c r="B307" i="3" a="1"/>
  <c r="B307" i="3" s="1"/>
  <c r="B356" i="3" a="1"/>
  <c r="B356" i="3" s="1"/>
  <c r="B172" i="3" a="1"/>
  <c r="B172" i="3" s="1"/>
  <c r="B145" i="3" a="1"/>
  <c r="B145" i="3" s="1"/>
  <c r="B234" i="3" a="1"/>
  <c r="B234" i="3" s="1"/>
  <c r="B107" i="3" a="1"/>
  <c r="B107" i="3" s="1"/>
  <c r="B374" i="3" a="1"/>
  <c r="B374" i="3" s="1"/>
  <c r="B308" i="3" a="1"/>
  <c r="B308" i="3" s="1"/>
  <c r="B140" i="3" a="1"/>
  <c r="B140" i="3" s="1"/>
  <c r="B375" i="3" a="1"/>
  <c r="B375" i="3" s="1"/>
  <c r="B371" i="3" a="1"/>
  <c r="B371" i="3" s="1"/>
  <c r="B360" i="3" a="1"/>
  <c r="B360" i="3" s="1"/>
  <c r="B128" i="3" a="1"/>
  <c r="B128" i="3" s="1"/>
  <c r="B66" i="3" a="1"/>
  <c r="B66" i="3" s="1"/>
  <c r="B122" i="3" a="1"/>
  <c r="B122" i="3" s="1"/>
  <c r="B36" i="3" a="1"/>
  <c r="B36" i="3" s="1"/>
  <c r="B147" i="3" a="1"/>
  <c r="B147" i="3" s="1"/>
  <c r="B370" i="3" a="1"/>
  <c r="B370" i="3" s="1"/>
  <c r="B330" i="3" a="1"/>
  <c r="B330" i="3" s="1"/>
  <c r="B226" i="3" a="1"/>
  <c r="B226" i="3" s="1"/>
  <c r="B315" i="3" a="1"/>
  <c r="B315" i="3" s="1"/>
  <c r="B189" i="3" a="1"/>
  <c r="B189" i="3" s="1"/>
  <c r="B327" i="3" a="1"/>
  <c r="B327" i="3" s="1"/>
  <c r="B331" i="3" a="1"/>
  <c r="B331" i="3" s="1"/>
  <c r="B92" i="3" a="1"/>
  <c r="B92" i="3" s="1"/>
  <c r="B316" i="3" a="1"/>
  <c r="B316" i="3" s="1"/>
  <c r="B149" i="3" a="1"/>
  <c r="B149" i="3" s="1"/>
  <c r="B143" i="3" a="1"/>
  <c r="B143" i="3" s="1"/>
  <c r="B361" i="3" a="1"/>
  <c r="B361" i="3" s="1"/>
  <c r="B362" i="3" a="1"/>
  <c r="B362" i="3" s="1"/>
  <c r="B366" i="3" a="1"/>
  <c r="B366" i="3" s="1"/>
  <c r="B130" i="3" a="1"/>
  <c r="B130" i="3" s="1"/>
  <c r="B116" i="3" a="1"/>
  <c r="B116" i="3" s="1"/>
  <c r="B373" i="3" a="1"/>
  <c r="B373" i="3" s="1"/>
  <c r="B337" i="3" a="1"/>
  <c r="B337" i="3" s="1"/>
  <c r="B313" i="3" a="1"/>
  <c r="B313" i="3" s="1"/>
  <c r="B369" i="3" a="1"/>
  <c r="B369" i="3" s="1"/>
  <c r="B372" i="3" a="1"/>
  <c r="B372" i="3" s="1"/>
  <c r="B364" i="3" a="1"/>
  <c r="B364" i="3" s="1"/>
  <c r="B26" i="3" a="1"/>
  <c r="B26" i="3" s="1"/>
  <c r="B22" i="3" a="1"/>
  <c r="B22" i="3" s="1"/>
  <c r="B34" i="3" a="1"/>
  <c r="B34" i="3" s="1"/>
  <c r="B318" i="3" a="1"/>
  <c r="B318" i="3" s="1"/>
  <c r="B10" i="3" a="1"/>
  <c r="B10" i="3" s="1"/>
  <c r="B349" i="3" a="1"/>
  <c r="B349" i="3" s="1"/>
  <c r="B37" i="3" a="1"/>
  <c r="B37" i="3" s="1"/>
  <c r="B354" i="3" a="1"/>
  <c r="B354" i="3" s="1"/>
  <c r="B319" i="3" a="1"/>
  <c r="B319" i="3" s="1"/>
  <c r="B344" i="3" a="1"/>
  <c r="B344" i="3" s="1"/>
  <c r="B367" i="3" a="1"/>
  <c r="B367" i="3" s="1"/>
  <c r="B355" i="3" a="1"/>
  <c r="B355" i="3" s="1"/>
  <c r="B67" i="3" a="1"/>
  <c r="B67" i="3" s="1"/>
  <c r="B43" i="3" a="1"/>
  <c r="B43" i="3" s="1"/>
  <c r="B42" i="3" a="1"/>
  <c r="B42" i="3" s="1"/>
  <c r="B314" i="3" a="1"/>
  <c r="B314" i="3" s="1"/>
  <c r="B359" i="3" a="1"/>
  <c r="B359" i="3" s="1"/>
  <c r="B233" i="3" a="1"/>
  <c r="B233" i="3" s="1"/>
  <c r="B200" i="3" a="1"/>
  <c r="B200" i="3" s="1"/>
  <c r="B35" i="3" a="1"/>
  <c r="B35" i="3" s="1"/>
  <c r="B82" i="3" a="1"/>
  <c r="B82" i="3" s="1"/>
  <c r="B347" i="3" a="1"/>
  <c r="B347" i="3" s="1"/>
  <c r="B326" i="3" a="1"/>
  <c r="B326" i="3" s="1"/>
  <c r="B328" i="3" a="1"/>
  <c r="B328" i="3" s="1"/>
  <c r="B19" i="3" a="1"/>
  <c r="B19" i="3" s="1"/>
  <c r="B365" i="3" a="1"/>
  <c r="B365" i="3" s="1"/>
  <c r="C2" i="2" l="1"/>
  <c r="B3" i="3" s="1" a="1"/>
  <c r="B3" i="3" s="1"/>
  <c r="B345" i="3" a="1"/>
  <c r="B345" i="3" s="1"/>
  <c r="D2" i="2" a="1"/>
  <c r="D2" i="2" s="1"/>
  <c r="B2" i="2"/>
  <c r="A3" i="3" a="1"/>
  <c r="C486" i="3" s="1"/>
  <c r="F2" i="2" a="1"/>
  <c r="F2" i="2" s="1"/>
  <c r="E2" i="2" a="1"/>
  <c r="E2" i="2" s="1"/>
  <c r="G3" i="3"/>
  <c r="C409" i="3" l="1"/>
  <c r="C492" i="3"/>
  <c r="C494" i="3"/>
  <c r="C489" i="3"/>
  <c r="C482" i="3"/>
  <c r="C477" i="3"/>
  <c r="C398" i="3"/>
  <c r="C491" i="3"/>
  <c r="C498" i="3"/>
  <c r="C495" i="3"/>
  <c r="C493" i="3"/>
  <c r="C479" i="3"/>
  <c r="C473" i="3"/>
  <c r="C449" i="3"/>
  <c r="C499" i="3"/>
  <c r="C490" i="3"/>
  <c r="C444" i="3"/>
  <c r="C445" i="3"/>
  <c r="C434" i="3"/>
  <c r="C435" i="3"/>
  <c r="C485" i="3"/>
  <c r="C428" i="3"/>
  <c r="C419" i="3"/>
  <c r="C456" i="3"/>
  <c r="C457" i="3"/>
  <c r="C446" i="3"/>
  <c r="C447" i="3"/>
  <c r="C471" i="3"/>
  <c r="C423" i="3"/>
  <c r="C470" i="3"/>
  <c r="C422" i="3"/>
  <c r="C481" i="3"/>
  <c r="C433" i="3"/>
  <c r="C480" i="3"/>
  <c r="C432" i="3"/>
  <c r="C467" i="3"/>
  <c r="C466" i="3"/>
  <c r="C500" i="3"/>
  <c r="C487" i="3"/>
  <c r="C462" i="3"/>
  <c r="C496" i="3"/>
  <c r="C459" i="3"/>
  <c r="C399" i="3"/>
  <c r="C458" i="3"/>
  <c r="C410" i="3"/>
  <c r="C469" i="3"/>
  <c r="C421" i="3"/>
  <c r="C468" i="3"/>
  <c r="C420" i="3"/>
  <c r="C431" i="3"/>
  <c r="C454" i="3"/>
  <c r="C488" i="3"/>
  <c r="C427" i="3"/>
  <c r="C497" i="3"/>
  <c r="C484" i="3"/>
  <c r="C455" i="3"/>
  <c r="C442" i="3"/>
  <c r="C453" i="3"/>
  <c r="C476" i="3"/>
  <c r="C443" i="3"/>
  <c r="C478" i="3"/>
  <c r="C418" i="3"/>
  <c r="C441" i="3"/>
  <c r="C440" i="3"/>
  <c r="C451" i="3"/>
  <c r="C474" i="3"/>
  <c r="C400" i="3"/>
  <c r="C483" i="3"/>
  <c r="C475" i="3"/>
  <c r="C429" i="3"/>
  <c r="C452" i="3"/>
  <c r="C426" i="3"/>
  <c r="C461" i="3"/>
  <c r="C460" i="3"/>
  <c r="C439" i="3"/>
  <c r="C425" i="3"/>
  <c r="C448" i="3"/>
  <c r="C438" i="3"/>
  <c r="C436" i="3"/>
  <c r="C430" i="3"/>
  <c r="C465" i="3"/>
  <c r="C417" i="3"/>
  <c r="C464" i="3"/>
  <c r="C404" i="3"/>
  <c r="C463" i="3"/>
  <c r="C450" i="3"/>
  <c r="C437" i="3"/>
  <c r="C472" i="3"/>
  <c r="C424" i="3"/>
  <c r="C397" i="3"/>
  <c r="C408" i="3"/>
  <c r="C415" i="3"/>
  <c r="C411" i="3"/>
  <c r="C396" i="3"/>
  <c r="C407" i="3"/>
  <c r="C395" i="3"/>
  <c r="C406" i="3"/>
  <c r="C403" i="3"/>
  <c r="C414" i="3"/>
  <c r="C394" i="3"/>
  <c r="C405" i="3"/>
  <c r="C402" i="3"/>
  <c r="C413" i="3"/>
  <c r="C393" i="3"/>
  <c r="C416" i="3"/>
  <c r="C401" i="3"/>
  <c r="C412" i="3"/>
  <c r="C371" i="3"/>
  <c r="C362" i="3"/>
  <c r="C363" i="3"/>
  <c r="C361" i="3"/>
  <c r="C365" i="3"/>
  <c r="C366" i="3"/>
  <c r="C372" i="3"/>
  <c r="C379" i="3"/>
  <c r="C370" i="3"/>
  <c r="C374" i="3"/>
  <c r="C373" i="3"/>
  <c r="C375" i="3"/>
  <c r="C367" i="3"/>
  <c r="C368" i="3"/>
  <c r="C369" i="3"/>
  <c r="C377" i="3"/>
  <c r="C378" i="3"/>
  <c r="C380" i="3"/>
  <c r="C381" i="3"/>
  <c r="C352" i="3"/>
  <c r="C389" i="3"/>
  <c r="C384" i="3"/>
  <c r="C385" i="3"/>
  <c r="C386" i="3"/>
  <c r="C387" i="3"/>
  <c r="C383" i="3"/>
  <c r="C382" i="3"/>
  <c r="C392" i="3"/>
  <c r="C391" i="3"/>
  <c r="C390" i="3"/>
  <c r="C388" i="3"/>
  <c r="C376" i="3"/>
  <c r="C364" i="3"/>
  <c r="C351" i="3"/>
  <c r="C338" i="3"/>
  <c r="C325" i="3"/>
  <c r="C360" i="3"/>
  <c r="C347" i="3"/>
  <c r="C334" i="3"/>
  <c r="C321" i="3"/>
  <c r="C326" i="3"/>
  <c r="C348" i="3"/>
  <c r="C335" i="3"/>
  <c r="C322" i="3"/>
  <c r="C357" i="3"/>
  <c r="C356" i="3"/>
  <c r="C339" i="3"/>
  <c r="C327" i="3"/>
  <c r="C349" i="3"/>
  <c r="C336" i="3"/>
  <c r="C323" i="3"/>
  <c r="C358" i="3"/>
  <c r="C345" i="3"/>
  <c r="C344" i="3"/>
  <c r="C350" i="3"/>
  <c r="C337" i="3"/>
  <c r="C324" i="3"/>
  <c r="C359" i="3"/>
  <c r="C346" i="3"/>
  <c r="C333" i="3"/>
  <c r="C332" i="3"/>
  <c r="C355" i="3"/>
  <c r="C331" i="3"/>
  <c r="C354" i="3"/>
  <c r="C342" i="3"/>
  <c r="C353" i="3"/>
  <c r="C112" i="3"/>
  <c r="C320" i="3"/>
  <c r="C318" i="3"/>
  <c r="C341" i="3"/>
  <c r="C329" i="3"/>
  <c r="C317" i="3"/>
  <c r="C343" i="3"/>
  <c r="C340" i="3"/>
  <c r="C328" i="3"/>
  <c r="C319" i="3"/>
  <c r="C316" i="3"/>
  <c r="C330" i="3"/>
  <c r="C315" i="3"/>
  <c r="C303" i="3"/>
  <c r="C205" i="3"/>
  <c r="C133" i="3"/>
  <c r="C274" i="3"/>
  <c r="C248" i="3"/>
  <c r="A3" i="3"/>
  <c r="C3" i="3" s="1"/>
  <c r="C127" i="3"/>
  <c r="C202" i="3"/>
  <c r="C58" i="3"/>
  <c r="C309" i="3"/>
  <c r="C87" i="3"/>
  <c r="C67" i="3"/>
  <c r="C38" i="3"/>
  <c r="C222" i="3"/>
  <c r="C217" i="3"/>
  <c r="C113" i="3"/>
  <c r="C84" i="3"/>
  <c r="C291" i="3"/>
  <c r="C300" i="3"/>
  <c r="C165" i="3"/>
  <c r="C150" i="3"/>
  <c r="C231" i="3"/>
  <c r="C240" i="3"/>
  <c r="C153" i="3"/>
  <c r="C6" i="3"/>
  <c r="C135" i="3"/>
  <c r="C96" i="3"/>
  <c r="C81" i="3"/>
  <c r="C257" i="3"/>
  <c r="C302" i="3"/>
  <c r="C12" i="3"/>
  <c r="C188" i="3"/>
  <c r="C101" i="3"/>
  <c r="C254" i="3"/>
  <c r="C179" i="3"/>
  <c r="C44" i="3"/>
  <c r="C29" i="3"/>
  <c r="C182" i="3"/>
  <c r="C119" i="3"/>
  <c r="C32" i="3"/>
  <c r="C196" i="3"/>
  <c r="C50" i="3"/>
  <c r="C286" i="3"/>
  <c r="C271" i="3"/>
  <c r="C136" i="3"/>
  <c r="C234" i="3"/>
  <c r="C171" i="3"/>
  <c r="C170" i="3"/>
  <c r="C73" i="3"/>
  <c r="C263" i="3"/>
  <c r="C142" i="3"/>
  <c r="C21" i="3"/>
  <c r="C211" i="3"/>
  <c r="C90" i="3"/>
  <c r="C280" i="3"/>
  <c r="C159" i="3"/>
  <c r="C158" i="3"/>
  <c r="C61" i="3"/>
  <c r="C251" i="3"/>
  <c r="C130" i="3"/>
  <c r="C9" i="3"/>
  <c r="C199" i="3"/>
  <c r="C78" i="3"/>
  <c r="C268" i="3"/>
  <c r="C147" i="3"/>
  <c r="C110" i="3"/>
  <c r="C37" i="3"/>
  <c r="C227" i="3"/>
  <c r="C106" i="3"/>
  <c r="C296" i="3"/>
  <c r="C175" i="3"/>
  <c r="C54" i="3"/>
  <c r="C244" i="3"/>
  <c r="C27" i="3"/>
  <c r="C26" i="3"/>
  <c r="C228" i="3"/>
  <c r="C107" i="3"/>
  <c r="C297" i="3"/>
  <c r="C176" i="3"/>
  <c r="C55" i="3"/>
  <c r="C245" i="3"/>
  <c r="C124" i="3"/>
  <c r="C15" i="3"/>
  <c r="C14" i="3"/>
  <c r="C204" i="3"/>
  <c r="C83" i="3"/>
  <c r="C273" i="3"/>
  <c r="C152" i="3"/>
  <c r="C31" i="3"/>
  <c r="C221" i="3"/>
  <c r="C100" i="3"/>
  <c r="C314" i="3"/>
  <c r="C277" i="3"/>
  <c r="C156" i="3"/>
  <c r="C35" i="3"/>
  <c r="C225" i="3"/>
  <c r="C104" i="3"/>
  <c r="C294" i="3"/>
  <c r="C173" i="3"/>
  <c r="C52" i="3"/>
  <c r="C279" i="3"/>
  <c r="C194" i="3"/>
  <c r="C181" i="3"/>
  <c r="C60" i="3"/>
  <c r="C250" i="3"/>
  <c r="C129" i="3"/>
  <c r="C8" i="3"/>
  <c r="C198" i="3"/>
  <c r="C77" i="3"/>
  <c r="C267" i="3"/>
  <c r="C123" i="3"/>
  <c r="C290" i="3"/>
  <c r="C146" i="3"/>
  <c r="C313" i="3"/>
  <c r="C169" i="3"/>
  <c r="C25" i="3"/>
  <c r="C192" i="3"/>
  <c r="C48" i="3"/>
  <c r="C215" i="3"/>
  <c r="C71" i="3"/>
  <c r="C238" i="3"/>
  <c r="C94" i="3"/>
  <c r="C261" i="3"/>
  <c r="C117" i="3"/>
  <c r="C284" i="3"/>
  <c r="C140" i="3"/>
  <c r="C307" i="3"/>
  <c r="C163" i="3"/>
  <c r="C19" i="3"/>
  <c r="C186" i="3"/>
  <c r="C42" i="3"/>
  <c r="C209" i="3"/>
  <c r="C65" i="3"/>
  <c r="C232" i="3"/>
  <c r="C88" i="3"/>
  <c r="C255" i="3"/>
  <c r="C111" i="3"/>
  <c r="C278" i="3"/>
  <c r="C134" i="3"/>
  <c r="C301" i="3"/>
  <c r="C157" i="3"/>
  <c r="C13" i="3"/>
  <c r="C180" i="3"/>
  <c r="C36" i="3"/>
  <c r="C203" i="3"/>
  <c r="C59" i="3"/>
  <c r="C226" i="3"/>
  <c r="C82" i="3"/>
  <c r="C249" i="3"/>
  <c r="C105" i="3"/>
  <c r="C272" i="3"/>
  <c r="C128" i="3"/>
  <c r="C295" i="3"/>
  <c r="C151" i="3"/>
  <c r="C7" i="3"/>
  <c r="C174" i="3"/>
  <c r="C30" i="3"/>
  <c r="C197" i="3"/>
  <c r="C53" i="3"/>
  <c r="C220" i="3"/>
  <c r="C76" i="3"/>
  <c r="C243" i="3"/>
  <c r="C99" i="3"/>
  <c r="C266" i="3"/>
  <c r="C122" i="3"/>
  <c r="C289" i="3"/>
  <c r="C145" i="3"/>
  <c r="C312" i="3"/>
  <c r="C168" i="3"/>
  <c r="C24" i="3"/>
  <c r="C191" i="3"/>
  <c r="C47" i="3"/>
  <c r="C214" i="3"/>
  <c r="C70" i="3"/>
  <c r="C237" i="3"/>
  <c r="C93" i="3"/>
  <c r="C260" i="3"/>
  <c r="C116" i="3"/>
  <c r="C283" i="3"/>
  <c r="C139" i="3"/>
  <c r="C306" i="3"/>
  <c r="C162" i="3"/>
  <c r="C18" i="3"/>
  <c r="C185" i="3"/>
  <c r="C41" i="3"/>
  <c r="C208" i="3"/>
  <c r="C64" i="3"/>
  <c r="C219" i="3"/>
  <c r="C75" i="3"/>
  <c r="C242" i="3"/>
  <c r="C98" i="3"/>
  <c r="C265" i="3"/>
  <c r="C121" i="3"/>
  <c r="C288" i="3"/>
  <c r="C144" i="3"/>
  <c r="C311" i="3"/>
  <c r="C167" i="3"/>
  <c r="C23" i="3"/>
  <c r="C190" i="3"/>
  <c r="C46" i="3"/>
  <c r="C213" i="3"/>
  <c r="C69" i="3"/>
  <c r="C236" i="3"/>
  <c r="C92" i="3"/>
  <c r="C259" i="3"/>
  <c r="C115" i="3"/>
  <c r="C282" i="3"/>
  <c r="C138" i="3"/>
  <c r="C305" i="3"/>
  <c r="C161" i="3"/>
  <c r="C17" i="3"/>
  <c r="C184" i="3"/>
  <c r="C40" i="3"/>
  <c r="C207" i="3"/>
  <c r="C63" i="3"/>
  <c r="C230" i="3"/>
  <c r="C86" i="3"/>
  <c r="C253" i="3"/>
  <c r="C109" i="3"/>
  <c r="C276" i="3"/>
  <c r="C132" i="3"/>
  <c r="C299" i="3"/>
  <c r="C155" i="3"/>
  <c r="C11" i="3"/>
  <c r="C178" i="3"/>
  <c r="C34" i="3"/>
  <c r="C201" i="3"/>
  <c r="C57" i="3"/>
  <c r="C224" i="3"/>
  <c r="C80" i="3"/>
  <c r="C247" i="3"/>
  <c r="C103" i="3"/>
  <c r="C270" i="3"/>
  <c r="C126" i="3"/>
  <c r="C293" i="3"/>
  <c r="C149" i="3"/>
  <c r="C5" i="3"/>
  <c r="C172" i="3"/>
  <c r="C28" i="3"/>
  <c r="C195" i="3"/>
  <c r="C51" i="3"/>
  <c r="C218" i="3"/>
  <c r="C74" i="3"/>
  <c r="C241" i="3"/>
  <c r="C97" i="3"/>
  <c r="C264" i="3"/>
  <c r="C120" i="3"/>
  <c r="C287" i="3"/>
  <c r="C143" i="3"/>
  <c r="C310" i="3"/>
  <c r="C166" i="3"/>
  <c r="C22" i="3"/>
  <c r="C189" i="3"/>
  <c r="C45" i="3"/>
  <c r="C212" i="3"/>
  <c r="C68" i="3"/>
  <c r="C235" i="3"/>
  <c r="C91" i="3"/>
  <c r="C258" i="3"/>
  <c r="C114" i="3"/>
  <c r="C281" i="3"/>
  <c r="C137" i="3"/>
  <c r="C304" i="3"/>
  <c r="C160" i="3"/>
  <c r="C16" i="3"/>
  <c r="C183" i="3"/>
  <c r="C39" i="3"/>
  <c r="C206" i="3"/>
  <c r="C62" i="3"/>
  <c r="C229" i="3"/>
  <c r="C85" i="3"/>
  <c r="C252" i="3"/>
  <c r="C108" i="3"/>
  <c r="C275" i="3"/>
  <c r="C131" i="3"/>
  <c r="C298" i="3"/>
  <c r="C154" i="3"/>
  <c r="C10" i="3"/>
  <c r="C177" i="3"/>
  <c r="C33" i="3"/>
  <c r="C200" i="3"/>
  <c r="C56" i="3"/>
  <c r="C223" i="3"/>
  <c r="C79" i="3"/>
  <c r="C246" i="3"/>
  <c r="C102" i="3"/>
  <c r="C269" i="3"/>
  <c r="C125" i="3"/>
  <c r="C292" i="3"/>
  <c r="C148" i="3"/>
  <c r="C4" i="3"/>
  <c r="C193" i="3"/>
  <c r="C49" i="3"/>
  <c r="C216" i="3"/>
  <c r="C72" i="3"/>
  <c r="C239" i="3"/>
  <c r="C95" i="3"/>
  <c r="C262" i="3"/>
  <c r="C118" i="3"/>
  <c r="C285" i="3"/>
  <c r="C141" i="3"/>
  <c r="C308" i="3"/>
  <c r="C164" i="3"/>
  <c r="C20" i="3"/>
  <c r="C187" i="3"/>
  <c r="C43" i="3"/>
  <c r="C210" i="3"/>
  <c r="C66" i="3"/>
  <c r="C233" i="3"/>
  <c r="C89" i="3"/>
  <c r="C256" i="3"/>
  <c r="K26" i="2" l="1"/>
  <c r="T26" i="2" s="1"/>
  <c r="K9" i="2"/>
  <c r="T9" i="2" s="1"/>
  <c r="A357" i="2" l="1"/>
  <c r="A522" i="2"/>
  <c r="A128" i="2"/>
  <c r="A129" i="2"/>
  <c r="A18" i="2"/>
  <c r="A420" i="2"/>
  <c r="A508" i="2"/>
  <c r="A162" i="2"/>
  <c r="A148" i="2"/>
  <c r="A291" i="2"/>
  <c r="A491" i="2"/>
  <c r="A192" i="2"/>
  <c r="A484" i="2"/>
  <c r="A513" i="2"/>
  <c r="A422" i="2"/>
  <c r="A177" i="2"/>
  <c r="A26" i="2"/>
  <c r="A273" i="2"/>
  <c r="A149" i="2"/>
  <c r="A85" i="2"/>
  <c r="A327" i="2"/>
  <c r="A134" i="2"/>
  <c r="A103" i="2"/>
  <c r="A474" i="2"/>
  <c r="A130" i="2"/>
  <c r="A110" i="2"/>
  <c r="A83" i="2"/>
  <c r="A509" i="2"/>
  <c r="A372" i="2"/>
  <c r="A270" i="2"/>
  <c r="A312" i="2"/>
  <c r="A500" i="2"/>
  <c r="A444" i="2"/>
  <c r="A337" i="2"/>
  <c r="A48" i="2"/>
  <c r="A410" i="2"/>
  <c r="A301" i="2"/>
  <c r="A329" i="2"/>
  <c r="A430" i="2"/>
  <c r="A247" i="2"/>
  <c r="A141" i="2"/>
  <c r="A525" i="2"/>
  <c r="A300" i="2"/>
  <c r="A405" i="2"/>
  <c r="A388" i="2"/>
  <c r="A417" i="2"/>
  <c r="A526" i="2"/>
  <c r="A138" i="2"/>
  <c r="A119" i="2"/>
  <c r="A343" i="2"/>
  <c r="A174" i="2"/>
  <c r="A200" i="2"/>
  <c r="A22" i="2"/>
  <c r="A71" i="2"/>
  <c r="A131" i="2"/>
  <c r="A255" i="2"/>
  <c r="A198" i="2"/>
  <c r="A216" i="2"/>
  <c r="A55" i="2"/>
  <c r="A21" i="2"/>
  <c r="K28" i="2"/>
  <c r="T28" i="2" s="1"/>
  <c r="A229" i="2" l="1"/>
  <c r="A535" i="2"/>
  <c r="A136" i="2"/>
  <c r="A407" i="2"/>
  <c r="A309" i="2"/>
  <c r="A482" i="2"/>
  <c r="A199" i="2"/>
  <c r="A473" i="2"/>
  <c r="A472" i="2"/>
  <c r="A462" i="2"/>
  <c r="A185" i="2"/>
  <c r="A186" i="2"/>
  <c r="A495" i="2"/>
  <c r="A251" i="2"/>
  <c r="A408" i="2"/>
  <c r="A157" i="2"/>
  <c r="A179" i="2"/>
  <c r="A163" i="2"/>
  <c r="A250" i="2"/>
  <c r="K23" i="2"/>
  <c r="T23" i="2" s="1"/>
  <c r="A205" i="2" s="1"/>
  <c r="K31" i="2"/>
  <c r="T31" i="2" s="1"/>
  <c r="K13" i="2"/>
  <c r="T13" i="2" s="1"/>
  <c r="K27" i="2"/>
  <c r="T27" i="2" s="1"/>
  <c r="K35" i="2"/>
  <c r="T35" i="2" s="1"/>
  <c r="K18" i="2"/>
  <c r="T18" i="2" s="1"/>
  <c r="K22" i="2"/>
  <c r="K30" i="2"/>
  <c r="T30" i="2" s="1"/>
  <c r="K45" i="2"/>
  <c r="T45" i="2" s="1"/>
  <c r="K32" i="2"/>
  <c r="T32" i="2" s="1"/>
  <c r="K40" i="2"/>
  <c r="T40" i="2" s="1"/>
  <c r="K10" i="2"/>
  <c r="T10" i="2" s="1"/>
  <c r="K37" i="2"/>
  <c r="T37" i="2" s="1"/>
  <c r="K17" i="2"/>
  <c r="T17" i="2" s="1"/>
  <c r="K11" i="2"/>
  <c r="T11" i="2" s="1"/>
  <c r="K16" i="2"/>
  <c r="T16" i="2" s="1"/>
  <c r="K39" i="2"/>
  <c r="T39" i="2" s="1"/>
  <c r="K25" i="2"/>
  <c r="T25" i="2" s="1"/>
  <c r="A283" i="2" s="1"/>
  <c r="K24" i="2"/>
  <c r="T24" i="2" s="1"/>
  <c r="K15" i="2"/>
  <c r="T15" i="2" s="1"/>
  <c r="K46" i="2"/>
  <c r="T46" i="2" s="1"/>
  <c r="K36" i="2"/>
  <c r="T36" i="2" s="1"/>
  <c r="K41" i="2"/>
  <c r="T41" i="2" s="1"/>
  <c r="A443" i="2" l="1"/>
  <c r="A439" i="2"/>
  <c r="A442" i="2"/>
  <c r="A441" i="2"/>
  <c r="A440" i="2"/>
  <c r="A257" i="2"/>
  <c r="A246" i="2"/>
  <c r="A426" i="2"/>
  <c r="A91" i="2"/>
  <c r="A234" i="2"/>
  <c r="A165" i="2"/>
  <c r="A215" i="2"/>
  <c r="A164" i="2"/>
  <c r="A86" i="2"/>
  <c r="A510" i="2"/>
  <c r="A193" i="2"/>
  <c r="A392" i="2"/>
  <c r="A285" i="2"/>
  <c r="A437" i="2"/>
  <c r="A401" i="2"/>
  <c r="A376" i="2"/>
  <c r="A353" i="2"/>
  <c r="A446" i="2"/>
  <c r="A374" i="2"/>
  <c r="A169" i="2"/>
  <c r="A207" i="2"/>
  <c r="A56" i="2"/>
  <c r="A386" i="2"/>
  <c r="A346" i="2"/>
  <c r="A236" i="2"/>
  <c r="A413" i="2"/>
  <c r="A471" i="2"/>
  <c r="A393" i="2"/>
  <c r="A245" i="2"/>
  <c r="A196" i="2"/>
  <c r="A403" i="2"/>
  <c r="A211" i="2"/>
  <c r="A456" i="2"/>
  <c r="A349" i="2"/>
  <c r="A265" i="2"/>
  <c r="A384" i="2"/>
  <c r="A539" i="2"/>
  <c r="A389" i="2"/>
  <c r="A121" i="2"/>
  <c r="A96" i="2"/>
  <c r="A338" i="2"/>
  <c r="A98" i="2"/>
  <c r="A107" i="2"/>
  <c r="A399" i="2"/>
  <c r="A368" i="2"/>
  <c r="A503" i="2"/>
  <c r="A371" i="2"/>
  <c r="A339" i="2"/>
  <c r="A404" i="2"/>
  <c r="A534" i="2"/>
  <c r="A528" i="2"/>
  <c r="A489" i="2"/>
  <c r="A445" i="2"/>
  <c r="A455" i="2"/>
  <c r="A428" i="2"/>
  <c r="A191" i="2"/>
  <c r="A127" i="2"/>
  <c r="A402" i="2"/>
  <c r="A116" i="2"/>
  <c r="A99" i="2"/>
  <c r="A423" i="2"/>
  <c r="A173" i="2"/>
  <c r="A150" i="2"/>
  <c r="A518" i="2"/>
  <c r="A425" i="2"/>
  <c r="A419" i="2"/>
  <c r="A331" i="2"/>
  <c r="A452" i="2"/>
  <c r="A325" i="2"/>
  <c r="A293" i="2"/>
  <c r="A206" i="2"/>
  <c r="A483" i="2"/>
  <c r="A400" i="2"/>
  <c r="A321" i="2"/>
  <c r="A217" i="2"/>
  <c r="A64" i="2"/>
  <c r="A41" i="2"/>
  <c r="A287" i="2"/>
  <c r="A201" i="2"/>
  <c r="A223" i="2"/>
  <c r="A166" i="2"/>
  <c r="A108" i="2"/>
  <c r="A139" i="2"/>
  <c r="A92" i="2"/>
  <c r="A342" i="2"/>
  <c r="A184" i="2"/>
  <c r="A263" i="2"/>
  <c r="A203" i="2"/>
  <c r="A77" i="2"/>
  <c r="A334" i="2"/>
  <c r="A311" i="2"/>
  <c r="A155" i="2"/>
  <c r="A123" i="2"/>
  <c r="A4" i="2"/>
  <c r="A132" i="2"/>
  <c r="A61" i="2"/>
  <c r="A310" i="2"/>
  <c r="A204" i="2"/>
  <c r="A280" i="2"/>
  <c r="A197" i="2"/>
  <c r="A517" i="2"/>
  <c r="A323" i="2"/>
  <c r="A524" i="2"/>
  <c r="A17" i="2"/>
  <c r="A506" i="2"/>
  <c r="A182" i="2"/>
  <c r="A260" i="2"/>
  <c r="A415" i="2"/>
  <c r="A28" i="2"/>
  <c r="A37" i="2"/>
  <c r="A221" i="2"/>
  <c r="A43" i="2"/>
  <c r="A431" i="2"/>
  <c r="A67" i="2"/>
  <c r="A82" i="2"/>
  <c r="A515" i="2"/>
  <c r="A296" i="2"/>
  <c r="A412" i="2"/>
  <c r="A32" i="2"/>
  <c r="A6" i="2"/>
  <c r="A367" i="2"/>
  <c r="A53" i="2"/>
  <c r="A266" i="2"/>
  <c r="A269" i="2"/>
  <c r="A318" i="2"/>
  <c r="A350" i="2"/>
  <c r="A47" i="2"/>
  <c r="A253" i="2"/>
  <c r="A307" i="2"/>
  <c r="A516" i="2"/>
  <c r="A297" i="2"/>
  <c r="A97" i="2"/>
  <c r="A363" i="2"/>
  <c r="A477" i="2"/>
  <c r="A168" i="2"/>
  <c r="A232" i="2"/>
  <c r="A140" i="2"/>
  <c r="A411" i="2"/>
  <c r="A167" i="2"/>
  <c r="A377" i="2"/>
  <c r="A19" i="2"/>
  <c r="A485" i="2"/>
  <c r="A50" i="2"/>
  <c r="A454" i="2"/>
  <c r="A279" i="2"/>
  <c r="A68" i="2"/>
  <c r="A380" i="2"/>
  <c r="A460" i="2"/>
  <c r="A375" i="2"/>
  <c r="A105" i="2"/>
  <c r="A459" i="2"/>
  <c r="A333" i="2"/>
  <c r="A233" i="2"/>
  <c r="A284" i="2"/>
  <c r="A390" i="2"/>
  <c r="A133" i="2"/>
  <c r="A158" i="2"/>
  <c r="A385" i="2"/>
  <c r="A313" i="2"/>
  <c r="A478" i="2"/>
  <c r="A519" i="2"/>
  <c r="A435" i="2"/>
  <c r="A230" i="2"/>
  <c r="A514" i="2"/>
  <c r="A161" i="2"/>
  <c r="A65" i="2"/>
  <c r="A75" i="2"/>
  <c r="A421" i="2"/>
  <c r="A222" i="2"/>
  <c r="A267" i="2"/>
  <c r="A249" i="2"/>
  <c r="A154" i="2"/>
  <c r="A80" i="2"/>
  <c r="A57" i="2"/>
  <c r="A330" i="2"/>
  <c r="A282" i="2"/>
  <c r="A336" i="2"/>
  <c r="A89" i="2"/>
  <c r="A172" i="2"/>
  <c r="A84" i="2"/>
  <c r="A29" i="2"/>
  <c r="A358" i="2"/>
  <c r="A34" i="2"/>
  <c r="A304" i="2"/>
  <c r="A238" i="2"/>
  <c r="A355" i="2"/>
  <c r="A51" i="2"/>
  <c r="A228" i="2"/>
  <c r="A114" i="2"/>
  <c r="A275" i="2"/>
  <c r="A7" i="2"/>
  <c r="A144" i="2"/>
  <c r="A507" i="2"/>
  <c r="A448" i="2"/>
  <c r="A180" i="2"/>
  <c r="A502" i="2"/>
  <c r="A447" i="2"/>
  <c r="A189" i="2"/>
  <c r="A31" i="2"/>
  <c r="A36" i="2"/>
  <c r="A115" i="2"/>
  <c r="A351" i="2"/>
  <c r="A209" i="2"/>
  <c r="A278" i="2"/>
  <c r="A480" i="2"/>
  <c r="A497" i="2"/>
  <c r="A499" i="2"/>
  <c r="A366" i="2"/>
  <c r="A373" i="2"/>
  <c r="A486" i="2"/>
  <c r="A365" i="2"/>
  <c r="A11" i="2"/>
  <c r="A142" i="2"/>
  <c r="A286" i="2"/>
  <c r="A240" i="2"/>
  <c r="A438" i="2"/>
  <c r="A40" i="2"/>
  <c r="A429" i="2"/>
  <c r="A394" i="2"/>
  <c r="A74" i="2"/>
  <c r="A93" i="2"/>
  <c r="A467" i="2"/>
  <c r="A479" i="2"/>
  <c r="A436" i="2"/>
  <c r="A378" i="2"/>
  <c r="A62" i="2"/>
  <c r="A126" i="2"/>
  <c r="A122" i="2"/>
  <c r="A537" i="2"/>
  <c r="A488" i="2"/>
  <c r="A298" i="2"/>
  <c r="A13" i="2"/>
  <c r="A487" i="2"/>
  <c r="A418" i="2"/>
  <c r="A213" i="2"/>
  <c r="A170" i="2"/>
  <c r="A347" i="2"/>
  <c r="A523" i="2"/>
  <c r="A369" i="2"/>
  <c r="A58" i="2"/>
  <c r="A303" i="2"/>
  <c r="A178" i="2"/>
  <c r="A5" i="2"/>
  <c r="A248" i="2"/>
  <c r="A288" i="2"/>
  <c r="A81" i="2"/>
  <c r="A381" i="2"/>
  <c r="A316" i="2"/>
  <c r="A427" i="2"/>
  <c r="A137" i="2"/>
  <c r="A271" i="2"/>
  <c r="A272" i="2"/>
  <c r="A256" i="2"/>
  <c r="A195" i="2"/>
  <c r="A457" i="2"/>
  <c r="A494" i="2"/>
  <c r="A391" i="2"/>
  <c r="A183" i="2"/>
  <c r="A354" i="2"/>
  <c r="A383" i="2"/>
  <c r="A274" i="2"/>
  <c r="A39" i="2"/>
  <c r="A63" i="2"/>
  <c r="T22" i="2"/>
  <c r="A8" i="2" l="1"/>
  <c r="A397" i="2"/>
  <c r="A406" i="2"/>
  <c r="A533" i="2"/>
  <c r="A332" i="2"/>
  <c r="A261" i="2"/>
  <c r="A352" i="2"/>
  <c r="A398" i="2"/>
  <c r="A145" i="2"/>
  <c r="A481" i="2"/>
  <c r="A538" i="2"/>
  <c r="A59" i="2"/>
  <c r="A210" i="2"/>
  <c r="A176" i="2"/>
  <c r="A224" i="2"/>
  <c r="A237" i="2"/>
  <c r="A15" i="2"/>
  <c r="A2" i="2"/>
  <c r="K29" i="2"/>
  <c r="T29" i="2" l="1"/>
  <c r="A243" i="2" l="1"/>
  <c r="A468" i="2"/>
  <c r="A414" i="2"/>
  <c r="A104" i="2"/>
  <c r="A432" i="2"/>
  <c r="A135" i="2"/>
  <c r="A94" i="2"/>
  <c r="A501" i="2"/>
  <c r="A532" i="2"/>
  <c r="A254" i="2"/>
  <c r="A449" i="2"/>
  <c r="A360" i="2"/>
  <c r="A416" i="2"/>
  <c r="A434" i="2"/>
  <c r="A160" i="2"/>
  <c r="A38" i="2"/>
  <c r="A242" i="2"/>
  <c r="A30" i="2"/>
  <c r="A78" i="2"/>
  <c r="A79" i="2"/>
  <c r="K14" i="2"/>
  <c r="T14" i="2" s="1"/>
  <c r="A505" i="2" s="1"/>
  <c r="K33" i="2" l="1"/>
  <c r="K5" i="2"/>
  <c r="K21" i="2"/>
  <c r="T21" i="2" s="1"/>
  <c r="A317" i="2" l="1"/>
  <c r="A490" i="2"/>
  <c r="A364" i="2"/>
  <c r="A498" i="2"/>
  <c r="A320" i="2"/>
  <c r="A106" i="2"/>
  <c r="A147" i="2"/>
  <c r="A20" i="2"/>
  <c r="A120" i="2"/>
  <c r="T5" i="2"/>
  <c r="K2" i="2"/>
  <c r="T33" i="2"/>
  <c r="A520" i="2" l="1"/>
  <c r="A25" i="2"/>
  <c r="A277" i="2"/>
  <c r="A451" i="2"/>
  <c r="A281" i="2"/>
  <c r="A361" i="2"/>
  <c r="A171" i="2"/>
  <c r="A125" i="2"/>
  <c r="A181" i="2"/>
  <c r="A69" i="2"/>
  <c r="A54" i="2"/>
  <c r="A512" i="2"/>
  <c r="A409" i="2"/>
  <c r="A470" i="2"/>
  <c r="A476" i="2"/>
  <c r="A362" i="2"/>
  <c r="A214" i="2"/>
  <c r="A23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C937397-9E66-4A4B-A599-21B5198C8DC2}" keepAlive="1" name="Consulta - Tabela2" description="Conexão com a consulta 'Tabela2' na pasta de trabalho." type="5" refreshedVersion="8" background="1" saveData="1">
    <dbPr connection="Provider=Microsoft.Mashup.OleDb.1;Data Source=$Workbook$;Location=Tabela2;Extended Properties=&quot;&quot;" command="SELECT * FROM [Tabela2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<sst xmlns="http://schemas.openxmlformats.org/spreadsheetml/2006/main" count="3978" uniqueCount="1322">
  <si>
    <t>Voltron</t>
  </si>
  <si>
    <t>Combate</t>
  </si>
  <si>
    <t>Sim</t>
  </si>
  <si>
    <t>Não</t>
  </si>
  <si>
    <t>Dano Direto</t>
  </si>
  <si>
    <t>Modular</t>
  </si>
  <si>
    <t>Caos</t>
  </si>
  <si>
    <t>Combo</t>
  </si>
  <si>
    <t>Zedruu</t>
  </si>
  <si>
    <t>Bater sem Apanhar</t>
  </si>
  <si>
    <t>Arcades</t>
  </si>
  <si>
    <t>Stax e Tokens</t>
  </si>
  <si>
    <t>Alela</t>
  </si>
  <si>
    <t>Tokens e Reanimate</t>
  </si>
  <si>
    <t>OWA</t>
  </si>
  <si>
    <t>Thopteros e Blink</t>
  </si>
  <si>
    <t>Breya</t>
  </si>
  <si>
    <t>Controle Voltron</t>
  </si>
  <si>
    <t>Kresh</t>
  </si>
  <si>
    <t>Mill e Tokens</t>
  </si>
  <si>
    <t>Mill</t>
  </si>
  <si>
    <t>Oona</t>
  </si>
  <si>
    <t>Rielle</t>
  </si>
  <si>
    <t>Tribal de Fractius</t>
  </si>
  <si>
    <t>Fractius</t>
  </si>
  <si>
    <t>Destruição em Massa</t>
  </si>
  <si>
    <t>Jhoira</t>
  </si>
  <si>
    <t>Muita Mana</t>
  </si>
  <si>
    <t>Elfos</t>
  </si>
  <si>
    <t>Engrenagens para Combar</t>
  </si>
  <si>
    <t>Thrakiri</t>
  </si>
  <si>
    <t>Super-Amigos</t>
  </si>
  <si>
    <t>Sisay</t>
  </si>
  <si>
    <t>Equipamentos</t>
  </si>
  <si>
    <t>Akiri</t>
  </si>
  <si>
    <t>Magos e Combos</t>
  </si>
  <si>
    <t>Inalla</t>
  </si>
  <si>
    <t>Turnos Extras</t>
  </si>
  <si>
    <t>-</t>
  </si>
  <si>
    <t>Ping</t>
  </si>
  <si>
    <t>Yuriko</t>
  </si>
  <si>
    <t>Controlar e Punir</t>
  </si>
  <si>
    <t>VialIshai</t>
  </si>
  <si>
    <t>Muzzio</t>
  </si>
  <si>
    <t>Fast Combo</t>
  </si>
  <si>
    <t>Gritrog</t>
  </si>
  <si>
    <t>Big Mana</t>
  </si>
  <si>
    <t>JhoiraB</t>
  </si>
  <si>
    <t>Terrenos e Valor</t>
  </si>
  <si>
    <t>Zimone</t>
  </si>
  <si>
    <t>Tribal de Tritões</t>
  </si>
  <si>
    <t>Kumena</t>
  </si>
  <si>
    <t>Atiçar e Investigar</t>
  </si>
  <si>
    <t>Rani</t>
  </si>
  <si>
    <t>Ganhar Vida e Reanimate</t>
  </si>
  <si>
    <t>Carlos</t>
  </si>
  <si>
    <t>Tesouros e Roubos</t>
  </si>
  <si>
    <t>Piratas</t>
  </si>
  <si>
    <t>Counters, tudo drop 3-</t>
  </si>
  <si>
    <t>Tayam</t>
  </si>
  <si>
    <t>Muitos Tokens</t>
  </si>
  <si>
    <t>Baylen</t>
  </si>
  <si>
    <t>Narset</t>
  </si>
  <si>
    <t>Prioridade</t>
  </si>
  <si>
    <t>Descrição</t>
  </si>
  <si>
    <t>Sub Plan</t>
  </si>
  <si>
    <t>Wincon</t>
  </si>
  <si>
    <t>Total</t>
  </si>
  <si>
    <t>Cores</t>
  </si>
  <si>
    <t>Alterações</t>
  </si>
  <si>
    <t>Carta</t>
  </si>
  <si>
    <t>Deck 4</t>
  </si>
  <si>
    <t>Deck 3</t>
  </si>
  <si>
    <t>Deck 2</t>
  </si>
  <si>
    <t>Deck 1</t>
  </si>
  <si>
    <t>Faltam</t>
  </si>
  <si>
    <t>Cópias</t>
  </si>
  <si>
    <t>Onde</t>
  </si>
  <si>
    <t>Onde?</t>
  </si>
  <si>
    <t>Disponível</t>
  </si>
  <si>
    <t>Deck</t>
  </si>
  <si>
    <t>Cartas</t>
  </si>
  <si>
    <t>Em Uso</t>
  </si>
  <si>
    <t>Guardadas</t>
  </si>
  <si>
    <t>Coleção Completa</t>
  </si>
  <si>
    <t>Montador</t>
  </si>
  <si>
    <t>Winota</t>
  </si>
  <si>
    <t>Who Villains</t>
  </si>
  <si>
    <t>Who Time</t>
  </si>
  <si>
    <t>Trakiri</t>
  </si>
  <si>
    <t>Tovolar</t>
  </si>
  <si>
    <t>Thantis</t>
  </si>
  <si>
    <t>Raffine</t>
  </si>
  <si>
    <t>Ladinos</t>
  </si>
  <si>
    <t>Kaalia</t>
  </si>
  <si>
    <t>Philips</t>
  </si>
  <si>
    <t>FF Counters</t>
  </si>
  <si>
    <t>João</t>
  </si>
  <si>
    <t>Vivian</t>
  </si>
  <si>
    <t>Marcelo</t>
  </si>
  <si>
    <t>Hashaton</t>
  </si>
  <si>
    <t>Dexter</t>
  </si>
  <si>
    <t>Talita</t>
  </si>
  <si>
    <t>Renato</t>
  </si>
  <si>
    <t>Hamster</t>
  </si>
  <si>
    <t>Winrate</t>
  </si>
  <si>
    <t>Partidas</t>
  </si>
  <si>
    <t>Player</t>
  </si>
  <si>
    <t>Vitória</t>
  </si>
  <si>
    <t>Player 4</t>
  </si>
  <si>
    <t>Player 3</t>
  </si>
  <si>
    <t>Player 2</t>
  </si>
  <si>
    <t>Player 1</t>
  </si>
  <si>
    <t>Dia</t>
  </si>
  <si>
    <t>Criaturas</t>
  </si>
  <si>
    <t>Stax</t>
  </si>
  <si>
    <t>Encantamento</t>
  </si>
  <si>
    <t>Preferência de Cineréia</t>
  </si>
  <si>
    <t>Untap</t>
  </si>
  <si>
    <t>Draw</t>
  </si>
  <si>
    <t>Instantânea</t>
  </si>
  <si>
    <t>Poção da Benfeitora</t>
  </si>
  <si>
    <t>Blink</t>
  </si>
  <si>
    <t>Proteção</t>
  </si>
  <si>
    <t>Artefato</t>
  </si>
  <si>
    <t>Cold Storage</t>
  </si>
  <si>
    <t>Lifegain</t>
  </si>
  <si>
    <t>Suporte</t>
  </si>
  <si>
    <t>Criatura</t>
  </si>
  <si>
    <t>Kamber, the Plunderer</t>
  </si>
  <si>
    <t>Recursão</t>
  </si>
  <si>
    <t>Hua Tuo, Honored Physician</t>
  </si>
  <si>
    <t>Chaos</t>
  </si>
  <si>
    <t>Endless Whispers</t>
  </si>
  <si>
    <t>Porphyry Nodes</t>
  </si>
  <si>
    <t>Tangleroot</t>
  </si>
  <si>
    <t>Wrap in Vigor</t>
  </si>
  <si>
    <t>Cemitério</t>
  </si>
  <si>
    <t>Dreams of the Dead</t>
  </si>
  <si>
    <t>Terreno</t>
  </si>
  <si>
    <t>Yavimaya Hollow</t>
  </si>
  <si>
    <t>Roubo</t>
  </si>
  <si>
    <t>Remoção</t>
  </si>
  <si>
    <t>Debt of Loyalt</t>
  </si>
  <si>
    <t>Feitiço</t>
  </si>
  <si>
    <t>Life // Death</t>
  </si>
  <si>
    <t>Mogg Infestation</t>
  </si>
  <si>
    <t>Habilidade</t>
  </si>
  <si>
    <t>Anule</t>
  </si>
  <si>
    <t>Interdict</t>
  </si>
  <si>
    <t>Punição</t>
  </si>
  <si>
    <t>Dano</t>
  </si>
  <si>
    <t>Explosão da Alma</t>
  </si>
  <si>
    <t>Spreading Plague</t>
  </si>
  <si>
    <t>Ramp</t>
  </si>
  <si>
    <t>Overabundance</t>
  </si>
  <si>
    <t>Tutor</t>
  </si>
  <si>
    <t>Scouting Trek</t>
  </si>
  <si>
    <t>Shivan Harvest</t>
  </si>
  <si>
    <t>Weathered Runestone</t>
  </si>
  <si>
    <t>Classe</t>
  </si>
  <si>
    <t>Categoria</t>
  </si>
  <si>
    <t>Tipo</t>
  </si>
  <si>
    <t>Identidade</t>
  </si>
  <si>
    <t>Liga</t>
  </si>
  <si>
    <t>Total Lojas:</t>
  </si>
  <si>
    <t>Fonte</t>
  </si>
  <si>
    <t>Sai</t>
  </si>
  <si>
    <t>Entra</t>
  </si>
  <si>
    <t>Total:</t>
  </si>
  <si>
    <t>Incolor</t>
  </si>
  <si>
    <t>Mono W</t>
  </si>
  <si>
    <t>Mono R</t>
  </si>
  <si>
    <t>Mono B</t>
  </si>
  <si>
    <t>Mono G</t>
  </si>
  <si>
    <t>Selesnya</t>
  </si>
  <si>
    <t>Rakdos</t>
  </si>
  <si>
    <t>Gruul</t>
  </si>
  <si>
    <t>WUBG</t>
  </si>
  <si>
    <t>Extra</t>
  </si>
  <si>
    <t>Guardado</t>
  </si>
  <si>
    <t>Marcador e Modular</t>
  </si>
  <si>
    <t>Yorion</t>
  </si>
  <si>
    <t>Cloud</t>
  </si>
  <si>
    <t>Atraxa</t>
  </si>
  <si>
    <t>Spaceship</t>
  </si>
  <si>
    <t>Zuko</t>
  </si>
  <si>
    <t>Exile Trickes</t>
  </si>
  <si>
    <t>Gitrog</t>
  </si>
  <si>
    <t>Castor</t>
  </si>
  <si>
    <t>Flumph</t>
  </si>
  <si>
    <t>Shared Roots</t>
  </si>
  <si>
    <t>Leyline of Transformation</t>
  </si>
  <si>
    <t>Insidious Fungus</t>
  </si>
  <si>
    <t>Cultivate</t>
  </si>
  <si>
    <t>Key to the City</t>
  </si>
  <si>
    <t>Genesis Wave</t>
  </si>
  <si>
    <t>Llanowar Elves</t>
  </si>
  <si>
    <t>Verdant Embrace</t>
  </si>
  <si>
    <t>Insidious Roots</t>
  </si>
  <si>
    <t>Hell to Pay</t>
  </si>
  <si>
    <t>Qarsi Revenant</t>
  </si>
  <si>
    <t>Teething Wurmlet</t>
  </si>
  <si>
    <t>Ghost Lantern // Bind Spirit</t>
  </si>
  <si>
    <t>Patrolling Peacemaker</t>
  </si>
  <si>
    <t>Maester Seymour</t>
  </si>
  <si>
    <t>Scute Mob</t>
  </si>
  <si>
    <t>Tromell, Seymour's Butler</t>
  </si>
  <si>
    <t>Walking Balista</t>
  </si>
  <si>
    <t>Exotic Orchard</t>
  </si>
  <si>
    <t>Command Tower</t>
  </si>
  <si>
    <t>Bretagard Stronghold</t>
  </si>
  <si>
    <t>Forest</t>
  </si>
  <si>
    <t>Scurry Oak</t>
  </si>
  <si>
    <t>Evolution Witness</t>
  </si>
  <si>
    <t>Boon of Safety</t>
  </si>
  <si>
    <t>Sunfall</t>
  </si>
  <si>
    <t>Voyager Staff</t>
  </si>
  <si>
    <t>Drift of Phantasms</t>
  </si>
  <si>
    <t>Rammas Echor, Ancient Shield</t>
  </si>
  <si>
    <t>Chimil, the Inner Sun</t>
  </si>
  <si>
    <t>Swiftfoot Boots</t>
  </si>
  <si>
    <t>Little</t>
  </si>
  <si>
    <t>Ool</t>
  </si>
  <si>
    <t>Aggro Small Creatures</t>
  </si>
  <si>
    <t>-1/-1 Control</t>
  </si>
  <si>
    <t>4c Rash</t>
  </si>
  <si>
    <t>Spellslinger</t>
  </si>
  <si>
    <t>Instant Ramp Control</t>
  </si>
  <si>
    <t>Nome</t>
  </si>
  <si>
    <t>Cor</t>
  </si>
  <si>
    <t>Poder</t>
  </si>
  <si>
    <t>Resistência</t>
  </si>
  <si>
    <t>Keyword</t>
  </si>
  <si>
    <t>Texto</t>
  </si>
  <si>
    <t>Treasure</t>
  </si>
  <si>
    <t>Artifact</t>
  </si>
  <si>
    <t>Colorless</t>
  </si>
  <si>
    <t>Necessários</t>
  </si>
  <si>
    <t>Possuídos</t>
  </si>
  <si>
    <t>Clue</t>
  </si>
  <si>
    <t>Food</t>
  </si>
  <si>
    <t>Powerstone</t>
  </si>
  <si>
    <t>Lander</t>
  </si>
  <si>
    <t>Map</t>
  </si>
  <si>
    <t>Munition</t>
  </si>
  <si>
    <t>Gold</t>
  </si>
  <si>
    <t>Creature</t>
  </si>
  <si>
    <t>Elephant</t>
  </si>
  <si>
    <t>Green</t>
  </si>
  <si>
    <t>Bear</t>
  </si>
  <si>
    <t>Insect</t>
  </si>
  <si>
    <t>Elf</t>
  </si>
  <si>
    <t>Elf Druid</t>
  </si>
  <si>
    <t>t: G</t>
  </si>
  <si>
    <t>White</t>
  </si>
  <si>
    <t>Blue</t>
  </si>
  <si>
    <t>Bird</t>
  </si>
  <si>
    <t>Squirrel</t>
  </si>
  <si>
    <t>Crab</t>
  </si>
  <si>
    <t>Fly</t>
  </si>
  <si>
    <t>Clone</t>
  </si>
  <si>
    <t>X</t>
  </si>
  <si>
    <t>Red</t>
  </si>
  <si>
    <t>Rebel</t>
  </si>
  <si>
    <t>Construct</t>
  </si>
  <si>
    <t>+1/+1 por Artefato</t>
  </si>
  <si>
    <t>Soldier</t>
  </si>
  <si>
    <t>Firebending 1</t>
  </si>
  <si>
    <t>Thopter</t>
  </si>
  <si>
    <t>Citizen</t>
  </si>
  <si>
    <t>Cor 2</t>
  </si>
  <si>
    <t>Wolf</t>
  </si>
  <si>
    <t>Kor Ally</t>
  </si>
  <si>
    <t>Goblin</t>
  </si>
  <si>
    <t>Emblem</t>
  </si>
  <si>
    <t>Energy</t>
  </si>
  <si>
    <t>Goat</t>
  </si>
  <si>
    <t>Spirit</t>
  </si>
  <si>
    <t>Faerie</t>
  </si>
  <si>
    <t>Trample</t>
  </si>
  <si>
    <t>Kraken</t>
  </si>
  <si>
    <t>Black</t>
  </si>
  <si>
    <t>Thief</t>
  </si>
  <si>
    <t>Human</t>
  </si>
  <si>
    <t>Human Cleric</t>
  </si>
  <si>
    <t>Wedding Ring</t>
  </si>
  <si>
    <t>Angel</t>
  </si>
  <si>
    <t>Vigilance</t>
  </si>
  <si>
    <t>Faerie Rogue</t>
  </si>
  <si>
    <t>Wall</t>
  </si>
  <si>
    <t>Shapeshifter</t>
  </si>
  <si>
    <t>Changeling</t>
  </si>
  <si>
    <t>Ally</t>
  </si>
  <si>
    <t>Bat</t>
  </si>
  <si>
    <t>Darkstar Augur</t>
  </si>
  <si>
    <t>The Ring</t>
  </si>
  <si>
    <t>Starscape Cleric</t>
  </si>
  <si>
    <t>Warrior</t>
  </si>
  <si>
    <t>Saproling</t>
  </si>
  <si>
    <t>Beast</t>
  </si>
  <si>
    <t>Gnome Soldier</t>
  </si>
  <si>
    <t>X = Artefatos</t>
  </si>
  <si>
    <t>Toy</t>
  </si>
  <si>
    <t>Servo</t>
  </si>
  <si>
    <t>Pincher</t>
  </si>
  <si>
    <t>Necron Warrior</t>
  </si>
  <si>
    <t>Phyrexian Myr</t>
  </si>
  <si>
    <t>Defender</t>
  </si>
  <si>
    <t>Criaturas Atacam</t>
  </si>
  <si>
    <t>Zombie</t>
  </si>
  <si>
    <t>Ogre</t>
  </si>
  <si>
    <t>Dragon Scorpion</t>
  </si>
  <si>
    <t>Haste</t>
  </si>
  <si>
    <t>Enchantment</t>
  </si>
  <si>
    <t>Mark of the Rani</t>
  </si>
  <si>
    <t>Goaded</t>
  </si>
  <si>
    <t>Spider</t>
  </si>
  <si>
    <t>Menace</t>
  </si>
  <si>
    <t>Reach</t>
  </si>
  <si>
    <t>Faerie Dragon</t>
  </si>
  <si>
    <t>t: R</t>
  </si>
  <si>
    <t>Wizard</t>
  </si>
  <si>
    <t>Fractal</t>
  </si>
  <si>
    <t>Demon</t>
  </si>
  <si>
    <t>Assassin</t>
  </si>
  <si>
    <t>HK</t>
  </si>
  <si>
    <t>Garruks</t>
  </si>
  <si>
    <t>Chandra, Awakened Inferno</t>
  </si>
  <si>
    <t>Dragon</t>
  </si>
  <si>
    <t>Elemental</t>
  </si>
  <si>
    <t>Kithkin</t>
  </si>
  <si>
    <t>Plant</t>
  </si>
  <si>
    <t>Human Soldier</t>
  </si>
  <si>
    <t>Spawn</t>
  </si>
  <si>
    <t>Frog</t>
  </si>
  <si>
    <t>Eldrazi Spawn</t>
  </si>
  <si>
    <t>Rat</t>
  </si>
  <si>
    <t>sac: I</t>
  </si>
  <si>
    <t>Gnome</t>
  </si>
  <si>
    <t>Morre 1 Vida</t>
  </si>
  <si>
    <t>Pest</t>
  </si>
  <si>
    <t>Demon Vampire</t>
  </si>
  <si>
    <t>Tripular 2</t>
  </si>
  <si>
    <t>Pilot</t>
  </si>
  <si>
    <t>Horror</t>
  </si>
  <si>
    <t>Monk</t>
  </si>
  <si>
    <t>Prowess</t>
  </si>
  <si>
    <t>Land</t>
  </si>
  <si>
    <t>Mutavault</t>
  </si>
  <si>
    <t>Drake</t>
  </si>
  <si>
    <t>Merfolk</t>
  </si>
  <si>
    <t>Hexproof</t>
  </si>
  <si>
    <t>Cat</t>
  </si>
  <si>
    <t>Scute Swarm</t>
  </si>
  <si>
    <t>Illusion</t>
  </si>
  <si>
    <t>Snake</t>
  </si>
  <si>
    <t>Homunculos Horde</t>
  </si>
  <si>
    <t>Deathtouch</t>
  </si>
  <si>
    <t>+1/+1 por Ilusão</t>
  </si>
  <si>
    <t>Kobold</t>
  </si>
  <si>
    <t>Knight</t>
  </si>
  <si>
    <t>Vampire Demon</t>
  </si>
  <si>
    <t>Vampire</t>
  </si>
  <si>
    <t>Lifelink</t>
  </si>
  <si>
    <t>Halfling</t>
  </si>
  <si>
    <t>Hero</t>
  </si>
  <si>
    <t>Dano LTB</t>
  </si>
  <si>
    <t>Rabbit</t>
  </si>
  <si>
    <t>Rhino Warrior</t>
  </si>
  <si>
    <t>Phyrexian Mite</t>
  </si>
  <si>
    <t>Elf Warrior</t>
  </si>
  <si>
    <t>Dwarf</t>
  </si>
  <si>
    <t>Lizard Frog</t>
  </si>
  <si>
    <t>Ape</t>
  </si>
  <si>
    <t>Salamander Warrior</t>
  </si>
  <si>
    <t>Junk</t>
  </si>
  <si>
    <t>Alien Warrior</t>
  </si>
  <si>
    <t>Spirit Dragon</t>
  </si>
  <si>
    <t>Firebending 4</t>
  </si>
  <si>
    <t>Lost Mine of Phandelver</t>
  </si>
  <si>
    <t>Tomb of Annihilation</t>
  </si>
  <si>
    <t>Dungeon of the Mad Mage</t>
  </si>
  <si>
    <t>Scarecrow</t>
  </si>
  <si>
    <t>4cRash</t>
  </si>
  <si>
    <t>Abhorrent Oculus</t>
  </si>
  <si>
    <t>Engine</t>
  </si>
  <si>
    <t>Cleopatra, Exiled Pharaoh</t>
  </si>
  <si>
    <t>Illicit Masquerade</t>
  </si>
  <si>
    <t>Wick, the Whorled Mind</t>
  </si>
  <si>
    <t>Commander</t>
  </si>
  <si>
    <t>Tribal</t>
  </si>
  <si>
    <t>The Infamous Cruelclaw</t>
  </si>
  <si>
    <t>Coruscation Mage</t>
  </si>
  <si>
    <t>Golgari Signet</t>
  </si>
  <si>
    <t>Gruul Signet</t>
  </si>
  <si>
    <t>Simic Signet</t>
  </si>
  <si>
    <t>Selesnya Signet</t>
  </si>
  <si>
    <t>Dimir Signet</t>
  </si>
  <si>
    <t>Boros Signet</t>
  </si>
  <si>
    <t>Izzet Signet</t>
  </si>
  <si>
    <t>Azorius Signet</t>
  </si>
  <si>
    <t>Rakdos Signet</t>
  </si>
  <si>
    <t>Orzhov Signet</t>
  </si>
  <si>
    <t>Arcane Signet</t>
  </si>
  <si>
    <t>Farseek</t>
  </si>
  <si>
    <t>Nature's Lore</t>
  </si>
  <si>
    <t>Commander's Sphere</t>
  </si>
  <si>
    <t>Evolving Wilds</t>
  </si>
  <si>
    <t>Congregation at Dawn</t>
  </si>
  <si>
    <t>Cryptolith Rite</t>
  </si>
  <si>
    <t>OwA</t>
  </si>
  <si>
    <t>Sol Ring</t>
  </si>
  <si>
    <t>Aether Spellbomb</t>
  </si>
  <si>
    <t>Sliver</t>
  </si>
  <si>
    <t>Última Faixa de Preço</t>
  </si>
  <si>
    <t>&lt; 15</t>
  </si>
  <si>
    <t>&lt; 10</t>
  </si>
  <si>
    <t>&lt; 30</t>
  </si>
  <si>
    <t>&lt; 20</t>
  </si>
  <si>
    <t>&lt; 60</t>
  </si>
  <si>
    <t>&lt; 5</t>
  </si>
  <si>
    <t>&lt; 2</t>
  </si>
  <si>
    <t>&lt; 25</t>
  </si>
  <si>
    <t>&lt; 1</t>
  </si>
  <si>
    <t>&lt; 50</t>
  </si>
  <si>
    <t>&gt; 200</t>
  </si>
  <si>
    <t>Preço</t>
  </si>
  <si>
    <t>Faixa</t>
  </si>
  <si>
    <t>usd</t>
  </si>
  <si>
    <t>4.45</t>
  </si>
  <si>
    <t>3.57</t>
  </si>
  <si>
    <t>0.02</t>
  </si>
  <si>
    <t>Abandoned Air Temple</t>
  </si>
  <si>
    <t>Abrupt Decay</t>
  </si>
  <si>
    <t>1.89</t>
  </si>
  <si>
    <t>Abundant Countryside</t>
  </si>
  <si>
    <t>6.42</t>
  </si>
  <si>
    <t>Access Tunnel</t>
  </si>
  <si>
    <t>0.33</t>
  </si>
  <si>
    <t>Accursed Marauder</t>
  </si>
  <si>
    <t>0.32</t>
  </si>
  <si>
    <t>Adagia, Windswept Bastion</t>
  </si>
  <si>
    <t>4.48</t>
  </si>
  <si>
    <t>Adarkar Wastes</t>
  </si>
  <si>
    <t>0.24</t>
  </si>
  <si>
    <t>Adeline, Resplendent Cathar</t>
  </si>
  <si>
    <t>1.70</t>
  </si>
  <si>
    <t>Aetherize</t>
  </si>
  <si>
    <t>0.62</t>
  </si>
  <si>
    <t>Agna Qel'a</t>
  </si>
  <si>
    <t>1.14</t>
  </si>
  <si>
    <t>Ainok Strike Leader</t>
  </si>
  <si>
    <t>1.64</t>
  </si>
  <si>
    <t>Alchemist's Refuge</t>
  </si>
  <si>
    <t>0.43</t>
  </si>
  <si>
    <t>Alesha, Who Smiles at Death</t>
  </si>
  <si>
    <t>0.13</t>
  </si>
  <si>
    <t>Aligned Heart</t>
  </si>
  <si>
    <t>0.20</t>
  </si>
  <si>
    <t>Ammit Eternal</t>
  </si>
  <si>
    <t>0.57</t>
  </si>
  <si>
    <t>Amphibian Downpour</t>
  </si>
  <si>
    <t>2.38</t>
  </si>
  <si>
    <t>An Offer You Can't Refuse</t>
  </si>
  <si>
    <t>2.30</t>
  </si>
  <si>
    <t>Ancient Greenwarden</t>
  </si>
  <si>
    <t>12.45</t>
  </si>
  <si>
    <t>Ancient Tomb</t>
  </si>
  <si>
    <t>96.41</t>
  </si>
  <si>
    <t>Anguished Unmaking</t>
  </si>
  <si>
    <t>1.79</t>
  </si>
  <si>
    <t>Anim Pakal, Thousandth Moon</t>
  </si>
  <si>
    <t>4.71</t>
  </si>
  <si>
    <t>Annie Joins Up</t>
  </si>
  <si>
    <t>4.65</t>
  </si>
  <si>
    <t>Arabella, Abandoned Doll</t>
  </si>
  <si>
    <t>0.40</t>
  </si>
  <si>
    <t>Arcane Lighthouse</t>
  </si>
  <si>
    <t>6.86</t>
  </si>
  <si>
    <t>Archaeomancer</t>
  </si>
  <si>
    <t>0.22</t>
  </si>
  <si>
    <t>Archdruid's Charm</t>
  </si>
  <si>
    <t>5.33</t>
  </si>
  <si>
    <t>Arid Mesa</t>
  </si>
  <si>
    <t>25.01</t>
  </si>
  <si>
    <t>Artifact Mutation</t>
  </si>
  <si>
    <t>1.91</t>
  </si>
  <si>
    <t>Arwen, Weaver of Hope</t>
  </si>
  <si>
    <t>6.18</t>
  </si>
  <si>
    <t>Ascend from Avernus</t>
  </si>
  <si>
    <t>1.54</t>
  </si>
  <si>
    <t>Assassin's Trophy</t>
  </si>
  <si>
    <t>0.80</t>
  </si>
  <si>
    <t>Atarka's Command</t>
  </si>
  <si>
    <t>0.99</t>
  </si>
  <si>
    <t>Aura Mutation</t>
  </si>
  <si>
    <t>2.36</t>
  </si>
  <si>
    <t>Aurelia, the Law Above</t>
  </si>
  <si>
    <t>1.22</t>
  </si>
  <si>
    <t>Authority of the Consuls</t>
  </si>
  <si>
    <t>5.61</t>
  </si>
  <si>
    <t>Avatar's Wrath</t>
  </si>
  <si>
    <t>4.81</t>
  </si>
  <si>
    <t>Ba Sing Se</t>
  </si>
  <si>
    <t>5.27</t>
  </si>
  <si>
    <t>Back in Town</t>
  </si>
  <si>
    <t>1.44</t>
  </si>
  <si>
    <t>Baral, Chief of Compliance</t>
  </si>
  <si>
    <t>2.74</t>
  </si>
  <si>
    <t>Basal Sliver</t>
  </si>
  <si>
    <t>0.41</t>
  </si>
  <si>
    <t>Battlefield Forge</t>
  </si>
  <si>
    <t>0.18</t>
  </si>
  <si>
    <t>Beast Within</t>
  </si>
  <si>
    <t>0.64</t>
  </si>
  <si>
    <t>Bedevil</t>
  </si>
  <si>
    <t>1.67</t>
  </si>
  <si>
    <t>Bedlam</t>
  </si>
  <si>
    <t>8.11</t>
  </si>
  <si>
    <t>Behind the Scenes</t>
  </si>
  <si>
    <t>0.10</t>
  </si>
  <si>
    <t>Beifong's Bounty Hunters</t>
  </si>
  <si>
    <t>0.47</t>
  </si>
  <si>
    <t>Billiard Room</t>
  </si>
  <si>
    <t>0.26</t>
  </si>
  <si>
    <t>Birds of Paradise</t>
  </si>
  <si>
    <t>13.71</t>
  </si>
  <si>
    <t>Bitterbloom Bearer</t>
  </si>
  <si>
    <t>22.52</t>
  </si>
  <si>
    <t>Bitterblossom</t>
  </si>
  <si>
    <t>30.79</t>
  </si>
  <si>
    <t>Black Waltz No. 3</t>
  </si>
  <si>
    <t>Blasphemous Act</t>
  </si>
  <si>
    <t>0.94</t>
  </si>
  <si>
    <t>Bojuka Bog</t>
  </si>
  <si>
    <t>0.79</t>
  </si>
  <si>
    <t>Bonehoard Dracosaur</t>
  </si>
  <si>
    <t>12.28</t>
  </si>
  <si>
    <t>Bonescythe Sliver</t>
  </si>
  <si>
    <t>5.42</t>
  </si>
  <si>
    <t>Boros Charm</t>
  </si>
  <si>
    <t>Bothersome Quasit</t>
  </si>
  <si>
    <t>14.68</t>
  </si>
  <si>
    <t>Brass's Tunnel-Grinder</t>
  </si>
  <si>
    <t>2.15</t>
  </si>
  <si>
    <t>Bre of Clan Stoutarm</t>
  </si>
  <si>
    <t>0.29</t>
  </si>
  <si>
    <t>Breeding Pool</t>
  </si>
  <si>
    <t>9.35</t>
  </si>
  <si>
    <t>Brigid, Clachan's Heart</t>
  </si>
  <si>
    <t>0.72</t>
  </si>
  <si>
    <t>Broadside Bombardiers</t>
  </si>
  <si>
    <t>2.55</t>
  </si>
  <si>
    <t>Brood Sliver</t>
  </si>
  <si>
    <t>4.75</t>
  </si>
  <si>
    <t>Brushland</t>
  </si>
  <si>
    <t>0.85</t>
  </si>
  <si>
    <t>Brutal Hordechief</t>
  </si>
  <si>
    <t>2.48</t>
  </si>
  <si>
    <t>Bugenhagen, Wise Elder</t>
  </si>
  <si>
    <t>0.65</t>
  </si>
  <si>
    <t>Burgeoning</t>
  </si>
  <si>
    <t>34.39</t>
  </si>
  <si>
    <t>Burnt Offering</t>
  </si>
  <si>
    <t>1.45</t>
  </si>
  <si>
    <t>Caesar, Legion's Emperor</t>
  </si>
  <si>
    <t>Cait Sith, Fortune Teller</t>
  </si>
  <si>
    <t>Cankerbloom</t>
  </si>
  <si>
    <t>0.30</t>
  </si>
  <si>
    <t>Canopy Vista</t>
  </si>
  <si>
    <t>Careful Study</t>
  </si>
  <si>
    <t>2.16</t>
  </si>
  <si>
    <t>Castle Ardenvale</t>
  </si>
  <si>
    <t>0.14</t>
  </si>
  <si>
    <t>Cauldron of Souls</t>
  </si>
  <si>
    <t>Cavern of Souls</t>
  </si>
  <si>
    <t>37.92</t>
  </si>
  <si>
    <t>Caves of Koilos</t>
  </si>
  <si>
    <t>0.66</t>
  </si>
  <si>
    <t>Champion of Lambholt</t>
  </si>
  <si>
    <t>4.17</t>
  </si>
  <si>
    <t>Champions from Beyond</t>
  </si>
  <si>
    <t>Champions of the Shoal</t>
  </si>
  <si>
    <t>0.28</t>
  </si>
  <si>
    <t>Chandra's Ignition</t>
  </si>
  <si>
    <t>3.52</t>
  </si>
  <si>
    <t>Chaos Wand</t>
  </si>
  <si>
    <t>Chaos Warp</t>
  </si>
  <si>
    <t>Charming Prince</t>
  </si>
  <si>
    <t>Cid, Freeflier Pilot</t>
  </si>
  <si>
    <t>0.48</t>
  </si>
  <si>
    <t>Cinder Glade</t>
  </si>
  <si>
    <t>Cinder Strike</t>
  </si>
  <si>
    <t>0.15</t>
  </si>
  <si>
    <t>Clever Concealment</t>
  </si>
  <si>
    <t>8.37</t>
  </si>
  <si>
    <t>Clifftop Retreat</t>
  </si>
  <si>
    <t>Cloud, Midgar Mercenary</t>
  </si>
  <si>
    <t>16.56</t>
  </si>
  <si>
    <t>Cloudshredder Sliver</t>
  </si>
  <si>
    <t>2.79</t>
  </si>
  <si>
    <t>Collector's Vault</t>
  </si>
  <si>
    <t>1.01</t>
  </si>
  <si>
    <t>Colonel Autumn</t>
  </si>
  <si>
    <t>Comet Storm</t>
  </si>
  <si>
    <t>3.05</t>
  </si>
  <si>
    <t>0.25</t>
  </si>
  <si>
    <t>Commodore Guff</t>
  </si>
  <si>
    <t>2.88</t>
  </si>
  <si>
    <t>Constricting Sliver</t>
  </si>
  <si>
    <t>0.68</t>
  </si>
  <si>
    <t>Contagion Engine</t>
  </si>
  <si>
    <t>14.14</t>
  </si>
  <si>
    <t>Corrosive Mentor</t>
  </si>
  <si>
    <t>12.82</t>
  </si>
  <si>
    <t>1.61</t>
  </si>
  <si>
    <t>Counterspell</t>
  </si>
  <si>
    <t>1.57</t>
  </si>
  <si>
    <t>Court of Garenbrig</t>
  </si>
  <si>
    <t>13.91</t>
  </si>
  <si>
    <t>Creeping Tar Pit</t>
  </si>
  <si>
    <t>Crucible of Worlds</t>
  </si>
  <si>
    <t>31.60</t>
  </si>
  <si>
    <t>Crypt Sliver</t>
  </si>
  <si>
    <t>3.08</t>
  </si>
  <si>
    <t>Crystalline Sliver</t>
  </si>
  <si>
    <t>2.01</t>
  </si>
  <si>
    <t>Culling Ritual</t>
  </si>
  <si>
    <t>Cunning Rhetoric</t>
  </si>
  <si>
    <t>Curious Farm Animals</t>
  </si>
  <si>
    <t>0.07</t>
  </si>
  <si>
    <t>Curtain's Call</t>
  </si>
  <si>
    <t>Cycle of Renewal</t>
  </si>
  <si>
    <t>Damping Sphere</t>
  </si>
  <si>
    <t>Daretti, Ingenious Iconoclast</t>
  </si>
  <si>
    <t>5.30</t>
  </si>
  <si>
    <t>Darkheart Sliver</t>
  </si>
  <si>
    <t>0.38</t>
  </si>
  <si>
    <t>Dawnhand Dissident</t>
  </si>
  <si>
    <t>Deathsprout</t>
  </si>
  <si>
    <t>0.44</t>
  </si>
  <si>
    <t>Debt of Loyalty</t>
  </si>
  <si>
    <t>19.56</t>
  </si>
  <si>
    <t>Delighted Halfling</t>
  </si>
  <si>
    <t>17.91</t>
  </si>
  <si>
    <t>Descendants' Path</t>
  </si>
  <si>
    <t>Deserted Temple</t>
  </si>
  <si>
    <t>1.10</t>
  </si>
  <si>
    <t>Diffusion Sliver</t>
  </si>
  <si>
    <t>4.15</t>
  </si>
  <si>
    <t>Displacer Kitten</t>
  </si>
  <si>
    <t>23.60</t>
  </si>
  <si>
    <t>Disruptor of Currents</t>
  </si>
  <si>
    <t>Dollmaker's Shop // Porcelain Gallery</t>
  </si>
  <si>
    <t>4.63</t>
  </si>
  <si>
    <t>Dormant Sliver</t>
  </si>
  <si>
    <t>0.35</t>
  </si>
  <si>
    <t>Dour Port-Mage</t>
  </si>
  <si>
    <t>3.58</t>
  </si>
  <si>
    <t>Dovin's Veto</t>
  </si>
  <si>
    <t>Dragonskull Summit</t>
  </si>
  <si>
    <t>0.39</t>
  </si>
  <si>
    <t>Dream Devourer</t>
  </si>
  <si>
    <t>0.71</t>
  </si>
  <si>
    <t>Dregscape Sliver</t>
  </si>
  <si>
    <t>Drowned Catacomb</t>
  </si>
  <si>
    <t>2.87</t>
  </si>
  <si>
    <t>Dusk // Dawn</t>
  </si>
  <si>
    <t>0.17</t>
  </si>
  <si>
    <t>Earthbender Ascension</t>
  </si>
  <si>
    <t>1.88</t>
  </si>
  <si>
    <t>Earthshape</t>
  </si>
  <si>
    <t>8.79</t>
  </si>
  <si>
    <t>Eclipsed Realms</t>
  </si>
  <si>
    <t>Eight-and-a-Half-Tails</t>
  </si>
  <si>
    <t>0.50</t>
  </si>
  <si>
    <t>Eladamri's Call</t>
  </si>
  <si>
    <t>9.69</t>
  </si>
  <si>
    <t>Elspeth, Sun's Champion</t>
  </si>
  <si>
    <t>1.13</t>
  </si>
  <si>
    <t>Emergence Zone</t>
  </si>
  <si>
    <t>4.30</t>
  </si>
  <si>
    <t>Emrakul, the World Anew</t>
  </si>
  <si>
    <t>5.63</t>
  </si>
  <si>
    <t>Endurance</t>
  </si>
  <si>
    <t>2.07</t>
  </si>
  <si>
    <t>Enduring Innocence</t>
  </si>
  <si>
    <t>4.83</t>
  </si>
  <si>
    <t>Enterprising Scallywag</t>
  </si>
  <si>
    <t>0.08</t>
  </si>
  <si>
    <t>Entish Restoration</t>
  </si>
  <si>
    <t>Entomb</t>
  </si>
  <si>
    <t>13.99</t>
  </si>
  <si>
    <t>Ephara, God of the Polis</t>
  </si>
  <si>
    <t>11.60</t>
  </si>
  <si>
    <t>Ephemerate</t>
  </si>
  <si>
    <t>4.61</t>
  </si>
  <si>
    <t>Essence Sliver</t>
  </si>
  <si>
    <t>7.44</t>
  </si>
  <si>
    <t>Eureka Moment</t>
  </si>
  <si>
    <t>0.11</t>
  </si>
  <si>
    <t>Evacuation</t>
  </si>
  <si>
    <t>Exalted Flamer of Tzeentch</t>
  </si>
  <si>
    <t>24.43</t>
  </si>
  <si>
    <t>Exalted Sunborn</t>
  </si>
  <si>
    <t>15.66</t>
  </si>
  <si>
    <t>Exsanguinate</t>
  </si>
  <si>
    <t>Fabled Passage</t>
  </si>
  <si>
    <t>4.34</t>
  </si>
  <si>
    <t>Faerie Slumber Party</t>
  </si>
  <si>
    <t>Fandaniel, Telophoroi Ascian</t>
  </si>
  <si>
    <t>Farhaven Elf</t>
  </si>
  <si>
    <t>Farmer Cotton</t>
  </si>
  <si>
    <t>1.12</t>
  </si>
  <si>
    <t>Felidar Guardian</t>
  </si>
  <si>
    <t>2.41</t>
  </si>
  <si>
    <t>Filigree Vector</t>
  </si>
  <si>
    <t>14.52</t>
  </si>
  <si>
    <t>Final Showdown</t>
  </si>
  <si>
    <t>3.46</t>
  </si>
  <si>
    <t>Firebender Ascension</t>
  </si>
  <si>
    <t>1.59</t>
  </si>
  <si>
    <t>0.16</t>
  </si>
  <si>
    <t>Forsaken Miner</t>
  </si>
  <si>
    <t>0.74</t>
  </si>
  <si>
    <t>Freyalise, Llanowar's Fury</t>
  </si>
  <si>
    <t>Galerider Sliver</t>
  </si>
  <si>
    <t>6.17</t>
  </si>
  <si>
    <t>Gallifrey Council Chamber</t>
  </si>
  <si>
    <t>Gathering Stone</t>
  </si>
  <si>
    <t>0.36</t>
  </si>
  <si>
    <t>Gavony Township</t>
  </si>
  <si>
    <t>4.16</t>
  </si>
  <si>
    <t>Gemhide Sliver</t>
  </si>
  <si>
    <t>1.02</t>
  </si>
  <si>
    <t>Generous Gift</t>
  </si>
  <si>
    <t>Generous Patron</t>
  </si>
  <si>
    <t>12.68</t>
  </si>
  <si>
    <t>Ghostly Prison</t>
  </si>
  <si>
    <t>5.57</t>
  </si>
  <si>
    <t>Ghostway</t>
  </si>
  <si>
    <t>3.91</t>
  </si>
  <si>
    <t>Ghoulish Impetus</t>
  </si>
  <si>
    <t>6.43</t>
  </si>
  <si>
    <t>Giggling Skitterspike</t>
  </si>
  <si>
    <t>5.28</t>
  </si>
  <si>
    <t>Giver of Runes</t>
  </si>
  <si>
    <t>9.45</t>
  </si>
  <si>
    <t>Glasspool Mimic</t>
  </si>
  <si>
    <t>4.49</t>
  </si>
  <si>
    <t>Glen Elendra's Answer</t>
  </si>
  <si>
    <t>2.77</t>
  </si>
  <si>
    <t>Glint-Horn Buccaneer</t>
  </si>
  <si>
    <t>6.60</t>
  </si>
  <si>
    <t>Godless Shrine</t>
  </si>
  <si>
    <t>7.05</t>
  </si>
  <si>
    <t>Gonti's Aether Heart</t>
  </si>
  <si>
    <t>0.88</t>
  </si>
  <si>
    <t>Great Furnace</t>
  </si>
  <si>
    <t>1.94</t>
  </si>
  <si>
    <t>Grim Affliction</t>
  </si>
  <si>
    <t>Growth Spiral</t>
  </si>
  <si>
    <t>Guide of Souls</t>
  </si>
  <si>
    <t>3.16</t>
  </si>
  <si>
    <t>Guttersnipe</t>
  </si>
  <si>
    <t>Hallowed Fountain</t>
  </si>
  <si>
    <t>7.74</t>
  </si>
  <si>
    <t>Hare Apparent</t>
  </si>
  <si>
    <t>3.26</t>
  </si>
  <si>
    <t>Harmonic Sliver</t>
  </si>
  <si>
    <t>Harrow</t>
  </si>
  <si>
    <t>Harvest Season</t>
  </si>
  <si>
    <t>1.11</t>
  </si>
  <si>
    <t>Hatchery Sliver</t>
  </si>
  <si>
    <t>6.92</t>
  </si>
  <si>
    <t>Haunted Crossroads</t>
  </si>
  <si>
    <t>3.53</t>
  </si>
  <si>
    <t>Havengul Laboratory</t>
  </si>
  <si>
    <t>Haywire Mite</t>
  </si>
  <si>
    <t>Headliner Scarlett</t>
  </si>
  <si>
    <t>4.19</t>
  </si>
  <si>
    <t>Heart Sliver</t>
  </si>
  <si>
    <t>1.16</t>
  </si>
  <si>
    <t>Heirloom Auntie</t>
  </si>
  <si>
    <t>Hibernation Sliver</t>
  </si>
  <si>
    <t>Hollowhead Sliver</t>
  </si>
  <si>
    <t>Homeward Path</t>
  </si>
  <si>
    <t>15.52</t>
  </si>
  <si>
    <t>Homing Sliver</t>
  </si>
  <si>
    <t>Hunter Sliver</t>
  </si>
  <si>
    <t>Hurkyl's Final Meditation</t>
  </si>
  <si>
    <t>0.21</t>
  </si>
  <si>
    <t>Illustrious Wanderglyph</t>
  </si>
  <si>
    <t>15.29</t>
  </si>
  <si>
    <t>Incendiary Command</t>
  </si>
  <si>
    <t>0.98</t>
  </si>
  <si>
    <t>Indatha Triome</t>
  </si>
  <si>
    <t>16.16</t>
  </si>
  <si>
    <t>Inferno</t>
  </si>
  <si>
    <t>0.51</t>
  </si>
  <si>
    <t>Invasion of Segovia</t>
  </si>
  <si>
    <t>1.04</t>
  </si>
  <si>
    <t>Inventors' Fair</t>
  </si>
  <si>
    <t>11.46</t>
  </si>
  <si>
    <t>Inventory Management</t>
  </si>
  <si>
    <t>2.22</t>
  </si>
  <si>
    <t>Iraxxa, Empress of Mars</t>
  </si>
  <si>
    <t>Island</t>
  </si>
  <si>
    <t>Isolated Chapel</t>
  </si>
  <si>
    <t>Isshin, Two Heavens as One</t>
  </si>
  <si>
    <t>5.98</t>
  </si>
  <si>
    <t>Jaheira's Respite</t>
  </si>
  <si>
    <t>0.56</t>
  </si>
  <si>
    <t>Jenova, Ancient Calamity</t>
  </si>
  <si>
    <t>Jetmir, Nexus of Revels</t>
  </si>
  <si>
    <t>6.63</t>
  </si>
  <si>
    <t>Jetmir's Garden</t>
  </si>
  <si>
    <t>15.75</t>
  </si>
  <si>
    <t>Jidoor, Aristocratic Capital // Overture</t>
  </si>
  <si>
    <t>0.52</t>
  </si>
  <si>
    <t>Joint Exploration</t>
  </si>
  <si>
    <t>Kabira Takedown</t>
  </si>
  <si>
    <t>Kaervek the Merciless</t>
  </si>
  <si>
    <t>Kambal, Profiteering Mayor</t>
  </si>
  <si>
    <t>3.38</t>
  </si>
  <si>
    <t>Karn's Bastion</t>
  </si>
  <si>
    <t>1.18</t>
  </si>
  <si>
    <t>Karplusan Forest</t>
  </si>
  <si>
    <t>Katara's Reversal</t>
  </si>
  <si>
    <t>3.60</t>
  </si>
  <si>
    <t>Kaya the Inexorable</t>
  </si>
  <si>
    <t>2.98</t>
  </si>
  <si>
    <t>Keen Duelist</t>
  </si>
  <si>
    <t>5.04</t>
  </si>
  <si>
    <t>Kellan, the Fae-Blooded // Birthright Boon</t>
  </si>
  <si>
    <t>5.47</t>
  </si>
  <si>
    <t>Kess, Dissident Mage</t>
  </si>
  <si>
    <t>6.13</t>
  </si>
  <si>
    <t>Ketria Triome</t>
  </si>
  <si>
    <t>14.24</t>
  </si>
  <si>
    <t>Khorvath's Fury</t>
  </si>
  <si>
    <t>1.90</t>
  </si>
  <si>
    <t>Kinnan, Bonder Prodigy</t>
  </si>
  <si>
    <t>Kinscaer Sentry</t>
  </si>
  <si>
    <t>1.40</t>
  </si>
  <si>
    <t>Kozilek, the Broken Reality</t>
  </si>
  <si>
    <t>3.88</t>
  </si>
  <si>
    <t>Krosan Grip</t>
  </si>
  <si>
    <t>0.86</t>
  </si>
  <si>
    <t>Kutzil, Malamet Exemplar</t>
  </si>
  <si>
    <t>2.27</t>
  </si>
  <si>
    <t>Lae'zel, Vlaakith's Champion</t>
  </si>
  <si>
    <t>4.70</t>
  </si>
  <si>
    <t>Lagomos, Hand of Hatred</t>
  </si>
  <si>
    <t>Lavabelly Sliver</t>
  </si>
  <si>
    <t>Lavaspur Boots</t>
  </si>
  <si>
    <t>Leyline Tyrant</t>
  </si>
  <si>
    <t>2.66</t>
  </si>
  <si>
    <t>Life of the Party</t>
  </si>
  <si>
    <t>9.66</t>
  </si>
  <si>
    <t>Lightning Greaves</t>
  </si>
  <si>
    <t>4.44</t>
  </si>
  <si>
    <t>Liquimetal Torque</t>
  </si>
  <si>
    <t>4.88</t>
  </si>
  <si>
    <t>Lithoform Engine</t>
  </si>
  <si>
    <t>6.32</t>
  </si>
  <si>
    <t>Llanowar Wastes</t>
  </si>
  <si>
    <t>Lolth, Spider Queen</t>
  </si>
  <si>
    <t>4.18</t>
  </si>
  <si>
    <t>Long Feng, Grand Secretariat</t>
  </si>
  <si>
    <t>Long-Range Sensor</t>
  </si>
  <si>
    <t>Lord of Atlantis</t>
  </si>
  <si>
    <t>7.26</t>
  </si>
  <si>
    <t>Lost Jitte</t>
  </si>
  <si>
    <t>4.10</t>
  </si>
  <si>
    <t>Loyal Apprentice</t>
  </si>
  <si>
    <t>Lurrus of the Dream-Den</t>
  </si>
  <si>
    <t>Luxury Suite</t>
  </si>
  <si>
    <t>21.50</t>
  </si>
  <si>
    <t>Maddening Cacophony</t>
  </si>
  <si>
    <t>5.52</t>
  </si>
  <si>
    <t>Magda, the Hoardmaster</t>
  </si>
  <si>
    <t>0.37</t>
  </si>
  <si>
    <t>Magma Sliver</t>
  </si>
  <si>
    <t>9.31</t>
  </si>
  <si>
    <t>Mahadi, Emporium Master</t>
  </si>
  <si>
    <t>1.78</t>
  </si>
  <si>
    <t>Manaweft Sliver</t>
  </si>
  <si>
    <t>3.78</t>
  </si>
  <si>
    <t>Mandate of Abaddon</t>
  </si>
  <si>
    <t>March of the Canonized</t>
  </si>
  <si>
    <t>Mardu Ascendancy</t>
  </si>
  <si>
    <t>Mask of Griselbrand</t>
  </si>
  <si>
    <t>0.46</t>
  </si>
  <si>
    <t>Merchant of Truth</t>
  </si>
  <si>
    <t>Merrow Commerce</t>
  </si>
  <si>
    <t>Merrow Harbinger</t>
  </si>
  <si>
    <t>4.43</t>
  </si>
  <si>
    <t>Mind Stone</t>
  </si>
  <si>
    <t>Mines of Moria</t>
  </si>
  <si>
    <t>Mirror Pool</t>
  </si>
  <si>
    <t>Mishra, Claimed by Gix</t>
  </si>
  <si>
    <t>3.96</t>
  </si>
  <si>
    <t>Mistbind Clique</t>
  </si>
  <si>
    <t>Mistrise Village</t>
  </si>
  <si>
    <t>5.95</t>
  </si>
  <si>
    <t>Misty Rainforest</t>
  </si>
  <si>
    <t>25.49</t>
  </si>
  <si>
    <t>Mnemonic Sliver</t>
  </si>
  <si>
    <t>Molten Echoes</t>
  </si>
  <si>
    <t>11.86</t>
  </si>
  <si>
    <t>Mondrak, Glory Dominus</t>
  </si>
  <si>
    <t>32.80</t>
  </si>
  <si>
    <t>Monk Gyatso</t>
  </si>
  <si>
    <t>5.54</t>
  </si>
  <si>
    <t>Morphic Pool</t>
  </si>
  <si>
    <t>19.98</t>
  </si>
  <si>
    <t>Mountain</t>
  </si>
  <si>
    <t>Mox Tantalite</t>
  </si>
  <si>
    <t>11.31</t>
  </si>
  <si>
    <t>Muscle Sliver</t>
  </si>
  <si>
    <t>Mutable Explorer</t>
  </si>
  <si>
    <t>2.44</t>
  </si>
  <si>
    <t>Myrel, Shield of Argive</t>
  </si>
  <si>
    <t>17.03</t>
  </si>
  <si>
    <t>Mystic Confluence</t>
  </si>
  <si>
    <t>Mystic Sanctuary</t>
  </si>
  <si>
    <t>5.75</t>
  </si>
  <si>
    <t>Natural Connection</t>
  </si>
  <si>
    <t>0.09</t>
  </si>
  <si>
    <t>Necrotic Sliver</t>
  </si>
  <si>
    <t>Negate</t>
  </si>
  <si>
    <t>Nest of Scarabs</t>
  </si>
  <si>
    <t>10.42</t>
  </si>
  <si>
    <t>Nibelheim Aflame</t>
  </si>
  <si>
    <t>2.97</t>
  </si>
  <si>
    <t>Nicol Bolas, God-Pharaoh</t>
  </si>
  <si>
    <t>3.55</t>
  </si>
  <si>
    <t>Nissa, Resurgent Animist</t>
  </si>
  <si>
    <t>20.52</t>
  </si>
  <si>
    <t>Niv-Mizzet, Parun</t>
  </si>
  <si>
    <t>6.70</t>
  </si>
  <si>
    <t>Nomad Outpost</t>
  </si>
  <si>
    <t>Norin the Wary</t>
  </si>
  <si>
    <t>18.26</t>
  </si>
  <si>
    <t>Obelisk Spider</t>
  </si>
  <si>
    <t>5.72</t>
  </si>
  <si>
    <t>Obsessive Pursuit</t>
  </si>
  <si>
    <t>Obsidian Obelisk</t>
  </si>
  <si>
    <t>Ohran Frostfang</t>
  </si>
  <si>
    <t>8.70</t>
  </si>
  <si>
    <t>Oketra's Monument</t>
  </si>
  <si>
    <t>4.21</t>
  </si>
  <si>
    <t>Oko, Thief of Crowns</t>
  </si>
  <si>
    <t>5.25</t>
  </si>
  <si>
    <t>Omen of the Hunt</t>
  </si>
  <si>
    <t>Ondu Inversion</t>
  </si>
  <si>
    <t>0.96</t>
  </si>
  <si>
    <t>Opaline Sliver</t>
  </si>
  <si>
    <t>3.23</t>
  </si>
  <si>
    <t>Overgrown Tomb</t>
  </si>
  <si>
    <t>7.46</t>
  </si>
  <si>
    <t>Party Thrasher</t>
  </si>
  <si>
    <t>0.59</t>
  </si>
  <si>
    <t>Path to Exile</t>
  </si>
  <si>
    <t>0.92</t>
  </si>
  <si>
    <t>Perplexing Test</t>
  </si>
  <si>
    <t>0.34</t>
  </si>
  <si>
    <t>Persistent Constrictor</t>
  </si>
  <si>
    <t>16.46</t>
  </si>
  <si>
    <t>Pestered Wellguard</t>
  </si>
  <si>
    <t>0.19</t>
  </si>
  <si>
    <t>Petrified Field</t>
  </si>
  <si>
    <t>4.24</t>
  </si>
  <si>
    <t>Phyrexian Arena</t>
  </si>
  <si>
    <t>4.00</t>
  </si>
  <si>
    <t>Phyrexian Dragon Engine</t>
  </si>
  <si>
    <t>Phyrexian Tower</t>
  </si>
  <si>
    <t>23.31</t>
  </si>
  <si>
    <t>Plains</t>
  </si>
  <si>
    <t>Planar Genesis</t>
  </si>
  <si>
    <t>Polluted Delta</t>
  </si>
  <si>
    <t>16.73</t>
  </si>
  <si>
    <t>Pongify</t>
  </si>
  <si>
    <t>1.84</t>
  </si>
  <si>
    <t>Predatory Sliver</t>
  </si>
  <si>
    <t>0.54</t>
  </si>
  <si>
    <t>Prishe's Wanderings</t>
  </si>
  <si>
    <t>Prismatic Lens</t>
  </si>
  <si>
    <t>Propaganda</t>
  </si>
  <si>
    <t>3.30</t>
  </si>
  <si>
    <t>Prosper, Tome-Bound</t>
  </si>
  <si>
    <t>Prosperous Partnership</t>
  </si>
  <si>
    <t>Psionic Sliver</t>
  </si>
  <si>
    <t>1.98</t>
  </si>
  <si>
    <t>Psychic Corrosion</t>
  </si>
  <si>
    <t>5.20</t>
  </si>
  <si>
    <t>Psychic Paper</t>
  </si>
  <si>
    <t>Pulmonic Sliver</t>
  </si>
  <si>
    <t>1.42</t>
  </si>
  <si>
    <t>Puncture Blast</t>
  </si>
  <si>
    <t>Purphoros, God of the Forge</t>
  </si>
  <si>
    <t>21.72</t>
  </si>
  <si>
    <t>Pyrohemia</t>
  </si>
  <si>
    <t>16.62</t>
  </si>
  <si>
    <t>Quick Sliver</t>
  </si>
  <si>
    <t>1.74</t>
  </si>
  <si>
    <t>Quilled Sliver</t>
  </si>
  <si>
    <t>Rabble Rousing</t>
  </si>
  <si>
    <t>0.97</t>
  </si>
  <si>
    <t>Radiant Summit</t>
  </si>
  <si>
    <t>1.81</t>
  </si>
  <si>
    <t>Raffine's Tower</t>
  </si>
  <si>
    <t>12.70</t>
  </si>
  <si>
    <t>Rakdos Charm</t>
  </si>
  <si>
    <t>Rampant Growth</t>
  </si>
  <si>
    <t>Rashmi, Eternities Crafter</t>
  </si>
  <si>
    <t>Raugrin Triome</t>
  </si>
  <si>
    <t>14.25</t>
  </si>
  <si>
    <t>Raven Eagle</t>
  </si>
  <si>
    <t>Reality Shift</t>
  </si>
  <si>
    <t>Realmwalker</t>
  </si>
  <si>
    <t>Red XIII, Proud Warrior</t>
  </si>
  <si>
    <t>Reflecting Pool</t>
  </si>
  <si>
    <t>8.66</t>
  </si>
  <si>
    <t>Reforge the Soul</t>
  </si>
  <si>
    <t>Regal Sliver</t>
  </si>
  <si>
    <t>1.96</t>
  </si>
  <si>
    <t>Reliquary Tower</t>
  </si>
  <si>
    <t>2.73</t>
  </si>
  <si>
    <t>Renewed Solidarity</t>
  </si>
  <si>
    <t>6.14</t>
  </si>
  <si>
    <t>Respite</t>
  </si>
  <si>
    <t>0.27</t>
  </si>
  <si>
    <t>Restoration Angel</t>
  </si>
  <si>
    <t>Return from the Wilds</t>
  </si>
  <si>
    <t>Rewind</t>
  </si>
  <si>
    <t>Reyhan, Last of the Abzan</t>
  </si>
  <si>
    <t>Rimekin Recluse</t>
  </si>
  <si>
    <t>Rings of Brighthearth</t>
  </si>
  <si>
    <t>4.95</t>
  </si>
  <si>
    <t>Ripples of Potential</t>
  </si>
  <si>
    <t>Ripples of Undeath</t>
  </si>
  <si>
    <t>Rise of the Eldrazi</t>
  </si>
  <si>
    <t>13.31</t>
  </si>
  <si>
    <t>Rivendell</t>
  </si>
  <si>
    <t>1.31</t>
  </si>
  <si>
    <t>Riveteers Charm</t>
  </si>
  <si>
    <t>0.06</t>
  </si>
  <si>
    <t>Rogues' Gallery</t>
  </si>
  <si>
    <t>0.05</t>
  </si>
  <si>
    <t>Rogue's Passage</t>
  </si>
  <si>
    <t>Roiling Regrowth</t>
  </si>
  <si>
    <t>Root Sliver</t>
  </si>
  <si>
    <t>8.26</t>
  </si>
  <si>
    <t>Rose, Cutthroat Raider</t>
  </si>
  <si>
    <t>Rotating Fireplace</t>
  </si>
  <si>
    <t>Sacred Foundry</t>
  </si>
  <si>
    <t>9.00</t>
  </si>
  <si>
    <t>Satoru, the Infiltrator</t>
  </si>
  <si>
    <t>Savai Triome</t>
  </si>
  <si>
    <t>17.96</t>
  </si>
  <si>
    <t>Scalding Tarn</t>
  </si>
  <si>
    <t>26.75</t>
  </si>
  <si>
    <t>Scattered Groves</t>
  </si>
  <si>
    <t>Scuzzback Scrounger</t>
  </si>
  <si>
    <t>Sea Gate Restoration</t>
  </si>
  <si>
    <t>30.73</t>
  </si>
  <si>
    <t>Seahunter</t>
  </si>
  <si>
    <t>3.15</t>
  </si>
  <si>
    <t>Searslicer Goblin</t>
  </si>
  <si>
    <t>1.68</t>
  </si>
  <si>
    <t>Secret Tunnel</t>
  </si>
  <si>
    <t>2.67</t>
  </si>
  <si>
    <t>Sedge Sliver</t>
  </si>
  <si>
    <t>Seedborn Muse</t>
  </si>
  <si>
    <t>7.22</t>
  </si>
  <si>
    <t>Sentinel Sliver</t>
  </si>
  <si>
    <t>2.18</t>
  </si>
  <si>
    <t>Serrated Biskelion</t>
  </si>
  <si>
    <t>Shelter</t>
  </si>
  <si>
    <t>0.12</t>
  </si>
  <si>
    <t>Shifting Sliver</t>
  </si>
  <si>
    <t>4.01</t>
  </si>
  <si>
    <t>Shizo, Death's Storehouse</t>
  </si>
  <si>
    <t>32.69</t>
  </si>
  <si>
    <t>Shoot the Sheriff</t>
  </si>
  <si>
    <t>Signal the Clans</t>
  </si>
  <si>
    <t>0.53</t>
  </si>
  <si>
    <t>Sinew Sliver</t>
  </si>
  <si>
    <t>0.49</t>
  </si>
  <si>
    <t>Sink into Stupor</t>
  </si>
  <si>
    <t>8.18</t>
  </si>
  <si>
    <t>Sinkhole Surveyor</t>
  </si>
  <si>
    <t>Skyknight Vanguard</t>
  </si>
  <si>
    <t>Slash the Ranks</t>
  </si>
  <si>
    <t>0.67</t>
  </si>
  <si>
    <t>Slayers' Stronghold</t>
  </si>
  <si>
    <t>Sliver Gravemother</t>
  </si>
  <si>
    <t>Sliver Hive</t>
  </si>
  <si>
    <t>12.87</t>
  </si>
  <si>
    <t>Sliver Hivelord</t>
  </si>
  <si>
    <t>15.31</t>
  </si>
  <si>
    <t>Sliver Legion</t>
  </si>
  <si>
    <t>47.11</t>
  </si>
  <si>
    <t>Sliver Overlord</t>
  </si>
  <si>
    <t>47.31</t>
  </si>
  <si>
    <t>Sliver Queen</t>
  </si>
  <si>
    <t>Smoldering Marsh</t>
  </si>
  <si>
    <t>Sokenzan, Crucible of Defiance</t>
  </si>
  <si>
    <t>Solid Ground</t>
  </si>
  <si>
    <t>1.63</t>
  </si>
  <si>
    <t>Sonic Screwdriver</t>
  </si>
  <si>
    <t>Sophina, Spearsage Deserter</t>
  </si>
  <si>
    <t>Sothera, the Supervoid</t>
  </si>
  <si>
    <t>3.14</t>
  </si>
  <si>
    <t>Soul Immolation</t>
  </si>
  <si>
    <t>3.82</t>
  </si>
  <si>
    <t>Spara's Headquarters</t>
  </si>
  <si>
    <t>13.50</t>
  </si>
  <si>
    <t>Spectacular Spider-Man</t>
  </si>
  <si>
    <t>98.34</t>
  </si>
  <si>
    <t>Spectator Seating</t>
  </si>
  <si>
    <t>17.67</t>
  </si>
  <si>
    <t>Sphere Grid</t>
  </si>
  <si>
    <t>8.53</t>
  </si>
  <si>
    <t>Spinerock Knoll</t>
  </si>
  <si>
    <t>Spirit Water Revival</t>
  </si>
  <si>
    <t>Spiteful Sliver</t>
  </si>
  <si>
    <t>Splash Portal</t>
  </si>
  <si>
    <t>1.15</t>
  </si>
  <si>
    <t>Springleaf Parade</t>
  </si>
  <si>
    <t>5.67</t>
  </si>
  <si>
    <t>Starfield Vocalist</t>
  </si>
  <si>
    <t>2.26</t>
  </si>
  <si>
    <t>Steam Vents</t>
  </si>
  <si>
    <t>9.06</t>
  </si>
  <si>
    <t>Sting-Slinger</t>
  </si>
  <si>
    <t>Stomping Ground</t>
  </si>
  <si>
    <t>7.33</t>
  </si>
  <si>
    <t>Stoneforge Mystic</t>
  </si>
  <si>
    <t>29.87</t>
  </si>
  <si>
    <t>Stonybrook Banneret</t>
  </si>
  <si>
    <t>Striking Sliver</t>
  </si>
  <si>
    <t>0.61</t>
  </si>
  <si>
    <t>Strix Serenade</t>
  </si>
  <si>
    <t>3.12</t>
  </si>
  <si>
    <t>Stroke of Midnight</t>
  </si>
  <si>
    <t>Stump Stomp</t>
  </si>
  <si>
    <t>Summon: Ixion</t>
  </si>
  <si>
    <t>Sundering Eruption</t>
  </si>
  <si>
    <t>1.19</t>
  </si>
  <si>
    <t>Sunpetal Grove</t>
  </si>
  <si>
    <t>Sunscorched Divide</t>
  </si>
  <si>
    <t>Susur Secundi, Void Altar</t>
  </si>
  <si>
    <t>3.70</t>
  </si>
  <si>
    <t>Swamp</t>
  </si>
  <si>
    <t>Swan Song</t>
  </si>
  <si>
    <t>Sword of Feast and Famine</t>
  </si>
  <si>
    <t>37.21</t>
  </si>
  <si>
    <t>Sword of Fire and Ice</t>
  </si>
  <si>
    <t>46.81</t>
  </si>
  <si>
    <t>Sword of Light and Shadow</t>
  </si>
  <si>
    <t>13.23</t>
  </si>
  <si>
    <t>Sword of Truth and Justice</t>
  </si>
  <si>
    <t>32.18</t>
  </si>
  <si>
    <t>Sword of Wealth and Power</t>
  </si>
  <si>
    <t>17.08</t>
  </si>
  <si>
    <t>Swords to Plowshares</t>
  </si>
  <si>
    <t>Synapse Sliver</t>
  </si>
  <si>
    <t>4.14</t>
  </si>
  <si>
    <t>Syphon Sliver</t>
  </si>
  <si>
    <t>10.58</t>
  </si>
  <si>
    <t>Tainted Field</t>
  </si>
  <si>
    <t>Takenuma, Abandoned Mire</t>
  </si>
  <si>
    <t>8.05</t>
  </si>
  <si>
    <t>Tale of Katara and Toph</t>
  </si>
  <si>
    <t>2.32</t>
  </si>
  <si>
    <t>Tana, the Bloodsower</t>
  </si>
  <si>
    <t>Tarrian's Journal</t>
  </si>
  <si>
    <t>0.42</t>
  </si>
  <si>
    <t>Taunting Sliver</t>
  </si>
  <si>
    <t>Tear Asunder</t>
  </si>
  <si>
    <t>Teferi's Ageless Insight</t>
  </si>
  <si>
    <t>3.00</t>
  </si>
  <si>
    <t>Telekinetic Sliver</t>
  </si>
  <si>
    <t>Temple Garden</t>
  </si>
  <si>
    <t>6.71</t>
  </si>
  <si>
    <t>Temple of Malice</t>
  </si>
  <si>
    <t>Temple of the False God</t>
  </si>
  <si>
    <t>Temporal Manipulation</t>
  </si>
  <si>
    <t>11.75</t>
  </si>
  <si>
    <t>Temporal Trespass</t>
  </si>
  <si>
    <t>4.56</t>
  </si>
  <si>
    <t>Terminate</t>
  </si>
  <si>
    <t>Terra Eternal</t>
  </si>
  <si>
    <t>11.71</t>
  </si>
  <si>
    <t>Teysa Karlov</t>
  </si>
  <si>
    <t>2.24</t>
  </si>
  <si>
    <t>Teysa, Opulent Oligarch</t>
  </si>
  <si>
    <t>Teysa, Orzhov Scion</t>
  </si>
  <si>
    <t>1.93</t>
  </si>
  <si>
    <t>The Battle of Bywater</t>
  </si>
  <si>
    <t>3.19</t>
  </si>
  <si>
    <t>The Cabbage Merchant</t>
  </si>
  <si>
    <t>17.26</t>
  </si>
  <si>
    <t>The Duke, Rebel Sentry</t>
  </si>
  <si>
    <t>The Emperor of Palamecia</t>
  </si>
  <si>
    <t>The Enigma Jewel</t>
  </si>
  <si>
    <t>The First Sliver</t>
  </si>
  <si>
    <t>36.04</t>
  </si>
  <si>
    <t>The Gold Saucer</t>
  </si>
  <si>
    <t>The Great Henge</t>
  </si>
  <si>
    <t>59.63</t>
  </si>
  <si>
    <t>The Legend of Roku</t>
  </si>
  <si>
    <t>9.54</t>
  </si>
  <si>
    <t>The Lord of Pain</t>
  </si>
  <si>
    <t>7.02</t>
  </si>
  <si>
    <t>The Mycosynth Gardens</t>
  </si>
  <si>
    <t>The Peregrine Dynamo</t>
  </si>
  <si>
    <t>The Shire</t>
  </si>
  <si>
    <t>2.64</t>
  </si>
  <si>
    <t>The Soul Stone</t>
  </si>
  <si>
    <t>52.76</t>
  </si>
  <si>
    <t>The Tenth Doctor</t>
  </si>
  <si>
    <t>The Water Crystal</t>
  </si>
  <si>
    <t>2.63</t>
  </si>
  <si>
    <t>Thopter Shop</t>
  </si>
  <si>
    <t>Thorncaster Sliver</t>
  </si>
  <si>
    <t>Thought Vessel</t>
  </si>
  <si>
    <t>1.66</t>
  </si>
  <si>
    <t>Thousand-Year Elixir</t>
  </si>
  <si>
    <t>13.94</t>
  </si>
  <si>
    <t>Thran Dynamo</t>
  </si>
  <si>
    <t>Three Steps Ahead</t>
  </si>
  <si>
    <t>Three Tree City</t>
  </si>
  <si>
    <t>25.95</t>
  </si>
  <si>
    <t>Thrumming Hivepool</t>
  </si>
  <si>
    <t>1.71</t>
  </si>
  <si>
    <t>Titania, Voice of Gaea</t>
  </si>
  <si>
    <t>Tocasia's Welcome</t>
  </si>
  <si>
    <t>Toski, Bearer of Secrets</t>
  </si>
  <si>
    <t>Toxic Deluge</t>
  </si>
  <si>
    <t>6.22</t>
  </si>
  <si>
    <t>Treasure Vault</t>
  </si>
  <si>
    <t>1.24</t>
  </si>
  <si>
    <t>Tree of Tales</t>
  </si>
  <si>
    <t>Tymna the Weaver</t>
  </si>
  <si>
    <t>Ulamog, the Defiler</t>
  </si>
  <si>
    <t>19.01</t>
  </si>
  <si>
    <t>Ulamog, the Infinite Gyre</t>
  </si>
  <si>
    <t>36.00</t>
  </si>
  <si>
    <t>Ulamog's Dreadsire</t>
  </si>
  <si>
    <t>2.47</t>
  </si>
  <si>
    <t>Ultimate Magic: Holy</t>
  </si>
  <si>
    <t>0.93</t>
  </si>
  <si>
    <t>Unbreakable Formation</t>
  </si>
  <si>
    <t>1.23</t>
  </si>
  <si>
    <t>Unholy Annex // Ritual Chamber</t>
  </si>
  <si>
    <t>1.39</t>
  </si>
  <si>
    <t>Unsettled Mariner</t>
  </si>
  <si>
    <t>6.35</t>
  </si>
  <si>
    <t>Unwind</t>
  </si>
  <si>
    <t>Valfenda</t>
  </si>
  <si>
    <t>Vault of Champions</t>
  </si>
  <si>
    <t>12.66</t>
  </si>
  <si>
    <t>Vault of the Archangel</t>
  </si>
  <si>
    <t>Vedalken Mastermind</t>
  </si>
  <si>
    <t>Vedalken Orrery</t>
  </si>
  <si>
    <t>21.60</t>
  </si>
  <si>
    <t>Venom Sliver</t>
  </si>
  <si>
    <t>2.03</t>
  </si>
  <si>
    <t>Veteran Soldier</t>
  </si>
  <si>
    <t>Vexing Puzzlebox</t>
  </si>
  <si>
    <t>Virtue of Knowledge // Vantress Visions</t>
  </si>
  <si>
    <t>4.35</t>
  </si>
  <si>
    <t>Virtue of Loyalty // Ardenvale Fealty</t>
  </si>
  <si>
    <t>8.08</t>
  </si>
  <si>
    <t>Vona's Hunger</t>
  </si>
  <si>
    <t>6.40</t>
  </si>
  <si>
    <t>Vronos, Masked Inquisitor</t>
  </si>
  <si>
    <t>Wan Shi Tong, Librarian</t>
  </si>
  <si>
    <t>36.39</t>
  </si>
  <si>
    <t>Ward Sliver</t>
  </si>
  <si>
    <t>Warleader's Call</t>
  </si>
  <si>
    <t>6.83</t>
  </si>
  <si>
    <t>Warren Soultrader</t>
  </si>
  <si>
    <t>13.54</t>
  </si>
  <si>
    <t>Warren Torchmaster</t>
  </si>
  <si>
    <t>Water Tribe Rallier</t>
  </si>
  <si>
    <t>Waterbender's Restoration</t>
  </si>
  <si>
    <t>3.06</t>
  </si>
  <si>
    <t>Watery Grave</t>
  </si>
  <si>
    <t>8.93</t>
  </si>
  <si>
    <t>Windbrisk Heights</t>
  </si>
  <si>
    <t>Windcrag Siege</t>
  </si>
  <si>
    <t>2.53</t>
  </si>
  <si>
    <t>Windgrace's Judgment</t>
  </si>
  <si>
    <t>Winged Sliver</t>
  </si>
  <si>
    <t>0.83</t>
  </si>
  <si>
    <t>Wispdrinker Vampire</t>
  </si>
  <si>
    <t>Witherbloom Apprentice</t>
  </si>
  <si>
    <t>Within Range</t>
  </si>
  <si>
    <t>Woodland Cemetery</t>
  </si>
  <si>
    <t>World at War</t>
  </si>
  <si>
    <t>8.48</t>
  </si>
  <si>
    <t>Xander's Lounge</t>
  </si>
  <si>
    <t>11.24</t>
  </si>
  <si>
    <t>Yavimaya, Cradle of Growth</t>
  </si>
  <si>
    <t>12.51</t>
  </si>
  <si>
    <t>Yawgmoth, Thran Physician</t>
  </si>
  <si>
    <t>36.55</t>
  </si>
  <si>
    <t>Zagoth Triome</t>
  </si>
  <si>
    <t>18.57</t>
  </si>
  <si>
    <t>Zellix, Sanity Flayer</t>
  </si>
  <si>
    <t>Ziatora's Proving Ground</t>
  </si>
  <si>
    <t>11.29</t>
  </si>
  <si>
    <t>Zurgo Stormrender</t>
  </si>
  <si>
    <t>5.26</t>
  </si>
  <si>
    <t>Zurgo, Thunder's Decree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</si>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</sst>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R$&quot;* #,##0.00_-;\-&quot;R$&quot;* #,##0.00_-;_-&quot;R$&quot;* &quot;-&quot;??_-;_-@_-"/>
    <numFmt numFmtId="165" formatCode="&quot;R$&quot;#,##0.00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4" fillId="0" borderId="0"/>
  </cellStyleXfs>
  <cellXfs count="23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2" fillId="0" borderId="0" xfId="0" applyFont="1" applyAlignment="1">
      <alignment horizontal="center"/>
    </xf>
    <xf numFmtId="0" fontId="2" fillId="2" borderId="0" xfId="0" applyFont="1" applyFill="1" applyAlignment="1">
      <alignment horizontal="center"/>
    </xf>
    <xf numFmtId="0" fontId="2" fillId="0" borderId="0" xfId="0" applyFont="1"/>
    <xf numFmtId="0" fontId="2" fillId="2" borderId="0" xfId="0" applyFont="1" applyFill="1"/>
    <xf numFmtId="9" fontId="0" fillId="0" borderId="0" xfId="1" applyFont="1" applyAlignment="1">
      <alignment horizontal="center"/>
    </xf>
    <xf numFmtId="14" fontId="0" fillId="0" borderId="0" xfId="0" applyNumberFormat="1"/>
    <xf numFmtId="0" fontId="0" fillId="0" borderId="0" xfId="0" applyAlignment="1">
      <alignment horizontal="left"/>
    </xf>
    <xf numFmtId="164" fontId="0" fillId="0" borderId="0" xfId="2" applyFont="1"/>
    <xf numFmtId="164" fontId="0" fillId="0" borderId="0" xfId="2" applyFont="1" applyAlignment="1">
      <alignment horizontal="left"/>
    </xf>
    <xf numFmtId="0" fontId="0" fillId="0" borderId="0" xfId="0" quotePrefix="1"/>
    <xf numFmtId="165" fontId="0" fillId="2" borderId="0" xfId="0" applyNumberFormat="1" applyFill="1"/>
    <xf numFmtId="164" fontId="0" fillId="0" borderId="0" xfId="2" applyFont="1" applyFill="1"/>
    <xf numFmtId="164" fontId="0" fillId="0" borderId="0" xfId="2" applyFont="1" applyFill="1" applyAlignment="1">
      <alignment horizontal="left"/>
    </xf>
    <xf numFmtId="165" fontId="0" fillId="0" borderId="0" xfId="0" applyNumberFormat="1"/>
    <xf numFmtId="0" fontId="4" fillId="0" borderId="0" xfId="3"/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</cellXfs>
  <cellStyles count="4">
    <cellStyle name="Moeda 2" xfId="2" xr:uid="{75F450BD-8B34-45E4-A7E8-D07D8174DA54}"/>
    <cellStyle name="Normal" xfId="0" builtinId="0"/>
    <cellStyle name="Normal 2" xfId="3" xr:uid="{B8B60E72-1496-41B5-8248-0DDBF38CBFE5}"/>
    <cellStyle name="Porcentagem" xfId="1" builtinId="5"/>
  </cellStyles>
  <dxfs count="14">
    <dxf>
      <font>
        <color theme="9"/>
      </font>
      <fill>
        <patternFill>
          <bgColor theme="9"/>
        </patternFill>
      </fill>
    </dxf>
    <dxf>
      <font>
        <color theme="1"/>
      </font>
      <fill>
        <patternFill>
          <bgColor theme="1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8"/>
      </font>
      <fill>
        <patternFill>
          <bgColor theme="8"/>
        </patternFill>
      </fill>
    </dxf>
    <dxf>
      <font>
        <color theme="0"/>
      </font>
      <fill>
        <patternFill patternType="lightTrellis">
          <bgColor theme="0"/>
        </patternFill>
      </fill>
    </dxf>
    <dxf>
      <font>
        <color theme="0" tint="-0.14996795556505021"/>
      </font>
      <fill>
        <patternFill>
          <fgColor theme="0" tint="-0.14993743705557422"/>
          <bgColor theme="0" tint="-0.14996795556505021"/>
        </patternFill>
      </fill>
    </dxf>
    <dxf>
      <font>
        <color theme="0"/>
      </font>
      <fill>
        <patternFill patternType="lightTrellis">
          <bgColor theme="0"/>
        </patternFill>
      </fill>
    </dxf>
    <dxf>
      <font>
        <color theme="9"/>
      </font>
      <fill>
        <patternFill>
          <bgColor theme="9"/>
        </patternFill>
      </fill>
    </dxf>
    <dxf>
      <font>
        <color theme="1"/>
      </font>
      <fill>
        <patternFill>
          <bgColor theme="1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7"/>
      </font>
      <fill>
        <patternFill>
          <bgColor theme="7"/>
        </patternFill>
      </fill>
    </dxf>
    <dxf>
      <font>
        <color theme="0"/>
      </font>
      <fill>
        <patternFill patternType="lightTrellis">
          <bgColor theme="0"/>
        </patternFill>
      </fill>
    </dxf>
    <dxf>
      <font>
        <color theme="0" tint="-0.14996795556505021"/>
      </font>
      <fill>
        <patternFill>
          <fgColor theme="0" tint="-0.14993743705557422"/>
          <bgColor theme="0" tint="-0.14996795556505021"/>
        </patternFill>
      </fill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connections" Target="connection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" Target="richData/rdrichvalue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7</xdr:row>
          <xdr:rowOff>85725</xdr:rowOff>
        </xdr:from>
        <xdr:to>
          <xdr:col>2</xdr:col>
          <xdr:colOff>371475</xdr:colOff>
          <xdr:row>11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uario\Dropbox\Jogos\Magic\Pasta%20Commander.xlsx" TargetMode="External"/><Relationship Id="rId1" Type="http://schemas.openxmlformats.org/officeDocument/2006/relationships/externalLinkPath" Target="Pasta%20Command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hrakiri"/>
      <sheetName val="Gitrog"/>
      <sheetName val="Elfos"/>
      <sheetName val="Fractius"/>
      <sheetName val="Inalla"/>
      <sheetName val="Akiri"/>
      <sheetName val="Modular"/>
      <sheetName val="Muzzio"/>
      <sheetName val="Rielle"/>
      <sheetName val="Alela"/>
      <sheetName val="Arcades"/>
      <sheetName val="VialIshai"/>
      <sheetName val="Yuriko"/>
      <sheetName val="Zedruu"/>
      <sheetName val="Carlos"/>
      <sheetName val="Oona"/>
      <sheetName val="Kresh"/>
      <sheetName val="Breya"/>
      <sheetName val="Rani"/>
      <sheetName val="Sisay"/>
      <sheetName val="OWA"/>
      <sheetName val="Narset"/>
      <sheetName val="Kumena"/>
      <sheetName val="Zimone"/>
      <sheetName val="Baylen"/>
      <sheetName val="Tayam"/>
      <sheetName val="Jhoira"/>
      <sheetName val="Piratas"/>
      <sheetName val="Zuko"/>
      <sheetName val="Little"/>
      <sheetName val="Ool"/>
      <sheetName val="4cRash"/>
      <sheetName val="JhoiraB"/>
      <sheetName val="Yorion"/>
    </sheetNames>
    <sheetDataSet>
      <sheetData sheetId="0">
        <row r="2">
          <cell r="G2">
            <v>2</v>
          </cell>
        </row>
        <row r="3">
          <cell r="B3" t="str">
            <v>Thrasios, Triton Hero</v>
          </cell>
          <cell r="C3" t="str">
            <v>Thrasios, Triton Hero</v>
          </cell>
        </row>
        <row r="4">
          <cell r="B4" t="str">
            <v>Akiri, Line-Slinger</v>
          </cell>
          <cell r="C4" t="str">
            <v>Akiri, Line-Slinger</v>
          </cell>
        </row>
        <row r="5">
          <cell r="B5" t="str">
            <v>Great Furnace</v>
          </cell>
          <cell r="C5" t="str">
            <v>Great Furnace</v>
          </cell>
        </row>
        <row r="6">
          <cell r="B6" t="str">
            <v>Ancient Den</v>
          </cell>
          <cell r="C6" t="str">
            <v>Ancient Den</v>
          </cell>
        </row>
        <row r="7">
          <cell r="B7" t="str">
            <v>Seat of the Synod</v>
          </cell>
          <cell r="C7" t="str">
            <v>Seat of the Synod</v>
          </cell>
        </row>
        <row r="8">
          <cell r="B8" t="str">
            <v>Tree of Tales</v>
          </cell>
          <cell r="C8" t="str">
            <v>Tree of Tales</v>
          </cell>
        </row>
        <row r="9">
          <cell r="B9" t="str">
            <v>Darksteel Citadel</v>
          </cell>
          <cell r="C9" t="str">
            <v>Darksteel Citadel</v>
          </cell>
        </row>
        <row r="10">
          <cell r="B10" t="str">
            <v>Inventors' Fair</v>
          </cell>
          <cell r="C10" t="str">
            <v>Inventors' Fair</v>
          </cell>
        </row>
        <row r="11">
          <cell r="B11" t="str">
            <v>Urza's Saga</v>
          </cell>
          <cell r="C11" t="str">
            <v>Urza's Saga</v>
          </cell>
        </row>
        <row r="12">
          <cell r="B12" t="str">
            <v>Kessig Wolf Run</v>
          </cell>
          <cell r="C12" t="str">
            <v>Kessig Wolf Run</v>
          </cell>
        </row>
        <row r="13">
          <cell r="B13" t="str">
            <v>Buried Ruin</v>
          </cell>
          <cell r="C13" t="str">
            <v>Buried Ruin</v>
          </cell>
        </row>
        <row r="14">
          <cell r="B14" t="str">
            <v>Command Tower</v>
          </cell>
          <cell r="C14" t="str">
            <v>Command Tower</v>
          </cell>
        </row>
        <row r="15">
          <cell r="B15" t="str">
            <v>Exotic Orchard</v>
          </cell>
          <cell r="C15" t="str">
            <v>Exotic Orchard</v>
          </cell>
        </row>
        <row r="16">
          <cell r="B16" t="str">
            <v>Alchemist's Refuge</v>
          </cell>
          <cell r="C16" t="str">
            <v>Alchemist's Refuge</v>
          </cell>
        </row>
        <row r="17">
          <cell r="B17" t="str">
            <v>City of Brass</v>
          </cell>
          <cell r="C17" t="str">
            <v>City of Brass</v>
          </cell>
        </row>
        <row r="18">
          <cell r="B18" t="str">
            <v>Reliquary Tower</v>
          </cell>
          <cell r="C18" t="str">
            <v>Reliquary Tower</v>
          </cell>
        </row>
        <row r="19">
          <cell r="B19" t="str">
            <v>Uthros, Titanic Godcore</v>
          </cell>
          <cell r="C19" t="str">
            <v>Uthros, Titanic Godcore</v>
          </cell>
        </row>
        <row r="20">
          <cell r="B20" t="str">
            <v>Spire of Industry</v>
          </cell>
          <cell r="C20" t="str">
            <v>Spire of Industry</v>
          </cell>
        </row>
        <row r="21">
          <cell r="B21" t="str">
            <v>The Mycosynth Gardens</v>
          </cell>
          <cell r="C21" t="str">
            <v>The Mycosynth Gardens</v>
          </cell>
        </row>
        <row r="22">
          <cell r="B22" t="str">
            <v>Academy Ruins</v>
          </cell>
          <cell r="C22" t="str">
            <v>Academy Ruins</v>
          </cell>
        </row>
        <row r="23">
          <cell r="B23" t="str">
            <v>Glacial Fortress</v>
          </cell>
          <cell r="C23" t="str">
            <v>Glacial Fortress</v>
          </cell>
        </row>
        <row r="24">
          <cell r="B24" t="str">
            <v>Sunpetal Grove</v>
          </cell>
          <cell r="C24" t="str">
            <v>Sunpetal Grove</v>
          </cell>
        </row>
        <row r="25">
          <cell r="B25" t="str">
            <v>Spire Garden</v>
          </cell>
          <cell r="C25" t="str">
            <v>Spire Garden</v>
          </cell>
        </row>
        <row r="26">
          <cell r="B26" t="str">
            <v>Clifftop Retreat</v>
          </cell>
          <cell r="C26" t="str">
            <v>Clifftop Retreat</v>
          </cell>
        </row>
        <row r="27">
          <cell r="B27" t="str">
            <v>Sulfur Falls</v>
          </cell>
          <cell r="C27" t="str">
            <v>Sulfur Falls</v>
          </cell>
        </row>
        <row r="28">
          <cell r="B28" t="str">
            <v>Hinterland Harbor</v>
          </cell>
          <cell r="C28" t="str">
            <v>Hinterland Harbor</v>
          </cell>
        </row>
        <row r="29">
          <cell r="B29" t="str">
            <v>Hallowed Fountain</v>
          </cell>
          <cell r="C29" t="str">
            <v>Hallowed Fountain</v>
          </cell>
        </row>
        <row r="30">
          <cell r="B30" t="str">
            <v>Temple Garden</v>
          </cell>
          <cell r="C30" t="str">
            <v>Temple Garden</v>
          </cell>
        </row>
        <row r="31">
          <cell r="B31" t="str">
            <v>Stomping Ground</v>
          </cell>
          <cell r="C31" t="str">
            <v>Stomping Ground</v>
          </cell>
        </row>
        <row r="32">
          <cell r="B32" t="str">
            <v>Breeding Pool</v>
          </cell>
          <cell r="C32" t="str">
            <v>Breeding Pool</v>
          </cell>
        </row>
        <row r="33">
          <cell r="B33" t="str">
            <v>Steam Vents</v>
          </cell>
          <cell r="C33" t="str">
            <v>Steam Vents</v>
          </cell>
        </row>
        <row r="34">
          <cell r="B34" t="str">
            <v>Sacred Foundry</v>
          </cell>
          <cell r="C34" t="str">
            <v>Sacred Foundry</v>
          </cell>
        </row>
        <row r="35">
          <cell r="B35" t="str">
            <v>Forest</v>
          </cell>
          <cell r="C35" t="str">
            <v>Forest</v>
          </cell>
        </row>
        <row r="36">
          <cell r="B36" t="str">
            <v>Plains</v>
          </cell>
          <cell r="C36" t="str">
            <v>Plains</v>
          </cell>
        </row>
        <row r="37">
          <cell r="B37" t="str">
            <v>Island</v>
          </cell>
          <cell r="C37" t="str">
            <v>Island</v>
          </cell>
        </row>
        <row r="38">
          <cell r="B38" t="str">
            <v>Mountain</v>
          </cell>
          <cell r="C38" t="str">
            <v>Mountain</v>
          </cell>
        </row>
        <row r="39">
          <cell r="B39" t="str">
            <v>Boros Signet</v>
          </cell>
          <cell r="C39" t="str">
            <v>Boros Signet</v>
          </cell>
        </row>
        <row r="40">
          <cell r="B40" t="str">
            <v>Gruul Signet</v>
          </cell>
          <cell r="C40" t="str">
            <v>Gruul Signet</v>
          </cell>
        </row>
        <row r="41">
          <cell r="B41" t="str">
            <v>Izzet Signet</v>
          </cell>
          <cell r="C41" t="str">
            <v>Izzet Signet</v>
          </cell>
        </row>
        <row r="42">
          <cell r="B42" t="str">
            <v>Azorius Signet</v>
          </cell>
          <cell r="C42" t="str">
            <v>Azorius Signet</v>
          </cell>
        </row>
        <row r="43">
          <cell r="B43" t="str">
            <v>Selesnya Signet</v>
          </cell>
          <cell r="C43" t="str">
            <v>Selesnya Signet</v>
          </cell>
        </row>
        <row r="44">
          <cell r="B44" t="str">
            <v>Simic Signet</v>
          </cell>
          <cell r="C44" t="str">
            <v>Simic Signet</v>
          </cell>
        </row>
        <row r="45">
          <cell r="B45" t="str">
            <v>Fellwar Stone</v>
          </cell>
          <cell r="C45" t="str">
            <v>Fellwar Stone</v>
          </cell>
        </row>
        <row r="46">
          <cell r="B46" t="str">
            <v>Thought Vessel</v>
          </cell>
          <cell r="C46" t="str">
            <v>Thought Vessel</v>
          </cell>
        </row>
        <row r="47">
          <cell r="B47" t="str">
            <v>Anciã de Toca das Fadas</v>
          </cell>
          <cell r="C47" t="str">
            <v>Obsidian Obelisk</v>
          </cell>
        </row>
        <row r="48">
          <cell r="B48" t="str">
            <v>Sol Ring</v>
          </cell>
          <cell r="C48" t="str">
            <v>Sol Ring</v>
          </cell>
        </row>
        <row r="49">
          <cell r="B49" t="str">
            <v>Arcane Signet</v>
          </cell>
          <cell r="C49" t="str">
            <v>Arcane Signet</v>
          </cell>
        </row>
        <row r="50">
          <cell r="B50" t="str">
            <v>Basalt Monolith</v>
          </cell>
          <cell r="C50" t="str">
            <v>Basalt Monolith</v>
          </cell>
        </row>
        <row r="51">
          <cell r="B51" t="str">
            <v>Urza, Lord Protector</v>
          </cell>
          <cell r="C51" t="str">
            <v>Urza, Lord Protector</v>
          </cell>
        </row>
        <row r="52">
          <cell r="B52" t="str">
            <v>Mind Stone</v>
          </cell>
          <cell r="C52" t="str">
            <v>Mind Stone</v>
          </cell>
        </row>
        <row r="53">
          <cell r="B53" t="str">
            <v>Liquimetal Torque</v>
          </cell>
          <cell r="C53" t="str">
            <v>Liquimetal Torque</v>
          </cell>
        </row>
        <row r="54">
          <cell r="B54" t="str">
            <v>Honor-Worn Shaku</v>
          </cell>
          <cell r="C54" t="str">
            <v>Honor-Worn Shaku</v>
          </cell>
        </row>
        <row r="55">
          <cell r="B55" t="str">
            <v>Thran Dynamo</v>
          </cell>
          <cell r="C55" t="str">
            <v>Thran Dynamo</v>
          </cell>
        </row>
        <row r="56">
          <cell r="B56" t="str">
            <v>The Mightstone and Weakstone</v>
          </cell>
          <cell r="C56" t="str">
            <v>The Mightstone and Weakstone</v>
          </cell>
        </row>
        <row r="57">
          <cell r="B57" t="str">
            <v>Guild Artisan</v>
          </cell>
          <cell r="C57" t="str">
            <v>Guild Artisan</v>
          </cell>
        </row>
        <row r="58">
          <cell r="B58" t="str">
            <v>The Eternity Elevator</v>
          </cell>
          <cell r="C58" t="str">
            <v>The Eternity Elevator</v>
          </cell>
        </row>
        <row r="59">
          <cell r="B59" t="str">
            <v>Swords to Plowshares</v>
          </cell>
          <cell r="C59" t="str">
            <v>Swords to Plowshares</v>
          </cell>
        </row>
        <row r="60">
          <cell r="B60" t="str">
            <v>Dispeller's Capsule</v>
          </cell>
          <cell r="C60" t="str">
            <v>Dispeller's Capsule</v>
          </cell>
        </row>
        <row r="61">
          <cell r="B61" t="str">
            <v>Generous Gift</v>
          </cell>
          <cell r="C61" t="str">
            <v>Generous Gift</v>
          </cell>
        </row>
        <row r="62">
          <cell r="B62" t="str">
            <v>Naya Charm</v>
          </cell>
          <cell r="C62" t="str">
            <v>Naya Charm</v>
          </cell>
        </row>
        <row r="63">
          <cell r="B63" t="str">
            <v>Aether Spellbomb</v>
          </cell>
          <cell r="C63" t="str">
            <v>Aether Spellbomb</v>
          </cell>
        </row>
        <row r="64">
          <cell r="B64" t="str">
            <v>Bant Charm</v>
          </cell>
          <cell r="C64" t="str">
            <v>Bant Charm</v>
          </cell>
        </row>
        <row r="65">
          <cell r="B65" t="str">
            <v>Hindering Light</v>
          </cell>
          <cell r="C65" t="str">
            <v>Hindering Light</v>
          </cell>
        </row>
        <row r="66">
          <cell r="B66" t="str">
            <v>Dovin's Veto</v>
          </cell>
          <cell r="C66" t="str">
            <v>Dovin's Veto</v>
          </cell>
        </row>
        <row r="67">
          <cell r="B67" t="str">
            <v>An Offer You Can't Refuse</v>
          </cell>
          <cell r="C67" t="str">
            <v>An Offer You Can't Refuse</v>
          </cell>
        </row>
        <row r="68">
          <cell r="B68" t="str">
            <v>Silence</v>
          </cell>
          <cell r="C68" t="str">
            <v>Silence</v>
          </cell>
        </row>
        <row r="69">
          <cell r="B69" t="str">
            <v>Endless Detour</v>
          </cell>
          <cell r="C69" t="str">
            <v>Endless Detour</v>
          </cell>
        </row>
        <row r="70">
          <cell r="B70" t="str">
            <v>Stone of Erech</v>
          </cell>
          <cell r="C70" t="str">
            <v>Stone of Erech</v>
          </cell>
        </row>
        <row r="71">
          <cell r="B71" t="str">
            <v>Conqueror's Flail</v>
          </cell>
          <cell r="C71" t="str">
            <v>Conqueror's Flail</v>
          </cell>
        </row>
        <row r="72">
          <cell r="B72" t="str">
            <v>Seedborn Muse</v>
          </cell>
          <cell r="C72" t="str">
            <v>Seedborn Muse</v>
          </cell>
        </row>
        <row r="73">
          <cell r="B73" t="str">
            <v>Zirda, the Dawnwaker</v>
          </cell>
          <cell r="C73" t="str">
            <v>Zirda, the Dawnwaker</v>
          </cell>
        </row>
        <row r="74">
          <cell r="B74" t="str">
            <v>Wilderness Reclamation</v>
          </cell>
          <cell r="C74" t="str">
            <v>Wilderness Reclamation</v>
          </cell>
        </row>
        <row r="75">
          <cell r="B75" t="str">
            <v>Forensic Gadgeteer</v>
          </cell>
          <cell r="C75" t="str">
            <v>Forensic Gadgeteer</v>
          </cell>
        </row>
        <row r="76">
          <cell r="B76" t="str">
            <v>Mirage Mirror</v>
          </cell>
          <cell r="C76" t="str">
            <v>Mirage Mirror</v>
          </cell>
        </row>
        <row r="77">
          <cell r="B77" t="str">
            <v>Galadriel of Lothlórien</v>
          </cell>
          <cell r="C77" t="str">
            <v>Galadriel of Lothlórien</v>
          </cell>
        </row>
        <row r="78">
          <cell r="B78" t="str">
            <v>Training Grounds</v>
          </cell>
          <cell r="C78" t="str">
            <v>Training Grounds</v>
          </cell>
        </row>
        <row r="79">
          <cell r="B79" t="str">
            <v>Meria, Scholar of Antiquity</v>
          </cell>
          <cell r="C79" t="str">
            <v>Meria, Scholar of Antiquity</v>
          </cell>
        </row>
        <row r="80">
          <cell r="B80" t="str">
            <v>Sarinth Greatwurm</v>
          </cell>
          <cell r="C80" t="str">
            <v>Kinnan, Bonder Prodigy</v>
          </cell>
        </row>
        <row r="81">
          <cell r="B81" t="str">
            <v>Matoya, Archon Elder</v>
          </cell>
          <cell r="C81" t="str">
            <v>Matoya, Archon Elder</v>
          </cell>
        </row>
        <row r="82">
          <cell r="B82" t="str">
            <v>Clock of Omens</v>
          </cell>
          <cell r="C82" t="str">
            <v>Clock of Omens</v>
          </cell>
        </row>
        <row r="83">
          <cell r="B83" t="str">
            <v>Unwinding Clock</v>
          </cell>
          <cell r="C83" t="str">
            <v>Unwinding Clock</v>
          </cell>
        </row>
        <row r="84">
          <cell r="B84" t="str">
            <v>Biomancer's Familiar</v>
          </cell>
          <cell r="C84" t="str">
            <v>Biomancer's Familiar</v>
          </cell>
        </row>
        <row r="85">
          <cell r="B85" t="str">
            <v>Rings of Brighthearth</v>
          </cell>
          <cell r="C85" t="str">
            <v>Rings of Brighthearth</v>
          </cell>
        </row>
        <row r="86">
          <cell r="B86" t="str">
            <v>Tireless Provisioner</v>
          </cell>
          <cell r="C86" t="str">
            <v>Tireless Provisioner</v>
          </cell>
        </row>
        <row r="87">
          <cell r="B87" t="str">
            <v>Planetarium of Wan Shi Tong</v>
          </cell>
          <cell r="C87" t="str">
            <v>Planetarium of Wan Shi Tong</v>
          </cell>
        </row>
        <row r="88">
          <cell r="B88" t="str">
            <v>Tezzeret the Seeker</v>
          </cell>
          <cell r="C88" t="str">
            <v>Tezzeret the Seeker</v>
          </cell>
        </row>
        <row r="89">
          <cell r="B89" t="str">
            <v>Whir of Invention</v>
          </cell>
          <cell r="C89" t="str">
            <v>Whir of Invention</v>
          </cell>
        </row>
        <row r="90">
          <cell r="B90" t="str">
            <v>Muddle the Mixture</v>
          </cell>
          <cell r="C90" t="str">
            <v>Muddle the Mixture</v>
          </cell>
        </row>
        <row r="91">
          <cell r="B91" t="str">
            <v>Trinket Mage</v>
          </cell>
          <cell r="C91" t="str">
            <v>Trinket Mage</v>
          </cell>
        </row>
        <row r="92">
          <cell r="B92" t="str">
            <v>Tribute Mage</v>
          </cell>
          <cell r="C92" t="str">
            <v>Tribute Mage</v>
          </cell>
        </row>
        <row r="93">
          <cell r="B93" t="str">
            <v>Oswald Fiddlebender</v>
          </cell>
          <cell r="C93" t="str">
            <v>Oswald Fiddlebender</v>
          </cell>
        </row>
        <row r="94">
          <cell r="B94" t="str">
            <v>Wargate</v>
          </cell>
          <cell r="C94" t="str">
            <v>Wargate</v>
          </cell>
        </row>
        <row r="95">
          <cell r="B95" t="str">
            <v>Reshape</v>
          </cell>
          <cell r="C95" t="str">
            <v>Reshape</v>
          </cell>
        </row>
        <row r="96">
          <cell r="B96" t="str">
            <v>Isochron Scepter</v>
          </cell>
          <cell r="C96" t="str">
            <v>Isochron Scepter</v>
          </cell>
        </row>
        <row r="97">
          <cell r="B97" t="str">
            <v>Dramatic Reversal</v>
          </cell>
          <cell r="C97" t="str">
            <v>Dramatic Reversal</v>
          </cell>
        </row>
        <row r="98">
          <cell r="B98" t="str">
            <v>Walking Ballista</v>
          </cell>
          <cell r="C98" t="str">
            <v>Walking Ballista</v>
          </cell>
        </row>
        <row r="99">
          <cell r="B99" t="str">
            <v>Boros Charm</v>
          </cell>
          <cell r="C99" t="str">
            <v>Boros Charm</v>
          </cell>
        </row>
        <row r="100">
          <cell r="B100" t="str">
            <v>Storm the Vault</v>
          </cell>
          <cell r="C100" t="str">
            <v>Storm the Vault</v>
          </cell>
        </row>
        <row r="101">
          <cell r="B101" t="str">
            <v>Encroaching Mycosynth</v>
          </cell>
          <cell r="C101" t="str">
            <v>Encroaching Mycosynth</v>
          </cell>
        </row>
        <row r="102">
          <cell r="B102" t="str">
            <v>Saheeli Rai</v>
          </cell>
          <cell r="C102" t="str">
            <v>Saheeli Rai</v>
          </cell>
        </row>
      </sheetData>
      <sheetData sheetId="1">
        <row r="2">
          <cell r="G2">
            <v>10</v>
          </cell>
        </row>
        <row r="3">
          <cell r="B3" t="str">
            <v>The Gitrog Monster</v>
          </cell>
          <cell r="C3" t="str">
            <v>The Gitrog Monster</v>
          </cell>
        </row>
        <row r="4">
          <cell r="B4" t="str">
            <v>Myriad Landscape</v>
          </cell>
          <cell r="C4" t="str">
            <v>Myriad Landscape</v>
          </cell>
        </row>
        <row r="5">
          <cell r="B5" t="str">
            <v>Command Tower</v>
          </cell>
          <cell r="C5" t="str">
            <v>Command Tower</v>
          </cell>
        </row>
        <row r="6">
          <cell r="B6" t="str">
            <v>Argoth, Sanctum of Nature</v>
          </cell>
          <cell r="C6" t="str">
            <v>Argoth, Sanctum of Nature</v>
          </cell>
        </row>
        <row r="7">
          <cell r="B7" t="str">
            <v>Overgrown Tomb</v>
          </cell>
          <cell r="C7" t="str">
            <v>Overgrown Tomb</v>
          </cell>
        </row>
        <row r="8">
          <cell r="B8" t="str">
            <v>Llanowar Wastes</v>
          </cell>
          <cell r="C8" t="str">
            <v>Llanowar Wastes</v>
          </cell>
        </row>
        <row r="9">
          <cell r="B9" t="str">
            <v>Woodland Cemetery</v>
          </cell>
          <cell r="C9" t="str">
            <v>Woodland Cemetery</v>
          </cell>
        </row>
        <row r="10">
          <cell r="B10" t="str">
            <v>Golgari Rot Farm</v>
          </cell>
          <cell r="C10" t="str">
            <v>Golgari Rot Farm</v>
          </cell>
        </row>
        <row r="11">
          <cell r="B11" t="str">
            <v>Tainted Wood</v>
          </cell>
          <cell r="C11" t="str">
            <v>Tainted Wood</v>
          </cell>
        </row>
        <row r="12">
          <cell r="B12" t="str">
            <v>Crystal Vein</v>
          </cell>
          <cell r="C12" t="str">
            <v>Crystal Vein</v>
          </cell>
        </row>
        <row r="13">
          <cell r="B13" t="str">
            <v>Dakmor Salvage</v>
          </cell>
          <cell r="C13" t="str">
            <v>Dakmor Salvage</v>
          </cell>
        </row>
        <row r="14">
          <cell r="B14" t="str">
            <v>Swamp</v>
          </cell>
          <cell r="C14" t="str">
            <v>Phyrexian Tower</v>
          </cell>
        </row>
        <row r="15">
          <cell r="B15" t="str">
            <v>Peat Bog</v>
          </cell>
          <cell r="C15" t="str">
            <v>Peat Bog</v>
          </cell>
        </row>
        <row r="16">
          <cell r="B16" t="str">
            <v>Hickory Woodlot</v>
          </cell>
          <cell r="C16" t="str">
            <v>Hickory Woodlot</v>
          </cell>
        </row>
        <row r="17">
          <cell r="B17" t="str">
            <v>Ash Barrens</v>
          </cell>
          <cell r="C17" t="str">
            <v>Ash Barrens</v>
          </cell>
        </row>
        <row r="18">
          <cell r="B18" t="str">
            <v>Forest</v>
          </cell>
          <cell r="C18" t="str">
            <v>Petrified Field</v>
          </cell>
        </row>
        <row r="19">
          <cell r="B19" t="str">
            <v>Forest</v>
          </cell>
          <cell r="C19" t="str">
            <v>Ancient Tomb</v>
          </cell>
        </row>
        <row r="20">
          <cell r="B20" t="str">
            <v>Demolition Field</v>
          </cell>
          <cell r="C20" t="str">
            <v>Demolition Field</v>
          </cell>
        </row>
        <row r="21">
          <cell r="B21" t="str">
            <v>Ghost Quarter</v>
          </cell>
          <cell r="C21" t="str">
            <v>Ghost Quarter</v>
          </cell>
        </row>
        <row r="22">
          <cell r="B22" t="str">
            <v>Strip Mine</v>
          </cell>
          <cell r="C22" t="str">
            <v>Strip Mine</v>
          </cell>
        </row>
        <row r="23">
          <cell r="B23" t="str">
            <v>Blasted Landscape</v>
          </cell>
          <cell r="C23" t="str">
            <v>Blasted Landscape</v>
          </cell>
        </row>
        <row r="24">
          <cell r="B24" t="str">
            <v>Fabled Passage</v>
          </cell>
          <cell r="C24" t="str">
            <v>Fabled Passage</v>
          </cell>
        </row>
        <row r="25">
          <cell r="B25" t="str">
            <v>Wall of Roots</v>
          </cell>
          <cell r="C25" t="str">
            <v>Takenuma, Abandoned Mire</v>
          </cell>
        </row>
        <row r="26">
          <cell r="B26" t="str">
            <v>Bloodstained Mire</v>
          </cell>
          <cell r="C26" t="str">
            <v>Bloodstained Mire</v>
          </cell>
        </row>
        <row r="27">
          <cell r="B27" t="str">
            <v>Wooded Foothills</v>
          </cell>
          <cell r="C27" t="str">
            <v>Wooded Foothills</v>
          </cell>
        </row>
        <row r="28">
          <cell r="B28" t="str">
            <v>Misty Rainforest</v>
          </cell>
          <cell r="C28" t="str">
            <v>Misty Rainforest</v>
          </cell>
        </row>
        <row r="29">
          <cell r="B29" t="str">
            <v>Verdant Catacombs</v>
          </cell>
          <cell r="C29" t="str">
            <v>Verdant Catacombs</v>
          </cell>
        </row>
        <row r="30">
          <cell r="B30" t="str">
            <v>Windswept Heath</v>
          </cell>
          <cell r="C30" t="str">
            <v>Windswept Heath</v>
          </cell>
        </row>
        <row r="31">
          <cell r="B31" t="str">
            <v>Urza's Saga</v>
          </cell>
          <cell r="C31" t="str">
            <v>Urza's Saga</v>
          </cell>
        </row>
        <row r="32">
          <cell r="B32" t="str">
            <v>Forest</v>
          </cell>
          <cell r="C32" t="str">
            <v>Forest</v>
          </cell>
        </row>
        <row r="33">
          <cell r="B33" t="str">
            <v>Forest</v>
          </cell>
          <cell r="C33" t="str">
            <v>Forest</v>
          </cell>
        </row>
        <row r="34">
          <cell r="B34" t="str">
            <v>Forest</v>
          </cell>
          <cell r="C34" t="str">
            <v>Forest</v>
          </cell>
        </row>
        <row r="35">
          <cell r="B35" t="str">
            <v>Forest</v>
          </cell>
          <cell r="C35" t="str">
            <v>Forest</v>
          </cell>
        </row>
        <row r="36">
          <cell r="B36" t="str">
            <v>Forest</v>
          </cell>
          <cell r="C36" t="str">
            <v>Forest</v>
          </cell>
        </row>
        <row r="37">
          <cell r="B37" t="str">
            <v>Forest</v>
          </cell>
          <cell r="C37" t="str">
            <v>Forest</v>
          </cell>
        </row>
        <row r="38">
          <cell r="B38" t="str">
            <v>Swamp</v>
          </cell>
          <cell r="C38" t="str">
            <v>Swamp</v>
          </cell>
        </row>
        <row r="39">
          <cell r="B39" t="str">
            <v>Swamp</v>
          </cell>
          <cell r="C39" t="str">
            <v>Swamp</v>
          </cell>
        </row>
        <row r="40">
          <cell r="B40" t="str">
            <v>Swamp</v>
          </cell>
          <cell r="C40" t="str">
            <v>Swamp</v>
          </cell>
        </row>
        <row r="41">
          <cell r="B41" t="str">
            <v>Dryad Arbor</v>
          </cell>
          <cell r="C41" t="str">
            <v>Dryad Arbor</v>
          </cell>
        </row>
        <row r="42">
          <cell r="B42" t="str">
            <v>Deathrite Shaman</v>
          </cell>
          <cell r="C42" t="str">
            <v>Deathrite Shaman</v>
          </cell>
        </row>
        <row r="43">
          <cell r="B43" t="str">
            <v>Elves of Deep Shadow</v>
          </cell>
          <cell r="C43" t="str">
            <v>Elves of Deep Shadow</v>
          </cell>
        </row>
        <row r="44">
          <cell r="B44" t="str">
            <v>Elvish Mystic</v>
          </cell>
          <cell r="C44" t="str">
            <v>Elvish Mystic</v>
          </cell>
        </row>
        <row r="45">
          <cell r="B45" t="str">
            <v>Fyndhorn Elves</v>
          </cell>
          <cell r="C45" t="str">
            <v>Fyndhorn Elves</v>
          </cell>
        </row>
        <row r="46">
          <cell r="B46" t="str">
            <v>Llanowar Elves</v>
          </cell>
          <cell r="C46" t="str">
            <v>Llanowar Elves</v>
          </cell>
        </row>
        <row r="47">
          <cell r="B47" t="str">
            <v>Priest of Titania</v>
          </cell>
          <cell r="C47" t="str">
            <v>Priest of Titania</v>
          </cell>
        </row>
        <row r="48">
          <cell r="B48" t="str">
            <v>Lotus Cobra</v>
          </cell>
          <cell r="C48" t="str">
            <v>Lotus Cobra</v>
          </cell>
        </row>
        <row r="49">
          <cell r="B49" t="str">
            <v>Birds of Paradise</v>
          </cell>
          <cell r="C49" t="str">
            <v>Birds of Paradise</v>
          </cell>
        </row>
        <row r="50">
          <cell r="B50" t="str">
            <v>Gilded Goose</v>
          </cell>
          <cell r="C50" t="str">
            <v>Gilded Goose</v>
          </cell>
        </row>
        <row r="51">
          <cell r="B51" t="str">
            <v>Arcane Signet</v>
          </cell>
          <cell r="C51" t="str">
            <v>Arcane Signet</v>
          </cell>
        </row>
        <row r="52">
          <cell r="B52" t="str">
            <v>Sol Ring</v>
          </cell>
          <cell r="C52" t="str">
            <v>Sol Ring</v>
          </cell>
        </row>
        <row r="53">
          <cell r="B53" t="str">
            <v>Fellwar Stone</v>
          </cell>
          <cell r="C53" t="str">
            <v>Fellwar Stone</v>
          </cell>
        </row>
        <row r="54">
          <cell r="B54" t="str">
            <v>Cycle of Renewal</v>
          </cell>
          <cell r="C54" t="str">
            <v>Cycle of Renewal</v>
          </cell>
        </row>
        <row r="55">
          <cell r="B55" t="str">
            <v>Edge of Autumn</v>
          </cell>
          <cell r="C55" t="str">
            <v>Edge of Autumn</v>
          </cell>
        </row>
        <row r="56">
          <cell r="B56" t="str">
            <v>Nature's Lore</v>
          </cell>
          <cell r="C56" t="str">
            <v>Nature's Lore</v>
          </cell>
        </row>
        <row r="57">
          <cell r="B57" t="str">
            <v>Golgari Signet</v>
          </cell>
          <cell r="C57" t="str">
            <v>Delighted Halfling</v>
          </cell>
        </row>
        <row r="58">
          <cell r="B58" t="str">
            <v>Elvish Spirit Guide</v>
          </cell>
          <cell r="C58" t="str">
            <v>Elvish Spirit Guide</v>
          </cell>
        </row>
        <row r="59">
          <cell r="B59" t="str">
            <v>Assassin's Trophy</v>
          </cell>
          <cell r="C59" t="str">
            <v>Assassin's Trophy</v>
          </cell>
        </row>
        <row r="60">
          <cell r="B60" t="str">
            <v>Tear Asunder</v>
          </cell>
          <cell r="C60" t="str">
            <v>Tear Asunder</v>
          </cell>
        </row>
        <row r="61">
          <cell r="B61" t="str">
            <v>Krosan Grip</v>
          </cell>
          <cell r="C61" t="str">
            <v>Krosan Grip</v>
          </cell>
        </row>
        <row r="62">
          <cell r="B62" t="str">
            <v>Darkblast</v>
          </cell>
          <cell r="C62" t="str">
            <v>Darkblast</v>
          </cell>
        </row>
        <row r="63">
          <cell r="B63" t="str">
            <v>Beast Within</v>
          </cell>
          <cell r="C63" t="str">
            <v>Beast Within</v>
          </cell>
        </row>
        <row r="64">
          <cell r="B64" t="str">
            <v>Abrupt Decay</v>
          </cell>
          <cell r="C64" t="str">
            <v>Abrupt Decay</v>
          </cell>
        </row>
        <row r="65">
          <cell r="B65" t="str">
            <v>Nature's Claim</v>
          </cell>
          <cell r="C65" t="str">
            <v>Nature's Claim</v>
          </cell>
        </row>
        <row r="66">
          <cell r="B66" t="str">
            <v>Toxic Deluge</v>
          </cell>
          <cell r="C66" t="str">
            <v>Toxic Deluge</v>
          </cell>
        </row>
        <row r="67">
          <cell r="B67" t="str">
            <v>Noose Constrictor</v>
          </cell>
          <cell r="C67" t="str">
            <v>Noose Constrictor</v>
          </cell>
        </row>
        <row r="68">
          <cell r="B68" t="str">
            <v>Oblivion Crown</v>
          </cell>
          <cell r="C68" t="str">
            <v>Oblivion Crown</v>
          </cell>
        </row>
        <row r="69">
          <cell r="B69" t="str">
            <v>Wild Mongrel</v>
          </cell>
          <cell r="C69" t="str">
            <v>Wild Mongrel</v>
          </cell>
        </row>
        <row r="70">
          <cell r="B70" t="str">
            <v>Putrid Imp</v>
          </cell>
          <cell r="C70" t="str">
            <v>Putrid Imp</v>
          </cell>
        </row>
        <row r="71">
          <cell r="B71" t="str">
            <v>Dark Ritual</v>
          </cell>
          <cell r="C71" t="str">
            <v>Dark Ritual</v>
          </cell>
        </row>
        <row r="72">
          <cell r="B72" t="str">
            <v>Reclaim</v>
          </cell>
          <cell r="C72" t="str">
            <v>Ulamog, the Infinite Gyre</v>
          </cell>
        </row>
        <row r="73">
          <cell r="B73" t="str">
            <v>Gaea's Blessing</v>
          </cell>
          <cell r="C73" t="str">
            <v>Gaea's Blessing</v>
          </cell>
        </row>
        <row r="74">
          <cell r="B74" t="str">
            <v>Lotus Petal</v>
          </cell>
          <cell r="C74" t="str">
            <v>Lotus Petal</v>
          </cell>
        </row>
        <row r="75">
          <cell r="B75" t="str">
            <v>Geth's Verdict</v>
          </cell>
          <cell r="C75" t="str">
            <v>Geth's Verdict</v>
          </cell>
        </row>
        <row r="76">
          <cell r="B76" t="str">
            <v>Cabal Ritual</v>
          </cell>
          <cell r="C76" t="str">
            <v>Cabal Ritual</v>
          </cell>
        </row>
        <row r="77">
          <cell r="B77" t="str">
            <v>Six</v>
          </cell>
          <cell r="C77" t="str">
            <v>Six</v>
          </cell>
        </row>
        <row r="78">
          <cell r="B78" t="str">
            <v>Hedge Shredder</v>
          </cell>
          <cell r="C78" t="str">
            <v>Hedge Shredder</v>
          </cell>
        </row>
        <row r="79">
          <cell r="B79" t="str">
            <v>Life from the Loam</v>
          </cell>
          <cell r="C79" t="str">
            <v>Life from the Loam</v>
          </cell>
        </row>
        <row r="80">
          <cell r="B80" t="str">
            <v>Broodheart Engine</v>
          </cell>
          <cell r="C80" t="str">
            <v>Broodheart Engine</v>
          </cell>
        </row>
        <row r="81">
          <cell r="B81" t="str">
            <v>Blessed Respite</v>
          </cell>
          <cell r="C81" t="str">
            <v>Blessed Respite</v>
          </cell>
        </row>
        <row r="82">
          <cell r="B82" t="str">
            <v>Riftsweeper</v>
          </cell>
          <cell r="C82" t="str">
            <v>Riftsweeper</v>
          </cell>
        </row>
        <row r="83">
          <cell r="B83" t="str">
            <v>Crawling Infestation</v>
          </cell>
          <cell r="C83" t="str">
            <v>Ripples of Undeath</v>
          </cell>
        </row>
        <row r="84">
          <cell r="B84" t="str">
            <v>Conduit of Worlds</v>
          </cell>
          <cell r="C84" t="str">
            <v>Conduit of Worlds</v>
          </cell>
        </row>
        <row r="85">
          <cell r="B85" t="str">
            <v>Nostalgic Dreams</v>
          </cell>
          <cell r="C85" t="str">
            <v>Nostalgic Dreams</v>
          </cell>
        </row>
        <row r="86">
          <cell r="B86" t="str">
            <v>Grisly Salvage</v>
          </cell>
          <cell r="C86" t="str">
            <v>Titania, Voice of Gaea</v>
          </cell>
        </row>
        <row r="87">
          <cell r="B87" t="str">
            <v>Autumn's Veil</v>
          </cell>
          <cell r="C87" t="str">
            <v>Autumn's Veil</v>
          </cell>
        </row>
        <row r="88">
          <cell r="B88" t="str">
            <v>Shigeki, Jukai Visionary</v>
          </cell>
          <cell r="C88" t="str">
            <v>Shigeki, Jukai Visionary</v>
          </cell>
        </row>
        <row r="89">
          <cell r="B89" t="str">
            <v>Splendid Reclamation</v>
          </cell>
          <cell r="C89" t="str">
            <v>Splendid Reclamation</v>
          </cell>
        </row>
        <row r="90">
          <cell r="B90" t="str">
            <v>Eternal Witness</v>
          </cell>
          <cell r="C90" t="str">
            <v>Eternal Witness</v>
          </cell>
        </row>
        <row r="91">
          <cell r="B91" t="str">
            <v>Sylvan Library</v>
          </cell>
          <cell r="C91" t="str">
            <v>Sylvan Library</v>
          </cell>
        </row>
        <row r="92">
          <cell r="B92" t="str">
            <v>Ramunap Excavator</v>
          </cell>
          <cell r="C92" t="str">
            <v>Ramunap Excavator</v>
          </cell>
        </row>
        <row r="93">
          <cell r="B93" t="str">
            <v>World Shaper</v>
          </cell>
          <cell r="C93" t="str">
            <v>Crucible of Worlds</v>
          </cell>
        </row>
        <row r="94">
          <cell r="B94" t="str">
            <v>Worldly Tutor</v>
          </cell>
          <cell r="C94" t="str">
            <v>Worldly Tutor</v>
          </cell>
        </row>
        <row r="95">
          <cell r="B95" t="str">
            <v>Crop Rotation</v>
          </cell>
          <cell r="C95" t="str">
            <v>Crop Rotation</v>
          </cell>
        </row>
        <row r="96">
          <cell r="B96" t="str">
            <v>Elemental Teachings</v>
          </cell>
          <cell r="C96" t="str">
            <v>Elemental Teachings</v>
          </cell>
        </row>
        <row r="97">
          <cell r="B97" t="str">
            <v>Unmarked Grave</v>
          </cell>
          <cell r="C97" t="str">
            <v>Unmarked Grave</v>
          </cell>
        </row>
        <row r="98">
          <cell r="B98" t="str">
            <v>Invasion of Ikoria</v>
          </cell>
          <cell r="C98" t="str">
            <v>Invasion of Ikoria</v>
          </cell>
        </row>
        <row r="99">
          <cell r="B99" t="str">
            <v>Sylvan Scrying</v>
          </cell>
          <cell r="C99" t="str">
            <v>Sylvan Scrying</v>
          </cell>
        </row>
        <row r="100">
          <cell r="B100" t="str">
            <v>Buried Alive</v>
          </cell>
          <cell r="C100" t="str">
            <v>Entomb</v>
          </cell>
        </row>
        <row r="101">
          <cell r="B101" t="str">
            <v>Green Sun's Zenith</v>
          </cell>
          <cell r="C101" t="str">
            <v>Green Sun's Zenith</v>
          </cell>
        </row>
        <row r="102">
          <cell r="B102" t="str">
            <v>Eldritch Evolution</v>
          </cell>
          <cell r="C102" t="str">
            <v>Eldritch Evolution</v>
          </cell>
        </row>
      </sheetData>
      <sheetData sheetId="2">
        <row r="2">
          <cell r="G2">
            <v>7</v>
          </cell>
        </row>
        <row r="3">
          <cell r="B3" t="str">
            <v>Thrasios, Triton Hero</v>
          </cell>
          <cell r="C3" t="str">
            <v>Thrasios, Triton Hero</v>
          </cell>
        </row>
        <row r="4">
          <cell r="B4" t="str">
            <v>Miara, Thorn of the Glade</v>
          </cell>
          <cell r="C4" t="str">
            <v>Miara, Thorn of the Glade</v>
          </cell>
        </row>
        <row r="5">
          <cell r="B5" t="str">
            <v>Reliquary Tower</v>
          </cell>
          <cell r="C5" t="str">
            <v>Reliquary Tower</v>
          </cell>
        </row>
        <row r="6">
          <cell r="B6" t="str">
            <v>Wirewood Lodge</v>
          </cell>
          <cell r="C6" t="str">
            <v>Wirewood Lodge</v>
          </cell>
        </row>
        <row r="7">
          <cell r="B7" t="str">
            <v>Path of Ancestry</v>
          </cell>
          <cell r="C7" t="str">
            <v>Path of Ancestry</v>
          </cell>
        </row>
        <row r="8">
          <cell r="B8" t="str">
            <v>Swamp</v>
          </cell>
          <cell r="C8" t="str">
            <v>Alchemist's Refuge</v>
          </cell>
        </row>
        <row r="9">
          <cell r="B9" t="str">
            <v>Yavimaya Coast</v>
          </cell>
          <cell r="C9" t="str">
            <v>Yavimaya Coast</v>
          </cell>
        </row>
        <row r="10">
          <cell r="B10" t="str">
            <v>Exotic Orchard</v>
          </cell>
          <cell r="C10" t="str">
            <v>Exotic Orchard</v>
          </cell>
        </row>
        <row r="11">
          <cell r="B11" t="str">
            <v>Command Tower</v>
          </cell>
          <cell r="C11" t="str">
            <v>Command Tower</v>
          </cell>
        </row>
        <row r="12">
          <cell r="B12" t="str">
            <v>Llanowar Wastes</v>
          </cell>
          <cell r="C12" t="str">
            <v>Llanowar Wastes</v>
          </cell>
        </row>
        <row r="13">
          <cell r="B13" t="str">
            <v>Mortuary Mire</v>
          </cell>
          <cell r="C13" t="str">
            <v>Mortuary Mire</v>
          </cell>
        </row>
        <row r="14">
          <cell r="B14" t="str">
            <v>Bala Ged Sanctuary</v>
          </cell>
          <cell r="C14" t="str">
            <v>Bala Ged Sanctuary</v>
          </cell>
        </row>
        <row r="15">
          <cell r="B15" t="str">
            <v>Evolving Wilds</v>
          </cell>
          <cell r="C15" t="str">
            <v>Zagoth Triome</v>
          </cell>
        </row>
        <row r="16">
          <cell r="B16" t="str">
            <v>Port of Karfell</v>
          </cell>
          <cell r="C16" t="str">
            <v>Port of Karfell</v>
          </cell>
        </row>
        <row r="17">
          <cell r="B17" t="str">
            <v>Ancient Ziggurat</v>
          </cell>
          <cell r="C17" t="str">
            <v>Ancient Ziggurat</v>
          </cell>
        </row>
        <row r="18">
          <cell r="B18" t="str">
            <v>Lotus Field</v>
          </cell>
          <cell r="C18" t="str">
            <v>Lotus Field</v>
          </cell>
        </row>
        <row r="19">
          <cell r="B19" t="str">
            <v>Woodland Cemetery</v>
          </cell>
          <cell r="C19" t="str">
            <v>Woodland Cemetery</v>
          </cell>
        </row>
        <row r="20">
          <cell r="B20" t="str">
            <v>Nykthos, Shrine to Nyx</v>
          </cell>
          <cell r="C20" t="str">
            <v>Nykthos, Shrine to Nyx</v>
          </cell>
        </row>
        <row r="21">
          <cell r="B21" t="str">
            <v>Island</v>
          </cell>
          <cell r="C21" t="str">
            <v>Three Tree City</v>
          </cell>
        </row>
        <row r="22">
          <cell r="B22" t="str">
            <v>Evendo, Waking Haven</v>
          </cell>
          <cell r="C22" t="str">
            <v>Evendo, Waking Haven</v>
          </cell>
        </row>
        <row r="23">
          <cell r="B23" t="str">
            <v>Breeding Pool</v>
          </cell>
          <cell r="C23" t="str">
            <v>Breeding Pool</v>
          </cell>
        </row>
        <row r="24">
          <cell r="B24" t="str">
            <v>Overgrown Tomb</v>
          </cell>
          <cell r="C24" t="str">
            <v>Overgrown Tomb</v>
          </cell>
        </row>
        <row r="25">
          <cell r="B25" t="str">
            <v>Island</v>
          </cell>
          <cell r="C25" t="str">
            <v>Watery Grave</v>
          </cell>
        </row>
        <row r="26">
          <cell r="B26" t="str">
            <v>Swamp</v>
          </cell>
          <cell r="C26" t="str">
            <v>Deserted Temple</v>
          </cell>
        </row>
        <row r="27">
          <cell r="B27" t="str">
            <v>Forest</v>
          </cell>
          <cell r="C27" t="str">
            <v>Forest</v>
          </cell>
        </row>
        <row r="28">
          <cell r="B28" t="str">
            <v>Forest</v>
          </cell>
          <cell r="C28" t="str">
            <v>Forest</v>
          </cell>
        </row>
        <row r="29">
          <cell r="B29" t="str">
            <v>Forest</v>
          </cell>
          <cell r="C29" t="str">
            <v>Forest</v>
          </cell>
        </row>
        <row r="30">
          <cell r="B30" t="str">
            <v>Forest</v>
          </cell>
          <cell r="C30" t="str">
            <v>Forest</v>
          </cell>
        </row>
        <row r="31">
          <cell r="B31" t="str">
            <v>Forest</v>
          </cell>
          <cell r="C31" t="str">
            <v>Forest</v>
          </cell>
        </row>
        <row r="32">
          <cell r="B32" t="str">
            <v>Forest</v>
          </cell>
          <cell r="C32" t="str">
            <v>Forest</v>
          </cell>
        </row>
        <row r="33">
          <cell r="B33" t="str">
            <v>Forest</v>
          </cell>
          <cell r="C33" t="str">
            <v>Forest</v>
          </cell>
        </row>
        <row r="34">
          <cell r="B34" t="str">
            <v>Island</v>
          </cell>
          <cell r="C34" t="str">
            <v>Island</v>
          </cell>
        </row>
        <row r="35">
          <cell r="B35" t="str">
            <v>Swamp</v>
          </cell>
          <cell r="C35" t="str">
            <v>Swamp</v>
          </cell>
        </row>
        <row r="36">
          <cell r="B36" t="str">
            <v>Swamp</v>
          </cell>
          <cell r="C36" t="str">
            <v>Swamp</v>
          </cell>
        </row>
        <row r="37">
          <cell r="B37" t="str">
            <v>Circle of Dreams Druid</v>
          </cell>
          <cell r="C37" t="str">
            <v>Circle of Dreams Druid</v>
          </cell>
        </row>
        <row r="38">
          <cell r="B38" t="str">
            <v>Elvish Guidance</v>
          </cell>
          <cell r="C38" t="str">
            <v>Elvish Guidance</v>
          </cell>
        </row>
        <row r="39">
          <cell r="B39" t="str">
            <v>Elvish Harbinger</v>
          </cell>
          <cell r="C39" t="str">
            <v>Elvish Harbinger</v>
          </cell>
        </row>
        <row r="40">
          <cell r="B40" t="str">
            <v>Marwyn, the Nurturer</v>
          </cell>
          <cell r="C40" t="str">
            <v>Marwyn, the Nurturer</v>
          </cell>
        </row>
        <row r="41">
          <cell r="B41" t="str">
            <v>Elvish Archdruid</v>
          </cell>
          <cell r="C41" t="str">
            <v>Elvish Archdruid</v>
          </cell>
        </row>
        <row r="42">
          <cell r="B42" t="str">
            <v>Birchlore Rangers</v>
          </cell>
          <cell r="C42" t="str">
            <v>Birchlore Rangers</v>
          </cell>
        </row>
        <row r="43">
          <cell r="B43" t="str">
            <v>Llanowar Elves</v>
          </cell>
          <cell r="C43" t="str">
            <v>Llanowar Elves</v>
          </cell>
        </row>
        <row r="44">
          <cell r="B44" t="str">
            <v>Priest of Titania</v>
          </cell>
          <cell r="C44" t="str">
            <v>Priest of Titania</v>
          </cell>
        </row>
        <row r="45">
          <cell r="B45" t="str">
            <v>Elvish Mystic</v>
          </cell>
          <cell r="C45" t="str">
            <v>Elvish Mystic</v>
          </cell>
        </row>
        <row r="46">
          <cell r="B46" t="str">
            <v>Wirewood Channeler</v>
          </cell>
          <cell r="C46" t="str">
            <v>Wirewood Channeler</v>
          </cell>
        </row>
        <row r="47">
          <cell r="B47" t="str">
            <v>Farhaven Elf</v>
          </cell>
          <cell r="C47" t="str">
            <v>Farhaven Elf</v>
          </cell>
        </row>
        <row r="48">
          <cell r="B48" t="str">
            <v>Devoted Druid</v>
          </cell>
          <cell r="C48" t="str">
            <v>Devoted Druid</v>
          </cell>
        </row>
        <row r="49">
          <cell r="B49" t="str">
            <v>Wood Elves</v>
          </cell>
          <cell r="C49" t="str">
            <v>Wood Elves</v>
          </cell>
        </row>
        <row r="50">
          <cell r="B50" t="str">
            <v>Springbloom Druid</v>
          </cell>
          <cell r="C50" t="str">
            <v>Springbloom Druid</v>
          </cell>
        </row>
        <row r="51">
          <cell r="B51" t="str">
            <v>Arbor Elf</v>
          </cell>
          <cell r="C51" t="str">
            <v>Arbor Elf</v>
          </cell>
        </row>
        <row r="52">
          <cell r="B52" t="str">
            <v>Elves of Deep Shadow</v>
          </cell>
          <cell r="C52" t="str">
            <v>Elves of Deep Shadow</v>
          </cell>
        </row>
        <row r="53">
          <cell r="B53" t="str">
            <v>Beastcaller Savant</v>
          </cell>
          <cell r="C53" t="str">
            <v>Beastcaller Savant</v>
          </cell>
        </row>
        <row r="54">
          <cell r="B54" t="str">
            <v>Joraga Treespeaker</v>
          </cell>
          <cell r="C54" t="str">
            <v>Joraga Treespeaker</v>
          </cell>
        </row>
        <row r="55">
          <cell r="B55" t="str">
            <v>Rishkar, Peema Renegade</v>
          </cell>
          <cell r="C55" t="str">
            <v>Rishkar, Peema Renegade</v>
          </cell>
        </row>
        <row r="56">
          <cell r="B56" t="str">
            <v>Llanowar Loamspeaker</v>
          </cell>
          <cell r="C56" t="str">
            <v>Llanowar Loamspeaker</v>
          </cell>
        </row>
        <row r="57">
          <cell r="B57" t="str">
            <v>Tyvar Kell</v>
          </cell>
          <cell r="C57" t="str">
            <v>Tyvar Kell</v>
          </cell>
        </row>
        <row r="58">
          <cell r="B58" t="str">
            <v>Cryptolith Rite</v>
          </cell>
          <cell r="C58" t="str">
            <v>Cryptolith Rite</v>
          </cell>
        </row>
        <row r="59">
          <cell r="B59" t="str">
            <v>Fyndhorn Elves</v>
          </cell>
          <cell r="C59" t="str">
            <v>Fyndhorn Elves</v>
          </cell>
        </row>
        <row r="60">
          <cell r="B60" t="str">
            <v>Jaspera Sentinel</v>
          </cell>
          <cell r="C60" t="str">
            <v>Jaspera Sentinel</v>
          </cell>
        </row>
        <row r="61">
          <cell r="B61" t="str">
            <v>Gwenna, Eyes of Gaea</v>
          </cell>
          <cell r="C61" t="str">
            <v>Gwenna, Eyes of Gaea</v>
          </cell>
        </row>
        <row r="62">
          <cell r="B62" t="str">
            <v>Imperious Perfect</v>
          </cell>
          <cell r="C62" t="str">
            <v>Imperious Perfect</v>
          </cell>
        </row>
        <row r="63">
          <cell r="B63" t="str">
            <v>Lys Alana Huntmaster</v>
          </cell>
          <cell r="C63" t="str">
            <v>Lys Alana Huntmaster</v>
          </cell>
        </row>
        <row r="64">
          <cell r="B64" t="str">
            <v>Villainous Wealth</v>
          </cell>
          <cell r="C64" t="str">
            <v>Villainous Wealth</v>
          </cell>
        </row>
        <row r="65">
          <cell r="B65" t="str">
            <v>Ezuri, Renegade Leader</v>
          </cell>
          <cell r="C65" t="str">
            <v>Ezuri, Renegade Leader</v>
          </cell>
        </row>
        <row r="66">
          <cell r="B66" t="str">
            <v>Ecological Appreciation</v>
          </cell>
          <cell r="C66" t="str">
            <v>Ecological Appreciation</v>
          </cell>
        </row>
        <row r="67">
          <cell r="B67" t="str">
            <v>Evolutionary Leap</v>
          </cell>
          <cell r="C67" t="str">
            <v>Evolutionary Leap</v>
          </cell>
        </row>
        <row r="68">
          <cell r="B68" t="str">
            <v>Fauna Shaman</v>
          </cell>
          <cell r="C68" t="str">
            <v>Fauna Shaman</v>
          </cell>
        </row>
        <row r="69">
          <cell r="B69" t="str">
            <v>Skyshroud Poacher</v>
          </cell>
          <cell r="C69" t="str">
            <v>Skyshroud Poacher</v>
          </cell>
        </row>
        <row r="70">
          <cell r="B70" t="str">
            <v>Prime Speaker Vannifar</v>
          </cell>
          <cell r="C70" t="str">
            <v>Prime Speaker Vannifar</v>
          </cell>
        </row>
        <row r="71">
          <cell r="B71" t="str">
            <v>Yisan, the Wanderer Bard</v>
          </cell>
          <cell r="C71" t="str">
            <v>Yisan, the Wanderer Bard</v>
          </cell>
        </row>
        <row r="72">
          <cell r="B72" t="str">
            <v>Elvish Lyrist</v>
          </cell>
          <cell r="C72" t="str">
            <v>Elvish Lyrist</v>
          </cell>
        </row>
        <row r="73">
          <cell r="B73" t="str">
            <v>Elvish Scrapper</v>
          </cell>
          <cell r="C73" t="str">
            <v>Elvish Scrapper</v>
          </cell>
        </row>
        <row r="74">
          <cell r="B74" t="str">
            <v>Freyalise, Llanowar's Fury</v>
          </cell>
          <cell r="C74" t="str">
            <v>Freyalise, Llanowar's Fury</v>
          </cell>
        </row>
        <row r="75">
          <cell r="B75" t="str">
            <v>Masked Vandal</v>
          </cell>
          <cell r="C75" t="str">
            <v>Masked Vandal</v>
          </cell>
        </row>
        <row r="76">
          <cell r="B76" t="str">
            <v>Training Grounds</v>
          </cell>
          <cell r="C76" t="str">
            <v>Training Grounds</v>
          </cell>
        </row>
        <row r="77">
          <cell r="B77" t="str">
            <v>Mirage Mirror</v>
          </cell>
          <cell r="C77" t="str">
            <v>Mirage Mirror</v>
          </cell>
        </row>
        <row r="78">
          <cell r="B78" t="str">
            <v>Marvin, Murderous Mimic</v>
          </cell>
          <cell r="C78" t="str">
            <v>Marvin, Murderous Mimic</v>
          </cell>
        </row>
        <row r="79">
          <cell r="B79" t="str">
            <v>Yeva, Nature's Herald</v>
          </cell>
          <cell r="C79" t="str">
            <v>Yeva, Nature's Herald</v>
          </cell>
        </row>
        <row r="80">
          <cell r="B80" t="str">
            <v>Kiora's Follower</v>
          </cell>
          <cell r="C80" t="str">
            <v>Nissa, Resurgent Animist</v>
          </cell>
        </row>
        <row r="81">
          <cell r="B81" t="str">
            <v>Elvish Regrower</v>
          </cell>
          <cell r="C81" t="str">
            <v>Elvish Regrower</v>
          </cell>
        </row>
        <row r="82">
          <cell r="B82" t="str">
            <v>Wellwisher</v>
          </cell>
          <cell r="C82" t="str">
            <v>Wellwisher</v>
          </cell>
        </row>
        <row r="83">
          <cell r="B83" t="str">
            <v>Intruder Alarm</v>
          </cell>
          <cell r="C83" t="str">
            <v>Intruder Alarm</v>
          </cell>
        </row>
        <row r="84">
          <cell r="B84" t="str">
            <v>Quirion Ranger</v>
          </cell>
          <cell r="C84" t="str">
            <v>Quirion Ranger</v>
          </cell>
        </row>
        <row r="85">
          <cell r="B85" t="str">
            <v>Seeker of Skybreak</v>
          </cell>
          <cell r="C85" t="str">
            <v>Seeker of Skybreak</v>
          </cell>
        </row>
        <row r="86">
          <cell r="B86" t="str">
            <v>Copperhorn Scout</v>
          </cell>
          <cell r="C86" t="str">
            <v>Copperhorn Scout</v>
          </cell>
        </row>
        <row r="87">
          <cell r="B87" t="str">
            <v>Quest for Renewal</v>
          </cell>
          <cell r="C87" t="str">
            <v>Quest for Renewal</v>
          </cell>
        </row>
        <row r="88">
          <cell r="B88" t="str">
            <v>Retreat to Coralhelm</v>
          </cell>
          <cell r="C88" t="str">
            <v>Retreat to Coralhelm</v>
          </cell>
        </row>
        <row r="89">
          <cell r="B89" t="str">
            <v>Faces of the Past</v>
          </cell>
          <cell r="C89" t="str">
            <v>Faces of the Past</v>
          </cell>
        </row>
        <row r="90">
          <cell r="B90" t="str">
            <v>Seedborn Muse</v>
          </cell>
          <cell r="C90" t="str">
            <v>Seedborn Muse</v>
          </cell>
        </row>
        <row r="91">
          <cell r="B91" t="str">
            <v>Teferi, Temporal Archmage</v>
          </cell>
          <cell r="C91" t="str">
            <v>Teferi, Temporal Archmage</v>
          </cell>
        </row>
        <row r="92">
          <cell r="B92" t="str">
            <v>Murkfiend Liege</v>
          </cell>
          <cell r="C92" t="str">
            <v>Murkfiend Liege</v>
          </cell>
        </row>
        <row r="93">
          <cell r="B93" t="str">
            <v>Dionus, Elvish Archdruid</v>
          </cell>
          <cell r="C93" t="str">
            <v>Dionus, Elvish Archdruid</v>
          </cell>
        </row>
        <row r="94">
          <cell r="B94" t="str">
            <v>Wirewood Symbiote</v>
          </cell>
          <cell r="C94" t="str">
            <v>Wirewood Symbiote</v>
          </cell>
        </row>
        <row r="95">
          <cell r="B95" t="str">
            <v>Nissa, Genesis Mage</v>
          </cell>
          <cell r="C95" t="str">
            <v>Nissa, Genesis Mage</v>
          </cell>
        </row>
        <row r="96">
          <cell r="B96" t="str">
            <v>Reclamation Sage</v>
          </cell>
          <cell r="C96" t="str">
            <v>Waterbender's Restoration</v>
          </cell>
        </row>
        <row r="97">
          <cell r="B97" t="str">
            <v>Elvish Soultiller</v>
          </cell>
          <cell r="C97" t="str">
            <v>Elvish Soultiller</v>
          </cell>
        </row>
        <row r="98">
          <cell r="B98" t="str">
            <v>Golgari Charm</v>
          </cell>
          <cell r="C98" t="str">
            <v>Golgari Charm</v>
          </cell>
        </row>
        <row r="99">
          <cell r="B99" t="str">
            <v>Tyvar, Jubilant Brawler</v>
          </cell>
          <cell r="C99" t="str">
            <v>Tyvar, Jubilant Brawler</v>
          </cell>
        </row>
        <row r="100">
          <cell r="B100" t="str">
            <v>Lightning Greaves</v>
          </cell>
          <cell r="C100" t="str">
            <v>Lightning Greaves</v>
          </cell>
        </row>
        <row r="101">
          <cell r="B101" t="str">
            <v>Swiftfoot Boots</v>
          </cell>
          <cell r="C101" t="str">
            <v>Swiftfoot Boots</v>
          </cell>
        </row>
        <row r="102">
          <cell r="B102" t="str">
            <v>Thousand-Year Elixir</v>
          </cell>
          <cell r="C102" t="str">
            <v>Thousand-Year Elixir</v>
          </cell>
        </row>
      </sheetData>
      <sheetData sheetId="3">
        <row r="2">
          <cell r="G2">
            <v>100</v>
          </cell>
        </row>
        <row r="3">
          <cell r="C3" t="str">
            <v>The First Sliver</v>
          </cell>
        </row>
        <row r="4">
          <cell r="C4" t="str">
            <v>Ketria Triome</v>
          </cell>
        </row>
        <row r="5">
          <cell r="C5" t="str">
            <v>Indatha Triome</v>
          </cell>
        </row>
        <row r="6">
          <cell r="C6" t="str">
            <v>Zagoth Triome</v>
          </cell>
        </row>
        <row r="7">
          <cell r="C7" t="str">
            <v>Raugrin Triome</v>
          </cell>
        </row>
        <row r="8">
          <cell r="C8" t="str">
            <v>Savai Triome</v>
          </cell>
        </row>
        <row r="9">
          <cell r="C9" t="str">
            <v>Raffine's Tower</v>
          </cell>
        </row>
        <row r="10">
          <cell r="C10" t="str">
            <v>Xander's Lounge</v>
          </cell>
        </row>
        <row r="11">
          <cell r="C11" t="str">
            <v>Ziatora's Proving Ground</v>
          </cell>
        </row>
        <row r="12">
          <cell r="C12" t="str">
            <v>Jetmir's Garden</v>
          </cell>
        </row>
        <row r="13">
          <cell r="C13" t="str">
            <v>Spara's Headquarters</v>
          </cell>
        </row>
        <row r="14">
          <cell r="C14" t="str">
            <v>Breeding Pool</v>
          </cell>
        </row>
        <row r="15">
          <cell r="C15" t="str">
            <v>Godless Shrine</v>
          </cell>
        </row>
        <row r="16">
          <cell r="C16" t="str">
            <v>Stomping Ground</v>
          </cell>
        </row>
        <row r="17">
          <cell r="C17" t="str">
            <v>Steam Vents</v>
          </cell>
        </row>
        <row r="18">
          <cell r="C18" t="str">
            <v>Hallowed Fountain</v>
          </cell>
        </row>
        <row r="19">
          <cell r="C19" t="str">
            <v>Watery Grave</v>
          </cell>
        </row>
        <row r="20">
          <cell r="C20" t="str">
            <v>Temple Garden</v>
          </cell>
        </row>
        <row r="21">
          <cell r="C21" t="str">
            <v>Overgrown Tomb</v>
          </cell>
        </row>
        <row r="22">
          <cell r="C22" t="str">
            <v>Sacred Foundry</v>
          </cell>
        </row>
        <row r="23">
          <cell r="C23" t="str">
            <v>Exotic Orchard</v>
          </cell>
        </row>
        <row r="24">
          <cell r="C24" t="str">
            <v>Sliver Hive</v>
          </cell>
        </row>
        <row r="25">
          <cell r="C25" t="str">
            <v>Command Tower</v>
          </cell>
        </row>
        <row r="26">
          <cell r="C26" t="str">
            <v>Cavern of Souls</v>
          </cell>
        </row>
        <row r="27">
          <cell r="C27" t="str">
            <v>Abundant Countryside</v>
          </cell>
        </row>
        <row r="28">
          <cell r="C28" t="str">
            <v>Forest</v>
          </cell>
        </row>
        <row r="29">
          <cell r="C29" t="str">
            <v>Forest</v>
          </cell>
        </row>
        <row r="30">
          <cell r="C30" t="str">
            <v>Island</v>
          </cell>
        </row>
        <row r="31">
          <cell r="C31" t="str">
            <v>Island</v>
          </cell>
        </row>
        <row r="32">
          <cell r="C32" t="str">
            <v>Mountain</v>
          </cell>
        </row>
        <row r="33">
          <cell r="C33" t="str">
            <v>Mountain</v>
          </cell>
        </row>
        <row r="34">
          <cell r="C34" t="str">
            <v>Swamp</v>
          </cell>
        </row>
        <row r="35">
          <cell r="C35" t="str">
            <v>Swamp</v>
          </cell>
        </row>
        <row r="36">
          <cell r="C36" t="str">
            <v>Swamp</v>
          </cell>
        </row>
        <row r="37">
          <cell r="C37" t="str">
            <v>Plains</v>
          </cell>
        </row>
        <row r="38">
          <cell r="C38" t="str">
            <v>Plains</v>
          </cell>
        </row>
        <row r="39">
          <cell r="C39" t="str">
            <v>Sliver Queen</v>
          </cell>
        </row>
        <row r="40">
          <cell r="C40" t="str">
            <v>Sliver Hivelord</v>
          </cell>
        </row>
        <row r="41">
          <cell r="C41" t="str">
            <v>Sliver Overlord</v>
          </cell>
        </row>
        <row r="42">
          <cell r="C42" t="str">
            <v>Sliver Legion</v>
          </cell>
        </row>
        <row r="43">
          <cell r="C43" t="str">
            <v>Sliver Gravemother</v>
          </cell>
        </row>
        <row r="44">
          <cell r="C44" t="str">
            <v>Pulmonic Sliver</v>
          </cell>
        </row>
        <row r="45">
          <cell r="C45" t="str">
            <v>Mnemonic Sliver</v>
          </cell>
        </row>
        <row r="46">
          <cell r="C46" t="str">
            <v>Synapse Sliver</v>
          </cell>
        </row>
        <row r="47">
          <cell r="C47" t="str">
            <v>Regal Sliver</v>
          </cell>
        </row>
        <row r="48">
          <cell r="C48" t="str">
            <v>Hollowhead Sliver</v>
          </cell>
        </row>
        <row r="49">
          <cell r="C49" t="str">
            <v>Homing Sliver</v>
          </cell>
        </row>
        <row r="50">
          <cell r="C50" t="str">
            <v>Telekinetic Sliver</v>
          </cell>
        </row>
        <row r="51">
          <cell r="C51" t="str">
            <v>Taunting Sliver</v>
          </cell>
        </row>
        <row r="52">
          <cell r="C52" t="str">
            <v>Psionic Sliver</v>
          </cell>
        </row>
        <row r="53">
          <cell r="C53" t="str">
            <v>Crystalline Sliver</v>
          </cell>
        </row>
        <row r="54">
          <cell r="C54" t="str">
            <v>Hibernation Sliver</v>
          </cell>
        </row>
        <row r="55">
          <cell r="C55" t="str">
            <v>Necrotic Sliver</v>
          </cell>
        </row>
        <row r="56">
          <cell r="C56" t="str">
            <v>Dormant Sliver</v>
          </cell>
        </row>
        <row r="57">
          <cell r="C57" t="str">
            <v>Harmonic Sliver</v>
          </cell>
        </row>
        <row r="58">
          <cell r="C58" t="str">
            <v>Darkheart Sliver</v>
          </cell>
        </row>
        <row r="59">
          <cell r="C59" t="str">
            <v>Constricting Sliver</v>
          </cell>
        </row>
        <row r="60">
          <cell r="C60" t="str">
            <v>Gemhide Sliver</v>
          </cell>
        </row>
        <row r="61">
          <cell r="C61" t="str">
            <v>Manaweft Sliver</v>
          </cell>
        </row>
        <row r="62">
          <cell r="C62" t="str">
            <v>Root Sliver</v>
          </cell>
        </row>
        <row r="63">
          <cell r="C63" t="str">
            <v>Basal Sliver</v>
          </cell>
        </row>
        <row r="64">
          <cell r="C64" t="str">
            <v>Hatchery Sliver</v>
          </cell>
        </row>
        <row r="65">
          <cell r="C65" t="str">
            <v>Dregscape Sliver</v>
          </cell>
        </row>
        <row r="66">
          <cell r="C66" t="str">
            <v>Opaline Sliver</v>
          </cell>
        </row>
        <row r="67">
          <cell r="C67" t="str">
            <v>Diffusion Sliver</v>
          </cell>
        </row>
        <row r="68">
          <cell r="C68" t="str">
            <v>Ward Sliver</v>
          </cell>
        </row>
        <row r="69">
          <cell r="C69" t="str">
            <v>Essence Sliver</v>
          </cell>
        </row>
        <row r="70">
          <cell r="C70" t="str">
            <v>Quilled Sliver</v>
          </cell>
        </row>
        <row r="71">
          <cell r="C71" t="str">
            <v>Bonescythe Sliver</v>
          </cell>
        </row>
        <row r="72">
          <cell r="C72" t="str">
            <v>Venom Sliver</v>
          </cell>
        </row>
        <row r="73">
          <cell r="C73" t="str">
            <v>Brood Sliver</v>
          </cell>
        </row>
        <row r="74">
          <cell r="C74" t="str">
            <v>Quick Sliver</v>
          </cell>
        </row>
        <row r="75">
          <cell r="C75" t="str">
            <v>Syphon Sliver</v>
          </cell>
        </row>
        <row r="76">
          <cell r="C76" t="str">
            <v>Spiteful Sliver</v>
          </cell>
        </row>
        <row r="77">
          <cell r="C77" t="str">
            <v>Magma Sliver</v>
          </cell>
        </row>
        <row r="78">
          <cell r="C78" t="str">
            <v>Thorncaster Sliver</v>
          </cell>
        </row>
        <row r="79">
          <cell r="C79" t="str">
            <v>Striking Sliver</v>
          </cell>
        </row>
        <row r="80">
          <cell r="C80" t="str">
            <v>Cloudshredder Sliver</v>
          </cell>
        </row>
        <row r="81">
          <cell r="C81" t="str">
            <v>Lavabelly Sliver</v>
          </cell>
        </row>
        <row r="82">
          <cell r="C82" t="str">
            <v>Sentinel Sliver</v>
          </cell>
        </row>
        <row r="83">
          <cell r="C83" t="str">
            <v>Galerider Sliver</v>
          </cell>
        </row>
        <row r="84">
          <cell r="C84" t="str">
            <v>Winged Sliver</v>
          </cell>
        </row>
        <row r="85">
          <cell r="C85" t="str">
            <v>Striking Sliver</v>
          </cell>
        </row>
        <row r="86">
          <cell r="C86" t="str">
            <v>Shifting Sliver</v>
          </cell>
        </row>
        <row r="87">
          <cell r="C87" t="str">
            <v>Heart Sliver</v>
          </cell>
        </row>
        <row r="88">
          <cell r="C88" t="str">
            <v>Hunter Sliver</v>
          </cell>
        </row>
        <row r="89">
          <cell r="C89" t="str">
            <v>Crypt Sliver</v>
          </cell>
        </row>
        <row r="90">
          <cell r="C90" t="str">
            <v>Sedge Sliver</v>
          </cell>
        </row>
        <row r="91">
          <cell r="C91" t="str">
            <v>Sinew Sliver</v>
          </cell>
        </row>
        <row r="92">
          <cell r="C92" t="str">
            <v>Predatory Sliver</v>
          </cell>
        </row>
        <row r="93">
          <cell r="C93" t="str">
            <v>Muscle Sliver</v>
          </cell>
        </row>
        <row r="94">
          <cell r="C94" t="str">
            <v>Congregation at Dawn</v>
          </cell>
        </row>
        <row r="95">
          <cell r="C95" t="str">
            <v>Eladamri's Call</v>
          </cell>
        </row>
        <row r="96">
          <cell r="C96" t="str">
            <v>Signal the Clans</v>
          </cell>
        </row>
        <row r="97">
          <cell r="C97" t="str">
            <v>Realmwalker</v>
          </cell>
        </row>
        <row r="98">
          <cell r="C98" t="str">
            <v>Haunted Crossroads</v>
          </cell>
        </row>
        <row r="99">
          <cell r="C99" t="str">
            <v>Rogues' Gallery</v>
          </cell>
        </row>
        <row r="100">
          <cell r="C100" t="str">
            <v>Descendants' Path</v>
          </cell>
        </row>
        <row r="101">
          <cell r="C101" t="str">
            <v>Unsettled Mariner</v>
          </cell>
        </row>
        <row r="102">
          <cell r="C102" t="str">
            <v>Thrumming Hivepool</v>
          </cell>
        </row>
      </sheetData>
      <sheetData sheetId="4">
        <row r="2">
          <cell r="G2">
            <v>12</v>
          </cell>
        </row>
        <row r="3">
          <cell r="B3" t="str">
            <v>Inalla, Archmage Ritualist</v>
          </cell>
          <cell r="C3" t="str">
            <v>Inalla, Archmage Ritualist</v>
          </cell>
        </row>
        <row r="4">
          <cell r="B4" t="str">
            <v>Exotic Orchard</v>
          </cell>
          <cell r="C4" t="str">
            <v>Exotic Orchard</v>
          </cell>
        </row>
        <row r="5">
          <cell r="B5" t="str">
            <v>Command Tower</v>
          </cell>
          <cell r="C5" t="str">
            <v>Command Tower</v>
          </cell>
        </row>
        <row r="6">
          <cell r="B6" t="str">
            <v>Path of Ancestry</v>
          </cell>
          <cell r="C6" t="str">
            <v>Path of Ancestry</v>
          </cell>
        </row>
        <row r="7">
          <cell r="B7" t="str">
            <v>Witch's Cottage</v>
          </cell>
          <cell r="C7" t="str">
            <v>Witch's Cottage</v>
          </cell>
        </row>
        <row r="8">
          <cell r="B8" t="str">
            <v>Evolving Wilds</v>
          </cell>
          <cell r="C8" t="str">
            <v>Evolving Wilds</v>
          </cell>
        </row>
        <row r="9">
          <cell r="B9" t="str">
            <v>Terramorphic Expanse</v>
          </cell>
          <cell r="C9" t="str">
            <v>Terramorphic Expanse</v>
          </cell>
        </row>
        <row r="10">
          <cell r="B10" t="str">
            <v>Grixis Panorama</v>
          </cell>
          <cell r="C10" t="str">
            <v>Grixis Panorama</v>
          </cell>
        </row>
        <row r="11">
          <cell r="B11" t="str">
            <v>Island</v>
          </cell>
          <cell r="C11" t="str">
            <v>Reliquary Tower</v>
          </cell>
        </row>
        <row r="12">
          <cell r="B12" t="str">
            <v>Unclaimed Territory</v>
          </cell>
          <cell r="C12" t="str">
            <v>Unclaimed Territory</v>
          </cell>
        </row>
        <row r="13">
          <cell r="B13" t="str">
            <v>Riptide Laboratory</v>
          </cell>
          <cell r="C13" t="str">
            <v>Riptide Laboratory</v>
          </cell>
        </row>
        <row r="14">
          <cell r="B14" t="str">
            <v>Dreadship Reef</v>
          </cell>
          <cell r="C14" t="str">
            <v>Dreadship Reef</v>
          </cell>
        </row>
        <row r="15">
          <cell r="B15" t="str">
            <v>Molten Slagheap</v>
          </cell>
          <cell r="C15" t="str">
            <v>Molten Slagheap</v>
          </cell>
        </row>
        <row r="16">
          <cell r="B16" t="str">
            <v>Myriad Landscape</v>
          </cell>
          <cell r="C16" t="str">
            <v>Myriad Landscape</v>
          </cell>
        </row>
        <row r="17">
          <cell r="B17" t="str">
            <v>Vault of Whispers</v>
          </cell>
          <cell r="C17" t="str">
            <v>Vault of Whispers</v>
          </cell>
        </row>
        <row r="18">
          <cell r="B18" t="str">
            <v>Seat of the Synod</v>
          </cell>
          <cell r="C18" t="str">
            <v>Seat of the Synod</v>
          </cell>
        </row>
        <row r="19">
          <cell r="B19" t="str">
            <v>Great Furnace</v>
          </cell>
          <cell r="C19" t="str">
            <v>Great Furnace</v>
          </cell>
        </row>
        <row r="20">
          <cell r="B20" t="str">
            <v>Vivid Marsh</v>
          </cell>
          <cell r="C20" t="str">
            <v>Bojuka Bog</v>
          </cell>
        </row>
        <row r="21">
          <cell r="B21" t="str">
            <v>Swamp</v>
          </cell>
          <cell r="C21" t="str">
            <v>Arcane Lighthouse</v>
          </cell>
        </row>
        <row r="22">
          <cell r="B22" t="str">
            <v>Mirrodin's Core</v>
          </cell>
          <cell r="C22" t="str">
            <v>Mirrodin's Core</v>
          </cell>
        </row>
        <row r="23">
          <cell r="B23" t="str">
            <v>Mage-Ring Network</v>
          </cell>
          <cell r="C23" t="str">
            <v>Mage-Ring Network</v>
          </cell>
        </row>
        <row r="24">
          <cell r="B24" t="str">
            <v>Shire Terrace</v>
          </cell>
          <cell r="C24" t="str">
            <v>Glasspool Mimic</v>
          </cell>
        </row>
        <row r="25">
          <cell r="B25" t="str">
            <v>Port of Karfell</v>
          </cell>
          <cell r="C25" t="str">
            <v>Port of Karfell</v>
          </cell>
        </row>
        <row r="26">
          <cell r="B26" t="str">
            <v>Secluded Courtyard</v>
          </cell>
          <cell r="C26" t="str">
            <v>Secluded Courtyard</v>
          </cell>
        </row>
        <row r="27">
          <cell r="B27" t="str">
            <v>Sulfur Falls</v>
          </cell>
          <cell r="C27" t="str">
            <v>Sulfur Falls</v>
          </cell>
        </row>
        <row r="28">
          <cell r="B28" t="str">
            <v>Island</v>
          </cell>
          <cell r="C28" t="str">
            <v>Island</v>
          </cell>
        </row>
        <row r="29">
          <cell r="B29" t="str">
            <v>Island</v>
          </cell>
          <cell r="C29" t="str">
            <v>Island</v>
          </cell>
        </row>
        <row r="30">
          <cell r="B30" t="str">
            <v>Island</v>
          </cell>
          <cell r="C30" t="str">
            <v>Island</v>
          </cell>
        </row>
        <row r="31">
          <cell r="B31" t="str">
            <v>Island</v>
          </cell>
          <cell r="C31" t="str">
            <v>Island</v>
          </cell>
        </row>
        <row r="32">
          <cell r="B32" t="str">
            <v>Mountain</v>
          </cell>
          <cell r="C32" t="str">
            <v>Mountain</v>
          </cell>
        </row>
        <row r="33">
          <cell r="B33" t="str">
            <v>Mountain</v>
          </cell>
          <cell r="C33" t="str">
            <v>Mountain</v>
          </cell>
        </row>
        <row r="34">
          <cell r="B34" t="str">
            <v>Mountain</v>
          </cell>
          <cell r="C34" t="str">
            <v>Mountain</v>
          </cell>
        </row>
        <row r="35">
          <cell r="B35" t="str">
            <v>Swamp</v>
          </cell>
          <cell r="C35" t="str">
            <v>Swamp</v>
          </cell>
        </row>
        <row r="36">
          <cell r="B36" t="str">
            <v>Swamp</v>
          </cell>
          <cell r="C36" t="str">
            <v>Swamp</v>
          </cell>
        </row>
        <row r="37">
          <cell r="B37" t="str">
            <v>Swamp</v>
          </cell>
          <cell r="C37" t="str">
            <v>Swamp</v>
          </cell>
        </row>
        <row r="38">
          <cell r="B38" t="str">
            <v>Swamp</v>
          </cell>
          <cell r="C38" t="str">
            <v>Swamp</v>
          </cell>
        </row>
        <row r="39">
          <cell r="B39" t="str">
            <v>Sol Ring</v>
          </cell>
          <cell r="C39" t="str">
            <v>Sol Ring</v>
          </cell>
        </row>
        <row r="40">
          <cell r="B40" t="str">
            <v>Dimir Signet</v>
          </cell>
          <cell r="C40" t="str">
            <v>Dimir Signet</v>
          </cell>
        </row>
        <row r="41">
          <cell r="B41" t="str">
            <v>Izzet Signet</v>
          </cell>
          <cell r="C41" t="str">
            <v>Izzet Signet</v>
          </cell>
        </row>
        <row r="42">
          <cell r="B42" t="str">
            <v>Rakdos Signet</v>
          </cell>
          <cell r="C42" t="str">
            <v>Rakdos Signet</v>
          </cell>
        </row>
        <row r="43">
          <cell r="B43" t="str">
            <v>Arcane Signet</v>
          </cell>
          <cell r="C43" t="str">
            <v>Arcane Signet</v>
          </cell>
        </row>
        <row r="44">
          <cell r="B44" t="str">
            <v>Stonybrook Banneret</v>
          </cell>
          <cell r="C44" t="str">
            <v>Stonybrook Banneret</v>
          </cell>
        </row>
        <row r="45">
          <cell r="B45" t="str">
            <v>Herald's Horn</v>
          </cell>
          <cell r="C45" t="str">
            <v>Herald's Horn</v>
          </cell>
        </row>
        <row r="46">
          <cell r="B46" t="str">
            <v>Chromatic Lantern</v>
          </cell>
          <cell r="C46" t="str">
            <v>Gathering Stone</v>
          </cell>
        </row>
        <row r="47">
          <cell r="B47" t="str">
            <v>Azami, Lady of Scrolls</v>
          </cell>
          <cell r="C47" t="str">
            <v>Azami, Lady of Scrolls</v>
          </cell>
        </row>
        <row r="48">
          <cell r="B48" t="str">
            <v>Sea Gate Oracle</v>
          </cell>
          <cell r="C48" t="str">
            <v>Sea Gate Oracle</v>
          </cell>
        </row>
        <row r="49">
          <cell r="B49" t="str">
            <v>Disciple of Bolas</v>
          </cell>
          <cell r="C49" t="str">
            <v>Disciple of Bolas</v>
          </cell>
        </row>
        <row r="50">
          <cell r="B50" t="str">
            <v>Dour Port-Mage</v>
          </cell>
          <cell r="C50" t="str">
            <v>Dour Port-Mage</v>
          </cell>
        </row>
        <row r="51">
          <cell r="B51" t="str">
            <v>Merchant of Secrets</v>
          </cell>
          <cell r="C51" t="str">
            <v>Merchant of Secrets</v>
          </cell>
        </row>
        <row r="52">
          <cell r="B52" t="str">
            <v>Serum Visionary</v>
          </cell>
          <cell r="C52" t="str">
            <v>Serum Visionary</v>
          </cell>
        </row>
        <row r="53">
          <cell r="B53" t="str">
            <v>Graveshifter</v>
          </cell>
          <cell r="C53" t="str">
            <v>Graveshifter</v>
          </cell>
        </row>
        <row r="54">
          <cell r="B54" t="str">
            <v>Watcher for Tomorrow</v>
          </cell>
          <cell r="C54" t="str">
            <v>Watcher for Tomorrow</v>
          </cell>
        </row>
        <row r="55">
          <cell r="B55" t="str">
            <v>Cloudkin Seer</v>
          </cell>
          <cell r="C55" t="str">
            <v>Cloudkin Seer</v>
          </cell>
        </row>
        <row r="56">
          <cell r="B56" t="str">
            <v>Trinket Mage</v>
          </cell>
          <cell r="C56" t="str">
            <v>Trinket Mage</v>
          </cell>
        </row>
        <row r="57">
          <cell r="B57" t="str">
            <v>Tribute Mage</v>
          </cell>
          <cell r="C57" t="str">
            <v>Tribute Mage</v>
          </cell>
        </row>
        <row r="58">
          <cell r="B58" t="str">
            <v>Trophy Mage</v>
          </cell>
          <cell r="C58" t="str">
            <v>Trophy Mage</v>
          </cell>
        </row>
        <row r="59">
          <cell r="B59" t="str">
            <v>Sidisi's Faithful</v>
          </cell>
          <cell r="C59" t="str">
            <v>Sidisi's Faithful</v>
          </cell>
        </row>
        <row r="60">
          <cell r="B60" t="str">
            <v>Basalt Ravager</v>
          </cell>
          <cell r="C60" t="str">
            <v>Basalt Ravager</v>
          </cell>
        </row>
        <row r="61">
          <cell r="B61" t="str">
            <v>Winter Eladrin</v>
          </cell>
          <cell r="C61" t="str">
            <v>Winter Eladrin</v>
          </cell>
        </row>
        <row r="62">
          <cell r="B62" t="str">
            <v>Aether Channeler</v>
          </cell>
          <cell r="C62" t="str">
            <v>Aether Channeler</v>
          </cell>
        </row>
        <row r="63">
          <cell r="B63" t="str">
            <v>Galecaster Colossus</v>
          </cell>
          <cell r="C63" t="str">
            <v>Galecaster Colossus</v>
          </cell>
        </row>
        <row r="64">
          <cell r="B64" t="str">
            <v>Exclusion Mage</v>
          </cell>
          <cell r="C64" t="str">
            <v>Disruptor of Currents</v>
          </cell>
        </row>
        <row r="65">
          <cell r="B65" t="str">
            <v>Barrin, Tolarian Archmage</v>
          </cell>
          <cell r="C65" t="str">
            <v>Barrin, Tolarian Archmage</v>
          </cell>
        </row>
        <row r="66">
          <cell r="B66" t="str">
            <v>Aether Adept</v>
          </cell>
          <cell r="C66" t="str">
            <v>Rimekin Recluse</v>
          </cell>
        </row>
        <row r="67">
          <cell r="B67" t="str">
            <v>Venser, Shaper Savant</v>
          </cell>
          <cell r="C67" t="str">
            <v>Venser, Shaper Savant</v>
          </cell>
        </row>
        <row r="68">
          <cell r="B68" t="str">
            <v>Sparkmage Apprentice</v>
          </cell>
          <cell r="C68" t="str">
            <v>Sparkmage Apprentice</v>
          </cell>
        </row>
        <row r="69">
          <cell r="B69" t="str">
            <v>Ruthless Technomancer</v>
          </cell>
          <cell r="C69" t="str">
            <v>Ruthless Technomancer</v>
          </cell>
        </row>
        <row r="70">
          <cell r="B70" t="str">
            <v>Teferi, Mage of Zhalfir</v>
          </cell>
          <cell r="C70" t="str">
            <v>Teferi, Mage of Zhalfir</v>
          </cell>
        </row>
        <row r="71">
          <cell r="B71" t="str">
            <v>Naban, Dean of Iteration</v>
          </cell>
          <cell r="C71" t="str">
            <v>Naban, Dean of Iteration</v>
          </cell>
        </row>
        <row r="72">
          <cell r="B72" t="str">
            <v>Harmonic Prodigy</v>
          </cell>
          <cell r="C72" t="str">
            <v>Harmonic Prodigy</v>
          </cell>
        </row>
        <row r="73">
          <cell r="B73" t="str">
            <v>Bloodline Necromancer</v>
          </cell>
          <cell r="C73" t="str">
            <v>Bloodline Necromancer</v>
          </cell>
        </row>
        <row r="74">
          <cell r="B74" t="str">
            <v>Archaeomancer</v>
          </cell>
          <cell r="C74" t="str">
            <v>Archaeomancer</v>
          </cell>
        </row>
        <row r="75">
          <cell r="B75" t="str">
            <v>Master of Death</v>
          </cell>
          <cell r="C75" t="str">
            <v>Mistbind Clique</v>
          </cell>
        </row>
        <row r="76">
          <cell r="B76" t="str">
            <v>Dualcaster Mage</v>
          </cell>
          <cell r="C76" t="str">
            <v>Dualcaster Mage</v>
          </cell>
        </row>
        <row r="77">
          <cell r="B77" t="str">
            <v>Quasiduplicate</v>
          </cell>
          <cell r="C77" t="str">
            <v>Warren Soultrader</v>
          </cell>
        </row>
        <row r="78">
          <cell r="B78" t="str">
            <v>Changeling Berserker</v>
          </cell>
          <cell r="C78" t="str">
            <v>Changeling Berserker</v>
          </cell>
        </row>
        <row r="79">
          <cell r="B79" t="str">
            <v>Specimen Collector</v>
          </cell>
          <cell r="C79" t="str">
            <v>Specimen Collector</v>
          </cell>
        </row>
        <row r="80">
          <cell r="B80" t="str">
            <v>Wanderwine Prophets</v>
          </cell>
          <cell r="C80" t="str">
            <v>Wanderwine Prophets</v>
          </cell>
        </row>
        <row r="81">
          <cell r="B81" t="str">
            <v>Drown in the Loch</v>
          </cell>
          <cell r="C81" t="str">
            <v>Burnt Offering</v>
          </cell>
        </row>
        <row r="82">
          <cell r="B82" t="str">
            <v>Oversold Cemetery</v>
          </cell>
          <cell r="C82" t="str">
            <v>Molten Echoes</v>
          </cell>
        </row>
        <row r="83">
          <cell r="B83" t="str">
            <v>Impact Tremors</v>
          </cell>
          <cell r="C83" t="str">
            <v>Impact Tremors</v>
          </cell>
        </row>
        <row r="84">
          <cell r="B84" t="str">
            <v>Phyrexian Altar</v>
          </cell>
          <cell r="C84" t="str">
            <v>Phyrexian Altar</v>
          </cell>
        </row>
        <row r="85">
          <cell r="B85" t="str">
            <v>Ashnod's Altar</v>
          </cell>
          <cell r="C85" t="str">
            <v>Ashnod's Altar</v>
          </cell>
        </row>
        <row r="86">
          <cell r="B86" t="str">
            <v>Cackling Counterpart</v>
          </cell>
          <cell r="C86" t="str">
            <v>Cackling Counterpart</v>
          </cell>
        </row>
        <row r="87">
          <cell r="B87" t="str">
            <v>Persist</v>
          </cell>
          <cell r="C87" t="str">
            <v>Persist</v>
          </cell>
        </row>
        <row r="88">
          <cell r="B88" t="str">
            <v>Ghostly Flicker</v>
          </cell>
          <cell r="C88" t="str">
            <v>Ghostly Flicker</v>
          </cell>
        </row>
        <row r="89">
          <cell r="B89" t="str">
            <v>Living Death</v>
          </cell>
          <cell r="C89" t="str">
            <v>Living Death</v>
          </cell>
        </row>
        <row r="90">
          <cell r="B90" t="str">
            <v>Whirlwind Denial</v>
          </cell>
          <cell r="C90" t="str">
            <v>Whirlwind Denial</v>
          </cell>
        </row>
        <row r="91">
          <cell r="B91" t="str">
            <v>Counterspell</v>
          </cell>
          <cell r="C91" t="str">
            <v>Counterspell</v>
          </cell>
        </row>
        <row r="92">
          <cell r="B92" t="str">
            <v>An Offer You Can't Refuse</v>
          </cell>
          <cell r="C92" t="str">
            <v>An Offer You Can't Refuse</v>
          </cell>
        </row>
        <row r="93">
          <cell r="B93" t="str">
            <v>Countersquall</v>
          </cell>
          <cell r="C93" t="str">
            <v>Countersquall</v>
          </cell>
        </row>
        <row r="94">
          <cell r="B94" t="str">
            <v>Rakdos Charm</v>
          </cell>
          <cell r="C94" t="str">
            <v>Rakdos Charm</v>
          </cell>
        </row>
        <row r="95">
          <cell r="B95" t="str">
            <v>Moonlit Meditation</v>
          </cell>
          <cell r="C95" t="str">
            <v>Moonlit Meditation</v>
          </cell>
        </row>
        <row r="96">
          <cell r="B96" t="str">
            <v>Mana Echoes</v>
          </cell>
          <cell r="C96" t="str">
            <v>Mana Echoes</v>
          </cell>
        </row>
        <row r="97">
          <cell r="B97" t="str">
            <v>Kindred Discovery</v>
          </cell>
          <cell r="C97" t="str">
            <v>Kindred Discovery</v>
          </cell>
        </row>
        <row r="98">
          <cell r="B98" t="str">
            <v>Panharmonicon</v>
          </cell>
          <cell r="C98" t="str">
            <v>Panharmonicon</v>
          </cell>
        </row>
        <row r="99">
          <cell r="B99" t="str">
            <v>Cryptic Gateway</v>
          </cell>
          <cell r="C99" t="str">
            <v>Cryptic Gateway</v>
          </cell>
        </row>
        <row r="100">
          <cell r="B100" t="str">
            <v>Crystal Shard</v>
          </cell>
          <cell r="C100" t="str">
            <v>Crystal Shard</v>
          </cell>
        </row>
        <row r="101">
          <cell r="B101" t="str">
            <v>Industrial Advancement</v>
          </cell>
          <cell r="C101" t="str">
            <v>Industrial Advancement</v>
          </cell>
        </row>
        <row r="102">
          <cell r="B102" t="str">
            <v>Patriarch's Bidding</v>
          </cell>
          <cell r="C102" t="str">
            <v>Tarrian's Journal</v>
          </cell>
        </row>
      </sheetData>
      <sheetData sheetId="5">
        <row r="2">
          <cell r="G2">
            <v>14</v>
          </cell>
        </row>
        <row r="3">
          <cell r="B3" t="str">
            <v>Akiri, Fearless Voyager</v>
          </cell>
          <cell r="C3" t="str">
            <v>Akiri, Fearless Voyager</v>
          </cell>
        </row>
        <row r="4">
          <cell r="B4" t="str">
            <v>Kazuul's Fury</v>
          </cell>
          <cell r="C4" t="str">
            <v>Kazuul's Fury</v>
          </cell>
        </row>
        <row r="5">
          <cell r="B5" t="str">
            <v>Rogue's Passage</v>
          </cell>
          <cell r="C5" t="str">
            <v>Rogue's Passage</v>
          </cell>
        </row>
        <row r="6">
          <cell r="B6" t="str">
            <v>Buried Ruin</v>
          </cell>
          <cell r="C6" t="str">
            <v>Buried Ruin</v>
          </cell>
        </row>
        <row r="7">
          <cell r="B7" t="str">
            <v>Axgard Armory</v>
          </cell>
          <cell r="C7" t="str">
            <v>Axgard Armory</v>
          </cell>
        </row>
        <row r="8">
          <cell r="B8" t="str">
            <v>Battlefield Forge</v>
          </cell>
          <cell r="C8" t="str">
            <v>Battlefield Forge</v>
          </cell>
        </row>
        <row r="9">
          <cell r="B9" t="str">
            <v>Exotic Orchard</v>
          </cell>
          <cell r="C9" t="str">
            <v>Exotic Orchard</v>
          </cell>
        </row>
        <row r="10">
          <cell r="B10" t="str">
            <v>Command Tower</v>
          </cell>
          <cell r="C10" t="str">
            <v>Command Tower</v>
          </cell>
        </row>
        <row r="11">
          <cell r="B11" t="str">
            <v>Reliquary Tower</v>
          </cell>
          <cell r="C11" t="str">
            <v>Reliquary Tower</v>
          </cell>
        </row>
        <row r="12">
          <cell r="B12" t="str">
            <v>Myriad Landscape</v>
          </cell>
          <cell r="C12" t="str">
            <v>Myriad Landscape</v>
          </cell>
        </row>
        <row r="13">
          <cell r="B13" t="str">
            <v>Plains</v>
          </cell>
          <cell r="C13" t="str">
            <v>Plains</v>
          </cell>
        </row>
        <row r="14">
          <cell r="B14" t="str">
            <v>Plains</v>
          </cell>
          <cell r="C14" t="str">
            <v>Plains</v>
          </cell>
        </row>
        <row r="15">
          <cell r="B15" t="str">
            <v>Plains</v>
          </cell>
          <cell r="C15" t="str">
            <v>Plains</v>
          </cell>
        </row>
        <row r="16">
          <cell r="B16" t="str">
            <v>Plains</v>
          </cell>
          <cell r="C16" t="str">
            <v>Plains</v>
          </cell>
        </row>
        <row r="17">
          <cell r="B17" t="str">
            <v>Plains</v>
          </cell>
          <cell r="C17" t="str">
            <v>Plains</v>
          </cell>
        </row>
        <row r="18">
          <cell r="B18" t="str">
            <v>Plains</v>
          </cell>
          <cell r="C18" t="str">
            <v>Plains</v>
          </cell>
        </row>
        <row r="19">
          <cell r="B19" t="str">
            <v>Plains</v>
          </cell>
          <cell r="C19" t="str">
            <v>Plains</v>
          </cell>
        </row>
        <row r="20">
          <cell r="B20" t="str">
            <v>Plains</v>
          </cell>
          <cell r="C20" t="str">
            <v>Plains</v>
          </cell>
        </row>
        <row r="21">
          <cell r="B21" t="str">
            <v>Plains</v>
          </cell>
          <cell r="C21" t="str">
            <v>Plains</v>
          </cell>
        </row>
        <row r="22">
          <cell r="B22" t="str">
            <v>Plains</v>
          </cell>
          <cell r="C22" t="str">
            <v>Plains</v>
          </cell>
        </row>
        <row r="23">
          <cell r="B23" t="str">
            <v>Plains</v>
          </cell>
          <cell r="C23" t="str">
            <v>Plains</v>
          </cell>
        </row>
        <row r="24">
          <cell r="B24" t="str">
            <v>Plains</v>
          </cell>
          <cell r="C24" t="str">
            <v>Plains</v>
          </cell>
        </row>
        <row r="25">
          <cell r="B25" t="str">
            <v>Plains</v>
          </cell>
          <cell r="C25" t="str">
            <v>Plains</v>
          </cell>
        </row>
        <row r="26">
          <cell r="B26" t="str">
            <v>Plains</v>
          </cell>
          <cell r="C26" t="str">
            <v>Plains</v>
          </cell>
        </row>
        <row r="27">
          <cell r="B27" t="str">
            <v>Mountain</v>
          </cell>
          <cell r="C27" t="str">
            <v>Mountain</v>
          </cell>
        </row>
        <row r="28">
          <cell r="B28" t="str">
            <v>Mountain</v>
          </cell>
          <cell r="C28" t="str">
            <v>Mountain</v>
          </cell>
        </row>
        <row r="29">
          <cell r="B29" t="str">
            <v>Mountain</v>
          </cell>
          <cell r="C29" t="str">
            <v>Mountain</v>
          </cell>
        </row>
        <row r="30">
          <cell r="B30" t="str">
            <v>Mountain</v>
          </cell>
          <cell r="C30" t="str">
            <v>Mountain</v>
          </cell>
        </row>
        <row r="31">
          <cell r="B31" t="str">
            <v>Mountain</v>
          </cell>
          <cell r="C31" t="str">
            <v>Mountain</v>
          </cell>
        </row>
        <row r="32">
          <cell r="B32" t="str">
            <v>Mountain</v>
          </cell>
          <cell r="C32" t="str">
            <v>Mountain</v>
          </cell>
        </row>
        <row r="33">
          <cell r="B33" t="str">
            <v>Mountain</v>
          </cell>
          <cell r="C33" t="str">
            <v>Mountain</v>
          </cell>
        </row>
        <row r="34">
          <cell r="B34" t="str">
            <v>Mountain</v>
          </cell>
          <cell r="C34" t="str">
            <v>Mountain</v>
          </cell>
        </row>
        <row r="35">
          <cell r="B35" t="str">
            <v>Mountain</v>
          </cell>
          <cell r="C35" t="str">
            <v>Mountain</v>
          </cell>
        </row>
        <row r="36">
          <cell r="B36" t="str">
            <v>Mountain</v>
          </cell>
          <cell r="C36" t="str">
            <v>Mountain</v>
          </cell>
        </row>
        <row r="37">
          <cell r="B37" t="str">
            <v>Mountain</v>
          </cell>
          <cell r="C37" t="str">
            <v>Mountain</v>
          </cell>
        </row>
        <row r="38">
          <cell r="B38" t="str">
            <v>Bruenor Battlehammer</v>
          </cell>
          <cell r="C38" t="str">
            <v>Bruenor Battlehammer</v>
          </cell>
        </row>
        <row r="39">
          <cell r="B39" t="str">
            <v>Forge Anew</v>
          </cell>
          <cell r="C39" t="str">
            <v>Forge Anew</v>
          </cell>
        </row>
        <row r="40">
          <cell r="B40" t="str">
            <v>Zirda, the Dawnwaker</v>
          </cell>
          <cell r="C40" t="str">
            <v>Zirda, the Dawnwaker</v>
          </cell>
        </row>
        <row r="41">
          <cell r="B41" t="str">
            <v>Danitha Capashen, Paragon</v>
          </cell>
          <cell r="C41" t="str">
            <v>Cid, Freeflier Pilot</v>
          </cell>
        </row>
        <row r="42">
          <cell r="B42" t="str">
            <v>Bureau Headmaster</v>
          </cell>
          <cell r="C42" t="str">
            <v>Bureau Headmaster</v>
          </cell>
        </row>
        <row r="43">
          <cell r="B43" t="str">
            <v>Bladehold War-Whip</v>
          </cell>
          <cell r="C43" t="str">
            <v>Bladehold War-Whip</v>
          </cell>
        </row>
        <row r="44">
          <cell r="B44" t="str">
            <v>Puresteel Paladin</v>
          </cell>
          <cell r="C44" t="str">
            <v>Puresteel Paladin</v>
          </cell>
        </row>
        <row r="45">
          <cell r="B45" t="str">
            <v>Ardenn, Intrepid Archaeologist</v>
          </cell>
          <cell r="C45" t="str">
            <v>Ardenn, Intrepid Archaeologist</v>
          </cell>
        </row>
        <row r="46">
          <cell r="B46" t="str">
            <v>Astor, Bearer of Blades</v>
          </cell>
          <cell r="C46" t="str">
            <v>Astor, Bearer of Blades</v>
          </cell>
        </row>
        <row r="47">
          <cell r="B47" t="str">
            <v>Brass Squire</v>
          </cell>
          <cell r="C47" t="str">
            <v>Brass Squire</v>
          </cell>
        </row>
        <row r="48">
          <cell r="B48" t="str">
            <v>Auriok Steelshaper</v>
          </cell>
          <cell r="C48" t="str">
            <v>Auriok Steelshaper</v>
          </cell>
        </row>
        <row r="49">
          <cell r="B49" t="str">
            <v>Digsite Engineer</v>
          </cell>
          <cell r="C49" t="str">
            <v>Stoneforge Mystic</v>
          </cell>
        </row>
        <row r="50">
          <cell r="B50" t="str">
            <v>Open the Armory</v>
          </cell>
          <cell r="C50" t="str">
            <v>Open the Armory</v>
          </cell>
        </row>
        <row r="51">
          <cell r="B51" t="str">
            <v>Armored Skyhunter</v>
          </cell>
          <cell r="C51" t="str">
            <v>Armored Skyhunter</v>
          </cell>
        </row>
        <row r="52">
          <cell r="B52" t="str">
            <v>Shifting Shadow</v>
          </cell>
          <cell r="C52" t="str">
            <v>Cloud, Midgar Mercenary</v>
          </cell>
        </row>
        <row r="53">
          <cell r="B53" t="str">
            <v>Fighter Class</v>
          </cell>
          <cell r="C53" t="str">
            <v>Fighter Class</v>
          </cell>
        </row>
        <row r="54">
          <cell r="B54" t="str">
            <v>Fell the Mighty</v>
          </cell>
          <cell r="C54" t="str">
            <v>Firebender Ascension</v>
          </cell>
        </row>
        <row r="55">
          <cell r="B55" t="str">
            <v>Forging the Tyrite Sword</v>
          </cell>
          <cell r="C55" t="str">
            <v>Forging the Tyrite Sword</v>
          </cell>
        </row>
        <row r="56">
          <cell r="B56" t="str">
            <v>Rebbec, Architect of Ascension</v>
          </cell>
          <cell r="C56" t="str">
            <v>Kellan, the Fae-Blooded // Birthright Boon</v>
          </cell>
        </row>
        <row r="57">
          <cell r="B57" t="str">
            <v>Sram, Senior Edificer</v>
          </cell>
          <cell r="C57" t="str">
            <v>Sram, Senior Edificer</v>
          </cell>
        </row>
        <row r="58">
          <cell r="B58" t="str">
            <v>Leonin Shikari</v>
          </cell>
          <cell r="C58" t="str">
            <v>Leonin Shikari</v>
          </cell>
        </row>
        <row r="59">
          <cell r="B59" t="str">
            <v>Firion, Wild Rose Warrior</v>
          </cell>
          <cell r="C59" t="str">
            <v>Firion, Wild Rose Warrior</v>
          </cell>
        </row>
        <row r="60">
          <cell r="B60" t="str">
            <v>Boros Charm</v>
          </cell>
          <cell r="C60" t="str">
            <v>Boros Charm</v>
          </cell>
        </row>
        <row r="61">
          <cell r="B61" t="str">
            <v>Lightning Spear</v>
          </cell>
          <cell r="C61" t="str">
            <v>Inventory Management</v>
          </cell>
        </row>
        <row r="62">
          <cell r="B62" t="str">
            <v>Path to Exile</v>
          </cell>
          <cell r="C62" t="str">
            <v>Path to Exile</v>
          </cell>
        </row>
        <row r="63">
          <cell r="B63" t="str">
            <v>Lion Sash</v>
          </cell>
          <cell r="C63" t="str">
            <v>Lion Sash</v>
          </cell>
        </row>
        <row r="64">
          <cell r="B64" t="str">
            <v>Citizen's Crowbar</v>
          </cell>
          <cell r="C64" t="str">
            <v>Citizen's Crowbar</v>
          </cell>
        </row>
        <row r="65">
          <cell r="B65" t="str">
            <v>Dispatch</v>
          </cell>
          <cell r="C65" t="str">
            <v>Dispatch</v>
          </cell>
        </row>
        <row r="66">
          <cell r="B66" t="str">
            <v>Fumigate</v>
          </cell>
          <cell r="C66" t="str">
            <v>Fumigate</v>
          </cell>
        </row>
        <row r="67">
          <cell r="B67" t="str">
            <v>Wrath of God</v>
          </cell>
          <cell r="C67" t="str">
            <v>Wrath of God</v>
          </cell>
        </row>
        <row r="68">
          <cell r="B68" t="str">
            <v>Arcbond</v>
          </cell>
          <cell r="C68" t="str">
            <v>Arcbond</v>
          </cell>
        </row>
        <row r="69">
          <cell r="B69" t="str">
            <v>Vanquish the Horde</v>
          </cell>
          <cell r="C69" t="str">
            <v>Vanquish the Horde</v>
          </cell>
        </row>
        <row r="70">
          <cell r="B70" t="str">
            <v>Blasphemous Act</v>
          </cell>
          <cell r="C70" t="str">
            <v>Blasphemous Act</v>
          </cell>
        </row>
        <row r="71">
          <cell r="B71" t="str">
            <v>Shatter the Sky</v>
          </cell>
          <cell r="C71" t="str">
            <v>Shatter the Sky</v>
          </cell>
        </row>
        <row r="72">
          <cell r="B72" t="str">
            <v>Day of Judgment</v>
          </cell>
          <cell r="C72" t="str">
            <v>Day of Judgment</v>
          </cell>
        </row>
        <row r="73">
          <cell r="B73" t="str">
            <v>Kusari-Gama</v>
          </cell>
          <cell r="C73" t="str">
            <v>Final Showdown</v>
          </cell>
        </row>
        <row r="74">
          <cell r="B74" t="str">
            <v>Chain Reaction</v>
          </cell>
          <cell r="C74" t="str">
            <v>Chain Reaction</v>
          </cell>
        </row>
        <row r="75">
          <cell r="B75" t="str">
            <v>Barbed Spike</v>
          </cell>
          <cell r="C75" t="str">
            <v>Sword of Truth and Justice</v>
          </cell>
        </row>
        <row r="76">
          <cell r="B76" t="str">
            <v>Sword of Once and Future</v>
          </cell>
          <cell r="C76" t="str">
            <v>Sword of Once and Future</v>
          </cell>
        </row>
        <row r="77">
          <cell r="B77" t="str">
            <v>Glimmer Lens</v>
          </cell>
          <cell r="C77" t="str">
            <v>Sword of Light and Shadow</v>
          </cell>
        </row>
        <row r="78">
          <cell r="B78" t="str">
            <v>Mask of Memory</v>
          </cell>
          <cell r="C78" t="str">
            <v>Sword of Fire and Ice</v>
          </cell>
        </row>
        <row r="79">
          <cell r="B79" t="str">
            <v>Infiltration Lens</v>
          </cell>
          <cell r="C79" t="str">
            <v>Sword of Feast and Famine</v>
          </cell>
        </row>
        <row r="80">
          <cell r="B80" t="str">
            <v>Sword of Forge and Frontier</v>
          </cell>
          <cell r="C80" t="str">
            <v>Sword of Forge and Frontier</v>
          </cell>
        </row>
        <row r="81">
          <cell r="B81" t="str">
            <v>Sword of Hearth and Home</v>
          </cell>
          <cell r="C81" t="str">
            <v>Sword of Hearth and Home</v>
          </cell>
        </row>
        <row r="82">
          <cell r="B82" t="str">
            <v>Sword of War and Peace</v>
          </cell>
          <cell r="C82" t="str">
            <v>Sword of War and Peace</v>
          </cell>
        </row>
        <row r="83">
          <cell r="B83" t="str">
            <v>Sword of Body and Mind</v>
          </cell>
          <cell r="C83" t="str">
            <v>Sword of Body and Mind</v>
          </cell>
        </row>
        <row r="84">
          <cell r="B84" t="str">
            <v>Sword of Sinew and Steel</v>
          </cell>
          <cell r="C84" t="str">
            <v>Sword of Sinew and Steel</v>
          </cell>
        </row>
        <row r="85">
          <cell r="B85" t="str">
            <v>Goblin Morningstar</v>
          </cell>
          <cell r="C85" t="str">
            <v>Sword of Wealth and Power</v>
          </cell>
        </row>
        <row r="86">
          <cell r="B86" t="str">
            <v>Loxodon Warhammer</v>
          </cell>
          <cell r="C86" t="str">
            <v>Loxodon Warhammer</v>
          </cell>
        </row>
        <row r="87">
          <cell r="B87" t="str">
            <v>Lizard Blades</v>
          </cell>
          <cell r="C87" t="str">
            <v>Lizard Blades</v>
          </cell>
        </row>
        <row r="88">
          <cell r="B88" t="str">
            <v>Tenza, Godo's Maul</v>
          </cell>
          <cell r="C88" t="str">
            <v>Tenza, Godo's Maul</v>
          </cell>
        </row>
        <row r="89">
          <cell r="B89" t="str">
            <v>Captain's Claws</v>
          </cell>
          <cell r="C89" t="str">
            <v>Captain's Claws</v>
          </cell>
        </row>
        <row r="90">
          <cell r="B90" t="str">
            <v>Leather Armor</v>
          </cell>
          <cell r="C90" t="str">
            <v>Leather Armor</v>
          </cell>
        </row>
        <row r="91">
          <cell r="B91" t="str">
            <v>Whispersilk Cloak</v>
          </cell>
          <cell r="C91" t="str">
            <v>Whispersilk Cloak</v>
          </cell>
        </row>
        <row r="92">
          <cell r="B92" t="str">
            <v>Swiftfoot Boots</v>
          </cell>
          <cell r="C92" t="str">
            <v>Swiftfoot Boots</v>
          </cell>
        </row>
        <row r="93">
          <cell r="B93" t="str">
            <v>Plate Armor</v>
          </cell>
          <cell r="C93" t="str">
            <v>Lavaspur Boots</v>
          </cell>
        </row>
        <row r="94">
          <cell r="B94" t="str">
            <v>Umezawa's Jitte</v>
          </cell>
          <cell r="C94" t="str">
            <v>Umezawa's Jitte</v>
          </cell>
        </row>
        <row r="95">
          <cell r="B95" t="str">
            <v>Horn of Valhalla // Ysgard's Call</v>
          </cell>
          <cell r="C95" t="str">
            <v>Lost Jitte</v>
          </cell>
        </row>
        <row r="96">
          <cell r="B96" t="str">
            <v>Beamtown Beatstick</v>
          </cell>
          <cell r="C96" t="str">
            <v>Beamtown Beatstick</v>
          </cell>
        </row>
        <row r="97">
          <cell r="B97" t="str">
            <v>Sword of the Animist</v>
          </cell>
          <cell r="C97" t="str">
            <v>Sword of the Animist</v>
          </cell>
        </row>
        <row r="98">
          <cell r="B98" t="str">
            <v>Dragonfire Blade</v>
          </cell>
          <cell r="C98" t="str">
            <v>Dragonfire Blade</v>
          </cell>
        </row>
        <row r="99">
          <cell r="B99" t="str">
            <v>Goldvein Pick</v>
          </cell>
          <cell r="C99" t="str">
            <v>Goldvein Pick</v>
          </cell>
        </row>
        <row r="100">
          <cell r="B100" t="str">
            <v>Basilisk Collar</v>
          </cell>
          <cell r="C100" t="str">
            <v>Basilisk Collar</v>
          </cell>
        </row>
        <row r="101">
          <cell r="B101" t="str">
            <v>Prying Blade</v>
          </cell>
          <cell r="C101" t="str">
            <v>Prying Blade</v>
          </cell>
        </row>
        <row r="102">
          <cell r="B102" t="str">
            <v>Explorer's Scope</v>
          </cell>
          <cell r="C102" t="str">
            <v>Explorer's Scope</v>
          </cell>
        </row>
      </sheetData>
      <sheetData sheetId="6">
        <row r="2">
          <cell r="G2">
            <v>27</v>
          </cell>
        </row>
        <row r="3">
          <cell r="B3" t="str">
            <v>Toph, the First Metalbender</v>
          </cell>
          <cell r="C3" t="str">
            <v>Toph, the First Metalbender</v>
          </cell>
        </row>
        <row r="4">
          <cell r="B4" t="str">
            <v>Ancient Den</v>
          </cell>
          <cell r="C4" t="str">
            <v>Ancient Den</v>
          </cell>
        </row>
        <row r="5">
          <cell r="B5" t="str">
            <v>Mountain</v>
          </cell>
          <cell r="C5" t="str">
            <v>Great Furnace</v>
          </cell>
        </row>
        <row r="6">
          <cell r="B6" t="str">
            <v>Forest</v>
          </cell>
          <cell r="C6" t="str">
            <v>Tree of Tales</v>
          </cell>
        </row>
        <row r="7">
          <cell r="B7" t="str">
            <v>Darksteel Citadel</v>
          </cell>
          <cell r="C7" t="str">
            <v>Darksteel Citadel</v>
          </cell>
        </row>
        <row r="8">
          <cell r="B8" t="str">
            <v>Thornglint Bridge</v>
          </cell>
          <cell r="C8" t="str">
            <v>Thornglint Bridge</v>
          </cell>
        </row>
        <row r="9">
          <cell r="B9" t="str">
            <v>Slagwoods Bridge</v>
          </cell>
          <cell r="C9" t="str">
            <v>Slagwoods Bridge</v>
          </cell>
        </row>
        <row r="10">
          <cell r="B10" t="str">
            <v>Rustvale Bridge</v>
          </cell>
          <cell r="C10" t="str">
            <v>Rustvale Bridge</v>
          </cell>
        </row>
        <row r="11">
          <cell r="B11" t="str">
            <v>Hidden Courtyard</v>
          </cell>
          <cell r="C11" t="str">
            <v>The Gold Saucer</v>
          </cell>
        </row>
        <row r="12">
          <cell r="B12" t="str">
            <v>Myriad Landscape</v>
          </cell>
          <cell r="C12" t="str">
            <v>Myriad Landscape</v>
          </cell>
        </row>
        <row r="13">
          <cell r="B13" t="str">
            <v>Rumble Arena</v>
          </cell>
          <cell r="C13" t="str">
            <v>Yavimaya, Cradle of Growth</v>
          </cell>
        </row>
        <row r="14">
          <cell r="B14" t="str">
            <v>Hidden Volcano</v>
          </cell>
          <cell r="C14" t="str">
            <v>Abandoned Air Temple</v>
          </cell>
        </row>
        <row r="15">
          <cell r="B15" t="str">
            <v>Hidden Nursery</v>
          </cell>
          <cell r="C15" t="str">
            <v>Ondu Inversion</v>
          </cell>
        </row>
        <row r="16">
          <cell r="B16" t="str">
            <v>Ba Sing Se</v>
          </cell>
          <cell r="C16" t="str">
            <v>Ba Sing Se</v>
          </cell>
        </row>
        <row r="17">
          <cell r="B17" t="str">
            <v>Phyrexia's Core</v>
          </cell>
          <cell r="C17" t="str">
            <v>Phyrexia's Core</v>
          </cell>
        </row>
        <row r="18">
          <cell r="B18" t="str">
            <v>High Market</v>
          </cell>
          <cell r="C18" t="str">
            <v>High Market</v>
          </cell>
        </row>
        <row r="19">
          <cell r="B19" t="str">
            <v>Monumental Henge</v>
          </cell>
          <cell r="C19" t="str">
            <v>Monumental Henge</v>
          </cell>
        </row>
        <row r="20">
          <cell r="B20" t="str">
            <v>Command Tower</v>
          </cell>
          <cell r="C20" t="str">
            <v>Command Tower</v>
          </cell>
        </row>
        <row r="21">
          <cell r="B21" t="str">
            <v>Exotic Orchard</v>
          </cell>
          <cell r="C21" t="str">
            <v>Exotic Orchard</v>
          </cell>
        </row>
        <row r="22">
          <cell r="B22" t="str">
            <v>Rogue's Passage</v>
          </cell>
          <cell r="C22" t="str">
            <v>Rogue's Passage</v>
          </cell>
        </row>
        <row r="23">
          <cell r="B23" t="str">
            <v>Terramorphic Expanse</v>
          </cell>
          <cell r="C23" t="str">
            <v>Karn's Bastion</v>
          </cell>
        </row>
        <row r="24">
          <cell r="B24" t="str">
            <v>Buried Ruin</v>
          </cell>
          <cell r="C24" t="str">
            <v>Buried Ruin</v>
          </cell>
        </row>
        <row r="25">
          <cell r="B25" t="str">
            <v>Power Depot</v>
          </cell>
          <cell r="C25" t="str">
            <v>Power Depot</v>
          </cell>
        </row>
        <row r="26">
          <cell r="B26" t="str">
            <v>Bretagard Stronghold</v>
          </cell>
          <cell r="C26" t="str">
            <v>Bretagard Stronghold</v>
          </cell>
        </row>
        <row r="27">
          <cell r="B27" t="str">
            <v>Kazuul's Fury</v>
          </cell>
          <cell r="C27" t="str">
            <v>Kazuul's Fury</v>
          </cell>
        </row>
        <row r="28">
          <cell r="B28" t="str">
            <v>Skarrg, the Rage Pits</v>
          </cell>
          <cell r="C28" t="str">
            <v>Deserted Temple</v>
          </cell>
        </row>
        <row r="29">
          <cell r="B29" t="str">
            <v>Evolving Wilds</v>
          </cell>
          <cell r="C29" t="str">
            <v>Fabled Passage</v>
          </cell>
        </row>
        <row r="30">
          <cell r="B30" t="str">
            <v>Plains</v>
          </cell>
          <cell r="C30" t="str">
            <v>Plains</v>
          </cell>
        </row>
        <row r="31">
          <cell r="B31" t="str">
            <v>Plains</v>
          </cell>
          <cell r="C31" t="str">
            <v>Plains</v>
          </cell>
        </row>
        <row r="32">
          <cell r="B32" t="str">
            <v>Plains</v>
          </cell>
          <cell r="C32" t="str">
            <v>Plains</v>
          </cell>
        </row>
        <row r="33">
          <cell r="B33" t="str">
            <v>Plains</v>
          </cell>
          <cell r="C33" t="str">
            <v>Plains</v>
          </cell>
        </row>
        <row r="34">
          <cell r="B34" t="str">
            <v>Mountain</v>
          </cell>
          <cell r="C34" t="str">
            <v>Mountain</v>
          </cell>
        </row>
        <row r="35">
          <cell r="B35" t="str">
            <v>Mountain</v>
          </cell>
          <cell r="C35" t="str">
            <v>Mountain</v>
          </cell>
        </row>
        <row r="36">
          <cell r="B36" t="str">
            <v>Mountain</v>
          </cell>
          <cell r="C36" t="str">
            <v>Mountain</v>
          </cell>
        </row>
        <row r="37">
          <cell r="B37" t="str">
            <v>Forest</v>
          </cell>
          <cell r="C37" t="str">
            <v>Forest</v>
          </cell>
        </row>
        <row r="38">
          <cell r="B38" t="str">
            <v>Forest</v>
          </cell>
          <cell r="C38" t="str">
            <v>Forest</v>
          </cell>
        </row>
        <row r="39">
          <cell r="B39" t="str">
            <v>Harrow</v>
          </cell>
          <cell r="C39" t="str">
            <v>Sol Ring</v>
          </cell>
        </row>
        <row r="40">
          <cell r="B40" t="str">
            <v>Arcane Signet</v>
          </cell>
          <cell r="C40" t="str">
            <v>Arcane Signet</v>
          </cell>
        </row>
        <row r="41">
          <cell r="B41" t="str">
            <v>Boros Signet</v>
          </cell>
          <cell r="C41" t="str">
            <v>Boros Signet</v>
          </cell>
        </row>
        <row r="42">
          <cell r="B42" t="str">
            <v>Selesnya Signet</v>
          </cell>
          <cell r="C42" t="str">
            <v>Selesnya Signet</v>
          </cell>
        </row>
        <row r="43">
          <cell r="B43" t="str">
            <v>Gruul Signet</v>
          </cell>
          <cell r="C43" t="str">
            <v>Gruul Signet</v>
          </cell>
        </row>
        <row r="44">
          <cell r="B44" t="str">
            <v>Roilling Regrowth</v>
          </cell>
          <cell r="C44" t="str">
            <v>Liquimetal Torque</v>
          </cell>
        </row>
        <row r="45">
          <cell r="B45" t="str">
            <v>Earthbender Ascension</v>
          </cell>
          <cell r="C45" t="str">
            <v>Earthbender Ascension</v>
          </cell>
        </row>
        <row r="46">
          <cell r="B46" t="str">
            <v>The Earth King</v>
          </cell>
          <cell r="C46" t="str">
            <v>The Earth King</v>
          </cell>
        </row>
        <row r="47">
          <cell r="B47" t="str">
            <v>Trading Post</v>
          </cell>
          <cell r="C47" t="str">
            <v>Trading Post</v>
          </cell>
        </row>
        <row r="48">
          <cell r="B48" t="str">
            <v>Terrasymbiosis</v>
          </cell>
          <cell r="C48" t="str">
            <v>Terrasymbiosis</v>
          </cell>
        </row>
        <row r="49">
          <cell r="B49" t="str">
            <v>Marketback Walker</v>
          </cell>
          <cell r="C49" t="str">
            <v>Marketback Walker</v>
          </cell>
        </row>
        <row r="50">
          <cell r="B50" t="str">
            <v>Arcane Spyglass</v>
          </cell>
          <cell r="C50" t="str">
            <v>Arcane Spyglass</v>
          </cell>
        </row>
        <row r="51">
          <cell r="B51" t="str">
            <v>Evendo Brushrazer</v>
          </cell>
          <cell r="C51" t="str">
            <v>Evendo Brushrazer</v>
          </cell>
        </row>
        <row r="52">
          <cell r="B52" t="str">
            <v>Solemn Simulacrun</v>
          </cell>
          <cell r="C52" t="str">
            <v>Thopter Shop</v>
          </cell>
        </row>
        <row r="53">
          <cell r="B53" t="str">
            <v>Aranã, Heart of the Spider</v>
          </cell>
          <cell r="C53" t="str">
            <v>Aranã, Heart of the Spider</v>
          </cell>
        </row>
        <row r="54">
          <cell r="B54" t="str">
            <v>Long-Range Sensor</v>
          </cell>
          <cell r="C54" t="str">
            <v>Long-Range Sensor</v>
          </cell>
        </row>
        <row r="55">
          <cell r="B55" t="str">
            <v>Slagdrill Scrapper</v>
          </cell>
          <cell r="C55" t="str">
            <v>The Great Henge</v>
          </cell>
        </row>
        <row r="56">
          <cell r="B56" t="str">
            <v>Mindless Automaton</v>
          </cell>
          <cell r="C56" t="str">
            <v>Mindless Automaton</v>
          </cell>
        </row>
        <row r="57">
          <cell r="B57" t="str">
            <v>Tannuk, Memorial Ensign</v>
          </cell>
          <cell r="C57" t="str">
            <v>Tannuk, Memorial Ensign</v>
          </cell>
        </row>
        <row r="58">
          <cell r="B58" t="str">
            <v>Bitter Work</v>
          </cell>
          <cell r="C58" t="str">
            <v>Bitter Work</v>
          </cell>
        </row>
        <row r="59">
          <cell r="B59" t="str">
            <v>Survey Mechan</v>
          </cell>
          <cell r="C59" t="str">
            <v>Survey Mechan</v>
          </cell>
        </row>
        <row r="60">
          <cell r="B60" t="str">
            <v>Dispatch</v>
          </cell>
          <cell r="C60" t="str">
            <v>Dispatch</v>
          </cell>
        </row>
        <row r="61">
          <cell r="B61" t="str">
            <v>Inspiring Call</v>
          </cell>
          <cell r="C61" t="str">
            <v>Haywire Mite</v>
          </cell>
        </row>
        <row r="62">
          <cell r="B62" t="str">
            <v>Voyager Staff</v>
          </cell>
          <cell r="C62" t="str">
            <v>Voyager Staff</v>
          </cell>
        </row>
        <row r="63">
          <cell r="B63" t="str">
            <v>Sacred Ground</v>
          </cell>
          <cell r="C63" t="str">
            <v>Terra Eternal</v>
          </cell>
        </row>
        <row r="64">
          <cell r="B64" t="str">
            <v>The Stasis Coffin</v>
          </cell>
          <cell r="C64" t="str">
            <v>The Stasis Coffin</v>
          </cell>
        </row>
        <row r="65">
          <cell r="B65" t="str">
            <v>Tomik, Distinguished Advokist</v>
          </cell>
          <cell r="C65" t="str">
            <v>Tomik, Distinguished Advokist</v>
          </cell>
        </row>
        <row r="66">
          <cell r="B66" t="str">
            <v>Duty Beyond Death</v>
          </cell>
          <cell r="C66" t="str">
            <v>Earthshape</v>
          </cell>
        </row>
        <row r="67">
          <cell r="B67" t="str">
            <v>Arcbound Overseer</v>
          </cell>
          <cell r="C67" t="str">
            <v>Arcbound Overseer</v>
          </cell>
        </row>
        <row r="68">
          <cell r="B68" t="str">
            <v>Arcbound Fiend</v>
          </cell>
          <cell r="C68" t="str">
            <v>Arcbound Fiend</v>
          </cell>
        </row>
        <row r="69">
          <cell r="B69" t="str">
            <v>Arcbound Ravager</v>
          </cell>
          <cell r="C69" t="str">
            <v>Arcbound Ravager</v>
          </cell>
        </row>
        <row r="70">
          <cell r="B70" t="str">
            <v>Arcbound Shikari</v>
          </cell>
          <cell r="C70" t="str">
            <v>Arcbound Shikari</v>
          </cell>
        </row>
        <row r="71">
          <cell r="B71" t="str">
            <v>Arcbound Crusher</v>
          </cell>
          <cell r="C71" t="str">
            <v>Arcbound Crusher</v>
          </cell>
        </row>
        <row r="72">
          <cell r="B72" t="str">
            <v>Arcbound Mouser</v>
          </cell>
          <cell r="C72" t="str">
            <v>Arcbound Mouser</v>
          </cell>
        </row>
        <row r="73">
          <cell r="B73" t="str">
            <v>Arcbound Javelineer</v>
          </cell>
          <cell r="C73" t="str">
            <v>Arcbound Javelineer</v>
          </cell>
        </row>
        <row r="74">
          <cell r="B74" t="str">
            <v>Arcbound Tracker</v>
          </cell>
          <cell r="C74" t="str">
            <v>Arcbound Tracker</v>
          </cell>
        </row>
        <row r="75">
          <cell r="B75" t="str">
            <v>Arcbound Reclaimer</v>
          </cell>
          <cell r="C75" t="str">
            <v>Arcbound Reclaimer</v>
          </cell>
        </row>
        <row r="76">
          <cell r="B76" t="str">
            <v>Arcbound Stinger</v>
          </cell>
          <cell r="C76" t="str">
            <v>Arcbound Stinger</v>
          </cell>
        </row>
        <row r="77">
          <cell r="B77" t="str">
            <v>Arcbound Whelp</v>
          </cell>
          <cell r="C77" t="str">
            <v>Arcbound Whelp</v>
          </cell>
        </row>
        <row r="78">
          <cell r="B78" t="str">
            <v>Scrapyard Recombiner</v>
          </cell>
          <cell r="C78" t="str">
            <v>Scrapyard Recombiner</v>
          </cell>
        </row>
        <row r="79">
          <cell r="B79" t="str">
            <v>Blaster, Combat DJ</v>
          </cell>
          <cell r="C79" t="str">
            <v>Blaster, Combat DJ</v>
          </cell>
        </row>
        <row r="80">
          <cell r="B80" t="str">
            <v>Zabaz, the Glimmerwasp</v>
          </cell>
          <cell r="C80" t="str">
            <v>Zabaz, the Glimmerwasp</v>
          </cell>
        </row>
        <row r="81">
          <cell r="B81" t="str">
            <v>Syr Ginger, the Meal Ender</v>
          </cell>
          <cell r="C81" t="str">
            <v>Gonti's Aether Heart</v>
          </cell>
        </row>
        <row r="82">
          <cell r="B82" t="str">
            <v>Walking Ballista</v>
          </cell>
          <cell r="C82" t="str">
            <v>Giggling Skitterspike</v>
          </cell>
        </row>
        <row r="83">
          <cell r="B83" t="str">
            <v>Iron Spider, Stark Upgrade</v>
          </cell>
          <cell r="C83" t="str">
            <v>Iron Spider, Stark Upgrade</v>
          </cell>
        </row>
        <row r="84">
          <cell r="B84" t="str">
            <v>Throne of Geth</v>
          </cell>
          <cell r="C84" t="str">
            <v>Throne of Geth</v>
          </cell>
        </row>
        <row r="85">
          <cell r="B85" t="str">
            <v>Costume Closet</v>
          </cell>
          <cell r="C85" t="str">
            <v>Costume Closet</v>
          </cell>
        </row>
        <row r="86">
          <cell r="B86" t="str">
            <v>Staged Fight</v>
          </cell>
          <cell r="C86" t="str">
            <v>Filigree Vector</v>
          </cell>
        </row>
        <row r="87">
          <cell r="B87" t="str">
            <v>Ozolith, the Shattered Spire</v>
          </cell>
          <cell r="C87" t="str">
            <v>Ozolith, the Shattered Spire</v>
          </cell>
        </row>
        <row r="88">
          <cell r="B88" t="str">
            <v>Steel Overseer</v>
          </cell>
          <cell r="C88" t="str">
            <v>Steel Overseer</v>
          </cell>
        </row>
        <row r="89">
          <cell r="B89" t="str">
            <v>Surge Conductor</v>
          </cell>
          <cell r="C89" t="str">
            <v>Surge Conductor</v>
          </cell>
        </row>
        <row r="90">
          <cell r="B90" t="str">
            <v>Patrolling Peacemaker</v>
          </cell>
          <cell r="C90" t="str">
            <v>Patrolling Peacemaker</v>
          </cell>
        </row>
        <row r="91">
          <cell r="B91" t="str">
            <v>The Ozolith</v>
          </cell>
          <cell r="C91" t="str">
            <v>The Ozolith</v>
          </cell>
        </row>
        <row r="92">
          <cell r="B92" t="str">
            <v>Toph, Hardheaded Teacher</v>
          </cell>
          <cell r="C92" t="str">
            <v>Toph, Hardheaded Teacher</v>
          </cell>
        </row>
        <row r="93">
          <cell r="B93" t="str">
            <v>Evolution Sage</v>
          </cell>
          <cell r="C93" t="str">
            <v>Evolution Sage</v>
          </cell>
        </row>
        <row r="94">
          <cell r="B94" t="str">
            <v>Earth Kingdom General</v>
          </cell>
          <cell r="C94" t="str">
            <v>Solid Ground</v>
          </cell>
        </row>
        <row r="95">
          <cell r="B95" t="str">
            <v>Ragost, Deft Gastronaut</v>
          </cell>
          <cell r="C95" t="str">
            <v>Ragost, Deft Gastronaut</v>
          </cell>
        </row>
        <row r="96">
          <cell r="B96" t="str">
            <v>Staff of Compleation</v>
          </cell>
          <cell r="C96" t="str">
            <v>Staff of Compleation</v>
          </cell>
        </row>
        <row r="97">
          <cell r="B97" t="str">
            <v>Scrap Welder</v>
          </cell>
          <cell r="C97" t="str">
            <v>Scrap Welder</v>
          </cell>
        </row>
        <row r="98">
          <cell r="B98" t="str">
            <v>Culling Dais</v>
          </cell>
          <cell r="C98" t="str">
            <v>Culling Dais</v>
          </cell>
        </row>
        <row r="99">
          <cell r="B99" t="str">
            <v>Strionic Resonator</v>
          </cell>
          <cell r="C99" t="str">
            <v>Strionic Resonator</v>
          </cell>
        </row>
        <row r="100">
          <cell r="B100" t="str">
            <v>Annie Joins Up</v>
          </cell>
          <cell r="C100" t="str">
            <v>Annie Joins Up</v>
          </cell>
        </row>
        <row r="101">
          <cell r="B101" t="str">
            <v>Peter Parker's Camera</v>
          </cell>
          <cell r="C101" t="str">
            <v>Peter Parker's Camera</v>
          </cell>
        </row>
        <row r="102">
          <cell r="B102" t="str">
            <v>The Jolly Baloon Man</v>
          </cell>
          <cell r="C102" t="str">
            <v>Lithoform Engine</v>
          </cell>
        </row>
      </sheetData>
      <sheetData sheetId="7">
        <row r="2">
          <cell r="G2">
            <v>7</v>
          </cell>
        </row>
        <row r="3">
          <cell r="B3" t="str">
            <v>Muzzio, Visionary Architect</v>
          </cell>
          <cell r="C3" t="str">
            <v>Muzzio, Visionary Architect</v>
          </cell>
        </row>
        <row r="4">
          <cell r="B4" t="str">
            <v>Darksteel Citadel</v>
          </cell>
          <cell r="C4" t="str">
            <v>Darksteel Citadel</v>
          </cell>
        </row>
        <row r="5">
          <cell r="B5" t="str">
            <v>Island</v>
          </cell>
          <cell r="C5" t="str">
            <v>Inventors' Fair</v>
          </cell>
        </row>
        <row r="6">
          <cell r="B6" t="str">
            <v>Mystic Sanctuary</v>
          </cell>
          <cell r="C6" t="str">
            <v>Mystic Sanctuary</v>
          </cell>
        </row>
        <row r="7">
          <cell r="B7" t="str">
            <v>Shrine of the Forsaken Gods</v>
          </cell>
          <cell r="C7" t="str">
            <v>Shrine of the Forsaken Gods</v>
          </cell>
        </row>
        <row r="8">
          <cell r="B8" t="str">
            <v>Foundry of the Consuls</v>
          </cell>
          <cell r="C8" t="str">
            <v>Foundry of the Consuls</v>
          </cell>
        </row>
        <row r="9">
          <cell r="B9" t="str">
            <v>Minamo, School at Water's Edge</v>
          </cell>
          <cell r="C9" t="str">
            <v>Minamo, School at Water's Edge</v>
          </cell>
        </row>
        <row r="10">
          <cell r="B10" t="str">
            <v>Seat of the Synod</v>
          </cell>
          <cell r="C10" t="str">
            <v>Seat of the Synod</v>
          </cell>
        </row>
        <row r="11">
          <cell r="B11" t="str">
            <v>Halimar Depths</v>
          </cell>
          <cell r="C11" t="str">
            <v>Halimar Depths</v>
          </cell>
        </row>
        <row r="12">
          <cell r="B12" t="str">
            <v>Mage-Ring Network</v>
          </cell>
          <cell r="C12" t="str">
            <v>Mage-Ring Network</v>
          </cell>
        </row>
        <row r="13">
          <cell r="B13" t="str">
            <v>Zhalfirin Void</v>
          </cell>
          <cell r="C13" t="str">
            <v>Zhalfirin Void</v>
          </cell>
        </row>
        <row r="14">
          <cell r="B14" t="str">
            <v>Academy Ruins</v>
          </cell>
          <cell r="C14" t="str">
            <v>Academy Ruins</v>
          </cell>
        </row>
        <row r="15">
          <cell r="B15" t="str">
            <v>Buried Ruin</v>
          </cell>
          <cell r="C15" t="str">
            <v>Buried Ruin</v>
          </cell>
        </row>
        <row r="16">
          <cell r="B16" t="str">
            <v>Mirrex</v>
          </cell>
          <cell r="C16" t="str">
            <v>Mirrex</v>
          </cell>
        </row>
        <row r="17">
          <cell r="B17" t="str">
            <v>Island</v>
          </cell>
          <cell r="C17" t="str">
            <v>The Mycosynth Gardens</v>
          </cell>
        </row>
        <row r="18">
          <cell r="B18" t="str">
            <v>Myriad Landscape</v>
          </cell>
          <cell r="C18" t="str">
            <v>Myriad Landscape</v>
          </cell>
        </row>
        <row r="19">
          <cell r="B19" t="str">
            <v>Archway of Innovation</v>
          </cell>
          <cell r="C19" t="str">
            <v>Archway of Innovation</v>
          </cell>
        </row>
        <row r="20">
          <cell r="B20" t="str">
            <v>Rumble Arena</v>
          </cell>
          <cell r="C20" t="str">
            <v>Rumble Arena</v>
          </cell>
        </row>
        <row r="21">
          <cell r="B21" t="str">
            <v>Island</v>
          </cell>
          <cell r="C21" t="str">
            <v>Island</v>
          </cell>
        </row>
        <row r="22">
          <cell r="B22" t="str">
            <v>Island</v>
          </cell>
          <cell r="C22" t="str">
            <v>Island</v>
          </cell>
        </row>
        <row r="23">
          <cell r="B23" t="str">
            <v>Island</v>
          </cell>
          <cell r="C23" t="str">
            <v>Island</v>
          </cell>
        </row>
        <row r="24">
          <cell r="B24" t="str">
            <v>Island</v>
          </cell>
          <cell r="C24" t="str">
            <v>Island</v>
          </cell>
        </row>
        <row r="25">
          <cell r="B25" t="str">
            <v>Island</v>
          </cell>
          <cell r="C25" t="str">
            <v>Island</v>
          </cell>
        </row>
        <row r="26">
          <cell r="B26" t="str">
            <v>Island</v>
          </cell>
          <cell r="C26" t="str">
            <v>Island</v>
          </cell>
        </row>
        <row r="27">
          <cell r="B27" t="str">
            <v>Island</v>
          </cell>
          <cell r="C27" t="str">
            <v>Island</v>
          </cell>
        </row>
        <row r="28">
          <cell r="B28" t="str">
            <v>Island</v>
          </cell>
          <cell r="C28" t="str">
            <v>Island</v>
          </cell>
        </row>
        <row r="29">
          <cell r="B29" t="str">
            <v>Island</v>
          </cell>
          <cell r="C29" t="str">
            <v>Island</v>
          </cell>
        </row>
        <row r="30">
          <cell r="B30" t="str">
            <v>Island</v>
          </cell>
          <cell r="C30" t="str">
            <v>Island</v>
          </cell>
        </row>
        <row r="31">
          <cell r="B31" t="str">
            <v>Island</v>
          </cell>
          <cell r="C31" t="str">
            <v>Island</v>
          </cell>
        </row>
        <row r="32">
          <cell r="B32" t="str">
            <v>Island</v>
          </cell>
          <cell r="C32" t="str">
            <v>Island</v>
          </cell>
        </row>
        <row r="33">
          <cell r="B33" t="str">
            <v>Island</v>
          </cell>
          <cell r="C33" t="str">
            <v>Island</v>
          </cell>
        </row>
        <row r="34">
          <cell r="B34" t="str">
            <v>Island</v>
          </cell>
          <cell r="C34" t="str">
            <v>Island</v>
          </cell>
        </row>
        <row r="35">
          <cell r="B35" t="str">
            <v>Sol Ring</v>
          </cell>
          <cell r="C35" t="str">
            <v>Sol Ring</v>
          </cell>
        </row>
        <row r="36">
          <cell r="B36" t="str">
            <v>Planar Atlas</v>
          </cell>
          <cell r="C36" t="str">
            <v>Planar Atlas</v>
          </cell>
        </row>
        <row r="37">
          <cell r="B37" t="str">
            <v>Sky Diamond</v>
          </cell>
          <cell r="C37" t="str">
            <v>Sky Diamond</v>
          </cell>
        </row>
        <row r="38">
          <cell r="B38" t="str">
            <v>Liquimetal Torque</v>
          </cell>
          <cell r="C38" t="str">
            <v>Liquimetal Torque</v>
          </cell>
        </row>
        <row r="39">
          <cell r="B39" t="str">
            <v>Coldsteel Heart</v>
          </cell>
          <cell r="C39" t="str">
            <v>Coldsteel Heart</v>
          </cell>
        </row>
        <row r="40">
          <cell r="B40" t="str">
            <v>Everflowing Chalice</v>
          </cell>
          <cell r="C40" t="str">
            <v>Everflowing Chalice</v>
          </cell>
        </row>
        <row r="41">
          <cell r="B41" t="str">
            <v>Basalt Monolith</v>
          </cell>
          <cell r="C41" t="str">
            <v>Basalt Monolith</v>
          </cell>
        </row>
        <row r="42">
          <cell r="B42" t="str">
            <v>Worn Powerstone</v>
          </cell>
          <cell r="C42" t="str">
            <v>Sonic Screwdriver</v>
          </cell>
        </row>
        <row r="43">
          <cell r="B43" t="str">
            <v>Midnight Clock</v>
          </cell>
          <cell r="C43" t="str">
            <v>Midnight Clock</v>
          </cell>
        </row>
        <row r="44">
          <cell r="B44" t="str">
            <v>Patriar's Seal</v>
          </cell>
          <cell r="C44" t="str">
            <v>Patriar's Seal</v>
          </cell>
        </row>
        <row r="45">
          <cell r="B45" t="str">
            <v>Stonespeaker Crystal</v>
          </cell>
          <cell r="C45" t="str">
            <v>Stonespeaker Crystal</v>
          </cell>
        </row>
        <row r="46">
          <cell r="B46" t="str">
            <v>Thran Dynamo</v>
          </cell>
          <cell r="C46" t="str">
            <v>Thran Dynamo</v>
          </cell>
        </row>
        <row r="47">
          <cell r="B47" t="str">
            <v>Empowered Autogenerator</v>
          </cell>
          <cell r="C47" t="str">
            <v>Empowered Autogenerator</v>
          </cell>
        </row>
        <row r="48">
          <cell r="B48" t="str">
            <v>Mind Stone</v>
          </cell>
          <cell r="C48" t="str">
            <v>Mind Stone</v>
          </cell>
        </row>
        <row r="49">
          <cell r="B49" t="str">
            <v>Gilded Lotus</v>
          </cell>
          <cell r="C49" t="str">
            <v>Gilded Lotus</v>
          </cell>
        </row>
        <row r="50">
          <cell r="B50" t="str">
            <v>Blinkmoth Urn</v>
          </cell>
          <cell r="C50" t="str">
            <v>Vexing Puzzlebox</v>
          </cell>
        </row>
        <row r="51">
          <cell r="B51" t="str">
            <v>Gauntlet of Power</v>
          </cell>
          <cell r="C51" t="str">
            <v>Gauntlet of Power</v>
          </cell>
        </row>
        <row r="52">
          <cell r="B52" t="str">
            <v>Dreamstone Hedron</v>
          </cell>
          <cell r="C52" t="str">
            <v>Dreamstone Hedron</v>
          </cell>
        </row>
        <row r="53">
          <cell r="B53" t="str">
            <v>Caged Sun</v>
          </cell>
          <cell r="C53" t="str">
            <v>Caged Sun</v>
          </cell>
        </row>
        <row r="54">
          <cell r="B54" t="str">
            <v>Padeem, Consul of Innovation</v>
          </cell>
          <cell r="C54" t="str">
            <v>Padeem, Consul of Innovation</v>
          </cell>
        </row>
        <row r="55">
          <cell r="B55" t="str">
            <v>The Walls of Ba Sing Se</v>
          </cell>
          <cell r="C55" t="str">
            <v>The Walls of Ba Sing Se</v>
          </cell>
        </row>
        <row r="56">
          <cell r="B56" t="str">
            <v>Scion of Draco</v>
          </cell>
          <cell r="C56" t="str">
            <v>Scion of Draco</v>
          </cell>
        </row>
        <row r="57">
          <cell r="B57" t="str">
            <v>Argivian Restoration</v>
          </cell>
          <cell r="C57" t="str">
            <v>Argivian Restoration</v>
          </cell>
        </row>
        <row r="58">
          <cell r="B58" t="str">
            <v>Platinum Angel</v>
          </cell>
          <cell r="C58" t="str">
            <v>Platinum Angel</v>
          </cell>
        </row>
        <row r="59">
          <cell r="B59" t="str">
            <v>Spellskite</v>
          </cell>
          <cell r="C59" t="str">
            <v>Spellskite</v>
          </cell>
        </row>
        <row r="60">
          <cell r="B60" t="str">
            <v>Orbs of Warding</v>
          </cell>
          <cell r="C60" t="str">
            <v>Orbs of Warding</v>
          </cell>
        </row>
        <row r="61">
          <cell r="B61" t="str">
            <v>The Stasis Coffin</v>
          </cell>
          <cell r="C61" t="str">
            <v>The Stasis Coffin</v>
          </cell>
        </row>
        <row r="62">
          <cell r="B62" t="str">
            <v>Brainstone</v>
          </cell>
          <cell r="C62" t="str">
            <v>Brainstone</v>
          </cell>
        </row>
        <row r="63">
          <cell r="B63" t="str">
            <v>Repurposing Bay</v>
          </cell>
          <cell r="C63" t="str">
            <v>Repurposing Bay</v>
          </cell>
        </row>
        <row r="64">
          <cell r="B64" t="str">
            <v>Meteor Golem</v>
          </cell>
          <cell r="C64" t="str">
            <v>Meteor Golem</v>
          </cell>
        </row>
        <row r="65">
          <cell r="B65" t="str">
            <v>Counterspell</v>
          </cell>
          <cell r="C65" t="str">
            <v>Counterspell</v>
          </cell>
        </row>
        <row r="66">
          <cell r="B66" t="str">
            <v>Spine of Ish Sah</v>
          </cell>
          <cell r="C66" t="str">
            <v>Spine of Ish Sah</v>
          </cell>
        </row>
        <row r="67">
          <cell r="B67" t="str">
            <v>Extinguisher Battleship</v>
          </cell>
          <cell r="C67" t="str">
            <v>Extinguisher Battleship</v>
          </cell>
        </row>
        <row r="68">
          <cell r="B68" t="str">
            <v>Portal to Phyrexia</v>
          </cell>
          <cell r="C68" t="str">
            <v>Portal to Phyrexia</v>
          </cell>
        </row>
        <row r="69">
          <cell r="B69" t="str">
            <v>Dauntless Scrapbot</v>
          </cell>
          <cell r="C69" t="str">
            <v>Dauntless Scrapbot</v>
          </cell>
        </row>
        <row r="70">
          <cell r="B70" t="str">
            <v>Rewind</v>
          </cell>
          <cell r="C70" t="str">
            <v>Rewind</v>
          </cell>
        </row>
        <row r="71">
          <cell r="B71" t="str">
            <v>Negate</v>
          </cell>
          <cell r="C71" t="str">
            <v>Negate</v>
          </cell>
        </row>
        <row r="72">
          <cell r="B72" t="str">
            <v>Unwind</v>
          </cell>
          <cell r="C72" t="str">
            <v>Unwind</v>
          </cell>
        </row>
        <row r="73">
          <cell r="B73" t="str">
            <v>Aether Spellbomb</v>
          </cell>
          <cell r="C73" t="str">
            <v>Aether Spellbomb</v>
          </cell>
        </row>
        <row r="74">
          <cell r="B74" t="str">
            <v>All is Dust</v>
          </cell>
          <cell r="C74" t="str">
            <v>All is Dust</v>
          </cell>
        </row>
        <row r="75">
          <cell r="B75" t="str">
            <v>Reality Shift</v>
          </cell>
          <cell r="C75" t="str">
            <v>Reality Shift</v>
          </cell>
        </row>
        <row r="76">
          <cell r="B76" t="str">
            <v>Stoic Rebuttal</v>
          </cell>
          <cell r="C76" t="str">
            <v>Katara's Reversal</v>
          </cell>
        </row>
        <row r="77">
          <cell r="B77" t="str">
            <v>Trading Post</v>
          </cell>
          <cell r="C77" t="str">
            <v>Trading Post</v>
          </cell>
        </row>
        <row r="78">
          <cell r="B78" t="str">
            <v>Duplicant</v>
          </cell>
          <cell r="C78" t="str">
            <v>The Enigma Jewel</v>
          </cell>
        </row>
        <row r="79">
          <cell r="B79" t="str">
            <v>Mycosynth Golem</v>
          </cell>
          <cell r="C79" t="str">
            <v>Mycosynth Golem</v>
          </cell>
        </row>
        <row r="80">
          <cell r="B80" t="str">
            <v>Imposter Mech</v>
          </cell>
          <cell r="C80" t="str">
            <v>Imposter Mech</v>
          </cell>
        </row>
        <row r="81">
          <cell r="B81" t="str">
            <v>Metalwork Colossus</v>
          </cell>
          <cell r="C81" t="str">
            <v>Metalwork Colossus</v>
          </cell>
        </row>
        <row r="82">
          <cell r="B82" t="str">
            <v>Marvin, Murderous Mimic</v>
          </cell>
          <cell r="C82" t="str">
            <v>Marvin, Murderous Mimic</v>
          </cell>
        </row>
        <row r="83">
          <cell r="B83" t="str">
            <v>Mirage Mirror</v>
          </cell>
          <cell r="C83" t="str">
            <v>Mirage Mirror</v>
          </cell>
        </row>
        <row r="84">
          <cell r="B84" t="str">
            <v>Filigree Sages</v>
          </cell>
          <cell r="C84" t="str">
            <v>Filigree Sages</v>
          </cell>
        </row>
        <row r="85">
          <cell r="B85" t="str">
            <v>Master Transmuter</v>
          </cell>
          <cell r="C85" t="str">
            <v>Master Transmuter</v>
          </cell>
        </row>
        <row r="86">
          <cell r="B86" t="str">
            <v>Darksteel Forge</v>
          </cell>
          <cell r="C86" t="str">
            <v>Darksteel Forge</v>
          </cell>
        </row>
        <row r="87">
          <cell r="B87" t="str">
            <v>Unwinding Clock</v>
          </cell>
          <cell r="C87" t="str">
            <v>Unwinding Clock</v>
          </cell>
        </row>
        <row r="88">
          <cell r="B88" t="str">
            <v>Elixir of Immortality</v>
          </cell>
          <cell r="C88" t="str">
            <v>Elixir of Immortality</v>
          </cell>
        </row>
        <row r="89">
          <cell r="B89" t="str">
            <v>Magewright's Stone</v>
          </cell>
          <cell r="C89" t="str">
            <v>Magewright's Stone</v>
          </cell>
        </row>
        <row r="90">
          <cell r="B90" t="str">
            <v>Nevinyrral's Disk</v>
          </cell>
          <cell r="C90" t="str">
            <v>Nevinyrral's Disk</v>
          </cell>
        </row>
        <row r="91">
          <cell r="B91" t="str">
            <v>Pentavus</v>
          </cell>
          <cell r="C91" t="str">
            <v>Rings of Brighthearth</v>
          </cell>
        </row>
        <row r="92">
          <cell r="B92" t="str">
            <v>Phyrexian Metamorph</v>
          </cell>
          <cell r="C92" t="str">
            <v>Phyrexian Metamorph</v>
          </cell>
        </row>
        <row r="93">
          <cell r="B93" t="str">
            <v>Training Grounds</v>
          </cell>
          <cell r="C93" t="str">
            <v>Training Grounds</v>
          </cell>
        </row>
        <row r="94">
          <cell r="B94" t="str">
            <v>Manifold Key</v>
          </cell>
          <cell r="C94" t="str">
            <v>Manifold Key</v>
          </cell>
        </row>
        <row r="95">
          <cell r="B95" t="str">
            <v>Gogo, Master of Mimicry</v>
          </cell>
          <cell r="C95" t="str">
            <v>Gogo, Master of Mimicry</v>
          </cell>
        </row>
        <row r="96">
          <cell r="B96" t="str">
            <v>Memnarch</v>
          </cell>
          <cell r="C96" t="str">
            <v>Memnarch</v>
          </cell>
        </row>
        <row r="97">
          <cell r="B97" t="str">
            <v>Voltaic Key</v>
          </cell>
          <cell r="C97" t="str">
            <v>Voltaic Key</v>
          </cell>
        </row>
        <row r="98">
          <cell r="B98" t="str">
            <v>Mycosynth Lattice</v>
          </cell>
          <cell r="C98" t="str">
            <v>Mycosynth Lattice</v>
          </cell>
        </row>
        <row r="99">
          <cell r="B99" t="str">
            <v>Chimil, the Inner Sun</v>
          </cell>
          <cell r="C99" t="str">
            <v>Chimil, the Inner Sun</v>
          </cell>
        </row>
        <row r="100">
          <cell r="B100" t="str">
            <v>Thousand-Year Elixir</v>
          </cell>
          <cell r="C100" t="str">
            <v>Thousand-Year Elixir</v>
          </cell>
        </row>
        <row r="101">
          <cell r="B101" t="str">
            <v>Unstoppable Plan</v>
          </cell>
          <cell r="C101" t="str">
            <v>Unstoppable Plan</v>
          </cell>
        </row>
        <row r="102">
          <cell r="B102" t="str">
            <v>Clock of Omens</v>
          </cell>
          <cell r="C102" t="str">
            <v>Clock of Omens</v>
          </cell>
        </row>
      </sheetData>
      <sheetData sheetId="8">
        <row r="2">
          <cell r="G2">
            <v>8</v>
          </cell>
        </row>
        <row r="3">
          <cell r="B3" t="str">
            <v>Rielle, the Everwise</v>
          </cell>
          <cell r="C3" t="str">
            <v>Rielle, the Everwise</v>
          </cell>
        </row>
        <row r="4">
          <cell r="B4" t="str">
            <v>Mystic Sanctuary</v>
          </cell>
          <cell r="C4" t="str">
            <v>Mystic Sanctuary</v>
          </cell>
        </row>
        <row r="5">
          <cell r="B5" t="str">
            <v>Lonely Sandbar</v>
          </cell>
          <cell r="C5" t="str">
            <v>Lonely Sandbar</v>
          </cell>
        </row>
        <row r="6">
          <cell r="B6" t="str">
            <v>Forgotten Cave</v>
          </cell>
          <cell r="C6" t="str">
            <v>Forgotten Cave</v>
          </cell>
        </row>
        <row r="7">
          <cell r="B7" t="str">
            <v>Desolate Lighthouse</v>
          </cell>
          <cell r="C7" t="str">
            <v>Desolate Lighthouse</v>
          </cell>
        </row>
        <row r="8">
          <cell r="B8" t="str">
            <v>Rogue's Passage</v>
          </cell>
          <cell r="C8" t="str">
            <v>Rogue's Passage</v>
          </cell>
        </row>
        <row r="9">
          <cell r="B9" t="str">
            <v>Remote Isle</v>
          </cell>
          <cell r="C9" t="str">
            <v>Remote Isle</v>
          </cell>
        </row>
        <row r="10">
          <cell r="B10" t="str">
            <v>Smoldering Crater</v>
          </cell>
          <cell r="C10" t="str">
            <v>Smoldering Crater</v>
          </cell>
        </row>
        <row r="11">
          <cell r="B11" t="str">
            <v>Desert of the Mindful</v>
          </cell>
          <cell r="C11" t="str">
            <v>Desert of the Mindful</v>
          </cell>
        </row>
        <row r="12">
          <cell r="B12" t="str">
            <v>Desert of the Fervent</v>
          </cell>
          <cell r="C12" t="str">
            <v>Desert of the Fervent</v>
          </cell>
        </row>
        <row r="13">
          <cell r="B13" t="str">
            <v>Ash Barrens</v>
          </cell>
          <cell r="C13" t="str">
            <v>Ash Barrens</v>
          </cell>
        </row>
        <row r="14">
          <cell r="B14" t="str">
            <v>Temple of the False God</v>
          </cell>
          <cell r="C14" t="str">
            <v>Temple of the False God</v>
          </cell>
        </row>
        <row r="15">
          <cell r="B15" t="str">
            <v>Blasted Landscape</v>
          </cell>
          <cell r="C15" t="str">
            <v>Blasted Landscape</v>
          </cell>
        </row>
        <row r="16">
          <cell r="B16" t="str">
            <v>Command Tower</v>
          </cell>
          <cell r="C16" t="str">
            <v>Command Tower</v>
          </cell>
        </row>
        <row r="17">
          <cell r="B17" t="str">
            <v>Shire Terrace</v>
          </cell>
          <cell r="C17" t="str">
            <v>Sokenzan, Crucible of Defiance</v>
          </cell>
        </row>
        <row r="18">
          <cell r="B18" t="str">
            <v>Riptide Laboratory</v>
          </cell>
          <cell r="C18" t="str">
            <v>Riptide Laboratory</v>
          </cell>
        </row>
        <row r="19">
          <cell r="B19" t="str">
            <v>Island</v>
          </cell>
          <cell r="C19" t="str">
            <v>Sink into Stupor</v>
          </cell>
        </row>
        <row r="20">
          <cell r="B20" t="str">
            <v>Cephalid Coliseum</v>
          </cell>
          <cell r="C20" t="str">
            <v>Cephalid Coliseum</v>
          </cell>
        </row>
        <row r="21">
          <cell r="B21" t="str">
            <v>Island</v>
          </cell>
          <cell r="C21" t="str">
            <v>Agna Qel'a</v>
          </cell>
        </row>
        <row r="22">
          <cell r="B22" t="str">
            <v>Island</v>
          </cell>
          <cell r="C22" t="str">
            <v>Island</v>
          </cell>
        </row>
        <row r="23">
          <cell r="B23" t="str">
            <v>Island</v>
          </cell>
          <cell r="C23" t="str">
            <v>Island</v>
          </cell>
        </row>
        <row r="24">
          <cell r="B24" t="str">
            <v>Island</v>
          </cell>
          <cell r="C24" t="str">
            <v>Island</v>
          </cell>
        </row>
        <row r="25">
          <cell r="B25" t="str">
            <v>Island</v>
          </cell>
          <cell r="C25" t="str">
            <v>Island</v>
          </cell>
        </row>
        <row r="26">
          <cell r="B26" t="str">
            <v>Island</v>
          </cell>
          <cell r="C26" t="str">
            <v>Island</v>
          </cell>
        </row>
        <row r="27">
          <cell r="B27" t="str">
            <v>Island</v>
          </cell>
          <cell r="C27" t="str">
            <v>Island</v>
          </cell>
        </row>
        <row r="28">
          <cell r="B28" t="str">
            <v>Island</v>
          </cell>
          <cell r="C28" t="str">
            <v>Island</v>
          </cell>
        </row>
        <row r="29">
          <cell r="B29" t="str">
            <v>Mountain</v>
          </cell>
          <cell r="C29" t="str">
            <v>Mountain</v>
          </cell>
        </row>
        <row r="30">
          <cell r="B30" t="str">
            <v>Mountain</v>
          </cell>
          <cell r="C30" t="str">
            <v>Mountain</v>
          </cell>
        </row>
        <row r="31">
          <cell r="B31" t="str">
            <v>Mountain</v>
          </cell>
          <cell r="C31" t="str">
            <v>Mountain</v>
          </cell>
        </row>
        <row r="32">
          <cell r="B32" t="str">
            <v>Mountain</v>
          </cell>
          <cell r="C32" t="str">
            <v>Mountain</v>
          </cell>
        </row>
        <row r="33">
          <cell r="B33" t="str">
            <v>Mountain</v>
          </cell>
          <cell r="C33" t="str">
            <v>Mountain</v>
          </cell>
        </row>
        <row r="34">
          <cell r="B34" t="str">
            <v>Mountain</v>
          </cell>
          <cell r="C34" t="str">
            <v>Mountain</v>
          </cell>
        </row>
        <row r="35">
          <cell r="B35" t="str">
            <v>Mountain</v>
          </cell>
          <cell r="C35" t="str">
            <v>Mountain</v>
          </cell>
        </row>
        <row r="36">
          <cell r="B36" t="str">
            <v>Mountain</v>
          </cell>
          <cell r="C36" t="str">
            <v>Mountain</v>
          </cell>
        </row>
        <row r="37">
          <cell r="B37" t="str">
            <v>The Celestus</v>
          </cell>
          <cell r="C37" t="str">
            <v>The Celestus</v>
          </cell>
        </row>
        <row r="38">
          <cell r="B38" t="str">
            <v>The Emperor of Palamecia</v>
          </cell>
          <cell r="C38" t="str">
            <v>The Emperor of Palamecia</v>
          </cell>
        </row>
        <row r="39">
          <cell r="B39" t="str">
            <v>Diamond Lion</v>
          </cell>
          <cell r="C39" t="str">
            <v>Diamond Lion</v>
          </cell>
        </row>
        <row r="40">
          <cell r="B40" t="str">
            <v>Anger</v>
          </cell>
          <cell r="C40" t="str">
            <v>Anger</v>
          </cell>
        </row>
        <row r="41">
          <cell r="B41" t="str">
            <v>Flame Blitz</v>
          </cell>
          <cell r="C41" t="str">
            <v>Flame Blitz</v>
          </cell>
        </row>
        <row r="42">
          <cell r="B42" t="str">
            <v>Archmage Ascension</v>
          </cell>
          <cell r="C42" t="str">
            <v>Archmage Ascension</v>
          </cell>
        </row>
        <row r="43">
          <cell r="B43" t="str">
            <v>Ledger Shredder</v>
          </cell>
          <cell r="C43" t="str">
            <v>Ledger Shredder</v>
          </cell>
        </row>
        <row r="44">
          <cell r="B44" t="str">
            <v>Magmatic Insight</v>
          </cell>
          <cell r="C44" t="str">
            <v>Magmatic Insight</v>
          </cell>
        </row>
        <row r="45">
          <cell r="B45" t="str">
            <v>Tolarian Winds</v>
          </cell>
          <cell r="C45" t="str">
            <v>Tolarian Winds</v>
          </cell>
        </row>
        <row r="46">
          <cell r="B46" t="str">
            <v>Breakthrough</v>
          </cell>
          <cell r="C46" t="str">
            <v>Breakthrough</v>
          </cell>
        </row>
        <row r="47">
          <cell r="B47" t="str">
            <v>Faithless Looting</v>
          </cell>
          <cell r="C47" t="str">
            <v>Faithless Looting</v>
          </cell>
        </row>
        <row r="48">
          <cell r="B48" t="str">
            <v>Thirst for Knowledge</v>
          </cell>
          <cell r="C48" t="str">
            <v>Careful Study</v>
          </cell>
        </row>
        <row r="49">
          <cell r="B49" t="str">
            <v>Desperate Ravings</v>
          </cell>
          <cell r="C49" t="str">
            <v>Desperate Ravings</v>
          </cell>
        </row>
        <row r="50">
          <cell r="B50" t="str">
            <v>Frantic Search</v>
          </cell>
          <cell r="C50" t="str">
            <v>Frantic Search</v>
          </cell>
        </row>
        <row r="51">
          <cell r="B51" t="str">
            <v>Burning Inquiry</v>
          </cell>
          <cell r="C51" t="str">
            <v>Burning Inquiry</v>
          </cell>
        </row>
        <row r="52">
          <cell r="B52" t="str">
            <v>Cathartic Reunion</v>
          </cell>
          <cell r="C52" t="str">
            <v>Cathartic Reunion</v>
          </cell>
        </row>
        <row r="53">
          <cell r="B53" t="str">
            <v>Dangerous Wager</v>
          </cell>
          <cell r="C53" t="str">
            <v>Dangerous Wager</v>
          </cell>
        </row>
        <row r="54">
          <cell r="B54" t="str">
            <v>Thrill of Possibility</v>
          </cell>
          <cell r="C54" t="str">
            <v>Thrill of Possibility</v>
          </cell>
        </row>
        <row r="55">
          <cell r="B55" t="str">
            <v>Thirst for Meaning</v>
          </cell>
          <cell r="C55" t="str">
            <v>Thirst for Meaning</v>
          </cell>
        </row>
        <row r="56">
          <cell r="B56" t="str">
            <v>Scuttletide</v>
          </cell>
          <cell r="C56" t="str">
            <v>Scuttletide</v>
          </cell>
        </row>
        <row r="57">
          <cell r="B57" t="str">
            <v>Read the Runes</v>
          </cell>
          <cell r="C57" t="str">
            <v>Read the Runes</v>
          </cell>
        </row>
        <row r="58">
          <cell r="B58" t="str">
            <v>Tectonic Reformation</v>
          </cell>
          <cell r="C58" t="str">
            <v>Tectonic Reformation</v>
          </cell>
        </row>
        <row r="59">
          <cell r="B59" t="str">
            <v>Artist's Talent</v>
          </cell>
          <cell r="C59" t="str">
            <v>Artist's Talent</v>
          </cell>
        </row>
        <row r="60">
          <cell r="B60" t="str">
            <v>Academy Wall</v>
          </cell>
          <cell r="C60" t="str">
            <v>Academy Wall</v>
          </cell>
        </row>
        <row r="61">
          <cell r="B61" t="str">
            <v>Pensamento Sombrio</v>
          </cell>
          <cell r="C61" t="str">
            <v>Collector's Vault</v>
          </cell>
        </row>
        <row r="62">
          <cell r="B62" t="str">
            <v>Brass's Tunnel-Grinder</v>
          </cell>
          <cell r="C62" t="str">
            <v>Brass's Tunnel-Grinder</v>
          </cell>
        </row>
        <row r="63">
          <cell r="B63" t="str">
            <v>Commit // Memory</v>
          </cell>
          <cell r="C63" t="str">
            <v>Commit // Memory</v>
          </cell>
        </row>
        <row r="64">
          <cell r="B64" t="str">
            <v>Defabricate</v>
          </cell>
          <cell r="C64" t="str">
            <v>Defabricate</v>
          </cell>
        </row>
        <row r="65">
          <cell r="B65" t="str">
            <v>Forbid</v>
          </cell>
          <cell r="C65" t="str">
            <v>Forbid</v>
          </cell>
        </row>
        <row r="66">
          <cell r="B66" t="str">
            <v>An Offer You Can't Refuse</v>
          </cell>
          <cell r="C66" t="str">
            <v>An Offer You Can't Refuse</v>
          </cell>
        </row>
        <row r="67">
          <cell r="B67" t="str">
            <v>Rites of Refusal</v>
          </cell>
          <cell r="C67" t="str">
            <v>Rites of Refusal</v>
          </cell>
        </row>
        <row r="68">
          <cell r="B68" t="str">
            <v>Izzet Charm</v>
          </cell>
          <cell r="C68" t="str">
            <v>Izzet Charm</v>
          </cell>
        </row>
        <row r="69">
          <cell r="B69" t="str">
            <v>Whirlwind Denial</v>
          </cell>
          <cell r="C69" t="str">
            <v>Whirlwind Denial</v>
          </cell>
        </row>
        <row r="70">
          <cell r="B70" t="str">
            <v>Nimble Obstructionist</v>
          </cell>
          <cell r="C70" t="str">
            <v>Strix Serenade</v>
          </cell>
        </row>
        <row r="71">
          <cell r="B71" t="str">
            <v>Foil</v>
          </cell>
          <cell r="C71" t="str">
            <v>Foil</v>
          </cell>
        </row>
        <row r="72">
          <cell r="B72" t="str">
            <v>Counterspell</v>
          </cell>
          <cell r="C72" t="str">
            <v>Counterspell</v>
          </cell>
        </row>
        <row r="73">
          <cell r="B73" t="str">
            <v>Arcane Denial</v>
          </cell>
          <cell r="C73" t="str">
            <v>Arcane Denial</v>
          </cell>
        </row>
        <row r="74">
          <cell r="B74" t="str">
            <v>Wizard's Retort</v>
          </cell>
          <cell r="C74" t="str">
            <v>Swan Song</v>
          </cell>
        </row>
        <row r="75">
          <cell r="B75" t="str">
            <v>Turn Aside</v>
          </cell>
          <cell r="C75" t="str">
            <v>Turn Aside</v>
          </cell>
        </row>
        <row r="76">
          <cell r="B76" t="str">
            <v>Negate</v>
          </cell>
          <cell r="C76" t="str">
            <v>Negate</v>
          </cell>
        </row>
        <row r="77">
          <cell r="B77" t="str">
            <v>Stubborn Denial</v>
          </cell>
          <cell r="C77" t="str">
            <v>Stubborn Denial</v>
          </cell>
        </row>
        <row r="78">
          <cell r="B78" t="str">
            <v>Delay</v>
          </cell>
          <cell r="C78" t="str">
            <v>Delay</v>
          </cell>
        </row>
        <row r="79">
          <cell r="B79" t="str">
            <v>Glorious Gale</v>
          </cell>
          <cell r="C79" t="str">
            <v>Glorious Gale</v>
          </cell>
        </row>
        <row r="80">
          <cell r="B80" t="str">
            <v>Unwind</v>
          </cell>
          <cell r="C80" t="str">
            <v>Unwind</v>
          </cell>
        </row>
        <row r="81">
          <cell r="B81" t="str">
            <v>Spell Pierce</v>
          </cell>
          <cell r="C81" t="str">
            <v>Spell Pierce</v>
          </cell>
        </row>
        <row r="82">
          <cell r="B82" t="str">
            <v>Counterflux</v>
          </cell>
          <cell r="C82" t="str">
            <v>Counterflux</v>
          </cell>
        </row>
        <row r="83">
          <cell r="B83" t="str">
            <v>Chandra's Ignition</v>
          </cell>
          <cell r="C83" t="str">
            <v>Chandra's Ignition</v>
          </cell>
        </row>
        <row r="84">
          <cell r="B84" t="str">
            <v>Nahiri's Wrath</v>
          </cell>
          <cell r="C84" t="str">
            <v>Nahiri's Wrath</v>
          </cell>
        </row>
        <row r="85">
          <cell r="B85" t="str">
            <v>Reality Shift</v>
          </cell>
          <cell r="C85" t="str">
            <v>Reality Shift</v>
          </cell>
        </row>
        <row r="86">
          <cell r="B86" t="str">
            <v>Chaos Warp</v>
          </cell>
          <cell r="C86" t="str">
            <v>Chaos Warp</v>
          </cell>
        </row>
        <row r="87">
          <cell r="B87" t="str">
            <v>Fateful Showdown</v>
          </cell>
          <cell r="C87" t="str">
            <v>Fateful Showdown</v>
          </cell>
        </row>
        <row r="88">
          <cell r="B88" t="str">
            <v>Turbulent Dreams</v>
          </cell>
          <cell r="C88" t="str">
            <v>Turbulent Dreams</v>
          </cell>
        </row>
        <row r="89">
          <cell r="B89" t="str">
            <v>Divide by Zero</v>
          </cell>
          <cell r="C89" t="str">
            <v>Divide by Zero</v>
          </cell>
        </row>
        <row r="90">
          <cell r="B90" t="str">
            <v>Island</v>
          </cell>
          <cell r="C90" t="str">
            <v>Baral, Chief of Compliance</v>
          </cell>
        </row>
        <row r="91">
          <cell r="B91" t="str">
            <v>Storm-Kiln Artist</v>
          </cell>
          <cell r="C91" t="str">
            <v>Storm-Kiln Artist</v>
          </cell>
        </row>
        <row r="92">
          <cell r="B92" t="str">
            <v>Improbable Alliance</v>
          </cell>
          <cell r="C92" t="str">
            <v>Improbable Alliance</v>
          </cell>
        </row>
        <row r="93">
          <cell r="B93" t="str">
            <v>Hot Soup</v>
          </cell>
          <cell r="C93" t="str">
            <v>Hot Soup</v>
          </cell>
        </row>
        <row r="94">
          <cell r="B94" t="str">
            <v>Wings of Hubris</v>
          </cell>
          <cell r="C94" t="str">
            <v>Wings of Hubris</v>
          </cell>
        </row>
        <row r="95">
          <cell r="B95" t="str">
            <v>Invasion of Segovia</v>
          </cell>
          <cell r="C95" t="str">
            <v>Invasion of Segovia</v>
          </cell>
        </row>
        <row r="96">
          <cell r="B96" t="str">
            <v>Key to the City</v>
          </cell>
          <cell r="C96" t="str">
            <v>Key to the City</v>
          </cell>
        </row>
        <row r="97">
          <cell r="B97" t="str">
            <v>Whispersilk Cloak</v>
          </cell>
          <cell r="C97" t="str">
            <v>Whispersilk Cloak</v>
          </cell>
        </row>
        <row r="98">
          <cell r="B98" t="str">
            <v>Swiftfoot Boots</v>
          </cell>
          <cell r="C98" t="str">
            <v>Swiftfoot Boots</v>
          </cell>
        </row>
        <row r="99">
          <cell r="B99" t="str">
            <v>Lightning Greaves</v>
          </cell>
          <cell r="C99" t="str">
            <v>Lightning Greaves</v>
          </cell>
        </row>
        <row r="100">
          <cell r="B100" t="str">
            <v>Currency Converter</v>
          </cell>
          <cell r="C100" t="str">
            <v>Currency Converter</v>
          </cell>
        </row>
        <row r="101">
          <cell r="B101" t="str">
            <v>Ominous Seas</v>
          </cell>
          <cell r="C101" t="str">
            <v>Ominous Seas</v>
          </cell>
        </row>
        <row r="102">
          <cell r="B102" t="str">
            <v>Surly Badgersaur</v>
          </cell>
          <cell r="C102" t="str">
            <v>Surly Badgersaur</v>
          </cell>
        </row>
      </sheetData>
      <sheetData sheetId="9">
        <row r="2">
          <cell r="G2">
            <v>6</v>
          </cell>
        </row>
        <row r="3">
          <cell r="B3" t="str">
            <v>Alela, Artful Provocateur</v>
          </cell>
          <cell r="C3" t="str">
            <v>Alela, Artful Provocateur</v>
          </cell>
        </row>
        <row r="4">
          <cell r="B4" t="str">
            <v>Hall of Heliod's Generosity</v>
          </cell>
          <cell r="C4" t="str">
            <v>Hall of Heliod's Generosity</v>
          </cell>
        </row>
        <row r="5">
          <cell r="B5" t="str">
            <v>Bojuka Bog</v>
          </cell>
          <cell r="C5" t="str">
            <v>Bojuka Bog</v>
          </cell>
        </row>
        <row r="6">
          <cell r="B6" t="str">
            <v>Reliquary Tower</v>
          </cell>
          <cell r="C6" t="str">
            <v>Reliquary Tower</v>
          </cell>
        </row>
        <row r="7">
          <cell r="B7" t="str">
            <v>Command Tower</v>
          </cell>
          <cell r="C7" t="str">
            <v>Command Tower</v>
          </cell>
        </row>
        <row r="8">
          <cell r="B8" t="str">
            <v>Exotic Orchard</v>
          </cell>
          <cell r="C8" t="str">
            <v>Exotic Orchard</v>
          </cell>
        </row>
        <row r="9">
          <cell r="B9" t="str">
            <v>Underground River</v>
          </cell>
          <cell r="C9" t="str">
            <v>Underground River</v>
          </cell>
        </row>
        <row r="10">
          <cell r="B10" t="str">
            <v>Caves of Koilos</v>
          </cell>
          <cell r="C10" t="str">
            <v>Caves of Koilos</v>
          </cell>
        </row>
        <row r="11">
          <cell r="B11" t="str">
            <v>Adarkar Wastes</v>
          </cell>
          <cell r="C11" t="str">
            <v>Adarkar Wastes</v>
          </cell>
        </row>
        <row r="12">
          <cell r="B12" t="str">
            <v>Drowned Catacomb</v>
          </cell>
          <cell r="C12" t="str">
            <v>Drowned Catacomb</v>
          </cell>
        </row>
        <row r="13">
          <cell r="B13" t="str">
            <v>Glacial Fortress</v>
          </cell>
          <cell r="C13" t="str">
            <v>Glacial Fortress</v>
          </cell>
        </row>
        <row r="14">
          <cell r="B14" t="str">
            <v>Isolated Chapel</v>
          </cell>
          <cell r="C14" t="str">
            <v>Isolated Chapel</v>
          </cell>
        </row>
        <row r="15">
          <cell r="B15" t="str">
            <v>Castle Ardenvale</v>
          </cell>
          <cell r="C15" t="str">
            <v>Castle Ardenvale</v>
          </cell>
        </row>
        <row r="16">
          <cell r="B16" t="str">
            <v>Duskmantle, House of Shadow</v>
          </cell>
          <cell r="C16" t="str">
            <v>Duskmantle, House of Shadow</v>
          </cell>
        </row>
        <row r="17">
          <cell r="B17" t="str">
            <v>Esper Panorama</v>
          </cell>
          <cell r="C17" t="str">
            <v>Esper Panorama</v>
          </cell>
        </row>
        <row r="18">
          <cell r="B18" t="str">
            <v>Morphic Pool</v>
          </cell>
          <cell r="C18" t="str">
            <v>Morphic Pool</v>
          </cell>
        </row>
        <row r="19">
          <cell r="B19" t="str">
            <v>Westvale Abbey</v>
          </cell>
          <cell r="C19" t="str">
            <v>Westvale Abbey</v>
          </cell>
        </row>
        <row r="20">
          <cell r="B20" t="str">
            <v>Urborg, Tomb of Yawgmoth</v>
          </cell>
          <cell r="C20" t="str">
            <v>Urborg, Tomb of Yawgmoth</v>
          </cell>
        </row>
        <row r="21">
          <cell r="B21" t="str">
            <v>Calciform Pools</v>
          </cell>
          <cell r="C21" t="str">
            <v>Calciform Pools</v>
          </cell>
        </row>
        <row r="22">
          <cell r="B22" t="str">
            <v>Dreadship Reef</v>
          </cell>
          <cell r="C22" t="str">
            <v>Dreadship Reef</v>
          </cell>
        </row>
        <row r="23">
          <cell r="B23" t="str">
            <v>Fabled Passage</v>
          </cell>
          <cell r="C23" t="str">
            <v>Fabled Passage</v>
          </cell>
        </row>
        <row r="24">
          <cell r="B24" t="str">
            <v>Plains</v>
          </cell>
          <cell r="C24" t="str">
            <v>Mirror Pool</v>
          </cell>
        </row>
        <row r="25">
          <cell r="B25" t="str">
            <v>Plains</v>
          </cell>
          <cell r="C25" t="str">
            <v>Adagia, Windswept Bastion</v>
          </cell>
        </row>
        <row r="26">
          <cell r="B26" t="str">
            <v>Plains</v>
          </cell>
          <cell r="C26" t="str">
            <v>Plains</v>
          </cell>
        </row>
        <row r="27">
          <cell r="B27" t="str">
            <v>Plains</v>
          </cell>
          <cell r="C27" t="str">
            <v>Plains</v>
          </cell>
        </row>
        <row r="28">
          <cell r="B28" t="str">
            <v>Plains</v>
          </cell>
          <cell r="C28" t="str">
            <v>Plains</v>
          </cell>
        </row>
        <row r="29">
          <cell r="B29" t="str">
            <v>Plains</v>
          </cell>
          <cell r="C29" t="str">
            <v>Plains</v>
          </cell>
        </row>
        <row r="30">
          <cell r="B30" t="str">
            <v>Plains</v>
          </cell>
          <cell r="C30" t="str">
            <v>Plains</v>
          </cell>
        </row>
        <row r="31">
          <cell r="B31" t="str">
            <v>Island</v>
          </cell>
          <cell r="C31" t="str">
            <v>Island</v>
          </cell>
        </row>
        <row r="32">
          <cell r="B32" t="str">
            <v>Island</v>
          </cell>
          <cell r="C32" t="str">
            <v>Island</v>
          </cell>
        </row>
        <row r="33">
          <cell r="B33" t="str">
            <v>Island</v>
          </cell>
          <cell r="C33" t="str">
            <v>Island</v>
          </cell>
        </row>
        <row r="34">
          <cell r="B34" t="str">
            <v>Island</v>
          </cell>
          <cell r="C34" t="str">
            <v>Island</v>
          </cell>
        </row>
        <row r="35">
          <cell r="B35" t="str">
            <v>Island</v>
          </cell>
          <cell r="C35" t="str">
            <v>Island</v>
          </cell>
        </row>
        <row r="36">
          <cell r="B36" t="str">
            <v>Swamp</v>
          </cell>
          <cell r="C36" t="str">
            <v>Swamp</v>
          </cell>
        </row>
        <row r="37">
          <cell r="B37" t="str">
            <v>Swamp</v>
          </cell>
          <cell r="C37" t="str">
            <v>Swamp</v>
          </cell>
        </row>
        <row r="38">
          <cell r="B38" t="str">
            <v>Swamp</v>
          </cell>
          <cell r="C38" t="str">
            <v>Swamp</v>
          </cell>
        </row>
        <row r="39">
          <cell r="B39" t="str">
            <v>Swamp</v>
          </cell>
          <cell r="C39" t="str">
            <v>Swamp</v>
          </cell>
        </row>
        <row r="40">
          <cell r="B40" t="str">
            <v>Sol Ring</v>
          </cell>
          <cell r="C40" t="str">
            <v>Sol Ring</v>
          </cell>
        </row>
        <row r="41">
          <cell r="B41" t="str">
            <v>Azorius Signet</v>
          </cell>
          <cell r="C41" t="str">
            <v>Azorius Signet</v>
          </cell>
        </row>
        <row r="42">
          <cell r="B42" t="str">
            <v>Dimir Signet</v>
          </cell>
          <cell r="C42" t="str">
            <v>Dimir Signet</v>
          </cell>
        </row>
        <row r="43">
          <cell r="B43" t="str">
            <v>Orzhov Signet</v>
          </cell>
          <cell r="C43" t="str">
            <v>Orzhov Signet</v>
          </cell>
        </row>
        <row r="44">
          <cell r="B44" t="str">
            <v>Arcane Signet</v>
          </cell>
          <cell r="C44" t="str">
            <v>Arcane Signet</v>
          </cell>
        </row>
        <row r="45">
          <cell r="B45" t="str">
            <v>Strixhaven Stadium</v>
          </cell>
          <cell r="C45" t="str">
            <v>Strixhaven Stadium</v>
          </cell>
        </row>
        <row r="46">
          <cell r="B46" t="str">
            <v>Fellwar Stone</v>
          </cell>
          <cell r="C46" t="str">
            <v>Fellwar Stone</v>
          </cell>
        </row>
        <row r="47">
          <cell r="B47" t="str">
            <v>Sword of the Animist</v>
          </cell>
          <cell r="C47" t="str">
            <v>Sword of the Animist</v>
          </cell>
        </row>
        <row r="48">
          <cell r="B48" t="str">
            <v>Thought Vessel</v>
          </cell>
          <cell r="C48" t="str">
            <v>Thought Vessel</v>
          </cell>
        </row>
        <row r="49">
          <cell r="B49" t="str">
            <v>Heraldic Banner</v>
          </cell>
          <cell r="C49" t="str">
            <v>Heraldic Banner</v>
          </cell>
        </row>
        <row r="50">
          <cell r="B50" t="str">
            <v>Rhystic Study</v>
          </cell>
          <cell r="C50" t="str">
            <v>Rhystic Study</v>
          </cell>
        </row>
        <row r="51">
          <cell r="B51" t="str">
            <v>Phyrexian Arena</v>
          </cell>
          <cell r="C51" t="str">
            <v>Phyrexian Arena</v>
          </cell>
        </row>
        <row r="52">
          <cell r="B52" t="str">
            <v>Enlightened Tutor</v>
          </cell>
          <cell r="C52" t="str">
            <v>Enlightened Tutor</v>
          </cell>
        </row>
        <row r="53">
          <cell r="B53" t="str">
            <v>Tegwyll, Duke of Splendor</v>
          </cell>
          <cell r="C53" t="str">
            <v>Tegwyll, Duke of Splendor</v>
          </cell>
        </row>
        <row r="54">
          <cell r="B54" t="str">
            <v>Kindred Discovery</v>
          </cell>
          <cell r="C54" t="str">
            <v>Kindred Discovery</v>
          </cell>
        </row>
        <row r="55">
          <cell r="B55" t="str">
            <v>Idyllic Tutor</v>
          </cell>
          <cell r="C55" t="str">
            <v>Idyllic Tutor</v>
          </cell>
        </row>
        <row r="56">
          <cell r="B56" t="str">
            <v>Bident of Thassa</v>
          </cell>
          <cell r="C56" t="str">
            <v>Bident of Thassa</v>
          </cell>
        </row>
        <row r="57">
          <cell r="B57" t="str">
            <v>Waterbender Ascension</v>
          </cell>
          <cell r="C57" t="str">
            <v>Waterbender Ascension</v>
          </cell>
        </row>
        <row r="58">
          <cell r="B58" t="str">
            <v>Curiosity Crafter</v>
          </cell>
          <cell r="C58" t="str">
            <v>Curiosity Crafter</v>
          </cell>
        </row>
        <row r="59">
          <cell r="B59" t="str">
            <v>Wedding Ring</v>
          </cell>
          <cell r="C59" t="str">
            <v>Wedding Ring</v>
          </cell>
        </row>
        <row r="60">
          <cell r="B60" t="str">
            <v>Enduring Curiosity</v>
          </cell>
          <cell r="C60" t="str">
            <v>Enduring Curiosity</v>
          </cell>
        </row>
        <row r="61">
          <cell r="B61" t="str">
            <v>Smothering Tithe</v>
          </cell>
          <cell r="C61" t="str">
            <v>Smothering Tithe</v>
          </cell>
        </row>
        <row r="62">
          <cell r="B62" t="str">
            <v>Blind Obedience</v>
          </cell>
          <cell r="C62" t="str">
            <v>Blind Obedience</v>
          </cell>
        </row>
        <row r="63">
          <cell r="B63" t="str">
            <v>Torpor Orb</v>
          </cell>
          <cell r="C63" t="str">
            <v>Torpor Orb</v>
          </cell>
        </row>
        <row r="64">
          <cell r="B64" t="str">
            <v>Mana Web</v>
          </cell>
          <cell r="C64" t="str">
            <v>Mana Web</v>
          </cell>
        </row>
        <row r="65">
          <cell r="B65" t="str">
            <v>Damping Matrix</v>
          </cell>
          <cell r="C65" t="str">
            <v>Damping Matrix</v>
          </cell>
        </row>
        <row r="66">
          <cell r="B66" t="str">
            <v>Rest in Peace</v>
          </cell>
          <cell r="C66" t="str">
            <v>Rest in Peace</v>
          </cell>
        </row>
        <row r="67">
          <cell r="B67" t="str">
            <v>Dispeller's Capsule</v>
          </cell>
          <cell r="C67" t="str">
            <v>Damping Sphere</v>
          </cell>
        </row>
        <row r="68">
          <cell r="B68" t="str">
            <v>Eidolon of Rhetoric</v>
          </cell>
          <cell r="C68" t="str">
            <v>Eidolon of Rhetoric</v>
          </cell>
        </row>
        <row r="69">
          <cell r="B69" t="str">
            <v>Frozen Aether</v>
          </cell>
          <cell r="C69" t="str">
            <v>Frozen Aether</v>
          </cell>
        </row>
        <row r="70">
          <cell r="B70" t="str">
            <v>Ghostly Prison</v>
          </cell>
          <cell r="C70" t="str">
            <v>Ghostly Prison</v>
          </cell>
        </row>
        <row r="71">
          <cell r="B71" t="str">
            <v>Propaganda</v>
          </cell>
          <cell r="C71" t="str">
            <v>Propaganda</v>
          </cell>
        </row>
        <row r="72">
          <cell r="B72" t="str">
            <v>Martyr's Cause</v>
          </cell>
          <cell r="C72" t="str">
            <v>Martyr's Cause</v>
          </cell>
        </row>
        <row r="73">
          <cell r="B73" t="str">
            <v>Out of Time</v>
          </cell>
          <cell r="C73" t="str">
            <v>Out of Time</v>
          </cell>
        </row>
        <row r="74">
          <cell r="B74" t="str">
            <v>Oubliette</v>
          </cell>
          <cell r="C74" t="str">
            <v>Oubliette</v>
          </cell>
        </row>
        <row r="75">
          <cell r="B75" t="str">
            <v>Aura of Silence</v>
          </cell>
          <cell r="C75" t="str">
            <v>Aura of Silence</v>
          </cell>
        </row>
        <row r="76">
          <cell r="B76" t="str">
            <v>Seal of Cleansing</v>
          </cell>
          <cell r="C76" t="str">
            <v>Seal of Cleansing</v>
          </cell>
        </row>
        <row r="77">
          <cell r="B77" t="str">
            <v>Gossamer Chains</v>
          </cell>
          <cell r="C77" t="str">
            <v>Gossamer Chains</v>
          </cell>
        </row>
        <row r="78">
          <cell r="B78" t="str">
            <v>Seal of Doom</v>
          </cell>
          <cell r="C78" t="str">
            <v>Seal of Doom</v>
          </cell>
        </row>
        <row r="79">
          <cell r="B79" t="str">
            <v>Darksteel Mutation</v>
          </cell>
          <cell r="C79" t="str">
            <v>Darksteel Mutation</v>
          </cell>
        </row>
        <row r="80">
          <cell r="B80" t="str">
            <v>Imprisoned in the Moon</v>
          </cell>
          <cell r="C80" t="str">
            <v>Imprisoned in the Moon</v>
          </cell>
        </row>
        <row r="81">
          <cell r="B81" t="str">
            <v>Detention Sphere</v>
          </cell>
          <cell r="C81" t="str">
            <v>Detention Sphere</v>
          </cell>
        </row>
        <row r="82">
          <cell r="B82" t="str">
            <v>Grasp of Fate</v>
          </cell>
          <cell r="C82" t="str">
            <v>Grasp of Fate</v>
          </cell>
        </row>
        <row r="83">
          <cell r="B83" t="str">
            <v>Dovin's Veto</v>
          </cell>
          <cell r="C83" t="str">
            <v>Dovin's Veto</v>
          </cell>
        </row>
        <row r="84">
          <cell r="B84" t="str">
            <v>Reality Shift</v>
          </cell>
          <cell r="C84" t="str">
            <v>Reality Shift</v>
          </cell>
        </row>
        <row r="85">
          <cell r="B85" t="str">
            <v>Steal Enchantment</v>
          </cell>
          <cell r="C85" t="str">
            <v>Steal Enchantment</v>
          </cell>
        </row>
        <row r="86">
          <cell r="B86" t="str">
            <v>An Offer you Can't Refuse</v>
          </cell>
          <cell r="C86" t="str">
            <v>An Offer you Can't Refuse</v>
          </cell>
        </row>
        <row r="87">
          <cell r="B87" t="str">
            <v>Scion of Oona</v>
          </cell>
          <cell r="C87" t="str">
            <v>Scion of Oona</v>
          </cell>
        </row>
        <row r="88">
          <cell r="B88" t="str">
            <v>Brave the Sands</v>
          </cell>
          <cell r="C88" t="str">
            <v>Brave the Sands</v>
          </cell>
        </row>
        <row r="89">
          <cell r="B89" t="str">
            <v>Intangible Virtue</v>
          </cell>
          <cell r="C89" t="str">
            <v>Intangible Virtue</v>
          </cell>
        </row>
        <row r="90">
          <cell r="B90" t="str">
            <v>Divine Visitation</v>
          </cell>
          <cell r="C90" t="str">
            <v>Renewed Solidarity</v>
          </cell>
        </row>
        <row r="91">
          <cell r="B91" t="str">
            <v>Archetype of Courage</v>
          </cell>
          <cell r="C91" t="str">
            <v>Archetype of Courage</v>
          </cell>
        </row>
        <row r="92">
          <cell r="B92" t="str">
            <v>Etchings of the Chosen</v>
          </cell>
          <cell r="C92" t="str">
            <v>Etchings of the Chosen</v>
          </cell>
        </row>
        <row r="93">
          <cell r="B93" t="str">
            <v>Gravitational Shift</v>
          </cell>
          <cell r="C93" t="str">
            <v>Gravitational Shift</v>
          </cell>
        </row>
        <row r="94">
          <cell r="B94" t="str">
            <v>Radiant Destiny</v>
          </cell>
          <cell r="C94" t="str">
            <v>Radiant Destiny</v>
          </cell>
        </row>
        <row r="95">
          <cell r="B95" t="str">
            <v>Court of Grace</v>
          </cell>
          <cell r="C95" t="str">
            <v>Court of Grace</v>
          </cell>
        </row>
        <row r="96">
          <cell r="B96" t="str">
            <v>The Immortal Sun</v>
          </cell>
          <cell r="C96" t="str">
            <v>Kambal, Profiteering Mayor</v>
          </cell>
        </row>
        <row r="97">
          <cell r="B97" t="str">
            <v>Luminarch Ascension</v>
          </cell>
          <cell r="C97" t="str">
            <v>Luminarch Ascension</v>
          </cell>
        </row>
        <row r="98">
          <cell r="B98" t="str">
            <v>Lightning Greaves</v>
          </cell>
          <cell r="C98" t="str">
            <v>Lightning Greaves</v>
          </cell>
        </row>
        <row r="99">
          <cell r="B99" t="str">
            <v>Swiftfoot Boots</v>
          </cell>
          <cell r="C99" t="str">
            <v>Swiftfoot Boots</v>
          </cell>
        </row>
        <row r="100">
          <cell r="B100" t="str">
            <v>Invasion of Tolvada</v>
          </cell>
          <cell r="C100" t="str">
            <v>Invasion of Tolvada</v>
          </cell>
        </row>
        <row r="101">
          <cell r="B101" t="str">
            <v>Aminatou, Veil Piercer</v>
          </cell>
          <cell r="C101" t="str">
            <v>Bitterblossom</v>
          </cell>
        </row>
        <row r="102">
          <cell r="B102" t="str">
            <v>Copy Enchantment</v>
          </cell>
          <cell r="C102" t="str">
            <v>Copy Enchantment</v>
          </cell>
        </row>
      </sheetData>
      <sheetData sheetId="10">
        <row r="2">
          <cell r="G2">
            <v>2</v>
          </cell>
        </row>
        <row r="3">
          <cell r="B3" t="str">
            <v>Arcades, the Strategist</v>
          </cell>
          <cell r="C3" t="str">
            <v>Arcades, the Strategist</v>
          </cell>
        </row>
        <row r="4">
          <cell r="B4" t="str">
            <v>Kabira Takedown</v>
          </cell>
          <cell r="C4" t="str">
            <v>Kabira Takedown</v>
          </cell>
        </row>
        <row r="5">
          <cell r="B5" t="str">
            <v>Bant Panorama</v>
          </cell>
          <cell r="C5" t="str">
            <v>Bant Panorama</v>
          </cell>
        </row>
        <row r="6">
          <cell r="B6" t="str">
            <v>Windbrisk Heights</v>
          </cell>
          <cell r="C6" t="str">
            <v>Windbrisk Heights</v>
          </cell>
        </row>
        <row r="7">
          <cell r="B7" t="str">
            <v>Command Tower</v>
          </cell>
          <cell r="C7" t="str">
            <v>Command Tower</v>
          </cell>
        </row>
        <row r="8">
          <cell r="B8" t="str">
            <v>Calciform Pools</v>
          </cell>
          <cell r="C8" t="str">
            <v>Calciform Pools</v>
          </cell>
        </row>
        <row r="9">
          <cell r="B9" t="str">
            <v>Myriad Landscape</v>
          </cell>
          <cell r="C9" t="str">
            <v>Myriad Landscape</v>
          </cell>
        </row>
        <row r="10">
          <cell r="B10" t="str">
            <v>Scattered Groves</v>
          </cell>
          <cell r="C10" t="str">
            <v>Scattered Groves</v>
          </cell>
        </row>
        <row r="11">
          <cell r="B11" t="str">
            <v>Irrigated Farmland</v>
          </cell>
          <cell r="C11" t="str">
            <v>Irrigated Farmland</v>
          </cell>
        </row>
        <row r="12">
          <cell r="B12" t="str">
            <v>Exotic Orchard</v>
          </cell>
          <cell r="C12" t="str">
            <v>Exotic Orchard</v>
          </cell>
        </row>
        <row r="13">
          <cell r="B13" t="str">
            <v>Reliquary Tower</v>
          </cell>
          <cell r="C13" t="str">
            <v>Reliquary Tower</v>
          </cell>
        </row>
        <row r="14">
          <cell r="B14" t="str">
            <v>Nimbus Maze</v>
          </cell>
          <cell r="C14" t="str">
            <v>Nimbus Maze</v>
          </cell>
        </row>
        <row r="15">
          <cell r="B15" t="str">
            <v>Orla Krosana</v>
          </cell>
          <cell r="C15" t="str">
            <v>Orla Krosana</v>
          </cell>
        </row>
        <row r="16">
          <cell r="B16" t="str">
            <v>Saltcrusted Steppe</v>
          </cell>
          <cell r="C16" t="str">
            <v>Saltcrusted Steppe</v>
          </cell>
        </row>
        <row r="17">
          <cell r="B17" t="str">
            <v>Sunpetal Grove</v>
          </cell>
          <cell r="C17" t="str">
            <v>Sunpetal Grove</v>
          </cell>
        </row>
        <row r="18">
          <cell r="B18" t="str">
            <v>Hinterland Harbor</v>
          </cell>
          <cell r="C18" t="str">
            <v>Hinterland Harbor</v>
          </cell>
        </row>
        <row r="19">
          <cell r="B19" t="str">
            <v>Glacial Fortress</v>
          </cell>
          <cell r="C19" t="str">
            <v>Glacial Fortress</v>
          </cell>
        </row>
        <row r="20">
          <cell r="B20" t="str">
            <v>Brushland</v>
          </cell>
          <cell r="C20" t="str">
            <v>Brushland</v>
          </cell>
        </row>
        <row r="21">
          <cell r="B21" t="str">
            <v>Yavimaya Coast</v>
          </cell>
          <cell r="C21" t="str">
            <v>Yavimaya Coast</v>
          </cell>
        </row>
        <row r="22">
          <cell r="B22" t="str">
            <v>Adarkar Wastes</v>
          </cell>
          <cell r="C22" t="str">
            <v>Adarkar Wastes</v>
          </cell>
        </row>
        <row r="23">
          <cell r="B23" t="str">
            <v>Forest</v>
          </cell>
          <cell r="C23" t="str">
            <v>Alchemist's Refuge</v>
          </cell>
        </row>
        <row r="24">
          <cell r="B24" t="str">
            <v>Access Tunnel</v>
          </cell>
          <cell r="C24" t="str">
            <v>Access Tunnel</v>
          </cell>
        </row>
        <row r="25">
          <cell r="B25" t="str">
            <v>Island</v>
          </cell>
          <cell r="C25" t="str">
            <v>Island</v>
          </cell>
        </row>
        <row r="26">
          <cell r="B26" t="str">
            <v>Island</v>
          </cell>
          <cell r="C26" t="str">
            <v>Island</v>
          </cell>
        </row>
        <row r="27">
          <cell r="B27" t="str">
            <v>Island</v>
          </cell>
          <cell r="C27" t="str">
            <v>Island</v>
          </cell>
        </row>
        <row r="28">
          <cell r="B28" t="str">
            <v>Island</v>
          </cell>
          <cell r="C28" t="str">
            <v>Island</v>
          </cell>
        </row>
        <row r="29">
          <cell r="B29" t="str">
            <v>Island</v>
          </cell>
          <cell r="C29" t="str">
            <v>Island</v>
          </cell>
        </row>
        <row r="30">
          <cell r="B30" t="str">
            <v>Forest</v>
          </cell>
          <cell r="C30" t="str">
            <v>Forest</v>
          </cell>
        </row>
        <row r="31">
          <cell r="B31" t="str">
            <v>Forest</v>
          </cell>
          <cell r="C31" t="str">
            <v>Forest</v>
          </cell>
        </row>
        <row r="32">
          <cell r="B32" t="str">
            <v>Forest</v>
          </cell>
          <cell r="C32" t="str">
            <v>Forest</v>
          </cell>
        </row>
        <row r="33">
          <cell r="B33" t="str">
            <v>Forest</v>
          </cell>
          <cell r="C33" t="str">
            <v>Forest</v>
          </cell>
        </row>
        <row r="34">
          <cell r="B34" t="str">
            <v>Forest</v>
          </cell>
          <cell r="C34" t="str">
            <v>Forest</v>
          </cell>
        </row>
        <row r="35">
          <cell r="B35" t="str">
            <v>Plains</v>
          </cell>
          <cell r="C35" t="str">
            <v>Plains</v>
          </cell>
        </row>
        <row r="36">
          <cell r="B36" t="str">
            <v>Plains</v>
          </cell>
          <cell r="C36" t="str">
            <v>Plains</v>
          </cell>
        </row>
        <row r="37">
          <cell r="B37" t="str">
            <v>Plains</v>
          </cell>
          <cell r="C37" t="str">
            <v>Plains</v>
          </cell>
        </row>
        <row r="38">
          <cell r="B38" t="str">
            <v>Wall of Denial</v>
          </cell>
          <cell r="C38" t="str">
            <v>Wall of Denial</v>
          </cell>
        </row>
        <row r="39">
          <cell r="B39" t="str">
            <v>Tree of Redemption</v>
          </cell>
          <cell r="C39" t="str">
            <v>Tree of Redemption</v>
          </cell>
        </row>
        <row r="40">
          <cell r="B40" t="str">
            <v>Wall of Shards</v>
          </cell>
          <cell r="C40" t="str">
            <v>Wall of Shards</v>
          </cell>
        </row>
        <row r="41">
          <cell r="B41" t="str">
            <v>Hover Barrier</v>
          </cell>
          <cell r="C41" t="str">
            <v>Hover Barrier</v>
          </cell>
        </row>
        <row r="42">
          <cell r="B42" t="str">
            <v>Ludevic's Test Subject</v>
          </cell>
          <cell r="C42" t="str">
            <v>Ludevic's Test Subject</v>
          </cell>
        </row>
        <row r="43">
          <cell r="B43" t="str">
            <v>Rammas Echor, Ancient Shield</v>
          </cell>
          <cell r="C43" t="str">
            <v>Rammas Echor, Ancient Shield</v>
          </cell>
        </row>
        <row r="44">
          <cell r="B44" t="str">
            <v>Teyo, Geometric Tactician</v>
          </cell>
          <cell r="C44" t="str">
            <v>Teyo, Geometric Tactician</v>
          </cell>
        </row>
        <row r="45">
          <cell r="B45" t="str">
            <v>Wall of Reverence</v>
          </cell>
          <cell r="C45" t="str">
            <v>Wall of Reverence</v>
          </cell>
        </row>
        <row r="46">
          <cell r="B46" t="str">
            <v>The Pride of Hull Clade</v>
          </cell>
          <cell r="C46" t="str">
            <v>The Pride of Hull Clade</v>
          </cell>
        </row>
        <row r="47">
          <cell r="B47" t="str">
            <v>Orator of Ojutai</v>
          </cell>
          <cell r="C47" t="str">
            <v>Orator of Ojutai</v>
          </cell>
        </row>
        <row r="48">
          <cell r="B48" t="str">
            <v>Traproot Kami</v>
          </cell>
          <cell r="C48" t="str">
            <v>Traproot Kami</v>
          </cell>
        </row>
        <row r="49">
          <cell r="B49" t="str">
            <v>Weathered Sentinels</v>
          </cell>
          <cell r="C49" t="str">
            <v>Weathered Sentinels</v>
          </cell>
        </row>
        <row r="50">
          <cell r="B50" t="str">
            <v>Overgrown Battlement</v>
          </cell>
          <cell r="C50" t="str">
            <v>Overgrown Battlement</v>
          </cell>
        </row>
        <row r="51">
          <cell r="B51" t="str">
            <v>Axebane Guardian</v>
          </cell>
          <cell r="C51" t="str">
            <v>Axebane Guardian</v>
          </cell>
        </row>
        <row r="52">
          <cell r="B52" t="str">
            <v>Sunscape Familiar</v>
          </cell>
          <cell r="C52" t="str">
            <v>Sunscape Familiar</v>
          </cell>
        </row>
        <row r="53">
          <cell r="B53" t="str">
            <v>Wall of Mourning</v>
          </cell>
          <cell r="C53" t="str">
            <v>Wall of Mourning</v>
          </cell>
        </row>
        <row r="54">
          <cell r="B54" t="str">
            <v>Teyo, the Shieldmage</v>
          </cell>
          <cell r="C54" t="str">
            <v>Teyo, the Shieldmage</v>
          </cell>
        </row>
        <row r="55">
          <cell r="B55" t="str">
            <v>Wall of Stolen Identity</v>
          </cell>
          <cell r="C55" t="str">
            <v>Wall of Stolen Identity</v>
          </cell>
        </row>
        <row r="56">
          <cell r="B56" t="str">
            <v>Resolute Watchdog</v>
          </cell>
          <cell r="C56" t="str">
            <v>Resolute Watchdog</v>
          </cell>
        </row>
        <row r="57">
          <cell r="B57" t="str">
            <v>Jeskai Barricade</v>
          </cell>
          <cell r="C57" t="str">
            <v>Jeskai Barricade</v>
          </cell>
        </row>
        <row r="58">
          <cell r="B58" t="str">
            <v>Rampart Architect</v>
          </cell>
          <cell r="C58" t="str">
            <v>Rampart Architect</v>
          </cell>
        </row>
        <row r="59">
          <cell r="B59" t="str">
            <v>Soulsworn Jury</v>
          </cell>
          <cell r="C59" t="str">
            <v>Soulsworn Jury</v>
          </cell>
        </row>
        <row r="60">
          <cell r="B60" t="str">
            <v>Wall of Blossoms</v>
          </cell>
          <cell r="C60" t="str">
            <v>Wall of Blossoms</v>
          </cell>
        </row>
        <row r="61">
          <cell r="B61" t="str">
            <v>Crystal Barricade</v>
          </cell>
          <cell r="C61" t="str">
            <v>Crystal Barricade</v>
          </cell>
        </row>
        <row r="62">
          <cell r="B62" t="str">
            <v>Wall of Omens</v>
          </cell>
          <cell r="C62" t="str">
            <v>Wall of Omens</v>
          </cell>
        </row>
        <row r="63">
          <cell r="B63" t="str">
            <v>Shield-Wall Sentinel</v>
          </cell>
          <cell r="C63" t="str">
            <v>Shield-Wall Sentinel</v>
          </cell>
        </row>
        <row r="64">
          <cell r="B64" t="str">
            <v>Cultivate</v>
          </cell>
          <cell r="C64" t="str">
            <v>Cultivate</v>
          </cell>
        </row>
        <row r="65">
          <cell r="B65" t="str">
            <v>Kodama's Reach</v>
          </cell>
          <cell r="C65" t="str">
            <v>Kodama's Reach</v>
          </cell>
        </row>
        <row r="66">
          <cell r="B66" t="str">
            <v>Farseek</v>
          </cell>
          <cell r="C66" t="str">
            <v>Farseek</v>
          </cell>
        </row>
        <row r="67">
          <cell r="B67" t="str">
            <v>Nature's Lore</v>
          </cell>
          <cell r="C67" t="str">
            <v>Nature's Lore</v>
          </cell>
        </row>
        <row r="68">
          <cell r="B68" t="str">
            <v>Sol Ring</v>
          </cell>
          <cell r="C68" t="str">
            <v>Sol Ring</v>
          </cell>
        </row>
        <row r="69">
          <cell r="B69" t="str">
            <v>Mirari's Wake</v>
          </cell>
          <cell r="C69" t="str">
            <v>Mirari's Wake</v>
          </cell>
        </row>
        <row r="70">
          <cell r="B70" t="str">
            <v>Rampant Growth</v>
          </cell>
          <cell r="C70" t="str">
            <v>Rampant Growth</v>
          </cell>
        </row>
        <row r="71">
          <cell r="B71" t="str">
            <v>Shared Roots</v>
          </cell>
          <cell r="C71" t="str">
            <v>Shared Roots</v>
          </cell>
        </row>
        <row r="72">
          <cell r="B72" t="str">
            <v>Sylvan Caryatid</v>
          </cell>
          <cell r="C72" t="str">
            <v>Sylvan Caryatid</v>
          </cell>
        </row>
        <row r="73">
          <cell r="B73" t="str">
            <v>Avatar's Wrath</v>
          </cell>
          <cell r="C73" t="str">
            <v>Avatar's Wrath</v>
          </cell>
        </row>
        <row r="74">
          <cell r="B74" t="str">
            <v>Restricted Office // Lecture Hall</v>
          </cell>
          <cell r="C74" t="str">
            <v>Restricted Office // Lecture Hall</v>
          </cell>
        </row>
        <row r="75">
          <cell r="B75" t="str">
            <v>Wave of Reckoning</v>
          </cell>
          <cell r="C75" t="str">
            <v>Wave of Reckoning</v>
          </cell>
        </row>
        <row r="76">
          <cell r="B76" t="str">
            <v>Winds of Abandon</v>
          </cell>
          <cell r="C76" t="str">
            <v>Winds of Abandon</v>
          </cell>
        </row>
        <row r="77">
          <cell r="B77" t="str">
            <v>Ironwill Forger</v>
          </cell>
          <cell r="C77" t="str">
            <v>Ironwill Forger</v>
          </cell>
        </row>
        <row r="78">
          <cell r="B78" t="str">
            <v>True Conviction</v>
          </cell>
          <cell r="C78" t="str">
            <v>True Conviction</v>
          </cell>
        </row>
        <row r="79">
          <cell r="B79" t="str">
            <v>Stoneskin</v>
          </cell>
          <cell r="C79" t="str">
            <v>Stoneskin</v>
          </cell>
        </row>
        <row r="80">
          <cell r="B80" t="str">
            <v>Concerted Effort</v>
          </cell>
          <cell r="C80" t="str">
            <v>Concerted Effort</v>
          </cell>
        </row>
        <row r="81">
          <cell r="B81" t="str">
            <v>Tetsuko Umezawa, Fugitive</v>
          </cell>
          <cell r="C81" t="str">
            <v>Tetsuko Umezawa, Fugitive</v>
          </cell>
        </row>
        <row r="82">
          <cell r="B82" t="str">
            <v>Stalwart Shield-Bearers</v>
          </cell>
          <cell r="C82" t="str">
            <v>Stalwart Shield-Bearers</v>
          </cell>
        </row>
        <row r="83">
          <cell r="B83" t="str">
            <v>Crashing Drawbridge</v>
          </cell>
          <cell r="C83" t="str">
            <v>Crashing Drawbridge</v>
          </cell>
        </row>
        <row r="84">
          <cell r="B84" t="str">
            <v>Endless Detour</v>
          </cell>
          <cell r="C84" t="str">
            <v>Endless Detour</v>
          </cell>
        </row>
        <row r="85">
          <cell r="B85" t="str">
            <v>Path to Exile</v>
          </cell>
          <cell r="C85" t="str">
            <v>Path to Exile</v>
          </cell>
        </row>
        <row r="86">
          <cell r="B86" t="str">
            <v>Generous Gift</v>
          </cell>
          <cell r="C86" t="str">
            <v>Generous Gift</v>
          </cell>
        </row>
        <row r="87">
          <cell r="B87" t="str">
            <v>Swords to Plowshares</v>
          </cell>
          <cell r="C87" t="str">
            <v>Swords to Plowshares</v>
          </cell>
        </row>
        <row r="88">
          <cell r="B88" t="str">
            <v>Counterspell</v>
          </cell>
          <cell r="C88" t="str">
            <v>Counterspell</v>
          </cell>
        </row>
        <row r="89">
          <cell r="B89" t="str">
            <v>Sokrates, Athenian Teacher</v>
          </cell>
          <cell r="C89" t="str">
            <v>Sokrates, Athenian Teacher</v>
          </cell>
        </row>
        <row r="90">
          <cell r="B90" t="str">
            <v>Tamiyo, Field Researcher</v>
          </cell>
          <cell r="C90" t="str">
            <v>Tamiyo, Field Researcher</v>
          </cell>
        </row>
        <row r="91">
          <cell r="B91" t="str">
            <v>Rigo, Streetwise Mentor</v>
          </cell>
          <cell r="C91" t="str">
            <v>Rigo, Streetwise Mentor</v>
          </cell>
        </row>
        <row r="92">
          <cell r="B92" t="str">
            <v>Guardian Project</v>
          </cell>
          <cell r="C92" t="str">
            <v>Guardian Project</v>
          </cell>
        </row>
        <row r="93">
          <cell r="B93" t="str">
            <v>Spark Double</v>
          </cell>
          <cell r="C93" t="str">
            <v>Spark Double</v>
          </cell>
        </row>
        <row r="94">
          <cell r="B94" t="str">
            <v>Vivien, Champion of the Wilds</v>
          </cell>
          <cell r="C94" t="str">
            <v>Vivien, Champion of the Wilds</v>
          </cell>
        </row>
        <row r="95">
          <cell r="B95" t="str">
            <v>Aura Shards</v>
          </cell>
          <cell r="C95" t="str">
            <v>Monk Gyatso</v>
          </cell>
        </row>
        <row r="96">
          <cell r="B96" t="str">
            <v>Taigam, Master Opportunist</v>
          </cell>
          <cell r="C96" t="str">
            <v>Taigam, Master Opportunist</v>
          </cell>
        </row>
        <row r="97">
          <cell r="B97" t="str">
            <v>Bedrock Tortoise</v>
          </cell>
          <cell r="C97" t="str">
            <v>Bedrock Tortoise</v>
          </cell>
        </row>
        <row r="98">
          <cell r="B98" t="str">
            <v>Amuleto Simic</v>
          </cell>
          <cell r="C98" t="str">
            <v>Amuleto Simic</v>
          </cell>
        </row>
        <row r="99">
          <cell r="B99" t="str">
            <v>Swiftfoot Boots</v>
          </cell>
          <cell r="C99" t="str">
            <v>Swiftfoot Boots</v>
          </cell>
        </row>
        <row r="100">
          <cell r="B100" t="str">
            <v>Lightning Greaves</v>
          </cell>
          <cell r="C100" t="str">
            <v>Lightning Greaves</v>
          </cell>
        </row>
        <row r="101">
          <cell r="B101" t="str">
            <v>High Alert</v>
          </cell>
          <cell r="C101" t="str">
            <v>High Alert</v>
          </cell>
        </row>
        <row r="102">
          <cell r="B102" t="str">
            <v>Assault Formation</v>
          </cell>
          <cell r="C102" t="str">
            <v>Assault Formation</v>
          </cell>
        </row>
      </sheetData>
      <sheetData sheetId="11">
        <row r="2">
          <cell r="G2">
            <v>10</v>
          </cell>
        </row>
        <row r="3">
          <cell r="B3" t="str">
            <v>Vial Smasher the Fierce</v>
          </cell>
          <cell r="C3" t="str">
            <v>Vial Smasher the Fierce</v>
          </cell>
        </row>
        <row r="4">
          <cell r="B4" t="str">
            <v>Ishai, Ojutai Dragonspeaker</v>
          </cell>
          <cell r="C4" t="str">
            <v>Ishai, Ojutai Dragonspeaker</v>
          </cell>
        </row>
        <row r="5">
          <cell r="B5" t="str">
            <v>Flooded Strand</v>
          </cell>
          <cell r="C5" t="str">
            <v>Flooded Strand</v>
          </cell>
        </row>
        <row r="6">
          <cell r="B6" t="str">
            <v>Island</v>
          </cell>
          <cell r="C6" t="str">
            <v>Polluted Delta</v>
          </cell>
        </row>
        <row r="7">
          <cell r="B7" t="str">
            <v>Bloodstained Mire</v>
          </cell>
          <cell r="C7" t="str">
            <v>Bloodstained Mire</v>
          </cell>
        </row>
        <row r="8">
          <cell r="B8" t="str">
            <v>Wooded Foothills</v>
          </cell>
          <cell r="C8" t="str">
            <v>Wooded Foothills</v>
          </cell>
        </row>
        <row r="9">
          <cell r="B9" t="str">
            <v>Windswept Heath</v>
          </cell>
          <cell r="C9" t="str">
            <v>Windswept Heath</v>
          </cell>
        </row>
        <row r="10">
          <cell r="B10" t="str">
            <v>Marsh Flats</v>
          </cell>
          <cell r="C10" t="str">
            <v>Marsh Flats</v>
          </cell>
        </row>
        <row r="11">
          <cell r="B11" t="str">
            <v>Scalding Tarn</v>
          </cell>
          <cell r="C11" t="str">
            <v>Scalding Tarn</v>
          </cell>
        </row>
        <row r="12">
          <cell r="B12" t="str">
            <v>Verdant Catacombs</v>
          </cell>
          <cell r="C12" t="str">
            <v>Verdant Catacombs</v>
          </cell>
        </row>
        <row r="13">
          <cell r="B13" t="str">
            <v>Island</v>
          </cell>
          <cell r="C13" t="str">
            <v>Arid Mesa</v>
          </cell>
        </row>
        <row r="14">
          <cell r="B14" t="str">
            <v>Misty Rainforest</v>
          </cell>
          <cell r="C14" t="str">
            <v>Misty Rainforest</v>
          </cell>
        </row>
        <row r="15">
          <cell r="B15" t="str">
            <v>Hallowed Fountain</v>
          </cell>
          <cell r="C15" t="str">
            <v>Hallowed Fountain</v>
          </cell>
        </row>
        <row r="16">
          <cell r="B16" t="str">
            <v>Mountain</v>
          </cell>
          <cell r="C16" t="str">
            <v>Watery Grave</v>
          </cell>
        </row>
        <row r="17">
          <cell r="B17" t="str">
            <v>Blood Crypt</v>
          </cell>
          <cell r="C17" t="str">
            <v>Blood Crypt</v>
          </cell>
        </row>
        <row r="18">
          <cell r="B18" t="str">
            <v>Sacred Foundry</v>
          </cell>
          <cell r="C18" t="str">
            <v>Sacred Foundry</v>
          </cell>
        </row>
        <row r="19">
          <cell r="B19" t="str">
            <v>Steam Vents</v>
          </cell>
          <cell r="C19" t="str">
            <v>Steam Vents</v>
          </cell>
        </row>
        <row r="20">
          <cell r="B20" t="str">
            <v>Godless Shrine</v>
          </cell>
          <cell r="C20" t="str">
            <v>Godless Shrine</v>
          </cell>
        </row>
        <row r="21">
          <cell r="B21" t="str">
            <v>Training Center</v>
          </cell>
          <cell r="C21" t="str">
            <v>Training Center</v>
          </cell>
        </row>
        <row r="22">
          <cell r="B22" t="str">
            <v>Morphic Pool</v>
          </cell>
          <cell r="C22" t="str">
            <v>Morphic Pool</v>
          </cell>
        </row>
        <row r="23">
          <cell r="B23" t="str">
            <v>Sea of Clouds</v>
          </cell>
          <cell r="C23" t="str">
            <v>Sea of Clouds</v>
          </cell>
        </row>
        <row r="24">
          <cell r="B24" t="str">
            <v>Swamp</v>
          </cell>
          <cell r="C24" t="str">
            <v>Luxury Suite</v>
          </cell>
        </row>
        <row r="25">
          <cell r="B25" t="str">
            <v>Silundi Vision</v>
          </cell>
          <cell r="C25" t="str">
            <v>Spectator Seating</v>
          </cell>
        </row>
        <row r="26">
          <cell r="B26" t="str">
            <v>Swamp</v>
          </cell>
          <cell r="C26" t="str">
            <v>Vault of Champions</v>
          </cell>
        </row>
        <row r="27">
          <cell r="B27" t="str">
            <v>Command Tower</v>
          </cell>
          <cell r="C27" t="str">
            <v>Command Tower</v>
          </cell>
        </row>
        <row r="28">
          <cell r="B28" t="str">
            <v>Exotic Orchard</v>
          </cell>
          <cell r="C28" t="str">
            <v>Exotic Orchard</v>
          </cell>
        </row>
        <row r="29">
          <cell r="B29" t="str">
            <v>Reliquary Tower</v>
          </cell>
          <cell r="C29" t="str">
            <v>Reliquary Tower</v>
          </cell>
        </row>
        <row r="30">
          <cell r="B30" t="str">
            <v>Arcane Lighthouse</v>
          </cell>
          <cell r="C30" t="str">
            <v>Arcane Lighthouse</v>
          </cell>
        </row>
        <row r="31">
          <cell r="B31" t="str">
            <v>Bojuka Bog</v>
          </cell>
          <cell r="C31" t="str">
            <v>Bojuka Bog</v>
          </cell>
        </row>
        <row r="32">
          <cell r="B32" t="str">
            <v>Fabled Passage</v>
          </cell>
          <cell r="C32" t="str">
            <v>Fabled Passage</v>
          </cell>
        </row>
        <row r="33">
          <cell r="B33" t="str">
            <v>Ondu Inversion</v>
          </cell>
          <cell r="C33" t="str">
            <v>Ondu Inversion</v>
          </cell>
        </row>
        <row r="34">
          <cell r="B34" t="str">
            <v>Plains</v>
          </cell>
          <cell r="C34" t="str">
            <v>Plains</v>
          </cell>
        </row>
        <row r="35">
          <cell r="B35" t="str">
            <v>Plains</v>
          </cell>
          <cell r="C35" t="str">
            <v>Plains</v>
          </cell>
        </row>
        <row r="36">
          <cell r="B36" t="str">
            <v>Island</v>
          </cell>
          <cell r="C36" t="str">
            <v>Island</v>
          </cell>
        </row>
        <row r="37">
          <cell r="B37" t="str">
            <v>Island</v>
          </cell>
          <cell r="C37" t="str">
            <v>Island</v>
          </cell>
        </row>
        <row r="38">
          <cell r="B38" t="str">
            <v>Mountain</v>
          </cell>
          <cell r="C38" t="str">
            <v>Mountain</v>
          </cell>
        </row>
        <row r="39">
          <cell r="B39" t="str">
            <v>Mountain</v>
          </cell>
          <cell r="C39" t="str">
            <v>Mountain</v>
          </cell>
        </row>
        <row r="40">
          <cell r="B40" t="str">
            <v>Swamp</v>
          </cell>
          <cell r="C40" t="str">
            <v>Swamp</v>
          </cell>
        </row>
        <row r="41">
          <cell r="B41" t="str">
            <v>Swamp</v>
          </cell>
          <cell r="C41" t="str">
            <v>Swamp</v>
          </cell>
        </row>
        <row r="42">
          <cell r="B42" t="str">
            <v>Sol Ring</v>
          </cell>
          <cell r="C42" t="str">
            <v>Sol Ring</v>
          </cell>
        </row>
        <row r="43">
          <cell r="B43" t="str">
            <v>Arcane Signet</v>
          </cell>
          <cell r="C43" t="str">
            <v>Arcane Signet</v>
          </cell>
        </row>
        <row r="44">
          <cell r="B44" t="str">
            <v>Azorius Signet</v>
          </cell>
          <cell r="C44" t="str">
            <v>Azorius Signet</v>
          </cell>
        </row>
        <row r="45">
          <cell r="B45" t="str">
            <v>Dimir Signet</v>
          </cell>
          <cell r="C45" t="str">
            <v>Dimir Signet</v>
          </cell>
        </row>
        <row r="46">
          <cell r="B46" t="str">
            <v>Rakdos Signet</v>
          </cell>
          <cell r="C46" t="str">
            <v>Rakdos Signet</v>
          </cell>
        </row>
        <row r="47">
          <cell r="B47" t="str">
            <v>Orzhov Signet</v>
          </cell>
          <cell r="C47" t="str">
            <v>Orzhov Signet</v>
          </cell>
        </row>
        <row r="48">
          <cell r="B48" t="str">
            <v>Izzet Signet</v>
          </cell>
          <cell r="C48" t="str">
            <v>Izzet Signet</v>
          </cell>
        </row>
        <row r="49">
          <cell r="B49" t="str">
            <v>Fellwar Stone</v>
          </cell>
          <cell r="C49" t="str">
            <v>Fellwar Stone</v>
          </cell>
        </row>
        <row r="50">
          <cell r="B50" t="str">
            <v>The Emperor of Palamecia</v>
          </cell>
          <cell r="C50" t="str">
            <v>The Emperor of Palamecia</v>
          </cell>
        </row>
        <row r="51">
          <cell r="B51" t="str">
            <v>Thought Vessel</v>
          </cell>
          <cell r="C51" t="str">
            <v>Thought Vessel</v>
          </cell>
        </row>
        <row r="52">
          <cell r="B52" t="str">
            <v>Dig Through Time</v>
          </cell>
          <cell r="C52" t="str">
            <v>Dig Through Time</v>
          </cell>
        </row>
        <row r="53">
          <cell r="B53" t="str">
            <v>Treasure Cruise</v>
          </cell>
          <cell r="C53" t="str">
            <v>Treasure Cruise</v>
          </cell>
        </row>
        <row r="54">
          <cell r="B54" t="str">
            <v>Ever-Watching Threshold</v>
          </cell>
          <cell r="C54" t="str">
            <v>Ever-Watching Threshold</v>
          </cell>
        </row>
        <row r="55">
          <cell r="B55" t="str">
            <v>Inspiring Refrain</v>
          </cell>
          <cell r="C55" t="str">
            <v>Wan Shi Tong, Librarian</v>
          </cell>
        </row>
        <row r="56">
          <cell r="B56" t="str">
            <v>Archivist of Oghma</v>
          </cell>
          <cell r="C56" t="str">
            <v>Archivist of Oghma</v>
          </cell>
        </row>
        <row r="57">
          <cell r="B57" t="str">
            <v>Morbid Opportunist</v>
          </cell>
          <cell r="C57" t="str">
            <v>Morbid Opportunist</v>
          </cell>
        </row>
        <row r="58">
          <cell r="B58" t="str">
            <v>Sygg, River Cutthroat</v>
          </cell>
          <cell r="C58" t="str">
            <v>Sygg, River Cutthroat</v>
          </cell>
        </row>
        <row r="59">
          <cell r="B59" t="str">
            <v>Phyrexian Arena</v>
          </cell>
          <cell r="C59" t="str">
            <v>Phyrexian Arena</v>
          </cell>
        </row>
        <row r="60">
          <cell r="B60" t="str">
            <v>Tandem Lookout</v>
          </cell>
          <cell r="C60" t="str">
            <v>Tandem Lookout</v>
          </cell>
        </row>
        <row r="61">
          <cell r="B61" t="str">
            <v>Mangara, the Diplomat</v>
          </cell>
          <cell r="C61" t="str">
            <v>Mangara, the Diplomat</v>
          </cell>
        </row>
        <row r="62">
          <cell r="B62" t="str">
            <v>Keranos, God of Storms</v>
          </cell>
          <cell r="C62" t="str">
            <v>Keranos, God of Storms</v>
          </cell>
        </row>
        <row r="63">
          <cell r="B63" t="str">
            <v>Sphinx's Revelation</v>
          </cell>
          <cell r="C63" t="str">
            <v>Sphinx's Revelation</v>
          </cell>
        </row>
        <row r="64">
          <cell r="B64" t="str">
            <v>Crackling Doom</v>
          </cell>
          <cell r="C64" t="str">
            <v>Crackling Doom</v>
          </cell>
        </row>
        <row r="65">
          <cell r="B65" t="str">
            <v>Swords to Plowshares</v>
          </cell>
          <cell r="C65" t="str">
            <v>Swords to Plowshares</v>
          </cell>
        </row>
        <row r="66">
          <cell r="B66" t="str">
            <v>Stroke of Midnight</v>
          </cell>
          <cell r="C66" t="str">
            <v>Stroke of Midnight</v>
          </cell>
        </row>
        <row r="67">
          <cell r="B67" t="str">
            <v>Dissipation Field</v>
          </cell>
          <cell r="C67" t="str">
            <v>Amphibian Downpour</v>
          </cell>
        </row>
        <row r="68">
          <cell r="B68" t="str">
            <v>Void Rend</v>
          </cell>
          <cell r="C68" t="str">
            <v>Void Rend</v>
          </cell>
        </row>
        <row r="69">
          <cell r="B69" t="str">
            <v>Inevitable Defeat</v>
          </cell>
          <cell r="C69" t="str">
            <v>Inevitable Defeat</v>
          </cell>
        </row>
        <row r="70">
          <cell r="B70" t="str">
            <v>Rakdos Charm</v>
          </cell>
          <cell r="C70" t="str">
            <v>Rakdos Charm</v>
          </cell>
        </row>
        <row r="71">
          <cell r="B71" t="str">
            <v>Path to Exile</v>
          </cell>
          <cell r="C71" t="str">
            <v>Path to Exile</v>
          </cell>
        </row>
        <row r="72">
          <cell r="B72" t="str">
            <v>Murderous Cut</v>
          </cell>
          <cell r="C72" t="str">
            <v>Murderous Cut</v>
          </cell>
        </row>
        <row r="73">
          <cell r="B73" t="str">
            <v>Chaos Warp</v>
          </cell>
          <cell r="C73" t="str">
            <v>Chaos Warp</v>
          </cell>
        </row>
        <row r="74">
          <cell r="B74" t="str">
            <v>Vanquish the Horde</v>
          </cell>
          <cell r="C74" t="str">
            <v>Vanquish the Horde</v>
          </cell>
        </row>
        <row r="75">
          <cell r="B75" t="str">
            <v>Thing in the Ice</v>
          </cell>
          <cell r="C75" t="str">
            <v>Thing in the Ice</v>
          </cell>
        </row>
        <row r="76">
          <cell r="B76" t="str">
            <v>Terminus</v>
          </cell>
          <cell r="C76" t="str">
            <v>Terminus</v>
          </cell>
        </row>
        <row r="77">
          <cell r="B77" t="str">
            <v>Mythos of Snapdax</v>
          </cell>
          <cell r="C77" t="str">
            <v>Avatar's Wrath</v>
          </cell>
        </row>
        <row r="78">
          <cell r="B78" t="str">
            <v>Promise of Loyalty</v>
          </cell>
          <cell r="C78" t="str">
            <v>Promise of Loyalty</v>
          </cell>
        </row>
        <row r="79">
          <cell r="B79" t="str">
            <v>Sculpted Sunburst</v>
          </cell>
          <cell r="C79" t="str">
            <v>Sculpted Sunburst</v>
          </cell>
        </row>
        <row r="80">
          <cell r="B80" t="str">
            <v>An Offer You Can't Refuse</v>
          </cell>
          <cell r="C80" t="str">
            <v>An Offer You Can't Refuse</v>
          </cell>
        </row>
        <row r="81">
          <cell r="B81" t="str">
            <v>Counterspell</v>
          </cell>
          <cell r="C81" t="str">
            <v>Counterspell</v>
          </cell>
        </row>
        <row r="82">
          <cell r="B82" t="str">
            <v>Dovin's Veto</v>
          </cell>
          <cell r="C82" t="str">
            <v>Dovin's Veto</v>
          </cell>
        </row>
        <row r="83">
          <cell r="B83" t="str">
            <v>Unwind</v>
          </cell>
          <cell r="C83" t="str">
            <v>Unwind</v>
          </cell>
        </row>
        <row r="84">
          <cell r="B84" t="str">
            <v>Bruma Etérea</v>
          </cell>
          <cell r="C84" t="str">
            <v>Glen Elendra's Answer</v>
          </cell>
        </row>
        <row r="85">
          <cell r="B85" t="str">
            <v>Whirlwind Denial</v>
          </cell>
          <cell r="C85" t="str">
            <v>Whirlwind Denial</v>
          </cell>
        </row>
        <row r="86">
          <cell r="B86" t="str">
            <v>Chronomantic Escape</v>
          </cell>
          <cell r="C86" t="str">
            <v>Chronomantic Escape</v>
          </cell>
        </row>
        <row r="87">
          <cell r="B87" t="str">
            <v>Comeuppance</v>
          </cell>
          <cell r="C87" t="str">
            <v>Comeuppance</v>
          </cell>
        </row>
        <row r="88">
          <cell r="B88" t="str">
            <v>Deflecting Palm</v>
          </cell>
          <cell r="C88" t="str">
            <v>Deflecting Palm</v>
          </cell>
        </row>
        <row r="89">
          <cell r="B89" t="str">
            <v>Mandate of Peace</v>
          </cell>
          <cell r="C89" t="str">
            <v>Mandate of Peace</v>
          </cell>
        </row>
        <row r="90">
          <cell r="B90" t="str">
            <v>Prismatic Strands</v>
          </cell>
          <cell r="C90" t="str">
            <v>Prismatic Strands</v>
          </cell>
        </row>
        <row r="91">
          <cell r="B91" t="str">
            <v>Take the Bait</v>
          </cell>
          <cell r="C91" t="str">
            <v>Take the Bait</v>
          </cell>
        </row>
        <row r="92">
          <cell r="B92" t="str">
            <v>Dawn Charm</v>
          </cell>
          <cell r="C92" t="str">
            <v>Dawn Charm</v>
          </cell>
        </row>
        <row r="93">
          <cell r="B93" t="str">
            <v>Aetherize</v>
          </cell>
          <cell r="C93" t="str">
            <v>Aetherize</v>
          </cell>
        </row>
        <row r="94">
          <cell r="B94" t="str">
            <v>Riot Control</v>
          </cell>
          <cell r="C94" t="str">
            <v>Riot Control</v>
          </cell>
        </row>
        <row r="95">
          <cell r="B95" t="str">
            <v>Settle the Wreckage</v>
          </cell>
          <cell r="C95" t="str">
            <v>Settle the Wreckage</v>
          </cell>
        </row>
        <row r="96">
          <cell r="B96" t="str">
            <v>Pain Magnification</v>
          </cell>
          <cell r="C96" t="str">
            <v>Pain Magnification</v>
          </cell>
        </row>
        <row r="97">
          <cell r="B97" t="str">
            <v>Exquisite Blood</v>
          </cell>
          <cell r="C97" t="str">
            <v>Exquisite Blood</v>
          </cell>
        </row>
        <row r="98">
          <cell r="B98" t="str">
            <v>Bloodchief Ascension</v>
          </cell>
          <cell r="C98" t="str">
            <v>Bloodchief Ascension</v>
          </cell>
        </row>
        <row r="99">
          <cell r="B99" t="str">
            <v>Ojer Pakpatiq, Deepest Epoch</v>
          </cell>
          <cell r="C99" t="str">
            <v>Ojer Pakpatiq, Deepest Epoch</v>
          </cell>
        </row>
        <row r="100">
          <cell r="B100" t="str">
            <v>Basilisk Collar</v>
          </cell>
          <cell r="C100" t="str">
            <v>Basilisk Collar</v>
          </cell>
        </row>
        <row r="101">
          <cell r="B101" t="str">
            <v>Blind Obedience</v>
          </cell>
          <cell r="C101" t="str">
            <v>Blind Obedience</v>
          </cell>
        </row>
        <row r="102">
          <cell r="B102" t="str">
            <v>Kambal, Consul of Allocation</v>
          </cell>
          <cell r="C102" t="str">
            <v>Kambal, Consul of Allocation</v>
          </cell>
        </row>
      </sheetData>
      <sheetData sheetId="12">
        <row r="2">
          <cell r="G2">
            <v>13</v>
          </cell>
        </row>
        <row r="3">
          <cell r="B3" t="str">
            <v>Yuriko, the Tiger's Shadow</v>
          </cell>
          <cell r="C3" t="str">
            <v>Yuriko, the Tiger's Shadow</v>
          </cell>
        </row>
        <row r="4">
          <cell r="B4" t="str">
            <v>Castle Vantress</v>
          </cell>
          <cell r="C4" t="str">
            <v>Castle Vantress</v>
          </cell>
        </row>
        <row r="5">
          <cell r="B5" t="str">
            <v>Bojuka Bog</v>
          </cell>
          <cell r="C5" t="str">
            <v>Bojuka Bog</v>
          </cell>
        </row>
        <row r="6">
          <cell r="B6" t="str">
            <v>Swamp</v>
          </cell>
          <cell r="C6" t="str">
            <v>Shizo, Death's Storehouse</v>
          </cell>
        </row>
        <row r="7">
          <cell r="B7" t="str">
            <v>Island</v>
          </cell>
          <cell r="C7" t="str">
            <v>Sea Gate Restoration</v>
          </cell>
        </row>
        <row r="8">
          <cell r="B8" t="str">
            <v>Zof Bloodbog</v>
          </cell>
          <cell r="C8" t="str">
            <v>Zof Bloodbog</v>
          </cell>
        </row>
        <row r="9">
          <cell r="B9" t="str">
            <v>Swamp</v>
          </cell>
          <cell r="C9" t="str">
            <v>Morphic Pool</v>
          </cell>
        </row>
        <row r="10">
          <cell r="B10" t="str">
            <v>Mystic Sanctuary</v>
          </cell>
          <cell r="C10" t="str">
            <v>Mystic Sanctuary</v>
          </cell>
        </row>
        <row r="11">
          <cell r="B11" t="str">
            <v>Halimar Depths</v>
          </cell>
          <cell r="C11" t="str">
            <v>Halimar Depths</v>
          </cell>
        </row>
        <row r="12">
          <cell r="B12" t="str">
            <v>Reliquary Tower</v>
          </cell>
          <cell r="C12" t="str">
            <v>Reliquary Tower</v>
          </cell>
        </row>
        <row r="13">
          <cell r="B13" t="str">
            <v>Swamp</v>
          </cell>
          <cell r="C13" t="str">
            <v>Creeping Tar Pit</v>
          </cell>
        </row>
        <row r="14">
          <cell r="B14" t="str">
            <v>Tolaria West</v>
          </cell>
          <cell r="C14" t="str">
            <v>Tolaria West</v>
          </cell>
        </row>
        <row r="15">
          <cell r="B15" t="str">
            <v>Command Tower</v>
          </cell>
          <cell r="C15" t="str">
            <v>Command Tower</v>
          </cell>
        </row>
        <row r="16">
          <cell r="B16" t="str">
            <v>Faerie Conclave</v>
          </cell>
          <cell r="C16" t="str">
            <v>Faerie Conclave</v>
          </cell>
        </row>
        <row r="17">
          <cell r="B17" t="str">
            <v>Mutavault</v>
          </cell>
          <cell r="C17" t="str">
            <v>Mutavault</v>
          </cell>
        </row>
        <row r="18">
          <cell r="B18" t="str">
            <v>Access Tunnel</v>
          </cell>
          <cell r="C18" t="str">
            <v>Access Tunnel</v>
          </cell>
        </row>
        <row r="19">
          <cell r="B19" t="str">
            <v>Swamp</v>
          </cell>
          <cell r="C19" t="str">
            <v>Watery Grave</v>
          </cell>
        </row>
        <row r="20">
          <cell r="B20" t="str">
            <v>Island</v>
          </cell>
          <cell r="C20" t="str">
            <v>Drowned Catacomb</v>
          </cell>
        </row>
        <row r="21">
          <cell r="B21" t="str">
            <v>Island</v>
          </cell>
          <cell r="C21" t="str">
            <v>Rivendell</v>
          </cell>
        </row>
        <row r="22">
          <cell r="B22" t="str">
            <v>Reflecting Pool</v>
          </cell>
          <cell r="C22" t="str">
            <v>Reflecting Pool</v>
          </cell>
        </row>
        <row r="23">
          <cell r="B23" t="str">
            <v>Temple of Deceit</v>
          </cell>
          <cell r="C23" t="str">
            <v>Temple of Deceit</v>
          </cell>
        </row>
        <row r="24">
          <cell r="B24" t="str">
            <v>Island</v>
          </cell>
          <cell r="C24" t="str">
            <v>Island</v>
          </cell>
        </row>
        <row r="25">
          <cell r="B25" t="str">
            <v>Island</v>
          </cell>
          <cell r="C25" t="str">
            <v>Island</v>
          </cell>
        </row>
        <row r="26">
          <cell r="B26" t="str">
            <v>Island</v>
          </cell>
          <cell r="C26" t="str">
            <v>Island</v>
          </cell>
        </row>
        <row r="27">
          <cell r="B27" t="str">
            <v>Island</v>
          </cell>
          <cell r="C27" t="str">
            <v>Island</v>
          </cell>
        </row>
        <row r="28">
          <cell r="B28" t="str">
            <v>Island</v>
          </cell>
          <cell r="C28" t="str">
            <v>Island</v>
          </cell>
        </row>
        <row r="29">
          <cell r="B29" t="str">
            <v>Island</v>
          </cell>
          <cell r="C29" t="str">
            <v>Island</v>
          </cell>
        </row>
        <row r="30">
          <cell r="B30" t="str">
            <v>Island</v>
          </cell>
          <cell r="C30" t="str">
            <v>Island</v>
          </cell>
        </row>
        <row r="31">
          <cell r="B31" t="str">
            <v>Swamp</v>
          </cell>
          <cell r="C31" t="str">
            <v>Swamp</v>
          </cell>
        </row>
        <row r="32">
          <cell r="B32" t="str">
            <v>Swamp</v>
          </cell>
          <cell r="C32" t="str">
            <v>Swamp</v>
          </cell>
        </row>
        <row r="33">
          <cell r="B33" t="str">
            <v>Swamp</v>
          </cell>
          <cell r="C33" t="str">
            <v>Swamp</v>
          </cell>
        </row>
        <row r="34">
          <cell r="B34" t="str">
            <v>Swamp</v>
          </cell>
          <cell r="C34" t="str">
            <v>Swamp</v>
          </cell>
        </row>
        <row r="35">
          <cell r="B35" t="str">
            <v>Swamp</v>
          </cell>
          <cell r="C35" t="str">
            <v>Swamp</v>
          </cell>
        </row>
        <row r="36">
          <cell r="B36" t="str">
            <v>Swamp</v>
          </cell>
          <cell r="C36" t="str">
            <v>Swamp</v>
          </cell>
        </row>
        <row r="37">
          <cell r="B37" t="str">
            <v>Scheming Symmetry</v>
          </cell>
          <cell r="C37" t="str">
            <v>Scheming Symmetry</v>
          </cell>
        </row>
        <row r="38">
          <cell r="B38" t="str">
            <v>Death Rattle</v>
          </cell>
          <cell r="C38" t="str">
            <v>Satoru, the Infiltrator</v>
          </cell>
        </row>
        <row r="39">
          <cell r="B39" t="str">
            <v>Varragoth, Bloodsky Sire</v>
          </cell>
          <cell r="C39" t="str">
            <v>Varragoth, Bloodsky Sire</v>
          </cell>
        </row>
        <row r="40">
          <cell r="B40" t="str">
            <v>Brainstorm</v>
          </cell>
          <cell r="C40" t="str">
            <v>Brainstorm</v>
          </cell>
        </row>
        <row r="41">
          <cell r="B41" t="str">
            <v>Treasure Cruise</v>
          </cell>
          <cell r="C41" t="str">
            <v>Treasure Cruise</v>
          </cell>
        </row>
        <row r="42">
          <cell r="B42" t="str">
            <v>Eaten Alive</v>
          </cell>
          <cell r="C42" t="str">
            <v>Keen Duelist</v>
          </cell>
        </row>
        <row r="43">
          <cell r="B43" t="str">
            <v>Protection Racket</v>
          </cell>
          <cell r="C43" t="str">
            <v>Protection Racket</v>
          </cell>
        </row>
        <row r="44">
          <cell r="B44" t="str">
            <v>Personal Tutor</v>
          </cell>
          <cell r="C44" t="str">
            <v>Personal Tutor</v>
          </cell>
        </row>
        <row r="45">
          <cell r="B45" t="str">
            <v>Dig Through Time</v>
          </cell>
          <cell r="C45" t="str">
            <v>Dig Through Time</v>
          </cell>
        </row>
        <row r="46">
          <cell r="B46" t="str">
            <v>Mystical Tutor</v>
          </cell>
          <cell r="C46" t="str">
            <v>Mystical Tutor</v>
          </cell>
        </row>
        <row r="47">
          <cell r="B47" t="str">
            <v>Tetsuko Umezawa, Fugitive</v>
          </cell>
          <cell r="C47" t="str">
            <v>Tetsuko Umezawa, Fugitive</v>
          </cell>
        </row>
        <row r="48">
          <cell r="B48" t="str">
            <v>Changeling Outcast</v>
          </cell>
          <cell r="C48" t="str">
            <v>Changeling Outcast</v>
          </cell>
        </row>
        <row r="49">
          <cell r="B49" t="str">
            <v>Slither Blade</v>
          </cell>
          <cell r="C49" t="str">
            <v>Slither Blade</v>
          </cell>
        </row>
        <row r="50">
          <cell r="B50" t="str">
            <v>Thalakos Seer</v>
          </cell>
          <cell r="C50" t="str">
            <v>Thalakos Seer</v>
          </cell>
        </row>
        <row r="51">
          <cell r="B51" t="str">
            <v>Mausoleum Wanderer</v>
          </cell>
          <cell r="C51" t="str">
            <v>Mausoleum Wanderer</v>
          </cell>
        </row>
        <row r="52">
          <cell r="B52" t="str">
            <v>Siren Stormtamer</v>
          </cell>
          <cell r="C52" t="str">
            <v>Siren Stormtamer</v>
          </cell>
        </row>
        <row r="53">
          <cell r="B53" t="str">
            <v>Tormented Soul</v>
          </cell>
          <cell r="C53" t="str">
            <v>Tormented Soul</v>
          </cell>
        </row>
        <row r="54">
          <cell r="B54" t="str">
            <v>Silent Hallcreeper</v>
          </cell>
          <cell r="C54" t="str">
            <v>Silent Hallcreeper</v>
          </cell>
        </row>
        <row r="55">
          <cell r="B55" t="str">
            <v>Gingerbrute</v>
          </cell>
          <cell r="C55" t="str">
            <v>Gingerbrute</v>
          </cell>
        </row>
        <row r="56">
          <cell r="B56" t="str">
            <v>Ingenious Prodigy</v>
          </cell>
          <cell r="C56" t="str">
            <v>Ingenious Prodigy</v>
          </cell>
        </row>
        <row r="57">
          <cell r="B57" t="str">
            <v>Thousand-Faced Shadow</v>
          </cell>
          <cell r="C57" t="str">
            <v>Thousand-Faced Shadow</v>
          </cell>
        </row>
        <row r="58">
          <cell r="B58" t="str">
            <v>Oboro Breezecaller</v>
          </cell>
          <cell r="C58" t="str">
            <v>Oboro Breezecaller</v>
          </cell>
        </row>
        <row r="59">
          <cell r="B59" t="str">
            <v>Mothdust Changeling</v>
          </cell>
          <cell r="C59" t="str">
            <v>Mothdust Changeling</v>
          </cell>
        </row>
        <row r="60">
          <cell r="B60" t="str">
            <v>Faerie Seer</v>
          </cell>
          <cell r="C60" t="str">
            <v>Faerie Seer</v>
          </cell>
        </row>
        <row r="61">
          <cell r="B61" t="str">
            <v>Thieves' Tools</v>
          </cell>
          <cell r="C61" t="str">
            <v>Thieves' Tools</v>
          </cell>
        </row>
        <row r="62">
          <cell r="B62" t="str">
            <v>Wings of Hubris</v>
          </cell>
          <cell r="C62" t="str">
            <v>Wings of Hubris</v>
          </cell>
        </row>
        <row r="63">
          <cell r="B63" t="str">
            <v>Wingcrafter</v>
          </cell>
          <cell r="C63" t="str">
            <v>Wingcrafter</v>
          </cell>
        </row>
        <row r="64">
          <cell r="B64" t="str">
            <v>Gossip's Talent</v>
          </cell>
          <cell r="C64" t="str">
            <v>Gossip's Talent</v>
          </cell>
        </row>
        <row r="65">
          <cell r="B65" t="str">
            <v>Sword Coast Sailor</v>
          </cell>
          <cell r="C65" t="str">
            <v>Sword Coast Sailor</v>
          </cell>
        </row>
        <row r="66">
          <cell r="B66" t="str">
            <v>Smoke Shroud</v>
          </cell>
          <cell r="C66" t="str">
            <v>Psychic Paper</v>
          </cell>
        </row>
        <row r="67">
          <cell r="B67" t="str">
            <v>Consuming Tide</v>
          </cell>
          <cell r="C67" t="str">
            <v>Consuming Tide</v>
          </cell>
        </row>
        <row r="68">
          <cell r="B68" t="str">
            <v>Evacuation</v>
          </cell>
          <cell r="C68" t="str">
            <v>Evacuation</v>
          </cell>
        </row>
        <row r="69">
          <cell r="B69" t="str">
            <v>Whelming Wave</v>
          </cell>
          <cell r="C69" t="str">
            <v>Faerie Slumber Party</v>
          </cell>
        </row>
        <row r="70">
          <cell r="B70" t="str">
            <v>Inundate</v>
          </cell>
          <cell r="C70" t="str">
            <v>Inundate</v>
          </cell>
        </row>
        <row r="71">
          <cell r="B71" t="str">
            <v>Flood of Tears</v>
          </cell>
          <cell r="C71" t="str">
            <v>Flood of Tears</v>
          </cell>
        </row>
        <row r="72">
          <cell r="B72" t="str">
            <v>Coastal Breach</v>
          </cell>
          <cell r="C72" t="str">
            <v>Coastal Breach</v>
          </cell>
        </row>
        <row r="73">
          <cell r="B73" t="str">
            <v>Crush of Tentacles</v>
          </cell>
          <cell r="C73" t="str">
            <v>Crush of Tentacles</v>
          </cell>
        </row>
        <row r="74">
          <cell r="B74" t="str">
            <v>Negate</v>
          </cell>
          <cell r="C74" t="str">
            <v>Negate</v>
          </cell>
        </row>
        <row r="75">
          <cell r="B75" t="str">
            <v>Mystic Reflection</v>
          </cell>
          <cell r="C75" t="str">
            <v>Mystic Reflection</v>
          </cell>
        </row>
        <row r="76">
          <cell r="B76" t="str">
            <v>Counterspell</v>
          </cell>
          <cell r="C76" t="str">
            <v>Counterspell</v>
          </cell>
        </row>
        <row r="77">
          <cell r="B77" t="str">
            <v>Whirlwind Denial</v>
          </cell>
          <cell r="C77" t="str">
            <v>Whirlwind Denial</v>
          </cell>
        </row>
        <row r="78">
          <cell r="B78" t="str">
            <v>Familiar's Ruse</v>
          </cell>
          <cell r="C78" t="str">
            <v>Familiar's Ruse</v>
          </cell>
        </row>
        <row r="79">
          <cell r="B79" t="str">
            <v>Spark Harvest</v>
          </cell>
          <cell r="C79" t="str">
            <v>Spark Harvest</v>
          </cell>
        </row>
        <row r="80">
          <cell r="B80" t="str">
            <v>Bone Shards</v>
          </cell>
          <cell r="C80" t="str">
            <v>Bone Shards</v>
          </cell>
        </row>
        <row r="81">
          <cell r="B81" t="str">
            <v>Dismember</v>
          </cell>
          <cell r="C81" t="str">
            <v>Dismember</v>
          </cell>
        </row>
        <row r="82">
          <cell r="B82" t="str">
            <v>Murderous Cut</v>
          </cell>
          <cell r="C82" t="str">
            <v>Murderous Cut</v>
          </cell>
        </row>
        <row r="83">
          <cell r="B83" t="str">
            <v>Unwind</v>
          </cell>
          <cell r="C83" t="str">
            <v>Unwind</v>
          </cell>
        </row>
        <row r="84">
          <cell r="B84" t="str">
            <v>Abjure</v>
          </cell>
          <cell r="C84" t="str">
            <v>Abjure</v>
          </cell>
        </row>
        <row r="85">
          <cell r="B85" t="str">
            <v>Karn's Temporal Sundering</v>
          </cell>
          <cell r="C85" t="str">
            <v>Temporal Trespass</v>
          </cell>
        </row>
        <row r="86">
          <cell r="B86" t="str">
            <v>Temporal Mastery</v>
          </cell>
          <cell r="C86" t="str">
            <v>Temporal Mastery</v>
          </cell>
        </row>
        <row r="87">
          <cell r="B87" t="str">
            <v>Time Warp</v>
          </cell>
          <cell r="C87" t="str">
            <v>Time Warp</v>
          </cell>
        </row>
        <row r="88">
          <cell r="B88" t="str">
            <v>Part the Waterveil</v>
          </cell>
          <cell r="C88" t="str">
            <v>Temporal Manipulation</v>
          </cell>
        </row>
        <row r="89">
          <cell r="B89" t="str">
            <v>Walk the Aeons</v>
          </cell>
          <cell r="C89" t="str">
            <v>Walk the Aeons</v>
          </cell>
        </row>
        <row r="90">
          <cell r="B90" t="str">
            <v>Leyline of Transformation</v>
          </cell>
          <cell r="C90" t="str">
            <v>Leyline of Transformation</v>
          </cell>
        </row>
        <row r="91">
          <cell r="B91" t="str">
            <v>Conspiracy</v>
          </cell>
          <cell r="C91" t="str">
            <v>Conspiracy</v>
          </cell>
        </row>
        <row r="92">
          <cell r="B92" t="str">
            <v>Maskwood Nexus</v>
          </cell>
          <cell r="C92" t="str">
            <v>Maskwood Nexus</v>
          </cell>
        </row>
        <row r="93">
          <cell r="B93" t="str">
            <v>Arcane Adaptation</v>
          </cell>
          <cell r="C93" t="str">
            <v>Arcane Adaptation</v>
          </cell>
        </row>
        <row r="94">
          <cell r="B94" t="str">
            <v>Vile Consumption</v>
          </cell>
          <cell r="C94" t="str">
            <v>Vile Consumption</v>
          </cell>
        </row>
        <row r="95">
          <cell r="B95" t="str">
            <v>Prosperous Thief</v>
          </cell>
          <cell r="C95" t="str">
            <v>Prosperous Thief</v>
          </cell>
        </row>
        <row r="96">
          <cell r="B96" t="str">
            <v>Nashi, Moon Sage's Scion</v>
          </cell>
          <cell r="C96" t="str">
            <v>Nashi, Moon Sage's Scion</v>
          </cell>
        </row>
        <row r="97">
          <cell r="B97" t="str">
            <v>Parker Luck</v>
          </cell>
          <cell r="C97" t="str">
            <v>Parker Luck</v>
          </cell>
        </row>
        <row r="98">
          <cell r="B98" t="str">
            <v>Thassa, God of the Sea</v>
          </cell>
          <cell r="C98" t="str">
            <v>Thassa, God of the Sea</v>
          </cell>
        </row>
        <row r="99">
          <cell r="B99" t="str">
            <v>Sensei's Divining Top</v>
          </cell>
          <cell r="C99" t="str">
            <v>Sensei's Divining Top</v>
          </cell>
        </row>
        <row r="100">
          <cell r="B100" t="str">
            <v>Amoeboid Changeling</v>
          </cell>
          <cell r="C100" t="str">
            <v>Amoeboid Changeling</v>
          </cell>
        </row>
        <row r="101">
          <cell r="B101" t="str">
            <v>Dour Port-Mage</v>
          </cell>
          <cell r="C101" t="str">
            <v>Dour Port-Mage</v>
          </cell>
        </row>
        <row r="102">
          <cell r="B102" t="str">
            <v>Scroll Rack</v>
          </cell>
          <cell r="C102" t="str">
            <v>Scroll Rack</v>
          </cell>
        </row>
      </sheetData>
      <sheetData sheetId="13">
        <row r="2">
          <cell r="G2">
            <v>1</v>
          </cell>
        </row>
        <row r="3">
          <cell r="B3" t="str">
            <v>Zedruu the Greathearted</v>
          </cell>
          <cell r="C3" t="str">
            <v>Zedruu the Greathearted</v>
          </cell>
        </row>
        <row r="4">
          <cell r="B4" t="str">
            <v>Mountain</v>
          </cell>
          <cell r="C4" t="str">
            <v>Homeward Path</v>
          </cell>
        </row>
        <row r="5">
          <cell r="B5" t="str">
            <v>Reliquary Tower</v>
          </cell>
          <cell r="C5" t="str">
            <v>Reliquary Tower</v>
          </cell>
        </row>
        <row r="6">
          <cell r="B6" t="str">
            <v>Evolving Wilds</v>
          </cell>
          <cell r="C6" t="str">
            <v>Evolving Wilds</v>
          </cell>
        </row>
        <row r="7">
          <cell r="B7" t="str">
            <v>Terramorphic Expanse</v>
          </cell>
          <cell r="C7" t="str">
            <v>Terramorphic Expanse</v>
          </cell>
        </row>
        <row r="8">
          <cell r="B8" t="str">
            <v>Mystic Monastery</v>
          </cell>
          <cell r="C8" t="str">
            <v>Mystic Monastery</v>
          </cell>
        </row>
        <row r="9">
          <cell r="B9" t="str">
            <v>Command Tower</v>
          </cell>
          <cell r="C9" t="str">
            <v>Command Tower</v>
          </cell>
        </row>
        <row r="10">
          <cell r="B10" t="str">
            <v>Temple of the False God</v>
          </cell>
          <cell r="C10" t="str">
            <v>Temple of the False God</v>
          </cell>
        </row>
        <row r="11">
          <cell r="B11" t="str">
            <v>Myriad Landscape</v>
          </cell>
          <cell r="C11" t="str">
            <v>Myriad Landscape</v>
          </cell>
        </row>
        <row r="12">
          <cell r="B12" t="str">
            <v>Exotic Orchard</v>
          </cell>
          <cell r="C12" t="str">
            <v>Exotic Orchard</v>
          </cell>
        </row>
        <row r="13">
          <cell r="B13" t="str">
            <v>Battlefield Forge</v>
          </cell>
          <cell r="C13" t="str">
            <v>Battlefield Forge</v>
          </cell>
        </row>
        <row r="14">
          <cell r="B14" t="str">
            <v>Shivan Reef</v>
          </cell>
          <cell r="C14" t="str">
            <v>Shivan Reef</v>
          </cell>
        </row>
        <row r="15">
          <cell r="B15" t="str">
            <v>Adarkar Wastes</v>
          </cell>
          <cell r="C15" t="str">
            <v>Adarkar Wastes</v>
          </cell>
        </row>
        <row r="16">
          <cell r="B16" t="str">
            <v>Glacial Fortress</v>
          </cell>
          <cell r="C16" t="str">
            <v>Glacial Fortress</v>
          </cell>
        </row>
        <row r="17">
          <cell r="B17" t="str">
            <v>Mountain</v>
          </cell>
          <cell r="C17" t="str">
            <v>Mountain</v>
          </cell>
        </row>
        <row r="18">
          <cell r="B18" t="str">
            <v>Mountain</v>
          </cell>
          <cell r="C18" t="str">
            <v>Mountain</v>
          </cell>
        </row>
        <row r="19">
          <cell r="B19" t="str">
            <v>Mountain</v>
          </cell>
          <cell r="C19" t="str">
            <v>Mountain</v>
          </cell>
        </row>
        <row r="20">
          <cell r="B20" t="str">
            <v>Mountain</v>
          </cell>
          <cell r="C20" t="str">
            <v>Mountain</v>
          </cell>
        </row>
        <row r="21">
          <cell r="B21" t="str">
            <v>Mountain</v>
          </cell>
          <cell r="C21" t="str">
            <v>Mountain</v>
          </cell>
        </row>
        <row r="22">
          <cell r="B22" t="str">
            <v>Mountain</v>
          </cell>
          <cell r="C22" t="str">
            <v>Mountain</v>
          </cell>
        </row>
        <row r="23">
          <cell r="B23" t="str">
            <v>Mountain</v>
          </cell>
          <cell r="C23" t="str">
            <v>Mountain</v>
          </cell>
        </row>
        <row r="24">
          <cell r="B24" t="str">
            <v>Island</v>
          </cell>
          <cell r="C24" t="str">
            <v>Island</v>
          </cell>
        </row>
        <row r="25">
          <cell r="B25" t="str">
            <v>Island</v>
          </cell>
          <cell r="C25" t="str">
            <v>Island</v>
          </cell>
        </row>
        <row r="26">
          <cell r="B26" t="str">
            <v>Island</v>
          </cell>
          <cell r="C26" t="str">
            <v>Island</v>
          </cell>
        </row>
        <row r="27">
          <cell r="B27" t="str">
            <v>Island</v>
          </cell>
          <cell r="C27" t="str">
            <v>Island</v>
          </cell>
        </row>
        <row r="28">
          <cell r="B28" t="str">
            <v>Island</v>
          </cell>
          <cell r="C28" t="str">
            <v>Island</v>
          </cell>
        </row>
        <row r="29">
          <cell r="B29" t="str">
            <v>Island</v>
          </cell>
          <cell r="C29" t="str">
            <v>Island</v>
          </cell>
        </row>
        <row r="30">
          <cell r="B30" t="str">
            <v>Island</v>
          </cell>
          <cell r="C30" t="str">
            <v>Island</v>
          </cell>
        </row>
        <row r="31">
          <cell r="B31" t="str">
            <v>Island</v>
          </cell>
          <cell r="C31" t="str">
            <v>Island</v>
          </cell>
        </row>
        <row r="32">
          <cell r="B32" t="str">
            <v>Island</v>
          </cell>
          <cell r="C32" t="str">
            <v>Island</v>
          </cell>
        </row>
        <row r="33">
          <cell r="B33" t="str">
            <v>Plains</v>
          </cell>
          <cell r="C33" t="str">
            <v>Plains</v>
          </cell>
        </row>
        <row r="34">
          <cell r="B34" t="str">
            <v>Plains</v>
          </cell>
          <cell r="C34" t="str">
            <v>Plains</v>
          </cell>
        </row>
        <row r="35">
          <cell r="B35" t="str">
            <v>Plains</v>
          </cell>
          <cell r="C35" t="str">
            <v>Plains</v>
          </cell>
        </row>
        <row r="36">
          <cell r="B36" t="str">
            <v>Plains</v>
          </cell>
          <cell r="C36" t="str">
            <v>Plains</v>
          </cell>
        </row>
        <row r="37">
          <cell r="B37" t="str">
            <v>Plains</v>
          </cell>
          <cell r="C37" t="str">
            <v>Plains</v>
          </cell>
        </row>
        <row r="38">
          <cell r="B38" t="str">
            <v>Plains</v>
          </cell>
          <cell r="C38" t="str">
            <v>Plains</v>
          </cell>
        </row>
        <row r="39">
          <cell r="B39" t="str">
            <v>Plains</v>
          </cell>
          <cell r="C39" t="str">
            <v>Plains</v>
          </cell>
        </row>
        <row r="40">
          <cell r="B40" t="str">
            <v>Sol Ring</v>
          </cell>
          <cell r="C40" t="str">
            <v>Sol Ring</v>
          </cell>
        </row>
        <row r="41">
          <cell r="B41" t="str">
            <v>Thought Vessel</v>
          </cell>
          <cell r="C41" t="str">
            <v>Thought Vessel</v>
          </cell>
        </row>
        <row r="42">
          <cell r="B42" t="str">
            <v>Prismatic Lens</v>
          </cell>
          <cell r="C42" t="str">
            <v>Prismatic Lens</v>
          </cell>
        </row>
        <row r="43">
          <cell r="B43" t="str">
            <v>Worn Powerstone</v>
          </cell>
          <cell r="C43" t="str">
            <v>Worn Powerstone</v>
          </cell>
        </row>
        <row r="44">
          <cell r="B44" t="str">
            <v>Discerning Financier</v>
          </cell>
          <cell r="C44" t="str">
            <v>Discerning Financier</v>
          </cell>
        </row>
        <row r="45">
          <cell r="B45" t="str">
            <v>Azorius Signet</v>
          </cell>
          <cell r="C45" t="str">
            <v>Azorius Signet</v>
          </cell>
        </row>
        <row r="46">
          <cell r="B46" t="str">
            <v>Boros Signet</v>
          </cell>
          <cell r="C46" t="str">
            <v>Boros Signet</v>
          </cell>
        </row>
        <row r="47">
          <cell r="B47" t="str">
            <v>Decanter of Endless Water</v>
          </cell>
          <cell r="C47" t="str">
            <v>Decanter of Endless Water</v>
          </cell>
        </row>
        <row r="48">
          <cell r="B48" t="str">
            <v>Treasure Nabber</v>
          </cell>
          <cell r="C48" t="str">
            <v>Treasure Nabber</v>
          </cell>
        </row>
        <row r="49">
          <cell r="B49" t="str">
            <v>Izzet Signet</v>
          </cell>
          <cell r="C49" t="str">
            <v>Izzet Signet</v>
          </cell>
        </row>
        <row r="50">
          <cell r="B50" t="str">
            <v>Counterspell</v>
          </cell>
          <cell r="C50" t="str">
            <v>Counterspell</v>
          </cell>
        </row>
        <row r="51">
          <cell r="B51" t="str">
            <v>Counterflux</v>
          </cell>
          <cell r="C51" t="str">
            <v>Counterflux</v>
          </cell>
        </row>
        <row r="52">
          <cell r="B52" t="str">
            <v>Pact of Negation</v>
          </cell>
          <cell r="C52" t="str">
            <v>Pact of Negation</v>
          </cell>
        </row>
        <row r="53">
          <cell r="B53" t="str">
            <v>Time Wipe</v>
          </cell>
          <cell r="C53" t="str">
            <v>Time Wipe</v>
          </cell>
        </row>
        <row r="54">
          <cell r="B54" t="str">
            <v>Chained to the Rocks</v>
          </cell>
          <cell r="C54" t="str">
            <v>Chained to the Rocks</v>
          </cell>
        </row>
        <row r="55">
          <cell r="B55" t="str">
            <v>Slash the Ranks</v>
          </cell>
          <cell r="C55" t="str">
            <v>Slash the Ranks</v>
          </cell>
        </row>
        <row r="56">
          <cell r="B56" t="str">
            <v>Imprisoned in the Moon</v>
          </cell>
          <cell r="C56" t="str">
            <v>Imprisoned in the Moon</v>
          </cell>
        </row>
        <row r="57">
          <cell r="B57" t="str">
            <v>Darksteel Mutation</v>
          </cell>
          <cell r="C57" t="str">
            <v>Darksteel Mutation</v>
          </cell>
        </row>
        <row r="58">
          <cell r="B58" t="str">
            <v>Detention Sphere</v>
          </cell>
          <cell r="C58" t="str">
            <v>Detention Sphere</v>
          </cell>
        </row>
        <row r="59">
          <cell r="B59" t="str">
            <v>Unwind</v>
          </cell>
          <cell r="C59" t="str">
            <v>Unwind</v>
          </cell>
        </row>
        <row r="60">
          <cell r="B60" t="str">
            <v>Fumigate</v>
          </cell>
          <cell r="C60" t="str">
            <v>Fumigate</v>
          </cell>
        </row>
        <row r="61">
          <cell r="B61" t="str">
            <v>Emergency Eject</v>
          </cell>
          <cell r="C61" t="str">
            <v>Emergency Eject</v>
          </cell>
        </row>
        <row r="62">
          <cell r="B62" t="str">
            <v>Out of Time</v>
          </cell>
          <cell r="C62" t="str">
            <v>Out of Time</v>
          </cell>
        </row>
        <row r="63">
          <cell r="B63" t="str">
            <v>Dovin's Veto</v>
          </cell>
          <cell r="C63" t="str">
            <v>Dovin's Veto</v>
          </cell>
        </row>
        <row r="64">
          <cell r="B64" t="str">
            <v>One with the Stars</v>
          </cell>
          <cell r="C64" t="str">
            <v>One with the Stars</v>
          </cell>
        </row>
        <row r="65">
          <cell r="B65" t="str">
            <v>Swift Reconfiguration</v>
          </cell>
          <cell r="C65" t="str">
            <v>Swift Reconfiguration</v>
          </cell>
        </row>
        <row r="66">
          <cell r="B66" t="str">
            <v>Hithlain Rope</v>
          </cell>
          <cell r="C66" t="str">
            <v>Hithlain Rope</v>
          </cell>
        </row>
        <row r="67">
          <cell r="B67" t="str">
            <v>Role Reversal</v>
          </cell>
          <cell r="C67" t="str">
            <v>Role Reversal</v>
          </cell>
        </row>
        <row r="68">
          <cell r="B68" t="str">
            <v>Volatile Stormdrake</v>
          </cell>
          <cell r="C68" t="str">
            <v>Volatile Stormdrake</v>
          </cell>
        </row>
        <row r="69">
          <cell r="B69" t="str">
            <v>Yes Man, Personal Securitron</v>
          </cell>
          <cell r="C69" t="str">
            <v>Yes Man, Personal Securitron</v>
          </cell>
        </row>
        <row r="70">
          <cell r="B70" t="str">
            <v>Stiltzkin, Moogle Merchant</v>
          </cell>
          <cell r="C70" t="str">
            <v>Stiltzkin, Moogle Merchant</v>
          </cell>
        </row>
        <row r="71">
          <cell r="B71" t="str">
            <v>Iroh, Tea Master</v>
          </cell>
          <cell r="C71" t="str">
            <v>Iroh, Tea Master</v>
          </cell>
        </row>
        <row r="72">
          <cell r="B72" t="str">
            <v>Coveted Falcon</v>
          </cell>
          <cell r="C72" t="str">
            <v>Coveted Falcon</v>
          </cell>
        </row>
        <row r="73">
          <cell r="B73" t="str">
            <v>Reins of Power</v>
          </cell>
          <cell r="C73" t="str">
            <v>Reins of Power</v>
          </cell>
        </row>
        <row r="74">
          <cell r="B74" t="str">
            <v>Words of War</v>
          </cell>
          <cell r="C74" t="str">
            <v>Words of War</v>
          </cell>
        </row>
        <row r="75">
          <cell r="B75" t="str">
            <v>Aetherflux Reservoir</v>
          </cell>
          <cell r="C75" t="str">
            <v>Aetherflux Reservoir</v>
          </cell>
        </row>
        <row r="76">
          <cell r="B76" t="str">
            <v>Descent into Avernus</v>
          </cell>
          <cell r="C76" t="str">
            <v>Descent into Avernus</v>
          </cell>
        </row>
        <row r="77">
          <cell r="B77" t="str">
            <v>Hive Mind</v>
          </cell>
          <cell r="C77" t="str">
            <v>Hive Mind</v>
          </cell>
        </row>
        <row r="78">
          <cell r="B78" t="str">
            <v>Shared Fate</v>
          </cell>
          <cell r="C78" t="str">
            <v>Shared Fate</v>
          </cell>
        </row>
        <row r="79">
          <cell r="B79" t="str">
            <v>Possibility Storm</v>
          </cell>
          <cell r="C79" t="str">
            <v>Possibility Storm</v>
          </cell>
        </row>
        <row r="80">
          <cell r="B80" t="str">
            <v>Conjured Currency</v>
          </cell>
          <cell r="C80" t="str">
            <v>Conjured Currency</v>
          </cell>
        </row>
        <row r="81">
          <cell r="B81" t="str">
            <v>Share the Spoils</v>
          </cell>
          <cell r="C81" t="str">
            <v>Share the Spoils</v>
          </cell>
        </row>
        <row r="82">
          <cell r="B82" t="str">
            <v>Knowledge Pool</v>
          </cell>
          <cell r="C82" t="str">
            <v>Knowledge Pool</v>
          </cell>
        </row>
        <row r="83">
          <cell r="B83" t="str">
            <v>Perplexing Chimera</v>
          </cell>
          <cell r="C83" t="str">
            <v>Perplexing Chimera</v>
          </cell>
        </row>
        <row r="84">
          <cell r="B84" t="str">
            <v>Puca's Mischief</v>
          </cell>
          <cell r="C84" t="str">
            <v>Puca's Mischief</v>
          </cell>
        </row>
        <row r="85">
          <cell r="B85" t="str">
            <v>Plargg and Nassari</v>
          </cell>
          <cell r="C85" t="str">
            <v>Plargg and Nassari</v>
          </cell>
        </row>
        <row r="86">
          <cell r="B86" t="str">
            <v>Custody Battle</v>
          </cell>
          <cell r="C86" t="str">
            <v>Custody Battle</v>
          </cell>
        </row>
        <row r="87">
          <cell r="B87" t="str">
            <v>Confusion in the Ranks</v>
          </cell>
          <cell r="C87" t="str">
            <v>Confusion in the Ranks</v>
          </cell>
        </row>
        <row r="88">
          <cell r="B88" t="str">
            <v>Manabarbs</v>
          </cell>
          <cell r="C88" t="str">
            <v>Manabarbs</v>
          </cell>
        </row>
        <row r="89">
          <cell r="B89" t="str">
            <v>Powerbalance</v>
          </cell>
          <cell r="C89" t="str">
            <v>Powerbalance</v>
          </cell>
        </row>
        <row r="90">
          <cell r="B90" t="str">
            <v>Diplomatic Immunity</v>
          </cell>
          <cell r="C90" t="str">
            <v>Diplomatic Immunity</v>
          </cell>
        </row>
        <row r="91">
          <cell r="B91" t="str">
            <v>Solitary Confinement</v>
          </cell>
          <cell r="C91" t="str">
            <v>Solitary Confinement</v>
          </cell>
        </row>
        <row r="92">
          <cell r="B92" t="str">
            <v>Aether Flash</v>
          </cell>
          <cell r="C92" t="str">
            <v>Aether Flash</v>
          </cell>
        </row>
        <row r="93">
          <cell r="B93" t="str">
            <v>Lightmine Field</v>
          </cell>
          <cell r="C93" t="str">
            <v>Lightmine Field</v>
          </cell>
        </row>
        <row r="94">
          <cell r="B94" t="str">
            <v>Divine Presence</v>
          </cell>
          <cell r="C94" t="str">
            <v>Divine Presence</v>
          </cell>
        </row>
        <row r="95">
          <cell r="B95" t="str">
            <v>Pramikon, Sky Rampart</v>
          </cell>
          <cell r="C95" t="str">
            <v>Pramikon, Sky Rampart</v>
          </cell>
        </row>
        <row r="96">
          <cell r="B96" t="str">
            <v>The Second Doctor</v>
          </cell>
          <cell r="C96" t="str">
            <v>The Second Doctor</v>
          </cell>
        </row>
        <row r="97">
          <cell r="B97" t="str">
            <v>Ghostly Prison</v>
          </cell>
          <cell r="C97" t="str">
            <v>Ghostly Prison</v>
          </cell>
        </row>
        <row r="98">
          <cell r="B98" t="str">
            <v>Nine Lives</v>
          </cell>
          <cell r="C98" t="str">
            <v>Nine Lives</v>
          </cell>
        </row>
        <row r="99">
          <cell r="B99" t="str">
            <v>Strionic Resonator</v>
          </cell>
          <cell r="C99" t="str">
            <v>Strionic Resonator</v>
          </cell>
        </row>
        <row r="100">
          <cell r="B100" t="str">
            <v>Venser's Journal</v>
          </cell>
          <cell r="C100" t="str">
            <v>Venser's Journal</v>
          </cell>
        </row>
        <row r="101">
          <cell r="B101" t="str">
            <v>Alhammarret's Archive</v>
          </cell>
          <cell r="C101" t="str">
            <v>Alhammarret's Archive</v>
          </cell>
        </row>
        <row r="102">
          <cell r="B102" t="str">
            <v>Paradox Haze</v>
          </cell>
          <cell r="C102" t="str">
            <v>Paradox Haze</v>
          </cell>
        </row>
      </sheetData>
      <sheetData sheetId="14">
        <row r="2">
          <cell r="G2">
            <v>9</v>
          </cell>
        </row>
        <row r="3">
          <cell r="B3" t="str">
            <v>Karlov of the Ghost Council</v>
          </cell>
          <cell r="C3" t="str">
            <v>Karlov of the Ghost Council</v>
          </cell>
        </row>
        <row r="4">
          <cell r="B4" t="str">
            <v>Radiant Fountain</v>
          </cell>
          <cell r="C4" t="str">
            <v>Radiant Fountain</v>
          </cell>
        </row>
        <row r="5">
          <cell r="B5" t="str">
            <v>Kabira Crossroads</v>
          </cell>
          <cell r="C5" t="str">
            <v>Kabira Crossroads</v>
          </cell>
        </row>
        <row r="6">
          <cell r="B6" t="str">
            <v>Mortuary Mire</v>
          </cell>
          <cell r="C6" t="str">
            <v>Mortuary Mire</v>
          </cell>
        </row>
        <row r="7">
          <cell r="B7" t="str">
            <v>Terramorphic Expanse</v>
          </cell>
          <cell r="C7" t="str">
            <v>Terramorphic Expanse</v>
          </cell>
        </row>
        <row r="8">
          <cell r="B8" t="str">
            <v>Arcane Lighthouse</v>
          </cell>
          <cell r="C8" t="str">
            <v>Arcane Lighthouse</v>
          </cell>
        </row>
        <row r="9">
          <cell r="B9" t="str">
            <v>Bojuka Bog</v>
          </cell>
          <cell r="C9" t="str">
            <v>Bojuka Bog</v>
          </cell>
        </row>
        <row r="10">
          <cell r="B10" t="str">
            <v>Shambling Vent</v>
          </cell>
          <cell r="C10" t="str">
            <v>Shambling Vent</v>
          </cell>
        </row>
        <row r="11">
          <cell r="B11" t="str">
            <v>Scoured Barrens</v>
          </cell>
          <cell r="C11" t="str">
            <v>Scoured Barrens</v>
          </cell>
        </row>
        <row r="12">
          <cell r="B12" t="str">
            <v>Malakir Rebirth</v>
          </cell>
          <cell r="C12" t="str">
            <v>Malakir Rebirth</v>
          </cell>
        </row>
        <row r="13">
          <cell r="B13" t="str">
            <v>Memorial to Folly</v>
          </cell>
          <cell r="C13" t="str">
            <v>Memorial to Folly</v>
          </cell>
        </row>
        <row r="14">
          <cell r="B14" t="str">
            <v>Japaland</v>
          </cell>
          <cell r="C14" t="str">
            <v>Vault of the Archangel</v>
          </cell>
        </row>
        <row r="15">
          <cell r="B15" t="str">
            <v>Witch's Cottage</v>
          </cell>
          <cell r="C15" t="str">
            <v>Witch's Cottage</v>
          </cell>
        </row>
        <row r="16">
          <cell r="B16" t="str">
            <v>Command Tower</v>
          </cell>
          <cell r="C16" t="str">
            <v>Command Tower</v>
          </cell>
        </row>
        <row r="17">
          <cell r="B17" t="str">
            <v>Isolated Chapel</v>
          </cell>
          <cell r="C17" t="str">
            <v>Isolated Chapel</v>
          </cell>
        </row>
        <row r="18">
          <cell r="B18" t="str">
            <v>Plains</v>
          </cell>
          <cell r="C18" t="str">
            <v>Takenuma, Abandoned Mire</v>
          </cell>
        </row>
        <row r="19">
          <cell r="B19" t="str">
            <v>Rogue's Passage</v>
          </cell>
          <cell r="C19" t="str">
            <v>Rogue's Passage</v>
          </cell>
        </row>
        <row r="20">
          <cell r="B20" t="str">
            <v>Obscura Storefront</v>
          </cell>
          <cell r="C20" t="str">
            <v>Obscura Storefront</v>
          </cell>
        </row>
        <row r="21">
          <cell r="B21" t="str">
            <v>Exotic Orchard</v>
          </cell>
          <cell r="C21" t="str">
            <v>Exotic Orchard</v>
          </cell>
        </row>
        <row r="22">
          <cell r="B22" t="str">
            <v>Caves of Koilos</v>
          </cell>
          <cell r="C22" t="str">
            <v>Caves of Koilos</v>
          </cell>
        </row>
        <row r="23">
          <cell r="B23" t="str">
            <v>Campo Contaminado</v>
          </cell>
          <cell r="C23" t="str">
            <v>Tainted Field</v>
          </cell>
        </row>
        <row r="24">
          <cell r="B24" t="str">
            <v>Fabled Passage</v>
          </cell>
          <cell r="C24" t="str">
            <v>Fabled Passage</v>
          </cell>
        </row>
        <row r="25">
          <cell r="B25" t="str">
            <v>Adventurer's Inn</v>
          </cell>
          <cell r="C25" t="str">
            <v>Adventurer's Inn</v>
          </cell>
        </row>
        <row r="26">
          <cell r="B26" t="str">
            <v>Evolving Wilds</v>
          </cell>
          <cell r="C26" t="str">
            <v>Evolving Wilds</v>
          </cell>
        </row>
        <row r="27">
          <cell r="B27" t="str">
            <v>Plains</v>
          </cell>
          <cell r="C27" t="str">
            <v>Plains</v>
          </cell>
        </row>
        <row r="28">
          <cell r="B28" t="str">
            <v>Plains</v>
          </cell>
          <cell r="C28" t="str">
            <v>Plains</v>
          </cell>
        </row>
        <row r="29">
          <cell r="B29" t="str">
            <v>Plains</v>
          </cell>
          <cell r="C29" t="str">
            <v>Plains</v>
          </cell>
        </row>
        <row r="30">
          <cell r="B30" t="str">
            <v>Plains</v>
          </cell>
          <cell r="C30" t="str">
            <v>Plains</v>
          </cell>
        </row>
        <row r="31">
          <cell r="B31" t="str">
            <v>Plains</v>
          </cell>
          <cell r="C31" t="str">
            <v>Plains</v>
          </cell>
        </row>
        <row r="32">
          <cell r="B32" t="str">
            <v>Plains</v>
          </cell>
          <cell r="C32" t="str">
            <v>Plains</v>
          </cell>
        </row>
        <row r="33">
          <cell r="B33" t="str">
            <v>Plains</v>
          </cell>
          <cell r="C33" t="str">
            <v>Plains</v>
          </cell>
        </row>
        <row r="34">
          <cell r="B34" t="str">
            <v>Plains</v>
          </cell>
          <cell r="C34" t="str">
            <v>Plains</v>
          </cell>
        </row>
        <row r="35">
          <cell r="B35" t="str">
            <v>Plains</v>
          </cell>
          <cell r="C35" t="str">
            <v>Plains</v>
          </cell>
        </row>
        <row r="36">
          <cell r="B36" t="str">
            <v>Plains</v>
          </cell>
          <cell r="C36" t="str">
            <v>Plains</v>
          </cell>
        </row>
        <row r="37">
          <cell r="B37" t="str">
            <v>Swamp</v>
          </cell>
          <cell r="C37" t="str">
            <v>Swamp</v>
          </cell>
        </row>
        <row r="38">
          <cell r="B38" t="str">
            <v>Swamp</v>
          </cell>
          <cell r="C38" t="str">
            <v>Swamp</v>
          </cell>
        </row>
        <row r="39">
          <cell r="B39" t="str">
            <v>Swamp</v>
          </cell>
          <cell r="C39" t="str">
            <v>Swamp</v>
          </cell>
        </row>
        <row r="40">
          <cell r="B40" t="str">
            <v>Swamp</v>
          </cell>
          <cell r="C40" t="str">
            <v>Swamp</v>
          </cell>
        </row>
        <row r="41">
          <cell r="B41" t="str">
            <v>Swamp</v>
          </cell>
          <cell r="C41" t="str">
            <v>Swamp</v>
          </cell>
        </row>
        <row r="42">
          <cell r="B42" t="str">
            <v>Necropotence</v>
          </cell>
          <cell r="C42" t="str">
            <v>Necropotence</v>
          </cell>
        </row>
        <row r="43">
          <cell r="B43" t="str">
            <v>Dark Confidant</v>
          </cell>
          <cell r="C43" t="str">
            <v>Dark Confidant</v>
          </cell>
        </row>
        <row r="44">
          <cell r="B44" t="str">
            <v>Phyrexian Arena</v>
          </cell>
          <cell r="C44" t="str">
            <v>Phyrexian Arena</v>
          </cell>
        </row>
        <row r="45">
          <cell r="B45" t="str">
            <v>Twilight Prophet</v>
          </cell>
          <cell r="C45" t="str">
            <v>Twilight Prophet</v>
          </cell>
        </row>
        <row r="46">
          <cell r="B46" t="str">
            <v>Mangara, the Diplomat</v>
          </cell>
          <cell r="C46" t="str">
            <v>Mangara, the Diplomat</v>
          </cell>
        </row>
        <row r="47">
          <cell r="B47" t="str">
            <v>Gavony Dawnguard</v>
          </cell>
          <cell r="C47" t="str">
            <v>Unholy Annex // Ritual Chamber</v>
          </cell>
        </row>
        <row r="48">
          <cell r="B48" t="str">
            <v>Ranger of Eos</v>
          </cell>
          <cell r="C48" t="str">
            <v>Enduring Innocence</v>
          </cell>
        </row>
        <row r="49">
          <cell r="B49" t="str">
            <v>Lunar Convocation</v>
          </cell>
          <cell r="C49" t="str">
            <v>Lunar Convocation</v>
          </cell>
        </row>
        <row r="50">
          <cell r="B50" t="str">
            <v>Dark Tutelage</v>
          </cell>
          <cell r="C50" t="str">
            <v>Dark Tutelage</v>
          </cell>
        </row>
        <row r="51">
          <cell r="B51" t="str">
            <v>Darkstar Augur</v>
          </cell>
          <cell r="C51" t="str">
            <v>Darkstar Augur</v>
          </cell>
        </row>
        <row r="52">
          <cell r="B52" t="str">
            <v>Water Tribe Rallier</v>
          </cell>
          <cell r="C52" t="str">
            <v>Water Tribe Rallier</v>
          </cell>
        </row>
        <row r="53">
          <cell r="B53" t="str">
            <v>Call of the Ring</v>
          </cell>
          <cell r="C53" t="str">
            <v>Call of the Ring</v>
          </cell>
        </row>
        <row r="54">
          <cell r="B54" t="str">
            <v>Tymaret, Chosen from Death</v>
          </cell>
          <cell r="C54" t="str">
            <v>Tymaret, Chosen from Death</v>
          </cell>
        </row>
        <row r="55">
          <cell r="B55" t="str">
            <v>Ayli, Eternal Pilgrim</v>
          </cell>
          <cell r="C55" t="str">
            <v>Ayli, Eternal Pilgrim</v>
          </cell>
        </row>
        <row r="56">
          <cell r="B56" t="str">
            <v>High Priest of Penance</v>
          </cell>
          <cell r="C56" t="str">
            <v>Giver of Runes</v>
          </cell>
        </row>
        <row r="57">
          <cell r="B57" t="str">
            <v>Anguished Unmaking</v>
          </cell>
          <cell r="C57" t="str">
            <v>Anguished Unmaking</v>
          </cell>
        </row>
        <row r="58">
          <cell r="B58" t="str">
            <v>Dusk // Dawn</v>
          </cell>
          <cell r="C58" t="str">
            <v>Dusk // Dawn</v>
          </cell>
        </row>
        <row r="59">
          <cell r="B59" t="str">
            <v>Curious Farm Animals</v>
          </cell>
          <cell r="C59" t="str">
            <v>Curious Farm Animals</v>
          </cell>
        </row>
        <row r="60">
          <cell r="B60" t="str">
            <v>Hopeful Initiate</v>
          </cell>
          <cell r="C60" t="str">
            <v>Hopeful Initiate</v>
          </cell>
        </row>
        <row r="61">
          <cell r="B61" t="str">
            <v>Mother of runes</v>
          </cell>
          <cell r="C61" t="str">
            <v>Mother of runes</v>
          </cell>
        </row>
        <row r="62">
          <cell r="B62" t="str">
            <v>Soul Warden</v>
          </cell>
          <cell r="C62" t="str">
            <v>Soul Warden</v>
          </cell>
        </row>
        <row r="63">
          <cell r="B63" t="str">
            <v>Soul's Attendant</v>
          </cell>
          <cell r="C63" t="str">
            <v>Soul's Attendant</v>
          </cell>
        </row>
        <row r="64">
          <cell r="B64" t="str">
            <v>Suture Priest</v>
          </cell>
          <cell r="C64" t="str">
            <v>Suture Priest</v>
          </cell>
        </row>
        <row r="65">
          <cell r="B65" t="str">
            <v>Hinterland Sanctifier</v>
          </cell>
          <cell r="C65" t="str">
            <v>Hinterland Sanctifier</v>
          </cell>
        </row>
        <row r="66">
          <cell r="B66" t="str">
            <v>Kambal, Consul of Allocation</v>
          </cell>
          <cell r="C66" t="str">
            <v>Kambal, Consul of Allocation</v>
          </cell>
        </row>
        <row r="67">
          <cell r="B67" t="str">
            <v>Lunarch Veteran</v>
          </cell>
          <cell r="C67" t="str">
            <v>Lunarch Veteran</v>
          </cell>
        </row>
        <row r="68">
          <cell r="B68" t="str">
            <v>Reaper's Talisman</v>
          </cell>
          <cell r="C68" t="str">
            <v>Guide of Souls</v>
          </cell>
        </row>
        <row r="69">
          <cell r="B69" t="str">
            <v>Daxos, Blessed by the Sun</v>
          </cell>
          <cell r="C69" t="str">
            <v>Daxos, Blessed by the Sun</v>
          </cell>
        </row>
        <row r="70">
          <cell r="B70" t="str">
            <v>Distinguished Conjurer</v>
          </cell>
          <cell r="C70" t="str">
            <v>Distinguished Conjurer</v>
          </cell>
        </row>
        <row r="71">
          <cell r="B71" t="str">
            <v>Orim's Prayer</v>
          </cell>
          <cell r="C71" t="str">
            <v>Orim's Prayer</v>
          </cell>
        </row>
        <row r="72">
          <cell r="B72" t="str">
            <v>Aunt May</v>
          </cell>
          <cell r="C72" t="str">
            <v>Aunt May</v>
          </cell>
        </row>
        <row r="73">
          <cell r="B73" t="str">
            <v>Sorin of House Markov</v>
          </cell>
          <cell r="C73" t="str">
            <v>Sorin of House Markov</v>
          </cell>
        </row>
        <row r="74">
          <cell r="B74" t="str">
            <v>Lifecreed Duo</v>
          </cell>
          <cell r="C74" t="str">
            <v>Authority of the Consuls</v>
          </cell>
        </row>
        <row r="75">
          <cell r="B75" t="str">
            <v>Haliya, Guided by Light</v>
          </cell>
          <cell r="C75" t="str">
            <v>Haliya, Guided by Light</v>
          </cell>
        </row>
        <row r="76">
          <cell r="B76" t="str">
            <v>Deathgreeter</v>
          </cell>
          <cell r="C76" t="str">
            <v>Deathgreeter</v>
          </cell>
        </row>
        <row r="77">
          <cell r="B77" t="str">
            <v>Blood Artist</v>
          </cell>
          <cell r="C77" t="str">
            <v>Blood Artist</v>
          </cell>
        </row>
        <row r="78">
          <cell r="B78" t="str">
            <v>Sun Droplet</v>
          </cell>
          <cell r="C78" t="str">
            <v>Sun Droplet</v>
          </cell>
        </row>
        <row r="79">
          <cell r="B79" t="str">
            <v>Elas il-Kor, Sadistic Pilgrim</v>
          </cell>
          <cell r="C79" t="str">
            <v>Elas il-Kor, Sadistic Pilgrim</v>
          </cell>
        </row>
        <row r="80">
          <cell r="B80" t="str">
            <v>Ashes of the Abhorrent</v>
          </cell>
          <cell r="C80" t="str">
            <v>Ashes of the Abhorrent</v>
          </cell>
        </row>
        <row r="81">
          <cell r="B81" t="str">
            <v>Spectrum Sentinel</v>
          </cell>
          <cell r="C81" t="str">
            <v>Spectrum Sentinel</v>
          </cell>
        </row>
        <row r="82">
          <cell r="B82" t="str">
            <v>Case of the Uneaten Feast</v>
          </cell>
          <cell r="C82" t="str">
            <v>Case of the Uneaten Feast</v>
          </cell>
        </row>
        <row r="83">
          <cell r="B83" t="str">
            <v>Speaker of the Heavens</v>
          </cell>
          <cell r="C83" t="str">
            <v>Speaker of the Heavens</v>
          </cell>
        </row>
        <row r="84">
          <cell r="B84" t="str">
            <v>Vito, Thorn of the Dusk Rose</v>
          </cell>
          <cell r="C84" t="str">
            <v>Vito, Thorn of the Dusk Rose</v>
          </cell>
        </row>
        <row r="85">
          <cell r="B85" t="str">
            <v>Starscape Cleric</v>
          </cell>
          <cell r="C85" t="str">
            <v>Starscape Cleric</v>
          </cell>
        </row>
        <row r="86">
          <cell r="B86" t="str">
            <v>Marauding Blight-Priest</v>
          </cell>
          <cell r="C86" t="str">
            <v>Marauding Blight-Priest</v>
          </cell>
        </row>
        <row r="87">
          <cell r="B87" t="str">
            <v>Redemption Choir</v>
          </cell>
          <cell r="C87" t="str">
            <v>Redemption Choir</v>
          </cell>
        </row>
        <row r="88">
          <cell r="B88" t="str">
            <v>Phyrexian Reclamation</v>
          </cell>
          <cell r="C88" t="str">
            <v>Phyrexian Reclamation</v>
          </cell>
        </row>
        <row r="89">
          <cell r="B89" t="str">
            <v>Veinwitch Coven</v>
          </cell>
          <cell r="C89" t="str">
            <v>Veinwitch Coven</v>
          </cell>
        </row>
        <row r="90">
          <cell r="B90" t="str">
            <v>Sorin, Vengeful Bloodlord</v>
          </cell>
          <cell r="C90" t="str">
            <v>Sorin, Vengeful Bloodlord</v>
          </cell>
        </row>
        <row r="91">
          <cell r="B91" t="str">
            <v>Court of Ardenvale</v>
          </cell>
          <cell r="C91" t="str">
            <v>Court of Ardenvale</v>
          </cell>
        </row>
        <row r="92">
          <cell r="B92" t="str">
            <v>Immortal Servitude</v>
          </cell>
          <cell r="C92" t="str">
            <v>Ascend from Avernus</v>
          </cell>
        </row>
        <row r="93">
          <cell r="B93" t="str">
            <v>Lurrus of the Dream-Den</v>
          </cell>
          <cell r="C93" t="str">
            <v>Lurrus of the Dream-Den</v>
          </cell>
        </row>
        <row r="94">
          <cell r="B94" t="str">
            <v>Sun Titan</v>
          </cell>
          <cell r="C94" t="str">
            <v>Sun Titan</v>
          </cell>
        </row>
        <row r="95">
          <cell r="B95" t="str">
            <v>Extraction Specialist</v>
          </cell>
          <cell r="C95" t="str">
            <v>Extraction Specialist</v>
          </cell>
        </row>
        <row r="96">
          <cell r="B96" t="str">
            <v>Leyline of Hope</v>
          </cell>
          <cell r="C96" t="str">
            <v>Leyline of Hope</v>
          </cell>
        </row>
        <row r="97">
          <cell r="B97" t="str">
            <v>Swiftfoot Boots</v>
          </cell>
          <cell r="C97" t="str">
            <v>Swiftfoot Boots</v>
          </cell>
        </row>
        <row r="98">
          <cell r="B98" t="str">
            <v>Vizkopa Guildmage</v>
          </cell>
          <cell r="C98" t="str">
            <v>Vizkopa Guildmage</v>
          </cell>
        </row>
        <row r="99">
          <cell r="B99" t="str">
            <v>Cleric Class</v>
          </cell>
          <cell r="C99" t="str">
            <v>Cleric Class</v>
          </cell>
        </row>
        <row r="100">
          <cell r="B100" t="str">
            <v>Oketra's Monument</v>
          </cell>
          <cell r="C100" t="str">
            <v>Oketra's Monument</v>
          </cell>
        </row>
        <row r="101">
          <cell r="B101" t="str">
            <v>Athreos, God of Passage</v>
          </cell>
          <cell r="C101" t="str">
            <v>Athreos, God of Passage</v>
          </cell>
        </row>
        <row r="102">
          <cell r="B102" t="str">
            <v>Master of Ceremonies</v>
          </cell>
          <cell r="C102" t="str">
            <v>Master of Ceremonies</v>
          </cell>
        </row>
      </sheetData>
      <sheetData sheetId="15">
        <row r="3">
          <cell r="B3" t="str">
            <v>Oona, Queen of the Fae</v>
          </cell>
          <cell r="C3" t="str">
            <v>Oona, Queen of the Fae</v>
          </cell>
        </row>
        <row r="4">
          <cell r="B4" t="str">
            <v>Island</v>
          </cell>
          <cell r="C4" t="str">
            <v>Jidoor, Aristocratic Capital // Overture</v>
          </cell>
        </row>
        <row r="5">
          <cell r="B5" t="str">
            <v>Mystic Sanctuary</v>
          </cell>
          <cell r="C5" t="str">
            <v>Mystic Sanctuary</v>
          </cell>
        </row>
        <row r="6">
          <cell r="B6" t="str">
            <v>Myriad Landscape</v>
          </cell>
          <cell r="C6" t="str">
            <v>Myriad Landscape</v>
          </cell>
        </row>
        <row r="7">
          <cell r="B7" t="str">
            <v>Dreadship Reef</v>
          </cell>
          <cell r="C7" t="str">
            <v>Dreadship Reef</v>
          </cell>
        </row>
        <row r="8">
          <cell r="B8" t="str">
            <v>Mage-Ring Network</v>
          </cell>
          <cell r="C8" t="str">
            <v>Mage-Ring Network</v>
          </cell>
        </row>
        <row r="9">
          <cell r="B9" t="str">
            <v>Buried Ruin</v>
          </cell>
          <cell r="C9" t="str">
            <v>Buried Ruin</v>
          </cell>
        </row>
        <row r="10">
          <cell r="B10" t="str">
            <v>Command Tower</v>
          </cell>
          <cell r="C10" t="str">
            <v>Command Tower</v>
          </cell>
        </row>
        <row r="11">
          <cell r="B11" t="str">
            <v>Fetid Pools</v>
          </cell>
          <cell r="C11" t="str">
            <v>Fetid Pools</v>
          </cell>
        </row>
        <row r="12">
          <cell r="B12" t="str">
            <v>Exotic Orchard</v>
          </cell>
          <cell r="C12" t="str">
            <v>Exotic Orchard</v>
          </cell>
        </row>
        <row r="13">
          <cell r="B13" t="str">
            <v>Hall of Tagsin</v>
          </cell>
          <cell r="C13" t="str">
            <v>Hall of Tagsin</v>
          </cell>
        </row>
        <row r="14">
          <cell r="B14" t="str">
            <v>Archway of Inovation</v>
          </cell>
          <cell r="C14" t="str">
            <v>Archway of Inovation</v>
          </cell>
        </row>
        <row r="15">
          <cell r="B15" t="str">
            <v>Island</v>
          </cell>
          <cell r="C15" t="str">
            <v>Island</v>
          </cell>
        </row>
        <row r="16">
          <cell r="B16" t="str">
            <v>Island</v>
          </cell>
          <cell r="C16" t="str">
            <v>Island</v>
          </cell>
        </row>
        <row r="17">
          <cell r="B17" t="str">
            <v>Island</v>
          </cell>
          <cell r="C17" t="str">
            <v>Island</v>
          </cell>
        </row>
        <row r="18">
          <cell r="B18" t="str">
            <v>Island</v>
          </cell>
          <cell r="C18" t="str">
            <v>Island</v>
          </cell>
        </row>
        <row r="19">
          <cell r="B19" t="str">
            <v>Island</v>
          </cell>
          <cell r="C19" t="str">
            <v>Island</v>
          </cell>
        </row>
        <row r="20">
          <cell r="B20" t="str">
            <v>Island</v>
          </cell>
          <cell r="C20" t="str">
            <v>Island</v>
          </cell>
        </row>
        <row r="21">
          <cell r="B21" t="str">
            <v>Island</v>
          </cell>
          <cell r="C21" t="str">
            <v>Island</v>
          </cell>
        </row>
        <row r="22">
          <cell r="B22" t="str">
            <v>Island</v>
          </cell>
          <cell r="C22" t="str">
            <v>Island</v>
          </cell>
        </row>
        <row r="23">
          <cell r="B23" t="str">
            <v>Island</v>
          </cell>
          <cell r="C23" t="str">
            <v>Island</v>
          </cell>
        </row>
        <row r="24">
          <cell r="B24" t="str">
            <v>Island</v>
          </cell>
          <cell r="C24" t="str">
            <v>Island</v>
          </cell>
        </row>
        <row r="25">
          <cell r="B25" t="str">
            <v>Island</v>
          </cell>
          <cell r="C25" t="str">
            <v>Island</v>
          </cell>
        </row>
        <row r="26">
          <cell r="B26" t="str">
            <v>Island</v>
          </cell>
          <cell r="C26" t="str">
            <v>Island</v>
          </cell>
        </row>
        <row r="27">
          <cell r="B27" t="str">
            <v>Swamp</v>
          </cell>
          <cell r="C27" t="str">
            <v>Swamp</v>
          </cell>
        </row>
        <row r="28">
          <cell r="B28" t="str">
            <v>Swamp</v>
          </cell>
          <cell r="C28" t="str">
            <v>Swamp</v>
          </cell>
        </row>
        <row r="29">
          <cell r="B29" t="str">
            <v>Swamp</v>
          </cell>
          <cell r="C29" t="str">
            <v>Swamp</v>
          </cell>
        </row>
        <row r="30">
          <cell r="B30" t="str">
            <v>Swamp</v>
          </cell>
          <cell r="C30" t="str">
            <v>Swamp</v>
          </cell>
        </row>
        <row r="31">
          <cell r="B31" t="str">
            <v>Swamp</v>
          </cell>
          <cell r="C31" t="str">
            <v>Swamp</v>
          </cell>
        </row>
        <row r="32">
          <cell r="B32" t="str">
            <v>Swamp</v>
          </cell>
          <cell r="C32" t="str">
            <v>Swamp</v>
          </cell>
        </row>
        <row r="33">
          <cell r="B33" t="str">
            <v>Swamp</v>
          </cell>
          <cell r="C33" t="str">
            <v>Swamp</v>
          </cell>
        </row>
        <row r="34">
          <cell r="B34" t="str">
            <v>Swamp</v>
          </cell>
          <cell r="C34" t="str">
            <v>Swamp</v>
          </cell>
        </row>
        <row r="35">
          <cell r="B35" t="str">
            <v>Swamp</v>
          </cell>
          <cell r="C35" t="str">
            <v>Swamp</v>
          </cell>
        </row>
        <row r="36">
          <cell r="B36" t="str">
            <v>Sol Ring</v>
          </cell>
          <cell r="C36" t="str">
            <v>Sol Ring</v>
          </cell>
        </row>
        <row r="37">
          <cell r="B37" t="str">
            <v>Planar Atlas</v>
          </cell>
          <cell r="C37" t="str">
            <v>Planar Atlas</v>
          </cell>
        </row>
        <row r="38">
          <cell r="B38" t="str">
            <v>Dimir Signet</v>
          </cell>
          <cell r="C38" t="str">
            <v>Dimir Signet</v>
          </cell>
        </row>
        <row r="39">
          <cell r="B39" t="str">
            <v>Mind Stone</v>
          </cell>
          <cell r="C39" t="str">
            <v>Mind Stone</v>
          </cell>
        </row>
        <row r="40">
          <cell r="B40" t="str">
            <v>Prismatic Lens</v>
          </cell>
          <cell r="C40" t="str">
            <v>Prismatic Lens</v>
          </cell>
        </row>
        <row r="41">
          <cell r="B41" t="str">
            <v>Sol Talisman</v>
          </cell>
          <cell r="C41" t="str">
            <v>Sol Talisman</v>
          </cell>
        </row>
        <row r="42">
          <cell r="B42" t="str">
            <v>Sky Diamond</v>
          </cell>
          <cell r="C42" t="str">
            <v>Sky Diamond</v>
          </cell>
        </row>
        <row r="43">
          <cell r="B43" t="str">
            <v>Charcoal Diamond</v>
          </cell>
          <cell r="C43" t="str">
            <v>Charcoal Diamond</v>
          </cell>
        </row>
        <row r="44">
          <cell r="B44" t="str">
            <v>Liquimetal Torque</v>
          </cell>
          <cell r="C44" t="str">
            <v>Liquimetal Torque</v>
          </cell>
        </row>
        <row r="45">
          <cell r="B45" t="str">
            <v>Sisay's Ring</v>
          </cell>
          <cell r="C45" t="str">
            <v>Sonic Screwdriver</v>
          </cell>
        </row>
        <row r="46">
          <cell r="B46" t="str">
            <v>Heraldic Banner</v>
          </cell>
          <cell r="C46" t="str">
            <v>Heraldic Banner</v>
          </cell>
        </row>
        <row r="47">
          <cell r="B47" t="str">
            <v>Midnight Clock</v>
          </cell>
          <cell r="C47" t="str">
            <v>Midnight Clock</v>
          </cell>
        </row>
        <row r="48">
          <cell r="B48" t="str">
            <v>Strixhaven Stadium</v>
          </cell>
          <cell r="C48" t="str">
            <v>Strixhaven Stadium</v>
          </cell>
        </row>
        <row r="49">
          <cell r="B49" t="str">
            <v>The Eternity Elevator</v>
          </cell>
          <cell r="C49" t="str">
            <v>The Eternity Elevator</v>
          </cell>
        </row>
        <row r="50">
          <cell r="B50" t="str">
            <v>Stonespeaker Crystal</v>
          </cell>
          <cell r="C50" t="str">
            <v>Stonespeaker Crystal</v>
          </cell>
        </row>
        <row r="51">
          <cell r="B51" t="str">
            <v>Ur-Golem's Eye</v>
          </cell>
          <cell r="C51" t="str">
            <v>Ur-Golem's Eye</v>
          </cell>
        </row>
        <row r="52">
          <cell r="B52" t="str">
            <v>Thran Dynamo</v>
          </cell>
          <cell r="C52" t="str">
            <v>Thran Dynamo</v>
          </cell>
        </row>
        <row r="53">
          <cell r="B53" t="str">
            <v>Nyx Lotus</v>
          </cell>
          <cell r="C53" t="str">
            <v>Nyx Lotus</v>
          </cell>
        </row>
        <row r="54">
          <cell r="B54" t="str">
            <v>Empowered Autogenerator</v>
          </cell>
          <cell r="C54" t="str">
            <v>Empowered Autogenerator</v>
          </cell>
        </row>
        <row r="55">
          <cell r="B55" t="str">
            <v>Gilded Lotus</v>
          </cell>
          <cell r="C55" t="str">
            <v>Gilded Lotus</v>
          </cell>
        </row>
        <row r="56">
          <cell r="B56" t="str">
            <v>Blinkmoth Urn</v>
          </cell>
          <cell r="C56" t="str">
            <v>Blinkmoth Urn</v>
          </cell>
        </row>
        <row r="57">
          <cell r="B57" t="str">
            <v>Dreamstone Hedron</v>
          </cell>
          <cell r="C57" t="str">
            <v>Dreamstone Hedron</v>
          </cell>
        </row>
        <row r="58">
          <cell r="B58" t="str">
            <v>White Lotus Tile</v>
          </cell>
          <cell r="C58" t="str">
            <v>White Lotus Tile</v>
          </cell>
        </row>
        <row r="59">
          <cell r="B59" t="str">
            <v>Liliana of the Dark Realms</v>
          </cell>
          <cell r="C59" t="str">
            <v>Liliana of the Dark Realms</v>
          </cell>
        </row>
        <row r="60">
          <cell r="B60" t="str">
            <v>Karn, Living Legacy</v>
          </cell>
          <cell r="C60" t="str">
            <v>Karn, Living Legacy</v>
          </cell>
        </row>
        <row r="61">
          <cell r="B61" t="str">
            <v>Reality Shift</v>
          </cell>
          <cell r="C61" t="str">
            <v>Reality Shift</v>
          </cell>
        </row>
        <row r="62">
          <cell r="B62" t="str">
            <v>Blink of an Eye</v>
          </cell>
          <cell r="C62" t="str">
            <v>Three Steps Ahead</v>
          </cell>
        </row>
        <row r="63">
          <cell r="B63" t="str">
            <v>Resculpt</v>
          </cell>
          <cell r="C63" t="str">
            <v>Resculpt</v>
          </cell>
        </row>
        <row r="64">
          <cell r="B64" t="str">
            <v>Terisiare's Devastation</v>
          </cell>
          <cell r="C64" t="str">
            <v>Terisiare's Devastation</v>
          </cell>
        </row>
        <row r="65">
          <cell r="B65" t="str">
            <v>Metallic Rebuke</v>
          </cell>
          <cell r="C65" t="str">
            <v>Glen Elendra's Answer</v>
          </cell>
        </row>
        <row r="66">
          <cell r="B66" t="str">
            <v>Stubborn Denial</v>
          </cell>
          <cell r="C66" t="str">
            <v>Stubborn Denial</v>
          </cell>
        </row>
        <row r="67">
          <cell r="B67" t="str">
            <v>Spell Stutter</v>
          </cell>
          <cell r="C67" t="str">
            <v>Katara's Reversal</v>
          </cell>
        </row>
        <row r="68">
          <cell r="B68" t="str">
            <v>Negate</v>
          </cell>
          <cell r="C68" t="str">
            <v>Negate</v>
          </cell>
        </row>
        <row r="69">
          <cell r="B69" t="str">
            <v>Defabricate</v>
          </cell>
          <cell r="C69" t="str">
            <v>Defabricate</v>
          </cell>
        </row>
        <row r="70">
          <cell r="B70" t="str">
            <v>Rewind</v>
          </cell>
          <cell r="C70" t="str">
            <v>Rewind</v>
          </cell>
        </row>
        <row r="71">
          <cell r="B71" t="str">
            <v>Unwind</v>
          </cell>
          <cell r="C71" t="str">
            <v>Unwind</v>
          </cell>
        </row>
        <row r="72">
          <cell r="B72" t="str">
            <v>Whirlwind Denial</v>
          </cell>
          <cell r="C72" t="str">
            <v>Whirlwind Denial</v>
          </cell>
        </row>
        <row r="73">
          <cell r="B73" t="str">
            <v>Pile On</v>
          </cell>
          <cell r="C73" t="str">
            <v>Pile On</v>
          </cell>
        </row>
        <row r="74">
          <cell r="B74" t="str">
            <v>Mirrormade</v>
          </cell>
          <cell r="C74" t="str">
            <v>Mirrormade</v>
          </cell>
        </row>
        <row r="75">
          <cell r="B75" t="str">
            <v>Replication Technique</v>
          </cell>
          <cell r="C75" t="str">
            <v>Replication Technique</v>
          </cell>
        </row>
        <row r="76">
          <cell r="B76" t="str">
            <v>Moonlit Meditation</v>
          </cell>
          <cell r="C76" t="str">
            <v>Moonlit Meditation</v>
          </cell>
        </row>
        <row r="77">
          <cell r="B77" t="str">
            <v>Mirage Mirror</v>
          </cell>
          <cell r="C77" t="str">
            <v>Mirage Mirror</v>
          </cell>
        </row>
        <row r="78">
          <cell r="B78" t="str">
            <v>Sculpting Steel</v>
          </cell>
          <cell r="C78" t="str">
            <v>Sculpting Steel</v>
          </cell>
        </row>
        <row r="79">
          <cell r="B79" t="str">
            <v>Clever Impersonator</v>
          </cell>
          <cell r="C79" t="str">
            <v>Clever Impersonator</v>
          </cell>
        </row>
        <row r="80">
          <cell r="B80" t="str">
            <v>Phyrexian Metamorph</v>
          </cell>
          <cell r="C80" t="str">
            <v>Phyrexian Metamorph</v>
          </cell>
        </row>
        <row r="81">
          <cell r="B81" t="str">
            <v>Dramatical Reversal</v>
          </cell>
          <cell r="C81" t="str">
            <v>Invasion of Segovia</v>
          </cell>
        </row>
        <row r="82">
          <cell r="B82" t="str">
            <v>Voltaic Key</v>
          </cell>
          <cell r="C82" t="str">
            <v>Voltaic Key</v>
          </cell>
        </row>
        <row r="83">
          <cell r="B83" t="str">
            <v>Manifold Key</v>
          </cell>
          <cell r="C83" t="str">
            <v>Manifold Key</v>
          </cell>
        </row>
        <row r="84">
          <cell r="B84" t="str">
            <v>Unstoppable Plan</v>
          </cell>
          <cell r="C84" t="str">
            <v>Unstoppable Plan</v>
          </cell>
        </row>
        <row r="85">
          <cell r="B85" t="str">
            <v>Mind Grind</v>
          </cell>
          <cell r="C85" t="str">
            <v>Mind Grind</v>
          </cell>
        </row>
        <row r="86">
          <cell r="B86" t="str">
            <v>Clock of Omens</v>
          </cell>
          <cell r="C86" t="str">
            <v>Clock of Omens</v>
          </cell>
        </row>
        <row r="87">
          <cell r="B87" t="str">
            <v>Unwinding Clock</v>
          </cell>
          <cell r="C87" t="str">
            <v>Unwinding Clock</v>
          </cell>
        </row>
        <row r="88">
          <cell r="B88" t="str">
            <v>Oblivion Sower</v>
          </cell>
          <cell r="C88" t="str">
            <v>Oblivion Sower</v>
          </cell>
        </row>
        <row r="89">
          <cell r="B89" t="str">
            <v>Illusionist's Bracers</v>
          </cell>
          <cell r="C89" t="str">
            <v>Illusionist's Bracers</v>
          </cell>
        </row>
        <row r="90">
          <cell r="B90" t="str">
            <v>Obyra, Dreaming Duelist</v>
          </cell>
          <cell r="C90" t="str">
            <v>Obyra, Dreaming Duelist</v>
          </cell>
        </row>
        <row r="91">
          <cell r="B91" t="str">
            <v>Notorious Throng</v>
          </cell>
          <cell r="C91" t="str">
            <v>Notorious Throng</v>
          </cell>
        </row>
        <row r="92">
          <cell r="B92" t="str">
            <v>Mystic Forge</v>
          </cell>
          <cell r="C92" t="str">
            <v>Spirit Water Revival</v>
          </cell>
        </row>
        <row r="93">
          <cell r="B93" t="str">
            <v>Scour for Scrap</v>
          </cell>
          <cell r="C93" t="str">
            <v>Scour for Scrap</v>
          </cell>
        </row>
        <row r="94">
          <cell r="B94" t="str">
            <v>Skullclamp</v>
          </cell>
          <cell r="C94" t="str">
            <v>Skullclamp</v>
          </cell>
        </row>
        <row r="95">
          <cell r="B95" t="str">
            <v>Fabricate</v>
          </cell>
          <cell r="C95" t="str">
            <v>Fabricate</v>
          </cell>
        </row>
        <row r="96">
          <cell r="B96" t="str">
            <v>Bident of Thassa</v>
          </cell>
          <cell r="C96" t="str">
            <v>Bident of Thassa</v>
          </cell>
        </row>
        <row r="97">
          <cell r="B97" t="str">
            <v>Dire Undercurrents</v>
          </cell>
          <cell r="C97" t="str">
            <v>Dire Undercurrents</v>
          </cell>
        </row>
        <row r="98">
          <cell r="B98" t="str">
            <v>Sire of Stagnation</v>
          </cell>
          <cell r="C98" t="str">
            <v>Sire of Stagnation</v>
          </cell>
        </row>
        <row r="99">
          <cell r="B99" t="str">
            <v>Reconnaissance Mission</v>
          </cell>
          <cell r="C99" t="str">
            <v>Reconnaissance Mission</v>
          </cell>
        </row>
        <row r="100">
          <cell r="B100" t="str">
            <v>Ayara, First of Locthwain</v>
          </cell>
          <cell r="C100" t="str">
            <v>Ayara, First of Locthwain</v>
          </cell>
        </row>
        <row r="101">
          <cell r="B101" t="str">
            <v>Reshape</v>
          </cell>
          <cell r="C101" t="str">
            <v>Reshape</v>
          </cell>
        </row>
        <row r="102">
          <cell r="B102" t="str">
            <v>Katara, Bending Prodigy</v>
          </cell>
          <cell r="C102" t="str">
            <v>Katara, Bending Prodigy</v>
          </cell>
        </row>
      </sheetData>
      <sheetData sheetId="16">
        <row r="2">
          <cell r="G2">
            <v>19</v>
          </cell>
        </row>
        <row r="3">
          <cell r="B3" t="str">
            <v>Kresh the Bloodbraided</v>
          </cell>
          <cell r="C3" t="str">
            <v>Kresh the Bloodbraided</v>
          </cell>
        </row>
        <row r="4">
          <cell r="B4" t="str">
            <v>Kazuul's Fury</v>
          </cell>
          <cell r="C4" t="str">
            <v>Kazuul's Fury</v>
          </cell>
        </row>
        <row r="5">
          <cell r="B5" t="str">
            <v>Rogue's Passage</v>
          </cell>
          <cell r="C5" t="str">
            <v>Rogue's Passage</v>
          </cell>
        </row>
        <row r="6">
          <cell r="B6" t="str">
            <v>Skarrg, the Rage Pits</v>
          </cell>
          <cell r="C6" t="str">
            <v>Skarrg, the Rage Pits</v>
          </cell>
        </row>
        <row r="7">
          <cell r="B7" t="str">
            <v>Kessig Wolf Run</v>
          </cell>
          <cell r="C7" t="str">
            <v>Kessig Wolf Run</v>
          </cell>
        </row>
        <row r="8">
          <cell r="B8" t="str">
            <v>High Market</v>
          </cell>
          <cell r="C8" t="str">
            <v>High Market</v>
          </cell>
        </row>
        <row r="9">
          <cell r="B9" t="str">
            <v>Mosswort Bridge</v>
          </cell>
          <cell r="C9" t="str">
            <v>Mosswort Bridge</v>
          </cell>
        </row>
        <row r="10">
          <cell r="B10" t="str">
            <v>Llanowar Wastes</v>
          </cell>
          <cell r="C10" t="str">
            <v>Llanowar Wastes</v>
          </cell>
        </row>
        <row r="11">
          <cell r="B11" t="str">
            <v>Khalni Territory</v>
          </cell>
          <cell r="C11" t="str">
            <v>Khalni Territory</v>
          </cell>
        </row>
        <row r="12">
          <cell r="B12" t="str">
            <v>Rootbound Crag</v>
          </cell>
          <cell r="C12" t="str">
            <v>Rootbound Crag</v>
          </cell>
        </row>
        <row r="13">
          <cell r="B13" t="str">
            <v>Karplusan Forest</v>
          </cell>
          <cell r="C13" t="str">
            <v>Karplusan Forest</v>
          </cell>
        </row>
        <row r="14">
          <cell r="B14" t="str">
            <v>Evolving Wilds</v>
          </cell>
          <cell r="C14" t="str">
            <v>Evolving Wilds</v>
          </cell>
        </row>
        <row r="15">
          <cell r="B15" t="str">
            <v>Command Tower</v>
          </cell>
          <cell r="C15" t="str">
            <v>Command Tower</v>
          </cell>
        </row>
        <row r="16">
          <cell r="B16" t="str">
            <v>Exotic Orchard</v>
          </cell>
          <cell r="C16" t="str">
            <v>Exotic Orchard</v>
          </cell>
        </row>
        <row r="17">
          <cell r="B17" t="str">
            <v>Myriad Landscape</v>
          </cell>
          <cell r="C17" t="str">
            <v>Myriad Landscape</v>
          </cell>
        </row>
        <row r="18">
          <cell r="B18" t="str">
            <v>Bala Ged Recovery</v>
          </cell>
          <cell r="C18" t="str">
            <v>Bala Ged Recovery</v>
          </cell>
        </row>
        <row r="19">
          <cell r="B19" t="str">
            <v>Revitalizing Repast</v>
          </cell>
          <cell r="C19" t="str">
            <v>Revitalizing Repast</v>
          </cell>
        </row>
        <row r="20">
          <cell r="B20" t="str">
            <v>Ingot Chewer</v>
          </cell>
          <cell r="C20" t="str">
            <v>Stump Stomp</v>
          </cell>
        </row>
        <row r="21">
          <cell r="B21" t="str">
            <v>Swamp</v>
          </cell>
          <cell r="C21" t="str">
            <v>Swamp</v>
          </cell>
        </row>
        <row r="22">
          <cell r="B22" t="str">
            <v>Swamp</v>
          </cell>
          <cell r="C22" t="str">
            <v>Swamp</v>
          </cell>
        </row>
        <row r="23">
          <cell r="B23" t="str">
            <v>Swamp</v>
          </cell>
          <cell r="C23" t="str">
            <v>Swamp</v>
          </cell>
        </row>
        <row r="24">
          <cell r="B24" t="str">
            <v>Swamp</v>
          </cell>
          <cell r="C24" t="str">
            <v>Swamp</v>
          </cell>
        </row>
        <row r="25">
          <cell r="B25" t="str">
            <v>Swamp</v>
          </cell>
          <cell r="C25" t="str">
            <v>Swamp</v>
          </cell>
        </row>
        <row r="26">
          <cell r="B26" t="str">
            <v>Swamp</v>
          </cell>
          <cell r="C26" t="str">
            <v>Swamp</v>
          </cell>
        </row>
        <row r="27">
          <cell r="B27" t="str">
            <v>Mountain</v>
          </cell>
          <cell r="C27" t="str">
            <v>Mountain</v>
          </cell>
        </row>
        <row r="28">
          <cell r="B28" t="str">
            <v>Mountain</v>
          </cell>
          <cell r="C28" t="str">
            <v>Mountain</v>
          </cell>
        </row>
        <row r="29">
          <cell r="B29" t="str">
            <v>Mountain</v>
          </cell>
          <cell r="C29" t="str">
            <v>Mountain</v>
          </cell>
        </row>
        <row r="30">
          <cell r="B30" t="str">
            <v>Mountain</v>
          </cell>
          <cell r="C30" t="str">
            <v>Mountain</v>
          </cell>
        </row>
        <row r="31">
          <cell r="B31" t="str">
            <v>Mountain</v>
          </cell>
          <cell r="C31" t="str">
            <v>Mountain</v>
          </cell>
        </row>
        <row r="32">
          <cell r="B32" t="str">
            <v>Mage Slayer</v>
          </cell>
          <cell r="C32" t="str">
            <v>Forest</v>
          </cell>
        </row>
        <row r="33">
          <cell r="B33" t="str">
            <v>Forest</v>
          </cell>
          <cell r="C33" t="str">
            <v>Forest</v>
          </cell>
        </row>
        <row r="34">
          <cell r="B34" t="str">
            <v>Forest</v>
          </cell>
          <cell r="C34" t="str">
            <v>Forest</v>
          </cell>
        </row>
        <row r="35">
          <cell r="B35" t="str">
            <v>Forest</v>
          </cell>
          <cell r="C35" t="str">
            <v>Forest</v>
          </cell>
        </row>
        <row r="36">
          <cell r="B36" t="str">
            <v>Forest</v>
          </cell>
          <cell r="C36" t="str">
            <v>Forest</v>
          </cell>
        </row>
        <row r="37">
          <cell r="B37" t="str">
            <v>Forest</v>
          </cell>
          <cell r="C37" t="str">
            <v>Forest</v>
          </cell>
        </row>
        <row r="38">
          <cell r="B38" t="str">
            <v>Forest</v>
          </cell>
          <cell r="C38" t="str">
            <v>Forest</v>
          </cell>
        </row>
        <row r="39">
          <cell r="B39" t="str">
            <v>Forest</v>
          </cell>
          <cell r="C39" t="str">
            <v>Forest</v>
          </cell>
        </row>
        <row r="40">
          <cell r="B40" t="str">
            <v>Forest</v>
          </cell>
          <cell r="C40" t="str">
            <v>Forest</v>
          </cell>
        </row>
        <row r="41">
          <cell r="B41" t="str">
            <v>Sakura-Tribe Elder</v>
          </cell>
          <cell r="C41" t="str">
            <v>Sakura-Tribe Elder</v>
          </cell>
        </row>
        <row r="42">
          <cell r="B42" t="str">
            <v>Rampant Growth</v>
          </cell>
          <cell r="C42" t="str">
            <v>Rampant Growth</v>
          </cell>
        </row>
        <row r="43">
          <cell r="B43" t="str">
            <v>Solemn Simulacrum</v>
          </cell>
          <cell r="C43" t="str">
            <v>Solemn Simulacrum</v>
          </cell>
        </row>
        <row r="44">
          <cell r="B44" t="str">
            <v>Cultivate</v>
          </cell>
          <cell r="C44" t="str">
            <v>Cultivate</v>
          </cell>
        </row>
        <row r="45">
          <cell r="B45" t="str">
            <v>Kodama's Reach</v>
          </cell>
          <cell r="C45" t="str">
            <v>Kodama's Reach</v>
          </cell>
        </row>
        <row r="46">
          <cell r="B46" t="str">
            <v>Wood Elves</v>
          </cell>
          <cell r="C46" t="str">
            <v>Wood Elves</v>
          </cell>
        </row>
        <row r="47">
          <cell r="B47" t="str">
            <v>Farhaven Elf</v>
          </cell>
          <cell r="C47" t="str">
            <v>Farhaven Elf</v>
          </cell>
        </row>
        <row r="48">
          <cell r="B48" t="str">
            <v>Springbloom Druid</v>
          </cell>
          <cell r="C48" t="str">
            <v>Springbloom Druid</v>
          </cell>
        </row>
        <row r="49">
          <cell r="B49" t="str">
            <v>Dawntreader Elk</v>
          </cell>
          <cell r="C49" t="str">
            <v>Bugenhagen, Wise Elder</v>
          </cell>
        </row>
        <row r="50">
          <cell r="B50" t="str">
            <v>Earthbender Ascension</v>
          </cell>
          <cell r="C50" t="str">
            <v>Earthbender Ascension</v>
          </cell>
        </row>
        <row r="51">
          <cell r="B51" t="str">
            <v>Asceticism</v>
          </cell>
          <cell r="C51" t="str">
            <v>Asceticism</v>
          </cell>
        </row>
        <row r="52">
          <cell r="B52" t="str">
            <v>Eternal Witness</v>
          </cell>
          <cell r="C52" t="str">
            <v>Eternal Witness</v>
          </cell>
        </row>
        <row r="53">
          <cell r="B53" t="str">
            <v>Rhythm of the Wild</v>
          </cell>
          <cell r="C53" t="str">
            <v>Rhythm of the Wild</v>
          </cell>
        </row>
        <row r="54">
          <cell r="B54" t="str">
            <v>Swiftfoot Boots</v>
          </cell>
          <cell r="C54" t="str">
            <v>Swiftfoot Boots</v>
          </cell>
        </row>
        <row r="55">
          <cell r="B55" t="str">
            <v>Shriekmaw</v>
          </cell>
          <cell r="C55" t="str">
            <v>Shriekmaw</v>
          </cell>
        </row>
        <row r="56">
          <cell r="B56" t="str">
            <v>Ravenous Chupacabra</v>
          </cell>
          <cell r="C56" t="str">
            <v>Assassin's Trophy</v>
          </cell>
        </row>
        <row r="57">
          <cell r="B57" t="str">
            <v>Magus of the Abyss</v>
          </cell>
          <cell r="C57" t="str">
            <v>Magus of the Abyss</v>
          </cell>
        </row>
        <row r="58">
          <cell r="B58" t="str">
            <v>Terminate</v>
          </cell>
          <cell r="C58" t="str">
            <v>Terminate</v>
          </cell>
        </row>
        <row r="59">
          <cell r="B59" t="str">
            <v>Outland Liberator</v>
          </cell>
          <cell r="C59" t="str">
            <v>Artifact Mutation</v>
          </cell>
        </row>
        <row r="60">
          <cell r="B60" t="str">
            <v>Krosan Grip</v>
          </cell>
          <cell r="C60" t="str">
            <v>Krosan Grip</v>
          </cell>
        </row>
        <row r="61">
          <cell r="B61" t="str">
            <v>Pain for All</v>
          </cell>
          <cell r="C61" t="str">
            <v>Pain for All</v>
          </cell>
        </row>
        <row r="62">
          <cell r="B62" t="str">
            <v>Murderous Rider // Swift End</v>
          </cell>
          <cell r="C62" t="str">
            <v>Beast Within</v>
          </cell>
        </row>
        <row r="63">
          <cell r="B63" t="str">
            <v>Caustic Caterpillar</v>
          </cell>
          <cell r="C63" t="str">
            <v>Riveteers Charm</v>
          </cell>
        </row>
        <row r="64">
          <cell r="B64" t="str">
            <v>Thrashing Brontodon</v>
          </cell>
          <cell r="C64" t="str">
            <v>Thrashing Brontodon</v>
          </cell>
        </row>
        <row r="65">
          <cell r="B65" t="str">
            <v>Deadly Brew</v>
          </cell>
          <cell r="C65" t="str">
            <v>Deadly Brew</v>
          </cell>
        </row>
        <row r="66">
          <cell r="B66" t="str">
            <v>Plaguecrafter</v>
          </cell>
          <cell r="C66" t="str">
            <v>Plaguecrafter</v>
          </cell>
        </row>
        <row r="67">
          <cell r="B67" t="str">
            <v>Rise of the Witch-King</v>
          </cell>
          <cell r="C67" t="str">
            <v>Rise of the Witch-King</v>
          </cell>
        </row>
        <row r="68">
          <cell r="B68" t="str">
            <v>Fleshbag Marauder</v>
          </cell>
          <cell r="C68" t="str">
            <v>Fleshbag Marauder</v>
          </cell>
        </row>
        <row r="69">
          <cell r="B69" t="str">
            <v>Merciless Executioner</v>
          </cell>
          <cell r="C69" t="str">
            <v>Merciless Executioner</v>
          </cell>
        </row>
        <row r="70">
          <cell r="B70" t="str">
            <v>Gravelighter</v>
          </cell>
          <cell r="C70" t="str">
            <v>Accursed Marauder</v>
          </cell>
        </row>
        <row r="71">
          <cell r="B71" t="str">
            <v>Demon's Disciple</v>
          </cell>
          <cell r="C71" t="str">
            <v>Demon's Disciple</v>
          </cell>
        </row>
        <row r="72">
          <cell r="B72" t="str">
            <v>Soul Shatter</v>
          </cell>
          <cell r="C72" t="str">
            <v>Soul Shatter</v>
          </cell>
        </row>
        <row r="73">
          <cell r="B73" t="str">
            <v>Mogis, God of Slaughter</v>
          </cell>
          <cell r="C73" t="str">
            <v>Vona's Hunger</v>
          </cell>
        </row>
        <row r="74">
          <cell r="B74" t="str">
            <v>Archfiend of Depravity</v>
          </cell>
          <cell r="C74" t="str">
            <v>Archfiend of Depravity</v>
          </cell>
        </row>
        <row r="75">
          <cell r="B75" t="str">
            <v>Storm's Wrath</v>
          </cell>
          <cell r="C75" t="str">
            <v>Chandra's Ignition</v>
          </cell>
        </row>
        <row r="76">
          <cell r="B76" t="str">
            <v>Hidetsugu Consumes All</v>
          </cell>
          <cell r="C76" t="str">
            <v>Hidetsugu Consumes All</v>
          </cell>
        </row>
        <row r="77">
          <cell r="B77" t="str">
            <v>Bane of Progress</v>
          </cell>
          <cell r="C77" t="str">
            <v>Bane of Progress</v>
          </cell>
        </row>
        <row r="78">
          <cell r="B78" t="str">
            <v>Ritual of Soot</v>
          </cell>
          <cell r="C78" t="str">
            <v>Mandate of Abaddon</v>
          </cell>
        </row>
        <row r="79">
          <cell r="B79" t="str">
            <v>Savage Twister</v>
          </cell>
          <cell r="C79" t="str">
            <v>Nibelheim Aflame</v>
          </cell>
        </row>
        <row r="80">
          <cell r="B80" t="str">
            <v>Pestilence</v>
          </cell>
          <cell r="C80" t="str">
            <v>Soul Immolation</v>
          </cell>
        </row>
        <row r="81">
          <cell r="B81" t="str">
            <v>Volcanic Fallout</v>
          </cell>
          <cell r="C81" t="str">
            <v>Volcanic Fallout</v>
          </cell>
        </row>
        <row r="82">
          <cell r="B82" t="str">
            <v>Incite Rebellion</v>
          </cell>
          <cell r="C82" t="str">
            <v>Blasphemous Act</v>
          </cell>
        </row>
        <row r="83">
          <cell r="B83" t="str">
            <v>Jarad, Golgari Lich Lord</v>
          </cell>
          <cell r="C83" t="str">
            <v>Phyrexian Arena</v>
          </cell>
        </row>
        <row r="84">
          <cell r="B84" t="str">
            <v>Colossal Majesty</v>
          </cell>
          <cell r="C84" t="str">
            <v>Colossal Majesty</v>
          </cell>
        </row>
        <row r="85">
          <cell r="B85" t="str">
            <v>Bitter Work</v>
          </cell>
          <cell r="C85" t="str">
            <v>Bitter Work</v>
          </cell>
        </row>
        <row r="86">
          <cell r="B86" t="str">
            <v>Clackbridge Troll</v>
          </cell>
          <cell r="C86" t="str">
            <v>Clackbridge Troll</v>
          </cell>
        </row>
        <row r="87">
          <cell r="B87" t="str">
            <v>Drumhunter</v>
          </cell>
          <cell r="C87" t="str">
            <v>Drumhunter</v>
          </cell>
        </row>
        <row r="88">
          <cell r="B88" t="str">
            <v>Deathreap Ritual</v>
          </cell>
          <cell r="C88" t="str">
            <v>Deathreap Ritual</v>
          </cell>
        </row>
        <row r="89">
          <cell r="B89" t="str">
            <v>Life's Legacy</v>
          </cell>
          <cell r="C89" t="str">
            <v>Life's Legacy</v>
          </cell>
        </row>
        <row r="90">
          <cell r="B90" t="str">
            <v>Soul's Majesty</v>
          </cell>
          <cell r="C90" t="str">
            <v>Jenova, Ancient Calamity</v>
          </cell>
        </row>
        <row r="91">
          <cell r="B91" t="str">
            <v>Arcbond</v>
          </cell>
          <cell r="C91" t="str">
            <v>Mask of Griselbrand</v>
          </cell>
        </row>
        <row r="92">
          <cell r="B92" t="str">
            <v>Morbid Opportunist</v>
          </cell>
          <cell r="C92" t="str">
            <v>Morbid Opportunist</v>
          </cell>
        </row>
        <row r="93">
          <cell r="B93" t="str">
            <v>Rancor</v>
          </cell>
          <cell r="C93" t="str">
            <v>Rancor</v>
          </cell>
        </row>
        <row r="94">
          <cell r="B94" t="str">
            <v>Brawn</v>
          </cell>
          <cell r="C94" t="str">
            <v>Beifong's Bounty Hunters</v>
          </cell>
        </row>
        <row r="95">
          <cell r="B95" t="str">
            <v>Feldon of the Third Path</v>
          </cell>
          <cell r="C95" t="str">
            <v>Red XIII, Proud Warrior</v>
          </cell>
        </row>
        <row r="96">
          <cell r="B96" t="str">
            <v>Loxodon Warhammer</v>
          </cell>
          <cell r="C96" t="str">
            <v>Loxodon Warhammer</v>
          </cell>
        </row>
        <row r="97">
          <cell r="B97" t="str">
            <v>Foggy Swamp Visions</v>
          </cell>
          <cell r="C97" t="str">
            <v>Foggy Swamp Visions</v>
          </cell>
        </row>
        <row r="98">
          <cell r="B98" t="str">
            <v>Soul's Fire</v>
          </cell>
          <cell r="C98" t="str">
            <v>Soul's Fire</v>
          </cell>
        </row>
        <row r="99">
          <cell r="B99" t="str">
            <v>Thud</v>
          </cell>
          <cell r="C99" t="str">
            <v>Thud</v>
          </cell>
        </row>
        <row r="100">
          <cell r="B100" t="str">
            <v>Rite of Consumption</v>
          </cell>
          <cell r="C100" t="str">
            <v>Rite of Consumption</v>
          </cell>
        </row>
        <row r="101">
          <cell r="B101" t="str">
            <v>Essence Harvest</v>
          </cell>
          <cell r="C101" t="str">
            <v>Essence Harvest</v>
          </cell>
        </row>
        <row r="102">
          <cell r="B102" t="str">
            <v>Fling</v>
          </cell>
          <cell r="C102" t="str">
            <v>Fling</v>
          </cell>
        </row>
      </sheetData>
      <sheetData sheetId="17">
        <row r="2">
          <cell r="G2">
            <v>3</v>
          </cell>
        </row>
        <row r="3">
          <cell r="B3" t="str">
            <v>Breya, Etherium Shaper</v>
          </cell>
          <cell r="C3" t="str">
            <v>Breya, Etherium Shaper</v>
          </cell>
        </row>
        <row r="4">
          <cell r="B4" t="str">
            <v>Seat of the Synod</v>
          </cell>
          <cell r="C4" t="str">
            <v>Seat of the Synod</v>
          </cell>
        </row>
        <row r="5">
          <cell r="B5" t="str">
            <v>Vault of Whispers</v>
          </cell>
          <cell r="C5" t="str">
            <v>Vault of Whispers</v>
          </cell>
        </row>
        <row r="6">
          <cell r="B6" t="str">
            <v>Great Furnace</v>
          </cell>
          <cell r="C6" t="str">
            <v>Great Furnace</v>
          </cell>
        </row>
        <row r="7">
          <cell r="B7" t="str">
            <v>Ancient Den</v>
          </cell>
          <cell r="C7" t="str">
            <v>Ancient Den</v>
          </cell>
        </row>
        <row r="8">
          <cell r="B8" t="str">
            <v>Darksteel Citadel</v>
          </cell>
          <cell r="C8" t="str">
            <v>Darksteel Citadel</v>
          </cell>
        </row>
        <row r="9">
          <cell r="B9" t="str">
            <v>Buried Ruin</v>
          </cell>
          <cell r="C9" t="str">
            <v>Buried Ruin</v>
          </cell>
        </row>
        <row r="10">
          <cell r="B10" t="str">
            <v>The Mycosynth Gardens</v>
          </cell>
          <cell r="C10" t="str">
            <v>The Mycosynth Gardens</v>
          </cell>
        </row>
        <row r="11">
          <cell r="B11" t="str">
            <v>Power Depot</v>
          </cell>
          <cell r="C11" t="str">
            <v>Power Depot</v>
          </cell>
        </row>
        <row r="12">
          <cell r="B12" t="str">
            <v>Fundição dos Cônsules</v>
          </cell>
          <cell r="C12" t="str">
            <v>Reflecting Pool</v>
          </cell>
        </row>
        <row r="13">
          <cell r="B13" t="str">
            <v>Goldmire Bridge</v>
          </cell>
          <cell r="C13" t="str">
            <v>Goldmire Bridge</v>
          </cell>
        </row>
        <row r="14">
          <cell r="B14" t="str">
            <v>Razortide Bridge</v>
          </cell>
          <cell r="C14" t="str">
            <v>Razortide Bridge</v>
          </cell>
        </row>
        <row r="15">
          <cell r="B15" t="str">
            <v>Drossforge Bridge</v>
          </cell>
          <cell r="C15" t="str">
            <v>Drossforge Bridge</v>
          </cell>
        </row>
        <row r="16">
          <cell r="B16" t="str">
            <v>Rustvale Bridge</v>
          </cell>
          <cell r="C16" t="str">
            <v>Rustvale Bridge</v>
          </cell>
        </row>
        <row r="17">
          <cell r="B17" t="str">
            <v>Mistvault Bridge</v>
          </cell>
          <cell r="C17" t="str">
            <v>Mistvault Bridge</v>
          </cell>
        </row>
        <row r="18">
          <cell r="B18" t="str">
            <v>Silverbluff Bridge</v>
          </cell>
          <cell r="C18" t="str">
            <v>Silverbluff Bridge</v>
          </cell>
        </row>
        <row r="19">
          <cell r="B19" t="str">
            <v>Bojuka Bog</v>
          </cell>
          <cell r="C19" t="str">
            <v>Bojuka Bog</v>
          </cell>
        </row>
        <row r="20">
          <cell r="B20" t="str">
            <v>Exotic Orchard</v>
          </cell>
          <cell r="C20" t="str">
            <v>Exotic Orchard</v>
          </cell>
        </row>
        <row r="21">
          <cell r="B21" t="str">
            <v>Command Tower</v>
          </cell>
          <cell r="C21" t="str">
            <v>Command Tower</v>
          </cell>
        </row>
        <row r="22">
          <cell r="B22" t="str">
            <v>Castle Embereth</v>
          </cell>
          <cell r="C22" t="str">
            <v>Castle Embereth</v>
          </cell>
        </row>
        <row r="23">
          <cell r="B23" t="str">
            <v>Spire of Industry</v>
          </cell>
          <cell r="C23" t="str">
            <v>Spire of Industry</v>
          </cell>
        </row>
        <row r="24">
          <cell r="B24" t="str">
            <v>Port of Karfell</v>
          </cell>
          <cell r="C24" t="str">
            <v>Port of Karfell</v>
          </cell>
        </row>
        <row r="25">
          <cell r="B25" t="str">
            <v>Battlefield Forge</v>
          </cell>
          <cell r="C25" t="str">
            <v>Battlefield Forge</v>
          </cell>
        </row>
        <row r="26">
          <cell r="B26" t="str">
            <v>Adarkar Wastes</v>
          </cell>
          <cell r="C26" t="str">
            <v>Adarkar Wastes</v>
          </cell>
        </row>
        <row r="27">
          <cell r="B27" t="str">
            <v>Shivan Reef</v>
          </cell>
          <cell r="C27" t="str">
            <v>Shivan Reef</v>
          </cell>
        </row>
        <row r="28">
          <cell r="B28" t="str">
            <v>Caves of Koilos</v>
          </cell>
          <cell r="C28" t="str">
            <v>Caves of Koilos</v>
          </cell>
        </row>
        <row r="29">
          <cell r="B29" t="str">
            <v>Sulfurous Springs</v>
          </cell>
          <cell r="C29" t="str">
            <v>Sulfurous Springs</v>
          </cell>
        </row>
        <row r="30">
          <cell r="B30" t="str">
            <v>Underground River</v>
          </cell>
          <cell r="C30" t="str">
            <v>Underground River</v>
          </cell>
        </row>
        <row r="31">
          <cell r="B31" t="str">
            <v>Reliquary Tower</v>
          </cell>
          <cell r="C31" t="str">
            <v>Reliquary Tower</v>
          </cell>
        </row>
        <row r="32">
          <cell r="B32" t="str">
            <v>Adagia, Windswept Bastion</v>
          </cell>
          <cell r="C32" t="str">
            <v>Adagia, Windswept Bastion</v>
          </cell>
        </row>
        <row r="33">
          <cell r="B33" t="str">
            <v>Plains</v>
          </cell>
          <cell r="C33" t="str">
            <v>Plains</v>
          </cell>
        </row>
        <row r="34">
          <cell r="B34" t="str">
            <v>Plains</v>
          </cell>
          <cell r="C34" t="str">
            <v>Plains</v>
          </cell>
        </row>
        <row r="35">
          <cell r="B35" t="str">
            <v>Island</v>
          </cell>
          <cell r="C35" t="str">
            <v>Island</v>
          </cell>
        </row>
        <row r="36">
          <cell r="B36" t="str">
            <v>Island</v>
          </cell>
          <cell r="C36" t="str">
            <v>Island</v>
          </cell>
        </row>
        <row r="37">
          <cell r="B37" t="str">
            <v>Mountain</v>
          </cell>
          <cell r="C37" t="str">
            <v>Mountain</v>
          </cell>
        </row>
        <row r="38">
          <cell r="B38" t="str">
            <v>Swamp</v>
          </cell>
          <cell r="C38" t="str">
            <v>Swamp</v>
          </cell>
        </row>
        <row r="39">
          <cell r="B39" t="str">
            <v>Sol Ring</v>
          </cell>
          <cell r="C39" t="str">
            <v>Sol Ring</v>
          </cell>
        </row>
        <row r="40">
          <cell r="B40" t="str">
            <v>Arcane Signet</v>
          </cell>
          <cell r="C40" t="str">
            <v>Arcane Signet</v>
          </cell>
        </row>
        <row r="41">
          <cell r="B41" t="str">
            <v>Boros Signet</v>
          </cell>
          <cell r="C41" t="str">
            <v>Boros Signet</v>
          </cell>
        </row>
        <row r="42">
          <cell r="B42" t="str">
            <v>Azorius Signet</v>
          </cell>
          <cell r="C42" t="str">
            <v>Azorius Signet</v>
          </cell>
        </row>
        <row r="43">
          <cell r="B43" t="str">
            <v>Izzet Signet</v>
          </cell>
          <cell r="C43" t="str">
            <v>Izzet Signet</v>
          </cell>
        </row>
        <row r="44">
          <cell r="B44" t="str">
            <v>Orzhov Signet</v>
          </cell>
          <cell r="C44" t="str">
            <v>Orzhov Signet</v>
          </cell>
        </row>
        <row r="45">
          <cell r="B45" t="str">
            <v>Rakdos Signet</v>
          </cell>
          <cell r="C45" t="str">
            <v>Rakdos Signet</v>
          </cell>
        </row>
        <row r="46">
          <cell r="B46" t="str">
            <v>Dimir Signet</v>
          </cell>
          <cell r="C46" t="str">
            <v>Dimir Signet</v>
          </cell>
        </row>
        <row r="47">
          <cell r="B47" t="str">
            <v>Liquimetal Torque</v>
          </cell>
          <cell r="C47" t="str">
            <v>Liquimetal Torque</v>
          </cell>
        </row>
        <row r="48">
          <cell r="B48" t="str">
            <v>Grand Architect</v>
          </cell>
          <cell r="C48" t="str">
            <v>Grand Architect</v>
          </cell>
        </row>
        <row r="49">
          <cell r="B49" t="str">
            <v>Fellwar Stone</v>
          </cell>
          <cell r="C49" t="str">
            <v>Fellwar Stone</v>
          </cell>
        </row>
        <row r="50">
          <cell r="B50" t="str">
            <v>Chief Engineer</v>
          </cell>
          <cell r="C50" t="str">
            <v>Chief Engineer</v>
          </cell>
        </row>
        <row r="51">
          <cell r="B51" t="str">
            <v>Arcum Dagsson</v>
          </cell>
          <cell r="C51" t="str">
            <v>Arcum Dagsson</v>
          </cell>
        </row>
        <row r="52">
          <cell r="B52" t="str">
            <v>Aetherworks Marvel</v>
          </cell>
          <cell r="C52" t="str">
            <v>Aetherworks Marvel</v>
          </cell>
        </row>
        <row r="53">
          <cell r="B53" t="str">
            <v>Skullclamp</v>
          </cell>
          <cell r="C53" t="str">
            <v>Skullclamp</v>
          </cell>
        </row>
        <row r="54">
          <cell r="B54" t="str">
            <v>Long-Range Sensor</v>
          </cell>
          <cell r="C54" t="str">
            <v>Long-Range Sensor</v>
          </cell>
        </row>
        <row r="55">
          <cell r="B55" t="str">
            <v>Waterbender Ascension</v>
          </cell>
          <cell r="C55" t="str">
            <v>Waterbender Ascension</v>
          </cell>
        </row>
        <row r="56">
          <cell r="B56" t="str">
            <v>Katara, Bending Prodigy</v>
          </cell>
          <cell r="C56" t="str">
            <v>Katara, Bending Prodigy</v>
          </cell>
        </row>
        <row r="57">
          <cell r="B57" t="str">
            <v>Golbez, Crystal Collector</v>
          </cell>
          <cell r="C57" t="str">
            <v>Golbez, Crystal Collector</v>
          </cell>
        </row>
        <row r="58">
          <cell r="B58" t="str">
            <v>Curiosity Crafter</v>
          </cell>
          <cell r="C58" t="str">
            <v>Curiosity Crafter</v>
          </cell>
        </row>
        <row r="59">
          <cell r="B59" t="str">
            <v>Thopter Spy Network</v>
          </cell>
          <cell r="C59" t="str">
            <v>Thopter Spy Network</v>
          </cell>
        </row>
        <row r="60">
          <cell r="B60" t="str">
            <v>Frostcliff Siege</v>
          </cell>
          <cell r="C60" t="str">
            <v>Frostcliff Siege</v>
          </cell>
        </row>
        <row r="61">
          <cell r="B61" t="str">
            <v>Bident of Thassa</v>
          </cell>
          <cell r="C61" t="str">
            <v>Bident of Thassa</v>
          </cell>
        </row>
        <row r="62">
          <cell r="B62" t="str">
            <v>Detective's Satchel</v>
          </cell>
          <cell r="C62" t="str">
            <v>Illustrious Wanderglyph</v>
          </cell>
        </row>
        <row r="63">
          <cell r="B63" t="str">
            <v>Stridehangar Automaton</v>
          </cell>
          <cell r="C63" t="str">
            <v>Stridehangar Automaton</v>
          </cell>
        </row>
        <row r="64">
          <cell r="B64" t="str">
            <v>Thousand Moons Smithy</v>
          </cell>
          <cell r="C64" t="str">
            <v>Thousand Moons Smithy</v>
          </cell>
        </row>
        <row r="65">
          <cell r="B65" t="str">
            <v>Mahadi, Emporium Master</v>
          </cell>
          <cell r="C65" t="str">
            <v>Mahadi, Emporium Master</v>
          </cell>
        </row>
        <row r="66">
          <cell r="B66" t="str">
            <v>Worldwalker Helm</v>
          </cell>
          <cell r="C66" t="str">
            <v>Worldwalker Helm</v>
          </cell>
        </row>
        <row r="67">
          <cell r="B67" t="str">
            <v>Pia and Kiran Nalaar</v>
          </cell>
          <cell r="C67" t="str">
            <v>Pia and Kiran Nalaar</v>
          </cell>
        </row>
        <row r="68">
          <cell r="B68" t="str">
            <v>Grim Hireling</v>
          </cell>
          <cell r="C68" t="str">
            <v>Grim Hireling</v>
          </cell>
        </row>
        <row r="69">
          <cell r="B69" t="str">
            <v>Jan Jansen, Chaos Crafter</v>
          </cell>
          <cell r="C69" t="str">
            <v>Jan Jansen, Chaos Crafter</v>
          </cell>
        </row>
        <row r="70">
          <cell r="B70" t="str">
            <v>Urza, Lord High Artificer</v>
          </cell>
          <cell r="C70" t="str">
            <v>Urza, Lord High Artificer</v>
          </cell>
        </row>
        <row r="71">
          <cell r="B71" t="str">
            <v>Dollmaker's Shop // Porcelain Gallery</v>
          </cell>
          <cell r="C71" t="str">
            <v>Dollmaker's Shop // Porcelain Gallery</v>
          </cell>
        </row>
        <row r="72">
          <cell r="B72" t="str">
            <v>Marionette Apprentice</v>
          </cell>
          <cell r="C72" t="str">
            <v>Marionette Apprentice</v>
          </cell>
        </row>
        <row r="73">
          <cell r="B73" t="str">
            <v>Summoning Station</v>
          </cell>
          <cell r="C73" t="str">
            <v>Summoning Station</v>
          </cell>
        </row>
        <row r="74">
          <cell r="B74" t="str">
            <v>Pitiless Plunderer</v>
          </cell>
          <cell r="C74" t="str">
            <v>Pitiless Plunderer</v>
          </cell>
        </row>
        <row r="75">
          <cell r="B75" t="str">
            <v>Sharding Sphinx</v>
          </cell>
          <cell r="C75" t="str">
            <v>Sharding Sphinx</v>
          </cell>
        </row>
        <row r="76">
          <cell r="B76" t="str">
            <v>Biotransference</v>
          </cell>
          <cell r="C76" t="str">
            <v>Biotransference</v>
          </cell>
        </row>
        <row r="77">
          <cell r="B77" t="str">
            <v>Saheeli, the Gifted</v>
          </cell>
          <cell r="C77" t="str">
            <v>Saheeli, the Gifted</v>
          </cell>
        </row>
        <row r="78">
          <cell r="B78" t="str">
            <v>Hangarback Walker</v>
          </cell>
          <cell r="C78" t="str">
            <v>Hangarback Walker</v>
          </cell>
        </row>
        <row r="79">
          <cell r="B79" t="str">
            <v>Cayth, Famed Mechanist</v>
          </cell>
          <cell r="C79" t="str">
            <v>Cayth, Famed Mechanist</v>
          </cell>
        </row>
        <row r="80">
          <cell r="B80" t="str">
            <v>Brudiclad, Telchor Engineer</v>
          </cell>
          <cell r="C80" t="str">
            <v>Brudiclad, Telchor Engineer</v>
          </cell>
        </row>
        <row r="81">
          <cell r="B81" t="str">
            <v>Weapons Manufacturing</v>
          </cell>
          <cell r="C81" t="str">
            <v>Weapons Manufacturing</v>
          </cell>
        </row>
        <row r="82">
          <cell r="B82" t="str">
            <v>Saheeli, Filigree Master</v>
          </cell>
          <cell r="C82" t="str">
            <v>Daretti, Ingenious Iconoclast</v>
          </cell>
        </row>
        <row r="83">
          <cell r="B83" t="str">
            <v>Retrofitter Foundry</v>
          </cell>
          <cell r="C83" t="str">
            <v>Retrofitter Foundry</v>
          </cell>
        </row>
        <row r="84">
          <cell r="B84" t="str">
            <v>Spiteful Banditry</v>
          </cell>
          <cell r="C84" t="str">
            <v>Spiteful Banditry</v>
          </cell>
        </row>
        <row r="85">
          <cell r="B85" t="str">
            <v>Abstruse Appropriation</v>
          </cell>
          <cell r="C85" t="str">
            <v>Abstruse Appropriation</v>
          </cell>
        </row>
        <row r="86">
          <cell r="B86" t="str">
            <v>Anguished Unmaking</v>
          </cell>
          <cell r="C86" t="str">
            <v>Anguished Unmaking</v>
          </cell>
        </row>
        <row r="87">
          <cell r="B87" t="str">
            <v>Generous Gift</v>
          </cell>
          <cell r="C87" t="str">
            <v>Generous Gift</v>
          </cell>
        </row>
        <row r="88">
          <cell r="B88" t="str">
            <v>Ruthless Lawbringer</v>
          </cell>
          <cell r="C88" t="str">
            <v>Ruthless Lawbringer</v>
          </cell>
        </row>
        <row r="89">
          <cell r="B89" t="str">
            <v>Eldrazi Displacer</v>
          </cell>
          <cell r="C89" t="str">
            <v>Eldrazi Displacer</v>
          </cell>
        </row>
        <row r="90">
          <cell r="B90" t="str">
            <v>Thassa, Deep-Dwelling</v>
          </cell>
          <cell r="C90" t="str">
            <v>Thassa, Deep-Dwelling</v>
          </cell>
        </row>
        <row r="91">
          <cell r="B91" t="str">
            <v>Soulherder</v>
          </cell>
          <cell r="C91" t="str">
            <v>Soulherder</v>
          </cell>
        </row>
        <row r="92">
          <cell r="B92" t="str">
            <v>Nahiri's Resolve</v>
          </cell>
          <cell r="C92" t="str">
            <v>Nahiri's Resolve</v>
          </cell>
        </row>
        <row r="93">
          <cell r="B93" t="str">
            <v>Airbender Ascension</v>
          </cell>
          <cell r="C93" t="str">
            <v>Airbender Ascension</v>
          </cell>
        </row>
        <row r="94">
          <cell r="B94" t="str">
            <v>Venser, the Sojourner</v>
          </cell>
          <cell r="C94" t="str">
            <v>Venser, the Sojourner</v>
          </cell>
        </row>
        <row r="95">
          <cell r="B95" t="str">
            <v>Prosperous Partnership</v>
          </cell>
          <cell r="C95" t="str">
            <v>Prosperous Partnership</v>
          </cell>
        </row>
        <row r="96">
          <cell r="B96" t="str">
            <v>Lotho, Corrupt Shirriff</v>
          </cell>
          <cell r="C96" t="str">
            <v>Lotho, Corrupt Shirriff</v>
          </cell>
        </row>
        <row r="97">
          <cell r="B97" t="str">
            <v>Invasion of Tolvada</v>
          </cell>
          <cell r="C97" t="str">
            <v>Invasion of Tolvada</v>
          </cell>
        </row>
        <row r="98">
          <cell r="B98" t="str">
            <v>Mayhem Devil</v>
          </cell>
          <cell r="C98" t="str">
            <v>Mayhem Devil</v>
          </cell>
        </row>
        <row r="99">
          <cell r="B99" t="str">
            <v>Time Sieve</v>
          </cell>
          <cell r="C99" t="str">
            <v>Time Sieve</v>
          </cell>
        </row>
        <row r="100">
          <cell r="B100" t="str">
            <v>Tezzeret, Master of the Bridge</v>
          </cell>
          <cell r="C100" t="str">
            <v>Tezzeret, Master of the Bridge</v>
          </cell>
        </row>
        <row r="101">
          <cell r="B101" t="str">
            <v>Ashnod's Altar</v>
          </cell>
          <cell r="C101" t="str">
            <v>Ashnod's Altar</v>
          </cell>
        </row>
        <row r="102">
          <cell r="B102" t="str">
            <v>Krark-Clan Ironworks</v>
          </cell>
          <cell r="C102" t="str">
            <v>Krark-Clan Ironworks</v>
          </cell>
        </row>
      </sheetData>
      <sheetData sheetId="18">
        <row r="2">
          <cell r="G2">
            <v>10</v>
          </cell>
        </row>
        <row r="3">
          <cell r="B3" t="str">
            <v>The Rani</v>
          </cell>
          <cell r="C3" t="str">
            <v>The Rani</v>
          </cell>
        </row>
        <row r="4">
          <cell r="B4" t="str">
            <v>Emergency Zone</v>
          </cell>
          <cell r="C4" t="str">
            <v>Rogue's Passage</v>
          </cell>
        </row>
        <row r="5">
          <cell r="B5" t="str">
            <v>Command Tower</v>
          </cell>
          <cell r="C5" t="str">
            <v>Command Tower</v>
          </cell>
        </row>
        <row r="6">
          <cell r="B6" t="str">
            <v>Exotic Orchard</v>
          </cell>
          <cell r="C6" t="str">
            <v>Exotic Orchard</v>
          </cell>
        </row>
        <row r="7">
          <cell r="B7" t="str">
            <v>Myriad Landscape</v>
          </cell>
          <cell r="C7" t="str">
            <v>Myriad Landscape</v>
          </cell>
        </row>
        <row r="8">
          <cell r="B8" t="str">
            <v>Kazuul's Fury</v>
          </cell>
          <cell r="C8" t="str">
            <v>Kazuul's Fury</v>
          </cell>
        </row>
        <row r="9">
          <cell r="B9" t="str">
            <v>Archway of Innovation</v>
          </cell>
          <cell r="C9" t="str">
            <v>Archway of Innovation</v>
          </cell>
        </row>
        <row r="10">
          <cell r="B10" t="str">
            <v>Trenzalore Clocktower</v>
          </cell>
          <cell r="C10" t="str">
            <v>Trenzalore Clocktower</v>
          </cell>
        </row>
        <row r="11">
          <cell r="B11" t="str">
            <v>Havengul Laboratory</v>
          </cell>
          <cell r="C11" t="str">
            <v>Havengul Laboratory</v>
          </cell>
        </row>
        <row r="12">
          <cell r="B12" t="str">
            <v>Bojuka Bog</v>
          </cell>
          <cell r="C12" t="str">
            <v>Bojuka Bog</v>
          </cell>
        </row>
        <row r="13">
          <cell r="B13" t="str">
            <v>Dreadship Reef</v>
          </cell>
          <cell r="C13" t="str">
            <v>Reliquary Tower</v>
          </cell>
        </row>
        <row r="14">
          <cell r="B14" t="str">
            <v>Molten Slagheap</v>
          </cell>
          <cell r="C14" t="str">
            <v>Access Tunnel</v>
          </cell>
        </row>
        <row r="15">
          <cell r="B15" t="str">
            <v>Dragonskull Summit</v>
          </cell>
          <cell r="C15" t="str">
            <v>Dragonskull Summit</v>
          </cell>
        </row>
        <row r="16">
          <cell r="B16" t="str">
            <v>Drowned Catacomb</v>
          </cell>
          <cell r="C16" t="str">
            <v>Drowned Catacomb</v>
          </cell>
        </row>
        <row r="17">
          <cell r="B17" t="str">
            <v>Sulfur Falls</v>
          </cell>
          <cell r="C17" t="str">
            <v>Sulfur Falls</v>
          </cell>
        </row>
        <row r="18">
          <cell r="B18" t="str">
            <v>Evolving Wilds</v>
          </cell>
          <cell r="C18" t="str">
            <v>Gallifrey Council Chamber</v>
          </cell>
        </row>
        <row r="19">
          <cell r="B19" t="str">
            <v>Island</v>
          </cell>
          <cell r="C19" t="str">
            <v>Island</v>
          </cell>
        </row>
        <row r="20">
          <cell r="B20" t="str">
            <v>Island</v>
          </cell>
          <cell r="C20" t="str">
            <v>Island</v>
          </cell>
        </row>
        <row r="21">
          <cell r="B21" t="str">
            <v>Island</v>
          </cell>
          <cell r="C21" t="str">
            <v>Island</v>
          </cell>
        </row>
        <row r="22">
          <cell r="B22" t="str">
            <v>Island</v>
          </cell>
          <cell r="C22" t="str">
            <v>Island</v>
          </cell>
        </row>
        <row r="23">
          <cell r="B23" t="str">
            <v>Island</v>
          </cell>
          <cell r="C23" t="str">
            <v>Island</v>
          </cell>
        </row>
        <row r="24">
          <cell r="B24" t="str">
            <v>Island</v>
          </cell>
          <cell r="C24" t="str">
            <v>Island</v>
          </cell>
        </row>
        <row r="25">
          <cell r="B25" t="str">
            <v>Island</v>
          </cell>
          <cell r="C25" t="str">
            <v>Island</v>
          </cell>
        </row>
        <row r="26">
          <cell r="B26" t="str">
            <v>Island</v>
          </cell>
          <cell r="C26" t="str">
            <v>Island</v>
          </cell>
        </row>
        <row r="27">
          <cell r="B27" t="str">
            <v>Swamp</v>
          </cell>
          <cell r="C27" t="str">
            <v>Swamp</v>
          </cell>
        </row>
        <row r="28">
          <cell r="B28" t="str">
            <v>Swamp</v>
          </cell>
          <cell r="C28" t="str">
            <v>Swamp</v>
          </cell>
        </row>
        <row r="29">
          <cell r="B29" t="str">
            <v>Swamp</v>
          </cell>
          <cell r="C29" t="str">
            <v>Swamp</v>
          </cell>
        </row>
        <row r="30">
          <cell r="B30" t="str">
            <v>Swamp</v>
          </cell>
          <cell r="C30" t="str">
            <v>Swamp</v>
          </cell>
        </row>
        <row r="31">
          <cell r="B31" t="str">
            <v>Swamp</v>
          </cell>
          <cell r="C31" t="str">
            <v>Swamp</v>
          </cell>
        </row>
        <row r="32">
          <cell r="B32" t="str">
            <v>Swamp</v>
          </cell>
          <cell r="C32" t="str">
            <v>Swamp</v>
          </cell>
        </row>
        <row r="33">
          <cell r="B33" t="str">
            <v>Swamp</v>
          </cell>
          <cell r="C33" t="str">
            <v>Swamp</v>
          </cell>
        </row>
        <row r="34">
          <cell r="B34" t="str">
            <v>Swamp</v>
          </cell>
          <cell r="C34" t="str">
            <v>Swamp</v>
          </cell>
        </row>
        <row r="35">
          <cell r="B35" t="str">
            <v>Mountain</v>
          </cell>
          <cell r="C35" t="str">
            <v>Mountain</v>
          </cell>
        </row>
        <row r="36">
          <cell r="B36" t="str">
            <v>Mountain</v>
          </cell>
          <cell r="C36" t="str">
            <v>Mountain</v>
          </cell>
        </row>
        <row r="37">
          <cell r="B37" t="str">
            <v>Mountain</v>
          </cell>
          <cell r="C37" t="str">
            <v>Mountain</v>
          </cell>
        </row>
        <row r="38">
          <cell r="B38" t="str">
            <v>Mountain</v>
          </cell>
          <cell r="C38" t="str">
            <v>Mountain</v>
          </cell>
        </row>
        <row r="39">
          <cell r="B39" t="str">
            <v>Mountain</v>
          </cell>
          <cell r="C39" t="str">
            <v>Mountain</v>
          </cell>
        </row>
        <row r="40">
          <cell r="B40" t="str">
            <v>Mountain</v>
          </cell>
          <cell r="C40" t="str">
            <v>Mountain</v>
          </cell>
        </row>
        <row r="41">
          <cell r="B41" t="str">
            <v>Mountain</v>
          </cell>
          <cell r="C41" t="str">
            <v>Mountain</v>
          </cell>
        </row>
        <row r="42">
          <cell r="B42" t="str">
            <v>Sol Ring</v>
          </cell>
          <cell r="C42" t="str">
            <v>Sol Ring</v>
          </cell>
        </row>
        <row r="43">
          <cell r="B43" t="str">
            <v>Rakdos Signet</v>
          </cell>
          <cell r="C43" t="str">
            <v>Rakdos Signet</v>
          </cell>
        </row>
        <row r="44">
          <cell r="B44" t="str">
            <v>Izzet Signet</v>
          </cell>
          <cell r="C44" t="str">
            <v>Izzet Signet</v>
          </cell>
        </row>
        <row r="45">
          <cell r="B45" t="str">
            <v>Dimir Signet</v>
          </cell>
          <cell r="C45" t="str">
            <v>Dimir Signet</v>
          </cell>
        </row>
        <row r="46">
          <cell r="B46" t="str">
            <v>Mind Stone</v>
          </cell>
          <cell r="C46" t="str">
            <v>Mind Stone</v>
          </cell>
        </row>
        <row r="47">
          <cell r="B47" t="str">
            <v>Arcane Signet</v>
          </cell>
          <cell r="C47" t="str">
            <v>Arcane Signet</v>
          </cell>
        </row>
        <row r="48">
          <cell r="B48" t="str">
            <v>Fellwar Stone</v>
          </cell>
          <cell r="C48" t="str">
            <v>Fellwar Stone</v>
          </cell>
        </row>
        <row r="49">
          <cell r="B49" t="str">
            <v>Prismatic Lens</v>
          </cell>
          <cell r="C49" t="str">
            <v>Prismatic Lens</v>
          </cell>
        </row>
        <row r="50">
          <cell r="B50" t="str">
            <v>Laser Screwdriver</v>
          </cell>
          <cell r="C50" t="str">
            <v>Laser Screwdriver</v>
          </cell>
        </row>
        <row r="51">
          <cell r="B51" t="str">
            <v>Inspiring Statuary</v>
          </cell>
          <cell r="C51" t="str">
            <v>Inspiring Statuary</v>
          </cell>
        </row>
        <row r="52">
          <cell r="B52" t="str">
            <v>Marchesa, Dealer of Death</v>
          </cell>
          <cell r="C52" t="str">
            <v>Marchesa, Dealer of Death</v>
          </cell>
        </row>
        <row r="53">
          <cell r="B53" t="str">
            <v>Morbid Opportunist</v>
          </cell>
          <cell r="C53" t="str">
            <v>Morbid Opportunist</v>
          </cell>
        </row>
        <row r="54">
          <cell r="B54" t="str">
            <v>Sontaran General</v>
          </cell>
          <cell r="C54" t="str">
            <v>Obsessive Pursuit</v>
          </cell>
        </row>
        <row r="55">
          <cell r="B55" t="str">
            <v>Emberwilde Captain</v>
          </cell>
          <cell r="C55" t="str">
            <v>Emberwilde Captain</v>
          </cell>
        </row>
        <row r="56">
          <cell r="B56" t="str">
            <v>Marchesa's Decree</v>
          </cell>
          <cell r="C56" t="str">
            <v>Marchesa's Decree</v>
          </cell>
        </row>
        <row r="57">
          <cell r="B57" t="str">
            <v>Akal Pakal, First Among Equals</v>
          </cell>
          <cell r="C57" t="str">
            <v>Akal Pakal, First Among Equals</v>
          </cell>
        </row>
        <row r="58">
          <cell r="B58" t="str">
            <v>Karazikar, the Eye Tyrant</v>
          </cell>
          <cell r="C58" t="str">
            <v>Karazikar, the Eye Tyrant</v>
          </cell>
        </row>
        <row r="59">
          <cell r="B59" t="str">
            <v>Hateful Eidolon</v>
          </cell>
          <cell r="C59" t="str">
            <v>Hateful Eidolon</v>
          </cell>
        </row>
        <row r="60">
          <cell r="B60" t="str">
            <v>Tragic Slip</v>
          </cell>
          <cell r="C60" t="str">
            <v>Tragic Slip</v>
          </cell>
        </row>
        <row r="61">
          <cell r="B61" t="str">
            <v>Terminate</v>
          </cell>
          <cell r="C61" t="str">
            <v>Terminate</v>
          </cell>
        </row>
        <row r="62">
          <cell r="B62" t="str">
            <v>Sudden Spoiling</v>
          </cell>
          <cell r="C62" t="str">
            <v>Sudden Spoiling</v>
          </cell>
        </row>
        <row r="63">
          <cell r="B63" t="str">
            <v>Rakdos Charm</v>
          </cell>
          <cell r="C63" t="str">
            <v>Rakdos Charm</v>
          </cell>
        </row>
        <row r="64">
          <cell r="B64" t="str">
            <v>Negate</v>
          </cell>
          <cell r="C64" t="str">
            <v>Negate</v>
          </cell>
        </row>
        <row r="65">
          <cell r="B65" t="str">
            <v>Countersquall</v>
          </cell>
          <cell r="C65" t="str">
            <v>Countersquall</v>
          </cell>
        </row>
        <row r="66">
          <cell r="B66" t="str">
            <v>Counterflux</v>
          </cell>
          <cell r="C66" t="str">
            <v>Counterflux</v>
          </cell>
        </row>
        <row r="67">
          <cell r="B67" t="str">
            <v>Maestros Confluence</v>
          </cell>
          <cell r="C67" t="str">
            <v>Maestros Confluence</v>
          </cell>
        </row>
        <row r="68">
          <cell r="B68" t="str">
            <v>Red Death, Shipwrecker</v>
          </cell>
          <cell r="C68" t="str">
            <v>Red Death, Shipwrecker</v>
          </cell>
        </row>
        <row r="69">
          <cell r="B69" t="str">
            <v>Hot Pursuit</v>
          </cell>
          <cell r="C69" t="str">
            <v>Hot Pursuit</v>
          </cell>
        </row>
        <row r="70">
          <cell r="B70" t="str">
            <v>Bjorna, Nightfall Alchemist</v>
          </cell>
          <cell r="C70" t="str">
            <v>Bjorna, Nightfall Alchemist</v>
          </cell>
        </row>
        <row r="71">
          <cell r="B71" t="str">
            <v>Bloodthirsty Blade</v>
          </cell>
          <cell r="C71" t="str">
            <v>Bloodthirsty Blade</v>
          </cell>
        </row>
        <row r="72">
          <cell r="B72" t="str">
            <v>Day of the Moon</v>
          </cell>
          <cell r="C72" t="str">
            <v>Day of the Moon</v>
          </cell>
        </row>
        <row r="73">
          <cell r="B73" t="str">
            <v>Eye of Nidhogg</v>
          </cell>
          <cell r="C73" t="str">
            <v>Eye of Nidhogg</v>
          </cell>
        </row>
        <row r="74">
          <cell r="B74" t="str">
            <v>Laurine, the Diversion</v>
          </cell>
          <cell r="C74" t="str">
            <v>Laurine, the Diversion</v>
          </cell>
        </row>
        <row r="75">
          <cell r="B75" t="str">
            <v>Kardur, Doomscourge</v>
          </cell>
          <cell r="C75" t="str">
            <v>Kardur, Doomscourge</v>
          </cell>
        </row>
        <row r="76">
          <cell r="B76" t="str">
            <v>Disrupt Decorum</v>
          </cell>
          <cell r="C76" t="str">
            <v>Disrupt Decorum</v>
          </cell>
        </row>
        <row r="77">
          <cell r="B77" t="str">
            <v>Vengeful Ancestor</v>
          </cell>
          <cell r="C77" t="str">
            <v>Vengeful Ancestor</v>
          </cell>
        </row>
        <row r="78">
          <cell r="B78" t="str">
            <v>Renegade Silent</v>
          </cell>
          <cell r="C78" t="str">
            <v>Renegade Silent</v>
          </cell>
        </row>
        <row r="79">
          <cell r="B79" t="str">
            <v>Sly Instigator</v>
          </cell>
          <cell r="C79" t="str">
            <v>Sly Instigator</v>
          </cell>
        </row>
        <row r="80">
          <cell r="B80" t="str">
            <v>Mocking Doppelganger</v>
          </cell>
          <cell r="C80" t="str">
            <v>Mocking Doppelganger</v>
          </cell>
        </row>
        <row r="81">
          <cell r="B81" t="str">
            <v>Shiny Impetus</v>
          </cell>
          <cell r="C81" t="str">
            <v>Bothersome Quasit</v>
          </cell>
        </row>
        <row r="82">
          <cell r="B82" t="str">
            <v>Goblin Spymaster</v>
          </cell>
          <cell r="C82" t="str">
            <v>Life of the Party</v>
          </cell>
        </row>
        <row r="83">
          <cell r="B83" t="str">
            <v>Coronation of Chaos</v>
          </cell>
          <cell r="C83" t="str">
            <v>Ghoulish Impetus</v>
          </cell>
        </row>
        <row r="84">
          <cell r="B84" t="str">
            <v>Geode Rager</v>
          </cell>
          <cell r="C84" t="str">
            <v>Geode Rager</v>
          </cell>
        </row>
        <row r="85">
          <cell r="B85" t="str">
            <v>Kazuul, Tyrant of the Cliffs</v>
          </cell>
          <cell r="C85" t="str">
            <v>Raven Eagle</v>
          </cell>
        </row>
        <row r="86">
          <cell r="B86" t="str">
            <v>Academy Manufactor</v>
          </cell>
          <cell r="C86" t="str">
            <v>Academy Manufactor</v>
          </cell>
        </row>
        <row r="87">
          <cell r="B87" t="str">
            <v>Gossip's Talent</v>
          </cell>
          <cell r="C87" t="str">
            <v>Gossip's Talent</v>
          </cell>
        </row>
        <row r="88">
          <cell r="B88" t="str">
            <v>Sword Coast Sailor</v>
          </cell>
          <cell r="C88" t="str">
            <v>Sword Coast Sailor</v>
          </cell>
        </row>
        <row r="89">
          <cell r="B89" t="str">
            <v>Erdwal Illuminator</v>
          </cell>
          <cell r="C89" t="str">
            <v>Erdwal Illuminator</v>
          </cell>
        </row>
        <row r="90">
          <cell r="B90" t="str">
            <v>Agitator Ant</v>
          </cell>
          <cell r="C90" t="str">
            <v>Agitator Ant</v>
          </cell>
        </row>
        <row r="91">
          <cell r="B91" t="str">
            <v>Magda, the Hoardmaster</v>
          </cell>
          <cell r="C91" t="str">
            <v>Magda, the Hoardmaster</v>
          </cell>
        </row>
        <row r="92">
          <cell r="B92" t="str">
            <v>Royalty Assassin</v>
          </cell>
          <cell r="C92" t="str">
            <v>Waterbender's Restoration</v>
          </cell>
        </row>
        <row r="93">
          <cell r="B93" t="str">
            <v>Revenge of Ravens</v>
          </cell>
          <cell r="C93" t="str">
            <v>Revenge of Ravens</v>
          </cell>
        </row>
        <row r="94">
          <cell r="B94" t="str">
            <v>Firebender Ascension</v>
          </cell>
          <cell r="C94" t="str">
            <v>Firebender Ascension</v>
          </cell>
        </row>
        <row r="95">
          <cell r="B95" t="str">
            <v>Hissing Miasma</v>
          </cell>
          <cell r="C95" t="str">
            <v>Hissing Miasma</v>
          </cell>
        </row>
        <row r="96">
          <cell r="B96" t="str">
            <v>Grenzo, Havoc Raiser</v>
          </cell>
          <cell r="C96" t="str">
            <v>Grenzo, Havoc Raiser</v>
          </cell>
        </row>
        <row r="97">
          <cell r="B97" t="str">
            <v>Curse of Disturbance</v>
          </cell>
          <cell r="C97" t="str">
            <v>Curse of Disturbance</v>
          </cell>
        </row>
        <row r="98">
          <cell r="B98" t="str">
            <v>Curse of Opulence</v>
          </cell>
          <cell r="C98" t="str">
            <v>Curse of Opulence</v>
          </cell>
        </row>
        <row r="99">
          <cell r="B99" t="str">
            <v>Curse of Verbosity</v>
          </cell>
          <cell r="C99" t="str">
            <v>Curse of Verbosity</v>
          </cell>
        </row>
        <row r="100">
          <cell r="B100" t="str">
            <v>Komainu Battle Armor</v>
          </cell>
          <cell r="C100" t="str">
            <v>Komainu Battle Armor</v>
          </cell>
        </row>
        <row r="101">
          <cell r="B101" t="str">
            <v>Powerbalance</v>
          </cell>
          <cell r="C101" t="str">
            <v>Powerbalance</v>
          </cell>
        </row>
        <row r="102">
          <cell r="B102" t="str">
            <v>Martha Jones</v>
          </cell>
          <cell r="C102" t="str">
            <v>Martha Jones</v>
          </cell>
        </row>
      </sheetData>
      <sheetData sheetId="19">
        <row r="2">
          <cell r="G2">
            <v>10</v>
          </cell>
        </row>
        <row r="3">
          <cell r="B3" t="str">
            <v>Jodah, the Unifier</v>
          </cell>
          <cell r="C3" t="str">
            <v>Jodah, the Unifier</v>
          </cell>
        </row>
        <row r="4">
          <cell r="B4" t="str">
            <v>Arcane Sanctum</v>
          </cell>
          <cell r="C4" t="str">
            <v>Arcane Sanctum</v>
          </cell>
        </row>
        <row r="5">
          <cell r="B5" t="str">
            <v>Seaside Citadel</v>
          </cell>
          <cell r="C5" t="str">
            <v>Seaside Citadel</v>
          </cell>
        </row>
        <row r="6">
          <cell r="B6" t="str">
            <v>Jungle Shrine</v>
          </cell>
          <cell r="C6" t="str">
            <v>Jungle Shrine</v>
          </cell>
        </row>
        <row r="7">
          <cell r="B7" t="str">
            <v>Crumbling Necropolis</v>
          </cell>
          <cell r="C7" t="str">
            <v>Crumbling Necropolis</v>
          </cell>
        </row>
        <row r="8">
          <cell r="B8" t="str">
            <v>Savage Lands</v>
          </cell>
          <cell r="C8" t="str">
            <v>Savage Lands</v>
          </cell>
        </row>
        <row r="9">
          <cell r="B9" t="str">
            <v>Nomad Outpost</v>
          </cell>
          <cell r="C9" t="str">
            <v>Nomad Outpost</v>
          </cell>
        </row>
        <row r="10">
          <cell r="B10" t="str">
            <v>Mystic Monastery</v>
          </cell>
          <cell r="C10" t="str">
            <v>Mystic Monastery</v>
          </cell>
        </row>
        <row r="11">
          <cell r="B11" t="str">
            <v>Sandsteppe Citadel</v>
          </cell>
          <cell r="C11" t="str">
            <v>Sandsteppe Citadel</v>
          </cell>
        </row>
        <row r="12">
          <cell r="B12" t="str">
            <v>Opulent Palace</v>
          </cell>
          <cell r="C12" t="str">
            <v>Opulent Palace</v>
          </cell>
        </row>
        <row r="13">
          <cell r="B13" t="str">
            <v>Frontier Bivouac</v>
          </cell>
          <cell r="C13" t="str">
            <v>Frontier Bivouac</v>
          </cell>
        </row>
        <row r="14">
          <cell r="B14" t="str">
            <v>Temple of Enlightenment</v>
          </cell>
          <cell r="C14" t="str">
            <v>Temple of Enlightenment</v>
          </cell>
        </row>
        <row r="15">
          <cell r="B15" t="str">
            <v>Temple of Deceit</v>
          </cell>
          <cell r="C15" t="str">
            <v>Temple of Deceit</v>
          </cell>
        </row>
        <row r="16">
          <cell r="B16" t="str">
            <v>Temple of Malice</v>
          </cell>
          <cell r="C16" t="str">
            <v>Temple of Malice</v>
          </cell>
        </row>
        <row r="17">
          <cell r="B17" t="str">
            <v>Temple of Abandon</v>
          </cell>
          <cell r="C17" t="str">
            <v>Temple of Abandon</v>
          </cell>
        </row>
        <row r="18">
          <cell r="B18" t="str">
            <v>Temple of Plenty</v>
          </cell>
          <cell r="C18" t="str">
            <v>Temple of Plenty</v>
          </cell>
        </row>
        <row r="19">
          <cell r="B19" t="str">
            <v>Temple of Silence</v>
          </cell>
          <cell r="C19" t="str">
            <v>Temple of Silence</v>
          </cell>
        </row>
        <row r="20">
          <cell r="B20" t="str">
            <v>Temple of Epiphany</v>
          </cell>
          <cell r="C20" t="str">
            <v>Temple of Epiphany</v>
          </cell>
        </row>
        <row r="21">
          <cell r="B21" t="str">
            <v>Temple of Malady</v>
          </cell>
          <cell r="C21" t="str">
            <v>Temple of Malady</v>
          </cell>
        </row>
        <row r="22">
          <cell r="B22" t="str">
            <v>Temple of Triumph</v>
          </cell>
          <cell r="C22" t="str">
            <v>Temple of Triumph</v>
          </cell>
        </row>
        <row r="23">
          <cell r="B23" t="str">
            <v>Temple of Mystery</v>
          </cell>
          <cell r="C23" t="str">
            <v>Temple of Mystery</v>
          </cell>
        </row>
        <row r="24">
          <cell r="B24" t="str">
            <v>Reliquary Tower</v>
          </cell>
          <cell r="C24" t="str">
            <v>Reliquary Tower</v>
          </cell>
        </row>
        <row r="25">
          <cell r="B25" t="str">
            <v>Karn's Bastion</v>
          </cell>
          <cell r="C25" t="str">
            <v>Karn's Bastion</v>
          </cell>
        </row>
        <row r="26">
          <cell r="B26" t="str">
            <v>Crystal Quarry</v>
          </cell>
          <cell r="C26" t="str">
            <v>Crystal Quarry</v>
          </cell>
        </row>
        <row r="27">
          <cell r="B27" t="str">
            <v>Command Tower</v>
          </cell>
          <cell r="C27" t="str">
            <v>Command Tower</v>
          </cell>
        </row>
        <row r="28">
          <cell r="B28" t="str">
            <v>Exotic Orchard</v>
          </cell>
          <cell r="C28" t="str">
            <v>Exotic Orchard</v>
          </cell>
        </row>
        <row r="29">
          <cell r="B29" t="str">
            <v>Island</v>
          </cell>
          <cell r="C29" t="str">
            <v>Island</v>
          </cell>
        </row>
        <row r="30">
          <cell r="B30" t="str">
            <v>Island</v>
          </cell>
          <cell r="C30" t="str">
            <v>Island</v>
          </cell>
        </row>
        <row r="31">
          <cell r="B31" t="str">
            <v>Forest</v>
          </cell>
          <cell r="C31" t="str">
            <v>Forest</v>
          </cell>
        </row>
        <row r="32">
          <cell r="B32" t="str">
            <v>Forest</v>
          </cell>
          <cell r="C32" t="str">
            <v>Forest</v>
          </cell>
        </row>
        <row r="33">
          <cell r="B33" t="str">
            <v>Plains</v>
          </cell>
          <cell r="C33" t="str">
            <v>Plains</v>
          </cell>
        </row>
        <row r="34">
          <cell r="B34" t="str">
            <v>Plains</v>
          </cell>
          <cell r="C34" t="str">
            <v>Plains</v>
          </cell>
        </row>
        <row r="35">
          <cell r="B35" t="str">
            <v>Swamp</v>
          </cell>
          <cell r="C35" t="str">
            <v>Swamp</v>
          </cell>
        </row>
        <row r="36">
          <cell r="B36" t="str">
            <v>Swamp</v>
          </cell>
          <cell r="C36" t="str">
            <v>Swamp</v>
          </cell>
        </row>
        <row r="37">
          <cell r="B37" t="str">
            <v>Mountain</v>
          </cell>
          <cell r="C37" t="str">
            <v>Mountain</v>
          </cell>
        </row>
        <row r="38">
          <cell r="B38" t="str">
            <v>Mountain</v>
          </cell>
          <cell r="C38" t="str">
            <v>Mountain</v>
          </cell>
        </row>
        <row r="39">
          <cell r="B39" t="str">
            <v>Sol Ring</v>
          </cell>
          <cell r="C39" t="str">
            <v>Sol Ring</v>
          </cell>
        </row>
        <row r="40">
          <cell r="B40" t="str">
            <v>Arcane Signet</v>
          </cell>
          <cell r="C40" t="str">
            <v>Arcane Signet</v>
          </cell>
        </row>
        <row r="41">
          <cell r="B41" t="str">
            <v>Boros Signet</v>
          </cell>
          <cell r="C41" t="str">
            <v>Boros Signet</v>
          </cell>
        </row>
        <row r="42">
          <cell r="B42" t="str">
            <v>Azorius Signet</v>
          </cell>
          <cell r="C42" t="str">
            <v>Azorius Signet</v>
          </cell>
        </row>
        <row r="43">
          <cell r="B43" t="str">
            <v>Orzhov Signet</v>
          </cell>
          <cell r="C43" t="str">
            <v>Orzhov Signet</v>
          </cell>
        </row>
        <row r="44">
          <cell r="B44" t="str">
            <v>Selesnya Signet</v>
          </cell>
          <cell r="C44" t="str">
            <v>Selesnya Signet</v>
          </cell>
        </row>
        <row r="45">
          <cell r="B45" t="str">
            <v>Izzet Signet</v>
          </cell>
          <cell r="C45" t="str">
            <v>Izzet Signet</v>
          </cell>
        </row>
        <row r="46">
          <cell r="B46" t="str">
            <v>Simic Signet</v>
          </cell>
          <cell r="C46" t="str">
            <v>Simic Signet</v>
          </cell>
        </row>
        <row r="47">
          <cell r="B47" t="str">
            <v>Dimir Signet</v>
          </cell>
          <cell r="C47" t="str">
            <v>Dimir Signet</v>
          </cell>
        </row>
        <row r="48">
          <cell r="B48" t="str">
            <v>Gruul Signet</v>
          </cell>
          <cell r="C48" t="str">
            <v>Gruul Signet</v>
          </cell>
        </row>
        <row r="49">
          <cell r="B49" t="str">
            <v>Rakdos Signet</v>
          </cell>
          <cell r="C49" t="str">
            <v>Rakdos Signet</v>
          </cell>
        </row>
        <row r="50">
          <cell r="B50" t="str">
            <v>Golgari Signet</v>
          </cell>
          <cell r="C50" t="str">
            <v>Golgari Signet</v>
          </cell>
        </row>
        <row r="51">
          <cell r="B51" t="str">
            <v>Life Insurance</v>
          </cell>
          <cell r="C51" t="str">
            <v>Lolth, Spider Queen</v>
          </cell>
        </row>
        <row r="52">
          <cell r="B52" t="str">
            <v>Sorin, Grim Nemesis</v>
          </cell>
          <cell r="C52" t="str">
            <v>Sorin, Grim Nemesis</v>
          </cell>
        </row>
        <row r="53">
          <cell r="B53" t="str">
            <v>Elminster</v>
          </cell>
          <cell r="C53" t="str">
            <v>Elminster</v>
          </cell>
        </row>
        <row r="54">
          <cell r="B54" t="str">
            <v>Ajani Unyielding</v>
          </cell>
          <cell r="C54" t="str">
            <v>Ajani Unyielding</v>
          </cell>
        </row>
        <row r="55">
          <cell r="B55" t="str">
            <v>Liliana Vess</v>
          </cell>
          <cell r="C55" t="str">
            <v>Liliana Vess</v>
          </cell>
        </row>
        <row r="56">
          <cell r="B56" t="str">
            <v>Kasmina, Enigma Sage</v>
          </cell>
          <cell r="C56" t="str">
            <v>Commodore Guff</v>
          </cell>
        </row>
        <row r="57">
          <cell r="B57" t="str">
            <v>Jace, Unraveler of Secrets</v>
          </cell>
          <cell r="C57" t="str">
            <v>Jace, Unraveler of Secrets</v>
          </cell>
        </row>
        <row r="58">
          <cell r="B58" t="str">
            <v>Tasha, the Witch Queen</v>
          </cell>
          <cell r="C58" t="str">
            <v>Tasha, the Witch Queen</v>
          </cell>
        </row>
        <row r="59">
          <cell r="B59" t="str">
            <v>Teferi, Temporal Archmage</v>
          </cell>
          <cell r="C59" t="str">
            <v>Teferi, Temporal Archmage</v>
          </cell>
        </row>
        <row r="60">
          <cell r="B60" t="str">
            <v>Tamiyo, the Moon Sage</v>
          </cell>
          <cell r="C60" t="str">
            <v>Tamiyo, the Moon Sage</v>
          </cell>
        </row>
        <row r="61">
          <cell r="B61" t="str">
            <v>Ob Nixilis Reignited</v>
          </cell>
          <cell r="C61" t="str">
            <v>Ob Nixilis Reignited</v>
          </cell>
        </row>
        <row r="62">
          <cell r="B62" t="str">
            <v>Dihada, Binder of Wills</v>
          </cell>
          <cell r="C62" t="str">
            <v>Dihada, Binder of Wills</v>
          </cell>
        </row>
        <row r="63">
          <cell r="B63" t="str">
            <v>Chaos Warp</v>
          </cell>
          <cell r="C63" t="str">
            <v>Kaya the Inexorable</v>
          </cell>
        </row>
        <row r="64">
          <cell r="B64" t="str">
            <v>The Eldest Reborn</v>
          </cell>
          <cell r="C64" t="str">
            <v>Elspeth, Sun's Champion</v>
          </cell>
        </row>
        <row r="65">
          <cell r="B65" t="str">
            <v>Bant Charm</v>
          </cell>
          <cell r="C65" t="str">
            <v>Freyalise, Llanowar's Fury</v>
          </cell>
        </row>
        <row r="66">
          <cell r="B66" t="str">
            <v>Vraska the Unseen</v>
          </cell>
          <cell r="C66" t="str">
            <v>Vraska the Unseen</v>
          </cell>
        </row>
        <row r="67">
          <cell r="B67" t="str">
            <v>Ral Zarek</v>
          </cell>
          <cell r="C67" t="str">
            <v>Ral Zarek</v>
          </cell>
        </row>
        <row r="68">
          <cell r="B68" t="str">
            <v>The Wanderer</v>
          </cell>
          <cell r="C68" t="str">
            <v>The Wanderer</v>
          </cell>
        </row>
        <row r="69">
          <cell r="B69" t="str">
            <v>Garruk, Cursed Huntsman</v>
          </cell>
          <cell r="C69" t="str">
            <v>Garruk, Cursed Huntsman</v>
          </cell>
        </row>
        <row r="70">
          <cell r="B70" t="str">
            <v>Angrath, the Flame-Chained</v>
          </cell>
          <cell r="C70" t="str">
            <v>Angrath, the Flame-Chained</v>
          </cell>
        </row>
        <row r="71">
          <cell r="B71" t="str">
            <v>Dakkon, Shadow Slayer</v>
          </cell>
          <cell r="C71" t="str">
            <v>Dakkon, Shadow Slayer</v>
          </cell>
        </row>
        <row r="72">
          <cell r="B72" t="str">
            <v>Ugin, the Ineffable</v>
          </cell>
          <cell r="C72" t="str">
            <v>Ugin, the Ineffable</v>
          </cell>
        </row>
        <row r="73">
          <cell r="B73" t="str">
            <v>Urza's Ruinous Blast</v>
          </cell>
          <cell r="C73" t="str">
            <v>Oko, Thief of Crowns</v>
          </cell>
        </row>
        <row r="74">
          <cell r="B74" t="str">
            <v>Nicol Bolas, Dragon-God</v>
          </cell>
          <cell r="C74" t="str">
            <v>Nicol Bolas, God-Pharaoh</v>
          </cell>
        </row>
        <row r="75">
          <cell r="B75" t="str">
            <v>Supreme Verdict</v>
          </cell>
          <cell r="C75" t="str">
            <v>Vronos, Masked Inquisitor</v>
          </cell>
        </row>
        <row r="76">
          <cell r="B76" t="str">
            <v>Venser, the Sojourner</v>
          </cell>
          <cell r="C76" t="str">
            <v>Venser, the Sojourner</v>
          </cell>
        </row>
        <row r="77">
          <cell r="B77" t="str">
            <v>Dovin, Hand of Control</v>
          </cell>
          <cell r="C77" t="str">
            <v>Dovin, Hand of Control</v>
          </cell>
        </row>
        <row r="78">
          <cell r="B78" t="str">
            <v>Karn Liberated</v>
          </cell>
          <cell r="C78" t="str">
            <v>Karn Liberated</v>
          </cell>
        </row>
        <row r="79">
          <cell r="B79" t="str">
            <v>Wrenn and Realmbreaker</v>
          </cell>
          <cell r="C79" t="str">
            <v>Wrenn and Realmbreaker</v>
          </cell>
        </row>
        <row r="80">
          <cell r="B80" t="str">
            <v>Aminatou, the Fateshifter</v>
          </cell>
          <cell r="C80" t="str">
            <v>Aminatou, the Fateshifter</v>
          </cell>
        </row>
        <row r="81">
          <cell r="B81" t="str">
            <v>Ashiok, Dream Render</v>
          </cell>
          <cell r="C81" t="str">
            <v>Ashiok, Dream Render</v>
          </cell>
        </row>
        <row r="82">
          <cell r="B82" t="str">
            <v>Narset, Parter of Veils</v>
          </cell>
          <cell r="C82" t="str">
            <v>Narset, Parter of Veils</v>
          </cell>
        </row>
        <row r="83">
          <cell r="B83" t="str">
            <v>Sarkhan the Masterless</v>
          </cell>
          <cell r="C83" t="str">
            <v>Sarkhan the Masterless</v>
          </cell>
        </row>
        <row r="84">
          <cell r="B84" t="str">
            <v>Chandra, Awakened Inferno</v>
          </cell>
          <cell r="C84" t="str">
            <v>Chandra, Awakened Inferno</v>
          </cell>
        </row>
        <row r="85">
          <cell r="B85" t="str">
            <v>Djeru, With Eyes Open</v>
          </cell>
          <cell r="C85" t="str">
            <v>Djeru, With Eyes Open</v>
          </cell>
        </row>
        <row r="86">
          <cell r="B86" t="str">
            <v>Sisay, Weatherlight Captain</v>
          </cell>
          <cell r="C86" t="str">
            <v>Sisay, Weatherlight Captain</v>
          </cell>
        </row>
        <row r="87">
          <cell r="B87" t="str">
            <v>Rings of Brighthearth</v>
          </cell>
          <cell r="C87" t="str">
            <v>Rings of Brighthearth</v>
          </cell>
        </row>
        <row r="88">
          <cell r="B88" t="str">
            <v>Flux Channeler</v>
          </cell>
          <cell r="C88" t="str">
            <v>Ripples of Potential</v>
          </cell>
        </row>
        <row r="89">
          <cell r="B89" t="str">
            <v>Urza Assembles the Titans</v>
          </cell>
          <cell r="C89" t="str">
            <v>The Peregrine Dynamo</v>
          </cell>
        </row>
        <row r="90">
          <cell r="B90" t="str">
            <v>Carth the Lion</v>
          </cell>
          <cell r="C90" t="str">
            <v>Carth the Lion</v>
          </cell>
        </row>
        <row r="91">
          <cell r="B91" t="str">
            <v>Mila, Crafty Companion</v>
          </cell>
          <cell r="C91" t="str">
            <v>Mila, Crafty Companion</v>
          </cell>
        </row>
        <row r="92">
          <cell r="B92" t="str">
            <v>Brokers Ascendancy</v>
          </cell>
          <cell r="C92" t="str">
            <v>Brokers Ascendancy</v>
          </cell>
        </row>
        <row r="93">
          <cell r="B93" t="str">
            <v>Gold-Forged Thopteryx</v>
          </cell>
          <cell r="C93" t="str">
            <v>Gold-Forged Thopteryx</v>
          </cell>
        </row>
        <row r="94">
          <cell r="B94" t="str">
            <v>Kethis, the Hidden Hand</v>
          </cell>
          <cell r="C94" t="str">
            <v>Kethis, the Hidden Hand</v>
          </cell>
        </row>
        <row r="95">
          <cell r="B95" t="str">
            <v>Oath of Chandra</v>
          </cell>
          <cell r="C95" t="str">
            <v>Oath of Chandra</v>
          </cell>
        </row>
        <row r="96">
          <cell r="B96" t="str">
            <v>Oath of Ajani</v>
          </cell>
          <cell r="C96" t="str">
            <v>Oath of Ajani</v>
          </cell>
        </row>
        <row r="97">
          <cell r="B97" t="str">
            <v>Oath of Nissa</v>
          </cell>
          <cell r="C97" t="str">
            <v>Oath of Nissa</v>
          </cell>
        </row>
        <row r="98">
          <cell r="B98" t="str">
            <v>Oath of Teferi</v>
          </cell>
          <cell r="C98" t="str">
            <v>Oath of Teferi</v>
          </cell>
        </row>
        <row r="99">
          <cell r="B99" t="str">
            <v>Oath of Gideon</v>
          </cell>
          <cell r="C99" t="str">
            <v>Oath of Gideon</v>
          </cell>
        </row>
        <row r="100">
          <cell r="B100" t="str">
            <v>Oath of Kaya</v>
          </cell>
          <cell r="C100" t="str">
            <v>Oath of Kaya</v>
          </cell>
        </row>
        <row r="101">
          <cell r="B101" t="str">
            <v>Oath of Jace</v>
          </cell>
          <cell r="C101" t="str">
            <v>Oath of Jace</v>
          </cell>
        </row>
        <row r="102">
          <cell r="B102" t="str">
            <v>Oath of Liliana</v>
          </cell>
          <cell r="C102" t="str">
            <v>Oath of Liliana</v>
          </cell>
        </row>
      </sheetData>
      <sheetData sheetId="20">
        <row r="2">
          <cell r="G2">
            <v>8</v>
          </cell>
        </row>
        <row r="3">
          <cell r="B3" t="str">
            <v>Othelm, Sigardian Outcast</v>
          </cell>
          <cell r="C3" t="str">
            <v>Othelm, Sigardian Outcast</v>
          </cell>
        </row>
        <row r="4">
          <cell r="B4" t="str">
            <v>Wernog, Rider's Chaplain</v>
          </cell>
          <cell r="C4" t="str">
            <v>Wernog, Rider's Chaplain</v>
          </cell>
        </row>
        <row r="5">
          <cell r="B5" t="str">
            <v>Castle Ardenvale</v>
          </cell>
          <cell r="C5" t="str">
            <v>Castle Ardenvale</v>
          </cell>
        </row>
        <row r="6">
          <cell r="B6" t="str">
            <v>Gavony Township</v>
          </cell>
          <cell r="C6" t="str">
            <v>Gavony Township</v>
          </cell>
        </row>
        <row r="7">
          <cell r="B7" t="str">
            <v>Westvale Abbey</v>
          </cell>
          <cell r="C7" t="str">
            <v>Westvale Abbey</v>
          </cell>
        </row>
        <row r="8">
          <cell r="B8" t="str">
            <v>Vitu-Ghazi, the City-Tree</v>
          </cell>
          <cell r="C8" t="str">
            <v>Vitu-Ghazi, the City-Tree</v>
          </cell>
        </row>
        <row r="9">
          <cell r="B9" t="str">
            <v>Grove of the Guardian</v>
          </cell>
          <cell r="C9" t="str">
            <v>Grove of the Guardian</v>
          </cell>
        </row>
        <row r="10">
          <cell r="B10" t="str">
            <v>Havengul Laboratory</v>
          </cell>
          <cell r="C10" t="str">
            <v>Havengul Laboratory</v>
          </cell>
        </row>
        <row r="11">
          <cell r="B11" t="str">
            <v>Canopy Vista</v>
          </cell>
          <cell r="C11" t="str">
            <v>Canopy Vista</v>
          </cell>
        </row>
        <row r="12">
          <cell r="B12" t="str">
            <v>Portão da Guilda Orzhov</v>
          </cell>
          <cell r="C12" t="str">
            <v>Scattered Groves</v>
          </cell>
        </row>
        <row r="13">
          <cell r="B13" t="str">
            <v>Isolated Chapel</v>
          </cell>
          <cell r="C13" t="str">
            <v>Isolated Chapel</v>
          </cell>
        </row>
        <row r="14">
          <cell r="B14" t="str">
            <v>Woodland Cemetery</v>
          </cell>
          <cell r="C14" t="str">
            <v>Woodland Cemetery</v>
          </cell>
        </row>
        <row r="15">
          <cell r="B15" t="str">
            <v>Sunpetal Grove</v>
          </cell>
          <cell r="C15" t="str">
            <v>Sunpetal Grove</v>
          </cell>
        </row>
        <row r="16">
          <cell r="B16" t="str">
            <v>Brushland</v>
          </cell>
          <cell r="C16" t="str">
            <v>Brushland</v>
          </cell>
        </row>
        <row r="17">
          <cell r="B17" t="str">
            <v>Caves of Koilos</v>
          </cell>
          <cell r="C17" t="str">
            <v>Caves of Koilos</v>
          </cell>
        </row>
        <row r="18">
          <cell r="B18" t="str">
            <v>Llanowar Wastes</v>
          </cell>
          <cell r="C18" t="str">
            <v>Llanowar Wastes</v>
          </cell>
        </row>
        <row r="19">
          <cell r="B19" t="str">
            <v>Command Tower</v>
          </cell>
          <cell r="C19" t="str">
            <v>Command Tower</v>
          </cell>
        </row>
        <row r="20">
          <cell r="B20" t="str">
            <v>Exotic Orchard</v>
          </cell>
          <cell r="C20" t="str">
            <v>Exotic Orchard</v>
          </cell>
        </row>
        <row r="21">
          <cell r="B21" t="str">
            <v>Mirrodin's Core</v>
          </cell>
          <cell r="C21" t="str">
            <v>Mirrodin's Core</v>
          </cell>
        </row>
        <row r="22">
          <cell r="B22" t="str">
            <v>High Market</v>
          </cell>
          <cell r="C22" t="str">
            <v>High Market</v>
          </cell>
        </row>
        <row r="23">
          <cell r="B23" t="str">
            <v>Bojuka Bog</v>
          </cell>
          <cell r="C23" t="str">
            <v>Bojuka Bog</v>
          </cell>
        </row>
        <row r="24">
          <cell r="B24" t="str">
            <v>Temple of Plenty</v>
          </cell>
          <cell r="C24" t="str">
            <v>Temple of Plenty</v>
          </cell>
        </row>
        <row r="25">
          <cell r="B25" t="str">
            <v>Temple of Malady</v>
          </cell>
          <cell r="C25" t="str">
            <v>Temple of Malady</v>
          </cell>
        </row>
        <row r="26">
          <cell r="B26" t="str">
            <v>Temple of Silence</v>
          </cell>
          <cell r="C26" t="str">
            <v>Temple of Silence</v>
          </cell>
        </row>
        <row r="27">
          <cell r="B27" t="str">
            <v>Bala Ged Recovery</v>
          </cell>
          <cell r="C27" t="str">
            <v>Bala Ged Recovery</v>
          </cell>
        </row>
        <row r="28">
          <cell r="B28" t="str">
            <v>Reliquary Tower</v>
          </cell>
          <cell r="C28" t="str">
            <v>Reliquary Tower</v>
          </cell>
        </row>
        <row r="29">
          <cell r="B29" t="str">
            <v>Swamp</v>
          </cell>
          <cell r="C29" t="str">
            <v>Susur Secundi, Void Altar</v>
          </cell>
        </row>
        <row r="30">
          <cell r="B30" t="str">
            <v>Plains</v>
          </cell>
          <cell r="C30" t="str">
            <v>Plains</v>
          </cell>
        </row>
        <row r="31">
          <cell r="B31" t="str">
            <v>Plains</v>
          </cell>
          <cell r="C31" t="str">
            <v>Plains</v>
          </cell>
        </row>
        <row r="32">
          <cell r="B32" t="str">
            <v>Forest</v>
          </cell>
          <cell r="C32" t="str">
            <v>Forest</v>
          </cell>
        </row>
        <row r="33">
          <cell r="B33" t="str">
            <v>Forest</v>
          </cell>
          <cell r="C33" t="str">
            <v>Forest</v>
          </cell>
        </row>
        <row r="34">
          <cell r="B34" t="str">
            <v>Forest</v>
          </cell>
          <cell r="C34" t="str">
            <v>Forest</v>
          </cell>
        </row>
        <row r="35">
          <cell r="B35" t="str">
            <v>Forest</v>
          </cell>
          <cell r="C35" t="str">
            <v>Forest</v>
          </cell>
        </row>
        <row r="36">
          <cell r="B36" t="str">
            <v>Swamp</v>
          </cell>
          <cell r="C36" t="str">
            <v>Swamp</v>
          </cell>
        </row>
        <row r="37">
          <cell r="B37" t="str">
            <v>Swamp</v>
          </cell>
          <cell r="C37" t="str">
            <v>Swamp</v>
          </cell>
        </row>
        <row r="38">
          <cell r="B38" t="str">
            <v>Swamp</v>
          </cell>
          <cell r="C38" t="str">
            <v>Swamp</v>
          </cell>
        </row>
        <row r="39">
          <cell r="B39" t="str">
            <v>Cryptolith Rite</v>
          </cell>
          <cell r="C39" t="str">
            <v>Cryptolith Rite</v>
          </cell>
        </row>
        <row r="40">
          <cell r="B40" t="str">
            <v>Elvish Mystic</v>
          </cell>
          <cell r="C40" t="str">
            <v>Elvish Mystic</v>
          </cell>
        </row>
        <row r="41">
          <cell r="B41" t="str">
            <v>Llanowar Elves</v>
          </cell>
          <cell r="C41" t="str">
            <v>Llanowar Elves</v>
          </cell>
        </row>
        <row r="42">
          <cell r="B42" t="str">
            <v>Fyndhorn Elves</v>
          </cell>
          <cell r="C42" t="str">
            <v>Fyndhorn Elves</v>
          </cell>
        </row>
        <row r="43">
          <cell r="B43" t="str">
            <v>Sakura-Tribe Elder</v>
          </cell>
          <cell r="C43" t="str">
            <v>Sakura-Tribe Elder</v>
          </cell>
        </row>
        <row r="44">
          <cell r="B44" t="str">
            <v>Dazzling Theater // Prop Room</v>
          </cell>
          <cell r="C44" t="str">
            <v>Dazzling Theater // Prop Room</v>
          </cell>
        </row>
        <row r="45">
          <cell r="B45" t="str">
            <v>Jaheira, Friend of the Forest</v>
          </cell>
          <cell r="C45" t="str">
            <v>Jaheira, Friend of the Forest</v>
          </cell>
        </row>
        <row r="46">
          <cell r="B46" t="str">
            <v>Birds of Paradise</v>
          </cell>
          <cell r="C46" t="str">
            <v>Birds of Paradise</v>
          </cell>
        </row>
        <row r="47">
          <cell r="B47" t="str">
            <v>Mondrak, Glory Dominus</v>
          </cell>
          <cell r="C47" t="str">
            <v>Springleaf Parade</v>
          </cell>
        </row>
        <row r="48">
          <cell r="B48" t="str">
            <v>Inspiring Statuary</v>
          </cell>
          <cell r="C48" t="str">
            <v>The Soul Stone</v>
          </cell>
        </row>
        <row r="49">
          <cell r="B49" t="str">
            <v>Lotho, Corrupt Shirriff</v>
          </cell>
          <cell r="C49" t="str">
            <v>Brigid, Clachan's Heart</v>
          </cell>
        </row>
        <row r="50">
          <cell r="B50" t="str">
            <v>Insidious Roots</v>
          </cell>
          <cell r="C50" t="str">
            <v>Insidious Roots</v>
          </cell>
        </row>
        <row r="51">
          <cell r="B51" t="str">
            <v>Spinner of Souls</v>
          </cell>
          <cell r="C51" t="str">
            <v>Spinner of Souls</v>
          </cell>
        </row>
        <row r="52">
          <cell r="B52" t="str">
            <v>June, Bounty Hunter</v>
          </cell>
          <cell r="C52" t="str">
            <v>June, Bounty Hunter</v>
          </cell>
        </row>
        <row r="53">
          <cell r="B53" t="str">
            <v>Obsessive Pursuit</v>
          </cell>
          <cell r="C53" t="str">
            <v>Obsessive Pursuit</v>
          </cell>
        </row>
        <row r="54">
          <cell r="B54" t="str">
            <v>Ulvenwald Mysteries</v>
          </cell>
          <cell r="C54" t="str">
            <v>Ulvenwald Mysteries</v>
          </cell>
        </row>
        <row r="55">
          <cell r="B55" t="str">
            <v>Elven Chorus</v>
          </cell>
          <cell r="C55" t="str">
            <v>Elven Chorus</v>
          </cell>
        </row>
        <row r="56">
          <cell r="B56" t="str">
            <v>Teysa, Opulent Oligarch</v>
          </cell>
          <cell r="C56" t="str">
            <v>Teysa, Opulent Oligarch</v>
          </cell>
        </row>
        <row r="57">
          <cell r="B57" t="str">
            <v>Mirkwood Bats</v>
          </cell>
          <cell r="C57" t="str">
            <v>Mirkwood Bats</v>
          </cell>
        </row>
        <row r="58">
          <cell r="B58" t="str">
            <v>Elas il-Kor, Sadistic Pilgrim</v>
          </cell>
          <cell r="C58" t="str">
            <v>Elas il-Kor, Sadistic Pilgrim</v>
          </cell>
        </row>
        <row r="59">
          <cell r="B59" t="str">
            <v>Kambal, Profiteering Mayor</v>
          </cell>
          <cell r="C59" t="str">
            <v>Kambal, Profiteering Mayor</v>
          </cell>
        </row>
        <row r="60">
          <cell r="B60" t="str">
            <v>Nadier's Nightblade</v>
          </cell>
          <cell r="C60" t="str">
            <v>Nadier's Nightblade</v>
          </cell>
        </row>
        <row r="61">
          <cell r="B61" t="str">
            <v>Sidisi, Regent of the Mire</v>
          </cell>
          <cell r="C61" t="str">
            <v>Sidisi, Regent of the Mire</v>
          </cell>
        </row>
        <row r="62">
          <cell r="B62" t="str">
            <v>Spawning Pit</v>
          </cell>
          <cell r="C62" t="str">
            <v>Spawning Pit</v>
          </cell>
        </row>
        <row r="63">
          <cell r="B63" t="str">
            <v>Fanatical Devotion</v>
          </cell>
          <cell r="C63" t="str">
            <v>Fanatical Devotion</v>
          </cell>
        </row>
        <row r="64">
          <cell r="B64" t="str">
            <v>Warren Soultrader</v>
          </cell>
          <cell r="C64" t="str">
            <v>Warren Soultrader</v>
          </cell>
        </row>
        <row r="65">
          <cell r="B65" t="str">
            <v>Martyr's Cause</v>
          </cell>
          <cell r="C65" t="str">
            <v>Martyr's Cause</v>
          </cell>
        </row>
        <row r="66">
          <cell r="B66" t="str">
            <v>Samwise Gamgee</v>
          </cell>
          <cell r="C66" t="str">
            <v>Samwise Gamgee</v>
          </cell>
        </row>
        <row r="67">
          <cell r="B67" t="str">
            <v>Springheart Nantuko</v>
          </cell>
          <cell r="C67" t="str">
            <v>Springheart Nantuko</v>
          </cell>
        </row>
        <row r="68">
          <cell r="B68" t="str">
            <v>Commissar Severina Raine</v>
          </cell>
          <cell r="C68" t="str">
            <v>Dollmaker's Shop // Porcelain Gallery</v>
          </cell>
        </row>
        <row r="69">
          <cell r="B69" t="str">
            <v>Twilight Drover</v>
          </cell>
          <cell r="C69" t="str">
            <v>Twilight Drover</v>
          </cell>
        </row>
        <row r="70">
          <cell r="B70" t="str">
            <v>Quina, Qu Gourmet</v>
          </cell>
          <cell r="C70" t="str">
            <v>Quina, Qu Gourmet</v>
          </cell>
        </row>
        <row r="71">
          <cell r="B71" t="str">
            <v>Peregrin Took</v>
          </cell>
          <cell r="C71" t="str">
            <v>Peregrin Took</v>
          </cell>
        </row>
        <row r="72">
          <cell r="B72" t="str">
            <v>Stridehangar Automaton</v>
          </cell>
          <cell r="C72" t="str">
            <v>Stridehangar Automaton</v>
          </cell>
        </row>
        <row r="73">
          <cell r="B73" t="str">
            <v>Pawn of Ulamog</v>
          </cell>
          <cell r="C73" t="str">
            <v>Pawn of Ulamog</v>
          </cell>
        </row>
        <row r="74">
          <cell r="B74" t="str">
            <v>Chatterfang, Squirrel General</v>
          </cell>
          <cell r="C74" t="str">
            <v>Chatterfang, Squirrel General</v>
          </cell>
        </row>
        <row r="75">
          <cell r="B75" t="str">
            <v>Academy Manufactor</v>
          </cell>
          <cell r="C75" t="str">
            <v>Academy Manufactor</v>
          </cell>
        </row>
        <row r="76">
          <cell r="B76" t="str">
            <v>Queen Allenal of Ruadach</v>
          </cell>
          <cell r="C76" t="str">
            <v>Queen Allenal of Ruadach</v>
          </cell>
        </row>
        <row r="77">
          <cell r="B77" t="str">
            <v>Nemata, Primeval Warden</v>
          </cell>
          <cell r="C77" t="str">
            <v>Nemata, Primeval Warden</v>
          </cell>
        </row>
        <row r="78">
          <cell r="B78" t="str">
            <v>Bramble Sovereign</v>
          </cell>
          <cell r="C78" t="str">
            <v>Bramble Sovereign</v>
          </cell>
        </row>
        <row r="79">
          <cell r="B79" t="str">
            <v>Golden Goose</v>
          </cell>
          <cell r="C79" t="str">
            <v>Golden Goose</v>
          </cell>
        </row>
        <row r="80">
          <cell r="B80" t="str">
            <v>Pitiless Plunderer</v>
          </cell>
          <cell r="C80" t="str">
            <v>Pitiless Plunderer</v>
          </cell>
        </row>
        <row r="81">
          <cell r="B81" t="str">
            <v>Tendershoot Dryad</v>
          </cell>
          <cell r="C81" t="str">
            <v>Tendershoot Dryad</v>
          </cell>
        </row>
        <row r="82">
          <cell r="B82" t="str">
            <v>Thalisse, Reverent Medium</v>
          </cell>
          <cell r="C82" t="str">
            <v>Thalisse, Reverent Medium</v>
          </cell>
        </row>
        <row r="83">
          <cell r="B83" t="str">
            <v>Ogre Slumlord</v>
          </cell>
          <cell r="C83" t="str">
            <v>Ogre Slumlord</v>
          </cell>
        </row>
        <row r="84">
          <cell r="B84" t="str">
            <v>Oketra's Monument</v>
          </cell>
          <cell r="C84" t="str">
            <v>Oketra's Monument</v>
          </cell>
        </row>
        <row r="85">
          <cell r="B85" t="str">
            <v>Elves of Deep Shadow</v>
          </cell>
          <cell r="C85" t="str">
            <v>Illustrious Wanderglyph</v>
          </cell>
        </row>
        <row r="86">
          <cell r="B86" t="str">
            <v>Wolverine Riders</v>
          </cell>
          <cell r="C86" t="str">
            <v>Wolverine Riders</v>
          </cell>
        </row>
        <row r="87">
          <cell r="B87" t="str">
            <v>Beledros Witherbloom</v>
          </cell>
          <cell r="C87" t="str">
            <v>Beledros Witherbloom</v>
          </cell>
        </row>
        <row r="88">
          <cell r="B88" t="str">
            <v>Wight of the Reliquary</v>
          </cell>
          <cell r="C88" t="str">
            <v>Wight of the Reliquary</v>
          </cell>
        </row>
        <row r="89">
          <cell r="B89" t="str">
            <v>Drumbellower</v>
          </cell>
          <cell r="C89" t="str">
            <v>Drumbellower</v>
          </cell>
        </row>
        <row r="90">
          <cell r="B90" t="str">
            <v>Promise of Aclazotz // Foul Rebirth</v>
          </cell>
          <cell r="C90" t="str">
            <v>Promise of Aclazotz // Foul Rebirth</v>
          </cell>
        </row>
        <row r="91">
          <cell r="B91" t="str">
            <v>Halo Fountain</v>
          </cell>
          <cell r="C91" t="str">
            <v>Halo Fountain</v>
          </cell>
        </row>
        <row r="92">
          <cell r="B92" t="str">
            <v>Angelic Renewal</v>
          </cell>
          <cell r="C92" t="str">
            <v>The Cabbage Merchant</v>
          </cell>
        </row>
        <row r="93">
          <cell r="B93" t="str">
            <v>Luminous Broodmoth</v>
          </cell>
          <cell r="C93" t="str">
            <v>Luminous Broodmoth</v>
          </cell>
        </row>
        <row r="94">
          <cell r="B94" t="str">
            <v>Saffi Eriksdotter</v>
          </cell>
          <cell r="C94" t="str">
            <v>Saffi Eriksdotter</v>
          </cell>
        </row>
        <row r="95">
          <cell r="B95" t="str">
            <v>Invasion of Tolvada</v>
          </cell>
          <cell r="C95" t="str">
            <v>Invasion of Tolvada</v>
          </cell>
        </row>
        <row r="96">
          <cell r="B96" t="str">
            <v>Journey to Eternity</v>
          </cell>
          <cell r="C96" t="str">
            <v>Journey to Eternity</v>
          </cell>
        </row>
        <row r="97">
          <cell r="B97" t="str">
            <v>Honest Rutstein</v>
          </cell>
          <cell r="C97" t="str">
            <v>Honest Rutstein</v>
          </cell>
        </row>
        <row r="98">
          <cell r="B98" t="str">
            <v>Argent Dais</v>
          </cell>
          <cell r="C98" t="str">
            <v>Argent Dais</v>
          </cell>
        </row>
        <row r="99">
          <cell r="B99" t="str">
            <v>Cavalier of Night</v>
          </cell>
          <cell r="C99" t="str">
            <v>Cavalier of Night</v>
          </cell>
        </row>
        <row r="100">
          <cell r="B100" t="str">
            <v>Living Death</v>
          </cell>
          <cell r="C100" t="str">
            <v>Living Death</v>
          </cell>
        </row>
        <row r="101">
          <cell r="B101" t="str">
            <v>Haywire Mite</v>
          </cell>
          <cell r="C101" t="str">
            <v>Haywire Mite</v>
          </cell>
        </row>
        <row r="102">
          <cell r="B102" t="str">
            <v>The Battle of Bywater</v>
          </cell>
          <cell r="C102" t="str">
            <v>The Battle of Bywater</v>
          </cell>
        </row>
      </sheetData>
      <sheetData sheetId="21">
        <row r="2">
          <cell r="G2">
            <v>18</v>
          </cell>
        </row>
        <row r="3">
          <cell r="B3" t="str">
            <v>Narset, Enlightened Exile</v>
          </cell>
          <cell r="C3" t="str">
            <v>Narset, Enlightened Exile</v>
          </cell>
        </row>
        <row r="4">
          <cell r="B4" t="str">
            <v>Command Tower</v>
          </cell>
          <cell r="C4" t="str">
            <v>Command Tower</v>
          </cell>
        </row>
        <row r="5">
          <cell r="B5" t="str">
            <v>Exotic Orchard</v>
          </cell>
          <cell r="C5" t="str">
            <v>Exotic Orchard</v>
          </cell>
        </row>
        <row r="6">
          <cell r="B6" t="str">
            <v>Opal Palace</v>
          </cell>
          <cell r="C6" t="str">
            <v>Opal Palace</v>
          </cell>
        </row>
        <row r="7">
          <cell r="B7" t="str">
            <v>Rogue's Passage</v>
          </cell>
          <cell r="C7" t="str">
            <v>Rogue's Passage</v>
          </cell>
        </row>
        <row r="8">
          <cell r="B8" t="str">
            <v>Plains</v>
          </cell>
          <cell r="C8" t="str">
            <v>Sokenzan, Crucible of Defiance</v>
          </cell>
        </row>
        <row r="9">
          <cell r="B9" t="str">
            <v>Plains</v>
          </cell>
          <cell r="C9" t="str">
            <v>Slayers' Stronghold</v>
          </cell>
        </row>
        <row r="10">
          <cell r="B10" t="str">
            <v>Azorius Chancery</v>
          </cell>
          <cell r="C10" t="str">
            <v>Azorius Chancery</v>
          </cell>
        </row>
        <row r="11">
          <cell r="B11" t="str">
            <v>Boros Garrison</v>
          </cell>
          <cell r="C11" t="str">
            <v>Boros Garrison</v>
          </cell>
        </row>
        <row r="12">
          <cell r="B12" t="str">
            <v>Izzet Boilerworks</v>
          </cell>
          <cell r="C12" t="str">
            <v>Izzet Boilerworks</v>
          </cell>
        </row>
        <row r="13">
          <cell r="B13" t="str">
            <v>Sulfur Falls</v>
          </cell>
          <cell r="C13" t="str">
            <v>Sulfur Falls</v>
          </cell>
        </row>
        <row r="14">
          <cell r="B14" t="str">
            <v>Clifftop Retreat</v>
          </cell>
          <cell r="C14" t="str">
            <v>Clifftop Retreat</v>
          </cell>
        </row>
        <row r="15">
          <cell r="B15" t="str">
            <v>Glacial Fortress</v>
          </cell>
          <cell r="C15" t="str">
            <v>Glacial Fortress</v>
          </cell>
        </row>
        <row r="16">
          <cell r="B16" t="str">
            <v>Shivan Reef</v>
          </cell>
          <cell r="C16" t="str">
            <v>Shivan Reef</v>
          </cell>
        </row>
        <row r="17">
          <cell r="B17" t="str">
            <v>Battlefield Forge</v>
          </cell>
          <cell r="C17" t="str">
            <v>Battlefield Forge</v>
          </cell>
        </row>
        <row r="18">
          <cell r="B18" t="str">
            <v>Island</v>
          </cell>
          <cell r="C18" t="str">
            <v>Adarkar Wastes</v>
          </cell>
        </row>
        <row r="19">
          <cell r="B19" t="str">
            <v>Mountain</v>
          </cell>
          <cell r="C19" t="str">
            <v>Jidoor, Aristocratic Capital // Overture</v>
          </cell>
        </row>
        <row r="20">
          <cell r="B20" t="str">
            <v>Mountain</v>
          </cell>
          <cell r="C20" t="str">
            <v>Abandoned Air Temple</v>
          </cell>
        </row>
        <row r="21">
          <cell r="B21" t="str">
            <v>Myriad Landscape</v>
          </cell>
          <cell r="C21" t="str">
            <v>Myriad Landscape</v>
          </cell>
        </row>
        <row r="22">
          <cell r="B22" t="str">
            <v>Mountain</v>
          </cell>
          <cell r="C22" t="str">
            <v>Mountain</v>
          </cell>
        </row>
        <row r="23">
          <cell r="B23" t="str">
            <v>Plains</v>
          </cell>
          <cell r="C23" t="str">
            <v>Plains</v>
          </cell>
        </row>
        <row r="24">
          <cell r="B24" t="str">
            <v>Plains</v>
          </cell>
          <cell r="C24" t="str">
            <v>Plains</v>
          </cell>
        </row>
        <row r="25">
          <cell r="B25" t="str">
            <v>Plains</v>
          </cell>
          <cell r="C25" t="str">
            <v>Plains</v>
          </cell>
        </row>
        <row r="26">
          <cell r="B26" t="str">
            <v>Plains</v>
          </cell>
          <cell r="C26" t="str">
            <v>Plains</v>
          </cell>
        </row>
        <row r="27">
          <cell r="B27" t="str">
            <v>Island</v>
          </cell>
          <cell r="C27" t="str">
            <v>Island</v>
          </cell>
        </row>
        <row r="28">
          <cell r="B28" t="str">
            <v>Island</v>
          </cell>
          <cell r="C28" t="str">
            <v>Island</v>
          </cell>
        </row>
        <row r="29">
          <cell r="B29" t="str">
            <v>Island</v>
          </cell>
          <cell r="C29" t="str">
            <v>Island</v>
          </cell>
        </row>
        <row r="30">
          <cell r="B30" t="str">
            <v>Island</v>
          </cell>
          <cell r="C30" t="str">
            <v>Island</v>
          </cell>
        </row>
        <row r="31">
          <cell r="B31" t="str">
            <v>Island</v>
          </cell>
          <cell r="C31" t="str">
            <v>Island</v>
          </cell>
        </row>
        <row r="32">
          <cell r="B32" t="str">
            <v>Island</v>
          </cell>
          <cell r="C32" t="str">
            <v>Island</v>
          </cell>
        </row>
        <row r="33">
          <cell r="B33" t="str">
            <v>Island</v>
          </cell>
          <cell r="C33" t="str">
            <v>Island</v>
          </cell>
        </row>
        <row r="34">
          <cell r="B34" t="str">
            <v>Mountain</v>
          </cell>
          <cell r="C34" t="str">
            <v>Mountain</v>
          </cell>
        </row>
        <row r="35">
          <cell r="B35" t="str">
            <v>Mountain</v>
          </cell>
          <cell r="C35" t="str">
            <v>Mountain</v>
          </cell>
        </row>
        <row r="36">
          <cell r="B36" t="str">
            <v>Mountain</v>
          </cell>
          <cell r="C36" t="str">
            <v>Mountain</v>
          </cell>
        </row>
        <row r="37">
          <cell r="B37" t="str">
            <v>Mountain</v>
          </cell>
          <cell r="C37" t="str">
            <v>Mountain</v>
          </cell>
        </row>
        <row r="38">
          <cell r="B38" t="str">
            <v>Mountain</v>
          </cell>
          <cell r="C38" t="str">
            <v>Mountain</v>
          </cell>
        </row>
        <row r="39">
          <cell r="B39" t="str">
            <v>Sol Ring</v>
          </cell>
          <cell r="C39" t="str">
            <v>Sol Ring</v>
          </cell>
        </row>
        <row r="40">
          <cell r="B40" t="str">
            <v>Arcane Signet</v>
          </cell>
          <cell r="C40" t="str">
            <v>Arcane Signet</v>
          </cell>
        </row>
        <row r="41">
          <cell r="B41" t="str">
            <v>Azorius Signet</v>
          </cell>
          <cell r="C41" t="str">
            <v>Azorius Signet</v>
          </cell>
        </row>
        <row r="42">
          <cell r="B42" t="str">
            <v>Boros Signet</v>
          </cell>
          <cell r="C42" t="str">
            <v>Boros Signet</v>
          </cell>
        </row>
        <row r="43">
          <cell r="B43" t="str">
            <v>Izzet Signet</v>
          </cell>
          <cell r="C43" t="str">
            <v>Izzet Signet</v>
          </cell>
        </row>
        <row r="44">
          <cell r="B44" t="str">
            <v>Fellwar Stone</v>
          </cell>
          <cell r="C44" t="str">
            <v>Fellwar Stone</v>
          </cell>
        </row>
        <row r="45">
          <cell r="B45" t="str">
            <v>Tougth Vessel</v>
          </cell>
          <cell r="C45" t="str">
            <v>Tougth Vessel</v>
          </cell>
        </row>
        <row r="46">
          <cell r="B46" t="str">
            <v>Realmbreaker, the Invasion Tree</v>
          </cell>
          <cell r="C46" t="str">
            <v>The Water Crystal</v>
          </cell>
        </row>
        <row r="47">
          <cell r="B47" t="str">
            <v>Faithless Looting</v>
          </cell>
          <cell r="C47" t="str">
            <v>Faithless Looting</v>
          </cell>
        </row>
        <row r="48">
          <cell r="B48" t="str">
            <v>Frantic Search</v>
          </cell>
          <cell r="C48" t="str">
            <v>Frantic Search</v>
          </cell>
        </row>
        <row r="49">
          <cell r="B49" t="str">
            <v>Waterbender Ascension</v>
          </cell>
          <cell r="C49" t="str">
            <v>Waterbender Ascension</v>
          </cell>
        </row>
        <row r="50">
          <cell r="B50" t="str">
            <v>Shorikai, Genesis Engine</v>
          </cell>
          <cell r="C50" t="str">
            <v>Shorikai, Genesis Engine</v>
          </cell>
        </row>
        <row r="51">
          <cell r="B51" t="str">
            <v>Whirlwind of Thought</v>
          </cell>
          <cell r="C51" t="str">
            <v>Whirlwind of Thought</v>
          </cell>
        </row>
        <row r="52">
          <cell r="B52" t="str">
            <v>Crashing Drawbridge</v>
          </cell>
          <cell r="C52" t="str">
            <v>Brass's Tunnel-Grinder</v>
          </cell>
        </row>
        <row r="53">
          <cell r="B53" t="str">
            <v>Spirit Water Revival</v>
          </cell>
          <cell r="C53" t="str">
            <v>Spirit Water Revival</v>
          </cell>
        </row>
        <row r="54">
          <cell r="B54" t="str">
            <v>Mirrodin Besieged</v>
          </cell>
          <cell r="C54" t="str">
            <v>Mirrodin Besieged</v>
          </cell>
        </row>
        <row r="55">
          <cell r="B55" t="str">
            <v>Windfall</v>
          </cell>
          <cell r="C55" t="str">
            <v>Windfall</v>
          </cell>
        </row>
        <row r="56">
          <cell r="B56" t="str">
            <v>Collective Defiance</v>
          </cell>
          <cell r="C56" t="str">
            <v>Collective Defiance</v>
          </cell>
        </row>
        <row r="57">
          <cell r="B57" t="str">
            <v>Antecipar</v>
          </cell>
          <cell r="C57" t="str">
            <v>Incendiary Command</v>
          </cell>
        </row>
        <row r="58">
          <cell r="B58" t="str">
            <v>Opt</v>
          </cell>
          <cell r="C58" t="str">
            <v>Khorvath's Fury</v>
          </cell>
        </row>
        <row r="59">
          <cell r="B59" t="str">
            <v>Cut your Losses</v>
          </cell>
          <cell r="C59" t="str">
            <v>Reforge the Soul</v>
          </cell>
        </row>
        <row r="60">
          <cell r="B60" t="str">
            <v>Wheel of Fate</v>
          </cell>
          <cell r="C60" t="str">
            <v>Wheel of Fate</v>
          </cell>
        </row>
        <row r="61">
          <cell r="B61" t="str">
            <v>Jace's Erasure</v>
          </cell>
          <cell r="C61" t="str">
            <v>Jace's Erasure</v>
          </cell>
        </row>
        <row r="62">
          <cell r="B62" t="str">
            <v>Teferi's Tutelage</v>
          </cell>
          <cell r="C62" t="str">
            <v>Teferi's Tutelage</v>
          </cell>
        </row>
        <row r="63">
          <cell r="B63" t="str">
            <v>Sphinx's Tutelage</v>
          </cell>
          <cell r="C63" t="str">
            <v>Sphinx's Tutelage</v>
          </cell>
        </row>
        <row r="64">
          <cell r="B64" t="str">
            <v>Mesmeric Orb</v>
          </cell>
          <cell r="C64" t="str">
            <v>Mesmeric Orb</v>
          </cell>
        </row>
        <row r="65">
          <cell r="B65" t="str">
            <v>Tasha's Hideous Laughter</v>
          </cell>
          <cell r="C65" t="str">
            <v>Tasha's Hideous Laughter</v>
          </cell>
        </row>
        <row r="66">
          <cell r="B66" t="str">
            <v>Twinferno</v>
          </cell>
          <cell r="C66" t="str">
            <v>Psychic Corrosion</v>
          </cell>
        </row>
        <row r="67">
          <cell r="B67" t="str">
            <v>Ruin Crab</v>
          </cell>
          <cell r="C67" t="str">
            <v>Ruin Crab</v>
          </cell>
        </row>
        <row r="68">
          <cell r="B68" t="str">
            <v>Riverchurn Monument</v>
          </cell>
          <cell r="C68" t="str">
            <v>Riverchurn Monument</v>
          </cell>
        </row>
        <row r="69">
          <cell r="B69" t="str">
            <v>Mindcrank</v>
          </cell>
          <cell r="C69" t="str">
            <v>Mindcrank</v>
          </cell>
        </row>
        <row r="70">
          <cell r="B70" t="str">
            <v>Mystic Redaction</v>
          </cell>
          <cell r="C70" t="str">
            <v>Mystic Redaction</v>
          </cell>
        </row>
        <row r="71">
          <cell r="B71" t="str">
            <v>Fractured Sanity</v>
          </cell>
          <cell r="C71" t="str">
            <v>Fractured Sanity</v>
          </cell>
        </row>
        <row r="72">
          <cell r="B72" t="str">
            <v>Surge of Salvation</v>
          </cell>
          <cell r="C72" t="str">
            <v>Maddening Cacophony</v>
          </cell>
        </row>
        <row r="73">
          <cell r="B73" t="str">
            <v>The Mindskinner</v>
          </cell>
          <cell r="C73" t="str">
            <v>The Mindskinner</v>
          </cell>
        </row>
        <row r="74">
          <cell r="B74" t="str">
            <v>Third Path Iconoclast</v>
          </cell>
          <cell r="C74" t="str">
            <v>Third Path Iconoclast</v>
          </cell>
        </row>
        <row r="75">
          <cell r="B75" t="str">
            <v>Kykar, Wind's Fury</v>
          </cell>
          <cell r="C75" t="str">
            <v>Kykar, Wind's Fury</v>
          </cell>
        </row>
        <row r="76">
          <cell r="B76" t="str">
            <v>Saheeli, Sublime Artificer</v>
          </cell>
          <cell r="C76" t="str">
            <v>Zellix, Sanity Flayer</v>
          </cell>
        </row>
        <row r="77">
          <cell r="B77" t="str">
            <v>Monastery Mentor</v>
          </cell>
          <cell r="C77" t="str">
            <v>Monastery Mentor</v>
          </cell>
        </row>
        <row r="78">
          <cell r="B78" t="str">
            <v>Jeskai Ascendancy</v>
          </cell>
          <cell r="C78" t="str">
            <v>Aligned Heart</v>
          </cell>
        </row>
        <row r="79">
          <cell r="B79" t="str">
            <v>Spark Double</v>
          </cell>
          <cell r="C79" t="str">
            <v>Spark Double</v>
          </cell>
        </row>
        <row r="80">
          <cell r="B80" t="str">
            <v>Invasion of Segovia</v>
          </cell>
          <cell r="C80" t="str">
            <v>Invasion of Segovia</v>
          </cell>
        </row>
        <row r="81">
          <cell r="B81" t="str">
            <v>Firebender Ascension</v>
          </cell>
          <cell r="C81" t="str">
            <v>Firebender Ascension</v>
          </cell>
        </row>
        <row r="82">
          <cell r="B82" t="str">
            <v>Windcrag Siege</v>
          </cell>
          <cell r="C82" t="str">
            <v>Windcrag Siege</v>
          </cell>
        </row>
        <row r="83">
          <cell r="B83" t="str">
            <v>Strionic Resonator</v>
          </cell>
          <cell r="C83" t="str">
            <v>Strionic Resonator</v>
          </cell>
        </row>
        <row r="84">
          <cell r="B84" t="str">
            <v>Trailblazer's Boots</v>
          </cell>
          <cell r="C84" t="str">
            <v>Enterprising Scallywag</v>
          </cell>
        </row>
        <row r="85">
          <cell r="B85" t="str">
            <v>Stroke of Midnight</v>
          </cell>
          <cell r="C85" t="str">
            <v>Stroke of Midnight</v>
          </cell>
        </row>
        <row r="86">
          <cell r="B86" t="str">
            <v>Tormod's Crypt</v>
          </cell>
          <cell r="C86" t="str">
            <v>Tormod's Crypt</v>
          </cell>
        </row>
        <row r="87">
          <cell r="B87" t="str">
            <v>Negate</v>
          </cell>
          <cell r="C87" t="str">
            <v>Negate</v>
          </cell>
        </row>
        <row r="88">
          <cell r="B88" t="str">
            <v>Dovin's Veto</v>
          </cell>
          <cell r="C88" t="str">
            <v>Dovin's Veto</v>
          </cell>
        </row>
        <row r="89">
          <cell r="B89" t="str">
            <v>Generous Gift</v>
          </cell>
          <cell r="C89" t="str">
            <v>Generous Gift</v>
          </cell>
        </row>
        <row r="90">
          <cell r="B90" t="str">
            <v>Lightning Greaves</v>
          </cell>
          <cell r="C90" t="str">
            <v>Lightning Greaves</v>
          </cell>
        </row>
        <row r="91">
          <cell r="B91" t="str">
            <v>Swiftfoot Boots</v>
          </cell>
          <cell r="C91" t="str">
            <v>Swiftfoot Boots</v>
          </cell>
        </row>
        <row r="92">
          <cell r="B92" t="str">
            <v>Propaganda</v>
          </cell>
          <cell r="C92" t="str">
            <v>Propaganda</v>
          </cell>
        </row>
        <row r="93">
          <cell r="B93" t="str">
            <v>Fraying Sanity</v>
          </cell>
          <cell r="C93" t="str">
            <v>Ghostly Prison</v>
          </cell>
        </row>
        <row r="94">
          <cell r="B94" t="str">
            <v>Sanctum of Calm Waters</v>
          </cell>
          <cell r="C94" t="str">
            <v>Slash the Ranks</v>
          </cell>
        </row>
        <row r="95">
          <cell r="B95" t="str">
            <v>Time Wipe</v>
          </cell>
          <cell r="C95" t="str">
            <v>Time Wipe</v>
          </cell>
        </row>
        <row r="96">
          <cell r="B96" t="str">
            <v>Vanquish the Horde</v>
          </cell>
          <cell r="C96" t="str">
            <v>Vanquish the Horde</v>
          </cell>
        </row>
        <row r="97">
          <cell r="B97" t="str">
            <v>Thing in the Ice</v>
          </cell>
          <cell r="C97" t="str">
            <v>Thing in the Ice</v>
          </cell>
        </row>
        <row r="98">
          <cell r="B98" t="str">
            <v>Sculpted Sunburst</v>
          </cell>
          <cell r="C98" t="str">
            <v>Sculpted Sunburst</v>
          </cell>
        </row>
        <row r="99">
          <cell r="B99" t="str">
            <v>Full Throttle</v>
          </cell>
          <cell r="C99" t="str">
            <v>Full Throttle</v>
          </cell>
        </row>
        <row r="100">
          <cell r="B100" t="str">
            <v>Traumatize</v>
          </cell>
          <cell r="C100" t="str">
            <v>World at War</v>
          </cell>
        </row>
        <row r="101">
          <cell r="B101" t="str">
            <v>Relentless Assault</v>
          </cell>
          <cell r="C101" t="str">
            <v>Relentless Assault</v>
          </cell>
        </row>
        <row r="102">
          <cell r="B102" t="str">
            <v>Response // Resurgence</v>
          </cell>
          <cell r="C102" t="str">
            <v>Response // Resurgence</v>
          </cell>
        </row>
      </sheetData>
      <sheetData sheetId="22">
        <row r="2">
          <cell r="G2">
            <v>11</v>
          </cell>
        </row>
        <row r="3">
          <cell r="B3" t="str">
            <v>Kumena, Tyrant of Orazca</v>
          </cell>
          <cell r="C3" t="str">
            <v>Kumena, Tyrant of Orazca</v>
          </cell>
        </row>
        <row r="4">
          <cell r="B4" t="str">
            <v>Island</v>
          </cell>
          <cell r="C4" t="str">
            <v>Reliquary Tower</v>
          </cell>
        </row>
        <row r="5">
          <cell r="B5" t="str">
            <v>Command Tower</v>
          </cell>
          <cell r="C5" t="str">
            <v>Command Tower</v>
          </cell>
        </row>
        <row r="6">
          <cell r="B6" t="str">
            <v>Path of Ancestry</v>
          </cell>
          <cell r="C6" t="str">
            <v>Path of Ancestry</v>
          </cell>
        </row>
        <row r="7">
          <cell r="B7" t="str">
            <v>Yavimaya Coast</v>
          </cell>
          <cell r="C7" t="str">
            <v>Yavimaya Coast</v>
          </cell>
        </row>
        <row r="8">
          <cell r="B8" t="str">
            <v>Unclaimed Territory</v>
          </cell>
          <cell r="C8" t="str">
            <v>Unclaimed Territory</v>
          </cell>
        </row>
        <row r="9">
          <cell r="B9" t="str">
            <v>Terramorphic Expanse</v>
          </cell>
          <cell r="C9" t="str">
            <v>Terramorphic Expanse</v>
          </cell>
        </row>
        <row r="10">
          <cell r="B10" t="str">
            <v>Forest</v>
          </cell>
          <cell r="C10" t="str">
            <v>Eclipsed Realms</v>
          </cell>
        </row>
        <row r="11">
          <cell r="B11" t="str">
            <v>Forest</v>
          </cell>
          <cell r="C11" t="str">
            <v>Forest</v>
          </cell>
        </row>
        <row r="12">
          <cell r="B12" t="str">
            <v>Forest</v>
          </cell>
          <cell r="C12" t="str">
            <v>Forest</v>
          </cell>
        </row>
        <row r="13">
          <cell r="B13" t="str">
            <v>Forest</v>
          </cell>
          <cell r="C13" t="str">
            <v>Forest</v>
          </cell>
        </row>
        <row r="14">
          <cell r="B14" t="str">
            <v>Forest</v>
          </cell>
          <cell r="C14" t="str">
            <v>Forest</v>
          </cell>
        </row>
        <row r="15">
          <cell r="B15" t="str">
            <v>Forest</v>
          </cell>
          <cell r="C15" t="str">
            <v>Forest</v>
          </cell>
        </row>
        <row r="16">
          <cell r="B16" t="str">
            <v>Forest</v>
          </cell>
          <cell r="C16" t="str">
            <v>Forest</v>
          </cell>
        </row>
        <row r="17">
          <cell r="B17" t="str">
            <v>Forest</v>
          </cell>
          <cell r="C17" t="str">
            <v>Forest</v>
          </cell>
        </row>
        <row r="18">
          <cell r="B18" t="str">
            <v>Forest</v>
          </cell>
          <cell r="C18" t="str">
            <v>Forest</v>
          </cell>
        </row>
        <row r="19">
          <cell r="B19" t="str">
            <v>Forest</v>
          </cell>
          <cell r="C19" t="str">
            <v>Forest</v>
          </cell>
        </row>
        <row r="20">
          <cell r="B20" t="str">
            <v>Forest</v>
          </cell>
          <cell r="C20" t="str">
            <v>Forest</v>
          </cell>
        </row>
        <row r="21">
          <cell r="B21" t="str">
            <v>Forest</v>
          </cell>
          <cell r="C21" t="str">
            <v>Forest</v>
          </cell>
        </row>
        <row r="22">
          <cell r="B22" t="str">
            <v>Island</v>
          </cell>
          <cell r="C22" t="str">
            <v>Island</v>
          </cell>
        </row>
        <row r="23">
          <cell r="B23" t="str">
            <v>Island</v>
          </cell>
          <cell r="C23" t="str">
            <v>Island</v>
          </cell>
        </row>
        <row r="24">
          <cell r="B24" t="str">
            <v>Island</v>
          </cell>
          <cell r="C24" t="str">
            <v>Island</v>
          </cell>
        </row>
        <row r="25">
          <cell r="B25" t="str">
            <v>Island</v>
          </cell>
          <cell r="C25" t="str">
            <v>Island</v>
          </cell>
        </row>
        <row r="26">
          <cell r="B26" t="str">
            <v>Island</v>
          </cell>
          <cell r="C26" t="str">
            <v>Island</v>
          </cell>
        </row>
        <row r="27">
          <cell r="B27" t="str">
            <v>Island</v>
          </cell>
          <cell r="C27" t="str">
            <v>Island</v>
          </cell>
        </row>
        <row r="28">
          <cell r="B28" t="str">
            <v>Island</v>
          </cell>
          <cell r="C28" t="str">
            <v>Island</v>
          </cell>
        </row>
        <row r="29">
          <cell r="B29" t="str">
            <v>Island</v>
          </cell>
          <cell r="C29" t="str">
            <v>Island</v>
          </cell>
        </row>
        <row r="30">
          <cell r="B30" t="str">
            <v>Island</v>
          </cell>
          <cell r="C30" t="str">
            <v>Island</v>
          </cell>
        </row>
        <row r="31">
          <cell r="B31" t="str">
            <v>Island</v>
          </cell>
          <cell r="C31" t="str">
            <v>Island</v>
          </cell>
        </row>
        <row r="32">
          <cell r="B32" t="str">
            <v>Island</v>
          </cell>
          <cell r="C32" t="str">
            <v>Island</v>
          </cell>
        </row>
        <row r="33">
          <cell r="B33" t="str">
            <v>Island</v>
          </cell>
          <cell r="C33" t="str">
            <v>Island</v>
          </cell>
        </row>
        <row r="34">
          <cell r="B34" t="str">
            <v>Island</v>
          </cell>
          <cell r="C34" t="str">
            <v>Island</v>
          </cell>
        </row>
        <row r="35">
          <cell r="B35" t="str">
            <v>Island</v>
          </cell>
          <cell r="C35" t="str">
            <v>Island</v>
          </cell>
        </row>
        <row r="36">
          <cell r="B36" t="str">
            <v>Island</v>
          </cell>
          <cell r="C36" t="str">
            <v>Island</v>
          </cell>
        </row>
        <row r="37">
          <cell r="B37" t="str">
            <v>Sol Ring</v>
          </cell>
          <cell r="C37" t="str">
            <v>Sol Ring</v>
          </cell>
        </row>
        <row r="38">
          <cell r="B38" t="str">
            <v>Arcane Signet</v>
          </cell>
          <cell r="C38" t="str">
            <v>Arcane Signet</v>
          </cell>
        </row>
        <row r="39">
          <cell r="B39" t="str">
            <v>Rampant Growth</v>
          </cell>
          <cell r="C39" t="str">
            <v>Rampant Growth</v>
          </cell>
        </row>
        <row r="40">
          <cell r="B40" t="str">
            <v>Simic Signet</v>
          </cell>
          <cell r="C40" t="str">
            <v>Simic Signet</v>
          </cell>
        </row>
        <row r="41">
          <cell r="B41" t="str">
            <v>Decanter of Endless Water</v>
          </cell>
          <cell r="C41" t="str">
            <v>Mutable Explorer</v>
          </cell>
        </row>
        <row r="42">
          <cell r="B42" t="str">
            <v>Thought Vessel</v>
          </cell>
          <cell r="C42" t="str">
            <v>Thought Vessel</v>
          </cell>
        </row>
        <row r="43">
          <cell r="B43" t="str">
            <v>Mind Stone</v>
          </cell>
          <cell r="C43" t="str">
            <v>Mind Stone</v>
          </cell>
        </row>
        <row r="44">
          <cell r="B44" t="str">
            <v>Shared Roots</v>
          </cell>
          <cell r="C44" t="str">
            <v>Shared Roots</v>
          </cell>
        </row>
        <row r="45">
          <cell r="B45" t="str">
            <v>Cultivate</v>
          </cell>
          <cell r="C45" t="str">
            <v>Cultivate</v>
          </cell>
        </row>
        <row r="46">
          <cell r="B46" t="str">
            <v>Aquatic Incursion</v>
          </cell>
          <cell r="C46" t="str">
            <v>Harvest Season</v>
          </cell>
        </row>
        <row r="47">
          <cell r="B47" t="str">
            <v>Bident of Thassa</v>
          </cell>
          <cell r="C47" t="str">
            <v>Bident of Thassa</v>
          </cell>
        </row>
        <row r="48">
          <cell r="B48" t="str">
            <v>Vanquisher's Banner</v>
          </cell>
          <cell r="C48" t="str">
            <v>Vanquisher's Banner</v>
          </cell>
        </row>
        <row r="49">
          <cell r="B49" t="str">
            <v>Bred for the Hunt</v>
          </cell>
          <cell r="C49" t="str">
            <v>Bred for the Hunt</v>
          </cell>
        </row>
        <row r="50">
          <cell r="B50" t="str">
            <v>Reconnaissance Mission</v>
          </cell>
          <cell r="C50" t="str">
            <v>Reconnaissance Mission</v>
          </cell>
        </row>
        <row r="51">
          <cell r="B51" t="str">
            <v>Invasion of Ikoria</v>
          </cell>
          <cell r="C51" t="str">
            <v>Invasion of Ikoria</v>
          </cell>
        </row>
        <row r="52">
          <cell r="B52" t="str">
            <v>Lonis, Cryptozoologist</v>
          </cell>
          <cell r="C52" t="str">
            <v>Seahunter</v>
          </cell>
        </row>
        <row r="53">
          <cell r="B53" t="str">
            <v>Call to the Kindred</v>
          </cell>
          <cell r="C53" t="str">
            <v>Call to the Kindred</v>
          </cell>
        </row>
        <row r="54">
          <cell r="B54" t="str">
            <v>Zegana, Utopian Speaker</v>
          </cell>
          <cell r="C54" t="str">
            <v>Zegana, Utopian Speaker</v>
          </cell>
        </row>
        <row r="55">
          <cell r="B55" t="str">
            <v>Prime Speaker Zegana</v>
          </cell>
          <cell r="C55" t="str">
            <v>Prime Speaker Zegana</v>
          </cell>
        </row>
        <row r="56">
          <cell r="B56" t="str">
            <v>Alandra, Sky Dreamer</v>
          </cell>
          <cell r="C56" t="str">
            <v>Alandra, Sky Dreamer</v>
          </cell>
        </row>
        <row r="57">
          <cell r="B57" t="str">
            <v>Thada Adel, Acquisitor</v>
          </cell>
          <cell r="C57" t="str">
            <v>Thada Adel, Acquisitor</v>
          </cell>
        </row>
        <row r="58">
          <cell r="B58" t="str">
            <v>Svyelun of Sea and Sky</v>
          </cell>
          <cell r="C58" t="str">
            <v>Svyelun of Sea and Sky</v>
          </cell>
        </row>
        <row r="59">
          <cell r="B59" t="str">
            <v>Kopala, Warden of Waves</v>
          </cell>
          <cell r="C59" t="str">
            <v>Kopala, Warden of Waves</v>
          </cell>
        </row>
        <row r="60">
          <cell r="B60" t="str">
            <v>Tishana, Voice of Thunder</v>
          </cell>
          <cell r="C60" t="str">
            <v>Tishana, Voice of Thunder</v>
          </cell>
        </row>
        <row r="61">
          <cell r="B61" t="str">
            <v>Tatyova, Benthic Druid</v>
          </cell>
          <cell r="C61" t="str">
            <v>Tatyova, Benthic Druid</v>
          </cell>
        </row>
        <row r="62">
          <cell r="B62" t="str">
            <v>Emperor Mihail II</v>
          </cell>
          <cell r="C62" t="str">
            <v>Emperor Mihail II</v>
          </cell>
        </row>
        <row r="63">
          <cell r="B63" t="str">
            <v>Coralhelm Commander</v>
          </cell>
          <cell r="C63" t="str">
            <v>Coralhelm Commander</v>
          </cell>
        </row>
        <row r="64">
          <cell r="B64" t="str">
            <v>Hakbal of the Surging Soul</v>
          </cell>
          <cell r="C64" t="str">
            <v>Hakbal of the Surging Soul</v>
          </cell>
        </row>
        <row r="65">
          <cell r="B65" t="str">
            <v>Master of the Pearl Trident</v>
          </cell>
          <cell r="C65" t="str">
            <v>Master of the Pearl Trident</v>
          </cell>
        </row>
        <row r="66">
          <cell r="B66" t="str">
            <v>Vodalian Hexcatcher</v>
          </cell>
          <cell r="C66" t="str">
            <v>Vodalian Hexcatcher</v>
          </cell>
        </row>
        <row r="67">
          <cell r="B67" t="str">
            <v>Merrow Reejerey</v>
          </cell>
          <cell r="C67" t="str">
            <v>Merrow Reejerey</v>
          </cell>
        </row>
        <row r="68">
          <cell r="B68" t="str">
            <v>Merfolk Mistbinder</v>
          </cell>
          <cell r="C68" t="str">
            <v>Merfolk Mistbinder</v>
          </cell>
        </row>
        <row r="69">
          <cell r="B69" t="str">
            <v>Deeprooot Wayfinder</v>
          </cell>
          <cell r="C69" t="str">
            <v>Lord of Atlantis</v>
          </cell>
        </row>
        <row r="70">
          <cell r="B70" t="str">
            <v>Metallic Mimic</v>
          </cell>
          <cell r="C70" t="str">
            <v>Metallic Mimic</v>
          </cell>
        </row>
        <row r="71">
          <cell r="B71" t="str">
            <v>Adaptive Automaton</v>
          </cell>
          <cell r="C71" t="str">
            <v>Adaptive Automaton</v>
          </cell>
        </row>
        <row r="72">
          <cell r="B72" t="str">
            <v>Lullmage Mentor</v>
          </cell>
          <cell r="C72" t="str">
            <v>Lullmage Mentor</v>
          </cell>
        </row>
        <row r="73">
          <cell r="B73" t="str">
            <v>Deeproot Waters</v>
          </cell>
          <cell r="C73" t="str">
            <v>Deeproot Waters</v>
          </cell>
        </row>
        <row r="74">
          <cell r="B74" t="str">
            <v>Seafloor Oracle</v>
          </cell>
          <cell r="C74" t="str">
            <v>Seafloor Oracle</v>
          </cell>
        </row>
        <row r="75">
          <cell r="B75" t="str">
            <v>Repudiate // Replicate</v>
          </cell>
          <cell r="C75" t="str">
            <v>Stonybrook Banneret</v>
          </cell>
        </row>
        <row r="76">
          <cell r="B76" t="str">
            <v>Deeproot Pilgrimage</v>
          </cell>
          <cell r="C76" t="str">
            <v>Deeproot Pilgrimage</v>
          </cell>
        </row>
        <row r="77">
          <cell r="B77" t="str">
            <v>Herald of Secret Streams</v>
          </cell>
          <cell r="C77" t="str">
            <v>Herald of Secret Streams</v>
          </cell>
        </row>
        <row r="78">
          <cell r="B78" t="str">
            <v>Forerunner of the Heralds</v>
          </cell>
          <cell r="C78" t="str">
            <v>Forerunner of the Heralds</v>
          </cell>
        </row>
        <row r="79">
          <cell r="B79" t="str">
            <v>Watertrap Weaver</v>
          </cell>
          <cell r="C79" t="str">
            <v>Merrow Harbinger</v>
          </cell>
        </row>
        <row r="80">
          <cell r="B80" t="str">
            <v>Lifecrafter's Bestiary</v>
          </cell>
          <cell r="C80" t="str">
            <v>Pestered Wellguard</v>
          </cell>
        </row>
        <row r="81">
          <cell r="B81" t="str">
            <v>Merfolk Sovereign</v>
          </cell>
          <cell r="C81" t="str">
            <v>Merfolk Sovereign</v>
          </cell>
        </row>
        <row r="82">
          <cell r="B82" t="str">
            <v>Cold-Eyed Selkie</v>
          </cell>
          <cell r="C82" t="str">
            <v>Cold-Eyed Selkie</v>
          </cell>
        </row>
        <row r="83">
          <cell r="B83" t="str">
            <v>Wake Thrasher</v>
          </cell>
          <cell r="C83" t="str">
            <v>Wake Thrasher</v>
          </cell>
        </row>
        <row r="84">
          <cell r="B84" t="str">
            <v>Deeproot Historian</v>
          </cell>
          <cell r="C84" t="str">
            <v>Deeproot Historian</v>
          </cell>
        </row>
        <row r="85">
          <cell r="B85" t="str">
            <v>Surgespanner</v>
          </cell>
          <cell r="C85" t="str">
            <v>Surgespanner</v>
          </cell>
        </row>
        <row r="86">
          <cell r="B86" t="str">
            <v>Thieving Skydiver</v>
          </cell>
          <cell r="C86" t="str">
            <v>Champions of the Shoal</v>
          </cell>
        </row>
        <row r="87">
          <cell r="B87" t="str">
            <v>Singer of Swift Rivers</v>
          </cell>
          <cell r="C87" t="str">
            <v>Singer of Swift Rivers</v>
          </cell>
        </row>
        <row r="88">
          <cell r="B88" t="str">
            <v>Icon of Ancestry</v>
          </cell>
          <cell r="C88" t="str">
            <v>Icon of Ancestry</v>
          </cell>
        </row>
        <row r="89">
          <cell r="B89" t="str">
            <v>Door of Destinies</v>
          </cell>
          <cell r="C89" t="str">
            <v>Door of Destinies</v>
          </cell>
        </row>
        <row r="90">
          <cell r="B90" t="str">
            <v>Simic Charm</v>
          </cell>
          <cell r="C90" t="str">
            <v>Simic Charm</v>
          </cell>
        </row>
        <row r="91">
          <cell r="B91" t="str">
            <v>Mirror of the Forebears</v>
          </cell>
          <cell r="C91" t="str">
            <v>Mirror of the Forebears</v>
          </cell>
        </row>
        <row r="92">
          <cell r="B92" t="str">
            <v>Mirage Mirror</v>
          </cell>
          <cell r="C92" t="str">
            <v>Mirage Mirror</v>
          </cell>
        </row>
        <row r="93">
          <cell r="B93" t="str">
            <v>Murkfiend Liege</v>
          </cell>
          <cell r="C93" t="str">
            <v>Murkfiend Liege</v>
          </cell>
        </row>
        <row r="94">
          <cell r="B94" t="str">
            <v>Hadana's Climb</v>
          </cell>
          <cell r="C94" t="str">
            <v>Merrow Commerce</v>
          </cell>
        </row>
        <row r="95">
          <cell r="B95" t="str">
            <v>Summon: Leviathan</v>
          </cell>
          <cell r="C95" t="str">
            <v>Summon: Leviathan</v>
          </cell>
        </row>
        <row r="96">
          <cell r="B96" t="str">
            <v>Narset's Reversal</v>
          </cell>
          <cell r="C96" t="str">
            <v>Narset's Reversal</v>
          </cell>
        </row>
        <row r="97">
          <cell r="B97" t="str">
            <v>River's Rebuke</v>
          </cell>
          <cell r="C97" t="str">
            <v>River's Rebuke</v>
          </cell>
        </row>
        <row r="98">
          <cell r="B98" t="str">
            <v>Filter Out</v>
          </cell>
          <cell r="C98" t="str">
            <v>Filter Out</v>
          </cell>
        </row>
        <row r="99">
          <cell r="B99" t="str">
            <v>Whirlwind Denial</v>
          </cell>
          <cell r="C99" t="str">
            <v>Whirlwind Denial</v>
          </cell>
        </row>
        <row r="100">
          <cell r="B100" t="str">
            <v>Negate</v>
          </cell>
          <cell r="C100" t="str">
            <v>Negate</v>
          </cell>
        </row>
        <row r="101">
          <cell r="B101" t="str">
            <v>Hullbreaker Horror</v>
          </cell>
          <cell r="C101" t="str">
            <v>Hullbreaker Horror</v>
          </cell>
        </row>
        <row r="102">
          <cell r="B102" t="str">
            <v>Beast Within</v>
          </cell>
          <cell r="C102" t="str">
            <v>Beast Within</v>
          </cell>
        </row>
      </sheetData>
      <sheetData sheetId="23">
        <row r="2">
          <cell r="G2">
            <v>9</v>
          </cell>
        </row>
        <row r="3">
          <cell r="B3" t="str">
            <v>Zimone and Dina</v>
          </cell>
          <cell r="C3" t="str">
            <v>Zimone and Dina</v>
          </cell>
        </row>
        <row r="4">
          <cell r="B4" t="str">
            <v>Field of the Dead</v>
          </cell>
          <cell r="C4" t="str">
            <v>Field of the Dead</v>
          </cell>
        </row>
        <row r="5">
          <cell r="B5" t="str">
            <v>Reliquary Tower</v>
          </cell>
          <cell r="C5" t="str">
            <v>Reliquary Tower</v>
          </cell>
        </row>
        <row r="6">
          <cell r="B6" t="str">
            <v>Khalni Garden</v>
          </cell>
          <cell r="C6" t="str">
            <v>Khalni Garden</v>
          </cell>
        </row>
        <row r="7">
          <cell r="B7" t="str">
            <v>Simic Growth Chamber</v>
          </cell>
          <cell r="C7" t="str">
            <v>Simic Growth Chamber</v>
          </cell>
        </row>
        <row r="8">
          <cell r="B8" t="str">
            <v>Golgari Rot Farm</v>
          </cell>
          <cell r="C8" t="str">
            <v>Golgari Rot Farm</v>
          </cell>
        </row>
        <row r="9">
          <cell r="B9" t="str">
            <v>Dimir Aqueduct</v>
          </cell>
          <cell r="C9" t="str">
            <v>Dimir Aqueduct</v>
          </cell>
        </row>
        <row r="10">
          <cell r="B10" t="str">
            <v>Fabled Passage</v>
          </cell>
          <cell r="C10" t="str">
            <v>Fabled Passage</v>
          </cell>
        </row>
        <row r="11">
          <cell r="B11" t="str">
            <v>Bala Ged Recovery</v>
          </cell>
          <cell r="C11" t="str">
            <v>Bala Ged Recovery</v>
          </cell>
        </row>
        <row r="12">
          <cell r="B12" t="str">
            <v>Command Tower</v>
          </cell>
          <cell r="C12" t="str">
            <v>Command Tower</v>
          </cell>
        </row>
        <row r="13">
          <cell r="B13" t="str">
            <v>Exotic Orchard</v>
          </cell>
          <cell r="C13" t="str">
            <v>Exotic Orchard</v>
          </cell>
        </row>
        <row r="14">
          <cell r="B14" t="str">
            <v>Bojuka Bog</v>
          </cell>
          <cell r="C14" t="str">
            <v>Bojuka Bog</v>
          </cell>
        </row>
        <row r="15">
          <cell r="B15" t="str">
            <v>Agna Qel'a</v>
          </cell>
          <cell r="C15" t="str">
            <v>Agna Qel'a</v>
          </cell>
        </row>
        <row r="16">
          <cell r="B16" t="str">
            <v>Watery Grave</v>
          </cell>
          <cell r="C16" t="str">
            <v>Watery Grave</v>
          </cell>
        </row>
        <row r="17">
          <cell r="B17" t="str">
            <v>Breeding Pool</v>
          </cell>
          <cell r="C17" t="str">
            <v>Breeding Pool</v>
          </cell>
        </row>
        <row r="18">
          <cell r="B18" t="str">
            <v>Overgrown Tomb</v>
          </cell>
          <cell r="C18" t="str">
            <v>Overgrown Tomb</v>
          </cell>
        </row>
        <row r="19">
          <cell r="B19" t="str">
            <v>Bloodstained Mire</v>
          </cell>
          <cell r="C19" t="str">
            <v>Bloodstained Mire</v>
          </cell>
        </row>
        <row r="20">
          <cell r="B20" t="str">
            <v>Vale Afundado</v>
          </cell>
          <cell r="C20" t="str">
            <v>Scalding Tarn</v>
          </cell>
        </row>
        <row r="21">
          <cell r="B21" t="str">
            <v>Polluted Delta</v>
          </cell>
          <cell r="C21" t="str">
            <v>Polluted Delta</v>
          </cell>
        </row>
        <row r="22">
          <cell r="B22" t="str">
            <v>Windswept Heath</v>
          </cell>
          <cell r="C22" t="str">
            <v>Windswept Heath</v>
          </cell>
        </row>
        <row r="23">
          <cell r="B23" t="str">
            <v>Marsh Flats</v>
          </cell>
          <cell r="C23" t="str">
            <v>Marsh Flats</v>
          </cell>
        </row>
        <row r="24">
          <cell r="B24" t="str">
            <v>Wooded Foothills</v>
          </cell>
          <cell r="C24" t="str">
            <v>Wooded Foothills</v>
          </cell>
        </row>
        <row r="25">
          <cell r="B25" t="str">
            <v>Flooded Strand</v>
          </cell>
          <cell r="C25" t="str">
            <v>Flooded Strand</v>
          </cell>
        </row>
        <row r="26">
          <cell r="B26" t="str">
            <v>Verdant Catacombs</v>
          </cell>
          <cell r="C26" t="str">
            <v>Verdant Catacombs</v>
          </cell>
        </row>
        <row r="27">
          <cell r="B27" t="str">
            <v>Piranha Marsh</v>
          </cell>
          <cell r="C27" t="str">
            <v>Misty Rainforest</v>
          </cell>
        </row>
        <row r="28">
          <cell r="B28" t="str">
            <v>Yavimaya, Cradle of Growth</v>
          </cell>
          <cell r="C28" t="str">
            <v>Yavimaya, Cradle of Growth</v>
          </cell>
        </row>
        <row r="29">
          <cell r="B29" t="str">
            <v>Island</v>
          </cell>
          <cell r="C29" t="str">
            <v>Island</v>
          </cell>
        </row>
        <row r="30">
          <cell r="B30" t="str">
            <v>Island</v>
          </cell>
          <cell r="C30" t="str">
            <v>Island</v>
          </cell>
        </row>
        <row r="31">
          <cell r="B31" t="str">
            <v>Island</v>
          </cell>
          <cell r="C31" t="str">
            <v>Island</v>
          </cell>
        </row>
        <row r="32">
          <cell r="B32" t="str">
            <v>Swamp</v>
          </cell>
          <cell r="C32" t="str">
            <v>Swamp</v>
          </cell>
        </row>
        <row r="33">
          <cell r="B33" t="str">
            <v>Swamp</v>
          </cell>
          <cell r="C33" t="str">
            <v>Swamp</v>
          </cell>
        </row>
        <row r="34">
          <cell r="B34" t="str">
            <v>Swamp</v>
          </cell>
          <cell r="C34" t="str">
            <v>Swamp</v>
          </cell>
        </row>
        <row r="35">
          <cell r="B35" t="str">
            <v>Swamp</v>
          </cell>
          <cell r="C35" t="str">
            <v>Swamp</v>
          </cell>
        </row>
        <row r="36">
          <cell r="B36" t="str">
            <v>Forest</v>
          </cell>
          <cell r="C36" t="str">
            <v>Forest</v>
          </cell>
        </row>
        <row r="37">
          <cell r="B37" t="str">
            <v>Forest</v>
          </cell>
          <cell r="C37" t="str">
            <v>Forest</v>
          </cell>
        </row>
        <row r="38">
          <cell r="B38" t="str">
            <v>Forest</v>
          </cell>
          <cell r="C38" t="str">
            <v>Forest</v>
          </cell>
        </row>
        <row r="39">
          <cell r="B39" t="str">
            <v>Forest</v>
          </cell>
          <cell r="C39" t="str">
            <v>Forest</v>
          </cell>
        </row>
        <row r="40">
          <cell r="B40" t="str">
            <v>Nature's Lore</v>
          </cell>
          <cell r="C40" t="str">
            <v>Nature's Lore</v>
          </cell>
        </row>
        <row r="41">
          <cell r="B41" t="str">
            <v>Rampant Growth</v>
          </cell>
          <cell r="C41" t="str">
            <v>Rampant Growth</v>
          </cell>
        </row>
        <row r="42">
          <cell r="B42" t="str">
            <v>Edge of Autumn</v>
          </cell>
          <cell r="C42" t="str">
            <v>Edge of Autumn</v>
          </cell>
        </row>
        <row r="43">
          <cell r="B43" t="str">
            <v>Farseek</v>
          </cell>
          <cell r="C43" t="str">
            <v>Farseek</v>
          </cell>
        </row>
        <row r="44">
          <cell r="B44" t="str">
            <v>Earthbender Ascension</v>
          </cell>
          <cell r="C44" t="str">
            <v>Earthbender Ascension</v>
          </cell>
        </row>
        <row r="45">
          <cell r="B45" t="str">
            <v>Entish Restoration</v>
          </cell>
          <cell r="C45" t="str">
            <v>Entish Restoration</v>
          </cell>
        </row>
        <row r="46">
          <cell r="B46" t="str">
            <v>Farhaven Elf</v>
          </cell>
          <cell r="C46" t="str">
            <v>Farhaven Elf</v>
          </cell>
        </row>
        <row r="47">
          <cell r="B47" t="str">
            <v>Wood Elves</v>
          </cell>
          <cell r="C47" t="str">
            <v>Wood Elves</v>
          </cell>
        </row>
        <row r="48">
          <cell r="B48" t="str">
            <v>Birds of Paradise</v>
          </cell>
          <cell r="C48" t="str">
            <v>Birds of Paradise</v>
          </cell>
        </row>
        <row r="49">
          <cell r="B49" t="str">
            <v>Raven Eagle</v>
          </cell>
          <cell r="C49" t="str">
            <v>Raven Eagle</v>
          </cell>
        </row>
        <row r="50">
          <cell r="B50" t="str">
            <v>Morbid Opportunist</v>
          </cell>
          <cell r="C50" t="str">
            <v>Morbid Opportunist</v>
          </cell>
        </row>
        <row r="51">
          <cell r="B51" t="str">
            <v>Tatyova, Benthic Druid</v>
          </cell>
          <cell r="C51" t="str">
            <v>Tatyova, Benthic Druid</v>
          </cell>
        </row>
        <row r="52">
          <cell r="B52" t="str">
            <v>Tireless Tracker</v>
          </cell>
          <cell r="C52" t="str">
            <v>Tireless Tracker</v>
          </cell>
        </row>
        <row r="53">
          <cell r="B53" t="str">
            <v>The Hunger Tide Rises</v>
          </cell>
          <cell r="C53" t="str">
            <v>Teferi's Ageless Insight</v>
          </cell>
        </row>
        <row r="54">
          <cell r="B54" t="str">
            <v>Phyrexian Arena</v>
          </cell>
          <cell r="C54" t="str">
            <v>Phyrexian Arena</v>
          </cell>
        </row>
        <row r="55">
          <cell r="B55" t="str">
            <v>Chord of Calling</v>
          </cell>
          <cell r="C55" t="str">
            <v>Chord of Calling</v>
          </cell>
        </row>
        <row r="56">
          <cell r="B56" t="str">
            <v>Wight of the Reliquary</v>
          </cell>
          <cell r="C56" t="str">
            <v>Wight of the Reliquary</v>
          </cell>
        </row>
        <row r="57">
          <cell r="B57" t="str">
            <v>Scrawling Crawler</v>
          </cell>
          <cell r="C57" t="str">
            <v>Scrawling Crawler</v>
          </cell>
        </row>
        <row r="58">
          <cell r="B58" t="str">
            <v>Emrakul's Messenger</v>
          </cell>
          <cell r="C58" t="str">
            <v>Emrakul's Messenger</v>
          </cell>
        </row>
        <row r="59">
          <cell r="B59" t="str">
            <v>Jolrael, Mwonvuli Recluse</v>
          </cell>
          <cell r="C59" t="str">
            <v>Bitterbloom Bearer</v>
          </cell>
        </row>
        <row r="60">
          <cell r="B60" t="str">
            <v>Springheart Nantuko</v>
          </cell>
          <cell r="C60" t="str">
            <v>Springheart Nantuko</v>
          </cell>
        </row>
        <row r="61">
          <cell r="B61" t="str">
            <v>Beifong's Bounty Hunters</v>
          </cell>
          <cell r="C61" t="str">
            <v>Beifong's Bounty Hunters</v>
          </cell>
        </row>
        <row r="62">
          <cell r="B62" t="str">
            <v>Chatterfang, Squirrel General</v>
          </cell>
          <cell r="C62" t="str">
            <v>Chatterfang, Squirrel General</v>
          </cell>
        </row>
        <row r="63">
          <cell r="B63" t="str">
            <v>Scute Swarm</v>
          </cell>
          <cell r="C63" t="str">
            <v>Scute Swarm</v>
          </cell>
        </row>
        <row r="64">
          <cell r="B64" t="str">
            <v>Minn, Wily Illusionist</v>
          </cell>
          <cell r="C64" t="str">
            <v>Minn, Wily Illusionist</v>
          </cell>
        </row>
        <row r="65">
          <cell r="B65" t="str">
            <v>Ophiomancer</v>
          </cell>
          <cell r="C65" t="str">
            <v>Ophiomancer</v>
          </cell>
        </row>
        <row r="66">
          <cell r="B66" t="str">
            <v>Nemata, Primeval Warden</v>
          </cell>
          <cell r="C66" t="str">
            <v>Nemata, Primeval Warden</v>
          </cell>
        </row>
        <row r="67">
          <cell r="B67" t="str">
            <v>Zimone, Mystery Unraveler</v>
          </cell>
          <cell r="C67" t="str">
            <v>Zimone, Mystery Unraveler</v>
          </cell>
        </row>
        <row r="68">
          <cell r="B68" t="str">
            <v>Homunculus Horde</v>
          </cell>
          <cell r="C68" t="str">
            <v>Homunculus Horde</v>
          </cell>
        </row>
        <row r="69">
          <cell r="B69" t="str">
            <v>Bloodghast</v>
          </cell>
          <cell r="C69" t="str">
            <v>Bloodghast</v>
          </cell>
        </row>
        <row r="70">
          <cell r="B70" t="str">
            <v>Reassembling Skeleton</v>
          </cell>
          <cell r="C70" t="str">
            <v>Reassembling Skeleton</v>
          </cell>
        </row>
        <row r="71">
          <cell r="B71" t="str">
            <v>Ghoulish Procession</v>
          </cell>
          <cell r="C71" t="str">
            <v>Forsaken Miner</v>
          </cell>
        </row>
        <row r="72">
          <cell r="B72" t="str">
            <v>Nether Traitor</v>
          </cell>
          <cell r="C72" t="str">
            <v>Nether Traitor</v>
          </cell>
        </row>
        <row r="73">
          <cell r="B73" t="str">
            <v>Nadier's Nightblade</v>
          </cell>
          <cell r="C73" t="str">
            <v>Nadier's Nightblade</v>
          </cell>
        </row>
        <row r="74">
          <cell r="B74" t="str">
            <v>Blood Artist</v>
          </cell>
          <cell r="C74" t="str">
            <v>Blood Artist</v>
          </cell>
        </row>
        <row r="75">
          <cell r="B75" t="str">
            <v>Lotus Cobra</v>
          </cell>
          <cell r="C75" t="str">
            <v>Lotus Cobra</v>
          </cell>
        </row>
        <row r="76">
          <cell r="B76" t="str">
            <v>Tireless Provisioner</v>
          </cell>
          <cell r="C76" t="str">
            <v>Tireless Provisioner</v>
          </cell>
        </row>
        <row r="77">
          <cell r="B77" t="str">
            <v>Amulet of Vigor</v>
          </cell>
          <cell r="C77" t="str">
            <v>Amulet of Vigor</v>
          </cell>
        </row>
        <row r="78">
          <cell r="B78" t="str">
            <v>Horizon Explorer</v>
          </cell>
          <cell r="C78" t="str">
            <v>Horizon Explorer</v>
          </cell>
        </row>
        <row r="79">
          <cell r="B79" t="str">
            <v>Retreat to Hagra</v>
          </cell>
          <cell r="C79" t="str">
            <v>Ancient Greenwarden</v>
          </cell>
        </row>
        <row r="80">
          <cell r="B80" t="str">
            <v>Freestrider Lookout</v>
          </cell>
          <cell r="C80" t="str">
            <v>Freestrider Lookout</v>
          </cell>
        </row>
        <row r="81">
          <cell r="B81" t="str">
            <v>Ashaya, Soul of the Wild</v>
          </cell>
          <cell r="C81" t="str">
            <v>Ashaya, Soul of the Wild</v>
          </cell>
        </row>
        <row r="82">
          <cell r="B82" t="str">
            <v>Elvish Reclaimer</v>
          </cell>
          <cell r="C82" t="str">
            <v>Elvish Reclaimer</v>
          </cell>
        </row>
        <row r="83">
          <cell r="B83" t="str">
            <v>Ramunap Excavator</v>
          </cell>
          <cell r="C83" t="str">
            <v>Ramunap Excavator</v>
          </cell>
        </row>
        <row r="84">
          <cell r="B84" t="str">
            <v>Muldrotha, the Gravetide</v>
          </cell>
          <cell r="C84" t="str">
            <v>Burgeoning</v>
          </cell>
        </row>
        <row r="85">
          <cell r="B85" t="str">
            <v>Ecological Appreciation</v>
          </cell>
          <cell r="C85" t="str">
            <v>Ecological Appreciation</v>
          </cell>
        </row>
        <row r="86">
          <cell r="B86" t="str">
            <v>Dictate of Erebos</v>
          </cell>
          <cell r="C86" t="str">
            <v>Dictate of Erebos</v>
          </cell>
        </row>
        <row r="87">
          <cell r="B87" t="str">
            <v>Spelunking</v>
          </cell>
          <cell r="C87" t="str">
            <v>Sothera, the Supervoid</v>
          </cell>
        </row>
        <row r="88">
          <cell r="B88" t="str">
            <v>Negate</v>
          </cell>
          <cell r="C88" t="str">
            <v>Negate</v>
          </cell>
        </row>
        <row r="89">
          <cell r="B89" t="str">
            <v>Beast Within</v>
          </cell>
          <cell r="C89" t="str">
            <v>Beast Within</v>
          </cell>
        </row>
        <row r="90">
          <cell r="B90" t="str">
            <v>Insidious Fungus</v>
          </cell>
          <cell r="C90" t="str">
            <v>Insidious Fungus</v>
          </cell>
        </row>
        <row r="91">
          <cell r="B91" t="str">
            <v>Deprive</v>
          </cell>
          <cell r="C91" t="str">
            <v>Deprive</v>
          </cell>
        </row>
        <row r="92">
          <cell r="B92" t="str">
            <v>Assassin's Trophy</v>
          </cell>
          <cell r="C92" t="str">
            <v>Assassin's Trophy</v>
          </cell>
        </row>
        <row r="93">
          <cell r="B93" t="str">
            <v>Arcane Denial</v>
          </cell>
          <cell r="C93" t="str">
            <v>Arcane Denial</v>
          </cell>
        </row>
        <row r="94">
          <cell r="B94" t="str">
            <v>Toxic Deluge</v>
          </cell>
          <cell r="C94" t="str">
            <v>Toxic Deluge</v>
          </cell>
        </row>
        <row r="95">
          <cell r="B95" t="str">
            <v>Sultai Charm</v>
          </cell>
          <cell r="C95" t="str">
            <v>Sultai Charm</v>
          </cell>
        </row>
        <row r="96">
          <cell r="B96" t="str">
            <v>An Offer you Can't Refuse</v>
          </cell>
          <cell r="C96" t="str">
            <v>An Offer you Can't Refuse</v>
          </cell>
        </row>
        <row r="97">
          <cell r="B97" t="str">
            <v>Abrupt Decay</v>
          </cell>
          <cell r="C97" t="str">
            <v>Abrupt Decay</v>
          </cell>
        </row>
        <row r="98">
          <cell r="B98" t="str">
            <v>Quirion Ranger</v>
          </cell>
          <cell r="C98" t="str">
            <v>Quirion Ranger</v>
          </cell>
        </row>
        <row r="99">
          <cell r="B99" t="str">
            <v>Marvin, Murderous Mimic</v>
          </cell>
          <cell r="C99" t="str">
            <v>Marvin, Murderous Mimic</v>
          </cell>
        </row>
        <row r="100">
          <cell r="B100" t="str">
            <v>Scryb Ranger</v>
          </cell>
          <cell r="C100" t="str">
            <v>Scryb Ranger</v>
          </cell>
        </row>
        <row r="101">
          <cell r="B101" t="str">
            <v>Retreat to Coralhelm</v>
          </cell>
          <cell r="C101" t="str">
            <v>Retreat to Coralhelm</v>
          </cell>
        </row>
        <row r="102">
          <cell r="B102" t="str">
            <v>Harrow</v>
          </cell>
          <cell r="C102" t="str">
            <v>Thousand-Year Elixir</v>
          </cell>
        </row>
      </sheetData>
      <sheetData sheetId="24">
        <row r="2">
          <cell r="G2">
            <v>26</v>
          </cell>
        </row>
        <row r="3">
          <cell r="B3" t="str">
            <v>Baylen, the Haymaker</v>
          </cell>
          <cell r="C3" t="str">
            <v>Baylen, the Haymaker</v>
          </cell>
        </row>
        <row r="4">
          <cell r="B4" t="str">
            <v>Khalni Garden</v>
          </cell>
          <cell r="C4" t="str">
            <v>Khalni Garden</v>
          </cell>
        </row>
        <row r="5">
          <cell r="B5" t="str">
            <v>Reliquary Tower</v>
          </cell>
          <cell r="C5" t="str">
            <v>Reliquary Tower</v>
          </cell>
        </row>
        <row r="6">
          <cell r="B6" t="str">
            <v>Selesnya Sanctuary</v>
          </cell>
          <cell r="C6" t="str">
            <v>The Shire</v>
          </cell>
        </row>
        <row r="7">
          <cell r="B7" t="str">
            <v>Kher Keep</v>
          </cell>
          <cell r="C7" t="str">
            <v>Kher Keep</v>
          </cell>
        </row>
        <row r="8">
          <cell r="B8" t="str">
            <v>Evolving Wilds</v>
          </cell>
          <cell r="C8" t="str">
            <v>Castle Ardenvale</v>
          </cell>
        </row>
        <row r="9">
          <cell r="B9" t="str">
            <v>Vitu-Ghazi, the City-Tree</v>
          </cell>
          <cell r="C9" t="str">
            <v>Vitu-Ghazi, the City-Tree</v>
          </cell>
        </row>
        <row r="10">
          <cell r="B10" t="str">
            <v>Gruul Turf</v>
          </cell>
          <cell r="C10" t="str">
            <v>Gavony Township</v>
          </cell>
        </row>
        <row r="11">
          <cell r="B11" t="str">
            <v>Rogue's Passage</v>
          </cell>
          <cell r="C11" t="str">
            <v>Rogue's Passage</v>
          </cell>
        </row>
        <row r="12">
          <cell r="B12" t="str">
            <v>Command Tower</v>
          </cell>
          <cell r="C12" t="str">
            <v>Command Tower</v>
          </cell>
        </row>
        <row r="13">
          <cell r="B13" t="str">
            <v>Exotic Orchard</v>
          </cell>
          <cell r="C13" t="str">
            <v>Exotic Orchard</v>
          </cell>
        </row>
        <row r="14">
          <cell r="B14" t="str">
            <v>Sheltering Landscape</v>
          </cell>
          <cell r="C14" t="str">
            <v>Sheltering Landscape</v>
          </cell>
        </row>
        <row r="15">
          <cell r="B15" t="str">
            <v>Mossfire Valley</v>
          </cell>
          <cell r="C15" t="str">
            <v>Mossfire Valley</v>
          </cell>
        </row>
        <row r="16">
          <cell r="B16" t="str">
            <v>Sungrass Prairie</v>
          </cell>
          <cell r="C16" t="str">
            <v>Sungrass Prairie</v>
          </cell>
        </row>
        <row r="17">
          <cell r="B17" t="str">
            <v>Panorama de Naya</v>
          </cell>
          <cell r="C17" t="str">
            <v>Sunscorched Divide</v>
          </cell>
        </row>
        <row r="18">
          <cell r="B18" t="str">
            <v>Cinder Glade</v>
          </cell>
          <cell r="C18" t="str">
            <v>Cinder Glade</v>
          </cell>
        </row>
        <row r="19">
          <cell r="B19" t="str">
            <v>Canopy Vista</v>
          </cell>
          <cell r="C19" t="str">
            <v>Canopy Vista</v>
          </cell>
        </row>
        <row r="20">
          <cell r="B20" t="str">
            <v>Dwarven Mine</v>
          </cell>
          <cell r="C20" t="str">
            <v>Dwarven Mine</v>
          </cell>
        </row>
        <row r="21">
          <cell r="B21" t="str">
            <v>Gingerbread Cabin</v>
          </cell>
          <cell r="C21" t="str">
            <v>Gingerbread Cabin</v>
          </cell>
        </row>
        <row r="22">
          <cell r="B22" t="str">
            <v>Battlefield Forge</v>
          </cell>
          <cell r="C22" t="str">
            <v>Battlefield Forge</v>
          </cell>
        </row>
        <row r="23">
          <cell r="B23" t="str">
            <v>Mountain</v>
          </cell>
          <cell r="C23" t="str">
            <v>Karplusan Forest</v>
          </cell>
        </row>
        <row r="24">
          <cell r="B24" t="str">
            <v>Plains</v>
          </cell>
          <cell r="C24" t="str">
            <v>Brushland</v>
          </cell>
        </row>
        <row r="25">
          <cell r="B25" t="str">
            <v>Forest</v>
          </cell>
          <cell r="C25" t="str">
            <v>Forest</v>
          </cell>
        </row>
        <row r="26">
          <cell r="B26" t="str">
            <v>Forest</v>
          </cell>
          <cell r="C26" t="str">
            <v>Forest</v>
          </cell>
        </row>
        <row r="27">
          <cell r="B27" t="str">
            <v>Forest</v>
          </cell>
          <cell r="C27" t="str">
            <v>Forest</v>
          </cell>
        </row>
        <row r="28">
          <cell r="B28" t="str">
            <v>Forest</v>
          </cell>
          <cell r="C28" t="str">
            <v>Forest</v>
          </cell>
        </row>
        <row r="29">
          <cell r="B29" t="str">
            <v>Forest</v>
          </cell>
          <cell r="C29" t="str">
            <v>Forest</v>
          </cell>
        </row>
        <row r="30">
          <cell r="B30" t="str">
            <v>Forest</v>
          </cell>
          <cell r="C30" t="str">
            <v>Forest</v>
          </cell>
        </row>
        <row r="31">
          <cell r="B31" t="str">
            <v>Mountain</v>
          </cell>
          <cell r="C31" t="str">
            <v>Mountain</v>
          </cell>
        </row>
        <row r="32">
          <cell r="B32" t="str">
            <v>Mountain</v>
          </cell>
          <cell r="C32" t="str">
            <v>Mountain</v>
          </cell>
        </row>
        <row r="33">
          <cell r="B33" t="str">
            <v>Mountain</v>
          </cell>
          <cell r="C33" t="str">
            <v>Mountain</v>
          </cell>
        </row>
        <row r="34">
          <cell r="B34" t="str">
            <v>Mountain</v>
          </cell>
          <cell r="C34" t="str">
            <v>Mountain</v>
          </cell>
        </row>
        <row r="35">
          <cell r="B35" t="str">
            <v>Plains</v>
          </cell>
          <cell r="C35" t="str">
            <v>Plains</v>
          </cell>
        </row>
        <row r="36">
          <cell r="B36" t="str">
            <v>Plains</v>
          </cell>
          <cell r="C36" t="str">
            <v>Plains</v>
          </cell>
        </row>
        <row r="37">
          <cell r="B37" t="str">
            <v>Plains</v>
          </cell>
          <cell r="C37" t="str">
            <v>Plains</v>
          </cell>
        </row>
        <row r="38">
          <cell r="B38" t="str">
            <v>Plains</v>
          </cell>
          <cell r="C38" t="str">
            <v>Plains</v>
          </cell>
        </row>
        <row r="39">
          <cell r="B39" t="str">
            <v>Rampant Growth</v>
          </cell>
          <cell r="C39" t="str">
            <v>Rampant Growth</v>
          </cell>
        </row>
        <row r="40">
          <cell r="B40" t="str">
            <v>Nature's Lore</v>
          </cell>
          <cell r="C40" t="str">
            <v>Nature's Lore</v>
          </cell>
        </row>
        <row r="41">
          <cell r="B41" t="str">
            <v>Shared Roots</v>
          </cell>
          <cell r="C41" t="str">
            <v>Shared Roots</v>
          </cell>
        </row>
        <row r="42">
          <cell r="B42" t="str">
            <v>Many Partings</v>
          </cell>
          <cell r="C42" t="str">
            <v>Many Partings</v>
          </cell>
        </row>
        <row r="43">
          <cell r="B43" t="str">
            <v>Curse of Opulence</v>
          </cell>
          <cell r="C43" t="str">
            <v>Curse of Opulence</v>
          </cell>
        </row>
        <row r="44">
          <cell r="B44" t="str">
            <v>Guild Artisan</v>
          </cell>
          <cell r="C44" t="str">
            <v>Guild Artisan</v>
          </cell>
        </row>
        <row r="45">
          <cell r="B45" t="str">
            <v>Noble's Purse</v>
          </cell>
          <cell r="C45" t="str">
            <v>Return from the Wilds</v>
          </cell>
        </row>
        <row r="46">
          <cell r="B46" t="str">
            <v>Chord of Calling</v>
          </cell>
          <cell r="C46" t="str">
            <v>Chord of Calling</v>
          </cell>
        </row>
        <row r="47">
          <cell r="B47" t="str">
            <v>Titanic Ultimatum</v>
          </cell>
          <cell r="C47" t="str">
            <v>Jetmir, Nexus of Revels</v>
          </cell>
        </row>
        <row r="48">
          <cell r="B48" t="str">
            <v>Kayla's Command</v>
          </cell>
          <cell r="C48" t="str">
            <v>Purphoros, God of the Forge</v>
          </cell>
        </row>
        <row r="49">
          <cell r="B49" t="str">
            <v>Night of the Sweets' Revenge</v>
          </cell>
          <cell r="C49" t="str">
            <v>Warleader's Call</v>
          </cell>
        </row>
        <row r="50">
          <cell r="B50" t="str">
            <v>Impact Tremors</v>
          </cell>
          <cell r="C50" t="str">
            <v>Impact Tremors</v>
          </cell>
        </row>
        <row r="51">
          <cell r="B51" t="str">
            <v>Horn of Valhalla // Ysgard's Call</v>
          </cell>
          <cell r="C51" t="str">
            <v>Horn of Valhalla // Ysgard's Call</v>
          </cell>
        </row>
        <row r="52">
          <cell r="B52" t="str">
            <v>Presence of Gond</v>
          </cell>
          <cell r="C52" t="str">
            <v>Prosperous Partnership</v>
          </cell>
        </row>
        <row r="53">
          <cell r="B53" t="str">
            <v>Skrelv's Hive</v>
          </cell>
          <cell r="C53" t="str">
            <v>Skrelv's Hive</v>
          </cell>
        </row>
        <row r="54">
          <cell r="B54" t="str">
            <v>Sram's Expertise</v>
          </cell>
          <cell r="C54" t="str">
            <v>Sram's Expertise</v>
          </cell>
        </row>
        <row r="55">
          <cell r="B55" t="str">
            <v>Trail of Crumbs</v>
          </cell>
          <cell r="C55" t="str">
            <v>Springleaf Parade</v>
          </cell>
        </row>
        <row r="56">
          <cell r="B56" t="str">
            <v>Gilded Goose</v>
          </cell>
          <cell r="C56" t="str">
            <v>Gilded Goose</v>
          </cell>
        </row>
        <row r="57">
          <cell r="B57" t="str">
            <v>Crash the Party</v>
          </cell>
          <cell r="C57" t="str">
            <v>Crash the Party</v>
          </cell>
        </row>
        <row r="58">
          <cell r="B58" t="str">
            <v>Doubling Season</v>
          </cell>
          <cell r="C58" t="str">
            <v>Doubling Season</v>
          </cell>
        </row>
        <row r="59">
          <cell r="B59" t="str">
            <v>Naya Charm</v>
          </cell>
          <cell r="C59" t="str">
            <v>Exalted Sunborn</v>
          </cell>
        </row>
        <row r="60">
          <cell r="B60" t="str">
            <v>Rosie Cotton of South Lane</v>
          </cell>
          <cell r="C60" t="str">
            <v>Mondrak, Glory Dominus</v>
          </cell>
        </row>
        <row r="61">
          <cell r="B61" t="str">
            <v>Loyal Apprentice</v>
          </cell>
          <cell r="C61" t="str">
            <v>Loyal Apprentice</v>
          </cell>
        </row>
        <row r="62">
          <cell r="B62" t="str">
            <v>Gala Greeters</v>
          </cell>
          <cell r="C62" t="str">
            <v>Gala Greeters</v>
          </cell>
        </row>
        <row r="63">
          <cell r="B63" t="str">
            <v>Tireless Tracker</v>
          </cell>
          <cell r="C63" t="str">
            <v>Tireless Tracker</v>
          </cell>
        </row>
        <row r="64">
          <cell r="B64" t="str">
            <v>Ghired, Mirror of the Wilds</v>
          </cell>
          <cell r="C64" t="str">
            <v>Ghired, Mirror of the Wilds</v>
          </cell>
        </row>
        <row r="65">
          <cell r="B65" t="str">
            <v>Tireless Provisioner</v>
          </cell>
          <cell r="C65" t="str">
            <v>Tireless Provisioner</v>
          </cell>
        </row>
        <row r="66">
          <cell r="B66" t="str">
            <v>Academy Manufactor</v>
          </cell>
          <cell r="C66" t="str">
            <v>Academy Manufactor</v>
          </cell>
        </row>
        <row r="67">
          <cell r="B67" t="str">
            <v>Samwise Gangee</v>
          </cell>
          <cell r="C67" t="str">
            <v>Samwise Gangee</v>
          </cell>
        </row>
        <row r="68">
          <cell r="B68" t="str">
            <v>Arasta of the Endless Web</v>
          </cell>
          <cell r="C68" t="str">
            <v>Arasta of the Endless Web</v>
          </cell>
        </row>
        <row r="69">
          <cell r="B69" t="str">
            <v>Queen Allenal of Ruadach</v>
          </cell>
          <cell r="C69" t="str">
            <v>Queen Allenal of Ruadach</v>
          </cell>
        </row>
        <row r="70">
          <cell r="B70" t="str">
            <v>Smothering Tithe</v>
          </cell>
          <cell r="C70" t="str">
            <v>Smothering Tithe</v>
          </cell>
        </row>
        <row r="71">
          <cell r="B71" t="str">
            <v>Peregrin Took</v>
          </cell>
          <cell r="C71" t="str">
            <v>Peregrin Took</v>
          </cell>
        </row>
        <row r="72">
          <cell r="B72" t="str">
            <v>Cadira, Caller of the Small</v>
          </cell>
          <cell r="C72" t="str">
            <v>Cadira, Caller of the Small</v>
          </cell>
        </row>
        <row r="73">
          <cell r="B73" t="str">
            <v>Oltec Matterweaver</v>
          </cell>
          <cell r="C73" t="str">
            <v>Oltec Matterweaver</v>
          </cell>
        </row>
        <row r="74">
          <cell r="B74" t="str">
            <v>Rabble Rousing</v>
          </cell>
          <cell r="C74" t="str">
            <v>Rabble Rousing</v>
          </cell>
        </row>
        <row r="75">
          <cell r="B75" t="str">
            <v>Sun Warriors</v>
          </cell>
          <cell r="C75" t="str">
            <v>Sun Warriors</v>
          </cell>
        </row>
        <row r="76">
          <cell r="B76" t="str">
            <v>March of the Multitudes</v>
          </cell>
          <cell r="C76" t="str">
            <v>March of the Multitudes</v>
          </cell>
        </row>
        <row r="77">
          <cell r="B77" t="str">
            <v>Wildfire Awakener</v>
          </cell>
          <cell r="C77" t="str">
            <v>Wildfire Awakener</v>
          </cell>
        </row>
        <row r="78">
          <cell r="B78" t="str">
            <v>For the Common Good</v>
          </cell>
          <cell r="C78" t="str">
            <v>For the Common Good</v>
          </cell>
        </row>
        <row r="79">
          <cell r="B79" t="str">
            <v>Indulge // Excess</v>
          </cell>
          <cell r="C79" t="str">
            <v>Farmer Cotton</v>
          </cell>
        </row>
        <row r="80">
          <cell r="B80" t="str">
            <v>Horda Germinal</v>
          </cell>
          <cell r="C80" t="str">
            <v>Champions from Beyond</v>
          </cell>
        </row>
        <row r="81">
          <cell r="B81" t="str">
            <v>Goblin Bombardment</v>
          </cell>
          <cell r="C81" t="str">
            <v>March of the Canonized</v>
          </cell>
        </row>
        <row r="82">
          <cell r="B82" t="str">
            <v>Secure the Wastes</v>
          </cell>
          <cell r="C82" t="str">
            <v>Secure the Wastes</v>
          </cell>
        </row>
        <row r="83">
          <cell r="B83" t="str">
            <v>Chatterstorm</v>
          </cell>
          <cell r="C83" t="str">
            <v>Boros Charm</v>
          </cell>
        </row>
        <row r="84">
          <cell r="B84" t="str">
            <v>Thorough Investigation</v>
          </cell>
          <cell r="C84" t="str">
            <v>Clever Concealment</v>
          </cell>
        </row>
        <row r="85">
          <cell r="B85" t="str">
            <v>Rootborn Defenses</v>
          </cell>
          <cell r="C85" t="str">
            <v>Rootborn Defenses</v>
          </cell>
        </row>
        <row r="86">
          <cell r="B86" t="str">
            <v>Cabaretti Charm</v>
          </cell>
          <cell r="C86" t="str">
            <v>Cabaretti Charm</v>
          </cell>
        </row>
        <row r="87">
          <cell r="B87" t="str">
            <v>True Ancestry</v>
          </cell>
          <cell r="C87" t="str">
            <v>Lightning Greaves</v>
          </cell>
        </row>
        <row r="88">
          <cell r="B88" t="str">
            <v>Prosperous Innkeeper</v>
          </cell>
          <cell r="C88" t="str">
            <v>Virtue of Loyalty // Ardenvale Fealty</v>
          </cell>
        </row>
        <row r="89">
          <cell r="B89" t="str">
            <v>Revive the Shire</v>
          </cell>
          <cell r="C89" t="str">
            <v>Revive the Shire</v>
          </cell>
        </row>
        <row r="90">
          <cell r="B90" t="str">
            <v>Midnight Guard</v>
          </cell>
          <cell r="C90" t="str">
            <v>Seedborn Muse</v>
          </cell>
        </row>
        <row r="91">
          <cell r="B91" t="str">
            <v>Jaheira, Friend of the Forest</v>
          </cell>
          <cell r="C91" t="str">
            <v>Jaheira, Friend of the Forest</v>
          </cell>
        </row>
        <row r="92">
          <cell r="B92" t="str">
            <v>Dazzling Theater // Prop Room</v>
          </cell>
          <cell r="C92" t="str">
            <v>Dazzling Theater // Prop Room</v>
          </cell>
        </row>
        <row r="93">
          <cell r="B93" t="str">
            <v>Scurry Oak</v>
          </cell>
          <cell r="C93" t="str">
            <v>Path to Exile</v>
          </cell>
        </row>
        <row r="94">
          <cell r="B94" t="str">
            <v>Elesh Norn</v>
          </cell>
          <cell r="C94" t="str">
            <v>Chaos Warp</v>
          </cell>
        </row>
        <row r="95">
          <cell r="B95" t="str">
            <v>Krosan Grip</v>
          </cell>
          <cell r="C95" t="str">
            <v>Aura Mutation</v>
          </cell>
        </row>
        <row r="96">
          <cell r="B96" t="str">
            <v>Scavenging Ooze</v>
          </cell>
          <cell r="C96" t="str">
            <v>Artifact Mutation</v>
          </cell>
        </row>
        <row r="97">
          <cell r="B97" t="str">
            <v>Beast Within</v>
          </cell>
          <cell r="C97" t="str">
            <v>Beast Within</v>
          </cell>
        </row>
        <row r="98">
          <cell r="B98" t="str">
            <v>Generous Gift</v>
          </cell>
          <cell r="C98" t="str">
            <v>Generous Gift</v>
          </cell>
        </row>
        <row r="99">
          <cell r="B99" t="str">
            <v>Sundering Growth</v>
          </cell>
          <cell r="C99" t="str">
            <v>Sundering Growth</v>
          </cell>
        </row>
        <row r="100">
          <cell r="B100" t="str">
            <v>Pest Infestation</v>
          </cell>
          <cell r="C100" t="str">
            <v>Pest Infestation</v>
          </cell>
        </row>
        <row r="101">
          <cell r="B101" t="str">
            <v>Nature's Claim</v>
          </cell>
          <cell r="C101" t="str">
            <v>Nature's Claim</v>
          </cell>
        </row>
        <row r="102">
          <cell r="B102" t="str">
            <v>Swords to Plowshares</v>
          </cell>
          <cell r="C102" t="str">
            <v>Swords to Plowshares</v>
          </cell>
        </row>
      </sheetData>
      <sheetData sheetId="25">
        <row r="2">
          <cell r="G2">
            <v>23</v>
          </cell>
        </row>
        <row r="3">
          <cell r="B3" t="str">
            <v>Tayam, Luminous Enigma</v>
          </cell>
          <cell r="C3" t="str">
            <v>Tayam, Luminous Enigma</v>
          </cell>
        </row>
        <row r="4">
          <cell r="B4" t="str">
            <v>Forest</v>
          </cell>
          <cell r="C4" t="str">
            <v>Gavony Township</v>
          </cell>
        </row>
        <row r="5">
          <cell r="B5" t="str">
            <v>Llanowar Reborn</v>
          </cell>
          <cell r="C5" t="str">
            <v>Llanowar Reborn</v>
          </cell>
        </row>
        <row r="6">
          <cell r="B6" t="str">
            <v>Command Tower</v>
          </cell>
          <cell r="C6" t="str">
            <v>Command Tower</v>
          </cell>
        </row>
        <row r="7">
          <cell r="B7" t="str">
            <v>Exotic Orchard</v>
          </cell>
          <cell r="C7" t="str">
            <v>Exotic Orchard</v>
          </cell>
        </row>
        <row r="8">
          <cell r="B8" t="str">
            <v>Canopy Vista</v>
          </cell>
          <cell r="C8" t="str">
            <v>Canopy Vista</v>
          </cell>
        </row>
        <row r="9">
          <cell r="B9" t="str">
            <v>Deceptive Landscape</v>
          </cell>
          <cell r="C9" t="str">
            <v>Deceptive Landscape</v>
          </cell>
        </row>
        <row r="10">
          <cell r="B10" t="str">
            <v>Terramorphic Expanse</v>
          </cell>
          <cell r="C10" t="str">
            <v>Terramorphic Expanse</v>
          </cell>
        </row>
        <row r="11">
          <cell r="B11" t="str">
            <v>Evolving Wilds</v>
          </cell>
          <cell r="C11" t="str">
            <v>Evolving Wilds</v>
          </cell>
        </row>
        <row r="12">
          <cell r="B12" t="str">
            <v>Khalni Ambush</v>
          </cell>
          <cell r="C12" t="str">
            <v>Khalni Ambush</v>
          </cell>
        </row>
        <row r="13">
          <cell r="B13" t="str">
            <v>Mirrodin's Core</v>
          </cell>
          <cell r="C13" t="str">
            <v>Mirrodin's Core</v>
          </cell>
        </row>
        <row r="14">
          <cell r="B14" t="str">
            <v>Revitalizing Repast</v>
          </cell>
          <cell r="C14" t="str">
            <v>Revitalizing Repast</v>
          </cell>
        </row>
        <row r="15">
          <cell r="B15" t="str">
            <v>Spymaster's Vault</v>
          </cell>
          <cell r="C15" t="str">
            <v>Spymaster's Vault</v>
          </cell>
        </row>
        <row r="16">
          <cell r="B16" t="str">
            <v>Swamp</v>
          </cell>
          <cell r="C16" t="str">
            <v>Woodland Cemetery</v>
          </cell>
        </row>
        <row r="17">
          <cell r="B17" t="str">
            <v>Isolated Chapel</v>
          </cell>
          <cell r="C17" t="str">
            <v>Isolated Chapel</v>
          </cell>
        </row>
        <row r="18">
          <cell r="B18" t="str">
            <v>Forest</v>
          </cell>
          <cell r="C18" t="str">
            <v>Sunpetal Grove</v>
          </cell>
        </row>
        <row r="19">
          <cell r="B19" t="str">
            <v>Llanowar Wastes</v>
          </cell>
          <cell r="C19" t="str">
            <v>Llanowar Wastes</v>
          </cell>
        </row>
        <row r="20">
          <cell r="B20" t="str">
            <v>Forest</v>
          </cell>
          <cell r="C20" t="str">
            <v>Brushland</v>
          </cell>
        </row>
        <row r="21">
          <cell r="B21" t="str">
            <v>Swamp</v>
          </cell>
          <cell r="C21" t="str">
            <v>Caves of Koilos</v>
          </cell>
        </row>
        <row r="22">
          <cell r="B22" t="str">
            <v>Forest</v>
          </cell>
          <cell r="C22" t="str">
            <v>Ba Sing Se</v>
          </cell>
        </row>
        <row r="23">
          <cell r="B23" t="str">
            <v>Plains</v>
          </cell>
          <cell r="C23" t="str">
            <v>Abandoned Air Temple</v>
          </cell>
        </row>
        <row r="24">
          <cell r="B24" t="str">
            <v>Forest</v>
          </cell>
          <cell r="C24" t="str">
            <v>Forest</v>
          </cell>
        </row>
        <row r="25">
          <cell r="B25" t="str">
            <v>Forest</v>
          </cell>
          <cell r="C25" t="str">
            <v>Forest</v>
          </cell>
        </row>
        <row r="26">
          <cell r="B26" t="str">
            <v>Forest</v>
          </cell>
          <cell r="C26" t="str">
            <v>Forest</v>
          </cell>
        </row>
        <row r="27">
          <cell r="B27" t="str">
            <v>Forest</v>
          </cell>
          <cell r="C27" t="str">
            <v>Forest</v>
          </cell>
        </row>
        <row r="28">
          <cell r="B28" t="str">
            <v>Forest</v>
          </cell>
          <cell r="C28" t="str">
            <v>Forest</v>
          </cell>
        </row>
        <row r="29">
          <cell r="B29" t="str">
            <v>Forest</v>
          </cell>
          <cell r="C29" t="str">
            <v>Forest</v>
          </cell>
        </row>
        <row r="30">
          <cell r="B30" t="str">
            <v>Swamp</v>
          </cell>
          <cell r="C30" t="str">
            <v>Swamp</v>
          </cell>
        </row>
        <row r="31">
          <cell r="B31" t="str">
            <v>Swamp</v>
          </cell>
          <cell r="C31" t="str">
            <v>Swamp</v>
          </cell>
        </row>
        <row r="32">
          <cell r="B32" t="str">
            <v>Swamp</v>
          </cell>
          <cell r="C32" t="str">
            <v>Swamp</v>
          </cell>
        </row>
        <row r="33">
          <cell r="B33" t="str">
            <v>Swamp</v>
          </cell>
          <cell r="C33" t="str">
            <v>Swamp</v>
          </cell>
        </row>
        <row r="34">
          <cell r="B34" t="str">
            <v>Swamp</v>
          </cell>
          <cell r="C34" t="str">
            <v>Swamp</v>
          </cell>
        </row>
        <row r="35">
          <cell r="B35" t="str">
            <v>Plains</v>
          </cell>
          <cell r="C35" t="str">
            <v>Plains</v>
          </cell>
        </row>
        <row r="36">
          <cell r="B36" t="str">
            <v>Plains</v>
          </cell>
          <cell r="C36" t="str">
            <v>Plains</v>
          </cell>
        </row>
        <row r="37">
          <cell r="B37" t="str">
            <v>Plains</v>
          </cell>
          <cell r="C37" t="str">
            <v>Plains</v>
          </cell>
        </row>
        <row r="38">
          <cell r="B38" t="str">
            <v>Plains</v>
          </cell>
          <cell r="C38" t="str">
            <v>Plains</v>
          </cell>
        </row>
        <row r="39">
          <cell r="B39" t="str">
            <v>Mind Stone</v>
          </cell>
          <cell r="C39" t="str">
            <v>Earthbender Ascension</v>
          </cell>
        </row>
        <row r="40">
          <cell r="B40" t="str">
            <v>Incubation Druid</v>
          </cell>
          <cell r="C40" t="str">
            <v>Incubation Druid</v>
          </cell>
        </row>
        <row r="41">
          <cell r="B41" t="str">
            <v>Gyre Sage</v>
          </cell>
          <cell r="C41" t="str">
            <v>Gyre Sage</v>
          </cell>
        </row>
        <row r="42">
          <cell r="B42" t="str">
            <v>Dazzling Theater // Prop Room</v>
          </cell>
          <cell r="C42" t="str">
            <v>Dazzling Theater // Prop Room</v>
          </cell>
        </row>
        <row r="43">
          <cell r="B43" t="str">
            <v>Devoted Druid</v>
          </cell>
          <cell r="C43" t="str">
            <v>Devoted Druid</v>
          </cell>
        </row>
        <row r="44">
          <cell r="B44" t="str">
            <v>Rishkar, Peema Renegade</v>
          </cell>
          <cell r="C44" t="str">
            <v>Rishkar, Peema Renegade</v>
          </cell>
        </row>
        <row r="45">
          <cell r="B45" t="str">
            <v>Wall of Roots</v>
          </cell>
          <cell r="C45" t="str">
            <v>Wall of Roots</v>
          </cell>
        </row>
        <row r="46">
          <cell r="B46" t="str">
            <v>Kami of Whispered Hopes</v>
          </cell>
          <cell r="C46" t="str">
            <v>Kami of Whispered Hopes</v>
          </cell>
        </row>
        <row r="47">
          <cell r="B47" t="str">
            <v>Sakura-Tribe Elder</v>
          </cell>
          <cell r="C47" t="str">
            <v>Sakura-Tribe Elder</v>
          </cell>
        </row>
        <row r="48">
          <cell r="B48" t="str">
            <v>Jiang Yanguu, Wildcrafter</v>
          </cell>
          <cell r="C48" t="str">
            <v>Jiang Yanguu, Wildcrafter</v>
          </cell>
        </row>
        <row r="49">
          <cell r="B49" t="str">
            <v>Wood Elves</v>
          </cell>
          <cell r="C49" t="str">
            <v>Wood Elves</v>
          </cell>
        </row>
        <row r="50">
          <cell r="B50" t="str">
            <v>Oversold Cemetery</v>
          </cell>
          <cell r="C50" t="str">
            <v>Farhaven Elf</v>
          </cell>
        </row>
        <row r="51">
          <cell r="B51" t="str">
            <v>Morbid Opportunist</v>
          </cell>
          <cell r="C51" t="str">
            <v>Kutzil, Malamet Exemplar</v>
          </cell>
        </row>
        <row r="52">
          <cell r="B52" t="str">
            <v>Breena, the Demagogue</v>
          </cell>
          <cell r="C52" t="str">
            <v>Breena, the Demagogue</v>
          </cell>
        </row>
        <row r="53">
          <cell r="B53" t="str">
            <v>Vraska Joins Up</v>
          </cell>
          <cell r="C53" t="str">
            <v>Vraska Joins Up</v>
          </cell>
        </row>
        <row r="54">
          <cell r="B54" t="str">
            <v>Maester Seymour</v>
          </cell>
          <cell r="C54" t="str">
            <v>Maester Seymour</v>
          </cell>
        </row>
        <row r="55">
          <cell r="B55" t="str">
            <v>Simian Simulacrum</v>
          </cell>
          <cell r="C55" t="str">
            <v>Tale of Katara and Toph</v>
          </cell>
        </row>
        <row r="56">
          <cell r="B56" t="str">
            <v>Shortcut to Mushrooms</v>
          </cell>
          <cell r="C56" t="str">
            <v>Sphere Grid</v>
          </cell>
        </row>
        <row r="57">
          <cell r="B57" t="str">
            <v>Tromell, Seymour's Butler</v>
          </cell>
          <cell r="C57" t="str">
            <v>Tromell, Seymour's Butler</v>
          </cell>
        </row>
        <row r="58">
          <cell r="B58" t="str">
            <v>Together Forever</v>
          </cell>
          <cell r="C58" t="str">
            <v>Long Feng, Grand Secretariat</v>
          </cell>
        </row>
        <row r="59">
          <cell r="B59" t="str">
            <v>Felothar, Dawn of the Abzan</v>
          </cell>
          <cell r="C59" t="str">
            <v>Felothar, Dawn of the Abzan</v>
          </cell>
        </row>
        <row r="60">
          <cell r="B60" t="str">
            <v>Fiend Artisan</v>
          </cell>
          <cell r="C60" t="str">
            <v>Arwen, Weaver of Hope</v>
          </cell>
        </row>
        <row r="61">
          <cell r="B61" t="str">
            <v>Anafenza, Kin-Tree Spirit</v>
          </cell>
          <cell r="C61" t="str">
            <v>Anafenza, Kin-Tree Spirit</v>
          </cell>
        </row>
        <row r="62">
          <cell r="B62" t="str">
            <v>Botanical Brawler</v>
          </cell>
          <cell r="C62" t="str">
            <v>Botanical Brawler</v>
          </cell>
        </row>
        <row r="63">
          <cell r="B63" t="str">
            <v>Grismold, the Dreadsower</v>
          </cell>
          <cell r="C63" t="str">
            <v>Champion of Lambholt</v>
          </cell>
        </row>
        <row r="64">
          <cell r="B64" t="str">
            <v>Warden of the Grove</v>
          </cell>
          <cell r="C64" t="str">
            <v>Warden of the Grove</v>
          </cell>
        </row>
        <row r="65">
          <cell r="B65" t="str">
            <v>Managorger Hydra</v>
          </cell>
          <cell r="C65" t="str">
            <v>Managorger Hydra</v>
          </cell>
        </row>
        <row r="66">
          <cell r="B66" t="str">
            <v>Scourge of Skola Vale</v>
          </cell>
          <cell r="C66" t="str">
            <v>Colonel Autumn</v>
          </cell>
        </row>
        <row r="67">
          <cell r="B67" t="str">
            <v>Duskshell Crawler</v>
          </cell>
          <cell r="C67" t="str">
            <v>Duskshell Crawler</v>
          </cell>
        </row>
        <row r="68">
          <cell r="B68" t="str">
            <v>Shelinda, Yevon Acolyte</v>
          </cell>
          <cell r="C68" t="str">
            <v>Shelinda, Yevon Acolyte</v>
          </cell>
        </row>
        <row r="69">
          <cell r="B69" t="str">
            <v>Ardbert, Warrior of Darkness</v>
          </cell>
          <cell r="C69" t="str">
            <v>Ardbert, Warrior of Darkness</v>
          </cell>
        </row>
        <row r="70">
          <cell r="B70" t="str">
            <v>Master Chef</v>
          </cell>
          <cell r="C70" t="str">
            <v>Master Chef</v>
          </cell>
        </row>
        <row r="71">
          <cell r="B71" t="str">
            <v>Patrolling Peacemaker</v>
          </cell>
          <cell r="C71" t="str">
            <v>Patrolling Peacemaker</v>
          </cell>
        </row>
        <row r="72">
          <cell r="B72" t="str">
            <v>Thran Vigil</v>
          </cell>
          <cell r="C72" t="str">
            <v>Thran Vigil</v>
          </cell>
        </row>
        <row r="73">
          <cell r="B73" t="str">
            <v>Hardened Scales</v>
          </cell>
          <cell r="C73" t="str">
            <v>Hardened Scales</v>
          </cell>
        </row>
        <row r="74">
          <cell r="B74" t="str">
            <v>Metastatic Evangel</v>
          </cell>
          <cell r="C74" t="str">
            <v>Metastatic Evangel</v>
          </cell>
        </row>
        <row r="75">
          <cell r="B75" t="str">
            <v>Conclave Mentor</v>
          </cell>
          <cell r="C75" t="str">
            <v>Conclave Mentor</v>
          </cell>
        </row>
        <row r="76">
          <cell r="B76" t="str">
            <v>Branching Evolution</v>
          </cell>
          <cell r="C76" t="str">
            <v>Branching Evolution</v>
          </cell>
        </row>
        <row r="77">
          <cell r="B77" t="str">
            <v>Solidarity of Heroes</v>
          </cell>
          <cell r="C77" t="str">
            <v>Lae'zel, Vlaakith's Champion</v>
          </cell>
        </row>
        <row r="78">
          <cell r="B78" t="str">
            <v>Winding Constrictor</v>
          </cell>
          <cell r="C78" t="str">
            <v>Winding Constrictor</v>
          </cell>
        </row>
        <row r="79">
          <cell r="B79" t="str">
            <v>Abzan Falconer</v>
          </cell>
          <cell r="C79" t="str">
            <v>Abzan Falconer</v>
          </cell>
        </row>
        <row r="80">
          <cell r="B80" t="str">
            <v>Tuskguard Captain</v>
          </cell>
          <cell r="C80" t="str">
            <v>Court of Garenbrig</v>
          </cell>
        </row>
        <row r="81">
          <cell r="B81" t="str">
            <v>Evolution Witness</v>
          </cell>
          <cell r="C81" t="str">
            <v>Evolution Witness</v>
          </cell>
        </row>
        <row r="82">
          <cell r="B82" t="str">
            <v>Basking Broodscale</v>
          </cell>
          <cell r="C82" t="str">
            <v>Basking Broodscale</v>
          </cell>
        </row>
        <row r="83">
          <cell r="B83" t="str">
            <v>Nyx Weaver</v>
          </cell>
          <cell r="C83" t="str">
            <v>Reyhan, Last of the Abzan</v>
          </cell>
        </row>
        <row r="84">
          <cell r="B84" t="str">
            <v>Reluctant Role Model</v>
          </cell>
          <cell r="C84" t="str">
            <v>Reluctant Role Model</v>
          </cell>
        </row>
        <row r="85">
          <cell r="B85" t="str">
            <v>Scholar of New Horizons</v>
          </cell>
          <cell r="C85" t="str">
            <v>Scholar of New Horizons</v>
          </cell>
        </row>
        <row r="86">
          <cell r="B86" t="str">
            <v>Hollowmurk Siege</v>
          </cell>
          <cell r="C86" t="str">
            <v>Hollowmurk Siege</v>
          </cell>
        </row>
        <row r="87">
          <cell r="B87" t="str">
            <v>Cemetery Tampering</v>
          </cell>
          <cell r="C87" t="str">
            <v>The Duke, Rebel Sentry</v>
          </cell>
        </row>
        <row r="88">
          <cell r="B88" t="str">
            <v>Eternal Witness</v>
          </cell>
          <cell r="C88" t="str">
            <v>Spectacular Spider-Man</v>
          </cell>
        </row>
        <row r="89">
          <cell r="B89" t="str">
            <v>Inspiring Call</v>
          </cell>
          <cell r="C89" t="str">
            <v>Inspiring Call</v>
          </cell>
        </row>
        <row r="90">
          <cell r="B90" t="str">
            <v>Animate Dead</v>
          </cell>
          <cell r="C90" t="str">
            <v>Unbreakable Formation</v>
          </cell>
        </row>
        <row r="91">
          <cell r="B91" t="str">
            <v>Bulwark Ox</v>
          </cell>
          <cell r="C91" t="str">
            <v>Bulwark Ox</v>
          </cell>
        </row>
        <row r="92">
          <cell r="B92" t="str">
            <v>Zack Fair</v>
          </cell>
          <cell r="C92" t="str">
            <v>Zack Fair</v>
          </cell>
        </row>
        <row r="93">
          <cell r="B93" t="str">
            <v>Tocasia's Welcome</v>
          </cell>
          <cell r="C93" t="str">
            <v>Summon: Ixion</v>
          </cell>
        </row>
        <row r="94">
          <cell r="B94" t="str">
            <v>Cankerbloom</v>
          </cell>
          <cell r="C94" t="str">
            <v>Cankerbloom</v>
          </cell>
        </row>
        <row r="95">
          <cell r="B95" t="str">
            <v>Knight of Autumn</v>
          </cell>
          <cell r="C95" t="str">
            <v>Knight of Autumn</v>
          </cell>
        </row>
        <row r="96">
          <cell r="B96" t="str">
            <v>Skyclave Apparition</v>
          </cell>
          <cell r="C96" t="str">
            <v>Skyclave Apparition</v>
          </cell>
        </row>
        <row r="97">
          <cell r="B97" t="str">
            <v>Scavenging Ooze</v>
          </cell>
          <cell r="C97" t="str">
            <v>Scavenging Ooze</v>
          </cell>
        </row>
        <row r="98">
          <cell r="B98" t="str">
            <v>Reclamation Sage</v>
          </cell>
          <cell r="C98" t="str">
            <v>Reclamation Sage</v>
          </cell>
        </row>
        <row r="99">
          <cell r="B99" t="str">
            <v>Retribution of the Ancients</v>
          </cell>
          <cell r="C99" t="str">
            <v>Retribution of the Ancients</v>
          </cell>
        </row>
        <row r="100">
          <cell r="B100" t="str">
            <v>Damn</v>
          </cell>
          <cell r="C100" t="str">
            <v>Damn</v>
          </cell>
        </row>
        <row r="101">
          <cell r="B101" t="str">
            <v>Syr Vondam, Sunstar Exemplar</v>
          </cell>
          <cell r="C101" t="str">
            <v>Syr Vondam, Sunstar Exemplar</v>
          </cell>
        </row>
        <row r="102">
          <cell r="B102" t="str">
            <v>Grasp of Fate</v>
          </cell>
          <cell r="C102" t="str">
            <v>Grasp of Fate</v>
          </cell>
        </row>
      </sheetData>
      <sheetData sheetId="26">
        <row r="2">
          <cell r="G2">
            <v>5</v>
          </cell>
        </row>
        <row r="3">
          <cell r="B3" t="str">
            <v>Jhoira of the Ghitu</v>
          </cell>
          <cell r="C3" t="str">
            <v>Jhoira of the Ghitu</v>
          </cell>
        </row>
        <row r="4">
          <cell r="B4" t="str">
            <v>Spinerock Knoll</v>
          </cell>
          <cell r="C4" t="str">
            <v>Spinerock Knoll</v>
          </cell>
        </row>
        <row r="5">
          <cell r="B5" t="str">
            <v>Reliquary Tower</v>
          </cell>
          <cell r="C5" t="str">
            <v>Reliquary Tower</v>
          </cell>
        </row>
        <row r="6">
          <cell r="B6" t="str">
            <v>Sulfur Falls</v>
          </cell>
          <cell r="C6" t="str">
            <v>Sulfur Falls</v>
          </cell>
        </row>
        <row r="7">
          <cell r="B7" t="str">
            <v>Silundi Vision</v>
          </cell>
          <cell r="C7" t="str">
            <v>Silundi Vision</v>
          </cell>
        </row>
        <row r="8">
          <cell r="B8" t="str">
            <v>Command Tower</v>
          </cell>
          <cell r="C8" t="str">
            <v>Command Tower</v>
          </cell>
        </row>
        <row r="9">
          <cell r="B9" t="str">
            <v>Ilha</v>
          </cell>
          <cell r="C9" t="str">
            <v>Valfenda</v>
          </cell>
        </row>
        <row r="10">
          <cell r="B10" t="str">
            <v>Ilha</v>
          </cell>
          <cell r="C10" t="str">
            <v>Mistrise Village</v>
          </cell>
        </row>
        <row r="11">
          <cell r="B11" t="str">
            <v>Ilha</v>
          </cell>
          <cell r="C11" t="str">
            <v>Agna Qel'a</v>
          </cell>
        </row>
        <row r="12">
          <cell r="B12" t="str">
            <v>Ilha</v>
          </cell>
          <cell r="C12" t="str">
            <v>Ilha</v>
          </cell>
        </row>
        <row r="13">
          <cell r="B13" t="str">
            <v>Ilha</v>
          </cell>
          <cell r="C13" t="str">
            <v>Ilha</v>
          </cell>
        </row>
        <row r="14">
          <cell r="B14" t="str">
            <v>Ilha</v>
          </cell>
          <cell r="C14" t="str">
            <v>Ilha</v>
          </cell>
        </row>
        <row r="15">
          <cell r="B15" t="str">
            <v>Ilha</v>
          </cell>
          <cell r="C15" t="str">
            <v>Ilha</v>
          </cell>
        </row>
        <row r="16">
          <cell r="B16" t="str">
            <v>Ilha</v>
          </cell>
          <cell r="C16" t="str">
            <v>Ilha</v>
          </cell>
        </row>
        <row r="17">
          <cell r="B17" t="str">
            <v>Ilha</v>
          </cell>
          <cell r="C17" t="str">
            <v>Ilha</v>
          </cell>
        </row>
        <row r="18">
          <cell r="B18" t="str">
            <v>Ilha</v>
          </cell>
          <cell r="C18" t="str">
            <v>Ilha</v>
          </cell>
        </row>
        <row r="19">
          <cell r="B19" t="str">
            <v>Ilha</v>
          </cell>
          <cell r="C19" t="str">
            <v>Ilha</v>
          </cell>
        </row>
        <row r="20">
          <cell r="B20" t="str">
            <v>Ilha</v>
          </cell>
          <cell r="C20" t="str">
            <v>Ilha</v>
          </cell>
        </row>
        <row r="21">
          <cell r="B21" t="str">
            <v>Ilha</v>
          </cell>
          <cell r="C21" t="str">
            <v>Ilha</v>
          </cell>
        </row>
        <row r="22">
          <cell r="B22" t="str">
            <v>Ilha</v>
          </cell>
          <cell r="C22" t="str">
            <v>Ilha</v>
          </cell>
        </row>
        <row r="23">
          <cell r="B23" t="str">
            <v>Ilha</v>
          </cell>
          <cell r="C23" t="str">
            <v>Ilha</v>
          </cell>
        </row>
        <row r="24">
          <cell r="B24" t="str">
            <v>Montanha</v>
          </cell>
          <cell r="C24" t="str">
            <v>Montanha</v>
          </cell>
        </row>
        <row r="25">
          <cell r="B25" t="str">
            <v>Montanha</v>
          </cell>
          <cell r="C25" t="str">
            <v>Montanha</v>
          </cell>
        </row>
        <row r="26">
          <cell r="B26" t="str">
            <v>Montanha</v>
          </cell>
          <cell r="C26" t="str">
            <v>Montanha</v>
          </cell>
        </row>
        <row r="27">
          <cell r="B27" t="str">
            <v>Montanha</v>
          </cell>
          <cell r="C27" t="str">
            <v>Montanha</v>
          </cell>
        </row>
        <row r="28">
          <cell r="B28" t="str">
            <v>Montanha</v>
          </cell>
          <cell r="C28" t="str">
            <v>Montanha</v>
          </cell>
        </row>
        <row r="29">
          <cell r="B29" t="str">
            <v>Montanha</v>
          </cell>
          <cell r="C29" t="str">
            <v>Montanha</v>
          </cell>
        </row>
        <row r="30">
          <cell r="B30" t="str">
            <v>Montanha</v>
          </cell>
          <cell r="C30" t="str">
            <v>Montanha</v>
          </cell>
        </row>
        <row r="31">
          <cell r="B31" t="str">
            <v>Montanha</v>
          </cell>
          <cell r="C31" t="str">
            <v>Montanha</v>
          </cell>
        </row>
        <row r="32">
          <cell r="B32" t="str">
            <v>Montanha</v>
          </cell>
          <cell r="C32" t="str">
            <v>Montanha</v>
          </cell>
        </row>
        <row r="33">
          <cell r="B33" t="str">
            <v>Montanha</v>
          </cell>
          <cell r="C33" t="str">
            <v>Montanha</v>
          </cell>
        </row>
        <row r="34">
          <cell r="B34" t="str">
            <v>Montanha</v>
          </cell>
          <cell r="C34" t="str">
            <v>Montanha</v>
          </cell>
        </row>
        <row r="35">
          <cell r="B35" t="str">
            <v>Montanha</v>
          </cell>
          <cell r="C35" t="str">
            <v>Montanha</v>
          </cell>
        </row>
        <row r="36">
          <cell r="B36" t="str">
            <v>Emrakul, the Promised End</v>
          </cell>
          <cell r="C36" t="str">
            <v>Emrakul, the Promised End</v>
          </cell>
        </row>
        <row r="37">
          <cell r="B37" t="str">
            <v>Consecrated Sphinx</v>
          </cell>
          <cell r="C37" t="str">
            <v>Emrakul, the World Anew</v>
          </cell>
        </row>
        <row r="38">
          <cell r="B38" t="str">
            <v>Kozilek, Butcher of Truth</v>
          </cell>
          <cell r="C38" t="str">
            <v>Kozilek, Butcher of Truth</v>
          </cell>
        </row>
        <row r="39">
          <cell r="B39" t="str">
            <v>Kozilek, the Great Distortion</v>
          </cell>
          <cell r="C39" t="str">
            <v>Kozilek, the Great Distortion</v>
          </cell>
        </row>
        <row r="40">
          <cell r="B40" t="str">
            <v>Ulamog, the Infinite Gyre</v>
          </cell>
          <cell r="C40" t="str">
            <v>Ulamog, the Infinite Gyre</v>
          </cell>
        </row>
        <row r="41">
          <cell r="B41" t="str">
            <v>Ulamog, the Ceaseless Hunger</v>
          </cell>
          <cell r="C41" t="str">
            <v>Ulamog, the Ceaseless Hunger</v>
          </cell>
        </row>
        <row r="42">
          <cell r="B42" t="str">
            <v>Nezahal, Primal Tide</v>
          </cell>
          <cell r="C42" t="str">
            <v>Ulamog, the Defiler</v>
          </cell>
        </row>
        <row r="43">
          <cell r="B43" t="str">
            <v>Etali, Primal Storm</v>
          </cell>
          <cell r="C43" t="str">
            <v>Etali, Primal Storm</v>
          </cell>
        </row>
        <row r="44">
          <cell r="B44" t="str">
            <v>Blightsteel Colossus</v>
          </cell>
          <cell r="C44" t="str">
            <v>Blightsteel Colossus</v>
          </cell>
        </row>
        <row r="45">
          <cell r="B45" t="str">
            <v>Pathrazer of Ulamog</v>
          </cell>
          <cell r="C45" t="str">
            <v>Pathrazer of Ulamog</v>
          </cell>
        </row>
        <row r="46">
          <cell r="B46" t="str">
            <v>Void Winnower</v>
          </cell>
          <cell r="C46" t="str">
            <v>Void Winnower</v>
          </cell>
        </row>
        <row r="47">
          <cell r="B47" t="str">
            <v>Jin-Gitaxias, Core Augur</v>
          </cell>
          <cell r="C47" t="str">
            <v>Jin-Gitaxias, Core Augur</v>
          </cell>
        </row>
        <row r="48">
          <cell r="B48" t="str">
            <v>It That Betrays</v>
          </cell>
          <cell r="C48" t="str">
            <v>It That Betrays</v>
          </cell>
        </row>
        <row r="49">
          <cell r="B49" t="str">
            <v>Omniscience</v>
          </cell>
          <cell r="C49" t="str">
            <v>Omniscience</v>
          </cell>
        </row>
        <row r="50">
          <cell r="B50" t="str">
            <v>Aminatou's Augury</v>
          </cell>
          <cell r="C50" t="str">
            <v>Aminatou's Augury</v>
          </cell>
        </row>
        <row r="51">
          <cell r="B51" t="str">
            <v>Dilatação da Mente</v>
          </cell>
          <cell r="C51" t="str">
            <v>Dilatação da Mente</v>
          </cell>
        </row>
        <row r="52">
          <cell r="B52" t="str">
            <v>Obliterate</v>
          </cell>
          <cell r="C52" t="str">
            <v>Obliterate</v>
          </cell>
        </row>
        <row r="53">
          <cell r="B53" t="str">
            <v>Worldfire</v>
          </cell>
          <cell r="C53" t="str">
            <v>Worldfire</v>
          </cell>
        </row>
        <row r="54">
          <cell r="B54" t="str">
            <v>Apocalipse</v>
          </cell>
          <cell r="C54" t="str">
            <v>Apocalipse</v>
          </cell>
        </row>
        <row r="55">
          <cell r="B55" t="str">
            <v>Jokulhaups</v>
          </cell>
          <cell r="C55" t="str">
            <v>Jokulhaups</v>
          </cell>
        </row>
        <row r="56">
          <cell r="B56" t="str">
            <v>Decree of Annihilation</v>
          </cell>
          <cell r="C56" t="str">
            <v>Decree of Annihilation</v>
          </cell>
        </row>
        <row r="57">
          <cell r="B57" t="str">
            <v>Consuming Tide</v>
          </cell>
          <cell r="C57" t="str">
            <v>Consuming Tide</v>
          </cell>
        </row>
        <row r="58">
          <cell r="B58" t="str">
            <v>Whelming Wave</v>
          </cell>
          <cell r="C58" t="str">
            <v>Whelming Wave</v>
          </cell>
        </row>
        <row r="59">
          <cell r="B59" t="str">
            <v>Evacuação</v>
          </cell>
          <cell r="C59" t="str">
            <v>Evacuação</v>
          </cell>
        </row>
        <row r="60">
          <cell r="B60" t="str">
            <v>Chain Reaction</v>
          </cell>
          <cell r="C60" t="str">
            <v>Chain Reaction</v>
          </cell>
        </row>
        <row r="61">
          <cell r="B61" t="str">
            <v>Blasphemous Act</v>
          </cell>
          <cell r="C61" t="str">
            <v>Blasphemous Act</v>
          </cell>
        </row>
        <row r="62">
          <cell r="B62" t="str">
            <v>Devastation Tide</v>
          </cell>
          <cell r="C62" t="str">
            <v>Devastation Tide</v>
          </cell>
        </row>
        <row r="63">
          <cell r="B63" t="str">
            <v>Planetary Annihilation</v>
          </cell>
          <cell r="C63" t="str">
            <v>Planetary Annihilation</v>
          </cell>
        </row>
        <row r="64">
          <cell r="B64" t="str">
            <v>Sol Ring</v>
          </cell>
          <cell r="C64" t="str">
            <v>Sol Ring</v>
          </cell>
        </row>
        <row r="65">
          <cell r="B65" t="str">
            <v>Curse of Opulence</v>
          </cell>
          <cell r="C65" t="str">
            <v>Curse of Opulence</v>
          </cell>
        </row>
        <row r="66">
          <cell r="B66" t="str">
            <v>Wibbly-Wobbly, Timey-wimey</v>
          </cell>
          <cell r="C66" t="str">
            <v>Wibbly-Wobbly, Timey-wimey</v>
          </cell>
        </row>
        <row r="67">
          <cell r="B67" t="str">
            <v>Rift Elemental</v>
          </cell>
          <cell r="C67" t="str">
            <v>Rift Elemental</v>
          </cell>
        </row>
        <row r="68">
          <cell r="B68" t="str">
            <v>Fury Charm</v>
          </cell>
          <cell r="C68" t="str">
            <v>Fury Charm</v>
          </cell>
        </row>
        <row r="69">
          <cell r="B69" t="str">
            <v>Clockspinning</v>
          </cell>
          <cell r="C69" t="str">
            <v>Clockspinning</v>
          </cell>
        </row>
        <row r="70">
          <cell r="B70" t="str">
            <v>Timecrafting</v>
          </cell>
          <cell r="C70" t="str">
            <v>Timecrafting</v>
          </cell>
        </row>
        <row r="71">
          <cell r="B71" t="str">
            <v>Jhoira's Timebug</v>
          </cell>
          <cell r="C71" t="str">
            <v>Jhoira's Timebug</v>
          </cell>
        </row>
        <row r="72">
          <cell r="B72" t="str">
            <v>Counterflux</v>
          </cell>
          <cell r="C72" t="str">
            <v>Counterflux</v>
          </cell>
        </row>
        <row r="73">
          <cell r="B73" t="str">
            <v>An Offer You Can't Refuse</v>
          </cell>
          <cell r="C73" t="str">
            <v>An Offer You Can't Refuse</v>
          </cell>
        </row>
        <row r="74">
          <cell r="B74" t="str">
            <v>Whirlwind Denial</v>
          </cell>
          <cell r="C74" t="str">
            <v>Whirlwind Denial</v>
          </cell>
        </row>
        <row r="75">
          <cell r="B75" t="str">
            <v>Annul</v>
          </cell>
          <cell r="C75" t="str">
            <v>Annul</v>
          </cell>
        </row>
        <row r="76">
          <cell r="B76" t="str">
            <v>Echoing Truth</v>
          </cell>
          <cell r="C76" t="str">
            <v>Echoing Truth</v>
          </cell>
        </row>
        <row r="77">
          <cell r="B77" t="str">
            <v>Reality Shift</v>
          </cell>
          <cell r="C77" t="str">
            <v>Reality Shift</v>
          </cell>
        </row>
        <row r="78">
          <cell r="B78" t="str">
            <v>Chaos Warp</v>
          </cell>
          <cell r="C78" t="str">
            <v>Chaos Warp</v>
          </cell>
        </row>
        <row r="79">
          <cell r="B79" t="str">
            <v>Rapid Hybridization</v>
          </cell>
          <cell r="C79" t="str">
            <v>Rapid Hybridization</v>
          </cell>
        </row>
        <row r="80">
          <cell r="B80" t="str">
            <v>Mana Leak</v>
          </cell>
          <cell r="C80" t="str">
            <v>Mana Leak</v>
          </cell>
        </row>
        <row r="81">
          <cell r="B81" t="str">
            <v>Cyber Conversion</v>
          </cell>
          <cell r="C81" t="str">
            <v>Cyber Conversion</v>
          </cell>
        </row>
        <row r="82">
          <cell r="B82" t="str">
            <v>Pongify</v>
          </cell>
          <cell r="C82" t="str">
            <v>Pongify</v>
          </cell>
        </row>
        <row r="83">
          <cell r="B83" t="str">
            <v>Suspend</v>
          </cell>
          <cell r="C83" t="str">
            <v>Suspend</v>
          </cell>
        </row>
        <row r="84">
          <cell r="B84" t="str">
            <v>Delay</v>
          </cell>
          <cell r="C84" t="str">
            <v>Delay</v>
          </cell>
        </row>
        <row r="85">
          <cell r="B85" t="str">
            <v>Aetherize</v>
          </cell>
          <cell r="C85" t="str">
            <v>Aetherize</v>
          </cell>
        </row>
        <row r="86">
          <cell r="B86" t="str">
            <v>Arcane Denial</v>
          </cell>
          <cell r="C86" t="str">
            <v>Arcane Denial</v>
          </cell>
        </row>
        <row r="87">
          <cell r="B87" t="str">
            <v>Counterspell</v>
          </cell>
          <cell r="C87" t="str">
            <v>Counterspell</v>
          </cell>
        </row>
        <row r="88">
          <cell r="B88" t="str">
            <v>Negate</v>
          </cell>
          <cell r="C88" t="str">
            <v>Negate</v>
          </cell>
        </row>
        <row r="89">
          <cell r="B89" t="str">
            <v>Swan Song</v>
          </cell>
          <cell r="C89" t="str">
            <v>Swan Song</v>
          </cell>
        </row>
        <row r="90">
          <cell r="B90" t="str">
            <v>Unwind</v>
          </cell>
          <cell r="C90" t="str">
            <v>Unwind</v>
          </cell>
        </row>
        <row r="91">
          <cell r="B91" t="str">
            <v>Propaganda</v>
          </cell>
          <cell r="C91" t="str">
            <v>Propaganda</v>
          </cell>
        </row>
        <row r="92">
          <cell r="B92" t="str">
            <v>Crawlspace</v>
          </cell>
          <cell r="C92" t="str">
            <v>Crawlspace</v>
          </cell>
        </row>
        <row r="93">
          <cell r="B93" t="str">
            <v>Solve the Equation</v>
          </cell>
          <cell r="C93" t="str">
            <v>Solve the Equation</v>
          </cell>
        </row>
        <row r="94">
          <cell r="B94" t="str">
            <v>Preordain</v>
          </cell>
          <cell r="C94" t="str">
            <v>Preordain</v>
          </cell>
        </row>
        <row r="95">
          <cell r="B95" t="str">
            <v>Rhystic Study</v>
          </cell>
          <cell r="C95" t="str">
            <v>Rhystic Study</v>
          </cell>
        </row>
        <row r="96">
          <cell r="B96" t="str">
            <v>Mystical Tutor</v>
          </cell>
          <cell r="C96" t="str">
            <v>Mystical Tutor</v>
          </cell>
        </row>
        <row r="97">
          <cell r="B97" t="str">
            <v>Telling Time</v>
          </cell>
          <cell r="C97" t="str">
            <v>Telling Time</v>
          </cell>
        </row>
        <row r="98">
          <cell r="B98" t="str">
            <v>Academy Loremaster</v>
          </cell>
          <cell r="C98" t="str">
            <v>Academy Loremaster</v>
          </cell>
        </row>
        <row r="99">
          <cell r="B99" t="str">
            <v>Serum Visions</v>
          </cell>
          <cell r="C99" t="str">
            <v>Serum Visions</v>
          </cell>
        </row>
        <row r="100">
          <cell r="B100" t="str">
            <v>Antecipar</v>
          </cell>
          <cell r="C100" t="str">
            <v>Antecipar</v>
          </cell>
        </row>
        <row r="101">
          <cell r="B101" t="str">
            <v>Impulse</v>
          </cell>
          <cell r="C101" t="str">
            <v>Impulse</v>
          </cell>
        </row>
        <row r="102">
          <cell r="B102" t="str">
            <v>Portent of Calamity</v>
          </cell>
          <cell r="C102" t="str">
            <v>Portent of Calamity</v>
          </cell>
        </row>
      </sheetData>
      <sheetData sheetId="27">
        <row r="2">
          <cell r="G2">
            <v>9</v>
          </cell>
        </row>
        <row r="3">
          <cell r="B3" t="str">
            <v>Vial Smasher the Fierce</v>
          </cell>
          <cell r="C3" t="str">
            <v>Vial Smasher the Fierce</v>
          </cell>
        </row>
        <row r="4">
          <cell r="B4" t="str">
            <v>Malcolm, Keen-Eyed Navigator</v>
          </cell>
          <cell r="C4" t="str">
            <v>Malcolm, Keen-Eyed Navigator</v>
          </cell>
        </row>
        <row r="5">
          <cell r="B5" t="str">
            <v>Rogue's Passage</v>
          </cell>
          <cell r="C5" t="str">
            <v>Rogue's Passage</v>
          </cell>
        </row>
        <row r="6">
          <cell r="B6" t="str">
            <v>Access Tunnel</v>
          </cell>
          <cell r="C6" t="str">
            <v>Access Tunnel</v>
          </cell>
        </row>
        <row r="7">
          <cell r="B7" t="str">
            <v>Bojuka Bog</v>
          </cell>
          <cell r="C7" t="str">
            <v>Bojuka Bog</v>
          </cell>
        </row>
        <row r="8">
          <cell r="B8" t="str">
            <v>Swamp</v>
          </cell>
          <cell r="C8" t="str">
            <v>Treasure Vault</v>
          </cell>
        </row>
        <row r="9">
          <cell r="B9" t="str">
            <v>Swamp</v>
          </cell>
          <cell r="C9" t="str">
            <v>Reliquary Tower</v>
          </cell>
        </row>
        <row r="10">
          <cell r="B10" t="str">
            <v>Swamp</v>
          </cell>
          <cell r="C10" t="str">
            <v>Mines of Moria</v>
          </cell>
        </row>
        <row r="11">
          <cell r="B11" t="str">
            <v>Archway of Innovation</v>
          </cell>
          <cell r="C11" t="str">
            <v>Archway of Innovation</v>
          </cell>
        </row>
        <row r="12">
          <cell r="B12" t="str">
            <v>Exotic Orchard</v>
          </cell>
          <cell r="C12" t="str">
            <v>Exotic Orchard</v>
          </cell>
        </row>
        <row r="13">
          <cell r="B13" t="str">
            <v>Command Tower</v>
          </cell>
          <cell r="C13" t="str">
            <v>Command Tower</v>
          </cell>
        </row>
        <row r="14">
          <cell r="B14" t="str">
            <v>Path of Ancestry</v>
          </cell>
          <cell r="C14" t="str">
            <v>Path of Ancestry</v>
          </cell>
        </row>
        <row r="15">
          <cell r="B15" t="str">
            <v>Unclaimed Territory</v>
          </cell>
          <cell r="C15" t="str">
            <v>Unclaimed Territory</v>
          </cell>
        </row>
        <row r="16">
          <cell r="B16" t="str">
            <v>Secluded Courtyard</v>
          </cell>
          <cell r="C16" t="str">
            <v>Secluded Courtyard</v>
          </cell>
        </row>
        <row r="17">
          <cell r="B17" t="str">
            <v>Seething Landscape</v>
          </cell>
          <cell r="C17" t="str">
            <v>Seething Landscape</v>
          </cell>
        </row>
        <row r="18">
          <cell r="B18" t="str">
            <v>Spire of Industry</v>
          </cell>
          <cell r="C18" t="str">
            <v>Spire of Industry</v>
          </cell>
        </row>
        <row r="19">
          <cell r="B19" t="str">
            <v>Temple of Deceit</v>
          </cell>
          <cell r="C19" t="str">
            <v>Temple of Deceit</v>
          </cell>
        </row>
        <row r="20">
          <cell r="B20" t="str">
            <v>Mountain</v>
          </cell>
          <cell r="C20" t="str">
            <v>Temple of Malice</v>
          </cell>
        </row>
        <row r="21">
          <cell r="B21" t="str">
            <v>Temple of Epiphany</v>
          </cell>
          <cell r="C21" t="str">
            <v>Temple of Epiphany</v>
          </cell>
        </row>
        <row r="22">
          <cell r="B22" t="str">
            <v>Terramorphic Expanse</v>
          </cell>
          <cell r="C22" t="str">
            <v>Terramorphic Expanse</v>
          </cell>
        </row>
        <row r="23">
          <cell r="B23" t="str">
            <v>Evolving Wilds</v>
          </cell>
          <cell r="C23" t="str">
            <v>Evolving Wilds</v>
          </cell>
        </row>
        <row r="24">
          <cell r="B24" t="str">
            <v>Fabled Passage</v>
          </cell>
          <cell r="C24" t="str">
            <v>Fabled Passage</v>
          </cell>
        </row>
        <row r="25">
          <cell r="B25" t="str">
            <v>Island</v>
          </cell>
          <cell r="C25" t="str">
            <v>Secret Tunnel</v>
          </cell>
        </row>
        <row r="26">
          <cell r="B26" t="str">
            <v>Island</v>
          </cell>
          <cell r="C26" t="str">
            <v>Island</v>
          </cell>
        </row>
        <row r="27">
          <cell r="B27" t="str">
            <v>Island</v>
          </cell>
          <cell r="C27" t="str">
            <v>Island</v>
          </cell>
        </row>
        <row r="28">
          <cell r="B28" t="str">
            <v>Island</v>
          </cell>
          <cell r="C28" t="str">
            <v>Island</v>
          </cell>
        </row>
        <row r="29">
          <cell r="B29" t="str">
            <v>Island</v>
          </cell>
          <cell r="C29" t="str">
            <v>Island</v>
          </cell>
        </row>
        <row r="30">
          <cell r="B30" t="str">
            <v>Island</v>
          </cell>
          <cell r="C30" t="str">
            <v>Island</v>
          </cell>
        </row>
        <row r="31">
          <cell r="B31" t="str">
            <v>Swamp</v>
          </cell>
          <cell r="C31" t="str">
            <v>Swamp</v>
          </cell>
        </row>
        <row r="32">
          <cell r="B32" t="str">
            <v>Swamp</v>
          </cell>
          <cell r="C32" t="str">
            <v>Swamp</v>
          </cell>
        </row>
        <row r="33">
          <cell r="B33" t="str">
            <v>Swamp</v>
          </cell>
          <cell r="C33" t="str">
            <v>Swamp</v>
          </cell>
        </row>
        <row r="34">
          <cell r="B34" t="str">
            <v>Swamp</v>
          </cell>
          <cell r="C34" t="str">
            <v>Swamp</v>
          </cell>
        </row>
        <row r="35">
          <cell r="B35" t="str">
            <v>Swamp</v>
          </cell>
          <cell r="C35" t="str">
            <v>Swamp</v>
          </cell>
        </row>
        <row r="36">
          <cell r="B36" t="str">
            <v>Mountain</v>
          </cell>
          <cell r="C36" t="str">
            <v>Mountain</v>
          </cell>
        </row>
        <row r="37">
          <cell r="B37" t="str">
            <v>Mountain</v>
          </cell>
          <cell r="C37" t="str">
            <v>Mountain</v>
          </cell>
        </row>
        <row r="38">
          <cell r="B38" t="str">
            <v>Mountain</v>
          </cell>
          <cell r="C38" t="str">
            <v>Mountain</v>
          </cell>
        </row>
        <row r="39">
          <cell r="B39" t="str">
            <v>Mountain</v>
          </cell>
          <cell r="C39" t="str">
            <v>Mountain</v>
          </cell>
        </row>
        <row r="40">
          <cell r="B40" t="str">
            <v>Mountain</v>
          </cell>
          <cell r="C40" t="str">
            <v>Mountain</v>
          </cell>
        </row>
        <row r="41">
          <cell r="B41" t="str">
            <v>Grazilaxx, Illithid Scholar</v>
          </cell>
          <cell r="C41" t="str">
            <v>Grazilaxx, Illithid Scholar</v>
          </cell>
        </row>
        <row r="42">
          <cell r="B42" t="str">
            <v>Dark Tutelage</v>
          </cell>
          <cell r="C42" t="str">
            <v>Dark Tutelage</v>
          </cell>
        </row>
        <row r="43">
          <cell r="B43" t="str">
            <v>Katara, Bending Prodigy</v>
          </cell>
          <cell r="C43" t="str">
            <v>Katara, Bending Prodigy</v>
          </cell>
        </row>
        <row r="44">
          <cell r="B44" t="str">
            <v>Bident of Thassa</v>
          </cell>
          <cell r="C44" t="str">
            <v>Bident of Thassa</v>
          </cell>
        </row>
        <row r="45">
          <cell r="B45" t="str">
            <v>Treasure Map</v>
          </cell>
          <cell r="C45" t="str">
            <v>Treasure Map</v>
          </cell>
        </row>
        <row r="46">
          <cell r="B46" t="str">
            <v>Coastal Piracy</v>
          </cell>
          <cell r="C46" t="str">
            <v>Coastal Piracy</v>
          </cell>
        </row>
        <row r="47">
          <cell r="B47" t="str">
            <v>Distant Melody</v>
          </cell>
          <cell r="C47" t="str">
            <v>Distant Melody</v>
          </cell>
        </row>
        <row r="48">
          <cell r="B48" t="str">
            <v>Laughing Jasper Flint</v>
          </cell>
          <cell r="C48" t="str">
            <v>Laughing Jasper Flint</v>
          </cell>
        </row>
        <row r="49">
          <cell r="B49" t="str">
            <v>Forerunner of the Coalition</v>
          </cell>
          <cell r="C49" t="str">
            <v>Forerunner of the Coalition</v>
          </cell>
        </row>
        <row r="50">
          <cell r="B50" t="str">
            <v>Rogue Class</v>
          </cell>
          <cell r="C50" t="str">
            <v>Rogue Class</v>
          </cell>
        </row>
        <row r="51">
          <cell r="B51" t="str">
            <v>Malcolm, the Eyes</v>
          </cell>
          <cell r="C51" t="str">
            <v>Malcolm, the Eyes</v>
          </cell>
        </row>
        <row r="52">
          <cell r="B52" t="str">
            <v>Spirit Water Revival</v>
          </cell>
          <cell r="C52" t="str">
            <v>Spirit Water Revival</v>
          </cell>
        </row>
        <row r="53">
          <cell r="B53" t="str">
            <v>Captain's Hook</v>
          </cell>
          <cell r="C53" t="str">
            <v>Captain's Hook</v>
          </cell>
        </row>
        <row r="54">
          <cell r="B54" t="str">
            <v>Spectral Sailor</v>
          </cell>
          <cell r="C54" t="str">
            <v>Spectral Sailor</v>
          </cell>
        </row>
        <row r="55">
          <cell r="B55" t="str">
            <v>Spyglass Siren</v>
          </cell>
          <cell r="C55" t="str">
            <v>Spyglass Siren</v>
          </cell>
        </row>
        <row r="56">
          <cell r="B56" t="str">
            <v>Changeling Outcast</v>
          </cell>
          <cell r="C56" t="str">
            <v>Changeling Outcast</v>
          </cell>
        </row>
        <row r="57">
          <cell r="B57" t="str">
            <v>Siren Stormtamer</v>
          </cell>
          <cell r="C57" t="str">
            <v>Siren Stormtamer</v>
          </cell>
        </row>
        <row r="58">
          <cell r="B58" t="str">
            <v>Kitesail Freebooter</v>
          </cell>
          <cell r="C58" t="str">
            <v>Kitesail Freebooter</v>
          </cell>
        </row>
        <row r="59">
          <cell r="B59" t="str">
            <v>Departed Deckhand</v>
          </cell>
          <cell r="C59" t="str">
            <v>Departed Deckhand</v>
          </cell>
        </row>
        <row r="60">
          <cell r="B60" t="str">
            <v>Malcolm, Alluring Scoundrel</v>
          </cell>
          <cell r="C60" t="str">
            <v>Malcolm, Alluring Scoundrel</v>
          </cell>
        </row>
        <row r="61">
          <cell r="B61" t="str">
            <v>Warkite Marauder</v>
          </cell>
          <cell r="C61" t="str">
            <v>Warkite Marauder</v>
          </cell>
        </row>
        <row r="62">
          <cell r="B62" t="str">
            <v>Dire Fleet Poisoner</v>
          </cell>
          <cell r="C62" t="str">
            <v>Broadside Bombardiers</v>
          </cell>
        </row>
        <row r="63">
          <cell r="B63" t="str">
            <v>Breeches, Eager Pillager</v>
          </cell>
          <cell r="C63" t="str">
            <v>Breeches, Eager Pillager</v>
          </cell>
        </row>
        <row r="64">
          <cell r="B64" t="str">
            <v>Kitesail Larcenist</v>
          </cell>
          <cell r="C64" t="str">
            <v>Kitesail Larcenist</v>
          </cell>
        </row>
        <row r="65">
          <cell r="B65" t="str">
            <v>Storm Fleet Negotiator</v>
          </cell>
          <cell r="C65" t="str">
            <v>Storm Fleet Negotiator</v>
          </cell>
        </row>
        <row r="66">
          <cell r="B66" t="str">
            <v>Cutthroat Negotiator</v>
          </cell>
          <cell r="C66" t="str">
            <v>Cutthroat Negotiator</v>
          </cell>
        </row>
        <row r="67">
          <cell r="B67" t="str">
            <v>Coastline Marauders</v>
          </cell>
          <cell r="C67" t="str">
            <v>Coastline Marauders</v>
          </cell>
        </row>
        <row r="68">
          <cell r="B68" t="str">
            <v>Admiral Beckett Brass</v>
          </cell>
          <cell r="C68" t="str">
            <v>Admiral Beckett Brass</v>
          </cell>
        </row>
        <row r="69">
          <cell r="B69" t="str">
            <v>Captain Vargus Wrath</v>
          </cell>
          <cell r="C69" t="str">
            <v>Captain Vargus Wrath</v>
          </cell>
        </row>
        <row r="70">
          <cell r="B70" t="str">
            <v>Captain Storm, Cosmium Raider</v>
          </cell>
          <cell r="C70" t="str">
            <v>Captain Storm, Cosmium Raider</v>
          </cell>
        </row>
        <row r="71">
          <cell r="B71" t="str">
            <v>Gemcutter Buccaneer</v>
          </cell>
          <cell r="C71" t="str">
            <v>Gemcutter Buccaneer</v>
          </cell>
        </row>
        <row r="72">
          <cell r="B72" t="str">
            <v>Timestream Navigator</v>
          </cell>
          <cell r="C72" t="str">
            <v>Timestream Navigator</v>
          </cell>
        </row>
        <row r="73">
          <cell r="B73" t="str">
            <v>Ramirez DePietro, Pillager</v>
          </cell>
          <cell r="C73" t="str">
            <v>Ramirez DePietro, Pillager</v>
          </cell>
        </row>
        <row r="74">
          <cell r="B74" t="str">
            <v>Wyll's Reversal</v>
          </cell>
          <cell r="C74" t="str">
            <v>Glint-Horn Buccaneer</v>
          </cell>
        </row>
        <row r="75">
          <cell r="B75" t="str">
            <v>Breeches, the Blastmaker</v>
          </cell>
          <cell r="C75" t="str">
            <v>Breeches, the Blastmaker</v>
          </cell>
        </row>
        <row r="76">
          <cell r="B76" t="str">
            <v>Breeches, Brazen Plunderer</v>
          </cell>
          <cell r="C76" t="str">
            <v>Breeches, Brazen Plunderer</v>
          </cell>
        </row>
        <row r="77">
          <cell r="B77" t="str">
            <v>Coercive Recruiter</v>
          </cell>
          <cell r="C77" t="str">
            <v>Coercive Recruiter</v>
          </cell>
        </row>
        <row r="78">
          <cell r="B78" t="str">
            <v>Lightning-Rig Crew</v>
          </cell>
          <cell r="C78" t="str">
            <v>Lightning-Rig Crew</v>
          </cell>
        </row>
        <row r="79">
          <cell r="B79" t="str">
            <v>Amphin Mutineer</v>
          </cell>
          <cell r="C79" t="str">
            <v>Amphin Mutineer</v>
          </cell>
        </row>
        <row r="80">
          <cell r="B80" t="str">
            <v>Weftstalker Ardent</v>
          </cell>
          <cell r="C80" t="str">
            <v>Weftstalker Ardent</v>
          </cell>
        </row>
        <row r="81">
          <cell r="B81" t="str">
            <v>Reckless Fireweaver</v>
          </cell>
          <cell r="C81" t="str">
            <v>Reckless Fireweaver</v>
          </cell>
        </row>
        <row r="82">
          <cell r="B82" t="str">
            <v>Mayhem Devil</v>
          </cell>
          <cell r="C82" t="str">
            <v>Mayhem Devil</v>
          </cell>
        </row>
        <row r="83">
          <cell r="B83" t="str">
            <v>Xorn</v>
          </cell>
          <cell r="C83" t="str">
            <v>Xorn</v>
          </cell>
        </row>
        <row r="84">
          <cell r="B84" t="str">
            <v>Academy Manufactor</v>
          </cell>
          <cell r="C84" t="str">
            <v>Academy Manufactor</v>
          </cell>
        </row>
        <row r="85">
          <cell r="B85" t="str">
            <v>Professional Face-Breaker</v>
          </cell>
          <cell r="C85" t="str">
            <v>Professional Face-Breaker</v>
          </cell>
        </row>
        <row r="86">
          <cell r="B86" t="str">
            <v>Vaan, Street Thief</v>
          </cell>
          <cell r="C86" t="str">
            <v>Vaan, Street Thief</v>
          </cell>
        </row>
        <row r="87">
          <cell r="B87" t="str">
            <v>Captain Lannery Storm</v>
          </cell>
          <cell r="C87" t="str">
            <v>Back in Town</v>
          </cell>
        </row>
        <row r="88">
          <cell r="B88" t="str">
            <v>Guild Artisan</v>
          </cell>
          <cell r="C88" t="str">
            <v>Guild Artisan</v>
          </cell>
        </row>
        <row r="89">
          <cell r="B89" t="str">
            <v>Storm the Vault</v>
          </cell>
          <cell r="C89" t="str">
            <v>Storm the Vault</v>
          </cell>
        </row>
        <row r="90">
          <cell r="B90" t="str">
            <v>Rain of Riches</v>
          </cell>
          <cell r="C90" t="str">
            <v>Rain of Riches</v>
          </cell>
        </row>
        <row r="91">
          <cell r="B91" t="str">
            <v>Time Sieve</v>
          </cell>
          <cell r="C91" t="str">
            <v>Time Sieve</v>
          </cell>
        </row>
        <row r="92">
          <cell r="B92" t="str">
            <v>Revel in Riches</v>
          </cell>
          <cell r="C92" t="str">
            <v>Revel in Riches</v>
          </cell>
        </row>
        <row r="93">
          <cell r="B93" t="str">
            <v>Exsanguinate</v>
          </cell>
          <cell r="C93" t="str">
            <v>Exsanguinate</v>
          </cell>
        </row>
        <row r="94">
          <cell r="B94" t="str">
            <v>Torment of Hailfire</v>
          </cell>
          <cell r="C94" t="str">
            <v>Torment of Hailfire</v>
          </cell>
        </row>
        <row r="95">
          <cell r="B95" t="str">
            <v>Invert Polarity</v>
          </cell>
          <cell r="C95" t="str">
            <v>Invert Polarity</v>
          </cell>
        </row>
        <row r="96">
          <cell r="B96" t="str">
            <v>Walk the Plank</v>
          </cell>
          <cell r="C96" t="str">
            <v>Walk the Plank</v>
          </cell>
        </row>
        <row r="97">
          <cell r="B97" t="str">
            <v>Go for the Throat</v>
          </cell>
          <cell r="C97" t="str">
            <v>Go for the Throat</v>
          </cell>
        </row>
        <row r="98">
          <cell r="B98" t="str">
            <v>Gale's Redirection</v>
          </cell>
          <cell r="C98" t="str">
            <v>Gale's Redirection</v>
          </cell>
        </row>
        <row r="99">
          <cell r="B99" t="str">
            <v>Wild Ricochet</v>
          </cell>
          <cell r="C99" t="str">
            <v>Wild Ricochet</v>
          </cell>
        </row>
        <row r="100">
          <cell r="B100" t="str">
            <v>Deadeye Tracker</v>
          </cell>
          <cell r="C100" t="str">
            <v>Deadeye Tracker</v>
          </cell>
        </row>
        <row r="101">
          <cell r="B101" t="str">
            <v>Wand of Wonder</v>
          </cell>
          <cell r="C101" t="str">
            <v>Shoot the Sheriff</v>
          </cell>
        </row>
        <row r="102">
          <cell r="B102" t="str">
            <v>Hostage Taker</v>
          </cell>
          <cell r="C102" t="str">
            <v>Hostage Taker</v>
          </cell>
        </row>
      </sheetData>
      <sheetData sheetId="28">
        <row r="2">
          <cell r="G2">
            <v>52</v>
          </cell>
        </row>
        <row r="3">
          <cell r="B3" t="str">
            <v>Fire Lord Zuko</v>
          </cell>
          <cell r="C3" t="str">
            <v>Fire Lord Zuko</v>
          </cell>
        </row>
        <row r="4">
          <cell r="C4" t="str">
            <v>Spinerock Knoll</v>
          </cell>
        </row>
        <row r="5">
          <cell r="C5" t="str">
            <v>Windbrisk Heights</v>
          </cell>
        </row>
        <row r="6">
          <cell r="B6" t="str">
            <v>Pinnacle Monk</v>
          </cell>
          <cell r="C6" t="str">
            <v>Pinnacle Monk</v>
          </cell>
        </row>
        <row r="7">
          <cell r="B7" t="str">
            <v>Rogue's Passage</v>
          </cell>
          <cell r="C7" t="str">
            <v>Rogue's Passage</v>
          </cell>
        </row>
        <row r="8">
          <cell r="C8" t="str">
            <v>Abandoned Air Temple</v>
          </cell>
        </row>
        <row r="9">
          <cell r="C9" t="str">
            <v>Emergence Zone</v>
          </cell>
        </row>
        <row r="10">
          <cell r="C10" t="str">
            <v>Vault of the Archangel</v>
          </cell>
        </row>
        <row r="11">
          <cell r="B11" t="str">
            <v>Legion Leadership</v>
          </cell>
          <cell r="C11" t="str">
            <v>Legion Leadership</v>
          </cell>
        </row>
        <row r="12">
          <cell r="C12" t="str">
            <v>Havengul Laboratory</v>
          </cell>
        </row>
        <row r="13">
          <cell r="C13" t="str">
            <v>Inventors' Fair</v>
          </cell>
        </row>
        <row r="14">
          <cell r="B14" t="str">
            <v>Command Tower</v>
          </cell>
          <cell r="C14" t="str">
            <v>Command Tower</v>
          </cell>
        </row>
        <row r="15">
          <cell r="B15" t="str">
            <v>Exotic Orchard</v>
          </cell>
          <cell r="C15" t="str">
            <v>Exotic Orchard</v>
          </cell>
        </row>
        <row r="16">
          <cell r="C16" t="str">
            <v>Nomad Outpost</v>
          </cell>
        </row>
        <row r="17">
          <cell r="B17" t="str">
            <v>Isolated Chapel</v>
          </cell>
          <cell r="C17" t="str">
            <v>Isolated Chapel</v>
          </cell>
        </row>
        <row r="18">
          <cell r="B18" t="str">
            <v>Clifftop Retreat</v>
          </cell>
          <cell r="C18" t="str">
            <v>Clifftop Retreat</v>
          </cell>
        </row>
        <row r="19">
          <cell r="C19" t="str">
            <v>Dragonskull Summit</v>
          </cell>
        </row>
        <row r="20">
          <cell r="C20" t="str">
            <v>Smoldering Marsh</v>
          </cell>
        </row>
        <row r="21">
          <cell r="C21" t="str">
            <v>Billiard Room</v>
          </cell>
        </row>
        <row r="22">
          <cell r="C22" t="str">
            <v>Plains</v>
          </cell>
        </row>
        <row r="23">
          <cell r="C23" t="str">
            <v>Plains</v>
          </cell>
        </row>
        <row r="24">
          <cell r="C24" t="str">
            <v>Plains</v>
          </cell>
        </row>
        <row r="25">
          <cell r="C25" t="str">
            <v>Plains</v>
          </cell>
        </row>
        <row r="26">
          <cell r="C26" t="str">
            <v>Plains</v>
          </cell>
        </row>
        <row r="27">
          <cell r="C27" t="str">
            <v>Plains</v>
          </cell>
        </row>
        <row r="28">
          <cell r="C28" t="str">
            <v>Swamp</v>
          </cell>
        </row>
        <row r="29">
          <cell r="C29" t="str">
            <v>Swamp</v>
          </cell>
        </row>
        <row r="30">
          <cell r="C30" t="str">
            <v>Swamp</v>
          </cell>
        </row>
        <row r="31">
          <cell r="C31" t="str">
            <v>Swamp</v>
          </cell>
        </row>
        <row r="32">
          <cell r="C32" t="str">
            <v>Swamp</v>
          </cell>
        </row>
        <row r="33">
          <cell r="C33" t="str">
            <v>Mountain</v>
          </cell>
        </row>
        <row r="34">
          <cell r="C34" t="str">
            <v>Mountain</v>
          </cell>
        </row>
        <row r="35">
          <cell r="C35" t="str">
            <v>Mountain</v>
          </cell>
        </row>
        <row r="36">
          <cell r="C36" t="str">
            <v>Mountain</v>
          </cell>
        </row>
        <row r="37">
          <cell r="C37" t="str">
            <v>Mountain</v>
          </cell>
        </row>
        <row r="38">
          <cell r="C38" t="str">
            <v>Mountain</v>
          </cell>
        </row>
        <row r="39">
          <cell r="B39" t="str">
            <v>Xantcha, Sleeper Agent</v>
          </cell>
          <cell r="C39" t="str">
            <v>Xantcha, Sleeper Agent</v>
          </cell>
        </row>
        <row r="40">
          <cell r="B40" t="str">
            <v>Obsessive Pursuit</v>
          </cell>
          <cell r="C40" t="str">
            <v>Obsessive Pursuit</v>
          </cell>
        </row>
        <row r="41">
          <cell r="B41" t="str">
            <v>Wojek Investigator</v>
          </cell>
          <cell r="C41" t="str">
            <v>Wojek Investigator</v>
          </cell>
        </row>
        <row r="42">
          <cell r="C42" t="str">
            <v>Sophina, Spearsage Deserter</v>
          </cell>
        </row>
        <row r="43">
          <cell r="B43" t="str">
            <v>Thorough Investigation</v>
          </cell>
          <cell r="C43" t="str">
            <v>Thorough Investigation</v>
          </cell>
        </row>
        <row r="44">
          <cell r="B44" t="str">
            <v>Sin Prodder</v>
          </cell>
          <cell r="C44" t="str">
            <v>Merchant of Truth</v>
          </cell>
        </row>
        <row r="45">
          <cell r="B45" t="str">
            <v>Azula, On the Hunt</v>
          </cell>
          <cell r="C45" t="str">
            <v>Azula, On the Hunt</v>
          </cell>
        </row>
        <row r="46">
          <cell r="C46" t="str">
            <v>Raven Eagle</v>
          </cell>
        </row>
        <row r="47">
          <cell r="B47" t="str">
            <v>Horizon Stone</v>
          </cell>
          <cell r="C47" t="str">
            <v>Horizon Stone</v>
          </cell>
        </row>
        <row r="48">
          <cell r="B48" t="str">
            <v>Ashling, Flame Dancer</v>
          </cell>
          <cell r="C48" t="str">
            <v>Ashling, Flame Dancer</v>
          </cell>
        </row>
        <row r="49">
          <cell r="B49" t="str">
            <v>Electro, Assaulting Battery</v>
          </cell>
          <cell r="C49" t="str">
            <v>Electro, Assaulting Battery</v>
          </cell>
        </row>
        <row r="50">
          <cell r="C50" t="str">
            <v>Leyline Tyrant</v>
          </cell>
        </row>
        <row r="51">
          <cell r="C51" t="str">
            <v>Swords to Plowshares</v>
          </cell>
        </row>
        <row r="52">
          <cell r="C52" t="str">
            <v>Path to Exile</v>
          </cell>
        </row>
        <row r="53">
          <cell r="B53" t="str">
            <v>Chaos Warp</v>
          </cell>
          <cell r="C53" t="str">
            <v>Chaos Warp</v>
          </cell>
        </row>
        <row r="54">
          <cell r="C54" t="str">
            <v>Generous Gift</v>
          </cell>
        </row>
        <row r="55">
          <cell r="C55" t="str">
            <v>Anguished Unmaking</v>
          </cell>
        </row>
        <row r="56">
          <cell r="C56" t="str">
            <v>Stroke of Midnight</v>
          </cell>
        </row>
        <row r="57">
          <cell r="C57" t="str">
            <v>Rakdos Charm</v>
          </cell>
        </row>
        <row r="58">
          <cell r="C58" t="str">
            <v>Boros Charm</v>
          </cell>
        </row>
        <row r="59">
          <cell r="B59" t="str">
            <v>Enter the Avatar State</v>
          </cell>
          <cell r="C59" t="str">
            <v>Enter the Avatar State</v>
          </cell>
        </row>
        <row r="60">
          <cell r="C60" t="str">
            <v>Shelter</v>
          </cell>
        </row>
        <row r="61">
          <cell r="B61" t="str">
            <v>Gods Willing</v>
          </cell>
          <cell r="C61" t="str">
            <v>Gods Willing</v>
          </cell>
        </row>
        <row r="62">
          <cell r="C62" t="str">
            <v>Debt of Loyalty</v>
          </cell>
        </row>
        <row r="63">
          <cell r="B63" t="str">
            <v>Boon of Safety</v>
          </cell>
          <cell r="C63" t="str">
            <v>Boon of Safety</v>
          </cell>
        </row>
        <row r="64">
          <cell r="C64" t="str">
            <v>Ultimate Magic: Holy</v>
          </cell>
        </row>
        <row r="65">
          <cell r="B65" t="str">
            <v>Airbending Lesson</v>
          </cell>
          <cell r="C65" t="str">
            <v>Airbending Lesson</v>
          </cell>
        </row>
        <row r="66">
          <cell r="B66" t="str">
            <v>Airbender's Reversal</v>
          </cell>
          <cell r="C66" t="str">
            <v>Airbender's Reversal</v>
          </cell>
        </row>
        <row r="67">
          <cell r="C67" t="str">
            <v>Monk Gyatso</v>
          </cell>
        </row>
        <row r="68">
          <cell r="B68" t="str">
            <v>Swiftfoot Boots</v>
          </cell>
          <cell r="C68" t="str">
            <v>Swiftfoot Boots</v>
          </cell>
        </row>
        <row r="69">
          <cell r="C69" t="str">
            <v>Lightning Greaves</v>
          </cell>
        </row>
        <row r="70">
          <cell r="B70" t="str">
            <v>Damn</v>
          </cell>
          <cell r="C70" t="str">
            <v>Damn</v>
          </cell>
        </row>
        <row r="71">
          <cell r="C71" t="str">
            <v>Blasphemous Act</v>
          </cell>
        </row>
        <row r="72">
          <cell r="C72" t="str">
            <v>Avatar's Wrath</v>
          </cell>
        </row>
        <row r="73">
          <cell r="B73" t="str">
            <v>Sunforger</v>
          </cell>
          <cell r="C73" t="str">
            <v>Sunforger</v>
          </cell>
        </row>
        <row r="74">
          <cell r="C74" t="str">
            <v>Vedalken Orrery</v>
          </cell>
        </row>
        <row r="75">
          <cell r="B75" t="str">
            <v>Fire Nation Attacks</v>
          </cell>
          <cell r="C75" t="str">
            <v>Norin the Wary</v>
          </cell>
        </row>
        <row r="76">
          <cell r="B76" t="str">
            <v>Vindictive Warden</v>
          </cell>
          <cell r="C76" t="str">
            <v>Pyrohemia</v>
          </cell>
        </row>
        <row r="77">
          <cell r="C77" t="str">
            <v>Chaos Wand</v>
          </cell>
        </row>
        <row r="78">
          <cell r="B78" t="str">
            <v>Barkform Harvester</v>
          </cell>
          <cell r="C78" t="str">
            <v>Headliner Scarlett</v>
          </cell>
        </row>
        <row r="79">
          <cell r="B79" t="str">
            <v>Wand of Wonder</v>
          </cell>
          <cell r="C79" t="str">
            <v>Wand of Wonder</v>
          </cell>
        </row>
        <row r="80">
          <cell r="B80" t="str">
            <v>Isshin, two Heavens as One</v>
          </cell>
          <cell r="C80" t="str">
            <v>Isshin, two Heavens as One</v>
          </cell>
        </row>
        <row r="81">
          <cell r="C81" t="str">
            <v>Firebender Ascension</v>
          </cell>
        </row>
        <row r="82">
          <cell r="C82" t="str">
            <v>Windcrag Siege</v>
          </cell>
        </row>
        <row r="83">
          <cell r="B83" t="str">
            <v>Obsidian Fireheart</v>
          </cell>
          <cell r="C83" t="str">
            <v>Obsidian Fireheart</v>
          </cell>
        </row>
        <row r="84">
          <cell r="C84" t="str">
            <v>Eight-and-a-Half-Tails</v>
          </cell>
        </row>
        <row r="85">
          <cell r="C85" t="str">
            <v>Dream Devourer</v>
          </cell>
        </row>
        <row r="86">
          <cell r="C86" t="str">
            <v>Party Thrasher</v>
          </cell>
        </row>
        <row r="87">
          <cell r="C87" t="str">
            <v>Anim Pakal, Thousandth Moon</v>
          </cell>
        </row>
        <row r="88">
          <cell r="B88" t="str">
            <v>Pia Nalaar, Consul of Revival</v>
          </cell>
          <cell r="C88" t="str">
            <v>Pia Nalaar, Consul of Revival</v>
          </cell>
        </row>
        <row r="89">
          <cell r="B89" t="str">
            <v>Monastery Mentor</v>
          </cell>
          <cell r="C89" t="str">
            <v>Monastery Mentor</v>
          </cell>
        </row>
        <row r="90">
          <cell r="C90" t="str">
            <v>Iraxxa, Empress of Mars</v>
          </cell>
        </row>
        <row r="91">
          <cell r="C91" t="str">
            <v>Cunning Rhetoric</v>
          </cell>
        </row>
        <row r="92">
          <cell r="B92" t="str">
            <v>Visions of Phyrexia</v>
          </cell>
          <cell r="C92" t="str">
            <v>The Legend of Roku</v>
          </cell>
        </row>
        <row r="93">
          <cell r="B93" t="str">
            <v>Inti, Seneschal of the Sun</v>
          </cell>
          <cell r="C93" t="str">
            <v>Inti, Seneschal of the Sun</v>
          </cell>
        </row>
        <row r="94">
          <cell r="B94" t="str">
            <v>Decadent Dragon</v>
          </cell>
          <cell r="C94" t="str">
            <v>Decadent Dragon</v>
          </cell>
        </row>
        <row r="95">
          <cell r="B95" t="str">
            <v>Dragonhawk, Fate's Tempest</v>
          </cell>
          <cell r="C95" t="str">
            <v>Long-Range Sensor</v>
          </cell>
        </row>
        <row r="96">
          <cell r="B96" t="str">
            <v>Zuko, Exiled Prince</v>
          </cell>
          <cell r="C96" t="str">
            <v>Zuko, Exiled Prince</v>
          </cell>
        </row>
        <row r="97">
          <cell r="B97" t="str">
            <v>Tavern Brawler</v>
          </cell>
          <cell r="C97" t="str">
            <v>Tavern Brawler</v>
          </cell>
        </row>
        <row r="98">
          <cell r="B98" t="str">
            <v>Solstice Revelations</v>
          </cell>
          <cell r="C98" t="str">
            <v>Rose, Cutthroat Raider</v>
          </cell>
        </row>
        <row r="99">
          <cell r="B99" t="str">
            <v>Brazen Cannonade</v>
          </cell>
          <cell r="C99" t="str">
            <v>Prosper, Tome-Bound</v>
          </cell>
        </row>
        <row r="100">
          <cell r="C100" t="str">
            <v>Cait Sith, Fortune Teller</v>
          </cell>
        </row>
        <row r="101">
          <cell r="B101" t="str">
            <v>Commander Liara Portyr</v>
          </cell>
          <cell r="C101" t="str">
            <v>Commander Liara Portyr</v>
          </cell>
        </row>
        <row r="102">
          <cell r="C102" t="str">
            <v>Bonehoard Dracosaur</v>
          </cell>
        </row>
      </sheetData>
      <sheetData sheetId="29">
        <row r="2">
          <cell r="G2">
            <v>86</v>
          </cell>
        </row>
        <row r="3">
          <cell r="C3" t="str">
            <v>Tana, the Bloodsower</v>
          </cell>
        </row>
        <row r="4">
          <cell r="C4" t="str">
            <v>Tymna the Weaver</v>
          </cell>
        </row>
        <row r="5">
          <cell r="C5" t="str">
            <v>Kabira Takedown</v>
          </cell>
        </row>
        <row r="6">
          <cell r="C6" t="str">
            <v>Vault of the Archangel</v>
          </cell>
        </row>
        <row r="7">
          <cell r="C7" t="str">
            <v>Sundering Eruption</v>
          </cell>
        </row>
        <row r="8">
          <cell r="B8" t="str">
            <v>Command Tower</v>
          </cell>
          <cell r="C8" t="str">
            <v>Command Tower</v>
          </cell>
        </row>
        <row r="9">
          <cell r="B9" t="str">
            <v>Exotic Orchard</v>
          </cell>
          <cell r="C9" t="str">
            <v>Exotic Orchard</v>
          </cell>
        </row>
        <row r="10">
          <cell r="C10" t="str">
            <v>Brushland</v>
          </cell>
        </row>
        <row r="11">
          <cell r="C11" t="str">
            <v>Battlefield Forge</v>
          </cell>
        </row>
        <row r="12">
          <cell r="C12" t="str">
            <v>Llanowar Wastes</v>
          </cell>
        </row>
        <row r="13">
          <cell r="C13" t="str">
            <v>Caves of Koilos</v>
          </cell>
        </row>
        <row r="14">
          <cell r="C14" t="str">
            <v>Cinder Glade</v>
          </cell>
        </row>
        <row r="15">
          <cell r="C15" t="str">
            <v>Canopy Vista</v>
          </cell>
        </row>
        <row r="16">
          <cell r="C16" t="str">
            <v>Smoldering Marsh</v>
          </cell>
        </row>
        <row r="17">
          <cell r="C17" t="str">
            <v>Radiant Summit</v>
          </cell>
        </row>
        <row r="18">
          <cell r="C18" t="str">
            <v>Sunpetal Grove</v>
          </cell>
        </row>
        <row r="19">
          <cell r="C19" t="str">
            <v>Isolated Chapel</v>
          </cell>
        </row>
        <row r="20">
          <cell r="C20" t="str">
            <v>Woodland Cemetery</v>
          </cell>
        </row>
        <row r="21">
          <cell r="B21" t="str">
            <v>Rootbound Crag</v>
          </cell>
          <cell r="C21" t="str">
            <v>Rootbound Crag</v>
          </cell>
        </row>
        <row r="22">
          <cell r="C22" t="str">
            <v>Dragonskull Summit</v>
          </cell>
        </row>
        <row r="23">
          <cell r="C23" t="str">
            <v>Clifftop Retreat</v>
          </cell>
        </row>
        <row r="24">
          <cell r="C24" t="str">
            <v>Mountain</v>
          </cell>
        </row>
        <row r="25">
          <cell r="C25" t="str">
            <v>Mountain</v>
          </cell>
        </row>
        <row r="26">
          <cell r="C26" t="str">
            <v>Mountain</v>
          </cell>
        </row>
        <row r="27">
          <cell r="C27" t="str">
            <v>Mountain</v>
          </cell>
        </row>
        <row r="28">
          <cell r="C28" t="str">
            <v>Swamp</v>
          </cell>
        </row>
        <row r="29">
          <cell r="C29" t="str">
            <v>Swamp</v>
          </cell>
        </row>
        <row r="30">
          <cell r="C30" t="str">
            <v>Swamp</v>
          </cell>
        </row>
        <row r="31">
          <cell r="C31" t="str">
            <v>Swamp</v>
          </cell>
        </row>
        <row r="32">
          <cell r="C32" t="str">
            <v>Plains</v>
          </cell>
        </row>
        <row r="33">
          <cell r="C33" t="str">
            <v>Plains</v>
          </cell>
        </row>
        <row r="34">
          <cell r="C34" t="str">
            <v>Plains</v>
          </cell>
        </row>
        <row r="35">
          <cell r="C35" t="str">
            <v>Plains</v>
          </cell>
        </row>
        <row r="36">
          <cell r="C36" t="str">
            <v>Forest</v>
          </cell>
        </row>
        <row r="37">
          <cell r="C37" t="str">
            <v>Forest</v>
          </cell>
        </row>
        <row r="38">
          <cell r="C38" t="str">
            <v>Forest</v>
          </cell>
        </row>
        <row r="39">
          <cell r="C39" t="str">
            <v>Forest</v>
          </cell>
        </row>
        <row r="40">
          <cell r="B40" t="str">
            <v>Welcoming Vampire</v>
          </cell>
          <cell r="C40" t="str">
            <v>Welcoming Vampire</v>
          </cell>
        </row>
        <row r="41">
          <cell r="B41" t="str">
            <v>Weatherlight Compleated</v>
          </cell>
          <cell r="C41" t="str">
            <v>Water Tribe Rallier</v>
          </cell>
        </row>
        <row r="42">
          <cell r="B42" t="str">
            <v>Morbid Opportunist</v>
          </cell>
          <cell r="C42" t="str">
            <v>Morbid Opportunist</v>
          </cell>
        </row>
        <row r="43">
          <cell r="B43" t="str">
            <v>Congregation at Dawn</v>
          </cell>
          <cell r="C43" t="str">
            <v>Teysa, Opulent Oligarch</v>
          </cell>
        </row>
        <row r="44">
          <cell r="B44" t="str">
            <v>Shapers' Sanctuary</v>
          </cell>
          <cell r="C44" t="str">
            <v>Ohran Frostfang</v>
          </cell>
        </row>
        <row r="45">
          <cell r="B45" t="str">
            <v>Bygone Bishop</v>
          </cell>
          <cell r="C45" t="str">
            <v>Zurgo Stormrender</v>
          </cell>
        </row>
        <row r="46">
          <cell r="B46" t="str">
            <v>Tocasia's Welcome</v>
          </cell>
          <cell r="C46" t="str">
            <v>Tocasia's Welcome</v>
          </cell>
        </row>
        <row r="47">
          <cell r="B47" t="str">
            <v>Moldervine Reclamation</v>
          </cell>
          <cell r="C47" t="str">
            <v>Bre of Clan Stoutarm</v>
          </cell>
        </row>
        <row r="48">
          <cell r="B48" t="str">
            <v>Rumor Gatherer</v>
          </cell>
          <cell r="C48" t="str">
            <v>Rumor Gatherer</v>
          </cell>
        </row>
        <row r="49">
          <cell r="B49" t="str">
            <v>Darkstar Augur</v>
          </cell>
          <cell r="C49" t="str">
            <v>Darkstar Augur</v>
          </cell>
        </row>
        <row r="50">
          <cell r="B50" t="str">
            <v>The Hunger Tide Rises</v>
          </cell>
          <cell r="C50" t="str">
            <v>Aurelia, the Law Above</v>
          </cell>
        </row>
        <row r="51">
          <cell r="B51" t="str">
            <v>Peregrin Tuk</v>
          </cell>
          <cell r="C51" t="str">
            <v>Toski, Bearer of Secrets</v>
          </cell>
        </row>
        <row r="52">
          <cell r="B52" t="str">
            <v>Deathreap Ritual</v>
          </cell>
          <cell r="C52" t="str">
            <v>Arabella, Abandoned Doll</v>
          </cell>
        </row>
        <row r="53">
          <cell r="C53" t="str">
            <v>Within Range</v>
          </cell>
        </row>
        <row r="54">
          <cell r="B54" t="str">
            <v>Commissar Severina Raine</v>
          </cell>
          <cell r="C54" t="str">
            <v>Commissar Severina Raine</v>
          </cell>
        </row>
        <row r="55">
          <cell r="C55" t="str">
            <v>Mishra, Claimed by Gix</v>
          </cell>
        </row>
        <row r="56">
          <cell r="C56" t="str">
            <v>Brutal Hordechief</v>
          </cell>
        </row>
        <row r="57">
          <cell r="C57" t="str">
            <v>Bedlam</v>
          </cell>
        </row>
        <row r="58">
          <cell r="C58" t="str">
            <v>Zurgo, Thunder's Decree</v>
          </cell>
        </row>
        <row r="59">
          <cell r="C59" t="str">
            <v>Mardu Ascendancy</v>
          </cell>
        </row>
        <row r="60">
          <cell r="C60" t="str">
            <v>Myrel, Shield of Argive</v>
          </cell>
        </row>
        <row r="61">
          <cell r="C61" t="str">
            <v>Skyknight Vanguard</v>
          </cell>
        </row>
        <row r="62">
          <cell r="C62" t="str">
            <v>Adeline, Resplendent Cathar</v>
          </cell>
        </row>
        <row r="63">
          <cell r="C63" t="str">
            <v>Caesar, Legion's Emperor</v>
          </cell>
        </row>
        <row r="64">
          <cell r="C64" t="str">
            <v>Dollmaker's Shop // Porcelain Gallery</v>
          </cell>
        </row>
        <row r="65">
          <cell r="C65" t="str">
            <v>Ainok Strike Leader</v>
          </cell>
        </row>
        <row r="66">
          <cell r="C66" t="str">
            <v>Anim Pakal, Thousandth Moon</v>
          </cell>
        </row>
        <row r="67">
          <cell r="C67" t="str">
            <v>Kambal, Profiteering Mayor</v>
          </cell>
        </row>
        <row r="68">
          <cell r="C68" t="str">
            <v>Bitterbloom Bearer</v>
          </cell>
        </row>
        <row r="69">
          <cell r="C69" t="str">
            <v>Beifong's Bounty Hunters</v>
          </cell>
        </row>
        <row r="70">
          <cell r="B70" t="str">
            <v>Chatterfang, Squirrel General</v>
          </cell>
          <cell r="C70" t="str">
            <v>Chatterfang, Squirrel General</v>
          </cell>
        </row>
        <row r="71">
          <cell r="C71" t="str">
            <v>Sinkhole Surveyor</v>
          </cell>
        </row>
        <row r="72">
          <cell r="C72" t="str">
            <v>Loyal Apprentice</v>
          </cell>
        </row>
        <row r="73">
          <cell r="C73" t="str">
            <v>Veteran Soldier</v>
          </cell>
        </row>
        <row r="74">
          <cell r="C74" t="str">
            <v>Kinscaer Sentry</v>
          </cell>
        </row>
        <row r="75">
          <cell r="C75" t="str">
            <v>Rabble Rousing</v>
          </cell>
        </row>
        <row r="76">
          <cell r="C76" t="str">
            <v>Oketra's Monument</v>
          </cell>
        </row>
        <row r="77">
          <cell r="C77" t="str">
            <v>Searslicer Goblin</v>
          </cell>
        </row>
        <row r="78">
          <cell r="C78" t="str">
            <v>Mahadi, Emporium Master</v>
          </cell>
        </row>
        <row r="79">
          <cell r="C79" t="str">
            <v>Annie Joins Up</v>
          </cell>
        </row>
        <row r="80">
          <cell r="C80" t="str">
            <v>Teysa Karlov</v>
          </cell>
        </row>
        <row r="81">
          <cell r="C81" t="str">
            <v>Wispdrinker Vampire</v>
          </cell>
        </row>
        <row r="82">
          <cell r="C82" t="str">
            <v>Isshin, Two Heavens as One</v>
          </cell>
        </row>
        <row r="83">
          <cell r="C83" t="str">
            <v>Firebender Ascension</v>
          </cell>
        </row>
        <row r="84">
          <cell r="C84" t="str">
            <v>Windcrag Siege</v>
          </cell>
        </row>
        <row r="85">
          <cell r="C85" t="str">
            <v>Behind the Scenes</v>
          </cell>
        </row>
        <row r="86">
          <cell r="C86" t="str">
            <v>Phyrexian Dragon Engine</v>
          </cell>
        </row>
        <row r="87">
          <cell r="B87" t="str">
            <v>MacCready, Lamplight Mayor</v>
          </cell>
          <cell r="C87" t="str">
            <v>MacCready, Lamplight Mayor</v>
          </cell>
        </row>
        <row r="88">
          <cell r="C88" t="str">
            <v>Lagomos, Hand of Hatred</v>
          </cell>
        </row>
        <row r="89">
          <cell r="C89" t="str">
            <v>Lurrus of the Dream-Den</v>
          </cell>
        </row>
        <row r="90">
          <cell r="B90" t="str">
            <v>Lotho, Corrupt Shirriff</v>
          </cell>
          <cell r="C90" t="str">
            <v>Lotho, Corrupt Shirriff</v>
          </cell>
        </row>
        <row r="91">
          <cell r="C91" t="str">
            <v>Alesha, Who Smiles at Death</v>
          </cell>
        </row>
        <row r="92">
          <cell r="B92" t="str">
            <v>Slimefoot and Squee</v>
          </cell>
          <cell r="C92" t="str">
            <v>Slimefoot and Squee</v>
          </cell>
        </row>
        <row r="93">
          <cell r="C93" t="str">
            <v>Aura Mutation</v>
          </cell>
        </row>
        <row r="94">
          <cell r="C94" t="str">
            <v>Artifact Mutation</v>
          </cell>
        </row>
        <row r="95">
          <cell r="C95" t="str">
            <v>Elspeth, Sun's Champion</v>
          </cell>
        </row>
        <row r="96">
          <cell r="C96" t="str">
            <v>Teysa, Orzhov Scion</v>
          </cell>
        </row>
        <row r="97">
          <cell r="C97" t="str">
            <v>The Battle of Bywater</v>
          </cell>
        </row>
        <row r="98">
          <cell r="C98" t="str">
            <v>Dusk // Dawn</v>
          </cell>
        </row>
        <row r="99">
          <cell r="C99" t="str">
            <v>Curious Farm Animals</v>
          </cell>
        </row>
        <row r="100">
          <cell r="C100" t="str">
            <v>Raven Eagle</v>
          </cell>
        </row>
        <row r="101">
          <cell r="B101" t="str">
            <v>Ravenous Chupacabra</v>
          </cell>
          <cell r="C101" t="str">
            <v>Ravenous Chupacabra</v>
          </cell>
        </row>
        <row r="102">
          <cell r="C102" t="str">
            <v>Assassin's Trophy</v>
          </cell>
        </row>
      </sheetData>
      <sheetData sheetId="30">
        <row r="2">
          <cell r="G2">
            <v>23</v>
          </cell>
        </row>
        <row r="3">
          <cell r="B3" t="str">
            <v>Auntie Ool, Cursewretch</v>
          </cell>
          <cell r="C3" t="str">
            <v>Auntie Ool, Cursewretch</v>
          </cell>
        </row>
        <row r="4">
          <cell r="B4" t="str">
            <v>Exotic Orchard</v>
          </cell>
          <cell r="C4" t="str">
            <v>Exotic Orchard</v>
          </cell>
        </row>
        <row r="5">
          <cell r="B5" t="str">
            <v>Command Tower</v>
          </cell>
          <cell r="C5" t="str">
            <v>Command Tower</v>
          </cell>
        </row>
        <row r="6">
          <cell r="B6" t="str">
            <v>Path of Ancestry</v>
          </cell>
          <cell r="C6" t="str">
            <v>Path of Ancestry</v>
          </cell>
        </row>
        <row r="7">
          <cell r="B7" t="str">
            <v>Rootbound Crag</v>
          </cell>
          <cell r="C7" t="str">
            <v>Rootbound Crag</v>
          </cell>
        </row>
        <row r="8">
          <cell r="B8" t="str">
            <v>Dragonskull Summit</v>
          </cell>
          <cell r="C8" t="str">
            <v>Dragonskull Summit</v>
          </cell>
        </row>
        <row r="9">
          <cell r="B9" t="str">
            <v>Woodland Cemetery</v>
          </cell>
          <cell r="C9" t="str">
            <v>Woodland Cemetery</v>
          </cell>
        </row>
        <row r="10">
          <cell r="B10" t="str">
            <v>Festering Thicket</v>
          </cell>
          <cell r="C10" t="str">
            <v>Festering Thicket</v>
          </cell>
        </row>
        <row r="11">
          <cell r="B11" t="str">
            <v>Sheltered Thicket</v>
          </cell>
          <cell r="C11" t="str">
            <v>Sheltered Thicket</v>
          </cell>
        </row>
        <row r="12">
          <cell r="B12" t="str">
            <v>Canyon Slough</v>
          </cell>
          <cell r="C12" t="str">
            <v>Canyon Slough</v>
          </cell>
        </row>
        <row r="13">
          <cell r="B13" t="str">
            <v>Vernal Fen</v>
          </cell>
          <cell r="C13" t="str">
            <v>Vernal Fen</v>
          </cell>
        </row>
        <row r="14">
          <cell r="B14" t="str">
            <v>Smoldering Marsh</v>
          </cell>
          <cell r="C14" t="str">
            <v>Smoldering Marsh</v>
          </cell>
        </row>
        <row r="15">
          <cell r="B15" t="str">
            <v>Cinder Glade</v>
          </cell>
          <cell r="C15" t="str">
            <v>Cinder Glade</v>
          </cell>
        </row>
        <row r="16">
          <cell r="B16" t="str">
            <v>Rakdos Carnarium</v>
          </cell>
          <cell r="C16" t="str">
            <v>Rakdos Carnarium</v>
          </cell>
        </row>
        <row r="17">
          <cell r="B17" t="str">
            <v>Golgari Rot Farm</v>
          </cell>
          <cell r="C17" t="str">
            <v>Golgari Rot Farm</v>
          </cell>
        </row>
        <row r="18">
          <cell r="B18" t="str">
            <v>Gruul Turf</v>
          </cell>
          <cell r="C18" t="str">
            <v>Gruul Turf</v>
          </cell>
        </row>
        <row r="19">
          <cell r="B19" t="str">
            <v>Savage Lands</v>
          </cell>
          <cell r="C19" t="str">
            <v>Savage Lands</v>
          </cell>
        </row>
        <row r="20">
          <cell r="B20" t="str">
            <v>Nesting Grounds</v>
          </cell>
          <cell r="C20" t="str">
            <v>Nesting Grounds</v>
          </cell>
        </row>
        <row r="21">
          <cell r="B21" t="str">
            <v>Ifnir Deadlands</v>
          </cell>
          <cell r="C21" t="str">
            <v>Ifnir Deadlands</v>
          </cell>
        </row>
        <row r="22">
          <cell r="B22" t="str">
            <v>Swamp</v>
          </cell>
          <cell r="C22" t="str">
            <v>Swamp</v>
          </cell>
        </row>
        <row r="23">
          <cell r="B23" t="str">
            <v>Swamp</v>
          </cell>
          <cell r="C23" t="str">
            <v>Swamp</v>
          </cell>
        </row>
        <row r="24">
          <cell r="B24" t="str">
            <v>Swamp</v>
          </cell>
          <cell r="C24" t="str">
            <v>Swamp</v>
          </cell>
        </row>
        <row r="25">
          <cell r="B25" t="str">
            <v>Swamp</v>
          </cell>
          <cell r="C25" t="str">
            <v>Swamp</v>
          </cell>
        </row>
        <row r="26">
          <cell r="B26" t="str">
            <v>Swamp</v>
          </cell>
          <cell r="C26" t="str">
            <v>Swamp</v>
          </cell>
        </row>
        <row r="27">
          <cell r="B27" t="str">
            <v>Swamp</v>
          </cell>
          <cell r="C27" t="str">
            <v>Swamp</v>
          </cell>
        </row>
        <row r="28">
          <cell r="B28" t="str">
            <v>Swamp</v>
          </cell>
          <cell r="C28" t="str">
            <v>Mountain</v>
          </cell>
        </row>
        <row r="29">
          <cell r="B29" t="str">
            <v>Savage Lands</v>
          </cell>
          <cell r="C29" t="str">
            <v>Mountain</v>
          </cell>
        </row>
        <row r="30">
          <cell r="B30" t="str">
            <v>Mountain</v>
          </cell>
          <cell r="C30" t="str">
            <v>Mountain</v>
          </cell>
        </row>
        <row r="31">
          <cell r="B31" t="str">
            <v>Mountain</v>
          </cell>
          <cell r="C31" t="str">
            <v>Mountain</v>
          </cell>
        </row>
        <row r="32">
          <cell r="B32" t="str">
            <v>Mountain</v>
          </cell>
          <cell r="C32" t="str">
            <v>Mountain</v>
          </cell>
        </row>
        <row r="33">
          <cell r="B33" t="str">
            <v>Mountain</v>
          </cell>
          <cell r="C33" t="str">
            <v>Mountain</v>
          </cell>
        </row>
        <row r="34">
          <cell r="B34" t="str">
            <v>Forest</v>
          </cell>
          <cell r="C34" t="str">
            <v>Forest</v>
          </cell>
        </row>
        <row r="35">
          <cell r="B35" t="str">
            <v>Forest</v>
          </cell>
          <cell r="C35" t="str">
            <v>Forest</v>
          </cell>
        </row>
        <row r="36">
          <cell r="B36" t="str">
            <v>Forest</v>
          </cell>
          <cell r="C36" t="str">
            <v>Forest</v>
          </cell>
        </row>
        <row r="37">
          <cell r="B37" t="str">
            <v>Forest</v>
          </cell>
          <cell r="C37" t="str">
            <v>Forest</v>
          </cell>
        </row>
        <row r="38">
          <cell r="B38" t="str">
            <v>Forest</v>
          </cell>
          <cell r="C38" t="str">
            <v>Forest</v>
          </cell>
        </row>
        <row r="39">
          <cell r="B39" t="str">
            <v>Forest</v>
          </cell>
          <cell r="C39" t="str">
            <v>Forest</v>
          </cell>
        </row>
        <row r="40">
          <cell r="B40" t="str">
            <v>Sol Ring</v>
          </cell>
          <cell r="C40" t="str">
            <v>Sol Ring</v>
          </cell>
        </row>
        <row r="41">
          <cell r="B41" t="str">
            <v>Ignoble Hierarch</v>
          </cell>
          <cell r="C41" t="str">
            <v>Ignoble Hierarch</v>
          </cell>
        </row>
        <row r="42">
          <cell r="B42" t="str">
            <v>Devoted Druid</v>
          </cell>
          <cell r="C42" t="str">
            <v>Devoted Druid</v>
          </cell>
        </row>
        <row r="43">
          <cell r="B43" t="str">
            <v>Arcane Signet</v>
          </cell>
          <cell r="C43" t="str">
            <v>Arcane Signet</v>
          </cell>
        </row>
        <row r="44">
          <cell r="B44" t="str">
            <v>Channeler Initiate</v>
          </cell>
          <cell r="C44" t="str">
            <v>Channeler Initiate</v>
          </cell>
        </row>
        <row r="45">
          <cell r="B45" t="str">
            <v>Wickersmith's Tools</v>
          </cell>
          <cell r="C45" t="str">
            <v>Wickersmith's Tools</v>
          </cell>
        </row>
        <row r="46">
          <cell r="B46" t="str">
            <v>Riveteers Overlook</v>
          </cell>
          <cell r="C46" t="str">
            <v>Birds of Paradise</v>
          </cell>
        </row>
        <row r="47">
          <cell r="B47" t="str">
            <v>Painful Truths</v>
          </cell>
          <cell r="C47" t="str">
            <v>Scuzzback Scrounger</v>
          </cell>
        </row>
        <row r="48">
          <cell r="B48" t="str">
            <v>Golgari Signet</v>
          </cell>
          <cell r="C48" t="str">
            <v>Golgari Signet</v>
          </cell>
        </row>
        <row r="49">
          <cell r="B49" t="str">
            <v>Gruul Signet</v>
          </cell>
          <cell r="C49" t="str">
            <v>Gruul Signet</v>
          </cell>
        </row>
        <row r="50">
          <cell r="B50" t="str">
            <v>Oft-Nabbed Goat</v>
          </cell>
          <cell r="C50" t="str">
            <v>Oft-Nabbed Goat</v>
          </cell>
        </row>
        <row r="51">
          <cell r="B51" t="str">
            <v>The Scorpion God</v>
          </cell>
          <cell r="C51" t="str">
            <v>The Scorpion God</v>
          </cell>
        </row>
        <row r="52">
          <cell r="B52" t="str">
            <v>Eventide's Shadow</v>
          </cell>
          <cell r="C52" t="str">
            <v>Eventide's Shadow</v>
          </cell>
        </row>
        <row r="53">
          <cell r="B53" t="str">
            <v>Massacre Girl, Known Killer</v>
          </cell>
          <cell r="C53" t="str">
            <v>Massacre Girl, Known Killer</v>
          </cell>
        </row>
        <row r="54">
          <cell r="B54" t="str">
            <v>Sinister Gnarlbark</v>
          </cell>
          <cell r="C54" t="str">
            <v>Sinister Gnarlbark</v>
          </cell>
        </row>
        <row r="55">
          <cell r="B55" t="str">
            <v>Harmonize</v>
          </cell>
          <cell r="C55" t="str">
            <v>Generous Patron</v>
          </cell>
        </row>
        <row r="56">
          <cell r="B56" t="str">
            <v>Night's Whisper</v>
          </cell>
          <cell r="C56" t="str">
            <v>Puncture Blast</v>
          </cell>
        </row>
        <row r="57">
          <cell r="B57" t="str">
            <v>Cathartic Reunion</v>
          </cell>
          <cell r="C57" t="str">
            <v>Cinder Strike</v>
          </cell>
        </row>
        <row r="58">
          <cell r="B58" t="str">
            <v>Terminate</v>
          </cell>
          <cell r="C58" t="str">
            <v>Terminate</v>
          </cell>
        </row>
        <row r="59">
          <cell r="B59" t="str">
            <v>Assassin's Trophy</v>
          </cell>
          <cell r="C59" t="str">
            <v>Assassin's Trophy</v>
          </cell>
        </row>
        <row r="60">
          <cell r="B60" t="str">
            <v>Black Sun's Zenith</v>
          </cell>
          <cell r="C60" t="str">
            <v>Black Sun's Zenith</v>
          </cell>
        </row>
        <row r="61">
          <cell r="B61" t="str">
            <v>Putrefy</v>
          </cell>
          <cell r="C61" t="str">
            <v>Putrefy</v>
          </cell>
        </row>
        <row r="62">
          <cell r="B62" t="str">
            <v>Infernal Grasp</v>
          </cell>
          <cell r="C62" t="str">
            <v>Infernal Grasp</v>
          </cell>
        </row>
        <row r="63">
          <cell r="B63" t="str">
            <v>Incremental Blight</v>
          </cell>
          <cell r="C63" t="str">
            <v>Incremental Blight</v>
          </cell>
        </row>
        <row r="64">
          <cell r="B64" t="str">
            <v>Fire Covenant</v>
          </cell>
          <cell r="C64" t="str">
            <v>Cankerbloom</v>
          </cell>
        </row>
        <row r="65">
          <cell r="B65" t="str">
            <v>Wickerbough Elder</v>
          </cell>
          <cell r="C65" t="str">
            <v>Wickerbough Elder</v>
          </cell>
        </row>
        <row r="66">
          <cell r="B66" t="str">
            <v>Chain Reaction</v>
          </cell>
          <cell r="C66" t="str">
            <v>Chain Reaction</v>
          </cell>
        </row>
        <row r="67">
          <cell r="B67" t="str">
            <v>Binding the Old Gods</v>
          </cell>
          <cell r="C67" t="str">
            <v>Binding the Old Gods</v>
          </cell>
        </row>
        <row r="68">
          <cell r="B68" t="str">
            <v>Contagion Clasp</v>
          </cell>
          <cell r="C68" t="str">
            <v>Contagion Clasp</v>
          </cell>
        </row>
        <row r="69">
          <cell r="B69" t="str">
            <v>Hoarder's Greed</v>
          </cell>
          <cell r="C69" t="str">
            <v>Serrated Biskelion</v>
          </cell>
        </row>
        <row r="70">
          <cell r="B70" t="str">
            <v>Tree of Perdition</v>
          </cell>
          <cell r="C70" t="str">
            <v>Persistent Constrictor</v>
          </cell>
        </row>
        <row r="71">
          <cell r="B71" t="str">
            <v>Soul Snuffers</v>
          </cell>
          <cell r="C71" t="str">
            <v>Soul Snuffers</v>
          </cell>
        </row>
        <row r="72">
          <cell r="B72" t="str">
            <v>Cathartic Pyre</v>
          </cell>
          <cell r="C72" t="str">
            <v>Ammit Eternal</v>
          </cell>
        </row>
        <row r="73">
          <cell r="B73" t="str">
            <v>Puppeteer Clique</v>
          </cell>
          <cell r="C73" t="str">
            <v>Contagion Engine</v>
          </cell>
        </row>
        <row r="74">
          <cell r="B74" t="str">
            <v>Terramorphic Expanse</v>
          </cell>
          <cell r="C74" t="str">
            <v>Grim Affliction</v>
          </cell>
        </row>
        <row r="75">
          <cell r="B75" t="str">
            <v>Grave Venerations</v>
          </cell>
          <cell r="C75" t="str">
            <v>Corrosive Mentor</v>
          </cell>
        </row>
        <row r="76">
          <cell r="B76" t="str">
            <v>Blowfly Infestation</v>
          </cell>
          <cell r="C76" t="str">
            <v>Blowfly Infestation</v>
          </cell>
        </row>
        <row r="77">
          <cell r="B77" t="str">
            <v>Dread Tiller</v>
          </cell>
          <cell r="C77" t="str">
            <v>Dread Tiller</v>
          </cell>
        </row>
        <row r="78">
          <cell r="B78" t="str">
            <v>Dusk Urchins</v>
          </cell>
          <cell r="C78" t="str">
            <v>Dusk Urchins</v>
          </cell>
        </row>
        <row r="79">
          <cell r="B79" t="str">
            <v>Skinrender</v>
          </cell>
          <cell r="C79" t="str">
            <v>Skinrender</v>
          </cell>
        </row>
        <row r="80">
          <cell r="B80" t="str">
            <v>Burning Curiosity</v>
          </cell>
          <cell r="C80" t="str">
            <v>Obelisk Spider</v>
          </cell>
        </row>
        <row r="81">
          <cell r="B81" t="str">
            <v>Archfiend of Ifnir</v>
          </cell>
          <cell r="C81" t="str">
            <v>Archfiend of Ifnir</v>
          </cell>
        </row>
        <row r="82">
          <cell r="B82" t="str">
            <v>Grim Poppet</v>
          </cell>
          <cell r="C82" t="str">
            <v>Warren Torchmaster</v>
          </cell>
        </row>
        <row r="83">
          <cell r="B83" t="str">
            <v>The Reaper, King No More</v>
          </cell>
          <cell r="C83" t="str">
            <v>The Reaper, King No More</v>
          </cell>
        </row>
        <row r="84">
          <cell r="B84" t="str">
            <v>Carnifex Demon</v>
          </cell>
          <cell r="C84" t="str">
            <v>Sting-Slinger</v>
          </cell>
        </row>
        <row r="85">
          <cell r="B85" t="str">
            <v>Village Pillagers</v>
          </cell>
          <cell r="C85" t="str">
            <v>Village Pillagers</v>
          </cell>
        </row>
        <row r="86">
          <cell r="B86" t="str">
            <v>Midnight Banshee</v>
          </cell>
          <cell r="C86" t="str">
            <v>Midnight Banshee</v>
          </cell>
        </row>
        <row r="87">
          <cell r="B87" t="str">
            <v>Evolution Sage</v>
          </cell>
          <cell r="C87" t="str">
            <v>Evolution Sage</v>
          </cell>
        </row>
        <row r="88">
          <cell r="B88" t="str">
            <v>Liliana, Death Wielder</v>
          </cell>
          <cell r="C88" t="str">
            <v>Cauldron of Souls</v>
          </cell>
        </row>
        <row r="89">
          <cell r="B89" t="str">
            <v>Hapatra, Vizier of Poisons</v>
          </cell>
          <cell r="C89" t="str">
            <v>Hapatra, Vizier of Poisons</v>
          </cell>
        </row>
        <row r="90">
          <cell r="B90" t="str">
            <v>Lasting Tarfire</v>
          </cell>
          <cell r="C90" t="str">
            <v>Magda, the Hoardmaster</v>
          </cell>
        </row>
        <row r="91">
          <cell r="B91" t="str">
            <v>Persist</v>
          </cell>
          <cell r="C91" t="str">
            <v>Persist</v>
          </cell>
        </row>
        <row r="92">
          <cell r="B92" t="str">
            <v>Ferrafor, Young Yew</v>
          </cell>
          <cell r="C92" t="str">
            <v>Heirloom Auntie</v>
          </cell>
        </row>
        <row r="93">
          <cell r="B93" t="str">
            <v>Aberrant Return</v>
          </cell>
          <cell r="C93" t="str">
            <v>Aberrant Return</v>
          </cell>
        </row>
        <row r="94">
          <cell r="B94" t="str">
            <v>Flourishing Defenses</v>
          </cell>
          <cell r="C94" t="str">
            <v>Flourishing Defenses</v>
          </cell>
        </row>
        <row r="95">
          <cell r="B95" t="str">
            <v>Kulrath Knight</v>
          </cell>
          <cell r="C95" t="str">
            <v>Kulrath Knight</v>
          </cell>
        </row>
        <row r="96">
          <cell r="B96" t="str">
            <v>Necroskitter</v>
          </cell>
          <cell r="C96" t="str">
            <v>Necroskitter</v>
          </cell>
        </row>
        <row r="97">
          <cell r="B97" t="str">
            <v>Glissa Sunslayer</v>
          </cell>
          <cell r="C97" t="str">
            <v>Glissa Sunslayer</v>
          </cell>
        </row>
        <row r="98">
          <cell r="B98" t="str">
            <v>Puca's Covenant</v>
          </cell>
          <cell r="C98" t="str">
            <v>Puca's Covenant</v>
          </cell>
        </row>
        <row r="99">
          <cell r="B99" t="str">
            <v>Everlasting Torment</v>
          </cell>
          <cell r="C99" t="str">
            <v>Everlasting Torment</v>
          </cell>
        </row>
        <row r="100">
          <cell r="B100" t="str">
            <v>Chimil, the Inner Sun</v>
          </cell>
          <cell r="C100" t="str">
            <v>Nest of Scarabs</v>
          </cell>
        </row>
        <row r="101">
          <cell r="B101" t="str">
            <v>Grave Titan</v>
          </cell>
          <cell r="C101" t="str">
            <v>Yawgmoth, Thran Physician</v>
          </cell>
        </row>
        <row r="102">
          <cell r="B102" t="str">
            <v>Vraska, Betrayal's Sting</v>
          </cell>
          <cell r="C102" t="str">
            <v>Dawnhand Dissident</v>
          </cell>
        </row>
      </sheetData>
      <sheetData sheetId="31">
        <row r="2">
          <cell r="G2">
            <v>98</v>
          </cell>
        </row>
        <row r="3">
          <cell r="B3" t="str">
            <v>Thrasios, Triton Hero</v>
          </cell>
          <cell r="C3" t="str">
            <v>Thrasios, Triton Hero</v>
          </cell>
        </row>
        <row r="4">
          <cell r="B4" t="str">
            <v>Vial Smasher the Fierce</v>
          </cell>
          <cell r="C4" t="str">
            <v>Vial Smasher the Fierce</v>
          </cell>
        </row>
        <row r="5">
          <cell r="C5" t="str">
            <v>Reliquary Tower</v>
          </cell>
        </row>
        <row r="6">
          <cell r="C6" t="str">
            <v>Temple of the False God</v>
          </cell>
        </row>
        <row r="7">
          <cell r="C7" t="str">
            <v>Bojuka Bog</v>
          </cell>
        </row>
        <row r="8">
          <cell r="C8" t="str">
            <v>Command Tower</v>
          </cell>
        </row>
        <row r="9">
          <cell r="C9" t="str">
            <v>Exotic Orchard</v>
          </cell>
        </row>
        <row r="10">
          <cell r="C10" t="str">
            <v>Forest</v>
          </cell>
        </row>
        <row r="11">
          <cell r="C11" t="str">
            <v>Forest</v>
          </cell>
        </row>
        <row r="12">
          <cell r="C12" t="str">
            <v>Forest</v>
          </cell>
        </row>
        <row r="13">
          <cell r="C13" t="str">
            <v>Forest</v>
          </cell>
        </row>
        <row r="14">
          <cell r="C14" t="str">
            <v>Forest</v>
          </cell>
        </row>
        <row r="15">
          <cell r="C15" t="str">
            <v>Forest</v>
          </cell>
        </row>
        <row r="16">
          <cell r="C16" t="str">
            <v>Forest</v>
          </cell>
        </row>
        <row r="17">
          <cell r="C17" t="str">
            <v>Forest</v>
          </cell>
        </row>
        <row r="18">
          <cell r="C18" t="str">
            <v>Forest</v>
          </cell>
        </row>
        <row r="19">
          <cell r="C19" t="str">
            <v>Forest</v>
          </cell>
        </row>
        <row r="20">
          <cell r="C20" t="str">
            <v>Forest</v>
          </cell>
        </row>
        <row r="21">
          <cell r="C21" t="str">
            <v>Forest</v>
          </cell>
        </row>
        <row r="22">
          <cell r="C22" t="str">
            <v>Forest</v>
          </cell>
        </row>
        <row r="23">
          <cell r="C23" t="str">
            <v>Swamp</v>
          </cell>
        </row>
        <row r="24">
          <cell r="C24" t="str">
            <v>Swamp</v>
          </cell>
        </row>
        <row r="25">
          <cell r="C25" t="str">
            <v>Swamp</v>
          </cell>
        </row>
        <row r="26">
          <cell r="C26" t="str">
            <v>Swamp</v>
          </cell>
        </row>
        <row r="27">
          <cell r="C27" t="str">
            <v>Swamp</v>
          </cell>
        </row>
        <row r="28">
          <cell r="C28" t="str">
            <v>Swamp</v>
          </cell>
        </row>
        <row r="29">
          <cell r="C29" t="str">
            <v>Island</v>
          </cell>
        </row>
        <row r="30">
          <cell r="C30" t="str">
            <v>Island</v>
          </cell>
        </row>
        <row r="31">
          <cell r="C31" t="str">
            <v>Island</v>
          </cell>
        </row>
        <row r="32">
          <cell r="C32" t="str">
            <v>Island</v>
          </cell>
        </row>
        <row r="33">
          <cell r="C33" t="str">
            <v>Island</v>
          </cell>
        </row>
        <row r="34">
          <cell r="C34" t="str">
            <v>Island</v>
          </cell>
        </row>
        <row r="35">
          <cell r="C35" t="str">
            <v>Island</v>
          </cell>
        </row>
        <row r="36">
          <cell r="C36" t="str">
            <v>Mountain</v>
          </cell>
        </row>
        <row r="37">
          <cell r="C37" t="str">
            <v>Mountain</v>
          </cell>
        </row>
        <row r="38">
          <cell r="C38" t="str">
            <v>Mountain</v>
          </cell>
        </row>
        <row r="39">
          <cell r="C39" t="str">
            <v>Mountain</v>
          </cell>
        </row>
        <row r="40">
          <cell r="C40" t="str">
            <v>Mountain</v>
          </cell>
        </row>
        <row r="41">
          <cell r="C41" t="str">
            <v>Mountain</v>
          </cell>
        </row>
        <row r="42">
          <cell r="C42" t="str">
            <v>Omen of the Hunt</v>
          </cell>
        </row>
        <row r="43">
          <cell r="C43" t="str">
            <v>Archdruid's Charm</v>
          </cell>
        </row>
        <row r="44">
          <cell r="C44" t="str">
            <v>Natural Connection</v>
          </cell>
        </row>
        <row r="45">
          <cell r="C45" t="str">
            <v>Rampant Growth</v>
          </cell>
        </row>
        <row r="46">
          <cell r="C46" t="str">
            <v>Prishe's Wanderings</v>
          </cell>
        </row>
        <row r="47">
          <cell r="C47" t="str">
            <v>Atarka's Command</v>
          </cell>
        </row>
        <row r="48">
          <cell r="C48" t="str">
            <v>Entish Restoration</v>
          </cell>
        </row>
        <row r="49">
          <cell r="C49" t="str">
            <v>The Emperor of Palamecia</v>
          </cell>
        </row>
        <row r="50">
          <cell r="C50" t="str">
            <v>Joint Exploration</v>
          </cell>
        </row>
        <row r="51">
          <cell r="C51" t="str">
            <v>Eureka Moment</v>
          </cell>
        </row>
        <row r="52">
          <cell r="C52" t="str">
            <v>Cycle of Renewal</v>
          </cell>
        </row>
        <row r="53">
          <cell r="C53" t="str">
            <v>Planar Genesis</v>
          </cell>
        </row>
        <row r="54">
          <cell r="C54" t="str">
            <v>Roiling Regrowth</v>
          </cell>
        </row>
        <row r="55">
          <cell r="C55" t="str">
            <v>Harrow</v>
          </cell>
        </row>
        <row r="56">
          <cell r="C56" t="str">
            <v>Growth Spiral</v>
          </cell>
        </row>
        <row r="57">
          <cell r="C57" t="str">
            <v>An Offer you Can't Refuse</v>
          </cell>
        </row>
        <row r="58">
          <cell r="C58" t="str">
            <v>Negate</v>
          </cell>
        </row>
        <row r="59">
          <cell r="C59" t="str">
            <v>Counterspell</v>
          </cell>
        </row>
        <row r="60">
          <cell r="C60" t="str">
            <v>Unwind</v>
          </cell>
        </row>
        <row r="61">
          <cell r="C61" t="str">
            <v>Rewind</v>
          </cell>
        </row>
        <row r="62">
          <cell r="C62" t="str">
            <v>Propaganda</v>
          </cell>
        </row>
        <row r="63">
          <cell r="C63" t="str">
            <v>Aetherize</v>
          </cell>
        </row>
        <row r="64">
          <cell r="C64" t="str">
            <v>Respite</v>
          </cell>
        </row>
        <row r="65">
          <cell r="C65" t="str">
            <v>Jaheira's Respite</v>
          </cell>
        </row>
        <row r="66">
          <cell r="C66" t="str">
            <v>Mystic Confluence</v>
          </cell>
        </row>
        <row r="67">
          <cell r="C67" t="str">
            <v>Bedevil</v>
          </cell>
        </row>
        <row r="68">
          <cell r="C68" t="str">
            <v>Terminate</v>
          </cell>
        </row>
        <row r="69">
          <cell r="C69" t="str">
            <v>Pongify</v>
          </cell>
        </row>
        <row r="70">
          <cell r="C70" t="str">
            <v>Chaos Warp</v>
          </cell>
        </row>
        <row r="71">
          <cell r="C71" t="str">
            <v>Assassin's Trophy</v>
          </cell>
        </row>
        <row r="72">
          <cell r="C72" t="str">
            <v>Abrupt Decay</v>
          </cell>
        </row>
        <row r="73">
          <cell r="C73" t="str">
            <v>Curtain's Call</v>
          </cell>
        </row>
        <row r="74">
          <cell r="C74" t="str">
            <v>Rakdos Charm</v>
          </cell>
        </row>
        <row r="75">
          <cell r="C75" t="str">
            <v>Beast Within</v>
          </cell>
        </row>
        <row r="76">
          <cell r="C76" t="str">
            <v>Krosan Grip</v>
          </cell>
        </row>
        <row r="77">
          <cell r="C77" t="str">
            <v>Endurance</v>
          </cell>
        </row>
        <row r="78">
          <cell r="C78" t="str">
            <v>Deathsprout</v>
          </cell>
        </row>
        <row r="79">
          <cell r="C79" t="str">
            <v>Windgrace's Judgment</v>
          </cell>
        </row>
        <row r="80">
          <cell r="C80" t="str">
            <v>Reality Shift</v>
          </cell>
        </row>
        <row r="81">
          <cell r="C81" t="str">
            <v>Tear Asunder</v>
          </cell>
        </row>
        <row r="82">
          <cell r="C82" t="str">
            <v>Blasphemous Act</v>
          </cell>
        </row>
        <row r="83">
          <cell r="C83" t="str">
            <v>Evacuation</v>
          </cell>
        </row>
        <row r="84">
          <cell r="C84" t="str">
            <v>Comet Storm</v>
          </cell>
        </row>
        <row r="85">
          <cell r="C85" t="str">
            <v>Toxic Deluge</v>
          </cell>
        </row>
        <row r="86">
          <cell r="C86" t="str">
            <v>Culling Ritual</v>
          </cell>
        </row>
        <row r="87">
          <cell r="C87" t="str">
            <v>Perplexing Test</v>
          </cell>
        </row>
        <row r="88">
          <cell r="C88" t="str">
            <v>Inferno</v>
          </cell>
        </row>
        <row r="89">
          <cell r="C89" t="str">
            <v>Hurkyl's Final Meditation</v>
          </cell>
        </row>
        <row r="90">
          <cell r="C90" t="str">
            <v>Exsanguinate</v>
          </cell>
        </row>
        <row r="91">
          <cell r="C91" t="str">
            <v>Guttersnipe</v>
          </cell>
        </row>
        <row r="92">
          <cell r="C92" t="str">
            <v>Black Waltz No. 3</v>
          </cell>
        </row>
        <row r="93">
          <cell r="C93" t="str">
            <v>Coruscation Mage</v>
          </cell>
        </row>
        <row r="94">
          <cell r="C94" t="str">
            <v>Kess, Dissident Mage</v>
          </cell>
        </row>
        <row r="95">
          <cell r="C95" t="str">
            <v>Witherbloom Apprentice</v>
          </cell>
        </row>
        <row r="96">
          <cell r="C96" t="str">
            <v>The Lord of Pain</v>
          </cell>
        </row>
        <row r="97">
          <cell r="C97" t="str">
            <v>Niv-Mizzet, Parun</v>
          </cell>
        </row>
        <row r="98">
          <cell r="C98" t="str">
            <v>Fandaniel, Telophoroi Ascian</v>
          </cell>
        </row>
        <row r="99">
          <cell r="C99" t="str">
            <v>Displacer Kitten</v>
          </cell>
        </row>
        <row r="100">
          <cell r="C100" t="str">
            <v>Kaervek the Merciless</v>
          </cell>
        </row>
        <row r="101">
          <cell r="C101" t="str">
            <v>Rashmi, Eternities Crafter</v>
          </cell>
        </row>
        <row r="102">
          <cell r="C102" t="str">
            <v>Exalted Flamer of Tzeentch</v>
          </cell>
        </row>
      </sheetData>
      <sheetData sheetId="32">
        <row r="2">
          <cell r="G2">
            <v>12</v>
          </cell>
        </row>
        <row r="3">
          <cell r="B3" t="str">
            <v>Jhoira of the Ghitu</v>
          </cell>
          <cell r="C3" t="str">
            <v>Jhoira of the Ghitu</v>
          </cell>
        </row>
        <row r="4">
          <cell r="B4" t="str">
            <v>Spinerock Knoll</v>
          </cell>
          <cell r="C4" t="str">
            <v>Spinerock Knoll</v>
          </cell>
        </row>
        <row r="5">
          <cell r="B5" t="str">
            <v>Reliquary Tower</v>
          </cell>
          <cell r="C5" t="str">
            <v>Reliquary Tower</v>
          </cell>
        </row>
        <row r="6">
          <cell r="B6" t="str">
            <v>Sulfur Falls</v>
          </cell>
          <cell r="C6" t="str">
            <v>Sulfur Falls</v>
          </cell>
        </row>
        <row r="7">
          <cell r="B7" t="str">
            <v>Temple of the False God</v>
          </cell>
          <cell r="C7" t="str">
            <v>Temple of the False God</v>
          </cell>
        </row>
        <row r="8">
          <cell r="B8" t="str">
            <v>Command Tower</v>
          </cell>
          <cell r="C8" t="str">
            <v>Command Tower</v>
          </cell>
        </row>
        <row r="9">
          <cell r="B9" t="str">
            <v>Island</v>
          </cell>
          <cell r="C9" t="str">
            <v>Rivendell</v>
          </cell>
        </row>
        <row r="10">
          <cell r="B10" t="str">
            <v>Island</v>
          </cell>
          <cell r="C10" t="str">
            <v>Mistrise Village</v>
          </cell>
        </row>
        <row r="11">
          <cell r="B11" t="str">
            <v>Island</v>
          </cell>
          <cell r="C11" t="str">
            <v>Agna Qel'a</v>
          </cell>
        </row>
        <row r="12">
          <cell r="B12" t="str">
            <v>Island</v>
          </cell>
          <cell r="C12" t="str">
            <v>Island</v>
          </cell>
        </row>
        <row r="13">
          <cell r="B13" t="str">
            <v>Island</v>
          </cell>
          <cell r="C13" t="str">
            <v>Island</v>
          </cell>
        </row>
        <row r="14">
          <cell r="B14" t="str">
            <v>Island</v>
          </cell>
          <cell r="C14" t="str">
            <v>Island</v>
          </cell>
        </row>
        <row r="15">
          <cell r="B15" t="str">
            <v>Island</v>
          </cell>
          <cell r="C15" t="str">
            <v>Island</v>
          </cell>
        </row>
        <row r="16">
          <cell r="B16" t="str">
            <v>Island</v>
          </cell>
          <cell r="C16" t="str">
            <v>Island</v>
          </cell>
        </row>
        <row r="17">
          <cell r="B17" t="str">
            <v>Island</v>
          </cell>
          <cell r="C17" t="str">
            <v>Island</v>
          </cell>
        </row>
        <row r="18">
          <cell r="B18" t="str">
            <v>Island</v>
          </cell>
          <cell r="C18" t="str">
            <v>Island</v>
          </cell>
        </row>
        <row r="19">
          <cell r="B19" t="str">
            <v>Island</v>
          </cell>
          <cell r="C19" t="str">
            <v>Island</v>
          </cell>
        </row>
        <row r="20">
          <cell r="B20" t="str">
            <v>Island</v>
          </cell>
          <cell r="C20" t="str">
            <v>Island</v>
          </cell>
        </row>
        <row r="21">
          <cell r="B21" t="str">
            <v>Island</v>
          </cell>
          <cell r="C21" t="str">
            <v>Island</v>
          </cell>
        </row>
        <row r="22">
          <cell r="B22" t="str">
            <v>Island</v>
          </cell>
          <cell r="C22" t="str">
            <v>Island</v>
          </cell>
        </row>
        <row r="23">
          <cell r="B23" t="str">
            <v>Island</v>
          </cell>
          <cell r="C23" t="str">
            <v>Island</v>
          </cell>
        </row>
        <row r="24">
          <cell r="B24" t="str">
            <v>Island</v>
          </cell>
          <cell r="C24" t="str">
            <v>Island</v>
          </cell>
        </row>
        <row r="25">
          <cell r="B25" t="str">
            <v>Island</v>
          </cell>
          <cell r="C25" t="str">
            <v>Island</v>
          </cell>
        </row>
        <row r="26">
          <cell r="B26" t="str">
            <v>Island</v>
          </cell>
          <cell r="C26" t="str">
            <v>Island</v>
          </cell>
        </row>
        <row r="27">
          <cell r="B27" t="str">
            <v>Mountain</v>
          </cell>
          <cell r="C27" t="str">
            <v>Mountain</v>
          </cell>
        </row>
        <row r="28">
          <cell r="B28" t="str">
            <v>Mountain</v>
          </cell>
          <cell r="C28" t="str">
            <v>Mountain</v>
          </cell>
        </row>
        <row r="29">
          <cell r="B29" t="str">
            <v>Mountain</v>
          </cell>
          <cell r="C29" t="str">
            <v>Mountain</v>
          </cell>
        </row>
        <row r="30">
          <cell r="B30" t="str">
            <v>Mountain</v>
          </cell>
          <cell r="C30" t="str">
            <v>Mountain</v>
          </cell>
        </row>
        <row r="31">
          <cell r="B31" t="str">
            <v>Mountain</v>
          </cell>
          <cell r="C31" t="str">
            <v>Mountain</v>
          </cell>
        </row>
        <row r="32">
          <cell r="B32" t="str">
            <v>Mountain</v>
          </cell>
          <cell r="C32" t="str">
            <v>Mountain</v>
          </cell>
        </row>
        <row r="33">
          <cell r="B33" t="str">
            <v>Mountain</v>
          </cell>
          <cell r="C33" t="str">
            <v>Mountain</v>
          </cell>
        </row>
        <row r="34">
          <cell r="B34" t="str">
            <v>Mountain</v>
          </cell>
          <cell r="C34" t="str">
            <v>Mountain</v>
          </cell>
        </row>
        <row r="35">
          <cell r="B35" t="str">
            <v>Mountain</v>
          </cell>
          <cell r="C35" t="str">
            <v>Mountain</v>
          </cell>
        </row>
        <row r="36">
          <cell r="B36" t="str">
            <v>Mountain</v>
          </cell>
          <cell r="C36" t="str">
            <v>Mountain</v>
          </cell>
        </row>
        <row r="37">
          <cell r="B37" t="str">
            <v>Mountain</v>
          </cell>
          <cell r="C37" t="str">
            <v>Mountain</v>
          </cell>
        </row>
        <row r="38">
          <cell r="B38" t="str">
            <v>Mountain</v>
          </cell>
          <cell r="C38" t="str">
            <v>Mountain</v>
          </cell>
        </row>
        <row r="39">
          <cell r="B39" t="str">
            <v>Sol Ring</v>
          </cell>
          <cell r="C39" t="str">
            <v>Sol Ring</v>
          </cell>
        </row>
        <row r="40">
          <cell r="B40" t="str">
            <v>Arcane Signet</v>
          </cell>
          <cell r="C40" t="str">
            <v>Arcane Signet</v>
          </cell>
        </row>
        <row r="41">
          <cell r="B41" t="str">
            <v>Izzet Signet</v>
          </cell>
          <cell r="C41" t="str">
            <v>Izzet Signet</v>
          </cell>
        </row>
        <row r="42">
          <cell r="B42" t="str">
            <v>Thought Vessel</v>
          </cell>
          <cell r="C42" t="str">
            <v>Thought Vessel</v>
          </cell>
        </row>
        <row r="43">
          <cell r="B43" t="str">
            <v>Curse of Opulence</v>
          </cell>
          <cell r="C43" t="str">
            <v>Curse of Opulence</v>
          </cell>
        </row>
        <row r="44">
          <cell r="B44" t="str">
            <v>Gilded Lotus</v>
          </cell>
          <cell r="C44" t="str">
            <v>Gilded Lotus</v>
          </cell>
        </row>
        <row r="45">
          <cell r="B45" t="str">
            <v>Wayfarrer's Bauble</v>
          </cell>
          <cell r="C45" t="str">
            <v>Rotating Fireplace</v>
          </cell>
        </row>
        <row r="46">
          <cell r="B46" t="str">
            <v>Sol Talisman</v>
          </cell>
          <cell r="C46" t="str">
            <v>Sol Talisman</v>
          </cell>
        </row>
        <row r="47">
          <cell r="B47" t="str">
            <v>Hedron Archive</v>
          </cell>
          <cell r="C47" t="str">
            <v>Thran Dynamo</v>
          </cell>
        </row>
        <row r="48">
          <cell r="B48" t="str">
            <v>Fire Diamond</v>
          </cell>
          <cell r="C48" t="str">
            <v>Mox Tantalite</v>
          </cell>
        </row>
        <row r="49">
          <cell r="B49" t="str">
            <v>Rhystic Study</v>
          </cell>
          <cell r="C49" t="str">
            <v>Rhystic Study</v>
          </cell>
        </row>
        <row r="50">
          <cell r="B50" t="str">
            <v>Academy Loremaster</v>
          </cell>
          <cell r="C50" t="str">
            <v>Academy Loremaster</v>
          </cell>
        </row>
        <row r="51">
          <cell r="B51" t="str">
            <v>Overflowing Insight</v>
          </cell>
          <cell r="C51" t="str">
            <v>Overflowing Insight</v>
          </cell>
        </row>
        <row r="52">
          <cell r="B52" t="str">
            <v>Arcanis the Omnipotent</v>
          </cell>
          <cell r="C52" t="str">
            <v>Arcanis the Omnipotent</v>
          </cell>
        </row>
        <row r="53">
          <cell r="B53" t="str">
            <v>Aeon Chronicler</v>
          </cell>
          <cell r="C53" t="str">
            <v>Rise of the Eldrazi</v>
          </cell>
        </row>
        <row r="54">
          <cell r="B54" t="str">
            <v>Niv-Mizzet, Parun</v>
          </cell>
          <cell r="C54" t="str">
            <v>Niv-Mizzet, Parun</v>
          </cell>
        </row>
        <row r="55">
          <cell r="B55" t="str">
            <v>Thought Reflection</v>
          </cell>
          <cell r="C55" t="str">
            <v>Thought Reflection</v>
          </cell>
        </row>
        <row r="56">
          <cell r="B56" t="str">
            <v>Wheel of Fate</v>
          </cell>
          <cell r="C56" t="str">
            <v>Wheel of Fate</v>
          </cell>
        </row>
        <row r="57">
          <cell r="B57" t="str">
            <v>Rapid Hybridization</v>
          </cell>
          <cell r="C57" t="str">
            <v>Rapid Hybridization</v>
          </cell>
        </row>
        <row r="58">
          <cell r="B58" t="str">
            <v>An Offer You Can't Refuse</v>
          </cell>
          <cell r="C58" t="str">
            <v>An Offer You Can't Refuse</v>
          </cell>
        </row>
        <row r="59">
          <cell r="B59" t="str">
            <v>Whirlwind Denial</v>
          </cell>
          <cell r="C59" t="str">
            <v>Whirlwind Denial</v>
          </cell>
        </row>
        <row r="60">
          <cell r="B60" t="str">
            <v>Chaos Warp</v>
          </cell>
          <cell r="C60" t="str">
            <v>Chaos Warp</v>
          </cell>
        </row>
        <row r="61">
          <cell r="B61" t="str">
            <v>Negate</v>
          </cell>
          <cell r="C61" t="str">
            <v>Negate</v>
          </cell>
        </row>
        <row r="62">
          <cell r="B62" t="str">
            <v>Counterspell</v>
          </cell>
          <cell r="C62" t="str">
            <v>Counterspell</v>
          </cell>
        </row>
        <row r="63">
          <cell r="B63" t="str">
            <v>Cyber Conversion</v>
          </cell>
          <cell r="C63" t="str">
            <v>Cyber Conversion</v>
          </cell>
        </row>
        <row r="64">
          <cell r="B64" t="str">
            <v>Emrakul, the Promised End</v>
          </cell>
          <cell r="C64" t="str">
            <v>Emrakul, the Promised End</v>
          </cell>
        </row>
        <row r="65">
          <cell r="B65" t="str">
            <v>Deep-Sea Kraken</v>
          </cell>
          <cell r="C65" t="str">
            <v>Emrakul, the World Anew</v>
          </cell>
        </row>
        <row r="66">
          <cell r="B66" t="str">
            <v>Kozilek, Butcher of Truth</v>
          </cell>
          <cell r="C66" t="str">
            <v>Kozilek, Butcher of Truth</v>
          </cell>
        </row>
        <row r="67">
          <cell r="B67" t="str">
            <v>Kozilek, the Great Distortion</v>
          </cell>
          <cell r="C67" t="str">
            <v>Kozilek, the Great Distortion</v>
          </cell>
        </row>
        <row r="68">
          <cell r="B68" t="str">
            <v>Kederekt Leviathan</v>
          </cell>
          <cell r="C68" t="str">
            <v>Kozilek, the Broken Reality</v>
          </cell>
        </row>
        <row r="69">
          <cell r="B69" t="str">
            <v>Ulamog, the Infinite Gyre</v>
          </cell>
          <cell r="C69" t="str">
            <v>Ulamog, the Infinite Gyre</v>
          </cell>
        </row>
        <row r="70">
          <cell r="B70" t="str">
            <v>Ulamog, the Ceaseless Hunger</v>
          </cell>
          <cell r="C70" t="str">
            <v>Ulamog, the Ceaseless Hunger</v>
          </cell>
        </row>
        <row r="71">
          <cell r="B71" t="str">
            <v>Scourge of Fleets</v>
          </cell>
          <cell r="C71" t="str">
            <v>Ulamog, the Defiler</v>
          </cell>
        </row>
        <row r="72">
          <cell r="B72" t="str">
            <v>Etali, Primal Storm</v>
          </cell>
          <cell r="C72" t="str">
            <v>Etali, Primal Storm</v>
          </cell>
        </row>
        <row r="73">
          <cell r="B73" t="str">
            <v>Blightsteel Colossus</v>
          </cell>
          <cell r="C73" t="str">
            <v>Blightsteel Colossus</v>
          </cell>
        </row>
        <row r="74">
          <cell r="B74" t="str">
            <v>Pathrazer of Ulamog</v>
          </cell>
          <cell r="C74" t="str">
            <v>Pathrazer of Ulamog</v>
          </cell>
        </row>
        <row r="75">
          <cell r="B75" t="str">
            <v>Void Winnower</v>
          </cell>
          <cell r="C75" t="str">
            <v>Void Winnower</v>
          </cell>
        </row>
        <row r="76">
          <cell r="B76" t="str">
            <v>Jin-Gitaxias, Core Augur</v>
          </cell>
          <cell r="C76" t="str">
            <v>Jin-Gitaxias, Core Augur</v>
          </cell>
        </row>
        <row r="77">
          <cell r="B77" t="str">
            <v>It That Betrays</v>
          </cell>
          <cell r="C77" t="str">
            <v>It That Betrays</v>
          </cell>
        </row>
        <row r="78">
          <cell r="B78" t="str">
            <v>Omniscience</v>
          </cell>
          <cell r="C78" t="str">
            <v>Omniscience</v>
          </cell>
        </row>
        <row r="79">
          <cell r="B79" t="str">
            <v>Aminatou's Augury</v>
          </cell>
          <cell r="C79" t="str">
            <v>Aminatou's Augury</v>
          </cell>
        </row>
        <row r="80">
          <cell r="B80" t="str">
            <v>Consecrated Sphinx</v>
          </cell>
          <cell r="C80" t="str">
            <v>Consecrated Sphinx</v>
          </cell>
        </row>
        <row r="81">
          <cell r="B81" t="str">
            <v>Nezahal, Primal Tide</v>
          </cell>
          <cell r="C81" t="str">
            <v>Nezahal, Primal Tide</v>
          </cell>
        </row>
        <row r="82">
          <cell r="B82" t="str">
            <v>Stormtide Leviathan</v>
          </cell>
          <cell r="C82" t="str">
            <v>Ulamog's Dreadsire</v>
          </cell>
        </row>
        <row r="83">
          <cell r="B83" t="str">
            <v>Blasphemous Act</v>
          </cell>
          <cell r="C83" t="str">
            <v>Blasphemous Act</v>
          </cell>
        </row>
        <row r="84">
          <cell r="B84" t="str">
            <v>Whelming Wave</v>
          </cell>
          <cell r="C84" t="str">
            <v>Whelming Wave</v>
          </cell>
        </row>
        <row r="85">
          <cell r="B85" t="str">
            <v>Consuming Tide</v>
          </cell>
          <cell r="C85" t="str">
            <v>Consuming Tide</v>
          </cell>
        </row>
        <row r="86">
          <cell r="B86" t="str">
            <v>Chain Reaction</v>
          </cell>
          <cell r="C86" t="str">
            <v>Chain Reaction</v>
          </cell>
        </row>
        <row r="87">
          <cell r="B87" t="str">
            <v>Devastation Tide</v>
          </cell>
          <cell r="C87" t="str">
            <v>Devastation Tide</v>
          </cell>
        </row>
        <row r="88">
          <cell r="B88" t="str">
            <v>Paradox Haze</v>
          </cell>
          <cell r="C88" t="str">
            <v>Paradox Haze</v>
          </cell>
        </row>
        <row r="89">
          <cell r="B89" t="str">
            <v>Divergent Transformations</v>
          </cell>
          <cell r="C89" t="str">
            <v>The Tenth Doctor</v>
          </cell>
        </row>
        <row r="90">
          <cell r="B90" t="str">
            <v>Wibbly-Wobbly, Timey-wimey</v>
          </cell>
          <cell r="C90" t="str">
            <v>Wibbly-Wobbly, Timey-wimey</v>
          </cell>
        </row>
        <row r="91">
          <cell r="B91" t="str">
            <v>Rift Elemental</v>
          </cell>
          <cell r="C91" t="str">
            <v>Rift Elemental</v>
          </cell>
        </row>
        <row r="92">
          <cell r="B92" t="str">
            <v>Fury Charm</v>
          </cell>
          <cell r="C92" t="str">
            <v>Fury Charm</v>
          </cell>
        </row>
        <row r="93">
          <cell r="B93" t="str">
            <v>Clockspinning</v>
          </cell>
          <cell r="C93" t="str">
            <v>Clockspinning</v>
          </cell>
        </row>
        <row r="94">
          <cell r="B94" t="str">
            <v>Timecrafting</v>
          </cell>
          <cell r="C94" t="str">
            <v>Timecrafting</v>
          </cell>
        </row>
        <row r="95">
          <cell r="B95" t="str">
            <v>Jhoira's Timebug</v>
          </cell>
          <cell r="C95" t="str">
            <v>Jhoira's Timebug</v>
          </cell>
        </row>
        <row r="96">
          <cell r="B96" t="str">
            <v>Time Beetle</v>
          </cell>
          <cell r="C96" t="str">
            <v>Time Beetle</v>
          </cell>
        </row>
        <row r="97">
          <cell r="B97" t="str">
            <v>Hit the Mother Lode</v>
          </cell>
          <cell r="C97" t="str">
            <v>Hit the Mother Lode</v>
          </cell>
        </row>
        <row r="98">
          <cell r="B98" t="str">
            <v>Inevitable Betrayal</v>
          </cell>
          <cell r="C98" t="str">
            <v>Inevitable Betrayal</v>
          </cell>
        </row>
        <row r="99">
          <cell r="B99" t="str">
            <v>Sibylline Soothsayer</v>
          </cell>
          <cell r="C99" t="str">
            <v>Sibylline Soothsayer</v>
          </cell>
        </row>
        <row r="100">
          <cell r="B100" t="str">
            <v>Propaganda</v>
          </cell>
          <cell r="C100" t="str">
            <v>Propaganda</v>
          </cell>
        </row>
        <row r="101">
          <cell r="B101" t="str">
            <v>Crawlspace</v>
          </cell>
          <cell r="C101" t="str">
            <v>Crawlspace</v>
          </cell>
        </row>
        <row r="102">
          <cell r="B102" t="str">
            <v>Portent of Calamity</v>
          </cell>
          <cell r="C102" t="str">
            <v>Portent of Calamity</v>
          </cell>
        </row>
      </sheetData>
      <sheetData sheetId="33">
        <row r="2">
          <cell r="G2">
            <v>83</v>
          </cell>
        </row>
        <row r="3">
          <cell r="B3" t="str">
            <v>Yorion, Sky Nomad</v>
          </cell>
          <cell r="C3" t="str">
            <v>Yorion, Sky Nomad</v>
          </cell>
        </row>
        <row r="4">
          <cell r="C4" t="str">
            <v>Reliquary Tower</v>
          </cell>
        </row>
        <row r="5">
          <cell r="C5" t="str">
            <v>Mystic Sanctuary</v>
          </cell>
        </row>
        <row r="6">
          <cell r="C6" t="str">
            <v>Plains</v>
          </cell>
        </row>
        <row r="7">
          <cell r="C7" t="str">
            <v>Plains</v>
          </cell>
        </row>
        <row r="8">
          <cell r="C8" t="str">
            <v>Plains</v>
          </cell>
        </row>
        <row r="9">
          <cell r="C9" t="str">
            <v>Plains</v>
          </cell>
        </row>
        <row r="10">
          <cell r="C10" t="str">
            <v>Plains</v>
          </cell>
        </row>
        <row r="11">
          <cell r="C11" t="str">
            <v>Plains</v>
          </cell>
        </row>
        <row r="12">
          <cell r="C12" t="str">
            <v>Plains</v>
          </cell>
        </row>
        <row r="13">
          <cell r="C13" t="str">
            <v>Plains</v>
          </cell>
        </row>
        <row r="14">
          <cell r="C14" t="str">
            <v>Plains</v>
          </cell>
        </row>
        <row r="15">
          <cell r="C15" t="str">
            <v>Plains</v>
          </cell>
        </row>
        <row r="16">
          <cell r="C16" t="str">
            <v>Plains</v>
          </cell>
        </row>
        <row r="17">
          <cell r="C17" t="str">
            <v>Plains</v>
          </cell>
        </row>
        <row r="18">
          <cell r="C18" t="str">
            <v>Plains</v>
          </cell>
        </row>
        <row r="19">
          <cell r="C19" t="str">
            <v>Plains</v>
          </cell>
        </row>
        <row r="20">
          <cell r="C20" t="str">
            <v>Plains</v>
          </cell>
        </row>
        <row r="21">
          <cell r="C21" t="str">
            <v>Plains</v>
          </cell>
        </row>
        <row r="22">
          <cell r="C22" t="str">
            <v>Plains</v>
          </cell>
        </row>
        <row r="23">
          <cell r="C23" t="str">
            <v>Island</v>
          </cell>
        </row>
        <row r="24">
          <cell r="C24" t="str">
            <v>Island</v>
          </cell>
        </row>
        <row r="25">
          <cell r="C25" t="str">
            <v>Island</v>
          </cell>
        </row>
        <row r="26">
          <cell r="C26" t="str">
            <v>Island</v>
          </cell>
        </row>
        <row r="27">
          <cell r="C27" t="str">
            <v>Island</v>
          </cell>
        </row>
        <row r="28">
          <cell r="C28" t="str">
            <v>Island</v>
          </cell>
        </row>
        <row r="29">
          <cell r="C29" t="str">
            <v>Island</v>
          </cell>
        </row>
        <row r="30">
          <cell r="C30" t="str">
            <v>Island</v>
          </cell>
        </row>
        <row r="31">
          <cell r="C31" t="str">
            <v>Island</v>
          </cell>
        </row>
        <row r="32">
          <cell r="C32" t="str">
            <v>Island</v>
          </cell>
        </row>
        <row r="33">
          <cell r="C33" t="str">
            <v>Island</v>
          </cell>
        </row>
        <row r="34">
          <cell r="C34" t="str">
            <v>Island</v>
          </cell>
        </row>
        <row r="35">
          <cell r="C35" t="str">
            <v>Island</v>
          </cell>
        </row>
        <row r="36">
          <cell r="C36" t="str">
            <v>Island</v>
          </cell>
        </row>
        <row r="37">
          <cell r="C37" t="str">
            <v>Island</v>
          </cell>
        </row>
        <row r="38">
          <cell r="C38" t="str">
            <v>Island</v>
          </cell>
        </row>
        <row r="39">
          <cell r="C39" t="str">
            <v>Sol Ring</v>
          </cell>
        </row>
        <row r="40">
          <cell r="B40" t="str">
            <v>Arcane Signet</v>
          </cell>
          <cell r="C40" t="str">
            <v>Arcane Signet</v>
          </cell>
        </row>
        <row r="41">
          <cell r="B41" t="str">
            <v>Azorius Signet</v>
          </cell>
          <cell r="C41" t="str">
            <v>Azorius Signet</v>
          </cell>
        </row>
        <row r="42">
          <cell r="C42" t="str">
            <v>Mind Stone</v>
          </cell>
        </row>
        <row r="43">
          <cell r="C43" t="str">
            <v>Thought Vessel</v>
          </cell>
        </row>
        <row r="44">
          <cell r="C44" t="str">
            <v>Prismatic Lens</v>
          </cell>
        </row>
        <row r="45">
          <cell r="B45" t="str">
            <v>Candlekeep Sage</v>
          </cell>
          <cell r="C45" t="str">
            <v>Candlekeep Sage</v>
          </cell>
        </row>
        <row r="46">
          <cell r="B46" t="str">
            <v>Oji, the Exquisite Blade</v>
          </cell>
          <cell r="C46" t="str">
            <v>Oji, the Exquisite Blade</v>
          </cell>
        </row>
        <row r="47">
          <cell r="C47" t="str">
            <v>Water Tribe Rallier</v>
          </cell>
        </row>
        <row r="48">
          <cell r="C48" t="str">
            <v>Spirit Water Revival</v>
          </cell>
        </row>
        <row r="49">
          <cell r="C49" t="str">
            <v>Tocasia's Welcome</v>
          </cell>
        </row>
        <row r="50">
          <cell r="C50" t="str">
            <v>Ephara, God of the Polis</v>
          </cell>
        </row>
        <row r="51">
          <cell r="B51" t="str">
            <v>Katara, Bending Prodigy</v>
          </cell>
          <cell r="C51" t="str">
            <v>Katara, Bending Prodigy</v>
          </cell>
        </row>
        <row r="52">
          <cell r="C52" t="str">
            <v>Dour Port-Mage</v>
          </cell>
        </row>
        <row r="53">
          <cell r="C53" t="str">
            <v>Charming Prince</v>
          </cell>
        </row>
        <row r="54">
          <cell r="C54" t="str">
            <v>Archaeomancer</v>
          </cell>
        </row>
        <row r="55">
          <cell r="B55" t="str">
            <v>Negate</v>
          </cell>
          <cell r="C55" t="str">
            <v>Negate</v>
          </cell>
        </row>
        <row r="56">
          <cell r="C56" t="str">
            <v>Counterspell</v>
          </cell>
        </row>
        <row r="57">
          <cell r="C57" t="str">
            <v>Dovin's Veto</v>
          </cell>
        </row>
        <row r="58">
          <cell r="C58" t="str">
            <v>An Offer You Can't Refuse</v>
          </cell>
        </row>
        <row r="59">
          <cell r="B59" t="str">
            <v>Reality Shift</v>
          </cell>
          <cell r="C59" t="str">
            <v>Reality Shift</v>
          </cell>
        </row>
        <row r="60">
          <cell r="C60" t="str">
            <v>Path to Exile</v>
          </cell>
        </row>
        <row r="61">
          <cell r="C61" t="str">
            <v>Avatar's Wrath</v>
          </cell>
        </row>
        <row r="62">
          <cell r="C62" t="str">
            <v>Dusk // Dawn</v>
          </cell>
        </row>
        <row r="63">
          <cell r="C63" t="str">
            <v>Felidar Guardian</v>
          </cell>
        </row>
        <row r="64">
          <cell r="C64" t="str">
            <v>Restoration Angel</v>
          </cell>
        </row>
        <row r="65">
          <cell r="B65" t="str">
            <v>Flickerwisp</v>
          </cell>
          <cell r="C65" t="str">
            <v>Flickerwisp</v>
          </cell>
        </row>
        <row r="66">
          <cell r="B66" t="str">
            <v>Mirror of Life Trapping</v>
          </cell>
          <cell r="C66" t="str">
            <v>Mirror of Life Trapping</v>
          </cell>
        </row>
        <row r="67">
          <cell r="B67" t="str">
            <v>Lae'zel's Acrobatics</v>
          </cell>
          <cell r="C67" t="str">
            <v>Lae'zel's Acrobatics</v>
          </cell>
        </row>
        <row r="68">
          <cell r="C68" t="str">
            <v>Ephemerate</v>
          </cell>
        </row>
        <row r="69">
          <cell r="C69" t="str">
            <v>Splash Portal</v>
          </cell>
        </row>
        <row r="70">
          <cell r="B70" t="str">
            <v>Eerie Interlude</v>
          </cell>
          <cell r="C70" t="str">
            <v>Eerie Interlude</v>
          </cell>
        </row>
        <row r="71">
          <cell r="C71" t="str">
            <v>Waterbender's Restoration</v>
          </cell>
        </row>
        <row r="72">
          <cell r="C72" t="str">
            <v>Ghostway</v>
          </cell>
        </row>
        <row r="73">
          <cell r="C73" t="str">
            <v>Monk Gyatso</v>
          </cell>
        </row>
        <row r="74">
          <cell r="C74" t="str">
            <v>Virtue of Knowledge // Vantress Visions</v>
          </cell>
        </row>
        <row r="75">
          <cell r="B75" t="str">
            <v>Preston, the Vanisher</v>
          </cell>
          <cell r="C75" t="str">
            <v>Preston, the Vanisher</v>
          </cell>
        </row>
        <row r="76">
          <cell r="C76" t="str">
            <v>Starfield Vocalist</v>
          </cell>
        </row>
        <row r="77">
          <cell r="C77" t="str">
            <v>Vedalken Mastermind</v>
          </cell>
        </row>
        <row r="78">
          <cell r="B78" t="str">
            <v>Teleportation Circle</v>
          </cell>
          <cell r="C78" t="str">
            <v>Teleportation Circle</v>
          </cell>
        </row>
        <row r="79">
          <cell r="B79" t="str">
            <v>Airbender Ascension</v>
          </cell>
          <cell r="C79" t="str">
            <v>Airbender Ascension</v>
          </cell>
        </row>
        <row r="80">
          <cell r="B80" t="str">
            <v>Hare Apparent</v>
          </cell>
          <cell r="C80" t="str">
            <v>Hare Apparent</v>
          </cell>
        </row>
        <row r="81">
          <cell r="B81" t="str">
            <v>Hare Apparent</v>
          </cell>
          <cell r="C81" t="str">
            <v>Hare Apparent</v>
          </cell>
        </row>
        <row r="82">
          <cell r="C82" t="str">
            <v>Hare Apparent</v>
          </cell>
        </row>
        <row r="83">
          <cell r="C83" t="str">
            <v>Hare Apparent</v>
          </cell>
        </row>
        <row r="84">
          <cell r="C84" t="str">
            <v>Hare Apparent</v>
          </cell>
        </row>
        <row r="85">
          <cell r="C85" t="str">
            <v>Hare Apparent</v>
          </cell>
        </row>
        <row r="86">
          <cell r="C86" t="str">
            <v>Hare Apparent</v>
          </cell>
        </row>
        <row r="87">
          <cell r="C87" t="str">
            <v>Hare Apparent</v>
          </cell>
        </row>
        <row r="88">
          <cell r="C88" t="str">
            <v>Hare Apparent</v>
          </cell>
        </row>
        <row r="89">
          <cell r="C89" t="str">
            <v>Hare Apparent</v>
          </cell>
        </row>
        <row r="90">
          <cell r="C90" t="str">
            <v>Hare Apparent</v>
          </cell>
        </row>
        <row r="91">
          <cell r="C91" t="str">
            <v>Hare Apparent</v>
          </cell>
        </row>
        <row r="92">
          <cell r="C92" t="str">
            <v>Hare Apparent</v>
          </cell>
        </row>
        <row r="93">
          <cell r="C93" t="str">
            <v>Hare Apparent</v>
          </cell>
        </row>
        <row r="94">
          <cell r="C94" t="str">
            <v>Hare Apparent</v>
          </cell>
        </row>
        <row r="95">
          <cell r="C95" t="str">
            <v>Hare Apparent</v>
          </cell>
        </row>
        <row r="96">
          <cell r="C96" t="str">
            <v>Hare Apparent</v>
          </cell>
        </row>
        <row r="97">
          <cell r="C97" t="str">
            <v>Hare Apparent</v>
          </cell>
        </row>
        <row r="98">
          <cell r="C98" t="str">
            <v>Hare Apparent</v>
          </cell>
        </row>
        <row r="99">
          <cell r="C99" t="str">
            <v>Hare Apparent</v>
          </cell>
        </row>
        <row r="100">
          <cell r="C100" t="str">
            <v>Hare Apparent</v>
          </cell>
        </row>
        <row r="101">
          <cell r="C101" t="str">
            <v>Hare Apparent</v>
          </cell>
        </row>
        <row r="102">
          <cell r="C102" t="str">
            <v>Hare Apparent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562F84B3-F060-46A6-AE1D-207F0AE0BB94}" autoFormatId="16" applyNumberFormats="0" applyBorderFormats="0" applyFontFormats="0" applyPatternFormats="0" applyAlignmentFormats="0" applyWidthHeightFormats="0">
  <queryTableRefresh nextId="5">
    <queryTableFields count="4">
      <queryTableField id="1" name="Carta" tableColumnId="1"/>
      <queryTableField id="2" name="Faixa" tableColumnId="2"/>
      <queryTableField id="3" name="Preço" tableColumnId="3"/>
      <queryTableField id="4" name="usd" tableColumnId="4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7B41ACF-B747-481B-A639-C6EE4024568C}" name="Tabela2_1" displayName="Tabela2_1" ref="A1:D1001" tableType="queryTable" totalsRowShown="0">
  <autoFilter ref="A1:D1001" xr:uid="{C7B41ACF-B747-481B-A639-C6EE4024568C}"/>
  <tableColumns count="4">
    <tableColumn id="1" xr3:uid="{52E06853-5C52-4DF9-A74F-07CAFFD9C2B0}" uniqueName="1" name="Carta" queryTableFieldId="1" dataDxfId="13"/>
    <tableColumn id="2" xr3:uid="{325E8508-18DD-41BA-8AD4-CC382991CCCD}" uniqueName="2" name="Faixa" queryTableFieldId="2"/>
    <tableColumn id="3" xr3:uid="{B0520A2E-2C47-41F4-868B-026E6D40735E}" uniqueName="3" name="Preço" queryTableFieldId="3"/>
    <tableColumn id="4" xr3:uid="{76EEFA23-AC30-4797-AA4C-4FA5990C8B69}" uniqueName="4" name="usd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F0B0F-EF1E-4EFB-879B-32A8AF1CF422}">
  <sheetPr codeName="Planilha1"/>
  <dimension ref="A1:P262"/>
  <sheetViews>
    <sheetView workbookViewId="0">
      <pane xSplit="3" ySplit="1" topLeftCell="D2" activePane="bottomRight" state="frozen"/>
      <selection activeCell="D72" sqref="D72"/>
      <selection pane="topRight" activeCell="D72" sqref="D72"/>
      <selection pane="bottomLeft" activeCell="D72" sqref="D72"/>
      <selection pane="bottomRight" activeCell="F6" sqref="F6"/>
    </sheetView>
  </sheetViews>
  <sheetFormatPr defaultRowHeight="15" x14ac:dyDescent="0.25"/>
  <cols>
    <col min="1" max="1" width="11.42578125" bestFit="1" customWidth="1"/>
    <col min="2" max="2" width="16" bestFit="1" customWidth="1"/>
    <col min="3" max="3" width="11.7109375" style="11" bestFit="1" customWidth="1"/>
    <col min="4" max="4" width="3.7109375" style="1" customWidth="1"/>
    <col min="5" max="5" width="8.5703125" bestFit="1" customWidth="1"/>
    <col min="6" max="6" width="37.28515625" bestFit="1" customWidth="1"/>
    <col min="7" max="7" width="10.140625" style="11" customWidth="1"/>
    <col min="8" max="8" width="9.140625" style="11" customWidth="1"/>
    <col min="9" max="9" width="9.140625" style="11"/>
    <col min="10" max="10" width="10.140625" style="11" bestFit="1" customWidth="1"/>
    <col min="11" max="11" width="3.7109375" style="1" customWidth="1"/>
    <col min="13" max="13" width="29.140625" bestFit="1" customWidth="1"/>
    <col min="14" max="14" width="26.42578125" bestFit="1" customWidth="1"/>
    <col min="15" max="15" width="8.140625" bestFit="1" customWidth="1"/>
    <col min="16" max="16" width="32.5703125" bestFit="1" customWidth="1"/>
  </cols>
  <sheetData>
    <row r="1" spans="1:16" x14ac:dyDescent="0.25">
      <c r="A1" t="s">
        <v>169</v>
      </c>
      <c r="B1" s="17">
        <f>C2+C8+C13+C18+C23+C28+C32+C34+C38+C50</f>
        <v>53.4</v>
      </c>
      <c r="E1" t="s">
        <v>80</v>
      </c>
      <c r="F1" t="str">
        <f>A2</f>
        <v>Marcelo</v>
      </c>
      <c r="G1" s="16" t="str">
        <f>B3</f>
        <v>Castor</v>
      </c>
      <c r="H1" s="15" t="str">
        <f>B4</f>
        <v>Hamster</v>
      </c>
      <c r="I1" s="15">
        <f>B5</f>
        <v>0</v>
      </c>
      <c r="J1" s="15" t="str">
        <f>B6</f>
        <v>Liga</v>
      </c>
      <c r="L1" t="s">
        <v>80</v>
      </c>
      <c r="M1" s="2" t="s">
        <v>168</v>
      </c>
      <c r="N1" s="2" t="s">
        <v>167</v>
      </c>
      <c r="O1" s="21" t="s">
        <v>166</v>
      </c>
      <c r="P1" s="21"/>
    </row>
    <row r="2" spans="1:16" x14ac:dyDescent="0.25">
      <c r="A2" s="2" t="s">
        <v>99</v>
      </c>
      <c r="B2" t="s">
        <v>165</v>
      </c>
      <c r="C2" s="11">
        <f>SUM(C3:C6)</f>
        <v>53.4</v>
      </c>
      <c r="E2" t="s">
        <v>189</v>
      </c>
      <c r="F2" t="s">
        <v>190</v>
      </c>
      <c r="G2" s="11">
        <v>6.9</v>
      </c>
      <c r="L2" t="s">
        <v>59</v>
      </c>
      <c r="M2" t="s">
        <v>204</v>
      </c>
      <c r="N2" t="s">
        <v>203</v>
      </c>
    </row>
    <row r="3" spans="1:16" x14ac:dyDescent="0.25">
      <c r="A3" s="2">
        <f>COUNTA(F2:F216)</f>
        <v>13</v>
      </c>
      <c r="B3" s="13" t="s">
        <v>189</v>
      </c>
      <c r="C3" s="11">
        <f>SUM(G:G)</f>
        <v>31.299999999999997</v>
      </c>
      <c r="E3" t="s">
        <v>104</v>
      </c>
      <c r="F3" t="s">
        <v>191</v>
      </c>
      <c r="H3" s="11">
        <v>3.9</v>
      </c>
      <c r="K3" s="14"/>
      <c r="L3" t="s">
        <v>59</v>
      </c>
      <c r="M3" t="s">
        <v>205</v>
      </c>
      <c r="N3" t="s">
        <v>206</v>
      </c>
    </row>
    <row r="4" spans="1:16" x14ac:dyDescent="0.25">
      <c r="A4" s="2"/>
      <c r="B4" s="13" t="s">
        <v>104</v>
      </c>
      <c r="C4" s="11">
        <f>SUM(H:H)</f>
        <v>22.1</v>
      </c>
      <c r="E4" t="s">
        <v>189</v>
      </c>
      <c r="F4" t="s">
        <v>192</v>
      </c>
      <c r="G4" s="11">
        <v>2.9</v>
      </c>
      <c r="K4" s="14"/>
      <c r="L4" s="13" t="s">
        <v>59</v>
      </c>
      <c r="M4" t="s">
        <v>207</v>
      </c>
      <c r="N4" t="s">
        <v>208</v>
      </c>
    </row>
    <row r="5" spans="1:16" x14ac:dyDescent="0.25">
      <c r="A5" s="2"/>
      <c r="B5" s="13"/>
      <c r="C5" s="11">
        <f>SUM(I:I)</f>
        <v>0</v>
      </c>
      <c r="F5" t="s">
        <v>193</v>
      </c>
      <c r="H5" s="11">
        <v>1.9</v>
      </c>
      <c r="J5" s="12"/>
      <c r="K5" s="14"/>
      <c r="L5" t="s">
        <v>186</v>
      </c>
      <c r="M5" t="s">
        <v>209</v>
      </c>
      <c r="N5" s="13"/>
    </row>
    <row r="6" spans="1:16" x14ac:dyDescent="0.25">
      <c r="A6" s="2"/>
      <c r="B6" s="13" t="s">
        <v>164</v>
      </c>
      <c r="C6" s="11">
        <f>SUM(J:J)</f>
        <v>0</v>
      </c>
      <c r="F6" t="s">
        <v>194</v>
      </c>
      <c r="H6" s="11">
        <v>4.9000000000000004</v>
      </c>
      <c r="L6" t="s">
        <v>222</v>
      </c>
      <c r="M6" t="s">
        <v>209</v>
      </c>
    </row>
    <row r="7" spans="1:16" x14ac:dyDescent="0.25">
      <c r="A7" s="2"/>
      <c r="B7" s="13"/>
      <c r="F7" t="s">
        <v>195</v>
      </c>
      <c r="G7" s="11">
        <v>1.9</v>
      </c>
      <c r="L7" t="s">
        <v>186</v>
      </c>
      <c r="M7" t="s">
        <v>210</v>
      </c>
    </row>
    <row r="8" spans="1:16" x14ac:dyDescent="0.25">
      <c r="A8" s="2"/>
      <c r="F8" t="s">
        <v>196</v>
      </c>
      <c r="G8" s="11">
        <v>4.9000000000000004</v>
      </c>
      <c r="K8" s="14"/>
      <c r="M8" t="s">
        <v>210</v>
      </c>
    </row>
    <row r="9" spans="1:16" x14ac:dyDescent="0.25">
      <c r="A9" s="2"/>
      <c r="B9" s="13"/>
      <c r="F9" t="s">
        <v>197</v>
      </c>
      <c r="H9" s="11">
        <v>1.5</v>
      </c>
      <c r="K9" s="14"/>
      <c r="L9" t="s">
        <v>5</v>
      </c>
      <c r="M9" t="s">
        <v>211</v>
      </c>
      <c r="N9" t="s">
        <v>212</v>
      </c>
    </row>
    <row r="10" spans="1:16" x14ac:dyDescent="0.25">
      <c r="A10" s="2"/>
      <c r="B10" s="13"/>
      <c r="F10" t="s">
        <v>198</v>
      </c>
      <c r="H10" s="11">
        <v>1</v>
      </c>
      <c r="J10" s="12"/>
      <c r="L10" t="s">
        <v>59</v>
      </c>
      <c r="M10" t="s">
        <v>214</v>
      </c>
      <c r="N10" t="s">
        <v>213</v>
      </c>
    </row>
    <row r="11" spans="1:16" x14ac:dyDescent="0.25">
      <c r="A11" s="2"/>
      <c r="B11" s="13"/>
      <c r="F11" t="s">
        <v>199</v>
      </c>
      <c r="H11" s="11">
        <v>8.9</v>
      </c>
      <c r="L11" t="s">
        <v>186</v>
      </c>
      <c r="M11" t="s">
        <v>215</v>
      </c>
    </row>
    <row r="12" spans="1:16" x14ac:dyDescent="0.25">
      <c r="A12" s="2"/>
      <c r="F12" t="s">
        <v>200</v>
      </c>
      <c r="G12" s="11">
        <v>2.9</v>
      </c>
      <c r="K12" s="14"/>
      <c r="L12" t="s">
        <v>5</v>
      </c>
      <c r="M12" t="s">
        <v>217</v>
      </c>
      <c r="N12" t="s">
        <v>216</v>
      </c>
    </row>
    <row r="13" spans="1:16" x14ac:dyDescent="0.25">
      <c r="A13" s="2"/>
      <c r="F13" t="s">
        <v>201</v>
      </c>
      <c r="G13" s="11">
        <v>9.9</v>
      </c>
      <c r="K13" s="14"/>
      <c r="L13" t="s">
        <v>10</v>
      </c>
      <c r="M13" t="s">
        <v>219</v>
      </c>
      <c r="N13" t="s">
        <v>218</v>
      </c>
    </row>
    <row r="14" spans="1:16" x14ac:dyDescent="0.25">
      <c r="A14" s="2"/>
      <c r="B14" s="13"/>
      <c r="F14" t="s">
        <v>202</v>
      </c>
      <c r="G14" s="12">
        <v>1.9</v>
      </c>
      <c r="K14" s="14"/>
      <c r="L14" t="s">
        <v>43</v>
      </c>
      <c r="M14" t="s">
        <v>220</v>
      </c>
      <c r="N14" t="s">
        <v>221</v>
      </c>
    </row>
    <row r="15" spans="1:16" x14ac:dyDescent="0.25">
      <c r="A15" s="2"/>
      <c r="B15" s="13"/>
      <c r="K15" s="14"/>
      <c r="L15" t="s">
        <v>186</v>
      </c>
      <c r="M15" t="s">
        <v>221</v>
      </c>
    </row>
    <row r="16" spans="1:16" x14ac:dyDescent="0.25">
      <c r="A16" s="2"/>
      <c r="B16" s="13"/>
      <c r="K16" s="14"/>
      <c r="L16" t="s">
        <v>223</v>
      </c>
      <c r="M16" t="s">
        <v>394</v>
      </c>
      <c r="N16" t="s">
        <v>407</v>
      </c>
    </row>
    <row r="17" spans="1:14" x14ac:dyDescent="0.25">
      <c r="A17" s="2"/>
      <c r="K17" s="14"/>
      <c r="L17" t="s">
        <v>223</v>
      </c>
      <c r="M17" t="s">
        <v>395</v>
      </c>
      <c r="N17" t="s">
        <v>408</v>
      </c>
    </row>
    <row r="18" spans="1:14" x14ac:dyDescent="0.25">
      <c r="A18" s="2"/>
      <c r="L18" t="s">
        <v>24</v>
      </c>
      <c r="M18" t="s">
        <v>409</v>
      </c>
      <c r="N18" t="s">
        <v>394</v>
      </c>
    </row>
    <row r="19" spans="1:14" x14ac:dyDescent="0.25">
      <c r="A19" s="2"/>
      <c r="B19" s="13"/>
      <c r="I19" s="12"/>
      <c r="L19" t="s">
        <v>24</v>
      </c>
      <c r="M19" t="s">
        <v>24</v>
      </c>
      <c r="N19" t="s">
        <v>395</v>
      </c>
    </row>
    <row r="20" spans="1:14" x14ac:dyDescent="0.25">
      <c r="A20" s="2"/>
      <c r="B20" s="13"/>
      <c r="H20" s="12"/>
      <c r="K20" s="14"/>
      <c r="L20" t="s">
        <v>24</v>
      </c>
      <c r="N20" t="s">
        <v>396</v>
      </c>
    </row>
    <row r="21" spans="1:14" x14ac:dyDescent="0.25">
      <c r="A21" s="2"/>
      <c r="B21" s="13"/>
      <c r="L21" t="s">
        <v>24</v>
      </c>
      <c r="N21" t="s">
        <v>397</v>
      </c>
    </row>
    <row r="22" spans="1:14" ht="15" customHeight="1" x14ac:dyDescent="0.25">
      <c r="A22" s="2"/>
      <c r="L22" t="s">
        <v>24</v>
      </c>
      <c r="N22" t="s">
        <v>398</v>
      </c>
    </row>
    <row r="23" spans="1:14" ht="15" customHeight="1" x14ac:dyDescent="0.25">
      <c r="A23" s="2"/>
      <c r="L23" t="s">
        <v>24</v>
      </c>
      <c r="N23" t="s">
        <v>399</v>
      </c>
    </row>
    <row r="24" spans="1:14" x14ac:dyDescent="0.25">
      <c r="A24" s="2"/>
      <c r="B24" s="13"/>
      <c r="H24" s="12"/>
      <c r="L24" t="s">
        <v>24</v>
      </c>
      <c r="N24" t="s">
        <v>400</v>
      </c>
    </row>
    <row r="25" spans="1:14" x14ac:dyDescent="0.25">
      <c r="A25" s="2"/>
      <c r="B25" s="13"/>
      <c r="K25" s="14"/>
      <c r="L25" t="s">
        <v>24</v>
      </c>
      <c r="M25" t="s">
        <v>24</v>
      </c>
      <c r="N25" t="s">
        <v>401</v>
      </c>
    </row>
    <row r="26" spans="1:14" x14ac:dyDescent="0.25">
      <c r="A26" s="2"/>
      <c r="B26" s="13"/>
      <c r="L26" t="s">
        <v>24</v>
      </c>
      <c r="N26" t="s">
        <v>402</v>
      </c>
    </row>
    <row r="27" spans="1:14" x14ac:dyDescent="0.25">
      <c r="A27" s="2"/>
      <c r="L27" t="s">
        <v>24</v>
      </c>
      <c r="N27" t="s">
        <v>403</v>
      </c>
    </row>
    <row r="28" spans="1:14" x14ac:dyDescent="0.25">
      <c r="A28" s="2"/>
      <c r="L28" t="s">
        <v>24</v>
      </c>
      <c r="M28" t="s">
        <v>24</v>
      </c>
      <c r="N28" t="s">
        <v>404</v>
      </c>
    </row>
    <row r="29" spans="1:14" x14ac:dyDescent="0.25">
      <c r="A29" s="2"/>
      <c r="B29" s="13"/>
      <c r="L29" t="s">
        <v>24</v>
      </c>
      <c r="N29" t="s">
        <v>405</v>
      </c>
    </row>
    <row r="30" spans="1:14" x14ac:dyDescent="0.25">
      <c r="B30" s="13"/>
      <c r="L30" t="s">
        <v>24</v>
      </c>
      <c r="N30" t="s">
        <v>406</v>
      </c>
    </row>
    <row r="31" spans="1:14" x14ac:dyDescent="0.25">
      <c r="B31" s="13"/>
      <c r="K31" s="14"/>
      <c r="L31" t="s">
        <v>182</v>
      </c>
      <c r="M31" t="s">
        <v>401</v>
      </c>
    </row>
    <row r="32" spans="1:14" x14ac:dyDescent="0.25">
      <c r="H32" s="12"/>
      <c r="K32" s="14"/>
      <c r="L32" t="s">
        <v>182</v>
      </c>
      <c r="M32" t="s">
        <v>404</v>
      </c>
    </row>
    <row r="33" spans="11:14" x14ac:dyDescent="0.25">
      <c r="K33" s="14"/>
      <c r="L33" t="s">
        <v>222</v>
      </c>
      <c r="N33" t="s">
        <v>409</v>
      </c>
    </row>
    <row r="34" spans="11:14" x14ac:dyDescent="0.25">
      <c r="K34" s="14"/>
      <c r="L34" t="s">
        <v>24</v>
      </c>
      <c r="M34" t="s">
        <v>212</v>
      </c>
      <c r="N34" t="s">
        <v>410</v>
      </c>
    </row>
    <row r="35" spans="11:14" x14ac:dyDescent="0.25">
      <c r="L35" t="s">
        <v>411</v>
      </c>
      <c r="M35" t="s">
        <v>410</v>
      </c>
      <c r="N35" t="s">
        <v>412</v>
      </c>
    </row>
    <row r="36" spans="11:14" x14ac:dyDescent="0.25">
      <c r="L36" t="s">
        <v>51</v>
      </c>
      <c r="M36" t="s">
        <v>412</v>
      </c>
      <c r="N36" t="s">
        <v>413</v>
      </c>
    </row>
    <row r="37" spans="11:14" x14ac:dyDescent="0.25">
      <c r="K37" s="14"/>
    </row>
    <row r="38" spans="11:14" x14ac:dyDescent="0.25">
      <c r="K38" s="14"/>
    </row>
    <row r="39" spans="11:14" x14ac:dyDescent="0.25">
      <c r="K39" s="14"/>
    </row>
    <row r="40" spans="11:14" x14ac:dyDescent="0.25">
      <c r="K40" s="14"/>
    </row>
    <row r="41" spans="11:14" x14ac:dyDescent="0.25">
      <c r="K41" s="14"/>
    </row>
    <row r="42" spans="11:14" x14ac:dyDescent="0.25">
      <c r="K42" s="14"/>
    </row>
    <row r="44" spans="11:14" x14ac:dyDescent="0.25">
      <c r="K44" s="14"/>
    </row>
    <row r="45" spans="11:14" x14ac:dyDescent="0.25">
      <c r="K45" s="14"/>
    </row>
    <row r="46" spans="11:14" x14ac:dyDescent="0.25">
      <c r="K46" s="14"/>
    </row>
    <row r="47" spans="11:14" x14ac:dyDescent="0.25">
      <c r="K47" s="14"/>
    </row>
    <row r="48" spans="11:14" x14ac:dyDescent="0.25">
      <c r="K48" s="14"/>
      <c r="M48" s="10"/>
    </row>
    <row r="51" spans="10:11" x14ac:dyDescent="0.25">
      <c r="J51" s="12"/>
      <c r="K51" s="14"/>
    </row>
    <row r="52" spans="10:11" x14ac:dyDescent="0.25">
      <c r="K52" s="14"/>
    </row>
    <row r="53" spans="10:11" x14ac:dyDescent="0.25">
      <c r="K53" s="14"/>
    </row>
    <row r="54" spans="10:11" x14ac:dyDescent="0.25">
      <c r="K54" s="14"/>
    </row>
    <row r="55" spans="10:11" x14ac:dyDescent="0.25">
      <c r="K55" s="14"/>
    </row>
    <row r="56" spans="10:11" x14ac:dyDescent="0.25">
      <c r="J56" s="12"/>
      <c r="K56" s="14"/>
    </row>
    <row r="57" spans="10:11" x14ac:dyDescent="0.25">
      <c r="K57" s="14"/>
    </row>
    <row r="58" spans="10:11" x14ac:dyDescent="0.25">
      <c r="K58" s="14"/>
    </row>
    <row r="59" spans="10:11" x14ac:dyDescent="0.25">
      <c r="K59" s="14"/>
    </row>
    <row r="60" spans="10:11" x14ac:dyDescent="0.25">
      <c r="K60" s="14"/>
    </row>
    <row r="61" spans="10:11" x14ac:dyDescent="0.25">
      <c r="K61" s="14"/>
    </row>
    <row r="62" spans="10:11" x14ac:dyDescent="0.25">
      <c r="K62" s="14"/>
    </row>
    <row r="63" spans="10:11" x14ac:dyDescent="0.25">
      <c r="K63" s="14"/>
    </row>
    <row r="64" spans="10:11" x14ac:dyDescent="0.25">
      <c r="K64" s="14"/>
    </row>
    <row r="65" spans="11:11" x14ac:dyDescent="0.25">
      <c r="K65" s="14"/>
    </row>
    <row r="66" spans="11:11" x14ac:dyDescent="0.25">
      <c r="K66" s="14"/>
    </row>
    <row r="67" spans="11:11" x14ac:dyDescent="0.25">
      <c r="K67" s="14"/>
    </row>
    <row r="68" spans="11:11" x14ac:dyDescent="0.25">
      <c r="K68" s="14"/>
    </row>
    <row r="69" spans="11:11" x14ac:dyDescent="0.25">
      <c r="K69" s="14"/>
    </row>
    <row r="70" spans="11:11" x14ac:dyDescent="0.25">
      <c r="K70" s="14"/>
    </row>
    <row r="71" spans="11:11" x14ac:dyDescent="0.25">
      <c r="K71" s="14"/>
    </row>
    <row r="72" spans="11:11" x14ac:dyDescent="0.25">
      <c r="K72" s="14"/>
    </row>
    <row r="73" spans="11:11" x14ac:dyDescent="0.25">
      <c r="K73" s="14"/>
    </row>
    <row r="91" spans="13:13" x14ac:dyDescent="0.25">
      <c r="M91" s="10"/>
    </row>
    <row r="97" spans="7:14" x14ac:dyDescent="0.25">
      <c r="N97" s="13"/>
    </row>
    <row r="98" spans="7:14" x14ac:dyDescent="0.25">
      <c r="N98" s="13"/>
    </row>
    <row r="99" spans="7:14" x14ac:dyDescent="0.25">
      <c r="N99" s="13"/>
    </row>
    <row r="105" spans="7:14" x14ac:dyDescent="0.25">
      <c r="G105" s="12"/>
      <c r="H105" s="12"/>
    </row>
    <row r="106" spans="7:14" x14ac:dyDescent="0.25">
      <c r="G106" s="12"/>
      <c r="H106" s="12"/>
    </row>
    <row r="107" spans="7:14" x14ac:dyDescent="0.25">
      <c r="G107" s="12"/>
      <c r="H107" s="12"/>
    </row>
    <row r="109" spans="7:14" x14ac:dyDescent="0.25">
      <c r="I109" s="12"/>
      <c r="J109" s="12"/>
    </row>
    <row r="147" spans="9:10" x14ac:dyDescent="0.25">
      <c r="I147" s="12"/>
      <c r="J147" s="12"/>
    </row>
    <row r="150" spans="9:10" x14ac:dyDescent="0.25">
      <c r="I150" s="12"/>
      <c r="J150" s="12"/>
    </row>
    <row r="151" spans="9:10" x14ac:dyDescent="0.25">
      <c r="I151" s="12"/>
      <c r="J151" s="12"/>
    </row>
    <row r="152" spans="9:10" x14ac:dyDescent="0.25">
      <c r="I152" s="12"/>
      <c r="J152" s="12"/>
    </row>
    <row r="153" spans="9:10" x14ac:dyDescent="0.25">
      <c r="I153" s="12"/>
      <c r="J153" s="12"/>
    </row>
    <row r="154" spans="9:10" x14ac:dyDescent="0.25">
      <c r="I154" s="12"/>
      <c r="J154" s="12"/>
    </row>
    <row r="168" spans="9:10" x14ac:dyDescent="0.25">
      <c r="I168" s="12"/>
      <c r="J168" s="12"/>
    </row>
    <row r="249" spans="7:10" x14ac:dyDescent="0.25">
      <c r="G249" s="12"/>
    </row>
    <row r="250" spans="7:10" x14ac:dyDescent="0.25">
      <c r="G250" s="12"/>
      <c r="H250" s="12"/>
      <c r="I250" s="12"/>
      <c r="J250" s="12"/>
    </row>
    <row r="251" spans="7:10" x14ac:dyDescent="0.25">
      <c r="G251" s="12"/>
      <c r="H251" s="12"/>
      <c r="I251" s="12"/>
      <c r="J251" s="12"/>
    </row>
    <row r="252" spans="7:10" x14ac:dyDescent="0.25">
      <c r="G252" s="12"/>
      <c r="H252" s="12"/>
      <c r="I252" s="12"/>
      <c r="J252" s="12"/>
    </row>
    <row r="253" spans="7:10" x14ac:dyDescent="0.25">
      <c r="G253" s="12"/>
      <c r="H253" s="12"/>
      <c r="I253" s="12"/>
      <c r="J253" s="12"/>
    </row>
    <row r="254" spans="7:10" x14ac:dyDescent="0.25">
      <c r="G254" s="12"/>
      <c r="H254" s="12"/>
      <c r="I254" s="12"/>
      <c r="J254" s="12"/>
    </row>
    <row r="255" spans="7:10" x14ac:dyDescent="0.25">
      <c r="G255" s="12"/>
      <c r="H255" s="12"/>
      <c r="I255" s="12"/>
      <c r="J255" s="12"/>
    </row>
    <row r="256" spans="7:10" x14ac:dyDescent="0.25">
      <c r="G256" s="12"/>
      <c r="H256" s="12"/>
      <c r="I256" s="12"/>
      <c r="J256" s="12"/>
    </row>
    <row r="257" spans="7:10" x14ac:dyDescent="0.25">
      <c r="G257" s="12"/>
      <c r="H257" s="12"/>
      <c r="I257" s="12"/>
      <c r="J257" s="12"/>
    </row>
    <row r="258" spans="7:10" x14ac:dyDescent="0.25">
      <c r="G258" s="12"/>
      <c r="H258" s="12"/>
      <c r="I258" s="12"/>
      <c r="J258" s="12"/>
    </row>
    <row r="259" spans="7:10" x14ac:dyDescent="0.25">
      <c r="H259" s="12"/>
      <c r="I259" s="12"/>
      <c r="J259" s="12"/>
    </row>
    <row r="260" spans="7:10" x14ac:dyDescent="0.25">
      <c r="H260" s="12"/>
      <c r="I260" s="12"/>
      <c r="J260" s="12"/>
    </row>
    <row r="261" spans="7:10" x14ac:dyDescent="0.25">
      <c r="G261" s="12"/>
      <c r="H261" s="12"/>
      <c r="I261" s="12"/>
      <c r="J261" s="12"/>
    </row>
    <row r="262" spans="7:10" x14ac:dyDescent="0.25">
      <c r="H262" s="12"/>
      <c r="I262" s="12"/>
      <c r="J262" s="12"/>
    </row>
  </sheetData>
  <autoFilter ref="L1:P52" xr:uid="{658F0B0F-EF1E-4EFB-879B-32A8AF1CF422}">
    <filterColumn colId="3" showButton="0"/>
    <sortState xmlns:xlrd2="http://schemas.microsoft.com/office/spreadsheetml/2017/richdata2" ref="L2:P52">
      <sortCondition ref="L1:L52"/>
    </sortState>
  </autoFilter>
  <sortState xmlns:xlrd2="http://schemas.microsoft.com/office/spreadsheetml/2017/richdata2" ref="L2:P262">
    <sortCondition descending="1" ref="L1:L262"/>
  </sortState>
  <mergeCells count="1">
    <mergeCell ref="O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tualizar_Tudo">
                <anchor moveWithCells="1" sizeWithCells="1">
                  <from>
                    <xdr:col>0</xdr:col>
                    <xdr:colOff>361950</xdr:colOff>
                    <xdr:row>7</xdr:row>
                    <xdr:rowOff>85725</xdr:rowOff>
                  </from>
                  <to>
                    <xdr:col>2</xdr:col>
                    <xdr:colOff>371475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0A752-3019-406E-9240-F2731AF3C1B7}">
  <dimension ref="A1:D1001"/>
  <sheetViews>
    <sheetView workbookViewId="0">
      <selection sqref="A1:D1001"/>
    </sheetView>
  </sheetViews>
  <sheetFormatPr defaultRowHeight="15" x14ac:dyDescent="0.25"/>
  <cols>
    <col min="1" max="1" width="38.28515625" bestFit="1" customWidth="1"/>
    <col min="2" max="2" width="7.85546875" bestFit="1" customWidth="1"/>
    <col min="3" max="3" width="8.42578125" bestFit="1" customWidth="1"/>
    <col min="4" max="4" width="6.5703125" bestFit="1" customWidth="1"/>
  </cols>
  <sheetData>
    <row r="1" spans="1:4" x14ac:dyDescent="0.25">
      <c r="A1" t="s">
        <v>70</v>
      </c>
      <c r="B1" t="s">
        <v>428</v>
      </c>
      <c r="C1" t="s">
        <v>427</v>
      </c>
      <c r="D1" t="s">
        <v>429</v>
      </c>
    </row>
    <row r="2" spans="1:4" x14ac:dyDescent="0.25">
      <c r="A2" t="s">
        <v>433</v>
      </c>
      <c r="D2" t="s">
        <v>430</v>
      </c>
    </row>
    <row r="3" spans="1:4" x14ac:dyDescent="0.25">
      <c r="A3" t="s">
        <v>434</v>
      </c>
      <c r="D3" t="s">
        <v>435</v>
      </c>
    </row>
    <row r="4" spans="1:4" x14ac:dyDescent="0.25">
      <c r="A4" t="s">
        <v>436</v>
      </c>
      <c r="D4" t="s">
        <v>437</v>
      </c>
    </row>
    <row r="5" spans="1:4" x14ac:dyDescent="0.25">
      <c r="A5" t="s">
        <v>438</v>
      </c>
      <c r="D5" t="s">
        <v>439</v>
      </c>
    </row>
    <row r="6" spans="1:4" x14ac:dyDescent="0.25">
      <c r="A6" t="s">
        <v>440</v>
      </c>
      <c r="D6" t="s">
        <v>441</v>
      </c>
    </row>
    <row r="7" spans="1:4" x14ac:dyDescent="0.25">
      <c r="A7" t="s">
        <v>442</v>
      </c>
      <c r="D7" t="s">
        <v>443</v>
      </c>
    </row>
    <row r="8" spans="1:4" x14ac:dyDescent="0.25">
      <c r="A8" t="s">
        <v>444</v>
      </c>
      <c r="D8" t="s">
        <v>445</v>
      </c>
    </row>
    <row r="9" spans="1:4" x14ac:dyDescent="0.25">
      <c r="A9" t="s">
        <v>446</v>
      </c>
      <c r="D9" t="s">
        <v>447</v>
      </c>
    </row>
    <row r="10" spans="1:4" x14ac:dyDescent="0.25">
      <c r="A10" t="s">
        <v>448</v>
      </c>
      <c r="D10" t="s">
        <v>449</v>
      </c>
    </row>
    <row r="11" spans="1:4" x14ac:dyDescent="0.25">
      <c r="A11" t="s">
        <v>450</v>
      </c>
      <c r="D11" t="s">
        <v>451</v>
      </c>
    </row>
    <row r="12" spans="1:4" x14ac:dyDescent="0.25">
      <c r="A12" t="s">
        <v>452</v>
      </c>
      <c r="D12" t="s">
        <v>453</v>
      </c>
    </row>
    <row r="13" spans="1:4" x14ac:dyDescent="0.25">
      <c r="A13" t="s">
        <v>454</v>
      </c>
      <c r="D13" t="s">
        <v>455</v>
      </c>
    </row>
    <row r="14" spans="1:4" x14ac:dyDescent="0.25">
      <c r="A14" t="s">
        <v>456</v>
      </c>
      <c r="D14" t="s">
        <v>457</v>
      </c>
    </row>
    <row r="15" spans="1:4" x14ac:dyDescent="0.25">
      <c r="A15" t="s">
        <v>458</v>
      </c>
      <c r="D15" t="s">
        <v>459</v>
      </c>
    </row>
    <row r="16" spans="1:4" x14ac:dyDescent="0.25">
      <c r="A16" t="s">
        <v>460</v>
      </c>
      <c r="D16" t="s">
        <v>461</v>
      </c>
    </row>
    <row r="17" spans="1:4" x14ac:dyDescent="0.25">
      <c r="A17" t="s">
        <v>462</v>
      </c>
      <c r="D17" t="s">
        <v>463</v>
      </c>
    </row>
    <row r="18" spans="1:4" x14ac:dyDescent="0.25">
      <c r="A18" t="s">
        <v>464</v>
      </c>
      <c r="D18" t="s">
        <v>465</v>
      </c>
    </row>
    <row r="19" spans="1:4" x14ac:dyDescent="0.25">
      <c r="A19" t="s">
        <v>466</v>
      </c>
      <c r="D19" t="s">
        <v>467</v>
      </c>
    </row>
    <row r="20" spans="1:4" x14ac:dyDescent="0.25">
      <c r="A20" t="s">
        <v>468</v>
      </c>
      <c r="D20" t="s">
        <v>469</v>
      </c>
    </row>
    <row r="21" spans="1:4" x14ac:dyDescent="0.25">
      <c r="A21" t="s">
        <v>470</v>
      </c>
      <c r="D21" t="s">
        <v>471</v>
      </c>
    </row>
    <row r="22" spans="1:4" x14ac:dyDescent="0.25">
      <c r="A22" t="s">
        <v>472</v>
      </c>
      <c r="D22" t="s">
        <v>473</v>
      </c>
    </row>
    <row r="23" spans="1:4" x14ac:dyDescent="0.25">
      <c r="A23" t="s">
        <v>474</v>
      </c>
      <c r="D23" t="s">
        <v>475</v>
      </c>
    </row>
    <row r="24" spans="1:4" x14ac:dyDescent="0.25">
      <c r="A24" t="s">
        <v>476</v>
      </c>
      <c r="D24" t="s">
        <v>477</v>
      </c>
    </row>
    <row r="25" spans="1:4" x14ac:dyDescent="0.25">
      <c r="A25" t="s">
        <v>478</v>
      </c>
      <c r="D25" t="s">
        <v>479</v>
      </c>
    </row>
    <row r="26" spans="1:4" x14ac:dyDescent="0.25">
      <c r="A26" t="s">
        <v>480</v>
      </c>
      <c r="D26" t="s">
        <v>481</v>
      </c>
    </row>
    <row r="27" spans="1:4" x14ac:dyDescent="0.25">
      <c r="A27" t="s">
        <v>482</v>
      </c>
      <c r="D27" t="s">
        <v>483</v>
      </c>
    </row>
    <row r="28" spans="1:4" x14ac:dyDescent="0.25">
      <c r="A28" t="s">
        <v>484</v>
      </c>
      <c r="D28" t="s">
        <v>485</v>
      </c>
    </row>
    <row r="29" spans="1:4" x14ac:dyDescent="0.25">
      <c r="A29" t="s">
        <v>486</v>
      </c>
      <c r="D29" t="s">
        <v>487</v>
      </c>
    </row>
    <row r="30" spans="1:4" x14ac:dyDescent="0.25">
      <c r="A30" t="s">
        <v>488</v>
      </c>
      <c r="D30" t="s">
        <v>489</v>
      </c>
    </row>
    <row r="31" spans="1:4" x14ac:dyDescent="0.25">
      <c r="A31" t="s">
        <v>490</v>
      </c>
      <c r="D31" t="s">
        <v>491</v>
      </c>
    </row>
    <row r="32" spans="1:4" x14ac:dyDescent="0.25">
      <c r="A32" t="s">
        <v>492</v>
      </c>
      <c r="D32" t="s">
        <v>493</v>
      </c>
    </row>
    <row r="33" spans="1:4" x14ac:dyDescent="0.25">
      <c r="A33" t="s">
        <v>494</v>
      </c>
      <c r="D33" t="s">
        <v>495</v>
      </c>
    </row>
    <row r="34" spans="1:4" x14ac:dyDescent="0.25">
      <c r="A34" t="s">
        <v>496</v>
      </c>
      <c r="D34" t="s">
        <v>497</v>
      </c>
    </row>
    <row r="35" spans="1:4" x14ac:dyDescent="0.25">
      <c r="A35" t="s">
        <v>498</v>
      </c>
      <c r="D35" t="s">
        <v>499</v>
      </c>
    </row>
    <row r="36" spans="1:4" x14ac:dyDescent="0.25">
      <c r="A36" t="s">
        <v>500</v>
      </c>
      <c r="D36" t="s">
        <v>501</v>
      </c>
    </row>
    <row r="37" spans="1:4" x14ac:dyDescent="0.25">
      <c r="A37" t="s">
        <v>502</v>
      </c>
      <c r="D37" t="s">
        <v>503</v>
      </c>
    </row>
    <row r="38" spans="1:4" x14ac:dyDescent="0.25">
      <c r="A38" t="s">
        <v>504</v>
      </c>
      <c r="D38" t="s">
        <v>505</v>
      </c>
    </row>
    <row r="39" spans="1:4" x14ac:dyDescent="0.25">
      <c r="A39" t="s">
        <v>506</v>
      </c>
      <c r="D39" t="s">
        <v>507</v>
      </c>
    </row>
    <row r="40" spans="1:4" x14ac:dyDescent="0.25">
      <c r="A40" t="s">
        <v>508</v>
      </c>
      <c r="D40" t="s">
        <v>509</v>
      </c>
    </row>
    <row r="41" spans="1:4" x14ac:dyDescent="0.25">
      <c r="A41" t="s">
        <v>510</v>
      </c>
      <c r="D41" t="s">
        <v>511</v>
      </c>
    </row>
    <row r="42" spans="1:4" x14ac:dyDescent="0.25">
      <c r="A42" t="s">
        <v>512</v>
      </c>
      <c r="D42" t="s">
        <v>513</v>
      </c>
    </row>
    <row r="43" spans="1:4" x14ac:dyDescent="0.25">
      <c r="A43" t="s">
        <v>514</v>
      </c>
      <c r="D43" t="s">
        <v>515</v>
      </c>
    </row>
    <row r="44" spans="1:4" x14ac:dyDescent="0.25">
      <c r="A44" t="s">
        <v>516</v>
      </c>
      <c r="D44" t="s">
        <v>517</v>
      </c>
    </row>
    <row r="45" spans="1:4" x14ac:dyDescent="0.25">
      <c r="A45" t="s">
        <v>518</v>
      </c>
      <c r="D45" t="s">
        <v>519</v>
      </c>
    </row>
    <row r="46" spans="1:4" x14ac:dyDescent="0.25">
      <c r="A46" t="s">
        <v>520</v>
      </c>
      <c r="D46" t="s">
        <v>521</v>
      </c>
    </row>
    <row r="47" spans="1:4" x14ac:dyDescent="0.25">
      <c r="A47" t="s">
        <v>522</v>
      </c>
      <c r="D47" t="s">
        <v>523</v>
      </c>
    </row>
    <row r="48" spans="1:4" x14ac:dyDescent="0.25">
      <c r="A48" t="s">
        <v>524</v>
      </c>
      <c r="D48" t="s">
        <v>525</v>
      </c>
    </row>
    <row r="49" spans="1:4" x14ac:dyDescent="0.25">
      <c r="A49" t="s">
        <v>526</v>
      </c>
      <c r="D49" t="s">
        <v>527</v>
      </c>
    </row>
    <row r="50" spans="1:4" x14ac:dyDescent="0.25">
      <c r="A50" t="s">
        <v>528</v>
      </c>
      <c r="D50" t="s">
        <v>529</v>
      </c>
    </row>
    <row r="51" spans="1:4" x14ac:dyDescent="0.25">
      <c r="A51" t="s">
        <v>530</v>
      </c>
      <c r="D51" t="s">
        <v>531</v>
      </c>
    </row>
    <row r="52" spans="1:4" x14ac:dyDescent="0.25">
      <c r="A52" t="s">
        <v>532</v>
      </c>
      <c r="D52" t="s">
        <v>481</v>
      </c>
    </row>
    <row r="53" spans="1:4" x14ac:dyDescent="0.25">
      <c r="A53" t="s">
        <v>533</v>
      </c>
      <c r="D53" t="s">
        <v>534</v>
      </c>
    </row>
    <row r="54" spans="1:4" x14ac:dyDescent="0.25">
      <c r="A54" t="s">
        <v>535</v>
      </c>
      <c r="D54" t="s">
        <v>536</v>
      </c>
    </row>
    <row r="55" spans="1:4" x14ac:dyDescent="0.25">
      <c r="A55" t="s">
        <v>537</v>
      </c>
      <c r="D55" t="s">
        <v>538</v>
      </c>
    </row>
    <row r="56" spans="1:4" x14ac:dyDescent="0.25">
      <c r="A56" t="s">
        <v>539</v>
      </c>
      <c r="D56" t="s">
        <v>540</v>
      </c>
    </row>
    <row r="57" spans="1:4" x14ac:dyDescent="0.25">
      <c r="A57" t="s">
        <v>541</v>
      </c>
    </row>
    <row r="58" spans="1:4" x14ac:dyDescent="0.25">
      <c r="A58" t="s">
        <v>542</v>
      </c>
      <c r="D58" t="s">
        <v>543</v>
      </c>
    </row>
    <row r="59" spans="1:4" x14ac:dyDescent="0.25">
      <c r="A59" t="s">
        <v>544</v>
      </c>
      <c r="D59" t="s">
        <v>545</v>
      </c>
    </row>
    <row r="60" spans="1:4" x14ac:dyDescent="0.25">
      <c r="A60" t="s">
        <v>546</v>
      </c>
      <c r="D60" t="s">
        <v>547</v>
      </c>
    </row>
    <row r="61" spans="1:4" x14ac:dyDescent="0.25">
      <c r="A61" t="s">
        <v>548</v>
      </c>
      <c r="D61" t="s">
        <v>549</v>
      </c>
    </row>
    <row r="62" spans="1:4" x14ac:dyDescent="0.25">
      <c r="A62" t="s">
        <v>550</v>
      </c>
      <c r="D62" t="s">
        <v>551</v>
      </c>
    </row>
    <row r="63" spans="1:4" x14ac:dyDescent="0.25">
      <c r="A63" t="s">
        <v>552</v>
      </c>
      <c r="D63" t="s">
        <v>553</v>
      </c>
    </row>
    <row r="64" spans="1:4" x14ac:dyDescent="0.25">
      <c r="A64" t="s">
        <v>554</v>
      </c>
      <c r="D64" t="s">
        <v>555</v>
      </c>
    </row>
    <row r="65" spans="1:4" x14ac:dyDescent="0.25">
      <c r="A65" t="s">
        <v>556</v>
      </c>
      <c r="D65" t="s">
        <v>557</v>
      </c>
    </row>
    <row r="66" spans="1:4" x14ac:dyDescent="0.25">
      <c r="A66" t="s">
        <v>558</v>
      </c>
      <c r="D66" t="s">
        <v>559</v>
      </c>
    </row>
    <row r="67" spans="1:4" x14ac:dyDescent="0.25">
      <c r="A67" t="s">
        <v>560</v>
      </c>
      <c r="D67" t="s">
        <v>561</v>
      </c>
    </row>
    <row r="68" spans="1:4" x14ac:dyDescent="0.25">
      <c r="A68" t="s">
        <v>562</v>
      </c>
      <c r="D68" t="s">
        <v>563</v>
      </c>
    </row>
    <row r="69" spans="1:4" x14ac:dyDescent="0.25">
      <c r="A69" t="s">
        <v>564</v>
      </c>
      <c r="D69" t="s">
        <v>565</v>
      </c>
    </row>
    <row r="70" spans="1:4" x14ac:dyDescent="0.25">
      <c r="A70" t="s">
        <v>566</v>
      </c>
    </row>
    <row r="71" spans="1:4" x14ac:dyDescent="0.25">
      <c r="A71" t="s">
        <v>567</v>
      </c>
      <c r="D71" t="s">
        <v>445</v>
      </c>
    </row>
    <row r="72" spans="1:4" x14ac:dyDescent="0.25">
      <c r="A72" t="s">
        <v>568</v>
      </c>
      <c r="D72" t="s">
        <v>569</v>
      </c>
    </row>
    <row r="73" spans="1:4" x14ac:dyDescent="0.25">
      <c r="A73" t="s">
        <v>570</v>
      </c>
      <c r="D73" t="s">
        <v>459</v>
      </c>
    </row>
    <row r="74" spans="1:4" x14ac:dyDescent="0.25">
      <c r="A74" t="s">
        <v>571</v>
      </c>
      <c r="D74" t="s">
        <v>572</v>
      </c>
    </row>
    <row r="75" spans="1:4" x14ac:dyDescent="0.25">
      <c r="A75" t="s">
        <v>573</v>
      </c>
      <c r="D75" t="s">
        <v>574</v>
      </c>
    </row>
    <row r="76" spans="1:4" x14ac:dyDescent="0.25">
      <c r="A76" t="s">
        <v>575</v>
      </c>
      <c r="D76" t="s">
        <v>505</v>
      </c>
    </row>
    <row r="77" spans="1:4" x14ac:dyDescent="0.25">
      <c r="A77" t="s">
        <v>576</v>
      </c>
      <c r="D77" t="s">
        <v>577</v>
      </c>
    </row>
    <row r="78" spans="1:4" x14ac:dyDescent="0.25">
      <c r="A78" t="s">
        <v>578</v>
      </c>
      <c r="D78" t="s">
        <v>579</v>
      </c>
    </row>
    <row r="79" spans="1:4" x14ac:dyDescent="0.25">
      <c r="A79" t="s">
        <v>580</v>
      </c>
      <c r="D79" t="s">
        <v>581</v>
      </c>
    </row>
    <row r="80" spans="1:4" x14ac:dyDescent="0.25">
      <c r="A80" t="s">
        <v>582</v>
      </c>
      <c r="D80" t="s">
        <v>441</v>
      </c>
    </row>
    <row r="81" spans="1:4" x14ac:dyDescent="0.25">
      <c r="A81" t="s">
        <v>583</v>
      </c>
      <c r="D81" t="s">
        <v>584</v>
      </c>
    </row>
    <row r="82" spans="1:4" x14ac:dyDescent="0.25">
      <c r="A82" t="s">
        <v>585</v>
      </c>
      <c r="D82" t="s">
        <v>586</v>
      </c>
    </row>
    <row r="83" spans="1:4" x14ac:dyDescent="0.25">
      <c r="A83" t="s">
        <v>587</v>
      </c>
      <c r="D83" t="s">
        <v>525</v>
      </c>
    </row>
    <row r="84" spans="1:4" x14ac:dyDescent="0.25">
      <c r="A84" t="s">
        <v>588</v>
      </c>
      <c r="D84" t="s">
        <v>455</v>
      </c>
    </row>
    <row r="85" spans="1:4" x14ac:dyDescent="0.25">
      <c r="A85" t="s">
        <v>589</v>
      </c>
      <c r="D85" t="s">
        <v>579</v>
      </c>
    </row>
    <row r="86" spans="1:4" x14ac:dyDescent="0.25">
      <c r="A86" t="s">
        <v>590</v>
      </c>
      <c r="D86" t="s">
        <v>591</v>
      </c>
    </row>
    <row r="87" spans="1:4" x14ac:dyDescent="0.25">
      <c r="A87" t="s">
        <v>592</v>
      </c>
      <c r="D87" t="s">
        <v>457</v>
      </c>
    </row>
    <row r="88" spans="1:4" x14ac:dyDescent="0.25">
      <c r="A88" t="s">
        <v>593</v>
      </c>
      <c r="D88" t="s">
        <v>594</v>
      </c>
    </row>
    <row r="89" spans="1:4" x14ac:dyDescent="0.25">
      <c r="A89" t="s">
        <v>595</v>
      </c>
      <c r="D89" t="s">
        <v>596</v>
      </c>
    </row>
    <row r="90" spans="1:4" x14ac:dyDescent="0.25">
      <c r="A90" t="s">
        <v>597</v>
      </c>
      <c r="D90" t="s">
        <v>459</v>
      </c>
    </row>
    <row r="91" spans="1:4" x14ac:dyDescent="0.25">
      <c r="A91" t="s">
        <v>598</v>
      </c>
      <c r="D91" t="s">
        <v>599</v>
      </c>
    </row>
    <row r="92" spans="1:4" x14ac:dyDescent="0.25">
      <c r="A92" t="s">
        <v>600</v>
      </c>
      <c r="D92" t="s">
        <v>601</v>
      </c>
    </row>
    <row r="93" spans="1:4" x14ac:dyDescent="0.25">
      <c r="A93" t="s">
        <v>602</v>
      </c>
      <c r="D93" t="s">
        <v>603</v>
      </c>
    </row>
    <row r="94" spans="1:4" x14ac:dyDescent="0.25">
      <c r="A94" t="s">
        <v>604</v>
      </c>
      <c r="D94" t="s">
        <v>459</v>
      </c>
    </row>
    <row r="95" spans="1:4" x14ac:dyDescent="0.25">
      <c r="A95" t="s">
        <v>605</v>
      </c>
      <c r="D95" t="s">
        <v>606</v>
      </c>
    </row>
    <row r="96" spans="1:4" x14ac:dyDescent="0.25">
      <c r="A96" t="s">
        <v>210</v>
      </c>
      <c r="D96" t="s">
        <v>607</v>
      </c>
    </row>
    <row r="97" spans="1:4" x14ac:dyDescent="0.25">
      <c r="A97" t="s">
        <v>608</v>
      </c>
    </row>
    <row r="98" spans="1:4" x14ac:dyDescent="0.25">
      <c r="A98" t="s">
        <v>409</v>
      </c>
      <c r="D98" t="s">
        <v>609</v>
      </c>
    </row>
    <row r="99" spans="1:4" x14ac:dyDescent="0.25">
      <c r="A99" t="s">
        <v>610</v>
      </c>
      <c r="D99" t="s">
        <v>611</v>
      </c>
    </row>
    <row r="100" spans="1:4" x14ac:dyDescent="0.25">
      <c r="A100" t="s">
        <v>612</v>
      </c>
      <c r="D100" t="s">
        <v>613</v>
      </c>
    </row>
    <row r="101" spans="1:4" x14ac:dyDescent="0.25">
      <c r="A101" t="s">
        <v>614</v>
      </c>
      <c r="D101" t="s">
        <v>615</v>
      </c>
    </row>
    <row r="102" spans="1:4" x14ac:dyDescent="0.25">
      <c r="A102" t="s">
        <v>393</v>
      </c>
      <c r="D102" t="s">
        <v>616</v>
      </c>
    </row>
    <row r="103" spans="1:4" x14ac:dyDescent="0.25">
      <c r="A103" t="s">
        <v>617</v>
      </c>
      <c r="D103" t="s">
        <v>618</v>
      </c>
    </row>
    <row r="104" spans="1:4" x14ac:dyDescent="0.25">
      <c r="A104" t="s">
        <v>619</v>
      </c>
      <c r="D104" t="s">
        <v>620</v>
      </c>
    </row>
    <row r="105" spans="1:4" x14ac:dyDescent="0.25">
      <c r="A105" t="s">
        <v>621</v>
      </c>
      <c r="D105" t="s">
        <v>439</v>
      </c>
    </row>
    <row r="106" spans="1:4" x14ac:dyDescent="0.25">
      <c r="A106" t="s">
        <v>622</v>
      </c>
      <c r="D106" t="s">
        <v>623</v>
      </c>
    </row>
    <row r="107" spans="1:4" x14ac:dyDescent="0.25">
      <c r="A107" t="s">
        <v>624</v>
      </c>
      <c r="D107" t="s">
        <v>625</v>
      </c>
    </row>
    <row r="108" spans="1:4" x14ac:dyDescent="0.25">
      <c r="A108" t="s">
        <v>626</v>
      </c>
      <c r="D108" t="s">
        <v>627</v>
      </c>
    </row>
    <row r="109" spans="1:4" x14ac:dyDescent="0.25">
      <c r="A109" t="s">
        <v>628</v>
      </c>
      <c r="D109" t="s">
        <v>534</v>
      </c>
    </row>
    <row r="110" spans="1:4" x14ac:dyDescent="0.25">
      <c r="A110" t="s">
        <v>629</v>
      </c>
      <c r="D110" t="s">
        <v>471</v>
      </c>
    </row>
    <row r="111" spans="1:4" x14ac:dyDescent="0.25">
      <c r="A111" t="s">
        <v>630</v>
      </c>
      <c r="D111" t="s">
        <v>631</v>
      </c>
    </row>
    <row r="112" spans="1:4" x14ac:dyDescent="0.25">
      <c r="A112" t="s">
        <v>632</v>
      </c>
      <c r="D112" t="s">
        <v>477</v>
      </c>
    </row>
    <row r="113" spans="1:4" x14ac:dyDescent="0.25">
      <c r="A113" t="s">
        <v>633</v>
      </c>
      <c r="D113" t="s">
        <v>594</v>
      </c>
    </row>
    <row r="114" spans="1:4" x14ac:dyDescent="0.25">
      <c r="A114" t="s">
        <v>634</v>
      </c>
      <c r="D114" t="s">
        <v>439</v>
      </c>
    </row>
    <row r="115" spans="1:4" x14ac:dyDescent="0.25">
      <c r="A115" t="s">
        <v>635</v>
      </c>
      <c r="D115" t="s">
        <v>636</v>
      </c>
    </row>
    <row r="116" spans="1:4" x14ac:dyDescent="0.25">
      <c r="A116" t="s">
        <v>637</v>
      </c>
      <c r="D116" t="s">
        <v>638</v>
      </c>
    </row>
    <row r="117" spans="1:4" x14ac:dyDescent="0.25">
      <c r="A117" t="s">
        <v>639</v>
      </c>
      <c r="D117" t="s">
        <v>477</v>
      </c>
    </row>
    <row r="118" spans="1:4" x14ac:dyDescent="0.25">
      <c r="A118" t="s">
        <v>640</v>
      </c>
      <c r="D118" t="s">
        <v>641</v>
      </c>
    </row>
    <row r="119" spans="1:4" x14ac:dyDescent="0.25">
      <c r="A119" t="s">
        <v>642</v>
      </c>
      <c r="D119" t="s">
        <v>643</v>
      </c>
    </row>
    <row r="120" spans="1:4" x14ac:dyDescent="0.25">
      <c r="A120" t="s">
        <v>644</v>
      </c>
      <c r="D120" t="s">
        <v>645</v>
      </c>
    </row>
    <row r="121" spans="1:4" x14ac:dyDescent="0.25">
      <c r="A121" t="s">
        <v>646</v>
      </c>
      <c r="D121" t="s">
        <v>553</v>
      </c>
    </row>
    <row r="122" spans="1:4" x14ac:dyDescent="0.25">
      <c r="A122" t="s">
        <v>647</v>
      </c>
      <c r="D122" t="s">
        <v>648</v>
      </c>
    </row>
    <row r="123" spans="1:4" x14ac:dyDescent="0.25">
      <c r="A123" t="s">
        <v>649</v>
      </c>
      <c r="D123" t="s">
        <v>650</v>
      </c>
    </row>
    <row r="124" spans="1:4" x14ac:dyDescent="0.25">
      <c r="A124" t="s">
        <v>651</v>
      </c>
      <c r="D124" t="s">
        <v>652</v>
      </c>
    </row>
    <row r="125" spans="1:4" x14ac:dyDescent="0.25">
      <c r="A125" t="s">
        <v>653</v>
      </c>
      <c r="D125" t="s">
        <v>439</v>
      </c>
    </row>
    <row r="126" spans="1:4" x14ac:dyDescent="0.25">
      <c r="A126" t="s">
        <v>654</v>
      </c>
      <c r="D126" t="s">
        <v>655</v>
      </c>
    </row>
    <row r="127" spans="1:4" x14ac:dyDescent="0.25">
      <c r="A127" t="s">
        <v>656</v>
      </c>
      <c r="D127" t="s">
        <v>657</v>
      </c>
    </row>
    <row r="128" spans="1:4" x14ac:dyDescent="0.25">
      <c r="A128" t="s">
        <v>658</v>
      </c>
      <c r="D128" t="s">
        <v>659</v>
      </c>
    </row>
    <row r="129" spans="1:4" x14ac:dyDescent="0.25">
      <c r="A129" t="s">
        <v>660</v>
      </c>
      <c r="D129" t="s">
        <v>601</v>
      </c>
    </row>
    <row r="130" spans="1:4" x14ac:dyDescent="0.25">
      <c r="A130" t="s">
        <v>661</v>
      </c>
      <c r="D130" t="s">
        <v>662</v>
      </c>
    </row>
    <row r="131" spans="1:4" x14ac:dyDescent="0.25">
      <c r="A131" t="s">
        <v>663</v>
      </c>
      <c r="D131" t="s">
        <v>664</v>
      </c>
    </row>
    <row r="132" spans="1:4" x14ac:dyDescent="0.25">
      <c r="A132" t="s">
        <v>665</v>
      </c>
      <c r="D132" t="s">
        <v>525</v>
      </c>
    </row>
    <row r="133" spans="1:4" x14ac:dyDescent="0.25">
      <c r="A133" t="s">
        <v>666</v>
      </c>
      <c r="D133" t="s">
        <v>667</v>
      </c>
    </row>
    <row r="134" spans="1:4" x14ac:dyDescent="0.25">
      <c r="A134" t="s">
        <v>668</v>
      </c>
      <c r="D134" t="s">
        <v>669</v>
      </c>
    </row>
    <row r="135" spans="1:4" x14ac:dyDescent="0.25">
      <c r="A135" t="s">
        <v>670</v>
      </c>
      <c r="D135" t="s">
        <v>671</v>
      </c>
    </row>
    <row r="136" spans="1:4" x14ac:dyDescent="0.25">
      <c r="A136" t="s">
        <v>672</v>
      </c>
      <c r="D136" t="s">
        <v>673</v>
      </c>
    </row>
    <row r="137" spans="1:4" x14ac:dyDescent="0.25">
      <c r="A137" t="s">
        <v>674</v>
      </c>
      <c r="D137" t="s">
        <v>441</v>
      </c>
    </row>
    <row r="138" spans="1:4" x14ac:dyDescent="0.25">
      <c r="A138" t="s">
        <v>675</v>
      </c>
      <c r="D138" t="s">
        <v>676</v>
      </c>
    </row>
    <row r="139" spans="1:4" x14ac:dyDescent="0.25">
      <c r="A139" t="s">
        <v>677</v>
      </c>
      <c r="D139" t="s">
        <v>678</v>
      </c>
    </row>
    <row r="140" spans="1:4" x14ac:dyDescent="0.25">
      <c r="A140" t="s">
        <v>679</v>
      </c>
      <c r="D140" t="s">
        <v>680</v>
      </c>
    </row>
    <row r="141" spans="1:4" x14ac:dyDescent="0.25">
      <c r="A141" t="s">
        <v>681</v>
      </c>
      <c r="D141" t="s">
        <v>682</v>
      </c>
    </row>
    <row r="142" spans="1:4" x14ac:dyDescent="0.25">
      <c r="A142" t="s">
        <v>683</v>
      </c>
      <c r="D142" t="s">
        <v>684</v>
      </c>
    </row>
    <row r="143" spans="1:4" x14ac:dyDescent="0.25">
      <c r="A143" t="s">
        <v>685</v>
      </c>
      <c r="D143" t="s">
        <v>686</v>
      </c>
    </row>
    <row r="144" spans="1:4" x14ac:dyDescent="0.25">
      <c r="A144" t="s">
        <v>687</v>
      </c>
      <c r="D144" t="s">
        <v>688</v>
      </c>
    </row>
    <row r="145" spans="1:4" x14ac:dyDescent="0.25">
      <c r="A145" t="s">
        <v>689</v>
      </c>
      <c r="D145" t="s">
        <v>690</v>
      </c>
    </row>
    <row r="146" spans="1:4" x14ac:dyDescent="0.25">
      <c r="A146" t="s">
        <v>691</v>
      </c>
      <c r="D146" t="s">
        <v>431</v>
      </c>
    </row>
    <row r="147" spans="1:4" x14ac:dyDescent="0.25">
      <c r="A147" t="s">
        <v>692</v>
      </c>
      <c r="D147" t="s">
        <v>693</v>
      </c>
    </row>
    <row r="148" spans="1:4" x14ac:dyDescent="0.25">
      <c r="A148" t="s">
        <v>694</v>
      </c>
      <c r="D148" t="s">
        <v>695</v>
      </c>
    </row>
    <row r="149" spans="1:4" x14ac:dyDescent="0.25">
      <c r="A149" t="s">
        <v>696</v>
      </c>
      <c r="D149" t="s">
        <v>697</v>
      </c>
    </row>
    <row r="150" spans="1:4" x14ac:dyDescent="0.25">
      <c r="A150" t="s">
        <v>698</v>
      </c>
      <c r="D150" t="s">
        <v>699</v>
      </c>
    </row>
    <row r="151" spans="1:4" x14ac:dyDescent="0.25">
      <c r="A151" t="s">
        <v>700</v>
      </c>
      <c r="D151" t="s">
        <v>701</v>
      </c>
    </row>
    <row r="152" spans="1:4" x14ac:dyDescent="0.25">
      <c r="A152" t="s">
        <v>702</v>
      </c>
      <c r="D152" t="s">
        <v>574</v>
      </c>
    </row>
    <row r="153" spans="1:4" x14ac:dyDescent="0.25">
      <c r="A153" t="s">
        <v>703</v>
      </c>
      <c r="D153" t="s">
        <v>704</v>
      </c>
    </row>
    <row r="154" spans="1:4" x14ac:dyDescent="0.25">
      <c r="A154" t="s">
        <v>705</v>
      </c>
      <c r="D154" t="s">
        <v>706</v>
      </c>
    </row>
    <row r="155" spans="1:4" x14ac:dyDescent="0.25">
      <c r="A155" t="s">
        <v>209</v>
      </c>
      <c r="D155" t="s">
        <v>594</v>
      </c>
    </row>
    <row r="156" spans="1:4" x14ac:dyDescent="0.25">
      <c r="A156" t="s">
        <v>707</v>
      </c>
      <c r="D156" t="s">
        <v>584</v>
      </c>
    </row>
    <row r="157" spans="1:4" x14ac:dyDescent="0.25">
      <c r="A157" t="s">
        <v>708</v>
      </c>
      <c r="D157" t="s">
        <v>709</v>
      </c>
    </row>
    <row r="158" spans="1:4" x14ac:dyDescent="0.25">
      <c r="A158" t="s">
        <v>710</v>
      </c>
      <c r="D158" t="s">
        <v>664</v>
      </c>
    </row>
    <row r="159" spans="1:4" x14ac:dyDescent="0.25">
      <c r="A159" t="s">
        <v>711</v>
      </c>
      <c r="D159" t="s">
        <v>584</v>
      </c>
    </row>
    <row r="160" spans="1:4" x14ac:dyDescent="0.25">
      <c r="A160" t="s">
        <v>712</v>
      </c>
      <c r="D160" t="s">
        <v>445</v>
      </c>
    </row>
    <row r="161" spans="1:4" x14ac:dyDescent="0.25">
      <c r="A161" t="s">
        <v>713</v>
      </c>
      <c r="D161" t="s">
        <v>714</v>
      </c>
    </row>
    <row r="162" spans="1:4" x14ac:dyDescent="0.25">
      <c r="A162" t="s">
        <v>715</v>
      </c>
      <c r="D162" t="s">
        <v>716</v>
      </c>
    </row>
    <row r="163" spans="1:4" x14ac:dyDescent="0.25">
      <c r="A163" t="s">
        <v>717</v>
      </c>
      <c r="D163" t="s">
        <v>718</v>
      </c>
    </row>
    <row r="164" spans="1:4" x14ac:dyDescent="0.25">
      <c r="A164" t="s">
        <v>719</v>
      </c>
      <c r="D164" t="s">
        <v>720</v>
      </c>
    </row>
    <row r="165" spans="1:4" x14ac:dyDescent="0.25">
      <c r="A165" t="s">
        <v>721</v>
      </c>
      <c r="D165" t="s">
        <v>722</v>
      </c>
    </row>
    <row r="166" spans="1:4" x14ac:dyDescent="0.25">
      <c r="A166" t="s">
        <v>212</v>
      </c>
      <c r="D166" t="s">
        <v>723</v>
      </c>
    </row>
    <row r="167" spans="1:4" x14ac:dyDescent="0.25">
      <c r="A167" t="s">
        <v>724</v>
      </c>
      <c r="D167" t="s">
        <v>725</v>
      </c>
    </row>
    <row r="168" spans="1:4" x14ac:dyDescent="0.25">
      <c r="A168" t="s">
        <v>726</v>
      </c>
      <c r="D168" t="s">
        <v>667</v>
      </c>
    </row>
    <row r="169" spans="1:4" x14ac:dyDescent="0.25">
      <c r="A169" t="s">
        <v>727</v>
      </c>
      <c r="D169" t="s">
        <v>728</v>
      </c>
    </row>
    <row r="170" spans="1:4" x14ac:dyDescent="0.25">
      <c r="A170" t="s">
        <v>729</v>
      </c>
      <c r="D170" t="s">
        <v>701</v>
      </c>
    </row>
    <row r="171" spans="1:4" x14ac:dyDescent="0.25">
      <c r="A171" t="s">
        <v>730</v>
      </c>
      <c r="D171" t="s">
        <v>731</v>
      </c>
    </row>
    <row r="172" spans="1:4" x14ac:dyDescent="0.25">
      <c r="A172" t="s">
        <v>732</v>
      </c>
      <c r="D172" t="s">
        <v>733</v>
      </c>
    </row>
    <row r="173" spans="1:4" x14ac:dyDescent="0.25">
      <c r="A173" t="s">
        <v>734</v>
      </c>
      <c r="D173" t="s">
        <v>735</v>
      </c>
    </row>
    <row r="174" spans="1:4" x14ac:dyDescent="0.25">
      <c r="A174" t="s">
        <v>736</v>
      </c>
      <c r="D174" t="s">
        <v>557</v>
      </c>
    </row>
    <row r="175" spans="1:4" x14ac:dyDescent="0.25">
      <c r="A175" t="s">
        <v>737</v>
      </c>
      <c r="D175" t="s">
        <v>738</v>
      </c>
    </row>
    <row r="176" spans="1:4" x14ac:dyDescent="0.25">
      <c r="A176" t="s">
        <v>739</v>
      </c>
      <c r="D176" t="s">
        <v>740</v>
      </c>
    </row>
    <row r="177" spans="1:4" x14ac:dyDescent="0.25">
      <c r="A177" t="s">
        <v>741</v>
      </c>
      <c r="D177" t="s">
        <v>742</v>
      </c>
    </row>
    <row r="178" spans="1:4" x14ac:dyDescent="0.25">
      <c r="A178" t="s">
        <v>743</v>
      </c>
      <c r="D178" t="s">
        <v>744</v>
      </c>
    </row>
    <row r="179" spans="1:4" x14ac:dyDescent="0.25">
      <c r="A179" t="s">
        <v>745</v>
      </c>
      <c r="D179" t="s">
        <v>746</v>
      </c>
    </row>
    <row r="180" spans="1:4" x14ac:dyDescent="0.25">
      <c r="A180" t="s">
        <v>747</v>
      </c>
      <c r="D180" t="s">
        <v>748</v>
      </c>
    </row>
    <row r="181" spans="1:4" x14ac:dyDescent="0.25">
      <c r="A181" t="s">
        <v>749</v>
      </c>
      <c r="D181" t="s">
        <v>750</v>
      </c>
    </row>
    <row r="182" spans="1:4" x14ac:dyDescent="0.25">
      <c r="A182" t="s">
        <v>751</v>
      </c>
      <c r="D182" t="s">
        <v>752</v>
      </c>
    </row>
    <row r="183" spans="1:4" x14ac:dyDescent="0.25">
      <c r="A183" t="s">
        <v>753</v>
      </c>
      <c r="D183" t="s">
        <v>754</v>
      </c>
    </row>
    <row r="184" spans="1:4" x14ac:dyDescent="0.25">
      <c r="A184" t="s">
        <v>755</v>
      </c>
      <c r="D184" t="s">
        <v>756</v>
      </c>
    </row>
    <row r="185" spans="1:4" x14ac:dyDescent="0.25">
      <c r="A185" t="s">
        <v>757</v>
      </c>
      <c r="D185" t="s">
        <v>758</v>
      </c>
    </row>
    <row r="186" spans="1:4" x14ac:dyDescent="0.25">
      <c r="A186" t="s">
        <v>759</v>
      </c>
      <c r="D186" t="s">
        <v>760</v>
      </c>
    </row>
    <row r="187" spans="1:4" x14ac:dyDescent="0.25">
      <c r="A187" t="s">
        <v>761</v>
      </c>
      <c r="D187" t="s">
        <v>547</v>
      </c>
    </row>
    <row r="188" spans="1:4" x14ac:dyDescent="0.25">
      <c r="A188" t="s">
        <v>762</v>
      </c>
      <c r="D188" t="s">
        <v>513</v>
      </c>
    </row>
    <row r="189" spans="1:4" x14ac:dyDescent="0.25">
      <c r="A189" t="s">
        <v>763</v>
      </c>
      <c r="D189" t="s">
        <v>764</v>
      </c>
    </row>
    <row r="190" spans="1:4" x14ac:dyDescent="0.25">
      <c r="A190" t="s">
        <v>765</v>
      </c>
      <c r="D190" t="s">
        <v>445</v>
      </c>
    </row>
    <row r="191" spans="1:4" x14ac:dyDescent="0.25">
      <c r="A191" t="s">
        <v>766</v>
      </c>
      <c r="D191" t="s">
        <v>767</v>
      </c>
    </row>
    <row r="192" spans="1:4" x14ac:dyDescent="0.25">
      <c r="A192" t="s">
        <v>768</v>
      </c>
      <c r="D192" t="s">
        <v>769</v>
      </c>
    </row>
    <row r="193" spans="1:4" x14ac:dyDescent="0.25">
      <c r="A193" t="s">
        <v>770</v>
      </c>
      <c r="D193" t="s">
        <v>451</v>
      </c>
    </row>
    <row r="194" spans="1:4" x14ac:dyDescent="0.25">
      <c r="A194" t="s">
        <v>771</v>
      </c>
      <c r="D194" t="s">
        <v>525</v>
      </c>
    </row>
    <row r="195" spans="1:4" x14ac:dyDescent="0.25">
      <c r="A195" t="s">
        <v>772</v>
      </c>
      <c r="D195" t="s">
        <v>773</v>
      </c>
    </row>
    <row r="196" spans="1:4" x14ac:dyDescent="0.25">
      <c r="A196" t="s">
        <v>774</v>
      </c>
      <c r="D196" t="s">
        <v>775</v>
      </c>
    </row>
    <row r="197" spans="1:4" x14ac:dyDescent="0.25">
      <c r="A197" t="s">
        <v>776</v>
      </c>
      <c r="D197" t="s">
        <v>777</v>
      </c>
    </row>
    <row r="198" spans="1:4" x14ac:dyDescent="0.25">
      <c r="A198" t="s">
        <v>778</v>
      </c>
      <c r="D198" t="s">
        <v>561</v>
      </c>
    </row>
    <row r="199" spans="1:4" x14ac:dyDescent="0.25">
      <c r="A199" t="s">
        <v>779</v>
      </c>
      <c r="D199" t="s">
        <v>641</v>
      </c>
    </row>
    <row r="200" spans="1:4" x14ac:dyDescent="0.25">
      <c r="A200" t="s">
        <v>780</v>
      </c>
      <c r="D200" t="s">
        <v>781</v>
      </c>
    </row>
    <row r="201" spans="1:4" x14ac:dyDescent="0.25">
      <c r="A201" t="s">
        <v>782</v>
      </c>
      <c r="D201" t="s">
        <v>783</v>
      </c>
    </row>
    <row r="202" spans="1:4" x14ac:dyDescent="0.25">
      <c r="A202" t="s">
        <v>784</v>
      </c>
      <c r="D202" t="s">
        <v>669</v>
      </c>
    </row>
    <row r="203" spans="1:4" x14ac:dyDescent="0.25">
      <c r="A203" t="s">
        <v>785</v>
      </c>
      <c r="D203" t="s">
        <v>495</v>
      </c>
    </row>
    <row r="204" spans="1:4" x14ac:dyDescent="0.25">
      <c r="A204" t="s">
        <v>786</v>
      </c>
      <c r="D204" t="s">
        <v>569</v>
      </c>
    </row>
    <row r="205" spans="1:4" x14ac:dyDescent="0.25">
      <c r="A205" t="s">
        <v>787</v>
      </c>
      <c r="D205" t="s">
        <v>788</v>
      </c>
    </row>
    <row r="206" spans="1:4" x14ac:dyDescent="0.25">
      <c r="A206" t="s">
        <v>789</v>
      </c>
      <c r="D206" t="s">
        <v>481</v>
      </c>
    </row>
    <row r="207" spans="1:4" x14ac:dyDescent="0.25">
      <c r="A207" t="s">
        <v>790</v>
      </c>
      <c r="D207" t="s">
        <v>461</v>
      </c>
    </row>
    <row r="208" spans="1:4" x14ac:dyDescent="0.25">
      <c r="A208" t="s">
        <v>791</v>
      </c>
      <c r="D208" t="s">
        <v>792</v>
      </c>
    </row>
    <row r="209" spans="1:4" x14ac:dyDescent="0.25">
      <c r="A209" t="s">
        <v>793</v>
      </c>
      <c r="D209" t="s">
        <v>794</v>
      </c>
    </row>
    <row r="210" spans="1:4" x14ac:dyDescent="0.25">
      <c r="A210" t="s">
        <v>795</v>
      </c>
      <c r="D210" t="s">
        <v>796</v>
      </c>
    </row>
    <row r="211" spans="1:4" x14ac:dyDescent="0.25">
      <c r="A211" t="s">
        <v>797</v>
      </c>
      <c r="D211" t="s">
        <v>798</v>
      </c>
    </row>
    <row r="212" spans="1:4" x14ac:dyDescent="0.25">
      <c r="A212" t="s">
        <v>799</v>
      </c>
      <c r="D212" t="s">
        <v>800</v>
      </c>
    </row>
    <row r="213" spans="1:4" x14ac:dyDescent="0.25">
      <c r="A213" t="s">
        <v>801</v>
      </c>
      <c r="D213" t="s">
        <v>802</v>
      </c>
    </row>
    <row r="214" spans="1:4" x14ac:dyDescent="0.25">
      <c r="A214" t="s">
        <v>803</v>
      </c>
      <c r="D214" t="s">
        <v>804</v>
      </c>
    </row>
    <row r="215" spans="1:4" x14ac:dyDescent="0.25">
      <c r="A215" t="s">
        <v>805</v>
      </c>
      <c r="D215" t="s">
        <v>806</v>
      </c>
    </row>
    <row r="216" spans="1:4" x14ac:dyDescent="0.25">
      <c r="A216" t="s">
        <v>807</v>
      </c>
      <c r="D216" t="s">
        <v>731</v>
      </c>
    </row>
    <row r="217" spans="1:4" x14ac:dyDescent="0.25">
      <c r="A217" t="s">
        <v>808</v>
      </c>
      <c r="D217" t="s">
        <v>792</v>
      </c>
    </row>
    <row r="218" spans="1:4" x14ac:dyDescent="0.25">
      <c r="A218" t="s">
        <v>809</v>
      </c>
      <c r="D218" t="s">
        <v>569</v>
      </c>
    </row>
    <row r="219" spans="1:4" x14ac:dyDescent="0.25">
      <c r="A219" t="s">
        <v>810</v>
      </c>
      <c r="D219" t="s">
        <v>811</v>
      </c>
    </row>
    <row r="220" spans="1:4" x14ac:dyDescent="0.25">
      <c r="A220" t="s">
        <v>812</v>
      </c>
      <c r="D220" t="s">
        <v>813</v>
      </c>
    </row>
    <row r="221" spans="1:4" x14ac:dyDescent="0.25">
      <c r="A221" t="s">
        <v>814</v>
      </c>
      <c r="D221" t="s">
        <v>449</v>
      </c>
    </row>
    <row r="222" spans="1:4" x14ac:dyDescent="0.25">
      <c r="A222" t="s">
        <v>815</v>
      </c>
      <c r="D222" t="s">
        <v>816</v>
      </c>
    </row>
    <row r="223" spans="1:4" x14ac:dyDescent="0.25">
      <c r="A223" t="s">
        <v>817</v>
      </c>
      <c r="D223" t="s">
        <v>818</v>
      </c>
    </row>
    <row r="224" spans="1:4" x14ac:dyDescent="0.25">
      <c r="A224" t="s">
        <v>819</v>
      </c>
      <c r="D224" t="s">
        <v>820</v>
      </c>
    </row>
    <row r="225" spans="1:4" x14ac:dyDescent="0.25">
      <c r="A225" t="s">
        <v>821</v>
      </c>
      <c r="D225" t="s">
        <v>445</v>
      </c>
    </row>
    <row r="226" spans="1:4" x14ac:dyDescent="0.25">
      <c r="A226" t="s">
        <v>822</v>
      </c>
      <c r="D226" t="s">
        <v>445</v>
      </c>
    </row>
    <row r="227" spans="1:4" x14ac:dyDescent="0.25">
      <c r="A227" t="s">
        <v>823</v>
      </c>
      <c r="D227" t="s">
        <v>459</v>
      </c>
    </row>
    <row r="228" spans="1:4" x14ac:dyDescent="0.25">
      <c r="A228" t="s">
        <v>824</v>
      </c>
      <c r="D228" t="s">
        <v>825</v>
      </c>
    </row>
    <row r="229" spans="1:4" x14ac:dyDescent="0.25">
      <c r="A229" t="s">
        <v>826</v>
      </c>
      <c r="D229" t="s">
        <v>827</v>
      </c>
    </row>
    <row r="230" spans="1:4" x14ac:dyDescent="0.25">
      <c r="A230" t="s">
        <v>828</v>
      </c>
      <c r="D230" t="s">
        <v>439</v>
      </c>
    </row>
    <row r="231" spans="1:4" x14ac:dyDescent="0.25">
      <c r="A231" t="s">
        <v>829</v>
      </c>
      <c r="D231" t="s">
        <v>830</v>
      </c>
    </row>
    <row r="232" spans="1:4" x14ac:dyDescent="0.25">
      <c r="A232" t="s">
        <v>831</v>
      </c>
      <c r="D232" t="s">
        <v>832</v>
      </c>
    </row>
    <row r="233" spans="1:4" x14ac:dyDescent="0.25">
      <c r="A233" t="s">
        <v>833</v>
      </c>
      <c r="D233" t="s">
        <v>834</v>
      </c>
    </row>
    <row r="234" spans="1:4" x14ac:dyDescent="0.25">
      <c r="A234" t="s">
        <v>835</v>
      </c>
      <c r="D234" t="s">
        <v>836</v>
      </c>
    </row>
    <row r="235" spans="1:4" x14ac:dyDescent="0.25">
      <c r="A235" t="s">
        <v>837</v>
      </c>
      <c r="D235" t="s">
        <v>838</v>
      </c>
    </row>
    <row r="236" spans="1:4" x14ac:dyDescent="0.25">
      <c r="A236" t="s">
        <v>839</v>
      </c>
      <c r="D236" t="s">
        <v>840</v>
      </c>
    </row>
    <row r="237" spans="1:4" x14ac:dyDescent="0.25">
      <c r="A237" t="s">
        <v>841</v>
      </c>
      <c r="D237" t="s">
        <v>842</v>
      </c>
    </row>
    <row r="238" spans="1:4" x14ac:dyDescent="0.25">
      <c r="A238" t="s">
        <v>843</v>
      </c>
      <c r="D238" t="s">
        <v>695</v>
      </c>
    </row>
    <row r="239" spans="1:4" x14ac:dyDescent="0.25">
      <c r="A239" t="s">
        <v>844</v>
      </c>
      <c r="D239" t="s">
        <v>845</v>
      </c>
    </row>
    <row r="240" spans="1:4" x14ac:dyDescent="0.25">
      <c r="A240" t="s">
        <v>846</v>
      </c>
      <c r="D240" t="s">
        <v>847</v>
      </c>
    </row>
    <row r="241" spans="1:4" x14ac:dyDescent="0.25">
      <c r="A241" t="s">
        <v>848</v>
      </c>
      <c r="D241" t="s">
        <v>849</v>
      </c>
    </row>
    <row r="242" spans="1:4" x14ac:dyDescent="0.25">
      <c r="A242" t="s">
        <v>850</v>
      </c>
      <c r="D242" t="s">
        <v>851</v>
      </c>
    </row>
    <row r="243" spans="1:4" x14ac:dyDescent="0.25">
      <c r="A243" t="s">
        <v>852</v>
      </c>
      <c r="D243" t="s">
        <v>853</v>
      </c>
    </row>
    <row r="244" spans="1:4" x14ac:dyDescent="0.25">
      <c r="A244" t="s">
        <v>854</v>
      </c>
      <c r="D244" t="s">
        <v>574</v>
      </c>
    </row>
    <row r="245" spans="1:4" x14ac:dyDescent="0.25">
      <c r="A245" t="s">
        <v>855</v>
      </c>
      <c r="D245" t="s">
        <v>536</v>
      </c>
    </row>
    <row r="246" spans="1:4" x14ac:dyDescent="0.25">
      <c r="A246" t="s">
        <v>856</v>
      </c>
      <c r="D246" t="s">
        <v>551</v>
      </c>
    </row>
    <row r="247" spans="1:4" x14ac:dyDescent="0.25">
      <c r="A247" t="s">
        <v>857</v>
      </c>
      <c r="D247" t="s">
        <v>858</v>
      </c>
    </row>
    <row r="248" spans="1:4" x14ac:dyDescent="0.25">
      <c r="A248" t="s">
        <v>859</v>
      </c>
      <c r="D248" t="s">
        <v>860</v>
      </c>
    </row>
    <row r="249" spans="1:4" x14ac:dyDescent="0.25">
      <c r="A249" t="s">
        <v>861</v>
      </c>
      <c r="D249" t="s">
        <v>862</v>
      </c>
    </row>
    <row r="250" spans="1:4" x14ac:dyDescent="0.25">
      <c r="A250" t="s">
        <v>863</v>
      </c>
      <c r="D250" t="s">
        <v>864</v>
      </c>
    </row>
    <row r="251" spans="1:4" x14ac:dyDescent="0.25">
      <c r="A251" t="s">
        <v>865</v>
      </c>
      <c r="D251" t="s">
        <v>866</v>
      </c>
    </row>
    <row r="252" spans="1:4" x14ac:dyDescent="0.25">
      <c r="A252" t="s">
        <v>867</v>
      </c>
      <c r="D252" t="s">
        <v>584</v>
      </c>
    </row>
    <row r="253" spans="1:4" x14ac:dyDescent="0.25">
      <c r="A253" t="s">
        <v>868</v>
      </c>
      <c r="D253" t="s">
        <v>869</v>
      </c>
    </row>
    <row r="254" spans="1:4" x14ac:dyDescent="0.25">
      <c r="A254" t="s">
        <v>870</v>
      </c>
      <c r="D254" t="s">
        <v>631</v>
      </c>
    </row>
    <row r="255" spans="1:4" x14ac:dyDescent="0.25">
      <c r="A255" t="s">
        <v>871</v>
      </c>
      <c r="D255" t="s">
        <v>723</v>
      </c>
    </row>
    <row r="256" spans="1:4" x14ac:dyDescent="0.25">
      <c r="A256" t="s">
        <v>872</v>
      </c>
      <c r="D256" t="s">
        <v>873</v>
      </c>
    </row>
    <row r="257" spans="1:4" x14ac:dyDescent="0.25">
      <c r="A257" t="s">
        <v>874</v>
      </c>
      <c r="D257" t="s">
        <v>875</v>
      </c>
    </row>
    <row r="258" spans="1:4" x14ac:dyDescent="0.25">
      <c r="A258" t="s">
        <v>876</v>
      </c>
      <c r="D258" t="s">
        <v>723</v>
      </c>
    </row>
    <row r="259" spans="1:4" x14ac:dyDescent="0.25">
      <c r="A259" t="s">
        <v>877</v>
      </c>
      <c r="D259" t="s">
        <v>616</v>
      </c>
    </row>
    <row r="260" spans="1:4" x14ac:dyDescent="0.25">
      <c r="A260" t="s">
        <v>878</v>
      </c>
      <c r="D260" t="s">
        <v>879</v>
      </c>
    </row>
    <row r="261" spans="1:4" x14ac:dyDescent="0.25">
      <c r="A261" t="s">
        <v>880</v>
      </c>
      <c r="D261" t="s">
        <v>881</v>
      </c>
    </row>
    <row r="262" spans="1:4" x14ac:dyDescent="0.25">
      <c r="A262" t="s">
        <v>882</v>
      </c>
      <c r="D262" t="s">
        <v>883</v>
      </c>
    </row>
    <row r="263" spans="1:4" x14ac:dyDescent="0.25">
      <c r="A263" t="s">
        <v>884</v>
      </c>
      <c r="D263" t="s">
        <v>885</v>
      </c>
    </row>
    <row r="264" spans="1:4" x14ac:dyDescent="0.25">
      <c r="A264" t="s">
        <v>886</v>
      </c>
      <c r="D264" t="s">
        <v>887</v>
      </c>
    </row>
    <row r="265" spans="1:4" x14ac:dyDescent="0.25">
      <c r="A265" t="s">
        <v>888</v>
      </c>
      <c r="D265" t="s">
        <v>889</v>
      </c>
    </row>
    <row r="266" spans="1:4" x14ac:dyDescent="0.25">
      <c r="A266" t="s">
        <v>890</v>
      </c>
      <c r="D266" t="s">
        <v>473</v>
      </c>
    </row>
    <row r="267" spans="1:4" x14ac:dyDescent="0.25">
      <c r="A267" t="s">
        <v>891</v>
      </c>
      <c r="D267" t="s">
        <v>792</v>
      </c>
    </row>
    <row r="268" spans="1:4" x14ac:dyDescent="0.25">
      <c r="A268" t="s">
        <v>892</v>
      </c>
      <c r="D268" t="s">
        <v>551</v>
      </c>
    </row>
    <row r="269" spans="1:4" x14ac:dyDescent="0.25">
      <c r="A269" t="s">
        <v>893</v>
      </c>
      <c r="D269" t="s">
        <v>894</v>
      </c>
    </row>
    <row r="270" spans="1:4" x14ac:dyDescent="0.25">
      <c r="A270" t="s">
        <v>895</v>
      </c>
      <c r="D270" t="s">
        <v>445</v>
      </c>
    </row>
    <row r="271" spans="1:4" x14ac:dyDescent="0.25">
      <c r="A271" t="s">
        <v>896</v>
      </c>
      <c r="D271" t="s">
        <v>599</v>
      </c>
    </row>
    <row r="272" spans="1:4" x14ac:dyDescent="0.25">
      <c r="A272" t="s">
        <v>897</v>
      </c>
      <c r="D272" t="s">
        <v>898</v>
      </c>
    </row>
    <row r="273" spans="1:4" x14ac:dyDescent="0.25">
      <c r="A273" t="s">
        <v>899</v>
      </c>
      <c r="D273" t="s">
        <v>792</v>
      </c>
    </row>
    <row r="274" spans="1:4" x14ac:dyDescent="0.25">
      <c r="A274" t="s">
        <v>900</v>
      </c>
      <c r="D274" t="s">
        <v>453</v>
      </c>
    </row>
    <row r="275" spans="1:4" x14ac:dyDescent="0.25">
      <c r="A275" t="s">
        <v>901</v>
      </c>
      <c r="D275" t="s">
        <v>609</v>
      </c>
    </row>
    <row r="276" spans="1:4" x14ac:dyDescent="0.25">
      <c r="A276" t="s">
        <v>902</v>
      </c>
      <c r="D276" t="s">
        <v>903</v>
      </c>
    </row>
    <row r="277" spans="1:4" x14ac:dyDescent="0.25">
      <c r="A277" t="s">
        <v>904</v>
      </c>
      <c r="D277" t="s">
        <v>748</v>
      </c>
    </row>
    <row r="278" spans="1:4" x14ac:dyDescent="0.25">
      <c r="A278" t="s">
        <v>905</v>
      </c>
      <c r="D278" t="s">
        <v>906</v>
      </c>
    </row>
    <row r="279" spans="1:4" x14ac:dyDescent="0.25">
      <c r="A279" t="s">
        <v>907</v>
      </c>
      <c r="D279" t="s">
        <v>908</v>
      </c>
    </row>
    <row r="280" spans="1:4" x14ac:dyDescent="0.25">
      <c r="A280" t="s">
        <v>909</v>
      </c>
    </row>
    <row r="281" spans="1:4" x14ac:dyDescent="0.25">
      <c r="A281" t="s">
        <v>910</v>
      </c>
      <c r="D281" t="s">
        <v>911</v>
      </c>
    </row>
    <row r="282" spans="1:4" x14ac:dyDescent="0.25">
      <c r="A282" t="s">
        <v>912</v>
      </c>
      <c r="D282" t="s">
        <v>913</v>
      </c>
    </row>
    <row r="283" spans="1:4" x14ac:dyDescent="0.25">
      <c r="A283" t="s">
        <v>914</v>
      </c>
      <c r="D283" t="s">
        <v>915</v>
      </c>
    </row>
    <row r="284" spans="1:4" x14ac:dyDescent="0.25">
      <c r="A284" t="s">
        <v>916</v>
      </c>
      <c r="D284" t="s">
        <v>917</v>
      </c>
    </row>
    <row r="285" spans="1:4" x14ac:dyDescent="0.25">
      <c r="A285" t="s">
        <v>918</v>
      </c>
      <c r="D285" t="s">
        <v>513</v>
      </c>
    </row>
    <row r="286" spans="1:4" x14ac:dyDescent="0.25">
      <c r="A286" t="s">
        <v>919</v>
      </c>
      <c r="D286" t="s">
        <v>920</v>
      </c>
    </row>
    <row r="287" spans="1:4" x14ac:dyDescent="0.25">
      <c r="A287" t="s">
        <v>921</v>
      </c>
    </row>
    <row r="288" spans="1:4" x14ac:dyDescent="0.25">
      <c r="A288" t="s">
        <v>922</v>
      </c>
      <c r="D288" t="s">
        <v>923</v>
      </c>
    </row>
    <row r="289" spans="1:4" x14ac:dyDescent="0.25">
      <c r="A289" t="s">
        <v>924</v>
      </c>
      <c r="D289" t="s">
        <v>925</v>
      </c>
    </row>
    <row r="290" spans="1:4" x14ac:dyDescent="0.25">
      <c r="A290" t="s">
        <v>926</v>
      </c>
      <c r="D290" t="s">
        <v>551</v>
      </c>
    </row>
    <row r="291" spans="1:4" x14ac:dyDescent="0.25">
      <c r="A291" t="s">
        <v>927</v>
      </c>
      <c r="D291" t="s">
        <v>928</v>
      </c>
    </row>
    <row r="292" spans="1:4" x14ac:dyDescent="0.25">
      <c r="A292" t="s">
        <v>929</v>
      </c>
      <c r="D292" t="s">
        <v>930</v>
      </c>
    </row>
    <row r="293" spans="1:4" x14ac:dyDescent="0.25">
      <c r="A293" t="s">
        <v>931</v>
      </c>
      <c r="D293" t="s">
        <v>511</v>
      </c>
    </row>
    <row r="294" spans="1:4" x14ac:dyDescent="0.25">
      <c r="A294" t="s">
        <v>932</v>
      </c>
    </row>
    <row r="295" spans="1:4" x14ac:dyDescent="0.25">
      <c r="A295" t="s">
        <v>933</v>
      </c>
      <c r="D295" t="s">
        <v>934</v>
      </c>
    </row>
    <row r="296" spans="1:4" x14ac:dyDescent="0.25">
      <c r="A296" t="s">
        <v>935</v>
      </c>
      <c r="D296" t="s">
        <v>936</v>
      </c>
    </row>
    <row r="297" spans="1:4" x14ac:dyDescent="0.25">
      <c r="A297" t="s">
        <v>937</v>
      </c>
      <c r="D297" t="s">
        <v>938</v>
      </c>
    </row>
    <row r="298" spans="1:4" x14ac:dyDescent="0.25">
      <c r="A298" t="s">
        <v>939</v>
      </c>
      <c r="D298" t="s">
        <v>940</v>
      </c>
    </row>
    <row r="299" spans="1:4" x14ac:dyDescent="0.25">
      <c r="A299" t="s">
        <v>941</v>
      </c>
      <c r="D299" t="s">
        <v>942</v>
      </c>
    </row>
    <row r="300" spans="1:4" x14ac:dyDescent="0.25">
      <c r="A300" t="s">
        <v>943</v>
      </c>
      <c r="D300" t="s">
        <v>669</v>
      </c>
    </row>
    <row r="301" spans="1:4" x14ac:dyDescent="0.25">
      <c r="A301" t="s">
        <v>944</v>
      </c>
      <c r="D301" t="s">
        <v>945</v>
      </c>
    </row>
    <row r="302" spans="1:4" x14ac:dyDescent="0.25">
      <c r="A302" t="s">
        <v>946</v>
      </c>
      <c r="D302" t="s">
        <v>947</v>
      </c>
    </row>
    <row r="303" spans="1:4" x14ac:dyDescent="0.25">
      <c r="A303" t="s">
        <v>948</v>
      </c>
      <c r="D303" t="s">
        <v>664</v>
      </c>
    </row>
    <row r="304" spans="1:4" x14ac:dyDescent="0.25">
      <c r="A304" t="s">
        <v>949</v>
      </c>
      <c r="D304" t="s">
        <v>820</v>
      </c>
    </row>
    <row r="305" spans="1:4" x14ac:dyDescent="0.25">
      <c r="A305" t="s">
        <v>950</v>
      </c>
      <c r="D305" t="s">
        <v>951</v>
      </c>
    </row>
    <row r="306" spans="1:4" x14ac:dyDescent="0.25">
      <c r="A306" t="s">
        <v>952</v>
      </c>
      <c r="D306" t="s">
        <v>953</v>
      </c>
    </row>
    <row r="307" spans="1:4" x14ac:dyDescent="0.25">
      <c r="A307" t="s">
        <v>954</v>
      </c>
      <c r="D307" t="s">
        <v>955</v>
      </c>
    </row>
    <row r="308" spans="1:4" x14ac:dyDescent="0.25">
      <c r="A308" t="s">
        <v>956</v>
      </c>
      <c r="D308" t="s">
        <v>701</v>
      </c>
    </row>
    <row r="309" spans="1:4" x14ac:dyDescent="0.25">
      <c r="A309" t="s">
        <v>957</v>
      </c>
      <c r="D309" t="s">
        <v>958</v>
      </c>
    </row>
    <row r="310" spans="1:4" x14ac:dyDescent="0.25">
      <c r="A310" t="s">
        <v>959</v>
      </c>
      <c r="D310" t="s">
        <v>960</v>
      </c>
    </row>
    <row r="311" spans="1:4" x14ac:dyDescent="0.25">
      <c r="A311" t="s">
        <v>961</v>
      </c>
      <c r="D311" t="s">
        <v>962</v>
      </c>
    </row>
    <row r="312" spans="1:4" x14ac:dyDescent="0.25">
      <c r="A312" t="s">
        <v>963</v>
      </c>
      <c r="D312" t="s">
        <v>964</v>
      </c>
    </row>
    <row r="313" spans="1:4" x14ac:dyDescent="0.25">
      <c r="A313" t="s">
        <v>965</v>
      </c>
      <c r="D313" t="s">
        <v>966</v>
      </c>
    </row>
    <row r="314" spans="1:4" x14ac:dyDescent="0.25">
      <c r="A314" t="s">
        <v>967</v>
      </c>
      <c r="D314" t="s">
        <v>968</v>
      </c>
    </row>
    <row r="315" spans="1:4" x14ac:dyDescent="0.25">
      <c r="A315" t="s">
        <v>969</v>
      </c>
      <c r="D315" t="s">
        <v>970</v>
      </c>
    </row>
    <row r="316" spans="1:4" x14ac:dyDescent="0.25">
      <c r="A316" t="s">
        <v>971</v>
      </c>
      <c r="D316" t="s">
        <v>972</v>
      </c>
    </row>
    <row r="317" spans="1:4" x14ac:dyDescent="0.25">
      <c r="A317" t="s">
        <v>973</v>
      </c>
      <c r="D317" t="s">
        <v>974</v>
      </c>
    </row>
    <row r="318" spans="1:4" x14ac:dyDescent="0.25">
      <c r="A318" t="s">
        <v>975</v>
      </c>
      <c r="D318" t="s">
        <v>976</v>
      </c>
    </row>
    <row r="319" spans="1:4" x14ac:dyDescent="0.25">
      <c r="A319" t="s">
        <v>977</v>
      </c>
      <c r="D319" t="s">
        <v>579</v>
      </c>
    </row>
    <row r="320" spans="1:4" x14ac:dyDescent="0.25">
      <c r="A320" t="s">
        <v>978</v>
      </c>
      <c r="D320" t="s">
        <v>979</v>
      </c>
    </row>
    <row r="321" spans="1:4" x14ac:dyDescent="0.25">
      <c r="A321" t="s">
        <v>980</v>
      </c>
      <c r="D321" t="s">
        <v>792</v>
      </c>
    </row>
    <row r="322" spans="1:4" x14ac:dyDescent="0.25">
      <c r="A322" t="s">
        <v>981</v>
      </c>
      <c r="D322" t="s">
        <v>662</v>
      </c>
    </row>
    <row r="323" spans="1:4" x14ac:dyDescent="0.25">
      <c r="A323" t="s">
        <v>982</v>
      </c>
      <c r="D323" t="s">
        <v>983</v>
      </c>
    </row>
    <row r="324" spans="1:4" x14ac:dyDescent="0.25">
      <c r="A324" t="s">
        <v>984</v>
      </c>
      <c r="D324" t="s">
        <v>985</v>
      </c>
    </row>
    <row r="325" spans="1:4" x14ac:dyDescent="0.25">
      <c r="A325" t="s">
        <v>986</v>
      </c>
      <c r="D325" t="s">
        <v>987</v>
      </c>
    </row>
    <row r="326" spans="1:4" x14ac:dyDescent="0.25">
      <c r="A326" t="s">
        <v>988</v>
      </c>
      <c r="D326" t="s">
        <v>432</v>
      </c>
    </row>
    <row r="327" spans="1:4" x14ac:dyDescent="0.25">
      <c r="A327" t="s">
        <v>989</v>
      </c>
      <c r="D327" t="s">
        <v>611</v>
      </c>
    </row>
    <row r="328" spans="1:4" x14ac:dyDescent="0.25">
      <c r="A328" t="s">
        <v>990</v>
      </c>
      <c r="D328" t="s">
        <v>991</v>
      </c>
    </row>
    <row r="329" spans="1:4" x14ac:dyDescent="0.25">
      <c r="A329" t="s">
        <v>992</v>
      </c>
    </row>
    <row r="330" spans="1:4" x14ac:dyDescent="0.25">
      <c r="A330" t="s">
        <v>993</v>
      </c>
      <c r="D330" t="s">
        <v>853</v>
      </c>
    </row>
    <row r="331" spans="1:4" x14ac:dyDescent="0.25">
      <c r="A331" t="s">
        <v>994</v>
      </c>
      <c r="D331" t="s">
        <v>995</v>
      </c>
    </row>
    <row r="332" spans="1:4" x14ac:dyDescent="0.25">
      <c r="A332" t="s">
        <v>996</v>
      </c>
      <c r="D332" t="s">
        <v>997</v>
      </c>
    </row>
    <row r="333" spans="1:4" x14ac:dyDescent="0.25">
      <c r="A333" t="s">
        <v>998</v>
      </c>
      <c r="D333" t="s">
        <v>574</v>
      </c>
    </row>
    <row r="334" spans="1:4" x14ac:dyDescent="0.25">
      <c r="A334" t="s">
        <v>999</v>
      </c>
      <c r="D334" t="s">
        <v>1000</v>
      </c>
    </row>
    <row r="335" spans="1:4" x14ac:dyDescent="0.25">
      <c r="A335" t="s">
        <v>1001</v>
      </c>
      <c r="D335" t="s">
        <v>513</v>
      </c>
    </row>
    <row r="336" spans="1:4" x14ac:dyDescent="0.25">
      <c r="A336" t="s">
        <v>1002</v>
      </c>
      <c r="D336" t="s">
        <v>1003</v>
      </c>
    </row>
    <row r="337" spans="1:4" x14ac:dyDescent="0.25">
      <c r="A337" t="s">
        <v>1004</v>
      </c>
      <c r="D337" t="s">
        <v>1005</v>
      </c>
    </row>
    <row r="338" spans="1:4" x14ac:dyDescent="0.25">
      <c r="A338" t="s">
        <v>1006</v>
      </c>
      <c r="D338" t="s">
        <v>1007</v>
      </c>
    </row>
    <row r="339" spans="1:4" x14ac:dyDescent="0.25">
      <c r="A339" t="s">
        <v>1008</v>
      </c>
      <c r="D339" t="s">
        <v>987</v>
      </c>
    </row>
    <row r="340" spans="1:4" x14ac:dyDescent="0.25">
      <c r="A340" t="s">
        <v>1009</v>
      </c>
      <c r="D340" t="s">
        <v>1010</v>
      </c>
    </row>
    <row r="341" spans="1:4" x14ac:dyDescent="0.25">
      <c r="A341" t="s">
        <v>1011</v>
      </c>
      <c r="D341" t="s">
        <v>1012</v>
      </c>
    </row>
    <row r="342" spans="1:4" x14ac:dyDescent="0.25">
      <c r="A342" t="s">
        <v>1013</v>
      </c>
      <c r="D342" t="s">
        <v>1014</v>
      </c>
    </row>
    <row r="343" spans="1:4" x14ac:dyDescent="0.25">
      <c r="A343" t="s">
        <v>1015</v>
      </c>
      <c r="D343" t="s">
        <v>569</v>
      </c>
    </row>
    <row r="344" spans="1:4" x14ac:dyDescent="0.25">
      <c r="A344" t="s">
        <v>1016</v>
      </c>
      <c r="D344" t="s">
        <v>638</v>
      </c>
    </row>
    <row r="345" spans="1:4" x14ac:dyDescent="0.25">
      <c r="A345" t="s">
        <v>1017</v>
      </c>
      <c r="D345" t="s">
        <v>525</v>
      </c>
    </row>
    <row r="346" spans="1:4" x14ac:dyDescent="0.25">
      <c r="A346" t="s">
        <v>1018</v>
      </c>
      <c r="D346" t="s">
        <v>1019</v>
      </c>
    </row>
    <row r="347" spans="1:4" x14ac:dyDescent="0.25">
      <c r="A347" t="s">
        <v>1020</v>
      </c>
      <c r="D347" t="s">
        <v>792</v>
      </c>
    </row>
    <row r="348" spans="1:4" x14ac:dyDescent="0.25">
      <c r="A348" t="s">
        <v>1021</v>
      </c>
      <c r="D348" t="s">
        <v>701</v>
      </c>
    </row>
    <row r="349" spans="1:4" x14ac:dyDescent="0.25">
      <c r="A349" t="s">
        <v>1022</v>
      </c>
      <c r="D349" t="s">
        <v>800</v>
      </c>
    </row>
    <row r="350" spans="1:4" x14ac:dyDescent="0.25">
      <c r="A350" t="s">
        <v>1023</v>
      </c>
      <c r="D350" t="s">
        <v>569</v>
      </c>
    </row>
    <row r="351" spans="1:4" x14ac:dyDescent="0.25">
      <c r="A351" t="s">
        <v>1024</v>
      </c>
      <c r="D351" t="s">
        <v>1025</v>
      </c>
    </row>
    <row r="352" spans="1:4" x14ac:dyDescent="0.25">
      <c r="A352" t="s">
        <v>1026</v>
      </c>
      <c r="D352" t="s">
        <v>825</v>
      </c>
    </row>
    <row r="353" spans="1:4" x14ac:dyDescent="0.25">
      <c r="A353" t="s">
        <v>1027</v>
      </c>
      <c r="D353" t="s">
        <v>1028</v>
      </c>
    </row>
    <row r="354" spans="1:4" x14ac:dyDescent="0.25">
      <c r="A354" t="s">
        <v>1029</v>
      </c>
      <c r="D354" t="s">
        <v>1030</v>
      </c>
    </row>
    <row r="355" spans="1:4" x14ac:dyDescent="0.25">
      <c r="A355" t="s">
        <v>1031</v>
      </c>
      <c r="D355" t="s">
        <v>1032</v>
      </c>
    </row>
    <row r="356" spans="1:4" x14ac:dyDescent="0.25">
      <c r="A356" t="s">
        <v>1033</v>
      </c>
      <c r="D356" t="s">
        <v>1034</v>
      </c>
    </row>
    <row r="357" spans="1:4" x14ac:dyDescent="0.25">
      <c r="A357" t="s">
        <v>1035</v>
      </c>
      <c r="D357" t="s">
        <v>731</v>
      </c>
    </row>
    <row r="358" spans="1:4" x14ac:dyDescent="0.25">
      <c r="A358" t="s">
        <v>1036</v>
      </c>
      <c r="D358" t="s">
        <v>513</v>
      </c>
    </row>
    <row r="359" spans="1:4" x14ac:dyDescent="0.25">
      <c r="A359" t="s">
        <v>1037</v>
      </c>
      <c r="D359" t="s">
        <v>894</v>
      </c>
    </row>
    <row r="360" spans="1:4" x14ac:dyDescent="0.25">
      <c r="A360" t="s">
        <v>1038</v>
      </c>
    </row>
    <row r="361" spans="1:4" x14ac:dyDescent="0.25">
      <c r="A361" t="s">
        <v>1039</v>
      </c>
      <c r="D361" t="s">
        <v>972</v>
      </c>
    </row>
    <row r="362" spans="1:4" x14ac:dyDescent="0.25">
      <c r="A362" t="s">
        <v>1040</v>
      </c>
      <c r="D362" t="s">
        <v>1041</v>
      </c>
    </row>
    <row r="363" spans="1:4" x14ac:dyDescent="0.25">
      <c r="A363" t="s">
        <v>1042</v>
      </c>
      <c r="D363" t="s">
        <v>648</v>
      </c>
    </row>
    <row r="364" spans="1:4" x14ac:dyDescent="0.25">
      <c r="A364" t="s">
        <v>1043</v>
      </c>
      <c r="D364" t="s">
        <v>915</v>
      </c>
    </row>
    <row r="365" spans="1:4" x14ac:dyDescent="0.25">
      <c r="A365" t="s">
        <v>1044</v>
      </c>
      <c r="D365" t="s">
        <v>1045</v>
      </c>
    </row>
    <row r="366" spans="1:4" x14ac:dyDescent="0.25">
      <c r="A366" t="s">
        <v>1046</v>
      </c>
      <c r="D366" t="s">
        <v>1047</v>
      </c>
    </row>
    <row r="367" spans="1:4" x14ac:dyDescent="0.25">
      <c r="A367" t="s">
        <v>1048</v>
      </c>
      <c r="D367" t="s">
        <v>1049</v>
      </c>
    </row>
    <row r="368" spans="1:4" x14ac:dyDescent="0.25">
      <c r="A368" t="s">
        <v>1050</v>
      </c>
      <c r="D368" t="s">
        <v>1051</v>
      </c>
    </row>
    <row r="369" spans="1:4" x14ac:dyDescent="0.25">
      <c r="A369" t="s">
        <v>1052</v>
      </c>
      <c r="D369" t="s">
        <v>441</v>
      </c>
    </row>
    <row r="370" spans="1:4" x14ac:dyDescent="0.25">
      <c r="A370" t="s">
        <v>1053</v>
      </c>
      <c r="D370" t="s">
        <v>584</v>
      </c>
    </row>
    <row r="371" spans="1:4" x14ac:dyDescent="0.25">
      <c r="A371" t="s">
        <v>1054</v>
      </c>
      <c r="D371" t="s">
        <v>1055</v>
      </c>
    </row>
    <row r="372" spans="1:4" x14ac:dyDescent="0.25">
      <c r="A372" t="s">
        <v>1056</v>
      </c>
      <c r="D372" t="s">
        <v>449</v>
      </c>
    </row>
    <row r="373" spans="1:4" x14ac:dyDescent="0.25">
      <c r="A373" t="s">
        <v>1057</v>
      </c>
      <c r="D373" t="s">
        <v>457</v>
      </c>
    </row>
    <row r="374" spans="1:4" x14ac:dyDescent="0.25">
      <c r="A374" t="s">
        <v>1058</v>
      </c>
      <c r="D374" t="s">
        <v>1059</v>
      </c>
    </row>
    <row r="375" spans="1:4" x14ac:dyDescent="0.25">
      <c r="A375" t="s">
        <v>1060</v>
      </c>
      <c r="D375" t="s">
        <v>968</v>
      </c>
    </row>
    <row r="376" spans="1:4" x14ac:dyDescent="0.25">
      <c r="A376" t="s">
        <v>1061</v>
      </c>
      <c r="D376" t="s">
        <v>1062</v>
      </c>
    </row>
    <row r="377" spans="1:4" x14ac:dyDescent="0.25">
      <c r="A377" t="s">
        <v>1063</v>
      </c>
      <c r="D377" t="s">
        <v>1064</v>
      </c>
    </row>
    <row r="378" spans="1:4" x14ac:dyDescent="0.25">
      <c r="A378" t="s">
        <v>1065</v>
      </c>
      <c r="D378" t="s">
        <v>972</v>
      </c>
    </row>
    <row r="379" spans="1:4" x14ac:dyDescent="0.25">
      <c r="A379" t="s">
        <v>1066</v>
      </c>
      <c r="D379" t="s">
        <v>455</v>
      </c>
    </row>
    <row r="380" spans="1:4" x14ac:dyDescent="0.25">
      <c r="A380" t="s">
        <v>1067</v>
      </c>
      <c r="D380" t="s">
        <v>1068</v>
      </c>
    </row>
    <row r="381" spans="1:4" x14ac:dyDescent="0.25">
      <c r="A381" t="s">
        <v>1069</v>
      </c>
      <c r="D381" t="s">
        <v>1070</v>
      </c>
    </row>
    <row r="382" spans="1:4" x14ac:dyDescent="0.25">
      <c r="A382" t="s">
        <v>1071</v>
      </c>
      <c r="D382" t="s">
        <v>1072</v>
      </c>
    </row>
    <row r="383" spans="1:4" x14ac:dyDescent="0.25">
      <c r="A383" t="s">
        <v>1073</v>
      </c>
      <c r="D383" t="s">
        <v>1074</v>
      </c>
    </row>
    <row r="384" spans="1:4" x14ac:dyDescent="0.25">
      <c r="A384" t="s">
        <v>1075</v>
      </c>
      <c r="D384" t="s">
        <v>783</v>
      </c>
    </row>
    <row r="385" spans="1:4" x14ac:dyDescent="0.25">
      <c r="A385" t="s">
        <v>1076</v>
      </c>
      <c r="D385" t="s">
        <v>1077</v>
      </c>
    </row>
    <row r="386" spans="1:4" x14ac:dyDescent="0.25">
      <c r="A386" t="s">
        <v>1078</v>
      </c>
      <c r="D386" t="s">
        <v>1079</v>
      </c>
    </row>
    <row r="387" spans="1:4" x14ac:dyDescent="0.25">
      <c r="A387" t="s">
        <v>1080</v>
      </c>
      <c r="D387" t="s">
        <v>662</v>
      </c>
    </row>
    <row r="388" spans="1:4" x14ac:dyDescent="0.25">
      <c r="A388" t="s">
        <v>1081</v>
      </c>
      <c r="D388" t="s">
        <v>1082</v>
      </c>
    </row>
    <row r="389" spans="1:4" x14ac:dyDescent="0.25">
      <c r="A389" t="s">
        <v>1083</v>
      </c>
      <c r="D389" t="s">
        <v>1084</v>
      </c>
    </row>
    <row r="390" spans="1:4" x14ac:dyDescent="0.25">
      <c r="A390" t="s">
        <v>1085</v>
      </c>
      <c r="D390" t="s">
        <v>1086</v>
      </c>
    </row>
    <row r="391" spans="1:4" x14ac:dyDescent="0.25">
      <c r="A391" t="s">
        <v>1087</v>
      </c>
      <c r="D391" t="s">
        <v>455</v>
      </c>
    </row>
    <row r="392" spans="1:4" x14ac:dyDescent="0.25">
      <c r="A392" t="s">
        <v>1088</v>
      </c>
      <c r="D392" t="s">
        <v>1089</v>
      </c>
    </row>
    <row r="393" spans="1:4" x14ac:dyDescent="0.25">
      <c r="A393" t="s">
        <v>1090</v>
      </c>
      <c r="D393" t="s">
        <v>1091</v>
      </c>
    </row>
    <row r="394" spans="1:4" x14ac:dyDescent="0.25">
      <c r="A394" t="s">
        <v>1092</v>
      </c>
      <c r="D394" t="s">
        <v>1093</v>
      </c>
    </row>
    <row r="395" spans="1:4" x14ac:dyDescent="0.25">
      <c r="A395" t="s">
        <v>1094</v>
      </c>
      <c r="D395" t="s">
        <v>513</v>
      </c>
    </row>
    <row r="396" spans="1:4" x14ac:dyDescent="0.25">
      <c r="A396" t="s">
        <v>1095</v>
      </c>
      <c r="D396" t="s">
        <v>820</v>
      </c>
    </row>
    <row r="397" spans="1:4" x14ac:dyDescent="0.25">
      <c r="A397" t="s">
        <v>1096</v>
      </c>
      <c r="D397" t="s">
        <v>1097</v>
      </c>
    </row>
    <row r="398" spans="1:4" x14ac:dyDescent="0.25">
      <c r="A398" t="s">
        <v>1098</v>
      </c>
      <c r="D398" t="s">
        <v>594</v>
      </c>
    </row>
    <row r="399" spans="1:4" x14ac:dyDescent="0.25">
      <c r="A399" t="s">
        <v>1099</v>
      </c>
    </row>
    <row r="400" spans="1:4" x14ac:dyDescent="0.25">
      <c r="A400" t="s">
        <v>1100</v>
      </c>
      <c r="D400" t="s">
        <v>1101</v>
      </c>
    </row>
    <row r="401" spans="1:4" x14ac:dyDescent="0.25">
      <c r="A401" t="s">
        <v>1102</v>
      </c>
      <c r="D401" t="s">
        <v>1103</v>
      </c>
    </row>
    <row r="402" spans="1:4" x14ac:dyDescent="0.25">
      <c r="A402" t="s">
        <v>1104</v>
      </c>
      <c r="D402" t="s">
        <v>1105</v>
      </c>
    </row>
    <row r="403" spans="1:4" x14ac:dyDescent="0.25">
      <c r="A403" t="s">
        <v>1106</v>
      </c>
      <c r="D403" t="s">
        <v>1107</v>
      </c>
    </row>
    <row r="404" spans="1:4" x14ac:dyDescent="0.25">
      <c r="A404" t="s">
        <v>1108</v>
      </c>
    </row>
    <row r="405" spans="1:4" x14ac:dyDescent="0.25">
      <c r="A405" t="s">
        <v>1109</v>
      </c>
      <c r="D405" t="s">
        <v>792</v>
      </c>
    </row>
    <row r="406" spans="1:4" x14ac:dyDescent="0.25">
      <c r="A406" t="s">
        <v>1110</v>
      </c>
      <c r="D406" t="s">
        <v>517</v>
      </c>
    </row>
    <row r="407" spans="1:4" x14ac:dyDescent="0.25">
      <c r="A407" t="s">
        <v>412</v>
      </c>
      <c r="D407" t="s">
        <v>758</v>
      </c>
    </row>
    <row r="408" spans="1:4" x14ac:dyDescent="0.25">
      <c r="A408" t="s">
        <v>1111</v>
      </c>
      <c r="D408" t="s">
        <v>1112</v>
      </c>
    </row>
    <row r="409" spans="1:4" x14ac:dyDescent="0.25">
      <c r="A409" t="s">
        <v>1113</v>
      </c>
      <c r="D409" t="s">
        <v>725</v>
      </c>
    </row>
    <row r="410" spans="1:4" x14ac:dyDescent="0.25">
      <c r="A410" t="s">
        <v>1114</v>
      </c>
      <c r="D410" t="s">
        <v>662</v>
      </c>
    </row>
    <row r="411" spans="1:4" x14ac:dyDescent="0.25">
      <c r="A411" t="s">
        <v>1115</v>
      </c>
      <c r="D411" t="s">
        <v>1116</v>
      </c>
    </row>
    <row r="412" spans="1:4" x14ac:dyDescent="0.25">
      <c r="A412" t="s">
        <v>1117</v>
      </c>
      <c r="D412" t="s">
        <v>1118</v>
      </c>
    </row>
    <row r="413" spans="1:4" x14ac:dyDescent="0.25">
      <c r="A413" t="s">
        <v>1119</v>
      </c>
      <c r="D413" t="s">
        <v>1120</v>
      </c>
    </row>
    <row r="414" spans="1:4" x14ac:dyDescent="0.25">
      <c r="A414" t="s">
        <v>1121</v>
      </c>
      <c r="D414" t="s">
        <v>1122</v>
      </c>
    </row>
    <row r="415" spans="1:4" x14ac:dyDescent="0.25">
      <c r="A415" t="s">
        <v>1123</v>
      </c>
      <c r="D415" t="s">
        <v>1124</v>
      </c>
    </row>
    <row r="416" spans="1:4" x14ac:dyDescent="0.25">
      <c r="A416" t="s">
        <v>1125</v>
      </c>
      <c r="D416" t="s">
        <v>1126</v>
      </c>
    </row>
    <row r="417" spans="1:4" x14ac:dyDescent="0.25">
      <c r="A417" t="s">
        <v>1127</v>
      </c>
      <c r="D417" t="s">
        <v>534</v>
      </c>
    </row>
    <row r="418" spans="1:4" x14ac:dyDescent="0.25">
      <c r="A418" t="s">
        <v>1128</v>
      </c>
      <c r="D418" t="s">
        <v>725</v>
      </c>
    </row>
    <row r="419" spans="1:4" x14ac:dyDescent="0.25">
      <c r="A419" t="s">
        <v>1129</v>
      </c>
      <c r="D419" t="s">
        <v>572</v>
      </c>
    </row>
    <row r="420" spans="1:4" x14ac:dyDescent="0.25">
      <c r="A420" t="s">
        <v>1130</v>
      </c>
      <c r="D420" t="s">
        <v>1131</v>
      </c>
    </row>
    <row r="421" spans="1:4" x14ac:dyDescent="0.25">
      <c r="A421" t="s">
        <v>1132</v>
      </c>
      <c r="D421" t="s">
        <v>1133</v>
      </c>
    </row>
    <row r="422" spans="1:4" x14ac:dyDescent="0.25">
      <c r="A422" t="s">
        <v>1134</v>
      </c>
      <c r="D422" t="s">
        <v>1135</v>
      </c>
    </row>
    <row r="423" spans="1:4" x14ac:dyDescent="0.25">
      <c r="A423" t="s">
        <v>1136</v>
      </c>
      <c r="D423" t="s">
        <v>1137</v>
      </c>
    </row>
    <row r="424" spans="1:4" x14ac:dyDescent="0.25">
      <c r="A424" t="s">
        <v>1138</v>
      </c>
      <c r="D424" t="s">
        <v>792</v>
      </c>
    </row>
    <row r="425" spans="1:4" x14ac:dyDescent="0.25">
      <c r="A425" t="s">
        <v>1139</v>
      </c>
      <c r="D425" t="s">
        <v>1140</v>
      </c>
    </row>
    <row r="426" spans="1:4" x14ac:dyDescent="0.25">
      <c r="A426" t="s">
        <v>1141</v>
      </c>
      <c r="D426" t="s">
        <v>1142</v>
      </c>
    </row>
    <row r="427" spans="1:4" x14ac:dyDescent="0.25">
      <c r="A427" t="s">
        <v>1143</v>
      </c>
      <c r="D427" t="s">
        <v>701</v>
      </c>
    </row>
    <row r="428" spans="1:4" x14ac:dyDescent="0.25">
      <c r="A428" t="s">
        <v>1144</v>
      </c>
      <c r="D428" t="s">
        <v>1145</v>
      </c>
    </row>
    <row r="429" spans="1:4" x14ac:dyDescent="0.25">
      <c r="A429" t="s">
        <v>1146</v>
      </c>
      <c r="D429" t="s">
        <v>1147</v>
      </c>
    </row>
    <row r="430" spans="1:4" x14ac:dyDescent="0.25">
      <c r="A430" t="s">
        <v>1148</v>
      </c>
      <c r="D430" t="s">
        <v>584</v>
      </c>
    </row>
    <row r="431" spans="1:4" x14ac:dyDescent="0.25">
      <c r="A431" t="s">
        <v>1149</v>
      </c>
      <c r="D431" t="s">
        <v>883</v>
      </c>
    </row>
    <row r="432" spans="1:4" x14ac:dyDescent="0.25">
      <c r="A432" t="s">
        <v>1150</v>
      </c>
      <c r="D432" t="s">
        <v>584</v>
      </c>
    </row>
    <row r="433" spans="1:4" x14ac:dyDescent="0.25">
      <c r="A433" t="s">
        <v>1151</v>
      </c>
      <c r="D433" t="s">
        <v>1152</v>
      </c>
    </row>
    <row r="434" spans="1:4" x14ac:dyDescent="0.25">
      <c r="A434" t="s">
        <v>1153</v>
      </c>
      <c r="D434" t="s">
        <v>641</v>
      </c>
    </row>
    <row r="435" spans="1:4" x14ac:dyDescent="0.25">
      <c r="A435" t="s">
        <v>1154</v>
      </c>
      <c r="D435" t="s">
        <v>455</v>
      </c>
    </row>
    <row r="436" spans="1:4" x14ac:dyDescent="0.25">
      <c r="A436" t="s">
        <v>1155</v>
      </c>
      <c r="D436" t="s">
        <v>1156</v>
      </c>
    </row>
    <row r="437" spans="1:4" x14ac:dyDescent="0.25">
      <c r="A437" t="s">
        <v>1157</v>
      </c>
      <c r="D437" t="s">
        <v>513</v>
      </c>
    </row>
    <row r="438" spans="1:4" x14ac:dyDescent="0.25">
      <c r="A438" t="s">
        <v>1158</v>
      </c>
      <c r="D438" t="s">
        <v>596</v>
      </c>
    </row>
    <row r="439" spans="1:4" x14ac:dyDescent="0.25">
      <c r="A439" t="s">
        <v>1159</v>
      </c>
      <c r="D439" t="s">
        <v>1160</v>
      </c>
    </row>
    <row r="440" spans="1:4" x14ac:dyDescent="0.25">
      <c r="A440" t="s">
        <v>1161</v>
      </c>
      <c r="D440" t="s">
        <v>1162</v>
      </c>
    </row>
    <row r="441" spans="1:4" x14ac:dyDescent="0.25">
      <c r="A441" t="s">
        <v>1163</v>
      </c>
      <c r="D441" t="s">
        <v>1164</v>
      </c>
    </row>
    <row r="442" spans="1:4" x14ac:dyDescent="0.25">
      <c r="A442" t="s">
        <v>1165</v>
      </c>
      <c r="D442" t="s">
        <v>1166</v>
      </c>
    </row>
    <row r="443" spans="1:4" x14ac:dyDescent="0.25">
      <c r="A443" t="s">
        <v>1167</v>
      </c>
      <c r="D443" t="s">
        <v>1168</v>
      </c>
    </row>
    <row r="444" spans="1:4" x14ac:dyDescent="0.25">
      <c r="A444" t="s">
        <v>1169</v>
      </c>
      <c r="D444" t="s">
        <v>714</v>
      </c>
    </row>
    <row r="445" spans="1:4" x14ac:dyDescent="0.25">
      <c r="A445" t="s">
        <v>1170</v>
      </c>
      <c r="D445" t="s">
        <v>1171</v>
      </c>
    </row>
    <row r="446" spans="1:4" x14ac:dyDescent="0.25">
      <c r="A446" t="s">
        <v>1172</v>
      </c>
      <c r="D446" t="s">
        <v>1173</v>
      </c>
    </row>
    <row r="447" spans="1:4" x14ac:dyDescent="0.25">
      <c r="A447" t="s">
        <v>1174</v>
      </c>
      <c r="D447" t="s">
        <v>669</v>
      </c>
    </row>
    <row r="448" spans="1:4" x14ac:dyDescent="0.25">
      <c r="A448" t="s">
        <v>1175</v>
      </c>
      <c r="D448" t="s">
        <v>1176</v>
      </c>
    </row>
    <row r="449" spans="1:4" x14ac:dyDescent="0.25">
      <c r="A449" t="s">
        <v>1177</v>
      </c>
      <c r="D449" t="s">
        <v>1178</v>
      </c>
    </row>
    <row r="450" spans="1:4" x14ac:dyDescent="0.25">
      <c r="A450" t="s">
        <v>1179</v>
      </c>
    </row>
    <row r="451" spans="1:4" x14ac:dyDescent="0.25">
      <c r="A451" t="s">
        <v>1180</v>
      </c>
      <c r="D451" t="s">
        <v>1181</v>
      </c>
    </row>
    <row r="452" spans="1:4" x14ac:dyDescent="0.25">
      <c r="A452" t="s">
        <v>1182</v>
      </c>
      <c r="D452" t="s">
        <v>760</v>
      </c>
    </row>
    <row r="453" spans="1:4" x14ac:dyDescent="0.25">
      <c r="A453" t="s">
        <v>1183</v>
      </c>
      <c r="D453" t="s">
        <v>723</v>
      </c>
    </row>
    <row r="454" spans="1:4" x14ac:dyDescent="0.25">
      <c r="A454" t="s">
        <v>1184</v>
      </c>
      <c r="D454" t="s">
        <v>1185</v>
      </c>
    </row>
    <row r="455" spans="1:4" x14ac:dyDescent="0.25">
      <c r="A455" t="s">
        <v>1186</v>
      </c>
      <c r="D455" t="s">
        <v>958</v>
      </c>
    </row>
    <row r="456" spans="1:4" x14ac:dyDescent="0.25">
      <c r="A456" t="s">
        <v>1187</v>
      </c>
      <c r="D456" t="s">
        <v>1188</v>
      </c>
    </row>
    <row r="457" spans="1:4" x14ac:dyDescent="0.25">
      <c r="A457" t="s">
        <v>1189</v>
      </c>
      <c r="D457" t="s">
        <v>792</v>
      </c>
    </row>
    <row r="458" spans="1:4" x14ac:dyDescent="0.25">
      <c r="A458" t="s">
        <v>1190</v>
      </c>
      <c r="D458" t="s">
        <v>930</v>
      </c>
    </row>
    <row r="459" spans="1:4" x14ac:dyDescent="0.25">
      <c r="A459" t="s">
        <v>1191</v>
      </c>
      <c r="D459" t="s">
        <v>1192</v>
      </c>
    </row>
    <row r="460" spans="1:4" x14ac:dyDescent="0.25">
      <c r="A460" t="s">
        <v>1193</v>
      </c>
      <c r="D460" t="s">
        <v>1194</v>
      </c>
    </row>
    <row r="461" spans="1:4" x14ac:dyDescent="0.25">
      <c r="A461" t="s">
        <v>1195</v>
      </c>
      <c r="D461" t="s">
        <v>792</v>
      </c>
    </row>
    <row r="462" spans="1:4" x14ac:dyDescent="0.25">
      <c r="A462" t="s">
        <v>1196</v>
      </c>
      <c r="D462" t="s">
        <v>1197</v>
      </c>
    </row>
    <row r="463" spans="1:4" x14ac:dyDescent="0.25">
      <c r="A463" t="s">
        <v>1198</v>
      </c>
      <c r="D463" t="s">
        <v>1199</v>
      </c>
    </row>
    <row r="464" spans="1:4" x14ac:dyDescent="0.25">
      <c r="A464" t="s">
        <v>1200</v>
      </c>
      <c r="D464" t="s">
        <v>481</v>
      </c>
    </row>
    <row r="465" spans="1:4" x14ac:dyDescent="0.25">
      <c r="A465" t="s">
        <v>1201</v>
      </c>
      <c r="D465" t="s">
        <v>1202</v>
      </c>
    </row>
    <row r="466" spans="1:4" x14ac:dyDescent="0.25">
      <c r="A466" t="s">
        <v>1203</v>
      </c>
      <c r="D466" t="s">
        <v>1204</v>
      </c>
    </row>
    <row r="467" spans="1:4" x14ac:dyDescent="0.25">
      <c r="A467" t="s">
        <v>1205</v>
      </c>
      <c r="D467" t="s">
        <v>1206</v>
      </c>
    </row>
    <row r="468" spans="1:4" x14ac:dyDescent="0.25">
      <c r="A468" t="s">
        <v>1207</v>
      </c>
      <c r="D468" t="s">
        <v>792</v>
      </c>
    </row>
    <row r="469" spans="1:4" x14ac:dyDescent="0.25">
      <c r="A469" t="s">
        <v>1208</v>
      </c>
      <c r="D469" t="s">
        <v>669</v>
      </c>
    </row>
    <row r="470" spans="1:4" x14ac:dyDescent="0.25">
      <c r="A470" t="s">
        <v>1209</v>
      </c>
      <c r="D470" t="s">
        <v>958</v>
      </c>
    </row>
    <row r="471" spans="1:4" x14ac:dyDescent="0.25">
      <c r="A471" t="s">
        <v>1210</v>
      </c>
      <c r="D471" t="s">
        <v>1211</v>
      </c>
    </row>
    <row r="472" spans="1:4" x14ac:dyDescent="0.25">
      <c r="A472" t="s">
        <v>1212</v>
      </c>
      <c r="D472" t="s">
        <v>723</v>
      </c>
    </row>
    <row r="473" spans="1:4" x14ac:dyDescent="0.25">
      <c r="A473" t="s">
        <v>1213</v>
      </c>
      <c r="D473" t="s">
        <v>1214</v>
      </c>
    </row>
    <row r="474" spans="1:4" x14ac:dyDescent="0.25">
      <c r="A474" t="s">
        <v>1215</v>
      </c>
      <c r="D474" t="s">
        <v>1216</v>
      </c>
    </row>
    <row r="475" spans="1:4" x14ac:dyDescent="0.25">
      <c r="A475" t="s">
        <v>1217</v>
      </c>
      <c r="D475" t="s">
        <v>1218</v>
      </c>
    </row>
    <row r="476" spans="1:4" x14ac:dyDescent="0.25">
      <c r="A476" t="s">
        <v>1219</v>
      </c>
      <c r="D476" t="s">
        <v>547</v>
      </c>
    </row>
    <row r="477" spans="1:4" x14ac:dyDescent="0.25">
      <c r="A477" t="s">
        <v>1220</v>
      </c>
      <c r="D477" t="s">
        <v>606</v>
      </c>
    </row>
    <row r="478" spans="1:4" x14ac:dyDescent="0.25">
      <c r="A478" t="s">
        <v>1221</v>
      </c>
      <c r="D478" t="s">
        <v>1222</v>
      </c>
    </row>
    <row r="479" spans="1:4" x14ac:dyDescent="0.25">
      <c r="A479" t="s">
        <v>1223</v>
      </c>
      <c r="D479" t="s">
        <v>1224</v>
      </c>
    </row>
    <row r="480" spans="1:4" x14ac:dyDescent="0.25">
      <c r="A480" t="s">
        <v>1225</v>
      </c>
    </row>
    <row r="481" spans="1:4" x14ac:dyDescent="0.25">
      <c r="A481" t="s">
        <v>1226</v>
      </c>
      <c r="D481" t="s">
        <v>1227</v>
      </c>
    </row>
    <row r="482" spans="1:4" x14ac:dyDescent="0.25">
      <c r="A482" t="s">
        <v>1228</v>
      </c>
      <c r="D482" t="s">
        <v>662</v>
      </c>
    </row>
    <row r="483" spans="1:4" x14ac:dyDescent="0.25">
      <c r="A483" t="s">
        <v>1229</v>
      </c>
      <c r="D483" t="s">
        <v>517</v>
      </c>
    </row>
    <row r="484" spans="1:4" x14ac:dyDescent="0.25">
      <c r="A484" t="s">
        <v>1230</v>
      </c>
      <c r="D484" t="s">
        <v>1231</v>
      </c>
    </row>
    <row r="485" spans="1:4" x14ac:dyDescent="0.25">
      <c r="A485" t="s">
        <v>1232</v>
      </c>
      <c r="D485" t="s">
        <v>1233</v>
      </c>
    </row>
    <row r="486" spans="1:4" x14ac:dyDescent="0.25">
      <c r="A486" t="s">
        <v>1234</v>
      </c>
      <c r="D486" t="s">
        <v>847</v>
      </c>
    </row>
    <row r="487" spans="1:4" x14ac:dyDescent="0.25">
      <c r="A487" t="s">
        <v>1235</v>
      </c>
      <c r="D487" t="s">
        <v>953</v>
      </c>
    </row>
    <row r="488" spans="1:4" x14ac:dyDescent="0.25">
      <c r="A488" t="s">
        <v>1236</v>
      </c>
      <c r="D488" t="s">
        <v>1237</v>
      </c>
    </row>
    <row r="489" spans="1:4" x14ac:dyDescent="0.25">
      <c r="A489" t="s">
        <v>1238</v>
      </c>
      <c r="D489" t="s">
        <v>1239</v>
      </c>
    </row>
    <row r="490" spans="1:4" x14ac:dyDescent="0.25">
      <c r="A490" t="s">
        <v>1240</v>
      </c>
      <c r="D490" t="s">
        <v>866</v>
      </c>
    </row>
    <row r="491" spans="1:4" x14ac:dyDescent="0.25">
      <c r="A491" t="s">
        <v>1241</v>
      </c>
      <c r="D491" t="s">
        <v>722</v>
      </c>
    </row>
    <row r="492" spans="1:4" x14ac:dyDescent="0.25">
      <c r="A492" t="s">
        <v>1242</v>
      </c>
      <c r="D492" t="s">
        <v>465</v>
      </c>
    </row>
    <row r="493" spans="1:4" x14ac:dyDescent="0.25">
      <c r="A493" t="s">
        <v>1243</v>
      </c>
      <c r="D493" t="s">
        <v>1244</v>
      </c>
    </row>
    <row r="494" spans="1:4" x14ac:dyDescent="0.25">
      <c r="A494" t="s">
        <v>1245</v>
      </c>
      <c r="D494" t="s">
        <v>1246</v>
      </c>
    </row>
    <row r="495" spans="1:4" x14ac:dyDescent="0.25">
      <c r="A495" t="s">
        <v>1247</v>
      </c>
      <c r="D495" t="s">
        <v>813</v>
      </c>
    </row>
    <row r="496" spans="1:4" x14ac:dyDescent="0.25">
      <c r="A496" t="s">
        <v>1248</v>
      </c>
    </row>
    <row r="497" spans="1:4" x14ac:dyDescent="0.25">
      <c r="A497" t="s">
        <v>1249</v>
      </c>
      <c r="D497" t="s">
        <v>1250</v>
      </c>
    </row>
    <row r="498" spans="1:4" x14ac:dyDescent="0.25">
      <c r="A498" t="s">
        <v>1251</v>
      </c>
      <c r="D498" t="s">
        <v>1252</v>
      </c>
    </row>
    <row r="499" spans="1:4" x14ac:dyDescent="0.25">
      <c r="A499" t="s">
        <v>1253</v>
      </c>
      <c r="D499" t="s">
        <v>1254</v>
      </c>
    </row>
    <row r="500" spans="1:4" x14ac:dyDescent="0.25">
      <c r="A500" t="s">
        <v>1255</v>
      </c>
      <c r="D500" t="s">
        <v>1256</v>
      </c>
    </row>
    <row r="501" spans="1:4" x14ac:dyDescent="0.25">
      <c r="A501" t="s">
        <v>1257</v>
      </c>
      <c r="D501" t="s">
        <v>1258</v>
      </c>
    </row>
    <row r="502" spans="1:4" x14ac:dyDescent="0.25">
      <c r="A502" t="s">
        <v>1259</v>
      </c>
      <c r="D502" t="s">
        <v>1260</v>
      </c>
    </row>
    <row r="503" spans="1:4" x14ac:dyDescent="0.25">
      <c r="A503" t="s">
        <v>1261</v>
      </c>
      <c r="D503" t="s">
        <v>1262</v>
      </c>
    </row>
    <row r="504" spans="1:4" x14ac:dyDescent="0.25">
      <c r="A504" t="s">
        <v>1263</v>
      </c>
      <c r="D504" t="s">
        <v>1112</v>
      </c>
    </row>
    <row r="505" spans="1:4" x14ac:dyDescent="0.25">
      <c r="A505" t="s">
        <v>1264</v>
      </c>
    </row>
    <row r="506" spans="1:4" x14ac:dyDescent="0.25">
      <c r="A506" t="s">
        <v>1265</v>
      </c>
      <c r="D506" t="s">
        <v>1266</v>
      </c>
    </row>
    <row r="507" spans="1:4" x14ac:dyDescent="0.25">
      <c r="A507" t="s">
        <v>1267</v>
      </c>
      <c r="D507" t="s">
        <v>591</v>
      </c>
    </row>
    <row r="508" spans="1:4" x14ac:dyDescent="0.25">
      <c r="A508" t="s">
        <v>1268</v>
      </c>
      <c r="D508" t="s">
        <v>441</v>
      </c>
    </row>
    <row r="509" spans="1:4" x14ac:dyDescent="0.25">
      <c r="A509" t="s">
        <v>1269</v>
      </c>
      <c r="D509" t="s">
        <v>1270</v>
      </c>
    </row>
    <row r="510" spans="1:4" x14ac:dyDescent="0.25">
      <c r="A510" t="s">
        <v>1271</v>
      </c>
      <c r="D510" t="s">
        <v>1272</v>
      </c>
    </row>
    <row r="511" spans="1:4" x14ac:dyDescent="0.25">
      <c r="A511" t="s">
        <v>1273</v>
      </c>
      <c r="D511" t="s">
        <v>1051</v>
      </c>
    </row>
    <row r="512" spans="1:4" x14ac:dyDescent="0.25">
      <c r="A512" t="s">
        <v>1274</v>
      </c>
      <c r="D512" t="s">
        <v>1077</v>
      </c>
    </row>
    <row r="513" spans="1:4" x14ac:dyDescent="0.25">
      <c r="A513" t="s">
        <v>1275</v>
      </c>
      <c r="D513" t="s">
        <v>1276</v>
      </c>
    </row>
    <row r="514" spans="1:4" x14ac:dyDescent="0.25">
      <c r="A514" t="s">
        <v>1277</v>
      </c>
      <c r="D514" t="s">
        <v>1278</v>
      </c>
    </row>
    <row r="515" spans="1:4" x14ac:dyDescent="0.25">
      <c r="A515" t="s">
        <v>1279</v>
      </c>
      <c r="D515" t="s">
        <v>1280</v>
      </c>
    </row>
    <row r="516" spans="1:4" x14ac:dyDescent="0.25">
      <c r="A516" t="s">
        <v>1281</v>
      </c>
      <c r="D516" t="s">
        <v>1147</v>
      </c>
    </row>
    <row r="517" spans="1:4" x14ac:dyDescent="0.25">
      <c r="A517" t="s">
        <v>1282</v>
      </c>
      <c r="D517" t="s">
        <v>1283</v>
      </c>
    </row>
    <row r="518" spans="1:4" x14ac:dyDescent="0.25">
      <c r="A518" t="s">
        <v>1284</v>
      </c>
      <c r="D518" t="s">
        <v>551</v>
      </c>
    </row>
    <row r="519" spans="1:4" x14ac:dyDescent="0.25">
      <c r="A519" t="s">
        <v>1285</v>
      </c>
      <c r="D519" t="s">
        <v>1286</v>
      </c>
    </row>
    <row r="520" spans="1:4" x14ac:dyDescent="0.25">
      <c r="A520" t="s">
        <v>1287</v>
      </c>
      <c r="D520" t="s">
        <v>1288</v>
      </c>
    </row>
    <row r="521" spans="1:4" x14ac:dyDescent="0.25">
      <c r="A521" t="s">
        <v>1289</v>
      </c>
      <c r="D521" t="s">
        <v>792</v>
      </c>
    </row>
    <row r="522" spans="1:4" x14ac:dyDescent="0.25">
      <c r="A522" t="s">
        <v>1290</v>
      </c>
      <c r="D522" t="s">
        <v>521</v>
      </c>
    </row>
    <row r="523" spans="1:4" x14ac:dyDescent="0.25">
      <c r="A523" t="s">
        <v>1291</v>
      </c>
      <c r="D523" t="s">
        <v>1292</v>
      </c>
    </row>
    <row r="524" spans="1:4" x14ac:dyDescent="0.25">
      <c r="A524" t="s">
        <v>1293</v>
      </c>
      <c r="D524" t="s">
        <v>1294</v>
      </c>
    </row>
    <row r="525" spans="1:4" x14ac:dyDescent="0.25">
      <c r="A525" t="s">
        <v>1295</v>
      </c>
      <c r="D525" t="s">
        <v>1082</v>
      </c>
    </row>
    <row r="526" spans="1:4" x14ac:dyDescent="0.25">
      <c r="A526" t="s">
        <v>1296</v>
      </c>
      <c r="D526" t="s">
        <v>1297</v>
      </c>
    </row>
    <row r="527" spans="1:4" x14ac:dyDescent="0.25">
      <c r="A527" t="s">
        <v>1298</v>
      </c>
      <c r="D527" t="s">
        <v>1082</v>
      </c>
    </row>
    <row r="528" spans="1:4" x14ac:dyDescent="0.25">
      <c r="A528" t="s">
        <v>1299</v>
      </c>
      <c r="D528" t="s">
        <v>1300</v>
      </c>
    </row>
    <row r="529" spans="1:4" x14ac:dyDescent="0.25">
      <c r="A529" t="s">
        <v>1301</v>
      </c>
      <c r="D529" t="s">
        <v>972</v>
      </c>
    </row>
    <row r="530" spans="1:4" x14ac:dyDescent="0.25">
      <c r="A530" t="s">
        <v>1302</v>
      </c>
      <c r="D530" t="s">
        <v>525</v>
      </c>
    </row>
    <row r="531" spans="1:4" x14ac:dyDescent="0.25">
      <c r="A531" t="s">
        <v>1303</v>
      </c>
      <c r="D531" t="s">
        <v>481</v>
      </c>
    </row>
    <row r="532" spans="1:4" x14ac:dyDescent="0.25">
      <c r="A532" t="s">
        <v>1304</v>
      </c>
      <c r="D532" t="s">
        <v>638</v>
      </c>
    </row>
    <row r="533" spans="1:4" x14ac:dyDescent="0.25">
      <c r="A533" t="s">
        <v>1305</v>
      </c>
      <c r="D533" t="s">
        <v>1306</v>
      </c>
    </row>
    <row r="534" spans="1:4" x14ac:dyDescent="0.25">
      <c r="A534" t="s">
        <v>1307</v>
      </c>
      <c r="D534" t="s">
        <v>1308</v>
      </c>
    </row>
    <row r="535" spans="1:4" x14ac:dyDescent="0.25">
      <c r="A535" t="s">
        <v>1309</v>
      </c>
      <c r="D535" t="s">
        <v>1310</v>
      </c>
    </row>
    <row r="536" spans="1:4" x14ac:dyDescent="0.25">
      <c r="A536" t="s">
        <v>1311</v>
      </c>
      <c r="D536" t="s">
        <v>1312</v>
      </c>
    </row>
    <row r="537" spans="1:4" x14ac:dyDescent="0.25">
      <c r="A537" t="s">
        <v>1313</v>
      </c>
      <c r="D537" t="s">
        <v>1314</v>
      </c>
    </row>
    <row r="538" spans="1:4" x14ac:dyDescent="0.25">
      <c r="A538" t="s">
        <v>1315</v>
      </c>
    </row>
    <row r="539" spans="1:4" x14ac:dyDescent="0.25">
      <c r="A539" t="s">
        <v>1316</v>
      </c>
      <c r="D539" t="s">
        <v>1317</v>
      </c>
    </row>
    <row r="540" spans="1:4" x14ac:dyDescent="0.25">
      <c r="A540" t="s">
        <v>1318</v>
      </c>
      <c r="D540" t="s">
        <v>1319</v>
      </c>
    </row>
    <row r="541" spans="1:4" x14ac:dyDescent="0.25">
      <c r="A541" t="s">
        <v>1320</v>
      </c>
      <c r="D541" t="s">
        <v>481</v>
      </c>
    </row>
    <row r="543" spans="1:4" x14ac:dyDescent="0.25">
      <c r="A543" t="s">
        <v>1321</v>
      </c>
    </row>
    <row r="544" spans="1:4" x14ac:dyDescent="0.25">
      <c r="A544" t="s">
        <v>1321</v>
      </c>
    </row>
    <row r="545" spans="1:1" x14ac:dyDescent="0.25">
      <c r="A545" t="s">
        <v>1321</v>
      </c>
    </row>
    <row r="546" spans="1:1" x14ac:dyDescent="0.25">
      <c r="A546" t="s">
        <v>1321</v>
      </c>
    </row>
    <row r="547" spans="1:1" x14ac:dyDescent="0.25">
      <c r="A547" t="s">
        <v>1321</v>
      </c>
    </row>
    <row r="548" spans="1:1" x14ac:dyDescent="0.25">
      <c r="A548" t="s">
        <v>1321</v>
      </c>
    </row>
    <row r="549" spans="1:1" x14ac:dyDescent="0.25">
      <c r="A549" t="s">
        <v>1321</v>
      </c>
    </row>
    <row r="550" spans="1:1" x14ac:dyDescent="0.25">
      <c r="A550" t="s">
        <v>1321</v>
      </c>
    </row>
    <row r="551" spans="1:1" x14ac:dyDescent="0.25">
      <c r="A551" t="s">
        <v>1321</v>
      </c>
    </row>
    <row r="552" spans="1:1" x14ac:dyDescent="0.25">
      <c r="A552" t="s">
        <v>1321</v>
      </c>
    </row>
    <row r="553" spans="1:1" x14ac:dyDescent="0.25">
      <c r="A553" t="s">
        <v>1321</v>
      </c>
    </row>
    <row r="554" spans="1:1" x14ac:dyDescent="0.25">
      <c r="A554" t="s">
        <v>1321</v>
      </c>
    </row>
    <row r="555" spans="1:1" x14ac:dyDescent="0.25">
      <c r="A555" t="s">
        <v>1321</v>
      </c>
    </row>
    <row r="556" spans="1:1" x14ac:dyDescent="0.25">
      <c r="A556" t="s">
        <v>1321</v>
      </c>
    </row>
    <row r="557" spans="1:1" x14ac:dyDescent="0.25">
      <c r="A557" t="s">
        <v>1321</v>
      </c>
    </row>
    <row r="558" spans="1:1" x14ac:dyDescent="0.25">
      <c r="A558" t="s">
        <v>1321</v>
      </c>
    </row>
    <row r="559" spans="1:1" x14ac:dyDescent="0.25">
      <c r="A559" t="s">
        <v>1321</v>
      </c>
    </row>
    <row r="560" spans="1:1" x14ac:dyDescent="0.25">
      <c r="A560" t="s">
        <v>1321</v>
      </c>
    </row>
    <row r="561" spans="1:1" x14ac:dyDescent="0.25">
      <c r="A561" t="s">
        <v>1321</v>
      </c>
    </row>
    <row r="562" spans="1:1" x14ac:dyDescent="0.25">
      <c r="A562" t="s">
        <v>1321</v>
      </c>
    </row>
    <row r="563" spans="1:1" x14ac:dyDescent="0.25">
      <c r="A563" t="s">
        <v>1321</v>
      </c>
    </row>
    <row r="564" spans="1:1" x14ac:dyDescent="0.25">
      <c r="A564" t="s">
        <v>1321</v>
      </c>
    </row>
    <row r="565" spans="1:1" x14ac:dyDescent="0.25">
      <c r="A565" t="s">
        <v>1321</v>
      </c>
    </row>
    <row r="566" spans="1:1" x14ac:dyDescent="0.25">
      <c r="A566" t="s">
        <v>1321</v>
      </c>
    </row>
    <row r="567" spans="1:1" x14ac:dyDescent="0.25">
      <c r="A567" t="s">
        <v>1321</v>
      </c>
    </row>
    <row r="568" spans="1:1" x14ac:dyDescent="0.25">
      <c r="A568" t="s">
        <v>1321</v>
      </c>
    </row>
    <row r="569" spans="1:1" x14ac:dyDescent="0.25">
      <c r="A569" t="s">
        <v>1321</v>
      </c>
    </row>
    <row r="570" spans="1:1" x14ac:dyDescent="0.25">
      <c r="A570" t="s">
        <v>1321</v>
      </c>
    </row>
    <row r="571" spans="1:1" x14ac:dyDescent="0.25">
      <c r="A571" t="s">
        <v>1321</v>
      </c>
    </row>
    <row r="572" spans="1:1" x14ac:dyDescent="0.25">
      <c r="A572" t="s">
        <v>1321</v>
      </c>
    </row>
    <row r="573" spans="1:1" x14ac:dyDescent="0.25">
      <c r="A573" t="s">
        <v>1321</v>
      </c>
    </row>
    <row r="574" spans="1:1" x14ac:dyDescent="0.25">
      <c r="A574" t="s">
        <v>1321</v>
      </c>
    </row>
    <row r="575" spans="1:1" x14ac:dyDescent="0.25">
      <c r="A575" t="s">
        <v>1321</v>
      </c>
    </row>
    <row r="576" spans="1:1" x14ac:dyDescent="0.25">
      <c r="A576" t="s">
        <v>1321</v>
      </c>
    </row>
    <row r="577" spans="1:1" x14ac:dyDescent="0.25">
      <c r="A577" t="s">
        <v>1321</v>
      </c>
    </row>
    <row r="578" spans="1:1" x14ac:dyDescent="0.25">
      <c r="A578" t="s">
        <v>1321</v>
      </c>
    </row>
    <row r="579" spans="1:1" x14ac:dyDescent="0.25">
      <c r="A579" t="s">
        <v>1321</v>
      </c>
    </row>
    <row r="580" spans="1:1" x14ac:dyDescent="0.25">
      <c r="A580" t="s">
        <v>1321</v>
      </c>
    </row>
    <row r="581" spans="1:1" x14ac:dyDescent="0.25">
      <c r="A581" t="s">
        <v>1321</v>
      </c>
    </row>
    <row r="582" spans="1:1" x14ac:dyDescent="0.25">
      <c r="A582" t="s">
        <v>1321</v>
      </c>
    </row>
    <row r="583" spans="1:1" x14ac:dyDescent="0.25">
      <c r="A583" t="s">
        <v>1321</v>
      </c>
    </row>
    <row r="584" spans="1:1" x14ac:dyDescent="0.25">
      <c r="A584" t="s">
        <v>1321</v>
      </c>
    </row>
    <row r="585" spans="1:1" x14ac:dyDescent="0.25">
      <c r="A585" t="s">
        <v>1321</v>
      </c>
    </row>
    <row r="586" spans="1:1" x14ac:dyDescent="0.25">
      <c r="A586" t="s">
        <v>1321</v>
      </c>
    </row>
    <row r="587" spans="1:1" x14ac:dyDescent="0.25">
      <c r="A587" t="s">
        <v>1321</v>
      </c>
    </row>
    <row r="588" spans="1:1" x14ac:dyDescent="0.25">
      <c r="A588" t="s">
        <v>1321</v>
      </c>
    </row>
    <row r="589" spans="1:1" x14ac:dyDescent="0.25">
      <c r="A589" t="s">
        <v>1321</v>
      </c>
    </row>
    <row r="590" spans="1:1" x14ac:dyDescent="0.25">
      <c r="A590" t="s">
        <v>1321</v>
      </c>
    </row>
    <row r="591" spans="1:1" x14ac:dyDescent="0.25">
      <c r="A591" t="s">
        <v>1321</v>
      </c>
    </row>
    <row r="592" spans="1:1" x14ac:dyDescent="0.25">
      <c r="A592" t="s">
        <v>1321</v>
      </c>
    </row>
    <row r="593" spans="1:1" x14ac:dyDescent="0.25">
      <c r="A593" t="s">
        <v>1321</v>
      </c>
    </row>
    <row r="594" spans="1:1" x14ac:dyDescent="0.25">
      <c r="A594" t="s">
        <v>1321</v>
      </c>
    </row>
    <row r="595" spans="1:1" x14ac:dyDescent="0.25">
      <c r="A595" t="s">
        <v>1321</v>
      </c>
    </row>
    <row r="596" spans="1:1" x14ac:dyDescent="0.25">
      <c r="A596" t="s">
        <v>1321</v>
      </c>
    </row>
    <row r="597" spans="1:1" x14ac:dyDescent="0.25">
      <c r="A597" t="s">
        <v>1321</v>
      </c>
    </row>
    <row r="598" spans="1:1" x14ac:dyDescent="0.25">
      <c r="A598" t="s">
        <v>1321</v>
      </c>
    </row>
    <row r="599" spans="1:1" x14ac:dyDescent="0.25">
      <c r="A599" t="s">
        <v>1321</v>
      </c>
    </row>
    <row r="600" spans="1:1" x14ac:dyDescent="0.25">
      <c r="A600" t="s">
        <v>1321</v>
      </c>
    </row>
    <row r="601" spans="1:1" x14ac:dyDescent="0.25">
      <c r="A601" t="s">
        <v>1321</v>
      </c>
    </row>
    <row r="602" spans="1:1" x14ac:dyDescent="0.25">
      <c r="A602" t="s">
        <v>1321</v>
      </c>
    </row>
    <row r="603" spans="1:1" x14ac:dyDescent="0.25">
      <c r="A603" t="s">
        <v>1321</v>
      </c>
    </row>
    <row r="604" spans="1:1" x14ac:dyDescent="0.25">
      <c r="A604" t="s">
        <v>1321</v>
      </c>
    </row>
    <row r="605" spans="1:1" x14ac:dyDescent="0.25">
      <c r="A605" t="s">
        <v>1321</v>
      </c>
    </row>
    <row r="606" spans="1:1" x14ac:dyDescent="0.25">
      <c r="A606" t="s">
        <v>1321</v>
      </c>
    </row>
    <row r="607" spans="1:1" x14ac:dyDescent="0.25">
      <c r="A607" t="s">
        <v>1321</v>
      </c>
    </row>
    <row r="608" spans="1:1" x14ac:dyDescent="0.25">
      <c r="A608" t="s">
        <v>1321</v>
      </c>
    </row>
    <row r="609" spans="1:1" x14ac:dyDescent="0.25">
      <c r="A609" t="s">
        <v>1321</v>
      </c>
    </row>
    <row r="610" spans="1:1" x14ac:dyDescent="0.25">
      <c r="A610" t="s">
        <v>1321</v>
      </c>
    </row>
    <row r="611" spans="1:1" x14ac:dyDescent="0.25">
      <c r="A611" t="s">
        <v>1321</v>
      </c>
    </row>
    <row r="612" spans="1:1" x14ac:dyDescent="0.25">
      <c r="A612" t="s">
        <v>1321</v>
      </c>
    </row>
    <row r="613" spans="1:1" x14ac:dyDescent="0.25">
      <c r="A613" t="s">
        <v>1321</v>
      </c>
    </row>
    <row r="614" spans="1:1" x14ac:dyDescent="0.25">
      <c r="A614" t="s">
        <v>1321</v>
      </c>
    </row>
    <row r="615" spans="1:1" x14ac:dyDescent="0.25">
      <c r="A615" t="s">
        <v>1321</v>
      </c>
    </row>
    <row r="616" spans="1:1" x14ac:dyDescent="0.25">
      <c r="A616" t="s">
        <v>1321</v>
      </c>
    </row>
    <row r="617" spans="1:1" x14ac:dyDescent="0.25">
      <c r="A617" t="s">
        <v>1321</v>
      </c>
    </row>
    <row r="618" spans="1:1" x14ac:dyDescent="0.25">
      <c r="A618" t="s">
        <v>1321</v>
      </c>
    </row>
    <row r="619" spans="1:1" x14ac:dyDescent="0.25">
      <c r="A619" t="s">
        <v>1321</v>
      </c>
    </row>
    <row r="620" spans="1:1" x14ac:dyDescent="0.25">
      <c r="A620" t="s">
        <v>1321</v>
      </c>
    </row>
    <row r="621" spans="1:1" x14ac:dyDescent="0.25">
      <c r="A621" t="s">
        <v>1321</v>
      </c>
    </row>
    <row r="622" spans="1:1" x14ac:dyDescent="0.25">
      <c r="A622" t="s">
        <v>1321</v>
      </c>
    </row>
    <row r="623" spans="1:1" x14ac:dyDescent="0.25">
      <c r="A623" t="s">
        <v>1321</v>
      </c>
    </row>
    <row r="624" spans="1:1" x14ac:dyDescent="0.25">
      <c r="A624" t="s">
        <v>1321</v>
      </c>
    </row>
    <row r="625" spans="1:1" x14ac:dyDescent="0.25">
      <c r="A625" t="s">
        <v>1321</v>
      </c>
    </row>
    <row r="626" spans="1:1" x14ac:dyDescent="0.25">
      <c r="A626" t="s">
        <v>1321</v>
      </c>
    </row>
    <row r="627" spans="1:1" x14ac:dyDescent="0.25">
      <c r="A627" t="s">
        <v>1321</v>
      </c>
    </row>
    <row r="628" spans="1:1" x14ac:dyDescent="0.25">
      <c r="A628" t="s">
        <v>1321</v>
      </c>
    </row>
    <row r="629" spans="1:1" x14ac:dyDescent="0.25">
      <c r="A629" t="s">
        <v>1321</v>
      </c>
    </row>
    <row r="630" spans="1:1" x14ac:dyDescent="0.25">
      <c r="A630" t="s">
        <v>1321</v>
      </c>
    </row>
    <row r="631" spans="1:1" x14ac:dyDescent="0.25">
      <c r="A631" t="s">
        <v>1321</v>
      </c>
    </row>
    <row r="632" spans="1:1" x14ac:dyDescent="0.25">
      <c r="A632" t="s">
        <v>1321</v>
      </c>
    </row>
    <row r="633" spans="1:1" x14ac:dyDescent="0.25">
      <c r="A633" t="s">
        <v>1321</v>
      </c>
    </row>
    <row r="634" spans="1:1" x14ac:dyDescent="0.25">
      <c r="A634" t="s">
        <v>1321</v>
      </c>
    </row>
    <row r="635" spans="1:1" x14ac:dyDescent="0.25">
      <c r="A635" t="s">
        <v>1321</v>
      </c>
    </row>
    <row r="636" spans="1:1" x14ac:dyDescent="0.25">
      <c r="A636" t="s">
        <v>1321</v>
      </c>
    </row>
    <row r="637" spans="1:1" x14ac:dyDescent="0.25">
      <c r="A637" t="s">
        <v>1321</v>
      </c>
    </row>
    <row r="638" spans="1:1" x14ac:dyDescent="0.25">
      <c r="A638" t="s">
        <v>1321</v>
      </c>
    </row>
    <row r="639" spans="1:1" x14ac:dyDescent="0.25">
      <c r="A639" t="s">
        <v>1321</v>
      </c>
    </row>
    <row r="640" spans="1:1" x14ac:dyDescent="0.25">
      <c r="A640" t="s">
        <v>1321</v>
      </c>
    </row>
    <row r="641" spans="1:1" x14ac:dyDescent="0.25">
      <c r="A641" t="s">
        <v>1321</v>
      </c>
    </row>
    <row r="642" spans="1:1" x14ac:dyDescent="0.25">
      <c r="A642" t="s">
        <v>1321</v>
      </c>
    </row>
    <row r="643" spans="1:1" x14ac:dyDescent="0.25">
      <c r="A643" t="s">
        <v>1321</v>
      </c>
    </row>
    <row r="644" spans="1:1" x14ac:dyDescent="0.25">
      <c r="A644" t="s">
        <v>1321</v>
      </c>
    </row>
    <row r="645" spans="1:1" x14ac:dyDescent="0.25">
      <c r="A645" t="s">
        <v>1321</v>
      </c>
    </row>
    <row r="646" spans="1:1" x14ac:dyDescent="0.25">
      <c r="A646" t="s">
        <v>1321</v>
      </c>
    </row>
    <row r="647" spans="1:1" x14ac:dyDescent="0.25">
      <c r="A647" t="s">
        <v>1321</v>
      </c>
    </row>
    <row r="648" spans="1:1" x14ac:dyDescent="0.25">
      <c r="A648" t="s">
        <v>1321</v>
      </c>
    </row>
    <row r="649" spans="1:1" x14ac:dyDescent="0.25">
      <c r="A649" t="s">
        <v>1321</v>
      </c>
    </row>
    <row r="650" spans="1:1" x14ac:dyDescent="0.25">
      <c r="A650" t="s">
        <v>1321</v>
      </c>
    </row>
    <row r="651" spans="1:1" x14ac:dyDescent="0.25">
      <c r="A651" t="s">
        <v>1321</v>
      </c>
    </row>
    <row r="652" spans="1:1" x14ac:dyDescent="0.25">
      <c r="A652" t="s">
        <v>1321</v>
      </c>
    </row>
    <row r="653" spans="1:1" x14ac:dyDescent="0.25">
      <c r="A653" t="s">
        <v>1321</v>
      </c>
    </row>
    <row r="654" spans="1:1" x14ac:dyDescent="0.25">
      <c r="A654" t="s">
        <v>1321</v>
      </c>
    </row>
    <row r="655" spans="1:1" x14ac:dyDescent="0.25">
      <c r="A655" t="s">
        <v>1321</v>
      </c>
    </row>
    <row r="656" spans="1:1" x14ac:dyDescent="0.25">
      <c r="A656" t="s">
        <v>1321</v>
      </c>
    </row>
    <row r="657" spans="1:1" x14ac:dyDescent="0.25">
      <c r="A657" t="s">
        <v>1321</v>
      </c>
    </row>
    <row r="658" spans="1:1" x14ac:dyDescent="0.25">
      <c r="A658" t="s">
        <v>1321</v>
      </c>
    </row>
    <row r="659" spans="1:1" x14ac:dyDescent="0.25">
      <c r="A659" t="s">
        <v>1321</v>
      </c>
    </row>
    <row r="660" spans="1:1" x14ac:dyDescent="0.25">
      <c r="A660" t="s">
        <v>1321</v>
      </c>
    </row>
    <row r="661" spans="1:1" x14ac:dyDescent="0.25">
      <c r="A661" t="s">
        <v>1321</v>
      </c>
    </row>
    <row r="662" spans="1:1" x14ac:dyDescent="0.25">
      <c r="A662" t="s">
        <v>1321</v>
      </c>
    </row>
    <row r="663" spans="1:1" x14ac:dyDescent="0.25">
      <c r="A663" t="s">
        <v>1321</v>
      </c>
    </row>
    <row r="664" spans="1:1" x14ac:dyDescent="0.25">
      <c r="A664" t="s">
        <v>1321</v>
      </c>
    </row>
    <row r="665" spans="1:1" x14ac:dyDescent="0.25">
      <c r="A665" t="s">
        <v>1321</v>
      </c>
    </row>
    <row r="666" spans="1:1" x14ac:dyDescent="0.25">
      <c r="A666" t="s">
        <v>1321</v>
      </c>
    </row>
    <row r="667" spans="1:1" x14ac:dyDescent="0.25">
      <c r="A667" t="s">
        <v>1321</v>
      </c>
    </row>
    <row r="668" spans="1:1" x14ac:dyDescent="0.25">
      <c r="A668" t="s">
        <v>1321</v>
      </c>
    </row>
    <row r="669" spans="1:1" x14ac:dyDescent="0.25">
      <c r="A669" t="s">
        <v>1321</v>
      </c>
    </row>
    <row r="670" spans="1:1" x14ac:dyDescent="0.25">
      <c r="A670" t="s">
        <v>1321</v>
      </c>
    </row>
    <row r="671" spans="1:1" x14ac:dyDescent="0.25">
      <c r="A671" t="s">
        <v>1321</v>
      </c>
    </row>
    <row r="672" spans="1:1" x14ac:dyDescent="0.25">
      <c r="A672" t="s">
        <v>1321</v>
      </c>
    </row>
    <row r="673" spans="1:1" x14ac:dyDescent="0.25">
      <c r="A673" t="s">
        <v>1321</v>
      </c>
    </row>
    <row r="674" spans="1:1" x14ac:dyDescent="0.25">
      <c r="A674" t="s">
        <v>1321</v>
      </c>
    </row>
    <row r="675" spans="1:1" x14ac:dyDescent="0.25">
      <c r="A675" t="s">
        <v>1321</v>
      </c>
    </row>
    <row r="676" spans="1:1" x14ac:dyDescent="0.25">
      <c r="A676" t="s">
        <v>1321</v>
      </c>
    </row>
    <row r="677" spans="1:1" x14ac:dyDescent="0.25">
      <c r="A677" t="s">
        <v>1321</v>
      </c>
    </row>
    <row r="678" spans="1:1" x14ac:dyDescent="0.25">
      <c r="A678" t="s">
        <v>1321</v>
      </c>
    </row>
    <row r="679" spans="1:1" x14ac:dyDescent="0.25">
      <c r="A679" t="s">
        <v>1321</v>
      </c>
    </row>
    <row r="680" spans="1:1" x14ac:dyDescent="0.25">
      <c r="A680" t="s">
        <v>1321</v>
      </c>
    </row>
    <row r="681" spans="1:1" x14ac:dyDescent="0.25">
      <c r="A681" t="s">
        <v>1321</v>
      </c>
    </row>
    <row r="682" spans="1:1" x14ac:dyDescent="0.25">
      <c r="A682" t="s">
        <v>1321</v>
      </c>
    </row>
    <row r="683" spans="1:1" x14ac:dyDescent="0.25">
      <c r="A683" t="s">
        <v>1321</v>
      </c>
    </row>
    <row r="684" spans="1:1" x14ac:dyDescent="0.25">
      <c r="A684" t="s">
        <v>1321</v>
      </c>
    </row>
    <row r="685" spans="1:1" x14ac:dyDescent="0.25">
      <c r="A685" t="s">
        <v>1321</v>
      </c>
    </row>
    <row r="686" spans="1:1" x14ac:dyDescent="0.25">
      <c r="A686" t="s">
        <v>1321</v>
      </c>
    </row>
    <row r="687" spans="1:1" x14ac:dyDescent="0.25">
      <c r="A687" t="s">
        <v>1321</v>
      </c>
    </row>
    <row r="688" spans="1:1" x14ac:dyDescent="0.25">
      <c r="A688" t="s">
        <v>1321</v>
      </c>
    </row>
    <row r="689" spans="1:1" x14ac:dyDescent="0.25">
      <c r="A689" t="s">
        <v>1321</v>
      </c>
    </row>
    <row r="690" spans="1:1" x14ac:dyDescent="0.25">
      <c r="A690" t="s">
        <v>1321</v>
      </c>
    </row>
    <row r="691" spans="1:1" x14ac:dyDescent="0.25">
      <c r="A691" t="s">
        <v>1321</v>
      </c>
    </row>
    <row r="692" spans="1:1" x14ac:dyDescent="0.25">
      <c r="A692" t="s">
        <v>1321</v>
      </c>
    </row>
    <row r="693" spans="1:1" x14ac:dyDescent="0.25">
      <c r="A693" t="s">
        <v>1321</v>
      </c>
    </row>
    <row r="694" spans="1:1" x14ac:dyDescent="0.25">
      <c r="A694" t="s">
        <v>1321</v>
      </c>
    </row>
    <row r="695" spans="1:1" x14ac:dyDescent="0.25">
      <c r="A695" t="s">
        <v>1321</v>
      </c>
    </row>
    <row r="696" spans="1:1" x14ac:dyDescent="0.25">
      <c r="A696" t="s">
        <v>1321</v>
      </c>
    </row>
    <row r="697" spans="1:1" x14ac:dyDescent="0.25">
      <c r="A697" t="s">
        <v>1321</v>
      </c>
    </row>
    <row r="698" spans="1:1" x14ac:dyDescent="0.25">
      <c r="A698" t="s">
        <v>1321</v>
      </c>
    </row>
    <row r="699" spans="1:1" x14ac:dyDescent="0.25">
      <c r="A699" t="s">
        <v>1321</v>
      </c>
    </row>
    <row r="700" spans="1:1" x14ac:dyDescent="0.25">
      <c r="A700" t="s">
        <v>1321</v>
      </c>
    </row>
    <row r="701" spans="1:1" x14ac:dyDescent="0.25">
      <c r="A701" t="s">
        <v>1321</v>
      </c>
    </row>
    <row r="702" spans="1:1" x14ac:dyDescent="0.25">
      <c r="A702" t="s">
        <v>1321</v>
      </c>
    </row>
    <row r="703" spans="1:1" x14ac:dyDescent="0.25">
      <c r="A703" t="s">
        <v>1321</v>
      </c>
    </row>
    <row r="704" spans="1:1" x14ac:dyDescent="0.25">
      <c r="A704" t="s">
        <v>1321</v>
      </c>
    </row>
    <row r="705" spans="1:1" x14ac:dyDescent="0.25">
      <c r="A705" t="s">
        <v>1321</v>
      </c>
    </row>
    <row r="706" spans="1:1" x14ac:dyDescent="0.25">
      <c r="A706" t="s">
        <v>1321</v>
      </c>
    </row>
    <row r="707" spans="1:1" x14ac:dyDescent="0.25">
      <c r="A707" t="s">
        <v>1321</v>
      </c>
    </row>
    <row r="708" spans="1:1" x14ac:dyDescent="0.25">
      <c r="A708" t="s">
        <v>1321</v>
      </c>
    </row>
    <row r="709" spans="1:1" x14ac:dyDescent="0.25">
      <c r="A709" t="s">
        <v>1321</v>
      </c>
    </row>
    <row r="710" spans="1:1" x14ac:dyDescent="0.25">
      <c r="A710" t="s">
        <v>1321</v>
      </c>
    </row>
    <row r="711" spans="1:1" x14ac:dyDescent="0.25">
      <c r="A711" t="s">
        <v>1321</v>
      </c>
    </row>
    <row r="712" spans="1:1" x14ac:dyDescent="0.25">
      <c r="A712" t="s">
        <v>1321</v>
      </c>
    </row>
    <row r="713" spans="1:1" x14ac:dyDescent="0.25">
      <c r="A713" t="s">
        <v>1321</v>
      </c>
    </row>
    <row r="714" spans="1:1" x14ac:dyDescent="0.25">
      <c r="A714" t="s">
        <v>1321</v>
      </c>
    </row>
    <row r="715" spans="1:1" x14ac:dyDescent="0.25">
      <c r="A715" t="s">
        <v>1321</v>
      </c>
    </row>
    <row r="716" spans="1:1" x14ac:dyDescent="0.25">
      <c r="A716" t="s">
        <v>1321</v>
      </c>
    </row>
    <row r="717" spans="1:1" x14ac:dyDescent="0.25">
      <c r="A717" t="s">
        <v>1321</v>
      </c>
    </row>
    <row r="718" spans="1:1" x14ac:dyDescent="0.25">
      <c r="A718" t="s">
        <v>1321</v>
      </c>
    </row>
    <row r="719" spans="1:1" x14ac:dyDescent="0.25">
      <c r="A719" t="s">
        <v>1321</v>
      </c>
    </row>
    <row r="720" spans="1:1" x14ac:dyDescent="0.25">
      <c r="A720" t="s">
        <v>1321</v>
      </c>
    </row>
    <row r="721" spans="1:1" x14ac:dyDescent="0.25">
      <c r="A721" t="s">
        <v>1321</v>
      </c>
    </row>
    <row r="722" spans="1:1" x14ac:dyDescent="0.25">
      <c r="A722" t="s">
        <v>1321</v>
      </c>
    </row>
    <row r="723" spans="1:1" x14ac:dyDescent="0.25">
      <c r="A723" t="s">
        <v>1321</v>
      </c>
    </row>
    <row r="724" spans="1:1" x14ac:dyDescent="0.25">
      <c r="A724" t="s">
        <v>1321</v>
      </c>
    </row>
    <row r="725" spans="1:1" x14ac:dyDescent="0.25">
      <c r="A725" t="s">
        <v>1321</v>
      </c>
    </row>
    <row r="726" spans="1:1" x14ac:dyDescent="0.25">
      <c r="A726" t="s">
        <v>1321</v>
      </c>
    </row>
    <row r="727" spans="1:1" x14ac:dyDescent="0.25">
      <c r="A727" t="s">
        <v>1321</v>
      </c>
    </row>
    <row r="728" spans="1:1" x14ac:dyDescent="0.25">
      <c r="A728" t="s">
        <v>1321</v>
      </c>
    </row>
    <row r="729" spans="1:1" x14ac:dyDescent="0.25">
      <c r="A729" t="s">
        <v>1321</v>
      </c>
    </row>
    <row r="730" spans="1:1" x14ac:dyDescent="0.25">
      <c r="A730" t="s">
        <v>1321</v>
      </c>
    </row>
    <row r="731" spans="1:1" x14ac:dyDescent="0.25">
      <c r="A731" t="s">
        <v>1321</v>
      </c>
    </row>
    <row r="732" spans="1:1" x14ac:dyDescent="0.25">
      <c r="A732" t="s">
        <v>1321</v>
      </c>
    </row>
    <row r="733" spans="1:1" x14ac:dyDescent="0.25">
      <c r="A733" t="s">
        <v>1321</v>
      </c>
    </row>
    <row r="734" spans="1:1" x14ac:dyDescent="0.25">
      <c r="A734" t="s">
        <v>1321</v>
      </c>
    </row>
    <row r="735" spans="1:1" x14ac:dyDescent="0.25">
      <c r="A735" t="s">
        <v>1321</v>
      </c>
    </row>
    <row r="736" spans="1:1" x14ac:dyDescent="0.25">
      <c r="A736" t="s">
        <v>1321</v>
      </c>
    </row>
    <row r="737" spans="1:1" x14ac:dyDescent="0.25">
      <c r="A737" t="s">
        <v>1321</v>
      </c>
    </row>
    <row r="738" spans="1:1" x14ac:dyDescent="0.25">
      <c r="A738" t="s">
        <v>1321</v>
      </c>
    </row>
    <row r="739" spans="1:1" x14ac:dyDescent="0.25">
      <c r="A739" t="s">
        <v>1321</v>
      </c>
    </row>
    <row r="740" spans="1:1" x14ac:dyDescent="0.25">
      <c r="A740" t="s">
        <v>1321</v>
      </c>
    </row>
    <row r="741" spans="1:1" x14ac:dyDescent="0.25">
      <c r="A741" t="s">
        <v>1321</v>
      </c>
    </row>
    <row r="742" spans="1:1" x14ac:dyDescent="0.25">
      <c r="A742" t="s">
        <v>1321</v>
      </c>
    </row>
    <row r="743" spans="1:1" x14ac:dyDescent="0.25">
      <c r="A743" t="s">
        <v>1321</v>
      </c>
    </row>
    <row r="744" spans="1:1" x14ac:dyDescent="0.25">
      <c r="A744" t="s">
        <v>1321</v>
      </c>
    </row>
    <row r="745" spans="1:1" x14ac:dyDescent="0.25">
      <c r="A745" t="s">
        <v>1321</v>
      </c>
    </row>
    <row r="746" spans="1:1" x14ac:dyDescent="0.25">
      <c r="A746" t="s">
        <v>1321</v>
      </c>
    </row>
    <row r="747" spans="1:1" x14ac:dyDescent="0.25">
      <c r="A747" t="s">
        <v>1321</v>
      </c>
    </row>
    <row r="748" spans="1:1" x14ac:dyDescent="0.25">
      <c r="A748" t="s">
        <v>1321</v>
      </c>
    </row>
    <row r="749" spans="1:1" x14ac:dyDescent="0.25">
      <c r="A749" t="s">
        <v>1321</v>
      </c>
    </row>
    <row r="750" spans="1:1" x14ac:dyDescent="0.25">
      <c r="A750" t="s">
        <v>1321</v>
      </c>
    </row>
    <row r="751" spans="1:1" x14ac:dyDescent="0.25">
      <c r="A751" t="s">
        <v>1321</v>
      </c>
    </row>
    <row r="752" spans="1:1" x14ac:dyDescent="0.25">
      <c r="A752" t="s">
        <v>1321</v>
      </c>
    </row>
    <row r="753" spans="1:1" x14ac:dyDescent="0.25">
      <c r="A753" t="s">
        <v>1321</v>
      </c>
    </row>
    <row r="754" spans="1:1" x14ac:dyDescent="0.25">
      <c r="A754" t="s">
        <v>1321</v>
      </c>
    </row>
    <row r="755" spans="1:1" x14ac:dyDescent="0.25">
      <c r="A755" t="s">
        <v>1321</v>
      </c>
    </row>
    <row r="756" spans="1:1" x14ac:dyDescent="0.25">
      <c r="A756" t="s">
        <v>1321</v>
      </c>
    </row>
    <row r="757" spans="1:1" x14ac:dyDescent="0.25">
      <c r="A757" t="s">
        <v>1321</v>
      </c>
    </row>
    <row r="758" spans="1:1" x14ac:dyDescent="0.25">
      <c r="A758" t="s">
        <v>1321</v>
      </c>
    </row>
    <row r="759" spans="1:1" x14ac:dyDescent="0.25">
      <c r="A759" t="s">
        <v>1321</v>
      </c>
    </row>
    <row r="760" spans="1:1" x14ac:dyDescent="0.25">
      <c r="A760" t="s">
        <v>1321</v>
      </c>
    </row>
    <row r="761" spans="1:1" x14ac:dyDescent="0.25">
      <c r="A761" t="s">
        <v>1321</v>
      </c>
    </row>
    <row r="762" spans="1:1" x14ac:dyDescent="0.25">
      <c r="A762" t="s">
        <v>1321</v>
      </c>
    </row>
    <row r="763" spans="1:1" x14ac:dyDescent="0.25">
      <c r="A763" t="s">
        <v>1321</v>
      </c>
    </row>
    <row r="764" spans="1:1" x14ac:dyDescent="0.25">
      <c r="A764" t="s">
        <v>1321</v>
      </c>
    </row>
    <row r="765" spans="1:1" x14ac:dyDescent="0.25">
      <c r="A765" t="s">
        <v>1321</v>
      </c>
    </row>
    <row r="766" spans="1:1" x14ac:dyDescent="0.25">
      <c r="A766" t="s">
        <v>1321</v>
      </c>
    </row>
    <row r="767" spans="1:1" x14ac:dyDescent="0.25">
      <c r="A767" t="s">
        <v>1321</v>
      </c>
    </row>
    <row r="768" spans="1:1" x14ac:dyDescent="0.25">
      <c r="A768" t="s">
        <v>1321</v>
      </c>
    </row>
    <row r="769" spans="1:1" x14ac:dyDescent="0.25">
      <c r="A769" t="s">
        <v>1321</v>
      </c>
    </row>
    <row r="770" spans="1:1" x14ac:dyDescent="0.25">
      <c r="A770" t="s">
        <v>1321</v>
      </c>
    </row>
    <row r="771" spans="1:1" x14ac:dyDescent="0.25">
      <c r="A771" t="s">
        <v>1321</v>
      </c>
    </row>
    <row r="772" spans="1:1" x14ac:dyDescent="0.25">
      <c r="A772" t="s">
        <v>1321</v>
      </c>
    </row>
    <row r="773" spans="1:1" x14ac:dyDescent="0.25">
      <c r="A773" t="s">
        <v>1321</v>
      </c>
    </row>
    <row r="774" spans="1:1" x14ac:dyDescent="0.25">
      <c r="A774" t="s">
        <v>1321</v>
      </c>
    </row>
    <row r="775" spans="1:1" x14ac:dyDescent="0.25">
      <c r="A775" t="s">
        <v>1321</v>
      </c>
    </row>
    <row r="776" spans="1:1" x14ac:dyDescent="0.25">
      <c r="A776" t="s">
        <v>1321</v>
      </c>
    </row>
    <row r="777" spans="1:1" x14ac:dyDescent="0.25">
      <c r="A777" t="s">
        <v>1321</v>
      </c>
    </row>
    <row r="778" spans="1:1" x14ac:dyDescent="0.25">
      <c r="A778" t="s">
        <v>1321</v>
      </c>
    </row>
    <row r="779" spans="1:1" x14ac:dyDescent="0.25">
      <c r="A779" t="s">
        <v>1321</v>
      </c>
    </row>
    <row r="780" spans="1:1" x14ac:dyDescent="0.25">
      <c r="A780" t="s">
        <v>1321</v>
      </c>
    </row>
    <row r="781" spans="1:1" x14ac:dyDescent="0.25">
      <c r="A781" t="s">
        <v>1321</v>
      </c>
    </row>
    <row r="782" spans="1:1" x14ac:dyDescent="0.25">
      <c r="A782" t="s">
        <v>1321</v>
      </c>
    </row>
    <row r="783" spans="1:1" x14ac:dyDescent="0.25">
      <c r="A783" t="s">
        <v>1321</v>
      </c>
    </row>
    <row r="784" spans="1:1" x14ac:dyDescent="0.25">
      <c r="A784" t="s">
        <v>1321</v>
      </c>
    </row>
    <row r="785" spans="1:1" x14ac:dyDescent="0.25">
      <c r="A785" t="s">
        <v>1321</v>
      </c>
    </row>
    <row r="786" spans="1:1" x14ac:dyDescent="0.25">
      <c r="A786" t="s">
        <v>1321</v>
      </c>
    </row>
    <row r="787" spans="1:1" x14ac:dyDescent="0.25">
      <c r="A787" t="s">
        <v>1321</v>
      </c>
    </row>
    <row r="788" spans="1:1" x14ac:dyDescent="0.25">
      <c r="A788" t="s">
        <v>1321</v>
      </c>
    </row>
    <row r="789" spans="1:1" x14ac:dyDescent="0.25">
      <c r="A789" t="s">
        <v>1321</v>
      </c>
    </row>
    <row r="790" spans="1:1" x14ac:dyDescent="0.25">
      <c r="A790" t="s">
        <v>1321</v>
      </c>
    </row>
    <row r="791" spans="1:1" x14ac:dyDescent="0.25">
      <c r="A791" t="s">
        <v>1321</v>
      </c>
    </row>
    <row r="792" spans="1:1" x14ac:dyDescent="0.25">
      <c r="A792" t="s">
        <v>1321</v>
      </c>
    </row>
    <row r="793" spans="1:1" x14ac:dyDescent="0.25">
      <c r="A793" t="s">
        <v>1321</v>
      </c>
    </row>
    <row r="794" spans="1:1" x14ac:dyDescent="0.25">
      <c r="A794" t="s">
        <v>1321</v>
      </c>
    </row>
    <row r="795" spans="1:1" x14ac:dyDescent="0.25">
      <c r="A795" t="s">
        <v>1321</v>
      </c>
    </row>
    <row r="796" spans="1:1" x14ac:dyDescent="0.25">
      <c r="A796" t="s">
        <v>1321</v>
      </c>
    </row>
    <row r="797" spans="1:1" x14ac:dyDescent="0.25">
      <c r="A797" t="s">
        <v>1321</v>
      </c>
    </row>
    <row r="798" spans="1:1" x14ac:dyDescent="0.25">
      <c r="A798" t="s">
        <v>1321</v>
      </c>
    </row>
    <row r="799" spans="1:1" x14ac:dyDescent="0.25">
      <c r="A799" t="s">
        <v>1321</v>
      </c>
    </row>
    <row r="800" spans="1:1" x14ac:dyDescent="0.25">
      <c r="A800" t="s">
        <v>1321</v>
      </c>
    </row>
    <row r="801" spans="1:1" x14ac:dyDescent="0.25">
      <c r="A801" t="s">
        <v>1321</v>
      </c>
    </row>
    <row r="802" spans="1:1" x14ac:dyDescent="0.25">
      <c r="A802" t="s">
        <v>1321</v>
      </c>
    </row>
    <row r="803" spans="1:1" x14ac:dyDescent="0.25">
      <c r="A803" t="s">
        <v>1321</v>
      </c>
    </row>
    <row r="804" spans="1:1" x14ac:dyDescent="0.25">
      <c r="A804" t="s">
        <v>1321</v>
      </c>
    </row>
    <row r="805" spans="1:1" x14ac:dyDescent="0.25">
      <c r="A805" t="s">
        <v>1321</v>
      </c>
    </row>
    <row r="806" spans="1:1" x14ac:dyDescent="0.25">
      <c r="A806" t="s">
        <v>1321</v>
      </c>
    </row>
    <row r="807" spans="1:1" x14ac:dyDescent="0.25">
      <c r="A807" t="s">
        <v>1321</v>
      </c>
    </row>
    <row r="808" spans="1:1" x14ac:dyDescent="0.25">
      <c r="A808" t="s">
        <v>1321</v>
      </c>
    </row>
    <row r="809" spans="1:1" x14ac:dyDescent="0.25">
      <c r="A809" t="s">
        <v>1321</v>
      </c>
    </row>
    <row r="810" spans="1:1" x14ac:dyDescent="0.25">
      <c r="A810" t="s">
        <v>1321</v>
      </c>
    </row>
    <row r="811" spans="1:1" x14ac:dyDescent="0.25">
      <c r="A811" t="s">
        <v>1321</v>
      </c>
    </row>
    <row r="812" spans="1:1" x14ac:dyDescent="0.25">
      <c r="A812" t="s">
        <v>1321</v>
      </c>
    </row>
    <row r="813" spans="1:1" x14ac:dyDescent="0.25">
      <c r="A813" t="s">
        <v>1321</v>
      </c>
    </row>
    <row r="814" spans="1:1" x14ac:dyDescent="0.25">
      <c r="A814" t="s">
        <v>1321</v>
      </c>
    </row>
    <row r="815" spans="1:1" x14ac:dyDescent="0.25">
      <c r="A815" t="s">
        <v>1321</v>
      </c>
    </row>
    <row r="816" spans="1:1" x14ac:dyDescent="0.25">
      <c r="A816" t="s">
        <v>1321</v>
      </c>
    </row>
    <row r="817" spans="1:1" x14ac:dyDescent="0.25">
      <c r="A817" t="s">
        <v>1321</v>
      </c>
    </row>
    <row r="818" spans="1:1" x14ac:dyDescent="0.25">
      <c r="A818" t="s">
        <v>1321</v>
      </c>
    </row>
    <row r="819" spans="1:1" x14ac:dyDescent="0.25">
      <c r="A819" t="s">
        <v>1321</v>
      </c>
    </row>
    <row r="820" spans="1:1" x14ac:dyDescent="0.25">
      <c r="A820" t="s">
        <v>1321</v>
      </c>
    </row>
    <row r="821" spans="1:1" x14ac:dyDescent="0.25">
      <c r="A821" t="s">
        <v>1321</v>
      </c>
    </row>
    <row r="822" spans="1:1" x14ac:dyDescent="0.25">
      <c r="A822" t="s">
        <v>1321</v>
      </c>
    </row>
    <row r="823" spans="1:1" x14ac:dyDescent="0.25">
      <c r="A823" t="s">
        <v>1321</v>
      </c>
    </row>
    <row r="824" spans="1:1" x14ac:dyDescent="0.25">
      <c r="A824" t="s">
        <v>1321</v>
      </c>
    </row>
    <row r="825" spans="1:1" x14ac:dyDescent="0.25">
      <c r="A825" t="s">
        <v>1321</v>
      </c>
    </row>
    <row r="826" spans="1:1" x14ac:dyDescent="0.25">
      <c r="A826" t="s">
        <v>1321</v>
      </c>
    </row>
    <row r="827" spans="1:1" x14ac:dyDescent="0.25">
      <c r="A827" t="s">
        <v>1321</v>
      </c>
    </row>
    <row r="828" spans="1:1" x14ac:dyDescent="0.25">
      <c r="A828" t="s">
        <v>1321</v>
      </c>
    </row>
    <row r="829" spans="1:1" x14ac:dyDescent="0.25">
      <c r="A829" t="s">
        <v>1321</v>
      </c>
    </row>
    <row r="830" spans="1:1" x14ac:dyDescent="0.25">
      <c r="A830" t="s">
        <v>1321</v>
      </c>
    </row>
    <row r="831" spans="1:1" x14ac:dyDescent="0.25">
      <c r="A831" t="s">
        <v>1321</v>
      </c>
    </row>
    <row r="832" spans="1:1" x14ac:dyDescent="0.25">
      <c r="A832" t="s">
        <v>1321</v>
      </c>
    </row>
    <row r="833" spans="1:1" x14ac:dyDescent="0.25">
      <c r="A833" t="s">
        <v>1321</v>
      </c>
    </row>
    <row r="834" spans="1:1" x14ac:dyDescent="0.25">
      <c r="A834" t="s">
        <v>1321</v>
      </c>
    </row>
    <row r="835" spans="1:1" x14ac:dyDescent="0.25">
      <c r="A835" t="s">
        <v>1321</v>
      </c>
    </row>
    <row r="836" spans="1:1" x14ac:dyDescent="0.25">
      <c r="A836" t="s">
        <v>1321</v>
      </c>
    </row>
    <row r="837" spans="1:1" x14ac:dyDescent="0.25">
      <c r="A837" t="s">
        <v>1321</v>
      </c>
    </row>
    <row r="838" spans="1:1" x14ac:dyDescent="0.25">
      <c r="A838" t="s">
        <v>1321</v>
      </c>
    </row>
    <row r="839" spans="1:1" x14ac:dyDescent="0.25">
      <c r="A839" t="s">
        <v>1321</v>
      </c>
    </row>
    <row r="840" spans="1:1" x14ac:dyDescent="0.25">
      <c r="A840" t="s">
        <v>1321</v>
      </c>
    </row>
    <row r="841" spans="1:1" x14ac:dyDescent="0.25">
      <c r="A841" t="s">
        <v>1321</v>
      </c>
    </row>
    <row r="842" spans="1:1" x14ac:dyDescent="0.25">
      <c r="A842" t="s">
        <v>1321</v>
      </c>
    </row>
    <row r="843" spans="1:1" x14ac:dyDescent="0.25">
      <c r="A843" t="s">
        <v>1321</v>
      </c>
    </row>
    <row r="844" spans="1:1" x14ac:dyDescent="0.25">
      <c r="A844" t="s">
        <v>1321</v>
      </c>
    </row>
    <row r="845" spans="1:1" x14ac:dyDescent="0.25">
      <c r="A845" t="s">
        <v>1321</v>
      </c>
    </row>
    <row r="846" spans="1:1" x14ac:dyDescent="0.25">
      <c r="A846" t="s">
        <v>1321</v>
      </c>
    </row>
    <row r="847" spans="1:1" x14ac:dyDescent="0.25">
      <c r="A847" t="s">
        <v>1321</v>
      </c>
    </row>
    <row r="848" spans="1:1" x14ac:dyDescent="0.25">
      <c r="A848" t="s">
        <v>1321</v>
      </c>
    </row>
    <row r="849" spans="1:1" x14ac:dyDescent="0.25">
      <c r="A849" t="s">
        <v>1321</v>
      </c>
    </row>
    <row r="850" spans="1:1" x14ac:dyDescent="0.25">
      <c r="A850" t="s">
        <v>1321</v>
      </c>
    </row>
    <row r="851" spans="1:1" x14ac:dyDescent="0.25">
      <c r="A851" t="s">
        <v>1321</v>
      </c>
    </row>
    <row r="852" spans="1:1" x14ac:dyDescent="0.25">
      <c r="A852" t="s">
        <v>1321</v>
      </c>
    </row>
    <row r="853" spans="1:1" x14ac:dyDescent="0.25">
      <c r="A853" t="s">
        <v>1321</v>
      </c>
    </row>
    <row r="854" spans="1:1" x14ac:dyDescent="0.25">
      <c r="A854" t="s">
        <v>1321</v>
      </c>
    </row>
    <row r="855" spans="1:1" x14ac:dyDescent="0.25">
      <c r="A855" t="s">
        <v>1321</v>
      </c>
    </row>
    <row r="856" spans="1:1" x14ac:dyDescent="0.25">
      <c r="A856" t="s">
        <v>1321</v>
      </c>
    </row>
    <row r="857" spans="1:1" x14ac:dyDescent="0.25">
      <c r="A857" t="s">
        <v>1321</v>
      </c>
    </row>
    <row r="858" spans="1:1" x14ac:dyDescent="0.25">
      <c r="A858" t="s">
        <v>1321</v>
      </c>
    </row>
    <row r="859" spans="1:1" x14ac:dyDescent="0.25">
      <c r="A859" t="s">
        <v>1321</v>
      </c>
    </row>
    <row r="860" spans="1:1" x14ac:dyDescent="0.25">
      <c r="A860" t="s">
        <v>1321</v>
      </c>
    </row>
    <row r="861" spans="1:1" x14ac:dyDescent="0.25">
      <c r="A861" t="s">
        <v>1321</v>
      </c>
    </row>
    <row r="862" spans="1:1" x14ac:dyDescent="0.25">
      <c r="A862" t="s">
        <v>1321</v>
      </c>
    </row>
    <row r="863" spans="1:1" x14ac:dyDescent="0.25">
      <c r="A863" t="s">
        <v>1321</v>
      </c>
    </row>
    <row r="864" spans="1:1" x14ac:dyDescent="0.25">
      <c r="A864" t="s">
        <v>1321</v>
      </c>
    </row>
    <row r="865" spans="1:1" x14ac:dyDescent="0.25">
      <c r="A865" t="s">
        <v>1321</v>
      </c>
    </row>
    <row r="866" spans="1:1" x14ac:dyDescent="0.25">
      <c r="A866" t="s">
        <v>1321</v>
      </c>
    </row>
    <row r="867" spans="1:1" x14ac:dyDescent="0.25">
      <c r="A867" t="s">
        <v>1321</v>
      </c>
    </row>
    <row r="868" spans="1:1" x14ac:dyDescent="0.25">
      <c r="A868" t="s">
        <v>1321</v>
      </c>
    </row>
    <row r="869" spans="1:1" x14ac:dyDescent="0.25">
      <c r="A869" t="s">
        <v>1321</v>
      </c>
    </row>
    <row r="870" spans="1:1" x14ac:dyDescent="0.25">
      <c r="A870" t="s">
        <v>1321</v>
      </c>
    </row>
    <row r="871" spans="1:1" x14ac:dyDescent="0.25">
      <c r="A871" t="s">
        <v>1321</v>
      </c>
    </row>
    <row r="872" spans="1:1" x14ac:dyDescent="0.25">
      <c r="A872" t="s">
        <v>1321</v>
      </c>
    </row>
    <row r="873" spans="1:1" x14ac:dyDescent="0.25">
      <c r="A873" t="s">
        <v>1321</v>
      </c>
    </row>
    <row r="874" spans="1:1" x14ac:dyDescent="0.25">
      <c r="A874" t="s">
        <v>1321</v>
      </c>
    </row>
    <row r="875" spans="1:1" x14ac:dyDescent="0.25">
      <c r="A875" t="s">
        <v>1321</v>
      </c>
    </row>
    <row r="876" spans="1:1" x14ac:dyDescent="0.25">
      <c r="A876" t="s">
        <v>1321</v>
      </c>
    </row>
    <row r="877" spans="1:1" x14ac:dyDescent="0.25">
      <c r="A877" t="s">
        <v>1321</v>
      </c>
    </row>
    <row r="878" spans="1:1" x14ac:dyDescent="0.25">
      <c r="A878" t="s">
        <v>1321</v>
      </c>
    </row>
    <row r="879" spans="1:1" x14ac:dyDescent="0.25">
      <c r="A879" t="s">
        <v>1321</v>
      </c>
    </row>
    <row r="880" spans="1:1" x14ac:dyDescent="0.25">
      <c r="A880" t="s">
        <v>1321</v>
      </c>
    </row>
    <row r="881" spans="1:1" x14ac:dyDescent="0.25">
      <c r="A881" t="s">
        <v>1321</v>
      </c>
    </row>
    <row r="882" spans="1:1" x14ac:dyDescent="0.25">
      <c r="A882" t="s">
        <v>1321</v>
      </c>
    </row>
    <row r="883" spans="1:1" x14ac:dyDescent="0.25">
      <c r="A883" t="s">
        <v>1321</v>
      </c>
    </row>
    <row r="884" spans="1:1" x14ac:dyDescent="0.25">
      <c r="A884" t="s">
        <v>1321</v>
      </c>
    </row>
    <row r="885" spans="1:1" x14ac:dyDescent="0.25">
      <c r="A885" t="s">
        <v>1321</v>
      </c>
    </row>
    <row r="886" spans="1:1" x14ac:dyDescent="0.25">
      <c r="A886" t="s">
        <v>1321</v>
      </c>
    </row>
    <row r="887" spans="1:1" x14ac:dyDescent="0.25">
      <c r="A887" t="s">
        <v>1321</v>
      </c>
    </row>
    <row r="888" spans="1:1" x14ac:dyDescent="0.25">
      <c r="A888" t="s">
        <v>1321</v>
      </c>
    </row>
    <row r="889" spans="1:1" x14ac:dyDescent="0.25">
      <c r="A889" t="s">
        <v>1321</v>
      </c>
    </row>
    <row r="890" spans="1:1" x14ac:dyDescent="0.25">
      <c r="A890" t="s">
        <v>1321</v>
      </c>
    </row>
    <row r="891" spans="1:1" x14ac:dyDescent="0.25">
      <c r="A891" t="s">
        <v>1321</v>
      </c>
    </row>
    <row r="892" spans="1:1" x14ac:dyDescent="0.25">
      <c r="A892" t="s">
        <v>1321</v>
      </c>
    </row>
    <row r="893" spans="1:1" x14ac:dyDescent="0.25">
      <c r="A893" t="s">
        <v>1321</v>
      </c>
    </row>
    <row r="894" spans="1:1" x14ac:dyDescent="0.25">
      <c r="A894" t="s">
        <v>1321</v>
      </c>
    </row>
    <row r="895" spans="1:1" x14ac:dyDescent="0.25">
      <c r="A895" t="s">
        <v>1321</v>
      </c>
    </row>
    <row r="896" spans="1:1" x14ac:dyDescent="0.25">
      <c r="A896" t="s">
        <v>1321</v>
      </c>
    </row>
    <row r="897" spans="1:1" x14ac:dyDescent="0.25">
      <c r="A897" t="s">
        <v>1321</v>
      </c>
    </row>
    <row r="898" spans="1:1" x14ac:dyDescent="0.25">
      <c r="A898" t="s">
        <v>1321</v>
      </c>
    </row>
    <row r="899" spans="1:1" x14ac:dyDescent="0.25">
      <c r="A899" t="s">
        <v>1321</v>
      </c>
    </row>
    <row r="900" spans="1:1" x14ac:dyDescent="0.25">
      <c r="A900" t="s">
        <v>1321</v>
      </c>
    </row>
    <row r="901" spans="1:1" x14ac:dyDescent="0.25">
      <c r="A901" t="s">
        <v>1321</v>
      </c>
    </row>
    <row r="902" spans="1:1" x14ac:dyDescent="0.25">
      <c r="A902" t="s">
        <v>1321</v>
      </c>
    </row>
    <row r="903" spans="1:1" x14ac:dyDescent="0.25">
      <c r="A903" t="s">
        <v>1321</v>
      </c>
    </row>
    <row r="904" spans="1:1" x14ac:dyDescent="0.25">
      <c r="A904" t="s">
        <v>1321</v>
      </c>
    </row>
    <row r="905" spans="1:1" x14ac:dyDescent="0.25">
      <c r="A905" t="s">
        <v>1321</v>
      </c>
    </row>
    <row r="906" spans="1:1" x14ac:dyDescent="0.25">
      <c r="A906" t="s">
        <v>1321</v>
      </c>
    </row>
    <row r="907" spans="1:1" x14ac:dyDescent="0.25">
      <c r="A907" t="s">
        <v>1321</v>
      </c>
    </row>
    <row r="908" spans="1:1" x14ac:dyDescent="0.25">
      <c r="A908" t="s">
        <v>1321</v>
      </c>
    </row>
    <row r="909" spans="1:1" x14ac:dyDescent="0.25">
      <c r="A909" t="s">
        <v>1321</v>
      </c>
    </row>
    <row r="910" spans="1:1" x14ac:dyDescent="0.25">
      <c r="A910" t="s">
        <v>1321</v>
      </c>
    </row>
    <row r="911" spans="1:1" x14ac:dyDescent="0.25">
      <c r="A911" t="s">
        <v>1321</v>
      </c>
    </row>
    <row r="912" spans="1:1" x14ac:dyDescent="0.25">
      <c r="A912" t="s">
        <v>1321</v>
      </c>
    </row>
    <row r="913" spans="1:1" x14ac:dyDescent="0.25">
      <c r="A913" t="s">
        <v>1321</v>
      </c>
    </row>
    <row r="914" spans="1:1" x14ac:dyDescent="0.25">
      <c r="A914" t="s">
        <v>1321</v>
      </c>
    </row>
    <row r="915" spans="1:1" x14ac:dyDescent="0.25">
      <c r="A915" t="s">
        <v>1321</v>
      </c>
    </row>
    <row r="916" spans="1:1" x14ac:dyDescent="0.25">
      <c r="A916" t="s">
        <v>1321</v>
      </c>
    </row>
    <row r="917" spans="1:1" x14ac:dyDescent="0.25">
      <c r="A917" t="s">
        <v>1321</v>
      </c>
    </row>
    <row r="918" spans="1:1" x14ac:dyDescent="0.25">
      <c r="A918" t="s">
        <v>1321</v>
      </c>
    </row>
    <row r="919" spans="1:1" x14ac:dyDescent="0.25">
      <c r="A919" t="s">
        <v>1321</v>
      </c>
    </row>
    <row r="920" spans="1:1" x14ac:dyDescent="0.25">
      <c r="A920" t="s">
        <v>1321</v>
      </c>
    </row>
    <row r="921" spans="1:1" x14ac:dyDescent="0.25">
      <c r="A921" t="s">
        <v>1321</v>
      </c>
    </row>
    <row r="922" spans="1:1" x14ac:dyDescent="0.25">
      <c r="A922" t="s">
        <v>1321</v>
      </c>
    </row>
    <row r="923" spans="1:1" x14ac:dyDescent="0.25">
      <c r="A923" t="s">
        <v>1321</v>
      </c>
    </row>
    <row r="924" spans="1:1" x14ac:dyDescent="0.25">
      <c r="A924" t="s">
        <v>1321</v>
      </c>
    </row>
    <row r="925" spans="1:1" x14ac:dyDescent="0.25">
      <c r="A925" t="s">
        <v>1321</v>
      </c>
    </row>
    <row r="926" spans="1:1" x14ac:dyDescent="0.25">
      <c r="A926" t="s">
        <v>1321</v>
      </c>
    </row>
    <row r="927" spans="1:1" x14ac:dyDescent="0.25">
      <c r="A927" t="s">
        <v>1321</v>
      </c>
    </row>
    <row r="928" spans="1:1" x14ac:dyDescent="0.25">
      <c r="A928" t="s">
        <v>1321</v>
      </c>
    </row>
    <row r="929" spans="1:1" x14ac:dyDescent="0.25">
      <c r="A929" t="s">
        <v>1321</v>
      </c>
    </row>
    <row r="930" spans="1:1" x14ac:dyDescent="0.25">
      <c r="A930" t="s">
        <v>1321</v>
      </c>
    </row>
    <row r="931" spans="1:1" x14ac:dyDescent="0.25">
      <c r="A931" t="s">
        <v>1321</v>
      </c>
    </row>
    <row r="932" spans="1:1" x14ac:dyDescent="0.25">
      <c r="A932" t="s">
        <v>1321</v>
      </c>
    </row>
    <row r="933" spans="1:1" x14ac:dyDescent="0.25">
      <c r="A933" t="s">
        <v>1321</v>
      </c>
    </row>
    <row r="934" spans="1:1" x14ac:dyDescent="0.25">
      <c r="A934" t="s">
        <v>1321</v>
      </c>
    </row>
    <row r="935" spans="1:1" x14ac:dyDescent="0.25">
      <c r="A935" t="s">
        <v>1321</v>
      </c>
    </row>
    <row r="936" spans="1:1" x14ac:dyDescent="0.25">
      <c r="A936" t="s">
        <v>1321</v>
      </c>
    </row>
    <row r="937" spans="1:1" x14ac:dyDescent="0.25">
      <c r="A937" t="s">
        <v>1321</v>
      </c>
    </row>
    <row r="938" spans="1:1" x14ac:dyDescent="0.25">
      <c r="A938" t="s">
        <v>1321</v>
      </c>
    </row>
    <row r="939" spans="1:1" x14ac:dyDescent="0.25">
      <c r="A939" t="s">
        <v>1321</v>
      </c>
    </row>
    <row r="940" spans="1:1" x14ac:dyDescent="0.25">
      <c r="A940" t="s">
        <v>1321</v>
      </c>
    </row>
    <row r="941" spans="1:1" x14ac:dyDescent="0.25">
      <c r="A941" t="s">
        <v>1321</v>
      </c>
    </row>
    <row r="942" spans="1:1" x14ac:dyDescent="0.25">
      <c r="A942" t="s">
        <v>1321</v>
      </c>
    </row>
    <row r="943" spans="1:1" x14ac:dyDescent="0.25">
      <c r="A943" t="s">
        <v>1321</v>
      </c>
    </row>
    <row r="944" spans="1:1" x14ac:dyDescent="0.25">
      <c r="A944" t="s">
        <v>1321</v>
      </c>
    </row>
    <row r="945" spans="1:1" x14ac:dyDescent="0.25">
      <c r="A945" t="s">
        <v>1321</v>
      </c>
    </row>
    <row r="946" spans="1:1" x14ac:dyDescent="0.25">
      <c r="A946" t="s">
        <v>1321</v>
      </c>
    </row>
    <row r="947" spans="1:1" x14ac:dyDescent="0.25">
      <c r="A947" t="s">
        <v>1321</v>
      </c>
    </row>
    <row r="948" spans="1:1" x14ac:dyDescent="0.25">
      <c r="A948" t="s">
        <v>1321</v>
      </c>
    </row>
    <row r="949" spans="1:1" x14ac:dyDescent="0.25">
      <c r="A949" t="s">
        <v>1321</v>
      </c>
    </row>
    <row r="950" spans="1:1" x14ac:dyDescent="0.25">
      <c r="A950" t="s">
        <v>1321</v>
      </c>
    </row>
    <row r="951" spans="1:1" x14ac:dyDescent="0.25">
      <c r="A951" t="s">
        <v>1321</v>
      </c>
    </row>
    <row r="952" spans="1:1" x14ac:dyDescent="0.25">
      <c r="A952" t="s">
        <v>1321</v>
      </c>
    </row>
    <row r="953" spans="1:1" x14ac:dyDescent="0.25">
      <c r="A953" t="s">
        <v>1321</v>
      </c>
    </row>
    <row r="954" spans="1:1" x14ac:dyDescent="0.25">
      <c r="A954" t="s">
        <v>1321</v>
      </c>
    </row>
    <row r="955" spans="1:1" x14ac:dyDescent="0.25">
      <c r="A955" t="s">
        <v>1321</v>
      </c>
    </row>
    <row r="956" spans="1:1" x14ac:dyDescent="0.25">
      <c r="A956" t="s">
        <v>1321</v>
      </c>
    </row>
    <row r="957" spans="1:1" x14ac:dyDescent="0.25">
      <c r="A957" t="s">
        <v>1321</v>
      </c>
    </row>
    <row r="958" spans="1:1" x14ac:dyDescent="0.25">
      <c r="A958" t="s">
        <v>1321</v>
      </c>
    </row>
    <row r="959" spans="1:1" x14ac:dyDescent="0.25">
      <c r="A959" t="s">
        <v>1321</v>
      </c>
    </row>
    <row r="960" spans="1:1" x14ac:dyDescent="0.25">
      <c r="A960" t="s">
        <v>1321</v>
      </c>
    </row>
    <row r="961" spans="1:1" x14ac:dyDescent="0.25">
      <c r="A961" t="s">
        <v>1321</v>
      </c>
    </row>
    <row r="962" spans="1:1" x14ac:dyDescent="0.25">
      <c r="A962" t="s">
        <v>1321</v>
      </c>
    </row>
    <row r="963" spans="1:1" x14ac:dyDescent="0.25">
      <c r="A963" t="s">
        <v>1321</v>
      </c>
    </row>
    <row r="964" spans="1:1" x14ac:dyDescent="0.25">
      <c r="A964" t="s">
        <v>1321</v>
      </c>
    </row>
    <row r="965" spans="1:1" x14ac:dyDescent="0.25">
      <c r="A965" t="s">
        <v>1321</v>
      </c>
    </row>
    <row r="966" spans="1:1" x14ac:dyDescent="0.25">
      <c r="A966" t="s">
        <v>1321</v>
      </c>
    </row>
    <row r="967" spans="1:1" x14ac:dyDescent="0.25">
      <c r="A967" t="s">
        <v>1321</v>
      </c>
    </row>
    <row r="968" spans="1:1" x14ac:dyDescent="0.25">
      <c r="A968" t="s">
        <v>1321</v>
      </c>
    </row>
    <row r="969" spans="1:1" x14ac:dyDescent="0.25">
      <c r="A969" t="s">
        <v>1321</v>
      </c>
    </row>
    <row r="970" spans="1:1" x14ac:dyDescent="0.25">
      <c r="A970" t="s">
        <v>1321</v>
      </c>
    </row>
    <row r="971" spans="1:1" x14ac:dyDescent="0.25">
      <c r="A971" t="s">
        <v>1321</v>
      </c>
    </row>
    <row r="972" spans="1:1" x14ac:dyDescent="0.25">
      <c r="A972" t="s">
        <v>1321</v>
      </c>
    </row>
    <row r="973" spans="1:1" x14ac:dyDescent="0.25">
      <c r="A973" t="s">
        <v>1321</v>
      </c>
    </row>
    <row r="974" spans="1:1" x14ac:dyDescent="0.25">
      <c r="A974" t="s">
        <v>1321</v>
      </c>
    </row>
    <row r="975" spans="1:1" x14ac:dyDescent="0.25">
      <c r="A975" t="s">
        <v>1321</v>
      </c>
    </row>
    <row r="976" spans="1:1" x14ac:dyDescent="0.25">
      <c r="A976" t="s">
        <v>1321</v>
      </c>
    </row>
    <row r="977" spans="1:1" x14ac:dyDescent="0.25">
      <c r="A977" t="s">
        <v>1321</v>
      </c>
    </row>
    <row r="978" spans="1:1" x14ac:dyDescent="0.25">
      <c r="A978" t="s">
        <v>1321</v>
      </c>
    </row>
    <row r="979" spans="1:1" x14ac:dyDescent="0.25">
      <c r="A979" t="s">
        <v>1321</v>
      </c>
    </row>
    <row r="980" spans="1:1" x14ac:dyDescent="0.25">
      <c r="A980" t="s">
        <v>1321</v>
      </c>
    </row>
    <row r="981" spans="1:1" x14ac:dyDescent="0.25">
      <c r="A981" t="s">
        <v>1321</v>
      </c>
    </row>
    <row r="982" spans="1:1" x14ac:dyDescent="0.25">
      <c r="A982" t="s">
        <v>1321</v>
      </c>
    </row>
    <row r="983" spans="1:1" x14ac:dyDescent="0.25">
      <c r="A983" t="s">
        <v>1321</v>
      </c>
    </row>
    <row r="984" spans="1:1" x14ac:dyDescent="0.25">
      <c r="A984" t="s">
        <v>1321</v>
      </c>
    </row>
    <row r="985" spans="1:1" x14ac:dyDescent="0.25">
      <c r="A985" t="s">
        <v>1321</v>
      </c>
    </row>
    <row r="986" spans="1:1" x14ac:dyDescent="0.25">
      <c r="A986" t="s">
        <v>1321</v>
      </c>
    </row>
    <row r="987" spans="1:1" x14ac:dyDescent="0.25">
      <c r="A987" t="s">
        <v>1321</v>
      </c>
    </row>
    <row r="988" spans="1:1" x14ac:dyDescent="0.25">
      <c r="A988" t="s">
        <v>1321</v>
      </c>
    </row>
    <row r="989" spans="1:1" x14ac:dyDescent="0.25">
      <c r="A989" t="s">
        <v>1321</v>
      </c>
    </row>
    <row r="990" spans="1:1" x14ac:dyDescent="0.25">
      <c r="A990" t="s">
        <v>1321</v>
      </c>
    </row>
    <row r="991" spans="1:1" x14ac:dyDescent="0.25">
      <c r="A991" t="s">
        <v>1321</v>
      </c>
    </row>
    <row r="992" spans="1:1" x14ac:dyDescent="0.25">
      <c r="A992" t="s">
        <v>1321</v>
      </c>
    </row>
    <row r="993" spans="1:1" x14ac:dyDescent="0.25">
      <c r="A993" t="s">
        <v>1321</v>
      </c>
    </row>
    <row r="994" spans="1:1" x14ac:dyDescent="0.25">
      <c r="A994" t="s">
        <v>1321</v>
      </c>
    </row>
    <row r="995" spans="1:1" x14ac:dyDescent="0.25">
      <c r="A995" t="s">
        <v>1321</v>
      </c>
    </row>
    <row r="996" spans="1:1" x14ac:dyDescent="0.25">
      <c r="A996" t="s">
        <v>1321</v>
      </c>
    </row>
    <row r="997" spans="1:1" x14ac:dyDescent="0.25">
      <c r="A997" t="s">
        <v>1321</v>
      </c>
    </row>
    <row r="998" spans="1:1" x14ac:dyDescent="0.25">
      <c r="A998" t="s">
        <v>1321</v>
      </c>
    </row>
    <row r="999" spans="1:1" x14ac:dyDescent="0.25">
      <c r="A999" t="s">
        <v>1321</v>
      </c>
    </row>
    <row r="1000" spans="1:1" x14ac:dyDescent="0.25">
      <c r="A1000" t="s">
        <v>1321</v>
      </c>
    </row>
    <row r="1001" spans="1:1" x14ac:dyDescent="0.25">
      <c r="A1001" t="s">
        <v>1321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96960-5547-4D6C-A85E-35AEC762F54E}">
  <sheetPr codeName="Planilha2"/>
  <dimension ref="A1:EX542"/>
  <sheetViews>
    <sheetView tabSelected="1" workbookViewId="0">
      <selection activeCell="G2" sqref="G2"/>
    </sheetView>
  </sheetViews>
  <sheetFormatPr defaultColWidth="9.140625" defaultRowHeight="15" x14ac:dyDescent="0.25"/>
  <cols>
    <col min="1" max="1" width="14.85546875" style="2" bestFit="1" customWidth="1"/>
    <col min="2" max="2" width="11.5703125" style="2" bestFit="1" customWidth="1"/>
    <col min="3" max="3" width="11.7109375" style="2" customWidth="1"/>
    <col min="4" max="6" width="11.7109375" style="2" hidden="1" customWidth="1"/>
    <col min="7" max="7" width="39.28515625" bestFit="1" customWidth="1"/>
    <col min="8" max="8" width="25" style="2" bestFit="1" customWidth="1"/>
    <col min="9" max="9" width="4.140625" style="1" customWidth="1"/>
    <col min="10" max="10" width="9.140625" customWidth="1"/>
    <col min="11" max="11" width="10.42578125" style="2" bestFit="1" customWidth="1"/>
    <col min="12" max="16" width="4.140625" style="2" customWidth="1"/>
    <col min="17" max="18" width="11.5703125" style="2" bestFit="1" customWidth="1"/>
    <col min="19" max="19" width="24.28515625" style="2" bestFit="1" customWidth="1"/>
    <col min="20" max="20" width="10.28515625" style="2" bestFit="1" customWidth="1"/>
    <col min="21" max="21" width="4.140625" style="1" customWidth="1"/>
    <col min="22" max="22" width="26.42578125" customWidth="1"/>
    <col min="23" max="23" width="34" customWidth="1"/>
    <col min="24" max="24" width="35.42578125" customWidth="1"/>
    <col min="25" max="25" width="28.42578125" customWidth="1"/>
    <col min="26" max="26" width="30.28515625" customWidth="1"/>
    <col min="27" max="27" width="27.140625" customWidth="1"/>
    <col min="28" max="28" width="25.5703125" customWidth="1"/>
    <col min="29" max="29" width="28" customWidth="1"/>
    <col min="30" max="30" width="25.140625" customWidth="1"/>
    <col min="31" max="31" width="29.42578125" customWidth="1"/>
    <col min="32" max="32" width="26.42578125" customWidth="1"/>
    <col min="33" max="33" width="20.7109375" customWidth="1"/>
    <col min="34" max="34" width="24.28515625" customWidth="1"/>
    <col min="35" max="35" width="17.5703125" customWidth="1"/>
    <col min="36" max="36" width="39.28515625" customWidth="1"/>
    <col min="37" max="37" width="24.5703125" customWidth="1"/>
    <col min="38" max="38" width="25.5703125" customWidth="1"/>
    <col min="39" max="39" width="23.42578125" customWidth="1"/>
    <col min="40" max="40" width="24.28515625" customWidth="1"/>
    <col min="41" max="41" width="19.85546875" customWidth="1"/>
    <col min="42" max="42" width="25.85546875" customWidth="1"/>
    <col min="43" max="43" width="35.42578125" customWidth="1"/>
    <col min="44" max="44" width="23.5703125" customWidth="1"/>
    <col min="45" max="45" width="26.7109375" customWidth="1"/>
    <col min="46" max="46" width="34.7109375" customWidth="1"/>
    <col min="47" max="47" width="25.7109375" customWidth="1"/>
    <col min="48" max="48" width="24.140625" customWidth="1"/>
    <col min="49" max="49" width="16.85546875" customWidth="1"/>
    <col min="50" max="50" width="8.5703125" bestFit="1" customWidth="1"/>
    <col min="51" max="51" width="30.28515625" customWidth="1"/>
    <col min="52" max="62" width="8.42578125" bestFit="1" customWidth="1"/>
    <col min="63" max="85" width="8.42578125" customWidth="1"/>
    <col min="86" max="86" width="4.140625" style="1" customWidth="1"/>
    <col min="87" max="99" width="9.140625" customWidth="1"/>
    <col min="100" max="100" width="8.7109375" customWidth="1"/>
    <col min="101" max="118" width="9.140625" customWidth="1"/>
    <col min="119" max="119" width="4.140625" style="1" customWidth="1"/>
    <col min="120" max="135" width="9.140625" customWidth="1"/>
    <col min="136" max="136" width="4.140625" style="1" customWidth="1"/>
    <col min="137" max="144" width="9.140625" customWidth="1"/>
    <col min="145" max="145" width="4.140625" style="1" customWidth="1"/>
    <col min="146" max="149" width="9.140625" customWidth="1"/>
    <col min="150" max="150" width="4.140625" style="1" customWidth="1"/>
    <col min="151" max="152" width="9.140625" customWidth="1"/>
    <col min="153" max="153" width="4.140625" style="1" customWidth="1"/>
  </cols>
  <sheetData>
    <row r="1" spans="1:154" s="4" customFormat="1" x14ac:dyDescent="0.25">
      <c r="A1" s="4" t="s">
        <v>63</v>
      </c>
      <c r="B1" s="4" t="s">
        <v>75</v>
      </c>
      <c r="C1" s="4" t="s">
        <v>74</v>
      </c>
      <c r="D1" s="4" t="s">
        <v>73</v>
      </c>
      <c r="E1" s="4" t="s">
        <v>72</v>
      </c>
      <c r="F1" s="4" t="s">
        <v>71</v>
      </c>
      <c r="G1" s="4" t="s">
        <v>70</v>
      </c>
      <c r="H1" s="4" t="s">
        <v>415</v>
      </c>
      <c r="I1" s="5"/>
      <c r="K1" s="4" t="s">
        <v>69</v>
      </c>
      <c r="L1" s="22" t="s">
        <v>68</v>
      </c>
      <c r="M1" s="22"/>
      <c r="N1" s="22"/>
      <c r="O1" s="22"/>
      <c r="P1" s="22"/>
      <c r="Q1" s="4" t="str">
        <f>COUNTA(J3:J5000) &amp; " Decks"</f>
        <v>34 Decks</v>
      </c>
      <c r="R1" s="2"/>
      <c r="U1" s="5"/>
      <c r="V1" s="6" t="s">
        <v>57</v>
      </c>
      <c r="W1" s="6" t="s">
        <v>61</v>
      </c>
      <c r="X1" s="6" t="s">
        <v>62</v>
      </c>
      <c r="Y1" s="6" t="s">
        <v>59</v>
      </c>
      <c r="Z1" s="6" t="s">
        <v>55</v>
      </c>
      <c r="AA1" s="6" t="s">
        <v>53</v>
      </c>
      <c r="AB1" s="6" t="s">
        <v>51</v>
      </c>
      <c r="AC1" s="6" t="s">
        <v>49</v>
      </c>
      <c r="AD1" s="6" t="s">
        <v>47</v>
      </c>
      <c r="AE1" s="6" t="s">
        <v>188</v>
      </c>
      <c r="AF1" s="6" t="s">
        <v>43</v>
      </c>
      <c r="AG1" s="6" t="s">
        <v>42</v>
      </c>
      <c r="AH1" s="6" t="s">
        <v>40</v>
      </c>
      <c r="AI1" s="6" t="s">
        <v>36</v>
      </c>
      <c r="AJ1" s="6" t="s">
        <v>34</v>
      </c>
      <c r="AK1" s="6" t="s">
        <v>32</v>
      </c>
      <c r="AL1" s="6" t="s">
        <v>30</v>
      </c>
      <c r="AM1" s="6" t="s">
        <v>28</v>
      </c>
      <c r="AN1" s="6" t="s">
        <v>26</v>
      </c>
      <c r="AO1" s="6" t="s">
        <v>24</v>
      </c>
      <c r="AP1" s="6" t="s">
        <v>22</v>
      </c>
      <c r="AQ1" s="6" t="s">
        <v>21</v>
      </c>
      <c r="AR1" s="6" t="s">
        <v>18</v>
      </c>
      <c r="AS1" s="6" t="s">
        <v>16</v>
      </c>
      <c r="AT1" s="6" t="s">
        <v>14</v>
      </c>
      <c r="AU1" s="6" t="s">
        <v>12</v>
      </c>
      <c r="AV1" s="6" t="s">
        <v>10</v>
      </c>
      <c r="AW1" s="6" t="s">
        <v>8</v>
      </c>
      <c r="AX1" s="6" t="s">
        <v>223</v>
      </c>
      <c r="AY1" s="6" t="s">
        <v>5</v>
      </c>
      <c r="AZ1" s="6" t="s">
        <v>170</v>
      </c>
      <c r="BA1" s="6" t="s">
        <v>171</v>
      </c>
      <c r="BB1" s="6" t="s">
        <v>172</v>
      </c>
      <c r="BC1" s="6" t="s">
        <v>173</v>
      </c>
      <c r="BD1" s="6" t="s">
        <v>174</v>
      </c>
      <c r="BE1" s="6" t="s">
        <v>182</v>
      </c>
      <c r="BF1" s="6" t="s">
        <v>175</v>
      </c>
      <c r="BG1" s="6" t="s">
        <v>176</v>
      </c>
      <c r="BH1" s="6" t="s">
        <v>177</v>
      </c>
      <c r="BI1" s="6" t="s">
        <v>186</v>
      </c>
      <c r="BJ1" s="6" t="s">
        <v>222</v>
      </c>
      <c r="BK1" s="6" t="s">
        <v>178</v>
      </c>
      <c r="BL1" s="6" t="s">
        <v>384</v>
      </c>
      <c r="BM1" s="6" t="s">
        <v>179</v>
      </c>
      <c r="BN1" s="6" t="s">
        <v>179</v>
      </c>
      <c r="BO1" s="6" t="s">
        <v>179</v>
      </c>
      <c r="BP1" s="6" t="s">
        <v>179</v>
      </c>
      <c r="BQ1" s="6" t="s">
        <v>179</v>
      </c>
      <c r="BR1" s="6" t="s">
        <v>179</v>
      </c>
      <c r="BS1" s="6" t="s">
        <v>179</v>
      </c>
      <c r="BT1" s="6" t="s">
        <v>179</v>
      </c>
      <c r="BU1" s="6" t="s">
        <v>179</v>
      </c>
      <c r="BV1" s="6" t="s">
        <v>179</v>
      </c>
      <c r="BW1" s="6" t="s">
        <v>179</v>
      </c>
      <c r="BX1" s="6" t="s">
        <v>179</v>
      </c>
      <c r="BY1" s="6" t="s">
        <v>179</v>
      </c>
      <c r="BZ1" s="6" t="s">
        <v>179</v>
      </c>
      <c r="CA1" s="6" t="s">
        <v>179</v>
      </c>
      <c r="CB1" s="6" t="s">
        <v>179</v>
      </c>
      <c r="CC1" s="6" t="s">
        <v>179</v>
      </c>
      <c r="CD1" s="6" t="s">
        <v>179</v>
      </c>
      <c r="CE1" s="6" t="s">
        <v>179</v>
      </c>
      <c r="CF1" s="6" t="s">
        <v>179</v>
      </c>
      <c r="CG1" s="6" t="s">
        <v>179</v>
      </c>
      <c r="CH1" s="5"/>
      <c r="DO1" s="5"/>
      <c r="EF1" s="5"/>
      <c r="EO1" s="5"/>
      <c r="ET1" s="5"/>
      <c r="EW1" s="5"/>
    </row>
    <row r="2" spans="1:154" x14ac:dyDescent="0.25">
      <c r="A2" s="2" t="str">
        <f ca="1">IFERROR(INDEX($T$3:$T$200, MATCH($C2, $J$3:$J$200, 0)), "")</f>
        <v>4</v>
      </c>
      <c r="B2" s="2">
        <f ca="1">COUNTIF(V:CG,G2)</f>
        <v>4</v>
      </c>
      <c r="C2" s="2" t="str">
        <f ca="1">IFERROR(
 INDEX($V$1:$BL$1,
  MATCH(TRUE,
   CHOOSE({1;2;3;4;5;6;7;8;9;10;11;12;13;14;15;16;17;18;19;20;21;22;23;24;25;26;27;28;29;30;31;32;33;34;35;36;37;38;39;40;41;42;43},
    COUNTIFS($V$2:$V$200,$G2)&gt;0,
    COUNTIFS($W$2:$W$200,$G2)&gt;0,
    COUNTIFS($X$2:$X$200,$G2)&gt;0,
    COUNTIFS($Y$2:$Y$200,$G2)&gt;0,
    COUNTIFS($Z$2:$Z$200,$G2)&gt;0,
    COUNTIFS($AA$2:$AA$200,$G2)&gt;0,
    COUNTIFS($AB$2:$AB$200,$G2)&gt;0,
    COUNTIFS($AC$2:$AC$200,$G2)&gt;0,
    COUNTIFS($AD$2:$AD$200,$G2)&gt;0,
    COUNTIFS($AE$2:$AE$200,$G2)&gt;0,
    COUNTIFS($AF$2:$AF$200,$G2)&gt;0,
    COUNTIFS($AG$2:$AG$200,$G2)&gt;0,
    COUNTIFS($AH$2:$AH$200,$G2)&gt;0,
    COUNTIFS($AI$2:$AI$200,$G2)&gt;0,
    COUNTIFS($AJ$2:$AJ$200,$G2)&gt;0,
    COUNTIFS($AK$2:$AK$200,$G2)&gt;0,
    COUNTIFS($AL$2:$AL$200,$G2)&gt;0,
    COUNTIFS($AM$2:$AM$200,$G2)&gt;0,
    COUNTIFS($AN$2:$AN$200,$G2)&gt;0,
    COUNTIFS($AO$2:$AO$200,$G2)&gt;0,
    COUNTIFS($AP$2:$AP$200,$G2)&gt;0,
    COUNTIFS($AQ$2:$AQ$200,$G2)&gt;0,
    COUNTIFS($AR$2:$AR$200,$G2)&gt;0,
    COUNTIFS($AS$2:$AS$200,$G2)&gt;0,
    COUNTIFS($AT$2:$AT$200,$G2)&gt;0,
    COUNTIFS($AU$2:$AU$200,$G2)&gt;0,
    COUNTIFS($AV$2:$AV$200,$G2)&gt;0,
    COUNTIFS($AW$2:$AW$200,$G2)&gt;0,
    COUNTIFS($AX$2:$AX$200,$G2)&gt;0,
    COUNTIFS($AY$2:$AY$200,$G2)&gt;0,
    COUNTIFS($AZ$2:$AZ$200,$G2)&gt;0,
    COUNTIFS($BA$2:$BA$200,$G2)&gt;0,
    COUNTIFS($BB$2:$BB$200,$G2)&gt;0,
    COUNTIFS($BC$2:$BC$200,$G2)&gt;0,
    COUNTIFS($BD$2:$BD$200,$G2)&gt;0,
    COUNTIFS($BE$2:$BE$200,$G2)&gt;0,
    COUNTIFS($BF$2:$BF$200,$G2)&gt;0,
    COUNTIFS($BG$2:$BG$200,$G2)&gt;0,
    COUNTIFS($BH$2:$BH$200,$G2)&gt;0,
    COUNTIFS($BI$2:$BI$200,$G2)&gt;0,
    COUNTIFS($BJ$2:$BJ$200,$G2)&gt;0,
    COUNTIFS($BK$2:$BK$200,$G2)&gt;0,
    COUNTIFS($BL$2:$BL$200,$G2)&gt;0,
    COUNTIFS($BM$2:$BM$200,$G2)&gt;0,
   ),
  0)
 ),
"")</f>
        <v>Narset</v>
      </c>
      <c r="D2" s="2" t="str" cm="1">
        <f t="array" aca="1" ref="D2" ca="1">IFERROR(
 INDEX(
  _xlfn._xlws.FILTER($V$1:$AY$1,
   TRANSPOSE(
    CHOOSE({1;2;3;4;5;6;7;8;9;10;11;12;13;14;15;16;17;18;19;20;21;22;23;24;25;26;27;28;29;30},
     COUNTIFS($V$2:$V$200,$G2)&gt;0,
     COUNTIFS($W$2:$W$200,$G2)&gt;0,
     COUNTIFS($X$2:$X$200,$G2)&gt;0,
     COUNTIFS($Y$2:$Y$200,$G2)&gt;0,
     COUNTIFS($Z$2:$Z$200,$G2)&gt;0,
     COUNTIFS($AA$2:$AA$200,$G2)&gt;0,
     COUNTIFS($AB$2:$AB$200,$G2)&gt;0,
     COUNTIFS($AC$2:$AC$200,$G2)&gt;0,
     COUNTIFS($AD$2:$AD$200,$G2)&gt;0,
     COUNTIFS($AE$2:$AE$200,$G2)&gt;0,
     COUNTIFS($AF$2:$AF$200,$G2)&gt;0,
     COUNTIFS($AG$2:$AG$200,$G2)&gt;0,
     COUNTIFS($AH$2:$AH$200,$G2)&gt;0,
     COUNTIFS($AI$2:$AI$200,$G2)&gt;0,
     COUNTIFS($AJ$2:$AJ$200,$G2)&gt;0,
     COUNTIFS($AK$2:$AK$200,$G2)&gt;0,
     COUNTIFS($AL$2:$AL$200,$G2)&gt;0,
     COUNTIFS($AM$2:$AM$200,$G2)&gt;0,
     COUNTIFS($AN$2:$AN$200,$G2)&gt;0,
     COUNTIFS($AO$2:$AO$200,$G2)&gt;0,
     COUNTIFS($AP$2:$AP$200,$G2)&gt;0,
     COUNTIFS($AQ$2:$AQ$200,$G2)&gt;0,
     COUNTIFS($AR$2:$AR$200,$G2)&gt;0,
     COUNTIFS($AS$2:$AS$200,$G2)&gt;0,
     COUNTIFS($AT$2:$AT$200,$G2)&gt;0,
     COUNTIFS($AU$2:$AU$200,$G2)&gt;0,
     COUNTIFS($AV$2:$AV$200,$G2)&gt;0,
     COUNTIFS($AW$2:$AW$200,$G2)&gt;0,
     COUNTIFS($AX$2:$AX$200,$G2)&gt;0,
     COUNTIFS($AY$2:$AY$200,$G2)&gt;0
   )),
  ),
  2
 ),
"")</f>
        <v>Tayam</v>
      </c>
      <c r="E2" s="2" t="str" cm="1">
        <f t="array" aca="1" ref="E2" ca="1">IFERROR(
 INDEX(
  _xlfn._xlws.FILTER($V$1:$AY$1,
   TRANSPOSE(
    CHOOSE({1;2;3;4;5;6;7;8;9;10;11;12;13;14;15;16;17;18;19;20;21;22;23;24;25;26;27;28;29;30},
     COUNTIFS($V$2:$V$200,$G2)&gt;0,
     COUNTIFS($W$2:$W$200,$G2)&gt;0,
     COUNTIFS($X$2:$X$200,$G2)&gt;0,
     COUNTIFS($Y$2:$Y$200,$G2)&gt;0,
     COUNTIFS($Z$2:$Z$200,$G2)&gt;0,
     COUNTIFS($AA$2:$AA$200,$G2)&gt;0,
     COUNTIFS($AB$2:$AB$200,$G2)&gt;0,
     COUNTIFS($AC$2:$AC$200,$G2)&gt;0,
     COUNTIFS($AD$2:$AD$200,$G2)&gt;0,
     COUNTIFS($AE$2:$AE$200,$G2)&gt;0,
     COUNTIFS($AF$2:$AF$200,$G2)&gt;0,
     COUNTIFS($AG$2:$AG$200,$G2)&gt;0,
     COUNTIFS($AH$2:$AH$200,$G2)&gt;0,
     COUNTIFS($AI$2:$AI$200,$G2)&gt;0,
     COUNTIFS($AJ$2:$AJ$200,$G2)&gt;0,
     COUNTIFS($AK$2:$AK$200,$G2)&gt;0,
     COUNTIFS($AL$2:$AL$200,$G2)&gt;0,
     COUNTIFS($AM$2:$AM$200,$G2)&gt;0,
     COUNTIFS($AN$2:$AN$200,$G2)&gt;0,
     COUNTIFS($AO$2:$AO$200,$G2)&gt;0,
     COUNTIFS($AP$2:$AP$200,$G2)&gt;0,
     COUNTIFS($AQ$2:$AQ$200,$G2)&gt;0,
     COUNTIFS($AR$2:$AR$200,$G2)&gt;0,
     COUNTIFS($AS$2:$AS$200,$G2)&gt;0,
     COUNTIFS($AT$2:$AT$200,$G2)&gt;0,
     COUNTIFS($AU$2:$AU$200,$G2)&gt;0,
     COUNTIFS($AV$2:$AV$200,$G2)&gt;0,
     COUNTIFS($AW$2:$AW$200,$G2)&gt;0,
     COUNTIFS($AX$2:$AX$200,$G2)&gt;0,
     COUNTIFS($AY$2:$AY$200,$G2)&gt;0
   )),
  ),
  3
 ),
"")</f>
        <v>Modular</v>
      </c>
      <c r="F2" s="2" t="str" cm="1">
        <f t="array" aca="1" ref="F2" ca="1">IFERROR(
 INDEX(
  _xlfn._xlws.FILTER($V$1:$AY$1,
   TRANSPOSE(
    CHOOSE({1;2;3;4;5;6;7;8;9;10;11;12;13;14;15;16;17;18;19;20;21;22;23;24;25;26;27;28;29;30},
     COUNTIFS($V$2:$V$200,$G2)&gt;0,
     COUNTIFS($W$2:$W$200,$G2)&gt;0,
     COUNTIFS($X$2:$X$200,$G2)&gt;0,
     COUNTIFS($Y$2:$Y$200,$G2)&gt;0,
     COUNTIFS($Z$2:$Z$200,$G2)&gt;0,
     COUNTIFS($AA$2:$AA$200,$G2)&gt;0,
     COUNTIFS($AB$2:$AB$200,$G2)&gt;0,
     COUNTIFS($AC$2:$AC$200,$G2)&gt;0,
     COUNTIFS($AD$2:$AD$200,$G2)&gt;0,
     COUNTIFS($AE$2:$AE$200,$G2)&gt;0,
     COUNTIFS($AF$2:$AF$200,$G2)&gt;0,
     COUNTIFS($AG$2:$AG$200,$G2)&gt;0,
     COUNTIFS($AH$2:$AH$200,$G2)&gt;0,
     COUNTIFS($AI$2:$AI$200,$G2)&gt;0,
     COUNTIFS($AJ$2:$AJ$200,$G2)&gt;0,
     COUNTIFS($AK$2:$AK$200,$G2)&gt;0,
     COUNTIFS($AL$2:$AL$200,$G2)&gt;0,
     COUNTIFS($AM$2:$AM$200,$G2)&gt;0,
     COUNTIFS($AN$2:$AN$200,$G2)&gt;0,
     COUNTIFS($AO$2:$AO$200,$G2)&gt;0,
     COUNTIFS($AP$2:$AP$200,$G2)&gt;0,
     COUNTIFS($AQ$2:$AQ$200,$G2)&gt;0,
     COUNTIFS($AR$2:$AR$200,$G2)&gt;0,
     COUNTIFS($AS$2:$AS$200,$G2)&gt;0,
     COUNTIFS($AT$2:$AT$200,$G2)&gt;0,
     COUNTIFS($AU$2:$AU$200,$G2)&gt;0,
     COUNTIFS($AV$2:$AV$200,$G2)&gt;0,
     COUNTIFS($AW$2:$AW$200,$G2)&gt;0,
     COUNTIFS($AX$2:$AX$200,$G2)&gt;0,
     COUNTIFS($AY$2:$AY$200,$G2)&gt;0
   )),
  ),
  4
 ),
"")</f>
        <v/>
      </c>
      <c r="G2" t="str" cm="1">
        <f t="array" aca="1" ref="G2:G542" ca="1">IF(COUNTA(_xlfn.ANCHORARRAY(EX2))=0,"",_xlfn._xlws.SORT(_xlfn.UNIQUE(_xlfn.ANCHORARRAY(EX2)),1,1))</f>
        <v>Abandoned Air Temple</v>
      </c>
      <c r="H2" s="19" t="s">
        <v>416</v>
      </c>
      <c r="J2" t="s">
        <v>67</v>
      </c>
      <c r="K2" s="2">
        <f>SUM(K3:K62)</f>
        <v>733</v>
      </c>
      <c r="L2" s="2">
        <f>COUNTIF(L3:L5000,"Sim")</f>
        <v>21</v>
      </c>
      <c r="M2" s="2">
        <f t="shared" ref="M2:P2" si="0">COUNTIF(M3:M5000,"Sim")</f>
        <v>25</v>
      </c>
      <c r="N2" s="2">
        <f t="shared" si="0"/>
        <v>25</v>
      </c>
      <c r="O2" s="2">
        <f t="shared" si="0"/>
        <v>24</v>
      </c>
      <c r="P2" s="2">
        <f t="shared" si="0"/>
        <v>21</v>
      </c>
      <c r="Q2" s="4" t="s">
        <v>66</v>
      </c>
      <c r="R2" s="4" t="s">
        <v>65</v>
      </c>
      <c r="S2" s="4" t="s">
        <v>64</v>
      </c>
      <c r="T2" s="4" t="s">
        <v>63</v>
      </c>
      <c r="V2" t="str" cm="1">
        <f t="array" ref="V2:V10">IF(COUNTA(_xlfn._xlws.FILTER([1]Piratas!C3:C200,([1]Piratas!B3:B200&lt;&gt;[1]Piratas!C3:C200)*([1]Piratas!C3:C200&lt;&gt;"")))=0,"",_xlfn._xlws.SORT(_xlfn._xlws.FILTER([1]Piratas!C3:C200,([1]Piratas!B3:B200&lt;&gt;[1]Piratas!C3:C200)*([1]Piratas!C3:C200&lt;&gt;"")),1,1))</f>
        <v>Back in Town</v>
      </c>
      <c r="W2" t="str" cm="1">
        <f t="array" ref="W2:W27">IF(COUNTA(_xlfn._xlws.FILTER([1]Baylen!C3:C200,([1]Baylen!B3:B200&lt;&gt;[1]Baylen!C3:C200)*([1]Baylen!C3:C200&lt;&gt;"")))=0,"",_xlfn._xlws.SORT(_xlfn._xlws.FILTER([1]Baylen!C3:C200,([1]Baylen!B3:B200&lt;&gt;[1]Baylen!C3:C200)*([1]Baylen!C3:C200&lt;&gt;"")),1,1))</f>
        <v>Artifact Mutation</v>
      </c>
      <c r="X2" t="str" cm="1">
        <f t="array" ref="X2:X19">IF(COUNTA(_xlfn._xlws.FILTER([1]Narset!C3:C200,([1]Narset!B3:B200&lt;&gt;[1]Narset!C3:C200)*([1]Narset!C3:C200&lt;&gt;"")))=0,"",_xlfn._xlws.SORT(_xlfn._xlws.FILTER([1]Narset!C3:C200,([1]Narset!B3:B200&lt;&gt;[1]Narset!C3:C200)*([1]Narset!C3:C200&lt;&gt;"")),1,1))</f>
        <v>Abandoned Air Temple</v>
      </c>
      <c r="Y2" t="str" cm="1">
        <f t="array" ref="Y2:Y24">IF(COUNTA(_xlfn._xlws.FILTER([1]Tayam!C3:C200,([1]Tayam!B3:B200&lt;&gt;[1]Tayam!C3:C200)*([1]Tayam!C3:C200&lt;&gt;"")))=0,"",_xlfn._xlws.SORT(_xlfn._xlws.FILTER([1]Tayam!C3:C200,([1]Tayam!B3:B200&lt;&gt;[1]Tayam!C3:C200)*([1]Tayam!C3:C200&lt;&gt;"")),1,1))</f>
        <v>Abandoned Air Temple</v>
      </c>
      <c r="Z2" t="str" cm="1">
        <f t="array" ref="Z2:Z10">IF(COUNTA(_xlfn._xlws.FILTER([1]Carlos!C3:C200,([1]Carlos!B3:B200&lt;&gt;[1]Carlos!C3:C200)*([1]Carlos!C3:C200&lt;&gt;"")))=0,"",_xlfn._xlws.SORT(_xlfn._xlws.FILTER([1]Carlos!C3:C200,([1]Carlos!B3:B200&lt;&gt;[1]Carlos!C3:C200)*([1]Carlos!C3:C200&lt;&gt;"")),1,1))</f>
        <v>Ascend from Avernus</v>
      </c>
      <c r="AA2" t="str" cm="1">
        <f t="array" ref="AA2:AA11">IF(COUNTA(_xlfn._xlws.FILTER([1]Rani!C3:C200,([1]Rani!B3:B200&lt;&gt;[1]Rani!C3:C200)*([1]Rani!C3:C200&lt;&gt;"")))=0,"",_xlfn._xlws.SORT(_xlfn._xlws.FILTER([1]Rani!C3:C200,([1]Rani!B3:B200&lt;&gt;[1]Rani!C3:C200)*([1]Rani!C3:C200&lt;&gt;"")),1,1))</f>
        <v>Access Tunnel</v>
      </c>
      <c r="AB2" t="str" cm="1">
        <f t="array" ref="AB2:AB12">IF(COUNTA(_xlfn._xlws.FILTER([1]Kumena!C3:C200,([1]Kumena!B3:B200&lt;&gt;[1]Kumena!C3:C200)*([1]Kumena!C3:C200&lt;&gt;"")))=0,"",_xlfn._xlws.SORT(_xlfn._xlws.FILTER([1]Kumena!C3:C200,([1]Kumena!B3:B200&lt;&gt;[1]Kumena!C3:C200)*([1]Kumena!C3:C200&lt;&gt;"")),1,1))</f>
        <v>Champions of the Shoal</v>
      </c>
      <c r="AC2" t="str" cm="1">
        <f t="array" ref="AC2:AC10">IF(COUNTA(_xlfn._xlws.FILTER([1]Zimone!C3:C200,([1]Zimone!B3:B200&lt;&gt;[1]Zimone!C3:C200)*([1]Zimone!C3:C200&lt;&gt;"")))=0,"",_xlfn._xlws.SORT(_xlfn._xlws.FILTER([1]Zimone!C3:C200,([1]Zimone!B3:B200&lt;&gt;[1]Zimone!C3:C200)*([1]Zimone!C3:C200&lt;&gt;"")),1,1))</f>
        <v>Ancient Greenwarden</v>
      </c>
      <c r="AD2" t="str" cm="1">
        <f t="array" ref="AD2:AD13">IF(COUNTA(_xlfn._xlws.FILTER([1]JhoiraB!C3:C200,([1]JhoiraB!B3:B200&lt;&gt;[1]JhoiraB!C3:C200)*([1]JhoiraB!C3:C200&lt;&gt;"")))=0,"",_xlfn._xlws.SORT(_xlfn._xlws.FILTER([1]JhoiraB!C3:C200,([1]JhoiraB!B3:B200&lt;&gt;[1]JhoiraB!C3:C200)*([1]JhoiraB!C3:C200&lt;&gt;"")),1,1))</f>
        <v>Agna Qel'a</v>
      </c>
      <c r="AE2" t="str" cm="1">
        <f t="array" ref="AE2:AE11">IF(COUNTA(_xlfn._xlws.FILTER([1]Gitrog!C3:C200,([1]Gitrog!B3:B200&lt;&gt;[1]Gitrog!C3:C200)*([1]Gitrog!C3:C200&lt;&gt;"")))=0,"",_xlfn._xlws.SORT(_xlfn._xlws.FILTER([1]Gitrog!C3:C200,([1]Gitrog!B3:B200&lt;&gt;[1]Gitrog!C3:C200)*([1]Gitrog!C3:C200&lt;&gt;"")),1,1))</f>
        <v>Ancient Tomb</v>
      </c>
      <c r="AF2" t="str" cm="1">
        <f t="array" ref="AF2:AF8">IF(COUNTA(_xlfn._xlws.FILTER([1]Muzzio!C3:C200,([1]Muzzio!B3:B200&lt;&gt;[1]Muzzio!C3:C200)*([1]Muzzio!C3:C200&lt;&gt;"")))=0,"",_xlfn._xlws.SORT(_xlfn._xlws.FILTER([1]Muzzio!C3:C200,([1]Muzzio!B3:B200&lt;&gt;[1]Muzzio!C3:C200)*([1]Muzzio!C3:C200&lt;&gt;"")),1,1))</f>
        <v>Inventors' Fair</v>
      </c>
      <c r="AG2" t="str" cm="1">
        <f t="array" ref="AG2:AG11">IF(COUNTA(_xlfn._xlws.FILTER([1]VialIshai!C3:C200,([1]VialIshai!B3:B200&lt;&gt;[1]VialIshai!C3:C200)*([1]VialIshai!C3:C200&lt;&gt;"")))=0,"",_xlfn._xlws.SORT(_xlfn._xlws.FILTER([1]VialIshai!C3:C200,([1]VialIshai!B3:B200&lt;&gt;[1]VialIshai!C3:C200)*([1]VialIshai!C3:C200&lt;&gt;"")),1,1))</f>
        <v>Amphibian Downpour</v>
      </c>
      <c r="AH2" t="str" cm="1">
        <f t="array" ref="AH2:AH14">IF(COUNTA(_xlfn._xlws.FILTER([1]Yuriko!C3:C200,([1]Yuriko!B3:B200&lt;&gt;[1]Yuriko!C3:C200)*([1]Yuriko!C3:C200&lt;&gt;"")))=0,"",_xlfn._xlws.SORT(_xlfn._xlws.FILTER([1]Yuriko!C3:C200,([1]Yuriko!B3:B200&lt;&gt;[1]Yuriko!C3:C200)*([1]Yuriko!C3:C200&lt;&gt;"")),1,1))</f>
        <v>Creeping Tar Pit</v>
      </c>
      <c r="AI2" t="str" cm="1">
        <f t="array" ref="AI2:AI13">IF(COUNTA(_xlfn._xlws.FILTER([1]Inalla!C3:C200,([1]Inalla!B3:B200&lt;&gt;[1]Inalla!C3:C200)*([1]Inalla!C3:C200&lt;&gt;"")))=0,"",_xlfn._xlws.SORT(_xlfn._xlws.FILTER([1]Inalla!C3:C200,([1]Inalla!B3:B200&lt;&gt;[1]Inalla!C3:C200)*([1]Inalla!C3:C200&lt;&gt;"")),1,1))</f>
        <v>Arcane Lighthouse</v>
      </c>
      <c r="AJ2" t="str" cm="1">
        <f t="array" ref="AJ2:AJ15">IF(COUNTA(_xlfn._xlws.FILTER([1]Akiri!C3:C200,([1]Akiri!B3:B200&lt;&gt;[1]Akiri!C3:C200)*([1]Akiri!C3:C200&lt;&gt;"")))=0,"",_xlfn._xlws.SORT(_xlfn._xlws.FILTER([1]Akiri!C3:C200,([1]Akiri!B3:B200&lt;&gt;[1]Akiri!C3:C200)*([1]Akiri!C3:C200&lt;&gt;"")),1,1))</f>
        <v>Cid, Freeflier Pilot</v>
      </c>
      <c r="AK2" t="str" cm="1">
        <f t="array" ref="AK2:AK11">IF(COUNTA(_xlfn._xlws.FILTER([1]Sisay!C3:C200,([1]Sisay!B3:B200&lt;&gt;[1]Sisay!C3:C200)*([1]Sisay!C3:C200&lt;&gt;"")))=0,"",_xlfn._xlws.SORT(_xlfn._xlws.FILTER([1]Sisay!C3:C200,([1]Sisay!B3:B200&lt;&gt;[1]Sisay!C3:C200)*([1]Sisay!C3:C200&lt;&gt;"")),1,1))</f>
        <v>Commodore Guff</v>
      </c>
      <c r="AL2" t="str" cm="1">
        <f t="array" ref="AL2:AL3">IF(COUNTA(_xlfn._xlws.FILTER([1]Thrakiri!C3:C200,([1]Thrakiri!B3:B200&lt;&gt;[1]Thrakiri!C3:C200)*([1]Thrakiri!C3:C200&lt;&gt;"")))=0,"",_xlfn._xlws.SORT(_xlfn._xlws.FILTER([1]Thrakiri!C3:C200,([1]Thrakiri!B3:B200&lt;&gt;[1]Thrakiri!C3:C200)*([1]Thrakiri!C3:C200&lt;&gt;"")),1,1))</f>
        <v>Kinnan, Bonder Prodigy</v>
      </c>
      <c r="AM2" t="str" cm="1">
        <f t="array" ref="AM2:AM8">IF(COUNTA(_xlfn._xlws.FILTER([1]Elfos!C3:C200,([1]Elfos!B3:B200&lt;&gt;[1]Elfos!C3:C200)*([1]Elfos!C3:C200&lt;&gt;"")))=0,"",_xlfn._xlws.SORT(_xlfn._xlws.FILTER([1]Elfos!C3:C200,([1]Elfos!B3:B200&lt;&gt;[1]Elfos!C3:C200)*([1]Elfos!C3:C200&lt;&gt;"")),1,1))</f>
        <v>Alchemist's Refuge</v>
      </c>
      <c r="AN2" t="str" cm="1">
        <f t="array" ref="AN2:AN6">IF(COUNTA(_xlfn._xlws.FILTER([1]Jhoira!C3:C200,([1]Jhoira!B3:B200&lt;&gt;[1]Jhoira!C3:C200)*([1]Jhoira!C3:C200&lt;&gt;"")))=0,"",_xlfn._xlws.SORT(_xlfn._xlws.FILTER([1]Jhoira!C3:C200,([1]Jhoira!B3:B200&lt;&gt;[1]Jhoira!C3:C200)*([1]Jhoira!C3:C200&lt;&gt;"")),1,1))</f>
        <v>Agna Qel'a</v>
      </c>
      <c r="AO2" t="str" cm="1">
        <f t="array" ref="AO2:AO101">IF(COUNTA(_xlfn._xlws.FILTER([1]Fractius!C3:C200,([1]Fractius!B3:B200&lt;&gt;[1]Fractius!C3:C200)*([1]Fractius!C3:C200&lt;&gt;"")))=0,"",_xlfn._xlws.SORT(_xlfn._xlws.FILTER([1]Fractius!C3:C200,([1]Fractius!B3:B200&lt;&gt;[1]Fractius!C3:C200)*([1]Fractius!C3:C200&lt;&gt;"")),1,1))</f>
        <v>Abundant Countryside</v>
      </c>
      <c r="AP2" t="str" cm="1">
        <f t="array" ref="AP2:AP9">IF(COUNTA(_xlfn._xlws.FILTER([1]Rielle!C3:C200,([1]Rielle!B3:B200&lt;&gt;[1]Rielle!C3:C200)*([1]Rielle!C3:C200&lt;&gt;"")))=0,"",_xlfn._xlws.SORT(_xlfn._xlws.FILTER([1]Rielle!C3:C200,([1]Rielle!B3:B200&lt;&gt;[1]Rielle!C3:C200)*([1]Rielle!C3:C200&lt;&gt;"")),1,1))</f>
        <v>Agna Qel'a</v>
      </c>
      <c r="AQ2" t="str" cm="1">
        <f t="array" ref="AQ2:AQ8">IF(COUNTA(_xlfn._xlws.FILTER([1]Oona!C3:C200,([1]Oona!B3:B200&lt;&gt;[1]Oona!C3:C200)*([1]Oona!C3:C200&lt;&gt;"")))=0,"",_xlfn._xlws.SORT(_xlfn._xlws.FILTER([1]Oona!C3:C200,([1]Oona!B3:B200&lt;&gt;[1]Oona!C3:C200)*([1]Oona!C3:C200&lt;&gt;"")),1,1))</f>
        <v>Glen Elendra's Answer</v>
      </c>
      <c r="AR2" t="str" cm="1">
        <f t="array" ref="AR2:AR20">IF(COUNTA(_xlfn._xlws.FILTER([1]Kresh!C3:C200,([1]Kresh!B3:B200&lt;&gt;[1]Kresh!C3:C200)*([1]Kresh!C3:C200&lt;&gt;"")))=0,"",_xlfn._xlws.SORT(_xlfn._xlws.FILTER([1]Kresh!C3:C200,([1]Kresh!B3:B200&lt;&gt;[1]Kresh!C3:C200)*([1]Kresh!C3:C200&lt;&gt;"")),1,1))</f>
        <v>Accursed Marauder</v>
      </c>
      <c r="AS2" t="str" cm="1">
        <f t="array" ref="AS2:AS4">IF(COUNTA(_xlfn._xlws.FILTER([1]Breya!C3:C200,([1]Breya!B3:B200&lt;&gt;[1]Breya!C3:C200)*([1]Breya!C3:C200&lt;&gt;"")))=0,"",_xlfn._xlws.SORT(_xlfn._xlws.FILTER([1]Breya!C3:C200,([1]Breya!B3:B200&lt;&gt;[1]Breya!C3:C200)*([1]Breya!C3:C200&lt;&gt;"")),1,1))</f>
        <v>Daretti, Ingenious Iconoclast</v>
      </c>
      <c r="AT2" t="str" cm="1">
        <f t="array" ref="AT2:AT9">IF(COUNTA(_xlfn._xlws.FILTER([1]OWA!C3:C200,([1]OWA!B3:B200&lt;&gt;[1]OWA!C3:C200)*([1]OWA!C3:C200&lt;&gt;"")))=0,"",_xlfn._xlws.SORT(_xlfn._xlws.FILTER([1]OWA!C3:C200,([1]OWA!B3:B200&lt;&gt;[1]OWA!C3:C200)*([1]OWA!C3:C200&lt;&gt;"")),1,1))</f>
        <v>Brigid, Clachan's Heart</v>
      </c>
      <c r="AU2" t="str" cm="1">
        <f t="array" ref="AU2:AU7">IF(COUNTA(_xlfn._xlws.FILTER([1]Alela!C3:C200,([1]Alela!B3:B200&lt;&gt;[1]Alela!C3:C200)*([1]Alela!C3:C200&lt;&gt;"")))=0,"",_xlfn._xlws.SORT(_xlfn._xlws.FILTER([1]Alela!C3:C200,([1]Alela!B3:B200&lt;&gt;[1]Alela!C3:C200)*([1]Alela!C3:C200&lt;&gt;"")),1,1))</f>
        <v>Adagia, Windswept Bastion</v>
      </c>
      <c r="AV2" t="str" cm="1">
        <f t="array" ref="AV2:AV3">IF(COUNTA(_xlfn._xlws.FILTER([1]Arcades!C3:C200,([1]Arcades!B3:B200&lt;&gt;[1]Arcades!C3:C200)*([1]Arcades!C3:C200&lt;&gt;"")))=0,"",_xlfn._xlws.SORT(_xlfn._xlws.FILTER([1]Arcades!C3:C200,([1]Arcades!B3:B200&lt;&gt;[1]Arcades!C3:C200)*([1]Arcades!C3:C200&lt;&gt;"")),1,1))</f>
        <v>Alchemist's Refuge</v>
      </c>
      <c r="AW2" t="str" cm="1">
        <f t="array" ref="AW2">IF(COUNTA(_xlfn._xlws.FILTER([1]Zedruu!C3:C200,([1]Zedruu!B3:B200&lt;&gt;[1]Zedruu!C3:C200)*([1]Zedruu!C3:C200&lt;&gt;"")))=0,"",_xlfn._xlws.SORT(_xlfn._xlws.FILTER([1]Zedruu!C3:C200,([1]Zedruu!B3:B200&lt;&gt;[1]Zedruu!C3:C200)*([1]Zedruu!C3:C200&lt;&gt;"")),1,1))</f>
        <v>Homeward Path</v>
      </c>
      <c r="AX2" t="str" cm="1">
        <f t="array" ref="AX2:AX24">IF(COUNTA(_xlfn._xlws.FILTER([1]Ool!C3:C200,([1]Ool!B3:B200&lt;&gt;[1]Ool!C3:C200)*([1]Ool!C3:C200&lt;&gt;"")))=0,"",_xlfn._xlws.SORT(_xlfn._xlws.FILTER([1]Ool!C3:C200,([1]Ool!B3:B200&lt;&gt;[1]Ool!C3:C200)*([1]Ool!C3:C200&lt;&gt;"")),1,1))</f>
        <v>Ammit Eternal</v>
      </c>
      <c r="AY2" t="str" cm="1">
        <f t="array" ref="AY2:AY22">IF(COUNTA(_xlfn._xlws.FILTER([1]Modular!C3:C200,([1]Modular!B3:B200&lt;&gt;[1]Modular!C3:C200)*([1]Modular!C3:C200&lt;&gt;"")))=0,"",_xlfn._xlws.SORT(_xlfn._xlws.FILTER([1]Modular!C3:C200,([1]Modular!B3:B200&lt;&gt;[1]Modular!C3:C200)*([1]Modular!C3:C200&lt;&gt;"")),1,1))</f>
        <v>Abandoned Air Temple</v>
      </c>
      <c r="BE2" t="str" cm="1">
        <f t="array" ref="BE2:BE84">IF(COUNTA(_xlfn._xlws.FILTER([1]Yorion!C3:C200,([1]Yorion!B3:B200&lt;&gt;[1]Yorion!C3:C200)*([1]Yorion!C3:C200&lt;&gt;"")))=0,"",_xlfn._xlws.SORT(_xlfn._xlws.FILTER([1]Yorion!C3:C200,([1]Yorion!B3:B200&lt;&gt;[1]Yorion!C3:C200)*([1]Yorion!C3:C200&lt;&gt;"")),1,1))</f>
        <v>An Offer You Can't Refuse</v>
      </c>
      <c r="BI2" t="str" cm="1">
        <f t="array" ref="BI2:BI66">IF(COUNTA(_xlfn._xlws.FILTER([1]Zuko!C3:C200,([1]Zuko!B3:B200&lt;&gt;[1]Zuko!C3:C200)*([1]Zuko!C3:C200&lt;&gt;"")))=0,"",_xlfn._xlws.SORT(_xlfn._xlws.FILTER([1]Zuko!C3:C200,([1]Zuko!B3:B200&lt;&gt;[1]Zuko!C3:C200)*([1]Zuko!C3:C200&lt;&gt;"")),1,1))</f>
        <v>Abandoned Air Temple</v>
      </c>
      <c r="BJ2" t="str" cm="1">
        <f t="array" ref="BJ2:BJ87">IF(COUNTA(_xlfn._xlws.FILTER([1]Little!C3:C200,([1]Little!B3:B200&lt;&gt;[1]Little!C3:C200)*([1]Little!C3:C200&lt;&gt;"")))=0,"",_xlfn._xlws.SORT(_xlfn._xlws.FILTER([1]Little!C3:C200,([1]Little!B3:B200&lt;&gt;[1]Little!C3:C200)*([1]Little!C3:C200&lt;&gt;"")),1,1))</f>
        <v>Adeline, Resplendent Cathar</v>
      </c>
      <c r="BL2" t="str" cm="1">
        <f t="array" ref="BL2:BL99">IF(COUNTA(_xlfn._xlws.FILTER('[1]4cRash'!C3:C200,('[1]4cRash'!B3:B200&lt;&gt;'[1]4cRash'!C3:C200)*('[1]4cRash'!C3:C200&lt;&gt;"")))=0,"",_xlfn._xlws.SORT(_xlfn._xlws.FILTER('[1]4cRash'!C3:C200,('[1]4cRash'!B3:B200&lt;&gt;'[1]4cRash'!C3:C200)*('[1]4cRash'!C3:C200&lt;&gt;"")),1,1))</f>
        <v>Abrupt Decay</v>
      </c>
      <c r="CI2" t="str" cm="1">
        <f t="array" aca="1" ref="CI2:CI36" ca="1">IF(COUNTA(_xlfn.ANCHORARRAY($V$2))+COUNTA(_xlfn.ANCHORARRAY($W$2))=0,"",_xlfn._xlws.SORT(_xlfn.UNIQUE(IF(ROW(INDIRECT("1:"&amp;(COUNTA(_xlfn.ANCHORARRAY($V$2))+COUNTA(_xlfn.ANCHORARRAY($W$2)))))&lt;=COUNTA(_xlfn.ANCHORARRAY($V$2)),INDEX(_xlfn.ANCHORARRAY($V$2),ROW(INDIRECT("1:"&amp;(COUNTA(_xlfn.ANCHORARRAY($V$2))+COUNTA(_xlfn.ANCHORARRAY($W$2)))))),INDEX(_xlfn.ANCHORARRAY($W$2),ROW(INDIRECT("1:"&amp;(COUNTA(_xlfn.ANCHORARRAY($V$2))+COUNTA(_xlfn.ANCHORARRAY($W$2)))))-COUNTA(_xlfn.ANCHORARRAY($V$2))))),1,1))</f>
        <v>Artifact Mutation</v>
      </c>
      <c r="CJ2" t="str" cm="1">
        <f t="array" aca="1" ref="CJ2:CJ41" ca="1">IF(COUNTA(_xlfn.ANCHORARRAY($X$2))+COUNTA(_xlfn.ANCHORARRAY($Y$2))=0,"",_xlfn._xlws.SORT(_xlfn.UNIQUE(IF(ROW(INDIRECT("1:"&amp;(COUNTA(_xlfn.ANCHORARRAY($X$2))+COUNTA(_xlfn.ANCHORARRAY($Y$2)))))&lt;=COUNTA(_xlfn.ANCHORARRAY($X$2)),INDEX(_xlfn.ANCHORARRAY($X$2),ROW(INDIRECT("1:"&amp;(COUNTA(_xlfn.ANCHORARRAY($X$2))+COUNTA(_xlfn.ANCHORARRAY($Y$2)))))),INDEX(_xlfn.ANCHORARRAY($Y$2),ROW(INDIRECT("1:"&amp;(COUNTA(_xlfn.ANCHORARRAY($X$2))+COUNTA(_xlfn.ANCHORARRAY($Y$2)))))-COUNTA(_xlfn.ANCHORARRAY($X$2))))),1,1))</f>
        <v>Abandoned Air Temple</v>
      </c>
      <c r="CK2" t="str" cm="1">
        <f t="array" aca="1" ref="CK2:CK20" ca="1">IF(COUNTA(_xlfn.ANCHORARRAY($Z$2))+COUNTA(_xlfn.ANCHORARRAY($AA$2))=0,"",_xlfn._xlws.SORT(_xlfn.UNIQUE(IF(ROW(INDIRECT("1:"&amp;(COUNTA(_xlfn.ANCHORARRAY($Z$2))+COUNTA(_xlfn.ANCHORARRAY($AA$2)))))&lt;=COUNTA(_xlfn.ANCHORARRAY($Z$2)),INDEX(_xlfn.ANCHORARRAY($Z$2),ROW(INDIRECT("1:"&amp;(COUNTA(_xlfn.ANCHORARRAY($Z$2))+COUNTA(_xlfn.ANCHORARRAY($AA$2)))))),INDEX(_xlfn.ANCHORARRAY($AA$2),ROW(INDIRECT("1:"&amp;(COUNTA(_xlfn.ANCHORARRAY($Z$2))+COUNTA(_xlfn.ANCHORARRAY($AA$2)))))-COUNTA(_xlfn.ANCHORARRAY($Z$2))))),1,1))</f>
        <v>Access Tunnel</v>
      </c>
      <c r="CL2" t="str" cm="1">
        <f t="array" aca="1" ref="CL2:CL21" ca="1">IF(COUNTA(_xlfn.ANCHORARRAY($AB$2))+COUNTA(_xlfn.ANCHORARRAY($AC$2))=0,"",_xlfn._xlws.SORT(_xlfn.UNIQUE(IF(ROW(INDIRECT("1:"&amp;(COUNTA(_xlfn.ANCHORARRAY($AB$2))+COUNTA(_xlfn.ANCHORARRAY($AC$2)))))&lt;=COUNTA(_xlfn.ANCHORARRAY($AB$2)),INDEX(_xlfn.ANCHORARRAY($AB$2),ROW(INDIRECT("1:"&amp;(COUNTA(_xlfn.ANCHORARRAY($AB$2))+COUNTA(_xlfn.ANCHORARRAY($AC$2)))))),INDEX(_xlfn.ANCHORARRAY($AC$2),ROW(INDIRECT("1:"&amp;(COUNTA(_xlfn.ANCHORARRAY($AB$2))+COUNTA(_xlfn.ANCHORARRAY($AC$2)))))-COUNTA(_xlfn.ANCHORARRAY($AB$2))))),1,1))</f>
        <v>Ancient Greenwarden</v>
      </c>
      <c r="CM2" t="str" cm="1">
        <f t="array" aca="1" ref="CM2:CM23" ca="1">IF(COUNTA(_xlfn.ANCHORARRAY($AD$2))+COUNTA(_xlfn.ANCHORARRAY($AE$2))=0,"",_xlfn._xlws.SORT(_xlfn.UNIQUE(IF(ROW(INDIRECT("1:"&amp;(COUNTA(_xlfn.ANCHORARRAY($AD$2))+COUNTA(_xlfn.ANCHORARRAY($AE$2)))))&lt;=COUNTA(_xlfn.ANCHORARRAY($AD$2)),INDEX(_xlfn.ANCHORARRAY($AD$2),ROW(INDIRECT("1:"&amp;(COUNTA(_xlfn.ANCHORARRAY($AD$2))+COUNTA(_xlfn.ANCHORARRAY($AE$2)))))),INDEX(_xlfn.ANCHORARRAY($AE$2),ROW(INDIRECT("1:"&amp;(COUNTA(_xlfn.ANCHORARRAY($AD$2))+COUNTA(_xlfn.ANCHORARRAY($AE$2)))))-COUNTA(_xlfn.ANCHORARRAY($AD$2))))),1,1))</f>
        <v>Agna Qel'a</v>
      </c>
      <c r="CN2" t="str" cm="1">
        <f t="array" aca="1" ref="CN2:CN18" ca="1">IF(COUNTA(_xlfn.ANCHORARRAY($AF$2))+COUNTA(_xlfn.ANCHORARRAY($AG$2))=0,"",_xlfn._xlws.SORT(_xlfn.UNIQUE(IF(ROW(INDIRECT("1:"&amp;(COUNTA(_xlfn.ANCHORARRAY($AF$2))+COUNTA(_xlfn.ANCHORARRAY($AG$2)))))&lt;=COUNTA(_xlfn.ANCHORARRAY($AF$2)),INDEX(_xlfn.ANCHORARRAY($AF$2),ROW(INDIRECT("1:"&amp;(COUNTA(_xlfn.ANCHORARRAY($AF$2))+COUNTA(_xlfn.ANCHORARRAY($AG$2)))))),INDEX(_xlfn.ANCHORARRAY($AG$2),ROW(INDIRECT("1:"&amp;(COUNTA(_xlfn.ANCHORARRAY($AF$2))+COUNTA(_xlfn.ANCHORARRAY($AG$2)))))-COUNTA(_xlfn.ANCHORARRAY($AF$2))))),1,1))</f>
        <v>Amphibian Downpour</v>
      </c>
      <c r="CO2" t="str" cm="1">
        <f t="array" aca="1" ref="CO2:CO26" ca="1">IF(COUNTA(_xlfn.ANCHORARRAY($AH$2))+COUNTA(_xlfn.ANCHORARRAY($AI$2))=0,"",_xlfn._xlws.SORT(_xlfn.UNIQUE(IF(ROW(INDIRECT("1:"&amp;(COUNTA(_xlfn.ANCHORARRAY($AH$2))+COUNTA(_xlfn.ANCHORARRAY($AI$2)))))&lt;=COUNTA(_xlfn.ANCHORARRAY($AH$2)),INDEX(_xlfn.ANCHORARRAY($AH$2),ROW(INDIRECT("1:"&amp;(COUNTA(_xlfn.ANCHORARRAY($AH$2))+COUNTA(_xlfn.ANCHORARRAY($AI$2)))))),INDEX(_xlfn.ANCHORARRAY($AI$2),ROW(INDIRECT("1:"&amp;(COUNTA(_xlfn.ANCHORARRAY($AH$2))+COUNTA(_xlfn.ANCHORARRAY($AI$2)))))-COUNTA(_xlfn.ANCHORARRAY($AH$2))))),1,1))</f>
        <v>Arcane Lighthouse</v>
      </c>
      <c r="CP2" t="str" cm="1">
        <f t="array" aca="1" ref="CP2:CP25" ca="1">IF(COUNTA(_xlfn.ANCHORARRAY($AJ$2))+COUNTA(_xlfn.ANCHORARRAY($AK$2))=0,"",_xlfn._xlws.SORT(_xlfn.UNIQUE(IF(ROW(INDIRECT("1:"&amp;(COUNTA(_xlfn.ANCHORARRAY($AJ$2))+COUNTA(_xlfn.ANCHORARRAY($AK$2)))))&lt;=COUNTA(_xlfn.ANCHORARRAY($AJ$2)),INDEX(_xlfn.ANCHORARRAY($AJ$2),ROW(INDIRECT("1:"&amp;(COUNTA(_xlfn.ANCHORARRAY($AJ$2))+COUNTA(_xlfn.ANCHORARRAY($AK$2)))))),INDEX(_xlfn.ANCHORARRAY($AK$2),ROW(INDIRECT("1:"&amp;(COUNTA(_xlfn.ANCHORARRAY($AJ$2))+COUNTA(_xlfn.ANCHORARRAY($AK$2)))))-COUNTA(_xlfn.ANCHORARRAY($AJ$2))))),1,1))</f>
        <v>Cid, Freeflier Pilot</v>
      </c>
      <c r="CQ2" t="str" cm="1">
        <f t="array" aca="1" ref="CQ2:CQ10" ca="1">IF(COUNTA(_xlfn.ANCHORARRAY($AL$2))+COUNTA(_xlfn.ANCHORARRAY($AM$2))=0,"",_xlfn._xlws.SORT(_xlfn.UNIQUE(IF(ROW(INDIRECT("1:"&amp;(COUNTA(_xlfn.ANCHORARRAY($AL$2))+COUNTA(_xlfn.ANCHORARRAY($AM$2)))))&lt;=COUNTA(_xlfn.ANCHORARRAY($AL$2)),INDEX(_xlfn.ANCHORARRAY($AL$2),ROW(INDIRECT("1:"&amp;(COUNTA(_xlfn.ANCHORARRAY($AL$2))+COUNTA(_xlfn.ANCHORARRAY($AM$2)))))),INDEX(_xlfn.ANCHORARRAY($AM$2),ROW(INDIRECT("1:"&amp;(COUNTA(_xlfn.ANCHORARRAY($AL$2))+COUNTA(_xlfn.ANCHORARRAY($AM$2)))))-COUNTA(_xlfn.ANCHORARRAY($AL$2))))),1,1))</f>
        <v>Alchemist's Refuge</v>
      </c>
      <c r="CR2" t="str" cm="1">
        <f t="array" aca="1" ref="CR2:CR99" ca="1">IF(COUNTA(_xlfn.ANCHORARRAY($AN$2))+COUNTA(_xlfn.ANCHORARRAY($AO$2))=0,"",_xlfn._xlws.SORT(_xlfn.UNIQUE(IF(ROW(INDIRECT("1:"&amp;(COUNTA(_xlfn.ANCHORARRAY($AN$2))+COUNTA(_xlfn.ANCHORARRAY($AO$2)))))&lt;=COUNTA(_xlfn.ANCHORARRAY($AN$2)),INDEX(_xlfn.ANCHORARRAY($AN$2),ROW(INDIRECT("1:"&amp;(COUNTA(_xlfn.ANCHORARRAY($AN$2))+COUNTA(_xlfn.ANCHORARRAY($AO$2)))))),INDEX(_xlfn.ANCHORARRAY($AO$2),ROW(INDIRECT("1:"&amp;(COUNTA(_xlfn.ANCHORARRAY($AN$2))+COUNTA(_xlfn.ANCHORARRAY($AO$2)))))-COUNTA(_xlfn.ANCHORARRAY($AN$2))))),1,1))</f>
        <v>Abundant Countryside</v>
      </c>
      <c r="CS2" t="str" cm="1">
        <f t="array" aca="1" ref="CS2:CS16" ca="1">IF(COUNTA(_xlfn.ANCHORARRAY($AP$2))+COUNTA(_xlfn.ANCHORARRAY($AQ$2))=0,"",_xlfn._xlws.SORT(_xlfn.UNIQUE(IF(ROW(INDIRECT("1:"&amp;(COUNTA(_xlfn.ANCHORARRAY($AP$2))+COUNTA(_xlfn.ANCHORARRAY($AQ$2)))))&lt;=COUNTA(_xlfn.ANCHORARRAY($AP$2)),INDEX(_xlfn.ANCHORARRAY($AP$2),ROW(INDIRECT("1:"&amp;(COUNTA(_xlfn.ANCHORARRAY($AP$2))+COUNTA(_xlfn.ANCHORARRAY($AQ$2)))))),INDEX(_xlfn.ANCHORARRAY($AQ$2),ROW(INDIRECT("1:"&amp;(COUNTA(_xlfn.ANCHORARRAY($AP$2))+COUNTA(_xlfn.ANCHORARRAY($AQ$2)))))-COUNTA(_xlfn.ANCHORARRAY($AP$2))))),1,1))</f>
        <v>Agna Qel'a</v>
      </c>
      <c r="CT2" t="str" cm="1">
        <f t="array" aca="1" ref="CT2:CT23" ca="1">IF(COUNTA(_xlfn.ANCHORARRAY($AR$2))+COUNTA(_xlfn.ANCHORARRAY($AS$2))=0,"",_xlfn._xlws.SORT(_xlfn.UNIQUE(IF(ROW(INDIRECT("1:"&amp;(COUNTA(_xlfn.ANCHORARRAY($AR$2))+COUNTA(_xlfn.ANCHORARRAY($AS$2)))))&lt;=COUNTA(_xlfn.ANCHORARRAY($AR$2)),INDEX(_xlfn.ANCHORARRAY($AR$2),ROW(INDIRECT("1:"&amp;(COUNTA(_xlfn.ANCHORARRAY($AR$2))+COUNTA(_xlfn.ANCHORARRAY($AS$2)))))),INDEX(_xlfn.ANCHORARRAY($AS$2),ROW(INDIRECT("1:"&amp;(COUNTA(_xlfn.ANCHORARRAY($AR$2))+COUNTA(_xlfn.ANCHORARRAY($AS$2)))))-COUNTA(_xlfn.ANCHORARRAY($AR$2))))),1,1))</f>
        <v>Accursed Marauder</v>
      </c>
      <c r="CU2" t="str" cm="1">
        <f t="array" aca="1" ref="CU2:CU15" ca="1">IF(COUNTA(_xlfn.ANCHORARRAY($AT$2))+COUNTA(_xlfn.ANCHORARRAY($AU$2))=0,"",_xlfn._xlws.SORT(_xlfn.UNIQUE(IF(ROW(INDIRECT("1:"&amp;(COUNTA(_xlfn.ANCHORARRAY($AT$2))+COUNTA(_xlfn.ANCHORARRAY($AU$2)))))&lt;=COUNTA(_xlfn.ANCHORARRAY($AT$2)),INDEX(_xlfn.ANCHORARRAY($AT$2),ROW(INDIRECT("1:"&amp;(COUNTA(_xlfn.ANCHORARRAY($AT$2))+COUNTA(_xlfn.ANCHORARRAY($AU$2)))))),INDEX(_xlfn.ANCHORARRAY($AU$2),ROW(INDIRECT("1:"&amp;(COUNTA(_xlfn.ANCHORARRAY($AT$2))+COUNTA(_xlfn.ANCHORARRAY($AU$2)))))-COUNTA(_xlfn.ANCHORARRAY($AT$2))))),1,1))</f>
        <v>Adagia, Windswept Bastion</v>
      </c>
      <c r="CV2" t="str" cm="1">
        <f t="array" aca="1" ref="CV2:CV4" ca="1">IF(COUNTA(_xlfn.ANCHORARRAY($AV$2))+COUNTA(_xlfn.ANCHORARRAY($AW$2))=0,"",_xlfn._xlws.SORT(_xlfn.UNIQUE(IF(ROW(INDIRECT("1:"&amp;(COUNTA(_xlfn.ANCHORARRAY($AV$2))+COUNTA(_xlfn.ANCHORARRAY($AW$2)))))&lt;=COUNTA(_xlfn.ANCHORARRAY($AV$2)),INDEX(_xlfn.ANCHORARRAY($AV$2),ROW(INDIRECT("1:"&amp;(COUNTA(_xlfn.ANCHORARRAY($AV$2))+COUNTA(_xlfn.ANCHORARRAY($AW$2)))))),INDEX(_xlfn.ANCHORARRAY($AW$2),ROW(INDIRECT("1:"&amp;(COUNTA(_xlfn.ANCHORARRAY($AV$2))+COUNTA(_xlfn.ANCHORARRAY($AW$2)))))-COUNTA(_xlfn.ANCHORARRAY($AV$2))))),1,1))</f>
        <v>Alchemist's Refuge</v>
      </c>
      <c r="CW2" t="str" cm="1">
        <f t="array" aca="1" ref="CW2:CW44" ca="1">IF(COUNTA(_xlfn.ANCHORARRAY($AX$2))+COUNTA(_xlfn.ANCHORARRAY($AY$2))=0,"",_xlfn._xlws.SORT(_xlfn.UNIQUE(IF(ROW(INDIRECT("1:"&amp;(COUNTA(_xlfn.ANCHORARRAY($AX$2))+COUNTA(_xlfn.ANCHORARRAY($AY$2)))))&lt;=COUNTA(_xlfn.ANCHORARRAY($AX$2)),INDEX(_xlfn.ANCHORARRAY($AX$2),ROW(INDIRECT("1:"&amp;(COUNTA(_xlfn.ANCHORARRAY($AX$2))+COUNTA(_xlfn.ANCHORARRAY($AY$2)))))),INDEX(_xlfn.ANCHORARRAY($AY$2),ROW(INDIRECT("1:"&amp;(COUNTA(_xlfn.ANCHORARRAY($AX$2))+COUNTA(_xlfn.ANCHORARRAY($AY$2)))))-COUNTA(_xlfn.ANCHORARRAY($AX$2))))),1,1))</f>
        <v>Abandoned Air Temple</v>
      </c>
      <c r="CX2" t="e" cm="1">
        <f t="array" aca="1" ref="CX2" ca="1">IF(COUNTA(_xlfn.ANCHORARRAY($AZ$2))+COUNTA(_xlfn.ANCHORARRAY($BA$2))=0,"",_xlfn._xlws.SORT(_xlfn.UNIQUE(IF(ROW(INDIRECT("1:"&amp;(COUNTA(_xlfn.ANCHORARRAY($AZ$2))+COUNTA(_xlfn.ANCHORARRAY($BA$2)))))&lt;=COUNTA(_xlfn.ANCHORARRAY($AZ$2)),INDEX(_xlfn.ANCHORARRAY($AZ$2),ROW(INDIRECT("1:"&amp;(COUNTA(_xlfn.ANCHORARRAY($AZ$2))+COUNTA(_xlfn.ANCHORARRAY($BA$2)))))),INDEX(_xlfn.ANCHORARRAY($BA$2),ROW(INDIRECT("1:"&amp;(COUNTA(_xlfn.ANCHORARRAY($AZ$2))+COUNTA(_xlfn.ANCHORARRAY($BA$2)))))-COUNTA(_xlfn.ANCHORARRAY($AZ$2))))),1,1))</f>
        <v>#REF!</v>
      </c>
      <c r="CY2" t="e" cm="1">
        <f t="array" aca="1" ref="CY2" ca="1">IF(COUNTA(_xlfn.ANCHORARRAY($BB$2))+COUNTA(_xlfn.ANCHORARRAY($BC$2))=0,"",_xlfn._xlws.SORT(_xlfn.UNIQUE(IF(ROW(INDIRECT("1:"&amp;(COUNTA(_xlfn.ANCHORARRAY($BB$2))+COUNTA(_xlfn.ANCHORARRAY($BC$2)))))&lt;=COUNTA(_xlfn.ANCHORARRAY($BB$2)),INDEX(_xlfn.ANCHORARRAY($BB$2),ROW(INDIRECT("1:"&amp;(COUNTA(_xlfn.ANCHORARRAY($BB$2))+COUNTA(_xlfn.ANCHORARRAY($BC$2)))))),INDEX(_xlfn.ANCHORARRAY($BC$2),ROW(INDIRECT("1:"&amp;(COUNTA(_xlfn.ANCHORARRAY($BB$2))+COUNTA(_xlfn.ANCHORARRAY($BC$2)))))-COUNTA(_xlfn.ANCHORARRAY($BB$2))))),1,1))</f>
        <v>#REF!</v>
      </c>
      <c r="CZ2" t="str" cm="1">
        <f t="array" aca="1" ref="CZ2:CZ34" ca="1">IF(COUNTA(_xlfn.ANCHORARRAY($BD$2))+COUNTA(_xlfn.ANCHORARRAY($BE$2))=0,"",_xlfn._xlws.SORT(_xlfn.UNIQUE(IF(ROW(INDIRECT("1:"&amp;(COUNTA(_xlfn.ANCHORARRAY($BD$2))+COUNTA(_xlfn.ANCHORARRAY($BE$2)))))&lt;=COUNTA(_xlfn.ANCHORARRAY($BD$2)),INDEX(_xlfn.ANCHORARRAY($BD$2),ROW(INDIRECT("1:"&amp;(COUNTA(_xlfn.ANCHORARRAY($BD$2))+COUNTA(_xlfn.ANCHORARRAY($BE$2)))))),INDEX(_xlfn.ANCHORARRAY($BE$2),ROW(INDIRECT("1:"&amp;(COUNTA(_xlfn.ANCHORARRAY($BD$2))+COUNTA(_xlfn.ANCHORARRAY($BE$2)))))-COUNTA(_xlfn.ANCHORARRAY($BD$2))))),1,1))</f>
        <v>An Offer You Can't Refuse</v>
      </c>
      <c r="DA2" t="e" cm="1">
        <f t="array" aca="1" ref="DA2" ca="1">IF(COUNTA(_xlfn.ANCHORARRAY($BF$2))+COUNTA(_xlfn.ANCHORARRAY($BG$2))=0,"",_xlfn._xlws.SORT(_xlfn.UNIQUE(IF(ROW(INDIRECT("1:"&amp;(COUNTA(_xlfn.ANCHORARRAY($BF$2))+COUNTA(_xlfn.ANCHORARRAY($BG$2)))))&lt;=COUNTA(_xlfn.ANCHORARRAY($BF$2)),INDEX(_xlfn.ANCHORARRAY($BF$2),ROW(INDIRECT("1:"&amp;(COUNTA(_xlfn.ANCHORARRAY($BF$2))+COUNTA(_xlfn.ANCHORARRAY($BG$2)))))),INDEX(_xlfn.ANCHORARRAY($BG$2),ROW(INDIRECT("1:"&amp;(COUNTA(_xlfn.ANCHORARRAY($BF$2))+COUNTA(_xlfn.ANCHORARRAY($BG$2)))))-COUNTA(_xlfn.ANCHORARRAY($BF$2))))),1,1))</f>
        <v>#REF!</v>
      </c>
      <c r="DB2" t="str" cm="1">
        <f t="array" aca="1" ref="DB2:DB53" ca="1">IF(COUNTA(_xlfn.ANCHORARRAY($BH$2))+COUNTA(_xlfn.ANCHORARRAY($BI$2))=0,"",_xlfn._xlws.SORT(_xlfn.UNIQUE(IF(ROW(INDIRECT("1:"&amp;(COUNTA(_xlfn.ANCHORARRAY($BH$2))+COUNTA(_xlfn.ANCHORARRAY($BI$2)))))&lt;=COUNTA(_xlfn.ANCHORARRAY($BH$2)),INDEX(_xlfn.ANCHORARRAY($BH$2),ROW(INDIRECT("1:"&amp;(COUNTA(_xlfn.ANCHORARRAY($BH$2))+COUNTA(_xlfn.ANCHORARRAY($BI$2)))))),INDEX(_xlfn.ANCHORARRAY($BI$2),ROW(INDIRECT("1:"&amp;(COUNTA(_xlfn.ANCHORARRAY($BH$2))+COUNTA(_xlfn.ANCHORARRAY($BI$2)))))-COUNTA(_xlfn.ANCHORARRAY($BH$2))))),1,1))</f>
        <v>Abandoned Air Temple</v>
      </c>
      <c r="DC2" t="str" cm="1">
        <f t="array" aca="1" ref="DC2:DC76" ca="1">IF(COUNTA(_xlfn.ANCHORARRAY($BJ$2))+COUNTA(_xlfn.ANCHORARRAY($BK$2))=0,"",_xlfn._xlws.SORT(_xlfn.UNIQUE(IF(ROW(INDIRECT("1:"&amp;(COUNTA(_xlfn.ANCHORARRAY($BJ$2))+COUNTA(_xlfn.ANCHORARRAY($BK$2)))))&lt;=COUNTA(_xlfn.ANCHORARRAY($BJ$2)),INDEX(_xlfn.ANCHORARRAY($BJ$2),ROW(INDIRECT("1:"&amp;(COUNTA(_xlfn.ANCHORARRAY($BJ$2))+COUNTA(_xlfn.ANCHORARRAY($BK$2)))))),INDEX(_xlfn.ANCHORARRAY($BK$2),ROW(INDIRECT("1:"&amp;(COUNTA(_xlfn.ANCHORARRAY($BJ$2))+COUNTA(_xlfn.ANCHORARRAY($BK$2)))))-COUNTA(_xlfn.ANCHORARRAY($BJ$2))))),1,1))</f>
        <v>Adeline, Resplendent Cathar</v>
      </c>
      <c r="DD2" t="str" cm="1">
        <f t="array" aca="1" ref="DD2:DD72" ca="1">IF(COUNTA(_xlfn.ANCHORARRAY($BL$2))+COUNTA(_xlfn.ANCHORARRAY($CE$2))=0,"",_xlfn._xlws.SORT(_xlfn.UNIQUE(IF(ROW(INDIRECT("1:"&amp;(COUNTA(_xlfn.ANCHORARRAY($BL$2))+COUNTA(_xlfn.ANCHORARRAY($CE$2)))))&lt;=COUNTA(_xlfn.ANCHORARRAY($BL$2)),INDEX(_xlfn.ANCHORARRAY($BL$2),ROW(INDIRECT("1:"&amp;(COUNTA(_xlfn.ANCHORARRAY($BL$2))+COUNTA(_xlfn.ANCHORARRAY($CE$2)))))),INDEX(_xlfn.ANCHORARRAY($CE$2),ROW(INDIRECT("1:"&amp;(COUNTA(_xlfn.ANCHORARRAY($BL$2))+COUNTA(_xlfn.ANCHORARRAY($CE$2)))))-COUNTA(_xlfn.ANCHORARRAY($BL$2))))),1,1))</f>
        <v>Abrupt Decay</v>
      </c>
      <c r="DE2" t="e" cm="1">
        <f t="array" aca="1" ref="DE2" ca="1">IF(COUNTA(_xlfn.ANCHORARRAY($BN$2))+COUNTA(_xlfn.ANCHORARRAY($BO$2))=0,"",_xlfn._xlws.SORT(_xlfn.UNIQUE(IF(ROW(INDIRECT("1:"&amp;(COUNTA(_xlfn.ANCHORARRAY($BN$2))+COUNTA(_xlfn.ANCHORARRAY($BO$2)))))&lt;=COUNTA(_xlfn.ANCHORARRAY($BN$2)),INDEX(_xlfn.ANCHORARRAY($BN$2),ROW(INDIRECT("1:"&amp;(COUNTA(_xlfn.ANCHORARRAY($BN$2))+COUNTA(_xlfn.ANCHORARRAY($BO$2)))))),INDEX(_xlfn.ANCHORARRAY($BO$2),ROW(INDIRECT("1:"&amp;(COUNTA(_xlfn.ANCHORARRAY($BN$2))+COUNTA(_xlfn.ANCHORARRAY($BO$2)))))-COUNTA(_xlfn.ANCHORARRAY($BN$2))))),1,1))</f>
        <v>#REF!</v>
      </c>
      <c r="DF2" t="e" cm="1">
        <f t="array" aca="1" ref="DF2" ca="1">IF(COUNTA(_xlfn.ANCHORARRAY($BP$2))+COUNTA(_xlfn.ANCHORARRAY($BQ$2))=0,"",_xlfn._xlws.SORT(_xlfn.UNIQUE(IF(ROW(INDIRECT("1:"&amp;(COUNTA(_xlfn.ANCHORARRAY($BP$2))+COUNTA(_xlfn.ANCHORARRAY($BQ$2)))))&lt;=COUNTA(_xlfn.ANCHORARRAY($BP$2)),INDEX(_xlfn.ANCHORARRAY($BP$2),ROW(INDIRECT("1:"&amp;(COUNTA(_xlfn.ANCHORARRAY($BP$2))+COUNTA(_xlfn.ANCHORARRAY($BQ$2)))))),INDEX(_xlfn.ANCHORARRAY($BQ$2),ROW(INDIRECT("1:"&amp;(COUNTA(_xlfn.ANCHORARRAY($BP$2))+COUNTA(_xlfn.ANCHORARRAY($BQ$2)))))-COUNTA(_xlfn.ANCHORARRAY($BP$2))))),1,1))</f>
        <v>#REF!</v>
      </c>
      <c r="DG2" t="e" cm="1">
        <f t="array" aca="1" ref="DG2" ca="1">IF(COUNTA(_xlfn.ANCHORARRAY($BR$2))+COUNTA(_xlfn.ANCHORARRAY($BS$2))=0,"",_xlfn._xlws.SORT(_xlfn.UNIQUE(IF(ROW(INDIRECT("1:"&amp;(COUNTA(_xlfn.ANCHORARRAY($BR$2))+COUNTA(_xlfn.ANCHORARRAY($BS$2)))))&lt;=COUNTA(_xlfn.ANCHORARRAY($BR$2)),INDEX(_xlfn.ANCHORARRAY($BR$2),ROW(INDIRECT("1:"&amp;(COUNTA(_xlfn.ANCHORARRAY($BR$2))+COUNTA(_xlfn.ANCHORARRAY($BS$2)))))),INDEX(_xlfn.ANCHORARRAY($BS$2),ROW(INDIRECT("1:"&amp;(COUNTA(_xlfn.ANCHORARRAY($BR$2))+COUNTA(_xlfn.ANCHORARRAY($BS$2)))))-COUNTA(_xlfn.ANCHORARRAY($BR$2))))),1,1))</f>
        <v>#REF!</v>
      </c>
      <c r="DH2" t="e" cm="1">
        <f t="array" aca="1" ref="DH2" ca="1">IF(COUNTA(_xlfn.ANCHORARRAY($BT$2))+COUNTA(_xlfn.ANCHORARRAY($BU$2))=0,"",_xlfn._xlws.SORT(_xlfn.UNIQUE(IF(ROW(INDIRECT("1:"&amp;(COUNTA(_xlfn.ANCHORARRAY($BT$2))+COUNTA(_xlfn.ANCHORARRAY($BU$2)))))&lt;=COUNTA(_xlfn.ANCHORARRAY($BT$2)),INDEX(_xlfn.ANCHORARRAY($BT$2),ROW(INDIRECT("1:"&amp;(COUNTA(_xlfn.ANCHORARRAY($BT$2))+COUNTA(_xlfn.ANCHORARRAY($BU$2)))))),INDEX(_xlfn.ANCHORARRAY($BU$2),ROW(INDIRECT("1:"&amp;(COUNTA(_xlfn.ANCHORARRAY($BT$2))+COUNTA(_xlfn.ANCHORARRAY($BU$2)))))-COUNTA(_xlfn.ANCHORARRAY($BT$2))))),1,1))</f>
        <v>#REF!</v>
      </c>
      <c r="DI2" t="e" cm="1">
        <f t="array" aca="1" ref="DI2" ca="1">IF(COUNTA(_xlfn.ANCHORARRAY($BV$2))+COUNTA(_xlfn.ANCHORARRAY($BW$2))=0,"",_xlfn._xlws.SORT(_xlfn.UNIQUE(IF(ROW(INDIRECT("1:"&amp;(COUNTA(_xlfn.ANCHORARRAY($BV$2))+COUNTA(_xlfn.ANCHORARRAY($BW$2)))))&lt;=COUNTA(_xlfn.ANCHORARRAY($BV$2)),INDEX(_xlfn.ANCHORARRAY($BV$2),ROW(INDIRECT("1:"&amp;(COUNTA(_xlfn.ANCHORARRAY($BV$2))+COUNTA(_xlfn.ANCHORARRAY($BW$2)))))),INDEX(_xlfn.ANCHORARRAY($BW$2),ROW(INDIRECT("1:"&amp;(COUNTA(_xlfn.ANCHORARRAY($BV$2))+COUNTA(_xlfn.ANCHORARRAY($BW$2)))))-COUNTA(_xlfn.ANCHORARRAY($BV$2))))),1,1))</f>
        <v>#REF!</v>
      </c>
      <c r="DJ2" t="e" cm="1">
        <f t="array" aca="1" ref="DJ2" ca="1">IF(COUNTA(_xlfn.ANCHORARRAY($BX$2))+COUNTA(_xlfn.ANCHORARRAY($BY$2))=0,"",_xlfn._xlws.SORT(_xlfn.UNIQUE(IF(ROW(INDIRECT("1:"&amp;(COUNTA(_xlfn.ANCHORARRAY($BX$2))+COUNTA(_xlfn.ANCHORARRAY($BY$2)))))&lt;=COUNTA(_xlfn.ANCHORARRAY($BX$2)),INDEX(_xlfn.ANCHORARRAY($BX$2),ROW(INDIRECT("1:"&amp;(COUNTA(_xlfn.ANCHORARRAY($BX$2))+COUNTA(_xlfn.ANCHORARRAY($BY$2)))))),INDEX(_xlfn.ANCHORARRAY($BY$2),ROW(INDIRECT("1:"&amp;(COUNTA(_xlfn.ANCHORARRAY($BX$2))+COUNTA(_xlfn.ANCHORARRAY($BY$2)))))-COUNTA(_xlfn.ANCHORARRAY($BX$2))))),1,1))</f>
        <v>#REF!</v>
      </c>
      <c r="DK2" t="e" cm="1">
        <f t="array" aca="1" ref="DK2" ca="1">IF(COUNTA(_xlfn.ANCHORARRAY($BZ$2))+COUNTA(_xlfn.ANCHORARRAY($CA$2))=0,"",_xlfn._xlws.SORT(_xlfn.UNIQUE(IF(ROW(INDIRECT("1:"&amp;(COUNTA(_xlfn.ANCHORARRAY($BZ$2))+COUNTA(_xlfn.ANCHORARRAY($CA$2)))))&lt;=COUNTA(_xlfn.ANCHORARRAY($BZ$2)),INDEX(_xlfn.ANCHORARRAY($BZ$2),ROW(INDIRECT("1:"&amp;(COUNTA(_xlfn.ANCHORARRAY($BZ$2))+COUNTA(_xlfn.ANCHORARRAY($CA$2)))))),INDEX(_xlfn.ANCHORARRAY($CA$2),ROW(INDIRECT("1:"&amp;(COUNTA(_xlfn.ANCHORARRAY($BZ$2))+COUNTA(_xlfn.ANCHORARRAY($CA$2)))))-COUNTA(_xlfn.ANCHORARRAY($BZ$2))))),1,1))</f>
        <v>#REF!</v>
      </c>
      <c r="DL2" t="e" cm="1">
        <f t="array" aca="1" ref="DL2" ca="1">IF(COUNTA(_xlfn.ANCHORARRAY($CB$2))+COUNTA(_xlfn.ANCHORARRAY($CC$2))=0,"",_xlfn._xlws.SORT(_xlfn.UNIQUE(IF(ROW(INDIRECT("1:"&amp;(COUNTA(_xlfn.ANCHORARRAY($CB$2))+COUNTA(_xlfn.ANCHORARRAY($CC$2)))))&lt;=COUNTA(_xlfn.ANCHORARRAY($CB$2)),INDEX(_xlfn.ANCHORARRAY($CB$2),ROW(INDIRECT("1:"&amp;(COUNTA(_xlfn.ANCHORARRAY($CB$2))+COUNTA(_xlfn.ANCHORARRAY($CC$2)))))),INDEX(_xlfn.ANCHORARRAY($CC$2),ROW(INDIRECT("1:"&amp;(COUNTA(_xlfn.ANCHORARRAY($CB$2))+COUNTA(_xlfn.ANCHORARRAY($CC$2)))))-COUNTA(_xlfn.ANCHORARRAY($CB$2))))),1,1))</f>
        <v>#REF!</v>
      </c>
      <c r="DM2" t="e" cm="1">
        <f t="array" aca="1" ref="DM2" ca="1">IF(COUNTA(_xlfn.ANCHORARRAY($CD$2))+COUNTA(_xlfn.ANCHORARRAY($CE$2))=0,"",_xlfn._xlws.SORT(_xlfn.UNIQUE(IF(ROW(INDIRECT("1:"&amp;(COUNTA(_xlfn.ANCHORARRAY($CD$2))+COUNTA(_xlfn.ANCHORARRAY($CE$2)))))&lt;=COUNTA(_xlfn.ANCHORARRAY($CD$2)),INDEX(_xlfn.ANCHORARRAY($CD$2),ROW(INDIRECT("1:"&amp;(COUNTA(_xlfn.ANCHORARRAY($CD$2))+COUNTA(_xlfn.ANCHORARRAY($CE$2)))))),INDEX(_xlfn.ANCHORARRAY($CE$2),ROW(INDIRECT("1:"&amp;(COUNTA(_xlfn.ANCHORARRAY($CD$2))+COUNTA(_xlfn.ANCHORARRAY($CE$2)))))-COUNTA(_xlfn.ANCHORARRAY($CD$2))))),1,1))</f>
        <v>#REF!</v>
      </c>
      <c r="DN2" t="e" cm="1">
        <f t="array" aca="1" ref="DN2" ca="1">IF(COUNTA(_xlfn.ANCHORARRAY($CF$2))+COUNTA(_xlfn.ANCHORARRAY($CG$2))=0,"",_xlfn._xlws.SORT(_xlfn.UNIQUE(IF(ROW(INDIRECT("1:"&amp;(COUNTA(_xlfn.ANCHORARRAY($CF$2))+COUNTA(_xlfn.ANCHORARRAY($CG$2)))))&lt;=COUNTA(_xlfn.ANCHORARRAY($CF$2)),INDEX(_xlfn.ANCHORARRAY($CF$2),ROW(INDIRECT("1:"&amp;(COUNTA(_xlfn.ANCHORARRAY($CF$2))+COUNTA(_xlfn.ANCHORARRAY($CG$2)))))),INDEX(_xlfn.ANCHORARRAY($CG$2),ROW(INDIRECT("1:"&amp;(COUNTA(_xlfn.ANCHORARRAY($CF$2))+COUNTA(_xlfn.ANCHORARRAY($CG$2)))))-COUNTA(_xlfn.ANCHORARRAY($CF$2))))),1,1))</f>
        <v>#REF!</v>
      </c>
      <c r="DP2" t="str" cm="1">
        <f t="array" aca="1" ref="DP2:DP74" ca="1">IF(COUNTA(_xlfn.ANCHORARRAY($CI$2))+COUNTA(_xlfn.ANCHORARRAY($CJ$2))=0,"",_xlfn._xlws.SORT(_xlfn.UNIQUE(IF(ROW(INDIRECT("1:"&amp;(COUNTA(_xlfn.ANCHORARRAY($CI$2))+COUNTA(_xlfn.ANCHORARRAY($CJ$2)))))&lt;=COUNTA(_xlfn.ANCHORARRAY($CI$2)),INDEX(_xlfn.ANCHORARRAY($CI$2),ROW(INDIRECT("1:"&amp;(COUNTA(_xlfn.ANCHORARRAY($CI$2))+COUNTA(_xlfn.ANCHORARRAY($CJ$2)))))),INDEX(_xlfn.ANCHORARRAY($CJ$2),ROW(INDIRECT("1:"&amp;(COUNTA(_xlfn.ANCHORARRAY($CI$2))+COUNTA(_xlfn.ANCHORARRAY($CJ$2)))))-COUNTA(_xlfn.ANCHORARRAY($CI$2))))),1,1))</f>
        <v>Abandoned Air Temple</v>
      </c>
      <c r="DQ2" t="str" cm="1">
        <f t="array" aca="1" ref="DQ2:DQ39" ca="1">IF(COUNTA(_xlfn.ANCHORARRAY($CK$2))+COUNTA(_xlfn.ANCHORARRAY($CL$2))=0,"",_xlfn._xlws.SORT(_xlfn.UNIQUE(IF(ROW(INDIRECT("1:"&amp;(COUNTA(_xlfn.ANCHORARRAY($CK$2))+COUNTA(_xlfn.ANCHORARRAY($CL$2)))))&lt;=COUNTA(_xlfn.ANCHORARRAY($CK$2)),INDEX(_xlfn.ANCHORARRAY($CK$2),ROW(INDIRECT("1:"&amp;(COUNTA(_xlfn.ANCHORARRAY($CK$2))+COUNTA(_xlfn.ANCHORARRAY($CL$2)))))),INDEX(_xlfn.ANCHORARRAY($CL$2),ROW(INDIRECT("1:"&amp;(COUNTA(_xlfn.ANCHORARRAY($CK$2))+COUNTA(_xlfn.ANCHORARRAY($CL$2)))))-COUNTA(_xlfn.ANCHORARRAY($CK$2))))),1,1))</f>
        <v>Access Tunnel</v>
      </c>
      <c r="DR2" t="str" cm="1">
        <f t="array" aca="1" ref="DR2:DR40" ca="1">IF(COUNTA(_xlfn.ANCHORARRAY($CM$2))+COUNTA(_xlfn.ANCHORARRAY($CN$2))=0,"",_xlfn._xlws.SORT(_xlfn.UNIQUE(IF(ROW(INDIRECT("1:"&amp;(COUNTA(_xlfn.ANCHORARRAY($CM$2))+COUNTA(_xlfn.ANCHORARRAY($CN$2)))))&lt;=COUNTA(_xlfn.ANCHORARRAY($CM$2)),INDEX(_xlfn.ANCHORARRAY($CM$2),ROW(INDIRECT("1:"&amp;(COUNTA(_xlfn.ANCHORARRAY($CM$2))+COUNTA(_xlfn.ANCHORARRAY($CN$2)))))),INDEX(_xlfn.ANCHORARRAY($CN$2),ROW(INDIRECT("1:"&amp;(COUNTA(_xlfn.ANCHORARRAY($CM$2))+COUNTA(_xlfn.ANCHORARRAY($CN$2)))))-COUNTA(_xlfn.ANCHORARRAY($CM$2))))),1,1))</f>
        <v>Agna Qel'a</v>
      </c>
      <c r="DS2" t="str" cm="1">
        <f t="array" aca="1" ref="DS2:DS50" ca="1">IF(COUNTA(_xlfn.ANCHORARRAY($CO$2))+COUNTA(_xlfn.ANCHORARRAY($CP$2))=0,"",_xlfn._xlws.SORT(_xlfn.UNIQUE(IF(ROW(INDIRECT("1:"&amp;(COUNTA(_xlfn.ANCHORARRAY($CO$2))+COUNTA(_xlfn.ANCHORARRAY($CP$2)))))&lt;=COUNTA(_xlfn.ANCHORARRAY($CO$2)),INDEX(_xlfn.ANCHORARRAY($CO$2),ROW(INDIRECT("1:"&amp;(COUNTA(_xlfn.ANCHORARRAY($CO$2))+COUNTA(_xlfn.ANCHORARRAY($CP$2)))))),INDEX(_xlfn.ANCHORARRAY($CP$2),ROW(INDIRECT("1:"&amp;(COUNTA(_xlfn.ANCHORARRAY($CO$2))+COUNTA(_xlfn.ANCHORARRAY($CP$2)))))-COUNTA(_xlfn.ANCHORARRAY($CO$2))))),1,1))</f>
        <v>Arcane Lighthouse</v>
      </c>
      <c r="DT2" t="str" cm="1">
        <f t="array" aca="1" ref="DT2:DT106" ca="1">IF(COUNTA(_xlfn.ANCHORARRAY($CQ$2))+COUNTA(_xlfn.ANCHORARRAY($CR$2))=0,"",_xlfn._xlws.SORT(_xlfn.UNIQUE(IF(ROW(INDIRECT("1:"&amp;(COUNTA(_xlfn.ANCHORARRAY($CQ$2))+COUNTA(_xlfn.ANCHORARRAY($CR$2)))))&lt;=COUNTA(_xlfn.ANCHORARRAY($CQ$2)),INDEX(_xlfn.ANCHORARRAY($CQ$2),ROW(INDIRECT("1:"&amp;(COUNTA(_xlfn.ANCHORARRAY($CQ$2))+COUNTA(_xlfn.ANCHORARRAY($CR$2)))))),INDEX(_xlfn.ANCHORARRAY($CR$2),ROW(INDIRECT("1:"&amp;(COUNTA(_xlfn.ANCHORARRAY($CQ$2))+COUNTA(_xlfn.ANCHORARRAY($CR$2)))))-COUNTA(_xlfn.ANCHORARRAY($CQ$2))))),1,1))</f>
        <v>Abundant Countryside</v>
      </c>
      <c r="DU2" t="str" cm="1">
        <f t="array" aca="1" ref="DU2:DU38" ca="1">IF(COUNTA(_xlfn.ANCHORARRAY($CS$2))+COUNTA(_xlfn.ANCHORARRAY($CT$2))=0,"",_xlfn._xlws.SORT(_xlfn.UNIQUE(IF(ROW(INDIRECT("1:"&amp;(COUNTA(_xlfn.ANCHORARRAY($CS$2))+COUNTA(_xlfn.ANCHORARRAY($CT$2)))))&lt;=COUNTA(_xlfn.ANCHORARRAY($CS$2)),INDEX(_xlfn.ANCHORARRAY($CS$2),ROW(INDIRECT("1:"&amp;(COUNTA(_xlfn.ANCHORARRAY($CS$2))+COUNTA(_xlfn.ANCHORARRAY($CT$2)))))),INDEX(_xlfn.ANCHORARRAY($CT$2),ROW(INDIRECT("1:"&amp;(COUNTA(_xlfn.ANCHORARRAY($CS$2))+COUNTA(_xlfn.ANCHORARRAY($CT$2)))))-COUNTA(_xlfn.ANCHORARRAY($CS$2))))),1,1))</f>
        <v>Accursed Marauder</v>
      </c>
      <c r="DV2" t="str" cm="1">
        <f t="array" aca="1" ref="DV2:DV18" ca="1">IF(COUNTA(_xlfn.ANCHORARRAY($CU$2))+COUNTA(_xlfn.ANCHORARRAY($CV$2))=0,"",_xlfn._xlws.SORT(_xlfn.UNIQUE(IF(ROW(INDIRECT("1:"&amp;(COUNTA(_xlfn.ANCHORARRAY($CU$2))+COUNTA(_xlfn.ANCHORARRAY($CV$2)))))&lt;=COUNTA(_xlfn.ANCHORARRAY($CU$2)),INDEX(_xlfn.ANCHORARRAY($CU$2),ROW(INDIRECT("1:"&amp;(COUNTA(_xlfn.ANCHORARRAY($CU$2))+COUNTA(_xlfn.ANCHORARRAY($CV$2)))))),INDEX(_xlfn.ANCHORARRAY($CV$2),ROW(INDIRECT("1:"&amp;(COUNTA(_xlfn.ANCHORARRAY($CU$2))+COUNTA(_xlfn.ANCHORARRAY($CV$2)))))-COUNTA(_xlfn.ANCHORARRAY($CU$2))))),1,1))</f>
        <v>Adagia, Windswept Bastion</v>
      </c>
      <c r="DW2" t="str" cm="1">
        <f t="array" aca="1" ref="DW2:DW45" ca="1">IF(COUNTA(_xlfn.ANCHORARRAY($CW$2))+COUNTA(_xlfn.ANCHORARRAY($CX$2))=0,"",_xlfn._xlws.SORT(_xlfn.UNIQUE(IF(ROW(INDIRECT("1:"&amp;(COUNTA(_xlfn.ANCHORARRAY($CW$2))+COUNTA(_xlfn.ANCHORARRAY($CX$2)))))&lt;=COUNTA(_xlfn.ANCHORARRAY($CW$2)),INDEX(_xlfn.ANCHORARRAY($CW$2),ROW(INDIRECT("1:"&amp;(COUNTA(_xlfn.ANCHORARRAY($CW$2))+COUNTA(_xlfn.ANCHORARRAY($CX$2)))))),INDEX(_xlfn.ANCHORARRAY($CX$2),ROW(INDIRECT("1:"&amp;(COUNTA(_xlfn.ANCHORARRAY($CW$2))+COUNTA(_xlfn.ANCHORARRAY($CX$2)))))-COUNTA(_xlfn.ANCHORARRAY($CW$2))))),1,1))</f>
        <v>Abandoned Air Temple</v>
      </c>
      <c r="DX2" t="str" cm="1">
        <f t="array" aca="1" ref="DX2:DX34" ca="1">IF(COUNTA(_xlfn.ANCHORARRAY($CY$2))+COUNTA(_xlfn.ANCHORARRAY($CZ$2))=0,"",_xlfn._xlws.SORT(_xlfn.UNIQUE(IF(ROW(INDIRECT("1:"&amp;(COUNTA(_xlfn.ANCHORARRAY($CY$2))+COUNTA(_xlfn.ANCHORARRAY($CZ$2)))))&lt;=COUNTA(_xlfn.ANCHORARRAY($CY$2)),INDEX(_xlfn.ANCHORARRAY($CY$2),ROW(INDIRECT("1:"&amp;(COUNTA(_xlfn.ANCHORARRAY($CY$2))+COUNTA(_xlfn.ANCHORARRAY($CZ$2)))))),INDEX(_xlfn.ANCHORARRAY($CZ$2),ROW(INDIRECT("1:"&amp;(COUNTA(_xlfn.ANCHORARRAY($CY$2))+COUNTA(_xlfn.ANCHORARRAY($CZ$2)))))-COUNTA(_xlfn.ANCHORARRAY($CY$2))))),1,1))</f>
        <v>An Offer You Can't Refuse</v>
      </c>
      <c r="DY2" t="str" cm="1">
        <f t="array" aca="1" ref="DY2:DY53" ca="1">IF(COUNTA(_xlfn.ANCHORARRAY($DA$2))+COUNTA(_xlfn.ANCHORARRAY($DB$2))=0,"",_xlfn._xlws.SORT(_xlfn.UNIQUE(IF(ROW(INDIRECT("1:"&amp;(COUNTA(_xlfn.ANCHORARRAY($DA$2))+COUNTA(_xlfn.ANCHORARRAY($DB$2)))))&lt;=COUNTA(_xlfn.ANCHORARRAY($DA$2)),INDEX(_xlfn.ANCHORARRAY($DA$2),ROW(INDIRECT("1:"&amp;(COUNTA(_xlfn.ANCHORARRAY($DA$2))+COUNTA(_xlfn.ANCHORARRAY($DB$2)))))),INDEX(_xlfn.ANCHORARRAY($DB$2),ROW(INDIRECT("1:"&amp;(COUNTA(_xlfn.ANCHORARRAY($DA$2))+COUNTA(_xlfn.ANCHORARRAY($DB$2)))))-COUNTA(_xlfn.ANCHORARRAY($DA$2))))),1,1))</f>
        <v>Abandoned Air Temple</v>
      </c>
      <c r="DZ2" t="str" cm="1">
        <f t="array" aca="1" ref="DZ2:DZ142" ca="1">IF(COUNTA(_xlfn.ANCHORARRAY($DC$2))+COUNTA(_xlfn.ANCHORARRAY($DD$2))=0,"",_xlfn._xlws.SORT(_xlfn.UNIQUE(IF(ROW(INDIRECT("1:"&amp;(COUNTA(_xlfn.ANCHORARRAY($DC$2))+COUNTA(_xlfn.ANCHORARRAY($DD$2)))))&lt;=COUNTA(_xlfn.ANCHORARRAY($DC$2)),INDEX(_xlfn.ANCHORARRAY($DC$2),ROW(INDIRECT("1:"&amp;(COUNTA(_xlfn.ANCHORARRAY($DC$2))+COUNTA(_xlfn.ANCHORARRAY($DD$2)))))),INDEX(_xlfn.ANCHORARRAY($DD$2),ROW(INDIRECT("1:"&amp;(COUNTA(_xlfn.ANCHORARRAY($DC$2))+COUNTA(_xlfn.ANCHORARRAY($DD$2)))))-COUNTA(_xlfn.ANCHORARRAY($DC$2))))),1,1))</f>
        <v>Abrupt Decay</v>
      </c>
      <c r="EA2" t="e" cm="1">
        <f t="array" aca="1" ref="EA2" ca="1">IF(COUNTA(_xlfn.ANCHORARRAY($DE$2))+COUNTA(_xlfn.ANCHORARRAY($DF$2))=0,"",_xlfn._xlws.SORT(_xlfn.UNIQUE(IF(ROW(INDIRECT("1:"&amp;(COUNTA(_xlfn.ANCHORARRAY($DE$2))+COUNTA(_xlfn.ANCHORARRAY($DF$2)))))&lt;=COUNTA(_xlfn.ANCHORARRAY($DE$2)),INDEX(_xlfn.ANCHORARRAY($DE$2),ROW(INDIRECT("1:"&amp;(COUNTA(_xlfn.ANCHORARRAY($DE$2))+COUNTA(_xlfn.ANCHORARRAY($DF$2)))))),INDEX(_xlfn.ANCHORARRAY($DF$2),ROW(INDIRECT("1:"&amp;(COUNTA(_xlfn.ANCHORARRAY($DE$2))+COUNTA(_xlfn.ANCHORARRAY($DF$2)))))-COUNTA(_xlfn.ANCHORARRAY($DE$2))))),1,1))</f>
        <v>#REF!</v>
      </c>
      <c r="EB2" t="e" cm="1">
        <f t="array" aca="1" ref="EB2" ca="1">IF(COUNTA(_xlfn.ANCHORARRAY($DG$2))+COUNTA(_xlfn.ANCHORARRAY($DH$2))=0,"",_xlfn._xlws.SORT(_xlfn.UNIQUE(IF(ROW(INDIRECT("1:"&amp;(COUNTA(_xlfn.ANCHORARRAY($DG$2))+COUNTA(_xlfn.ANCHORARRAY($DH$2)))))&lt;=COUNTA(_xlfn.ANCHORARRAY($DG$2)),INDEX(_xlfn.ANCHORARRAY($DG$2),ROW(INDIRECT("1:"&amp;(COUNTA(_xlfn.ANCHORARRAY($DG$2))+COUNTA(_xlfn.ANCHORARRAY($DH$2)))))),INDEX(_xlfn.ANCHORARRAY($DH$2),ROW(INDIRECT("1:"&amp;(COUNTA(_xlfn.ANCHORARRAY($DG$2))+COUNTA(_xlfn.ANCHORARRAY($DH$2)))))-COUNTA(_xlfn.ANCHORARRAY($DG$2))))),1,1))</f>
        <v>#REF!</v>
      </c>
      <c r="EC2" t="e" cm="1">
        <f t="array" aca="1" ref="EC2" ca="1">IF(COUNTA(_xlfn.ANCHORARRAY($DI$2))+COUNTA(_xlfn.ANCHORARRAY($DJ$2))=0,"",_xlfn._xlws.SORT(_xlfn.UNIQUE(IF(ROW(INDIRECT("1:"&amp;(COUNTA(_xlfn.ANCHORARRAY($DI$2))+COUNTA(_xlfn.ANCHORARRAY($DJ$2)))))&lt;=COUNTA(_xlfn.ANCHORARRAY($DI$2)),INDEX(_xlfn.ANCHORARRAY($DI$2),ROW(INDIRECT("1:"&amp;(COUNTA(_xlfn.ANCHORARRAY($DI$2))+COUNTA(_xlfn.ANCHORARRAY($DJ$2)))))),INDEX(_xlfn.ANCHORARRAY($DJ$2),ROW(INDIRECT("1:"&amp;(COUNTA(_xlfn.ANCHORARRAY($DI$2))+COUNTA(_xlfn.ANCHORARRAY($DJ$2)))))-COUNTA(_xlfn.ANCHORARRAY($DI$2))))),1,1))</f>
        <v>#REF!</v>
      </c>
      <c r="ED2" t="e" cm="1">
        <f t="array" aca="1" ref="ED2" ca="1">IF(COUNTA(_xlfn.ANCHORARRAY($DK$2))+COUNTA(_xlfn.ANCHORARRAY($DL$2))=0,"",_xlfn._xlws.SORT(_xlfn.UNIQUE(IF(ROW(INDIRECT("1:"&amp;(COUNTA(_xlfn.ANCHORARRAY($DK$2))+COUNTA(_xlfn.ANCHORARRAY($DL$2)))))&lt;=COUNTA(_xlfn.ANCHORARRAY($DK$2)),INDEX(_xlfn.ANCHORARRAY($DK$2),ROW(INDIRECT("1:"&amp;(COUNTA(_xlfn.ANCHORARRAY($DK$2))+COUNTA(_xlfn.ANCHORARRAY($DL$2)))))),INDEX(_xlfn.ANCHORARRAY($DL$2),ROW(INDIRECT("1:"&amp;(COUNTA(_xlfn.ANCHORARRAY($DK$2))+COUNTA(_xlfn.ANCHORARRAY($DL$2)))))-COUNTA(_xlfn.ANCHORARRAY($DK$2))))),1,1))</f>
        <v>#REF!</v>
      </c>
      <c r="EE2" t="e" cm="1">
        <f t="array" aca="1" ref="EE2" ca="1">IF(COUNTA(_xlfn.ANCHORARRAY($DM$2))+COUNTA(_xlfn.ANCHORARRAY($DN$2))=0,"",_xlfn._xlws.SORT(_xlfn.UNIQUE(IF(ROW(INDIRECT("1:"&amp;(COUNTA(_xlfn.ANCHORARRAY($DM$2))+COUNTA(_xlfn.ANCHORARRAY($DN$2)))))&lt;=COUNTA(_xlfn.ANCHORARRAY($DM$2)),INDEX(_xlfn.ANCHORARRAY($DM$2),ROW(INDIRECT("1:"&amp;(COUNTA(_xlfn.ANCHORARRAY($DM$2))+COUNTA(_xlfn.ANCHORARRAY($DN$2)))))),INDEX(_xlfn.ANCHORARRAY($DN$2),ROW(INDIRECT("1:"&amp;(COUNTA(_xlfn.ANCHORARRAY($DM$2))+COUNTA(_xlfn.ANCHORARRAY($DN$2)))))-COUNTA(_xlfn.ANCHORARRAY($DM$2))))),1,1))</f>
        <v>#REF!</v>
      </c>
      <c r="EG2" t="str" cm="1">
        <f t="array" aca="1" ref="EG2:EG111" ca="1">IF(COUNTA(_xlfn.ANCHORARRAY($DP$2))+COUNTA(_xlfn.ANCHORARRAY($DQ$2))=0,"",_xlfn._xlws.SORT(_xlfn.UNIQUE(IF(ROW(INDIRECT("1:"&amp;(COUNTA(_xlfn.ANCHORARRAY($DP$2))+COUNTA(_xlfn.ANCHORARRAY($DQ$2)))))&lt;=COUNTA(_xlfn.ANCHORARRAY($DP$2)),INDEX(_xlfn.ANCHORARRAY($DP$2),ROW(INDIRECT("1:"&amp;(COUNTA(_xlfn.ANCHORARRAY($DP$2))+COUNTA(_xlfn.ANCHORARRAY($DQ$2)))))),INDEX(_xlfn.ANCHORARRAY($DQ$2),ROW(INDIRECT("1:"&amp;(COUNTA(_xlfn.ANCHORARRAY($DP$2))+COUNTA(_xlfn.ANCHORARRAY($DQ$2)))))-COUNTA(_xlfn.ANCHORARRAY($DP$2))))),1,1))</f>
        <v>Abandoned Air Temple</v>
      </c>
      <c r="EH2" t="str" cm="1">
        <f t="array" aca="1" ref="EH2:EH87" ca="1">IF(COUNTA(_xlfn.ANCHORARRAY($DR$2))+COUNTA(_xlfn.ANCHORARRAY($DS$2))=0,"",_xlfn._xlws.SORT(_xlfn.UNIQUE(IF(ROW(INDIRECT("1:"&amp;(COUNTA(_xlfn.ANCHORARRAY($DR$2))+COUNTA(_xlfn.ANCHORARRAY($DS$2)))))&lt;=COUNTA(_xlfn.ANCHORARRAY($DR$2)),INDEX(_xlfn.ANCHORARRAY($DR$2),ROW(INDIRECT("1:"&amp;(COUNTA(_xlfn.ANCHORARRAY($DR$2))+COUNTA(_xlfn.ANCHORARRAY($DS$2)))))),INDEX(_xlfn.ANCHORARRAY($DS$2),ROW(INDIRECT("1:"&amp;(COUNTA(_xlfn.ANCHORARRAY($DR$2))+COUNTA(_xlfn.ANCHORARRAY($DS$2)))))-COUNTA(_xlfn.ANCHORARRAY($DR$2))))),1,1))</f>
        <v>Agna Qel'a</v>
      </c>
      <c r="EI2" t="str" cm="1">
        <f t="array" aca="1" ref="EI2:EI141" ca="1">IF(COUNTA(_xlfn.ANCHORARRAY($DT$2))+COUNTA(_xlfn.ANCHORARRAY($DU$2))=0,"",_xlfn._xlws.SORT(_xlfn.UNIQUE(IF(ROW(INDIRECT("1:"&amp;(COUNTA(_xlfn.ANCHORARRAY($DT$2))+COUNTA(_xlfn.ANCHORARRAY($DU$2)))))&lt;=COUNTA(_xlfn.ANCHORARRAY($DT$2)),INDEX(_xlfn.ANCHORARRAY($DT$2),ROW(INDIRECT("1:"&amp;(COUNTA(_xlfn.ANCHORARRAY($DT$2))+COUNTA(_xlfn.ANCHORARRAY($DU$2)))))),INDEX(_xlfn.ANCHORARRAY($DU$2),ROW(INDIRECT("1:"&amp;(COUNTA(_xlfn.ANCHORARRAY($DT$2))+COUNTA(_xlfn.ANCHORARRAY($DU$2)))))-COUNTA(_xlfn.ANCHORARRAY($DT$2))))),1,1))</f>
        <v>Abundant Countryside</v>
      </c>
      <c r="EJ2" t="str" cm="1">
        <f t="array" aca="1" ref="EJ2:EJ62" ca="1">IF(COUNTA(_xlfn.ANCHORARRAY($DV$2))+COUNTA(_xlfn.ANCHORARRAY($DW$2))=0,"",_xlfn._xlws.SORT(_xlfn.UNIQUE(IF(ROW(INDIRECT("1:"&amp;(COUNTA(_xlfn.ANCHORARRAY($DV$2))+COUNTA(_xlfn.ANCHORARRAY($DW$2)))))&lt;=COUNTA(_xlfn.ANCHORARRAY($DV$2)),INDEX(_xlfn.ANCHORARRAY($DV$2),ROW(INDIRECT("1:"&amp;(COUNTA(_xlfn.ANCHORARRAY($DV$2))+COUNTA(_xlfn.ANCHORARRAY($DW$2)))))),INDEX(_xlfn.ANCHORARRAY($DW$2),ROW(INDIRECT("1:"&amp;(COUNTA(_xlfn.ANCHORARRAY($DV$2))+COUNTA(_xlfn.ANCHORARRAY($DW$2)))))-COUNTA(_xlfn.ANCHORARRAY($DV$2))))),1,1))</f>
        <v>Abandoned Air Temple</v>
      </c>
      <c r="EK2" t="str" cm="1">
        <f t="array" aca="1" ref="EK2:EK81" ca="1">IF(COUNTA(_xlfn.ANCHORARRAY($DX$2))+COUNTA(_xlfn.ANCHORARRAY($DY$2))=0,"",_xlfn._xlws.SORT(_xlfn.UNIQUE(IF(ROW(INDIRECT("1:"&amp;(COUNTA(_xlfn.ANCHORARRAY($DX$2))+COUNTA(_xlfn.ANCHORARRAY($DY$2)))))&lt;=COUNTA(_xlfn.ANCHORARRAY($DX$2)),INDEX(_xlfn.ANCHORARRAY($DX$2),ROW(INDIRECT("1:"&amp;(COUNTA(_xlfn.ANCHORARRAY($DX$2))+COUNTA(_xlfn.ANCHORARRAY($DY$2)))))),INDEX(_xlfn.ANCHORARRAY($DY$2),ROW(INDIRECT("1:"&amp;(COUNTA(_xlfn.ANCHORARRAY($DX$2))+COUNTA(_xlfn.ANCHORARRAY($DY$2)))))-COUNTA(_xlfn.ANCHORARRAY($DX$2))))),1,1))</f>
        <v>Abandoned Air Temple</v>
      </c>
      <c r="EL2" t="str" cm="1">
        <f t="array" aca="1" ref="EL2:EL142" ca="1">IF(COUNTA(_xlfn.ANCHORARRAY($DZ$2))+COUNTA(_xlfn.ANCHORARRAY($EA$2))=0,"",_xlfn._xlws.SORT(_xlfn.UNIQUE(IF(ROW(INDIRECT("1:"&amp;(COUNTA(_xlfn.ANCHORARRAY($DZ$2))+COUNTA(_xlfn.ANCHORARRAY($EA$2)))))&lt;=COUNTA(_xlfn.ANCHORARRAY($DZ$2)),INDEX(_xlfn.ANCHORARRAY($DZ$2),ROW(INDIRECT("1:"&amp;(COUNTA(_xlfn.ANCHORARRAY($DZ$2))+COUNTA(_xlfn.ANCHORARRAY($EA$2)))))),INDEX(_xlfn.ANCHORARRAY($EA$2),ROW(INDIRECT("1:"&amp;(COUNTA(_xlfn.ANCHORARRAY($DZ$2))+COUNTA(_xlfn.ANCHORARRAY($EA$2)))))-COUNTA(_xlfn.ANCHORARRAY($DZ$2))))),1,1))</f>
        <v>Abrupt Decay</v>
      </c>
      <c r="EM2" t="e" cm="1">
        <f t="array" aca="1" ref="EM2" ca="1">IF(COUNTA(_xlfn.ANCHORARRAY($EB$2))+COUNTA(_xlfn.ANCHORARRAY($EC$2))=0,"",_xlfn._xlws.SORT(_xlfn.UNIQUE(IF(ROW(INDIRECT("1:"&amp;(COUNTA(_xlfn.ANCHORARRAY($EB$2))+COUNTA(_xlfn.ANCHORARRAY($EC$2)))))&lt;=COUNTA(_xlfn.ANCHORARRAY($EB$2)),INDEX(_xlfn.ANCHORARRAY($EB$2),ROW(INDIRECT("1:"&amp;(COUNTA(_xlfn.ANCHORARRAY($EB$2))+COUNTA(_xlfn.ANCHORARRAY($EC$2)))))),INDEX(_xlfn.ANCHORARRAY($EC$2),ROW(INDIRECT("1:"&amp;(COUNTA(_xlfn.ANCHORARRAY($EB$2))+COUNTA(_xlfn.ANCHORARRAY($EC$2)))))-COUNTA(_xlfn.ANCHORARRAY($EB$2))))),1,1))</f>
        <v>#REF!</v>
      </c>
      <c r="EN2" t="e" cm="1">
        <f t="array" aca="1" ref="EN2" ca="1">IF(COUNTA(_xlfn.ANCHORARRAY($ED$2))+COUNTA(_xlfn.ANCHORARRAY($EE$2))=0,"",_xlfn._xlws.SORT(_xlfn.UNIQUE(IF(ROW(INDIRECT("1:"&amp;(COUNTA(_xlfn.ANCHORARRAY($ED$2))+COUNTA(_xlfn.ANCHORARRAY($EE$2)))))&lt;=COUNTA(_xlfn.ANCHORARRAY($ED$2)),INDEX(_xlfn.ANCHORARRAY($ED$2),ROW(INDIRECT("1:"&amp;(COUNTA(_xlfn.ANCHORARRAY($ED$2))+COUNTA(_xlfn.ANCHORARRAY($EE$2)))))),INDEX(_xlfn.ANCHORARRAY($EE$2),ROW(INDIRECT("1:"&amp;(COUNTA(_xlfn.ANCHORARRAY($ED$2))+COUNTA(_xlfn.ANCHORARRAY($EE$2)))))-COUNTA(_xlfn.ANCHORARRAY($ED$2))))),1,1))</f>
        <v>#REF!</v>
      </c>
      <c r="EP2" t="str" cm="1">
        <f t="array" aca="1" ref="EP2:EP195" ca="1">IF(COUNTA(_xlfn.ANCHORARRAY($EG$2))+COUNTA(_xlfn.ANCHORARRAY($EH$2))=0,"",_xlfn._xlws.SORT(_xlfn.UNIQUE(IF(ROW(INDIRECT("1:"&amp;(COUNTA(_xlfn.ANCHORARRAY($EG$2))+COUNTA(_xlfn.ANCHORARRAY($EH$2)))))&lt;=COUNTA(_xlfn.ANCHORARRAY($EG$2)),INDEX(_xlfn.ANCHORARRAY($EG$2),ROW(INDIRECT("1:"&amp;(COUNTA(_xlfn.ANCHORARRAY($EG$2))+COUNTA(_xlfn.ANCHORARRAY($EH$2)))))),INDEX(_xlfn.ANCHORARRAY($EH$2),ROW(INDIRECT("1:"&amp;(COUNTA(_xlfn.ANCHORARRAY($EG$2))+COUNTA(_xlfn.ANCHORARRAY($EH$2)))))-COUNTA(_xlfn.ANCHORARRAY($EG$2))))),1,1))</f>
        <v>Abandoned Air Temple</v>
      </c>
      <c r="EQ2" t="str" cm="1">
        <f t="array" aca="1" ref="EQ2:EQ198" ca="1">IF(COUNTA(_xlfn.ANCHORARRAY($EI$2))+COUNTA(_xlfn.ANCHORARRAY($EJ$2))=0,"",_xlfn._xlws.SORT(_xlfn.UNIQUE(IF(ROW(INDIRECT("1:"&amp;(COUNTA(_xlfn.ANCHORARRAY($EI$2))+COUNTA(_xlfn.ANCHORARRAY($EJ$2)))))&lt;=COUNTA(_xlfn.ANCHORARRAY($EI$2)),INDEX(_xlfn.ANCHORARRAY($EI$2),ROW(INDIRECT("1:"&amp;(COUNTA(_xlfn.ANCHORARRAY($EI$2))+COUNTA(_xlfn.ANCHORARRAY($EJ$2)))))),INDEX(_xlfn.ANCHORARRAY($EJ$2),ROW(INDIRECT("1:"&amp;(COUNTA(_xlfn.ANCHORARRAY($EI$2))+COUNTA(_xlfn.ANCHORARRAY($EJ$2)))))-COUNTA(_xlfn.ANCHORARRAY($EI$2))))),1,1))</f>
        <v>Abandoned Air Temple</v>
      </c>
      <c r="ER2" t="str" cm="1">
        <f t="array" aca="1" ref="ER2:ER203" ca="1">IF(COUNTA(_xlfn.ANCHORARRAY($EK$2))+COUNTA(_xlfn.ANCHORARRAY($EL$2))=0,"",_xlfn._xlws.SORT(_xlfn.UNIQUE(IF(ROW(INDIRECT("1:"&amp;(COUNTA(_xlfn.ANCHORARRAY($EK$2))+COUNTA(_xlfn.ANCHORARRAY($EL$2)))))&lt;=COUNTA(_xlfn.ANCHORARRAY($EK$2)),INDEX(_xlfn.ANCHORARRAY($EK$2),ROW(INDIRECT("1:"&amp;(COUNTA(_xlfn.ANCHORARRAY($EK$2))+COUNTA(_xlfn.ANCHORARRAY($EL$2)))))),INDEX(_xlfn.ANCHORARRAY($EL$2),ROW(INDIRECT("1:"&amp;(COUNTA(_xlfn.ANCHORARRAY($EK$2))+COUNTA(_xlfn.ANCHORARRAY($EL$2)))))-COUNTA(_xlfn.ANCHORARRAY($EK$2))))),1,1))</f>
        <v>Abandoned Air Temple</v>
      </c>
      <c r="ES2" t="e" cm="1">
        <f t="array" aca="1" ref="ES2" ca="1">IF(COUNTA(_xlfn.ANCHORARRAY($EM$2))+COUNTA(_xlfn.ANCHORARRAY($EN$2))=0,"",_xlfn._xlws.SORT(_xlfn.UNIQUE(IF(ROW(INDIRECT("1:"&amp;(COUNTA(_xlfn.ANCHORARRAY($EM$2))+COUNTA(_xlfn.ANCHORARRAY($EN$2)))))&lt;=COUNTA(_xlfn.ANCHORARRAY($EM$2)),INDEX(_xlfn.ANCHORARRAY($EM$2),ROW(INDIRECT("1:"&amp;(COUNTA(_xlfn.ANCHORARRAY($EM$2))+COUNTA(_xlfn.ANCHORARRAY($EN$2)))))),INDEX(_xlfn.ANCHORARRAY($EN$2),ROW(INDIRECT("1:"&amp;(COUNTA(_xlfn.ANCHORARRAY($EM$2))+COUNTA(_xlfn.ANCHORARRAY($EN$2)))))-COUNTA(_xlfn.ANCHORARRAY($EM$2))))),1,1))</f>
        <v>#REF!</v>
      </c>
      <c r="EU2" t="str" cm="1">
        <f t="array" aca="1" ref="EU2:EU378" ca="1">IF(COUNTA(_xlfn.ANCHORARRAY($EP$2))+COUNTA(_xlfn.ANCHORARRAY($EQ$2))=0,"",_xlfn._xlws.SORT(_xlfn.UNIQUE(IF(ROW(INDIRECT("1:"&amp;(COUNTA(_xlfn.ANCHORARRAY($EP$2))+COUNTA(_xlfn.ANCHORARRAY($EQ$2)))))&lt;=COUNTA(_xlfn.ANCHORARRAY($EP$2)),INDEX(_xlfn.ANCHORARRAY($EP$2),ROW(INDIRECT("1:"&amp;(COUNTA(_xlfn.ANCHORARRAY($EP$2))+COUNTA(_xlfn.ANCHORARRAY($EQ$2)))))),INDEX(_xlfn.ANCHORARRAY($EQ$2),ROW(INDIRECT("1:"&amp;(COUNTA(_xlfn.ANCHORARRAY($EP$2))+COUNTA(_xlfn.ANCHORARRAY($EQ$2)))))-COUNTA(_xlfn.ANCHORARRAY($EP$2))))),1,1))</f>
        <v>Abandoned Air Temple</v>
      </c>
      <c r="EV2" t="str" cm="1">
        <f t="array" aca="1" ref="EV2:EV203" ca="1">IF(COUNTA(_xlfn.ANCHORARRAY($ER$2))+COUNTA(_xlfn.ANCHORARRAY($ES$2))=0,"",_xlfn._xlws.SORT(_xlfn.UNIQUE(IF(ROW(INDIRECT("1:"&amp;(COUNTA(_xlfn.ANCHORARRAY($ER$2))+COUNTA(_xlfn.ANCHORARRAY($ES$2)))))&lt;=COUNTA(_xlfn.ANCHORARRAY($ER$2)),INDEX(_xlfn.ANCHORARRAY($ER$2),ROW(INDIRECT("1:"&amp;(COUNTA(_xlfn.ANCHORARRAY($ER$2))+COUNTA(_xlfn.ANCHORARRAY($ES$2)))))),INDEX(_xlfn.ANCHORARRAY($ES$2),ROW(INDIRECT("1:"&amp;(COUNTA(_xlfn.ANCHORARRAY($ER$2))+COUNTA(_xlfn.ANCHORARRAY($ES$2)))))-COUNTA(_xlfn.ANCHORARRAY($ER$2))))),1,1))</f>
        <v>Abandoned Air Temple</v>
      </c>
      <c r="EX2" t="str" cm="1">
        <f t="array" aca="1" ref="EX2:EX542" ca="1">IF(COUNTA(_xlfn.ANCHORARRAY($EU$2))+COUNTA(_xlfn.ANCHORARRAY($EV$2))=0,"",_xlfn._xlws.SORT(_xlfn.UNIQUE(IF(ROW(INDIRECT("1:"&amp;(COUNTA(_xlfn.ANCHORARRAY($EU$2))+COUNTA(_xlfn.ANCHORARRAY($EV$2)))))&lt;=COUNTA(_xlfn.ANCHORARRAY($EU$2)),INDEX(_xlfn.ANCHORARRAY($EU$2),ROW(INDIRECT("1:"&amp;(COUNTA(_xlfn.ANCHORARRAY($EU$2))+COUNTA(_xlfn.ANCHORARRAY($EV$2)))))),INDEX(_xlfn.ANCHORARRAY($EV$2),ROW(INDIRECT("1:"&amp;(COUNTA(_xlfn.ANCHORARRAY($EU$2))+COUNTA(_xlfn.ANCHORARRAY($EV$2)))))-COUNTA(_xlfn.ANCHORARRAY($EU$2))))),1,1))</f>
        <v>Abandoned Air Temple</v>
      </c>
    </row>
    <row r="3" spans="1:154" x14ac:dyDescent="0.25">
      <c r="A3" s="2" t="str">
        <f t="shared" ref="A3:A66" ca="1" si="1">IFERROR(INDEX($T$3:$T$200, MATCH($C3, $J$3:$J$200, 0)), "")</f>
        <v>5</v>
      </c>
      <c r="B3" s="2">
        <f t="shared" ref="B3:B66" ca="1" si="2">COUNTIF(V:CG,G3)</f>
        <v>1</v>
      </c>
      <c r="C3" s="2" t="str">
        <f ca="1">IFERROR(
 INDEX($V$1:$BL$1,
  MATCH(TRUE,
   CHOOSE({1;2;3;4;5;6;7;8;9;10;11;12;13;14;15;16;17;18;19;20;21;22;23;24;25;26;27;28;29;30;31;32;33;34;35;36;37;38;39;40;41;42;43},
    COUNTIFS($V$2:$V$200,$G3)&gt;0,
    COUNTIFS($W$2:$W$200,$G3)&gt;0,
    COUNTIFS($X$2:$X$200,$G3)&gt;0,
    COUNTIFS($Y$2:$Y$200,$G3)&gt;0,
    COUNTIFS($Z$2:$Z$200,$G3)&gt;0,
    COUNTIFS($AA$2:$AA$200,$G3)&gt;0,
    COUNTIFS($AB$2:$AB$200,$G3)&gt;0,
    COUNTIFS($AC$2:$AC$200,$G3)&gt;0,
    COUNTIFS($AD$2:$AD$200,$G3)&gt;0,
    COUNTIFS($AE$2:$AE$200,$G3)&gt;0,
    COUNTIFS($AF$2:$AF$200,$G3)&gt;0,
    COUNTIFS($AG$2:$AG$200,$G3)&gt;0,
    COUNTIFS($AH$2:$AH$200,$G3)&gt;0,
    COUNTIFS($AI$2:$AI$200,$G3)&gt;0,
    COUNTIFS($AJ$2:$AJ$200,$G3)&gt;0,
    COUNTIFS($AK$2:$AK$200,$G3)&gt;0,
    COUNTIFS($AL$2:$AL$200,$G3)&gt;0,
    COUNTIFS($AM$2:$AM$200,$G3)&gt;0,
    COUNTIFS($AN$2:$AN$200,$G3)&gt;0,
    COUNTIFS($AO$2:$AO$200,$G3)&gt;0,
    COUNTIFS($AP$2:$AP$200,$G3)&gt;0,
    COUNTIFS($AQ$2:$AQ$200,$G3)&gt;0,
    COUNTIFS($AR$2:$AR$200,$G3)&gt;0,
    COUNTIFS($AS$2:$AS$200,$G3)&gt;0,
    COUNTIFS($AT$2:$AT$200,$G3)&gt;0,
    COUNTIFS($AU$2:$AU$200,$G3)&gt;0,
    COUNTIFS($AV$2:$AV$200,$G3)&gt;0,
    COUNTIFS($AW$2:$AW$200,$G3)&gt;0,
    COUNTIFS($AX$2:$AX$200,$G3)&gt;0,
    COUNTIFS($AY$2:$AY$200,$G3)&gt;0,
    COUNTIFS($AZ$2:$AZ$200,$G3)&gt;0,
    COUNTIFS($BA$2:$BA$200,$G3)&gt;0,
    COUNTIFS($BB$2:$BB$200,$G3)&gt;0,
    COUNTIFS($BC$2:$BC$200,$G3)&gt;0,
    COUNTIFS($BD$2:$BD$200,$G3)&gt;0,
    COUNTIFS($BE$2:$BE$200,$G3)&gt;0,
    COUNTIFS($BF$2:$BF$200,$G3)&gt;0,
    COUNTIFS($BG$2:$BG$200,$G3)&gt;0,
    COUNTIFS($BH$2:$BH$200,$G3)&gt;0,
    COUNTIFS($BI$2:$BI$200,$G3)&gt;0,
    COUNTIFS($BJ$2:$BJ$200,$G3)&gt;0,
    COUNTIFS($BK$2:$BK$200,$G3)&gt;0,
    COUNTIFS($BL$2:$BL$200,$G3)&gt;0,
    COUNTIFS($BM$2:$BM$200,$G3)&gt;0,
   ),
  0)
 ),
"")</f>
        <v>4cRash</v>
      </c>
      <c r="D3" s="2" t="str" cm="1">
        <f t="array" aca="1" ref="D3" ca="1">IFERROR(
 INDEX(
  _xlfn._xlws.FILTER($V$1:$AY$1,
   TRANSPOSE(
    CHOOSE({1;2;3;4;5;6;7;8;9;10;11;12;13;14;15;16;17;18;19;20;21;22;23;24;25;26;27;28;29;30},
     COUNTIFS($V$2:$V$200,$G3)&gt;0,
     COUNTIFS($W$2:$W$200,$G3)&gt;0,
     COUNTIFS($X$2:$X$200,$G3)&gt;0,
     COUNTIFS($Y$2:$Y$200,$G3)&gt;0,
     COUNTIFS($Z$2:$Z$200,$G3)&gt;0,
     COUNTIFS($AA$2:$AA$200,$G3)&gt;0,
     COUNTIFS($AB$2:$AB$200,$G3)&gt;0,
     COUNTIFS($AC$2:$AC$200,$G3)&gt;0,
     COUNTIFS($AD$2:$AD$200,$G3)&gt;0,
     COUNTIFS($AE$2:$AE$200,$G3)&gt;0,
     COUNTIFS($AF$2:$AF$200,$G3)&gt;0,
     COUNTIFS($AG$2:$AG$200,$G3)&gt;0,
     COUNTIFS($AH$2:$AH$200,$G3)&gt;0,
     COUNTIFS($AI$2:$AI$200,$G3)&gt;0,
     COUNTIFS($AJ$2:$AJ$200,$G3)&gt;0,
     COUNTIFS($AK$2:$AK$200,$G3)&gt;0,
     COUNTIFS($AL$2:$AL$200,$G3)&gt;0,
     COUNTIFS($AM$2:$AM$200,$G3)&gt;0,
     COUNTIFS($AN$2:$AN$200,$G3)&gt;0,
     COUNTIFS($AO$2:$AO$200,$G3)&gt;0,
     COUNTIFS($AP$2:$AP$200,$G3)&gt;0,
     COUNTIFS($AQ$2:$AQ$200,$G3)&gt;0,
     COUNTIFS($AR$2:$AR$200,$G3)&gt;0,
     COUNTIFS($AS$2:$AS$200,$G3)&gt;0,
     COUNTIFS($AT$2:$AT$200,$G3)&gt;0,
     COUNTIFS($AU$2:$AU$200,$G3)&gt;0,
     COUNTIFS($AV$2:$AV$200,$G3)&gt;0,
     COUNTIFS($AW$2:$AW$200,$G3)&gt;0,
     COUNTIFS($AX$2:$AX$200,$G3)&gt;0,
     COUNTIFS($AY$2:$AY$200,$G3)&gt;0
   )),
  ),
  2
 ),
"")</f>
        <v/>
      </c>
      <c r="E3" s="2" t="str" cm="1">
        <f t="array" aca="1" ref="E3" ca="1">IFERROR(
 INDEX(
  _xlfn._xlws.FILTER($V$1:$AY$1,
   TRANSPOSE(
    CHOOSE({1;2;3;4;5;6;7;8;9;10;11;12;13;14;15;16;17;18;19;20;21;22;23;24;25;26;27;28;29;30},
     COUNTIFS($V$2:$V$200,$G3)&gt;0,
     COUNTIFS($W$2:$W$200,$G3)&gt;0,
     COUNTIFS($X$2:$X$200,$G3)&gt;0,
     COUNTIFS($Y$2:$Y$200,$G3)&gt;0,
     COUNTIFS($Z$2:$Z$200,$G3)&gt;0,
     COUNTIFS($AA$2:$AA$200,$G3)&gt;0,
     COUNTIFS($AB$2:$AB$200,$G3)&gt;0,
     COUNTIFS($AC$2:$AC$200,$G3)&gt;0,
     COUNTIFS($AD$2:$AD$200,$G3)&gt;0,
     COUNTIFS($AE$2:$AE$200,$G3)&gt;0,
     COUNTIFS($AF$2:$AF$200,$G3)&gt;0,
     COUNTIFS($AG$2:$AG$200,$G3)&gt;0,
     COUNTIFS($AH$2:$AH$200,$G3)&gt;0,
     COUNTIFS($AI$2:$AI$200,$G3)&gt;0,
     COUNTIFS($AJ$2:$AJ$200,$G3)&gt;0,
     COUNTIFS($AK$2:$AK$200,$G3)&gt;0,
     COUNTIFS($AL$2:$AL$200,$G3)&gt;0,
     COUNTIFS($AM$2:$AM$200,$G3)&gt;0,
     COUNTIFS($AN$2:$AN$200,$G3)&gt;0,
     COUNTIFS($AO$2:$AO$200,$G3)&gt;0,
     COUNTIFS($AP$2:$AP$200,$G3)&gt;0,
     COUNTIFS($AQ$2:$AQ$200,$G3)&gt;0,
     COUNTIFS($AR$2:$AR$200,$G3)&gt;0,
     COUNTIFS($AS$2:$AS$200,$G3)&gt;0,
     COUNTIFS($AT$2:$AT$200,$G3)&gt;0,
     COUNTIFS($AU$2:$AU$200,$G3)&gt;0,
     COUNTIFS($AV$2:$AV$200,$G3)&gt;0,
     COUNTIFS($AW$2:$AW$200,$G3)&gt;0,
     COUNTIFS($AX$2:$AX$200,$G3)&gt;0,
     COUNTIFS($AY$2:$AY$200,$G3)&gt;0
   )),
  ),
  3
 ),
"")</f>
        <v/>
      </c>
      <c r="F3" s="2" t="str" cm="1">
        <f t="array" aca="1" ref="F3" ca="1">IFERROR(
 INDEX(
  _xlfn._xlws.FILTER($V$1:$AY$1,
   TRANSPOSE(
    CHOOSE({1;2;3;4;5;6;7;8;9;10;11;12;13;14;15;16;17;18;19;20;21;22;23;24;25;26;27;28;29;30},
     COUNTIFS($V$2:$V$200,$G3)&gt;0,
     COUNTIFS($W$2:$W$200,$G3)&gt;0,
     COUNTIFS($X$2:$X$200,$G3)&gt;0,
     COUNTIFS($Y$2:$Y$200,$G3)&gt;0,
     COUNTIFS($Z$2:$Z$200,$G3)&gt;0,
     COUNTIFS($AA$2:$AA$200,$G3)&gt;0,
     COUNTIFS($AB$2:$AB$200,$G3)&gt;0,
     COUNTIFS($AC$2:$AC$200,$G3)&gt;0,
     COUNTIFS($AD$2:$AD$200,$G3)&gt;0,
     COUNTIFS($AE$2:$AE$200,$G3)&gt;0,
     COUNTIFS($AF$2:$AF$200,$G3)&gt;0,
     COUNTIFS($AG$2:$AG$200,$G3)&gt;0,
     COUNTIFS($AH$2:$AH$200,$G3)&gt;0,
     COUNTIFS($AI$2:$AI$200,$G3)&gt;0,
     COUNTIFS($AJ$2:$AJ$200,$G3)&gt;0,
     COUNTIFS($AK$2:$AK$200,$G3)&gt;0,
     COUNTIFS($AL$2:$AL$200,$G3)&gt;0,
     COUNTIFS($AM$2:$AM$200,$G3)&gt;0,
     COUNTIFS($AN$2:$AN$200,$G3)&gt;0,
     COUNTIFS($AO$2:$AO$200,$G3)&gt;0,
     COUNTIFS($AP$2:$AP$200,$G3)&gt;0,
     COUNTIFS($AQ$2:$AQ$200,$G3)&gt;0,
     COUNTIFS($AR$2:$AR$200,$G3)&gt;0,
     COUNTIFS($AS$2:$AS$200,$G3)&gt;0,
     COUNTIFS($AT$2:$AT$200,$G3)&gt;0,
     COUNTIFS($AU$2:$AU$200,$G3)&gt;0,
     COUNTIFS($AV$2:$AV$200,$G3)&gt;0,
     COUNTIFS($AW$2:$AW$200,$G3)&gt;0,
     COUNTIFS($AX$2:$AX$200,$G3)&gt;0,
     COUNTIFS($AY$2:$AY$200,$G3)&gt;0
   )),
  ),
  4
 ),
"")</f>
        <v/>
      </c>
      <c r="G3" t="str">
        <f ca="1"/>
        <v>Abrupt Decay</v>
      </c>
      <c r="H3" s="2" t="s">
        <v>417</v>
      </c>
      <c r="L3" s="2" t="s">
        <v>3</v>
      </c>
      <c r="M3" s="2" t="s">
        <v>3</v>
      </c>
      <c r="N3" s="2" t="s">
        <v>3</v>
      </c>
      <c r="O3" s="2" t="s">
        <v>3</v>
      </c>
      <c r="P3" s="2" t="s">
        <v>3</v>
      </c>
      <c r="T3" s="2" t="str">
        <f>IF(K3&lt;6,"1",IF(K3&lt;11,"2",IF(K3&lt;16,"3",IF(K3&lt;31,"4","5"))))</f>
        <v>1</v>
      </c>
      <c r="V3" t="str">
        <v>Broadside Bombardiers</v>
      </c>
      <c r="W3" t="str">
        <v>Aura Mutation</v>
      </c>
      <c r="X3" t="str">
        <v>Adarkar Wastes</v>
      </c>
      <c r="Y3" t="str">
        <v>Arwen, Weaver of Hope</v>
      </c>
      <c r="Z3" t="str">
        <v>Authority of the Consuls</v>
      </c>
      <c r="AA3" t="str">
        <v>Bothersome Quasit</v>
      </c>
      <c r="AB3" t="str">
        <v>Eclipsed Realms</v>
      </c>
      <c r="AC3" t="str">
        <v>Bitterbloom Bearer</v>
      </c>
      <c r="AD3" t="str">
        <v>Emrakul, the World Anew</v>
      </c>
      <c r="AE3" t="str">
        <v>Crucible of Worlds</v>
      </c>
      <c r="AF3" t="str">
        <v>Katara's Reversal</v>
      </c>
      <c r="AG3" t="str">
        <v>Arid Mesa</v>
      </c>
      <c r="AH3" t="str">
        <v>Drowned Catacomb</v>
      </c>
      <c r="AI3" t="str">
        <v>Bojuka Bog</v>
      </c>
      <c r="AJ3" t="str">
        <v>Cloud, Midgar Mercenary</v>
      </c>
      <c r="AK3" t="str">
        <v>Elspeth, Sun's Champion</v>
      </c>
      <c r="AL3" t="str">
        <v>Obsidian Obelisk</v>
      </c>
      <c r="AM3" t="str">
        <v>Deserted Temple</v>
      </c>
      <c r="AN3" t="str">
        <v>Emrakul, the World Anew</v>
      </c>
      <c r="AO3" t="str">
        <v>Basal Sliver</v>
      </c>
      <c r="AP3" t="str">
        <v>Baral, Chief of Compliance</v>
      </c>
      <c r="AQ3" t="str">
        <v>Invasion of Segovia</v>
      </c>
      <c r="AR3" t="str">
        <v>Artifact Mutation</v>
      </c>
      <c r="AS3" t="str">
        <v>Illustrious Wanderglyph</v>
      </c>
      <c r="AT3" t="str">
        <v>Dollmaker's Shop // Porcelain Gallery</v>
      </c>
      <c r="AU3" t="str">
        <v>Bitterblossom</v>
      </c>
      <c r="AV3" t="str">
        <v>Monk Gyatso</v>
      </c>
      <c r="AX3" t="str">
        <v>Birds of Paradise</v>
      </c>
      <c r="AY3" t="str">
        <v>Deserted Temple</v>
      </c>
      <c r="BE3" t="str">
        <v>Archaeomancer</v>
      </c>
      <c r="BI3" t="str">
        <v>Anguished Unmaking</v>
      </c>
      <c r="BJ3" t="str">
        <v>Ainok Strike Leader</v>
      </c>
      <c r="BL3" t="str">
        <v>Aetherize</v>
      </c>
      <c r="CI3" t="str">
        <f ca="1"/>
        <v>Aura Mutation</v>
      </c>
      <c r="CJ3" t="str">
        <f ca="1"/>
        <v>Adarkar Wastes</v>
      </c>
      <c r="CK3" t="str">
        <f ca="1"/>
        <v>Ascend from Avernus</v>
      </c>
      <c r="CL3" t="str">
        <f ca="1"/>
        <v>Bitterbloom Bearer</v>
      </c>
      <c r="CM3" t="str">
        <f ca="1"/>
        <v>Ancient Tomb</v>
      </c>
      <c r="CN3" t="str">
        <f ca="1"/>
        <v>Arid Mesa</v>
      </c>
      <c r="CO3" t="str">
        <f ca="1"/>
        <v>Bojuka Bog</v>
      </c>
      <c r="CP3" t="str">
        <f ca="1"/>
        <v>Cloud, Midgar Mercenary</v>
      </c>
      <c r="CQ3" t="str">
        <f ca="1"/>
        <v>Deserted Temple</v>
      </c>
      <c r="CR3" t="str">
        <f ca="1"/>
        <v>Agna Qel'a</v>
      </c>
      <c r="CS3" t="str">
        <f ca="1"/>
        <v>Baral, Chief of Compliance</v>
      </c>
      <c r="CT3" t="str">
        <f ca="1"/>
        <v>Artifact Mutation</v>
      </c>
      <c r="CU3" t="str">
        <f ca="1"/>
        <v>Bitterblossom</v>
      </c>
      <c r="CV3" t="str">
        <f ca="1"/>
        <v>Homeward Path</v>
      </c>
      <c r="CW3" t="str">
        <f ca="1"/>
        <v>Ammit Eternal</v>
      </c>
      <c r="CZ3" t="str">
        <f ca="1"/>
        <v>Archaeomancer</v>
      </c>
      <c r="DB3" t="str">
        <f ca="1"/>
        <v>Anguished Unmaking</v>
      </c>
      <c r="DC3" t="str">
        <f ca="1"/>
        <v>Ainok Strike Leader</v>
      </c>
      <c r="DD3" t="str">
        <f ca="1"/>
        <v>Aetherize</v>
      </c>
      <c r="DP3" t="str">
        <f ca="1"/>
        <v>Adarkar Wastes</v>
      </c>
      <c r="DQ3" t="str">
        <f ca="1"/>
        <v>Ancient Greenwarden</v>
      </c>
      <c r="DR3" t="str">
        <f ca="1"/>
        <v>Amphibian Downpour</v>
      </c>
      <c r="DS3" t="str">
        <f ca="1"/>
        <v>Bojuka Bog</v>
      </c>
      <c r="DT3" t="str">
        <f ca="1"/>
        <v>Agna Qel'a</v>
      </c>
      <c r="DU3" t="str">
        <f ca="1"/>
        <v>Agna Qel'a</v>
      </c>
      <c r="DV3" t="str">
        <f ca="1"/>
        <v>Alchemist's Refuge</v>
      </c>
      <c r="DW3" t="str">
        <f ca="1"/>
        <v>Ammit Eternal</v>
      </c>
      <c r="DX3" t="str">
        <f ca="1"/>
        <v>Archaeomancer</v>
      </c>
      <c r="DY3" t="str">
        <f ca="1"/>
        <v>Anguished Unmaking</v>
      </c>
      <c r="DZ3" t="str">
        <f ca="1"/>
        <v>Adeline, Resplendent Cathar</v>
      </c>
      <c r="EG3" t="str">
        <f ca="1"/>
        <v>Access Tunnel</v>
      </c>
      <c r="EH3" t="str">
        <f ca="1"/>
        <v>Amphibian Downpour</v>
      </c>
      <c r="EI3" t="str">
        <f ca="1"/>
        <v>Accursed Marauder</v>
      </c>
      <c r="EJ3" t="str">
        <f ca="1"/>
        <v>Adagia, Windswept Bastion</v>
      </c>
      <c r="EK3" t="str">
        <f ca="1"/>
        <v>An Offer You Can't Refuse</v>
      </c>
      <c r="EL3" t="str">
        <f ca="1"/>
        <v>Adeline, Resplendent Cathar</v>
      </c>
      <c r="EP3" t="str">
        <f ca="1"/>
        <v>Access Tunnel</v>
      </c>
      <c r="EQ3" t="str">
        <f ca="1"/>
        <v>Abundant Countryside</v>
      </c>
      <c r="ER3" t="str">
        <f ca="1"/>
        <v>Abrupt Decay</v>
      </c>
      <c r="EU3" t="str">
        <f ca="1"/>
        <v>Abundant Countryside</v>
      </c>
      <c r="EV3" t="str">
        <f ca="1"/>
        <v>Abrupt Decay</v>
      </c>
      <c r="EX3" t="str">
        <f ca="1"/>
        <v>Abrupt Decay</v>
      </c>
    </row>
    <row r="4" spans="1:154" x14ac:dyDescent="0.25">
      <c r="A4" s="2" t="str">
        <f t="shared" ca="1" si="1"/>
        <v>5</v>
      </c>
      <c r="B4" s="2">
        <f t="shared" ca="1" si="2"/>
        <v>1</v>
      </c>
      <c r="C4" s="2" t="str">
        <f ca="1">IFERROR(
 INDEX($V$1:$BL$1,
  MATCH(TRUE,
   CHOOSE({1;2;3;4;5;6;7;8;9;10;11;12;13;14;15;16;17;18;19;20;21;22;23;24;25;26;27;28;29;30;31;32;33;34;35;36;37;38;39;40;41;42;43},
    COUNTIFS($V$2:$V$200,$G4)&gt;0,
    COUNTIFS($W$2:$W$200,$G4)&gt;0,
    COUNTIFS($X$2:$X$200,$G4)&gt;0,
    COUNTIFS($Y$2:$Y$200,$G4)&gt;0,
    COUNTIFS($Z$2:$Z$200,$G4)&gt;0,
    COUNTIFS($AA$2:$AA$200,$G4)&gt;0,
    COUNTIFS($AB$2:$AB$200,$G4)&gt;0,
    COUNTIFS($AC$2:$AC$200,$G4)&gt;0,
    COUNTIFS($AD$2:$AD$200,$G4)&gt;0,
    COUNTIFS($AE$2:$AE$200,$G4)&gt;0,
    COUNTIFS($AF$2:$AF$200,$G4)&gt;0,
    COUNTIFS($AG$2:$AG$200,$G4)&gt;0,
    COUNTIFS($AH$2:$AH$200,$G4)&gt;0,
    COUNTIFS($AI$2:$AI$200,$G4)&gt;0,
    COUNTIFS($AJ$2:$AJ$200,$G4)&gt;0,
    COUNTIFS($AK$2:$AK$200,$G4)&gt;0,
    COUNTIFS($AL$2:$AL$200,$G4)&gt;0,
    COUNTIFS($AM$2:$AM$200,$G4)&gt;0,
    COUNTIFS($AN$2:$AN$200,$G4)&gt;0,
    COUNTIFS($AO$2:$AO$200,$G4)&gt;0,
    COUNTIFS($AP$2:$AP$200,$G4)&gt;0,
    COUNTIFS($AQ$2:$AQ$200,$G4)&gt;0,
    COUNTIFS($AR$2:$AR$200,$G4)&gt;0,
    COUNTIFS($AS$2:$AS$200,$G4)&gt;0,
    COUNTIFS($AT$2:$AT$200,$G4)&gt;0,
    COUNTIFS($AU$2:$AU$200,$G4)&gt;0,
    COUNTIFS($AV$2:$AV$200,$G4)&gt;0,
    COUNTIFS($AW$2:$AW$200,$G4)&gt;0,
    COUNTIFS($AX$2:$AX$200,$G4)&gt;0,
    COUNTIFS($AY$2:$AY$200,$G4)&gt;0,
    COUNTIFS($AZ$2:$AZ$200,$G4)&gt;0,
    COUNTIFS($BA$2:$BA$200,$G4)&gt;0,
    COUNTIFS($BB$2:$BB$200,$G4)&gt;0,
    COUNTIFS($BC$2:$BC$200,$G4)&gt;0,
    COUNTIFS($BD$2:$BD$200,$G4)&gt;0,
    COUNTIFS($BE$2:$BE$200,$G4)&gt;0,
    COUNTIFS($BF$2:$BF$200,$G4)&gt;0,
    COUNTIFS($BG$2:$BG$200,$G4)&gt;0,
    COUNTIFS($BH$2:$BH$200,$G4)&gt;0,
    COUNTIFS($BI$2:$BI$200,$G4)&gt;0,
    COUNTIFS($BJ$2:$BJ$200,$G4)&gt;0,
    COUNTIFS($BK$2:$BK$200,$G4)&gt;0,
    COUNTIFS($BL$2:$BL$200,$G4)&gt;0,
    COUNTIFS($BM$2:$BM$200,$G4)&gt;0,
   ),
  0)
 ),
"")</f>
        <v>Fractius</v>
      </c>
      <c r="D4" s="2" t="str" cm="1">
        <f t="array" aca="1" ref="D4" ca="1">IFERROR(
 INDEX(
  _xlfn._xlws.FILTER($V$1:$AY$1,
   TRANSPOSE(
    CHOOSE({1;2;3;4;5;6;7;8;9;10;11;12;13;14;15;16;17;18;19;20;21;22;23;24;25;26;27;28;29;30},
     COUNTIFS($V$2:$V$200,$G4)&gt;0,
     COUNTIFS($W$2:$W$200,$G4)&gt;0,
     COUNTIFS($X$2:$X$200,$G4)&gt;0,
     COUNTIFS($Y$2:$Y$200,$G4)&gt;0,
     COUNTIFS($Z$2:$Z$200,$G4)&gt;0,
     COUNTIFS($AA$2:$AA$200,$G4)&gt;0,
     COUNTIFS($AB$2:$AB$200,$G4)&gt;0,
     COUNTIFS($AC$2:$AC$200,$G4)&gt;0,
     COUNTIFS($AD$2:$AD$200,$G4)&gt;0,
     COUNTIFS($AE$2:$AE$200,$G4)&gt;0,
     COUNTIFS($AF$2:$AF$200,$G4)&gt;0,
     COUNTIFS($AG$2:$AG$200,$G4)&gt;0,
     COUNTIFS($AH$2:$AH$200,$G4)&gt;0,
     COUNTIFS($AI$2:$AI$200,$G4)&gt;0,
     COUNTIFS($AJ$2:$AJ$200,$G4)&gt;0,
     COUNTIFS($AK$2:$AK$200,$G4)&gt;0,
     COUNTIFS($AL$2:$AL$200,$G4)&gt;0,
     COUNTIFS($AM$2:$AM$200,$G4)&gt;0,
     COUNTIFS($AN$2:$AN$200,$G4)&gt;0,
     COUNTIFS($AO$2:$AO$200,$G4)&gt;0,
     COUNTIFS($AP$2:$AP$200,$G4)&gt;0,
     COUNTIFS($AQ$2:$AQ$200,$G4)&gt;0,
     COUNTIFS($AR$2:$AR$200,$G4)&gt;0,
     COUNTIFS($AS$2:$AS$200,$G4)&gt;0,
     COUNTIFS($AT$2:$AT$200,$G4)&gt;0,
     COUNTIFS($AU$2:$AU$200,$G4)&gt;0,
     COUNTIFS($AV$2:$AV$200,$G4)&gt;0,
     COUNTIFS($AW$2:$AW$200,$G4)&gt;0,
     COUNTIFS($AX$2:$AX$200,$G4)&gt;0,
     COUNTIFS($AY$2:$AY$200,$G4)&gt;0
   )),
  ),
  2
 ),
"")</f>
        <v/>
      </c>
      <c r="E4" s="2" t="str" cm="1">
        <f t="array" aca="1" ref="E4" ca="1">IFERROR(
 INDEX(
  _xlfn._xlws.FILTER($V$1:$AY$1,
   TRANSPOSE(
    CHOOSE({1;2;3;4;5;6;7;8;9;10;11;12;13;14;15;16;17;18;19;20;21;22;23;24;25;26;27;28;29;30},
     COUNTIFS($V$2:$V$200,$G4)&gt;0,
     COUNTIFS($W$2:$W$200,$G4)&gt;0,
     COUNTIFS($X$2:$X$200,$G4)&gt;0,
     COUNTIFS($Y$2:$Y$200,$G4)&gt;0,
     COUNTIFS($Z$2:$Z$200,$G4)&gt;0,
     COUNTIFS($AA$2:$AA$200,$G4)&gt;0,
     COUNTIFS($AB$2:$AB$200,$G4)&gt;0,
     COUNTIFS($AC$2:$AC$200,$G4)&gt;0,
     COUNTIFS($AD$2:$AD$200,$G4)&gt;0,
     COUNTIFS($AE$2:$AE$200,$G4)&gt;0,
     COUNTIFS($AF$2:$AF$200,$G4)&gt;0,
     COUNTIFS($AG$2:$AG$200,$G4)&gt;0,
     COUNTIFS($AH$2:$AH$200,$G4)&gt;0,
     COUNTIFS($AI$2:$AI$200,$G4)&gt;0,
     COUNTIFS($AJ$2:$AJ$200,$G4)&gt;0,
     COUNTIFS($AK$2:$AK$200,$G4)&gt;0,
     COUNTIFS($AL$2:$AL$200,$G4)&gt;0,
     COUNTIFS($AM$2:$AM$200,$G4)&gt;0,
     COUNTIFS($AN$2:$AN$200,$G4)&gt;0,
     COUNTIFS($AO$2:$AO$200,$G4)&gt;0,
     COUNTIFS($AP$2:$AP$200,$G4)&gt;0,
     COUNTIFS($AQ$2:$AQ$200,$G4)&gt;0,
     COUNTIFS($AR$2:$AR$200,$G4)&gt;0,
     COUNTIFS($AS$2:$AS$200,$G4)&gt;0,
     COUNTIFS($AT$2:$AT$200,$G4)&gt;0,
     COUNTIFS($AU$2:$AU$200,$G4)&gt;0,
     COUNTIFS($AV$2:$AV$200,$G4)&gt;0,
     COUNTIFS($AW$2:$AW$200,$G4)&gt;0,
     COUNTIFS($AX$2:$AX$200,$G4)&gt;0,
     COUNTIFS($AY$2:$AY$200,$G4)&gt;0
   )),
  ),
  3
 ),
"")</f>
        <v/>
      </c>
      <c r="F4" s="2" t="str" cm="1">
        <f t="array" aca="1" ref="F4" ca="1">IFERROR(
 INDEX(
  _xlfn._xlws.FILTER($V$1:$AY$1,
   TRANSPOSE(
    CHOOSE({1;2;3;4;5;6;7;8;9;10;11;12;13;14;15;16;17;18;19;20;21;22;23;24;25;26;27;28;29;30},
     COUNTIFS($V$2:$V$200,$G4)&gt;0,
     COUNTIFS($W$2:$W$200,$G4)&gt;0,
     COUNTIFS($X$2:$X$200,$G4)&gt;0,
     COUNTIFS($Y$2:$Y$200,$G4)&gt;0,
     COUNTIFS($Z$2:$Z$200,$G4)&gt;0,
     COUNTIFS($AA$2:$AA$200,$G4)&gt;0,
     COUNTIFS($AB$2:$AB$200,$G4)&gt;0,
     COUNTIFS($AC$2:$AC$200,$G4)&gt;0,
     COUNTIFS($AD$2:$AD$200,$G4)&gt;0,
     COUNTIFS($AE$2:$AE$200,$G4)&gt;0,
     COUNTIFS($AF$2:$AF$200,$G4)&gt;0,
     COUNTIFS($AG$2:$AG$200,$G4)&gt;0,
     COUNTIFS($AH$2:$AH$200,$G4)&gt;0,
     COUNTIFS($AI$2:$AI$200,$G4)&gt;0,
     COUNTIFS($AJ$2:$AJ$200,$G4)&gt;0,
     COUNTIFS($AK$2:$AK$200,$G4)&gt;0,
     COUNTIFS($AL$2:$AL$200,$G4)&gt;0,
     COUNTIFS($AM$2:$AM$200,$G4)&gt;0,
     COUNTIFS($AN$2:$AN$200,$G4)&gt;0,
     COUNTIFS($AO$2:$AO$200,$G4)&gt;0,
     COUNTIFS($AP$2:$AP$200,$G4)&gt;0,
     COUNTIFS($AQ$2:$AQ$200,$G4)&gt;0,
     COUNTIFS($AR$2:$AR$200,$G4)&gt;0,
     COUNTIFS($AS$2:$AS$200,$G4)&gt;0,
     COUNTIFS($AT$2:$AT$200,$G4)&gt;0,
     COUNTIFS($AU$2:$AU$200,$G4)&gt;0,
     COUNTIFS($AV$2:$AV$200,$G4)&gt;0,
     COUNTIFS($AW$2:$AW$200,$G4)&gt;0,
     COUNTIFS($AX$2:$AX$200,$G4)&gt;0,
     COUNTIFS($AY$2:$AY$200,$G4)&gt;0
   )),
  ),
  4
 ),
"")</f>
        <v/>
      </c>
      <c r="G4" t="str">
        <f ca="1"/>
        <v>Abundant Countryside</v>
      </c>
      <c r="H4" s="2" t="s">
        <v>420</v>
      </c>
      <c r="L4" s="2" t="s">
        <v>2</v>
      </c>
      <c r="M4" s="2" t="s">
        <v>3</v>
      </c>
      <c r="N4" s="2" t="s">
        <v>3</v>
      </c>
      <c r="O4" s="2" t="s">
        <v>3</v>
      </c>
      <c r="P4" s="2" t="s">
        <v>3</v>
      </c>
      <c r="T4" s="2" t="str">
        <f t="shared" ref="T4:T25" si="3">IF(K4&lt;6,"1",IF(K4&lt;11,"2",IF(K4&lt;16,"3",IF(K4&lt;31,"4","5"))))</f>
        <v>1</v>
      </c>
      <c r="V4" t="str">
        <v>Glint-Horn Buccaneer</v>
      </c>
      <c r="W4" t="str">
        <v>Boros Charm</v>
      </c>
      <c r="X4" t="str">
        <v>Aligned Heart</v>
      </c>
      <c r="Y4" t="str">
        <v>Ba Sing Se</v>
      </c>
      <c r="Z4" t="str">
        <v>Enduring Innocence</v>
      </c>
      <c r="AA4" t="str">
        <v>Gallifrey Council Chamber</v>
      </c>
      <c r="AB4" t="str">
        <v>Harvest Season</v>
      </c>
      <c r="AC4" t="str">
        <v>Burgeoning</v>
      </c>
      <c r="AD4" t="str">
        <v>Kozilek, the Broken Reality</v>
      </c>
      <c r="AE4" t="str">
        <v>Delighted Halfling</v>
      </c>
      <c r="AF4" t="str">
        <v>Rings of Brighthearth</v>
      </c>
      <c r="AG4" t="str">
        <v>Avatar's Wrath</v>
      </c>
      <c r="AH4" t="str">
        <v>Faerie Slumber Party</v>
      </c>
      <c r="AI4" t="str">
        <v>Burnt Offering</v>
      </c>
      <c r="AJ4" t="str">
        <v>Final Showdown</v>
      </c>
      <c r="AK4" t="str">
        <v>Freyalise, Llanowar's Fury</v>
      </c>
      <c r="AM4" t="str">
        <v>Nissa, Resurgent Animist</v>
      </c>
      <c r="AN4" t="str">
        <v>Mistrise Village</v>
      </c>
      <c r="AO4" t="str">
        <v>Bonescythe Sliver</v>
      </c>
      <c r="AP4" t="str">
        <v>Careful Study</v>
      </c>
      <c r="AQ4" t="str">
        <v>Jidoor, Aristocratic Capital // Overture</v>
      </c>
      <c r="AR4" t="str">
        <v>Assassin's Trophy</v>
      </c>
      <c r="AS4" t="str">
        <v>Reflecting Pool</v>
      </c>
      <c r="AT4" t="str">
        <v>Illustrious Wanderglyph</v>
      </c>
      <c r="AU4" t="str">
        <v>Damping Sphere</v>
      </c>
      <c r="AX4" t="str">
        <v>Cankerbloom</v>
      </c>
      <c r="AY4" t="str">
        <v>Earthshape</v>
      </c>
      <c r="BE4" t="str">
        <v>Avatar's Wrath</v>
      </c>
      <c r="BI4" t="str">
        <v>Anim Pakal, Thousandth Moon</v>
      </c>
      <c r="BJ4" t="str">
        <v>Alesha, Who Smiles at Death</v>
      </c>
      <c r="BL4" t="str">
        <v>An Offer you Can't Refuse</v>
      </c>
      <c r="CI4" t="str">
        <f ca="1"/>
        <v>Back in Town</v>
      </c>
      <c r="CJ4" t="str">
        <f ca="1"/>
        <v>Aligned Heart</v>
      </c>
      <c r="CK4" t="str">
        <f ca="1"/>
        <v>Authority of the Consuls</v>
      </c>
      <c r="CL4" t="str">
        <f ca="1"/>
        <v>Burgeoning</v>
      </c>
      <c r="CM4" t="str">
        <f ca="1"/>
        <v>Crucible of Worlds</v>
      </c>
      <c r="CN4" t="str">
        <f ca="1"/>
        <v>Avatar's Wrath</v>
      </c>
      <c r="CO4" t="str">
        <f ca="1"/>
        <v>Burnt Offering</v>
      </c>
      <c r="CP4" t="str">
        <f ca="1"/>
        <v>Commodore Guff</v>
      </c>
      <c r="CQ4" t="str">
        <f ca="1"/>
        <v>Kinnan, Bonder Prodigy</v>
      </c>
      <c r="CR4" t="str">
        <f ca="1"/>
        <v>Basal Sliver</v>
      </c>
      <c r="CS4" t="str">
        <f ca="1"/>
        <v>Careful Study</v>
      </c>
      <c r="CT4" t="str">
        <f ca="1"/>
        <v>Assassin's Trophy</v>
      </c>
      <c r="CU4" t="str">
        <f ca="1"/>
        <v>Brigid, Clachan's Heart</v>
      </c>
      <c r="CV4" t="str">
        <f ca="1"/>
        <v>Monk Gyatso</v>
      </c>
      <c r="CW4" t="str">
        <f ca="1"/>
        <v>Birds of Paradise</v>
      </c>
      <c r="CZ4" t="str">
        <f ca="1"/>
        <v>Avatar's Wrath</v>
      </c>
      <c r="DB4" t="str">
        <f ca="1"/>
        <v>Anim Pakal, Thousandth Moon</v>
      </c>
      <c r="DC4" t="str">
        <f ca="1"/>
        <v>Alesha, Who Smiles at Death</v>
      </c>
      <c r="DD4" t="str">
        <f ca="1"/>
        <v>An Offer you Can't Refuse</v>
      </c>
      <c r="DP4" t="str">
        <f ca="1"/>
        <v>Aligned Heart</v>
      </c>
      <c r="DQ4" t="str">
        <f ca="1"/>
        <v>Ascend from Avernus</v>
      </c>
      <c r="DR4" t="str">
        <f ca="1"/>
        <v>Ancient Tomb</v>
      </c>
      <c r="DS4" t="str">
        <f ca="1"/>
        <v>Burnt Offering</v>
      </c>
      <c r="DT4" t="str">
        <f ca="1"/>
        <v>Alchemist's Refuge</v>
      </c>
      <c r="DU4" t="str">
        <f ca="1"/>
        <v>Artifact Mutation</v>
      </c>
      <c r="DV4" t="str">
        <f ca="1"/>
        <v>Bitterblossom</v>
      </c>
      <c r="DW4" t="str">
        <f ca="1"/>
        <v>Birds of Paradise</v>
      </c>
      <c r="DX4" t="str">
        <f ca="1"/>
        <v>Avatar's Wrath</v>
      </c>
      <c r="DY4" t="str">
        <f ca="1"/>
        <v>Anim Pakal, Thousandth Moon</v>
      </c>
      <c r="DZ4" t="str">
        <f ca="1"/>
        <v>Aetherize</v>
      </c>
      <c r="EG4" t="str">
        <f ca="1"/>
        <v>Adarkar Wastes</v>
      </c>
      <c r="EH4" t="str">
        <f ca="1"/>
        <v>Ancient Tomb</v>
      </c>
      <c r="EI4" t="str">
        <f ca="1"/>
        <v>Agna Qel'a</v>
      </c>
      <c r="EJ4" t="str">
        <f ca="1"/>
        <v>Alchemist's Refuge</v>
      </c>
      <c r="EK4" t="str">
        <f ca="1"/>
        <v>Anguished Unmaking</v>
      </c>
      <c r="EL4" t="str">
        <f ca="1"/>
        <v>Aetherize</v>
      </c>
      <c r="EP4" t="str">
        <f ca="1"/>
        <v>Adarkar Wastes</v>
      </c>
      <c r="EQ4" t="str">
        <f ca="1"/>
        <v>Accursed Marauder</v>
      </c>
      <c r="ER4" t="str">
        <f ca="1"/>
        <v>Adeline, Resplendent Cathar</v>
      </c>
      <c r="EU4" t="str">
        <f ca="1"/>
        <v>Access Tunnel</v>
      </c>
      <c r="EV4" t="str">
        <f ca="1"/>
        <v>Adeline, Resplendent Cathar</v>
      </c>
      <c r="EX4" t="str">
        <f ca="1"/>
        <v>Abundant Countryside</v>
      </c>
    </row>
    <row r="5" spans="1:154" x14ac:dyDescent="0.25">
      <c r="A5" s="2" t="str">
        <f t="shared" ca="1" si="1"/>
        <v>2</v>
      </c>
      <c r="B5" s="2">
        <f t="shared" ca="1" si="2"/>
        <v>1</v>
      </c>
      <c r="C5" s="2" t="str">
        <f ca="1">IFERROR(
 INDEX($V$1:$BL$1,
  MATCH(TRUE,
   CHOOSE({1;2;3;4;5;6;7;8;9;10;11;12;13;14;15;16;17;18;19;20;21;22;23;24;25;26;27;28;29;30;31;32;33;34;35;36;37;38;39;40;41;42;43},
    COUNTIFS($V$2:$V$200,$G5)&gt;0,
    COUNTIFS($W$2:$W$200,$G5)&gt;0,
    COUNTIFS($X$2:$X$200,$G5)&gt;0,
    COUNTIFS($Y$2:$Y$200,$G5)&gt;0,
    COUNTIFS($Z$2:$Z$200,$G5)&gt;0,
    COUNTIFS($AA$2:$AA$200,$G5)&gt;0,
    COUNTIFS($AB$2:$AB$200,$G5)&gt;0,
    COUNTIFS($AC$2:$AC$200,$G5)&gt;0,
    COUNTIFS($AD$2:$AD$200,$G5)&gt;0,
    COUNTIFS($AE$2:$AE$200,$G5)&gt;0,
    COUNTIFS($AF$2:$AF$200,$G5)&gt;0,
    COUNTIFS($AG$2:$AG$200,$G5)&gt;0,
    COUNTIFS($AH$2:$AH$200,$G5)&gt;0,
    COUNTIFS($AI$2:$AI$200,$G5)&gt;0,
    COUNTIFS($AJ$2:$AJ$200,$G5)&gt;0,
    COUNTIFS($AK$2:$AK$200,$G5)&gt;0,
    COUNTIFS($AL$2:$AL$200,$G5)&gt;0,
    COUNTIFS($AM$2:$AM$200,$G5)&gt;0,
    COUNTIFS($AN$2:$AN$200,$G5)&gt;0,
    COUNTIFS($AO$2:$AO$200,$G5)&gt;0,
    COUNTIFS($AP$2:$AP$200,$G5)&gt;0,
    COUNTIFS($AQ$2:$AQ$200,$G5)&gt;0,
    COUNTIFS($AR$2:$AR$200,$G5)&gt;0,
    COUNTIFS($AS$2:$AS$200,$G5)&gt;0,
    COUNTIFS($AT$2:$AT$200,$G5)&gt;0,
    COUNTIFS($AU$2:$AU$200,$G5)&gt;0,
    COUNTIFS($AV$2:$AV$200,$G5)&gt;0,
    COUNTIFS($AW$2:$AW$200,$G5)&gt;0,
    COUNTIFS($AX$2:$AX$200,$G5)&gt;0,
    COUNTIFS($AY$2:$AY$200,$G5)&gt;0,
    COUNTIFS($AZ$2:$AZ$200,$G5)&gt;0,
    COUNTIFS($BA$2:$BA$200,$G5)&gt;0,
    COUNTIFS($BB$2:$BB$200,$G5)&gt;0,
    COUNTIFS($BC$2:$BC$200,$G5)&gt;0,
    COUNTIFS($BD$2:$BD$200,$G5)&gt;0,
    COUNTIFS($BE$2:$BE$200,$G5)&gt;0,
    COUNTIFS($BF$2:$BF$200,$G5)&gt;0,
    COUNTIFS($BG$2:$BG$200,$G5)&gt;0,
    COUNTIFS($BH$2:$BH$200,$G5)&gt;0,
    COUNTIFS($BI$2:$BI$200,$G5)&gt;0,
    COUNTIFS($BJ$2:$BJ$200,$G5)&gt;0,
    COUNTIFS($BK$2:$BK$200,$G5)&gt;0,
    COUNTIFS($BL$2:$BL$200,$G5)&gt;0,
    COUNTIFS($BM$2:$BM$200,$G5)&gt;0,
   ),
  0)
 ),
"")</f>
        <v>Rani</v>
      </c>
      <c r="D5" s="2" t="str" cm="1">
        <f t="array" aca="1" ref="D5" ca="1">IFERROR(
 INDEX(
  _xlfn._xlws.FILTER($V$1:$AY$1,
   TRANSPOSE(
    CHOOSE({1;2;3;4;5;6;7;8;9;10;11;12;13;14;15;16;17;18;19;20;21;22;23;24;25;26;27;28;29;30},
     COUNTIFS($V$2:$V$200,$G5)&gt;0,
     COUNTIFS($W$2:$W$200,$G5)&gt;0,
     COUNTIFS($X$2:$X$200,$G5)&gt;0,
     COUNTIFS($Y$2:$Y$200,$G5)&gt;0,
     COUNTIFS($Z$2:$Z$200,$G5)&gt;0,
     COUNTIFS($AA$2:$AA$200,$G5)&gt;0,
     COUNTIFS($AB$2:$AB$200,$G5)&gt;0,
     COUNTIFS($AC$2:$AC$200,$G5)&gt;0,
     COUNTIFS($AD$2:$AD$200,$G5)&gt;0,
     COUNTIFS($AE$2:$AE$200,$G5)&gt;0,
     COUNTIFS($AF$2:$AF$200,$G5)&gt;0,
     COUNTIFS($AG$2:$AG$200,$G5)&gt;0,
     COUNTIFS($AH$2:$AH$200,$G5)&gt;0,
     COUNTIFS($AI$2:$AI$200,$G5)&gt;0,
     COUNTIFS($AJ$2:$AJ$200,$G5)&gt;0,
     COUNTIFS($AK$2:$AK$200,$G5)&gt;0,
     COUNTIFS($AL$2:$AL$200,$G5)&gt;0,
     COUNTIFS($AM$2:$AM$200,$G5)&gt;0,
     COUNTIFS($AN$2:$AN$200,$G5)&gt;0,
     COUNTIFS($AO$2:$AO$200,$G5)&gt;0,
     COUNTIFS($AP$2:$AP$200,$G5)&gt;0,
     COUNTIFS($AQ$2:$AQ$200,$G5)&gt;0,
     COUNTIFS($AR$2:$AR$200,$G5)&gt;0,
     COUNTIFS($AS$2:$AS$200,$G5)&gt;0,
     COUNTIFS($AT$2:$AT$200,$G5)&gt;0,
     COUNTIFS($AU$2:$AU$200,$G5)&gt;0,
     COUNTIFS($AV$2:$AV$200,$G5)&gt;0,
     COUNTIFS($AW$2:$AW$200,$G5)&gt;0,
     COUNTIFS($AX$2:$AX$200,$G5)&gt;0,
     COUNTIFS($AY$2:$AY$200,$G5)&gt;0
   )),
  ),
  2
 ),
"")</f>
        <v/>
      </c>
      <c r="E5" s="2" t="str" cm="1">
        <f t="array" aca="1" ref="E5" ca="1">IFERROR(
 INDEX(
  _xlfn._xlws.FILTER($V$1:$AY$1,
   TRANSPOSE(
    CHOOSE({1;2;3;4;5;6;7;8;9;10;11;12;13;14;15;16;17;18;19;20;21;22;23;24;25;26;27;28;29;30},
     COUNTIFS($V$2:$V$200,$G5)&gt;0,
     COUNTIFS($W$2:$W$200,$G5)&gt;0,
     COUNTIFS($X$2:$X$200,$G5)&gt;0,
     COUNTIFS($Y$2:$Y$200,$G5)&gt;0,
     COUNTIFS($Z$2:$Z$200,$G5)&gt;0,
     COUNTIFS($AA$2:$AA$200,$G5)&gt;0,
     COUNTIFS($AB$2:$AB$200,$G5)&gt;0,
     COUNTIFS($AC$2:$AC$200,$G5)&gt;0,
     COUNTIFS($AD$2:$AD$200,$G5)&gt;0,
     COUNTIFS($AE$2:$AE$200,$G5)&gt;0,
     COUNTIFS($AF$2:$AF$200,$G5)&gt;0,
     COUNTIFS($AG$2:$AG$200,$G5)&gt;0,
     COUNTIFS($AH$2:$AH$200,$G5)&gt;0,
     COUNTIFS($AI$2:$AI$200,$G5)&gt;0,
     COUNTIFS($AJ$2:$AJ$200,$G5)&gt;0,
     COUNTIFS($AK$2:$AK$200,$G5)&gt;0,
     COUNTIFS($AL$2:$AL$200,$G5)&gt;0,
     COUNTIFS($AM$2:$AM$200,$G5)&gt;0,
     COUNTIFS($AN$2:$AN$200,$G5)&gt;0,
     COUNTIFS($AO$2:$AO$200,$G5)&gt;0,
     COUNTIFS($AP$2:$AP$200,$G5)&gt;0,
     COUNTIFS($AQ$2:$AQ$200,$G5)&gt;0,
     COUNTIFS($AR$2:$AR$200,$G5)&gt;0,
     COUNTIFS($AS$2:$AS$200,$G5)&gt;0,
     COUNTIFS($AT$2:$AT$200,$G5)&gt;0,
     COUNTIFS($AU$2:$AU$200,$G5)&gt;0,
     COUNTIFS($AV$2:$AV$200,$G5)&gt;0,
     COUNTIFS($AW$2:$AW$200,$G5)&gt;0,
     COUNTIFS($AX$2:$AX$200,$G5)&gt;0,
     COUNTIFS($AY$2:$AY$200,$G5)&gt;0
   )),
  ),
  3
 ),
"")</f>
        <v/>
      </c>
      <c r="F5" s="2" t="str" cm="1">
        <f t="array" aca="1" ref="F5" ca="1">IFERROR(
 INDEX(
  _xlfn._xlws.FILTER($V$1:$AY$1,
   TRANSPOSE(
    CHOOSE({1;2;3;4;5;6;7;8;9;10;11;12;13;14;15;16;17;18;19;20;21;22;23;24;25;26;27;28;29;30},
     COUNTIFS($V$2:$V$200,$G5)&gt;0,
     COUNTIFS($W$2:$W$200,$G5)&gt;0,
     COUNTIFS($X$2:$X$200,$G5)&gt;0,
     COUNTIFS($Y$2:$Y$200,$G5)&gt;0,
     COUNTIFS($Z$2:$Z$200,$G5)&gt;0,
     COUNTIFS($AA$2:$AA$200,$G5)&gt;0,
     COUNTIFS($AB$2:$AB$200,$G5)&gt;0,
     COUNTIFS($AC$2:$AC$200,$G5)&gt;0,
     COUNTIFS($AD$2:$AD$200,$G5)&gt;0,
     COUNTIFS($AE$2:$AE$200,$G5)&gt;0,
     COUNTIFS($AF$2:$AF$200,$G5)&gt;0,
     COUNTIFS($AG$2:$AG$200,$G5)&gt;0,
     COUNTIFS($AH$2:$AH$200,$G5)&gt;0,
     COUNTIFS($AI$2:$AI$200,$G5)&gt;0,
     COUNTIFS($AJ$2:$AJ$200,$G5)&gt;0,
     COUNTIFS($AK$2:$AK$200,$G5)&gt;0,
     COUNTIFS($AL$2:$AL$200,$G5)&gt;0,
     COUNTIFS($AM$2:$AM$200,$G5)&gt;0,
     COUNTIFS($AN$2:$AN$200,$G5)&gt;0,
     COUNTIFS($AO$2:$AO$200,$G5)&gt;0,
     COUNTIFS($AP$2:$AP$200,$G5)&gt;0,
     COUNTIFS($AQ$2:$AQ$200,$G5)&gt;0,
     COUNTIFS($AR$2:$AR$200,$G5)&gt;0,
     COUNTIFS($AS$2:$AS$200,$G5)&gt;0,
     COUNTIFS($AT$2:$AT$200,$G5)&gt;0,
     COUNTIFS($AU$2:$AU$200,$G5)&gt;0,
     COUNTIFS($AV$2:$AV$200,$G5)&gt;0,
     COUNTIFS($AW$2:$AW$200,$G5)&gt;0,
     COUNTIFS($AX$2:$AX$200,$G5)&gt;0,
     COUNTIFS($AY$2:$AY$200,$G5)&gt;0
   )),
  ),
  4
 ),
"")</f>
        <v/>
      </c>
      <c r="G5" t="str">
        <f ca="1"/>
        <v>Access Tunnel</v>
      </c>
      <c r="H5" s="2" t="s">
        <v>421</v>
      </c>
      <c r="J5" t="s">
        <v>43</v>
      </c>
      <c r="K5" s="2">
        <f>[1]Muzzio!G2</f>
        <v>7</v>
      </c>
      <c r="L5" s="2" t="s">
        <v>3</v>
      </c>
      <c r="M5" s="2" t="s">
        <v>2</v>
      </c>
      <c r="N5" s="2" t="s">
        <v>3</v>
      </c>
      <c r="O5" s="2" t="s">
        <v>3</v>
      </c>
      <c r="P5" s="2" t="s">
        <v>3</v>
      </c>
      <c r="Q5" s="2" t="s">
        <v>7</v>
      </c>
      <c r="R5" s="3" t="s">
        <v>38</v>
      </c>
      <c r="S5" s="2" t="s">
        <v>29</v>
      </c>
      <c r="T5" s="2" t="str">
        <f t="shared" si="3"/>
        <v>2</v>
      </c>
      <c r="V5" t="str">
        <v>Mines of Moria</v>
      </c>
      <c r="W5" t="str">
        <v>Brushland</v>
      </c>
      <c r="X5" t="str">
        <v>Brass's Tunnel-Grinder</v>
      </c>
      <c r="Y5" t="str">
        <v>Brushland</v>
      </c>
      <c r="Z5" t="str">
        <v>Giver of Runes</v>
      </c>
      <c r="AA5" t="str">
        <v>Ghoulish Impetus</v>
      </c>
      <c r="AB5" t="str">
        <v>Lord of Atlantis</v>
      </c>
      <c r="AC5" t="str">
        <v>Forsaken Miner</v>
      </c>
      <c r="AD5" t="str">
        <v>Mistrise Village</v>
      </c>
      <c r="AE5" t="str">
        <v>Entomb</v>
      </c>
      <c r="AF5" t="str">
        <v>Sonic Screwdriver</v>
      </c>
      <c r="AG5" t="str">
        <v>Glen Elendra's Answer</v>
      </c>
      <c r="AH5" t="str">
        <v>Keen Duelist</v>
      </c>
      <c r="AI5" t="str">
        <v>Disruptor of Currents</v>
      </c>
      <c r="AJ5" t="str">
        <v>Firebender Ascension</v>
      </c>
      <c r="AK5" t="str">
        <v>Kaya the Inexorable</v>
      </c>
      <c r="AM5" t="str">
        <v>Three Tree City</v>
      </c>
      <c r="AN5" t="str">
        <v>Ulamog, the Defiler</v>
      </c>
      <c r="AO5" t="str">
        <v>Breeding Pool</v>
      </c>
      <c r="AP5" t="str">
        <v>Collector's Vault</v>
      </c>
      <c r="AQ5" t="str">
        <v>Katara's Reversal</v>
      </c>
      <c r="AR5" t="str">
        <v>Beast Within</v>
      </c>
      <c r="AT5" t="str">
        <v>Scattered Groves</v>
      </c>
      <c r="AU5" t="str">
        <v>Kambal, Profiteering Mayor</v>
      </c>
      <c r="AX5" t="str">
        <v>Cauldron of Souls</v>
      </c>
      <c r="AY5" t="str">
        <v>Fabled Passage</v>
      </c>
      <c r="BE5" t="str">
        <v>Charming Prince</v>
      </c>
      <c r="BI5" t="str">
        <v>Avatar's Wrath</v>
      </c>
      <c r="BJ5" t="str">
        <v>Anim Pakal, Thousandth Moon</v>
      </c>
      <c r="BL5" t="str">
        <v>Archdruid's Charm</v>
      </c>
      <c r="CI5" t="str">
        <f ca="1"/>
        <v>Boros Charm</v>
      </c>
      <c r="CJ5" t="str">
        <f ca="1"/>
        <v>Arwen, Weaver of Hope</v>
      </c>
      <c r="CK5" t="str">
        <f ca="1"/>
        <v>Bothersome Quasit</v>
      </c>
      <c r="CL5" t="str">
        <f ca="1"/>
        <v>Champions of the Shoal</v>
      </c>
      <c r="CM5" t="str">
        <f ca="1"/>
        <v>Delighted Halfling</v>
      </c>
      <c r="CN5" t="str">
        <f ca="1"/>
        <v>Glen Elendra's Answer</v>
      </c>
      <c r="CO5" t="str">
        <f ca="1"/>
        <v>Creeping Tar Pit</v>
      </c>
      <c r="CP5" t="str">
        <f ca="1"/>
        <v>Elspeth, Sun's Champion</v>
      </c>
      <c r="CQ5" t="str">
        <f ca="1"/>
        <v>Nissa, Resurgent Animist</v>
      </c>
      <c r="CR5" t="str">
        <f ca="1"/>
        <v>Bonescythe Sliver</v>
      </c>
      <c r="CS5" t="str">
        <f ca="1"/>
        <v>Collector's Vault</v>
      </c>
      <c r="CT5" t="str">
        <f ca="1"/>
        <v>Beast Within</v>
      </c>
      <c r="CU5" t="str">
        <f ca="1"/>
        <v>Damping Sphere</v>
      </c>
      <c r="CW5" t="str">
        <f ca="1"/>
        <v>Cankerbloom</v>
      </c>
      <c r="CZ5" t="str">
        <f ca="1"/>
        <v>Charming Prince</v>
      </c>
      <c r="DB5" t="str">
        <f ca="1"/>
        <v>Avatar's Wrath</v>
      </c>
      <c r="DC5" t="str">
        <f ca="1"/>
        <v>Anim Pakal, Thousandth Moon</v>
      </c>
      <c r="DD5" t="str">
        <f ca="1"/>
        <v>Archdruid's Charm</v>
      </c>
      <c r="DP5" t="str">
        <f ca="1"/>
        <v>Artifact Mutation</v>
      </c>
      <c r="DQ5" t="str">
        <f ca="1"/>
        <v>Authority of the Consuls</v>
      </c>
      <c r="DR5" t="str">
        <f ca="1"/>
        <v>Arid Mesa</v>
      </c>
      <c r="DS5" t="str">
        <f ca="1"/>
        <v>Cid, Freeflier Pilot</v>
      </c>
      <c r="DT5" t="str">
        <f ca="1"/>
        <v>Basal Sliver</v>
      </c>
      <c r="DU5" t="str">
        <f ca="1"/>
        <v>Assassin's Trophy</v>
      </c>
      <c r="DV5" t="str">
        <f ca="1"/>
        <v>Brigid, Clachan's Heart</v>
      </c>
      <c r="DW5" t="str">
        <f ca="1"/>
        <v>Cankerbloom</v>
      </c>
      <c r="DX5" t="str">
        <f ca="1"/>
        <v>Charming Prince</v>
      </c>
      <c r="DY5" t="str">
        <f ca="1"/>
        <v>Avatar's Wrath</v>
      </c>
      <c r="DZ5" t="str">
        <f ca="1"/>
        <v>Ainok Strike Leader</v>
      </c>
      <c r="EG5" t="str">
        <f ca="1"/>
        <v>Aligned Heart</v>
      </c>
      <c r="EH5" t="str">
        <f ca="1"/>
        <v>Arcane Lighthouse</v>
      </c>
      <c r="EI5" t="str">
        <f ca="1"/>
        <v>Alchemist's Refuge</v>
      </c>
      <c r="EJ5" t="str">
        <f ca="1"/>
        <v>Ammit Eternal</v>
      </c>
      <c r="EK5" t="str">
        <f ca="1"/>
        <v>Anim Pakal, Thousandth Moon</v>
      </c>
      <c r="EL5" t="str">
        <f ca="1"/>
        <v>Ainok Strike Leader</v>
      </c>
      <c r="EP5" t="str">
        <f ca="1"/>
        <v>Agna Qel'a</v>
      </c>
      <c r="EQ5" t="str">
        <f ca="1"/>
        <v>Adagia, Windswept Bastion</v>
      </c>
      <c r="ER5" t="str">
        <f ca="1"/>
        <v>Aetherize</v>
      </c>
      <c r="EU5" t="str">
        <f ca="1"/>
        <v>Accursed Marauder</v>
      </c>
      <c r="EV5" t="str">
        <f ca="1"/>
        <v>Aetherize</v>
      </c>
      <c r="EX5" t="str">
        <f ca="1"/>
        <v>Access Tunnel</v>
      </c>
    </row>
    <row r="6" spans="1:154" x14ac:dyDescent="0.25">
      <c r="A6" s="2" t="str">
        <f t="shared" ca="1" si="1"/>
        <v>4</v>
      </c>
      <c r="B6" s="2">
        <f t="shared" ca="1" si="2"/>
        <v>1</v>
      </c>
      <c r="C6" s="2" t="str">
        <f ca="1">IFERROR(
 INDEX($V$1:$BL$1,
  MATCH(TRUE,
   CHOOSE({1;2;3;4;5;6;7;8;9;10;11;12;13;14;15;16;17;18;19;20;21;22;23;24;25;26;27;28;29;30;31;32;33;34;35;36;37;38;39;40;41;42;43},
    COUNTIFS($V$2:$V$200,$G6)&gt;0,
    COUNTIFS($W$2:$W$200,$G6)&gt;0,
    COUNTIFS($X$2:$X$200,$G6)&gt;0,
    COUNTIFS($Y$2:$Y$200,$G6)&gt;0,
    COUNTIFS($Z$2:$Z$200,$G6)&gt;0,
    COUNTIFS($AA$2:$AA$200,$G6)&gt;0,
    COUNTIFS($AB$2:$AB$200,$G6)&gt;0,
    COUNTIFS($AC$2:$AC$200,$G6)&gt;0,
    COUNTIFS($AD$2:$AD$200,$G6)&gt;0,
    COUNTIFS($AE$2:$AE$200,$G6)&gt;0,
    COUNTIFS($AF$2:$AF$200,$G6)&gt;0,
    COUNTIFS($AG$2:$AG$200,$G6)&gt;0,
    COUNTIFS($AH$2:$AH$200,$G6)&gt;0,
    COUNTIFS($AI$2:$AI$200,$G6)&gt;0,
    COUNTIFS($AJ$2:$AJ$200,$G6)&gt;0,
    COUNTIFS($AK$2:$AK$200,$G6)&gt;0,
    COUNTIFS($AL$2:$AL$200,$G6)&gt;0,
    COUNTIFS($AM$2:$AM$200,$G6)&gt;0,
    COUNTIFS($AN$2:$AN$200,$G6)&gt;0,
    COUNTIFS($AO$2:$AO$200,$G6)&gt;0,
    COUNTIFS($AP$2:$AP$200,$G6)&gt;0,
    COUNTIFS($AQ$2:$AQ$200,$G6)&gt;0,
    COUNTIFS($AR$2:$AR$200,$G6)&gt;0,
    COUNTIFS($AS$2:$AS$200,$G6)&gt;0,
    COUNTIFS($AT$2:$AT$200,$G6)&gt;0,
    COUNTIFS($AU$2:$AU$200,$G6)&gt;0,
    COUNTIFS($AV$2:$AV$200,$G6)&gt;0,
    COUNTIFS($AW$2:$AW$200,$G6)&gt;0,
    COUNTIFS($AX$2:$AX$200,$G6)&gt;0,
    COUNTIFS($AY$2:$AY$200,$G6)&gt;0,
    COUNTIFS($AZ$2:$AZ$200,$G6)&gt;0,
    COUNTIFS($BA$2:$BA$200,$G6)&gt;0,
    COUNTIFS($BB$2:$BB$200,$G6)&gt;0,
    COUNTIFS($BC$2:$BC$200,$G6)&gt;0,
    COUNTIFS($BD$2:$BD$200,$G6)&gt;0,
    COUNTIFS($BE$2:$BE$200,$G6)&gt;0,
    COUNTIFS($BF$2:$BF$200,$G6)&gt;0,
    COUNTIFS($BG$2:$BG$200,$G6)&gt;0,
    COUNTIFS($BH$2:$BH$200,$G6)&gt;0,
    COUNTIFS($BI$2:$BI$200,$G6)&gt;0,
    COUNTIFS($BJ$2:$BJ$200,$G6)&gt;0,
    COUNTIFS($BK$2:$BK$200,$G6)&gt;0,
    COUNTIFS($BL$2:$BL$200,$G6)&gt;0,
    COUNTIFS($BM$2:$BM$200,$G6)&gt;0,
   ),
  0)
 ),
"")</f>
        <v>Kresh</v>
      </c>
      <c r="D6" s="2" t="str" cm="1">
        <f t="array" aca="1" ref="D6" ca="1">IFERROR(
 INDEX(
  _xlfn._xlws.FILTER($V$1:$AY$1,
   TRANSPOSE(
    CHOOSE({1;2;3;4;5;6;7;8;9;10;11;12;13;14;15;16;17;18;19;20;21;22;23;24;25;26;27;28;29;30},
     COUNTIFS($V$2:$V$200,$G6)&gt;0,
     COUNTIFS($W$2:$W$200,$G6)&gt;0,
     COUNTIFS($X$2:$X$200,$G6)&gt;0,
     COUNTIFS($Y$2:$Y$200,$G6)&gt;0,
     COUNTIFS($Z$2:$Z$200,$G6)&gt;0,
     COUNTIFS($AA$2:$AA$200,$G6)&gt;0,
     COUNTIFS($AB$2:$AB$200,$G6)&gt;0,
     COUNTIFS($AC$2:$AC$200,$G6)&gt;0,
     COUNTIFS($AD$2:$AD$200,$G6)&gt;0,
     COUNTIFS($AE$2:$AE$200,$G6)&gt;0,
     COUNTIFS($AF$2:$AF$200,$G6)&gt;0,
     COUNTIFS($AG$2:$AG$200,$G6)&gt;0,
     COUNTIFS($AH$2:$AH$200,$G6)&gt;0,
     COUNTIFS($AI$2:$AI$200,$G6)&gt;0,
     COUNTIFS($AJ$2:$AJ$200,$G6)&gt;0,
     COUNTIFS($AK$2:$AK$200,$G6)&gt;0,
     COUNTIFS($AL$2:$AL$200,$G6)&gt;0,
     COUNTIFS($AM$2:$AM$200,$G6)&gt;0,
     COUNTIFS($AN$2:$AN$200,$G6)&gt;0,
     COUNTIFS($AO$2:$AO$200,$G6)&gt;0,
     COUNTIFS($AP$2:$AP$200,$G6)&gt;0,
     COUNTIFS($AQ$2:$AQ$200,$G6)&gt;0,
     COUNTIFS($AR$2:$AR$200,$G6)&gt;0,
     COUNTIFS($AS$2:$AS$200,$G6)&gt;0,
     COUNTIFS($AT$2:$AT$200,$G6)&gt;0,
     COUNTIFS($AU$2:$AU$200,$G6)&gt;0,
     COUNTIFS($AV$2:$AV$200,$G6)&gt;0,
     COUNTIFS($AW$2:$AW$200,$G6)&gt;0,
     COUNTIFS($AX$2:$AX$200,$G6)&gt;0,
     COUNTIFS($AY$2:$AY$200,$G6)&gt;0
   )),
  ),
  2
 ),
"")</f>
        <v/>
      </c>
      <c r="E6" s="2" t="str" cm="1">
        <f t="array" aca="1" ref="E6" ca="1">IFERROR(
 INDEX(
  _xlfn._xlws.FILTER($V$1:$AY$1,
   TRANSPOSE(
    CHOOSE({1;2;3;4;5;6;7;8;9;10;11;12;13;14;15;16;17;18;19;20;21;22;23;24;25;26;27;28;29;30},
     COUNTIFS($V$2:$V$200,$G6)&gt;0,
     COUNTIFS($W$2:$W$200,$G6)&gt;0,
     COUNTIFS($X$2:$X$200,$G6)&gt;0,
     COUNTIFS($Y$2:$Y$200,$G6)&gt;0,
     COUNTIFS($Z$2:$Z$200,$G6)&gt;0,
     COUNTIFS($AA$2:$AA$200,$G6)&gt;0,
     COUNTIFS($AB$2:$AB$200,$G6)&gt;0,
     COUNTIFS($AC$2:$AC$200,$G6)&gt;0,
     COUNTIFS($AD$2:$AD$200,$G6)&gt;0,
     COUNTIFS($AE$2:$AE$200,$G6)&gt;0,
     COUNTIFS($AF$2:$AF$200,$G6)&gt;0,
     COUNTIFS($AG$2:$AG$200,$G6)&gt;0,
     COUNTIFS($AH$2:$AH$200,$G6)&gt;0,
     COUNTIFS($AI$2:$AI$200,$G6)&gt;0,
     COUNTIFS($AJ$2:$AJ$200,$G6)&gt;0,
     COUNTIFS($AK$2:$AK$200,$G6)&gt;0,
     COUNTIFS($AL$2:$AL$200,$G6)&gt;0,
     COUNTIFS($AM$2:$AM$200,$G6)&gt;0,
     COUNTIFS($AN$2:$AN$200,$G6)&gt;0,
     COUNTIFS($AO$2:$AO$200,$G6)&gt;0,
     COUNTIFS($AP$2:$AP$200,$G6)&gt;0,
     COUNTIFS($AQ$2:$AQ$200,$G6)&gt;0,
     COUNTIFS($AR$2:$AR$200,$G6)&gt;0,
     COUNTIFS($AS$2:$AS$200,$G6)&gt;0,
     COUNTIFS($AT$2:$AT$200,$G6)&gt;0,
     COUNTIFS($AU$2:$AU$200,$G6)&gt;0,
     COUNTIFS($AV$2:$AV$200,$G6)&gt;0,
     COUNTIFS($AW$2:$AW$200,$G6)&gt;0,
     COUNTIFS($AX$2:$AX$200,$G6)&gt;0,
     COUNTIFS($AY$2:$AY$200,$G6)&gt;0
   )),
  ),
  3
 ),
"")</f>
        <v/>
      </c>
      <c r="F6" s="2" t="str" cm="1">
        <f t="array" aca="1" ref="F6" ca="1">IFERROR(
 INDEX(
  _xlfn._xlws.FILTER($V$1:$AY$1,
   TRANSPOSE(
    CHOOSE({1;2;3;4;5;6;7;8;9;10;11;12;13;14;15;16;17;18;19;20;21;22;23;24;25;26;27;28;29;30},
     COUNTIFS($V$2:$V$200,$G6)&gt;0,
     COUNTIFS($W$2:$W$200,$G6)&gt;0,
     COUNTIFS($X$2:$X$200,$G6)&gt;0,
     COUNTIFS($Y$2:$Y$200,$G6)&gt;0,
     COUNTIFS($Z$2:$Z$200,$G6)&gt;0,
     COUNTIFS($AA$2:$AA$200,$G6)&gt;0,
     COUNTIFS($AB$2:$AB$200,$G6)&gt;0,
     COUNTIFS($AC$2:$AC$200,$G6)&gt;0,
     COUNTIFS($AD$2:$AD$200,$G6)&gt;0,
     COUNTIFS($AE$2:$AE$200,$G6)&gt;0,
     COUNTIFS($AF$2:$AF$200,$G6)&gt;0,
     COUNTIFS($AG$2:$AG$200,$G6)&gt;0,
     COUNTIFS($AH$2:$AH$200,$G6)&gt;0,
     COUNTIFS($AI$2:$AI$200,$G6)&gt;0,
     COUNTIFS($AJ$2:$AJ$200,$G6)&gt;0,
     COUNTIFS($AK$2:$AK$200,$G6)&gt;0,
     COUNTIFS($AL$2:$AL$200,$G6)&gt;0,
     COUNTIFS($AM$2:$AM$200,$G6)&gt;0,
     COUNTIFS($AN$2:$AN$200,$G6)&gt;0,
     COUNTIFS($AO$2:$AO$200,$G6)&gt;0,
     COUNTIFS($AP$2:$AP$200,$G6)&gt;0,
     COUNTIFS($AQ$2:$AQ$200,$G6)&gt;0,
     COUNTIFS($AR$2:$AR$200,$G6)&gt;0,
     COUNTIFS($AS$2:$AS$200,$G6)&gt;0,
     COUNTIFS($AT$2:$AT$200,$G6)&gt;0,
     COUNTIFS($AU$2:$AU$200,$G6)&gt;0,
     COUNTIFS($AV$2:$AV$200,$G6)&gt;0,
     COUNTIFS($AW$2:$AW$200,$G6)&gt;0,
     COUNTIFS($AX$2:$AX$200,$G6)&gt;0,
     COUNTIFS($AY$2:$AY$200,$G6)&gt;0
   )),
  ),
  4
 ),
"")</f>
        <v/>
      </c>
      <c r="G6" t="str">
        <f ca="1"/>
        <v>Accursed Marauder</v>
      </c>
      <c r="H6" s="2" t="s">
        <v>422</v>
      </c>
      <c r="L6" s="2" t="s">
        <v>3</v>
      </c>
      <c r="M6" s="2" t="s">
        <v>3</v>
      </c>
      <c r="N6" s="2" t="s">
        <v>2</v>
      </c>
      <c r="O6" s="2" t="s">
        <v>3</v>
      </c>
      <c r="P6" s="2" t="s">
        <v>3</v>
      </c>
      <c r="T6" s="2" t="str">
        <f t="shared" si="3"/>
        <v>1</v>
      </c>
      <c r="V6" t="str">
        <v>Reliquary Tower</v>
      </c>
      <c r="W6" t="str">
        <v>Castle Ardenvale</v>
      </c>
      <c r="X6" t="str">
        <v>Enterprising Scallywag</v>
      </c>
      <c r="Y6" t="str">
        <v>Caves of Koilos</v>
      </c>
      <c r="Z6" t="str">
        <v>Guide of Souls</v>
      </c>
      <c r="AA6" t="str">
        <v>Life of the Party</v>
      </c>
      <c r="AB6" t="str">
        <v>Merrow Commerce</v>
      </c>
      <c r="AC6" t="str">
        <v>Misty Rainforest</v>
      </c>
      <c r="AD6" t="str">
        <v>Mox Tantalite</v>
      </c>
      <c r="AE6" t="str">
        <v>Petrified Field</v>
      </c>
      <c r="AF6" t="str">
        <v>The Enigma Jewel</v>
      </c>
      <c r="AG6" t="str">
        <v>Luxury Suite</v>
      </c>
      <c r="AH6" t="str">
        <v>Morphic Pool</v>
      </c>
      <c r="AI6" t="str">
        <v>Gathering Stone</v>
      </c>
      <c r="AJ6" t="str">
        <v>Inventory Management</v>
      </c>
      <c r="AK6" t="str">
        <v>Lolth, Spider Queen</v>
      </c>
      <c r="AM6" t="str">
        <v>Waterbender's Restoration</v>
      </c>
      <c r="AN6" t="str">
        <v>Valfenda</v>
      </c>
      <c r="AO6" t="str">
        <v>Brood Sliver</v>
      </c>
      <c r="AP6" t="str">
        <v>Sink into Stupor</v>
      </c>
      <c r="AQ6" t="str">
        <v>Sonic Screwdriver</v>
      </c>
      <c r="AR6" t="str">
        <v>Beifong's Bounty Hunters</v>
      </c>
      <c r="AT6" t="str">
        <v>Springleaf Parade</v>
      </c>
      <c r="AU6" t="str">
        <v>Mirror Pool</v>
      </c>
      <c r="AX6" t="str">
        <v>Cinder Strike</v>
      </c>
      <c r="AY6" t="str">
        <v>Filigree Vector</v>
      </c>
      <c r="BE6" t="str">
        <v>Counterspell</v>
      </c>
      <c r="BI6" t="str">
        <v>Billiard Room</v>
      </c>
      <c r="BJ6" t="str">
        <v>Annie Joins Up</v>
      </c>
      <c r="BL6" t="str">
        <v>Assassin's Trophy</v>
      </c>
      <c r="CI6" t="str">
        <f ca="1"/>
        <v>Broadside Bombardiers</v>
      </c>
      <c r="CJ6" t="str">
        <f ca="1"/>
        <v>Ba Sing Se</v>
      </c>
      <c r="CK6" t="str">
        <f ca="1"/>
        <v>Enduring Innocence</v>
      </c>
      <c r="CL6" t="str">
        <f ca="1"/>
        <v>Eclipsed Realms</v>
      </c>
      <c r="CM6" t="str">
        <f ca="1"/>
        <v>Emrakul, the World Anew</v>
      </c>
      <c r="CN6" t="str">
        <f ca="1"/>
        <v>Inventors' Fair</v>
      </c>
      <c r="CO6" t="str">
        <f ca="1"/>
        <v>Disruptor of Currents</v>
      </c>
      <c r="CP6" t="str">
        <f ca="1"/>
        <v>Final Showdown</v>
      </c>
      <c r="CQ6" t="str">
        <f ca="1"/>
        <v>Obsidian Obelisk</v>
      </c>
      <c r="CR6" t="str">
        <f ca="1"/>
        <v>Breeding Pool</v>
      </c>
      <c r="CS6" t="str">
        <f ca="1"/>
        <v>Glen Elendra's Answer</v>
      </c>
      <c r="CT6" t="str">
        <f ca="1"/>
        <v>Beifong's Bounty Hunters</v>
      </c>
      <c r="CU6" t="str">
        <f ca="1"/>
        <v>Dollmaker's Shop // Porcelain Gallery</v>
      </c>
      <c r="CW6" t="str">
        <f ca="1"/>
        <v>Cauldron of Souls</v>
      </c>
      <c r="CZ6" t="str">
        <f ca="1"/>
        <v>Counterspell</v>
      </c>
      <c r="DB6" t="str">
        <f ca="1"/>
        <v>Billiard Room</v>
      </c>
      <c r="DC6" t="str">
        <f ca="1"/>
        <v>Annie Joins Up</v>
      </c>
      <c r="DD6" t="str">
        <f ca="1"/>
        <v>Assassin's Trophy</v>
      </c>
      <c r="DP6" t="str">
        <f ca="1"/>
        <v>Arwen, Weaver of Hope</v>
      </c>
      <c r="DQ6" t="str">
        <f ca="1"/>
        <v>Bitterbloom Bearer</v>
      </c>
      <c r="DR6" t="str">
        <f ca="1"/>
        <v>Avatar's Wrath</v>
      </c>
      <c r="DS6" t="str">
        <f ca="1"/>
        <v>Cloud, Midgar Mercenary</v>
      </c>
      <c r="DT6" t="str">
        <f ca="1"/>
        <v>Bonescythe Sliver</v>
      </c>
      <c r="DU6" t="str">
        <f ca="1"/>
        <v>Baral, Chief of Compliance</v>
      </c>
      <c r="DV6" t="str">
        <f ca="1"/>
        <v>Damping Sphere</v>
      </c>
      <c r="DW6" t="str">
        <f ca="1"/>
        <v>Cauldron of Souls</v>
      </c>
      <c r="DX6" t="str">
        <f ca="1"/>
        <v>Counterspell</v>
      </c>
      <c r="DY6" t="str">
        <f ca="1"/>
        <v>Billiard Room</v>
      </c>
      <c r="DZ6" t="str">
        <f ca="1"/>
        <v>Alesha, Who Smiles at Death</v>
      </c>
      <c r="EG6" t="str">
        <f ca="1"/>
        <v>Ancient Greenwarden</v>
      </c>
      <c r="EH6" t="str">
        <f ca="1"/>
        <v>Arid Mesa</v>
      </c>
      <c r="EI6" t="str">
        <f ca="1"/>
        <v>Artifact Mutation</v>
      </c>
      <c r="EJ6" t="str">
        <f ca="1"/>
        <v>Birds of Paradise</v>
      </c>
      <c r="EK6" t="str">
        <f ca="1"/>
        <v>Archaeomancer</v>
      </c>
      <c r="EL6" t="str">
        <f ca="1"/>
        <v>Alesha, Who Smiles at Death</v>
      </c>
      <c r="EP6" t="str">
        <f ca="1"/>
        <v>Aligned Heart</v>
      </c>
      <c r="EQ6" t="str">
        <f ca="1"/>
        <v>Agna Qel'a</v>
      </c>
      <c r="ER6" t="str">
        <f ca="1"/>
        <v>Ainok Strike Leader</v>
      </c>
      <c r="EU6" t="str">
        <f ca="1"/>
        <v>Adagia, Windswept Bastion</v>
      </c>
      <c r="EV6" t="str">
        <f ca="1"/>
        <v>Ainok Strike Leader</v>
      </c>
      <c r="EX6" t="str">
        <f ca="1"/>
        <v>Accursed Marauder</v>
      </c>
    </row>
    <row r="7" spans="1:154" x14ac:dyDescent="0.25">
      <c r="A7" s="2" t="str">
        <f t="shared" ca="1" si="1"/>
        <v>2</v>
      </c>
      <c r="B7" s="2">
        <f t="shared" ca="1" si="2"/>
        <v>1</v>
      </c>
      <c r="C7" s="2" t="str">
        <f ca="1">IFERROR(
 INDEX($V$1:$BL$1,
  MATCH(TRUE,
   CHOOSE({1;2;3;4;5;6;7;8;9;10;11;12;13;14;15;16;17;18;19;20;21;22;23;24;25;26;27;28;29;30;31;32;33;34;35;36;37;38;39;40;41;42;43},
    COUNTIFS($V$2:$V$200,$G7)&gt;0,
    COUNTIFS($W$2:$W$200,$G7)&gt;0,
    COUNTIFS($X$2:$X$200,$G7)&gt;0,
    COUNTIFS($Y$2:$Y$200,$G7)&gt;0,
    COUNTIFS($Z$2:$Z$200,$G7)&gt;0,
    COUNTIFS($AA$2:$AA$200,$G7)&gt;0,
    COUNTIFS($AB$2:$AB$200,$G7)&gt;0,
    COUNTIFS($AC$2:$AC$200,$G7)&gt;0,
    COUNTIFS($AD$2:$AD$200,$G7)&gt;0,
    COUNTIFS($AE$2:$AE$200,$G7)&gt;0,
    COUNTIFS($AF$2:$AF$200,$G7)&gt;0,
    COUNTIFS($AG$2:$AG$200,$G7)&gt;0,
    COUNTIFS($AH$2:$AH$200,$G7)&gt;0,
    COUNTIFS($AI$2:$AI$200,$G7)&gt;0,
    COUNTIFS($AJ$2:$AJ$200,$G7)&gt;0,
    COUNTIFS($AK$2:$AK$200,$G7)&gt;0,
    COUNTIFS($AL$2:$AL$200,$G7)&gt;0,
    COUNTIFS($AM$2:$AM$200,$G7)&gt;0,
    COUNTIFS($AN$2:$AN$200,$G7)&gt;0,
    COUNTIFS($AO$2:$AO$200,$G7)&gt;0,
    COUNTIFS($AP$2:$AP$200,$G7)&gt;0,
    COUNTIFS($AQ$2:$AQ$200,$G7)&gt;0,
    COUNTIFS($AR$2:$AR$200,$G7)&gt;0,
    COUNTIFS($AS$2:$AS$200,$G7)&gt;0,
    COUNTIFS($AT$2:$AT$200,$G7)&gt;0,
    COUNTIFS($AU$2:$AU$200,$G7)&gt;0,
    COUNTIFS($AV$2:$AV$200,$G7)&gt;0,
    COUNTIFS($AW$2:$AW$200,$G7)&gt;0,
    COUNTIFS($AX$2:$AX$200,$G7)&gt;0,
    COUNTIFS($AY$2:$AY$200,$G7)&gt;0,
    COUNTIFS($AZ$2:$AZ$200,$G7)&gt;0,
    COUNTIFS($BA$2:$BA$200,$G7)&gt;0,
    COUNTIFS($BB$2:$BB$200,$G7)&gt;0,
    COUNTIFS($BC$2:$BC$200,$G7)&gt;0,
    COUNTIFS($BD$2:$BD$200,$G7)&gt;0,
    COUNTIFS($BE$2:$BE$200,$G7)&gt;0,
    COUNTIFS($BF$2:$BF$200,$G7)&gt;0,
    COUNTIFS($BG$2:$BG$200,$G7)&gt;0,
    COUNTIFS($BH$2:$BH$200,$G7)&gt;0,
    COUNTIFS($BI$2:$BI$200,$G7)&gt;0,
    COUNTIFS($BJ$2:$BJ$200,$G7)&gt;0,
    COUNTIFS($BK$2:$BK$200,$G7)&gt;0,
    COUNTIFS($BL$2:$BL$200,$G7)&gt;0,
    COUNTIFS($BM$2:$BM$200,$G7)&gt;0,
   ),
  0)
 ),
"")</f>
        <v>Alela</v>
      </c>
      <c r="D7" s="2" t="str" cm="1">
        <f t="array" aca="1" ref="D7" ca="1">IFERROR(
 INDEX(
  _xlfn._xlws.FILTER($V$1:$AY$1,
   TRANSPOSE(
    CHOOSE({1;2;3;4;5;6;7;8;9;10;11;12;13;14;15;16;17;18;19;20;21;22;23;24;25;26;27;28;29;30},
     COUNTIFS($V$2:$V$200,$G7)&gt;0,
     COUNTIFS($W$2:$W$200,$G7)&gt;0,
     COUNTIFS($X$2:$X$200,$G7)&gt;0,
     COUNTIFS($Y$2:$Y$200,$G7)&gt;0,
     COUNTIFS($Z$2:$Z$200,$G7)&gt;0,
     COUNTIFS($AA$2:$AA$200,$G7)&gt;0,
     COUNTIFS($AB$2:$AB$200,$G7)&gt;0,
     COUNTIFS($AC$2:$AC$200,$G7)&gt;0,
     COUNTIFS($AD$2:$AD$200,$G7)&gt;0,
     COUNTIFS($AE$2:$AE$200,$G7)&gt;0,
     COUNTIFS($AF$2:$AF$200,$G7)&gt;0,
     COUNTIFS($AG$2:$AG$200,$G7)&gt;0,
     COUNTIFS($AH$2:$AH$200,$G7)&gt;0,
     COUNTIFS($AI$2:$AI$200,$G7)&gt;0,
     COUNTIFS($AJ$2:$AJ$200,$G7)&gt;0,
     COUNTIFS($AK$2:$AK$200,$G7)&gt;0,
     COUNTIFS($AL$2:$AL$200,$G7)&gt;0,
     COUNTIFS($AM$2:$AM$200,$G7)&gt;0,
     COUNTIFS($AN$2:$AN$200,$G7)&gt;0,
     COUNTIFS($AO$2:$AO$200,$G7)&gt;0,
     COUNTIFS($AP$2:$AP$200,$G7)&gt;0,
     COUNTIFS($AQ$2:$AQ$200,$G7)&gt;0,
     COUNTIFS($AR$2:$AR$200,$G7)&gt;0,
     COUNTIFS($AS$2:$AS$200,$G7)&gt;0,
     COUNTIFS($AT$2:$AT$200,$G7)&gt;0,
     COUNTIFS($AU$2:$AU$200,$G7)&gt;0,
     COUNTIFS($AV$2:$AV$200,$G7)&gt;0,
     COUNTIFS($AW$2:$AW$200,$G7)&gt;0,
     COUNTIFS($AX$2:$AX$200,$G7)&gt;0,
     COUNTIFS($AY$2:$AY$200,$G7)&gt;0
   )),
  ),
  2
 ),
"")</f>
        <v/>
      </c>
      <c r="E7" s="2" t="str" cm="1">
        <f t="array" aca="1" ref="E7" ca="1">IFERROR(
 INDEX(
  _xlfn._xlws.FILTER($V$1:$AY$1,
   TRANSPOSE(
    CHOOSE({1;2;3;4;5;6;7;8;9;10;11;12;13;14;15;16;17;18;19;20;21;22;23;24;25;26;27;28;29;30},
     COUNTIFS($V$2:$V$200,$G7)&gt;0,
     COUNTIFS($W$2:$W$200,$G7)&gt;0,
     COUNTIFS($X$2:$X$200,$G7)&gt;0,
     COUNTIFS($Y$2:$Y$200,$G7)&gt;0,
     COUNTIFS($Z$2:$Z$200,$G7)&gt;0,
     COUNTIFS($AA$2:$AA$200,$G7)&gt;0,
     COUNTIFS($AB$2:$AB$200,$G7)&gt;0,
     COUNTIFS($AC$2:$AC$200,$G7)&gt;0,
     COUNTIFS($AD$2:$AD$200,$G7)&gt;0,
     COUNTIFS($AE$2:$AE$200,$G7)&gt;0,
     COUNTIFS($AF$2:$AF$200,$G7)&gt;0,
     COUNTIFS($AG$2:$AG$200,$G7)&gt;0,
     COUNTIFS($AH$2:$AH$200,$G7)&gt;0,
     COUNTIFS($AI$2:$AI$200,$G7)&gt;0,
     COUNTIFS($AJ$2:$AJ$200,$G7)&gt;0,
     COUNTIFS($AK$2:$AK$200,$G7)&gt;0,
     COUNTIFS($AL$2:$AL$200,$G7)&gt;0,
     COUNTIFS($AM$2:$AM$200,$G7)&gt;0,
     COUNTIFS($AN$2:$AN$200,$G7)&gt;0,
     COUNTIFS($AO$2:$AO$200,$G7)&gt;0,
     COUNTIFS($AP$2:$AP$200,$G7)&gt;0,
     COUNTIFS($AQ$2:$AQ$200,$G7)&gt;0,
     COUNTIFS($AR$2:$AR$200,$G7)&gt;0,
     COUNTIFS($AS$2:$AS$200,$G7)&gt;0,
     COUNTIFS($AT$2:$AT$200,$G7)&gt;0,
     COUNTIFS($AU$2:$AU$200,$G7)&gt;0,
     COUNTIFS($AV$2:$AV$200,$G7)&gt;0,
     COUNTIFS($AW$2:$AW$200,$G7)&gt;0,
     COUNTIFS($AX$2:$AX$200,$G7)&gt;0,
     COUNTIFS($AY$2:$AY$200,$G7)&gt;0
   )),
  ),
  3
 ),
"")</f>
        <v/>
      </c>
      <c r="F7" s="2" t="str" cm="1">
        <f t="array" aca="1" ref="F7" ca="1">IFERROR(
 INDEX(
  _xlfn._xlws.FILTER($V$1:$AY$1,
   TRANSPOSE(
    CHOOSE({1;2;3;4;5;6;7;8;9;10;11;12;13;14;15;16;17;18;19;20;21;22;23;24;25;26;27;28;29;30},
     COUNTIFS($V$2:$V$200,$G7)&gt;0,
     COUNTIFS($W$2:$W$200,$G7)&gt;0,
     COUNTIFS($X$2:$X$200,$G7)&gt;0,
     COUNTIFS($Y$2:$Y$200,$G7)&gt;0,
     COUNTIFS($Z$2:$Z$200,$G7)&gt;0,
     COUNTIFS($AA$2:$AA$200,$G7)&gt;0,
     COUNTIFS($AB$2:$AB$200,$G7)&gt;0,
     COUNTIFS($AC$2:$AC$200,$G7)&gt;0,
     COUNTIFS($AD$2:$AD$200,$G7)&gt;0,
     COUNTIFS($AE$2:$AE$200,$G7)&gt;0,
     COUNTIFS($AF$2:$AF$200,$G7)&gt;0,
     COUNTIFS($AG$2:$AG$200,$G7)&gt;0,
     COUNTIFS($AH$2:$AH$200,$G7)&gt;0,
     COUNTIFS($AI$2:$AI$200,$G7)&gt;0,
     COUNTIFS($AJ$2:$AJ$200,$G7)&gt;0,
     COUNTIFS($AK$2:$AK$200,$G7)&gt;0,
     COUNTIFS($AL$2:$AL$200,$G7)&gt;0,
     COUNTIFS($AM$2:$AM$200,$G7)&gt;0,
     COUNTIFS($AN$2:$AN$200,$G7)&gt;0,
     COUNTIFS($AO$2:$AO$200,$G7)&gt;0,
     COUNTIFS($AP$2:$AP$200,$G7)&gt;0,
     COUNTIFS($AQ$2:$AQ$200,$G7)&gt;0,
     COUNTIFS($AR$2:$AR$200,$G7)&gt;0,
     COUNTIFS($AS$2:$AS$200,$G7)&gt;0,
     COUNTIFS($AT$2:$AT$200,$G7)&gt;0,
     COUNTIFS($AU$2:$AU$200,$G7)&gt;0,
     COUNTIFS($AV$2:$AV$200,$G7)&gt;0,
     COUNTIFS($AW$2:$AW$200,$G7)&gt;0,
     COUNTIFS($AX$2:$AX$200,$G7)&gt;0,
     COUNTIFS($AY$2:$AY$200,$G7)&gt;0
   )),
  ),
  4
 ),
"")</f>
        <v/>
      </c>
      <c r="G7" t="str">
        <f ca="1"/>
        <v>Adagia, Windswept Bastion</v>
      </c>
      <c r="H7" s="2" t="s">
        <v>423</v>
      </c>
      <c r="L7" s="2" t="s">
        <v>3</v>
      </c>
      <c r="M7" s="2" t="s">
        <v>3</v>
      </c>
      <c r="N7" s="2" t="s">
        <v>3</v>
      </c>
      <c r="O7" s="2" t="s">
        <v>2</v>
      </c>
      <c r="P7" s="2" t="s">
        <v>3</v>
      </c>
      <c r="T7" s="2" t="str">
        <f t="shared" si="3"/>
        <v>1</v>
      </c>
      <c r="V7" t="str">
        <v>Secret Tunnel</v>
      </c>
      <c r="W7" t="str">
        <v>Champions from Beyond</v>
      </c>
      <c r="X7" t="str">
        <v>Ghostly Prison</v>
      </c>
      <c r="Y7" t="str">
        <v>Champion of Lambholt</v>
      </c>
      <c r="Z7" t="str">
        <v>Tainted Field</v>
      </c>
      <c r="AA7" t="str">
        <v>Obsessive Pursuit</v>
      </c>
      <c r="AB7" t="str">
        <v>Merrow Harbinger</v>
      </c>
      <c r="AC7" t="str">
        <v>Scalding Tarn</v>
      </c>
      <c r="AD7" t="str">
        <v>Rise of the Eldrazi</v>
      </c>
      <c r="AE7" t="str">
        <v>Phyrexian Tower</v>
      </c>
      <c r="AF7" t="str">
        <v>The Mycosynth Gardens</v>
      </c>
      <c r="AG7" t="str">
        <v>Polluted Delta</v>
      </c>
      <c r="AH7" t="str">
        <v>Psychic Paper</v>
      </c>
      <c r="AI7" t="str">
        <v>Glasspool Mimic</v>
      </c>
      <c r="AJ7" t="str">
        <v>Kellan, the Fae-Blooded // Birthright Boon</v>
      </c>
      <c r="AK7" t="str">
        <v>Nicol Bolas, God-Pharaoh</v>
      </c>
      <c r="AM7" t="str">
        <v>Watery Grave</v>
      </c>
      <c r="AO7" t="str">
        <v>Cavern of Souls</v>
      </c>
      <c r="AP7" t="str">
        <v>Sokenzan, Crucible of Defiance</v>
      </c>
      <c r="AQ7" t="str">
        <v>Spirit Water Revival</v>
      </c>
      <c r="AR7" t="str">
        <v>Blasphemous Act</v>
      </c>
      <c r="AT7" t="str">
        <v>Susur Secundi, Void Altar</v>
      </c>
      <c r="AU7" t="str">
        <v>Renewed Solidarity</v>
      </c>
      <c r="AX7" t="str">
        <v>Contagion Engine</v>
      </c>
      <c r="AY7" t="str">
        <v>Giggling Skitterspike</v>
      </c>
      <c r="BE7" t="str">
        <v>Dour Port-Mage</v>
      </c>
      <c r="BI7" t="str">
        <v>Blasphemous Act</v>
      </c>
      <c r="BJ7" t="str">
        <v>Arabella, Abandoned Doll</v>
      </c>
      <c r="BL7" t="str">
        <v>Atarka's Command</v>
      </c>
      <c r="CI7" t="str">
        <f ca="1"/>
        <v>Brushland</v>
      </c>
      <c r="CJ7" t="str">
        <f ca="1"/>
        <v>Brass's Tunnel-Grinder</v>
      </c>
      <c r="CK7" t="str">
        <f ca="1"/>
        <v>Gallifrey Council Chamber</v>
      </c>
      <c r="CL7" t="str">
        <f ca="1"/>
        <v>Forsaken Miner</v>
      </c>
      <c r="CM7" t="str">
        <f ca="1"/>
        <v>Entomb</v>
      </c>
      <c r="CN7" t="str">
        <f ca="1"/>
        <v>Katara's Reversal</v>
      </c>
      <c r="CO7" t="str">
        <f ca="1"/>
        <v>Drowned Catacomb</v>
      </c>
      <c r="CP7" t="str">
        <f ca="1"/>
        <v>Firebender Ascension</v>
      </c>
      <c r="CQ7" t="str">
        <f ca="1"/>
        <v>Three Tree City</v>
      </c>
      <c r="CR7" t="str">
        <f ca="1"/>
        <v>Brood Sliver</v>
      </c>
      <c r="CS7" t="str">
        <f ca="1"/>
        <v>Invasion of Segovia</v>
      </c>
      <c r="CT7" t="str">
        <f ca="1"/>
        <v>Blasphemous Act</v>
      </c>
      <c r="CU7" t="str">
        <f ca="1"/>
        <v>Illustrious Wanderglyph</v>
      </c>
      <c r="CW7" t="str">
        <f ca="1"/>
        <v>Cinder Strike</v>
      </c>
      <c r="CZ7" t="str">
        <f ca="1"/>
        <v>Dour Port-Mage</v>
      </c>
      <c r="DB7" t="str">
        <f ca="1"/>
        <v>Blasphemous Act</v>
      </c>
      <c r="DC7" t="str">
        <f ca="1"/>
        <v>Arabella, Abandoned Doll</v>
      </c>
      <c r="DD7" t="str">
        <f ca="1"/>
        <v>Atarka's Command</v>
      </c>
      <c r="DP7" t="str">
        <f ca="1"/>
        <v>Aura Mutation</v>
      </c>
      <c r="DQ7" t="str">
        <f ca="1"/>
        <v>Bothersome Quasit</v>
      </c>
      <c r="DR7" t="str">
        <f ca="1"/>
        <v>Crucible of Worlds</v>
      </c>
      <c r="DS7" t="str">
        <f ca="1"/>
        <v>Commodore Guff</v>
      </c>
      <c r="DT7" t="str">
        <f ca="1"/>
        <v>Breeding Pool</v>
      </c>
      <c r="DU7" t="str">
        <f ca="1"/>
        <v>Beast Within</v>
      </c>
      <c r="DV7" t="str">
        <f ca="1"/>
        <v>Dollmaker's Shop // Porcelain Gallery</v>
      </c>
      <c r="DW7" t="str">
        <f ca="1"/>
        <v>Cinder Strike</v>
      </c>
      <c r="DX7" t="str">
        <f ca="1"/>
        <v>Dour Port-Mage</v>
      </c>
      <c r="DY7" t="str">
        <f ca="1"/>
        <v>Blasphemous Act</v>
      </c>
      <c r="DZ7" t="str">
        <f ca="1"/>
        <v>An Offer you Can't Refuse</v>
      </c>
      <c r="EG7" t="str">
        <f ca="1"/>
        <v>Artifact Mutation</v>
      </c>
      <c r="EH7" t="str">
        <f ca="1"/>
        <v>Avatar's Wrath</v>
      </c>
      <c r="EI7" t="str">
        <f ca="1"/>
        <v>Assassin's Trophy</v>
      </c>
      <c r="EJ7" t="str">
        <f ca="1"/>
        <v>Bitterblossom</v>
      </c>
      <c r="EK7" t="str">
        <f ca="1"/>
        <v>Avatar's Wrath</v>
      </c>
      <c r="EL7" t="str">
        <f ca="1"/>
        <v>An Offer you Can't Refuse</v>
      </c>
      <c r="EP7" t="str">
        <f ca="1"/>
        <v>Amphibian Downpour</v>
      </c>
      <c r="EQ7" t="str">
        <f ca="1"/>
        <v>Alchemist's Refuge</v>
      </c>
      <c r="ER7" t="str">
        <f ca="1"/>
        <v>Alesha, Who Smiles at Death</v>
      </c>
      <c r="EU7" t="str">
        <f ca="1"/>
        <v>Adarkar Wastes</v>
      </c>
      <c r="EV7" t="str">
        <f ca="1"/>
        <v>Alesha, Who Smiles at Death</v>
      </c>
      <c r="EX7" t="str">
        <f ca="1"/>
        <v>Adagia, Windswept Bastion</v>
      </c>
    </row>
    <row r="8" spans="1:154" x14ac:dyDescent="0.25">
      <c r="A8" s="2" t="str">
        <f t="shared" ca="1" si="1"/>
        <v>4</v>
      </c>
      <c r="B8" s="2">
        <f t="shared" ca="1" si="2"/>
        <v>1</v>
      </c>
      <c r="C8" s="2" t="str">
        <f ca="1">IFERROR(
 INDEX($V$1:$BL$1,
  MATCH(TRUE,
   CHOOSE({1;2;3;4;5;6;7;8;9;10;11;12;13;14;15;16;17;18;19;20;21;22;23;24;25;26;27;28;29;30;31;32;33;34;35;36;37;38;39;40;41;42;43},
    COUNTIFS($V$2:$V$200,$G8)&gt;0,
    COUNTIFS($W$2:$W$200,$G8)&gt;0,
    COUNTIFS($X$2:$X$200,$G8)&gt;0,
    COUNTIFS($Y$2:$Y$200,$G8)&gt;0,
    COUNTIFS($Z$2:$Z$200,$G8)&gt;0,
    COUNTIFS($AA$2:$AA$200,$G8)&gt;0,
    COUNTIFS($AB$2:$AB$200,$G8)&gt;0,
    COUNTIFS($AC$2:$AC$200,$G8)&gt;0,
    COUNTIFS($AD$2:$AD$200,$G8)&gt;0,
    COUNTIFS($AE$2:$AE$200,$G8)&gt;0,
    COUNTIFS($AF$2:$AF$200,$G8)&gt;0,
    COUNTIFS($AG$2:$AG$200,$G8)&gt;0,
    COUNTIFS($AH$2:$AH$200,$G8)&gt;0,
    COUNTIFS($AI$2:$AI$200,$G8)&gt;0,
    COUNTIFS($AJ$2:$AJ$200,$G8)&gt;0,
    COUNTIFS($AK$2:$AK$200,$G8)&gt;0,
    COUNTIFS($AL$2:$AL$200,$G8)&gt;0,
    COUNTIFS($AM$2:$AM$200,$G8)&gt;0,
    COUNTIFS($AN$2:$AN$200,$G8)&gt;0,
    COUNTIFS($AO$2:$AO$200,$G8)&gt;0,
    COUNTIFS($AP$2:$AP$200,$G8)&gt;0,
    COUNTIFS($AQ$2:$AQ$200,$G8)&gt;0,
    COUNTIFS($AR$2:$AR$200,$G8)&gt;0,
    COUNTIFS($AS$2:$AS$200,$G8)&gt;0,
    COUNTIFS($AT$2:$AT$200,$G8)&gt;0,
    COUNTIFS($AU$2:$AU$200,$G8)&gt;0,
    COUNTIFS($AV$2:$AV$200,$G8)&gt;0,
    COUNTIFS($AW$2:$AW$200,$G8)&gt;0,
    COUNTIFS($AX$2:$AX$200,$G8)&gt;0,
    COUNTIFS($AY$2:$AY$200,$G8)&gt;0,
    COUNTIFS($AZ$2:$AZ$200,$G8)&gt;0,
    COUNTIFS($BA$2:$BA$200,$G8)&gt;0,
    COUNTIFS($BB$2:$BB$200,$G8)&gt;0,
    COUNTIFS($BC$2:$BC$200,$G8)&gt;0,
    COUNTIFS($BD$2:$BD$200,$G8)&gt;0,
    COUNTIFS($BE$2:$BE$200,$G8)&gt;0,
    COUNTIFS($BF$2:$BF$200,$G8)&gt;0,
    COUNTIFS($BG$2:$BG$200,$G8)&gt;0,
    COUNTIFS($BH$2:$BH$200,$G8)&gt;0,
    COUNTIFS($BI$2:$BI$200,$G8)&gt;0,
    COUNTIFS($BJ$2:$BJ$200,$G8)&gt;0,
    COUNTIFS($BK$2:$BK$200,$G8)&gt;0,
    COUNTIFS($BL$2:$BL$200,$G8)&gt;0,
    COUNTIFS($BM$2:$BM$200,$G8)&gt;0,
   ),
  0)
 ),
"")</f>
        <v>Narset</v>
      </c>
      <c r="D8" s="2" t="str" cm="1">
        <f t="array" aca="1" ref="D8" ca="1">IFERROR(
 INDEX(
  _xlfn._xlws.FILTER($V$1:$AY$1,
   TRANSPOSE(
    CHOOSE({1;2;3;4;5;6;7;8;9;10;11;12;13;14;15;16;17;18;19;20;21;22;23;24;25;26;27;28;29;30},
     COUNTIFS($V$2:$V$200,$G8)&gt;0,
     COUNTIFS($W$2:$W$200,$G8)&gt;0,
     COUNTIFS($X$2:$X$200,$G8)&gt;0,
     COUNTIFS($Y$2:$Y$200,$G8)&gt;0,
     COUNTIFS($Z$2:$Z$200,$G8)&gt;0,
     COUNTIFS($AA$2:$AA$200,$G8)&gt;0,
     COUNTIFS($AB$2:$AB$200,$G8)&gt;0,
     COUNTIFS($AC$2:$AC$200,$G8)&gt;0,
     COUNTIFS($AD$2:$AD$200,$G8)&gt;0,
     COUNTIFS($AE$2:$AE$200,$G8)&gt;0,
     COUNTIFS($AF$2:$AF$200,$G8)&gt;0,
     COUNTIFS($AG$2:$AG$200,$G8)&gt;0,
     COUNTIFS($AH$2:$AH$200,$G8)&gt;0,
     COUNTIFS($AI$2:$AI$200,$G8)&gt;0,
     COUNTIFS($AJ$2:$AJ$200,$G8)&gt;0,
     COUNTIFS($AK$2:$AK$200,$G8)&gt;0,
     COUNTIFS($AL$2:$AL$200,$G8)&gt;0,
     COUNTIFS($AM$2:$AM$200,$G8)&gt;0,
     COUNTIFS($AN$2:$AN$200,$G8)&gt;0,
     COUNTIFS($AO$2:$AO$200,$G8)&gt;0,
     COUNTIFS($AP$2:$AP$200,$G8)&gt;0,
     COUNTIFS($AQ$2:$AQ$200,$G8)&gt;0,
     COUNTIFS($AR$2:$AR$200,$G8)&gt;0,
     COUNTIFS($AS$2:$AS$200,$G8)&gt;0,
     COUNTIFS($AT$2:$AT$200,$G8)&gt;0,
     COUNTIFS($AU$2:$AU$200,$G8)&gt;0,
     COUNTIFS($AV$2:$AV$200,$G8)&gt;0,
     COUNTIFS($AW$2:$AW$200,$G8)&gt;0,
     COUNTIFS($AX$2:$AX$200,$G8)&gt;0,
     COUNTIFS($AY$2:$AY$200,$G8)&gt;0
   )),
  ),
  2
 ),
"")</f>
        <v/>
      </c>
      <c r="E8" s="2" t="str" cm="1">
        <f t="array" aca="1" ref="E8" ca="1">IFERROR(
 INDEX(
  _xlfn._xlws.FILTER($V$1:$AY$1,
   TRANSPOSE(
    CHOOSE({1;2;3;4;5;6;7;8;9;10;11;12;13;14;15;16;17;18;19;20;21;22;23;24;25;26;27;28;29;30},
     COUNTIFS($V$2:$V$200,$G8)&gt;0,
     COUNTIFS($W$2:$W$200,$G8)&gt;0,
     COUNTIFS($X$2:$X$200,$G8)&gt;0,
     COUNTIFS($Y$2:$Y$200,$G8)&gt;0,
     COUNTIFS($Z$2:$Z$200,$G8)&gt;0,
     COUNTIFS($AA$2:$AA$200,$G8)&gt;0,
     COUNTIFS($AB$2:$AB$200,$G8)&gt;0,
     COUNTIFS($AC$2:$AC$200,$G8)&gt;0,
     COUNTIFS($AD$2:$AD$200,$G8)&gt;0,
     COUNTIFS($AE$2:$AE$200,$G8)&gt;0,
     COUNTIFS($AF$2:$AF$200,$G8)&gt;0,
     COUNTIFS($AG$2:$AG$200,$G8)&gt;0,
     COUNTIFS($AH$2:$AH$200,$G8)&gt;0,
     COUNTIFS($AI$2:$AI$200,$G8)&gt;0,
     COUNTIFS($AJ$2:$AJ$200,$G8)&gt;0,
     COUNTIFS($AK$2:$AK$200,$G8)&gt;0,
     COUNTIFS($AL$2:$AL$200,$G8)&gt;0,
     COUNTIFS($AM$2:$AM$200,$G8)&gt;0,
     COUNTIFS($AN$2:$AN$200,$G8)&gt;0,
     COUNTIFS($AO$2:$AO$200,$G8)&gt;0,
     COUNTIFS($AP$2:$AP$200,$G8)&gt;0,
     COUNTIFS($AQ$2:$AQ$200,$G8)&gt;0,
     COUNTIFS($AR$2:$AR$200,$G8)&gt;0,
     COUNTIFS($AS$2:$AS$200,$G8)&gt;0,
     COUNTIFS($AT$2:$AT$200,$G8)&gt;0,
     COUNTIFS($AU$2:$AU$200,$G8)&gt;0,
     COUNTIFS($AV$2:$AV$200,$G8)&gt;0,
     COUNTIFS($AW$2:$AW$200,$G8)&gt;0,
     COUNTIFS($AX$2:$AX$200,$G8)&gt;0,
     COUNTIFS($AY$2:$AY$200,$G8)&gt;0
   )),
  ),
  3
 ),
"")</f>
        <v/>
      </c>
      <c r="F8" s="2" t="str" cm="1">
        <f t="array" aca="1" ref="F8" ca="1">IFERROR(
 INDEX(
  _xlfn._xlws.FILTER($V$1:$AY$1,
   TRANSPOSE(
    CHOOSE({1;2;3;4;5;6;7;8;9;10;11;12;13;14;15;16;17;18;19;20;21;22;23;24;25;26;27;28;29;30},
     COUNTIFS($V$2:$V$200,$G8)&gt;0,
     COUNTIFS($W$2:$W$200,$G8)&gt;0,
     COUNTIFS($X$2:$X$200,$G8)&gt;0,
     COUNTIFS($Y$2:$Y$200,$G8)&gt;0,
     COUNTIFS($Z$2:$Z$200,$G8)&gt;0,
     COUNTIFS($AA$2:$AA$200,$G8)&gt;0,
     COUNTIFS($AB$2:$AB$200,$G8)&gt;0,
     COUNTIFS($AC$2:$AC$200,$G8)&gt;0,
     COUNTIFS($AD$2:$AD$200,$G8)&gt;0,
     COUNTIFS($AE$2:$AE$200,$G8)&gt;0,
     COUNTIFS($AF$2:$AF$200,$G8)&gt;0,
     COUNTIFS($AG$2:$AG$200,$G8)&gt;0,
     COUNTIFS($AH$2:$AH$200,$G8)&gt;0,
     COUNTIFS($AI$2:$AI$200,$G8)&gt;0,
     COUNTIFS($AJ$2:$AJ$200,$G8)&gt;0,
     COUNTIFS($AK$2:$AK$200,$G8)&gt;0,
     COUNTIFS($AL$2:$AL$200,$G8)&gt;0,
     COUNTIFS($AM$2:$AM$200,$G8)&gt;0,
     COUNTIFS($AN$2:$AN$200,$G8)&gt;0,
     COUNTIFS($AO$2:$AO$200,$G8)&gt;0,
     COUNTIFS($AP$2:$AP$200,$G8)&gt;0,
     COUNTIFS($AQ$2:$AQ$200,$G8)&gt;0,
     COUNTIFS($AR$2:$AR$200,$G8)&gt;0,
     COUNTIFS($AS$2:$AS$200,$G8)&gt;0,
     COUNTIFS($AT$2:$AT$200,$G8)&gt;0,
     COUNTIFS($AU$2:$AU$200,$G8)&gt;0,
     COUNTIFS($AV$2:$AV$200,$G8)&gt;0,
     COUNTIFS($AW$2:$AW$200,$G8)&gt;0,
     COUNTIFS($AX$2:$AX$200,$G8)&gt;0,
     COUNTIFS($AY$2:$AY$200,$G8)&gt;0
   )),
  ),
  4
 ),
"")</f>
        <v/>
      </c>
      <c r="G8" t="str">
        <f ca="1"/>
        <v>Adarkar Wastes</v>
      </c>
      <c r="H8" s="2" t="s">
        <v>417</v>
      </c>
      <c r="L8" s="2" t="s">
        <v>3</v>
      </c>
      <c r="M8" s="2" t="s">
        <v>3</v>
      </c>
      <c r="N8" s="2" t="s">
        <v>3</v>
      </c>
      <c r="O8" s="2" t="s">
        <v>3</v>
      </c>
      <c r="P8" s="2" t="s">
        <v>2</v>
      </c>
      <c r="T8" s="2" t="str">
        <f t="shared" si="3"/>
        <v>1</v>
      </c>
      <c r="V8" t="str">
        <v>Shoot the Sheriff</v>
      </c>
      <c r="W8" t="str">
        <v>Chaos Warp</v>
      </c>
      <c r="X8" t="str">
        <v>Incendiary Command</v>
      </c>
      <c r="Y8" t="str">
        <v>Colonel Autumn</v>
      </c>
      <c r="Z8" t="str">
        <v>Takenuma, Abandoned Mire</v>
      </c>
      <c r="AA8" t="str">
        <v>Raven Eagle</v>
      </c>
      <c r="AB8" t="str">
        <v>Mutable Explorer</v>
      </c>
      <c r="AC8" t="str">
        <v>Sothera, the Supervoid</v>
      </c>
      <c r="AD8" t="str">
        <v>Rivendell</v>
      </c>
      <c r="AE8" t="str">
        <v>Ripples of Undeath</v>
      </c>
      <c r="AF8" t="str">
        <v>Vexing Puzzlebox</v>
      </c>
      <c r="AG8" t="str">
        <v>Spectator Seating</v>
      </c>
      <c r="AH8" t="str">
        <v>Rivendell</v>
      </c>
      <c r="AI8" t="str">
        <v>Mistbind Clique</v>
      </c>
      <c r="AJ8" t="str">
        <v>Lavaspur Boots</v>
      </c>
      <c r="AK8" t="str">
        <v>Oko, Thief of Crowns</v>
      </c>
      <c r="AM8" t="str">
        <v>Zagoth Triome</v>
      </c>
      <c r="AO8" t="str">
        <v>Cloudshredder Sliver</v>
      </c>
      <c r="AP8" t="str">
        <v>Strix Serenade</v>
      </c>
      <c r="AQ8" t="str">
        <v>Three Steps Ahead</v>
      </c>
      <c r="AR8" t="str">
        <v>Bugenhagen, Wise Elder</v>
      </c>
      <c r="AT8" t="str">
        <v>The Cabbage Merchant</v>
      </c>
      <c r="AX8" t="str">
        <v>Corrosive Mentor</v>
      </c>
      <c r="AY8" t="str">
        <v>Gonti's Aether Heart</v>
      </c>
      <c r="BE8" t="str">
        <v>Dovin's Veto</v>
      </c>
      <c r="BI8" t="str">
        <v>Bonehoard Dracosaur</v>
      </c>
      <c r="BJ8" t="str">
        <v>Artifact Mutation</v>
      </c>
      <c r="BL8" t="str">
        <v>Beast Within</v>
      </c>
      <c r="CI8" t="str">
        <f ca="1"/>
        <v>Castle Ardenvale</v>
      </c>
      <c r="CJ8" t="str">
        <f ca="1"/>
        <v>Brushland</v>
      </c>
      <c r="CK8" t="str">
        <f ca="1"/>
        <v>Ghoulish Impetus</v>
      </c>
      <c r="CL8" t="str">
        <f ca="1"/>
        <v>Harvest Season</v>
      </c>
      <c r="CM8" t="str">
        <f ca="1"/>
        <v>Kozilek, the Broken Reality</v>
      </c>
      <c r="CN8" t="str">
        <f ca="1"/>
        <v>Luxury Suite</v>
      </c>
      <c r="CO8" t="str">
        <f ca="1"/>
        <v>Faerie Slumber Party</v>
      </c>
      <c r="CP8" t="str">
        <f ca="1"/>
        <v>Freyalise, Llanowar's Fury</v>
      </c>
      <c r="CQ8" t="str">
        <f ca="1"/>
        <v>Waterbender's Restoration</v>
      </c>
      <c r="CR8" t="str">
        <f ca="1"/>
        <v>Cavern of Souls</v>
      </c>
      <c r="CS8" t="str">
        <f ca="1"/>
        <v>Jidoor, Aristocratic Capital // Overture</v>
      </c>
      <c r="CT8" t="str">
        <f ca="1"/>
        <v>Bugenhagen, Wise Elder</v>
      </c>
      <c r="CU8" t="str">
        <f ca="1"/>
        <v>Kambal, Profiteering Mayor</v>
      </c>
      <c r="CW8" t="str">
        <f ca="1"/>
        <v>Contagion Engine</v>
      </c>
      <c r="CZ8" t="str">
        <f ca="1"/>
        <v>Dovin's Veto</v>
      </c>
      <c r="DB8" t="str">
        <f ca="1"/>
        <v>Bonehoard Dracosaur</v>
      </c>
      <c r="DC8" t="str">
        <f ca="1"/>
        <v>Artifact Mutation</v>
      </c>
      <c r="DD8" t="str">
        <f ca="1"/>
        <v>Beast Within</v>
      </c>
      <c r="DP8" t="str">
        <f ca="1"/>
        <v>Ba Sing Se</v>
      </c>
      <c r="DQ8" t="str">
        <f ca="1"/>
        <v>Burgeoning</v>
      </c>
      <c r="DR8" t="str">
        <f ca="1"/>
        <v>Delighted Halfling</v>
      </c>
      <c r="DS8" t="str">
        <f ca="1"/>
        <v>Creeping Tar Pit</v>
      </c>
      <c r="DT8" t="str">
        <f ca="1"/>
        <v>Brood Sliver</v>
      </c>
      <c r="DU8" t="str">
        <f ca="1"/>
        <v>Beifong's Bounty Hunters</v>
      </c>
      <c r="DV8" t="str">
        <f ca="1"/>
        <v>Homeward Path</v>
      </c>
      <c r="DW8" t="str">
        <f ca="1"/>
        <v>Contagion Engine</v>
      </c>
      <c r="DX8" t="str">
        <f ca="1"/>
        <v>Dovin's Veto</v>
      </c>
      <c r="DY8" t="str">
        <f ca="1"/>
        <v>Bonehoard Dracosaur</v>
      </c>
      <c r="DZ8" t="str">
        <f ca="1"/>
        <v>Anim Pakal, Thousandth Moon</v>
      </c>
      <c r="EG8" t="str">
        <f ca="1"/>
        <v>Arwen, Weaver of Hope</v>
      </c>
      <c r="EH8" t="str">
        <f ca="1"/>
        <v>Bojuka Bog</v>
      </c>
      <c r="EI8" t="str">
        <f ca="1"/>
        <v>Baral, Chief of Compliance</v>
      </c>
      <c r="EJ8" t="str">
        <f ca="1"/>
        <v>Brigid, Clachan's Heart</v>
      </c>
      <c r="EK8" t="str">
        <f ca="1"/>
        <v>Billiard Room</v>
      </c>
      <c r="EL8" t="str">
        <f ca="1"/>
        <v>Anim Pakal, Thousandth Moon</v>
      </c>
      <c r="EP8" t="str">
        <f ca="1"/>
        <v>Ancient Greenwarden</v>
      </c>
      <c r="EQ8" t="str">
        <f ca="1"/>
        <v>Ammit Eternal</v>
      </c>
      <c r="ER8" t="str">
        <f ca="1"/>
        <v>An Offer You Can't Refuse</v>
      </c>
      <c r="EU8" t="str">
        <f ca="1"/>
        <v>Agna Qel'a</v>
      </c>
      <c r="EV8" t="str">
        <f ca="1"/>
        <v>An Offer You Can't Refuse</v>
      </c>
      <c r="EX8" t="str">
        <f ca="1"/>
        <v>Adarkar Wastes</v>
      </c>
    </row>
    <row r="9" spans="1:154" x14ac:dyDescent="0.25">
      <c r="A9" s="2" t="str">
        <f t="shared" ca="1" si="1"/>
        <v>5</v>
      </c>
      <c r="B9" s="2">
        <f t="shared" ca="1" si="2"/>
        <v>1</v>
      </c>
      <c r="C9" s="2" t="str">
        <f ca="1">IFERROR(
 INDEX($V$1:$BL$1,
  MATCH(TRUE,
   CHOOSE({1;2;3;4;5;6;7;8;9;10;11;12;13;14;15;16;17;18;19;20;21;22;23;24;25;26;27;28;29;30;31;32;33;34;35;36;37;38;39;40;41;42;43},
    COUNTIFS($V$2:$V$200,$G9)&gt;0,
    COUNTIFS($W$2:$W$200,$G9)&gt;0,
    COUNTIFS($X$2:$X$200,$G9)&gt;0,
    COUNTIFS($Y$2:$Y$200,$G9)&gt;0,
    COUNTIFS($Z$2:$Z$200,$G9)&gt;0,
    COUNTIFS($AA$2:$AA$200,$G9)&gt;0,
    COUNTIFS($AB$2:$AB$200,$G9)&gt;0,
    COUNTIFS($AC$2:$AC$200,$G9)&gt;0,
    COUNTIFS($AD$2:$AD$200,$G9)&gt;0,
    COUNTIFS($AE$2:$AE$200,$G9)&gt;0,
    COUNTIFS($AF$2:$AF$200,$G9)&gt;0,
    COUNTIFS($AG$2:$AG$200,$G9)&gt;0,
    COUNTIFS($AH$2:$AH$200,$G9)&gt;0,
    COUNTIFS($AI$2:$AI$200,$G9)&gt;0,
    COUNTIFS($AJ$2:$AJ$200,$G9)&gt;0,
    COUNTIFS($AK$2:$AK$200,$G9)&gt;0,
    COUNTIFS($AL$2:$AL$200,$G9)&gt;0,
    COUNTIFS($AM$2:$AM$200,$G9)&gt;0,
    COUNTIFS($AN$2:$AN$200,$G9)&gt;0,
    COUNTIFS($AO$2:$AO$200,$G9)&gt;0,
    COUNTIFS($AP$2:$AP$200,$G9)&gt;0,
    COUNTIFS($AQ$2:$AQ$200,$G9)&gt;0,
    COUNTIFS($AR$2:$AR$200,$G9)&gt;0,
    COUNTIFS($AS$2:$AS$200,$G9)&gt;0,
    COUNTIFS($AT$2:$AT$200,$G9)&gt;0,
    COUNTIFS($AU$2:$AU$200,$G9)&gt;0,
    COUNTIFS($AV$2:$AV$200,$G9)&gt;0,
    COUNTIFS($AW$2:$AW$200,$G9)&gt;0,
    COUNTIFS($AX$2:$AX$200,$G9)&gt;0,
    COUNTIFS($AY$2:$AY$200,$G9)&gt;0,
    COUNTIFS($AZ$2:$AZ$200,$G9)&gt;0,
    COUNTIFS($BA$2:$BA$200,$G9)&gt;0,
    COUNTIFS($BB$2:$BB$200,$G9)&gt;0,
    COUNTIFS($BC$2:$BC$200,$G9)&gt;0,
    COUNTIFS($BD$2:$BD$200,$G9)&gt;0,
    COUNTIFS($BE$2:$BE$200,$G9)&gt;0,
    COUNTIFS($BF$2:$BF$200,$G9)&gt;0,
    COUNTIFS($BG$2:$BG$200,$G9)&gt;0,
    COUNTIFS($BH$2:$BH$200,$G9)&gt;0,
    COUNTIFS($BI$2:$BI$200,$G9)&gt;0,
    COUNTIFS($BJ$2:$BJ$200,$G9)&gt;0,
    COUNTIFS($BK$2:$BK$200,$G9)&gt;0,
    COUNTIFS($BL$2:$BL$200,$G9)&gt;0,
    COUNTIFS($BM$2:$BM$200,$G9)&gt;0,
   ),
  0)
 ),
"")</f>
        <v>Little</v>
      </c>
      <c r="D9" s="2" t="str" cm="1">
        <f t="array" aca="1" ref="D9" ca="1">IFERROR(
 INDEX(
  _xlfn._xlws.FILTER($V$1:$AY$1,
   TRANSPOSE(
    CHOOSE({1;2;3;4;5;6;7;8;9;10;11;12;13;14;15;16;17;18;19;20;21;22;23;24;25;26;27;28;29;30},
     COUNTIFS($V$2:$V$200,$G9)&gt;0,
     COUNTIFS($W$2:$W$200,$G9)&gt;0,
     COUNTIFS($X$2:$X$200,$G9)&gt;0,
     COUNTIFS($Y$2:$Y$200,$G9)&gt;0,
     COUNTIFS($Z$2:$Z$200,$G9)&gt;0,
     COUNTIFS($AA$2:$AA$200,$G9)&gt;0,
     COUNTIFS($AB$2:$AB$200,$G9)&gt;0,
     COUNTIFS($AC$2:$AC$200,$G9)&gt;0,
     COUNTIFS($AD$2:$AD$200,$G9)&gt;0,
     COUNTIFS($AE$2:$AE$200,$G9)&gt;0,
     COUNTIFS($AF$2:$AF$200,$G9)&gt;0,
     COUNTIFS($AG$2:$AG$200,$G9)&gt;0,
     COUNTIFS($AH$2:$AH$200,$G9)&gt;0,
     COUNTIFS($AI$2:$AI$200,$G9)&gt;0,
     COUNTIFS($AJ$2:$AJ$200,$G9)&gt;0,
     COUNTIFS($AK$2:$AK$200,$G9)&gt;0,
     COUNTIFS($AL$2:$AL$200,$G9)&gt;0,
     COUNTIFS($AM$2:$AM$200,$G9)&gt;0,
     COUNTIFS($AN$2:$AN$200,$G9)&gt;0,
     COUNTIFS($AO$2:$AO$200,$G9)&gt;0,
     COUNTIFS($AP$2:$AP$200,$G9)&gt;0,
     COUNTIFS($AQ$2:$AQ$200,$G9)&gt;0,
     COUNTIFS($AR$2:$AR$200,$G9)&gt;0,
     COUNTIFS($AS$2:$AS$200,$G9)&gt;0,
     COUNTIFS($AT$2:$AT$200,$G9)&gt;0,
     COUNTIFS($AU$2:$AU$200,$G9)&gt;0,
     COUNTIFS($AV$2:$AV$200,$G9)&gt;0,
     COUNTIFS($AW$2:$AW$200,$G9)&gt;0,
     COUNTIFS($AX$2:$AX$200,$G9)&gt;0,
     COUNTIFS($AY$2:$AY$200,$G9)&gt;0
   )),
  ),
  2
 ),
"")</f>
        <v/>
      </c>
      <c r="E9" s="2" t="str" cm="1">
        <f t="array" aca="1" ref="E9" ca="1">IFERROR(
 INDEX(
  _xlfn._xlws.FILTER($V$1:$AY$1,
   TRANSPOSE(
    CHOOSE({1;2;3;4;5;6;7;8;9;10;11;12;13;14;15;16;17;18;19;20;21;22;23;24;25;26;27;28;29;30},
     COUNTIFS($V$2:$V$200,$G9)&gt;0,
     COUNTIFS($W$2:$W$200,$G9)&gt;0,
     COUNTIFS($X$2:$X$200,$G9)&gt;0,
     COUNTIFS($Y$2:$Y$200,$G9)&gt;0,
     COUNTIFS($Z$2:$Z$200,$G9)&gt;0,
     COUNTIFS($AA$2:$AA$200,$G9)&gt;0,
     COUNTIFS($AB$2:$AB$200,$G9)&gt;0,
     COUNTIFS($AC$2:$AC$200,$G9)&gt;0,
     COUNTIFS($AD$2:$AD$200,$G9)&gt;0,
     COUNTIFS($AE$2:$AE$200,$G9)&gt;0,
     COUNTIFS($AF$2:$AF$200,$G9)&gt;0,
     COUNTIFS($AG$2:$AG$200,$G9)&gt;0,
     COUNTIFS($AH$2:$AH$200,$G9)&gt;0,
     COUNTIFS($AI$2:$AI$200,$G9)&gt;0,
     COUNTIFS($AJ$2:$AJ$200,$G9)&gt;0,
     COUNTIFS($AK$2:$AK$200,$G9)&gt;0,
     COUNTIFS($AL$2:$AL$200,$G9)&gt;0,
     COUNTIFS($AM$2:$AM$200,$G9)&gt;0,
     COUNTIFS($AN$2:$AN$200,$G9)&gt;0,
     COUNTIFS($AO$2:$AO$200,$G9)&gt;0,
     COUNTIFS($AP$2:$AP$200,$G9)&gt;0,
     COUNTIFS($AQ$2:$AQ$200,$G9)&gt;0,
     COUNTIFS($AR$2:$AR$200,$G9)&gt;0,
     COUNTIFS($AS$2:$AS$200,$G9)&gt;0,
     COUNTIFS($AT$2:$AT$200,$G9)&gt;0,
     COUNTIFS($AU$2:$AU$200,$G9)&gt;0,
     COUNTIFS($AV$2:$AV$200,$G9)&gt;0,
     COUNTIFS($AW$2:$AW$200,$G9)&gt;0,
     COUNTIFS($AX$2:$AX$200,$G9)&gt;0,
     COUNTIFS($AY$2:$AY$200,$G9)&gt;0
   )),
  ),
  3
 ),
"")</f>
        <v/>
      </c>
      <c r="F9" s="2" t="str" cm="1">
        <f t="array" aca="1" ref="F9" ca="1">IFERROR(
 INDEX(
  _xlfn._xlws.FILTER($V$1:$AY$1,
   TRANSPOSE(
    CHOOSE({1;2;3;4;5;6;7;8;9;10;11;12;13;14;15;16;17;18;19;20;21;22;23;24;25;26;27;28;29;30},
     COUNTIFS($V$2:$V$200,$G9)&gt;0,
     COUNTIFS($W$2:$W$200,$G9)&gt;0,
     COUNTIFS($X$2:$X$200,$G9)&gt;0,
     COUNTIFS($Y$2:$Y$200,$G9)&gt;0,
     COUNTIFS($Z$2:$Z$200,$G9)&gt;0,
     COUNTIFS($AA$2:$AA$200,$G9)&gt;0,
     COUNTIFS($AB$2:$AB$200,$G9)&gt;0,
     COUNTIFS($AC$2:$AC$200,$G9)&gt;0,
     COUNTIFS($AD$2:$AD$200,$G9)&gt;0,
     COUNTIFS($AE$2:$AE$200,$G9)&gt;0,
     COUNTIFS($AF$2:$AF$200,$G9)&gt;0,
     COUNTIFS($AG$2:$AG$200,$G9)&gt;0,
     COUNTIFS($AH$2:$AH$200,$G9)&gt;0,
     COUNTIFS($AI$2:$AI$200,$G9)&gt;0,
     COUNTIFS($AJ$2:$AJ$200,$G9)&gt;0,
     COUNTIFS($AK$2:$AK$200,$G9)&gt;0,
     COUNTIFS($AL$2:$AL$200,$G9)&gt;0,
     COUNTIFS($AM$2:$AM$200,$G9)&gt;0,
     COUNTIFS($AN$2:$AN$200,$G9)&gt;0,
     COUNTIFS($AO$2:$AO$200,$G9)&gt;0,
     COUNTIFS($AP$2:$AP$200,$G9)&gt;0,
     COUNTIFS($AQ$2:$AQ$200,$G9)&gt;0,
     COUNTIFS($AR$2:$AR$200,$G9)&gt;0,
     COUNTIFS($AS$2:$AS$200,$G9)&gt;0,
     COUNTIFS($AT$2:$AT$200,$G9)&gt;0,
     COUNTIFS($AU$2:$AU$200,$G9)&gt;0,
     COUNTIFS($AV$2:$AV$200,$G9)&gt;0,
     COUNTIFS($AW$2:$AW$200,$G9)&gt;0,
     COUNTIFS($AX$2:$AX$200,$G9)&gt;0,
     COUNTIFS($AY$2:$AY$200,$G9)&gt;0
   )),
  ),
  4
 ),
"")</f>
        <v/>
      </c>
      <c r="G9" t="str">
        <f ca="1"/>
        <v>Adeline, Resplendent Cathar</v>
      </c>
      <c r="H9" s="2" t="s">
        <v>423</v>
      </c>
      <c r="J9" t="s">
        <v>182</v>
      </c>
      <c r="K9" s="2">
        <f>[1]Yorion!G2</f>
        <v>83</v>
      </c>
      <c r="L9" s="2" t="s">
        <v>2</v>
      </c>
      <c r="M9" s="2" t="s">
        <v>2</v>
      </c>
      <c r="N9" s="2" t="s">
        <v>3</v>
      </c>
      <c r="O9" s="2" t="s">
        <v>3</v>
      </c>
      <c r="P9" s="2" t="s">
        <v>3</v>
      </c>
      <c r="T9" s="2" t="str">
        <f t="shared" si="3"/>
        <v>5</v>
      </c>
      <c r="V9" t="str">
        <v>Temple of Malice</v>
      </c>
      <c r="W9" t="str">
        <v>Clever Concealment</v>
      </c>
      <c r="X9" t="str">
        <v>Jidoor, Aristocratic Capital // Overture</v>
      </c>
      <c r="Y9" t="str">
        <v>Court of Garenbrig</v>
      </c>
      <c r="Z9" t="str">
        <v>Unholy Annex // Ritual Chamber</v>
      </c>
      <c r="AA9" t="str">
        <v>Reliquary Tower</v>
      </c>
      <c r="AB9" t="str">
        <v>Pestered Wellguard</v>
      </c>
      <c r="AC9" t="str">
        <v>Teferi's Ageless Insight</v>
      </c>
      <c r="AD9" t="str">
        <v>Rotating Fireplace</v>
      </c>
      <c r="AE9" t="str">
        <v>Takenuma, Abandoned Mire</v>
      </c>
      <c r="AG9" t="str">
        <v>Vault of Champions</v>
      </c>
      <c r="AH9" t="str">
        <v>Satoru, the Infiltrator</v>
      </c>
      <c r="AI9" t="str">
        <v>Molten Echoes</v>
      </c>
      <c r="AJ9" t="str">
        <v>Lost Jitte</v>
      </c>
      <c r="AK9" t="str">
        <v>Ripples of Potential</v>
      </c>
      <c r="AO9" t="str">
        <v>Command Tower</v>
      </c>
      <c r="AP9" t="str">
        <v>Swan Song</v>
      </c>
      <c r="AR9" t="str">
        <v>Chandra's Ignition</v>
      </c>
      <c r="AT9" t="str">
        <v>The Soul Stone</v>
      </c>
      <c r="AX9" t="str">
        <v>Dawnhand Dissident</v>
      </c>
      <c r="AY9" t="str">
        <v>Great Furnace</v>
      </c>
      <c r="BE9" t="str">
        <v>Dusk // Dawn</v>
      </c>
      <c r="BI9" t="str">
        <v>Boros Charm</v>
      </c>
      <c r="BJ9" t="str">
        <v>Assassin's Trophy</v>
      </c>
      <c r="BL9" t="str">
        <v>Bedevil</v>
      </c>
      <c r="CI9" t="str">
        <f ca="1"/>
        <v>Champions from Beyond</v>
      </c>
      <c r="CJ9" t="str">
        <f ca="1"/>
        <v>Caves of Koilos</v>
      </c>
      <c r="CK9" t="str">
        <f ca="1"/>
        <v>Giver of Runes</v>
      </c>
      <c r="CL9" t="str">
        <f ca="1"/>
        <v>Lord of Atlantis</v>
      </c>
      <c r="CM9" t="str">
        <f ca="1"/>
        <v>Mistrise Village</v>
      </c>
      <c r="CN9" t="str">
        <f ca="1"/>
        <v>Polluted Delta</v>
      </c>
      <c r="CO9" t="str">
        <f ca="1"/>
        <v>Gathering Stone</v>
      </c>
      <c r="CP9" t="str">
        <f ca="1"/>
        <v>Inventory Management</v>
      </c>
      <c r="CQ9" t="str">
        <f ca="1"/>
        <v>Watery Grave</v>
      </c>
      <c r="CR9" t="str">
        <f ca="1"/>
        <v>Cloudshredder Sliver</v>
      </c>
      <c r="CS9" t="str">
        <f ca="1"/>
        <v>Katara's Reversal</v>
      </c>
      <c r="CT9" t="str">
        <f ca="1"/>
        <v>Chandra's Ignition</v>
      </c>
      <c r="CU9" t="str">
        <f ca="1"/>
        <v>Mirror Pool</v>
      </c>
      <c r="CW9" t="str">
        <f ca="1"/>
        <v>Corrosive Mentor</v>
      </c>
      <c r="CZ9" t="str">
        <f ca="1"/>
        <v>Dusk // Dawn</v>
      </c>
      <c r="DB9" t="str">
        <f ca="1"/>
        <v>Boros Charm</v>
      </c>
      <c r="DC9" t="str">
        <f ca="1"/>
        <v>Assassin's Trophy</v>
      </c>
      <c r="DD9" t="str">
        <f ca="1"/>
        <v>Bedevil</v>
      </c>
      <c r="DP9" t="str">
        <f ca="1"/>
        <v>Back in Town</v>
      </c>
      <c r="DQ9" t="str">
        <f ca="1"/>
        <v>Champions of the Shoal</v>
      </c>
      <c r="DR9" t="str">
        <f ca="1"/>
        <v>Emrakul, the World Anew</v>
      </c>
      <c r="DS9" t="str">
        <f ca="1"/>
        <v>Disruptor of Currents</v>
      </c>
      <c r="DT9" t="str">
        <f ca="1"/>
        <v>Cavern of Souls</v>
      </c>
      <c r="DU9" t="str">
        <f ca="1"/>
        <v>Blasphemous Act</v>
      </c>
      <c r="DV9" t="str">
        <f ca="1"/>
        <v>Illustrious Wanderglyph</v>
      </c>
      <c r="DW9" t="str">
        <f ca="1"/>
        <v>Corrosive Mentor</v>
      </c>
      <c r="DX9" t="str">
        <f ca="1"/>
        <v>Dusk // Dawn</v>
      </c>
      <c r="DY9" t="str">
        <f ca="1"/>
        <v>Boros Charm</v>
      </c>
      <c r="DZ9" t="str">
        <f ca="1"/>
        <v>Annie Joins Up</v>
      </c>
      <c r="EG9" t="str">
        <f ca="1"/>
        <v>Ascend from Avernus</v>
      </c>
      <c r="EH9" t="str">
        <f ca="1"/>
        <v>Burnt Offering</v>
      </c>
      <c r="EI9" t="str">
        <f ca="1"/>
        <v>Basal Sliver</v>
      </c>
      <c r="EJ9" t="str">
        <f ca="1"/>
        <v>Cankerbloom</v>
      </c>
      <c r="EK9" t="str">
        <f ca="1"/>
        <v>Blasphemous Act</v>
      </c>
      <c r="EL9" t="str">
        <f ca="1"/>
        <v>Annie Joins Up</v>
      </c>
      <c r="EP9" t="str">
        <f ca="1"/>
        <v>Ancient Tomb</v>
      </c>
      <c r="EQ9" t="str">
        <f ca="1"/>
        <v>Artifact Mutation</v>
      </c>
      <c r="ER9" t="str">
        <f ca="1"/>
        <v>Anguished Unmaking</v>
      </c>
      <c r="EU9" t="str">
        <f ca="1"/>
        <v>Alchemist's Refuge</v>
      </c>
      <c r="EV9" t="str">
        <f ca="1"/>
        <v>Anguished Unmaking</v>
      </c>
      <c r="EX9" t="str">
        <f ca="1"/>
        <v>Adeline, Resplendent Cathar</v>
      </c>
    </row>
    <row r="10" spans="1:154" x14ac:dyDescent="0.25">
      <c r="A10" s="2" t="str">
        <f t="shared" ca="1" si="1"/>
        <v>5</v>
      </c>
      <c r="B10" s="2">
        <f t="shared" ca="1" si="2"/>
        <v>1</v>
      </c>
      <c r="C10" s="2" t="str">
        <f ca="1">IFERROR(
 INDEX($V$1:$BL$1,
  MATCH(TRUE,
   CHOOSE({1;2;3;4;5;6;7;8;9;10;11;12;13;14;15;16;17;18;19;20;21;22;23;24;25;26;27;28;29;30;31;32;33;34;35;36;37;38;39;40;41;42;43},
    COUNTIFS($V$2:$V$200,$G10)&gt;0,
    COUNTIFS($W$2:$W$200,$G10)&gt;0,
    COUNTIFS($X$2:$X$200,$G10)&gt;0,
    COUNTIFS($Y$2:$Y$200,$G10)&gt;0,
    COUNTIFS($Z$2:$Z$200,$G10)&gt;0,
    COUNTIFS($AA$2:$AA$200,$G10)&gt;0,
    COUNTIFS($AB$2:$AB$200,$G10)&gt;0,
    COUNTIFS($AC$2:$AC$200,$G10)&gt;0,
    COUNTIFS($AD$2:$AD$200,$G10)&gt;0,
    COUNTIFS($AE$2:$AE$200,$G10)&gt;0,
    COUNTIFS($AF$2:$AF$200,$G10)&gt;0,
    COUNTIFS($AG$2:$AG$200,$G10)&gt;0,
    COUNTIFS($AH$2:$AH$200,$G10)&gt;0,
    COUNTIFS($AI$2:$AI$200,$G10)&gt;0,
    COUNTIFS($AJ$2:$AJ$200,$G10)&gt;0,
    COUNTIFS($AK$2:$AK$200,$G10)&gt;0,
    COUNTIFS($AL$2:$AL$200,$G10)&gt;0,
    COUNTIFS($AM$2:$AM$200,$G10)&gt;0,
    COUNTIFS($AN$2:$AN$200,$G10)&gt;0,
    COUNTIFS($AO$2:$AO$200,$G10)&gt;0,
    COUNTIFS($AP$2:$AP$200,$G10)&gt;0,
    COUNTIFS($AQ$2:$AQ$200,$G10)&gt;0,
    COUNTIFS($AR$2:$AR$200,$G10)&gt;0,
    COUNTIFS($AS$2:$AS$200,$G10)&gt;0,
    COUNTIFS($AT$2:$AT$200,$G10)&gt;0,
    COUNTIFS($AU$2:$AU$200,$G10)&gt;0,
    COUNTIFS($AV$2:$AV$200,$G10)&gt;0,
    COUNTIFS($AW$2:$AW$200,$G10)&gt;0,
    COUNTIFS($AX$2:$AX$200,$G10)&gt;0,
    COUNTIFS($AY$2:$AY$200,$G10)&gt;0,
    COUNTIFS($AZ$2:$AZ$200,$G10)&gt;0,
    COUNTIFS($BA$2:$BA$200,$G10)&gt;0,
    COUNTIFS($BB$2:$BB$200,$G10)&gt;0,
    COUNTIFS($BC$2:$BC$200,$G10)&gt;0,
    COUNTIFS($BD$2:$BD$200,$G10)&gt;0,
    COUNTIFS($BE$2:$BE$200,$G10)&gt;0,
    COUNTIFS($BF$2:$BF$200,$G10)&gt;0,
    COUNTIFS($BG$2:$BG$200,$G10)&gt;0,
    COUNTIFS($BH$2:$BH$200,$G10)&gt;0,
    COUNTIFS($BI$2:$BI$200,$G10)&gt;0,
    COUNTIFS($BJ$2:$BJ$200,$G10)&gt;0,
    COUNTIFS($BK$2:$BK$200,$G10)&gt;0,
    COUNTIFS($BL$2:$BL$200,$G10)&gt;0,
    COUNTIFS($BM$2:$BM$200,$G10)&gt;0,
   ),
  0)
 ),
"")</f>
        <v>4cRash</v>
      </c>
      <c r="D10" s="2" t="str" cm="1">
        <f t="array" aca="1" ref="D10" ca="1">IFERROR(
 INDEX(
  _xlfn._xlws.FILTER($V$1:$AY$1,
   TRANSPOSE(
    CHOOSE({1;2;3;4;5;6;7;8;9;10;11;12;13;14;15;16;17;18;19;20;21;22;23;24;25;26;27;28;29;30},
     COUNTIFS($V$2:$V$200,$G10)&gt;0,
     COUNTIFS($W$2:$W$200,$G10)&gt;0,
     COUNTIFS($X$2:$X$200,$G10)&gt;0,
     COUNTIFS($Y$2:$Y$200,$G10)&gt;0,
     COUNTIFS($Z$2:$Z$200,$G10)&gt;0,
     COUNTIFS($AA$2:$AA$200,$G10)&gt;0,
     COUNTIFS($AB$2:$AB$200,$G10)&gt;0,
     COUNTIFS($AC$2:$AC$200,$G10)&gt;0,
     COUNTIFS($AD$2:$AD$200,$G10)&gt;0,
     COUNTIFS($AE$2:$AE$200,$G10)&gt;0,
     COUNTIFS($AF$2:$AF$200,$G10)&gt;0,
     COUNTIFS($AG$2:$AG$200,$G10)&gt;0,
     COUNTIFS($AH$2:$AH$200,$G10)&gt;0,
     COUNTIFS($AI$2:$AI$200,$G10)&gt;0,
     COUNTIFS($AJ$2:$AJ$200,$G10)&gt;0,
     COUNTIFS($AK$2:$AK$200,$G10)&gt;0,
     COUNTIFS($AL$2:$AL$200,$G10)&gt;0,
     COUNTIFS($AM$2:$AM$200,$G10)&gt;0,
     COUNTIFS($AN$2:$AN$200,$G10)&gt;0,
     COUNTIFS($AO$2:$AO$200,$G10)&gt;0,
     COUNTIFS($AP$2:$AP$200,$G10)&gt;0,
     COUNTIFS($AQ$2:$AQ$200,$G10)&gt;0,
     COUNTIFS($AR$2:$AR$200,$G10)&gt;0,
     COUNTIFS($AS$2:$AS$200,$G10)&gt;0,
     COUNTIFS($AT$2:$AT$200,$G10)&gt;0,
     COUNTIFS($AU$2:$AU$200,$G10)&gt;0,
     COUNTIFS($AV$2:$AV$200,$G10)&gt;0,
     COUNTIFS($AW$2:$AW$200,$G10)&gt;0,
     COUNTIFS($AX$2:$AX$200,$G10)&gt;0,
     COUNTIFS($AY$2:$AY$200,$G10)&gt;0
   )),
  ),
  2
 ),
"")</f>
        <v/>
      </c>
      <c r="E10" s="2" t="str" cm="1">
        <f t="array" aca="1" ref="E10" ca="1">IFERROR(
 INDEX(
  _xlfn._xlws.FILTER($V$1:$AY$1,
   TRANSPOSE(
    CHOOSE({1;2;3;4;5;6;7;8;9;10;11;12;13;14;15;16;17;18;19;20;21;22;23;24;25;26;27;28;29;30},
     COUNTIFS($V$2:$V$200,$G10)&gt;0,
     COUNTIFS($W$2:$W$200,$G10)&gt;0,
     COUNTIFS($X$2:$X$200,$G10)&gt;0,
     COUNTIFS($Y$2:$Y$200,$G10)&gt;0,
     COUNTIFS($Z$2:$Z$200,$G10)&gt;0,
     COUNTIFS($AA$2:$AA$200,$G10)&gt;0,
     COUNTIFS($AB$2:$AB$200,$G10)&gt;0,
     COUNTIFS($AC$2:$AC$200,$G10)&gt;0,
     COUNTIFS($AD$2:$AD$200,$G10)&gt;0,
     COUNTIFS($AE$2:$AE$200,$G10)&gt;0,
     COUNTIFS($AF$2:$AF$200,$G10)&gt;0,
     COUNTIFS($AG$2:$AG$200,$G10)&gt;0,
     COUNTIFS($AH$2:$AH$200,$G10)&gt;0,
     COUNTIFS($AI$2:$AI$200,$G10)&gt;0,
     COUNTIFS($AJ$2:$AJ$200,$G10)&gt;0,
     COUNTIFS($AK$2:$AK$200,$G10)&gt;0,
     COUNTIFS($AL$2:$AL$200,$G10)&gt;0,
     COUNTIFS($AM$2:$AM$200,$G10)&gt;0,
     COUNTIFS($AN$2:$AN$200,$G10)&gt;0,
     COUNTIFS($AO$2:$AO$200,$G10)&gt;0,
     COUNTIFS($AP$2:$AP$200,$G10)&gt;0,
     COUNTIFS($AQ$2:$AQ$200,$G10)&gt;0,
     COUNTIFS($AR$2:$AR$200,$G10)&gt;0,
     COUNTIFS($AS$2:$AS$200,$G10)&gt;0,
     COUNTIFS($AT$2:$AT$200,$G10)&gt;0,
     COUNTIFS($AU$2:$AU$200,$G10)&gt;0,
     COUNTIFS($AV$2:$AV$200,$G10)&gt;0,
     COUNTIFS($AW$2:$AW$200,$G10)&gt;0,
     COUNTIFS($AX$2:$AX$200,$G10)&gt;0,
     COUNTIFS($AY$2:$AY$200,$G10)&gt;0
   )),
  ),
  3
 ),
"")</f>
        <v/>
      </c>
      <c r="F10" s="2" t="str" cm="1">
        <f t="array" aca="1" ref="F10" ca="1">IFERROR(
 INDEX(
  _xlfn._xlws.FILTER($V$1:$AY$1,
   TRANSPOSE(
    CHOOSE({1;2;3;4;5;6;7;8;9;10;11;12;13;14;15;16;17;18;19;20;21;22;23;24;25;26;27;28;29;30},
     COUNTIFS($V$2:$V$200,$G10)&gt;0,
     COUNTIFS($W$2:$W$200,$G10)&gt;0,
     COUNTIFS($X$2:$X$200,$G10)&gt;0,
     COUNTIFS($Y$2:$Y$200,$G10)&gt;0,
     COUNTIFS($Z$2:$Z$200,$G10)&gt;0,
     COUNTIFS($AA$2:$AA$200,$G10)&gt;0,
     COUNTIFS($AB$2:$AB$200,$G10)&gt;0,
     COUNTIFS($AC$2:$AC$200,$G10)&gt;0,
     COUNTIFS($AD$2:$AD$200,$G10)&gt;0,
     COUNTIFS($AE$2:$AE$200,$G10)&gt;0,
     COUNTIFS($AF$2:$AF$200,$G10)&gt;0,
     COUNTIFS($AG$2:$AG$200,$G10)&gt;0,
     COUNTIFS($AH$2:$AH$200,$G10)&gt;0,
     COUNTIFS($AI$2:$AI$200,$G10)&gt;0,
     COUNTIFS($AJ$2:$AJ$200,$G10)&gt;0,
     COUNTIFS($AK$2:$AK$200,$G10)&gt;0,
     COUNTIFS($AL$2:$AL$200,$G10)&gt;0,
     COUNTIFS($AM$2:$AM$200,$G10)&gt;0,
     COUNTIFS($AN$2:$AN$200,$G10)&gt;0,
     COUNTIFS($AO$2:$AO$200,$G10)&gt;0,
     COUNTIFS($AP$2:$AP$200,$G10)&gt;0,
     COUNTIFS($AQ$2:$AQ$200,$G10)&gt;0,
     COUNTIFS($AR$2:$AR$200,$G10)&gt;0,
     COUNTIFS($AS$2:$AS$200,$G10)&gt;0,
     COUNTIFS($AT$2:$AT$200,$G10)&gt;0,
     COUNTIFS($AU$2:$AU$200,$G10)&gt;0,
     COUNTIFS($AV$2:$AV$200,$G10)&gt;0,
     COUNTIFS($AW$2:$AW$200,$G10)&gt;0,
     COUNTIFS($AX$2:$AX$200,$G10)&gt;0,
     COUNTIFS($AY$2:$AY$200,$G10)&gt;0
   )),
  ),
  4
 ),
"")</f>
        <v/>
      </c>
      <c r="G10" t="str">
        <f ca="1"/>
        <v>Aetherize</v>
      </c>
      <c r="H10" s="2" t="s">
        <v>421</v>
      </c>
      <c r="J10" t="s">
        <v>34</v>
      </c>
      <c r="K10" s="2">
        <f>[1]Akiri!G2</f>
        <v>14</v>
      </c>
      <c r="L10" s="2" t="s">
        <v>2</v>
      </c>
      <c r="M10" s="2" t="s">
        <v>3</v>
      </c>
      <c r="N10" s="2" t="s">
        <v>2</v>
      </c>
      <c r="O10" s="2" t="s">
        <v>3</v>
      </c>
      <c r="P10" s="2" t="s">
        <v>3</v>
      </c>
      <c r="Q10" s="2" t="s">
        <v>1</v>
      </c>
      <c r="R10" s="2" t="s">
        <v>0</v>
      </c>
      <c r="S10" s="2" t="s">
        <v>33</v>
      </c>
      <c r="T10" s="2" t="str">
        <f t="shared" si="3"/>
        <v>3</v>
      </c>
      <c r="V10" t="str">
        <v>Treasure Vault</v>
      </c>
      <c r="W10" t="str">
        <v>Exalted Sunborn</v>
      </c>
      <c r="X10" t="str">
        <v>Khorvath's Fury</v>
      </c>
      <c r="Y10" t="str">
        <v>Earthbender Ascension</v>
      </c>
      <c r="Z10" t="str">
        <v>Vault of the Archangel</v>
      </c>
      <c r="AA10" t="str">
        <v>Rogue's Passage</v>
      </c>
      <c r="AB10" t="str">
        <v>Reliquary Tower</v>
      </c>
      <c r="AC10" t="str">
        <v>Thousand-Year Elixir</v>
      </c>
      <c r="AD10" t="str">
        <v>The Tenth Doctor</v>
      </c>
      <c r="AE10" t="str">
        <v>Titania, Voice of Gaea</v>
      </c>
      <c r="AG10" t="str">
        <v>Wan Shi Tong, Librarian</v>
      </c>
      <c r="AH10" t="str">
        <v>Sea Gate Restoration</v>
      </c>
      <c r="AI10" t="str">
        <v>Reliquary Tower</v>
      </c>
      <c r="AJ10" t="str">
        <v>Stoneforge Mystic</v>
      </c>
      <c r="AK10" t="str">
        <v>The Peregrine Dynamo</v>
      </c>
      <c r="AO10" t="str">
        <v>Congregation at Dawn</v>
      </c>
      <c r="AR10" t="str">
        <v>Forest</v>
      </c>
      <c r="AX10" t="str">
        <v>Generous Patron</v>
      </c>
      <c r="AY10" t="str">
        <v>Haywire Mite</v>
      </c>
      <c r="BE10" t="str">
        <v>Ephara, God of the Polis</v>
      </c>
      <c r="BI10" t="str">
        <v>Cait Sith, Fortune Teller</v>
      </c>
      <c r="BJ10" t="str">
        <v>Aura Mutation</v>
      </c>
      <c r="BL10" t="str">
        <v>Black Waltz No. 3</v>
      </c>
      <c r="CI10" t="str">
        <f ca="1"/>
        <v>Chaos Warp</v>
      </c>
      <c r="CJ10" t="str">
        <f ca="1"/>
        <v>Champion of Lambholt</v>
      </c>
      <c r="CK10" t="str">
        <f ca="1"/>
        <v>Guide of Souls</v>
      </c>
      <c r="CL10" t="str">
        <f ca="1"/>
        <v>Merrow Commerce</v>
      </c>
      <c r="CM10" t="str">
        <f ca="1"/>
        <v>Mox Tantalite</v>
      </c>
      <c r="CN10" t="str">
        <f ca="1"/>
        <v>Rings of Brighthearth</v>
      </c>
      <c r="CO10" t="str">
        <f ca="1"/>
        <v>Glasspool Mimic</v>
      </c>
      <c r="CP10" t="str">
        <f ca="1"/>
        <v>Kaya the Inexorable</v>
      </c>
      <c r="CQ10" t="str">
        <f ca="1"/>
        <v>Zagoth Triome</v>
      </c>
      <c r="CR10" t="str">
        <f ca="1"/>
        <v>Command Tower</v>
      </c>
      <c r="CS10" t="str">
        <f ca="1"/>
        <v>Sink into Stupor</v>
      </c>
      <c r="CT10" t="str">
        <f ca="1"/>
        <v>Daretti, Ingenious Iconoclast</v>
      </c>
      <c r="CU10" t="str">
        <f ca="1"/>
        <v>Renewed Solidarity</v>
      </c>
      <c r="CW10" t="str">
        <f ca="1"/>
        <v>Dawnhand Dissident</v>
      </c>
      <c r="CZ10" t="str">
        <f ca="1"/>
        <v>Ephara, God of the Polis</v>
      </c>
      <c r="DB10" t="str">
        <f ca="1"/>
        <v>Cait Sith, Fortune Teller</v>
      </c>
      <c r="DC10" t="str">
        <f ca="1"/>
        <v>Aura Mutation</v>
      </c>
      <c r="DD10" t="str">
        <f ca="1"/>
        <v>Black Waltz No. 3</v>
      </c>
      <c r="DP10" t="str">
        <f ca="1"/>
        <v>Boros Charm</v>
      </c>
      <c r="DQ10" t="str">
        <f ca="1"/>
        <v>Eclipsed Realms</v>
      </c>
      <c r="DR10" t="str">
        <f ca="1"/>
        <v>Entomb</v>
      </c>
      <c r="DS10" t="str">
        <f ca="1"/>
        <v>Drowned Catacomb</v>
      </c>
      <c r="DT10" t="str">
        <f ca="1"/>
        <v>Cloudshredder Sliver</v>
      </c>
      <c r="DU10" t="str">
        <f ca="1"/>
        <v>Bugenhagen, Wise Elder</v>
      </c>
      <c r="DV10" t="str">
        <f ca="1"/>
        <v>Kambal, Profiteering Mayor</v>
      </c>
      <c r="DW10" t="str">
        <f ca="1"/>
        <v>Dawnhand Dissident</v>
      </c>
      <c r="DX10" t="str">
        <f ca="1"/>
        <v>Ephara, God of the Polis</v>
      </c>
      <c r="DY10" t="str">
        <f ca="1"/>
        <v>Cait Sith, Fortune Teller</v>
      </c>
      <c r="DZ10" t="str">
        <f ca="1"/>
        <v>Arabella, Abandoned Doll</v>
      </c>
      <c r="EG10" t="str">
        <f ca="1"/>
        <v>Aura Mutation</v>
      </c>
      <c r="EH10" t="str">
        <f ca="1"/>
        <v>Cid, Freeflier Pilot</v>
      </c>
      <c r="EI10" t="str">
        <f ca="1"/>
        <v>Beast Within</v>
      </c>
      <c r="EJ10" t="str">
        <f ca="1"/>
        <v>Cauldron of Souls</v>
      </c>
      <c r="EK10" t="str">
        <f ca="1"/>
        <v>Bonehoard Dracosaur</v>
      </c>
      <c r="EL10" t="str">
        <f ca="1"/>
        <v>Arabella, Abandoned Doll</v>
      </c>
      <c r="EP10" t="str">
        <f ca="1"/>
        <v>Arcane Lighthouse</v>
      </c>
      <c r="EQ10" t="str">
        <f ca="1"/>
        <v>Assassin's Trophy</v>
      </c>
      <c r="ER10" t="str">
        <f ca="1"/>
        <v>Anim Pakal, Thousandth Moon</v>
      </c>
      <c r="EU10" t="str">
        <f ca="1"/>
        <v>Aligned Heart</v>
      </c>
      <c r="EV10" t="str">
        <f ca="1"/>
        <v>Anim Pakal, Thousandth Moon</v>
      </c>
      <c r="EX10" t="str">
        <f ca="1"/>
        <v>Aetherize</v>
      </c>
    </row>
    <row r="11" spans="1:154" x14ac:dyDescent="0.25">
      <c r="A11" s="2" t="str">
        <f t="shared" ca="1" si="1"/>
        <v>3</v>
      </c>
      <c r="B11" s="2">
        <f t="shared" ca="1" si="2"/>
        <v>3</v>
      </c>
      <c r="C11" s="2" t="str">
        <f ca="1">IFERROR(
 INDEX($V$1:$BL$1,
  MATCH(TRUE,
   CHOOSE({1;2;3;4;5;6;7;8;9;10;11;12;13;14;15;16;17;18;19;20;21;22;23;24;25;26;27;28;29;30;31;32;33;34;35;36;37;38;39;40;41;42;43},
    COUNTIFS($V$2:$V$200,$G11)&gt;0,
    COUNTIFS($W$2:$W$200,$G11)&gt;0,
    COUNTIFS($X$2:$X$200,$G11)&gt;0,
    COUNTIFS($Y$2:$Y$200,$G11)&gt;0,
    COUNTIFS($Z$2:$Z$200,$G11)&gt;0,
    COUNTIFS($AA$2:$AA$200,$G11)&gt;0,
    COUNTIFS($AB$2:$AB$200,$G11)&gt;0,
    COUNTIFS($AC$2:$AC$200,$G11)&gt;0,
    COUNTIFS($AD$2:$AD$200,$G11)&gt;0,
    COUNTIFS($AE$2:$AE$200,$G11)&gt;0,
    COUNTIFS($AF$2:$AF$200,$G11)&gt;0,
    COUNTIFS($AG$2:$AG$200,$G11)&gt;0,
    COUNTIFS($AH$2:$AH$200,$G11)&gt;0,
    COUNTIFS($AI$2:$AI$200,$G11)&gt;0,
    COUNTIFS($AJ$2:$AJ$200,$G11)&gt;0,
    COUNTIFS($AK$2:$AK$200,$G11)&gt;0,
    COUNTIFS($AL$2:$AL$200,$G11)&gt;0,
    COUNTIFS($AM$2:$AM$200,$G11)&gt;0,
    COUNTIFS($AN$2:$AN$200,$G11)&gt;0,
    COUNTIFS($AO$2:$AO$200,$G11)&gt;0,
    COUNTIFS($AP$2:$AP$200,$G11)&gt;0,
    COUNTIFS($AQ$2:$AQ$200,$G11)&gt;0,
    COUNTIFS($AR$2:$AR$200,$G11)&gt;0,
    COUNTIFS($AS$2:$AS$200,$G11)&gt;0,
    COUNTIFS($AT$2:$AT$200,$G11)&gt;0,
    COUNTIFS($AU$2:$AU$200,$G11)&gt;0,
    COUNTIFS($AV$2:$AV$200,$G11)&gt;0,
    COUNTIFS($AW$2:$AW$200,$G11)&gt;0,
    COUNTIFS($AX$2:$AX$200,$G11)&gt;0,
    COUNTIFS($AY$2:$AY$200,$G11)&gt;0,
    COUNTIFS($AZ$2:$AZ$200,$G11)&gt;0,
    COUNTIFS($BA$2:$BA$200,$G11)&gt;0,
    COUNTIFS($BB$2:$BB$200,$G11)&gt;0,
    COUNTIFS($BC$2:$BC$200,$G11)&gt;0,
    COUNTIFS($BD$2:$BD$200,$G11)&gt;0,
    COUNTIFS($BE$2:$BE$200,$G11)&gt;0,
    COUNTIFS($BF$2:$BF$200,$G11)&gt;0,
    COUNTIFS($BG$2:$BG$200,$G11)&gt;0,
    COUNTIFS($BH$2:$BH$200,$G11)&gt;0,
    COUNTIFS($BI$2:$BI$200,$G11)&gt;0,
    COUNTIFS($BJ$2:$BJ$200,$G11)&gt;0,
    COUNTIFS($BK$2:$BK$200,$G11)&gt;0,
    COUNTIFS($BL$2:$BL$200,$G11)&gt;0,
    COUNTIFS($BM$2:$BM$200,$G11)&gt;0,
   ),
  0)
 ),
"")</f>
        <v>JhoiraB</v>
      </c>
      <c r="D11" s="2" t="str" cm="1">
        <f t="array" aca="1" ref="D11" ca="1">IFERROR(
 INDEX(
  _xlfn._xlws.FILTER($V$1:$AY$1,
   TRANSPOSE(
    CHOOSE({1;2;3;4;5;6;7;8;9;10;11;12;13;14;15;16;17;18;19;20;21;22;23;24;25;26;27;28;29;30},
     COUNTIFS($V$2:$V$200,$G11)&gt;0,
     COUNTIFS($W$2:$W$200,$G11)&gt;0,
     COUNTIFS($X$2:$X$200,$G11)&gt;0,
     COUNTIFS($Y$2:$Y$200,$G11)&gt;0,
     COUNTIFS($Z$2:$Z$200,$G11)&gt;0,
     COUNTIFS($AA$2:$AA$200,$G11)&gt;0,
     COUNTIFS($AB$2:$AB$200,$G11)&gt;0,
     COUNTIFS($AC$2:$AC$200,$G11)&gt;0,
     COUNTIFS($AD$2:$AD$200,$G11)&gt;0,
     COUNTIFS($AE$2:$AE$200,$G11)&gt;0,
     COUNTIFS($AF$2:$AF$200,$G11)&gt;0,
     COUNTIFS($AG$2:$AG$200,$G11)&gt;0,
     COUNTIFS($AH$2:$AH$200,$G11)&gt;0,
     COUNTIFS($AI$2:$AI$200,$G11)&gt;0,
     COUNTIFS($AJ$2:$AJ$200,$G11)&gt;0,
     COUNTIFS($AK$2:$AK$200,$G11)&gt;0,
     COUNTIFS($AL$2:$AL$200,$G11)&gt;0,
     COUNTIFS($AM$2:$AM$200,$G11)&gt;0,
     COUNTIFS($AN$2:$AN$200,$G11)&gt;0,
     COUNTIFS($AO$2:$AO$200,$G11)&gt;0,
     COUNTIFS($AP$2:$AP$200,$G11)&gt;0,
     COUNTIFS($AQ$2:$AQ$200,$G11)&gt;0,
     COUNTIFS($AR$2:$AR$200,$G11)&gt;0,
     COUNTIFS($AS$2:$AS$200,$G11)&gt;0,
     COUNTIFS($AT$2:$AT$200,$G11)&gt;0,
     COUNTIFS($AU$2:$AU$200,$G11)&gt;0,
     COUNTIFS($AV$2:$AV$200,$G11)&gt;0,
     COUNTIFS($AW$2:$AW$200,$G11)&gt;0,
     COUNTIFS($AX$2:$AX$200,$G11)&gt;0,
     COUNTIFS($AY$2:$AY$200,$G11)&gt;0
   )),
  ),
  2
 ),
"")</f>
        <v>Jhoira</v>
      </c>
      <c r="E11" s="2" t="str" cm="1">
        <f t="array" aca="1" ref="E11" ca="1">IFERROR(
 INDEX(
  _xlfn._xlws.FILTER($V$1:$AY$1,
   TRANSPOSE(
    CHOOSE({1;2;3;4;5;6;7;8;9;10;11;12;13;14;15;16;17;18;19;20;21;22;23;24;25;26;27;28;29;30},
     COUNTIFS($V$2:$V$200,$G11)&gt;0,
     COUNTIFS($W$2:$W$200,$G11)&gt;0,
     COUNTIFS($X$2:$X$200,$G11)&gt;0,
     COUNTIFS($Y$2:$Y$200,$G11)&gt;0,
     COUNTIFS($Z$2:$Z$200,$G11)&gt;0,
     COUNTIFS($AA$2:$AA$200,$G11)&gt;0,
     COUNTIFS($AB$2:$AB$200,$G11)&gt;0,
     COUNTIFS($AC$2:$AC$200,$G11)&gt;0,
     COUNTIFS($AD$2:$AD$200,$G11)&gt;0,
     COUNTIFS($AE$2:$AE$200,$G11)&gt;0,
     COUNTIFS($AF$2:$AF$200,$G11)&gt;0,
     COUNTIFS($AG$2:$AG$200,$G11)&gt;0,
     COUNTIFS($AH$2:$AH$200,$G11)&gt;0,
     COUNTIFS($AI$2:$AI$200,$G11)&gt;0,
     COUNTIFS($AJ$2:$AJ$200,$G11)&gt;0,
     COUNTIFS($AK$2:$AK$200,$G11)&gt;0,
     COUNTIFS($AL$2:$AL$200,$G11)&gt;0,
     COUNTIFS($AM$2:$AM$200,$G11)&gt;0,
     COUNTIFS($AN$2:$AN$200,$G11)&gt;0,
     COUNTIFS($AO$2:$AO$200,$G11)&gt;0,
     COUNTIFS($AP$2:$AP$200,$G11)&gt;0,
     COUNTIFS($AQ$2:$AQ$200,$G11)&gt;0,
     COUNTIFS($AR$2:$AR$200,$G11)&gt;0,
     COUNTIFS($AS$2:$AS$200,$G11)&gt;0,
     COUNTIFS($AT$2:$AT$200,$G11)&gt;0,
     COUNTIFS($AU$2:$AU$200,$G11)&gt;0,
     COUNTIFS($AV$2:$AV$200,$G11)&gt;0,
     COUNTIFS($AW$2:$AW$200,$G11)&gt;0,
     COUNTIFS($AX$2:$AX$200,$G11)&gt;0,
     COUNTIFS($AY$2:$AY$200,$G11)&gt;0
   )),
  ),
  3
 ),
"")</f>
        <v>Rielle</v>
      </c>
      <c r="F11" s="2" t="str" cm="1">
        <f t="array" aca="1" ref="F11" ca="1">IFERROR(
 INDEX(
  _xlfn._xlws.FILTER($V$1:$AY$1,
   TRANSPOSE(
    CHOOSE({1;2;3;4;5;6;7;8;9;10;11;12;13;14;15;16;17;18;19;20;21;22;23;24;25;26;27;28;29;30},
     COUNTIFS($V$2:$V$200,$G11)&gt;0,
     COUNTIFS($W$2:$W$200,$G11)&gt;0,
     COUNTIFS($X$2:$X$200,$G11)&gt;0,
     COUNTIFS($Y$2:$Y$200,$G11)&gt;0,
     COUNTIFS($Z$2:$Z$200,$G11)&gt;0,
     COUNTIFS($AA$2:$AA$200,$G11)&gt;0,
     COUNTIFS($AB$2:$AB$200,$G11)&gt;0,
     COUNTIFS($AC$2:$AC$200,$G11)&gt;0,
     COUNTIFS($AD$2:$AD$200,$G11)&gt;0,
     COUNTIFS($AE$2:$AE$200,$G11)&gt;0,
     COUNTIFS($AF$2:$AF$200,$G11)&gt;0,
     COUNTIFS($AG$2:$AG$200,$G11)&gt;0,
     COUNTIFS($AH$2:$AH$200,$G11)&gt;0,
     COUNTIFS($AI$2:$AI$200,$G11)&gt;0,
     COUNTIFS($AJ$2:$AJ$200,$G11)&gt;0,
     COUNTIFS($AK$2:$AK$200,$G11)&gt;0,
     COUNTIFS($AL$2:$AL$200,$G11)&gt;0,
     COUNTIFS($AM$2:$AM$200,$G11)&gt;0,
     COUNTIFS($AN$2:$AN$200,$G11)&gt;0,
     COUNTIFS($AO$2:$AO$200,$G11)&gt;0,
     COUNTIFS($AP$2:$AP$200,$G11)&gt;0,
     COUNTIFS($AQ$2:$AQ$200,$G11)&gt;0,
     COUNTIFS($AR$2:$AR$200,$G11)&gt;0,
     COUNTIFS($AS$2:$AS$200,$G11)&gt;0,
     COUNTIFS($AT$2:$AT$200,$G11)&gt;0,
     COUNTIFS($AU$2:$AU$200,$G11)&gt;0,
     COUNTIFS($AV$2:$AV$200,$G11)&gt;0,
     COUNTIFS($AW$2:$AW$200,$G11)&gt;0,
     COUNTIFS($AX$2:$AX$200,$G11)&gt;0,
     COUNTIFS($AY$2:$AY$200,$G11)&gt;0
   )),
  ),
  4
 ),
"")</f>
        <v/>
      </c>
      <c r="G11" t="str">
        <f ca="1"/>
        <v>Agna Qel'a</v>
      </c>
      <c r="H11" s="2" t="s">
        <v>417</v>
      </c>
      <c r="J11" t="s">
        <v>55</v>
      </c>
      <c r="K11" s="2">
        <f>[1]Carlos!G2</f>
        <v>9</v>
      </c>
      <c r="L11" s="2" t="s">
        <v>2</v>
      </c>
      <c r="M11" s="2" t="s">
        <v>3</v>
      </c>
      <c r="N11" s="2" t="s">
        <v>3</v>
      </c>
      <c r="O11" s="2" t="s">
        <v>2</v>
      </c>
      <c r="P11" s="2" t="s">
        <v>3</v>
      </c>
      <c r="Q11" s="2" t="s">
        <v>0</v>
      </c>
      <c r="R11" s="2" t="s">
        <v>4</v>
      </c>
      <c r="S11" s="2" t="s">
        <v>54</v>
      </c>
      <c r="T11" s="2" t="str">
        <f t="shared" si="3"/>
        <v>2</v>
      </c>
      <c r="W11" t="str">
        <v>Farmer Cotton</v>
      </c>
      <c r="X11" t="str">
        <v>Maddening Cacophony</v>
      </c>
      <c r="Y11" t="str">
        <v>Farhaven Elf</v>
      </c>
      <c r="AA11" t="str">
        <v>Waterbender's Restoration</v>
      </c>
      <c r="AB11" t="str">
        <v>Seahunter</v>
      </c>
      <c r="AD11" t="str">
        <v>Thran Dynamo</v>
      </c>
      <c r="AE11" t="str">
        <v>Ulamog, the Infinite Gyre</v>
      </c>
      <c r="AG11" t="str">
        <v>Watery Grave</v>
      </c>
      <c r="AH11" t="str">
        <v>Shizo, Death's Storehouse</v>
      </c>
      <c r="AI11" t="str">
        <v>Rimekin Recluse</v>
      </c>
      <c r="AJ11" t="str">
        <v>Sword of Feast and Famine</v>
      </c>
      <c r="AK11" t="str">
        <v>Vronos, Masked Inquisitor</v>
      </c>
      <c r="AO11" t="str">
        <v>Constricting Sliver</v>
      </c>
      <c r="AR11" t="str">
        <v>Jenova, Ancient Calamity</v>
      </c>
      <c r="AX11" t="str">
        <v>Grim Affliction</v>
      </c>
      <c r="AY11" t="str">
        <v>Karn's Bastion</v>
      </c>
      <c r="BE11" t="str">
        <v>Ephemerate</v>
      </c>
      <c r="BI11" t="str">
        <v>Chaos Wand</v>
      </c>
      <c r="BJ11" t="str">
        <v>Aurelia, the Law Above</v>
      </c>
      <c r="BL11" t="str">
        <v>Blasphemous Act</v>
      </c>
      <c r="CI11" t="str">
        <f ca="1"/>
        <v>Clever Concealment</v>
      </c>
      <c r="CJ11" t="str">
        <f ca="1"/>
        <v>Colonel Autumn</v>
      </c>
      <c r="CK11" t="str">
        <f ca="1"/>
        <v>Life of the Party</v>
      </c>
      <c r="CL11" t="str">
        <f ca="1"/>
        <v>Merrow Harbinger</v>
      </c>
      <c r="CM11" t="str">
        <f ca="1"/>
        <v>Petrified Field</v>
      </c>
      <c r="CN11" t="str">
        <f ca="1"/>
        <v>Sonic Screwdriver</v>
      </c>
      <c r="CO11" t="str">
        <f ca="1"/>
        <v>Keen Duelist</v>
      </c>
      <c r="CP11" t="str">
        <f ca="1"/>
        <v>Kellan, the Fae-Blooded // Birthright Boon</v>
      </c>
      <c r="CR11" t="str">
        <f ca="1"/>
        <v>Congregation at Dawn</v>
      </c>
      <c r="CS11" t="str">
        <f ca="1"/>
        <v>Sokenzan, Crucible of Defiance</v>
      </c>
      <c r="CT11" t="str">
        <f ca="1"/>
        <v>Forest</v>
      </c>
      <c r="CU11" t="str">
        <f ca="1"/>
        <v>Scattered Groves</v>
      </c>
      <c r="CW11" t="str">
        <f ca="1"/>
        <v>Deserted Temple</v>
      </c>
      <c r="CZ11" t="str">
        <f ca="1"/>
        <v>Ephemerate</v>
      </c>
      <c r="DB11" t="str">
        <f ca="1"/>
        <v>Chaos Wand</v>
      </c>
      <c r="DC11" t="str">
        <f ca="1"/>
        <v>Aurelia, the Law Above</v>
      </c>
      <c r="DD11" t="str">
        <f ca="1"/>
        <v>Blasphemous Act</v>
      </c>
      <c r="DP11" t="str">
        <f ca="1"/>
        <v>Brass's Tunnel-Grinder</v>
      </c>
      <c r="DQ11" t="str">
        <f ca="1"/>
        <v>Enduring Innocence</v>
      </c>
      <c r="DR11" t="str">
        <f ca="1"/>
        <v>Glen Elendra's Answer</v>
      </c>
      <c r="DS11" t="str">
        <f ca="1"/>
        <v>Elspeth, Sun's Champion</v>
      </c>
      <c r="DT11" t="str">
        <f ca="1"/>
        <v>Command Tower</v>
      </c>
      <c r="DU11" t="str">
        <f ca="1"/>
        <v>Careful Study</v>
      </c>
      <c r="DV11" t="str">
        <f ca="1"/>
        <v>Mirror Pool</v>
      </c>
      <c r="DW11" t="str">
        <f ca="1"/>
        <v>Deserted Temple</v>
      </c>
      <c r="DX11" t="str">
        <f ca="1"/>
        <v>Ephemerate</v>
      </c>
      <c r="DY11" t="str">
        <f ca="1"/>
        <v>Chaos Wand</v>
      </c>
      <c r="DZ11" t="str">
        <f ca="1"/>
        <v>Archdruid's Charm</v>
      </c>
      <c r="EG11" t="str">
        <f ca="1"/>
        <v>Authority of the Consuls</v>
      </c>
      <c r="EH11" t="str">
        <f ca="1"/>
        <v>Cloud, Midgar Mercenary</v>
      </c>
      <c r="EI11" t="str">
        <f ca="1"/>
        <v>Beifong's Bounty Hunters</v>
      </c>
      <c r="EJ11" t="str">
        <f ca="1"/>
        <v>Cinder Strike</v>
      </c>
      <c r="EK11" t="str">
        <f ca="1"/>
        <v>Boros Charm</v>
      </c>
      <c r="EL11" t="str">
        <f ca="1"/>
        <v>Archdruid's Charm</v>
      </c>
      <c r="EP11" t="str">
        <f ca="1"/>
        <v>Arid Mesa</v>
      </c>
      <c r="EQ11" t="str">
        <f ca="1"/>
        <v>Baral, Chief of Compliance</v>
      </c>
      <c r="ER11" t="str">
        <f ca="1"/>
        <v>Annie Joins Up</v>
      </c>
      <c r="EU11" t="str">
        <f ca="1"/>
        <v>Ammit Eternal</v>
      </c>
      <c r="EV11" t="str">
        <f ca="1"/>
        <v>Annie Joins Up</v>
      </c>
      <c r="EX11" t="str">
        <f ca="1"/>
        <v>Agna Qel'a</v>
      </c>
    </row>
    <row r="12" spans="1:154" x14ac:dyDescent="0.25">
      <c r="A12" s="2" t="str">
        <f t="shared" ca="1" si="1"/>
        <v>5</v>
      </c>
      <c r="B12" s="2">
        <f t="shared" ca="1" si="2"/>
        <v>1</v>
      </c>
      <c r="C12" s="2" t="str">
        <f ca="1">IFERROR(
 INDEX($V$1:$BL$1,
  MATCH(TRUE,
   CHOOSE({1;2;3;4;5;6;7;8;9;10;11;12;13;14;15;16;17;18;19;20;21;22;23;24;25;26;27;28;29;30;31;32;33;34;35;36;37;38;39;40;41;42;43},
    COUNTIFS($V$2:$V$200,$G12)&gt;0,
    COUNTIFS($W$2:$W$200,$G12)&gt;0,
    COUNTIFS($X$2:$X$200,$G12)&gt;0,
    COUNTIFS($Y$2:$Y$200,$G12)&gt;0,
    COUNTIFS($Z$2:$Z$200,$G12)&gt;0,
    COUNTIFS($AA$2:$AA$200,$G12)&gt;0,
    COUNTIFS($AB$2:$AB$200,$G12)&gt;0,
    COUNTIFS($AC$2:$AC$200,$G12)&gt;0,
    COUNTIFS($AD$2:$AD$200,$G12)&gt;0,
    COUNTIFS($AE$2:$AE$200,$G12)&gt;0,
    COUNTIFS($AF$2:$AF$200,$G12)&gt;0,
    COUNTIFS($AG$2:$AG$200,$G12)&gt;0,
    COUNTIFS($AH$2:$AH$200,$G12)&gt;0,
    COUNTIFS($AI$2:$AI$200,$G12)&gt;0,
    COUNTIFS($AJ$2:$AJ$200,$G12)&gt;0,
    COUNTIFS($AK$2:$AK$200,$G12)&gt;0,
    COUNTIFS($AL$2:$AL$200,$G12)&gt;0,
    COUNTIFS($AM$2:$AM$200,$G12)&gt;0,
    COUNTIFS($AN$2:$AN$200,$G12)&gt;0,
    COUNTIFS($AO$2:$AO$200,$G12)&gt;0,
    COUNTIFS($AP$2:$AP$200,$G12)&gt;0,
    COUNTIFS($AQ$2:$AQ$200,$G12)&gt;0,
    COUNTIFS($AR$2:$AR$200,$G12)&gt;0,
    COUNTIFS($AS$2:$AS$200,$G12)&gt;0,
    COUNTIFS($AT$2:$AT$200,$G12)&gt;0,
    COUNTIFS($AU$2:$AU$200,$G12)&gt;0,
    COUNTIFS($AV$2:$AV$200,$G12)&gt;0,
    COUNTIFS($AW$2:$AW$200,$G12)&gt;0,
    COUNTIFS($AX$2:$AX$200,$G12)&gt;0,
    COUNTIFS($AY$2:$AY$200,$G12)&gt;0,
    COUNTIFS($AZ$2:$AZ$200,$G12)&gt;0,
    COUNTIFS($BA$2:$BA$200,$G12)&gt;0,
    COUNTIFS($BB$2:$BB$200,$G12)&gt;0,
    COUNTIFS($BC$2:$BC$200,$G12)&gt;0,
    COUNTIFS($BD$2:$BD$200,$G12)&gt;0,
    COUNTIFS($BE$2:$BE$200,$G12)&gt;0,
    COUNTIFS($BF$2:$BF$200,$G12)&gt;0,
    COUNTIFS($BG$2:$BG$200,$G12)&gt;0,
    COUNTIFS($BH$2:$BH$200,$G12)&gt;0,
    COUNTIFS($BI$2:$BI$200,$G12)&gt;0,
    COUNTIFS($BJ$2:$BJ$200,$G12)&gt;0,
    COUNTIFS($BK$2:$BK$200,$G12)&gt;0,
    COUNTIFS($BL$2:$BL$200,$G12)&gt;0,
    COUNTIFS($BM$2:$BM$200,$G12)&gt;0,
   ),
  0)
 ),
"")</f>
        <v>Little</v>
      </c>
      <c r="D12" s="2" t="str" cm="1">
        <f t="array" aca="1" ref="D12" ca="1">IFERROR(
 INDEX(
  _xlfn._xlws.FILTER($V$1:$AY$1,
   TRANSPOSE(
    CHOOSE({1;2;3;4;5;6;7;8;9;10;11;12;13;14;15;16;17;18;19;20;21;22;23;24;25;26;27;28;29;30},
     COUNTIFS($V$2:$V$200,$G12)&gt;0,
     COUNTIFS($W$2:$W$200,$G12)&gt;0,
     COUNTIFS($X$2:$X$200,$G12)&gt;0,
     COUNTIFS($Y$2:$Y$200,$G12)&gt;0,
     COUNTIFS($Z$2:$Z$200,$G12)&gt;0,
     COUNTIFS($AA$2:$AA$200,$G12)&gt;0,
     COUNTIFS($AB$2:$AB$200,$G12)&gt;0,
     COUNTIFS($AC$2:$AC$200,$G12)&gt;0,
     COUNTIFS($AD$2:$AD$200,$G12)&gt;0,
     COUNTIFS($AE$2:$AE$200,$G12)&gt;0,
     COUNTIFS($AF$2:$AF$200,$G12)&gt;0,
     COUNTIFS($AG$2:$AG$200,$G12)&gt;0,
     COUNTIFS($AH$2:$AH$200,$G12)&gt;0,
     COUNTIFS($AI$2:$AI$200,$G12)&gt;0,
     COUNTIFS($AJ$2:$AJ$200,$G12)&gt;0,
     COUNTIFS($AK$2:$AK$200,$G12)&gt;0,
     COUNTIFS($AL$2:$AL$200,$G12)&gt;0,
     COUNTIFS($AM$2:$AM$200,$G12)&gt;0,
     COUNTIFS($AN$2:$AN$200,$G12)&gt;0,
     COUNTIFS($AO$2:$AO$200,$G12)&gt;0,
     COUNTIFS($AP$2:$AP$200,$G12)&gt;0,
     COUNTIFS($AQ$2:$AQ$200,$G12)&gt;0,
     COUNTIFS($AR$2:$AR$200,$G12)&gt;0,
     COUNTIFS($AS$2:$AS$200,$G12)&gt;0,
     COUNTIFS($AT$2:$AT$200,$G12)&gt;0,
     COUNTIFS($AU$2:$AU$200,$G12)&gt;0,
     COUNTIFS($AV$2:$AV$200,$G12)&gt;0,
     COUNTIFS($AW$2:$AW$200,$G12)&gt;0,
     COUNTIFS($AX$2:$AX$200,$G12)&gt;0,
     COUNTIFS($AY$2:$AY$200,$G12)&gt;0
   )),
  ),
  2
 ),
"")</f>
        <v/>
      </c>
      <c r="E12" s="2" t="str" cm="1">
        <f t="array" aca="1" ref="E12" ca="1">IFERROR(
 INDEX(
  _xlfn._xlws.FILTER($V$1:$AY$1,
   TRANSPOSE(
    CHOOSE({1;2;3;4;5;6;7;8;9;10;11;12;13;14;15;16;17;18;19;20;21;22;23;24;25;26;27;28;29;30},
     COUNTIFS($V$2:$V$200,$G12)&gt;0,
     COUNTIFS($W$2:$W$200,$G12)&gt;0,
     COUNTIFS($X$2:$X$200,$G12)&gt;0,
     COUNTIFS($Y$2:$Y$200,$G12)&gt;0,
     COUNTIFS($Z$2:$Z$200,$G12)&gt;0,
     COUNTIFS($AA$2:$AA$200,$G12)&gt;0,
     COUNTIFS($AB$2:$AB$200,$G12)&gt;0,
     COUNTIFS($AC$2:$AC$200,$G12)&gt;0,
     COUNTIFS($AD$2:$AD$200,$G12)&gt;0,
     COUNTIFS($AE$2:$AE$200,$G12)&gt;0,
     COUNTIFS($AF$2:$AF$200,$G12)&gt;0,
     COUNTIFS($AG$2:$AG$200,$G12)&gt;0,
     COUNTIFS($AH$2:$AH$200,$G12)&gt;0,
     COUNTIFS($AI$2:$AI$200,$G12)&gt;0,
     COUNTIFS($AJ$2:$AJ$200,$G12)&gt;0,
     COUNTIFS($AK$2:$AK$200,$G12)&gt;0,
     COUNTIFS($AL$2:$AL$200,$G12)&gt;0,
     COUNTIFS($AM$2:$AM$200,$G12)&gt;0,
     COUNTIFS($AN$2:$AN$200,$G12)&gt;0,
     COUNTIFS($AO$2:$AO$200,$G12)&gt;0,
     COUNTIFS($AP$2:$AP$200,$G12)&gt;0,
     COUNTIFS($AQ$2:$AQ$200,$G12)&gt;0,
     COUNTIFS($AR$2:$AR$200,$G12)&gt;0,
     COUNTIFS($AS$2:$AS$200,$G12)&gt;0,
     COUNTIFS($AT$2:$AT$200,$G12)&gt;0,
     COUNTIFS($AU$2:$AU$200,$G12)&gt;0,
     COUNTIFS($AV$2:$AV$200,$G12)&gt;0,
     COUNTIFS($AW$2:$AW$200,$G12)&gt;0,
     COUNTIFS($AX$2:$AX$200,$G12)&gt;0,
     COUNTIFS($AY$2:$AY$200,$G12)&gt;0
   )),
  ),
  3
 ),
"")</f>
        <v/>
      </c>
      <c r="F12" s="2" t="str" cm="1">
        <f t="array" aca="1" ref="F12" ca="1">IFERROR(
 INDEX(
  _xlfn._xlws.FILTER($V$1:$AY$1,
   TRANSPOSE(
    CHOOSE({1;2;3;4;5;6;7;8;9;10;11;12;13;14;15;16;17;18;19;20;21;22;23;24;25;26;27;28;29;30},
     COUNTIFS($V$2:$V$200,$G12)&gt;0,
     COUNTIFS($W$2:$W$200,$G12)&gt;0,
     COUNTIFS($X$2:$X$200,$G12)&gt;0,
     COUNTIFS($Y$2:$Y$200,$G12)&gt;0,
     COUNTIFS($Z$2:$Z$200,$G12)&gt;0,
     COUNTIFS($AA$2:$AA$200,$G12)&gt;0,
     COUNTIFS($AB$2:$AB$200,$G12)&gt;0,
     COUNTIFS($AC$2:$AC$200,$G12)&gt;0,
     COUNTIFS($AD$2:$AD$200,$G12)&gt;0,
     COUNTIFS($AE$2:$AE$200,$G12)&gt;0,
     COUNTIFS($AF$2:$AF$200,$G12)&gt;0,
     COUNTIFS($AG$2:$AG$200,$G12)&gt;0,
     COUNTIFS($AH$2:$AH$200,$G12)&gt;0,
     COUNTIFS($AI$2:$AI$200,$G12)&gt;0,
     COUNTIFS($AJ$2:$AJ$200,$G12)&gt;0,
     COUNTIFS($AK$2:$AK$200,$G12)&gt;0,
     COUNTIFS($AL$2:$AL$200,$G12)&gt;0,
     COUNTIFS($AM$2:$AM$200,$G12)&gt;0,
     COUNTIFS($AN$2:$AN$200,$G12)&gt;0,
     COUNTIFS($AO$2:$AO$200,$G12)&gt;0,
     COUNTIFS($AP$2:$AP$200,$G12)&gt;0,
     COUNTIFS($AQ$2:$AQ$200,$G12)&gt;0,
     COUNTIFS($AR$2:$AR$200,$G12)&gt;0,
     COUNTIFS($AS$2:$AS$200,$G12)&gt;0,
     COUNTIFS($AT$2:$AT$200,$G12)&gt;0,
     COUNTIFS($AU$2:$AU$200,$G12)&gt;0,
     COUNTIFS($AV$2:$AV$200,$G12)&gt;0,
     COUNTIFS($AW$2:$AW$200,$G12)&gt;0,
     COUNTIFS($AX$2:$AX$200,$G12)&gt;0,
     COUNTIFS($AY$2:$AY$200,$G12)&gt;0
   )),
  ),
  4
 ),
"")</f>
        <v/>
      </c>
      <c r="G12" t="str">
        <f ca="1"/>
        <v>Ainok Strike Leader</v>
      </c>
      <c r="H12" s="2" t="s">
        <v>418</v>
      </c>
      <c r="L12" s="2" t="s">
        <v>2</v>
      </c>
      <c r="M12" s="2" t="s">
        <v>3</v>
      </c>
      <c r="N12" s="2" t="s">
        <v>3</v>
      </c>
      <c r="O12" s="2" t="s">
        <v>3</v>
      </c>
      <c r="P12" s="2" t="s">
        <v>2</v>
      </c>
      <c r="T12" s="2" t="str">
        <f t="shared" si="3"/>
        <v>1</v>
      </c>
      <c r="W12" t="str">
        <v>Gavony Township</v>
      </c>
      <c r="X12" t="str">
        <v>Psychic Corrosion</v>
      </c>
      <c r="Y12" t="str">
        <v>Gavony Township</v>
      </c>
      <c r="AB12" t="str">
        <v>Stonybrook Banneret</v>
      </c>
      <c r="AD12" t="str">
        <v>Ulamog, the Defiler</v>
      </c>
      <c r="AH12" t="str">
        <v>Temporal Manipulation</v>
      </c>
      <c r="AI12" t="str">
        <v>Tarrian's Journal</v>
      </c>
      <c r="AJ12" t="str">
        <v>Sword of Fire and Ice</v>
      </c>
      <c r="AO12" t="str">
        <v>Crypt Sliver</v>
      </c>
      <c r="AR12" t="str">
        <v>Mandate of Abaddon</v>
      </c>
      <c r="AX12" t="str">
        <v>Heirloom Auntie</v>
      </c>
      <c r="AY12" t="str">
        <v>Liquimetal Torque</v>
      </c>
      <c r="BE12" t="str">
        <v>Felidar Guardian</v>
      </c>
      <c r="BI12" t="str">
        <v>Cunning Rhetoric</v>
      </c>
      <c r="BJ12" t="str">
        <v>Battlefield Forge</v>
      </c>
      <c r="BL12" t="str">
        <v>Bojuka Bog</v>
      </c>
      <c r="CI12" t="str">
        <f ca="1"/>
        <v>Exalted Sunborn</v>
      </c>
      <c r="CJ12" t="str">
        <f ca="1"/>
        <v>Court of Garenbrig</v>
      </c>
      <c r="CK12" t="str">
        <f ca="1"/>
        <v>Obsessive Pursuit</v>
      </c>
      <c r="CL12" t="str">
        <f ca="1"/>
        <v>Misty Rainforest</v>
      </c>
      <c r="CM12" t="str">
        <f ca="1"/>
        <v>Phyrexian Tower</v>
      </c>
      <c r="CN12" t="str">
        <f ca="1"/>
        <v>Spectator Seating</v>
      </c>
      <c r="CO12" t="str">
        <f ca="1"/>
        <v>Mistbind Clique</v>
      </c>
      <c r="CP12" t="str">
        <f ca="1"/>
        <v>Lavaspur Boots</v>
      </c>
      <c r="CR12" t="str">
        <f ca="1"/>
        <v>Constricting Sliver</v>
      </c>
      <c r="CS12" t="str">
        <f ca="1"/>
        <v>Sonic Screwdriver</v>
      </c>
      <c r="CT12" t="str">
        <f ca="1"/>
        <v>Illustrious Wanderglyph</v>
      </c>
      <c r="CU12" t="str">
        <f ca="1"/>
        <v>Springleaf Parade</v>
      </c>
      <c r="CW12" t="str">
        <f ca="1"/>
        <v>Earthshape</v>
      </c>
      <c r="CZ12" t="str">
        <f ca="1"/>
        <v>Felidar Guardian</v>
      </c>
      <c r="DB12" t="str">
        <f ca="1"/>
        <v>Cunning Rhetoric</v>
      </c>
      <c r="DC12" t="str">
        <f ca="1"/>
        <v>Battlefield Forge</v>
      </c>
      <c r="DD12" t="str">
        <f ca="1"/>
        <v>Bojuka Bog</v>
      </c>
      <c r="DP12" t="str">
        <f ca="1"/>
        <v>Broadside Bombardiers</v>
      </c>
      <c r="DQ12" t="str">
        <f ca="1"/>
        <v>Forsaken Miner</v>
      </c>
      <c r="DR12" t="str">
        <f ca="1"/>
        <v>Inventors' Fair</v>
      </c>
      <c r="DS12" t="str">
        <f ca="1"/>
        <v>Faerie Slumber Party</v>
      </c>
      <c r="DT12" t="str">
        <f ca="1"/>
        <v>Congregation at Dawn</v>
      </c>
      <c r="DU12" t="str">
        <f ca="1"/>
        <v>Chandra's Ignition</v>
      </c>
      <c r="DV12" t="str">
        <f ca="1"/>
        <v>Monk Gyatso</v>
      </c>
      <c r="DW12" t="str">
        <f ca="1"/>
        <v>Earthshape</v>
      </c>
      <c r="DX12" t="str">
        <f ca="1"/>
        <v>Felidar Guardian</v>
      </c>
      <c r="DY12" t="str">
        <f ca="1"/>
        <v>Cunning Rhetoric</v>
      </c>
      <c r="DZ12" t="str">
        <f ca="1"/>
        <v>Artifact Mutation</v>
      </c>
      <c r="EG12" t="str">
        <f ca="1"/>
        <v>Ba Sing Se</v>
      </c>
      <c r="EH12" t="str">
        <f ca="1"/>
        <v>Commodore Guff</v>
      </c>
      <c r="EI12" t="str">
        <f ca="1"/>
        <v>Blasphemous Act</v>
      </c>
      <c r="EJ12" t="str">
        <f ca="1"/>
        <v>Contagion Engine</v>
      </c>
      <c r="EK12" t="str">
        <f ca="1"/>
        <v>Cait Sith, Fortune Teller</v>
      </c>
      <c r="EL12" t="str">
        <f ca="1"/>
        <v>Artifact Mutation</v>
      </c>
      <c r="EP12" t="str">
        <f ca="1"/>
        <v>Artifact Mutation</v>
      </c>
      <c r="EQ12" t="str">
        <f ca="1"/>
        <v>Basal Sliver</v>
      </c>
      <c r="ER12" t="str">
        <f ca="1"/>
        <v>Arabella, Abandoned Doll</v>
      </c>
      <c r="EU12" t="str">
        <f ca="1"/>
        <v>Amphibian Downpour</v>
      </c>
      <c r="EV12" t="str">
        <f ca="1"/>
        <v>Arabella, Abandoned Doll</v>
      </c>
      <c r="EX12" t="str">
        <f ca="1"/>
        <v>Ainok Strike Leader</v>
      </c>
    </row>
    <row r="13" spans="1:154" x14ac:dyDescent="0.25">
      <c r="A13" s="2" t="str">
        <f t="shared" ca="1" si="1"/>
        <v>2</v>
      </c>
      <c r="B13" s="2">
        <f t="shared" ca="1" si="2"/>
        <v>2</v>
      </c>
      <c r="C13" s="2" t="str">
        <f ca="1">IFERROR(
 INDEX($V$1:$BL$1,
  MATCH(TRUE,
   CHOOSE({1;2;3;4;5;6;7;8;9;10;11;12;13;14;15;16;17;18;19;20;21;22;23;24;25;26;27;28;29;30;31;32;33;34;35;36;37;38;39;40;41;42;43},
    COUNTIFS($V$2:$V$200,$G13)&gt;0,
    COUNTIFS($W$2:$W$200,$G13)&gt;0,
    COUNTIFS($X$2:$X$200,$G13)&gt;0,
    COUNTIFS($Y$2:$Y$200,$G13)&gt;0,
    COUNTIFS($Z$2:$Z$200,$G13)&gt;0,
    COUNTIFS($AA$2:$AA$200,$G13)&gt;0,
    COUNTIFS($AB$2:$AB$200,$G13)&gt;0,
    COUNTIFS($AC$2:$AC$200,$G13)&gt;0,
    COUNTIFS($AD$2:$AD$200,$G13)&gt;0,
    COUNTIFS($AE$2:$AE$200,$G13)&gt;0,
    COUNTIFS($AF$2:$AF$200,$G13)&gt;0,
    COUNTIFS($AG$2:$AG$200,$G13)&gt;0,
    COUNTIFS($AH$2:$AH$200,$G13)&gt;0,
    COUNTIFS($AI$2:$AI$200,$G13)&gt;0,
    COUNTIFS($AJ$2:$AJ$200,$G13)&gt;0,
    COUNTIFS($AK$2:$AK$200,$G13)&gt;0,
    COUNTIFS($AL$2:$AL$200,$G13)&gt;0,
    COUNTIFS($AM$2:$AM$200,$G13)&gt;0,
    COUNTIFS($AN$2:$AN$200,$G13)&gt;0,
    COUNTIFS($AO$2:$AO$200,$G13)&gt;0,
    COUNTIFS($AP$2:$AP$200,$G13)&gt;0,
    COUNTIFS($AQ$2:$AQ$200,$G13)&gt;0,
    COUNTIFS($AR$2:$AR$200,$G13)&gt;0,
    COUNTIFS($AS$2:$AS$200,$G13)&gt;0,
    COUNTIFS($AT$2:$AT$200,$G13)&gt;0,
    COUNTIFS($AU$2:$AU$200,$G13)&gt;0,
    COUNTIFS($AV$2:$AV$200,$G13)&gt;0,
    COUNTIFS($AW$2:$AW$200,$G13)&gt;0,
    COUNTIFS($AX$2:$AX$200,$G13)&gt;0,
    COUNTIFS($AY$2:$AY$200,$G13)&gt;0,
    COUNTIFS($AZ$2:$AZ$200,$G13)&gt;0,
    COUNTIFS($BA$2:$BA$200,$G13)&gt;0,
    COUNTIFS($BB$2:$BB$200,$G13)&gt;0,
    COUNTIFS($BC$2:$BC$200,$G13)&gt;0,
    COUNTIFS($BD$2:$BD$200,$G13)&gt;0,
    COUNTIFS($BE$2:$BE$200,$G13)&gt;0,
    COUNTIFS($BF$2:$BF$200,$G13)&gt;0,
    COUNTIFS($BG$2:$BG$200,$G13)&gt;0,
    COUNTIFS($BH$2:$BH$200,$G13)&gt;0,
    COUNTIFS($BI$2:$BI$200,$G13)&gt;0,
    COUNTIFS($BJ$2:$BJ$200,$G13)&gt;0,
    COUNTIFS($BK$2:$BK$200,$G13)&gt;0,
    COUNTIFS($BL$2:$BL$200,$G13)&gt;0,
    COUNTIFS($BM$2:$BM$200,$G13)&gt;0,
   ),
  0)
 ),
"")</f>
        <v>Elfos</v>
      </c>
      <c r="D13" s="2" t="str" cm="1">
        <f t="array" aca="1" ref="D13" ca="1">IFERROR(
 INDEX(
  _xlfn._xlws.FILTER($V$1:$AY$1,
   TRANSPOSE(
    CHOOSE({1;2;3;4;5;6;7;8;9;10;11;12;13;14;15;16;17;18;19;20;21;22;23;24;25;26;27;28;29;30},
     COUNTIFS($V$2:$V$200,$G13)&gt;0,
     COUNTIFS($W$2:$W$200,$G13)&gt;0,
     COUNTIFS($X$2:$X$200,$G13)&gt;0,
     COUNTIFS($Y$2:$Y$200,$G13)&gt;0,
     COUNTIFS($Z$2:$Z$200,$G13)&gt;0,
     COUNTIFS($AA$2:$AA$200,$G13)&gt;0,
     COUNTIFS($AB$2:$AB$200,$G13)&gt;0,
     COUNTIFS($AC$2:$AC$200,$G13)&gt;0,
     COUNTIFS($AD$2:$AD$200,$G13)&gt;0,
     COUNTIFS($AE$2:$AE$200,$G13)&gt;0,
     COUNTIFS($AF$2:$AF$200,$G13)&gt;0,
     COUNTIFS($AG$2:$AG$200,$G13)&gt;0,
     COUNTIFS($AH$2:$AH$200,$G13)&gt;0,
     COUNTIFS($AI$2:$AI$200,$G13)&gt;0,
     COUNTIFS($AJ$2:$AJ$200,$G13)&gt;0,
     COUNTIFS($AK$2:$AK$200,$G13)&gt;0,
     COUNTIFS($AL$2:$AL$200,$G13)&gt;0,
     COUNTIFS($AM$2:$AM$200,$G13)&gt;0,
     COUNTIFS($AN$2:$AN$200,$G13)&gt;0,
     COUNTIFS($AO$2:$AO$200,$G13)&gt;0,
     COUNTIFS($AP$2:$AP$200,$G13)&gt;0,
     COUNTIFS($AQ$2:$AQ$200,$G13)&gt;0,
     COUNTIFS($AR$2:$AR$200,$G13)&gt;0,
     COUNTIFS($AS$2:$AS$200,$G13)&gt;0,
     COUNTIFS($AT$2:$AT$200,$G13)&gt;0,
     COUNTIFS($AU$2:$AU$200,$G13)&gt;0,
     COUNTIFS($AV$2:$AV$200,$G13)&gt;0,
     COUNTIFS($AW$2:$AW$200,$G13)&gt;0,
     COUNTIFS($AX$2:$AX$200,$G13)&gt;0,
     COUNTIFS($AY$2:$AY$200,$G13)&gt;0
   )),
  ),
  2
 ),
"")</f>
        <v>Arcades</v>
      </c>
      <c r="E13" s="2" t="str" cm="1">
        <f t="array" aca="1" ref="E13" ca="1">IFERROR(
 INDEX(
  _xlfn._xlws.FILTER($V$1:$AY$1,
   TRANSPOSE(
    CHOOSE({1;2;3;4;5;6;7;8;9;10;11;12;13;14;15;16;17;18;19;20;21;22;23;24;25;26;27;28;29;30},
     COUNTIFS($V$2:$V$200,$G13)&gt;0,
     COUNTIFS($W$2:$W$200,$G13)&gt;0,
     COUNTIFS($X$2:$X$200,$G13)&gt;0,
     COUNTIFS($Y$2:$Y$200,$G13)&gt;0,
     COUNTIFS($Z$2:$Z$200,$G13)&gt;0,
     COUNTIFS($AA$2:$AA$200,$G13)&gt;0,
     COUNTIFS($AB$2:$AB$200,$G13)&gt;0,
     COUNTIFS($AC$2:$AC$200,$G13)&gt;0,
     COUNTIFS($AD$2:$AD$200,$G13)&gt;0,
     COUNTIFS($AE$2:$AE$200,$G13)&gt;0,
     COUNTIFS($AF$2:$AF$200,$G13)&gt;0,
     COUNTIFS($AG$2:$AG$200,$G13)&gt;0,
     COUNTIFS($AH$2:$AH$200,$G13)&gt;0,
     COUNTIFS($AI$2:$AI$200,$G13)&gt;0,
     COUNTIFS($AJ$2:$AJ$200,$G13)&gt;0,
     COUNTIFS($AK$2:$AK$200,$G13)&gt;0,
     COUNTIFS($AL$2:$AL$200,$G13)&gt;0,
     COUNTIFS($AM$2:$AM$200,$G13)&gt;0,
     COUNTIFS($AN$2:$AN$200,$G13)&gt;0,
     COUNTIFS($AO$2:$AO$200,$G13)&gt;0,
     COUNTIFS($AP$2:$AP$200,$G13)&gt;0,
     COUNTIFS($AQ$2:$AQ$200,$G13)&gt;0,
     COUNTIFS($AR$2:$AR$200,$G13)&gt;0,
     COUNTIFS($AS$2:$AS$200,$G13)&gt;0,
     COUNTIFS($AT$2:$AT$200,$G13)&gt;0,
     COUNTIFS($AU$2:$AU$200,$G13)&gt;0,
     COUNTIFS($AV$2:$AV$200,$G13)&gt;0,
     COUNTIFS($AW$2:$AW$200,$G13)&gt;0,
     COUNTIFS($AX$2:$AX$200,$G13)&gt;0,
     COUNTIFS($AY$2:$AY$200,$G13)&gt;0
   )),
  ),
  3
 ),
"")</f>
        <v/>
      </c>
      <c r="F13" s="2" t="str" cm="1">
        <f t="array" aca="1" ref="F13" ca="1">IFERROR(
 INDEX(
  _xlfn._xlws.FILTER($V$1:$AY$1,
   TRANSPOSE(
    CHOOSE({1;2;3;4;5;6;7;8;9;10;11;12;13;14;15;16;17;18;19;20;21;22;23;24;25;26;27;28;29;30},
     COUNTIFS($V$2:$V$200,$G13)&gt;0,
     COUNTIFS($W$2:$W$200,$G13)&gt;0,
     COUNTIFS($X$2:$X$200,$G13)&gt;0,
     COUNTIFS($Y$2:$Y$200,$G13)&gt;0,
     COUNTIFS($Z$2:$Z$200,$G13)&gt;0,
     COUNTIFS($AA$2:$AA$200,$G13)&gt;0,
     COUNTIFS($AB$2:$AB$200,$G13)&gt;0,
     COUNTIFS($AC$2:$AC$200,$G13)&gt;0,
     COUNTIFS($AD$2:$AD$200,$G13)&gt;0,
     COUNTIFS($AE$2:$AE$200,$G13)&gt;0,
     COUNTIFS($AF$2:$AF$200,$G13)&gt;0,
     COUNTIFS($AG$2:$AG$200,$G13)&gt;0,
     COUNTIFS($AH$2:$AH$200,$G13)&gt;0,
     COUNTIFS($AI$2:$AI$200,$G13)&gt;0,
     COUNTIFS($AJ$2:$AJ$200,$G13)&gt;0,
     COUNTIFS($AK$2:$AK$200,$G13)&gt;0,
     COUNTIFS($AL$2:$AL$200,$G13)&gt;0,
     COUNTIFS($AM$2:$AM$200,$G13)&gt;0,
     COUNTIFS($AN$2:$AN$200,$G13)&gt;0,
     COUNTIFS($AO$2:$AO$200,$G13)&gt;0,
     COUNTIFS($AP$2:$AP$200,$G13)&gt;0,
     COUNTIFS($AQ$2:$AQ$200,$G13)&gt;0,
     COUNTIFS($AR$2:$AR$200,$G13)&gt;0,
     COUNTIFS($AS$2:$AS$200,$G13)&gt;0,
     COUNTIFS($AT$2:$AT$200,$G13)&gt;0,
     COUNTIFS($AU$2:$AU$200,$G13)&gt;0,
     COUNTIFS($AV$2:$AV$200,$G13)&gt;0,
     COUNTIFS($AW$2:$AW$200,$G13)&gt;0,
     COUNTIFS($AX$2:$AX$200,$G13)&gt;0,
     COUNTIFS($AY$2:$AY$200,$G13)&gt;0
   )),
  ),
  4
 ),
"")</f>
        <v/>
      </c>
      <c r="G13" t="str">
        <f ca="1"/>
        <v>Alchemist's Refuge</v>
      </c>
      <c r="H13" s="2" t="s">
        <v>417</v>
      </c>
      <c r="J13" t="s">
        <v>47</v>
      </c>
      <c r="K13" s="2">
        <f>[1]JhoiraB!G2</f>
        <v>12</v>
      </c>
      <c r="L13" s="2" t="s">
        <v>3</v>
      </c>
      <c r="M13" s="2" t="s">
        <v>2</v>
      </c>
      <c r="N13" s="2" t="s">
        <v>2</v>
      </c>
      <c r="O13" s="2" t="s">
        <v>3</v>
      </c>
      <c r="P13" s="2" t="s">
        <v>3</v>
      </c>
      <c r="Q13" s="2" t="s">
        <v>7</v>
      </c>
      <c r="R13" s="3" t="s">
        <v>1</v>
      </c>
      <c r="S13" s="2" t="s">
        <v>46</v>
      </c>
      <c r="T13" s="2" t="str">
        <f t="shared" si="3"/>
        <v>3</v>
      </c>
      <c r="W13" t="str">
        <v>Jetmir, Nexus of Revels</v>
      </c>
      <c r="X13" t="str">
        <v>Reforge the Soul</v>
      </c>
      <c r="Y13" t="str">
        <v>Kutzil, Malamet Exemplar</v>
      </c>
      <c r="AD13" t="str">
        <v>Ulamog's Dreadsire</v>
      </c>
      <c r="AH13" t="str">
        <v>Temporal Trespass</v>
      </c>
      <c r="AI13" t="str">
        <v>Warren Soultrader</v>
      </c>
      <c r="AJ13" t="str">
        <v>Sword of Light and Shadow</v>
      </c>
      <c r="AO13" t="str">
        <v>Crystalline Sliver</v>
      </c>
      <c r="AR13" t="str">
        <v>Mask of Griselbrand</v>
      </c>
      <c r="AX13" t="str">
        <v>Magda, the Hoardmaster</v>
      </c>
      <c r="AY13" t="str">
        <v>Lithoform Engine</v>
      </c>
      <c r="BE13" t="str">
        <v>Ghostway</v>
      </c>
      <c r="BI13" t="str">
        <v>Debt of Loyalty</v>
      </c>
      <c r="BJ13" t="str">
        <v>Bedlam</v>
      </c>
      <c r="BL13" t="str">
        <v>Chaos Warp</v>
      </c>
      <c r="CI13" t="str">
        <f ca="1"/>
        <v>Farmer Cotton</v>
      </c>
      <c r="CJ13" t="str">
        <f ca="1"/>
        <v>Earthbender Ascension</v>
      </c>
      <c r="CK13" t="str">
        <f ca="1"/>
        <v>Raven Eagle</v>
      </c>
      <c r="CL13" t="str">
        <f ca="1"/>
        <v>Mutable Explorer</v>
      </c>
      <c r="CM13" t="str">
        <f ca="1"/>
        <v>Ripples of Undeath</v>
      </c>
      <c r="CN13" t="str">
        <f ca="1"/>
        <v>The Enigma Jewel</v>
      </c>
      <c r="CO13" t="str">
        <f ca="1"/>
        <v>Molten Echoes</v>
      </c>
      <c r="CP13" t="str">
        <f ca="1"/>
        <v>Lolth, Spider Queen</v>
      </c>
      <c r="CR13" t="str">
        <f ca="1"/>
        <v>Crypt Sliver</v>
      </c>
      <c r="CS13" t="str">
        <f ca="1"/>
        <v>Spirit Water Revival</v>
      </c>
      <c r="CT13" t="str">
        <f ca="1"/>
        <v>Jenova, Ancient Calamity</v>
      </c>
      <c r="CU13" t="str">
        <f ca="1"/>
        <v>Susur Secundi, Void Altar</v>
      </c>
      <c r="CW13" t="str">
        <f ca="1"/>
        <v>Fabled Passage</v>
      </c>
      <c r="CZ13" t="str">
        <f ca="1"/>
        <v>Ghostway</v>
      </c>
      <c r="DB13" t="str">
        <f ca="1"/>
        <v>Debt of Loyalty</v>
      </c>
      <c r="DC13" t="str">
        <f ca="1"/>
        <v>Bedlam</v>
      </c>
      <c r="DD13" t="str">
        <f ca="1"/>
        <v>Chaos Warp</v>
      </c>
      <c r="DP13" t="str">
        <f ca="1"/>
        <v>Brushland</v>
      </c>
      <c r="DQ13" t="str">
        <f ca="1"/>
        <v>Gallifrey Council Chamber</v>
      </c>
      <c r="DR13" t="str">
        <f ca="1"/>
        <v>Katara's Reversal</v>
      </c>
      <c r="DS13" t="str">
        <f ca="1"/>
        <v>Final Showdown</v>
      </c>
      <c r="DT13" t="str">
        <f ca="1"/>
        <v>Constricting Sliver</v>
      </c>
      <c r="DU13" t="str">
        <f ca="1"/>
        <v>Collector's Vault</v>
      </c>
      <c r="DV13" t="str">
        <f ca="1"/>
        <v>Renewed Solidarity</v>
      </c>
      <c r="DW13" t="str">
        <f ca="1"/>
        <v>Fabled Passage</v>
      </c>
      <c r="DX13" t="str">
        <f ca="1"/>
        <v>Ghostway</v>
      </c>
      <c r="DY13" t="str">
        <f ca="1"/>
        <v>Debt of Loyalty</v>
      </c>
      <c r="DZ13" t="str">
        <f ca="1"/>
        <v>Assassin's Trophy</v>
      </c>
      <c r="EG13" t="str">
        <f ca="1"/>
        <v>Back in Town</v>
      </c>
      <c r="EH13" t="str">
        <f ca="1"/>
        <v>Creeping Tar Pit</v>
      </c>
      <c r="EI13" t="str">
        <f ca="1"/>
        <v>Bonescythe Sliver</v>
      </c>
      <c r="EJ13" t="str">
        <f ca="1"/>
        <v>Corrosive Mentor</v>
      </c>
      <c r="EK13" t="str">
        <f ca="1"/>
        <v>Chaos Wand</v>
      </c>
      <c r="EL13" t="str">
        <f ca="1"/>
        <v>Assassin's Trophy</v>
      </c>
      <c r="EP13" t="str">
        <f ca="1"/>
        <v>Arwen, Weaver of Hope</v>
      </c>
      <c r="EQ13" t="str">
        <f ca="1"/>
        <v>Beast Within</v>
      </c>
      <c r="ER13" t="str">
        <f ca="1"/>
        <v>Archaeomancer</v>
      </c>
      <c r="EU13" t="str">
        <f ca="1"/>
        <v>Ancient Greenwarden</v>
      </c>
      <c r="EV13" t="str">
        <f ca="1"/>
        <v>Archaeomancer</v>
      </c>
      <c r="EX13" t="str">
        <f ca="1"/>
        <v>Alchemist's Refuge</v>
      </c>
    </row>
    <row r="14" spans="1:154" x14ac:dyDescent="0.25">
      <c r="A14" s="2" t="str">
        <f t="shared" ca="1" si="1"/>
        <v>5</v>
      </c>
      <c r="B14" s="2">
        <f t="shared" ca="1" si="2"/>
        <v>1</v>
      </c>
      <c r="C14" s="2" t="str">
        <f ca="1">IFERROR(
 INDEX($V$1:$BL$1,
  MATCH(TRUE,
   CHOOSE({1;2;3;4;5;6;7;8;9;10;11;12;13;14;15;16;17;18;19;20;21;22;23;24;25;26;27;28;29;30;31;32;33;34;35;36;37;38;39;40;41;42;43},
    COUNTIFS($V$2:$V$200,$G14)&gt;0,
    COUNTIFS($W$2:$W$200,$G14)&gt;0,
    COUNTIFS($X$2:$X$200,$G14)&gt;0,
    COUNTIFS($Y$2:$Y$200,$G14)&gt;0,
    COUNTIFS($Z$2:$Z$200,$G14)&gt;0,
    COUNTIFS($AA$2:$AA$200,$G14)&gt;0,
    COUNTIFS($AB$2:$AB$200,$G14)&gt;0,
    COUNTIFS($AC$2:$AC$200,$G14)&gt;0,
    COUNTIFS($AD$2:$AD$200,$G14)&gt;0,
    COUNTIFS($AE$2:$AE$200,$G14)&gt;0,
    COUNTIFS($AF$2:$AF$200,$G14)&gt;0,
    COUNTIFS($AG$2:$AG$200,$G14)&gt;0,
    COUNTIFS($AH$2:$AH$200,$G14)&gt;0,
    COUNTIFS($AI$2:$AI$200,$G14)&gt;0,
    COUNTIFS($AJ$2:$AJ$200,$G14)&gt;0,
    COUNTIFS($AK$2:$AK$200,$G14)&gt;0,
    COUNTIFS($AL$2:$AL$200,$G14)&gt;0,
    COUNTIFS($AM$2:$AM$200,$G14)&gt;0,
    COUNTIFS($AN$2:$AN$200,$G14)&gt;0,
    COUNTIFS($AO$2:$AO$200,$G14)&gt;0,
    COUNTIFS($AP$2:$AP$200,$G14)&gt;0,
    COUNTIFS($AQ$2:$AQ$200,$G14)&gt;0,
    COUNTIFS($AR$2:$AR$200,$G14)&gt;0,
    COUNTIFS($AS$2:$AS$200,$G14)&gt;0,
    COUNTIFS($AT$2:$AT$200,$G14)&gt;0,
    COUNTIFS($AU$2:$AU$200,$G14)&gt;0,
    COUNTIFS($AV$2:$AV$200,$G14)&gt;0,
    COUNTIFS($AW$2:$AW$200,$G14)&gt;0,
    COUNTIFS($AX$2:$AX$200,$G14)&gt;0,
    COUNTIFS($AY$2:$AY$200,$G14)&gt;0,
    COUNTIFS($AZ$2:$AZ$200,$G14)&gt;0,
    COUNTIFS($BA$2:$BA$200,$G14)&gt;0,
    COUNTIFS($BB$2:$BB$200,$G14)&gt;0,
    COUNTIFS($BC$2:$BC$200,$G14)&gt;0,
    COUNTIFS($BD$2:$BD$200,$G14)&gt;0,
    COUNTIFS($BE$2:$BE$200,$G14)&gt;0,
    COUNTIFS($BF$2:$BF$200,$G14)&gt;0,
    COUNTIFS($BG$2:$BG$200,$G14)&gt;0,
    COUNTIFS($BH$2:$BH$200,$G14)&gt;0,
    COUNTIFS($BI$2:$BI$200,$G14)&gt;0,
    COUNTIFS($BJ$2:$BJ$200,$G14)&gt;0,
    COUNTIFS($BK$2:$BK$200,$G14)&gt;0,
    COUNTIFS($BL$2:$BL$200,$G14)&gt;0,
    COUNTIFS($BM$2:$BM$200,$G14)&gt;0,
   ),
  0)
 ),
"")</f>
        <v>Little</v>
      </c>
      <c r="D14" s="2" t="str" cm="1">
        <f t="array" aca="1" ref="D14" ca="1">IFERROR(
 INDEX(
  _xlfn._xlws.FILTER($V$1:$AY$1,
   TRANSPOSE(
    CHOOSE({1;2;3;4;5;6;7;8;9;10;11;12;13;14;15;16;17;18;19;20;21;22;23;24;25;26;27;28;29;30},
     COUNTIFS($V$2:$V$200,$G14)&gt;0,
     COUNTIFS($W$2:$W$200,$G14)&gt;0,
     COUNTIFS($X$2:$X$200,$G14)&gt;0,
     COUNTIFS($Y$2:$Y$200,$G14)&gt;0,
     COUNTIFS($Z$2:$Z$200,$G14)&gt;0,
     COUNTIFS($AA$2:$AA$200,$G14)&gt;0,
     COUNTIFS($AB$2:$AB$200,$G14)&gt;0,
     COUNTIFS($AC$2:$AC$200,$G14)&gt;0,
     COUNTIFS($AD$2:$AD$200,$G14)&gt;0,
     COUNTIFS($AE$2:$AE$200,$G14)&gt;0,
     COUNTIFS($AF$2:$AF$200,$G14)&gt;0,
     COUNTIFS($AG$2:$AG$200,$G14)&gt;0,
     COUNTIFS($AH$2:$AH$200,$G14)&gt;0,
     COUNTIFS($AI$2:$AI$200,$G14)&gt;0,
     COUNTIFS($AJ$2:$AJ$200,$G14)&gt;0,
     COUNTIFS($AK$2:$AK$200,$G14)&gt;0,
     COUNTIFS($AL$2:$AL$200,$G14)&gt;0,
     COUNTIFS($AM$2:$AM$200,$G14)&gt;0,
     COUNTIFS($AN$2:$AN$200,$G14)&gt;0,
     COUNTIFS($AO$2:$AO$200,$G14)&gt;0,
     COUNTIFS($AP$2:$AP$200,$G14)&gt;0,
     COUNTIFS($AQ$2:$AQ$200,$G14)&gt;0,
     COUNTIFS($AR$2:$AR$200,$G14)&gt;0,
     COUNTIFS($AS$2:$AS$200,$G14)&gt;0,
     COUNTIFS($AT$2:$AT$200,$G14)&gt;0,
     COUNTIFS($AU$2:$AU$200,$G14)&gt;0,
     COUNTIFS($AV$2:$AV$200,$G14)&gt;0,
     COUNTIFS($AW$2:$AW$200,$G14)&gt;0,
     COUNTIFS($AX$2:$AX$200,$G14)&gt;0,
     COUNTIFS($AY$2:$AY$200,$G14)&gt;0
   )),
  ),
  2
 ),
"")</f>
        <v/>
      </c>
      <c r="E14" s="2" t="str" cm="1">
        <f t="array" aca="1" ref="E14" ca="1">IFERROR(
 INDEX(
  _xlfn._xlws.FILTER($V$1:$AY$1,
   TRANSPOSE(
    CHOOSE({1;2;3;4;5;6;7;8;9;10;11;12;13;14;15;16;17;18;19;20;21;22;23;24;25;26;27;28;29;30},
     COUNTIFS($V$2:$V$200,$G14)&gt;0,
     COUNTIFS($W$2:$W$200,$G14)&gt;0,
     COUNTIFS($X$2:$X$200,$G14)&gt;0,
     COUNTIFS($Y$2:$Y$200,$G14)&gt;0,
     COUNTIFS($Z$2:$Z$200,$G14)&gt;0,
     COUNTIFS($AA$2:$AA$200,$G14)&gt;0,
     COUNTIFS($AB$2:$AB$200,$G14)&gt;0,
     COUNTIFS($AC$2:$AC$200,$G14)&gt;0,
     COUNTIFS($AD$2:$AD$200,$G14)&gt;0,
     COUNTIFS($AE$2:$AE$200,$G14)&gt;0,
     COUNTIFS($AF$2:$AF$200,$G14)&gt;0,
     COUNTIFS($AG$2:$AG$200,$G14)&gt;0,
     COUNTIFS($AH$2:$AH$200,$G14)&gt;0,
     COUNTIFS($AI$2:$AI$200,$G14)&gt;0,
     COUNTIFS($AJ$2:$AJ$200,$G14)&gt;0,
     COUNTIFS($AK$2:$AK$200,$G14)&gt;0,
     COUNTIFS($AL$2:$AL$200,$G14)&gt;0,
     COUNTIFS($AM$2:$AM$200,$G14)&gt;0,
     COUNTIFS($AN$2:$AN$200,$G14)&gt;0,
     COUNTIFS($AO$2:$AO$200,$G14)&gt;0,
     COUNTIFS($AP$2:$AP$200,$G14)&gt;0,
     COUNTIFS($AQ$2:$AQ$200,$G14)&gt;0,
     COUNTIFS($AR$2:$AR$200,$G14)&gt;0,
     COUNTIFS($AS$2:$AS$200,$G14)&gt;0,
     COUNTIFS($AT$2:$AT$200,$G14)&gt;0,
     COUNTIFS($AU$2:$AU$200,$G14)&gt;0,
     COUNTIFS($AV$2:$AV$200,$G14)&gt;0,
     COUNTIFS($AW$2:$AW$200,$G14)&gt;0,
     COUNTIFS($AX$2:$AX$200,$G14)&gt;0,
     COUNTIFS($AY$2:$AY$200,$G14)&gt;0
   )),
  ),
  3
 ),
"")</f>
        <v/>
      </c>
      <c r="F14" s="2" t="str" cm="1">
        <f t="array" aca="1" ref="F14" ca="1">IFERROR(
 INDEX(
  _xlfn._xlws.FILTER($V$1:$AY$1,
   TRANSPOSE(
    CHOOSE({1;2;3;4;5;6;7;8;9;10;11;12;13;14;15;16;17;18;19;20;21;22;23;24;25;26;27;28;29;30},
     COUNTIFS($V$2:$V$200,$G14)&gt;0,
     COUNTIFS($W$2:$W$200,$G14)&gt;0,
     COUNTIFS($X$2:$X$200,$G14)&gt;0,
     COUNTIFS($Y$2:$Y$200,$G14)&gt;0,
     COUNTIFS($Z$2:$Z$200,$G14)&gt;0,
     COUNTIFS($AA$2:$AA$200,$G14)&gt;0,
     COUNTIFS($AB$2:$AB$200,$G14)&gt;0,
     COUNTIFS($AC$2:$AC$200,$G14)&gt;0,
     COUNTIFS($AD$2:$AD$200,$G14)&gt;0,
     COUNTIFS($AE$2:$AE$200,$G14)&gt;0,
     COUNTIFS($AF$2:$AF$200,$G14)&gt;0,
     COUNTIFS($AG$2:$AG$200,$G14)&gt;0,
     COUNTIFS($AH$2:$AH$200,$G14)&gt;0,
     COUNTIFS($AI$2:$AI$200,$G14)&gt;0,
     COUNTIFS($AJ$2:$AJ$200,$G14)&gt;0,
     COUNTIFS($AK$2:$AK$200,$G14)&gt;0,
     COUNTIFS($AL$2:$AL$200,$G14)&gt;0,
     COUNTIFS($AM$2:$AM$200,$G14)&gt;0,
     COUNTIFS($AN$2:$AN$200,$G14)&gt;0,
     COUNTIFS($AO$2:$AO$200,$G14)&gt;0,
     COUNTIFS($AP$2:$AP$200,$G14)&gt;0,
     COUNTIFS($AQ$2:$AQ$200,$G14)&gt;0,
     COUNTIFS($AR$2:$AR$200,$G14)&gt;0,
     COUNTIFS($AS$2:$AS$200,$G14)&gt;0,
     COUNTIFS($AT$2:$AT$200,$G14)&gt;0,
     COUNTIFS($AU$2:$AU$200,$G14)&gt;0,
     COUNTIFS($AV$2:$AV$200,$G14)&gt;0,
     COUNTIFS($AW$2:$AW$200,$G14)&gt;0,
     COUNTIFS($AX$2:$AX$200,$G14)&gt;0,
     COUNTIFS($AY$2:$AY$200,$G14)&gt;0
   )),
  ),
  4
 ),
"")</f>
        <v/>
      </c>
      <c r="G14" t="str">
        <f ca="1"/>
        <v>Alesha, Who Smiles at Death</v>
      </c>
      <c r="H14" s="2" t="s">
        <v>424</v>
      </c>
      <c r="J14" t="s">
        <v>26</v>
      </c>
      <c r="K14" s="2">
        <f>[1]Jhoira!G2</f>
        <v>5</v>
      </c>
      <c r="L14" s="2" t="s">
        <v>3</v>
      </c>
      <c r="M14" s="2" t="s">
        <v>2</v>
      </c>
      <c r="N14" s="2" t="s">
        <v>2</v>
      </c>
      <c r="O14" s="2" t="s">
        <v>3</v>
      </c>
      <c r="P14" s="2" t="s">
        <v>3</v>
      </c>
      <c r="Q14" s="2" t="s">
        <v>7</v>
      </c>
      <c r="R14" s="2" t="s">
        <v>1</v>
      </c>
      <c r="S14" s="2" t="s">
        <v>25</v>
      </c>
      <c r="T14" s="2" t="str">
        <f t="shared" si="3"/>
        <v>1</v>
      </c>
      <c r="W14" t="str">
        <v>Karplusan Forest</v>
      </c>
      <c r="X14" t="str">
        <v>Slash the Ranks</v>
      </c>
      <c r="Y14" t="str">
        <v>Lae'zel, Vlaakith's Champion</v>
      </c>
      <c r="AH14" t="str">
        <v>Watery Grave</v>
      </c>
      <c r="AJ14" t="str">
        <v>Sword of Truth and Justice</v>
      </c>
      <c r="AO14" t="str">
        <v>Darkheart Sliver</v>
      </c>
      <c r="AR14" t="str">
        <v>Nibelheim Aflame</v>
      </c>
      <c r="AX14" t="str">
        <v>Mountain</v>
      </c>
      <c r="AY14" t="str">
        <v>Ondu Inversion</v>
      </c>
      <c r="BE14" t="str">
        <v>Hare Apparent</v>
      </c>
      <c r="BI14" t="str">
        <v>Dragonskull Summit</v>
      </c>
      <c r="BJ14" t="str">
        <v>Behind the Scenes</v>
      </c>
      <c r="BL14" t="str">
        <v>Comet Storm</v>
      </c>
      <c r="CI14" t="str">
        <f ca="1"/>
        <v>Gavony Township</v>
      </c>
      <c r="CJ14" t="str">
        <f ca="1"/>
        <v>Enterprising Scallywag</v>
      </c>
      <c r="CK14" t="str">
        <f ca="1"/>
        <v>Reliquary Tower</v>
      </c>
      <c r="CL14" t="str">
        <f ca="1"/>
        <v>Pestered Wellguard</v>
      </c>
      <c r="CM14" t="str">
        <f ca="1"/>
        <v>Rise of the Eldrazi</v>
      </c>
      <c r="CN14" t="str">
        <f ca="1"/>
        <v>The Mycosynth Gardens</v>
      </c>
      <c r="CO14" t="str">
        <f ca="1"/>
        <v>Morphic Pool</v>
      </c>
      <c r="CP14" t="str">
        <f ca="1"/>
        <v>Lost Jitte</v>
      </c>
      <c r="CR14" t="str">
        <f ca="1"/>
        <v>Crystalline Sliver</v>
      </c>
      <c r="CS14" t="str">
        <f ca="1"/>
        <v>Strix Serenade</v>
      </c>
      <c r="CT14" t="str">
        <f ca="1"/>
        <v>Mandate of Abaddon</v>
      </c>
      <c r="CU14" t="str">
        <f ca="1"/>
        <v>The Cabbage Merchant</v>
      </c>
      <c r="CW14" t="str">
        <f ca="1"/>
        <v>Filigree Vector</v>
      </c>
      <c r="CZ14" t="str">
        <f ca="1"/>
        <v>Hare Apparent</v>
      </c>
      <c r="DB14" t="str">
        <f ca="1"/>
        <v>Dragonskull Summit</v>
      </c>
      <c r="DC14" t="str">
        <f ca="1"/>
        <v>Behind the Scenes</v>
      </c>
      <c r="DD14" t="str">
        <f ca="1"/>
        <v>Comet Storm</v>
      </c>
      <c r="DP14" t="str">
        <f ca="1"/>
        <v>Castle Ardenvale</v>
      </c>
      <c r="DQ14" t="str">
        <f ca="1"/>
        <v>Ghoulish Impetus</v>
      </c>
      <c r="DR14" t="str">
        <f ca="1"/>
        <v>Kozilek, the Broken Reality</v>
      </c>
      <c r="DS14" t="str">
        <f ca="1"/>
        <v>Firebender Ascension</v>
      </c>
      <c r="DT14" t="str">
        <f ca="1"/>
        <v>Crypt Sliver</v>
      </c>
      <c r="DU14" t="str">
        <f ca="1"/>
        <v>Daretti, Ingenious Iconoclast</v>
      </c>
      <c r="DV14" t="str">
        <f ca="1"/>
        <v>Scattered Groves</v>
      </c>
      <c r="DW14" t="str">
        <f ca="1"/>
        <v>Filigree Vector</v>
      </c>
      <c r="DX14" t="str">
        <f ca="1"/>
        <v>Hare Apparent</v>
      </c>
      <c r="DY14" t="str">
        <f ca="1"/>
        <v>Dragonskull Summit</v>
      </c>
      <c r="DZ14" t="str">
        <f ca="1"/>
        <v>Atarka's Command</v>
      </c>
      <c r="EG14" t="str">
        <f ca="1"/>
        <v>Bitterbloom Bearer</v>
      </c>
      <c r="EH14" t="str">
        <f ca="1"/>
        <v>Crucible of Worlds</v>
      </c>
      <c r="EI14" t="str">
        <f ca="1"/>
        <v>Breeding Pool</v>
      </c>
      <c r="EJ14" t="str">
        <f ca="1"/>
        <v>Damping Sphere</v>
      </c>
      <c r="EK14" t="str">
        <f ca="1"/>
        <v>Charming Prince</v>
      </c>
      <c r="EL14" t="str">
        <f ca="1"/>
        <v>Atarka's Command</v>
      </c>
      <c r="EP14" t="str">
        <f ca="1"/>
        <v>Ascend from Avernus</v>
      </c>
      <c r="EQ14" t="str">
        <f ca="1"/>
        <v>Beifong's Bounty Hunters</v>
      </c>
      <c r="ER14" t="str">
        <f ca="1"/>
        <v>Archdruid's Charm</v>
      </c>
      <c r="EU14" t="str">
        <f ca="1"/>
        <v>Ancient Tomb</v>
      </c>
      <c r="EV14" t="str">
        <f ca="1"/>
        <v>Archdruid's Charm</v>
      </c>
      <c r="EX14" t="str">
        <f ca="1"/>
        <v>Alesha, Who Smiles at Death</v>
      </c>
    </row>
    <row r="15" spans="1:154" x14ac:dyDescent="0.25">
      <c r="A15" s="2" t="str">
        <f t="shared" ca="1" si="1"/>
        <v>4</v>
      </c>
      <c r="B15" s="2">
        <f t="shared" ca="1" si="2"/>
        <v>1</v>
      </c>
      <c r="C15" s="2" t="str">
        <f ca="1">IFERROR(
 INDEX($V$1:$BL$1,
  MATCH(TRUE,
   CHOOSE({1;2;3;4;5;6;7;8;9;10;11;12;13;14;15;16;17;18;19;20;21;22;23;24;25;26;27;28;29;30;31;32;33;34;35;36;37;38;39;40;41;42;43},
    COUNTIFS($V$2:$V$200,$G15)&gt;0,
    COUNTIFS($W$2:$W$200,$G15)&gt;0,
    COUNTIFS($X$2:$X$200,$G15)&gt;0,
    COUNTIFS($Y$2:$Y$200,$G15)&gt;0,
    COUNTIFS($Z$2:$Z$200,$G15)&gt;0,
    COUNTIFS($AA$2:$AA$200,$G15)&gt;0,
    COUNTIFS($AB$2:$AB$200,$G15)&gt;0,
    COUNTIFS($AC$2:$AC$200,$G15)&gt;0,
    COUNTIFS($AD$2:$AD$200,$G15)&gt;0,
    COUNTIFS($AE$2:$AE$200,$G15)&gt;0,
    COUNTIFS($AF$2:$AF$200,$G15)&gt;0,
    COUNTIFS($AG$2:$AG$200,$G15)&gt;0,
    COUNTIFS($AH$2:$AH$200,$G15)&gt;0,
    COUNTIFS($AI$2:$AI$200,$G15)&gt;0,
    COUNTIFS($AJ$2:$AJ$200,$G15)&gt;0,
    COUNTIFS($AK$2:$AK$200,$G15)&gt;0,
    COUNTIFS($AL$2:$AL$200,$G15)&gt;0,
    COUNTIFS($AM$2:$AM$200,$G15)&gt;0,
    COUNTIFS($AN$2:$AN$200,$G15)&gt;0,
    COUNTIFS($AO$2:$AO$200,$G15)&gt;0,
    COUNTIFS($AP$2:$AP$200,$G15)&gt;0,
    COUNTIFS($AQ$2:$AQ$200,$G15)&gt;0,
    COUNTIFS($AR$2:$AR$200,$G15)&gt;0,
    COUNTIFS($AS$2:$AS$200,$G15)&gt;0,
    COUNTIFS($AT$2:$AT$200,$G15)&gt;0,
    COUNTIFS($AU$2:$AU$200,$G15)&gt;0,
    COUNTIFS($AV$2:$AV$200,$G15)&gt;0,
    COUNTIFS($AW$2:$AW$200,$G15)&gt;0,
    COUNTIFS($AX$2:$AX$200,$G15)&gt;0,
    COUNTIFS($AY$2:$AY$200,$G15)&gt;0,
    COUNTIFS($AZ$2:$AZ$200,$G15)&gt;0,
    COUNTIFS($BA$2:$BA$200,$G15)&gt;0,
    COUNTIFS($BB$2:$BB$200,$G15)&gt;0,
    COUNTIFS($BC$2:$BC$200,$G15)&gt;0,
    COUNTIFS($BD$2:$BD$200,$G15)&gt;0,
    COUNTIFS($BE$2:$BE$200,$G15)&gt;0,
    COUNTIFS($BF$2:$BF$200,$G15)&gt;0,
    COUNTIFS($BG$2:$BG$200,$G15)&gt;0,
    COUNTIFS($BH$2:$BH$200,$G15)&gt;0,
    COUNTIFS($BI$2:$BI$200,$G15)&gt;0,
    COUNTIFS($BJ$2:$BJ$200,$G15)&gt;0,
    COUNTIFS($BK$2:$BK$200,$G15)&gt;0,
    COUNTIFS($BL$2:$BL$200,$G15)&gt;0,
    COUNTIFS($BM$2:$BM$200,$G15)&gt;0,
   ),
  0)
 ),
"")</f>
        <v>Narset</v>
      </c>
      <c r="D15" s="2" t="str" cm="1">
        <f t="array" aca="1" ref="D15" ca="1">IFERROR(
 INDEX(
  _xlfn._xlws.FILTER($V$1:$AY$1,
   TRANSPOSE(
    CHOOSE({1;2;3;4;5;6;7;8;9;10;11;12;13;14;15;16;17;18;19;20;21;22;23;24;25;26;27;28;29;30},
     COUNTIFS($V$2:$V$200,$G15)&gt;0,
     COUNTIFS($W$2:$W$200,$G15)&gt;0,
     COUNTIFS($X$2:$X$200,$G15)&gt;0,
     COUNTIFS($Y$2:$Y$200,$G15)&gt;0,
     COUNTIFS($Z$2:$Z$200,$G15)&gt;0,
     COUNTIFS($AA$2:$AA$200,$G15)&gt;0,
     COUNTIFS($AB$2:$AB$200,$G15)&gt;0,
     COUNTIFS($AC$2:$AC$200,$G15)&gt;0,
     COUNTIFS($AD$2:$AD$200,$G15)&gt;0,
     COUNTIFS($AE$2:$AE$200,$G15)&gt;0,
     COUNTIFS($AF$2:$AF$200,$G15)&gt;0,
     COUNTIFS($AG$2:$AG$200,$G15)&gt;0,
     COUNTIFS($AH$2:$AH$200,$G15)&gt;0,
     COUNTIFS($AI$2:$AI$200,$G15)&gt;0,
     COUNTIFS($AJ$2:$AJ$200,$G15)&gt;0,
     COUNTIFS($AK$2:$AK$200,$G15)&gt;0,
     COUNTIFS($AL$2:$AL$200,$G15)&gt;0,
     COUNTIFS($AM$2:$AM$200,$G15)&gt;0,
     COUNTIFS($AN$2:$AN$200,$G15)&gt;0,
     COUNTIFS($AO$2:$AO$200,$G15)&gt;0,
     COUNTIFS($AP$2:$AP$200,$G15)&gt;0,
     COUNTIFS($AQ$2:$AQ$200,$G15)&gt;0,
     COUNTIFS($AR$2:$AR$200,$G15)&gt;0,
     COUNTIFS($AS$2:$AS$200,$G15)&gt;0,
     COUNTIFS($AT$2:$AT$200,$G15)&gt;0,
     COUNTIFS($AU$2:$AU$200,$G15)&gt;0,
     COUNTIFS($AV$2:$AV$200,$G15)&gt;0,
     COUNTIFS($AW$2:$AW$200,$G15)&gt;0,
     COUNTIFS($AX$2:$AX$200,$G15)&gt;0,
     COUNTIFS($AY$2:$AY$200,$G15)&gt;0
   )),
  ),
  2
 ),
"")</f>
        <v/>
      </c>
      <c r="E15" s="2" t="str" cm="1">
        <f t="array" aca="1" ref="E15" ca="1">IFERROR(
 INDEX(
  _xlfn._xlws.FILTER($V$1:$AY$1,
   TRANSPOSE(
    CHOOSE({1;2;3;4;5;6;7;8;9;10;11;12;13;14;15;16;17;18;19;20;21;22;23;24;25;26;27;28;29;30},
     COUNTIFS($V$2:$V$200,$G15)&gt;0,
     COUNTIFS($W$2:$W$200,$G15)&gt;0,
     COUNTIFS($X$2:$X$200,$G15)&gt;0,
     COUNTIFS($Y$2:$Y$200,$G15)&gt;0,
     COUNTIFS($Z$2:$Z$200,$G15)&gt;0,
     COUNTIFS($AA$2:$AA$200,$G15)&gt;0,
     COUNTIFS($AB$2:$AB$200,$G15)&gt;0,
     COUNTIFS($AC$2:$AC$200,$G15)&gt;0,
     COUNTIFS($AD$2:$AD$200,$G15)&gt;0,
     COUNTIFS($AE$2:$AE$200,$G15)&gt;0,
     COUNTIFS($AF$2:$AF$200,$G15)&gt;0,
     COUNTIFS($AG$2:$AG$200,$G15)&gt;0,
     COUNTIFS($AH$2:$AH$200,$G15)&gt;0,
     COUNTIFS($AI$2:$AI$200,$G15)&gt;0,
     COUNTIFS($AJ$2:$AJ$200,$G15)&gt;0,
     COUNTIFS($AK$2:$AK$200,$G15)&gt;0,
     COUNTIFS($AL$2:$AL$200,$G15)&gt;0,
     COUNTIFS($AM$2:$AM$200,$G15)&gt;0,
     COUNTIFS($AN$2:$AN$200,$G15)&gt;0,
     COUNTIFS($AO$2:$AO$200,$G15)&gt;0,
     COUNTIFS($AP$2:$AP$200,$G15)&gt;0,
     COUNTIFS($AQ$2:$AQ$200,$G15)&gt;0,
     COUNTIFS($AR$2:$AR$200,$G15)&gt;0,
     COUNTIFS($AS$2:$AS$200,$G15)&gt;0,
     COUNTIFS($AT$2:$AT$200,$G15)&gt;0,
     COUNTIFS($AU$2:$AU$200,$G15)&gt;0,
     COUNTIFS($AV$2:$AV$200,$G15)&gt;0,
     COUNTIFS($AW$2:$AW$200,$G15)&gt;0,
     COUNTIFS($AX$2:$AX$200,$G15)&gt;0,
     COUNTIFS($AY$2:$AY$200,$G15)&gt;0
   )),
  ),
  3
 ),
"")</f>
        <v/>
      </c>
      <c r="F15" s="2" t="str" cm="1">
        <f t="array" aca="1" ref="F15" ca="1">IFERROR(
 INDEX(
  _xlfn._xlws.FILTER($V$1:$AY$1,
   TRANSPOSE(
    CHOOSE({1;2;3;4;5;6;7;8;9;10;11;12;13;14;15;16;17;18;19;20;21;22;23;24;25;26;27;28;29;30},
     COUNTIFS($V$2:$V$200,$G15)&gt;0,
     COUNTIFS($W$2:$W$200,$G15)&gt;0,
     COUNTIFS($X$2:$X$200,$G15)&gt;0,
     COUNTIFS($Y$2:$Y$200,$G15)&gt;0,
     COUNTIFS($Z$2:$Z$200,$G15)&gt;0,
     COUNTIFS($AA$2:$AA$200,$G15)&gt;0,
     COUNTIFS($AB$2:$AB$200,$G15)&gt;0,
     COUNTIFS($AC$2:$AC$200,$G15)&gt;0,
     COUNTIFS($AD$2:$AD$200,$G15)&gt;0,
     COUNTIFS($AE$2:$AE$200,$G15)&gt;0,
     COUNTIFS($AF$2:$AF$200,$G15)&gt;0,
     COUNTIFS($AG$2:$AG$200,$G15)&gt;0,
     COUNTIFS($AH$2:$AH$200,$G15)&gt;0,
     COUNTIFS($AI$2:$AI$200,$G15)&gt;0,
     COUNTIFS($AJ$2:$AJ$200,$G15)&gt;0,
     COUNTIFS($AK$2:$AK$200,$G15)&gt;0,
     COUNTIFS($AL$2:$AL$200,$G15)&gt;0,
     COUNTIFS($AM$2:$AM$200,$G15)&gt;0,
     COUNTIFS($AN$2:$AN$200,$G15)&gt;0,
     COUNTIFS($AO$2:$AO$200,$G15)&gt;0,
     COUNTIFS($AP$2:$AP$200,$G15)&gt;0,
     COUNTIFS($AQ$2:$AQ$200,$G15)&gt;0,
     COUNTIFS($AR$2:$AR$200,$G15)&gt;0,
     COUNTIFS($AS$2:$AS$200,$G15)&gt;0,
     COUNTIFS($AT$2:$AT$200,$G15)&gt;0,
     COUNTIFS($AU$2:$AU$200,$G15)&gt;0,
     COUNTIFS($AV$2:$AV$200,$G15)&gt;0,
     COUNTIFS($AW$2:$AW$200,$G15)&gt;0,
     COUNTIFS($AX$2:$AX$200,$G15)&gt;0,
     COUNTIFS($AY$2:$AY$200,$G15)&gt;0
   )),
  ),
  4
 ),
"")</f>
        <v/>
      </c>
      <c r="G15" t="str">
        <f ca="1"/>
        <v>Aligned Heart</v>
      </c>
      <c r="H15" s="2" t="s">
        <v>417</v>
      </c>
      <c r="J15" t="s">
        <v>22</v>
      </c>
      <c r="K15" s="2">
        <f>[1]Rielle!G2</f>
        <v>8</v>
      </c>
      <c r="L15" s="2" t="s">
        <v>3</v>
      </c>
      <c r="M15" s="2" t="s">
        <v>2</v>
      </c>
      <c r="N15" s="2" t="s">
        <v>2</v>
      </c>
      <c r="O15" s="2" t="s">
        <v>3</v>
      </c>
      <c r="P15" s="2" t="s">
        <v>3</v>
      </c>
      <c r="Q15" s="2" t="s">
        <v>0</v>
      </c>
      <c r="R15" s="2" t="s">
        <v>4</v>
      </c>
      <c r="S15" s="2" t="s">
        <v>17</v>
      </c>
      <c r="T15" s="2" t="str">
        <f t="shared" si="3"/>
        <v>2</v>
      </c>
      <c r="W15" t="str">
        <v>Lightning Greaves</v>
      </c>
      <c r="X15" t="str">
        <v>Slayers' Stronghold</v>
      </c>
      <c r="Y15" t="str">
        <v>Long Feng, Grand Secretariat</v>
      </c>
      <c r="AJ15" t="str">
        <v>Sword of Wealth and Power</v>
      </c>
      <c r="AO15" t="str">
        <v>Descendants' Path</v>
      </c>
      <c r="AR15" t="str">
        <v>Phyrexian Arena</v>
      </c>
      <c r="AX15" t="str">
        <v>Mountain</v>
      </c>
      <c r="AY15" t="str">
        <v>Sol Ring</v>
      </c>
      <c r="BE15" t="str">
        <v>Hare Apparent</v>
      </c>
      <c r="BI15" t="str">
        <v>Dream Devourer</v>
      </c>
      <c r="BJ15" t="str">
        <v>Beifong's Bounty Hunters</v>
      </c>
      <c r="BL15" t="str">
        <v>Command Tower</v>
      </c>
      <c r="CI15" t="str">
        <f ca="1"/>
        <v>Glint-Horn Buccaneer</v>
      </c>
      <c r="CJ15" t="str">
        <f ca="1"/>
        <v>Farhaven Elf</v>
      </c>
      <c r="CK15" t="str">
        <f ca="1"/>
        <v>Rogue's Passage</v>
      </c>
      <c r="CL15" t="str">
        <f ca="1"/>
        <v>Reliquary Tower</v>
      </c>
      <c r="CM15" t="str">
        <f ca="1"/>
        <v>Rivendell</v>
      </c>
      <c r="CN15" t="str">
        <f ca="1"/>
        <v>Vault of Champions</v>
      </c>
      <c r="CO15" t="str">
        <f ca="1"/>
        <v>Psychic Paper</v>
      </c>
      <c r="CP15" t="str">
        <f ca="1"/>
        <v>Nicol Bolas, God-Pharaoh</v>
      </c>
      <c r="CR15" t="str">
        <f ca="1"/>
        <v>Darkheart Sliver</v>
      </c>
      <c r="CS15" t="str">
        <f ca="1"/>
        <v>Swan Song</v>
      </c>
      <c r="CT15" t="str">
        <f ca="1"/>
        <v>Mask of Griselbrand</v>
      </c>
      <c r="CU15" t="str">
        <f ca="1"/>
        <v>The Soul Stone</v>
      </c>
      <c r="CW15" t="str">
        <f ca="1"/>
        <v>Generous Patron</v>
      </c>
      <c r="CZ15" t="str">
        <f ca="1"/>
        <v>Island</v>
      </c>
      <c r="DB15" t="str">
        <f ca="1"/>
        <v>Dream Devourer</v>
      </c>
      <c r="DC15" t="str">
        <f ca="1"/>
        <v>Beifong's Bounty Hunters</v>
      </c>
      <c r="DD15" t="str">
        <f ca="1"/>
        <v>Command Tower</v>
      </c>
      <c r="DP15" t="str">
        <f ca="1"/>
        <v>Caves of Koilos</v>
      </c>
      <c r="DQ15" t="str">
        <f ca="1"/>
        <v>Giver of Runes</v>
      </c>
      <c r="DR15" t="str">
        <f ca="1"/>
        <v>Luxury Suite</v>
      </c>
      <c r="DS15" t="str">
        <f ca="1"/>
        <v>Freyalise, Llanowar's Fury</v>
      </c>
      <c r="DT15" t="str">
        <f ca="1"/>
        <v>Crystalline Sliver</v>
      </c>
      <c r="DU15" t="str">
        <f ca="1"/>
        <v>Forest</v>
      </c>
      <c r="DV15" t="str">
        <f ca="1"/>
        <v>Springleaf Parade</v>
      </c>
      <c r="DW15" t="str">
        <f ca="1"/>
        <v>Generous Patron</v>
      </c>
      <c r="DX15" t="str">
        <f ca="1"/>
        <v>Island</v>
      </c>
      <c r="DY15" t="str">
        <f ca="1"/>
        <v>Dream Devourer</v>
      </c>
      <c r="DZ15" t="str">
        <f ca="1"/>
        <v>Aura Mutation</v>
      </c>
      <c r="EG15" t="str">
        <f ca="1"/>
        <v>Boros Charm</v>
      </c>
      <c r="EH15" t="str">
        <f ca="1"/>
        <v>Delighted Halfling</v>
      </c>
      <c r="EI15" t="str">
        <f ca="1"/>
        <v>Brood Sliver</v>
      </c>
      <c r="EJ15" t="str">
        <f ca="1"/>
        <v>Dawnhand Dissident</v>
      </c>
      <c r="EK15" t="str">
        <f ca="1"/>
        <v>Counterspell</v>
      </c>
      <c r="EL15" t="str">
        <f ca="1"/>
        <v>Aura Mutation</v>
      </c>
      <c r="EP15" t="str">
        <f ca="1"/>
        <v>Aura Mutation</v>
      </c>
      <c r="EQ15" t="str">
        <f ca="1"/>
        <v>Birds of Paradise</v>
      </c>
      <c r="ER15" t="str">
        <f ca="1"/>
        <v>Artifact Mutation</v>
      </c>
      <c r="EU15" t="str">
        <f ca="1"/>
        <v>Arcane Lighthouse</v>
      </c>
      <c r="EV15" t="str">
        <f ca="1"/>
        <v>Artifact Mutation</v>
      </c>
      <c r="EX15" t="str">
        <f ca="1"/>
        <v>Aligned Heart</v>
      </c>
    </row>
    <row r="16" spans="1:154" x14ac:dyDescent="0.25">
      <c r="A16" s="2" t="str">
        <f t="shared" ca="1" si="1"/>
        <v>4</v>
      </c>
      <c r="B16" s="2">
        <f t="shared" ca="1" si="2"/>
        <v>1</v>
      </c>
      <c r="C16" s="2" t="str">
        <f ca="1">IFERROR(
 INDEX($V$1:$BL$1,
  MATCH(TRUE,
   CHOOSE({1;2;3;4;5;6;7;8;9;10;11;12;13;14;15;16;17;18;19;20;21;22;23;24;25;26;27;28;29;30;31;32;33;34;35;36;37;38;39;40;41;42;43},
    COUNTIFS($V$2:$V$200,$G16)&gt;0,
    COUNTIFS($W$2:$W$200,$G16)&gt;0,
    COUNTIFS($X$2:$X$200,$G16)&gt;0,
    COUNTIFS($Y$2:$Y$200,$G16)&gt;0,
    COUNTIFS($Z$2:$Z$200,$G16)&gt;0,
    COUNTIFS($AA$2:$AA$200,$G16)&gt;0,
    COUNTIFS($AB$2:$AB$200,$G16)&gt;0,
    COUNTIFS($AC$2:$AC$200,$G16)&gt;0,
    COUNTIFS($AD$2:$AD$200,$G16)&gt;0,
    COUNTIFS($AE$2:$AE$200,$G16)&gt;0,
    COUNTIFS($AF$2:$AF$200,$G16)&gt;0,
    COUNTIFS($AG$2:$AG$200,$G16)&gt;0,
    COUNTIFS($AH$2:$AH$200,$G16)&gt;0,
    COUNTIFS($AI$2:$AI$200,$G16)&gt;0,
    COUNTIFS($AJ$2:$AJ$200,$G16)&gt;0,
    COUNTIFS($AK$2:$AK$200,$G16)&gt;0,
    COUNTIFS($AL$2:$AL$200,$G16)&gt;0,
    COUNTIFS($AM$2:$AM$200,$G16)&gt;0,
    COUNTIFS($AN$2:$AN$200,$G16)&gt;0,
    COUNTIFS($AO$2:$AO$200,$G16)&gt;0,
    COUNTIFS($AP$2:$AP$200,$G16)&gt;0,
    COUNTIFS($AQ$2:$AQ$200,$G16)&gt;0,
    COUNTIFS($AR$2:$AR$200,$G16)&gt;0,
    COUNTIFS($AS$2:$AS$200,$G16)&gt;0,
    COUNTIFS($AT$2:$AT$200,$G16)&gt;0,
    COUNTIFS($AU$2:$AU$200,$G16)&gt;0,
    COUNTIFS($AV$2:$AV$200,$G16)&gt;0,
    COUNTIFS($AW$2:$AW$200,$G16)&gt;0,
    COUNTIFS($AX$2:$AX$200,$G16)&gt;0,
    COUNTIFS($AY$2:$AY$200,$G16)&gt;0,
    COUNTIFS($AZ$2:$AZ$200,$G16)&gt;0,
    COUNTIFS($BA$2:$BA$200,$G16)&gt;0,
    COUNTIFS($BB$2:$BB$200,$G16)&gt;0,
    COUNTIFS($BC$2:$BC$200,$G16)&gt;0,
    COUNTIFS($BD$2:$BD$200,$G16)&gt;0,
    COUNTIFS($BE$2:$BE$200,$G16)&gt;0,
    COUNTIFS($BF$2:$BF$200,$G16)&gt;0,
    COUNTIFS($BG$2:$BG$200,$G16)&gt;0,
    COUNTIFS($BH$2:$BH$200,$G16)&gt;0,
    COUNTIFS($BI$2:$BI$200,$G16)&gt;0,
    COUNTIFS($BJ$2:$BJ$200,$G16)&gt;0,
    COUNTIFS($BK$2:$BK$200,$G16)&gt;0,
    COUNTIFS($BL$2:$BL$200,$G16)&gt;0,
    COUNTIFS($BM$2:$BM$200,$G16)&gt;0,
   ),
  0)
 ),
"")</f>
        <v>Ool</v>
      </c>
      <c r="D16" s="2" t="str" cm="1">
        <f t="array" aca="1" ref="D16" ca="1">IFERROR(
 INDEX(
  _xlfn._xlws.FILTER($V$1:$AY$1,
   TRANSPOSE(
    CHOOSE({1;2;3;4;5;6;7;8;9;10;11;12;13;14;15;16;17;18;19;20;21;22;23;24;25;26;27;28;29;30},
     COUNTIFS($V$2:$V$200,$G16)&gt;0,
     COUNTIFS($W$2:$W$200,$G16)&gt;0,
     COUNTIFS($X$2:$X$200,$G16)&gt;0,
     COUNTIFS($Y$2:$Y$200,$G16)&gt;0,
     COUNTIFS($Z$2:$Z$200,$G16)&gt;0,
     COUNTIFS($AA$2:$AA$200,$G16)&gt;0,
     COUNTIFS($AB$2:$AB$200,$G16)&gt;0,
     COUNTIFS($AC$2:$AC$200,$G16)&gt;0,
     COUNTIFS($AD$2:$AD$200,$G16)&gt;0,
     COUNTIFS($AE$2:$AE$200,$G16)&gt;0,
     COUNTIFS($AF$2:$AF$200,$G16)&gt;0,
     COUNTIFS($AG$2:$AG$200,$G16)&gt;0,
     COUNTIFS($AH$2:$AH$200,$G16)&gt;0,
     COUNTIFS($AI$2:$AI$200,$G16)&gt;0,
     COUNTIFS($AJ$2:$AJ$200,$G16)&gt;0,
     COUNTIFS($AK$2:$AK$200,$G16)&gt;0,
     COUNTIFS($AL$2:$AL$200,$G16)&gt;0,
     COUNTIFS($AM$2:$AM$200,$G16)&gt;0,
     COUNTIFS($AN$2:$AN$200,$G16)&gt;0,
     COUNTIFS($AO$2:$AO$200,$G16)&gt;0,
     COUNTIFS($AP$2:$AP$200,$G16)&gt;0,
     COUNTIFS($AQ$2:$AQ$200,$G16)&gt;0,
     COUNTIFS($AR$2:$AR$200,$G16)&gt;0,
     COUNTIFS($AS$2:$AS$200,$G16)&gt;0,
     COUNTIFS($AT$2:$AT$200,$G16)&gt;0,
     COUNTIFS($AU$2:$AU$200,$G16)&gt;0,
     COUNTIFS($AV$2:$AV$200,$G16)&gt;0,
     COUNTIFS($AW$2:$AW$200,$G16)&gt;0,
     COUNTIFS($AX$2:$AX$200,$G16)&gt;0,
     COUNTIFS($AY$2:$AY$200,$G16)&gt;0
   )),
  ),
  2
 ),
"")</f>
        <v/>
      </c>
      <c r="E16" s="2" t="str" cm="1">
        <f t="array" aca="1" ref="E16" ca="1">IFERROR(
 INDEX(
  _xlfn._xlws.FILTER($V$1:$AY$1,
   TRANSPOSE(
    CHOOSE({1;2;3;4;5;6;7;8;9;10;11;12;13;14;15;16;17;18;19;20;21;22;23;24;25;26;27;28;29;30},
     COUNTIFS($V$2:$V$200,$G16)&gt;0,
     COUNTIFS($W$2:$W$200,$G16)&gt;0,
     COUNTIFS($X$2:$X$200,$G16)&gt;0,
     COUNTIFS($Y$2:$Y$200,$G16)&gt;0,
     COUNTIFS($Z$2:$Z$200,$G16)&gt;0,
     COUNTIFS($AA$2:$AA$200,$G16)&gt;0,
     COUNTIFS($AB$2:$AB$200,$G16)&gt;0,
     COUNTIFS($AC$2:$AC$200,$G16)&gt;0,
     COUNTIFS($AD$2:$AD$200,$G16)&gt;0,
     COUNTIFS($AE$2:$AE$200,$G16)&gt;0,
     COUNTIFS($AF$2:$AF$200,$G16)&gt;0,
     COUNTIFS($AG$2:$AG$200,$G16)&gt;0,
     COUNTIFS($AH$2:$AH$200,$G16)&gt;0,
     COUNTIFS($AI$2:$AI$200,$G16)&gt;0,
     COUNTIFS($AJ$2:$AJ$200,$G16)&gt;0,
     COUNTIFS($AK$2:$AK$200,$G16)&gt;0,
     COUNTIFS($AL$2:$AL$200,$G16)&gt;0,
     COUNTIFS($AM$2:$AM$200,$G16)&gt;0,
     COUNTIFS($AN$2:$AN$200,$G16)&gt;0,
     COUNTIFS($AO$2:$AO$200,$G16)&gt;0,
     COUNTIFS($AP$2:$AP$200,$G16)&gt;0,
     COUNTIFS($AQ$2:$AQ$200,$G16)&gt;0,
     COUNTIFS($AR$2:$AR$200,$G16)&gt;0,
     COUNTIFS($AS$2:$AS$200,$G16)&gt;0,
     COUNTIFS($AT$2:$AT$200,$G16)&gt;0,
     COUNTIFS($AU$2:$AU$200,$G16)&gt;0,
     COUNTIFS($AV$2:$AV$200,$G16)&gt;0,
     COUNTIFS($AW$2:$AW$200,$G16)&gt;0,
     COUNTIFS($AX$2:$AX$200,$G16)&gt;0,
     COUNTIFS($AY$2:$AY$200,$G16)&gt;0
   )),
  ),
  3
 ),
"")</f>
        <v/>
      </c>
      <c r="F16" s="2" t="str" cm="1">
        <f t="array" aca="1" ref="F16" ca="1">IFERROR(
 INDEX(
  _xlfn._xlws.FILTER($V$1:$AY$1,
   TRANSPOSE(
    CHOOSE({1;2;3;4;5;6;7;8;9;10;11;12;13;14;15;16;17;18;19;20;21;22;23;24;25;26;27;28;29;30},
     COUNTIFS($V$2:$V$200,$G16)&gt;0,
     COUNTIFS($W$2:$W$200,$G16)&gt;0,
     COUNTIFS($X$2:$X$200,$G16)&gt;0,
     COUNTIFS($Y$2:$Y$200,$G16)&gt;0,
     COUNTIFS($Z$2:$Z$200,$G16)&gt;0,
     COUNTIFS($AA$2:$AA$200,$G16)&gt;0,
     COUNTIFS($AB$2:$AB$200,$G16)&gt;0,
     COUNTIFS($AC$2:$AC$200,$G16)&gt;0,
     COUNTIFS($AD$2:$AD$200,$G16)&gt;0,
     COUNTIFS($AE$2:$AE$200,$G16)&gt;0,
     COUNTIFS($AF$2:$AF$200,$G16)&gt;0,
     COUNTIFS($AG$2:$AG$200,$G16)&gt;0,
     COUNTIFS($AH$2:$AH$200,$G16)&gt;0,
     COUNTIFS($AI$2:$AI$200,$G16)&gt;0,
     COUNTIFS($AJ$2:$AJ$200,$G16)&gt;0,
     COUNTIFS($AK$2:$AK$200,$G16)&gt;0,
     COUNTIFS($AL$2:$AL$200,$G16)&gt;0,
     COUNTIFS($AM$2:$AM$200,$G16)&gt;0,
     COUNTIFS($AN$2:$AN$200,$G16)&gt;0,
     COUNTIFS($AO$2:$AO$200,$G16)&gt;0,
     COUNTIFS($AP$2:$AP$200,$G16)&gt;0,
     COUNTIFS($AQ$2:$AQ$200,$G16)&gt;0,
     COUNTIFS($AR$2:$AR$200,$G16)&gt;0,
     COUNTIFS($AS$2:$AS$200,$G16)&gt;0,
     COUNTIFS($AT$2:$AT$200,$G16)&gt;0,
     COUNTIFS($AU$2:$AU$200,$G16)&gt;0,
     COUNTIFS($AV$2:$AV$200,$G16)&gt;0,
     COUNTIFS($AW$2:$AW$200,$G16)&gt;0,
     COUNTIFS($AX$2:$AX$200,$G16)&gt;0,
     COUNTIFS($AY$2:$AY$200,$G16)&gt;0
   )),
  ),
  4
 ),
"")</f>
        <v/>
      </c>
      <c r="G16" t="str">
        <f ca="1"/>
        <v>Ammit Eternal</v>
      </c>
      <c r="H16" s="2" t="s">
        <v>424</v>
      </c>
      <c r="J16" t="s">
        <v>40</v>
      </c>
      <c r="K16" s="2">
        <f>[1]Yuriko!G2</f>
        <v>13</v>
      </c>
      <c r="L16" s="2" t="s">
        <v>3</v>
      </c>
      <c r="M16" s="2" t="s">
        <v>2</v>
      </c>
      <c r="N16" s="2" t="s">
        <v>3</v>
      </c>
      <c r="O16" s="2" t="s">
        <v>2</v>
      </c>
      <c r="P16" s="2" t="s">
        <v>3</v>
      </c>
      <c r="Q16" s="2" t="s">
        <v>39</v>
      </c>
      <c r="R16" s="3" t="s">
        <v>38</v>
      </c>
      <c r="S16" s="2" t="s">
        <v>37</v>
      </c>
      <c r="T16" s="2" t="str">
        <f t="shared" si="3"/>
        <v>3</v>
      </c>
      <c r="W16" t="str">
        <v>March of the Canonized</v>
      </c>
      <c r="X16" t="str">
        <v>Sokenzan, Crucible of Defiance</v>
      </c>
      <c r="Y16" t="str">
        <v>Reyhan, Last of the Abzan</v>
      </c>
      <c r="AO16" t="str">
        <v>Diffusion Sliver</v>
      </c>
      <c r="AR16" t="str">
        <v>Red XIII, Proud Warrior</v>
      </c>
      <c r="AX16" t="str">
        <v>Nest of Scarabs</v>
      </c>
      <c r="AY16" t="str">
        <v>Solid Ground</v>
      </c>
      <c r="BE16" t="str">
        <v>Hare Apparent</v>
      </c>
      <c r="BI16" t="str">
        <v>Eight-and-a-Half-Tails</v>
      </c>
      <c r="BJ16" t="str">
        <v>Bitterbloom Bearer</v>
      </c>
      <c r="BL16" t="str">
        <v>Coruscation Mage</v>
      </c>
      <c r="CI16" t="str">
        <f ca="1"/>
        <v>Jetmir, Nexus of Revels</v>
      </c>
      <c r="CJ16" t="str">
        <f ca="1"/>
        <v>Gavony Township</v>
      </c>
      <c r="CK16" t="str">
        <f ca="1"/>
        <v>Tainted Field</v>
      </c>
      <c r="CL16" t="str">
        <f ca="1"/>
        <v>Scalding Tarn</v>
      </c>
      <c r="CM16" t="str">
        <f ca="1"/>
        <v>Rotating Fireplace</v>
      </c>
      <c r="CN16" t="str">
        <f ca="1"/>
        <v>Vexing Puzzlebox</v>
      </c>
      <c r="CO16" t="str">
        <f ca="1"/>
        <v>Reliquary Tower</v>
      </c>
      <c r="CP16" t="str">
        <f ca="1"/>
        <v>Oko, Thief of Crowns</v>
      </c>
      <c r="CR16" t="str">
        <f ca="1"/>
        <v>Descendants' Path</v>
      </c>
      <c r="CS16" t="str">
        <f ca="1"/>
        <v>Three Steps Ahead</v>
      </c>
      <c r="CT16" t="str">
        <f ca="1"/>
        <v>Nibelheim Aflame</v>
      </c>
      <c r="CW16" t="str">
        <f ca="1"/>
        <v>Giggling Skitterspike</v>
      </c>
      <c r="CZ16" t="str">
        <f ca="1"/>
        <v>Mind Stone</v>
      </c>
      <c r="DB16" t="str">
        <f ca="1"/>
        <v>Eight-and-a-Half-Tails</v>
      </c>
      <c r="DC16" t="str">
        <f ca="1"/>
        <v>Bitterbloom Bearer</v>
      </c>
      <c r="DD16" t="str">
        <f ca="1"/>
        <v>Coruscation Mage</v>
      </c>
      <c r="DP16" t="str">
        <f ca="1"/>
        <v>Champion of Lambholt</v>
      </c>
      <c r="DQ16" t="str">
        <f ca="1"/>
        <v>Guide of Souls</v>
      </c>
      <c r="DR16" t="str">
        <f ca="1"/>
        <v>Mistrise Village</v>
      </c>
      <c r="DS16" t="str">
        <f ca="1"/>
        <v>Gathering Stone</v>
      </c>
      <c r="DT16" t="str">
        <f ca="1"/>
        <v>Darkheart Sliver</v>
      </c>
      <c r="DU16" t="str">
        <f ca="1"/>
        <v>Glen Elendra's Answer</v>
      </c>
      <c r="DV16" t="str">
        <f ca="1"/>
        <v>Susur Secundi, Void Altar</v>
      </c>
      <c r="DW16" t="str">
        <f ca="1"/>
        <v>Giggling Skitterspike</v>
      </c>
      <c r="DX16" t="str">
        <f ca="1"/>
        <v>Mind Stone</v>
      </c>
      <c r="DY16" t="str">
        <f ca="1"/>
        <v>Eight-and-a-Half-Tails</v>
      </c>
      <c r="DZ16" t="str">
        <f ca="1"/>
        <v>Aurelia, the Law Above</v>
      </c>
      <c r="EG16" t="str">
        <f ca="1"/>
        <v>Bothersome Quasit</v>
      </c>
      <c r="EH16" t="str">
        <f ca="1"/>
        <v>Disruptor of Currents</v>
      </c>
      <c r="EI16" t="str">
        <f ca="1"/>
        <v>Bugenhagen, Wise Elder</v>
      </c>
      <c r="EJ16" t="str">
        <f ca="1"/>
        <v>Deserted Temple</v>
      </c>
      <c r="EK16" t="str">
        <f ca="1"/>
        <v>Cunning Rhetoric</v>
      </c>
      <c r="EL16" t="str">
        <f ca="1"/>
        <v>Aurelia, the Law Above</v>
      </c>
      <c r="EP16" t="str">
        <f ca="1"/>
        <v>Authority of the Consuls</v>
      </c>
      <c r="EQ16" t="str">
        <f ca="1"/>
        <v>Bitterblossom</v>
      </c>
      <c r="ER16" t="str">
        <f ca="1"/>
        <v>Assassin's Trophy</v>
      </c>
      <c r="EU16" t="str">
        <f ca="1"/>
        <v>Arid Mesa</v>
      </c>
      <c r="EV16" t="str">
        <f ca="1"/>
        <v>Assassin's Trophy</v>
      </c>
      <c r="EX16" t="str">
        <f ca="1"/>
        <v>Ammit Eternal</v>
      </c>
    </row>
    <row r="17" spans="1:154" x14ac:dyDescent="0.25">
      <c r="A17" s="2" t="str">
        <f t="shared" ca="1" si="1"/>
        <v>2</v>
      </c>
      <c r="B17" s="2">
        <f t="shared" ca="1" si="2"/>
        <v>1</v>
      </c>
      <c r="C17" s="2" t="str">
        <f ca="1">IFERROR(
 INDEX($V$1:$BL$1,
  MATCH(TRUE,
   CHOOSE({1;2;3;4;5;6;7;8;9;10;11;12;13;14;15;16;17;18;19;20;21;22;23;24;25;26;27;28;29;30;31;32;33;34;35;36;37;38;39;40;41;42;43},
    COUNTIFS($V$2:$V$200,$G17)&gt;0,
    COUNTIFS($W$2:$W$200,$G17)&gt;0,
    COUNTIFS($X$2:$X$200,$G17)&gt;0,
    COUNTIFS($Y$2:$Y$200,$G17)&gt;0,
    COUNTIFS($Z$2:$Z$200,$G17)&gt;0,
    COUNTIFS($AA$2:$AA$200,$G17)&gt;0,
    COUNTIFS($AB$2:$AB$200,$G17)&gt;0,
    COUNTIFS($AC$2:$AC$200,$G17)&gt;0,
    COUNTIFS($AD$2:$AD$200,$G17)&gt;0,
    COUNTIFS($AE$2:$AE$200,$G17)&gt;0,
    COUNTIFS($AF$2:$AF$200,$G17)&gt;0,
    COUNTIFS($AG$2:$AG$200,$G17)&gt;0,
    COUNTIFS($AH$2:$AH$200,$G17)&gt;0,
    COUNTIFS($AI$2:$AI$200,$G17)&gt;0,
    COUNTIFS($AJ$2:$AJ$200,$G17)&gt;0,
    COUNTIFS($AK$2:$AK$200,$G17)&gt;0,
    COUNTIFS($AL$2:$AL$200,$G17)&gt;0,
    COUNTIFS($AM$2:$AM$200,$G17)&gt;0,
    COUNTIFS($AN$2:$AN$200,$G17)&gt;0,
    COUNTIFS($AO$2:$AO$200,$G17)&gt;0,
    COUNTIFS($AP$2:$AP$200,$G17)&gt;0,
    COUNTIFS($AQ$2:$AQ$200,$G17)&gt;0,
    COUNTIFS($AR$2:$AR$200,$G17)&gt;0,
    COUNTIFS($AS$2:$AS$200,$G17)&gt;0,
    COUNTIFS($AT$2:$AT$200,$G17)&gt;0,
    COUNTIFS($AU$2:$AU$200,$G17)&gt;0,
    COUNTIFS($AV$2:$AV$200,$G17)&gt;0,
    COUNTIFS($AW$2:$AW$200,$G17)&gt;0,
    COUNTIFS($AX$2:$AX$200,$G17)&gt;0,
    COUNTIFS($AY$2:$AY$200,$G17)&gt;0,
    COUNTIFS($AZ$2:$AZ$200,$G17)&gt;0,
    COUNTIFS($BA$2:$BA$200,$G17)&gt;0,
    COUNTIFS($BB$2:$BB$200,$G17)&gt;0,
    COUNTIFS($BC$2:$BC$200,$G17)&gt;0,
    COUNTIFS($BD$2:$BD$200,$G17)&gt;0,
    COUNTIFS($BE$2:$BE$200,$G17)&gt;0,
    COUNTIFS($BF$2:$BF$200,$G17)&gt;0,
    COUNTIFS($BG$2:$BG$200,$G17)&gt;0,
    COUNTIFS($BH$2:$BH$200,$G17)&gt;0,
    COUNTIFS($BI$2:$BI$200,$G17)&gt;0,
    COUNTIFS($BJ$2:$BJ$200,$G17)&gt;0,
    COUNTIFS($BK$2:$BK$200,$G17)&gt;0,
    COUNTIFS($BL$2:$BL$200,$G17)&gt;0,
    COUNTIFS($BM$2:$BM$200,$G17)&gt;0,
   ),
  0)
 ),
"")</f>
        <v>VialIshai</v>
      </c>
      <c r="D17" s="2" t="str" cm="1">
        <f t="array" aca="1" ref="D17" ca="1">IFERROR(
 INDEX(
  _xlfn._xlws.FILTER($V$1:$AY$1,
   TRANSPOSE(
    CHOOSE({1;2;3;4;5;6;7;8;9;10;11;12;13;14;15;16;17;18;19;20;21;22;23;24;25;26;27;28;29;30},
     COUNTIFS($V$2:$V$200,$G17)&gt;0,
     COUNTIFS($W$2:$W$200,$G17)&gt;0,
     COUNTIFS($X$2:$X$200,$G17)&gt;0,
     COUNTIFS($Y$2:$Y$200,$G17)&gt;0,
     COUNTIFS($Z$2:$Z$200,$G17)&gt;0,
     COUNTIFS($AA$2:$AA$200,$G17)&gt;0,
     COUNTIFS($AB$2:$AB$200,$G17)&gt;0,
     COUNTIFS($AC$2:$AC$200,$G17)&gt;0,
     COUNTIFS($AD$2:$AD$200,$G17)&gt;0,
     COUNTIFS($AE$2:$AE$200,$G17)&gt;0,
     COUNTIFS($AF$2:$AF$200,$G17)&gt;0,
     COUNTIFS($AG$2:$AG$200,$G17)&gt;0,
     COUNTIFS($AH$2:$AH$200,$G17)&gt;0,
     COUNTIFS($AI$2:$AI$200,$G17)&gt;0,
     COUNTIFS($AJ$2:$AJ$200,$G17)&gt;0,
     COUNTIFS($AK$2:$AK$200,$G17)&gt;0,
     COUNTIFS($AL$2:$AL$200,$G17)&gt;0,
     COUNTIFS($AM$2:$AM$200,$G17)&gt;0,
     COUNTIFS($AN$2:$AN$200,$G17)&gt;0,
     COUNTIFS($AO$2:$AO$200,$G17)&gt;0,
     COUNTIFS($AP$2:$AP$200,$G17)&gt;0,
     COUNTIFS($AQ$2:$AQ$200,$G17)&gt;0,
     COUNTIFS($AR$2:$AR$200,$G17)&gt;0,
     COUNTIFS($AS$2:$AS$200,$G17)&gt;0,
     COUNTIFS($AT$2:$AT$200,$G17)&gt;0,
     COUNTIFS($AU$2:$AU$200,$G17)&gt;0,
     COUNTIFS($AV$2:$AV$200,$G17)&gt;0,
     COUNTIFS($AW$2:$AW$200,$G17)&gt;0,
     COUNTIFS($AX$2:$AX$200,$G17)&gt;0,
     COUNTIFS($AY$2:$AY$200,$G17)&gt;0
   )),
  ),
  2
 ),
"")</f>
        <v/>
      </c>
      <c r="E17" s="2" t="str" cm="1">
        <f t="array" aca="1" ref="E17" ca="1">IFERROR(
 INDEX(
  _xlfn._xlws.FILTER($V$1:$AY$1,
   TRANSPOSE(
    CHOOSE({1;2;3;4;5;6;7;8;9;10;11;12;13;14;15;16;17;18;19;20;21;22;23;24;25;26;27;28;29;30},
     COUNTIFS($V$2:$V$200,$G17)&gt;0,
     COUNTIFS($W$2:$W$200,$G17)&gt;0,
     COUNTIFS($X$2:$X$200,$G17)&gt;0,
     COUNTIFS($Y$2:$Y$200,$G17)&gt;0,
     COUNTIFS($Z$2:$Z$200,$G17)&gt;0,
     COUNTIFS($AA$2:$AA$200,$G17)&gt;0,
     COUNTIFS($AB$2:$AB$200,$G17)&gt;0,
     COUNTIFS($AC$2:$AC$200,$G17)&gt;0,
     COUNTIFS($AD$2:$AD$200,$G17)&gt;0,
     COUNTIFS($AE$2:$AE$200,$G17)&gt;0,
     COUNTIFS($AF$2:$AF$200,$G17)&gt;0,
     COUNTIFS($AG$2:$AG$200,$G17)&gt;0,
     COUNTIFS($AH$2:$AH$200,$G17)&gt;0,
     COUNTIFS($AI$2:$AI$200,$G17)&gt;0,
     COUNTIFS($AJ$2:$AJ$200,$G17)&gt;0,
     COUNTIFS($AK$2:$AK$200,$G17)&gt;0,
     COUNTIFS($AL$2:$AL$200,$G17)&gt;0,
     COUNTIFS($AM$2:$AM$200,$G17)&gt;0,
     COUNTIFS($AN$2:$AN$200,$G17)&gt;0,
     COUNTIFS($AO$2:$AO$200,$G17)&gt;0,
     COUNTIFS($AP$2:$AP$200,$G17)&gt;0,
     COUNTIFS($AQ$2:$AQ$200,$G17)&gt;0,
     COUNTIFS($AR$2:$AR$200,$G17)&gt;0,
     COUNTIFS($AS$2:$AS$200,$G17)&gt;0,
     COUNTIFS($AT$2:$AT$200,$G17)&gt;0,
     COUNTIFS($AU$2:$AU$200,$G17)&gt;0,
     COUNTIFS($AV$2:$AV$200,$G17)&gt;0,
     COUNTIFS($AW$2:$AW$200,$G17)&gt;0,
     COUNTIFS($AX$2:$AX$200,$G17)&gt;0,
     COUNTIFS($AY$2:$AY$200,$G17)&gt;0
   )),
  ),
  3
 ),
"")</f>
        <v/>
      </c>
      <c r="F17" s="2" t="str" cm="1">
        <f t="array" aca="1" ref="F17" ca="1">IFERROR(
 INDEX(
  _xlfn._xlws.FILTER($V$1:$AY$1,
   TRANSPOSE(
    CHOOSE({1;2;3;4;5;6;7;8;9;10;11;12;13;14;15;16;17;18;19;20;21;22;23;24;25;26;27;28;29;30},
     COUNTIFS($V$2:$V$200,$G17)&gt;0,
     COUNTIFS($W$2:$W$200,$G17)&gt;0,
     COUNTIFS($X$2:$X$200,$G17)&gt;0,
     COUNTIFS($Y$2:$Y$200,$G17)&gt;0,
     COUNTIFS($Z$2:$Z$200,$G17)&gt;0,
     COUNTIFS($AA$2:$AA$200,$G17)&gt;0,
     COUNTIFS($AB$2:$AB$200,$G17)&gt;0,
     COUNTIFS($AC$2:$AC$200,$G17)&gt;0,
     COUNTIFS($AD$2:$AD$200,$G17)&gt;0,
     COUNTIFS($AE$2:$AE$200,$G17)&gt;0,
     COUNTIFS($AF$2:$AF$200,$G17)&gt;0,
     COUNTIFS($AG$2:$AG$200,$G17)&gt;0,
     COUNTIFS($AH$2:$AH$200,$G17)&gt;0,
     COUNTIFS($AI$2:$AI$200,$G17)&gt;0,
     COUNTIFS($AJ$2:$AJ$200,$G17)&gt;0,
     COUNTIFS($AK$2:$AK$200,$G17)&gt;0,
     COUNTIFS($AL$2:$AL$200,$G17)&gt;0,
     COUNTIFS($AM$2:$AM$200,$G17)&gt;0,
     COUNTIFS($AN$2:$AN$200,$G17)&gt;0,
     COUNTIFS($AO$2:$AO$200,$G17)&gt;0,
     COUNTIFS($AP$2:$AP$200,$G17)&gt;0,
     COUNTIFS($AQ$2:$AQ$200,$G17)&gt;0,
     COUNTIFS($AR$2:$AR$200,$G17)&gt;0,
     COUNTIFS($AS$2:$AS$200,$G17)&gt;0,
     COUNTIFS($AT$2:$AT$200,$G17)&gt;0,
     COUNTIFS($AU$2:$AU$200,$G17)&gt;0,
     COUNTIFS($AV$2:$AV$200,$G17)&gt;0,
     COUNTIFS($AW$2:$AW$200,$G17)&gt;0,
     COUNTIFS($AX$2:$AX$200,$G17)&gt;0,
     COUNTIFS($AY$2:$AY$200,$G17)&gt;0
   )),
  ),
  4
 ),
"")</f>
        <v/>
      </c>
      <c r="G17" t="str">
        <f ca="1"/>
        <v>Amphibian Downpour</v>
      </c>
      <c r="H17" s="2" t="s">
        <v>419</v>
      </c>
      <c r="J17" t="s">
        <v>21</v>
      </c>
      <c r="K17" s="2">
        <f>[1]Oona!H2</f>
        <v>0</v>
      </c>
      <c r="L17" s="2" t="s">
        <v>3</v>
      </c>
      <c r="M17" s="2" t="s">
        <v>2</v>
      </c>
      <c r="N17" s="2" t="s">
        <v>3</v>
      </c>
      <c r="O17" s="2" t="s">
        <v>2</v>
      </c>
      <c r="P17" s="2" t="s">
        <v>3</v>
      </c>
      <c r="Q17" s="2" t="s">
        <v>20</v>
      </c>
      <c r="R17" s="2" t="s">
        <v>1</v>
      </c>
      <c r="S17" s="2" t="s">
        <v>19</v>
      </c>
      <c r="T17" s="2" t="str">
        <f t="shared" si="3"/>
        <v>1</v>
      </c>
      <c r="W17" t="str">
        <v>Mondrak, Glory Dominus</v>
      </c>
      <c r="X17" t="str">
        <v>The Water Crystal</v>
      </c>
      <c r="Y17" t="str">
        <v>Spectacular Spider-Man</v>
      </c>
      <c r="AO17" t="str">
        <v>Dormant Sliver</v>
      </c>
      <c r="AR17" t="str">
        <v>Riveteers Charm</v>
      </c>
      <c r="AX17" t="str">
        <v>Obelisk Spider</v>
      </c>
      <c r="AY17" t="str">
        <v>Terra Eternal</v>
      </c>
      <c r="BE17" t="str">
        <v>Hare Apparent</v>
      </c>
      <c r="BI17" t="str">
        <v>Emergence Zone</v>
      </c>
      <c r="BJ17" t="str">
        <v>Bre of Clan Stoutarm</v>
      </c>
      <c r="BL17" t="str">
        <v>Counterspell</v>
      </c>
      <c r="CI17" t="str">
        <f ca="1"/>
        <v>Karplusan Forest</v>
      </c>
      <c r="CJ17" t="str">
        <f ca="1"/>
        <v>Ghostly Prison</v>
      </c>
      <c r="CK17" t="str">
        <f ca="1"/>
        <v>Takenuma, Abandoned Mire</v>
      </c>
      <c r="CL17" t="str">
        <f ca="1"/>
        <v>Seahunter</v>
      </c>
      <c r="CM17" t="str">
        <f ca="1"/>
        <v>Takenuma, Abandoned Mire</v>
      </c>
      <c r="CN17" t="str">
        <f ca="1"/>
        <v>Wan Shi Tong, Librarian</v>
      </c>
      <c r="CO17" t="str">
        <f ca="1"/>
        <v>Rimekin Recluse</v>
      </c>
      <c r="CP17" t="str">
        <f ca="1"/>
        <v>Ripples of Potential</v>
      </c>
      <c r="CR17" t="str">
        <f ca="1"/>
        <v>Diffusion Sliver</v>
      </c>
      <c r="CT17" t="str">
        <f ca="1"/>
        <v>Phyrexian Arena</v>
      </c>
      <c r="CW17" t="str">
        <f ca="1"/>
        <v>Gonti's Aether Heart</v>
      </c>
      <c r="CZ17" t="str">
        <f ca="1"/>
        <v>Monk Gyatso</v>
      </c>
      <c r="DB17" t="str">
        <f ca="1"/>
        <v>Emergence Zone</v>
      </c>
      <c r="DC17" t="str">
        <f ca="1"/>
        <v>Bre of Clan Stoutarm</v>
      </c>
      <c r="DD17" t="str">
        <f ca="1"/>
        <v>Counterspell</v>
      </c>
      <c r="DP17" t="str">
        <f ca="1"/>
        <v>Champions from Beyond</v>
      </c>
      <c r="DQ17" t="str">
        <f ca="1"/>
        <v>Harvest Season</v>
      </c>
      <c r="DR17" t="str">
        <f ca="1"/>
        <v>Mox Tantalite</v>
      </c>
      <c r="DS17" t="str">
        <f ca="1"/>
        <v>Glasspool Mimic</v>
      </c>
      <c r="DT17" t="str">
        <f ca="1"/>
        <v>Descendants' Path</v>
      </c>
      <c r="DU17" t="str">
        <f ca="1"/>
        <v>Illustrious Wanderglyph</v>
      </c>
      <c r="DV17" t="str">
        <f ca="1"/>
        <v>The Cabbage Merchant</v>
      </c>
      <c r="DW17" t="str">
        <f ca="1"/>
        <v>Gonti's Aether Heart</v>
      </c>
      <c r="DX17" t="str">
        <f ca="1"/>
        <v>Monk Gyatso</v>
      </c>
      <c r="DY17" t="str">
        <f ca="1"/>
        <v>Emergence Zone</v>
      </c>
      <c r="DZ17" t="str">
        <f ca="1"/>
        <v>Battlefield Forge</v>
      </c>
      <c r="EG17" t="str">
        <f ca="1"/>
        <v>Brass's Tunnel-Grinder</v>
      </c>
      <c r="EH17" t="str">
        <f ca="1"/>
        <v>Drowned Catacomb</v>
      </c>
      <c r="EI17" t="str">
        <f ca="1"/>
        <v>Careful Study</v>
      </c>
      <c r="EJ17" t="str">
        <f ca="1"/>
        <v>Dollmaker's Shop // Porcelain Gallery</v>
      </c>
      <c r="EK17" t="str">
        <f ca="1"/>
        <v>Debt of Loyalty</v>
      </c>
      <c r="EL17" t="str">
        <f ca="1"/>
        <v>Battlefield Forge</v>
      </c>
      <c r="EP17" t="str">
        <f ca="1"/>
        <v>Avatar's Wrath</v>
      </c>
      <c r="EQ17" t="str">
        <f ca="1"/>
        <v>Blasphemous Act</v>
      </c>
      <c r="ER17" t="str">
        <f ca="1"/>
        <v>Atarka's Command</v>
      </c>
      <c r="EU17" t="str">
        <f ca="1"/>
        <v>Artifact Mutation</v>
      </c>
      <c r="EV17" t="str">
        <f ca="1"/>
        <v>Atarka's Command</v>
      </c>
      <c r="EX17" t="str">
        <f ca="1"/>
        <v>Amphibian Downpour</v>
      </c>
    </row>
    <row r="18" spans="1:154" x14ac:dyDescent="0.25">
      <c r="A18" s="2" t="str">
        <f t="shared" ca="1" si="1"/>
        <v>5</v>
      </c>
      <c r="B18" s="2">
        <f t="shared" ca="1" si="2"/>
        <v>2</v>
      </c>
      <c r="C18" s="2" t="str">
        <f ca="1">IFERROR(
 INDEX($V$1:$BL$1,
  MATCH(TRUE,
   CHOOSE({1;2;3;4;5;6;7;8;9;10;11;12;13;14;15;16;17;18;19;20;21;22;23;24;25;26;27;28;29;30;31;32;33;34;35;36;37;38;39;40;41;42;43},
    COUNTIFS($V$2:$V$200,$G18)&gt;0,
    COUNTIFS($W$2:$W$200,$G18)&gt;0,
    COUNTIFS($X$2:$X$200,$G18)&gt;0,
    COUNTIFS($Y$2:$Y$200,$G18)&gt;0,
    COUNTIFS($Z$2:$Z$200,$G18)&gt;0,
    COUNTIFS($AA$2:$AA$200,$G18)&gt;0,
    COUNTIFS($AB$2:$AB$200,$G18)&gt;0,
    COUNTIFS($AC$2:$AC$200,$G18)&gt;0,
    COUNTIFS($AD$2:$AD$200,$G18)&gt;0,
    COUNTIFS($AE$2:$AE$200,$G18)&gt;0,
    COUNTIFS($AF$2:$AF$200,$G18)&gt;0,
    COUNTIFS($AG$2:$AG$200,$G18)&gt;0,
    COUNTIFS($AH$2:$AH$200,$G18)&gt;0,
    COUNTIFS($AI$2:$AI$200,$G18)&gt;0,
    COUNTIFS($AJ$2:$AJ$200,$G18)&gt;0,
    COUNTIFS($AK$2:$AK$200,$G18)&gt;0,
    COUNTIFS($AL$2:$AL$200,$G18)&gt;0,
    COUNTIFS($AM$2:$AM$200,$G18)&gt;0,
    COUNTIFS($AN$2:$AN$200,$G18)&gt;0,
    COUNTIFS($AO$2:$AO$200,$G18)&gt;0,
    COUNTIFS($AP$2:$AP$200,$G18)&gt;0,
    COUNTIFS($AQ$2:$AQ$200,$G18)&gt;0,
    COUNTIFS($AR$2:$AR$200,$G18)&gt;0,
    COUNTIFS($AS$2:$AS$200,$G18)&gt;0,
    COUNTIFS($AT$2:$AT$200,$G18)&gt;0,
    COUNTIFS($AU$2:$AU$200,$G18)&gt;0,
    COUNTIFS($AV$2:$AV$200,$G18)&gt;0,
    COUNTIFS($AW$2:$AW$200,$G18)&gt;0,
    COUNTIFS($AX$2:$AX$200,$G18)&gt;0,
    COUNTIFS($AY$2:$AY$200,$G18)&gt;0,
    COUNTIFS($AZ$2:$AZ$200,$G18)&gt;0,
    COUNTIFS($BA$2:$BA$200,$G18)&gt;0,
    COUNTIFS($BB$2:$BB$200,$G18)&gt;0,
    COUNTIFS($BC$2:$BC$200,$G18)&gt;0,
    COUNTIFS($BD$2:$BD$200,$G18)&gt;0,
    COUNTIFS($BE$2:$BE$200,$G18)&gt;0,
    COUNTIFS($BF$2:$BF$200,$G18)&gt;0,
    COUNTIFS($BG$2:$BG$200,$G18)&gt;0,
    COUNTIFS($BH$2:$BH$200,$G18)&gt;0,
    COUNTIFS($BI$2:$BI$200,$G18)&gt;0,
    COUNTIFS($BJ$2:$BJ$200,$G18)&gt;0,
    COUNTIFS($BK$2:$BK$200,$G18)&gt;0,
    COUNTIFS($BL$2:$BL$200,$G18)&gt;0,
    COUNTIFS($BM$2:$BM$200,$G18)&gt;0,
   ),
  0)
 ),
"")</f>
        <v>Yorion</v>
      </c>
      <c r="D18" s="2" t="str" cm="1">
        <f t="array" aca="1" ref="D18" ca="1">IFERROR(
 INDEX(
  _xlfn._xlws.FILTER($V$1:$AY$1,
   TRANSPOSE(
    CHOOSE({1;2;3;4;5;6;7;8;9;10;11;12;13;14;15;16;17;18;19;20;21;22;23;24;25;26;27;28;29;30},
     COUNTIFS($V$2:$V$200,$G18)&gt;0,
     COUNTIFS($W$2:$W$200,$G18)&gt;0,
     COUNTIFS($X$2:$X$200,$G18)&gt;0,
     COUNTIFS($Y$2:$Y$200,$G18)&gt;0,
     COUNTIFS($Z$2:$Z$200,$G18)&gt;0,
     COUNTIFS($AA$2:$AA$200,$G18)&gt;0,
     COUNTIFS($AB$2:$AB$200,$G18)&gt;0,
     COUNTIFS($AC$2:$AC$200,$G18)&gt;0,
     COUNTIFS($AD$2:$AD$200,$G18)&gt;0,
     COUNTIFS($AE$2:$AE$200,$G18)&gt;0,
     COUNTIFS($AF$2:$AF$200,$G18)&gt;0,
     COUNTIFS($AG$2:$AG$200,$G18)&gt;0,
     COUNTIFS($AH$2:$AH$200,$G18)&gt;0,
     COUNTIFS($AI$2:$AI$200,$G18)&gt;0,
     COUNTIFS($AJ$2:$AJ$200,$G18)&gt;0,
     COUNTIFS($AK$2:$AK$200,$G18)&gt;0,
     COUNTIFS($AL$2:$AL$200,$G18)&gt;0,
     COUNTIFS($AM$2:$AM$200,$G18)&gt;0,
     COUNTIFS($AN$2:$AN$200,$G18)&gt;0,
     COUNTIFS($AO$2:$AO$200,$G18)&gt;0,
     COUNTIFS($AP$2:$AP$200,$G18)&gt;0,
     COUNTIFS($AQ$2:$AQ$200,$G18)&gt;0,
     COUNTIFS($AR$2:$AR$200,$G18)&gt;0,
     COUNTIFS($AS$2:$AS$200,$G18)&gt;0,
     COUNTIFS($AT$2:$AT$200,$G18)&gt;0,
     COUNTIFS($AU$2:$AU$200,$G18)&gt;0,
     COUNTIFS($AV$2:$AV$200,$G18)&gt;0,
     COUNTIFS($AW$2:$AW$200,$G18)&gt;0,
     COUNTIFS($AX$2:$AX$200,$G18)&gt;0,
     COUNTIFS($AY$2:$AY$200,$G18)&gt;0
   )),
  ),
  2
 ),
"")</f>
        <v/>
      </c>
      <c r="E18" s="2" t="str" cm="1">
        <f t="array" aca="1" ref="E18" ca="1">IFERROR(
 INDEX(
  _xlfn._xlws.FILTER($V$1:$AY$1,
   TRANSPOSE(
    CHOOSE({1;2;3;4;5;6;7;8;9;10;11;12;13;14;15;16;17;18;19;20;21;22;23;24;25;26;27;28;29;30},
     COUNTIFS($V$2:$V$200,$G18)&gt;0,
     COUNTIFS($W$2:$W$200,$G18)&gt;0,
     COUNTIFS($X$2:$X$200,$G18)&gt;0,
     COUNTIFS($Y$2:$Y$200,$G18)&gt;0,
     COUNTIFS($Z$2:$Z$200,$G18)&gt;0,
     COUNTIFS($AA$2:$AA$200,$G18)&gt;0,
     COUNTIFS($AB$2:$AB$200,$G18)&gt;0,
     COUNTIFS($AC$2:$AC$200,$G18)&gt;0,
     COUNTIFS($AD$2:$AD$200,$G18)&gt;0,
     COUNTIFS($AE$2:$AE$200,$G18)&gt;0,
     COUNTIFS($AF$2:$AF$200,$G18)&gt;0,
     COUNTIFS($AG$2:$AG$200,$G18)&gt;0,
     COUNTIFS($AH$2:$AH$200,$G18)&gt;0,
     COUNTIFS($AI$2:$AI$200,$G18)&gt;0,
     COUNTIFS($AJ$2:$AJ$200,$G18)&gt;0,
     COUNTIFS($AK$2:$AK$200,$G18)&gt;0,
     COUNTIFS($AL$2:$AL$200,$G18)&gt;0,
     COUNTIFS($AM$2:$AM$200,$G18)&gt;0,
     COUNTIFS($AN$2:$AN$200,$G18)&gt;0,
     COUNTIFS($AO$2:$AO$200,$G18)&gt;0,
     COUNTIFS($AP$2:$AP$200,$G18)&gt;0,
     COUNTIFS($AQ$2:$AQ$200,$G18)&gt;0,
     COUNTIFS($AR$2:$AR$200,$G18)&gt;0,
     COUNTIFS($AS$2:$AS$200,$G18)&gt;0,
     COUNTIFS($AT$2:$AT$200,$G18)&gt;0,
     COUNTIFS($AU$2:$AU$200,$G18)&gt;0,
     COUNTIFS($AV$2:$AV$200,$G18)&gt;0,
     COUNTIFS($AW$2:$AW$200,$G18)&gt;0,
     COUNTIFS($AX$2:$AX$200,$G18)&gt;0,
     COUNTIFS($AY$2:$AY$200,$G18)&gt;0
   )),
  ),
  3
 ),
"")</f>
        <v/>
      </c>
      <c r="F18" s="2" t="str" cm="1">
        <f t="array" aca="1" ref="F18" ca="1">IFERROR(
 INDEX(
  _xlfn._xlws.FILTER($V$1:$AY$1,
   TRANSPOSE(
    CHOOSE({1;2;3;4;5;6;7;8;9;10;11;12;13;14;15;16;17;18;19;20;21;22;23;24;25;26;27;28;29;30},
     COUNTIFS($V$2:$V$200,$G18)&gt;0,
     COUNTIFS($W$2:$W$200,$G18)&gt;0,
     COUNTIFS($X$2:$X$200,$G18)&gt;0,
     COUNTIFS($Y$2:$Y$200,$G18)&gt;0,
     COUNTIFS($Z$2:$Z$200,$G18)&gt;0,
     COUNTIFS($AA$2:$AA$200,$G18)&gt;0,
     COUNTIFS($AB$2:$AB$200,$G18)&gt;0,
     COUNTIFS($AC$2:$AC$200,$G18)&gt;0,
     COUNTIFS($AD$2:$AD$200,$G18)&gt;0,
     COUNTIFS($AE$2:$AE$200,$G18)&gt;0,
     COUNTIFS($AF$2:$AF$200,$G18)&gt;0,
     COUNTIFS($AG$2:$AG$200,$G18)&gt;0,
     COUNTIFS($AH$2:$AH$200,$G18)&gt;0,
     COUNTIFS($AI$2:$AI$200,$G18)&gt;0,
     COUNTIFS($AJ$2:$AJ$200,$G18)&gt;0,
     COUNTIFS($AK$2:$AK$200,$G18)&gt;0,
     COUNTIFS($AL$2:$AL$200,$G18)&gt;0,
     COUNTIFS($AM$2:$AM$200,$G18)&gt;0,
     COUNTIFS($AN$2:$AN$200,$G18)&gt;0,
     COUNTIFS($AO$2:$AO$200,$G18)&gt;0,
     COUNTIFS($AP$2:$AP$200,$G18)&gt;0,
     COUNTIFS($AQ$2:$AQ$200,$G18)&gt;0,
     COUNTIFS($AR$2:$AR$200,$G18)&gt;0,
     COUNTIFS($AS$2:$AS$200,$G18)&gt;0,
     COUNTIFS($AT$2:$AT$200,$G18)&gt;0,
     COUNTIFS($AU$2:$AU$200,$G18)&gt;0,
     COUNTIFS($AV$2:$AV$200,$G18)&gt;0,
     COUNTIFS($AW$2:$AW$200,$G18)&gt;0,
     COUNTIFS($AX$2:$AX$200,$G18)&gt;0,
     COUNTIFS($AY$2:$AY$200,$G18)&gt;0
   )),
  ),
  4
 ),
"")</f>
        <v/>
      </c>
      <c r="G18" t="str">
        <f ca="1"/>
        <v>An Offer You Can't Refuse</v>
      </c>
      <c r="H18" s="2" t="s">
        <v>417</v>
      </c>
      <c r="J18" t="s">
        <v>51</v>
      </c>
      <c r="K18" s="2">
        <f>[1]Kumena!G2</f>
        <v>11</v>
      </c>
      <c r="L18" s="2" t="s">
        <v>3</v>
      </c>
      <c r="M18" s="2" t="s">
        <v>2</v>
      </c>
      <c r="N18" s="2" t="s">
        <v>3</v>
      </c>
      <c r="O18" s="2" t="s">
        <v>3</v>
      </c>
      <c r="P18" s="2" t="s">
        <v>2</v>
      </c>
      <c r="Q18" s="2" t="s">
        <v>1</v>
      </c>
      <c r="R18" s="2" t="s">
        <v>0</v>
      </c>
      <c r="S18" s="2" t="s">
        <v>50</v>
      </c>
      <c r="T18" s="2" t="str">
        <f t="shared" si="3"/>
        <v>3</v>
      </c>
      <c r="W18" t="str">
        <v>Path to Exile</v>
      </c>
      <c r="X18" t="str">
        <v>World at War</v>
      </c>
      <c r="Y18" t="str">
        <v>Sphere Grid</v>
      </c>
      <c r="AO18" t="str">
        <v>Dregscape Sliver</v>
      </c>
      <c r="AR18" t="str">
        <v>Soul Immolation</v>
      </c>
      <c r="AX18" t="str">
        <v>Persistent Constrictor</v>
      </c>
      <c r="AY18" t="str">
        <v>The Gold Saucer</v>
      </c>
      <c r="BE18" t="str">
        <v>Hare Apparent</v>
      </c>
      <c r="BI18" t="str">
        <v>Firebender Ascension</v>
      </c>
      <c r="BJ18" t="str">
        <v>Brushland</v>
      </c>
      <c r="BL18" t="str">
        <v>Culling Ritual</v>
      </c>
      <c r="CI18" t="str">
        <f ca="1"/>
        <v>Lightning Greaves</v>
      </c>
      <c r="CJ18" t="str">
        <f ca="1"/>
        <v>Incendiary Command</v>
      </c>
      <c r="CK18" t="str">
        <f ca="1"/>
        <v>Unholy Annex // Ritual Chamber</v>
      </c>
      <c r="CL18" t="str">
        <f ca="1"/>
        <v>Sothera, the Supervoid</v>
      </c>
      <c r="CM18" t="str">
        <f ca="1"/>
        <v>The Tenth Doctor</v>
      </c>
      <c r="CN18" t="str">
        <f ca="1"/>
        <v>Watery Grave</v>
      </c>
      <c r="CO18" t="str">
        <f ca="1"/>
        <v>Rivendell</v>
      </c>
      <c r="CP18" t="str">
        <f ca="1"/>
        <v>Stoneforge Mystic</v>
      </c>
      <c r="CR18" t="str">
        <f ca="1"/>
        <v>Dormant Sliver</v>
      </c>
      <c r="CT18" t="str">
        <f ca="1"/>
        <v>Red XIII, Proud Warrior</v>
      </c>
      <c r="CW18" t="str">
        <f ca="1"/>
        <v>Great Furnace</v>
      </c>
      <c r="CZ18" t="str">
        <f ca="1"/>
        <v>Mystic Sanctuary</v>
      </c>
      <c r="DB18" t="str">
        <f ca="1"/>
        <v>Firebender Ascension</v>
      </c>
      <c r="DC18" t="str">
        <f ca="1"/>
        <v>Brushland</v>
      </c>
      <c r="DD18" t="str">
        <f ca="1"/>
        <v>Culling Ritual</v>
      </c>
      <c r="DP18" t="str">
        <f ca="1"/>
        <v>Chaos Warp</v>
      </c>
      <c r="DQ18" t="str">
        <f ca="1"/>
        <v>Life of the Party</v>
      </c>
      <c r="DR18" t="str">
        <f ca="1"/>
        <v>Petrified Field</v>
      </c>
      <c r="DS18" t="str">
        <f ca="1"/>
        <v>Inventory Management</v>
      </c>
      <c r="DT18" t="str">
        <f ca="1"/>
        <v>Deserted Temple</v>
      </c>
      <c r="DU18" t="str">
        <f ca="1"/>
        <v>Invasion of Segovia</v>
      </c>
      <c r="DV18" t="str">
        <f ca="1"/>
        <v>The Soul Stone</v>
      </c>
      <c r="DW18" t="str">
        <f ca="1"/>
        <v>Great Furnace</v>
      </c>
      <c r="DX18" t="str">
        <f ca="1"/>
        <v>Mystic Sanctuary</v>
      </c>
      <c r="DY18" t="str">
        <f ca="1"/>
        <v>Firebender Ascension</v>
      </c>
      <c r="DZ18" t="str">
        <f ca="1"/>
        <v>Beast Within</v>
      </c>
      <c r="EG18" t="str">
        <f ca="1"/>
        <v>Broadside Bombardiers</v>
      </c>
      <c r="EH18" t="str">
        <f ca="1"/>
        <v>Elspeth, Sun's Champion</v>
      </c>
      <c r="EI18" t="str">
        <f ca="1"/>
        <v>Cavern of Souls</v>
      </c>
      <c r="EJ18" t="str">
        <f ca="1"/>
        <v>Earthshape</v>
      </c>
      <c r="EK18" t="str">
        <f ca="1"/>
        <v>Dour Port-Mage</v>
      </c>
      <c r="EL18" t="str">
        <f ca="1"/>
        <v>Beast Within</v>
      </c>
      <c r="EP18" t="str">
        <f ca="1"/>
        <v>Ba Sing Se</v>
      </c>
      <c r="EQ18" t="str">
        <f ca="1"/>
        <v>Bonescythe Sliver</v>
      </c>
      <c r="ER18" t="str">
        <f ca="1"/>
        <v>Aura Mutation</v>
      </c>
      <c r="EU18" t="str">
        <f ca="1"/>
        <v>Arwen, Weaver of Hope</v>
      </c>
      <c r="EV18" t="str">
        <f ca="1"/>
        <v>Aura Mutation</v>
      </c>
      <c r="EX18" t="str">
        <f ca="1"/>
        <v>An Offer You Can't Refuse</v>
      </c>
    </row>
    <row r="19" spans="1:154" x14ac:dyDescent="0.25">
      <c r="A19" s="2" t="str">
        <f t="shared" ca="1" si="1"/>
        <v>2</v>
      </c>
      <c r="B19" s="2">
        <f t="shared" ca="1" si="2"/>
        <v>1</v>
      </c>
      <c r="C19" s="2" t="str">
        <f ca="1">IFERROR(
 INDEX($V$1:$BL$1,
  MATCH(TRUE,
   CHOOSE({1;2;3;4;5;6;7;8;9;10;11;12;13;14;15;16;17;18;19;20;21;22;23;24;25;26;27;28;29;30;31;32;33;34;35;36;37;38;39;40;41;42;43},
    COUNTIFS($V$2:$V$200,$G19)&gt;0,
    COUNTIFS($W$2:$W$200,$G19)&gt;0,
    COUNTIFS($X$2:$X$200,$G19)&gt;0,
    COUNTIFS($Y$2:$Y$200,$G19)&gt;0,
    COUNTIFS($Z$2:$Z$200,$G19)&gt;0,
    COUNTIFS($AA$2:$AA$200,$G19)&gt;0,
    COUNTIFS($AB$2:$AB$200,$G19)&gt;0,
    COUNTIFS($AC$2:$AC$200,$G19)&gt;0,
    COUNTIFS($AD$2:$AD$200,$G19)&gt;0,
    COUNTIFS($AE$2:$AE$200,$G19)&gt;0,
    COUNTIFS($AF$2:$AF$200,$G19)&gt;0,
    COUNTIFS($AG$2:$AG$200,$G19)&gt;0,
    COUNTIFS($AH$2:$AH$200,$G19)&gt;0,
    COUNTIFS($AI$2:$AI$200,$G19)&gt;0,
    COUNTIFS($AJ$2:$AJ$200,$G19)&gt;0,
    COUNTIFS($AK$2:$AK$200,$G19)&gt;0,
    COUNTIFS($AL$2:$AL$200,$G19)&gt;0,
    COUNTIFS($AM$2:$AM$200,$G19)&gt;0,
    COUNTIFS($AN$2:$AN$200,$G19)&gt;0,
    COUNTIFS($AO$2:$AO$200,$G19)&gt;0,
    COUNTIFS($AP$2:$AP$200,$G19)&gt;0,
    COUNTIFS($AQ$2:$AQ$200,$G19)&gt;0,
    COUNTIFS($AR$2:$AR$200,$G19)&gt;0,
    COUNTIFS($AS$2:$AS$200,$G19)&gt;0,
    COUNTIFS($AT$2:$AT$200,$G19)&gt;0,
    COUNTIFS($AU$2:$AU$200,$G19)&gt;0,
    COUNTIFS($AV$2:$AV$200,$G19)&gt;0,
    COUNTIFS($AW$2:$AW$200,$G19)&gt;0,
    COUNTIFS($AX$2:$AX$200,$G19)&gt;0,
    COUNTIFS($AY$2:$AY$200,$G19)&gt;0,
    COUNTIFS($AZ$2:$AZ$200,$G19)&gt;0,
    COUNTIFS($BA$2:$BA$200,$G19)&gt;0,
    COUNTIFS($BB$2:$BB$200,$G19)&gt;0,
    COUNTIFS($BC$2:$BC$200,$G19)&gt;0,
    COUNTIFS($BD$2:$BD$200,$G19)&gt;0,
    COUNTIFS($BE$2:$BE$200,$G19)&gt;0,
    COUNTIFS($BF$2:$BF$200,$G19)&gt;0,
    COUNTIFS($BG$2:$BG$200,$G19)&gt;0,
    COUNTIFS($BH$2:$BH$200,$G19)&gt;0,
    COUNTIFS($BI$2:$BI$200,$G19)&gt;0,
    COUNTIFS($BJ$2:$BJ$200,$G19)&gt;0,
    COUNTIFS($BK$2:$BK$200,$G19)&gt;0,
    COUNTIFS($BL$2:$BL$200,$G19)&gt;0,
    COUNTIFS($BM$2:$BM$200,$G19)&gt;0,
   ),
  0)
 ),
"")</f>
        <v>Zimone</v>
      </c>
      <c r="D19" s="2" t="str" cm="1">
        <f t="array" aca="1" ref="D19" ca="1">IFERROR(
 INDEX(
  _xlfn._xlws.FILTER($V$1:$AY$1,
   TRANSPOSE(
    CHOOSE({1;2;3;4;5;6;7;8;9;10;11;12;13;14;15;16;17;18;19;20;21;22;23;24;25;26;27;28;29;30},
     COUNTIFS($V$2:$V$200,$G19)&gt;0,
     COUNTIFS($W$2:$W$200,$G19)&gt;0,
     COUNTIFS($X$2:$X$200,$G19)&gt;0,
     COUNTIFS($Y$2:$Y$200,$G19)&gt;0,
     COUNTIFS($Z$2:$Z$200,$G19)&gt;0,
     COUNTIFS($AA$2:$AA$200,$G19)&gt;0,
     COUNTIFS($AB$2:$AB$200,$G19)&gt;0,
     COUNTIFS($AC$2:$AC$200,$G19)&gt;0,
     COUNTIFS($AD$2:$AD$200,$G19)&gt;0,
     COUNTIFS($AE$2:$AE$200,$G19)&gt;0,
     COUNTIFS($AF$2:$AF$200,$G19)&gt;0,
     COUNTIFS($AG$2:$AG$200,$G19)&gt;0,
     COUNTIFS($AH$2:$AH$200,$G19)&gt;0,
     COUNTIFS($AI$2:$AI$200,$G19)&gt;0,
     COUNTIFS($AJ$2:$AJ$200,$G19)&gt;0,
     COUNTIFS($AK$2:$AK$200,$G19)&gt;0,
     COUNTIFS($AL$2:$AL$200,$G19)&gt;0,
     COUNTIFS($AM$2:$AM$200,$G19)&gt;0,
     COUNTIFS($AN$2:$AN$200,$G19)&gt;0,
     COUNTIFS($AO$2:$AO$200,$G19)&gt;0,
     COUNTIFS($AP$2:$AP$200,$G19)&gt;0,
     COUNTIFS($AQ$2:$AQ$200,$G19)&gt;0,
     COUNTIFS($AR$2:$AR$200,$G19)&gt;0,
     COUNTIFS($AS$2:$AS$200,$G19)&gt;0,
     COUNTIFS($AT$2:$AT$200,$G19)&gt;0,
     COUNTIFS($AU$2:$AU$200,$G19)&gt;0,
     COUNTIFS($AV$2:$AV$200,$G19)&gt;0,
     COUNTIFS($AW$2:$AW$200,$G19)&gt;0,
     COUNTIFS($AX$2:$AX$200,$G19)&gt;0,
     COUNTIFS($AY$2:$AY$200,$G19)&gt;0
   )),
  ),
  2
 ),
"")</f>
        <v/>
      </c>
      <c r="E19" s="2" t="str" cm="1">
        <f t="array" aca="1" ref="E19" ca="1">IFERROR(
 INDEX(
  _xlfn._xlws.FILTER($V$1:$AY$1,
   TRANSPOSE(
    CHOOSE({1;2;3;4;5;6;7;8;9;10;11;12;13;14;15;16;17;18;19;20;21;22;23;24;25;26;27;28;29;30},
     COUNTIFS($V$2:$V$200,$G19)&gt;0,
     COUNTIFS($W$2:$W$200,$G19)&gt;0,
     COUNTIFS($X$2:$X$200,$G19)&gt;0,
     COUNTIFS($Y$2:$Y$200,$G19)&gt;0,
     COUNTIFS($Z$2:$Z$200,$G19)&gt;0,
     COUNTIFS($AA$2:$AA$200,$G19)&gt;0,
     COUNTIFS($AB$2:$AB$200,$G19)&gt;0,
     COUNTIFS($AC$2:$AC$200,$G19)&gt;0,
     COUNTIFS($AD$2:$AD$200,$G19)&gt;0,
     COUNTIFS($AE$2:$AE$200,$G19)&gt;0,
     COUNTIFS($AF$2:$AF$200,$G19)&gt;0,
     COUNTIFS($AG$2:$AG$200,$G19)&gt;0,
     COUNTIFS($AH$2:$AH$200,$G19)&gt;0,
     COUNTIFS($AI$2:$AI$200,$G19)&gt;0,
     COUNTIFS($AJ$2:$AJ$200,$G19)&gt;0,
     COUNTIFS($AK$2:$AK$200,$G19)&gt;0,
     COUNTIFS($AL$2:$AL$200,$G19)&gt;0,
     COUNTIFS($AM$2:$AM$200,$G19)&gt;0,
     COUNTIFS($AN$2:$AN$200,$G19)&gt;0,
     COUNTIFS($AO$2:$AO$200,$G19)&gt;0,
     COUNTIFS($AP$2:$AP$200,$G19)&gt;0,
     COUNTIFS($AQ$2:$AQ$200,$G19)&gt;0,
     COUNTIFS($AR$2:$AR$200,$G19)&gt;0,
     COUNTIFS($AS$2:$AS$200,$G19)&gt;0,
     COUNTIFS($AT$2:$AT$200,$G19)&gt;0,
     COUNTIFS($AU$2:$AU$200,$G19)&gt;0,
     COUNTIFS($AV$2:$AV$200,$G19)&gt;0,
     COUNTIFS($AW$2:$AW$200,$G19)&gt;0,
     COUNTIFS($AX$2:$AX$200,$G19)&gt;0,
     COUNTIFS($AY$2:$AY$200,$G19)&gt;0
   )),
  ),
  3
 ),
"")</f>
        <v/>
      </c>
      <c r="F19" s="2" t="str" cm="1">
        <f t="array" aca="1" ref="F19" ca="1">IFERROR(
 INDEX(
  _xlfn._xlws.FILTER($V$1:$AY$1,
   TRANSPOSE(
    CHOOSE({1;2;3;4;5;6;7;8;9;10;11;12;13;14;15;16;17;18;19;20;21;22;23;24;25;26;27;28;29;30},
     COUNTIFS($V$2:$V$200,$G19)&gt;0,
     COUNTIFS($W$2:$W$200,$G19)&gt;0,
     COUNTIFS($X$2:$X$200,$G19)&gt;0,
     COUNTIFS($Y$2:$Y$200,$G19)&gt;0,
     COUNTIFS($Z$2:$Z$200,$G19)&gt;0,
     COUNTIFS($AA$2:$AA$200,$G19)&gt;0,
     COUNTIFS($AB$2:$AB$200,$G19)&gt;0,
     COUNTIFS($AC$2:$AC$200,$G19)&gt;0,
     COUNTIFS($AD$2:$AD$200,$G19)&gt;0,
     COUNTIFS($AE$2:$AE$200,$G19)&gt;0,
     COUNTIFS($AF$2:$AF$200,$G19)&gt;0,
     COUNTIFS($AG$2:$AG$200,$G19)&gt;0,
     COUNTIFS($AH$2:$AH$200,$G19)&gt;0,
     COUNTIFS($AI$2:$AI$200,$G19)&gt;0,
     COUNTIFS($AJ$2:$AJ$200,$G19)&gt;0,
     COUNTIFS($AK$2:$AK$200,$G19)&gt;0,
     COUNTIFS($AL$2:$AL$200,$G19)&gt;0,
     COUNTIFS($AM$2:$AM$200,$G19)&gt;0,
     COUNTIFS($AN$2:$AN$200,$G19)&gt;0,
     COUNTIFS($AO$2:$AO$200,$G19)&gt;0,
     COUNTIFS($AP$2:$AP$200,$G19)&gt;0,
     COUNTIFS($AQ$2:$AQ$200,$G19)&gt;0,
     COUNTIFS($AR$2:$AR$200,$G19)&gt;0,
     COUNTIFS($AS$2:$AS$200,$G19)&gt;0,
     COUNTIFS($AT$2:$AT$200,$G19)&gt;0,
     COUNTIFS($AU$2:$AU$200,$G19)&gt;0,
     COUNTIFS($AV$2:$AV$200,$G19)&gt;0,
     COUNTIFS($AW$2:$AW$200,$G19)&gt;0,
     COUNTIFS($AX$2:$AX$200,$G19)&gt;0,
     COUNTIFS($AY$2:$AY$200,$G19)&gt;0
   )),
  ),
  4
 ),
"")</f>
        <v/>
      </c>
      <c r="G19" t="str">
        <f ca="1"/>
        <v>Ancient Greenwarden</v>
      </c>
      <c r="H19" s="2" t="s">
        <v>425</v>
      </c>
      <c r="L19" s="2" t="s">
        <v>3</v>
      </c>
      <c r="M19" s="2" t="s">
        <v>3</v>
      </c>
      <c r="N19" s="2" t="s">
        <v>2</v>
      </c>
      <c r="O19" s="2" t="s">
        <v>2</v>
      </c>
      <c r="P19" s="2" t="s">
        <v>3</v>
      </c>
      <c r="T19" s="2" t="str">
        <f t="shared" si="3"/>
        <v>1</v>
      </c>
      <c r="W19" t="str">
        <v>Prosperous Partnership</v>
      </c>
      <c r="X19" t="str">
        <v>Zellix, Sanity Flayer</v>
      </c>
      <c r="Y19" t="str">
        <v>Summon: Ixion</v>
      </c>
      <c r="AO19" t="str">
        <v>Eladamri's Call</v>
      </c>
      <c r="AR19" t="str">
        <v>Stump Stomp</v>
      </c>
      <c r="AX19" t="str">
        <v>Puncture Blast</v>
      </c>
      <c r="AY19" t="str">
        <v>The Great Henge</v>
      </c>
      <c r="BE19" t="str">
        <v>Hare Apparent</v>
      </c>
      <c r="BI19" t="str">
        <v>Generous Gift</v>
      </c>
      <c r="BJ19" t="str">
        <v>Brutal Hordechief</v>
      </c>
      <c r="BL19" t="str">
        <v>Curtain's Call</v>
      </c>
      <c r="CI19" t="str">
        <f ca="1"/>
        <v>March of the Canonized</v>
      </c>
      <c r="CJ19" t="str">
        <f ca="1"/>
        <v>Jidoor, Aristocratic Capital // Overture</v>
      </c>
      <c r="CK19" t="str">
        <f ca="1"/>
        <v>Vault of the Archangel</v>
      </c>
      <c r="CL19" t="str">
        <f ca="1"/>
        <v>Stonybrook Banneret</v>
      </c>
      <c r="CM19" t="str">
        <f ca="1"/>
        <v>Thran Dynamo</v>
      </c>
      <c r="CO19" t="str">
        <f ca="1"/>
        <v>Satoru, the Infiltrator</v>
      </c>
      <c r="CP19" t="str">
        <f ca="1"/>
        <v>Sword of Feast and Famine</v>
      </c>
      <c r="CR19" t="str">
        <f ca="1"/>
        <v>Dregscape Sliver</v>
      </c>
      <c r="CT19" t="str">
        <f ca="1"/>
        <v>Reflecting Pool</v>
      </c>
      <c r="CW19" t="str">
        <f ca="1"/>
        <v>Grim Affliction</v>
      </c>
      <c r="CZ19" t="str">
        <f ca="1"/>
        <v>Path to Exile</v>
      </c>
      <c r="DB19" t="str">
        <f ca="1"/>
        <v>Generous Gift</v>
      </c>
      <c r="DC19" t="str">
        <f ca="1"/>
        <v>Brutal Hordechief</v>
      </c>
      <c r="DD19" t="str">
        <f ca="1"/>
        <v>Curtain's Call</v>
      </c>
      <c r="DP19" t="str">
        <f ca="1"/>
        <v>Clever Concealment</v>
      </c>
      <c r="DQ19" t="str">
        <f ca="1"/>
        <v>Lord of Atlantis</v>
      </c>
      <c r="DR19" t="str">
        <f ca="1"/>
        <v>Phyrexian Tower</v>
      </c>
      <c r="DS19" t="str">
        <f ca="1"/>
        <v>Kaya the Inexorable</v>
      </c>
      <c r="DT19" t="str">
        <f ca="1"/>
        <v>Diffusion Sliver</v>
      </c>
      <c r="DU19" t="str">
        <f ca="1"/>
        <v>Jenova, Ancient Calamity</v>
      </c>
      <c r="DW19" t="str">
        <f ca="1"/>
        <v>Grim Affliction</v>
      </c>
      <c r="DX19" t="str">
        <f ca="1"/>
        <v>Path to Exile</v>
      </c>
      <c r="DY19" t="str">
        <f ca="1"/>
        <v>Generous Gift</v>
      </c>
      <c r="DZ19" t="str">
        <f ca="1"/>
        <v>Bedevil</v>
      </c>
      <c r="EG19" t="str">
        <f ca="1"/>
        <v>Brushland</v>
      </c>
      <c r="EH19" t="str">
        <f ca="1"/>
        <v>Emrakul, the World Anew</v>
      </c>
      <c r="EI19" t="str">
        <f ca="1"/>
        <v>Chandra's Ignition</v>
      </c>
      <c r="EJ19" t="str">
        <f ca="1"/>
        <v>Fabled Passage</v>
      </c>
      <c r="EK19" t="str">
        <f ca="1"/>
        <v>Dovin's Veto</v>
      </c>
      <c r="EL19" t="str">
        <f ca="1"/>
        <v>Bedevil</v>
      </c>
      <c r="EP19" t="str">
        <f ca="1"/>
        <v>Back in Town</v>
      </c>
      <c r="EQ19" t="str">
        <f ca="1"/>
        <v>Breeding Pool</v>
      </c>
      <c r="ER19" t="str">
        <f ca="1"/>
        <v>Aurelia, the Law Above</v>
      </c>
      <c r="EU19" t="str">
        <f ca="1"/>
        <v>Ascend from Avernus</v>
      </c>
      <c r="EV19" t="str">
        <f ca="1"/>
        <v>Aurelia, the Law Above</v>
      </c>
      <c r="EX19" t="str">
        <f ca="1"/>
        <v>Ancient Greenwarden</v>
      </c>
    </row>
    <row r="20" spans="1:154" x14ac:dyDescent="0.25">
      <c r="A20" s="2" t="str">
        <f t="shared" ca="1" si="1"/>
        <v>2</v>
      </c>
      <c r="B20" s="2">
        <f t="shared" ca="1" si="2"/>
        <v>1</v>
      </c>
      <c r="C20" s="2" t="str">
        <f ca="1">IFERROR(
 INDEX($V$1:$BL$1,
  MATCH(TRUE,
   CHOOSE({1;2;3;4;5;6;7;8;9;10;11;12;13;14;15;16;17;18;19;20;21;22;23;24;25;26;27;28;29;30;31;32;33;34;35;36;37;38;39;40;41;42;43},
    COUNTIFS($V$2:$V$200,$G20)&gt;0,
    COUNTIFS($W$2:$W$200,$G20)&gt;0,
    COUNTIFS($X$2:$X$200,$G20)&gt;0,
    COUNTIFS($Y$2:$Y$200,$G20)&gt;0,
    COUNTIFS($Z$2:$Z$200,$G20)&gt;0,
    COUNTIFS($AA$2:$AA$200,$G20)&gt;0,
    COUNTIFS($AB$2:$AB$200,$G20)&gt;0,
    COUNTIFS($AC$2:$AC$200,$G20)&gt;0,
    COUNTIFS($AD$2:$AD$200,$G20)&gt;0,
    COUNTIFS($AE$2:$AE$200,$G20)&gt;0,
    COUNTIFS($AF$2:$AF$200,$G20)&gt;0,
    COUNTIFS($AG$2:$AG$200,$G20)&gt;0,
    COUNTIFS($AH$2:$AH$200,$G20)&gt;0,
    COUNTIFS($AI$2:$AI$200,$G20)&gt;0,
    COUNTIFS($AJ$2:$AJ$200,$G20)&gt;0,
    COUNTIFS($AK$2:$AK$200,$G20)&gt;0,
    COUNTIFS($AL$2:$AL$200,$G20)&gt;0,
    COUNTIFS($AM$2:$AM$200,$G20)&gt;0,
    COUNTIFS($AN$2:$AN$200,$G20)&gt;0,
    COUNTIFS($AO$2:$AO$200,$G20)&gt;0,
    COUNTIFS($AP$2:$AP$200,$G20)&gt;0,
    COUNTIFS($AQ$2:$AQ$200,$G20)&gt;0,
    COUNTIFS($AR$2:$AR$200,$G20)&gt;0,
    COUNTIFS($AS$2:$AS$200,$G20)&gt;0,
    COUNTIFS($AT$2:$AT$200,$G20)&gt;0,
    COUNTIFS($AU$2:$AU$200,$G20)&gt;0,
    COUNTIFS($AV$2:$AV$200,$G20)&gt;0,
    COUNTIFS($AW$2:$AW$200,$G20)&gt;0,
    COUNTIFS($AX$2:$AX$200,$G20)&gt;0,
    COUNTIFS($AY$2:$AY$200,$G20)&gt;0,
    COUNTIFS($AZ$2:$AZ$200,$G20)&gt;0,
    COUNTIFS($BA$2:$BA$200,$G20)&gt;0,
    COUNTIFS($BB$2:$BB$200,$G20)&gt;0,
    COUNTIFS($BC$2:$BC$200,$G20)&gt;0,
    COUNTIFS($BD$2:$BD$200,$G20)&gt;0,
    COUNTIFS($BE$2:$BE$200,$G20)&gt;0,
    COUNTIFS($BF$2:$BF$200,$G20)&gt;0,
    COUNTIFS($BG$2:$BG$200,$G20)&gt;0,
    COUNTIFS($BH$2:$BH$200,$G20)&gt;0,
    COUNTIFS($BI$2:$BI$200,$G20)&gt;0,
    COUNTIFS($BJ$2:$BJ$200,$G20)&gt;0,
    COUNTIFS($BK$2:$BK$200,$G20)&gt;0,
    COUNTIFS($BL$2:$BL$200,$G20)&gt;0,
    COUNTIFS($BM$2:$BM$200,$G20)&gt;0,
   ),
  0)
 ),
"")</f>
        <v>Gitrog</v>
      </c>
      <c r="D20" s="2" t="str" cm="1">
        <f t="array" aca="1" ref="D20" ca="1">IFERROR(
 INDEX(
  _xlfn._xlws.FILTER($V$1:$AY$1,
   TRANSPOSE(
    CHOOSE({1;2;3;4;5;6;7;8;9;10;11;12;13;14;15;16;17;18;19;20;21;22;23;24;25;26;27;28;29;30},
     COUNTIFS($V$2:$V$200,$G20)&gt;0,
     COUNTIFS($W$2:$W$200,$G20)&gt;0,
     COUNTIFS($X$2:$X$200,$G20)&gt;0,
     COUNTIFS($Y$2:$Y$200,$G20)&gt;0,
     COUNTIFS($Z$2:$Z$200,$G20)&gt;0,
     COUNTIFS($AA$2:$AA$200,$G20)&gt;0,
     COUNTIFS($AB$2:$AB$200,$G20)&gt;0,
     COUNTIFS($AC$2:$AC$200,$G20)&gt;0,
     COUNTIFS($AD$2:$AD$200,$G20)&gt;0,
     COUNTIFS($AE$2:$AE$200,$G20)&gt;0,
     COUNTIFS($AF$2:$AF$200,$G20)&gt;0,
     COUNTIFS($AG$2:$AG$200,$G20)&gt;0,
     COUNTIFS($AH$2:$AH$200,$G20)&gt;0,
     COUNTIFS($AI$2:$AI$200,$G20)&gt;0,
     COUNTIFS($AJ$2:$AJ$200,$G20)&gt;0,
     COUNTIFS($AK$2:$AK$200,$G20)&gt;0,
     COUNTIFS($AL$2:$AL$200,$G20)&gt;0,
     COUNTIFS($AM$2:$AM$200,$G20)&gt;0,
     COUNTIFS($AN$2:$AN$200,$G20)&gt;0,
     COUNTIFS($AO$2:$AO$200,$G20)&gt;0,
     COUNTIFS($AP$2:$AP$200,$G20)&gt;0,
     COUNTIFS($AQ$2:$AQ$200,$G20)&gt;0,
     COUNTIFS($AR$2:$AR$200,$G20)&gt;0,
     COUNTIFS($AS$2:$AS$200,$G20)&gt;0,
     COUNTIFS($AT$2:$AT$200,$G20)&gt;0,
     COUNTIFS($AU$2:$AU$200,$G20)&gt;0,
     COUNTIFS($AV$2:$AV$200,$G20)&gt;0,
     COUNTIFS($AW$2:$AW$200,$G20)&gt;0,
     COUNTIFS($AX$2:$AX$200,$G20)&gt;0,
     COUNTIFS($AY$2:$AY$200,$G20)&gt;0
   )),
  ),
  2
 ),
"")</f>
        <v/>
      </c>
      <c r="E20" s="2" t="str" cm="1">
        <f t="array" aca="1" ref="E20" ca="1">IFERROR(
 INDEX(
  _xlfn._xlws.FILTER($V$1:$AY$1,
   TRANSPOSE(
    CHOOSE({1;2;3;4;5;6;7;8;9;10;11;12;13;14;15;16;17;18;19;20;21;22;23;24;25;26;27;28;29;30},
     COUNTIFS($V$2:$V$200,$G20)&gt;0,
     COUNTIFS($W$2:$W$200,$G20)&gt;0,
     COUNTIFS($X$2:$X$200,$G20)&gt;0,
     COUNTIFS($Y$2:$Y$200,$G20)&gt;0,
     COUNTIFS($Z$2:$Z$200,$G20)&gt;0,
     COUNTIFS($AA$2:$AA$200,$G20)&gt;0,
     COUNTIFS($AB$2:$AB$200,$G20)&gt;0,
     COUNTIFS($AC$2:$AC$200,$G20)&gt;0,
     COUNTIFS($AD$2:$AD$200,$G20)&gt;0,
     COUNTIFS($AE$2:$AE$200,$G20)&gt;0,
     COUNTIFS($AF$2:$AF$200,$G20)&gt;0,
     COUNTIFS($AG$2:$AG$200,$G20)&gt;0,
     COUNTIFS($AH$2:$AH$200,$G20)&gt;0,
     COUNTIFS($AI$2:$AI$200,$G20)&gt;0,
     COUNTIFS($AJ$2:$AJ$200,$G20)&gt;0,
     COUNTIFS($AK$2:$AK$200,$G20)&gt;0,
     COUNTIFS($AL$2:$AL$200,$G20)&gt;0,
     COUNTIFS($AM$2:$AM$200,$G20)&gt;0,
     COUNTIFS($AN$2:$AN$200,$G20)&gt;0,
     COUNTIFS($AO$2:$AO$200,$G20)&gt;0,
     COUNTIFS($AP$2:$AP$200,$G20)&gt;0,
     COUNTIFS($AQ$2:$AQ$200,$G20)&gt;0,
     COUNTIFS($AR$2:$AR$200,$G20)&gt;0,
     COUNTIFS($AS$2:$AS$200,$G20)&gt;0,
     COUNTIFS($AT$2:$AT$200,$G20)&gt;0,
     COUNTIFS($AU$2:$AU$200,$G20)&gt;0,
     COUNTIFS($AV$2:$AV$200,$G20)&gt;0,
     COUNTIFS($AW$2:$AW$200,$G20)&gt;0,
     COUNTIFS($AX$2:$AX$200,$G20)&gt;0,
     COUNTIFS($AY$2:$AY$200,$G20)&gt;0
   )),
  ),
  3
 ),
"")</f>
        <v/>
      </c>
      <c r="F20" s="2" t="str" cm="1">
        <f t="array" aca="1" ref="F20" ca="1">IFERROR(
 INDEX(
  _xlfn._xlws.FILTER($V$1:$AY$1,
   TRANSPOSE(
    CHOOSE({1;2;3;4;5;6;7;8;9;10;11;12;13;14;15;16;17;18;19;20;21;22;23;24;25;26;27;28;29;30},
     COUNTIFS($V$2:$V$200,$G20)&gt;0,
     COUNTIFS($W$2:$W$200,$G20)&gt;0,
     COUNTIFS($X$2:$X$200,$G20)&gt;0,
     COUNTIFS($Y$2:$Y$200,$G20)&gt;0,
     COUNTIFS($Z$2:$Z$200,$G20)&gt;0,
     COUNTIFS($AA$2:$AA$200,$G20)&gt;0,
     COUNTIFS($AB$2:$AB$200,$G20)&gt;0,
     COUNTIFS($AC$2:$AC$200,$G20)&gt;0,
     COUNTIFS($AD$2:$AD$200,$G20)&gt;0,
     COUNTIFS($AE$2:$AE$200,$G20)&gt;0,
     COUNTIFS($AF$2:$AF$200,$G20)&gt;0,
     COUNTIFS($AG$2:$AG$200,$G20)&gt;0,
     COUNTIFS($AH$2:$AH$200,$G20)&gt;0,
     COUNTIFS($AI$2:$AI$200,$G20)&gt;0,
     COUNTIFS($AJ$2:$AJ$200,$G20)&gt;0,
     COUNTIFS($AK$2:$AK$200,$G20)&gt;0,
     COUNTIFS($AL$2:$AL$200,$G20)&gt;0,
     COUNTIFS($AM$2:$AM$200,$G20)&gt;0,
     COUNTIFS($AN$2:$AN$200,$G20)&gt;0,
     COUNTIFS($AO$2:$AO$200,$G20)&gt;0,
     COUNTIFS($AP$2:$AP$200,$G20)&gt;0,
     COUNTIFS($AQ$2:$AQ$200,$G20)&gt;0,
     COUNTIFS($AR$2:$AR$200,$G20)&gt;0,
     COUNTIFS($AS$2:$AS$200,$G20)&gt;0,
     COUNTIFS($AT$2:$AT$200,$G20)&gt;0,
     COUNTIFS($AU$2:$AU$200,$G20)&gt;0,
     COUNTIFS($AV$2:$AV$200,$G20)&gt;0,
     COUNTIFS($AW$2:$AW$200,$G20)&gt;0,
     COUNTIFS($AX$2:$AX$200,$G20)&gt;0,
     COUNTIFS($AY$2:$AY$200,$G20)&gt;0
   )),
  ),
  4
 ),
"")</f>
        <v/>
      </c>
      <c r="G20" t="str">
        <f ca="1"/>
        <v>Ancient Tomb</v>
      </c>
      <c r="H20" s="2" t="s">
        <v>426</v>
      </c>
      <c r="L20" s="2" t="s">
        <v>3</v>
      </c>
      <c r="M20" s="2" t="s">
        <v>3</v>
      </c>
      <c r="N20" s="2" t="s">
        <v>2</v>
      </c>
      <c r="O20" s="2" t="s">
        <v>3</v>
      </c>
      <c r="P20" s="2" t="s">
        <v>2</v>
      </c>
      <c r="T20" s="2" t="str">
        <f t="shared" si="3"/>
        <v>1</v>
      </c>
      <c r="W20" t="str">
        <v>Purphoros, God of the Forge</v>
      </c>
      <c r="Y20" t="str">
        <v>Sunpetal Grove</v>
      </c>
      <c r="AO20" t="str">
        <v>Essence Sliver</v>
      </c>
      <c r="AR20" t="str">
        <v>Vona's Hunger</v>
      </c>
      <c r="AX20" t="str">
        <v>Scuzzback Scrounger</v>
      </c>
      <c r="AY20" t="str">
        <v>Thopter Shop</v>
      </c>
      <c r="BE20" t="str">
        <v>Hare Apparent</v>
      </c>
      <c r="BI20" t="str">
        <v>Havengul Laboratory</v>
      </c>
      <c r="BJ20" t="str">
        <v>Caesar, Legion's Emperor</v>
      </c>
      <c r="BL20" t="str">
        <v>Cycle of Renewal</v>
      </c>
      <c r="CI20" t="str">
        <f ca="1"/>
        <v>Mines of Moria</v>
      </c>
      <c r="CJ20" t="str">
        <f ca="1"/>
        <v>Khorvath's Fury</v>
      </c>
      <c r="CK20" t="str">
        <f ca="1"/>
        <v>Waterbender's Restoration</v>
      </c>
      <c r="CL20" t="str">
        <f ca="1"/>
        <v>Teferi's Ageless Insight</v>
      </c>
      <c r="CM20" t="str">
        <f ca="1"/>
        <v>Titania, Voice of Gaea</v>
      </c>
      <c r="CO20" t="str">
        <f ca="1"/>
        <v>Sea Gate Restoration</v>
      </c>
      <c r="CP20" t="str">
        <f ca="1"/>
        <v>Sword of Fire and Ice</v>
      </c>
      <c r="CR20" t="str">
        <f ca="1"/>
        <v>Eladamri's Call</v>
      </c>
      <c r="CT20" t="str">
        <f ca="1"/>
        <v>Riveteers Charm</v>
      </c>
      <c r="CW20" t="str">
        <f ca="1"/>
        <v>Haywire Mite</v>
      </c>
      <c r="CZ20" t="str">
        <f ca="1"/>
        <v>Plains</v>
      </c>
      <c r="DB20" t="str">
        <f ca="1"/>
        <v>Havengul Laboratory</v>
      </c>
      <c r="DC20" t="str">
        <f ca="1"/>
        <v>Caesar, Legion's Emperor</v>
      </c>
      <c r="DD20" t="str">
        <f ca="1"/>
        <v>Cycle of Renewal</v>
      </c>
      <c r="DP20" t="str">
        <f ca="1"/>
        <v>Colonel Autumn</v>
      </c>
      <c r="DQ20" t="str">
        <f ca="1"/>
        <v>Merrow Commerce</v>
      </c>
      <c r="DR20" t="str">
        <f ca="1"/>
        <v>Polluted Delta</v>
      </c>
      <c r="DS20" t="str">
        <f ca="1"/>
        <v>Keen Duelist</v>
      </c>
      <c r="DT20" t="str">
        <f ca="1"/>
        <v>Dormant Sliver</v>
      </c>
      <c r="DU20" t="str">
        <f ca="1"/>
        <v>Jidoor, Aristocratic Capital // Overture</v>
      </c>
      <c r="DW20" t="str">
        <f ca="1"/>
        <v>Haywire Mite</v>
      </c>
      <c r="DX20" t="str">
        <f ca="1"/>
        <v>Plains</v>
      </c>
      <c r="DY20" t="str">
        <f ca="1"/>
        <v>Havengul Laboratory</v>
      </c>
      <c r="DZ20" t="str">
        <f ca="1"/>
        <v>Bedlam</v>
      </c>
      <c r="EG20" t="str">
        <f ca="1"/>
        <v>Burgeoning</v>
      </c>
      <c r="EH20" t="str">
        <f ca="1"/>
        <v>Entomb</v>
      </c>
      <c r="EI20" t="str">
        <f ca="1"/>
        <v>Cloudshredder Sliver</v>
      </c>
      <c r="EJ20" t="str">
        <f ca="1"/>
        <v>Filigree Vector</v>
      </c>
      <c r="EK20" t="str">
        <f ca="1"/>
        <v>Dragonskull Summit</v>
      </c>
      <c r="EL20" t="str">
        <f ca="1"/>
        <v>Bedlam</v>
      </c>
      <c r="EP20" t="str">
        <f ca="1"/>
        <v>Bitterbloom Bearer</v>
      </c>
      <c r="EQ20" t="str">
        <f ca="1"/>
        <v>Brigid, Clachan's Heart</v>
      </c>
      <c r="ER20" t="str">
        <f ca="1"/>
        <v>Avatar's Wrath</v>
      </c>
      <c r="EU20" t="str">
        <f ca="1"/>
        <v>Assassin's Trophy</v>
      </c>
      <c r="EV20" t="str">
        <f ca="1"/>
        <v>Avatar's Wrath</v>
      </c>
      <c r="EX20" t="str">
        <f ca="1"/>
        <v>Ancient Tomb</v>
      </c>
    </row>
    <row r="21" spans="1:154" x14ac:dyDescent="0.25">
      <c r="A21" s="2" t="str">
        <f t="shared" ca="1" si="1"/>
        <v>5</v>
      </c>
      <c r="B21" s="2">
        <f t="shared" ca="1" si="2"/>
        <v>1</v>
      </c>
      <c r="C21" s="2" t="str">
        <f ca="1">IFERROR(
 INDEX($V$1:$BL$1,
  MATCH(TRUE,
   CHOOSE({1;2;3;4;5;6;7;8;9;10;11;12;13;14;15;16;17;18;19;20;21;22;23;24;25;26;27;28;29;30;31;32;33;34;35;36;37;38;39;40;41;42;43},
    COUNTIFS($V$2:$V$200,$G21)&gt;0,
    COUNTIFS($W$2:$W$200,$G21)&gt;0,
    COUNTIFS($X$2:$X$200,$G21)&gt;0,
    COUNTIFS($Y$2:$Y$200,$G21)&gt;0,
    COUNTIFS($Z$2:$Z$200,$G21)&gt;0,
    COUNTIFS($AA$2:$AA$200,$G21)&gt;0,
    COUNTIFS($AB$2:$AB$200,$G21)&gt;0,
    COUNTIFS($AC$2:$AC$200,$G21)&gt;0,
    COUNTIFS($AD$2:$AD$200,$G21)&gt;0,
    COUNTIFS($AE$2:$AE$200,$G21)&gt;0,
    COUNTIFS($AF$2:$AF$200,$G21)&gt;0,
    COUNTIFS($AG$2:$AG$200,$G21)&gt;0,
    COUNTIFS($AH$2:$AH$200,$G21)&gt;0,
    COUNTIFS($AI$2:$AI$200,$G21)&gt;0,
    COUNTIFS($AJ$2:$AJ$200,$G21)&gt;0,
    COUNTIFS($AK$2:$AK$200,$G21)&gt;0,
    COUNTIFS($AL$2:$AL$200,$G21)&gt;0,
    COUNTIFS($AM$2:$AM$200,$G21)&gt;0,
    COUNTIFS($AN$2:$AN$200,$G21)&gt;0,
    COUNTIFS($AO$2:$AO$200,$G21)&gt;0,
    COUNTIFS($AP$2:$AP$200,$G21)&gt;0,
    COUNTIFS($AQ$2:$AQ$200,$G21)&gt;0,
    COUNTIFS($AR$2:$AR$200,$G21)&gt;0,
    COUNTIFS($AS$2:$AS$200,$G21)&gt;0,
    COUNTIFS($AT$2:$AT$200,$G21)&gt;0,
    COUNTIFS($AU$2:$AU$200,$G21)&gt;0,
    COUNTIFS($AV$2:$AV$200,$G21)&gt;0,
    COUNTIFS($AW$2:$AW$200,$G21)&gt;0,
    COUNTIFS($AX$2:$AX$200,$G21)&gt;0,
    COUNTIFS($AY$2:$AY$200,$G21)&gt;0,
    COUNTIFS($AZ$2:$AZ$200,$G21)&gt;0,
    COUNTIFS($BA$2:$BA$200,$G21)&gt;0,
    COUNTIFS($BB$2:$BB$200,$G21)&gt;0,
    COUNTIFS($BC$2:$BC$200,$G21)&gt;0,
    COUNTIFS($BD$2:$BD$200,$G21)&gt;0,
    COUNTIFS($BE$2:$BE$200,$G21)&gt;0,
    COUNTIFS($BF$2:$BF$200,$G21)&gt;0,
    COUNTIFS($BG$2:$BG$200,$G21)&gt;0,
    COUNTIFS($BH$2:$BH$200,$G21)&gt;0,
    COUNTIFS($BI$2:$BI$200,$G21)&gt;0,
    COUNTIFS($BJ$2:$BJ$200,$G21)&gt;0,
    COUNTIFS($BK$2:$BK$200,$G21)&gt;0,
    COUNTIFS($BL$2:$BL$200,$G21)&gt;0,
    COUNTIFS($BM$2:$BM$200,$G21)&gt;0,
   ),
  0)
 ),
"")</f>
        <v>Zuko</v>
      </c>
      <c r="D21" s="2" t="str" cm="1">
        <f t="array" aca="1" ref="D21" ca="1">IFERROR(
 INDEX(
  _xlfn._xlws.FILTER($V$1:$AY$1,
   TRANSPOSE(
    CHOOSE({1;2;3;4;5;6;7;8;9;10;11;12;13;14;15;16;17;18;19;20;21;22;23;24;25;26;27;28;29;30},
     COUNTIFS($V$2:$V$200,$G21)&gt;0,
     COUNTIFS($W$2:$W$200,$G21)&gt;0,
     COUNTIFS($X$2:$X$200,$G21)&gt;0,
     COUNTIFS($Y$2:$Y$200,$G21)&gt;0,
     COUNTIFS($Z$2:$Z$200,$G21)&gt;0,
     COUNTIFS($AA$2:$AA$200,$G21)&gt;0,
     COUNTIFS($AB$2:$AB$200,$G21)&gt;0,
     COUNTIFS($AC$2:$AC$200,$G21)&gt;0,
     COUNTIFS($AD$2:$AD$200,$G21)&gt;0,
     COUNTIFS($AE$2:$AE$200,$G21)&gt;0,
     COUNTIFS($AF$2:$AF$200,$G21)&gt;0,
     COUNTIFS($AG$2:$AG$200,$G21)&gt;0,
     COUNTIFS($AH$2:$AH$200,$G21)&gt;0,
     COUNTIFS($AI$2:$AI$200,$G21)&gt;0,
     COUNTIFS($AJ$2:$AJ$200,$G21)&gt;0,
     COUNTIFS($AK$2:$AK$200,$G21)&gt;0,
     COUNTIFS($AL$2:$AL$200,$G21)&gt;0,
     COUNTIFS($AM$2:$AM$200,$G21)&gt;0,
     COUNTIFS($AN$2:$AN$200,$G21)&gt;0,
     COUNTIFS($AO$2:$AO$200,$G21)&gt;0,
     COUNTIFS($AP$2:$AP$200,$G21)&gt;0,
     COUNTIFS($AQ$2:$AQ$200,$G21)&gt;0,
     COUNTIFS($AR$2:$AR$200,$G21)&gt;0,
     COUNTIFS($AS$2:$AS$200,$G21)&gt;0,
     COUNTIFS($AT$2:$AT$200,$G21)&gt;0,
     COUNTIFS($AU$2:$AU$200,$G21)&gt;0,
     COUNTIFS($AV$2:$AV$200,$G21)&gt;0,
     COUNTIFS($AW$2:$AW$200,$G21)&gt;0,
     COUNTIFS($AX$2:$AX$200,$G21)&gt;0,
     COUNTIFS($AY$2:$AY$200,$G21)&gt;0
   )),
  ),
  2
 ),
"")</f>
        <v/>
      </c>
      <c r="E21" s="2" t="str" cm="1">
        <f t="array" aca="1" ref="E21" ca="1">IFERROR(
 INDEX(
  _xlfn._xlws.FILTER($V$1:$AY$1,
   TRANSPOSE(
    CHOOSE({1;2;3;4;5;6;7;8;9;10;11;12;13;14;15;16;17;18;19;20;21;22;23;24;25;26;27;28;29;30},
     COUNTIFS($V$2:$V$200,$G21)&gt;0,
     COUNTIFS($W$2:$W$200,$G21)&gt;0,
     COUNTIFS($X$2:$X$200,$G21)&gt;0,
     COUNTIFS($Y$2:$Y$200,$G21)&gt;0,
     COUNTIFS($Z$2:$Z$200,$G21)&gt;0,
     COUNTIFS($AA$2:$AA$200,$G21)&gt;0,
     COUNTIFS($AB$2:$AB$200,$G21)&gt;0,
     COUNTIFS($AC$2:$AC$200,$G21)&gt;0,
     COUNTIFS($AD$2:$AD$200,$G21)&gt;0,
     COUNTIFS($AE$2:$AE$200,$G21)&gt;0,
     COUNTIFS($AF$2:$AF$200,$G21)&gt;0,
     COUNTIFS($AG$2:$AG$200,$G21)&gt;0,
     COUNTIFS($AH$2:$AH$200,$G21)&gt;0,
     COUNTIFS($AI$2:$AI$200,$G21)&gt;0,
     COUNTIFS($AJ$2:$AJ$200,$G21)&gt;0,
     COUNTIFS($AK$2:$AK$200,$G21)&gt;0,
     COUNTIFS($AL$2:$AL$200,$G21)&gt;0,
     COUNTIFS($AM$2:$AM$200,$G21)&gt;0,
     COUNTIFS($AN$2:$AN$200,$G21)&gt;0,
     COUNTIFS($AO$2:$AO$200,$G21)&gt;0,
     COUNTIFS($AP$2:$AP$200,$G21)&gt;0,
     COUNTIFS($AQ$2:$AQ$200,$G21)&gt;0,
     COUNTIFS($AR$2:$AR$200,$G21)&gt;0,
     COUNTIFS($AS$2:$AS$200,$G21)&gt;0,
     COUNTIFS($AT$2:$AT$200,$G21)&gt;0,
     COUNTIFS($AU$2:$AU$200,$G21)&gt;0,
     COUNTIFS($AV$2:$AV$200,$G21)&gt;0,
     COUNTIFS($AW$2:$AW$200,$G21)&gt;0,
     COUNTIFS($AX$2:$AX$200,$G21)&gt;0,
     COUNTIFS($AY$2:$AY$200,$G21)&gt;0
   )),
  ),
  3
 ),
"")</f>
        <v/>
      </c>
      <c r="F21" s="2" t="str" cm="1">
        <f t="array" aca="1" ref="F21" ca="1">IFERROR(
 INDEX(
  _xlfn._xlws.FILTER($V$1:$AY$1,
   TRANSPOSE(
    CHOOSE({1;2;3;4;5;6;7;8;9;10;11;12;13;14;15;16;17;18;19;20;21;22;23;24;25;26;27;28;29;30},
     COUNTIFS($V$2:$V$200,$G21)&gt;0,
     COUNTIFS($W$2:$W$200,$G21)&gt;0,
     COUNTIFS($X$2:$X$200,$G21)&gt;0,
     COUNTIFS($Y$2:$Y$200,$G21)&gt;0,
     COUNTIFS($Z$2:$Z$200,$G21)&gt;0,
     COUNTIFS($AA$2:$AA$200,$G21)&gt;0,
     COUNTIFS($AB$2:$AB$200,$G21)&gt;0,
     COUNTIFS($AC$2:$AC$200,$G21)&gt;0,
     COUNTIFS($AD$2:$AD$200,$G21)&gt;0,
     COUNTIFS($AE$2:$AE$200,$G21)&gt;0,
     COUNTIFS($AF$2:$AF$200,$G21)&gt;0,
     COUNTIFS($AG$2:$AG$200,$G21)&gt;0,
     COUNTIFS($AH$2:$AH$200,$G21)&gt;0,
     COUNTIFS($AI$2:$AI$200,$G21)&gt;0,
     COUNTIFS($AJ$2:$AJ$200,$G21)&gt;0,
     COUNTIFS($AK$2:$AK$200,$G21)&gt;0,
     COUNTIFS($AL$2:$AL$200,$G21)&gt;0,
     COUNTIFS($AM$2:$AM$200,$G21)&gt;0,
     COUNTIFS($AN$2:$AN$200,$G21)&gt;0,
     COUNTIFS($AO$2:$AO$200,$G21)&gt;0,
     COUNTIFS($AP$2:$AP$200,$G21)&gt;0,
     COUNTIFS($AQ$2:$AQ$200,$G21)&gt;0,
     COUNTIFS($AR$2:$AR$200,$G21)&gt;0,
     COUNTIFS($AS$2:$AS$200,$G21)&gt;0,
     COUNTIFS($AT$2:$AT$200,$G21)&gt;0,
     COUNTIFS($AU$2:$AU$200,$G21)&gt;0,
     COUNTIFS($AV$2:$AV$200,$G21)&gt;0,
     COUNTIFS($AW$2:$AW$200,$G21)&gt;0,
     COUNTIFS($AX$2:$AX$200,$G21)&gt;0,
     COUNTIFS($AY$2:$AY$200,$G21)&gt;0
   )),
  ),
  4
 ),
"")</f>
        <v/>
      </c>
      <c r="G21" t="str">
        <f ca="1"/>
        <v>Anguished Unmaking</v>
      </c>
      <c r="H21" s="2" t="s">
        <v>416</v>
      </c>
      <c r="J21" t="s">
        <v>188</v>
      </c>
      <c r="K21" s="2">
        <f>[1]Gitrog!G2</f>
        <v>10</v>
      </c>
      <c r="L21" s="2" t="s">
        <v>3</v>
      </c>
      <c r="M21" s="2" t="s">
        <v>3</v>
      </c>
      <c r="N21" s="2" t="s">
        <v>3</v>
      </c>
      <c r="O21" s="2" t="s">
        <v>2</v>
      </c>
      <c r="P21" s="2" t="s">
        <v>2</v>
      </c>
      <c r="Q21" s="2" t="s">
        <v>7</v>
      </c>
      <c r="R21" s="3" t="s">
        <v>38</v>
      </c>
      <c r="S21" s="2" t="s">
        <v>44</v>
      </c>
      <c r="T21" s="2" t="str">
        <f t="shared" si="3"/>
        <v>2</v>
      </c>
      <c r="W21" t="str">
        <v>Return from the Wilds</v>
      </c>
      <c r="Y21" t="str">
        <v>Tale of Katara and Toph</v>
      </c>
      <c r="AO21" t="str">
        <v>Exotic Orchard</v>
      </c>
      <c r="AX21" t="str">
        <v>Serrated Biskelion</v>
      </c>
      <c r="AY21" t="str">
        <v>Tree of Tales</v>
      </c>
      <c r="BE21" t="str">
        <v>Hare Apparent</v>
      </c>
      <c r="BI21" t="str">
        <v>Headliner Scarlett</v>
      </c>
      <c r="BJ21" t="str">
        <v>Canopy Vista</v>
      </c>
      <c r="BL21" t="str">
        <v>Deathsprout</v>
      </c>
      <c r="CI21" t="str">
        <f ca="1"/>
        <v>Mondrak, Glory Dominus</v>
      </c>
      <c r="CJ21" t="str">
        <f ca="1"/>
        <v>Kutzil, Malamet Exemplar</v>
      </c>
      <c r="CL21" t="str">
        <f ca="1"/>
        <v>Thousand-Year Elixir</v>
      </c>
      <c r="CM21" t="str">
        <f ca="1"/>
        <v>Ulamog, the Defiler</v>
      </c>
      <c r="CO21" t="str">
        <f ca="1"/>
        <v>Shizo, Death's Storehouse</v>
      </c>
      <c r="CP21" t="str">
        <f ca="1"/>
        <v>Sword of Light and Shadow</v>
      </c>
      <c r="CR21" t="str">
        <f ca="1"/>
        <v>Emrakul, the World Anew</v>
      </c>
      <c r="CT21" t="str">
        <f ca="1"/>
        <v>Soul Immolation</v>
      </c>
      <c r="CW21" t="str">
        <f ca="1"/>
        <v>Heirloom Auntie</v>
      </c>
      <c r="CZ21" t="str">
        <f ca="1"/>
        <v>Prismatic Lens</v>
      </c>
      <c r="DB21" t="str">
        <f ca="1"/>
        <v>Headliner Scarlett</v>
      </c>
      <c r="DC21" t="str">
        <f ca="1"/>
        <v>Canopy Vista</v>
      </c>
      <c r="DD21" t="str">
        <f ca="1"/>
        <v>Deathsprout</v>
      </c>
      <c r="DP21" t="str">
        <f ca="1"/>
        <v>Court of Garenbrig</v>
      </c>
      <c r="DQ21" t="str">
        <f ca="1"/>
        <v>Merrow Harbinger</v>
      </c>
      <c r="DR21" t="str">
        <f ca="1"/>
        <v>Rings of Brighthearth</v>
      </c>
      <c r="DS21" t="str">
        <f ca="1"/>
        <v>Kellan, the Fae-Blooded // Birthright Boon</v>
      </c>
      <c r="DT21" t="str">
        <f ca="1"/>
        <v>Dregscape Sliver</v>
      </c>
      <c r="DU21" t="str">
        <f ca="1"/>
        <v>Katara's Reversal</v>
      </c>
      <c r="DW21" t="str">
        <f ca="1"/>
        <v>Heirloom Auntie</v>
      </c>
      <c r="DX21" t="str">
        <f ca="1"/>
        <v>Prismatic Lens</v>
      </c>
      <c r="DY21" t="str">
        <f ca="1"/>
        <v>Headliner Scarlett</v>
      </c>
      <c r="DZ21" t="str">
        <f ca="1"/>
        <v>Behind the Scenes</v>
      </c>
      <c r="EG21" t="str">
        <f ca="1"/>
        <v>Castle Ardenvale</v>
      </c>
      <c r="EH21" t="str">
        <f ca="1"/>
        <v>Faerie Slumber Party</v>
      </c>
      <c r="EI21" t="str">
        <f ca="1"/>
        <v>Collector's Vault</v>
      </c>
      <c r="EJ21" t="str">
        <f ca="1"/>
        <v>Generous Patron</v>
      </c>
      <c r="EK21" t="str">
        <f ca="1"/>
        <v>Dream Devourer</v>
      </c>
      <c r="EL21" t="str">
        <f ca="1"/>
        <v>Behind the Scenes</v>
      </c>
      <c r="EP21" t="str">
        <f ca="1"/>
        <v>Bojuka Bog</v>
      </c>
      <c r="EQ21" t="str">
        <f ca="1"/>
        <v>Brood Sliver</v>
      </c>
      <c r="ER21" t="str">
        <f ca="1"/>
        <v>Battlefield Forge</v>
      </c>
      <c r="EU21" t="str">
        <f ca="1"/>
        <v>Aura Mutation</v>
      </c>
      <c r="EV21" t="str">
        <f ca="1"/>
        <v>Battlefield Forge</v>
      </c>
      <c r="EX21" t="str">
        <f ca="1"/>
        <v>Anguished Unmaking</v>
      </c>
    </row>
    <row r="22" spans="1:154" x14ac:dyDescent="0.25">
      <c r="A22" s="2" t="str">
        <f t="shared" ca="1" si="1"/>
        <v>5</v>
      </c>
      <c r="B22" s="2">
        <f t="shared" ca="1" si="2"/>
        <v>2</v>
      </c>
      <c r="C22" s="2" t="str">
        <f ca="1">IFERROR(
 INDEX($V$1:$BL$1,
  MATCH(TRUE,
   CHOOSE({1;2;3;4;5;6;7;8;9;10;11;12;13;14;15;16;17;18;19;20;21;22;23;24;25;26;27;28;29;30;31;32;33;34;35;36;37;38;39;40;41;42;43},
    COUNTIFS($V$2:$V$200,$G22)&gt;0,
    COUNTIFS($W$2:$W$200,$G22)&gt;0,
    COUNTIFS($X$2:$X$200,$G22)&gt;0,
    COUNTIFS($Y$2:$Y$200,$G22)&gt;0,
    COUNTIFS($Z$2:$Z$200,$G22)&gt;0,
    COUNTIFS($AA$2:$AA$200,$G22)&gt;0,
    COUNTIFS($AB$2:$AB$200,$G22)&gt;0,
    COUNTIFS($AC$2:$AC$200,$G22)&gt;0,
    COUNTIFS($AD$2:$AD$200,$G22)&gt;0,
    COUNTIFS($AE$2:$AE$200,$G22)&gt;0,
    COUNTIFS($AF$2:$AF$200,$G22)&gt;0,
    COUNTIFS($AG$2:$AG$200,$G22)&gt;0,
    COUNTIFS($AH$2:$AH$200,$G22)&gt;0,
    COUNTIFS($AI$2:$AI$200,$G22)&gt;0,
    COUNTIFS($AJ$2:$AJ$200,$G22)&gt;0,
    COUNTIFS($AK$2:$AK$200,$G22)&gt;0,
    COUNTIFS($AL$2:$AL$200,$G22)&gt;0,
    COUNTIFS($AM$2:$AM$200,$G22)&gt;0,
    COUNTIFS($AN$2:$AN$200,$G22)&gt;0,
    COUNTIFS($AO$2:$AO$200,$G22)&gt;0,
    COUNTIFS($AP$2:$AP$200,$G22)&gt;0,
    COUNTIFS($AQ$2:$AQ$200,$G22)&gt;0,
    COUNTIFS($AR$2:$AR$200,$G22)&gt;0,
    COUNTIFS($AS$2:$AS$200,$G22)&gt;0,
    COUNTIFS($AT$2:$AT$200,$G22)&gt;0,
    COUNTIFS($AU$2:$AU$200,$G22)&gt;0,
    COUNTIFS($AV$2:$AV$200,$G22)&gt;0,
    COUNTIFS($AW$2:$AW$200,$G22)&gt;0,
    COUNTIFS($AX$2:$AX$200,$G22)&gt;0,
    COUNTIFS($AY$2:$AY$200,$G22)&gt;0,
    COUNTIFS($AZ$2:$AZ$200,$G22)&gt;0,
    COUNTIFS($BA$2:$BA$200,$G22)&gt;0,
    COUNTIFS($BB$2:$BB$200,$G22)&gt;0,
    COUNTIFS($BC$2:$BC$200,$G22)&gt;0,
    COUNTIFS($BD$2:$BD$200,$G22)&gt;0,
    COUNTIFS($BE$2:$BE$200,$G22)&gt;0,
    COUNTIFS($BF$2:$BF$200,$G22)&gt;0,
    COUNTIFS($BG$2:$BG$200,$G22)&gt;0,
    COUNTIFS($BH$2:$BH$200,$G22)&gt;0,
    COUNTIFS($BI$2:$BI$200,$G22)&gt;0,
    COUNTIFS($BJ$2:$BJ$200,$G22)&gt;0,
    COUNTIFS($BK$2:$BK$200,$G22)&gt;0,
    COUNTIFS($BL$2:$BL$200,$G22)&gt;0,
    COUNTIFS($BM$2:$BM$200,$G22)&gt;0,
   ),
  0)
 ),
"")</f>
        <v>Zuko</v>
      </c>
      <c r="D22" s="2" t="str" cm="1">
        <f t="array" aca="1" ref="D22" ca="1">IFERROR(
 INDEX(
  _xlfn._xlws.FILTER($V$1:$AY$1,
   TRANSPOSE(
    CHOOSE({1;2;3;4;5;6;7;8;9;10;11;12;13;14;15;16;17;18;19;20;21;22;23;24;25;26;27;28;29;30},
     COUNTIFS($V$2:$V$200,$G22)&gt;0,
     COUNTIFS($W$2:$W$200,$G22)&gt;0,
     COUNTIFS($X$2:$X$200,$G22)&gt;0,
     COUNTIFS($Y$2:$Y$200,$G22)&gt;0,
     COUNTIFS($Z$2:$Z$200,$G22)&gt;0,
     COUNTIFS($AA$2:$AA$200,$G22)&gt;0,
     COUNTIFS($AB$2:$AB$200,$G22)&gt;0,
     COUNTIFS($AC$2:$AC$200,$G22)&gt;0,
     COUNTIFS($AD$2:$AD$200,$G22)&gt;0,
     COUNTIFS($AE$2:$AE$200,$G22)&gt;0,
     COUNTIFS($AF$2:$AF$200,$G22)&gt;0,
     COUNTIFS($AG$2:$AG$200,$G22)&gt;0,
     COUNTIFS($AH$2:$AH$200,$G22)&gt;0,
     COUNTIFS($AI$2:$AI$200,$G22)&gt;0,
     COUNTIFS($AJ$2:$AJ$200,$G22)&gt;0,
     COUNTIFS($AK$2:$AK$200,$G22)&gt;0,
     COUNTIFS($AL$2:$AL$200,$G22)&gt;0,
     COUNTIFS($AM$2:$AM$200,$G22)&gt;0,
     COUNTIFS($AN$2:$AN$200,$G22)&gt;0,
     COUNTIFS($AO$2:$AO$200,$G22)&gt;0,
     COUNTIFS($AP$2:$AP$200,$G22)&gt;0,
     COUNTIFS($AQ$2:$AQ$200,$G22)&gt;0,
     COUNTIFS($AR$2:$AR$200,$G22)&gt;0,
     COUNTIFS($AS$2:$AS$200,$G22)&gt;0,
     COUNTIFS($AT$2:$AT$200,$G22)&gt;0,
     COUNTIFS($AU$2:$AU$200,$G22)&gt;0,
     COUNTIFS($AV$2:$AV$200,$G22)&gt;0,
     COUNTIFS($AW$2:$AW$200,$G22)&gt;0,
     COUNTIFS($AX$2:$AX$200,$G22)&gt;0,
     COUNTIFS($AY$2:$AY$200,$G22)&gt;0
   )),
  ),
  2
 ),
"")</f>
        <v/>
      </c>
      <c r="E22" s="2" t="str" cm="1">
        <f t="array" aca="1" ref="E22" ca="1">IFERROR(
 INDEX(
  _xlfn._xlws.FILTER($V$1:$AY$1,
   TRANSPOSE(
    CHOOSE({1;2;3;4;5;6;7;8;9;10;11;12;13;14;15;16;17;18;19;20;21;22;23;24;25;26;27;28;29;30},
     COUNTIFS($V$2:$V$200,$G22)&gt;0,
     COUNTIFS($W$2:$W$200,$G22)&gt;0,
     COUNTIFS($X$2:$X$200,$G22)&gt;0,
     COUNTIFS($Y$2:$Y$200,$G22)&gt;0,
     COUNTIFS($Z$2:$Z$200,$G22)&gt;0,
     COUNTIFS($AA$2:$AA$200,$G22)&gt;0,
     COUNTIFS($AB$2:$AB$200,$G22)&gt;0,
     COUNTIFS($AC$2:$AC$200,$G22)&gt;0,
     COUNTIFS($AD$2:$AD$200,$G22)&gt;0,
     COUNTIFS($AE$2:$AE$200,$G22)&gt;0,
     COUNTIFS($AF$2:$AF$200,$G22)&gt;0,
     COUNTIFS($AG$2:$AG$200,$G22)&gt;0,
     COUNTIFS($AH$2:$AH$200,$G22)&gt;0,
     COUNTIFS($AI$2:$AI$200,$G22)&gt;0,
     COUNTIFS($AJ$2:$AJ$200,$G22)&gt;0,
     COUNTIFS($AK$2:$AK$200,$G22)&gt;0,
     COUNTIFS($AL$2:$AL$200,$G22)&gt;0,
     COUNTIFS($AM$2:$AM$200,$G22)&gt;0,
     COUNTIFS($AN$2:$AN$200,$G22)&gt;0,
     COUNTIFS($AO$2:$AO$200,$G22)&gt;0,
     COUNTIFS($AP$2:$AP$200,$G22)&gt;0,
     COUNTIFS($AQ$2:$AQ$200,$G22)&gt;0,
     COUNTIFS($AR$2:$AR$200,$G22)&gt;0,
     COUNTIFS($AS$2:$AS$200,$G22)&gt;0,
     COUNTIFS($AT$2:$AT$200,$G22)&gt;0,
     COUNTIFS($AU$2:$AU$200,$G22)&gt;0,
     COUNTIFS($AV$2:$AV$200,$G22)&gt;0,
     COUNTIFS($AW$2:$AW$200,$G22)&gt;0,
     COUNTIFS($AX$2:$AX$200,$G22)&gt;0,
     COUNTIFS($AY$2:$AY$200,$G22)&gt;0
   )),
  ),
  3
 ),
"")</f>
        <v/>
      </c>
      <c r="F22" s="2" t="str" cm="1">
        <f t="array" aca="1" ref="F22" ca="1">IFERROR(
 INDEX(
  _xlfn._xlws.FILTER($V$1:$AY$1,
   TRANSPOSE(
    CHOOSE({1;2;3;4;5;6;7;8;9;10;11;12;13;14;15;16;17;18;19;20;21;22;23;24;25;26;27;28;29;30},
     COUNTIFS($V$2:$V$200,$G22)&gt;0,
     COUNTIFS($W$2:$W$200,$G22)&gt;0,
     COUNTIFS($X$2:$X$200,$G22)&gt;0,
     COUNTIFS($Y$2:$Y$200,$G22)&gt;0,
     COUNTIFS($Z$2:$Z$200,$G22)&gt;0,
     COUNTIFS($AA$2:$AA$200,$G22)&gt;0,
     COUNTIFS($AB$2:$AB$200,$G22)&gt;0,
     COUNTIFS($AC$2:$AC$200,$G22)&gt;0,
     COUNTIFS($AD$2:$AD$200,$G22)&gt;0,
     COUNTIFS($AE$2:$AE$200,$G22)&gt;0,
     COUNTIFS($AF$2:$AF$200,$G22)&gt;0,
     COUNTIFS($AG$2:$AG$200,$G22)&gt;0,
     COUNTIFS($AH$2:$AH$200,$G22)&gt;0,
     COUNTIFS($AI$2:$AI$200,$G22)&gt;0,
     COUNTIFS($AJ$2:$AJ$200,$G22)&gt;0,
     COUNTIFS($AK$2:$AK$200,$G22)&gt;0,
     COUNTIFS($AL$2:$AL$200,$G22)&gt;0,
     COUNTIFS($AM$2:$AM$200,$G22)&gt;0,
     COUNTIFS($AN$2:$AN$200,$G22)&gt;0,
     COUNTIFS($AO$2:$AO$200,$G22)&gt;0,
     COUNTIFS($AP$2:$AP$200,$G22)&gt;0,
     COUNTIFS($AQ$2:$AQ$200,$G22)&gt;0,
     COUNTIFS($AR$2:$AR$200,$G22)&gt;0,
     COUNTIFS($AS$2:$AS$200,$G22)&gt;0,
     COUNTIFS($AT$2:$AT$200,$G22)&gt;0,
     COUNTIFS($AU$2:$AU$200,$G22)&gt;0,
     COUNTIFS($AV$2:$AV$200,$G22)&gt;0,
     COUNTIFS($AW$2:$AW$200,$G22)&gt;0,
     COUNTIFS($AX$2:$AX$200,$G22)&gt;0,
     COUNTIFS($AY$2:$AY$200,$G22)&gt;0
   )),
  ),
  4
 ),
"")</f>
        <v/>
      </c>
      <c r="G22" t="str">
        <f ca="1"/>
        <v>Anim Pakal, Thousandth Moon</v>
      </c>
      <c r="H22" s="2" t="s">
        <v>418</v>
      </c>
      <c r="J22" t="s">
        <v>62</v>
      </c>
      <c r="K22" s="2">
        <f>[1]Narset!G2</f>
        <v>18</v>
      </c>
      <c r="L22" s="2" t="s">
        <v>2</v>
      </c>
      <c r="M22" s="2" t="s">
        <v>2</v>
      </c>
      <c r="N22" s="2" t="s">
        <v>2</v>
      </c>
      <c r="O22" s="2" t="s">
        <v>3</v>
      </c>
      <c r="P22" s="2" t="s">
        <v>3</v>
      </c>
      <c r="Q22" s="2" t="s">
        <v>20</v>
      </c>
      <c r="R22" s="2" t="s">
        <v>1</v>
      </c>
      <c r="S22" s="2" t="s">
        <v>19</v>
      </c>
      <c r="T22" s="2" t="str">
        <f t="shared" si="3"/>
        <v>4</v>
      </c>
      <c r="W22" t="str">
        <v>Seedborn Muse</v>
      </c>
      <c r="Y22" t="str">
        <v>The Duke, Rebel Sentry</v>
      </c>
      <c r="AO22" t="str">
        <v>Forest</v>
      </c>
      <c r="AX22" t="str">
        <v>Sting-Slinger</v>
      </c>
      <c r="AY22" t="str">
        <v>Yavimaya, Cradle of Growth</v>
      </c>
      <c r="BE22" t="str">
        <v>Hare Apparent</v>
      </c>
      <c r="BI22" t="str">
        <v>Inventors' Fair</v>
      </c>
      <c r="BJ22" t="str">
        <v>Caves of Koilos</v>
      </c>
      <c r="BL22" t="str">
        <v>Displacer Kitten</v>
      </c>
      <c r="CI22" t="str">
        <f ca="1"/>
        <v>Path to Exile</v>
      </c>
      <c r="CJ22" t="str">
        <f ca="1"/>
        <v>Lae'zel, Vlaakith's Champion</v>
      </c>
      <c r="CM22" t="str">
        <f ca="1"/>
        <v>Ulamog, the Infinite Gyre</v>
      </c>
      <c r="CO22" t="str">
        <f ca="1"/>
        <v>Tarrian's Journal</v>
      </c>
      <c r="CP22" t="str">
        <f ca="1"/>
        <v>Sword of Truth and Justice</v>
      </c>
      <c r="CR22" t="str">
        <f ca="1"/>
        <v>Essence Sliver</v>
      </c>
      <c r="CT22" t="str">
        <f ca="1"/>
        <v>Stump Stomp</v>
      </c>
      <c r="CW22" t="str">
        <f ca="1"/>
        <v>Karn's Bastion</v>
      </c>
      <c r="CZ22" t="str">
        <f ca="1"/>
        <v>Reliquary Tower</v>
      </c>
      <c r="DB22" t="str">
        <f ca="1"/>
        <v>Inventors' Fair</v>
      </c>
      <c r="DC22" t="str">
        <f ca="1"/>
        <v>Caves of Koilos</v>
      </c>
      <c r="DD22" t="str">
        <f ca="1"/>
        <v>Displacer Kitten</v>
      </c>
      <c r="DP22" t="str">
        <f ca="1"/>
        <v>Earthbender Ascension</v>
      </c>
      <c r="DQ22" t="str">
        <f ca="1"/>
        <v>Misty Rainforest</v>
      </c>
      <c r="DR22" t="str">
        <f ca="1"/>
        <v>Ripples of Undeath</v>
      </c>
      <c r="DS22" t="str">
        <f ca="1"/>
        <v>Lavaspur Boots</v>
      </c>
      <c r="DT22" t="str">
        <f ca="1"/>
        <v>Eladamri's Call</v>
      </c>
      <c r="DU22" t="str">
        <f ca="1"/>
        <v>Mandate of Abaddon</v>
      </c>
      <c r="DW22" t="str">
        <f ca="1"/>
        <v>Karn's Bastion</v>
      </c>
      <c r="DX22" t="str">
        <f ca="1"/>
        <v>Reliquary Tower</v>
      </c>
      <c r="DY22" t="str">
        <f ca="1"/>
        <v>Inventors' Fair</v>
      </c>
      <c r="DZ22" t="str">
        <f ca="1"/>
        <v>Beifong's Bounty Hunters</v>
      </c>
      <c r="EG22" t="str">
        <f ca="1"/>
        <v>Caves of Koilos</v>
      </c>
      <c r="EH22" t="str">
        <f ca="1"/>
        <v>Final Showdown</v>
      </c>
      <c r="EI22" t="str">
        <f ca="1"/>
        <v>Command Tower</v>
      </c>
      <c r="EJ22" t="str">
        <f ca="1"/>
        <v>Giggling Skitterspike</v>
      </c>
      <c r="EK22" t="str">
        <f ca="1"/>
        <v>Dusk // Dawn</v>
      </c>
      <c r="EL22" t="str">
        <f ca="1"/>
        <v>Beifong's Bounty Hunters</v>
      </c>
      <c r="EP22" t="str">
        <f ca="1"/>
        <v>Boros Charm</v>
      </c>
      <c r="EQ22" t="str">
        <f ca="1"/>
        <v>Bugenhagen, Wise Elder</v>
      </c>
      <c r="ER22" t="str">
        <f ca="1"/>
        <v>Beast Within</v>
      </c>
      <c r="EU22" t="str">
        <f ca="1"/>
        <v>Authority of the Consuls</v>
      </c>
      <c r="EV22" t="str">
        <f ca="1"/>
        <v>Beast Within</v>
      </c>
      <c r="EX22" t="str">
        <f ca="1"/>
        <v>Anim Pakal, Thousandth Moon</v>
      </c>
    </row>
    <row r="23" spans="1:154" x14ac:dyDescent="0.25">
      <c r="A23" s="2" t="str">
        <f t="shared" ca="1" si="1"/>
        <v>5</v>
      </c>
      <c r="B23" s="2">
        <f t="shared" ca="1" si="2"/>
        <v>1</v>
      </c>
      <c r="C23" s="2" t="str">
        <f ca="1">IFERROR(
 INDEX($V$1:$BL$1,
  MATCH(TRUE,
   CHOOSE({1;2;3;4;5;6;7;8;9;10;11;12;13;14;15;16;17;18;19;20;21;22;23;24;25;26;27;28;29;30;31;32;33;34;35;36;37;38;39;40;41;42;43},
    COUNTIFS($V$2:$V$200,$G23)&gt;0,
    COUNTIFS($W$2:$W$200,$G23)&gt;0,
    COUNTIFS($X$2:$X$200,$G23)&gt;0,
    COUNTIFS($Y$2:$Y$200,$G23)&gt;0,
    COUNTIFS($Z$2:$Z$200,$G23)&gt;0,
    COUNTIFS($AA$2:$AA$200,$G23)&gt;0,
    COUNTIFS($AB$2:$AB$200,$G23)&gt;0,
    COUNTIFS($AC$2:$AC$200,$G23)&gt;0,
    COUNTIFS($AD$2:$AD$200,$G23)&gt;0,
    COUNTIFS($AE$2:$AE$200,$G23)&gt;0,
    COUNTIFS($AF$2:$AF$200,$G23)&gt;0,
    COUNTIFS($AG$2:$AG$200,$G23)&gt;0,
    COUNTIFS($AH$2:$AH$200,$G23)&gt;0,
    COUNTIFS($AI$2:$AI$200,$G23)&gt;0,
    COUNTIFS($AJ$2:$AJ$200,$G23)&gt;0,
    COUNTIFS($AK$2:$AK$200,$G23)&gt;0,
    COUNTIFS($AL$2:$AL$200,$G23)&gt;0,
    COUNTIFS($AM$2:$AM$200,$G23)&gt;0,
    COUNTIFS($AN$2:$AN$200,$G23)&gt;0,
    COUNTIFS($AO$2:$AO$200,$G23)&gt;0,
    COUNTIFS($AP$2:$AP$200,$G23)&gt;0,
    COUNTIFS($AQ$2:$AQ$200,$G23)&gt;0,
    COUNTIFS($AR$2:$AR$200,$G23)&gt;0,
    COUNTIFS($AS$2:$AS$200,$G23)&gt;0,
    COUNTIFS($AT$2:$AT$200,$G23)&gt;0,
    COUNTIFS($AU$2:$AU$200,$G23)&gt;0,
    COUNTIFS($AV$2:$AV$200,$G23)&gt;0,
    COUNTIFS($AW$2:$AW$200,$G23)&gt;0,
    COUNTIFS($AX$2:$AX$200,$G23)&gt;0,
    COUNTIFS($AY$2:$AY$200,$G23)&gt;0,
    COUNTIFS($AZ$2:$AZ$200,$G23)&gt;0,
    COUNTIFS($BA$2:$BA$200,$G23)&gt;0,
    COUNTIFS($BB$2:$BB$200,$G23)&gt;0,
    COUNTIFS($BC$2:$BC$200,$G23)&gt;0,
    COUNTIFS($BD$2:$BD$200,$G23)&gt;0,
    COUNTIFS($BE$2:$BE$200,$G23)&gt;0,
    COUNTIFS($BF$2:$BF$200,$G23)&gt;0,
    COUNTIFS($BG$2:$BG$200,$G23)&gt;0,
    COUNTIFS($BH$2:$BH$200,$G23)&gt;0,
    COUNTIFS($BI$2:$BI$200,$G23)&gt;0,
    COUNTIFS($BJ$2:$BJ$200,$G23)&gt;0,
    COUNTIFS($BK$2:$BK$200,$G23)&gt;0,
    COUNTIFS($BL$2:$BL$200,$G23)&gt;0,
    COUNTIFS($BM$2:$BM$200,$G23)&gt;0,
   ),
  0)
 ),
"")</f>
        <v>Little</v>
      </c>
      <c r="D23" s="2" t="str" cm="1">
        <f t="array" aca="1" ref="D23" ca="1">IFERROR(
 INDEX(
  _xlfn._xlws.FILTER($V$1:$AY$1,
   TRANSPOSE(
    CHOOSE({1;2;3;4;5;6;7;8;9;10;11;12;13;14;15;16;17;18;19;20;21;22;23;24;25;26;27;28;29;30},
     COUNTIFS($V$2:$V$200,$G23)&gt;0,
     COUNTIFS($W$2:$W$200,$G23)&gt;0,
     COUNTIFS($X$2:$X$200,$G23)&gt;0,
     COUNTIFS($Y$2:$Y$200,$G23)&gt;0,
     COUNTIFS($Z$2:$Z$200,$G23)&gt;0,
     COUNTIFS($AA$2:$AA$200,$G23)&gt;0,
     COUNTIFS($AB$2:$AB$200,$G23)&gt;0,
     COUNTIFS($AC$2:$AC$200,$G23)&gt;0,
     COUNTIFS($AD$2:$AD$200,$G23)&gt;0,
     COUNTIFS($AE$2:$AE$200,$G23)&gt;0,
     COUNTIFS($AF$2:$AF$200,$G23)&gt;0,
     COUNTIFS($AG$2:$AG$200,$G23)&gt;0,
     COUNTIFS($AH$2:$AH$200,$G23)&gt;0,
     COUNTIFS($AI$2:$AI$200,$G23)&gt;0,
     COUNTIFS($AJ$2:$AJ$200,$G23)&gt;0,
     COUNTIFS($AK$2:$AK$200,$G23)&gt;0,
     COUNTIFS($AL$2:$AL$200,$G23)&gt;0,
     COUNTIFS($AM$2:$AM$200,$G23)&gt;0,
     COUNTIFS($AN$2:$AN$200,$G23)&gt;0,
     COUNTIFS($AO$2:$AO$200,$G23)&gt;0,
     COUNTIFS($AP$2:$AP$200,$G23)&gt;0,
     COUNTIFS($AQ$2:$AQ$200,$G23)&gt;0,
     COUNTIFS($AR$2:$AR$200,$G23)&gt;0,
     COUNTIFS($AS$2:$AS$200,$G23)&gt;0,
     COUNTIFS($AT$2:$AT$200,$G23)&gt;0,
     COUNTIFS($AU$2:$AU$200,$G23)&gt;0,
     COUNTIFS($AV$2:$AV$200,$G23)&gt;0,
     COUNTIFS($AW$2:$AW$200,$G23)&gt;0,
     COUNTIFS($AX$2:$AX$200,$G23)&gt;0,
     COUNTIFS($AY$2:$AY$200,$G23)&gt;0
   )),
  ),
  2
 ),
"")</f>
        <v/>
      </c>
      <c r="E23" s="2" t="str" cm="1">
        <f t="array" aca="1" ref="E23" ca="1">IFERROR(
 INDEX(
  _xlfn._xlws.FILTER($V$1:$AY$1,
   TRANSPOSE(
    CHOOSE({1;2;3;4;5;6;7;8;9;10;11;12;13;14;15;16;17;18;19;20;21;22;23;24;25;26;27;28;29;30},
     COUNTIFS($V$2:$V$200,$G23)&gt;0,
     COUNTIFS($W$2:$W$200,$G23)&gt;0,
     COUNTIFS($X$2:$X$200,$G23)&gt;0,
     COUNTIFS($Y$2:$Y$200,$G23)&gt;0,
     COUNTIFS($Z$2:$Z$200,$G23)&gt;0,
     COUNTIFS($AA$2:$AA$200,$G23)&gt;0,
     COUNTIFS($AB$2:$AB$200,$G23)&gt;0,
     COUNTIFS($AC$2:$AC$200,$G23)&gt;0,
     COUNTIFS($AD$2:$AD$200,$G23)&gt;0,
     COUNTIFS($AE$2:$AE$200,$G23)&gt;0,
     COUNTIFS($AF$2:$AF$200,$G23)&gt;0,
     COUNTIFS($AG$2:$AG$200,$G23)&gt;0,
     COUNTIFS($AH$2:$AH$200,$G23)&gt;0,
     COUNTIFS($AI$2:$AI$200,$G23)&gt;0,
     COUNTIFS($AJ$2:$AJ$200,$G23)&gt;0,
     COUNTIFS($AK$2:$AK$200,$G23)&gt;0,
     COUNTIFS($AL$2:$AL$200,$G23)&gt;0,
     COUNTIFS($AM$2:$AM$200,$G23)&gt;0,
     COUNTIFS($AN$2:$AN$200,$G23)&gt;0,
     COUNTIFS($AO$2:$AO$200,$G23)&gt;0,
     COUNTIFS($AP$2:$AP$200,$G23)&gt;0,
     COUNTIFS($AQ$2:$AQ$200,$G23)&gt;0,
     COUNTIFS($AR$2:$AR$200,$G23)&gt;0,
     COUNTIFS($AS$2:$AS$200,$G23)&gt;0,
     COUNTIFS($AT$2:$AT$200,$G23)&gt;0,
     COUNTIFS($AU$2:$AU$200,$G23)&gt;0,
     COUNTIFS($AV$2:$AV$200,$G23)&gt;0,
     COUNTIFS($AW$2:$AW$200,$G23)&gt;0,
     COUNTIFS($AX$2:$AX$200,$G23)&gt;0,
     COUNTIFS($AY$2:$AY$200,$G23)&gt;0
   )),
  ),
  3
 ),
"")</f>
        <v/>
      </c>
      <c r="F23" s="2" t="str" cm="1">
        <f t="array" aca="1" ref="F23" ca="1">IFERROR(
 INDEX(
  _xlfn._xlws.FILTER($V$1:$AY$1,
   TRANSPOSE(
    CHOOSE({1;2;3;4;5;6;7;8;9;10;11;12;13;14;15;16;17;18;19;20;21;22;23;24;25;26;27;28;29;30},
     COUNTIFS($V$2:$V$200,$G23)&gt;0,
     COUNTIFS($W$2:$W$200,$G23)&gt;0,
     COUNTIFS($X$2:$X$200,$G23)&gt;0,
     COUNTIFS($Y$2:$Y$200,$G23)&gt;0,
     COUNTIFS($Z$2:$Z$200,$G23)&gt;0,
     COUNTIFS($AA$2:$AA$200,$G23)&gt;0,
     COUNTIFS($AB$2:$AB$200,$G23)&gt;0,
     COUNTIFS($AC$2:$AC$200,$G23)&gt;0,
     COUNTIFS($AD$2:$AD$200,$G23)&gt;0,
     COUNTIFS($AE$2:$AE$200,$G23)&gt;0,
     COUNTIFS($AF$2:$AF$200,$G23)&gt;0,
     COUNTIFS($AG$2:$AG$200,$G23)&gt;0,
     COUNTIFS($AH$2:$AH$200,$G23)&gt;0,
     COUNTIFS($AI$2:$AI$200,$G23)&gt;0,
     COUNTIFS($AJ$2:$AJ$200,$G23)&gt;0,
     COUNTIFS($AK$2:$AK$200,$G23)&gt;0,
     COUNTIFS($AL$2:$AL$200,$G23)&gt;0,
     COUNTIFS($AM$2:$AM$200,$G23)&gt;0,
     COUNTIFS($AN$2:$AN$200,$G23)&gt;0,
     COUNTIFS($AO$2:$AO$200,$G23)&gt;0,
     COUNTIFS($AP$2:$AP$200,$G23)&gt;0,
     COUNTIFS($AQ$2:$AQ$200,$G23)&gt;0,
     COUNTIFS($AR$2:$AR$200,$G23)&gt;0,
     COUNTIFS($AS$2:$AS$200,$G23)&gt;0,
     COUNTIFS($AT$2:$AT$200,$G23)&gt;0,
     COUNTIFS($AU$2:$AU$200,$G23)&gt;0,
     COUNTIFS($AV$2:$AV$200,$G23)&gt;0,
     COUNTIFS($AW$2:$AW$200,$G23)&gt;0,
     COUNTIFS($AX$2:$AX$200,$G23)&gt;0,
     COUNTIFS($AY$2:$AY$200,$G23)&gt;0
   )),
  ),
  4
 ),
"")</f>
        <v/>
      </c>
      <c r="G23" t="str">
        <f ca="1"/>
        <v>Annie Joins Up</v>
      </c>
      <c r="H23" s="2" t="s">
        <v>425</v>
      </c>
      <c r="J23" t="s">
        <v>8</v>
      </c>
      <c r="K23" s="2">
        <f>[1]Zedruu!G2</f>
        <v>1</v>
      </c>
      <c r="L23" s="2" t="s">
        <v>2</v>
      </c>
      <c r="M23" s="2" t="s">
        <v>2</v>
      </c>
      <c r="N23" s="2" t="s">
        <v>2</v>
      </c>
      <c r="O23" s="2" t="s">
        <v>3</v>
      </c>
      <c r="P23" s="2" t="s">
        <v>3</v>
      </c>
      <c r="Q23" s="2" t="s">
        <v>4</v>
      </c>
      <c r="R23" s="2" t="s">
        <v>7</v>
      </c>
      <c r="S23" s="2" t="s">
        <v>6</v>
      </c>
      <c r="T23" s="2" t="str">
        <f t="shared" si="3"/>
        <v>1</v>
      </c>
      <c r="W23" t="str">
        <v>Springleaf Parade</v>
      </c>
      <c r="Y23" t="str">
        <v>Unbreakable Formation</v>
      </c>
      <c r="AO23" t="str">
        <v>Forest</v>
      </c>
      <c r="AX23" t="str">
        <v>Warren Torchmaster</v>
      </c>
      <c r="BE23" t="str">
        <v>Hare Apparent</v>
      </c>
      <c r="BI23" t="str">
        <v>Iraxxa, Empress of Mars</v>
      </c>
      <c r="BJ23" t="str">
        <v>Cinder Glade</v>
      </c>
      <c r="BL23" t="str">
        <v>Endurance</v>
      </c>
      <c r="CI23" t="str">
        <f ca="1"/>
        <v>Prosperous Partnership</v>
      </c>
      <c r="CJ23" t="str">
        <f ca="1"/>
        <v>Long Feng, Grand Secretariat</v>
      </c>
      <c r="CM23" t="str">
        <f ca="1"/>
        <v>Ulamog's Dreadsire</v>
      </c>
      <c r="CO23" t="str">
        <f ca="1"/>
        <v>Temporal Manipulation</v>
      </c>
      <c r="CP23" t="str">
        <f ca="1"/>
        <v>Sword of Wealth and Power</v>
      </c>
      <c r="CR23" t="str">
        <f ca="1"/>
        <v>Exotic Orchard</v>
      </c>
      <c r="CT23" t="str">
        <f ca="1"/>
        <v>Vona's Hunger</v>
      </c>
      <c r="CW23" t="str">
        <f ca="1"/>
        <v>Liquimetal Torque</v>
      </c>
      <c r="CZ23" t="str">
        <f ca="1"/>
        <v>Restoration Angel</v>
      </c>
      <c r="DB23" t="str">
        <f ca="1"/>
        <v>Iraxxa, Empress of Mars</v>
      </c>
      <c r="DC23" t="str">
        <f ca="1"/>
        <v>Cinder Glade</v>
      </c>
      <c r="DD23" t="str">
        <f ca="1"/>
        <v>Endurance</v>
      </c>
      <c r="DP23" t="str">
        <f ca="1"/>
        <v>Enterprising Scallywag</v>
      </c>
      <c r="DQ23" t="str">
        <f ca="1"/>
        <v>Mutable Explorer</v>
      </c>
      <c r="DR23" t="str">
        <f ca="1"/>
        <v>Rise of the Eldrazi</v>
      </c>
      <c r="DS23" t="str">
        <f ca="1"/>
        <v>Lolth, Spider Queen</v>
      </c>
      <c r="DT23" t="str">
        <f ca="1"/>
        <v>Emrakul, the World Anew</v>
      </c>
      <c r="DU23" t="str">
        <f ca="1"/>
        <v>Mask of Griselbrand</v>
      </c>
      <c r="DW23" t="str">
        <f ca="1"/>
        <v>Liquimetal Torque</v>
      </c>
      <c r="DX23" t="str">
        <f ca="1"/>
        <v>Restoration Angel</v>
      </c>
      <c r="DY23" t="str">
        <f ca="1"/>
        <v>Iraxxa, Empress of Mars</v>
      </c>
      <c r="DZ23" t="str">
        <f ca="1"/>
        <v>Bitterbloom Bearer</v>
      </c>
      <c r="EG23" t="str">
        <f ca="1"/>
        <v>Champion of Lambholt</v>
      </c>
      <c r="EH23" t="str">
        <f ca="1"/>
        <v>Firebender Ascension</v>
      </c>
      <c r="EI23" t="str">
        <f ca="1"/>
        <v>Congregation at Dawn</v>
      </c>
      <c r="EJ23" t="str">
        <f ca="1"/>
        <v>Gonti's Aether Heart</v>
      </c>
      <c r="EK23" t="str">
        <f ca="1"/>
        <v>Eight-and-a-Half-Tails</v>
      </c>
      <c r="EL23" t="str">
        <f ca="1"/>
        <v>Bitterbloom Bearer</v>
      </c>
      <c r="EP23" t="str">
        <f ca="1"/>
        <v>Bothersome Quasit</v>
      </c>
      <c r="EQ23" t="str">
        <f ca="1"/>
        <v>Cankerbloom</v>
      </c>
      <c r="ER23" t="str">
        <f ca="1"/>
        <v>Bedevil</v>
      </c>
      <c r="EU23" t="str">
        <f ca="1"/>
        <v>Avatar's Wrath</v>
      </c>
      <c r="EV23" t="str">
        <f ca="1"/>
        <v>Bedevil</v>
      </c>
      <c r="EX23" t="str">
        <f ca="1"/>
        <v>Annie Joins Up</v>
      </c>
    </row>
    <row r="24" spans="1:154" x14ac:dyDescent="0.25">
      <c r="A24" s="2" t="str">
        <f t="shared" ca="1" si="1"/>
        <v>5</v>
      </c>
      <c r="B24" s="2">
        <f t="shared" ca="1" si="2"/>
        <v>1</v>
      </c>
      <c r="C24" s="2" t="str">
        <f ca="1">IFERROR(
 INDEX($V$1:$BL$1,
  MATCH(TRUE,
   CHOOSE({1;2;3;4;5;6;7;8;9;10;11;12;13;14;15;16;17;18;19;20;21;22;23;24;25;26;27;28;29;30;31;32;33;34;35;36;37;38;39;40;41;42;43},
    COUNTIFS($V$2:$V$200,$G24)&gt;0,
    COUNTIFS($W$2:$W$200,$G24)&gt;0,
    COUNTIFS($X$2:$X$200,$G24)&gt;0,
    COUNTIFS($Y$2:$Y$200,$G24)&gt;0,
    COUNTIFS($Z$2:$Z$200,$G24)&gt;0,
    COUNTIFS($AA$2:$AA$200,$G24)&gt;0,
    COUNTIFS($AB$2:$AB$200,$G24)&gt;0,
    COUNTIFS($AC$2:$AC$200,$G24)&gt;0,
    COUNTIFS($AD$2:$AD$200,$G24)&gt;0,
    COUNTIFS($AE$2:$AE$200,$G24)&gt;0,
    COUNTIFS($AF$2:$AF$200,$G24)&gt;0,
    COUNTIFS($AG$2:$AG$200,$G24)&gt;0,
    COUNTIFS($AH$2:$AH$200,$G24)&gt;0,
    COUNTIFS($AI$2:$AI$200,$G24)&gt;0,
    COUNTIFS($AJ$2:$AJ$200,$G24)&gt;0,
    COUNTIFS($AK$2:$AK$200,$G24)&gt;0,
    COUNTIFS($AL$2:$AL$200,$G24)&gt;0,
    COUNTIFS($AM$2:$AM$200,$G24)&gt;0,
    COUNTIFS($AN$2:$AN$200,$G24)&gt;0,
    COUNTIFS($AO$2:$AO$200,$G24)&gt;0,
    COUNTIFS($AP$2:$AP$200,$G24)&gt;0,
    COUNTIFS($AQ$2:$AQ$200,$G24)&gt;0,
    COUNTIFS($AR$2:$AR$200,$G24)&gt;0,
    COUNTIFS($AS$2:$AS$200,$G24)&gt;0,
    COUNTIFS($AT$2:$AT$200,$G24)&gt;0,
    COUNTIFS($AU$2:$AU$200,$G24)&gt;0,
    COUNTIFS($AV$2:$AV$200,$G24)&gt;0,
    COUNTIFS($AW$2:$AW$200,$G24)&gt;0,
    COUNTIFS($AX$2:$AX$200,$G24)&gt;0,
    COUNTIFS($AY$2:$AY$200,$G24)&gt;0,
    COUNTIFS($AZ$2:$AZ$200,$G24)&gt;0,
    COUNTIFS($BA$2:$BA$200,$G24)&gt;0,
    COUNTIFS($BB$2:$BB$200,$G24)&gt;0,
    COUNTIFS($BC$2:$BC$200,$G24)&gt;0,
    COUNTIFS($BD$2:$BD$200,$G24)&gt;0,
    COUNTIFS($BE$2:$BE$200,$G24)&gt;0,
    COUNTIFS($BF$2:$BF$200,$G24)&gt;0,
    COUNTIFS($BG$2:$BG$200,$G24)&gt;0,
    COUNTIFS($BH$2:$BH$200,$G24)&gt;0,
    COUNTIFS($BI$2:$BI$200,$G24)&gt;0,
    COUNTIFS($BJ$2:$BJ$200,$G24)&gt;0,
    COUNTIFS($BK$2:$BK$200,$G24)&gt;0,
    COUNTIFS($BL$2:$BL$200,$G24)&gt;0,
    COUNTIFS($BM$2:$BM$200,$G24)&gt;0,
   ),
  0)
 ),
"")</f>
        <v>Little</v>
      </c>
      <c r="D24" s="2" t="str" cm="1">
        <f t="array" aca="1" ref="D24" ca="1">IFERROR(
 INDEX(
  _xlfn._xlws.FILTER($V$1:$AY$1,
   TRANSPOSE(
    CHOOSE({1;2;3;4;5;6;7;8;9;10;11;12;13;14;15;16;17;18;19;20;21;22;23;24;25;26;27;28;29;30},
     COUNTIFS($V$2:$V$200,$G24)&gt;0,
     COUNTIFS($W$2:$W$200,$G24)&gt;0,
     COUNTIFS($X$2:$X$200,$G24)&gt;0,
     COUNTIFS($Y$2:$Y$200,$G24)&gt;0,
     COUNTIFS($Z$2:$Z$200,$G24)&gt;0,
     COUNTIFS($AA$2:$AA$200,$G24)&gt;0,
     COUNTIFS($AB$2:$AB$200,$G24)&gt;0,
     COUNTIFS($AC$2:$AC$200,$G24)&gt;0,
     COUNTIFS($AD$2:$AD$200,$G24)&gt;0,
     COUNTIFS($AE$2:$AE$200,$G24)&gt;0,
     COUNTIFS($AF$2:$AF$200,$G24)&gt;0,
     COUNTIFS($AG$2:$AG$200,$G24)&gt;0,
     COUNTIFS($AH$2:$AH$200,$G24)&gt;0,
     COUNTIFS($AI$2:$AI$200,$G24)&gt;0,
     COUNTIFS($AJ$2:$AJ$200,$G24)&gt;0,
     COUNTIFS($AK$2:$AK$200,$G24)&gt;0,
     COUNTIFS($AL$2:$AL$200,$G24)&gt;0,
     COUNTIFS($AM$2:$AM$200,$G24)&gt;0,
     COUNTIFS($AN$2:$AN$200,$G24)&gt;0,
     COUNTIFS($AO$2:$AO$200,$G24)&gt;0,
     COUNTIFS($AP$2:$AP$200,$G24)&gt;0,
     COUNTIFS($AQ$2:$AQ$200,$G24)&gt;0,
     COUNTIFS($AR$2:$AR$200,$G24)&gt;0,
     COUNTIFS($AS$2:$AS$200,$G24)&gt;0,
     COUNTIFS($AT$2:$AT$200,$G24)&gt;0,
     COUNTIFS($AU$2:$AU$200,$G24)&gt;0,
     COUNTIFS($AV$2:$AV$200,$G24)&gt;0,
     COUNTIFS($AW$2:$AW$200,$G24)&gt;0,
     COUNTIFS($AX$2:$AX$200,$G24)&gt;0,
     COUNTIFS($AY$2:$AY$200,$G24)&gt;0
   )),
  ),
  2
 ),
"")</f>
        <v/>
      </c>
      <c r="E24" s="2" t="str" cm="1">
        <f t="array" aca="1" ref="E24" ca="1">IFERROR(
 INDEX(
  _xlfn._xlws.FILTER($V$1:$AY$1,
   TRANSPOSE(
    CHOOSE({1;2;3;4;5;6;7;8;9;10;11;12;13;14;15;16;17;18;19;20;21;22;23;24;25;26;27;28;29;30},
     COUNTIFS($V$2:$V$200,$G24)&gt;0,
     COUNTIFS($W$2:$W$200,$G24)&gt;0,
     COUNTIFS($X$2:$X$200,$G24)&gt;0,
     COUNTIFS($Y$2:$Y$200,$G24)&gt;0,
     COUNTIFS($Z$2:$Z$200,$G24)&gt;0,
     COUNTIFS($AA$2:$AA$200,$G24)&gt;0,
     COUNTIFS($AB$2:$AB$200,$G24)&gt;0,
     COUNTIFS($AC$2:$AC$200,$G24)&gt;0,
     COUNTIFS($AD$2:$AD$200,$G24)&gt;0,
     COUNTIFS($AE$2:$AE$200,$G24)&gt;0,
     COUNTIFS($AF$2:$AF$200,$G24)&gt;0,
     COUNTIFS($AG$2:$AG$200,$G24)&gt;0,
     COUNTIFS($AH$2:$AH$200,$G24)&gt;0,
     COUNTIFS($AI$2:$AI$200,$G24)&gt;0,
     COUNTIFS($AJ$2:$AJ$200,$G24)&gt;0,
     COUNTIFS($AK$2:$AK$200,$G24)&gt;0,
     COUNTIFS($AL$2:$AL$200,$G24)&gt;0,
     COUNTIFS($AM$2:$AM$200,$G24)&gt;0,
     COUNTIFS($AN$2:$AN$200,$G24)&gt;0,
     COUNTIFS($AO$2:$AO$200,$G24)&gt;0,
     COUNTIFS($AP$2:$AP$200,$G24)&gt;0,
     COUNTIFS($AQ$2:$AQ$200,$G24)&gt;0,
     COUNTIFS($AR$2:$AR$200,$G24)&gt;0,
     COUNTIFS($AS$2:$AS$200,$G24)&gt;0,
     COUNTIFS($AT$2:$AT$200,$G24)&gt;0,
     COUNTIFS($AU$2:$AU$200,$G24)&gt;0,
     COUNTIFS($AV$2:$AV$200,$G24)&gt;0,
     COUNTIFS($AW$2:$AW$200,$G24)&gt;0,
     COUNTIFS($AX$2:$AX$200,$G24)&gt;0,
     COUNTIFS($AY$2:$AY$200,$G24)&gt;0
   )),
  ),
  3
 ),
"")</f>
        <v/>
      </c>
      <c r="F24" s="2" t="str" cm="1">
        <f t="array" aca="1" ref="F24" ca="1">IFERROR(
 INDEX(
  _xlfn._xlws.FILTER($V$1:$AY$1,
   TRANSPOSE(
    CHOOSE({1;2;3;4;5;6;7;8;9;10;11;12;13;14;15;16;17;18;19;20;21;22;23;24;25;26;27;28;29;30},
     COUNTIFS($V$2:$V$200,$G24)&gt;0,
     COUNTIFS($W$2:$W$200,$G24)&gt;0,
     COUNTIFS($X$2:$X$200,$G24)&gt;0,
     COUNTIFS($Y$2:$Y$200,$G24)&gt;0,
     COUNTIFS($Z$2:$Z$200,$G24)&gt;0,
     COUNTIFS($AA$2:$AA$200,$G24)&gt;0,
     COUNTIFS($AB$2:$AB$200,$G24)&gt;0,
     COUNTIFS($AC$2:$AC$200,$G24)&gt;0,
     COUNTIFS($AD$2:$AD$200,$G24)&gt;0,
     COUNTIFS($AE$2:$AE$200,$G24)&gt;0,
     COUNTIFS($AF$2:$AF$200,$G24)&gt;0,
     COUNTIFS($AG$2:$AG$200,$G24)&gt;0,
     COUNTIFS($AH$2:$AH$200,$G24)&gt;0,
     COUNTIFS($AI$2:$AI$200,$G24)&gt;0,
     COUNTIFS($AJ$2:$AJ$200,$G24)&gt;0,
     COUNTIFS($AK$2:$AK$200,$G24)&gt;0,
     COUNTIFS($AL$2:$AL$200,$G24)&gt;0,
     COUNTIFS($AM$2:$AM$200,$G24)&gt;0,
     COUNTIFS($AN$2:$AN$200,$G24)&gt;0,
     COUNTIFS($AO$2:$AO$200,$G24)&gt;0,
     COUNTIFS($AP$2:$AP$200,$G24)&gt;0,
     COUNTIFS($AQ$2:$AQ$200,$G24)&gt;0,
     COUNTIFS($AR$2:$AR$200,$G24)&gt;0,
     COUNTIFS($AS$2:$AS$200,$G24)&gt;0,
     COUNTIFS($AT$2:$AT$200,$G24)&gt;0,
     COUNTIFS($AU$2:$AU$200,$G24)&gt;0,
     COUNTIFS($AV$2:$AV$200,$G24)&gt;0,
     COUNTIFS($AW$2:$AW$200,$G24)&gt;0,
     COUNTIFS($AX$2:$AX$200,$G24)&gt;0,
     COUNTIFS($AY$2:$AY$200,$G24)&gt;0
   )),
  ),
  4
 ),
"")</f>
        <v/>
      </c>
      <c r="G24" t="str">
        <f ca="1"/>
        <v>Arabella, Abandoned Doll</v>
      </c>
      <c r="H24" s="2" t="s">
        <v>424</v>
      </c>
      <c r="J24" t="s">
        <v>12</v>
      </c>
      <c r="K24" s="2">
        <f>[1]Alela!G2</f>
        <v>6</v>
      </c>
      <c r="L24" s="2" t="s">
        <v>2</v>
      </c>
      <c r="M24" s="2" t="s">
        <v>2</v>
      </c>
      <c r="N24" s="2" t="s">
        <v>3</v>
      </c>
      <c r="O24" s="2" t="s">
        <v>2</v>
      </c>
      <c r="P24" s="2" t="s">
        <v>3</v>
      </c>
      <c r="Q24" s="2" t="s">
        <v>1</v>
      </c>
      <c r="R24" s="2" t="s">
        <v>0</v>
      </c>
      <c r="S24" s="2" t="s">
        <v>11</v>
      </c>
      <c r="T24" s="2" t="str">
        <f t="shared" si="3"/>
        <v>2</v>
      </c>
      <c r="W24" t="str">
        <v>Sunscorched Divide</v>
      </c>
      <c r="Y24" t="str">
        <v>Woodland Cemetery</v>
      </c>
      <c r="AO24" t="str">
        <v>Galerider Sliver</v>
      </c>
      <c r="AX24" t="str">
        <v>Yawgmoth, Thran Physician</v>
      </c>
      <c r="BE24" t="str">
        <v>Hare Apparent</v>
      </c>
      <c r="BI24" t="str">
        <v>Leyline Tyrant</v>
      </c>
      <c r="BJ24" t="str">
        <v>Clifftop Retreat</v>
      </c>
      <c r="BL24" t="str">
        <v>Entish Restoration</v>
      </c>
      <c r="CI24" t="str">
        <f ca="1"/>
        <v>Purphoros, God of the Forge</v>
      </c>
      <c r="CJ24" t="str">
        <f ca="1"/>
        <v>Maddening Cacophony</v>
      </c>
      <c r="CO24" t="str">
        <f ca="1"/>
        <v>Temporal Trespass</v>
      </c>
      <c r="CP24" t="str">
        <f ca="1"/>
        <v>The Peregrine Dynamo</v>
      </c>
      <c r="CR24" t="str">
        <f ca="1"/>
        <v>Forest</v>
      </c>
      <c r="CW24" t="str">
        <f ca="1"/>
        <v>Lithoform Engine</v>
      </c>
      <c r="CZ24" t="str">
        <f ca="1"/>
        <v>Sol Ring</v>
      </c>
      <c r="DB24" t="str">
        <f ca="1"/>
        <v>Leyline Tyrant</v>
      </c>
      <c r="DC24" t="str">
        <f ca="1"/>
        <v>Clifftop Retreat</v>
      </c>
      <c r="DD24" t="str">
        <f ca="1"/>
        <v>Entish Restoration</v>
      </c>
      <c r="DP24" t="str">
        <f ca="1"/>
        <v>Exalted Sunborn</v>
      </c>
      <c r="DQ24" t="str">
        <f ca="1"/>
        <v>Obsessive Pursuit</v>
      </c>
      <c r="DR24" t="str">
        <f ca="1"/>
        <v>Rivendell</v>
      </c>
      <c r="DS24" t="str">
        <f ca="1"/>
        <v>Lost Jitte</v>
      </c>
      <c r="DT24" t="str">
        <f ca="1"/>
        <v>Essence Sliver</v>
      </c>
      <c r="DU24" t="str">
        <f ca="1"/>
        <v>Nibelheim Aflame</v>
      </c>
      <c r="DW24" t="str">
        <f ca="1"/>
        <v>Lithoform Engine</v>
      </c>
      <c r="DX24" t="str">
        <f ca="1"/>
        <v>Sol Ring</v>
      </c>
      <c r="DY24" t="str">
        <f ca="1"/>
        <v>Leyline Tyrant</v>
      </c>
      <c r="DZ24" t="str">
        <f ca="1"/>
        <v>Black Waltz No. 3</v>
      </c>
      <c r="EG24" t="str">
        <f ca="1"/>
        <v>Champions from Beyond</v>
      </c>
      <c r="EH24" t="str">
        <f ca="1"/>
        <v>Freyalise, Llanowar's Fury</v>
      </c>
      <c r="EI24" t="str">
        <f ca="1"/>
        <v>Constricting Sliver</v>
      </c>
      <c r="EJ24" t="str">
        <f ca="1"/>
        <v>Great Furnace</v>
      </c>
      <c r="EK24" t="str">
        <f ca="1"/>
        <v>Emergence Zone</v>
      </c>
      <c r="EL24" t="str">
        <f ca="1"/>
        <v>Black Waltz No. 3</v>
      </c>
      <c r="EP24" t="str">
        <f ca="1"/>
        <v>Brass's Tunnel-Grinder</v>
      </c>
      <c r="EQ24" t="str">
        <f ca="1"/>
        <v>Careful Study</v>
      </c>
      <c r="ER24" t="str">
        <f ca="1"/>
        <v>Bedlam</v>
      </c>
      <c r="EU24" t="str">
        <f ca="1"/>
        <v>Ba Sing Se</v>
      </c>
      <c r="EV24" t="str">
        <f ca="1"/>
        <v>Bedlam</v>
      </c>
      <c r="EX24" t="str">
        <f ca="1"/>
        <v>Arabella, Abandoned Doll</v>
      </c>
    </row>
    <row r="25" spans="1:154" x14ac:dyDescent="0.25">
      <c r="A25" s="2" t="str">
        <f t="shared" ca="1" si="1"/>
        <v>3</v>
      </c>
      <c r="B25" s="2">
        <f t="shared" ca="1" si="2"/>
        <v>1</v>
      </c>
      <c r="C25" s="2" t="str">
        <f ca="1">IFERROR(
 INDEX($V$1:$BL$1,
  MATCH(TRUE,
   CHOOSE({1;2;3;4;5;6;7;8;9;10;11;12;13;14;15;16;17;18;19;20;21;22;23;24;25;26;27;28;29;30;31;32;33;34;35;36;37;38;39;40;41;42;43},
    COUNTIFS($V$2:$V$200,$G25)&gt;0,
    COUNTIFS($W$2:$W$200,$G25)&gt;0,
    COUNTIFS($X$2:$X$200,$G25)&gt;0,
    COUNTIFS($Y$2:$Y$200,$G25)&gt;0,
    COUNTIFS($Z$2:$Z$200,$G25)&gt;0,
    COUNTIFS($AA$2:$AA$200,$G25)&gt;0,
    COUNTIFS($AB$2:$AB$200,$G25)&gt;0,
    COUNTIFS($AC$2:$AC$200,$G25)&gt;0,
    COUNTIFS($AD$2:$AD$200,$G25)&gt;0,
    COUNTIFS($AE$2:$AE$200,$G25)&gt;0,
    COUNTIFS($AF$2:$AF$200,$G25)&gt;0,
    COUNTIFS($AG$2:$AG$200,$G25)&gt;0,
    COUNTIFS($AH$2:$AH$200,$G25)&gt;0,
    COUNTIFS($AI$2:$AI$200,$G25)&gt;0,
    COUNTIFS($AJ$2:$AJ$200,$G25)&gt;0,
    COUNTIFS($AK$2:$AK$200,$G25)&gt;0,
    COUNTIFS($AL$2:$AL$200,$G25)&gt;0,
    COUNTIFS($AM$2:$AM$200,$G25)&gt;0,
    COUNTIFS($AN$2:$AN$200,$G25)&gt;0,
    COUNTIFS($AO$2:$AO$200,$G25)&gt;0,
    COUNTIFS($AP$2:$AP$200,$G25)&gt;0,
    COUNTIFS($AQ$2:$AQ$200,$G25)&gt;0,
    COUNTIFS($AR$2:$AR$200,$G25)&gt;0,
    COUNTIFS($AS$2:$AS$200,$G25)&gt;0,
    COUNTIFS($AT$2:$AT$200,$G25)&gt;0,
    COUNTIFS($AU$2:$AU$200,$G25)&gt;0,
    COUNTIFS($AV$2:$AV$200,$G25)&gt;0,
    COUNTIFS($AW$2:$AW$200,$G25)&gt;0,
    COUNTIFS($AX$2:$AX$200,$G25)&gt;0,
    COUNTIFS($AY$2:$AY$200,$G25)&gt;0,
    COUNTIFS($AZ$2:$AZ$200,$G25)&gt;0,
    COUNTIFS($BA$2:$BA$200,$G25)&gt;0,
    COUNTIFS($BB$2:$BB$200,$G25)&gt;0,
    COUNTIFS($BC$2:$BC$200,$G25)&gt;0,
    COUNTIFS($BD$2:$BD$200,$G25)&gt;0,
    COUNTIFS($BE$2:$BE$200,$G25)&gt;0,
    COUNTIFS($BF$2:$BF$200,$G25)&gt;0,
    COUNTIFS($BG$2:$BG$200,$G25)&gt;0,
    COUNTIFS($BH$2:$BH$200,$G25)&gt;0,
    COUNTIFS($BI$2:$BI$200,$G25)&gt;0,
    COUNTIFS($BJ$2:$BJ$200,$G25)&gt;0,
    COUNTIFS($BK$2:$BK$200,$G25)&gt;0,
    COUNTIFS($BL$2:$BL$200,$G25)&gt;0,
    COUNTIFS($BM$2:$BM$200,$G25)&gt;0,
   ),
  0)
 ),
"")</f>
        <v>Inalla</v>
      </c>
      <c r="D25" s="2" t="str" cm="1">
        <f t="array" aca="1" ref="D25" ca="1">IFERROR(
 INDEX(
  _xlfn._xlws.FILTER($V$1:$AY$1,
   TRANSPOSE(
    CHOOSE({1;2;3;4;5;6;7;8;9;10;11;12;13;14;15;16;17;18;19;20;21;22;23;24;25;26;27;28;29;30},
     COUNTIFS($V$2:$V$200,$G25)&gt;0,
     COUNTIFS($W$2:$W$200,$G25)&gt;0,
     COUNTIFS($X$2:$X$200,$G25)&gt;0,
     COUNTIFS($Y$2:$Y$200,$G25)&gt;0,
     COUNTIFS($Z$2:$Z$200,$G25)&gt;0,
     COUNTIFS($AA$2:$AA$200,$G25)&gt;0,
     COUNTIFS($AB$2:$AB$200,$G25)&gt;0,
     COUNTIFS($AC$2:$AC$200,$G25)&gt;0,
     COUNTIFS($AD$2:$AD$200,$G25)&gt;0,
     COUNTIFS($AE$2:$AE$200,$G25)&gt;0,
     COUNTIFS($AF$2:$AF$200,$G25)&gt;0,
     COUNTIFS($AG$2:$AG$200,$G25)&gt;0,
     COUNTIFS($AH$2:$AH$200,$G25)&gt;0,
     COUNTIFS($AI$2:$AI$200,$G25)&gt;0,
     COUNTIFS($AJ$2:$AJ$200,$G25)&gt;0,
     COUNTIFS($AK$2:$AK$200,$G25)&gt;0,
     COUNTIFS($AL$2:$AL$200,$G25)&gt;0,
     COUNTIFS($AM$2:$AM$200,$G25)&gt;0,
     COUNTIFS($AN$2:$AN$200,$G25)&gt;0,
     COUNTIFS($AO$2:$AO$200,$G25)&gt;0,
     COUNTIFS($AP$2:$AP$200,$G25)&gt;0,
     COUNTIFS($AQ$2:$AQ$200,$G25)&gt;0,
     COUNTIFS($AR$2:$AR$200,$G25)&gt;0,
     COUNTIFS($AS$2:$AS$200,$G25)&gt;0,
     COUNTIFS($AT$2:$AT$200,$G25)&gt;0,
     COUNTIFS($AU$2:$AU$200,$G25)&gt;0,
     COUNTIFS($AV$2:$AV$200,$G25)&gt;0,
     COUNTIFS($AW$2:$AW$200,$G25)&gt;0,
     COUNTIFS($AX$2:$AX$200,$G25)&gt;0,
     COUNTIFS($AY$2:$AY$200,$G25)&gt;0
   )),
  ),
  2
 ),
"")</f>
        <v/>
      </c>
      <c r="E25" s="2" t="str" cm="1">
        <f t="array" aca="1" ref="E25" ca="1">IFERROR(
 INDEX(
  _xlfn._xlws.FILTER($V$1:$AY$1,
   TRANSPOSE(
    CHOOSE({1;2;3;4;5;6;7;8;9;10;11;12;13;14;15;16;17;18;19;20;21;22;23;24;25;26;27;28;29;30},
     COUNTIFS($V$2:$V$200,$G25)&gt;0,
     COUNTIFS($W$2:$W$200,$G25)&gt;0,
     COUNTIFS($X$2:$X$200,$G25)&gt;0,
     COUNTIFS($Y$2:$Y$200,$G25)&gt;0,
     COUNTIFS($Z$2:$Z$200,$G25)&gt;0,
     COUNTIFS($AA$2:$AA$200,$G25)&gt;0,
     COUNTIFS($AB$2:$AB$200,$G25)&gt;0,
     COUNTIFS($AC$2:$AC$200,$G25)&gt;0,
     COUNTIFS($AD$2:$AD$200,$G25)&gt;0,
     COUNTIFS($AE$2:$AE$200,$G25)&gt;0,
     COUNTIFS($AF$2:$AF$200,$G25)&gt;0,
     COUNTIFS($AG$2:$AG$200,$G25)&gt;0,
     COUNTIFS($AH$2:$AH$200,$G25)&gt;0,
     COUNTIFS($AI$2:$AI$200,$G25)&gt;0,
     COUNTIFS($AJ$2:$AJ$200,$G25)&gt;0,
     COUNTIFS($AK$2:$AK$200,$G25)&gt;0,
     COUNTIFS($AL$2:$AL$200,$G25)&gt;0,
     COUNTIFS($AM$2:$AM$200,$G25)&gt;0,
     COUNTIFS($AN$2:$AN$200,$G25)&gt;0,
     COUNTIFS($AO$2:$AO$200,$G25)&gt;0,
     COUNTIFS($AP$2:$AP$200,$G25)&gt;0,
     COUNTIFS($AQ$2:$AQ$200,$G25)&gt;0,
     COUNTIFS($AR$2:$AR$200,$G25)&gt;0,
     COUNTIFS($AS$2:$AS$200,$G25)&gt;0,
     COUNTIFS($AT$2:$AT$200,$G25)&gt;0,
     COUNTIFS($AU$2:$AU$200,$G25)&gt;0,
     COUNTIFS($AV$2:$AV$200,$G25)&gt;0,
     COUNTIFS($AW$2:$AW$200,$G25)&gt;0,
     COUNTIFS($AX$2:$AX$200,$G25)&gt;0,
     COUNTIFS($AY$2:$AY$200,$G25)&gt;0
   )),
  ),
  3
 ),
"")</f>
        <v/>
      </c>
      <c r="F25" s="2" t="str" cm="1">
        <f t="array" aca="1" ref="F25" ca="1">IFERROR(
 INDEX(
  _xlfn._xlws.FILTER($V$1:$AY$1,
   TRANSPOSE(
    CHOOSE({1;2;3;4;5;6;7;8;9;10;11;12;13;14;15;16;17;18;19;20;21;22;23;24;25;26;27;28;29;30},
     COUNTIFS($V$2:$V$200,$G25)&gt;0,
     COUNTIFS($W$2:$W$200,$G25)&gt;0,
     COUNTIFS($X$2:$X$200,$G25)&gt;0,
     COUNTIFS($Y$2:$Y$200,$G25)&gt;0,
     COUNTIFS($Z$2:$Z$200,$G25)&gt;0,
     COUNTIFS($AA$2:$AA$200,$G25)&gt;0,
     COUNTIFS($AB$2:$AB$200,$G25)&gt;0,
     COUNTIFS($AC$2:$AC$200,$G25)&gt;0,
     COUNTIFS($AD$2:$AD$200,$G25)&gt;0,
     COUNTIFS($AE$2:$AE$200,$G25)&gt;0,
     COUNTIFS($AF$2:$AF$200,$G25)&gt;0,
     COUNTIFS($AG$2:$AG$200,$G25)&gt;0,
     COUNTIFS($AH$2:$AH$200,$G25)&gt;0,
     COUNTIFS($AI$2:$AI$200,$G25)&gt;0,
     COUNTIFS($AJ$2:$AJ$200,$G25)&gt;0,
     COUNTIFS($AK$2:$AK$200,$G25)&gt;0,
     COUNTIFS($AL$2:$AL$200,$G25)&gt;0,
     COUNTIFS($AM$2:$AM$200,$G25)&gt;0,
     COUNTIFS($AN$2:$AN$200,$G25)&gt;0,
     COUNTIFS($AO$2:$AO$200,$G25)&gt;0,
     COUNTIFS($AP$2:$AP$200,$G25)&gt;0,
     COUNTIFS($AQ$2:$AQ$200,$G25)&gt;0,
     COUNTIFS($AR$2:$AR$200,$G25)&gt;0,
     COUNTIFS($AS$2:$AS$200,$G25)&gt;0,
     COUNTIFS($AT$2:$AT$200,$G25)&gt;0,
     COUNTIFS($AU$2:$AU$200,$G25)&gt;0,
     COUNTIFS($AV$2:$AV$200,$G25)&gt;0,
     COUNTIFS($AW$2:$AW$200,$G25)&gt;0,
     COUNTIFS($AX$2:$AX$200,$G25)&gt;0,
     COUNTIFS($AY$2:$AY$200,$G25)&gt;0
   )),
  ),
  4
 ),
"")</f>
        <v/>
      </c>
      <c r="G25" t="str">
        <f ca="1"/>
        <v>Arcane Lighthouse</v>
      </c>
      <c r="H25" s="2" t="s">
        <v>416</v>
      </c>
      <c r="J25" t="s">
        <v>10</v>
      </c>
      <c r="K25" s="2">
        <f>[1]Arcades!G2</f>
        <v>2</v>
      </c>
      <c r="L25" s="2" t="s">
        <v>2</v>
      </c>
      <c r="M25" s="2" t="s">
        <v>2</v>
      </c>
      <c r="N25" s="2" t="s">
        <v>3</v>
      </c>
      <c r="O25" s="2" t="s">
        <v>3</v>
      </c>
      <c r="P25" s="2" t="s">
        <v>2</v>
      </c>
      <c r="Q25" s="2" t="s">
        <v>1</v>
      </c>
      <c r="R25" s="2" t="s">
        <v>0</v>
      </c>
      <c r="S25" s="2" t="s">
        <v>9</v>
      </c>
      <c r="T25" s="2" t="str">
        <f t="shared" si="3"/>
        <v>1</v>
      </c>
      <c r="W25" t="str">
        <v>The Shire</v>
      </c>
      <c r="AO25" t="str">
        <v>Gemhide Sliver</v>
      </c>
      <c r="BE25" t="str">
        <v>Hare Apparent</v>
      </c>
      <c r="BI25" t="str">
        <v>Lightning Greaves</v>
      </c>
      <c r="BJ25" t="str">
        <v>Curious Farm Animals</v>
      </c>
      <c r="BL25" t="str">
        <v>Eureka Moment</v>
      </c>
      <c r="CI25" t="str">
        <f ca="1"/>
        <v>Reliquary Tower</v>
      </c>
      <c r="CJ25" t="str">
        <f ca="1"/>
        <v>Psychic Corrosion</v>
      </c>
      <c r="CO25" t="str">
        <f ca="1"/>
        <v>Warren Soultrader</v>
      </c>
      <c r="CP25" t="str">
        <f ca="1"/>
        <v>Vronos, Masked Inquisitor</v>
      </c>
      <c r="CR25" t="str">
        <f ca="1"/>
        <v>Galerider Sliver</v>
      </c>
      <c r="CW25" t="str">
        <f ca="1"/>
        <v>Magda, the Hoardmaster</v>
      </c>
      <c r="CZ25" t="str">
        <f ca="1"/>
        <v>Spirit Water Revival</v>
      </c>
      <c r="DB25" t="str">
        <f ca="1"/>
        <v>Lightning Greaves</v>
      </c>
      <c r="DC25" t="str">
        <f ca="1"/>
        <v>Curious Farm Animals</v>
      </c>
      <c r="DD25" t="str">
        <f ca="1"/>
        <v>Eureka Moment</v>
      </c>
      <c r="DP25" t="str">
        <f ca="1"/>
        <v>Farhaven Elf</v>
      </c>
      <c r="DQ25" t="str">
        <f ca="1"/>
        <v>Pestered Wellguard</v>
      </c>
      <c r="DR25" t="str">
        <f ca="1"/>
        <v>Rotating Fireplace</v>
      </c>
      <c r="DS25" t="str">
        <f ca="1"/>
        <v>Mistbind Clique</v>
      </c>
      <c r="DT25" t="str">
        <f ca="1"/>
        <v>Exotic Orchard</v>
      </c>
      <c r="DU25" t="str">
        <f ca="1"/>
        <v>Phyrexian Arena</v>
      </c>
      <c r="DW25" t="str">
        <f ca="1"/>
        <v>Magda, the Hoardmaster</v>
      </c>
      <c r="DX25" t="str">
        <f ca="1"/>
        <v>Spirit Water Revival</v>
      </c>
      <c r="DY25" t="str">
        <f ca="1"/>
        <v>Lightning Greaves</v>
      </c>
      <c r="DZ25" t="str">
        <f ca="1"/>
        <v>Blasphemous Act</v>
      </c>
      <c r="EG25" t="str">
        <f ca="1"/>
        <v>Champions of the Shoal</v>
      </c>
      <c r="EH25" t="str">
        <f ca="1"/>
        <v>Gathering Stone</v>
      </c>
      <c r="EI25" t="str">
        <f ca="1"/>
        <v>Crypt Sliver</v>
      </c>
      <c r="EJ25" t="str">
        <f ca="1"/>
        <v>Grim Affliction</v>
      </c>
      <c r="EK25" t="str">
        <f ca="1"/>
        <v>Ephara, God of the Polis</v>
      </c>
      <c r="EL25" t="str">
        <f ca="1"/>
        <v>Blasphemous Act</v>
      </c>
      <c r="EP25" t="str">
        <f ca="1"/>
        <v>Broadside Bombardiers</v>
      </c>
      <c r="EQ25" t="str">
        <f ca="1"/>
        <v>Cauldron of Souls</v>
      </c>
      <c r="ER25" t="str">
        <f ca="1"/>
        <v>Behind the Scenes</v>
      </c>
      <c r="EU25" t="str">
        <f ca="1"/>
        <v>Back in Town</v>
      </c>
      <c r="EV25" t="str">
        <f ca="1"/>
        <v>Behind the Scenes</v>
      </c>
      <c r="EX25" t="str">
        <f ca="1"/>
        <v>Arcane Lighthouse</v>
      </c>
    </row>
    <row r="26" spans="1:154" x14ac:dyDescent="0.25">
      <c r="A26" s="2" t="str">
        <f t="shared" ca="1" si="1"/>
        <v>5</v>
      </c>
      <c r="B26" s="2">
        <f t="shared" ca="1" si="2"/>
        <v>1</v>
      </c>
      <c r="C26" s="2" t="str">
        <f ca="1">IFERROR(
 INDEX($V$1:$BL$1,
  MATCH(TRUE,
   CHOOSE({1;2;3;4;5;6;7;8;9;10;11;12;13;14;15;16;17;18;19;20;21;22;23;24;25;26;27;28;29;30;31;32;33;34;35;36;37;38;39;40;41;42;43},
    COUNTIFS($V$2:$V$200,$G26)&gt;0,
    COUNTIFS($W$2:$W$200,$G26)&gt;0,
    COUNTIFS($X$2:$X$200,$G26)&gt;0,
    COUNTIFS($Y$2:$Y$200,$G26)&gt;0,
    COUNTIFS($Z$2:$Z$200,$G26)&gt;0,
    COUNTIFS($AA$2:$AA$200,$G26)&gt;0,
    COUNTIFS($AB$2:$AB$200,$G26)&gt;0,
    COUNTIFS($AC$2:$AC$200,$G26)&gt;0,
    COUNTIFS($AD$2:$AD$200,$G26)&gt;0,
    COUNTIFS($AE$2:$AE$200,$G26)&gt;0,
    COUNTIFS($AF$2:$AF$200,$G26)&gt;0,
    COUNTIFS($AG$2:$AG$200,$G26)&gt;0,
    COUNTIFS($AH$2:$AH$200,$G26)&gt;0,
    COUNTIFS($AI$2:$AI$200,$G26)&gt;0,
    COUNTIFS($AJ$2:$AJ$200,$G26)&gt;0,
    COUNTIFS($AK$2:$AK$200,$G26)&gt;0,
    COUNTIFS($AL$2:$AL$200,$G26)&gt;0,
    COUNTIFS($AM$2:$AM$200,$G26)&gt;0,
    COUNTIFS($AN$2:$AN$200,$G26)&gt;0,
    COUNTIFS($AO$2:$AO$200,$G26)&gt;0,
    COUNTIFS($AP$2:$AP$200,$G26)&gt;0,
    COUNTIFS($AQ$2:$AQ$200,$G26)&gt;0,
    COUNTIFS($AR$2:$AR$200,$G26)&gt;0,
    COUNTIFS($AS$2:$AS$200,$G26)&gt;0,
    COUNTIFS($AT$2:$AT$200,$G26)&gt;0,
    COUNTIFS($AU$2:$AU$200,$G26)&gt;0,
    COUNTIFS($AV$2:$AV$200,$G26)&gt;0,
    COUNTIFS($AW$2:$AW$200,$G26)&gt;0,
    COUNTIFS($AX$2:$AX$200,$G26)&gt;0,
    COUNTIFS($AY$2:$AY$200,$G26)&gt;0,
    COUNTIFS($AZ$2:$AZ$200,$G26)&gt;0,
    COUNTIFS($BA$2:$BA$200,$G26)&gt;0,
    COUNTIFS($BB$2:$BB$200,$G26)&gt;0,
    COUNTIFS($BC$2:$BC$200,$G26)&gt;0,
    COUNTIFS($BD$2:$BD$200,$G26)&gt;0,
    COUNTIFS($BE$2:$BE$200,$G26)&gt;0,
    COUNTIFS($BF$2:$BF$200,$G26)&gt;0,
    COUNTIFS($BG$2:$BG$200,$G26)&gt;0,
    COUNTIFS($BH$2:$BH$200,$G26)&gt;0,
    COUNTIFS($BI$2:$BI$200,$G26)&gt;0,
    COUNTIFS($BJ$2:$BJ$200,$G26)&gt;0,
    COUNTIFS($BK$2:$BK$200,$G26)&gt;0,
    COUNTIFS($BL$2:$BL$200,$G26)&gt;0,
    COUNTIFS($BM$2:$BM$200,$G26)&gt;0,
   ),
  0)
 ),
"")</f>
        <v>Yorion</v>
      </c>
      <c r="D26" s="2" t="str" cm="1">
        <f t="array" aca="1" ref="D26" ca="1">IFERROR(
 INDEX(
  _xlfn._xlws.FILTER($V$1:$AY$1,
   TRANSPOSE(
    CHOOSE({1;2;3;4;5;6;7;8;9;10;11;12;13;14;15;16;17;18;19;20;21;22;23;24;25;26;27;28;29;30},
     COUNTIFS($V$2:$V$200,$G26)&gt;0,
     COUNTIFS($W$2:$W$200,$G26)&gt;0,
     COUNTIFS($X$2:$X$200,$G26)&gt;0,
     COUNTIFS($Y$2:$Y$200,$G26)&gt;0,
     COUNTIFS($Z$2:$Z$200,$G26)&gt;0,
     COUNTIFS($AA$2:$AA$200,$G26)&gt;0,
     COUNTIFS($AB$2:$AB$200,$G26)&gt;0,
     COUNTIFS($AC$2:$AC$200,$G26)&gt;0,
     COUNTIFS($AD$2:$AD$200,$G26)&gt;0,
     COUNTIFS($AE$2:$AE$200,$G26)&gt;0,
     COUNTIFS($AF$2:$AF$200,$G26)&gt;0,
     COUNTIFS($AG$2:$AG$200,$G26)&gt;0,
     COUNTIFS($AH$2:$AH$200,$G26)&gt;0,
     COUNTIFS($AI$2:$AI$200,$G26)&gt;0,
     COUNTIFS($AJ$2:$AJ$200,$G26)&gt;0,
     COUNTIFS($AK$2:$AK$200,$G26)&gt;0,
     COUNTIFS($AL$2:$AL$200,$G26)&gt;0,
     COUNTIFS($AM$2:$AM$200,$G26)&gt;0,
     COUNTIFS($AN$2:$AN$200,$G26)&gt;0,
     COUNTIFS($AO$2:$AO$200,$G26)&gt;0,
     COUNTIFS($AP$2:$AP$200,$G26)&gt;0,
     COUNTIFS($AQ$2:$AQ$200,$G26)&gt;0,
     COUNTIFS($AR$2:$AR$200,$G26)&gt;0,
     COUNTIFS($AS$2:$AS$200,$G26)&gt;0,
     COUNTIFS($AT$2:$AT$200,$G26)&gt;0,
     COUNTIFS($AU$2:$AU$200,$G26)&gt;0,
     COUNTIFS($AV$2:$AV$200,$G26)&gt;0,
     COUNTIFS($AW$2:$AW$200,$G26)&gt;0,
     COUNTIFS($AX$2:$AX$200,$G26)&gt;0,
     COUNTIFS($AY$2:$AY$200,$G26)&gt;0
   )),
  ),
  2
 ),
"")</f>
        <v/>
      </c>
      <c r="E26" s="2" t="str" cm="1">
        <f t="array" aca="1" ref="E26" ca="1">IFERROR(
 INDEX(
  _xlfn._xlws.FILTER($V$1:$AY$1,
   TRANSPOSE(
    CHOOSE({1;2;3;4;5;6;7;8;9;10;11;12;13;14;15;16;17;18;19;20;21;22;23;24;25;26;27;28;29;30},
     COUNTIFS($V$2:$V$200,$G26)&gt;0,
     COUNTIFS($W$2:$W$200,$G26)&gt;0,
     COUNTIFS($X$2:$X$200,$G26)&gt;0,
     COUNTIFS($Y$2:$Y$200,$G26)&gt;0,
     COUNTIFS($Z$2:$Z$200,$G26)&gt;0,
     COUNTIFS($AA$2:$AA$200,$G26)&gt;0,
     COUNTIFS($AB$2:$AB$200,$G26)&gt;0,
     COUNTIFS($AC$2:$AC$200,$G26)&gt;0,
     COUNTIFS($AD$2:$AD$200,$G26)&gt;0,
     COUNTIFS($AE$2:$AE$200,$G26)&gt;0,
     COUNTIFS($AF$2:$AF$200,$G26)&gt;0,
     COUNTIFS($AG$2:$AG$200,$G26)&gt;0,
     COUNTIFS($AH$2:$AH$200,$G26)&gt;0,
     COUNTIFS($AI$2:$AI$200,$G26)&gt;0,
     COUNTIFS($AJ$2:$AJ$200,$G26)&gt;0,
     COUNTIFS($AK$2:$AK$200,$G26)&gt;0,
     COUNTIFS($AL$2:$AL$200,$G26)&gt;0,
     COUNTIFS($AM$2:$AM$200,$G26)&gt;0,
     COUNTIFS($AN$2:$AN$200,$G26)&gt;0,
     COUNTIFS($AO$2:$AO$200,$G26)&gt;0,
     COUNTIFS($AP$2:$AP$200,$G26)&gt;0,
     COUNTIFS($AQ$2:$AQ$200,$G26)&gt;0,
     COUNTIFS($AR$2:$AR$200,$G26)&gt;0,
     COUNTIFS($AS$2:$AS$200,$G26)&gt;0,
     COUNTIFS($AT$2:$AT$200,$G26)&gt;0,
     COUNTIFS($AU$2:$AU$200,$G26)&gt;0,
     COUNTIFS($AV$2:$AV$200,$G26)&gt;0,
     COUNTIFS($AW$2:$AW$200,$G26)&gt;0,
     COUNTIFS($AX$2:$AX$200,$G26)&gt;0,
     COUNTIFS($AY$2:$AY$200,$G26)&gt;0
   )),
  ),
  3
 ),
"")</f>
        <v/>
      </c>
      <c r="F26" s="2" t="str" cm="1">
        <f t="array" aca="1" ref="F26" ca="1">IFERROR(
 INDEX(
  _xlfn._xlws.FILTER($V$1:$AY$1,
   TRANSPOSE(
    CHOOSE({1;2;3;4;5;6;7;8;9;10;11;12;13;14;15;16;17;18;19;20;21;22;23;24;25;26;27;28;29;30},
     COUNTIFS($V$2:$V$200,$G26)&gt;0,
     COUNTIFS($W$2:$W$200,$G26)&gt;0,
     COUNTIFS($X$2:$X$200,$G26)&gt;0,
     COUNTIFS($Y$2:$Y$200,$G26)&gt;0,
     COUNTIFS($Z$2:$Z$200,$G26)&gt;0,
     COUNTIFS($AA$2:$AA$200,$G26)&gt;0,
     COUNTIFS($AB$2:$AB$200,$G26)&gt;0,
     COUNTIFS($AC$2:$AC$200,$G26)&gt;0,
     COUNTIFS($AD$2:$AD$200,$G26)&gt;0,
     COUNTIFS($AE$2:$AE$200,$G26)&gt;0,
     COUNTIFS($AF$2:$AF$200,$G26)&gt;0,
     COUNTIFS($AG$2:$AG$200,$G26)&gt;0,
     COUNTIFS($AH$2:$AH$200,$G26)&gt;0,
     COUNTIFS($AI$2:$AI$200,$G26)&gt;0,
     COUNTIFS($AJ$2:$AJ$200,$G26)&gt;0,
     COUNTIFS($AK$2:$AK$200,$G26)&gt;0,
     COUNTIFS($AL$2:$AL$200,$G26)&gt;0,
     COUNTIFS($AM$2:$AM$200,$G26)&gt;0,
     COUNTIFS($AN$2:$AN$200,$G26)&gt;0,
     COUNTIFS($AO$2:$AO$200,$G26)&gt;0,
     COUNTIFS($AP$2:$AP$200,$G26)&gt;0,
     COUNTIFS($AQ$2:$AQ$200,$G26)&gt;0,
     COUNTIFS($AR$2:$AR$200,$G26)&gt;0,
     COUNTIFS($AS$2:$AS$200,$G26)&gt;0,
     COUNTIFS($AT$2:$AT$200,$G26)&gt;0,
     COUNTIFS($AU$2:$AU$200,$G26)&gt;0,
     COUNTIFS($AV$2:$AV$200,$G26)&gt;0,
     COUNTIFS($AW$2:$AW$200,$G26)&gt;0,
     COUNTIFS($AX$2:$AX$200,$G26)&gt;0,
     COUNTIFS($AY$2:$AY$200,$G26)&gt;0
   )),
  ),
  4
 ),
"")</f>
        <v/>
      </c>
      <c r="G26" t="str">
        <f ca="1"/>
        <v>Archaeomancer</v>
      </c>
      <c r="H26" s="2" t="s">
        <v>424</v>
      </c>
      <c r="J26" t="s">
        <v>186</v>
      </c>
      <c r="K26" s="2">
        <f>[1]Zuko!G2</f>
        <v>52</v>
      </c>
      <c r="L26" s="2" t="s">
        <v>2</v>
      </c>
      <c r="M26" s="2" t="s">
        <v>3</v>
      </c>
      <c r="N26" s="2" t="s">
        <v>2</v>
      </c>
      <c r="O26" s="2" t="s">
        <v>2</v>
      </c>
      <c r="P26" s="2" t="s">
        <v>3</v>
      </c>
      <c r="Q26" s="2" t="s">
        <v>1</v>
      </c>
      <c r="R26" s="2" t="s">
        <v>0</v>
      </c>
      <c r="S26" s="2" t="s">
        <v>187</v>
      </c>
      <c r="T26" s="2" t="str">
        <f>IF(K26&lt;6,"1",IF(K26&lt;11,"2",IF(K26&lt;16,"3",IF(K26&lt;31,"4","5"))))</f>
        <v>5</v>
      </c>
      <c r="W26" t="str">
        <v>Virtue of Loyalty // Ardenvale Fealty</v>
      </c>
      <c r="AO26" t="str">
        <v>Godless Shrine</v>
      </c>
      <c r="BE26" t="str">
        <v>Hare Apparent</v>
      </c>
      <c r="BI26" t="str">
        <v>Long-Range Sensor</v>
      </c>
      <c r="BJ26" t="str">
        <v>Dollmaker's Shop // Porcelain Gallery</v>
      </c>
      <c r="BL26" t="str">
        <v>Evacuation</v>
      </c>
      <c r="CI26" t="str">
        <f ca="1"/>
        <v>Return from the Wilds</v>
      </c>
      <c r="CJ26" t="str">
        <f ca="1"/>
        <v>Reforge the Soul</v>
      </c>
      <c r="CO26" t="str">
        <f ca="1"/>
        <v>Watery Grave</v>
      </c>
      <c r="CR26" t="str">
        <f ca="1"/>
        <v>Gemhide Sliver</v>
      </c>
      <c r="CW26" t="str">
        <f ca="1"/>
        <v>Mountain</v>
      </c>
      <c r="CZ26" t="str">
        <f ca="1"/>
        <v>Splash Portal</v>
      </c>
      <c r="DB26" t="str">
        <f ca="1"/>
        <v>Long-Range Sensor</v>
      </c>
      <c r="DC26" t="str">
        <f ca="1"/>
        <v>Dollmaker's Shop // Porcelain Gallery</v>
      </c>
      <c r="DD26" t="str">
        <f ca="1"/>
        <v>Evacuation</v>
      </c>
      <c r="DP26" t="str">
        <f ca="1"/>
        <v>Farmer Cotton</v>
      </c>
      <c r="DQ26" t="str">
        <f ca="1"/>
        <v>Raven Eagle</v>
      </c>
      <c r="DR26" t="str">
        <f ca="1"/>
        <v>Sonic Screwdriver</v>
      </c>
      <c r="DS26" t="str">
        <f ca="1"/>
        <v>Molten Echoes</v>
      </c>
      <c r="DT26" t="str">
        <f ca="1"/>
        <v>Forest</v>
      </c>
      <c r="DU26" t="str">
        <f ca="1"/>
        <v>Red XIII, Proud Warrior</v>
      </c>
      <c r="DW26" t="str">
        <f ca="1"/>
        <v>Mountain</v>
      </c>
      <c r="DX26" t="str">
        <f ca="1"/>
        <v>Splash Portal</v>
      </c>
      <c r="DY26" t="str">
        <f ca="1"/>
        <v>Long-Range Sensor</v>
      </c>
      <c r="DZ26" t="str">
        <f ca="1"/>
        <v>Bojuka Bog</v>
      </c>
      <c r="EG26" t="str">
        <f ca="1"/>
        <v>Chaos Warp</v>
      </c>
      <c r="EH26" t="str">
        <f ca="1"/>
        <v>Glasspool Mimic</v>
      </c>
      <c r="EI26" t="str">
        <f ca="1"/>
        <v>Crystalline Sliver</v>
      </c>
      <c r="EJ26" t="str">
        <f ca="1"/>
        <v>Haywire Mite</v>
      </c>
      <c r="EK26" t="str">
        <f ca="1"/>
        <v>Ephemerate</v>
      </c>
      <c r="EL26" t="str">
        <f ca="1"/>
        <v>Bojuka Bog</v>
      </c>
      <c r="EP26" t="str">
        <f ca="1"/>
        <v>Brushland</v>
      </c>
      <c r="EQ26" t="str">
        <f ca="1"/>
        <v>Cavern of Souls</v>
      </c>
      <c r="ER26" t="str">
        <f ca="1"/>
        <v>Beifong's Bounty Hunters</v>
      </c>
      <c r="EU26" t="str">
        <f ca="1"/>
        <v>Baral, Chief of Compliance</v>
      </c>
      <c r="EV26" t="str">
        <f ca="1"/>
        <v>Beifong's Bounty Hunters</v>
      </c>
      <c r="EX26" t="str">
        <f ca="1"/>
        <v>Archaeomancer</v>
      </c>
    </row>
    <row r="27" spans="1:154" x14ac:dyDescent="0.25">
      <c r="A27" s="2" t="str">
        <f t="shared" ca="1" si="1"/>
        <v>5</v>
      </c>
      <c r="B27" s="2">
        <f t="shared" ca="1" si="2"/>
        <v>1</v>
      </c>
      <c r="C27" s="2" t="str">
        <f ca="1">IFERROR(
 INDEX($V$1:$BL$1,
  MATCH(TRUE,
   CHOOSE({1;2;3;4;5;6;7;8;9;10;11;12;13;14;15;16;17;18;19;20;21;22;23;24;25;26;27;28;29;30;31;32;33;34;35;36;37;38;39;40;41;42;43},
    COUNTIFS($V$2:$V$200,$G27)&gt;0,
    COUNTIFS($W$2:$W$200,$G27)&gt;0,
    COUNTIFS($X$2:$X$200,$G27)&gt;0,
    COUNTIFS($Y$2:$Y$200,$G27)&gt;0,
    COUNTIFS($Z$2:$Z$200,$G27)&gt;0,
    COUNTIFS($AA$2:$AA$200,$G27)&gt;0,
    COUNTIFS($AB$2:$AB$200,$G27)&gt;0,
    COUNTIFS($AC$2:$AC$200,$G27)&gt;0,
    COUNTIFS($AD$2:$AD$200,$G27)&gt;0,
    COUNTIFS($AE$2:$AE$200,$G27)&gt;0,
    COUNTIFS($AF$2:$AF$200,$G27)&gt;0,
    COUNTIFS($AG$2:$AG$200,$G27)&gt;0,
    COUNTIFS($AH$2:$AH$200,$G27)&gt;0,
    COUNTIFS($AI$2:$AI$200,$G27)&gt;0,
    COUNTIFS($AJ$2:$AJ$200,$G27)&gt;0,
    COUNTIFS($AK$2:$AK$200,$G27)&gt;0,
    COUNTIFS($AL$2:$AL$200,$G27)&gt;0,
    COUNTIFS($AM$2:$AM$200,$G27)&gt;0,
    COUNTIFS($AN$2:$AN$200,$G27)&gt;0,
    COUNTIFS($AO$2:$AO$200,$G27)&gt;0,
    COUNTIFS($AP$2:$AP$200,$G27)&gt;0,
    COUNTIFS($AQ$2:$AQ$200,$G27)&gt;0,
    COUNTIFS($AR$2:$AR$200,$G27)&gt;0,
    COUNTIFS($AS$2:$AS$200,$G27)&gt;0,
    COUNTIFS($AT$2:$AT$200,$G27)&gt;0,
    COUNTIFS($AU$2:$AU$200,$G27)&gt;0,
    COUNTIFS($AV$2:$AV$200,$G27)&gt;0,
    COUNTIFS($AW$2:$AW$200,$G27)&gt;0,
    COUNTIFS($AX$2:$AX$200,$G27)&gt;0,
    COUNTIFS($AY$2:$AY$200,$G27)&gt;0,
    COUNTIFS($AZ$2:$AZ$200,$G27)&gt;0,
    COUNTIFS($BA$2:$BA$200,$G27)&gt;0,
    COUNTIFS($BB$2:$BB$200,$G27)&gt;0,
    COUNTIFS($BC$2:$BC$200,$G27)&gt;0,
    COUNTIFS($BD$2:$BD$200,$G27)&gt;0,
    COUNTIFS($BE$2:$BE$200,$G27)&gt;0,
    COUNTIFS($BF$2:$BF$200,$G27)&gt;0,
    COUNTIFS($BG$2:$BG$200,$G27)&gt;0,
    COUNTIFS($BH$2:$BH$200,$G27)&gt;0,
    COUNTIFS($BI$2:$BI$200,$G27)&gt;0,
    COUNTIFS($BJ$2:$BJ$200,$G27)&gt;0,
    COUNTIFS($BK$2:$BK$200,$G27)&gt;0,
    COUNTIFS($BL$2:$BL$200,$G27)&gt;0,
    COUNTIFS($BM$2:$BM$200,$G27)&gt;0,
   ),
  0)
 ),
"")</f>
        <v>4cRash</v>
      </c>
      <c r="D27" s="2" t="str" cm="1">
        <f t="array" aca="1" ref="D27" ca="1">IFERROR(
 INDEX(
  _xlfn._xlws.FILTER($V$1:$AY$1,
   TRANSPOSE(
    CHOOSE({1;2;3;4;5;6;7;8;9;10;11;12;13;14;15;16;17;18;19;20;21;22;23;24;25;26;27;28;29;30},
     COUNTIFS($V$2:$V$200,$G27)&gt;0,
     COUNTIFS($W$2:$W$200,$G27)&gt;0,
     COUNTIFS($X$2:$X$200,$G27)&gt;0,
     COUNTIFS($Y$2:$Y$200,$G27)&gt;0,
     COUNTIFS($Z$2:$Z$200,$G27)&gt;0,
     COUNTIFS($AA$2:$AA$200,$G27)&gt;0,
     COUNTIFS($AB$2:$AB$200,$G27)&gt;0,
     COUNTIFS($AC$2:$AC$200,$G27)&gt;0,
     COUNTIFS($AD$2:$AD$200,$G27)&gt;0,
     COUNTIFS($AE$2:$AE$200,$G27)&gt;0,
     COUNTIFS($AF$2:$AF$200,$G27)&gt;0,
     COUNTIFS($AG$2:$AG$200,$G27)&gt;0,
     COUNTIFS($AH$2:$AH$200,$G27)&gt;0,
     COUNTIFS($AI$2:$AI$200,$G27)&gt;0,
     COUNTIFS($AJ$2:$AJ$200,$G27)&gt;0,
     COUNTIFS($AK$2:$AK$200,$G27)&gt;0,
     COUNTIFS($AL$2:$AL$200,$G27)&gt;0,
     COUNTIFS($AM$2:$AM$200,$G27)&gt;0,
     COUNTIFS($AN$2:$AN$200,$G27)&gt;0,
     COUNTIFS($AO$2:$AO$200,$G27)&gt;0,
     COUNTIFS($AP$2:$AP$200,$G27)&gt;0,
     COUNTIFS($AQ$2:$AQ$200,$G27)&gt;0,
     COUNTIFS($AR$2:$AR$200,$G27)&gt;0,
     COUNTIFS($AS$2:$AS$200,$G27)&gt;0,
     COUNTIFS($AT$2:$AT$200,$G27)&gt;0,
     COUNTIFS($AU$2:$AU$200,$G27)&gt;0,
     COUNTIFS($AV$2:$AV$200,$G27)&gt;0,
     COUNTIFS($AW$2:$AW$200,$G27)&gt;0,
     COUNTIFS($AX$2:$AX$200,$G27)&gt;0,
     COUNTIFS($AY$2:$AY$200,$G27)&gt;0
   )),
  ),
  2
 ),
"")</f>
        <v/>
      </c>
      <c r="E27" s="2" t="str" cm="1">
        <f t="array" aca="1" ref="E27" ca="1">IFERROR(
 INDEX(
  _xlfn._xlws.FILTER($V$1:$AY$1,
   TRANSPOSE(
    CHOOSE({1;2;3;4;5;6;7;8;9;10;11;12;13;14;15;16;17;18;19;20;21;22;23;24;25;26;27;28;29;30},
     COUNTIFS($V$2:$V$200,$G27)&gt;0,
     COUNTIFS($W$2:$W$200,$G27)&gt;0,
     COUNTIFS($X$2:$X$200,$G27)&gt;0,
     COUNTIFS($Y$2:$Y$200,$G27)&gt;0,
     COUNTIFS($Z$2:$Z$200,$G27)&gt;0,
     COUNTIFS($AA$2:$AA$200,$G27)&gt;0,
     COUNTIFS($AB$2:$AB$200,$G27)&gt;0,
     COUNTIFS($AC$2:$AC$200,$G27)&gt;0,
     COUNTIFS($AD$2:$AD$200,$G27)&gt;0,
     COUNTIFS($AE$2:$AE$200,$G27)&gt;0,
     COUNTIFS($AF$2:$AF$200,$G27)&gt;0,
     COUNTIFS($AG$2:$AG$200,$G27)&gt;0,
     COUNTIFS($AH$2:$AH$200,$G27)&gt;0,
     COUNTIFS($AI$2:$AI$200,$G27)&gt;0,
     COUNTIFS($AJ$2:$AJ$200,$G27)&gt;0,
     COUNTIFS($AK$2:$AK$200,$G27)&gt;0,
     COUNTIFS($AL$2:$AL$200,$G27)&gt;0,
     COUNTIFS($AM$2:$AM$200,$G27)&gt;0,
     COUNTIFS($AN$2:$AN$200,$G27)&gt;0,
     COUNTIFS($AO$2:$AO$200,$G27)&gt;0,
     COUNTIFS($AP$2:$AP$200,$G27)&gt;0,
     COUNTIFS($AQ$2:$AQ$200,$G27)&gt;0,
     COUNTIFS($AR$2:$AR$200,$G27)&gt;0,
     COUNTIFS($AS$2:$AS$200,$G27)&gt;0,
     COUNTIFS($AT$2:$AT$200,$G27)&gt;0,
     COUNTIFS($AU$2:$AU$200,$G27)&gt;0,
     COUNTIFS($AV$2:$AV$200,$G27)&gt;0,
     COUNTIFS($AW$2:$AW$200,$G27)&gt;0,
     COUNTIFS($AX$2:$AX$200,$G27)&gt;0,
     COUNTIFS($AY$2:$AY$200,$G27)&gt;0
   )),
  ),
  3
 ),
"")</f>
        <v/>
      </c>
      <c r="F27" s="2" t="str" cm="1">
        <f t="array" aca="1" ref="F27" ca="1">IFERROR(
 INDEX(
  _xlfn._xlws.FILTER($V$1:$AY$1,
   TRANSPOSE(
    CHOOSE({1;2;3;4;5;6;7;8;9;10;11;12;13;14;15;16;17;18;19;20;21;22;23;24;25;26;27;28;29;30},
     COUNTIFS($V$2:$V$200,$G27)&gt;0,
     COUNTIFS($W$2:$W$200,$G27)&gt;0,
     COUNTIFS($X$2:$X$200,$G27)&gt;0,
     COUNTIFS($Y$2:$Y$200,$G27)&gt;0,
     COUNTIFS($Z$2:$Z$200,$G27)&gt;0,
     COUNTIFS($AA$2:$AA$200,$G27)&gt;0,
     COUNTIFS($AB$2:$AB$200,$G27)&gt;0,
     COUNTIFS($AC$2:$AC$200,$G27)&gt;0,
     COUNTIFS($AD$2:$AD$200,$G27)&gt;0,
     COUNTIFS($AE$2:$AE$200,$G27)&gt;0,
     COUNTIFS($AF$2:$AF$200,$G27)&gt;0,
     COUNTIFS($AG$2:$AG$200,$G27)&gt;0,
     COUNTIFS($AH$2:$AH$200,$G27)&gt;0,
     COUNTIFS($AI$2:$AI$200,$G27)&gt;0,
     COUNTIFS($AJ$2:$AJ$200,$G27)&gt;0,
     COUNTIFS($AK$2:$AK$200,$G27)&gt;0,
     COUNTIFS($AL$2:$AL$200,$G27)&gt;0,
     COUNTIFS($AM$2:$AM$200,$G27)&gt;0,
     COUNTIFS($AN$2:$AN$200,$G27)&gt;0,
     COUNTIFS($AO$2:$AO$200,$G27)&gt;0,
     COUNTIFS($AP$2:$AP$200,$G27)&gt;0,
     COUNTIFS($AQ$2:$AQ$200,$G27)&gt;0,
     COUNTIFS($AR$2:$AR$200,$G27)&gt;0,
     COUNTIFS($AS$2:$AS$200,$G27)&gt;0,
     COUNTIFS($AT$2:$AT$200,$G27)&gt;0,
     COUNTIFS($AU$2:$AU$200,$G27)&gt;0,
     COUNTIFS($AV$2:$AV$200,$G27)&gt;0,
     COUNTIFS($AW$2:$AW$200,$G27)&gt;0,
     COUNTIFS($AX$2:$AX$200,$G27)&gt;0,
     COUNTIFS($AY$2:$AY$200,$G27)&gt;0
   )),
  ),
  4
 ),
"")</f>
        <v/>
      </c>
      <c r="G27" t="str">
        <f ca="1"/>
        <v>Archdruid's Charm</v>
      </c>
      <c r="H27" s="2" t="s">
        <v>423</v>
      </c>
      <c r="J27" t="s">
        <v>61</v>
      </c>
      <c r="K27" s="2">
        <f>[1]Baylen!G2</f>
        <v>26</v>
      </c>
      <c r="L27" s="2" t="s">
        <v>2</v>
      </c>
      <c r="M27" s="2" t="s">
        <v>3</v>
      </c>
      <c r="N27" s="2" t="s">
        <v>2</v>
      </c>
      <c r="O27" s="2" t="s">
        <v>3</v>
      </c>
      <c r="P27" s="2" t="s">
        <v>2</v>
      </c>
      <c r="Q27" s="2" t="s">
        <v>0</v>
      </c>
      <c r="R27" s="2" t="s">
        <v>1</v>
      </c>
      <c r="S27" s="2" t="s">
        <v>60</v>
      </c>
      <c r="T27" s="2" t="str">
        <f>IF(K27&lt;6,"1",IF(K27&lt;11,"2",IF(K27&lt;16,"3",IF(K27&lt;31,"4","5"))))</f>
        <v>4</v>
      </c>
      <c r="W27" t="str">
        <v>Warleader's Call</v>
      </c>
      <c r="AO27" t="str">
        <v>Hallowed Fountain</v>
      </c>
      <c r="BE27" t="str">
        <v>Hare Apparent</v>
      </c>
      <c r="BI27" t="str">
        <v>Merchant of Truth</v>
      </c>
      <c r="BJ27" t="str">
        <v>Dragonskull Summit</v>
      </c>
      <c r="BL27" t="str">
        <v>Exalted Flamer of Tzeentch</v>
      </c>
      <c r="CI27" t="str">
        <f ca="1"/>
        <v>Secret Tunnel</v>
      </c>
      <c r="CJ27" t="str">
        <f ca="1"/>
        <v>Reyhan, Last of the Abzan</v>
      </c>
      <c r="CR27" t="str">
        <f ca="1"/>
        <v>Godless Shrine</v>
      </c>
      <c r="CW27" t="str">
        <f ca="1"/>
        <v>Nest of Scarabs</v>
      </c>
      <c r="CZ27" t="str">
        <f ca="1"/>
        <v>Starfield Vocalist</v>
      </c>
      <c r="DB27" t="str">
        <f ca="1"/>
        <v>Merchant of Truth</v>
      </c>
      <c r="DC27" t="str">
        <f ca="1"/>
        <v>Dragonskull Summit</v>
      </c>
      <c r="DD27" t="str">
        <f ca="1"/>
        <v>Exalted Flamer of Tzeentch</v>
      </c>
      <c r="DP27" t="str">
        <f ca="1"/>
        <v>Gavony Township</v>
      </c>
      <c r="DQ27" t="str">
        <f ca="1"/>
        <v>Reliquary Tower</v>
      </c>
      <c r="DR27" t="str">
        <f ca="1"/>
        <v>Spectator Seating</v>
      </c>
      <c r="DS27" t="str">
        <f ca="1"/>
        <v>Morphic Pool</v>
      </c>
      <c r="DT27" t="str">
        <f ca="1"/>
        <v>Galerider Sliver</v>
      </c>
      <c r="DU27" t="str">
        <f ca="1"/>
        <v>Reflecting Pool</v>
      </c>
      <c r="DW27" t="str">
        <f ca="1"/>
        <v>Nest of Scarabs</v>
      </c>
      <c r="DX27" t="str">
        <f ca="1"/>
        <v>Starfield Vocalist</v>
      </c>
      <c r="DY27" t="str">
        <f ca="1"/>
        <v>Merchant of Truth</v>
      </c>
      <c r="DZ27" t="str">
        <f ca="1"/>
        <v>Bre of Clan Stoutarm</v>
      </c>
      <c r="EG27" t="str">
        <f ca="1"/>
        <v>Clever Concealment</v>
      </c>
      <c r="EH27" t="str">
        <f ca="1"/>
        <v>Glen Elendra's Answer</v>
      </c>
      <c r="EI27" t="str">
        <f ca="1"/>
        <v>Daretti, Ingenious Iconoclast</v>
      </c>
      <c r="EJ27" t="str">
        <f ca="1"/>
        <v>Heirloom Auntie</v>
      </c>
      <c r="EK27" t="str">
        <f ca="1"/>
        <v>Felidar Guardian</v>
      </c>
      <c r="EL27" t="str">
        <f ca="1"/>
        <v>Bre of Clan Stoutarm</v>
      </c>
      <c r="EP27" t="str">
        <f ca="1"/>
        <v>Burgeoning</v>
      </c>
      <c r="EQ27" t="str">
        <f ca="1"/>
        <v>Chandra's Ignition</v>
      </c>
      <c r="ER27" t="str">
        <f ca="1"/>
        <v>Billiard Room</v>
      </c>
      <c r="EU27" t="str">
        <f ca="1"/>
        <v>Basal Sliver</v>
      </c>
      <c r="EV27" t="str">
        <f ca="1"/>
        <v>Billiard Room</v>
      </c>
      <c r="EX27" t="str">
        <f ca="1"/>
        <v>Archdruid's Charm</v>
      </c>
    </row>
    <row r="28" spans="1:154" x14ac:dyDescent="0.25">
      <c r="A28" s="2" t="str">
        <f t="shared" ca="1" si="1"/>
        <v>2</v>
      </c>
      <c r="B28" s="2">
        <f t="shared" ca="1" si="2"/>
        <v>1</v>
      </c>
      <c r="C28" s="2" t="str">
        <f ca="1">IFERROR(
 INDEX($V$1:$BL$1,
  MATCH(TRUE,
   CHOOSE({1;2;3;4;5;6;7;8;9;10;11;12;13;14;15;16;17;18;19;20;21;22;23;24;25;26;27;28;29;30;31;32;33;34;35;36;37;38;39;40;41;42;43},
    COUNTIFS($V$2:$V$200,$G28)&gt;0,
    COUNTIFS($W$2:$W$200,$G28)&gt;0,
    COUNTIFS($X$2:$X$200,$G28)&gt;0,
    COUNTIFS($Y$2:$Y$200,$G28)&gt;0,
    COUNTIFS($Z$2:$Z$200,$G28)&gt;0,
    COUNTIFS($AA$2:$AA$200,$G28)&gt;0,
    COUNTIFS($AB$2:$AB$200,$G28)&gt;0,
    COUNTIFS($AC$2:$AC$200,$G28)&gt;0,
    COUNTIFS($AD$2:$AD$200,$G28)&gt;0,
    COUNTIFS($AE$2:$AE$200,$G28)&gt;0,
    COUNTIFS($AF$2:$AF$200,$G28)&gt;0,
    COUNTIFS($AG$2:$AG$200,$G28)&gt;0,
    COUNTIFS($AH$2:$AH$200,$G28)&gt;0,
    COUNTIFS($AI$2:$AI$200,$G28)&gt;0,
    COUNTIFS($AJ$2:$AJ$200,$G28)&gt;0,
    COUNTIFS($AK$2:$AK$200,$G28)&gt;0,
    COUNTIFS($AL$2:$AL$200,$G28)&gt;0,
    COUNTIFS($AM$2:$AM$200,$G28)&gt;0,
    COUNTIFS($AN$2:$AN$200,$G28)&gt;0,
    COUNTIFS($AO$2:$AO$200,$G28)&gt;0,
    COUNTIFS($AP$2:$AP$200,$G28)&gt;0,
    COUNTIFS($AQ$2:$AQ$200,$G28)&gt;0,
    COUNTIFS($AR$2:$AR$200,$G28)&gt;0,
    COUNTIFS($AS$2:$AS$200,$G28)&gt;0,
    COUNTIFS($AT$2:$AT$200,$G28)&gt;0,
    COUNTIFS($AU$2:$AU$200,$G28)&gt;0,
    COUNTIFS($AV$2:$AV$200,$G28)&gt;0,
    COUNTIFS($AW$2:$AW$200,$G28)&gt;0,
    COUNTIFS($AX$2:$AX$200,$G28)&gt;0,
    COUNTIFS($AY$2:$AY$200,$G28)&gt;0,
    COUNTIFS($AZ$2:$AZ$200,$G28)&gt;0,
    COUNTIFS($BA$2:$BA$200,$G28)&gt;0,
    COUNTIFS($BB$2:$BB$200,$G28)&gt;0,
    COUNTIFS($BC$2:$BC$200,$G28)&gt;0,
    COUNTIFS($BD$2:$BD$200,$G28)&gt;0,
    COUNTIFS($BE$2:$BE$200,$G28)&gt;0,
    COUNTIFS($BF$2:$BF$200,$G28)&gt;0,
    COUNTIFS($BG$2:$BG$200,$G28)&gt;0,
    COUNTIFS($BH$2:$BH$200,$G28)&gt;0,
    COUNTIFS($BI$2:$BI$200,$G28)&gt;0,
    COUNTIFS($BJ$2:$BJ$200,$G28)&gt;0,
    COUNTIFS($BK$2:$BK$200,$G28)&gt;0,
    COUNTIFS($BL$2:$BL$200,$G28)&gt;0,
    COUNTIFS($BM$2:$BM$200,$G28)&gt;0,
   ),
  0)
 ),
"")</f>
        <v>VialIshai</v>
      </c>
      <c r="D28" s="2" t="str" cm="1">
        <f t="array" aca="1" ref="D28" ca="1">IFERROR(
 INDEX(
  _xlfn._xlws.FILTER($V$1:$AY$1,
   TRANSPOSE(
    CHOOSE({1;2;3;4;5;6;7;8;9;10;11;12;13;14;15;16;17;18;19;20;21;22;23;24;25;26;27;28;29;30},
     COUNTIFS($V$2:$V$200,$G28)&gt;0,
     COUNTIFS($W$2:$W$200,$G28)&gt;0,
     COUNTIFS($X$2:$X$200,$G28)&gt;0,
     COUNTIFS($Y$2:$Y$200,$G28)&gt;0,
     COUNTIFS($Z$2:$Z$200,$G28)&gt;0,
     COUNTIFS($AA$2:$AA$200,$G28)&gt;0,
     COUNTIFS($AB$2:$AB$200,$G28)&gt;0,
     COUNTIFS($AC$2:$AC$200,$G28)&gt;0,
     COUNTIFS($AD$2:$AD$200,$G28)&gt;0,
     COUNTIFS($AE$2:$AE$200,$G28)&gt;0,
     COUNTIFS($AF$2:$AF$200,$G28)&gt;0,
     COUNTIFS($AG$2:$AG$200,$G28)&gt;0,
     COUNTIFS($AH$2:$AH$200,$G28)&gt;0,
     COUNTIFS($AI$2:$AI$200,$G28)&gt;0,
     COUNTIFS($AJ$2:$AJ$200,$G28)&gt;0,
     COUNTIFS($AK$2:$AK$200,$G28)&gt;0,
     COUNTIFS($AL$2:$AL$200,$G28)&gt;0,
     COUNTIFS($AM$2:$AM$200,$G28)&gt;0,
     COUNTIFS($AN$2:$AN$200,$G28)&gt;0,
     COUNTIFS($AO$2:$AO$200,$G28)&gt;0,
     COUNTIFS($AP$2:$AP$200,$G28)&gt;0,
     COUNTIFS($AQ$2:$AQ$200,$G28)&gt;0,
     COUNTIFS($AR$2:$AR$200,$G28)&gt;0,
     COUNTIFS($AS$2:$AS$200,$G28)&gt;0,
     COUNTIFS($AT$2:$AT$200,$G28)&gt;0,
     COUNTIFS($AU$2:$AU$200,$G28)&gt;0,
     COUNTIFS($AV$2:$AV$200,$G28)&gt;0,
     COUNTIFS($AW$2:$AW$200,$G28)&gt;0,
     COUNTIFS($AX$2:$AX$200,$G28)&gt;0,
     COUNTIFS($AY$2:$AY$200,$G28)&gt;0
   )),
  ),
  2
 ),
"")</f>
        <v/>
      </c>
      <c r="E28" s="2" t="str" cm="1">
        <f t="array" aca="1" ref="E28" ca="1">IFERROR(
 INDEX(
  _xlfn._xlws.FILTER($V$1:$AY$1,
   TRANSPOSE(
    CHOOSE({1;2;3;4;5;6;7;8;9;10;11;12;13;14;15;16;17;18;19;20;21;22;23;24;25;26;27;28;29;30},
     COUNTIFS($V$2:$V$200,$G28)&gt;0,
     COUNTIFS($W$2:$W$200,$G28)&gt;0,
     COUNTIFS($X$2:$X$200,$G28)&gt;0,
     COUNTIFS($Y$2:$Y$200,$G28)&gt;0,
     COUNTIFS($Z$2:$Z$200,$G28)&gt;0,
     COUNTIFS($AA$2:$AA$200,$G28)&gt;0,
     COUNTIFS($AB$2:$AB$200,$G28)&gt;0,
     COUNTIFS($AC$2:$AC$200,$G28)&gt;0,
     COUNTIFS($AD$2:$AD$200,$G28)&gt;0,
     COUNTIFS($AE$2:$AE$200,$G28)&gt;0,
     COUNTIFS($AF$2:$AF$200,$G28)&gt;0,
     COUNTIFS($AG$2:$AG$200,$G28)&gt;0,
     COUNTIFS($AH$2:$AH$200,$G28)&gt;0,
     COUNTIFS($AI$2:$AI$200,$G28)&gt;0,
     COUNTIFS($AJ$2:$AJ$200,$G28)&gt;0,
     COUNTIFS($AK$2:$AK$200,$G28)&gt;0,
     COUNTIFS($AL$2:$AL$200,$G28)&gt;0,
     COUNTIFS($AM$2:$AM$200,$G28)&gt;0,
     COUNTIFS($AN$2:$AN$200,$G28)&gt;0,
     COUNTIFS($AO$2:$AO$200,$G28)&gt;0,
     COUNTIFS($AP$2:$AP$200,$G28)&gt;0,
     COUNTIFS($AQ$2:$AQ$200,$G28)&gt;0,
     COUNTIFS($AR$2:$AR$200,$G28)&gt;0,
     COUNTIFS($AS$2:$AS$200,$G28)&gt;0,
     COUNTIFS($AT$2:$AT$200,$G28)&gt;0,
     COUNTIFS($AU$2:$AU$200,$G28)&gt;0,
     COUNTIFS($AV$2:$AV$200,$G28)&gt;0,
     COUNTIFS($AW$2:$AW$200,$G28)&gt;0,
     COUNTIFS($AX$2:$AX$200,$G28)&gt;0,
     COUNTIFS($AY$2:$AY$200,$G28)&gt;0
   )),
  ),
  3
 ),
"")</f>
        <v/>
      </c>
      <c r="F28" s="2" t="str" cm="1">
        <f t="array" aca="1" ref="F28" ca="1">IFERROR(
 INDEX(
  _xlfn._xlws.FILTER($V$1:$AY$1,
   TRANSPOSE(
    CHOOSE({1;2;3;4;5;6;7;8;9;10;11;12;13;14;15;16;17;18;19;20;21;22;23;24;25;26;27;28;29;30},
     COUNTIFS($V$2:$V$200,$G28)&gt;0,
     COUNTIFS($W$2:$W$200,$G28)&gt;0,
     COUNTIFS($X$2:$X$200,$G28)&gt;0,
     COUNTIFS($Y$2:$Y$200,$G28)&gt;0,
     COUNTIFS($Z$2:$Z$200,$G28)&gt;0,
     COUNTIFS($AA$2:$AA$200,$G28)&gt;0,
     COUNTIFS($AB$2:$AB$200,$G28)&gt;0,
     COUNTIFS($AC$2:$AC$200,$G28)&gt;0,
     COUNTIFS($AD$2:$AD$200,$G28)&gt;0,
     COUNTIFS($AE$2:$AE$200,$G28)&gt;0,
     COUNTIFS($AF$2:$AF$200,$G28)&gt;0,
     COUNTIFS($AG$2:$AG$200,$G28)&gt;0,
     COUNTIFS($AH$2:$AH$200,$G28)&gt;0,
     COUNTIFS($AI$2:$AI$200,$G28)&gt;0,
     COUNTIFS($AJ$2:$AJ$200,$G28)&gt;0,
     COUNTIFS($AK$2:$AK$200,$G28)&gt;0,
     COUNTIFS($AL$2:$AL$200,$G28)&gt;0,
     COUNTIFS($AM$2:$AM$200,$G28)&gt;0,
     COUNTIFS($AN$2:$AN$200,$G28)&gt;0,
     COUNTIFS($AO$2:$AO$200,$G28)&gt;0,
     COUNTIFS($AP$2:$AP$200,$G28)&gt;0,
     COUNTIFS($AQ$2:$AQ$200,$G28)&gt;0,
     COUNTIFS($AR$2:$AR$200,$G28)&gt;0,
     COUNTIFS($AS$2:$AS$200,$G28)&gt;0,
     COUNTIFS($AT$2:$AT$200,$G28)&gt;0,
     COUNTIFS($AU$2:$AU$200,$G28)&gt;0,
     COUNTIFS($AV$2:$AV$200,$G28)&gt;0,
     COUNTIFS($AW$2:$AW$200,$G28)&gt;0,
     COUNTIFS($AX$2:$AX$200,$G28)&gt;0,
     COUNTIFS($AY$2:$AY$200,$G28)&gt;0
   )),
  ),
  4
 ),
"")</f>
        <v/>
      </c>
      <c r="G28" t="str">
        <f ca="1"/>
        <v>Arid Mesa</v>
      </c>
      <c r="J28" t="s">
        <v>5</v>
      </c>
      <c r="K28" s="2">
        <f>[1]Modular!G2</f>
        <v>27</v>
      </c>
      <c r="L28" s="2" t="s">
        <v>2</v>
      </c>
      <c r="M28" s="2" t="s">
        <v>3</v>
      </c>
      <c r="N28" s="2" t="s">
        <v>2</v>
      </c>
      <c r="O28" s="2" t="s">
        <v>3</v>
      </c>
      <c r="P28" s="2" t="s">
        <v>2</v>
      </c>
      <c r="Q28" s="2" t="s">
        <v>1</v>
      </c>
      <c r="S28" s="2" t="s">
        <v>181</v>
      </c>
      <c r="T28" s="2" t="str">
        <f t="shared" ref="T28" si="4">IF(K28&lt;6,"1",IF(K28&lt;11,"2",IF(K28&lt;16,"3",IF(K28&lt;31,"4","5"))))</f>
        <v>4</v>
      </c>
      <c r="AO28" t="str">
        <v>Harmonic Sliver</v>
      </c>
      <c r="BE28" t="str">
        <v>Hare Apparent</v>
      </c>
      <c r="BI28" t="str">
        <v>Monk Gyatso</v>
      </c>
      <c r="BJ28" t="str">
        <v>Dusk // Dawn</v>
      </c>
      <c r="BL28" t="str">
        <v>Exotic Orchard</v>
      </c>
      <c r="CI28" t="str">
        <f ca="1"/>
        <v>Seedborn Muse</v>
      </c>
      <c r="CJ28" t="str">
        <f ca="1"/>
        <v>Slash the Ranks</v>
      </c>
      <c r="CR28" t="str">
        <f ca="1"/>
        <v>Hallowed Fountain</v>
      </c>
      <c r="CW28" t="str">
        <f ca="1"/>
        <v>Obelisk Spider</v>
      </c>
      <c r="CZ28" t="str">
        <f ca="1"/>
        <v>Thought Vessel</v>
      </c>
      <c r="DB28" t="str">
        <f ca="1"/>
        <v>Monk Gyatso</v>
      </c>
      <c r="DC28" t="str">
        <f ca="1"/>
        <v>Dusk // Dawn</v>
      </c>
      <c r="DD28" t="str">
        <f ca="1"/>
        <v>Exotic Orchard</v>
      </c>
      <c r="DP28" t="str">
        <f ca="1"/>
        <v>Ghostly Prison</v>
      </c>
      <c r="DQ28" t="str">
        <f ca="1"/>
        <v>Rogue's Passage</v>
      </c>
      <c r="DR28" t="str">
        <f ca="1"/>
        <v>Takenuma, Abandoned Mire</v>
      </c>
      <c r="DS28" t="str">
        <f ca="1"/>
        <v>Nicol Bolas, God-Pharaoh</v>
      </c>
      <c r="DT28" t="str">
        <f ca="1"/>
        <v>Gemhide Sliver</v>
      </c>
      <c r="DU28" t="str">
        <f ca="1"/>
        <v>Riveteers Charm</v>
      </c>
      <c r="DW28" t="str">
        <f ca="1"/>
        <v>Obelisk Spider</v>
      </c>
      <c r="DX28" t="str">
        <f ca="1"/>
        <v>Thought Vessel</v>
      </c>
      <c r="DY28" t="str">
        <f ca="1"/>
        <v>Monk Gyatso</v>
      </c>
      <c r="DZ28" t="str">
        <f ca="1"/>
        <v>Brushland</v>
      </c>
      <c r="EG28" t="str">
        <f ca="1"/>
        <v>Colonel Autumn</v>
      </c>
      <c r="EH28" t="str">
        <f ca="1"/>
        <v>Inventors' Fair</v>
      </c>
      <c r="EI28" t="str">
        <f ca="1"/>
        <v>Darkheart Sliver</v>
      </c>
      <c r="EJ28" t="str">
        <f ca="1"/>
        <v>Homeward Path</v>
      </c>
      <c r="EK28" t="str">
        <f ca="1"/>
        <v>Firebender Ascension</v>
      </c>
      <c r="EL28" t="str">
        <f ca="1"/>
        <v>Brushland</v>
      </c>
      <c r="EP28" t="str">
        <f ca="1"/>
        <v>Burnt Offering</v>
      </c>
      <c r="EQ28" t="str">
        <f ca="1"/>
        <v>Cinder Strike</v>
      </c>
      <c r="ER28" t="str">
        <f ca="1"/>
        <v>Bitterbloom Bearer</v>
      </c>
      <c r="EU28" t="str">
        <f ca="1"/>
        <v>Beast Within</v>
      </c>
      <c r="EV28" t="str">
        <f ca="1"/>
        <v>Bitterbloom Bearer</v>
      </c>
      <c r="EX28" t="str">
        <f ca="1"/>
        <v>Arid Mesa</v>
      </c>
    </row>
    <row r="29" spans="1:154" x14ac:dyDescent="0.25">
      <c r="A29" s="2" t="str">
        <f t="shared" ca="1" si="1"/>
        <v>4</v>
      </c>
      <c r="B29" s="2">
        <f t="shared" ca="1" si="2"/>
        <v>3</v>
      </c>
      <c r="C29" s="2" t="str">
        <f ca="1">IFERROR(
 INDEX($V$1:$BL$1,
  MATCH(TRUE,
   CHOOSE({1;2;3;4;5;6;7;8;9;10;11;12;13;14;15;16;17;18;19;20;21;22;23;24;25;26;27;28;29;30;31;32;33;34;35;36;37;38;39;40;41;42;43},
    COUNTIFS($V$2:$V$200,$G29)&gt;0,
    COUNTIFS($W$2:$W$200,$G29)&gt;0,
    COUNTIFS($X$2:$X$200,$G29)&gt;0,
    COUNTIFS($Y$2:$Y$200,$G29)&gt;0,
    COUNTIFS($Z$2:$Z$200,$G29)&gt;0,
    COUNTIFS($AA$2:$AA$200,$G29)&gt;0,
    COUNTIFS($AB$2:$AB$200,$G29)&gt;0,
    COUNTIFS($AC$2:$AC$200,$G29)&gt;0,
    COUNTIFS($AD$2:$AD$200,$G29)&gt;0,
    COUNTIFS($AE$2:$AE$200,$G29)&gt;0,
    COUNTIFS($AF$2:$AF$200,$G29)&gt;0,
    COUNTIFS($AG$2:$AG$200,$G29)&gt;0,
    COUNTIFS($AH$2:$AH$200,$G29)&gt;0,
    COUNTIFS($AI$2:$AI$200,$G29)&gt;0,
    COUNTIFS($AJ$2:$AJ$200,$G29)&gt;0,
    COUNTIFS($AK$2:$AK$200,$G29)&gt;0,
    COUNTIFS($AL$2:$AL$200,$G29)&gt;0,
    COUNTIFS($AM$2:$AM$200,$G29)&gt;0,
    COUNTIFS($AN$2:$AN$200,$G29)&gt;0,
    COUNTIFS($AO$2:$AO$200,$G29)&gt;0,
    COUNTIFS($AP$2:$AP$200,$G29)&gt;0,
    COUNTIFS($AQ$2:$AQ$200,$G29)&gt;0,
    COUNTIFS($AR$2:$AR$200,$G29)&gt;0,
    COUNTIFS($AS$2:$AS$200,$G29)&gt;0,
    COUNTIFS($AT$2:$AT$200,$G29)&gt;0,
    COUNTIFS($AU$2:$AU$200,$G29)&gt;0,
    COUNTIFS($AV$2:$AV$200,$G29)&gt;0,
    COUNTIFS($AW$2:$AW$200,$G29)&gt;0,
    COUNTIFS($AX$2:$AX$200,$G29)&gt;0,
    COUNTIFS($AY$2:$AY$200,$G29)&gt;0,
    COUNTIFS($AZ$2:$AZ$200,$G29)&gt;0,
    COUNTIFS($BA$2:$BA$200,$G29)&gt;0,
    COUNTIFS($BB$2:$BB$200,$G29)&gt;0,
    COUNTIFS($BC$2:$BC$200,$G29)&gt;0,
    COUNTIFS($BD$2:$BD$200,$G29)&gt;0,
    COUNTIFS($BE$2:$BE$200,$G29)&gt;0,
    COUNTIFS($BF$2:$BF$200,$G29)&gt;0,
    COUNTIFS($BG$2:$BG$200,$G29)&gt;0,
    COUNTIFS($BH$2:$BH$200,$G29)&gt;0,
    COUNTIFS($BI$2:$BI$200,$G29)&gt;0,
    COUNTIFS($BJ$2:$BJ$200,$G29)&gt;0,
    COUNTIFS($BK$2:$BK$200,$G29)&gt;0,
    COUNTIFS($BL$2:$BL$200,$G29)&gt;0,
    COUNTIFS($BM$2:$BM$200,$G29)&gt;0,
   ),
  0)
 ),
"")</f>
        <v>Baylen</v>
      </c>
      <c r="D29" s="2" t="str" cm="1">
        <f t="array" aca="1" ref="D29" ca="1">IFERROR(
 INDEX(
  _xlfn._xlws.FILTER($V$1:$AY$1,
   TRANSPOSE(
    CHOOSE({1;2;3;4;5;6;7;8;9;10;11;12;13;14;15;16;17;18;19;20;21;22;23;24;25;26;27;28;29;30},
     COUNTIFS($V$2:$V$200,$G29)&gt;0,
     COUNTIFS($W$2:$W$200,$G29)&gt;0,
     COUNTIFS($X$2:$X$200,$G29)&gt;0,
     COUNTIFS($Y$2:$Y$200,$G29)&gt;0,
     COUNTIFS($Z$2:$Z$200,$G29)&gt;0,
     COUNTIFS($AA$2:$AA$200,$G29)&gt;0,
     COUNTIFS($AB$2:$AB$200,$G29)&gt;0,
     COUNTIFS($AC$2:$AC$200,$G29)&gt;0,
     COUNTIFS($AD$2:$AD$200,$G29)&gt;0,
     COUNTIFS($AE$2:$AE$200,$G29)&gt;0,
     COUNTIFS($AF$2:$AF$200,$G29)&gt;0,
     COUNTIFS($AG$2:$AG$200,$G29)&gt;0,
     COUNTIFS($AH$2:$AH$200,$G29)&gt;0,
     COUNTIFS($AI$2:$AI$200,$G29)&gt;0,
     COUNTIFS($AJ$2:$AJ$200,$G29)&gt;0,
     COUNTIFS($AK$2:$AK$200,$G29)&gt;0,
     COUNTIFS($AL$2:$AL$200,$G29)&gt;0,
     COUNTIFS($AM$2:$AM$200,$G29)&gt;0,
     COUNTIFS($AN$2:$AN$200,$G29)&gt;0,
     COUNTIFS($AO$2:$AO$200,$G29)&gt;0,
     COUNTIFS($AP$2:$AP$200,$G29)&gt;0,
     COUNTIFS($AQ$2:$AQ$200,$G29)&gt;0,
     COUNTIFS($AR$2:$AR$200,$G29)&gt;0,
     COUNTIFS($AS$2:$AS$200,$G29)&gt;0,
     COUNTIFS($AT$2:$AT$200,$G29)&gt;0,
     COUNTIFS($AU$2:$AU$200,$G29)&gt;0,
     COUNTIFS($AV$2:$AV$200,$G29)&gt;0,
     COUNTIFS($AW$2:$AW$200,$G29)&gt;0,
     COUNTIFS($AX$2:$AX$200,$G29)&gt;0,
     COUNTIFS($AY$2:$AY$200,$G29)&gt;0
   )),
  ),
  2
 ),
"")</f>
        <v>Kresh</v>
      </c>
      <c r="E29" s="2" t="str" cm="1">
        <f t="array" aca="1" ref="E29" ca="1">IFERROR(
 INDEX(
  _xlfn._xlws.FILTER($V$1:$AY$1,
   TRANSPOSE(
    CHOOSE({1;2;3;4;5;6;7;8;9;10;11;12;13;14;15;16;17;18;19;20;21;22;23;24;25;26;27;28;29;30},
     COUNTIFS($V$2:$V$200,$G29)&gt;0,
     COUNTIFS($W$2:$W$200,$G29)&gt;0,
     COUNTIFS($X$2:$X$200,$G29)&gt;0,
     COUNTIFS($Y$2:$Y$200,$G29)&gt;0,
     COUNTIFS($Z$2:$Z$200,$G29)&gt;0,
     COUNTIFS($AA$2:$AA$200,$G29)&gt;0,
     COUNTIFS($AB$2:$AB$200,$G29)&gt;0,
     COUNTIFS($AC$2:$AC$200,$G29)&gt;0,
     COUNTIFS($AD$2:$AD$200,$G29)&gt;0,
     COUNTIFS($AE$2:$AE$200,$G29)&gt;0,
     COUNTIFS($AF$2:$AF$200,$G29)&gt;0,
     COUNTIFS($AG$2:$AG$200,$G29)&gt;0,
     COUNTIFS($AH$2:$AH$200,$G29)&gt;0,
     COUNTIFS($AI$2:$AI$200,$G29)&gt;0,
     COUNTIFS($AJ$2:$AJ$200,$G29)&gt;0,
     COUNTIFS($AK$2:$AK$200,$G29)&gt;0,
     COUNTIFS($AL$2:$AL$200,$G29)&gt;0,
     COUNTIFS($AM$2:$AM$200,$G29)&gt;0,
     COUNTIFS($AN$2:$AN$200,$G29)&gt;0,
     COUNTIFS($AO$2:$AO$200,$G29)&gt;0,
     COUNTIFS($AP$2:$AP$200,$G29)&gt;0,
     COUNTIFS($AQ$2:$AQ$200,$G29)&gt;0,
     COUNTIFS($AR$2:$AR$200,$G29)&gt;0,
     COUNTIFS($AS$2:$AS$200,$G29)&gt;0,
     COUNTIFS($AT$2:$AT$200,$G29)&gt;0,
     COUNTIFS($AU$2:$AU$200,$G29)&gt;0,
     COUNTIFS($AV$2:$AV$200,$G29)&gt;0,
     COUNTIFS($AW$2:$AW$200,$G29)&gt;0,
     COUNTIFS($AX$2:$AX$200,$G29)&gt;0,
     COUNTIFS($AY$2:$AY$200,$G29)&gt;0
   )),
  ),
  3
 ),
"")</f>
        <v/>
      </c>
      <c r="F29" s="2" t="str" cm="1">
        <f t="array" aca="1" ref="F29" ca="1">IFERROR(
 INDEX(
  _xlfn._xlws.FILTER($V$1:$AY$1,
   TRANSPOSE(
    CHOOSE({1;2;3;4;5;6;7;8;9;10;11;12;13;14;15;16;17;18;19;20;21;22;23;24;25;26;27;28;29;30},
     COUNTIFS($V$2:$V$200,$G29)&gt;0,
     COUNTIFS($W$2:$W$200,$G29)&gt;0,
     COUNTIFS($X$2:$X$200,$G29)&gt;0,
     COUNTIFS($Y$2:$Y$200,$G29)&gt;0,
     COUNTIFS($Z$2:$Z$200,$G29)&gt;0,
     COUNTIFS($AA$2:$AA$200,$G29)&gt;0,
     COUNTIFS($AB$2:$AB$200,$G29)&gt;0,
     COUNTIFS($AC$2:$AC$200,$G29)&gt;0,
     COUNTIFS($AD$2:$AD$200,$G29)&gt;0,
     COUNTIFS($AE$2:$AE$200,$G29)&gt;0,
     COUNTIFS($AF$2:$AF$200,$G29)&gt;0,
     COUNTIFS($AG$2:$AG$200,$G29)&gt;0,
     COUNTIFS($AH$2:$AH$200,$G29)&gt;0,
     COUNTIFS($AI$2:$AI$200,$G29)&gt;0,
     COUNTIFS($AJ$2:$AJ$200,$G29)&gt;0,
     COUNTIFS($AK$2:$AK$200,$G29)&gt;0,
     COUNTIFS($AL$2:$AL$200,$G29)&gt;0,
     COUNTIFS($AM$2:$AM$200,$G29)&gt;0,
     COUNTIFS($AN$2:$AN$200,$G29)&gt;0,
     COUNTIFS($AO$2:$AO$200,$G29)&gt;0,
     COUNTIFS($AP$2:$AP$200,$G29)&gt;0,
     COUNTIFS($AQ$2:$AQ$200,$G29)&gt;0,
     COUNTIFS($AR$2:$AR$200,$G29)&gt;0,
     COUNTIFS($AS$2:$AS$200,$G29)&gt;0,
     COUNTIFS($AT$2:$AT$200,$G29)&gt;0,
     COUNTIFS($AU$2:$AU$200,$G29)&gt;0,
     COUNTIFS($AV$2:$AV$200,$G29)&gt;0,
     COUNTIFS($AW$2:$AW$200,$G29)&gt;0,
     COUNTIFS($AX$2:$AX$200,$G29)&gt;0,
     COUNTIFS($AY$2:$AY$200,$G29)&gt;0
   )),
  ),
  4
 ),
"")</f>
        <v/>
      </c>
      <c r="G29" t="str">
        <f ca="1"/>
        <v>Artifact Mutation</v>
      </c>
      <c r="J29" t="s">
        <v>59</v>
      </c>
      <c r="K29" s="2">
        <f>[1]Tayam!G2</f>
        <v>23</v>
      </c>
      <c r="L29" s="2" t="s">
        <v>2</v>
      </c>
      <c r="M29" s="2" t="s">
        <v>3</v>
      </c>
      <c r="N29" s="2" t="s">
        <v>3</v>
      </c>
      <c r="O29" s="2" t="s">
        <v>2</v>
      </c>
      <c r="P29" s="2" t="s">
        <v>2</v>
      </c>
      <c r="Q29" s="2" t="s">
        <v>1</v>
      </c>
      <c r="R29" s="2" t="s">
        <v>7</v>
      </c>
      <c r="S29" s="2" t="s">
        <v>58</v>
      </c>
      <c r="T29" s="2" t="str">
        <f t="shared" ref="T29:T37" si="5">IF(K29&lt;6,"1",IF(K29&lt;11,"2",IF(K29&lt;16,"3",IF(K29&lt;31,"4","5"))))</f>
        <v>4</v>
      </c>
      <c r="AO29" t="str">
        <v>Hatchery Sliver</v>
      </c>
      <c r="BE29" t="str">
        <v>Hare Apparent</v>
      </c>
      <c r="BI29" t="str">
        <v>Mountain</v>
      </c>
      <c r="BJ29" t="str">
        <v>Elspeth, Sun's Champion</v>
      </c>
      <c r="BL29" t="str">
        <v>Exsanguinate</v>
      </c>
      <c r="CI29" t="str">
        <f ca="1"/>
        <v>Shoot the Sheriff</v>
      </c>
      <c r="CJ29" t="str">
        <f ca="1"/>
        <v>Slayers' Stronghold</v>
      </c>
      <c r="CR29" t="str">
        <f ca="1"/>
        <v>Harmonic Sliver</v>
      </c>
      <c r="CW29" t="str">
        <f ca="1"/>
        <v>Ondu Inversion</v>
      </c>
      <c r="CZ29" t="str">
        <f ca="1"/>
        <v>Tocasia's Welcome</v>
      </c>
      <c r="DB29" t="str">
        <f ca="1"/>
        <v>Mountain</v>
      </c>
      <c r="DC29" t="str">
        <f ca="1"/>
        <v>Elspeth, Sun's Champion</v>
      </c>
      <c r="DD29" t="str">
        <f ca="1"/>
        <v>Exsanguinate</v>
      </c>
      <c r="DP29" t="str">
        <f ca="1"/>
        <v>Glint-Horn Buccaneer</v>
      </c>
      <c r="DQ29" t="str">
        <f ca="1"/>
        <v>Scalding Tarn</v>
      </c>
      <c r="DR29" t="str">
        <f ca="1"/>
        <v>The Enigma Jewel</v>
      </c>
      <c r="DS29" t="str">
        <f ca="1"/>
        <v>Oko, Thief of Crowns</v>
      </c>
      <c r="DT29" t="str">
        <f ca="1"/>
        <v>Godless Shrine</v>
      </c>
      <c r="DU29" t="str">
        <f ca="1"/>
        <v>Sink into Stupor</v>
      </c>
      <c r="DW29" t="str">
        <f ca="1"/>
        <v>Ondu Inversion</v>
      </c>
      <c r="DX29" t="str">
        <f ca="1"/>
        <v>Tocasia's Welcome</v>
      </c>
      <c r="DY29" t="str">
        <f ca="1"/>
        <v>Mountain</v>
      </c>
      <c r="DZ29" t="str">
        <f ca="1"/>
        <v>Brutal Hordechief</v>
      </c>
      <c r="EG29" t="str">
        <f ca="1"/>
        <v>Court of Garenbrig</v>
      </c>
      <c r="EH29" t="str">
        <f ca="1"/>
        <v>Inventory Management</v>
      </c>
      <c r="EI29" t="str">
        <f ca="1"/>
        <v>Descendants' Path</v>
      </c>
      <c r="EJ29" t="str">
        <f ca="1"/>
        <v>Illustrious Wanderglyph</v>
      </c>
      <c r="EK29" t="str">
        <f ca="1"/>
        <v>Generous Gift</v>
      </c>
      <c r="EL29" t="str">
        <f ca="1"/>
        <v>Brutal Hordechief</v>
      </c>
      <c r="EP29" t="str">
        <f ca="1"/>
        <v>Castle Ardenvale</v>
      </c>
      <c r="EQ29" t="str">
        <f ca="1"/>
        <v>Cloudshredder Sliver</v>
      </c>
      <c r="ER29" t="str">
        <f ca="1"/>
        <v>Black Waltz No. 3</v>
      </c>
      <c r="EU29" t="str">
        <f ca="1"/>
        <v>Beifong's Bounty Hunters</v>
      </c>
      <c r="EV29" t="str">
        <f ca="1"/>
        <v>Black Waltz No. 3</v>
      </c>
      <c r="EX29" t="str">
        <f ca="1"/>
        <v>Artifact Mutation</v>
      </c>
    </row>
    <row r="30" spans="1:154" x14ac:dyDescent="0.25">
      <c r="A30" s="2" t="str">
        <f t="shared" ca="1" si="1"/>
        <v>4</v>
      </c>
      <c r="B30" s="2">
        <f t="shared" ca="1" si="2"/>
        <v>1</v>
      </c>
      <c r="C30" s="2" t="str">
        <f ca="1">IFERROR(
 INDEX($V$1:$BL$1,
  MATCH(TRUE,
   CHOOSE({1;2;3;4;5;6;7;8;9;10;11;12;13;14;15;16;17;18;19;20;21;22;23;24;25;26;27;28;29;30;31;32;33;34;35;36;37;38;39;40;41;42;43},
    COUNTIFS($V$2:$V$200,$G30)&gt;0,
    COUNTIFS($W$2:$W$200,$G30)&gt;0,
    COUNTIFS($X$2:$X$200,$G30)&gt;0,
    COUNTIFS($Y$2:$Y$200,$G30)&gt;0,
    COUNTIFS($Z$2:$Z$200,$G30)&gt;0,
    COUNTIFS($AA$2:$AA$200,$G30)&gt;0,
    COUNTIFS($AB$2:$AB$200,$G30)&gt;0,
    COUNTIFS($AC$2:$AC$200,$G30)&gt;0,
    COUNTIFS($AD$2:$AD$200,$G30)&gt;0,
    COUNTIFS($AE$2:$AE$200,$G30)&gt;0,
    COUNTIFS($AF$2:$AF$200,$G30)&gt;0,
    COUNTIFS($AG$2:$AG$200,$G30)&gt;0,
    COUNTIFS($AH$2:$AH$200,$G30)&gt;0,
    COUNTIFS($AI$2:$AI$200,$G30)&gt;0,
    COUNTIFS($AJ$2:$AJ$200,$G30)&gt;0,
    COUNTIFS($AK$2:$AK$200,$G30)&gt;0,
    COUNTIFS($AL$2:$AL$200,$G30)&gt;0,
    COUNTIFS($AM$2:$AM$200,$G30)&gt;0,
    COUNTIFS($AN$2:$AN$200,$G30)&gt;0,
    COUNTIFS($AO$2:$AO$200,$G30)&gt;0,
    COUNTIFS($AP$2:$AP$200,$G30)&gt;0,
    COUNTIFS($AQ$2:$AQ$200,$G30)&gt;0,
    COUNTIFS($AR$2:$AR$200,$G30)&gt;0,
    COUNTIFS($AS$2:$AS$200,$G30)&gt;0,
    COUNTIFS($AT$2:$AT$200,$G30)&gt;0,
    COUNTIFS($AU$2:$AU$200,$G30)&gt;0,
    COUNTIFS($AV$2:$AV$200,$G30)&gt;0,
    COUNTIFS($AW$2:$AW$200,$G30)&gt;0,
    COUNTIFS($AX$2:$AX$200,$G30)&gt;0,
    COUNTIFS($AY$2:$AY$200,$G30)&gt;0,
    COUNTIFS($AZ$2:$AZ$200,$G30)&gt;0,
    COUNTIFS($BA$2:$BA$200,$G30)&gt;0,
    COUNTIFS($BB$2:$BB$200,$G30)&gt;0,
    COUNTIFS($BC$2:$BC$200,$G30)&gt;0,
    COUNTIFS($BD$2:$BD$200,$G30)&gt;0,
    COUNTIFS($BE$2:$BE$200,$G30)&gt;0,
    COUNTIFS($BF$2:$BF$200,$G30)&gt;0,
    COUNTIFS($BG$2:$BG$200,$G30)&gt;0,
    COUNTIFS($BH$2:$BH$200,$G30)&gt;0,
    COUNTIFS($BI$2:$BI$200,$G30)&gt;0,
    COUNTIFS($BJ$2:$BJ$200,$G30)&gt;0,
    COUNTIFS($BK$2:$BK$200,$G30)&gt;0,
    COUNTIFS($BL$2:$BL$200,$G30)&gt;0,
    COUNTIFS($BM$2:$BM$200,$G30)&gt;0,
   ),
  0)
 ),
"")</f>
        <v>Tayam</v>
      </c>
      <c r="D30" s="2" t="str" cm="1">
        <f t="array" aca="1" ref="D30" ca="1">IFERROR(
 INDEX(
  _xlfn._xlws.FILTER($V$1:$AY$1,
   TRANSPOSE(
    CHOOSE({1;2;3;4;5;6;7;8;9;10;11;12;13;14;15;16;17;18;19;20;21;22;23;24;25;26;27;28;29;30},
     COUNTIFS($V$2:$V$200,$G30)&gt;0,
     COUNTIFS($W$2:$W$200,$G30)&gt;0,
     COUNTIFS($X$2:$X$200,$G30)&gt;0,
     COUNTIFS($Y$2:$Y$200,$G30)&gt;0,
     COUNTIFS($Z$2:$Z$200,$G30)&gt;0,
     COUNTIFS($AA$2:$AA$200,$G30)&gt;0,
     COUNTIFS($AB$2:$AB$200,$G30)&gt;0,
     COUNTIFS($AC$2:$AC$200,$G30)&gt;0,
     COUNTIFS($AD$2:$AD$200,$G30)&gt;0,
     COUNTIFS($AE$2:$AE$200,$G30)&gt;0,
     COUNTIFS($AF$2:$AF$200,$G30)&gt;0,
     COUNTIFS($AG$2:$AG$200,$G30)&gt;0,
     COUNTIFS($AH$2:$AH$200,$G30)&gt;0,
     COUNTIFS($AI$2:$AI$200,$G30)&gt;0,
     COUNTIFS($AJ$2:$AJ$200,$G30)&gt;0,
     COUNTIFS($AK$2:$AK$200,$G30)&gt;0,
     COUNTIFS($AL$2:$AL$200,$G30)&gt;0,
     COUNTIFS($AM$2:$AM$200,$G30)&gt;0,
     COUNTIFS($AN$2:$AN$200,$G30)&gt;0,
     COUNTIFS($AO$2:$AO$200,$G30)&gt;0,
     COUNTIFS($AP$2:$AP$200,$G30)&gt;0,
     COUNTIFS($AQ$2:$AQ$200,$G30)&gt;0,
     COUNTIFS($AR$2:$AR$200,$G30)&gt;0,
     COUNTIFS($AS$2:$AS$200,$G30)&gt;0,
     COUNTIFS($AT$2:$AT$200,$G30)&gt;0,
     COUNTIFS($AU$2:$AU$200,$G30)&gt;0,
     COUNTIFS($AV$2:$AV$200,$G30)&gt;0,
     COUNTIFS($AW$2:$AW$200,$G30)&gt;0,
     COUNTIFS($AX$2:$AX$200,$G30)&gt;0,
     COUNTIFS($AY$2:$AY$200,$G30)&gt;0
   )),
  ),
  2
 ),
"")</f>
        <v/>
      </c>
      <c r="E30" s="2" t="str" cm="1">
        <f t="array" aca="1" ref="E30" ca="1">IFERROR(
 INDEX(
  _xlfn._xlws.FILTER($V$1:$AY$1,
   TRANSPOSE(
    CHOOSE({1;2;3;4;5;6;7;8;9;10;11;12;13;14;15;16;17;18;19;20;21;22;23;24;25;26;27;28;29;30},
     COUNTIFS($V$2:$V$200,$G30)&gt;0,
     COUNTIFS($W$2:$W$200,$G30)&gt;0,
     COUNTIFS($X$2:$X$200,$G30)&gt;0,
     COUNTIFS($Y$2:$Y$200,$G30)&gt;0,
     COUNTIFS($Z$2:$Z$200,$G30)&gt;0,
     COUNTIFS($AA$2:$AA$200,$G30)&gt;0,
     COUNTIFS($AB$2:$AB$200,$G30)&gt;0,
     COUNTIFS($AC$2:$AC$200,$G30)&gt;0,
     COUNTIFS($AD$2:$AD$200,$G30)&gt;0,
     COUNTIFS($AE$2:$AE$200,$G30)&gt;0,
     COUNTIFS($AF$2:$AF$200,$G30)&gt;0,
     COUNTIFS($AG$2:$AG$200,$G30)&gt;0,
     COUNTIFS($AH$2:$AH$200,$G30)&gt;0,
     COUNTIFS($AI$2:$AI$200,$G30)&gt;0,
     COUNTIFS($AJ$2:$AJ$200,$G30)&gt;0,
     COUNTIFS($AK$2:$AK$200,$G30)&gt;0,
     COUNTIFS($AL$2:$AL$200,$G30)&gt;0,
     COUNTIFS($AM$2:$AM$200,$G30)&gt;0,
     COUNTIFS($AN$2:$AN$200,$G30)&gt;0,
     COUNTIFS($AO$2:$AO$200,$G30)&gt;0,
     COUNTIFS($AP$2:$AP$200,$G30)&gt;0,
     COUNTIFS($AQ$2:$AQ$200,$G30)&gt;0,
     COUNTIFS($AR$2:$AR$200,$G30)&gt;0,
     COUNTIFS($AS$2:$AS$200,$G30)&gt;0,
     COUNTIFS($AT$2:$AT$200,$G30)&gt;0,
     COUNTIFS($AU$2:$AU$200,$G30)&gt;0,
     COUNTIFS($AV$2:$AV$200,$G30)&gt;0,
     COUNTIFS($AW$2:$AW$200,$G30)&gt;0,
     COUNTIFS($AX$2:$AX$200,$G30)&gt;0,
     COUNTIFS($AY$2:$AY$200,$G30)&gt;0
   )),
  ),
  3
 ),
"")</f>
        <v/>
      </c>
      <c r="F30" s="2" t="str" cm="1">
        <f t="array" aca="1" ref="F30" ca="1">IFERROR(
 INDEX(
  _xlfn._xlws.FILTER($V$1:$AY$1,
   TRANSPOSE(
    CHOOSE({1;2;3;4;5;6;7;8;9;10;11;12;13;14;15;16;17;18;19;20;21;22;23;24;25;26;27;28;29;30},
     COUNTIFS($V$2:$V$200,$G30)&gt;0,
     COUNTIFS($W$2:$W$200,$G30)&gt;0,
     COUNTIFS($X$2:$X$200,$G30)&gt;0,
     COUNTIFS($Y$2:$Y$200,$G30)&gt;0,
     COUNTIFS($Z$2:$Z$200,$G30)&gt;0,
     COUNTIFS($AA$2:$AA$200,$G30)&gt;0,
     COUNTIFS($AB$2:$AB$200,$G30)&gt;0,
     COUNTIFS($AC$2:$AC$200,$G30)&gt;0,
     COUNTIFS($AD$2:$AD$200,$G30)&gt;0,
     COUNTIFS($AE$2:$AE$200,$G30)&gt;0,
     COUNTIFS($AF$2:$AF$200,$G30)&gt;0,
     COUNTIFS($AG$2:$AG$200,$G30)&gt;0,
     COUNTIFS($AH$2:$AH$200,$G30)&gt;0,
     COUNTIFS($AI$2:$AI$200,$G30)&gt;0,
     COUNTIFS($AJ$2:$AJ$200,$G30)&gt;0,
     COUNTIFS($AK$2:$AK$200,$G30)&gt;0,
     COUNTIFS($AL$2:$AL$200,$G30)&gt;0,
     COUNTIFS($AM$2:$AM$200,$G30)&gt;0,
     COUNTIFS($AN$2:$AN$200,$G30)&gt;0,
     COUNTIFS($AO$2:$AO$200,$G30)&gt;0,
     COUNTIFS($AP$2:$AP$200,$G30)&gt;0,
     COUNTIFS($AQ$2:$AQ$200,$G30)&gt;0,
     COUNTIFS($AR$2:$AR$200,$G30)&gt;0,
     COUNTIFS($AS$2:$AS$200,$G30)&gt;0,
     COUNTIFS($AT$2:$AT$200,$G30)&gt;0,
     COUNTIFS($AU$2:$AU$200,$G30)&gt;0,
     COUNTIFS($AV$2:$AV$200,$G30)&gt;0,
     COUNTIFS($AW$2:$AW$200,$G30)&gt;0,
     COUNTIFS($AX$2:$AX$200,$G30)&gt;0,
     COUNTIFS($AY$2:$AY$200,$G30)&gt;0
   )),
  ),
  4
 ),
"")</f>
        <v/>
      </c>
      <c r="G30" t="str">
        <f ca="1"/>
        <v>Arwen, Weaver of Hope</v>
      </c>
      <c r="J30" t="s">
        <v>14</v>
      </c>
      <c r="K30" s="2">
        <f>[1]OWA!G2</f>
        <v>8</v>
      </c>
      <c r="L30" s="2" t="s">
        <v>2</v>
      </c>
      <c r="M30" s="2" t="s">
        <v>3</v>
      </c>
      <c r="N30" s="2" t="s">
        <v>3</v>
      </c>
      <c r="O30" s="2" t="s">
        <v>2</v>
      </c>
      <c r="P30" s="2" t="s">
        <v>2</v>
      </c>
      <c r="Q30" s="2" t="s">
        <v>1</v>
      </c>
      <c r="R30" s="2" t="s">
        <v>4</v>
      </c>
      <c r="S30" s="2" t="s">
        <v>13</v>
      </c>
      <c r="T30" s="2" t="str">
        <f t="shared" si="5"/>
        <v>2</v>
      </c>
      <c r="AO30" t="str">
        <v>Haunted Crossroads</v>
      </c>
      <c r="BE30" t="str">
        <v>Hare Apparent</v>
      </c>
      <c r="BI30" t="str">
        <v>Mountain</v>
      </c>
      <c r="BJ30" t="str">
        <v>Firebender Ascension</v>
      </c>
      <c r="BL30" t="str">
        <v>Fandaniel, Telophoroi Ascian</v>
      </c>
      <c r="CI30" t="str">
        <f ca="1"/>
        <v>Springleaf Parade</v>
      </c>
      <c r="CJ30" t="str">
        <f ca="1"/>
        <v>Sokenzan, Crucible of Defiance</v>
      </c>
      <c r="CR30" t="str">
        <f ca="1"/>
        <v>Hatchery Sliver</v>
      </c>
      <c r="CW30" t="str">
        <f ca="1"/>
        <v>Persistent Constrictor</v>
      </c>
      <c r="CZ30" t="str">
        <f ca="1"/>
        <v>Vedalken Mastermind</v>
      </c>
      <c r="DB30" t="str">
        <f ca="1"/>
        <v>Nomad Outpost</v>
      </c>
      <c r="DC30" t="str">
        <f ca="1"/>
        <v>Firebender Ascension</v>
      </c>
      <c r="DD30" t="str">
        <f ca="1"/>
        <v>Fandaniel, Telophoroi Ascian</v>
      </c>
      <c r="DP30" t="str">
        <f ca="1"/>
        <v>Incendiary Command</v>
      </c>
      <c r="DQ30" t="str">
        <f ca="1"/>
        <v>Seahunter</v>
      </c>
      <c r="DR30" t="str">
        <f ca="1"/>
        <v>The Mycosynth Gardens</v>
      </c>
      <c r="DS30" t="str">
        <f ca="1"/>
        <v>Psychic Paper</v>
      </c>
      <c r="DT30" t="str">
        <f ca="1"/>
        <v>Hallowed Fountain</v>
      </c>
      <c r="DU30" t="str">
        <f ca="1"/>
        <v>Sokenzan, Crucible of Defiance</v>
      </c>
      <c r="DW30" t="str">
        <f ca="1"/>
        <v>Persistent Constrictor</v>
      </c>
      <c r="DX30" t="str">
        <f ca="1"/>
        <v>Vedalken Mastermind</v>
      </c>
      <c r="DY30" t="str">
        <f ca="1"/>
        <v>Nomad Outpost</v>
      </c>
      <c r="DZ30" t="str">
        <f ca="1"/>
        <v>Caesar, Legion's Emperor</v>
      </c>
      <c r="EG30" t="str">
        <f ca="1"/>
        <v>Earthbender Ascension</v>
      </c>
      <c r="EH30" t="str">
        <f ca="1"/>
        <v>Katara's Reversal</v>
      </c>
      <c r="EI30" t="str">
        <f ca="1"/>
        <v>Deserted Temple</v>
      </c>
      <c r="EJ30" t="str">
        <f ca="1"/>
        <v>Kambal, Profiteering Mayor</v>
      </c>
      <c r="EK30" t="str">
        <f ca="1"/>
        <v>Ghostway</v>
      </c>
      <c r="EL30" t="str">
        <f ca="1"/>
        <v>Caesar, Legion's Emperor</v>
      </c>
      <c r="EP30" t="str">
        <f ca="1"/>
        <v>Caves of Koilos</v>
      </c>
      <c r="EQ30" t="str">
        <f ca="1"/>
        <v>Collector's Vault</v>
      </c>
      <c r="ER30" t="str">
        <f ca="1"/>
        <v>Blasphemous Act</v>
      </c>
      <c r="EU30" t="str">
        <f ca="1"/>
        <v>Birds of Paradise</v>
      </c>
      <c r="EV30" t="str">
        <f ca="1"/>
        <v>Blasphemous Act</v>
      </c>
      <c r="EX30" t="str">
        <f ca="1"/>
        <v>Arwen, Weaver of Hope</v>
      </c>
    </row>
    <row r="31" spans="1:154" x14ac:dyDescent="0.25">
      <c r="A31" s="2" t="str">
        <f t="shared" ca="1" si="1"/>
        <v>2</v>
      </c>
      <c r="B31" s="2">
        <f t="shared" ca="1" si="2"/>
        <v>1</v>
      </c>
      <c r="C31" s="2" t="str">
        <f ca="1">IFERROR(
 INDEX($V$1:$BL$1,
  MATCH(TRUE,
   CHOOSE({1;2;3;4;5;6;7;8;9;10;11;12;13;14;15;16;17;18;19;20;21;22;23;24;25;26;27;28;29;30;31;32;33;34;35;36;37;38;39;40;41;42;43},
    COUNTIFS($V$2:$V$200,$G31)&gt;0,
    COUNTIFS($W$2:$W$200,$G31)&gt;0,
    COUNTIFS($X$2:$X$200,$G31)&gt;0,
    COUNTIFS($Y$2:$Y$200,$G31)&gt;0,
    COUNTIFS($Z$2:$Z$200,$G31)&gt;0,
    COUNTIFS($AA$2:$AA$200,$G31)&gt;0,
    COUNTIFS($AB$2:$AB$200,$G31)&gt;0,
    COUNTIFS($AC$2:$AC$200,$G31)&gt;0,
    COUNTIFS($AD$2:$AD$200,$G31)&gt;0,
    COUNTIFS($AE$2:$AE$200,$G31)&gt;0,
    COUNTIFS($AF$2:$AF$200,$G31)&gt;0,
    COUNTIFS($AG$2:$AG$200,$G31)&gt;0,
    COUNTIFS($AH$2:$AH$200,$G31)&gt;0,
    COUNTIFS($AI$2:$AI$200,$G31)&gt;0,
    COUNTIFS($AJ$2:$AJ$200,$G31)&gt;0,
    COUNTIFS($AK$2:$AK$200,$G31)&gt;0,
    COUNTIFS($AL$2:$AL$200,$G31)&gt;0,
    COUNTIFS($AM$2:$AM$200,$G31)&gt;0,
    COUNTIFS($AN$2:$AN$200,$G31)&gt;0,
    COUNTIFS($AO$2:$AO$200,$G31)&gt;0,
    COUNTIFS($AP$2:$AP$200,$G31)&gt;0,
    COUNTIFS($AQ$2:$AQ$200,$G31)&gt;0,
    COUNTIFS($AR$2:$AR$200,$G31)&gt;0,
    COUNTIFS($AS$2:$AS$200,$G31)&gt;0,
    COUNTIFS($AT$2:$AT$200,$G31)&gt;0,
    COUNTIFS($AU$2:$AU$200,$G31)&gt;0,
    COUNTIFS($AV$2:$AV$200,$G31)&gt;0,
    COUNTIFS($AW$2:$AW$200,$G31)&gt;0,
    COUNTIFS($AX$2:$AX$200,$G31)&gt;0,
    COUNTIFS($AY$2:$AY$200,$G31)&gt;0,
    COUNTIFS($AZ$2:$AZ$200,$G31)&gt;0,
    COUNTIFS($BA$2:$BA$200,$G31)&gt;0,
    COUNTIFS($BB$2:$BB$200,$G31)&gt;0,
    COUNTIFS($BC$2:$BC$200,$G31)&gt;0,
    COUNTIFS($BD$2:$BD$200,$G31)&gt;0,
    COUNTIFS($BE$2:$BE$200,$G31)&gt;0,
    COUNTIFS($BF$2:$BF$200,$G31)&gt;0,
    COUNTIFS($BG$2:$BG$200,$G31)&gt;0,
    COUNTIFS($BH$2:$BH$200,$G31)&gt;0,
    COUNTIFS($BI$2:$BI$200,$G31)&gt;0,
    COUNTIFS($BJ$2:$BJ$200,$G31)&gt;0,
    COUNTIFS($BK$2:$BK$200,$G31)&gt;0,
    COUNTIFS($BL$2:$BL$200,$G31)&gt;0,
    COUNTIFS($BM$2:$BM$200,$G31)&gt;0,
   ),
  0)
 ),
"")</f>
        <v>Carlos</v>
      </c>
      <c r="D31" s="2" t="str" cm="1">
        <f t="array" aca="1" ref="D31" ca="1">IFERROR(
 INDEX(
  _xlfn._xlws.FILTER($V$1:$AY$1,
   TRANSPOSE(
    CHOOSE({1;2;3;4;5;6;7;8;9;10;11;12;13;14;15;16;17;18;19;20;21;22;23;24;25;26;27;28;29;30},
     COUNTIFS($V$2:$V$200,$G31)&gt;0,
     COUNTIFS($W$2:$W$200,$G31)&gt;0,
     COUNTIFS($X$2:$X$200,$G31)&gt;0,
     COUNTIFS($Y$2:$Y$200,$G31)&gt;0,
     COUNTIFS($Z$2:$Z$200,$G31)&gt;0,
     COUNTIFS($AA$2:$AA$200,$G31)&gt;0,
     COUNTIFS($AB$2:$AB$200,$G31)&gt;0,
     COUNTIFS($AC$2:$AC$200,$G31)&gt;0,
     COUNTIFS($AD$2:$AD$200,$G31)&gt;0,
     COUNTIFS($AE$2:$AE$200,$G31)&gt;0,
     COUNTIFS($AF$2:$AF$200,$G31)&gt;0,
     COUNTIFS($AG$2:$AG$200,$G31)&gt;0,
     COUNTIFS($AH$2:$AH$200,$G31)&gt;0,
     COUNTIFS($AI$2:$AI$200,$G31)&gt;0,
     COUNTIFS($AJ$2:$AJ$200,$G31)&gt;0,
     COUNTIFS($AK$2:$AK$200,$G31)&gt;0,
     COUNTIFS($AL$2:$AL$200,$G31)&gt;0,
     COUNTIFS($AM$2:$AM$200,$G31)&gt;0,
     COUNTIFS($AN$2:$AN$200,$G31)&gt;0,
     COUNTIFS($AO$2:$AO$200,$G31)&gt;0,
     COUNTIFS($AP$2:$AP$200,$G31)&gt;0,
     COUNTIFS($AQ$2:$AQ$200,$G31)&gt;0,
     COUNTIFS($AR$2:$AR$200,$G31)&gt;0,
     COUNTIFS($AS$2:$AS$200,$G31)&gt;0,
     COUNTIFS($AT$2:$AT$200,$G31)&gt;0,
     COUNTIFS($AU$2:$AU$200,$G31)&gt;0,
     COUNTIFS($AV$2:$AV$200,$G31)&gt;0,
     COUNTIFS($AW$2:$AW$200,$G31)&gt;0,
     COUNTIFS($AX$2:$AX$200,$G31)&gt;0,
     COUNTIFS($AY$2:$AY$200,$G31)&gt;0
   )),
  ),
  2
 ),
"")</f>
        <v/>
      </c>
      <c r="E31" s="2" t="str" cm="1">
        <f t="array" aca="1" ref="E31" ca="1">IFERROR(
 INDEX(
  _xlfn._xlws.FILTER($V$1:$AY$1,
   TRANSPOSE(
    CHOOSE({1;2;3;4;5;6;7;8;9;10;11;12;13;14;15;16;17;18;19;20;21;22;23;24;25;26;27;28;29;30},
     COUNTIFS($V$2:$V$200,$G31)&gt;0,
     COUNTIFS($W$2:$W$200,$G31)&gt;0,
     COUNTIFS($X$2:$X$200,$G31)&gt;0,
     COUNTIFS($Y$2:$Y$200,$G31)&gt;0,
     COUNTIFS($Z$2:$Z$200,$G31)&gt;0,
     COUNTIFS($AA$2:$AA$200,$G31)&gt;0,
     COUNTIFS($AB$2:$AB$200,$G31)&gt;0,
     COUNTIFS($AC$2:$AC$200,$G31)&gt;0,
     COUNTIFS($AD$2:$AD$200,$G31)&gt;0,
     COUNTIFS($AE$2:$AE$200,$G31)&gt;0,
     COUNTIFS($AF$2:$AF$200,$G31)&gt;0,
     COUNTIFS($AG$2:$AG$200,$G31)&gt;0,
     COUNTIFS($AH$2:$AH$200,$G31)&gt;0,
     COUNTIFS($AI$2:$AI$200,$G31)&gt;0,
     COUNTIFS($AJ$2:$AJ$200,$G31)&gt;0,
     COUNTIFS($AK$2:$AK$200,$G31)&gt;0,
     COUNTIFS($AL$2:$AL$200,$G31)&gt;0,
     COUNTIFS($AM$2:$AM$200,$G31)&gt;0,
     COUNTIFS($AN$2:$AN$200,$G31)&gt;0,
     COUNTIFS($AO$2:$AO$200,$G31)&gt;0,
     COUNTIFS($AP$2:$AP$200,$G31)&gt;0,
     COUNTIFS($AQ$2:$AQ$200,$G31)&gt;0,
     COUNTIFS($AR$2:$AR$200,$G31)&gt;0,
     COUNTIFS($AS$2:$AS$200,$G31)&gt;0,
     COUNTIFS($AT$2:$AT$200,$G31)&gt;0,
     COUNTIFS($AU$2:$AU$200,$G31)&gt;0,
     COUNTIFS($AV$2:$AV$200,$G31)&gt;0,
     COUNTIFS($AW$2:$AW$200,$G31)&gt;0,
     COUNTIFS($AX$2:$AX$200,$G31)&gt;0,
     COUNTIFS($AY$2:$AY$200,$G31)&gt;0
   )),
  ),
  3
 ),
"")</f>
        <v/>
      </c>
      <c r="F31" s="2" t="str" cm="1">
        <f t="array" aca="1" ref="F31" ca="1">IFERROR(
 INDEX(
  _xlfn._xlws.FILTER($V$1:$AY$1,
   TRANSPOSE(
    CHOOSE({1;2;3;4;5;6;7;8;9;10;11;12;13;14;15;16;17;18;19;20;21;22;23;24;25;26;27;28;29;30},
     COUNTIFS($V$2:$V$200,$G31)&gt;0,
     COUNTIFS($W$2:$W$200,$G31)&gt;0,
     COUNTIFS($X$2:$X$200,$G31)&gt;0,
     COUNTIFS($Y$2:$Y$200,$G31)&gt;0,
     COUNTIFS($Z$2:$Z$200,$G31)&gt;0,
     COUNTIFS($AA$2:$AA$200,$G31)&gt;0,
     COUNTIFS($AB$2:$AB$200,$G31)&gt;0,
     COUNTIFS($AC$2:$AC$200,$G31)&gt;0,
     COUNTIFS($AD$2:$AD$200,$G31)&gt;0,
     COUNTIFS($AE$2:$AE$200,$G31)&gt;0,
     COUNTIFS($AF$2:$AF$200,$G31)&gt;0,
     COUNTIFS($AG$2:$AG$200,$G31)&gt;0,
     COUNTIFS($AH$2:$AH$200,$G31)&gt;0,
     COUNTIFS($AI$2:$AI$200,$G31)&gt;0,
     COUNTIFS($AJ$2:$AJ$200,$G31)&gt;0,
     COUNTIFS($AK$2:$AK$200,$G31)&gt;0,
     COUNTIFS($AL$2:$AL$200,$G31)&gt;0,
     COUNTIFS($AM$2:$AM$200,$G31)&gt;0,
     COUNTIFS($AN$2:$AN$200,$G31)&gt;0,
     COUNTIFS($AO$2:$AO$200,$G31)&gt;0,
     COUNTIFS($AP$2:$AP$200,$G31)&gt;0,
     COUNTIFS($AQ$2:$AQ$200,$G31)&gt;0,
     COUNTIFS($AR$2:$AR$200,$G31)&gt;0,
     COUNTIFS($AS$2:$AS$200,$G31)&gt;0,
     COUNTIFS($AT$2:$AT$200,$G31)&gt;0,
     COUNTIFS($AU$2:$AU$200,$G31)&gt;0,
     COUNTIFS($AV$2:$AV$200,$G31)&gt;0,
     COUNTIFS($AW$2:$AW$200,$G31)&gt;0,
     COUNTIFS($AX$2:$AX$200,$G31)&gt;0,
     COUNTIFS($AY$2:$AY$200,$G31)&gt;0
   )),
  ),
  4
 ),
"")</f>
        <v/>
      </c>
      <c r="G31" t="str">
        <f ca="1"/>
        <v>Ascend from Avernus</v>
      </c>
      <c r="J31" t="s">
        <v>57</v>
      </c>
      <c r="K31" s="2">
        <f>[1]Piratas!G2</f>
        <v>9</v>
      </c>
      <c r="L31" s="2" t="s">
        <v>3</v>
      </c>
      <c r="M31" s="2" t="s">
        <v>2</v>
      </c>
      <c r="N31" s="2" t="s">
        <v>2</v>
      </c>
      <c r="O31" s="2" t="s">
        <v>2</v>
      </c>
      <c r="P31" s="2" t="s">
        <v>3</v>
      </c>
      <c r="Q31" s="2" t="s">
        <v>1</v>
      </c>
      <c r="R31" s="2" t="s">
        <v>7</v>
      </c>
      <c r="S31" s="2" t="s">
        <v>56</v>
      </c>
      <c r="T31" s="2" t="str">
        <f t="shared" si="5"/>
        <v>2</v>
      </c>
      <c r="AO31" t="str">
        <v>Heart Sliver</v>
      </c>
      <c r="BE31" t="str">
        <v>Hare Apparent</v>
      </c>
      <c r="BI31" t="str">
        <v>Mountain</v>
      </c>
      <c r="BJ31" t="str">
        <v>Forest</v>
      </c>
      <c r="BL31" t="str">
        <v>Forest</v>
      </c>
      <c r="CI31" t="str">
        <f ca="1"/>
        <v>Sunscorched Divide</v>
      </c>
      <c r="CJ31" t="str">
        <f ca="1"/>
        <v>Spectacular Spider-Man</v>
      </c>
      <c r="CR31" t="str">
        <f ca="1"/>
        <v>Haunted Crossroads</v>
      </c>
      <c r="CW31" t="str">
        <f ca="1"/>
        <v>Puncture Blast</v>
      </c>
      <c r="CZ31" t="str">
        <f ca="1"/>
        <v>Virtue of Knowledge // Vantress Visions</v>
      </c>
      <c r="DB31" t="str">
        <f ca="1"/>
        <v>Norin the Wary</v>
      </c>
      <c r="DC31" t="str">
        <f ca="1"/>
        <v>Forest</v>
      </c>
      <c r="DD31" t="str">
        <f ca="1"/>
        <v>Forest</v>
      </c>
      <c r="DP31" t="str">
        <f ca="1"/>
        <v>Jetmir, Nexus of Revels</v>
      </c>
      <c r="DQ31" t="str">
        <f ca="1"/>
        <v>Sothera, the Supervoid</v>
      </c>
      <c r="DR31" t="str">
        <f ca="1"/>
        <v>The Tenth Doctor</v>
      </c>
      <c r="DS31" t="str">
        <f ca="1"/>
        <v>Reliquary Tower</v>
      </c>
      <c r="DT31" t="str">
        <f ca="1"/>
        <v>Harmonic Sliver</v>
      </c>
      <c r="DU31" t="str">
        <f ca="1"/>
        <v>Sonic Screwdriver</v>
      </c>
      <c r="DW31" t="str">
        <f ca="1"/>
        <v>Puncture Blast</v>
      </c>
      <c r="DX31" t="str">
        <f ca="1"/>
        <v>Virtue of Knowledge // Vantress Visions</v>
      </c>
      <c r="DY31" t="str">
        <f ca="1"/>
        <v>Norin the Wary</v>
      </c>
      <c r="DZ31" t="str">
        <f ca="1"/>
        <v>Canopy Vista</v>
      </c>
      <c r="EG31" t="str">
        <f ca="1"/>
        <v>Eclipsed Realms</v>
      </c>
      <c r="EH31" t="str">
        <f ca="1"/>
        <v>Kaya the Inexorable</v>
      </c>
      <c r="EI31" t="str">
        <f ca="1"/>
        <v>Diffusion Sliver</v>
      </c>
      <c r="EJ31" t="str">
        <f ca="1"/>
        <v>Karn's Bastion</v>
      </c>
      <c r="EK31" t="str">
        <f ca="1"/>
        <v>Hare Apparent</v>
      </c>
      <c r="EL31" t="str">
        <f ca="1"/>
        <v>Canopy Vista</v>
      </c>
      <c r="EP31" t="str">
        <f ca="1"/>
        <v>Champion of Lambholt</v>
      </c>
      <c r="EQ31" t="str">
        <f ca="1"/>
        <v>Command Tower</v>
      </c>
      <c r="ER31" t="str">
        <f ca="1"/>
        <v>Bojuka Bog</v>
      </c>
      <c r="EU31" t="str">
        <f ca="1"/>
        <v>Bitterbloom Bearer</v>
      </c>
      <c r="EV31" t="str">
        <f ca="1"/>
        <v>Bojuka Bog</v>
      </c>
      <c r="EX31" t="str">
        <f ca="1"/>
        <v>Ascend from Avernus</v>
      </c>
    </row>
    <row r="32" spans="1:154" x14ac:dyDescent="0.25">
      <c r="A32" s="2" t="str">
        <f t="shared" ca="1" si="1"/>
        <v>4</v>
      </c>
      <c r="B32" s="2">
        <f t="shared" ca="1" si="2"/>
        <v>3</v>
      </c>
      <c r="C32" s="2" t="str">
        <f ca="1">IFERROR(
 INDEX($V$1:$BL$1,
  MATCH(TRUE,
   CHOOSE({1;2;3;4;5;6;7;8;9;10;11;12;13;14;15;16;17;18;19;20;21;22;23;24;25;26;27;28;29;30;31;32;33;34;35;36;37;38;39;40;41;42;43},
    COUNTIFS($V$2:$V$200,$G32)&gt;0,
    COUNTIFS($W$2:$W$200,$G32)&gt;0,
    COUNTIFS($X$2:$X$200,$G32)&gt;0,
    COUNTIFS($Y$2:$Y$200,$G32)&gt;0,
    COUNTIFS($Z$2:$Z$200,$G32)&gt;0,
    COUNTIFS($AA$2:$AA$200,$G32)&gt;0,
    COUNTIFS($AB$2:$AB$200,$G32)&gt;0,
    COUNTIFS($AC$2:$AC$200,$G32)&gt;0,
    COUNTIFS($AD$2:$AD$200,$G32)&gt;0,
    COUNTIFS($AE$2:$AE$200,$G32)&gt;0,
    COUNTIFS($AF$2:$AF$200,$G32)&gt;0,
    COUNTIFS($AG$2:$AG$200,$G32)&gt;0,
    COUNTIFS($AH$2:$AH$200,$G32)&gt;0,
    COUNTIFS($AI$2:$AI$200,$G32)&gt;0,
    COUNTIFS($AJ$2:$AJ$200,$G32)&gt;0,
    COUNTIFS($AK$2:$AK$200,$G32)&gt;0,
    COUNTIFS($AL$2:$AL$200,$G32)&gt;0,
    COUNTIFS($AM$2:$AM$200,$G32)&gt;0,
    COUNTIFS($AN$2:$AN$200,$G32)&gt;0,
    COUNTIFS($AO$2:$AO$200,$G32)&gt;0,
    COUNTIFS($AP$2:$AP$200,$G32)&gt;0,
    COUNTIFS($AQ$2:$AQ$200,$G32)&gt;0,
    COUNTIFS($AR$2:$AR$200,$G32)&gt;0,
    COUNTIFS($AS$2:$AS$200,$G32)&gt;0,
    COUNTIFS($AT$2:$AT$200,$G32)&gt;0,
    COUNTIFS($AU$2:$AU$200,$G32)&gt;0,
    COUNTIFS($AV$2:$AV$200,$G32)&gt;0,
    COUNTIFS($AW$2:$AW$200,$G32)&gt;0,
    COUNTIFS($AX$2:$AX$200,$G32)&gt;0,
    COUNTIFS($AY$2:$AY$200,$G32)&gt;0,
    COUNTIFS($AZ$2:$AZ$200,$G32)&gt;0,
    COUNTIFS($BA$2:$BA$200,$G32)&gt;0,
    COUNTIFS($BB$2:$BB$200,$G32)&gt;0,
    COUNTIFS($BC$2:$BC$200,$G32)&gt;0,
    COUNTIFS($BD$2:$BD$200,$G32)&gt;0,
    COUNTIFS($BE$2:$BE$200,$G32)&gt;0,
    COUNTIFS($BF$2:$BF$200,$G32)&gt;0,
    COUNTIFS($BG$2:$BG$200,$G32)&gt;0,
    COUNTIFS($BH$2:$BH$200,$G32)&gt;0,
    COUNTIFS($BI$2:$BI$200,$G32)&gt;0,
    COUNTIFS($BJ$2:$BJ$200,$G32)&gt;0,
    COUNTIFS($BK$2:$BK$200,$G32)&gt;0,
    COUNTIFS($BL$2:$BL$200,$G32)&gt;0,
    COUNTIFS($BM$2:$BM$200,$G32)&gt;0,
   ),
  0)
 ),
"")</f>
        <v>Kresh</v>
      </c>
      <c r="D32" s="2" t="str" cm="1">
        <f t="array" aca="1" ref="D32" ca="1">IFERROR(
 INDEX(
  _xlfn._xlws.FILTER($V$1:$AY$1,
   TRANSPOSE(
    CHOOSE({1;2;3;4;5;6;7;8;9;10;11;12;13;14;15;16;17;18;19;20;21;22;23;24;25;26;27;28;29;30},
     COUNTIFS($V$2:$V$200,$G32)&gt;0,
     COUNTIFS($W$2:$W$200,$G32)&gt;0,
     COUNTIFS($X$2:$X$200,$G32)&gt;0,
     COUNTIFS($Y$2:$Y$200,$G32)&gt;0,
     COUNTIFS($Z$2:$Z$200,$G32)&gt;0,
     COUNTIFS($AA$2:$AA$200,$G32)&gt;0,
     COUNTIFS($AB$2:$AB$200,$G32)&gt;0,
     COUNTIFS($AC$2:$AC$200,$G32)&gt;0,
     COUNTIFS($AD$2:$AD$200,$G32)&gt;0,
     COUNTIFS($AE$2:$AE$200,$G32)&gt;0,
     COUNTIFS($AF$2:$AF$200,$G32)&gt;0,
     COUNTIFS($AG$2:$AG$200,$G32)&gt;0,
     COUNTIFS($AH$2:$AH$200,$G32)&gt;0,
     COUNTIFS($AI$2:$AI$200,$G32)&gt;0,
     COUNTIFS($AJ$2:$AJ$200,$G32)&gt;0,
     COUNTIFS($AK$2:$AK$200,$G32)&gt;0,
     COUNTIFS($AL$2:$AL$200,$G32)&gt;0,
     COUNTIFS($AM$2:$AM$200,$G32)&gt;0,
     COUNTIFS($AN$2:$AN$200,$G32)&gt;0,
     COUNTIFS($AO$2:$AO$200,$G32)&gt;0,
     COUNTIFS($AP$2:$AP$200,$G32)&gt;0,
     COUNTIFS($AQ$2:$AQ$200,$G32)&gt;0,
     COUNTIFS($AR$2:$AR$200,$G32)&gt;0,
     COUNTIFS($AS$2:$AS$200,$G32)&gt;0,
     COUNTIFS($AT$2:$AT$200,$G32)&gt;0,
     COUNTIFS($AU$2:$AU$200,$G32)&gt;0,
     COUNTIFS($AV$2:$AV$200,$G32)&gt;0,
     COUNTIFS($AW$2:$AW$200,$G32)&gt;0,
     COUNTIFS($AX$2:$AX$200,$G32)&gt;0,
     COUNTIFS($AY$2:$AY$200,$G32)&gt;0
   )),
  ),
  2
 ),
"")</f>
        <v/>
      </c>
      <c r="E32" s="2" t="str" cm="1">
        <f t="array" aca="1" ref="E32" ca="1">IFERROR(
 INDEX(
  _xlfn._xlws.FILTER($V$1:$AY$1,
   TRANSPOSE(
    CHOOSE({1;2;3;4;5;6;7;8;9;10;11;12;13;14;15;16;17;18;19;20;21;22;23;24;25;26;27;28;29;30},
     COUNTIFS($V$2:$V$200,$G32)&gt;0,
     COUNTIFS($W$2:$W$200,$G32)&gt;0,
     COUNTIFS($X$2:$X$200,$G32)&gt;0,
     COUNTIFS($Y$2:$Y$200,$G32)&gt;0,
     COUNTIFS($Z$2:$Z$200,$G32)&gt;0,
     COUNTIFS($AA$2:$AA$200,$G32)&gt;0,
     COUNTIFS($AB$2:$AB$200,$G32)&gt;0,
     COUNTIFS($AC$2:$AC$200,$G32)&gt;0,
     COUNTIFS($AD$2:$AD$200,$G32)&gt;0,
     COUNTIFS($AE$2:$AE$200,$G32)&gt;0,
     COUNTIFS($AF$2:$AF$200,$G32)&gt;0,
     COUNTIFS($AG$2:$AG$200,$G32)&gt;0,
     COUNTIFS($AH$2:$AH$200,$G32)&gt;0,
     COUNTIFS($AI$2:$AI$200,$G32)&gt;0,
     COUNTIFS($AJ$2:$AJ$200,$G32)&gt;0,
     COUNTIFS($AK$2:$AK$200,$G32)&gt;0,
     COUNTIFS($AL$2:$AL$200,$G32)&gt;0,
     COUNTIFS($AM$2:$AM$200,$G32)&gt;0,
     COUNTIFS($AN$2:$AN$200,$G32)&gt;0,
     COUNTIFS($AO$2:$AO$200,$G32)&gt;0,
     COUNTIFS($AP$2:$AP$200,$G32)&gt;0,
     COUNTIFS($AQ$2:$AQ$200,$G32)&gt;0,
     COUNTIFS($AR$2:$AR$200,$G32)&gt;0,
     COUNTIFS($AS$2:$AS$200,$G32)&gt;0,
     COUNTIFS($AT$2:$AT$200,$G32)&gt;0,
     COUNTIFS($AU$2:$AU$200,$G32)&gt;0,
     COUNTIFS($AV$2:$AV$200,$G32)&gt;0,
     COUNTIFS($AW$2:$AW$200,$G32)&gt;0,
     COUNTIFS($AX$2:$AX$200,$G32)&gt;0,
     COUNTIFS($AY$2:$AY$200,$G32)&gt;0
   )),
  ),
  3
 ),
"")</f>
        <v/>
      </c>
      <c r="F32" s="2" t="str" cm="1">
        <f t="array" aca="1" ref="F32" ca="1">IFERROR(
 INDEX(
  _xlfn._xlws.FILTER($V$1:$AY$1,
   TRANSPOSE(
    CHOOSE({1;2;3;4;5;6;7;8;9;10;11;12;13;14;15;16;17;18;19;20;21;22;23;24;25;26;27;28;29;30},
     COUNTIFS($V$2:$V$200,$G32)&gt;0,
     COUNTIFS($W$2:$W$200,$G32)&gt;0,
     COUNTIFS($X$2:$X$200,$G32)&gt;0,
     COUNTIFS($Y$2:$Y$200,$G32)&gt;0,
     COUNTIFS($Z$2:$Z$200,$G32)&gt;0,
     COUNTIFS($AA$2:$AA$200,$G32)&gt;0,
     COUNTIFS($AB$2:$AB$200,$G32)&gt;0,
     COUNTIFS($AC$2:$AC$200,$G32)&gt;0,
     COUNTIFS($AD$2:$AD$200,$G32)&gt;0,
     COUNTIFS($AE$2:$AE$200,$G32)&gt;0,
     COUNTIFS($AF$2:$AF$200,$G32)&gt;0,
     COUNTIFS($AG$2:$AG$200,$G32)&gt;0,
     COUNTIFS($AH$2:$AH$200,$G32)&gt;0,
     COUNTIFS($AI$2:$AI$200,$G32)&gt;0,
     COUNTIFS($AJ$2:$AJ$200,$G32)&gt;0,
     COUNTIFS($AK$2:$AK$200,$G32)&gt;0,
     COUNTIFS($AL$2:$AL$200,$G32)&gt;0,
     COUNTIFS($AM$2:$AM$200,$G32)&gt;0,
     COUNTIFS($AN$2:$AN$200,$G32)&gt;0,
     COUNTIFS($AO$2:$AO$200,$G32)&gt;0,
     COUNTIFS($AP$2:$AP$200,$G32)&gt;0,
     COUNTIFS($AQ$2:$AQ$200,$G32)&gt;0,
     COUNTIFS($AR$2:$AR$200,$G32)&gt;0,
     COUNTIFS($AS$2:$AS$200,$G32)&gt;0,
     COUNTIFS($AT$2:$AT$200,$G32)&gt;0,
     COUNTIFS($AU$2:$AU$200,$G32)&gt;0,
     COUNTIFS($AV$2:$AV$200,$G32)&gt;0,
     COUNTIFS($AW$2:$AW$200,$G32)&gt;0,
     COUNTIFS($AX$2:$AX$200,$G32)&gt;0,
     COUNTIFS($AY$2:$AY$200,$G32)&gt;0
   )),
  ),
  4
 ),
"")</f>
        <v/>
      </c>
      <c r="G32" t="str">
        <f ca="1"/>
        <v>Assassin's Trophy</v>
      </c>
      <c r="J32" t="s">
        <v>53</v>
      </c>
      <c r="K32" s="2">
        <f>[1]Rani!G2</f>
        <v>10</v>
      </c>
      <c r="L32" s="2" t="s">
        <v>3</v>
      </c>
      <c r="M32" s="2" t="s">
        <v>2</v>
      </c>
      <c r="N32" s="2" t="s">
        <v>2</v>
      </c>
      <c r="O32" s="2" t="s">
        <v>2</v>
      </c>
      <c r="P32" s="2" t="s">
        <v>3</v>
      </c>
      <c r="Q32" s="2" t="s">
        <v>1</v>
      </c>
      <c r="R32" s="2" t="s">
        <v>0</v>
      </c>
      <c r="S32" s="2" t="s">
        <v>52</v>
      </c>
      <c r="T32" s="2" t="str">
        <f t="shared" si="5"/>
        <v>2</v>
      </c>
      <c r="AO32" t="str">
        <v>Hibernation Sliver</v>
      </c>
      <c r="BE32" t="str">
        <v>Hare Apparent</v>
      </c>
      <c r="BI32" t="str">
        <v>Mountain</v>
      </c>
      <c r="BJ32" t="str">
        <v>Forest</v>
      </c>
      <c r="BL32" t="str">
        <v>Forest</v>
      </c>
      <c r="CI32" t="str">
        <f ca="1"/>
        <v>Temple of Malice</v>
      </c>
      <c r="CJ32" t="str">
        <f ca="1"/>
        <v>Sphere Grid</v>
      </c>
      <c r="CR32" t="str">
        <f ca="1"/>
        <v>Heart Sliver</v>
      </c>
      <c r="CW32" t="str">
        <f ca="1"/>
        <v>Scuzzback Scrounger</v>
      </c>
      <c r="CZ32" t="str">
        <f ca="1"/>
        <v>Water Tribe Rallier</v>
      </c>
      <c r="DB32" t="str">
        <f ca="1"/>
        <v>Party Thrasher</v>
      </c>
      <c r="DC32" t="str">
        <f ca="1"/>
        <v>Isolated Chapel</v>
      </c>
      <c r="DD32" t="str">
        <f ca="1"/>
        <v>Growth Spiral</v>
      </c>
      <c r="DP32" t="str">
        <f ca="1"/>
        <v>Jidoor, Aristocratic Capital // Overture</v>
      </c>
      <c r="DQ32" t="str">
        <f ca="1"/>
        <v>Stonybrook Banneret</v>
      </c>
      <c r="DR32" t="str">
        <f ca="1"/>
        <v>Thran Dynamo</v>
      </c>
      <c r="DS32" t="str">
        <f ca="1"/>
        <v>Rimekin Recluse</v>
      </c>
      <c r="DT32" t="str">
        <f ca="1"/>
        <v>Hatchery Sliver</v>
      </c>
      <c r="DU32" t="str">
        <f ca="1"/>
        <v>Soul Immolation</v>
      </c>
      <c r="DW32" t="str">
        <f ca="1"/>
        <v>Scuzzback Scrounger</v>
      </c>
      <c r="DX32" t="str">
        <f ca="1"/>
        <v>Water Tribe Rallier</v>
      </c>
      <c r="DY32" t="str">
        <f ca="1"/>
        <v>Party Thrasher</v>
      </c>
      <c r="DZ32" t="str">
        <f ca="1"/>
        <v>Caves of Koilos</v>
      </c>
      <c r="EG32" t="str">
        <f ca="1"/>
        <v>Enduring Innocence</v>
      </c>
      <c r="EH32" t="str">
        <f ca="1"/>
        <v>Keen Duelist</v>
      </c>
      <c r="EI32" t="str">
        <f ca="1"/>
        <v>Dormant Sliver</v>
      </c>
      <c r="EJ32" t="str">
        <f ca="1"/>
        <v>Liquimetal Torque</v>
      </c>
      <c r="EK32" t="str">
        <f ca="1"/>
        <v>Havengul Laboratory</v>
      </c>
      <c r="EL32" t="str">
        <f ca="1"/>
        <v>Caves of Koilos</v>
      </c>
      <c r="EP32" t="str">
        <f ca="1"/>
        <v>Champions from Beyond</v>
      </c>
      <c r="EQ32" t="str">
        <f ca="1"/>
        <v>Congregation at Dawn</v>
      </c>
      <c r="ER32" t="str">
        <f ca="1"/>
        <v>Bonehoard Dracosaur</v>
      </c>
      <c r="EU32" t="str">
        <f ca="1"/>
        <v>Bitterblossom</v>
      </c>
      <c r="EV32" t="str">
        <f ca="1"/>
        <v>Bonehoard Dracosaur</v>
      </c>
      <c r="EX32" t="str">
        <f ca="1"/>
        <v>Assassin's Trophy</v>
      </c>
    </row>
    <row r="33" spans="1:154" x14ac:dyDescent="0.25">
      <c r="A33" s="2" t="str">
        <f t="shared" ca="1" si="1"/>
        <v>5</v>
      </c>
      <c r="B33" s="2">
        <f t="shared" ca="1" si="2"/>
        <v>1</v>
      </c>
      <c r="C33" s="2" t="str">
        <f ca="1">IFERROR(
 INDEX($V$1:$BL$1,
  MATCH(TRUE,
   CHOOSE({1;2;3;4;5;6;7;8;9;10;11;12;13;14;15;16;17;18;19;20;21;22;23;24;25;26;27;28;29;30;31;32;33;34;35;36;37;38;39;40;41;42;43},
    COUNTIFS($V$2:$V$200,$G33)&gt;0,
    COUNTIFS($W$2:$W$200,$G33)&gt;0,
    COUNTIFS($X$2:$X$200,$G33)&gt;0,
    COUNTIFS($Y$2:$Y$200,$G33)&gt;0,
    COUNTIFS($Z$2:$Z$200,$G33)&gt;0,
    COUNTIFS($AA$2:$AA$200,$G33)&gt;0,
    COUNTIFS($AB$2:$AB$200,$G33)&gt;0,
    COUNTIFS($AC$2:$AC$200,$G33)&gt;0,
    COUNTIFS($AD$2:$AD$200,$G33)&gt;0,
    COUNTIFS($AE$2:$AE$200,$G33)&gt;0,
    COUNTIFS($AF$2:$AF$200,$G33)&gt;0,
    COUNTIFS($AG$2:$AG$200,$G33)&gt;0,
    COUNTIFS($AH$2:$AH$200,$G33)&gt;0,
    COUNTIFS($AI$2:$AI$200,$G33)&gt;0,
    COUNTIFS($AJ$2:$AJ$200,$G33)&gt;0,
    COUNTIFS($AK$2:$AK$200,$G33)&gt;0,
    COUNTIFS($AL$2:$AL$200,$G33)&gt;0,
    COUNTIFS($AM$2:$AM$200,$G33)&gt;0,
    COUNTIFS($AN$2:$AN$200,$G33)&gt;0,
    COUNTIFS($AO$2:$AO$200,$G33)&gt;0,
    COUNTIFS($AP$2:$AP$200,$G33)&gt;0,
    COUNTIFS($AQ$2:$AQ$200,$G33)&gt;0,
    COUNTIFS($AR$2:$AR$200,$G33)&gt;0,
    COUNTIFS($AS$2:$AS$200,$G33)&gt;0,
    COUNTIFS($AT$2:$AT$200,$G33)&gt;0,
    COUNTIFS($AU$2:$AU$200,$G33)&gt;0,
    COUNTIFS($AV$2:$AV$200,$G33)&gt;0,
    COUNTIFS($AW$2:$AW$200,$G33)&gt;0,
    COUNTIFS($AX$2:$AX$200,$G33)&gt;0,
    COUNTIFS($AY$2:$AY$200,$G33)&gt;0,
    COUNTIFS($AZ$2:$AZ$200,$G33)&gt;0,
    COUNTIFS($BA$2:$BA$200,$G33)&gt;0,
    COUNTIFS($BB$2:$BB$200,$G33)&gt;0,
    COUNTIFS($BC$2:$BC$200,$G33)&gt;0,
    COUNTIFS($BD$2:$BD$200,$G33)&gt;0,
    COUNTIFS($BE$2:$BE$200,$G33)&gt;0,
    COUNTIFS($BF$2:$BF$200,$G33)&gt;0,
    COUNTIFS($BG$2:$BG$200,$G33)&gt;0,
    COUNTIFS($BH$2:$BH$200,$G33)&gt;0,
    COUNTIFS($BI$2:$BI$200,$G33)&gt;0,
    COUNTIFS($BJ$2:$BJ$200,$G33)&gt;0,
    COUNTIFS($BK$2:$BK$200,$G33)&gt;0,
    COUNTIFS($BL$2:$BL$200,$G33)&gt;0,
    COUNTIFS($BM$2:$BM$200,$G33)&gt;0,
   ),
  0)
 ),
"")</f>
        <v>4cRash</v>
      </c>
      <c r="D33" s="2" t="str" cm="1">
        <f t="array" aca="1" ref="D33" ca="1">IFERROR(
 INDEX(
  _xlfn._xlws.FILTER($V$1:$AY$1,
   TRANSPOSE(
    CHOOSE({1;2;3;4;5;6;7;8;9;10;11;12;13;14;15;16;17;18;19;20;21;22;23;24;25;26;27;28;29;30},
     COUNTIFS($V$2:$V$200,$G33)&gt;0,
     COUNTIFS($W$2:$W$200,$G33)&gt;0,
     COUNTIFS($X$2:$X$200,$G33)&gt;0,
     COUNTIFS($Y$2:$Y$200,$G33)&gt;0,
     COUNTIFS($Z$2:$Z$200,$G33)&gt;0,
     COUNTIFS($AA$2:$AA$200,$G33)&gt;0,
     COUNTIFS($AB$2:$AB$200,$G33)&gt;0,
     COUNTIFS($AC$2:$AC$200,$G33)&gt;0,
     COUNTIFS($AD$2:$AD$200,$G33)&gt;0,
     COUNTIFS($AE$2:$AE$200,$G33)&gt;0,
     COUNTIFS($AF$2:$AF$200,$G33)&gt;0,
     COUNTIFS($AG$2:$AG$200,$G33)&gt;0,
     COUNTIFS($AH$2:$AH$200,$G33)&gt;0,
     COUNTIFS($AI$2:$AI$200,$G33)&gt;0,
     COUNTIFS($AJ$2:$AJ$200,$G33)&gt;0,
     COUNTIFS($AK$2:$AK$200,$G33)&gt;0,
     COUNTIFS($AL$2:$AL$200,$G33)&gt;0,
     COUNTIFS($AM$2:$AM$200,$G33)&gt;0,
     COUNTIFS($AN$2:$AN$200,$G33)&gt;0,
     COUNTIFS($AO$2:$AO$200,$G33)&gt;0,
     COUNTIFS($AP$2:$AP$200,$G33)&gt;0,
     COUNTIFS($AQ$2:$AQ$200,$G33)&gt;0,
     COUNTIFS($AR$2:$AR$200,$G33)&gt;0,
     COUNTIFS($AS$2:$AS$200,$G33)&gt;0,
     COUNTIFS($AT$2:$AT$200,$G33)&gt;0,
     COUNTIFS($AU$2:$AU$200,$G33)&gt;0,
     COUNTIFS($AV$2:$AV$200,$G33)&gt;0,
     COUNTIFS($AW$2:$AW$200,$G33)&gt;0,
     COUNTIFS($AX$2:$AX$200,$G33)&gt;0,
     COUNTIFS($AY$2:$AY$200,$G33)&gt;0
   )),
  ),
  2
 ),
"")</f>
        <v/>
      </c>
      <c r="E33" s="2" t="str" cm="1">
        <f t="array" aca="1" ref="E33" ca="1">IFERROR(
 INDEX(
  _xlfn._xlws.FILTER($V$1:$AY$1,
   TRANSPOSE(
    CHOOSE({1;2;3;4;5;6;7;8;9;10;11;12;13;14;15;16;17;18;19;20;21;22;23;24;25;26;27;28;29;30},
     COUNTIFS($V$2:$V$200,$G33)&gt;0,
     COUNTIFS($W$2:$W$200,$G33)&gt;0,
     COUNTIFS($X$2:$X$200,$G33)&gt;0,
     COUNTIFS($Y$2:$Y$200,$G33)&gt;0,
     COUNTIFS($Z$2:$Z$200,$G33)&gt;0,
     COUNTIFS($AA$2:$AA$200,$G33)&gt;0,
     COUNTIFS($AB$2:$AB$200,$G33)&gt;0,
     COUNTIFS($AC$2:$AC$200,$G33)&gt;0,
     COUNTIFS($AD$2:$AD$200,$G33)&gt;0,
     COUNTIFS($AE$2:$AE$200,$G33)&gt;0,
     COUNTIFS($AF$2:$AF$200,$G33)&gt;0,
     COUNTIFS($AG$2:$AG$200,$G33)&gt;0,
     COUNTIFS($AH$2:$AH$200,$G33)&gt;0,
     COUNTIFS($AI$2:$AI$200,$G33)&gt;0,
     COUNTIFS($AJ$2:$AJ$200,$G33)&gt;0,
     COUNTIFS($AK$2:$AK$200,$G33)&gt;0,
     COUNTIFS($AL$2:$AL$200,$G33)&gt;0,
     COUNTIFS($AM$2:$AM$200,$G33)&gt;0,
     COUNTIFS($AN$2:$AN$200,$G33)&gt;0,
     COUNTIFS($AO$2:$AO$200,$G33)&gt;0,
     COUNTIFS($AP$2:$AP$200,$G33)&gt;0,
     COUNTIFS($AQ$2:$AQ$200,$G33)&gt;0,
     COUNTIFS($AR$2:$AR$200,$G33)&gt;0,
     COUNTIFS($AS$2:$AS$200,$G33)&gt;0,
     COUNTIFS($AT$2:$AT$200,$G33)&gt;0,
     COUNTIFS($AU$2:$AU$200,$G33)&gt;0,
     COUNTIFS($AV$2:$AV$200,$G33)&gt;0,
     COUNTIFS($AW$2:$AW$200,$G33)&gt;0,
     COUNTIFS($AX$2:$AX$200,$G33)&gt;0,
     COUNTIFS($AY$2:$AY$200,$G33)&gt;0
   )),
  ),
  3
 ),
"")</f>
        <v/>
      </c>
      <c r="F33" s="2" t="str" cm="1">
        <f t="array" aca="1" ref="F33" ca="1">IFERROR(
 INDEX(
  _xlfn._xlws.FILTER($V$1:$AY$1,
   TRANSPOSE(
    CHOOSE({1;2;3;4;5;6;7;8;9;10;11;12;13;14;15;16;17;18;19;20;21;22;23;24;25;26;27;28;29;30},
     COUNTIFS($V$2:$V$200,$G33)&gt;0,
     COUNTIFS($W$2:$W$200,$G33)&gt;0,
     COUNTIFS($X$2:$X$200,$G33)&gt;0,
     COUNTIFS($Y$2:$Y$200,$G33)&gt;0,
     COUNTIFS($Z$2:$Z$200,$G33)&gt;0,
     COUNTIFS($AA$2:$AA$200,$G33)&gt;0,
     COUNTIFS($AB$2:$AB$200,$G33)&gt;0,
     COUNTIFS($AC$2:$AC$200,$G33)&gt;0,
     COUNTIFS($AD$2:$AD$200,$G33)&gt;0,
     COUNTIFS($AE$2:$AE$200,$G33)&gt;0,
     COUNTIFS($AF$2:$AF$200,$G33)&gt;0,
     COUNTIFS($AG$2:$AG$200,$G33)&gt;0,
     COUNTIFS($AH$2:$AH$200,$G33)&gt;0,
     COUNTIFS($AI$2:$AI$200,$G33)&gt;0,
     COUNTIFS($AJ$2:$AJ$200,$G33)&gt;0,
     COUNTIFS($AK$2:$AK$200,$G33)&gt;0,
     COUNTIFS($AL$2:$AL$200,$G33)&gt;0,
     COUNTIFS($AM$2:$AM$200,$G33)&gt;0,
     COUNTIFS($AN$2:$AN$200,$G33)&gt;0,
     COUNTIFS($AO$2:$AO$200,$G33)&gt;0,
     COUNTIFS($AP$2:$AP$200,$G33)&gt;0,
     COUNTIFS($AQ$2:$AQ$200,$G33)&gt;0,
     COUNTIFS($AR$2:$AR$200,$G33)&gt;0,
     COUNTIFS($AS$2:$AS$200,$G33)&gt;0,
     COUNTIFS($AT$2:$AT$200,$G33)&gt;0,
     COUNTIFS($AU$2:$AU$200,$G33)&gt;0,
     COUNTIFS($AV$2:$AV$200,$G33)&gt;0,
     COUNTIFS($AW$2:$AW$200,$G33)&gt;0,
     COUNTIFS($AX$2:$AX$200,$G33)&gt;0,
     COUNTIFS($AY$2:$AY$200,$G33)&gt;0
   )),
  ),
  4
 ),
"")</f>
        <v/>
      </c>
      <c r="G33" t="str">
        <f ca="1"/>
        <v>Atarka's Command</v>
      </c>
      <c r="J33" t="s">
        <v>36</v>
      </c>
      <c r="K33" s="2">
        <f>[1]Inalla!G2</f>
        <v>12</v>
      </c>
      <c r="L33" s="2" t="s">
        <v>3</v>
      </c>
      <c r="M33" s="2" t="s">
        <v>2</v>
      </c>
      <c r="N33" s="2" t="s">
        <v>2</v>
      </c>
      <c r="O33" s="2" t="s">
        <v>2</v>
      </c>
      <c r="P33" s="2" t="s">
        <v>3</v>
      </c>
      <c r="Q33" s="2" t="s">
        <v>7</v>
      </c>
      <c r="R33" s="2" t="s">
        <v>4</v>
      </c>
      <c r="S33" s="2" t="s">
        <v>35</v>
      </c>
      <c r="T33" s="2" t="str">
        <f t="shared" si="5"/>
        <v>3</v>
      </c>
      <c r="AO33" t="str">
        <v>Hollowhead Sliver</v>
      </c>
      <c r="BE33" t="str">
        <v>Hare Apparent</v>
      </c>
      <c r="BI33" t="str">
        <v>Mountain</v>
      </c>
      <c r="BJ33" t="str">
        <v>Forest</v>
      </c>
      <c r="BL33" t="str">
        <v>Forest</v>
      </c>
      <c r="CI33" t="str">
        <f ca="1"/>
        <v>The Shire</v>
      </c>
      <c r="CJ33" t="str">
        <f ca="1"/>
        <v>Summon: Ixion</v>
      </c>
      <c r="CR33" t="str">
        <f ca="1"/>
        <v>Hibernation Sliver</v>
      </c>
      <c r="CW33" t="str">
        <f ca="1"/>
        <v>Serrated Biskelion</v>
      </c>
      <c r="CZ33" t="str">
        <f ca="1"/>
        <v>Waterbender's Restoration</v>
      </c>
      <c r="DB33" t="str">
        <f ca="1"/>
        <v>Path to Exile</v>
      </c>
      <c r="DC33" t="str">
        <f ca="1"/>
        <v>Isshin, Two Heavens as One</v>
      </c>
      <c r="DD33" t="str">
        <f ca="1"/>
        <v>Guttersnipe</v>
      </c>
      <c r="DP33" t="str">
        <f ca="1"/>
        <v>Karplusan Forest</v>
      </c>
      <c r="DQ33" t="str">
        <f ca="1"/>
        <v>Tainted Field</v>
      </c>
      <c r="DR33" t="str">
        <f ca="1"/>
        <v>Titania, Voice of Gaea</v>
      </c>
      <c r="DS33" t="str">
        <f ca="1"/>
        <v>Ripples of Potential</v>
      </c>
      <c r="DT33" t="str">
        <f ca="1"/>
        <v>Haunted Crossroads</v>
      </c>
      <c r="DU33" t="str">
        <f ca="1"/>
        <v>Spirit Water Revival</v>
      </c>
      <c r="DW33" t="str">
        <f ca="1"/>
        <v>Serrated Biskelion</v>
      </c>
      <c r="DX33" t="str">
        <f ca="1"/>
        <v>Waterbender's Restoration</v>
      </c>
      <c r="DY33" t="str">
        <f ca="1"/>
        <v>Path to Exile</v>
      </c>
      <c r="DZ33" t="str">
        <f ca="1"/>
        <v>Chaos Warp</v>
      </c>
      <c r="EG33" t="str">
        <f ca="1"/>
        <v>Enterprising Scallywag</v>
      </c>
      <c r="EH33" t="str">
        <f ca="1"/>
        <v>Kellan, the Fae-Blooded // Birthright Boon</v>
      </c>
      <c r="EI33" t="str">
        <f ca="1"/>
        <v>Dregscape Sliver</v>
      </c>
      <c r="EJ33" t="str">
        <f ca="1"/>
        <v>Lithoform Engine</v>
      </c>
      <c r="EK33" t="str">
        <f ca="1"/>
        <v>Headliner Scarlett</v>
      </c>
      <c r="EL33" t="str">
        <f ca="1"/>
        <v>Chaos Warp</v>
      </c>
      <c r="EP33" t="str">
        <f ca="1"/>
        <v>Champions of the Shoal</v>
      </c>
      <c r="EQ33" t="str">
        <f ca="1"/>
        <v>Constricting Sliver</v>
      </c>
      <c r="ER33" t="str">
        <f ca="1"/>
        <v>Boros Charm</v>
      </c>
      <c r="EU33" t="str">
        <f ca="1"/>
        <v>Blasphemous Act</v>
      </c>
      <c r="EV33" t="str">
        <f ca="1"/>
        <v>Boros Charm</v>
      </c>
      <c r="EX33" t="str">
        <f ca="1"/>
        <v>Atarka's Command</v>
      </c>
    </row>
    <row r="34" spans="1:154" x14ac:dyDescent="0.25">
      <c r="A34" s="2" t="str">
        <f t="shared" ca="1" si="1"/>
        <v>4</v>
      </c>
      <c r="B34" s="2">
        <f t="shared" ca="1" si="2"/>
        <v>2</v>
      </c>
      <c r="C34" s="2" t="str">
        <f ca="1">IFERROR(
 INDEX($V$1:$BL$1,
  MATCH(TRUE,
   CHOOSE({1;2;3;4;5;6;7;8;9;10;11;12;13;14;15;16;17;18;19;20;21;22;23;24;25;26;27;28;29;30;31;32;33;34;35;36;37;38;39;40;41;42;43},
    COUNTIFS($V$2:$V$200,$G34)&gt;0,
    COUNTIFS($W$2:$W$200,$G34)&gt;0,
    COUNTIFS($X$2:$X$200,$G34)&gt;0,
    COUNTIFS($Y$2:$Y$200,$G34)&gt;0,
    COUNTIFS($Z$2:$Z$200,$G34)&gt;0,
    COUNTIFS($AA$2:$AA$200,$G34)&gt;0,
    COUNTIFS($AB$2:$AB$200,$G34)&gt;0,
    COUNTIFS($AC$2:$AC$200,$G34)&gt;0,
    COUNTIFS($AD$2:$AD$200,$G34)&gt;0,
    COUNTIFS($AE$2:$AE$200,$G34)&gt;0,
    COUNTIFS($AF$2:$AF$200,$G34)&gt;0,
    COUNTIFS($AG$2:$AG$200,$G34)&gt;0,
    COUNTIFS($AH$2:$AH$200,$G34)&gt;0,
    COUNTIFS($AI$2:$AI$200,$G34)&gt;0,
    COUNTIFS($AJ$2:$AJ$200,$G34)&gt;0,
    COUNTIFS($AK$2:$AK$200,$G34)&gt;0,
    COUNTIFS($AL$2:$AL$200,$G34)&gt;0,
    COUNTIFS($AM$2:$AM$200,$G34)&gt;0,
    COUNTIFS($AN$2:$AN$200,$G34)&gt;0,
    COUNTIFS($AO$2:$AO$200,$G34)&gt;0,
    COUNTIFS($AP$2:$AP$200,$G34)&gt;0,
    COUNTIFS($AQ$2:$AQ$200,$G34)&gt;0,
    COUNTIFS($AR$2:$AR$200,$G34)&gt;0,
    COUNTIFS($AS$2:$AS$200,$G34)&gt;0,
    COUNTIFS($AT$2:$AT$200,$G34)&gt;0,
    COUNTIFS($AU$2:$AU$200,$G34)&gt;0,
    COUNTIFS($AV$2:$AV$200,$G34)&gt;0,
    COUNTIFS($AW$2:$AW$200,$G34)&gt;0,
    COUNTIFS($AX$2:$AX$200,$G34)&gt;0,
    COUNTIFS($AY$2:$AY$200,$G34)&gt;0,
    COUNTIFS($AZ$2:$AZ$200,$G34)&gt;0,
    COUNTIFS($BA$2:$BA$200,$G34)&gt;0,
    COUNTIFS($BB$2:$BB$200,$G34)&gt;0,
    COUNTIFS($BC$2:$BC$200,$G34)&gt;0,
    COUNTIFS($BD$2:$BD$200,$G34)&gt;0,
    COUNTIFS($BE$2:$BE$200,$G34)&gt;0,
    COUNTIFS($BF$2:$BF$200,$G34)&gt;0,
    COUNTIFS($BG$2:$BG$200,$G34)&gt;0,
    COUNTIFS($BH$2:$BH$200,$G34)&gt;0,
    COUNTIFS($BI$2:$BI$200,$G34)&gt;0,
    COUNTIFS($BJ$2:$BJ$200,$G34)&gt;0,
    COUNTIFS($BK$2:$BK$200,$G34)&gt;0,
    COUNTIFS($BL$2:$BL$200,$G34)&gt;0,
    COUNTIFS($BM$2:$BM$200,$G34)&gt;0,
   ),
  0)
 ),
"")</f>
        <v>Baylen</v>
      </c>
      <c r="D34" s="2" t="str" cm="1">
        <f t="array" aca="1" ref="D34" ca="1">IFERROR(
 INDEX(
  _xlfn._xlws.FILTER($V$1:$AY$1,
   TRANSPOSE(
    CHOOSE({1;2;3;4;5;6;7;8;9;10;11;12;13;14;15;16;17;18;19;20;21;22;23;24;25;26;27;28;29;30},
     COUNTIFS($V$2:$V$200,$G34)&gt;0,
     COUNTIFS($W$2:$W$200,$G34)&gt;0,
     COUNTIFS($X$2:$X$200,$G34)&gt;0,
     COUNTIFS($Y$2:$Y$200,$G34)&gt;0,
     COUNTIFS($Z$2:$Z$200,$G34)&gt;0,
     COUNTIFS($AA$2:$AA$200,$G34)&gt;0,
     COUNTIFS($AB$2:$AB$200,$G34)&gt;0,
     COUNTIFS($AC$2:$AC$200,$G34)&gt;0,
     COUNTIFS($AD$2:$AD$200,$G34)&gt;0,
     COUNTIFS($AE$2:$AE$200,$G34)&gt;0,
     COUNTIFS($AF$2:$AF$200,$G34)&gt;0,
     COUNTIFS($AG$2:$AG$200,$G34)&gt;0,
     COUNTIFS($AH$2:$AH$200,$G34)&gt;0,
     COUNTIFS($AI$2:$AI$200,$G34)&gt;0,
     COUNTIFS($AJ$2:$AJ$200,$G34)&gt;0,
     COUNTIFS($AK$2:$AK$200,$G34)&gt;0,
     COUNTIFS($AL$2:$AL$200,$G34)&gt;0,
     COUNTIFS($AM$2:$AM$200,$G34)&gt;0,
     COUNTIFS($AN$2:$AN$200,$G34)&gt;0,
     COUNTIFS($AO$2:$AO$200,$G34)&gt;0,
     COUNTIFS($AP$2:$AP$200,$G34)&gt;0,
     COUNTIFS($AQ$2:$AQ$200,$G34)&gt;0,
     COUNTIFS($AR$2:$AR$200,$G34)&gt;0,
     COUNTIFS($AS$2:$AS$200,$G34)&gt;0,
     COUNTIFS($AT$2:$AT$200,$G34)&gt;0,
     COUNTIFS($AU$2:$AU$200,$G34)&gt;0,
     COUNTIFS($AV$2:$AV$200,$G34)&gt;0,
     COUNTIFS($AW$2:$AW$200,$G34)&gt;0,
     COUNTIFS($AX$2:$AX$200,$G34)&gt;0,
     COUNTIFS($AY$2:$AY$200,$G34)&gt;0
   )),
  ),
  2
 ),
"")</f>
        <v/>
      </c>
      <c r="E34" s="2" t="str" cm="1">
        <f t="array" aca="1" ref="E34" ca="1">IFERROR(
 INDEX(
  _xlfn._xlws.FILTER($V$1:$AY$1,
   TRANSPOSE(
    CHOOSE({1;2;3;4;5;6;7;8;9;10;11;12;13;14;15;16;17;18;19;20;21;22;23;24;25;26;27;28;29;30},
     COUNTIFS($V$2:$V$200,$G34)&gt;0,
     COUNTIFS($W$2:$W$200,$G34)&gt;0,
     COUNTIFS($X$2:$X$200,$G34)&gt;0,
     COUNTIFS($Y$2:$Y$200,$G34)&gt;0,
     COUNTIFS($Z$2:$Z$200,$G34)&gt;0,
     COUNTIFS($AA$2:$AA$200,$G34)&gt;0,
     COUNTIFS($AB$2:$AB$200,$G34)&gt;0,
     COUNTIFS($AC$2:$AC$200,$G34)&gt;0,
     COUNTIFS($AD$2:$AD$200,$G34)&gt;0,
     COUNTIFS($AE$2:$AE$200,$G34)&gt;0,
     COUNTIFS($AF$2:$AF$200,$G34)&gt;0,
     COUNTIFS($AG$2:$AG$200,$G34)&gt;0,
     COUNTIFS($AH$2:$AH$200,$G34)&gt;0,
     COUNTIFS($AI$2:$AI$200,$G34)&gt;0,
     COUNTIFS($AJ$2:$AJ$200,$G34)&gt;0,
     COUNTIFS($AK$2:$AK$200,$G34)&gt;0,
     COUNTIFS($AL$2:$AL$200,$G34)&gt;0,
     COUNTIFS($AM$2:$AM$200,$G34)&gt;0,
     COUNTIFS($AN$2:$AN$200,$G34)&gt;0,
     COUNTIFS($AO$2:$AO$200,$G34)&gt;0,
     COUNTIFS($AP$2:$AP$200,$G34)&gt;0,
     COUNTIFS($AQ$2:$AQ$200,$G34)&gt;0,
     COUNTIFS($AR$2:$AR$200,$G34)&gt;0,
     COUNTIFS($AS$2:$AS$200,$G34)&gt;0,
     COUNTIFS($AT$2:$AT$200,$G34)&gt;0,
     COUNTIFS($AU$2:$AU$200,$G34)&gt;0,
     COUNTIFS($AV$2:$AV$200,$G34)&gt;0,
     COUNTIFS($AW$2:$AW$200,$G34)&gt;0,
     COUNTIFS($AX$2:$AX$200,$G34)&gt;0,
     COUNTIFS($AY$2:$AY$200,$G34)&gt;0
   )),
  ),
  3
 ),
"")</f>
        <v/>
      </c>
      <c r="F34" s="2" t="str" cm="1">
        <f t="array" aca="1" ref="F34" ca="1">IFERROR(
 INDEX(
  _xlfn._xlws.FILTER($V$1:$AY$1,
   TRANSPOSE(
    CHOOSE({1;2;3;4;5;6;7;8;9;10;11;12;13;14;15;16;17;18;19;20;21;22;23;24;25;26;27;28;29;30},
     COUNTIFS($V$2:$V$200,$G34)&gt;0,
     COUNTIFS($W$2:$W$200,$G34)&gt;0,
     COUNTIFS($X$2:$X$200,$G34)&gt;0,
     COUNTIFS($Y$2:$Y$200,$G34)&gt;0,
     COUNTIFS($Z$2:$Z$200,$G34)&gt;0,
     COUNTIFS($AA$2:$AA$200,$G34)&gt;0,
     COUNTIFS($AB$2:$AB$200,$G34)&gt;0,
     COUNTIFS($AC$2:$AC$200,$G34)&gt;0,
     COUNTIFS($AD$2:$AD$200,$G34)&gt;0,
     COUNTIFS($AE$2:$AE$200,$G34)&gt;0,
     COUNTIFS($AF$2:$AF$200,$G34)&gt;0,
     COUNTIFS($AG$2:$AG$200,$G34)&gt;0,
     COUNTIFS($AH$2:$AH$200,$G34)&gt;0,
     COUNTIFS($AI$2:$AI$200,$G34)&gt;0,
     COUNTIFS($AJ$2:$AJ$200,$G34)&gt;0,
     COUNTIFS($AK$2:$AK$200,$G34)&gt;0,
     COUNTIFS($AL$2:$AL$200,$G34)&gt;0,
     COUNTIFS($AM$2:$AM$200,$G34)&gt;0,
     COUNTIFS($AN$2:$AN$200,$G34)&gt;0,
     COUNTIFS($AO$2:$AO$200,$G34)&gt;0,
     COUNTIFS($AP$2:$AP$200,$G34)&gt;0,
     COUNTIFS($AQ$2:$AQ$200,$G34)&gt;0,
     COUNTIFS($AR$2:$AR$200,$G34)&gt;0,
     COUNTIFS($AS$2:$AS$200,$G34)&gt;0,
     COUNTIFS($AT$2:$AT$200,$G34)&gt;0,
     COUNTIFS($AU$2:$AU$200,$G34)&gt;0,
     COUNTIFS($AV$2:$AV$200,$G34)&gt;0,
     COUNTIFS($AW$2:$AW$200,$G34)&gt;0,
     COUNTIFS($AX$2:$AX$200,$G34)&gt;0,
     COUNTIFS($AY$2:$AY$200,$G34)&gt;0
   )),
  ),
  4
 ),
"")</f>
        <v/>
      </c>
      <c r="G34" t="str">
        <f ca="1"/>
        <v>Aura Mutation</v>
      </c>
      <c r="L34" s="2" t="s">
        <v>3</v>
      </c>
      <c r="M34" s="2" t="s">
        <v>2</v>
      </c>
      <c r="N34" s="2" t="s">
        <v>2</v>
      </c>
      <c r="O34" s="2" t="s">
        <v>3</v>
      </c>
      <c r="P34" s="2" t="s">
        <v>2</v>
      </c>
      <c r="T34" s="2" t="str">
        <f t="shared" si="5"/>
        <v>1</v>
      </c>
      <c r="AO34" t="str">
        <v>Homing Sliver</v>
      </c>
      <c r="BE34" t="str">
        <v>Hare Apparent</v>
      </c>
      <c r="BI34" t="str">
        <v>Mountain</v>
      </c>
      <c r="BJ34" t="str">
        <v>Forest</v>
      </c>
      <c r="BL34" t="str">
        <v>Forest</v>
      </c>
      <c r="CI34" t="str">
        <f ca="1"/>
        <v>Treasure Vault</v>
      </c>
      <c r="CJ34" t="str">
        <f ca="1"/>
        <v>Sunpetal Grove</v>
      </c>
      <c r="CR34" t="str">
        <f ca="1"/>
        <v>Hollowhead Sliver</v>
      </c>
      <c r="CW34" t="str">
        <f ca="1"/>
        <v>Sol Ring</v>
      </c>
      <c r="CZ34" t="e">
        <f ca="1"/>
        <v>#REF!</v>
      </c>
      <c r="DB34" t="str">
        <f ca="1"/>
        <v>Plains</v>
      </c>
      <c r="DC34" t="str">
        <f ca="1"/>
        <v>Kabira Takedown</v>
      </c>
      <c r="DD34" t="str">
        <f ca="1"/>
        <v>Harrow</v>
      </c>
      <c r="DP34" t="str">
        <f ca="1"/>
        <v>Khorvath's Fury</v>
      </c>
      <c r="DQ34" t="str">
        <f ca="1"/>
        <v>Takenuma, Abandoned Mire</v>
      </c>
      <c r="DR34" t="str">
        <f ca="1"/>
        <v>Ulamog, the Defiler</v>
      </c>
      <c r="DS34" t="str">
        <f ca="1"/>
        <v>Rivendell</v>
      </c>
      <c r="DT34" t="str">
        <f ca="1"/>
        <v>Heart Sliver</v>
      </c>
      <c r="DU34" t="str">
        <f ca="1"/>
        <v>Strix Serenade</v>
      </c>
      <c r="DW34" t="str">
        <f ca="1"/>
        <v>Sol Ring</v>
      </c>
      <c r="DX34" t="e">
        <f ca="1"/>
        <v>#REF!</v>
      </c>
      <c r="DY34" t="str">
        <f ca="1"/>
        <v>Plains</v>
      </c>
      <c r="DZ34" t="str">
        <f ca="1"/>
        <v>Cinder Glade</v>
      </c>
      <c r="EG34" t="str">
        <f ca="1"/>
        <v>Exalted Sunborn</v>
      </c>
      <c r="EH34" t="str">
        <f ca="1"/>
        <v>Kozilek, the Broken Reality</v>
      </c>
      <c r="EI34" t="str">
        <f ca="1"/>
        <v>Eladamri's Call</v>
      </c>
      <c r="EJ34" t="str">
        <f ca="1"/>
        <v>Magda, the Hoardmaster</v>
      </c>
      <c r="EK34" t="str">
        <f ca="1"/>
        <v>Inventors' Fair</v>
      </c>
      <c r="EL34" t="str">
        <f ca="1"/>
        <v>Cinder Glade</v>
      </c>
      <c r="EP34" t="str">
        <f ca="1"/>
        <v>Chaos Warp</v>
      </c>
      <c r="EQ34" t="str">
        <f ca="1"/>
        <v>Contagion Engine</v>
      </c>
      <c r="ER34" t="str">
        <f ca="1"/>
        <v>Bre of Clan Stoutarm</v>
      </c>
      <c r="EU34" t="str">
        <f ca="1"/>
        <v>Bojuka Bog</v>
      </c>
      <c r="EV34" t="str">
        <f ca="1"/>
        <v>Bre of Clan Stoutarm</v>
      </c>
      <c r="EX34" t="str">
        <f ca="1"/>
        <v>Aura Mutation</v>
      </c>
    </row>
    <row r="35" spans="1:154" x14ac:dyDescent="0.25">
      <c r="A35" s="2" t="str">
        <f t="shared" ca="1" si="1"/>
        <v>5</v>
      </c>
      <c r="B35" s="2">
        <f t="shared" ca="1" si="2"/>
        <v>1</v>
      </c>
      <c r="C35" s="2" t="str">
        <f ca="1">IFERROR(
 INDEX($V$1:$BL$1,
  MATCH(TRUE,
   CHOOSE({1;2;3;4;5;6;7;8;9;10;11;12;13;14;15;16;17;18;19;20;21;22;23;24;25;26;27;28;29;30;31;32;33;34;35;36;37;38;39;40;41;42;43},
    COUNTIFS($V$2:$V$200,$G35)&gt;0,
    COUNTIFS($W$2:$W$200,$G35)&gt;0,
    COUNTIFS($X$2:$X$200,$G35)&gt;0,
    COUNTIFS($Y$2:$Y$200,$G35)&gt;0,
    COUNTIFS($Z$2:$Z$200,$G35)&gt;0,
    COUNTIFS($AA$2:$AA$200,$G35)&gt;0,
    COUNTIFS($AB$2:$AB$200,$G35)&gt;0,
    COUNTIFS($AC$2:$AC$200,$G35)&gt;0,
    COUNTIFS($AD$2:$AD$200,$G35)&gt;0,
    COUNTIFS($AE$2:$AE$200,$G35)&gt;0,
    COUNTIFS($AF$2:$AF$200,$G35)&gt;0,
    COUNTIFS($AG$2:$AG$200,$G35)&gt;0,
    COUNTIFS($AH$2:$AH$200,$G35)&gt;0,
    COUNTIFS($AI$2:$AI$200,$G35)&gt;0,
    COUNTIFS($AJ$2:$AJ$200,$G35)&gt;0,
    COUNTIFS($AK$2:$AK$200,$G35)&gt;0,
    COUNTIFS($AL$2:$AL$200,$G35)&gt;0,
    COUNTIFS($AM$2:$AM$200,$G35)&gt;0,
    COUNTIFS($AN$2:$AN$200,$G35)&gt;0,
    COUNTIFS($AO$2:$AO$200,$G35)&gt;0,
    COUNTIFS($AP$2:$AP$200,$G35)&gt;0,
    COUNTIFS($AQ$2:$AQ$200,$G35)&gt;0,
    COUNTIFS($AR$2:$AR$200,$G35)&gt;0,
    COUNTIFS($AS$2:$AS$200,$G35)&gt;0,
    COUNTIFS($AT$2:$AT$200,$G35)&gt;0,
    COUNTIFS($AU$2:$AU$200,$G35)&gt;0,
    COUNTIFS($AV$2:$AV$200,$G35)&gt;0,
    COUNTIFS($AW$2:$AW$200,$G35)&gt;0,
    COUNTIFS($AX$2:$AX$200,$G35)&gt;0,
    COUNTIFS($AY$2:$AY$200,$G35)&gt;0,
    COUNTIFS($AZ$2:$AZ$200,$G35)&gt;0,
    COUNTIFS($BA$2:$BA$200,$G35)&gt;0,
    COUNTIFS($BB$2:$BB$200,$G35)&gt;0,
    COUNTIFS($BC$2:$BC$200,$G35)&gt;0,
    COUNTIFS($BD$2:$BD$200,$G35)&gt;0,
    COUNTIFS($BE$2:$BE$200,$G35)&gt;0,
    COUNTIFS($BF$2:$BF$200,$G35)&gt;0,
    COUNTIFS($BG$2:$BG$200,$G35)&gt;0,
    COUNTIFS($BH$2:$BH$200,$G35)&gt;0,
    COUNTIFS($BI$2:$BI$200,$G35)&gt;0,
    COUNTIFS($BJ$2:$BJ$200,$G35)&gt;0,
    COUNTIFS($BK$2:$BK$200,$G35)&gt;0,
    COUNTIFS($BL$2:$BL$200,$G35)&gt;0,
    COUNTIFS($BM$2:$BM$200,$G35)&gt;0,
   ),
  0)
 ),
"")</f>
        <v>Little</v>
      </c>
      <c r="D35" s="2" t="str" cm="1">
        <f t="array" aca="1" ref="D35" ca="1">IFERROR(
 INDEX(
  _xlfn._xlws.FILTER($V$1:$AY$1,
   TRANSPOSE(
    CHOOSE({1;2;3;4;5;6;7;8;9;10;11;12;13;14;15;16;17;18;19;20;21;22;23;24;25;26;27;28;29;30},
     COUNTIFS($V$2:$V$200,$G35)&gt;0,
     COUNTIFS($W$2:$W$200,$G35)&gt;0,
     COUNTIFS($X$2:$X$200,$G35)&gt;0,
     COUNTIFS($Y$2:$Y$200,$G35)&gt;0,
     COUNTIFS($Z$2:$Z$200,$G35)&gt;0,
     COUNTIFS($AA$2:$AA$200,$G35)&gt;0,
     COUNTIFS($AB$2:$AB$200,$G35)&gt;0,
     COUNTIFS($AC$2:$AC$200,$G35)&gt;0,
     COUNTIFS($AD$2:$AD$200,$G35)&gt;0,
     COUNTIFS($AE$2:$AE$200,$G35)&gt;0,
     COUNTIFS($AF$2:$AF$200,$G35)&gt;0,
     COUNTIFS($AG$2:$AG$200,$G35)&gt;0,
     COUNTIFS($AH$2:$AH$200,$G35)&gt;0,
     COUNTIFS($AI$2:$AI$200,$G35)&gt;0,
     COUNTIFS($AJ$2:$AJ$200,$G35)&gt;0,
     COUNTIFS($AK$2:$AK$200,$G35)&gt;0,
     COUNTIFS($AL$2:$AL$200,$G35)&gt;0,
     COUNTIFS($AM$2:$AM$200,$G35)&gt;0,
     COUNTIFS($AN$2:$AN$200,$G35)&gt;0,
     COUNTIFS($AO$2:$AO$200,$G35)&gt;0,
     COUNTIFS($AP$2:$AP$200,$G35)&gt;0,
     COUNTIFS($AQ$2:$AQ$200,$G35)&gt;0,
     COUNTIFS($AR$2:$AR$200,$G35)&gt;0,
     COUNTIFS($AS$2:$AS$200,$G35)&gt;0,
     COUNTIFS($AT$2:$AT$200,$G35)&gt;0,
     COUNTIFS($AU$2:$AU$200,$G35)&gt;0,
     COUNTIFS($AV$2:$AV$200,$G35)&gt;0,
     COUNTIFS($AW$2:$AW$200,$G35)&gt;0,
     COUNTIFS($AX$2:$AX$200,$G35)&gt;0,
     COUNTIFS($AY$2:$AY$200,$G35)&gt;0
   )),
  ),
  2
 ),
"")</f>
        <v/>
      </c>
      <c r="E35" s="2" t="str" cm="1">
        <f t="array" aca="1" ref="E35" ca="1">IFERROR(
 INDEX(
  _xlfn._xlws.FILTER($V$1:$AY$1,
   TRANSPOSE(
    CHOOSE({1;2;3;4;5;6;7;8;9;10;11;12;13;14;15;16;17;18;19;20;21;22;23;24;25;26;27;28;29;30},
     COUNTIFS($V$2:$V$200,$G35)&gt;0,
     COUNTIFS($W$2:$W$200,$G35)&gt;0,
     COUNTIFS($X$2:$X$200,$G35)&gt;0,
     COUNTIFS($Y$2:$Y$200,$G35)&gt;0,
     COUNTIFS($Z$2:$Z$200,$G35)&gt;0,
     COUNTIFS($AA$2:$AA$200,$G35)&gt;0,
     COUNTIFS($AB$2:$AB$200,$G35)&gt;0,
     COUNTIFS($AC$2:$AC$200,$G35)&gt;0,
     COUNTIFS($AD$2:$AD$200,$G35)&gt;0,
     COUNTIFS($AE$2:$AE$200,$G35)&gt;0,
     COUNTIFS($AF$2:$AF$200,$G35)&gt;0,
     COUNTIFS($AG$2:$AG$200,$G35)&gt;0,
     COUNTIFS($AH$2:$AH$200,$G35)&gt;0,
     COUNTIFS($AI$2:$AI$200,$G35)&gt;0,
     COUNTIFS($AJ$2:$AJ$200,$G35)&gt;0,
     COUNTIFS($AK$2:$AK$200,$G35)&gt;0,
     COUNTIFS($AL$2:$AL$200,$G35)&gt;0,
     COUNTIFS($AM$2:$AM$200,$G35)&gt;0,
     COUNTIFS($AN$2:$AN$200,$G35)&gt;0,
     COUNTIFS($AO$2:$AO$200,$G35)&gt;0,
     COUNTIFS($AP$2:$AP$200,$G35)&gt;0,
     COUNTIFS($AQ$2:$AQ$200,$G35)&gt;0,
     COUNTIFS($AR$2:$AR$200,$G35)&gt;0,
     COUNTIFS($AS$2:$AS$200,$G35)&gt;0,
     COUNTIFS($AT$2:$AT$200,$G35)&gt;0,
     COUNTIFS($AU$2:$AU$200,$G35)&gt;0,
     COUNTIFS($AV$2:$AV$200,$G35)&gt;0,
     COUNTIFS($AW$2:$AW$200,$G35)&gt;0,
     COUNTIFS($AX$2:$AX$200,$G35)&gt;0,
     COUNTIFS($AY$2:$AY$200,$G35)&gt;0
   )),
  ),
  3
 ),
"")</f>
        <v/>
      </c>
      <c r="F35" s="2" t="str" cm="1">
        <f t="array" aca="1" ref="F35" ca="1">IFERROR(
 INDEX(
  _xlfn._xlws.FILTER($V$1:$AY$1,
   TRANSPOSE(
    CHOOSE({1;2;3;4;5;6;7;8;9;10;11;12;13;14;15;16;17;18;19;20;21;22;23;24;25;26;27;28;29;30},
     COUNTIFS($V$2:$V$200,$G35)&gt;0,
     COUNTIFS($W$2:$W$200,$G35)&gt;0,
     COUNTIFS($X$2:$X$200,$G35)&gt;0,
     COUNTIFS($Y$2:$Y$200,$G35)&gt;0,
     COUNTIFS($Z$2:$Z$200,$G35)&gt;0,
     COUNTIFS($AA$2:$AA$200,$G35)&gt;0,
     COUNTIFS($AB$2:$AB$200,$G35)&gt;0,
     COUNTIFS($AC$2:$AC$200,$G35)&gt;0,
     COUNTIFS($AD$2:$AD$200,$G35)&gt;0,
     COUNTIFS($AE$2:$AE$200,$G35)&gt;0,
     COUNTIFS($AF$2:$AF$200,$G35)&gt;0,
     COUNTIFS($AG$2:$AG$200,$G35)&gt;0,
     COUNTIFS($AH$2:$AH$200,$G35)&gt;0,
     COUNTIFS($AI$2:$AI$200,$G35)&gt;0,
     COUNTIFS($AJ$2:$AJ$200,$G35)&gt;0,
     COUNTIFS($AK$2:$AK$200,$G35)&gt;0,
     COUNTIFS($AL$2:$AL$200,$G35)&gt;0,
     COUNTIFS($AM$2:$AM$200,$G35)&gt;0,
     COUNTIFS($AN$2:$AN$200,$G35)&gt;0,
     COUNTIFS($AO$2:$AO$200,$G35)&gt;0,
     COUNTIFS($AP$2:$AP$200,$G35)&gt;0,
     COUNTIFS($AQ$2:$AQ$200,$G35)&gt;0,
     COUNTIFS($AR$2:$AR$200,$G35)&gt;0,
     COUNTIFS($AS$2:$AS$200,$G35)&gt;0,
     COUNTIFS($AT$2:$AT$200,$G35)&gt;0,
     COUNTIFS($AU$2:$AU$200,$G35)&gt;0,
     COUNTIFS($AV$2:$AV$200,$G35)&gt;0,
     COUNTIFS($AW$2:$AW$200,$G35)&gt;0,
     COUNTIFS($AX$2:$AX$200,$G35)&gt;0,
     COUNTIFS($AY$2:$AY$200,$G35)&gt;0
   )),
  ),
  4
 ),
"")</f>
        <v/>
      </c>
      <c r="G35" t="str">
        <f ca="1"/>
        <v>Aurelia, the Law Above</v>
      </c>
      <c r="J35" t="s">
        <v>49</v>
      </c>
      <c r="K35" s="2">
        <f>[1]Zimone!G2</f>
        <v>9</v>
      </c>
      <c r="L35" s="2" t="s">
        <v>3</v>
      </c>
      <c r="M35" s="2" t="s">
        <v>2</v>
      </c>
      <c r="N35" s="2" t="s">
        <v>3</v>
      </c>
      <c r="O35" s="2" t="s">
        <v>2</v>
      </c>
      <c r="P35" s="2" t="s">
        <v>2</v>
      </c>
      <c r="Q35" s="2" t="s">
        <v>1</v>
      </c>
      <c r="R35" s="2" t="s">
        <v>4</v>
      </c>
      <c r="S35" s="2" t="s">
        <v>48</v>
      </c>
      <c r="T35" s="2" t="str">
        <f t="shared" si="5"/>
        <v>2</v>
      </c>
      <c r="AO35" t="str">
        <v>Hunter Sliver</v>
      </c>
      <c r="BE35" t="str">
        <v>Island</v>
      </c>
      <c r="BI35" t="str">
        <v>Nomad Outpost</v>
      </c>
      <c r="BJ35" t="str">
        <v>Isolated Chapel</v>
      </c>
      <c r="BL35" t="str">
        <v>Forest</v>
      </c>
      <c r="CI35" t="str">
        <f ca="1"/>
        <v>Virtue of Loyalty // Ardenvale Fealty</v>
      </c>
      <c r="CJ35" t="str">
        <f ca="1"/>
        <v>Tale of Katara and Toph</v>
      </c>
      <c r="CR35" t="str">
        <f ca="1"/>
        <v>Homing Sliver</v>
      </c>
      <c r="CW35" t="str">
        <f ca="1"/>
        <v>Solid Ground</v>
      </c>
      <c r="DB35" t="str">
        <f ca="1"/>
        <v>Prosper, Tome-Bound</v>
      </c>
      <c r="DC35" t="str">
        <f ca="1"/>
        <v>Kambal, Profiteering Mayor</v>
      </c>
      <c r="DD35" t="str">
        <f ca="1"/>
        <v>Hurkyl's Final Meditation</v>
      </c>
      <c r="DP35" t="str">
        <f ca="1"/>
        <v>Kutzil, Malamet Exemplar</v>
      </c>
      <c r="DQ35" t="str">
        <f ca="1"/>
        <v>Teferi's Ageless Insight</v>
      </c>
      <c r="DR35" t="str">
        <f ca="1"/>
        <v>Ulamog, the Infinite Gyre</v>
      </c>
      <c r="DS35" t="str">
        <f ca="1"/>
        <v>Satoru, the Infiltrator</v>
      </c>
      <c r="DT35" t="str">
        <f ca="1"/>
        <v>Hibernation Sliver</v>
      </c>
      <c r="DU35" t="str">
        <f ca="1"/>
        <v>Stump Stomp</v>
      </c>
      <c r="DW35" t="str">
        <f ca="1"/>
        <v>Solid Ground</v>
      </c>
      <c r="DY35" t="str">
        <f ca="1"/>
        <v>Prosper, Tome-Bound</v>
      </c>
      <c r="DZ35" t="str">
        <f ca="1"/>
        <v>Clifftop Retreat</v>
      </c>
      <c r="EG35" t="str">
        <f ca="1"/>
        <v>Farhaven Elf</v>
      </c>
      <c r="EH35" t="str">
        <f ca="1"/>
        <v>Lavaspur Boots</v>
      </c>
      <c r="EI35" t="str">
        <f ca="1"/>
        <v>Emrakul, the World Anew</v>
      </c>
      <c r="EJ35" t="str">
        <f ca="1"/>
        <v>Mirror Pool</v>
      </c>
      <c r="EK35" t="str">
        <f ca="1"/>
        <v>Iraxxa, Empress of Mars</v>
      </c>
      <c r="EL35" t="str">
        <f ca="1"/>
        <v>Clifftop Retreat</v>
      </c>
      <c r="EP35" t="str">
        <f ca="1"/>
        <v>Cid, Freeflier Pilot</v>
      </c>
      <c r="EQ35" t="str">
        <f ca="1"/>
        <v>Corrosive Mentor</v>
      </c>
      <c r="ER35" t="str">
        <f ca="1"/>
        <v>Brushland</v>
      </c>
      <c r="EU35" t="str">
        <f ca="1"/>
        <v>Bonescythe Sliver</v>
      </c>
      <c r="EV35" t="str">
        <f ca="1"/>
        <v>Brushland</v>
      </c>
      <c r="EX35" t="str">
        <f ca="1"/>
        <v>Aurelia, the Law Above</v>
      </c>
    </row>
    <row r="36" spans="1:154" x14ac:dyDescent="0.25">
      <c r="A36" s="2" t="str">
        <f t="shared" ca="1" si="1"/>
        <v>2</v>
      </c>
      <c r="B36" s="2">
        <f t="shared" ca="1" si="2"/>
        <v>1</v>
      </c>
      <c r="C36" s="2" t="str">
        <f ca="1">IFERROR(
 INDEX($V$1:$BL$1,
  MATCH(TRUE,
   CHOOSE({1;2;3;4;5;6;7;8;9;10;11;12;13;14;15;16;17;18;19;20;21;22;23;24;25;26;27;28;29;30;31;32;33;34;35;36;37;38;39;40;41;42;43},
    COUNTIFS($V$2:$V$200,$G36)&gt;0,
    COUNTIFS($W$2:$W$200,$G36)&gt;0,
    COUNTIFS($X$2:$X$200,$G36)&gt;0,
    COUNTIFS($Y$2:$Y$200,$G36)&gt;0,
    COUNTIFS($Z$2:$Z$200,$G36)&gt;0,
    COUNTIFS($AA$2:$AA$200,$G36)&gt;0,
    COUNTIFS($AB$2:$AB$200,$G36)&gt;0,
    COUNTIFS($AC$2:$AC$200,$G36)&gt;0,
    COUNTIFS($AD$2:$AD$200,$G36)&gt;0,
    COUNTIFS($AE$2:$AE$200,$G36)&gt;0,
    COUNTIFS($AF$2:$AF$200,$G36)&gt;0,
    COUNTIFS($AG$2:$AG$200,$G36)&gt;0,
    COUNTIFS($AH$2:$AH$200,$G36)&gt;0,
    COUNTIFS($AI$2:$AI$200,$G36)&gt;0,
    COUNTIFS($AJ$2:$AJ$200,$G36)&gt;0,
    COUNTIFS($AK$2:$AK$200,$G36)&gt;0,
    COUNTIFS($AL$2:$AL$200,$G36)&gt;0,
    COUNTIFS($AM$2:$AM$200,$G36)&gt;0,
    COUNTIFS($AN$2:$AN$200,$G36)&gt;0,
    COUNTIFS($AO$2:$AO$200,$G36)&gt;0,
    COUNTIFS($AP$2:$AP$200,$G36)&gt;0,
    COUNTIFS($AQ$2:$AQ$200,$G36)&gt;0,
    COUNTIFS($AR$2:$AR$200,$G36)&gt;0,
    COUNTIFS($AS$2:$AS$200,$G36)&gt;0,
    COUNTIFS($AT$2:$AT$200,$G36)&gt;0,
    COUNTIFS($AU$2:$AU$200,$G36)&gt;0,
    COUNTIFS($AV$2:$AV$200,$G36)&gt;0,
    COUNTIFS($AW$2:$AW$200,$G36)&gt;0,
    COUNTIFS($AX$2:$AX$200,$G36)&gt;0,
    COUNTIFS($AY$2:$AY$200,$G36)&gt;0,
    COUNTIFS($AZ$2:$AZ$200,$G36)&gt;0,
    COUNTIFS($BA$2:$BA$200,$G36)&gt;0,
    COUNTIFS($BB$2:$BB$200,$G36)&gt;0,
    COUNTIFS($BC$2:$BC$200,$G36)&gt;0,
    COUNTIFS($BD$2:$BD$200,$G36)&gt;0,
    COUNTIFS($BE$2:$BE$200,$G36)&gt;0,
    COUNTIFS($BF$2:$BF$200,$G36)&gt;0,
    COUNTIFS($BG$2:$BG$200,$G36)&gt;0,
    COUNTIFS($BH$2:$BH$200,$G36)&gt;0,
    COUNTIFS($BI$2:$BI$200,$G36)&gt;0,
    COUNTIFS($BJ$2:$BJ$200,$G36)&gt;0,
    COUNTIFS($BK$2:$BK$200,$G36)&gt;0,
    COUNTIFS($BL$2:$BL$200,$G36)&gt;0,
    COUNTIFS($BM$2:$BM$200,$G36)&gt;0,
   ),
  0)
 ),
"")</f>
        <v>Carlos</v>
      </c>
      <c r="D36" s="2" t="str" cm="1">
        <f t="array" aca="1" ref="D36" ca="1">IFERROR(
 INDEX(
  _xlfn._xlws.FILTER($V$1:$AY$1,
   TRANSPOSE(
    CHOOSE({1;2;3;4;5;6;7;8;9;10;11;12;13;14;15;16;17;18;19;20;21;22;23;24;25;26;27;28;29;30},
     COUNTIFS($V$2:$V$200,$G36)&gt;0,
     COUNTIFS($W$2:$W$200,$G36)&gt;0,
     COUNTIFS($X$2:$X$200,$G36)&gt;0,
     COUNTIFS($Y$2:$Y$200,$G36)&gt;0,
     COUNTIFS($Z$2:$Z$200,$G36)&gt;0,
     COUNTIFS($AA$2:$AA$200,$G36)&gt;0,
     COUNTIFS($AB$2:$AB$200,$G36)&gt;0,
     COUNTIFS($AC$2:$AC$200,$G36)&gt;0,
     COUNTIFS($AD$2:$AD$200,$G36)&gt;0,
     COUNTIFS($AE$2:$AE$200,$G36)&gt;0,
     COUNTIFS($AF$2:$AF$200,$G36)&gt;0,
     COUNTIFS($AG$2:$AG$200,$G36)&gt;0,
     COUNTIFS($AH$2:$AH$200,$G36)&gt;0,
     COUNTIFS($AI$2:$AI$200,$G36)&gt;0,
     COUNTIFS($AJ$2:$AJ$200,$G36)&gt;0,
     COUNTIFS($AK$2:$AK$200,$G36)&gt;0,
     COUNTIFS($AL$2:$AL$200,$G36)&gt;0,
     COUNTIFS($AM$2:$AM$200,$G36)&gt;0,
     COUNTIFS($AN$2:$AN$200,$G36)&gt;0,
     COUNTIFS($AO$2:$AO$200,$G36)&gt;0,
     COUNTIFS($AP$2:$AP$200,$G36)&gt;0,
     COUNTIFS($AQ$2:$AQ$200,$G36)&gt;0,
     COUNTIFS($AR$2:$AR$200,$G36)&gt;0,
     COUNTIFS($AS$2:$AS$200,$G36)&gt;0,
     COUNTIFS($AT$2:$AT$200,$G36)&gt;0,
     COUNTIFS($AU$2:$AU$200,$G36)&gt;0,
     COUNTIFS($AV$2:$AV$200,$G36)&gt;0,
     COUNTIFS($AW$2:$AW$200,$G36)&gt;0,
     COUNTIFS($AX$2:$AX$200,$G36)&gt;0,
     COUNTIFS($AY$2:$AY$200,$G36)&gt;0
   )),
  ),
  2
 ),
"")</f>
        <v/>
      </c>
      <c r="E36" s="2" t="str" cm="1">
        <f t="array" aca="1" ref="E36" ca="1">IFERROR(
 INDEX(
  _xlfn._xlws.FILTER($V$1:$AY$1,
   TRANSPOSE(
    CHOOSE({1;2;3;4;5;6;7;8;9;10;11;12;13;14;15;16;17;18;19;20;21;22;23;24;25;26;27;28;29;30},
     COUNTIFS($V$2:$V$200,$G36)&gt;0,
     COUNTIFS($W$2:$W$200,$G36)&gt;0,
     COUNTIFS($X$2:$X$200,$G36)&gt;0,
     COUNTIFS($Y$2:$Y$200,$G36)&gt;0,
     COUNTIFS($Z$2:$Z$200,$G36)&gt;0,
     COUNTIFS($AA$2:$AA$200,$G36)&gt;0,
     COUNTIFS($AB$2:$AB$200,$G36)&gt;0,
     COUNTIFS($AC$2:$AC$200,$G36)&gt;0,
     COUNTIFS($AD$2:$AD$200,$G36)&gt;0,
     COUNTIFS($AE$2:$AE$200,$G36)&gt;0,
     COUNTIFS($AF$2:$AF$200,$G36)&gt;0,
     COUNTIFS($AG$2:$AG$200,$G36)&gt;0,
     COUNTIFS($AH$2:$AH$200,$G36)&gt;0,
     COUNTIFS($AI$2:$AI$200,$G36)&gt;0,
     COUNTIFS($AJ$2:$AJ$200,$G36)&gt;0,
     COUNTIFS($AK$2:$AK$200,$G36)&gt;0,
     COUNTIFS($AL$2:$AL$200,$G36)&gt;0,
     COUNTIFS($AM$2:$AM$200,$G36)&gt;0,
     COUNTIFS($AN$2:$AN$200,$G36)&gt;0,
     COUNTIFS($AO$2:$AO$200,$G36)&gt;0,
     COUNTIFS($AP$2:$AP$200,$G36)&gt;0,
     COUNTIFS($AQ$2:$AQ$200,$G36)&gt;0,
     COUNTIFS($AR$2:$AR$200,$G36)&gt;0,
     COUNTIFS($AS$2:$AS$200,$G36)&gt;0,
     COUNTIFS($AT$2:$AT$200,$G36)&gt;0,
     COUNTIFS($AU$2:$AU$200,$G36)&gt;0,
     COUNTIFS($AV$2:$AV$200,$G36)&gt;0,
     COUNTIFS($AW$2:$AW$200,$G36)&gt;0,
     COUNTIFS($AX$2:$AX$200,$G36)&gt;0,
     COUNTIFS($AY$2:$AY$200,$G36)&gt;0
   )),
  ),
  3
 ),
"")</f>
        <v/>
      </c>
      <c r="F36" s="2" t="str" cm="1">
        <f t="array" aca="1" ref="F36" ca="1">IFERROR(
 INDEX(
  _xlfn._xlws.FILTER($V$1:$AY$1,
   TRANSPOSE(
    CHOOSE({1;2;3;4;5;6;7;8;9;10;11;12;13;14;15;16;17;18;19;20;21;22;23;24;25;26;27;28;29;30},
     COUNTIFS($V$2:$V$200,$G36)&gt;0,
     COUNTIFS($W$2:$W$200,$G36)&gt;0,
     COUNTIFS($X$2:$X$200,$G36)&gt;0,
     COUNTIFS($Y$2:$Y$200,$G36)&gt;0,
     COUNTIFS($Z$2:$Z$200,$G36)&gt;0,
     COUNTIFS($AA$2:$AA$200,$G36)&gt;0,
     COUNTIFS($AB$2:$AB$200,$G36)&gt;0,
     COUNTIFS($AC$2:$AC$200,$G36)&gt;0,
     COUNTIFS($AD$2:$AD$200,$G36)&gt;0,
     COUNTIFS($AE$2:$AE$200,$G36)&gt;0,
     COUNTIFS($AF$2:$AF$200,$G36)&gt;0,
     COUNTIFS($AG$2:$AG$200,$G36)&gt;0,
     COUNTIFS($AH$2:$AH$200,$G36)&gt;0,
     COUNTIFS($AI$2:$AI$200,$G36)&gt;0,
     COUNTIFS($AJ$2:$AJ$200,$G36)&gt;0,
     COUNTIFS($AK$2:$AK$200,$G36)&gt;0,
     COUNTIFS($AL$2:$AL$200,$G36)&gt;0,
     COUNTIFS($AM$2:$AM$200,$G36)&gt;0,
     COUNTIFS($AN$2:$AN$200,$G36)&gt;0,
     COUNTIFS($AO$2:$AO$200,$G36)&gt;0,
     COUNTIFS($AP$2:$AP$200,$G36)&gt;0,
     COUNTIFS($AQ$2:$AQ$200,$G36)&gt;0,
     COUNTIFS($AR$2:$AR$200,$G36)&gt;0,
     COUNTIFS($AS$2:$AS$200,$G36)&gt;0,
     COUNTIFS($AT$2:$AT$200,$G36)&gt;0,
     COUNTIFS($AU$2:$AU$200,$G36)&gt;0,
     COUNTIFS($AV$2:$AV$200,$G36)&gt;0,
     COUNTIFS($AW$2:$AW$200,$G36)&gt;0,
     COUNTIFS($AX$2:$AX$200,$G36)&gt;0,
     COUNTIFS($AY$2:$AY$200,$G36)&gt;0
   )),
  ),
  4
 ),
"")</f>
        <v/>
      </c>
      <c r="G36" t="str">
        <f ca="1"/>
        <v>Authority of the Consuls</v>
      </c>
      <c r="J36" t="s">
        <v>28</v>
      </c>
      <c r="K36" s="2">
        <f>[1]Elfos!G2</f>
        <v>7</v>
      </c>
      <c r="L36" s="2" t="s">
        <v>3</v>
      </c>
      <c r="M36" s="2" t="s">
        <v>2</v>
      </c>
      <c r="N36" s="2" t="s">
        <v>3</v>
      </c>
      <c r="O36" s="2" t="s">
        <v>2</v>
      </c>
      <c r="P36" s="2" t="s">
        <v>2</v>
      </c>
      <c r="Q36" s="2" t="s">
        <v>7</v>
      </c>
      <c r="R36" s="2" t="s">
        <v>1</v>
      </c>
      <c r="S36" s="2" t="s">
        <v>27</v>
      </c>
      <c r="T36" s="2" t="str">
        <f t="shared" si="5"/>
        <v>2</v>
      </c>
      <c r="AO36" t="str">
        <v>Indatha Triome</v>
      </c>
      <c r="BE36" t="str">
        <v>Island</v>
      </c>
      <c r="BI36" t="str">
        <v>Norin the Wary</v>
      </c>
      <c r="BJ36" t="str">
        <v>Isshin, Two Heavens as One</v>
      </c>
      <c r="BL36" t="str">
        <v>Forest</v>
      </c>
      <c r="CI36" t="str">
        <f ca="1"/>
        <v>Warleader's Call</v>
      </c>
      <c r="CJ36" t="str">
        <f ca="1"/>
        <v>The Duke, Rebel Sentry</v>
      </c>
      <c r="CR36" t="str">
        <f ca="1"/>
        <v>Hunter Sliver</v>
      </c>
      <c r="CW36" t="str">
        <f ca="1"/>
        <v>Sting-Slinger</v>
      </c>
      <c r="DB36" t="str">
        <f ca="1"/>
        <v>Pyrohemia</v>
      </c>
      <c r="DC36" t="str">
        <f ca="1"/>
        <v>Kinscaer Sentry</v>
      </c>
      <c r="DD36" t="str">
        <f ca="1"/>
        <v>Inferno</v>
      </c>
      <c r="DP36" t="str">
        <f ca="1"/>
        <v>Lae'zel, Vlaakith's Champion</v>
      </c>
      <c r="DQ36" t="str">
        <f ca="1"/>
        <v>Thousand-Year Elixir</v>
      </c>
      <c r="DR36" t="str">
        <f ca="1"/>
        <v>Ulamog's Dreadsire</v>
      </c>
      <c r="DS36" t="str">
        <f ca="1"/>
        <v>Sea Gate Restoration</v>
      </c>
      <c r="DT36" t="str">
        <f ca="1"/>
        <v>Hollowhead Sliver</v>
      </c>
      <c r="DU36" t="str">
        <f ca="1"/>
        <v>Swan Song</v>
      </c>
      <c r="DW36" t="str">
        <f ca="1"/>
        <v>Sting-Slinger</v>
      </c>
      <c r="DY36" t="str">
        <f ca="1"/>
        <v>Pyrohemia</v>
      </c>
      <c r="DZ36" t="str">
        <f ca="1"/>
        <v>Comet Storm</v>
      </c>
      <c r="EG36" t="str">
        <f ca="1"/>
        <v>Farmer Cotton</v>
      </c>
      <c r="EH36" t="str">
        <f ca="1"/>
        <v>Lolth, Spider Queen</v>
      </c>
      <c r="EI36" t="str">
        <f ca="1"/>
        <v>Essence Sliver</v>
      </c>
      <c r="EJ36" t="str">
        <f ca="1"/>
        <v>Monk Gyatso</v>
      </c>
      <c r="EK36" t="str">
        <f ca="1"/>
        <v>Island</v>
      </c>
      <c r="EL36" t="str">
        <f ca="1"/>
        <v>Comet Storm</v>
      </c>
      <c r="EP36" t="str">
        <f ca="1"/>
        <v>Clever Concealment</v>
      </c>
      <c r="EQ36" t="str">
        <f ca="1"/>
        <v>Crypt Sliver</v>
      </c>
      <c r="ER36" t="str">
        <f ca="1"/>
        <v>Brutal Hordechief</v>
      </c>
      <c r="EU36" t="str">
        <f ca="1"/>
        <v>Boros Charm</v>
      </c>
      <c r="EV36" t="str">
        <f ca="1"/>
        <v>Brutal Hordechief</v>
      </c>
      <c r="EX36" t="str">
        <f ca="1"/>
        <v>Authority of the Consuls</v>
      </c>
    </row>
    <row r="37" spans="1:154" x14ac:dyDescent="0.25">
      <c r="A37" s="2" t="str">
        <f t="shared" ca="1" si="1"/>
        <v>2</v>
      </c>
      <c r="B37" s="2">
        <f t="shared" ca="1" si="2"/>
        <v>3</v>
      </c>
      <c r="C37" s="2" t="str">
        <f ca="1">IFERROR(
 INDEX($V$1:$BL$1,
  MATCH(TRUE,
   CHOOSE({1;2;3;4;5;6;7;8;9;10;11;12;13;14;15;16;17;18;19;20;21;22;23;24;25;26;27;28;29;30;31;32;33;34;35;36;37;38;39;40;41;42;43},
    COUNTIFS($V$2:$V$200,$G37)&gt;0,
    COUNTIFS($W$2:$W$200,$G37)&gt;0,
    COUNTIFS($X$2:$X$200,$G37)&gt;0,
    COUNTIFS($Y$2:$Y$200,$G37)&gt;0,
    COUNTIFS($Z$2:$Z$200,$G37)&gt;0,
    COUNTIFS($AA$2:$AA$200,$G37)&gt;0,
    COUNTIFS($AB$2:$AB$200,$G37)&gt;0,
    COUNTIFS($AC$2:$AC$200,$G37)&gt;0,
    COUNTIFS($AD$2:$AD$200,$G37)&gt;0,
    COUNTIFS($AE$2:$AE$200,$G37)&gt;0,
    COUNTIFS($AF$2:$AF$200,$G37)&gt;0,
    COUNTIFS($AG$2:$AG$200,$G37)&gt;0,
    COUNTIFS($AH$2:$AH$200,$G37)&gt;0,
    COUNTIFS($AI$2:$AI$200,$G37)&gt;0,
    COUNTIFS($AJ$2:$AJ$200,$G37)&gt;0,
    COUNTIFS($AK$2:$AK$200,$G37)&gt;0,
    COUNTIFS($AL$2:$AL$200,$G37)&gt;0,
    COUNTIFS($AM$2:$AM$200,$G37)&gt;0,
    COUNTIFS($AN$2:$AN$200,$G37)&gt;0,
    COUNTIFS($AO$2:$AO$200,$G37)&gt;0,
    COUNTIFS($AP$2:$AP$200,$G37)&gt;0,
    COUNTIFS($AQ$2:$AQ$200,$G37)&gt;0,
    COUNTIFS($AR$2:$AR$200,$G37)&gt;0,
    COUNTIFS($AS$2:$AS$200,$G37)&gt;0,
    COUNTIFS($AT$2:$AT$200,$G37)&gt;0,
    COUNTIFS($AU$2:$AU$200,$G37)&gt;0,
    COUNTIFS($AV$2:$AV$200,$G37)&gt;0,
    COUNTIFS($AW$2:$AW$200,$G37)&gt;0,
    COUNTIFS($AX$2:$AX$200,$G37)&gt;0,
    COUNTIFS($AY$2:$AY$200,$G37)&gt;0,
    COUNTIFS($AZ$2:$AZ$200,$G37)&gt;0,
    COUNTIFS($BA$2:$BA$200,$G37)&gt;0,
    COUNTIFS($BB$2:$BB$200,$G37)&gt;0,
    COUNTIFS($BC$2:$BC$200,$G37)&gt;0,
    COUNTIFS($BD$2:$BD$200,$G37)&gt;0,
    COUNTIFS($BE$2:$BE$200,$G37)&gt;0,
    COUNTIFS($BF$2:$BF$200,$G37)&gt;0,
    COUNTIFS($BG$2:$BG$200,$G37)&gt;0,
    COUNTIFS($BH$2:$BH$200,$G37)&gt;0,
    COUNTIFS($BI$2:$BI$200,$G37)&gt;0,
    COUNTIFS($BJ$2:$BJ$200,$G37)&gt;0,
    COUNTIFS($BK$2:$BK$200,$G37)&gt;0,
    COUNTIFS($BL$2:$BL$200,$G37)&gt;0,
    COUNTIFS($BM$2:$BM$200,$G37)&gt;0,
   ),
  0)
 ),
"")</f>
        <v>VialIshai</v>
      </c>
      <c r="D37" s="2" t="str" cm="1">
        <f t="array" aca="1" ref="D37" ca="1">IFERROR(
 INDEX(
  _xlfn._xlws.FILTER($V$1:$AY$1,
   TRANSPOSE(
    CHOOSE({1;2;3;4;5;6;7;8;9;10;11;12;13;14;15;16;17;18;19;20;21;22;23;24;25;26;27;28;29;30},
     COUNTIFS($V$2:$V$200,$G37)&gt;0,
     COUNTIFS($W$2:$W$200,$G37)&gt;0,
     COUNTIFS($X$2:$X$200,$G37)&gt;0,
     COUNTIFS($Y$2:$Y$200,$G37)&gt;0,
     COUNTIFS($Z$2:$Z$200,$G37)&gt;0,
     COUNTIFS($AA$2:$AA$200,$G37)&gt;0,
     COUNTIFS($AB$2:$AB$200,$G37)&gt;0,
     COUNTIFS($AC$2:$AC$200,$G37)&gt;0,
     COUNTIFS($AD$2:$AD$200,$G37)&gt;0,
     COUNTIFS($AE$2:$AE$200,$G37)&gt;0,
     COUNTIFS($AF$2:$AF$200,$G37)&gt;0,
     COUNTIFS($AG$2:$AG$200,$G37)&gt;0,
     COUNTIFS($AH$2:$AH$200,$G37)&gt;0,
     COUNTIFS($AI$2:$AI$200,$G37)&gt;0,
     COUNTIFS($AJ$2:$AJ$200,$G37)&gt;0,
     COUNTIFS($AK$2:$AK$200,$G37)&gt;0,
     COUNTIFS($AL$2:$AL$200,$G37)&gt;0,
     COUNTIFS($AM$2:$AM$200,$G37)&gt;0,
     COUNTIFS($AN$2:$AN$200,$G37)&gt;0,
     COUNTIFS($AO$2:$AO$200,$G37)&gt;0,
     COUNTIFS($AP$2:$AP$200,$G37)&gt;0,
     COUNTIFS($AQ$2:$AQ$200,$G37)&gt;0,
     COUNTIFS($AR$2:$AR$200,$G37)&gt;0,
     COUNTIFS($AS$2:$AS$200,$G37)&gt;0,
     COUNTIFS($AT$2:$AT$200,$G37)&gt;0,
     COUNTIFS($AU$2:$AU$200,$G37)&gt;0,
     COUNTIFS($AV$2:$AV$200,$G37)&gt;0,
     COUNTIFS($AW$2:$AW$200,$G37)&gt;0,
     COUNTIFS($AX$2:$AX$200,$G37)&gt;0,
     COUNTIFS($AY$2:$AY$200,$G37)&gt;0
   )),
  ),
  2
 ),
"")</f>
        <v/>
      </c>
      <c r="E37" s="2" t="str" cm="1">
        <f t="array" aca="1" ref="E37" ca="1">IFERROR(
 INDEX(
  _xlfn._xlws.FILTER($V$1:$AY$1,
   TRANSPOSE(
    CHOOSE({1;2;3;4;5;6;7;8;9;10;11;12;13;14;15;16;17;18;19;20;21;22;23;24;25;26;27;28;29;30},
     COUNTIFS($V$2:$V$200,$G37)&gt;0,
     COUNTIFS($W$2:$W$200,$G37)&gt;0,
     COUNTIFS($X$2:$X$200,$G37)&gt;0,
     COUNTIFS($Y$2:$Y$200,$G37)&gt;0,
     COUNTIFS($Z$2:$Z$200,$G37)&gt;0,
     COUNTIFS($AA$2:$AA$200,$G37)&gt;0,
     COUNTIFS($AB$2:$AB$200,$G37)&gt;0,
     COUNTIFS($AC$2:$AC$200,$G37)&gt;0,
     COUNTIFS($AD$2:$AD$200,$G37)&gt;0,
     COUNTIFS($AE$2:$AE$200,$G37)&gt;0,
     COUNTIFS($AF$2:$AF$200,$G37)&gt;0,
     COUNTIFS($AG$2:$AG$200,$G37)&gt;0,
     COUNTIFS($AH$2:$AH$200,$G37)&gt;0,
     COUNTIFS($AI$2:$AI$200,$G37)&gt;0,
     COUNTIFS($AJ$2:$AJ$200,$G37)&gt;0,
     COUNTIFS($AK$2:$AK$200,$G37)&gt;0,
     COUNTIFS($AL$2:$AL$200,$G37)&gt;0,
     COUNTIFS($AM$2:$AM$200,$G37)&gt;0,
     COUNTIFS($AN$2:$AN$200,$G37)&gt;0,
     COUNTIFS($AO$2:$AO$200,$G37)&gt;0,
     COUNTIFS($AP$2:$AP$200,$G37)&gt;0,
     COUNTIFS($AQ$2:$AQ$200,$G37)&gt;0,
     COUNTIFS($AR$2:$AR$200,$G37)&gt;0,
     COUNTIFS($AS$2:$AS$200,$G37)&gt;0,
     COUNTIFS($AT$2:$AT$200,$G37)&gt;0,
     COUNTIFS($AU$2:$AU$200,$G37)&gt;0,
     COUNTIFS($AV$2:$AV$200,$G37)&gt;0,
     COUNTIFS($AW$2:$AW$200,$G37)&gt;0,
     COUNTIFS($AX$2:$AX$200,$G37)&gt;0,
     COUNTIFS($AY$2:$AY$200,$G37)&gt;0
   )),
  ),
  3
 ),
"")</f>
        <v/>
      </c>
      <c r="F37" s="2" t="str" cm="1">
        <f t="array" aca="1" ref="F37" ca="1">IFERROR(
 INDEX(
  _xlfn._xlws.FILTER($V$1:$AY$1,
   TRANSPOSE(
    CHOOSE({1;2;3;4;5;6;7;8;9;10;11;12;13;14;15;16;17;18;19;20;21;22;23;24;25;26;27;28;29;30},
     COUNTIFS($V$2:$V$200,$G37)&gt;0,
     COUNTIFS($W$2:$W$200,$G37)&gt;0,
     COUNTIFS($X$2:$X$200,$G37)&gt;0,
     COUNTIFS($Y$2:$Y$200,$G37)&gt;0,
     COUNTIFS($Z$2:$Z$200,$G37)&gt;0,
     COUNTIFS($AA$2:$AA$200,$G37)&gt;0,
     COUNTIFS($AB$2:$AB$200,$G37)&gt;0,
     COUNTIFS($AC$2:$AC$200,$G37)&gt;0,
     COUNTIFS($AD$2:$AD$200,$G37)&gt;0,
     COUNTIFS($AE$2:$AE$200,$G37)&gt;0,
     COUNTIFS($AF$2:$AF$200,$G37)&gt;0,
     COUNTIFS($AG$2:$AG$200,$G37)&gt;0,
     COUNTIFS($AH$2:$AH$200,$G37)&gt;0,
     COUNTIFS($AI$2:$AI$200,$G37)&gt;0,
     COUNTIFS($AJ$2:$AJ$200,$G37)&gt;0,
     COUNTIFS($AK$2:$AK$200,$G37)&gt;0,
     COUNTIFS($AL$2:$AL$200,$G37)&gt;0,
     COUNTIFS($AM$2:$AM$200,$G37)&gt;0,
     COUNTIFS($AN$2:$AN$200,$G37)&gt;0,
     COUNTIFS($AO$2:$AO$200,$G37)&gt;0,
     COUNTIFS($AP$2:$AP$200,$G37)&gt;0,
     COUNTIFS($AQ$2:$AQ$200,$G37)&gt;0,
     COUNTIFS($AR$2:$AR$200,$G37)&gt;0,
     COUNTIFS($AS$2:$AS$200,$G37)&gt;0,
     COUNTIFS($AT$2:$AT$200,$G37)&gt;0,
     COUNTIFS($AU$2:$AU$200,$G37)&gt;0,
     COUNTIFS($AV$2:$AV$200,$G37)&gt;0,
     COUNTIFS($AW$2:$AW$200,$G37)&gt;0,
     COUNTIFS($AX$2:$AX$200,$G37)&gt;0,
     COUNTIFS($AY$2:$AY$200,$G37)&gt;0
   )),
  ),
  4
 ),
"")</f>
        <v/>
      </c>
      <c r="G37" t="str">
        <f ca="1"/>
        <v>Avatar's Wrath</v>
      </c>
      <c r="J37" t="s">
        <v>18</v>
      </c>
      <c r="K37" s="2">
        <f>[1]Kresh!G2</f>
        <v>19</v>
      </c>
      <c r="L37" s="2" t="s">
        <v>3</v>
      </c>
      <c r="M37" s="2" t="s">
        <v>3</v>
      </c>
      <c r="N37" s="2" t="s">
        <v>2</v>
      </c>
      <c r="O37" s="2" t="s">
        <v>2</v>
      </c>
      <c r="P37" s="2" t="s">
        <v>2</v>
      </c>
      <c r="Q37" s="2" t="s">
        <v>0</v>
      </c>
      <c r="R37" s="2" t="s">
        <v>4</v>
      </c>
      <c r="S37" s="2" t="s">
        <v>17</v>
      </c>
      <c r="T37" s="2" t="str">
        <f t="shared" si="5"/>
        <v>4</v>
      </c>
      <c r="AO37" t="str">
        <v>Island</v>
      </c>
      <c r="BE37" t="str">
        <v>Island</v>
      </c>
      <c r="BI37" t="str">
        <v>Party Thrasher</v>
      </c>
      <c r="BJ37" t="str">
        <v>Kabira Takedown</v>
      </c>
      <c r="BL37" t="str">
        <v>Forest</v>
      </c>
      <c r="CJ37" t="str">
        <f ca="1"/>
        <v>The Water Crystal</v>
      </c>
      <c r="CR37" t="str">
        <f ca="1"/>
        <v>Indatha Triome</v>
      </c>
      <c r="CW37" t="str">
        <f ca="1"/>
        <v>Terra Eternal</v>
      </c>
      <c r="DB37" t="str">
        <f ca="1"/>
        <v>Rakdos Charm</v>
      </c>
      <c r="DC37" t="str">
        <f ca="1"/>
        <v>Lagomos, Hand of Hatred</v>
      </c>
      <c r="DD37" t="str">
        <f ca="1"/>
        <v>Island</v>
      </c>
      <c r="DP37" t="str">
        <f ca="1"/>
        <v>Lightning Greaves</v>
      </c>
      <c r="DQ37" t="str">
        <f ca="1"/>
        <v>Unholy Annex // Ritual Chamber</v>
      </c>
      <c r="DR37" t="str">
        <f ca="1"/>
        <v>Vault of Champions</v>
      </c>
      <c r="DS37" t="str">
        <f ca="1"/>
        <v>Shizo, Death's Storehouse</v>
      </c>
      <c r="DT37" t="str">
        <f ca="1"/>
        <v>Homing Sliver</v>
      </c>
      <c r="DU37" t="str">
        <f ca="1"/>
        <v>Three Steps Ahead</v>
      </c>
      <c r="DW37" t="str">
        <f ca="1"/>
        <v>Terra Eternal</v>
      </c>
      <c r="DY37" t="str">
        <f ca="1"/>
        <v>Rakdos Charm</v>
      </c>
      <c r="DZ37" t="str">
        <f ca="1"/>
        <v>Command Tower</v>
      </c>
      <c r="EG37" t="str">
        <f ca="1"/>
        <v>Forsaken Miner</v>
      </c>
      <c r="EH37" t="str">
        <f ca="1"/>
        <v>Lost Jitte</v>
      </c>
      <c r="EI37" t="str">
        <f ca="1"/>
        <v>Exotic Orchard</v>
      </c>
      <c r="EJ37" t="str">
        <f ca="1"/>
        <v>Mountain</v>
      </c>
      <c r="EK37" t="str">
        <f ca="1"/>
        <v>Leyline Tyrant</v>
      </c>
      <c r="EL37" t="str">
        <f ca="1"/>
        <v>Command Tower</v>
      </c>
      <c r="EP37" t="str">
        <f ca="1"/>
        <v>Cloud, Midgar Mercenary</v>
      </c>
      <c r="EQ37" t="str">
        <f ca="1"/>
        <v>Crystalline Sliver</v>
      </c>
      <c r="ER37" t="str">
        <f ca="1"/>
        <v>Caesar, Legion's Emperor</v>
      </c>
      <c r="EU37" t="str">
        <f ca="1"/>
        <v>Bothersome Quasit</v>
      </c>
      <c r="EV37" t="str">
        <f ca="1"/>
        <v>Caesar, Legion's Emperor</v>
      </c>
      <c r="EX37" t="str">
        <f ca="1"/>
        <v>Avatar's Wrath</v>
      </c>
    </row>
    <row r="38" spans="1:154" x14ac:dyDescent="0.25">
      <c r="A38" s="2" t="str">
        <f t="shared" ca="1" si="1"/>
        <v>4</v>
      </c>
      <c r="B38" s="2">
        <f t="shared" ca="1" si="2"/>
        <v>1</v>
      </c>
      <c r="C38" s="2" t="str">
        <f ca="1">IFERROR(
 INDEX($V$1:$BL$1,
  MATCH(TRUE,
   CHOOSE({1;2;3;4;5;6;7;8;9;10;11;12;13;14;15;16;17;18;19;20;21;22;23;24;25;26;27;28;29;30;31;32;33;34;35;36;37;38;39;40;41;42;43},
    COUNTIFS($V$2:$V$200,$G38)&gt;0,
    COUNTIFS($W$2:$W$200,$G38)&gt;0,
    COUNTIFS($X$2:$X$200,$G38)&gt;0,
    COUNTIFS($Y$2:$Y$200,$G38)&gt;0,
    COUNTIFS($Z$2:$Z$200,$G38)&gt;0,
    COUNTIFS($AA$2:$AA$200,$G38)&gt;0,
    COUNTIFS($AB$2:$AB$200,$G38)&gt;0,
    COUNTIFS($AC$2:$AC$200,$G38)&gt;0,
    COUNTIFS($AD$2:$AD$200,$G38)&gt;0,
    COUNTIFS($AE$2:$AE$200,$G38)&gt;0,
    COUNTIFS($AF$2:$AF$200,$G38)&gt;0,
    COUNTIFS($AG$2:$AG$200,$G38)&gt;0,
    COUNTIFS($AH$2:$AH$200,$G38)&gt;0,
    COUNTIFS($AI$2:$AI$200,$G38)&gt;0,
    COUNTIFS($AJ$2:$AJ$200,$G38)&gt;0,
    COUNTIFS($AK$2:$AK$200,$G38)&gt;0,
    COUNTIFS($AL$2:$AL$200,$G38)&gt;0,
    COUNTIFS($AM$2:$AM$200,$G38)&gt;0,
    COUNTIFS($AN$2:$AN$200,$G38)&gt;0,
    COUNTIFS($AO$2:$AO$200,$G38)&gt;0,
    COUNTIFS($AP$2:$AP$200,$G38)&gt;0,
    COUNTIFS($AQ$2:$AQ$200,$G38)&gt;0,
    COUNTIFS($AR$2:$AR$200,$G38)&gt;0,
    COUNTIFS($AS$2:$AS$200,$G38)&gt;0,
    COUNTIFS($AT$2:$AT$200,$G38)&gt;0,
    COUNTIFS($AU$2:$AU$200,$G38)&gt;0,
    COUNTIFS($AV$2:$AV$200,$G38)&gt;0,
    COUNTIFS($AW$2:$AW$200,$G38)&gt;0,
    COUNTIFS($AX$2:$AX$200,$G38)&gt;0,
    COUNTIFS($AY$2:$AY$200,$G38)&gt;0,
    COUNTIFS($AZ$2:$AZ$200,$G38)&gt;0,
    COUNTIFS($BA$2:$BA$200,$G38)&gt;0,
    COUNTIFS($BB$2:$BB$200,$G38)&gt;0,
    COUNTIFS($BC$2:$BC$200,$G38)&gt;0,
    COUNTIFS($BD$2:$BD$200,$G38)&gt;0,
    COUNTIFS($BE$2:$BE$200,$G38)&gt;0,
    COUNTIFS($BF$2:$BF$200,$G38)&gt;0,
    COUNTIFS($BG$2:$BG$200,$G38)&gt;0,
    COUNTIFS($BH$2:$BH$200,$G38)&gt;0,
    COUNTIFS($BI$2:$BI$200,$G38)&gt;0,
    COUNTIFS($BJ$2:$BJ$200,$G38)&gt;0,
    COUNTIFS($BK$2:$BK$200,$G38)&gt;0,
    COUNTIFS($BL$2:$BL$200,$G38)&gt;0,
    COUNTIFS($BM$2:$BM$200,$G38)&gt;0,
   ),
  0)
 ),
"")</f>
        <v>Tayam</v>
      </c>
      <c r="D38" s="2" t="str" cm="1">
        <f t="array" aca="1" ref="D38" ca="1">IFERROR(
 INDEX(
  _xlfn._xlws.FILTER($V$1:$AY$1,
   TRANSPOSE(
    CHOOSE({1;2;3;4;5;6;7;8;9;10;11;12;13;14;15;16;17;18;19;20;21;22;23;24;25;26;27;28;29;30},
     COUNTIFS($V$2:$V$200,$G38)&gt;0,
     COUNTIFS($W$2:$W$200,$G38)&gt;0,
     COUNTIFS($X$2:$X$200,$G38)&gt;0,
     COUNTIFS($Y$2:$Y$200,$G38)&gt;0,
     COUNTIFS($Z$2:$Z$200,$G38)&gt;0,
     COUNTIFS($AA$2:$AA$200,$G38)&gt;0,
     COUNTIFS($AB$2:$AB$200,$G38)&gt;0,
     COUNTIFS($AC$2:$AC$200,$G38)&gt;0,
     COUNTIFS($AD$2:$AD$200,$G38)&gt;0,
     COUNTIFS($AE$2:$AE$200,$G38)&gt;0,
     COUNTIFS($AF$2:$AF$200,$G38)&gt;0,
     COUNTIFS($AG$2:$AG$200,$G38)&gt;0,
     COUNTIFS($AH$2:$AH$200,$G38)&gt;0,
     COUNTIFS($AI$2:$AI$200,$G38)&gt;0,
     COUNTIFS($AJ$2:$AJ$200,$G38)&gt;0,
     COUNTIFS($AK$2:$AK$200,$G38)&gt;0,
     COUNTIFS($AL$2:$AL$200,$G38)&gt;0,
     COUNTIFS($AM$2:$AM$200,$G38)&gt;0,
     COUNTIFS($AN$2:$AN$200,$G38)&gt;0,
     COUNTIFS($AO$2:$AO$200,$G38)&gt;0,
     COUNTIFS($AP$2:$AP$200,$G38)&gt;0,
     COUNTIFS($AQ$2:$AQ$200,$G38)&gt;0,
     COUNTIFS($AR$2:$AR$200,$G38)&gt;0,
     COUNTIFS($AS$2:$AS$200,$G38)&gt;0,
     COUNTIFS($AT$2:$AT$200,$G38)&gt;0,
     COUNTIFS($AU$2:$AU$200,$G38)&gt;0,
     COUNTIFS($AV$2:$AV$200,$G38)&gt;0,
     COUNTIFS($AW$2:$AW$200,$G38)&gt;0,
     COUNTIFS($AX$2:$AX$200,$G38)&gt;0,
     COUNTIFS($AY$2:$AY$200,$G38)&gt;0
   )),
  ),
  2
 ),
"")</f>
        <v/>
      </c>
      <c r="E38" s="2" t="str" cm="1">
        <f t="array" aca="1" ref="E38" ca="1">IFERROR(
 INDEX(
  _xlfn._xlws.FILTER($V$1:$AY$1,
   TRANSPOSE(
    CHOOSE({1;2;3;4;5;6;7;8;9;10;11;12;13;14;15;16;17;18;19;20;21;22;23;24;25;26;27;28;29;30},
     COUNTIFS($V$2:$V$200,$G38)&gt;0,
     COUNTIFS($W$2:$W$200,$G38)&gt;0,
     COUNTIFS($X$2:$X$200,$G38)&gt;0,
     COUNTIFS($Y$2:$Y$200,$G38)&gt;0,
     COUNTIFS($Z$2:$Z$200,$G38)&gt;0,
     COUNTIFS($AA$2:$AA$200,$G38)&gt;0,
     COUNTIFS($AB$2:$AB$200,$G38)&gt;0,
     COUNTIFS($AC$2:$AC$200,$G38)&gt;0,
     COUNTIFS($AD$2:$AD$200,$G38)&gt;0,
     COUNTIFS($AE$2:$AE$200,$G38)&gt;0,
     COUNTIFS($AF$2:$AF$200,$G38)&gt;0,
     COUNTIFS($AG$2:$AG$200,$G38)&gt;0,
     COUNTIFS($AH$2:$AH$200,$G38)&gt;0,
     COUNTIFS($AI$2:$AI$200,$G38)&gt;0,
     COUNTIFS($AJ$2:$AJ$200,$G38)&gt;0,
     COUNTIFS($AK$2:$AK$200,$G38)&gt;0,
     COUNTIFS($AL$2:$AL$200,$G38)&gt;0,
     COUNTIFS($AM$2:$AM$200,$G38)&gt;0,
     COUNTIFS($AN$2:$AN$200,$G38)&gt;0,
     COUNTIFS($AO$2:$AO$200,$G38)&gt;0,
     COUNTIFS($AP$2:$AP$200,$G38)&gt;0,
     COUNTIFS($AQ$2:$AQ$200,$G38)&gt;0,
     COUNTIFS($AR$2:$AR$200,$G38)&gt;0,
     COUNTIFS($AS$2:$AS$200,$G38)&gt;0,
     COUNTIFS($AT$2:$AT$200,$G38)&gt;0,
     COUNTIFS($AU$2:$AU$200,$G38)&gt;0,
     COUNTIFS($AV$2:$AV$200,$G38)&gt;0,
     COUNTIFS($AW$2:$AW$200,$G38)&gt;0,
     COUNTIFS($AX$2:$AX$200,$G38)&gt;0,
     COUNTIFS($AY$2:$AY$200,$G38)&gt;0
   )),
  ),
  3
 ),
"")</f>
        <v/>
      </c>
      <c r="F38" s="2" t="str" cm="1">
        <f t="array" aca="1" ref="F38" ca="1">IFERROR(
 INDEX(
  _xlfn._xlws.FILTER($V$1:$AY$1,
   TRANSPOSE(
    CHOOSE({1;2;3;4;5;6;7;8;9;10;11;12;13;14;15;16;17;18;19;20;21;22;23;24;25;26;27;28;29;30},
     COUNTIFS($V$2:$V$200,$G38)&gt;0,
     COUNTIFS($W$2:$W$200,$G38)&gt;0,
     COUNTIFS($X$2:$X$200,$G38)&gt;0,
     COUNTIFS($Y$2:$Y$200,$G38)&gt;0,
     COUNTIFS($Z$2:$Z$200,$G38)&gt;0,
     COUNTIFS($AA$2:$AA$200,$G38)&gt;0,
     COUNTIFS($AB$2:$AB$200,$G38)&gt;0,
     COUNTIFS($AC$2:$AC$200,$G38)&gt;0,
     COUNTIFS($AD$2:$AD$200,$G38)&gt;0,
     COUNTIFS($AE$2:$AE$200,$G38)&gt;0,
     COUNTIFS($AF$2:$AF$200,$G38)&gt;0,
     COUNTIFS($AG$2:$AG$200,$G38)&gt;0,
     COUNTIFS($AH$2:$AH$200,$G38)&gt;0,
     COUNTIFS($AI$2:$AI$200,$G38)&gt;0,
     COUNTIFS($AJ$2:$AJ$200,$G38)&gt;0,
     COUNTIFS($AK$2:$AK$200,$G38)&gt;0,
     COUNTIFS($AL$2:$AL$200,$G38)&gt;0,
     COUNTIFS($AM$2:$AM$200,$G38)&gt;0,
     COUNTIFS($AN$2:$AN$200,$G38)&gt;0,
     COUNTIFS($AO$2:$AO$200,$G38)&gt;0,
     COUNTIFS($AP$2:$AP$200,$G38)&gt;0,
     COUNTIFS($AQ$2:$AQ$200,$G38)&gt;0,
     COUNTIFS($AR$2:$AR$200,$G38)&gt;0,
     COUNTIFS($AS$2:$AS$200,$G38)&gt;0,
     COUNTIFS($AT$2:$AT$200,$G38)&gt;0,
     COUNTIFS($AU$2:$AU$200,$G38)&gt;0,
     COUNTIFS($AV$2:$AV$200,$G38)&gt;0,
     COUNTIFS($AW$2:$AW$200,$G38)&gt;0,
     COUNTIFS($AX$2:$AX$200,$G38)&gt;0,
     COUNTIFS($AY$2:$AY$200,$G38)&gt;0
   )),
  ),
  4
 ),
"")</f>
        <v/>
      </c>
      <c r="G38" t="str">
        <f ca="1"/>
        <v>Ba Sing Se</v>
      </c>
      <c r="J38" t="s">
        <v>223</v>
      </c>
      <c r="K38" s="2">
        <f>[1]Ool!G2</f>
        <v>23</v>
      </c>
      <c r="L38" s="2" t="s">
        <v>3</v>
      </c>
      <c r="M38" s="2" t="s">
        <v>3</v>
      </c>
      <c r="N38" s="2" t="s">
        <v>2</v>
      </c>
      <c r="O38" s="2" t="s">
        <v>2</v>
      </c>
      <c r="P38" s="2" t="s">
        <v>2</v>
      </c>
      <c r="Q38" s="2" t="s">
        <v>1</v>
      </c>
      <c r="R38" s="2" t="s">
        <v>39</v>
      </c>
      <c r="S38" s="3" t="s">
        <v>225</v>
      </c>
      <c r="T38" s="2" t="str">
        <f t="shared" ref="T38" si="6">IF(K38&lt;6,"1",IF(K38&lt;11,"2",IF(K38&lt;16,"3",IF(K38&lt;31,"4","5"))))</f>
        <v>4</v>
      </c>
      <c r="AO38" t="str">
        <v>Island</v>
      </c>
      <c r="BE38" t="str">
        <v>Island</v>
      </c>
      <c r="BI38" t="str">
        <v>Path to Exile</v>
      </c>
      <c r="BJ38" t="str">
        <v>Kambal, Profiteering Mayor</v>
      </c>
      <c r="BL38" t="str">
        <v>Forest</v>
      </c>
      <c r="CJ38" t="str">
        <f ca="1"/>
        <v>Unbreakable Formation</v>
      </c>
      <c r="CR38" t="str">
        <f ca="1"/>
        <v>Island</v>
      </c>
      <c r="CW38" t="str">
        <f ca="1"/>
        <v>The Gold Saucer</v>
      </c>
      <c r="DB38" t="str">
        <f ca="1"/>
        <v>Raven Eagle</v>
      </c>
      <c r="DC38" t="str">
        <f ca="1"/>
        <v>Llanowar Wastes</v>
      </c>
      <c r="DD38" t="str">
        <f ca="1"/>
        <v>Jaheira's Respite</v>
      </c>
      <c r="DP38" t="str">
        <f ca="1"/>
        <v>Long Feng, Grand Secretariat</v>
      </c>
      <c r="DQ38" t="str">
        <f ca="1"/>
        <v>Vault of the Archangel</v>
      </c>
      <c r="DR38" t="str">
        <f ca="1"/>
        <v>Vexing Puzzlebox</v>
      </c>
      <c r="DS38" t="str">
        <f ca="1"/>
        <v>Stoneforge Mystic</v>
      </c>
      <c r="DT38" t="str">
        <f ca="1"/>
        <v>Hunter Sliver</v>
      </c>
      <c r="DU38" t="str">
        <f ca="1"/>
        <v>Vona's Hunger</v>
      </c>
      <c r="DW38" t="str">
        <f ca="1"/>
        <v>The Gold Saucer</v>
      </c>
      <c r="DY38" t="str">
        <f ca="1"/>
        <v>Raven Eagle</v>
      </c>
      <c r="DZ38" t="str">
        <f ca="1"/>
        <v>Coruscation Mage</v>
      </c>
      <c r="EG38" t="str">
        <f ca="1"/>
        <v>Gallifrey Council Chamber</v>
      </c>
      <c r="EH38" t="str">
        <f ca="1"/>
        <v>Luxury Suite</v>
      </c>
      <c r="EI38" t="str">
        <f ca="1"/>
        <v>Forest</v>
      </c>
      <c r="EJ38" t="str">
        <f ca="1"/>
        <v>Nest of Scarabs</v>
      </c>
      <c r="EK38" t="str">
        <f ca="1"/>
        <v>Lightning Greaves</v>
      </c>
      <c r="EL38" t="str">
        <f ca="1"/>
        <v>Coruscation Mage</v>
      </c>
      <c r="EP38" t="str">
        <f ca="1"/>
        <v>Colonel Autumn</v>
      </c>
      <c r="EQ38" t="str">
        <f ca="1"/>
        <v>Damping Sphere</v>
      </c>
      <c r="ER38" t="str">
        <f ca="1"/>
        <v>Cait Sith, Fortune Teller</v>
      </c>
      <c r="EU38" t="str">
        <f ca="1"/>
        <v>Brass's Tunnel-Grinder</v>
      </c>
      <c r="EV38" t="str">
        <f ca="1"/>
        <v>Cait Sith, Fortune Teller</v>
      </c>
      <c r="EX38" t="str">
        <f ca="1"/>
        <v>Ba Sing Se</v>
      </c>
    </row>
    <row r="39" spans="1:154" x14ac:dyDescent="0.25">
      <c r="A39" s="2" t="str">
        <f t="shared" ca="1" si="1"/>
        <v>2</v>
      </c>
      <c r="B39" s="2">
        <f t="shared" ca="1" si="2"/>
        <v>1</v>
      </c>
      <c r="C39" s="2" t="str">
        <f ca="1">IFERROR(
 INDEX($V$1:$BL$1,
  MATCH(TRUE,
   CHOOSE({1;2;3;4;5;6;7;8;9;10;11;12;13;14;15;16;17;18;19;20;21;22;23;24;25;26;27;28;29;30;31;32;33;34;35;36;37;38;39;40;41;42;43},
    COUNTIFS($V$2:$V$200,$G39)&gt;0,
    COUNTIFS($W$2:$W$200,$G39)&gt;0,
    COUNTIFS($X$2:$X$200,$G39)&gt;0,
    COUNTIFS($Y$2:$Y$200,$G39)&gt;0,
    COUNTIFS($Z$2:$Z$200,$G39)&gt;0,
    COUNTIFS($AA$2:$AA$200,$G39)&gt;0,
    COUNTIFS($AB$2:$AB$200,$G39)&gt;0,
    COUNTIFS($AC$2:$AC$200,$G39)&gt;0,
    COUNTIFS($AD$2:$AD$200,$G39)&gt;0,
    COUNTIFS($AE$2:$AE$200,$G39)&gt;0,
    COUNTIFS($AF$2:$AF$200,$G39)&gt;0,
    COUNTIFS($AG$2:$AG$200,$G39)&gt;0,
    COUNTIFS($AH$2:$AH$200,$G39)&gt;0,
    COUNTIFS($AI$2:$AI$200,$G39)&gt;0,
    COUNTIFS($AJ$2:$AJ$200,$G39)&gt;0,
    COUNTIFS($AK$2:$AK$200,$G39)&gt;0,
    COUNTIFS($AL$2:$AL$200,$G39)&gt;0,
    COUNTIFS($AM$2:$AM$200,$G39)&gt;0,
    COUNTIFS($AN$2:$AN$200,$G39)&gt;0,
    COUNTIFS($AO$2:$AO$200,$G39)&gt;0,
    COUNTIFS($AP$2:$AP$200,$G39)&gt;0,
    COUNTIFS($AQ$2:$AQ$200,$G39)&gt;0,
    COUNTIFS($AR$2:$AR$200,$G39)&gt;0,
    COUNTIFS($AS$2:$AS$200,$G39)&gt;0,
    COUNTIFS($AT$2:$AT$200,$G39)&gt;0,
    COUNTIFS($AU$2:$AU$200,$G39)&gt;0,
    COUNTIFS($AV$2:$AV$200,$G39)&gt;0,
    COUNTIFS($AW$2:$AW$200,$G39)&gt;0,
    COUNTIFS($AX$2:$AX$200,$G39)&gt;0,
    COUNTIFS($AY$2:$AY$200,$G39)&gt;0,
    COUNTIFS($AZ$2:$AZ$200,$G39)&gt;0,
    COUNTIFS($BA$2:$BA$200,$G39)&gt;0,
    COUNTIFS($BB$2:$BB$200,$G39)&gt;0,
    COUNTIFS($BC$2:$BC$200,$G39)&gt;0,
    COUNTIFS($BD$2:$BD$200,$G39)&gt;0,
    COUNTIFS($BE$2:$BE$200,$G39)&gt;0,
    COUNTIFS($BF$2:$BF$200,$G39)&gt;0,
    COUNTIFS($BG$2:$BG$200,$G39)&gt;0,
    COUNTIFS($BH$2:$BH$200,$G39)&gt;0,
    COUNTIFS($BI$2:$BI$200,$G39)&gt;0,
    COUNTIFS($BJ$2:$BJ$200,$G39)&gt;0,
    COUNTIFS($BK$2:$BK$200,$G39)&gt;0,
    COUNTIFS($BL$2:$BL$200,$G39)&gt;0,
    COUNTIFS($BM$2:$BM$200,$G39)&gt;0,
   ),
  0)
 ),
"")</f>
        <v>Piratas</v>
      </c>
      <c r="D39" s="2" t="str" cm="1">
        <f t="array" aca="1" ref="D39" ca="1">IFERROR(
 INDEX(
  _xlfn._xlws.FILTER($V$1:$AY$1,
   TRANSPOSE(
    CHOOSE({1;2;3;4;5;6;7;8;9;10;11;12;13;14;15;16;17;18;19;20;21;22;23;24;25;26;27;28;29;30},
     COUNTIFS($V$2:$V$200,$G39)&gt;0,
     COUNTIFS($W$2:$W$200,$G39)&gt;0,
     COUNTIFS($X$2:$X$200,$G39)&gt;0,
     COUNTIFS($Y$2:$Y$200,$G39)&gt;0,
     COUNTIFS($Z$2:$Z$200,$G39)&gt;0,
     COUNTIFS($AA$2:$AA$200,$G39)&gt;0,
     COUNTIFS($AB$2:$AB$200,$G39)&gt;0,
     COUNTIFS($AC$2:$AC$200,$G39)&gt;0,
     COUNTIFS($AD$2:$AD$200,$G39)&gt;0,
     COUNTIFS($AE$2:$AE$200,$G39)&gt;0,
     COUNTIFS($AF$2:$AF$200,$G39)&gt;0,
     COUNTIFS($AG$2:$AG$200,$G39)&gt;0,
     COUNTIFS($AH$2:$AH$200,$G39)&gt;0,
     COUNTIFS($AI$2:$AI$200,$G39)&gt;0,
     COUNTIFS($AJ$2:$AJ$200,$G39)&gt;0,
     COUNTIFS($AK$2:$AK$200,$G39)&gt;0,
     COUNTIFS($AL$2:$AL$200,$G39)&gt;0,
     COUNTIFS($AM$2:$AM$200,$G39)&gt;0,
     COUNTIFS($AN$2:$AN$200,$G39)&gt;0,
     COUNTIFS($AO$2:$AO$200,$G39)&gt;0,
     COUNTIFS($AP$2:$AP$200,$G39)&gt;0,
     COUNTIFS($AQ$2:$AQ$200,$G39)&gt;0,
     COUNTIFS($AR$2:$AR$200,$G39)&gt;0,
     COUNTIFS($AS$2:$AS$200,$G39)&gt;0,
     COUNTIFS($AT$2:$AT$200,$G39)&gt;0,
     COUNTIFS($AU$2:$AU$200,$G39)&gt;0,
     COUNTIFS($AV$2:$AV$200,$G39)&gt;0,
     COUNTIFS($AW$2:$AW$200,$G39)&gt;0,
     COUNTIFS($AX$2:$AX$200,$G39)&gt;0,
     COUNTIFS($AY$2:$AY$200,$G39)&gt;0
   )),
  ),
  2
 ),
"")</f>
        <v/>
      </c>
      <c r="E39" s="2" t="str" cm="1">
        <f t="array" aca="1" ref="E39" ca="1">IFERROR(
 INDEX(
  _xlfn._xlws.FILTER($V$1:$AY$1,
   TRANSPOSE(
    CHOOSE({1;2;3;4;5;6;7;8;9;10;11;12;13;14;15;16;17;18;19;20;21;22;23;24;25;26;27;28;29;30},
     COUNTIFS($V$2:$V$200,$G39)&gt;0,
     COUNTIFS($W$2:$W$200,$G39)&gt;0,
     COUNTIFS($X$2:$X$200,$G39)&gt;0,
     COUNTIFS($Y$2:$Y$200,$G39)&gt;0,
     COUNTIFS($Z$2:$Z$200,$G39)&gt;0,
     COUNTIFS($AA$2:$AA$200,$G39)&gt;0,
     COUNTIFS($AB$2:$AB$200,$G39)&gt;0,
     COUNTIFS($AC$2:$AC$200,$G39)&gt;0,
     COUNTIFS($AD$2:$AD$200,$G39)&gt;0,
     COUNTIFS($AE$2:$AE$200,$G39)&gt;0,
     COUNTIFS($AF$2:$AF$200,$G39)&gt;0,
     COUNTIFS($AG$2:$AG$200,$G39)&gt;0,
     COUNTIFS($AH$2:$AH$200,$G39)&gt;0,
     COUNTIFS($AI$2:$AI$200,$G39)&gt;0,
     COUNTIFS($AJ$2:$AJ$200,$G39)&gt;0,
     COUNTIFS($AK$2:$AK$200,$G39)&gt;0,
     COUNTIFS($AL$2:$AL$200,$G39)&gt;0,
     COUNTIFS($AM$2:$AM$200,$G39)&gt;0,
     COUNTIFS($AN$2:$AN$200,$G39)&gt;0,
     COUNTIFS($AO$2:$AO$200,$G39)&gt;0,
     COUNTIFS($AP$2:$AP$200,$G39)&gt;0,
     COUNTIFS($AQ$2:$AQ$200,$G39)&gt;0,
     COUNTIFS($AR$2:$AR$200,$G39)&gt;0,
     COUNTIFS($AS$2:$AS$200,$G39)&gt;0,
     COUNTIFS($AT$2:$AT$200,$G39)&gt;0,
     COUNTIFS($AU$2:$AU$200,$G39)&gt;0,
     COUNTIFS($AV$2:$AV$200,$G39)&gt;0,
     COUNTIFS($AW$2:$AW$200,$G39)&gt;0,
     COUNTIFS($AX$2:$AX$200,$G39)&gt;0,
     COUNTIFS($AY$2:$AY$200,$G39)&gt;0
   )),
  ),
  3
 ),
"")</f>
        <v/>
      </c>
      <c r="F39" s="2" t="str" cm="1">
        <f t="array" aca="1" ref="F39" ca="1">IFERROR(
 INDEX(
  _xlfn._xlws.FILTER($V$1:$AY$1,
   TRANSPOSE(
    CHOOSE({1;2;3;4;5;6;7;8;9;10;11;12;13;14;15;16;17;18;19;20;21;22;23;24;25;26;27;28;29;30},
     COUNTIFS($V$2:$V$200,$G39)&gt;0,
     COUNTIFS($W$2:$W$200,$G39)&gt;0,
     COUNTIFS($X$2:$X$200,$G39)&gt;0,
     COUNTIFS($Y$2:$Y$200,$G39)&gt;0,
     COUNTIFS($Z$2:$Z$200,$G39)&gt;0,
     COUNTIFS($AA$2:$AA$200,$G39)&gt;0,
     COUNTIFS($AB$2:$AB$200,$G39)&gt;0,
     COUNTIFS($AC$2:$AC$200,$G39)&gt;0,
     COUNTIFS($AD$2:$AD$200,$G39)&gt;0,
     COUNTIFS($AE$2:$AE$200,$G39)&gt;0,
     COUNTIFS($AF$2:$AF$200,$G39)&gt;0,
     COUNTIFS($AG$2:$AG$200,$G39)&gt;0,
     COUNTIFS($AH$2:$AH$200,$G39)&gt;0,
     COUNTIFS($AI$2:$AI$200,$G39)&gt;0,
     COUNTIFS($AJ$2:$AJ$200,$G39)&gt;0,
     COUNTIFS($AK$2:$AK$200,$G39)&gt;0,
     COUNTIFS($AL$2:$AL$200,$G39)&gt;0,
     COUNTIFS($AM$2:$AM$200,$G39)&gt;0,
     COUNTIFS($AN$2:$AN$200,$G39)&gt;0,
     COUNTIFS($AO$2:$AO$200,$G39)&gt;0,
     COUNTIFS($AP$2:$AP$200,$G39)&gt;0,
     COUNTIFS($AQ$2:$AQ$200,$G39)&gt;0,
     COUNTIFS($AR$2:$AR$200,$G39)&gt;0,
     COUNTIFS($AS$2:$AS$200,$G39)&gt;0,
     COUNTIFS($AT$2:$AT$200,$G39)&gt;0,
     COUNTIFS($AU$2:$AU$200,$G39)&gt;0,
     COUNTIFS($AV$2:$AV$200,$G39)&gt;0,
     COUNTIFS($AW$2:$AW$200,$G39)&gt;0,
     COUNTIFS($AX$2:$AX$200,$G39)&gt;0,
     COUNTIFS($AY$2:$AY$200,$G39)&gt;0
   )),
  ),
  4
 ),
"")</f>
        <v/>
      </c>
      <c r="G39" t="str">
        <f ca="1"/>
        <v>Back in Town</v>
      </c>
      <c r="J39" t="s">
        <v>42</v>
      </c>
      <c r="K39" s="2">
        <f>[1]VialIshai!G2</f>
        <v>10</v>
      </c>
      <c r="L39" s="2" t="s">
        <v>2</v>
      </c>
      <c r="M39" s="2" t="s">
        <v>2</v>
      </c>
      <c r="N39" s="2" t="s">
        <v>2</v>
      </c>
      <c r="O39" s="2" t="s">
        <v>2</v>
      </c>
      <c r="P39" s="2" t="s">
        <v>3</v>
      </c>
      <c r="Q39" s="2" t="s">
        <v>39</v>
      </c>
      <c r="R39" s="2" t="s">
        <v>0</v>
      </c>
      <c r="S39" s="2" t="s">
        <v>41</v>
      </c>
      <c r="T39" s="2" t="str">
        <f t="shared" ref="T39:T46" si="7">IF(K39&lt;6,"1",IF(K39&lt;11,"2",IF(K39&lt;16,"3",IF(K39&lt;31,"4","5"))))</f>
        <v>2</v>
      </c>
      <c r="AO39" t="str">
        <v>Jetmir's Garden</v>
      </c>
      <c r="BE39" t="str">
        <v>Island</v>
      </c>
      <c r="BI39" t="str">
        <v>Plains</v>
      </c>
      <c r="BJ39" t="str">
        <v>Kinscaer Sentry</v>
      </c>
      <c r="BL39" t="str">
        <v>Forest</v>
      </c>
      <c r="CJ39" t="str">
        <f ca="1"/>
        <v>Woodland Cemetery</v>
      </c>
      <c r="CR39" t="str">
        <f ca="1"/>
        <v>Jetmir's Garden</v>
      </c>
      <c r="CW39" t="str">
        <f ca="1"/>
        <v>The Great Henge</v>
      </c>
      <c r="DB39" t="str">
        <f ca="1"/>
        <v>Rose, Cutthroat Raider</v>
      </c>
      <c r="DC39" t="str">
        <f ca="1"/>
        <v>Loyal Apprentice</v>
      </c>
      <c r="DD39" t="str">
        <f ca="1"/>
        <v>Joint Exploration</v>
      </c>
      <c r="DP39" t="str">
        <f ca="1"/>
        <v>Maddening Cacophony</v>
      </c>
      <c r="DQ39" t="str">
        <f ca="1"/>
        <v>Waterbender's Restoration</v>
      </c>
      <c r="DR39" t="str">
        <f ca="1"/>
        <v>Wan Shi Tong, Librarian</v>
      </c>
      <c r="DS39" t="str">
        <f ca="1"/>
        <v>Sword of Feast and Famine</v>
      </c>
      <c r="DT39" t="str">
        <f ca="1"/>
        <v>Indatha Triome</v>
      </c>
      <c r="DW39" t="str">
        <f ca="1"/>
        <v>The Great Henge</v>
      </c>
      <c r="DY39" t="str">
        <f ca="1"/>
        <v>Rose, Cutthroat Raider</v>
      </c>
      <c r="DZ39" t="str">
        <f ca="1"/>
        <v>Counterspell</v>
      </c>
      <c r="EG39" t="str">
        <f ca="1"/>
        <v>Gavony Township</v>
      </c>
      <c r="EH39" t="str">
        <f ca="1"/>
        <v>Mistbind Clique</v>
      </c>
      <c r="EI39" t="str">
        <f ca="1"/>
        <v>Galerider Sliver</v>
      </c>
      <c r="EJ39" t="str">
        <f ca="1"/>
        <v>Obelisk Spider</v>
      </c>
      <c r="EK39" t="str">
        <f ca="1"/>
        <v>Long-Range Sensor</v>
      </c>
      <c r="EL39" t="str">
        <f ca="1"/>
        <v>Counterspell</v>
      </c>
      <c r="EP39" t="str">
        <f ca="1"/>
        <v>Commodore Guff</v>
      </c>
      <c r="EQ39" t="str">
        <f ca="1"/>
        <v>Daretti, Ingenious Iconoclast</v>
      </c>
      <c r="ER39" t="str">
        <f ca="1"/>
        <v>Canopy Vista</v>
      </c>
      <c r="EU39" t="str">
        <f ca="1"/>
        <v>Breeding Pool</v>
      </c>
      <c r="EV39" t="str">
        <f ca="1"/>
        <v>Canopy Vista</v>
      </c>
      <c r="EX39" t="str">
        <f ca="1"/>
        <v>Back in Town</v>
      </c>
    </row>
    <row r="40" spans="1:154" x14ac:dyDescent="0.25">
      <c r="A40" s="2" t="str">
        <f t="shared" ca="1" si="1"/>
        <v>2</v>
      </c>
      <c r="B40" s="2">
        <f t="shared" ca="1" si="2"/>
        <v>1</v>
      </c>
      <c r="C40" s="2" t="str">
        <f ca="1">IFERROR(
 INDEX($V$1:$BL$1,
  MATCH(TRUE,
   CHOOSE({1;2;3;4;5;6;7;8;9;10;11;12;13;14;15;16;17;18;19;20;21;22;23;24;25;26;27;28;29;30;31;32;33;34;35;36;37;38;39;40;41;42;43},
    COUNTIFS($V$2:$V$200,$G40)&gt;0,
    COUNTIFS($W$2:$W$200,$G40)&gt;0,
    COUNTIFS($X$2:$X$200,$G40)&gt;0,
    COUNTIFS($Y$2:$Y$200,$G40)&gt;0,
    COUNTIFS($Z$2:$Z$200,$G40)&gt;0,
    COUNTIFS($AA$2:$AA$200,$G40)&gt;0,
    COUNTIFS($AB$2:$AB$200,$G40)&gt;0,
    COUNTIFS($AC$2:$AC$200,$G40)&gt;0,
    COUNTIFS($AD$2:$AD$200,$G40)&gt;0,
    COUNTIFS($AE$2:$AE$200,$G40)&gt;0,
    COUNTIFS($AF$2:$AF$200,$G40)&gt;0,
    COUNTIFS($AG$2:$AG$200,$G40)&gt;0,
    COUNTIFS($AH$2:$AH$200,$G40)&gt;0,
    COUNTIFS($AI$2:$AI$200,$G40)&gt;0,
    COUNTIFS($AJ$2:$AJ$200,$G40)&gt;0,
    COUNTIFS($AK$2:$AK$200,$G40)&gt;0,
    COUNTIFS($AL$2:$AL$200,$G40)&gt;0,
    COUNTIFS($AM$2:$AM$200,$G40)&gt;0,
    COUNTIFS($AN$2:$AN$200,$G40)&gt;0,
    COUNTIFS($AO$2:$AO$200,$G40)&gt;0,
    COUNTIFS($AP$2:$AP$200,$G40)&gt;0,
    COUNTIFS($AQ$2:$AQ$200,$G40)&gt;0,
    COUNTIFS($AR$2:$AR$200,$G40)&gt;0,
    COUNTIFS($AS$2:$AS$200,$G40)&gt;0,
    COUNTIFS($AT$2:$AT$200,$G40)&gt;0,
    COUNTIFS($AU$2:$AU$200,$G40)&gt;0,
    COUNTIFS($AV$2:$AV$200,$G40)&gt;0,
    COUNTIFS($AW$2:$AW$200,$G40)&gt;0,
    COUNTIFS($AX$2:$AX$200,$G40)&gt;0,
    COUNTIFS($AY$2:$AY$200,$G40)&gt;0,
    COUNTIFS($AZ$2:$AZ$200,$G40)&gt;0,
    COUNTIFS($BA$2:$BA$200,$G40)&gt;0,
    COUNTIFS($BB$2:$BB$200,$G40)&gt;0,
    COUNTIFS($BC$2:$BC$200,$G40)&gt;0,
    COUNTIFS($BD$2:$BD$200,$G40)&gt;0,
    COUNTIFS($BE$2:$BE$200,$G40)&gt;0,
    COUNTIFS($BF$2:$BF$200,$G40)&gt;0,
    COUNTIFS($BG$2:$BG$200,$G40)&gt;0,
    COUNTIFS($BH$2:$BH$200,$G40)&gt;0,
    COUNTIFS($BI$2:$BI$200,$G40)&gt;0,
    COUNTIFS($BJ$2:$BJ$200,$G40)&gt;0,
    COUNTIFS($BK$2:$BK$200,$G40)&gt;0,
    COUNTIFS($BL$2:$BL$200,$G40)&gt;0,
    COUNTIFS($BM$2:$BM$200,$G40)&gt;0,
   ),
  0)
 ),
"")</f>
        <v>Rielle</v>
      </c>
      <c r="D40" s="2" t="str" cm="1">
        <f t="array" aca="1" ref="D40" ca="1">IFERROR(
 INDEX(
  _xlfn._xlws.FILTER($V$1:$AY$1,
   TRANSPOSE(
    CHOOSE({1;2;3;4;5;6;7;8;9;10;11;12;13;14;15;16;17;18;19;20;21;22;23;24;25;26;27;28;29;30},
     COUNTIFS($V$2:$V$200,$G40)&gt;0,
     COUNTIFS($W$2:$W$200,$G40)&gt;0,
     COUNTIFS($X$2:$X$200,$G40)&gt;0,
     COUNTIFS($Y$2:$Y$200,$G40)&gt;0,
     COUNTIFS($Z$2:$Z$200,$G40)&gt;0,
     COUNTIFS($AA$2:$AA$200,$G40)&gt;0,
     COUNTIFS($AB$2:$AB$200,$G40)&gt;0,
     COUNTIFS($AC$2:$AC$200,$G40)&gt;0,
     COUNTIFS($AD$2:$AD$200,$G40)&gt;0,
     COUNTIFS($AE$2:$AE$200,$G40)&gt;0,
     COUNTIFS($AF$2:$AF$200,$G40)&gt;0,
     COUNTIFS($AG$2:$AG$200,$G40)&gt;0,
     COUNTIFS($AH$2:$AH$200,$G40)&gt;0,
     COUNTIFS($AI$2:$AI$200,$G40)&gt;0,
     COUNTIFS($AJ$2:$AJ$200,$G40)&gt;0,
     COUNTIFS($AK$2:$AK$200,$G40)&gt;0,
     COUNTIFS($AL$2:$AL$200,$G40)&gt;0,
     COUNTIFS($AM$2:$AM$200,$G40)&gt;0,
     COUNTIFS($AN$2:$AN$200,$G40)&gt;0,
     COUNTIFS($AO$2:$AO$200,$G40)&gt;0,
     COUNTIFS($AP$2:$AP$200,$G40)&gt;0,
     COUNTIFS($AQ$2:$AQ$200,$G40)&gt;0,
     COUNTIFS($AR$2:$AR$200,$G40)&gt;0,
     COUNTIFS($AS$2:$AS$200,$G40)&gt;0,
     COUNTIFS($AT$2:$AT$200,$G40)&gt;0,
     COUNTIFS($AU$2:$AU$200,$G40)&gt;0,
     COUNTIFS($AV$2:$AV$200,$G40)&gt;0,
     COUNTIFS($AW$2:$AW$200,$G40)&gt;0,
     COUNTIFS($AX$2:$AX$200,$G40)&gt;0,
     COUNTIFS($AY$2:$AY$200,$G40)&gt;0
   )),
  ),
  2
 ),
"")</f>
        <v/>
      </c>
      <c r="E40" s="2" t="str" cm="1">
        <f t="array" aca="1" ref="E40" ca="1">IFERROR(
 INDEX(
  _xlfn._xlws.FILTER($V$1:$AY$1,
   TRANSPOSE(
    CHOOSE({1;2;3;4;5;6;7;8;9;10;11;12;13;14;15;16;17;18;19;20;21;22;23;24;25;26;27;28;29;30},
     COUNTIFS($V$2:$V$200,$G40)&gt;0,
     COUNTIFS($W$2:$W$200,$G40)&gt;0,
     COUNTIFS($X$2:$X$200,$G40)&gt;0,
     COUNTIFS($Y$2:$Y$200,$G40)&gt;0,
     COUNTIFS($Z$2:$Z$200,$G40)&gt;0,
     COUNTIFS($AA$2:$AA$200,$G40)&gt;0,
     COUNTIFS($AB$2:$AB$200,$G40)&gt;0,
     COUNTIFS($AC$2:$AC$200,$G40)&gt;0,
     COUNTIFS($AD$2:$AD$200,$G40)&gt;0,
     COUNTIFS($AE$2:$AE$200,$G40)&gt;0,
     COUNTIFS($AF$2:$AF$200,$G40)&gt;0,
     COUNTIFS($AG$2:$AG$200,$G40)&gt;0,
     COUNTIFS($AH$2:$AH$200,$G40)&gt;0,
     COUNTIFS($AI$2:$AI$200,$G40)&gt;0,
     COUNTIFS($AJ$2:$AJ$200,$G40)&gt;0,
     COUNTIFS($AK$2:$AK$200,$G40)&gt;0,
     COUNTIFS($AL$2:$AL$200,$G40)&gt;0,
     COUNTIFS($AM$2:$AM$200,$G40)&gt;0,
     COUNTIFS($AN$2:$AN$200,$G40)&gt;0,
     COUNTIFS($AO$2:$AO$200,$G40)&gt;0,
     COUNTIFS($AP$2:$AP$200,$G40)&gt;0,
     COUNTIFS($AQ$2:$AQ$200,$G40)&gt;0,
     COUNTIFS($AR$2:$AR$200,$G40)&gt;0,
     COUNTIFS($AS$2:$AS$200,$G40)&gt;0,
     COUNTIFS($AT$2:$AT$200,$G40)&gt;0,
     COUNTIFS($AU$2:$AU$200,$G40)&gt;0,
     COUNTIFS($AV$2:$AV$200,$G40)&gt;0,
     COUNTIFS($AW$2:$AW$200,$G40)&gt;0,
     COUNTIFS($AX$2:$AX$200,$G40)&gt;0,
     COUNTIFS($AY$2:$AY$200,$G40)&gt;0
   )),
  ),
  3
 ),
"")</f>
        <v/>
      </c>
      <c r="F40" s="2" t="str" cm="1">
        <f t="array" aca="1" ref="F40" ca="1">IFERROR(
 INDEX(
  _xlfn._xlws.FILTER($V$1:$AY$1,
   TRANSPOSE(
    CHOOSE({1;2;3;4;5;6;7;8;9;10;11;12;13;14;15;16;17;18;19;20;21;22;23;24;25;26;27;28;29;30},
     COUNTIFS($V$2:$V$200,$G40)&gt;0,
     COUNTIFS($W$2:$W$200,$G40)&gt;0,
     COUNTIFS($X$2:$X$200,$G40)&gt;0,
     COUNTIFS($Y$2:$Y$200,$G40)&gt;0,
     COUNTIFS($Z$2:$Z$200,$G40)&gt;0,
     COUNTIFS($AA$2:$AA$200,$G40)&gt;0,
     COUNTIFS($AB$2:$AB$200,$G40)&gt;0,
     COUNTIFS($AC$2:$AC$200,$G40)&gt;0,
     COUNTIFS($AD$2:$AD$200,$G40)&gt;0,
     COUNTIFS($AE$2:$AE$200,$G40)&gt;0,
     COUNTIFS($AF$2:$AF$200,$G40)&gt;0,
     COUNTIFS($AG$2:$AG$200,$G40)&gt;0,
     COUNTIFS($AH$2:$AH$200,$G40)&gt;0,
     COUNTIFS($AI$2:$AI$200,$G40)&gt;0,
     COUNTIFS($AJ$2:$AJ$200,$G40)&gt;0,
     COUNTIFS($AK$2:$AK$200,$G40)&gt;0,
     COUNTIFS($AL$2:$AL$200,$G40)&gt;0,
     COUNTIFS($AM$2:$AM$200,$G40)&gt;0,
     COUNTIFS($AN$2:$AN$200,$G40)&gt;0,
     COUNTIFS($AO$2:$AO$200,$G40)&gt;0,
     COUNTIFS($AP$2:$AP$200,$G40)&gt;0,
     COUNTIFS($AQ$2:$AQ$200,$G40)&gt;0,
     COUNTIFS($AR$2:$AR$200,$G40)&gt;0,
     COUNTIFS($AS$2:$AS$200,$G40)&gt;0,
     COUNTIFS($AT$2:$AT$200,$G40)&gt;0,
     COUNTIFS($AU$2:$AU$200,$G40)&gt;0,
     COUNTIFS($AV$2:$AV$200,$G40)&gt;0,
     COUNTIFS($AW$2:$AW$200,$G40)&gt;0,
     COUNTIFS($AX$2:$AX$200,$G40)&gt;0,
     COUNTIFS($AY$2:$AY$200,$G40)&gt;0
   )),
  ),
  4
 ),
"")</f>
        <v/>
      </c>
      <c r="G40" t="str">
        <f ca="1"/>
        <v>Baral, Chief of Compliance</v>
      </c>
      <c r="J40" t="s">
        <v>16</v>
      </c>
      <c r="K40" s="2">
        <f>[1]Breya!G2</f>
        <v>3</v>
      </c>
      <c r="L40" s="2" t="s">
        <v>2</v>
      </c>
      <c r="M40" s="2" t="s">
        <v>2</v>
      </c>
      <c r="N40" s="2" t="s">
        <v>2</v>
      </c>
      <c r="O40" s="2" t="s">
        <v>2</v>
      </c>
      <c r="P40" s="2" t="s">
        <v>3</v>
      </c>
      <c r="Q40" s="2" t="s">
        <v>1</v>
      </c>
      <c r="R40" s="2" t="s">
        <v>4</v>
      </c>
      <c r="S40" s="2" t="s">
        <v>15</v>
      </c>
      <c r="T40" s="2" t="str">
        <f t="shared" si="7"/>
        <v>1</v>
      </c>
      <c r="AO40" t="str">
        <v>Ketria Triome</v>
      </c>
      <c r="BE40" t="str">
        <v>Island</v>
      </c>
      <c r="BI40" t="str">
        <v>Plains</v>
      </c>
      <c r="BJ40" t="str">
        <v>Lagomos, Hand of Hatred</v>
      </c>
      <c r="BL40" t="str">
        <v>Forest</v>
      </c>
      <c r="CJ40" t="str">
        <f ca="1"/>
        <v>World at War</v>
      </c>
      <c r="CR40" t="str">
        <f ca="1"/>
        <v>Ketria Triome</v>
      </c>
      <c r="CW40" t="str">
        <f ca="1"/>
        <v>Thopter Shop</v>
      </c>
      <c r="DB40" t="str">
        <f ca="1"/>
        <v>Shelter</v>
      </c>
      <c r="DC40" t="str">
        <f ca="1"/>
        <v>Lurrus of the Dream-Den</v>
      </c>
      <c r="DD40" t="str">
        <f ca="1"/>
        <v>Kaervek the Merciless</v>
      </c>
      <c r="DP40" t="str">
        <f ca="1"/>
        <v>March of the Canonized</v>
      </c>
      <c r="DR40" t="str">
        <f ca="1"/>
        <v>Watery Grave</v>
      </c>
      <c r="DS40" t="str">
        <f ca="1"/>
        <v>Sword of Fire and Ice</v>
      </c>
      <c r="DT40" t="str">
        <f ca="1"/>
        <v>Island</v>
      </c>
      <c r="DW40" t="str">
        <f ca="1"/>
        <v>Thopter Shop</v>
      </c>
      <c r="DY40" t="str">
        <f ca="1"/>
        <v>Shelter</v>
      </c>
      <c r="DZ40" t="str">
        <f ca="1"/>
        <v>Culling Ritual</v>
      </c>
      <c r="EG40" t="str">
        <f ca="1"/>
        <v>Ghostly Prison</v>
      </c>
      <c r="EH40" t="str">
        <f ca="1"/>
        <v>Mistrise Village</v>
      </c>
      <c r="EI40" t="str">
        <f ca="1"/>
        <v>Gemhide Sliver</v>
      </c>
      <c r="EJ40" t="str">
        <f ca="1"/>
        <v>Ondu Inversion</v>
      </c>
      <c r="EK40" t="str">
        <f ca="1"/>
        <v>Merchant of Truth</v>
      </c>
      <c r="EL40" t="str">
        <f ca="1"/>
        <v>Culling Ritual</v>
      </c>
      <c r="EP40" t="str">
        <f ca="1"/>
        <v>Court of Garenbrig</v>
      </c>
      <c r="EQ40" t="str">
        <f ca="1"/>
        <v>Darkheart Sliver</v>
      </c>
      <c r="ER40" t="str">
        <f ca="1"/>
        <v>Caves of Koilos</v>
      </c>
      <c r="EU40" t="str">
        <f ca="1"/>
        <v>Brigid, Clachan's Heart</v>
      </c>
      <c r="EV40" t="str">
        <f ca="1"/>
        <v>Caves of Koilos</v>
      </c>
      <c r="EX40" t="str">
        <f ca="1"/>
        <v>Baral, Chief of Compliance</v>
      </c>
    </row>
    <row r="41" spans="1:154" x14ac:dyDescent="0.25">
      <c r="A41" s="2" t="str">
        <f t="shared" ca="1" si="1"/>
        <v>5</v>
      </c>
      <c r="B41" s="2">
        <f t="shared" ca="1" si="2"/>
        <v>1</v>
      </c>
      <c r="C41" s="2" t="str">
        <f ca="1">IFERROR(
 INDEX($V$1:$BL$1,
  MATCH(TRUE,
   CHOOSE({1;2;3;4;5;6;7;8;9;10;11;12;13;14;15;16;17;18;19;20;21;22;23;24;25;26;27;28;29;30;31;32;33;34;35;36;37;38;39;40;41;42;43},
    COUNTIFS($V$2:$V$200,$G41)&gt;0,
    COUNTIFS($W$2:$W$200,$G41)&gt;0,
    COUNTIFS($X$2:$X$200,$G41)&gt;0,
    COUNTIFS($Y$2:$Y$200,$G41)&gt;0,
    COUNTIFS($Z$2:$Z$200,$G41)&gt;0,
    COUNTIFS($AA$2:$AA$200,$G41)&gt;0,
    COUNTIFS($AB$2:$AB$200,$G41)&gt;0,
    COUNTIFS($AC$2:$AC$200,$G41)&gt;0,
    COUNTIFS($AD$2:$AD$200,$G41)&gt;0,
    COUNTIFS($AE$2:$AE$200,$G41)&gt;0,
    COUNTIFS($AF$2:$AF$200,$G41)&gt;0,
    COUNTIFS($AG$2:$AG$200,$G41)&gt;0,
    COUNTIFS($AH$2:$AH$200,$G41)&gt;0,
    COUNTIFS($AI$2:$AI$200,$G41)&gt;0,
    COUNTIFS($AJ$2:$AJ$200,$G41)&gt;0,
    COUNTIFS($AK$2:$AK$200,$G41)&gt;0,
    COUNTIFS($AL$2:$AL$200,$G41)&gt;0,
    COUNTIFS($AM$2:$AM$200,$G41)&gt;0,
    COUNTIFS($AN$2:$AN$200,$G41)&gt;0,
    COUNTIFS($AO$2:$AO$200,$G41)&gt;0,
    COUNTIFS($AP$2:$AP$200,$G41)&gt;0,
    COUNTIFS($AQ$2:$AQ$200,$G41)&gt;0,
    COUNTIFS($AR$2:$AR$200,$G41)&gt;0,
    COUNTIFS($AS$2:$AS$200,$G41)&gt;0,
    COUNTIFS($AT$2:$AT$200,$G41)&gt;0,
    COUNTIFS($AU$2:$AU$200,$G41)&gt;0,
    COUNTIFS($AV$2:$AV$200,$G41)&gt;0,
    COUNTIFS($AW$2:$AW$200,$G41)&gt;0,
    COUNTIFS($AX$2:$AX$200,$G41)&gt;0,
    COUNTIFS($AY$2:$AY$200,$G41)&gt;0,
    COUNTIFS($AZ$2:$AZ$200,$G41)&gt;0,
    COUNTIFS($BA$2:$BA$200,$G41)&gt;0,
    COUNTIFS($BB$2:$BB$200,$G41)&gt;0,
    COUNTIFS($BC$2:$BC$200,$G41)&gt;0,
    COUNTIFS($BD$2:$BD$200,$G41)&gt;0,
    COUNTIFS($BE$2:$BE$200,$G41)&gt;0,
    COUNTIFS($BF$2:$BF$200,$G41)&gt;0,
    COUNTIFS($BG$2:$BG$200,$G41)&gt;0,
    COUNTIFS($BH$2:$BH$200,$G41)&gt;0,
    COUNTIFS($BI$2:$BI$200,$G41)&gt;0,
    COUNTIFS($BJ$2:$BJ$200,$G41)&gt;0,
    COUNTIFS($BK$2:$BK$200,$G41)&gt;0,
    COUNTIFS($BL$2:$BL$200,$G41)&gt;0,
    COUNTIFS($BM$2:$BM$200,$G41)&gt;0,
   ),
  0)
 ),
"")</f>
        <v>Fractius</v>
      </c>
      <c r="D41" s="2" t="str" cm="1">
        <f t="array" aca="1" ref="D41" ca="1">IFERROR(
 INDEX(
  _xlfn._xlws.FILTER($V$1:$AY$1,
   TRANSPOSE(
    CHOOSE({1;2;3;4;5;6;7;8;9;10;11;12;13;14;15;16;17;18;19;20;21;22;23;24;25;26;27;28;29;30},
     COUNTIFS($V$2:$V$200,$G41)&gt;0,
     COUNTIFS($W$2:$W$200,$G41)&gt;0,
     COUNTIFS($X$2:$X$200,$G41)&gt;0,
     COUNTIFS($Y$2:$Y$200,$G41)&gt;0,
     COUNTIFS($Z$2:$Z$200,$G41)&gt;0,
     COUNTIFS($AA$2:$AA$200,$G41)&gt;0,
     COUNTIFS($AB$2:$AB$200,$G41)&gt;0,
     COUNTIFS($AC$2:$AC$200,$G41)&gt;0,
     COUNTIFS($AD$2:$AD$200,$G41)&gt;0,
     COUNTIFS($AE$2:$AE$200,$G41)&gt;0,
     COUNTIFS($AF$2:$AF$200,$G41)&gt;0,
     COUNTIFS($AG$2:$AG$200,$G41)&gt;0,
     COUNTIFS($AH$2:$AH$200,$G41)&gt;0,
     COUNTIFS($AI$2:$AI$200,$G41)&gt;0,
     COUNTIFS($AJ$2:$AJ$200,$G41)&gt;0,
     COUNTIFS($AK$2:$AK$200,$G41)&gt;0,
     COUNTIFS($AL$2:$AL$200,$G41)&gt;0,
     COUNTIFS($AM$2:$AM$200,$G41)&gt;0,
     COUNTIFS($AN$2:$AN$200,$G41)&gt;0,
     COUNTIFS($AO$2:$AO$200,$G41)&gt;0,
     COUNTIFS($AP$2:$AP$200,$G41)&gt;0,
     COUNTIFS($AQ$2:$AQ$200,$G41)&gt;0,
     COUNTIFS($AR$2:$AR$200,$G41)&gt;0,
     COUNTIFS($AS$2:$AS$200,$G41)&gt;0,
     COUNTIFS($AT$2:$AT$200,$G41)&gt;0,
     COUNTIFS($AU$2:$AU$200,$G41)&gt;0,
     COUNTIFS($AV$2:$AV$200,$G41)&gt;0,
     COUNTIFS($AW$2:$AW$200,$G41)&gt;0,
     COUNTIFS($AX$2:$AX$200,$G41)&gt;0,
     COUNTIFS($AY$2:$AY$200,$G41)&gt;0
   )),
  ),
  2
 ),
"")</f>
        <v/>
      </c>
      <c r="E41" s="2" t="str" cm="1">
        <f t="array" aca="1" ref="E41" ca="1">IFERROR(
 INDEX(
  _xlfn._xlws.FILTER($V$1:$AY$1,
   TRANSPOSE(
    CHOOSE({1;2;3;4;5;6;7;8;9;10;11;12;13;14;15;16;17;18;19;20;21;22;23;24;25;26;27;28;29;30},
     COUNTIFS($V$2:$V$200,$G41)&gt;0,
     COUNTIFS($W$2:$W$200,$G41)&gt;0,
     COUNTIFS($X$2:$X$200,$G41)&gt;0,
     COUNTIFS($Y$2:$Y$200,$G41)&gt;0,
     COUNTIFS($Z$2:$Z$200,$G41)&gt;0,
     COUNTIFS($AA$2:$AA$200,$G41)&gt;0,
     COUNTIFS($AB$2:$AB$200,$G41)&gt;0,
     COUNTIFS($AC$2:$AC$200,$G41)&gt;0,
     COUNTIFS($AD$2:$AD$200,$G41)&gt;0,
     COUNTIFS($AE$2:$AE$200,$G41)&gt;0,
     COUNTIFS($AF$2:$AF$200,$G41)&gt;0,
     COUNTIFS($AG$2:$AG$200,$G41)&gt;0,
     COUNTIFS($AH$2:$AH$200,$G41)&gt;0,
     COUNTIFS($AI$2:$AI$200,$G41)&gt;0,
     COUNTIFS($AJ$2:$AJ$200,$G41)&gt;0,
     COUNTIFS($AK$2:$AK$200,$G41)&gt;0,
     COUNTIFS($AL$2:$AL$200,$G41)&gt;0,
     COUNTIFS($AM$2:$AM$200,$G41)&gt;0,
     COUNTIFS($AN$2:$AN$200,$G41)&gt;0,
     COUNTIFS($AO$2:$AO$200,$G41)&gt;0,
     COUNTIFS($AP$2:$AP$200,$G41)&gt;0,
     COUNTIFS($AQ$2:$AQ$200,$G41)&gt;0,
     COUNTIFS($AR$2:$AR$200,$G41)&gt;0,
     COUNTIFS($AS$2:$AS$200,$G41)&gt;0,
     COUNTIFS($AT$2:$AT$200,$G41)&gt;0,
     COUNTIFS($AU$2:$AU$200,$G41)&gt;0,
     COUNTIFS($AV$2:$AV$200,$G41)&gt;0,
     COUNTIFS($AW$2:$AW$200,$G41)&gt;0,
     COUNTIFS($AX$2:$AX$200,$G41)&gt;0,
     COUNTIFS($AY$2:$AY$200,$G41)&gt;0
   )),
  ),
  3
 ),
"")</f>
        <v/>
      </c>
      <c r="F41" s="2" t="str" cm="1">
        <f t="array" aca="1" ref="F41" ca="1">IFERROR(
 INDEX(
  _xlfn._xlws.FILTER($V$1:$AY$1,
   TRANSPOSE(
    CHOOSE({1;2;3;4;5;6;7;8;9;10;11;12;13;14;15;16;17;18;19;20;21;22;23;24;25;26;27;28;29;30},
     COUNTIFS($V$2:$V$200,$G41)&gt;0,
     COUNTIFS($W$2:$W$200,$G41)&gt;0,
     COUNTIFS($X$2:$X$200,$G41)&gt;0,
     COUNTIFS($Y$2:$Y$200,$G41)&gt;0,
     COUNTIFS($Z$2:$Z$200,$G41)&gt;0,
     COUNTIFS($AA$2:$AA$200,$G41)&gt;0,
     COUNTIFS($AB$2:$AB$200,$G41)&gt;0,
     COUNTIFS($AC$2:$AC$200,$G41)&gt;0,
     COUNTIFS($AD$2:$AD$200,$G41)&gt;0,
     COUNTIFS($AE$2:$AE$200,$G41)&gt;0,
     COUNTIFS($AF$2:$AF$200,$G41)&gt;0,
     COUNTIFS($AG$2:$AG$200,$G41)&gt;0,
     COUNTIFS($AH$2:$AH$200,$G41)&gt;0,
     COUNTIFS($AI$2:$AI$200,$G41)&gt;0,
     COUNTIFS($AJ$2:$AJ$200,$G41)&gt;0,
     COUNTIFS($AK$2:$AK$200,$G41)&gt;0,
     COUNTIFS($AL$2:$AL$200,$G41)&gt;0,
     COUNTIFS($AM$2:$AM$200,$G41)&gt;0,
     COUNTIFS($AN$2:$AN$200,$G41)&gt;0,
     COUNTIFS($AO$2:$AO$200,$G41)&gt;0,
     COUNTIFS($AP$2:$AP$200,$G41)&gt;0,
     COUNTIFS($AQ$2:$AQ$200,$G41)&gt;0,
     COUNTIFS($AR$2:$AR$200,$G41)&gt;0,
     COUNTIFS($AS$2:$AS$200,$G41)&gt;0,
     COUNTIFS($AT$2:$AT$200,$G41)&gt;0,
     COUNTIFS($AU$2:$AU$200,$G41)&gt;0,
     COUNTIFS($AV$2:$AV$200,$G41)&gt;0,
     COUNTIFS($AW$2:$AW$200,$G41)&gt;0,
     COUNTIFS($AX$2:$AX$200,$G41)&gt;0,
     COUNTIFS($AY$2:$AY$200,$G41)&gt;0
   )),
  ),
  4
 ),
"")</f>
        <v/>
      </c>
      <c r="G41" t="str">
        <f ca="1"/>
        <v>Basal Sliver</v>
      </c>
      <c r="J41" t="s">
        <v>30</v>
      </c>
      <c r="K41" s="2">
        <f>[1]Thrakiri!G2</f>
        <v>2</v>
      </c>
      <c r="L41" s="2" t="s">
        <v>2</v>
      </c>
      <c r="M41" s="2" t="s">
        <v>2</v>
      </c>
      <c r="N41" s="2" t="s">
        <v>2</v>
      </c>
      <c r="O41" s="2" t="s">
        <v>3</v>
      </c>
      <c r="P41" s="2" t="s">
        <v>2</v>
      </c>
      <c r="Q41" s="2" t="s">
        <v>7</v>
      </c>
      <c r="R41" s="2" t="s">
        <v>0</v>
      </c>
      <c r="S41" s="2" t="s">
        <v>29</v>
      </c>
      <c r="T41" s="2" t="str">
        <f t="shared" si="7"/>
        <v>1</v>
      </c>
      <c r="AO41" t="str">
        <v>Lavabelly Sliver</v>
      </c>
      <c r="BE41" t="str">
        <v>Island</v>
      </c>
      <c r="BI41" t="str">
        <v>Plains</v>
      </c>
      <c r="BJ41" t="str">
        <v>Llanowar Wastes</v>
      </c>
      <c r="BL41" t="str">
        <v>Forest</v>
      </c>
      <c r="CJ41" t="str">
        <f ca="1"/>
        <v>Zellix, Sanity Flayer</v>
      </c>
      <c r="CR41" t="str">
        <f ca="1"/>
        <v>Lavabelly Sliver</v>
      </c>
      <c r="CW41" t="str">
        <f ca="1"/>
        <v>Tree of Tales</v>
      </c>
      <c r="DB41" t="str">
        <f ca="1"/>
        <v>Smoldering Marsh</v>
      </c>
      <c r="DC41" t="str">
        <f ca="1"/>
        <v>Mahadi, Emporium Master</v>
      </c>
      <c r="DD41" t="str">
        <f ca="1"/>
        <v>Kess, Dissident Mage</v>
      </c>
      <c r="DP41" t="str">
        <f ca="1"/>
        <v>Mines of Moria</v>
      </c>
      <c r="DS41" t="str">
        <f ca="1"/>
        <v>Sword of Light and Shadow</v>
      </c>
      <c r="DT41" t="str">
        <f ca="1"/>
        <v>Jetmir's Garden</v>
      </c>
      <c r="DW41" t="str">
        <f ca="1"/>
        <v>Tree of Tales</v>
      </c>
      <c r="DY41" t="str">
        <f ca="1"/>
        <v>Smoldering Marsh</v>
      </c>
      <c r="DZ41" t="str">
        <f ca="1"/>
        <v>Curious Farm Animals</v>
      </c>
      <c r="EG41" t="str">
        <f ca="1"/>
        <v>Ghoulish Impetus</v>
      </c>
      <c r="EH41" t="str">
        <f ca="1"/>
        <v>Molten Echoes</v>
      </c>
      <c r="EI41" t="str">
        <f ca="1"/>
        <v>Glen Elendra's Answer</v>
      </c>
      <c r="EJ41" t="str">
        <f ca="1"/>
        <v>Persistent Constrictor</v>
      </c>
      <c r="EK41" t="str">
        <f ca="1"/>
        <v>Mind Stone</v>
      </c>
      <c r="EL41" t="str">
        <f ca="1"/>
        <v>Curious Farm Animals</v>
      </c>
      <c r="EP41" t="str">
        <f ca="1"/>
        <v>Creeping Tar Pit</v>
      </c>
      <c r="EQ41" t="str">
        <f ca="1"/>
        <v>Dawnhand Dissident</v>
      </c>
      <c r="ER41" t="str">
        <f ca="1"/>
        <v>Chaos Wand</v>
      </c>
      <c r="EU41" t="str">
        <f ca="1"/>
        <v>Broadside Bombardiers</v>
      </c>
      <c r="EV41" t="str">
        <f ca="1"/>
        <v>Chaos Wand</v>
      </c>
      <c r="EX41" t="str">
        <f ca="1"/>
        <v>Basal Sliver</v>
      </c>
    </row>
    <row r="42" spans="1:154" x14ac:dyDescent="0.25">
      <c r="A42" s="2" t="str">
        <f t="shared" ca="1" si="1"/>
        <v>5</v>
      </c>
      <c r="B42" s="2">
        <f t="shared" ca="1" si="2"/>
        <v>1</v>
      </c>
      <c r="C42" s="2" t="str">
        <f ca="1">IFERROR(
 INDEX($V$1:$BL$1,
  MATCH(TRUE,
   CHOOSE({1;2;3;4;5;6;7;8;9;10;11;12;13;14;15;16;17;18;19;20;21;22;23;24;25;26;27;28;29;30;31;32;33;34;35;36;37;38;39;40;41;42;43},
    COUNTIFS($V$2:$V$200,$G42)&gt;0,
    COUNTIFS($W$2:$W$200,$G42)&gt;0,
    COUNTIFS($X$2:$X$200,$G42)&gt;0,
    COUNTIFS($Y$2:$Y$200,$G42)&gt;0,
    COUNTIFS($Z$2:$Z$200,$G42)&gt;0,
    COUNTIFS($AA$2:$AA$200,$G42)&gt;0,
    COUNTIFS($AB$2:$AB$200,$G42)&gt;0,
    COUNTIFS($AC$2:$AC$200,$G42)&gt;0,
    COUNTIFS($AD$2:$AD$200,$G42)&gt;0,
    COUNTIFS($AE$2:$AE$200,$G42)&gt;0,
    COUNTIFS($AF$2:$AF$200,$G42)&gt;0,
    COUNTIFS($AG$2:$AG$200,$G42)&gt;0,
    COUNTIFS($AH$2:$AH$200,$G42)&gt;0,
    COUNTIFS($AI$2:$AI$200,$G42)&gt;0,
    COUNTIFS($AJ$2:$AJ$200,$G42)&gt;0,
    COUNTIFS($AK$2:$AK$200,$G42)&gt;0,
    COUNTIFS($AL$2:$AL$200,$G42)&gt;0,
    COUNTIFS($AM$2:$AM$200,$G42)&gt;0,
    COUNTIFS($AN$2:$AN$200,$G42)&gt;0,
    COUNTIFS($AO$2:$AO$200,$G42)&gt;0,
    COUNTIFS($AP$2:$AP$200,$G42)&gt;0,
    COUNTIFS($AQ$2:$AQ$200,$G42)&gt;0,
    COUNTIFS($AR$2:$AR$200,$G42)&gt;0,
    COUNTIFS($AS$2:$AS$200,$G42)&gt;0,
    COUNTIFS($AT$2:$AT$200,$G42)&gt;0,
    COUNTIFS($AU$2:$AU$200,$G42)&gt;0,
    COUNTIFS($AV$2:$AV$200,$G42)&gt;0,
    COUNTIFS($AW$2:$AW$200,$G42)&gt;0,
    COUNTIFS($AX$2:$AX$200,$G42)&gt;0,
    COUNTIFS($AY$2:$AY$200,$G42)&gt;0,
    COUNTIFS($AZ$2:$AZ$200,$G42)&gt;0,
    COUNTIFS($BA$2:$BA$200,$G42)&gt;0,
    COUNTIFS($BB$2:$BB$200,$G42)&gt;0,
    COUNTIFS($BC$2:$BC$200,$G42)&gt;0,
    COUNTIFS($BD$2:$BD$200,$G42)&gt;0,
    COUNTIFS($BE$2:$BE$200,$G42)&gt;0,
    COUNTIFS($BF$2:$BF$200,$G42)&gt;0,
    COUNTIFS($BG$2:$BG$200,$G42)&gt;0,
    COUNTIFS($BH$2:$BH$200,$G42)&gt;0,
    COUNTIFS($BI$2:$BI$200,$G42)&gt;0,
    COUNTIFS($BJ$2:$BJ$200,$G42)&gt;0,
    COUNTIFS($BK$2:$BK$200,$G42)&gt;0,
    COUNTIFS($BL$2:$BL$200,$G42)&gt;0,
    COUNTIFS($BM$2:$BM$200,$G42)&gt;0,
   ),
  0)
 ),
"")</f>
        <v>Little</v>
      </c>
      <c r="D42" s="2" t="str" cm="1">
        <f t="array" aca="1" ref="D42" ca="1">IFERROR(
 INDEX(
  _xlfn._xlws.FILTER($V$1:$AY$1,
   TRANSPOSE(
    CHOOSE({1;2;3;4;5;6;7;8;9;10;11;12;13;14;15;16;17;18;19;20;21;22;23;24;25;26;27;28;29;30},
     COUNTIFS($V$2:$V$200,$G42)&gt;0,
     COUNTIFS($W$2:$W$200,$G42)&gt;0,
     COUNTIFS($X$2:$X$200,$G42)&gt;0,
     COUNTIFS($Y$2:$Y$200,$G42)&gt;0,
     COUNTIFS($Z$2:$Z$200,$G42)&gt;0,
     COUNTIFS($AA$2:$AA$200,$G42)&gt;0,
     COUNTIFS($AB$2:$AB$200,$G42)&gt;0,
     COUNTIFS($AC$2:$AC$200,$G42)&gt;0,
     COUNTIFS($AD$2:$AD$200,$G42)&gt;0,
     COUNTIFS($AE$2:$AE$200,$G42)&gt;0,
     COUNTIFS($AF$2:$AF$200,$G42)&gt;0,
     COUNTIFS($AG$2:$AG$200,$G42)&gt;0,
     COUNTIFS($AH$2:$AH$200,$G42)&gt;0,
     COUNTIFS($AI$2:$AI$200,$G42)&gt;0,
     COUNTIFS($AJ$2:$AJ$200,$G42)&gt;0,
     COUNTIFS($AK$2:$AK$200,$G42)&gt;0,
     COUNTIFS($AL$2:$AL$200,$G42)&gt;0,
     COUNTIFS($AM$2:$AM$200,$G42)&gt;0,
     COUNTIFS($AN$2:$AN$200,$G42)&gt;0,
     COUNTIFS($AO$2:$AO$200,$G42)&gt;0,
     COUNTIFS($AP$2:$AP$200,$G42)&gt;0,
     COUNTIFS($AQ$2:$AQ$200,$G42)&gt;0,
     COUNTIFS($AR$2:$AR$200,$G42)&gt;0,
     COUNTIFS($AS$2:$AS$200,$G42)&gt;0,
     COUNTIFS($AT$2:$AT$200,$G42)&gt;0,
     COUNTIFS($AU$2:$AU$200,$G42)&gt;0,
     COUNTIFS($AV$2:$AV$200,$G42)&gt;0,
     COUNTIFS($AW$2:$AW$200,$G42)&gt;0,
     COUNTIFS($AX$2:$AX$200,$G42)&gt;0,
     COUNTIFS($AY$2:$AY$200,$G42)&gt;0
   )),
  ),
  2
 ),
"")</f>
        <v/>
      </c>
      <c r="E42" s="2" t="str" cm="1">
        <f t="array" aca="1" ref="E42" ca="1">IFERROR(
 INDEX(
  _xlfn._xlws.FILTER($V$1:$AY$1,
   TRANSPOSE(
    CHOOSE({1;2;3;4;5;6;7;8;9;10;11;12;13;14;15;16;17;18;19;20;21;22;23;24;25;26;27;28;29;30},
     COUNTIFS($V$2:$V$200,$G42)&gt;0,
     COUNTIFS($W$2:$W$200,$G42)&gt;0,
     COUNTIFS($X$2:$X$200,$G42)&gt;0,
     COUNTIFS($Y$2:$Y$200,$G42)&gt;0,
     COUNTIFS($Z$2:$Z$200,$G42)&gt;0,
     COUNTIFS($AA$2:$AA$200,$G42)&gt;0,
     COUNTIFS($AB$2:$AB$200,$G42)&gt;0,
     COUNTIFS($AC$2:$AC$200,$G42)&gt;0,
     COUNTIFS($AD$2:$AD$200,$G42)&gt;0,
     COUNTIFS($AE$2:$AE$200,$G42)&gt;0,
     COUNTIFS($AF$2:$AF$200,$G42)&gt;0,
     COUNTIFS($AG$2:$AG$200,$G42)&gt;0,
     COUNTIFS($AH$2:$AH$200,$G42)&gt;0,
     COUNTIFS($AI$2:$AI$200,$G42)&gt;0,
     COUNTIFS($AJ$2:$AJ$200,$G42)&gt;0,
     COUNTIFS($AK$2:$AK$200,$G42)&gt;0,
     COUNTIFS($AL$2:$AL$200,$G42)&gt;0,
     COUNTIFS($AM$2:$AM$200,$G42)&gt;0,
     COUNTIFS($AN$2:$AN$200,$G42)&gt;0,
     COUNTIFS($AO$2:$AO$200,$G42)&gt;0,
     COUNTIFS($AP$2:$AP$200,$G42)&gt;0,
     COUNTIFS($AQ$2:$AQ$200,$G42)&gt;0,
     COUNTIFS($AR$2:$AR$200,$G42)&gt;0,
     COUNTIFS($AS$2:$AS$200,$G42)&gt;0,
     COUNTIFS($AT$2:$AT$200,$G42)&gt;0,
     COUNTIFS($AU$2:$AU$200,$G42)&gt;0,
     COUNTIFS($AV$2:$AV$200,$G42)&gt;0,
     COUNTIFS($AW$2:$AW$200,$G42)&gt;0,
     COUNTIFS($AX$2:$AX$200,$G42)&gt;0,
     COUNTIFS($AY$2:$AY$200,$G42)&gt;0
   )),
  ),
  3
 ),
"")</f>
        <v/>
      </c>
      <c r="F42" s="2" t="str" cm="1">
        <f t="array" aca="1" ref="F42" ca="1">IFERROR(
 INDEX(
  _xlfn._xlws.FILTER($V$1:$AY$1,
   TRANSPOSE(
    CHOOSE({1;2;3;4;5;6;7;8;9;10;11;12;13;14;15;16;17;18;19;20;21;22;23;24;25;26;27;28;29;30},
     COUNTIFS($V$2:$V$200,$G42)&gt;0,
     COUNTIFS($W$2:$W$200,$G42)&gt;0,
     COUNTIFS($X$2:$X$200,$G42)&gt;0,
     COUNTIFS($Y$2:$Y$200,$G42)&gt;0,
     COUNTIFS($Z$2:$Z$200,$G42)&gt;0,
     COUNTIFS($AA$2:$AA$200,$G42)&gt;0,
     COUNTIFS($AB$2:$AB$200,$G42)&gt;0,
     COUNTIFS($AC$2:$AC$200,$G42)&gt;0,
     COUNTIFS($AD$2:$AD$200,$G42)&gt;0,
     COUNTIFS($AE$2:$AE$200,$G42)&gt;0,
     COUNTIFS($AF$2:$AF$200,$G42)&gt;0,
     COUNTIFS($AG$2:$AG$200,$G42)&gt;0,
     COUNTIFS($AH$2:$AH$200,$G42)&gt;0,
     COUNTIFS($AI$2:$AI$200,$G42)&gt;0,
     COUNTIFS($AJ$2:$AJ$200,$G42)&gt;0,
     COUNTIFS($AK$2:$AK$200,$G42)&gt;0,
     COUNTIFS($AL$2:$AL$200,$G42)&gt;0,
     COUNTIFS($AM$2:$AM$200,$G42)&gt;0,
     COUNTIFS($AN$2:$AN$200,$G42)&gt;0,
     COUNTIFS($AO$2:$AO$200,$G42)&gt;0,
     COUNTIFS($AP$2:$AP$200,$G42)&gt;0,
     COUNTIFS($AQ$2:$AQ$200,$G42)&gt;0,
     COUNTIFS($AR$2:$AR$200,$G42)&gt;0,
     COUNTIFS($AS$2:$AS$200,$G42)&gt;0,
     COUNTIFS($AT$2:$AT$200,$G42)&gt;0,
     COUNTIFS($AU$2:$AU$200,$G42)&gt;0,
     COUNTIFS($AV$2:$AV$200,$G42)&gt;0,
     COUNTIFS($AW$2:$AW$200,$G42)&gt;0,
     COUNTIFS($AX$2:$AX$200,$G42)&gt;0,
     COUNTIFS($AY$2:$AY$200,$G42)&gt;0
   )),
  ),
  4
 ),
"")</f>
        <v/>
      </c>
      <c r="G42" t="str">
        <f ca="1"/>
        <v>Battlefield Forge</v>
      </c>
      <c r="L42" s="2" t="s">
        <v>2</v>
      </c>
      <c r="M42" s="2" t="s">
        <v>2</v>
      </c>
      <c r="N42" s="2" t="s">
        <v>3</v>
      </c>
      <c r="O42" s="2" t="s">
        <v>2</v>
      </c>
      <c r="P42" s="2" t="s">
        <v>2</v>
      </c>
      <c r="T42" s="2" t="str">
        <f t="shared" si="7"/>
        <v>1</v>
      </c>
      <c r="AO42" t="str">
        <v>Magma Sliver</v>
      </c>
      <c r="BE42" t="str">
        <v>Island</v>
      </c>
      <c r="BI42" t="str">
        <v>Plains</v>
      </c>
      <c r="BJ42" t="str">
        <v>Loyal Apprentice</v>
      </c>
      <c r="BL42" t="str">
        <v>Forest</v>
      </c>
      <c r="CR42" t="str">
        <f ca="1"/>
        <v>Magma Sliver</v>
      </c>
      <c r="CW42" t="str">
        <f ca="1"/>
        <v>Warren Torchmaster</v>
      </c>
      <c r="DB42" t="str">
        <f ca="1"/>
        <v>Sophina, Spearsage Deserter</v>
      </c>
      <c r="DC42" t="str">
        <f ca="1"/>
        <v>Mardu Ascendancy</v>
      </c>
      <c r="DD42" t="str">
        <f ca="1"/>
        <v>Krosan Grip</v>
      </c>
      <c r="DP42" t="str">
        <f ca="1"/>
        <v>Mondrak, Glory Dominus</v>
      </c>
      <c r="DS42" t="str">
        <f ca="1"/>
        <v>Sword of Truth and Justice</v>
      </c>
      <c r="DT42" t="str">
        <f ca="1"/>
        <v>Ketria Triome</v>
      </c>
      <c r="DW42" t="str">
        <f ca="1"/>
        <v>Warren Torchmaster</v>
      </c>
      <c r="DY42" t="str">
        <f ca="1"/>
        <v>Sophina, Spearsage Deserter</v>
      </c>
      <c r="DZ42" t="str">
        <f ca="1"/>
        <v>Curtain's Call</v>
      </c>
      <c r="EG42" t="str">
        <f ca="1"/>
        <v>Giver of Runes</v>
      </c>
      <c r="EH42" t="str">
        <f ca="1"/>
        <v>Morphic Pool</v>
      </c>
      <c r="EI42" t="str">
        <f ca="1"/>
        <v>Godless Shrine</v>
      </c>
      <c r="EJ42" t="str">
        <f ca="1"/>
        <v>Puncture Blast</v>
      </c>
      <c r="EK42" t="str">
        <f ca="1"/>
        <v>Monk Gyatso</v>
      </c>
      <c r="EL42" t="str">
        <f ca="1"/>
        <v>Curtain's Call</v>
      </c>
      <c r="EP42" t="str">
        <f ca="1"/>
        <v>Crucible of Worlds</v>
      </c>
      <c r="EQ42" t="str">
        <f ca="1"/>
        <v>Descendants' Path</v>
      </c>
      <c r="ER42" t="str">
        <f ca="1"/>
        <v>Chaos Warp</v>
      </c>
      <c r="EU42" t="str">
        <f ca="1"/>
        <v>Brood Sliver</v>
      </c>
      <c r="EV42" t="str">
        <f ca="1"/>
        <v>Chaos Warp</v>
      </c>
      <c r="EX42" t="str">
        <f ca="1"/>
        <v>Battlefield Forge</v>
      </c>
    </row>
    <row r="43" spans="1:154" x14ac:dyDescent="0.25">
      <c r="A43" s="2" t="str">
        <f t="shared" ca="1" si="1"/>
        <v>4</v>
      </c>
      <c r="B43" s="2">
        <f t="shared" ca="1" si="2"/>
        <v>2</v>
      </c>
      <c r="C43" s="2" t="str">
        <f ca="1">IFERROR(
 INDEX($V$1:$BL$1,
  MATCH(TRUE,
   CHOOSE({1;2;3;4;5;6;7;8;9;10;11;12;13;14;15;16;17;18;19;20;21;22;23;24;25;26;27;28;29;30;31;32;33;34;35;36;37;38;39;40;41;42;43},
    COUNTIFS($V$2:$V$200,$G43)&gt;0,
    COUNTIFS($W$2:$W$200,$G43)&gt;0,
    COUNTIFS($X$2:$X$200,$G43)&gt;0,
    COUNTIFS($Y$2:$Y$200,$G43)&gt;0,
    COUNTIFS($Z$2:$Z$200,$G43)&gt;0,
    COUNTIFS($AA$2:$AA$200,$G43)&gt;0,
    COUNTIFS($AB$2:$AB$200,$G43)&gt;0,
    COUNTIFS($AC$2:$AC$200,$G43)&gt;0,
    COUNTIFS($AD$2:$AD$200,$G43)&gt;0,
    COUNTIFS($AE$2:$AE$200,$G43)&gt;0,
    COUNTIFS($AF$2:$AF$200,$G43)&gt;0,
    COUNTIFS($AG$2:$AG$200,$G43)&gt;0,
    COUNTIFS($AH$2:$AH$200,$G43)&gt;0,
    COUNTIFS($AI$2:$AI$200,$G43)&gt;0,
    COUNTIFS($AJ$2:$AJ$200,$G43)&gt;0,
    COUNTIFS($AK$2:$AK$200,$G43)&gt;0,
    COUNTIFS($AL$2:$AL$200,$G43)&gt;0,
    COUNTIFS($AM$2:$AM$200,$G43)&gt;0,
    COUNTIFS($AN$2:$AN$200,$G43)&gt;0,
    COUNTIFS($AO$2:$AO$200,$G43)&gt;0,
    COUNTIFS($AP$2:$AP$200,$G43)&gt;0,
    COUNTIFS($AQ$2:$AQ$200,$G43)&gt;0,
    COUNTIFS($AR$2:$AR$200,$G43)&gt;0,
    COUNTIFS($AS$2:$AS$200,$G43)&gt;0,
    COUNTIFS($AT$2:$AT$200,$G43)&gt;0,
    COUNTIFS($AU$2:$AU$200,$G43)&gt;0,
    COUNTIFS($AV$2:$AV$200,$G43)&gt;0,
    COUNTIFS($AW$2:$AW$200,$G43)&gt;0,
    COUNTIFS($AX$2:$AX$200,$G43)&gt;0,
    COUNTIFS($AY$2:$AY$200,$G43)&gt;0,
    COUNTIFS($AZ$2:$AZ$200,$G43)&gt;0,
    COUNTIFS($BA$2:$BA$200,$G43)&gt;0,
    COUNTIFS($BB$2:$BB$200,$G43)&gt;0,
    COUNTIFS($BC$2:$BC$200,$G43)&gt;0,
    COUNTIFS($BD$2:$BD$200,$G43)&gt;0,
    COUNTIFS($BE$2:$BE$200,$G43)&gt;0,
    COUNTIFS($BF$2:$BF$200,$G43)&gt;0,
    COUNTIFS($BG$2:$BG$200,$G43)&gt;0,
    COUNTIFS($BH$2:$BH$200,$G43)&gt;0,
    COUNTIFS($BI$2:$BI$200,$G43)&gt;0,
    COUNTIFS($BJ$2:$BJ$200,$G43)&gt;0,
    COUNTIFS($BK$2:$BK$200,$G43)&gt;0,
    COUNTIFS($BL$2:$BL$200,$G43)&gt;0,
    COUNTIFS($BM$2:$BM$200,$G43)&gt;0,
   ),
  0)
 ),
"")</f>
        <v>Kresh</v>
      </c>
      <c r="D43" s="2" t="str" cm="1">
        <f t="array" aca="1" ref="D43" ca="1">IFERROR(
 INDEX(
  _xlfn._xlws.FILTER($V$1:$AY$1,
   TRANSPOSE(
    CHOOSE({1;2;3;4;5;6;7;8;9;10;11;12;13;14;15;16;17;18;19;20;21;22;23;24;25;26;27;28;29;30},
     COUNTIFS($V$2:$V$200,$G43)&gt;0,
     COUNTIFS($W$2:$W$200,$G43)&gt;0,
     COUNTIFS($X$2:$X$200,$G43)&gt;0,
     COUNTIFS($Y$2:$Y$200,$G43)&gt;0,
     COUNTIFS($Z$2:$Z$200,$G43)&gt;0,
     COUNTIFS($AA$2:$AA$200,$G43)&gt;0,
     COUNTIFS($AB$2:$AB$200,$G43)&gt;0,
     COUNTIFS($AC$2:$AC$200,$G43)&gt;0,
     COUNTIFS($AD$2:$AD$200,$G43)&gt;0,
     COUNTIFS($AE$2:$AE$200,$G43)&gt;0,
     COUNTIFS($AF$2:$AF$200,$G43)&gt;0,
     COUNTIFS($AG$2:$AG$200,$G43)&gt;0,
     COUNTIFS($AH$2:$AH$200,$G43)&gt;0,
     COUNTIFS($AI$2:$AI$200,$G43)&gt;0,
     COUNTIFS($AJ$2:$AJ$200,$G43)&gt;0,
     COUNTIFS($AK$2:$AK$200,$G43)&gt;0,
     COUNTIFS($AL$2:$AL$200,$G43)&gt;0,
     COUNTIFS($AM$2:$AM$200,$G43)&gt;0,
     COUNTIFS($AN$2:$AN$200,$G43)&gt;0,
     COUNTIFS($AO$2:$AO$200,$G43)&gt;0,
     COUNTIFS($AP$2:$AP$200,$G43)&gt;0,
     COUNTIFS($AQ$2:$AQ$200,$G43)&gt;0,
     COUNTIFS($AR$2:$AR$200,$G43)&gt;0,
     COUNTIFS($AS$2:$AS$200,$G43)&gt;0,
     COUNTIFS($AT$2:$AT$200,$G43)&gt;0,
     COUNTIFS($AU$2:$AU$200,$G43)&gt;0,
     COUNTIFS($AV$2:$AV$200,$G43)&gt;0,
     COUNTIFS($AW$2:$AW$200,$G43)&gt;0,
     COUNTIFS($AX$2:$AX$200,$G43)&gt;0,
     COUNTIFS($AY$2:$AY$200,$G43)&gt;0
   )),
  ),
  2
 ),
"")</f>
        <v/>
      </c>
      <c r="E43" s="2" t="str" cm="1">
        <f t="array" aca="1" ref="E43" ca="1">IFERROR(
 INDEX(
  _xlfn._xlws.FILTER($V$1:$AY$1,
   TRANSPOSE(
    CHOOSE({1;2;3;4;5;6;7;8;9;10;11;12;13;14;15;16;17;18;19;20;21;22;23;24;25;26;27;28;29;30},
     COUNTIFS($V$2:$V$200,$G43)&gt;0,
     COUNTIFS($W$2:$W$200,$G43)&gt;0,
     COUNTIFS($X$2:$X$200,$G43)&gt;0,
     COUNTIFS($Y$2:$Y$200,$G43)&gt;0,
     COUNTIFS($Z$2:$Z$200,$G43)&gt;0,
     COUNTIFS($AA$2:$AA$200,$G43)&gt;0,
     COUNTIFS($AB$2:$AB$200,$G43)&gt;0,
     COUNTIFS($AC$2:$AC$200,$G43)&gt;0,
     COUNTIFS($AD$2:$AD$200,$G43)&gt;0,
     COUNTIFS($AE$2:$AE$200,$G43)&gt;0,
     COUNTIFS($AF$2:$AF$200,$G43)&gt;0,
     COUNTIFS($AG$2:$AG$200,$G43)&gt;0,
     COUNTIFS($AH$2:$AH$200,$G43)&gt;0,
     COUNTIFS($AI$2:$AI$200,$G43)&gt;0,
     COUNTIFS($AJ$2:$AJ$200,$G43)&gt;0,
     COUNTIFS($AK$2:$AK$200,$G43)&gt;0,
     COUNTIFS($AL$2:$AL$200,$G43)&gt;0,
     COUNTIFS($AM$2:$AM$200,$G43)&gt;0,
     COUNTIFS($AN$2:$AN$200,$G43)&gt;0,
     COUNTIFS($AO$2:$AO$200,$G43)&gt;0,
     COUNTIFS($AP$2:$AP$200,$G43)&gt;0,
     COUNTIFS($AQ$2:$AQ$200,$G43)&gt;0,
     COUNTIFS($AR$2:$AR$200,$G43)&gt;0,
     COUNTIFS($AS$2:$AS$200,$G43)&gt;0,
     COUNTIFS($AT$2:$AT$200,$G43)&gt;0,
     COUNTIFS($AU$2:$AU$200,$G43)&gt;0,
     COUNTIFS($AV$2:$AV$200,$G43)&gt;0,
     COUNTIFS($AW$2:$AW$200,$G43)&gt;0,
     COUNTIFS($AX$2:$AX$200,$G43)&gt;0,
     COUNTIFS($AY$2:$AY$200,$G43)&gt;0
   )),
  ),
  3
 ),
"")</f>
        <v/>
      </c>
      <c r="F43" s="2" t="str" cm="1">
        <f t="array" aca="1" ref="F43" ca="1">IFERROR(
 INDEX(
  _xlfn._xlws.FILTER($V$1:$AY$1,
   TRANSPOSE(
    CHOOSE({1;2;3;4;5;6;7;8;9;10;11;12;13;14;15;16;17;18;19;20;21;22;23;24;25;26;27;28;29;30},
     COUNTIFS($V$2:$V$200,$G43)&gt;0,
     COUNTIFS($W$2:$W$200,$G43)&gt;0,
     COUNTIFS($X$2:$X$200,$G43)&gt;0,
     COUNTIFS($Y$2:$Y$200,$G43)&gt;0,
     COUNTIFS($Z$2:$Z$200,$G43)&gt;0,
     COUNTIFS($AA$2:$AA$200,$G43)&gt;0,
     COUNTIFS($AB$2:$AB$200,$G43)&gt;0,
     COUNTIFS($AC$2:$AC$200,$G43)&gt;0,
     COUNTIFS($AD$2:$AD$200,$G43)&gt;0,
     COUNTIFS($AE$2:$AE$200,$G43)&gt;0,
     COUNTIFS($AF$2:$AF$200,$G43)&gt;0,
     COUNTIFS($AG$2:$AG$200,$G43)&gt;0,
     COUNTIFS($AH$2:$AH$200,$G43)&gt;0,
     COUNTIFS($AI$2:$AI$200,$G43)&gt;0,
     COUNTIFS($AJ$2:$AJ$200,$G43)&gt;0,
     COUNTIFS($AK$2:$AK$200,$G43)&gt;0,
     COUNTIFS($AL$2:$AL$200,$G43)&gt;0,
     COUNTIFS($AM$2:$AM$200,$G43)&gt;0,
     COUNTIFS($AN$2:$AN$200,$G43)&gt;0,
     COUNTIFS($AO$2:$AO$200,$G43)&gt;0,
     COUNTIFS($AP$2:$AP$200,$G43)&gt;0,
     COUNTIFS($AQ$2:$AQ$200,$G43)&gt;0,
     COUNTIFS($AR$2:$AR$200,$G43)&gt;0,
     COUNTIFS($AS$2:$AS$200,$G43)&gt;0,
     COUNTIFS($AT$2:$AT$200,$G43)&gt;0,
     COUNTIFS($AU$2:$AU$200,$G43)&gt;0,
     COUNTIFS($AV$2:$AV$200,$G43)&gt;0,
     COUNTIFS($AW$2:$AW$200,$G43)&gt;0,
     COUNTIFS($AX$2:$AX$200,$G43)&gt;0,
     COUNTIFS($AY$2:$AY$200,$G43)&gt;0
   )),
  ),
  4
 ),
"")</f>
        <v/>
      </c>
      <c r="G43" t="str">
        <f ca="1"/>
        <v>Beast Within</v>
      </c>
      <c r="J43" t="s">
        <v>222</v>
      </c>
      <c r="K43" s="2">
        <f>[1]Little!G2</f>
        <v>86</v>
      </c>
      <c r="L43" s="2" t="s">
        <v>2</v>
      </c>
      <c r="M43" s="2" t="s">
        <v>3</v>
      </c>
      <c r="N43" s="2" t="s">
        <v>2</v>
      </c>
      <c r="O43" s="2" t="s">
        <v>2</v>
      </c>
      <c r="P43" s="2" t="s">
        <v>2</v>
      </c>
      <c r="Q43" s="2" t="s">
        <v>1</v>
      </c>
      <c r="R43" s="2" t="s">
        <v>39</v>
      </c>
      <c r="S43" s="2" t="s">
        <v>224</v>
      </c>
      <c r="T43" s="2" t="str">
        <f t="shared" si="7"/>
        <v>5</v>
      </c>
      <c r="AO43" t="str">
        <v>Manaweft Sliver</v>
      </c>
      <c r="BE43" t="str">
        <v>Island</v>
      </c>
      <c r="BI43" t="str">
        <v>Plains</v>
      </c>
      <c r="BJ43" t="str">
        <v>Lurrus of the Dream-Den</v>
      </c>
      <c r="BL43" t="str">
        <v>Forest</v>
      </c>
      <c r="CR43" t="str">
        <f ca="1"/>
        <v>Manaweft Sliver</v>
      </c>
      <c r="CW43" t="str">
        <f ca="1"/>
        <v>Yavimaya, Cradle of Growth</v>
      </c>
      <c r="DB43" t="str">
        <f ca="1"/>
        <v>Spinerock Knoll</v>
      </c>
      <c r="DC43" t="str">
        <f ca="1"/>
        <v>Mishra, Claimed by Gix</v>
      </c>
      <c r="DD43" t="str">
        <f ca="1"/>
        <v>Mountain</v>
      </c>
      <c r="DP43" t="str">
        <f ca="1"/>
        <v>Path to Exile</v>
      </c>
      <c r="DS43" t="str">
        <f ca="1"/>
        <v>Sword of Wealth and Power</v>
      </c>
      <c r="DT43" t="str">
        <f ca="1"/>
        <v>Kinnan, Bonder Prodigy</v>
      </c>
      <c r="DW43" t="str">
        <f ca="1"/>
        <v>Yavimaya, Cradle of Growth</v>
      </c>
      <c r="DY43" t="str">
        <f ca="1"/>
        <v>Spinerock Knoll</v>
      </c>
      <c r="DZ43" t="str">
        <f ca="1"/>
        <v>Cycle of Renewal</v>
      </c>
      <c r="EG43" t="str">
        <f ca="1"/>
        <v>Glint-Horn Buccaneer</v>
      </c>
      <c r="EH43" t="str">
        <f ca="1"/>
        <v>Mox Tantalite</v>
      </c>
      <c r="EI43" t="str">
        <f ca="1"/>
        <v>Hallowed Fountain</v>
      </c>
      <c r="EJ43" t="str">
        <f ca="1"/>
        <v>Renewed Solidarity</v>
      </c>
      <c r="EK43" t="str">
        <f ca="1"/>
        <v>Mountain</v>
      </c>
      <c r="EL43" t="str">
        <f ca="1"/>
        <v>Cycle of Renewal</v>
      </c>
      <c r="EP43" t="str">
        <f ca="1"/>
        <v>Delighted Halfling</v>
      </c>
      <c r="EQ43" t="str">
        <f ca="1"/>
        <v>Deserted Temple</v>
      </c>
      <c r="ER43" t="str">
        <f ca="1"/>
        <v>Charming Prince</v>
      </c>
      <c r="EU43" t="str">
        <f ca="1"/>
        <v>Brushland</v>
      </c>
      <c r="EV43" t="str">
        <f ca="1"/>
        <v>Charming Prince</v>
      </c>
      <c r="EX43" t="str">
        <f ca="1"/>
        <v>Beast Within</v>
      </c>
    </row>
    <row r="44" spans="1:154" x14ac:dyDescent="0.25">
      <c r="A44" s="2" t="str">
        <f t="shared" ca="1" si="1"/>
        <v>5</v>
      </c>
      <c r="B44" s="2">
        <f t="shared" ca="1" si="2"/>
        <v>1</v>
      </c>
      <c r="C44" s="2" t="str">
        <f ca="1">IFERROR(
 INDEX($V$1:$BL$1,
  MATCH(TRUE,
   CHOOSE({1;2;3;4;5;6;7;8;9;10;11;12;13;14;15;16;17;18;19;20;21;22;23;24;25;26;27;28;29;30;31;32;33;34;35;36;37;38;39;40;41;42;43},
    COUNTIFS($V$2:$V$200,$G44)&gt;0,
    COUNTIFS($W$2:$W$200,$G44)&gt;0,
    COUNTIFS($X$2:$X$200,$G44)&gt;0,
    COUNTIFS($Y$2:$Y$200,$G44)&gt;0,
    COUNTIFS($Z$2:$Z$200,$G44)&gt;0,
    COUNTIFS($AA$2:$AA$200,$G44)&gt;0,
    COUNTIFS($AB$2:$AB$200,$G44)&gt;0,
    COUNTIFS($AC$2:$AC$200,$G44)&gt;0,
    COUNTIFS($AD$2:$AD$200,$G44)&gt;0,
    COUNTIFS($AE$2:$AE$200,$G44)&gt;0,
    COUNTIFS($AF$2:$AF$200,$G44)&gt;0,
    COUNTIFS($AG$2:$AG$200,$G44)&gt;0,
    COUNTIFS($AH$2:$AH$200,$G44)&gt;0,
    COUNTIFS($AI$2:$AI$200,$G44)&gt;0,
    COUNTIFS($AJ$2:$AJ$200,$G44)&gt;0,
    COUNTIFS($AK$2:$AK$200,$G44)&gt;0,
    COUNTIFS($AL$2:$AL$200,$G44)&gt;0,
    COUNTIFS($AM$2:$AM$200,$G44)&gt;0,
    COUNTIFS($AN$2:$AN$200,$G44)&gt;0,
    COUNTIFS($AO$2:$AO$200,$G44)&gt;0,
    COUNTIFS($AP$2:$AP$200,$G44)&gt;0,
    COUNTIFS($AQ$2:$AQ$200,$G44)&gt;0,
    COUNTIFS($AR$2:$AR$200,$G44)&gt;0,
    COUNTIFS($AS$2:$AS$200,$G44)&gt;0,
    COUNTIFS($AT$2:$AT$200,$G44)&gt;0,
    COUNTIFS($AU$2:$AU$200,$G44)&gt;0,
    COUNTIFS($AV$2:$AV$200,$G44)&gt;0,
    COUNTIFS($AW$2:$AW$200,$G44)&gt;0,
    COUNTIFS($AX$2:$AX$200,$G44)&gt;0,
    COUNTIFS($AY$2:$AY$200,$G44)&gt;0,
    COUNTIFS($AZ$2:$AZ$200,$G44)&gt;0,
    COUNTIFS($BA$2:$BA$200,$G44)&gt;0,
    COUNTIFS($BB$2:$BB$200,$G44)&gt;0,
    COUNTIFS($BC$2:$BC$200,$G44)&gt;0,
    COUNTIFS($BD$2:$BD$200,$G44)&gt;0,
    COUNTIFS($BE$2:$BE$200,$G44)&gt;0,
    COUNTIFS($BF$2:$BF$200,$G44)&gt;0,
    COUNTIFS($BG$2:$BG$200,$G44)&gt;0,
    COUNTIFS($BH$2:$BH$200,$G44)&gt;0,
    COUNTIFS($BI$2:$BI$200,$G44)&gt;0,
    COUNTIFS($BJ$2:$BJ$200,$G44)&gt;0,
    COUNTIFS($BK$2:$BK$200,$G44)&gt;0,
    COUNTIFS($BL$2:$BL$200,$G44)&gt;0,
    COUNTIFS($BM$2:$BM$200,$G44)&gt;0,
   ),
  0)
 ),
"")</f>
        <v>4cRash</v>
      </c>
      <c r="D44" s="2" t="str" cm="1">
        <f t="array" aca="1" ref="D44" ca="1">IFERROR(
 INDEX(
  _xlfn._xlws.FILTER($V$1:$AY$1,
   TRANSPOSE(
    CHOOSE({1;2;3;4;5;6;7;8;9;10;11;12;13;14;15;16;17;18;19;20;21;22;23;24;25;26;27;28;29;30},
     COUNTIFS($V$2:$V$200,$G44)&gt;0,
     COUNTIFS($W$2:$W$200,$G44)&gt;0,
     COUNTIFS($X$2:$X$200,$G44)&gt;0,
     COUNTIFS($Y$2:$Y$200,$G44)&gt;0,
     COUNTIFS($Z$2:$Z$200,$G44)&gt;0,
     COUNTIFS($AA$2:$AA$200,$G44)&gt;0,
     COUNTIFS($AB$2:$AB$200,$G44)&gt;0,
     COUNTIFS($AC$2:$AC$200,$G44)&gt;0,
     COUNTIFS($AD$2:$AD$200,$G44)&gt;0,
     COUNTIFS($AE$2:$AE$200,$G44)&gt;0,
     COUNTIFS($AF$2:$AF$200,$G44)&gt;0,
     COUNTIFS($AG$2:$AG$200,$G44)&gt;0,
     COUNTIFS($AH$2:$AH$200,$G44)&gt;0,
     COUNTIFS($AI$2:$AI$200,$G44)&gt;0,
     COUNTIFS($AJ$2:$AJ$200,$G44)&gt;0,
     COUNTIFS($AK$2:$AK$200,$G44)&gt;0,
     COUNTIFS($AL$2:$AL$200,$G44)&gt;0,
     COUNTIFS($AM$2:$AM$200,$G44)&gt;0,
     COUNTIFS($AN$2:$AN$200,$G44)&gt;0,
     COUNTIFS($AO$2:$AO$200,$G44)&gt;0,
     COUNTIFS($AP$2:$AP$200,$G44)&gt;0,
     COUNTIFS($AQ$2:$AQ$200,$G44)&gt;0,
     COUNTIFS($AR$2:$AR$200,$G44)&gt;0,
     COUNTIFS($AS$2:$AS$200,$G44)&gt;0,
     COUNTIFS($AT$2:$AT$200,$G44)&gt;0,
     COUNTIFS($AU$2:$AU$200,$G44)&gt;0,
     COUNTIFS($AV$2:$AV$200,$G44)&gt;0,
     COUNTIFS($AW$2:$AW$200,$G44)&gt;0,
     COUNTIFS($AX$2:$AX$200,$G44)&gt;0,
     COUNTIFS($AY$2:$AY$200,$G44)&gt;0
   )),
  ),
  2
 ),
"")</f>
        <v/>
      </c>
      <c r="E44" s="2" t="str" cm="1">
        <f t="array" aca="1" ref="E44" ca="1">IFERROR(
 INDEX(
  _xlfn._xlws.FILTER($V$1:$AY$1,
   TRANSPOSE(
    CHOOSE({1;2;3;4;5;6;7;8;9;10;11;12;13;14;15;16;17;18;19;20;21;22;23;24;25;26;27;28;29;30},
     COUNTIFS($V$2:$V$200,$G44)&gt;0,
     COUNTIFS($W$2:$W$200,$G44)&gt;0,
     COUNTIFS($X$2:$X$200,$G44)&gt;0,
     COUNTIFS($Y$2:$Y$200,$G44)&gt;0,
     COUNTIFS($Z$2:$Z$200,$G44)&gt;0,
     COUNTIFS($AA$2:$AA$200,$G44)&gt;0,
     COUNTIFS($AB$2:$AB$200,$G44)&gt;0,
     COUNTIFS($AC$2:$AC$200,$G44)&gt;0,
     COUNTIFS($AD$2:$AD$200,$G44)&gt;0,
     COUNTIFS($AE$2:$AE$200,$G44)&gt;0,
     COUNTIFS($AF$2:$AF$200,$G44)&gt;0,
     COUNTIFS($AG$2:$AG$200,$G44)&gt;0,
     COUNTIFS($AH$2:$AH$200,$G44)&gt;0,
     COUNTIFS($AI$2:$AI$200,$G44)&gt;0,
     COUNTIFS($AJ$2:$AJ$200,$G44)&gt;0,
     COUNTIFS($AK$2:$AK$200,$G44)&gt;0,
     COUNTIFS($AL$2:$AL$200,$G44)&gt;0,
     COUNTIFS($AM$2:$AM$200,$G44)&gt;0,
     COUNTIFS($AN$2:$AN$200,$G44)&gt;0,
     COUNTIFS($AO$2:$AO$200,$G44)&gt;0,
     COUNTIFS($AP$2:$AP$200,$G44)&gt;0,
     COUNTIFS($AQ$2:$AQ$200,$G44)&gt;0,
     COUNTIFS($AR$2:$AR$200,$G44)&gt;0,
     COUNTIFS($AS$2:$AS$200,$G44)&gt;0,
     COUNTIFS($AT$2:$AT$200,$G44)&gt;0,
     COUNTIFS($AU$2:$AU$200,$G44)&gt;0,
     COUNTIFS($AV$2:$AV$200,$G44)&gt;0,
     COUNTIFS($AW$2:$AW$200,$G44)&gt;0,
     COUNTIFS($AX$2:$AX$200,$G44)&gt;0,
     COUNTIFS($AY$2:$AY$200,$G44)&gt;0
   )),
  ),
  3
 ),
"")</f>
        <v/>
      </c>
      <c r="F44" s="2" t="str" cm="1">
        <f t="array" aca="1" ref="F44" ca="1">IFERROR(
 INDEX(
  _xlfn._xlws.FILTER($V$1:$AY$1,
   TRANSPOSE(
    CHOOSE({1;2;3;4;5;6;7;8;9;10;11;12;13;14;15;16;17;18;19;20;21;22;23;24;25;26;27;28;29;30},
     COUNTIFS($V$2:$V$200,$G44)&gt;0,
     COUNTIFS($W$2:$W$200,$G44)&gt;0,
     COUNTIFS($X$2:$X$200,$G44)&gt;0,
     COUNTIFS($Y$2:$Y$200,$G44)&gt;0,
     COUNTIFS($Z$2:$Z$200,$G44)&gt;0,
     COUNTIFS($AA$2:$AA$200,$G44)&gt;0,
     COUNTIFS($AB$2:$AB$200,$G44)&gt;0,
     COUNTIFS($AC$2:$AC$200,$G44)&gt;0,
     COUNTIFS($AD$2:$AD$200,$G44)&gt;0,
     COUNTIFS($AE$2:$AE$200,$G44)&gt;0,
     COUNTIFS($AF$2:$AF$200,$G44)&gt;0,
     COUNTIFS($AG$2:$AG$200,$G44)&gt;0,
     COUNTIFS($AH$2:$AH$200,$G44)&gt;0,
     COUNTIFS($AI$2:$AI$200,$G44)&gt;0,
     COUNTIFS($AJ$2:$AJ$200,$G44)&gt;0,
     COUNTIFS($AK$2:$AK$200,$G44)&gt;0,
     COUNTIFS($AL$2:$AL$200,$G44)&gt;0,
     COUNTIFS($AM$2:$AM$200,$G44)&gt;0,
     COUNTIFS($AN$2:$AN$200,$G44)&gt;0,
     COUNTIFS($AO$2:$AO$200,$G44)&gt;0,
     COUNTIFS($AP$2:$AP$200,$G44)&gt;0,
     COUNTIFS($AQ$2:$AQ$200,$G44)&gt;0,
     COUNTIFS($AR$2:$AR$200,$G44)&gt;0,
     COUNTIFS($AS$2:$AS$200,$G44)&gt;0,
     COUNTIFS($AT$2:$AT$200,$G44)&gt;0,
     COUNTIFS($AU$2:$AU$200,$G44)&gt;0,
     COUNTIFS($AV$2:$AV$200,$G44)&gt;0,
     COUNTIFS($AW$2:$AW$200,$G44)&gt;0,
     COUNTIFS($AX$2:$AX$200,$G44)&gt;0,
     COUNTIFS($AY$2:$AY$200,$G44)&gt;0
   )),
  ),
  4
 ),
"")</f>
        <v/>
      </c>
      <c r="G44" t="str">
        <f ca="1"/>
        <v>Bedevil</v>
      </c>
      <c r="J44" t="s">
        <v>384</v>
      </c>
      <c r="K44" s="2">
        <f>'[1]4cRash'!G2</f>
        <v>98</v>
      </c>
      <c r="L44" s="2" t="s">
        <v>3</v>
      </c>
      <c r="M44" s="2" t="s">
        <v>2</v>
      </c>
      <c r="N44" s="2" t="s">
        <v>2</v>
      </c>
      <c r="O44" s="2" t="s">
        <v>2</v>
      </c>
      <c r="P44" s="2" t="s">
        <v>2</v>
      </c>
      <c r="Q44" s="2" t="s">
        <v>39</v>
      </c>
      <c r="R44" s="2" t="s">
        <v>227</v>
      </c>
      <c r="S44" s="2" t="s">
        <v>228</v>
      </c>
      <c r="T44" s="2" t="str">
        <f t="shared" si="7"/>
        <v>5</v>
      </c>
      <c r="AO44" t="str">
        <v>Mnemonic Sliver</v>
      </c>
      <c r="BE44" t="str">
        <v>Island</v>
      </c>
      <c r="BI44" t="str">
        <v>Plains</v>
      </c>
      <c r="BJ44" t="str">
        <v>Mahadi, Emporium Master</v>
      </c>
      <c r="BL44" t="str">
        <v>Growth Spiral</v>
      </c>
      <c r="CR44" t="str">
        <f ca="1"/>
        <v>Mistrise Village</v>
      </c>
      <c r="CW44" t="str">
        <f ca="1"/>
        <v>Yawgmoth, Thran Physician</v>
      </c>
      <c r="DB44" t="str">
        <f ca="1"/>
        <v>Stroke of Midnight</v>
      </c>
      <c r="DC44" t="str">
        <f ca="1"/>
        <v>Mountain</v>
      </c>
      <c r="DD44" t="str">
        <f ca="1"/>
        <v>Mystic Confluence</v>
      </c>
      <c r="DP44" t="str">
        <f ca="1"/>
        <v>Prosperous Partnership</v>
      </c>
      <c r="DS44" t="str">
        <f ca="1"/>
        <v>Tarrian's Journal</v>
      </c>
      <c r="DT44" t="str">
        <f ca="1"/>
        <v>Lavabelly Sliver</v>
      </c>
      <c r="DW44" t="str">
        <f ca="1"/>
        <v>Yawgmoth, Thran Physician</v>
      </c>
      <c r="DY44" t="str">
        <f ca="1"/>
        <v>Stroke of Midnight</v>
      </c>
      <c r="DZ44" t="str">
        <f ca="1"/>
        <v>Deathsprout</v>
      </c>
      <c r="EG44" t="str">
        <f ca="1"/>
        <v>Guide of Souls</v>
      </c>
      <c r="EH44" t="str">
        <f ca="1"/>
        <v>Nicol Bolas, God-Pharaoh</v>
      </c>
      <c r="EI44" t="str">
        <f ca="1"/>
        <v>Harmonic Sliver</v>
      </c>
      <c r="EJ44" t="str">
        <f ca="1"/>
        <v>Scattered Groves</v>
      </c>
      <c r="EK44" t="str">
        <f ca="1"/>
        <v>Mystic Sanctuary</v>
      </c>
      <c r="EL44" t="str">
        <f ca="1"/>
        <v>Deathsprout</v>
      </c>
      <c r="EP44" t="str">
        <f ca="1"/>
        <v>Disruptor of Currents</v>
      </c>
      <c r="EQ44" t="str">
        <f ca="1"/>
        <v>Diffusion Sliver</v>
      </c>
      <c r="ER44" t="str">
        <f ca="1"/>
        <v>Cinder Glade</v>
      </c>
      <c r="EU44" t="str">
        <f ca="1"/>
        <v>Bugenhagen, Wise Elder</v>
      </c>
      <c r="EV44" t="str">
        <f ca="1"/>
        <v>Cinder Glade</v>
      </c>
      <c r="EX44" t="str">
        <f ca="1"/>
        <v>Bedevil</v>
      </c>
    </row>
    <row r="45" spans="1:154" x14ac:dyDescent="0.25">
      <c r="A45" s="2" t="str">
        <f t="shared" ca="1" si="1"/>
        <v>5</v>
      </c>
      <c r="B45" s="2">
        <f t="shared" ca="1" si="2"/>
        <v>1</v>
      </c>
      <c r="C45" s="2" t="str">
        <f ca="1">IFERROR(
 INDEX($V$1:$BL$1,
  MATCH(TRUE,
   CHOOSE({1;2;3;4;5;6;7;8;9;10;11;12;13;14;15;16;17;18;19;20;21;22;23;24;25;26;27;28;29;30;31;32;33;34;35;36;37;38;39;40;41;42;43},
    COUNTIFS($V$2:$V$200,$G45)&gt;0,
    COUNTIFS($W$2:$W$200,$G45)&gt;0,
    COUNTIFS($X$2:$X$200,$G45)&gt;0,
    COUNTIFS($Y$2:$Y$200,$G45)&gt;0,
    COUNTIFS($Z$2:$Z$200,$G45)&gt;0,
    COUNTIFS($AA$2:$AA$200,$G45)&gt;0,
    COUNTIFS($AB$2:$AB$200,$G45)&gt;0,
    COUNTIFS($AC$2:$AC$200,$G45)&gt;0,
    COUNTIFS($AD$2:$AD$200,$G45)&gt;0,
    COUNTIFS($AE$2:$AE$200,$G45)&gt;0,
    COUNTIFS($AF$2:$AF$200,$G45)&gt;0,
    COUNTIFS($AG$2:$AG$200,$G45)&gt;0,
    COUNTIFS($AH$2:$AH$200,$G45)&gt;0,
    COUNTIFS($AI$2:$AI$200,$G45)&gt;0,
    COUNTIFS($AJ$2:$AJ$200,$G45)&gt;0,
    COUNTIFS($AK$2:$AK$200,$G45)&gt;0,
    COUNTIFS($AL$2:$AL$200,$G45)&gt;0,
    COUNTIFS($AM$2:$AM$200,$G45)&gt;0,
    COUNTIFS($AN$2:$AN$200,$G45)&gt;0,
    COUNTIFS($AO$2:$AO$200,$G45)&gt;0,
    COUNTIFS($AP$2:$AP$200,$G45)&gt;0,
    COUNTIFS($AQ$2:$AQ$200,$G45)&gt;0,
    COUNTIFS($AR$2:$AR$200,$G45)&gt;0,
    COUNTIFS($AS$2:$AS$200,$G45)&gt;0,
    COUNTIFS($AT$2:$AT$200,$G45)&gt;0,
    COUNTIFS($AU$2:$AU$200,$G45)&gt;0,
    COUNTIFS($AV$2:$AV$200,$G45)&gt;0,
    COUNTIFS($AW$2:$AW$200,$G45)&gt;0,
    COUNTIFS($AX$2:$AX$200,$G45)&gt;0,
    COUNTIFS($AY$2:$AY$200,$G45)&gt;0,
    COUNTIFS($AZ$2:$AZ$200,$G45)&gt;0,
    COUNTIFS($BA$2:$BA$200,$G45)&gt;0,
    COUNTIFS($BB$2:$BB$200,$G45)&gt;0,
    COUNTIFS($BC$2:$BC$200,$G45)&gt;0,
    COUNTIFS($BD$2:$BD$200,$G45)&gt;0,
    COUNTIFS($BE$2:$BE$200,$G45)&gt;0,
    COUNTIFS($BF$2:$BF$200,$G45)&gt;0,
    COUNTIFS($BG$2:$BG$200,$G45)&gt;0,
    COUNTIFS($BH$2:$BH$200,$G45)&gt;0,
    COUNTIFS($BI$2:$BI$200,$G45)&gt;0,
    COUNTIFS($BJ$2:$BJ$200,$G45)&gt;0,
    COUNTIFS($BK$2:$BK$200,$G45)&gt;0,
    COUNTIFS($BL$2:$BL$200,$G45)&gt;0,
    COUNTIFS($BM$2:$BM$200,$G45)&gt;0,
   ),
  0)
 ),
"")</f>
        <v>Little</v>
      </c>
      <c r="D45" s="2" t="str" cm="1">
        <f t="array" aca="1" ref="D45" ca="1">IFERROR(
 INDEX(
  _xlfn._xlws.FILTER($V$1:$AY$1,
   TRANSPOSE(
    CHOOSE({1;2;3;4;5;6;7;8;9;10;11;12;13;14;15;16;17;18;19;20;21;22;23;24;25;26;27;28;29;30},
     COUNTIFS($V$2:$V$200,$G45)&gt;0,
     COUNTIFS($W$2:$W$200,$G45)&gt;0,
     COUNTIFS($X$2:$X$200,$G45)&gt;0,
     COUNTIFS($Y$2:$Y$200,$G45)&gt;0,
     COUNTIFS($Z$2:$Z$200,$G45)&gt;0,
     COUNTIFS($AA$2:$AA$200,$G45)&gt;0,
     COUNTIFS($AB$2:$AB$200,$G45)&gt;0,
     COUNTIFS($AC$2:$AC$200,$G45)&gt;0,
     COUNTIFS($AD$2:$AD$200,$G45)&gt;0,
     COUNTIFS($AE$2:$AE$200,$G45)&gt;0,
     COUNTIFS($AF$2:$AF$200,$G45)&gt;0,
     COUNTIFS($AG$2:$AG$200,$G45)&gt;0,
     COUNTIFS($AH$2:$AH$200,$G45)&gt;0,
     COUNTIFS($AI$2:$AI$200,$G45)&gt;0,
     COUNTIFS($AJ$2:$AJ$200,$G45)&gt;0,
     COUNTIFS($AK$2:$AK$200,$G45)&gt;0,
     COUNTIFS($AL$2:$AL$200,$G45)&gt;0,
     COUNTIFS($AM$2:$AM$200,$G45)&gt;0,
     COUNTIFS($AN$2:$AN$200,$G45)&gt;0,
     COUNTIFS($AO$2:$AO$200,$G45)&gt;0,
     COUNTIFS($AP$2:$AP$200,$G45)&gt;0,
     COUNTIFS($AQ$2:$AQ$200,$G45)&gt;0,
     COUNTIFS($AR$2:$AR$200,$G45)&gt;0,
     COUNTIFS($AS$2:$AS$200,$G45)&gt;0,
     COUNTIFS($AT$2:$AT$200,$G45)&gt;0,
     COUNTIFS($AU$2:$AU$200,$G45)&gt;0,
     COUNTIFS($AV$2:$AV$200,$G45)&gt;0,
     COUNTIFS($AW$2:$AW$200,$G45)&gt;0,
     COUNTIFS($AX$2:$AX$200,$G45)&gt;0,
     COUNTIFS($AY$2:$AY$200,$G45)&gt;0
   )),
  ),
  2
 ),
"")</f>
        <v/>
      </c>
      <c r="E45" s="2" t="str" cm="1">
        <f t="array" aca="1" ref="E45" ca="1">IFERROR(
 INDEX(
  _xlfn._xlws.FILTER($V$1:$AY$1,
   TRANSPOSE(
    CHOOSE({1;2;3;4;5;6;7;8;9;10;11;12;13;14;15;16;17;18;19;20;21;22;23;24;25;26;27;28;29;30},
     COUNTIFS($V$2:$V$200,$G45)&gt;0,
     COUNTIFS($W$2:$W$200,$G45)&gt;0,
     COUNTIFS($X$2:$X$200,$G45)&gt;0,
     COUNTIFS($Y$2:$Y$200,$G45)&gt;0,
     COUNTIFS($Z$2:$Z$200,$G45)&gt;0,
     COUNTIFS($AA$2:$AA$200,$G45)&gt;0,
     COUNTIFS($AB$2:$AB$200,$G45)&gt;0,
     COUNTIFS($AC$2:$AC$200,$G45)&gt;0,
     COUNTIFS($AD$2:$AD$200,$G45)&gt;0,
     COUNTIFS($AE$2:$AE$200,$G45)&gt;0,
     COUNTIFS($AF$2:$AF$200,$G45)&gt;0,
     COUNTIFS($AG$2:$AG$200,$G45)&gt;0,
     COUNTIFS($AH$2:$AH$200,$G45)&gt;0,
     COUNTIFS($AI$2:$AI$200,$G45)&gt;0,
     COUNTIFS($AJ$2:$AJ$200,$G45)&gt;0,
     COUNTIFS($AK$2:$AK$200,$G45)&gt;0,
     COUNTIFS($AL$2:$AL$200,$G45)&gt;0,
     COUNTIFS($AM$2:$AM$200,$G45)&gt;0,
     COUNTIFS($AN$2:$AN$200,$G45)&gt;0,
     COUNTIFS($AO$2:$AO$200,$G45)&gt;0,
     COUNTIFS($AP$2:$AP$200,$G45)&gt;0,
     COUNTIFS($AQ$2:$AQ$200,$G45)&gt;0,
     COUNTIFS($AR$2:$AR$200,$G45)&gt;0,
     COUNTIFS($AS$2:$AS$200,$G45)&gt;0,
     COUNTIFS($AT$2:$AT$200,$G45)&gt;0,
     COUNTIFS($AU$2:$AU$200,$G45)&gt;0,
     COUNTIFS($AV$2:$AV$200,$G45)&gt;0,
     COUNTIFS($AW$2:$AW$200,$G45)&gt;0,
     COUNTIFS($AX$2:$AX$200,$G45)&gt;0,
     COUNTIFS($AY$2:$AY$200,$G45)&gt;0
   )),
  ),
  3
 ),
"")</f>
        <v/>
      </c>
      <c r="F45" s="2" t="str" cm="1">
        <f t="array" aca="1" ref="F45" ca="1">IFERROR(
 INDEX(
  _xlfn._xlws.FILTER($V$1:$AY$1,
   TRANSPOSE(
    CHOOSE({1;2;3;4;5;6;7;8;9;10;11;12;13;14;15;16;17;18;19;20;21;22;23;24;25;26;27;28;29;30},
     COUNTIFS($V$2:$V$200,$G45)&gt;0,
     COUNTIFS($W$2:$W$200,$G45)&gt;0,
     COUNTIFS($X$2:$X$200,$G45)&gt;0,
     COUNTIFS($Y$2:$Y$200,$G45)&gt;0,
     COUNTIFS($Z$2:$Z$200,$G45)&gt;0,
     COUNTIFS($AA$2:$AA$200,$G45)&gt;0,
     COUNTIFS($AB$2:$AB$200,$G45)&gt;0,
     COUNTIFS($AC$2:$AC$200,$G45)&gt;0,
     COUNTIFS($AD$2:$AD$200,$G45)&gt;0,
     COUNTIFS($AE$2:$AE$200,$G45)&gt;0,
     COUNTIFS($AF$2:$AF$200,$G45)&gt;0,
     COUNTIFS($AG$2:$AG$200,$G45)&gt;0,
     COUNTIFS($AH$2:$AH$200,$G45)&gt;0,
     COUNTIFS($AI$2:$AI$200,$G45)&gt;0,
     COUNTIFS($AJ$2:$AJ$200,$G45)&gt;0,
     COUNTIFS($AK$2:$AK$200,$G45)&gt;0,
     COUNTIFS($AL$2:$AL$200,$G45)&gt;0,
     COUNTIFS($AM$2:$AM$200,$G45)&gt;0,
     COUNTIFS($AN$2:$AN$200,$G45)&gt;0,
     COUNTIFS($AO$2:$AO$200,$G45)&gt;0,
     COUNTIFS($AP$2:$AP$200,$G45)&gt;0,
     COUNTIFS($AQ$2:$AQ$200,$G45)&gt;0,
     COUNTIFS($AR$2:$AR$200,$G45)&gt;0,
     COUNTIFS($AS$2:$AS$200,$G45)&gt;0,
     COUNTIFS($AT$2:$AT$200,$G45)&gt;0,
     COUNTIFS($AU$2:$AU$200,$G45)&gt;0,
     COUNTIFS($AV$2:$AV$200,$G45)&gt;0,
     COUNTIFS($AW$2:$AW$200,$G45)&gt;0,
     COUNTIFS($AX$2:$AX$200,$G45)&gt;0,
     COUNTIFS($AY$2:$AY$200,$G45)&gt;0
   )),
  ),
  4
 ),
"")</f>
        <v/>
      </c>
      <c r="G45" t="str">
        <f ca="1"/>
        <v>Bedlam</v>
      </c>
      <c r="J45" t="s">
        <v>32</v>
      </c>
      <c r="K45" s="2">
        <f>[1]Sisay!G2</f>
        <v>10</v>
      </c>
      <c r="L45" s="2" t="s">
        <v>2</v>
      </c>
      <c r="M45" s="2" t="s">
        <v>2</v>
      </c>
      <c r="N45" s="2" t="s">
        <v>2</v>
      </c>
      <c r="O45" s="2" t="s">
        <v>2</v>
      </c>
      <c r="P45" s="2" t="s">
        <v>2</v>
      </c>
      <c r="Q45" s="2" t="s">
        <v>1</v>
      </c>
      <c r="R45" s="2" t="s">
        <v>4</v>
      </c>
      <c r="S45" s="2" t="s">
        <v>31</v>
      </c>
      <c r="T45" s="2" t="str">
        <f t="shared" si="7"/>
        <v>2</v>
      </c>
      <c r="AO45" t="str">
        <v>Mountain</v>
      </c>
      <c r="BE45" t="str">
        <v>Island</v>
      </c>
      <c r="BI45" t="str">
        <v>Prosper, Tome-Bound</v>
      </c>
      <c r="BJ45" t="str">
        <v>Mardu Ascendancy</v>
      </c>
      <c r="BL45" t="str">
        <v>Guttersnipe</v>
      </c>
      <c r="CR45" t="str">
        <f ca="1"/>
        <v>Mnemonic Sliver</v>
      </c>
      <c r="DB45" t="str">
        <f ca="1"/>
        <v>Swamp</v>
      </c>
      <c r="DC45" t="str">
        <f ca="1"/>
        <v>Myrel, Shield of Argive</v>
      </c>
      <c r="DD45" t="str">
        <f ca="1"/>
        <v>Natural Connection</v>
      </c>
      <c r="DP45" t="str">
        <f ca="1"/>
        <v>Psychic Corrosion</v>
      </c>
      <c r="DS45" t="str">
        <f ca="1"/>
        <v>Temporal Manipulation</v>
      </c>
      <c r="DT45" t="str">
        <f ca="1"/>
        <v>Magma Sliver</v>
      </c>
      <c r="DW45" t="e">
        <f ca="1"/>
        <v>#REF!</v>
      </c>
      <c r="DY45" t="str">
        <f ca="1"/>
        <v>Swamp</v>
      </c>
      <c r="DZ45" t="str">
        <f ca="1"/>
        <v>Displacer Kitten</v>
      </c>
      <c r="EG45" t="str">
        <f ca="1"/>
        <v>Harvest Season</v>
      </c>
      <c r="EH45" t="str">
        <f ca="1"/>
        <v>Oko, Thief of Crowns</v>
      </c>
      <c r="EI45" t="str">
        <f ca="1"/>
        <v>Hatchery Sliver</v>
      </c>
      <c r="EJ45" t="str">
        <f ca="1"/>
        <v>Scuzzback Scrounger</v>
      </c>
      <c r="EK45" t="str">
        <f ca="1"/>
        <v>Nomad Outpost</v>
      </c>
      <c r="EL45" t="str">
        <f ca="1"/>
        <v>Displacer Kitten</v>
      </c>
      <c r="EP45" t="str">
        <f ca="1"/>
        <v>Drowned Catacomb</v>
      </c>
      <c r="EQ45" t="str">
        <f ca="1"/>
        <v>Dollmaker's Shop // Porcelain Gallery</v>
      </c>
      <c r="ER45" t="str">
        <f ca="1"/>
        <v>Clifftop Retreat</v>
      </c>
      <c r="EU45" t="str">
        <f ca="1"/>
        <v>Burgeoning</v>
      </c>
      <c r="EV45" t="str">
        <f ca="1"/>
        <v>Clifftop Retreat</v>
      </c>
      <c r="EX45" t="str">
        <f ca="1"/>
        <v>Bedlam</v>
      </c>
    </row>
    <row r="46" spans="1:154" x14ac:dyDescent="0.25">
      <c r="A46" s="2" t="str">
        <f t="shared" ca="1" si="1"/>
        <v>5</v>
      </c>
      <c r="B46" s="2">
        <f t="shared" ca="1" si="2"/>
        <v>1</v>
      </c>
      <c r="C46" s="2" t="str">
        <f ca="1">IFERROR(
 INDEX($V$1:$BL$1,
  MATCH(TRUE,
   CHOOSE({1;2;3;4;5;6;7;8;9;10;11;12;13;14;15;16;17;18;19;20;21;22;23;24;25;26;27;28;29;30;31;32;33;34;35;36;37;38;39;40;41;42;43},
    COUNTIFS($V$2:$V$200,$G46)&gt;0,
    COUNTIFS($W$2:$W$200,$G46)&gt;0,
    COUNTIFS($X$2:$X$200,$G46)&gt;0,
    COUNTIFS($Y$2:$Y$200,$G46)&gt;0,
    COUNTIFS($Z$2:$Z$200,$G46)&gt;0,
    COUNTIFS($AA$2:$AA$200,$G46)&gt;0,
    COUNTIFS($AB$2:$AB$200,$G46)&gt;0,
    COUNTIFS($AC$2:$AC$200,$G46)&gt;0,
    COUNTIFS($AD$2:$AD$200,$G46)&gt;0,
    COUNTIFS($AE$2:$AE$200,$G46)&gt;0,
    COUNTIFS($AF$2:$AF$200,$G46)&gt;0,
    COUNTIFS($AG$2:$AG$200,$G46)&gt;0,
    COUNTIFS($AH$2:$AH$200,$G46)&gt;0,
    COUNTIFS($AI$2:$AI$200,$G46)&gt;0,
    COUNTIFS($AJ$2:$AJ$200,$G46)&gt;0,
    COUNTIFS($AK$2:$AK$200,$G46)&gt;0,
    COUNTIFS($AL$2:$AL$200,$G46)&gt;0,
    COUNTIFS($AM$2:$AM$200,$G46)&gt;0,
    COUNTIFS($AN$2:$AN$200,$G46)&gt;0,
    COUNTIFS($AO$2:$AO$200,$G46)&gt;0,
    COUNTIFS($AP$2:$AP$200,$G46)&gt;0,
    COUNTIFS($AQ$2:$AQ$200,$G46)&gt;0,
    COUNTIFS($AR$2:$AR$200,$G46)&gt;0,
    COUNTIFS($AS$2:$AS$200,$G46)&gt;0,
    COUNTIFS($AT$2:$AT$200,$G46)&gt;0,
    COUNTIFS($AU$2:$AU$200,$G46)&gt;0,
    COUNTIFS($AV$2:$AV$200,$G46)&gt;0,
    COUNTIFS($AW$2:$AW$200,$G46)&gt;0,
    COUNTIFS($AX$2:$AX$200,$G46)&gt;0,
    COUNTIFS($AY$2:$AY$200,$G46)&gt;0,
    COUNTIFS($AZ$2:$AZ$200,$G46)&gt;0,
    COUNTIFS($BA$2:$BA$200,$G46)&gt;0,
    COUNTIFS($BB$2:$BB$200,$G46)&gt;0,
    COUNTIFS($BC$2:$BC$200,$G46)&gt;0,
    COUNTIFS($BD$2:$BD$200,$G46)&gt;0,
    COUNTIFS($BE$2:$BE$200,$G46)&gt;0,
    COUNTIFS($BF$2:$BF$200,$G46)&gt;0,
    COUNTIFS($BG$2:$BG$200,$G46)&gt;0,
    COUNTIFS($BH$2:$BH$200,$G46)&gt;0,
    COUNTIFS($BI$2:$BI$200,$G46)&gt;0,
    COUNTIFS($BJ$2:$BJ$200,$G46)&gt;0,
    COUNTIFS($BK$2:$BK$200,$G46)&gt;0,
    COUNTIFS($BL$2:$BL$200,$G46)&gt;0,
    COUNTIFS($BM$2:$BM$200,$G46)&gt;0,
   ),
  0)
 ),
"")</f>
        <v>Little</v>
      </c>
      <c r="D46" s="2" t="str" cm="1">
        <f t="array" aca="1" ref="D46" ca="1">IFERROR(
 INDEX(
  _xlfn._xlws.FILTER($V$1:$AY$1,
   TRANSPOSE(
    CHOOSE({1;2;3;4;5;6;7;8;9;10;11;12;13;14;15;16;17;18;19;20;21;22;23;24;25;26;27;28;29;30},
     COUNTIFS($V$2:$V$200,$G46)&gt;0,
     COUNTIFS($W$2:$W$200,$G46)&gt;0,
     COUNTIFS($X$2:$X$200,$G46)&gt;0,
     COUNTIFS($Y$2:$Y$200,$G46)&gt;0,
     COUNTIFS($Z$2:$Z$200,$G46)&gt;0,
     COUNTIFS($AA$2:$AA$200,$G46)&gt;0,
     COUNTIFS($AB$2:$AB$200,$G46)&gt;0,
     COUNTIFS($AC$2:$AC$200,$G46)&gt;0,
     COUNTIFS($AD$2:$AD$200,$G46)&gt;0,
     COUNTIFS($AE$2:$AE$200,$G46)&gt;0,
     COUNTIFS($AF$2:$AF$200,$G46)&gt;0,
     COUNTIFS($AG$2:$AG$200,$G46)&gt;0,
     COUNTIFS($AH$2:$AH$200,$G46)&gt;0,
     COUNTIFS($AI$2:$AI$200,$G46)&gt;0,
     COUNTIFS($AJ$2:$AJ$200,$G46)&gt;0,
     COUNTIFS($AK$2:$AK$200,$G46)&gt;0,
     COUNTIFS($AL$2:$AL$200,$G46)&gt;0,
     COUNTIFS($AM$2:$AM$200,$G46)&gt;0,
     COUNTIFS($AN$2:$AN$200,$G46)&gt;0,
     COUNTIFS($AO$2:$AO$200,$G46)&gt;0,
     COUNTIFS($AP$2:$AP$200,$G46)&gt;0,
     COUNTIFS($AQ$2:$AQ$200,$G46)&gt;0,
     COUNTIFS($AR$2:$AR$200,$G46)&gt;0,
     COUNTIFS($AS$2:$AS$200,$G46)&gt;0,
     COUNTIFS($AT$2:$AT$200,$G46)&gt;0,
     COUNTIFS($AU$2:$AU$200,$G46)&gt;0,
     COUNTIFS($AV$2:$AV$200,$G46)&gt;0,
     COUNTIFS($AW$2:$AW$200,$G46)&gt;0,
     COUNTIFS($AX$2:$AX$200,$G46)&gt;0,
     COUNTIFS($AY$2:$AY$200,$G46)&gt;0
   )),
  ),
  2
 ),
"")</f>
        <v/>
      </c>
      <c r="E46" s="2" t="str" cm="1">
        <f t="array" aca="1" ref="E46" ca="1">IFERROR(
 INDEX(
  _xlfn._xlws.FILTER($V$1:$AY$1,
   TRANSPOSE(
    CHOOSE({1;2;3;4;5;6;7;8;9;10;11;12;13;14;15;16;17;18;19;20;21;22;23;24;25;26;27;28;29;30},
     COUNTIFS($V$2:$V$200,$G46)&gt;0,
     COUNTIFS($W$2:$W$200,$G46)&gt;0,
     COUNTIFS($X$2:$X$200,$G46)&gt;0,
     COUNTIFS($Y$2:$Y$200,$G46)&gt;0,
     COUNTIFS($Z$2:$Z$200,$G46)&gt;0,
     COUNTIFS($AA$2:$AA$200,$G46)&gt;0,
     COUNTIFS($AB$2:$AB$200,$G46)&gt;0,
     COUNTIFS($AC$2:$AC$200,$G46)&gt;0,
     COUNTIFS($AD$2:$AD$200,$G46)&gt;0,
     COUNTIFS($AE$2:$AE$200,$G46)&gt;0,
     COUNTIFS($AF$2:$AF$200,$G46)&gt;0,
     COUNTIFS($AG$2:$AG$200,$G46)&gt;0,
     COUNTIFS($AH$2:$AH$200,$G46)&gt;0,
     COUNTIFS($AI$2:$AI$200,$G46)&gt;0,
     COUNTIFS($AJ$2:$AJ$200,$G46)&gt;0,
     COUNTIFS($AK$2:$AK$200,$G46)&gt;0,
     COUNTIFS($AL$2:$AL$200,$G46)&gt;0,
     COUNTIFS($AM$2:$AM$200,$G46)&gt;0,
     COUNTIFS($AN$2:$AN$200,$G46)&gt;0,
     COUNTIFS($AO$2:$AO$200,$G46)&gt;0,
     COUNTIFS($AP$2:$AP$200,$G46)&gt;0,
     COUNTIFS($AQ$2:$AQ$200,$G46)&gt;0,
     COUNTIFS($AR$2:$AR$200,$G46)&gt;0,
     COUNTIFS($AS$2:$AS$200,$G46)&gt;0,
     COUNTIFS($AT$2:$AT$200,$G46)&gt;0,
     COUNTIFS($AU$2:$AU$200,$G46)&gt;0,
     COUNTIFS($AV$2:$AV$200,$G46)&gt;0,
     COUNTIFS($AW$2:$AW$200,$G46)&gt;0,
     COUNTIFS($AX$2:$AX$200,$G46)&gt;0,
     COUNTIFS($AY$2:$AY$200,$G46)&gt;0
   )),
  ),
  3
 ),
"")</f>
        <v/>
      </c>
      <c r="F46" s="2" t="str" cm="1">
        <f t="array" aca="1" ref="F46" ca="1">IFERROR(
 INDEX(
  _xlfn._xlws.FILTER($V$1:$AY$1,
   TRANSPOSE(
    CHOOSE({1;2;3;4;5;6;7;8;9;10;11;12;13;14;15;16;17;18;19;20;21;22;23;24;25;26;27;28;29;30},
     COUNTIFS($V$2:$V$200,$G46)&gt;0,
     COUNTIFS($W$2:$W$200,$G46)&gt;0,
     COUNTIFS($X$2:$X$200,$G46)&gt;0,
     COUNTIFS($Y$2:$Y$200,$G46)&gt;0,
     COUNTIFS($Z$2:$Z$200,$G46)&gt;0,
     COUNTIFS($AA$2:$AA$200,$G46)&gt;0,
     COUNTIFS($AB$2:$AB$200,$G46)&gt;0,
     COUNTIFS($AC$2:$AC$200,$G46)&gt;0,
     COUNTIFS($AD$2:$AD$200,$G46)&gt;0,
     COUNTIFS($AE$2:$AE$200,$G46)&gt;0,
     COUNTIFS($AF$2:$AF$200,$G46)&gt;0,
     COUNTIFS($AG$2:$AG$200,$G46)&gt;0,
     COUNTIFS($AH$2:$AH$200,$G46)&gt;0,
     COUNTIFS($AI$2:$AI$200,$G46)&gt;0,
     COUNTIFS($AJ$2:$AJ$200,$G46)&gt;0,
     COUNTIFS($AK$2:$AK$200,$G46)&gt;0,
     COUNTIFS($AL$2:$AL$200,$G46)&gt;0,
     COUNTIFS($AM$2:$AM$200,$G46)&gt;0,
     COUNTIFS($AN$2:$AN$200,$G46)&gt;0,
     COUNTIFS($AO$2:$AO$200,$G46)&gt;0,
     COUNTIFS($AP$2:$AP$200,$G46)&gt;0,
     COUNTIFS($AQ$2:$AQ$200,$G46)&gt;0,
     COUNTIFS($AR$2:$AR$200,$G46)&gt;0,
     COUNTIFS($AS$2:$AS$200,$G46)&gt;0,
     COUNTIFS($AT$2:$AT$200,$G46)&gt;0,
     COUNTIFS($AU$2:$AU$200,$G46)&gt;0,
     COUNTIFS($AV$2:$AV$200,$G46)&gt;0,
     COUNTIFS($AW$2:$AW$200,$G46)&gt;0,
     COUNTIFS($AX$2:$AX$200,$G46)&gt;0,
     COUNTIFS($AY$2:$AY$200,$G46)&gt;0
   )),
  ),
  4
 ),
"")</f>
        <v/>
      </c>
      <c r="G46" t="str">
        <f ca="1"/>
        <v>Behind the Scenes</v>
      </c>
      <c r="J46" t="s">
        <v>24</v>
      </c>
      <c r="K46" s="2">
        <f>[1]Fractius!G2</f>
        <v>100</v>
      </c>
      <c r="L46" s="2" t="s">
        <v>2</v>
      </c>
      <c r="M46" s="2" t="s">
        <v>2</v>
      </c>
      <c r="N46" s="2" t="s">
        <v>2</v>
      </c>
      <c r="O46" s="2" t="s">
        <v>2</v>
      </c>
      <c r="P46" s="2" t="s">
        <v>2</v>
      </c>
      <c r="Q46" s="2" t="s">
        <v>1</v>
      </c>
      <c r="R46" s="2" t="s">
        <v>0</v>
      </c>
      <c r="S46" s="2" t="s">
        <v>23</v>
      </c>
      <c r="T46" s="2" t="str">
        <f t="shared" si="7"/>
        <v>5</v>
      </c>
      <c r="AO46" t="str">
        <v>Mountain</v>
      </c>
      <c r="BE46" t="str">
        <v>Island</v>
      </c>
      <c r="BI46" t="str">
        <v>Pyrohemia</v>
      </c>
      <c r="BJ46" t="str">
        <v>Mishra, Claimed by Gix</v>
      </c>
      <c r="BL46" t="str">
        <v>Harrow</v>
      </c>
      <c r="CR46" t="str">
        <f ca="1"/>
        <v>Mountain</v>
      </c>
      <c r="DB46" t="str">
        <f ca="1"/>
        <v>Swords to Plowshares</v>
      </c>
      <c r="DC46" t="str">
        <f ca="1"/>
        <v>Ohran Frostfang</v>
      </c>
      <c r="DD46" t="str">
        <f ca="1"/>
        <v>Negate</v>
      </c>
      <c r="DP46" t="str">
        <f ca="1"/>
        <v>Purphoros, God of the Forge</v>
      </c>
      <c r="DS46" t="str">
        <f ca="1"/>
        <v>Temporal Trespass</v>
      </c>
      <c r="DT46" t="str">
        <f ca="1"/>
        <v>Manaweft Sliver</v>
      </c>
      <c r="DY46" t="str">
        <f ca="1"/>
        <v>Swords to Plowshares</v>
      </c>
      <c r="DZ46" t="str">
        <f ca="1"/>
        <v>Dollmaker's Shop // Porcelain Gallery</v>
      </c>
      <c r="EG46" t="str">
        <f ca="1"/>
        <v>Incendiary Command</v>
      </c>
      <c r="EH46" t="str">
        <f ca="1"/>
        <v>Petrified Field</v>
      </c>
      <c r="EI46" t="str">
        <f ca="1"/>
        <v>Haunted Crossroads</v>
      </c>
      <c r="EJ46" t="str">
        <f ca="1"/>
        <v>Serrated Biskelion</v>
      </c>
      <c r="EK46" t="str">
        <f ca="1"/>
        <v>Norin the Wary</v>
      </c>
      <c r="EL46" t="str">
        <f ca="1"/>
        <v>Dollmaker's Shop // Porcelain Gallery</v>
      </c>
      <c r="EP46" t="str">
        <f ca="1"/>
        <v>Earthbender Ascension</v>
      </c>
      <c r="EQ46" t="str">
        <f ca="1"/>
        <v>Dormant Sliver</v>
      </c>
      <c r="ER46" t="str">
        <f ca="1"/>
        <v>Comet Storm</v>
      </c>
      <c r="EU46" t="str">
        <f ca="1"/>
        <v>Burnt Offering</v>
      </c>
      <c r="EV46" t="str">
        <f ca="1"/>
        <v>Comet Storm</v>
      </c>
      <c r="EX46" t="str">
        <f ca="1"/>
        <v>Behind the Scenes</v>
      </c>
    </row>
    <row r="47" spans="1:154" x14ac:dyDescent="0.25">
      <c r="A47" s="2" t="str">
        <f t="shared" ca="1" si="1"/>
        <v>4</v>
      </c>
      <c r="B47" s="2">
        <f t="shared" ca="1" si="2"/>
        <v>2</v>
      </c>
      <c r="C47" s="2" t="str">
        <f ca="1">IFERROR(
 INDEX($V$1:$BL$1,
  MATCH(TRUE,
   CHOOSE({1;2;3;4;5;6;7;8;9;10;11;12;13;14;15;16;17;18;19;20;21;22;23;24;25;26;27;28;29;30;31;32;33;34;35;36;37;38;39;40;41;42;43},
    COUNTIFS($V$2:$V$200,$G47)&gt;0,
    COUNTIFS($W$2:$W$200,$G47)&gt;0,
    COUNTIFS($X$2:$X$200,$G47)&gt;0,
    COUNTIFS($Y$2:$Y$200,$G47)&gt;0,
    COUNTIFS($Z$2:$Z$200,$G47)&gt;0,
    COUNTIFS($AA$2:$AA$200,$G47)&gt;0,
    COUNTIFS($AB$2:$AB$200,$G47)&gt;0,
    COUNTIFS($AC$2:$AC$200,$G47)&gt;0,
    COUNTIFS($AD$2:$AD$200,$G47)&gt;0,
    COUNTIFS($AE$2:$AE$200,$G47)&gt;0,
    COUNTIFS($AF$2:$AF$200,$G47)&gt;0,
    COUNTIFS($AG$2:$AG$200,$G47)&gt;0,
    COUNTIFS($AH$2:$AH$200,$G47)&gt;0,
    COUNTIFS($AI$2:$AI$200,$G47)&gt;0,
    COUNTIFS($AJ$2:$AJ$200,$G47)&gt;0,
    COUNTIFS($AK$2:$AK$200,$G47)&gt;0,
    COUNTIFS($AL$2:$AL$200,$G47)&gt;0,
    COUNTIFS($AM$2:$AM$200,$G47)&gt;0,
    COUNTIFS($AN$2:$AN$200,$G47)&gt;0,
    COUNTIFS($AO$2:$AO$200,$G47)&gt;0,
    COUNTIFS($AP$2:$AP$200,$G47)&gt;0,
    COUNTIFS($AQ$2:$AQ$200,$G47)&gt;0,
    COUNTIFS($AR$2:$AR$200,$G47)&gt;0,
    COUNTIFS($AS$2:$AS$200,$G47)&gt;0,
    COUNTIFS($AT$2:$AT$200,$G47)&gt;0,
    COUNTIFS($AU$2:$AU$200,$G47)&gt;0,
    COUNTIFS($AV$2:$AV$200,$G47)&gt;0,
    COUNTIFS($AW$2:$AW$200,$G47)&gt;0,
    COUNTIFS($AX$2:$AX$200,$G47)&gt;0,
    COUNTIFS($AY$2:$AY$200,$G47)&gt;0,
    COUNTIFS($AZ$2:$AZ$200,$G47)&gt;0,
    COUNTIFS($BA$2:$BA$200,$G47)&gt;0,
    COUNTIFS($BB$2:$BB$200,$G47)&gt;0,
    COUNTIFS($BC$2:$BC$200,$G47)&gt;0,
    COUNTIFS($BD$2:$BD$200,$G47)&gt;0,
    COUNTIFS($BE$2:$BE$200,$G47)&gt;0,
    COUNTIFS($BF$2:$BF$200,$G47)&gt;0,
    COUNTIFS($BG$2:$BG$200,$G47)&gt;0,
    COUNTIFS($BH$2:$BH$200,$G47)&gt;0,
    COUNTIFS($BI$2:$BI$200,$G47)&gt;0,
    COUNTIFS($BJ$2:$BJ$200,$G47)&gt;0,
    COUNTIFS($BK$2:$BK$200,$G47)&gt;0,
    COUNTIFS($BL$2:$BL$200,$G47)&gt;0,
    COUNTIFS($BM$2:$BM$200,$G47)&gt;0,
   ),
  0)
 ),
"")</f>
        <v>Kresh</v>
      </c>
      <c r="D47" s="2" t="str" cm="1">
        <f t="array" aca="1" ref="D47" ca="1">IFERROR(
 INDEX(
  _xlfn._xlws.FILTER($V$1:$AY$1,
   TRANSPOSE(
    CHOOSE({1;2;3;4;5;6;7;8;9;10;11;12;13;14;15;16;17;18;19;20;21;22;23;24;25;26;27;28;29;30},
     COUNTIFS($V$2:$V$200,$G47)&gt;0,
     COUNTIFS($W$2:$W$200,$G47)&gt;0,
     COUNTIFS($X$2:$X$200,$G47)&gt;0,
     COUNTIFS($Y$2:$Y$200,$G47)&gt;0,
     COUNTIFS($Z$2:$Z$200,$G47)&gt;0,
     COUNTIFS($AA$2:$AA$200,$G47)&gt;0,
     COUNTIFS($AB$2:$AB$200,$G47)&gt;0,
     COUNTIFS($AC$2:$AC$200,$G47)&gt;0,
     COUNTIFS($AD$2:$AD$200,$G47)&gt;0,
     COUNTIFS($AE$2:$AE$200,$G47)&gt;0,
     COUNTIFS($AF$2:$AF$200,$G47)&gt;0,
     COUNTIFS($AG$2:$AG$200,$G47)&gt;0,
     COUNTIFS($AH$2:$AH$200,$G47)&gt;0,
     COUNTIFS($AI$2:$AI$200,$G47)&gt;0,
     COUNTIFS($AJ$2:$AJ$200,$G47)&gt;0,
     COUNTIFS($AK$2:$AK$200,$G47)&gt;0,
     COUNTIFS($AL$2:$AL$200,$G47)&gt;0,
     COUNTIFS($AM$2:$AM$200,$G47)&gt;0,
     COUNTIFS($AN$2:$AN$200,$G47)&gt;0,
     COUNTIFS($AO$2:$AO$200,$G47)&gt;0,
     COUNTIFS($AP$2:$AP$200,$G47)&gt;0,
     COUNTIFS($AQ$2:$AQ$200,$G47)&gt;0,
     COUNTIFS($AR$2:$AR$200,$G47)&gt;0,
     COUNTIFS($AS$2:$AS$200,$G47)&gt;0,
     COUNTIFS($AT$2:$AT$200,$G47)&gt;0,
     COUNTIFS($AU$2:$AU$200,$G47)&gt;0,
     COUNTIFS($AV$2:$AV$200,$G47)&gt;0,
     COUNTIFS($AW$2:$AW$200,$G47)&gt;0,
     COUNTIFS($AX$2:$AX$200,$G47)&gt;0,
     COUNTIFS($AY$2:$AY$200,$G47)&gt;0
   )),
  ),
  2
 ),
"")</f>
        <v/>
      </c>
      <c r="E47" s="2" t="str" cm="1">
        <f t="array" aca="1" ref="E47" ca="1">IFERROR(
 INDEX(
  _xlfn._xlws.FILTER($V$1:$AY$1,
   TRANSPOSE(
    CHOOSE({1;2;3;4;5;6;7;8;9;10;11;12;13;14;15;16;17;18;19;20;21;22;23;24;25;26;27;28;29;30},
     COUNTIFS($V$2:$V$200,$G47)&gt;0,
     COUNTIFS($W$2:$W$200,$G47)&gt;0,
     COUNTIFS($X$2:$X$200,$G47)&gt;0,
     COUNTIFS($Y$2:$Y$200,$G47)&gt;0,
     COUNTIFS($Z$2:$Z$200,$G47)&gt;0,
     COUNTIFS($AA$2:$AA$200,$G47)&gt;0,
     COUNTIFS($AB$2:$AB$200,$G47)&gt;0,
     COUNTIFS($AC$2:$AC$200,$G47)&gt;0,
     COUNTIFS($AD$2:$AD$200,$G47)&gt;0,
     COUNTIFS($AE$2:$AE$200,$G47)&gt;0,
     COUNTIFS($AF$2:$AF$200,$G47)&gt;0,
     COUNTIFS($AG$2:$AG$200,$G47)&gt;0,
     COUNTIFS($AH$2:$AH$200,$G47)&gt;0,
     COUNTIFS($AI$2:$AI$200,$G47)&gt;0,
     COUNTIFS($AJ$2:$AJ$200,$G47)&gt;0,
     COUNTIFS($AK$2:$AK$200,$G47)&gt;0,
     COUNTIFS($AL$2:$AL$200,$G47)&gt;0,
     COUNTIFS($AM$2:$AM$200,$G47)&gt;0,
     COUNTIFS($AN$2:$AN$200,$G47)&gt;0,
     COUNTIFS($AO$2:$AO$200,$G47)&gt;0,
     COUNTIFS($AP$2:$AP$200,$G47)&gt;0,
     COUNTIFS($AQ$2:$AQ$200,$G47)&gt;0,
     COUNTIFS($AR$2:$AR$200,$G47)&gt;0,
     COUNTIFS($AS$2:$AS$200,$G47)&gt;0,
     COUNTIFS($AT$2:$AT$200,$G47)&gt;0,
     COUNTIFS($AU$2:$AU$200,$G47)&gt;0,
     COUNTIFS($AV$2:$AV$200,$G47)&gt;0,
     COUNTIFS($AW$2:$AW$200,$G47)&gt;0,
     COUNTIFS($AX$2:$AX$200,$G47)&gt;0,
     COUNTIFS($AY$2:$AY$200,$G47)&gt;0
   )),
  ),
  3
 ),
"")</f>
        <v/>
      </c>
      <c r="F47" s="2" t="str" cm="1">
        <f t="array" aca="1" ref="F47" ca="1">IFERROR(
 INDEX(
  _xlfn._xlws.FILTER($V$1:$AY$1,
   TRANSPOSE(
    CHOOSE({1;2;3;4;5;6;7;8;9;10;11;12;13;14;15;16;17;18;19;20;21;22;23;24;25;26;27;28;29;30},
     COUNTIFS($V$2:$V$200,$G47)&gt;0,
     COUNTIFS($W$2:$W$200,$G47)&gt;0,
     COUNTIFS($X$2:$X$200,$G47)&gt;0,
     COUNTIFS($Y$2:$Y$200,$G47)&gt;0,
     COUNTIFS($Z$2:$Z$200,$G47)&gt;0,
     COUNTIFS($AA$2:$AA$200,$G47)&gt;0,
     COUNTIFS($AB$2:$AB$200,$G47)&gt;0,
     COUNTIFS($AC$2:$AC$200,$G47)&gt;0,
     COUNTIFS($AD$2:$AD$200,$G47)&gt;0,
     COUNTIFS($AE$2:$AE$200,$G47)&gt;0,
     COUNTIFS($AF$2:$AF$200,$G47)&gt;0,
     COUNTIFS($AG$2:$AG$200,$G47)&gt;0,
     COUNTIFS($AH$2:$AH$200,$G47)&gt;0,
     COUNTIFS($AI$2:$AI$200,$G47)&gt;0,
     COUNTIFS($AJ$2:$AJ$200,$G47)&gt;0,
     COUNTIFS($AK$2:$AK$200,$G47)&gt;0,
     COUNTIFS($AL$2:$AL$200,$G47)&gt;0,
     COUNTIFS($AM$2:$AM$200,$G47)&gt;0,
     COUNTIFS($AN$2:$AN$200,$G47)&gt;0,
     COUNTIFS($AO$2:$AO$200,$G47)&gt;0,
     COUNTIFS($AP$2:$AP$200,$G47)&gt;0,
     COUNTIFS($AQ$2:$AQ$200,$G47)&gt;0,
     COUNTIFS($AR$2:$AR$200,$G47)&gt;0,
     COUNTIFS($AS$2:$AS$200,$G47)&gt;0,
     COUNTIFS($AT$2:$AT$200,$G47)&gt;0,
     COUNTIFS($AU$2:$AU$200,$G47)&gt;0,
     COUNTIFS($AV$2:$AV$200,$G47)&gt;0,
     COUNTIFS($AW$2:$AW$200,$G47)&gt;0,
     COUNTIFS($AX$2:$AX$200,$G47)&gt;0,
     COUNTIFS($AY$2:$AY$200,$G47)&gt;0
   )),
  ),
  4
 ),
"")</f>
        <v/>
      </c>
      <c r="G47" t="str">
        <f ca="1"/>
        <v>Beifong's Bounty Hunters</v>
      </c>
      <c r="AO47" t="str">
        <v>Muscle Sliver</v>
      </c>
      <c r="BE47" t="str">
        <v>Island</v>
      </c>
      <c r="BI47" t="str">
        <v>Rakdos Charm</v>
      </c>
      <c r="BJ47" t="str">
        <v>Mountain</v>
      </c>
      <c r="BL47" t="str">
        <v>Hurkyl's Final Meditation</v>
      </c>
      <c r="CR47" t="str">
        <f ca="1"/>
        <v>Muscle Sliver</v>
      </c>
      <c r="DB47" t="str">
        <f ca="1"/>
        <v>The Legend of Roku</v>
      </c>
      <c r="DC47" t="str">
        <f ca="1"/>
        <v>Oketra's Monument</v>
      </c>
      <c r="DD47" t="str">
        <f ca="1"/>
        <v>Niv-Mizzet, Parun</v>
      </c>
      <c r="DP47" t="str">
        <f ca="1"/>
        <v>Reforge the Soul</v>
      </c>
      <c r="DS47" t="str">
        <f ca="1"/>
        <v>The Peregrine Dynamo</v>
      </c>
      <c r="DT47" t="str">
        <f ca="1"/>
        <v>Mistrise Village</v>
      </c>
      <c r="DY47" t="str">
        <f ca="1"/>
        <v>The Legend of Roku</v>
      </c>
      <c r="DZ47" t="str">
        <f ca="1"/>
        <v>Dragonskull Summit</v>
      </c>
      <c r="EG47" t="str">
        <f ca="1"/>
        <v>Jetmir, Nexus of Revels</v>
      </c>
      <c r="EH47" t="str">
        <f ca="1"/>
        <v>Phyrexian Tower</v>
      </c>
      <c r="EI47" t="str">
        <f ca="1"/>
        <v>Heart Sliver</v>
      </c>
      <c r="EJ47" t="str">
        <f ca="1"/>
        <v>Sol Ring</v>
      </c>
      <c r="EK47" t="str">
        <f ca="1"/>
        <v>Party Thrasher</v>
      </c>
      <c r="EL47" t="str">
        <f ca="1"/>
        <v>Dragonskull Summit</v>
      </c>
      <c r="EP47" t="str">
        <f ca="1"/>
        <v>Eclipsed Realms</v>
      </c>
      <c r="EQ47" t="str">
        <f ca="1"/>
        <v>Dregscape Sliver</v>
      </c>
      <c r="ER47" t="str">
        <f ca="1"/>
        <v>Command Tower</v>
      </c>
      <c r="EU47" t="str">
        <f ca="1"/>
        <v>Cankerbloom</v>
      </c>
      <c r="EV47" t="str">
        <f ca="1"/>
        <v>Command Tower</v>
      </c>
      <c r="EX47" t="str">
        <f ca="1"/>
        <v>Beifong's Bounty Hunters</v>
      </c>
    </row>
    <row r="48" spans="1:154" x14ac:dyDescent="0.25">
      <c r="A48" s="2" t="str">
        <f t="shared" ca="1" si="1"/>
        <v>5</v>
      </c>
      <c r="B48" s="2">
        <f t="shared" ca="1" si="2"/>
        <v>1</v>
      </c>
      <c r="C48" s="2" t="str">
        <f ca="1">IFERROR(
 INDEX($V$1:$BL$1,
  MATCH(TRUE,
   CHOOSE({1;2;3;4;5;6;7;8;9;10;11;12;13;14;15;16;17;18;19;20;21;22;23;24;25;26;27;28;29;30;31;32;33;34;35;36;37;38;39;40;41;42;43},
    COUNTIFS($V$2:$V$200,$G48)&gt;0,
    COUNTIFS($W$2:$W$200,$G48)&gt;0,
    COUNTIFS($X$2:$X$200,$G48)&gt;0,
    COUNTIFS($Y$2:$Y$200,$G48)&gt;0,
    COUNTIFS($Z$2:$Z$200,$G48)&gt;0,
    COUNTIFS($AA$2:$AA$200,$G48)&gt;0,
    COUNTIFS($AB$2:$AB$200,$G48)&gt;0,
    COUNTIFS($AC$2:$AC$200,$G48)&gt;0,
    COUNTIFS($AD$2:$AD$200,$G48)&gt;0,
    COUNTIFS($AE$2:$AE$200,$G48)&gt;0,
    COUNTIFS($AF$2:$AF$200,$G48)&gt;0,
    COUNTIFS($AG$2:$AG$200,$G48)&gt;0,
    COUNTIFS($AH$2:$AH$200,$G48)&gt;0,
    COUNTIFS($AI$2:$AI$200,$G48)&gt;0,
    COUNTIFS($AJ$2:$AJ$200,$G48)&gt;0,
    COUNTIFS($AK$2:$AK$200,$G48)&gt;0,
    COUNTIFS($AL$2:$AL$200,$G48)&gt;0,
    COUNTIFS($AM$2:$AM$200,$G48)&gt;0,
    COUNTIFS($AN$2:$AN$200,$G48)&gt;0,
    COUNTIFS($AO$2:$AO$200,$G48)&gt;0,
    COUNTIFS($AP$2:$AP$200,$G48)&gt;0,
    COUNTIFS($AQ$2:$AQ$200,$G48)&gt;0,
    COUNTIFS($AR$2:$AR$200,$G48)&gt;0,
    COUNTIFS($AS$2:$AS$200,$G48)&gt;0,
    COUNTIFS($AT$2:$AT$200,$G48)&gt;0,
    COUNTIFS($AU$2:$AU$200,$G48)&gt;0,
    COUNTIFS($AV$2:$AV$200,$G48)&gt;0,
    COUNTIFS($AW$2:$AW$200,$G48)&gt;0,
    COUNTIFS($AX$2:$AX$200,$G48)&gt;0,
    COUNTIFS($AY$2:$AY$200,$G48)&gt;0,
    COUNTIFS($AZ$2:$AZ$200,$G48)&gt;0,
    COUNTIFS($BA$2:$BA$200,$G48)&gt;0,
    COUNTIFS($BB$2:$BB$200,$G48)&gt;0,
    COUNTIFS($BC$2:$BC$200,$G48)&gt;0,
    COUNTIFS($BD$2:$BD$200,$G48)&gt;0,
    COUNTIFS($BE$2:$BE$200,$G48)&gt;0,
    COUNTIFS($BF$2:$BF$200,$G48)&gt;0,
    COUNTIFS($BG$2:$BG$200,$G48)&gt;0,
    COUNTIFS($BH$2:$BH$200,$G48)&gt;0,
    COUNTIFS($BI$2:$BI$200,$G48)&gt;0,
    COUNTIFS($BJ$2:$BJ$200,$G48)&gt;0,
    COUNTIFS($BK$2:$BK$200,$G48)&gt;0,
    COUNTIFS($BL$2:$BL$200,$G48)&gt;0,
    COUNTIFS($BM$2:$BM$200,$G48)&gt;0,
   ),
  0)
 ),
"")</f>
        <v>Zuko</v>
      </c>
      <c r="D48" s="2" t="str" cm="1">
        <f t="array" aca="1" ref="D48" ca="1">IFERROR(
 INDEX(
  _xlfn._xlws.FILTER($V$1:$AY$1,
   TRANSPOSE(
    CHOOSE({1;2;3;4;5;6;7;8;9;10;11;12;13;14;15;16;17;18;19;20;21;22;23;24;25;26;27;28;29;30},
     COUNTIFS($V$2:$V$200,$G48)&gt;0,
     COUNTIFS($W$2:$W$200,$G48)&gt;0,
     COUNTIFS($X$2:$X$200,$G48)&gt;0,
     COUNTIFS($Y$2:$Y$200,$G48)&gt;0,
     COUNTIFS($Z$2:$Z$200,$G48)&gt;0,
     COUNTIFS($AA$2:$AA$200,$G48)&gt;0,
     COUNTIFS($AB$2:$AB$200,$G48)&gt;0,
     COUNTIFS($AC$2:$AC$200,$G48)&gt;0,
     COUNTIFS($AD$2:$AD$200,$G48)&gt;0,
     COUNTIFS($AE$2:$AE$200,$G48)&gt;0,
     COUNTIFS($AF$2:$AF$200,$G48)&gt;0,
     COUNTIFS($AG$2:$AG$200,$G48)&gt;0,
     COUNTIFS($AH$2:$AH$200,$G48)&gt;0,
     COUNTIFS($AI$2:$AI$200,$G48)&gt;0,
     COUNTIFS($AJ$2:$AJ$200,$G48)&gt;0,
     COUNTIFS($AK$2:$AK$200,$G48)&gt;0,
     COUNTIFS($AL$2:$AL$200,$G48)&gt;0,
     COUNTIFS($AM$2:$AM$200,$G48)&gt;0,
     COUNTIFS($AN$2:$AN$200,$G48)&gt;0,
     COUNTIFS($AO$2:$AO$200,$G48)&gt;0,
     COUNTIFS($AP$2:$AP$200,$G48)&gt;0,
     COUNTIFS($AQ$2:$AQ$200,$G48)&gt;0,
     COUNTIFS($AR$2:$AR$200,$G48)&gt;0,
     COUNTIFS($AS$2:$AS$200,$G48)&gt;0,
     COUNTIFS($AT$2:$AT$200,$G48)&gt;0,
     COUNTIFS($AU$2:$AU$200,$G48)&gt;0,
     COUNTIFS($AV$2:$AV$200,$G48)&gt;0,
     COUNTIFS($AW$2:$AW$200,$G48)&gt;0,
     COUNTIFS($AX$2:$AX$200,$G48)&gt;0,
     COUNTIFS($AY$2:$AY$200,$G48)&gt;0
   )),
  ),
  2
 ),
"")</f>
        <v/>
      </c>
      <c r="E48" s="2" t="str" cm="1">
        <f t="array" aca="1" ref="E48" ca="1">IFERROR(
 INDEX(
  _xlfn._xlws.FILTER($V$1:$AY$1,
   TRANSPOSE(
    CHOOSE({1;2;3;4;5;6;7;8;9;10;11;12;13;14;15;16;17;18;19;20;21;22;23;24;25;26;27;28;29;30},
     COUNTIFS($V$2:$V$200,$G48)&gt;0,
     COUNTIFS($W$2:$W$200,$G48)&gt;0,
     COUNTIFS($X$2:$X$200,$G48)&gt;0,
     COUNTIFS($Y$2:$Y$200,$G48)&gt;0,
     COUNTIFS($Z$2:$Z$200,$G48)&gt;0,
     COUNTIFS($AA$2:$AA$200,$G48)&gt;0,
     COUNTIFS($AB$2:$AB$200,$G48)&gt;0,
     COUNTIFS($AC$2:$AC$200,$G48)&gt;0,
     COUNTIFS($AD$2:$AD$200,$G48)&gt;0,
     COUNTIFS($AE$2:$AE$200,$G48)&gt;0,
     COUNTIFS($AF$2:$AF$200,$G48)&gt;0,
     COUNTIFS($AG$2:$AG$200,$G48)&gt;0,
     COUNTIFS($AH$2:$AH$200,$G48)&gt;0,
     COUNTIFS($AI$2:$AI$200,$G48)&gt;0,
     COUNTIFS($AJ$2:$AJ$200,$G48)&gt;0,
     COUNTIFS($AK$2:$AK$200,$G48)&gt;0,
     COUNTIFS($AL$2:$AL$200,$G48)&gt;0,
     COUNTIFS($AM$2:$AM$200,$G48)&gt;0,
     COUNTIFS($AN$2:$AN$200,$G48)&gt;0,
     COUNTIFS($AO$2:$AO$200,$G48)&gt;0,
     COUNTIFS($AP$2:$AP$200,$G48)&gt;0,
     COUNTIFS($AQ$2:$AQ$200,$G48)&gt;0,
     COUNTIFS($AR$2:$AR$200,$G48)&gt;0,
     COUNTIFS($AS$2:$AS$200,$G48)&gt;0,
     COUNTIFS($AT$2:$AT$200,$G48)&gt;0,
     COUNTIFS($AU$2:$AU$200,$G48)&gt;0,
     COUNTIFS($AV$2:$AV$200,$G48)&gt;0,
     COUNTIFS($AW$2:$AW$200,$G48)&gt;0,
     COUNTIFS($AX$2:$AX$200,$G48)&gt;0,
     COUNTIFS($AY$2:$AY$200,$G48)&gt;0
   )),
  ),
  3
 ),
"")</f>
        <v/>
      </c>
      <c r="F48" s="2" t="str" cm="1">
        <f t="array" aca="1" ref="F48" ca="1">IFERROR(
 INDEX(
  _xlfn._xlws.FILTER($V$1:$AY$1,
   TRANSPOSE(
    CHOOSE({1;2;3;4;5;6;7;8;9;10;11;12;13;14;15;16;17;18;19;20;21;22;23;24;25;26;27;28;29;30},
     COUNTIFS($V$2:$V$200,$G48)&gt;0,
     COUNTIFS($W$2:$W$200,$G48)&gt;0,
     COUNTIFS($X$2:$X$200,$G48)&gt;0,
     COUNTIFS($Y$2:$Y$200,$G48)&gt;0,
     COUNTIFS($Z$2:$Z$200,$G48)&gt;0,
     COUNTIFS($AA$2:$AA$200,$G48)&gt;0,
     COUNTIFS($AB$2:$AB$200,$G48)&gt;0,
     COUNTIFS($AC$2:$AC$200,$G48)&gt;0,
     COUNTIFS($AD$2:$AD$200,$G48)&gt;0,
     COUNTIFS($AE$2:$AE$200,$G48)&gt;0,
     COUNTIFS($AF$2:$AF$200,$G48)&gt;0,
     COUNTIFS($AG$2:$AG$200,$G48)&gt;0,
     COUNTIFS($AH$2:$AH$200,$G48)&gt;0,
     COUNTIFS($AI$2:$AI$200,$G48)&gt;0,
     COUNTIFS($AJ$2:$AJ$200,$G48)&gt;0,
     COUNTIFS($AK$2:$AK$200,$G48)&gt;0,
     COUNTIFS($AL$2:$AL$200,$G48)&gt;0,
     COUNTIFS($AM$2:$AM$200,$G48)&gt;0,
     COUNTIFS($AN$2:$AN$200,$G48)&gt;0,
     COUNTIFS($AO$2:$AO$200,$G48)&gt;0,
     COUNTIFS($AP$2:$AP$200,$G48)&gt;0,
     COUNTIFS($AQ$2:$AQ$200,$G48)&gt;0,
     COUNTIFS($AR$2:$AR$200,$G48)&gt;0,
     COUNTIFS($AS$2:$AS$200,$G48)&gt;0,
     COUNTIFS($AT$2:$AT$200,$G48)&gt;0,
     COUNTIFS($AU$2:$AU$200,$G48)&gt;0,
     COUNTIFS($AV$2:$AV$200,$G48)&gt;0,
     COUNTIFS($AW$2:$AW$200,$G48)&gt;0,
     COUNTIFS($AX$2:$AX$200,$G48)&gt;0,
     COUNTIFS($AY$2:$AY$200,$G48)&gt;0
   )),
  ),
  4
 ),
"")</f>
        <v/>
      </c>
      <c r="G48" t="str">
        <f ca="1"/>
        <v>Billiard Room</v>
      </c>
      <c r="AO48" t="str">
        <v>Necrotic Sliver</v>
      </c>
      <c r="BE48" t="str">
        <v>Island</v>
      </c>
      <c r="BI48" t="str">
        <v>Raven Eagle</v>
      </c>
      <c r="BJ48" t="str">
        <v>Mountain</v>
      </c>
      <c r="BL48" t="str">
        <v>Inferno</v>
      </c>
      <c r="CR48" t="str">
        <f ca="1"/>
        <v>Necrotic Sliver</v>
      </c>
      <c r="DB48" t="str">
        <f ca="1"/>
        <v>Ultimate Magic: Holy</v>
      </c>
      <c r="DC48" t="str">
        <f ca="1"/>
        <v>Phyrexian Dragon Engine</v>
      </c>
      <c r="DD48" t="str">
        <f ca="1"/>
        <v>Omen of the Hunt</v>
      </c>
      <c r="DP48" t="str">
        <f ca="1"/>
        <v>Reliquary Tower</v>
      </c>
      <c r="DS48" t="str">
        <f ca="1"/>
        <v>Vronos, Masked Inquisitor</v>
      </c>
      <c r="DT48" t="str">
        <f ca="1"/>
        <v>Mnemonic Sliver</v>
      </c>
      <c r="DY48" t="str">
        <f ca="1"/>
        <v>Ultimate Magic: Holy</v>
      </c>
      <c r="DZ48" t="str">
        <f ca="1"/>
        <v>Dusk // Dawn</v>
      </c>
      <c r="EG48" t="str">
        <f ca="1"/>
        <v>Jidoor, Aristocratic Capital // Overture</v>
      </c>
      <c r="EH48" t="str">
        <f ca="1"/>
        <v>Polluted Delta</v>
      </c>
      <c r="EI48" t="str">
        <f ca="1"/>
        <v>Hibernation Sliver</v>
      </c>
      <c r="EJ48" t="str">
        <f ca="1"/>
        <v>Solid Ground</v>
      </c>
      <c r="EK48" t="str">
        <f ca="1"/>
        <v>Path to Exile</v>
      </c>
      <c r="EL48" t="str">
        <f ca="1"/>
        <v>Dusk // Dawn</v>
      </c>
      <c r="EP48" t="str">
        <f ca="1"/>
        <v>Elspeth, Sun's Champion</v>
      </c>
      <c r="EQ48" t="str">
        <f ca="1"/>
        <v>Earthshape</v>
      </c>
      <c r="ER48" t="str">
        <f ca="1"/>
        <v>Coruscation Mage</v>
      </c>
      <c r="EU48" t="str">
        <f ca="1"/>
        <v>Careful Study</v>
      </c>
      <c r="EV48" t="str">
        <f ca="1"/>
        <v>Coruscation Mage</v>
      </c>
      <c r="EX48" t="str">
        <f ca="1"/>
        <v>Billiard Room</v>
      </c>
    </row>
    <row r="49" spans="1:154" x14ac:dyDescent="0.25">
      <c r="A49" s="2" t="str">
        <f t="shared" ca="1" si="1"/>
        <v>4</v>
      </c>
      <c r="B49" s="2">
        <f t="shared" ca="1" si="2"/>
        <v>1</v>
      </c>
      <c r="C49" s="2" t="str">
        <f ca="1">IFERROR(
 INDEX($V$1:$BL$1,
  MATCH(TRUE,
   CHOOSE({1;2;3;4;5;6;7;8;9;10;11;12;13;14;15;16;17;18;19;20;21;22;23;24;25;26;27;28;29;30;31;32;33;34;35;36;37;38;39;40;41;42;43},
    COUNTIFS($V$2:$V$200,$G49)&gt;0,
    COUNTIFS($W$2:$W$200,$G49)&gt;0,
    COUNTIFS($X$2:$X$200,$G49)&gt;0,
    COUNTIFS($Y$2:$Y$200,$G49)&gt;0,
    COUNTIFS($Z$2:$Z$200,$G49)&gt;0,
    COUNTIFS($AA$2:$AA$200,$G49)&gt;0,
    COUNTIFS($AB$2:$AB$200,$G49)&gt;0,
    COUNTIFS($AC$2:$AC$200,$G49)&gt;0,
    COUNTIFS($AD$2:$AD$200,$G49)&gt;0,
    COUNTIFS($AE$2:$AE$200,$G49)&gt;0,
    COUNTIFS($AF$2:$AF$200,$G49)&gt;0,
    COUNTIFS($AG$2:$AG$200,$G49)&gt;0,
    COUNTIFS($AH$2:$AH$200,$G49)&gt;0,
    COUNTIFS($AI$2:$AI$200,$G49)&gt;0,
    COUNTIFS($AJ$2:$AJ$200,$G49)&gt;0,
    COUNTIFS($AK$2:$AK$200,$G49)&gt;0,
    COUNTIFS($AL$2:$AL$200,$G49)&gt;0,
    COUNTIFS($AM$2:$AM$200,$G49)&gt;0,
    COUNTIFS($AN$2:$AN$200,$G49)&gt;0,
    COUNTIFS($AO$2:$AO$200,$G49)&gt;0,
    COUNTIFS($AP$2:$AP$200,$G49)&gt;0,
    COUNTIFS($AQ$2:$AQ$200,$G49)&gt;0,
    COUNTIFS($AR$2:$AR$200,$G49)&gt;0,
    COUNTIFS($AS$2:$AS$200,$G49)&gt;0,
    COUNTIFS($AT$2:$AT$200,$G49)&gt;0,
    COUNTIFS($AU$2:$AU$200,$G49)&gt;0,
    COUNTIFS($AV$2:$AV$200,$G49)&gt;0,
    COUNTIFS($AW$2:$AW$200,$G49)&gt;0,
    COUNTIFS($AX$2:$AX$200,$G49)&gt;0,
    COUNTIFS($AY$2:$AY$200,$G49)&gt;0,
    COUNTIFS($AZ$2:$AZ$200,$G49)&gt;0,
    COUNTIFS($BA$2:$BA$200,$G49)&gt;0,
    COUNTIFS($BB$2:$BB$200,$G49)&gt;0,
    COUNTIFS($BC$2:$BC$200,$G49)&gt;0,
    COUNTIFS($BD$2:$BD$200,$G49)&gt;0,
    COUNTIFS($BE$2:$BE$200,$G49)&gt;0,
    COUNTIFS($BF$2:$BF$200,$G49)&gt;0,
    COUNTIFS($BG$2:$BG$200,$G49)&gt;0,
    COUNTIFS($BH$2:$BH$200,$G49)&gt;0,
    COUNTIFS($BI$2:$BI$200,$G49)&gt;0,
    COUNTIFS($BJ$2:$BJ$200,$G49)&gt;0,
    COUNTIFS($BK$2:$BK$200,$G49)&gt;0,
    COUNTIFS($BL$2:$BL$200,$G49)&gt;0,
    COUNTIFS($BM$2:$BM$200,$G49)&gt;0,
   ),
  0)
 ),
"")</f>
        <v>Ool</v>
      </c>
      <c r="D49" s="2" t="str" cm="1">
        <f t="array" aca="1" ref="D49" ca="1">IFERROR(
 INDEX(
  _xlfn._xlws.FILTER($V$1:$AY$1,
   TRANSPOSE(
    CHOOSE({1;2;3;4;5;6;7;8;9;10;11;12;13;14;15;16;17;18;19;20;21;22;23;24;25;26;27;28;29;30},
     COUNTIFS($V$2:$V$200,$G49)&gt;0,
     COUNTIFS($W$2:$W$200,$G49)&gt;0,
     COUNTIFS($X$2:$X$200,$G49)&gt;0,
     COUNTIFS($Y$2:$Y$200,$G49)&gt;0,
     COUNTIFS($Z$2:$Z$200,$G49)&gt;0,
     COUNTIFS($AA$2:$AA$200,$G49)&gt;0,
     COUNTIFS($AB$2:$AB$200,$G49)&gt;0,
     COUNTIFS($AC$2:$AC$200,$G49)&gt;0,
     COUNTIFS($AD$2:$AD$200,$G49)&gt;0,
     COUNTIFS($AE$2:$AE$200,$G49)&gt;0,
     COUNTIFS($AF$2:$AF$200,$G49)&gt;0,
     COUNTIFS($AG$2:$AG$200,$G49)&gt;0,
     COUNTIFS($AH$2:$AH$200,$G49)&gt;0,
     COUNTIFS($AI$2:$AI$200,$G49)&gt;0,
     COUNTIFS($AJ$2:$AJ$200,$G49)&gt;0,
     COUNTIFS($AK$2:$AK$200,$G49)&gt;0,
     COUNTIFS($AL$2:$AL$200,$G49)&gt;0,
     COUNTIFS($AM$2:$AM$200,$G49)&gt;0,
     COUNTIFS($AN$2:$AN$200,$G49)&gt;0,
     COUNTIFS($AO$2:$AO$200,$G49)&gt;0,
     COUNTIFS($AP$2:$AP$200,$G49)&gt;0,
     COUNTIFS($AQ$2:$AQ$200,$G49)&gt;0,
     COUNTIFS($AR$2:$AR$200,$G49)&gt;0,
     COUNTIFS($AS$2:$AS$200,$G49)&gt;0,
     COUNTIFS($AT$2:$AT$200,$G49)&gt;0,
     COUNTIFS($AU$2:$AU$200,$G49)&gt;0,
     COUNTIFS($AV$2:$AV$200,$G49)&gt;0,
     COUNTIFS($AW$2:$AW$200,$G49)&gt;0,
     COUNTIFS($AX$2:$AX$200,$G49)&gt;0,
     COUNTIFS($AY$2:$AY$200,$G49)&gt;0
   )),
  ),
  2
 ),
"")</f>
        <v/>
      </c>
      <c r="E49" s="2" t="str" cm="1">
        <f t="array" aca="1" ref="E49" ca="1">IFERROR(
 INDEX(
  _xlfn._xlws.FILTER($V$1:$AY$1,
   TRANSPOSE(
    CHOOSE({1;2;3;4;5;6;7;8;9;10;11;12;13;14;15;16;17;18;19;20;21;22;23;24;25;26;27;28;29;30},
     COUNTIFS($V$2:$V$200,$G49)&gt;0,
     COUNTIFS($W$2:$W$200,$G49)&gt;0,
     COUNTIFS($X$2:$X$200,$G49)&gt;0,
     COUNTIFS($Y$2:$Y$200,$G49)&gt;0,
     COUNTIFS($Z$2:$Z$200,$G49)&gt;0,
     COUNTIFS($AA$2:$AA$200,$G49)&gt;0,
     COUNTIFS($AB$2:$AB$200,$G49)&gt;0,
     COUNTIFS($AC$2:$AC$200,$G49)&gt;0,
     COUNTIFS($AD$2:$AD$200,$G49)&gt;0,
     COUNTIFS($AE$2:$AE$200,$G49)&gt;0,
     COUNTIFS($AF$2:$AF$200,$G49)&gt;0,
     COUNTIFS($AG$2:$AG$200,$G49)&gt;0,
     COUNTIFS($AH$2:$AH$200,$G49)&gt;0,
     COUNTIFS($AI$2:$AI$200,$G49)&gt;0,
     COUNTIFS($AJ$2:$AJ$200,$G49)&gt;0,
     COUNTIFS($AK$2:$AK$200,$G49)&gt;0,
     COUNTIFS($AL$2:$AL$200,$G49)&gt;0,
     COUNTIFS($AM$2:$AM$200,$G49)&gt;0,
     COUNTIFS($AN$2:$AN$200,$G49)&gt;0,
     COUNTIFS($AO$2:$AO$200,$G49)&gt;0,
     COUNTIFS($AP$2:$AP$200,$G49)&gt;0,
     COUNTIFS($AQ$2:$AQ$200,$G49)&gt;0,
     COUNTIFS($AR$2:$AR$200,$G49)&gt;0,
     COUNTIFS($AS$2:$AS$200,$G49)&gt;0,
     COUNTIFS($AT$2:$AT$200,$G49)&gt;0,
     COUNTIFS($AU$2:$AU$200,$G49)&gt;0,
     COUNTIFS($AV$2:$AV$200,$G49)&gt;0,
     COUNTIFS($AW$2:$AW$200,$G49)&gt;0,
     COUNTIFS($AX$2:$AX$200,$G49)&gt;0,
     COUNTIFS($AY$2:$AY$200,$G49)&gt;0
   )),
  ),
  3
 ),
"")</f>
        <v/>
      </c>
      <c r="F49" s="2" t="str" cm="1">
        <f t="array" aca="1" ref="F49" ca="1">IFERROR(
 INDEX(
  _xlfn._xlws.FILTER($V$1:$AY$1,
   TRANSPOSE(
    CHOOSE({1;2;3;4;5;6;7;8;9;10;11;12;13;14;15;16;17;18;19;20;21;22;23;24;25;26;27;28;29;30},
     COUNTIFS($V$2:$V$200,$G49)&gt;0,
     COUNTIFS($W$2:$W$200,$G49)&gt;0,
     COUNTIFS($X$2:$X$200,$G49)&gt;0,
     COUNTIFS($Y$2:$Y$200,$G49)&gt;0,
     COUNTIFS($Z$2:$Z$200,$G49)&gt;0,
     COUNTIFS($AA$2:$AA$200,$G49)&gt;0,
     COUNTIFS($AB$2:$AB$200,$G49)&gt;0,
     COUNTIFS($AC$2:$AC$200,$G49)&gt;0,
     COUNTIFS($AD$2:$AD$200,$G49)&gt;0,
     COUNTIFS($AE$2:$AE$200,$G49)&gt;0,
     COUNTIFS($AF$2:$AF$200,$G49)&gt;0,
     COUNTIFS($AG$2:$AG$200,$G49)&gt;0,
     COUNTIFS($AH$2:$AH$200,$G49)&gt;0,
     COUNTIFS($AI$2:$AI$200,$G49)&gt;0,
     COUNTIFS($AJ$2:$AJ$200,$G49)&gt;0,
     COUNTIFS($AK$2:$AK$200,$G49)&gt;0,
     COUNTIFS($AL$2:$AL$200,$G49)&gt;0,
     COUNTIFS($AM$2:$AM$200,$G49)&gt;0,
     COUNTIFS($AN$2:$AN$200,$G49)&gt;0,
     COUNTIFS($AO$2:$AO$200,$G49)&gt;0,
     COUNTIFS($AP$2:$AP$200,$G49)&gt;0,
     COUNTIFS($AQ$2:$AQ$200,$G49)&gt;0,
     COUNTIFS($AR$2:$AR$200,$G49)&gt;0,
     COUNTIFS($AS$2:$AS$200,$G49)&gt;0,
     COUNTIFS($AT$2:$AT$200,$G49)&gt;0,
     COUNTIFS($AU$2:$AU$200,$G49)&gt;0,
     COUNTIFS($AV$2:$AV$200,$G49)&gt;0,
     COUNTIFS($AW$2:$AW$200,$G49)&gt;0,
     COUNTIFS($AX$2:$AX$200,$G49)&gt;0,
     COUNTIFS($AY$2:$AY$200,$G49)&gt;0
   )),
  ),
  4
 ),
"")</f>
        <v/>
      </c>
      <c r="G49" t="str">
        <f ca="1"/>
        <v>Birds of Paradise</v>
      </c>
      <c r="AO49" t="str">
        <v>Opaline Sliver</v>
      </c>
      <c r="BE49" t="str">
        <v>Island</v>
      </c>
      <c r="BI49" t="str">
        <v>Rose, Cutthroat Raider</v>
      </c>
      <c r="BJ49" t="str">
        <v>Mountain</v>
      </c>
      <c r="BL49" t="str">
        <v>Island</v>
      </c>
      <c r="CR49" t="str">
        <f ca="1"/>
        <v>Opaline Sliver</v>
      </c>
      <c r="DB49" t="str">
        <f ca="1"/>
        <v>Vault of the Archangel</v>
      </c>
      <c r="DC49" t="str">
        <f ca="1"/>
        <v>Plains</v>
      </c>
      <c r="DD49" t="str">
        <f ca="1"/>
        <v>Perplexing Test</v>
      </c>
      <c r="DP49" t="str">
        <f ca="1"/>
        <v>Return from the Wilds</v>
      </c>
      <c r="DS49" t="str">
        <f ca="1"/>
        <v>Warren Soultrader</v>
      </c>
      <c r="DT49" t="str">
        <f ca="1"/>
        <v>Mountain</v>
      </c>
      <c r="DY49" t="str">
        <f ca="1"/>
        <v>Vault of the Archangel</v>
      </c>
      <c r="DZ49" t="str">
        <f ca="1"/>
        <v>Elspeth, Sun's Champion</v>
      </c>
      <c r="EG49" t="str">
        <f ca="1"/>
        <v>Karplusan Forest</v>
      </c>
      <c r="EH49" t="str">
        <f ca="1"/>
        <v>Psychic Paper</v>
      </c>
      <c r="EI49" t="str">
        <f ca="1"/>
        <v>Hollowhead Sliver</v>
      </c>
      <c r="EJ49" t="str">
        <f ca="1"/>
        <v>Springleaf Parade</v>
      </c>
      <c r="EK49" t="str">
        <f ca="1"/>
        <v>Plains</v>
      </c>
      <c r="EL49" t="str">
        <f ca="1"/>
        <v>Elspeth, Sun's Champion</v>
      </c>
      <c r="EP49" t="str">
        <f ca="1"/>
        <v>Emrakul, the World Anew</v>
      </c>
      <c r="EQ49" t="str">
        <f ca="1"/>
        <v>Eladamri's Call</v>
      </c>
      <c r="ER49" t="str">
        <f ca="1"/>
        <v>Counterspell</v>
      </c>
      <c r="EU49" t="str">
        <f ca="1"/>
        <v>Castle Ardenvale</v>
      </c>
      <c r="EV49" t="str">
        <f ca="1"/>
        <v>Counterspell</v>
      </c>
      <c r="EX49" t="str">
        <f ca="1"/>
        <v>Birds of Paradise</v>
      </c>
    </row>
    <row r="50" spans="1:154" x14ac:dyDescent="0.25">
      <c r="A50" s="2" t="str">
        <f t="shared" ca="1" si="1"/>
        <v>2</v>
      </c>
      <c r="B50" s="2">
        <f t="shared" ca="1" si="2"/>
        <v>2</v>
      </c>
      <c r="C50" s="2" t="str">
        <f ca="1">IFERROR(
 INDEX($V$1:$BL$1,
  MATCH(TRUE,
   CHOOSE({1;2;3;4;5;6;7;8;9;10;11;12;13;14;15;16;17;18;19;20;21;22;23;24;25;26;27;28;29;30;31;32;33;34;35;36;37;38;39;40;41;42;43},
    COUNTIFS($V$2:$V$200,$G50)&gt;0,
    COUNTIFS($W$2:$W$200,$G50)&gt;0,
    COUNTIFS($X$2:$X$200,$G50)&gt;0,
    COUNTIFS($Y$2:$Y$200,$G50)&gt;0,
    COUNTIFS($Z$2:$Z$200,$G50)&gt;0,
    COUNTIFS($AA$2:$AA$200,$G50)&gt;0,
    COUNTIFS($AB$2:$AB$200,$G50)&gt;0,
    COUNTIFS($AC$2:$AC$200,$G50)&gt;0,
    COUNTIFS($AD$2:$AD$200,$G50)&gt;0,
    COUNTIFS($AE$2:$AE$200,$G50)&gt;0,
    COUNTIFS($AF$2:$AF$200,$G50)&gt;0,
    COUNTIFS($AG$2:$AG$200,$G50)&gt;0,
    COUNTIFS($AH$2:$AH$200,$G50)&gt;0,
    COUNTIFS($AI$2:$AI$200,$G50)&gt;0,
    COUNTIFS($AJ$2:$AJ$200,$G50)&gt;0,
    COUNTIFS($AK$2:$AK$200,$G50)&gt;0,
    COUNTIFS($AL$2:$AL$200,$G50)&gt;0,
    COUNTIFS($AM$2:$AM$200,$G50)&gt;0,
    COUNTIFS($AN$2:$AN$200,$G50)&gt;0,
    COUNTIFS($AO$2:$AO$200,$G50)&gt;0,
    COUNTIFS($AP$2:$AP$200,$G50)&gt;0,
    COUNTIFS($AQ$2:$AQ$200,$G50)&gt;0,
    COUNTIFS($AR$2:$AR$200,$G50)&gt;0,
    COUNTIFS($AS$2:$AS$200,$G50)&gt;0,
    COUNTIFS($AT$2:$AT$200,$G50)&gt;0,
    COUNTIFS($AU$2:$AU$200,$G50)&gt;0,
    COUNTIFS($AV$2:$AV$200,$G50)&gt;0,
    COUNTIFS($AW$2:$AW$200,$G50)&gt;0,
    COUNTIFS($AX$2:$AX$200,$G50)&gt;0,
    COUNTIFS($AY$2:$AY$200,$G50)&gt;0,
    COUNTIFS($AZ$2:$AZ$200,$G50)&gt;0,
    COUNTIFS($BA$2:$BA$200,$G50)&gt;0,
    COUNTIFS($BB$2:$BB$200,$G50)&gt;0,
    COUNTIFS($BC$2:$BC$200,$G50)&gt;0,
    COUNTIFS($BD$2:$BD$200,$G50)&gt;0,
    COUNTIFS($BE$2:$BE$200,$G50)&gt;0,
    COUNTIFS($BF$2:$BF$200,$G50)&gt;0,
    COUNTIFS($BG$2:$BG$200,$G50)&gt;0,
    COUNTIFS($BH$2:$BH$200,$G50)&gt;0,
    COUNTIFS($BI$2:$BI$200,$G50)&gt;0,
    COUNTIFS($BJ$2:$BJ$200,$G50)&gt;0,
    COUNTIFS($BK$2:$BK$200,$G50)&gt;0,
    COUNTIFS($BL$2:$BL$200,$G50)&gt;0,
    COUNTIFS($BM$2:$BM$200,$G50)&gt;0,
   ),
  0)
 ),
"")</f>
        <v>Zimone</v>
      </c>
      <c r="D50" s="2" t="str" cm="1">
        <f t="array" aca="1" ref="D50" ca="1">IFERROR(
 INDEX(
  _xlfn._xlws.FILTER($V$1:$AY$1,
   TRANSPOSE(
    CHOOSE({1;2;3;4;5;6;7;8;9;10;11;12;13;14;15;16;17;18;19;20;21;22;23;24;25;26;27;28;29;30},
     COUNTIFS($V$2:$V$200,$G50)&gt;0,
     COUNTIFS($W$2:$W$200,$G50)&gt;0,
     COUNTIFS($X$2:$X$200,$G50)&gt;0,
     COUNTIFS($Y$2:$Y$200,$G50)&gt;0,
     COUNTIFS($Z$2:$Z$200,$G50)&gt;0,
     COUNTIFS($AA$2:$AA$200,$G50)&gt;0,
     COUNTIFS($AB$2:$AB$200,$G50)&gt;0,
     COUNTIFS($AC$2:$AC$200,$G50)&gt;0,
     COUNTIFS($AD$2:$AD$200,$G50)&gt;0,
     COUNTIFS($AE$2:$AE$200,$G50)&gt;0,
     COUNTIFS($AF$2:$AF$200,$G50)&gt;0,
     COUNTIFS($AG$2:$AG$200,$G50)&gt;0,
     COUNTIFS($AH$2:$AH$200,$G50)&gt;0,
     COUNTIFS($AI$2:$AI$200,$G50)&gt;0,
     COUNTIFS($AJ$2:$AJ$200,$G50)&gt;0,
     COUNTIFS($AK$2:$AK$200,$G50)&gt;0,
     COUNTIFS($AL$2:$AL$200,$G50)&gt;0,
     COUNTIFS($AM$2:$AM$200,$G50)&gt;0,
     COUNTIFS($AN$2:$AN$200,$G50)&gt;0,
     COUNTIFS($AO$2:$AO$200,$G50)&gt;0,
     COUNTIFS($AP$2:$AP$200,$G50)&gt;0,
     COUNTIFS($AQ$2:$AQ$200,$G50)&gt;0,
     COUNTIFS($AR$2:$AR$200,$G50)&gt;0,
     COUNTIFS($AS$2:$AS$200,$G50)&gt;0,
     COUNTIFS($AT$2:$AT$200,$G50)&gt;0,
     COUNTIFS($AU$2:$AU$200,$G50)&gt;0,
     COUNTIFS($AV$2:$AV$200,$G50)&gt;0,
     COUNTIFS($AW$2:$AW$200,$G50)&gt;0,
     COUNTIFS($AX$2:$AX$200,$G50)&gt;0,
     COUNTIFS($AY$2:$AY$200,$G50)&gt;0
   )),
  ),
  2
 ),
"")</f>
        <v/>
      </c>
      <c r="E50" s="2" t="str" cm="1">
        <f t="array" aca="1" ref="E50" ca="1">IFERROR(
 INDEX(
  _xlfn._xlws.FILTER($V$1:$AY$1,
   TRANSPOSE(
    CHOOSE({1;2;3;4;5;6;7;8;9;10;11;12;13;14;15;16;17;18;19;20;21;22;23;24;25;26;27;28;29;30},
     COUNTIFS($V$2:$V$200,$G50)&gt;0,
     COUNTIFS($W$2:$W$200,$G50)&gt;0,
     COUNTIFS($X$2:$X$200,$G50)&gt;0,
     COUNTIFS($Y$2:$Y$200,$G50)&gt;0,
     COUNTIFS($Z$2:$Z$200,$G50)&gt;0,
     COUNTIFS($AA$2:$AA$200,$G50)&gt;0,
     COUNTIFS($AB$2:$AB$200,$G50)&gt;0,
     COUNTIFS($AC$2:$AC$200,$G50)&gt;0,
     COUNTIFS($AD$2:$AD$200,$G50)&gt;0,
     COUNTIFS($AE$2:$AE$200,$G50)&gt;0,
     COUNTIFS($AF$2:$AF$200,$G50)&gt;0,
     COUNTIFS($AG$2:$AG$200,$G50)&gt;0,
     COUNTIFS($AH$2:$AH$200,$G50)&gt;0,
     COUNTIFS($AI$2:$AI$200,$G50)&gt;0,
     COUNTIFS($AJ$2:$AJ$200,$G50)&gt;0,
     COUNTIFS($AK$2:$AK$200,$G50)&gt;0,
     COUNTIFS($AL$2:$AL$200,$G50)&gt;0,
     COUNTIFS($AM$2:$AM$200,$G50)&gt;0,
     COUNTIFS($AN$2:$AN$200,$G50)&gt;0,
     COUNTIFS($AO$2:$AO$200,$G50)&gt;0,
     COUNTIFS($AP$2:$AP$200,$G50)&gt;0,
     COUNTIFS($AQ$2:$AQ$200,$G50)&gt;0,
     COUNTIFS($AR$2:$AR$200,$G50)&gt;0,
     COUNTIFS($AS$2:$AS$200,$G50)&gt;0,
     COUNTIFS($AT$2:$AT$200,$G50)&gt;0,
     COUNTIFS($AU$2:$AU$200,$G50)&gt;0,
     COUNTIFS($AV$2:$AV$200,$G50)&gt;0,
     COUNTIFS($AW$2:$AW$200,$G50)&gt;0,
     COUNTIFS($AX$2:$AX$200,$G50)&gt;0,
     COUNTIFS($AY$2:$AY$200,$G50)&gt;0
   )),
  ),
  3
 ),
"")</f>
        <v/>
      </c>
      <c r="F50" s="2" t="str" cm="1">
        <f t="array" aca="1" ref="F50" ca="1">IFERROR(
 INDEX(
  _xlfn._xlws.FILTER($V$1:$AY$1,
   TRANSPOSE(
    CHOOSE({1;2;3;4;5;6;7;8;9;10;11;12;13;14;15;16;17;18;19;20;21;22;23;24;25;26;27;28;29;30},
     COUNTIFS($V$2:$V$200,$G50)&gt;0,
     COUNTIFS($W$2:$W$200,$G50)&gt;0,
     COUNTIFS($X$2:$X$200,$G50)&gt;0,
     COUNTIFS($Y$2:$Y$200,$G50)&gt;0,
     COUNTIFS($Z$2:$Z$200,$G50)&gt;0,
     COUNTIFS($AA$2:$AA$200,$G50)&gt;0,
     COUNTIFS($AB$2:$AB$200,$G50)&gt;0,
     COUNTIFS($AC$2:$AC$200,$G50)&gt;0,
     COUNTIFS($AD$2:$AD$200,$G50)&gt;0,
     COUNTIFS($AE$2:$AE$200,$G50)&gt;0,
     COUNTIFS($AF$2:$AF$200,$G50)&gt;0,
     COUNTIFS($AG$2:$AG$200,$G50)&gt;0,
     COUNTIFS($AH$2:$AH$200,$G50)&gt;0,
     COUNTIFS($AI$2:$AI$200,$G50)&gt;0,
     COUNTIFS($AJ$2:$AJ$200,$G50)&gt;0,
     COUNTIFS($AK$2:$AK$200,$G50)&gt;0,
     COUNTIFS($AL$2:$AL$200,$G50)&gt;0,
     COUNTIFS($AM$2:$AM$200,$G50)&gt;0,
     COUNTIFS($AN$2:$AN$200,$G50)&gt;0,
     COUNTIFS($AO$2:$AO$200,$G50)&gt;0,
     COUNTIFS($AP$2:$AP$200,$G50)&gt;0,
     COUNTIFS($AQ$2:$AQ$200,$G50)&gt;0,
     COUNTIFS($AR$2:$AR$200,$G50)&gt;0,
     COUNTIFS($AS$2:$AS$200,$G50)&gt;0,
     COUNTIFS($AT$2:$AT$200,$G50)&gt;0,
     COUNTIFS($AU$2:$AU$200,$G50)&gt;0,
     COUNTIFS($AV$2:$AV$200,$G50)&gt;0,
     COUNTIFS($AW$2:$AW$200,$G50)&gt;0,
     COUNTIFS($AX$2:$AX$200,$G50)&gt;0,
     COUNTIFS($AY$2:$AY$200,$G50)&gt;0
   )),
  ),
  4
 ),
"")</f>
        <v/>
      </c>
      <c r="G50" t="str">
        <f ca="1"/>
        <v>Bitterbloom Bearer</v>
      </c>
      <c r="AO50" t="str">
        <v>Overgrown Tomb</v>
      </c>
      <c r="BE50" t="str">
        <v>Island</v>
      </c>
      <c r="BI50" t="str">
        <v>Shelter</v>
      </c>
      <c r="BJ50" t="str">
        <v>Mountain</v>
      </c>
      <c r="BL50" t="str">
        <v>Island</v>
      </c>
      <c r="CR50" t="str">
        <f ca="1"/>
        <v>Overgrown Tomb</v>
      </c>
      <c r="DB50" t="str">
        <f ca="1"/>
        <v>Vedalken Orrery</v>
      </c>
      <c r="DC50" t="str">
        <f ca="1"/>
        <v>Rabble Rousing</v>
      </c>
      <c r="DD50" t="str">
        <f ca="1"/>
        <v>Planar Genesis</v>
      </c>
      <c r="DP50" t="str">
        <f ca="1"/>
        <v>Reyhan, Last of the Abzan</v>
      </c>
      <c r="DS50" t="str">
        <f ca="1"/>
        <v>Watery Grave</v>
      </c>
      <c r="DT50" t="str">
        <f ca="1"/>
        <v>Muscle Sliver</v>
      </c>
      <c r="DY50" t="str">
        <f ca="1"/>
        <v>Vedalken Orrery</v>
      </c>
      <c r="DZ50" t="str">
        <f ca="1"/>
        <v>Endurance</v>
      </c>
      <c r="EG50" t="str">
        <f ca="1"/>
        <v>Khorvath's Fury</v>
      </c>
      <c r="EH50" t="str">
        <f ca="1"/>
        <v>Reliquary Tower</v>
      </c>
      <c r="EI50" t="str">
        <f ca="1"/>
        <v>Homing Sliver</v>
      </c>
      <c r="EJ50" t="str">
        <f ca="1"/>
        <v>Sting-Slinger</v>
      </c>
      <c r="EK50" t="str">
        <f ca="1"/>
        <v>Prismatic Lens</v>
      </c>
      <c r="EL50" t="str">
        <f ca="1"/>
        <v>Endurance</v>
      </c>
      <c r="EP50" t="str">
        <f ca="1"/>
        <v>Enduring Innocence</v>
      </c>
      <c r="EQ50" t="str">
        <f ca="1"/>
        <v>Emrakul, the World Anew</v>
      </c>
      <c r="ER50" t="str">
        <f ca="1"/>
        <v>Culling Ritual</v>
      </c>
      <c r="EU50" t="str">
        <f ca="1"/>
        <v>Cauldron of Souls</v>
      </c>
      <c r="EV50" t="str">
        <f ca="1"/>
        <v>Culling Ritual</v>
      </c>
      <c r="EX50" t="str">
        <f ca="1"/>
        <v>Bitterbloom Bearer</v>
      </c>
    </row>
    <row r="51" spans="1:154" x14ac:dyDescent="0.25">
      <c r="A51" s="2" t="str">
        <f t="shared" ca="1" si="1"/>
        <v>2</v>
      </c>
      <c r="B51" s="2">
        <f t="shared" ca="1" si="2"/>
        <v>1</v>
      </c>
      <c r="C51" s="2" t="str">
        <f ca="1">IFERROR(
 INDEX($V$1:$BL$1,
  MATCH(TRUE,
   CHOOSE({1;2;3;4;5;6;7;8;9;10;11;12;13;14;15;16;17;18;19;20;21;22;23;24;25;26;27;28;29;30;31;32;33;34;35;36;37;38;39;40;41;42;43},
    COUNTIFS($V$2:$V$200,$G51)&gt;0,
    COUNTIFS($W$2:$W$200,$G51)&gt;0,
    COUNTIFS($X$2:$X$200,$G51)&gt;0,
    COUNTIFS($Y$2:$Y$200,$G51)&gt;0,
    COUNTIFS($Z$2:$Z$200,$G51)&gt;0,
    COUNTIFS($AA$2:$AA$200,$G51)&gt;0,
    COUNTIFS($AB$2:$AB$200,$G51)&gt;0,
    COUNTIFS($AC$2:$AC$200,$G51)&gt;0,
    COUNTIFS($AD$2:$AD$200,$G51)&gt;0,
    COUNTIFS($AE$2:$AE$200,$G51)&gt;0,
    COUNTIFS($AF$2:$AF$200,$G51)&gt;0,
    COUNTIFS($AG$2:$AG$200,$G51)&gt;0,
    COUNTIFS($AH$2:$AH$200,$G51)&gt;0,
    COUNTIFS($AI$2:$AI$200,$G51)&gt;0,
    COUNTIFS($AJ$2:$AJ$200,$G51)&gt;0,
    COUNTIFS($AK$2:$AK$200,$G51)&gt;0,
    COUNTIFS($AL$2:$AL$200,$G51)&gt;0,
    COUNTIFS($AM$2:$AM$200,$G51)&gt;0,
    COUNTIFS($AN$2:$AN$200,$G51)&gt;0,
    COUNTIFS($AO$2:$AO$200,$G51)&gt;0,
    COUNTIFS($AP$2:$AP$200,$G51)&gt;0,
    COUNTIFS($AQ$2:$AQ$200,$G51)&gt;0,
    COUNTIFS($AR$2:$AR$200,$G51)&gt;0,
    COUNTIFS($AS$2:$AS$200,$G51)&gt;0,
    COUNTIFS($AT$2:$AT$200,$G51)&gt;0,
    COUNTIFS($AU$2:$AU$200,$G51)&gt;0,
    COUNTIFS($AV$2:$AV$200,$G51)&gt;0,
    COUNTIFS($AW$2:$AW$200,$G51)&gt;0,
    COUNTIFS($AX$2:$AX$200,$G51)&gt;0,
    COUNTIFS($AY$2:$AY$200,$G51)&gt;0,
    COUNTIFS($AZ$2:$AZ$200,$G51)&gt;0,
    COUNTIFS($BA$2:$BA$200,$G51)&gt;0,
    COUNTIFS($BB$2:$BB$200,$G51)&gt;0,
    COUNTIFS($BC$2:$BC$200,$G51)&gt;0,
    COUNTIFS($BD$2:$BD$200,$G51)&gt;0,
    COUNTIFS($BE$2:$BE$200,$G51)&gt;0,
    COUNTIFS($BF$2:$BF$200,$G51)&gt;0,
    COUNTIFS($BG$2:$BG$200,$G51)&gt;0,
    COUNTIFS($BH$2:$BH$200,$G51)&gt;0,
    COUNTIFS($BI$2:$BI$200,$G51)&gt;0,
    COUNTIFS($BJ$2:$BJ$200,$G51)&gt;0,
    COUNTIFS($BK$2:$BK$200,$G51)&gt;0,
    COUNTIFS($BL$2:$BL$200,$G51)&gt;0,
    COUNTIFS($BM$2:$BM$200,$G51)&gt;0,
   ),
  0)
 ),
"")</f>
        <v>Alela</v>
      </c>
      <c r="D51" s="2" t="str" cm="1">
        <f t="array" aca="1" ref="D51" ca="1">IFERROR(
 INDEX(
  _xlfn._xlws.FILTER($V$1:$AY$1,
   TRANSPOSE(
    CHOOSE({1;2;3;4;5;6;7;8;9;10;11;12;13;14;15;16;17;18;19;20;21;22;23;24;25;26;27;28;29;30},
     COUNTIFS($V$2:$V$200,$G51)&gt;0,
     COUNTIFS($W$2:$W$200,$G51)&gt;0,
     COUNTIFS($X$2:$X$200,$G51)&gt;0,
     COUNTIFS($Y$2:$Y$200,$G51)&gt;0,
     COUNTIFS($Z$2:$Z$200,$G51)&gt;0,
     COUNTIFS($AA$2:$AA$200,$G51)&gt;0,
     COUNTIFS($AB$2:$AB$200,$G51)&gt;0,
     COUNTIFS($AC$2:$AC$200,$G51)&gt;0,
     COUNTIFS($AD$2:$AD$200,$G51)&gt;0,
     COUNTIFS($AE$2:$AE$200,$G51)&gt;0,
     COUNTIFS($AF$2:$AF$200,$G51)&gt;0,
     COUNTIFS($AG$2:$AG$200,$G51)&gt;0,
     COUNTIFS($AH$2:$AH$200,$G51)&gt;0,
     COUNTIFS($AI$2:$AI$200,$G51)&gt;0,
     COUNTIFS($AJ$2:$AJ$200,$G51)&gt;0,
     COUNTIFS($AK$2:$AK$200,$G51)&gt;0,
     COUNTIFS($AL$2:$AL$200,$G51)&gt;0,
     COUNTIFS($AM$2:$AM$200,$G51)&gt;0,
     COUNTIFS($AN$2:$AN$200,$G51)&gt;0,
     COUNTIFS($AO$2:$AO$200,$G51)&gt;0,
     COUNTIFS($AP$2:$AP$200,$G51)&gt;0,
     COUNTIFS($AQ$2:$AQ$200,$G51)&gt;0,
     COUNTIFS($AR$2:$AR$200,$G51)&gt;0,
     COUNTIFS($AS$2:$AS$200,$G51)&gt;0,
     COUNTIFS($AT$2:$AT$200,$G51)&gt;0,
     COUNTIFS($AU$2:$AU$200,$G51)&gt;0,
     COUNTIFS($AV$2:$AV$200,$G51)&gt;0,
     COUNTIFS($AW$2:$AW$200,$G51)&gt;0,
     COUNTIFS($AX$2:$AX$200,$G51)&gt;0,
     COUNTIFS($AY$2:$AY$200,$G51)&gt;0
   )),
  ),
  2
 ),
"")</f>
        <v/>
      </c>
      <c r="E51" s="2" t="str" cm="1">
        <f t="array" aca="1" ref="E51" ca="1">IFERROR(
 INDEX(
  _xlfn._xlws.FILTER($V$1:$AY$1,
   TRANSPOSE(
    CHOOSE({1;2;3;4;5;6;7;8;9;10;11;12;13;14;15;16;17;18;19;20;21;22;23;24;25;26;27;28;29;30},
     COUNTIFS($V$2:$V$200,$G51)&gt;0,
     COUNTIFS($W$2:$W$200,$G51)&gt;0,
     COUNTIFS($X$2:$X$200,$G51)&gt;0,
     COUNTIFS($Y$2:$Y$200,$G51)&gt;0,
     COUNTIFS($Z$2:$Z$200,$G51)&gt;0,
     COUNTIFS($AA$2:$AA$200,$G51)&gt;0,
     COUNTIFS($AB$2:$AB$200,$G51)&gt;0,
     COUNTIFS($AC$2:$AC$200,$G51)&gt;0,
     COUNTIFS($AD$2:$AD$200,$G51)&gt;0,
     COUNTIFS($AE$2:$AE$200,$G51)&gt;0,
     COUNTIFS($AF$2:$AF$200,$G51)&gt;0,
     COUNTIFS($AG$2:$AG$200,$G51)&gt;0,
     COUNTIFS($AH$2:$AH$200,$G51)&gt;0,
     COUNTIFS($AI$2:$AI$200,$G51)&gt;0,
     COUNTIFS($AJ$2:$AJ$200,$G51)&gt;0,
     COUNTIFS($AK$2:$AK$200,$G51)&gt;0,
     COUNTIFS($AL$2:$AL$200,$G51)&gt;0,
     COUNTIFS($AM$2:$AM$200,$G51)&gt;0,
     COUNTIFS($AN$2:$AN$200,$G51)&gt;0,
     COUNTIFS($AO$2:$AO$200,$G51)&gt;0,
     COUNTIFS($AP$2:$AP$200,$G51)&gt;0,
     COUNTIFS($AQ$2:$AQ$200,$G51)&gt;0,
     COUNTIFS($AR$2:$AR$200,$G51)&gt;0,
     COUNTIFS($AS$2:$AS$200,$G51)&gt;0,
     COUNTIFS($AT$2:$AT$200,$G51)&gt;0,
     COUNTIFS($AU$2:$AU$200,$G51)&gt;0,
     COUNTIFS($AV$2:$AV$200,$G51)&gt;0,
     COUNTIFS($AW$2:$AW$200,$G51)&gt;0,
     COUNTIFS($AX$2:$AX$200,$G51)&gt;0,
     COUNTIFS($AY$2:$AY$200,$G51)&gt;0
   )),
  ),
  3
 ),
"")</f>
        <v/>
      </c>
      <c r="F51" s="2" t="str" cm="1">
        <f t="array" aca="1" ref="F51" ca="1">IFERROR(
 INDEX(
  _xlfn._xlws.FILTER($V$1:$AY$1,
   TRANSPOSE(
    CHOOSE({1;2;3;4;5;6;7;8;9;10;11;12;13;14;15;16;17;18;19;20;21;22;23;24;25;26;27;28;29;30},
     COUNTIFS($V$2:$V$200,$G51)&gt;0,
     COUNTIFS($W$2:$W$200,$G51)&gt;0,
     COUNTIFS($X$2:$X$200,$G51)&gt;0,
     COUNTIFS($Y$2:$Y$200,$G51)&gt;0,
     COUNTIFS($Z$2:$Z$200,$G51)&gt;0,
     COUNTIFS($AA$2:$AA$200,$G51)&gt;0,
     COUNTIFS($AB$2:$AB$200,$G51)&gt;0,
     COUNTIFS($AC$2:$AC$200,$G51)&gt;0,
     COUNTIFS($AD$2:$AD$200,$G51)&gt;0,
     COUNTIFS($AE$2:$AE$200,$G51)&gt;0,
     COUNTIFS($AF$2:$AF$200,$G51)&gt;0,
     COUNTIFS($AG$2:$AG$200,$G51)&gt;0,
     COUNTIFS($AH$2:$AH$200,$G51)&gt;0,
     COUNTIFS($AI$2:$AI$200,$G51)&gt;0,
     COUNTIFS($AJ$2:$AJ$200,$G51)&gt;0,
     COUNTIFS($AK$2:$AK$200,$G51)&gt;0,
     COUNTIFS($AL$2:$AL$200,$G51)&gt;0,
     COUNTIFS($AM$2:$AM$200,$G51)&gt;0,
     COUNTIFS($AN$2:$AN$200,$G51)&gt;0,
     COUNTIFS($AO$2:$AO$200,$G51)&gt;0,
     COUNTIFS($AP$2:$AP$200,$G51)&gt;0,
     COUNTIFS($AQ$2:$AQ$200,$G51)&gt;0,
     COUNTIFS($AR$2:$AR$200,$G51)&gt;0,
     COUNTIFS($AS$2:$AS$200,$G51)&gt;0,
     COUNTIFS($AT$2:$AT$200,$G51)&gt;0,
     COUNTIFS($AU$2:$AU$200,$G51)&gt;0,
     COUNTIFS($AV$2:$AV$200,$G51)&gt;0,
     COUNTIFS($AW$2:$AW$200,$G51)&gt;0,
     COUNTIFS($AX$2:$AX$200,$G51)&gt;0,
     COUNTIFS($AY$2:$AY$200,$G51)&gt;0
   )),
  ),
  4
 ),
"")</f>
        <v/>
      </c>
      <c r="G51" t="str">
        <f ca="1"/>
        <v>Bitterblossom</v>
      </c>
      <c r="AO51" t="str">
        <v>Plains</v>
      </c>
      <c r="BE51" t="str">
        <v>Mind Stone</v>
      </c>
      <c r="BI51" t="str">
        <v>Smoldering Marsh</v>
      </c>
      <c r="BJ51" t="str">
        <v>Myrel, Shield of Argive</v>
      </c>
      <c r="BL51" t="str">
        <v>Island</v>
      </c>
      <c r="CR51" t="str">
        <f ca="1"/>
        <v>Plains</v>
      </c>
      <c r="DB51" t="str">
        <f ca="1"/>
        <v>Windbrisk Heights</v>
      </c>
      <c r="DC51" t="str">
        <f ca="1"/>
        <v>Radiant Summit</v>
      </c>
      <c r="DD51" t="str">
        <f ca="1"/>
        <v>Pongify</v>
      </c>
      <c r="DP51" t="str">
        <f ca="1"/>
        <v>Secret Tunnel</v>
      </c>
      <c r="DT51" t="str">
        <f ca="1"/>
        <v>Necrotic Sliver</v>
      </c>
      <c r="DY51" t="str">
        <f ca="1"/>
        <v>Windbrisk Heights</v>
      </c>
      <c r="DZ51" t="str">
        <f ca="1"/>
        <v>Entish Restoration</v>
      </c>
      <c r="EG51" t="str">
        <f ca="1"/>
        <v>Kutzil, Malamet Exemplar</v>
      </c>
      <c r="EH51" t="str">
        <f ca="1"/>
        <v>Rimekin Recluse</v>
      </c>
      <c r="EI51" t="str">
        <f ca="1"/>
        <v>Hunter Sliver</v>
      </c>
      <c r="EJ51" t="str">
        <f ca="1"/>
        <v>Susur Secundi, Void Altar</v>
      </c>
      <c r="EK51" t="str">
        <f ca="1"/>
        <v>Prosper, Tome-Bound</v>
      </c>
      <c r="EL51" t="str">
        <f ca="1"/>
        <v>Entish Restoration</v>
      </c>
      <c r="EP51" t="str">
        <f ca="1"/>
        <v>Enterprising Scallywag</v>
      </c>
      <c r="EQ51" t="str">
        <f ca="1"/>
        <v>Essence Sliver</v>
      </c>
      <c r="ER51" t="str">
        <f ca="1"/>
        <v>Cunning Rhetoric</v>
      </c>
      <c r="EU51" t="str">
        <f ca="1"/>
        <v>Cavern of Souls</v>
      </c>
      <c r="EV51" t="str">
        <f ca="1"/>
        <v>Cunning Rhetoric</v>
      </c>
      <c r="EX51" t="str">
        <f ca="1"/>
        <v>Bitterblossom</v>
      </c>
    </row>
    <row r="52" spans="1:154" x14ac:dyDescent="0.25">
      <c r="A52" s="2" t="str">
        <f t="shared" ca="1" si="1"/>
        <v>5</v>
      </c>
      <c r="B52" s="2">
        <f t="shared" ca="1" si="2"/>
        <v>1</v>
      </c>
      <c r="C52" s="2" t="str">
        <f ca="1">IFERROR(
 INDEX($V$1:$BL$1,
  MATCH(TRUE,
   CHOOSE({1;2;3;4;5;6;7;8;9;10;11;12;13;14;15;16;17;18;19;20;21;22;23;24;25;26;27;28;29;30;31;32;33;34;35;36;37;38;39;40;41;42;43},
    COUNTIFS($V$2:$V$200,$G52)&gt;0,
    COUNTIFS($W$2:$W$200,$G52)&gt;0,
    COUNTIFS($X$2:$X$200,$G52)&gt;0,
    COUNTIFS($Y$2:$Y$200,$G52)&gt;0,
    COUNTIFS($Z$2:$Z$200,$G52)&gt;0,
    COUNTIFS($AA$2:$AA$200,$G52)&gt;0,
    COUNTIFS($AB$2:$AB$200,$G52)&gt;0,
    COUNTIFS($AC$2:$AC$200,$G52)&gt;0,
    COUNTIFS($AD$2:$AD$200,$G52)&gt;0,
    COUNTIFS($AE$2:$AE$200,$G52)&gt;0,
    COUNTIFS($AF$2:$AF$200,$G52)&gt;0,
    COUNTIFS($AG$2:$AG$200,$G52)&gt;0,
    COUNTIFS($AH$2:$AH$200,$G52)&gt;0,
    COUNTIFS($AI$2:$AI$200,$G52)&gt;0,
    COUNTIFS($AJ$2:$AJ$200,$G52)&gt;0,
    COUNTIFS($AK$2:$AK$200,$G52)&gt;0,
    COUNTIFS($AL$2:$AL$200,$G52)&gt;0,
    COUNTIFS($AM$2:$AM$200,$G52)&gt;0,
    COUNTIFS($AN$2:$AN$200,$G52)&gt;0,
    COUNTIFS($AO$2:$AO$200,$G52)&gt;0,
    COUNTIFS($AP$2:$AP$200,$G52)&gt;0,
    COUNTIFS($AQ$2:$AQ$200,$G52)&gt;0,
    COUNTIFS($AR$2:$AR$200,$G52)&gt;0,
    COUNTIFS($AS$2:$AS$200,$G52)&gt;0,
    COUNTIFS($AT$2:$AT$200,$G52)&gt;0,
    COUNTIFS($AU$2:$AU$200,$G52)&gt;0,
    COUNTIFS($AV$2:$AV$200,$G52)&gt;0,
    COUNTIFS($AW$2:$AW$200,$G52)&gt;0,
    COUNTIFS($AX$2:$AX$200,$G52)&gt;0,
    COUNTIFS($AY$2:$AY$200,$G52)&gt;0,
    COUNTIFS($AZ$2:$AZ$200,$G52)&gt;0,
    COUNTIFS($BA$2:$BA$200,$G52)&gt;0,
    COUNTIFS($BB$2:$BB$200,$G52)&gt;0,
    COUNTIFS($BC$2:$BC$200,$G52)&gt;0,
    COUNTIFS($BD$2:$BD$200,$G52)&gt;0,
    COUNTIFS($BE$2:$BE$200,$G52)&gt;0,
    COUNTIFS($BF$2:$BF$200,$G52)&gt;0,
    COUNTIFS($BG$2:$BG$200,$G52)&gt;0,
    COUNTIFS($BH$2:$BH$200,$G52)&gt;0,
    COUNTIFS($BI$2:$BI$200,$G52)&gt;0,
    COUNTIFS($BJ$2:$BJ$200,$G52)&gt;0,
    COUNTIFS($BK$2:$BK$200,$G52)&gt;0,
    COUNTIFS($BL$2:$BL$200,$G52)&gt;0,
    COUNTIFS($BM$2:$BM$200,$G52)&gt;0,
   ),
  0)
 ),
"")</f>
        <v>4cRash</v>
      </c>
      <c r="D52" s="2" t="str" cm="1">
        <f t="array" aca="1" ref="D52" ca="1">IFERROR(
 INDEX(
  _xlfn._xlws.FILTER($V$1:$AY$1,
   TRANSPOSE(
    CHOOSE({1;2;3;4;5;6;7;8;9;10;11;12;13;14;15;16;17;18;19;20;21;22;23;24;25;26;27;28;29;30},
     COUNTIFS($V$2:$V$200,$G52)&gt;0,
     COUNTIFS($W$2:$W$200,$G52)&gt;0,
     COUNTIFS($X$2:$X$200,$G52)&gt;0,
     COUNTIFS($Y$2:$Y$200,$G52)&gt;0,
     COUNTIFS($Z$2:$Z$200,$G52)&gt;0,
     COUNTIFS($AA$2:$AA$200,$G52)&gt;0,
     COUNTIFS($AB$2:$AB$200,$G52)&gt;0,
     COUNTIFS($AC$2:$AC$200,$G52)&gt;0,
     COUNTIFS($AD$2:$AD$200,$G52)&gt;0,
     COUNTIFS($AE$2:$AE$200,$G52)&gt;0,
     COUNTIFS($AF$2:$AF$200,$G52)&gt;0,
     COUNTIFS($AG$2:$AG$200,$G52)&gt;0,
     COUNTIFS($AH$2:$AH$200,$G52)&gt;0,
     COUNTIFS($AI$2:$AI$200,$G52)&gt;0,
     COUNTIFS($AJ$2:$AJ$200,$G52)&gt;0,
     COUNTIFS($AK$2:$AK$200,$G52)&gt;0,
     COUNTIFS($AL$2:$AL$200,$G52)&gt;0,
     COUNTIFS($AM$2:$AM$200,$G52)&gt;0,
     COUNTIFS($AN$2:$AN$200,$G52)&gt;0,
     COUNTIFS($AO$2:$AO$200,$G52)&gt;0,
     COUNTIFS($AP$2:$AP$200,$G52)&gt;0,
     COUNTIFS($AQ$2:$AQ$200,$G52)&gt;0,
     COUNTIFS($AR$2:$AR$200,$G52)&gt;0,
     COUNTIFS($AS$2:$AS$200,$G52)&gt;0,
     COUNTIFS($AT$2:$AT$200,$G52)&gt;0,
     COUNTIFS($AU$2:$AU$200,$G52)&gt;0,
     COUNTIFS($AV$2:$AV$200,$G52)&gt;0,
     COUNTIFS($AW$2:$AW$200,$G52)&gt;0,
     COUNTIFS($AX$2:$AX$200,$G52)&gt;0,
     COUNTIFS($AY$2:$AY$200,$G52)&gt;0
   )),
  ),
  2
 ),
"")</f>
        <v/>
      </c>
      <c r="E52" s="2" t="str" cm="1">
        <f t="array" aca="1" ref="E52" ca="1">IFERROR(
 INDEX(
  _xlfn._xlws.FILTER($V$1:$AY$1,
   TRANSPOSE(
    CHOOSE({1;2;3;4;5;6;7;8;9;10;11;12;13;14;15;16;17;18;19;20;21;22;23;24;25;26;27;28;29;30},
     COUNTIFS($V$2:$V$200,$G52)&gt;0,
     COUNTIFS($W$2:$W$200,$G52)&gt;0,
     COUNTIFS($X$2:$X$200,$G52)&gt;0,
     COUNTIFS($Y$2:$Y$200,$G52)&gt;0,
     COUNTIFS($Z$2:$Z$200,$G52)&gt;0,
     COUNTIFS($AA$2:$AA$200,$G52)&gt;0,
     COUNTIFS($AB$2:$AB$200,$G52)&gt;0,
     COUNTIFS($AC$2:$AC$200,$G52)&gt;0,
     COUNTIFS($AD$2:$AD$200,$G52)&gt;0,
     COUNTIFS($AE$2:$AE$200,$G52)&gt;0,
     COUNTIFS($AF$2:$AF$200,$G52)&gt;0,
     COUNTIFS($AG$2:$AG$200,$G52)&gt;0,
     COUNTIFS($AH$2:$AH$200,$G52)&gt;0,
     COUNTIFS($AI$2:$AI$200,$G52)&gt;0,
     COUNTIFS($AJ$2:$AJ$200,$G52)&gt;0,
     COUNTIFS($AK$2:$AK$200,$G52)&gt;0,
     COUNTIFS($AL$2:$AL$200,$G52)&gt;0,
     COUNTIFS($AM$2:$AM$200,$G52)&gt;0,
     COUNTIFS($AN$2:$AN$200,$G52)&gt;0,
     COUNTIFS($AO$2:$AO$200,$G52)&gt;0,
     COUNTIFS($AP$2:$AP$200,$G52)&gt;0,
     COUNTIFS($AQ$2:$AQ$200,$G52)&gt;0,
     COUNTIFS($AR$2:$AR$200,$G52)&gt;0,
     COUNTIFS($AS$2:$AS$200,$G52)&gt;0,
     COUNTIFS($AT$2:$AT$200,$G52)&gt;0,
     COUNTIFS($AU$2:$AU$200,$G52)&gt;0,
     COUNTIFS($AV$2:$AV$200,$G52)&gt;0,
     COUNTIFS($AW$2:$AW$200,$G52)&gt;0,
     COUNTIFS($AX$2:$AX$200,$G52)&gt;0,
     COUNTIFS($AY$2:$AY$200,$G52)&gt;0
   )),
  ),
  3
 ),
"")</f>
        <v/>
      </c>
      <c r="F52" s="2" t="str" cm="1">
        <f t="array" aca="1" ref="F52" ca="1">IFERROR(
 INDEX(
  _xlfn._xlws.FILTER($V$1:$AY$1,
   TRANSPOSE(
    CHOOSE({1;2;3;4;5;6;7;8;9;10;11;12;13;14;15;16;17;18;19;20;21;22;23;24;25;26;27;28;29;30},
     COUNTIFS($V$2:$V$200,$G52)&gt;0,
     COUNTIFS($W$2:$W$200,$G52)&gt;0,
     COUNTIFS($X$2:$X$200,$G52)&gt;0,
     COUNTIFS($Y$2:$Y$200,$G52)&gt;0,
     COUNTIFS($Z$2:$Z$200,$G52)&gt;0,
     COUNTIFS($AA$2:$AA$200,$G52)&gt;0,
     COUNTIFS($AB$2:$AB$200,$G52)&gt;0,
     COUNTIFS($AC$2:$AC$200,$G52)&gt;0,
     COUNTIFS($AD$2:$AD$200,$G52)&gt;0,
     COUNTIFS($AE$2:$AE$200,$G52)&gt;0,
     COUNTIFS($AF$2:$AF$200,$G52)&gt;0,
     COUNTIFS($AG$2:$AG$200,$G52)&gt;0,
     COUNTIFS($AH$2:$AH$200,$G52)&gt;0,
     COUNTIFS($AI$2:$AI$200,$G52)&gt;0,
     COUNTIFS($AJ$2:$AJ$200,$G52)&gt;0,
     COUNTIFS($AK$2:$AK$200,$G52)&gt;0,
     COUNTIFS($AL$2:$AL$200,$G52)&gt;0,
     COUNTIFS($AM$2:$AM$200,$G52)&gt;0,
     COUNTIFS($AN$2:$AN$200,$G52)&gt;0,
     COUNTIFS($AO$2:$AO$200,$G52)&gt;0,
     COUNTIFS($AP$2:$AP$200,$G52)&gt;0,
     COUNTIFS($AQ$2:$AQ$200,$G52)&gt;0,
     COUNTIFS($AR$2:$AR$200,$G52)&gt;0,
     COUNTIFS($AS$2:$AS$200,$G52)&gt;0,
     COUNTIFS($AT$2:$AT$200,$G52)&gt;0,
     COUNTIFS($AU$2:$AU$200,$G52)&gt;0,
     COUNTIFS($AV$2:$AV$200,$G52)&gt;0,
     COUNTIFS($AW$2:$AW$200,$G52)&gt;0,
     COUNTIFS($AX$2:$AX$200,$G52)&gt;0,
     COUNTIFS($AY$2:$AY$200,$G52)&gt;0
   )),
  ),
  4
 ),
"")</f>
        <v/>
      </c>
      <c r="G52" t="str">
        <f ca="1"/>
        <v>Black Waltz No. 3</v>
      </c>
      <c r="AO52" t="str">
        <v>Plains</v>
      </c>
      <c r="BE52" t="str">
        <v>Monk Gyatso</v>
      </c>
      <c r="BI52" t="str">
        <v>Sophina, Spearsage Deserter</v>
      </c>
      <c r="BJ52" t="str">
        <v>Ohran Frostfang</v>
      </c>
      <c r="BL52" t="str">
        <v>Island</v>
      </c>
      <c r="CR52" t="str">
        <f ca="1"/>
        <v>Predatory Sliver</v>
      </c>
      <c r="DB52" t="str">
        <f ca="1"/>
        <v>Windcrag Siege</v>
      </c>
      <c r="DC52" t="str">
        <f ca="1"/>
        <v>Raven Eagle</v>
      </c>
      <c r="DD52" t="str">
        <f ca="1"/>
        <v>Prishe's Wanderings</v>
      </c>
      <c r="DP52" t="str">
        <f ca="1"/>
        <v>Seedborn Muse</v>
      </c>
      <c r="DT52" t="str">
        <f ca="1"/>
        <v>Nissa, Resurgent Animist</v>
      </c>
      <c r="DY52" t="str">
        <f ca="1"/>
        <v>Windcrag Siege</v>
      </c>
      <c r="DZ52" t="str">
        <f ca="1"/>
        <v>Eureka Moment</v>
      </c>
      <c r="EG52" t="str">
        <f ca="1"/>
        <v>Lae'zel, Vlaakith's Champion</v>
      </c>
      <c r="EH52" t="str">
        <f ca="1"/>
        <v>Rings of Brighthearth</v>
      </c>
      <c r="EI52" t="str">
        <f ca="1"/>
        <v>Illustrious Wanderglyph</v>
      </c>
      <c r="EJ52" t="str">
        <f ca="1"/>
        <v>Terra Eternal</v>
      </c>
      <c r="EK52" t="str">
        <f ca="1"/>
        <v>Pyrohemia</v>
      </c>
      <c r="EL52" t="str">
        <f ca="1"/>
        <v>Eureka Moment</v>
      </c>
      <c r="EP52" t="str">
        <f ca="1"/>
        <v>Entomb</v>
      </c>
      <c r="EQ52" t="str">
        <f ca="1"/>
        <v>Exotic Orchard</v>
      </c>
      <c r="ER52" t="str">
        <f ca="1"/>
        <v>Curious Farm Animals</v>
      </c>
      <c r="EU52" t="str">
        <f ca="1"/>
        <v>Caves of Koilos</v>
      </c>
      <c r="EV52" t="str">
        <f ca="1"/>
        <v>Curious Farm Animals</v>
      </c>
      <c r="EX52" t="str">
        <f ca="1"/>
        <v>Black Waltz No. 3</v>
      </c>
    </row>
    <row r="53" spans="1:154" x14ac:dyDescent="0.25">
      <c r="A53" s="2" t="str">
        <f t="shared" ca="1" si="1"/>
        <v>4</v>
      </c>
      <c r="B53" s="2">
        <f t="shared" ca="1" si="2"/>
        <v>3</v>
      </c>
      <c r="C53" s="2" t="str">
        <f ca="1">IFERROR(
 INDEX($V$1:$BL$1,
  MATCH(TRUE,
   CHOOSE({1;2;3;4;5;6;7;8;9;10;11;12;13;14;15;16;17;18;19;20;21;22;23;24;25;26;27;28;29;30;31;32;33;34;35;36;37;38;39;40;41;42;43},
    COUNTIFS($V$2:$V$200,$G53)&gt;0,
    COUNTIFS($W$2:$W$200,$G53)&gt;0,
    COUNTIFS($X$2:$X$200,$G53)&gt;0,
    COUNTIFS($Y$2:$Y$200,$G53)&gt;0,
    COUNTIFS($Z$2:$Z$200,$G53)&gt;0,
    COUNTIFS($AA$2:$AA$200,$G53)&gt;0,
    COUNTIFS($AB$2:$AB$200,$G53)&gt;0,
    COUNTIFS($AC$2:$AC$200,$G53)&gt;0,
    COUNTIFS($AD$2:$AD$200,$G53)&gt;0,
    COUNTIFS($AE$2:$AE$200,$G53)&gt;0,
    COUNTIFS($AF$2:$AF$200,$G53)&gt;0,
    COUNTIFS($AG$2:$AG$200,$G53)&gt;0,
    COUNTIFS($AH$2:$AH$200,$G53)&gt;0,
    COUNTIFS($AI$2:$AI$200,$G53)&gt;0,
    COUNTIFS($AJ$2:$AJ$200,$G53)&gt;0,
    COUNTIFS($AK$2:$AK$200,$G53)&gt;0,
    COUNTIFS($AL$2:$AL$200,$G53)&gt;0,
    COUNTIFS($AM$2:$AM$200,$G53)&gt;0,
    COUNTIFS($AN$2:$AN$200,$G53)&gt;0,
    COUNTIFS($AO$2:$AO$200,$G53)&gt;0,
    COUNTIFS($AP$2:$AP$200,$G53)&gt;0,
    COUNTIFS($AQ$2:$AQ$200,$G53)&gt;0,
    COUNTIFS($AR$2:$AR$200,$G53)&gt;0,
    COUNTIFS($AS$2:$AS$200,$G53)&gt;0,
    COUNTIFS($AT$2:$AT$200,$G53)&gt;0,
    COUNTIFS($AU$2:$AU$200,$G53)&gt;0,
    COUNTIFS($AV$2:$AV$200,$G53)&gt;0,
    COUNTIFS($AW$2:$AW$200,$G53)&gt;0,
    COUNTIFS($AX$2:$AX$200,$G53)&gt;0,
    COUNTIFS($AY$2:$AY$200,$G53)&gt;0,
    COUNTIFS($AZ$2:$AZ$200,$G53)&gt;0,
    COUNTIFS($BA$2:$BA$200,$G53)&gt;0,
    COUNTIFS($BB$2:$BB$200,$G53)&gt;0,
    COUNTIFS($BC$2:$BC$200,$G53)&gt;0,
    COUNTIFS($BD$2:$BD$200,$G53)&gt;0,
    COUNTIFS($BE$2:$BE$200,$G53)&gt;0,
    COUNTIFS($BF$2:$BF$200,$G53)&gt;0,
    COUNTIFS($BG$2:$BG$200,$G53)&gt;0,
    COUNTIFS($BH$2:$BH$200,$G53)&gt;0,
    COUNTIFS($BI$2:$BI$200,$G53)&gt;0,
    COUNTIFS($BJ$2:$BJ$200,$G53)&gt;0,
    COUNTIFS($BK$2:$BK$200,$G53)&gt;0,
    COUNTIFS($BL$2:$BL$200,$G53)&gt;0,
    COUNTIFS($BM$2:$BM$200,$G53)&gt;0,
   ),
  0)
 ),
"")</f>
        <v>Kresh</v>
      </c>
      <c r="D53" s="2" t="str" cm="1">
        <f t="array" aca="1" ref="D53" ca="1">IFERROR(
 INDEX(
  _xlfn._xlws.FILTER($V$1:$AY$1,
   TRANSPOSE(
    CHOOSE({1;2;3;4;5;6;7;8;9;10;11;12;13;14;15;16;17;18;19;20;21;22;23;24;25;26;27;28;29;30},
     COUNTIFS($V$2:$V$200,$G53)&gt;0,
     COUNTIFS($W$2:$W$200,$G53)&gt;0,
     COUNTIFS($X$2:$X$200,$G53)&gt;0,
     COUNTIFS($Y$2:$Y$200,$G53)&gt;0,
     COUNTIFS($Z$2:$Z$200,$G53)&gt;0,
     COUNTIFS($AA$2:$AA$200,$G53)&gt;0,
     COUNTIFS($AB$2:$AB$200,$G53)&gt;0,
     COUNTIFS($AC$2:$AC$200,$G53)&gt;0,
     COUNTIFS($AD$2:$AD$200,$G53)&gt;0,
     COUNTIFS($AE$2:$AE$200,$G53)&gt;0,
     COUNTIFS($AF$2:$AF$200,$G53)&gt;0,
     COUNTIFS($AG$2:$AG$200,$G53)&gt;0,
     COUNTIFS($AH$2:$AH$200,$G53)&gt;0,
     COUNTIFS($AI$2:$AI$200,$G53)&gt;0,
     COUNTIFS($AJ$2:$AJ$200,$G53)&gt;0,
     COUNTIFS($AK$2:$AK$200,$G53)&gt;0,
     COUNTIFS($AL$2:$AL$200,$G53)&gt;0,
     COUNTIFS($AM$2:$AM$200,$G53)&gt;0,
     COUNTIFS($AN$2:$AN$200,$G53)&gt;0,
     COUNTIFS($AO$2:$AO$200,$G53)&gt;0,
     COUNTIFS($AP$2:$AP$200,$G53)&gt;0,
     COUNTIFS($AQ$2:$AQ$200,$G53)&gt;0,
     COUNTIFS($AR$2:$AR$200,$G53)&gt;0,
     COUNTIFS($AS$2:$AS$200,$G53)&gt;0,
     COUNTIFS($AT$2:$AT$200,$G53)&gt;0,
     COUNTIFS($AU$2:$AU$200,$G53)&gt;0,
     COUNTIFS($AV$2:$AV$200,$G53)&gt;0,
     COUNTIFS($AW$2:$AW$200,$G53)&gt;0,
     COUNTIFS($AX$2:$AX$200,$G53)&gt;0,
     COUNTIFS($AY$2:$AY$200,$G53)&gt;0
   )),
  ),
  2
 ),
"")</f>
        <v/>
      </c>
      <c r="E53" s="2" t="str" cm="1">
        <f t="array" aca="1" ref="E53" ca="1">IFERROR(
 INDEX(
  _xlfn._xlws.FILTER($V$1:$AY$1,
   TRANSPOSE(
    CHOOSE({1;2;3;4;5;6;7;8;9;10;11;12;13;14;15;16;17;18;19;20;21;22;23;24;25;26;27;28;29;30},
     COUNTIFS($V$2:$V$200,$G53)&gt;0,
     COUNTIFS($W$2:$W$200,$G53)&gt;0,
     COUNTIFS($X$2:$X$200,$G53)&gt;0,
     COUNTIFS($Y$2:$Y$200,$G53)&gt;0,
     COUNTIFS($Z$2:$Z$200,$G53)&gt;0,
     COUNTIFS($AA$2:$AA$200,$G53)&gt;0,
     COUNTIFS($AB$2:$AB$200,$G53)&gt;0,
     COUNTIFS($AC$2:$AC$200,$G53)&gt;0,
     COUNTIFS($AD$2:$AD$200,$G53)&gt;0,
     COUNTIFS($AE$2:$AE$200,$G53)&gt;0,
     COUNTIFS($AF$2:$AF$200,$G53)&gt;0,
     COUNTIFS($AG$2:$AG$200,$G53)&gt;0,
     COUNTIFS($AH$2:$AH$200,$G53)&gt;0,
     COUNTIFS($AI$2:$AI$200,$G53)&gt;0,
     COUNTIFS($AJ$2:$AJ$200,$G53)&gt;0,
     COUNTIFS($AK$2:$AK$200,$G53)&gt;0,
     COUNTIFS($AL$2:$AL$200,$G53)&gt;0,
     COUNTIFS($AM$2:$AM$200,$G53)&gt;0,
     COUNTIFS($AN$2:$AN$200,$G53)&gt;0,
     COUNTIFS($AO$2:$AO$200,$G53)&gt;0,
     COUNTIFS($AP$2:$AP$200,$G53)&gt;0,
     COUNTIFS($AQ$2:$AQ$200,$G53)&gt;0,
     COUNTIFS($AR$2:$AR$200,$G53)&gt;0,
     COUNTIFS($AS$2:$AS$200,$G53)&gt;0,
     COUNTIFS($AT$2:$AT$200,$G53)&gt;0,
     COUNTIFS($AU$2:$AU$200,$G53)&gt;0,
     COUNTIFS($AV$2:$AV$200,$G53)&gt;0,
     COUNTIFS($AW$2:$AW$200,$G53)&gt;0,
     COUNTIFS($AX$2:$AX$200,$G53)&gt;0,
     COUNTIFS($AY$2:$AY$200,$G53)&gt;0
   )),
  ),
  3
 ),
"")</f>
        <v/>
      </c>
      <c r="F53" s="2" t="str" cm="1">
        <f t="array" aca="1" ref="F53" ca="1">IFERROR(
 INDEX(
  _xlfn._xlws.FILTER($V$1:$AY$1,
   TRANSPOSE(
    CHOOSE({1;2;3;4;5;6;7;8;9;10;11;12;13;14;15;16;17;18;19;20;21;22;23;24;25;26;27;28;29;30},
     COUNTIFS($V$2:$V$200,$G53)&gt;0,
     COUNTIFS($W$2:$W$200,$G53)&gt;0,
     COUNTIFS($X$2:$X$200,$G53)&gt;0,
     COUNTIFS($Y$2:$Y$200,$G53)&gt;0,
     COUNTIFS($Z$2:$Z$200,$G53)&gt;0,
     COUNTIFS($AA$2:$AA$200,$G53)&gt;0,
     COUNTIFS($AB$2:$AB$200,$G53)&gt;0,
     COUNTIFS($AC$2:$AC$200,$G53)&gt;0,
     COUNTIFS($AD$2:$AD$200,$G53)&gt;0,
     COUNTIFS($AE$2:$AE$200,$G53)&gt;0,
     COUNTIFS($AF$2:$AF$200,$G53)&gt;0,
     COUNTIFS($AG$2:$AG$200,$G53)&gt;0,
     COUNTIFS($AH$2:$AH$200,$G53)&gt;0,
     COUNTIFS($AI$2:$AI$200,$G53)&gt;0,
     COUNTIFS($AJ$2:$AJ$200,$G53)&gt;0,
     COUNTIFS($AK$2:$AK$200,$G53)&gt;0,
     COUNTIFS($AL$2:$AL$200,$G53)&gt;0,
     COUNTIFS($AM$2:$AM$200,$G53)&gt;0,
     COUNTIFS($AN$2:$AN$200,$G53)&gt;0,
     COUNTIFS($AO$2:$AO$200,$G53)&gt;0,
     COUNTIFS($AP$2:$AP$200,$G53)&gt;0,
     COUNTIFS($AQ$2:$AQ$200,$G53)&gt;0,
     COUNTIFS($AR$2:$AR$200,$G53)&gt;0,
     COUNTIFS($AS$2:$AS$200,$G53)&gt;0,
     COUNTIFS($AT$2:$AT$200,$G53)&gt;0,
     COUNTIFS($AU$2:$AU$200,$G53)&gt;0,
     COUNTIFS($AV$2:$AV$200,$G53)&gt;0,
     COUNTIFS($AW$2:$AW$200,$G53)&gt;0,
     COUNTIFS($AX$2:$AX$200,$G53)&gt;0,
     COUNTIFS($AY$2:$AY$200,$G53)&gt;0
   )),
  ),
  4
 ),
"")</f>
        <v/>
      </c>
      <c r="G53" t="str">
        <f ca="1"/>
        <v>Blasphemous Act</v>
      </c>
      <c r="AO53" t="str">
        <v>Predatory Sliver</v>
      </c>
      <c r="BE53" t="str">
        <v>Mystic Sanctuary</v>
      </c>
      <c r="BI53" t="str">
        <v>Spinerock Knoll</v>
      </c>
      <c r="BJ53" t="str">
        <v>Oketra's Monument</v>
      </c>
      <c r="BL53" t="str">
        <v>Island</v>
      </c>
      <c r="CR53" t="str">
        <f ca="1"/>
        <v>Psionic Sliver</v>
      </c>
      <c r="DB53" t="e">
        <f ca="1"/>
        <v>#REF!</v>
      </c>
      <c r="DC53" t="str">
        <f ca="1"/>
        <v>Searslicer Goblin</v>
      </c>
      <c r="DD53" t="str">
        <f ca="1"/>
        <v>Propaganda</v>
      </c>
      <c r="DP53" t="str">
        <f ca="1"/>
        <v>Shoot the Sheriff</v>
      </c>
      <c r="DT53" t="str">
        <f ca="1"/>
        <v>Obsidian Obelisk</v>
      </c>
      <c r="DY53" t="e">
        <f ca="1"/>
        <v>#REF!</v>
      </c>
      <c r="DZ53" t="str">
        <f ca="1"/>
        <v>Evacuation</v>
      </c>
      <c r="EG53" t="str">
        <f ca="1"/>
        <v>Life of the Party</v>
      </c>
      <c r="EH53" t="str">
        <f ca="1"/>
        <v>Ripples of Potential</v>
      </c>
      <c r="EI53" t="str">
        <f ca="1"/>
        <v>Indatha Triome</v>
      </c>
      <c r="EJ53" t="str">
        <f ca="1"/>
        <v>The Cabbage Merchant</v>
      </c>
      <c r="EK53" t="str">
        <f ca="1"/>
        <v>Rakdos Charm</v>
      </c>
      <c r="EL53" t="str">
        <f ca="1"/>
        <v>Evacuation</v>
      </c>
      <c r="EP53" t="str">
        <f ca="1"/>
        <v>Exalted Sunborn</v>
      </c>
      <c r="EQ53" t="str">
        <f ca="1"/>
        <v>Fabled Passage</v>
      </c>
      <c r="ER53" t="str">
        <f ca="1"/>
        <v>Curtain's Call</v>
      </c>
      <c r="EU53" t="str">
        <f ca="1"/>
        <v>Champion of Lambholt</v>
      </c>
      <c r="EV53" t="str">
        <f ca="1"/>
        <v>Curtain's Call</v>
      </c>
      <c r="EX53" t="str">
        <f ca="1"/>
        <v>Blasphemous Act</v>
      </c>
    </row>
    <row r="54" spans="1:154" x14ac:dyDescent="0.25">
      <c r="A54" s="2" t="str">
        <f t="shared" ca="1" si="1"/>
        <v>3</v>
      </c>
      <c r="B54" s="2">
        <f t="shared" ca="1" si="2"/>
        <v>2</v>
      </c>
      <c r="C54" s="2" t="str">
        <f ca="1">IFERROR(
 INDEX($V$1:$BL$1,
  MATCH(TRUE,
   CHOOSE({1;2;3;4;5;6;7;8;9;10;11;12;13;14;15;16;17;18;19;20;21;22;23;24;25;26;27;28;29;30;31;32;33;34;35;36;37;38;39;40;41;42;43},
    COUNTIFS($V$2:$V$200,$G54)&gt;0,
    COUNTIFS($W$2:$W$200,$G54)&gt;0,
    COUNTIFS($X$2:$X$200,$G54)&gt;0,
    COUNTIFS($Y$2:$Y$200,$G54)&gt;0,
    COUNTIFS($Z$2:$Z$200,$G54)&gt;0,
    COUNTIFS($AA$2:$AA$200,$G54)&gt;0,
    COUNTIFS($AB$2:$AB$200,$G54)&gt;0,
    COUNTIFS($AC$2:$AC$200,$G54)&gt;0,
    COUNTIFS($AD$2:$AD$200,$G54)&gt;0,
    COUNTIFS($AE$2:$AE$200,$G54)&gt;0,
    COUNTIFS($AF$2:$AF$200,$G54)&gt;0,
    COUNTIFS($AG$2:$AG$200,$G54)&gt;0,
    COUNTIFS($AH$2:$AH$200,$G54)&gt;0,
    COUNTIFS($AI$2:$AI$200,$G54)&gt;0,
    COUNTIFS($AJ$2:$AJ$200,$G54)&gt;0,
    COUNTIFS($AK$2:$AK$200,$G54)&gt;0,
    COUNTIFS($AL$2:$AL$200,$G54)&gt;0,
    COUNTIFS($AM$2:$AM$200,$G54)&gt;0,
    COUNTIFS($AN$2:$AN$200,$G54)&gt;0,
    COUNTIFS($AO$2:$AO$200,$G54)&gt;0,
    COUNTIFS($AP$2:$AP$200,$G54)&gt;0,
    COUNTIFS($AQ$2:$AQ$200,$G54)&gt;0,
    COUNTIFS($AR$2:$AR$200,$G54)&gt;0,
    COUNTIFS($AS$2:$AS$200,$G54)&gt;0,
    COUNTIFS($AT$2:$AT$200,$G54)&gt;0,
    COUNTIFS($AU$2:$AU$200,$G54)&gt;0,
    COUNTIFS($AV$2:$AV$200,$G54)&gt;0,
    COUNTIFS($AW$2:$AW$200,$G54)&gt;0,
    COUNTIFS($AX$2:$AX$200,$G54)&gt;0,
    COUNTIFS($AY$2:$AY$200,$G54)&gt;0,
    COUNTIFS($AZ$2:$AZ$200,$G54)&gt;0,
    COUNTIFS($BA$2:$BA$200,$G54)&gt;0,
    COUNTIFS($BB$2:$BB$200,$G54)&gt;0,
    COUNTIFS($BC$2:$BC$200,$G54)&gt;0,
    COUNTIFS($BD$2:$BD$200,$G54)&gt;0,
    COUNTIFS($BE$2:$BE$200,$G54)&gt;0,
    COUNTIFS($BF$2:$BF$200,$G54)&gt;0,
    COUNTIFS($BG$2:$BG$200,$G54)&gt;0,
    COUNTIFS($BH$2:$BH$200,$G54)&gt;0,
    COUNTIFS($BI$2:$BI$200,$G54)&gt;0,
    COUNTIFS($BJ$2:$BJ$200,$G54)&gt;0,
    COUNTIFS($BK$2:$BK$200,$G54)&gt;0,
    COUNTIFS($BL$2:$BL$200,$G54)&gt;0,
    COUNTIFS($BM$2:$BM$200,$G54)&gt;0,
   ),
  0)
 ),
"")</f>
        <v>Inalla</v>
      </c>
      <c r="D54" s="2" t="str" cm="1">
        <f t="array" aca="1" ref="D54" ca="1">IFERROR(
 INDEX(
  _xlfn._xlws.FILTER($V$1:$AY$1,
   TRANSPOSE(
    CHOOSE({1;2;3;4;5;6;7;8;9;10;11;12;13;14;15;16;17;18;19;20;21;22;23;24;25;26;27;28;29;30},
     COUNTIFS($V$2:$V$200,$G54)&gt;0,
     COUNTIFS($W$2:$W$200,$G54)&gt;0,
     COUNTIFS($X$2:$X$200,$G54)&gt;0,
     COUNTIFS($Y$2:$Y$200,$G54)&gt;0,
     COUNTIFS($Z$2:$Z$200,$G54)&gt;0,
     COUNTIFS($AA$2:$AA$200,$G54)&gt;0,
     COUNTIFS($AB$2:$AB$200,$G54)&gt;0,
     COUNTIFS($AC$2:$AC$200,$G54)&gt;0,
     COUNTIFS($AD$2:$AD$200,$G54)&gt;0,
     COUNTIFS($AE$2:$AE$200,$G54)&gt;0,
     COUNTIFS($AF$2:$AF$200,$G54)&gt;0,
     COUNTIFS($AG$2:$AG$200,$G54)&gt;0,
     COUNTIFS($AH$2:$AH$200,$G54)&gt;0,
     COUNTIFS($AI$2:$AI$200,$G54)&gt;0,
     COUNTIFS($AJ$2:$AJ$200,$G54)&gt;0,
     COUNTIFS($AK$2:$AK$200,$G54)&gt;0,
     COUNTIFS($AL$2:$AL$200,$G54)&gt;0,
     COUNTIFS($AM$2:$AM$200,$G54)&gt;0,
     COUNTIFS($AN$2:$AN$200,$G54)&gt;0,
     COUNTIFS($AO$2:$AO$200,$G54)&gt;0,
     COUNTIFS($AP$2:$AP$200,$G54)&gt;0,
     COUNTIFS($AQ$2:$AQ$200,$G54)&gt;0,
     COUNTIFS($AR$2:$AR$200,$G54)&gt;0,
     COUNTIFS($AS$2:$AS$200,$G54)&gt;0,
     COUNTIFS($AT$2:$AT$200,$G54)&gt;0,
     COUNTIFS($AU$2:$AU$200,$G54)&gt;0,
     COUNTIFS($AV$2:$AV$200,$G54)&gt;0,
     COUNTIFS($AW$2:$AW$200,$G54)&gt;0,
     COUNTIFS($AX$2:$AX$200,$G54)&gt;0,
     COUNTIFS($AY$2:$AY$200,$G54)&gt;0
   )),
  ),
  2
 ),
"")</f>
        <v/>
      </c>
      <c r="E54" s="2" t="str" cm="1">
        <f t="array" aca="1" ref="E54" ca="1">IFERROR(
 INDEX(
  _xlfn._xlws.FILTER($V$1:$AY$1,
   TRANSPOSE(
    CHOOSE({1;2;3;4;5;6;7;8;9;10;11;12;13;14;15;16;17;18;19;20;21;22;23;24;25;26;27;28;29;30},
     COUNTIFS($V$2:$V$200,$G54)&gt;0,
     COUNTIFS($W$2:$W$200,$G54)&gt;0,
     COUNTIFS($X$2:$X$200,$G54)&gt;0,
     COUNTIFS($Y$2:$Y$200,$G54)&gt;0,
     COUNTIFS($Z$2:$Z$200,$G54)&gt;0,
     COUNTIFS($AA$2:$AA$200,$G54)&gt;0,
     COUNTIFS($AB$2:$AB$200,$G54)&gt;0,
     COUNTIFS($AC$2:$AC$200,$G54)&gt;0,
     COUNTIFS($AD$2:$AD$200,$G54)&gt;0,
     COUNTIFS($AE$2:$AE$200,$G54)&gt;0,
     COUNTIFS($AF$2:$AF$200,$G54)&gt;0,
     COUNTIFS($AG$2:$AG$200,$G54)&gt;0,
     COUNTIFS($AH$2:$AH$200,$G54)&gt;0,
     COUNTIFS($AI$2:$AI$200,$G54)&gt;0,
     COUNTIFS($AJ$2:$AJ$200,$G54)&gt;0,
     COUNTIFS($AK$2:$AK$200,$G54)&gt;0,
     COUNTIFS($AL$2:$AL$200,$G54)&gt;0,
     COUNTIFS($AM$2:$AM$200,$G54)&gt;0,
     COUNTIFS($AN$2:$AN$200,$G54)&gt;0,
     COUNTIFS($AO$2:$AO$200,$G54)&gt;0,
     COUNTIFS($AP$2:$AP$200,$G54)&gt;0,
     COUNTIFS($AQ$2:$AQ$200,$G54)&gt;0,
     COUNTIFS($AR$2:$AR$200,$G54)&gt;0,
     COUNTIFS($AS$2:$AS$200,$G54)&gt;0,
     COUNTIFS($AT$2:$AT$200,$G54)&gt;0,
     COUNTIFS($AU$2:$AU$200,$G54)&gt;0,
     COUNTIFS($AV$2:$AV$200,$G54)&gt;0,
     COUNTIFS($AW$2:$AW$200,$G54)&gt;0,
     COUNTIFS($AX$2:$AX$200,$G54)&gt;0,
     COUNTIFS($AY$2:$AY$200,$G54)&gt;0
   )),
  ),
  3
 ),
"")</f>
        <v/>
      </c>
      <c r="F54" s="2" t="str" cm="1">
        <f t="array" aca="1" ref="F54" ca="1">IFERROR(
 INDEX(
  _xlfn._xlws.FILTER($V$1:$AY$1,
   TRANSPOSE(
    CHOOSE({1;2;3;4;5;6;7;8;9;10;11;12;13;14;15;16;17;18;19;20;21;22;23;24;25;26;27;28;29;30},
     COUNTIFS($V$2:$V$200,$G54)&gt;0,
     COUNTIFS($W$2:$W$200,$G54)&gt;0,
     COUNTIFS($X$2:$X$200,$G54)&gt;0,
     COUNTIFS($Y$2:$Y$200,$G54)&gt;0,
     COUNTIFS($Z$2:$Z$200,$G54)&gt;0,
     COUNTIFS($AA$2:$AA$200,$G54)&gt;0,
     COUNTIFS($AB$2:$AB$200,$G54)&gt;0,
     COUNTIFS($AC$2:$AC$200,$G54)&gt;0,
     COUNTIFS($AD$2:$AD$200,$G54)&gt;0,
     COUNTIFS($AE$2:$AE$200,$G54)&gt;0,
     COUNTIFS($AF$2:$AF$200,$G54)&gt;0,
     COUNTIFS($AG$2:$AG$200,$G54)&gt;0,
     COUNTIFS($AH$2:$AH$200,$G54)&gt;0,
     COUNTIFS($AI$2:$AI$200,$G54)&gt;0,
     COUNTIFS($AJ$2:$AJ$200,$G54)&gt;0,
     COUNTIFS($AK$2:$AK$200,$G54)&gt;0,
     COUNTIFS($AL$2:$AL$200,$G54)&gt;0,
     COUNTIFS($AM$2:$AM$200,$G54)&gt;0,
     COUNTIFS($AN$2:$AN$200,$G54)&gt;0,
     COUNTIFS($AO$2:$AO$200,$G54)&gt;0,
     COUNTIFS($AP$2:$AP$200,$G54)&gt;0,
     COUNTIFS($AQ$2:$AQ$200,$G54)&gt;0,
     COUNTIFS($AR$2:$AR$200,$G54)&gt;0,
     COUNTIFS($AS$2:$AS$200,$G54)&gt;0,
     COUNTIFS($AT$2:$AT$200,$G54)&gt;0,
     COUNTIFS($AU$2:$AU$200,$G54)&gt;0,
     COUNTIFS($AV$2:$AV$200,$G54)&gt;0,
     COUNTIFS($AW$2:$AW$200,$G54)&gt;0,
     COUNTIFS($AX$2:$AX$200,$G54)&gt;0,
     COUNTIFS($AY$2:$AY$200,$G54)&gt;0
   )),
  ),
  4
 ),
"")</f>
        <v/>
      </c>
      <c r="G54" t="str">
        <f ca="1"/>
        <v>Bojuka Bog</v>
      </c>
      <c r="AO54" t="str">
        <v>Psionic Sliver</v>
      </c>
      <c r="BE54" t="str">
        <v>Path to Exile</v>
      </c>
      <c r="BI54" t="str">
        <v>Stroke of Midnight</v>
      </c>
      <c r="BJ54" t="str">
        <v>Phyrexian Dragon Engine</v>
      </c>
      <c r="BL54" t="str">
        <v>Island</v>
      </c>
      <c r="CR54" t="str">
        <f ca="1"/>
        <v>Pulmonic Sliver</v>
      </c>
      <c r="DC54" t="str">
        <f ca="1"/>
        <v>Sinkhole Surveyor</v>
      </c>
      <c r="DD54" t="str">
        <f ca="1"/>
        <v>Rakdos Charm</v>
      </c>
      <c r="DP54" t="str">
        <f ca="1"/>
        <v>Slash the Ranks</v>
      </c>
      <c r="DT54" t="str">
        <f ca="1"/>
        <v>Opaline Sliver</v>
      </c>
      <c r="DZ54" t="str">
        <f ca="1"/>
        <v>Exalted Flamer of Tzeentch</v>
      </c>
      <c r="EG54" t="str">
        <f ca="1"/>
        <v>Lightning Greaves</v>
      </c>
      <c r="EH54" t="str">
        <f ca="1"/>
        <v>Ripples of Undeath</v>
      </c>
      <c r="EI54" t="str">
        <f ca="1"/>
        <v>Invasion of Segovia</v>
      </c>
      <c r="EJ54" t="str">
        <f ca="1"/>
        <v>The Gold Saucer</v>
      </c>
      <c r="EK54" t="str">
        <f ca="1"/>
        <v>Raven Eagle</v>
      </c>
      <c r="EL54" t="str">
        <f ca="1"/>
        <v>Exalted Flamer of Tzeentch</v>
      </c>
      <c r="EP54" t="str">
        <f ca="1"/>
        <v>Faerie Slumber Party</v>
      </c>
      <c r="EQ54" t="str">
        <f ca="1"/>
        <v>Filigree Vector</v>
      </c>
      <c r="ER54" t="str">
        <f ca="1"/>
        <v>Cycle of Renewal</v>
      </c>
      <c r="EU54" t="str">
        <f ca="1"/>
        <v>Champions from Beyond</v>
      </c>
      <c r="EV54" t="str">
        <f ca="1"/>
        <v>Cycle of Renewal</v>
      </c>
      <c r="EX54" t="str">
        <f ca="1"/>
        <v>Bojuka Bog</v>
      </c>
    </row>
    <row r="55" spans="1:154" x14ac:dyDescent="0.25">
      <c r="A55" s="2" t="str">
        <f t="shared" ca="1" si="1"/>
        <v>5</v>
      </c>
      <c r="B55" s="2">
        <f t="shared" ca="1" si="2"/>
        <v>1</v>
      </c>
      <c r="C55" s="2" t="str">
        <f ca="1">IFERROR(
 INDEX($V$1:$BL$1,
  MATCH(TRUE,
   CHOOSE({1;2;3;4;5;6;7;8;9;10;11;12;13;14;15;16;17;18;19;20;21;22;23;24;25;26;27;28;29;30;31;32;33;34;35;36;37;38;39;40;41;42;43},
    COUNTIFS($V$2:$V$200,$G55)&gt;0,
    COUNTIFS($W$2:$W$200,$G55)&gt;0,
    COUNTIFS($X$2:$X$200,$G55)&gt;0,
    COUNTIFS($Y$2:$Y$200,$G55)&gt;0,
    COUNTIFS($Z$2:$Z$200,$G55)&gt;0,
    COUNTIFS($AA$2:$AA$200,$G55)&gt;0,
    COUNTIFS($AB$2:$AB$200,$G55)&gt;0,
    COUNTIFS($AC$2:$AC$200,$G55)&gt;0,
    COUNTIFS($AD$2:$AD$200,$G55)&gt;0,
    COUNTIFS($AE$2:$AE$200,$G55)&gt;0,
    COUNTIFS($AF$2:$AF$200,$G55)&gt;0,
    COUNTIFS($AG$2:$AG$200,$G55)&gt;0,
    COUNTIFS($AH$2:$AH$200,$G55)&gt;0,
    COUNTIFS($AI$2:$AI$200,$G55)&gt;0,
    COUNTIFS($AJ$2:$AJ$200,$G55)&gt;0,
    COUNTIFS($AK$2:$AK$200,$G55)&gt;0,
    COUNTIFS($AL$2:$AL$200,$G55)&gt;0,
    COUNTIFS($AM$2:$AM$200,$G55)&gt;0,
    COUNTIFS($AN$2:$AN$200,$G55)&gt;0,
    COUNTIFS($AO$2:$AO$200,$G55)&gt;0,
    COUNTIFS($AP$2:$AP$200,$G55)&gt;0,
    COUNTIFS($AQ$2:$AQ$200,$G55)&gt;0,
    COUNTIFS($AR$2:$AR$200,$G55)&gt;0,
    COUNTIFS($AS$2:$AS$200,$G55)&gt;0,
    COUNTIFS($AT$2:$AT$200,$G55)&gt;0,
    COUNTIFS($AU$2:$AU$200,$G55)&gt;0,
    COUNTIFS($AV$2:$AV$200,$G55)&gt;0,
    COUNTIFS($AW$2:$AW$200,$G55)&gt;0,
    COUNTIFS($AX$2:$AX$200,$G55)&gt;0,
    COUNTIFS($AY$2:$AY$200,$G55)&gt;0,
    COUNTIFS($AZ$2:$AZ$200,$G55)&gt;0,
    COUNTIFS($BA$2:$BA$200,$G55)&gt;0,
    COUNTIFS($BB$2:$BB$200,$G55)&gt;0,
    COUNTIFS($BC$2:$BC$200,$G55)&gt;0,
    COUNTIFS($BD$2:$BD$200,$G55)&gt;0,
    COUNTIFS($BE$2:$BE$200,$G55)&gt;0,
    COUNTIFS($BF$2:$BF$200,$G55)&gt;0,
    COUNTIFS($BG$2:$BG$200,$G55)&gt;0,
    COUNTIFS($BH$2:$BH$200,$G55)&gt;0,
    COUNTIFS($BI$2:$BI$200,$G55)&gt;0,
    COUNTIFS($BJ$2:$BJ$200,$G55)&gt;0,
    COUNTIFS($BK$2:$BK$200,$G55)&gt;0,
    COUNTIFS($BL$2:$BL$200,$G55)&gt;0,
    COUNTIFS($BM$2:$BM$200,$G55)&gt;0,
   ),
  0)
 ),
"")</f>
        <v>Zuko</v>
      </c>
      <c r="D55" s="2" t="str" cm="1">
        <f t="array" aca="1" ref="D55" ca="1">IFERROR(
 INDEX(
  _xlfn._xlws.FILTER($V$1:$AY$1,
   TRANSPOSE(
    CHOOSE({1;2;3;4;5;6;7;8;9;10;11;12;13;14;15;16;17;18;19;20;21;22;23;24;25;26;27;28;29;30},
     COUNTIFS($V$2:$V$200,$G55)&gt;0,
     COUNTIFS($W$2:$W$200,$G55)&gt;0,
     COUNTIFS($X$2:$X$200,$G55)&gt;0,
     COUNTIFS($Y$2:$Y$200,$G55)&gt;0,
     COUNTIFS($Z$2:$Z$200,$G55)&gt;0,
     COUNTIFS($AA$2:$AA$200,$G55)&gt;0,
     COUNTIFS($AB$2:$AB$200,$G55)&gt;0,
     COUNTIFS($AC$2:$AC$200,$G55)&gt;0,
     COUNTIFS($AD$2:$AD$200,$G55)&gt;0,
     COUNTIFS($AE$2:$AE$200,$G55)&gt;0,
     COUNTIFS($AF$2:$AF$200,$G55)&gt;0,
     COUNTIFS($AG$2:$AG$200,$G55)&gt;0,
     COUNTIFS($AH$2:$AH$200,$G55)&gt;0,
     COUNTIFS($AI$2:$AI$200,$G55)&gt;0,
     COUNTIFS($AJ$2:$AJ$200,$G55)&gt;0,
     COUNTIFS($AK$2:$AK$200,$G55)&gt;0,
     COUNTIFS($AL$2:$AL$200,$G55)&gt;0,
     COUNTIFS($AM$2:$AM$200,$G55)&gt;0,
     COUNTIFS($AN$2:$AN$200,$G55)&gt;0,
     COUNTIFS($AO$2:$AO$200,$G55)&gt;0,
     COUNTIFS($AP$2:$AP$200,$G55)&gt;0,
     COUNTIFS($AQ$2:$AQ$200,$G55)&gt;0,
     COUNTIFS($AR$2:$AR$200,$G55)&gt;0,
     COUNTIFS($AS$2:$AS$200,$G55)&gt;0,
     COUNTIFS($AT$2:$AT$200,$G55)&gt;0,
     COUNTIFS($AU$2:$AU$200,$G55)&gt;0,
     COUNTIFS($AV$2:$AV$200,$G55)&gt;0,
     COUNTIFS($AW$2:$AW$200,$G55)&gt;0,
     COUNTIFS($AX$2:$AX$200,$G55)&gt;0,
     COUNTIFS($AY$2:$AY$200,$G55)&gt;0
   )),
  ),
  2
 ),
"")</f>
        <v/>
      </c>
      <c r="E55" s="2" t="str" cm="1">
        <f t="array" aca="1" ref="E55" ca="1">IFERROR(
 INDEX(
  _xlfn._xlws.FILTER($V$1:$AY$1,
   TRANSPOSE(
    CHOOSE({1;2;3;4;5;6;7;8;9;10;11;12;13;14;15;16;17;18;19;20;21;22;23;24;25;26;27;28;29;30},
     COUNTIFS($V$2:$V$200,$G55)&gt;0,
     COUNTIFS($W$2:$W$200,$G55)&gt;0,
     COUNTIFS($X$2:$X$200,$G55)&gt;0,
     COUNTIFS($Y$2:$Y$200,$G55)&gt;0,
     COUNTIFS($Z$2:$Z$200,$G55)&gt;0,
     COUNTIFS($AA$2:$AA$200,$G55)&gt;0,
     COUNTIFS($AB$2:$AB$200,$G55)&gt;0,
     COUNTIFS($AC$2:$AC$200,$G55)&gt;0,
     COUNTIFS($AD$2:$AD$200,$G55)&gt;0,
     COUNTIFS($AE$2:$AE$200,$G55)&gt;0,
     COUNTIFS($AF$2:$AF$200,$G55)&gt;0,
     COUNTIFS($AG$2:$AG$200,$G55)&gt;0,
     COUNTIFS($AH$2:$AH$200,$G55)&gt;0,
     COUNTIFS($AI$2:$AI$200,$G55)&gt;0,
     COUNTIFS($AJ$2:$AJ$200,$G55)&gt;0,
     COUNTIFS($AK$2:$AK$200,$G55)&gt;0,
     COUNTIFS($AL$2:$AL$200,$G55)&gt;0,
     COUNTIFS($AM$2:$AM$200,$G55)&gt;0,
     COUNTIFS($AN$2:$AN$200,$G55)&gt;0,
     COUNTIFS($AO$2:$AO$200,$G55)&gt;0,
     COUNTIFS($AP$2:$AP$200,$G55)&gt;0,
     COUNTIFS($AQ$2:$AQ$200,$G55)&gt;0,
     COUNTIFS($AR$2:$AR$200,$G55)&gt;0,
     COUNTIFS($AS$2:$AS$200,$G55)&gt;0,
     COUNTIFS($AT$2:$AT$200,$G55)&gt;0,
     COUNTIFS($AU$2:$AU$200,$G55)&gt;0,
     COUNTIFS($AV$2:$AV$200,$G55)&gt;0,
     COUNTIFS($AW$2:$AW$200,$G55)&gt;0,
     COUNTIFS($AX$2:$AX$200,$G55)&gt;0,
     COUNTIFS($AY$2:$AY$200,$G55)&gt;0
   )),
  ),
  3
 ),
"")</f>
        <v/>
      </c>
      <c r="F55" s="2" t="str" cm="1">
        <f t="array" aca="1" ref="F55" ca="1">IFERROR(
 INDEX(
  _xlfn._xlws.FILTER($V$1:$AY$1,
   TRANSPOSE(
    CHOOSE({1;2;3;4;5;6;7;8;9;10;11;12;13;14;15;16;17;18;19;20;21;22;23;24;25;26;27;28;29;30},
     COUNTIFS($V$2:$V$200,$G55)&gt;0,
     COUNTIFS($W$2:$W$200,$G55)&gt;0,
     COUNTIFS($X$2:$X$200,$G55)&gt;0,
     COUNTIFS($Y$2:$Y$200,$G55)&gt;0,
     COUNTIFS($Z$2:$Z$200,$G55)&gt;0,
     COUNTIFS($AA$2:$AA$200,$G55)&gt;0,
     COUNTIFS($AB$2:$AB$200,$G55)&gt;0,
     COUNTIFS($AC$2:$AC$200,$G55)&gt;0,
     COUNTIFS($AD$2:$AD$200,$G55)&gt;0,
     COUNTIFS($AE$2:$AE$200,$G55)&gt;0,
     COUNTIFS($AF$2:$AF$200,$G55)&gt;0,
     COUNTIFS($AG$2:$AG$200,$G55)&gt;0,
     COUNTIFS($AH$2:$AH$200,$G55)&gt;0,
     COUNTIFS($AI$2:$AI$200,$G55)&gt;0,
     COUNTIFS($AJ$2:$AJ$200,$G55)&gt;0,
     COUNTIFS($AK$2:$AK$200,$G55)&gt;0,
     COUNTIFS($AL$2:$AL$200,$G55)&gt;0,
     COUNTIFS($AM$2:$AM$200,$G55)&gt;0,
     COUNTIFS($AN$2:$AN$200,$G55)&gt;0,
     COUNTIFS($AO$2:$AO$200,$G55)&gt;0,
     COUNTIFS($AP$2:$AP$200,$G55)&gt;0,
     COUNTIFS($AQ$2:$AQ$200,$G55)&gt;0,
     COUNTIFS($AR$2:$AR$200,$G55)&gt;0,
     COUNTIFS($AS$2:$AS$200,$G55)&gt;0,
     COUNTIFS($AT$2:$AT$200,$G55)&gt;0,
     COUNTIFS($AU$2:$AU$200,$G55)&gt;0,
     COUNTIFS($AV$2:$AV$200,$G55)&gt;0,
     COUNTIFS($AW$2:$AW$200,$G55)&gt;0,
     COUNTIFS($AX$2:$AX$200,$G55)&gt;0,
     COUNTIFS($AY$2:$AY$200,$G55)&gt;0
   )),
  ),
  4
 ),
"")</f>
        <v/>
      </c>
      <c r="G55" t="str">
        <f ca="1"/>
        <v>Bonehoard Dracosaur</v>
      </c>
      <c r="AO55" t="str">
        <v>Pulmonic Sliver</v>
      </c>
      <c r="BE55" t="str">
        <v>Plains</v>
      </c>
      <c r="BI55" t="str">
        <v>Swamp</v>
      </c>
      <c r="BJ55" t="str">
        <v>Plains</v>
      </c>
      <c r="BL55" t="str">
        <v>Island</v>
      </c>
      <c r="CR55" t="str">
        <f ca="1"/>
        <v>Quick Sliver</v>
      </c>
      <c r="DC55" t="str">
        <f ca="1"/>
        <v>Skyknight Vanguard</v>
      </c>
      <c r="DD55" t="str">
        <f ca="1"/>
        <v>Rampant Growth</v>
      </c>
      <c r="DP55" t="str">
        <f ca="1"/>
        <v>Slayers' Stronghold</v>
      </c>
      <c r="DT55" t="str">
        <f ca="1"/>
        <v>Overgrown Tomb</v>
      </c>
      <c r="DZ55" t="str">
        <f ca="1"/>
        <v>Exotic Orchard</v>
      </c>
      <c r="EG55" t="str">
        <f ca="1"/>
        <v>Long Feng, Grand Secretariat</v>
      </c>
      <c r="EH55" t="str">
        <f ca="1"/>
        <v>Rise of the Eldrazi</v>
      </c>
      <c r="EI55" t="str">
        <f ca="1"/>
        <v>Island</v>
      </c>
      <c r="EJ55" t="str">
        <f ca="1"/>
        <v>The Great Henge</v>
      </c>
      <c r="EK55" t="str">
        <f ca="1"/>
        <v>Reliquary Tower</v>
      </c>
      <c r="EL55" t="str">
        <f ca="1"/>
        <v>Exotic Orchard</v>
      </c>
      <c r="EP55" t="str">
        <f ca="1"/>
        <v>Farhaven Elf</v>
      </c>
      <c r="EQ55" t="str">
        <f ca="1"/>
        <v>Forest</v>
      </c>
      <c r="ER55" t="str">
        <f ca="1"/>
        <v>Deathsprout</v>
      </c>
      <c r="EU55" t="str">
        <f ca="1"/>
        <v>Champions of the Shoal</v>
      </c>
      <c r="EV55" t="str">
        <f ca="1"/>
        <v>Deathsprout</v>
      </c>
      <c r="EX55" t="str">
        <f ca="1"/>
        <v>Bonehoard Dracosaur</v>
      </c>
    </row>
    <row r="56" spans="1:154" x14ac:dyDescent="0.25">
      <c r="A56" s="2" t="str">
        <f t="shared" ca="1" si="1"/>
        <v>5</v>
      </c>
      <c r="B56" s="2">
        <f t="shared" ca="1" si="2"/>
        <v>1</v>
      </c>
      <c r="C56" s="2" t="str">
        <f ca="1">IFERROR(
 INDEX($V$1:$BL$1,
  MATCH(TRUE,
   CHOOSE({1;2;3;4;5;6;7;8;9;10;11;12;13;14;15;16;17;18;19;20;21;22;23;24;25;26;27;28;29;30;31;32;33;34;35;36;37;38;39;40;41;42;43},
    COUNTIFS($V$2:$V$200,$G56)&gt;0,
    COUNTIFS($W$2:$W$200,$G56)&gt;0,
    COUNTIFS($X$2:$X$200,$G56)&gt;0,
    COUNTIFS($Y$2:$Y$200,$G56)&gt;0,
    COUNTIFS($Z$2:$Z$200,$G56)&gt;0,
    COUNTIFS($AA$2:$AA$200,$G56)&gt;0,
    COUNTIFS($AB$2:$AB$200,$G56)&gt;0,
    COUNTIFS($AC$2:$AC$200,$G56)&gt;0,
    COUNTIFS($AD$2:$AD$200,$G56)&gt;0,
    COUNTIFS($AE$2:$AE$200,$G56)&gt;0,
    COUNTIFS($AF$2:$AF$200,$G56)&gt;0,
    COUNTIFS($AG$2:$AG$200,$G56)&gt;0,
    COUNTIFS($AH$2:$AH$200,$G56)&gt;0,
    COUNTIFS($AI$2:$AI$200,$G56)&gt;0,
    COUNTIFS($AJ$2:$AJ$200,$G56)&gt;0,
    COUNTIFS($AK$2:$AK$200,$G56)&gt;0,
    COUNTIFS($AL$2:$AL$200,$G56)&gt;0,
    COUNTIFS($AM$2:$AM$200,$G56)&gt;0,
    COUNTIFS($AN$2:$AN$200,$G56)&gt;0,
    COUNTIFS($AO$2:$AO$200,$G56)&gt;0,
    COUNTIFS($AP$2:$AP$200,$G56)&gt;0,
    COUNTIFS($AQ$2:$AQ$200,$G56)&gt;0,
    COUNTIFS($AR$2:$AR$200,$G56)&gt;0,
    COUNTIFS($AS$2:$AS$200,$G56)&gt;0,
    COUNTIFS($AT$2:$AT$200,$G56)&gt;0,
    COUNTIFS($AU$2:$AU$200,$G56)&gt;0,
    COUNTIFS($AV$2:$AV$200,$G56)&gt;0,
    COUNTIFS($AW$2:$AW$200,$G56)&gt;0,
    COUNTIFS($AX$2:$AX$200,$G56)&gt;0,
    COUNTIFS($AY$2:$AY$200,$G56)&gt;0,
    COUNTIFS($AZ$2:$AZ$200,$G56)&gt;0,
    COUNTIFS($BA$2:$BA$200,$G56)&gt;0,
    COUNTIFS($BB$2:$BB$200,$G56)&gt;0,
    COUNTIFS($BC$2:$BC$200,$G56)&gt;0,
    COUNTIFS($BD$2:$BD$200,$G56)&gt;0,
    COUNTIFS($BE$2:$BE$200,$G56)&gt;0,
    COUNTIFS($BF$2:$BF$200,$G56)&gt;0,
    COUNTIFS($BG$2:$BG$200,$G56)&gt;0,
    COUNTIFS($BH$2:$BH$200,$G56)&gt;0,
    COUNTIFS($BI$2:$BI$200,$G56)&gt;0,
    COUNTIFS($BJ$2:$BJ$200,$G56)&gt;0,
    COUNTIFS($BK$2:$BK$200,$G56)&gt;0,
    COUNTIFS($BL$2:$BL$200,$G56)&gt;0,
    COUNTIFS($BM$2:$BM$200,$G56)&gt;0,
   ),
  0)
 ),
"")</f>
        <v>Fractius</v>
      </c>
      <c r="D56" s="2" t="str" cm="1">
        <f t="array" aca="1" ref="D56" ca="1">IFERROR(
 INDEX(
  _xlfn._xlws.FILTER($V$1:$AY$1,
   TRANSPOSE(
    CHOOSE({1;2;3;4;5;6;7;8;9;10;11;12;13;14;15;16;17;18;19;20;21;22;23;24;25;26;27;28;29;30},
     COUNTIFS($V$2:$V$200,$G56)&gt;0,
     COUNTIFS($W$2:$W$200,$G56)&gt;0,
     COUNTIFS($X$2:$X$200,$G56)&gt;0,
     COUNTIFS($Y$2:$Y$200,$G56)&gt;0,
     COUNTIFS($Z$2:$Z$200,$G56)&gt;0,
     COUNTIFS($AA$2:$AA$200,$G56)&gt;0,
     COUNTIFS($AB$2:$AB$200,$G56)&gt;0,
     COUNTIFS($AC$2:$AC$200,$G56)&gt;0,
     COUNTIFS($AD$2:$AD$200,$G56)&gt;0,
     COUNTIFS($AE$2:$AE$200,$G56)&gt;0,
     COUNTIFS($AF$2:$AF$200,$G56)&gt;0,
     COUNTIFS($AG$2:$AG$200,$G56)&gt;0,
     COUNTIFS($AH$2:$AH$200,$G56)&gt;0,
     COUNTIFS($AI$2:$AI$200,$G56)&gt;0,
     COUNTIFS($AJ$2:$AJ$200,$G56)&gt;0,
     COUNTIFS($AK$2:$AK$200,$G56)&gt;0,
     COUNTIFS($AL$2:$AL$200,$G56)&gt;0,
     COUNTIFS($AM$2:$AM$200,$G56)&gt;0,
     COUNTIFS($AN$2:$AN$200,$G56)&gt;0,
     COUNTIFS($AO$2:$AO$200,$G56)&gt;0,
     COUNTIFS($AP$2:$AP$200,$G56)&gt;0,
     COUNTIFS($AQ$2:$AQ$200,$G56)&gt;0,
     COUNTIFS($AR$2:$AR$200,$G56)&gt;0,
     COUNTIFS($AS$2:$AS$200,$G56)&gt;0,
     COUNTIFS($AT$2:$AT$200,$G56)&gt;0,
     COUNTIFS($AU$2:$AU$200,$G56)&gt;0,
     COUNTIFS($AV$2:$AV$200,$G56)&gt;0,
     COUNTIFS($AW$2:$AW$200,$G56)&gt;0,
     COUNTIFS($AX$2:$AX$200,$G56)&gt;0,
     COUNTIFS($AY$2:$AY$200,$G56)&gt;0
   )),
  ),
  2
 ),
"")</f>
        <v/>
      </c>
      <c r="E56" s="2" t="str" cm="1">
        <f t="array" aca="1" ref="E56" ca="1">IFERROR(
 INDEX(
  _xlfn._xlws.FILTER($V$1:$AY$1,
   TRANSPOSE(
    CHOOSE({1;2;3;4;5;6;7;8;9;10;11;12;13;14;15;16;17;18;19;20;21;22;23;24;25;26;27;28;29;30},
     COUNTIFS($V$2:$V$200,$G56)&gt;0,
     COUNTIFS($W$2:$W$200,$G56)&gt;0,
     COUNTIFS($X$2:$X$200,$G56)&gt;0,
     COUNTIFS($Y$2:$Y$200,$G56)&gt;0,
     COUNTIFS($Z$2:$Z$200,$G56)&gt;0,
     COUNTIFS($AA$2:$AA$200,$G56)&gt;0,
     COUNTIFS($AB$2:$AB$200,$G56)&gt;0,
     COUNTIFS($AC$2:$AC$200,$G56)&gt;0,
     COUNTIFS($AD$2:$AD$200,$G56)&gt;0,
     COUNTIFS($AE$2:$AE$200,$G56)&gt;0,
     COUNTIFS($AF$2:$AF$200,$G56)&gt;0,
     COUNTIFS($AG$2:$AG$200,$G56)&gt;0,
     COUNTIFS($AH$2:$AH$200,$G56)&gt;0,
     COUNTIFS($AI$2:$AI$200,$G56)&gt;0,
     COUNTIFS($AJ$2:$AJ$200,$G56)&gt;0,
     COUNTIFS($AK$2:$AK$200,$G56)&gt;0,
     COUNTIFS($AL$2:$AL$200,$G56)&gt;0,
     COUNTIFS($AM$2:$AM$200,$G56)&gt;0,
     COUNTIFS($AN$2:$AN$200,$G56)&gt;0,
     COUNTIFS($AO$2:$AO$200,$G56)&gt;0,
     COUNTIFS($AP$2:$AP$200,$G56)&gt;0,
     COUNTIFS($AQ$2:$AQ$200,$G56)&gt;0,
     COUNTIFS($AR$2:$AR$200,$G56)&gt;0,
     COUNTIFS($AS$2:$AS$200,$G56)&gt;0,
     COUNTIFS($AT$2:$AT$200,$G56)&gt;0,
     COUNTIFS($AU$2:$AU$200,$G56)&gt;0,
     COUNTIFS($AV$2:$AV$200,$G56)&gt;0,
     COUNTIFS($AW$2:$AW$200,$G56)&gt;0,
     COUNTIFS($AX$2:$AX$200,$G56)&gt;0,
     COUNTIFS($AY$2:$AY$200,$G56)&gt;0
   )),
  ),
  3
 ),
"")</f>
        <v/>
      </c>
      <c r="F56" s="2" t="str" cm="1">
        <f t="array" aca="1" ref="F56" ca="1">IFERROR(
 INDEX(
  _xlfn._xlws.FILTER($V$1:$AY$1,
   TRANSPOSE(
    CHOOSE({1;2;3;4;5;6;7;8;9;10;11;12;13;14;15;16;17;18;19;20;21;22;23;24;25;26;27;28;29;30},
     COUNTIFS($V$2:$V$200,$G56)&gt;0,
     COUNTIFS($W$2:$W$200,$G56)&gt;0,
     COUNTIFS($X$2:$X$200,$G56)&gt;0,
     COUNTIFS($Y$2:$Y$200,$G56)&gt;0,
     COUNTIFS($Z$2:$Z$200,$G56)&gt;0,
     COUNTIFS($AA$2:$AA$200,$G56)&gt;0,
     COUNTIFS($AB$2:$AB$200,$G56)&gt;0,
     COUNTIFS($AC$2:$AC$200,$G56)&gt;0,
     COUNTIFS($AD$2:$AD$200,$G56)&gt;0,
     COUNTIFS($AE$2:$AE$200,$G56)&gt;0,
     COUNTIFS($AF$2:$AF$200,$G56)&gt;0,
     COUNTIFS($AG$2:$AG$200,$G56)&gt;0,
     COUNTIFS($AH$2:$AH$200,$G56)&gt;0,
     COUNTIFS($AI$2:$AI$200,$G56)&gt;0,
     COUNTIFS($AJ$2:$AJ$200,$G56)&gt;0,
     COUNTIFS($AK$2:$AK$200,$G56)&gt;0,
     COUNTIFS($AL$2:$AL$200,$G56)&gt;0,
     COUNTIFS($AM$2:$AM$200,$G56)&gt;0,
     COUNTIFS($AN$2:$AN$200,$G56)&gt;0,
     COUNTIFS($AO$2:$AO$200,$G56)&gt;0,
     COUNTIFS($AP$2:$AP$200,$G56)&gt;0,
     COUNTIFS($AQ$2:$AQ$200,$G56)&gt;0,
     COUNTIFS($AR$2:$AR$200,$G56)&gt;0,
     COUNTIFS($AS$2:$AS$200,$G56)&gt;0,
     COUNTIFS($AT$2:$AT$200,$G56)&gt;0,
     COUNTIFS($AU$2:$AU$200,$G56)&gt;0,
     COUNTIFS($AV$2:$AV$200,$G56)&gt;0,
     COUNTIFS($AW$2:$AW$200,$G56)&gt;0,
     COUNTIFS($AX$2:$AX$200,$G56)&gt;0,
     COUNTIFS($AY$2:$AY$200,$G56)&gt;0
   )),
  ),
  4
 ),
"")</f>
        <v/>
      </c>
      <c r="G56" t="str">
        <f ca="1"/>
        <v>Bonescythe Sliver</v>
      </c>
      <c r="AO56" t="str">
        <v>Quick Sliver</v>
      </c>
      <c r="BE56" t="str">
        <v>Plains</v>
      </c>
      <c r="BI56" t="str">
        <v>Swamp</v>
      </c>
      <c r="BJ56" t="str">
        <v>Plains</v>
      </c>
      <c r="BL56" t="str">
        <v>Jaheira's Respite</v>
      </c>
      <c r="CR56" t="str">
        <f ca="1"/>
        <v>Quilled Sliver</v>
      </c>
      <c r="DC56" t="str">
        <f ca="1"/>
        <v>Smoldering Marsh</v>
      </c>
      <c r="DD56" t="str">
        <f ca="1"/>
        <v>Rashmi, Eternities Crafter</v>
      </c>
      <c r="DP56" t="str">
        <f ca="1"/>
        <v>Sokenzan, Crucible of Defiance</v>
      </c>
      <c r="DT56" t="str">
        <f ca="1"/>
        <v>Plains</v>
      </c>
      <c r="DZ56" t="str">
        <f ca="1"/>
        <v>Exsanguinate</v>
      </c>
      <c r="EG56" t="str">
        <f ca="1"/>
        <v>Lord of Atlantis</v>
      </c>
      <c r="EH56" t="str">
        <f ca="1"/>
        <v>Rivendell</v>
      </c>
      <c r="EI56" t="str">
        <f ca="1"/>
        <v>Jenova, Ancient Calamity</v>
      </c>
      <c r="EJ56" t="str">
        <f ca="1"/>
        <v>The Soul Stone</v>
      </c>
      <c r="EK56" t="str">
        <f ca="1"/>
        <v>Restoration Angel</v>
      </c>
      <c r="EL56" t="str">
        <f ca="1"/>
        <v>Exsanguinate</v>
      </c>
      <c r="EP56" t="str">
        <f ca="1"/>
        <v>Farmer Cotton</v>
      </c>
      <c r="EQ56" t="str">
        <f ca="1"/>
        <v>Galerider Sliver</v>
      </c>
      <c r="ER56" t="str">
        <f ca="1"/>
        <v>Debt of Loyalty</v>
      </c>
      <c r="EU56" t="str">
        <f ca="1"/>
        <v>Chandra's Ignition</v>
      </c>
      <c r="EV56" t="str">
        <f ca="1"/>
        <v>Debt of Loyalty</v>
      </c>
      <c r="EX56" t="str">
        <f ca="1"/>
        <v>Bonescythe Sliver</v>
      </c>
    </row>
    <row r="57" spans="1:154" x14ac:dyDescent="0.25">
      <c r="A57" s="2" t="str">
        <f t="shared" ca="1" si="1"/>
        <v>4</v>
      </c>
      <c r="B57" s="2">
        <f t="shared" ca="1" si="2"/>
        <v>2</v>
      </c>
      <c r="C57" s="2" t="str">
        <f ca="1">IFERROR(
 INDEX($V$1:$BL$1,
  MATCH(TRUE,
   CHOOSE({1;2;3;4;5;6;7;8;9;10;11;12;13;14;15;16;17;18;19;20;21;22;23;24;25;26;27;28;29;30;31;32;33;34;35;36;37;38;39;40;41;42;43},
    COUNTIFS($V$2:$V$200,$G57)&gt;0,
    COUNTIFS($W$2:$W$200,$G57)&gt;0,
    COUNTIFS($X$2:$X$200,$G57)&gt;0,
    COUNTIFS($Y$2:$Y$200,$G57)&gt;0,
    COUNTIFS($Z$2:$Z$200,$G57)&gt;0,
    COUNTIFS($AA$2:$AA$200,$G57)&gt;0,
    COUNTIFS($AB$2:$AB$200,$G57)&gt;0,
    COUNTIFS($AC$2:$AC$200,$G57)&gt;0,
    COUNTIFS($AD$2:$AD$200,$G57)&gt;0,
    COUNTIFS($AE$2:$AE$200,$G57)&gt;0,
    COUNTIFS($AF$2:$AF$200,$G57)&gt;0,
    COUNTIFS($AG$2:$AG$200,$G57)&gt;0,
    COUNTIFS($AH$2:$AH$200,$G57)&gt;0,
    COUNTIFS($AI$2:$AI$200,$G57)&gt;0,
    COUNTIFS($AJ$2:$AJ$200,$G57)&gt;0,
    COUNTIFS($AK$2:$AK$200,$G57)&gt;0,
    COUNTIFS($AL$2:$AL$200,$G57)&gt;0,
    COUNTIFS($AM$2:$AM$200,$G57)&gt;0,
    COUNTIFS($AN$2:$AN$200,$G57)&gt;0,
    COUNTIFS($AO$2:$AO$200,$G57)&gt;0,
    COUNTIFS($AP$2:$AP$200,$G57)&gt;0,
    COUNTIFS($AQ$2:$AQ$200,$G57)&gt;0,
    COUNTIFS($AR$2:$AR$200,$G57)&gt;0,
    COUNTIFS($AS$2:$AS$200,$G57)&gt;0,
    COUNTIFS($AT$2:$AT$200,$G57)&gt;0,
    COUNTIFS($AU$2:$AU$200,$G57)&gt;0,
    COUNTIFS($AV$2:$AV$200,$G57)&gt;0,
    COUNTIFS($AW$2:$AW$200,$G57)&gt;0,
    COUNTIFS($AX$2:$AX$200,$G57)&gt;0,
    COUNTIFS($AY$2:$AY$200,$G57)&gt;0,
    COUNTIFS($AZ$2:$AZ$200,$G57)&gt;0,
    COUNTIFS($BA$2:$BA$200,$G57)&gt;0,
    COUNTIFS($BB$2:$BB$200,$G57)&gt;0,
    COUNTIFS($BC$2:$BC$200,$G57)&gt;0,
    COUNTIFS($BD$2:$BD$200,$G57)&gt;0,
    COUNTIFS($BE$2:$BE$200,$G57)&gt;0,
    COUNTIFS($BF$2:$BF$200,$G57)&gt;0,
    COUNTIFS($BG$2:$BG$200,$G57)&gt;0,
    COUNTIFS($BH$2:$BH$200,$G57)&gt;0,
    COUNTIFS($BI$2:$BI$200,$G57)&gt;0,
    COUNTIFS($BJ$2:$BJ$200,$G57)&gt;0,
    COUNTIFS($BK$2:$BK$200,$G57)&gt;0,
    COUNTIFS($BL$2:$BL$200,$G57)&gt;0,
    COUNTIFS($BM$2:$BM$200,$G57)&gt;0,
   ),
  0)
 ),
"")</f>
        <v>Baylen</v>
      </c>
      <c r="D57" s="2" t="str" cm="1">
        <f t="array" aca="1" ref="D57" ca="1">IFERROR(
 INDEX(
  _xlfn._xlws.FILTER($V$1:$AY$1,
   TRANSPOSE(
    CHOOSE({1;2;3;4;5;6;7;8;9;10;11;12;13;14;15;16;17;18;19;20;21;22;23;24;25;26;27;28;29;30},
     COUNTIFS($V$2:$V$200,$G57)&gt;0,
     COUNTIFS($W$2:$W$200,$G57)&gt;0,
     COUNTIFS($X$2:$X$200,$G57)&gt;0,
     COUNTIFS($Y$2:$Y$200,$G57)&gt;0,
     COUNTIFS($Z$2:$Z$200,$G57)&gt;0,
     COUNTIFS($AA$2:$AA$200,$G57)&gt;0,
     COUNTIFS($AB$2:$AB$200,$G57)&gt;0,
     COUNTIFS($AC$2:$AC$200,$G57)&gt;0,
     COUNTIFS($AD$2:$AD$200,$G57)&gt;0,
     COUNTIFS($AE$2:$AE$200,$G57)&gt;0,
     COUNTIFS($AF$2:$AF$200,$G57)&gt;0,
     COUNTIFS($AG$2:$AG$200,$G57)&gt;0,
     COUNTIFS($AH$2:$AH$200,$G57)&gt;0,
     COUNTIFS($AI$2:$AI$200,$G57)&gt;0,
     COUNTIFS($AJ$2:$AJ$200,$G57)&gt;0,
     COUNTIFS($AK$2:$AK$200,$G57)&gt;0,
     COUNTIFS($AL$2:$AL$200,$G57)&gt;0,
     COUNTIFS($AM$2:$AM$200,$G57)&gt;0,
     COUNTIFS($AN$2:$AN$200,$G57)&gt;0,
     COUNTIFS($AO$2:$AO$200,$G57)&gt;0,
     COUNTIFS($AP$2:$AP$200,$G57)&gt;0,
     COUNTIFS($AQ$2:$AQ$200,$G57)&gt;0,
     COUNTIFS($AR$2:$AR$200,$G57)&gt;0,
     COUNTIFS($AS$2:$AS$200,$G57)&gt;0,
     COUNTIFS($AT$2:$AT$200,$G57)&gt;0,
     COUNTIFS($AU$2:$AU$200,$G57)&gt;0,
     COUNTIFS($AV$2:$AV$200,$G57)&gt;0,
     COUNTIFS($AW$2:$AW$200,$G57)&gt;0,
     COUNTIFS($AX$2:$AX$200,$G57)&gt;0,
     COUNTIFS($AY$2:$AY$200,$G57)&gt;0
   )),
  ),
  2
 ),
"")</f>
        <v/>
      </c>
      <c r="E57" s="2" t="str" cm="1">
        <f t="array" aca="1" ref="E57" ca="1">IFERROR(
 INDEX(
  _xlfn._xlws.FILTER($V$1:$AY$1,
   TRANSPOSE(
    CHOOSE({1;2;3;4;5;6;7;8;9;10;11;12;13;14;15;16;17;18;19;20;21;22;23;24;25;26;27;28;29;30},
     COUNTIFS($V$2:$V$200,$G57)&gt;0,
     COUNTIFS($W$2:$W$200,$G57)&gt;0,
     COUNTIFS($X$2:$X$200,$G57)&gt;0,
     COUNTIFS($Y$2:$Y$200,$G57)&gt;0,
     COUNTIFS($Z$2:$Z$200,$G57)&gt;0,
     COUNTIFS($AA$2:$AA$200,$G57)&gt;0,
     COUNTIFS($AB$2:$AB$200,$G57)&gt;0,
     COUNTIFS($AC$2:$AC$200,$G57)&gt;0,
     COUNTIFS($AD$2:$AD$200,$G57)&gt;0,
     COUNTIFS($AE$2:$AE$200,$G57)&gt;0,
     COUNTIFS($AF$2:$AF$200,$G57)&gt;0,
     COUNTIFS($AG$2:$AG$200,$G57)&gt;0,
     COUNTIFS($AH$2:$AH$200,$G57)&gt;0,
     COUNTIFS($AI$2:$AI$200,$G57)&gt;0,
     COUNTIFS($AJ$2:$AJ$200,$G57)&gt;0,
     COUNTIFS($AK$2:$AK$200,$G57)&gt;0,
     COUNTIFS($AL$2:$AL$200,$G57)&gt;0,
     COUNTIFS($AM$2:$AM$200,$G57)&gt;0,
     COUNTIFS($AN$2:$AN$200,$G57)&gt;0,
     COUNTIFS($AO$2:$AO$200,$G57)&gt;0,
     COUNTIFS($AP$2:$AP$200,$G57)&gt;0,
     COUNTIFS($AQ$2:$AQ$200,$G57)&gt;0,
     COUNTIFS($AR$2:$AR$200,$G57)&gt;0,
     COUNTIFS($AS$2:$AS$200,$G57)&gt;0,
     COUNTIFS($AT$2:$AT$200,$G57)&gt;0,
     COUNTIFS($AU$2:$AU$200,$G57)&gt;0,
     COUNTIFS($AV$2:$AV$200,$G57)&gt;0,
     COUNTIFS($AW$2:$AW$200,$G57)&gt;0,
     COUNTIFS($AX$2:$AX$200,$G57)&gt;0,
     COUNTIFS($AY$2:$AY$200,$G57)&gt;0
   )),
  ),
  3
 ),
"")</f>
        <v/>
      </c>
      <c r="F57" s="2" t="str" cm="1">
        <f t="array" aca="1" ref="F57" ca="1">IFERROR(
 INDEX(
  _xlfn._xlws.FILTER($V$1:$AY$1,
   TRANSPOSE(
    CHOOSE({1;2;3;4;5;6;7;8;9;10;11;12;13;14;15;16;17;18;19;20;21;22;23;24;25;26;27;28;29;30},
     COUNTIFS($V$2:$V$200,$G57)&gt;0,
     COUNTIFS($W$2:$W$200,$G57)&gt;0,
     COUNTIFS($X$2:$X$200,$G57)&gt;0,
     COUNTIFS($Y$2:$Y$200,$G57)&gt;0,
     COUNTIFS($Z$2:$Z$200,$G57)&gt;0,
     COUNTIFS($AA$2:$AA$200,$G57)&gt;0,
     COUNTIFS($AB$2:$AB$200,$G57)&gt;0,
     COUNTIFS($AC$2:$AC$200,$G57)&gt;0,
     COUNTIFS($AD$2:$AD$200,$G57)&gt;0,
     COUNTIFS($AE$2:$AE$200,$G57)&gt;0,
     COUNTIFS($AF$2:$AF$200,$G57)&gt;0,
     COUNTIFS($AG$2:$AG$200,$G57)&gt;0,
     COUNTIFS($AH$2:$AH$200,$G57)&gt;0,
     COUNTIFS($AI$2:$AI$200,$G57)&gt;0,
     COUNTIFS($AJ$2:$AJ$200,$G57)&gt;0,
     COUNTIFS($AK$2:$AK$200,$G57)&gt;0,
     COUNTIFS($AL$2:$AL$200,$G57)&gt;0,
     COUNTIFS($AM$2:$AM$200,$G57)&gt;0,
     COUNTIFS($AN$2:$AN$200,$G57)&gt;0,
     COUNTIFS($AO$2:$AO$200,$G57)&gt;0,
     COUNTIFS($AP$2:$AP$200,$G57)&gt;0,
     COUNTIFS($AQ$2:$AQ$200,$G57)&gt;0,
     COUNTIFS($AR$2:$AR$200,$G57)&gt;0,
     COUNTIFS($AS$2:$AS$200,$G57)&gt;0,
     COUNTIFS($AT$2:$AT$200,$G57)&gt;0,
     COUNTIFS($AU$2:$AU$200,$G57)&gt;0,
     COUNTIFS($AV$2:$AV$200,$G57)&gt;0,
     COUNTIFS($AW$2:$AW$200,$G57)&gt;0,
     COUNTIFS($AX$2:$AX$200,$G57)&gt;0,
     COUNTIFS($AY$2:$AY$200,$G57)&gt;0
   )),
  ),
  4
 ),
"")</f>
        <v/>
      </c>
      <c r="G57" t="str">
        <f ca="1"/>
        <v>Boros Charm</v>
      </c>
      <c r="AO57" t="str">
        <v>Quilled Sliver</v>
      </c>
      <c r="BE57" t="str">
        <v>Plains</v>
      </c>
      <c r="BI57" t="str">
        <v>Swamp</v>
      </c>
      <c r="BJ57" t="str">
        <v>Plains</v>
      </c>
      <c r="BL57" t="str">
        <v>Joint Exploration</v>
      </c>
      <c r="CR57" t="str">
        <f ca="1"/>
        <v>Raffine's Tower</v>
      </c>
      <c r="DC57" t="str">
        <f ca="1"/>
        <v>Sundering Eruption</v>
      </c>
      <c r="DD57" t="str">
        <f ca="1"/>
        <v>Reality Shift</v>
      </c>
      <c r="DP57" t="str">
        <f ca="1"/>
        <v>Spectacular Spider-Man</v>
      </c>
      <c r="DT57" t="str">
        <f ca="1"/>
        <v>Predatory Sliver</v>
      </c>
      <c r="DZ57" t="str">
        <f ca="1"/>
        <v>Fandaniel, Telophoroi Ascian</v>
      </c>
      <c r="EG57" t="str">
        <f ca="1"/>
        <v>Maddening Cacophony</v>
      </c>
      <c r="EH57" t="str">
        <f ca="1"/>
        <v>Rotating Fireplace</v>
      </c>
      <c r="EI57" t="str">
        <f ca="1"/>
        <v>Jetmir's Garden</v>
      </c>
      <c r="EJ57" t="str">
        <f ca="1"/>
        <v>Thopter Shop</v>
      </c>
      <c r="EK57" t="str">
        <f ca="1"/>
        <v>Rose, Cutthroat Raider</v>
      </c>
      <c r="EL57" t="str">
        <f ca="1"/>
        <v>Fandaniel, Telophoroi Ascian</v>
      </c>
      <c r="EP57" t="str">
        <f ca="1"/>
        <v>Final Showdown</v>
      </c>
      <c r="EQ57" t="str">
        <f ca="1"/>
        <v>Gemhide Sliver</v>
      </c>
      <c r="ER57" t="str">
        <f ca="1"/>
        <v>Displacer Kitten</v>
      </c>
      <c r="EU57" t="str">
        <f ca="1"/>
        <v>Chaos Warp</v>
      </c>
      <c r="EV57" t="str">
        <f ca="1"/>
        <v>Displacer Kitten</v>
      </c>
      <c r="EX57" t="str">
        <f ca="1"/>
        <v>Boros Charm</v>
      </c>
    </row>
    <row r="58" spans="1:154" x14ac:dyDescent="0.25">
      <c r="A58" s="2" t="str">
        <f t="shared" ca="1" si="1"/>
        <v>2</v>
      </c>
      <c r="B58" s="2">
        <f t="shared" ca="1" si="2"/>
        <v>1</v>
      </c>
      <c r="C58" s="2" t="str">
        <f ca="1">IFERROR(
 INDEX($V$1:$BL$1,
  MATCH(TRUE,
   CHOOSE({1;2;3;4;5;6;7;8;9;10;11;12;13;14;15;16;17;18;19;20;21;22;23;24;25;26;27;28;29;30;31;32;33;34;35;36;37;38;39;40;41;42;43},
    COUNTIFS($V$2:$V$200,$G58)&gt;0,
    COUNTIFS($W$2:$W$200,$G58)&gt;0,
    COUNTIFS($X$2:$X$200,$G58)&gt;0,
    COUNTIFS($Y$2:$Y$200,$G58)&gt;0,
    COUNTIFS($Z$2:$Z$200,$G58)&gt;0,
    COUNTIFS($AA$2:$AA$200,$G58)&gt;0,
    COUNTIFS($AB$2:$AB$200,$G58)&gt;0,
    COUNTIFS($AC$2:$AC$200,$G58)&gt;0,
    COUNTIFS($AD$2:$AD$200,$G58)&gt;0,
    COUNTIFS($AE$2:$AE$200,$G58)&gt;0,
    COUNTIFS($AF$2:$AF$200,$G58)&gt;0,
    COUNTIFS($AG$2:$AG$200,$G58)&gt;0,
    COUNTIFS($AH$2:$AH$200,$G58)&gt;0,
    COUNTIFS($AI$2:$AI$200,$G58)&gt;0,
    COUNTIFS($AJ$2:$AJ$200,$G58)&gt;0,
    COUNTIFS($AK$2:$AK$200,$G58)&gt;0,
    COUNTIFS($AL$2:$AL$200,$G58)&gt;0,
    COUNTIFS($AM$2:$AM$200,$G58)&gt;0,
    COUNTIFS($AN$2:$AN$200,$G58)&gt;0,
    COUNTIFS($AO$2:$AO$200,$G58)&gt;0,
    COUNTIFS($AP$2:$AP$200,$G58)&gt;0,
    COUNTIFS($AQ$2:$AQ$200,$G58)&gt;0,
    COUNTIFS($AR$2:$AR$200,$G58)&gt;0,
    COUNTIFS($AS$2:$AS$200,$G58)&gt;0,
    COUNTIFS($AT$2:$AT$200,$G58)&gt;0,
    COUNTIFS($AU$2:$AU$200,$G58)&gt;0,
    COUNTIFS($AV$2:$AV$200,$G58)&gt;0,
    COUNTIFS($AW$2:$AW$200,$G58)&gt;0,
    COUNTIFS($AX$2:$AX$200,$G58)&gt;0,
    COUNTIFS($AY$2:$AY$200,$G58)&gt;0,
    COUNTIFS($AZ$2:$AZ$200,$G58)&gt;0,
    COUNTIFS($BA$2:$BA$200,$G58)&gt;0,
    COUNTIFS($BB$2:$BB$200,$G58)&gt;0,
    COUNTIFS($BC$2:$BC$200,$G58)&gt;0,
    COUNTIFS($BD$2:$BD$200,$G58)&gt;0,
    COUNTIFS($BE$2:$BE$200,$G58)&gt;0,
    COUNTIFS($BF$2:$BF$200,$G58)&gt;0,
    COUNTIFS($BG$2:$BG$200,$G58)&gt;0,
    COUNTIFS($BH$2:$BH$200,$G58)&gt;0,
    COUNTIFS($BI$2:$BI$200,$G58)&gt;0,
    COUNTIFS($BJ$2:$BJ$200,$G58)&gt;0,
    COUNTIFS($BK$2:$BK$200,$G58)&gt;0,
    COUNTIFS($BL$2:$BL$200,$G58)&gt;0,
    COUNTIFS($BM$2:$BM$200,$G58)&gt;0,
   ),
  0)
 ),
"")</f>
        <v>Rani</v>
      </c>
      <c r="D58" s="2" t="str" cm="1">
        <f t="array" aca="1" ref="D58" ca="1">IFERROR(
 INDEX(
  _xlfn._xlws.FILTER($V$1:$AY$1,
   TRANSPOSE(
    CHOOSE({1;2;3;4;5;6;7;8;9;10;11;12;13;14;15;16;17;18;19;20;21;22;23;24;25;26;27;28;29;30},
     COUNTIFS($V$2:$V$200,$G58)&gt;0,
     COUNTIFS($W$2:$W$200,$G58)&gt;0,
     COUNTIFS($X$2:$X$200,$G58)&gt;0,
     COUNTIFS($Y$2:$Y$200,$G58)&gt;0,
     COUNTIFS($Z$2:$Z$200,$G58)&gt;0,
     COUNTIFS($AA$2:$AA$200,$G58)&gt;0,
     COUNTIFS($AB$2:$AB$200,$G58)&gt;0,
     COUNTIFS($AC$2:$AC$200,$G58)&gt;0,
     COUNTIFS($AD$2:$AD$200,$G58)&gt;0,
     COUNTIFS($AE$2:$AE$200,$G58)&gt;0,
     COUNTIFS($AF$2:$AF$200,$G58)&gt;0,
     COUNTIFS($AG$2:$AG$200,$G58)&gt;0,
     COUNTIFS($AH$2:$AH$200,$G58)&gt;0,
     COUNTIFS($AI$2:$AI$200,$G58)&gt;0,
     COUNTIFS($AJ$2:$AJ$200,$G58)&gt;0,
     COUNTIFS($AK$2:$AK$200,$G58)&gt;0,
     COUNTIFS($AL$2:$AL$200,$G58)&gt;0,
     COUNTIFS($AM$2:$AM$200,$G58)&gt;0,
     COUNTIFS($AN$2:$AN$200,$G58)&gt;0,
     COUNTIFS($AO$2:$AO$200,$G58)&gt;0,
     COUNTIFS($AP$2:$AP$200,$G58)&gt;0,
     COUNTIFS($AQ$2:$AQ$200,$G58)&gt;0,
     COUNTIFS($AR$2:$AR$200,$G58)&gt;0,
     COUNTIFS($AS$2:$AS$200,$G58)&gt;0,
     COUNTIFS($AT$2:$AT$200,$G58)&gt;0,
     COUNTIFS($AU$2:$AU$200,$G58)&gt;0,
     COUNTIFS($AV$2:$AV$200,$G58)&gt;0,
     COUNTIFS($AW$2:$AW$200,$G58)&gt;0,
     COUNTIFS($AX$2:$AX$200,$G58)&gt;0,
     COUNTIFS($AY$2:$AY$200,$G58)&gt;0
   )),
  ),
  2
 ),
"")</f>
        <v/>
      </c>
      <c r="E58" s="2" t="str" cm="1">
        <f t="array" aca="1" ref="E58" ca="1">IFERROR(
 INDEX(
  _xlfn._xlws.FILTER($V$1:$AY$1,
   TRANSPOSE(
    CHOOSE({1;2;3;4;5;6;7;8;9;10;11;12;13;14;15;16;17;18;19;20;21;22;23;24;25;26;27;28;29;30},
     COUNTIFS($V$2:$V$200,$G58)&gt;0,
     COUNTIFS($W$2:$W$200,$G58)&gt;0,
     COUNTIFS($X$2:$X$200,$G58)&gt;0,
     COUNTIFS($Y$2:$Y$200,$G58)&gt;0,
     COUNTIFS($Z$2:$Z$200,$G58)&gt;0,
     COUNTIFS($AA$2:$AA$200,$G58)&gt;0,
     COUNTIFS($AB$2:$AB$200,$G58)&gt;0,
     COUNTIFS($AC$2:$AC$200,$G58)&gt;0,
     COUNTIFS($AD$2:$AD$200,$G58)&gt;0,
     COUNTIFS($AE$2:$AE$200,$G58)&gt;0,
     COUNTIFS($AF$2:$AF$200,$G58)&gt;0,
     COUNTIFS($AG$2:$AG$200,$G58)&gt;0,
     COUNTIFS($AH$2:$AH$200,$G58)&gt;0,
     COUNTIFS($AI$2:$AI$200,$G58)&gt;0,
     COUNTIFS($AJ$2:$AJ$200,$G58)&gt;0,
     COUNTIFS($AK$2:$AK$200,$G58)&gt;0,
     COUNTIFS($AL$2:$AL$200,$G58)&gt;0,
     COUNTIFS($AM$2:$AM$200,$G58)&gt;0,
     COUNTIFS($AN$2:$AN$200,$G58)&gt;0,
     COUNTIFS($AO$2:$AO$200,$G58)&gt;0,
     COUNTIFS($AP$2:$AP$200,$G58)&gt;0,
     COUNTIFS($AQ$2:$AQ$200,$G58)&gt;0,
     COUNTIFS($AR$2:$AR$200,$G58)&gt;0,
     COUNTIFS($AS$2:$AS$200,$G58)&gt;0,
     COUNTIFS($AT$2:$AT$200,$G58)&gt;0,
     COUNTIFS($AU$2:$AU$200,$G58)&gt;0,
     COUNTIFS($AV$2:$AV$200,$G58)&gt;0,
     COUNTIFS($AW$2:$AW$200,$G58)&gt;0,
     COUNTIFS($AX$2:$AX$200,$G58)&gt;0,
     COUNTIFS($AY$2:$AY$200,$G58)&gt;0
   )),
  ),
  3
 ),
"")</f>
        <v/>
      </c>
      <c r="F58" s="2" t="str" cm="1">
        <f t="array" aca="1" ref="F58" ca="1">IFERROR(
 INDEX(
  _xlfn._xlws.FILTER($V$1:$AY$1,
   TRANSPOSE(
    CHOOSE({1;2;3;4;5;6;7;8;9;10;11;12;13;14;15;16;17;18;19;20;21;22;23;24;25;26;27;28;29;30},
     COUNTIFS($V$2:$V$200,$G58)&gt;0,
     COUNTIFS($W$2:$W$200,$G58)&gt;0,
     COUNTIFS($X$2:$X$200,$G58)&gt;0,
     COUNTIFS($Y$2:$Y$200,$G58)&gt;0,
     COUNTIFS($Z$2:$Z$200,$G58)&gt;0,
     COUNTIFS($AA$2:$AA$200,$G58)&gt;0,
     COUNTIFS($AB$2:$AB$200,$G58)&gt;0,
     COUNTIFS($AC$2:$AC$200,$G58)&gt;0,
     COUNTIFS($AD$2:$AD$200,$G58)&gt;0,
     COUNTIFS($AE$2:$AE$200,$G58)&gt;0,
     COUNTIFS($AF$2:$AF$200,$G58)&gt;0,
     COUNTIFS($AG$2:$AG$200,$G58)&gt;0,
     COUNTIFS($AH$2:$AH$200,$G58)&gt;0,
     COUNTIFS($AI$2:$AI$200,$G58)&gt;0,
     COUNTIFS($AJ$2:$AJ$200,$G58)&gt;0,
     COUNTIFS($AK$2:$AK$200,$G58)&gt;0,
     COUNTIFS($AL$2:$AL$200,$G58)&gt;0,
     COUNTIFS($AM$2:$AM$200,$G58)&gt;0,
     COUNTIFS($AN$2:$AN$200,$G58)&gt;0,
     COUNTIFS($AO$2:$AO$200,$G58)&gt;0,
     COUNTIFS($AP$2:$AP$200,$G58)&gt;0,
     COUNTIFS($AQ$2:$AQ$200,$G58)&gt;0,
     COUNTIFS($AR$2:$AR$200,$G58)&gt;0,
     COUNTIFS($AS$2:$AS$200,$G58)&gt;0,
     COUNTIFS($AT$2:$AT$200,$G58)&gt;0,
     COUNTIFS($AU$2:$AU$200,$G58)&gt;0,
     COUNTIFS($AV$2:$AV$200,$G58)&gt;0,
     COUNTIFS($AW$2:$AW$200,$G58)&gt;0,
     COUNTIFS($AX$2:$AX$200,$G58)&gt;0,
     COUNTIFS($AY$2:$AY$200,$G58)&gt;0
   )),
  ),
  4
 ),
"")</f>
        <v/>
      </c>
      <c r="G58" t="str">
        <f ca="1"/>
        <v>Bothersome Quasit</v>
      </c>
      <c r="AO58" t="str">
        <v>Raffine's Tower</v>
      </c>
      <c r="BE58" t="str">
        <v>Plains</v>
      </c>
      <c r="BI58" t="str">
        <v>Swamp</v>
      </c>
      <c r="BJ58" t="str">
        <v>Plains</v>
      </c>
      <c r="BL58" t="str">
        <v>Kaervek the Merciless</v>
      </c>
      <c r="CR58" t="str">
        <f ca="1"/>
        <v>Raugrin Triome</v>
      </c>
      <c r="DC58" t="str">
        <f ca="1"/>
        <v>Sunpetal Grove</v>
      </c>
      <c r="DD58" t="str">
        <f ca="1"/>
        <v>Reliquary Tower</v>
      </c>
      <c r="DP58" t="str">
        <f ca="1"/>
        <v>Sphere Grid</v>
      </c>
      <c r="DT58" t="str">
        <f ca="1"/>
        <v>Psionic Sliver</v>
      </c>
      <c r="DZ58" t="str">
        <f ca="1"/>
        <v>Firebender Ascension</v>
      </c>
      <c r="EG58" t="str">
        <f ca="1"/>
        <v>March of the Canonized</v>
      </c>
      <c r="EH58" t="str">
        <f ca="1"/>
        <v>Satoru, the Infiltrator</v>
      </c>
      <c r="EI58" t="str">
        <f ca="1"/>
        <v>Jidoor, Aristocratic Capital // Overture</v>
      </c>
      <c r="EJ58" t="str">
        <f ca="1"/>
        <v>Tree of Tales</v>
      </c>
      <c r="EK58" t="str">
        <f ca="1"/>
        <v>Shelter</v>
      </c>
      <c r="EL58" t="str">
        <f ca="1"/>
        <v>Firebender Ascension</v>
      </c>
      <c r="EP58" t="str">
        <f ca="1"/>
        <v>Firebender Ascension</v>
      </c>
      <c r="EQ58" t="str">
        <f ca="1"/>
        <v>Generous Patron</v>
      </c>
      <c r="ER58" t="str">
        <f ca="1"/>
        <v>Dollmaker's Shop // Porcelain Gallery</v>
      </c>
      <c r="EU58" t="str">
        <f ca="1"/>
        <v>Cid, Freeflier Pilot</v>
      </c>
      <c r="EV58" t="str">
        <f ca="1"/>
        <v>Dollmaker's Shop // Porcelain Gallery</v>
      </c>
      <c r="EX58" t="str">
        <f ca="1"/>
        <v>Bothersome Quasit</v>
      </c>
    </row>
    <row r="59" spans="1:154" x14ac:dyDescent="0.25">
      <c r="A59" s="2" t="str">
        <f t="shared" ca="1" si="1"/>
        <v>4</v>
      </c>
      <c r="B59" s="2">
        <f t="shared" ca="1" si="2"/>
        <v>1</v>
      </c>
      <c r="C59" s="2" t="str">
        <f ca="1">IFERROR(
 INDEX($V$1:$BL$1,
  MATCH(TRUE,
   CHOOSE({1;2;3;4;5;6;7;8;9;10;11;12;13;14;15;16;17;18;19;20;21;22;23;24;25;26;27;28;29;30;31;32;33;34;35;36;37;38;39;40;41;42;43},
    COUNTIFS($V$2:$V$200,$G59)&gt;0,
    COUNTIFS($W$2:$W$200,$G59)&gt;0,
    COUNTIFS($X$2:$X$200,$G59)&gt;0,
    COUNTIFS($Y$2:$Y$200,$G59)&gt;0,
    COUNTIFS($Z$2:$Z$200,$G59)&gt;0,
    COUNTIFS($AA$2:$AA$200,$G59)&gt;0,
    COUNTIFS($AB$2:$AB$200,$G59)&gt;0,
    COUNTIFS($AC$2:$AC$200,$G59)&gt;0,
    COUNTIFS($AD$2:$AD$200,$G59)&gt;0,
    COUNTIFS($AE$2:$AE$200,$G59)&gt;0,
    COUNTIFS($AF$2:$AF$200,$G59)&gt;0,
    COUNTIFS($AG$2:$AG$200,$G59)&gt;0,
    COUNTIFS($AH$2:$AH$200,$G59)&gt;0,
    COUNTIFS($AI$2:$AI$200,$G59)&gt;0,
    COUNTIFS($AJ$2:$AJ$200,$G59)&gt;0,
    COUNTIFS($AK$2:$AK$200,$G59)&gt;0,
    COUNTIFS($AL$2:$AL$200,$G59)&gt;0,
    COUNTIFS($AM$2:$AM$200,$G59)&gt;0,
    COUNTIFS($AN$2:$AN$200,$G59)&gt;0,
    COUNTIFS($AO$2:$AO$200,$G59)&gt;0,
    COUNTIFS($AP$2:$AP$200,$G59)&gt;0,
    COUNTIFS($AQ$2:$AQ$200,$G59)&gt;0,
    COUNTIFS($AR$2:$AR$200,$G59)&gt;0,
    COUNTIFS($AS$2:$AS$200,$G59)&gt;0,
    COUNTIFS($AT$2:$AT$200,$G59)&gt;0,
    COUNTIFS($AU$2:$AU$200,$G59)&gt;0,
    COUNTIFS($AV$2:$AV$200,$G59)&gt;0,
    COUNTIFS($AW$2:$AW$200,$G59)&gt;0,
    COUNTIFS($AX$2:$AX$200,$G59)&gt;0,
    COUNTIFS($AY$2:$AY$200,$G59)&gt;0,
    COUNTIFS($AZ$2:$AZ$200,$G59)&gt;0,
    COUNTIFS($BA$2:$BA$200,$G59)&gt;0,
    COUNTIFS($BB$2:$BB$200,$G59)&gt;0,
    COUNTIFS($BC$2:$BC$200,$G59)&gt;0,
    COUNTIFS($BD$2:$BD$200,$G59)&gt;0,
    COUNTIFS($BE$2:$BE$200,$G59)&gt;0,
    COUNTIFS($BF$2:$BF$200,$G59)&gt;0,
    COUNTIFS($BG$2:$BG$200,$G59)&gt;0,
    COUNTIFS($BH$2:$BH$200,$G59)&gt;0,
    COUNTIFS($BI$2:$BI$200,$G59)&gt;0,
    COUNTIFS($BJ$2:$BJ$200,$G59)&gt;0,
    COUNTIFS($BK$2:$BK$200,$G59)&gt;0,
    COUNTIFS($BL$2:$BL$200,$G59)&gt;0,
    COUNTIFS($BM$2:$BM$200,$G59)&gt;0,
   ),
  0)
 ),
"")</f>
        <v>Narset</v>
      </c>
      <c r="D59" s="2" t="str" cm="1">
        <f t="array" aca="1" ref="D59" ca="1">IFERROR(
 INDEX(
  _xlfn._xlws.FILTER($V$1:$AY$1,
   TRANSPOSE(
    CHOOSE({1;2;3;4;5;6;7;8;9;10;11;12;13;14;15;16;17;18;19;20;21;22;23;24;25;26;27;28;29;30},
     COUNTIFS($V$2:$V$200,$G59)&gt;0,
     COUNTIFS($W$2:$W$200,$G59)&gt;0,
     COUNTIFS($X$2:$X$200,$G59)&gt;0,
     COUNTIFS($Y$2:$Y$200,$G59)&gt;0,
     COUNTIFS($Z$2:$Z$200,$G59)&gt;0,
     COUNTIFS($AA$2:$AA$200,$G59)&gt;0,
     COUNTIFS($AB$2:$AB$200,$G59)&gt;0,
     COUNTIFS($AC$2:$AC$200,$G59)&gt;0,
     COUNTIFS($AD$2:$AD$200,$G59)&gt;0,
     COUNTIFS($AE$2:$AE$200,$G59)&gt;0,
     COUNTIFS($AF$2:$AF$200,$G59)&gt;0,
     COUNTIFS($AG$2:$AG$200,$G59)&gt;0,
     COUNTIFS($AH$2:$AH$200,$G59)&gt;0,
     COUNTIFS($AI$2:$AI$200,$G59)&gt;0,
     COUNTIFS($AJ$2:$AJ$200,$G59)&gt;0,
     COUNTIFS($AK$2:$AK$200,$G59)&gt;0,
     COUNTIFS($AL$2:$AL$200,$G59)&gt;0,
     COUNTIFS($AM$2:$AM$200,$G59)&gt;0,
     COUNTIFS($AN$2:$AN$200,$G59)&gt;0,
     COUNTIFS($AO$2:$AO$200,$G59)&gt;0,
     COUNTIFS($AP$2:$AP$200,$G59)&gt;0,
     COUNTIFS($AQ$2:$AQ$200,$G59)&gt;0,
     COUNTIFS($AR$2:$AR$200,$G59)&gt;0,
     COUNTIFS($AS$2:$AS$200,$G59)&gt;0,
     COUNTIFS($AT$2:$AT$200,$G59)&gt;0,
     COUNTIFS($AU$2:$AU$200,$G59)&gt;0,
     COUNTIFS($AV$2:$AV$200,$G59)&gt;0,
     COUNTIFS($AW$2:$AW$200,$G59)&gt;0,
     COUNTIFS($AX$2:$AX$200,$G59)&gt;0,
     COUNTIFS($AY$2:$AY$200,$G59)&gt;0
   )),
  ),
  2
 ),
"")</f>
        <v/>
      </c>
      <c r="E59" s="2" t="str" cm="1">
        <f t="array" aca="1" ref="E59" ca="1">IFERROR(
 INDEX(
  _xlfn._xlws.FILTER($V$1:$AY$1,
   TRANSPOSE(
    CHOOSE({1;2;3;4;5;6;7;8;9;10;11;12;13;14;15;16;17;18;19;20;21;22;23;24;25;26;27;28;29;30},
     COUNTIFS($V$2:$V$200,$G59)&gt;0,
     COUNTIFS($W$2:$W$200,$G59)&gt;0,
     COUNTIFS($X$2:$X$200,$G59)&gt;0,
     COUNTIFS($Y$2:$Y$200,$G59)&gt;0,
     COUNTIFS($Z$2:$Z$200,$G59)&gt;0,
     COUNTIFS($AA$2:$AA$200,$G59)&gt;0,
     COUNTIFS($AB$2:$AB$200,$G59)&gt;0,
     COUNTIFS($AC$2:$AC$200,$G59)&gt;0,
     COUNTIFS($AD$2:$AD$200,$G59)&gt;0,
     COUNTIFS($AE$2:$AE$200,$G59)&gt;0,
     COUNTIFS($AF$2:$AF$200,$G59)&gt;0,
     COUNTIFS($AG$2:$AG$200,$G59)&gt;0,
     COUNTIFS($AH$2:$AH$200,$G59)&gt;0,
     COUNTIFS($AI$2:$AI$200,$G59)&gt;0,
     COUNTIFS($AJ$2:$AJ$200,$G59)&gt;0,
     COUNTIFS($AK$2:$AK$200,$G59)&gt;0,
     COUNTIFS($AL$2:$AL$200,$G59)&gt;0,
     COUNTIFS($AM$2:$AM$200,$G59)&gt;0,
     COUNTIFS($AN$2:$AN$200,$G59)&gt;0,
     COUNTIFS($AO$2:$AO$200,$G59)&gt;0,
     COUNTIFS($AP$2:$AP$200,$G59)&gt;0,
     COUNTIFS($AQ$2:$AQ$200,$G59)&gt;0,
     COUNTIFS($AR$2:$AR$200,$G59)&gt;0,
     COUNTIFS($AS$2:$AS$200,$G59)&gt;0,
     COUNTIFS($AT$2:$AT$200,$G59)&gt;0,
     COUNTIFS($AU$2:$AU$200,$G59)&gt;0,
     COUNTIFS($AV$2:$AV$200,$G59)&gt;0,
     COUNTIFS($AW$2:$AW$200,$G59)&gt;0,
     COUNTIFS($AX$2:$AX$200,$G59)&gt;0,
     COUNTIFS($AY$2:$AY$200,$G59)&gt;0
   )),
  ),
  3
 ),
"")</f>
        <v/>
      </c>
      <c r="F59" s="2" t="str" cm="1">
        <f t="array" aca="1" ref="F59" ca="1">IFERROR(
 INDEX(
  _xlfn._xlws.FILTER($V$1:$AY$1,
   TRANSPOSE(
    CHOOSE({1;2;3;4;5;6;7;8;9;10;11;12;13;14;15;16;17;18;19;20;21;22;23;24;25;26;27;28;29;30},
     COUNTIFS($V$2:$V$200,$G59)&gt;0,
     COUNTIFS($W$2:$W$200,$G59)&gt;0,
     COUNTIFS($X$2:$X$200,$G59)&gt;0,
     COUNTIFS($Y$2:$Y$200,$G59)&gt;0,
     COUNTIFS($Z$2:$Z$200,$G59)&gt;0,
     COUNTIFS($AA$2:$AA$200,$G59)&gt;0,
     COUNTIFS($AB$2:$AB$200,$G59)&gt;0,
     COUNTIFS($AC$2:$AC$200,$G59)&gt;0,
     COUNTIFS($AD$2:$AD$200,$G59)&gt;0,
     COUNTIFS($AE$2:$AE$200,$G59)&gt;0,
     COUNTIFS($AF$2:$AF$200,$G59)&gt;0,
     COUNTIFS($AG$2:$AG$200,$G59)&gt;0,
     COUNTIFS($AH$2:$AH$200,$G59)&gt;0,
     COUNTIFS($AI$2:$AI$200,$G59)&gt;0,
     COUNTIFS($AJ$2:$AJ$200,$G59)&gt;0,
     COUNTIFS($AK$2:$AK$200,$G59)&gt;0,
     COUNTIFS($AL$2:$AL$200,$G59)&gt;0,
     COUNTIFS($AM$2:$AM$200,$G59)&gt;0,
     COUNTIFS($AN$2:$AN$200,$G59)&gt;0,
     COUNTIFS($AO$2:$AO$200,$G59)&gt;0,
     COUNTIFS($AP$2:$AP$200,$G59)&gt;0,
     COUNTIFS($AQ$2:$AQ$200,$G59)&gt;0,
     COUNTIFS($AR$2:$AR$200,$G59)&gt;0,
     COUNTIFS($AS$2:$AS$200,$G59)&gt;0,
     COUNTIFS($AT$2:$AT$200,$G59)&gt;0,
     COUNTIFS($AU$2:$AU$200,$G59)&gt;0,
     COUNTIFS($AV$2:$AV$200,$G59)&gt;0,
     COUNTIFS($AW$2:$AW$200,$G59)&gt;0,
     COUNTIFS($AX$2:$AX$200,$G59)&gt;0,
     COUNTIFS($AY$2:$AY$200,$G59)&gt;0
   )),
  ),
  4
 ),
"")</f>
        <v/>
      </c>
      <c r="G59" t="str">
        <f ca="1"/>
        <v>Brass's Tunnel-Grinder</v>
      </c>
      <c r="AO59" t="str">
        <v>Raugrin Triome</v>
      </c>
      <c r="BE59" t="str">
        <v>Plains</v>
      </c>
      <c r="BI59" t="str">
        <v>Swamp</v>
      </c>
      <c r="BJ59" t="str">
        <v>Rabble Rousing</v>
      </c>
      <c r="BL59" t="str">
        <v>Kess, Dissident Mage</v>
      </c>
      <c r="CR59" t="str">
        <f ca="1"/>
        <v>Realmwalker</v>
      </c>
      <c r="DC59" t="str">
        <f ca="1"/>
        <v>Swamp</v>
      </c>
      <c r="DD59" t="str">
        <f ca="1"/>
        <v>Respite</v>
      </c>
      <c r="DP59" t="str">
        <f ca="1"/>
        <v>Springleaf Parade</v>
      </c>
      <c r="DT59" t="str">
        <f ca="1"/>
        <v>Pulmonic Sliver</v>
      </c>
      <c r="DZ59" t="str">
        <f ca="1"/>
        <v>Forest</v>
      </c>
      <c r="EG59" t="str">
        <f ca="1"/>
        <v>Merrow Commerce</v>
      </c>
      <c r="EH59" t="str">
        <f ca="1"/>
        <v>Sea Gate Restoration</v>
      </c>
      <c r="EI59" t="str">
        <f ca="1"/>
        <v>Katara's Reversal</v>
      </c>
      <c r="EJ59" t="str">
        <f ca="1"/>
        <v>Warren Torchmaster</v>
      </c>
      <c r="EK59" t="str">
        <f ca="1"/>
        <v>Smoldering Marsh</v>
      </c>
      <c r="EL59" t="str">
        <f ca="1"/>
        <v>Forest</v>
      </c>
      <c r="EP59" t="str">
        <f ca="1"/>
        <v>Forsaken Miner</v>
      </c>
      <c r="EQ59" t="str">
        <f ca="1"/>
        <v>Giggling Skitterspike</v>
      </c>
      <c r="ER59" t="str">
        <f ca="1"/>
        <v>Dour Port-Mage</v>
      </c>
      <c r="EU59" t="str">
        <f ca="1"/>
        <v>Cinder Strike</v>
      </c>
      <c r="EV59" t="str">
        <f ca="1"/>
        <v>Dour Port-Mage</v>
      </c>
      <c r="EX59" t="str">
        <f ca="1"/>
        <v>Brass's Tunnel-Grinder</v>
      </c>
    </row>
    <row r="60" spans="1:154" x14ac:dyDescent="0.25">
      <c r="A60" s="2" t="str">
        <f t="shared" ca="1" si="1"/>
        <v>5</v>
      </c>
      <c r="B60" s="2">
        <f t="shared" ca="1" si="2"/>
        <v>1</v>
      </c>
      <c r="C60" s="2" t="str">
        <f ca="1">IFERROR(
 INDEX($V$1:$BL$1,
  MATCH(TRUE,
   CHOOSE({1;2;3;4;5;6;7;8;9;10;11;12;13;14;15;16;17;18;19;20;21;22;23;24;25;26;27;28;29;30;31;32;33;34;35;36;37;38;39;40;41;42;43},
    COUNTIFS($V$2:$V$200,$G60)&gt;0,
    COUNTIFS($W$2:$W$200,$G60)&gt;0,
    COUNTIFS($X$2:$X$200,$G60)&gt;0,
    COUNTIFS($Y$2:$Y$200,$G60)&gt;0,
    COUNTIFS($Z$2:$Z$200,$G60)&gt;0,
    COUNTIFS($AA$2:$AA$200,$G60)&gt;0,
    COUNTIFS($AB$2:$AB$200,$G60)&gt;0,
    COUNTIFS($AC$2:$AC$200,$G60)&gt;0,
    COUNTIFS($AD$2:$AD$200,$G60)&gt;0,
    COUNTIFS($AE$2:$AE$200,$G60)&gt;0,
    COUNTIFS($AF$2:$AF$200,$G60)&gt;0,
    COUNTIFS($AG$2:$AG$200,$G60)&gt;0,
    COUNTIFS($AH$2:$AH$200,$G60)&gt;0,
    COUNTIFS($AI$2:$AI$200,$G60)&gt;0,
    COUNTIFS($AJ$2:$AJ$200,$G60)&gt;0,
    COUNTIFS($AK$2:$AK$200,$G60)&gt;0,
    COUNTIFS($AL$2:$AL$200,$G60)&gt;0,
    COUNTIFS($AM$2:$AM$200,$G60)&gt;0,
    COUNTIFS($AN$2:$AN$200,$G60)&gt;0,
    COUNTIFS($AO$2:$AO$200,$G60)&gt;0,
    COUNTIFS($AP$2:$AP$200,$G60)&gt;0,
    COUNTIFS($AQ$2:$AQ$200,$G60)&gt;0,
    COUNTIFS($AR$2:$AR$200,$G60)&gt;0,
    COUNTIFS($AS$2:$AS$200,$G60)&gt;0,
    COUNTIFS($AT$2:$AT$200,$G60)&gt;0,
    COUNTIFS($AU$2:$AU$200,$G60)&gt;0,
    COUNTIFS($AV$2:$AV$200,$G60)&gt;0,
    COUNTIFS($AW$2:$AW$200,$G60)&gt;0,
    COUNTIFS($AX$2:$AX$200,$G60)&gt;0,
    COUNTIFS($AY$2:$AY$200,$G60)&gt;0,
    COUNTIFS($AZ$2:$AZ$200,$G60)&gt;0,
    COUNTIFS($BA$2:$BA$200,$G60)&gt;0,
    COUNTIFS($BB$2:$BB$200,$G60)&gt;0,
    COUNTIFS($BC$2:$BC$200,$G60)&gt;0,
    COUNTIFS($BD$2:$BD$200,$G60)&gt;0,
    COUNTIFS($BE$2:$BE$200,$G60)&gt;0,
    COUNTIFS($BF$2:$BF$200,$G60)&gt;0,
    COUNTIFS($BG$2:$BG$200,$G60)&gt;0,
    COUNTIFS($BH$2:$BH$200,$G60)&gt;0,
    COUNTIFS($BI$2:$BI$200,$G60)&gt;0,
    COUNTIFS($BJ$2:$BJ$200,$G60)&gt;0,
    COUNTIFS($BK$2:$BK$200,$G60)&gt;0,
    COUNTIFS($BL$2:$BL$200,$G60)&gt;0,
    COUNTIFS($BM$2:$BM$200,$G60)&gt;0,
   ),
  0)
 ),
"")</f>
        <v>Little</v>
      </c>
      <c r="D60" s="2" t="str" cm="1">
        <f t="array" aca="1" ref="D60" ca="1">IFERROR(
 INDEX(
  _xlfn._xlws.FILTER($V$1:$AY$1,
   TRANSPOSE(
    CHOOSE({1;2;3;4;5;6;7;8;9;10;11;12;13;14;15;16;17;18;19;20;21;22;23;24;25;26;27;28;29;30},
     COUNTIFS($V$2:$V$200,$G60)&gt;0,
     COUNTIFS($W$2:$W$200,$G60)&gt;0,
     COUNTIFS($X$2:$X$200,$G60)&gt;0,
     COUNTIFS($Y$2:$Y$200,$G60)&gt;0,
     COUNTIFS($Z$2:$Z$200,$G60)&gt;0,
     COUNTIFS($AA$2:$AA$200,$G60)&gt;0,
     COUNTIFS($AB$2:$AB$200,$G60)&gt;0,
     COUNTIFS($AC$2:$AC$200,$G60)&gt;0,
     COUNTIFS($AD$2:$AD$200,$G60)&gt;0,
     COUNTIFS($AE$2:$AE$200,$G60)&gt;0,
     COUNTIFS($AF$2:$AF$200,$G60)&gt;0,
     COUNTIFS($AG$2:$AG$200,$G60)&gt;0,
     COUNTIFS($AH$2:$AH$200,$G60)&gt;0,
     COUNTIFS($AI$2:$AI$200,$G60)&gt;0,
     COUNTIFS($AJ$2:$AJ$200,$G60)&gt;0,
     COUNTIFS($AK$2:$AK$200,$G60)&gt;0,
     COUNTIFS($AL$2:$AL$200,$G60)&gt;0,
     COUNTIFS($AM$2:$AM$200,$G60)&gt;0,
     COUNTIFS($AN$2:$AN$200,$G60)&gt;0,
     COUNTIFS($AO$2:$AO$200,$G60)&gt;0,
     COUNTIFS($AP$2:$AP$200,$G60)&gt;0,
     COUNTIFS($AQ$2:$AQ$200,$G60)&gt;0,
     COUNTIFS($AR$2:$AR$200,$G60)&gt;0,
     COUNTIFS($AS$2:$AS$200,$G60)&gt;0,
     COUNTIFS($AT$2:$AT$200,$G60)&gt;0,
     COUNTIFS($AU$2:$AU$200,$G60)&gt;0,
     COUNTIFS($AV$2:$AV$200,$G60)&gt;0,
     COUNTIFS($AW$2:$AW$200,$G60)&gt;0,
     COUNTIFS($AX$2:$AX$200,$G60)&gt;0,
     COUNTIFS($AY$2:$AY$200,$G60)&gt;0
   )),
  ),
  2
 ),
"")</f>
        <v/>
      </c>
      <c r="E60" s="2" t="str" cm="1">
        <f t="array" aca="1" ref="E60" ca="1">IFERROR(
 INDEX(
  _xlfn._xlws.FILTER($V$1:$AY$1,
   TRANSPOSE(
    CHOOSE({1;2;3;4;5;6;7;8;9;10;11;12;13;14;15;16;17;18;19;20;21;22;23;24;25;26;27;28;29;30},
     COUNTIFS($V$2:$V$200,$G60)&gt;0,
     COUNTIFS($W$2:$W$200,$G60)&gt;0,
     COUNTIFS($X$2:$X$200,$G60)&gt;0,
     COUNTIFS($Y$2:$Y$200,$G60)&gt;0,
     COUNTIFS($Z$2:$Z$200,$G60)&gt;0,
     COUNTIFS($AA$2:$AA$200,$G60)&gt;0,
     COUNTIFS($AB$2:$AB$200,$G60)&gt;0,
     COUNTIFS($AC$2:$AC$200,$G60)&gt;0,
     COUNTIFS($AD$2:$AD$200,$G60)&gt;0,
     COUNTIFS($AE$2:$AE$200,$G60)&gt;0,
     COUNTIFS($AF$2:$AF$200,$G60)&gt;0,
     COUNTIFS($AG$2:$AG$200,$G60)&gt;0,
     COUNTIFS($AH$2:$AH$200,$G60)&gt;0,
     COUNTIFS($AI$2:$AI$200,$G60)&gt;0,
     COUNTIFS($AJ$2:$AJ$200,$G60)&gt;0,
     COUNTIFS($AK$2:$AK$200,$G60)&gt;0,
     COUNTIFS($AL$2:$AL$200,$G60)&gt;0,
     COUNTIFS($AM$2:$AM$200,$G60)&gt;0,
     COUNTIFS($AN$2:$AN$200,$G60)&gt;0,
     COUNTIFS($AO$2:$AO$200,$G60)&gt;0,
     COUNTIFS($AP$2:$AP$200,$G60)&gt;0,
     COUNTIFS($AQ$2:$AQ$200,$G60)&gt;0,
     COUNTIFS($AR$2:$AR$200,$G60)&gt;0,
     COUNTIFS($AS$2:$AS$200,$G60)&gt;0,
     COUNTIFS($AT$2:$AT$200,$G60)&gt;0,
     COUNTIFS($AU$2:$AU$200,$G60)&gt;0,
     COUNTIFS($AV$2:$AV$200,$G60)&gt;0,
     COUNTIFS($AW$2:$AW$200,$G60)&gt;0,
     COUNTIFS($AX$2:$AX$200,$G60)&gt;0,
     COUNTIFS($AY$2:$AY$200,$G60)&gt;0
   )),
  ),
  3
 ),
"")</f>
        <v/>
      </c>
      <c r="F60" s="2" t="str" cm="1">
        <f t="array" aca="1" ref="F60" ca="1">IFERROR(
 INDEX(
  _xlfn._xlws.FILTER($V$1:$AY$1,
   TRANSPOSE(
    CHOOSE({1;2;3;4;5;6;7;8;9;10;11;12;13;14;15;16;17;18;19;20;21;22;23;24;25;26;27;28;29;30},
     COUNTIFS($V$2:$V$200,$G60)&gt;0,
     COUNTIFS($W$2:$W$200,$G60)&gt;0,
     COUNTIFS($X$2:$X$200,$G60)&gt;0,
     COUNTIFS($Y$2:$Y$200,$G60)&gt;0,
     COUNTIFS($Z$2:$Z$200,$G60)&gt;0,
     COUNTIFS($AA$2:$AA$200,$G60)&gt;0,
     COUNTIFS($AB$2:$AB$200,$G60)&gt;0,
     COUNTIFS($AC$2:$AC$200,$G60)&gt;0,
     COUNTIFS($AD$2:$AD$200,$G60)&gt;0,
     COUNTIFS($AE$2:$AE$200,$G60)&gt;0,
     COUNTIFS($AF$2:$AF$200,$G60)&gt;0,
     COUNTIFS($AG$2:$AG$200,$G60)&gt;0,
     COUNTIFS($AH$2:$AH$200,$G60)&gt;0,
     COUNTIFS($AI$2:$AI$200,$G60)&gt;0,
     COUNTIFS($AJ$2:$AJ$200,$G60)&gt;0,
     COUNTIFS($AK$2:$AK$200,$G60)&gt;0,
     COUNTIFS($AL$2:$AL$200,$G60)&gt;0,
     COUNTIFS($AM$2:$AM$200,$G60)&gt;0,
     COUNTIFS($AN$2:$AN$200,$G60)&gt;0,
     COUNTIFS($AO$2:$AO$200,$G60)&gt;0,
     COUNTIFS($AP$2:$AP$200,$G60)&gt;0,
     COUNTIFS($AQ$2:$AQ$200,$G60)&gt;0,
     COUNTIFS($AR$2:$AR$200,$G60)&gt;0,
     COUNTIFS($AS$2:$AS$200,$G60)&gt;0,
     COUNTIFS($AT$2:$AT$200,$G60)&gt;0,
     COUNTIFS($AU$2:$AU$200,$G60)&gt;0,
     COUNTIFS($AV$2:$AV$200,$G60)&gt;0,
     COUNTIFS($AW$2:$AW$200,$G60)&gt;0,
     COUNTIFS($AX$2:$AX$200,$G60)&gt;0,
     COUNTIFS($AY$2:$AY$200,$G60)&gt;0
   )),
  ),
  4
 ),
"")</f>
        <v/>
      </c>
      <c r="G60" t="str">
        <f ca="1"/>
        <v>Bre of Clan Stoutarm</v>
      </c>
      <c r="AO60" t="str">
        <v>Realmwalker</v>
      </c>
      <c r="BE60" t="str">
        <v>Plains</v>
      </c>
      <c r="BI60" t="str">
        <v>Swords to Plowshares</v>
      </c>
      <c r="BJ60" t="str">
        <v>Radiant Summit</v>
      </c>
      <c r="BL60" t="str">
        <v>Krosan Grip</v>
      </c>
      <c r="CR60" t="str">
        <f ca="1"/>
        <v>Regal Sliver</v>
      </c>
      <c r="DC60" t="str">
        <f ca="1"/>
        <v>Tana, the Bloodsower</v>
      </c>
      <c r="DD60" t="str">
        <f ca="1"/>
        <v>Rewind</v>
      </c>
      <c r="DP60" t="str">
        <f ca="1"/>
        <v>Summon: Ixion</v>
      </c>
      <c r="DT60" t="str">
        <f ca="1"/>
        <v>Quick Sliver</v>
      </c>
      <c r="DZ60" t="str">
        <f ca="1"/>
        <v>Growth Spiral</v>
      </c>
      <c r="EG60" t="str">
        <f ca="1"/>
        <v>Merrow Harbinger</v>
      </c>
      <c r="EH60" t="str">
        <f ca="1"/>
        <v>Shizo, Death's Storehouse</v>
      </c>
      <c r="EI60" t="str">
        <f ca="1"/>
        <v>Ketria Triome</v>
      </c>
      <c r="EJ60" t="str">
        <f ca="1"/>
        <v>Yavimaya, Cradle of Growth</v>
      </c>
      <c r="EK60" t="str">
        <f ca="1"/>
        <v>Sol Ring</v>
      </c>
      <c r="EL60" t="str">
        <f ca="1"/>
        <v>Growth Spiral</v>
      </c>
      <c r="EP60" t="str">
        <f ca="1"/>
        <v>Freyalise, Llanowar's Fury</v>
      </c>
      <c r="EQ60" t="str">
        <f ca="1"/>
        <v>Glen Elendra's Answer</v>
      </c>
      <c r="ER60" t="str">
        <f ca="1"/>
        <v>Dovin's Veto</v>
      </c>
      <c r="EU60" t="str">
        <f ca="1"/>
        <v>Clever Concealment</v>
      </c>
      <c r="EV60" t="str">
        <f ca="1"/>
        <v>Dovin's Veto</v>
      </c>
      <c r="EX60" t="str">
        <f ca="1"/>
        <v>Bre of Clan Stoutarm</v>
      </c>
    </row>
    <row r="61" spans="1:154" x14ac:dyDescent="0.25">
      <c r="A61" s="2" t="str">
        <f t="shared" ca="1" si="1"/>
        <v>5</v>
      </c>
      <c r="B61" s="2">
        <f t="shared" ca="1" si="2"/>
        <v>1</v>
      </c>
      <c r="C61" s="2" t="str">
        <f ca="1">IFERROR(
 INDEX($V$1:$BL$1,
  MATCH(TRUE,
   CHOOSE({1;2;3;4;5;6;7;8;9;10;11;12;13;14;15;16;17;18;19;20;21;22;23;24;25;26;27;28;29;30;31;32;33;34;35;36;37;38;39;40;41;42;43},
    COUNTIFS($V$2:$V$200,$G61)&gt;0,
    COUNTIFS($W$2:$W$200,$G61)&gt;0,
    COUNTIFS($X$2:$X$200,$G61)&gt;0,
    COUNTIFS($Y$2:$Y$200,$G61)&gt;0,
    COUNTIFS($Z$2:$Z$200,$G61)&gt;0,
    COUNTIFS($AA$2:$AA$200,$G61)&gt;0,
    COUNTIFS($AB$2:$AB$200,$G61)&gt;0,
    COUNTIFS($AC$2:$AC$200,$G61)&gt;0,
    COUNTIFS($AD$2:$AD$200,$G61)&gt;0,
    COUNTIFS($AE$2:$AE$200,$G61)&gt;0,
    COUNTIFS($AF$2:$AF$200,$G61)&gt;0,
    COUNTIFS($AG$2:$AG$200,$G61)&gt;0,
    COUNTIFS($AH$2:$AH$200,$G61)&gt;0,
    COUNTIFS($AI$2:$AI$200,$G61)&gt;0,
    COUNTIFS($AJ$2:$AJ$200,$G61)&gt;0,
    COUNTIFS($AK$2:$AK$200,$G61)&gt;0,
    COUNTIFS($AL$2:$AL$200,$G61)&gt;0,
    COUNTIFS($AM$2:$AM$200,$G61)&gt;0,
    COUNTIFS($AN$2:$AN$200,$G61)&gt;0,
    COUNTIFS($AO$2:$AO$200,$G61)&gt;0,
    COUNTIFS($AP$2:$AP$200,$G61)&gt;0,
    COUNTIFS($AQ$2:$AQ$200,$G61)&gt;0,
    COUNTIFS($AR$2:$AR$200,$G61)&gt;0,
    COUNTIFS($AS$2:$AS$200,$G61)&gt;0,
    COUNTIFS($AT$2:$AT$200,$G61)&gt;0,
    COUNTIFS($AU$2:$AU$200,$G61)&gt;0,
    COUNTIFS($AV$2:$AV$200,$G61)&gt;0,
    COUNTIFS($AW$2:$AW$200,$G61)&gt;0,
    COUNTIFS($AX$2:$AX$200,$G61)&gt;0,
    COUNTIFS($AY$2:$AY$200,$G61)&gt;0,
    COUNTIFS($AZ$2:$AZ$200,$G61)&gt;0,
    COUNTIFS($BA$2:$BA$200,$G61)&gt;0,
    COUNTIFS($BB$2:$BB$200,$G61)&gt;0,
    COUNTIFS($BC$2:$BC$200,$G61)&gt;0,
    COUNTIFS($BD$2:$BD$200,$G61)&gt;0,
    COUNTIFS($BE$2:$BE$200,$G61)&gt;0,
    COUNTIFS($BF$2:$BF$200,$G61)&gt;0,
    COUNTIFS($BG$2:$BG$200,$G61)&gt;0,
    COUNTIFS($BH$2:$BH$200,$G61)&gt;0,
    COUNTIFS($BI$2:$BI$200,$G61)&gt;0,
    COUNTIFS($BJ$2:$BJ$200,$G61)&gt;0,
    COUNTIFS($BK$2:$BK$200,$G61)&gt;0,
    COUNTIFS($BL$2:$BL$200,$G61)&gt;0,
    COUNTIFS($BM$2:$BM$200,$G61)&gt;0,
   ),
  0)
 ),
"")</f>
        <v>Fractius</v>
      </c>
      <c r="D61" s="2" t="str" cm="1">
        <f t="array" aca="1" ref="D61" ca="1">IFERROR(
 INDEX(
  _xlfn._xlws.FILTER($V$1:$AY$1,
   TRANSPOSE(
    CHOOSE({1;2;3;4;5;6;7;8;9;10;11;12;13;14;15;16;17;18;19;20;21;22;23;24;25;26;27;28;29;30},
     COUNTIFS($V$2:$V$200,$G61)&gt;0,
     COUNTIFS($W$2:$W$200,$G61)&gt;0,
     COUNTIFS($X$2:$X$200,$G61)&gt;0,
     COUNTIFS($Y$2:$Y$200,$G61)&gt;0,
     COUNTIFS($Z$2:$Z$200,$G61)&gt;0,
     COUNTIFS($AA$2:$AA$200,$G61)&gt;0,
     COUNTIFS($AB$2:$AB$200,$G61)&gt;0,
     COUNTIFS($AC$2:$AC$200,$G61)&gt;0,
     COUNTIFS($AD$2:$AD$200,$G61)&gt;0,
     COUNTIFS($AE$2:$AE$200,$G61)&gt;0,
     COUNTIFS($AF$2:$AF$200,$G61)&gt;0,
     COUNTIFS($AG$2:$AG$200,$G61)&gt;0,
     COUNTIFS($AH$2:$AH$200,$G61)&gt;0,
     COUNTIFS($AI$2:$AI$200,$G61)&gt;0,
     COUNTIFS($AJ$2:$AJ$200,$G61)&gt;0,
     COUNTIFS($AK$2:$AK$200,$G61)&gt;0,
     COUNTIFS($AL$2:$AL$200,$G61)&gt;0,
     COUNTIFS($AM$2:$AM$200,$G61)&gt;0,
     COUNTIFS($AN$2:$AN$200,$G61)&gt;0,
     COUNTIFS($AO$2:$AO$200,$G61)&gt;0,
     COUNTIFS($AP$2:$AP$200,$G61)&gt;0,
     COUNTIFS($AQ$2:$AQ$200,$G61)&gt;0,
     COUNTIFS($AR$2:$AR$200,$G61)&gt;0,
     COUNTIFS($AS$2:$AS$200,$G61)&gt;0,
     COUNTIFS($AT$2:$AT$200,$G61)&gt;0,
     COUNTIFS($AU$2:$AU$200,$G61)&gt;0,
     COUNTIFS($AV$2:$AV$200,$G61)&gt;0,
     COUNTIFS($AW$2:$AW$200,$G61)&gt;0,
     COUNTIFS($AX$2:$AX$200,$G61)&gt;0,
     COUNTIFS($AY$2:$AY$200,$G61)&gt;0
   )),
  ),
  2
 ),
"")</f>
        <v/>
      </c>
      <c r="E61" s="2" t="str" cm="1">
        <f t="array" aca="1" ref="E61" ca="1">IFERROR(
 INDEX(
  _xlfn._xlws.FILTER($V$1:$AY$1,
   TRANSPOSE(
    CHOOSE({1;2;3;4;5;6;7;8;9;10;11;12;13;14;15;16;17;18;19;20;21;22;23;24;25;26;27;28;29;30},
     COUNTIFS($V$2:$V$200,$G61)&gt;0,
     COUNTIFS($W$2:$W$200,$G61)&gt;0,
     COUNTIFS($X$2:$X$200,$G61)&gt;0,
     COUNTIFS($Y$2:$Y$200,$G61)&gt;0,
     COUNTIFS($Z$2:$Z$200,$G61)&gt;0,
     COUNTIFS($AA$2:$AA$200,$G61)&gt;0,
     COUNTIFS($AB$2:$AB$200,$G61)&gt;0,
     COUNTIFS($AC$2:$AC$200,$G61)&gt;0,
     COUNTIFS($AD$2:$AD$200,$G61)&gt;0,
     COUNTIFS($AE$2:$AE$200,$G61)&gt;0,
     COUNTIFS($AF$2:$AF$200,$G61)&gt;0,
     COUNTIFS($AG$2:$AG$200,$G61)&gt;0,
     COUNTIFS($AH$2:$AH$200,$G61)&gt;0,
     COUNTIFS($AI$2:$AI$200,$G61)&gt;0,
     COUNTIFS($AJ$2:$AJ$200,$G61)&gt;0,
     COUNTIFS($AK$2:$AK$200,$G61)&gt;0,
     COUNTIFS($AL$2:$AL$200,$G61)&gt;0,
     COUNTIFS($AM$2:$AM$200,$G61)&gt;0,
     COUNTIFS($AN$2:$AN$200,$G61)&gt;0,
     COUNTIFS($AO$2:$AO$200,$G61)&gt;0,
     COUNTIFS($AP$2:$AP$200,$G61)&gt;0,
     COUNTIFS($AQ$2:$AQ$200,$G61)&gt;0,
     COUNTIFS($AR$2:$AR$200,$G61)&gt;0,
     COUNTIFS($AS$2:$AS$200,$G61)&gt;0,
     COUNTIFS($AT$2:$AT$200,$G61)&gt;0,
     COUNTIFS($AU$2:$AU$200,$G61)&gt;0,
     COUNTIFS($AV$2:$AV$200,$G61)&gt;0,
     COUNTIFS($AW$2:$AW$200,$G61)&gt;0,
     COUNTIFS($AX$2:$AX$200,$G61)&gt;0,
     COUNTIFS($AY$2:$AY$200,$G61)&gt;0
   )),
  ),
  3
 ),
"")</f>
        <v/>
      </c>
      <c r="F61" s="2" t="str" cm="1">
        <f t="array" aca="1" ref="F61" ca="1">IFERROR(
 INDEX(
  _xlfn._xlws.FILTER($V$1:$AY$1,
   TRANSPOSE(
    CHOOSE({1;2;3;4;5;6;7;8;9;10;11;12;13;14;15;16;17;18;19;20;21;22;23;24;25;26;27;28;29;30},
     COUNTIFS($V$2:$V$200,$G61)&gt;0,
     COUNTIFS($W$2:$W$200,$G61)&gt;0,
     COUNTIFS($X$2:$X$200,$G61)&gt;0,
     COUNTIFS($Y$2:$Y$200,$G61)&gt;0,
     COUNTIFS($Z$2:$Z$200,$G61)&gt;0,
     COUNTIFS($AA$2:$AA$200,$G61)&gt;0,
     COUNTIFS($AB$2:$AB$200,$G61)&gt;0,
     COUNTIFS($AC$2:$AC$200,$G61)&gt;0,
     COUNTIFS($AD$2:$AD$200,$G61)&gt;0,
     COUNTIFS($AE$2:$AE$200,$G61)&gt;0,
     COUNTIFS($AF$2:$AF$200,$G61)&gt;0,
     COUNTIFS($AG$2:$AG$200,$G61)&gt;0,
     COUNTIFS($AH$2:$AH$200,$G61)&gt;0,
     COUNTIFS($AI$2:$AI$200,$G61)&gt;0,
     COUNTIFS($AJ$2:$AJ$200,$G61)&gt;0,
     COUNTIFS($AK$2:$AK$200,$G61)&gt;0,
     COUNTIFS($AL$2:$AL$200,$G61)&gt;0,
     COUNTIFS($AM$2:$AM$200,$G61)&gt;0,
     COUNTIFS($AN$2:$AN$200,$G61)&gt;0,
     COUNTIFS($AO$2:$AO$200,$G61)&gt;0,
     COUNTIFS($AP$2:$AP$200,$G61)&gt;0,
     COUNTIFS($AQ$2:$AQ$200,$G61)&gt;0,
     COUNTIFS($AR$2:$AR$200,$G61)&gt;0,
     COUNTIFS($AS$2:$AS$200,$G61)&gt;0,
     COUNTIFS($AT$2:$AT$200,$G61)&gt;0,
     COUNTIFS($AU$2:$AU$200,$G61)&gt;0,
     COUNTIFS($AV$2:$AV$200,$G61)&gt;0,
     COUNTIFS($AW$2:$AW$200,$G61)&gt;0,
     COUNTIFS($AX$2:$AX$200,$G61)&gt;0,
     COUNTIFS($AY$2:$AY$200,$G61)&gt;0
   )),
  ),
  4
 ),
"")</f>
        <v/>
      </c>
      <c r="G61" t="str">
        <f ca="1"/>
        <v>Breeding Pool</v>
      </c>
      <c r="AO61" t="str">
        <v>Regal Sliver</v>
      </c>
      <c r="BE61" t="str">
        <v>Plains</v>
      </c>
      <c r="BI61" t="str">
        <v>The Legend of Roku</v>
      </c>
      <c r="BJ61" t="str">
        <v>Raven Eagle</v>
      </c>
      <c r="BL61" t="str">
        <v>Mountain</v>
      </c>
      <c r="CR61" t="str">
        <f ca="1"/>
        <v>Rogues' Gallery</v>
      </c>
      <c r="DC61" t="str">
        <f ca="1"/>
        <v>Teysa Karlov</v>
      </c>
      <c r="DD61" t="str">
        <f ca="1"/>
        <v>Roiling Regrowth</v>
      </c>
      <c r="DP61" t="str">
        <f ca="1"/>
        <v>Sunpetal Grove</v>
      </c>
      <c r="DT61" t="str">
        <f ca="1"/>
        <v>Quilled Sliver</v>
      </c>
      <c r="DZ61" t="str">
        <f ca="1"/>
        <v>Guttersnipe</v>
      </c>
      <c r="EG61" t="str">
        <f ca="1"/>
        <v>Mines of Moria</v>
      </c>
      <c r="EH61" t="str">
        <f ca="1"/>
        <v>Sonic Screwdriver</v>
      </c>
      <c r="EI61" t="str">
        <f ca="1"/>
        <v>Kinnan, Bonder Prodigy</v>
      </c>
      <c r="EJ61" t="str">
        <f ca="1"/>
        <v>Yawgmoth, Thran Physician</v>
      </c>
      <c r="EK61" t="str">
        <f ca="1"/>
        <v>Sophina, Spearsage Deserter</v>
      </c>
      <c r="EL61" t="str">
        <f ca="1"/>
        <v>Guttersnipe</v>
      </c>
      <c r="EP61" t="str">
        <f ca="1"/>
        <v>Gallifrey Council Chamber</v>
      </c>
      <c r="EQ61" t="str">
        <f ca="1"/>
        <v>Godless Shrine</v>
      </c>
      <c r="ER61" t="str">
        <f ca="1"/>
        <v>Dragonskull Summit</v>
      </c>
      <c r="EU61" t="str">
        <f ca="1"/>
        <v>Cloud, Midgar Mercenary</v>
      </c>
      <c r="EV61" t="str">
        <f ca="1"/>
        <v>Dragonskull Summit</v>
      </c>
      <c r="EX61" t="str">
        <f ca="1"/>
        <v>Breeding Pool</v>
      </c>
    </row>
    <row r="62" spans="1:154" x14ac:dyDescent="0.25">
      <c r="A62" s="2" t="str">
        <f t="shared" ca="1" si="1"/>
        <v>2</v>
      </c>
      <c r="B62" s="2">
        <f t="shared" ca="1" si="2"/>
        <v>1</v>
      </c>
      <c r="C62" s="2" t="str">
        <f ca="1">IFERROR(
 INDEX($V$1:$BL$1,
  MATCH(TRUE,
   CHOOSE({1;2;3;4;5;6;7;8;9;10;11;12;13;14;15;16;17;18;19;20;21;22;23;24;25;26;27;28;29;30;31;32;33;34;35;36;37;38;39;40;41;42;43},
    COUNTIFS($V$2:$V$200,$G62)&gt;0,
    COUNTIFS($W$2:$W$200,$G62)&gt;0,
    COUNTIFS($X$2:$X$200,$G62)&gt;0,
    COUNTIFS($Y$2:$Y$200,$G62)&gt;0,
    COUNTIFS($Z$2:$Z$200,$G62)&gt;0,
    COUNTIFS($AA$2:$AA$200,$G62)&gt;0,
    COUNTIFS($AB$2:$AB$200,$G62)&gt;0,
    COUNTIFS($AC$2:$AC$200,$G62)&gt;0,
    COUNTIFS($AD$2:$AD$200,$G62)&gt;0,
    COUNTIFS($AE$2:$AE$200,$G62)&gt;0,
    COUNTIFS($AF$2:$AF$200,$G62)&gt;0,
    COUNTIFS($AG$2:$AG$200,$G62)&gt;0,
    COUNTIFS($AH$2:$AH$200,$G62)&gt;0,
    COUNTIFS($AI$2:$AI$200,$G62)&gt;0,
    COUNTIFS($AJ$2:$AJ$200,$G62)&gt;0,
    COUNTIFS($AK$2:$AK$200,$G62)&gt;0,
    COUNTIFS($AL$2:$AL$200,$G62)&gt;0,
    COUNTIFS($AM$2:$AM$200,$G62)&gt;0,
    COUNTIFS($AN$2:$AN$200,$G62)&gt;0,
    COUNTIFS($AO$2:$AO$200,$G62)&gt;0,
    COUNTIFS($AP$2:$AP$200,$G62)&gt;0,
    COUNTIFS($AQ$2:$AQ$200,$G62)&gt;0,
    COUNTIFS($AR$2:$AR$200,$G62)&gt;0,
    COUNTIFS($AS$2:$AS$200,$G62)&gt;0,
    COUNTIFS($AT$2:$AT$200,$G62)&gt;0,
    COUNTIFS($AU$2:$AU$200,$G62)&gt;0,
    COUNTIFS($AV$2:$AV$200,$G62)&gt;0,
    COUNTIFS($AW$2:$AW$200,$G62)&gt;0,
    COUNTIFS($AX$2:$AX$200,$G62)&gt;0,
    COUNTIFS($AY$2:$AY$200,$G62)&gt;0,
    COUNTIFS($AZ$2:$AZ$200,$G62)&gt;0,
    COUNTIFS($BA$2:$BA$200,$G62)&gt;0,
    COUNTIFS($BB$2:$BB$200,$G62)&gt;0,
    COUNTIFS($BC$2:$BC$200,$G62)&gt;0,
    COUNTIFS($BD$2:$BD$200,$G62)&gt;0,
    COUNTIFS($BE$2:$BE$200,$G62)&gt;0,
    COUNTIFS($BF$2:$BF$200,$G62)&gt;0,
    COUNTIFS($BG$2:$BG$200,$G62)&gt;0,
    COUNTIFS($BH$2:$BH$200,$G62)&gt;0,
    COUNTIFS($BI$2:$BI$200,$G62)&gt;0,
    COUNTIFS($BJ$2:$BJ$200,$G62)&gt;0,
    COUNTIFS($BK$2:$BK$200,$G62)&gt;0,
    COUNTIFS($BL$2:$BL$200,$G62)&gt;0,
    COUNTIFS($BM$2:$BM$200,$G62)&gt;0,
   ),
  0)
 ),
"")</f>
        <v>OWA</v>
      </c>
      <c r="D62" s="2" t="str" cm="1">
        <f t="array" aca="1" ref="D62" ca="1">IFERROR(
 INDEX(
  _xlfn._xlws.FILTER($V$1:$AY$1,
   TRANSPOSE(
    CHOOSE({1;2;3;4;5;6;7;8;9;10;11;12;13;14;15;16;17;18;19;20;21;22;23;24;25;26;27;28;29;30},
     COUNTIFS($V$2:$V$200,$G62)&gt;0,
     COUNTIFS($W$2:$W$200,$G62)&gt;0,
     COUNTIFS($X$2:$X$200,$G62)&gt;0,
     COUNTIFS($Y$2:$Y$200,$G62)&gt;0,
     COUNTIFS($Z$2:$Z$200,$G62)&gt;0,
     COUNTIFS($AA$2:$AA$200,$G62)&gt;0,
     COUNTIFS($AB$2:$AB$200,$G62)&gt;0,
     COUNTIFS($AC$2:$AC$200,$G62)&gt;0,
     COUNTIFS($AD$2:$AD$200,$G62)&gt;0,
     COUNTIFS($AE$2:$AE$200,$G62)&gt;0,
     COUNTIFS($AF$2:$AF$200,$G62)&gt;0,
     COUNTIFS($AG$2:$AG$200,$G62)&gt;0,
     COUNTIFS($AH$2:$AH$200,$G62)&gt;0,
     COUNTIFS($AI$2:$AI$200,$G62)&gt;0,
     COUNTIFS($AJ$2:$AJ$200,$G62)&gt;0,
     COUNTIFS($AK$2:$AK$200,$G62)&gt;0,
     COUNTIFS($AL$2:$AL$200,$G62)&gt;0,
     COUNTIFS($AM$2:$AM$200,$G62)&gt;0,
     COUNTIFS($AN$2:$AN$200,$G62)&gt;0,
     COUNTIFS($AO$2:$AO$200,$G62)&gt;0,
     COUNTIFS($AP$2:$AP$200,$G62)&gt;0,
     COUNTIFS($AQ$2:$AQ$200,$G62)&gt;0,
     COUNTIFS($AR$2:$AR$200,$G62)&gt;0,
     COUNTIFS($AS$2:$AS$200,$G62)&gt;0,
     COUNTIFS($AT$2:$AT$200,$G62)&gt;0,
     COUNTIFS($AU$2:$AU$200,$G62)&gt;0,
     COUNTIFS($AV$2:$AV$200,$G62)&gt;0,
     COUNTIFS($AW$2:$AW$200,$G62)&gt;0,
     COUNTIFS($AX$2:$AX$200,$G62)&gt;0,
     COUNTIFS($AY$2:$AY$200,$G62)&gt;0
   )),
  ),
  2
 ),
"")</f>
        <v/>
      </c>
      <c r="E62" s="2" t="str" cm="1">
        <f t="array" aca="1" ref="E62" ca="1">IFERROR(
 INDEX(
  _xlfn._xlws.FILTER($V$1:$AY$1,
   TRANSPOSE(
    CHOOSE({1;2;3;4;5;6;7;8;9;10;11;12;13;14;15;16;17;18;19;20;21;22;23;24;25;26;27;28;29;30},
     COUNTIFS($V$2:$V$200,$G62)&gt;0,
     COUNTIFS($W$2:$W$200,$G62)&gt;0,
     COUNTIFS($X$2:$X$200,$G62)&gt;0,
     COUNTIFS($Y$2:$Y$200,$G62)&gt;0,
     COUNTIFS($Z$2:$Z$200,$G62)&gt;0,
     COUNTIFS($AA$2:$AA$200,$G62)&gt;0,
     COUNTIFS($AB$2:$AB$200,$G62)&gt;0,
     COUNTIFS($AC$2:$AC$200,$G62)&gt;0,
     COUNTIFS($AD$2:$AD$200,$G62)&gt;0,
     COUNTIFS($AE$2:$AE$200,$G62)&gt;0,
     COUNTIFS($AF$2:$AF$200,$G62)&gt;0,
     COUNTIFS($AG$2:$AG$200,$G62)&gt;0,
     COUNTIFS($AH$2:$AH$200,$G62)&gt;0,
     COUNTIFS($AI$2:$AI$200,$G62)&gt;0,
     COUNTIFS($AJ$2:$AJ$200,$G62)&gt;0,
     COUNTIFS($AK$2:$AK$200,$G62)&gt;0,
     COUNTIFS($AL$2:$AL$200,$G62)&gt;0,
     COUNTIFS($AM$2:$AM$200,$G62)&gt;0,
     COUNTIFS($AN$2:$AN$200,$G62)&gt;0,
     COUNTIFS($AO$2:$AO$200,$G62)&gt;0,
     COUNTIFS($AP$2:$AP$200,$G62)&gt;0,
     COUNTIFS($AQ$2:$AQ$200,$G62)&gt;0,
     COUNTIFS($AR$2:$AR$200,$G62)&gt;0,
     COUNTIFS($AS$2:$AS$200,$G62)&gt;0,
     COUNTIFS($AT$2:$AT$200,$G62)&gt;0,
     COUNTIFS($AU$2:$AU$200,$G62)&gt;0,
     COUNTIFS($AV$2:$AV$200,$G62)&gt;0,
     COUNTIFS($AW$2:$AW$200,$G62)&gt;0,
     COUNTIFS($AX$2:$AX$200,$G62)&gt;0,
     COUNTIFS($AY$2:$AY$200,$G62)&gt;0
   )),
  ),
  3
 ),
"")</f>
        <v/>
      </c>
      <c r="F62" s="2" t="str" cm="1">
        <f t="array" aca="1" ref="F62" ca="1">IFERROR(
 INDEX(
  _xlfn._xlws.FILTER($V$1:$AY$1,
   TRANSPOSE(
    CHOOSE({1;2;3;4;5;6;7;8;9;10;11;12;13;14;15;16;17;18;19;20;21;22;23;24;25;26;27;28;29;30},
     COUNTIFS($V$2:$V$200,$G62)&gt;0,
     COUNTIFS($W$2:$W$200,$G62)&gt;0,
     COUNTIFS($X$2:$X$200,$G62)&gt;0,
     COUNTIFS($Y$2:$Y$200,$G62)&gt;0,
     COUNTIFS($Z$2:$Z$200,$G62)&gt;0,
     COUNTIFS($AA$2:$AA$200,$G62)&gt;0,
     COUNTIFS($AB$2:$AB$200,$G62)&gt;0,
     COUNTIFS($AC$2:$AC$200,$G62)&gt;0,
     COUNTIFS($AD$2:$AD$200,$G62)&gt;0,
     COUNTIFS($AE$2:$AE$200,$G62)&gt;0,
     COUNTIFS($AF$2:$AF$200,$G62)&gt;0,
     COUNTIFS($AG$2:$AG$200,$G62)&gt;0,
     COUNTIFS($AH$2:$AH$200,$G62)&gt;0,
     COUNTIFS($AI$2:$AI$200,$G62)&gt;0,
     COUNTIFS($AJ$2:$AJ$200,$G62)&gt;0,
     COUNTIFS($AK$2:$AK$200,$G62)&gt;0,
     COUNTIFS($AL$2:$AL$200,$G62)&gt;0,
     COUNTIFS($AM$2:$AM$200,$G62)&gt;0,
     COUNTIFS($AN$2:$AN$200,$G62)&gt;0,
     COUNTIFS($AO$2:$AO$200,$G62)&gt;0,
     COUNTIFS($AP$2:$AP$200,$G62)&gt;0,
     COUNTIFS($AQ$2:$AQ$200,$G62)&gt;0,
     COUNTIFS($AR$2:$AR$200,$G62)&gt;0,
     COUNTIFS($AS$2:$AS$200,$G62)&gt;0,
     COUNTIFS($AT$2:$AT$200,$G62)&gt;0,
     COUNTIFS($AU$2:$AU$200,$G62)&gt;0,
     COUNTIFS($AV$2:$AV$200,$G62)&gt;0,
     COUNTIFS($AW$2:$AW$200,$G62)&gt;0,
     COUNTIFS($AX$2:$AX$200,$G62)&gt;0,
     COUNTIFS($AY$2:$AY$200,$G62)&gt;0
   )),
  ),
  4
 ),
"")</f>
        <v/>
      </c>
      <c r="G62" t="str">
        <f ca="1"/>
        <v>Brigid, Clachan's Heart</v>
      </c>
      <c r="AO62" t="str">
        <v>Rogues' Gallery</v>
      </c>
      <c r="BE62" t="str">
        <v>Plains</v>
      </c>
      <c r="BI62" t="str">
        <v>Ultimate Magic: Holy</v>
      </c>
      <c r="BJ62" t="str">
        <v>Searslicer Goblin</v>
      </c>
      <c r="BL62" t="str">
        <v>Mountain</v>
      </c>
      <c r="CR62" t="str">
        <f ca="1"/>
        <v>Root Sliver</v>
      </c>
      <c r="DC62" t="str">
        <f ca="1"/>
        <v>Teysa, Opulent Oligarch</v>
      </c>
      <c r="DD62" t="str">
        <f ca="1"/>
        <v>Swamp</v>
      </c>
      <c r="DP62" t="str">
        <f ca="1"/>
        <v>Sunscorched Divide</v>
      </c>
      <c r="DT62" t="str">
        <f ca="1"/>
        <v>Raffine's Tower</v>
      </c>
      <c r="DZ62" t="str">
        <f ca="1"/>
        <v>Harrow</v>
      </c>
      <c r="EG62" t="str">
        <f ca="1"/>
        <v>Misty Rainforest</v>
      </c>
      <c r="EH62" t="str">
        <f ca="1"/>
        <v>Spectator Seating</v>
      </c>
      <c r="EI62" t="str">
        <f ca="1"/>
        <v>Lavabelly Sliver</v>
      </c>
      <c r="EJ62" t="e">
        <f ca="1"/>
        <v>#REF!</v>
      </c>
      <c r="EK62" t="str">
        <f ca="1"/>
        <v>Spinerock Knoll</v>
      </c>
      <c r="EL62" t="str">
        <f ca="1"/>
        <v>Harrow</v>
      </c>
      <c r="EP62" t="str">
        <f ca="1"/>
        <v>Gathering Stone</v>
      </c>
      <c r="EQ62" t="str">
        <f ca="1"/>
        <v>Gonti's Aether Heart</v>
      </c>
      <c r="ER62" t="str">
        <f ca="1"/>
        <v>Dream Devourer</v>
      </c>
      <c r="EU62" t="str">
        <f ca="1"/>
        <v>Cloudshredder Sliver</v>
      </c>
      <c r="EV62" t="str">
        <f ca="1"/>
        <v>Dream Devourer</v>
      </c>
      <c r="EX62" t="str">
        <f ca="1"/>
        <v>Brigid, Clachan's Heart</v>
      </c>
    </row>
    <row r="63" spans="1:154" x14ac:dyDescent="0.25">
      <c r="A63" s="2" t="str">
        <f t="shared" ca="1" si="1"/>
        <v>2</v>
      </c>
      <c r="B63" s="2">
        <f t="shared" ca="1" si="2"/>
        <v>1</v>
      </c>
      <c r="C63" s="2" t="str">
        <f ca="1">IFERROR(
 INDEX($V$1:$BL$1,
  MATCH(TRUE,
   CHOOSE({1;2;3;4;5;6;7;8;9;10;11;12;13;14;15;16;17;18;19;20;21;22;23;24;25;26;27;28;29;30;31;32;33;34;35;36;37;38;39;40;41;42;43},
    COUNTIFS($V$2:$V$200,$G63)&gt;0,
    COUNTIFS($W$2:$W$200,$G63)&gt;0,
    COUNTIFS($X$2:$X$200,$G63)&gt;0,
    COUNTIFS($Y$2:$Y$200,$G63)&gt;0,
    COUNTIFS($Z$2:$Z$200,$G63)&gt;0,
    COUNTIFS($AA$2:$AA$200,$G63)&gt;0,
    COUNTIFS($AB$2:$AB$200,$G63)&gt;0,
    COUNTIFS($AC$2:$AC$200,$G63)&gt;0,
    COUNTIFS($AD$2:$AD$200,$G63)&gt;0,
    COUNTIFS($AE$2:$AE$200,$G63)&gt;0,
    COUNTIFS($AF$2:$AF$200,$G63)&gt;0,
    COUNTIFS($AG$2:$AG$200,$G63)&gt;0,
    COUNTIFS($AH$2:$AH$200,$G63)&gt;0,
    COUNTIFS($AI$2:$AI$200,$G63)&gt;0,
    COUNTIFS($AJ$2:$AJ$200,$G63)&gt;0,
    COUNTIFS($AK$2:$AK$200,$G63)&gt;0,
    COUNTIFS($AL$2:$AL$200,$G63)&gt;0,
    COUNTIFS($AM$2:$AM$200,$G63)&gt;0,
    COUNTIFS($AN$2:$AN$200,$G63)&gt;0,
    COUNTIFS($AO$2:$AO$200,$G63)&gt;0,
    COUNTIFS($AP$2:$AP$200,$G63)&gt;0,
    COUNTIFS($AQ$2:$AQ$200,$G63)&gt;0,
    COUNTIFS($AR$2:$AR$200,$G63)&gt;0,
    COUNTIFS($AS$2:$AS$200,$G63)&gt;0,
    COUNTIFS($AT$2:$AT$200,$G63)&gt;0,
    COUNTIFS($AU$2:$AU$200,$G63)&gt;0,
    COUNTIFS($AV$2:$AV$200,$G63)&gt;0,
    COUNTIFS($AW$2:$AW$200,$G63)&gt;0,
    COUNTIFS($AX$2:$AX$200,$G63)&gt;0,
    COUNTIFS($AY$2:$AY$200,$G63)&gt;0,
    COUNTIFS($AZ$2:$AZ$200,$G63)&gt;0,
    COUNTIFS($BA$2:$BA$200,$G63)&gt;0,
    COUNTIFS($BB$2:$BB$200,$G63)&gt;0,
    COUNTIFS($BC$2:$BC$200,$G63)&gt;0,
    COUNTIFS($BD$2:$BD$200,$G63)&gt;0,
    COUNTIFS($BE$2:$BE$200,$G63)&gt;0,
    COUNTIFS($BF$2:$BF$200,$G63)&gt;0,
    COUNTIFS($BG$2:$BG$200,$G63)&gt;0,
    COUNTIFS($BH$2:$BH$200,$G63)&gt;0,
    COUNTIFS($BI$2:$BI$200,$G63)&gt;0,
    COUNTIFS($BJ$2:$BJ$200,$G63)&gt;0,
    COUNTIFS($BK$2:$BK$200,$G63)&gt;0,
    COUNTIFS($BL$2:$BL$200,$G63)&gt;0,
    COUNTIFS($BM$2:$BM$200,$G63)&gt;0,
   ),
  0)
 ),
"")</f>
        <v>Piratas</v>
      </c>
      <c r="D63" s="2" t="str" cm="1">
        <f t="array" aca="1" ref="D63" ca="1">IFERROR(
 INDEX(
  _xlfn._xlws.FILTER($V$1:$AY$1,
   TRANSPOSE(
    CHOOSE({1;2;3;4;5;6;7;8;9;10;11;12;13;14;15;16;17;18;19;20;21;22;23;24;25;26;27;28;29;30},
     COUNTIFS($V$2:$V$200,$G63)&gt;0,
     COUNTIFS($W$2:$W$200,$G63)&gt;0,
     COUNTIFS($X$2:$X$200,$G63)&gt;0,
     COUNTIFS($Y$2:$Y$200,$G63)&gt;0,
     COUNTIFS($Z$2:$Z$200,$G63)&gt;0,
     COUNTIFS($AA$2:$AA$200,$G63)&gt;0,
     COUNTIFS($AB$2:$AB$200,$G63)&gt;0,
     COUNTIFS($AC$2:$AC$200,$G63)&gt;0,
     COUNTIFS($AD$2:$AD$200,$G63)&gt;0,
     COUNTIFS($AE$2:$AE$200,$G63)&gt;0,
     COUNTIFS($AF$2:$AF$200,$G63)&gt;0,
     COUNTIFS($AG$2:$AG$200,$G63)&gt;0,
     COUNTIFS($AH$2:$AH$200,$G63)&gt;0,
     COUNTIFS($AI$2:$AI$200,$G63)&gt;0,
     COUNTIFS($AJ$2:$AJ$200,$G63)&gt;0,
     COUNTIFS($AK$2:$AK$200,$G63)&gt;0,
     COUNTIFS($AL$2:$AL$200,$G63)&gt;0,
     COUNTIFS($AM$2:$AM$200,$G63)&gt;0,
     COUNTIFS($AN$2:$AN$200,$G63)&gt;0,
     COUNTIFS($AO$2:$AO$200,$G63)&gt;0,
     COUNTIFS($AP$2:$AP$200,$G63)&gt;0,
     COUNTIFS($AQ$2:$AQ$200,$G63)&gt;0,
     COUNTIFS($AR$2:$AR$200,$G63)&gt;0,
     COUNTIFS($AS$2:$AS$200,$G63)&gt;0,
     COUNTIFS($AT$2:$AT$200,$G63)&gt;0,
     COUNTIFS($AU$2:$AU$200,$G63)&gt;0,
     COUNTIFS($AV$2:$AV$200,$G63)&gt;0,
     COUNTIFS($AW$2:$AW$200,$G63)&gt;0,
     COUNTIFS($AX$2:$AX$200,$G63)&gt;0,
     COUNTIFS($AY$2:$AY$200,$G63)&gt;0
   )),
  ),
  2
 ),
"")</f>
        <v/>
      </c>
      <c r="E63" s="2" t="str" cm="1">
        <f t="array" aca="1" ref="E63" ca="1">IFERROR(
 INDEX(
  _xlfn._xlws.FILTER($V$1:$AY$1,
   TRANSPOSE(
    CHOOSE({1;2;3;4;5;6;7;8;9;10;11;12;13;14;15;16;17;18;19;20;21;22;23;24;25;26;27;28;29;30},
     COUNTIFS($V$2:$V$200,$G63)&gt;0,
     COUNTIFS($W$2:$W$200,$G63)&gt;0,
     COUNTIFS($X$2:$X$200,$G63)&gt;0,
     COUNTIFS($Y$2:$Y$200,$G63)&gt;0,
     COUNTIFS($Z$2:$Z$200,$G63)&gt;0,
     COUNTIFS($AA$2:$AA$200,$G63)&gt;0,
     COUNTIFS($AB$2:$AB$200,$G63)&gt;0,
     COUNTIFS($AC$2:$AC$200,$G63)&gt;0,
     COUNTIFS($AD$2:$AD$200,$G63)&gt;0,
     COUNTIFS($AE$2:$AE$200,$G63)&gt;0,
     COUNTIFS($AF$2:$AF$200,$G63)&gt;0,
     COUNTIFS($AG$2:$AG$200,$G63)&gt;0,
     COUNTIFS($AH$2:$AH$200,$G63)&gt;0,
     COUNTIFS($AI$2:$AI$200,$G63)&gt;0,
     COUNTIFS($AJ$2:$AJ$200,$G63)&gt;0,
     COUNTIFS($AK$2:$AK$200,$G63)&gt;0,
     COUNTIFS($AL$2:$AL$200,$G63)&gt;0,
     COUNTIFS($AM$2:$AM$200,$G63)&gt;0,
     COUNTIFS($AN$2:$AN$200,$G63)&gt;0,
     COUNTIFS($AO$2:$AO$200,$G63)&gt;0,
     COUNTIFS($AP$2:$AP$200,$G63)&gt;0,
     COUNTIFS($AQ$2:$AQ$200,$G63)&gt;0,
     COUNTIFS($AR$2:$AR$200,$G63)&gt;0,
     COUNTIFS($AS$2:$AS$200,$G63)&gt;0,
     COUNTIFS($AT$2:$AT$200,$G63)&gt;0,
     COUNTIFS($AU$2:$AU$200,$G63)&gt;0,
     COUNTIFS($AV$2:$AV$200,$G63)&gt;0,
     COUNTIFS($AW$2:$AW$200,$G63)&gt;0,
     COUNTIFS($AX$2:$AX$200,$G63)&gt;0,
     COUNTIFS($AY$2:$AY$200,$G63)&gt;0
   )),
  ),
  3
 ),
"")</f>
        <v/>
      </c>
      <c r="F63" s="2" t="str" cm="1">
        <f t="array" aca="1" ref="F63" ca="1">IFERROR(
 INDEX(
  _xlfn._xlws.FILTER($V$1:$AY$1,
   TRANSPOSE(
    CHOOSE({1;2;3;4;5;6;7;8;9;10;11;12;13;14;15;16;17;18;19;20;21;22;23;24;25;26;27;28;29;30},
     COUNTIFS($V$2:$V$200,$G63)&gt;0,
     COUNTIFS($W$2:$W$200,$G63)&gt;0,
     COUNTIFS($X$2:$X$200,$G63)&gt;0,
     COUNTIFS($Y$2:$Y$200,$G63)&gt;0,
     COUNTIFS($Z$2:$Z$200,$G63)&gt;0,
     COUNTIFS($AA$2:$AA$200,$G63)&gt;0,
     COUNTIFS($AB$2:$AB$200,$G63)&gt;0,
     COUNTIFS($AC$2:$AC$200,$G63)&gt;0,
     COUNTIFS($AD$2:$AD$200,$G63)&gt;0,
     COUNTIFS($AE$2:$AE$200,$G63)&gt;0,
     COUNTIFS($AF$2:$AF$200,$G63)&gt;0,
     COUNTIFS($AG$2:$AG$200,$G63)&gt;0,
     COUNTIFS($AH$2:$AH$200,$G63)&gt;0,
     COUNTIFS($AI$2:$AI$200,$G63)&gt;0,
     COUNTIFS($AJ$2:$AJ$200,$G63)&gt;0,
     COUNTIFS($AK$2:$AK$200,$G63)&gt;0,
     COUNTIFS($AL$2:$AL$200,$G63)&gt;0,
     COUNTIFS($AM$2:$AM$200,$G63)&gt;0,
     COUNTIFS($AN$2:$AN$200,$G63)&gt;0,
     COUNTIFS($AO$2:$AO$200,$G63)&gt;0,
     COUNTIFS($AP$2:$AP$200,$G63)&gt;0,
     COUNTIFS($AQ$2:$AQ$200,$G63)&gt;0,
     COUNTIFS($AR$2:$AR$200,$G63)&gt;0,
     COUNTIFS($AS$2:$AS$200,$G63)&gt;0,
     COUNTIFS($AT$2:$AT$200,$G63)&gt;0,
     COUNTIFS($AU$2:$AU$200,$G63)&gt;0,
     COUNTIFS($AV$2:$AV$200,$G63)&gt;0,
     COUNTIFS($AW$2:$AW$200,$G63)&gt;0,
     COUNTIFS($AX$2:$AX$200,$G63)&gt;0,
     COUNTIFS($AY$2:$AY$200,$G63)&gt;0
   )),
  ),
  4
 ),
"")</f>
        <v/>
      </c>
      <c r="G63" t="str">
        <f ca="1"/>
        <v>Broadside Bombardiers</v>
      </c>
      <c r="AO63" t="str">
        <v>Root Sliver</v>
      </c>
      <c r="BE63" t="str">
        <v>Plains</v>
      </c>
      <c r="BI63" t="str">
        <v>Vault of the Archangel</v>
      </c>
      <c r="BJ63" t="str">
        <v>Sinkhole Surveyor</v>
      </c>
      <c r="BL63" t="str">
        <v>Mountain</v>
      </c>
      <c r="CR63" t="str">
        <f ca="1"/>
        <v>Sacred Foundry</v>
      </c>
      <c r="DC63" t="str">
        <f ca="1"/>
        <v>Teysa, Orzhov Scion</v>
      </c>
      <c r="DD63" t="str">
        <f ca="1"/>
        <v>Tear Asunder</v>
      </c>
      <c r="DP63" t="str">
        <f ca="1"/>
        <v>Tale of Katara and Toph</v>
      </c>
      <c r="DT63" t="str">
        <f ca="1"/>
        <v>Raugrin Triome</v>
      </c>
      <c r="DZ63" t="str">
        <f ca="1"/>
        <v>Hurkyl's Final Meditation</v>
      </c>
      <c r="EG63" t="str">
        <f ca="1"/>
        <v>Mondrak, Glory Dominus</v>
      </c>
      <c r="EH63" t="str">
        <f ca="1"/>
        <v>Stoneforge Mystic</v>
      </c>
      <c r="EI63" t="str">
        <f ca="1"/>
        <v>Magma Sliver</v>
      </c>
      <c r="EK63" t="str">
        <f ca="1"/>
        <v>Spirit Water Revival</v>
      </c>
      <c r="EL63" t="str">
        <f ca="1"/>
        <v>Hurkyl's Final Meditation</v>
      </c>
      <c r="EP63" t="str">
        <f ca="1"/>
        <v>Gavony Township</v>
      </c>
      <c r="EQ63" t="str">
        <f ca="1"/>
        <v>Great Furnace</v>
      </c>
      <c r="ER63" t="str">
        <f ca="1"/>
        <v>Dusk // Dawn</v>
      </c>
      <c r="EU63" t="str">
        <f ca="1"/>
        <v>Collector's Vault</v>
      </c>
      <c r="EV63" t="str">
        <f ca="1"/>
        <v>Dusk // Dawn</v>
      </c>
      <c r="EX63" t="str">
        <f ca="1"/>
        <v>Broadside Bombardiers</v>
      </c>
    </row>
    <row r="64" spans="1:154" x14ac:dyDescent="0.25">
      <c r="A64" s="2" t="str">
        <f t="shared" ca="1" si="1"/>
        <v>5</v>
      </c>
      <c r="B64" s="2">
        <f t="shared" ca="1" si="2"/>
        <v>1</v>
      </c>
      <c r="C64" s="2" t="str">
        <f ca="1">IFERROR(
 INDEX($V$1:$BL$1,
  MATCH(TRUE,
   CHOOSE({1;2;3;4;5;6;7;8;9;10;11;12;13;14;15;16;17;18;19;20;21;22;23;24;25;26;27;28;29;30;31;32;33;34;35;36;37;38;39;40;41;42;43},
    COUNTIFS($V$2:$V$200,$G64)&gt;0,
    COUNTIFS($W$2:$W$200,$G64)&gt;0,
    COUNTIFS($X$2:$X$200,$G64)&gt;0,
    COUNTIFS($Y$2:$Y$200,$G64)&gt;0,
    COUNTIFS($Z$2:$Z$200,$G64)&gt;0,
    COUNTIFS($AA$2:$AA$200,$G64)&gt;0,
    COUNTIFS($AB$2:$AB$200,$G64)&gt;0,
    COUNTIFS($AC$2:$AC$200,$G64)&gt;0,
    COUNTIFS($AD$2:$AD$200,$G64)&gt;0,
    COUNTIFS($AE$2:$AE$200,$G64)&gt;0,
    COUNTIFS($AF$2:$AF$200,$G64)&gt;0,
    COUNTIFS($AG$2:$AG$200,$G64)&gt;0,
    COUNTIFS($AH$2:$AH$200,$G64)&gt;0,
    COUNTIFS($AI$2:$AI$200,$G64)&gt;0,
    COUNTIFS($AJ$2:$AJ$200,$G64)&gt;0,
    COUNTIFS($AK$2:$AK$200,$G64)&gt;0,
    COUNTIFS($AL$2:$AL$200,$G64)&gt;0,
    COUNTIFS($AM$2:$AM$200,$G64)&gt;0,
    COUNTIFS($AN$2:$AN$200,$G64)&gt;0,
    COUNTIFS($AO$2:$AO$200,$G64)&gt;0,
    COUNTIFS($AP$2:$AP$200,$G64)&gt;0,
    COUNTIFS($AQ$2:$AQ$200,$G64)&gt;0,
    COUNTIFS($AR$2:$AR$200,$G64)&gt;0,
    COUNTIFS($AS$2:$AS$200,$G64)&gt;0,
    COUNTIFS($AT$2:$AT$200,$G64)&gt;0,
    COUNTIFS($AU$2:$AU$200,$G64)&gt;0,
    COUNTIFS($AV$2:$AV$200,$G64)&gt;0,
    COUNTIFS($AW$2:$AW$200,$G64)&gt;0,
    COUNTIFS($AX$2:$AX$200,$G64)&gt;0,
    COUNTIFS($AY$2:$AY$200,$G64)&gt;0,
    COUNTIFS($AZ$2:$AZ$200,$G64)&gt;0,
    COUNTIFS($BA$2:$BA$200,$G64)&gt;0,
    COUNTIFS($BB$2:$BB$200,$G64)&gt;0,
    COUNTIFS($BC$2:$BC$200,$G64)&gt;0,
    COUNTIFS($BD$2:$BD$200,$G64)&gt;0,
    COUNTIFS($BE$2:$BE$200,$G64)&gt;0,
    COUNTIFS($BF$2:$BF$200,$G64)&gt;0,
    COUNTIFS($BG$2:$BG$200,$G64)&gt;0,
    COUNTIFS($BH$2:$BH$200,$G64)&gt;0,
    COUNTIFS($BI$2:$BI$200,$G64)&gt;0,
    COUNTIFS($BJ$2:$BJ$200,$G64)&gt;0,
    COUNTIFS($BK$2:$BK$200,$G64)&gt;0,
    COUNTIFS($BL$2:$BL$200,$G64)&gt;0,
    COUNTIFS($BM$2:$BM$200,$G64)&gt;0,
   ),
  0)
 ),
"")</f>
        <v>Fractius</v>
      </c>
      <c r="D64" s="2" t="str" cm="1">
        <f t="array" aca="1" ref="D64" ca="1">IFERROR(
 INDEX(
  _xlfn._xlws.FILTER($V$1:$AY$1,
   TRANSPOSE(
    CHOOSE({1;2;3;4;5;6;7;8;9;10;11;12;13;14;15;16;17;18;19;20;21;22;23;24;25;26;27;28;29;30},
     COUNTIFS($V$2:$V$200,$G64)&gt;0,
     COUNTIFS($W$2:$W$200,$G64)&gt;0,
     COUNTIFS($X$2:$X$200,$G64)&gt;0,
     COUNTIFS($Y$2:$Y$200,$G64)&gt;0,
     COUNTIFS($Z$2:$Z$200,$G64)&gt;0,
     COUNTIFS($AA$2:$AA$200,$G64)&gt;0,
     COUNTIFS($AB$2:$AB$200,$G64)&gt;0,
     COUNTIFS($AC$2:$AC$200,$G64)&gt;0,
     COUNTIFS($AD$2:$AD$200,$G64)&gt;0,
     COUNTIFS($AE$2:$AE$200,$G64)&gt;0,
     COUNTIFS($AF$2:$AF$200,$G64)&gt;0,
     COUNTIFS($AG$2:$AG$200,$G64)&gt;0,
     COUNTIFS($AH$2:$AH$200,$G64)&gt;0,
     COUNTIFS($AI$2:$AI$200,$G64)&gt;0,
     COUNTIFS($AJ$2:$AJ$200,$G64)&gt;0,
     COUNTIFS($AK$2:$AK$200,$G64)&gt;0,
     COUNTIFS($AL$2:$AL$200,$G64)&gt;0,
     COUNTIFS($AM$2:$AM$200,$G64)&gt;0,
     COUNTIFS($AN$2:$AN$200,$G64)&gt;0,
     COUNTIFS($AO$2:$AO$200,$G64)&gt;0,
     COUNTIFS($AP$2:$AP$200,$G64)&gt;0,
     COUNTIFS($AQ$2:$AQ$200,$G64)&gt;0,
     COUNTIFS($AR$2:$AR$200,$G64)&gt;0,
     COUNTIFS($AS$2:$AS$200,$G64)&gt;0,
     COUNTIFS($AT$2:$AT$200,$G64)&gt;0,
     COUNTIFS($AU$2:$AU$200,$G64)&gt;0,
     COUNTIFS($AV$2:$AV$200,$G64)&gt;0,
     COUNTIFS($AW$2:$AW$200,$G64)&gt;0,
     COUNTIFS($AX$2:$AX$200,$G64)&gt;0,
     COUNTIFS($AY$2:$AY$200,$G64)&gt;0
   )),
  ),
  2
 ),
"")</f>
        <v/>
      </c>
      <c r="E64" s="2" t="str" cm="1">
        <f t="array" aca="1" ref="E64" ca="1">IFERROR(
 INDEX(
  _xlfn._xlws.FILTER($V$1:$AY$1,
   TRANSPOSE(
    CHOOSE({1;2;3;4;5;6;7;8;9;10;11;12;13;14;15;16;17;18;19;20;21;22;23;24;25;26;27;28;29;30},
     COUNTIFS($V$2:$V$200,$G64)&gt;0,
     COUNTIFS($W$2:$W$200,$G64)&gt;0,
     COUNTIFS($X$2:$X$200,$G64)&gt;0,
     COUNTIFS($Y$2:$Y$200,$G64)&gt;0,
     COUNTIFS($Z$2:$Z$200,$G64)&gt;0,
     COUNTIFS($AA$2:$AA$200,$G64)&gt;0,
     COUNTIFS($AB$2:$AB$200,$G64)&gt;0,
     COUNTIFS($AC$2:$AC$200,$G64)&gt;0,
     COUNTIFS($AD$2:$AD$200,$G64)&gt;0,
     COUNTIFS($AE$2:$AE$200,$G64)&gt;0,
     COUNTIFS($AF$2:$AF$200,$G64)&gt;0,
     COUNTIFS($AG$2:$AG$200,$G64)&gt;0,
     COUNTIFS($AH$2:$AH$200,$G64)&gt;0,
     COUNTIFS($AI$2:$AI$200,$G64)&gt;0,
     COUNTIFS($AJ$2:$AJ$200,$G64)&gt;0,
     COUNTIFS($AK$2:$AK$200,$G64)&gt;0,
     COUNTIFS($AL$2:$AL$200,$G64)&gt;0,
     COUNTIFS($AM$2:$AM$200,$G64)&gt;0,
     COUNTIFS($AN$2:$AN$200,$G64)&gt;0,
     COUNTIFS($AO$2:$AO$200,$G64)&gt;0,
     COUNTIFS($AP$2:$AP$200,$G64)&gt;0,
     COUNTIFS($AQ$2:$AQ$200,$G64)&gt;0,
     COUNTIFS($AR$2:$AR$200,$G64)&gt;0,
     COUNTIFS($AS$2:$AS$200,$G64)&gt;0,
     COUNTIFS($AT$2:$AT$200,$G64)&gt;0,
     COUNTIFS($AU$2:$AU$200,$G64)&gt;0,
     COUNTIFS($AV$2:$AV$200,$G64)&gt;0,
     COUNTIFS($AW$2:$AW$200,$G64)&gt;0,
     COUNTIFS($AX$2:$AX$200,$G64)&gt;0,
     COUNTIFS($AY$2:$AY$200,$G64)&gt;0
   )),
  ),
  3
 ),
"")</f>
        <v/>
      </c>
      <c r="F64" s="2" t="str" cm="1">
        <f t="array" aca="1" ref="F64" ca="1">IFERROR(
 INDEX(
  _xlfn._xlws.FILTER($V$1:$AY$1,
   TRANSPOSE(
    CHOOSE({1;2;3;4;5;6;7;8;9;10;11;12;13;14;15;16;17;18;19;20;21;22;23;24;25;26;27;28;29;30},
     COUNTIFS($V$2:$V$200,$G64)&gt;0,
     COUNTIFS($W$2:$W$200,$G64)&gt;0,
     COUNTIFS($X$2:$X$200,$G64)&gt;0,
     COUNTIFS($Y$2:$Y$200,$G64)&gt;0,
     COUNTIFS($Z$2:$Z$200,$G64)&gt;0,
     COUNTIFS($AA$2:$AA$200,$G64)&gt;0,
     COUNTIFS($AB$2:$AB$200,$G64)&gt;0,
     COUNTIFS($AC$2:$AC$200,$G64)&gt;0,
     COUNTIFS($AD$2:$AD$200,$G64)&gt;0,
     COUNTIFS($AE$2:$AE$200,$G64)&gt;0,
     COUNTIFS($AF$2:$AF$200,$G64)&gt;0,
     COUNTIFS($AG$2:$AG$200,$G64)&gt;0,
     COUNTIFS($AH$2:$AH$200,$G64)&gt;0,
     COUNTIFS($AI$2:$AI$200,$G64)&gt;0,
     COUNTIFS($AJ$2:$AJ$200,$G64)&gt;0,
     COUNTIFS($AK$2:$AK$200,$G64)&gt;0,
     COUNTIFS($AL$2:$AL$200,$G64)&gt;0,
     COUNTIFS($AM$2:$AM$200,$G64)&gt;0,
     COUNTIFS($AN$2:$AN$200,$G64)&gt;0,
     COUNTIFS($AO$2:$AO$200,$G64)&gt;0,
     COUNTIFS($AP$2:$AP$200,$G64)&gt;0,
     COUNTIFS($AQ$2:$AQ$200,$G64)&gt;0,
     COUNTIFS($AR$2:$AR$200,$G64)&gt;0,
     COUNTIFS($AS$2:$AS$200,$G64)&gt;0,
     COUNTIFS($AT$2:$AT$200,$G64)&gt;0,
     COUNTIFS($AU$2:$AU$200,$G64)&gt;0,
     COUNTIFS($AV$2:$AV$200,$G64)&gt;0,
     COUNTIFS($AW$2:$AW$200,$G64)&gt;0,
     COUNTIFS($AX$2:$AX$200,$G64)&gt;0,
     COUNTIFS($AY$2:$AY$200,$G64)&gt;0
   )),
  ),
  4
 ),
"")</f>
        <v/>
      </c>
      <c r="G64" t="str">
        <f ca="1"/>
        <v>Brood Sliver</v>
      </c>
      <c r="AO64" t="str">
        <v>Sacred Foundry</v>
      </c>
      <c r="BE64" t="str">
        <v>Plains</v>
      </c>
      <c r="BI64" t="str">
        <v>Vedalken Orrery</v>
      </c>
      <c r="BJ64" t="str">
        <v>Skyknight Vanguard</v>
      </c>
      <c r="BL64" t="str">
        <v>Mountain</v>
      </c>
      <c r="CR64" t="str">
        <f ca="1"/>
        <v>Savai Triome</v>
      </c>
      <c r="DC64" t="str">
        <f ca="1"/>
        <v>The Battle of Bywater</v>
      </c>
      <c r="DD64" t="str">
        <f ca="1"/>
        <v>Temple of the False God</v>
      </c>
      <c r="DP64" t="str">
        <f ca="1"/>
        <v>Temple of Malice</v>
      </c>
      <c r="DT64" t="str">
        <f ca="1"/>
        <v>Realmwalker</v>
      </c>
      <c r="DZ64" t="str">
        <f ca="1"/>
        <v>Inferno</v>
      </c>
      <c r="EG64" t="str">
        <f ca="1"/>
        <v>Mutable Explorer</v>
      </c>
      <c r="EH64" t="str">
        <f ca="1"/>
        <v>Sword of Feast and Famine</v>
      </c>
      <c r="EI64" t="str">
        <f ca="1"/>
        <v>Manaweft Sliver</v>
      </c>
      <c r="EK64" t="str">
        <f ca="1"/>
        <v>Splash Portal</v>
      </c>
      <c r="EL64" t="str">
        <f ca="1"/>
        <v>Inferno</v>
      </c>
      <c r="EP64" t="str">
        <f ca="1"/>
        <v>Ghostly Prison</v>
      </c>
      <c r="EQ64" t="str">
        <f ca="1"/>
        <v>Grim Affliction</v>
      </c>
      <c r="ER64" t="str">
        <f ca="1"/>
        <v>Eight-and-a-Half-Tails</v>
      </c>
      <c r="EU64" t="str">
        <f ca="1"/>
        <v>Colonel Autumn</v>
      </c>
      <c r="EV64" t="str">
        <f ca="1"/>
        <v>Eight-and-a-Half-Tails</v>
      </c>
      <c r="EX64" t="str">
        <f ca="1"/>
        <v>Brood Sliver</v>
      </c>
    </row>
    <row r="65" spans="1:154" x14ac:dyDescent="0.25">
      <c r="A65" s="2" t="str">
        <f t="shared" ca="1" si="1"/>
        <v>4</v>
      </c>
      <c r="B65" s="2">
        <f t="shared" ca="1" si="2"/>
        <v>3</v>
      </c>
      <c r="C65" s="2" t="str">
        <f ca="1">IFERROR(
 INDEX($V$1:$BL$1,
  MATCH(TRUE,
   CHOOSE({1;2;3;4;5;6;7;8;9;10;11;12;13;14;15;16;17;18;19;20;21;22;23;24;25;26;27;28;29;30;31;32;33;34;35;36;37;38;39;40;41;42;43},
    COUNTIFS($V$2:$V$200,$G65)&gt;0,
    COUNTIFS($W$2:$W$200,$G65)&gt;0,
    COUNTIFS($X$2:$X$200,$G65)&gt;0,
    COUNTIFS($Y$2:$Y$200,$G65)&gt;0,
    COUNTIFS($Z$2:$Z$200,$G65)&gt;0,
    COUNTIFS($AA$2:$AA$200,$G65)&gt;0,
    COUNTIFS($AB$2:$AB$200,$G65)&gt;0,
    COUNTIFS($AC$2:$AC$200,$G65)&gt;0,
    COUNTIFS($AD$2:$AD$200,$G65)&gt;0,
    COUNTIFS($AE$2:$AE$200,$G65)&gt;0,
    COUNTIFS($AF$2:$AF$200,$G65)&gt;0,
    COUNTIFS($AG$2:$AG$200,$G65)&gt;0,
    COUNTIFS($AH$2:$AH$200,$G65)&gt;0,
    COUNTIFS($AI$2:$AI$200,$G65)&gt;0,
    COUNTIFS($AJ$2:$AJ$200,$G65)&gt;0,
    COUNTIFS($AK$2:$AK$200,$G65)&gt;0,
    COUNTIFS($AL$2:$AL$200,$G65)&gt;0,
    COUNTIFS($AM$2:$AM$200,$G65)&gt;0,
    COUNTIFS($AN$2:$AN$200,$G65)&gt;0,
    COUNTIFS($AO$2:$AO$200,$G65)&gt;0,
    COUNTIFS($AP$2:$AP$200,$G65)&gt;0,
    COUNTIFS($AQ$2:$AQ$200,$G65)&gt;0,
    COUNTIFS($AR$2:$AR$200,$G65)&gt;0,
    COUNTIFS($AS$2:$AS$200,$G65)&gt;0,
    COUNTIFS($AT$2:$AT$200,$G65)&gt;0,
    COUNTIFS($AU$2:$AU$200,$G65)&gt;0,
    COUNTIFS($AV$2:$AV$200,$G65)&gt;0,
    COUNTIFS($AW$2:$AW$200,$G65)&gt;0,
    COUNTIFS($AX$2:$AX$200,$G65)&gt;0,
    COUNTIFS($AY$2:$AY$200,$G65)&gt;0,
    COUNTIFS($AZ$2:$AZ$200,$G65)&gt;0,
    COUNTIFS($BA$2:$BA$200,$G65)&gt;0,
    COUNTIFS($BB$2:$BB$200,$G65)&gt;0,
    COUNTIFS($BC$2:$BC$200,$G65)&gt;0,
    COUNTIFS($BD$2:$BD$200,$G65)&gt;0,
    COUNTIFS($BE$2:$BE$200,$G65)&gt;0,
    COUNTIFS($BF$2:$BF$200,$G65)&gt;0,
    COUNTIFS($BG$2:$BG$200,$G65)&gt;0,
    COUNTIFS($BH$2:$BH$200,$G65)&gt;0,
    COUNTIFS($BI$2:$BI$200,$G65)&gt;0,
    COUNTIFS($BJ$2:$BJ$200,$G65)&gt;0,
    COUNTIFS($BK$2:$BK$200,$G65)&gt;0,
    COUNTIFS($BL$2:$BL$200,$G65)&gt;0,
    COUNTIFS($BM$2:$BM$200,$G65)&gt;0,
   ),
  0)
 ),
"")</f>
        <v>Baylen</v>
      </c>
      <c r="D65" s="2" t="str" cm="1">
        <f t="array" aca="1" ref="D65" ca="1">IFERROR(
 INDEX(
  _xlfn._xlws.FILTER($V$1:$AY$1,
   TRANSPOSE(
    CHOOSE({1;2;3;4;5;6;7;8;9;10;11;12;13;14;15;16;17;18;19;20;21;22;23;24;25;26;27;28;29;30},
     COUNTIFS($V$2:$V$200,$G65)&gt;0,
     COUNTIFS($W$2:$W$200,$G65)&gt;0,
     COUNTIFS($X$2:$X$200,$G65)&gt;0,
     COUNTIFS($Y$2:$Y$200,$G65)&gt;0,
     COUNTIFS($Z$2:$Z$200,$G65)&gt;0,
     COUNTIFS($AA$2:$AA$200,$G65)&gt;0,
     COUNTIFS($AB$2:$AB$200,$G65)&gt;0,
     COUNTIFS($AC$2:$AC$200,$G65)&gt;0,
     COUNTIFS($AD$2:$AD$200,$G65)&gt;0,
     COUNTIFS($AE$2:$AE$200,$G65)&gt;0,
     COUNTIFS($AF$2:$AF$200,$G65)&gt;0,
     COUNTIFS($AG$2:$AG$200,$G65)&gt;0,
     COUNTIFS($AH$2:$AH$200,$G65)&gt;0,
     COUNTIFS($AI$2:$AI$200,$G65)&gt;0,
     COUNTIFS($AJ$2:$AJ$200,$G65)&gt;0,
     COUNTIFS($AK$2:$AK$200,$G65)&gt;0,
     COUNTIFS($AL$2:$AL$200,$G65)&gt;0,
     COUNTIFS($AM$2:$AM$200,$G65)&gt;0,
     COUNTIFS($AN$2:$AN$200,$G65)&gt;0,
     COUNTIFS($AO$2:$AO$200,$G65)&gt;0,
     COUNTIFS($AP$2:$AP$200,$G65)&gt;0,
     COUNTIFS($AQ$2:$AQ$200,$G65)&gt;0,
     COUNTIFS($AR$2:$AR$200,$G65)&gt;0,
     COUNTIFS($AS$2:$AS$200,$G65)&gt;0,
     COUNTIFS($AT$2:$AT$200,$G65)&gt;0,
     COUNTIFS($AU$2:$AU$200,$G65)&gt;0,
     COUNTIFS($AV$2:$AV$200,$G65)&gt;0,
     COUNTIFS($AW$2:$AW$200,$G65)&gt;0,
     COUNTIFS($AX$2:$AX$200,$G65)&gt;0,
     COUNTIFS($AY$2:$AY$200,$G65)&gt;0
   )),
  ),
  2
 ),
"")</f>
        <v>Tayam</v>
      </c>
      <c r="E65" s="2" t="str" cm="1">
        <f t="array" aca="1" ref="E65" ca="1">IFERROR(
 INDEX(
  _xlfn._xlws.FILTER($V$1:$AY$1,
   TRANSPOSE(
    CHOOSE({1;2;3;4;5;6;7;8;9;10;11;12;13;14;15;16;17;18;19;20;21;22;23;24;25;26;27;28;29;30},
     COUNTIFS($V$2:$V$200,$G65)&gt;0,
     COUNTIFS($W$2:$W$200,$G65)&gt;0,
     COUNTIFS($X$2:$X$200,$G65)&gt;0,
     COUNTIFS($Y$2:$Y$200,$G65)&gt;0,
     COUNTIFS($Z$2:$Z$200,$G65)&gt;0,
     COUNTIFS($AA$2:$AA$200,$G65)&gt;0,
     COUNTIFS($AB$2:$AB$200,$G65)&gt;0,
     COUNTIFS($AC$2:$AC$200,$G65)&gt;0,
     COUNTIFS($AD$2:$AD$200,$G65)&gt;0,
     COUNTIFS($AE$2:$AE$200,$G65)&gt;0,
     COUNTIFS($AF$2:$AF$200,$G65)&gt;0,
     COUNTIFS($AG$2:$AG$200,$G65)&gt;0,
     COUNTIFS($AH$2:$AH$200,$G65)&gt;0,
     COUNTIFS($AI$2:$AI$200,$G65)&gt;0,
     COUNTIFS($AJ$2:$AJ$200,$G65)&gt;0,
     COUNTIFS($AK$2:$AK$200,$G65)&gt;0,
     COUNTIFS($AL$2:$AL$200,$G65)&gt;0,
     COUNTIFS($AM$2:$AM$200,$G65)&gt;0,
     COUNTIFS($AN$2:$AN$200,$G65)&gt;0,
     COUNTIFS($AO$2:$AO$200,$G65)&gt;0,
     COUNTIFS($AP$2:$AP$200,$G65)&gt;0,
     COUNTIFS($AQ$2:$AQ$200,$G65)&gt;0,
     COUNTIFS($AR$2:$AR$200,$G65)&gt;0,
     COUNTIFS($AS$2:$AS$200,$G65)&gt;0,
     COUNTIFS($AT$2:$AT$200,$G65)&gt;0,
     COUNTIFS($AU$2:$AU$200,$G65)&gt;0,
     COUNTIFS($AV$2:$AV$200,$G65)&gt;0,
     COUNTIFS($AW$2:$AW$200,$G65)&gt;0,
     COUNTIFS($AX$2:$AX$200,$G65)&gt;0,
     COUNTIFS($AY$2:$AY$200,$G65)&gt;0
   )),
  ),
  3
 ),
"")</f>
        <v/>
      </c>
      <c r="F65" s="2" t="str" cm="1">
        <f t="array" aca="1" ref="F65" ca="1">IFERROR(
 INDEX(
  _xlfn._xlws.FILTER($V$1:$AY$1,
   TRANSPOSE(
    CHOOSE({1;2;3;4;5;6;7;8;9;10;11;12;13;14;15;16;17;18;19;20;21;22;23;24;25;26;27;28;29;30},
     COUNTIFS($V$2:$V$200,$G65)&gt;0,
     COUNTIFS($W$2:$W$200,$G65)&gt;0,
     COUNTIFS($X$2:$X$200,$G65)&gt;0,
     COUNTIFS($Y$2:$Y$200,$G65)&gt;0,
     COUNTIFS($Z$2:$Z$200,$G65)&gt;0,
     COUNTIFS($AA$2:$AA$200,$G65)&gt;0,
     COUNTIFS($AB$2:$AB$200,$G65)&gt;0,
     COUNTIFS($AC$2:$AC$200,$G65)&gt;0,
     COUNTIFS($AD$2:$AD$200,$G65)&gt;0,
     COUNTIFS($AE$2:$AE$200,$G65)&gt;0,
     COUNTIFS($AF$2:$AF$200,$G65)&gt;0,
     COUNTIFS($AG$2:$AG$200,$G65)&gt;0,
     COUNTIFS($AH$2:$AH$200,$G65)&gt;0,
     COUNTIFS($AI$2:$AI$200,$G65)&gt;0,
     COUNTIFS($AJ$2:$AJ$200,$G65)&gt;0,
     COUNTIFS($AK$2:$AK$200,$G65)&gt;0,
     COUNTIFS($AL$2:$AL$200,$G65)&gt;0,
     COUNTIFS($AM$2:$AM$200,$G65)&gt;0,
     COUNTIFS($AN$2:$AN$200,$G65)&gt;0,
     COUNTIFS($AO$2:$AO$200,$G65)&gt;0,
     COUNTIFS($AP$2:$AP$200,$G65)&gt;0,
     COUNTIFS($AQ$2:$AQ$200,$G65)&gt;0,
     COUNTIFS($AR$2:$AR$200,$G65)&gt;0,
     COUNTIFS($AS$2:$AS$200,$G65)&gt;0,
     COUNTIFS($AT$2:$AT$200,$G65)&gt;0,
     COUNTIFS($AU$2:$AU$200,$G65)&gt;0,
     COUNTIFS($AV$2:$AV$200,$G65)&gt;0,
     COUNTIFS($AW$2:$AW$200,$G65)&gt;0,
     COUNTIFS($AX$2:$AX$200,$G65)&gt;0,
     COUNTIFS($AY$2:$AY$200,$G65)&gt;0
   )),
  ),
  4
 ),
"")</f>
        <v/>
      </c>
      <c r="G65" t="str">
        <f ca="1"/>
        <v>Brushland</v>
      </c>
      <c r="AO65" t="str">
        <v>Savai Triome</v>
      </c>
      <c r="BE65" t="str">
        <v>Plains</v>
      </c>
      <c r="BI65" t="str">
        <v>Windbrisk Heights</v>
      </c>
      <c r="BJ65" t="str">
        <v>Smoldering Marsh</v>
      </c>
      <c r="BL65" t="str">
        <v>Mountain</v>
      </c>
      <c r="CR65" t="str">
        <f ca="1"/>
        <v>Sedge Sliver</v>
      </c>
      <c r="DC65" t="str">
        <f ca="1"/>
        <v>Toski, Bearer of Secrets</v>
      </c>
      <c r="DD65" t="str">
        <f ca="1"/>
        <v>Terminate</v>
      </c>
      <c r="DP65" t="str">
        <f ca="1"/>
        <v>The Duke, Rebel Sentry</v>
      </c>
      <c r="DT65" t="str">
        <f ca="1"/>
        <v>Regal Sliver</v>
      </c>
      <c r="DZ65" t="str">
        <f ca="1"/>
        <v>Island</v>
      </c>
      <c r="EG65" t="str">
        <f ca="1"/>
        <v>Obsessive Pursuit</v>
      </c>
      <c r="EH65" t="str">
        <f ca="1"/>
        <v>Sword of Fire and Ice</v>
      </c>
      <c r="EI65" t="str">
        <f ca="1"/>
        <v>Mandate of Abaddon</v>
      </c>
      <c r="EK65" t="str">
        <f ca="1"/>
        <v>Starfield Vocalist</v>
      </c>
      <c r="EL65" t="str">
        <f ca="1"/>
        <v>Island</v>
      </c>
      <c r="EP65" t="str">
        <f ca="1"/>
        <v>Ghoulish Impetus</v>
      </c>
      <c r="EQ65" t="str">
        <f ca="1"/>
        <v>Hallowed Fountain</v>
      </c>
      <c r="ER65" t="str">
        <f ca="1"/>
        <v>Elspeth, Sun's Champion</v>
      </c>
      <c r="EU65" t="str">
        <f ca="1"/>
        <v>Command Tower</v>
      </c>
      <c r="EV65" t="str">
        <f ca="1"/>
        <v>Elspeth, Sun's Champion</v>
      </c>
      <c r="EX65" t="str">
        <f ca="1"/>
        <v>Brushland</v>
      </c>
    </row>
    <row r="66" spans="1:154" x14ac:dyDescent="0.25">
      <c r="A66" s="2" t="str">
        <f t="shared" ca="1" si="1"/>
        <v>5</v>
      </c>
      <c r="B66" s="2">
        <f t="shared" ca="1" si="2"/>
        <v>1</v>
      </c>
      <c r="C66" s="2" t="str">
        <f ca="1">IFERROR(
 INDEX($V$1:$BL$1,
  MATCH(TRUE,
   CHOOSE({1;2;3;4;5;6;7;8;9;10;11;12;13;14;15;16;17;18;19;20;21;22;23;24;25;26;27;28;29;30;31;32;33;34;35;36;37;38;39;40;41;42;43},
    COUNTIFS($V$2:$V$200,$G66)&gt;0,
    COUNTIFS($W$2:$W$200,$G66)&gt;0,
    COUNTIFS($X$2:$X$200,$G66)&gt;0,
    COUNTIFS($Y$2:$Y$200,$G66)&gt;0,
    COUNTIFS($Z$2:$Z$200,$G66)&gt;0,
    COUNTIFS($AA$2:$AA$200,$G66)&gt;0,
    COUNTIFS($AB$2:$AB$200,$G66)&gt;0,
    COUNTIFS($AC$2:$AC$200,$G66)&gt;0,
    COUNTIFS($AD$2:$AD$200,$G66)&gt;0,
    COUNTIFS($AE$2:$AE$200,$G66)&gt;0,
    COUNTIFS($AF$2:$AF$200,$G66)&gt;0,
    COUNTIFS($AG$2:$AG$200,$G66)&gt;0,
    COUNTIFS($AH$2:$AH$200,$G66)&gt;0,
    COUNTIFS($AI$2:$AI$200,$G66)&gt;0,
    COUNTIFS($AJ$2:$AJ$200,$G66)&gt;0,
    COUNTIFS($AK$2:$AK$200,$G66)&gt;0,
    COUNTIFS($AL$2:$AL$200,$G66)&gt;0,
    COUNTIFS($AM$2:$AM$200,$G66)&gt;0,
    COUNTIFS($AN$2:$AN$200,$G66)&gt;0,
    COUNTIFS($AO$2:$AO$200,$G66)&gt;0,
    COUNTIFS($AP$2:$AP$200,$G66)&gt;0,
    COUNTIFS($AQ$2:$AQ$200,$G66)&gt;0,
    COUNTIFS($AR$2:$AR$200,$G66)&gt;0,
    COUNTIFS($AS$2:$AS$200,$G66)&gt;0,
    COUNTIFS($AT$2:$AT$200,$G66)&gt;0,
    COUNTIFS($AU$2:$AU$200,$G66)&gt;0,
    COUNTIFS($AV$2:$AV$200,$G66)&gt;0,
    COUNTIFS($AW$2:$AW$200,$G66)&gt;0,
    COUNTIFS($AX$2:$AX$200,$G66)&gt;0,
    COUNTIFS($AY$2:$AY$200,$G66)&gt;0,
    COUNTIFS($AZ$2:$AZ$200,$G66)&gt;0,
    COUNTIFS($BA$2:$BA$200,$G66)&gt;0,
    COUNTIFS($BB$2:$BB$200,$G66)&gt;0,
    COUNTIFS($BC$2:$BC$200,$G66)&gt;0,
    COUNTIFS($BD$2:$BD$200,$G66)&gt;0,
    COUNTIFS($BE$2:$BE$200,$G66)&gt;0,
    COUNTIFS($BF$2:$BF$200,$G66)&gt;0,
    COUNTIFS($BG$2:$BG$200,$G66)&gt;0,
    COUNTIFS($BH$2:$BH$200,$G66)&gt;0,
    COUNTIFS($BI$2:$BI$200,$G66)&gt;0,
    COUNTIFS($BJ$2:$BJ$200,$G66)&gt;0,
    COUNTIFS($BK$2:$BK$200,$G66)&gt;0,
    COUNTIFS($BL$2:$BL$200,$G66)&gt;0,
    COUNTIFS($BM$2:$BM$200,$G66)&gt;0,
   ),
  0)
 ),
"")</f>
        <v>Little</v>
      </c>
      <c r="D66" s="2" t="str" cm="1">
        <f t="array" aca="1" ref="D66" ca="1">IFERROR(
 INDEX(
  _xlfn._xlws.FILTER($V$1:$AY$1,
   TRANSPOSE(
    CHOOSE({1;2;3;4;5;6;7;8;9;10;11;12;13;14;15;16;17;18;19;20;21;22;23;24;25;26;27;28;29;30},
     COUNTIFS($V$2:$V$200,$G66)&gt;0,
     COUNTIFS($W$2:$W$200,$G66)&gt;0,
     COUNTIFS($X$2:$X$200,$G66)&gt;0,
     COUNTIFS($Y$2:$Y$200,$G66)&gt;0,
     COUNTIFS($Z$2:$Z$200,$G66)&gt;0,
     COUNTIFS($AA$2:$AA$200,$G66)&gt;0,
     COUNTIFS($AB$2:$AB$200,$G66)&gt;0,
     COUNTIFS($AC$2:$AC$200,$G66)&gt;0,
     COUNTIFS($AD$2:$AD$200,$G66)&gt;0,
     COUNTIFS($AE$2:$AE$200,$G66)&gt;0,
     COUNTIFS($AF$2:$AF$200,$G66)&gt;0,
     COUNTIFS($AG$2:$AG$200,$G66)&gt;0,
     COUNTIFS($AH$2:$AH$200,$G66)&gt;0,
     COUNTIFS($AI$2:$AI$200,$G66)&gt;0,
     COUNTIFS($AJ$2:$AJ$200,$G66)&gt;0,
     COUNTIFS($AK$2:$AK$200,$G66)&gt;0,
     COUNTIFS($AL$2:$AL$200,$G66)&gt;0,
     COUNTIFS($AM$2:$AM$200,$G66)&gt;0,
     COUNTIFS($AN$2:$AN$200,$G66)&gt;0,
     COUNTIFS($AO$2:$AO$200,$G66)&gt;0,
     COUNTIFS($AP$2:$AP$200,$G66)&gt;0,
     COUNTIFS($AQ$2:$AQ$200,$G66)&gt;0,
     COUNTIFS($AR$2:$AR$200,$G66)&gt;0,
     COUNTIFS($AS$2:$AS$200,$G66)&gt;0,
     COUNTIFS($AT$2:$AT$200,$G66)&gt;0,
     COUNTIFS($AU$2:$AU$200,$G66)&gt;0,
     COUNTIFS($AV$2:$AV$200,$G66)&gt;0,
     COUNTIFS($AW$2:$AW$200,$G66)&gt;0,
     COUNTIFS($AX$2:$AX$200,$G66)&gt;0,
     COUNTIFS($AY$2:$AY$200,$G66)&gt;0
   )),
  ),
  2
 ),
"")</f>
        <v/>
      </c>
      <c r="E66" s="2" t="str" cm="1">
        <f t="array" aca="1" ref="E66" ca="1">IFERROR(
 INDEX(
  _xlfn._xlws.FILTER($V$1:$AY$1,
   TRANSPOSE(
    CHOOSE({1;2;3;4;5;6;7;8;9;10;11;12;13;14;15;16;17;18;19;20;21;22;23;24;25;26;27;28;29;30},
     COUNTIFS($V$2:$V$200,$G66)&gt;0,
     COUNTIFS($W$2:$W$200,$G66)&gt;0,
     COUNTIFS($X$2:$X$200,$G66)&gt;0,
     COUNTIFS($Y$2:$Y$200,$G66)&gt;0,
     COUNTIFS($Z$2:$Z$200,$G66)&gt;0,
     COUNTIFS($AA$2:$AA$200,$G66)&gt;0,
     COUNTIFS($AB$2:$AB$200,$G66)&gt;0,
     COUNTIFS($AC$2:$AC$200,$G66)&gt;0,
     COUNTIFS($AD$2:$AD$200,$G66)&gt;0,
     COUNTIFS($AE$2:$AE$200,$G66)&gt;0,
     COUNTIFS($AF$2:$AF$200,$G66)&gt;0,
     COUNTIFS($AG$2:$AG$200,$G66)&gt;0,
     COUNTIFS($AH$2:$AH$200,$G66)&gt;0,
     COUNTIFS($AI$2:$AI$200,$G66)&gt;0,
     COUNTIFS($AJ$2:$AJ$200,$G66)&gt;0,
     COUNTIFS($AK$2:$AK$200,$G66)&gt;0,
     COUNTIFS($AL$2:$AL$200,$G66)&gt;0,
     COUNTIFS($AM$2:$AM$200,$G66)&gt;0,
     COUNTIFS($AN$2:$AN$200,$G66)&gt;0,
     COUNTIFS($AO$2:$AO$200,$G66)&gt;0,
     COUNTIFS($AP$2:$AP$200,$G66)&gt;0,
     COUNTIFS($AQ$2:$AQ$200,$G66)&gt;0,
     COUNTIFS($AR$2:$AR$200,$G66)&gt;0,
     COUNTIFS($AS$2:$AS$200,$G66)&gt;0,
     COUNTIFS($AT$2:$AT$200,$G66)&gt;0,
     COUNTIFS($AU$2:$AU$200,$G66)&gt;0,
     COUNTIFS($AV$2:$AV$200,$G66)&gt;0,
     COUNTIFS($AW$2:$AW$200,$G66)&gt;0,
     COUNTIFS($AX$2:$AX$200,$G66)&gt;0,
     COUNTIFS($AY$2:$AY$200,$G66)&gt;0
   )),
  ),
  3
 ),
"")</f>
        <v/>
      </c>
      <c r="F66" s="2" t="str" cm="1">
        <f t="array" aca="1" ref="F66" ca="1">IFERROR(
 INDEX(
  _xlfn._xlws.FILTER($V$1:$AY$1,
   TRANSPOSE(
    CHOOSE({1;2;3;4;5;6;7;8;9;10;11;12;13;14;15;16;17;18;19;20;21;22;23;24;25;26;27;28;29;30},
     COUNTIFS($V$2:$V$200,$G66)&gt;0,
     COUNTIFS($W$2:$W$200,$G66)&gt;0,
     COUNTIFS($X$2:$X$200,$G66)&gt;0,
     COUNTIFS($Y$2:$Y$200,$G66)&gt;0,
     COUNTIFS($Z$2:$Z$200,$G66)&gt;0,
     COUNTIFS($AA$2:$AA$200,$G66)&gt;0,
     COUNTIFS($AB$2:$AB$200,$G66)&gt;0,
     COUNTIFS($AC$2:$AC$200,$G66)&gt;0,
     COUNTIFS($AD$2:$AD$200,$G66)&gt;0,
     COUNTIFS($AE$2:$AE$200,$G66)&gt;0,
     COUNTIFS($AF$2:$AF$200,$G66)&gt;0,
     COUNTIFS($AG$2:$AG$200,$G66)&gt;0,
     COUNTIFS($AH$2:$AH$200,$G66)&gt;0,
     COUNTIFS($AI$2:$AI$200,$G66)&gt;0,
     COUNTIFS($AJ$2:$AJ$200,$G66)&gt;0,
     COUNTIFS($AK$2:$AK$200,$G66)&gt;0,
     COUNTIFS($AL$2:$AL$200,$G66)&gt;0,
     COUNTIFS($AM$2:$AM$200,$G66)&gt;0,
     COUNTIFS($AN$2:$AN$200,$G66)&gt;0,
     COUNTIFS($AO$2:$AO$200,$G66)&gt;0,
     COUNTIFS($AP$2:$AP$200,$G66)&gt;0,
     COUNTIFS($AQ$2:$AQ$200,$G66)&gt;0,
     COUNTIFS($AR$2:$AR$200,$G66)&gt;0,
     COUNTIFS($AS$2:$AS$200,$G66)&gt;0,
     COUNTIFS($AT$2:$AT$200,$G66)&gt;0,
     COUNTIFS($AU$2:$AU$200,$G66)&gt;0,
     COUNTIFS($AV$2:$AV$200,$G66)&gt;0,
     COUNTIFS($AW$2:$AW$200,$G66)&gt;0,
     COUNTIFS($AX$2:$AX$200,$G66)&gt;0,
     COUNTIFS($AY$2:$AY$200,$G66)&gt;0
   )),
  ),
  4
 ),
"")</f>
        <v/>
      </c>
      <c r="G66" t="str">
        <f ca="1"/>
        <v>Brutal Hordechief</v>
      </c>
      <c r="AO66" t="str">
        <v>Sedge Sliver</v>
      </c>
      <c r="BE66" t="str">
        <v>Plains</v>
      </c>
      <c r="BI66" t="str">
        <v>Windcrag Siege</v>
      </c>
      <c r="BJ66" t="str">
        <v>Sundering Eruption</v>
      </c>
      <c r="BL66" t="str">
        <v>Mountain</v>
      </c>
      <c r="CR66" t="str">
        <f ca="1"/>
        <v>Sentinel Sliver</v>
      </c>
      <c r="DC66" t="str">
        <f ca="1"/>
        <v>Tymna the Weaver</v>
      </c>
      <c r="DD66" t="str">
        <f ca="1"/>
        <v>The Emperor of Palamecia</v>
      </c>
      <c r="DP66" t="str">
        <f ca="1"/>
        <v>The Shire</v>
      </c>
      <c r="DT66" t="str">
        <f ca="1"/>
        <v>Rogues' Gallery</v>
      </c>
      <c r="DZ66" t="str">
        <f ca="1"/>
        <v>Isolated Chapel</v>
      </c>
      <c r="EG66" t="str">
        <f ca="1"/>
        <v>Path to Exile</v>
      </c>
      <c r="EH66" t="str">
        <f ca="1"/>
        <v>Sword of Light and Shadow</v>
      </c>
      <c r="EI66" t="str">
        <f ca="1"/>
        <v>Mask of Griselbrand</v>
      </c>
      <c r="EK66" t="str">
        <f ca="1"/>
        <v>Stroke of Midnight</v>
      </c>
      <c r="EL66" t="str">
        <f ca="1"/>
        <v>Isolated Chapel</v>
      </c>
      <c r="EP66" t="str">
        <f ca="1"/>
        <v>Giver of Runes</v>
      </c>
      <c r="EQ66" t="str">
        <f ca="1"/>
        <v>Harmonic Sliver</v>
      </c>
      <c r="ER66" t="str">
        <f ca="1"/>
        <v>Emergence Zone</v>
      </c>
      <c r="EU66" t="str">
        <f ca="1"/>
        <v>Commodore Guff</v>
      </c>
      <c r="EV66" t="str">
        <f ca="1"/>
        <v>Emergence Zone</v>
      </c>
      <c r="EX66" t="str">
        <f ca="1"/>
        <v>Brutal Hordechief</v>
      </c>
    </row>
    <row r="67" spans="1:154" x14ac:dyDescent="0.25">
      <c r="A67" s="2" t="str">
        <f t="shared" ref="A67:A130" ca="1" si="8">IFERROR(INDEX($T$3:$T$200, MATCH($C67, $J$3:$J$200, 0)), "")</f>
        <v>4</v>
      </c>
      <c r="B67" s="2">
        <f t="shared" ref="B67:B130" ca="1" si="9">COUNTIF(V:CG,G67)</f>
        <v>1</v>
      </c>
      <c r="C67" s="2" t="str">
        <f ca="1">IFERROR(
 INDEX($V$1:$BL$1,
  MATCH(TRUE,
   CHOOSE({1;2;3;4;5;6;7;8;9;10;11;12;13;14;15;16;17;18;19;20;21;22;23;24;25;26;27;28;29;30;31;32;33;34;35;36;37;38;39;40;41;42;43},
    COUNTIFS($V$2:$V$200,$G67)&gt;0,
    COUNTIFS($W$2:$W$200,$G67)&gt;0,
    COUNTIFS($X$2:$X$200,$G67)&gt;0,
    COUNTIFS($Y$2:$Y$200,$G67)&gt;0,
    COUNTIFS($Z$2:$Z$200,$G67)&gt;0,
    COUNTIFS($AA$2:$AA$200,$G67)&gt;0,
    COUNTIFS($AB$2:$AB$200,$G67)&gt;0,
    COUNTIFS($AC$2:$AC$200,$G67)&gt;0,
    COUNTIFS($AD$2:$AD$200,$G67)&gt;0,
    COUNTIFS($AE$2:$AE$200,$G67)&gt;0,
    COUNTIFS($AF$2:$AF$200,$G67)&gt;0,
    COUNTIFS($AG$2:$AG$200,$G67)&gt;0,
    COUNTIFS($AH$2:$AH$200,$G67)&gt;0,
    COUNTIFS($AI$2:$AI$200,$G67)&gt;0,
    COUNTIFS($AJ$2:$AJ$200,$G67)&gt;0,
    COUNTIFS($AK$2:$AK$200,$G67)&gt;0,
    COUNTIFS($AL$2:$AL$200,$G67)&gt;0,
    COUNTIFS($AM$2:$AM$200,$G67)&gt;0,
    COUNTIFS($AN$2:$AN$200,$G67)&gt;0,
    COUNTIFS($AO$2:$AO$200,$G67)&gt;0,
    COUNTIFS($AP$2:$AP$200,$G67)&gt;0,
    COUNTIFS($AQ$2:$AQ$200,$G67)&gt;0,
    COUNTIFS($AR$2:$AR$200,$G67)&gt;0,
    COUNTIFS($AS$2:$AS$200,$G67)&gt;0,
    COUNTIFS($AT$2:$AT$200,$G67)&gt;0,
    COUNTIFS($AU$2:$AU$200,$G67)&gt;0,
    COUNTIFS($AV$2:$AV$200,$G67)&gt;0,
    COUNTIFS($AW$2:$AW$200,$G67)&gt;0,
    COUNTIFS($AX$2:$AX$200,$G67)&gt;0,
    COUNTIFS($AY$2:$AY$200,$G67)&gt;0,
    COUNTIFS($AZ$2:$AZ$200,$G67)&gt;0,
    COUNTIFS($BA$2:$BA$200,$G67)&gt;0,
    COUNTIFS($BB$2:$BB$200,$G67)&gt;0,
    COUNTIFS($BC$2:$BC$200,$G67)&gt;0,
    COUNTIFS($BD$2:$BD$200,$G67)&gt;0,
    COUNTIFS($BE$2:$BE$200,$G67)&gt;0,
    COUNTIFS($BF$2:$BF$200,$G67)&gt;0,
    COUNTIFS($BG$2:$BG$200,$G67)&gt;0,
    COUNTIFS($BH$2:$BH$200,$G67)&gt;0,
    COUNTIFS($BI$2:$BI$200,$G67)&gt;0,
    COUNTIFS($BJ$2:$BJ$200,$G67)&gt;0,
    COUNTIFS($BK$2:$BK$200,$G67)&gt;0,
    COUNTIFS($BL$2:$BL$200,$G67)&gt;0,
    COUNTIFS($BM$2:$BM$200,$G67)&gt;0,
   ),
  0)
 ),
"")</f>
        <v>Kresh</v>
      </c>
      <c r="D67" s="2" t="str" cm="1">
        <f t="array" aca="1" ref="D67" ca="1">IFERROR(
 INDEX(
  _xlfn._xlws.FILTER($V$1:$AY$1,
   TRANSPOSE(
    CHOOSE({1;2;3;4;5;6;7;8;9;10;11;12;13;14;15;16;17;18;19;20;21;22;23;24;25;26;27;28;29;30},
     COUNTIFS($V$2:$V$200,$G67)&gt;0,
     COUNTIFS($W$2:$W$200,$G67)&gt;0,
     COUNTIFS($X$2:$X$200,$G67)&gt;0,
     COUNTIFS($Y$2:$Y$200,$G67)&gt;0,
     COUNTIFS($Z$2:$Z$200,$G67)&gt;0,
     COUNTIFS($AA$2:$AA$200,$G67)&gt;0,
     COUNTIFS($AB$2:$AB$200,$G67)&gt;0,
     COUNTIFS($AC$2:$AC$200,$G67)&gt;0,
     COUNTIFS($AD$2:$AD$200,$G67)&gt;0,
     COUNTIFS($AE$2:$AE$200,$G67)&gt;0,
     COUNTIFS($AF$2:$AF$200,$G67)&gt;0,
     COUNTIFS($AG$2:$AG$200,$G67)&gt;0,
     COUNTIFS($AH$2:$AH$200,$G67)&gt;0,
     COUNTIFS($AI$2:$AI$200,$G67)&gt;0,
     COUNTIFS($AJ$2:$AJ$200,$G67)&gt;0,
     COUNTIFS($AK$2:$AK$200,$G67)&gt;0,
     COUNTIFS($AL$2:$AL$200,$G67)&gt;0,
     COUNTIFS($AM$2:$AM$200,$G67)&gt;0,
     COUNTIFS($AN$2:$AN$200,$G67)&gt;0,
     COUNTIFS($AO$2:$AO$200,$G67)&gt;0,
     COUNTIFS($AP$2:$AP$200,$G67)&gt;0,
     COUNTIFS($AQ$2:$AQ$200,$G67)&gt;0,
     COUNTIFS($AR$2:$AR$200,$G67)&gt;0,
     COUNTIFS($AS$2:$AS$200,$G67)&gt;0,
     COUNTIFS($AT$2:$AT$200,$G67)&gt;0,
     COUNTIFS($AU$2:$AU$200,$G67)&gt;0,
     COUNTIFS($AV$2:$AV$200,$G67)&gt;0,
     COUNTIFS($AW$2:$AW$200,$G67)&gt;0,
     COUNTIFS($AX$2:$AX$200,$G67)&gt;0,
     COUNTIFS($AY$2:$AY$200,$G67)&gt;0
   )),
  ),
  2
 ),
"")</f>
        <v/>
      </c>
      <c r="E67" s="2" t="str" cm="1">
        <f t="array" aca="1" ref="E67" ca="1">IFERROR(
 INDEX(
  _xlfn._xlws.FILTER($V$1:$AY$1,
   TRANSPOSE(
    CHOOSE({1;2;3;4;5;6;7;8;9;10;11;12;13;14;15;16;17;18;19;20;21;22;23;24;25;26;27;28;29;30},
     COUNTIFS($V$2:$V$200,$G67)&gt;0,
     COUNTIFS($W$2:$W$200,$G67)&gt;0,
     COUNTIFS($X$2:$X$200,$G67)&gt;0,
     COUNTIFS($Y$2:$Y$200,$G67)&gt;0,
     COUNTIFS($Z$2:$Z$200,$G67)&gt;0,
     COUNTIFS($AA$2:$AA$200,$G67)&gt;0,
     COUNTIFS($AB$2:$AB$200,$G67)&gt;0,
     COUNTIFS($AC$2:$AC$200,$G67)&gt;0,
     COUNTIFS($AD$2:$AD$200,$G67)&gt;0,
     COUNTIFS($AE$2:$AE$200,$G67)&gt;0,
     COUNTIFS($AF$2:$AF$200,$G67)&gt;0,
     COUNTIFS($AG$2:$AG$200,$G67)&gt;0,
     COUNTIFS($AH$2:$AH$200,$G67)&gt;0,
     COUNTIFS($AI$2:$AI$200,$G67)&gt;0,
     COUNTIFS($AJ$2:$AJ$200,$G67)&gt;0,
     COUNTIFS($AK$2:$AK$200,$G67)&gt;0,
     COUNTIFS($AL$2:$AL$200,$G67)&gt;0,
     COUNTIFS($AM$2:$AM$200,$G67)&gt;0,
     COUNTIFS($AN$2:$AN$200,$G67)&gt;0,
     COUNTIFS($AO$2:$AO$200,$G67)&gt;0,
     COUNTIFS($AP$2:$AP$200,$G67)&gt;0,
     COUNTIFS($AQ$2:$AQ$200,$G67)&gt;0,
     COUNTIFS($AR$2:$AR$200,$G67)&gt;0,
     COUNTIFS($AS$2:$AS$200,$G67)&gt;0,
     COUNTIFS($AT$2:$AT$200,$G67)&gt;0,
     COUNTIFS($AU$2:$AU$200,$G67)&gt;0,
     COUNTIFS($AV$2:$AV$200,$G67)&gt;0,
     COUNTIFS($AW$2:$AW$200,$G67)&gt;0,
     COUNTIFS($AX$2:$AX$200,$G67)&gt;0,
     COUNTIFS($AY$2:$AY$200,$G67)&gt;0
   )),
  ),
  3
 ),
"")</f>
        <v/>
      </c>
      <c r="F67" s="2" t="str" cm="1">
        <f t="array" aca="1" ref="F67" ca="1">IFERROR(
 INDEX(
  _xlfn._xlws.FILTER($V$1:$AY$1,
   TRANSPOSE(
    CHOOSE({1;2;3;4;5;6;7;8;9;10;11;12;13;14;15;16;17;18;19;20;21;22;23;24;25;26;27;28;29;30},
     COUNTIFS($V$2:$V$200,$G67)&gt;0,
     COUNTIFS($W$2:$W$200,$G67)&gt;0,
     COUNTIFS($X$2:$X$200,$G67)&gt;0,
     COUNTIFS($Y$2:$Y$200,$G67)&gt;0,
     COUNTIFS($Z$2:$Z$200,$G67)&gt;0,
     COUNTIFS($AA$2:$AA$200,$G67)&gt;0,
     COUNTIFS($AB$2:$AB$200,$G67)&gt;0,
     COUNTIFS($AC$2:$AC$200,$G67)&gt;0,
     COUNTIFS($AD$2:$AD$200,$G67)&gt;0,
     COUNTIFS($AE$2:$AE$200,$G67)&gt;0,
     COUNTIFS($AF$2:$AF$200,$G67)&gt;0,
     COUNTIFS($AG$2:$AG$200,$G67)&gt;0,
     COUNTIFS($AH$2:$AH$200,$G67)&gt;0,
     COUNTIFS($AI$2:$AI$200,$G67)&gt;0,
     COUNTIFS($AJ$2:$AJ$200,$G67)&gt;0,
     COUNTIFS($AK$2:$AK$200,$G67)&gt;0,
     COUNTIFS($AL$2:$AL$200,$G67)&gt;0,
     COUNTIFS($AM$2:$AM$200,$G67)&gt;0,
     COUNTIFS($AN$2:$AN$200,$G67)&gt;0,
     COUNTIFS($AO$2:$AO$200,$G67)&gt;0,
     COUNTIFS($AP$2:$AP$200,$G67)&gt;0,
     COUNTIFS($AQ$2:$AQ$200,$G67)&gt;0,
     COUNTIFS($AR$2:$AR$200,$G67)&gt;0,
     COUNTIFS($AS$2:$AS$200,$G67)&gt;0,
     COUNTIFS($AT$2:$AT$200,$G67)&gt;0,
     COUNTIFS($AU$2:$AU$200,$G67)&gt;0,
     COUNTIFS($AV$2:$AV$200,$G67)&gt;0,
     COUNTIFS($AW$2:$AW$200,$G67)&gt;0,
     COUNTIFS($AX$2:$AX$200,$G67)&gt;0,
     COUNTIFS($AY$2:$AY$200,$G67)&gt;0
   )),
  ),
  4
 ),
"")</f>
        <v/>
      </c>
      <c r="G67" t="str">
        <f ca="1"/>
        <v>Bugenhagen, Wise Elder</v>
      </c>
      <c r="AO67" t="str">
        <v>Sentinel Sliver</v>
      </c>
      <c r="BE67" t="str">
        <v>Plains</v>
      </c>
      <c r="BJ67" t="str">
        <v>Sunpetal Grove</v>
      </c>
      <c r="BL67" t="str">
        <v>Mystic Confluence</v>
      </c>
      <c r="CR67" t="str">
        <f ca="1"/>
        <v>Shifting Sliver</v>
      </c>
      <c r="DC67" t="str">
        <f ca="1"/>
        <v>Vault of the Archangel</v>
      </c>
      <c r="DD67" t="str">
        <f ca="1"/>
        <v>The Lord of Pain</v>
      </c>
      <c r="DP67" t="str">
        <f ca="1"/>
        <v>The Water Crystal</v>
      </c>
      <c r="DT67" t="str">
        <f ca="1"/>
        <v>Root Sliver</v>
      </c>
      <c r="DZ67" t="str">
        <f ca="1"/>
        <v>Isshin, Two Heavens as One</v>
      </c>
      <c r="EG67" t="str">
        <f ca="1"/>
        <v>Pestered Wellguard</v>
      </c>
      <c r="EH67" t="str">
        <f ca="1"/>
        <v>Sword of Truth and Justice</v>
      </c>
      <c r="EI67" t="str">
        <f ca="1"/>
        <v>Mistrise Village</v>
      </c>
      <c r="EK67" t="str">
        <f ca="1"/>
        <v>Swamp</v>
      </c>
      <c r="EL67" t="str">
        <f ca="1"/>
        <v>Isshin, Two Heavens as One</v>
      </c>
      <c r="EP67" t="str">
        <f ca="1"/>
        <v>Glasspool Mimic</v>
      </c>
      <c r="EQ67" t="str">
        <f ca="1"/>
        <v>Hatchery Sliver</v>
      </c>
      <c r="ER67" t="str">
        <f ca="1"/>
        <v>Endurance</v>
      </c>
      <c r="EU67" t="str">
        <f ca="1"/>
        <v>Congregation at Dawn</v>
      </c>
      <c r="EV67" t="str">
        <f ca="1"/>
        <v>Endurance</v>
      </c>
      <c r="EX67" t="str">
        <f ca="1"/>
        <v>Bugenhagen, Wise Elder</v>
      </c>
    </row>
    <row r="68" spans="1:154" x14ac:dyDescent="0.25">
      <c r="A68" s="2" t="str">
        <f t="shared" ca="1" si="8"/>
        <v>2</v>
      </c>
      <c r="B68" s="2">
        <f t="shared" ca="1" si="9"/>
        <v>1</v>
      </c>
      <c r="C68" s="2" t="str">
        <f ca="1">IFERROR(
 INDEX($V$1:$BL$1,
  MATCH(TRUE,
   CHOOSE({1;2;3;4;5;6;7;8;9;10;11;12;13;14;15;16;17;18;19;20;21;22;23;24;25;26;27;28;29;30;31;32;33;34;35;36;37;38;39;40;41;42;43},
    COUNTIFS($V$2:$V$200,$G68)&gt;0,
    COUNTIFS($W$2:$W$200,$G68)&gt;0,
    COUNTIFS($X$2:$X$200,$G68)&gt;0,
    COUNTIFS($Y$2:$Y$200,$G68)&gt;0,
    COUNTIFS($Z$2:$Z$200,$G68)&gt;0,
    COUNTIFS($AA$2:$AA$200,$G68)&gt;0,
    COUNTIFS($AB$2:$AB$200,$G68)&gt;0,
    COUNTIFS($AC$2:$AC$200,$G68)&gt;0,
    COUNTIFS($AD$2:$AD$200,$G68)&gt;0,
    COUNTIFS($AE$2:$AE$200,$G68)&gt;0,
    COUNTIFS($AF$2:$AF$200,$G68)&gt;0,
    COUNTIFS($AG$2:$AG$200,$G68)&gt;0,
    COUNTIFS($AH$2:$AH$200,$G68)&gt;0,
    COUNTIFS($AI$2:$AI$200,$G68)&gt;0,
    COUNTIFS($AJ$2:$AJ$200,$G68)&gt;0,
    COUNTIFS($AK$2:$AK$200,$G68)&gt;0,
    COUNTIFS($AL$2:$AL$200,$G68)&gt;0,
    COUNTIFS($AM$2:$AM$200,$G68)&gt;0,
    COUNTIFS($AN$2:$AN$200,$G68)&gt;0,
    COUNTIFS($AO$2:$AO$200,$G68)&gt;0,
    COUNTIFS($AP$2:$AP$200,$G68)&gt;0,
    COUNTIFS($AQ$2:$AQ$200,$G68)&gt;0,
    COUNTIFS($AR$2:$AR$200,$G68)&gt;0,
    COUNTIFS($AS$2:$AS$200,$G68)&gt;0,
    COUNTIFS($AT$2:$AT$200,$G68)&gt;0,
    COUNTIFS($AU$2:$AU$200,$G68)&gt;0,
    COUNTIFS($AV$2:$AV$200,$G68)&gt;0,
    COUNTIFS($AW$2:$AW$200,$G68)&gt;0,
    COUNTIFS($AX$2:$AX$200,$G68)&gt;0,
    COUNTIFS($AY$2:$AY$200,$G68)&gt;0,
    COUNTIFS($AZ$2:$AZ$200,$G68)&gt;0,
    COUNTIFS($BA$2:$BA$200,$G68)&gt;0,
    COUNTIFS($BB$2:$BB$200,$G68)&gt;0,
    COUNTIFS($BC$2:$BC$200,$G68)&gt;0,
    COUNTIFS($BD$2:$BD$200,$G68)&gt;0,
    COUNTIFS($BE$2:$BE$200,$G68)&gt;0,
    COUNTIFS($BF$2:$BF$200,$G68)&gt;0,
    COUNTIFS($BG$2:$BG$200,$G68)&gt;0,
    COUNTIFS($BH$2:$BH$200,$G68)&gt;0,
    COUNTIFS($BI$2:$BI$200,$G68)&gt;0,
    COUNTIFS($BJ$2:$BJ$200,$G68)&gt;0,
    COUNTIFS($BK$2:$BK$200,$G68)&gt;0,
    COUNTIFS($BL$2:$BL$200,$G68)&gt;0,
    COUNTIFS($BM$2:$BM$200,$G68)&gt;0,
   ),
  0)
 ),
"")</f>
        <v>Zimone</v>
      </c>
      <c r="D68" s="2" t="str" cm="1">
        <f t="array" aca="1" ref="D68" ca="1">IFERROR(
 INDEX(
  _xlfn._xlws.FILTER($V$1:$AY$1,
   TRANSPOSE(
    CHOOSE({1;2;3;4;5;6;7;8;9;10;11;12;13;14;15;16;17;18;19;20;21;22;23;24;25;26;27;28;29;30},
     COUNTIFS($V$2:$V$200,$G68)&gt;0,
     COUNTIFS($W$2:$W$200,$G68)&gt;0,
     COUNTIFS($X$2:$X$200,$G68)&gt;0,
     COUNTIFS($Y$2:$Y$200,$G68)&gt;0,
     COUNTIFS($Z$2:$Z$200,$G68)&gt;0,
     COUNTIFS($AA$2:$AA$200,$G68)&gt;0,
     COUNTIFS($AB$2:$AB$200,$G68)&gt;0,
     COUNTIFS($AC$2:$AC$200,$G68)&gt;0,
     COUNTIFS($AD$2:$AD$200,$G68)&gt;0,
     COUNTIFS($AE$2:$AE$200,$G68)&gt;0,
     COUNTIFS($AF$2:$AF$200,$G68)&gt;0,
     COUNTIFS($AG$2:$AG$200,$G68)&gt;0,
     COUNTIFS($AH$2:$AH$200,$G68)&gt;0,
     COUNTIFS($AI$2:$AI$200,$G68)&gt;0,
     COUNTIFS($AJ$2:$AJ$200,$G68)&gt;0,
     COUNTIFS($AK$2:$AK$200,$G68)&gt;0,
     COUNTIFS($AL$2:$AL$200,$G68)&gt;0,
     COUNTIFS($AM$2:$AM$200,$G68)&gt;0,
     COUNTIFS($AN$2:$AN$200,$G68)&gt;0,
     COUNTIFS($AO$2:$AO$200,$G68)&gt;0,
     COUNTIFS($AP$2:$AP$200,$G68)&gt;0,
     COUNTIFS($AQ$2:$AQ$200,$G68)&gt;0,
     COUNTIFS($AR$2:$AR$200,$G68)&gt;0,
     COUNTIFS($AS$2:$AS$200,$G68)&gt;0,
     COUNTIFS($AT$2:$AT$200,$G68)&gt;0,
     COUNTIFS($AU$2:$AU$200,$G68)&gt;0,
     COUNTIFS($AV$2:$AV$200,$G68)&gt;0,
     COUNTIFS($AW$2:$AW$200,$G68)&gt;0,
     COUNTIFS($AX$2:$AX$200,$G68)&gt;0,
     COUNTIFS($AY$2:$AY$200,$G68)&gt;0
   )),
  ),
  2
 ),
"")</f>
        <v/>
      </c>
      <c r="E68" s="2" t="str" cm="1">
        <f t="array" aca="1" ref="E68" ca="1">IFERROR(
 INDEX(
  _xlfn._xlws.FILTER($V$1:$AY$1,
   TRANSPOSE(
    CHOOSE({1;2;3;4;5;6;7;8;9;10;11;12;13;14;15;16;17;18;19;20;21;22;23;24;25;26;27;28;29;30},
     COUNTIFS($V$2:$V$200,$G68)&gt;0,
     COUNTIFS($W$2:$W$200,$G68)&gt;0,
     COUNTIFS($X$2:$X$200,$G68)&gt;0,
     COUNTIFS($Y$2:$Y$200,$G68)&gt;0,
     COUNTIFS($Z$2:$Z$200,$G68)&gt;0,
     COUNTIFS($AA$2:$AA$200,$G68)&gt;0,
     COUNTIFS($AB$2:$AB$200,$G68)&gt;0,
     COUNTIFS($AC$2:$AC$200,$G68)&gt;0,
     COUNTIFS($AD$2:$AD$200,$G68)&gt;0,
     COUNTIFS($AE$2:$AE$200,$G68)&gt;0,
     COUNTIFS($AF$2:$AF$200,$G68)&gt;0,
     COUNTIFS($AG$2:$AG$200,$G68)&gt;0,
     COUNTIFS($AH$2:$AH$200,$G68)&gt;0,
     COUNTIFS($AI$2:$AI$200,$G68)&gt;0,
     COUNTIFS($AJ$2:$AJ$200,$G68)&gt;0,
     COUNTIFS($AK$2:$AK$200,$G68)&gt;0,
     COUNTIFS($AL$2:$AL$200,$G68)&gt;0,
     COUNTIFS($AM$2:$AM$200,$G68)&gt;0,
     COUNTIFS($AN$2:$AN$200,$G68)&gt;0,
     COUNTIFS($AO$2:$AO$200,$G68)&gt;0,
     COUNTIFS($AP$2:$AP$200,$G68)&gt;0,
     COUNTIFS($AQ$2:$AQ$200,$G68)&gt;0,
     COUNTIFS($AR$2:$AR$200,$G68)&gt;0,
     COUNTIFS($AS$2:$AS$200,$G68)&gt;0,
     COUNTIFS($AT$2:$AT$200,$G68)&gt;0,
     COUNTIFS($AU$2:$AU$200,$G68)&gt;0,
     COUNTIFS($AV$2:$AV$200,$G68)&gt;0,
     COUNTIFS($AW$2:$AW$200,$G68)&gt;0,
     COUNTIFS($AX$2:$AX$200,$G68)&gt;0,
     COUNTIFS($AY$2:$AY$200,$G68)&gt;0
   )),
  ),
  3
 ),
"")</f>
        <v/>
      </c>
      <c r="F68" s="2" t="str" cm="1">
        <f t="array" aca="1" ref="F68" ca="1">IFERROR(
 INDEX(
  _xlfn._xlws.FILTER($V$1:$AY$1,
   TRANSPOSE(
    CHOOSE({1;2;3;4;5;6;7;8;9;10;11;12;13;14;15;16;17;18;19;20;21;22;23;24;25;26;27;28;29;30},
     COUNTIFS($V$2:$V$200,$G68)&gt;0,
     COUNTIFS($W$2:$W$200,$G68)&gt;0,
     COUNTIFS($X$2:$X$200,$G68)&gt;0,
     COUNTIFS($Y$2:$Y$200,$G68)&gt;0,
     COUNTIFS($Z$2:$Z$200,$G68)&gt;0,
     COUNTIFS($AA$2:$AA$200,$G68)&gt;0,
     COUNTIFS($AB$2:$AB$200,$G68)&gt;0,
     COUNTIFS($AC$2:$AC$200,$G68)&gt;0,
     COUNTIFS($AD$2:$AD$200,$G68)&gt;0,
     COUNTIFS($AE$2:$AE$200,$G68)&gt;0,
     COUNTIFS($AF$2:$AF$200,$G68)&gt;0,
     COUNTIFS($AG$2:$AG$200,$G68)&gt;0,
     COUNTIFS($AH$2:$AH$200,$G68)&gt;0,
     COUNTIFS($AI$2:$AI$200,$G68)&gt;0,
     COUNTIFS($AJ$2:$AJ$200,$G68)&gt;0,
     COUNTIFS($AK$2:$AK$200,$G68)&gt;0,
     COUNTIFS($AL$2:$AL$200,$G68)&gt;0,
     COUNTIFS($AM$2:$AM$200,$G68)&gt;0,
     COUNTIFS($AN$2:$AN$200,$G68)&gt;0,
     COUNTIFS($AO$2:$AO$200,$G68)&gt;0,
     COUNTIFS($AP$2:$AP$200,$G68)&gt;0,
     COUNTIFS($AQ$2:$AQ$200,$G68)&gt;0,
     COUNTIFS($AR$2:$AR$200,$G68)&gt;0,
     COUNTIFS($AS$2:$AS$200,$G68)&gt;0,
     COUNTIFS($AT$2:$AT$200,$G68)&gt;0,
     COUNTIFS($AU$2:$AU$200,$G68)&gt;0,
     COUNTIFS($AV$2:$AV$200,$G68)&gt;0,
     COUNTIFS($AW$2:$AW$200,$G68)&gt;0,
     COUNTIFS($AX$2:$AX$200,$G68)&gt;0,
     COUNTIFS($AY$2:$AY$200,$G68)&gt;0
   )),
  ),
  4
 ),
"")</f>
        <v/>
      </c>
      <c r="G68" t="str">
        <f ca="1"/>
        <v>Burgeoning</v>
      </c>
      <c r="AO68" t="str">
        <v>Shifting Sliver</v>
      </c>
      <c r="BE68" t="str">
        <v>Plains</v>
      </c>
      <c r="BJ68" t="str">
        <v>Swamp</v>
      </c>
      <c r="BL68" t="str">
        <v>Natural Connection</v>
      </c>
      <c r="CR68" t="str">
        <f ca="1"/>
        <v>Signal the Clans</v>
      </c>
      <c r="DC68" t="str">
        <f ca="1"/>
        <v>Veteran Soldier</v>
      </c>
      <c r="DD68" t="str">
        <f ca="1"/>
        <v>Toxic Deluge</v>
      </c>
      <c r="DP68" t="str">
        <f ca="1"/>
        <v>Treasure Vault</v>
      </c>
      <c r="DT68" t="str">
        <f ca="1"/>
        <v>Sacred Foundry</v>
      </c>
      <c r="DZ68" t="str">
        <f ca="1"/>
        <v>Jaheira's Respite</v>
      </c>
      <c r="EG68" t="str">
        <f ca="1"/>
        <v>Prosperous Partnership</v>
      </c>
      <c r="EH68" t="str">
        <f ca="1"/>
        <v>Sword of Wealth and Power</v>
      </c>
      <c r="EI68" t="str">
        <f ca="1"/>
        <v>Mnemonic Sliver</v>
      </c>
      <c r="EK68" t="str">
        <f ca="1"/>
        <v>Swords to Plowshares</v>
      </c>
      <c r="EL68" t="str">
        <f ca="1"/>
        <v>Jaheira's Respite</v>
      </c>
      <c r="EP68" t="str">
        <f ca="1"/>
        <v>Glen Elendra's Answer</v>
      </c>
      <c r="EQ68" t="str">
        <f ca="1"/>
        <v>Haunted Crossroads</v>
      </c>
      <c r="ER68" t="str">
        <f ca="1"/>
        <v>Entish Restoration</v>
      </c>
      <c r="EU68" t="str">
        <f ca="1"/>
        <v>Constricting Sliver</v>
      </c>
      <c r="EV68" t="str">
        <f ca="1"/>
        <v>Entish Restoration</v>
      </c>
      <c r="EX68" t="str">
        <f ca="1"/>
        <v>Burgeoning</v>
      </c>
    </row>
    <row r="69" spans="1:154" x14ac:dyDescent="0.25">
      <c r="A69" s="2" t="str">
        <f t="shared" ca="1" si="8"/>
        <v>3</v>
      </c>
      <c r="B69" s="2">
        <f t="shared" ca="1" si="9"/>
        <v>1</v>
      </c>
      <c r="C69" s="2" t="str">
        <f ca="1">IFERROR(
 INDEX($V$1:$BL$1,
  MATCH(TRUE,
   CHOOSE({1;2;3;4;5;6;7;8;9;10;11;12;13;14;15;16;17;18;19;20;21;22;23;24;25;26;27;28;29;30;31;32;33;34;35;36;37;38;39;40;41;42;43},
    COUNTIFS($V$2:$V$200,$G69)&gt;0,
    COUNTIFS($W$2:$W$200,$G69)&gt;0,
    COUNTIFS($X$2:$X$200,$G69)&gt;0,
    COUNTIFS($Y$2:$Y$200,$G69)&gt;0,
    COUNTIFS($Z$2:$Z$200,$G69)&gt;0,
    COUNTIFS($AA$2:$AA$200,$G69)&gt;0,
    COUNTIFS($AB$2:$AB$200,$G69)&gt;0,
    COUNTIFS($AC$2:$AC$200,$G69)&gt;0,
    COUNTIFS($AD$2:$AD$200,$G69)&gt;0,
    COUNTIFS($AE$2:$AE$200,$G69)&gt;0,
    COUNTIFS($AF$2:$AF$200,$G69)&gt;0,
    COUNTIFS($AG$2:$AG$200,$G69)&gt;0,
    COUNTIFS($AH$2:$AH$200,$G69)&gt;0,
    COUNTIFS($AI$2:$AI$200,$G69)&gt;0,
    COUNTIFS($AJ$2:$AJ$200,$G69)&gt;0,
    COUNTIFS($AK$2:$AK$200,$G69)&gt;0,
    COUNTIFS($AL$2:$AL$200,$G69)&gt;0,
    COUNTIFS($AM$2:$AM$200,$G69)&gt;0,
    COUNTIFS($AN$2:$AN$200,$G69)&gt;0,
    COUNTIFS($AO$2:$AO$200,$G69)&gt;0,
    COUNTIFS($AP$2:$AP$200,$G69)&gt;0,
    COUNTIFS($AQ$2:$AQ$200,$G69)&gt;0,
    COUNTIFS($AR$2:$AR$200,$G69)&gt;0,
    COUNTIFS($AS$2:$AS$200,$G69)&gt;0,
    COUNTIFS($AT$2:$AT$200,$G69)&gt;0,
    COUNTIFS($AU$2:$AU$200,$G69)&gt;0,
    COUNTIFS($AV$2:$AV$200,$G69)&gt;0,
    COUNTIFS($AW$2:$AW$200,$G69)&gt;0,
    COUNTIFS($AX$2:$AX$200,$G69)&gt;0,
    COUNTIFS($AY$2:$AY$200,$G69)&gt;0,
    COUNTIFS($AZ$2:$AZ$200,$G69)&gt;0,
    COUNTIFS($BA$2:$BA$200,$G69)&gt;0,
    COUNTIFS($BB$2:$BB$200,$G69)&gt;0,
    COUNTIFS($BC$2:$BC$200,$G69)&gt;0,
    COUNTIFS($BD$2:$BD$200,$G69)&gt;0,
    COUNTIFS($BE$2:$BE$200,$G69)&gt;0,
    COUNTIFS($BF$2:$BF$200,$G69)&gt;0,
    COUNTIFS($BG$2:$BG$200,$G69)&gt;0,
    COUNTIFS($BH$2:$BH$200,$G69)&gt;0,
    COUNTIFS($BI$2:$BI$200,$G69)&gt;0,
    COUNTIFS($BJ$2:$BJ$200,$G69)&gt;0,
    COUNTIFS($BK$2:$BK$200,$G69)&gt;0,
    COUNTIFS($BL$2:$BL$200,$G69)&gt;0,
    COUNTIFS($BM$2:$BM$200,$G69)&gt;0,
   ),
  0)
 ),
"")</f>
        <v>Inalla</v>
      </c>
      <c r="D69" s="2" t="str" cm="1">
        <f t="array" aca="1" ref="D69" ca="1">IFERROR(
 INDEX(
  _xlfn._xlws.FILTER($V$1:$AY$1,
   TRANSPOSE(
    CHOOSE({1;2;3;4;5;6;7;8;9;10;11;12;13;14;15;16;17;18;19;20;21;22;23;24;25;26;27;28;29;30},
     COUNTIFS($V$2:$V$200,$G69)&gt;0,
     COUNTIFS($W$2:$W$200,$G69)&gt;0,
     COUNTIFS($X$2:$X$200,$G69)&gt;0,
     COUNTIFS($Y$2:$Y$200,$G69)&gt;0,
     COUNTIFS($Z$2:$Z$200,$G69)&gt;0,
     COUNTIFS($AA$2:$AA$200,$G69)&gt;0,
     COUNTIFS($AB$2:$AB$200,$G69)&gt;0,
     COUNTIFS($AC$2:$AC$200,$G69)&gt;0,
     COUNTIFS($AD$2:$AD$200,$G69)&gt;0,
     COUNTIFS($AE$2:$AE$200,$G69)&gt;0,
     COUNTIFS($AF$2:$AF$200,$G69)&gt;0,
     COUNTIFS($AG$2:$AG$200,$G69)&gt;0,
     COUNTIFS($AH$2:$AH$200,$G69)&gt;0,
     COUNTIFS($AI$2:$AI$200,$G69)&gt;0,
     COUNTIFS($AJ$2:$AJ$200,$G69)&gt;0,
     COUNTIFS($AK$2:$AK$200,$G69)&gt;0,
     COUNTIFS($AL$2:$AL$200,$G69)&gt;0,
     COUNTIFS($AM$2:$AM$200,$G69)&gt;0,
     COUNTIFS($AN$2:$AN$200,$G69)&gt;0,
     COUNTIFS($AO$2:$AO$200,$G69)&gt;0,
     COUNTIFS($AP$2:$AP$200,$G69)&gt;0,
     COUNTIFS($AQ$2:$AQ$200,$G69)&gt;0,
     COUNTIFS($AR$2:$AR$200,$G69)&gt;0,
     COUNTIFS($AS$2:$AS$200,$G69)&gt;0,
     COUNTIFS($AT$2:$AT$200,$G69)&gt;0,
     COUNTIFS($AU$2:$AU$200,$G69)&gt;0,
     COUNTIFS($AV$2:$AV$200,$G69)&gt;0,
     COUNTIFS($AW$2:$AW$200,$G69)&gt;0,
     COUNTIFS($AX$2:$AX$200,$G69)&gt;0,
     COUNTIFS($AY$2:$AY$200,$G69)&gt;0
   )),
  ),
  2
 ),
"")</f>
        <v/>
      </c>
      <c r="E69" s="2" t="str" cm="1">
        <f t="array" aca="1" ref="E69" ca="1">IFERROR(
 INDEX(
  _xlfn._xlws.FILTER($V$1:$AY$1,
   TRANSPOSE(
    CHOOSE({1;2;3;4;5;6;7;8;9;10;11;12;13;14;15;16;17;18;19;20;21;22;23;24;25;26;27;28;29;30},
     COUNTIFS($V$2:$V$200,$G69)&gt;0,
     COUNTIFS($W$2:$W$200,$G69)&gt;0,
     COUNTIFS($X$2:$X$200,$G69)&gt;0,
     COUNTIFS($Y$2:$Y$200,$G69)&gt;0,
     COUNTIFS($Z$2:$Z$200,$G69)&gt;0,
     COUNTIFS($AA$2:$AA$200,$G69)&gt;0,
     COUNTIFS($AB$2:$AB$200,$G69)&gt;0,
     COUNTIFS($AC$2:$AC$200,$G69)&gt;0,
     COUNTIFS($AD$2:$AD$200,$G69)&gt;0,
     COUNTIFS($AE$2:$AE$200,$G69)&gt;0,
     COUNTIFS($AF$2:$AF$200,$G69)&gt;0,
     COUNTIFS($AG$2:$AG$200,$G69)&gt;0,
     COUNTIFS($AH$2:$AH$200,$G69)&gt;0,
     COUNTIFS($AI$2:$AI$200,$G69)&gt;0,
     COUNTIFS($AJ$2:$AJ$200,$G69)&gt;0,
     COUNTIFS($AK$2:$AK$200,$G69)&gt;0,
     COUNTIFS($AL$2:$AL$200,$G69)&gt;0,
     COUNTIFS($AM$2:$AM$200,$G69)&gt;0,
     COUNTIFS($AN$2:$AN$200,$G69)&gt;0,
     COUNTIFS($AO$2:$AO$200,$G69)&gt;0,
     COUNTIFS($AP$2:$AP$200,$G69)&gt;0,
     COUNTIFS($AQ$2:$AQ$200,$G69)&gt;0,
     COUNTIFS($AR$2:$AR$200,$G69)&gt;0,
     COUNTIFS($AS$2:$AS$200,$G69)&gt;0,
     COUNTIFS($AT$2:$AT$200,$G69)&gt;0,
     COUNTIFS($AU$2:$AU$200,$G69)&gt;0,
     COUNTIFS($AV$2:$AV$200,$G69)&gt;0,
     COUNTIFS($AW$2:$AW$200,$G69)&gt;0,
     COUNTIFS($AX$2:$AX$200,$G69)&gt;0,
     COUNTIFS($AY$2:$AY$200,$G69)&gt;0
   )),
  ),
  3
 ),
"")</f>
        <v/>
      </c>
      <c r="F69" s="2" t="str" cm="1">
        <f t="array" aca="1" ref="F69" ca="1">IFERROR(
 INDEX(
  _xlfn._xlws.FILTER($V$1:$AY$1,
   TRANSPOSE(
    CHOOSE({1;2;3;4;5;6;7;8;9;10;11;12;13;14;15;16;17;18;19;20;21;22;23;24;25;26;27;28;29;30},
     COUNTIFS($V$2:$V$200,$G69)&gt;0,
     COUNTIFS($W$2:$W$200,$G69)&gt;0,
     COUNTIFS($X$2:$X$200,$G69)&gt;0,
     COUNTIFS($Y$2:$Y$200,$G69)&gt;0,
     COUNTIFS($Z$2:$Z$200,$G69)&gt;0,
     COUNTIFS($AA$2:$AA$200,$G69)&gt;0,
     COUNTIFS($AB$2:$AB$200,$G69)&gt;0,
     COUNTIFS($AC$2:$AC$200,$G69)&gt;0,
     COUNTIFS($AD$2:$AD$200,$G69)&gt;0,
     COUNTIFS($AE$2:$AE$200,$G69)&gt;0,
     COUNTIFS($AF$2:$AF$200,$G69)&gt;0,
     COUNTIFS($AG$2:$AG$200,$G69)&gt;0,
     COUNTIFS($AH$2:$AH$200,$G69)&gt;0,
     COUNTIFS($AI$2:$AI$200,$G69)&gt;0,
     COUNTIFS($AJ$2:$AJ$200,$G69)&gt;0,
     COUNTIFS($AK$2:$AK$200,$G69)&gt;0,
     COUNTIFS($AL$2:$AL$200,$G69)&gt;0,
     COUNTIFS($AM$2:$AM$200,$G69)&gt;0,
     COUNTIFS($AN$2:$AN$200,$G69)&gt;0,
     COUNTIFS($AO$2:$AO$200,$G69)&gt;0,
     COUNTIFS($AP$2:$AP$200,$G69)&gt;0,
     COUNTIFS($AQ$2:$AQ$200,$G69)&gt;0,
     COUNTIFS($AR$2:$AR$200,$G69)&gt;0,
     COUNTIFS($AS$2:$AS$200,$G69)&gt;0,
     COUNTIFS($AT$2:$AT$200,$G69)&gt;0,
     COUNTIFS($AU$2:$AU$200,$G69)&gt;0,
     COUNTIFS($AV$2:$AV$200,$G69)&gt;0,
     COUNTIFS($AW$2:$AW$200,$G69)&gt;0,
     COUNTIFS($AX$2:$AX$200,$G69)&gt;0,
     COUNTIFS($AY$2:$AY$200,$G69)&gt;0
   )),
  ),
  4
 ),
"")</f>
        <v/>
      </c>
      <c r="G69" t="str">
        <f ca="1"/>
        <v>Burnt Offering</v>
      </c>
      <c r="AO69" t="str">
        <v>Signal the Clans</v>
      </c>
      <c r="BE69" t="str">
        <v>Plains</v>
      </c>
      <c r="BJ69" t="str">
        <v>Swamp</v>
      </c>
      <c r="BL69" t="str">
        <v>Negate</v>
      </c>
      <c r="CR69" t="str">
        <f ca="1"/>
        <v>Sinew Sliver</v>
      </c>
      <c r="DC69" t="str">
        <f ca="1"/>
        <v>Water Tribe Rallier</v>
      </c>
      <c r="DD69" t="str">
        <f ca="1"/>
        <v>Unwind</v>
      </c>
      <c r="DP69" t="str">
        <f ca="1"/>
        <v>Unbreakable Formation</v>
      </c>
      <c r="DT69" t="str">
        <f ca="1"/>
        <v>Savai Triome</v>
      </c>
      <c r="DZ69" t="str">
        <f ca="1"/>
        <v>Joint Exploration</v>
      </c>
      <c r="EG69" t="str">
        <f ca="1"/>
        <v>Psychic Corrosion</v>
      </c>
      <c r="EH69" t="str">
        <f ca="1"/>
        <v>Takenuma, Abandoned Mire</v>
      </c>
      <c r="EI69" t="str">
        <f ca="1"/>
        <v>Mountain</v>
      </c>
      <c r="EK69" t="str">
        <f ca="1"/>
        <v>The Legend of Roku</v>
      </c>
      <c r="EL69" t="str">
        <f ca="1"/>
        <v>Joint Exploration</v>
      </c>
      <c r="EP69" t="str">
        <f ca="1"/>
        <v>Glint-Horn Buccaneer</v>
      </c>
      <c r="EQ69" t="str">
        <f ca="1"/>
        <v>Haywire Mite</v>
      </c>
      <c r="ER69" t="str">
        <f ca="1"/>
        <v>Ephara, God of the Polis</v>
      </c>
      <c r="EU69" t="str">
        <f ca="1"/>
        <v>Contagion Engine</v>
      </c>
      <c r="EV69" t="str">
        <f ca="1"/>
        <v>Ephara, God of the Polis</v>
      </c>
      <c r="EX69" t="str">
        <f ca="1"/>
        <v>Burnt Offering</v>
      </c>
    </row>
    <row r="70" spans="1:154" x14ac:dyDescent="0.25">
      <c r="A70" s="2" t="str">
        <f t="shared" ca="1" si="8"/>
        <v>5</v>
      </c>
      <c r="B70" s="2">
        <f t="shared" ca="1" si="9"/>
        <v>1</v>
      </c>
      <c r="C70" s="2" t="str">
        <f ca="1">IFERROR(
 INDEX($V$1:$BL$1,
  MATCH(TRUE,
   CHOOSE({1;2;3;4;5;6;7;8;9;10;11;12;13;14;15;16;17;18;19;20;21;22;23;24;25;26;27;28;29;30;31;32;33;34;35;36;37;38;39;40;41;42;43},
    COUNTIFS($V$2:$V$200,$G70)&gt;0,
    COUNTIFS($W$2:$W$200,$G70)&gt;0,
    COUNTIFS($X$2:$X$200,$G70)&gt;0,
    COUNTIFS($Y$2:$Y$200,$G70)&gt;0,
    COUNTIFS($Z$2:$Z$200,$G70)&gt;0,
    COUNTIFS($AA$2:$AA$200,$G70)&gt;0,
    COUNTIFS($AB$2:$AB$200,$G70)&gt;0,
    COUNTIFS($AC$2:$AC$200,$G70)&gt;0,
    COUNTIFS($AD$2:$AD$200,$G70)&gt;0,
    COUNTIFS($AE$2:$AE$200,$G70)&gt;0,
    COUNTIFS($AF$2:$AF$200,$G70)&gt;0,
    COUNTIFS($AG$2:$AG$200,$G70)&gt;0,
    COUNTIFS($AH$2:$AH$200,$G70)&gt;0,
    COUNTIFS($AI$2:$AI$200,$G70)&gt;0,
    COUNTIFS($AJ$2:$AJ$200,$G70)&gt;0,
    COUNTIFS($AK$2:$AK$200,$G70)&gt;0,
    COUNTIFS($AL$2:$AL$200,$G70)&gt;0,
    COUNTIFS($AM$2:$AM$200,$G70)&gt;0,
    COUNTIFS($AN$2:$AN$200,$G70)&gt;0,
    COUNTIFS($AO$2:$AO$200,$G70)&gt;0,
    COUNTIFS($AP$2:$AP$200,$G70)&gt;0,
    COUNTIFS($AQ$2:$AQ$200,$G70)&gt;0,
    COUNTIFS($AR$2:$AR$200,$G70)&gt;0,
    COUNTIFS($AS$2:$AS$200,$G70)&gt;0,
    COUNTIFS($AT$2:$AT$200,$G70)&gt;0,
    COUNTIFS($AU$2:$AU$200,$G70)&gt;0,
    COUNTIFS($AV$2:$AV$200,$G70)&gt;0,
    COUNTIFS($AW$2:$AW$200,$G70)&gt;0,
    COUNTIFS($AX$2:$AX$200,$G70)&gt;0,
    COUNTIFS($AY$2:$AY$200,$G70)&gt;0,
    COUNTIFS($AZ$2:$AZ$200,$G70)&gt;0,
    COUNTIFS($BA$2:$BA$200,$G70)&gt;0,
    COUNTIFS($BB$2:$BB$200,$G70)&gt;0,
    COUNTIFS($BC$2:$BC$200,$G70)&gt;0,
    COUNTIFS($BD$2:$BD$200,$G70)&gt;0,
    COUNTIFS($BE$2:$BE$200,$G70)&gt;0,
    COUNTIFS($BF$2:$BF$200,$G70)&gt;0,
    COUNTIFS($BG$2:$BG$200,$G70)&gt;0,
    COUNTIFS($BH$2:$BH$200,$G70)&gt;0,
    COUNTIFS($BI$2:$BI$200,$G70)&gt;0,
    COUNTIFS($BJ$2:$BJ$200,$G70)&gt;0,
    COUNTIFS($BK$2:$BK$200,$G70)&gt;0,
    COUNTIFS($BL$2:$BL$200,$G70)&gt;0,
    COUNTIFS($BM$2:$BM$200,$G70)&gt;0,
   ),
  0)
 ),
"")</f>
        <v>Little</v>
      </c>
      <c r="D70" s="2" t="str" cm="1">
        <f t="array" aca="1" ref="D70" ca="1">IFERROR(
 INDEX(
  _xlfn._xlws.FILTER($V$1:$AY$1,
   TRANSPOSE(
    CHOOSE({1;2;3;4;5;6;7;8;9;10;11;12;13;14;15;16;17;18;19;20;21;22;23;24;25;26;27;28;29;30},
     COUNTIFS($V$2:$V$200,$G70)&gt;0,
     COUNTIFS($W$2:$W$200,$G70)&gt;0,
     COUNTIFS($X$2:$X$200,$G70)&gt;0,
     COUNTIFS($Y$2:$Y$200,$G70)&gt;0,
     COUNTIFS($Z$2:$Z$200,$G70)&gt;0,
     COUNTIFS($AA$2:$AA$200,$G70)&gt;0,
     COUNTIFS($AB$2:$AB$200,$G70)&gt;0,
     COUNTIFS($AC$2:$AC$200,$G70)&gt;0,
     COUNTIFS($AD$2:$AD$200,$G70)&gt;0,
     COUNTIFS($AE$2:$AE$200,$G70)&gt;0,
     COUNTIFS($AF$2:$AF$200,$G70)&gt;0,
     COUNTIFS($AG$2:$AG$200,$G70)&gt;0,
     COUNTIFS($AH$2:$AH$200,$G70)&gt;0,
     COUNTIFS($AI$2:$AI$200,$G70)&gt;0,
     COUNTIFS($AJ$2:$AJ$200,$G70)&gt;0,
     COUNTIFS($AK$2:$AK$200,$G70)&gt;0,
     COUNTIFS($AL$2:$AL$200,$G70)&gt;0,
     COUNTIFS($AM$2:$AM$200,$G70)&gt;0,
     COUNTIFS($AN$2:$AN$200,$G70)&gt;0,
     COUNTIFS($AO$2:$AO$200,$G70)&gt;0,
     COUNTIFS($AP$2:$AP$200,$G70)&gt;0,
     COUNTIFS($AQ$2:$AQ$200,$G70)&gt;0,
     COUNTIFS($AR$2:$AR$200,$G70)&gt;0,
     COUNTIFS($AS$2:$AS$200,$G70)&gt;0,
     COUNTIFS($AT$2:$AT$200,$G70)&gt;0,
     COUNTIFS($AU$2:$AU$200,$G70)&gt;0,
     COUNTIFS($AV$2:$AV$200,$G70)&gt;0,
     COUNTIFS($AW$2:$AW$200,$G70)&gt;0,
     COUNTIFS($AX$2:$AX$200,$G70)&gt;0,
     COUNTIFS($AY$2:$AY$200,$G70)&gt;0
   )),
  ),
  2
 ),
"")</f>
        <v/>
      </c>
      <c r="E70" s="2" t="str" cm="1">
        <f t="array" aca="1" ref="E70" ca="1">IFERROR(
 INDEX(
  _xlfn._xlws.FILTER($V$1:$AY$1,
   TRANSPOSE(
    CHOOSE({1;2;3;4;5;6;7;8;9;10;11;12;13;14;15;16;17;18;19;20;21;22;23;24;25;26;27;28;29;30},
     COUNTIFS($V$2:$V$200,$G70)&gt;0,
     COUNTIFS($W$2:$W$200,$G70)&gt;0,
     COUNTIFS($X$2:$X$200,$G70)&gt;0,
     COUNTIFS($Y$2:$Y$200,$G70)&gt;0,
     COUNTIFS($Z$2:$Z$200,$G70)&gt;0,
     COUNTIFS($AA$2:$AA$200,$G70)&gt;0,
     COUNTIFS($AB$2:$AB$200,$G70)&gt;0,
     COUNTIFS($AC$2:$AC$200,$G70)&gt;0,
     COUNTIFS($AD$2:$AD$200,$G70)&gt;0,
     COUNTIFS($AE$2:$AE$200,$G70)&gt;0,
     COUNTIFS($AF$2:$AF$200,$G70)&gt;0,
     COUNTIFS($AG$2:$AG$200,$G70)&gt;0,
     COUNTIFS($AH$2:$AH$200,$G70)&gt;0,
     COUNTIFS($AI$2:$AI$200,$G70)&gt;0,
     COUNTIFS($AJ$2:$AJ$200,$G70)&gt;0,
     COUNTIFS($AK$2:$AK$200,$G70)&gt;0,
     COUNTIFS($AL$2:$AL$200,$G70)&gt;0,
     COUNTIFS($AM$2:$AM$200,$G70)&gt;0,
     COUNTIFS($AN$2:$AN$200,$G70)&gt;0,
     COUNTIFS($AO$2:$AO$200,$G70)&gt;0,
     COUNTIFS($AP$2:$AP$200,$G70)&gt;0,
     COUNTIFS($AQ$2:$AQ$200,$G70)&gt;0,
     COUNTIFS($AR$2:$AR$200,$G70)&gt;0,
     COUNTIFS($AS$2:$AS$200,$G70)&gt;0,
     COUNTIFS($AT$2:$AT$200,$G70)&gt;0,
     COUNTIFS($AU$2:$AU$200,$G70)&gt;0,
     COUNTIFS($AV$2:$AV$200,$G70)&gt;0,
     COUNTIFS($AW$2:$AW$200,$G70)&gt;0,
     COUNTIFS($AX$2:$AX$200,$G70)&gt;0,
     COUNTIFS($AY$2:$AY$200,$G70)&gt;0
   )),
  ),
  3
 ),
"")</f>
        <v/>
      </c>
      <c r="F70" s="2" t="str" cm="1">
        <f t="array" aca="1" ref="F70" ca="1">IFERROR(
 INDEX(
  _xlfn._xlws.FILTER($V$1:$AY$1,
   TRANSPOSE(
    CHOOSE({1;2;3;4;5;6;7;8;9;10;11;12;13;14;15;16;17;18;19;20;21;22;23;24;25;26;27;28;29;30},
     COUNTIFS($V$2:$V$200,$G70)&gt;0,
     COUNTIFS($W$2:$W$200,$G70)&gt;0,
     COUNTIFS($X$2:$X$200,$G70)&gt;0,
     COUNTIFS($Y$2:$Y$200,$G70)&gt;0,
     COUNTIFS($Z$2:$Z$200,$G70)&gt;0,
     COUNTIFS($AA$2:$AA$200,$G70)&gt;0,
     COUNTIFS($AB$2:$AB$200,$G70)&gt;0,
     COUNTIFS($AC$2:$AC$200,$G70)&gt;0,
     COUNTIFS($AD$2:$AD$200,$G70)&gt;0,
     COUNTIFS($AE$2:$AE$200,$G70)&gt;0,
     COUNTIFS($AF$2:$AF$200,$G70)&gt;0,
     COUNTIFS($AG$2:$AG$200,$G70)&gt;0,
     COUNTIFS($AH$2:$AH$200,$G70)&gt;0,
     COUNTIFS($AI$2:$AI$200,$G70)&gt;0,
     COUNTIFS($AJ$2:$AJ$200,$G70)&gt;0,
     COUNTIFS($AK$2:$AK$200,$G70)&gt;0,
     COUNTIFS($AL$2:$AL$200,$G70)&gt;0,
     COUNTIFS($AM$2:$AM$200,$G70)&gt;0,
     COUNTIFS($AN$2:$AN$200,$G70)&gt;0,
     COUNTIFS($AO$2:$AO$200,$G70)&gt;0,
     COUNTIFS($AP$2:$AP$200,$G70)&gt;0,
     COUNTIFS($AQ$2:$AQ$200,$G70)&gt;0,
     COUNTIFS($AR$2:$AR$200,$G70)&gt;0,
     COUNTIFS($AS$2:$AS$200,$G70)&gt;0,
     COUNTIFS($AT$2:$AT$200,$G70)&gt;0,
     COUNTIFS($AU$2:$AU$200,$G70)&gt;0,
     COUNTIFS($AV$2:$AV$200,$G70)&gt;0,
     COUNTIFS($AW$2:$AW$200,$G70)&gt;0,
     COUNTIFS($AX$2:$AX$200,$G70)&gt;0,
     COUNTIFS($AY$2:$AY$200,$G70)&gt;0
   )),
  ),
  4
 ),
"")</f>
        <v/>
      </c>
      <c r="G70" t="str">
        <f ca="1"/>
        <v>Caesar, Legion's Emperor</v>
      </c>
      <c r="AO70" t="str">
        <v>Sinew Sliver</v>
      </c>
      <c r="BE70" t="str">
        <v>Plains</v>
      </c>
      <c r="BJ70" t="str">
        <v>Swamp</v>
      </c>
      <c r="BL70" t="str">
        <v>Niv-Mizzet, Parun</v>
      </c>
      <c r="CR70" t="str">
        <f ca="1"/>
        <v>Sliver Gravemother</v>
      </c>
      <c r="DC70" t="str">
        <f ca="1"/>
        <v>Windcrag Siege</v>
      </c>
      <c r="DD70" t="str">
        <f ca="1"/>
        <v>Windgrace's Judgment</v>
      </c>
      <c r="DP70" t="str">
        <f ca="1"/>
        <v>Virtue of Loyalty // Ardenvale Fealty</v>
      </c>
      <c r="DT70" t="str">
        <f ca="1"/>
        <v>Sedge Sliver</v>
      </c>
      <c r="DZ70" t="str">
        <f ca="1"/>
        <v>Kabira Takedown</v>
      </c>
      <c r="EG70" t="str">
        <f ca="1"/>
        <v>Purphoros, God of the Forge</v>
      </c>
      <c r="EH70" t="str">
        <f ca="1"/>
        <v>Tarrian's Journal</v>
      </c>
      <c r="EI70" t="str">
        <f ca="1"/>
        <v>Muscle Sliver</v>
      </c>
      <c r="EK70" t="str">
        <f ca="1"/>
        <v>Thought Vessel</v>
      </c>
      <c r="EL70" t="str">
        <f ca="1"/>
        <v>Kabira Takedown</v>
      </c>
      <c r="EP70" t="str">
        <f ca="1"/>
        <v>Guide of Souls</v>
      </c>
      <c r="EQ70" t="str">
        <f ca="1"/>
        <v>Heart Sliver</v>
      </c>
      <c r="ER70" t="str">
        <f ca="1"/>
        <v>Ephemerate</v>
      </c>
      <c r="EU70" t="str">
        <f ca="1"/>
        <v>Corrosive Mentor</v>
      </c>
      <c r="EV70" t="str">
        <f ca="1"/>
        <v>Ephemerate</v>
      </c>
      <c r="EX70" t="str">
        <f ca="1"/>
        <v>Caesar, Legion's Emperor</v>
      </c>
    </row>
    <row r="71" spans="1:154" x14ac:dyDescent="0.25">
      <c r="A71" s="2" t="str">
        <f t="shared" ca="1" si="8"/>
        <v>5</v>
      </c>
      <c r="B71" s="2">
        <f t="shared" ca="1" si="9"/>
        <v>1</v>
      </c>
      <c r="C71" s="2" t="str">
        <f ca="1">IFERROR(
 INDEX($V$1:$BL$1,
  MATCH(TRUE,
   CHOOSE({1;2;3;4;5;6;7;8;9;10;11;12;13;14;15;16;17;18;19;20;21;22;23;24;25;26;27;28;29;30;31;32;33;34;35;36;37;38;39;40;41;42;43},
    COUNTIFS($V$2:$V$200,$G71)&gt;0,
    COUNTIFS($W$2:$W$200,$G71)&gt;0,
    COUNTIFS($X$2:$X$200,$G71)&gt;0,
    COUNTIFS($Y$2:$Y$200,$G71)&gt;0,
    COUNTIFS($Z$2:$Z$200,$G71)&gt;0,
    COUNTIFS($AA$2:$AA$200,$G71)&gt;0,
    COUNTIFS($AB$2:$AB$200,$G71)&gt;0,
    COUNTIFS($AC$2:$AC$200,$G71)&gt;0,
    COUNTIFS($AD$2:$AD$200,$G71)&gt;0,
    COUNTIFS($AE$2:$AE$200,$G71)&gt;0,
    COUNTIFS($AF$2:$AF$200,$G71)&gt;0,
    COUNTIFS($AG$2:$AG$200,$G71)&gt;0,
    COUNTIFS($AH$2:$AH$200,$G71)&gt;0,
    COUNTIFS($AI$2:$AI$200,$G71)&gt;0,
    COUNTIFS($AJ$2:$AJ$200,$G71)&gt;0,
    COUNTIFS($AK$2:$AK$200,$G71)&gt;0,
    COUNTIFS($AL$2:$AL$200,$G71)&gt;0,
    COUNTIFS($AM$2:$AM$200,$G71)&gt;0,
    COUNTIFS($AN$2:$AN$200,$G71)&gt;0,
    COUNTIFS($AO$2:$AO$200,$G71)&gt;0,
    COUNTIFS($AP$2:$AP$200,$G71)&gt;0,
    COUNTIFS($AQ$2:$AQ$200,$G71)&gt;0,
    COUNTIFS($AR$2:$AR$200,$G71)&gt;0,
    COUNTIFS($AS$2:$AS$200,$G71)&gt;0,
    COUNTIFS($AT$2:$AT$200,$G71)&gt;0,
    COUNTIFS($AU$2:$AU$200,$G71)&gt;0,
    COUNTIFS($AV$2:$AV$200,$G71)&gt;0,
    COUNTIFS($AW$2:$AW$200,$G71)&gt;0,
    COUNTIFS($AX$2:$AX$200,$G71)&gt;0,
    COUNTIFS($AY$2:$AY$200,$G71)&gt;0,
    COUNTIFS($AZ$2:$AZ$200,$G71)&gt;0,
    COUNTIFS($BA$2:$BA$200,$G71)&gt;0,
    COUNTIFS($BB$2:$BB$200,$G71)&gt;0,
    COUNTIFS($BC$2:$BC$200,$G71)&gt;0,
    COUNTIFS($BD$2:$BD$200,$G71)&gt;0,
    COUNTIFS($BE$2:$BE$200,$G71)&gt;0,
    COUNTIFS($BF$2:$BF$200,$G71)&gt;0,
    COUNTIFS($BG$2:$BG$200,$G71)&gt;0,
    COUNTIFS($BH$2:$BH$200,$G71)&gt;0,
    COUNTIFS($BI$2:$BI$200,$G71)&gt;0,
    COUNTIFS($BJ$2:$BJ$200,$G71)&gt;0,
    COUNTIFS($BK$2:$BK$200,$G71)&gt;0,
    COUNTIFS($BL$2:$BL$200,$G71)&gt;0,
    COUNTIFS($BM$2:$BM$200,$G71)&gt;0,
   ),
  0)
 ),
"")</f>
        <v>Zuko</v>
      </c>
      <c r="D71" s="2" t="str" cm="1">
        <f t="array" aca="1" ref="D71" ca="1">IFERROR(
 INDEX(
  _xlfn._xlws.FILTER($V$1:$AY$1,
   TRANSPOSE(
    CHOOSE({1;2;3;4;5;6;7;8;9;10;11;12;13;14;15;16;17;18;19;20;21;22;23;24;25;26;27;28;29;30},
     COUNTIFS($V$2:$V$200,$G71)&gt;0,
     COUNTIFS($W$2:$W$200,$G71)&gt;0,
     COUNTIFS($X$2:$X$200,$G71)&gt;0,
     COUNTIFS($Y$2:$Y$200,$G71)&gt;0,
     COUNTIFS($Z$2:$Z$200,$G71)&gt;0,
     COUNTIFS($AA$2:$AA$200,$G71)&gt;0,
     COUNTIFS($AB$2:$AB$200,$G71)&gt;0,
     COUNTIFS($AC$2:$AC$200,$G71)&gt;0,
     COUNTIFS($AD$2:$AD$200,$G71)&gt;0,
     COUNTIFS($AE$2:$AE$200,$G71)&gt;0,
     COUNTIFS($AF$2:$AF$200,$G71)&gt;0,
     COUNTIFS($AG$2:$AG$200,$G71)&gt;0,
     COUNTIFS($AH$2:$AH$200,$G71)&gt;0,
     COUNTIFS($AI$2:$AI$200,$G71)&gt;0,
     COUNTIFS($AJ$2:$AJ$200,$G71)&gt;0,
     COUNTIFS($AK$2:$AK$200,$G71)&gt;0,
     COUNTIFS($AL$2:$AL$200,$G71)&gt;0,
     COUNTIFS($AM$2:$AM$200,$G71)&gt;0,
     COUNTIFS($AN$2:$AN$200,$G71)&gt;0,
     COUNTIFS($AO$2:$AO$200,$G71)&gt;0,
     COUNTIFS($AP$2:$AP$200,$G71)&gt;0,
     COUNTIFS($AQ$2:$AQ$200,$G71)&gt;0,
     COUNTIFS($AR$2:$AR$200,$G71)&gt;0,
     COUNTIFS($AS$2:$AS$200,$G71)&gt;0,
     COUNTIFS($AT$2:$AT$200,$G71)&gt;0,
     COUNTIFS($AU$2:$AU$200,$G71)&gt;0,
     COUNTIFS($AV$2:$AV$200,$G71)&gt;0,
     COUNTIFS($AW$2:$AW$200,$G71)&gt;0,
     COUNTIFS($AX$2:$AX$200,$G71)&gt;0,
     COUNTIFS($AY$2:$AY$200,$G71)&gt;0
   )),
  ),
  2
 ),
"")</f>
        <v/>
      </c>
      <c r="E71" s="2" t="str" cm="1">
        <f t="array" aca="1" ref="E71" ca="1">IFERROR(
 INDEX(
  _xlfn._xlws.FILTER($V$1:$AY$1,
   TRANSPOSE(
    CHOOSE({1;2;3;4;5;6;7;8;9;10;11;12;13;14;15;16;17;18;19;20;21;22;23;24;25;26;27;28;29;30},
     COUNTIFS($V$2:$V$200,$G71)&gt;0,
     COUNTIFS($W$2:$W$200,$G71)&gt;0,
     COUNTIFS($X$2:$X$200,$G71)&gt;0,
     COUNTIFS($Y$2:$Y$200,$G71)&gt;0,
     COUNTIFS($Z$2:$Z$200,$G71)&gt;0,
     COUNTIFS($AA$2:$AA$200,$G71)&gt;0,
     COUNTIFS($AB$2:$AB$200,$G71)&gt;0,
     COUNTIFS($AC$2:$AC$200,$G71)&gt;0,
     COUNTIFS($AD$2:$AD$200,$G71)&gt;0,
     COUNTIFS($AE$2:$AE$200,$G71)&gt;0,
     COUNTIFS($AF$2:$AF$200,$G71)&gt;0,
     COUNTIFS($AG$2:$AG$200,$G71)&gt;0,
     COUNTIFS($AH$2:$AH$200,$G71)&gt;0,
     COUNTIFS($AI$2:$AI$200,$G71)&gt;0,
     COUNTIFS($AJ$2:$AJ$200,$G71)&gt;0,
     COUNTIFS($AK$2:$AK$200,$G71)&gt;0,
     COUNTIFS($AL$2:$AL$200,$G71)&gt;0,
     COUNTIFS($AM$2:$AM$200,$G71)&gt;0,
     COUNTIFS($AN$2:$AN$200,$G71)&gt;0,
     COUNTIFS($AO$2:$AO$200,$G71)&gt;0,
     COUNTIFS($AP$2:$AP$200,$G71)&gt;0,
     COUNTIFS($AQ$2:$AQ$200,$G71)&gt;0,
     COUNTIFS($AR$2:$AR$200,$G71)&gt;0,
     COUNTIFS($AS$2:$AS$200,$G71)&gt;0,
     COUNTIFS($AT$2:$AT$200,$G71)&gt;0,
     COUNTIFS($AU$2:$AU$200,$G71)&gt;0,
     COUNTIFS($AV$2:$AV$200,$G71)&gt;0,
     COUNTIFS($AW$2:$AW$200,$G71)&gt;0,
     COUNTIFS($AX$2:$AX$200,$G71)&gt;0,
     COUNTIFS($AY$2:$AY$200,$G71)&gt;0
   )),
  ),
  3
 ),
"")</f>
        <v/>
      </c>
      <c r="F71" s="2" t="str" cm="1">
        <f t="array" aca="1" ref="F71" ca="1">IFERROR(
 INDEX(
  _xlfn._xlws.FILTER($V$1:$AY$1,
   TRANSPOSE(
    CHOOSE({1;2;3;4;5;6;7;8;9;10;11;12;13;14;15;16;17;18;19;20;21;22;23;24;25;26;27;28;29;30},
     COUNTIFS($V$2:$V$200,$G71)&gt;0,
     COUNTIFS($W$2:$W$200,$G71)&gt;0,
     COUNTIFS($X$2:$X$200,$G71)&gt;0,
     COUNTIFS($Y$2:$Y$200,$G71)&gt;0,
     COUNTIFS($Z$2:$Z$200,$G71)&gt;0,
     COUNTIFS($AA$2:$AA$200,$G71)&gt;0,
     COUNTIFS($AB$2:$AB$200,$G71)&gt;0,
     COUNTIFS($AC$2:$AC$200,$G71)&gt;0,
     COUNTIFS($AD$2:$AD$200,$G71)&gt;0,
     COUNTIFS($AE$2:$AE$200,$G71)&gt;0,
     COUNTIFS($AF$2:$AF$200,$G71)&gt;0,
     COUNTIFS($AG$2:$AG$200,$G71)&gt;0,
     COUNTIFS($AH$2:$AH$200,$G71)&gt;0,
     COUNTIFS($AI$2:$AI$200,$G71)&gt;0,
     COUNTIFS($AJ$2:$AJ$200,$G71)&gt;0,
     COUNTIFS($AK$2:$AK$200,$G71)&gt;0,
     COUNTIFS($AL$2:$AL$200,$G71)&gt;0,
     COUNTIFS($AM$2:$AM$200,$G71)&gt;0,
     COUNTIFS($AN$2:$AN$200,$G71)&gt;0,
     COUNTIFS($AO$2:$AO$200,$G71)&gt;0,
     COUNTIFS($AP$2:$AP$200,$G71)&gt;0,
     COUNTIFS($AQ$2:$AQ$200,$G71)&gt;0,
     COUNTIFS($AR$2:$AR$200,$G71)&gt;0,
     COUNTIFS($AS$2:$AS$200,$G71)&gt;0,
     COUNTIFS($AT$2:$AT$200,$G71)&gt;0,
     COUNTIFS($AU$2:$AU$200,$G71)&gt;0,
     COUNTIFS($AV$2:$AV$200,$G71)&gt;0,
     COUNTIFS($AW$2:$AW$200,$G71)&gt;0,
     COUNTIFS($AX$2:$AX$200,$G71)&gt;0,
     COUNTIFS($AY$2:$AY$200,$G71)&gt;0
   )),
  ),
  4
 ),
"")</f>
        <v/>
      </c>
      <c r="G71" t="str">
        <f ca="1"/>
        <v>Cait Sith, Fortune Teller</v>
      </c>
      <c r="AO71" t="str">
        <v>Sliver Gravemother</v>
      </c>
      <c r="BE71" t="str">
        <v>Plains</v>
      </c>
      <c r="BJ71" t="str">
        <v>Swamp</v>
      </c>
      <c r="BL71" t="str">
        <v>Omen of the Hunt</v>
      </c>
      <c r="CR71" t="str">
        <f ca="1"/>
        <v>Sliver Hive</v>
      </c>
      <c r="DC71" t="str">
        <f ca="1"/>
        <v>Wispdrinker Vampire</v>
      </c>
      <c r="DD71" t="str">
        <f ca="1"/>
        <v>Witherbloom Apprentice</v>
      </c>
      <c r="DP71" t="str">
        <f ca="1"/>
        <v>Warleader's Call</v>
      </c>
      <c r="DT71" t="str">
        <f ca="1"/>
        <v>Sentinel Sliver</v>
      </c>
      <c r="DZ71" t="str">
        <f ca="1"/>
        <v>Kaervek the Merciless</v>
      </c>
      <c r="EG71" t="str">
        <f ca="1"/>
        <v>Raven Eagle</v>
      </c>
      <c r="EH71" t="str">
        <f ca="1"/>
        <v>Temporal Manipulation</v>
      </c>
      <c r="EI71" t="str">
        <f ca="1"/>
        <v>Necrotic Sliver</v>
      </c>
      <c r="EK71" t="str">
        <f ca="1"/>
        <v>Tocasia's Welcome</v>
      </c>
      <c r="EL71" t="str">
        <f ca="1"/>
        <v>Kaervek the Merciless</v>
      </c>
      <c r="EP71" t="str">
        <f ca="1"/>
        <v>Harvest Season</v>
      </c>
      <c r="EQ71" t="str">
        <f ca="1"/>
        <v>Heirloom Auntie</v>
      </c>
      <c r="ER71" t="str">
        <f ca="1"/>
        <v>Eureka Moment</v>
      </c>
      <c r="EU71" t="str">
        <f ca="1"/>
        <v>Court of Garenbrig</v>
      </c>
      <c r="EV71" t="str">
        <f ca="1"/>
        <v>Eureka Moment</v>
      </c>
      <c r="EX71" t="str">
        <f ca="1"/>
        <v>Cait Sith, Fortune Teller</v>
      </c>
    </row>
    <row r="72" spans="1:154" x14ac:dyDescent="0.25">
      <c r="A72" s="2" t="str">
        <f t="shared" ca="1" si="8"/>
        <v>4</v>
      </c>
      <c r="B72" s="2">
        <f t="shared" ca="1" si="9"/>
        <v>1</v>
      </c>
      <c r="C72" s="2" t="str">
        <f ca="1">IFERROR(
 INDEX($V$1:$BL$1,
  MATCH(TRUE,
   CHOOSE({1;2;3;4;5;6;7;8;9;10;11;12;13;14;15;16;17;18;19;20;21;22;23;24;25;26;27;28;29;30;31;32;33;34;35;36;37;38;39;40;41;42;43},
    COUNTIFS($V$2:$V$200,$G72)&gt;0,
    COUNTIFS($W$2:$W$200,$G72)&gt;0,
    COUNTIFS($X$2:$X$200,$G72)&gt;0,
    COUNTIFS($Y$2:$Y$200,$G72)&gt;0,
    COUNTIFS($Z$2:$Z$200,$G72)&gt;0,
    COUNTIFS($AA$2:$AA$200,$G72)&gt;0,
    COUNTIFS($AB$2:$AB$200,$G72)&gt;0,
    COUNTIFS($AC$2:$AC$200,$G72)&gt;0,
    COUNTIFS($AD$2:$AD$200,$G72)&gt;0,
    COUNTIFS($AE$2:$AE$200,$G72)&gt;0,
    COUNTIFS($AF$2:$AF$200,$G72)&gt;0,
    COUNTIFS($AG$2:$AG$200,$G72)&gt;0,
    COUNTIFS($AH$2:$AH$200,$G72)&gt;0,
    COUNTIFS($AI$2:$AI$200,$G72)&gt;0,
    COUNTIFS($AJ$2:$AJ$200,$G72)&gt;0,
    COUNTIFS($AK$2:$AK$200,$G72)&gt;0,
    COUNTIFS($AL$2:$AL$200,$G72)&gt;0,
    COUNTIFS($AM$2:$AM$200,$G72)&gt;0,
    COUNTIFS($AN$2:$AN$200,$G72)&gt;0,
    COUNTIFS($AO$2:$AO$200,$G72)&gt;0,
    COUNTIFS($AP$2:$AP$200,$G72)&gt;0,
    COUNTIFS($AQ$2:$AQ$200,$G72)&gt;0,
    COUNTIFS($AR$2:$AR$200,$G72)&gt;0,
    COUNTIFS($AS$2:$AS$200,$G72)&gt;0,
    COUNTIFS($AT$2:$AT$200,$G72)&gt;0,
    COUNTIFS($AU$2:$AU$200,$G72)&gt;0,
    COUNTIFS($AV$2:$AV$200,$G72)&gt;0,
    COUNTIFS($AW$2:$AW$200,$G72)&gt;0,
    COUNTIFS($AX$2:$AX$200,$G72)&gt;0,
    COUNTIFS($AY$2:$AY$200,$G72)&gt;0,
    COUNTIFS($AZ$2:$AZ$200,$G72)&gt;0,
    COUNTIFS($BA$2:$BA$200,$G72)&gt;0,
    COUNTIFS($BB$2:$BB$200,$G72)&gt;0,
    COUNTIFS($BC$2:$BC$200,$G72)&gt;0,
    COUNTIFS($BD$2:$BD$200,$G72)&gt;0,
    COUNTIFS($BE$2:$BE$200,$G72)&gt;0,
    COUNTIFS($BF$2:$BF$200,$G72)&gt;0,
    COUNTIFS($BG$2:$BG$200,$G72)&gt;0,
    COUNTIFS($BH$2:$BH$200,$G72)&gt;0,
    COUNTIFS($BI$2:$BI$200,$G72)&gt;0,
    COUNTIFS($BJ$2:$BJ$200,$G72)&gt;0,
    COUNTIFS($BK$2:$BK$200,$G72)&gt;0,
    COUNTIFS($BL$2:$BL$200,$G72)&gt;0,
    COUNTIFS($BM$2:$BM$200,$G72)&gt;0,
   ),
  0)
 ),
"")</f>
        <v>Ool</v>
      </c>
      <c r="D72" s="2" t="str" cm="1">
        <f t="array" aca="1" ref="D72" ca="1">IFERROR(
 INDEX(
  _xlfn._xlws.FILTER($V$1:$AY$1,
   TRANSPOSE(
    CHOOSE({1;2;3;4;5;6;7;8;9;10;11;12;13;14;15;16;17;18;19;20;21;22;23;24;25;26;27;28;29;30},
     COUNTIFS($V$2:$V$200,$G72)&gt;0,
     COUNTIFS($W$2:$W$200,$G72)&gt;0,
     COUNTIFS($X$2:$X$200,$G72)&gt;0,
     COUNTIFS($Y$2:$Y$200,$G72)&gt;0,
     COUNTIFS($Z$2:$Z$200,$G72)&gt;0,
     COUNTIFS($AA$2:$AA$200,$G72)&gt;0,
     COUNTIFS($AB$2:$AB$200,$G72)&gt;0,
     COUNTIFS($AC$2:$AC$200,$G72)&gt;0,
     COUNTIFS($AD$2:$AD$200,$G72)&gt;0,
     COUNTIFS($AE$2:$AE$200,$G72)&gt;0,
     COUNTIFS($AF$2:$AF$200,$G72)&gt;0,
     COUNTIFS($AG$2:$AG$200,$G72)&gt;0,
     COUNTIFS($AH$2:$AH$200,$G72)&gt;0,
     COUNTIFS($AI$2:$AI$200,$G72)&gt;0,
     COUNTIFS($AJ$2:$AJ$200,$G72)&gt;0,
     COUNTIFS($AK$2:$AK$200,$G72)&gt;0,
     COUNTIFS($AL$2:$AL$200,$G72)&gt;0,
     COUNTIFS($AM$2:$AM$200,$G72)&gt;0,
     COUNTIFS($AN$2:$AN$200,$G72)&gt;0,
     COUNTIFS($AO$2:$AO$200,$G72)&gt;0,
     COUNTIFS($AP$2:$AP$200,$G72)&gt;0,
     COUNTIFS($AQ$2:$AQ$200,$G72)&gt;0,
     COUNTIFS($AR$2:$AR$200,$G72)&gt;0,
     COUNTIFS($AS$2:$AS$200,$G72)&gt;0,
     COUNTIFS($AT$2:$AT$200,$G72)&gt;0,
     COUNTIFS($AU$2:$AU$200,$G72)&gt;0,
     COUNTIFS($AV$2:$AV$200,$G72)&gt;0,
     COUNTIFS($AW$2:$AW$200,$G72)&gt;0,
     COUNTIFS($AX$2:$AX$200,$G72)&gt;0,
     COUNTIFS($AY$2:$AY$200,$G72)&gt;0
   )),
  ),
  2
 ),
"")</f>
        <v/>
      </c>
      <c r="E72" s="2" t="str" cm="1">
        <f t="array" aca="1" ref="E72" ca="1">IFERROR(
 INDEX(
  _xlfn._xlws.FILTER($V$1:$AY$1,
   TRANSPOSE(
    CHOOSE({1;2;3;4;5;6;7;8;9;10;11;12;13;14;15;16;17;18;19;20;21;22;23;24;25;26;27;28;29;30},
     COUNTIFS($V$2:$V$200,$G72)&gt;0,
     COUNTIFS($W$2:$W$200,$G72)&gt;0,
     COUNTIFS($X$2:$X$200,$G72)&gt;0,
     COUNTIFS($Y$2:$Y$200,$G72)&gt;0,
     COUNTIFS($Z$2:$Z$200,$G72)&gt;0,
     COUNTIFS($AA$2:$AA$200,$G72)&gt;0,
     COUNTIFS($AB$2:$AB$200,$G72)&gt;0,
     COUNTIFS($AC$2:$AC$200,$G72)&gt;0,
     COUNTIFS($AD$2:$AD$200,$G72)&gt;0,
     COUNTIFS($AE$2:$AE$200,$G72)&gt;0,
     COUNTIFS($AF$2:$AF$200,$G72)&gt;0,
     COUNTIFS($AG$2:$AG$200,$G72)&gt;0,
     COUNTIFS($AH$2:$AH$200,$G72)&gt;0,
     COUNTIFS($AI$2:$AI$200,$G72)&gt;0,
     COUNTIFS($AJ$2:$AJ$200,$G72)&gt;0,
     COUNTIFS($AK$2:$AK$200,$G72)&gt;0,
     COUNTIFS($AL$2:$AL$200,$G72)&gt;0,
     COUNTIFS($AM$2:$AM$200,$G72)&gt;0,
     COUNTIFS($AN$2:$AN$200,$G72)&gt;0,
     COUNTIFS($AO$2:$AO$200,$G72)&gt;0,
     COUNTIFS($AP$2:$AP$200,$G72)&gt;0,
     COUNTIFS($AQ$2:$AQ$200,$G72)&gt;0,
     COUNTIFS($AR$2:$AR$200,$G72)&gt;0,
     COUNTIFS($AS$2:$AS$200,$G72)&gt;0,
     COUNTIFS($AT$2:$AT$200,$G72)&gt;0,
     COUNTIFS($AU$2:$AU$200,$G72)&gt;0,
     COUNTIFS($AV$2:$AV$200,$G72)&gt;0,
     COUNTIFS($AW$2:$AW$200,$G72)&gt;0,
     COUNTIFS($AX$2:$AX$200,$G72)&gt;0,
     COUNTIFS($AY$2:$AY$200,$G72)&gt;0
   )),
  ),
  3
 ),
"")</f>
        <v/>
      </c>
      <c r="F72" s="2" t="str" cm="1">
        <f t="array" aca="1" ref="F72" ca="1">IFERROR(
 INDEX(
  _xlfn._xlws.FILTER($V$1:$AY$1,
   TRANSPOSE(
    CHOOSE({1;2;3;4;5;6;7;8;9;10;11;12;13;14;15;16;17;18;19;20;21;22;23;24;25;26;27;28;29;30},
     COUNTIFS($V$2:$V$200,$G72)&gt;0,
     COUNTIFS($W$2:$W$200,$G72)&gt;0,
     COUNTIFS($X$2:$X$200,$G72)&gt;0,
     COUNTIFS($Y$2:$Y$200,$G72)&gt;0,
     COUNTIFS($Z$2:$Z$200,$G72)&gt;0,
     COUNTIFS($AA$2:$AA$200,$G72)&gt;0,
     COUNTIFS($AB$2:$AB$200,$G72)&gt;0,
     COUNTIFS($AC$2:$AC$200,$G72)&gt;0,
     COUNTIFS($AD$2:$AD$200,$G72)&gt;0,
     COUNTIFS($AE$2:$AE$200,$G72)&gt;0,
     COUNTIFS($AF$2:$AF$200,$G72)&gt;0,
     COUNTIFS($AG$2:$AG$200,$G72)&gt;0,
     COUNTIFS($AH$2:$AH$200,$G72)&gt;0,
     COUNTIFS($AI$2:$AI$200,$G72)&gt;0,
     COUNTIFS($AJ$2:$AJ$200,$G72)&gt;0,
     COUNTIFS($AK$2:$AK$200,$G72)&gt;0,
     COUNTIFS($AL$2:$AL$200,$G72)&gt;0,
     COUNTIFS($AM$2:$AM$200,$G72)&gt;0,
     COUNTIFS($AN$2:$AN$200,$G72)&gt;0,
     COUNTIFS($AO$2:$AO$200,$G72)&gt;0,
     COUNTIFS($AP$2:$AP$200,$G72)&gt;0,
     COUNTIFS($AQ$2:$AQ$200,$G72)&gt;0,
     COUNTIFS($AR$2:$AR$200,$G72)&gt;0,
     COUNTIFS($AS$2:$AS$200,$G72)&gt;0,
     COUNTIFS($AT$2:$AT$200,$G72)&gt;0,
     COUNTIFS($AU$2:$AU$200,$G72)&gt;0,
     COUNTIFS($AV$2:$AV$200,$G72)&gt;0,
     COUNTIFS($AW$2:$AW$200,$G72)&gt;0,
     COUNTIFS($AX$2:$AX$200,$G72)&gt;0,
     COUNTIFS($AY$2:$AY$200,$G72)&gt;0
   )),
  ),
  4
 ),
"")</f>
        <v/>
      </c>
      <c r="G72" t="str">
        <f ca="1"/>
        <v>Cankerbloom</v>
      </c>
      <c r="AO72" t="str">
        <v>Sliver Hive</v>
      </c>
      <c r="BE72" t="str">
        <v>Prismatic Lens</v>
      </c>
      <c r="BJ72" t="str">
        <v>Tana, the Bloodsower</v>
      </c>
      <c r="BL72" t="str">
        <v>Perplexing Test</v>
      </c>
      <c r="CR72" t="str">
        <f ca="1"/>
        <v>Sliver Hivelord</v>
      </c>
      <c r="DC72" t="str">
        <f ca="1"/>
        <v>Within Range</v>
      </c>
      <c r="DD72" t="e">
        <f ca="1"/>
        <v>#REF!</v>
      </c>
      <c r="DP72" t="str">
        <f ca="1"/>
        <v>Woodland Cemetery</v>
      </c>
      <c r="DT72" t="str">
        <f ca="1"/>
        <v>Shifting Sliver</v>
      </c>
      <c r="DZ72" t="str">
        <f ca="1"/>
        <v>Kambal, Profiteering Mayor</v>
      </c>
      <c r="EG72" t="str">
        <f ca="1"/>
        <v>Reforge the Soul</v>
      </c>
      <c r="EH72" t="str">
        <f ca="1"/>
        <v>Temporal Trespass</v>
      </c>
      <c r="EI72" t="str">
        <f ca="1"/>
        <v>Nibelheim Aflame</v>
      </c>
      <c r="EK72" t="str">
        <f ca="1"/>
        <v>Ultimate Magic: Holy</v>
      </c>
      <c r="EL72" t="str">
        <f ca="1"/>
        <v>Kambal, Profiteering Mayor</v>
      </c>
      <c r="EP72" t="str">
        <f ca="1"/>
        <v>Incendiary Command</v>
      </c>
      <c r="EQ72" t="str">
        <f ca="1"/>
        <v>Hibernation Sliver</v>
      </c>
      <c r="ER72" t="str">
        <f ca="1"/>
        <v>Evacuation</v>
      </c>
      <c r="EU72" t="str">
        <f ca="1"/>
        <v>Creeping Tar Pit</v>
      </c>
      <c r="EV72" t="str">
        <f ca="1"/>
        <v>Evacuation</v>
      </c>
      <c r="EX72" t="str">
        <f ca="1"/>
        <v>Cankerbloom</v>
      </c>
    </row>
    <row r="73" spans="1:154" x14ac:dyDescent="0.25">
      <c r="A73" s="2" t="str">
        <f t="shared" ca="1" si="8"/>
        <v>5</v>
      </c>
      <c r="B73" s="2">
        <f t="shared" ca="1" si="9"/>
        <v>1</v>
      </c>
      <c r="C73" s="2" t="str">
        <f ca="1">IFERROR(
 INDEX($V$1:$BL$1,
  MATCH(TRUE,
   CHOOSE({1;2;3;4;5;6;7;8;9;10;11;12;13;14;15;16;17;18;19;20;21;22;23;24;25;26;27;28;29;30;31;32;33;34;35;36;37;38;39;40;41;42;43},
    COUNTIFS($V$2:$V$200,$G73)&gt;0,
    COUNTIFS($W$2:$W$200,$G73)&gt;0,
    COUNTIFS($X$2:$X$200,$G73)&gt;0,
    COUNTIFS($Y$2:$Y$200,$G73)&gt;0,
    COUNTIFS($Z$2:$Z$200,$G73)&gt;0,
    COUNTIFS($AA$2:$AA$200,$G73)&gt;0,
    COUNTIFS($AB$2:$AB$200,$G73)&gt;0,
    COUNTIFS($AC$2:$AC$200,$G73)&gt;0,
    COUNTIFS($AD$2:$AD$200,$G73)&gt;0,
    COUNTIFS($AE$2:$AE$200,$G73)&gt;0,
    COUNTIFS($AF$2:$AF$200,$G73)&gt;0,
    COUNTIFS($AG$2:$AG$200,$G73)&gt;0,
    COUNTIFS($AH$2:$AH$200,$G73)&gt;0,
    COUNTIFS($AI$2:$AI$200,$G73)&gt;0,
    COUNTIFS($AJ$2:$AJ$200,$G73)&gt;0,
    COUNTIFS($AK$2:$AK$200,$G73)&gt;0,
    COUNTIFS($AL$2:$AL$200,$G73)&gt;0,
    COUNTIFS($AM$2:$AM$200,$G73)&gt;0,
    COUNTIFS($AN$2:$AN$200,$G73)&gt;0,
    COUNTIFS($AO$2:$AO$200,$G73)&gt;0,
    COUNTIFS($AP$2:$AP$200,$G73)&gt;0,
    COUNTIFS($AQ$2:$AQ$200,$G73)&gt;0,
    COUNTIFS($AR$2:$AR$200,$G73)&gt;0,
    COUNTIFS($AS$2:$AS$200,$G73)&gt;0,
    COUNTIFS($AT$2:$AT$200,$G73)&gt;0,
    COUNTIFS($AU$2:$AU$200,$G73)&gt;0,
    COUNTIFS($AV$2:$AV$200,$G73)&gt;0,
    COUNTIFS($AW$2:$AW$200,$G73)&gt;0,
    COUNTIFS($AX$2:$AX$200,$G73)&gt;0,
    COUNTIFS($AY$2:$AY$200,$G73)&gt;0,
    COUNTIFS($AZ$2:$AZ$200,$G73)&gt;0,
    COUNTIFS($BA$2:$BA$200,$G73)&gt;0,
    COUNTIFS($BB$2:$BB$200,$G73)&gt;0,
    COUNTIFS($BC$2:$BC$200,$G73)&gt;0,
    COUNTIFS($BD$2:$BD$200,$G73)&gt;0,
    COUNTIFS($BE$2:$BE$200,$G73)&gt;0,
    COUNTIFS($BF$2:$BF$200,$G73)&gt;0,
    COUNTIFS($BG$2:$BG$200,$G73)&gt;0,
    COUNTIFS($BH$2:$BH$200,$G73)&gt;0,
    COUNTIFS($BI$2:$BI$200,$G73)&gt;0,
    COUNTIFS($BJ$2:$BJ$200,$G73)&gt;0,
    COUNTIFS($BK$2:$BK$200,$G73)&gt;0,
    COUNTIFS($BL$2:$BL$200,$G73)&gt;0,
    COUNTIFS($BM$2:$BM$200,$G73)&gt;0,
   ),
  0)
 ),
"")</f>
        <v>Little</v>
      </c>
      <c r="D73" s="2" t="str" cm="1">
        <f t="array" aca="1" ref="D73" ca="1">IFERROR(
 INDEX(
  _xlfn._xlws.FILTER($V$1:$AY$1,
   TRANSPOSE(
    CHOOSE({1;2;3;4;5;6;7;8;9;10;11;12;13;14;15;16;17;18;19;20;21;22;23;24;25;26;27;28;29;30},
     COUNTIFS($V$2:$V$200,$G73)&gt;0,
     COUNTIFS($W$2:$W$200,$G73)&gt;0,
     COUNTIFS($X$2:$X$200,$G73)&gt;0,
     COUNTIFS($Y$2:$Y$200,$G73)&gt;0,
     COUNTIFS($Z$2:$Z$200,$G73)&gt;0,
     COUNTIFS($AA$2:$AA$200,$G73)&gt;0,
     COUNTIFS($AB$2:$AB$200,$G73)&gt;0,
     COUNTIFS($AC$2:$AC$200,$G73)&gt;0,
     COUNTIFS($AD$2:$AD$200,$G73)&gt;0,
     COUNTIFS($AE$2:$AE$200,$G73)&gt;0,
     COUNTIFS($AF$2:$AF$200,$G73)&gt;0,
     COUNTIFS($AG$2:$AG$200,$G73)&gt;0,
     COUNTIFS($AH$2:$AH$200,$G73)&gt;0,
     COUNTIFS($AI$2:$AI$200,$G73)&gt;0,
     COUNTIFS($AJ$2:$AJ$200,$G73)&gt;0,
     COUNTIFS($AK$2:$AK$200,$G73)&gt;0,
     COUNTIFS($AL$2:$AL$200,$G73)&gt;0,
     COUNTIFS($AM$2:$AM$200,$G73)&gt;0,
     COUNTIFS($AN$2:$AN$200,$G73)&gt;0,
     COUNTIFS($AO$2:$AO$200,$G73)&gt;0,
     COUNTIFS($AP$2:$AP$200,$G73)&gt;0,
     COUNTIFS($AQ$2:$AQ$200,$G73)&gt;0,
     COUNTIFS($AR$2:$AR$200,$G73)&gt;0,
     COUNTIFS($AS$2:$AS$200,$G73)&gt;0,
     COUNTIFS($AT$2:$AT$200,$G73)&gt;0,
     COUNTIFS($AU$2:$AU$200,$G73)&gt;0,
     COUNTIFS($AV$2:$AV$200,$G73)&gt;0,
     COUNTIFS($AW$2:$AW$200,$G73)&gt;0,
     COUNTIFS($AX$2:$AX$200,$G73)&gt;0,
     COUNTIFS($AY$2:$AY$200,$G73)&gt;0
   )),
  ),
  2
 ),
"")</f>
        <v/>
      </c>
      <c r="E73" s="2" t="str" cm="1">
        <f t="array" aca="1" ref="E73" ca="1">IFERROR(
 INDEX(
  _xlfn._xlws.FILTER($V$1:$AY$1,
   TRANSPOSE(
    CHOOSE({1;2;3;4;5;6;7;8;9;10;11;12;13;14;15;16;17;18;19;20;21;22;23;24;25;26;27;28;29;30},
     COUNTIFS($V$2:$V$200,$G73)&gt;0,
     COUNTIFS($W$2:$W$200,$G73)&gt;0,
     COUNTIFS($X$2:$X$200,$G73)&gt;0,
     COUNTIFS($Y$2:$Y$200,$G73)&gt;0,
     COUNTIFS($Z$2:$Z$200,$G73)&gt;0,
     COUNTIFS($AA$2:$AA$200,$G73)&gt;0,
     COUNTIFS($AB$2:$AB$200,$G73)&gt;0,
     COUNTIFS($AC$2:$AC$200,$G73)&gt;0,
     COUNTIFS($AD$2:$AD$200,$G73)&gt;0,
     COUNTIFS($AE$2:$AE$200,$G73)&gt;0,
     COUNTIFS($AF$2:$AF$200,$G73)&gt;0,
     COUNTIFS($AG$2:$AG$200,$G73)&gt;0,
     COUNTIFS($AH$2:$AH$200,$G73)&gt;0,
     COUNTIFS($AI$2:$AI$200,$G73)&gt;0,
     COUNTIFS($AJ$2:$AJ$200,$G73)&gt;0,
     COUNTIFS($AK$2:$AK$200,$G73)&gt;0,
     COUNTIFS($AL$2:$AL$200,$G73)&gt;0,
     COUNTIFS($AM$2:$AM$200,$G73)&gt;0,
     COUNTIFS($AN$2:$AN$200,$G73)&gt;0,
     COUNTIFS($AO$2:$AO$200,$G73)&gt;0,
     COUNTIFS($AP$2:$AP$200,$G73)&gt;0,
     COUNTIFS($AQ$2:$AQ$200,$G73)&gt;0,
     COUNTIFS($AR$2:$AR$200,$G73)&gt;0,
     COUNTIFS($AS$2:$AS$200,$G73)&gt;0,
     COUNTIFS($AT$2:$AT$200,$G73)&gt;0,
     COUNTIFS($AU$2:$AU$200,$G73)&gt;0,
     COUNTIFS($AV$2:$AV$200,$G73)&gt;0,
     COUNTIFS($AW$2:$AW$200,$G73)&gt;0,
     COUNTIFS($AX$2:$AX$200,$G73)&gt;0,
     COUNTIFS($AY$2:$AY$200,$G73)&gt;0
   )),
  ),
  3
 ),
"")</f>
        <v/>
      </c>
      <c r="F73" s="2" t="str" cm="1">
        <f t="array" aca="1" ref="F73" ca="1">IFERROR(
 INDEX(
  _xlfn._xlws.FILTER($V$1:$AY$1,
   TRANSPOSE(
    CHOOSE({1;2;3;4;5;6;7;8;9;10;11;12;13;14;15;16;17;18;19;20;21;22;23;24;25;26;27;28;29;30},
     COUNTIFS($V$2:$V$200,$G73)&gt;0,
     COUNTIFS($W$2:$W$200,$G73)&gt;0,
     COUNTIFS($X$2:$X$200,$G73)&gt;0,
     COUNTIFS($Y$2:$Y$200,$G73)&gt;0,
     COUNTIFS($Z$2:$Z$200,$G73)&gt;0,
     COUNTIFS($AA$2:$AA$200,$G73)&gt;0,
     COUNTIFS($AB$2:$AB$200,$G73)&gt;0,
     COUNTIFS($AC$2:$AC$200,$G73)&gt;0,
     COUNTIFS($AD$2:$AD$200,$G73)&gt;0,
     COUNTIFS($AE$2:$AE$200,$G73)&gt;0,
     COUNTIFS($AF$2:$AF$200,$G73)&gt;0,
     COUNTIFS($AG$2:$AG$200,$G73)&gt;0,
     COUNTIFS($AH$2:$AH$200,$G73)&gt;0,
     COUNTIFS($AI$2:$AI$200,$G73)&gt;0,
     COUNTIFS($AJ$2:$AJ$200,$G73)&gt;0,
     COUNTIFS($AK$2:$AK$200,$G73)&gt;0,
     COUNTIFS($AL$2:$AL$200,$G73)&gt;0,
     COUNTIFS($AM$2:$AM$200,$G73)&gt;0,
     COUNTIFS($AN$2:$AN$200,$G73)&gt;0,
     COUNTIFS($AO$2:$AO$200,$G73)&gt;0,
     COUNTIFS($AP$2:$AP$200,$G73)&gt;0,
     COUNTIFS($AQ$2:$AQ$200,$G73)&gt;0,
     COUNTIFS($AR$2:$AR$200,$G73)&gt;0,
     COUNTIFS($AS$2:$AS$200,$G73)&gt;0,
     COUNTIFS($AT$2:$AT$200,$G73)&gt;0,
     COUNTIFS($AU$2:$AU$200,$G73)&gt;0,
     COUNTIFS($AV$2:$AV$200,$G73)&gt;0,
     COUNTIFS($AW$2:$AW$200,$G73)&gt;0,
     COUNTIFS($AX$2:$AX$200,$G73)&gt;0,
     COUNTIFS($AY$2:$AY$200,$G73)&gt;0
   )),
  ),
  4
 ),
"")</f>
        <v/>
      </c>
      <c r="G73" t="str">
        <f ca="1"/>
        <v>Canopy Vista</v>
      </c>
      <c r="AO73" t="str">
        <v>Sliver Hivelord</v>
      </c>
      <c r="BE73" t="str">
        <v>Reliquary Tower</v>
      </c>
      <c r="BJ73" t="str">
        <v>Teysa Karlov</v>
      </c>
      <c r="BL73" t="str">
        <v>Planar Genesis</v>
      </c>
      <c r="CR73" t="str">
        <f ca="1"/>
        <v>Sliver Legion</v>
      </c>
      <c r="DC73" t="str">
        <f ca="1"/>
        <v>Woodland Cemetery</v>
      </c>
      <c r="DP73" t="str">
        <f ca="1"/>
        <v>World at War</v>
      </c>
      <c r="DT73" t="str">
        <f ca="1"/>
        <v>Signal the Clans</v>
      </c>
      <c r="DZ73" t="str">
        <f ca="1"/>
        <v>Kess, Dissident Mage</v>
      </c>
      <c r="EG73" t="str">
        <f ca="1"/>
        <v>Reliquary Tower</v>
      </c>
      <c r="EH73" t="str">
        <f ca="1"/>
        <v>The Enigma Jewel</v>
      </c>
      <c r="EI73" t="str">
        <f ca="1"/>
        <v>Nissa, Resurgent Animist</v>
      </c>
      <c r="EK73" t="str">
        <f ca="1"/>
        <v>Vault of the Archangel</v>
      </c>
      <c r="EL73" t="str">
        <f ca="1"/>
        <v>Kess, Dissident Mage</v>
      </c>
      <c r="EP73" t="str">
        <f ca="1"/>
        <v>Inventors' Fair</v>
      </c>
      <c r="EQ73" t="str">
        <f ca="1"/>
        <v>Hollowhead Sliver</v>
      </c>
      <c r="ER73" t="str">
        <f ca="1"/>
        <v>Exalted Flamer of Tzeentch</v>
      </c>
      <c r="EU73" t="str">
        <f ca="1"/>
        <v>Crucible of Worlds</v>
      </c>
      <c r="EV73" t="str">
        <f ca="1"/>
        <v>Exalted Flamer of Tzeentch</v>
      </c>
      <c r="EX73" t="str">
        <f ca="1"/>
        <v>Canopy Vista</v>
      </c>
    </row>
    <row r="74" spans="1:154" x14ac:dyDescent="0.25">
      <c r="A74" s="2" t="str">
        <f t="shared" ca="1" si="8"/>
        <v>2</v>
      </c>
      <c r="B74" s="2">
        <f t="shared" ca="1" si="9"/>
        <v>1</v>
      </c>
      <c r="C74" s="2" t="str">
        <f ca="1">IFERROR(
 INDEX($V$1:$BL$1,
  MATCH(TRUE,
   CHOOSE({1;2;3;4;5;6;7;8;9;10;11;12;13;14;15;16;17;18;19;20;21;22;23;24;25;26;27;28;29;30;31;32;33;34;35;36;37;38;39;40;41;42;43},
    COUNTIFS($V$2:$V$200,$G74)&gt;0,
    COUNTIFS($W$2:$W$200,$G74)&gt;0,
    COUNTIFS($X$2:$X$200,$G74)&gt;0,
    COUNTIFS($Y$2:$Y$200,$G74)&gt;0,
    COUNTIFS($Z$2:$Z$200,$G74)&gt;0,
    COUNTIFS($AA$2:$AA$200,$G74)&gt;0,
    COUNTIFS($AB$2:$AB$200,$G74)&gt;0,
    COUNTIFS($AC$2:$AC$200,$G74)&gt;0,
    COUNTIFS($AD$2:$AD$200,$G74)&gt;0,
    COUNTIFS($AE$2:$AE$200,$G74)&gt;0,
    COUNTIFS($AF$2:$AF$200,$G74)&gt;0,
    COUNTIFS($AG$2:$AG$200,$G74)&gt;0,
    COUNTIFS($AH$2:$AH$200,$G74)&gt;0,
    COUNTIFS($AI$2:$AI$200,$G74)&gt;0,
    COUNTIFS($AJ$2:$AJ$200,$G74)&gt;0,
    COUNTIFS($AK$2:$AK$200,$G74)&gt;0,
    COUNTIFS($AL$2:$AL$200,$G74)&gt;0,
    COUNTIFS($AM$2:$AM$200,$G74)&gt;0,
    COUNTIFS($AN$2:$AN$200,$G74)&gt;0,
    COUNTIFS($AO$2:$AO$200,$G74)&gt;0,
    COUNTIFS($AP$2:$AP$200,$G74)&gt;0,
    COUNTIFS($AQ$2:$AQ$200,$G74)&gt;0,
    COUNTIFS($AR$2:$AR$200,$G74)&gt;0,
    COUNTIFS($AS$2:$AS$200,$G74)&gt;0,
    COUNTIFS($AT$2:$AT$200,$G74)&gt;0,
    COUNTIFS($AU$2:$AU$200,$G74)&gt;0,
    COUNTIFS($AV$2:$AV$200,$G74)&gt;0,
    COUNTIFS($AW$2:$AW$200,$G74)&gt;0,
    COUNTIFS($AX$2:$AX$200,$G74)&gt;0,
    COUNTIFS($AY$2:$AY$200,$G74)&gt;0,
    COUNTIFS($AZ$2:$AZ$200,$G74)&gt;0,
    COUNTIFS($BA$2:$BA$200,$G74)&gt;0,
    COUNTIFS($BB$2:$BB$200,$G74)&gt;0,
    COUNTIFS($BC$2:$BC$200,$G74)&gt;0,
    COUNTIFS($BD$2:$BD$200,$G74)&gt;0,
    COUNTIFS($BE$2:$BE$200,$G74)&gt;0,
    COUNTIFS($BF$2:$BF$200,$G74)&gt;0,
    COUNTIFS($BG$2:$BG$200,$G74)&gt;0,
    COUNTIFS($BH$2:$BH$200,$G74)&gt;0,
    COUNTIFS($BI$2:$BI$200,$G74)&gt;0,
    COUNTIFS($BJ$2:$BJ$200,$G74)&gt;0,
    COUNTIFS($BK$2:$BK$200,$G74)&gt;0,
    COUNTIFS($BL$2:$BL$200,$G74)&gt;0,
    COUNTIFS($BM$2:$BM$200,$G74)&gt;0,
   ),
  0)
 ),
"")</f>
        <v>Rielle</v>
      </c>
      <c r="D74" s="2" t="str" cm="1">
        <f t="array" aca="1" ref="D74" ca="1">IFERROR(
 INDEX(
  _xlfn._xlws.FILTER($V$1:$AY$1,
   TRANSPOSE(
    CHOOSE({1;2;3;4;5;6;7;8;9;10;11;12;13;14;15;16;17;18;19;20;21;22;23;24;25;26;27;28;29;30},
     COUNTIFS($V$2:$V$200,$G74)&gt;0,
     COUNTIFS($W$2:$W$200,$G74)&gt;0,
     COUNTIFS($X$2:$X$200,$G74)&gt;0,
     COUNTIFS($Y$2:$Y$200,$G74)&gt;0,
     COUNTIFS($Z$2:$Z$200,$G74)&gt;0,
     COUNTIFS($AA$2:$AA$200,$G74)&gt;0,
     COUNTIFS($AB$2:$AB$200,$G74)&gt;0,
     COUNTIFS($AC$2:$AC$200,$G74)&gt;0,
     COUNTIFS($AD$2:$AD$200,$G74)&gt;0,
     COUNTIFS($AE$2:$AE$200,$G74)&gt;0,
     COUNTIFS($AF$2:$AF$200,$G74)&gt;0,
     COUNTIFS($AG$2:$AG$200,$G74)&gt;0,
     COUNTIFS($AH$2:$AH$200,$G74)&gt;0,
     COUNTIFS($AI$2:$AI$200,$G74)&gt;0,
     COUNTIFS($AJ$2:$AJ$200,$G74)&gt;0,
     COUNTIFS($AK$2:$AK$200,$G74)&gt;0,
     COUNTIFS($AL$2:$AL$200,$G74)&gt;0,
     COUNTIFS($AM$2:$AM$200,$G74)&gt;0,
     COUNTIFS($AN$2:$AN$200,$G74)&gt;0,
     COUNTIFS($AO$2:$AO$200,$G74)&gt;0,
     COUNTIFS($AP$2:$AP$200,$G74)&gt;0,
     COUNTIFS($AQ$2:$AQ$200,$G74)&gt;0,
     COUNTIFS($AR$2:$AR$200,$G74)&gt;0,
     COUNTIFS($AS$2:$AS$200,$G74)&gt;0,
     COUNTIFS($AT$2:$AT$200,$G74)&gt;0,
     COUNTIFS($AU$2:$AU$200,$G74)&gt;0,
     COUNTIFS($AV$2:$AV$200,$G74)&gt;0,
     COUNTIFS($AW$2:$AW$200,$G74)&gt;0,
     COUNTIFS($AX$2:$AX$200,$G74)&gt;0,
     COUNTIFS($AY$2:$AY$200,$G74)&gt;0
   )),
  ),
  2
 ),
"")</f>
        <v/>
      </c>
      <c r="E74" s="2" t="str" cm="1">
        <f t="array" aca="1" ref="E74" ca="1">IFERROR(
 INDEX(
  _xlfn._xlws.FILTER($V$1:$AY$1,
   TRANSPOSE(
    CHOOSE({1;2;3;4;5;6;7;8;9;10;11;12;13;14;15;16;17;18;19;20;21;22;23;24;25;26;27;28;29;30},
     COUNTIFS($V$2:$V$200,$G74)&gt;0,
     COUNTIFS($W$2:$W$200,$G74)&gt;0,
     COUNTIFS($X$2:$X$200,$G74)&gt;0,
     COUNTIFS($Y$2:$Y$200,$G74)&gt;0,
     COUNTIFS($Z$2:$Z$200,$G74)&gt;0,
     COUNTIFS($AA$2:$AA$200,$G74)&gt;0,
     COUNTIFS($AB$2:$AB$200,$G74)&gt;0,
     COUNTIFS($AC$2:$AC$200,$G74)&gt;0,
     COUNTIFS($AD$2:$AD$200,$G74)&gt;0,
     COUNTIFS($AE$2:$AE$200,$G74)&gt;0,
     COUNTIFS($AF$2:$AF$200,$G74)&gt;0,
     COUNTIFS($AG$2:$AG$200,$G74)&gt;0,
     COUNTIFS($AH$2:$AH$200,$G74)&gt;0,
     COUNTIFS($AI$2:$AI$200,$G74)&gt;0,
     COUNTIFS($AJ$2:$AJ$200,$G74)&gt;0,
     COUNTIFS($AK$2:$AK$200,$G74)&gt;0,
     COUNTIFS($AL$2:$AL$200,$G74)&gt;0,
     COUNTIFS($AM$2:$AM$200,$G74)&gt;0,
     COUNTIFS($AN$2:$AN$200,$G74)&gt;0,
     COUNTIFS($AO$2:$AO$200,$G74)&gt;0,
     COUNTIFS($AP$2:$AP$200,$G74)&gt;0,
     COUNTIFS($AQ$2:$AQ$200,$G74)&gt;0,
     COUNTIFS($AR$2:$AR$200,$G74)&gt;0,
     COUNTIFS($AS$2:$AS$200,$G74)&gt;0,
     COUNTIFS($AT$2:$AT$200,$G74)&gt;0,
     COUNTIFS($AU$2:$AU$200,$G74)&gt;0,
     COUNTIFS($AV$2:$AV$200,$G74)&gt;0,
     COUNTIFS($AW$2:$AW$200,$G74)&gt;0,
     COUNTIFS($AX$2:$AX$200,$G74)&gt;0,
     COUNTIFS($AY$2:$AY$200,$G74)&gt;0
   )),
  ),
  3
 ),
"")</f>
        <v/>
      </c>
      <c r="F74" s="2" t="str" cm="1">
        <f t="array" aca="1" ref="F74" ca="1">IFERROR(
 INDEX(
  _xlfn._xlws.FILTER($V$1:$AY$1,
   TRANSPOSE(
    CHOOSE({1;2;3;4;5;6;7;8;9;10;11;12;13;14;15;16;17;18;19;20;21;22;23;24;25;26;27;28;29;30},
     COUNTIFS($V$2:$V$200,$G74)&gt;0,
     COUNTIFS($W$2:$W$200,$G74)&gt;0,
     COUNTIFS($X$2:$X$200,$G74)&gt;0,
     COUNTIFS($Y$2:$Y$200,$G74)&gt;0,
     COUNTIFS($Z$2:$Z$200,$G74)&gt;0,
     COUNTIFS($AA$2:$AA$200,$G74)&gt;0,
     COUNTIFS($AB$2:$AB$200,$G74)&gt;0,
     COUNTIFS($AC$2:$AC$200,$G74)&gt;0,
     COUNTIFS($AD$2:$AD$200,$G74)&gt;0,
     COUNTIFS($AE$2:$AE$200,$G74)&gt;0,
     COUNTIFS($AF$2:$AF$200,$G74)&gt;0,
     COUNTIFS($AG$2:$AG$200,$G74)&gt;0,
     COUNTIFS($AH$2:$AH$200,$G74)&gt;0,
     COUNTIFS($AI$2:$AI$200,$G74)&gt;0,
     COUNTIFS($AJ$2:$AJ$200,$G74)&gt;0,
     COUNTIFS($AK$2:$AK$200,$G74)&gt;0,
     COUNTIFS($AL$2:$AL$200,$G74)&gt;0,
     COUNTIFS($AM$2:$AM$200,$G74)&gt;0,
     COUNTIFS($AN$2:$AN$200,$G74)&gt;0,
     COUNTIFS($AO$2:$AO$200,$G74)&gt;0,
     COUNTIFS($AP$2:$AP$200,$G74)&gt;0,
     COUNTIFS($AQ$2:$AQ$200,$G74)&gt;0,
     COUNTIFS($AR$2:$AR$200,$G74)&gt;0,
     COUNTIFS($AS$2:$AS$200,$G74)&gt;0,
     COUNTIFS($AT$2:$AT$200,$G74)&gt;0,
     COUNTIFS($AU$2:$AU$200,$G74)&gt;0,
     COUNTIFS($AV$2:$AV$200,$G74)&gt;0,
     COUNTIFS($AW$2:$AW$200,$G74)&gt;0,
     COUNTIFS($AX$2:$AX$200,$G74)&gt;0,
     COUNTIFS($AY$2:$AY$200,$G74)&gt;0
   )),
  ),
  4
 ),
"")</f>
        <v/>
      </c>
      <c r="G74" t="str">
        <f ca="1"/>
        <v>Careful Study</v>
      </c>
      <c r="AO74" t="str">
        <v>Sliver Legion</v>
      </c>
      <c r="BE74" t="str">
        <v>Restoration Angel</v>
      </c>
      <c r="BJ74" t="str">
        <v>Teysa, Opulent Oligarch</v>
      </c>
      <c r="BL74" t="str">
        <v>Pongify</v>
      </c>
      <c r="CR74" t="str">
        <f ca="1"/>
        <v>Sliver Overlord</v>
      </c>
      <c r="DC74" t="str">
        <f ca="1"/>
        <v>Zurgo Stormrender</v>
      </c>
      <c r="DP74" t="str">
        <f ca="1"/>
        <v>Zellix, Sanity Flayer</v>
      </c>
      <c r="DT74" t="str">
        <f ca="1"/>
        <v>Sinew Sliver</v>
      </c>
      <c r="DZ74" t="str">
        <f ca="1"/>
        <v>Kinscaer Sentry</v>
      </c>
      <c r="EG74" t="str">
        <f ca="1"/>
        <v>Return from the Wilds</v>
      </c>
      <c r="EH74" t="str">
        <f ca="1"/>
        <v>The Mycosynth Gardens</v>
      </c>
      <c r="EI74" t="str">
        <f ca="1"/>
        <v>Obsidian Obelisk</v>
      </c>
      <c r="EK74" t="str">
        <f ca="1"/>
        <v>Vedalken Mastermind</v>
      </c>
      <c r="EL74" t="str">
        <f ca="1"/>
        <v>Kinscaer Sentry</v>
      </c>
      <c r="EP74" t="str">
        <f ca="1"/>
        <v>Inventory Management</v>
      </c>
      <c r="EQ74" t="str">
        <f ca="1"/>
        <v>Homeward Path</v>
      </c>
      <c r="ER74" t="str">
        <f ca="1"/>
        <v>Exotic Orchard</v>
      </c>
      <c r="EU74" t="str">
        <f ca="1"/>
        <v>Crypt Sliver</v>
      </c>
      <c r="EV74" t="str">
        <f ca="1"/>
        <v>Exotic Orchard</v>
      </c>
      <c r="EX74" t="str">
        <f ca="1"/>
        <v>Careful Study</v>
      </c>
    </row>
    <row r="75" spans="1:154" x14ac:dyDescent="0.25">
      <c r="A75" s="2" t="str">
        <f t="shared" ca="1" si="8"/>
        <v>4</v>
      </c>
      <c r="B75" s="2">
        <f t="shared" ca="1" si="9"/>
        <v>1</v>
      </c>
      <c r="C75" s="2" t="str">
        <f ca="1">IFERROR(
 INDEX($V$1:$BL$1,
  MATCH(TRUE,
   CHOOSE({1;2;3;4;5;6;7;8;9;10;11;12;13;14;15;16;17;18;19;20;21;22;23;24;25;26;27;28;29;30;31;32;33;34;35;36;37;38;39;40;41;42;43},
    COUNTIFS($V$2:$V$200,$G75)&gt;0,
    COUNTIFS($W$2:$W$200,$G75)&gt;0,
    COUNTIFS($X$2:$X$200,$G75)&gt;0,
    COUNTIFS($Y$2:$Y$200,$G75)&gt;0,
    COUNTIFS($Z$2:$Z$200,$G75)&gt;0,
    COUNTIFS($AA$2:$AA$200,$G75)&gt;0,
    COUNTIFS($AB$2:$AB$200,$G75)&gt;0,
    COUNTIFS($AC$2:$AC$200,$G75)&gt;0,
    COUNTIFS($AD$2:$AD$200,$G75)&gt;0,
    COUNTIFS($AE$2:$AE$200,$G75)&gt;0,
    COUNTIFS($AF$2:$AF$200,$G75)&gt;0,
    COUNTIFS($AG$2:$AG$200,$G75)&gt;0,
    COUNTIFS($AH$2:$AH$200,$G75)&gt;0,
    COUNTIFS($AI$2:$AI$200,$G75)&gt;0,
    COUNTIFS($AJ$2:$AJ$200,$G75)&gt;0,
    COUNTIFS($AK$2:$AK$200,$G75)&gt;0,
    COUNTIFS($AL$2:$AL$200,$G75)&gt;0,
    COUNTIFS($AM$2:$AM$200,$G75)&gt;0,
    COUNTIFS($AN$2:$AN$200,$G75)&gt;0,
    COUNTIFS($AO$2:$AO$200,$G75)&gt;0,
    COUNTIFS($AP$2:$AP$200,$G75)&gt;0,
    COUNTIFS($AQ$2:$AQ$200,$G75)&gt;0,
    COUNTIFS($AR$2:$AR$200,$G75)&gt;0,
    COUNTIFS($AS$2:$AS$200,$G75)&gt;0,
    COUNTIFS($AT$2:$AT$200,$G75)&gt;0,
    COUNTIFS($AU$2:$AU$200,$G75)&gt;0,
    COUNTIFS($AV$2:$AV$200,$G75)&gt;0,
    COUNTIFS($AW$2:$AW$200,$G75)&gt;0,
    COUNTIFS($AX$2:$AX$200,$G75)&gt;0,
    COUNTIFS($AY$2:$AY$200,$G75)&gt;0,
    COUNTIFS($AZ$2:$AZ$200,$G75)&gt;0,
    COUNTIFS($BA$2:$BA$200,$G75)&gt;0,
    COUNTIFS($BB$2:$BB$200,$G75)&gt;0,
    COUNTIFS($BC$2:$BC$200,$G75)&gt;0,
    COUNTIFS($BD$2:$BD$200,$G75)&gt;0,
    COUNTIFS($BE$2:$BE$200,$G75)&gt;0,
    COUNTIFS($BF$2:$BF$200,$G75)&gt;0,
    COUNTIFS($BG$2:$BG$200,$G75)&gt;0,
    COUNTIFS($BH$2:$BH$200,$G75)&gt;0,
    COUNTIFS($BI$2:$BI$200,$G75)&gt;0,
    COUNTIFS($BJ$2:$BJ$200,$G75)&gt;0,
    COUNTIFS($BK$2:$BK$200,$G75)&gt;0,
    COUNTIFS($BL$2:$BL$200,$G75)&gt;0,
    COUNTIFS($BM$2:$BM$200,$G75)&gt;0,
   ),
  0)
 ),
"")</f>
        <v>Baylen</v>
      </c>
      <c r="D75" s="2" t="str" cm="1">
        <f t="array" aca="1" ref="D75" ca="1">IFERROR(
 INDEX(
  _xlfn._xlws.FILTER($V$1:$AY$1,
   TRANSPOSE(
    CHOOSE({1;2;3;4;5;6;7;8;9;10;11;12;13;14;15;16;17;18;19;20;21;22;23;24;25;26;27;28;29;30},
     COUNTIFS($V$2:$V$200,$G75)&gt;0,
     COUNTIFS($W$2:$W$200,$G75)&gt;0,
     COUNTIFS($X$2:$X$200,$G75)&gt;0,
     COUNTIFS($Y$2:$Y$200,$G75)&gt;0,
     COUNTIFS($Z$2:$Z$200,$G75)&gt;0,
     COUNTIFS($AA$2:$AA$200,$G75)&gt;0,
     COUNTIFS($AB$2:$AB$200,$G75)&gt;0,
     COUNTIFS($AC$2:$AC$200,$G75)&gt;0,
     COUNTIFS($AD$2:$AD$200,$G75)&gt;0,
     COUNTIFS($AE$2:$AE$200,$G75)&gt;0,
     COUNTIFS($AF$2:$AF$200,$G75)&gt;0,
     COUNTIFS($AG$2:$AG$200,$G75)&gt;0,
     COUNTIFS($AH$2:$AH$200,$G75)&gt;0,
     COUNTIFS($AI$2:$AI$200,$G75)&gt;0,
     COUNTIFS($AJ$2:$AJ$200,$G75)&gt;0,
     COUNTIFS($AK$2:$AK$200,$G75)&gt;0,
     COUNTIFS($AL$2:$AL$200,$G75)&gt;0,
     COUNTIFS($AM$2:$AM$200,$G75)&gt;0,
     COUNTIFS($AN$2:$AN$200,$G75)&gt;0,
     COUNTIFS($AO$2:$AO$200,$G75)&gt;0,
     COUNTIFS($AP$2:$AP$200,$G75)&gt;0,
     COUNTIFS($AQ$2:$AQ$200,$G75)&gt;0,
     COUNTIFS($AR$2:$AR$200,$G75)&gt;0,
     COUNTIFS($AS$2:$AS$200,$G75)&gt;0,
     COUNTIFS($AT$2:$AT$200,$G75)&gt;0,
     COUNTIFS($AU$2:$AU$200,$G75)&gt;0,
     COUNTIFS($AV$2:$AV$200,$G75)&gt;0,
     COUNTIFS($AW$2:$AW$200,$G75)&gt;0,
     COUNTIFS($AX$2:$AX$200,$G75)&gt;0,
     COUNTIFS($AY$2:$AY$200,$G75)&gt;0
   )),
  ),
  2
 ),
"")</f>
        <v/>
      </c>
      <c r="E75" s="2" t="str" cm="1">
        <f t="array" aca="1" ref="E75" ca="1">IFERROR(
 INDEX(
  _xlfn._xlws.FILTER($V$1:$AY$1,
   TRANSPOSE(
    CHOOSE({1;2;3;4;5;6;7;8;9;10;11;12;13;14;15;16;17;18;19;20;21;22;23;24;25;26;27;28;29;30},
     COUNTIFS($V$2:$V$200,$G75)&gt;0,
     COUNTIFS($W$2:$W$200,$G75)&gt;0,
     COUNTIFS($X$2:$X$200,$G75)&gt;0,
     COUNTIFS($Y$2:$Y$200,$G75)&gt;0,
     COUNTIFS($Z$2:$Z$200,$G75)&gt;0,
     COUNTIFS($AA$2:$AA$200,$G75)&gt;0,
     COUNTIFS($AB$2:$AB$200,$G75)&gt;0,
     COUNTIFS($AC$2:$AC$200,$G75)&gt;0,
     COUNTIFS($AD$2:$AD$200,$G75)&gt;0,
     COUNTIFS($AE$2:$AE$200,$G75)&gt;0,
     COUNTIFS($AF$2:$AF$200,$G75)&gt;0,
     COUNTIFS($AG$2:$AG$200,$G75)&gt;0,
     COUNTIFS($AH$2:$AH$200,$G75)&gt;0,
     COUNTIFS($AI$2:$AI$200,$G75)&gt;0,
     COUNTIFS($AJ$2:$AJ$200,$G75)&gt;0,
     COUNTIFS($AK$2:$AK$200,$G75)&gt;0,
     COUNTIFS($AL$2:$AL$200,$G75)&gt;0,
     COUNTIFS($AM$2:$AM$200,$G75)&gt;0,
     COUNTIFS($AN$2:$AN$200,$G75)&gt;0,
     COUNTIFS($AO$2:$AO$200,$G75)&gt;0,
     COUNTIFS($AP$2:$AP$200,$G75)&gt;0,
     COUNTIFS($AQ$2:$AQ$200,$G75)&gt;0,
     COUNTIFS($AR$2:$AR$200,$G75)&gt;0,
     COUNTIFS($AS$2:$AS$200,$G75)&gt;0,
     COUNTIFS($AT$2:$AT$200,$G75)&gt;0,
     COUNTIFS($AU$2:$AU$200,$G75)&gt;0,
     COUNTIFS($AV$2:$AV$200,$G75)&gt;0,
     COUNTIFS($AW$2:$AW$200,$G75)&gt;0,
     COUNTIFS($AX$2:$AX$200,$G75)&gt;0,
     COUNTIFS($AY$2:$AY$200,$G75)&gt;0
   )),
  ),
  3
 ),
"")</f>
        <v/>
      </c>
      <c r="F75" s="2" t="str" cm="1">
        <f t="array" aca="1" ref="F75" ca="1">IFERROR(
 INDEX(
  _xlfn._xlws.FILTER($V$1:$AY$1,
   TRANSPOSE(
    CHOOSE({1;2;3;4;5;6;7;8;9;10;11;12;13;14;15;16;17;18;19;20;21;22;23;24;25;26;27;28;29;30},
     COUNTIFS($V$2:$V$200,$G75)&gt;0,
     COUNTIFS($W$2:$W$200,$G75)&gt;0,
     COUNTIFS($X$2:$X$200,$G75)&gt;0,
     COUNTIFS($Y$2:$Y$200,$G75)&gt;0,
     COUNTIFS($Z$2:$Z$200,$G75)&gt;0,
     COUNTIFS($AA$2:$AA$200,$G75)&gt;0,
     COUNTIFS($AB$2:$AB$200,$G75)&gt;0,
     COUNTIFS($AC$2:$AC$200,$G75)&gt;0,
     COUNTIFS($AD$2:$AD$200,$G75)&gt;0,
     COUNTIFS($AE$2:$AE$200,$G75)&gt;0,
     COUNTIFS($AF$2:$AF$200,$G75)&gt;0,
     COUNTIFS($AG$2:$AG$200,$G75)&gt;0,
     COUNTIFS($AH$2:$AH$200,$G75)&gt;0,
     COUNTIFS($AI$2:$AI$200,$G75)&gt;0,
     COUNTIFS($AJ$2:$AJ$200,$G75)&gt;0,
     COUNTIFS($AK$2:$AK$200,$G75)&gt;0,
     COUNTIFS($AL$2:$AL$200,$G75)&gt;0,
     COUNTIFS($AM$2:$AM$200,$G75)&gt;0,
     COUNTIFS($AN$2:$AN$200,$G75)&gt;0,
     COUNTIFS($AO$2:$AO$200,$G75)&gt;0,
     COUNTIFS($AP$2:$AP$200,$G75)&gt;0,
     COUNTIFS($AQ$2:$AQ$200,$G75)&gt;0,
     COUNTIFS($AR$2:$AR$200,$G75)&gt;0,
     COUNTIFS($AS$2:$AS$200,$G75)&gt;0,
     COUNTIFS($AT$2:$AT$200,$G75)&gt;0,
     COUNTIFS($AU$2:$AU$200,$G75)&gt;0,
     COUNTIFS($AV$2:$AV$200,$G75)&gt;0,
     COUNTIFS($AW$2:$AW$200,$G75)&gt;0,
     COUNTIFS($AX$2:$AX$200,$G75)&gt;0,
     COUNTIFS($AY$2:$AY$200,$G75)&gt;0
   )),
  ),
  4
 ),
"")</f>
        <v/>
      </c>
      <c r="G75" t="str">
        <f ca="1"/>
        <v>Castle Ardenvale</v>
      </c>
      <c r="AO75" t="str">
        <v>Sliver Overlord</v>
      </c>
      <c r="BE75" t="str">
        <v>Sol Ring</v>
      </c>
      <c r="BJ75" t="str">
        <v>Teysa, Orzhov Scion</v>
      </c>
      <c r="BL75" t="str">
        <v>Prishe's Wanderings</v>
      </c>
      <c r="CR75" t="str">
        <f ca="1"/>
        <v>Sliver Queen</v>
      </c>
      <c r="DC75" t="str">
        <f ca="1"/>
        <v>Zurgo, Thunder's Decree</v>
      </c>
      <c r="DT75" t="str">
        <f ca="1"/>
        <v>Sliver Gravemother</v>
      </c>
      <c r="DZ75" t="str">
        <f ca="1"/>
        <v>Krosan Grip</v>
      </c>
      <c r="EG75" t="str">
        <f ca="1"/>
        <v>Reyhan, Last of the Abzan</v>
      </c>
      <c r="EH75" t="str">
        <f ca="1"/>
        <v>The Peregrine Dynamo</v>
      </c>
      <c r="EI75" t="str">
        <f ca="1"/>
        <v>Opaline Sliver</v>
      </c>
      <c r="EK75" t="str">
        <f ca="1"/>
        <v>Vedalken Orrery</v>
      </c>
      <c r="EL75" t="str">
        <f ca="1"/>
        <v>Krosan Grip</v>
      </c>
      <c r="EP75" t="str">
        <f ca="1"/>
        <v>Jetmir, Nexus of Revels</v>
      </c>
      <c r="EQ75" t="str">
        <f ca="1"/>
        <v>Homing Sliver</v>
      </c>
      <c r="ER75" t="str">
        <f ca="1"/>
        <v>Exsanguinate</v>
      </c>
      <c r="EU75" t="str">
        <f ca="1"/>
        <v>Crystalline Sliver</v>
      </c>
      <c r="EV75" t="str">
        <f ca="1"/>
        <v>Exsanguinate</v>
      </c>
      <c r="EX75" t="str">
        <f ca="1"/>
        <v>Castle Ardenvale</v>
      </c>
    </row>
    <row r="76" spans="1:154" x14ac:dyDescent="0.25">
      <c r="A76" s="2" t="str">
        <f t="shared" ca="1" si="8"/>
        <v>4</v>
      </c>
      <c r="B76" s="2">
        <f t="shared" ca="1" si="9"/>
        <v>1</v>
      </c>
      <c r="C76" s="2" t="str">
        <f ca="1">IFERROR(
 INDEX($V$1:$BL$1,
  MATCH(TRUE,
   CHOOSE({1;2;3;4;5;6;7;8;9;10;11;12;13;14;15;16;17;18;19;20;21;22;23;24;25;26;27;28;29;30;31;32;33;34;35;36;37;38;39;40;41;42;43},
    COUNTIFS($V$2:$V$200,$G76)&gt;0,
    COUNTIFS($W$2:$W$200,$G76)&gt;0,
    COUNTIFS($X$2:$X$200,$G76)&gt;0,
    COUNTIFS($Y$2:$Y$200,$G76)&gt;0,
    COUNTIFS($Z$2:$Z$200,$G76)&gt;0,
    COUNTIFS($AA$2:$AA$200,$G76)&gt;0,
    COUNTIFS($AB$2:$AB$200,$G76)&gt;0,
    COUNTIFS($AC$2:$AC$200,$G76)&gt;0,
    COUNTIFS($AD$2:$AD$200,$G76)&gt;0,
    COUNTIFS($AE$2:$AE$200,$G76)&gt;0,
    COUNTIFS($AF$2:$AF$200,$G76)&gt;0,
    COUNTIFS($AG$2:$AG$200,$G76)&gt;0,
    COUNTIFS($AH$2:$AH$200,$G76)&gt;0,
    COUNTIFS($AI$2:$AI$200,$G76)&gt;0,
    COUNTIFS($AJ$2:$AJ$200,$G76)&gt;0,
    COUNTIFS($AK$2:$AK$200,$G76)&gt;0,
    COUNTIFS($AL$2:$AL$200,$G76)&gt;0,
    COUNTIFS($AM$2:$AM$200,$G76)&gt;0,
    COUNTIFS($AN$2:$AN$200,$G76)&gt;0,
    COUNTIFS($AO$2:$AO$200,$G76)&gt;0,
    COUNTIFS($AP$2:$AP$200,$G76)&gt;0,
    COUNTIFS($AQ$2:$AQ$200,$G76)&gt;0,
    COUNTIFS($AR$2:$AR$200,$G76)&gt;0,
    COUNTIFS($AS$2:$AS$200,$G76)&gt;0,
    COUNTIFS($AT$2:$AT$200,$G76)&gt;0,
    COUNTIFS($AU$2:$AU$200,$G76)&gt;0,
    COUNTIFS($AV$2:$AV$200,$G76)&gt;0,
    COUNTIFS($AW$2:$AW$200,$G76)&gt;0,
    COUNTIFS($AX$2:$AX$200,$G76)&gt;0,
    COUNTIFS($AY$2:$AY$200,$G76)&gt;0,
    COUNTIFS($AZ$2:$AZ$200,$G76)&gt;0,
    COUNTIFS($BA$2:$BA$200,$G76)&gt;0,
    COUNTIFS($BB$2:$BB$200,$G76)&gt;0,
    COUNTIFS($BC$2:$BC$200,$G76)&gt;0,
    COUNTIFS($BD$2:$BD$200,$G76)&gt;0,
    COUNTIFS($BE$2:$BE$200,$G76)&gt;0,
    COUNTIFS($BF$2:$BF$200,$G76)&gt;0,
    COUNTIFS($BG$2:$BG$200,$G76)&gt;0,
    COUNTIFS($BH$2:$BH$200,$G76)&gt;0,
    COUNTIFS($BI$2:$BI$200,$G76)&gt;0,
    COUNTIFS($BJ$2:$BJ$200,$G76)&gt;0,
    COUNTIFS($BK$2:$BK$200,$G76)&gt;0,
    COUNTIFS($BL$2:$BL$200,$G76)&gt;0,
    COUNTIFS($BM$2:$BM$200,$G76)&gt;0,
   ),
  0)
 ),
"")</f>
        <v>Ool</v>
      </c>
      <c r="D76" s="2" t="str" cm="1">
        <f t="array" aca="1" ref="D76" ca="1">IFERROR(
 INDEX(
  _xlfn._xlws.FILTER($V$1:$AY$1,
   TRANSPOSE(
    CHOOSE({1;2;3;4;5;6;7;8;9;10;11;12;13;14;15;16;17;18;19;20;21;22;23;24;25;26;27;28;29;30},
     COUNTIFS($V$2:$V$200,$G76)&gt;0,
     COUNTIFS($W$2:$W$200,$G76)&gt;0,
     COUNTIFS($X$2:$X$200,$G76)&gt;0,
     COUNTIFS($Y$2:$Y$200,$G76)&gt;0,
     COUNTIFS($Z$2:$Z$200,$G76)&gt;0,
     COUNTIFS($AA$2:$AA$200,$G76)&gt;0,
     COUNTIFS($AB$2:$AB$200,$G76)&gt;0,
     COUNTIFS($AC$2:$AC$200,$G76)&gt;0,
     COUNTIFS($AD$2:$AD$200,$G76)&gt;0,
     COUNTIFS($AE$2:$AE$200,$G76)&gt;0,
     COUNTIFS($AF$2:$AF$200,$G76)&gt;0,
     COUNTIFS($AG$2:$AG$200,$G76)&gt;0,
     COUNTIFS($AH$2:$AH$200,$G76)&gt;0,
     COUNTIFS($AI$2:$AI$200,$G76)&gt;0,
     COUNTIFS($AJ$2:$AJ$200,$G76)&gt;0,
     COUNTIFS($AK$2:$AK$200,$G76)&gt;0,
     COUNTIFS($AL$2:$AL$200,$G76)&gt;0,
     COUNTIFS($AM$2:$AM$200,$G76)&gt;0,
     COUNTIFS($AN$2:$AN$200,$G76)&gt;0,
     COUNTIFS($AO$2:$AO$200,$G76)&gt;0,
     COUNTIFS($AP$2:$AP$200,$G76)&gt;0,
     COUNTIFS($AQ$2:$AQ$200,$G76)&gt;0,
     COUNTIFS($AR$2:$AR$200,$G76)&gt;0,
     COUNTIFS($AS$2:$AS$200,$G76)&gt;0,
     COUNTIFS($AT$2:$AT$200,$G76)&gt;0,
     COUNTIFS($AU$2:$AU$200,$G76)&gt;0,
     COUNTIFS($AV$2:$AV$200,$G76)&gt;0,
     COUNTIFS($AW$2:$AW$200,$G76)&gt;0,
     COUNTIFS($AX$2:$AX$200,$G76)&gt;0,
     COUNTIFS($AY$2:$AY$200,$G76)&gt;0
   )),
  ),
  2
 ),
"")</f>
        <v/>
      </c>
      <c r="E76" s="2" t="str" cm="1">
        <f t="array" aca="1" ref="E76" ca="1">IFERROR(
 INDEX(
  _xlfn._xlws.FILTER($V$1:$AY$1,
   TRANSPOSE(
    CHOOSE({1;2;3;4;5;6;7;8;9;10;11;12;13;14;15;16;17;18;19;20;21;22;23;24;25;26;27;28;29;30},
     COUNTIFS($V$2:$V$200,$G76)&gt;0,
     COUNTIFS($W$2:$W$200,$G76)&gt;0,
     COUNTIFS($X$2:$X$200,$G76)&gt;0,
     COUNTIFS($Y$2:$Y$200,$G76)&gt;0,
     COUNTIFS($Z$2:$Z$200,$G76)&gt;0,
     COUNTIFS($AA$2:$AA$200,$G76)&gt;0,
     COUNTIFS($AB$2:$AB$200,$G76)&gt;0,
     COUNTIFS($AC$2:$AC$200,$G76)&gt;0,
     COUNTIFS($AD$2:$AD$200,$G76)&gt;0,
     COUNTIFS($AE$2:$AE$200,$G76)&gt;0,
     COUNTIFS($AF$2:$AF$200,$G76)&gt;0,
     COUNTIFS($AG$2:$AG$200,$G76)&gt;0,
     COUNTIFS($AH$2:$AH$200,$G76)&gt;0,
     COUNTIFS($AI$2:$AI$200,$G76)&gt;0,
     COUNTIFS($AJ$2:$AJ$200,$G76)&gt;0,
     COUNTIFS($AK$2:$AK$200,$G76)&gt;0,
     COUNTIFS($AL$2:$AL$200,$G76)&gt;0,
     COUNTIFS($AM$2:$AM$200,$G76)&gt;0,
     COUNTIFS($AN$2:$AN$200,$G76)&gt;0,
     COUNTIFS($AO$2:$AO$200,$G76)&gt;0,
     COUNTIFS($AP$2:$AP$200,$G76)&gt;0,
     COUNTIFS($AQ$2:$AQ$200,$G76)&gt;0,
     COUNTIFS($AR$2:$AR$200,$G76)&gt;0,
     COUNTIFS($AS$2:$AS$200,$G76)&gt;0,
     COUNTIFS($AT$2:$AT$200,$G76)&gt;0,
     COUNTIFS($AU$2:$AU$200,$G76)&gt;0,
     COUNTIFS($AV$2:$AV$200,$G76)&gt;0,
     COUNTIFS($AW$2:$AW$200,$G76)&gt;0,
     COUNTIFS($AX$2:$AX$200,$G76)&gt;0,
     COUNTIFS($AY$2:$AY$200,$G76)&gt;0
   )),
  ),
  3
 ),
"")</f>
        <v/>
      </c>
      <c r="F76" s="2" t="str" cm="1">
        <f t="array" aca="1" ref="F76" ca="1">IFERROR(
 INDEX(
  _xlfn._xlws.FILTER($V$1:$AY$1,
   TRANSPOSE(
    CHOOSE({1;2;3;4;5;6;7;8;9;10;11;12;13;14;15;16;17;18;19;20;21;22;23;24;25;26;27;28;29;30},
     COUNTIFS($V$2:$V$200,$G76)&gt;0,
     COUNTIFS($W$2:$W$200,$G76)&gt;0,
     COUNTIFS($X$2:$X$200,$G76)&gt;0,
     COUNTIFS($Y$2:$Y$200,$G76)&gt;0,
     COUNTIFS($Z$2:$Z$200,$G76)&gt;0,
     COUNTIFS($AA$2:$AA$200,$G76)&gt;0,
     COUNTIFS($AB$2:$AB$200,$G76)&gt;0,
     COUNTIFS($AC$2:$AC$200,$G76)&gt;0,
     COUNTIFS($AD$2:$AD$200,$G76)&gt;0,
     COUNTIFS($AE$2:$AE$200,$G76)&gt;0,
     COUNTIFS($AF$2:$AF$200,$G76)&gt;0,
     COUNTIFS($AG$2:$AG$200,$G76)&gt;0,
     COUNTIFS($AH$2:$AH$200,$G76)&gt;0,
     COUNTIFS($AI$2:$AI$200,$G76)&gt;0,
     COUNTIFS($AJ$2:$AJ$200,$G76)&gt;0,
     COUNTIFS($AK$2:$AK$200,$G76)&gt;0,
     COUNTIFS($AL$2:$AL$200,$G76)&gt;0,
     COUNTIFS($AM$2:$AM$200,$G76)&gt;0,
     COUNTIFS($AN$2:$AN$200,$G76)&gt;0,
     COUNTIFS($AO$2:$AO$200,$G76)&gt;0,
     COUNTIFS($AP$2:$AP$200,$G76)&gt;0,
     COUNTIFS($AQ$2:$AQ$200,$G76)&gt;0,
     COUNTIFS($AR$2:$AR$200,$G76)&gt;0,
     COUNTIFS($AS$2:$AS$200,$G76)&gt;0,
     COUNTIFS($AT$2:$AT$200,$G76)&gt;0,
     COUNTIFS($AU$2:$AU$200,$G76)&gt;0,
     COUNTIFS($AV$2:$AV$200,$G76)&gt;0,
     COUNTIFS($AW$2:$AW$200,$G76)&gt;0,
     COUNTIFS($AX$2:$AX$200,$G76)&gt;0,
     COUNTIFS($AY$2:$AY$200,$G76)&gt;0
   )),
  ),
  4
 ),
"")</f>
        <v/>
      </c>
      <c r="G76" t="str">
        <f ca="1"/>
        <v>Cauldron of Souls</v>
      </c>
      <c r="AO76" t="str">
        <v>Sliver Queen</v>
      </c>
      <c r="BE76" t="str">
        <v>Spirit Water Revival</v>
      </c>
      <c r="BJ76" t="str">
        <v>The Battle of Bywater</v>
      </c>
      <c r="BL76" t="str">
        <v>Propaganda</v>
      </c>
      <c r="CR76" t="str">
        <f ca="1"/>
        <v>Spara's Headquarters</v>
      </c>
      <c r="DC76" t="e">
        <f ca="1"/>
        <v>#REF!</v>
      </c>
      <c r="DT76" t="str">
        <f ca="1"/>
        <v>Sliver Hive</v>
      </c>
      <c r="DZ76" t="str">
        <f ca="1"/>
        <v>Lagomos, Hand of Hatred</v>
      </c>
      <c r="EG76" t="str">
        <f ca="1"/>
        <v>Rogue's Passage</v>
      </c>
      <c r="EH76" t="str">
        <f ca="1"/>
        <v>The Tenth Doctor</v>
      </c>
      <c r="EI76" t="str">
        <f ca="1"/>
        <v>Overgrown Tomb</v>
      </c>
      <c r="EK76" t="str">
        <f ca="1"/>
        <v>Virtue of Knowledge // Vantress Visions</v>
      </c>
      <c r="EL76" t="str">
        <f ca="1"/>
        <v>Lagomos, Hand of Hatred</v>
      </c>
      <c r="EP76" t="str">
        <f ca="1"/>
        <v>Jidoor, Aristocratic Capital // Overture</v>
      </c>
      <c r="EQ76" t="str">
        <f ca="1"/>
        <v>Hunter Sliver</v>
      </c>
      <c r="ER76" t="str">
        <f ca="1"/>
        <v>Fandaniel, Telophoroi Ascian</v>
      </c>
      <c r="EU76" t="str">
        <f ca="1"/>
        <v>Damping Sphere</v>
      </c>
      <c r="EV76" t="str">
        <f ca="1"/>
        <v>Fandaniel, Telophoroi Ascian</v>
      </c>
      <c r="EX76" t="str">
        <f ca="1"/>
        <v>Cauldron of Souls</v>
      </c>
    </row>
    <row r="77" spans="1:154" x14ac:dyDescent="0.25">
      <c r="A77" s="2" t="str">
        <f t="shared" ca="1" si="8"/>
        <v>5</v>
      </c>
      <c r="B77" s="2">
        <f t="shared" ca="1" si="9"/>
        <v>1</v>
      </c>
      <c r="C77" s="2" t="str">
        <f ca="1">IFERROR(
 INDEX($V$1:$BL$1,
  MATCH(TRUE,
   CHOOSE({1;2;3;4;5;6;7;8;9;10;11;12;13;14;15;16;17;18;19;20;21;22;23;24;25;26;27;28;29;30;31;32;33;34;35;36;37;38;39;40;41;42;43},
    COUNTIFS($V$2:$V$200,$G77)&gt;0,
    COUNTIFS($W$2:$W$200,$G77)&gt;0,
    COUNTIFS($X$2:$X$200,$G77)&gt;0,
    COUNTIFS($Y$2:$Y$200,$G77)&gt;0,
    COUNTIFS($Z$2:$Z$200,$G77)&gt;0,
    COUNTIFS($AA$2:$AA$200,$G77)&gt;0,
    COUNTIFS($AB$2:$AB$200,$G77)&gt;0,
    COUNTIFS($AC$2:$AC$200,$G77)&gt;0,
    COUNTIFS($AD$2:$AD$200,$G77)&gt;0,
    COUNTIFS($AE$2:$AE$200,$G77)&gt;0,
    COUNTIFS($AF$2:$AF$200,$G77)&gt;0,
    COUNTIFS($AG$2:$AG$200,$G77)&gt;0,
    COUNTIFS($AH$2:$AH$200,$G77)&gt;0,
    COUNTIFS($AI$2:$AI$200,$G77)&gt;0,
    COUNTIFS($AJ$2:$AJ$200,$G77)&gt;0,
    COUNTIFS($AK$2:$AK$200,$G77)&gt;0,
    COUNTIFS($AL$2:$AL$200,$G77)&gt;0,
    COUNTIFS($AM$2:$AM$200,$G77)&gt;0,
    COUNTIFS($AN$2:$AN$200,$G77)&gt;0,
    COUNTIFS($AO$2:$AO$200,$G77)&gt;0,
    COUNTIFS($AP$2:$AP$200,$G77)&gt;0,
    COUNTIFS($AQ$2:$AQ$200,$G77)&gt;0,
    COUNTIFS($AR$2:$AR$200,$G77)&gt;0,
    COUNTIFS($AS$2:$AS$200,$G77)&gt;0,
    COUNTIFS($AT$2:$AT$200,$G77)&gt;0,
    COUNTIFS($AU$2:$AU$200,$G77)&gt;0,
    COUNTIFS($AV$2:$AV$200,$G77)&gt;0,
    COUNTIFS($AW$2:$AW$200,$G77)&gt;0,
    COUNTIFS($AX$2:$AX$200,$G77)&gt;0,
    COUNTIFS($AY$2:$AY$200,$G77)&gt;0,
    COUNTIFS($AZ$2:$AZ$200,$G77)&gt;0,
    COUNTIFS($BA$2:$BA$200,$G77)&gt;0,
    COUNTIFS($BB$2:$BB$200,$G77)&gt;0,
    COUNTIFS($BC$2:$BC$200,$G77)&gt;0,
    COUNTIFS($BD$2:$BD$200,$G77)&gt;0,
    COUNTIFS($BE$2:$BE$200,$G77)&gt;0,
    COUNTIFS($BF$2:$BF$200,$G77)&gt;0,
    COUNTIFS($BG$2:$BG$200,$G77)&gt;0,
    COUNTIFS($BH$2:$BH$200,$G77)&gt;0,
    COUNTIFS($BI$2:$BI$200,$G77)&gt;0,
    COUNTIFS($BJ$2:$BJ$200,$G77)&gt;0,
    COUNTIFS($BK$2:$BK$200,$G77)&gt;0,
    COUNTIFS($BL$2:$BL$200,$G77)&gt;0,
    COUNTIFS($BM$2:$BM$200,$G77)&gt;0,
   ),
  0)
 ),
"")</f>
        <v>Fractius</v>
      </c>
      <c r="D77" s="2" t="str" cm="1">
        <f t="array" aca="1" ref="D77" ca="1">IFERROR(
 INDEX(
  _xlfn._xlws.FILTER($V$1:$AY$1,
   TRANSPOSE(
    CHOOSE({1;2;3;4;5;6;7;8;9;10;11;12;13;14;15;16;17;18;19;20;21;22;23;24;25;26;27;28;29;30},
     COUNTIFS($V$2:$V$200,$G77)&gt;0,
     COUNTIFS($W$2:$W$200,$G77)&gt;0,
     COUNTIFS($X$2:$X$200,$G77)&gt;0,
     COUNTIFS($Y$2:$Y$200,$G77)&gt;0,
     COUNTIFS($Z$2:$Z$200,$G77)&gt;0,
     COUNTIFS($AA$2:$AA$200,$G77)&gt;0,
     COUNTIFS($AB$2:$AB$200,$G77)&gt;0,
     COUNTIFS($AC$2:$AC$200,$G77)&gt;0,
     COUNTIFS($AD$2:$AD$200,$G77)&gt;0,
     COUNTIFS($AE$2:$AE$200,$G77)&gt;0,
     COUNTIFS($AF$2:$AF$200,$G77)&gt;0,
     COUNTIFS($AG$2:$AG$200,$G77)&gt;0,
     COUNTIFS($AH$2:$AH$200,$G77)&gt;0,
     COUNTIFS($AI$2:$AI$200,$G77)&gt;0,
     COUNTIFS($AJ$2:$AJ$200,$G77)&gt;0,
     COUNTIFS($AK$2:$AK$200,$G77)&gt;0,
     COUNTIFS($AL$2:$AL$200,$G77)&gt;0,
     COUNTIFS($AM$2:$AM$200,$G77)&gt;0,
     COUNTIFS($AN$2:$AN$200,$G77)&gt;0,
     COUNTIFS($AO$2:$AO$200,$G77)&gt;0,
     COUNTIFS($AP$2:$AP$200,$G77)&gt;0,
     COUNTIFS($AQ$2:$AQ$200,$G77)&gt;0,
     COUNTIFS($AR$2:$AR$200,$G77)&gt;0,
     COUNTIFS($AS$2:$AS$200,$G77)&gt;0,
     COUNTIFS($AT$2:$AT$200,$G77)&gt;0,
     COUNTIFS($AU$2:$AU$200,$G77)&gt;0,
     COUNTIFS($AV$2:$AV$200,$G77)&gt;0,
     COUNTIFS($AW$2:$AW$200,$G77)&gt;0,
     COUNTIFS($AX$2:$AX$200,$G77)&gt;0,
     COUNTIFS($AY$2:$AY$200,$G77)&gt;0
   )),
  ),
  2
 ),
"")</f>
        <v/>
      </c>
      <c r="E77" s="2" t="str" cm="1">
        <f t="array" aca="1" ref="E77" ca="1">IFERROR(
 INDEX(
  _xlfn._xlws.FILTER($V$1:$AY$1,
   TRANSPOSE(
    CHOOSE({1;2;3;4;5;6;7;8;9;10;11;12;13;14;15;16;17;18;19;20;21;22;23;24;25;26;27;28;29;30},
     COUNTIFS($V$2:$V$200,$G77)&gt;0,
     COUNTIFS($W$2:$W$200,$G77)&gt;0,
     COUNTIFS($X$2:$X$200,$G77)&gt;0,
     COUNTIFS($Y$2:$Y$200,$G77)&gt;0,
     COUNTIFS($Z$2:$Z$200,$G77)&gt;0,
     COUNTIFS($AA$2:$AA$200,$G77)&gt;0,
     COUNTIFS($AB$2:$AB$200,$G77)&gt;0,
     COUNTIFS($AC$2:$AC$200,$G77)&gt;0,
     COUNTIFS($AD$2:$AD$200,$G77)&gt;0,
     COUNTIFS($AE$2:$AE$200,$G77)&gt;0,
     COUNTIFS($AF$2:$AF$200,$G77)&gt;0,
     COUNTIFS($AG$2:$AG$200,$G77)&gt;0,
     COUNTIFS($AH$2:$AH$200,$G77)&gt;0,
     COUNTIFS($AI$2:$AI$200,$G77)&gt;0,
     COUNTIFS($AJ$2:$AJ$200,$G77)&gt;0,
     COUNTIFS($AK$2:$AK$200,$G77)&gt;0,
     COUNTIFS($AL$2:$AL$200,$G77)&gt;0,
     COUNTIFS($AM$2:$AM$200,$G77)&gt;0,
     COUNTIFS($AN$2:$AN$200,$G77)&gt;0,
     COUNTIFS($AO$2:$AO$200,$G77)&gt;0,
     COUNTIFS($AP$2:$AP$200,$G77)&gt;0,
     COUNTIFS($AQ$2:$AQ$200,$G77)&gt;0,
     COUNTIFS($AR$2:$AR$200,$G77)&gt;0,
     COUNTIFS($AS$2:$AS$200,$G77)&gt;0,
     COUNTIFS($AT$2:$AT$200,$G77)&gt;0,
     COUNTIFS($AU$2:$AU$200,$G77)&gt;0,
     COUNTIFS($AV$2:$AV$200,$G77)&gt;0,
     COUNTIFS($AW$2:$AW$200,$G77)&gt;0,
     COUNTIFS($AX$2:$AX$200,$G77)&gt;0,
     COUNTIFS($AY$2:$AY$200,$G77)&gt;0
   )),
  ),
  3
 ),
"")</f>
        <v/>
      </c>
      <c r="F77" s="2" t="str" cm="1">
        <f t="array" aca="1" ref="F77" ca="1">IFERROR(
 INDEX(
  _xlfn._xlws.FILTER($V$1:$AY$1,
   TRANSPOSE(
    CHOOSE({1;2;3;4;5;6;7;8;9;10;11;12;13;14;15;16;17;18;19;20;21;22;23;24;25;26;27;28;29;30},
     COUNTIFS($V$2:$V$200,$G77)&gt;0,
     COUNTIFS($W$2:$W$200,$G77)&gt;0,
     COUNTIFS($X$2:$X$200,$G77)&gt;0,
     COUNTIFS($Y$2:$Y$200,$G77)&gt;0,
     COUNTIFS($Z$2:$Z$200,$G77)&gt;0,
     COUNTIFS($AA$2:$AA$200,$G77)&gt;0,
     COUNTIFS($AB$2:$AB$200,$G77)&gt;0,
     COUNTIFS($AC$2:$AC$200,$G77)&gt;0,
     COUNTIFS($AD$2:$AD$200,$G77)&gt;0,
     COUNTIFS($AE$2:$AE$200,$G77)&gt;0,
     COUNTIFS($AF$2:$AF$200,$G77)&gt;0,
     COUNTIFS($AG$2:$AG$200,$G77)&gt;0,
     COUNTIFS($AH$2:$AH$200,$G77)&gt;0,
     COUNTIFS($AI$2:$AI$200,$G77)&gt;0,
     COUNTIFS($AJ$2:$AJ$200,$G77)&gt;0,
     COUNTIFS($AK$2:$AK$200,$G77)&gt;0,
     COUNTIFS($AL$2:$AL$200,$G77)&gt;0,
     COUNTIFS($AM$2:$AM$200,$G77)&gt;0,
     COUNTIFS($AN$2:$AN$200,$G77)&gt;0,
     COUNTIFS($AO$2:$AO$200,$G77)&gt;0,
     COUNTIFS($AP$2:$AP$200,$G77)&gt;0,
     COUNTIFS($AQ$2:$AQ$200,$G77)&gt;0,
     COUNTIFS($AR$2:$AR$200,$G77)&gt;0,
     COUNTIFS($AS$2:$AS$200,$G77)&gt;0,
     COUNTIFS($AT$2:$AT$200,$G77)&gt;0,
     COUNTIFS($AU$2:$AU$200,$G77)&gt;0,
     COUNTIFS($AV$2:$AV$200,$G77)&gt;0,
     COUNTIFS($AW$2:$AW$200,$G77)&gt;0,
     COUNTIFS($AX$2:$AX$200,$G77)&gt;0,
     COUNTIFS($AY$2:$AY$200,$G77)&gt;0
   )),
  ),
  4
 ),
"")</f>
        <v/>
      </c>
      <c r="G77" t="str">
        <f ca="1"/>
        <v>Cavern of Souls</v>
      </c>
      <c r="AO77" t="str">
        <v>Spara's Headquarters</v>
      </c>
      <c r="BE77" t="str">
        <v>Splash Portal</v>
      </c>
      <c r="BJ77" t="str">
        <v>Toski, Bearer of Secrets</v>
      </c>
      <c r="BL77" t="str">
        <v>Rakdos Charm</v>
      </c>
      <c r="CR77" t="str">
        <f ca="1"/>
        <v>Spiteful Sliver</v>
      </c>
      <c r="DT77" t="str">
        <f ca="1"/>
        <v>Sliver Hivelord</v>
      </c>
      <c r="DZ77" t="str">
        <f ca="1"/>
        <v>Llanowar Wastes</v>
      </c>
      <c r="EG77" t="str">
        <f ca="1"/>
        <v>Scalding Tarn</v>
      </c>
      <c r="EH77" t="str">
        <f ca="1"/>
        <v>Thran Dynamo</v>
      </c>
      <c r="EI77" t="str">
        <f ca="1"/>
        <v>Phyrexian Arena</v>
      </c>
      <c r="EK77" t="str">
        <f ca="1"/>
        <v>Water Tribe Rallier</v>
      </c>
      <c r="EL77" t="str">
        <f ca="1"/>
        <v>Llanowar Wastes</v>
      </c>
      <c r="EP77" t="str">
        <f ca="1"/>
        <v>Karplusan Forest</v>
      </c>
      <c r="EQ77" t="str">
        <f ca="1"/>
        <v>Illustrious Wanderglyph</v>
      </c>
      <c r="ER77" t="str">
        <f ca="1"/>
        <v>Felidar Guardian</v>
      </c>
      <c r="EU77" t="str">
        <f ca="1"/>
        <v>Daretti, Ingenious Iconoclast</v>
      </c>
      <c r="EV77" t="str">
        <f ca="1"/>
        <v>Felidar Guardian</v>
      </c>
      <c r="EX77" t="str">
        <f ca="1"/>
        <v>Cavern of Souls</v>
      </c>
    </row>
    <row r="78" spans="1:154" x14ac:dyDescent="0.25">
      <c r="A78" s="2" t="str">
        <f t="shared" ca="1" si="8"/>
        <v>4</v>
      </c>
      <c r="B78" s="2">
        <f t="shared" ca="1" si="9"/>
        <v>2</v>
      </c>
      <c r="C78" s="2" t="str">
        <f ca="1">IFERROR(
 INDEX($V$1:$BL$1,
  MATCH(TRUE,
   CHOOSE({1;2;3;4;5;6;7;8;9;10;11;12;13;14;15;16;17;18;19;20;21;22;23;24;25;26;27;28;29;30;31;32;33;34;35;36;37;38;39;40;41;42;43},
    COUNTIFS($V$2:$V$200,$G78)&gt;0,
    COUNTIFS($W$2:$W$200,$G78)&gt;0,
    COUNTIFS($X$2:$X$200,$G78)&gt;0,
    COUNTIFS($Y$2:$Y$200,$G78)&gt;0,
    COUNTIFS($Z$2:$Z$200,$G78)&gt;0,
    COUNTIFS($AA$2:$AA$200,$G78)&gt;0,
    COUNTIFS($AB$2:$AB$200,$G78)&gt;0,
    COUNTIFS($AC$2:$AC$200,$G78)&gt;0,
    COUNTIFS($AD$2:$AD$200,$G78)&gt;0,
    COUNTIFS($AE$2:$AE$200,$G78)&gt;0,
    COUNTIFS($AF$2:$AF$200,$G78)&gt;0,
    COUNTIFS($AG$2:$AG$200,$G78)&gt;0,
    COUNTIFS($AH$2:$AH$200,$G78)&gt;0,
    COUNTIFS($AI$2:$AI$200,$G78)&gt;0,
    COUNTIFS($AJ$2:$AJ$200,$G78)&gt;0,
    COUNTIFS($AK$2:$AK$200,$G78)&gt;0,
    COUNTIFS($AL$2:$AL$200,$G78)&gt;0,
    COUNTIFS($AM$2:$AM$200,$G78)&gt;0,
    COUNTIFS($AN$2:$AN$200,$G78)&gt;0,
    COUNTIFS($AO$2:$AO$200,$G78)&gt;0,
    COUNTIFS($AP$2:$AP$200,$G78)&gt;0,
    COUNTIFS($AQ$2:$AQ$200,$G78)&gt;0,
    COUNTIFS($AR$2:$AR$200,$G78)&gt;0,
    COUNTIFS($AS$2:$AS$200,$G78)&gt;0,
    COUNTIFS($AT$2:$AT$200,$G78)&gt;0,
    COUNTIFS($AU$2:$AU$200,$G78)&gt;0,
    COUNTIFS($AV$2:$AV$200,$G78)&gt;0,
    COUNTIFS($AW$2:$AW$200,$G78)&gt;0,
    COUNTIFS($AX$2:$AX$200,$G78)&gt;0,
    COUNTIFS($AY$2:$AY$200,$G78)&gt;0,
    COUNTIFS($AZ$2:$AZ$200,$G78)&gt;0,
    COUNTIFS($BA$2:$BA$200,$G78)&gt;0,
    COUNTIFS($BB$2:$BB$200,$G78)&gt;0,
    COUNTIFS($BC$2:$BC$200,$G78)&gt;0,
    COUNTIFS($BD$2:$BD$200,$G78)&gt;0,
    COUNTIFS($BE$2:$BE$200,$G78)&gt;0,
    COUNTIFS($BF$2:$BF$200,$G78)&gt;0,
    COUNTIFS($BG$2:$BG$200,$G78)&gt;0,
    COUNTIFS($BH$2:$BH$200,$G78)&gt;0,
    COUNTIFS($BI$2:$BI$200,$G78)&gt;0,
    COUNTIFS($BJ$2:$BJ$200,$G78)&gt;0,
    COUNTIFS($BK$2:$BK$200,$G78)&gt;0,
    COUNTIFS($BL$2:$BL$200,$G78)&gt;0,
    COUNTIFS($BM$2:$BM$200,$G78)&gt;0,
   ),
  0)
 ),
"")</f>
        <v>Tayam</v>
      </c>
      <c r="D78" s="2" t="str" cm="1">
        <f t="array" aca="1" ref="D78" ca="1">IFERROR(
 INDEX(
  _xlfn._xlws.FILTER($V$1:$AY$1,
   TRANSPOSE(
    CHOOSE({1;2;3;4;5;6;7;8;9;10;11;12;13;14;15;16;17;18;19;20;21;22;23;24;25;26;27;28;29;30},
     COUNTIFS($V$2:$V$200,$G78)&gt;0,
     COUNTIFS($W$2:$W$200,$G78)&gt;0,
     COUNTIFS($X$2:$X$200,$G78)&gt;0,
     COUNTIFS($Y$2:$Y$200,$G78)&gt;0,
     COUNTIFS($Z$2:$Z$200,$G78)&gt;0,
     COUNTIFS($AA$2:$AA$200,$G78)&gt;0,
     COUNTIFS($AB$2:$AB$200,$G78)&gt;0,
     COUNTIFS($AC$2:$AC$200,$G78)&gt;0,
     COUNTIFS($AD$2:$AD$200,$G78)&gt;0,
     COUNTIFS($AE$2:$AE$200,$G78)&gt;0,
     COUNTIFS($AF$2:$AF$200,$G78)&gt;0,
     COUNTIFS($AG$2:$AG$200,$G78)&gt;0,
     COUNTIFS($AH$2:$AH$200,$G78)&gt;0,
     COUNTIFS($AI$2:$AI$200,$G78)&gt;0,
     COUNTIFS($AJ$2:$AJ$200,$G78)&gt;0,
     COUNTIFS($AK$2:$AK$200,$G78)&gt;0,
     COUNTIFS($AL$2:$AL$200,$G78)&gt;0,
     COUNTIFS($AM$2:$AM$200,$G78)&gt;0,
     COUNTIFS($AN$2:$AN$200,$G78)&gt;0,
     COUNTIFS($AO$2:$AO$200,$G78)&gt;0,
     COUNTIFS($AP$2:$AP$200,$G78)&gt;0,
     COUNTIFS($AQ$2:$AQ$200,$G78)&gt;0,
     COUNTIFS($AR$2:$AR$200,$G78)&gt;0,
     COUNTIFS($AS$2:$AS$200,$G78)&gt;0,
     COUNTIFS($AT$2:$AT$200,$G78)&gt;0,
     COUNTIFS($AU$2:$AU$200,$G78)&gt;0,
     COUNTIFS($AV$2:$AV$200,$G78)&gt;0,
     COUNTIFS($AW$2:$AW$200,$G78)&gt;0,
     COUNTIFS($AX$2:$AX$200,$G78)&gt;0,
     COUNTIFS($AY$2:$AY$200,$G78)&gt;0
   )),
  ),
  2
 ),
"")</f>
        <v/>
      </c>
      <c r="E78" s="2" t="str" cm="1">
        <f t="array" aca="1" ref="E78" ca="1">IFERROR(
 INDEX(
  _xlfn._xlws.FILTER($V$1:$AY$1,
   TRANSPOSE(
    CHOOSE({1;2;3;4;5;6;7;8;9;10;11;12;13;14;15;16;17;18;19;20;21;22;23;24;25;26;27;28;29;30},
     COUNTIFS($V$2:$V$200,$G78)&gt;0,
     COUNTIFS($W$2:$W$200,$G78)&gt;0,
     COUNTIFS($X$2:$X$200,$G78)&gt;0,
     COUNTIFS($Y$2:$Y$200,$G78)&gt;0,
     COUNTIFS($Z$2:$Z$200,$G78)&gt;0,
     COUNTIFS($AA$2:$AA$200,$G78)&gt;0,
     COUNTIFS($AB$2:$AB$200,$G78)&gt;0,
     COUNTIFS($AC$2:$AC$200,$G78)&gt;0,
     COUNTIFS($AD$2:$AD$200,$G78)&gt;0,
     COUNTIFS($AE$2:$AE$200,$G78)&gt;0,
     COUNTIFS($AF$2:$AF$200,$G78)&gt;0,
     COUNTIFS($AG$2:$AG$200,$G78)&gt;0,
     COUNTIFS($AH$2:$AH$200,$G78)&gt;0,
     COUNTIFS($AI$2:$AI$200,$G78)&gt;0,
     COUNTIFS($AJ$2:$AJ$200,$G78)&gt;0,
     COUNTIFS($AK$2:$AK$200,$G78)&gt;0,
     COUNTIFS($AL$2:$AL$200,$G78)&gt;0,
     COUNTIFS($AM$2:$AM$200,$G78)&gt;0,
     COUNTIFS($AN$2:$AN$200,$G78)&gt;0,
     COUNTIFS($AO$2:$AO$200,$G78)&gt;0,
     COUNTIFS($AP$2:$AP$200,$G78)&gt;0,
     COUNTIFS($AQ$2:$AQ$200,$G78)&gt;0,
     COUNTIFS($AR$2:$AR$200,$G78)&gt;0,
     COUNTIFS($AS$2:$AS$200,$G78)&gt;0,
     COUNTIFS($AT$2:$AT$200,$G78)&gt;0,
     COUNTIFS($AU$2:$AU$200,$G78)&gt;0,
     COUNTIFS($AV$2:$AV$200,$G78)&gt;0,
     COUNTIFS($AW$2:$AW$200,$G78)&gt;0,
     COUNTIFS($AX$2:$AX$200,$G78)&gt;0,
     COUNTIFS($AY$2:$AY$200,$G78)&gt;0
   )),
  ),
  3
 ),
"")</f>
        <v/>
      </c>
      <c r="F78" s="2" t="str" cm="1">
        <f t="array" aca="1" ref="F78" ca="1">IFERROR(
 INDEX(
  _xlfn._xlws.FILTER($V$1:$AY$1,
   TRANSPOSE(
    CHOOSE({1;2;3;4;5;6;7;8;9;10;11;12;13;14;15;16;17;18;19;20;21;22;23;24;25;26;27;28;29;30},
     COUNTIFS($V$2:$V$200,$G78)&gt;0,
     COUNTIFS($W$2:$W$200,$G78)&gt;0,
     COUNTIFS($X$2:$X$200,$G78)&gt;0,
     COUNTIFS($Y$2:$Y$200,$G78)&gt;0,
     COUNTIFS($Z$2:$Z$200,$G78)&gt;0,
     COUNTIFS($AA$2:$AA$200,$G78)&gt;0,
     COUNTIFS($AB$2:$AB$200,$G78)&gt;0,
     COUNTIFS($AC$2:$AC$200,$G78)&gt;0,
     COUNTIFS($AD$2:$AD$200,$G78)&gt;0,
     COUNTIFS($AE$2:$AE$200,$G78)&gt;0,
     COUNTIFS($AF$2:$AF$200,$G78)&gt;0,
     COUNTIFS($AG$2:$AG$200,$G78)&gt;0,
     COUNTIFS($AH$2:$AH$200,$G78)&gt;0,
     COUNTIFS($AI$2:$AI$200,$G78)&gt;0,
     COUNTIFS($AJ$2:$AJ$200,$G78)&gt;0,
     COUNTIFS($AK$2:$AK$200,$G78)&gt;0,
     COUNTIFS($AL$2:$AL$200,$G78)&gt;0,
     COUNTIFS($AM$2:$AM$200,$G78)&gt;0,
     COUNTIFS($AN$2:$AN$200,$G78)&gt;0,
     COUNTIFS($AO$2:$AO$200,$G78)&gt;0,
     COUNTIFS($AP$2:$AP$200,$G78)&gt;0,
     COUNTIFS($AQ$2:$AQ$200,$G78)&gt;0,
     COUNTIFS($AR$2:$AR$200,$G78)&gt;0,
     COUNTIFS($AS$2:$AS$200,$G78)&gt;0,
     COUNTIFS($AT$2:$AT$200,$G78)&gt;0,
     COUNTIFS($AU$2:$AU$200,$G78)&gt;0,
     COUNTIFS($AV$2:$AV$200,$G78)&gt;0,
     COUNTIFS($AW$2:$AW$200,$G78)&gt;0,
     COUNTIFS($AX$2:$AX$200,$G78)&gt;0,
     COUNTIFS($AY$2:$AY$200,$G78)&gt;0
   )),
  ),
  4
 ),
"")</f>
        <v/>
      </c>
      <c r="G78" t="str">
        <f ca="1"/>
        <v>Caves of Koilos</v>
      </c>
      <c r="AO78" t="str">
        <v>Spiteful Sliver</v>
      </c>
      <c r="BE78" t="str">
        <v>Starfield Vocalist</v>
      </c>
      <c r="BJ78" t="str">
        <v>Tymna the Weaver</v>
      </c>
      <c r="BL78" t="str">
        <v>Rampant Growth</v>
      </c>
      <c r="CR78" t="str">
        <f ca="1"/>
        <v>Steam Vents</v>
      </c>
      <c r="DT78" t="str">
        <f ca="1"/>
        <v>Sliver Legion</v>
      </c>
      <c r="DZ78" t="str">
        <f ca="1"/>
        <v>Loyal Apprentice</v>
      </c>
      <c r="EG78" t="str">
        <f ca="1"/>
        <v>Seahunter</v>
      </c>
      <c r="EH78" t="str">
        <f ca="1"/>
        <v>Titania, Voice of Gaea</v>
      </c>
      <c r="EI78" t="str">
        <f ca="1"/>
        <v>Plains</v>
      </c>
      <c r="EK78" t="str">
        <f ca="1"/>
        <v>Waterbender's Restoration</v>
      </c>
      <c r="EL78" t="str">
        <f ca="1"/>
        <v>Loyal Apprentice</v>
      </c>
      <c r="EP78" t="str">
        <f ca="1"/>
        <v>Katara's Reversal</v>
      </c>
      <c r="EQ78" t="str">
        <f ca="1"/>
        <v>Indatha Triome</v>
      </c>
      <c r="ER78" t="str">
        <f ca="1"/>
        <v>Firebender Ascension</v>
      </c>
      <c r="EU78" t="str">
        <f ca="1"/>
        <v>Darkheart Sliver</v>
      </c>
      <c r="EV78" t="str">
        <f ca="1"/>
        <v>Firebender Ascension</v>
      </c>
      <c r="EX78" t="str">
        <f ca="1"/>
        <v>Caves of Koilos</v>
      </c>
    </row>
    <row r="79" spans="1:154" x14ac:dyDescent="0.25">
      <c r="A79" s="2" t="str">
        <f t="shared" ca="1" si="8"/>
        <v>4</v>
      </c>
      <c r="B79" s="2">
        <f t="shared" ca="1" si="9"/>
        <v>1</v>
      </c>
      <c r="C79" s="2" t="str">
        <f ca="1">IFERROR(
 INDEX($V$1:$BL$1,
  MATCH(TRUE,
   CHOOSE({1;2;3;4;5;6;7;8;9;10;11;12;13;14;15;16;17;18;19;20;21;22;23;24;25;26;27;28;29;30;31;32;33;34;35;36;37;38;39;40;41;42;43},
    COUNTIFS($V$2:$V$200,$G79)&gt;0,
    COUNTIFS($W$2:$W$200,$G79)&gt;0,
    COUNTIFS($X$2:$X$200,$G79)&gt;0,
    COUNTIFS($Y$2:$Y$200,$G79)&gt;0,
    COUNTIFS($Z$2:$Z$200,$G79)&gt;0,
    COUNTIFS($AA$2:$AA$200,$G79)&gt;0,
    COUNTIFS($AB$2:$AB$200,$G79)&gt;0,
    COUNTIFS($AC$2:$AC$200,$G79)&gt;0,
    COUNTIFS($AD$2:$AD$200,$G79)&gt;0,
    COUNTIFS($AE$2:$AE$200,$G79)&gt;0,
    COUNTIFS($AF$2:$AF$200,$G79)&gt;0,
    COUNTIFS($AG$2:$AG$200,$G79)&gt;0,
    COUNTIFS($AH$2:$AH$200,$G79)&gt;0,
    COUNTIFS($AI$2:$AI$200,$G79)&gt;0,
    COUNTIFS($AJ$2:$AJ$200,$G79)&gt;0,
    COUNTIFS($AK$2:$AK$200,$G79)&gt;0,
    COUNTIFS($AL$2:$AL$200,$G79)&gt;0,
    COUNTIFS($AM$2:$AM$200,$G79)&gt;0,
    COUNTIFS($AN$2:$AN$200,$G79)&gt;0,
    COUNTIFS($AO$2:$AO$200,$G79)&gt;0,
    COUNTIFS($AP$2:$AP$200,$G79)&gt;0,
    COUNTIFS($AQ$2:$AQ$200,$G79)&gt;0,
    COUNTIFS($AR$2:$AR$200,$G79)&gt;0,
    COUNTIFS($AS$2:$AS$200,$G79)&gt;0,
    COUNTIFS($AT$2:$AT$200,$G79)&gt;0,
    COUNTIFS($AU$2:$AU$200,$G79)&gt;0,
    COUNTIFS($AV$2:$AV$200,$G79)&gt;0,
    COUNTIFS($AW$2:$AW$200,$G79)&gt;0,
    COUNTIFS($AX$2:$AX$200,$G79)&gt;0,
    COUNTIFS($AY$2:$AY$200,$G79)&gt;0,
    COUNTIFS($AZ$2:$AZ$200,$G79)&gt;0,
    COUNTIFS($BA$2:$BA$200,$G79)&gt;0,
    COUNTIFS($BB$2:$BB$200,$G79)&gt;0,
    COUNTIFS($BC$2:$BC$200,$G79)&gt;0,
    COUNTIFS($BD$2:$BD$200,$G79)&gt;0,
    COUNTIFS($BE$2:$BE$200,$G79)&gt;0,
    COUNTIFS($BF$2:$BF$200,$G79)&gt;0,
    COUNTIFS($BG$2:$BG$200,$G79)&gt;0,
    COUNTIFS($BH$2:$BH$200,$G79)&gt;0,
    COUNTIFS($BI$2:$BI$200,$G79)&gt;0,
    COUNTIFS($BJ$2:$BJ$200,$G79)&gt;0,
    COUNTIFS($BK$2:$BK$200,$G79)&gt;0,
    COUNTIFS($BL$2:$BL$200,$G79)&gt;0,
    COUNTIFS($BM$2:$BM$200,$G79)&gt;0,
   ),
  0)
 ),
"")</f>
        <v>Tayam</v>
      </c>
      <c r="D79" s="2" t="str" cm="1">
        <f t="array" aca="1" ref="D79" ca="1">IFERROR(
 INDEX(
  _xlfn._xlws.FILTER($V$1:$AY$1,
   TRANSPOSE(
    CHOOSE({1;2;3;4;5;6;7;8;9;10;11;12;13;14;15;16;17;18;19;20;21;22;23;24;25;26;27;28;29;30},
     COUNTIFS($V$2:$V$200,$G79)&gt;0,
     COUNTIFS($W$2:$W$200,$G79)&gt;0,
     COUNTIFS($X$2:$X$200,$G79)&gt;0,
     COUNTIFS($Y$2:$Y$200,$G79)&gt;0,
     COUNTIFS($Z$2:$Z$200,$G79)&gt;0,
     COUNTIFS($AA$2:$AA$200,$G79)&gt;0,
     COUNTIFS($AB$2:$AB$200,$G79)&gt;0,
     COUNTIFS($AC$2:$AC$200,$G79)&gt;0,
     COUNTIFS($AD$2:$AD$200,$G79)&gt;0,
     COUNTIFS($AE$2:$AE$200,$G79)&gt;0,
     COUNTIFS($AF$2:$AF$200,$G79)&gt;0,
     COUNTIFS($AG$2:$AG$200,$G79)&gt;0,
     COUNTIFS($AH$2:$AH$200,$G79)&gt;0,
     COUNTIFS($AI$2:$AI$200,$G79)&gt;0,
     COUNTIFS($AJ$2:$AJ$200,$G79)&gt;0,
     COUNTIFS($AK$2:$AK$200,$G79)&gt;0,
     COUNTIFS($AL$2:$AL$200,$G79)&gt;0,
     COUNTIFS($AM$2:$AM$200,$G79)&gt;0,
     COUNTIFS($AN$2:$AN$200,$G79)&gt;0,
     COUNTIFS($AO$2:$AO$200,$G79)&gt;0,
     COUNTIFS($AP$2:$AP$200,$G79)&gt;0,
     COUNTIFS($AQ$2:$AQ$200,$G79)&gt;0,
     COUNTIFS($AR$2:$AR$200,$G79)&gt;0,
     COUNTIFS($AS$2:$AS$200,$G79)&gt;0,
     COUNTIFS($AT$2:$AT$200,$G79)&gt;0,
     COUNTIFS($AU$2:$AU$200,$G79)&gt;0,
     COUNTIFS($AV$2:$AV$200,$G79)&gt;0,
     COUNTIFS($AW$2:$AW$200,$G79)&gt;0,
     COUNTIFS($AX$2:$AX$200,$G79)&gt;0,
     COUNTIFS($AY$2:$AY$200,$G79)&gt;0
   )),
  ),
  2
 ),
"")</f>
        <v/>
      </c>
      <c r="E79" s="2" t="str" cm="1">
        <f t="array" aca="1" ref="E79" ca="1">IFERROR(
 INDEX(
  _xlfn._xlws.FILTER($V$1:$AY$1,
   TRANSPOSE(
    CHOOSE({1;2;3;4;5;6;7;8;9;10;11;12;13;14;15;16;17;18;19;20;21;22;23;24;25;26;27;28;29;30},
     COUNTIFS($V$2:$V$200,$G79)&gt;0,
     COUNTIFS($W$2:$W$200,$G79)&gt;0,
     COUNTIFS($X$2:$X$200,$G79)&gt;0,
     COUNTIFS($Y$2:$Y$200,$G79)&gt;0,
     COUNTIFS($Z$2:$Z$200,$G79)&gt;0,
     COUNTIFS($AA$2:$AA$200,$G79)&gt;0,
     COUNTIFS($AB$2:$AB$200,$G79)&gt;0,
     COUNTIFS($AC$2:$AC$200,$G79)&gt;0,
     COUNTIFS($AD$2:$AD$200,$G79)&gt;0,
     COUNTIFS($AE$2:$AE$200,$G79)&gt;0,
     COUNTIFS($AF$2:$AF$200,$G79)&gt;0,
     COUNTIFS($AG$2:$AG$200,$G79)&gt;0,
     COUNTIFS($AH$2:$AH$200,$G79)&gt;0,
     COUNTIFS($AI$2:$AI$200,$G79)&gt;0,
     COUNTIFS($AJ$2:$AJ$200,$G79)&gt;0,
     COUNTIFS($AK$2:$AK$200,$G79)&gt;0,
     COUNTIFS($AL$2:$AL$200,$G79)&gt;0,
     COUNTIFS($AM$2:$AM$200,$G79)&gt;0,
     COUNTIFS($AN$2:$AN$200,$G79)&gt;0,
     COUNTIFS($AO$2:$AO$200,$G79)&gt;0,
     COUNTIFS($AP$2:$AP$200,$G79)&gt;0,
     COUNTIFS($AQ$2:$AQ$200,$G79)&gt;0,
     COUNTIFS($AR$2:$AR$200,$G79)&gt;0,
     COUNTIFS($AS$2:$AS$200,$G79)&gt;0,
     COUNTIFS($AT$2:$AT$200,$G79)&gt;0,
     COUNTIFS($AU$2:$AU$200,$G79)&gt;0,
     COUNTIFS($AV$2:$AV$200,$G79)&gt;0,
     COUNTIFS($AW$2:$AW$200,$G79)&gt;0,
     COUNTIFS($AX$2:$AX$200,$G79)&gt;0,
     COUNTIFS($AY$2:$AY$200,$G79)&gt;0
   )),
  ),
  3
 ),
"")</f>
        <v/>
      </c>
      <c r="F79" s="2" t="str" cm="1">
        <f t="array" aca="1" ref="F79" ca="1">IFERROR(
 INDEX(
  _xlfn._xlws.FILTER($V$1:$AY$1,
   TRANSPOSE(
    CHOOSE({1;2;3;4;5;6;7;8;9;10;11;12;13;14;15;16;17;18;19;20;21;22;23;24;25;26;27;28;29;30},
     COUNTIFS($V$2:$V$200,$G79)&gt;0,
     COUNTIFS($W$2:$W$200,$G79)&gt;0,
     COUNTIFS($X$2:$X$200,$G79)&gt;0,
     COUNTIFS($Y$2:$Y$200,$G79)&gt;0,
     COUNTIFS($Z$2:$Z$200,$G79)&gt;0,
     COUNTIFS($AA$2:$AA$200,$G79)&gt;0,
     COUNTIFS($AB$2:$AB$200,$G79)&gt;0,
     COUNTIFS($AC$2:$AC$200,$G79)&gt;0,
     COUNTIFS($AD$2:$AD$200,$G79)&gt;0,
     COUNTIFS($AE$2:$AE$200,$G79)&gt;0,
     COUNTIFS($AF$2:$AF$200,$G79)&gt;0,
     COUNTIFS($AG$2:$AG$200,$G79)&gt;0,
     COUNTIFS($AH$2:$AH$200,$G79)&gt;0,
     COUNTIFS($AI$2:$AI$200,$G79)&gt;0,
     COUNTIFS($AJ$2:$AJ$200,$G79)&gt;0,
     COUNTIFS($AK$2:$AK$200,$G79)&gt;0,
     COUNTIFS($AL$2:$AL$200,$G79)&gt;0,
     COUNTIFS($AM$2:$AM$200,$G79)&gt;0,
     COUNTIFS($AN$2:$AN$200,$G79)&gt;0,
     COUNTIFS($AO$2:$AO$200,$G79)&gt;0,
     COUNTIFS($AP$2:$AP$200,$G79)&gt;0,
     COUNTIFS($AQ$2:$AQ$200,$G79)&gt;0,
     COUNTIFS($AR$2:$AR$200,$G79)&gt;0,
     COUNTIFS($AS$2:$AS$200,$G79)&gt;0,
     COUNTIFS($AT$2:$AT$200,$G79)&gt;0,
     COUNTIFS($AU$2:$AU$200,$G79)&gt;0,
     COUNTIFS($AV$2:$AV$200,$G79)&gt;0,
     COUNTIFS($AW$2:$AW$200,$G79)&gt;0,
     COUNTIFS($AX$2:$AX$200,$G79)&gt;0,
     COUNTIFS($AY$2:$AY$200,$G79)&gt;0
   )),
  ),
  4
 ),
"")</f>
        <v/>
      </c>
      <c r="G79" t="str">
        <f ca="1"/>
        <v>Champion of Lambholt</v>
      </c>
      <c r="AO79" t="str">
        <v>Steam Vents</v>
      </c>
      <c r="BE79" t="str">
        <v>Thought Vessel</v>
      </c>
      <c r="BJ79" t="str">
        <v>Vault of the Archangel</v>
      </c>
      <c r="BL79" t="str">
        <v>Rashmi, Eternities Crafter</v>
      </c>
      <c r="CR79" t="str">
        <f ca="1"/>
        <v>Stomping Ground</v>
      </c>
      <c r="DT79" t="str">
        <f ca="1"/>
        <v>Sliver Overlord</v>
      </c>
      <c r="DZ79" t="str">
        <f ca="1"/>
        <v>Lurrus of the Dream-Den</v>
      </c>
      <c r="EG79" t="str">
        <f ca="1"/>
        <v>Secret Tunnel</v>
      </c>
      <c r="EH79" t="str">
        <f ca="1"/>
        <v>Ulamog, the Defiler</v>
      </c>
      <c r="EI79" t="str">
        <f ca="1"/>
        <v>Predatory Sliver</v>
      </c>
      <c r="EK79" t="str">
        <f ca="1"/>
        <v>Windbrisk Heights</v>
      </c>
      <c r="EL79" t="str">
        <f ca="1"/>
        <v>Lurrus of the Dream-Den</v>
      </c>
      <c r="EP79" t="str">
        <f ca="1"/>
        <v>Kaya the Inexorable</v>
      </c>
      <c r="EQ79" t="str">
        <f ca="1"/>
        <v>Invasion of Segovia</v>
      </c>
      <c r="ER79" t="str">
        <f ca="1"/>
        <v>Forest</v>
      </c>
      <c r="EU79" t="str">
        <f ca="1"/>
        <v>Dawnhand Dissident</v>
      </c>
      <c r="EV79" t="str">
        <f ca="1"/>
        <v>Forest</v>
      </c>
      <c r="EX79" t="str">
        <f ca="1"/>
        <v>Champion of Lambholt</v>
      </c>
    </row>
    <row r="80" spans="1:154" x14ac:dyDescent="0.25">
      <c r="A80" s="2" t="str">
        <f t="shared" ca="1" si="8"/>
        <v>4</v>
      </c>
      <c r="B80" s="2">
        <f t="shared" ca="1" si="9"/>
        <v>1</v>
      </c>
      <c r="C80" s="2" t="str">
        <f ca="1">IFERROR(
 INDEX($V$1:$BL$1,
  MATCH(TRUE,
   CHOOSE({1;2;3;4;5;6;7;8;9;10;11;12;13;14;15;16;17;18;19;20;21;22;23;24;25;26;27;28;29;30;31;32;33;34;35;36;37;38;39;40;41;42;43},
    COUNTIFS($V$2:$V$200,$G80)&gt;0,
    COUNTIFS($W$2:$W$200,$G80)&gt;0,
    COUNTIFS($X$2:$X$200,$G80)&gt;0,
    COUNTIFS($Y$2:$Y$200,$G80)&gt;0,
    COUNTIFS($Z$2:$Z$200,$G80)&gt;0,
    COUNTIFS($AA$2:$AA$200,$G80)&gt;0,
    COUNTIFS($AB$2:$AB$200,$G80)&gt;0,
    COUNTIFS($AC$2:$AC$200,$G80)&gt;0,
    COUNTIFS($AD$2:$AD$200,$G80)&gt;0,
    COUNTIFS($AE$2:$AE$200,$G80)&gt;0,
    COUNTIFS($AF$2:$AF$200,$G80)&gt;0,
    COUNTIFS($AG$2:$AG$200,$G80)&gt;0,
    COUNTIFS($AH$2:$AH$200,$G80)&gt;0,
    COUNTIFS($AI$2:$AI$200,$G80)&gt;0,
    COUNTIFS($AJ$2:$AJ$200,$G80)&gt;0,
    COUNTIFS($AK$2:$AK$200,$G80)&gt;0,
    COUNTIFS($AL$2:$AL$200,$G80)&gt;0,
    COUNTIFS($AM$2:$AM$200,$G80)&gt;0,
    COUNTIFS($AN$2:$AN$200,$G80)&gt;0,
    COUNTIFS($AO$2:$AO$200,$G80)&gt;0,
    COUNTIFS($AP$2:$AP$200,$G80)&gt;0,
    COUNTIFS($AQ$2:$AQ$200,$G80)&gt;0,
    COUNTIFS($AR$2:$AR$200,$G80)&gt;0,
    COUNTIFS($AS$2:$AS$200,$G80)&gt;0,
    COUNTIFS($AT$2:$AT$200,$G80)&gt;0,
    COUNTIFS($AU$2:$AU$200,$G80)&gt;0,
    COUNTIFS($AV$2:$AV$200,$G80)&gt;0,
    COUNTIFS($AW$2:$AW$200,$G80)&gt;0,
    COUNTIFS($AX$2:$AX$200,$G80)&gt;0,
    COUNTIFS($AY$2:$AY$200,$G80)&gt;0,
    COUNTIFS($AZ$2:$AZ$200,$G80)&gt;0,
    COUNTIFS($BA$2:$BA$200,$G80)&gt;0,
    COUNTIFS($BB$2:$BB$200,$G80)&gt;0,
    COUNTIFS($BC$2:$BC$200,$G80)&gt;0,
    COUNTIFS($BD$2:$BD$200,$G80)&gt;0,
    COUNTIFS($BE$2:$BE$200,$G80)&gt;0,
    COUNTIFS($BF$2:$BF$200,$G80)&gt;0,
    COUNTIFS($BG$2:$BG$200,$G80)&gt;0,
    COUNTIFS($BH$2:$BH$200,$G80)&gt;0,
    COUNTIFS($BI$2:$BI$200,$G80)&gt;0,
    COUNTIFS($BJ$2:$BJ$200,$G80)&gt;0,
    COUNTIFS($BK$2:$BK$200,$G80)&gt;0,
    COUNTIFS($BL$2:$BL$200,$G80)&gt;0,
    COUNTIFS($BM$2:$BM$200,$G80)&gt;0,
   ),
  0)
 ),
"")</f>
        <v>Baylen</v>
      </c>
      <c r="D80" s="2" t="str" cm="1">
        <f t="array" aca="1" ref="D80" ca="1">IFERROR(
 INDEX(
  _xlfn._xlws.FILTER($V$1:$AY$1,
   TRANSPOSE(
    CHOOSE({1;2;3;4;5;6;7;8;9;10;11;12;13;14;15;16;17;18;19;20;21;22;23;24;25;26;27;28;29;30},
     COUNTIFS($V$2:$V$200,$G80)&gt;0,
     COUNTIFS($W$2:$W$200,$G80)&gt;0,
     COUNTIFS($X$2:$X$200,$G80)&gt;0,
     COUNTIFS($Y$2:$Y$200,$G80)&gt;0,
     COUNTIFS($Z$2:$Z$200,$G80)&gt;0,
     COUNTIFS($AA$2:$AA$200,$G80)&gt;0,
     COUNTIFS($AB$2:$AB$200,$G80)&gt;0,
     COUNTIFS($AC$2:$AC$200,$G80)&gt;0,
     COUNTIFS($AD$2:$AD$200,$G80)&gt;0,
     COUNTIFS($AE$2:$AE$200,$G80)&gt;0,
     COUNTIFS($AF$2:$AF$200,$G80)&gt;0,
     COUNTIFS($AG$2:$AG$200,$G80)&gt;0,
     COUNTIFS($AH$2:$AH$200,$G80)&gt;0,
     COUNTIFS($AI$2:$AI$200,$G80)&gt;0,
     COUNTIFS($AJ$2:$AJ$200,$G80)&gt;0,
     COUNTIFS($AK$2:$AK$200,$G80)&gt;0,
     COUNTIFS($AL$2:$AL$200,$G80)&gt;0,
     COUNTIFS($AM$2:$AM$200,$G80)&gt;0,
     COUNTIFS($AN$2:$AN$200,$G80)&gt;0,
     COUNTIFS($AO$2:$AO$200,$G80)&gt;0,
     COUNTIFS($AP$2:$AP$200,$G80)&gt;0,
     COUNTIFS($AQ$2:$AQ$200,$G80)&gt;0,
     COUNTIFS($AR$2:$AR$200,$G80)&gt;0,
     COUNTIFS($AS$2:$AS$200,$G80)&gt;0,
     COUNTIFS($AT$2:$AT$200,$G80)&gt;0,
     COUNTIFS($AU$2:$AU$200,$G80)&gt;0,
     COUNTIFS($AV$2:$AV$200,$G80)&gt;0,
     COUNTIFS($AW$2:$AW$200,$G80)&gt;0,
     COUNTIFS($AX$2:$AX$200,$G80)&gt;0,
     COUNTIFS($AY$2:$AY$200,$G80)&gt;0
   )),
  ),
  2
 ),
"")</f>
        <v/>
      </c>
      <c r="E80" s="2" t="str" cm="1">
        <f t="array" aca="1" ref="E80" ca="1">IFERROR(
 INDEX(
  _xlfn._xlws.FILTER($V$1:$AY$1,
   TRANSPOSE(
    CHOOSE({1;2;3;4;5;6;7;8;9;10;11;12;13;14;15;16;17;18;19;20;21;22;23;24;25;26;27;28;29;30},
     COUNTIFS($V$2:$V$200,$G80)&gt;0,
     COUNTIFS($W$2:$W$200,$G80)&gt;0,
     COUNTIFS($X$2:$X$200,$G80)&gt;0,
     COUNTIFS($Y$2:$Y$200,$G80)&gt;0,
     COUNTIFS($Z$2:$Z$200,$G80)&gt;0,
     COUNTIFS($AA$2:$AA$200,$G80)&gt;0,
     COUNTIFS($AB$2:$AB$200,$G80)&gt;0,
     COUNTIFS($AC$2:$AC$200,$G80)&gt;0,
     COUNTIFS($AD$2:$AD$200,$G80)&gt;0,
     COUNTIFS($AE$2:$AE$200,$G80)&gt;0,
     COUNTIFS($AF$2:$AF$200,$G80)&gt;0,
     COUNTIFS($AG$2:$AG$200,$G80)&gt;0,
     COUNTIFS($AH$2:$AH$200,$G80)&gt;0,
     COUNTIFS($AI$2:$AI$200,$G80)&gt;0,
     COUNTIFS($AJ$2:$AJ$200,$G80)&gt;0,
     COUNTIFS($AK$2:$AK$200,$G80)&gt;0,
     COUNTIFS($AL$2:$AL$200,$G80)&gt;0,
     COUNTIFS($AM$2:$AM$200,$G80)&gt;0,
     COUNTIFS($AN$2:$AN$200,$G80)&gt;0,
     COUNTIFS($AO$2:$AO$200,$G80)&gt;0,
     COUNTIFS($AP$2:$AP$200,$G80)&gt;0,
     COUNTIFS($AQ$2:$AQ$200,$G80)&gt;0,
     COUNTIFS($AR$2:$AR$200,$G80)&gt;0,
     COUNTIFS($AS$2:$AS$200,$G80)&gt;0,
     COUNTIFS($AT$2:$AT$200,$G80)&gt;0,
     COUNTIFS($AU$2:$AU$200,$G80)&gt;0,
     COUNTIFS($AV$2:$AV$200,$G80)&gt;0,
     COUNTIFS($AW$2:$AW$200,$G80)&gt;0,
     COUNTIFS($AX$2:$AX$200,$G80)&gt;0,
     COUNTIFS($AY$2:$AY$200,$G80)&gt;0
   )),
  ),
  3
 ),
"")</f>
        <v/>
      </c>
      <c r="F80" s="2" t="str" cm="1">
        <f t="array" aca="1" ref="F80" ca="1">IFERROR(
 INDEX(
  _xlfn._xlws.FILTER($V$1:$AY$1,
   TRANSPOSE(
    CHOOSE({1;2;3;4;5;6;7;8;9;10;11;12;13;14;15;16;17;18;19;20;21;22;23;24;25;26;27;28;29;30},
     COUNTIFS($V$2:$V$200,$G80)&gt;0,
     COUNTIFS($W$2:$W$200,$G80)&gt;0,
     COUNTIFS($X$2:$X$200,$G80)&gt;0,
     COUNTIFS($Y$2:$Y$200,$G80)&gt;0,
     COUNTIFS($Z$2:$Z$200,$G80)&gt;0,
     COUNTIFS($AA$2:$AA$200,$G80)&gt;0,
     COUNTIFS($AB$2:$AB$200,$G80)&gt;0,
     COUNTIFS($AC$2:$AC$200,$G80)&gt;0,
     COUNTIFS($AD$2:$AD$200,$G80)&gt;0,
     COUNTIFS($AE$2:$AE$200,$G80)&gt;0,
     COUNTIFS($AF$2:$AF$200,$G80)&gt;0,
     COUNTIFS($AG$2:$AG$200,$G80)&gt;0,
     COUNTIFS($AH$2:$AH$200,$G80)&gt;0,
     COUNTIFS($AI$2:$AI$200,$G80)&gt;0,
     COUNTIFS($AJ$2:$AJ$200,$G80)&gt;0,
     COUNTIFS($AK$2:$AK$200,$G80)&gt;0,
     COUNTIFS($AL$2:$AL$200,$G80)&gt;0,
     COUNTIFS($AM$2:$AM$200,$G80)&gt;0,
     COUNTIFS($AN$2:$AN$200,$G80)&gt;0,
     COUNTIFS($AO$2:$AO$200,$G80)&gt;0,
     COUNTIFS($AP$2:$AP$200,$G80)&gt;0,
     COUNTIFS($AQ$2:$AQ$200,$G80)&gt;0,
     COUNTIFS($AR$2:$AR$200,$G80)&gt;0,
     COUNTIFS($AS$2:$AS$200,$G80)&gt;0,
     COUNTIFS($AT$2:$AT$200,$G80)&gt;0,
     COUNTIFS($AU$2:$AU$200,$G80)&gt;0,
     COUNTIFS($AV$2:$AV$200,$G80)&gt;0,
     COUNTIFS($AW$2:$AW$200,$G80)&gt;0,
     COUNTIFS($AX$2:$AX$200,$G80)&gt;0,
     COUNTIFS($AY$2:$AY$200,$G80)&gt;0
   )),
  ),
  4
 ),
"")</f>
        <v/>
      </c>
      <c r="G80" t="str">
        <f ca="1"/>
        <v>Champions from Beyond</v>
      </c>
      <c r="AO80" t="str">
        <v>Stomping Ground</v>
      </c>
      <c r="BE80" t="str">
        <v>Tocasia's Welcome</v>
      </c>
      <c r="BJ80" t="str">
        <v>Veteran Soldier</v>
      </c>
      <c r="BL80" t="str">
        <v>Reality Shift</v>
      </c>
      <c r="CR80" t="str">
        <f ca="1"/>
        <v>Striking Sliver</v>
      </c>
      <c r="DT80" t="str">
        <f ca="1"/>
        <v>Sliver Queen</v>
      </c>
      <c r="DZ80" t="str">
        <f ca="1"/>
        <v>Mahadi, Emporium Master</v>
      </c>
      <c r="EG80" t="str">
        <f ca="1"/>
        <v>Seedborn Muse</v>
      </c>
      <c r="EH80" t="str">
        <f ca="1"/>
        <v>Ulamog, the Infinite Gyre</v>
      </c>
      <c r="EI80" t="str">
        <f ca="1"/>
        <v>Psionic Sliver</v>
      </c>
      <c r="EK80" t="str">
        <f ca="1"/>
        <v>Windcrag Siege</v>
      </c>
      <c r="EL80" t="str">
        <f ca="1"/>
        <v>Mahadi, Emporium Master</v>
      </c>
      <c r="EP80" t="str">
        <f ca="1"/>
        <v>Keen Duelist</v>
      </c>
      <c r="EQ80" t="str">
        <f ca="1"/>
        <v>Island</v>
      </c>
      <c r="ER80" t="str">
        <f ca="1"/>
        <v>Generous Gift</v>
      </c>
      <c r="EU80" t="str">
        <f ca="1"/>
        <v>Delighted Halfling</v>
      </c>
      <c r="EV80" t="str">
        <f ca="1"/>
        <v>Generous Gift</v>
      </c>
      <c r="EX80" t="str">
        <f ca="1"/>
        <v>Champions from Beyond</v>
      </c>
    </row>
    <row r="81" spans="1:154" x14ac:dyDescent="0.25">
      <c r="A81" s="2" t="str">
        <f t="shared" ca="1" si="8"/>
        <v>3</v>
      </c>
      <c r="B81" s="2">
        <f t="shared" ca="1" si="9"/>
        <v>1</v>
      </c>
      <c r="C81" s="2" t="str">
        <f ca="1">IFERROR(
 INDEX($V$1:$BL$1,
  MATCH(TRUE,
   CHOOSE({1;2;3;4;5;6;7;8;9;10;11;12;13;14;15;16;17;18;19;20;21;22;23;24;25;26;27;28;29;30;31;32;33;34;35;36;37;38;39;40;41;42;43},
    COUNTIFS($V$2:$V$200,$G81)&gt;0,
    COUNTIFS($W$2:$W$200,$G81)&gt;0,
    COUNTIFS($X$2:$X$200,$G81)&gt;0,
    COUNTIFS($Y$2:$Y$200,$G81)&gt;0,
    COUNTIFS($Z$2:$Z$200,$G81)&gt;0,
    COUNTIFS($AA$2:$AA$200,$G81)&gt;0,
    COUNTIFS($AB$2:$AB$200,$G81)&gt;0,
    COUNTIFS($AC$2:$AC$200,$G81)&gt;0,
    COUNTIFS($AD$2:$AD$200,$G81)&gt;0,
    COUNTIFS($AE$2:$AE$200,$G81)&gt;0,
    COUNTIFS($AF$2:$AF$200,$G81)&gt;0,
    COUNTIFS($AG$2:$AG$200,$G81)&gt;0,
    COUNTIFS($AH$2:$AH$200,$G81)&gt;0,
    COUNTIFS($AI$2:$AI$200,$G81)&gt;0,
    COUNTIFS($AJ$2:$AJ$200,$G81)&gt;0,
    COUNTIFS($AK$2:$AK$200,$G81)&gt;0,
    COUNTIFS($AL$2:$AL$200,$G81)&gt;0,
    COUNTIFS($AM$2:$AM$200,$G81)&gt;0,
    COUNTIFS($AN$2:$AN$200,$G81)&gt;0,
    COUNTIFS($AO$2:$AO$200,$G81)&gt;0,
    COUNTIFS($AP$2:$AP$200,$G81)&gt;0,
    COUNTIFS($AQ$2:$AQ$200,$G81)&gt;0,
    COUNTIFS($AR$2:$AR$200,$G81)&gt;0,
    COUNTIFS($AS$2:$AS$200,$G81)&gt;0,
    COUNTIFS($AT$2:$AT$200,$G81)&gt;0,
    COUNTIFS($AU$2:$AU$200,$G81)&gt;0,
    COUNTIFS($AV$2:$AV$200,$G81)&gt;0,
    COUNTIFS($AW$2:$AW$200,$G81)&gt;0,
    COUNTIFS($AX$2:$AX$200,$G81)&gt;0,
    COUNTIFS($AY$2:$AY$200,$G81)&gt;0,
    COUNTIFS($AZ$2:$AZ$200,$G81)&gt;0,
    COUNTIFS($BA$2:$BA$200,$G81)&gt;0,
    COUNTIFS($BB$2:$BB$200,$G81)&gt;0,
    COUNTIFS($BC$2:$BC$200,$G81)&gt;0,
    COUNTIFS($BD$2:$BD$200,$G81)&gt;0,
    COUNTIFS($BE$2:$BE$200,$G81)&gt;0,
    COUNTIFS($BF$2:$BF$200,$G81)&gt;0,
    COUNTIFS($BG$2:$BG$200,$G81)&gt;0,
    COUNTIFS($BH$2:$BH$200,$G81)&gt;0,
    COUNTIFS($BI$2:$BI$200,$G81)&gt;0,
    COUNTIFS($BJ$2:$BJ$200,$G81)&gt;0,
    COUNTIFS($BK$2:$BK$200,$G81)&gt;0,
    COUNTIFS($BL$2:$BL$200,$G81)&gt;0,
    COUNTIFS($BM$2:$BM$200,$G81)&gt;0,
   ),
  0)
 ),
"")</f>
        <v>Kumena</v>
      </c>
      <c r="D81" s="2" t="str" cm="1">
        <f t="array" aca="1" ref="D81" ca="1">IFERROR(
 INDEX(
  _xlfn._xlws.FILTER($V$1:$AY$1,
   TRANSPOSE(
    CHOOSE({1;2;3;4;5;6;7;8;9;10;11;12;13;14;15;16;17;18;19;20;21;22;23;24;25;26;27;28;29;30},
     COUNTIFS($V$2:$V$200,$G81)&gt;0,
     COUNTIFS($W$2:$W$200,$G81)&gt;0,
     COUNTIFS($X$2:$X$200,$G81)&gt;0,
     COUNTIFS($Y$2:$Y$200,$G81)&gt;0,
     COUNTIFS($Z$2:$Z$200,$G81)&gt;0,
     COUNTIFS($AA$2:$AA$200,$G81)&gt;0,
     COUNTIFS($AB$2:$AB$200,$G81)&gt;0,
     COUNTIFS($AC$2:$AC$200,$G81)&gt;0,
     COUNTIFS($AD$2:$AD$200,$G81)&gt;0,
     COUNTIFS($AE$2:$AE$200,$G81)&gt;0,
     COUNTIFS($AF$2:$AF$200,$G81)&gt;0,
     COUNTIFS($AG$2:$AG$200,$G81)&gt;0,
     COUNTIFS($AH$2:$AH$200,$G81)&gt;0,
     COUNTIFS($AI$2:$AI$200,$G81)&gt;0,
     COUNTIFS($AJ$2:$AJ$200,$G81)&gt;0,
     COUNTIFS($AK$2:$AK$200,$G81)&gt;0,
     COUNTIFS($AL$2:$AL$200,$G81)&gt;0,
     COUNTIFS($AM$2:$AM$200,$G81)&gt;0,
     COUNTIFS($AN$2:$AN$200,$G81)&gt;0,
     COUNTIFS($AO$2:$AO$200,$G81)&gt;0,
     COUNTIFS($AP$2:$AP$200,$G81)&gt;0,
     COUNTIFS($AQ$2:$AQ$200,$G81)&gt;0,
     COUNTIFS($AR$2:$AR$200,$G81)&gt;0,
     COUNTIFS($AS$2:$AS$200,$G81)&gt;0,
     COUNTIFS($AT$2:$AT$200,$G81)&gt;0,
     COUNTIFS($AU$2:$AU$200,$G81)&gt;0,
     COUNTIFS($AV$2:$AV$200,$G81)&gt;0,
     COUNTIFS($AW$2:$AW$200,$G81)&gt;0,
     COUNTIFS($AX$2:$AX$200,$G81)&gt;0,
     COUNTIFS($AY$2:$AY$200,$G81)&gt;0
   )),
  ),
  2
 ),
"")</f>
        <v/>
      </c>
      <c r="E81" s="2" t="str" cm="1">
        <f t="array" aca="1" ref="E81" ca="1">IFERROR(
 INDEX(
  _xlfn._xlws.FILTER($V$1:$AY$1,
   TRANSPOSE(
    CHOOSE({1;2;3;4;5;6;7;8;9;10;11;12;13;14;15;16;17;18;19;20;21;22;23;24;25;26;27;28;29;30},
     COUNTIFS($V$2:$V$200,$G81)&gt;0,
     COUNTIFS($W$2:$W$200,$G81)&gt;0,
     COUNTIFS($X$2:$X$200,$G81)&gt;0,
     COUNTIFS($Y$2:$Y$200,$G81)&gt;0,
     COUNTIFS($Z$2:$Z$200,$G81)&gt;0,
     COUNTIFS($AA$2:$AA$200,$G81)&gt;0,
     COUNTIFS($AB$2:$AB$200,$G81)&gt;0,
     COUNTIFS($AC$2:$AC$200,$G81)&gt;0,
     COUNTIFS($AD$2:$AD$200,$G81)&gt;0,
     COUNTIFS($AE$2:$AE$200,$G81)&gt;0,
     COUNTIFS($AF$2:$AF$200,$G81)&gt;0,
     COUNTIFS($AG$2:$AG$200,$G81)&gt;0,
     COUNTIFS($AH$2:$AH$200,$G81)&gt;0,
     COUNTIFS($AI$2:$AI$200,$G81)&gt;0,
     COUNTIFS($AJ$2:$AJ$200,$G81)&gt;0,
     COUNTIFS($AK$2:$AK$200,$G81)&gt;0,
     COUNTIFS($AL$2:$AL$200,$G81)&gt;0,
     COUNTIFS($AM$2:$AM$200,$G81)&gt;0,
     COUNTIFS($AN$2:$AN$200,$G81)&gt;0,
     COUNTIFS($AO$2:$AO$200,$G81)&gt;0,
     COUNTIFS($AP$2:$AP$200,$G81)&gt;0,
     COUNTIFS($AQ$2:$AQ$200,$G81)&gt;0,
     COUNTIFS($AR$2:$AR$200,$G81)&gt;0,
     COUNTIFS($AS$2:$AS$200,$G81)&gt;0,
     COUNTIFS($AT$2:$AT$200,$G81)&gt;0,
     COUNTIFS($AU$2:$AU$200,$G81)&gt;0,
     COUNTIFS($AV$2:$AV$200,$G81)&gt;0,
     COUNTIFS($AW$2:$AW$200,$G81)&gt;0,
     COUNTIFS($AX$2:$AX$200,$G81)&gt;0,
     COUNTIFS($AY$2:$AY$200,$G81)&gt;0
   )),
  ),
  3
 ),
"")</f>
        <v/>
      </c>
      <c r="F81" s="2" t="str" cm="1">
        <f t="array" aca="1" ref="F81" ca="1">IFERROR(
 INDEX(
  _xlfn._xlws.FILTER($V$1:$AY$1,
   TRANSPOSE(
    CHOOSE({1;2;3;4;5;6;7;8;9;10;11;12;13;14;15;16;17;18;19;20;21;22;23;24;25;26;27;28;29;30},
     COUNTIFS($V$2:$V$200,$G81)&gt;0,
     COUNTIFS($W$2:$W$200,$G81)&gt;0,
     COUNTIFS($X$2:$X$200,$G81)&gt;0,
     COUNTIFS($Y$2:$Y$200,$G81)&gt;0,
     COUNTIFS($Z$2:$Z$200,$G81)&gt;0,
     COUNTIFS($AA$2:$AA$200,$G81)&gt;0,
     COUNTIFS($AB$2:$AB$200,$G81)&gt;0,
     COUNTIFS($AC$2:$AC$200,$G81)&gt;0,
     COUNTIFS($AD$2:$AD$200,$G81)&gt;0,
     COUNTIFS($AE$2:$AE$200,$G81)&gt;0,
     COUNTIFS($AF$2:$AF$200,$G81)&gt;0,
     COUNTIFS($AG$2:$AG$200,$G81)&gt;0,
     COUNTIFS($AH$2:$AH$200,$G81)&gt;0,
     COUNTIFS($AI$2:$AI$200,$G81)&gt;0,
     COUNTIFS($AJ$2:$AJ$200,$G81)&gt;0,
     COUNTIFS($AK$2:$AK$200,$G81)&gt;0,
     COUNTIFS($AL$2:$AL$200,$G81)&gt;0,
     COUNTIFS($AM$2:$AM$200,$G81)&gt;0,
     COUNTIFS($AN$2:$AN$200,$G81)&gt;0,
     COUNTIFS($AO$2:$AO$200,$G81)&gt;0,
     COUNTIFS($AP$2:$AP$200,$G81)&gt;0,
     COUNTIFS($AQ$2:$AQ$200,$G81)&gt;0,
     COUNTIFS($AR$2:$AR$200,$G81)&gt;0,
     COUNTIFS($AS$2:$AS$200,$G81)&gt;0,
     COUNTIFS($AT$2:$AT$200,$G81)&gt;0,
     COUNTIFS($AU$2:$AU$200,$G81)&gt;0,
     COUNTIFS($AV$2:$AV$200,$G81)&gt;0,
     COUNTIFS($AW$2:$AW$200,$G81)&gt;0,
     COUNTIFS($AX$2:$AX$200,$G81)&gt;0,
     COUNTIFS($AY$2:$AY$200,$G81)&gt;0
   )),
  ),
  4
 ),
"")</f>
        <v/>
      </c>
      <c r="G81" t="str">
        <f ca="1"/>
        <v>Champions of the Shoal</v>
      </c>
      <c r="AO81" t="str">
        <v>Striking Sliver</v>
      </c>
      <c r="BE81" t="str">
        <v>Vedalken Mastermind</v>
      </c>
      <c r="BJ81" t="str">
        <v>Water Tribe Rallier</v>
      </c>
      <c r="BL81" t="str">
        <v>Reliquary Tower</v>
      </c>
      <c r="CR81" t="str">
        <f ca="1"/>
        <v>Swamp</v>
      </c>
      <c r="DT81" t="str">
        <f ca="1"/>
        <v>Spara's Headquarters</v>
      </c>
      <c r="DZ81" t="str">
        <f ca="1"/>
        <v>Mardu Ascendancy</v>
      </c>
      <c r="EG81" t="str">
        <f ca="1"/>
        <v>Shoot the Sheriff</v>
      </c>
      <c r="EH81" t="str">
        <f ca="1"/>
        <v>Ulamog's Dreadsire</v>
      </c>
      <c r="EI81" t="str">
        <f ca="1"/>
        <v>Pulmonic Sliver</v>
      </c>
      <c r="EK81" t="e">
        <f ca="1"/>
        <v>#REF!</v>
      </c>
      <c r="EL81" t="str">
        <f ca="1"/>
        <v>Mardu Ascendancy</v>
      </c>
      <c r="EP81" t="str">
        <f ca="1"/>
        <v>Kellan, the Fae-Blooded // Birthright Boon</v>
      </c>
      <c r="EQ81" t="str">
        <f ca="1"/>
        <v>Jenova, Ancient Calamity</v>
      </c>
      <c r="ER81" t="str">
        <f ca="1"/>
        <v>Ghostway</v>
      </c>
      <c r="EU81" t="str">
        <f ca="1"/>
        <v>Descendants' Path</v>
      </c>
      <c r="EV81" t="str">
        <f ca="1"/>
        <v>Ghostway</v>
      </c>
      <c r="EX81" t="str">
        <f ca="1"/>
        <v>Champions of the Shoal</v>
      </c>
    </row>
    <row r="82" spans="1:154" x14ac:dyDescent="0.25">
      <c r="A82" s="2" t="str">
        <f t="shared" ca="1" si="8"/>
        <v>4</v>
      </c>
      <c r="B82" s="2">
        <f t="shared" ca="1" si="9"/>
        <v>1</v>
      </c>
      <c r="C82" s="2" t="str">
        <f ca="1">IFERROR(
 INDEX($V$1:$BL$1,
  MATCH(TRUE,
   CHOOSE({1;2;3;4;5;6;7;8;9;10;11;12;13;14;15;16;17;18;19;20;21;22;23;24;25;26;27;28;29;30;31;32;33;34;35;36;37;38;39;40;41;42;43},
    COUNTIFS($V$2:$V$200,$G82)&gt;0,
    COUNTIFS($W$2:$W$200,$G82)&gt;0,
    COUNTIFS($X$2:$X$200,$G82)&gt;0,
    COUNTIFS($Y$2:$Y$200,$G82)&gt;0,
    COUNTIFS($Z$2:$Z$200,$G82)&gt;0,
    COUNTIFS($AA$2:$AA$200,$G82)&gt;0,
    COUNTIFS($AB$2:$AB$200,$G82)&gt;0,
    COUNTIFS($AC$2:$AC$200,$G82)&gt;0,
    COUNTIFS($AD$2:$AD$200,$G82)&gt;0,
    COUNTIFS($AE$2:$AE$200,$G82)&gt;0,
    COUNTIFS($AF$2:$AF$200,$G82)&gt;0,
    COUNTIFS($AG$2:$AG$200,$G82)&gt;0,
    COUNTIFS($AH$2:$AH$200,$G82)&gt;0,
    COUNTIFS($AI$2:$AI$200,$G82)&gt;0,
    COUNTIFS($AJ$2:$AJ$200,$G82)&gt;0,
    COUNTIFS($AK$2:$AK$200,$G82)&gt;0,
    COUNTIFS($AL$2:$AL$200,$G82)&gt;0,
    COUNTIFS($AM$2:$AM$200,$G82)&gt;0,
    COUNTIFS($AN$2:$AN$200,$G82)&gt;0,
    COUNTIFS($AO$2:$AO$200,$G82)&gt;0,
    COUNTIFS($AP$2:$AP$200,$G82)&gt;0,
    COUNTIFS($AQ$2:$AQ$200,$G82)&gt;0,
    COUNTIFS($AR$2:$AR$200,$G82)&gt;0,
    COUNTIFS($AS$2:$AS$200,$G82)&gt;0,
    COUNTIFS($AT$2:$AT$200,$G82)&gt;0,
    COUNTIFS($AU$2:$AU$200,$G82)&gt;0,
    COUNTIFS($AV$2:$AV$200,$G82)&gt;0,
    COUNTIFS($AW$2:$AW$200,$G82)&gt;0,
    COUNTIFS($AX$2:$AX$200,$G82)&gt;0,
    COUNTIFS($AY$2:$AY$200,$G82)&gt;0,
    COUNTIFS($AZ$2:$AZ$200,$G82)&gt;0,
    COUNTIFS($BA$2:$BA$200,$G82)&gt;0,
    COUNTIFS($BB$2:$BB$200,$G82)&gt;0,
    COUNTIFS($BC$2:$BC$200,$G82)&gt;0,
    COUNTIFS($BD$2:$BD$200,$G82)&gt;0,
    COUNTIFS($BE$2:$BE$200,$G82)&gt;0,
    COUNTIFS($BF$2:$BF$200,$G82)&gt;0,
    COUNTIFS($BG$2:$BG$200,$G82)&gt;0,
    COUNTIFS($BH$2:$BH$200,$G82)&gt;0,
    COUNTIFS($BI$2:$BI$200,$G82)&gt;0,
    COUNTIFS($BJ$2:$BJ$200,$G82)&gt;0,
    COUNTIFS($BK$2:$BK$200,$G82)&gt;0,
    COUNTIFS($BL$2:$BL$200,$G82)&gt;0,
    COUNTIFS($BM$2:$BM$200,$G82)&gt;0,
   ),
  0)
 ),
"")</f>
        <v>Kresh</v>
      </c>
      <c r="D82" s="2" t="str" cm="1">
        <f t="array" aca="1" ref="D82" ca="1">IFERROR(
 INDEX(
  _xlfn._xlws.FILTER($V$1:$AY$1,
   TRANSPOSE(
    CHOOSE({1;2;3;4;5;6;7;8;9;10;11;12;13;14;15;16;17;18;19;20;21;22;23;24;25;26;27;28;29;30},
     COUNTIFS($V$2:$V$200,$G82)&gt;0,
     COUNTIFS($W$2:$W$200,$G82)&gt;0,
     COUNTIFS($X$2:$X$200,$G82)&gt;0,
     COUNTIFS($Y$2:$Y$200,$G82)&gt;0,
     COUNTIFS($Z$2:$Z$200,$G82)&gt;0,
     COUNTIFS($AA$2:$AA$200,$G82)&gt;0,
     COUNTIFS($AB$2:$AB$200,$G82)&gt;0,
     COUNTIFS($AC$2:$AC$200,$G82)&gt;0,
     COUNTIFS($AD$2:$AD$200,$G82)&gt;0,
     COUNTIFS($AE$2:$AE$200,$G82)&gt;0,
     COUNTIFS($AF$2:$AF$200,$G82)&gt;0,
     COUNTIFS($AG$2:$AG$200,$G82)&gt;0,
     COUNTIFS($AH$2:$AH$200,$G82)&gt;0,
     COUNTIFS($AI$2:$AI$200,$G82)&gt;0,
     COUNTIFS($AJ$2:$AJ$200,$G82)&gt;0,
     COUNTIFS($AK$2:$AK$200,$G82)&gt;0,
     COUNTIFS($AL$2:$AL$200,$G82)&gt;0,
     COUNTIFS($AM$2:$AM$200,$G82)&gt;0,
     COUNTIFS($AN$2:$AN$200,$G82)&gt;0,
     COUNTIFS($AO$2:$AO$200,$G82)&gt;0,
     COUNTIFS($AP$2:$AP$200,$G82)&gt;0,
     COUNTIFS($AQ$2:$AQ$200,$G82)&gt;0,
     COUNTIFS($AR$2:$AR$200,$G82)&gt;0,
     COUNTIFS($AS$2:$AS$200,$G82)&gt;0,
     COUNTIFS($AT$2:$AT$200,$G82)&gt;0,
     COUNTIFS($AU$2:$AU$200,$G82)&gt;0,
     COUNTIFS($AV$2:$AV$200,$G82)&gt;0,
     COUNTIFS($AW$2:$AW$200,$G82)&gt;0,
     COUNTIFS($AX$2:$AX$200,$G82)&gt;0,
     COUNTIFS($AY$2:$AY$200,$G82)&gt;0
   )),
  ),
  2
 ),
"")</f>
        <v/>
      </c>
      <c r="E82" s="2" t="str" cm="1">
        <f t="array" aca="1" ref="E82" ca="1">IFERROR(
 INDEX(
  _xlfn._xlws.FILTER($V$1:$AY$1,
   TRANSPOSE(
    CHOOSE({1;2;3;4;5;6;7;8;9;10;11;12;13;14;15;16;17;18;19;20;21;22;23;24;25;26;27;28;29;30},
     COUNTIFS($V$2:$V$200,$G82)&gt;0,
     COUNTIFS($W$2:$W$200,$G82)&gt;0,
     COUNTIFS($X$2:$X$200,$G82)&gt;0,
     COUNTIFS($Y$2:$Y$200,$G82)&gt;0,
     COUNTIFS($Z$2:$Z$200,$G82)&gt;0,
     COUNTIFS($AA$2:$AA$200,$G82)&gt;0,
     COUNTIFS($AB$2:$AB$200,$G82)&gt;0,
     COUNTIFS($AC$2:$AC$200,$G82)&gt;0,
     COUNTIFS($AD$2:$AD$200,$G82)&gt;0,
     COUNTIFS($AE$2:$AE$200,$G82)&gt;0,
     COUNTIFS($AF$2:$AF$200,$G82)&gt;0,
     COUNTIFS($AG$2:$AG$200,$G82)&gt;0,
     COUNTIFS($AH$2:$AH$200,$G82)&gt;0,
     COUNTIFS($AI$2:$AI$200,$G82)&gt;0,
     COUNTIFS($AJ$2:$AJ$200,$G82)&gt;0,
     COUNTIFS($AK$2:$AK$200,$G82)&gt;0,
     COUNTIFS($AL$2:$AL$200,$G82)&gt;0,
     COUNTIFS($AM$2:$AM$200,$G82)&gt;0,
     COUNTIFS($AN$2:$AN$200,$G82)&gt;0,
     COUNTIFS($AO$2:$AO$200,$G82)&gt;0,
     COUNTIFS($AP$2:$AP$200,$G82)&gt;0,
     COUNTIFS($AQ$2:$AQ$200,$G82)&gt;0,
     COUNTIFS($AR$2:$AR$200,$G82)&gt;0,
     COUNTIFS($AS$2:$AS$200,$G82)&gt;0,
     COUNTIFS($AT$2:$AT$200,$G82)&gt;0,
     COUNTIFS($AU$2:$AU$200,$G82)&gt;0,
     COUNTIFS($AV$2:$AV$200,$G82)&gt;0,
     COUNTIFS($AW$2:$AW$200,$G82)&gt;0,
     COUNTIFS($AX$2:$AX$200,$G82)&gt;0,
     COUNTIFS($AY$2:$AY$200,$G82)&gt;0
   )),
  ),
  3
 ),
"")</f>
        <v/>
      </c>
      <c r="F82" s="2" t="str" cm="1">
        <f t="array" aca="1" ref="F82" ca="1">IFERROR(
 INDEX(
  _xlfn._xlws.FILTER($V$1:$AY$1,
   TRANSPOSE(
    CHOOSE({1;2;3;4;5;6;7;8;9;10;11;12;13;14;15;16;17;18;19;20;21;22;23;24;25;26;27;28;29;30},
     COUNTIFS($V$2:$V$200,$G82)&gt;0,
     COUNTIFS($W$2:$W$200,$G82)&gt;0,
     COUNTIFS($X$2:$X$200,$G82)&gt;0,
     COUNTIFS($Y$2:$Y$200,$G82)&gt;0,
     COUNTIFS($Z$2:$Z$200,$G82)&gt;0,
     COUNTIFS($AA$2:$AA$200,$G82)&gt;0,
     COUNTIFS($AB$2:$AB$200,$G82)&gt;0,
     COUNTIFS($AC$2:$AC$200,$G82)&gt;0,
     COUNTIFS($AD$2:$AD$200,$G82)&gt;0,
     COUNTIFS($AE$2:$AE$200,$G82)&gt;0,
     COUNTIFS($AF$2:$AF$200,$G82)&gt;0,
     COUNTIFS($AG$2:$AG$200,$G82)&gt;0,
     COUNTIFS($AH$2:$AH$200,$G82)&gt;0,
     COUNTIFS($AI$2:$AI$200,$G82)&gt;0,
     COUNTIFS($AJ$2:$AJ$200,$G82)&gt;0,
     COUNTIFS($AK$2:$AK$200,$G82)&gt;0,
     COUNTIFS($AL$2:$AL$200,$G82)&gt;0,
     COUNTIFS($AM$2:$AM$200,$G82)&gt;0,
     COUNTIFS($AN$2:$AN$200,$G82)&gt;0,
     COUNTIFS($AO$2:$AO$200,$G82)&gt;0,
     COUNTIFS($AP$2:$AP$200,$G82)&gt;0,
     COUNTIFS($AQ$2:$AQ$200,$G82)&gt;0,
     COUNTIFS($AR$2:$AR$200,$G82)&gt;0,
     COUNTIFS($AS$2:$AS$200,$G82)&gt;0,
     COUNTIFS($AT$2:$AT$200,$G82)&gt;0,
     COUNTIFS($AU$2:$AU$200,$G82)&gt;0,
     COUNTIFS($AV$2:$AV$200,$G82)&gt;0,
     COUNTIFS($AW$2:$AW$200,$G82)&gt;0,
     COUNTIFS($AX$2:$AX$200,$G82)&gt;0,
     COUNTIFS($AY$2:$AY$200,$G82)&gt;0
   )),
  ),
  4
 ),
"")</f>
        <v/>
      </c>
      <c r="G82" t="str">
        <f ca="1"/>
        <v>Chandra's Ignition</v>
      </c>
      <c r="AO82" t="str">
        <v>Striking Sliver</v>
      </c>
      <c r="BE82" t="str">
        <v>Virtue of Knowledge // Vantress Visions</v>
      </c>
      <c r="BJ82" t="str">
        <v>Windcrag Siege</v>
      </c>
      <c r="BL82" t="str">
        <v>Respite</v>
      </c>
      <c r="CR82" t="str">
        <f ca="1"/>
        <v>Synapse Sliver</v>
      </c>
      <c r="DT82" t="str">
        <f ca="1"/>
        <v>Spiteful Sliver</v>
      </c>
      <c r="DZ82" t="str">
        <f ca="1"/>
        <v>Mishra, Claimed by Gix</v>
      </c>
      <c r="EG82" t="str">
        <f ca="1"/>
        <v>Slash the Ranks</v>
      </c>
      <c r="EH82" t="str">
        <f ca="1"/>
        <v>Vault of Champions</v>
      </c>
      <c r="EI82" t="str">
        <f ca="1"/>
        <v>Quick Sliver</v>
      </c>
      <c r="EL82" t="str">
        <f ca="1"/>
        <v>Mishra, Claimed by Gix</v>
      </c>
      <c r="EP82" t="str">
        <f ca="1"/>
        <v>Khorvath's Fury</v>
      </c>
      <c r="EQ82" t="str">
        <f ca="1"/>
        <v>Jetmir's Garden</v>
      </c>
      <c r="ER82" t="str">
        <f ca="1"/>
        <v>Growth Spiral</v>
      </c>
      <c r="EU82" t="str">
        <f ca="1"/>
        <v>Deserted Temple</v>
      </c>
      <c r="EV82" t="str">
        <f ca="1"/>
        <v>Growth Spiral</v>
      </c>
      <c r="EX82" t="str">
        <f ca="1"/>
        <v>Chandra's Ignition</v>
      </c>
    </row>
    <row r="83" spans="1:154" x14ac:dyDescent="0.25">
      <c r="A83" s="2" t="str">
        <f t="shared" ca="1" si="8"/>
        <v>5</v>
      </c>
      <c r="B83" s="2">
        <f t="shared" ca="1" si="9"/>
        <v>1</v>
      </c>
      <c r="C83" s="2" t="str">
        <f ca="1">IFERROR(
 INDEX($V$1:$BL$1,
  MATCH(TRUE,
   CHOOSE({1;2;3;4;5;6;7;8;9;10;11;12;13;14;15;16;17;18;19;20;21;22;23;24;25;26;27;28;29;30;31;32;33;34;35;36;37;38;39;40;41;42;43},
    COUNTIFS($V$2:$V$200,$G83)&gt;0,
    COUNTIFS($W$2:$W$200,$G83)&gt;0,
    COUNTIFS($X$2:$X$200,$G83)&gt;0,
    COUNTIFS($Y$2:$Y$200,$G83)&gt;0,
    COUNTIFS($Z$2:$Z$200,$G83)&gt;0,
    COUNTIFS($AA$2:$AA$200,$G83)&gt;0,
    COUNTIFS($AB$2:$AB$200,$G83)&gt;0,
    COUNTIFS($AC$2:$AC$200,$G83)&gt;0,
    COUNTIFS($AD$2:$AD$200,$G83)&gt;0,
    COUNTIFS($AE$2:$AE$200,$G83)&gt;0,
    COUNTIFS($AF$2:$AF$200,$G83)&gt;0,
    COUNTIFS($AG$2:$AG$200,$G83)&gt;0,
    COUNTIFS($AH$2:$AH$200,$G83)&gt;0,
    COUNTIFS($AI$2:$AI$200,$G83)&gt;0,
    COUNTIFS($AJ$2:$AJ$200,$G83)&gt;0,
    COUNTIFS($AK$2:$AK$200,$G83)&gt;0,
    COUNTIFS($AL$2:$AL$200,$G83)&gt;0,
    COUNTIFS($AM$2:$AM$200,$G83)&gt;0,
    COUNTIFS($AN$2:$AN$200,$G83)&gt;0,
    COUNTIFS($AO$2:$AO$200,$G83)&gt;0,
    COUNTIFS($AP$2:$AP$200,$G83)&gt;0,
    COUNTIFS($AQ$2:$AQ$200,$G83)&gt;0,
    COUNTIFS($AR$2:$AR$200,$G83)&gt;0,
    COUNTIFS($AS$2:$AS$200,$G83)&gt;0,
    COUNTIFS($AT$2:$AT$200,$G83)&gt;0,
    COUNTIFS($AU$2:$AU$200,$G83)&gt;0,
    COUNTIFS($AV$2:$AV$200,$G83)&gt;0,
    COUNTIFS($AW$2:$AW$200,$G83)&gt;0,
    COUNTIFS($AX$2:$AX$200,$G83)&gt;0,
    COUNTIFS($AY$2:$AY$200,$G83)&gt;0,
    COUNTIFS($AZ$2:$AZ$200,$G83)&gt;0,
    COUNTIFS($BA$2:$BA$200,$G83)&gt;0,
    COUNTIFS($BB$2:$BB$200,$G83)&gt;0,
    COUNTIFS($BC$2:$BC$200,$G83)&gt;0,
    COUNTIFS($BD$2:$BD$200,$G83)&gt;0,
    COUNTIFS($BE$2:$BE$200,$G83)&gt;0,
    COUNTIFS($BF$2:$BF$200,$G83)&gt;0,
    COUNTIFS($BG$2:$BG$200,$G83)&gt;0,
    COUNTIFS($BH$2:$BH$200,$G83)&gt;0,
    COUNTIFS($BI$2:$BI$200,$G83)&gt;0,
    COUNTIFS($BJ$2:$BJ$200,$G83)&gt;0,
    COUNTIFS($BK$2:$BK$200,$G83)&gt;0,
    COUNTIFS($BL$2:$BL$200,$G83)&gt;0,
    COUNTIFS($BM$2:$BM$200,$G83)&gt;0,
   ),
  0)
 ),
"")</f>
        <v>Zuko</v>
      </c>
      <c r="D83" s="2" t="str" cm="1">
        <f t="array" aca="1" ref="D83" ca="1">IFERROR(
 INDEX(
  _xlfn._xlws.FILTER($V$1:$AY$1,
   TRANSPOSE(
    CHOOSE({1;2;3;4;5;6;7;8;9;10;11;12;13;14;15;16;17;18;19;20;21;22;23;24;25;26;27;28;29;30},
     COUNTIFS($V$2:$V$200,$G83)&gt;0,
     COUNTIFS($W$2:$W$200,$G83)&gt;0,
     COUNTIFS($X$2:$X$200,$G83)&gt;0,
     COUNTIFS($Y$2:$Y$200,$G83)&gt;0,
     COUNTIFS($Z$2:$Z$200,$G83)&gt;0,
     COUNTIFS($AA$2:$AA$200,$G83)&gt;0,
     COUNTIFS($AB$2:$AB$200,$G83)&gt;0,
     COUNTIFS($AC$2:$AC$200,$G83)&gt;0,
     COUNTIFS($AD$2:$AD$200,$G83)&gt;0,
     COUNTIFS($AE$2:$AE$200,$G83)&gt;0,
     COUNTIFS($AF$2:$AF$200,$G83)&gt;0,
     COUNTIFS($AG$2:$AG$200,$G83)&gt;0,
     COUNTIFS($AH$2:$AH$200,$G83)&gt;0,
     COUNTIFS($AI$2:$AI$200,$G83)&gt;0,
     COUNTIFS($AJ$2:$AJ$200,$G83)&gt;0,
     COUNTIFS($AK$2:$AK$200,$G83)&gt;0,
     COUNTIFS($AL$2:$AL$200,$G83)&gt;0,
     COUNTIFS($AM$2:$AM$200,$G83)&gt;0,
     COUNTIFS($AN$2:$AN$200,$G83)&gt;0,
     COUNTIFS($AO$2:$AO$200,$G83)&gt;0,
     COUNTIFS($AP$2:$AP$200,$G83)&gt;0,
     COUNTIFS($AQ$2:$AQ$200,$G83)&gt;0,
     COUNTIFS($AR$2:$AR$200,$G83)&gt;0,
     COUNTIFS($AS$2:$AS$200,$G83)&gt;0,
     COUNTIFS($AT$2:$AT$200,$G83)&gt;0,
     COUNTIFS($AU$2:$AU$200,$G83)&gt;0,
     COUNTIFS($AV$2:$AV$200,$G83)&gt;0,
     COUNTIFS($AW$2:$AW$200,$G83)&gt;0,
     COUNTIFS($AX$2:$AX$200,$G83)&gt;0,
     COUNTIFS($AY$2:$AY$200,$G83)&gt;0
   )),
  ),
  2
 ),
"")</f>
        <v/>
      </c>
      <c r="E83" s="2" t="str" cm="1">
        <f t="array" aca="1" ref="E83" ca="1">IFERROR(
 INDEX(
  _xlfn._xlws.FILTER($V$1:$AY$1,
   TRANSPOSE(
    CHOOSE({1;2;3;4;5;6;7;8;9;10;11;12;13;14;15;16;17;18;19;20;21;22;23;24;25;26;27;28;29;30},
     COUNTIFS($V$2:$V$200,$G83)&gt;0,
     COUNTIFS($W$2:$W$200,$G83)&gt;0,
     COUNTIFS($X$2:$X$200,$G83)&gt;0,
     COUNTIFS($Y$2:$Y$200,$G83)&gt;0,
     COUNTIFS($Z$2:$Z$200,$G83)&gt;0,
     COUNTIFS($AA$2:$AA$200,$G83)&gt;0,
     COUNTIFS($AB$2:$AB$200,$G83)&gt;0,
     COUNTIFS($AC$2:$AC$200,$G83)&gt;0,
     COUNTIFS($AD$2:$AD$200,$G83)&gt;0,
     COUNTIFS($AE$2:$AE$200,$G83)&gt;0,
     COUNTIFS($AF$2:$AF$200,$G83)&gt;0,
     COUNTIFS($AG$2:$AG$200,$G83)&gt;0,
     COUNTIFS($AH$2:$AH$200,$G83)&gt;0,
     COUNTIFS($AI$2:$AI$200,$G83)&gt;0,
     COUNTIFS($AJ$2:$AJ$200,$G83)&gt;0,
     COUNTIFS($AK$2:$AK$200,$G83)&gt;0,
     COUNTIFS($AL$2:$AL$200,$G83)&gt;0,
     COUNTIFS($AM$2:$AM$200,$G83)&gt;0,
     COUNTIFS($AN$2:$AN$200,$G83)&gt;0,
     COUNTIFS($AO$2:$AO$200,$G83)&gt;0,
     COUNTIFS($AP$2:$AP$200,$G83)&gt;0,
     COUNTIFS($AQ$2:$AQ$200,$G83)&gt;0,
     COUNTIFS($AR$2:$AR$200,$G83)&gt;0,
     COUNTIFS($AS$2:$AS$200,$G83)&gt;0,
     COUNTIFS($AT$2:$AT$200,$G83)&gt;0,
     COUNTIFS($AU$2:$AU$200,$G83)&gt;0,
     COUNTIFS($AV$2:$AV$200,$G83)&gt;0,
     COUNTIFS($AW$2:$AW$200,$G83)&gt;0,
     COUNTIFS($AX$2:$AX$200,$G83)&gt;0,
     COUNTIFS($AY$2:$AY$200,$G83)&gt;0
   )),
  ),
  3
 ),
"")</f>
        <v/>
      </c>
      <c r="F83" s="2" t="str" cm="1">
        <f t="array" aca="1" ref="F83" ca="1">IFERROR(
 INDEX(
  _xlfn._xlws.FILTER($V$1:$AY$1,
   TRANSPOSE(
    CHOOSE({1;2;3;4;5;6;7;8;9;10;11;12;13;14;15;16;17;18;19;20;21;22;23;24;25;26;27;28;29;30},
     COUNTIFS($V$2:$V$200,$G83)&gt;0,
     COUNTIFS($W$2:$W$200,$G83)&gt;0,
     COUNTIFS($X$2:$X$200,$G83)&gt;0,
     COUNTIFS($Y$2:$Y$200,$G83)&gt;0,
     COUNTIFS($Z$2:$Z$200,$G83)&gt;0,
     COUNTIFS($AA$2:$AA$200,$G83)&gt;0,
     COUNTIFS($AB$2:$AB$200,$G83)&gt;0,
     COUNTIFS($AC$2:$AC$200,$G83)&gt;0,
     COUNTIFS($AD$2:$AD$200,$G83)&gt;0,
     COUNTIFS($AE$2:$AE$200,$G83)&gt;0,
     COUNTIFS($AF$2:$AF$200,$G83)&gt;0,
     COUNTIFS($AG$2:$AG$200,$G83)&gt;0,
     COUNTIFS($AH$2:$AH$200,$G83)&gt;0,
     COUNTIFS($AI$2:$AI$200,$G83)&gt;0,
     COUNTIFS($AJ$2:$AJ$200,$G83)&gt;0,
     COUNTIFS($AK$2:$AK$200,$G83)&gt;0,
     COUNTIFS($AL$2:$AL$200,$G83)&gt;0,
     COUNTIFS($AM$2:$AM$200,$G83)&gt;0,
     COUNTIFS($AN$2:$AN$200,$G83)&gt;0,
     COUNTIFS($AO$2:$AO$200,$G83)&gt;0,
     COUNTIFS($AP$2:$AP$200,$G83)&gt;0,
     COUNTIFS($AQ$2:$AQ$200,$G83)&gt;0,
     COUNTIFS($AR$2:$AR$200,$G83)&gt;0,
     COUNTIFS($AS$2:$AS$200,$G83)&gt;0,
     COUNTIFS($AT$2:$AT$200,$G83)&gt;0,
     COUNTIFS($AU$2:$AU$200,$G83)&gt;0,
     COUNTIFS($AV$2:$AV$200,$G83)&gt;0,
     COUNTIFS($AW$2:$AW$200,$G83)&gt;0,
     COUNTIFS($AX$2:$AX$200,$G83)&gt;0,
     COUNTIFS($AY$2:$AY$200,$G83)&gt;0
   )),
  ),
  4
 ),
"")</f>
        <v/>
      </c>
      <c r="G83" t="str">
        <f ca="1"/>
        <v>Chaos Wand</v>
      </c>
      <c r="AO83" t="str">
        <v>Swamp</v>
      </c>
      <c r="BE83" t="str">
        <v>Water Tribe Rallier</v>
      </c>
      <c r="BJ83" t="str">
        <v>Wispdrinker Vampire</v>
      </c>
      <c r="BL83" t="str">
        <v>Rewind</v>
      </c>
      <c r="CR83" t="str">
        <f ca="1"/>
        <v>Syphon Sliver</v>
      </c>
      <c r="DT83" t="str">
        <f ca="1"/>
        <v>Steam Vents</v>
      </c>
      <c r="DZ83" t="str">
        <f ca="1"/>
        <v>Mountain</v>
      </c>
      <c r="EG83" t="str">
        <f ca="1"/>
        <v>Slayers' Stronghold</v>
      </c>
      <c r="EH83" t="str">
        <f ca="1"/>
        <v>Vexing Puzzlebox</v>
      </c>
      <c r="EI83" t="str">
        <f ca="1"/>
        <v>Quilled Sliver</v>
      </c>
      <c r="EL83" t="str">
        <f ca="1"/>
        <v>Mountain</v>
      </c>
      <c r="EP83" t="str">
        <f ca="1"/>
        <v>Kozilek, the Broken Reality</v>
      </c>
      <c r="EQ83" t="str">
        <f ca="1"/>
        <v>Jidoor, Aristocratic Capital // Overture</v>
      </c>
      <c r="ER83" t="str">
        <f ca="1"/>
        <v>Guttersnipe</v>
      </c>
      <c r="EU83" t="str">
        <f ca="1"/>
        <v>Diffusion Sliver</v>
      </c>
      <c r="EV83" t="str">
        <f ca="1"/>
        <v>Guttersnipe</v>
      </c>
      <c r="EX83" t="str">
        <f ca="1"/>
        <v>Chaos Wand</v>
      </c>
    </row>
    <row r="84" spans="1:154" x14ac:dyDescent="0.25">
      <c r="A84" s="2" t="str">
        <f t="shared" ca="1" si="8"/>
        <v>4</v>
      </c>
      <c r="B84" s="2">
        <f t="shared" ca="1" si="9"/>
        <v>2</v>
      </c>
      <c r="C84" s="2" t="str">
        <f ca="1">IFERROR(
 INDEX($V$1:$BL$1,
  MATCH(TRUE,
   CHOOSE({1;2;3;4;5;6;7;8;9;10;11;12;13;14;15;16;17;18;19;20;21;22;23;24;25;26;27;28;29;30;31;32;33;34;35;36;37;38;39;40;41;42;43},
    COUNTIFS($V$2:$V$200,$G84)&gt;0,
    COUNTIFS($W$2:$W$200,$G84)&gt;0,
    COUNTIFS($X$2:$X$200,$G84)&gt;0,
    COUNTIFS($Y$2:$Y$200,$G84)&gt;0,
    COUNTIFS($Z$2:$Z$200,$G84)&gt;0,
    COUNTIFS($AA$2:$AA$200,$G84)&gt;0,
    COUNTIFS($AB$2:$AB$200,$G84)&gt;0,
    COUNTIFS($AC$2:$AC$200,$G84)&gt;0,
    COUNTIFS($AD$2:$AD$200,$G84)&gt;0,
    COUNTIFS($AE$2:$AE$200,$G84)&gt;0,
    COUNTIFS($AF$2:$AF$200,$G84)&gt;0,
    COUNTIFS($AG$2:$AG$200,$G84)&gt;0,
    COUNTIFS($AH$2:$AH$200,$G84)&gt;0,
    COUNTIFS($AI$2:$AI$200,$G84)&gt;0,
    COUNTIFS($AJ$2:$AJ$200,$G84)&gt;0,
    COUNTIFS($AK$2:$AK$200,$G84)&gt;0,
    COUNTIFS($AL$2:$AL$200,$G84)&gt;0,
    COUNTIFS($AM$2:$AM$200,$G84)&gt;0,
    COUNTIFS($AN$2:$AN$200,$G84)&gt;0,
    COUNTIFS($AO$2:$AO$200,$G84)&gt;0,
    COUNTIFS($AP$2:$AP$200,$G84)&gt;0,
    COUNTIFS($AQ$2:$AQ$200,$G84)&gt;0,
    COUNTIFS($AR$2:$AR$200,$G84)&gt;0,
    COUNTIFS($AS$2:$AS$200,$G84)&gt;0,
    COUNTIFS($AT$2:$AT$200,$G84)&gt;0,
    COUNTIFS($AU$2:$AU$200,$G84)&gt;0,
    COUNTIFS($AV$2:$AV$200,$G84)&gt;0,
    COUNTIFS($AW$2:$AW$200,$G84)&gt;0,
    COUNTIFS($AX$2:$AX$200,$G84)&gt;0,
    COUNTIFS($AY$2:$AY$200,$G84)&gt;0,
    COUNTIFS($AZ$2:$AZ$200,$G84)&gt;0,
    COUNTIFS($BA$2:$BA$200,$G84)&gt;0,
    COUNTIFS($BB$2:$BB$200,$G84)&gt;0,
    COUNTIFS($BC$2:$BC$200,$G84)&gt;0,
    COUNTIFS($BD$2:$BD$200,$G84)&gt;0,
    COUNTIFS($BE$2:$BE$200,$G84)&gt;0,
    COUNTIFS($BF$2:$BF$200,$G84)&gt;0,
    COUNTIFS($BG$2:$BG$200,$G84)&gt;0,
    COUNTIFS($BH$2:$BH$200,$G84)&gt;0,
    COUNTIFS($BI$2:$BI$200,$G84)&gt;0,
    COUNTIFS($BJ$2:$BJ$200,$G84)&gt;0,
    COUNTIFS($BK$2:$BK$200,$G84)&gt;0,
    COUNTIFS($BL$2:$BL$200,$G84)&gt;0,
    COUNTIFS($BM$2:$BM$200,$G84)&gt;0,
   ),
  0)
 ),
"")</f>
        <v>Baylen</v>
      </c>
      <c r="D84" s="2" t="str" cm="1">
        <f t="array" aca="1" ref="D84" ca="1">IFERROR(
 INDEX(
  _xlfn._xlws.FILTER($V$1:$AY$1,
   TRANSPOSE(
    CHOOSE({1;2;3;4;5;6;7;8;9;10;11;12;13;14;15;16;17;18;19;20;21;22;23;24;25;26;27;28;29;30},
     COUNTIFS($V$2:$V$200,$G84)&gt;0,
     COUNTIFS($W$2:$W$200,$G84)&gt;0,
     COUNTIFS($X$2:$X$200,$G84)&gt;0,
     COUNTIFS($Y$2:$Y$200,$G84)&gt;0,
     COUNTIFS($Z$2:$Z$200,$G84)&gt;0,
     COUNTIFS($AA$2:$AA$200,$G84)&gt;0,
     COUNTIFS($AB$2:$AB$200,$G84)&gt;0,
     COUNTIFS($AC$2:$AC$200,$G84)&gt;0,
     COUNTIFS($AD$2:$AD$200,$G84)&gt;0,
     COUNTIFS($AE$2:$AE$200,$G84)&gt;0,
     COUNTIFS($AF$2:$AF$200,$G84)&gt;0,
     COUNTIFS($AG$2:$AG$200,$G84)&gt;0,
     COUNTIFS($AH$2:$AH$200,$G84)&gt;0,
     COUNTIFS($AI$2:$AI$200,$G84)&gt;0,
     COUNTIFS($AJ$2:$AJ$200,$G84)&gt;0,
     COUNTIFS($AK$2:$AK$200,$G84)&gt;0,
     COUNTIFS($AL$2:$AL$200,$G84)&gt;0,
     COUNTIFS($AM$2:$AM$200,$G84)&gt;0,
     COUNTIFS($AN$2:$AN$200,$G84)&gt;0,
     COUNTIFS($AO$2:$AO$200,$G84)&gt;0,
     COUNTIFS($AP$2:$AP$200,$G84)&gt;0,
     COUNTIFS($AQ$2:$AQ$200,$G84)&gt;0,
     COUNTIFS($AR$2:$AR$200,$G84)&gt;0,
     COUNTIFS($AS$2:$AS$200,$G84)&gt;0,
     COUNTIFS($AT$2:$AT$200,$G84)&gt;0,
     COUNTIFS($AU$2:$AU$200,$G84)&gt;0,
     COUNTIFS($AV$2:$AV$200,$G84)&gt;0,
     COUNTIFS($AW$2:$AW$200,$G84)&gt;0,
     COUNTIFS($AX$2:$AX$200,$G84)&gt;0,
     COUNTIFS($AY$2:$AY$200,$G84)&gt;0
   )),
  ),
  2
 ),
"")</f>
        <v/>
      </c>
      <c r="E84" s="2" t="str" cm="1">
        <f t="array" aca="1" ref="E84" ca="1">IFERROR(
 INDEX(
  _xlfn._xlws.FILTER($V$1:$AY$1,
   TRANSPOSE(
    CHOOSE({1;2;3;4;5;6;7;8;9;10;11;12;13;14;15;16;17;18;19;20;21;22;23;24;25;26;27;28;29;30},
     COUNTIFS($V$2:$V$200,$G84)&gt;0,
     COUNTIFS($W$2:$W$200,$G84)&gt;0,
     COUNTIFS($X$2:$X$200,$G84)&gt;0,
     COUNTIFS($Y$2:$Y$200,$G84)&gt;0,
     COUNTIFS($Z$2:$Z$200,$G84)&gt;0,
     COUNTIFS($AA$2:$AA$200,$G84)&gt;0,
     COUNTIFS($AB$2:$AB$200,$G84)&gt;0,
     COUNTIFS($AC$2:$AC$200,$G84)&gt;0,
     COUNTIFS($AD$2:$AD$200,$G84)&gt;0,
     COUNTIFS($AE$2:$AE$200,$G84)&gt;0,
     COUNTIFS($AF$2:$AF$200,$G84)&gt;0,
     COUNTIFS($AG$2:$AG$200,$G84)&gt;0,
     COUNTIFS($AH$2:$AH$200,$G84)&gt;0,
     COUNTIFS($AI$2:$AI$200,$G84)&gt;0,
     COUNTIFS($AJ$2:$AJ$200,$G84)&gt;0,
     COUNTIFS($AK$2:$AK$200,$G84)&gt;0,
     COUNTIFS($AL$2:$AL$200,$G84)&gt;0,
     COUNTIFS($AM$2:$AM$200,$G84)&gt;0,
     COUNTIFS($AN$2:$AN$200,$G84)&gt;0,
     COUNTIFS($AO$2:$AO$200,$G84)&gt;0,
     COUNTIFS($AP$2:$AP$200,$G84)&gt;0,
     COUNTIFS($AQ$2:$AQ$200,$G84)&gt;0,
     COUNTIFS($AR$2:$AR$200,$G84)&gt;0,
     COUNTIFS($AS$2:$AS$200,$G84)&gt;0,
     COUNTIFS($AT$2:$AT$200,$G84)&gt;0,
     COUNTIFS($AU$2:$AU$200,$G84)&gt;0,
     COUNTIFS($AV$2:$AV$200,$G84)&gt;0,
     COUNTIFS($AW$2:$AW$200,$G84)&gt;0,
     COUNTIFS($AX$2:$AX$200,$G84)&gt;0,
     COUNTIFS($AY$2:$AY$200,$G84)&gt;0
   )),
  ),
  3
 ),
"")</f>
        <v/>
      </c>
      <c r="F84" s="2" t="str" cm="1">
        <f t="array" aca="1" ref="F84" ca="1">IFERROR(
 INDEX(
  _xlfn._xlws.FILTER($V$1:$AY$1,
   TRANSPOSE(
    CHOOSE({1;2;3;4;5;6;7;8;9;10;11;12;13;14;15;16;17;18;19;20;21;22;23;24;25;26;27;28;29;30},
     COUNTIFS($V$2:$V$200,$G84)&gt;0,
     COUNTIFS($W$2:$W$200,$G84)&gt;0,
     COUNTIFS($X$2:$X$200,$G84)&gt;0,
     COUNTIFS($Y$2:$Y$200,$G84)&gt;0,
     COUNTIFS($Z$2:$Z$200,$G84)&gt;0,
     COUNTIFS($AA$2:$AA$200,$G84)&gt;0,
     COUNTIFS($AB$2:$AB$200,$G84)&gt;0,
     COUNTIFS($AC$2:$AC$200,$G84)&gt;0,
     COUNTIFS($AD$2:$AD$200,$G84)&gt;0,
     COUNTIFS($AE$2:$AE$200,$G84)&gt;0,
     COUNTIFS($AF$2:$AF$200,$G84)&gt;0,
     COUNTIFS($AG$2:$AG$200,$G84)&gt;0,
     COUNTIFS($AH$2:$AH$200,$G84)&gt;0,
     COUNTIFS($AI$2:$AI$200,$G84)&gt;0,
     COUNTIFS($AJ$2:$AJ$200,$G84)&gt;0,
     COUNTIFS($AK$2:$AK$200,$G84)&gt;0,
     COUNTIFS($AL$2:$AL$200,$G84)&gt;0,
     COUNTIFS($AM$2:$AM$200,$G84)&gt;0,
     COUNTIFS($AN$2:$AN$200,$G84)&gt;0,
     COUNTIFS($AO$2:$AO$200,$G84)&gt;0,
     COUNTIFS($AP$2:$AP$200,$G84)&gt;0,
     COUNTIFS($AQ$2:$AQ$200,$G84)&gt;0,
     COUNTIFS($AR$2:$AR$200,$G84)&gt;0,
     COUNTIFS($AS$2:$AS$200,$G84)&gt;0,
     COUNTIFS($AT$2:$AT$200,$G84)&gt;0,
     COUNTIFS($AU$2:$AU$200,$G84)&gt;0,
     COUNTIFS($AV$2:$AV$200,$G84)&gt;0,
     COUNTIFS($AW$2:$AW$200,$G84)&gt;0,
     COUNTIFS($AX$2:$AX$200,$G84)&gt;0,
     COUNTIFS($AY$2:$AY$200,$G84)&gt;0
   )),
  ),
  4
 ),
"")</f>
        <v/>
      </c>
      <c r="G84" t="str">
        <f ca="1"/>
        <v>Chaos Warp</v>
      </c>
      <c r="AO84" t="str">
        <v>Swamp</v>
      </c>
      <c r="BE84" t="str">
        <v>Waterbender's Restoration</v>
      </c>
      <c r="BJ84" t="str">
        <v>Within Range</v>
      </c>
      <c r="BL84" t="str">
        <v>Roiling Regrowth</v>
      </c>
      <c r="CR84" t="str">
        <f ca="1"/>
        <v>Taunting Sliver</v>
      </c>
      <c r="DT84" t="str">
        <f ca="1"/>
        <v>Stomping Ground</v>
      </c>
      <c r="DZ84" t="str">
        <f ca="1"/>
        <v>Myrel, Shield of Argive</v>
      </c>
      <c r="EG84" t="str">
        <f ca="1"/>
        <v>Sokenzan, Crucible of Defiance</v>
      </c>
      <c r="EH84" t="str">
        <f ca="1"/>
        <v>Vronos, Masked Inquisitor</v>
      </c>
      <c r="EI84" t="str">
        <f ca="1"/>
        <v>Raffine's Tower</v>
      </c>
      <c r="EL84" t="str">
        <f ca="1"/>
        <v>Myrel, Shield of Argive</v>
      </c>
      <c r="EP84" t="str">
        <f ca="1"/>
        <v>Kutzil, Malamet Exemplar</v>
      </c>
      <c r="EQ84" t="str">
        <f ca="1"/>
        <v>Kambal, Profiteering Mayor</v>
      </c>
      <c r="ER84" t="str">
        <f ca="1"/>
        <v>Hare Apparent</v>
      </c>
      <c r="EU84" t="str">
        <f ca="1"/>
        <v>Disruptor of Currents</v>
      </c>
      <c r="EV84" t="str">
        <f ca="1"/>
        <v>Hare Apparent</v>
      </c>
      <c r="EX84" t="str">
        <f ca="1"/>
        <v>Chaos Warp</v>
      </c>
    </row>
    <row r="85" spans="1:154" x14ac:dyDescent="0.25">
      <c r="A85" s="2" t="str">
        <f t="shared" ca="1" si="8"/>
        <v>5</v>
      </c>
      <c r="B85" s="2">
        <f t="shared" ca="1" si="9"/>
        <v>1</v>
      </c>
      <c r="C85" s="2" t="str">
        <f ca="1">IFERROR(
 INDEX($V$1:$BL$1,
  MATCH(TRUE,
   CHOOSE({1;2;3;4;5;6;7;8;9;10;11;12;13;14;15;16;17;18;19;20;21;22;23;24;25;26;27;28;29;30;31;32;33;34;35;36;37;38;39;40;41;42;43},
    COUNTIFS($V$2:$V$200,$G85)&gt;0,
    COUNTIFS($W$2:$W$200,$G85)&gt;0,
    COUNTIFS($X$2:$X$200,$G85)&gt;0,
    COUNTIFS($Y$2:$Y$200,$G85)&gt;0,
    COUNTIFS($Z$2:$Z$200,$G85)&gt;0,
    COUNTIFS($AA$2:$AA$200,$G85)&gt;0,
    COUNTIFS($AB$2:$AB$200,$G85)&gt;0,
    COUNTIFS($AC$2:$AC$200,$G85)&gt;0,
    COUNTIFS($AD$2:$AD$200,$G85)&gt;0,
    COUNTIFS($AE$2:$AE$200,$G85)&gt;0,
    COUNTIFS($AF$2:$AF$200,$G85)&gt;0,
    COUNTIFS($AG$2:$AG$200,$G85)&gt;0,
    COUNTIFS($AH$2:$AH$200,$G85)&gt;0,
    COUNTIFS($AI$2:$AI$200,$G85)&gt;0,
    COUNTIFS($AJ$2:$AJ$200,$G85)&gt;0,
    COUNTIFS($AK$2:$AK$200,$G85)&gt;0,
    COUNTIFS($AL$2:$AL$200,$G85)&gt;0,
    COUNTIFS($AM$2:$AM$200,$G85)&gt;0,
    COUNTIFS($AN$2:$AN$200,$G85)&gt;0,
    COUNTIFS($AO$2:$AO$200,$G85)&gt;0,
    COUNTIFS($AP$2:$AP$200,$G85)&gt;0,
    COUNTIFS($AQ$2:$AQ$200,$G85)&gt;0,
    COUNTIFS($AR$2:$AR$200,$G85)&gt;0,
    COUNTIFS($AS$2:$AS$200,$G85)&gt;0,
    COUNTIFS($AT$2:$AT$200,$G85)&gt;0,
    COUNTIFS($AU$2:$AU$200,$G85)&gt;0,
    COUNTIFS($AV$2:$AV$200,$G85)&gt;0,
    COUNTIFS($AW$2:$AW$200,$G85)&gt;0,
    COUNTIFS($AX$2:$AX$200,$G85)&gt;0,
    COUNTIFS($AY$2:$AY$200,$G85)&gt;0,
    COUNTIFS($AZ$2:$AZ$200,$G85)&gt;0,
    COUNTIFS($BA$2:$BA$200,$G85)&gt;0,
    COUNTIFS($BB$2:$BB$200,$G85)&gt;0,
    COUNTIFS($BC$2:$BC$200,$G85)&gt;0,
    COUNTIFS($BD$2:$BD$200,$G85)&gt;0,
    COUNTIFS($BE$2:$BE$200,$G85)&gt;0,
    COUNTIFS($BF$2:$BF$200,$G85)&gt;0,
    COUNTIFS($BG$2:$BG$200,$G85)&gt;0,
    COUNTIFS($BH$2:$BH$200,$G85)&gt;0,
    COUNTIFS($BI$2:$BI$200,$G85)&gt;0,
    COUNTIFS($BJ$2:$BJ$200,$G85)&gt;0,
    COUNTIFS($BK$2:$BK$200,$G85)&gt;0,
    COUNTIFS($BL$2:$BL$200,$G85)&gt;0,
    COUNTIFS($BM$2:$BM$200,$G85)&gt;0,
   ),
  0)
 ),
"")</f>
        <v>Yorion</v>
      </c>
      <c r="D85" s="2" t="str" cm="1">
        <f t="array" aca="1" ref="D85" ca="1">IFERROR(
 INDEX(
  _xlfn._xlws.FILTER($V$1:$AY$1,
   TRANSPOSE(
    CHOOSE({1;2;3;4;5;6;7;8;9;10;11;12;13;14;15;16;17;18;19;20;21;22;23;24;25;26;27;28;29;30},
     COUNTIFS($V$2:$V$200,$G85)&gt;0,
     COUNTIFS($W$2:$W$200,$G85)&gt;0,
     COUNTIFS($X$2:$X$200,$G85)&gt;0,
     COUNTIFS($Y$2:$Y$200,$G85)&gt;0,
     COUNTIFS($Z$2:$Z$200,$G85)&gt;0,
     COUNTIFS($AA$2:$AA$200,$G85)&gt;0,
     COUNTIFS($AB$2:$AB$200,$G85)&gt;0,
     COUNTIFS($AC$2:$AC$200,$G85)&gt;0,
     COUNTIFS($AD$2:$AD$200,$G85)&gt;0,
     COUNTIFS($AE$2:$AE$200,$G85)&gt;0,
     COUNTIFS($AF$2:$AF$200,$G85)&gt;0,
     COUNTIFS($AG$2:$AG$200,$G85)&gt;0,
     COUNTIFS($AH$2:$AH$200,$G85)&gt;0,
     COUNTIFS($AI$2:$AI$200,$G85)&gt;0,
     COUNTIFS($AJ$2:$AJ$200,$G85)&gt;0,
     COUNTIFS($AK$2:$AK$200,$G85)&gt;0,
     COUNTIFS($AL$2:$AL$200,$G85)&gt;0,
     COUNTIFS($AM$2:$AM$200,$G85)&gt;0,
     COUNTIFS($AN$2:$AN$200,$G85)&gt;0,
     COUNTIFS($AO$2:$AO$200,$G85)&gt;0,
     COUNTIFS($AP$2:$AP$200,$G85)&gt;0,
     COUNTIFS($AQ$2:$AQ$200,$G85)&gt;0,
     COUNTIFS($AR$2:$AR$200,$G85)&gt;0,
     COUNTIFS($AS$2:$AS$200,$G85)&gt;0,
     COUNTIFS($AT$2:$AT$200,$G85)&gt;0,
     COUNTIFS($AU$2:$AU$200,$G85)&gt;0,
     COUNTIFS($AV$2:$AV$200,$G85)&gt;0,
     COUNTIFS($AW$2:$AW$200,$G85)&gt;0,
     COUNTIFS($AX$2:$AX$200,$G85)&gt;0,
     COUNTIFS($AY$2:$AY$200,$G85)&gt;0
   )),
  ),
  2
 ),
"")</f>
        <v/>
      </c>
      <c r="E85" s="2" t="str" cm="1">
        <f t="array" aca="1" ref="E85" ca="1">IFERROR(
 INDEX(
  _xlfn._xlws.FILTER($V$1:$AY$1,
   TRANSPOSE(
    CHOOSE({1;2;3;4;5;6;7;8;9;10;11;12;13;14;15;16;17;18;19;20;21;22;23;24;25;26;27;28;29;30},
     COUNTIFS($V$2:$V$200,$G85)&gt;0,
     COUNTIFS($W$2:$W$200,$G85)&gt;0,
     COUNTIFS($X$2:$X$200,$G85)&gt;0,
     COUNTIFS($Y$2:$Y$200,$G85)&gt;0,
     COUNTIFS($Z$2:$Z$200,$G85)&gt;0,
     COUNTIFS($AA$2:$AA$200,$G85)&gt;0,
     COUNTIFS($AB$2:$AB$200,$G85)&gt;0,
     COUNTIFS($AC$2:$AC$200,$G85)&gt;0,
     COUNTIFS($AD$2:$AD$200,$G85)&gt;0,
     COUNTIFS($AE$2:$AE$200,$G85)&gt;0,
     COUNTIFS($AF$2:$AF$200,$G85)&gt;0,
     COUNTIFS($AG$2:$AG$200,$G85)&gt;0,
     COUNTIFS($AH$2:$AH$200,$G85)&gt;0,
     COUNTIFS($AI$2:$AI$200,$G85)&gt;0,
     COUNTIFS($AJ$2:$AJ$200,$G85)&gt;0,
     COUNTIFS($AK$2:$AK$200,$G85)&gt;0,
     COUNTIFS($AL$2:$AL$200,$G85)&gt;0,
     COUNTIFS($AM$2:$AM$200,$G85)&gt;0,
     COUNTIFS($AN$2:$AN$200,$G85)&gt;0,
     COUNTIFS($AO$2:$AO$200,$G85)&gt;0,
     COUNTIFS($AP$2:$AP$200,$G85)&gt;0,
     COUNTIFS($AQ$2:$AQ$200,$G85)&gt;0,
     COUNTIFS($AR$2:$AR$200,$G85)&gt;0,
     COUNTIFS($AS$2:$AS$200,$G85)&gt;0,
     COUNTIFS($AT$2:$AT$200,$G85)&gt;0,
     COUNTIFS($AU$2:$AU$200,$G85)&gt;0,
     COUNTIFS($AV$2:$AV$200,$G85)&gt;0,
     COUNTIFS($AW$2:$AW$200,$G85)&gt;0,
     COUNTIFS($AX$2:$AX$200,$G85)&gt;0,
     COUNTIFS($AY$2:$AY$200,$G85)&gt;0
   )),
  ),
  3
 ),
"")</f>
        <v/>
      </c>
      <c r="F85" s="2" t="str" cm="1">
        <f t="array" aca="1" ref="F85" ca="1">IFERROR(
 INDEX(
  _xlfn._xlws.FILTER($V$1:$AY$1,
   TRANSPOSE(
    CHOOSE({1;2;3;4;5;6;7;8;9;10;11;12;13;14;15;16;17;18;19;20;21;22;23;24;25;26;27;28;29;30},
     COUNTIFS($V$2:$V$200,$G85)&gt;0,
     COUNTIFS($W$2:$W$200,$G85)&gt;0,
     COUNTIFS($X$2:$X$200,$G85)&gt;0,
     COUNTIFS($Y$2:$Y$200,$G85)&gt;0,
     COUNTIFS($Z$2:$Z$200,$G85)&gt;0,
     COUNTIFS($AA$2:$AA$200,$G85)&gt;0,
     COUNTIFS($AB$2:$AB$200,$G85)&gt;0,
     COUNTIFS($AC$2:$AC$200,$G85)&gt;0,
     COUNTIFS($AD$2:$AD$200,$G85)&gt;0,
     COUNTIFS($AE$2:$AE$200,$G85)&gt;0,
     COUNTIFS($AF$2:$AF$200,$G85)&gt;0,
     COUNTIFS($AG$2:$AG$200,$G85)&gt;0,
     COUNTIFS($AH$2:$AH$200,$G85)&gt;0,
     COUNTIFS($AI$2:$AI$200,$G85)&gt;0,
     COUNTIFS($AJ$2:$AJ$200,$G85)&gt;0,
     COUNTIFS($AK$2:$AK$200,$G85)&gt;0,
     COUNTIFS($AL$2:$AL$200,$G85)&gt;0,
     COUNTIFS($AM$2:$AM$200,$G85)&gt;0,
     COUNTIFS($AN$2:$AN$200,$G85)&gt;0,
     COUNTIFS($AO$2:$AO$200,$G85)&gt;0,
     COUNTIFS($AP$2:$AP$200,$G85)&gt;0,
     COUNTIFS($AQ$2:$AQ$200,$G85)&gt;0,
     COUNTIFS($AR$2:$AR$200,$G85)&gt;0,
     COUNTIFS($AS$2:$AS$200,$G85)&gt;0,
     COUNTIFS($AT$2:$AT$200,$G85)&gt;0,
     COUNTIFS($AU$2:$AU$200,$G85)&gt;0,
     COUNTIFS($AV$2:$AV$200,$G85)&gt;0,
     COUNTIFS($AW$2:$AW$200,$G85)&gt;0,
     COUNTIFS($AX$2:$AX$200,$G85)&gt;0,
     COUNTIFS($AY$2:$AY$200,$G85)&gt;0
   )),
  ),
  4
 ),
"")</f>
        <v/>
      </c>
      <c r="G85" t="str">
        <f ca="1"/>
        <v>Charming Prince</v>
      </c>
      <c r="AO85" t="str">
        <v>Swamp</v>
      </c>
      <c r="BJ85" t="str">
        <v>Woodland Cemetery</v>
      </c>
      <c r="BL85" t="str">
        <v>Swamp</v>
      </c>
      <c r="CR85" t="str">
        <f ca="1"/>
        <v>Telekinetic Sliver</v>
      </c>
      <c r="DT85" t="str">
        <f ca="1"/>
        <v>Striking Sliver</v>
      </c>
      <c r="DZ85" t="str">
        <f ca="1"/>
        <v>Mystic Confluence</v>
      </c>
      <c r="EG85" t="str">
        <f ca="1"/>
        <v>Sothera, the Supervoid</v>
      </c>
      <c r="EH85" t="str">
        <f ca="1"/>
        <v>Wan Shi Tong, Librarian</v>
      </c>
      <c r="EI85" t="str">
        <f ca="1"/>
        <v>Raugrin Triome</v>
      </c>
      <c r="EL85" t="str">
        <f ca="1"/>
        <v>Mystic Confluence</v>
      </c>
      <c r="EP85" t="str">
        <f ca="1"/>
        <v>Lae'zel, Vlaakith's Champion</v>
      </c>
      <c r="EQ85" t="str">
        <f ca="1"/>
        <v>Karn's Bastion</v>
      </c>
      <c r="ER85" t="str">
        <f ca="1"/>
        <v>Harrow</v>
      </c>
      <c r="EU85" t="str">
        <f ca="1"/>
        <v>Dollmaker's Shop // Porcelain Gallery</v>
      </c>
      <c r="EV85" t="str">
        <f ca="1"/>
        <v>Harrow</v>
      </c>
      <c r="EX85" t="str">
        <f ca="1"/>
        <v>Charming Prince</v>
      </c>
    </row>
    <row r="86" spans="1:154" x14ac:dyDescent="0.25">
      <c r="A86" s="2" t="str">
        <f t="shared" ca="1" si="8"/>
        <v>3</v>
      </c>
      <c r="B86" s="2">
        <f t="shared" ca="1" si="9"/>
        <v>1</v>
      </c>
      <c r="C86" s="2" t="str">
        <f ca="1">IFERROR(
 INDEX($V$1:$BL$1,
  MATCH(TRUE,
   CHOOSE({1;2;3;4;5;6;7;8;9;10;11;12;13;14;15;16;17;18;19;20;21;22;23;24;25;26;27;28;29;30;31;32;33;34;35;36;37;38;39;40;41;42;43},
    COUNTIFS($V$2:$V$200,$G86)&gt;0,
    COUNTIFS($W$2:$W$200,$G86)&gt;0,
    COUNTIFS($X$2:$X$200,$G86)&gt;0,
    COUNTIFS($Y$2:$Y$200,$G86)&gt;0,
    COUNTIFS($Z$2:$Z$200,$G86)&gt;0,
    COUNTIFS($AA$2:$AA$200,$G86)&gt;0,
    COUNTIFS($AB$2:$AB$200,$G86)&gt;0,
    COUNTIFS($AC$2:$AC$200,$G86)&gt;0,
    COUNTIFS($AD$2:$AD$200,$G86)&gt;0,
    COUNTIFS($AE$2:$AE$200,$G86)&gt;0,
    COUNTIFS($AF$2:$AF$200,$G86)&gt;0,
    COUNTIFS($AG$2:$AG$200,$G86)&gt;0,
    COUNTIFS($AH$2:$AH$200,$G86)&gt;0,
    COUNTIFS($AI$2:$AI$200,$G86)&gt;0,
    COUNTIFS($AJ$2:$AJ$200,$G86)&gt;0,
    COUNTIFS($AK$2:$AK$200,$G86)&gt;0,
    COUNTIFS($AL$2:$AL$200,$G86)&gt;0,
    COUNTIFS($AM$2:$AM$200,$G86)&gt;0,
    COUNTIFS($AN$2:$AN$200,$G86)&gt;0,
    COUNTIFS($AO$2:$AO$200,$G86)&gt;0,
    COUNTIFS($AP$2:$AP$200,$G86)&gt;0,
    COUNTIFS($AQ$2:$AQ$200,$G86)&gt;0,
    COUNTIFS($AR$2:$AR$200,$G86)&gt;0,
    COUNTIFS($AS$2:$AS$200,$G86)&gt;0,
    COUNTIFS($AT$2:$AT$200,$G86)&gt;0,
    COUNTIFS($AU$2:$AU$200,$G86)&gt;0,
    COUNTIFS($AV$2:$AV$200,$G86)&gt;0,
    COUNTIFS($AW$2:$AW$200,$G86)&gt;0,
    COUNTIFS($AX$2:$AX$200,$G86)&gt;0,
    COUNTIFS($AY$2:$AY$200,$G86)&gt;0,
    COUNTIFS($AZ$2:$AZ$200,$G86)&gt;0,
    COUNTIFS($BA$2:$BA$200,$G86)&gt;0,
    COUNTIFS($BB$2:$BB$200,$G86)&gt;0,
    COUNTIFS($BC$2:$BC$200,$G86)&gt;0,
    COUNTIFS($BD$2:$BD$200,$G86)&gt;0,
    COUNTIFS($BE$2:$BE$200,$G86)&gt;0,
    COUNTIFS($BF$2:$BF$200,$G86)&gt;0,
    COUNTIFS($BG$2:$BG$200,$G86)&gt;0,
    COUNTIFS($BH$2:$BH$200,$G86)&gt;0,
    COUNTIFS($BI$2:$BI$200,$G86)&gt;0,
    COUNTIFS($BJ$2:$BJ$200,$G86)&gt;0,
    COUNTIFS($BK$2:$BK$200,$G86)&gt;0,
    COUNTIFS($BL$2:$BL$200,$G86)&gt;0,
    COUNTIFS($BM$2:$BM$200,$G86)&gt;0,
   ),
  0)
 ),
"")</f>
        <v>Akiri</v>
      </c>
      <c r="D86" s="2" t="str" cm="1">
        <f t="array" aca="1" ref="D86" ca="1">IFERROR(
 INDEX(
  _xlfn._xlws.FILTER($V$1:$AY$1,
   TRANSPOSE(
    CHOOSE({1;2;3;4;5;6;7;8;9;10;11;12;13;14;15;16;17;18;19;20;21;22;23;24;25;26;27;28;29;30},
     COUNTIFS($V$2:$V$200,$G86)&gt;0,
     COUNTIFS($W$2:$W$200,$G86)&gt;0,
     COUNTIFS($X$2:$X$200,$G86)&gt;0,
     COUNTIFS($Y$2:$Y$200,$G86)&gt;0,
     COUNTIFS($Z$2:$Z$200,$G86)&gt;0,
     COUNTIFS($AA$2:$AA$200,$G86)&gt;0,
     COUNTIFS($AB$2:$AB$200,$G86)&gt;0,
     COUNTIFS($AC$2:$AC$200,$G86)&gt;0,
     COUNTIFS($AD$2:$AD$200,$G86)&gt;0,
     COUNTIFS($AE$2:$AE$200,$G86)&gt;0,
     COUNTIFS($AF$2:$AF$200,$G86)&gt;0,
     COUNTIFS($AG$2:$AG$200,$G86)&gt;0,
     COUNTIFS($AH$2:$AH$200,$G86)&gt;0,
     COUNTIFS($AI$2:$AI$200,$G86)&gt;0,
     COUNTIFS($AJ$2:$AJ$200,$G86)&gt;0,
     COUNTIFS($AK$2:$AK$200,$G86)&gt;0,
     COUNTIFS($AL$2:$AL$200,$G86)&gt;0,
     COUNTIFS($AM$2:$AM$200,$G86)&gt;0,
     COUNTIFS($AN$2:$AN$200,$G86)&gt;0,
     COUNTIFS($AO$2:$AO$200,$G86)&gt;0,
     COUNTIFS($AP$2:$AP$200,$G86)&gt;0,
     COUNTIFS($AQ$2:$AQ$200,$G86)&gt;0,
     COUNTIFS($AR$2:$AR$200,$G86)&gt;0,
     COUNTIFS($AS$2:$AS$200,$G86)&gt;0,
     COUNTIFS($AT$2:$AT$200,$G86)&gt;0,
     COUNTIFS($AU$2:$AU$200,$G86)&gt;0,
     COUNTIFS($AV$2:$AV$200,$G86)&gt;0,
     COUNTIFS($AW$2:$AW$200,$G86)&gt;0,
     COUNTIFS($AX$2:$AX$200,$G86)&gt;0,
     COUNTIFS($AY$2:$AY$200,$G86)&gt;0
   )),
  ),
  2
 ),
"")</f>
        <v/>
      </c>
      <c r="E86" s="2" t="str" cm="1">
        <f t="array" aca="1" ref="E86" ca="1">IFERROR(
 INDEX(
  _xlfn._xlws.FILTER($V$1:$AY$1,
   TRANSPOSE(
    CHOOSE({1;2;3;4;5;6;7;8;9;10;11;12;13;14;15;16;17;18;19;20;21;22;23;24;25;26;27;28;29;30},
     COUNTIFS($V$2:$V$200,$G86)&gt;0,
     COUNTIFS($W$2:$W$200,$G86)&gt;0,
     COUNTIFS($X$2:$X$200,$G86)&gt;0,
     COUNTIFS($Y$2:$Y$200,$G86)&gt;0,
     COUNTIFS($Z$2:$Z$200,$G86)&gt;0,
     COUNTIFS($AA$2:$AA$200,$G86)&gt;0,
     COUNTIFS($AB$2:$AB$200,$G86)&gt;0,
     COUNTIFS($AC$2:$AC$200,$G86)&gt;0,
     COUNTIFS($AD$2:$AD$200,$G86)&gt;0,
     COUNTIFS($AE$2:$AE$200,$G86)&gt;0,
     COUNTIFS($AF$2:$AF$200,$G86)&gt;0,
     COUNTIFS($AG$2:$AG$200,$G86)&gt;0,
     COUNTIFS($AH$2:$AH$200,$G86)&gt;0,
     COUNTIFS($AI$2:$AI$200,$G86)&gt;0,
     COUNTIFS($AJ$2:$AJ$200,$G86)&gt;0,
     COUNTIFS($AK$2:$AK$200,$G86)&gt;0,
     COUNTIFS($AL$2:$AL$200,$G86)&gt;0,
     COUNTIFS($AM$2:$AM$200,$G86)&gt;0,
     COUNTIFS($AN$2:$AN$200,$G86)&gt;0,
     COUNTIFS($AO$2:$AO$200,$G86)&gt;0,
     COUNTIFS($AP$2:$AP$200,$G86)&gt;0,
     COUNTIFS($AQ$2:$AQ$200,$G86)&gt;0,
     COUNTIFS($AR$2:$AR$200,$G86)&gt;0,
     COUNTIFS($AS$2:$AS$200,$G86)&gt;0,
     COUNTIFS($AT$2:$AT$200,$G86)&gt;0,
     COUNTIFS($AU$2:$AU$200,$G86)&gt;0,
     COUNTIFS($AV$2:$AV$200,$G86)&gt;0,
     COUNTIFS($AW$2:$AW$200,$G86)&gt;0,
     COUNTIFS($AX$2:$AX$200,$G86)&gt;0,
     COUNTIFS($AY$2:$AY$200,$G86)&gt;0
   )),
  ),
  3
 ),
"")</f>
        <v/>
      </c>
      <c r="F86" s="2" t="str" cm="1">
        <f t="array" aca="1" ref="F86" ca="1">IFERROR(
 INDEX(
  _xlfn._xlws.FILTER($V$1:$AY$1,
   TRANSPOSE(
    CHOOSE({1;2;3;4;5;6;7;8;9;10;11;12;13;14;15;16;17;18;19;20;21;22;23;24;25;26;27;28;29;30},
     COUNTIFS($V$2:$V$200,$G86)&gt;0,
     COUNTIFS($W$2:$W$200,$G86)&gt;0,
     COUNTIFS($X$2:$X$200,$G86)&gt;0,
     COUNTIFS($Y$2:$Y$200,$G86)&gt;0,
     COUNTIFS($Z$2:$Z$200,$G86)&gt;0,
     COUNTIFS($AA$2:$AA$200,$G86)&gt;0,
     COUNTIFS($AB$2:$AB$200,$G86)&gt;0,
     COUNTIFS($AC$2:$AC$200,$G86)&gt;0,
     COUNTIFS($AD$2:$AD$200,$G86)&gt;0,
     COUNTIFS($AE$2:$AE$200,$G86)&gt;0,
     COUNTIFS($AF$2:$AF$200,$G86)&gt;0,
     COUNTIFS($AG$2:$AG$200,$G86)&gt;0,
     COUNTIFS($AH$2:$AH$200,$G86)&gt;0,
     COUNTIFS($AI$2:$AI$200,$G86)&gt;0,
     COUNTIFS($AJ$2:$AJ$200,$G86)&gt;0,
     COUNTIFS($AK$2:$AK$200,$G86)&gt;0,
     COUNTIFS($AL$2:$AL$200,$G86)&gt;0,
     COUNTIFS($AM$2:$AM$200,$G86)&gt;0,
     COUNTIFS($AN$2:$AN$200,$G86)&gt;0,
     COUNTIFS($AO$2:$AO$200,$G86)&gt;0,
     COUNTIFS($AP$2:$AP$200,$G86)&gt;0,
     COUNTIFS($AQ$2:$AQ$200,$G86)&gt;0,
     COUNTIFS($AR$2:$AR$200,$G86)&gt;0,
     COUNTIFS($AS$2:$AS$200,$G86)&gt;0,
     COUNTIFS($AT$2:$AT$200,$G86)&gt;0,
     COUNTIFS($AU$2:$AU$200,$G86)&gt;0,
     COUNTIFS($AV$2:$AV$200,$G86)&gt;0,
     COUNTIFS($AW$2:$AW$200,$G86)&gt;0,
     COUNTIFS($AX$2:$AX$200,$G86)&gt;0,
     COUNTIFS($AY$2:$AY$200,$G86)&gt;0
   )),
  ),
  4
 ),
"")</f>
        <v/>
      </c>
      <c r="G86" t="str">
        <f ca="1"/>
        <v>Cid, Freeflier Pilot</v>
      </c>
      <c r="AO86" t="str">
        <v>Synapse Sliver</v>
      </c>
      <c r="BJ86" t="str">
        <v>Zurgo Stormrender</v>
      </c>
      <c r="BL86" t="str">
        <v>Swamp</v>
      </c>
      <c r="CR86" t="str">
        <f ca="1"/>
        <v>Temple Garden</v>
      </c>
      <c r="DT86" t="str">
        <f ca="1"/>
        <v>Swamp</v>
      </c>
      <c r="DZ86" t="str">
        <f ca="1"/>
        <v>Natural Connection</v>
      </c>
      <c r="EG86" t="str">
        <f ca="1"/>
        <v>Spectacular Spider-Man</v>
      </c>
      <c r="EH86" t="str">
        <f ca="1"/>
        <v>Warren Soultrader</v>
      </c>
      <c r="EI86" t="str">
        <f ca="1"/>
        <v>Realmwalker</v>
      </c>
      <c r="EL86" t="str">
        <f ca="1"/>
        <v>Natural Connection</v>
      </c>
      <c r="EP86" t="str">
        <f ca="1"/>
        <v>Lavaspur Boots</v>
      </c>
      <c r="EQ86" t="str">
        <f ca="1"/>
        <v>Katara's Reversal</v>
      </c>
      <c r="ER86" t="str">
        <f ca="1"/>
        <v>Havengul Laboratory</v>
      </c>
      <c r="EU86" t="str">
        <f ca="1"/>
        <v>Dormant Sliver</v>
      </c>
      <c r="EV86" t="str">
        <f ca="1"/>
        <v>Havengul Laboratory</v>
      </c>
      <c r="EX86" t="str">
        <f ca="1"/>
        <v>Cid, Freeflier Pilot</v>
      </c>
    </row>
    <row r="87" spans="1:154" x14ac:dyDescent="0.25">
      <c r="A87" s="2" t="str">
        <f t="shared" ca="1" si="8"/>
        <v>5</v>
      </c>
      <c r="B87" s="2">
        <f t="shared" ca="1" si="9"/>
        <v>1</v>
      </c>
      <c r="C87" s="2" t="str">
        <f ca="1">IFERROR(
 INDEX($V$1:$BL$1,
  MATCH(TRUE,
   CHOOSE({1;2;3;4;5;6;7;8;9;10;11;12;13;14;15;16;17;18;19;20;21;22;23;24;25;26;27;28;29;30;31;32;33;34;35;36;37;38;39;40;41;42;43},
    COUNTIFS($V$2:$V$200,$G87)&gt;0,
    COUNTIFS($W$2:$W$200,$G87)&gt;0,
    COUNTIFS($X$2:$X$200,$G87)&gt;0,
    COUNTIFS($Y$2:$Y$200,$G87)&gt;0,
    COUNTIFS($Z$2:$Z$200,$G87)&gt;0,
    COUNTIFS($AA$2:$AA$200,$G87)&gt;0,
    COUNTIFS($AB$2:$AB$200,$G87)&gt;0,
    COUNTIFS($AC$2:$AC$200,$G87)&gt;0,
    COUNTIFS($AD$2:$AD$200,$G87)&gt;0,
    COUNTIFS($AE$2:$AE$200,$G87)&gt;0,
    COUNTIFS($AF$2:$AF$200,$G87)&gt;0,
    COUNTIFS($AG$2:$AG$200,$G87)&gt;0,
    COUNTIFS($AH$2:$AH$200,$G87)&gt;0,
    COUNTIFS($AI$2:$AI$200,$G87)&gt;0,
    COUNTIFS($AJ$2:$AJ$200,$G87)&gt;0,
    COUNTIFS($AK$2:$AK$200,$G87)&gt;0,
    COUNTIFS($AL$2:$AL$200,$G87)&gt;0,
    COUNTIFS($AM$2:$AM$200,$G87)&gt;0,
    COUNTIFS($AN$2:$AN$200,$G87)&gt;0,
    COUNTIFS($AO$2:$AO$200,$G87)&gt;0,
    COUNTIFS($AP$2:$AP$200,$G87)&gt;0,
    COUNTIFS($AQ$2:$AQ$200,$G87)&gt;0,
    COUNTIFS($AR$2:$AR$200,$G87)&gt;0,
    COUNTIFS($AS$2:$AS$200,$G87)&gt;0,
    COUNTIFS($AT$2:$AT$200,$G87)&gt;0,
    COUNTIFS($AU$2:$AU$200,$G87)&gt;0,
    COUNTIFS($AV$2:$AV$200,$G87)&gt;0,
    COUNTIFS($AW$2:$AW$200,$G87)&gt;0,
    COUNTIFS($AX$2:$AX$200,$G87)&gt;0,
    COUNTIFS($AY$2:$AY$200,$G87)&gt;0,
    COUNTIFS($AZ$2:$AZ$200,$G87)&gt;0,
    COUNTIFS($BA$2:$BA$200,$G87)&gt;0,
    COUNTIFS($BB$2:$BB$200,$G87)&gt;0,
    COUNTIFS($BC$2:$BC$200,$G87)&gt;0,
    COUNTIFS($BD$2:$BD$200,$G87)&gt;0,
    COUNTIFS($BE$2:$BE$200,$G87)&gt;0,
    COUNTIFS($BF$2:$BF$200,$G87)&gt;0,
    COUNTIFS($BG$2:$BG$200,$G87)&gt;0,
    COUNTIFS($BH$2:$BH$200,$G87)&gt;0,
    COUNTIFS($BI$2:$BI$200,$G87)&gt;0,
    COUNTIFS($BJ$2:$BJ$200,$G87)&gt;0,
    COUNTIFS($BK$2:$BK$200,$G87)&gt;0,
    COUNTIFS($BL$2:$BL$200,$G87)&gt;0,
    COUNTIFS($BM$2:$BM$200,$G87)&gt;0,
   ),
  0)
 ),
"")</f>
        <v>Little</v>
      </c>
      <c r="D87" s="2" t="str" cm="1">
        <f t="array" aca="1" ref="D87" ca="1">IFERROR(
 INDEX(
  _xlfn._xlws.FILTER($V$1:$AY$1,
   TRANSPOSE(
    CHOOSE({1;2;3;4;5;6;7;8;9;10;11;12;13;14;15;16;17;18;19;20;21;22;23;24;25;26;27;28;29;30},
     COUNTIFS($V$2:$V$200,$G87)&gt;0,
     COUNTIFS($W$2:$W$200,$G87)&gt;0,
     COUNTIFS($X$2:$X$200,$G87)&gt;0,
     COUNTIFS($Y$2:$Y$200,$G87)&gt;0,
     COUNTIFS($Z$2:$Z$200,$G87)&gt;0,
     COUNTIFS($AA$2:$AA$200,$G87)&gt;0,
     COUNTIFS($AB$2:$AB$200,$G87)&gt;0,
     COUNTIFS($AC$2:$AC$200,$G87)&gt;0,
     COUNTIFS($AD$2:$AD$200,$G87)&gt;0,
     COUNTIFS($AE$2:$AE$200,$G87)&gt;0,
     COUNTIFS($AF$2:$AF$200,$G87)&gt;0,
     COUNTIFS($AG$2:$AG$200,$G87)&gt;0,
     COUNTIFS($AH$2:$AH$200,$G87)&gt;0,
     COUNTIFS($AI$2:$AI$200,$G87)&gt;0,
     COUNTIFS($AJ$2:$AJ$200,$G87)&gt;0,
     COUNTIFS($AK$2:$AK$200,$G87)&gt;0,
     COUNTIFS($AL$2:$AL$200,$G87)&gt;0,
     COUNTIFS($AM$2:$AM$200,$G87)&gt;0,
     COUNTIFS($AN$2:$AN$200,$G87)&gt;0,
     COUNTIFS($AO$2:$AO$200,$G87)&gt;0,
     COUNTIFS($AP$2:$AP$200,$G87)&gt;0,
     COUNTIFS($AQ$2:$AQ$200,$G87)&gt;0,
     COUNTIFS($AR$2:$AR$200,$G87)&gt;0,
     COUNTIFS($AS$2:$AS$200,$G87)&gt;0,
     COUNTIFS($AT$2:$AT$200,$G87)&gt;0,
     COUNTIFS($AU$2:$AU$200,$G87)&gt;0,
     COUNTIFS($AV$2:$AV$200,$G87)&gt;0,
     COUNTIFS($AW$2:$AW$200,$G87)&gt;0,
     COUNTIFS($AX$2:$AX$200,$G87)&gt;0,
     COUNTIFS($AY$2:$AY$200,$G87)&gt;0
   )),
  ),
  2
 ),
"")</f>
        <v/>
      </c>
      <c r="E87" s="2" t="str" cm="1">
        <f t="array" aca="1" ref="E87" ca="1">IFERROR(
 INDEX(
  _xlfn._xlws.FILTER($V$1:$AY$1,
   TRANSPOSE(
    CHOOSE({1;2;3;4;5;6;7;8;9;10;11;12;13;14;15;16;17;18;19;20;21;22;23;24;25;26;27;28;29;30},
     COUNTIFS($V$2:$V$200,$G87)&gt;0,
     COUNTIFS($W$2:$W$200,$G87)&gt;0,
     COUNTIFS($X$2:$X$200,$G87)&gt;0,
     COUNTIFS($Y$2:$Y$200,$G87)&gt;0,
     COUNTIFS($Z$2:$Z$200,$G87)&gt;0,
     COUNTIFS($AA$2:$AA$200,$G87)&gt;0,
     COUNTIFS($AB$2:$AB$200,$G87)&gt;0,
     COUNTIFS($AC$2:$AC$200,$G87)&gt;0,
     COUNTIFS($AD$2:$AD$200,$G87)&gt;0,
     COUNTIFS($AE$2:$AE$200,$G87)&gt;0,
     COUNTIFS($AF$2:$AF$200,$G87)&gt;0,
     COUNTIFS($AG$2:$AG$200,$G87)&gt;0,
     COUNTIFS($AH$2:$AH$200,$G87)&gt;0,
     COUNTIFS($AI$2:$AI$200,$G87)&gt;0,
     COUNTIFS($AJ$2:$AJ$200,$G87)&gt;0,
     COUNTIFS($AK$2:$AK$200,$G87)&gt;0,
     COUNTIFS($AL$2:$AL$200,$G87)&gt;0,
     COUNTIFS($AM$2:$AM$200,$G87)&gt;0,
     COUNTIFS($AN$2:$AN$200,$G87)&gt;0,
     COUNTIFS($AO$2:$AO$200,$G87)&gt;0,
     COUNTIFS($AP$2:$AP$200,$G87)&gt;0,
     COUNTIFS($AQ$2:$AQ$200,$G87)&gt;0,
     COUNTIFS($AR$2:$AR$200,$G87)&gt;0,
     COUNTIFS($AS$2:$AS$200,$G87)&gt;0,
     COUNTIFS($AT$2:$AT$200,$G87)&gt;0,
     COUNTIFS($AU$2:$AU$200,$G87)&gt;0,
     COUNTIFS($AV$2:$AV$200,$G87)&gt;0,
     COUNTIFS($AW$2:$AW$200,$G87)&gt;0,
     COUNTIFS($AX$2:$AX$200,$G87)&gt;0,
     COUNTIFS($AY$2:$AY$200,$G87)&gt;0
   )),
  ),
  3
 ),
"")</f>
        <v/>
      </c>
      <c r="F87" s="2" t="str" cm="1">
        <f t="array" aca="1" ref="F87" ca="1">IFERROR(
 INDEX(
  _xlfn._xlws.FILTER($V$1:$AY$1,
   TRANSPOSE(
    CHOOSE({1;2;3;4;5;6;7;8;9;10;11;12;13;14;15;16;17;18;19;20;21;22;23;24;25;26;27;28;29;30},
     COUNTIFS($V$2:$V$200,$G87)&gt;0,
     COUNTIFS($W$2:$W$200,$G87)&gt;0,
     COUNTIFS($X$2:$X$200,$G87)&gt;0,
     COUNTIFS($Y$2:$Y$200,$G87)&gt;0,
     COUNTIFS($Z$2:$Z$200,$G87)&gt;0,
     COUNTIFS($AA$2:$AA$200,$G87)&gt;0,
     COUNTIFS($AB$2:$AB$200,$G87)&gt;0,
     COUNTIFS($AC$2:$AC$200,$G87)&gt;0,
     COUNTIFS($AD$2:$AD$200,$G87)&gt;0,
     COUNTIFS($AE$2:$AE$200,$G87)&gt;0,
     COUNTIFS($AF$2:$AF$200,$G87)&gt;0,
     COUNTIFS($AG$2:$AG$200,$G87)&gt;0,
     COUNTIFS($AH$2:$AH$200,$G87)&gt;0,
     COUNTIFS($AI$2:$AI$200,$G87)&gt;0,
     COUNTIFS($AJ$2:$AJ$200,$G87)&gt;0,
     COUNTIFS($AK$2:$AK$200,$G87)&gt;0,
     COUNTIFS($AL$2:$AL$200,$G87)&gt;0,
     COUNTIFS($AM$2:$AM$200,$G87)&gt;0,
     COUNTIFS($AN$2:$AN$200,$G87)&gt;0,
     COUNTIFS($AO$2:$AO$200,$G87)&gt;0,
     COUNTIFS($AP$2:$AP$200,$G87)&gt;0,
     COUNTIFS($AQ$2:$AQ$200,$G87)&gt;0,
     COUNTIFS($AR$2:$AR$200,$G87)&gt;0,
     COUNTIFS($AS$2:$AS$200,$G87)&gt;0,
     COUNTIFS($AT$2:$AT$200,$G87)&gt;0,
     COUNTIFS($AU$2:$AU$200,$G87)&gt;0,
     COUNTIFS($AV$2:$AV$200,$G87)&gt;0,
     COUNTIFS($AW$2:$AW$200,$G87)&gt;0,
     COUNTIFS($AX$2:$AX$200,$G87)&gt;0,
     COUNTIFS($AY$2:$AY$200,$G87)&gt;0
   )),
  ),
  4
 ),
"")</f>
        <v/>
      </c>
      <c r="G87" t="str">
        <f ca="1"/>
        <v>Cinder Glade</v>
      </c>
      <c r="AO87" t="str">
        <v>Syphon Sliver</v>
      </c>
      <c r="BJ87" t="str">
        <v>Zurgo, Thunder's Decree</v>
      </c>
      <c r="BL87" t="str">
        <v>Swamp</v>
      </c>
      <c r="CR87" t="str">
        <f ca="1"/>
        <v>The First Sliver</v>
      </c>
      <c r="DT87" t="str">
        <f ca="1"/>
        <v>Synapse Sliver</v>
      </c>
      <c r="DZ87" t="str">
        <f ca="1"/>
        <v>Negate</v>
      </c>
      <c r="EG87" t="str">
        <f ca="1"/>
        <v>Sphere Grid</v>
      </c>
      <c r="EH87" t="str">
        <f ca="1"/>
        <v>Watery Grave</v>
      </c>
      <c r="EI87" t="str">
        <f ca="1"/>
        <v>Red XIII, Proud Warrior</v>
      </c>
      <c r="EL87" t="str">
        <f ca="1"/>
        <v>Negate</v>
      </c>
      <c r="EP87" t="str">
        <f ca="1"/>
        <v>Life of the Party</v>
      </c>
      <c r="EQ87" t="str">
        <f ca="1"/>
        <v>Ketria Triome</v>
      </c>
      <c r="ER87" t="str">
        <f ca="1"/>
        <v>Headliner Scarlett</v>
      </c>
      <c r="EU87" t="str">
        <f ca="1"/>
        <v>Dregscape Sliver</v>
      </c>
      <c r="EV87" t="str">
        <f ca="1"/>
        <v>Headliner Scarlett</v>
      </c>
      <c r="EX87" t="str">
        <f ca="1"/>
        <v>Cinder Glade</v>
      </c>
    </row>
    <row r="88" spans="1:154" x14ac:dyDescent="0.25">
      <c r="A88" s="2" t="str">
        <f t="shared" ca="1" si="8"/>
        <v>4</v>
      </c>
      <c r="B88" s="2">
        <f t="shared" ca="1" si="9"/>
        <v>1</v>
      </c>
      <c r="C88" s="2" t="str">
        <f ca="1">IFERROR(
 INDEX($V$1:$BL$1,
  MATCH(TRUE,
   CHOOSE({1;2;3;4;5;6;7;8;9;10;11;12;13;14;15;16;17;18;19;20;21;22;23;24;25;26;27;28;29;30;31;32;33;34;35;36;37;38;39;40;41;42;43},
    COUNTIFS($V$2:$V$200,$G88)&gt;0,
    COUNTIFS($W$2:$W$200,$G88)&gt;0,
    COUNTIFS($X$2:$X$200,$G88)&gt;0,
    COUNTIFS($Y$2:$Y$200,$G88)&gt;0,
    COUNTIFS($Z$2:$Z$200,$G88)&gt;0,
    COUNTIFS($AA$2:$AA$200,$G88)&gt;0,
    COUNTIFS($AB$2:$AB$200,$G88)&gt;0,
    COUNTIFS($AC$2:$AC$200,$G88)&gt;0,
    COUNTIFS($AD$2:$AD$200,$G88)&gt;0,
    COUNTIFS($AE$2:$AE$200,$G88)&gt;0,
    COUNTIFS($AF$2:$AF$200,$G88)&gt;0,
    COUNTIFS($AG$2:$AG$200,$G88)&gt;0,
    COUNTIFS($AH$2:$AH$200,$G88)&gt;0,
    COUNTIFS($AI$2:$AI$200,$G88)&gt;0,
    COUNTIFS($AJ$2:$AJ$200,$G88)&gt;0,
    COUNTIFS($AK$2:$AK$200,$G88)&gt;0,
    COUNTIFS($AL$2:$AL$200,$G88)&gt;0,
    COUNTIFS($AM$2:$AM$200,$G88)&gt;0,
    COUNTIFS($AN$2:$AN$200,$G88)&gt;0,
    COUNTIFS($AO$2:$AO$200,$G88)&gt;0,
    COUNTIFS($AP$2:$AP$200,$G88)&gt;0,
    COUNTIFS($AQ$2:$AQ$200,$G88)&gt;0,
    COUNTIFS($AR$2:$AR$200,$G88)&gt;0,
    COUNTIFS($AS$2:$AS$200,$G88)&gt;0,
    COUNTIFS($AT$2:$AT$200,$G88)&gt;0,
    COUNTIFS($AU$2:$AU$200,$G88)&gt;0,
    COUNTIFS($AV$2:$AV$200,$G88)&gt;0,
    COUNTIFS($AW$2:$AW$200,$G88)&gt;0,
    COUNTIFS($AX$2:$AX$200,$G88)&gt;0,
    COUNTIFS($AY$2:$AY$200,$G88)&gt;0,
    COUNTIFS($AZ$2:$AZ$200,$G88)&gt;0,
    COUNTIFS($BA$2:$BA$200,$G88)&gt;0,
    COUNTIFS($BB$2:$BB$200,$G88)&gt;0,
    COUNTIFS($BC$2:$BC$200,$G88)&gt;0,
    COUNTIFS($BD$2:$BD$200,$G88)&gt;0,
    COUNTIFS($BE$2:$BE$200,$G88)&gt;0,
    COUNTIFS($BF$2:$BF$200,$G88)&gt;0,
    COUNTIFS($BG$2:$BG$200,$G88)&gt;0,
    COUNTIFS($BH$2:$BH$200,$G88)&gt;0,
    COUNTIFS($BI$2:$BI$200,$G88)&gt;0,
    COUNTIFS($BJ$2:$BJ$200,$G88)&gt;0,
    COUNTIFS($BK$2:$BK$200,$G88)&gt;0,
    COUNTIFS($BL$2:$BL$200,$G88)&gt;0,
    COUNTIFS($BM$2:$BM$200,$G88)&gt;0,
   ),
  0)
 ),
"")</f>
        <v>Ool</v>
      </c>
      <c r="D88" s="2" t="str" cm="1">
        <f t="array" aca="1" ref="D88" ca="1">IFERROR(
 INDEX(
  _xlfn._xlws.FILTER($V$1:$AY$1,
   TRANSPOSE(
    CHOOSE({1;2;3;4;5;6;7;8;9;10;11;12;13;14;15;16;17;18;19;20;21;22;23;24;25;26;27;28;29;30},
     COUNTIFS($V$2:$V$200,$G88)&gt;0,
     COUNTIFS($W$2:$W$200,$G88)&gt;0,
     COUNTIFS($X$2:$X$200,$G88)&gt;0,
     COUNTIFS($Y$2:$Y$200,$G88)&gt;0,
     COUNTIFS($Z$2:$Z$200,$G88)&gt;0,
     COUNTIFS($AA$2:$AA$200,$G88)&gt;0,
     COUNTIFS($AB$2:$AB$200,$G88)&gt;0,
     COUNTIFS($AC$2:$AC$200,$G88)&gt;0,
     COUNTIFS($AD$2:$AD$200,$G88)&gt;0,
     COUNTIFS($AE$2:$AE$200,$G88)&gt;0,
     COUNTIFS($AF$2:$AF$200,$G88)&gt;0,
     COUNTIFS($AG$2:$AG$200,$G88)&gt;0,
     COUNTIFS($AH$2:$AH$200,$G88)&gt;0,
     COUNTIFS($AI$2:$AI$200,$G88)&gt;0,
     COUNTIFS($AJ$2:$AJ$200,$G88)&gt;0,
     COUNTIFS($AK$2:$AK$200,$G88)&gt;0,
     COUNTIFS($AL$2:$AL$200,$G88)&gt;0,
     COUNTIFS($AM$2:$AM$200,$G88)&gt;0,
     COUNTIFS($AN$2:$AN$200,$G88)&gt;0,
     COUNTIFS($AO$2:$AO$200,$G88)&gt;0,
     COUNTIFS($AP$2:$AP$200,$G88)&gt;0,
     COUNTIFS($AQ$2:$AQ$200,$G88)&gt;0,
     COUNTIFS($AR$2:$AR$200,$G88)&gt;0,
     COUNTIFS($AS$2:$AS$200,$G88)&gt;0,
     COUNTIFS($AT$2:$AT$200,$G88)&gt;0,
     COUNTIFS($AU$2:$AU$200,$G88)&gt;0,
     COUNTIFS($AV$2:$AV$200,$G88)&gt;0,
     COUNTIFS($AW$2:$AW$200,$G88)&gt;0,
     COUNTIFS($AX$2:$AX$200,$G88)&gt;0,
     COUNTIFS($AY$2:$AY$200,$G88)&gt;0
   )),
  ),
  2
 ),
"")</f>
        <v/>
      </c>
      <c r="E88" s="2" t="str" cm="1">
        <f t="array" aca="1" ref="E88" ca="1">IFERROR(
 INDEX(
  _xlfn._xlws.FILTER($V$1:$AY$1,
   TRANSPOSE(
    CHOOSE({1;2;3;4;5;6;7;8;9;10;11;12;13;14;15;16;17;18;19;20;21;22;23;24;25;26;27;28;29;30},
     COUNTIFS($V$2:$V$200,$G88)&gt;0,
     COUNTIFS($W$2:$W$200,$G88)&gt;0,
     COUNTIFS($X$2:$X$200,$G88)&gt;0,
     COUNTIFS($Y$2:$Y$200,$G88)&gt;0,
     COUNTIFS($Z$2:$Z$200,$G88)&gt;0,
     COUNTIFS($AA$2:$AA$200,$G88)&gt;0,
     COUNTIFS($AB$2:$AB$200,$G88)&gt;0,
     COUNTIFS($AC$2:$AC$200,$G88)&gt;0,
     COUNTIFS($AD$2:$AD$200,$G88)&gt;0,
     COUNTIFS($AE$2:$AE$200,$G88)&gt;0,
     COUNTIFS($AF$2:$AF$200,$G88)&gt;0,
     COUNTIFS($AG$2:$AG$200,$G88)&gt;0,
     COUNTIFS($AH$2:$AH$200,$G88)&gt;0,
     COUNTIFS($AI$2:$AI$200,$G88)&gt;0,
     COUNTIFS($AJ$2:$AJ$200,$G88)&gt;0,
     COUNTIFS($AK$2:$AK$200,$G88)&gt;0,
     COUNTIFS($AL$2:$AL$200,$G88)&gt;0,
     COUNTIFS($AM$2:$AM$200,$G88)&gt;0,
     COUNTIFS($AN$2:$AN$200,$G88)&gt;0,
     COUNTIFS($AO$2:$AO$200,$G88)&gt;0,
     COUNTIFS($AP$2:$AP$200,$G88)&gt;0,
     COUNTIFS($AQ$2:$AQ$200,$G88)&gt;0,
     COUNTIFS($AR$2:$AR$200,$G88)&gt;0,
     COUNTIFS($AS$2:$AS$200,$G88)&gt;0,
     COUNTIFS($AT$2:$AT$200,$G88)&gt;0,
     COUNTIFS($AU$2:$AU$200,$G88)&gt;0,
     COUNTIFS($AV$2:$AV$200,$G88)&gt;0,
     COUNTIFS($AW$2:$AW$200,$G88)&gt;0,
     COUNTIFS($AX$2:$AX$200,$G88)&gt;0,
     COUNTIFS($AY$2:$AY$200,$G88)&gt;0
   )),
  ),
  3
 ),
"")</f>
        <v/>
      </c>
      <c r="F88" s="2" t="str" cm="1">
        <f t="array" aca="1" ref="F88" ca="1">IFERROR(
 INDEX(
  _xlfn._xlws.FILTER($V$1:$AY$1,
   TRANSPOSE(
    CHOOSE({1;2;3;4;5;6;7;8;9;10;11;12;13;14;15;16;17;18;19;20;21;22;23;24;25;26;27;28;29;30},
     COUNTIFS($V$2:$V$200,$G88)&gt;0,
     COUNTIFS($W$2:$W$200,$G88)&gt;0,
     COUNTIFS($X$2:$X$200,$G88)&gt;0,
     COUNTIFS($Y$2:$Y$200,$G88)&gt;0,
     COUNTIFS($Z$2:$Z$200,$G88)&gt;0,
     COUNTIFS($AA$2:$AA$200,$G88)&gt;0,
     COUNTIFS($AB$2:$AB$200,$G88)&gt;0,
     COUNTIFS($AC$2:$AC$200,$G88)&gt;0,
     COUNTIFS($AD$2:$AD$200,$G88)&gt;0,
     COUNTIFS($AE$2:$AE$200,$G88)&gt;0,
     COUNTIFS($AF$2:$AF$200,$G88)&gt;0,
     COUNTIFS($AG$2:$AG$200,$G88)&gt;0,
     COUNTIFS($AH$2:$AH$200,$G88)&gt;0,
     COUNTIFS($AI$2:$AI$200,$G88)&gt;0,
     COUNTIFS($AJ$2:$AJ$200,$G88)&gt;0,
     COUNTIFS($AK$2:$AK$200,$G88)&gt;0,
     COUNTIFS($AL$2:$AL$200,$G88)&gt;0,
     COUNTIFS($AM$2:$AM$200,$G88)&gt;0,
     COUNTIFS($AN$2:$AN$200,$G88)&gt;0,
     COUNTIFS($AO$2:$AO$200,$G88)&gt;0,
     COUNTIFS($AP$2:$AP$200,$G88)&gt;0,
     COUNTIFS($AQ$2:$AQ$200,$G88)&gt;0,
     COUNTIFS($AR$2:$AR$200,$G88)&gt;0,
     COUNTIFS($AS$2:$AS$200,$G88)&gt;0,
     COUNTIFS($AT$2:$AT$200,$G88)&gt;0,
     COUNTIFS($AU$2:$AU$200,$G88)&gt;0,
     COUNTIFS($AV$2:$AV$200,$G88)&gt;0,
     COUNTIFS($AW$2:$AW$200,$G88)&gt;0,
     COUNTIFS($AX$2:$AX$200,$G88)&gt;0,
     COUNTIFS($AY$2:$AY$200,$G88)&gt;0
   )),
  ),
  4
 ),
"")</f>
        <v/>
      </c>
      <c r="G88" t="str">
        <f ca="1"/>
        <v>Cinder Strike</v>
      </c>
      <c r="AO88" t="str">
        <v>Taunting Sliver</v>
      </c>
      <c r="BL88" t="str">
        <v>Swamp</v>
      </c>
      <c r="CR88" t="str">
        <f ca="1"/>
        <v>Thorncaster Sliver</v>
      </c>
      <c r="DT88" t="str">
        <f ca="1"/>
        <v>Syphon Sliver</v>
      </c>
      <c r="DZ88" t="str">
        <f ca="1"/>
        <v>Niv-Mizzet, Parun</v>
      </c>
      <c r="EG88" t="str">
        <f ca="1"/>
        <v>Springleaf Parade</v>
      </c>
      <c r="EI88" t="str">
        <f ca="1"/>
        <v>Reflecting Pool</v>
      </c>
      <c r="EL88" t="str">
        <f ca="1"/>
        <v>Niv-Mizzet, Parun</v>
      </c>
      <c r="EP88" t="str">
        <f ca="1"/>
        <v>Lightning Greaves</v>
      </c>
      <c r="EQ88" t="str">
        <f ca="1"/>
        <v>Kinnan, Bonder Prodigy</v>
      </c>
      <c r="ER88" t="str">
        <f ca="1"/>
        <v>Hurkyl's Final Meditation</v>
      </c>
      <c r="EU88" t="str">
        <f ca="1"/>
        <v>Drowned Catacomb</v>
      </c>
      <c r="EV88" t="str">
        <f ca="1"/>
        <v>Hurkyl's Final Meditation</v>
      </c>
      <c r="EX88" t="str">
        <f ca="1"/>
        <v>Cinder Strike</v>
      </c>
    </row>
    <row r="89" spans="1:154" x14ac:dyDescent="0.25">
      <c r="A89" s="2" t="str">
        <f t="shared" ca="1" si="8"/>
        <v>4</v>
      </c>
      <c r="B89" s="2">
        <f t="shared" ca="1" si="9"/>
        <v>1</v>
      </c>
      <c r="C89" s="2" t="str">
        <f ca="1">IFERROR(
 INDEX($V$1:$BL$1,
  MATCH(TRUE,
   CHOOSE({1;2;3;4;5;6;7;8;9;10;11;12;13;14;15;16;17;18;19;20;21;22;23;24;25;26;27;28;29;30;31;32;33;34;35;36;37;38;39;40;41;42;43},
    COUNTIFS($V$2:$V$200,$G89)&gt;0,
    COUNTIFS($W$2:$W$200,$G89)&gt;0,
    COUNTIFS($X$2:$X$200,$G89)&gt;0,
    COUNTIFS($Y$2:$Y$200,$G89)&gt;0,
    COUNTIFS($Z$2:$Z$200,$G89)&gt;0,
    COUNTIFS($AA$2:$AA$200,$G89)&gt;0,
    COUNTIFS($AB$2:$AB$200,$G89)&gt;0,
    COUNTIFS($AC$2:$AC$200,$G89)&gt;0,
    COUNTIFS($AD$2:$AD$200,$G89)&gt;0,
    COUNTIFS($AE$2:$AE$200,$G89)&gt;0,
    COUNTIFS($AF$2:$AF$200,$G89)&gt;0,
    COUNTIFS($AG$2:$AG$200,$G89)&gt;0,
    COUNTIFS($AH$2:$AH$200,$G89)&gt;0,
    COUNTIFS($AI$2:$AI$200,$G89)&gt;0,
    COUNTIFS($AJ$2:$AJ$200,$G89)&gt;0,
    COUNTIFS($AK$2:$AK$200,$G89)&gt;0,
    COUNTIFS($AL$2:$AL$200,$G89)&gt;0,
    COUNTIFS($AM$2:$AM$200,$G89)&gt;0,
    COUNTIFS($AN$2:$AN$200,$G89)&gt;0,
    COUNTIFS($AO$2:$AO$200,$G89)&gt;0,
    COUNTIFS($AP$2:$AP$200,$G89)&gt;0,
    COUNTIFS($AQ$2:$AQ$200,$G89)&gt;0,
    COUNTIFS($AR$2:$AR$200,$G89)&gt;0,
    COUNTIFS($AS$2:$AS$200,$G89)&gt;0,
    COUNTIFS($AT$2:$AT$200,$G89)&gt;0,
    COUNTIFS($AU$2:$AU$200,$G89)&gt;0,
    COUNTIFS($AV$2:$AV$200,$G89)&gt;0,
    COUNTIFS($AW$2:$AW$200,$G89)&gt;0,
    COUNTIFS($AX$2:$AX$200,$G89)&gt;0,
    COUNTIFS($AY$2:$AY$200,$G89)&gt;0,
    COUNTIFS($AZ$2:$AZ$200,$G89)&gt;0,
    COUNTIFS($BA$2:$BA$200,$G89)&gt;0,
    COUNTIFS($BB$2:$BB$200,$G89)&gt;0,
    COUNTIFS($BC$2:$BC$200,$G89)&gt;0,
    COUNTIFS($BD$2:$BD$200,$G89)&gt;0,
    COUNTIFS($BE$2:$BE$200,$G89)&gt;0,
    COUNTIFS($BF$2:$BF$200,$G89)&gt;0,
    COUNTIFS($BG$2:$BG$200,$G89)&gt;0,
    COUNTIFS($BH$2:$BH$200,$G89)&gt;0,
    COUNTIFS($BI$2:$BI$200,$G89)&gt;0,
    COUNTIFS($BJ$2:$BJ$200,$G89)&gt;0,
    COUNTIFS($BK$2:$BK$200,$G89)&gt;0,
    COUNTIFS($BL$2:$BL$200,$G89)&gt;0,
    COUNTIFS($BM$2:$BM$200,$G89)&gt;0,
   ),
  0)
 ),
"")</f>
        <v>Baylen</v>
      </c>
      <c r="D89" s="2" t="str" cm="1">
        <f t="array" aca="1" ref="D89" ca="1">IFERROR(
 INDEX(
  _xlfn._xlws.FILTER($V$1:$AY$1,
   TRANSPOSE(
    CHOOSE({1;2;3;4;5;6;7;8;9;10;11;12;13;14;15;16;17;18;19;20;21;22;23;24;25;26;27;28;29;30},
     COUNTIFS($V$2:$V$200,$G89)&gt;0,
     COUNTIFS($W$2:$W$200,$G89)&gt;0,
     COUNTIFS($X$2:$X$200,$G89)&gt;0,
     COUNTIFS($Y$2:$Y$200,$G89)&gt;0,
     COUNTIFS($Z$2:$Z$200,$G89)&gt;0,
     COUNTIFS($AA$2:$AA$200,$G89)&gt;0,
     COUNTIFS($AB$2:$AB$200,$G89)&gt;0,
     COUNTIFS($AC$2:$AC$200,$G89)&gt;0,
     COUNTIFS($AD$2:$AD$200,$G89)&gt;0,
     COUNTIFS($AE$2:$AE$200,$G89)&gt;0,
     COUNTIFS($AF$2:$AF$200,$G89)&gt;0,
     COUNTIFS($AG$2:$AG$200,$G89)&gt;0,
     COUNTIFS($AH$2:$AH$200,$G89)&gt;0,
     COUNTIFS($AI$2:$AI$200,$G89)&gt;0,
     COUNTIFS($AJ$2:$AJ$200,$G89)&gt;0,
     COUNTIFS($AK$2:$AK$200,$G89)&gt;0,
     COUNTIFS($AL$2:$AL$200,$G89)&gt;0,
     COUNTIFS($AM$2:$AM$200,$G89)&gt;0,
     COUNTIFS($AN$2:$AN$200,$G89)&gt;0,
     COUNTIFS($AO$2:$AO$200,$G89)&gt;0,
     COUNTIFS($AP$2:$AP$200,$G89)&gt;0,
     COUNTIFS($AQ$2:$AQ$200,$G89)&gt;0,
     COUNTIFS($AR$2:$AR$200,$G89)&gt;0,
     COUNTIFS($AS$2:$AS$200,$G89)&gt;0,
     COUNTIFS($AT$2:$AT$200,$G89)&gt;0,
     COUNTIFS($AU$2:$AU$200,$G89)&gt;0,
     COUNTIFS($AV$2:$AV$200,$G89)&gt;0,
     COUNTIFS($AW$2:$AW$200,$G89)&gt;0,
     COUNTIFS($AX$2:$AX$200,$G89)&gt;0,
     COUNTIFS($AY$2:$AY$200,$G89)&gt;0
   )),
  ),
  2
 ),
"")</f>
        <v/>
      </c>
      <c r="E89" s="2" t="str" cm="1">
        <f t="array" aca="1" ref="E89" ca="1">IFERROR(
 INDEX(
  _xlfn._xlws.FILTER($V$1:$AY$1,
   TRANSPOSE(
    CHOOSE({1;2;3;4;5;6;7;8;9;10;11;12;13;14;15;16;17;18;19;20;21;22;23;24;25;26;27;28;29;30},
     COUNTIFS($V$2:$V$200,$G89)&gt;0,
     COUNTIFS($W$2:$W$200,$G89)&gt;0,
     COUNTIFS($X$2:$X$200,$G89)&gt;0,
     COUNTIFS($Y$2:$Y$200,$G89)&gt;0,
     COUNTIFS($Z$2:$Z$200,$G89)&gt;0,
     COUNTIFS($AA$2:$AA$200,$G89)&gt;0,
     COUNTIFS($AB$2:$AB$200,$G89)&gt;0,
     COUNTIFS($AC$2:$AC$200,$G89)&gt;0,
     COUNTIFS($AD$2:$AD$200,$G89)&gt;0,
     COUNTIFS($AE$2:$AE$200,$G89)&gt;0,
     COUNTIFS($AF$2:$AF$200,$G89)&gt;0,
     COUNTIFS($AG$2:$AG$200,$G89)&gt;0,
     COUNTIFS($AH$2:$AH$200,$G89)&gt;0,
     COUNTIFS($AI$2:$AI$200,$G89)&gt;0,
     COUNTIFS($AJ$2:$AJ$200,$G89)&gt;0,
     COUNTIFS($AK$2:$AK$200,$G89)&gt;0,
     COUNTIFS($AL$2:$AL$200,$G89)&gt;0,
     COUNTIFS($AM$2:$AM$200,$G89)&gt;0,
     COUNTIFS($AN$2:$AN$200,$G89)&gt;0,
     COUNTIFS($AO$2:$AO$200,$G89)&gt;0,
     COUNTIFS($AP$2:$AP$200,$G89)&gt;0,
     COUNTIFS($AQ$2:$AQ$200,$G89)&gt;0,
     COUNTIFS($AR$2:$AR$200,$G89)&gt;0,
     COUNTIFS($AS$2:$AS$200,$G89)&gt;0,
     COUNTIFS($AT$2:$AT$200,$G89)&gt;0,
     COUNTIFS($AU$2:$AU$200,$G89)&gt;0,
     COUNTIFS($AV$2:$AV$200,$G89)&gt;0,
     COUNTIFS($AW$2:$AW$200,$G89)&gt;0,
     COUNTIFS($AX$2:$AX$200,$G89)&gt;0,
     COUNTIFS($AY$2:$AY$200,$G89)&gt;0
   )),
  ),
  3
 ),
"")</f>
        <v/>
      </c>
      <c r="F89" s="2" t="str" cm="1">
        <f t="array" aca="1" ref="F89" ca="1">IFERROR(
 INDEX(
  _xlfn._xlws.FILTER($V$1:$AY$1,
   TRANSPOSE(
    CHOOSE({1;2;3;4;5;6;7;8;9;10;11;12;13;14;15;16;17;18;19;20;21;22;23;24;25;26;27;28;29;30},
     COUNTIFS($V$2:$V$200,$G89)&gt;0,
     COUNTIFS($W$2:$W$200,$G89)&gt;0,
     COUNTIFS($X$2:$X$200,$G89)&gt;0,
     COUNTIFS($Y$2:$Y$200,$G89)&gt;0,
     COUNTIFS($Z$2:$Z$200,$G89)&gt;0,
     COUNTIFS($AA$2:$AA$200,$G89)&gt;0,
     COUNTIFS($AB$2:$AB$200,$G89)&gt;0,
     COUNTIFS($AC$2:$AC$200,$G89)&gt;0,
     COUNTIFS($AD$2:$AD$200,$G89)&gt;0,
     COUNTIFS($AE$2:$AE$200,$G89)&gt;0,
     COUNTIFS($AF$2:$AF$200,$G89)&gt;0,
     COUNTIFS($AG$2:$AG$200,$G89)&gt;0,
     COUNTIFS($AH$2:$AH$200,$G89)&gt;0,
     COUNTIFS($AI$2:$AI$200,$G89)&gt;0,
     COUNTIFS($AJ$2:$AJ$200,$G89)&gt;0,
     COUNTIFS($AK$2:$AK$200,$G89)&gt;0,
     COUNTIFS($AL$2:$AL$200,$G89)&gt;0,
     COUNTIFS($AM$2:$AM$200,$G89)&gt;0,
     COUNTIFS($AN$2:$AN$200,$G89)&gt;0,
     COUNTIFS($AO$2:$AO$200,$G89)&gt;0,
     COUNTIFS($AP$2:$AP$200,$G89)&gt;0,
     COUNTIFS($AQ$2:$AQ$200,$G89)&gt;0,
     COUNTIFS($AR$2:$AR$200,$G89)&gt;0,
     COUNTIFS($AS$2:$AS$200,$G89)&gt;0,
     COUNTIFS($AT$2:$AT$200,$G89)&gt;0,
     COUNTIFS($AU$2:$AU$200,$G89)&gt;0,
     COUNTIFS($AV$2:$AV$200,$G89)&gt;0,
     COUNTIFS($AW$2:$AW$200,$G89)&gt;0,
     COUNTIFS($AX$2:$AX$200,$G89)&gt;0,
     COUNTIFS($AY$2:$AY$200,$G89)&gt;0
   )),
  ),
  4
 ),
"")</f>
        <v/>
      </c>
      <c r="G89" t="str">
        <f ca="1"/>
        <v>Clever Concealment</v>
      </c>
      <c r="AO89" t="str">
        <v>Telekinetic Sliver</v>
      </c>
      <c r="BL89" t="str">
        <v>Swamp</v>
      </c>
      <c r="CR89" t="str">
        <f ca="1"/>
        <v>Thrumming Hivepool</v>
      </c>
      <c r="DT89" t="str">
        <f ca="1"/>
        <v>Taunting Sliver</v>
      </c>
      <c r="DZ89" t="str">
        <f ca="1"/>
        <v>Ohran Frostfang</v>
      </c>
      <c r="EG89" t="str">
        <f ca="1"/>
        <v>Stonybrook Banneret</v>
      </c>
      <c r="EI89" t="str">
        <f ca="1"/>
        <v>Regal Sliver</v>
      </c>
      <c r="EL89" t="str">
        <f ca="1"/>
        <v>Ohran Frostfang</v>
      </c>
      <c r="EP89" t="str">
        <f ca="1"/>
        <v>Lolth, Spider Queen</v>
      </c>
      <c r="EQ89" t="str">
        <f ca="1"/>
        <v>Lavabelly Sliver</v>
      </c>
      <c r="ER89" t="str">
        <f ca="1"/>
        <v>Inferno</v>
      </c>
      <c r="EU89" t="str">
        <f ca="1"/>
        <v>Earthbender Ascension</v>
      </c>
      <c r="EV89" t="str">
        <f ca="1"/>
        <v>Inferno</v>
      </c>
      <c r="EX89" t="str">
        <f ca="1"/>
        <v>Clever Concealment</v>
      </c>
    </row>
    <row r="90" spans="1:154" x14ac:dyDescent="0.25">
      <c r="A90" s="2" t="str">
        <f t="shared" ca="1" si="8"/>
        <v>5</v>
      </c>
      <c r="B90" s="2">
        <f t="shared" ca="1" si="9"/>
        <v>1</v>
      </c>
      <c r="C90" s="2" t="str">
        <f ca="1">IFERROR(
 INDEX($V$1:$BL$1,
  MATCH(TRUE,
   CHOOSE({1;2;3;4;5;6;7;8;9;10;11;12;13;14;15;16;17;18;19;20;21;22;23;24;25;26;27;28;29;30;31;32;33;34;35;36;37;38;39;40;41;42;43},
    COUNTIFS($V$2:$V$200,$G90)&gt;0,
    COUNTIFS($W$2:$W$200,$G90)&gt;0,
    COUNTIFS($X$2:$X$200,$G90)&gt;0,
    COUNTIFS($Y$2:$Y$200,$G90)&gt;0,
    COUNTIFS($Z$2:$Z$200,$G90)&gt;0,
    COUNTIFS($AA$2:$AA$200,$G90)&gt;0,
    COUNTIFS($AB$2:$AB$200,$G90)&gt;0,
    COUNTIFS($AC$2:$AC$200,$G90)&gt;0,
    COUNTIFS($AD$2:$AD$200,$G90)&gt;0,
    COUNTIFS($AE$2:$AE$200,$G90)&gt;0,
    COUNTIFS($AF$2:$AF$200,$G90)&gt;0,
    COUNTIFS($AG$2:$AG$200,$G90)&gt;0,
    COUNTIFS($AH$2:$AH$200,$G90)&gt;0,
    COUNTIFS($AI$2:$AI$200,$G90)&gt;0,
    COUNTIFS($AJ$2:$AJ$200,$G90)&gt;0,
    COUNTIFS($AK$2:$AK$200,$G90)&gt;0,
    COUNTIFS($AL$2:$AL$200,$G90)&gt;0,
    COUNTIFS($AM$2:$AM$200,$G90)&gt;0,
    COUNTIFS($AN$2:$AN$200,$G90)&gt;0,
    COUNTIFS($AO$2:$AO$200,$G90)&gt;0,
    COUNTIFS($AP$2:$AP$200,$G90)&gt;0,
    COUNTIFS($AQ$2:$AQ$200,$G90)&gt;0,
    COUNTIFS($AR$2:$AR$200,$G90)&gt;0,
    COUNTIFS($AS$2:$AS$200,$G90)&gt;0,
    COUNTIFS($AT$2:$AT$200,$G90)&gt;0,
    COUNTIFS($AU$2:$AU$200,$G90)&gt;0,
    COUNTIFS($AV$2:$AV$200,$G90)&gt;0,
    COUNTIFS($AW$2:$AW$200,$G90)&gt;0,
    COUNTIFS($AX$2:$AX$200,$G90)&gt;0,
    COUNTIFS($AY$2:$AY$200,$G90)&gt;0,
    COUNTIFS($AZ$2:$AZ$200,$G90)&gt;0,
    COUNTIFS($BA$2:$BA$200,$G90)&gt;0,
    COUNTIFS($BB$2:$BB$200,$G90)&gt;0,
    COUNTIFS($BC$2:$BC$200,$G90)&gt;0,
    COUNTIFS($BD$2:$BD$200,$G90)&gt;0,
    COUNTIFS($BE$2:$BE$200,$G90)&gt;0,
    COUNTIFS($BF$2:$BF$200,$G90)&gt;0,
    COUNTIFS($BG$2:$BG$200,$G90)&gt;0,
    COUNTIFS($BH$2:$BH$200,$G90)&gt;0,
    COUNTIFS($BI$2:$BI$200,$G90)&gt;0,
    COUNTIFS($BJ$2:$BJ$200,$G90)&gt;0,
    COUNTIFS($BK$2:$BK$200,$G90)&gt;0,
    COUNTIFS($BL$2:$BL$200,$G90)&gt;0,
    COUNTIFS($BM$2:$BM$200,$G90)&gt;0,
   ),
  0)
 ),
"")</f>
        <v>Little</v>
      </c>
      <c r="D90" s="2" t="str" cm="1">
        <f t="array" aca="1" ref="D90" ca="1">IFERROR(
 INDEX(
  _xlfn._xlws.FILTER($V$1:$AY$1,
   TRANSPOSE(
    CHOOSE({1;2;3;4;5;6;7;8;9;10;11;12;13;14;15;16;17;18;19;20;21;22;23;24;25;26;27;28;29;30},
     COUNTIFS($V$2:$V$200,$G90)&gt;0,
     COUNTIFS($W$2:$W$200,$G90)&gt;0,
     COUNTIFS($X$2:$X$200,$G90)&gt;0,
     COUNTIFS($Y$2:$Y$200,$G90)&gt;0,
     COUNTIFS($Z$2:$Z$200,$G90)&gt;0,
     COUNTIFS($AA$2:$AA$200,$G90)&gt;0,
     COUNTIFS($AB$2:$AB$200,$G90)&gt;0,
     COUNTIFS($AC$2:$AC$200,$G90)&gt;0,
     COUNTIFS($AD$2:$AD$200,$G90)&gt;0,
     COUNTIFS($AE$2:$AE$200,$G90)&gt;0,
     COUNTIFS($AF$2:$AF$200,$G90)&gt;0,
     COUNTIFS($AG$2:$AG$200,$G90)&gt;0,
     COUNTIFS($AH$2:$AH$200,$G90)&gt;0,
     COUNTIFS($AI$2:$AI$200,$G90)&gt;0,
     COUNTIFS($AJ$2:$AJ$200,$G90)&gt;0,
     COUNTIFS($AK$2:$AK$200,$G90)&gt;0,
     COUNTIFS($AL$2:$AL$200,$G90)&gt;0,
     COUNTIFS($AM$2:$AM$200,$G90)&gt;0,
     COUNTIFS($AN$2:$AN$200,$G90)&gt;0,
     COUNTIFS($AO$2:$AO$200,$G90)&gt;0,
     COUNTIFS($AP$2:$AP$200,$G90)&gt;0,
     COUNTIFS($AQ$2:$AQ$200,$G90)&gt;0,
     COUNTIFS($AR$2:$AR$200,$G90)&gt;0,
     COUNTIFS($AS$2:$AS$200,$G90)&gt;0,
     COUNTIFS($AT$2:$AT$200,$G90)&gt;0,
     COUNTIFS($AU$2:$AU$200,$G90)&gt;0,
     COUNTIFS($AV$2:$AV$200,$G90)&gt;0,
     COUNTIFS($AW$2:$AW$200,$G90)&gt;0,
     COUNTIFS($AX$2:$AX$200,$G90)&gt;0,
     COUNTIFS($AY$2:$AY$200,$G90)&gt;0
   )),
  ),
  2
 ),
"")</f>
        <v/>
      </c>
      <c r="E90" s="2" t="str" cm="1">
        <f t="array" aca="1" ref="E90" ca="1">IFERROR(
 INDEX(
  _xlfn._xlws.FILTER($V$1:$AY$1,
   TRANSPOSE(
    CHOOSE({1;2;3;4;5;6;7;8;9;10;11;12;13;14;15;16;17;18;19;20;21;22;23;24;25;26;27;28;29;30},
     COUNTIFS($V$2:$V$200,$G90)&gt;0,
     COUNTIFS($W$2:$W$200,$G90)&gt;0,
     COUNTIFS($X$2:$X$200,$G90)&gt;0,
     COUNTIFS($Y$2:$Y$200,$G90)&gt;0,
     COUNTIFS($Z$2:$Z$200,$G90)&gt;0,
     COUNTIFS($AA$2:$AA$200,$G90)&gt;0,
     COUNTIFS($AB$2:$AB$200,$G90)&gt;0,
     COUNTIFS($AC$2:$AC$200,$G90)&gt;0,
     COUNTIFS($AD$2:$AD$200,$G90)&gt;0,
     COUNTIFS($AE$2:$AE$200,$G90)&gt;0,
     COUNTIFS($AF$2:$AF$200,$G90)&gt;0,
     COUNTIFS($AG$2:$AG$200,$G90)&gt;0,
     COUNTIFS($AH$2:$AH$200,$G90)&gt;0,
     COUNTIFS($AI$2:$AI$200,$G90)&gt;0,
     COUNTIFS($AJ$2:$AJ$200,$G90)&gt;0,
     COUNTIFS($AK$2:$AK$200,$G90)&gt;0,
     COUNTIFS($AL$2:$AL$200,$G90)&gt;0,
     COUNTIFS($AM$2:$AM$200,$G90)&gt;0,
     COUNTIFS($AN$2:$AN$200,$G90)&gt;0,
     COUNTIFS($AO$2:$AO$200,$G90)&gt;0,
     COUNTIFS($AP$2:$AP$200,$G90)&gt;0,
     COUNTIFS($AQ$2:$AQ$200,$G90)&gt;0,
     COUNTIFS($AR$2:$AR$200,$G90)&gt;0,
     COUNTIFS($AS$2:$AS$200,$G90)&gt;0,
     COUNTIFS($AT$2:$AT$200,$G90)&gt;0,
     COUNTIFS($AU$2:$AU$200,$G90)&gt;0,
     COUNTIFS($AV$2:$AV$200,$G90)&gt;0,
     COUNTIFS($AW$2:$AW$200,$G90)&gt;0,
     COUNTIFS($AX$2:$AX$200,$G90)&gt;0,
     COUNTIFS($AY$2:$AY$200,$G90)&gt;0
   )),
  ),
  3
 ),
"")</f>
        <v/>
      </c>
      <c r="F90" s="2" t="str" cm="1">
        <f t="array" aca="1" ref="F90" ca="1">IFERROR(
 INDEX(
  _xlfn._xlws.FILTER($V$1:$AY$1,
   TRANSPOSE(
    CHOOSE({1;2;3;4;5;6;7;8;9;10;11;12;13;14;15;16;17;18;19;20;21;22;23;24;25;26;27;28;29;30},
     COUNTIFS($V$2:$V$200,$G90)&gt;0,
     COUNTIFS($W$2:$W$200,$G90)&gt;0,
     COUNTIFS($X$2:$X$200,$G90)&gt;0,
     COUNTIFS($Y$2:$Y$200,$G90)&gt;0,
     COUNTIFS($Z$2:$Z$200,$G90)&gt;0,
     COUNTIFS($AA$2:$AA$200,$G90)&gt;0,
     COUNTIFS($AB$2:$AB$200,$G90)&gt;0,
     COUNTIFS($AC$2:$AC$200,$G90)&gt;0,
     COUNTIFS($AD$2:$AD$200,$G90)&gt;0,
     COUNTIFS($AE$2:$AE$200,$G90)&gt;0,
     COUNTIFS($AF$2:$AF$200,$G90)&gt;0,
     COUNTIFS($AG$2:$AG$200,$G90)&gt;0,
     COUNTIFS($AH$2:$AH$200,$G90)&gt;0,
     COUNTIFS($AI$2:$AI$200,$G90)&gt;0,
     COUNTIFS($AJ$2:$AJ$200,$G90)&gt;0,
     COUNTIFS($AK$2:$AK$200,$G90)&gt;0,
     COUNTIFS($AL$2:$AL$200,$G90)&gt;0,
     COUNTIFS($AM$2:$AM$200,$G90)&gt;0,
     COUNTIFS($AN$2:$AN$200,$G90)&gt;0,
     COUNTIFS($AO$2:$AO$200,$G90)&gt;0,
     COUNTIFS($AP$2:$AP$200,$G90)&gt;0,
     COUNTIFS($AQ$2:$AQ$200,$G90)&gt;0,
     COUNTIFS($AR$2:$AR$200,$G90)&gt;0,
     COUNTIFS($AS$2:$AS$200,$G90)&gt;0,
     COUNTIFS($AT$2:$AT$200,$G90)&gt;0,
     COUNTIFS($AU$2:$AU$200,$G90)&gt;0,
     COUNTIFS($AV$2:$AV$200,$G90)&gt;0,
     COUNTIFS($AW$2:$AW$200,$G90)&gt;0,
     COUNTIFS($AX$2:$AX$200,$G90)&gt;0,
     COUNTIFS($AY$2:$AY$200,$G90)&gt;0
   )),
  ),
  4
 ),
"")</f>
        <v/>
      </c>
      <c r="G90" t="str">
        <f ca="1"/>
        <v>Clifftop Retreat</v>
      </c>
      <c r="AO90" t="str">
        <v>Temple Garden</v>
      </c>
      <c r="BL90" t="str">
        <v>Swamp</v>
      </c>
      <c r="CR90" t="str">
        <f ca="1"/>
        <v>Ulamog, the Defiler</v>
      </c>
      <c r="DT90" t="str">
        <f ca="1"/>
        <v>Telekinetic Sliver</v>
      </c>
      <c r="DZ90" t="str">
        <f ca="1"/>
        <v>Oketra's Monument</v>
      </c>
      <c r="EG90" t="str">
        <f ca="1"/>
        <v>Summon: Ixion</v>
      </c>
      <c r="EI90" t="str">
        <f ca="1"/>
        <v>Riveteers Charm</v>
      </c>
      <c r="EL90" t="str">
        <f ca="1"/>
        <v>Oketra's Monument</v>
      </c>
      <c r="EP90" t="str">
        <f ca="1"/>
        <v>Long Feng, Grand Secretariat</v>
      </c>
      <c r="EQ90" t="str">
        <f ca="1"/>
        <v>Liquimetal Torque</v>
      </c>
      <c r="ER90" t="str">
        <f ca="1"/>
        <v>Inventors' Fair</v>
      </c>
      <c r="EU90" t="str">
        <f ca="1"/>
        <v>Earthshape</v>
      </c>
      <c r="EV90" t="str">
        <f ca="1"/>
        <v>Inventors' Fair</v>
      </c>
      <c r="EX90" t="str">
        <f ca="1"/>
        <v>Clifftop Retreat</v>
      </c>
    </row>
    <row r="91" spans="1:154" x14ac:dyDescent="0.25">
      <c r="A91" s="2" t="str">
        <f t="shared" ca="1" si="8"/>
        <v>3</v>
      </c>
      <c r="B91" s="2">
        <f t="shared" ca="1" si="9"/>
        <v>1</v>
      </c>
      <c r="C91" s="2" t="str">
        <f ca="1">IFERROR(
 INDEX($V$1:$BL$1,
  MATCH(TRUE,
   CHOOSE({1;2;3;4;5;6;7;8;9;10;11;12;13;14;15;16;17;18;19;20;21;22;23;24;25;26;27;28;29;30;31;32;33;34;35;36;37;38;39;40;41;42;43},
    COUNTIFS($V$2:$V$200,$G91)&gt;0,
    COUNTIFS($W$2:$W$200,$G91)&gt;0,
    COUNTIFS($X$2:$X$200,$G91)&gt;0,
    COUNTIFS($Y$2:$Y$200,$G91)&gt;0,
    COUNTIFS($Z$2:$Z$200,$G91)&gt;0,
    COUNTIFS($AA$2:$AA$200,$G91)&gt;0,
    COUNTIFS($AB$2:$AB$200,$G91)&gt;0,
    COUNTIFS($AC$2:$AC$200,$G91)&gt;0,
    COUNTIFS($AD$2:$AD$200,$G91)&gt;0,
    COUNTIFS($AE$2:$AE$200,$G91)&gt;0,
    COUNTIFS($AF$2:$AF$200,$G91)&gt;0,
    COUNTIFS($AG$2:$AG$200,$G91)&gt;0,
    COUNTIFS($AH$2:$AH$200,$G91)&gt;0,
    COUNTIFS($AI$2:$AI$200,$G91)&gt;0,
    COUNTIFS($AJ$2:$AJ$200,$G91)&gt;0,
    COUNTIFS($AK$2:$AK$200,$G91)&gt;0,
    COUNTIFS($AL$2:$AL$200,$G91)&gt;0,
    COUNTIFS($AM$2:$AM$200,$G91)&gt;0,
    COUNTIFS($AN$2:$AN$200,$G91)&gt;0,
    COUNTIFS($AO$2:$AO$200,$G91)&gt;0,
    COUNTIFS($AP$2:$AP$200,$G91)&gt;0,
    COUNTIFS($AQ$2:$AQ$200,$G91)&gt;0,
    COUNTIFS($AR$2:$AR$200,$G91)&gt;0,
    COUNTIFS($AS$2:$AS$200,$G91)&gt;0,
    COUNTIFS($AT$2:$AT$200,$G91)&gt;0,
    COUNTIFS($AU$2:$AU$200,$G91)&gt;0,
    COUNTIFS($AV$2:$AV$200,$G91)&gt;0,
    COUNTIFS($AW$2:$AW$200,$G91)&gt;0,
    COUNTIFS($AX$2:$AX$200,$G91)&gt;0,
    COUNTIFS($AY$2:$AY$200,$G91)&gt;0,
    COUNTIFS($AZ$2:$AZ$200,$G91)&gt;0,
    COUNTIFS($BA$2:$BA$200,$G91)&gt;0,
    COUNTIFS($BB$2:$BB$200,$G91)&gt;0,
    COUNTIFS($BC$2:$BC$200,$G91)&gt;0,
    COUNTIFS($BD$2:$BD$200,$G91)&gt;0,
    COUNTIFS($BE$2:$BE$200,$G91)&gt;0,
    COUNTIFS($BF$2:$BF$200,$G91)&gt;0,
    COUNTIFS($BG$2:$BG$200,$G91)&gt;0,
    COUNTIFS($BH$2:$BH$200,$G91)&gt;0,
    COUNTIFS($BI$2:$BI$200,$G91)&gt;0,
    COUNTIFS($BJ$2:$BJ$200,$G91)&gt;0,
    COUNTIFS($BK$2:$BK$200,$G91)&gt;0,
    COUNTIFS($BL$2:$BL$200,$G91)&gt;0,
    COUNTIFS($BM$2:$BM$200,$G91)&gt;0,
   ),
  0)
 ),
"")</f>
        <v>Akiri</v>
      </c>
      <c r="D91" s="2" t="str" cm="1">
        <f t="array" aca="1" ref="D91" ca="1">IFERROR(
 INDEX(
  _xlfn._xlws.FILTER($V$1:$AY$1,
   TRANSPOSE(
    CHOOSE({1;2;3;4;5;6;7;8;9;10;11;12;13;14;15;16;17;18;19;20;21;22;23;24;25;26;27;28;29;30},
     COUNTIFS($V$2:$V$200,$G91)&gt;0,
     COUNTIFS($W$2:$W$200,$G91)&gt;0,
     COUNTIFS($X$2:$X$200,$G91)&gt;0,
     COUNTIFS($Y$2:$Y$200,$G91)&gt;0,
     COUNTIFS($Z$2:$Z$200,$G91)&gt;0,
     COUNTIFS($AA$2:$AA$200,$G91)&gt;0,
     COUNTIFS($AB$2:$AB$200,$G91)&gt;0,
     COUNTIFS($AC$2:$AC$200,$G91)&gt;0,
     COUNTIFS($AD$2:$AD$200,$G91)&gt;0,
     COUNTIFS($AE$2:$AE$200,$G91)&gt;0,
     COUNTIFS($AF$2:$AF$200,$G91)&gt;0,
     COUNTIFS($AG$2:$AG$200,$G91)&gt;0,
     COUNTIFS($AH$2:$AH$200,$G91)&gt;0,
     COUNTIFS($AI$2:$AI$200,$G91)&gt;0,
     COUNTIFS($AJ$2:$AJ$200,$G91)&gt;0,
     COUNTIFS($AK$2:$AK$200,$G91)&gt;0,
     COUNTIFS($AL$2:$AL$200,$G91)&gt;0,
     COUNTIFS($AM$2:$AM$200,$G91)&gt;0,
     COUNTIFS($AN$2:$AN$200,$G91)&gt;0,
     COUNTIFS($AO$2:$AO$200,$G91)&gt;0,
     COUNTIFS($AP$2:$AP$200,$G91)&gt;0,
     COUNTIFS($AQ$2:$AQ$200,$G91)&gt;0,
     COUNTIFS($AR$2:$AR$200,$G91)&gt;0,
     COUNTIFS($AS$2:$AS$200,$G91)&gt;0,
     COUNTIFS($AT$2:$AT$200,$G91)&gt;0,
     COUNTIFS($AU$2:$AU$200,$G91)&gt;0,
     COUNTIFS($AV$2:$AV$200,$G91)&gt;0,
     COUNTIFS($AW$2:$AW$200,$G91)&gt;0,
     COUNTIFS($AX$2:$AX$200,$G91)&gt;0,
     COUNTIFS($AY$2:$AY$200,$G91)&gt;0
   )),
  ),
  2
 ),
"")</f>
        <v/>
      </c>
      <c r="E91" s="2" t="str" cm="1">
        <f t="array" aca="1" ref="E91" ca="1">IFERROR(
 INDEX(
  _xlfn._xlws.FILTER($V$1:$AY$1,
   TRANSPOSE(
    CHOOSE({1;2;3;4;5;6;7;8;9;10;11;12;13;14;15;16;17;18;19;20;21;22;23;24;25;26;27;28;29;30},
     COUNTIFS($V$2:$V$200,$G91)&gt;0,
     COUNTIFS($W$2:$W$200,$G91)&gt;0,
     COUNTIFS($X$2:$X$200,$G91)&gt;0,
     COUNTIFS($Y$2:$Y$200,$G91)&gt;0,
     COUNTIFS($Z$2:$Z$200,$G91)&gt;0,
     COUNTIFS($AA$2:$AA$200,$G91)&gt;0,
     COUNTIFS($AB$2:$AB$200,$G91)&gt;0,
     COUNTIFS($AC$2:$AC$200,$G91)&gt;0,
     COUNTIFS($AD$2:$AD$200,$G91)&gt;0,
     COUNTIFS($AE$2:$AE$200,$G91)&gt;0,
     COUNTIFS($AF$2:$AF$200,$G91)&gt;0,
     COUNTIFS($AG$2:$AG$200,$G91)&gt;0,
     COUNTIFS($AH$2:$AH$200,$G91)&gt;0,
     COUNTIFS($AI$2:$AI$200,$G91)&gt;0,
     COUNTIFS($AJ$2:$AJ$200,$G91)&gt;0,
     COUNTIFS($AK$2:$AK$200,$G91)&gt;0,
     COUNTIFS($AL$2:$AL$200,$G91)&gt;0,
     COUNTIFS($AM$2:$AM$200,$G91)&gt;0,
     COUNTIFS($AN$2:$AN$200,$G91)&gt;0,
     COUNTIFS($AO$2:$AO$200,$G91)&gt;0,
     COUNTIFS($AP$2:$AP$200,$G91)&gt;0,
     COUNTIFS($AQ$2:$AQ$200,$G91)&gt;0,
     COUNTIFS($AR$2:$AR$200,$G91)&gt;0,
     COUNTIFS($AS$2:$AS$200,$G91)&gt;0,
     COUNTIFS($AT$2:$AT$200,$G91)&gt;0,
     COUNTIFS($AU$2:$AU$200,$G91)&gt;0,
     COUNTIFS($AV$2:$AV$200,$G91)&gt;0,
     COUNTIFS($AW$2:$AW$200,$G91)&gt;0,
     COUNTIFS($AX$2:$AX$200,$G91)&gt;0,
     COUNTIFS($AY$2:$AY$200,$G91)&gt;0
   )),
  ),
  3
 ),
"")</f>
        <v/>
      </c>
      <c r="F91" s="2" t="str" cm="1">
        <f t="array" aca="1" ref="F91" ca="1">IFERROR(
 INDEX(
  _xlfn._xlws.FILTER($V$1:$AY$1,
   TRANSPOSE(
    CHOOSE({1;2;3;4;5;6;7;8;9;10;11;12;13;14;15;16;17;18;19;20;21;22;23;24;25;26;27;28;29;30},
     COUNTIFS($V$2:$V$200,$G91)&gt;0,
     COUNTIFS($W$2:$W$200,$G91)&gt;0,
     COUNTIFS($X$2:$X$200,$G91)&gt;0,
     COUNTIFS($Y$2:$Y$200,$G91)&gt;0,
     COUNTIFS($Z$2:$Z$200,$G91)&gt;0,
     COUNTIFS($AA$2:$AA$200,$G91)&gt;0,
     COUNTIFS($AB$2:$AB$200,$G91)&gt;0,
     COUNTIFS($AC$2:$AC$200,$G91)&gt;0,
     COUNTIFS($AD$2:$AD$200,$G91)&gt;0,
     COUNTIFS($AE$2:$AE$200,$G91)&gt;0,
     COUNTIFS($AF$2:$AF$200,$G91)&gt;0,
     COUNTIFS($AG$2:$AG$200,$G91)&gt;0,
     COUNTIFS($AH$2:$AH$200,$G91)&gt;0,
     COUNTIFS($AI$2:$AI$200,$G91)&gt;0,
     COUNTIFS($AJ$2:$AJ$200,$G91)&gt;0,
     COUNTIFS($AK$2:$AK$200,$G91)&gt;0,
     COUNTIFS($AL$2:$AL$200,$G91)&gt;0,
     COUNTIFS($AM$2:$AM$200,$G91)&gt;0,
     COUNTIFS($AN$2:$AN$200,$G91)&gt;0,
     COUNTIFS($AO$2:$AO$200,$G91)&gt;0,
     COUNTIFS($AP$2:$AP$200,$G91)&gt;0,
     COUNTIFS($AQ$2:$AQ$200,$G91)&gt;0,
     COUNTIFS($AR$2:$AR$200,$G91)&gt;0,
     COUNTIFS($AS$2:$AS$200,$G91)&gt;0,
     COUNTIFS($AT$2:$AT$200,$G91)&gt;0,
     COUNTIFS($AU$2:$AU$200,$G91)&gt;0,
     COUNTIFS($AV$2:$AV$200,$G91)&gt;0,
     COUNTIFS($AW$2:$AW$200,$G91)&gt;0,
     COUNTIFS($AX$2:$AX$200,$G91)&gt;0,
     COUNTIFS($AY$2:$AY$200,$G91)&gt;0
   )),
  ),
  4
 ),
"")</f>
        <v/>
      </c>
      <c r="G91" t="str">
        <f ca="1"/>
        <v>Cloud, Midgar Mercenary</v>
      </c>
      <c r="AO91" t="str">
        <v>The First Sliver</v>
      </c>
      <c r="BL91" t="str">
        <v>Tear Asunder</v>
      </c>
      <c r="CR91" t="str">
        <f ca="1"/>
        <v>Unsettled Mariner</v>
      </c>
      <c r="DT91" t="str">
        <f ca="1"/>
        <v>Temple Garden</v>
      </c>
      <c r="DZ91" t="str">
        <f ca="1"/>
        <v>Omen of the Hunt</v>
      </c>
      <c r="EG91" t="str">
        <f ca="1"/>
        <v>Sunpetal Grove</v>
      </c>
      <c r="EI91" t="str">
        <f ca="1"/>
        <v>Rogues' Gallery</v>
      </c>
      <c r="EL91" t="str">
        <f ca="1"/>
        <v>Omen of the Hunt</v>
      </c>
      <c r="EP91" t="str">
        <f ca="1"/>
        <v>Lord of Atlantis</v>
      </c>
      <c r="EQ91" t="str">
        <f ca="1"/>
        <v>Lithoform Engine</v>
      </c>
      <c r="ER91" t="str">
        <f ca="1"/>
        <v>Iraxxa, Empress of Mars</v>
      </c>
      <c r="EU91" t="str">
        <f ca="1"/>
        <v>Eclipsed Realms</v>
      </c>
      <c r="EV91" t="str">
        <f ca="1"/>
        <v>Iraxxa, Empress of Mars</v>
      </c>
      <c r="EX91" t="str">
        <f ca="1"/>
        <v>Cloud, Midgar Mercenary</v>
      </c>
    </row>
    <row r="92" spans="1:154" x14ac:dyDescent="0.25">
      <c r="A92" s="2" t="str">
        <f t="shared" ca="1" si="8"/>
        <v>5</v>
      </c>
      <c r="B92" s="2">
        <f t="shared" ca="1" si="9"/>
        <v>1</v>
      </c>
      <c r="C92" s="2" t="str">
        <f ca="1">IFERROR(
 INDEX($V$1:$BL$1,
  MATCH(TRUE,
   CHOOSE({1;2;3;4;5;6;7;8;9;10;11;12;13;14;15;16;17;18;19;20;21;22;23;24;25;26;27;28;29;30;31;32;33;34;35;36;37;38;39;40;41;42;43},
    COUNTIFS($V$2:$V$200,$G92)&gt;0,
    COUNTIFS($W$2:$W$200,$G92)&gt;0,
    COUNTIFS($X$2:$X$200,$G92)&gt;0,
    COUNTIFS($Y$2:$Y$200,$G92)&gt;0,
    COUNTIFS($Z$2:$Z$200,$G92)&gt;0,
    COUNTIFS($AA$2:$AA$200,$G92)&gt;0,
    COUNTIFS($AB$2:$AB$200,$G92)&gt;0,
    COUNTIFS($AC$2:$AC$200,$G92)&gt;0,
    COUNTIFS($AD$2:$AD$200,$G92)&gt;0,
    COUNTIFS($AE$2:$AE$200,$G92)&gt;0,
    COUNTIFS($AF$2:$AF$200,$G92)&gt;0,
    COUNTIFS($AG$2:$AG$200,$G92)&gt;0,
    COUNTIFS($AH$2:$AH$200,$G92)&gt;0,
    COUNTIFS($AI$2:$AI$200,$G92)&gt;0,
    COUNTIFS($AJ$2:$AJ$200,$G92)&gt;0,
    COUNTIFS($AK$2:$AK$200,$G92)&gt;0,
    COUNTIFS($AL$2:$AL$200,$G92)&gt;0,
    COUNTIFS($AM$2:$AM$200,$G92)&gt;0,
    COUNTIFS($AN$2:$AN$200,$G92)&gt;0,
    COUNTIFS($AO$2:$AO$200,$G92)&gt;0,
    COUNTIFS($AP$2:$AP$200,$G92)&gt;0,
    COUNTIFS($AQ$2:$AQ$200,$G92)&gt;0,
    COUNTIFS($AR$2:$AR$200,$G92)&gt;0,
    COUNTIFS($AS$2:$AS$200,$G92)&gt;0,
    COUNTIFS($AT$2:$AT$200,$G92)&gt;0,
    COUNTIFS($AU$2:$AU$200,$G92)&gt;0,
    COUNTIFS($AV$2:$AV$200,$G92)&gt;0,
    COUNTIFS($AW$2:$AW$200,$G92)&gt;0,
    COUNTIFS($AX$2:$AX$200,$G92)&gt;0,
    COUNTIFS($AY$2:$AY$200,$G92)&gt;0,
    COUNTIFS($AZ$2:$AZ$200,$G92)&gt;0,
    COUNTIFS($BA$2:$BA$200,$G92)&gt;0,
    COUNTIFS($BB$2:$BB$200,$G92)&gt;0,
    COUNTIFS($BC$2:$BC$200,$G92)&gt;0,
    COUNTIFS($BD$2:$BD$200,$G92)&gt;0,
    COUNTIFS($BE$2:$BE$200,$G92)&gt;0,
    COUNTIFS($BF$2:$BF$200,$G92)&gt;0,
    COUNTIFS($BG$2:$BG$200,$G92)&gt;0,
    COUNTIFS($BH$2:$BH$200,$G92)&gt;0,
    COUNTIFS($BI$2:$BI$200,$G92)&gt;0,
    COUNTIFS($BJ$2:$BJ$200,$G92)&gt;0,
    COUNTIFS($BK$2:$BK$200,$G92)&gt;0,
    COUNTIFS($BL$2:$BL$200,$G92)&gt;0,
    COUNTIFS($BM$2:$BM$200,$G92)&gt;0,
   ),
  0)
 ),
"")</f>
        <v>Fractius</v>
      </c>
      <c r="D92" s="2" t="str" cm="1">
        <f t="array" aca="1" ref="D92" ca="1">IFERROR(
 INDEX(
  _xlfn._xlws.FILTER($V$1:$AY$1,
   TRANSPOSE(
    CHOOSE({1;2;3;4;5;6;7;8;9;10;11;12;13;14;15;16;17;18;19;20;21;22;23;24;25;26;27;28;29;30},
     COUNTIFS($V$2:$V$200,$G92)&gt;0,
     COUNTIFS($W$2:$W$200,$G92)&gt;0,
     COUNTIFS($X$2:$X$200,$G92)&gt;0,
     COUNTIFS($Y$2:$Y$200,$G92)&gt;0,
     COUNTIFS($Z$2:$Z$200,$G92)&gt;0,
     COUNTIFS($AA$2:$AA$200,$G92)&gt;0,
     COUNTIFS($AB$2:$AB$200,$G92)&gt;0,
     COUNTIFS($AC$2:$AC$200,$G92)&gt;0,
     COUNTIFS($AD$2:$AD$200,$G92)&gt;0,
     COUNTIFS($AE$2:$AE$200,$G92)&gt;0,
     COUNTIFS($AF$2:$AF$200,$G92)&gt;0,
     COUNTIFS($AG$2:$AG$200,$G92)&gt;0,
     COUNTIFS($AH$2:$AH$200,$G92)&gt;0,
     COUNTIFS($AI$2:$AI$200,$G92)&gt;0,
     COUNTIFS($AJ$2:$AJ$200,$G92)&gt;0,
     COUNTIFS($AK$2:$AK$200,$G92)&gt;0,
     COUNTIFS($AL$2:$AL$200,$G92)&gt;0,
     COUNTIFS($AM$2:$AM$200,$G92)&gt;0,
     COUNTIFS($AN$2:$AN$200,$G92)&gt;0,
     COUNTIFS($AO$2:$AO$200,$G92)&gt;0,
     COUNTIFS($AP$2:$AP$200,$G92)&gt;0,
     COUNTIFS($AQ$2:$AQ$200,$G92)&gt;0,
     COUNTIFS($AR$2:$AR$200,$G92)&gt;0,
     COUNTIFS($AS$2:$AS$200,$G92)&gt;0,
     COUNTIFS($AT$2:$AT$200,$G92)&gt;0,
     COUNTIFS($AU$2:$AU$200,$G92)&gt;0,
     COUNTIFS($AV$2:$AV$200,$G92)&gt;0,
     COUNTIFS($AW$2:$AW$200,$G92)&gt;0,
     COUNTIFS($AX$2:$AX$200,$G92)&gt;0,
     COUNTIFS($AY$2:$AY$200,$G92)&gt;0
   )),
  ),
  2
 ),
"")</f>
        <v/>
      </c>
      <c r="E92" s="2" t="str" cm="1">
        <f t="array" aca="1" ref="E92" ca="1">IFERROR(
 INDEX(
  _xlfn._xlws.FILTER($V$1:$AY$1,
   TRANSPOSE(
    CHOOSE({1;2;3;4;5;6;7;8;9;10;11;12;13;14;15;16;17;18;19;20;21;22;23;24;25;26;27;28;29;30},
     COUNTIFS($V$2:$V$200,$G92)&gt;0,
     COUNTIFS($W$2:$W$200,$G92)&gt;0,
     COUNTIFS($X$2:$X$200,$G92)&gt;0,
     COUNTIFS($Y$2:$Y$200,$G92)&gt;0,
     COUNTIFS($Z$2:$Z$200,$G92)&gt;0,
     COUNTIFS($AA$2:$AA$200,$G92)&gt;0,
     COUNTIFS($AB$2:$AB$200,$G92)&gt;0,
     COUNTIFS($AC$2:$AC$200,$G92)&gt;0,
     COUNTIFS($AD$2:$AD$200,$G92)&gt;0,
     COUNTIFS($AE$2:$AE$200,$G92)&gt;0,
     COUNTIFS($AF$2:$AF$200,$G92)&gt;0,
     COUNTIFS($AG$2:$AG$200,$G92)&gt;0,
     COUNTIFS($AH$2:$AH$200,$G92)&gt;0,
     COUNTIFS($AI$2:$AI$200,$G92)&gt;0,
     COUNTIFS($AJ$2:$AJ$200,$G92)&gt;0,
     COUNTIFS($AK$2:$AK$200,$G92)&gt;0,
     COUNTIFS($AL$2:$AL$200,$G92)&gt;0,
     COUNTIFS($AM$2:$AM$200,$G92)&gt;0,
     COUNTIFS($AN$2:$AN$200,$G92)&gt;0,
     COUNTIFS($AO$2:$AO$200,$G92)&gt;0,
     COUNTIFS($AP$2:$AP$200,$G92)&gt;0,
     COUNTIFS($AQ$2:$AQ$200,$G92)&gt;0,
     COUNTIFS($AR$2:$AR$200,$G92)&gt;0,
     COUNTIFS($AS$2:$AS$200,$G92)&gt;0,
     COUNTIFS($AT$2:$AT$200,$G92)&gt;0,
     COUNTIFS($AU$2:$AU$200,$G92)&gt;0,
     COUNTIFS($AV$2:$AV$200,$G92)&gt;0,
     COUNTIFS($AW$2:$AW$200,$G92)&gt;0,
     COUNTIFS($AX$2:$AX$200,$G92)&gt;0,
     COUNTIFS($AY$2:$AY$200,$G92)&gt;0
   )),
  ),
  3
 ),
"")</f>
        <v/>
      </c>
      <c r="F92" s="2" t="str" cm="1">
        <f t="array" aca="1" ref="F92" ca="1">IFERROR(
 INDEX(
  _xlfn._xlws.FILTER($V$1:$AY$1,
   TRANSPOSE(
    CHOOSE({1;2;3;4;5;6;7;8;9;10;11;12;13;14;15;16;17;18;19;20;21;22;23;24;25;26;27;28;29;30},
     COUNTIFS($V$2:$V$200,$G92)&gt;0,
     COUNTIFS($W$2:$W$200,$G92)&gt;0,
     COUNTIFS($X$2:$X$200,$G92)&gt;0,
     COUNTIFS($Y$2:$Y$200,$G92)&gt;0,
     COUNTIFS($Z$2:$Z$200,$G92)&gt;0,
     COUNTIFS($AA$2:$AA$200,$G92)&gt;0,
     COUNTIFS($AB$2:$AB$200,$G92)&gt;0,
     COUNTIFS($AC$2:$AC$200,$G92)&gt;0,
     COUNTIFS($AD$2:$AD$200,$G92)&gt;0,
     COUNTIFS($AE$2:$AE$200,$G92)&gt;0,
     COUNTIFS($AF$2:$AF$200,$G92)&gt;0,
     COUNTIFS($AG$2:$AG$200,$G92)&gt;0,
     COUNTIFS($AH$2:$AH$200,$G92)&gt;0,
     COUNTIFS($AI$2:$AI$200,$G92)&gt;0,
     COUNTIFS($AJ$2:$AJ$200,$G92)&gt;0,
     COUNTIFS($AK$2:$AK$200,$G92)&gt;0,
     COUNTIFS($AL$2:$AL$200,$G92)&gt;0,
     COUNTIFS($AM$2:$AM$200,$G92)&gt;0,
     COUNTIFS($AN$2:$AN$200,$G92)&gt;0,
     COUNTIFS($AO$2:$AO$200,$G92)&gt;0,
     COUNTIFS($AP$2:$AP$200,$G92)&gt;0,
     COUNTIFS($AQ$2:$AQ$200,$G92)&gt;0,
     COUNTIFS($AR$2:$AR$200,$G92)&gt;0,
     COUNTIFS($AS$2:$AS$200,$G92)&gt;0,
     COUNTIFS($AT$2:$AT$200,$G92)&gt;0,
     COUNTIFS($AU$2:$AU$200,$G92)&gt;0,
     COUNTIFS($AV$2:$AV$200,$G92)&gt;0,
     COUNTIFS($AW$2:$AW$200,$G92)&gt;0,
     COUNTIFS($AX$2:$AX$200,$G92)&gt;0,
     COUNTIFS($AY$2:$AY$200,$G92)&gt;0
   )),
  ),
  4
 ),
"")</f>
        <v/>
      </c>
      <c r="G92" t="str">
        <f ca="1"/>
        <v>Cloudshredder Sliver</v>
      </c>
      <c r="AO92" t="str">
        <v>Thorncaster Sliver</v>
      </c>
      <c r="BL92" t="str">
        <v>Temple of the False God</v>
      </c>
      <c r="CR92" t="str">
        <f ca="1"/>
        <v>Valfenda</v>
      </c>
      <c r="DT92" t="str">
        <f ca="1"/>
        <v>The First Sliver</v>
      </c>
      <c r="DZ92" t="str">
        <f ca="1"/>
        <v>Perplexing Test</v>
      </c>
      <c r="EG92" t="str">
        <f ca="1"/>
        <v>Sunscorched Divide</v>
      </c>
      <c r="EI92" t="str">
        <f ca="1"/>
        <v>Root Sliver</v>
      </c>
      <c r="EL92" t="str">
        <f ca="1"/>
        <v>Perplexing Test</v>
      </c>
      <c r="EP92" t="str">
        <f ca="1"/>
        <v>Lost Jitte</v>
      </c>
      <c r="EQ92" t="str">
        <f ca="1"/>
        <v>Magda, the Hoardmaster</v>
      </c>
      <c r="ER92" t="str">
        <f ca="1"/>
        <v>Island</v>
      </c>
      <c r="EU92" t="str">
        <f ca="1"/>
        <v>Eladamri's Call</v>
      </c>
      <c r="EV92" t="str">
        <f ca="1"/>
        <v>Island</v>
      </c>
      <c r="EX92" t="str">
        <f ca="1"/>
        <v>Cloudshredder Sliver</v>
      </c>
    </row>
    <row r="93" spans="1:154" x14ac:dyDescent="0.25">
      <c r="A93" s="2" t="str">
        <f t="shared" ca="1" si="8"/>
        <v>2</v>
      </c>
      <c r="B93" s="2">
        <f t="shared" ca="1" si="9"/>
        <v>1</v>
      </c>
      <c r="C93" s="2" t="str">
        <f ca="1">IFERROR(
 INDEX($V$1:$BL$1,
  MATCH(TRUE,
   CHOOSE({1;2;3;4;5;6;7;8;9;10;11;12;13;14;15;16;17;18;19;20;21;22;23;24;25;26;27;28;29;30;31;32;33;34;35;36;37;38;39;40;41;42;43},
    COUNTIFS($V$2:$V$200,$G93)&gt;0,
    COUNTIFS($W$2:$W$200,$G93)&gt;0,
    COUNTIFS($X$2:$X$200,$G93)&gt;0,
    COUNTIFS($Y$2:$Y$200,$G93)&gt;0,
    COUNTIFS($Z$2:$Z$200,$G93)&gt;0,
    COUNTIFS($AA$2:$AA$200,$G93)&gt;0,
    COUNTIFS($AB$2:$AB$200,$G93)&gt;0,
    COUNTIFS($AC$2:$AC$200,$G93)&gt;0,
    COUNTIFS($AD$2:$AD$200,$G93)&gt;0,
    COUNTIFS($AE$2:$AE$200,$G93)&gt;0,
    COUNTIFS($AF$2:$AF$200,$G93)&gt;0,
    COUNTIFS($AG$2:$AG$200,$G93)&gt;0,
    COUNTIFS($AH$2:$AH$200,$G93)&gt;0,
    COUNTIFS($AI$2:$AI$200,$G93)&gt;0,
    COUNTIFS($AJ$2:$AJ$200,$G93)&gt;0,
    COUNTIFS($AK$2:$AK$200,$G93)&gt;0,
    COUNTIFS($AL$2:$AL$200,$G93)&gt;0,
    COUNTIFS($AM$2:$AM$200,$G93)&gt;0,
    COUNTIFS($AN$2:$AN$200,$G93)&gt;0,
    COUNTIFS($AO$2:$AO$200,$G93)&gt;0,
    COUNTIFS($AP$2:$AP$200,$G93)&gt;0,
    COUNTIFS($AQ$2:$AQ$200,$G93)&gt;0,
    COUNTIFS($AR$2:$AR$200,$G93)&gt;0,
    COUNTIFS($AS$2:$AS$200,$G93)&gt;0,
    COUNTIFS($AT$2:$AT$200,$G93)&gt;0,
    COUNTIFS($AU$2:$AU$200,$G93)&gt;0,
    COUNTIFS($AV$2:$AV$200,$G93)&gt;0,
    COUNTIFS($AW$2:$AW$200,$G93)&gt;0,
    COUNTIFS($AX$2:$AX$200,$G93)&gt;0,
    COUNTIFS($AY$2:$AY$200,$G93)&gt;0,
    COUNTIFS($AZ$2:$AZ$200,$G93)&gt;0,
    COUNTIFS($BA$2:$BA$200,$G93)&gt;0,
    COUNTIFS($BB$2:$BB$200,$G93)&gt;0,
    COUNTIFS($BC$2:$BC$200,$G93)&gt;0,
    COUNTIFS($BD$2:$BD$200,$G93)&gt;0,
    COUNTIFS($BE$2:$BE$200,$G93)&gt;0,
    COUNTIFS($BF$2:$BF$200,$G93)&gt;0,
    COUNTIFS($BG$2:$BG$200,$G93)&gt;0,
    COUNTIFS($BH$2:$BH$200,$G93)&gt;0,
    COUNTIFS($BI$2:$BI$200,$G93)&gt;0,
    COUNTIFS($BJ$2:$BJ$200,$G93)&gt;0,
    COUNTIFS($BK$2:$BK$200,$G93)&gt;0,
    COUNTIFS($BL$2:$BL$200,$G93)&gt;0,
    COUNTIFS($BM$2:$BM$200,$G93)&gt;0,
   ),
  0)
 ),
"")</f>
        <v>Rielle</v>
      </c>
      <c r="D93" s="2" t="str" cm="1">
        <f t="array" aca="1" ref="D93" ca="1">IFERROR(
 INDEX(
  _xlfn._xlws.FILTER($V$1:$AY$1,
   TRANSPOSE(
    CHOOSE({1;2;3;4;5;6;7;8;9;10;11;12;13;14;15;16;17;18;19;20;21;22;23;24;25;26;27;28;29;30},
     COUNTIFS($V$2:$V$200,$G93)&gt;0,
     COUNTIFS($W$2:$W$200,$G93)&gt;0,
     COUNTIFS($X$2:$X$200,$G93)&gt;0,
     COUNTIFS($Y$2:$Y$200,$G93)&gt;0,
     COUNTIFS($Z$2:$Z$200,$G93)&gt;0,
     COUNTIFS($AA$2:$AA$200,$G93)&gt;0,
     COUNTIFS($AB$2:$AB$200,$G93)&gt;0,
     COUNTIFS($AC$2:$AC$200,$G93)&gt;0,
     COUNTIFS($AD$2:$AD$200,$G93)&gt;0,
     COUNTIFS($AE$2:$AE$200,$G93)&gt;0,
     COUNTIFS($AF$2:$AF$200,$G93)&gt;0,
     COUNTIFS($AG$2:$AG$200,$G93)&gt;0,
     COUNTIFS($AH$2:$AH$200,$G93)&gt;0,
     COUNTIFS($AI$2:$AI$200,$G93)&gt;0,
     COUNTIFS($AJ$2:$AJ$200,$G93)&gt;0,
     COUNTIFS($AK$2:$AK$200,$G93)&gt;0,
     COUNTIFS($AL$2:$AL$200,$G93)&gt;0,
     COUNTIFS($AM$2:$AM$200,$G93)&gt;0,
     COUNTIFS($AN$2:$AN$200,$G93)&gt;0,
     COUNTIFS($AO$2:$AO$200,$G93)&gt;0,
     COUNTIFS($AP$2:$AP$200,$G93)&gt;0,
     COUNTIFS($AQ$2:$AQ$200,$G93)&gt;0,
     COUNTIFS($AR$2:$AR$200,$G93)&gt;0,
     COUNTIFS($AS$2:$AS$200,$G93)&gt;0,
     COUNTIFS($AT$2:$AT$200,$G93)&gt;0,
     COUNTIFS($AU$2:$AU$200,$G93)&gt;0,
     COUNTIFS($AV$2:$AV$200,$G93)&gt;0,
     COUNTIFS($AW$2:$AW$200,$G93)&gt;0,
     COUNTIFS($AX$2:$AX$200,$G93)&gt;0,
     COUNTIFS($AY$2:$AY$200,$G93)&gt;0
   )),
  ),
  2
 ),
"")</f>
        <v/>
      </c>
      <c r="E93" s="2" t="str" cm="1">
        <f t="array" aca="1" ref="E93" ca="1">IFERROR(
 INDEX(
  _xlfn._xlws.FILTER($V$1:$AY$1,
   TRANSPOSE(
    CHOOSE({1;2;3;4;5;6;7;8;9;10;11;12;13;14;15;16;17;18;19;20;21;22;23;24;25;26;27;28;29;30},
     COUNTIFS($V$2:$V$200,$G93)&gt;0,
     COUNTIFS($W$2:$W$200,$G93)&gt;0,
     COUNTIFS($X$2:$X$200,$G93)&gt;0,
     COUNTIFS($Y$2:$Y$200,$G93)&gt;0,
     COUNTIFS($Z$2:$Z$200,$G93)&gt;0,
     COUNTIFS($AA$2:$AA$200,$G93)&gt;0,
     COUNTIFS($AB$2:$AB$200,$G93)&gt;0,
     COUNTIFS($AC$2:$AC$200,$G93)&gt;0,
     COUNTIFS($AD$2:$AD$200,$G93)&gt;0,
     COUNTIFS($AE$2:$AE$200,$G93)&gt;0,
     COUNTIFS($AF$2:$AF$200,$G93)&gt;0,
     COUNTIFS($AG$2:$AG$200,$G93)&gt;0,
     COUNTIFS($AH$2:$AH$200,$G93)&gt;0,
     COUNTIFS($AI$2:$AI$200,$G93)&gt;0,
     COUNTIFS($AJ$2:$AJ$200,$G93)&gt;0,
     COUNTIFS($AK$2:$AK$200,$G93)&gt;0,
     COUNTIFS($AL$2:$AL$200,$G93)&gt;0,
     COUNTIFS($AM$2:$AM$200,$G93)&gt;0,
     COUNTIFS($AN$2:$AN$200,$G93)&gt;0,
     COUNTIFS($AO$2:$AO$200,$G93)&gt;0,
     COUNTIFS($AP$2:$AP$200,$G93)&gt;0,
     COUNTIFS($AQ$2:$AQ$200,$G93)&gt;0,
     COUNTIFS($AR$2:$AR$200,$G93)&gt;0,
     COUNTIFS($AS$2:$AS$200,$G93)&gt;0,
     COUNTIFS($AT$2:$AT$200,$G93)&gt;0,
     COUNTIFS($AU$2:$AU$200,$G93)&gt;0,
     COUNTIFS($AV$2:$AV$200,$G93)&gt;0,
     COUNTIFS($AW$2:$AW$200,$G93)&gt;0,
     COUNTIFS($AX$2:$AX$200,$G93)&gt;0,
     COUNTIFS($AY$2:$AY$200,$G93)&gt;0
   )),
  ),
  3
 ),
"")</f>
        <v/>
      </c>
      <c r="F93" s="2" t="str" cm="1">
        <f t="array" aca="1" ref="F93" ca="1">IFERROR(
 INDEX(
  _xlfn._xlws.FILTER($V$1:$AY$1,
   TRANSPOSE(
    CHOOSE({1;2;3;4;5;6;7;8;9;10;11;12;13;14;15;16;17;18;19;20;21;22;23;24;25;26;27;28;29;30},
     COUNTIFS($V$2:$V$200,$G93)&gt;0,
     COUNTIFS($W$2:$W$200,$G93)&gt;0,
     COUNTIFS($X$2:$X$200,$G93)&gt;0,
     COUNTIFS($Y$2:$Y$200,$G93)&gt;0,
     COUNTIFS($Z$2:$Z$200,$G93)&gt;0,
     COUNTIFS($AA$2:$AA$200,$G93)&gt;0,
     COUNTIFS($AB$2:$AB$200,$G93)&gt;0,
     COUNTIFS($AC$2:$AC$200,$G93)&gt;0,
     COUNTIFS($AD$2:$AD$200,$G93)&gt;0,
     COUNTIFS($AE$2:$AE$200,$G93)&gt;0,
     COUNTIFS($AF$2:$AF$200,$G93)&gt;0,
     COUNTIFS($AG$2:$AG$200,$G93)&gt;0,
     COUNTIFS($AH$2:$AH$200,$G93)&gt;0,
     COUNTIFS($AI$2:$AI$200,$G93)&gt;0,
     COUNTIFS($AJ$2:$AJ$200,$G93)&gt;0,
     COUNTIFS($AK$2:$AK$200,$G93)&gt;0,
     COUNTIFS($AL$2:$AL$200,$G93)&gt;0,
     COUNTIFS($AM$2:$AM$200,$G93)&gt;0,
     COUNTIFS($AN$2:$AN$200,$G93)&gt;0,
     COUNTIFS($AO$2:$AO$200,$G93)&gt;0,
     COUNTIFS($AP$2:$AP$200,$G93)&gt;0,
     COUNTIFS($AQ$2:$AQ$200,$G93)&gt;0,
     COUNTIFS($AR$2:$AR$200,$G93)&gt;0,
     COUNTIFS($AS$2:$AS$200,$G93)&gt;0,
     COUNTIFS($AT$2:$AT$200,$G93)&gt;0,
     COUNTIFS($AU$2:$AU$200,$G93)&gt;0,
     COUNTIFS($AV$2:$AV$200,$G93)&gt;0,
     COUNTIFS($AW$2:$AW$200,$G93)&gt;0,
     COUNTIFS($AX$2:$AX$200,$G93)&gt;0,
     COUNTIFS($AY$2:$AY$200,$G93)&gt;0
   )),
  ),
  4
 ),
"")</f>
        <v/>
      </c>
      <c r="G93" t="str">
        <f ca="1"/>
        <v>Collector's Vault</v>
      </c>
      <c r="AO93" t="str">
        <v>Thrumming Hivepool</v>
      </c>
      <c r="BL93" t="str">
        <v>Terminate</v>
      </c>
      <c r="CR93" t="str">
        <f ca="1"/>
        <v>Venom Sliver</v>
      </c>
      <c r="DT93" t="str">
        <f ca="1"/>
        <v>Thorncaster Sliver</v>
      </c>
      <c r="DZ93" t="str">
        <f ca="1"/>
        <v>Phyrexian Dragon Engine</v>
      </c>
      <c r="EG93" t="str">
        <f ca="1"/>
        <v>Tainted Field</v>
      </c>
      <c r="EI93" t="str">
        <f ca="1"/>
        <v>Sacred Foundry</v>
      </c>
      <c r="EL93" t="str">
        <f ca="1"/>
        <v>Phyrexian Dragon Engine</v>
      </c>
      <c r="EP93" t="str">
        <f ca="1"/>
        <v>Luxury Suite</v>
      </c>
      <c r="EQ93" t="str">
        <f ca="1"/>
        <v>Magma Sliver</v>
      </c>
      <c r="ER93" t="str">
        <f ca="1"/>
        <v>Isolated Chapel</v>
      </c>
      <c r="EU93" t="str">
        <f ca="1"/>
        <v>Elspeth, Sun's Champion</v>
      </c>
      <c r="EV93" t="str">
        <f ca="1"/>
        <v>Isolated Chapel</v>
      </c>
      <c r="EX93" t="str">
        <f ca="1"/>
        <v>Collector's Vault</v>
      </c>
    </row>
    <row r="94" spans="1:154" x14ac:dyDescent="0.25">
      <c r="A94" s="2" t="str">
        <f t="shared" ca="1" si="8"/>
        <v>4</v>
      </c>
      <c r="B94" s="2">
        <f t="shared" ca="1" si="9"/>
        <v>1</v>
      </c>
      <c r="C94" s="2" t="str">
        <f ca="1">IFERROR(
 INDEX($V$1:$BL$1,
  MATCH(TRUE,
   CHOOSE({1;2;3;4;5;6;7;8;9;10;11;12;13;14;15;16;17;18;19;20;21;22;23;24;25;26;27;28;29;30;31;32;33;34;35;36;37;38;39;40;41;42;43},
    COUNTIFS($V$2:$V$200,$G94)&gt;0,
    COUNTIFS($W$2:$W$200,$G94)&gt;0,
    COUNTIFS($X$2:$X$200,$G94)&gt;0,
    COUNTIFS($Y$2:$Y$200,$G94)&gt;0,
    COUNTIFS($Z$2:$Z$200,$G94)&gt;0,
    COUNTIFS($AA$2:$AA$200,$G94)&gt;0,
    COUNTIFS($AB$2:$AB$200,$G94)&gt;0,
    COUNTIFS($AC$2:$AC$200,$G94)&gt;0,
    COUNTIFS($AD$2:$AD$200,$G94)&gt;0,
    COUNTIFS($AE$2:$AE$200,$G94)&gt;0,
    COUNTIFS($AF$2:$AF$200,$G94)&gt;0,
    COUNTIFS($AG$2:$AG$200,$G94)&gt;0,
    COUNTIFS($AH$2:$AH$200,$G94)&gt;0,
    COUNTIFS($AI$2:$AI$200,$G94)&gt;0,
    COUNTIFS($AJ$2:$AJ$200,$G94)&gt;0,
    COUNTIFS($AK$2:$AK$200,$G94)&gt;0,
    COUNTIFS($AL$2:$AL$200,$G94)&gt;0,
    COUNTIFS($AM$2:$AM$200,$G94)&gt;0,
    COUNTIFS($AN$2:$AN$200,$G94)&gt;0,
    COUNTIFS($AO$2:$AO$200,$G94)&gt;0,
    COUNTIFS($AP$2:$AP$200,$G94)&gt;0,
    COUNTIFS($AQ$2:$AQ$200,$G94)&gt;0,
    COUNTIFS($AR$2:$AR$200,$G94)&gt;0,
    COUNTIFS($AS$2:$AS$200,$G94)&gt;0,
    COUNTIFS($AT$2:$AT$200,$G94)&gt;0,
    COUNTIFS($AU$2:$AU$200,$G94)&gt;0,
    COUNTIFS($AV$2:$AV$200,$G94)&gt;0,
    COUNTIFS($AW$2:$AW$200,$G94)&gt;0,
    COUNTIFS($AX$2:$AX$200,$G94)&gt;0,
    COUNTIFS($AY$2:$AY$200,$G94)&gt;0,
    COUNTIFS($AZ$2:$AZ$200,$G94)&gt;0,
    COUNTIFS($BA$2:$BA$200,$G94)&gt;0,
    COUNTIFS($BB$2:$BB$200,$G94)&gt;0,
    COUNTIFS($BC$2:$BC$200,$G94)&gt;0,
    COUNTIFS($BD$2:$BD$200,$G94)&gt;0,
    COUNTIFS($BE$2:$BE$200,$G94)&gt;0,
    COUNTIFS($BF$2:$BF$200,$G94)&gt;0,
    COUNTIFS($BG$2:$BG$200,$G94)&gt;0,
    COUNTIFS($BH$2:$BH$200,$G94)&gt;0,
    COUNTIFS($BI$2:$BI$200,$G94)&gt;0,
    COUNTIFS($BJ$2:$BJ$200,$G94)&gt;0,
    COUNTIFS($BK$2:$BK$200,$G94)&gt;0,
    COUNTIFS($BL$2:$BL$200,$G94)&gt;0,
    COUNTIFS($BM$2:$BM$200,$G94)&gt;0,
   ),
  0)
 ),
"")</f>
        <v>Tayam</v>
      </c>
      <c r="D94" s="2" t="str" cm="1">
        <f t="array" aca="1" ref="D94" ca="1">IFERROR(
 INDEX(
  _xlfn._xlws.FILTER($V$1:$AY$1,
   TRANSPOSE(
    CHOOSE({1;2;3;4;5;6;7;8;9;10;11;12;13;14;15;16;17;18;19;20;21;22;23;24;25;26;27;28;29;30},
     COUNTIFS($V$2:$V$200,$G94)&gt;0,
     COUNTIFS($W$2:$W$200,$G94)&gt;0,
     COUNTIFS($X$2:$X$200,$G94)&gt;0,
     COUNTIFS($Y$2:$Y$200,$G94)&gt;0,
     COUNTIFS($Z$2:$Z$200,$G94)&gt;0,
     COUNTIFS($AA$2:$AA$200,$G94)&gt;0,
     COUNTIFS($AB$2:$AB$200,$G94)&gt;0,
     COUNTIFS($AC$2:$AC$200,$G94)&gt;0,
     COUNTIFS($AD$2:$AD$200,$G94)&gt;0,
     COUNTIFS($AE$2:$AE$200,$G94)&gt;0,
     COUNTIFS($AF$2:$AF$200,$G94)&gt;0,
     COUNTIFS($AG$2:$AG$200,$G94)&gt;0,
     COUNTIFS($AH$2:$AH$200,$G94)&gt;0,
     COUNTIFS($AI$2:$AI$200,$G94)&gt;0,
     COUNTIFS($AJ$2:$AJ$200,$G94)&gt;0,
     COUNTIFS($AK$2:$AK$200,$G94)&gt;0,
     COUNTIFS($AL$2:$AL$200,$G94)&gt;0,
     COUNTIFS($AM$2:$AM$200,$G94)&gt;0,
     COUNTIFS($AN$2:$AN$200,$G94)&gt;0,
     COUNTIFS($AO$2:$AO$200,$G94)&gt;0,
     COUNTIFS($AP$2:$AP$200,$G94)&gt;0,
     COUNTIFS($AQ$2:$AQ$200,$G94)&gt;0,
     COUNTIFS($AR$2:$AR$200,$G94)&gt;0,
     COUNTIFS($AS$2:$AS$200,$G94)&gt;0,
     COUNTIFS($AT$2:$AT$200,$G94)&gt;0,
     COUNTIFS($AU$2:$AU$200,$G94)&gt;0,
     COUNTIFS($AV$2:$AV$200,$G94)&gt;0,
     COUNTIFS($AW$2:$AW$200,$G94)&gt;0,
     COUNTIFS($AX$2:$AX$200,$G94)&gt;0,
     COUNTIFS($AY$2:$AY$200,$G94)&gt;0
   )),
  ),
  2
 ),
"")</f>
        <v/>
      </c>
      <c r="E94" s="2" t="str" cm="1">
        <f t="array" aca="1" ref="E94" ca="1">IFERROR(
 INDEX(
  _xlfn._xlws.FILTER($V$1:$AY$1,
   TRANSPOSE(
    CHOOSE({1;2;3;4;5;6;7;8;9;10;11;12;13;14;15;16;17;18;19;20;21;22;23;24;25;26;27;28;29;30},
     COUNTIFS($V$2:$V$200,$G94)&gt;0,
     COUNTIFS($W$2:$W$200,$G94)&gt;0,
     COUNTIFS($X$2:$X$200,$G94)&gt;0,
     COUNTIFS($Y$2:$Y$200,$G94)&gt;0,
     COUNTIFS($Z$2:$Z$200,$G94)&gt;0,
     COUNTIFS($AA$2:$AA$200,$G94)&gt;0,
     COUNTIFS($AB$2:$AB$200,$G94)&gt;0,
     COUNTIFS($AC$2:$AC$200,$G94)&gt;0,
     COUNTIFS($AD$2:$AD$200,$G94)&gt;0,
     COUNTIFS($AE$2:$AE$200,$G94)&gt;0,
     COUNTIFS($AF$2:$AF$200,$G94)&gt;0,
     COUNTIFS($AG$2:$AG$200,$G94)&gt;0,
     COUNTIFS($AH$2:$AH$200,$G94)&gt;0,
     COUNTIFS($AI$2:$AI$200,$G94)&gt;0,
     COUNTIFS($AJ$2:$AJ$200,$G94)&gt;0,
     COUNTIFS($AK$2:$AK$200,$G94)&gt;0,
     COUNTIFS($AL$2:$AL$200,$G94)&gt;0,
     COUNTIFS($AM$2:$AM$200,$G94)&gt;0,
     COUNTIFS($AN$2:$AN$200,$G94)&gt;0,
     COUNTIFS($AO$2:$AO$200,$G94)&gt;0,
     COUNTIFS($AP$2:$AP$200,$G94)&gt;0,
     COUNTIFS($AQ$2:$AQ$200,$G94)&gt;0,
     COUNTIFS($AR$2:$AR$200,$G94)&gt;0,
     COUNTIFS($AS$2:$AS$200,$G94)&gt;0,
     COUNTIFS($AT$2:$AT$200,$G94)&gt;0,
     COUNTIFS($AU$2:$AU$200,$G94)&gt;0,
     COUNTIFS($AV$2:$AV$200,$G94)&gt;0,
     COUNTIFS($AW$2:$AW$200,$G94)&gt;0,
     COUNTIFS($AX$2:$AX$200,$G94)&gt;0,
     COUNTIFS($AY$2:$AY$200,$G94)&gt;0
   )),
  ),
  3
 ),
"")</f>
        <v/>
      </c>
      <c r="F94" s="2" t="str" cm="1">
        <f t="array" aca="1" ref="F94" ca="1">IFERROR(
 INDEX(
  _xlfn._xlws.FILTER($V$1:$AY$1,
   TRANSPOSE(
    CHOOSE({1;2;3;4;5;6;7;8;9;10;11;12;13;14;15;16;17;18;19;20;21;22;23;24;25;26;27;28;29;30},
     COUNTIFS($V$2:$V$200,$G94)&gt;0,
     COUNTIFS($W$2:$W$200,$G94)&gt;0,
     COUNTIFS($X$2:$X$200,$G94)&gt;0,
     COUNTIFS($Y$2:$Y$200,$G94)&gt;0,
     COUNTIFS($Z$2:$Z$200,$G94)&gt;0,
     COUNTIFS($AA$2:$AA$200,$G94)&gt;0,
     COUNTIFS($AB$2:$AB$200,$G94)&gt;0,
     COUNTIFS($AC$2:$AC$200,$G94)&gt;0,
     COUNTIFS($AD$2:$AD$200,$G94)&gt;0,
     COUNTIFS($AE$2:$AE$200,$G94)&gt;0,
     COUNTIFS($AF$2:$AF$200,$G94)&gt;0,
     COUNTIFS($AG$2:$AG$200,$G94)&gt;0,
     COUNTIFS($AH$2:$AH$200,$G94)&gt;0,
     COUNTIFS($AI$2:$AI$200,$G94)&gt;0,
     COUNTIFS($AJ$2:$AJ$200,$G94)&gt;0,
     COUNTIFS($AK$2:$AK$200,$G94)&gt;0,
     COUNTIFS($AL$2:$AL$200,$G94)&gt;0,
     COUNTIFS($AM$2:$AM$200,$G94)&gt;0,
     COUNTIFS($AN$2:$AN$200,$G94)&gt;0,
     COUNTIFS($AO$2:$AO$200,$G94)&gt;0,
     COUNTIFS($AP$2:$AP$200,$G94)&gt;0,
     COUNTIFS($AQ$2:$AQ$200,$G94)&gt;0,
     COUNTIFS($AR$2:$AR$200,$G94)&gt;0,
     COUNTIFS($AS$2:$AS$200,$G94)&gt;0,
     COUNTIFS($AT$2:$AT$200,$G94)&gt;0,
     COUNTIFS($AU$2:$AU$200,$G94)&gt;0,
     COUNTIFS($AV$2:$AV$200,$G94)&gt;0,
     COUNTIFS($AW$2:$AW$200,$G94)&gt;0,
     COUNTIFS($AX$2:$AX$200,$G94)&gt;0,
     COUNTIFS($AY$2:$AY$200,$G94)&gt;0
   )),
  ),
  4
 ),
"")</f>
        <v/>
      </c>
      <c r="G94" t="str">
        <f ca="1"/>
        <v>Colonel Autumn</v>
      </c>
      <c r="AO94" t="str">
        <v>Unsettled Mariner</v>
      </c>
      <c r="BL94" t="str">
        <v>The Emperor of Palamecia</v>
      </c>
      <c r="CR94" t="str">
        <f ca="1"/>
        <v>Ward Sliver</v>
      </c>
      <c r="DT94" t="str">
        <f ca="1"/>
        <v>Three Tree City</v>
      </c>
      <c r="DZ94" t="str">
        <f ca="1"/>
        <v>Plains</v>
      </c>
      <c r="EG94" t="str">
        <f ca="1"/>
        <v>Takenuma, Abandoned Mire</v>
      </c>
      <c r="EI94" t="str">
        <f ca="1"/>
        <v>Savai Triome</v>
      </c>
      <c r="EL94" t="str">
        <f ca="1"/>
        <v>Plains</v>
      </c>
      <c r="EP94" t="str">
        <f ca="1"/>
        <v>Maddening Cacophony</v>
      </c>
      <c r="EQ94" t="str">
        <f ca="1"/>
        <v>Manaweft Sliver</v>
      </c>
      <c r="ER94" t="str">
        <f ca="1"/>
        <v>Isshin, Two Heavens as One</v>
      </c>
      <c r="EU94" t="str">
        <f ca="1"/>
        <v>Emrakul, the World Anew</v>
      </c>
      <c r="EV94" t="str">
        <f ca="1"/>
        <v>Isshin, Two Heavens as One</v>
      </c>
      <c r="EX94" t="str">
        <f ca="1"/>
        <v>Colonel Autumn</v>
      </c>
    </row>
    <row r="95" spans="1:154" x14ac:dyDescent="0.25">
      <c r="A95" s="2" t="str">
        <f t="shared" ca="1" si="8"/>
        <v>5</v>
      </c>
      <c r="B95" s="2">
        <f t="shared" ca="1" si="9"/>
        <v>1</v>
      </c>
      <c r="C95" s="2" t="str">
        <f ca="1">IFERROR(
 INDEX($V$1:$BL$1,
  MATCH(TRUE,
   CHOOSE({1;2;3;4;5;6;7;8;9;10;11;12;13;14;15;16;17;18;19;20;21;22;23;24;25;26;27;28;29;30;31;32;33;34;35;36;37;38;39;40;41;42;43},
    COUNTIFS($V$2:$V$200,$G95)&gt;0,
    COUNTIFS($W$2:$W$200,$G95)&gt;0,
    COUNTIFS($X$2:$X$200,$G95)&gt;0,
    COUNTIFS($Y$2:$Y$200,$G95)&gt;0,
    COUNTIFS($Z$2:$Z$200,$G95)&gt;0,
    COUNTIFS($AA$2:$AA$200,$G95)&gt;0,
    COUNTIFS($AB$2:$AB$200,$G95)&gt;0,
    COUNTIFS($AC$2:$AC$200,$G95)&gt;0,
    COUNTIFS($AD$2:$AD$200,$G95)&gt;0,
    COUNTIFS($AE$2:$AE$200,$G95)&gt;0,
    COUNTIFS($AF$2:$AF$200,$G95)&gt;0,
    COUNTIFS($AG$2:$AG$200,$G95)&gt;0,
    COUNTIFS($AH$2:$AH$200,$G95)&gt;0,
    COUNTIFS($AI$2:$AI$200,$G95)&gt;0,
    COUNTIFS($AJ$2:$AJ$200,$G95)&gt;0,
    COUNTIFS($AK$2:$AK$200,$G95)&gt;0,
    COUNTIFS($AL$2:$AL$200,$G95)&gt;0,
    COUNTIFS($AM$2:$AM$200,$G95)&gt;0,
    COUNTIFS($AN$2:$AN$200,$G95)&gt;0,
    COUNTIFS($AO$2:$AO$200,$G95)&gt;0,
    COUNTIFS($AP$2:$AP$200,$G95)&gt;0,
    COUNTIFS($AQ$2:$AQ$200,$G95)&gt;0,
    COUNTIFS($AR$2:$AR$200,$G95)&gt;0,
    COUNTIFS($AS$2:$AS$200,$G95)&gt;0,
    COUNTIFS($AT$2:$AT$200,$G95)&gt;0,
    COUNTIFS($AU$2:$AU$200,$G95)&gt;0,
    COUNTIFS($AV$2:$AV$200,$G95)&gt;0,
    COUNTIFS($AW$2:$AW$200,$G95)&gt;0,
    COUNTIFS($AX$2:$AX$200,$G95)&gt;0,
    COUNTIFS($AY$2:$AY$200,$G95)&gt;0,
    COUNTIFS($AZ$2:$AZ$200,$G95)&gt;0,
    COUNTIFS($BA$2:$BA$200,$G95)&gt;0,
    COUNTIFS($BB$2:$BB$200,$G95)&gt;0,
    COUNTIFS($BC$2:$BC$200,$G95)&gt;0,
    COUNTIFS($BD$2:$BD$200,$G95)&gt;0,
    COUNTIFS($BE$2:$BE$200,$G95)&gt;0,
    COUNTIFS($BF$2:$BF$200,$G95)&gt;0,
    COUNTIFS($BG$2:$BG$200,$G95)&gt;0,
    COUNTIFS($BH$2:$BH$200,$G95)&gt;0,
    COUNTIFS($BI$2:$BI$200,$G95)&gt;0,
    COUNTIFS($BJ$2:$BJ$200,$G95)&gt;0,
    COUNTIFS($BK$2:$BK$200,$G95)&gt;0,
    COUNTIFS($BL$2:$BL$200,$G95)&gt;0,
    COUNTIFS($BM$2:$BM$200,$G95)&gt;0,
   ),
  0)
 ),
"")</f>
        <v>4cRash</v>
      </c>
      <c r="D95" s="2" t="str" cm="1">
        <f t="array" aca="1" ref="D95" ca="1">IFERROR(
 INDEX(
  _xlfn._xlws.FILTER($V$1:$AY$1,
   TRANSPOSE(
    CHOOSE({1;2;3;4;5;6;7;8;9;10;11;12;13;14;15;16;17;18;19;20;21;22;23;24;25;26;27;28;29;30},
     COUNTIFS($V$2:$V$200,$G95)&gt;0,
     COUNTIFS($W$2:$W$200,$G95)&gt;0,
     COUNTIFS($X$2:$X$200,$G95)&gt;0,
     COUNTIFS($Y$2:$Y$200,$G95)&gt;0,
     COUNTIFS($Z$2:$Z$200,$G95)&gt;0,
     COUNTIFS($AA$2:$AA$200,$G95)&gt;0,
     COUNTIFS($AB$2:$AB$200,$G95)&gt;0,
     COUNTIFS($AC$2:$AC$200,$G95)&gt;0,
     COUNTIFS($AD$2:$AD$200,$G95)&gt;0,
     COUNTIFS($AE$2:$AE$200,$G95)&gt;0,
     COUNTIFS($AF$2:$AF$200,$G95)&gt;0,
     COUNTIFS($AG$2:$AG$200,$G95)&gt;0,
     COUNTIFS($AH$2:$AH$200,$G95)&gt;0,
     COUNTIFS($AI$2:$AI$200,$G95)&gt;0,
     COUNTIFS($AJ$2:$AJ$200,$G95)&gt;0,
     COUNTIFS($AK$2:$AK$200,$G95)&gt;0,
     COUNTIFS($AL$2:$AL$200,$G95)&gt;0,
     COUNTIFS($AM$2:$AM$200,$G95)&gt;0,
     COUNTIFS($AN$2:$AN$200,$G95)&gt;0,
     COUNTIFS($AO$2:$AO$200,$G95)&gt;0,
     COUNTIFS($AP$2:$AP$200,$G95)&gt;0,
     COUNTIFS($AQ$2:$AQ$200,$G95)&gt;0,
     COUNTIFS($AR$2:$AR$200,$G95)&gt;0,
     COUNTIFS($AS$2:$AS$200,$G95)&gt;0,
     COUNTIFS($AT$2:$AT$200,$G95)&gt;0,
     COUNTIFS($AU$2:$AU$200,$G95)&gt;0,
     COUNTIFS($AV$2:$AV$200,$G95)&gt;0,
     COUNTIFS($AW$2:$AW$200,$G95)&gt;0,
     COUNTIFS($AX$2:$AX$200,$G95)&gt;0,
     COUNTIFS($AY$2:$AY$200,$G95)&gt;0
   )),
  ),
  2
 ),
"")</f>
        <v/>
      </c>
      <c r="E95" s="2" t="str" cm="1">
        <f t="array" aca="1" ref="E95" ca="1">IFERROR(
 INDEX(
  _xlfn._xlws.FILTER($V$1:$AY$1,
   TRANSPOSE(
    CHOOSE({1;2;3;4;5;6;7;8;9;10;11;12;13;14;15;16;17;18;19;20;21;22;23;24;25;26;27;28;29;30},
     COUNTIFS($V$2:$V$200,$G95)&gt;0,
     COUNTIFS($W$2:$W$200,$G95)&gt;0,
     COUNTIFS($X$2:$X$200,$G95)&gt;0,
     COUNTIFS($Y$2:$Y$200,$G95)&gt;0,
     COUNTIFS($Z$2:$Z$200,$G95)&gt;0,
     COUNTIFS($AA$2:$AA$200,$G95)&gt;0,
     COUNTIFS($AB$2:$AB$200,$G95)&gt;0,
     COUNTIFS($AC$2:$AC$200,$G95)&gt;0,
     COUNTIFS($AD$2:$AD$200,$G95)&gt;0,
     COUNTIFS($AE$2:$AE$200,$G95)&gt;0,
     COUNTIFS($AF$2:$AF$200,$G95)&gt;0,
     COUNTIFS($AG$2:$AG$200,$G95)&gt;0,
     COUNTIFS($AH$2:$AH$200,$G95)&gt;0,
     COUNTIFS($AI$2:$AI$200,$G95)&gt;0,
     COUNTIFS($AJ$2:$AJ$200,$G95)&gt;0,
     COUNTIFS($AK$2:$AK$200,$G95)&gt;0,
     COUNTIFS($AL$2:$AL$200,$G95)&gt;0,
     COUNTIFS($AM$2:$AM$200,$G95)&gt;0,
     COUNTIFS($AN$2:$AN$200,$G95)&gt;0,
     COUNTIFS($AO$2:$AO$200,$G95)&gt;0,
     COUNTIFS($AP$2:$AP$200,$G95)&gt;0,
     COUNTIFS($AQ$2:$AQ$200,$G95)&gt;0,
     COUNTIFS($AR$2:$AR$200,$G95)&gt;0,
     COUNTIFS($AS$2:$AS$200,$G95)&gt;0,
     COUNTIFS($AT$2:$AT$200,$G95)&gt;0,
     COUNTIFS($AU$2:$AU$200,$G95)&gt;0,
     COUNTIFS($AV$2:$AV$200,$G95)&gt;0,
     COUNTIFS($AW$2:$AW$200,$G95)&gt;0,
     COUNTIFS($AX$2:$AX$200,$G95)&gt;0,
     COUNTIFS($AY$2:$AY$200,$G95)&gt;0
   )),
  ),
  3
 ),
"")</f>
        <v/>
      </c>
      <c r="F95" s="2" t="str" cm="1">
        <f t="array" aca="1" ref="F95" ca="1">IFERROR(
 INDEX(
  _xlfn._xlws.FILTER($V$1:$AY$1,
   TRANSPOSE(
    CHOOSE({1;2;3;4;5;6;7;8;9;10;11;12;13;14;15;16;17;18;19;20;21;22;23;24;25;26;27;28;29;30},
     COUNTIFS($V$2:$V$200,$G95)&gt;0,
     COUNTIFS($W$2:$W$200,$G95)&gt;0,
     COUNTIFS($X$2:$X$200,$G95)&gt;0,
     COUNTIFS($Y$2:$Y$200,$G95)&gt;0,
     COUNTIFS($Z$2:$Z$200,$G95)&gt;0,
     COUNTIFS($AA$2:$AA$200,$G95)&gt;0,
     COUNTIFS($AB$2:$AB$200,$G95)&gt;0,
     COUNTIFS($AC$2:$AC$200,$G95)&gt;0,
     COUNTIFS($AD$2:$AD$200,$G95)&gt;0,
     COUNTIFS($AE$2:$AE$200,$G95)&gt;0,
     COUNTIFS($AF$2:$AF$200,$G95)&gt;0,
     COUNTIFS($AG$2:$AG$200,$G95)&gt;0,
     COUNTIFS($AH$2:$AH$200,$G95)&gt;0,
     COUNTIFS($AI$2:$AI$200,$G95)&gt;0,
     COUNTIFS($AJ$2:$AJ$200,$G95)&gt;0,
     COUNTIFS($AK$2:$AK$200,$G95)&gt;0,
     COUNTIFS($AL$2:$AL$200,$G95)&gt;0,
     COUNTIFS($AM$2:$AM$200,$G95)&gt;0,
     COUNTIFS($AN$2:$AN$200,$G95)&gt;0,
     COUNTIFS($AO$2:$AO$200,$G95)&gt;0,
     COUNTIFS($AP$2:$AP$200,$G95)&gt;0,
     COUNTIFS($AQ$2:$AQ$200,$G95)&gt;0,
     COUNTIFS($AR$2:$AR$200,$G95)&gt;0,
     COUNTIFS($AS$2:$AS$200,$G95)&gt;0,
     COUNTIFS($AT$2:$AT$200,$G95)&gt;0,
     COUNTIFS($AU$2:$AU$200,$G95)&gt;0,
     COUNTIFS($AV$2:$AV$200,$G95)&gt;0,
     COUNTIFS($AW$2:$AW$200,$G95)&gt;0,
     COUNTIFS($AX$2:$AX$200,$G95)&gt;0,
     COUNTIFS($AY$2:$AY$200,$G95)&gt;0
   )),
  ),
  4
 ),
"")</f>
        <v/>
      </c>
      <c r="G95" t="str">
        <f ca="1"/>
        <v>Comet Storm</v>
      </c>
      <c r="AO95" t="str">
        <v>Venom Sliver</v>
      </c>
      <c r="BL95" t="str">
        <v>The Lord of Pain</v>
      </c>
      <c r="CR95" t="str">
        <f ca="1"/>
        <v>Watery Grave</v>
      </c>
      <c r="DT95" t="str">
        <f ca="1"/>
        <v>Thrumming Hivepool</v>
      </c>
      <c r="DZ95" t="str">
        <f ca="1"/>
        <v>Planar Genesis</v>
      </c>
      <c r="EG95" t="str">
        <f ca="1"/>
        <v>Tale of Katara and Toph</v>
      </c>
      <c r="EI95" t="str">
        <f ca="1"/>
        <v>Sedge Sliver</v>
      </c>
      <c r="EL95" t="str">
        <f ca="1"/>
        <v>Planar Genesis</v>
      </c>
      <c r="EP95" t="str">
        <f ca="1"/>
        <v>March of the Canonized</v>
      </c>
      <c r="EQ95" t="str">
        <f ca="1"/>
        <v>Mandate of Abaddon</v>
      </c>
      <c r="ER95" t="str">
        <f ca="1"/>
        <v>Jaheira's Respite</v>
      </c>
      <c r="EU95" t="str">
        <f ca="1"/>
        <v>Enduring Innocence</v>
      </c>
      <c r="EV95" t="str">
        <f ca="1"/>
        <v>Jaheira's Respite</v>
      </c>
      <c r="EX95" t="str">
        <f ca="1"/>
        <v>Comet Storm</v>
      </c>
    </row>
    <row r="96" spans="1:154" x14ac:dyDescent="0.25">
      <c r="A96" s="2" t="str">
        <f t="shared" ca="1" si="8"/>
        <v>5</v>
      </c>
      <c r="B96" s="2">
        <f t="shared" ca="1" si="9"/>
        <v>2</v>
      </c>
      <c r="C96" s="2" t="str">
        <f ca="1">IFERROR(
 INDEX($V$1:$BL$1,
  MATCH(TRUE,
   CHOOSE({1;2;3;4;5;6;7;8;9;10;11;12;13;14;15;16;17;18;19;20;21;22;23;24;25;26;27;28;29;30;31;32;33;34;35;36;37;38;39;40;41;42;43},
    COUNTIFS($V$2:$V$200,$G96)&gt;0,
    COUNTIFS($W$2:$W$200,$G96)&gt;0,
    COUNTIFS($X$2:$X$200,$G96)&gt;0,
    COUNTIFS($Y$2:$Y$200,$G96)&gt;0,
    COUNTIFS($Z$2:$Z$200,$G96)&gt;0,
    COUNTIFS($AA$2:$AA$200,$G96)&gt;0,
    COUNTIFS($AB$2:$AB$200,$G96)&gt;0,
    COUNTIFS($AC$2:$AC$200,$G96)&gt;0,
    COUNTIFS($AD$2:$AD$200,$G96)&gt;0,
    COUNTIFS($AE$2:$AE$200,$G96)&gt;0,
    COUNTIFS($AF$2:$AF$200,$G96)&gt;0,
    COUNTIFS($AG$2:$AG$200,$G96)&gt;0,
    COUNTIFS($AH$2:$AH$200,$G96)&gt;0,
    COUNTIFS($AI$2:$AI$200,$G96)&gt;0,
    COUNTIFS($AJ$2:$AJ$200,$G96)&gt;0,
    COUNTIFS($AK$2:$AK$200,$G96)&gt;0,
    COUNTIFS($AL$2:$AL$200,$G96)&gt;0,
    COUNTIFS($AM$2:$AM$200,$G96)&gt;0,
    COUNTIFS($AN$2:$AN$200,$G96)&gt;0,
    COUNTIFS($AO$2:$AO$200,$G96)&gt;0,
    COUNTIFS($AP$2:$AP$200,$G96)&gt;0,
    COUNTIFS($AQ$2:$AQ$200,$G96)&gt;0,
    COUNTIFS($AR$2:$AR$200,$G96)&gt;0,
    COUNTIFS($AS$2:$AS$200,$G96)&gt;0,
    COUNTIFS($AT$2:$AT$200,$G96)&gt;0,
    COUNTIFS($AU$2:$AU$200,$G96)&gt;0,
    COUNTIFS($AV$2:$AV$200,$G96)&gt;0,
    COUNTIFS($AW$2:$AW$200,$G96)&gt;0,
    COUNTIFS($AX$2:$AX$200,$G96)&gt;0,
    COUNTIFS($AY$2:$AY$200,$G96)&gt;0,
    COUNTIFS($AZ$2:$AZ$200,$G96)&gt;0,
    COUNTIFS($BA$2:$BA$200,$G96)&gt;0,
    COUNTIFS($BB$2:$BB$200,$G96)&gt;0,
    COUNTIFS($BC$2:$BC$200,$G96)&gt;0,
    COUNTIFS($BD$2:$BD$200,$G96)&gt;0,
    COUNTIFS($BE$2:$BE$200,$G96)&gt;0,
    COUNTIFS($BF$2:$BF$200,$G96)&gt;0,
    COUNTIFS($BG$2:$BG$200,$G96)&gt;0,
    COUNTIFS($BH$2:$BH$200,$G96)&gt;0,
    COUNTIFS($BI$2:$BI$200,$G96)&gt;0,
    COUNTIFS($BJ$2:$BJ$200,$G96)&gt;0,
    COUNTIFS($BK$2:$BK$200,$G96)&gt;0,
    COUNTIFS($BL$2:$BL$200,$G96)&gt;0,
    COUNTIFS($BM$2:$BM$200,$G96)&gt;0,
   ),
  0)
 ),
"")</f>
        <v>Fractius</v>
      </c>
      <c r="D96" s="2" t="str" cm="1">
        <f t="array" aca="1" ref="D96" ca="1">IFERROR(
 INDEX(
  _xlfn._xlws.FILTER($V$1:$AY$1,
   TRANSPOSE(
    CHOOSE({1;2;3;4;5;6;7;8;9;10;11;12;13;14;15;16;17;18;19;20;21;22;23;24;25;26;27;28;29;30},
     COUNTIFS($V$2:$V$200,$G96)&gt;0,
     COUNTIFS($W$2:$W$200,$G96)&gt;0,
     COUNTIFS($X$2:$X$200,$G96)&gt;0,
     COUNTIFS($Y$2:$Y$200,$G96)&gt;0,
     COUNTIFS($Z$2:$Z$200,$G96)&gt;0,
     COUNTIFS($AA$2:$AA$200,$G96)&gt;0,
     COUNTIFS($AB$2:$AB$200,$G96)&gt;0,
     COUNTIFS($AC$2:$AC$200,$G96)&gt;0,
     COUNTIFS($AD$2:$AD$200,$G96)&gt;0,
     COUNTIFS($AE$2:$AE$200,$G96)&gt;0,
     COUNTIFS($AF$2:$AF$200,$G96)&gt;0,
     COUNTIFS($AG$2:$AG$200,$G96)&gt;0,
     COUNTIFS($AH$2:$AH$200,$G96)&gt;0,
     COUNTIFS($AI$2:$AI$200,$G96)&gt;0,
     COUNTIFS($AJ$2:$AJ$200,$G96)&gt;0,
     COUNTIFS($AK$2:$AK$200,$G96)&gt;0,
     COUNTIFS($AL$2:$AL$200,$G96)&gt;0,
     COUNTIFS($AM$2:$AM$200,$G96)&gt;0,
     COUNTIFS($AN$2:$AN$200,$G96)&gt;0,
     COUNTIFS($AO$2:$AO$200,$G96)&gt;0,
     COUNTIFS($AP$2:$AP$200,$G96)&gt;0,
     COUNTIFS($AQ$2:$AQ$200,$G96)&gt;0,
     COUNTIFS($AR$2:$AR$200,$G96)&gt;0,
     COUNTIFS($AS$2:$AS$200,$G96)&gt;0,
     COUNTIFS($AT$2:$AT$200,$G96)&gt;0,
     COUNTIFS($AU$2:$AU$200,$G96)&gt;0,
     COUNTIFS($AV$2:$AV$200,$G96)&gt;0,
     COUNTIFS($AW$2:$AW$200,$G96)&gt;0,
     COUNTIFS($AX$2:$AX$200,$G96)&gt;0,
     COUNTIFS($AY$2:$AY$200,$G96)&gt;0
   )),
  ),
  2
 ),
"")</f>
        <v/>
      </c>
      <c r="E96" s="2" t="str" cm="1">
        <f t="array" aca="1" ref="E96" ca="1">IFERROR(
 INDEX(
  _xlfn._xlws.FILTER($V$1:$AY$1,
   TRANSPOSE(
    CHOOSE({1;2;3;4;5;6;7;8;9;10;11;12;13;14;15;16;17;18;19;20;21;22;23;24;25;26;27;28;29;30},
     COUNTIFS($V$2:$V$200,$G96)&gt;0,
     COUNTIFS($W$2:$W$200,$G96)&gt;0,
     COUNTIFS($X$2:$X$200,$G96)&gt;0,
     COUNTIFS($Y$2:$Y$200,$G96)&gt;0,
     COUNTIFS($Z$2:$Z$200,$G96)&gt;0,
     COUNTIFS($AA$2:$AA$200,$G96)&gt;0,
     COUNTIFS($AB$2:$AB$200,$G96)&gt;0,
     COUNTIFS($AC$2:$AC$200,$G96)&gt;0,
     COUNTIFS($AD$2:$AD$200,$G96)&gt;0,
     COUNTIFS($AE$2:$AE$200,$G96)&gt;0,
     COUNTIFS($AF$2:$AF$200,$G96)&gt;0,
     COUNTIFS($AG$2:$AG$200,$G96)&gt;0,
     COUNTIFS($AH$2:$AH$200,$G96)&gt;0,
     COUNTIFS($AI$2:$AI$200,$G96)&gt;0,
     COUNTIFS($AJ$2:$AJ$200,$G96)&gt;0,
     COUNTIFS($AK$2:$AK$200,$G96)&gt;0,
     COUNTIFS($AL$2:$AL$200,$G96)&gt;0,
     COUNTIFS($AM$2:$AM$200,$G96)&gt;0,
     COUNTIFS($AN$2:$AN$200,$G96)&gt;0,
     COUNTIFS($AO$2:$AO$200,$G96)&gt;0,
     COUNTIFS($AP$2:$AP$200,$G96)&gt;0,
     COUNTIFS($AQ$2:$AQ$200,$G96)&gt;0,
     COUNTIFS($AR$2:$AR$200,$G96)&gt;0,
     COUNTIFS($AS$2:$AS$200,$G96)&gt;0,
     COUNTIFS($AT$2:$AT$200,$G96)&gt;0,
     COUNTIFS($AU$2:$AU$200,$G96)&gt;0,
     COUNTIFS($AV$2:$AV$200,$G96)&gt;0,
     COUNTIFS($AW$2:$AW$200,$G96)&gt;0,
     COUNTIFS($AX$2:$AX$200,$G96)&gt;0,
     COUNTIFS($AY$2:$AY$200,$G96)&gt;0
   )),
  ),
  3
 ),
"")</f>
        <v/>
      </c>
      <c r="F96" s="2" t="str" cm="1">
        <f t="array" aca="1" ref="F96" ca="1">IFERROR(
 INDEX(
  _xlfn._xlws.FILTER($V$1:$AY$1,
   TRANSPOSE(
    CHOOSE({1;2;3;4;5;6;7;8;9;10;11;12;13;14;15;16;17;18;19;20;21;22;23;24;25;26;27;28;29;30},
     COUNTIFS($V$2:$V$200,$G96)&gt;0,
     COUNTIFS($W$2:$W$200,$G96)&gt;0,
     COUNTIFS($X$2:$X$200,$G96)&gt;0,
     COUNTIFS($Y$2:$Y$200,$G96)&gt;0,
     COUNTIFS($Z$2:$Z$200,$G96)&gt;0,
     COUNTIFS($AA$2:$AA$200,$G96)&gt;0,
     COUNTIFS($AB$2:$AB$200,$G96)&gt;0,
     COUNTIFS($AC$2:$AC$200,$G96)&gt;0,
     COUNTIFS($AD$2:$AD$200,$G96)&gt;0,
     COUNTIFS($AE$2:$AE$200,$G96)&gt;0,
     COUNTIFS($AF$2:$AF$200,$G96)&gt;0,
     COUNTIFS($AG$2:$AG$200,$G96)&gt;0,
     COUNTIFS($AH$2:$AH$200,$G96)&gt;0,
     COUNTIFS($AI$2:$AI$200,$G96)&gt;0,
     COUNTIFS($AJ$2:$AJ$200,$G96)&gt;0,
     COUNTIFS($AK$2:$AK$200,$G96)&gt;0,
     COUNTIFS($AL$2:$AL$200,$G96)&gt;0,
     COUNTIFS($AM$2:$AM$200,$G96)&gt;0,
     COUNTIFS($AN$2:$AN$200,$G96)&gt;0,
     COUNTIFS($AO$2:$AO$200,$G96)&gt;0,
     COUNTIFS($AP$2:$AP$200,$G96)&gt;0,
     COUNTIFS($AQ$2:$AQ$200,$G96)&gt;0,
     COUNTIFS($AR$2:$AR$200,$G96)&gt;0,
     COUNTIFS($AS$2:$AS$200,$G96)&gt;0,
     COUNTIFS($AT$2:$AT$200,$G96)&gt;0,
     COUNTIFS($AU$2:$AU$200,$G96)&gt;0,
     COUNTIFS($AV$2:$AV$200,$G96)&gt;0,
     COUNTIFS($AW$2:$AW$200,$G96)&gt;0,
     COUNTIFS($AX$2:$AX$200,$G96)&gt;0,
     COUNTIFS($AY$2:$AY$200,$G96)&gt;0
   )),
  ),
  4
 ),
"")</f>
        <v/>
      </c>
      <c r="G96" t="str">
        <f ca="1"/>
        <v>Command Tower</v>
      </c>
      <c r="AO96" t="str">
        <v>Ward Sliver</v>
      </c>
      <c r="BL96" t="str">
        <v>Toxic Deluge</v>
      </c>
      <c r="CR96" t="str">
        <f ca="1"/>
        <v>Winged Sliver</v>
      </c>
      <c r="DT96" t="str">
        <f ca="1"/>
        <v>Ulamog, the Defiler</v>
      </c>
      <c r="DZ96" t="str">
        <f ca="1"/>
        <v>Pongify</v>
      </c>
      <c r="EG96" t="str">
        <f ca="1"/>
        <v>Teferi's Ageless Insight</v>
      </c>
      <c r="EI96" t="str">
        <f ca="1"/>
        <v>Sentinel Sliver</v>
      </c>
      <c r="EL96" t="str">
        <f ca="1"/>
        <v>Pongify</v>
      </c>
      <c r="EP96" t="str">
        <f ca="1"/>
        <v>Merrow Commerce</v>
      </c>
      <c r="EQ96" t="str">
        <f ca="1"/>
        <v>Mask of Griselbrand</v>
      </c>
      <c r="ER96" t="str">
        <f ca="1"/>
        <v>Joint Exploration</v>
      </c>
      <c r="EU96" t="str">
        <f ca="1"/>
        <v>Enterprising Scallywag</v>
      </c>
      <c r="EV96" t="str">
        <f ca="1"/>
        <v>Joint Exploration</v>
      </c>
      <c r="EX96" t="str">
        <f ca="1"/>
        <v>Command Tower</v>
      </c>
    </row>
    <row r="97" spans="1:154" x14ac:dyDescent="0.25">
      <c r="A97" s="2" t="str">
        <f t="shared" ca="1" si="8"/>
        <v>2</v>
      </c>
      <c r="B97" s="2">
        <f t="shared" ca="1" si="9"/>
        <v>1</v>
      </c>
      <c r="C97" s="2" t="str">
        <f ca="1">IFERROR(
 INDEX($V$1:$BL$1,
  MATCH(TRUE,
   CHOOSE({1;2;3;4;5;6;7;8;9;10;11;12;13;14;15;16;17;18;19;20;21;22;23;24;25;26;27;28;29;30;31;32;33;34;35;36;37;38;39;40;41;42;43},
    COUNTIFS($V$2:$V$200,$G97)&gt;0,
    COUNTIFS($W$2:$W$200,$G97)&gt;0,
    COUNTIFS($X$2:$X$200,$G97)&gt;0,
    COUNTIFS($Y$2:$Y$200,$G97)&gt;0,
    COUNTIFS($Z$2:$Z$200,$G97)&gt;0,
    COUNTIFS($AA$2:$AA$200,$G97)&gt;0,
    COUNTIFS($AB$2:$AB$200,$G97)&gt;0,
    COUNTIFS($AC$2:$AC$200,$G97)&gt;0,
    COUNTIFS($AD$2:$AD$200,$G97)&gt;0,
    COUNTIFS($AE$2:$AE$200,$G97)&gt;0,
    COUNTIFS($AF$2:$AF$200,$G97)&gt;0,
    COUNTIFS($AG$2:$AG$200,$G97)&gt;0,
    COUNTIFS($AH$2:$AH$200,$G97)&gt;0,
    COUNTIFS($AI$2:$AI$200,$G97)&gt;0,
    COUNTIFS($AJ$2:$AJ$200,$G97)&gt;0,
    COUNTIFS($AK$2:$AK$200,$G97)&gt;0,
    COUNTIFS($AL$2:$AL$200,$G97)&gt;0,
    COUNTIFS($AM$2:$AM$200,$G97)&gt;0,
    COUNTIFS($AN$2:$AN$200,$G97)&gt;0,
    COUNTIFS($AO$2:$AO$200,$G97)&gt;0,
    COUNTIFS($AP$2:$AP$200,$G97)&gt;0,
    COUNTIFS($AQ$2:$AQ$200,$G97)&gt;0,
    COUNTIFS($AR$2:$AR$200,$G97)&gt;0,
    COUNTIFS($AS$2:$AS$200,$G97)&gt;0,
    COUNTIFS($AT$2:$AT$200,$G97)&gt;0,
    COUNTIFS($AU$2:$AU$200,$G97)&gt;0,
    COUNTIFS($AV$2:$AV$200,$G97)&gt;0,
    COUNTIFS($AW$2:$AW$200,$G97)&gt;0,
    COUNTIFS($AX$2:$AX$200,$G97)&gt;0,
    COUNTIFS($AY$2:$AY$200,$G97)&gt;0,
    COUNTIFS($AZ$2:$AZ$200,$G97)&gt;0,
    COUNTIFS($BA$2:$BA$200,$G97)&gt;0,
    COUNTIFS($BB$2:$BB$200,$G97)&gt;0,
    COUNTIFS($BC$2:$BC$200,$G97)&gt;0,
    COUNTIFS($BD$2:$BD$200,$G97)&gt;0,
    COUNTIFS($BE$2:$BE$200,$G97)&gt;0,
    COUNTIFS($BF$2:$BF$200,$G97)&gt;0,
    COUNTIFS($BG$2:$BG$200,$G97)&gt;0,
    COUNTIFS($BH$2:$BH$200,$G97)&gt;0,
    COUNTIFS($BI$2:$BI$200,$G97)&gt;0,
    COUNTIFS($BJ$2:$BJ$200,$G97)&gt;0,
    COUNTIFS($BK$2:$BK$200,$G97)&gt;0,
    COUNTIFS($BL$2:$BL$200,$G97)&gt;0,
    COUNTIFS($BM$2:$BM$200,$G97)&gt;0,
   ),
  0)
 ),
"")</f>
        <v>Sisay</v>
      </c>
      <c r="D97" s="2" t="str" cm="1">
        <f t="array" aca="1" ref="D97" ca="1">IFERROR(
 INDEX(
  _xlfn._xlws.FILTER($V$1:$AY$1,
   TRANSPOSE(
    CHOOSE({1;2;3;4;5;6;7;8;9;10;11;12;13;14;15;16;17;18;19;20;21;22;23;24;25;26;27;28;29;30},
     COUNTIFS($V$2:$V$200,$G97)&gt;0,
     COUNTIFS($W$2:$W$200,$G97)&gt;0,
     COUNTIFS($X$2:$X$200,$G97)&gt;0,
     COUNTIFS($Y$2:$Y$200,$G97)&gt;0,
     COUNTIFS($Z$2:$Z$200,$G97)&gt;0,
     COUNTIFS($AA$2:$AA$200,$G97)&gt;0,
     COUNTIFS($AB$2:$AB$200,$G97)&gt;0,
     COUNTIFS($AC$2:$AC$200,$G97)&gt;0,
     COUNTIFS($AD$2:$AD$200,$G97)&gt;0,
     COUNTIFS($AE$2:$AE$200,$G97)&gt;0,
     COUNTIFS($AF$2:$AF$200,$G97)&gt;0,
     COUNTIFS($AG$2:$AG$200,$G97)&gt;0,
     COUNTIFS($AH$2:$AH$200,$G97)&gt;0,
     COUNTIFS($AI$2:$AI$200,$G97)&gt;0,
     COUNTIFS($AJ$2:$AJ$200,$G97)&gt;0,
     COUNTIFS($AK$2:$AK$200,$G97)&gt;0,
     COUNTIFS($AL$2:$AL$200,$G97)&gt;0,
     COUNTIFS($AM$2:$AM$200,$G97)&gt;0,
     COUNTIFS($AN$2:$AN$200,$G97)&gt;0,
     COUNTIFS($AO$2:$AO$200,$G97)&gt;0,
     COUNTIFS($AP$2:$AP$200,$G97)&gt;0,
     COUNTIFS($AQ$2:$AQ$200,$G97)&gt;0,
     COUNTIFS($AR$2:$AR$200,$G97)&gt;0,
     COUNTIFS($AS$2:$AS$200,$G97)&gt;0,
     COUNTIFS($AT$2:$AT$200,$G97)&gt;0,
     COUNTIFS($AU$2:$AU$200,$G97)&gt;0,
     COUNTIFS($AV$2:$AV$200,$G97)&gt;0,
     COUNTIFS($AW$2:$AW$200,$G97)&gt;0,
     COUNTIFS($AX$2:$AX$200,$G97)&gt;0,
     COUNTIFS($AY$2:$AY$200,$G97)&gt;0
   )),
  ),
  2
 ),
"")</f>
        <v/>
      </c>
      <c r="E97" s="2" t="str" cm="1">
        <f t="array" aca="1" ref="E97" ca="1">IFERROR(
 INDEX(
  _xlfn._xlws.FILTER($V$1:$AY$1,
   TRANSPOSE(
    CHOOSE({1;2;3;4;5;6;7;8;9;10;11;12;13;14;15;16;17;18;19;20;21;22;23;24;25;26;27;28;29;30},
     COUNTIFS($V$2:$V$200,$G97)&gt;0,
     COUNTIFS($W$2:$W$200,$G97)&gt;0,
     COUNTIFS($X$2:$X$200,$G97)&gt;0,
     COUNTIFS($Y$2:$Y$200,$G97)&gt;0,
     COUNTIFS($Z$2:$Z$200,$G97)&gt;0,
     COUNTIFS($AA$2:$AA$200,$G97)&gt;0,
     COUNTIFS($AB$2:$AB$200,$G97)&gt;0,
     COUNTIFS($AC$2:$AC$200,$G97)&gt;0,
     COUNTIFS($AD$2:$AD$200,$G97)&gt;0,
     COUNTIFS($AE$2:$AE$200,$G97)&gt;0,
     COUNTIFS($AF$2:$AF$200,$G97)&gt;0,
     COUNTIFS($AG$2:$AG$200,$G97)&gt;0,
     COUNTIFS($AH$2:$AH$200,$G97)&gt;0,
     COUNTIFS($AI$2:$AI$200,$G97)&gt;0,
     COUNTIFS($AJ$2:$AJ$200,$G97)&gt;0,
     COUNTIFS($AK$2:$AK$200,$G97)&gt;0,
     COUNTIFS($AL$2:$AL$200,$G97)&gt;0,
     COUNTIFS($AM$2:$AM$200,$G97)&gt;0,
     COUNTIFS($AN$2:$AN$200,$G97)&gt;0,
     COUNTIFS($AO$2:$AO$200,$G97)&gt;0,
     COUNTIFS($AP$2:$AP$200,$G97)&gt;0,
     COUNTIFS($AQ$2:$AQ$200,$G97)&gt;0,
     COUNTIFS($AR$2:$AR$200,$G97)&gt;0,
     COUNTIFS($AS$2:$AS$200,$G97)&gt;0,
     COUNTIFS($AT$2:$AT$200,$G97)&gt;0,
     COUNTIFS($AU$2:$AU$200,$G97)&gt;0,
     COUNTIFS($AV$2:$AV$200,$G97)&gt;0,
     COUNTIFS($AW$2:$AW$200,$G97)&gt;0,
     COUNTIFS($AX$2:$AX$200,$G97)&gt;0,
     COUNTIFS($AY$2:$AY$200,$G97)&gt;0
   )),
  ),
  3
 ),
"")</f>
        <v/>
      </c>
      <c r="F97" s="2" t="str" cm="1">
        <f t="array" aca="1" ref="F97" ca="1">IFERROR(
 INDEX(
  _xlfn._xlws.FILTER($V$1:$AY$1,
   TRANSPOSE(
    CHOOSE({1;2;3;4;5;6;7;8;9;10;11;12;13;14;15;16;17;18;19;20;21;22;23;24;25;26;27;28;29;30},
     COUNTIFS($V$2:$V$200,$G97)&gt;0,
     COUNTIFS($W$2:$W$200,$G97)&gt;0,
     COUNTIFS($X$2:$X$200,$G97)&gt;0,
     COUNTIFS($Y$2:$Y$200,$G97)&gt;0,
     COUNTIFS($Z$2:$Z$200,$G97)&gt;0,
     COUNTIFS($AA$2:$AA$200,$G97)&gt;0,
     COUNTIFS($AB$2:$AB$200,$G97)&gt;0,
     COUNTIFS($AC$2:$AC$200,$G97)&gt;0,
     COUNTIFS($AD$2:$AD$200,$G97)&gt;0,
     COUNTIFS($AE$2:$AE$200,$G97)&gt;0,
     COUNTIFS($AF$2:$AF$200,$G97)&gt;0,
     COUNTIFS($AG$2:$AG$200,$G97)&gt;0,
     COUNTIFS($AH$2:$AH$200,$G97)&gt;0,
     COUNTIFS($AI$2:$AI$200,$G97)&gt;0,
     COUNTIFS($AJ$2:$AJ$200,$G97)&gt;0,
     COUNTIFS($AK$2:$AK$200,$G97)&gt;0,
     COUNTIFS($AL$2:$AL$200,$G97)&gt;0,
     COUNTIFS($AM$2:$AM$200,$G97)&gt;0,
     COUNTIFS($AN$2:$AN$200,$G97)&gt;0,
     COUNTIFS($AO$2:$AO$200,$G97)&gt;0,
     COUNTIFS($AP$2:$AP$200,$G97)&gt;0,
     COUNTIFS($AQ$2:$AQ$200,$G97)&gt;0,
     COUNTIFS($AR$2:$AR$200,$G97)&gt;0,
     COUNTIFS($AS$2:$AS$200,$G97)&gt;0,
     COUNTIFS($AT$2:$AT$200,$G97)&gt;0,
     COUNTIFS($AU$2:$AU$200,$G97)&gt;0,
     COUNTIFS($AV$2:$AV$200,$G97)&gt;0,
     COUNTIFS($AW$2:$AW$200,$G97)&gt;0,
     COUNTIFS($AX$2:$AX$200,$G97)&gt;0,
     COUNTIFS($AY$2:$AY$200,$G97)&gt;0
   )),
  ),
  4
 ),
"")</f>
        <v/>
      </c>
      <c r="G97" t="str">
        <f ca="1"/>
        <v>Commodore Guff</v>
      </c>
      <c r="AO97" t="str">
        <v>Watery Grave</v>
      </c>
      <c r="BL97" t="str">
        <v>Unwind</v>
      </c>
      <c r="CR97" t="str">
        <f ca="1"/>
        <v>Xander's Lounge</v>
      </c>
      <c r="DT97" t="str">
        <f ca="1"/>
        <v>Unsettled Mariner</v>
      </c>
      <c r="DZ97" t="str">
        <f ca="1"/>
        <v>Prishe's Wanderings</v>
      </c>
      <c r="EG97" t="str">
        <f ca="1"/>
        <v>Temple of Malice</v>
      </c>
      <c r="EI97" t="str">
        <f ca="1"/>
        <v>Shifting Sliver</v>
      </c>
      <c r="EL97" t="str">
        <f ca="1"/>
        <v>Prishe's Wanderings</v>
      </c>
      <c r="EP97" t="str">
        <f ca="1"/>
        <v>Merrow Harbinger</v>
      </c>
      <c r="EQ97" t="str">
        <f ca="1"/>
        <v>Mirror Pool</v>
      </c>
      <c r="ER97" t="str">
        <f ca="1"/>
        <v>Kabira Takedown</v>
      </c>
      <c r="EU97" t="str">
        <f ca="1"/>
        <v>Entomb</v>
      </c>
      <c r="EV97" t="str">
        <f ca="1"/>
        <v>Kabira Takedown</v>
      </c>
      <c r="EX97" t="str">
        <f ca="1"/>
        <v>Commodore Guff</v>
      </c>
    </row>
    <row r="98" spans="1:154" x14ac:dyDescent="0.25">
      <c r="A98" s="2" t="str">
        <f t="shared" ca="1" si="8"/>
        <v>5</v>
      </c>
      <c r="B98" s="2">
        <f t="shared" ca="1" si="9"/>
        <v>1</v>
      </c>
      <c r="C98" s="2" t="str">
        <f ca="1">IFERROR(
 INDEX($V$1:$BL$1,
  MATCH(TRUE,
   CHOOSE({1;2;3;4;5;6;7;8;9;10;11;12;13;14;15;16;17;18;19;20;21;22;23;24;25;26;27;28;29;30;31;32;33;34;35;36;37;38;39;40;41;42;43},
    COUNTIFS($V$2:$V$200,$G98)&gt;0,
    COUNTIFS($W$2:$W$200,$G98)&gt;0,
    COUNTIFS($X$2:$X$200,$G98)&gt;0,
    COUNTIFS($Y$2:$Y$200,$G98)&gt;0,
    COUNTIFS($Z$2:$Z$200,$G98)&gt;0,
    COUNTIFS($AA$2:$AA$200,$G98)&gt;0,
    COUNTIFS($AB$2:$AB$200,$G98)&gt;0,
    COUNTIFS($AC$2:$AC$200,$G98)&gt;0,
    COUNTIFS($AD$2:$AD$200,$G98)&gt;0,
    COUNTIFS($AE$2:$AE$200,$G98)&gt;0,
    COUNTIFS($AF$2:$AF$200,$G98)&gt;0,
    COUNTIFS($AG$2:$AG$200,$G98)&gt;0,
    COUNTIFS($AH$2:$AH$200,$G98)&gt;0,
    COUNTIFS($AI$2:$AI$200,$G98)&gt;0,
    COUNTIFS($AJ$2:$AJ$200,$G98)&gt;0,
    COUNTIFS($AK$2:$AK$200,$G98)&gt;0,
    COUNTIFS($AL$2:$AL$200,$G98)&gt;0,
    COUNTIFS($AM$2:$AM$200,$G98)&gt;0,
    COUNTIFS($AN$2:$AN$200,$G98)&gt;0,
    COUNTIFS($AO$2:$AO$200,$G98)&gt;0,
    COUNTIFS($AP$2:$AP$200,$G98)&gt;0,
    COUNTIFS($AQ$2:$AQ$200,$G98)&gt;0,
    COUNTIFS($AR$2:$AR$200,$G98)&gt;0,
    COUNTIFS($AS$2:$AS$200,$G98)&gt;0,
    COUNTIFS($AT$2:$AT$200,$G98)&gt;0,
    COUNTIFS($AU$2:$AU$200,$G98)&gt;0,
    COUNTIFS($AV$2:$AV$200,$G98)&gt;0,
    COUNTIFS($AW$2:$AW$200,$G98)&gt;0,
    COUNTIFS($AX$2:$AX$200,$G98)&gt;0,
    COUNTIFS($AY$2:$AY$200,$G98)&gt;0,
    COUNTIFS($AZ$2:$AZ$200,$G98)&gt;0,
    COUNTIFS($BA$2:$BA$200,$G98)&gt;0,
    COUNTIFS($BB$2:$BB$200,$G98)&gt;0,
    COUNTIFS($BC$2:$BC$200,$G98)&gt;0,
    COUNTIFS($BD$2:$BD$200,$G98)&gt;0,
    COUNTIFS($BE$2:$BE$200,$G98)&gt;0,
    COUNTIFS($BF$2:$BF$200,$G98)&gt;0,
    COUNTIFS($BG$2:$BG$200,$G98)&gt;0,
    COUNTIFS($BH$2:$BH$200,$G98)&gt;0,
    COUNTIFS($BI$2:$BI$200,$G98)&gt;0,
    COUNTIFS($BJ$2:$BJ$200,$G98)&gt;0,
    COUNTIFS($BK$2:$BK$200,$G98)&gt;0,
    COUNTIFS($BL$2:$BL$200,$G98)&gt;0,
    COUNTIFS($BM$2:$BM$200,$G98)&gt;0,
   ),
  0)
 ),
"")</f>
        <v>Fractius</v>
      </c>
      <c r="D98" s="2" t="str" cm="1">
        <f t="array" aca="1" ref="D98" ca="1">IFERROR(
 INDEX(
  _xlfn._xlws.FILTER($V$1:$AY$1,
   TRANSPOSE(
    CHOOSE({1;2;3;4;5;6;7;8;9;10;11;12;13;14;15;16;17;18;19;20;21;22;23;24;25;26;27;28;29;30},
     COUNTIFS($V$2:$V$200,$G98)&gt;0,
     COUNTIFS($W$2:$W$200,$G98)&gt;0,
     COUNTIFS($X$2:$X$200,$G98)&gt;0,
     COUNTIFS($Y$2:$Y$200,$G98)&gt;0,
     COUNTIFS($Z$2:$Z$200,$G98)&gt;0,
     COUNTIFS($AA$2:$AA$200,$G98)&gt;0,
     COUNTIFS($AB$2:$AB$200,$G98)&gt;0,
     COUNTIFS($AC$2:$AC$200,$G98)&gt;0,
     COUNTIFS($AD$2:$AD$200,$G98)&gt;0,
     COUNTIFS($AE$2:$AE$200,$G98)&gt;0,
     COUNTIFS($AF$2:$AF$200,$G98)&gt;0,
     COUNTIFS($AG$2:$AG$200,$G98)&gt;0,
     COUNTIFS($AH$2:$AH$200,$G98)&gt;0,
     COUNTIFS($AI$2:$AI$200,$G98)&gt;0,
     COUNTIFS($AJ$2:$AJ$200,$G98)&gt;0,
     COUNTIFS($AK$2:$AK$200,$G98)&gt;0,
     COUNTIFS($AL$2:$AL$200,$G98)&gt;0,
     COUNTIFS($AM$2:$AM$200,$G98)&gt;0,
     COUNTIFS($AN$2:$AN$200,$G98)&gt;0,
     COUNTIFS($AO$2:$AO$200,$G98)&gt;0,
     COUNTIFS($AP$2:$AP$200,$G98)&gt;0,
     COUNTIFS($AQ$2:$AQ$200,$G98)&gt;0,
     COUNTIFS($AR$2:$AR$200,$G98)&gt;0,
     COUNTIFS($AS$2:$AS$200,$G98)&gt;0,
     COUNTIFS($AT$2:$AT$200,$G98)&gt;0,
     COUNTIFS($AU$2:$AU$200,$G98)&gt;0,
     COUNTIFS($AV$2:$AV$200,$G98)&gt;0,
     COUNTIFS($AW$2:$AW$200,$G98)&gt;0,
     COUNTIFS($AX$2:$AX$200,$G98)&gt;0,
     COUNTIFS($AY$2:$AY$200,$G98)&gt;0
   )),
  ),
  2
 ),
"")</f>
        <v/>
      </c>
      <c r="E98" s="2" t="str" cm="1">
        <f t="array" aca="1" ref="E98" ca="1">IFERROR(
 INDEX(
  _xlfn._xlws.FILTER($V$1:$AY$1,
   TRANSPOSE(
    CHOOSE({1;2;3;4;5;6;7;8;9;10;11;12;13;14;15;16;17;18;19;20;21;22;23;24;25;26;27;28;29;30},
     COUNTIFS($V$2:$V$200,$G98)&gt;0,
     COUNTIFS($W$2:$W$200,$G98)&gt;0,
     COUNTIFS($X$2:$X$200,$G98)&gt;0,
     COUNTIFS($Y$2:$Y$200,$G98)&gt;0,
     COUNTIFS($Z$2:$Z$200,$G98)&gt;0,
     COUNTIFS($AA$2:$AA$200,$G98)&gt;0,
     COUNTIFS($AB$2:$AB$200,$G98)&gt;0,
     COUNTIFS($AC$2:$AC$200,$G98)&gt;0,
     COUNTIFS($AD$2:$AD$200,$G98)&gt;0,
     COUNTIFS($AE$2:$AE$200,$G98)&gt;0,
     COUNTIFS($AF$2:$AF$200,$G98)&gt;0,
     COUNTIFS($AG$2:$AG$200,$G98)&gt;0,
     COUNTIFS($AH$2:$AH$200,$G98)&gt;0,
     COUNTIFS($AI$2:$AI$200,$G98)&gt;0,
     COUNTIFS($AJ$2:$AJ$200,$G98)&gt;0,
     COUNTIFS($AK$2:$AK$200,$G98)&gt;0,
     COUNTIFS($AL$2:$AL$200,$G98)&gt;0,
     COUNTIFS($AM$2:$AM$200,$G98)&gt;0,
     COUNTIFS($AN$2:$AN$200,$G98)&gt;0,
     COUNTIFS($AO$2:$AO$200,$G98)&gt;0,
     COUNTIFS($AP$2:$AP$200,$G98)&gt;0,
     COUNTIFS($AQ$2:$AQ$200,$G98)&gt;0,
     COUNTIFS($AR$2:$AR$200,$G98)&gt;0,
     COUNTIFS($AS$2:$AS$200,$G98)&gt;0,
     COUNTIFS($AT$2:$AT$200,$G98)&gt;0,
     COUNTIFS($AU$2:$AU$200,$G98)&gt;0,
     COUNTIFS($AV$2:$AV$200,$G98)&gt;0,
     COUNTIFS($AW$2:$AW$200,$G98)&gt;0,
     COUNTIFS($AX$2:$AX$200,$G98)&gt;0,
     COUNTIFS($AY$2:$AY$200,$G98)&gt;0
   )),
  ),
  3
 ),
"")</f>
        <v/>
      </c>
      <c r="F98" s="2" t="str" cm="1">
        <f t="array" aca="1" ref="F98" ca="1">IFERROR(
 INDEX(
  _xlfn._xlws.FILTER($V$1:$AY$1,
   TRANSPOSE(
    CHOOSE({1;2;3;4;5;6;7;8;9;10;11;12;13;14;15;16;17;18;19;20;21;22;23;24;25;26;27;28;29;30},
     COUNTIFS($V$2:$V$200,$G98)&gt;0,
     COUNTIFS($W$2:$W$200,$G98)&gt;0,
     COUNTIFS($X$2:$X$200,$G98)&gt;0,
     COUNTIFS($Y$2:$Y$200,$G98)&gt;0,
     COUNTIFS($Z$2:$Z$200,$G98)&gt;0,
     COUNTIFS($AA$2:$AA$200,$G98)&gt;0,
     COUNTIFS($AB$2:$AB$200,$G98)&gt;0,
     COUNTIFS($AC$2:$AC$200,$G98)&gt;0,
     COUNTIFS($AD$2:$AD$200,$G98)&gt;0,
     COUNTIFS($AE$2:$AE$200,$G98)&gt;0,
     COUNTIFS($AF$2:$AF$200,$G98)&gt;0,
     COUNTIFS($AG$2:$AG$200,$G98)&gt;0,
     COUNTIFS($AH$2:$AH$200,$G98)&gt;0,
     COUNTIFS($AI$2:$AI$200,$G98)&gt;0,
     COUNTIFS($AJ$2:$AJ$200,$G98)&gt;0,
     COUNTIFS($AK$2:$AK$200,$G98)&gt;0,
     COUNTIFS($AL$2:$AL$200,$G98)&gt;0,
     COUNTIFS($AM$2:$AM$200,$G98)&gt;0,
     COUNTIFS($AN$2:$AN$200,$G98)&gt;0,
     COUNTIFS($AO$2:$AO$200,$G98)&gt;0,
     COUNTIFS($AP$2:$AP$200,$G98)&gt;0,
     COUNTIFS($AQ$2:$AQ$200,$G98)&gt;0,
     COUNTIFS($AR$2:$AR$200,$G98)&gt;0,
     COUNTIFS($AS$2:$AS$200,$G98)&gt;0,
     COUNTIFS($AT$2:$AT$200,$G98)&gt;0,
     COUNTIFS($AU$2:$AU$200,$G98)&gt;0,
     COUNTIFS($AV$2:$AV$200,$G98)&gt;0,
     COUNTIFS($AW$2:$AW$200,$G98)&gt;0,
     COUNTIFS($AX$2:$AX$200,$G98)&gt;0,
     COUNTIFS($AY$2:$AY$200,$G98)&gt;0
   )),
  ),
  4
 ),
"")</f>
        <v/>
      </c>
      <c r="G98" t="str">
        <f ca="1"/>
        <v>Congregation at Dawn</v>
      </c>
      <c r="AO98" t="str">
        <v>Winged Sliver</v>
      </c>
      <c r="BL98" t="str">
        <v>Windgrace's Judgment</v>
      </c>
      <c r="CR98" t="str">
        <f ca="1"/>
        <v>Zagoth Triome</v>
      </c>
      <c r="DT98" t="str">
        <f ca="1"/>
        <v>Valfenda</v>
      </c>
      <c r="DZ98" t="str">
        <f ca="1"/>
        <v>Propaganda</v>
      </c>
      <c r="EG98" t="str">
        <f ca="1"/>
        <v>The Duke, Rebel Sentry</v>
      </c>
      <c r="EI98" t="str">
        <f ca="1"/>
        <v>Signal the Clans</v>
      </c>
      <c r="EL98" t="str">
        <f ca="1"/>
        <v>Propaganda</v>
      </c>
      <c r="EP98" t="str">
        <f ca="1"/>
        <v>Mines of Moria</v>
      </c>
      <c r="EQ98" t="str">
        <f ca="1"/>
        <v>Mistrise Village</v>
      </c>
      <c r="ER98" t="str">
        <f ca="1"/>
        <v>Kaervek the Merciless</v>
      </c>
      <c r="EU98" t="str">
        <f ca="1"/>
        <v>Essence Sliver</v>
      </c>
      <c r="EV98" t="str">
        <f ca="1"/>
        <v>Kaervek the Merciless</v>
      </c>
      <c r="EX98" t="str">
        <f ca="1"/>
        <v>Congregation at Dawn</v>
      </c>
    </row>
    <row r="99" spans="1:154" x14ac:dyDescent="0.25">
      <c r="A99" s="2" t="str">
        <f t="shared" ca="1" si="8"/>
        <v>5</v>
      </c>
      <c r="B99" s="2">
        <f t="shared" ca="1" si="9"/>
        <v>1</v>
      </c>
      <c r="C99" s="2" t="str">
        <f ca="1">IFERROR(
 INDEX($V$1:$BL$1,
  MATCH(TRUE,
   CHOOSE({1;2;3;4;5;6;7;8;9;10;11;12;13;14;15;16;17;18;19;20;21;22;23;24;25;26;27;28;29;30;31;32;33;34;35;36;37;38;39;40;41;42;43},
    COUNTIFS($V$2:$V$200,$G99)&gt;0,
    COUNTIFS($W$2:$W$200,$G99)&gt;0,
    COUNTIFS($X$2:$X$200,$G99)&gt;0,
    COUNTIFS($Y$2:$Y$200,$G99)&gt;0,
    COUNTIFS($Z$2:$Z$200,$G99)&gt;0,
    COUNTIFS($AA$2:$AA$200,$G99)&gt;0,
    COUNTIFS($AB$2:$AB$200,$G99)&gt;0,
    COUNTIFS($AC$2:$AC$200,$G99)&gt;0,
    COUNTIFS($AD$2:$AD$200,$G99)&gt;0,
    COUNTIFS($AE$2:$AE$200,$G99)&gt;0,
    COUNTIFS($AF$2:$AF$200,$G99)&gt;0,
    COUNTIFS($AG$2:$AG$200,$G99)&gt;0,
    COUNTIFS($AH$2:$AH$200,$G99)&gt;0,
    COUNTIFS($AI$2:$AI$200,$G99)&gt;0,
    COUNTIFS($AJ$2:$AJ$200,$G99)&gt;0,
    COUNTIFS($AK$2:$AK$200,$G99)&gt;0,
    COUNTIFS($AL$2:$AL$200,$G99)&gt;0,
    COUNTIFS($AM$2:$AM$200,$G99)&gt;0,
    COUNTIFS($AN$2:$AN$200,$G99)&gt;0,
    COUNTIFS($AO$2:$AO$200,$G99)&gt;0,
    COUNTIFS($AP$2:$AP$200,$G99)&gt;0,
    COUNTIFS($AQ$2:$AQ$200,$G99)&gt;0,
    COUNTIFS($AR$2:$AR$200,$G99)&gt;0,
    COUNTIFS($AS$2:$AS$200,$G99)&gt;0,
    COUNTIFS($AT$2:$AT$200,$G99)&gt;0,
    COUNTIFS($AU$2:$AU$200,$G99)&gt;0,
    COUNTIFS($AV$2:$AV$200,$G99)&gt;0,
    COUNTIFS($AW$2:$AW$200,$G99)&gt;0,
    COUNTIFS($AX$2:$AX$200,$G99)&gt;0,
    COUNTIFS($AY$2:$AY$200,$G99)&gt;0,
    COUNTIFS($AZ$2:$AZ$200,$G99)&gt;0,
    COUNTIFS($BA$2:$BA$200,$G99)&gt;0,
    COUNTIFS($BB$2:$BB$200,$G99)&gt;0,
    COUNTIFS($BC$2:$BC$200,$G99)&gt;0,
    COUNTIFS($BD$2:$BD$200,$G99)&gt;0,
    COUNTIFS($BE$2:$BE$200,$G99)&gt;0,
    COUNTIFS($BF$2:$BF$200,$G99)&gt;0,
    COUNTIFS($BG$2:$BG$200,$G99)&gt;0,
    COUNTIFS($BH$2:$BH$200,$G99)&gt;0,
    COUNTIFS($BI$2:$BI$200,$G99)&gt;0,
    COUNTIFS($BJ$2:$BJ$200,$G99)&gt;0,
    COUNTIFS($BK$2:$BK$200,$G99)&gt;0,
    COUNTIFS($BL$2:$BL$200,$G99)&gt;0,
    COUNTIFS($BM$2:$BM$200,$G99)&gt;0,
   ),
  0)
 ),
"")</f>
        <v>Fractius</v>
      </c>
      <c r="D99" s="2" t="str" cm="1">
        <f t="array" aca="1" ref="D99" ca="1">IFERROR(
 INDEX(
  _xlfn._xlws.FILTER($V$1:$AY$1,
   TRANSPOSE(
    CHOOSE({1;2;3;4;5;6;7;8;9;10;11;12;13;14;15;16;17;18;19;20;21;22;23;24;25;26;27;28;29;30},
     COUNTIFS($V$2:$V$200,$G99)&gt;0,
     COUNTIFS($W$2:$W$200,$G99)&gt;0,
     COUNTIFS($X$2:$X$200,$G99)&gt;0,
     COUNTIFS($Y$2:$Y$200,$G99)&gt;0,
     COUNTIFS($Z$2:$Z$200,$G99)&gt;0,
     COUNTIFS($AA$2:$AA$200,$G99)&gt;0,
     COUNTIFS($AB$2:$AB$200,$G99)&gt;0,
     COUNTIFS($AC$2:$AC$200,$G99)&gt;0,
     COUNTIFS($AD$2:$AD$200,$G99)&gt;0,
     COUNTIFS($AE$2:$AE$200,$G99)&gt;0,
     COUNTIFS($AF$2:$AF$200,$G99)&gt;0,
     COUNTIFS($AG$2:$AG$200,$G99)&gt;0,
     COUNTIFS($AH$2:$AH$200,$G99)&gt;0,
     COUNTIFS($AI$2:$AI$200,$G99)&gt;0,
     COUNTIFS($AJ$2:$AJ$200,$G99)&gt;0,
     COUNTIFS($AK$2:$AK$200,$G99)&gt;0,
     COUNTIFS($AL$2:$AL$200,$G99)&gt;0,
     COUNTIFS($AM$2:$AM$200,$G99)&gt;0,
     COUNTIFS($AN$2:$AN$200,$G99)&gt;0,
     COUNTIFS($AO$2:$AO$200,$G99)&gt;0,
     COUNTIFS($AP$2:$AP$200,$G99)&gt;0,
     COUNTIFS($AQ$2:$AQ$200,$G99)&gt;0,
     COUNTIFS($AR$2:$AR$200,$G99)&gt;0,
     COUNTIFS($AS$2:$AS$200,$G99)&gt;0,
     COUNTIFS($AT$2:$AT$200,$G99)&gt;0,
     COUNTIFS($AU$2:$AU$200,$G99)&gt;0,
     COUNTIFS($AV$2:$AV$200,$G99)&gt;0,
     COUNTIFS($AW$2:$AW$200,$G99)&gt;0,
     COUNTIFS($AX$2:$AX$200,$G99)&gt;0,
     COUNTIFS($AY$2:$AY$200,$G99)&gt;0
   )),
  ),
  2
 ),
"")</f>
        <v/>
      </c>
      <c r="E99" s="2" t="str" cm="1">
        <f t="array" aca="1" ref="E99" ca="1">IFERROR(
 INDEX(
  _xlfn._xlws.FILTER($V$1:$AY$1,
   TRANSPOSE(
    CHOOSE({1;2;3;4;5;6;7;8;9;10;11;12;13;14;15;16;17;18;19;20;21;22;23;24;25;26;27;28;29;30},
     COUNTIFS($V$2:$V$200,$G99)&gt;0,
     COUNTIFS($W$2:$W$200,$G99)&gt;0,
     COUNTIFS($X$2:$X$200,$G99)&gt;0,
     COUNTIFS($Y$2:$Y$200,$G99)&gt;0,
     COUNTIFS($Z$2:$Z$200,$G99)&gt;0,
     COUNTIFS($AA$2:$AA$200,$G99)&gt;0,
     COUNTIFS($AB$2:$AB$200,$G99)&gt;0,
     COUNTIFS($AC$2:$AC$200,$G99)&gt;0,
     COUNTIFS($AD$2:$AD$200,$G99)&gt;0,
     COUNTIFS($AE$2:$AE$200,$G99)&gt;0,
     COUNTIFS($AF$2:$AF$200,$G99)&gt;0,
     COUNTIFS($AG$2:$AG$200,$G99)&gt;0,
     COUNTIFS($AH$2:$AH$200,$G99)&gt;0,
     COUNTIFS($AI$2:$AI$200,$G99)&gt;0,
     COUNTIFS($AJ$2:$AJ$200,$G99)&gt;0,
     COUNTIFS($AK$2:$AK$200,$G99)&gt;0,
     COUNTIFS($AL$2:$AL$200,$G99)&gt;0,
     COUNTIFS($AM$2:$AM$200,$G99)&gt;0,
     COUNTIFS($AN$2:$AN$200,$G99)&gt;0,
     COUNTIFS($AO$2:$AO$200,$G99)&gt;0,
     COUNTIFS($AP$2:$AP$200,$G99)&gt;0,
     COUNTIFS($AQ$2:$AQ$200,$G99)&gt;0,
     COUNTIFS($AR$2:$AR$200,$G99)&gt;0,
     COUNTIFS($AS$2:$AS$200,$G99)&gt;0,
     COUNTIFS($AT$2:$AT$200,$G99)&gt;0,
     COUNTIFS($AU$2:$AU$200,$G99)&gt;0,
     COUNTIFS($AV$2:$AV$200,$G99)&gt;0,
     COUNTIFS($AW$2:$AW$200,$G99)&gt;0,
     COUNTIFS($AX$2:$AX$200,$G99)&gt;0,
     COUNTIFS($AY$2:$AY$200,$G99)&gt;0
   )),
  ),
  3
 ),
"")</f>
        <v/>
      </c>
      <c r="F99" s="2" t="str" cm="1">
        <f t="array" aca="1" ref="F99" ca="1">IFERROR(
 INDEX(
  _xlfn._xlws.FILTER($V$1:$AY$1,
   TRANSPOSE(
    CHOOSE({1;2;3;4;5;6;7;8;9;10;11;12;13;14;15;16;17;18;19;20;21;22;23;24;25;26;27;28;29;30},
     COUNTIFS($V$2:$V$200,$G99)&gt;0,
     COUNTIFS($W$2:$W$200,$G99)&gt;0,
     COUNTIFS($X$2:$X$200,$G99)&gt;0,
     COUNTIFS($Y$2:$Y$200,$G99)&gt;0,
     COUNTIFS($Z$2:$Z$200,$G99)&gt;0,
     COUNTIFS($AA$2:$AA$200,$G99)&gt;0,
     COUNTIFS($AB$2:$AB$200,$G99)&gt;0,
     COUNTIFS($AC$2:$AC$200,$G99)&gt;0,
     COUNTIFS($AD$2:$AD$200,$G99)&gt;0,
     COUNTIFS($AE$2:$AE$200,$G99)&gt;0,
     COUNTIFS($AF$2:$AF$200,$G99)&gt;0,
     COUNTIFS($AG$2:$AG$200,$G99)&gt;0,
     COUNTIFS($AH$2:$AH$200,$G99)&gt;0,
     COUNTIFS($AI$2:$AI$200,$G99)&gt;0,
     COUNTIFS($AJ$2:$AJ$200,$G99)&gt;0,
     COUNTIFS($AK$2:$AK$200,$G99)&gt;0,
     COUNTIFS($AL$2:$AL$200,$G99)&gt;0,
     COUNTIFS($AM$2:$AM$200,$G99)&gt;0,
     COUNTIFS($AN$2:$AN$200,$G99)&gt;0,
     COUNTIFS($AO$2:$AO$200,$G99)&gt;0,
     COUNTIFS($AP$2:$AP$200,$G99)&gt;0,
     COUNTIFS($AQ$2:$AQ$200,$G99)&gt;0,
     COUNTIFS($AR$2:$AR$200,$G99)&gt;0,
     COUNTIFS($AS$2:$AS$200,$G99)&gt;0,
     COUNTIFS($AT$2:$AT$200,$G99)&gt;0,
     COUNTIFS($AU$2:$AU$200,$G99)&gt;0,
     COUNTIFS($AV$2:$AV$200,$G99)&gt;0,
     COUNTIFS($AW$2:$AW$200,$G99)&gt;0,
     COUNTIFS($AX$2:$AX$200,$G99)&gt;0,
     COUNTIFS($AY$2:$AY$200,$G99)&gt;0
   )),
  ),
  4
 ),
"")</f>
        <v/>
      </c>
      <c r="G99" t="str">
        <f ca="1"/>
        <v>Constricting Sliver</v>
      </c>
      <c r="AO99" t="str">
        <v>Xander's Lounge</v>
      </c>
      <c r="BL99" t="str">
        <v>Witherbloom Apprentice</v>
      </c>
      <c r="CR99" t="str">
        <f ca="1"/>
        <v>Ziatora's Proving Ground</v>
      </c>
      <c r="DT99" t="str">
        <f ca="1"/>
        <v>Venom Sliver</v>
      </c>
      <c r="DZ99" t="str">
        <f ca="1"/>
        <v>Rabble Rousing</v>
      </c>
      <c r="EG99" t="str">
        <f ca="1"/>
        <v>The Shire</v>
      </c>
      <c r="EI99" t="str">
        <f ca="1"/>
        <v>Sinew Sliver</v>
      </c>
      <c r="EL99" t="str">
        <f ca="1"/>
        <v>Rabble Rousing</v>
      </c>
      <c r="EP99" t="str">
        <f ca="1"/>
        <v>Mistbind Clique</v>
      </c>
      <c r="EQ99" t="str">
        <f ca="1"/>
        <v>Mnemonic Sliver</v>
      </c>
      <c r="ER99" t="str">
        <f ca="1"/>
        <v>Kambal, Profiteering Mayor</v>
      </c>
      <c r="EU99" t="str">
        <f ca="1"/>
        <v>Exalted Sunborn</v>
      </c>
      <c r="EV99" t="str">
        <f ca="1"/>
        <v>Kambal, Profiteering Mayor</v>
      </c>
      <c r="EX99" t="str">
        <f ca="1"/>
        <v>Constricting Sliver</v>
      </c>
    </row>
    <row r="100" spans="1:154" x14ac:dyDescent="0.25">
      <c r="A100" s="2" t="str">
        <f t="shared" ca="1" si="8"/>
        <v>4</v>
      </c>
      <c r="B100" s="2">
        <f t="shared" ca="1" si="9"/>
        <v>1</v>
      </c>
      <c r="C100" s="2" t="str">
        <f ca="1">IFERROR(
 INDEX($V$1:$BL$1,
  MATCH(TRUE,
   CHOOSE({1;2;3;4;5;6;7;8;9;10;11;12;13;14;15;16;17;18;19;20;21;22;23;24;25;26;27;28;29;30;31;32;33;34;35;36;37;38;39;40;41;42;43},
    COUNTIFS($V$2:$V$200,$G100)&gt;0,
    COUNTIFS($W$2:$W$200,$G100)&gt;0,
    COUNTIFS($X$2:$X$200,$G100)&gt;0,
    COUNTIFS($Y$2:$Y$200,$G100)&gt;0,
    COUNTIFS($Z$2:$Z$200,$G100)&gt;0,
    COUNTIFS($AA$2:$AA$200,$G100)&gt;0,
    COUNTIFS($AB$2:$AB$200,$G100)&gt;0,
    COUNTIFS($AC$2:$AC$200,$G100)&gt;0,
    COUNTIFS($AD$2:$AD$200,$G100)&gt;0,
    COUNTIFS($AE$2:$AE$200,$G100)&gt;0,
    COUNTIFS($AF$2:$AF$200,$G100)&gt;0,
    COUNTIFS($AG$2:$AG$200,$G100)&gt;0,
    COUNTIFS($AH$2:$AH$200,$G100)&gt;0,
    COUNTIFS($AI$2:$AI$200,$G100)&gt;0,
    COUNTIFS($AJ$2:$AJ$200,$G100)&gt;0,
    COUNTIFS($AK$2:$AK$200,$G100)&gt;0,
    COUNTIFS($AL$2:$AL$200,$G100)&gt;0,
    COUNTIFS($AM$2:$AM$200,$G100)&gt;0,
    COUNTIFS($AN$2:$AN$200,$G100)&gt;0,
    COUNTIFS($AO$2:$AO$200,$G100)&gt;0,
    COUNTIFS($AP$2:$AP$200,$G100)&gt;0,
    COUNTIFS($AQ$2:$AQ$200,$G100)&gt;0,
    COUNTIFS($AR$2:$AR$200,$G100)&gt;0,
    COUNTIFS($AS$2:$AS$200,$G100)&gt;0,
    COUNTIFS($AT$2:$AT$200,$G100)&gt;0,
    COUNTIFS($AU$2:$AU$200,$G100)&gt;0,
    COUNTIFS($AV$2:$AV$200,$G100)&gt;0,
    COUNTIFS($AW$2:$AW$200,$G100)&gt;0,
    COUNTIFS($AX$2:$AX$200,$G100)&gt;0,
    COUNTIFS($AY$2:$AY$200,$G100)&gt;0,
    COUNTIFS($AZ$2:$AZ$200,$G100)&gt;0,
    COUNTIFS($BA$2:$BA$200,$G100)&gt;0,
    COUNTIFS($BB$2:$BB$200,$G100)&gt;0,
    COUNTIFS($BC$2:$BC$200,$G100)&gt;0,
    COUNTIFS($BD$2:$BD$200,$G100)&gt;0,
    COUNTIFS($BE$2:$BE$200,$G100)&gt;0,
    COUNTIFS($BF$2:$BF$200,$G100)&gt;0,
    COUNTIFS($BG$2:$BG$200,$G100)&gt;0,
    COUNTIFS($BH$2:$BH$200,$G100)&gt;0,
    COUNTIFS($BI$2:$BI$200,$G100)&gt;0,
    COUNTIFS($BJ$2:$BJ$200,$G100)&gt;0,
    COUNTIFS($BK$2:$BK$200,$G100)&gt;0,
    COUNTIFS($BL$2:$BL$200,$G100)&gt;0,
    COUNTIFS($BM$2:$BM$200,$G100)&gt;0,
   ),
  0)
 ),
"")</f>
        <v>Ool</v>
      </c>
      <c r="D100" s="2" t="str" cm="1">
        <f t="array" aca="1" ref="D100" ca="1">IFERROR(
 INDEX(
  _xlfn._xlws.FILTER($V$1:$AY$1,
   TRANSPOSE(
    CHOOSE({1;2;3;4;5;6;7;8;9;10;11;12;13;14;15;16;17;18;19;20;21;22;23;24;25;26;27;28;29;30},
     COUNTIFS($V$2:$V$200,$G100)&gt;0,
     COUNTIFS($W$2:$W$200,$G100)&gt;0,
     COUNTIFS($X$2:$X$200,$G100)&gt;0,
     COUNTIFS($Y$2:$Y$200,$G100)&gt;0,
     COUNTIFS($Z$2:$Z$200,$G100)&gt;0,
     COUNTIFS($AA$2:$AA$200,$G100)&gt;0,
     COUNTIFS($AB$2:$AB$200,$G100)&gt;0,
     COUNTIFS($AC$2:$AC$200,$G100)&gt;0,
     COUNTIFS($AD$2:$AD$200,$G100)&gt;0,
     COUNTIFS($AE$2:$AE$200,$G100)&gt;0,
     COUNTIFS($AF$2:$AF$200,$G100)&gt;0,
     COUNTIFS($AG$2:$AG$200,$G100)&gt;0,
     COUNTIFS($AH$2:$AH$200,$G100)&gt;0,
     COUNTIFS($AI$2:$AI$200,$G100)&gt;0,
     COUNTIFS($AJ$2:$AJ$200,$G100)&gt;0,
     COUNTIFS($AK$2:$AK$200,$G100)&gt;0,
     COUNTIFS($AL$2:$AL$200,$G100)&gt;0,
     COUNTIFS($AM$2:$AM$200,$G100)&gt;0,
     COUNTIFS($AN$2:$AN$200,$G100)&gt;0,
     COUNTIFS($AO$2:$AO$200,$G100)&gt;0,
     COUNTIFS($AP$2:$AP$200,$G100)&gt;0,
     COUNTIFS($AQ$2:$AQ$200,$G100)&gt;0,
     COUNTIFS($AR$2:$AR$200,$G100)&gt;0,
     COUNTIFS($AS$2:$AS$200,$G100)&gt;0,
     COUNTIFS($AT$2:$AT$200,$G100)&gt;0,
     COUNTIFS($AU$2:$AU$200,$G100)&gt;0,
     COUNTIFS($AV$2:$AV$200,$G100)&gt;0,
     COUNTIFS($AW$2:$AW$200,$G100)&gt;0,
     COUNTIFS($AX$2:$AX$200,$G100)&gt;0,
     COUNTIFS($AY$2:$AY$200,$G100)&gt;0
   )),
  ),
  2
 ),
"")</f>
        <v/>
      </c>
      <c r="E100" s="2" t="str" cm="1">
        <f t="array" aca="1" ref="E100" ca="1">IFERROR(
 INDEX(
  _xlfn._xlws.FILTER($V$1:$AY$1,
   TRANSPOSE(
    CHOOSE({1;2;3;4;5;6;7;8;9;10;11;12;13;14;15;16;17;18;19;20;21;22;23;24;25;26;27;28;29;30},
     COUNTIFS($V$2:$V$200,$G100)&gt;0,
     COUNTIFS($W$2:$W$200,$G100)&gt;0,
     COUNTIFS($X$2:$X$200,$G100)&gt;0,
     COUNTIFS($Y$2:$Y$200,$G100)&gt;0,
     COUNTIFS($Z$2:$Z$200,$G100)&gt;0,
     COUNTIFS($AA$2:$AA$200,$G100)&gt;0,
     COUNTIFS($AB$2:$AB$200,$G100)&gt;0,
     COUNTIFS($AC$2:$AC$200,$G100)&gt;0,
     COUNTIFS($AD$2:$AD$200,$G100)&gt;0,
     COUNTIFS($AE$2:$AE$200,$G100)&gt;0,
     COUNTIFS($AF$2:$AF$200,$G100)&gt;0,
     COUNTIFS($AG$2:$AG$200,$G100)&gt;0,
     COUNTIFS($AH$2:$AH$200,$G100)&gt;0,
     COUNTIFS($AI$2:$AI$200,$G100)&gt;0,
     COUNTIFS($AJ$2:$AJ$200,$G100)&gt;0,
     COUNTIFS($AK$2:$AK$200,$G100)&gt;0,
     COUNTIFS($AL$2:$AL$200,$G100)&gt;0,
     COUNTIFS($AM$2:$AM$200,$G100)&gt;0,
     COUNTIFS($AN$2:$AN$200,$G100)&gt;0,
     COUNTIFS($AO$2:$AO$200,$G100)&gt;0,
     COUNTIFS($AP$2:$AP$200,$G100)&gt;0,
     COUNTIFS($AQ$2:$AQ$200,$G100)&gt;0,
     COUNTIFS($AR$2:$AR$200,$G100)&gt;0,
     COUNTIFS($AS$2:$AS$200,$G100)&gt;0,
     COUNTIFS($AT$2:$AT$200,$G100)&gt;0,
     COUNTIFS($AU$2:$AU$200,$G100)&gt;0,
     COUNTIFS($AV$2:$AV$200,$G100)&gt;0,
     COUNTIFS($AW$2:$AW$200,$G100)&gt;0,
     COUNTIFS($AX$2:$AX$200,$G100)&gt;0,
     COUNTIFS($AY$2:$AY$200,$G100)&gt;0
   )),
  ),
  3
 ),
"")</f>
        <v/>
      </c>
      <c r="F100" s="2" t="str" cm="1">
        <f t="array" aca="1" ref="F100" ca="1">IFERROR(
 INDEX(
  _xlfn._xlws.FILTER($V$1:$AY$1,
   TRANSPOSE(
    CHOOSE({1;2;3;4;5;6;7;8;9;10;11;12;13;14;15;16;17;18;19;20;21;22;23;24;25;26;27;28;29;30},
     COUNTIFS($V$2:$V$200,$G100)&gt;0,
     COUNTIFS($W$2:$W$200,$G100)&gt;0,
     COUNTIFS($X$2:$X$200,$G100)&gt;0,
     COUNTIFS($Y$2:$Y$200,$G100)&gt;0,
     COUNTIFS($Z$2:$Z$200,$G100)&gt;0,
     COUNTIFS($AA$2:$AA$200,$G100)&gt;0,
     COUNTIFS($AB$2:$AB$200,$G100)&gt;0,
     COUNTIFS($AC$2:$AC$200,$G100)&gt;0,
     COUNTIFS($AD$2:$AD$200,$G100)&gt;0,
     COUNTIFS($AE$2:$AE$200,$G100)&gt;0,
     COUNTIFS($AF$2:$AF$200,$G100)&gt;0,
     COUNTIFS($AG$2:$AG$200,$G100)&gt;0,
     COUNTIFS($AH$2:$AH$200,$G100)&gt;0,
     COUNTIFS($AI$2:$AI$200,$G100)&gt;0,
     COUNTIFS($AJ$2:$AJ$200,$G100)&gt;0,
     COUNTIFS($AK$2:$AK$200,$G100)&gt;0,
     COUNTIFS($AL$2:$AL$200,$G100)&gt;0,
     COUNTIFS($AM$2:$AM$200,$G100)&gt;0,
     COUNTIFS($AN$2:$AN$200,$G100)&gt;0,
     COUNTIFS($AO$2:$AO$200,$G100)&gt;0,
     COUNTIFS($AP$2:$AP$200,$G100)&gt;0,
     COUNTIFS($AQ$2:$AQ$200,$G100)&gt;0,
     COUNTIFS($AR$2:$AR$200,$G100)&gt;0,
     COUNTIFS($AS$2:$AS$200,$G100)&gt;0,
     COUNTIFS($AT$2:$AT$200,$G100)&gt;0,
     COUNTIFS($AU$2:$AU$200,$G100)&gt;0,
     COUNTIFS($AV$2:$AV$200,$G100)&gt;0,
     COUNTIFS($AW$2:$AW$200,$G100)&gt;0,
     COUNTIFS($AX$2:$AX$200,$G100)&gt;0,
     COUNTIFS($AY$2:$AY$200,$G100)&gt;0
   )),
  ),
  4
 ),
"")</f>
        <v/>
      </c>
      <c r="G100" t="str">
        <f ca="1"/>
        <v>Contagion Engine</v>
      </c>
      <c r="AO100" t="str">
        <v>Zagoth Triome</v>
      </c>
      <c r="DT100" t="str">
        <f ca="1"/>
        <v>Ward Sliver</v>
      </c>
      <c r="DZ100" t="str">
        <f ca="1"/>
        <v>Radiant Summit</v>
      </c>
      <c r="EG100" t="str">
        <f ca="1"/>
        <v>The Water Crystal</v>
      </c>
      <c r="EI100" t="str">
        <f ca="1"/>
        <v>Sink into Stupor</v>
      </c>
      <c r="EL100" t="str">
        <f ca="1"/>
        <v>Radiant Summit</v>
      </c>
      <c r="EP100" t="str">
        <f ca="1"/>
        <v>Mistrise Village</v>
      </c>
      <c r="EQ100" t="str">
        <f ca="1"/>
        <v>Monk Gyatso</v>
      </c>
      <c r="ER100" t="str">
        <f ca="1"/>
        <v>Kess, Dissident Mage</v>
      </c>
      <c r="EU100" t="str">
        <f ca="1"/>
        <v>Exotic Orchard</v>
      </c>
      <c r="EV100" t="str">
        <f ca="1"/>
        <v>Kess, Dissident Mage</v>
      </c>
      <c r="EX100" t="str">
        <f ca="1"/>
        <v>Contagion Engine</v>
      </c>
    </row>
    <row r="101" spans="1:154" x14ac:dyDescent="0.25">
      <c r="A101" s="2" t="str">
        <f t="shared" ca="1" si="8"/>
        <v>4</v>
      </c>
      <c r="B101" s="2">
        <f t="shared" ca="1" si="9"/>
        <v>1</v>
      </c>
      <c r="C101" s="2" t="str">
        <f ca="1">IFERROR(
 INDEX($V$1:$BL$1,
  MATCH(TRUE,
   CHOOSE({1;2;3;4;5;6;7;8;9;10;11;12;13;14;15;16;17;18;19;20;21;22;23;24;25;26;27;28;29;30;31;32;33;34;35;36;37;38;39;40;41;42;43},
    COUNTIFS($V$2:$V$200,$G101)&gt;0,
    COUNTIFS($W$2:$W$200,$G101)&gt;0,
    COUNTIFS($X$2:$X$200,$G101)&gt;0,
    COUNTIFS($Y$2:$Y$200,$G101)&gt;0,
    COUNTIFS($Z$2:$Z$200,$G101)&gt;0,
    COUNTIFS($AA$2:$AA$200,$G101)&gt;0,
    COUNTIFS($AB$2:$AB$200,$G101)&gt;0,
    COUNTIFS($AC$2:$AC$200,$G101)&gt;0,
    COUNTIFS($AD$2:$AD$200,$G101)&gt;0,
    COUNTIFS($AE$2:$AE$200,$G101)&gt;0,
    COUNTIFS($AF$2:$AF$200,$G101)&gt;0,
    COUNTIFS($AG$2:$AG$200,$G101)&gt;0,
    COUNTIFS($AH$2:$AH$200,$G101)&gt;0,
    COUNTIFS($AI$2:$AI$200,$G101)&gt;0,
    COUNTIFS($AJ$2:$AJ$200,$G101)&gt;0,
    COUNTIFS($AK$2:$AK$200,$G101)&gt;0,
    COUNTIFS($AL$2:$AL$200,$G101)&gt;0,
    COUNTIFS($AM$2:$AM$200,$G101)&gt;0,
    COUNTIFS($AN$2:$AN$200,$G101)&gt;0,
    COUNTIFS($AO$2:$AO$200,$G101)&gt;0,
    COUNTIFS($AP$2:$AP$200,$G101)&gt;0,
    COUNTIFS($AQ$2:$AQ$200,$G101)&gt;0,
    COUNTIFS($AR$2:$AR$200,$G101)&gt;0,
    COUNTIFS($AS$2:$AS$200,$G101)&gt;0,
    COUNTIFS($AT$2:$AT$200,$G101)&gt;0,
    COUNTIFS($AU$2:$AU$200,$G101)&gt;0,
    COUNTIFS($AV$2:$AV$200,$G101)&gt;0,
    COUNTIFS($AW$2:$AW$200,$G101)&gt;0,
    COUNTIFS($AX$2:$AX$200,$G101)&gt;0,
    COUNTIFS($AY$2:$AY$200,$G101)&gt;0,
    COUNTIFS($AZ$2:$AZ$200,$G101)&gt;0,
    COUNTIFS($BA$2:$BA$200,$G101)&gt;0,
    COUNTIFS($BB$2:$BB$200,$G101)&gt;0,
    COUNTIFS($BC$2:$BC$200,$G101)&gt;0,
    COUNTIFS($BD$2:$BD$200,$G101)&gt;0,
    COUNTIFS($BE$2:$BE$200,$G101)&gt;0,
    COUNTIFS($BF$2:$BF$200,$G101)&gt;0,
    COUNTIFS($BG$2:$BG$200,$G101)&gt;0,
    COUNTIFS($BH$2:$BH$200,$G101)&gt;0,
    COUNTIFS($BI$2:$BI$200,$G101)&gt;0,
    COUNTIFS($BJ$2:$BJ$200,$G101)&gt;0,
    COUNTIFS($BK$2:$BK$200,$G101)&gt;0,
    COUNTIFS($BL$2:$BL$200,$G101)&gt;0,
    COUNTIFS($BM$2:$BM$200,$G101)&gt;0,
   ),
  0)
 ),
"")</f>
        <v>Ool</v>
      </c>
      <c r="D101" s="2" t="str" cm="1">
        <f t="array" aca="1" ref="D101" ca="1">IFERROR(
 INDEX(
  _xlfn._xlws.FILTER($V$1:$AY$1,
   TRANSPOSE(
    CHOOSE({1;2;3;4;5;6;7;8;9;10;11;12;13;14;15;16;17;18;19;20;21;22;23;24;25;26;27;28;29;30},
     COUNTIFS($V$2:$V$200,$G101)&gt;0,
     COUNTIFS($W$2:$W$200,$G101)&gt;0,
     COUNTIFS($X$2:$X$200,$G101)&gt;0,
     COUNTIFS($Y$2:$Y$200,$G101)&gt;0,
     COUNTIFS($Z$2:$Z$200,$G101)&gt;0,
     COUNTIFS($AA$2:$AA$200,$G101)&gt;0,
     COUNTIFS($AB$2:$AB$200,$G101)&gt;0,
     COUNTIFS($AC$2:$AC$200,$G101)&gt;0,
     COUNTIFS($AD$2:$AD$200,$G101)&gt;0,
     COUNTIFS($AE$2:$AE$200,$G101)&gt;0,
     COUNTIFS($AF$2:$AF$200,$G101)&gt;0,
     COUNTIFS($AG$2:$AG$200,$G101)&gt;0,
     COUNTIFS($AH$2:$AH$200,$G101)&gt;0,
     COUNTIFS($AI$2:$AI$200,$G101)&gt;0,
     COUNTIFS($AJ$2:$AJ$200,$G101)&gt;0,
     COUNTIFS($AK$2:$AK$200,$G101)&gt;0,
     COUNTIFS($AL$2:$AL$200,$G101)&gt;0,
     COUNTIFS($AM$2:$AM$200,$G101)&gt;0,
     COUNTIFS($AN$2:$AN$200,$G101)&gt;0,
     COUNTIFS($AO$2:$AO$200,$G101)&gt;0,
     COUNTIFS($AP$2:$AP$200,$G101)&gt;0,
     COUNTIFS($AQ$2:$AQ$200,$G101)&gt;0,
     COUNTIFS($AR$2:$AR$200,$G101)&gt;0,
     COUNTIFS($AS$2:$AS$200,$G101)&gt;0,
     COUNTIFS($AT$2:$AT$200,$G101)&gt;0,
     COUNTIFS($AU$2:$AU$200,$G101)&gt;0,
     COUNTIFS($AV$2:$AV$200,$G101)&gt;0,
     COUNTIFS($AW$2:$AW$200,$G101)&gt;0,
     COUNTIFS($AX$2:$AX$200,$G101)&gt;0,
     COUNTIFS($AY$2:$AY$200,$G101)&gt;0
   )),
  ),
  2
 ),
"")</f>
        <v/>
      </c>
      <c r="E101" s="2" t="str" cm="1">
        <f t="array" aca="1" ref="E101" ca="1">IFERROR(
 INDEX(
  _xlfn._xlws.FILTER($V$1:$AY$1,
   TRANSPOSE(
    CHOOSE({1;2;3;4;5;6;7;8;9;10;11;12;13;14;15;16;17;18;19;20;21;22;23;24;25;26;27;28;29;30},
     COUNTIFS($V$2:$V$200,$G101)&gt;0,
     COUNTIFS($W$2:$W$200,$G101)&gt;0,
     COUNTIFS($X$2:$X$200,$G101)&gt;0,
     COUNTIFS($Y$2:$Y$200,$G101)&gt;0,
     COUNTIFS($Z$2:$Z$200,$G101)&gt;0,
     COUNTIFS($AA$2:$AA$200,$G101)&gt;0,
     COUNTIFS($AB$2:$AB$200,$G101)&gt;0,
     COUNTIFS($AC$2:$AC$200,$G101)&gt;0,
     COUNTIFS($AD$2:$AD$200,$G101)&gt;0,
     COUNTIFS($AE$2:$AE$200,$G101)&gt;0,
     COUNTIFS($AF$2:$AF$200,$G101)&gt;0,
     COUNTIFS($AG$2:$AG$200,$G101)&gt;0,
     COUNTIFS($AH$2:$AH$200,$G101)&gt;0,
     COUNTIFS($AI$2:$AI$200,$G101)&gt;0,
     COUNTIFS($AJ$2:$AJ$200,$G101)&gt;0,
     COUNTIFS($AK$2:$AK$200,$G101)&gt;0,
     COUNTIFS($AL$2:$AL$200,$G101)&gt;0,
     COUNTIFS($AM$2:$AM$200,$G101)&gt;0,
     COUNTIFS($AN$2:$AN$200,$G101)&gt;0,
     COUNTIFS($AO$2:$AO$200,$G101)&gt;0,
     COUNTIFS($AP$2:$AP$200,$G101)&gt;0,
     COUNTIFS($AQ$2:$AQ$200,$G101)&gt;0,
     COUNTIFS($AR$2:$AR$200,$G101)&gt;0,
     COUNTIFS($AS$2:$AS$200,$G101)&gt;0,
     COUNTIFS($AT$2:$AT$200,$G101)&gt;0,
     COUNTIFS($AU$2:$AU$200,$G101)&gt;0,
     COUNTIFS($AV$2:$AV$200,$G101)&gt;0,
     COUNTIFS($AW$2:$AW$200,$G101)&gt;0,
     COUNTIFS($AX$2:$AX$200,$G101)&gt;0,
     COUNTIFS($AY$2:$AY$200,$G101)&gt;0
   )),
  ),
  3
 ),
"")</f>
        <v/>
      </c>
      <c r="F101" s="2" t="str" cm="1">
        <f t="array" aca="1" ref="F101" ca="1">IFERROR(
 INDEX(
  _xlfn._xlws.FILTER($V$1:$AY$1,
   TRANSPOSE(
    CHOOSE({1;2;3;4;5;6;7;8;9;10;11;12;13;14;15;16;17;18;19;20;21;22;23;24;25;26;27;28;29;30},
     COUNTIFS($V$2:$V$200,$G101)&gt;0,
     COUNTIFS($W$2:$W$200,$G101)&gt;0,
     COUNTIFS($X$2:$X$200,$G101)&gt;0,
     COUNTIFS($Y$2:$Y$200,$G101)&gt;0,
     COUNTIFS($Z$2:$Z$200,$G101)&gt;0,
     COUNTIFS($AA$2:$AA$200,$G101)&gt;0,
     COUNTIFS($AB$2:$AB$200,$G101)&gt;0,
     COUNTIFS($AC$2:$AC$200,$G101)&gt;0,
     COUNTIFS($AD$2:$AD$200,$G101)&gt;0,
     COUNTIFS($AE$2:$AE$200,$G101)&gt;0,
     COUNTIFS($AF$2:$AF$200,$G101)&gt;0,
     COUNTIFS($AG$2:$AG$200,$G101)&gt;0,
     COUNTIFS($AH$2:$AH$200,$G101)&gt;0,
     COUNTIFS($AI$2:$AI$200,$G101)&gt;0,
     COUNTIFS($AJ$2:$AJ$200,$G101)&gt;0,
     COUNTIFS($AK$2:$AK$200,$G101)&gt;0,
     COUNTIFS($AL$2:$AL$200,$G101)&gt;0,
     COUNTIFS($AM$2:$AM$200,$G101)&gt;0,
     COUNTIFS($AN$2:$AN$200,$G101)&gt;0,
     COUNTIFS($AO$2:$AO$200,$G101)&gt;0,
     COUNTIFS($AP$2:$AP$200,$G101)&gt;0,
     COUNTIFS($AQ$2:$AQ$200,$G101)&gt;0,
     COUNTIFS($AR$2:$AR$200,$G101)&gt;0,
     COUNTIFS($AS$2:$AS$200,$G101)&gt;0,
     COUNTIFS($AT$2:$AT$200,$G101)&gt;0,
     COUNTIFS($AU$2:$AU$200,$G101)&gt;0,
     COUNTIFS($AV$2:$AV$200,$G101)&gt;0,
     COUNTIFS($AW$2:$AW$200,$G101)&gt;0,
     COUNTIFS($AX$2:$AX$200,$G101)&gt;0,
     COUNTIFS($AY$2:$AY$200,$G101)&gt;0
   )),
  ),
  4
 ),
"")</f>
        <v/>
      </c>
      <c r="G101" t="str">
        <f ca="1"/>
        <v>Corrosive Mentor</v>
      </c>
      <c r="AO101" t="str">
        <v>Ziatora's Proving Ground</v>
      </c>
      <c r="DT101" t="str">
        <f ca="1"/>
        <v>Waterbender's Restoration</v>
      </c>
      <c r="DZ101" t="str">
        <f ca="1"/>
        <v>Rakdos Charm</v>
      </c>
      <c r="EG101" t="str">
        <f ca="1"/>
        <v>Thousand-Year Elixir</v>
      </c>
      <c r="EI101" t="str">
        <f ca="1"/>
        <v>Sliver Gravemother</v>
      </c>
      <c r="EL101" t="str">
        <f ca="1"/>
        <v>Rakdos Charm</v>
      </c>
      <c r="EP101" t="str">
        <f ca="1"/>
        <v>Misty Rainforest</v>
      </c>
      <c r="EQ101" t="str">
        <f ca="1"/>
        <v>Mountain</v>
      </c>
      <c r="ER101" t="str">
        <f ca="1"/>
        <v>Kinscaer Sentry</v>
      </c>
      <c r="EU101" t="str">
        <f ca="1"/>
        <v>Fabled Passage</v>
      </c>
      <c r="EV101" t="str">
        <f ca="1"/>
        <v>Kinscaer Sentry</v>
      </c>
      <c r="EX101" t="str">
        <f ca="1"/>
        <v>Corrosive Mentor</v>
      </c>
    </row>
    <row r="102" spans="1:154" x14ac:dyDescent="0.25">
      <c r="A102" s="2" t="str">
        <f t="shared" ca="1" si="8"/>
        <v>5</v>
      </c>
      <c r="B102" s="2">
        <f t="shared" ca="1" si="9"/>
        <v>1</v>
      </c>
      <c r="C102" s="2" t="str">
        <f ca="1">IFERROR(
 INDEX($V$1:$BL$1,
  MATCH(TRUE,
   CHOOSE({1;2;3;4;5;6;7;8;9;10;11;12;13;14;15;16;17;18;19;20;21;22;23;24;25;26;27;28;29;30;31;32;33;34;35;36;37;38;39;40;41;42;43},
    COUNTIFS($V$2:$V$200,$G102)&gt;0,
    COUNTIFS($W$2:$W$200,$G102)&gt;0,
    COUNTIFS($X$2:$X$200,$G102)&gt;0,
    COUNTIFS($Y$2:$Y$200,$G102)&gt;0,
    COUNTIFS($Z$2:$Z$200,$G102)&gt;0,
    COUNTIFS($AA$2:$AA$200,$G102)&gt;0,
    COUNTIFS($AB$2:$AB$200,$G102)&gt;0,
    COUNTIFS($AC$2:$AC$200,$G102)&gt;0,
    COUNTIFS($AD$2:$AD$200,$G102)&gt;0,
    COUNTIFS($AE$2:$AE$200,$G102)&gt;0,
    COUNTIFS($AF$2:$AF$200,$G102)&gt;0,
    COUNTIFS($AG$2:$AG$200,$G102)&gt;0,
    COUNTIFS($AH$2:$AH$200,$G102)&gt;0,
    COUNTIFS($AI$2:$AI$200,$G102)&gt;0,
    COUNTIFS($AJ$2:$AJ$200,$G102)&gt;0,
    COUNTIFS($AK$2:$AK$200,$G102)&gt;0,
    COUNTIFS($AL$2:$AL$200,$G102)&gt;0,
    COUNTIFS($AM$2:$AM$200,$G102)&gt;0,
    COUNTIFS($AN$2:$AN$200,$G102)&gt;0,
    COUNTIFS($AO$2:$AO$200,$G102)&gt;0,
    COUNTIFS($AP$2:$AP$200,$G102)&gt;0,
    COUNTIFS($AQ$2:$AQ$200,$G102)&gt;0,
    COUNTIFS($AR$2:$AR$200,$G102)&gt;0,
    COUNTIFS($AS$2:$AS$200,$G102)&gt;0,
    COUNTIFS($AT$2:$AT$200,$G102)&gt;0,
    COUNTIFS($AU$2:$AU$200,$G102)&gt;0,
    COUNTIFS($AV$2:$AV$200,$G102)&gt;0,
    COUNTIFS($AW$2:$AW$200,$G102)&gt;0,
    COUNTIFS($AX$2:$AX$200,$G102)&gt;0,
    COUNTIFS($AY$2:$AY$200,$G102)&gt;0,
    COUNTIFS($AZ$2:$AZ$200,$G102)&gt;0,
    COUNTIFS($BA$2:$BA$200,$G102)&gt;0,
    COUNTIFS($BB$2:$BB$200,$G102)&gt;0,
    COUNTIFS($BC$2:$BC$200,$G102)&gt;0,
    COUNTIFS($BD$2:$BD$200,$G102)&gt;0,
    COUNTIFS($BE$2:$BE$200,$G102)&gt;0,
    COUNTIFS($BF$2:$BF$200,$G102)&gt;0,
    COUNTIFS($BG$2:$BG$200,$G102)&gt;0,
    COUNTIFS($BH$2:$BH$200,$G102)&gt;0,
    COUNTIFS($BI$2:$BI$200,$G102)&gt;0,
    COUNTIFS($BJ$2:$BJ$200,$G102)&gt;0,
    COUNTIFS($BK$2:$BK$200,$G102)&gt;0,
    COUNTIFS($BL$2:$BL$200,$G102)&gt;0,
    COUNTIFS($BM$2:$BM$200,$G102)&gt;0,
   ),
  0)
 ),
"")</f>
        <v>4cRash</v>
      </c>
      <c r="D102" s="2" t="str" cm="1">
        <f t="array" aca="1" ref="D102" ca="1">IFERROR(
 INDEX(
  _xlfn._xlws.FILTER($V$1:$AY$1,
   TRANSPOSE(
    CHOOSE({1;2;3;4;5;6;7;8;9;10;11;12;13;14;15;16;17;18;19;20;21;22;23;24;25;26;27;28;29;30},
     COUNTIFS($V$2:$V$200,$G102)&gt;0,
     COUNTIFS($W$2:$W$200,$G102)&gt;0,
     COUNTIFS($X$2:$X$200,$G102)&gt;0,
     COUNTIFS($Y$2:$Y$200,$G102)&gt;0,
     COUNTIFS($Z$2:$Z$200,$G102)&gt;0,
     COUNTIFS($AA$2:$AA$200,$G102)&gt;0,
     COUNTIFS($AB$2:$AB$200,$G102)&gt;0,
     COUNTIFS($AC$2:$AC$200,$G102)&gt;0,
     COUNTIFS($AD$2:$AD$200,$G102)&gt;0,
     COUNTIFS($AE$2:$AE$200,$G102)&gt;0,
     COUNTIFS($AF$2:$AF$200,$G102)&gt;0,
     COUNTIFS($AG$2:$AG$200,$G102)&gt;0,
     COUNTIFS($AH$2:$AH$200,$G102)&gt;0,
     COUNTIFS($AI$2:$AI$200,$G102)&gt;0,
     COUNTIFS($AJ$2:$AJ$200,$G102)&gt;0,
     COUNTIFS($AK$2:$AK$200,$G102)&gt;0,
     COUNTIFS($AL$2:$AL$200,$G102)&gt;0,
     COUNTIFS($AM$2:$AM$200,$G102)&gt;0,
     COUNTIFS($AN$2:$AN$200,$G102)&gt;0,
     COUNTIFS($AO$2:$AO$200,$G102)&gt;0,
     COUNTIFS($AP$2:$AP$200,$G102)&gt;0,
     COUNTIFS($AQ$2:$AQ$200,$G102)&gt;0,
     COUNTIFS($AR$2:$AR$200,$G102)&gt;0,
     COUNTIFS($AS$2:$AS$200,$G102)&gt;0,
     COUNTIFS($AT$2:$AT$200,$G102)&gt;0,
     COUNTIFS($AU$2:$AU$200,$G102)&gt;0,
     COUNTIFS($AV$2:$AV$200,$G102)&gt;0,
     COUNTIFS($AW$2:$AW$200,$G102)&gt;0,
     COUNTIFS($AX$2:$AX$200,$G102)&gt;0,
     COUNTIFS($AY$2:$AY$200,$G102)&gt;0
   )),
  ),
  2
 ),
"")</f>
        <v/>
      </c>
      <c r="E102" s="2" t="str" cm="1">
        <f t="array" aca="1" ref="E102" ca="1">IFERROR(
 INDEX(
  _xlfn._xlws.FILTER($V$1:$AY$1,
   TRANSPOSE(
    CHOOSE({1;2;3;4;5;6;7;8;9;10;11;12;13;14;15;16;17;18;19;20;21;22;23;24;25;26;27;28;29;30},
     COUNTIFS($V$2:$V$200,$G102)&gt;0,
     COUNTIFS($W$2:$W$200,$G102)&gt;0,
     COUNTIFS($X$2:$X$200,$G102)&gt;0,
     COUNTIFS($Y$2:$Y$200,$G102)&gt;0,
     COUNTIFS($Z$2:$Z$200,$G102)&gt;0,
     COUNTIFS($AA$2:$AA$200,$G102)&gt;0,
     COUNTIFS($AB$2:$AB$200,$G102)&gt;0,
     COUNTIFS($AC$2:$AC$200,$G102)&gt;0,
     COUNTIFS($AD$2:$AD$200,$G102)&gt;0,
     COUNTIFS($AE$2:$AE$200,$G102)&gt;0,
     COUNTIFS($AF$2:$AF$200,$G102)&gt;0,
     COUNTIFS($AG$2:$AG$200,$G102)&gt;0,
     COUNTIFS($AH$2:$AH$200,$G102)&gt;0,
     COUNTIFS($AI$2:$AI$200,$G102)&gt;0,
     COUNTIFS($AJ$2:$AJ$200,$G102)&gt;0,
     COUNTIFS($AK$2:$AK$200,$G102)&gt;0,
     COUNTIFS($AL$2:$AL$200,$G102)&gt;0,
     COUNTIFS($AM$2:$AM$200,$G102)&gt;0,
     COUNTIFS($AN$2:$AN$200,$G102)&gt;0,
     COUNTIFS($AO$2:$AO$200,$G102)&gt;0,
     COUNTIFS($AP$2:$AP$200,$G102)&gt;0,
     COUNTIFS($AQ$2:$AQ$200,$G102)&gt;0,
     COUNTIFS($AR$2:$AR$200,$G102)&gt;0,
     COUNTIFS($AS$2:$AS$200,$G102)&gt;0,
     COUNTIFS($AT$2:$AT$200,$G102)&gt;0,
     COUNTIFS($AU$2:$AU$200,$G102)&gt;0,
     COUNTIFS($AV$2:$AV$200,$G102)&gt;0,
     COUNTIFS($AW$2:$AW$200,$G102)&gt;0,
     COUNTIFS($AX$2:$AX$200,$G102)&gt;0,
     COUNTIFS($AY$2:$AY$200,$G102)&gt;0
   )),
  ),
  3
 ),
"")</f>
        <v/>
      </c>
      <c r="F102" s="2" t="str" cm="1">
        <f t="array" aca="1" ref="F102" ca="1">IFERROR(
 INDEX(
  _xlfn._xlws.FILTER($V$1:$AY$1,
   TRANSPOSE(
    CHOOSE({1;2;3;4;5;6;7;8;9;10;11;12;13;14;15;16;17;18;19;20;21;22;23;24;25;26;27;28;29;30},
     COUNTIFS($V$2:$V$200,$G102)&gt;0,
     COUNTIFS($W$2:$W$200,$G102)&gt;0,
     COUNTIFS($X$2:$X$200,$G102)&gt;0,
     COUNTIFS($Y$2:$Y$200,$G102)&gt;0,
     COUNTIFS($Z$2:$Z$200,$G102)&gt;0,
     COUNTIFS($AA$2:$AA$200,$G102)&gt;0,
     COUNTIFS($AB$2:$AB$200,$G102)&gt;0,
     COUNTIFS($AC$2:$AC$200,$G102)&gt;0,
     COUNTIFS($AD$2:$AD$200,$G102)&gt;0,
     COUNTIFS($AE$2:$AE$200,$G102)&gt;0,
     COUNTIFS($AF$2:$AF$200,$G102)&gt;0,
     COUNTIFS($AG$2:$AG$200,$G102)&gt;0,
     COUNTIFS($AH$2:$AH$200,$G102)&gt;0,
     COUNTIFS($AI$2:$AI$200,$G102)&gt;0,
     COUNTIFS($AJ$2:$AJ$200,$G102)&gt;0,
     COUNTIFS($AK$2:$AK$200,$G102)&gt;0,
     COUNTIFS($AL$2:$AL$200,$G102)&gt;0,
     COUNTIFS($AM$2:$AM$200,$G102)&gt;0,
     COUNTIFS($AN$2:$AN$200,$G102)&gt;0,
     COUNTIFS($AO$2:$AO$200,$G102)&gt;0,
     COUNTIFS($AP$2:$AP$200,$G102)&gt;0,
     COUNTIFS($AQ$2:$AQ$200,$G102)&gt;0,
     COUNTIFS($AR$2:$AR$200,$G102)&gt;0,
     COUNTIFS($AS$2:$AS$200,$G102)&gt;0,
     COUNTIFS($AT$2:$AT$200,$G102)&gt;0,
     COUNTIFS($AU$2:$AU$200,$G102)&gt;0,
     COUNTIFS($AV$2:$AV$200,$G102)&gt;0,
     COUNTIFS($AW$2:$AW$200,$G102)&gt;0,
     COUNTIFS($AX$2:$AX$200,$G102)&gt;0,
     COUNTIFS($AY$2:$AY$200,$G102)&gt;0
   )),
  ),
  4
 ),
"")</f>
        <v/>
      </c>
      <c r="G102" t="str">
        <f ca="1"/>
        <v>Coruscation Mage</v>
      </c>
      <c r="DT102" t="str">
        <f ca="1"/>
        <v>Watery Grave</v>
      </c>
      <c r="DZ102" t="str">
        <f ca="1"/>
        <v>Rampant Growth</v>
      </c>
      <c r="EG102" t="str">
        <f ca="1"/>
        <v>Treasure Vault</v>
      </c>
      <c r="EI102" t="str">
        <f ca="1"/>
        <v>Sliver Hive</v>
      </c>
      <c r="EL102" t="str">
        <f ca="1"/>
        <v>Rampant Growth</v>
      </c>
      <c r="EP102" t="str">
        <f ca="1"/>
        <v>Molten Echoes</v>
      </c>
      <c r="EQ102" t="str">
        <f ca="1"/>
        <v>Muscle Sliver</v>
      </c>
      <c r="ER102" t="str">
        <f ca="1"/>
        <v>Krosan Grip</v>
      </c>
      <c r="EU102" t="str">
        <f ca="1"/>
        <v>Faerie Slumber Party</v>
      </c>
      <c r="EV102" t="str">
        <f ca="1"/>
        <v>Krosan Grip</v>
      </c>
      <c r="EX102" t="str">
        <f ca="1"/>
        <v>Coruscation Mage</v>
      </c>
    </row>
    <row r="103" spans="1:154" x14ac:dyDescent="0.25">
      <c r="A103" s="2" t="str">
        <f t="shared" ca="1" si="8"/>
        <v>5</v>
      </c>
      <c r="B103" s="2">
        <f t="shared" ca="1" si="9"/>
        <v>2</v>
      </c>
      <c r="C103" s="2" t="str">
        <f ca="1">IFERROR(
 INDEX($V$1:$BL$1,
  MATCH(TRUE,
   CHOOSE({1;2;3;4;5;6;7;8;9;10;11;12;13;14;15;16;17;18;19;20;21;22;23;24;25;26;27;28;29;30;31;32;33;34;35;36;37;38;39;40;41;42;43},
    COUNTIFS($V$2:$V$200,$G103)&gt;0,
    COUNTIFS($W$2:$W$200,$G103)&gt;0,
    COUNTIFS($X$2:$X$200,$G103)&gt;0,
    COUNTIFS($Y$2:$Y$200,$G103)&gt;0,
    COUNTIFS($Z$2:$Z$200,$G103)&gt;0,
    COUNTIFS($AA$2:$AA$200,$G103)&gt;0,
    COUNTIFS($AB$2:$AB$200,$G103)&gt;0,
    COUNTIFS($AC$2:$AC$200,$G103)&gt;0,
    COUNTIFS($AD$2:$AD$200,$G103)&gt;0,
    COUNTIFS($AE$2:$AE$200,$G103)&gt;0,
    COUNTIFS($AF$2:$AF$200,$G103)&gt;0,
    COUNTIFS($AG$2:$AG$200,$G103)&gt;0,
    COUNTIFS($AH$2:$AH$200,$G103)&gt;0,
    COUNTIFS($AI$2:$AI$200,$G103)&gt;0,
    COUNTIFS($AJ$2:$AJ$200,$G103)&gt;0,
    COUNTIFS($AK$2:$AK$200,$G103)&gt;0,
    COUNTIFS($AL$2:$AL$200,$G103)&gt;0,
    COUNTIFS($AM$2:$AM$200,$G103)&gt;0,
    COUNTIFS($AN$2:$AN$200,$G103)&gt;0,
    COUNTIFS($AO$2:$AO$200,$G103)&gt;0,
    COUNTIFS($AP$2:$AP$200,$G103)&gt;0,
    COUNTIFS($AQ$2:$AQ$200,$G103)&gt;0,
    COUNTIFS($AR$2:$AR$200,$G103)&gt;0,
    COUNTIFS($AS$2:$AS$200,$G103)&gt;0,
    COUNTIFS($AT$2:$AT$200,$G103)&gt;0,
    COUNTIFS($AU$2:$AU$200,$G103)&gt;0,
    COUNTIFS($AV$2:$AV$200,$G103)&gt;0,
    COUNTIFS($AW$2:$AW$200,$G103)&gt;0,
    COUNTIFS($AX$2:$AX$200,$G103)&gt;0,
    COUNTIFS($AY$2:$AY$200,$G103)&gt;0,
    COUNTIFS($AZ$2:$AZ$200,$G103)&gt;0,
    COUNTIFS($BA$2:$BA$200,$G103)&gt;0,
    COUNTIFS($BB$2:$BB$200,$G103)&gt;0,
    COUNTIFS($BC$2:$BC$200,$G103)&gt;0,
    COUNTIFS($BD$2:$BD$200,$G103)&gt;0,
    COUNTIFS($BE$2:$BE$200,$G103)&gt;0,
    COUNTIFS($BF$2:$BF$200,$G103)&gt;0,
    COUNTIFS($BG$2:$BG$200,$G103)&gt;0,
    COUNTIFS($BH$2:$BH$200,$G103)&gt;0,
    COUNTIFS($BI$2:$BI$200,$G103)&gt;0,
    COUNTIFS($BJ$2:$BJ$200,$G103)&gt;0,
    COUNTIFS($BK$2:$BK$200,$G103)&gt;0,
    COUNTIFS($BL$2:$BL$200,$G103)&gt;0,
    COUNTIFS($BM$2:$BM$200,$G103)&gt;0,
   ),
  0)
 ),
"")</f>
        <v>Yorion</v>
      </c>
      <c r="D103" s="2" t="str" cm="1">
        <f t="array" aca="1" ref="D103" ca="1">IFERROR(
 INDEX(
  _xlfn._xlws.FILTER($V$1:$AY$1,
   TRANSPOSE(
    CHOOSE({1;2;3;4;5;6;7;8;9;10;11;12;13;14;15;16;17;18;19;20;21;22;23;24;25;26;27;28;29;30},
     COUNTIFS($V$2:$V$200,$G103)&gt;0,
     COUNTIFS($W$2:$W$200,$G103)&gt;0,
     COUNTIFS($X$2:$X$200,$G103)&gt;0,
     COUNTIFS($Y$2:$Y$200,$G103)&gt;0,
     COUNTIFS($Z$2:$Z$200,$G103)&gt;0,
     COUNTIFS($AA$2:$AA$200,$G103)&gt;0,
     COUNTIFS($AB$2:$AB$200,$G103)&gt;0,
     COUNTIFS($AC$2:$AC$200,$G103)&gt;0,
     COUNTIFS($AD$2:$AD$200,$G103)&gt;0,
     COUNTIFS($AE$2:$AE$200,$G103)&gt;0,
     COUNTIFS($AF$2:$AF$200,$G103)&gt;0,
     COUNTIFS($AG$2:$AG$200,$G103)&gt;0,
     COUNTIFS($AH$2:$AH$200,$G103)&gt;0,
     COUNTIFS($AI$2:$AI$200,$G103)&gt;0,
     COUNTIFS($AJ$2:$AJ$200,$G103)&gt;0,
     COUNTIFS($AK$2:$AK$200,$G103)&gt;0,
     COUNTIFS($AL$2:$AL$200,$G103)&gt;0,
     COUNTIFS($AM$2:$AM$200,$G103)&gt;0,
     COUNTIFS($AN$2:$AN$200,$G103)&gt;0,
     COUNTIFS($AO$2:$AO$200,$G103)&gt;0,
     COUNTIFS($AP$2:$AP$200,$G103)&gt;0,
     COUNTIFS($AQ$2:$AQ$200,$G103)&gt;0,
     COUNTIFS($AR$2:$AR$200,$G103)&gt;0,
     COUNTIFS($AS$2:$AS$200,$G103)&gt;0,
     COUNTIFS($AT$2:$AT$200,$G103)&gt;0,
     COUNTIFS($AU$2:$AU$200,$G103)&gt;0,
     COUNTIFS($AV$2:$AV$200,$G103)&gt;0,
     COUNTIFS($AW$2:$AW$200,$G103)&gt;0,
     COUNTIFS($AX$2:$AX$200,$G103)&gt;0,
     COUNTIFS($AY$2:$AY$200,$G103)&gt;0
   )),
  ),
  2
 ),
"")</f>
        <v/>
      </c>
      <c r="E103" s="2" t="str" cm="1">
        <f t="array" aca="1" ref="E103" ca="1">IFERROR(
 INDEX(
  _xlfn._xlws.FILTER($V$1:$AY$1,
   TRANSPOSE(
    CHOOSE({1;2;3;4;5;6;7;8;9;10;11;12;13;14;15;16;17;18;19;20;21;22;23;24;25;26;27;28;29;30},
     COUNTIFS($V$2:$V$200,$G103)&gt;0,
     COUNTIFS($W$2:$W$200,$G103)&gt;0,
     COUNTIFS($X$2:$X$200,$G103)&gt;0,
     COUNTIFS($Y$2:$Y$200,$G103)&gt;0,
     COUNTIFS($Z$2:$Z$200,$G103)&gt;0,
     COUNTIFS($AA$2:$AA$200,$G103)&gt;0,
     COUNTIFS($AB$2:$AB$200,$G103)&gt;0,
     COUNTIFS($AC$2:$AC$200,$G103)&gt;0,
     COUNTIFS($AD$2:$AD$200,$G103)&gt;0,
     COUNTIFS($AE$2:$AE$200,$G103)&gt;0,
     COUNTIFS($AF$2:$AF$200,$G103)&gt;0,
     COUNTIFS($AG$2:$AG$200,$G103)&gt;0,
     COUNTIFS($AH$2:$AH$200,$G103)&gt;0,
     COUNTIFS($AI$2:$AI$200,$G103)&gt;0,
     COUNTIFS($AJ$2:$AJ$200,$G103)&gt;0,
     COUNTIFS($AK$2:$AK$200,$G103)&gt;0,
     COUNTIFS($AL$2:$AL$200,$G103)&gt;0,
     COUNTIFS($AM$2:$AM$200,$G103)&gt;0,
     COUNTIFS($AN$2:$AN$200,$G103)&gt;0,
     COUNTIFS($AO$2:$AO$200,$G103)&gt;0,
     COUNTIFS($AP$2:$AP$200,$G103)&gt;0,
     COUNTIFS($AQ$2:$AQ$200,$G103)&gt;0,
     COUNTIFS($AR$2:$AR$200,$G103)&gt;0,
     COUNTIFS($AS$2:$AS$200,$G103)&gt;0,
     COUNTIFS($AT$2:$AT$200,$G103)&gt;0,
     COUNTIFS($AU$2:$AU$200,$G103)&gt;0,
     COUNTIFS($AV$2:$AV$200,$G103)&gt;0,
     COUNTIFS($AW$2:$AW$200,$G103)&gt;0,
     COUNTIFS($AX$2:$AX$200,$G103)&gt;0,
     COUNTIFS($AY$2:$AY$200,$G103)&gt;0
   )),
  ),
  3
 ),
"")</f>
        <v/>
      </c>
      <c r="F103" s="2" t="str" cm="1">
        <f t="array" aca="1" ref="F103" ca="1">IFERROR(
 INDEX(
  _xlfn._xlws.FILTER($V$1:$AY$1,
   TRANSPOSE(
    CHOOSE({1;2;3;4;5;6;7;8;9;10;11;12;13;14;15;16;17;18;19;20;21;22;23;24;25;26;27;28;29;30},
     COUNTIFS($V$2:$V$200,$G103)&gt;0,
     COUNTIFS($W$2:$W$200,$G103)&gt;0,
     COUNTIFS($X$2:$X$200,$G103)&gt;0,
     COUNTIFS($Y$2:$Y$200,$G103)&gt;0,
     COUNTIFS($Z$2:$Z$200,$G103)&gt;0,
     COUNTIFS($AA$2:$AA$200,$G103)&gt;0,
     COUNTIFS($AB$2:$AB$200,$G103)&gt;0,
     COUNTIFS($AC$2:$AC$200,$G103)&gt;0,
     COUNTIFS($AD$2:$AD$200,$G103)&gt;0,
     COUNTIFS($AE$2:$AE$200,$G103)&gt;0,
     COUNTIFS($AF$2:$AF$200,$G103)&gt;0,
     COUNTIFS($AG$2:$AG$200,$G103)&gt;0,
     COUNTIFS($AH$2:$AH$200,$G103)&gt;0,
     COUNTIFS($AI$2:$AI$200,$G103)&gt;0,
     COUNTIFS($AJ$2:$AJ$200,$G103)&gt;0,
     COUNTIFS($AK$2:$AK$200,$G103)&gt;0,
     COUNTIFS($AL$2:$AL$200,$G103)&gt;0,
     COUNTIFS($AM$2:$AM$200,$G103)&gt;0,
     COUNTIFS($AN$2:$AN$200,$G103)&gt;0,
     COUNTIFS($AO$2:$AO$200,$G103)&gt;0,
     COUNTIFS($AP$2:$AP$200,$G103)&gt;0,
     COUNTIFS($AQ$2:$AQ$200,$G103)&gt;0,
     COUNTIFS($AR$2:$AR$200,$G103)&gt;0,
     COUNTIFS($AS$2:$AS$200,$G103)&gt;0,
     COUNTIFS($AT$2:$AT$200,$G103)&gt;0,
     COUNTIFS($AU$2:$AU$200,$G103)&gt;0,
     COUNTIFS($AV$2:$AV$200,$G103)&gt;0,
     COUNTIFS($AW$2:$AW$200,$G103)&gt;0,
     COUNTIFS($AX$2:$AX$200,$G103)&gt;0,
     COUNTIFS($AY$2:$AY$200,$G103)&gt;0
   )),
  ),
  4
 ),
"")</f>
        <v/>
      </c>
      <c r="G103" t="str">
        <f ca="1"/>
        <v>Counterspell</v>
      </c>
      <c r="DT103" t="str">
        <f ca="1"/>
        <v>Winged Sliver</v>
      </c>
      <c r="DZ103" t="str">
        <f ca="1"/>
        <v>Rashmi, Eternities Crafter</v>
      </c>
      <c r="EG103" t="str">
        <f ca="1"/>
        <v>Unbreakable Formation</v>
      </c>
      <c r="EI103" t="str">
        <f ca="1"/>
        <v>Sliver Hivelord</v>
      </c>
      <c r="EL103" t="str">
        <f ca="1"/>
        <v>Rashmi, Eternities Crafter</v>
      </c>
      <c r="EP103" t="str">
        <f ca="1"/>
        <v>Mondrak, Glory Dominus</v>
      </c>
      <c r="EQ103" t="str">
        <f ca="1"/>
        <v>Necrotic Sliver</v>
      </c>
      <c r="ER103" t="str">
        <f ca="1"/>
        <v>Lagomos, Hand of Hatred</v>
      </c>
      <c r="EU103" t="str">
        <f ca="1"/>
        <v>Farhaven Elf</v>
      </c>
      <c r="EV103" t="str">
        <f ca="1"/>
        <v>Lagomos, Hand of Hatred</v>
      </c>
      <c r="EX103" t="str">
        <f ca="1"/>
        <v>Counterspell</v>
      </c>
    </row>
    <row r="104" spans="1:154" x14ac:dyDescent="0.25">
      <c r="A104" s="2" t="str">
        <f t="shared" ca="1" si="8"/>
        <v>4</v>
      </c>
      <c r="B104" s="2">
        <f t="shared" ca="1" si="9"/>
        <v>1</v>
      </c>
      <c r="C104" s="2" t="str">
        <f ca="1">IFERROR(
 INDEX($V$1:$BL$1,
  MATCH(TRUE,
   CHOOSE({1;2;3;4;5;6;7;8;9;10;11;12;13;14;15;16;17;18;19;20;21;22;23;24;25;26;27;28;29;30;31;32;33;34;35;36;37;38;39;40;41;42;43},
    COUNTIFS($V$2:$V$200,$G104)&gt;0,
    COUNTIFS($W$2:$W$200,$G104)&gt;0,
    COUNTIFS($X$2:$X$200,$G104)&gt;0,
    COUNTIFS($Y$2:$Y$200,$G104)&gt;0,
    COUNTIFS($Z$2:$Z$200,$G104)&gt;0,
    COUNTIFS($AA$2:$AA$200,$G104)&gt;0,
    COUNTIFS($AB$2:$AB$200,$G104)&gt;0,
    COUNTIFS($AC$2:$AC$200,$G104)&gt;0,
    COUNTIFS($AD$2:$AD$200,$G104)&gt;0,
    COUNTIFS($AE$2:$AE$200,$G104)&gt;0,
    COUNTIFS($AF$2:$AF$200,$G104)&gt;0,
    COUNTIFS($AG$2:$AG$200,$G104)&gt;0,
    COUNTIFS($AH$2:$AH$200,$G104)&gt;0,
    COUNTIFS($AI$2:$AI$200,$G104)&gt;0,
    COUNTIFS($AJ$2:$AJ$200,$G104)&gt;0,
    COUNTIFS($AK$2:$AK$200,$G104)&gt;0,
    COUNTIFS($AL$2:$AL$200,$G104)&gt;0,
    COUNTIFS($AM$2:$AM$200,$G104)&gt;0,
    COUNTIFS($AN$2:$AN$200,$G104)&gt;0,
    COUNTIFS($AO$2:$AO$200,$G104)&gt;0,
    COUNTIFS($AP$2:$AP$200,$G104)&gt;0,
    COUNTIFS($AQ$2:$AQ$200,$G104)&gt;0,
    COUNTIFS($AR$2:$AR$200,$G104)&gt;0,
    COUNTIFS($AS$2:$AS$200,$G104)&gt;0,
    COUNTIFS($AT$2:$AT$200,$G104)&gt;0,
    COUNTIFS($AU$2:$AU$200,$G104)&gt;0,
    COUNTIFS($AV$2:$AV$200,$G104)&gt;0,
    COUNTIFS($AW$2:$AW$200,$G104)&gt;0,
    COUNTIFS($AX$2:$AX$200,$G104)&gt;0,
    COUNTIFS($AY$2:$AY$200,$G104)&gt;0,
    COUNTIFS($AZ$2:$AZ$200,$G104)&gt;0,
    COUNTIFS($BA$2:$BA$200,$G104)&gt;0,
    COUNTIFS($BB$2:$BB$200,$G104)&gt;0,
    COUNTIFS($BC$2:$BC$200,$G104)&gt;0,
    COUNTIFS($BD$2:$BD$200,$G104)&gt;0,
    COUNTIFS($BE$2:$BE$200,$G104)&gt;0,
    COUNTIFS($BF$2:$BF$200,$G104)&gt;0,
    COUNTIFS($BG$2:$BG$200,$G104)&gt;0,
    COUNTIFS($BH$2:$BH$200,$G104)&gt;0,
    COUNTIFS($BI$2:$BI$200,$G104)&gt;0,
    COUNTIFS($BJ$2:$BJ$200,$G104)&gt;0,
    COUNTIFS($BK$2:$BK$200,$G104)&gt;0,
    COUNTIFS($BL$2:$BL$200,$G104)&gt;0,
    COUNTIFS($BM$2:$BM$200,$G104)&gt;0,
   ),
  0)
 ),
"")</f>
        <v>Tayam</v>
      </c>
      <c r="D104" s="2" t="str" cm="1">
        <f t="array" aca="1" ref="D104" ca="1">IFERROR(
 INDEX(
  _xlfn._xlws.FILTER($V$1:$AY$1,
   TRANSPOSE(
    CHOOSE({1;2;3;4;5;6;7;8;9;10;11;12;13;14;15;16;17;18;19;20;21;22;23;24;25;26;27;28;29;30},
     COUNTIFS($V$2:$V$200,$G104)&gt;0,
     COUNTIFS($W$2:$W$200,$G104)&gt;0,
     COUNTIFS($X$2:$X$200,$G104)&gt;0,
     COUNTIFS($Y$2:$Y$200,$G104)&gt;0,
     COUNTIFS($Z$2:$Z$200,$G104)&gt;0,
     COUNTIFS($AA$2:$AA$200,$G104)&gt;0,
     COUNTIFS($AB$2:$AB$200,$G104)&gt;0,
     COUNTIFS($AC$2:$AC$200,$G104)&gt;0,
     COUNTIFS($AD$2:$AD$200,$G104)&gt;0,
     COUNTIFS($AE$2:$AE$200,$G104)&gt;0,
     COUNTIFS($AF$2:$AF$200,$G104)&gt;0,
     COUNTIFS($AG$2:$AG$200,$G104)&gt;0,
     COUNTIFS($AH$2:$AH$200,$G104)&gt;0,
     COUNTIFS($AI$2:$AI$200,$G104)&gt;0,
     COUNTIFS($AJ$2:$AJ$200,$G104)&gt;0,
     COUNTIFS($AK$2:$AK$200,$G104)&gt;0,
     COUNTIFS($AL$2:$AL$200,$G104)&gt;0,
     COUNTIFS($AM$2:$AM$200,$G104)&gt;0,
     COUNTIFS($AN$2:$AN$200,$G104)&gt;0,
     COUNTIFS($AO$2:$AO$200,$G104)&gt;0,
     COUNTIFS($AP$2:$AP$200,$G104)&gt;0,
     COUNTIFS($AQ$2:$AQ$200,$G104)&gt;0,
     COUNTIFS($AR$2:$AR$200,$G104)&gt;0,
     COUNTIFS($AS$2:$AS$200,$G104)&gt;0,
     COUNTIFS($AT$2:$AT$200,$G104)&gt;0,
     COUNTIFS($AU$2:$AU$200,$G104)&gt;0,
     COUNTIFS($AV$2:$AV$200,$G104)&gt;0,
     COUNTIFS($AW$2:$AW$200,$G104)&gt;0,
     COUNTIFS($AX$2:$AX$200,$G104)&gt;0,
     COUNTIFS($AY$2:$AY$200,$G104)&gt;0
   )),
  ),
  2
 ),
"")</f>
        <v/>
      </c>
      <c r="E104" s="2" t="str" cm="1">
        <f t="array" aca="1" ref="E104" ca="1">IFERROR(
 INDEX(
  _xlfn._xlws.FILTER($V$1:$AY$1,
   TRANSPOSE(
    CHOOSE({1;2;3;4;5;6;7;8;9;10;11;12;13;14;15;16;17;18;19;20;21;22;23;24;25;26;27;28;29;30},
     COUNTIFS($V$2:$V$200,$G104)&gt;0,
     COUNTIFS($W$2:$W$200,$G104)&gt;0,
     COUNTIFS($X$2:$X$200,$G104)&gt;0,
     COUNTIFS($Y$2:$Y$200,$G104)&gt;0,
     COUNTIFS($Z$2:$Z$200,$G104)&gt;0,
     COUNTIFS($AA$2:$AA$200,$G104)&gt;0,
     COUNTIFS($AB$2:$AB$200,$G104)&gt;0,
     COUNTIFS($AC$2:$AC$200,$G104)&gt;0,
     COUNTIFS($AD$2:$AD$200,$G104)&gt;0,
     COUNTIFS($AE$2:$AE$200,$G104)&gt;0,
     COUNTIFS($AF$2:$AF$200,$G104)&gt;0,
     COUNTIFS($AG$2:$AG$200,$G104)&gt;0,
     COUNTIFS($AH$2:$AH$200,$G104)&gt;0,
     COUNTIFS($AI$2:$AI$200,$G104)&gt;0,
     COUNTIFS($AJ$2:$AJ$200,$G104)&gt;0,
     COUNTIFS($AK$2:$AK$200,$G104)&gt;0,
     COUNTIFS($AL$2:$AL$200,$G104)&gt;0,
     COUNTIFS($AM$2:$AM$200,$G104)&gt;0,
     COUNTIFS($AN$2:$AN$200,$G104)&gt;0,
     COUNTIFS($AO$2:$AO$200,$G104)&gt;0,
     COUNTIFS($AP$2:$AP$200,$G104)&gt;0,
     COUNTIFS($AQ$2:$AQ$200,$G104)&gt;0,
     COUNTIFS($AR$2:$AR$200,$G104)&gt;0,
     COUNTIFS($AS$2:$AS$200,$G104)&gt;0,
     COUNTIFS($AT$2:$AT$200,$G104)&gt;0,
     COUNTIFS($AU$2:$AU$200,$G104)&gt;0,
     COUNTIFS($AV$2:$AV$200,$G104)&gt;0,
     COUNTIFS($AW$2:$AW$200,$G104)&gt;0,
     COUNTIFS($AX$2:$AX$200,$G104)&gt;0,
     COUNTIFS($AY$2:$AY$200,$G104)&gt;0
   )),
  ),
  3
 ),
"")</f>
        <v/>
      </c>
      <c r="F104" s="2" t="str" cm="1">
        <f t="array" aca="1" ref="F104" ca="1">IFERROR(
 INDEX(
  _xlfn._xlws.FILTER($V$1:$AY$1,
   TRANSPOSE(
    CHOOSE({1;2;3;4;5;6;7;8;9;10;11;12;13;14;15;16;17;18;19;20;21;22;23;24;25;26;27;28;29;30},
     COUNTIFS($V$2:$V$200,$G104)&gt;0,
     COUNTIFS($W$2:$W$200,$G104)&gt;0,
     COUNTIFS($X$2:$X$200,$G104)&gt;0,
     COUNTIFS($Y$2:$Y$200,$G104)&gt;0,
     COUNTIFS($Z$2:$Z$200,$G104)&gt;0,
     COUNTIFS($AA$2:$AA$200,$G104)&gt;0,
     COUNTIFS($AB$2:$AB$200,$G104)&gt;0,
     COUNTIFS($AC$2:$AC$200,$G104)&gt;0,
     COUNTIFS($AD$2:$AD$200,$G104)&gt;0,
     COUNTIFS($AE$2:$AE$200,$G104)&gt;0,
     COUNTIFS($AF$2:$AF$200,$G104)&gt;0,
     COUNTIFS($AG$2:$AG$200,$G104)&gt;0,
     COUNTIFS($AH$2:$AH$200,$G104)&gt;0,
     COUNTIFS($AI$2:$AI$200,$G104)&gt;0,
     COUNTIFS($AJ$2:$AJ$200,$G104)&gt;0,
     COUNTIFS($AK$2:$AK$200,$G104)&gt;0,
     COUNTIFS($AL$2:$AL$200,$G104)&gt;0,
     COUNTIFS($AM$2:$AM$200,$G104)&gt;0,
     COUNTIFS($AN$2:$AN$200,$G104)&gt;0,
     COUNTIFS($AO$2:$AO$200,$G104)&gt;0,
     COUNTIFS($AP$2:$AP$200,$G104)&gt;0,
     COUNTIFS($AQ$2:$AQ$200,$G104)&gt;0,
     COUNTIFS($AR$2:$AR$200,$G104)&gt;0,
     COUNTIFS($AS$2:$AS$200,$G104)&gt;0,
     COUNTIFS($AT$2:$AT$200,$G104)&gt;0,
     COUNTIFS($AU$2:$AU$200,$G104)&gt;0,
     COUNTIFS($AV$2:$AV$200,$G104)&gt;0,
     COUNTIFS($AW$2:$AW$200,$G104)&gt;0,
     COUNTIFS($AX$2:$AX$200,$G104)&gt;0,
     COUNTIFS($AY$2:$AY$200,$G104)&gt;0
   )),
  ),
  4
 ),
"")</f>
        <v/>
      </c>
      <c r="G104" t="str">
        <f ca="1"/>
        <v>Court of Garenbrig</v>
      </c>
      <c r="DT104" t="str">
        <f ca="1"/>
        <v>Xander's Lounge</v>
      </c>
      <c r="DZ104" t="str">
        <f ca="1"/>
        <v>Raven Eagle</v>
      </c>
      <c r="EG104" t="str">
        <f ca="1"/>
        <v>Unholy Annex // Ritual Chamber</v>
      </c>
      <c r="EI104" t="str">
        <f ca="1"/>
        <v>Sliver Legion</v>
      </c>
      <c r="EL104" t="str">
        <f ca="1"/>
        <v>Raven Eagle</v>
      </c>
      <c r="EP104" t="str">
        <f ca="1"/>
        <v>Morphic Pool</v>
      </c>
      <c r="EQ104" t="str">
        <f ca="1"/>
        <v>Nest of Scarabs</v>
      </c>
      <c r="ER104" t="str">
        <f ca="1"/>
        <v>Leyline Tyrant</v>
      </c>
      <c r="EU104" t="str">
        <f ca="1"/>
        <v>Farmer Cotton</v>
      </c>
      <c r="EV104" t="str">
        <f ca="1"/>
        <v>Leyline Tyrant</v>
      </c>
      <c r="EX104" t="str">
        <f ca="1"/>
        <v>Court of Garenbrig</v>
      </c>
    </row>
    <row r="105" spans="1:154" x14ac:dyDescent="0.25">
      <c r="A105" s="2" t="str">
        <f t="shared" ca="1" si="8"/>
        <v>3</v>
      </c>
      <c r="B105" s="2">
        <f t="shared" ca="1" si="9"/>
        <v>1</v>
      </c>
      <c r="C105" s="2" t="str">
        <f ca="1">IFERROR(
 INDEX($V$1:$BL$1,
  MATCH(TRUE,
   CHOOSE({1;2;3;4;5;6;7;8;9;10;11;12;13;14;15;16;17;18;19;20;21;22;23;24;25;26;27;28;29;30;31;32;33;34;35;36;37;38;39;40;41;42;43},
    COUNTIFS($V$2:$V$200,$G105)&gt;0,
    COUNTIFS($W$2:$W$200,$G105)&gt;0,
    COUNTIFS($X$2:$X$200,$G105)&gt;0,
    COUNTIFS($Y$2:$Y$200,$G105)&gt;0,
    COUNTIFS($Z$2:$Z$200,$G105)&gt;0,
    COUNTIFS($AA$2:$AA$200,$G105)&gt;0,
    COUNTIFS($AB$2:$AB$200,$G105)&gt;0,
    COUNTIFS($AC$2:$AC$200,$G105)&gt;0,
    COUNTIFS($AD$2:$AD$200,$G105)&gt;0,
    COUNTIFS($AE$2:$AE$200,$G105)&gt;0,
    COUNTIFS($AF$2:$AF$200,$G105)&gt;0,
    COUNTIFS($AG$2:$AG$200,$G105)&gt;0,
    COUNTIFS($AH$2:$AH$200,$G105)&gt;0,
    COUNTIFS($AI$2:$AI$200,$G105)&gt;0,
    COUNTIFS($AJ$2:$AJ$200,$G105)&gt;0,
    COUNTIFS($AK$2:$AK$200,$G105)&gt;0,
    COUNTIFS($AL$2:$AL$200,$G105)&gt;0,
    COUNTIFS($AM$2:$AM$200,$G105)&gt;0,
    COUNTIFS($AN$2:$AN$200,$G105)&gt;0,
    COUNTIFS($AO$2:$AO$200,$G105)&gt;0,
    COUNTIFS($AP$2:$AP$200,$G105)&gt;0,
    COUNTIFS($AQ$2:$AQ$200,$G105)&gt;0,
    COUNTIFS($AR$2:$AR$200,$G105)&gt;0,
    COUNTIFS($AS$2:$AS$200,$G105)&gt;0,
    COUNTIFS($AT$2:$AT$200,$G105)&gt;0,
    COUNTIFS($AU$2:$AU$200,$G105)&gt;0,
    COUNTIFS($AV$2:$AV$200,$G105)&gt;0,
    COUNTIFS($AW$2:$AW$200,$G105)&gt;0,
    COUNTIFS($AX$2:$AX$200,$G105)&gt;0,
    COUNTIFS($AY$2:$AY$200,$G105)&gt;0,
    COUNTIFS($AZ$2:$AZ$200,$G105)&gt;0,
    COUNTIFS($BA$2:$BA$200,$G105)&gt;0,
    COUNTIFS($BB$2:$BB$200,$G105)&gt;0,
    COUNTIFS($BC$2:$BC$200,$G105)&gt;0,
    COUNTIFS($BD$2:$BD$200,$G105)&gt;0,
    COUNTIFS($BE$2:$BE$200,$G105)&gt;0,
    COUNTIFS($BF$2:$BF$200,$G105)&gt;0,
    COUNTIFS($BG$2:$BG$200,$G105)&gt;0,
    COUNTIFS($BH$2:$BH$200,$G105)&gt;0,
    COUNTIFS($BI$2:$BI$200,$G105)&gt;0,
    COUNTIFS($BJ$2:$BJ$200,$G105)&gt;0,
    COUNTIFS($BK$2:$BK$200,$G105)&gt;0,
    COUNTIFS($BL$2:$BL$200,$G105)&gt;0,
    COUNTIFS($BM$2:$BM$200,$G105)&gt;0,
   ),
  0)
 ),
"")</f>
        <v>Yuriko</v>
      </c>
      <c r="D105" s="2" t="str" cm="1">
        <f t="array" aca="1" ref="D105" ca="1">IFERROR(
 INDEX(
  _xlfn._xlws.FILTER($V$1:$AY$1,
   TRANSPOSE(
    CHOOSE({1;2;3;4;5;6;7;8;9;10;11;12;13;14;15;16;17;18;19;20;21;22;23;24;25;26;27;28;29;30},
     COUNTIFS($V$2:$V$200,$G105)&gt;0,
     COUNTIFS($W$2:$W$200,$G105)&gt;0,
     COUNTIFS($X$2:$X$200,$G105)&gt;0,
     COUNTIFS($Y$2:$Y$200,$G105)&gt;0,
     COUNTIFS($Z$2:$Z$200,$G105)&gt;0,
     COUNTIFS($AA$2:$AA$200,$G105)&gt;0,
     COUNTIFS($AB$2:$AB$200,$G105)&gt;0,
     COUNTIFS($AC$2:$AC$200,$G105)&gt;0,
     COUNTIFS($AD$2:$AD$200,$G105)&gt;0,
     COUNTIFS($AE$2:$AE$200,$G105)&gt;0,
     COUNTIFS($AF$2:$AF$200,$G105)&gt;0,
     COUNTIFS($AG$2:$AG$200,$G105)&gt;0,
     COUNTIFS($AH$2:$AH$200,$G105)&gt;0,
     COUNTIFS($AI$2:$AI$200,$G105)&gt;0,
     COUNTIFS($AJ$2:$AJ$200,$G105)&gt;0,
     COUNTIFS($AK$2:$AK$200,$G105)&gt;0,
     COUNTIFS($AL$2:$AL$200,$G105)&gt;0,
     COUNTIFS($AM$2:$AM$200,$G105)&gt;0,
     COUNTIFS($AN$2:$AN$200,$G105)&gt;0,
     COUNTIFS($AO$2:$AO$200,$G105)&gt;0,
     COUNTIFS($AP$2:$AP$200,$G105)&gt;0,
     COUNTIFS($AQ$2:$AQ$200,$G105)&gt;0,
     COUNTIFS($AR$2:$AR$200,$G105)&gt;0,
     COUNTIFS($AS$2:$AS$200,$G105)&gt;0,
     COUNTIFS($AT$2:$AT$200,$G105)&gt;0,
     COUNTIFS($AU$2:$AU$200,$G105)&gt;0,
     COUNTIFS($AV$2:$AV$200,$G105)&gt;0,
     COUNTIFS($AW$2:$AW$200,$G105)&gt;0,
     COUNTIFS($AX$2:$AX$200,$G105)&gt;0,
     COUNTIFS($AY$2:$AY$200,$G105)&gt;0
   )),
  ),
  2
 ),
"")</f>
        <v/>
      </c>
      <c r="E105" s="2" t="str" cm="1">
        <f t="array" aca="1" ref="E105" ca="1">IFERROR(
 INDEX(
  _xlfn._xlws.FILTER($V$1:$AY$1,
   TRANSPOSE(
    CHOOSE({1;2;3;4;5;6;7;8;9;10;11;12;13;14;15;16;17;18;19;20;21;22;23;24;25;26;27;28;29;30},
     COUNTIFS($V$2:$V$200,$G105)&gt;0,
     COUNTIFS($W$2:$W$200,$G105)&gt;0,
     COUNTIFS($X$2:$X$200,$G105)&gt;0,
     COUNTIFS($Y$2:$Y$200,$G105)&gt;0,
     COUNTIFS($Z$2:$Z$200,$G105)&gt;0,
     COUNTIFS($AA$2:$AA$200,$G105)&gt;0,
     COUNTIFS($AB$2:$AB$200,$G105)&gt;0,
     COUNTIFS($AC$2:$AC$200,$G105)&gt;0,
     COUNTIFS($AD$2:$AD$200,$G105)&gt;0,
     COUNTIFS($AE$2:$AE$200,$G105)&gt;0,
     COUNTIFS($AF$2:$AF$200,$G105)&gt;0,
     COUNTIFS($AG$2:$AG$200,$G105)&gt;0,
     COUNTIFS($AH$2:$AH$200,$G105)&gt;0,
     COUNTIFS($AI$2:$AI$200,$G105)&gt;0,
     COUNTIFS($AJ$2:$AJ$200,$G105)&gt;0,
     COUNTIFS($AK$2:$AK$200,$G105)&gt;0,
     COUNTIFS($AL$2:$AL$200,$G105)&gt;0,
     COUNTIFS($AM$2:$AM$200,$G105)&gt;0,
     COUNTIFS($AN$2:$AN$200,$G105)&gt;0,
     COUNTIFS($AO$2:$AO$200,$G105)&gt;0,
     COUNTIFS($AP$2:$AP$200,$G105)&gt;0,
     COUNTIFS($AQ$2:$AQ$200,$G105)&gt;0,
     COUNTIFS($AR$2:$AR$200,$G105)&gt;0,
     COUNTIFS($AS$2:$AS$200,$G105)&gt;0,
     COUNTIFS($AT$2:$AT$200,$G105)&gt;0,
     COUNTIFS($AU$2:$AU$200,$G105)&gt;0,
     COUNTIFS($AV$2:$AV$200,$G105)&gt;0,
     COUNTIFS($AW$2:$AW$200,$G105)&gt;0,
     COUNTIFS($AX$2:$AX$200,$G105)&gt;0,
     COUNTIFS($AY$2:$AY$200,$G105)&gt;0
   )),
  ),
  3
 ),
"")</f>
        <v/>
      </c>
      <c r="F105" s="2" t="str" cm="1">
        <f t="array" aca="1" ref="F105" ca="1">IFERROR(
 INDEX(
  _xlfn._xlws.FILTER($V$1:$AY$1,
   TRANSPOSE(
    CHOOSE({1;2;3;4;5;6;7;8;9;10;11;12;13;14;15;16;17;18;19;20;21;22;23;24;25;26;27;28;29;30},
     COUNTIFS($V$2:$V$200,$G105)&gt;0,
     COUNTIFS($W$2:$W$200,$G105)&gt;0,
     COUNTIFS($X$2:$X$200,$G105)&gt;0,
     COUNTIFS($Y$2:$Y$200,$G105)&gt;0,
     COUNTIFS($Z$2:$Z$200,$G105)&gt;0,
     COUNTIFS($AA$2:$AA$200,$G105)&gt;0,
     COUNTIFS($AB$2:$AB$200,$G105)&gt;0,
     COUNTIFS($AC$2:$AC$200,$G105)&gt;0,
     COUNTIFS($AD$2:$AD$200,$G105)&gt;0,
     COUNTIFS($AE$2:$AE$200,$G105)&gt;0,
     COUNTIFS($AF$2:$AF$200,$G105)&gt;0,
     COUNTIFS($AG$2:$AG$200,$G105)&gt;0,
     COUNTIFS($AH$2:$AH$200,$G105)&gt;0,
     COUNTIFS($AI$2:$AI$200,$G105)&gt;0,
     COUNTIFS($AJ$2:$AJ$200,$G105)&gt;0,
     COUNTIFS($AK$2:$AK$200,$G105)&gt;0,
     COUNTIFS($AL$2:$AL$200,$G105)&gt;0,
     COUNTIFS($AM$2:$AM$200,$G105)&gt;0,
     COUNTIFS($AN$2:$AN$200,$G105)&gt;0,
     COUNTIFS($AO$2:$AO$200,$G105)&gt;0,
     COUNTIFS($AP$2:$AP$200,$G105)&gt;0,
     COUNTIFS($AQ$2:$AQ$200,$G105)&gt;0,
     COUNTIFS($AR$2:$AR$200,$G105)&gt;0,
     COUNTIFS($AS$2:$AS$200,$G105)&gt;0,
     COUNTIFS($AT$2:$AT$200,$G105)&gt;0,
     COUNTIFS($AU$2:$AU$200,$G105)&gt;0,
     COUNTIFS($AV$2:$AV$200,$G105)&gt;0,
     COUNTIFS($AW$2:$AW$200,$G105)&gt;0,
     COUNTIFS($AX$2:$AX$200,$G105)&gt;0,
     COUNTIFS($AY$2:$AY$200,$G105)&gt;0
   )),
  ),
  4
 ),
"")</f>
        <v/>
      </c>
      <c r="G105" t="str">
        <f ca="1"/>
        <v>Creeping Tar Pit</v>
      </c>
      <c r="DT105" t="str">
        <f ca="1"/>
        <v>Zagoth Triome</v>
      </c>
      <c r="DZ105" t="str">
        <f ca="1"/>
        <v>Reality Shift</v>
      </c>
      <c r="EG105" t="str">
        <f ca="1"/>
        <v>Vault of the Archangel</v>
      </c>
      <c r="EI105" t="str">
        <f ca="1"/>
        <v>Sliver Overlord</v>
      </c>
      <c r="EL105" t="str">
        <f ca="1"/>
        <v>Reality Shift</v>
      </c>
      <c r="EP105" t="str">
        <f ca="1"/>
        <v>Mox Tantalite</v>
      </c>
      <c r="EQ105" t="str">
        <f ca="1"/>
        <v>Nibelheim Aflame</v>
      </c>
      <c r="ER105" t="str">
        <f ca="1"/>
        <v>Lightning Greaves</v>
      </c>
      <c r="EU105" t="str">
        <f ca="1"/>
        <v>Filigree Vector</v>
      </c>
      <c r="EV105" t="str">
        <f ca="1"/>
        <v>Lightning Greaves</v>
      </c>
      <c r="EX105" t="str">
        <f ca="1"/>
        <v>Creeping Tar Pit</v>
      </c>
    </row>
    <row r="106" spans="1:154" x14ac:dyDescent="0.25">
      <c r="A106" s="2" t="str">
        <f t="shared" ca="1" si="8"/>
        <v>2</v>
      </c>
      <c r="B106" s="2">
        <f t="shared" ca="1" si="9"/>
        <v>1</v>
      </c>
      <c r="C106" s="2" t="str">
        <f ca="1">IFERROR(
 INDEX($V$1:$BL$1,
  MATCH(TRUE,
   CHOOSE({1;2;3;4;5;6;7;8;9;10;11;12;13;14;15;16;17;18;19;20;21;22;23;24;25;26;27;28;29;30;31;32;33;34;35;36;37;38;39;40;41;42;43},
    COUNTIFS($V$2:$V$200,$G106)&gt;0,
    COUNTIFS($W$2:$W$200,$G106)&gt;0,
    COUNTIFS($X$2:$X$200,$G106)&gt;0,
    COUNTIFS($Y$2:$Y$200,$G106)&gt;0,
    COUNTIFS($Z$2:$Z$200,$G106)&gt;0,
    COUNTIFS($AA$2:$AA$200,$G106)&gt;0,
    COUNTIFS($AB$2:$AB$200,$G106)&gt;0,
    COUNTIFS($AC$2:$AC$200,$G106)&gt;0,
    COUNTIFS($AD$2:$AD$200,$G106)&gt;0,
    COUNTIFS($AE$2:$AE$200,$G106)&gt;0,
    COUNTIFS($AF$2:$AF$200,$G106)&gt;0,
    COUNTIFS($AG$2:$AG$200,$G106)&gt;0,
    COUNTIFS($AH$2:$AH$200,$G106)&gt;0,
    COUNTIFS($AI$2:$AI$200,$G106)&gt;0,
    COUNTIFS($AJ$2:$AJ$200,$G106)&gt;0,
    COUNTIFS($AK$2:$AK$200,$G106)&gt;0,
    COUNTIFS($AL$2:$AL$200,$G106)&gt;0,
    COUNTIFS($AM$2:$AM$200,$G106)&gt;0,
    COUNTIFS($AN$2:$AN$200,$G106)&gt;0,
    COUNTIFS($AO$2:$AO$200,$G106)&gt;0,
    COUNTIFS($AP$2:$AP$200,$G106)&gt;0,
    COUNTIFS($AQ$2:$AQ$200,$G106)&gt;0,
    COUNTIFS($AR$2:$AR$200,$G106)&gt;0,
    COUNTIFS($AS$2:$AS$200,$G106)&gt;0,
    COUNTIFS($AT$2:$AT$200,$G106)&gt;0,
    COUNTIFS($AU$2:$AU$200,$G106)&gt;0,
    COUNTIFS($AV$2:$AV$200,$G106)&gt;0,
    COUNTIFS($AW$2:$AW$200,$G106)&gt;0,
    COUNTIFS($AX$2:$AX$200,$G106)&gt;0,
    COUNTIFS($AY$2:$AY$200,$G106)&gt;0,
    COUNTIFS($AZ$2:$AZ$200,$G106)&gt;0,
    COUNTIFS($BA$2:$BA$200,$G106)&gt;0,
    COUNTIFS($BB$2:$BB$200,$G106)&gt;0,
    COUNTIFS($BC$2:$BC$200,$G106)&gt;0,
    COUNTIFS($BD$2:$BD$200,$G106)&gt;0,
    COUNTIFS($BE$2:$BE$200,$G106)&gt;0,
    COUNTIFS($BF$2:$BF$200,$G106)&gt;0,
    COUNTIFS($BG$2:$BG$200,$G106)&gt;0,
    COUNTIFS($BH$2:$BH$200,$G106)&gt;0,
    COUNTIFS($BI$2:$BI$200,$G106)&gt;0,
    COUNTIFS($BJ$2:$BJ$200,$G106)&gt;0,
    COUNTIFS($BK$2:$BK$200,$G106)&gt;0,
    COUNTIFS($BL$2:$BL$200,$G106)&gt;0,
    COUNTIFS($BM$2:$BM$200,$G106)&gt;0,
   ),
  0)
 ),
"")</f>
        <v>Gitrog</v>
      </c>
      <c r="D106" s="2" t="str" cm="1">
        <f t="array" aca="1" ref="D106" ca="1">IFERROR(
 INDEX(
  _xlfn._xlws.FILTER($V$1:$AY$1,
   TRANSPOSE(
    CHOOSE({1;2;3;4;5;6;7;8;9;10;11;12;13;14;15;16;17;18;19;20;21;22;23;24;25;26;27;28;29;30},
     COUNTIFS($V$2:$V$200,$G106)&gt;0,
     COUNTIFS($W$2:$W$200,$G106)&gt;0,
     COUNTIFS($X$2:$X$200,$G106)&gt;0,
     COUNTIFS($Y$2:$Y$200,$G106)&gt;0,
     COUNTIFS($Z$2:$Z$200,$G106)&gt;0,
     COUNTIFS($AA$2:$AA$200,$G106)&gt;0,
     COUNTIFS($AB$2:$AB$200,$G106)&gt;0,
     COUNTIFS($AC$2:$AC$200,$G106)&gt;0,
     COUNTIFS($AD$2:$AD$200,$G106)&gt;0,
     COUNTIFS($AE$2:$AE$200,$G106)&gt;0,
     COUNTIFS($AF$2:$AF$200,$G106)&gt;0,
     COUNTIFS($AG$2:$AG$200,$G106)&gt;0,
     COUNTIFS($AH$2:$AH$200,$G106)&gt;0,
     COUNTIFS($AI$2:$AI$200,$G106)&gt;0,
     COUNTIFS($AJ$2:$AJ$200,$G106)&gt;0,
     COUNTIFS($AK$2:$AK$200,$G106)&gt;0,
     COUNTIFS($AL$2:$AL$200,$G106)&gt;0,
     COUNTIFS($AM$2:$AM$200,$G106)&gt;0,
     COUNTIFS($AN$2:$AN$200,$G106)&gt;0,
     COUNTIFS($AO$2:$AO$200,$G106)&gt;0,
     COUNTIFS($AP$2:$AP$200,$G106)&gt;0,
     COUNTIFS($AQ$2:$AQ$200,$G106)&gt;0,
     COUNTIFS($AR$2:$AR$200,$G106)&gt;0,
     COUNTIFS($AS$2:$AS$200,$G106)&gt;0,
     COUNTIFS($AT$2:$AT$200,$G106)&gt;0,
     COUNTIFS($AU$2:$AU$200,$G106)&gt;0,
     COUNTIFS($AV$2:$AV$200,$G106)&gt;0,
     COUNTIFS($AW$2:$AW$200,$G106)&gt;0,
     COUNTIFS($AX$2:$AX$200,$G106)&gt;0,
     COUNTIFS($AY$2:$AY$200,$G106)&gt;0
   )),
  ),
  2
 ),
"")</f>
        <v/>
      </c>
      <c r="E106" s="2" t="str" cm="1">
        <f t="array" aca="1" ref="E106" ca="1">IFERROR(
 INDEX(
  _xlfn._xlws.FILTER($V$1:$AY$1,
   TRANSPOSE(
    CHOOSE({1;2;3;4;5;6;7;8;9;10;11;12;13;14;15;16;17;18;19;20;21;22;23;24;25;26;27;28;29;30},
     COUNTIFS($V$2:$V$200,$G106)&gt;0,
     COUNTIFS($W$2:$W$200,$G106)&gt;0,
     COUNTIFS($X$2:$X$200,$G106)&gt;0,
     COUNTIFS($Y$2:$Y$200,$G106)&gt;0,
     COUNTIFS($Z$2:$Z$200,$G106)&gt;0,
     COUNTIFS($AA$2:$AA$200,$G106)&gt;0,
     COUNTIFS($AB$2:$AB$200,$G106)&gt;0,
     COUNTIFS($AC$2:$AC$200,$G106)&gt;0,
     COUNTIFS($AD$2:$AD$200,$G106)&gt;0,
     COUNTIFS($AE$2:$AE$200,$G106)&gt;0,
     COUNTIFS($AF$2:$AF$200,$G106)&gt;0,
     COUNTIFS($AG$2:$AG$200,$G106)&gt;0,
     COUNTIFS($AH$2:$AH$200,$G106)&gt;0,
     COUNTIFS($AI$2:$AI$200,$G106)&gt;0,
     COUNTIFS($AJ$2:$AJ$200,$G106)&gt;0,
     COUNTIFS($AK$2:$AK$200,$G106)&gt;0,
     COUNTIFS($AL$2:$AL$200,$G106)&gt;0,
     COUNTIFS($AM$2:$AM$200,$G106)&gt;0,
     COUNTIFS($AN$2:$AN$200,$G106)&gt;0,
     COUNTIFS($AO$2:$AO$200,$G106)&gt;0,
     COUNTIFS($AP$2:$AP$200,$G106)&gt;0,
     COUNTIFS($AQ$2:$AQ$200,$G106)&gt;0,
     COUNTIFS($AR$2:$AR$200,$G106)&gt;0,
     COUNTIFS($AS$2:$AS$200,$G106)&gt;0,
     COUNTIFS($AT$2:$AT$200,$G106)&gt;0,
     COUNTIFS($AU$2:$AU$200,$G106)&gt;0,
     COUNTIFS($AV$2:$AV$200,$G106)&gt;0,
     COUNTIFS($AW$2:$AW$200,$G106)&gt;0,
     COUNTIFS($AX$2:$AX$200,$G106)&gt;0,
     COUNTIFS($AY$2:$AY$200,$G106)&gt;0
   )),
  ),
  3
 ),
"")</f>
        <v/>
      </c>
      <c r="F106" s="2" t="str" cm="1">
        <f t="array" aca="1" ref="F106" ca="1">IFERROR(
 INDEX(
  _xlfn._xlws.FILTER($V$1:$AY$1,
   TRANSPOSE(
    CHOOSE({1;2;3;4;5;6;7;8;9;10;11;12;13;14;15;16;17;18;19;20;21;22;23;24;25;26;27;28;29;30},
     COUNTIFS($V$2:$V$200,$G106)&gt;0,
     COUNTIFS($W$2:$W$200,$G106)&gt;0,
     COUNTIFS($X$2:$X$200,$G106)&gt;0,
     COUNTIFS($Y$2:$Y$200,$G106)&gt;0,
     COUNTIFS($Z$2:$Z$200,$G106)&gt;0,
     COUNTIFS($AA$2:$AA$200,$G106)&gt;0,
     COUNTIFS($AB$2:$AB$200,$G106)&gt;0,
     COUNTIFS($AC$2:$AC$200,$G106)&gt;0,
     COUNTIFS($AD$2:$AD$200,$G106)&gt;0,
     COUNTIFS($AE$2:$AE$200,$G106)&gt;0,
     COUNTIFS($AF$2:$AF$200,$G106)&gt;0,
     COUNTIFS($AG$2:$AG$200,$G106)&gt;0,
     COUNTIFS($AH$2:$AH$200,$G106)&gt;0,
     COUNTIFS($AI$2:$AI$200,$G106)&gt;0,
     COUNTIFS($AJ$2:$AJ$200,$G106)&gt;0,
     COUNTIFS($AK$2:$AK$200,$G106)&gt;0,
     COUNTIFS($AL$2:$AL$200,$G106)&gt;0,
     COUNTIFS($AM$2:$AM$200,$G106)&gt;0,
     COUNTIFS($AN$2:$AN$200,$G106)&gt;0,
     COUNTIFS($AO$2:$AO$200,$G106)&gt;0,
     COUNTIFS($AP$2:$AP$200,$G106)&gt;0,
     COUNTIFS($AQ$2:$AQ$200,$G106)&gt;0,
     COUNTIFS($AR$2:$AR$200,$G106)&gt;0,
     COUNTIFS($AS$2:$AS$200,$G106)&gt;0,
     COUNTIFS($AT$2:$AT$200,$G106)&gt;0,
     COUNTIFS($AU$2:$AU$200,$G106)&gt;0,
     COUNTIFS($AV$2:$AV$200,$G106)&gt;0,
     COUNTIFS($AW$2:$AW$200,$G106)&gt;0,
     COUNTIFS($AX$2:$AX$200,$G106)&gt;0,
     COUNTIFS($AY$2:$AY$200,$G106)&gt;0
   )),
  ),
  4
 ),
"")</f>
        <v/>
      </c>
      <c r="G106" t="str">
        <f ca="1"/>
        <v>Crucible of Worlds</v>
      </c>
      <c r="DT106" t="str">
        <f ca="1"/>
        <v>Ziatora's Proving Ground</v>
      </c>
      <c r="DZ106" t="str">
        <f ca="1"/>
        <v>Reliquary Tower</v>
      </c>
      <c r="EG106" t="str">
        <f ca="1"/>
        <v>Virtue of Loyalty // Ardenvale Fealty</v>
      </c>
      <c r="EI106" t="str">
        <f ca="1"/>
        <v>Sliver Queen</v>
      </c>
      <c r="EL106" t="str">
        <f ca="1"/>
        <v>Reliquary Tower</v>
      </c>
      <c r="EP106" t="str">
        <f ca="1"/>
        <v>Mutable Explorer</v>
      </c>
      <c r="EQ106" t="str">
        <f ca="1"/>
        <v>Nissa, Resurgent Animist</v>
      </c>
      <c r="ER106" t="str">
        <f ca="1"/>
        <v>Llanowar Wastes</v>
      </c>
      <c r="EU106" t="str">
        <f ca="1"/>
        <v>Final Showdown</v>
      </c>
      <c r="EV106" t="str">
        <f ca="1"/>
        <v>Llanowar Wastes</v>
      </c>
      <c r="EX106" t="str">
        <f ca="1"/>
        <v>Crucible of Worlds</v>
      </c>
    </row>
    <row r="107" spans="1:154" x14ac:dyDescent="0.25">
      <c r="A107" s="2" t="str">
        <f t="shared" ca="1" si="8"/>
        <v>5</v>
      </c>
      <c r="B107" s="2">
        <f t="shared" ca="1" si="9"/>
        <v>1</v>
      </c>
      <c r="C107" s="2" t="str">
        <f ca="1">IFERROR(
 INDEX($V$1:$BL$1,
  MATCH(TRUE,
   CHOOSE({1;2;3;4;5;6;7;8;9;10;11;12;13;14;15;16;17;18;19;20;21;22;23;24;25;26;27;28;29;30;31;32;33;34;35;36;37;38;39;40;41;42;43},
    COUNTIFS($V$2:$V$200,$G107)&gt;0,
    COUNTIFS($W$2:$W$200,$G107)&gt;0,
    COUNTIFS($X$2:$X$200,$G107)&gt;0,
    COUNTIFS($Y$2:$Y$200,$G107)&gt;0,
    COUNTIFS($Z$2:$Z$200,$G107)&gt;0,
    COUNTIFS($AA$2:$AA$200,$G107)&gt;0,
    COUNTIFS($AB$2:$AB$200,$G107)&gt;0,
    COUNTIFS($AC$2:$AC$200,$G107)&gt;0,
    COUNTIFS($AD$2:$AD$200,$G107)&gt;0,
    COUNTIFS($AE$2:$AE$200,$G107)&gt;0,
    COUNTIFS($AF$2:$AF$200,$G107)&gt;0,
    COUNTIFS($AG$2:$AG$200,$G107)&gt;0,
    COUNTIFS($AH$2:$AH$200,$G107)&gt;0,
    COUNTIFS($AI$2:$AI$200,$G107)&gt;0,
    COUNTIFS($AJ$2:$AJ$200,$G107)&gt;0,
    COUNTIFS($AK$2:$AK$200,$G107)&gt;0,
    COUNTIFS($AL$2:$AL$200,$G107)&gt;0,
    COUNTIFS($AM$2:$AM$200,$G107)&gt;0,
    COUNTIFS($AN$2:$AN$200,$G107)&gt;0,
    COUNTIFS($AO$2:$AO$200,$G107)&gt;0,
    COUNTIFS($AP$2:$AP$200,$G107)&gt;0,
    COUNTIFS($AQ$2:$AQ$200,$G107)&gt;0,
    COUNTIFS($AR$2:$AR$200,$G107)&gt;0,
    COUNTIFS($AS$2:$AS$200,$G107)&gt;0,
    COUNTIFS($AT$2:$AT$200,$G107)&gt;0,
    COUNTIFS($AU$2:$AU$200,$G107)&gt;0,
    COUNTIFS($AV$2:$AV$200,$G107)&gt;0,
    COUNTIFS($AW$2:$AW$200,$G107)&gt;0,
    COUNTIFS($AX$2:$AX$200,$G107)&gt;0,
    COUNTIFS($AY$2:$AY$200,$G107)&gt;0,
    COUNTIFS($AZ$2:$AZ$200,$G107)&gt;0,
    COUNTIFS($BA$2:$BA$200,$G107)&gt;0,
    COUNTIFS($BB$2:$BB$200,$G107)&gt;0,
    COUNTIFS($BC$2:$BC$200,$G107)&gt;0,
    COUNTIFS($BD$2:$BD$200,$G107)&gt;0,
    COUNTIFS($BE$2:$BE$200,$G107)&gt;0,
    COUNTIFS($BF$2:$BF$200,$G107)&gt;0,
    COUNTIFS($BG$2:$BG$200,$G107)&gt;0,
    COUNTIFS($BH$2:$BH$200,$G107)&gt;0,
    COUNTIFS($BI$2:$BI$200,$G107)&gt;0,
    COUNTIFS($BJ$2:$BJ$200,$G107)&gt;0,
    COUNTIFS($BK$2:$BK$200,$G107)&gt;0,
    COUNTIFS($BL$2:$BL$200,$G107)&gt;0,
    COUNTIFS($BM$2:$BM$200,$G107)&gt;0,
   ),
  0)
 ),
"")</f>
        <v>Fractius</v>
      </c>
      <c r="D107" s="2" t="str" cm="1">
        <f t="array" aca="1" ref="D107" ca="1">IFERROR(
 INDEX(
  _xlfn._xlws.FILTER($V$1:$AY$1,
   TRANSPOSE(
    CHOOSE({1;2;3;4;5;6;7;8;9;10;11;12;13;14;15;16;17;18;19;20;21;22;23;24;25;26;27;28;29;30},
     COUNTIFS($V$2:$V$200,$G107)&gt;0,
     COUNTIFS($W$2:$W$200,$G107)&gt;0,
     COUNTIFS($X$2:$X$200,$G107)&gt;0,
     COUNTIFS($Y$2:$Y$200,$G107)&gt;0,
     COUNTIFS($Z$2:$Z$200,$G107)&gt;0,
     COUNTIFS($AA$2:$AA$200,$G107)&gt;0,
     COUNTIFS($AB$2:$AB$200,$G107)&gt;0,
     COUNTIFS($AC$2:$AC$200,$G107)&gt;0,
     COUNTIFS($AD$2:$AD$200,$G107)&gt;0,
     COUNTIFS($AE$2:$AE$200,$G107)&gt;0,
     COUNTIFS($AF$2:$AF$200,$G107)&gt;0,
     COUNTIFS($AG$2:$AG$200,$G107)&gt;0,
     COUNTIFS($AH$2:$AH$200,$G107)&gt;0,
     COUNTIFS($AI$2:$AI$200,$G107)&gt;0,
     COUNTIFS($AJ$2:$AJ$200,$G107)&gt;0,
     COUNTIFS($AK$2:$AK$200,$G107)&gt;0,
     COUNTIFS($AL$2:$AL$200,$G107)&gt;0,
     COUNTIFS($AM$2:$AM$200,$G107)&gt;0,
     COUNTIFS($AN$2:$AN$200,$G107)&gt;0,
     COUNTIFS($AO$2:$AO$200,$G107)&gt;0,
     COUNTIFS($AP$2:$AP$200,$G107)&gt;0,
     COUNTIFS($AQ$2:$AQ$200,$G107)&gt;0,
     COUNTIFS($AR$2:$AR$200,$G107)&gt;0,
     COUNTIFS($AS$2:$AS$200,$G107)&gt;0,
     COUNTIFS($AT$2:$AT$200,$G107)&gt;0,
     COUNTIFS($AU$2:$AU$200,$G107)&gt;0,
     COUNTIFS($AV$2:$AV$200,$G107)&gt;0,
     COUNTIFS($AW$2:$AW$200,$G107)&gt;0,
     COUNTIFS($AX$2:$AX$200,$G107)&gt;0,
     COUNTIFS($AY$2:$AY$200,$G107)&gt;0
   )),
  ),
  2
 ),
"")</f>
        <v/>
      </c>
      <c r="E107" s="2" t="str" cm="1">
        <f t="array" aca="1" ref="E107" ca="1">IFERROR(
 INDEX(
  _xlfn._xlws.FILTER($V$1:$AY$1,
   TRANSPOSE(
    CHOOSE({1;2;3;4;5;6;7;8;9;10;11;12;13;14;15;16;17;18;19;20;21;22;23;24;25;26;27;28;29;30},
     COUNTIFS($V$2:$V$200,$G107)&gt;0,
     COUNTIFS($W$2:$W$200,$G107)&gt;0,
     COUNTIFS($X$2:$X$200,$G107)&gt;0,
     COUNTIFS($Y$2:$Y$200,$G107)&gt;0,
     COUNTIFS($Z$2:$Z$200,$G107)&gt;0,
     COUNTIFS($AA$2:$AA$200,$G107)&gt;0,
     COUNTIFS($AB$2:$AB$200,$G107)&gt;0,
     COUNTIFS($AC$2:$AC$200,$G107)&gt;0,
     COUNTIFS($AD$2:$AD$200,$G107)&gt;0,
     COUNTIFS($AE$2:$AE$200,$G107)&gt;0,
     COUNTIFS($AF$2:$AF$200,$G107)&gt;0,
     COUNTIFS($AG$2:$AG$200,$G107)&gt;0,
     COUNTIFS($AH$2:$AH$200,$G107)&gt;0,
     COUNTIFS($AI$2:$AI$200,$G107)&gt;0,
     COUNTIFS($AJ$2:$AJ$200,$G107)&gt;0,
     COUNTIFS($AK$2:$AK$200,$G107)&gt;0,
     COUNTIFS($AL$2:$AL$200,$G107)&gt;0,
     COUNTIFS($AM$2:$AM$200,$G107)&gt;0,
     COUNTIFS($AN$2:$AN$200,$G107)&gt;0,
     COUNTIFS($AO$2:$AO$200,$G107)&gt;0,
     COUNTIFS($AP$2:$AP$200,$G107)&gt;0,
     COUNTIFS($AQ$2:$AQ$200,$G107)&gt;0,
     COUNTIFS($AR$2:$AR$200,$G107)&gt;0,
     COUNTIFS($AS$2:$AS$200,$G107)&gt;0,
     COUNTIFS($AT$2:$AT$200,$G107)&gt;0,
     COUNTIFS($AU$2:$AU$200,$G107)&gt;0,
     COUNTIFS($AV$2:$AV$200,$G107)&gt;0,
     COUNTIFS($AW$2:$AW$200,$G107)&gt;0,
     COUNTIFS($AX$2:$AX$200,$G107)&gt;0,
     COUNTIFS($AY$2:$AY$200,$G107)&gt;0
   )),
  ),
  3
 ),
"")</f>
        <v/>
      </c>
      <c r="F107" s="2" t="str" cm="1">
        <f t="array" aca="1" ref="F107" ca="1">IFERROR(
 INDEX(
  _xlfn._xlws.FILTER($V$1:$AY$1,
   TRANSPOSE(
    CHOOSE({1;2;3;4;5;6;7;8;9;10;11;12;13;14;15;16;17;18;19;20;21;22;23;24;25;26;27;28;29;30},
     COUNTIFS($V$2:$V$200,$G107)&gt;0,
     COUNTIFS($W$2:$W$200,$G107)&gt;0,
     COUNTIFS($X$2:$X$200,$G107)&gt;0,
     COUNTIFS($Y$2:$Y$200,$G107)&gt;0,
     COUNTIFS($Z$2:$Z$200,$G107)&gt;0,
     COUNTIFS($AA$2:$AA$200,$G107)&gt;0,
     COUNTIFS($AB$2:$AB$200,$G107)&gt;0,
     COUNTIFS($AC$2:$AC$200,$G107)&gt;0,
     COUNTIFS($AD$2:$AD$200,$G107)&gt;0,
     COUNTIFS($AE$2:$AE$200,$G107)&gt;0,
     COUNTIFS($AF$2:$AF$200,$G107)&gt;0,
     COUNTIFS($AG$2:$AG$200,$G107)&gt;0,
     COUNTIFS($AH$2:$AH$200,$G107)&gt;0,
     COUNTIFS($AI$2:$AI$200,$G107)&gt;0,
     COUNTIFS($AJ$2:$AJ$200,$G107)&gt;0,
     COUNTIFS($AK$2:$AK$200,$G107)&gt;0,
     COUNTIFS($AL$2:$AL$200,$G107)&gt;0,
     COUNTIFS($AM$2:$AM$200,$G107)&gt;0,
     COUNTIFS($AN$2:$AN$200,$G107)&gt;0,
     COUNTIFS($AO$2:$AO$200,$G107)&gt;0,
     COUNTIFS($AP$2:$AP$200,$G107)&gt;0,
     COUNTIFS($AQ$2:$AQ$200,$G107)&gt;0,
     COUNTIFS($AR$2:$AR$200,$G107)&gt;0,
     COUNTIFS($AS$2:$AS$200,$G107)&gt;0,
     COUNTIFS($AT$2:$AT$200,$G107)&gt;0,
     COUNTIFS($AU$2:$AU$200,$G107)&gt;0,
     COUNTIFS($AV$2:$AV$200,$G107)&gt;0,
     COUNTIFS($AW$2:$AW$200,$G107)&gt;0,
     COUNTIFS($AX$2:$AX$200,$G107)&gt;0,
     COUNTIFS($AY$2:$AY$200,$G107)&gt;0
   )),
  ),
  4
 ),
"")</f>
        <v/>
      </c>
      <c r="G107" t="str">
        <f ca="1"/>
        <v>Crypt Sliver</v>
      </c>
      <c r="DZ107" t="str">
        <f ca="1"/>
        <v>Respite</v>
      </c>
      <c r="EG107" t="str">
        <f ca="1"/>
        <v>Warleader's Call</v>
      </c>
      <c r="EI107" t="str">
        <f ca="1"/>
        <v>Sokenzan, Crucible of Defiance</v>
      </c>
      <c r="EL107" t="str">
        <f ca="1"/>
        <v>Respite</v>
      </c>
      <c r="EP107" t="str">
        <f ca="1"/>
        <v>Nicol Bolas, God-Pharaoh</v>
      </c>
      <c r="EQ107" t="str">
        <f ca="1"/>
        <v>Obelisk Spider</v>
      </c>
      <c r="ER107" t="str">
        <f ca="1"/>
        <v>Long-Range Sensor</v>
      </c>
      <c r="EU107" t="str">
        <f ca="1"/>
        <v>Firebender Ascension</v>
      </c>
      <c r="EV107" t="str">
        <f ca="1"/>
        <v>Long-Range Sensor</v>
      </c>
      <c r="EX107" t="str">
        <f ca="1"/>
        <v>Crypt Sliver</v>
      </c>
    </row>
    <row r="108" spans="1:154" x14ac:dyDescent="0.25">
      <c r="A108" s="2" t="str">
        <f t="shared" ca="1" si="8"/>
        <v>5</v>
      </c>
      <c r="B108" s="2">
        <f t="shared" ca="1" si="9"/>
        <v>1</v>
      </c>
      <c r="C108" s="2" t="str">
        <f ca="1">IFERROR(
 INDEX($V$1:$BL$1,
  MATCH(TRUE,
   CHOOSE({1;2;3;4;5;6;7;8;9;10;11;12;13;14;15;16;17;18;19;20;21;22;23;24;25;26;27;28;29;30;31;32;33;34;35;36;37;38;39;40;41;42;43},
    COUNTIFS($V$2:$V$200,$G108)&gt;0,
    COUNTIFS($W$2:$W$200,$G108)&gt;0,
    COUNTIFS($X$2:$X$200,$G108)&gt;0,
    COUNTIFS($Y$2:$Y$200,$G108)&gt;0,
    COUNTIFS($Z$2:$Z$200,$G108)&gt;0,
    COUNTIFS($AA$2:$AA$200,$G108)&gt;0,
    COUNTIFS($AB$2:$AB$200,$G108)&gt;0,
    COUNTIFS($AC$2:$AC$200,$G108)&gt;0,
    COUNTIFS($AD$2:$AD$200,$G108)&gt;0,
    COUNTIFS($AE$2:$AE$200,$G108)&gt;0,
    COUNTIFS($AF$2:$AF$200,$G108)&gt;0,
    COUNTIFS($AG$2:$AG$200,$G108)&gt;0,
    COUNTIFS($AH$2:$AH$200,$G108)&gt;0,
    COUNTIFS($AI$2:$AI$200,$G108)&gt;0,
    COUNTIFS($AJ$2:$AJ$200,$G108)&gt;0,
    COUNTIFS($AK$2:$AK$200,$G108)&gt;0,
    COUNTIFS($AL$2:$AL$200,$G108)&gt;0,
    COUNTIFS($AM$2:$AM$200,$G108)&gt;0,
    COUNTIFS($AN$2:$AN$200,$G108)&gt;0,
    COUNTIFS($AO$2:$AO$200,$G108)&gt;0,
    COUNTIFS($AP$2:$AP$200,$G108)&gt;0,
    COUNTIFS($AQ$2:$AQ$200,$G108)&gt;0,
    COUNTIFS($AR$2:$AR$200,$G108)&gt;0,
    COUNTIFS($AS$2:$AS$200,$G108)&gt;0,
    COUNTIFS($AT$2:$AT$200,$G108)&gt;0,
    COUNTIFS($AU$2:$AU$200,$G108)&gt;0,
    COUNTIFS($AV$2:$AV$200,$G108)&gt;0,
    COUNTIFS($AW$2:$AW$200,$G108)&gt;0,
    COUNTIFS($AX$2:$AX$200,$G108)&gt;0,
    COUNTIFS($AY$2:$AY$200,$G108)&gt;0,
    COUNTIFS($AZ$2:$AZ$200,$G108)&gt;0,
    COUNTIFS($BA$2:$BA$200,$G108)&gt;0,
    COUNTIFS($BB$2:$BB$200,$G108)&gt;0,
    COUNTIFS($BC$2:$BC$200,$G108)&gt;0,
    COUNTIFS($BD$2:$BD$200,$G108)&gt;0,
    COUNTIFS($BE$2:$BE$200,$G108)&gt;0,
    COUNTIFS($BF$2:$BF$200,$G108)&gt;0,
    COUNTIFS($BG$2:$BG$200,$G108)&gt;0,
    COUNTIFS($BH$2:$BH$200,$G108)&gt;0,
    COUNTIFS($BI$2:$BI$200,$G108)&gt;0,
    COUNTIFS($BJ$2:$BJ$200,$G108)&gt;0,
    COUNTIFS($BK$2:$BK$200,$G108)&gt;0,
    COUNTIFS($BL$2:$BL$200,$G108)&gt;0,
    COUNTIFS($BM$2:$BM$200,$G108)&gt;0,
   ),
  0)
 ),
"")</f>
        <v>Fractius</v>
      </c>
      <c r="D108" s="2" t="str" cm="1">
        <f t="array" aca="1" ref="D108" ca="1">IFERROR(
 INDEX(
  _xlfn._xlws.FILTER($V$1:$AY$1,
   TRANSPOSE(
    CHOOSE({1;2;3;4;5;6;7;8;9;10;11;12;13;14;15;16;17;18;19;20;21;22;23;24;25;26;27;28;29;30},
     COUNTIFS($V$2:$V$200,$G108)&gt;0,
     COUNTIFS($W$2:$W$200,$G108)&gt;0,
     COUNTIFS($X$2:$X$200,$G108)&gt;0,
     COUNTIFS($Y$2:$Y$200,$G108)&gt;0,
     COUNTIFS($Z$2:$Z$200,$G108)&gt;0,
     COUNTIFS($AA$2:$AA$200,$G108)&gt;0,
     COUNTIFS($AB$2:$AB$200,$G108)&gt;0,
     COUNTIFS($AC$2:$AC$200,$G108)&gt;0,
     COUNTIFS($AD$2:$AD$200,$G108)&gt;0,
     COUNTIFS($AE$2:$AE$200,$G108)&gt;0,
     COUNTIFS($AF$2:$AF$200,$G108)&gt;0,
     COUNTIFS($AG$2:$AG$200,$G108)&gt;0,
     COUNTIFS($AH$2:$AH$200,$G108)&gt;0,
     COUNTIFS($AI$2:$AI$200,$G108)&gt;0,
     COUNTIFS($AJ$2:$AJ$200,$G108)&gt;0,
     COUNTIFS($AK$2:$AK$200,$G108)&gt;0,
     COUNTIFS($AL$2:$AL$200,$G108)&gt;0,
     COUNTIFS($AM$2:$AM$200,$G108)&gt;0,
     COUNTIFS($AN$2:$AN$200,$G108)&gt;0,
     COUNTIFS($AO$2:$AO$200,$G108)&gt;0,
     COUNTIFS($AP$2:$AP$200,$G108)&gt;0,
     COUNTIFS($AQ$2:$AQ$200,$G108)&gt;0,
     COUNTIFS($AR$2:$AR$200,$G108)&gt;0,
     COUNTIFS($AS$2:$AS$200,$G108)&gt;0,
     COUNTIFS($AT$2:$AT$200,$G108)&gt;0,
     COUNTIFS($AU$2:$AU$200,$G108)&gt;0,
     COUNTIFS($AV$2:$AV$200,$G108)&gt;0,
     COUNTIFS($AW$2:$AW$200,$G108)&gt;0,
     COUNTIFS($AX$2:$AX$200,$G108)&gt;0,
     COUNTIFS($AY$2:$AY$200,$G108)&gt;0
   )),
  ),
  2
 ),
"")</f>
        <v/>
      </c>
      <c r="E108" s="2" t="str" cm="1">
        <f t="array" aca="1" ref="E108" ca="1">IFERROR(
 INDEX(
  _xlfn._xlws.FILTER($V$1:$AY$1,
   TRANSPOSE(
    CHOOSE({1;2;3;4;5;6;7;8;9;10;11;12;13;14;15;16;17;18;19;20;21;22;23;24;25;26;27;28;29;30},
     COUNTIFS($V$2:$V$200,$G108)&gt;0,
     COUNTIFS($W$2:$W$200,$G108)&gt;0,
     COUNTIFS($X$2:$X$200,$G108)&gt;0,
     COUNTIFS($Y$2:$Y$200,$G108)&gt;0,
     COUNTIFS($Z$2:$Z$200,$G108)&gt;0,
     COUNTIFS($AA$2:$AA$200,$G108)&gt;0,
     COUNTIFS($AB$2:$AB$200,$G108)&gt;0,
     COUNTIFS($AC$2:$AC$200,$G108)&gt;0,
     COUNTIFS($AD$2:$AD$200,$G108)&gt;0,
     COUNTIFS($AE$2:$AE$200,$G108)&gt;0,
     COUNTIFS($AF$2:$AF$200,$G108)&gt;0,
     COUNTIFS($AG$2:$AG$200,$G108)&gt;0,
     COUNTIFS($AH$2:$AH$200,$G108)&gt;0,
     COUNTIFS($AI$2:$AI$200,$G108)&gt;0,
     COUNTIFS($AJ$2:$AJ$200,$G108)&gt;0,
     COUNTIFS($AK$2:$AK$200,$G108)&gt;0,
     COUNTIFS($AL$2:$AL$200,$G108)&gt;0,
     COUNTIFS($AM$2:$AM$200,$G108)&gt;0,
     COUNTIFS($AN$2:$AN$200,$G108)&gt;0,
     COUNTIFS($AO$2:$AO$200,$G108)&gt;0,
     COUNTIFS($AP$2:$AP$200,$G108)&gt;0,
     COUNTIFS($AQ$2:$AQ$200,$G108)&gt;0,
     COUNTIFS($AR$2:$AR$200,$G108)&gt;0,
     COUNTIFS($AS$2:$AS$200,$G108)&gt;0,
     COUNTIFS($AT$2:$AT$200,$G108)&gt;0,
     COUNTIFS($AU$2:$AU$200,$G108)&gt;0,
     COUNTIFS($AV$2:$AV$200,$G108)&gt;0,
     COUNTIFS($AW$2:$AW$200,$G108)&gt;0,
     COUNTIFS($AX$2:$AX$200,$G108)&gt;0,
     COUNTIFS($AY$2:$AY$200,$G108)&gt;0
   )),
  ),
  3
 ),
"")</f>
        <v/>
      </c>
      <c r="F108" s="2" t="str" cm="1">
        <f t="array" aca="1" ref="F108" ca="1">IFERROR(
 INDEX(
  _xlfn._xlws.FILTER($V$1:$AY$1,
   TRANSPOSE(
    CHOOSE({1;2;3;4;5;6;7;8;9;10;11;12;13;14;15;16;17;18;19;20;21;22;23;24;25;26;27;28;29;30},
     COUNTIFS($V$2:$V$200,$G108)&gt;0,
     COUNTIFS($W$2:$W$200,$G108)&gt;0,
     COUNTIFS($X$2:$X$200,$G108)&gt;0,
     COUNTIFS($Y$2:$Y$200,$G108)&gt;0,
     COUNTIFS($Z$2:$Z$200,$G108)&gt;0,
     COUNTIFS($AA$2:$AA$200,$G108)&gt;0,
     COUNTIFS($AB$2:$AB$200,$G108)&gt;0,
     COUNTIFS($AC$2:$AC$200,$G108)&gt;0,
     COUNTIFS($AD$2:$AD$200,$G108)&gt;0,
     COUNTIFS($AE$2:$AE$200,$G108)&gt;0,
     COUNTIFS($AF$2:$AF$200,$G108)&gt;0,
     COUNTIFS($AG$2:$AG$200,$G108)&gt;0,
     COUNTIFS($AH$2:$AH$200,$G108)&gt;0,
     COUNTIFS($AI$2:$AI$200,$G108)&gt;0,
     COUNTIFS($AJ$2:$AJ$200,$G108)&gt;0,
     COUNTIFS($AK$2:$AK$200,$G108)&gt;0,
     COUNTIFS($AL$2:$AL$200,$G108)&gt;0,
     COUNTIFS($AM$2:$AM$200,$G108)&gt;0,
     COUNTIFS($AN$2:$AN$200,$G108)&gt;0,
     COUNTIFS($AO$2:$AO$200,$G108)&gt;0,
     COUNTIFS($AP$2:$AP$200,$G108)&gt;0,
     COUNTIFS($AQ$2:$AQ$200,$G108)&gt;0,
     COUNTIFS($AR$2:$AR$200,$G108)&gt;0,
     COUNTIFS($AS$2:$AS$200,$G108)&gt;0,
     COUNTIFS($AT$2:$AT$200,$G108)&gt;0,
     COUNTIFS($AU$2:$AU$200,$G108)&gt;0,
     COUNTIFS($AV$2:$AV$200,$G108)&gt;0,
     COUNTIFS($AW$2:$AW$200,$G108)&gt;0,
     COUNTIFS($AX$2:$AX$200,$G108)&gt;0,
     COUNTIFS($AY$2:$AY$200,$G108)&gt;0
   )),
  ),
  4
 ),
"")</f>
        <v/>
      </c>
      <c r="G108" t="str">
        <f ca="1"/>
        <v>Crystalline Sliver</v>
      </c>
      <c r="DZ108" t="str">
        <f ca="1"/>
        <v>Rewind</v>
      </c>
      <c r="EG108" t="str">
        <f ca="1"/>
        <v>Waterbender's Restoration</v>
      </c>
      <c r="EI108" t="str">
        <f ca="1"/>
        <v>Sonic Screwdriver</v>
      </c>
      <c r="EL108" t="str">
        <f ca="1"/>
        <v>Rewind</v>
      </c>
      <c r="EP108" t="str">
        <f ca="1"/>
        <v>Obsessive Pursuit</v>
      </c>
      <c r="EQ108" t="str">
        <f ca="1"/>
        <v>Obsidian Obelisk</v>
      </c>
      <c r="ER108" t="str">
        <f ca="1"/>
        <v>Loyal Apprentice</v>
      </c>
      <c r="EU108" t="str">
        <f ca="1"/>
        <v>Forest</v>
      </c>
      <c r="EV108" t="str">
        <f ca="1"/>
        <v>Loyal Apprentice</v>
      </c>
      <c r="EX108" t="str">
        <f ca="1"/>
        <v>Crystalline Sliver</v>
      </c>
    </row>
    <row r="109" spans="1:154" x14ac:dyDescent="0.25">
      <c r="A109" s="2" t="str">
        <f t="shared" ca="1" si="8"/>
        <v>5</v>
      </c>
      <c r="B109" s="2">
        <f t="shared" ca="1" si="9"/>
        <v>1</v>
      </c>
      <c r="C109" s="2" t="str">
        <f ca="1">IFERROR(
 INDEX($V$1:$BL$1,
  MATCH(TRUE,
   CHOOSE({1;2;3;4;5;6;7;8;9;10;11;12;13;14;15;16;17;18;19;20;21;22;23;24;25;26;27;28;29;30;31;32;33;34;35;36;37;38;39;40;41;42;43},
    COUNTIFS($V$2:$V$200,$G109)&gt;0,
    COUNTIFS($W$2:$W$200,$G109)&gt;0,
    COUNTIFS($X$2:$X$200,$G109)&gt;0,
    COUNTIFS($Y$2:$Y$200,$G109)&gt;0,
    COUNTIFS($Z$2:$Z$200,$G109)&gt;0,
    COUNTIFS($AA$2:$AA$200,$G109)&gt;0,
    COUNTIFS($AB$2:$AB$200,$G109)&gt;0,
    COUNTIFS($AC$2:$AC$200,$G109)&gt;0,
    COUNTIFS($AD$2:$AD$200,$G109)&gt;0,
    COUNTIFS($AE$2:$AE$200,$G109)&gt;0,
    COUNTIFS($AF$2:$AF$200,$G109)&gt;0,
    COUNTIFS($AG$2:$AG$200,$G109)&gt;0,
    COUNTIFS($AH$2:$AH$200,$G109)&gt;0,
    COUNTIFS($AI$2:$AI$200,$G109)&gt;0,
    COUNTIFS($AJ$2:$AJ$200,$G109)&gt;0,
    COUNTIFS($AK$2:$AK$200,$G109)&gt;0,
    COUNTIFS($AL$2:$AL$200,$G109)&gt;0,
    COUNTIFS($AM$2:$AM$200,$G109)&gt;0,
    COUNTIFS($AN$2:$AN$200,$G109)&gt;0,
    COUNTIFS($AO$2:$AO$200,$G109)&gt;0,
    COUNTIFS($AP$2:$AP$200,$G109)&gt;0,
    COUNTIFS($AQ$2:$AQ$200,$G109)&gt;0,
    COUNTIFS($AR$2:$AR$200,$G109)&gt;0,
    COUNTIFS($AS$2:$AS$200,$G109)&gt;0,
    COUNTIFS($AT$2:$AT$200,$G109)&gt;0,
    COUNTIFS($AU$2:$AU$200,$G109)&gt;0,
    COUNTIFS($AV$2:$AV$200,$G109)&gt;0,
    COUNTIFS($AW$2:$AW$200,$G109)&gt;0,
    COUNTIFS($AX$2:$AX$200,$G109)&gt;0,
    COUNTIFS($AY$2:$AY$200,$G109)&gt;0,
    COUNTIFS($AZ$2:$AZ$200,$G109)&gt;0,
    COUNTIFS($BA$2:$BA$200,$G109)&gt;0,
    COUNTIFS($BB$2:$BB$200,$G109)&gt;0,
    COUNTIFS($BC$2:$BC$200,$G109)&gt;0,
    COUNTIFS($BD$2:$BD$200,$G109)&gt;0,
    COUNTIFS($BE$2:$BE$200,$G109)&gt;0,
    COUNTIFS($BF$2:$BF$200,$G109)&gt;0,
    COUNTIFS($BG$2:$BG$200,$G109)&gt;0,
    COUNTIFS($BH$2:$BH$200,$G109)&gt;0,
    COUNTIFS($BI$2:$BI$200,$G109)&gt;0,
    COUNTIFS($BJ$2:$BJ$200,$G109)&gt;0,
    COUNTIFS($BK$2:$BK$200,$G109)&gt;0,
    COUNTIFS($BL$2:$BL$200,$G109)&gt;0,
    COUNTIFS($BM$2:$BM$200,$G109)&gt;0,
   ),
  0)
 ),
"")</f>
        <v>4cRash</v>
      </c>
      <c r="D109" s="2" t="str" cm="1">
        <f t="array" aca="1" ref="D109" ca="1">IFERROR(
 INDEX(
  _xlfn._xlws.FILTER($V$1:$AY$1,
   TRANSPOSE(
    CHOOSE({1;2;3;4;5;6;7;8;9;10;11;12;13;14;15;16;17;18;19;20;21;22;23;24;25;26;27;28;29;30},
     COUNTIFS($V$2:$V$200,$G109)&gt;0,
     COUNTIFS($W$2:$W$200,$G109)&gt;0,
     COUNTIFS($X$2:$X$200,$G109)&gt;0,
     COUNTIFS($Y$2:$Y$200,$G109)&gt;0,
     COUNTIFS($Z$2:$Z$200,$G109)&gt;0,
     COUNTIFS($AA$2:$AA$200,$G109)&gt;0,
     COUNTIFS($AB$2:$AB$200,$G109)&gt;0,
     COUNTIFS($AC$2:$AC$200,$G109)&gt;0,
     COUNTIFS($AD$2:$AD$200,$G109)&gt;0,
     COUNTIFS($AE$2:$AE$200,$G109)&gt;0,
     COUNTIFS($AF$2:$AF$200,$G109)&gt;0,
     COUNTIFS($AG$2:$AG$200,$G109)&gt;0,
     COUNTIFS($AH$2:$AH$200,$G109)&gt;0,
     COUNTIFS($AI$2:$AI$200,$G109)&gt;0,
     COUNTIFS($AJ$2:$AJ$200,$G109)&gt;0,
     COUNTIFS($AK$2:$AK$200,$G109)&gt;0,
     COUNTIFS($AL$2:$AL$200,$G109)&gt;0,
     COUNTIFS($AM$2:$AM$200,$G109)&gt;0,
     COUNTIFS($AN$2:$AN$200,$G109)&gt;0,
     COUNTIFS($AO$2:$AO$200,$G109)&gt;0,
     COUNTIFS($AP$2:$AP$200,$G109)&gt;0,
     COUNTIFS($AQ$2:$AQ$200,$G109)&gt;0,
     COUNTIFS($AR$2:$AR$200,$G109)&gt;0,
     COUNTIFS($AS$2:$AS$200,$G109)&gt;0,
     COUNTIFS($AT$2:$AT$200,$G109)&gt;0,
     COUNTIFS($AU$2:$AU$200,$G109)&gt;0,
     COUNTIFS($AV$2:$AV$200,$G109)&gt;0,
     COUNTIFS($AW$2:$AW$200,$G109)&gt;0,
     COUNTIFS($AX$2:$AX$200,$G109)&gt;0,
     COUNTIFS($AY$2:$AY$200,$G109)&gt;0
   )),
  ),
  2
 ),
"")</f>
        <v/>
      </c>
      <c r="E109" s="2" t="str" cm="1">
        <f t="array" aca="1" ref="E109" ca="1">IFERROR(
 INDEX(
  _xlfn._xlws.FILTER($V$1:$AY$1,
   TRANSPOSE(
    CHOOSE({1;2;3;4;5;6;7;8;9;10;11;12;13;14;15;16;17;18;19;20;21;22;23;24;25;26;27;28;29;30},
     COUNTIFS($V$2:$V$200,$G109)&gt;0,
     COUNTIFS($W$2:$W$200,$G109)&gt;0,
     COUNTIFS($X$2:$X$200,$G109)&gt;0,
     COUNTIFS($Y$2:$Y$200,$G109)&gt;0,
     COUNTIFS($Z$2:$Z$200,$G109)&gt;0,
     COUNTIFS($AA$2:$AA$200,$G109)&gt;0,
     COUNTIFS($AB$2:$AB$200,$G109)&gt;0,
     COUNTIFS($AC$2:$AC$200,$G109)&gt;0,
     COUNTIFS($AD$2:$AD$200,$G109)&gt;0,
     COUNTIFS($AE$2:$AE$200,$G109)&gt;0,
     COUNTIFS($AF$2:$AF$200,$G109)&gt;0,
     COUNTIFS($AG$2:$AG$200,$G109)&gt;0,
     COUNTIFS($AH$2:$AH$200,$G109)&gt;0,
     COUNTIFS($AI$2:$AI$200,$G109)&gt;0,
     COUNTIFS($AJ$2:$AJ$200,$G109)&gt;0,
     COUNTIFS($AK$2:$AK$200,$G109)&gt;0,
     COUNTIFS($AL$2:$AL$200,$G109)&gt;0,
     COUNTIFS($AM$2:$AM$200,$G109)&gt;0,
     COUNTIFS($AN$2:$AN$200,$G109)&gt;0,
     COUNTIFS($AO$2:$AO$200,$G109)&gt;0,
     COUNTIFS($AP$2:$AP$200,$G109)&gt;0,
     COUNTIFS($AQ$2:$AQ$200,$G109)&gt;0,
     COUNTIFS($AR$2:$AR$200,$G109)&gt;0,
     COUNTIFS($AS$2:$AS$200,$G109)&gt;0,
     COUNTIFS($AT$2:$AT$200,$G109)&gt;0,
     COUNTIFS($AU$2:$AU$200,$G109)&gt;0,
     COUNTIFS($AV$2:$AV$200,$G109)&gt;0,
     COUNTIFS($AW$2:$AW$200,$G109)&gt;0,
     COUNTIFS($AX$2:$AX$200,$G109)&gt;0,
     COUNTIFS($AY$2:$AY$200,$G109)&gt;0
   )),
  ),
  3
 ),
"")</f>
        <v/>
      </c>
      <c r="F109" s="2" t="str" cm="1">
        <f t="array" aca="1" ref="F109" ca="1">IFERROR(
 INDEX(
  _xlfn._xlws.FILTER($V$1:$AY$1,
   TRANSPOSE(
    CHOOSE({1;2;3;4;5;6;7;8;9;10;11;12;13;14;15;16;17;18;19;20;21;22;23;24;25;26;27;28;29;30},
     COUNTIFS($V$2:$V$200,$G109)&gt;0,
     COUNTIFS($W$2:$W$200,$G109)&gt;0,
     COUNTIFS($X$2:$X$200,$G109)&gt;0,
     COUNTIFS($Y$2:$Y$200,$G109)&gt;0,
     COUNTIFS($Z$2:$Z$200,$G109)&gt;0,
     COUNTIFS($AA$2:$AA$200,$G109)&gt;0,
     COUNTIFS($AB$2:$AB$200,$G109)&gt;0,
     COUNTIFS($AC$2:$AC$200,$G109)&gt;0,
     COUNTIFS($AD$2:$AD$200,$G109)&gt;0,
     COUNTIFS($AE$2:$AE$200,$G109)&gt;0,
     COUNTIFS($AF$2:$AF$200,$G109)&gt;0,
     COUNTIFS($AG$2:$AG$200,$G109)&gt;0,
     COUNTIFS($AH$2:$AH$200,$G109)&gt;0,
     COUNTIFS($AI$2:$AI$200,$G109)&gt;0,
     COUNTIFS($AJ$2:$AJ$200,$G109)&gt;0,
     COUNTIFS($AK$2:$AK$200,$G109)&gt;0,
     COUNTIFS($AL$2:$AL$200,$G109)&gt;0,
     COUNTIFS($AM$2:$AM$200,$G109)&gt;0,
     COUNTIFS($AN$2:$AN$200,$G109)&gt;0,
     COUNTIFS($AO$2:$AO$200,$G109)&gt;0,
     COUNTIFS($AP$2:$AP$200,$G109)&gt;0,
     COUNTIFS($AQ$2:$AQ$200,$G109)&gt;0,
     COUNTIFS($AR$2:$AR$200,$G109)&gt;0,
     COUNTIFS($AS$2:$AS$200,$G109)&gt;0,
     COUNTIFS($AT$2:$AT$200,$G109)&gt;0,
     COUNTIFS($AU$2:$AU$200,$G109)&gt;0,
     COUNTIFS($AV$2:$AV$200,$G109)&gt;0,
     COUNTIFS($AW$2:$AW$200,$G109)&gt;0,
     COUNTIFS($AX$2:$AX$200,$G109)&gt;0,
     COUNTIFS($AY$2:$AY$200,$G109)&gt;0
   )),
  ),
  4
 ),
"")</f>
        <v/>
      </c>
      <c r="G109" t="str">
        <f ca="1"/>
        <v>Culling Ritual</v>
      </c>
      <c r="DZ109" t="str">
        <f ca="1"/>
        <v>Roiling Regrowth</v>
      </c>
      <c r="EG109" t="str">
        <f ca="1"/>
        <v>Woodland Cemetery</v>
      </c>
      <c r="EI109" t="str">
        <f ca="1"/>
        <v>Soul Immolation</v>
      </c>
      <c r="EL109" t="str">
        <f ca="1"/>
        <v>Roiling Regrowth</v>
      </c>
      <c r="EP109" t="str">
        <f ca="1"/>
        <v>Oko, Thief of Crowns</v>
      </c>
      <c r="EQ109" t="str">
        <f ca="1"/>
        <v>Ondu Inversion</v>
      </c>
      <c r="ER109" t="str">
        <f ca="1"/>
        <v>Lurrus of the Dream-Den</v>
      </c>
      <c r="EU109" t="str">
        <f ca="1"/>
        <v>Forsaken Miner</v>
      </c>
      <c r="EV109" t="str">
        <f ca="1"/>
        <v>Lurrus of the Dream-Den</v>
      </c>
      <c r="EX109" t="str">
        <f ca="1"/>
        <v>Culling Ritual</v>
      </c>
    </row>
    <row r="110" spans="1:154" x14ac:dyDescent="0.25">
      <c r="A110" s="2" t="str">
        <f t="shared" ca="1" si="8"/>
        <v>5</v>
      </c>
      <c r="B110" s="2">
        <f t="shared" ca="1" si="9"/>
        <v>1</v>
      </c>
      <c r="C110" s="2" t="str">
        <f ca="1">IFERROR(
 INDEX($V$1:$BL$1,
  MATCH(TRUE,
   CHOOSE({1;2;3;4;5;6;7;8;9;10;11;12;13;14;15;16;17;18;19;20;21;22;23;24;25;26;27;28;29;30;31;32;33;34;35;36;37;38;39;40;41;42;43},
    COUNTIFS($V$2:$V$200,$G110)&gt;0,
    COUNTIFS($W$2:$W$200,$G110)&gt;0,
    COUNTIFS($X$2:$X$200,$G110)&gt;0,
    COUNTIFS($Y$2:$Y$200,$G110)&gt;0,
    COUNTIFS($Z$2:$Z$200,$G110)&gt;0,
    COUNTIFS($AA$2:$AA$200,$G110)&gt;0,
    COUNTIFS($AB$2:$AB$200,$G110)&gt;0,
    COUNTIFS($AC$2:$AC$200,$G110)&gt;0,
    COUNTIFS($AD$2:$AD$200,$G110)&gt;0,
    COUNTIFS($AE$2:$AE$200,$G110)&gt;0,
    COUNTIFS($AF$2:$AF$200,$G110)&gt;0,
    COUNTIFS($AG$2:$AG$200,$G110)&gt;0,
    COUNTIFS($AH$2:$AH$200,$G110)&gt;0,
    COUNTIFS($AI$2:$AI$200,$G110)&gt;0,
    COUNTIFS($AJ$2:$AJ$200,$G110)&gt;0,
    COUNTIFS($AK$2:$AK$200,$G110)&gt;0,
    COUNTIFS($AL$2:$AL$200,$G110)&gt;0,
    COUNTIFS($AM$2:$AM$200,$G110)&gt;0,
    COUNTIFS($AN$2:$AN$200,$G110)&gt;0,
    COUNTIFS($AO$2:$AO$200,$G110)&gt;0,
    COUNTIFS($AP$2:$AP$200,$G110)&gt;0,
    COUNTIFS($AQ$2:$AQ$200,$G110)&gt;0,
    COUNTIFS($AR$2:$AR$200,$G110)&gt;0,
    COUNTIFS($AS$2:$AS$200,$G110)&gt;0,
    COUNTIFS($AT$2:$AT$200,$G110)&gt;0,
    COUNTIFS($AU$2:$AU$200,$G110)&gt;0,
    COUNTIFS($AV$2:$AV$200,$G110)&gt;0,
    COUNTIFS($AW$2:$AW$200,$G110)&gt;0,
    COUNTIFS($AX$2:$AX$200,$G110)&gt;0,
    COUNTIFS($AY$2:$AY$200,$G110)&gt;0,
    COUNTIFS($AZ$2:$AZ$200,$G110)&gt;0,
    COUNTIFS($BA$2:$BA$200,$G110)&gt;0,
    COUNTIFS($BB$2:$BB$200,$G110)&gt;0,
    COUNTIFS($BC$2:$BC$200,$G110)&gt;0,
    COUNTIFS($BD$2:$BD$200,$G110)&gt;0,
    COUNTIFS($BE$2:$BE$200,$G110)&gt;0,
    COUNTIFS($BF$2:$BF$200,$G110)&gt;0,
    COUNTIFS($BG$2:$BG$200,$G110)&gt;0,
    COUNTIFS($BH$2:$BH$200,$G110)&gt;0,
    COUNTIFS($BI$2:$BI$200,$G110)&gt;0,
    COUNTIFS($BJ$2:$BJ$200,$G110)&gt;0,
    COUNTIFS($BK$2:$BK$200,$G110)&gt;0,
    COUNTIFS($BL$2:$BL$200,$G110)&gt;0,
    COUNTIFS($BM$2:$BM$200,$G110)&gt;0,
   ),
  0)
 ),
"")</f>
        <v>Zuko</v>
      </c>
      <c r="D110" s="2" t="str" cm="1">
        <f t="array" aca="1" ref="D110" ca="1">IFERROR(
 INDEX(
  _xlfn._xlws.FILTER($V$1:$AY$1,
   TRANSPOSE(
    CHOOSE({1;2;3;4;5;6;7;8;9;10;11;12;13;14;15;16;17;18;19;20;21;22;23;24;25;26;27;28;29;30},
     COUNTIFS($V$2:$V$200,$G110)&gt;0,
     COUNTIFS($W$2:$W$200,$G110)&gt;0,
     COUNTIFS($X$2:$X$200,$G110)&gt;0,
     COUNTIFS($Y$2:$Y$200,$G110)&gt;0,
     COUNTIFS($Z$2:$Z$200,$G110)&gt;0,
     COUNTIFS($AA$2:$AA$200,$G110)&gt;0,
     COUNTIFS($AB$2:$AB$200,$G110)&gt;0,
     COUNTIFS($AC$2:$AC$200,$G110)&gt;0,
     COUNTIFS($AD$2:$AD$200,$G110)&gt;0,
     COUNTIFS($AE$2:$AE$200,$G110)&gt;0,
     COUNTIFS($AF$2:$AF$200,$G110)&gt;0,
     COUNTIFS($AG$2:$AG$200,$G110)&gt;0,
     COUNTIFS($AH$2:$AH$200,$G110)&gt;0,
     COUNTIFS($AI$2:$AI$200,$G110)&gt;0,
     COUNTIFS($AJ$2:$AJ$200,$G110)&gt;0,
     COUNTIFS($AK$2:$AK$200,$G110)&gt;0,
     COUNTIFS($AL$2:$AL$200,$G110)&gt;0,
     COUNTIFS($AM$2:$AM$200,$G110)&gt;0,
     COUNTIFS($AN$2:$AN$200,$G110)&gt;0,
     COUNTIFS($AO$2:$AO$200,$G110)&gt;0,
     COUNTIFS($AP$2:$AP$200,$G110)&gt;0,
     COUNTIFS($AQ$2:$AQ$200,$G110)&gt;0,
     COUNTIFS($AR$2:$AR$200,$G110)&gt;0,
     COUNTIFS($AS$2:$AS$200,$G110)&gt;0,
     COUNTIFS($AT$2:$AT$200,$G110)&gt;0,
     COUNTIFS($AU$2:$AU$200,$G110)&gt;0,
     COUNTIFS($AV$2:$AV$200,$G110)&gt;0,
     COUNTIFS($AW$2:$AW$200,$G110)&gt;0,
     COUNTIFS($AX$2:$AX$200,$G110)&gt;0,
     COUNTIFS($AY$2:$AY$200,$G110)&gt;0
   )),
  ),
  2
 ),
"")</f>
        <v/>
      </c>
      <c r="E110" s="2" t="str" cm="1">
        <f t="array" aca="1" ref="E110" ca="1">IFERROR(
 INDEX(
  _xlfn._xlws.FILTER($V$1:$AY$1,
   TRANSPOSE(
    CHOOSE({1;2;3;4;5;6;7;8;9;10;11;12;13;14;15;16;17;18;19;20;21;22;23;24;25;26;27;28;29;30},
     COUNTIFS($V$2:$V$200,$G110)&gt;0,
     COUNTIFS($W$2:$W$200,$G110)&gt;0,
     COUNTIFS($X$2:$X$200,$G110)&gt;0,
     COUNTIFS($Y$2:$Y$200,$G110)&gt;0,
     COUNTIFS($Z$2:$Z$200,$G110)&gt;0,
     COUNTIFS($AA$2:$AA$200,$G110)&gt;0,
     COUNTIFS($AB$2:$AB$200,$G110)&gt;0,
     COUNTIFS($AC$2:$AC$200,$G110)&gt;0,
     COUNTIFS($AD$2:$AD$200,$G110)&gt;0,
     COUNTIFS($AE$2:$AE$200,$G110)&gt;0,
     COUNTIFS($AF$2:$AF$200,$G110)&gt;0,
     COUNTIFS($AG$2:$AG$200,$G110)&gt;0,
     COUNTIFS($AH$2:$AH$200,$G110)&gt;0,
     COUNTIFS($AI$2:$AI$200,$G110)&gt;0,
     COUNTIFS($AJ$2:$AJ$200,$G110)&gt;0,
     COUNTIFS($AK$2:$AK$200,$G110)&gt;0,
     COUNTIFS($AL$2:$AL$200,$G110)&gt;0,
     COUNTIFS($AM$2:$AM$200,$G110)&gt;0,
     COUNTIFS($AN$2:$AN$200,$G110)&gt;0,
     COUNTIFS($AO$2:$AO$200,$G110)&gt;0,
     COUNTIFS($AP$2:$AP$200,$G110)&gt;0,
     COUNTIFS($AQ$2:$AQ$200,$G110)&gt;0,
     COUNTIFS($AR$2:$AR$200,$G110)&gt;0,
     COUNTIFS($AS$2:$AS$200,$G110)&gt;0,
     COUNTIFS($AT$2:$AT$200,$G110)&gt;0,
     COUNTIFS($AU$2:$AU$200,$G110)&gt;0,
     COUNTIFS($AV$2:$AV$200,$G110)&gt;0,
     COUNTIFS($AW$2:$AW$200,$G110)&gt;0,
     COUNTIFS($AX$2:$AX$200,$G110)&gt;0,
     COUNTIFS($AY$2:$AY$200,$G110)&gt;0
   )),
  ),
  3
 ),
"")</f>
        <v/>
      </c>
      <c r="F110" s="2" t="str" cm="1">
        <f t="array" aca="1" ref="F110" ca="1">IFERROR(
 INDEX(
  _xlfn._xlws.FILTER($V$1:$AY$1,
   TRANSPOSE(
    CHOOSE({1;2;3;4;5;6;7;8;9;10;11;12;13;14;15;16;17;18;19;20;21;22;23;24;25;26;27;28;29;30},
     COUNTIFS($V$2:$V$200,$G110)&gt;0,
     COUNTIFS($W$2:$W$200,$G110)&gt;0,
     COUNTIFS($X$2:$X$200,$G110)&gt;0,
     COUNTIFS($Y$2:$Y$200,$G110)&gt;0,
     COUNTIFS($Z$2:$Z$200,$G110)&gt;0,
     COUNTIFS($AA$2:$AA$200,$G110)&gt;0,
     COUNTIFS($AB$2:$AB$200,$G110)&gt;0,
     COUNTIFS($AC$2:$AC$200,$G110)&gt;0,
     COUNTIFS($AD$2:$AD$200,$G110)&gt;0,
     COUNTIFS($AE$2:$AE$200,$G110)&gt;0,
     COUNTIFS($AF$2:$AF$200,$G110)&gt;0,
     COUNTIFS($AG$2:$AG$200,$G110)&gt;0,
     COUNTIFS($AH$2:$AH$200,$G110)&gt;0,
     COUNTIFS($AI$2:$AI$200,$G110)&gt;0,
     COUNTIFS($AJ$2:$AJ$200,$G110)&gt;0,
     COUNTIFS($AK$2:$AK$200,$G110)&gt;0,
     COUNTIFS($AL$2:$AL$200,$G110)&gt;0,
     COUNTIFS($AM$2:$AM$200,$G110)&gt;0,
     COUNTIFS($AN$2:$AN$200,$G110)&gt;0,
     COUNTIFS($AO$2:$AO$200,$G110)&gt;0,
     COUNTIFS($AP$2:$AP$200,$G110)&gt;0,
     COUNTIFS($AQ$2:$AQ$200,$G110)&gt;0,
     COUNTIFS($AR$2:$AR$200,$G110)&gt;0,
     COUNTIFS($AS$2:$AS$200,$G110)&gt;0,
     COUNTIFS($AT$2:$AT$200,$G110)&gt;0,
     COUNTIFS($AU$2:$AU$200,$G110)&gt;0,
     COUNTIFS($AV$2:$AV$200,$G110)&gt;0,
     COUNTIFS($AW$2:$AW$200,$G110)&gt;0,
     COUNTIFS($AX$2:$AX$200,$G110)&gt;0,
     COUNTIFS($AY$2:$AY$200,$G110)&gt;0
   )),
  ),
  4
 ),
"")</f>
        <v/>
      </c>
      <c r="G110" t="str">
        <f ca="1"/>
        <v>Cunning Rhetoric</v>
      </c>
      <c r="DZ110" t="str">
        <f ca="1"/>
        <v>Searslicer Goblin</v>
      </c>
      <c r="EG110" t="str">
        <f ca="1"/>
        <v>World at War</v>
      </c>
      <c r="EI110" t="str">
        <f ca="1"/>
        <v>Spara's Headquarters</v>
      </c>
      <c r="EL110" t="str">
        <f ca="1"/>
        <v>Searslicer Goblin</v>
      </c>
      <c r="EP110" t="str">
        <f ca="1"/>
        <v>Path to Exile</v>
      </c>
      <c r="EQ110" t="str">
        <f ca="1"/>
        <v>Opaline Sliver</v>
      </c>
      <c r="ER110" t="str">
        <f ca="1"/>
        <v>Mahadi, Emporium Master</v>
      </c>
      <c r="EU110" t="str">
        <f ca="1"/>
        <v>Freyalise, Llanowar's Fury</v>
      </c>
      <c r="EV110" t="str">
        <f ca="1"/>
        <v>Mahadi, Emporium Master</v>
      </c>
      <c r="EX110" t="str">
        <f ca="1"/>
        <v>Cunning Rhetoric</v>
      </c>
    </row>
    <row r="111" spans="1:154" x14ac:dyDescent="0.25">
      <c r="A111" s="2" t="str">
        <f t="shared" ca="1" si="8"/>
        <v>5</v>
      </c>
      <c r="B111" s="2">
        <f t="shared" ca="1" si="9"/>
        <v>1</v>
      </c>
      <c r="C111" s="2" t="str">
        <f ca="1">IFERROR(
 INDEX($V$1:$BL$1,
  MATCH(TRUE,
   CHOOSE({1;2;3;4;5;6;7;8;9;10;11;12;13;14;15;16;17;18;19;20;21;22;23;24;25;26;27;28;29;30;31;32;33;34;35;36;37;38;39;40;41;42;43},
    COUNTIFS($V$2:$V$200,$G111)&gt;0,
    COUNTIFS($W$2:$W$200,$G111)&gt;0,
    COUNTIFS($X$2:$X$200,$G111)&gt;0,
    COUNTIFS($Y$2:$Y$200,$G111)&gt;0,
    COUNTIFS($Z$2:$Z$200,$G111)&gt;0,
    COUNTIFS($AA$2:$AA$200,$G111)&gt;0,
    COUNTIFS($AB$2:$AB$200,$G111)&gt;0,
    COUNTIFS($AC$2:$AC$200,$G111)&gt;0,
    COUNTIFS($AD$2:$AD$200,$G111)&gt;0,
    COUNTIFS($AE$2:$AE$200,$G111)&gt;0,
    COUNTIFS($AF$2:$AF$200,$G111)&gt;0,
    COUNTIFS($AG$2:$AG$200,$G111)&gt;0,
    COUNTIFS($AH$2:$AH$200,$G111)&gt;0,
    COUNTIFS($AI$2:$AI$200,$G111)&gt;0,
    COUNTIFS($AJ$2:$AJ$200,$G111)&gt;0,
    COUNTIFS($AK$2:$AK$200,$G111)&gt;0,
    COUNTIFS($AL$2:$AL$200,$G111)&gt;0,
    COUNTIFS($AM$2:$AM$200,$G111)&gt;0,
    COUNTIFS($AN$2:$AN$200,$G111)&gt;0,
    COUNTIFS($AO$2:$AO$200,$G111)&gt;0,
    COUNTIFS($AP$2:$AP$200,$G111)&gt;0,
    COUNTIFS($AQ$2:$AQ$200,$G111)&gt;0,
    COUNTIFS($AR$2:$AR$200,$G111)&gt;0,
    COUNTIFS($AS$2:$AS$200,$G111)&gt;0,
    COUNTIFS($AT$2:$AT$200,$G111)&gt;0,
    COUNTIFS($AU$2:$AU$200,$G111)&gt;0,
    COUNTIFS($AV$2:$AV$200,$G111)&gt;0,
    COUNTIFS($AW$2:$AW$200,$G111)&gt;0,
    COUNTIFS($AX$2:$AX$200,$G111)&gt;0,
    COUNTIFS($AY$2:$AY$200,$G111)&gt;0,
    COUNTIFS($AZ$2:$AZ$200,$G111)&gt;0,
    COUNTIFS($BA$2:$BA$200,$G111)&gt;0,
    COUNTIFS($BB$2:$BB$200,$G111)&gt;0,
    COUNTIFS($BC$2:$BC$200,$G111)&gt;0,
    COUNTIFS($BD$2:$BD$200,$G111)&gt;0,
    COUNTIFS($BE$2:$BE$200,$G111)&gt;0,
    COUNTIFS($BF$2:$BF$200,$G111)&gt;0,
    COUNTIFS($BG$2:$BG$200,$G111)&gt;0,
    COUNTIFS($BH$2:$BH$200,$G111)&gt;0,
    COUNTIFS($BI$2:$BI$200,$G111)&gt;0,
    COUNTIFS($BJ$2:$BJ$200,$G111)&gt;0,
    COUNTIFS($BK$2:$BK$200,$G111)&gt;0,
    COUNTIFS($BL$2:$BL$200,$G111)&gt;0,
    COUNTIFS($BM$2:$BM$200,$G111)&gt;0,
   ),
  0)
 ),
"")</f>
        <v>Little</v>
      </c>
      <c r="D111" s="2" t="str" cm="1">
        <f t="array" aca="1" ref="D111" ca="1">IFERROR(
 INDEX(
  _xlfn._xlws.FILTER($V$1:$AY$1,
   TRANSPOSE(
    CHOOSE({1;2;3;4;5;6;7;8;9;10;11;12;13;14;15;16;17;18;19;20;21;22;23;24;25;26;27;28;29;30},
     COUNTIFS($V$2:$V$200,$G111)&gt;0,
     COUNTIFS($W$2:$W$200,$G111)&gt;0,
     COUNTIFS($X$2:$X$200,$G111)&gt;0,
     COUNTIFS($Y$2:$Y$200,$G111)&gt;0,
     COUNTIFS($Z$2:$Z$200,$G111)&gt;0,
     COUNTIFS($AA$2:$AA$200,$G111)&gt;0,
     COUNTIFS($AB$2:$AB$200,$G111)&gt;0,
     COUNTIFS($AC$2:$AC$200,$G111)&gt;0,
     COUNTIFS($AD$2:$AD$200,$G111)&gt;0,
     COUNTIFS($AE$2:$AE$200,$G111)&gt;0,
     COUNTIFS($AF$2:$AF$200,$G111)&gt;0,
     COUNTIFS($AG$2:$AG$200,$G111)&gt;0,
     COUNTIFS($AH$2:$AH$200,$G111)&gt;0,
     COUNTIFS($AI$2:$AI$200,$G111)&gt;0,
     COUNTIFS($AJ$2:$AJ$200,$G111)&gt;0,
     COUNTIFS($AK$2:$AK$200,$G111)&gt;0,
     COUNTIFS($AL$2:$AL$200,$G111)&gt;0,
     COUNTIFS($AM$2:$AM$200,$G111)&gt;0,
     COUNTIFS($AN$2:$AN$200,$G111)&gt;0,
     COUNTIFS($AO$2:$AO$200,$G111)&gt;0,
     COUNTIFS($AP$2:$AP$200,$G111)&gt;0,
     COUNTIFS($AQ$2:$AQ$200,$G111)&gt;0,
     COUNTIFS($AR$2:$AR$200,$G111)&gt;0,
     COUNTIFS($AS$2:$AS$200,$G111)&gt;0,
     COUNTIFS($AT$2:$AT$200,$G111)&gt;0,
     COUNTIFS($AU$2:$AU$200,$G111)&gt;0,
     COUNTIFS($AV$2:$AV$200,$G111)&gt;0,
     COUNTIFS($AW$2:$AW$200,$G111)&gt;0,
     COUNTIFS($AX$2:$AX$200,$G111)&gt;0,
     COUNTIFS($AY$2:$AY$200,$G111)&gt;0
   )),
  ),
  2
 ),
"")</f>
        <v/>
      </c>
      <c r="E111" s="2" t="str" cm="1">
        <f t="array" aca="1" ref="E111" ca="1">IFERROR(
 INDEX(
  _xlfn._xlws.FILTER($V$1:$AY$1,
   TRANSPOSE(
    CHOOSE({1;2;3;4;5;6;7;8;9;10;11;12;13;14;15;16;17;18;19;20;21;22;23;24;25;26;27;28;29;30},
     COUNTIFS($V$2:$V$200,$G111)&gt;0,
     COUNTIFS($W$2:$W$200,$G111)&gt;0,
     COUNTIFS($X$2:$X$200,$G111)&gt;0,
     COUNTIFS($Y$2:$Y$200,$G111)&gt;0,
     COUNTIFS($Z$2:$Z$200,$G111)&gt;0,
     COUNTIFS($AA$2:$AA$200,$G111)&gt;0,
     COUNTIFS($AB$2:$AB$200,$G111)&gt;0,
     COUNTIFS($AC$2:$AC$200,$G111)&gt;0,
     COUNTIFS($AD$2:$AD$200,$G111)&gt;0,
     COUNTIFS($AE$2:$AE$200,$G111)&gt;0,
     COUNTIFS($AF$2:$AF$200,$G111)&gt;0,
     COUNTIFS($AG$2:$AG$200,$G111)&gt;0,
     COUNTIFS($AH$2:$AH$200,$G111)&gt;0,
     COUNTIFS($AI$2:$AI$200,$G111)&gt;0,
     COUNTIFS($AJ$2:$AJ$200,$G111)&gt;0,
     COUNTIFS($AK$2:$AK$200,$G111)&gt;0,
     COUNTIFS($AL$2:$AL$200,$G111)&gt;0,
     COUNTIFS($AM$2:$AM$200,$G111)&gt;0,
     COUNTIFS($AN$2:$AN$200,$G111)&gt;0,
     COUNTIFS($AO$2:$AO$200,$G111)&gt;0,
     COUNTIFS($AP$2:$AP$200,$G111)&gt;0,
     COUNTIFS($AQ$2:$AQ$200,$G111)&gt;0,
     COUNTIFS($AR$2:$AR$200,$G111)&gt;0,
     COUNTIFS($AS$2:$AS$200,$G111)&gt;0,
     COUNTIFS($AT$2:$AT$200,$G111)&gt;0,
     COUNTIFS($AU$2:$AU$200,$G111)&gt;0,
     COUNTIFS($AV$2:$AV$200,$G111)&gt;0,
     COUNTIFS($AW$2:$AW$200,$G111)&gt;0,
     COUNTIFS($AX$2:$AX$200,$G111)&gt;0,
     COUNTIFS($AY$2:$AY$200,$G111)&gt;0
   )),
  ),
  3
 ),
"")</f>
        <v/>
      </c>
      <c r="F111" s="2" t="str" cm="1">
        <f t="array" aca="1" ref="F111" ca="1">IFERROR(
 INDEX(
  _xlfn._xlws.FILTER($V$1:$AY$1,
   TRANSPOSE(
    CHOOSE({1;2;3;4;5;6;7;8;9;10;11;12;13;14;15;16;17;18;19;20;21;22;23;24;25;26;27;28;29;30},
     COUNTIFS($V$2:$V$200,$G111)&gt;0,
     COUNTIFS($W$2:$W$200,$G111)&gt;0,
     COUNTIFS($X$2:$X$200,$G111)&gt;0,
     COUNTIFS($Y$2:$Y$200,$G111)&gt;0,
     COUNTIFS($Z$2:$Z$200,$G111)&gt;0,
     COUNTIFS($AA$2:$AA$200,$G111)&gt;0,
     COUNTIFS($AB$2:$AB$200,$G111)&gt;0,
     COUNTIFS($AC$2:$AC$200,$G111)&gt;0,
     COUNTIFS($AD$2:$AD$200,$G111)&gt;0,
     COUNTIFS($AE$2:$AE$200,$G111)&gt;0,
     COUNTIFS($AF$2:$AF$200,$G111)&gt;0,
     COUNTIFS($AG$2:$AG$200,$G111)&gt;0,
     COUNTIFS($AH$2:$AH$200,$G111)&gt;0,
     COUNTIFS($AI$2:$AI$200,$G111)&gt;0,
     COUNTIFS($AJ$2:$AJ$200,$G111)&gt;0,
     COUNTIFS($AK$2:$AK$200,$G111)&gt;0,
     COUNTIFS($AL$2:$AL$200,$G111)&gt;0,
     COUNTIFS($AM$2:$AM$200,$G111)&gt;0,
     COUNTIFS($AN$2:$AN$200,$G111)&gt;0,
     COUNTIFS($AO$2:$AO$200,$G111)&gt;0,
     COUNTIFS($AP$2:$AP$200,$G111)&gt;0,
     COUNTIFS($AQ$2:$AQ$200,$G111)&gt;0,
     COUNTIFS($AR$2:$AR$200,$G111)&gt;0,
     COUNTIFS($AS$2:$AS$200,$G111)&gt;0,
     COUNTIFS($AT$2:$AT$200,$G111)&gt;0,
     COUNTIFS($AU$2:$AU$200,$G111)&gt;0,
     COUNTIFS($AV$2:$AV$200,$G111)&gt;0,
     COUNTIFS($AW$2:$AW$200,$G111)&gt;0,
     COUNTIFS($AX$2:$AX$200,$G111)&gt;0,
     COUNTIFS($AY$2:$AY$200,$G111)&gt;0
   )),
  ),
  4
 ),
"")</f>
        <v/>
      </c>
      <c r="G111" t="str">
        <f ca="1"/>
        <v>Curious Farm Animals</v>
      </c>
      <c r="DZ111" t="str">
        <f ca="1"/>
        <v>Sinkhole Surveyor</v>
      </c>
      <c r="EG111" t="str">
        <f ca="1"/>
        <v>Zellix, Sanity Flayer</v>
      </c>
      <c r="EI111" t="str">
        <f ca="1"/>
        <v>Spirit Water Revival</v>
      </c>
      <c r="EL111" t="str">
        <f ca="1"/>
        <v>Sinkhole Surveyor</v>
      </c>
      <c r="EP111" t="str">
        <f ca="1"/>
        <v>Pestered Wellguard</v>
      </c>
      <c r="EQ111" t="str">
        <f ca="1"/>
        <v>Overgrown Tomb</v>
      </c>
      <c r="ER111" t="str">
        <f ca="1"/>
        <v>Mardu Ascendancy</v>
      </c>
      <c r="EU111" t="str">
        <f ca="1"/>
        <v>Galerider Sliver</v>
      </c>
      <c r="EV111" t="str">
        <f ca="1"/>
        <v>Mardu Ascendancy</v>
      </c>
      <c r="EX111" t="str">
        <f ca="1"/>
        <v>Curious Farm Animals</v>
      </c>
    </row>
    <row r="112" spans="1:154" x14ac:dyDescent="0.25">
      <c r="A112" s="2" t="str">
        <f t="shared" ca="1" si="8"/>
        <v>5</v>
      </c>
      <c r="B112" s="2">
        <f t="shared" ca="1" si="9"/>
        <v>1</v>
      </c>
      <c r="C112" s="2" t="str">
        <f ca="1">IFERROR(
 INDEX($V$1:$BL$1,
  MATCH(TRUE,
   CHOOSE({1;2;3;4;5;6;7;8;9;10;11;12;13;14;15;16;17;18;19;20;21;22;23;24;25;26;27;28;29;30;31;32;33;34;35;36;37;38;39;40;41;42;43},
    COUNTIFS($V$2:$V$200,$G112)&gt;0,
    COUNTIFS($W$2:$W$200,$G112)&gt;0,
    COUNTIFS($X$2:$X$200,$G112)&gt;0,
    COUNTIFS($Y$2:$Y$200,$G112)&gt;0,
    COUNTIFS($Z$2:$Z$200,$G112)&gt;0,
    COUNTIFS($AA$2:$AA$200,$G112)&gt;0,
    COUNTIFS($AB$2:$AB$200,$G112)&gt;0,
    COUNTIFS($AC$2:$AC$200,$G112)&gt;0,
    COUNTIFS($AD$2:$AD$200,$G112)&gt;0,
    COUNTIFS($AE$2:$AE$200,$G112)&gt;0,
    COUNTIFS($AF$2:$AF$200,$G112)&gt;0,
    COUNTIFS($AG$2:$AG$200,$G112)&gt;0,
    COUNTIFS($AH$2:$AH$200,$G112)&gt;0,
    COUNTIFS($AI$2:$AI$200,$G112)&gt;0,
    COUNTIFS($AJ$2:$AJ$200,$G112)&gt;0,
    COUNTIFS($AK$2:$AK$200,$G112)&gt;0,
    COUNTIFS($AL$2:$AL$200,$G112)&gt;0,
    COUNTIFS($AM$2:$AM$200,$G112)&gt;0,
    COUNTIFS($AN$2:$AN$200,$G112)&gt;0,
    COUNTIFS($AO$2:$AO$200,$G112)&gt;0,
    COUNTIFS($AP$2:$AP$200,$G112)&gt;0,
    COUNTIFS($AQ$2:$AQ$200,$G112)&gt;0,
    COUNTIFS($AR$2:$AR$200,$G112)&gt;0,
    COUNTIFS($AS$2:$AS$200,$G112)&gt;0,
    COUNTIFS($AT$2:$AT$200,$G112)&gt;0,
    COUNTIFS($AU$2:$AU$200,$G112)&gt;0,
    COUNTIFS($AV$2:$AV$200,$G112)&gt;0,
    COUNTIFS($AW$2:$AW$200,$G112)&gt;0,
    COUNTIFS($AX$2:$AX$200,$G112)&gt;0,
    COUNTIFS($AY$2:$AY$200,$G112)&gt;0,
    COUNTIFS($AZ$2:$AZ$200,$G112)&gt;0,
    COUNTIFS($BA$2:$BA$200,$G112)&gt;0,
    COUNTIFS($BB$2:$BB$200,$G112)&gt;0,
    COUNTIFS($BC$2:$BC$200,$G112)&gt;0,
    COUNTIFS($BD$2:$BD$200,$G112)&gt;0,
    COUNTIFS($BE$2:$BE$200,$G112)&gt;0,
    COUNTIFS($BF$2:$BF$200,$G112)&gt;0,
    COUNTIFS($BG$2:$BG$200,$G112)&gt;0,
    COUNTIFS($BH$2:$BH$200,$G112)&gt;0,
    COUNTIFS($BI$2:$BI$200,$G112)&gt;0,
    COUNTIFS($BJ$2:$BJ$200,$G112)&gt;0,
    COUNTIFS($BK$2:$BK$200,$G112)&gt;0,
    COUNTIFS($BL$2:$BL$200,$G112)&gt;0,
    COUNTIFS($BM$2:$BM$200,$G112)&gt;0,
   ),
  0)
 ),
"")</f>
        <v>4cRash</v>
      </c>
      <c r="D112" s="2" t="str" cm="1">
        <f t="array" aca="1" ref="D112" ca="1">IFERROR(
 INDEX(
  _xlfn._xlws.FILTER($V$1:$AY$1,
   TRANSPOSE(
    CHOOSE({1;2;3;4;5;6;7;8;9;10;11;12;13;14;15;16;17;18;19;20;21;22;23;24;25;26;27;28;29;30},
     COUNTIFS($V$2:$V$200,$G112)&gt;0,
     COUNTIFS($W$2:$W$200,$G112)&gt;0,
     COUNTIFS($X$2:$X$200,$G112)&gt;0,
     COUNTIFS($Y$2:$Y$200,$G112)&gt;0,
     COUNTIFS($Z$2:$Z$200,$G112)&gt;0,
     COUNTIFS($AA$2:$AA$200,$G112)&gt;0,
     COUNTIFS($AB$2:$AB$200,$G112)&gt;0,
     COUNTIFS($AC$2:$AC$200,$G112)&gt;0,
     COUNTIFS($AD$2:$AD$200,$G112)&gt;0,
     COUNTIFS($AE$2:$AE$200,$G112)&gt;0,
     COUNTIFS($AF$2:$AF$200,$G112)&gt;0,
     COUNTIFS($AG$2:$AG$200,$G112)&gt;0,
     COUNTIFS($AH$2:$AH$200,$G112)&gt;0,
     COUNTIFS($AI$2:$AI$200,$G112)&gt;0,
     COUNTIFS($AJ$2:$AJ$200,$G112)&gt;0,
     COUNTIFS($AK$2:$AK$200,$G112)&gt;0,
     COUNTIFS($AL$2:$AL$200,$G112)&gt;0,
     COUNTIFS($AM$2:$AM$200,$G112)&gt;0,
     COUNTIFS($AN$2:$AN$200,$G112)&gt;0,
     COUNTIFS($AO$2:$AO$200,$G112)&gt;0,
     COUNTIFS($AP$2:$AP$200,$G112)&gt;0,
     COUNTIFS($AQ$2:$AQ$200,$G112)&gt;0,
     COUNTIFS($AR$2:$AR$200,$G112)&gt;0,
     COUNTIFS($AS$2:$AS$200,$G112)&gt;0,
     COUNTIFS($AT$2:$AT$200,$G112)&gt;0,
     COUNTIFS($AU$2:$AU$200,$G112)&gt;0,
     COUNTIFS($AV$2:$AV$200,$G112)&gt;0,
     COUNTIFS($AW$2:$AW$200,$G112)&gt;0,
     COUNTIFS($AX$2:$AX$200,$G112)&gt;0,
     COUNTIFS($AY$2:$AY$200,$G112)&gt;0
   )),
  ),
  2
 ),
"")</f>
        <v/>
      </c>
      <c r="E112" s="2" t="str" cm="1">
        <f t="array" aca="1" ref="E112" ca="1">IFERROR(
 INDEX(
  _xlfn._xlws.FILTER($V$1:$AY$1,
   TRANSPOSE(
    CHOOSE({1;2;3;4;5;6;7;8;9;10;11;12;13;14;15;16;17;18;19;20;21;22;23;24;25;26;27;28;29;30},
     COUNTIFS($V$2:$V$200,$G112)&gt;0,
     COUNTIFS($W$2:$W$200,$G112)&gt;0,
     COUNTIFS($X$2:$X$200,$G112)&gt;0,
     COUNTIFS($Y$2:$Y$200,$G112)&gt;0,
     COUNTIFS($Z$2:$Z$200,$G112)&gt;0,
     COUNTIFS($AA$2:$AA$200,$G112)&gt;0,
     COUNTIFS($AB$2:$AB$200,$G112)&gt;0,
     COUNTIFS($AC$2:$AC$200,$G112)&gt;0,
     COUNTIFS($AD$2:$AD$200,$G112)&gt;0,
     COUNTIFS($AE$2:$AE$200,$G112)&gt;0,
     COUNTIFS($AF$2:$AF$200,$G112)&gt;0,
     COUNTIFS($AG$2:$AG$200,$G112)&gt;0,
     COUNTIFS($AH$2:$AH$200,$G112)&gt;0,
     COUNTIFS($AI$2:$AI$200,$G112)&gt;0,
     COUNTIFS($AJ$2:$AJ$200,$G112)&gt;0,
     COUNTIFS($AK$2:$AK$200,$G112)&gt;0,
     COUNTIFS($AL$2:$AL$200,$G112)&gt;0,
     COUNTIFS($AM$2:$AM$200,$G112)&gt;0,
     COUNTIFS($AN$2:$AN$200,$G112)&gt;0,
     COUNTIFS($AO$2:$AO$200,$G112)&gt;0,
     COUNTIFS($AP$2:$AP$200,$G112)&gt;0,
     COUNTIFS($AQ$2:$AQ$200,$G112)&gt;0,
     COUNTIFS($AR$2:$AR$200,$G112)&gt;0,
     COUNTIFS($AS$2:$AS$200,$G112)&gt;0,
     COUNTIFS($AT$2:$AT$200,$G112)&gt;0,
     COUNTIFS($AU$2:$AU$200,$G112)&gt;0,
     COUNTIFS($AV$2:$AV$200,$G112)&gt;0,
     COUNTIFS($AW$2:$AW$200,$G112)&gt;0,
     COUNTIFS($AX$2:$AX$200,$G112)&gt;0,
     COUNTIFS($AY$2:$AY$200,$G112)&gt;0
   )),
  ),
  3
 ),
"")</f>
        <v/>
      </c>
      <c r="F112" s="2" t="str" cm="1">
        <f t="array" aca="1" ref="F112" ca="1">IFERROR(
 INDEX(
  _xlfn._xlws.FILTER($V$1:$AY$1,
   TRANSPOSE(
    CHOOSE({1;2;3;4;5;6;7;8;9;10;11;12;13;14;15;16;17;18;19;20;21;22;23;24;25;26;27;28;29;30},
     COUNTIFS($V$2:$V$200,$G112)&gt;0,
     COUNTIFS($W$2:$W$200,$G112)&gt;0,
     COUNTIFS($X$2:$X$200,$G112)&gt;0,
     COUNTIFS($Y$2:$Y$200,$G112)&gt;0,
     COUNTIFS($Z$2:$Z$200,$G112)&gt;0,
     COUNTIFS($AA$2:$AA$200,$G112)&gt;0,
     COUNTIFS($AB$2:$AB$200,$G112)&gt;0,
     COUNTIFS($AC$2:$AC$200,$G112)&gt;0,
     COUNTIFS($AD$2:$AD$200,$G112)&gt;0,
     COUNTIFS($AE$2:$AE$200,$G112)&gt;0,
     COUNTIFS($AF$2:$AF$200,$G112)&gt;0,
     COUNTIFS($AG$2:$AG$200,$G112)&gt;0,
     COUNTIFS($AH$2:$AH$200,$G112)&gt;0,
     COUNTIFS($AI$2:$AI$200,$G112)&gt;0,
     COUNTIFS($AJ$2:$AJ$200,$G112)&gt;0,
     COUNTIFS($AK$2:$AK$200,$G112)&gt;0,
     COUNTIFS($AL$2:$AL$200,$G112)&gt;0,
     COUNTIFS($AM$2:$AM$200,$G112)&gt;0,
     COUNTIFS($AN$2:$AN$200,$G112)&gt;0,
     COUNTIFS($AO$2:$AO$200,$G112)&gt;0,
     COUNTIFS($AP$2:$AP$200,$G112)&gt;0,
     COUNTIFS($AQ$2:$AQ$200,$G112)&gt;0,
     COUNTIFS($AR$2:$AR$200,$G112)&gt;0,
     COUNTIFS($AS$2:$AS$200,$G112)&gt;0,
     COUNTIFS($AT$2:$AT$200,$G112)&gt;0,
     COUNTIFS($AU$2:$AU$200,$G112)&gt;0,
     COUNTIFS($AV$2:$AV$200,$G112)&gt;0,
     COUNTIFS($AW$2:$AW$200,$G112)&gt;0,
     COUNTIFS($AX$2:$AX$200,$G112)&gt;0,
     COUNTIFS($AY$2:$AY$200,$G112)&gt;0
   )),
  ),
  4
 ),
"")</f>
        <v/>
      </c>
      <c r="G112" t="str">
        <f ca="1"/>
        <v>Curtain's Call</v>
      </c>
      <c r="DZ112" t="str">
        <f ca="1"/>
        <v>Skyknight Vanguard</v>
      </c>
      <c r="EI112" t="str">
        <f ca="1"/>
        <v>Spiteful Sliver</v>
      </c>
      <c r="EL112" t="str">
        <f ca="1"/>
        <v>Skyknight Vanguard</v>
      </c>
      <c r="EP112" t="str">
        <f ca="1"/>
        <v>Petrified Field</v>
      </c>
      <c r="EQ112" t="str">
        <f ca="1"/>
        <v>Persistent Constrictor</v>
      </c>
      <c r="ER112" t="str">
        <f ca="1"/>
        <v>Merchant of Truth</v>
      </c>
      <c r="EU112" t="str">
        <f ca="1"/>
        <v>Gallifrey Council Chamber</v>
      </c>
      <c r="EV112" t="str">
        <f ca="1"/>
        <v>Merchant of Truth</v>
      </c>
      <c r="EX112" t="str">
        <f ca="1"/>
        <v>Curtain's Call</v>
      </c>
    </row>
    <row r="113" spans="1:154" x14ac:dyDescent="0.25">
      <c r="A113" s="2" t="str">
        <f t="shared" ca="1" si="8"/>
        <v>5</v>
      </c>
      <c r="B113" s="2">
        <f t="shared" ca="1" si="9"/>
        <v>1</v>
      </c>
      <c r="C113" s="2" t="str">
        <f ca="1">IFERROR(
 INDEX($V$1:$BL$1,
  MATCH(TRUE,
   CHOOSE({1;2;3;4;5;6;7;8;9;10;11;12;13;14;15;16;17;18;19;20;21;22;23;24;25;26;27;28;29;30;31;32;33;34;35;36;37;38;39;40;41;42;43},
    COUNTIFS($V$2:$V$200,$G113)&gt;0,
    COUNTIFS($W$2:$W$200,$G113)&gt;0,
    COUNTIFS($X$2:$X$200,$G113)&gt;0,
    COUNTIFS($Y$2:$Y$200,$G113)&gt;0,
    COUNTIFS($Z$2:$Z$200,$G113)&gt;0,
    COUNTIFS($AA$2:$AA$200,$G113)&gt;0,
    COUNTIFS($AB$2:$AB$200,$G113)&gt;0,
    COUNTIFS($AC$2:$AC$200,$G113)&gt;0,
    COUNTIFS($AD$2:$AD$200,$G113)&gt;0,
    COUNTIFS($AE$2:$AE$200,$G113)&gt;0,
    COUNTIFS($AF$2:$AF$200,$G113)&gt;0,
    COUNTIFS($AG$2:$AG$200,$G113)&gt;0,
    COUNTIFS($AH$2:$AH$200,$G113)&gt;0,
    COUNTIFS($AI$2:$AI$200,$G113)&gt;0,
    COUNTIFS($AJ$2:$AJ$200,$G113)&gt;0,
    COUNTIFS($AK$2:$AK$200,$G113)&gt;0,
    COUNTIFS($AL$2:$AL$200,$G113)&gt;0,
    COUNTIFS($AM$2:$AM$200,$G113)&gt;0,
    COUNTIFS($AN$2:$AN$200,$G113)&gt;0,
    COUNTIFS($AO$2:$AO$200,$G113)&gt;0,
    COUNTIFS($AP$2:$AP$200,$G113)&gt;0,
    COUNTIFS($AQ$2:$AQ$200,$G113)&gt;0,
    COUNTIFS($AR$2:$AR$200,$G113)&gt;0,
    COUNTIFS($AS$2:$AS$200,$G113)&gt;0,
    COUNTIFS($AT$2:$AT$200,$G113)&gt;0,
    COUNTIFS($AU$2:$AU$200,$G113)&gt;0,
    COUNTIFS($AV$2:$AV$200,$G113)&gt;0,
    COUNTIFS($AW$2:$AW$200,$G113)&gt;0,
    COUNTIFS($AX$2:$AX$200,$G113)&gt;0,
    COUNTIFS($AY$2:$AY$200,$G113)&gt;0,
    COUNTIFS($AZ$2:$AZ$200,$G113)&gt;0,
    COUNTIFS($BA$2:$BA$200,$G113)&gt;0,
    COUNTIFS($BB$2:$BB$200,$G113)&gt;0,
    COUNTIFS($BC$2:$BC$200,$G113)&gt;0,
    COUNTIFS($BD$2:$BD$200,$G113)&gt;0,
    COUNTIFS($BE$2:$BE$200,$G113)&gt;0,
    COUNTIFS($BF$2:$BF$200,$G113)&gt;0,
    COUNTIFS($BG$2:$BG$200,$G113)&gt;0,
    COUNTIFS($BH$2:$BH$200,$G113)&gt;0,
    COUNTIFS($BI$2:$BI$200,$G113)&gt;0,
    COUNTIFS($BJ$2:$BJ$200,$G113)&gt;0,
    COUNTIFS($BK$2:$BK$200,$G113)&gt;0,
    COUNTIFS($BL$2:$BL$200,$G113)&gt;0,
    COUNTIFS($BM$2:$BM$200,$G113)&gt;0,
   ),
  0)
 ),
"")</f>
        <v>4cRash</v>
      </c>
      <c r="D113" s="2" t="str" cm="1">
        <f t="array" aca="1" ref="D113" ca="1">IFERROR(
 INDEX(
  _xlfn._xlws.FILTER($V$1:$AY$1,
   TRANSPOSE(
    CHOOSE({1;2;3;4;5;6;7;8;9;10;11;12;13;14;15;16;17;18;19;20;21;22;23;24;25;26;27;28;29;30},
     COUNTIFS($V$2:$V$200,$G113)&gt;0,
     COUNTIFS($W$2:$W$200,$G113)&gt;0,
     COUNTIFS($X$2:$X$200,$G113)&gt;0,
     COUNTIFS($Y$2:$Y$200,$G113)&gt;0,
     COUNTIFS($Z$2:$Z$200,$G113)&gt;0,
     COUNTIFS($AA$2:$AA$200,$G113)&gt;0,
     COUNTIFS($AB$2:$AB$200,$G113)&gt;0,
     COUNTIFS($AC$2:$AC$200,$G113)&gt;0,
     COUNTIFS($AD$2:$AD$200,$G113)&gt;0,
     COUNTIFS($AE$2:$AE$200,$G113)&gt;0,
     COUNTIFS($AF$2:$AF$200,$G113)&gt;0,
     COUNTIFS($AG$2:$AG$200,$G113)&gt;0,
     COUNTIFS($AH$2:$AH$200,$G113)&gt;0,
     COUNTIFS($AI$2:$AI$200,$G113)&gt;0,
     COUNTIFS($AJ$2:$AJ$200,$G113)&gt;0,
     COUNTIFS($AK$2:$AK$200,$G113)&gt;0,
     COUNTIFS($AL$2:$AL$200,$G113)&gt;0,
     COUNTIFS($AM$2:$AM$200,$G113)&gt;0,
     COUNTIFS($AN$2:$AN$200,$G113)&gt;0,
     COUNTIFS($AO$2:$AO$200,$G113)&gt;0,
     COUNTIFS($AP$2:$AP$200,$G113)&gt;0,
     COUNTIFS($AQ$2:$AQ$200,$G113)&gt;0,
     COUNTIFS($AR$2:$AR$200,$G113)&gt;0,
     COUNTIFS($AS$2:$AS$200,$G113)&gt;0,
     COUNTIFS($AT$2:$AT$200,$G113)&gt;0,
     COUNTIFS($AU$2:$AU$200,$G113)&gt;0,
     COUNTIFS($AV$2:$AV$200,$G113)&gt;0,
     COUNTIFS($AW$2:$AW$200,$G113)&gt;0,
     COUNTIFS($AX$2:$AX$200,$G113)&gt;0,
     COUNTIFS($AY$2:$AY$200,$G113)&gt;0
   )),
  ),
  2
 ),
"")</f>
        <v/>
      </c>
      <c r="E113" s="2" t="str" cm="1">
        <f t="array" aca="1" ref="E113" ca="1">IFERROR(
 INDEX(
  _xlfn._xlws.FILTER($V$1:$AY$1,
   TRANSPOSE(
    CHOOSE({1;2;3;4;5;6;7;8;9;10;11;12;13;14;15;16;17;18;19;20;21;22;23;24;25;26;27;28;29;30},
     COUNTIFS($V$2:$V$200,$G113)&gt;0,
     COUNTIFS($W$2:$W$200,$G113)&gt;0,
     COUNTIFS($X$2:$X$200,$G113)&gt;0,
     COUNTIFS($Y$2:$Y$200,$G113)&gt;0,
     COUNTIFS($Z$2:$Z$200,$G113)&gt;0,
     COUNTIFS($AA$2:$AA$200,$G113)&gt;0,
     COUNTIFS($AB$2:$AB$200,$G113)&gt;0,
     COUNTIFS($AC$2:$AC$200,$G113)&gt;0,
     COUNTIFS($AD$2:$AD$200,$G113)&gt;0,
     COUNTIFS($AE$2:$AE$200,$G113)&gt;0,
     COUNTIFS($AF$2:$AF$200,$G113)&gt;0,
     COUNTIFS($AG$2:$AG$200,$G113)&gt;0,
     COUNTIFS($AH$2:$AH$200,$G113)&gt;0,
     COUNTIFS($AI$2:$AI$200,$G113)&gt;0,
     COUNTIFS($AJ$2:$AJ$200,$G113)&gt;0,
     COUNTIFS($AK$2:$AK$200,$G113)&gt;0,
     COUNTIFS($AL$2:$AL$200,$G113)&gt;0,
     COUNTIFS($AM$2:$AM$200,$G113)&gt;0,
     COUNTIFS($AN$2:$AN$200,$G113)&gt;0,
     COUNTIFS($AO$2:$AO$200,$G113)&gt;0,
     COUNTIFS($AP$2:$AP$200,$G113)&gt;0,
     COUNTIFS($AQ$2:$AQ$200,$G113)&gt;0,
     COUNTIFS($AR$2:$AR$200,$G113)&gt;0,
     COUNTIFS($AS$2:$AS$200,$G113)&gt;0,
     COUNTIFS($AT$2:$AT$200,$G113)&gt;0,
     COUNTIFS($AU$2:$AU$200,$G113)&gt;0,
     COUNTIFS($AV$2:$AV$200,$G113)&gt;0,
     COUNTIFS($AW$2:$AW$200,$G113)&gt;0,
     COUNTIFS($AX$2:$AX$200,$G113)&gt;0,
     COUNTIFS($AY$2:$AY$200,$G113)&gt;0
   )),
  ),
  3
 ),
"")</f>
        <v/>
      </c>
      <c r="F113" s="2" t="str" cm="1">
        <f t="array" aca="1" ref="F113" ca="1">IFERROR(
 INDEX(
  _xlfn._xlws.FILTER($V$1:$AY$1,
   TRANSPOSE(
    CHOOSE({1;2;3;4;5;6;7;8;9;10;11;12;13;14;15;16;17;18;19;20;21;22;23;24;25;26;27;28;29;30},
     COUNTIFS($V$2:$V$200,$G113)&gt;0,
     COUNTIFS($W$2:$W$200,$G113)&gt;0,
     COUNTIFS($X$2:$X$200,$G113)&gt;0,
     COUNTIFS($Y$2:$Y$200,$G113)&gt;0,
     COUNTIFS($Z$2:$Z$200,$G113)&gt;0,
     COUNTIFS($AA$2:$AA$200,$G113)&gt;0,
     COUNTIFS($AB$2:$AB$200,$G113)&gt;0,
     COUNTIFS($AC$2:$AC$200,$G113)&gt;0,
     COUNTIFS($AD$2:$AD$200,$G113)&gt;0,
     COUNTIFS($AE$2:$AE$200,$G113)&gt;0,
     COUNTIFS($AF$2:$AF$200,$G113)&gt;0,
     COUNTIFS($AG$2:$AG$200,$G113)&gt;0,
     COUNTIFS($AH$2:$AH$200,$G113)&gt;0,
     COUNTIFS($AI$2:$AI$200,$G113)&gt;0,
     COUNTIFS($AJ$2:$AJ$200,$G113)&gt;0,
     COUNTIFS($AK$2:$AK$200,$G113)&gt;0,
     COUNTIFS($AL$2:$AL$200,$G113)&gt;0,
     COUNTIFS($AM$2:$AM$200,$G113)&gt;0,
     COUNTIFS($AN$2:$AN$200,$G113)&gt;0,
     COUNTIFS($AO$2:$AO$200,$G113)&gt;0,
     COUNTIFS($AP$2:$AP$200,$G113)&gt;0,
     COUNTIFS($AQ$2:$AQ$200,$G113)&gt;0,
     COUNTIFS($AR$2:$AR$200,$G113)&gt;0,
     COUNTIFS($AS$2:$AS$200,$G113)&gt;0,
     COUNTIFS($AT$2:$AT$200,$G113)&gt;0,
     COUNTIFS($AU$2:$AU$200,$G113)&gt;0,
     COUNTIFS($AV$2:$AV$200,$G113)&gt;0,
     COUNTIFS($AW$2:$AW$200,$G113)&gt;0,
     COUNTIFS($AX$2:$AX$200,$G113)&gt;0,
     COUNTIFS($AY$2:$AY$200,$G113)&gt;0
   )),
  ),
  4
 ),
"")</f>
        <v/>
      </c>
      <c r="G113" t="str">
        <f ca="1"/>
        <v>Cycle of Renewal</v>
      </c>
      <c r="DZ113" t="str">
        <f ca="1"/>
        <v>Smoldering Marsh</v>
      </c>
      <c r="EI113" t="str">
        <f ca="1"/>
        <v>Steam Vents</v>
      </c>
      <c r="EL113" t="str">
        <f ca="1"/>
        <v>Smoldering Marsh</v>
      </c>
      <c r="EP113" t="str">
        <f ca="1"/>
        <v>Phyrexian Tower</v>
      </c>
      <c r="EQ113" t="str">
        <f ca="1"/>
        <v>Phyrexian Arena</v>
      </c>
      <c r="ER113" t="str">
        <f ca="1"/>
        <v>Mind Stone</v>
      </c>
      <c r="EU113" t="str">
        <f ca="1"/>
        <v>Gathering Stone</v>
      </c>
      <c r="EV113" t="str">
        <f ca="1"/>
        <v>Mind Stone</v>
      </c>
      <c r="EX113" t="str">
        <f ca="1"/>
        <v>Cycle of Renewal</v>
      </c>
    </row>
    <row r="114" spans="1:154" x14ac:dyDescent="0.25">
      <c r="A114" s="2" t="str">
        <f t="shared" ca="1" si="8"/>
        <v>2</v>
      </c>
      <c r="B114" s="2">
        <f t="shared" ca="1" si="9"/>
        <v>1</v>
      </c>
      <c r="C114" s="2" t="str">
        <f ca="1">IFERROR(
 INDEX($V$1:$BL$1,
  MATCH(TRUE,
   CHOOSE({1;2;3;4;5;6;7;8;9;10;11;12;13;14;15;16;17;18;19;20;21;22;23;24;25;26;27;28;29;30;31;32;33;34;35;36;37;38;39;40;41;42;43},
    COUNTIFS($V$2:$V$200,$G114)&gt;0,
    COUNTIFS($W$2:$W$200,$G114)&gt;0,
    COUNTIFS($X$2:$X$200,$G114)&gt;0,
    COUNTIFS($Y$2:$Y$200,$G114)&gt;0,
    COUNTIFS($Z$2:$Z$200,$G114)&gt;0,
    COUNTIFS($AA$2:$AA$200,$G114)&gt;0,
    COUNTIFS($AB$2:$AB$200,$G114)&gt;0,
    COUNTIFS($AC$2:$AC$200,$G114)&gt;0,
    COUNTIFS($AD$2:$AD$200,$G114)&gt;0,
    COUNTIFS($AE$2:$AE$200,$G114)&gt;0,
    COUNTIFS($AF$2:$AF$200,$G114)&gt;0,
    COUNTIFS($AG$2:$AG$200,$G114)&gt;0,
    COUNTIFS($AH$2:$AH$200,$G114)&gt;0,
    COUNTIFS($AI$2:$AI$200,$G114)&gt;0,
    COUNTIFS($AJ$2:$AJ$200,$G114)&gt;0,
    COUNTIFS($AK$2:$AK$200,$G114)&gt;0,
    COUNTIFS($AL$2:$AL$200,$G114)&gt;0,
    COUNTIFS($AM$2:$AM$200,$G114)&gt;0,
    COUNTIFS($AN$2:$AN$200,$G114)&gt;0,
    COUNTIFS($AO$2:$AO$200,$G114)&gt;0,
    COUNTIFS($AP$2:$AP$200,$G114)&gt;0,
    COUNTIFS($AQ$2:$AQ$200,$G114)&gt;0,
    COUNTIFS($AR$2:$AR$200,$G114)&gt;0,
    COUNTIFS($AS$2:$AS$200,$G114)&gt;0,
    COUNTIFS($AT$2:$AT$200,$G114)&gt;0,
    COUNTIFS($AU$2:$AU$200,$G114)&gt;0,
    COUNTIFS($AV$2:$AV$200,$G114)&gt;0,
    COUNTIFS($AW$2:$AW$200,$G114)&gt;0,
    COUNTIFS($AX$2:$AX$200,$G114)&gt;0,
    COUNTIFS($AY$2:$AY$200,$G114)&gt;0,
    COUNTIFS($AZ$2:$AZ$200,$G114)&gt;0,
    COUNTIFS($BA$2:$BA$200,$G114)&gt;0,
    COUNTIFS($BB$2:$BB$200,$G114)&gt;0,
    COUNTIFS($BC$2:$BC$200,$G114)&gt;0,
    COUNTIFS($BD$2:$BD$200,$G114)&gt;0,
    COUNTIFS($BE$2:$BE$200,$G114)&gt;0,
    COUNTIFS($BF$2:$BF$200,$G114)&gt;0,
    COUNTIFS($BG$2:$BG$200,$G114)&gt;0,
    COUNTIFS($BH$2:$BH$200,$G114)&gt;0,
    COUNTIFS($BI$2:$BI$200,$G114)&gt;0,
    COUNTIFS($BJ$2:$BJ$200,$G114)&gt;0,
    COUNTIFS($BK$2:$BK$200,$G114)&gt;0,
    COUNTIFS($BL$2:$BL$200,$G114)&gt;0,
    COUNTIFS($BM$2:$BM$200,$G114)&gt;0,
   ),
  0)
 ),
"")</f>
        <v>Alela</v>
      </c>
      <c r="D114" s="2" t="str" cm="1">
        <f t="array" aca="1" ref="D114" ca="1">IFERROR(
 INDEX(
  _xlfn._xlws.FILTER($V$1:$AY$1,
   TRANSPOSE(
    CHOOSE({1;2;3;4;5;6;7;8;9;10;11;12;13;14;15;16;17;18;19;20;21;22;23;24;25;26;27;28;29;30},
     COUNTIFS($V$2:$V$200,$G114)&gt;0,
     COUNTIFS($W$2:$W$200,$G114)&gt;0,
     COUNTIFS($X$2:$X$200,$G114)&gt;0,
     COUNTIFS($Y$2:$Y$200,$G114)&gt;0,
     COUNTIFS($Z$2:$Z$200,$G114)&gt;0,
     COUNTIFS($AA$2:$AA$200,$G114)&gt;0,
     COUNTIFS($AB$2:$AB$200,$G114)&gt;0,
     COUNTIFS($AC$2:$AC$200,$G114)&gt;0,
     COUNTIFS($AD$2:$AD$200,$G114)&gt;0,
     COUNTIFS($AE$2:$AE$200,$G114)&gt;0,
     COUNTIFS($AF$2:$AF$200,$G114)&gt;0,
     COUNTIFS($AG$2:$AG$200,$G114)&gt;0,
     COUNTIFS($AH$2:$AH$200,$G114)&gt;0,
     COUNTIFS($AI$2:$AI$200,$G114)&gt;0,
     COUNTIFS($AJ$2:$AJ$200,$G114)&gt;0,
     COUNTIFS($AK$2:$AK$200,$G114)&gt;0,
     COUNTIFS($AL$2:$AL$200,$G114)&gt;0,
     COUNTIFS($AM$2:$AM$200,$G114)&gt;0,
     COUNTIFS($AN$2:$AN$200,$G114)&gt;0,
     COUNTIFS($AO$2:$AO$200,$G114)&gt;0,
     COUNTIFS($AP$2:$AP$200,$G114)&gt;0,
     COUNTIFS($AQ$2:$AQ$200,$G114)&gt;0,
     COUNTIFS($AR$2:$AR$200,$G114)&gt;0,
     COUNTIFS($AS$2:$AS$200,$G114)&gt;0,
     COUNTIFS($AT$2:$AT$200,$G114)&gt;0,
     COUNTIFS($AU$2:$AU$200,$G114)&gt;0,
     COUNTIFS($AV$2:$AV$200,$G114)&gt;0,
     COUNTIFS($AW$2:$AW$200,$G114)&gt;0,
     COUNTIFS($AX$2:$AX$200,$G114)&gt;0,
     COUNTIFS($AY$2:$AY$200,$G114)&gt;0
   )),
  ),
  2
 ),
"")</f>
        <v/>
      </c>
      <c r="E114" s="2" t="str" cm="1">
        <f t="array" aca="1" ref="E114" ca="1">IFERROR(
 INDEX(
  _xlfn._xlws.FILTER($V$1:$AY$1,
   TRANSPOSE(
    CHOOSE({1;2;3;4;5;6;7;8;9;10;11;12;13;14;15;16;17;18;19;20;21;22;23;24;25;26;27;28;29;30},
     COUNTIFS($V$2:$V$200,$G114)&gt;0,
     COUNTIFS($W$2:$W$200,$G114)&gt;0,
     COUNTIFS($X$2:$X$200,$G114)&gt;0,
     COUNTIFS($Y$2:$Y$200,$G114)&gt;0,
     COUNTIFS($Z$2:$Z$200,$G114)&gt;0,
     COUNTIFS($AA$2:$AA$200,$G114)&gt;0,
     COUNTIFS($AB$2:$AB$200,$G114)&gt;0,
     COUNTIFS($AC$2:$AC$200,$G114)&gt;0,
     COUNTIFS($AD$2:$AD$200,$G114)&gt;0,
     COUNTIFS($AE$2:$AE$200,$G114)&gt;0,
     COUNTIFS($AF$2:$AF$200,$G114)&gt;0,
     COUNTIFS($AG$2:$AG$200,$G114)&gt;0,
     COUNTIFS($AH$2:$AH$200,$G114)&gt;0,
     COUNTIFS($AI$2:$AI$200,$G114)&gt;0,
     COUNTIFS($AJ$2:$AJ$200,$G114)&gt;0,
     COUNTIFS($AK$2:$AK$200,$G114)&gt;0,
     COUNTIFS($AL$2:$AL$200,$G114)&gt;0,
     COUNTIFS($AM$2:$AM$200,$G114)&gt;0,
     COUNTIFS($AN$2:$AN$200,$G114)&gt;0,
     COUNTIFS($AO$2:$AO$200,$G114)&gt;0,
     COUNTIFS($AP$2:$AP$200,$G114)&gt;0,
     COUNTIFS($AQ$2:$AQ$200,$G114)&gt;0,
     COUNTIFS($AR$2:$AR$200,$G114)&gt;0,
     COUNTIFS($AS$2:$AS$200,$G114)&gt;0,
     COUNTIFS($AT$2:$AT$200,$G114)&gt;0,
     COUNTIFS($AU$2:$AU$200,$G114)&gt;0,
     COUNTIFS($AV$2:$AV$200,$G114)&gt;0,
     COUNTIFS($AW$2:$AW$200,$G114)&gt;0,
     COUNTIFS($AX$2:$AX$200,$G114)&gt;0,
     COUNTIFS($AY$2:$AY$200,$G114)&gt;0
   )),
  ),
  3
 ),
"")</f>
        <v/>
      </c>
      <c r="F114" s="2" t="str" cm="1">
        <f t="array" aca="1" ref="F114" ca="1">IFERROR(
 INDEX(
  _xlfn._xlws.FILTER($V$1:$AY$1,
   TRANSPOSE(
    CHOOSE({1;2;3;4;5;6;7;8;9;10;11;12;13;14;15;16;17;18;19;20;21;22;23;24;25;26;27;28;29;30},
     COUNTIFS($V$2:$V$200,$G114)&gt;0,
     COUNTIFS($W$2:$W$200,$G114)&gt;0,
     COUNTIFS($X$2:$X$200,$G114)&gt;0,
     COUNTIFS($Y$2:$Y$200,$G114)&gt;0,
     COUNTIFS($Z$2:$Z$200,$G114)&gt;0,
     COUNTIFS($AA$2:$AA$200,$G114)&gt;0,
     COUNTIFS($AB$2:$AB$200,$G114)&gt;0,
     COUNTIFS($AC$2:$AC$200,$G114)&gt;0,
     COUNTIFS($AD$2:$AD$200,$G114)&gt;0,
     COUNTIFS($AE$2:$AE$200,$G114)&gt;0,
     COUNTIFS($AF$2:$AF$200,$G114)&gt;0,
     COUNTIFS($AG$2:$AG$200,$G114)&gt;0,
     COUNTIFS($AH$2:$AH$200,$G114)&gt;0,
     COUNTIFS($AI$2:$AI$200,$G114)&gt;0,
     COUNTIFS($AJ$2:$AJ$200,$G114)&gt;0,
     COUNTIFS($AK$2:$AK$200,$G114)&gt;0,
     COUNTIFS($AL$2:$AL$200,$G114)&gt;0,
     COUNTIFS($AM$2:$AM$200,$G114)&gt;0,
     COUNTIFS($AN$2:$AN$200,$G114)&gt;0,
     COUNTIFS($AO$2:$AO$200,$G114)&gt;0,
     COUNTIFS($AP$2:$AP$200,$G114)&gt;0,
     COUNTIFS($AQ$2:$AQ$200,$G114)&gt;0,
     COUNTIFS($AR$2:$AR$200,$G114)&gt;0,
     COUNTIFS($AS$2:$AS$200,$G114)&gt;0,
     COUNTIFS($AT$2:$AT$200,$G114)&gt;0,
     COUNTIFS($AU$2:$AU$200,$G114)&gt;0,
     COUNTIFS($AV$2:$AV$200,$G114)&gt;0,
     COUNTIFS($AW$2:$AW$200,$G114)&gt;0,
     COUNTIFS($AX$2:$AX$200,$G114)&gt;0,
     COUNTIFS($AY$2:$AY$200,$G114)&gt;0
   )),
  ),
  4
 ),
"")</f>
        <v/>
      </c>
      <c r="G114" t="str">
        <f ca="1"/>
        <v>Damping Sphere</v>
      </c>
      <c r="DZ114" t="str">
        <f ca="1"/>
        <v>Sundering Eruption</v>
      </c>
      <c r="EI114" t="str">
        <f ca="1"/>
        <v>Stomping Ground</v>
      </c>
      <c r="EL114" t="str">
        <f ca="1"/>
        <v>Sundering Eruption</v>
      </c>
      <c r="EP114" t="str">
        <f ca="1"/>
        <v>Polluted Delta</v>
      </c>
      <c r="EQ114" t="str">
        <f ca="1"/>
        <v>Plains</v>
      </c>
      <c r="ER114" t="str">
        <f ca="1"/>
        <v>Mishra, Claimed by Gix</v>
      </c>
      <c r="EU114" t="str">
        <f ca="1"/>
        <v>Gavony Township</v>
      </c>
      <c r="EV114" t="str">
        <f ca="1"/>
        <v>Mishra, Claimed by Gix</v>
      </c>
      <c r="EX114" t="str">
        <f ca="1"/>
        <v>Damping Sphere</v>
      </c>
    </row>
    <row r="115" spans="1:154" x14ac:dyDescent="0.25">
      <c r="A115" s="2" t="str">
        <f t="shared" ca="1" si="8"/>
        <v>1</v>
      </c>
      <c r="B115" s="2">
        <f t="shared" ca="1" si="9"/>
        <v>1</v>
      </c>
      <c r="C115" s="2" t="str">
        <f ca="1">IFERROR(
 INDEX($V$1:$BL$1,
  MATCH(TRUE,
   CHOOSE({1;2;3;4;5;6;7;8;9;10;11;12;13;14;15;16;17;18;19;20;21;22;23;24;25;26;27;28;29;30;31;32;33;34;35;36;37;38;39;40;41;42;43},
    COUNTIFS($V$2:$V$200,$G115)&gt;0,
    COUNTIFS($W$2:$W$200,$G115)&gt;0,
    COUNTIFS($X$2:$X$200,$G115)&gt;0,
    COUNTIFS($Y$2:$Y$200,$G115)&gt;0,
    COUNTIFS($Z$2:$Z$200,$G115)&gt;0,
    COUNTIFS($AA$2:$AA$200,$G115)&gt;0,
    COUNTIFS($AB$2:$AB$200,$G115)&gt;0,
    COUNTIFS($AC$2:$AC$200,$G115)&gt;0,
    COUNTIFS($AD$2:$AD$200,$G115)&gt;0,
    COUNTIFS($AE$2:$AE$200,$G115)&gt;0,
    COUNTIFS($AF$2:$AF$200,$G115)&gt;0,
    COUNTIFS($AG$2:$AG$200,$G115)&gt;0,
    COUNTIFS($AH$2:$AH$200,$G115)&gt;0,
    COUNTIFS($AI$2:$AI$200,$G115)&gt;0,
    COUNTIFS($AJ$2:$AJ$200,$G115)&gt;0,
    COUNTIFS($AK$2:$AK$200,$G115)&gt;0,
    COUNTIFS($AL$2:$AL$200,$G115)&gt;0,
    COUNTIFS($AM$2:$AM$200,$G115)&gt;0,
    COUNTIFS($AN$2:$AN$200,$G115)&gt;0,
    COUNTIFS($AO$2:$AO$200,$G115)&gt;0,
    COUNTIFS($AP$2:$AP$200,$G115)&gt;0,
    COUNTIFS($AQ$2:$AQ$200,$G115)&gt;0,
    COUNTIFS($AR$2:$AR$200,$G115)&gt;0,
    COUNTIFS($AS$2:$AS$200,$G115)&gt;0,
    COUNTIFS($AT$2:$AT$200,$G115)&gt;0,
    COUNTIFS($AU$2:$AU$200,$G115)&gt;0,
    COUNTIFS($AV$2:$AV$200,$G115)&gt;0,
    COUNTIFS($AW$2:$AW$200,$G115)&gt;0,
    COUNTIFS($AX$2:$AX$200,$G115)&gt;0,
    COUNTIFS($AY$2:$AY$200,$G115)&gt;0,
    COUNTIFS($AZ$2:$AZ$200,$G115)&gt;0,
    COUNTIFS($BA$2:$BA$200,$G115)&gt;0,
    COUNTIFS($BB$2:$BB$200,$G115)&gt;0,
    COUNTIFS($BC$2:$BC$200,$G115)&gt;0,
    COUNTIFS($BD$2:$BD$200,$G115)&gt;0,
    COUNTIFS($BE$2:$BE$200,$G115)&gt;0,
    COUNTIFS($BF$2:$BF$200,$G115)&gt;0,
    COUNTIFS($BG$2:$BG$200,$G115)&gt;0,
    COUNTIFS($BH$2:$BH$200,$G115)&gt;0,
    COUNTIFS($BI$2:$BI$200,$G115)&gt;0,
    COUNTIFS($BJ$2:$BJ$200,$G115)&gt;0,
    COUNTIFS($BK$2:$BK$200,$G115)&gt;0,
    COUNTIFS($BL$2:$BL$200,$G115)&gt;0,
    COUNTIFS($BM$2:$BM$200,$G115)&gt;0,
   ),
  0)
 ),
"")</f>
        <v>Breya</v>
      </c>
      <c r="D115" s="2" t="str" cm="1">
        <f t="array" aca="1" ref="D115" ca="1">IFERROR(
 INDEX(
  _xlfn._xlws.FILTER($V$1:$AY$1,
   TRANSPOSE(
    CHOOSE({1;2;3;4;5;6;7;8;9;10;11;12;13;14;15;16;17;18;19;20;21;22;23;24;25;26;27;28;29;30},
     COUNTIFS($V$2:$V$200,$G115)&gt;0,
     COUNTIFS($W$2:$W$200,$G115)&gt;0,
     COUNTIFS($X$2:$X$200,$G115)&gt;0,
     COUNTIFS($Y$2:$Y$200,$G115)&gt;0,
     COUNTIFS($Z$2:$Z$200,$G115)&gt;0,
     COUNTIFS($AA$2:$AA$200,$G115)&gt;0,
     COUNTIFS($AB$2:$AB$200,$G115)&gt;0,
     COUNTIFS($AC$2:$AC$200,$G115)&gt;0,
     COUNTIFS($AD$2:$AD$200,$G115)&gt;0,
     COUNTIFS($AE$2:$AE$200,$G115)&gt;0,
     COUNTIFS($AF$2:$AF$200,$G115)&gt;0,
     COUNTIFS($AG$2:$AG$200,$G115)&gt;0,
     COUNTIFS($AH$2:$AH$200,$G115)&gt;0,
     COUNTIFS($AI$2:$AI$200,$G115)&gt;0,
     COUNTIFS($AJ$2:$AJ$200,$G115)&gt;0,
     COUNTIFS($AK$2:$AK$200,$G115)&gt;0,
     COUNTIFS($AL$2:$AL$200,$G115)&gt;0,
     COUNTIFS($AM$2:$AM$200,$G115)&gt;0,
     COUNTIFS($AN$2:$AN$200,$G115)&gt;0,
     COUNTIFS($AO$2:$AO$200,$G115)&gt;0,
     COUNTIFS($AP$2:$AP$200,$G115)&gt;0,
     COUNTIFS($AQ$2:$AQ$200,$G115)&gt;0,
     COUNTIFS($AR$2:$AR$200,$G115)&gt;0,
     COUNTIFS($AS$2:$AS$200,$G115)&gt;0,
     COUNTIFS($AT$2:$AT$200,$G115)&gt;0,
     COUNTIFS($AU$2:$AU$200,$G115)&gt;0,
     COUNTIFS($AV$2:$AV$200,$G115)&gt;0,
     COUNTIFS($AW$2:$AW$200,$G115)&gt;0,
     COUNTIFS($AX$2:$AX$200,$G115)&gt;0,
     COUNTIFS($AY$2:$AY$200,$G115)&gt;0
   )),
  ),
  2
 ),
"")</f>
        <v/>
      </c>
      <c r="E115" s="2" t="str" cm="1">
        <f t="array" aca="1" ref="E115" ca="1">IFERROR(
 INDEX(
  _xlfn._xlws.FILTER($V$1:$AY$1,
   TRANSPOSE(
    CHOOSE({1;2;3;4;5;6;7;8;9;10;11;12;13;14;15;16;17;18;19;20;21;22;23;24;25;26;27;28;29;30},
     COUNTIFS($V$2:$V$200,$G115)&gt;0,
     COUNTIFS($W$2:$W$200,$G115)&gt;0,
     COUNTIFS($X$2:$X$200,$G115)&gt;0,
     COUNTIFS($Y$2:$Y$200,$G115)&gt;0,
     COUNTIFS($Z$2:$Z$200,$G115)&gt;0,
     COUNTIFS($AA$2:$AA$200,$G115)&gt;0,
     COUNTIFS($AB$2:$AB$200,$G115)&gt;0,
     COUNTIFS($AC$2:$AC$200,$G115)&gt;0,
     COUNTIFS($AD$2:$AD$200,$G115)&gt;0,
     COUNTIFS($AE$2:$AE$200,$G115)&gt;0,
     COUNTIFS($AF$2:$AF$200,$G115)&gt;0,
     COUNTIFS($AG$2:$AG$200,$G115)&gt;0,
     COUNTIFS($AH$2:$AH$200,$G115)&gt;0,
     COUNTIFS($AI$2:$AI$200,$G115)&gt;0,
     COUNTIFS($AJ$2:$AJ$200,$G115)&gt;0,
     COUNTIFS($AK$2:$AK$200,$G115)&gt;0,
     COUNTIFS($AL$2:$AL$200,$G115)&gt;0,
     COUNTIFS($AM$2:$AM$200,$G115)&gt;0,
     COUNTIFS($AN$2:$AN$200,$G115)&gt;0,
     COUNTIFS($AO$2:$AO$200,$G115)&gt;0,
     COUNTIFS($AP$2:$AP$200,$G115)&gt;0,
     COUNTIFS($AQ$2:$AQ$200,$G115)&gt;0,
     COUNTIFS($AR$2:$AR$200,$G115)&gt;0,
     COUNTIFS($AS$2:$AS$200,$G115)&gt;0,
     COUNTIFS($AT$2:$AT$200,$G115)&gt;0,
     COUNTIFS($AU$2:$AU$200,$G115)&gt;0,
     COUNTIFS($AV$2:$AV$200,$G115)&gt;0,
     COUNTIFS($AW$2:$AW$200,$G115)&gt;0,
     COUNTIFS($AX$2:$AX$200,$G115)&gt;0,
     COUNTIFS($AY$2:$AY$200,$G115)&gt;0
   )),
  ),
  3
 ),
"")</f>
        <v/>
      </c>
      <c r="F115" s="2" t="str" cm="1">
        <f t="array" aca="1" ref="F115" ca="1">IFERROR(
 INDEX(
  _xlfn._xlws.FILTER($V$1:$AY$1,
   TRANSPOSE(
    CHOOSE({1;2;3;4;5;6;7;8;9;10;11;12;13;14;15;16;17;18;19;20;21;22;23;24;25;26;27;28;29;30},
     COUNTIFS($V$2:$V$200,$G115)&gt;0,
     COUNTIFS($W$2:$W$200,$G115)&gt;0,
     COUNTIFS($X$2:$X$200,$G115)&gt;0,
     COUNTIFS($Y$2:$Y$200,$G115)&gt;0,
     COUNTIFS($Z$2:$Z$200,$G115)&gt;0,
     COUNTIFS($AA$2:$AA$200,$G115)&gt;0,
     COUNTIFS($AB$2:$AB$200,$G115)&gt;0,
     COUNTIFS($AC$2:$AC$200,$G115)&gt;0,
     COUNTIFS($AD$2:$AD$200,$G115)&gt;0,
     COUNTIFS($AE$2:$AE$200,$G115)&gt;0,
     COUNTIFS($AF$2:$AF$200,$G115)&gt;0,
     COUNTIFS($AG$2:$AG$200,$G115)&gt;0,
     COUNTIFS($AH$2:$AH$200,$G115)&gt;0,
     COUNTIFS($AI$2:$AI$200,$G115)&gt;0,
     COUNTIFS($AJ$2:$AJ$200,$G115)&gt;0,
     COUNTIFS($AK$2:$AK$200,$G115)&gt;0,
     COUNTIFS($AL$2:$AL$200,$G115)&gt;0,
     COUNTIFS($AM$2:$AM$200,$G115)&gt;0,
     COUNTIFS($AN$2:$AN$200,$G115)&gt;0,
     COUNTIFS($AO$2:$AO$200,$G115)&gt;0,
     COUNTIFS($AP$2:$AP$200,$G115)&gt;0,
     COUNTIFS($AQ$2:$AQ$200,$G115)&gt;0,
     COUNTIFS($AR$2:$AR$200,$G115)&gt;0,
     COUNTIFS($AS$2:$AS$200,$G115)&gt;0,
     COUNTIFS($AT$2:$AT$200,$G115)&gt;0,
     COUNTIFS($AU$2:$AU$200,$G115)&gt;0,
     COUNTIFS($AV$2:$AV$200,$G115)&gt;0,
     COUNTIFS($AW$2:$AW$200,$G115)&gt;0,
     COUNTIFS($AX$2:$AX$200,$G115)&gt;0,
     COUNTIFS($AY$2:$AY$200,$G115)&gt;0
   )),
  ),
  4
 ),
"")</f>
        <v/>
      </c>
      <c r="G115" t="str">
        <f ca="1"/>
        <v>Daretti, Ingenious Iconoclast</v>
      </c>
      <c r="DZ115" t="str">
        <f ca="1"/>
        <v>Sunpetal Grove</v>
      </c>
      <c r="EI115" t="str">
        <f ca="1"/>
        <v>Striking Sliver</v>
      </c>
      <c r="EL115" t="str">
        <f ca="1"/>
        <v>Sunpetal Grove</v>
      </c>
      <c r="EP115" t="str">
        <f ca="1"/>
        <v>Prosperous Partnership</v>
      </c>
      <c r="EQ115" t="str">
        <f ca="1"/>
        <v>Predatory Sliver</v>
      </c>
      <c r="ER115" t="str">
        <f ca="1"/>
        <v>Monk Gyatso</v>
      </c>
      <c r="EU115" t="str">
        <f ca="1"/>
        <v>Gemhide Sliver</v>
      </c>
      <c r="EV115" t="str">
        <f ca="1"/>
        <v>Monk Gyatso</v>
      </c>
      <c r="EX115" t="str">
        <f ca="1"/>
        <v>Daretti, Ingenious Iconoclast</v>
      </c>
    </row>
    <row r="116" spans="1:154" x14ac:dyDescent="0.25">
      <c r="A116" s="2" t="str">
        <f t="shared" ca="1" si="8"/>
        <v>5</v>
      </c>
      <c r="B116" s="2">
        <f t="shared" ca="1" si="9"/>
        <v>1</v>
      </c>
      <c r="C116" s="2" t="str">
        <f ca="1">IFERROR(
 INDEX($V$1:$BL$1,
  MATCH(TRUE,
   CHOOSE({1;2;3;4;5;6;7;8;9;10;11;12;13;14;15;16;17;18;19;20;21;22;23;24;25;26;27;28;29;30;31;32;33;34;35;36;37;38;39;40;41;42;43},
    COUNTIFS($V$2:$V$200,$G116)&gt;0,
    COUNTIFS($W$2:$W$200,$G116)&gt;0,
    COUNTIFS($X$2:$X$200,$G116)&gt;0,
    COUNTIFS($Y$2:$Y$200,$G116)&gt;0,
    COUNTIFS($Z$2:$Z$200,$G116)&gt;0,
    COUNTIFS($AA$2:$AA$200,$G116)&gt;0,
    COUNTIFS($AB$2:$AB$200,$G116)&gt;0,
    COUNTIFS($AC$2:$AC$200,$G116)&gt;0,
    COUNTIFS($AD$2:$AD$200,$G116)&gt;0,
    COUNTIFS($AE$2:$AE$200,$G116)&gt;0,
    COUNTIFS($AF$2:$AF$200,$G116)&gt;0,
    COUNTIFS($AG$2:$AG$200,$G116)&gt;0,
    COUNTIFS($AH$2:$AH$200,$G116)&gt;0,
    COUNTIFS($AI$2:$AI$200,$G116)&gt;0,
    COUNTIFS($AJ$2:$AJ$200,$G116)&gt;0,
    COUNTIFS($AK$2:$AK$200,$G116)&gt;0,
    COUNTIFS($AL$2:$AL$200,$G116)&gt;0,
    COUNTIFS($AM$2:$AM$200,$G116)&gt;0,
    COUNTIFS($AN$2:$AN$200,$G116)&gt;0,
    COUNTIFS($AO$2:$AO$200,$G116)&gt;0,
    COUNTIFS($AP$2:$AP$200,$G116)&gt;0,
    COUNTIFS($AQ$2:$AQ$200,$G116)&gt;0,
    COUNTIFS($AR$2:$AR$200,$G116)&gt;0,
    COUNTIFS($AS$2:$AS$200,$G116)&gt;0,
    COUNTIFS($AT$2:$AT$200,$G116)&gt;0,
    COUNTIFS($AU$2:$AU$200,$G116)&gt;0,
    COUNTIFS($AV$2:$AV$200,$G116)&gt;0,
    COUNTIFS($AW$2:$AW$200,$G116)&gt;0,
    COUNTIFS($AX$2:$AX$200,$G116)&gt;0,
    COUNTIFS($AY$2:$AY$200,$G116)&gt;0,
    COUNTIFS($AZ$2:$AZ$200,$G116)&gt;0,
    COUNTIFS($BA$2:$BA$200,$G116)&gt;0,
    COUNTIFS($BB$2:$BB$200,$G116)&gt;0,
    COUNTIFS($BC$2:$BC$200,$G116)&gt;0,
    COUNTIFS($BD$2:$BD$200,$G116)&gt;0,
    COUNTIFS($BE$2:$BE$200,$G116)&gt;0,
    COUNTIFS($BF$2:$BF$200,$G116)&gt;0,
    COUNTIFS($BG$2:$BG$200,$G116)&gt;0,
    COUNTIFS($BH$2:$BH$200,$G116)&gt;0,
    COUNTIFS($BI$2:$BI$200,$G116)&gt;0,
    COUNTIFS($BJ$2:$BJ$200,$G116)&gt;0,
    COUNTIFS($BK$2:$BK$200,$G116)&gt;0,
    COUNTIFS($BL$2:$BL$200,$G116)&gt;0,
    COUNTIFS($BM$2:$BM$200,$G116)&gt;0,
   ),
  0)
 ),
"")</f>
        <v>Fractius</v>
      </c>
      <c r="D116" s="2" t="str" cm="1">
        <f t="array" aca="1" ref="D116" ca="1">IFERROR(
 INDEX(
  _xlfn._xlws.FILTER($V$1:$AY$1,
   TRANSPOSE(
    CHOOSE({1;2;3;4;5;6;7;8;9;10;11;12;13;14;15;16;17;18;19;20;21;22;23;24;25;26;27;28;29;30},
     COUNTIFS($V$2:$V$200,$G116)&gt;0,
     COUNTIFS($W$2:$W$200,$G116)&gt;0,
     COUNTIFS($X$2:$X$200,$G116)&gt;0,
     COUNTIFS($Y$2:$Y$200,$G116)&gt;0,
     COUNTIFS($Z$2:$Z$200,$G116)&gt;0,
     COUNTIFS($AA$2:$AA$200,$G116)&gt;0,
     COUNTIFS($AB$2:$AB$200,$G116)&gt;0,
     COUNTIFS($AC$2:$AC$200,$G116)&gt;0,
     COUNTIFS($AD$2:$AD$200,$G116)&gt;0,
     COUNTIFS($AE$2:$AE$200,$G116)&gt;0,
     COUNTIFS($AF$2:$AF$200,$G116)&gt;0,
     COUNTIFS($AG$2:$AG$200,$G116)&gt;0,
     COUNTIFS($AH$2:$AH$200,$G116)&gt;0,
     COUNTIFS($AI$2:$AI$200,$G116)&gt;0,
     COUNTIFS($AJ$2:$AJ$200,$G116)&gt;0,
     COUNTIFS($AK$2:$AK$200,$G116)&gt;0,
     COUNTIFS($AL$2:$AL$200,$G116)&gt;0,
     COUNTIFS($AM$2:$AM$200,$G116)&gt;0,
     COUNTIFS($AN$2:$AN$200,$G116)&gt;0,
     COUNTIFS($AO$2:$AO$200,$G116)&gt;0,
     COUNTIFS($AP$2:$AP$200,$G116)&gt;0,
     COUNTIFS($AQ$2:$AQ$200,$G116)&gt;0,
     COUNTIFS($AR$2:$AR$200,$G116)&gt;0,
     COUNTIFS($AS$2:$AS$200,$G116)&gt;0,
     COUNTIFS($AT$2:$AT$200,$G116)&gt;0,
     COUNTIFS($AU$2:$AU$200,$G116)&gt;0,
     COUNTIFS($AV$2:$AV$200,$G116)&gt;0,
     COUNTIFS($AW$2:$AW$200,$G116)&gt;0,
     COUNTIFS($AX$2:$AX$200,$G116)&gt;0,
     COUNTIFS($AY$2:$AY$200,$G116)&gt;0
   )),
  ),
  2
 ),
"")</f>
        <v/>
      </c>
      <c r="E116" s="2" t="str" cm="1">
        <f t="array" aca="1" ref="E116" ca="1">IFERROR(
 INDEX(
  _xlfn._xlws.FILTER($V$1:$AY$1,
   TRANSPOSE(
    CHOOSE({1;2;3;4;5;6;7;8;9;10;11;12;13;14;15;16;17;18;19;20;21;22;23;24;25;26;27;28;29;30},
     COUNTIFS($V$2:$V$200,$G116)&gt;0,
     COUNTIFS($W$2:$W$200,$G116)&gt;0,
     COUNTIFS($X$2:$X$200,$G116)&gt;0,
     COUNTIFS($Y$2:$Y$200,$G116)&gt;0,
     COUNTIFS($Z$2:$Z$200,$G116)&gt;0,
     COUNTIFS($AA$2:$AA$200,$G116)&gt;0,
     COUNTIFS($AB$2:$AB$200,$G116)&gt;0,
     COUNTIFS($AC$2:$AC$200,$G116)&gt;0,
     COUNTIFS($AD$2:$AD$200,$G116)&gt;0,
     COUNTIFS($AE$2:$AE$200,$G116)&gt;0,
     COUNTIFS($AF$2:$AF$200,$G116)&gt;0,
     COUNTIFS($AG$2:$AG$200,$G116)&gt;0,
     COUNTIFS($AH$2:$AH$200,$G116)&gt;0,
     COUNTIFS($AI$2:$AI$200,$G116)&gt;0,
     COUNTIFS($AJ$2:$AJ$200,$G116)&gt;0,
     COUNTIFS($AK$2:$AK$200,$G116)&gt;0,
     COUNTIFS($AL$2:$AL$200,$G116)&gt;0,
     COUNTIFS($AM$2:$AM$200,$G116)&gt;0,
     COUNTIFS($AN$2:$AN$200,$G116)&gt;0,
     COUNTIFS($AO$2:$AO$200,$G116)&gt;0,
     COUNTIFS($AP$2:$AP$200,$G116)&gt;0,
     COUNTIFS($AQ$2:$AQ$200,$G116)&gt;0,
     COUNTIFS($AR$2:$AR$200,$G116)&gt;0,
     COUNTIFS($AS$2:$AS$200,$G116)&gt;0,
     COUNTIFS($AT$2:$AT$200,$G116)&gt;0,
     COUNTIFS($AU$2:$AU$200,$G116)&gt;0,
     COUNTIFS($AV$2:$AV$200,$G116)&gt;0,
     COUNTIFS($AW$2:$AW$200,$G116)&gt;0,
     COUNTIFS($AX$2:$AX$200,$G116)&gt;0,
     COUNTIFS($AY$2:$AY$200,$G116)&gt;0
   )),
  ),
  3
 ),
"")</f>
        <v/>
      </c>
      <c r="F116" s="2" t="str" cm="1">
        <f t="array" aca="1" ref="F116" ca="1">IFERROR(
 INDEX(
  _xlfn._xlws.FILTER($V$1:$AY$1,
   TRANSPOSE(
    CHOOSE({1;2;3;4;5;6;7;8;9;10;11;12;13;14;15;16;17;18;19;20;21;22;23;24;25;26;27;28;29;30},
     COUNTIFS($V$2:$V$200,$G116)&gt;0,
     COUNTIFS($W$2:$W$200,$G116)&gt;0,
     COUNTIFS($X$2:$X$200,$G116)&gt;0,
     COUNTIFS($Y$2:$Y$200,$G116)&gt;0,
     COUNTIFS($Z$2:$Z$200,$G116)&gt;0,
     COUNTIFS($AA$2:$AA$200,$G116)&gt;0,
     COUNTIFS($AB$2:$AB$200,$G116)&gt;0,
     COUNTIFS($AC$2:$AC$200,$G116)&gt;0,
     COUNTIFS($AD$2:$AD$200,$G116)&gt;0,
     COUNTIFS($AE$2:$AE$200,$G116)&gt;0,
     COUNTIFS($AF$2:$AF$200,$G116)&gt;0,
     COUNTIFS($AG$2:$AG$200,$G116)&gt;0,
     COUNTIFS($AH$2:$AH$200,$G116)&gt;0,
     COUNTIFS($AI$2:$AI$200,$G116)&gt;0,
     COUNTIFS($AJ$2:$AJ$200,$G116)&gt;0,
     COUNTIFS($AK$2:$AK$200,$G116)&gt;0,
     COUNTIFS($AL$2:$AL$200,$G116)&gt;0,
     COUNTIFS($AM$2:$AM$200,$G116)&gt;0,
     COUNTIFS($AN$2:$AN$200,$G116)&gt;0,
     COUNTIFS($AO$2:$AO$200,$G116)&gt;0,
     COUNTIFS($AP$2:$AP$200,$G116)&gt;0,
     COUNTIFS($AQ$2:$AQ$200,$G116)&gt;0,
     COUNTIFS($AR$2:$AR$200,$G116)&gt;0,
     COUNTIFS($AS$2:$AS$200,$G116)&gt;0,
     COUNTIFS($AT$2:$AT$200,$G116)&gt;0,
     COUNTIFS($AU$2:$AU$200,$G116)&gt;0,
     COUNTIFS($AV$2:$AV$200,$G116)&gt;0,
     COUNTIFS($AW$2:$AW$200,$G116)&gt;0,
     COUNTIFS($AX$2:$AX$200,$G116)&gt;0,
     COUNTIFS($AY$2:$AY$200,$G116)&gt;0
   )),
  ),
  4
 ),
"")</f>
        <v/>
      </c>
      <c r="G116" t="str">
        <f ca="1"/>
        <v>Darkheart Sliver</v>
      </c>
      <c r="DZ116" t="str">
        <f ca="1"/>
        <v>Swamp</v>
      </c>
      <c r="EI116" t="str">
        <f ca="1"/>
        <v>Strix Serenade</v>
      </c>
      <c r="EL116" t="str">
        <f ca="1"/>
        <v>Swamp</v>
      </c>
      <c r="EP116" t="str">
        <f ca="1"/>
        <v>Psychic Corrosion</v>
      </c>
      <c r="EQ116" t="str">
        <f ca="1"/>
        <v>Psionic Sliver</v>
      </c>
      <c r="ER116" t="str">
        <f ca="1"/>
        <v>Mountain</v>
      </c>
      <c r="EU116" t="str">
        <f ca="1"/>
        <v>Generous Patron</v>
      </c>
      <c r="EV116" t="str">
        <f ca="1"/>
        <v>Mountain</v>
      </c>
      <c r="EX116" t="str">
        <f ca="1"/>
        <v>Darkheart Sliver</v>
      </c>
    </row>
    <row r="117" spans="1:154" x14ac:dyDescent="0.25">
      <c r="A117" s="2" t="str">
        <f t="shared" ca="1" si="8"/>
        <v>4</v>
      </c>
      <c r="B117" s="2">
        <f t="shared" ca="1" si="9"/>
        <v>1</v>
      </c>
      <c r="C117" s="2" t="str">
        <f ca="1">IFERROR(
 INDEX($V$1:$BL$1,
  MATCH(TRUE,
   CHOOSE({1;2;3;4;5;6;7;8;9;10;11;12;13;14;15;16;17;18;19;20;21;22;23;24;25;26;27;28;29;30;31;32;33;34;35;36;37;38;39;40;41;42;43},
    COUNTIFS($V$2:$V$200,$G117)&gt;0,
    COUNTIFS($W$2:$W$200,$G117)&gt;0,
    COUNTIFS($X$2:$X$200,$G117)&gt;0,
    COUNTIFS($Y$2:$Y$200,$G117)&gt;0,
    COUNTIFS($Z$2:$Z$200,$G117)&gt;0,
    COUNTIFS($AA$2:$AA$200,$G117)&gt;0,
    COUNTIFS($AB$2:$AB$200,$G117)&gt;0,
    COUNTIFS($AC$2:$AC$200,$G117)&gt;0,
    COUNTIFS($AD$2:$AD$200,$G117)&gt;0,
    COUNTIFS($AE$2:$AE$200,$G117)&gt;0,
    COUNTIFS($AF$2:$AF$200,$G117)&gt;0,
    COUNTIFS($AG$2:$AG$200,$G117)&gt;0,
    COUNTIFS($AH$2:$AH$200,$G117)&gt;0,
    COUNTIFS($AI$2:$AI$200,$G117)&gt;0,
    COUNTIFS($AJ$2:$AJ$200,$G117)&gt;0,
    COUNTIFS($AK$2:$AK$200,$G117)&gt;0,
    COUNTIFS($AL$2:$AL$200,$G117)&gt;0,
    COUNTIFS($AM$2:$AM$200,$G117)&gt;0,
    COUNTIFS($AN$2:$AN$200,$G117)&gt;0,
    COUNTIFS($AO$2:$AO$200,$G117)&gt;0,
    COUNTIFS($AP$2:$AP$200,$G117)&gt;0,
    COUNTIFS($AQ$2:$AQ$200,$G117)&gt;0,
    COUNTIFS($AR$2:$AR$200,$G117)&gt;0,
    COUNTIFS($AS$2:$AS$200,$G117)&gt;0,
    COUNTIFS($AT$2:$AT$200,$G117)&gt;0,
    COUNTIFS($AU$2:$AU$200,$G117)&gt;0,
    COUNTIFS($AV$2:$AV$200,$G117)&gt;0,
    COUNTIFS($AW$2:$AW$200,$G117)&gt;0,
    COUNTIFS($AX$2:$AX$200,$G117)&gt;0,
    COUNTIFS($AY$2:$AY$200,$G117)&gt;0,
    COUNTIFS($AZ$2:$AZ$200,$G117)&gt;0,
    COUNTIFS($BA$2:$BA$200,$G117)&gt;0,
    COUNTIFS($BB$2:$BB$200,$G117)&gt;0,
    COUNTIFS($BC$2:$BC$200,$G117)&gt;0,
    COUNTIFS($BD$2:$BD$200,$G117)&gt;0,
    COUNTIFS($BE$2:$BE$200,$G117)&gt;0,
    COUNTIFS($BF$2:$BF$200,$G117)&gt;0,
    COUNTIFS($BG$2:$BG$200,$G117)&gt;0,
    COUNTIFS($BH$2:$BH$200,$G117)&gt;0,
    COUNTIFS($BI$2:$BI$200,$G117)&gt;0,
    COUNTIFS($BJ$2:$BJ$200,$G117)&gt;0,
    COUNTIFS($BK$2:$BK$200,$G117)&gt;0,
    COUNTIFS($BL$2:$BL$200,$G117)&gt;0,
    COUNTIFS($BM$2:$BM$200,$G117)&gt;0,
   ),
  0)
 ),
"")</f>
        <v>Ool</v>
      </c>
      <c r="D117" s="2" t="str" cm="1">
        <f t="array" aca="1" ref="D117" ca="1">IFERROR(
 INDEX(
  _xlfn._xlws.FILTER($V$1:$AY$1,
   TRANSPOSE(
    CHOOSE({1;2;3;4;5;6;7;8;9;10;11;12;13;14;15;16;17;18;19;20;21;22;23;24;25;26;27;28;29;30},
     COUNTIFS($V$2:$V$200,$G117)&gt;0,
     COUNTIFS($W$2:$W$200,$G117)&gt;0,
     COUNTIFS($X$2:$X$200,$G117)&gt;0,
     COUNTIFS($Y$2:$Y$200,$G117)&gt;0,
     COUNTIFS($Z$2:$Z$200,$G117)&gt;0,
     COUNTIFS($AA$2:$AA$200,$G117)&gt;0,
     COUNTIFS($AB$2:$AB$200,$G117)&gt;0,
     COUNTIFS($AC$2:$AC$200,$G117)&gt;0,
     COUNTIFS($AD$2:$AD$200,$G117)&gt;0,
     COUNTIFS($AE$2:$AE$200,$G117)&gt;0,
     COUNTIFS($AF$2:$AF$200,$G117)&gt;0,
     COUNTIFS($AG$2:$AG$200,$G117)&gt;0,
     COUNTIFS($AH$2:$AH$200,$G117)&gt;0,
     COUNTIFS($AI$2:$AI$200,$G117)&gt;0,
     COUNTIFS($AJ$2:$AJ$200,$G117)&gt;0,
     COUNTIFS($AK$2:$AK$200,$G117)&gt;0,
     COUNTIFS($AL$2:$AL$200,$G117)&gt;0,
     COUNTIFS($AM$2:$AM$200,$G117)&gt;0,
     COUNTIFS($AN$2:$AN$200,$G117)&gt;0,
     COUNTIFS($AO$2:$AO$200,$G117)&gt;0,
     COUNTIFS($AP$2:$AP$200,$G117)&gt;0,
     COUNTIFS($AQ$2:$AQ$200,$G117)&gt;0,
     COUNTIFS($AR$2:$AR$200,$G117)&gt;0,
     COUNTIFS($AS$2:$AS$200,$G117)&gt;0,
     COUNTIFS($AT$2:$AT$200,$G117)&gt;0,
     COUNTIFS($AU$2:$AU$200,$G117)&gt;0,
     COUNTIFS($AV$2:$AV$200,$G117)&gt;0,
     COUNTIFS($AW$2:$AW$200,$G117)&gt;0,
     COUNTIFS($AX$2:$AX$200,$G117)&gt;0,
     COUNTIFS($AY$2:$AY$200,$G117)&gt;0
   )),
  ),
  2
 ),
"")</f>
        <v/>
      </c>
      <c r="E117" s="2" t="str" cm="1">
        <f t="array" aca="1" ref="E117" ca="1">IFERROR(
 INDEX(
  _xlfn._xlws.FILTER($V$1:$AY$1,
   TRANSPOSE(
    CHOOSE({1;2;3;4;5;6;7;8;9;10;11;12;13;14;15;16;17;18;19;20;21;22;23;24;25;26;27;28;29;30},
     COUNTIFS($V$2:$V$200,$G117)&gt;0,
     COUNTIFS($W$2:$W$200,$G117)&gt;0,
     COUNTIFS($X$2:$X$200,$G117)&gt;0,
     COUNTIFS($Y$2:$Y$200,$G117)&gt;0,
     COUNTIFS($Z$2:$Z$200,$G117)&gt;0,
     COUNTIFS($AA$2:$AA$200,$G117)&gt;0,
     COUNTIFS($AB$2:$AB$200,$G117)&gt;0,
     COUNTIFS($AC$2:$AC$200,$G117)&gt;0,
     COUNTIFS($AD$2:$AD$200,$G117)&gt;0,
     COUNTIFS($AE$2:$AE$200,$G117)&gt;0,
     COUNTIFS($AF$2:$AF$200,$G117)&gt;0,
     COUNTIFS($AG$2:$AG$200,$G117)&gt;0,
     COUNTIFS($AH$2:$AH$200,$G117)&gt;0,
     COUNTIFS($AI$2:$AI$200,$G117)&gt;0,
     COUNTIFS($AJ$2:$AJ$200,$G117)&gt;0,
     COUNTIFS($AK$2:$AK$200,$G117)&gt;0,
     COUNTIFS($AL$2:$AL$200,$G117)&gt;0,
     COUNTIFS($AM$2:$AM$200,$G117)&gt;0,
     COUNTIFS($AN$2:$AN$200,$G117)&gt;0,
     COUNTIFS($AO$2:$AO$200,$G117)&gt;0,
     COUNTIFS($AP$2:$AP$200,$G117)&gt;0,
     COUNTIFS($AQ$2:$AQ$200,$G117)&gt;0,
     COUNTIFS($AR$2:$AR$200,$G117)&gt;0,
     COUNTIFS($AS$2:$AS$200,$G117)&gt;0,
     COUNTIFS($AT$2:$AT$200,$G117)&gt;0,
     COUNTIFS($AU$2:$AU$200,$G117)&gt;0,
     COUNTIFS($AV$2:$AV$200,$G117)&gt;0,
     COUNTIFS($AW$2:$AW$200,$G117)&gt;0,
     COUNTIFS($AX$2:$AX$200,$G117)&gt;0,
     COUNTIFS($AY$2:$AY$200,$G117)&gt;0
   )),
  ),
  3
 ),
"")</f>
        <v/>
      </c>
      <c r="F117" s="2" t="str" cm="1">
        <f t="array" aca="1" ref="F117" ca="1">IFERROR(
 INDEX(
  _xlfn._xlws.FILTER($V$1:$AY$1,
   TRANSPOSE(
    CHOOSE({1;2;3;4;5;6;7;8;9;10;11;12;13;14;15;16;17;18;19;20;21;22;23;24;25;26;27;28;29;30},
     COUNTIFS($V$2:$V$200,$G117)&gt;0,
     COUNTIFS($W$2:$W$200,$G117)&gt;0,
     COUNTIFS($X$2:$X$200,$G117)&gt;0,
     COUNTIFS($Y$2:$Y$200,$G117)&gt;0,
     COUNTIFS($Z$2:$Z$200,$G117)&gt;0,
     COUNTIFS($AA$2:$AA$200,$G117)&gt;0,
     COUNTIFS($AB$2:$AB$200,$G117)&gt;0,
     COUNTIFS($AC$2:$AC$200,$G117)&gt;0,
     COUNTIFS($AD$2:$AD$200,$G117)&gt;0,
     COUNTIFS($AE$2:$AE$200,$G117)&gt;0,
     COUNTIFS($AF$2:$AF$200,$G117)&gt;0,
     COUNTIFS($AG$2:$AG$200,$G117)&gt;0,
     COUNTIFS($AH$2:$AH$200,$G117)&gt;0,
     COUNTIFS($AI$2:$AI$200,$G117)&gt;0,
     COUNTIFS($AJ$2:$AJ$200,$G117)&gt;0,
     COUNTIFS($AK$2:$AK$200,$G117)&gt;0,
     COUNTIFS($AL$2:$AL$200,$G117)&gt;0,
     COUNTIFS($AM$2:$AM$200,$G117)&gt;0,
     COUNTIFS($AN$2:$AN$200,$G117)&gt;0,
     COUNTIFS($AO$2:$AO$200,$G117)&gt;0,
     COUNTIFS($AP$2:$AP$200,$G117)&gt;0,
     COUNTIFS($AQ$2:$AQ$200,$G117)&gt;0,
     COUNTIFS($AR$2:$AR$200,$G117)&gt;0,
     COUNTIFS($AS$2:$AS$200,$G117)&gt;0,
     COUNTIFS($AT$2:$AT$200,$G117)&gt;0,
     COUNTIFS($AU$2:$AU$200,$G117)&gt;0,
     COUNTIFS($AV$2:$AV$200,$G117)&gt;0,
     COUNTIFS($AW$2:$AW$200,$G117)&gt;0,
     COUNTIFS($AX$2:$AX$200,$G117)&gt;0,
     COUNTIFS($AY$2:$AY$200,$G117)&gt;0
   )),
  ),
  4
 ),
"")</f>
        <v/>
      </c>
      <c r="G117" t="str">
        <f ca="1"/>
        <v>Dawnhand Dissident</v>
      </c>
      <c r="DZ117" t="str">
        <f ca="1"/>
        <v>Tana, the Bloodsower</v>
      </c>
      <c r="EI117" t="str">
        <f ca="1"/>
        <v>Stump Stomp</v>
      </c>
      <c r="EL117" t="str">
        <f ca="1"/>
        <v>Tana, the Bloodsower</v>
      </c>
      <c r="EP117" t="str">
        <f ca="1"/>
        <v>Psychic Paper</v>
      </c>
      <c r="EQ117" t="str">
        <f ca="1"/>
        <v>Pulmonic Sliver</v>
      </c>
      <c r="ER117" t="str">
        <f ca="1"/>
        <v>Myrel, Shield of Argive</v>
      </c>
      <c r="EU117" t="str">
        <f ca="1"/>
        <v>Ghostly Prison</v>
      </c>
      <c r="EV117" t="str">
        <f ca="1"/>
        <v>Myrel, Shield of Argive</v>
      </c>
      <c r="EX117" t="str">
        <f ca="1"/>
        <v>Dawnhand Dissident</v>
      </c>
    </row>
    <row r="118" spans="1:154" x14ac:dyDescent="0.25">
      <c r="A118" s="2" t="str">
        <f t="shared" ca="1" si="8"/>
        <v>5</v>
      </c>
      <c r="B118" s="2">
        <f t="shared" ca="1" si="9"/>
        <v>1</v>
      </c>
      <c r="C118" s="2" t="str">
        <f ca="1">IFERROR(
 INDEX($V$1:$BL$1,
  MATCH(TRUE,
   CHOOSE({1;2;3;4;5;6;7;8;9;10;11;12;13;14;15;16;17;18;19;20;21;22;23;24;25;26;27;28;29;30;31;32;33;34;35;36;37;38;39;40;41;42;43},
    COUNTIFS($V$2:$V$200,$G118)&gt;0,
    COUNTIFS($W$2:$W$200,$G118)&gt;0,
    COUNTIFS($X$2:$X$200,$G118)&gt;0,
    COUNTIFS($Y$2:$Y$200,$G118)&gt;0,
    COUNTIFS($Z$2:$Z$200,$G118)&gt;0,
    COUNTIFS($AA$2:$AA$200,$G118)&gt;0,
    COUNTIFS($AB$2:$AB$200,$G118)&gt;0,
    COUNTIFS($AC$2:$AC$200,$G118)&gt;0,
    COUNTIFS($AD$2:$AD$200,$G118)&gt;0,
    COUNTIFS($AE$2:$AE$200,$G118)&gt;0,
    COUNTIFS($AF$2:$AF$200,$G118)&gt;0,
    COUNTIFS($AG$2:$AG$200,$G118)&gt;0,
    COUNTIFS($AH$2:$AH$200,$G118)&gt;0,
    COUNTIFS($AI$2:$AI$200,$G118)&gt;0,
    COUNTIFS($AJ$2:$AJ$200,$G118)&gt;0,
    COUNTIFS($AK$2:$AK$200,$G118)&gt;0,
    COUNTIFS($AL$2:$AL$200,$G118)&gt;0,
    COUNTIFS($AM$2:$AM$200,$G118)&gt;0,
    COUNTIFS($AN$2:$AN$200,$G118)&gt;0,
    COUNTIFS($AO$2:$AO$200,$G118)&gt;0,
    COUNTIFS($AP$2:$AP$200,$G118)&gt;0,
    COUNTIFS($AQ$2:$AQ$200,$G118)&gt;0,
    COUNTIFS($AR$2:$AR$200,$G118)&gt;0,
    COUNTIFS($AS$2:$AS$200,$G118)&gt;0,
    COUNTIFS($AT$2:$AT$200,$G118)&gt;0,
    COUNTIFS($AU$2:$AU$200,$G118)&gt;0,
    COUNTIFS($AV$2:$AV$200,$G118)&gt;0,
    COUNTIFS($AW$2:$AW$200,$G118)&gt;0,
    COUNTIFS($AX$2:$AX$200,$G118)&gt;0,
    COUNTIFS($AY$2:$AY$200,$G118)&gt;0,
    COUNTIFS($AZ$2:$AZ$200,$G118)&gt;0,
    COUNTIFS($BA$2:$BA$200,$G118)&gt;0,
    COUNTIFS($BB$2:$BB$200,$G118)&gt;0,
    COUNTIFS($BC$2:$BC$200,$G118)&gt;0,
    COUNTIFS($BD$2:$BD$200,$G118)&gt;0,
    COUNTIFS($BE$2:$BE$200,$G118)&gt;0,
    COUNTIFS($BF$2:$BF$200,$G118)&gt;0,
    COUNTIFS($BG$2:$BG$200,$G118)&gt;0,
    COUNTIFS($BH$2:$BH$200,$G118)&gt;0,
    COUNTIFS($BI$2:$BI$200,$G118)&gt;0,
    COUNTIFS($BJ$2:$BJ$200,$G118)&gt;0,
    COUNTIFS($BK$2:$BK$200,$G118)&gt;0,
    COUNTIFS($BL$2:$BL$200,$G118)&gt;0,
    COUNTIFS($BM$2:$BM$200,$G118)&gt;0,
   ),
  0)
 ),
"")</f>
        <v>4cRash</v>
      </c>
      <c r="D118" s="2" t="str" cm="1">
        <f t="array" aca="1" ref="D118" ca="1">IFERROR(
 INDEX(
  _xlfn._xlws.FILTER($V$1:$AY$1,
   TRANSPOSE(
    CHOOSE({1;2;3;4;5;6;7;8;9;10;11;12;13;14;15;16;17;18;19;20;21;22;23;24;25;26;27;28;29;30},
     COUNTIFS($V$2:$V$200,$G118)&gt;0,
     COUNTIFS($W$2:$W$200,$G118)&gt;0,
     COUNTIFS($X$2:$X$200,$G118)&gt;0,
     COUNTIFS($Y$2:$Y$200,$G118)&gt;0,
     COUNTIFS($Z$2:$Z$200,$G118)&gt;0,
     COUNTIFS($AA$2:$AA$200,$G118)&gt;0,
     COUNTIFS($AB$2:$AB$200,$G118)&gt;0,
     COUNTIFS($AC$2:$AC$200,$G118)&gt;0,
     COUNTIFS($AD$2:$AD$200,$G118)&gt;0,
     COUNTIFS($AE$2:$AE$200,$G118)&gt;0,
     COUNTIFS($AF$2:$AF$200,$G118)&gt;0,
     COUNTIFS($AG$2:$AG$200,$G118)&gt;0,
     COUNTIFS($AH$2:$AH$200,$G118)&gt;0,
     COUNTIFS($AI$2:$AI$200,$G118)&gt;0,
     COUNTIFS($AJ$2:$AJ$200,$G118)&gt;0,
     COUNTIFS($AK$2:$AK$200,$G118)&gt;0,
     COUNTIFS($AL$2:$AL$200,$G118)&gt;0,
     COUNTIFS($AM$2:$AM$200,$G118)&gt;0,
     COUNTIFS($AN$2:$AN$200,$G118)&gt;0,
     COUNTIFS($AO$2:$AO$200,$G118)&gt;0,
     COUNTIFS($AP$2:$AP$200,$G118)&gt;0,
     COUNTIFS($AQ$2:$AQ$200,$G118)&gt;0,
     COUNTIFS($AR$2:$AR$200,$G118)&gt;0,
     COUNTIFS($AS$2:$AS$200,$G118)&gt;0,
     COUNTIFS($AT$2:$AT$200,$G118)&gt;0,
     COUNTIFS($AU$2:$AU$200,$G118)&gt;0,
     COUNTIFS($AV$2:$AV$200,$G118)&gt;0,
     COUNTIFS($AW$2:$AW$200,$G118)&gt;0,
     COUNTIFS($AX$2:$AX$200,$G118)&gt;0,
     COUNTIFS($AY$2:$AY$200,$G118)&gt;0
   )),
  ),
  2
 ),
"")</f>
        <v/>
      </c>
      <c r="E118" s="2" t="str" cm="1">
        <f t="array" aca="1" ref="E118" ca="1">IFERROR(
 INDEX(
  _xlfn._xlws.FILTER($V$1:$AY$1,
   TRANSPOSE(
    CHOOSE({1;2;3;4;5;6;7;8;9;10;11;12;13;14;15;16;17;18;19;20;21;22;23;24;25;26;27;28;29;30},
     COUNTIFS($V$2:$V$200,$G118)&gt;0,
     COUNTIFS($W$2:$W$200,$G118)&gt;0,
     COUNTIFS($X$2:$X$200,$G118)&gt;0,
     COUNTIFS($Y$2:$Y$200,$G118)&gt;0,
     COUNTIFS($Z$2:$Z$200,$G118)&gt;0,
     COUNTIFS($AA$2:$AA$200,$G118)&gt;0,
     COUNTIFS($AB$2:$AB$200,$G118)&gt;0,
     COUNTIFS($AC$2:$AC$200,$G118)&gt;0,
     COUNTIFS($AD$2:$AD$200,$G118)&gt;0,
     COUNTIFS($AE$2:$AE$200,$G118)&gt;0,
     COUNTIFS($AF$2:$AF$200,$G118)&gt;0,
     COUNTIFS($AG$2:$AG$200,$G118)&gt;0,
     COUNTIFS($AH$2:$AH$200,$G118)&gt;0,
     COUNTIFS($AI$2:$AI$200,$G118)&gt;0,
     COUNTIFS($AJ$2:$AJ$200,$G118)&gt;0,
     COUNTIFS($AK$2:$AK$200,$G118)&gt;0,
     COUNTIFS($AL$2:$AL$200,$G118)&gt;0,
     COUNTIFS($AM$2:$AM$200,$G118)&gt;0,
     COUNTIFS($AN$2:$AN$200,$G118)&gt;0,
     COUNTIFS($AO$2:$AO$200,$G118)&gt;0,
     COUNTIFS($AP$2:$AP$200,$G118)&gt;0,
     COUNTIFS($AQ$2:$AQ$200,$G118)&gt;0,
     COUNTIFS($AR$2:$AR$200,$G118)&gt;0,
     COUNTIFS($AS$2:$AS$200,$G118)&gt;0,
     COUNTIFS($AT$2:$AT$200,$G118)&gt;0,
     COUNTIFS($AU$2:$AU$200,$G118)&gt;0,
     COUNTIFS($AV$2:$AV$200,$G118)&gt;0,
     COUNTIFS($AW$2:$AW$200,$G118)&gt;0,
     COUNTIFS($AX$2:$AX$200,$G118)&gt;0,
     COUNTIFS($AY$2:$AY$200,$G118)&gt;0
   )),
  ),
  3
 ),
"")</f>
        <v/>
      </c>
      <c r="F118" s="2" t="str" cm="1">
        <f t="array" aca="1" ref="F118" ca="1">IFERROR(
 INDEX(
  _xlfn._xlws.FILTER($V$1:$AY$1,
   TRANSPOSE(
    CHOOSE({1;2;3;4;5;6;7;8;9;10;11;12;13;14;15;16;17;18;19;20;21;22;23;24;25;26;27;28;29;30},
     COUNTIFS($V$2:$V$200,$G118)&gt;0,
     COUNTIFS($W$2:$W$200,$G118)&gt;0,
     COUNTIFS($X$2:$X$200,$G118)&gt;0,
     COUNTIFS($Y$2:$Y$200,$G118)&gt;0,
     COUNTIFS($Z$2:$Z$200,$G118)&gt;0,
     COUNTIFS($AA$2:$AA$200,$G118)&gt;0,
     COUNTIFS($AB$2:$AB$200,$G118)&gt;0,
     COUNTIFS($AC$2:$AC$200,$G118)&gt;0,
     COUNTIFS($AD$2:$AD$200,$G118)&gt;0,
     COUNTIFS($AE$2:$AE$200,$G118)&gt;0,
     COUNTIFS($AF$2:$AF$200,$G118)&gt;0,
     COUNTIFS($AG$2:$AG$200,$G118)&gt;0,
     COUNTIFS($AH$2:$AH$200,$G118)&gt;0,
     COUNTIFS($AI$2:$AI$200,$G118)&gt;0,
     COUNTIFS($AJ$2:$AJ$200,$G118)&gt;0,
     COUNTIFS($AK$2:$AK$200,$G118)&gt;0,
     COUNTIFS($AL$2:$AL$200,$G118)&gt;0,
     COUNTIFS($AM$2:$AM$200,$G118)&gt;0,
     COUNTIFS($AN$2:$AN$200,$G118)&gt;0,
     COUNTIFS($AO$2:$AO$200,$G118)&gt;0,
     COUNTIFS($AP$2:$AP$200,$G118)&gt;0,
     COUNTIFS($AQ$2:$AQ$200,$G118)&gt;0,
     COUNTIFS($AR$2:$AR$200,$G118)&gt;0,
     COUNTIFS($AS$2:$AS$200,$G118)&gt;0,
     COUNTIFS($AT$2:$AT$200,$G118)&gt;0,
     COUNTIFS($AU$2:$AU$200,$G118)&gt;0,
     COUNTIFS($AV$2:$AV$200,$G118)&gt;0,
     COUNTIFS($AW$2:$AW$200,$G118)&gt;0,
     COUNTIFS($AX$2:$AX$200,$G118)&gt;0,
     COUNTIFS($AY$2:$AY$200,$G118)&gt;0
   )),
  ),
  4
 ),
"")</f>
        <v/>
      </c>
      <c r="G118" t="str">
        <f ca="1"/>
        <v>Deathsprout</v>
      </c>
      <c r="DZ118" t="str">
        <f ca="1"/>
        <v>Tear Asunder</v>
      </c>
      <c r="EI118" t="str">
        <f ca="1"/>
        <v>Swamp</v>
      </c>
      <c r="EL118" t="str">
        <f ca="1"/>
        <v>Tear Asunder</v>
      </c>
      <c r="EP118" t="str">
        <f ca="1"/>
        <v>Purphoros, God of the Forge</v>
      </c>
      <c r="EQ118" t="str">
        <f ca="1"/>
        <v>Puncture Blast</v>
      </c>
      <c r="ER118" t="str">
        <f ca="1"/>
        <v>Mystic Confluence</v>
      </c>
      <c r="EU118" t="str">
        <f ca="1"/>
        <v>Ghoulish Impetus</v>
      </c>
      <c r="EV118" t="str">
        <f ca="1"/>
        <v>Mystic Confluence</v>
      </c>
      <c r="EX118" t="str">
        <f ca="1"/>
        <v>Deathsprout</v>
      </c>
    </row>
    <row r="119" spans="1:154" x14ac:dyDescent="0.25">
      <c r="A119" s="2" t="str">
        <f t="shared" ca="1" si="8"/>
        <v>5</v>
      </c>
      <c r="B119" s="2">
        <f t="shared" ca="1" si="9"/>
        <v>1</v>
      </c>
      <c r="C119" s="2" t="str">
        <f ca="1">IFERROR(
 INDEX($V$1:$BL$1,
  MATCH(TRUE,
   CHOOSE({1;2;3;4;5;6;7;8;9;10;11;12;13;14;15;16;17;18;19;20;21;22;23;24;25;26;27;28;29;30;31;32;33;34;35;36;37;38;39;40;41;42;43},
    COUNTIFS($V$2:$V$200,$G119)&gt;0,
    COUNTIFS($W$2:$W$200,$G119)&gt;0,
    COUNTIFS($X$2:$X$200,$G119)&gt;0,
    COUNTIFS($Y$2:$Y$200,$G119)&gt;0,
    COUNTIFS($Z$2:$Z$200,$G119)&gt;0,
    COUNTIFS($AA$2:$AA$200,$G119)&gt;0,
    COUNTIFS($AB$2:$AB$200,$G119)&gt;0,
    COUNTIFS($AC$2:$AC$200,$G119)&gt;0,
    COUNTIFS($AD$2:$AD$200,$G119)&gt;0,
    COUNTIFS($AE$2:$AE$200,$G119)&gt;0,
    COUNTIFS($AF$2:$AF$200,$G119)&gt;0,
    COUNTIFS($AG$2:$AG$200,$G119)&gt;0,
    COUNTIFS($AH$2:$AH$200,$G119)&gt;0,
    COUNTIFS($AI$2:$AI$200,$G119)&gt;0,
    COUNTIFS($AJ$2:$AJ$200,$G119)&gt;0,
    COUNTIFS($AK$2:$AK$200,$G119)&gt;0,
    COUNTIFS($AL$2:$AL$200,$G119)&gt;0,
    COUNTIFS($AM$2:$AM$200,$G119)&gt;0,
    COUNTIFS($AN$2:$AN$200,$G119)&gt;0,
    COUNTIFS($AO$2:$AO$200,$G119)&gt;0,
    COUNTIFS($AP$2:$AP$200,$G119)&gt;0,
    COUNTIFS($AQ$2:$AQ$200,$G119)&gt;0,
    COUNTIFS($AR$2:$AR$200,$G119)&gt;0,
    COUNTIFS($AS$2:$AS$200,$G119)&gt;0,
    COUNTIFS($AT$2:$AT$200,$G119)&gt;0,
    COUNTIFS($AU$2:$AU$200,$G119)&gt;0,
    COUNTIFS($AV$2:$AV$200,$G119)&gt;0,
    COUNTIFS($AW$2:$AW$200,$G119)&gt;0,
    COUNTIFS($AX$2:$AX$200,$G119)&gt;0,
    COUNTIFS($AY$2:$AY$200,$G119)&gt;0,
    COUNTIFS($AZ$2:$AZ$200,$G119)&gt;0,
    COUNTIFS($BA$2:$BA$200,$G119)&gt;0,
    COUNTIFS($BB$2:$BB$200,$G119)&gt;0,
    COUNTIFS($BC$2:$BC$200,$G119)&gt;0,
    COUNTIFS($BD$2:$BD$200,$G119)&gt;0,
    COUNTIFS($BE$2:$BE$200,$G119)&gt;0,
    COUNTIFS($BF$2:$BF$200,$G119)&gt;0,
    COUNTIFS($BG$2:$BG$200,$G119)&gt;0,
    COUNTIFS($BH$2:$BH$200,$G119)&gt;0,
    COUNTIFS($BI$2:$BI$200,$G119)&gt;0,
    COUNTIFS($BJ$2:$BJ$200,$G119)&gt;0,
    COUNTIFS($BK$2:$BK$200,$G119)&gt;0,
    COUNTIFS($BL$2:$BL$200,$G119)&gt;0,
    COUNTIFS($BM$2:$BM$200,$G119)&gt;0,
   ),
  0)
 ),
"")</f>
        <v>Zuko</v>
      </c>
      <c r="D119" s="2" t="str" cm="1">
        <f t="array" aca="1" ref="D119" ca="1">IFERROR(
 INDEX(
  _xlfn._xlws.FILTER($V$1:$AY$1,
   TRANSPOSE(
    CHOOSE({1;2;3;4;5;6;7;8;9;10;11;12;13;14;15;16;17;18;19;20;21;22;23;24;25;26;27;28;29;30},
     COUNTIFS($V$2:$V$200,$G119)&gt;0,
     COUNTIFS($W$2:$W$200,$G119)&gt;0,
     COUNTIFS($X$2:$X$200,$G119)&gt;0,
     COUNTIFS($Y$2:$Y$200,$G119)&gt;0,
     COUNTIFS($Z$2:$Z$200,$G119)&gt;0,
     COUNTIFS($AA$2:$AA$200,$G119)&gt;0,
     COUNTIFS($AB$2:$AB$200,$G119)&gt;0,
     COUNTIFS($AC$2:$AC$200,$G119)&gt;0,
     COUNTIFS($AD$2:$AD$200,$G119)&gt;0,
     COUNTIFS($AE$2:$AE$200,$G119)&gt;0,
     COUNTIFS($AF$2:$AF$200,$G119)&gt;0,
     COUNTIFS($AG$2:$AG$200,$G119)&gt;0,
     COUNTIFS($AH$2:$AH$200,$G119)&gt;0,
     COUNTIFS($AI$2:$AI$200,$G119)&gt;0,
     COUNTIFS($AJ$2:$AJ$200,$G119)&gt;0,
     COUNTIFS($AK$2:$AK$200,$G119)&gt;0,
     COUNTIFS($AL$2:$AL$200,$G119)&gt;0,
     COUNTIFS($AM$2:$AM$200,$G119)&gt;0,
     COUNTIFS($AN$2:$AN$200,$G119)&gt;0,
     COUNTIFS($AO$2:$AO$200,$G119)&gt;0,
     COUNTIFS($AP$2:$AP$200,$G119)&gt;0,
     COUNTIFS($AQ$2:$AQ$200,$G119)&gt;0,
     COUNTIFS($AR$2:$AR$200,$G119)&gt;0,
     COUNTIFS($AS$2:$AS$200,$G119)&gt;0,
     COUNTIFS($AT$2:$AT$200,$G119)&gt;0,
     COUNTIFS($AU$2:$AU$200,$G119)&gt;0,
     COUNTIFS($AV$2:$AV$200,$G119)&gt;0,
     COUNTIFS($AW$2:$AW$200,$G119)&gt;0,
     COUNTIFS($AX$2:$AX$200,$G119)&gt;0,
     COUNTIFS($AY$2:$AY$200,$G119)&gt;0
   )),
  ),
  2
 ),
"")</f>
        <v/>
      </c>
      <c r="E119" s="2" t="str" cm="1">
        <f t="array" aca="1" ref="E119" ca="1">IFERROR(
 INDEX(
  _xlfn._xlws.FILTER($V$1:$AY$1,
   TRANSPOSE(
    CHOOSE({1;2;3;4;5;6;7;8;9;10;11;12;13;14;15;16;17;18;19;20;21;22;23;24;25;26;27;28;29;30},
     COUNTIFS($V$2:$V$200,$G119)&gt;0,
     COUNTIFS($W$2:$W$200,$G119)&gt;0,
     COUNTIFS($X$2:$X$200,$G119)&gt;0,
     COUNTIFS($Y$2:$Y$200,$G119)&gt;0,
     COUNTIFS($Z$2:$Z$200,$G119)&gt;0,
     COUNTIFS($AA$2:$AA$200,$G119)&gt;0,
     COUNTIFS($AB$2:$AB$200,$G119)&gt;0,
     COUNTIFS($AC$2:$AC$200,$G119)&gt;0,
     COUNTIFS($AD$2:$AD$200,$G119)&gt;0,
     COUNTIFS($AE$2:$AE$200,$G119)&gt;0,
     COUNTIFS($AF$2:$AF$200,$G119)&gt;0,
     COUNTIFS($AG$2:$AG$200,$G119)&gt;0,
     COUNTIFS($AH$2:$AH$200,$G119)&gt;0,
     COUNTIFS($AI$2:$AI$200,$G119)&gt;0,
     COUNTIFS($AJ$2:$AJ$200,$G119)&gt;0,
     COUNTIFS($AK$2:$AK$200,$G119)&gt;0,
     COUNTIFS($AL$2:$AL$200,$G119)&gt;0,
     COUNTIFS($AM$2:$AM$200,$G119)&gt;0,
     COUNTIFS($AN$2:$AN$200,$G119)&gt;0,
     COUNTIFS($AO$2:$AO$200,$G119)&gt;0,
     COUNTIFS($AP$2:$AP$200,$G119)&gt;0,
     COUNTIFS($AQ$2:$AQ$200,$G119)&gt;0,
     COUNTIFS($AR$2:$AR$200,$G119)&gt;0,
     COUNTIFS($AS$2:$AS$200,$G119)&gt;0,
     COUNTIFS($AT$2:$AT$200,$G119)&gt;0,
     COUNTIFS($AU$2:$AU$200,$G119)&gt;0,
     COUNTIFS($AV$2:$AV$200,$G119)&gt;0,
     COUNTIFS($AW$2:$AW$200,$G119)&gt;0,
     COUNTIFS($AX$2:$AX$200,$G119)&gt;0,
     COUNTIFS($AY$2:$AY$200,$G119)&gt;0
   )),
  ),
  3
 ),
"")</f>
        <v/>
      </c>
      <c r="F119" s="2" t="str" cm="1">
        <f t="array" aca="1" ref="F119" ca="1">IFERROR(
 INDEX(
  _xlfn._xlws.FILTER($V$1:$AY$1,
   TRANSPOSE(
    CHOOSE({1;2;3;4;5;6;7;8;9;10;11;12;13;14;15;16;17;18;19;20;21;22;23;24;25;26;27;28;29;30},
     COUNTIFS($V$2:$V$200,$G119)&gt;0,
     COUNTIFS($W$2:$W$200,$G119)&gt;0,
     COUNTIFS($X$2:$X$200,$G119)&gt;0,
     COUNTIFS($Y$2:$Y$200,$G119)&gt;0,
     COUNTIFS($Z$2:$Z$200,$G119)&gt;0,
     COUNTIFS($AA$2:$AA$200,$G119)&gt;0,
     COUNTIFS($AB$2:$AB$200,$G119)&gt;0,
     COUNTIFS($AC$2:$AC$200,$G119)&gt;0,
     COUNTIFS($AD$2:$AD$200,$G119)&gt;0,
     COUNTIFS($AE$2:$AE$200,$G119)&gt;0,
     COUNTIFS($AF$2:$AF$200,$G119)&gt;0,
     COUNTIFS($AG$2:$AG$200,$G119)&gt;0,
     COUNTIFS($AH$2:$AH$200,$G119)&gt;0,
     COUNTIFS($AI$2:$AI$200,$G119)&gt;0,
     COUNTIFS($AJ$2:$AJ$200,$G119)&gt;0,
     COUNTIFS($AK$2:$AK$200,$G119)&gt;0,
     COUNTIFS($AL$2:$AL$200,$G119)&gt;0,
     COUNTIFS($AM$2:$AM$200,$G119)&gt;0,
     COUNTIFS($AN$2:$AN$200,$G119)&gt;0,
     COUNTIFS($AO$2:$AO$200,$G119)&gt;0,
     COUNTIFS($AP$2:$AP$200,$G119)&gt;0,
     COUNTIFS($AQ$2:$AQ$200,$G119)&gt;0,
     COUNTIFS($AR$2:$AR$200,$G119)&gt;0,
     COUNTIFS($AS$2:$AS$200,$G119)&gt;0,
     COUNTIFS($AT$2:$AT$200,$G119)&gt;0,
     COUNTIFS($AU$2:$AU$200,$G119)&gt;0,
     COUNTIFS($AV$2:$AV$200,$G119)&gt;0,
     COUNTIFS($AW$2:$AW$200,$G119)&gt;0,
     COUNTIFS($AX$2:$AX$200,$G119)&gt;0,
     COUNTIFS($AY$2:$AY$200,$G119)&gt;0
   )),
  ),
  4
 ),
"")</f>
        <v/>
      </c>
      <c r="G119" t="str">
        <f ca="1"/>
        <v>Debt of Loyalty</v>
      </c>
      <c r="DZ119" t="str">
        <f ca="1"/>
        <v>Temple of the False God</v>
      </c>
      <c r="EI119" t="str">
        <f ca="1"/>
        <v>Swan Song</v>
      </c>
      <c r="EL119" t="str">
        <f ca="1"/>
        <v>Temple of the False God</v>
      </c>
      <c r="EP119" t="str">
        <f ca="1"/>
        <v>Raven Eagle</v>
      </c>
      <c r="EQ119" t="str">
        <f ca="1"/>
        <v>Quick Sliver</v>
      </c>
      <c r="ER119" t="str">
        <f ca="1"/>
        <v>Mystic Sanctuary</v>
      </c>
      <c r="EU119" t="str">
        <f ca="1"/>
        <v>Giggling Skitterspike</v>
      </c>
      <c r="EV119" t="str">
        <f ca="1"/>
        <v>Mystic Sanctuary</v>
      </c>
      <c r="EX119" t="str">
        <f ca="1"/>
        <v>Debt of Loyalty</v>
      </c>
    </row>
    <row r="120" spans="1:154" x14ac:dyDescent="0.25">
      <c r="A120" s="2" t="str">
        <f t="shared" ca="1" si="8"/>
        <v>2</v>
      </c>
      <c r="B120" s="2">
        <f t="shared" ca="1" si="9"/>
        <v>1</v>
      </c>
      <c r="C120" s="2" t="str">
        <f ca="1">IFERROR(
 INDEX($V$1:$BL$1,
  MATCH(TRUE,
   CHOOSE({1;2;3;4;5;6;7;8;9;10;11;12;13;14;15;16;17;18;19;20;21;22;23;24;25;26;27;28;29;30;31;32;33;34;35;36;37;38;39;40;41;42;43},
    COUNTIFS($V$2:$V$200,$G120)&gt;0,
    COUNTIFS($W$2:$W$200,$G120)&gt;0,
    COUNTIFS($X$2:$X$200,$G120)&gt;0,
    COUNTIFS($Y$2:$Y$200,$G120)&gt;0,
    COUNTIFS($Z$2:$Z$200,$G120)&gt;0,
    COUNTIFS($AA$2:$AA$200,$G120)&gt;0,
    COUNTIFS($AB$2:$AB$200,$G120)&gt;0,
    COUNTIFS($AC$2:$AC$200,$G120)&gt;0,
    COUNTIFS($AD$2:$AD$200,$G120)&gt;0,
    COUNTIFS($AE$2:$AE$200,$G120)&gt;0,
    COUNTIFS($AF$2:$AF$200,$G120)&gt;0,
    COUNTIFS($AG$2:$AG$200,$G120)&gt;0,
    COUNTIFS($AH$2:$AH$200,$G120)&gt;0,
    COUNTIFS($AI$2:$AI$200,$G120)&gt;0,
    COUNTIFS($AJ$2:$AJ$200,$G120)&gt;0,
    COUNTIFS($AK$2:$AK$200,$G120)&gt;0,
    COUNTIFS($AL$2:$AL$200,$G120)&gt;0,
    COUNTIFS($AM$2:$AM$200,$G120)&gt;0,
    COUNTIFS($AN$2:$AN$200,$G120)&gt;0,
    COUNTIFS($AO$2:$AO$200,$G120)&gt;0,
    COUNTIFS($AP$2:$AP$200,$G120)&gt;0,
    COUNTIFS($AQ$2:$AQ$200,$G120)&gt;0,
    COUNTIFS($AR$2:$AR$200,$G120)&gt;0,
    COUNTIFS($AS$2:$AS$200,$G120)&gt;0,
    COUNTIFS($AT$2:$AT$200,$G120)&gt;0,
    COUNTIFS($AU$2:$AU$200,$G120)&gt;0,
    COUNTIFS($AV$2:$AV$200,$G120)&gt;0,
    COUNTIFS($AW$2:$AW$200,$G120)&gt;0,
    COUNTIFS($AX$2:$AX$200,$G120)&gt;0,
    COUNTIFS($AY$2:$AY$200,$G120)&gt;0,
    COUNTIFS($AZ$2:$AZ$200,$G120)&gt;0,
    COUNTIFS($BA$2:$BA$200,$G120)&gt;0,
    COUNTIFS($BB$2:$BB$200,$G120)&gt;0,
    COUNTIFS($BC$2:$BC$200,$G120)&gt;0,
    COUNTIFS($BD$2:$BD$200,$G120)&gt;0,
    COUNTIFS($BE$2:$BE$200,$G120)&gt;0,
    COUNTIFS($BF$2:$BF$200,$G120)&gt;0,
    COUNTIFS($BG$2:$BG$200,$G120)&gt;0,
    COUNTIFS($BH$2:$BH$200,$G120)&gt;0,
    COUNTIFS($BI$2:$BI$200,$G120)&gt;0,
    COUNTIFS($BJ$2:$BJ$200,$G120)&gt;0,
    COUNTIFS($BK$2:$BK$200,$G120)&gt;0,
    COUNTIFS($BL$2:$BL$200,$G120)&gt;0,
    COUNTIFS($BM$2:$BM$200,$G120)&gt;0,
   ),
  0)
 ),
"")</f>
        <v>Gitrog</v>
      </c>
      <c r="D120" s="2" t="str" cm="1">
        <f t="array" aca="1" ref="D120" ca="1">IFERROR(
 INDEX(
  _xlfn._xlws.FILTER($V$1:$AY$1,
   TRANSPOSE(
    CHOOSE({1;2;3;4;5;6;7;8;9;10;11;12;13;14;15;16;17;18;19;20;21;22;23;24;25;26;27;28;29;30},
     COUNTIFS($V$2:$V$200,$G120)&gt;0,
     COUNTIFS($W$2:$W$200,$G120)&gt;0,
     COUNTIFS($X$2:$X$200,$G120)&gt;0,
     COUNTIFS($Y$2:$Y$200,$G120)&gt;0,
     COUNTIFS($Z$2:$Z$200,$G120)&gt;0,
     COUNTIFS($AA$2:$AA$200,$G120)&gt;0,
     COUNTIFS($AB$2:$AB$200,$G120)&gt;0,
     COUNTIFS($AC$2:$AC$200,$G120)&gt;0,
     COUNTIFS($AD$2:$AD$200,$G120)&gt;0,
     COUNTIFS($AE$2:$AE$200,$G120)&gt;0,
     COUNTIFS($AF$2:$AF$200,$G120)&gt;0,
     COUNTIFS($AG$2:$AG$200,$G120)&gt;0,
     COUNTIFS($AH$2:$AH$200,$G120)&gt;0,
     COUNTIFS($AI$2:$AI$200,$G120)&gt;0,
     COUNTIFS($AJ$2:$AJ$200,$G120)&gt;0,
     COUNTIFS($AK$2:$AK$200,$G120)&gt;0,
     COUNTIFS($AL$2:$AL$200,$G120)&gt;0,
     COUNTIFS($AM$2:$AM$200,$G120)&gt;0,
     COUNTIFS($AN$2:$AN$200,$G120)&gt;0,
     COUNTIFS($AO$2:$AO$200,$G120)&gt;0,
     COUNTIFS($AP$2:$AP$200,$G120)&gt;0,
     COUNTIFS($AQ$2:$AQ$200,$G120)&gt;0,
     COUNTIFS($AR$2:$AR$200,$G120)&gt;0,
     COUNTIFS($AS$2:$AS$200,$G120)&gt;0,
     COUNTIFS($AT$2:$AT$200,$G120)&gt;0,
     COUNTIFS($AU$2:$AU$200,$G120)&gt;0,
     COUNTIFS($AV$2:$AV$200,$G120)&gt;0,
     COUNTIFS($AW$2:$AW$200,$G120)&gt;0,
     COUNTIFS($AX$2:$AX$200,$G120)&gt;0,
     COUNTIFS($AY$2:$AY$200,$G120)&gt;0
   )),
  ),
  2
 ),
"")</f>
        <v/>
      </c>
      <c r="E120" s="2" t="str" cm="1">
        <f t="array" aca="1" ref="E120" ca="1">IFERROR(
 INDEX(
  _xlfn._xlws.FILTER($V$1:$AY$1,
   TRANSPOSE(
    CHOOSE({1;2;3;4;5;6;7;8;9;10;11;12;13;14;15;16;17;18;19;20;21;22;23;24;25;26;27;28;29;30},
     COUNTIFS($V$2:$V$200,$G120)&gt;0,
     COUNTIFS($W$2:$W$200,$G120)&gt;0,
     COUNTIFS($X$2:$X$200,$G120)&gt;0,
     COUNTIFS($Y$2:$Y$200,$G120)&gt;0,
     COUNTIFS($Z$2:$Z$200,$G120)&gt;0,
     COUNTIFS($AA$2:$AA$200,$G120)&gt;0,
     COUNTIFS($AB$2:$AB$200,$G120)&gt;0,
     COUNTIFS($AC$2:$AC$200,$G120)&gt;0,
     COUNTIFS($AD$2:$AD$200,$G120)&gt;0,
     COUNTIFS($AE$2:$AE$200,$G120)&gt;0,
     COUNTIFS($AF$2:$AF$200,$G120)&gt;0,
     COUNTIFS($AG$2:$AG$200,$G120)&gt;0,
     COUNTIFS($AH$2:$AH$200,$G120)&gt;0,
     COUNTIFS($AI$2:$AI$200,$G120)&gt;0,
     COUNTIFS($AJ$2:$AJ$200,$G120)&gt;0,
     COUNTIFS($AK$2:$AK$200,$G120)&gt;0,
     COUNTIFS($AL$2:$AL$200,$G120)&gt;0,
     COUNTIFS($AM$2:$AM$200,$G120)&gt;0,
     COUNTIFS($AN$2:$AN$200,$G120)&gt;0,
     COUNTIFS($AO$2:$AO$200,$G120)&gt;0,
     COUNTIFS($AP$2:$AP$200,$G120)&gt;0,
     COUNTIFS($AQ$2:$AQ$200,$G120)&gt;0,
     COUNTIFS($AR$2:$AR$200,$G120)&gt;0,
     COUNTIFS($AS$2:$AS$200,$G120)&gt;0,
     COUNTIFS($AT$2:$AT$200,$G120)&gt;0,
     COUNTIFS($AU$2:$AU$200,$G120)&gt;0,
     COUNTIFS($AV$2:$AV$200,$G120)&gt;0,
     COUNTIFS($AW$2:$AW$200,$G120)&gt;0,
     COUNTIFS($AX$2:$AX$200,$G120)&gt;0,
     COUNTIFS($AY$2:$AY$200,$G120)&gt;0
   )),
  ),
  3
 ),
"")</f>
        <v/>
      </c>
      <c r="F120" s="2" t="str" cm="1">
        <f t="array" aca="1" ref="F120" ca="1">IFERROR(
 INDEX(
  _xlfn._xlws.FILTER($V$1:$AY$1,
   TRANSPOSE(
    CHOOSE({1;2;3;4;5;6;7;8;9;10;11;12;13;14;15;16;17;18;19;20;21;22;23;24;25;26;27;28;29;30},
     COUNTIFS($V$2:$V$200,$G120)&gt;0,
     COUNTIFS($W$2:$W$200,$G120)&gt;0,
     COUNTIFS($X$2:$X$200,$G120)&gt;0,
     COUNTIFS($Y$2:$Y$200,$G120)&gt;0,
     COUNTIFS($Z$2:$Z$200,$G120)&gt;0,
     COUNTIFS($AA$2:$AA$200,$G120)&gt;0,
     COUNTIFS($AB$2:$AB$200,$G120)&gt;0,
     COUNTIFS($AC$2:$AC$200,$G120)&gt;0,
     COUNTIFS($AD$2:$AD$200,$G120)&gt;0,
     COUNTIFS($AE$2:$AE$200,$G120)&gt;0,
     COUNTIFS($AF$2:$AF$200,$G120)&gt;0,
     COUNTIFS($AG$2:$AG$200,$G120)&gt;0,
     COUNTIFS($AH$2:$AH$200,$G120)&gt;0,
     COUNTIFS($AI$2:$AI$200,$G120)&gt;0,
     COUNTIFS($AJ$2:$AJ$200,$G120)&gt;0,
     COUNTIFS($AK$2:$AK$200,$G120)&gt;0,
     COUNTIFS($AL$2:$AL$200,$G120)&gt;0,
     COUNTIFS($AM$2:$AM$200,$G120)&gt;0,
     COUNTIFS($AN$2:$AN$200,$G120)&gt;0,
     COUNTIFS($AO$2:$AO$200,$G120)&gt;0,
     COUNTIFS($AP$2:$AP$200,$G120)&gt;0,
     COUNTIFS($AQ$2:$AQ$200,$G120)&gt;0,
     COUNTIFS($AR$2:$AR$200,$G120)&gt;0,
     COUNTIFS($AS$2:$AS$200,$G120)&gt;0,
     COUNTIFS($AT$2:$AT$200,$G120)&gt;0,
     COUNTIFS($AU$2:$AU$200,$G120)&gt;0,
     COUNTIFS($AV$2:$AV$200,$G120)&gt;0,
     COUNTIFS($AW$2:$AW$200,$G120)&gt;0,
     COUNTIFS($AX$2:$AX$200,$G120)&gt;0,
     COUNTIFS($AY$2:$AY$200,$G120)&gt;0
   )),
  ),
  4
 ),
"")</f>
        <v/>
      </c>
      <c r="G120" t="str">
        <f ca="1"/>
        <v>Delighted Halfling</v>
      </c>
      <c r="DZ120" t="str">
        <f ca="1"/>
        <v>Terminate</v>
      </c>
      <c r="EI120" t="str">
        <f ca="1"/>
        <v>Synapse Sliver</v>
      </c>
      <c r="EL120" t="str">
        <f ca="1"/>
        <v>Terminate</v>
      </c>
      <c r="EP120" t="str">
        <f ca="1"/>
        <v>Reforge the Soul</v>
      </c>
      <c r="EQ120" t="str">
        <f ca="1"/>
        <v>Quilled Sliver</v>
      </c>
      <c r="ER120" t="str">
        <f ca="1"/>
        <v>Natural Connection</v>
      </c>
      <c r="EU120" t="str">
        <f ca="1"/>
        <v>Giver of Runes</v>
      </c>
      <c r="EV120" t="str">
        <f ca="1"/>
        <v>Natural Connection</v>
      </c>
      <c r="EX120" t="str">
        <f ca="1"/>
        <v>Delighted Halfling</v>
      </c>
    </row>
    <row r="121" spans="1:154" x14ac:dyDescent="0.25">
      <c r="A121" s="2" t="str">
        <f t="shared" ca="1" si="8"/>
        <v>5</v>
      </c>
      <c r="B121" s="2">
        <f t="shared" ca="1" si="9"/>
        <v>1</v>
      </c>
      <c r="C121" s="2" t="str">
        <f ca="1">IFERROR(
 INDEX($V$1:$BL$1,
  MATCH(TRUE,
   CHOOSE({1;2;3;4;5;6;7;8;9;10;11;12;13;14;15;16;17;18;19;20;21;22;23;24;25;26;27;28;29;30;31;32;33;34;35;36;37;38;39;40;41;42;43},
    COUNTIFS($V$2:$V$200,$G121)&gt;0,
    COUNTIFS($W$2:$W$200,$G121)&gt;0,
    COUNTIFS($X$2:$X$200,$G121)&gt;0,
    COUNTIFS($Y$2:$Y$200,$G121)&gt;0,
    COUNTIFS($Z$2:$Z$200,$G121)&gt;0,
    COUNTIFS($AA$2:$AA$200,$G121)&gt;0,
    COUNTIFS($AB$2:$AB$200,$G121)&gt;0,
    COUNTIFS($AC$2:$AC$200,$G121)&gt;0,
    COUNTIFS($AD$2:$AD$200,$G121)&gt;0,
    COUNTIFS($AE$2:$AE$200,$G121)&gt;0,
    COUNTIFS($AF$2:$AF$200,$G121)&gt;0,
    COUNTIFS($AG$2:$AG$200,$G121)&gt;0,
    COUNTIFS($AH$2:$AH$200,$G121)&gt;0,
    COUNTIFS($AI$2:$AI$200,$G121)&gt;0,
    COUNTIFS($AJ$2:$AJ$200,$G121)&gt;0,
    COUNTIFS($AK$2:$AK$200,$G121)&gt;0,
    COUNTIFS($AL$2:$AL$200,$G121)&gt;0,
    COUNTIFS($AM$2:$AM$200,$G121)&gt;0,
    COUNTIFS($AN$2:$AN$200,$G121)&gt;0,
    COUNTIFS($AO$2:$AO$200,$G121)&gt;0,
    COUNTIFS($AP$2:$AP$200,$G121)&gt;0,
    COUNTIFS($AQ$2:$AQ$200,$G121)&gt;0,
    COUNTIFS($AR$2:$AR$200,$G121)&gt;0,
    COUNTIFS($AS$2:$AS$200,$G121)&gt;0,
    COUNTIFS($AT$2:$AT$200,$G121)&gt;0,
    COUNTIFS($AU$2:$AU$200,$G121)&gt;0,
    COUNTIFS($AV$2:$AV$200,$G121)&gt;0,
    COUNTIFS($AW$2:$AW$200,$G121)&gt;0,
    COUNTIFS($AX$2:$AX$200,$G121)&gt;0,
    COUNTIFS($AY$2:$AY$200,$G121)&gt;0,
    COUNTIFS($AZ$2:$AZ$200,$G121)&gt;0,
    COUNTIFS($BA$2:$BA$200,$G121)&gt;0,
    COUNTIFS($BB$2:$BB$200,$G121)&gt;0,
    COUNTIFS($BC$2:$BC$200,$G121)&gt;0,
    COUNTIFS($BD$2:$BD$200,$G121)&gt;0,
    COUNTIFS($BE$2:$BE$200,$G121)&gt;0,
    COUNTIFS($BF$2:$BF$200,$G121)&gt;0,
    COUNTIFS($BG$2:$BG$200,$G121)&gt;0,
    COUNTIFS($BH$2:$BH$200,$G121)&gt;0,
    COUNTIFS($BI$2:$BI$200,$G121)&gt;0,
    COUNTIFS($BJ$2:$BJ$200,$G121)&gt;0,
    COUNTIFS($BK$2:$BK$200,$G121)&gt;0,
    COUNTIFS($BL$2:$BL$200,$G121)&gt;0,
    COUNTIFS($BM$2:$BM$200,$G121)&gt;0,
   ),
  0)
 ),
"")</f>
        <v>Fractius</v>
      </c>
      <c r="D121" s="2" t="str" cm="1">
        <f t="array" aca="1" ref="D121" ca="1">IFERROR(
 INDEX(
  _xlfn._xlws.FILTER($V$1:$AY$1,
   TRANSPOSE(
    CHOOSE({1;2;3;4;5;6;7;8;9;10;11;12;13;14;15;16;17;18;19;20;21;22;23;24;25;26;27;28;29;30},
     COUNTIFS($V$2:$V$200,$G121)&gt;0,
     COUNTIFS($W$2:$W$200,$G121)&gt;0,
     COUNTIFS($X$2:$X$200,$G121)&gt;0,
     COUNTIFS($Y$2:$Y$200,$G121)&gt;0,
     COUNTIFS($Z$2:$Z$200,$G121)&gt;0,
     COUNTIFS($AA$2:$AA$200,$G121)&gt;0,
     COUNTIFS($AB$2:$AB$200,$G121)&gt;0,
     COUNTIFS($AC$2:$AC$200,$G121)&gt;0,
     COUNTIFS($AD$2:$AD$200,$G121)&gt;0,
     COUNTIFS($AE$2:$AE$200,$G121)&gt;0,
     COUNTIFS($AF$2:$AF$200,$G121)&gt;0,
     COUNTIFS($AG$2:$AG$200,$G121)&gt;0,
     COUNTIFS($AH$2:$AH$200,$G121)&gt;0,
     COUNTIFS($AI$2:$AI$200,$G121)&gt;0,
     COUNTIFS($AJ$2:$AJ$200,$G121)&gt;0,
     COUNTIFS($AK$2:$AK$200,$G121)&gt;0,
     COUNTIFS($AL$2:$AL$200,$G121)&gt;0,
     COUNTIFS($AM$2:$AM$200,$G121)&gt;0,
     COUNTIFS($AN$2:$AN$200,$G121)&gt;0,
     COUNTIFS($AO$2:$AO$200,$G121)&gt;0,
     COUNTIFS($AP$2:$AP$200,$G121)&gt;0,
     COUNTIFS($AQ$2:$AQ$200,$G121)&gt;0,
     COUNTIFS($AR$2:$AR$200,$G121)&gt;0,
     COUNTIFS($AS$2:$AS$200,$G121)&gt;0,
     COUNTIFS($AT$2:$AT$200,$G121)&gt;0,
     COUNTIFS($AU$2:$AU$200,$G121)&gt;0,
     COUNTIFS($AV$2:$AV$200,$G121)&gt;0,
     COUNTIFS($AW$2:$AW$200,$G121)&gt;0,
     COUNTIFS($AX$2:$AX$200,$G121)&gt;0,
     COUNTIFS($AY$2:$AY$200,$G121)&gt;0
   )),
  ),
  2
 ),
"")</f>
        <v/>
      </c>
      <c r="E121" s="2" t="str" cm="1">
        <f t="array" aca="1" ref="E121" ca="1">IFERROR(
 INDEX(
  _xlfn._xlws.FILTER($V$1:$AY$1,
   TRANSPOSE(
    CHOOSE({1;2;3;4;5;6;7;8;9;10;11;12;13;14;15;16;17;18;19;20;21;22;23;24;25;26;27;28;29;30},
     COUNTIFS($V$2:$V$200,$G121)&gt;0,
     COUNTIFS($W$2:$W$200,$G121)&gt;0,
     COUNTIFS($X$2:$X$200,$G121)&gt;0,
     COUNTIFS($Y$2:$Y$200,$G121)&gt;0,
     COUNTIFS($Z$2:$Z$200,$G121)&gt;0,
     COUNTIFS($AA$2:$AA$200,$G121)&gt;0,
     COUNTIFS($AB$2:$AB$200,$G121)&gt;0,
     COUNTIFS($AC$2:$AC$200,$G121)&gt;0,
     COUNTIFS($AD$2:$AD$200,$G121)&gt;0,
     COUNTIFS($AE$2:$AE$200,$G121)&gt;0,
     COUNTIFS($AF$2:$AF$200,$G121)&gt;0,
     COUNTIFS($AG$2:$AG$200,$G121)&gt;0,
     COUNTIFS($AH$2:$AH$200,$G121)&gt;0,
     COUNTIFS($AI$2:$AI$200,$G121)&gt;0,
     COUNTIFS($AJ$2:$AJ$200,$G121)&gt;0,
     COUNTIFS($AK$2:$AK$200,$G121)&gt;0,
     COUNTIFS($AL$2:$AL$200,$G121)&gt;0,
     COUNTIFS($AM$2:$AM$200,$G121)&gt;0,
     COUNTIFS($AN$2:$AN$200,$G121)&gt;0,
     COUNTIFS($AO$2:$AO$200,$G121)&gt;0,
     COUNTIFS($AP$2:$AP$200,$G121)&gt;0,
     COUNTIFS($AQ$2:$AQ$200,$G121)&gt;0,
     COUNTIFS($AR$2:$AR$200,$G121)&gt;0,
     COUNTIFS($AS$2:$AS$200,$G121)&gt;0,
     COUNTIFS($AT$2:$AT$200,$G121)&gt;0,
     COUNTIFS($AU$2:$AU$200,$G121)&gt;0,
     COUNTIFS($AV$2:$AV$200,$G121)&gt;0,
     COUNTIFS($AW$2:$AW$200,$G121)&gt;0,
     COUNTIFS($AX$2:$AX$200,$G121)&gt;0,
     COUNTIFS($AY$2:$AY$200,$G121)&gt;0
   )),
  ),
  3
 ),
"")</f>
        <v/>
      </c>
      <c r="F121" s="2" t="str" cm="1">
        <f t="array" aca="1" ref="F121" ca="1">IFERROR(
 INDEX(
  _xlfn._xlws.FILTER($V$1:$AY$1,
   TRANSPOSE(
    CHOOSE({1;2;3;4;5;6;7;8;9;10;11;12;13;14;15;16;17;18;19;20;21;22;23;24;25;26;27;28;29;30},
     COUNTIFS($V$2:$V$200,$G121)&gt;0,
     COUNTIFS($W$2:$W$200,$G121)&gt;0,
     COUNTIFS($X$2:$X$200,$G121)&gt;0,
     COUNTIFS($Y$2:$Y$200,$G121)&gt;0,
     COUNTIFS($Z$2:$Z$200,$G121)&gt;0,
     COUNTIFS($AA$2:$AA$200,$G121)&gt;0,
     COUNTIFS($AB$2:$AB$200,$G121)&gt;0,
     COUNTIFS($AC$2:$AC$200,$G121)&gt;0,
     COUNTIFS($AD$2:$AD$200,$G121)&gt;0,
     COUNTIFS($AE$2:$AE$200,$G121)&gt;0,
     COUNTIFS($AF$2:$AF$200,$G121)&gt;0,
     COUNTIFS($AG$2:$AG$200,$G121)&gt;0,
     COUNTIFS($AH$2:$AH$200,$G121)&gt;0,
     COUNTIFS($AI$2:$AI$200,$G121)&gt;0,
     COUNTIFS($AJ$2:$AJ$200,$G121)&gt;0,
     COUNTIFS($AK$2:$AK$200,$G121)&gt;0,
     COUNTIFS($AL$2:$AL$200,$G121)&gt;0,
     COUNTIFS($AM$2:$AM$200,$G121)&gt;0,
     COUNTIFS($AN$2:$AN$200,$G121)&gt;0,
     COUNTIFS($AO$2:$AO$200,$G121)&gt;0,
     COUNTIFS($AP$2:$AP$200,$G121)&gt;0,
     COUNTIFS($AQ$2:$AQ$200,$G121)&gt;0,
     COUNTIFS($AR$2:$AR$200,$G121)&gt;0,
     COUNTIFS($AS$2:$AS$200,$G121)&gt;0,
     COUNTIFS($AT$2:$AT$200,$G121)&gt;0,
     COUNTIFS($AU$2:$AU$200,$G121)&gt;0,
     COUNTIFS($AV$2:$AV$200,$G121)&gt;0,
     COUNTIFS($AW$2:$AW$200,$G121)&gt;0,
     COUNTIFS($AX$2:$AX$200,$G121)&gt;0,
     COUNTIFS($AY$2:$AY$200,$G121)&gt;0
   )),
  ),
  4
 ),
"")</f>
        <v/>
      </c>
      <c r="G121" t="str">
        <f ca="1"/>
        <v>Descendants' Path</v>
      </c>
      <c r="DZ121" t="str">
        <f ca="1"/>
        <v>Teysa Karlov</v>
      </c>
      <c r="EI121" t="str">
        <f ca="1"/>
        <v>Syphon Sliver</v>
      </c>
      <c r="EL121" t="str">
        <f ca="1"/>
        <v>Teysa Karlov</v>
      </c>
      <c r="EP121" t="str">
        <f ca="1"/>
        <v>Reliquary Tower</v>
      </c>
      <c r="EQ121" t="str">
        <f ca="1"/>
        <v>Raffine's Tower</v>
      </c>
      <c r="ER121" t="str">
        <f ca="1"/>
        <v>Negate</v>
      </c>
      <c r="EU121" t="str">
        <f ca="1"/>
        <v>Glasspool Mimic</v>
      </c>
      <c r="EV121" t="str">
        <f ca="1"/>
        <v>Negate</v>
      </c>
      <c r="EX121" t="str">
        <f ca="1"/>
        <v>Descendants' Path</v>
      </c>
    </row>
    <row r="122" spans="1:154" x14ac:dyDescent="0.25">
      <c r="A122" s="2" t="str">
        <f t="shared" ca="1" si="8"/>
        <v>2</v>
      </c>
      <c r="B122" s="2">
        <f t="shared" ca="1" si="9"/>
        <v>2</v>
      </c>
      <c r="C122" s="2" t="str">
        <f ca="1">IFERROR(
 INDEX($V$1:$BL$1,
  MATCH(TRUE,
   CHOOSE({1;2;3;4;5;6;7;8;9;10;11;12;13;14;15;16;17;18;19;20;21;22;23;24;25;26;27;28;29;30;31;32;33;34;35;36;37;38;39;40;41;42;43},
    COUNTIFS($V$2:$V$200,$G122)&gt;0,
    COUNTIFS($W$2:$W$200,$G122)&gt;0,
    COUNTIFS($X$2:$X$200,$G122)&gt;0,
    COUNTIFS($Y$2:$Y$200,$G122)&gt;0,
    COUNTIFS($Z$2:$Z$200,$G122)&gt;0,
    COUNTIFS($AA$2:$AA$200,$G122)&gt;0,
    COUNTIFS($AB$2:$AB$200,$G122)&gt;0,
    COUNTIFS($AC$2:$AC$200,$G122)&gt;0,
    COUNTIFS($AD$2:$AD$200,$G122)&gt;0,
    COUNTIFS($AE$2:$AE$200,$G122)&gt;0,
    COUNTIFS($AF$2:$AF$200,$G122)&gt;0,
    COUNTIFS($AG$2:$AG$200,$G122)&gt;0,
    COUNTIFS($AH$2:$AH$200,$G122)&gt;0,
    COUNTIFS($AI$2:$AI$200,$G122)&gt;0,
    COUNTIFS($AJ$2:$AJ$200,$G122)&gt;0,
    COUNTIFS($AK$2:$AK$200,$G122)&gt;0,
    COUNTIFS($AL$2:$AL$200,$G122)&gt;0,
    COUNTIFS($AM$2:$AM$200,$G122)&gt;0,
    COUNTIFS($AN$2:$AN$200,$G122)&gt;0,
    COUNTIFS($AO$2:$AO$200,$G122)&gt;0,
    COUNTIFS($AP$2:$AP$200,$G122)&gt;0,
    COUNTIFS($AQ$2:$AQ$200,$G122)&gt;0,
    COUNTIFS($AR$2:$AR$200,$G122)&gt;0,
    COUNTIFS($AS$2:$AS$200,$G122)&gt;0,
    COUNTIFS($AT$2:$AT$200,$G122)&gt;0,
    COUNTIFS($AU$2:$AU$200,$G122)&gt;0,
    COUNTIFS($AV$2:$AV$200,$G122)&gt;0,
    COUNTIFS($AW$2:$AW$200,$G122)&gt;0,
    COUNTIFS($AX$2:$AX$200,$G122)&gt;0,
    COUNTIFS($AY$2:$AY$200,$G122)&gt;0,
    COUNTIFS($AZ$2:$AZ$200,$G122)&gt;0,
    COUNTIFS($BA$2:$BA$200,$G122)&gt;0,
    COUNTIFS($BB$2:$BB$200,$G122)&gt;0,
    COUNTIFS($BC$2:$BC$200,$G122)&gt;0,
    COUNTIFS($BD$2:$BD$200,$G122)&gt;0,
    COUNTIFS($BE$2:$BE$200,$G122)&gt;0,
    COUNTIFS($BF$2:$BF$200,$G122)&gt;0,
    COUNTIFS($BG$2:$BG$200,$G122)&gt;0,
    COUNTIFS($BH$2:$BH$200,$G122)&gt;0,
    COUNTIFS($BI$2:$BI$200,$G122)&gt;0,
    COUNTIFS($BJ$2:$BJ$200,$G122)&gt;0,
    COUNTIFS($BK$2:$BK$200,$G122)&gt;0,
    COUNTIFS($BL$2:$BL$200,$G122)&gt;0,
    COUNTIFS($BM$2:$BM$200,$G122)&gt;0,
   ),
  0)
 ),
"")</f>
        <v>Elfos</v>
      </c>
      <c r="D122" s="2" t="str" cm="1">
        <f t="array" aca="1" ref="D122" ca="1">IFERROR(
 INDEX(
  _xlfn._xlws.FILTER($V$1:$AY$1,
   TRANSPOSE(
    CHOOSE({1;2;3;4;5;6;7;8;9;10;11;12;13;14;15;16;17;18;19;20;21;22;23;24;25;26;27;28;29;30},
     COUNTIFS($V$2:$V$200,$G122)&gt;0,
     COUNTIFS($W$2:$W$200,$G122)&gt;0,
     COUNTIFS($X$2:$X$200,$G122)&gt;0,
     COUNTIFS($Y$2:$Y$200,$G122)&gt;0,
     COUNTIFS($Z$2:$Z$200,$G122)&gt;0,
     COUNTIFS($AA$2:$AA$200,$G122)&gt;0,
     COUNTIFS($AB$2:$AB$200,$G122)&gt;0,
     COUNTIFS($AC$2:$AC$200,$G122)&gt;0,
     COUNTIFS($AD$2:$AD$200,$G122)&gt;0,
     COUNTIFS($AE$2:$AE$200,$G122)&gt;0,
     COUNTIFS($AF$2:$AF$200,$G122)&gt;0,
     COUNTIFS($AG$2:$AG$200,$G122)&gt;0,
     COUNTIFS($AH$2:$AH$200,$G122)&gt;0,
     COUNTIFS($AI$2:$AI$200,$G122)&gt;0,
     COUNTIFS($AJ$2:$AJ$200,$G122)&gt;0,
     COUNTIFS($AK$2:$AK$200,$G122)&gt;0,
     COUNTIFS($AL$2:$AL$200,$G122)&gt;0,
     COUNTIFS($AM$2:$AM$200,$G122)&gt;0,
     COUNTIFS($AN$2:$AN$200,$G122)&gt;0,
     COUNTIFS($AO$2:$AO$200,$G122)&gt;0,
     COUNTIFS($AP$2:$AP$200,$G122)&gt;0,
     COUNTIFS($AQ$2:$AQ$200,$G122)&gt;0,
     COUNTIFS($AR$2:$AR$200,$G122)&gt;0,
     COUNTIFS($AS$2:$AS$200,$G122)&gt;0,
     COUNTIFS($AT$2:$AT$200,$G122)&gt;0,
     COUNTIFS($AU$2:$AU$200,$G122)&gt;0,
     COUNTIFS($AV$2:$AV$200,$G122)&gt;0,
     COUNTIFS($AW$2:$AW$200,$G122)&gt;0,
     COUNTIFS($AX$2:$AX$200,$G122)&gt;0,
     COUNTIFS($AY$2:$AY$200,$G122)&gt;0
   )),
  ),
  2
 ),
"")</f>
        <v>Modular</v>
      </c>
      <c r="E122" s="2" t="str" cm="1">
        <f t="array" aca="1" ref="E122" ca="1">IFERROR(
 INDEX(
  _xlfn._xlws.FILTER($V$1:$AY$1,
   TRANSPOSE(
    CHOOSE({1;2;3;4;5;6;7;8;9;10;11;12;13;14;15;16;17;18;19;20;21;22;23;24;25;26;27;28;29;30},
     COUNTIFS($V$2:$V$200,$G122)&gt;0,
     COUNTIFS($W$2:$W$200,$G122)&gt;0,
     COUNTIFS($X$2:$X$200,$G122)&gt;0,
     COUNTIFS($Y$2:$Y$200,$G122)&gt;0,
     COUNTIFS($Z$2:$Z$200,$G122)&gt;0,
     COUNTIFS($AA$2:$AA$200,$G122)&gt;0,
     COUNTIFS($AB$2:$AB$200,$G122)&gt;0,
     COUNTIFS($AC$2:$AC$200,$G122)&gt;0,
     COUNTIFS($AD$2:$AD$200,$G122)&gt;0,
     COUNTIFS($AE$2:$AE$200,$G122)&gt;0,
     COUNTIFS($AF$2:$AF$200,$G122)&gt;0,
     COUNTIFS($AG$2:$AG$200,$G122)&gt;0,
     COUNTIFS($AH$2:$AH$200,$G122)&gt;0,
     COUNTIFS($AI$2:$AI$200,$G122)&gt;0,
     COUNTIFS($AJ$2:$AJ$200,$G122)&gt;0,
     COUNTIFS($AK$2:$AK$200,$G122)&gt;0,
     COUNTIFS($AL$2:$AL$200,$G122)&gt;0,
     COUNTIFS($AM$2:$AM$200,$G122)&gt;0,
     COUNTIFS($AN$2:$AN$200,$G122)&gt;0,
     COUNTIFS($AO$2:$AO$200,$G122)&gt;0,
     COUNTIFS($AP$2:$AP$200,$G122)&gt;0,
     COUNTIFS($AQ$2:$AQ$200,$G122)&gt;0,
     COUNTIFS($AR$2:$AR$200,$G122)&gt;0,
     COUNTIFS($AS$2:$AS$200,$G122)&gt;0,
     COUNTIFS($AT$2:$AT$200,$G122)&gt;0,
     COUNTIFS($AU$2:$AU$200,$G122)&gt;0,
     COUNTIFS($AV$2:$AV$200,$G122)&gt;0,
     COUNTIFS($AW$2:$AW$200,$G122)&gt;0,
     COUNTIFS($AX$2:$AX$200,$G122)&gt;0,
     COUNTIFS($AY$2:$AY$200,$G122)&gt;0
   )),
  ),
  3
 ),
"")</f>
        <v/>
      </c>
      <c r="F122" s="2" t="str" cm="1">
        <f t="array" aca="1" ref="F122" ca="1">IFERROR(
 INDEX(
  _xlfn._xlws.FILTER($V$1:$AY$1,
   TRANSPOSE(
    CHOOSE({1;2;3;4;5;6;7;8;9;10;11;12;13;14;15;16;17;18;19;20;21;22;23;24;25;26;27;28;29;30},
     COUNTIFS($V$2:$V$200,$G122)&gt;0,
     COUNTIFS($W$2:$W$200,$G122)&gt;0,
     COUNTIFS($X$2:$X$200,$G122)&gt;0,
     COUNTIFS($Y$2:$Y$200,$G122)&gt;0,
     COUNTIFS($Z$2:$Z$200,$G122)&gt;0,
     COUNTIFS($AA$2:$AA$200,$G122)&gt;0,
     COUNTIFS($AB$2:$AB$200,$G122)&gt;0,
     COUNTIFS($AC$2:$AC$200,$G122)&gt;0,
     COUNTIFS($AD$2:$AD$200,$G122)&gt;0,
     COUNTIFS($AE$2:$AE$200,$G122)&gt;0,
     COUNTIFS($AF$2:$AF$200,$G122)&gt;0,
     COUNTIFS($AG$2:$AG$200,$G122)&gt;0,
     COUNTIFS($AH$2:$AH$200,$G122)&gt;0,
     COUNTIFS($AI$2:$AI$200,$G122)&gt;0,
     COUNTIFS($AJ$2:$AJ$200,$G122)&gt;0,
     COUNTIFS($AK$2:$AK$200,$G122)&gt;0,
     COUNTIFS($AL$2:$AL$200,$G122)&gt;0,
     COUNTIFS($AM$2:$AM$200,$G122)&gt;0,
     COUNTIFS($AN$2:$AN$200,$G122)&gt;0,
     COUNTIFS($AO$2:$AO$200,$G122)&gt;0,
     COUNTIFS($AP$2:$AP$200,$G122)&gt;0,
     COUNTIFS($AQ$2:$AQ$200,$G122)&gt;0,
     COUNTIFS($AR$2:$AR$200,$G122)&gt;0,
     COUNTIFS($AS$2:$AS$200,$G122)&gt;0,
     COUNTIFS($AT$2:$AT$200,$G122)&gt;0,
     COUNTIFS($AU$2:$AU$200,$G122)&gt;0,
     COUNTIFS($AV$2:$AV$200,$G122)&gt;0,
     COUNTIFS($AW$2:$AW$200,$G122)&gt;0,
     COUNTIFS($AX$2:$AX$200,$G122)&gt;0,
     COUNTIFS($AY$2:$AY$200,$G122)&gt;0
   )),
  ),
  4
 ),
"")</f>
        <v/>
      </c>
      <c r="G122" t="str">
        <f ca="1"/>
        <v>Deserted Temple</v>
      </c>
      <c r="DZ122" t="str">
        <f ca="1"/>
        <v>Teysa, Opulent Oligarch</v>
      </c>
      <c r="EI122" t="str">
        <f ca="1"/>
        <v>Taunting Sliver</v>
      </c>
      <c r="EL122" t="str">
        <f ca="1"/>
        <v>Teysa, Opulent Oligarch</v>
      </c>
      <c r="EP122" t="str">
        <f ca="1"/>
        <v>Return from the Wilds</v>
      </c>
      <c r="EQ122" t="str">
        <f ca="1"/>
        <v>Raugrin Triome</v>
      </c>
      <c r="ER122" t="str">
        <f ca="1"/>
        <v>Niv-Mizzet, Parun</v>
      </c>
      <c r="EU122" t="str">
        <f ca="1"/>
        <v>Glen Elendra's Answer</v>
      </c>
      <c r="EV122" t="str">
        <f ca="1"/>
        <v>Niv-Mizzet, Parun</v>
      </c>
      <c r="EX122" t="str">
        <f ca="1"/>
        <v>Deserted Temple</v>
      </c>
    </row>
    <row r="123" spans="1:154" x14ac:dyDescent="0.25">
      <c r="A123" s="2" t="str">
        <f t="shared" ca="1" si="8"/>
        <v>5</v>
      </c>
      <c r="B123" s="2">
        <f t="shared" ca="1" si="9"/>
        <v>1</v>
      </c>
      <c r="C123" s="2" t="str">
        <f ca="1">IFERROR(
 INDEX($V$1:$BL$1,
  MATCH(TRUE,
   CHOOSE({1;2;3;4;5;6;7;8;9;10;11;12;13;14;15;16;17;18;19;20;21;22;23;24;25;26;27;28;29;30;31;32;33;34;35;36;37;38;39;40;41;42;43},
    COUNTIFS($V$2:$V$200,$G123)&gt;0,
    COUNTIFS($W$2:$W$200,$G123)&gt;0,
    COUNTIFS($X$2:$X$200,$G123)&gt;0,
    COUNTIFS($Y$2:$Y$200,$G123)&gt;0,
    COUNTIFS($Z$2:$Z$200,$G123)&gt;0,
    COUNTIFS($AA$2:$AA$200,$G123)&gt;0,
    COUNTIFS($AB$2:$AB$200,$G123)&gt;0,
    COUNTIFS($AC$2:$AC$200,$G123)&gt;0,
    COUNTIFS($AD$2:$AD$200,$G123)&gt;0,
    COUNTIFS($AE$2:$AE$200,$G123)&gt;0,
    COUNTIFS($AF$2:$AF$200,$G123)&gt;0,
    COUNTIFS($AG$2:$AG$200,$G123)&gt;0,
    COUNTIFS($AH$2:$AH$200,$G123)&gt;0,
    COUNTIFS($AI$2:$AI$200,$G123)&gt;0,
    COUNTIFS($AJ$2:$AJ$200,$G123)&gt;0,
    COUNTIFS($AK$2:$AK$200,$G123)&gt;0,
    COUNTIFS($AL$2:$AL$200,$G123)&gt;0,
    COUNTIFS($AM$2:$AM$200,$G123)&gt;0,
    COUNTIFS($AN$2:$AN$200,$G123)&gt;0,
    COUNTIFS($AO$2:$AO$200,$G123)&gt;0,
    COUNTIFS($AP$2:$AP$200,$G123)&gt;0,
    COUNTIFS($AQ$2:$AQ$200,$G123)&gt;0,
    COUNTIFS($AR$2:$AR$200,$G123)&gt;0,
    COUNTIFS($AS$2:$AS$200,$G123)&gt;0,
    COUNTIFS($AT$2:$AT$200,$G123)&gt;0,
    COUNTIFS($AU$2:$AU$200,$G123)&gt;0,
    COUNTIFS($AV$2:$AV$200,$G123)&gt;0,
    COUNTIFS($AW$2:$AW$200,$G123)&gt;0,
    COUNTIFS($AX$2:$AX$200,$G123)&gt;0,
    COUNTIFS($AY$2:$AY$200,$G123)&gt;0,
    COUNTIFS($AZ$2:$AZ$200,$G123)&gt;0,
    COUNTIFS($BA$2:$BA$200,$G123)&gt;0,
    COUNTIFS($BB$2:$BB$200,$G123)&gt;0,
    COUNTIFS($BC$2:$BC$200,$G123)&gt;0,
    COUNTIFS($BD$2:$BD$200,$G123)&gt;0,
    COUNTIFS($BE$2:$BE$200,$G123)&gt;0,
    COUNTIFS($BF$2:$BF$200,$G123)&gt;0,
    COUNTIFS($BG$2:$BG$200,$G123)&gt;0,
    COUNTIFS($BH$2:$BH$200,$G123)&gt;0,
    COUNTIFS($BI$2:$BI$200,$G123)&gt;0,
    COUNTIFS($BJ$2:$BJ$200,$G123)&gt;0,
    COUNTIFS($BK$2:$BK$200,$G123)&gt;0,
    COUNTIFS($BL$2:$BL$200,$G123)&gt;0,
    COUNTIFS($BM$2:$BM$200,$G123)&gt;0,
   ),
  0)
 ),
"")</f>
        <v>Fractius</v>
      </c>
      <c r="D123" s="2" t="str" cm="1">
        <f t="array" aca="1" ref="D123" ca="1">IFERROR(
 INDEX(
  _xlfn._xlws.FILTER($V$1:$AY$1,
   TRANSPOSE(
    CHOOSE({1;2;3;4;5;6;7;8;9;10;11;12;13;14;15;16;17;18;19;20;21;22;23;24;25;26;27;28;29;30},
     COUNTIFS($V$2:$V$200,$G123)&gt;0,
     COUNTIFS($W$2:$W$200,$G123)&gt;0,
     COUNTIFS($X$2:$X$200,$G123)&gt;0,
     COUNTIFS($Y$2:$Y$200,$G123)&gt;0,
     COUNTIFS($Z$2:$Z$200,$G123)&gt;0,
     COUNTIFS($AA$2:$AA$200,$G123)&gt;0,
     COUNTIFS($AB$2:$AB$200,$G123)&gt;0,
     COUNTIFS($AC$2:$AC$200,$G123)&gt;0,
     COUNTIFS($AD$2:$AD$200,$G123)&gt;0,
     COUNTIFS($AE$2:$AE$200,$G123)&gt;0,
     COUNTIFS($AF$2:$AF$200,$G123)&gt;0,
     COUNTIFS($AG$2:$AG$200,$G123)&gt;0,
     COUNTIFS($AH$2:$AH$200,$G123)&gt;0,
     COUNTIFS($AI$2:$AI$200,$G123)&gt;0,
     COUNTIFS($AJ$2:$AJ$200,$G123)&gt;0,
     COUNTIFS($AK$2:$AK$200,$G123)&gt;0,
     COUNTIFS($AL$2:$AL$200,$G123)&gt;0,
     COUNTIFS($AM$2:$AM$200,$G123)&gt;0,
     COUNTIFS($AN$2:$AN$200,$G123)&gt;0,
     COUNTIFS($AO$2:$AO$200,$G123)&gt;0,
     COUNTIFS($AP$2:$AP$200,$G123)&gt;0,
     COUNTIFS($AQ$2:$AQ$200,$G123)&gt;0,
     COUNTIFS($AR$2:$AR$200,$G123)&gt;0,
     COUNTIFS($AS$2:$AS$200,$G123)&gt;0,
     COUNTIFS($AT$2:$AT$200,$G123)&gt;0,
     COUNTIFS($AU$2:$AU$200,$G123)&gt;0,
     COUNTIFS($AV$2:$AV$200,$G123)&gt;0,
     COUNTIFS($AW$2:$AW$200,$G123)&gt;0,
     COUNTIFS($AX$2:$AX$200,$G123)&gt;0,
     COUNTIFS($AY$2:$AY$200,$G123)&gt;0
   )),
  ),
  2
 ),
"")</f>
        <v/>
      </c>
      <c r="E123" s="2" t="str" cm="1">
        <f t="array" aca="1" ref="E123" ca="1">IFERROR(
 INDEX(
  _xlfn._xlws.FILTER($V$1:$AY$1,
   TRANSPOSE(
    CHOOSE({1;2;3;4;5;6;7;8;9;10;11;12;13;14;15;16;17;18;19;20;21;22;23;24;25;26;27;28;29;30},
     COUNTIFS($V$2:$V$200,$G123)&gt;0,
     COUNTIFS($W$2:$W$200,$G123)&gt;0,
     COUNTIFS($X$2:$X$200,$G123)&gt;0,
     COUNTIFS($Y$2:$Y$200,$G123)&gt;0,
     COUNTIFS($Z$2:$Z$200,$G123)&gt;0,
     COUNTIFS($AA$2:$AA$200,$G123)&gt;0,
     COUNTIFS($AB$2:$AB$200,$G123)&gt;0,
     COUNTIFS($AC$2:$AC$200,$G123)&gt;0,
     COUNTIFS($AD$2:$AD$200,$G123)&gt;0,
     COUNTIFS($AE$2:$AE$200,$G123)&gt;0,
     COUNTIFS($AF$2:$AF$200,$G123)&gt;0,
     COUNTIFS($AG$2:$AG$200,$G123)&gt;0,
     COUNTIFS($AH$2:$AH$200,$G123)&gt;0,
     COUNTIFS($AI$2:$AI$200,$G123)&gt;0,
     COUNTIFS($AJ$2:$AJ$200,$G123)&gt;0,
     COUNTIFS($AK$2:$AK$200,$G123)&gt;0,
     COUNTIFS($AL$2:$AL$200,$G123)&gt;0,
     COUNTIFS($AM$2:$AM$200,$G123)&gt;0,
     COUNTIFS($AN$2:$AN$200,$G123)&gt;0,
     COUNTIFS($AO$2:$AO$200,$G123)&gt;0,
     COUNTIFS($AP$2:$AP$200,$G123)&gt;0,
     COUNTIFS($AQ$2:$AQ$200,$G123)&gt;0,
     COUNTIFS($AR$2:$AR$200,$G123)&gt;0,
     COUNTIFS($AS$2:$AS$200,$G123)&gt;0,
     COUNTIFS($AT$2:$AT$200,$G123)&gt;0,
     COUNTIFS($AU$2:$AU$200,$G123)&gt;0,
     COUNTIFS($AV$2:$AV$200,$G123)&gt;0,
     COUNTIFS($AW$2:$AW$200,$G123)&gt;0,
     COUNTIFS($AX$2:$AX$200,$G123)&gt;0,
     COUNTIFS($AY$2:$AY$200,$G123)&gt;0
   )),
  ),
  3
 ),
"")</f>
        <v/>
      </c>
      <c r="F123" s="2" t="str" cm="1">
        <f t="array" aca="1" ref="F123" ca="1">IFERROR(
 INDEX(
  _xlfn._xlws.FILTER($V$1:$AY$1,
   TRANSPOSE(
    CHOOSE({1;2;3;4;5;6;7;8;9;10;11;12;13;14;15;16;17;18;19;20;21;22;23;24;25;26;27;28;29;30},
     COUNTIFS($V$2:$V$200,$G123)&gt;0,
     COUNTIFS($W$2:$W$200,$G123)&gt;0,
     COUNTIFS($X$2:$X$200,$G123)&gt;0,
     COUNTIFS($Y$2:$Y$200,$G123)&gt;0,
     COUNTIFS($Z$2:$Z$200,$G123)&gt;0,
     COUNTIFS($AA$2:$AA$200,$G123)&gt;0,
     COUNTIFS($AB$2:$AB$200,$G123)&gt;0,
     COUNTIFS($AC$2:$AC$200,$G123)&gt;0,
     COUNTIFS($AD$2:$AD$200,$G123)&gt;0,
     COUNTIFS($AE$2:$AE$200,$G123)&gt;0,
     COUNTIFS($AF$2:$AF$200,$G123)&gt;0,
     COUNTIFS($AG$2:$AG$200,$G123)&gt;0,
     COUNTIFS($AH$2:$AH$200,$G123)&gt;0,
     COUNTIFS($AI$2:$AI$200,$G123)&gt;0,
     COUNTIFS($AJ$2:$AJ$200,$G123)&gt;0,
     COUNTIFS($AK$2:$AK$200,$G123)&gt;0,
     COUNTIFS($AL$2:$AL$200,$G123)&gt;0,
     COUNTIFS($AM$2:$AM$200,$G123)&gt;0,
     COUNTIFS($AN$2:$AN$200,$G123)&gt;0,
     COUNTIFS($AO$2:$AO$200,$G123)&gt;0,
     COUNTIFS($AP$2:$AP$200,$G123)&gt;0,
     COUNTIFS($AQ$2:$AQ$200,$G123)&gt;0,
     COUNTIFS($AR$2:$AR$200,$G123)&gt;0,
     COUNTIFS($AS$2:$AS$200,$G123)&gt;0,
     COUNTIFS($AT$2:$AT$200,$G123)&gt;0,
     COUNTIFS($AU$2:$AU$200,$G123)&gt;0,
     COUNTIFS($AV$2:$AV$200,$G123)&gt;0,
     COUNTIFS($AW$2:$AW$200,$G123)&gt;0,
     COUNTIFS($AX$2:$AX$200,$G123)&gt;0,
     COUNTIFS($AY$2:$AY$200,$G123)&gt;0
   )),
  ),
  4
 ),
"")</f>
        <v/>
      </c>
      <c r="G123" t="str">
        <f ca="1"/>
        <v>Diffusion Sliver</v>
      </c>
      <c r="DZ123" t="str">
        <f ca="1"/>
        <v>Teysa, Orzhov Scion</v>
      </c>
      <c r="EI123" t="str">
        <f ca="1"/>
        <v>Telekinetic Sliver</v>
      </c>
      <c r="EL123" t="str">
        <f ca="1"/>
        <v>Teysa, Orzhov Scion</v>
      </c>
      <c r="EP123" t="str">
        <f ca="1"/>
        <v>Reyhan, Last of the Abzan</v>
      </c>
      <c r="EQ123" t="str">
        <f ca="1"/>
        <v>Realmwalker</v>
      </c>
      <c r="ER123" t="str">
        <f ca="1"/>
        <v>Nomad Outpost</v>
      </c>
      <c r="EU123" t="str">
        <f ca="1"/>
        <v>Glint-Horn Buccaneer</v>
      </c>
      <c r="EV123" t="str">
        <f ca="1"/>
        <v>Nomad Outpost</v>
      </c>
      <c r="EX123" t="str">
        <f ca="1"/>
        <v>Diffusion Sliver</v>
      </c>
    </row>
    <row r="124" spans="1:154" x14ac:dyDescent="0.25">
      <c r="A124" s="2" t="str">
        <f t="shared" ca="1" si="8"/>
        <v>5</v>
      </c>
      <c r="B124" s="2">
        <f t="shared" ca="1" si="9"/>
        <v>1</v>
      </c>
      <c r="C124" s="2" t="str">
        <f ca="1">IFERROR(
 INDEX($V$1:$BL$1,
  MATCH(TRUE,
   CHOOSE({1;2;3;4;5;6;7;8;9;10;11;12;13;14;15;16;17;18;19;20;21;22;23;24;25;26;27;28;29;30;31;32;33;34;35;36;37;38;39;40;41;42;43},
    COUNTIFS($V$2:$V$200,$G124)&gt;0,
    COUNTIFS($W$2:$W$200,$G124)&gt;0,
    COUNTIFS($X$2:$X$200,$G124)&gt;0,
    COUNTIFS($Y$2:$Y$200,$G124)&gt;0,
    COUNTIFS($Z$2:$Z$200,$G124)&gt;0,
    COUNTIFS($AA$2:$AA$200,$G124)&gt;0,
    COUNTIFS($AB$2:$AB$200,$G124)&gt;0,
    COUNTIFS($AC$2:$AC$200,$G124)&gt;0,
    COUNTIFS($AD$2:$AD$200,$G124)&gt;0,
    COUNTIFS($AE$2:$AE$200,$G124)&gt;0,
    COUNTIFS($AF$2:$AF$200,$G124)&gt;0,
    COUNTIFS($AG$2:$AG$200,$G124)&gt;0,
    COUNTIFS($AH$2:$AH$200,$G124)&gt;0,
    COUNTIFS($AI$2:$AI$200,$G124)&gt;0,
    COUNTIFS($AJ$2:$AJ$200,$G124)&gt;0,
    COUNTIFS($AK$2:$AK$200,$G124)&gt;0,
    COUNTIFS($AL$2:$AL$200,$G124)&gt;0,
    COUNTIFS($AM$2:$AM$200,$G124)&gt;0,
    COUNTIFS($AN$2:$AN$200,$G124)&gt;0,
    COUNTIFS($AO$2:$AO$200,$G124)&gt;0,
    COUNTIFS($AP$2:$AP$200,$G124)&gt;0,
    COUNTIFS($AQ$2:$AQ$200,$G124)&gt;0,
    COUNTIFS($AR$2:$AR$200,$G124)&gt;0,
    COUNTIFS($AS$2:$AS$200,$G124)&gt;0,
    COUNTIFS($AT$2:$AT$200,$G124)&gt;0,
    COUNTIFS($AU$2:$AU$200,$G124)&gt;0,
    COUNTIFS($AV$2:$AV$200,$G124)&gt;0,
    COUNTIFS($AW$2:$AW$200,$G124)&gt;0,
    COUNTIFS($AX$2:$AX$200,$G124)&gt;0,
    COUNTIFS($AY$2:$AY$200,$G124)&gt;0,
    COUNTIFS($AZ$2:$AZ$200,$G124)&gt;0,
    COUNTIFS($BA$2:$BA$200,$G124)&gt;0,
    COUNTIFS($BB$2:$BB$200,$G124)&gt;0,
    COUNTIFS($BC$2:$BC$200,$G124)&gt;0,
    COUNTIFS($BD$2:$BD$200,$G124)&gt;0,
    COUNTIFS($BE$2:$BE$200,$G124)&gt;0,
    COUNTIFS($BF$2:$BF$200,$G124)&gt;0,
    COUNTIFS($BG$2:$BG$200,$G124)&gt;0,
    COUNTIFS($BH$2:$BH$200,$G124)&gt;0,
    COUNTIFS($BI$2:$BI$200,$G124)&gt;0,
    COUNTIFS($BJ$2:$BJ$200,$G124)&gt;0,
    COUNTIFS($BK$2:$BK$200,$G124)&gt;0,
    COUNTIFS($BL$2:$BL$200,$G124)&gt;0,
    COUNTIFS($BM$2:$BM$200,$G124)&gt;0,
   ),
  0)
 ),
"")</f>
        <v>4cRash</v>
      </c>
      <c r="D124" s="2" t="str" cm="1">
        <f t="array" aca="1" ref="D124" ca="1">IFERROR(
 INDEX(
  _xlfn._xlws.FILTER($V$1:$AY$1,
   TRANSPOSE(
    CHOOSE({1;2;3;4;5;6;7;8;9;10;11;12;13;14;15;16;17;18;19;20;21;22;23;24;25;26;27;28;29;30},
     COUNTIFS($V$2:$V$200,$G124)&gt;0,
     COUNTIFS($W$2:$W$200,$G124)&gt;0,
     COUNTIFS($X$2:$X$200,$G124)&gt;0,
     COUNTIFS($Y$2:$Y$200,$G124)&gt;0,
     COUNTIFS($Z$2:$Z$200,$G124)&gt;0,
     COUNTIFS($AA$2:$AA$200,$G124)&gt;0,
     COUNTIFS($AB$2:$AB$200,$G124)&gt;0,
     COUNTIFS($AC$2:$AC$200,$G124)&gt;0,
     COUNTIFS($AD$2:$AD$200,$G124)&gt;0,
     COUNTIFS($AE$2:$AE$200,$G124)&gt;0,
     COUNTIFS($AF$2:$AF$200,$G124)&gt;0,
     COUNTIFS($AG$2:$AG$200,$G124)&gt;0,
     COUNTIFS($AH$2:$AH$200,$G124)&gt;0,
     COUNTIFS($AI$2:$AI$200,$G124)&gt;0,
     COUNTIFS($AJ$2:$AJ$200,$G124)&gt;0,
     COUNTIFS($AK$2:$AK$200,$G124)&gt;0,
     COUNTIFS($AL$2:$AL$200,$G124)&gt;0,
     COUNTIFS($AM$2:$AM$200,$G124)&gt;0,
     COUNTIFS($AN$2:$AN$200,$G124)&gt;0,
     COUNTIFS($AO$2:$AO$200,$G124)&gt;0,
     COUNTIFS($AP$2:$AP$200,$G124)&gt;0,
     COUNTIFS($AQ$2:$AQ$200,$G124)&gt;0,
     COUNTIFS($AR$2:$AR$200,$G124)&gt;0,
     COUNTIFS($AS$2:$AS$200,$G124)&gt;0,
     COUNTIFS($AT$2:$AT$200,$G124)&gt;0,
     COUNTIFS($AU$2:$AU$200,$G124)&gt;0,
     COUNTIFS($AV$2:$AV$200,$G124)&gt;0,
     COUNTIFS($AW$2:$AW$200,$G124)&gt;0,
     COUNTIFS($AX$2:$AX$200,$G124)&gt;0,
     COUNTIFS($AY$2:$AY$200,$G124)&gt;0
   )),
  ),
  2
 ),
"")</f>
        <v/>
      </c>
      <c r="E124" s="2" t="str" cm="1">
        <f t="array" aca="1" ref="E124" ca="1">IFERROR(
 INDEX(
  _xlfn._xlws.FILTER($V$1:$AY$1,
   TRANSPOSE(
    CHOOSE({1;2;3;4;5;6;7;8;9;10;11;12;13;14;15;16;17;18;19;20;21;22;23;24;25;26;27;28;29;30},
     COUNTIFS($V$2:$V$200,$G124)&gt;0,
     COUNTIFS($W$2:$W$200,$G124)&gt;0,
     COUNTIFS($X$2:$X$200,$G124)&gt;0,
     COUNTIFS($Y$2:$Y$200,$G124)&gt;0,
     COUNTIFS($Z$2:$Z$200,$G124)&gt;0,
     COUNTIFS($AA$2:$AA$200,$G124)&gt;0,
     COUNTIFS($AB$2:$AB$200,$G124)&gt;0,
     COUNTIFS($AC$2:$AC$200,$G124)&gt;0,
     COUNTIFS($AD$2:$AD$200,$G124)&gt;0,
     COUNTIFS($AE$2:$AE$200,$G124)&gt;0,
     COUNTIFS($AF$2:$AF$200,$G124)&gt;0,
     COUNTIFS($AG$2:$AG$200,$G124)&gt;0,
     COUNTIFS($AH$2:$AH$200,$G124)&gt;0,
     COUNTIFS($AI$2:$AI$200,$G124)&gt;0,
     COUNTIFS($AJ$2:$AJ$200,$G124)&gt;0,
     COUNTIFS($AK$2:$AK$200,$G124)&gt;0,
     COUNTIFS($AL$2:$AL$200,$G124)&gt;0,
     COUNTIFS($AM$2:$AM$200,$G124)&gt;0,
     COUNTIFS($AN$2:$AN$200,$G124)&gt;0,
     COUNTIFS($AO$2:$AO$200,$G124)&gt;0,
     COUNTIFS($AP$2:$AP$200,$G124)&gt;0,
     COUNTIFS($AQ$2:$AQ$200,$G124)&gt;0,
     COUNTIFS($AR$2:$AR$200,$G124)&gt;0,
     COUNTIFS($AS$2:$AS$200,$G124)&gt;0,
     COUNTIFS($AT$2:$AT$200,$G124)&gt;0,
     COUNTIFS($AU$2:$AU$200,$G124)&gt;0,
     COUNTIFS($AV$2:$AV$200,$G124)&gt;0,
     COUNTIFS($AW$2:$AW$200,$G124)&gt;0,
     COUNTIFS($AX$2:$AX$200,$G124)&gt;0,
     COUNTIFS($AY$2:$AY$200,$G124)&gt;0
   )),
  ),
  3
 ),
"")</f>
        <v/>
      </c>
      <c r="F124" s="2" t="str" cm="1">
        <f t="array" aca="1" ref="F124" ca="1">IFERROR(
 INDEX(
  _xlfn._xlws.FILTER($V$1:$AY$1,
   TRANSPOSE(
    CHOOSE({1;2;3;4;5;6;7;8;9;10;11;12;13;14;15;16;17;18;19;20;21;22;23;24;25;26;27;28;29;30},
     COUNTIFS($V$2:$V$200,$G124)&gt;0,
     COUNTIFS($W$2:$W$200,$G124)&gt;0,
     COUNTIFS($X$2:$X$200,$G124)&gt;0,
     COUNTIFS($Y$2:$Y$200,$G124)&gt;0,
     COUNTIFS($Z$2:$Z$200,$G124)&gt;0,
     COUNTIFS($AA$2:$AA$200,$G124)&gt;0,
     COUNTIFS($AB$2:$AB$200,$G124)&gt;0,
     COUNTIFS($AC$2:$AC$200,$G124)&gt;0,
     COUNTIFS($AD$2:$AD$200,$G124)&gt;0,
     COUNTIFS($AE$2:$AE$200,$G124)&gt;0,
     COUNTIFS($AF$2:$AF$200,$G124)&gt;0,
     COUNTIFS($AG$2:$AG$200,$G124)&gt;0,
     COUNTIFS($AH$2:$AH$200,$G124)&gt;0,
     COUNTIFS($AI$2:$AI$200,$G124)&gt;0,
     COUNTIFS($AJ$2:$AJ$200,$G124)&gt;0,
     COUNTIFS($AK$2:$AK$200,$G124)&gt;0,
     COUNTIFS($AL$2:$AL$200,$G124)&gt;0,
     COUNTIFS($AM$2:$AM$200,$G124)&gt;0,
     COUNTIFS($AN$2:$AN$200,$G124)&gt;0,
     COUNTIFS($AO$2:$AO$200,$G124)&gt;0,
     COUNTIFS($AP$2:$AP$200,$G124)&gt;0,
     COUNTIFS($AQ$2:$AQ$200,$G124)&gt;0,
     COUNTIFS($AR$2:$AR$200,$G124)&gt;0,
     COUNTIFS($AS$2:$AS$200,$G124)&gt;0,
     COUNTIFS($AT$2:$AT$200,$G124)&gt;0,
     COUNTIFS($AU$2:$AU$200,$G124)&gt;0,
     COUNTIFS($AV$2:$AV$200,$G124)&gt;0,
     COUNTIFS($AW$2:$AW$200,$G124)&gt;0,
     COUNTIFS($AX$2:$AX$200,$G124)&gt;0,
     COUNTIFS($AY$2:$AY$200,$G124)&gt;0
   )),
  ),
  4
 ),
"")</f>
        <v/>
      </c>
      <c r="G124" t="str">
        <f ca="1"/>
        <v>Displacer Kitten</v>
      </c>
      <c r="DZ124" t="str">
        <f ca="1"/>
        <v>The Battle of Bywater</v>
      </c>
      <c r="EI124" t="str">
        <f ca="1"/>
        <v>Temple Garden</v>
      </c>
      <c r="EL124" t="str">
        <f ca="1"/>
        <v>The Battle of Bywater</v>
      </c>
      <c r="EP124" t="str">
        <f ca="1"/>
        <v>Rimekin Recluse</v>
      </c>
      <c r="EQ124" t="str">
        <f ca="1"/>
        <v>Red XIII, Proud Warrior</v>
      </c>
      <c r="ER124" t="str">
        <f ca="1"/>
        <v>Norin the Wary</v>
      </c>
      <c r="EU124" t="str">
        <f ca="1"/>
        <v>Godless Shrine</v>
      </c>
      <c r="EV124" t="str">
        <f ca="1"/>
        <v>Norin the Wary</v>
      </c>
      <c r="EX124" t="str">
        <f ca="1"/>
        <v>Displacer Kitten</v>
      </c>
    </row>
    <row r="125" spans="1:154" x14ac:dyDescent="0.25">
      <c r="A125" s="2" t="str">
        <f t="shared" ca="1" si="8"/>
        <v>3</v>
      </c>
      <c r="B125" s="2">
        <f t="shared" ca="1" si="9"/>
        <v>1</v>
      </c>
      <c r="C125" s="2" t="str">
        <f ca="1">IFERROR(
 INDEX($V$1:$BL$1,
  MATCH(TRUE,
   CHOOSE({1;2;3;4;5;6;7;8;9;10;11;12;13;14;15;16;17;18;19;20;21;22;23;24;25;26;27;28;29;30;31;32;33;34;35;36;37;38;39;40;41;42;43},
    COUNTIFS($V$2:$V$200,$G125)&gt;0,
    COUNTIFS($W$2:$W$200,$G125)&gt;0,
    COUNTIFS($X$2:$X$200,$G125)&gt;0,
    COUNTIFS($Y$2:$Y$200,$G125)&gt;0,
    COUNTIFS($Z$2:$Z$200,$G125)&gt;0,
    COUNTIFS($AA$2:$AA$200,$G125)&gt;0,
    COUNTIFS($AB$2:$AB$200,$G125)&gt;0,
    COUNTIFS($AC$2:$AC$200,$G125)&gt;0,
    COUNTIFS($AD$2:$AD$200,$G125)&gt;0,
    COUNTIFS($AE$2:$AE$200,$G125)&gt;0,
    COUNTIFS($AF$2:$AF$200,$G125)&gt;0,
    COUNTIFS($AG$2:$AG$200,$G125)&gt;0,
    COUNTIFS($AH$2:$AH$200,$G125)&gt;0,
    COUNTIFS($AI$2:$AI$200,$G125)&gt;0,
    COUNTIFS($AJ$2:$AJ$200,$G125)&gt;0,
    COUNTIFS($AK$2:$AK$200,$G125)&gt;0,
    COUNTIFS($AL$2:$AL$200,$G125)&gt;0,
    COUNTIFS($AM$2:$AM$200,$G125)&gt;0,
    COUNTIFS($AN$2:$AN$200,$G125)&gt;0,
    COUNTIFS($AO$2:$AO$200,$G125)&gt;0,
    COUNTIFS($AP$2:$AP$200,$G125)&gt;0,
    COUNTIFS($AQ$2:$AQ$200,$G125)&gt;0,
    COUNTIFS($AR$2:$AR$200,$G125)&gt;0,
    COUNTIFS($AS$2:$AS$200,$G125)&gt;0,
    COUNTIFS($AT$2:$AT$200,$G125)&gt;0,
    COUNTIFS($AU$2:$AU$200,$G125)&gt;0,
    COUNTIFS($AV$2:$AV$200,$G125)&gt;0,
    COUNTIFS($AW$2:$AW$200,$G125)&gt;0,
    COUNTIFS($AX$2:$AX$200,$G125)&gt;0,
    COUNTIFS($AY$2:$AY$200,$G125)&gt;0,
    COUNTIFS($AZ$2:$AZ$200,$G125)&gt;0,
    COUNTIFS($BA$2:$BA$200,$G125)&gt;0,
    COUNTIFS($BB$2:$BB$200,$G125)&gt;0,
    COUNTIFS($BC$2:$BC$200,$G125)&gt;0,
    COUNTIFS($BD$2:$BD$200,$G125)&gt;0,
    COUNTIFS($BE$2:$BE$200,$G125)&gt;0,
    COUNTIFS($BF$2:$BF$200,$G125)&gt;0,
    COUNTIFS($BG$2:$BG$200,$G125)&gt;0,
    COUNTIFS($BH$2:$BH$200,$G125)&gt;0,
    COUNTIFS($BI$2:$BI$200,$G125)&gt;0,
    COUNTIFS($BJ$2:$BJ$200,$G125)&gt;0,
    COUNTIFS($BK$2:$BK$200,$G125)&gt;0,
    COUNTIFS($BL$2:$BL$200,$G125)&gt;0,
    COUNTIFS($BM$2:$BM$200,$G125)&gt;0,
   ),
  0)
 ),
"")</f>
        <v>Inalla</v>
      </c>
      <c r="D125" s="2" t="str" cm="1">
        <f t="array" aca="1" ref="D125" ca="1">IFERROR(
 INDEX(
  _xlfn._xlws.FILTER($V$1:$AY$1,
   TRANSPOSE(
    CHOOSE({1;2;3;4;5;6;7;8;9;10;11;12;13;14;15;16;17;18;19;20;21;22;23;24;25;26;27;28;29;30},
     COUNTIFS($V$2:$V$200,$G125)&gt;0,
     COUNTIFS($W$2:$W$200,$G125)&gt;0,
     COUNTIFS($X$2:$X$200,$G125)&gt;0,
     COUNTIFS($Y$2:$Y$200,$G125)&gt;0,
     COUNTIFS($Z$2:$Z$200,$G125)&gt;0,
     COUNTIFS($AA$2:$AA$200,$G125)&gt;0,
     COUNTIFS($AB$2:$AB$200,$G125)&gt;0,
     COUNTIFS($AC$2:$AC$200,$G125)&gt;0,
     COUNTIFS($AD$2:$AD$200,$G125)&gt;0,
     COUNTIFS($AE$2:$AE$200,$G125)&gt;0,
     COUNTIFS($AF$2:$AF$200,$G125)&gt;0,
     COUNTIFS($AG$2:$AG$200,$G125)&gt;0,
     COUNTIFS($AH$2:$AH$200,$G125)&gt;0,
     COUNTIFS($AI$2:$AI$200,$G125)&gt;0,
     COUNTIFS($AJ$2:$AJ$200,$G125)&gt;0,
     COUNTIFS($AK$2:$AK$200,$G125)&gt;0,
     COUNTIFS($AL$2:$AL$200,$G125)&gt;0,
     COUNTIFS($AM$2:$AM$200,$G125)&gt;0,
     COUNTIFS($AN$2:$AN$200,$G125)&gt;0,
     COUNTIFS($AO$2:$AO$200,$G125)&gt;0,
     COUNTIFS($AP$2:$AP$200,$G125)&gt;0,
     COUNTIFS($AQ$2:$AQ$200,$G125)&gt;0,
     COUNTIFS($AR$2:$AR$200,$G125)&gt;0,
     COUNTIFS($AS$2:$AS$200,$G125)&gt;0,
     COUNTIFS($AT$2:$AT$200,$G125)&gt;0,
     COUNTIFS($AU$2:$AU$200,$G125)&gt;0,
     COUNTIFS($AV$2:$AV$200,$G125)&gt;0,
     COUNTIFS($AW$2:$AW$200,$G125)&gt;0,
     COUNTIFS($AX$2:$AX$200,$G125)&gt;0,
     COUNTIFS($AY$2:$AY$200,$G125)&gt;0
   )),
  ),
  2
 ),
"")</f>
        <v/>
      </c>
      <c r="E125" s="2" t="str" cm="1">
        <f t="array" aca="1" ref="E125" ca="1">IFERROR(
 INDEX(
  _xlfn._xlws.FILTER($V$1:$AY$1,
   TRANSPOSE(
    CHOOSE({1;2;3;4;5;6;7;8;9;10;11;12;13;14;15;16;17;18;19;20;21;22;23;24;25;26;27;28;29;30},
     COUNTIFS($V$2:$V$200,$G125)&gt;0,
     COUNTIFS($W$2:$W$200,$G125)&gt;0,
     COUNTIFS($X$2:$X$200,$G125)&gt;0,
     COUNTIFS($Y$2:$Y$200,$G125)&gt;0,
     COUNTIFS($Z$2:$Z$200,$G125)&gt;0,
     COUNTIFS($AA$2:$AA$200,$G125)&gt;0,
     COUNTIFS($AB$2:$AB$200,$G125)&gt;0,
     COUNTIFS($AC$2:$AC$200,$G125)&gt;0,
     COUNTIFS($AD$2:$AD$200,$G125)&gt;0,
     COUNTIFS($AE$2:$AE$200,$G125)&gt;0,
     COUNTIFS($AF$2:$AF$200,$G125)&gt;0,
     COUNTIFS($AG$2:$AG$200,$G125)&gt;0,
     COUNTIFS($AH$2:$AH$200,$G125)&gt;0,
     COUNTIFS($AI$2:$AI$200,$G125)&gt;0,
     COUNTIFS($AJ$2:$AJ$200,$G125)&gt;0,
     COUNTIFS($AK$2:$AK$200,$G125)&gt;0,
     COUNTIFS($AL$2:$AL$200,$G125)&gt;0,
     COUNTIFS($AM$2:$AM$200,$G125)&gt;0,
     COUNTIFS($AN$2:$AN$200,$G125)&gt;0,
     COUNTIFS($AO$2:$AO$200,$G125)&gt;0,
     COUNTIFS($AP$2:$AP$200,$G125)&gt;0,
     COUNTIFS($AQ$2:$AQ$200,$G125)&gt;0,
     COUNTIFS($AR$2:$AR$200,$G125)&gt;0,
     COUNTIFS($AS$2:$AS$200,$G125)&gt;0,
     COUNTIFS($AT$2:$AT$200,$G125)&gt;0,
     COUNTIFS($AU$2:$AU$200,$G125)&gt;0,
     COUNTIFS($AV$2:$AV$200,$G125)&gt;0,
     COUNTIFS($AW$2:$AW$200,$G125)&gt;0,
     COUNTIFS($AX$2:$AX$200,$G125)&gt;0,
     COUNTIFS($AY$2:$AY$200,$G125)&gt;0
   )),
  ),
  3
 ),
"")</f>
        <v/>
      </c>
      <c r="F125" s="2" t="str" cm="1">
        <f t="array" aca="1" ref="F125" ca="1">IFERROR(
 INDEX(
  _xlfn._xlws.FILTER($V$1:$AY$1,
   TRANSPOSE(
    CHOOSE({1;2;3;4;5;6;7;8;9;10;11;12;13;14;15;16;17;18;19;20;21;22;23;24;25;26;27;28;29;30},
     COUNTIFS($V$2:$V$200,$G125)&gt;0,
     COUNTIFS($W$2:$W$200,$G125)&gt;0,
     COUNTIFS($X$2:$X$200,$G125)&gt;0,
     COUNTIFS($Y$2:$Y$200,$G125)&gt;0,
     COUNTIFS($Z$2:$Z$200,$G125)&gt;0,
     COUNTIFS($AA$2:$AA$200,$G125)&gt;0,
     COUNTIFS($AB$2:$AB$200,$G125)&gt;0,
     COUNTIFS($AC$2:$AC$200,$G125)&gt;0,
     COUNTIFS($AD$2:$AD$200,$G125)&gt;0,
     COUNTIFS($AE$2:$AE$200,$G125)&gt;0,
     COUNTIFS($AF$2:$AF$200,$G125)&gt;0,
     COUNTIFS($AG$2:$AG$200,$G125)&gt;0,
     COUNTIFS($AH$2:$AH$200,$G125)&gt;0,
     COUNTIFS($AI$2:$AI$200,$G125)&gt;0,
     COUNTIFS($AJ$2:$AJ$200,$G125)&gt;0,
     COUNTIFS($AK$2:$AK$200,$G125)&gt;0,
     COUNTIFS($AL$2:$AL$200,$G125)&gt;0,
     COUNTIFS($AM$2:$AM$200,$G125)&gt;0,
     COUNTIFS($AN$2:$AN$200,$G125)&gt;0,
     COUNTIFS($AO$2:$AO$200,$G125)&gt;0,
     COUNTIFS($AP$2:$AP$200,$G125)&gt;0,
     COUNTIFS($AQ$2:$AQ$200,$G125)&gt;0,
     COUNTIFS($AR$2:$AR$200,$G125)&gt;0,
     COUNTIFS($AS$2:$AS$200,$G125)&gt;0,
     COUNTIFS($AT$2:$AT$200,$G125)&gt;0,
     COUNTIFS($AU$2:$AU$200,$G125)&gt;0,
     COUNTIFS($AV$2:$AV$200,$G125)&gt;0,
     COUNTIFS($AW$2:$AW$200,$G125)&gt;0,
     COUNTIFS($AX$2:$AX$200,$G125)&gt;0,
     COUNTIFS($AY$2:$AY$200,$G125)&gt;0
   )),
  ),
  4
 ),
"")</f>
        <v/>
      </c>
      <c r="G125" t="str">
        <f ca="1"/>
        <v>Disruptor of Currents</v>
      </c>
      <c r="DZ125" t="str">
        <f ca="1"/>
        <v>The Emperor of Palamecia</v>
      </c>
      <c r="EI125" t="str">
        <f ca="1"/>
        <v>The First Sliver</v>
      </c>
      <c r="EL125" t="str">
        <f ca="1"/>
        <v>The Emperor of Palamecia</v>
      </c>
      <c r="EP125" t="str">
        <f ca="1"/>
        <v>Rings of Brighthearth</v>
      </c>
      <c r="EQ125" t="str">
        <f ca="1"/>
        <v>Reflecting Pool</v>
      </c>
      <c r="ER125" t="str">
        <f ca="1"/>
        <v>Ohran Frostfang</v>
      </c>
      <c r="EU125" t="str">
        <f ca="1"/>
        <v>Gonti's Aether Heart</v>
      </c>
      <c r="EV125" t="str">
        <f ca="1"/>
        <v>Ohran Frostfang</v>
      </c>
      <c r="EX125" t="str">
        <f ca="1"/>
        <v>Disruptor of Currents</v>
      </c>
    </row>
    <row r="126" spans="1:154" x14ac:dyDescent="0.25">
      <c r="A126" s="2" t="str">
        <f t="shared" ca="1" si="8"/>
        <v>2</v>
      </c>
      <c r="B126" s="2">
        <f t="shared" ca="1" si="9"/>
        <v>2</v>
      </c>
      <c r="C126" s="2" t="str">
        <f ca="1">IFERROR(
 INDEX($V$1:$BL$1,
  MATCH(TRUE,
   CHOOSE({1;2;3;4;5;6;7;8;9;10;11;12;13;14;15;16;17;18;19;20;21;22;23;24;25;26;27;28;29;30;31;32;33;34;35;36;37;38;39;40;41;42;43},
    COUNTIFS($V$2:$V$200,$G126)&gt;0,
    COUNTIFS($W$2:$W$200,$G126)&gt;0,
    COUNTIFS($X$2:$X$200,$G126)&gt;0,
    COUNTIFS($Y$2:$Y$200,$G126)&gt;0,
    COUNTIFS($Z$2:$Z$200,$G126)&gt;0,
    COUNTIFS($AA$2:$AA$200,$G126)&gt;0,
    COUNTIFS($AB$2:$AB$200,$G126)&gt;0,
    COUNTIFS($AC$2:$AC$200,$G126)&gt;0,
    COUNTIFS($AD$2:$AD$200,$G126)&gt;0,
    COUNTIFS($AE$2:$AE$200,$G126)&gt;0,
    COUNTIFS($AF$2:$AF$200,$G126)&gt;0,
    COUNTIFS($AG$2:$AG$200,$G126)&gt;0,
    COUNTIFS($AH$2:$AH$200,$G126)&gt;0,
    COUNTIFS($AI$2:$AI$200,$G126)&gt;0,
    COUNTIFS($AJ$2:$AJ$200,$G126)&gt;0,
    COUNTIFS($AK$2:$AK$200,$G126)&gt;0,
    COUNTIFS($AL$2:$AL$200,$G126)&gt;0,
    COUNTIFS($AM$2:$AM$200,$G126)&gt;0,
    COUNTIFS($AN$2:$AN$200,$G126)&gt;0,
    COUNTIFS($AO$2:$AO$200,$G126)&gt;0,
    COUNTIFS($AP$2:$AP$200,$G126)&gt;0,
    COUNTIFS($AQ$2:$AQ$200,$G126)&gt;0,
    COUNTIFS($AR$2:$AR$200,$G126)&gt;0,
    COUNTIFS($AS$2:$AS$200,$G126)&gt;0,
    COUNTIFS($AT$2:$AT$200,$G126)&gt;0,
    COUNTIFS($AU$2:$AU$200,$G126)&gt;0,
    COUNTIFS($AV$2:$AV$200,$G126)&gt;0,
    COUNTIFS($AW$2:$AW$200,$G126)&gt;0,
    COUNTIFS($AX$2:$AX$200,$G126)&gt;0,
    COUNTIFS($AY$2:$AY$200,$G126)&gt;0,
    COUNTIFS($AZ$2:$AZ$200,$G126)&gt;0,
    COUNTIFS($BA$2:$BA$200,$G126)&gt;0,
    COUNTIFS($BB$2:$BB$200,$G126)&gt;0,
    COUNTIFS($BC$2:$BC$200,$G126)&gt;0,
    COUNTIFS($BD$2:$BD$200,$G126)&gt;0,
    COUNTIFS($BE$2:$BE$200,$G126)&gt;0,
    COUNTIFS($BF$2:$BF$200,$G126)&gt;0,
    COUNTIFS($BG$2:$BG$200,$G126)&gt;0,
    COUNTIFS($BH$2:$BH$200,$G126)&gt;0,
    COUNTIFS($BI$2:$BI$200,$G126)&gt;0,
    COUNTIFS($BJ$2:$BJ$200,$G126)&gt;0,
    COUNTIFS($BK$2:$BK$200,$G126)&gt;0,
    COUNTIFS($BL$2:$BL$200,$G126)&gt;0,
    COUNTIFS($BM$2:$BM$200,$G126)&gt;0,
   ),
  0)
 ),
"")</f>
        <v>OWA</v>
      </c>
      <c r="D126" s="2" t="str" cm="1">
        <f t="array" aca="1" ref="D126" ca="1">IFERROR(
 INDEX(
  _xlfn._xlws.FILTER($V$1:$AY$1,
   TRANSPOSE(
    CHOOSE({1;2;3;4;5;6;7;8;9;10;11;12;13;14;15;16;17;18;19;20;21;22;23;24;25;26;27;28;29;30},
     COUNTIFS($V$2:$V$200,$G126)&gt;0,
     COUNTIFS($W$2:$W$200,$G126)&gt;0,
     COUNTIFS($X$2:$X$200,$G126)&gt;0,
     COUNTIFS($Y$2:$Y$200,$G126)&gt;0,
     COUNTIFS($Z$2:$Z$200,$G126)&gt;0,
     COUNTIFS($AA$2:$AA$200,$G126)&gt;0,
     COUNTIFS($AB$2:$AB$200,$G126)&gt;0,
     COUNTIFS($AC$2:$AC$200,$G126)&gt;0,
     COUNTIFS($AD$2:$AD$200,$G126)&gt;0,
     COUNTIFS($AE$2:$AE$200,$G126)&gt;0,
     COUNTIFS($AF$2:$AF$200,$G126)&gt;0,
     COUNTIFS($AG$2:$AG$200,$G126)&gt;0,
     COUNTIFS($AH$2:$AH$200,$G126)&gt;0,
     COUNTIFS($AI$2:$AI$200,$G126)&gt;0,
     COUNTIFS($AJ$2:$AJ$200,$G126)&gt;0,
     COUNTIFS($AK$2:$AK$200,$G126)&gt;0,
     COUNTIFS($AL$2:$AL$200,$G126)&gt;0,
     COUNTIFS($AM$2:$AM$200,$G126)&gt;0,
     COUNTIFS($AN$2:$AN$200,$G126)&gt;0,
     COUNTIFS($AO$2:$AO$200,$G126)&gt;0,
     COUNTIFS($AP$2:$AP$200,$G126)&gt;0,
     COUNTIFS($AQ$2:$AQ$200,$G126)&gt;0,
     COUNTIFS($AR$2:$AR$200,$G126)&gt;0,
     COUNTIFS($AS$2:$AS$200,$G126)&gt;0,
     COUNTIFS($AT$2:$AT$200,$G126)&gt;0,
     COUNTIFS($AU$2:$AU$200,$G126)&gt;0,
     COUNTIFS($AV$2:$AV$200,$G126)&gt;0,
     COUNTIFS($AW$2:$AW$200,$G126)&gt;0,
     COUNTIFS($AX$2:$AX$200,$G126)&gt;0,
     COUNTIFS($AY$2:$AY$200,$G126)&gt;0
   )),
  ),
  2
 ),
"")</f>
        <v/>
      </c>
      <c r="E126" s="2" t="str" cm="1">
        <f t="array" aca="1" ref="E126" ca="1">IFERROR(
 INDEX(
  _xlfn._xlws.FILTER($V$1:$AY$1,
   TRANSPOSE(
    CHOOSE({1;2;3;4;5;6;7;8;9;10;11;12;13;14;15;16;17;18;19;20;21;22;23;24;25;26;27;28;29;30},
     COUNTIFS($V$2:$V$200,$G126)&gt;0,
     COUNTIFS($W$2:$W$200,$G126)&gt;0,
     COUNTIFS($X$2:$X$200,$G126)&gt;0,
     COUNTIFS($Y$2:$Y$200,$G126)&gt;0,
     COUNTIFS($Z$2:$Z$200,$G126)&gt;0,
     COUNTIFS($AA$2:$AA$200,$G126)&gt;0,
     COUNTIFS($AB$2:$AB$200,$G126)&gt;0,
     COUNTIFS($AC$2:$AC$200,$G126)&gt;0,
     COUNTIFS($AD$2:$AD$200,$G126)&gt;0,
     COUNTIFS($AE$2:$AE$200,$G126)&gt;0,
     COUNTIFS($AF$2:$AF$200,$G126)&gt;0,
     COUNTIFS($AG$2:$AG$200,$G126)&gt;0,
     COUNTIFS($AH$2:$AH$200,$G126)&gt;0,
     COUNTIFS($AI$2:$AI$200,$G126)&gt;0,
     COUNTIFS($AJ$2:$AJ$200,$G126)&gt;0,
     COUNTIFS($AK$2:$AK$200,$G126)&gt;0,
     COUNTIFS($AL$2:$AL$200,$G126)&gt;0,
     COUNTIFS($AM$2:$AM$200,$G126)&gt;0,
     COUNTIFS($AN$2:$AN$200,$G126)&gt;0,
     COUNTIFS($AO$2:$AO$200,$G126)&gt;0,
     COUNTIFS($AP$2:$AP$200,$G126)&gt;0,
     COUNTIFS($AQ$2:$AQ$200,$G126)&gt;0,
     COUNTIFS($AR$2:$AR$200,$G126)&gt;0,
     COUNTIFS($AS$2:$AS$200,$G126)&gt;0,
     COUNTIFS($AT$2:$AT$200,$G126)&gt;0,
     COUNTIFS($AU$2:$AU$200,$G126)&gt;0,
     COUNTIFS($AV$2:$AV$200,$G126)&gt;0,
     COUNTIFS($AW$2:$AW$200,$G126)&gt;0,
     COUNTIFS($AX$2:$AX$200,$G126)&gt;0,
     COUNTIFS($AY$2:$AY$200,$G126)&gt;0
   )),
  ),
  3
 ),
"")</f>
        <v/>
      </c>
      <c r="F126" s="2" t="str" cm="1">
        <f t="array" aca="1" ref="F126" ca="1">IFERROR(
 INDEX(
  _xlfn._xlws.FILTER($V$1:$AY$1,
   TRANSPOSE(
    CHOOSE({1;2;3;4;5;6;7;8;9;10;11;12;13;14;15;16;17;18;19;20;21;22;23;24;25;26;27;28;29;30},
     COUNTIFS($V$2:$V$200,$G126)&gt;0,
     COUNTIFS($W$2:$W$200,$G126)&gt;0,
     COUNTIFS($X$2:$X$200,$G126)&gt;0,
     COUNTIFS($Y$2:$Y$200,$G126)&gt;0,
     COUNTIFS($Z$2:$Z$200,$G126)&gt;0,
     COUNTIFS($AA$2:$AA$200,$G126)&gt;0,
     COUNTIFS($AB$2:$AB$200,$G126)&gt;0,
     COUNTIFS($AC$2:$AC$200,$G126)&gt;0,
     COUNTIFS($AD$2:$AD$200,$G126)&gt;0,
     COUNTIFS($AE$2:$AE$200,$G126)&gt;0,
     COUNTIFS($AF$2:$AF$200,$G126)&gt;0,
     COUNTIFS($AG$2:$AG$200,$G126)&gt;0,
     COUNTIFS($AH$2:$AH$200,$G126)&gt;0,
     COUNTIFS($AI$2:$AI$200,$G126)&gt;0,
     COUNTIFS($AJ$2:$AJ$200,$G126)&gt;0,
     COUNTIFS($AK$2:$AK$200,$G126)&gt;0,
     COUNTIFS($AL$2:$AL$200,$G126)&gt;0,
     COUNTIFS($AM$2:$AM$200,$G126)&gt;0,
     COUNTIFS($AN$2:$AN$200,$G126)&gt;0,
     COUNTIFS($AO$2:$AO$200,$G126)&gt;0,
     COUNTIFS($AP$2:$AP$200,$G126)&gt;0,
     COUNTIFS($AQ$2:$AQ$200,$G126)&gt;0,
     COUNTIFS($AR$2:$AR$200,$G126)&gt;0,
     COUNTIFS($AS$2:$AS$200,$G126)&gt;0,
     COUNTIFS($AT$2:$AT$200,$G126)&gt;0,
     COUNTIFS($AU$2:$AU$200,$G126)&gt;0,
     COUNTIFS($AV$2:$AV$200,$G126)&gt;0,
     COUNTIFS($AW$2:$AW$200,$G126)&gt;0,
     COUNTIFS($AX$2:$AX$200,$G126)&gt;0,
     COUNTIFS($AY$2:$AY$200,$G126)&gt;0
   )),
  ),
  4
 ),
"")</f>
        <v/>
      </c>
      <c r="G126" t="str">
        <f ca="1"/>
        <v>Dollmaker's Shop // Porcelain Gallery</v>
      </c>
      <c r="DZ126" t="str">
        <f ca="1"/>
        <v>The Lord of Pain</v>
      </c>
      <c r="EI126" t="str">
        <f ca="1"/>
        <v>Thorncaster Sliver</v>
      </c>
      <c r="EL126" t="str">
        <f ca="1"/>
        <v>The Lord of Pain</v>
      </c>
      <c r="EP126" t="str">
        <f ca="1"/>
        <v>Ripples of Potential</v>
      </c>
      <c r="EQ126" t="str">
        <f ca="1"/>
        <v>Regal Sliver</v>
      </c>
      <c r="ER126" t="str">
        <f ca="1"/>
        <v>Oketra's Monument</v>
      </c>
      <c r="EU126" t="str">
        <f ca="1"/>
        <v>Great Furnace</v>
      </c>
      <c r="EV126" t="str">
        <f ca="1"/>
        <v>Oketra's Monument</v>
      </c>
      <c r="EX126" t="str">
        <f ca="1"/>
        <v>Dollmaker's Shop // Porcelain Gallery</v>
      </c>
    </row>
    <row r="127" spans="1:154" x14ac:dyDescent="0.25">
      <c r="A127" s="2" t="str">
        <f t="shared" ca="1" si="8"/>
        <v>5</v>
      </c>
      <c r="B127" s="2">
        <f t="shared" ca="1" si="9"/>
        <v>1</v>
      </c>
      <c r="C127" s="2" t="str">
        <f ca="1">IFERROR(
 INDEX($V$1:$BL$1,
  MATCH(TRUE,
   CHOOSE({1;2;3;4;5;6;7;8;9;10;11;12;13;14;15;16;17;18;19;20;21;22;23;24;25;26;27;28;29;30;31;32;33;34;35;36;37;38;39;40;41;42;43},
    COUNTIFS($V$2:$V$200,$G127)&gt;0,
    COUNTIFS($W$2:$W$200,$G127)&gt;0,
    COUNTIFS($X$2:$X$200,$G127)&gt;0,
    COUNTIFS($Y$2:$Y$200,$G127)&gt;0,
    COUNTIFS($Z$2:$Z$200,$G127)&gt;0,
    COUNTIFS($AA$2:$AA$200,$G127)&gt;0,
    COUNTIFS($AB$2:$AB$200,$G127)&gt;0,
    COUNTIFS($AC$2:$AC$200,$G127)&gt;0,
    COUNTIFS($AD$2:$AD$200,$G127)&gt;0,
    COUNTIFS($AE$2:$AE$200,$G127)&gt;0,
    COUNTIFS($AF$2:$AF$200,$G127)&gt;0,
    COUNTIFS($AG$2:$AG$200,$G127)&gt;0,
    COUNTIFS($AH$2:$AH$200,$G127)&gt;0,
    COUNTIFS($AI$2:$AI$200,$G127)&gt;0,
    COUNTIFS($AJ$2:$AJ$200,$G127)&gt;0,
    COUNTIFS($AK$2:$AK$200,$G127)&gt;0,
    COUNTIFS($AL$2:$AL$200,$G127)&gt;0,
    COUNTIFS($AM$2:$AM$200,$G127)&gt;0,
    COUNTIFS($AN$2:$AN$200,$G127)&gt;0,
    COUNTIFS($AO$2:$AO$200,$G127)&gt;0,
    COUNTIFS($AP$2:$AP$200,$G127)&gt;0,
    COUNTIFS($AQ$2:$AQ$200,$G127)&gt;0,
    COUNTIFS($AR$2:$AR$200,$G127)&gt;0,
    COUNTIFS($AS$2:$AS$200,$G127)&gt;0,
    COUNTIFS($AT$2:$AT$200,$G127)&gt;0,
    COUNTIFS($AU$2:$AU$200,$G127)&gt;0,
    COUNTIFS($AV$2:$AV$200,$G127)&gt;0,
    COUNTIFS($AW$2:$AW$200,$G127)&gt;0,
    COUNTIFS($AX$2:$AX$200,$G127)&gt;0,
    COUNTIFS($AY$2:$AY$200,$G127)&gt;0,
    COUNTIFS($AZ$2:$AZ$200,$G127)&gt;0,
    COUNTIFS($BA$2:$BA$200,$G127)&gt;0,
    COUNTIFS($BB$2:$BB$200,$G127)&gt;0,
    COUNTIFS($BC$2:$BC$200,$G127)&gt;0,
    COUNTIFS($BD$2:$BD$200,$G127)&gt;0,
    COUNTIFS($BE$2:$BE$200,$G127)&gt;0,
    COUNTIFS($BF$2:$BF$200,$G127)&gt;0,
    COUNTIFS($BG$2:$BG$200,$G127)&gt;0,
    COUNTIFS($BH$2:$BH$200,$G127)&gt;0,
    COUNTIFS($BI$2:$BI$200,$G127)&gt;0,
    COUNTIFS($BJ$2:$BJ$200,$G127)&gt;0,
    COUNTIFS($BK$2:$BK$200,$G127)&gt;0,
    COUNTIFS($BL$2:$BL$200,$G127)&gt;0,
    COUNTIFS($BM$2:$BM$200,$G127)&gt;0,
   ),
  0)
 ),
"")</f>
        <v>Fractius</v>
      </c>
      <c r="D127" s="2" t="str" cm="1">
        <f t="array" aca="1" ref="D127" ca="1">IFERROR(
 INDEX(
  _xlfn._xlws.FILTER($V$1:$AY$1,
   TRANSPOSE(
    CHOOSE({1;2;3;4;5;6;7;8;9;10;11;12;13;14;15;16;17;18;19;20;21;22;23;24;25;26;27;28;29;30},
     COUNTIFS($V$2:$V$200,$G127)&gt;0,
     COUNTIFS($W$2:$W$200,$G127)&gt;0,
     COUNTIFS($X$2:$X$200,$G127)&gt;0,
     COUNTIFS($Y$2:$Y$200,$G127)&gt;0,
     COUNTIFS($Z$2:$Z$200,$G127)&gt;0,
     COUNTIFS($AA$2:$AA$200,$G127)&gt;0,
     COUNTIFS($AB$2:$AB$200,$G127)&gt;0,
     COUNTIFS($AC$2:$AC$200,$G127)&gt;0,
     COUNTIFS($AD$2:$AD$200,$G127)&gt;0,
     COUNTIFS($AE$2:$AE$200,$G127)&gt;0,
     COUNTIFS($AF$2:$AF$200,$G127)&gt;0,
     COUNTIFS($AG$2:$AG$200,$G127)&gt;0,
     COUNTIFS($AH$2:$AH$200,$G127)&gt;0,
     COUNTIFS($AI$2:$AI$200,$G127)&gt;0,
     COUNTIFS($AJ$2:$AJ$200,$G127)&gt;0,
     COUNTIFS($AK$2:$AK$200,$G127)&gt;0,
     COUNTIFS($AL$2:$AL$200,$G127)&gt;0,
     COUNTIFS($AM$2:$AM$200,$G127)&gt;0,
     COUNTIFS($AN$2:$AN$200,$G127)&gt;0,
     COUNTIFS($AO$2:$AO$200,$G127)&gt;0,
     COUNTIFS($AP$2:$AP$200,$G127)&gt;0,
     COUNTIFS($AQ$2:$AQ$200,$G127)&gt;0,
     COUNTIFS($AR$2:$AR$200,$G127)&gt;0,
     COUNTIFS($AS$2:$AS$200,$G127)&gt;0,
     COUNTIFS($AT$2:$AT$200,$G127)&gt;0,
     COUNTIFS($AU$2:$AU$200,$G127)&gt;0,
     COUNTIFS($AV$2:$AV$200,$G127)&gt;0,
     COUNTIFS($AW$2:$AW$200,$G127)&gt;0,
     COUNTIFS($AX$2:$AX$200,$G127)&gt;0,
     COUNTIFS($AY$2:$AY$200,$G127)&gt;0
   )),
  ),
  2
 ),
"")</f>
        <v/>
      </c>
      <c r="E127" s="2" t="str" cm="1">
        <f t="array" aca="1" ref="E127" ca="1">IFERROR(
 INDEX(
  _xlfn._xlws.FILTER($V$1:$AY$1,
   TRANSPOSE(
    CHOOSE({1;2;3;4;5;6;7;8;9;10;11;12;13;14;15;16;17;18;19;20;21;22;23;24;25;26;27;28;29;30},
     COUNTIFS($V$2:$V$200,$G127)&gt;0,
     COUNTIFS($W$2:$W$200,$G127)&gt;0,
     COUNTIFS($X$2:$X$200,$G127)&gt;0,
     COUNTIFS($Y$2:$Y$200,$G127)&gt;0,
     COUNTIFS($Z$2:$Z$200,$G127)&gt;0,
     COUNTIFS($AA$2:$AA$200,$G127)&gt;0,
     COUNTIFS($AB$2:$AB$200,$G127)&gt;0,
     COUNTIFS($AC$2:$AC$200,$G127)&gt;0,
     COUNTIFS($AD$2:$AD$200,$G127)&gt;0,
     COUNTIFS($AE$2:$AE$200,$G127)&gt;0,
     COUNTIFS($AF$2:$AF$200,$G127)&gt;0,
     COUNTIFS($AG$2:$AG$200,$G127)&gt;0,
     COUNTIFS($AH$2:$AH$200,$G127)&gt;0,
     COUNTIFS($AI$2:$AI$200,$G127)&gt;0,
     COUNTIFS($AJ$2:$AJ$200,$G127)&gt;0,
     COUNTIFS($AK$2:$AK$200,$G127)&gt;0,
     COUNTIFS($AL$2:$AL$200,$G127)&gt;0,
     COUNTIFS($AM$2:$AM$200,$G127)&gt;0,
     COUNTIFS($AN$2:$AN$200,$G127)&gt;0,
     COUNTIFS($AO$2:$AO$200,$G127)&gt;0,
     COUNTIFS($AP$2:$AP$200,$G127)&gt;0,
     COUNTIFS($AQ$2:$AQ$200,$G127)&gt;0,
     COUNTIFS($AR$2:$AR$200,$G127)&gt;0,
     COUNTIFS($AS$2:$AS$200,$G127)&gt;0,
     COUNTIFS($AT$2:$AT$200,$G127)&gt;0,
     COUNTIFS($AU$2:$AU$200,$G127)&gt;0,
     COUNTIFS($AV$2:$AV$200,$G127)&gt;0,
     COUNTIFS($AW$2:$AW$200,$G127)&gt;0,
     COUNTIFS($AX$2:$AX$200,$G127)&gt;0,
     COUNTIFS($AY$2:$AY$200,$G127)&gt;0
   )),
  ),
  3
 ),
"")</f>
        <v/>
      </c>
      <c r="F127" s="2" t="str" cm="1">
        <f t="array" aca="1" ref="F127" ca="1">IFERROR(
 INDEX(
  _xlfn._xlws.FILTER($V$1:$AY$1,
   TRANSPOSE(
    CHOOSE({1;2;3;4;5;6;7;8;9;10;11;12;13;14;15;16;17;18;19;20;21;22;23;24;25;26;27;28;29;30},
     COUNTIFS($V$2:$V$200,$G127)&gt;0,
     COUNTIFS($W$2:$W$200,$G127)&gt;0,
     COUNTIFS($X$2:$X$200,$G127)&gt;0,
     COUNTIFS($Y$2:$Y$200,$G127)&gt;0,
     COUNTIFS($Z$2:$Z$200,$G127)&gt;0,
     COUNTIFS($AA$2:$AA$200,$G127)&gt;0,
     COUNTIFS($AB$2:$AB$200,$G127)&gt;0,
     COUNTIFS($AC$2:$AC$200,$G127)&gt;0,
     COUNTIFS($AD$2:$AD$200,$G127)&gt;0,
     COUNTIFS($AE$2:$AE$200,$G127)&gt;0,
     COUNTIFS($AF$2:$AF$200,$G127)&gt;0,
     COUNTIFS($AG$2:$AG$200,$G127)&gt;0,
     COUNTIFS($AH$2:$AH$200,$G127)&gt;0,
     COUNTIFS($AI$2:$AI$200,$G127)&gt;0,
     COUNTIFS($AJ$2:$AJ$200,$G127)&gt;0,
     COUNTIFS($AK$2:$AK$200,$G127)&gt;0,
     COUNTIFS($AL$2:$AL$200,$G127)&gt;0,
     COUNTIFS($AM$2:$AM$200,$G127)&gt;0,
     COUNTIFS($AN$2:$AN$200,$G127)&gt;0,
     COUNTIFS($AO$2:$AO$200,$G127)&gt;0,
     COUNTIFS($AP$2:$AP$200,$G127)&gt;0,
     COUNTIFS($AQ$2:$AQ$200,$G127)&gt;0,
     COUNTIFS($AR$2:$AR$200,$G127)&gt;0,
     COUNTIFS($AS$2:$AS$200,$G127)&gt;0,
     COUNTIFS($AT$2:$AT$200,$G127)&gt;0,
     COUNTIFS($AU$2:$AU$200,$G127)&gt;0,
     COUNTIFS($AV$2:$AV$200,$G127)&gt;0,
     COUNTIFS($AW$2:$AW$200,$G127)&gt;0,
     COUNTIFS($AX$2:$AX$200,$G127)&gt;0,
     COUNTIFS($AY$2:$AY$200,$G127)&gt;0
   )),
  ),
  4
 ),
"")</f>
        <v/>
      </c>
      <c r="G127" t="str">
        <f ca="1"/>
        <v>Dormant Sliver</v>
      </c>
      <c r="DZ127" t="str">
        <f ca="1"/>
        <v>Toski, Bearer of Secrets</v>
      </c>
      <c r="EI127" t="str">
        <f ca="1"/>
        <v>Three Steps Ahead</v>
      </c>
      <c r="EL127" t="str">
        <f ca="1"/>
        <v>Toski, Bearer of Secrets</v>
      </c>
      <c r="EP127" t="str">
        <f ca="1"/>
        <v>Ripples of Undeath</v>
      </c>
      <c r="EQ127" t="str">
        <f ca="1"/>
        <v>Renewed Solidarity</v>
      </c>
      <c r="ER127" t="str">
        <f ca="1"/>
        <v>Omen of the Hunt</v>
      </c>
      <c r="EU127" t="str">
        <f ca="1"/>
        <v>Grim Affliction</v>
      </c>
      <c r="EV127" t="str">
        <f ca="1"/>
        <v>Omen of the Hunt</v>
      </c>
      <c r="EX127" t="str">
        <f ca="1"/>
        <v>Dormant Sliver</v>
      </c>
    </row>
    <row r="128" spans="1:154" x14ac:dyDescent="0.25">
      <c r="A128" s="2" t="str">
        <f t="shared" ca="1" si="8"/>
        <v>5</v>
      </c>
      <c r="B128" s="2">
        <f t="shared" ca="1" si="9"/>
        <v>1</v>
      </c>
      <c r="C128" s="2" t="str">
        <f ca="1">IFERROR(
 INDEX($V$1:$BL$1,
  MATCH(TRUE,
   CHOOSE({1;2;3;4;5;6;7;8;9;10;11;12;13;14;15;16;17;18;19;20;21;22;23;24;25;26;27;28;29;30;31;32;33;34;35;36;37;38;39;40;41;42;43},
    COUNTIFS($V$2:$V$200,$G128)&gt;0,
    COUNTIFS($W$2:$W$200,$G128)&gt;0,
    COUNTIFS($X$2:$X$200,$G128)&gt;0,
    COUNTIFS($Y$2:$Y$200,$G128)&gt;0,
    COUNTIFS($Z$2:$Z$200,$G128)&gt;0,
    COUNTIFS($AA$2:$AA$200,$G128)&gt;0,
    COUNTIFS($AB$2:$AB$200,$G128)&gt;0,
    COUNTIFS($AC$2:$AC$200,$G128)&gt;0,
    COUNTIFS($AD$2:$AD$200,$G128)&gt;0,
    COUNTIFS($AE$2:$AE$200,$G128)&gt;0,
    COUNTIFS($AF$2:$AF$200,$G128)&gt;0,
    COUNTIFS($AG$2:$AG$200,$G128)&gt;0,
    COUNTIFS($AH$2:$AH$200,$G128)&gt;0,
    COUNTIFS($AI$2:$AI$200,$G128)&gt;0,
    COUNTIFS($AJ$2:$AJ$200,$G128)&gt;0,
    COUNTIFS($AK$2:$AK$200,$G128)&gt;0,
    COUNTIFS($AL$2:$AL$200,$G128)&gt;0,
    COUNTIFS($AM$2:$AM$200,$G128)&gt;0,
    COUNTIFS($AN$2:$AN$200,$G128)&gt;0,
    COUNTIFS($AO$2:$AO$200,$G128)&gt;0,
    COUNTIFS($AP$2:$AP$200,$G128)&gt;0,
    COUNTIFS($AQ$2:$AQ$200,$G128)&gt;0,
    COUNTIFS($AR$2:$AR$200,$G128)&gt;0,
    COUNTIFS($AS$2:$AS$200,$G128)&gt;0,
    COUNTIFS($AT$2:$AT$200,$G128)&gt;0,
    COUNTIFS($AU$2:$AU$200,$G128)&gt;0,
    COUNTIFS($AV$2:$AV$200,$G128)&gt;0,
    COUNTIFS($AW$2:$AW$200,$G128)&gt;0,
    COUNTIFS($AX$2:$AX$200,$G128)&gt;0,
    COUNTIFS($AY$2:$AY$200,$G128)&gt;0,
    COUNTIFS($AZ$2:$AZ$200,$G128)&gt;0,
    COUNTIFS($BA$2:$BA$200,$G128)&gt;0,
    COUNTIFS($BB$2:$BB$200,$G128)&gt;0,
    COUNTIFS($BC$2:$BC$200,$G128)&gt;0,
    COUNTIFS($BD$2:$BD$200,$G128)&gt;0,
    COUNTIFS($BE$2:$BE$200,$G128)&gt;0,
    COUNTIFS($BF$2:$BF$200,$G128)&gt;0,
    COUNTIFS($BG$2:$BG$200,$G128)&gt;0,
    COUNTIFS($BH$2:$BH$200,$G128)&gt;0,
    COUNTIFS($BI$2:$BI$200,$G128)&gt;0,
    COUNTIFS($BJ$2:$BJ$200,$G128)&gt;0,
    COUNTIFS($BK$2:$BK$200,$G128)&gt;0,
    COUNTIFS($BL$2:$BL$200,$G128)&gt;0,
    COUNTIFS($BM$2:$BM$200,$G128)&gt;0,
   ),
  0)
 ),
"")</f>
        <v>Yorion</v>
      </c>
      <c r="D128" s="2" t="str" cm="1">
        <f t="array" aca="1" ref="D128" ca="1">IFERROR(
 INDEX(
  _xlfn._xlws.FILTER($V$1:$AY$1,
   TRANSPOSE(
    CHOOSE({1;2;3;4;5;6;7;8;9;10;11;12;13;14;15;16;17;18;19;20;21;22;23;24;25;26;27;28;29;30},
     COUNTIFS($V$2:$V$200,$G128)&gt;0,
     COUNTIFS($W$2:$W$200,$G128)&gt;0,
     COUNTIFS($X$2:$X$200,$G128)&gt;0,
     COUNTIFS($Y$2:$Y$200,$G128)&gt;0,
     COUNTIFS($Z$2:$Z$200,$G128)&gt;0,
     COUNTIFS($AA$2:$AA$200,$G128)&gt;0,
     COUNTIFS($AB$2:$AB$200,$G128)&gt;0,
     COUNTIFS($AC$2:$AC$200,$G128)&gt;0,
     COUNTIFS($AD$2:$AD$200,$G128)&gt;0,
     COUNTIFS($AE$2:$AE$200,$G128)&gt;0,
     COUNTIFS($AF$2:$AF$200,$G128)&gt;0,
     COUNTIFS($AG$2:$AG$200,$G128)&gt;0,
     COUNTIFS($AH$2:$AH$200,$G128)&gt;0,
     COUNTIFS($AI$2:$AI$200,$G128)&gt;0,
     COUNTIFS($AJ$2:$AJ$200,$G128)&gt;0,
     COUNTIFS($AK$2:$AK$200,$G128)&gt;0,
     COUNTIFS($AL$2:$AL$200,$G128)&gt;0,
     COUNTIFS($AM$2:$AM$200,$G128)&gt;0,
     COUNTIFS($AN$2:$AN$200,$G128)&gt;0,
     COUNTIFS($AO$2:$AO$200,$G128)&gt;0,
     COUNTIFS($AP$2:$AP$200,$G128)&gt;0,
     COUNTIFS($AQ$2:$AQ$200,$G128)&gt;0,
     COUNTIFS($AR$2:$AR$200,$G128)&gt;0,
     COUNTIFS($AS$2:$AS$200,$G128)&gt;0,
     COUNTIFS($AT$2:$AT$200,$G128)&gt;0,
     COUNTIFS($AU$2:$AU$200,$G128)&gt;0,
     COUNTIFS($AV$2:$AV$200,$G128)&gt;0,
     COUNTIFS($AW$2:$AW$200,$G128)&gt;0,
     COUNTIFS($AX$2:$AX$200,$G128)&gt;0,
     COUNTIFS($AY$2:$AY$200,$G128)&gt;0
   )),
  ),
  2
 ),
"")</f>
        <v/>
      </c>
      <c r="E128" s="2" t="str" cm="1">
        <f t="array" aca="1" ref="E128" ca="1">IFERROR(
 INDEX(
  _xlfn._xlws.FILTER($V$1:$AY$1,
   TRANSPOSE(
    CHOOSE({1;2;3;4;5;6;7;8;9;10;11;12;13;14;15;16;17;18;19;20;21;22;23;24;25;26;27;28;29;30},
     COUNTIFS($V$2:$V$200,$G128)&gt;0,
     COUNTIFS($W$2:$W$200,$G128)&gt;0,
     COUNTIFS($X$2:$X$200,$G128)&gt;0,
     COUNTIFS($Y$2:$Y$200,$G128)&gt;0,
     COUNTIFS($Z$2:$Z$200,$G128)&gt;0,
     COUNTIFS($AA$2:$AA$200,$G128)&gt;0,
     COUNTIFS($AB$2:$AB$200,$G128)&gt;0,
     COUNTIFS($AC$2:$AC$200,$G128)&gt;0,
     COUNTIFS($AD$2:$AD$200,$G128)&gt;0,
     COUNTIFS($AE$2:$AE$200,$G128)&gt;0,
     COUNTIFS($AF$2:$AF$200,$G128)&gt;0,
     COUNTIFS($AG$2:$AG$200,$G128)&gt;0,
     COUNTIFS($AH$2:$AH$200,$G128)&gt;0,
     COUNTIFS($AI$2:$AI$200,$G128)&gt;0,
     COUNTIFS($AJ$2:$AJ$200,$G128)&gt;0,
     COUNTIFS($AK$2:$AK$200,$G128)&gt;0,
     COUNTIFS($AL$2:$AL$200,$G128)&gt;0,
     COUNTIFS($AM$2:$AM$200,$G128)&gt;0,
     COUNTIFS($AN$2:$AN$200,$G128)&gt;0,
     COUNTIFS($AO$2:$AO$200,$G128)&gt;0,
     COUNTIFS($AP$2:$AP$200,$G128)&gt;0,
     COUNTIFS($AQ$2:$AQ$200,$G128)&gt;0,
     COUNTIFS($AR$2:$AR$200,$G128)&gt;0,
     COUNTIFS($AS$2:$AS$200,$G128)&gt;0,
     COUNTIFS($AT$2:$AT$200,$G128)&gt;0,
     COUNTIFS($AU$2:$AU$200,$G128)&gt;0,
     COUNTIFS($AV$2:$AV$200,$G128)&gt;0,
     COUNTIFS($AW$2:$AW$200,$G128)&gt;0,
     COUNTIFS($AX$2:$AX$200,$G128)&gt;0,
     COUNTIFS($AY$2:$AY$200,$G128)&gt;0
   )),
  ),
  3
 ),
"")</f>
        <v/>
      </c>
      <c r="F128" s="2" t="str" cm="1">
        <f t="array" aca="1" ref="F128" ca="1">IFERROR(
 INDEX(
  _xlfn._xlws.FILTER($V$1:$AY$1,
   TRANSPOSE(
    CHOOSE({1;2;3;4;5;6;7;8;9;10;11;12;13;14;15;16;17;18;19;20;21;22;23;24;25;26;27;28;29;30},
     COUNTIFS($V$2:$V$200,$G128)&gt;0,
     COUNTIFS($W$2:$W$200,$G128)&gt;0,
     COUNTIFS($X$2:$X$200,$G128)&gt;0,
     COUNTIFS($Y$2:$Y$200,$G128)&gt;0,
     COUNTIFS($Z$2:$Z$200,$G128)&gt;0,
     COUNTIFS($AA$2:$AA$200,$G128)&gt;0,
     COUNTIFS($AB$2:$AB$200,$G128)&gt;0,
     COUNTIFS($AC$2:$AC$200,$G128)&gt;0,
     COUNTIFS($AD$2:$AD$200,$G128)&gt;0,
     COUNTIFS($AE$2:$AE$200,$G128)&gt;0,
     COUNTIFS($AF$2:$AF$200,$G128)&gt;0,
     COUNTIFS($AG$2:$AG$200,$G128)&gt;0,
     COUNTIFS($AH$2:$AH$200,$G128)&gt;0,
     COUNTIFS($AI$2:$AI$200,$G128)&gt;0,
     COUNTIFS($AJ$2:$AJ$200,$G128)&gt;0,
     COUNTIFS($AK$2:$AK$200,$G128)&gt;0,
     COUNTIFS($AL$2:$AL$200,$G128)&gt;0,
     COUNTIFS($AM$2:$AM$200,$G128)&gt;0,
     COUNTIFS($AN$2:$AN$200,$G128)&gt;0,
     COUNTIFS($AO$2:$AO$200,$G128)&gt;0,
     COUNTIFS($AP$2:$AP$200,$G128)&gt;0,
     COUNTIFS($AQ$2:$AQ$200,$G128)&gt;0,
     COUNTIFS($AR$2:$AR$200,$G128)&gt;0,
     COUNTIFS($AS$2:$AS$200,$G128)&gt;0,
     COUNTIFS($AT$2:$AT$200,$G128)&gt;0,
     COUNTIFS($AU$2:$AU$200,$G128)&gt;0,
     COUNTIFS($AV$2:$AV$200,$G128)&gt;0,
     COUNTIFS($AW$2:$AW$200,$G128)&gt;0,
     COUNTIFS($AX$2:$AX$200,$G128)&gt;0,
     COUNTIFS($AY$2:$AY$200,$G128)&gt;0
   )),
  ),
  4
 ),
"")</f>
        <v/>
      </c>
      <c r="G128" t="str">
        <f ca="1"/>
        <v>Dour Port-Mage</v>
      </c>
      <c r="DZ128" t="str">
        <f ca="1"/>
        <v>Toxic Deluge</v>
      </c>
      <c r="EI128" t="str">
        <f ca="1"/>
        <v>Three Tree City</v>
      </c>
      <c r="EL128" t="str">
        <f ca="1"/>
        <v>Toxic Deluge</v>
      </c>
      <c r="EP128" t="str">
        <f ca="1"/>
        <v>Rise of the Eldrazi</v>
      </c>
      <c r="EQ128" t="str">
        <f ca="1"/>
        <v>Riveteers Charm</v>
      </c>
      <c r="ER128" t="str">
        <f ca="1"/>
        <v>Party Thrasher</v>
      </c>
      <c r="EU128" t="str">
        <f ca="1"/>
        <v>Guide of Souls</v>
      </c>
      <c r="EV128" t="str">
        <f ca="1"/>
        <v>Party Thrasher</v>
      </c>
      <c r="EX128" t="str">
        <f ca="1"/>
        <v>Dour Port-Mage</v>
      </c>
    </row>
    <row r="129" spans="1:154" x14ac:dyDescent="0.25">
      <c r="A129" s="2" t="str">
        <f t="shared" ca="1" si="8"/>
        <v>5</v>
      </c>
      <c r="B129" s="2">
        <f t="shared" ca="1" si="9"/>
        <v>1</v>
      </c>
      <c r="C129" s="2" t="str">
        <f ca="1">IFERROR(
 INDEX($V$1:$BL$1,
  MATCH(TRUE,
   CHOOSE({1;2;3;4;5;6;7;8;9;10;11;12;13;14;15;16;17;18;19;20;21;22;23;24;25;26;27;28;29;30;31;32;33;34;35;36;37;38;39;40;41;42;43},
    COUNTIFS($V$2:$V$200,$G129)&gt;0,
    COUNTIFS($W$2:$W$200,$G129)&gt;0,
    COUNTIFS($X$2:$X$200,$G129)&gt;0,
    COUNTIFS($Y$2:$Y$200,$G129)&gt;0,
    COUNTIFS($Z$2:$Z$200,$G129)&gt;0,
    COUNTIFS($AA$2:$AA$200,$G129)&gt;0,
    COUNTIFS($AB$2:$AB$200,$G129)&gt;0,
    COUNTIFS($AC$2:$AC$200,$G129)&gt;0,
    COUNTIFS($AD$2:$AD$200,$G129)&gt;0,
    COUNTIFS($AE$2:$AE$200,$G129)&gt;0,
    COUNTIFS($AF$2:$AF$200,$G129)&gt;0,
    COUNTIFS($AG$2:$AG$200,$G129)&gt;0,
    COUNTIFS($AH$2:$AH$200,$G129)&gt;0,
    COUNTIFS($AI$2:$AI$200,$G129)&gt;0,
    COUNTIFS($AJ$2:$AJ$200,$G129)&gt;0,
    COUNTIFS($AK$2:$AK$200,$G129)&gt;0,
    COUNTIFS($AL$2:$AL$200,$G129)&gt;0,
    COUNTIFS($AM$2:$AM$200,$G129)&gt;0,
    COUNTIFS($AN$2:$AN$200,$G129)&gt;0,
    COUNTIFS($AO$2:$AO$200,$G129)&gt;0,
    COUNTIFS($AP$2:$AP$200,$G129)&gt;0,
    COUNTIFS($AQ$2:$AQ$200,$G129)&gt;0,
    COUNTIFS($AR$2:$AR$200,$G129)&gt;0,
    COUNTIFS($AS$2:$AS$200,$G129)&gt;0,
    COUNTIFS($AT$2:$AT$200,$G129)&gt;0,
    COUNTIFS($AU$2:$AU$200,$G129)&gt;0,
    COUNTIFS($AV$2:$AV$200,$G129)&gt;0,
    COUNTIFS($AW$2:$AW$200,$G129)&gt;0,
    COUNTIFS($AX$2:$AX$200,$G129)&gt;0,
    COUNTIFS($AY$2:$AY$200,$G129)&gt;0,
    COUNTIFS($AZ$2:$AZ$200,$G129)&gt;0,
    COUNTIFS($BA$2:$BA$200,$G129)&gt;0,
    COUNTIFS($BB$2:$BB$200,$G129)&gt;0,
    COUNTIFS($BC$2:$BC$200,$G129)&gt;0,
    COUNTIFS($BD$2:$BD$200,$G129)&gt;0,
    COUNTIFS($BE$2:$BE$200,$G129)&gt;0,
    COUNTIFS($BF$2:$BF$200,$G129)&gt;0,
    COUNTIFS($BG$2:$BG$200,$G129)&gt;0,
    COUNTIFS($BH$2:$BH$200,$G129)&gt;0,
    COUNTIFS($BI$2:$BI$200,$G129)&gt;0,
    COUNTIFS($BJ$2:$BJ$200,$G129)&gt;0,
    COUNTIFS($BK$2:$BK$200,$G129)&gt;0,
    COUNTIFS($BL$2:$BL$200,$G129)&gt;0,
    COUNTIFS($BM$2:$BM$200,$G129)&gt;0,
   ),
  0)
 ),
"")</f>
        <v>Yorion</v>
      </c>
      <c r="D129" s="2" t="str" cm="1">
        <f t="array" aca="1" ref="D129" ca="1">IFERROR(
 INDEX(
  _xlfn._xlws.FILTER($V$1:$AY$1,
   TRANSPOSE(
    CHOOSE({1;2;3;4;5;6;7;8;9;10;11;12;13;14;15;16;17;18;19;20;21;22;23;24;25;26;27;28;29;30},
     COUNTIFS($V$2:$V$200,$G129)&gt;0,
     COUNTIFS($W$2:$W$200,$G129)&gt;0,
     COUNTIFS($X$2:$X$200,$G129)&gt;0,
     COUNTIFS($Y$2:$Y$200,$G129)&gt;0,
     COUNTIFS($Z$2:$Z$200,$G129)&gt;0,
     COUNTIFS($AA$2:$AA$200,$G129)&gt;0,
     COUNTIFS($AB$2:$AB$200,$G129)&gt;0,
     COUNTIFS($AC$2:$AC$200,$G129)&gt;0,
     COUNTIFS($AD$2:$AD$200,$G129)&gt;0,
     COUNTIFS($AE$2:$AE$200,$G129)&gt;0,
     COUNTIFS($AF$2:$AF$200,$G129)&gt;0,
     COUNTIFS($AG$2:$AG$200,$G129)&gt;0,
     COUNTIFS($AH$2:$AH$200,$G129)&gt;0,
     COUNTIFS($AI$2:$AI$200,$G129)&gt;0,
     COUNTIFS($AJ$2:$AJ$200,$G129)&gt;0,
     COUNTIFS($AK$2:$AK$200,$G129)&gt;0,
     COUNTIFS($AL$2:$AL$200,$G129)&gt;0,
     COUNTIFS($AM$2:$AM$200,$G129)&gt;0,
     COUNTIFS($AN$2:$AN$200,$G129)&gt;0,
     COUNTIFS($AO$2:$AO$200,$G129)&gt;0,
     COUNTIFS($AP$2:$AP$200,$G129)&gt;0,
     COUNTIFS($AQ$2:$AQ$200,$G129)&gt;0,
     COUNTIFS($AR$2:$AR$200,$G129)&gt;0,
     COUNTIFS($AS$2:$AS$200,$G129)&gt;0,
     COUNTIFS($AT$2:$AT$200,$G129)&gt;0,
     COUNTIFS($AU$2:$AU$200,$G129)&gt;0,
     COUNTIFS($AV$2:$AV$200,$G129)&gt;0,
     COUNTIFS($AW$2:$AW$200,$G129)&gt;0,
     COUNTIFS($AX$2:$AX$200,$G129)&gt;0,
     COUNTIFS($AY$2:$AY$200,$G129)&gt;0
   )),
  ),
  2
 ),
"")</f>
        <v/>
      </c>
      <c r="E129" s="2" t="str" cm="1">
        <f t="array" aca="1" ref="E129" ca="1">IFERROR(
 INDEX(
  _xlfn._xlws.FILTER($V$1:$AY$1,
   TRANSPOSE(
    CHOOSE({1;2;3;4;5;6;7;8;9;10;11;12;13;14;15;16;17;18;19;20;21;22;23;24;25;26;27;28;29;30},
     COUNTIFS($V$2:$V$200,$G129)&gt;0,
     COUNTIFS($W$2:$W$200,$G129)&gt;0,
     COUNTIFS($X$2:$X$200,$G129)&gt;0,
     COUNTIFS($Y$2:$Y$200,$G129)&gt;0,
     COUNTIFS($Z$2:$Z$200,$G129)&gt;0,
     COUNTIFS($AA$2:$AA$200,$G129)&gt;0,
     COUNTIFS($AB$2:$AB$200,$G129)&gt;0,
     COUNTIFS($AC$2:$AC$200,$G129)&gt;0,
     COUNTIFS($AD$2:$AD$200,$G129)&gt;0,
     COUNTIFS($AE$2:$AE$200,$G129)&gt;0,
     COUNTIFS($AF$2:$AF$200,$G129)&gt;0,
     COUNTIFS($AG$2:$AG$200,$G129)&gt;0,
     COUNTIFS($AH$2:$AH$200,$G129)&gt;0,
     COUNTIFS($AI$2:$AI$200,$G129)&gt;0,
     COUNTIFS($AJ$2:$AJ$200,$G129)&gt;0,
     COUNTIFS($AK$2:$AK$200,$G129)&gt;0,
     COUNTIFS($AL$2:$AL$200,$G129)&gt;0,
     COUNTIFS($AM$2:$AM$200,$G129)&gt;0,
     COUNTIFS($AN$2:$AN$200,$G129)&gt;0,
     COUNTIFS($AO$2:$AO$200,$G129)&gt;0,
     COUNTIFS($AP$2:$AP$200,$G129)&gt;0,
     COUNTIFS($AQ$2:$AQ$200,$G129)&gt;0,
     COUNTIFS($AR$2:$AR$200,$G129)&gt;0,
     COUNTIFS($AS$2:$AS$200,$G129)&gt;0,
     COUNTIFS($AT$2:$AT$200,$G129)&gt;0,
     COUNTIFS($AU$2:$AU$200,$G129)&gt;0,
     COUNTIFS($AV$2:$AV$200,$G129)&gt;0,
     COUNTIFS($AW$2:$AW$200,$G129)&gt;0,
     COUNTIFS($AX$2:$AX$200,$G129)&gt;0,
     COUNTIFS($AY$2:$AY$200,$G129)&gt;0
   )),
  ),
  3
 ),
"")</f>
        <v/>
      </c>
      <c r="F129" s="2" t="str" cm="1">
        <f t="array" aca="1" ref="F129" ca="1">IFERROR(
 INDEX(
  _xlfn._xlws.FILTER($V$1:$AY$1,
   TRANSPOSE(
    CHOOSE({1;2;3;4;5;6;7;8;9;10;11;12;13;14;15;16;17;18;19;20;21;22;23;24;25;26;27;28;29;30},
     COUNTIFS($V$2:$V$200,$G129)&gt;0,
     COUNTIFS($W$2:$W$200,$G129)&gt;0,
     COUNTIFS($X$2:$X$200,$G129)&gt;0,
     COUNTIFS($Y$2:$Y$200,$G129)&gt;0,
     COUNTIFS($Z$2:$Z$200,$G129)&gt;0,
     COUNTIFS($AA$2:$AA$200,$G129)&gt;0,
     COUNTIFS($AB$2:$AB$200,$G129)&gt;0,
     COUNTIFS($AC$2:$AC$200,$G129)&gt;0,
     COUNTIFS($AD$2:$AD$200,$G129)&gt;0,
     COUNTIFS($AE$2:$AE$200,$G129)&gt;0,
     COUNTIFS($AF$2:$AF$200,$G129)&gt;0,
     COUNTIFS($AG$2:$AG$200,$G129)&gt;0,
     COUNTIFS($AH$2:$AH$200,$G129)&gt;0,
     COUNTIFS($AI$2:$AI$200,$G129)&gt;0,
     COUNTIFS($AJ$2:$AJ$200,$G129)&gt;0,
     COUNTIFS($AK$2:$AK$200,$G129)&gt;0,
     COUNTIFS($AL$2:$AL$200,$G129)&gt;0,
     COUNTIFS($AM$2:$AM$200,$G129)&gt;0,
     COUNTIFS($AN$2:$AN$200,$G129)&gt;0,
     COUNTIFS($AO$2:$AO$200,$G129)&gt;0,
     COUNTIFS($AP$2:$AP$200,$G129)&gt;0,
     COUNTIFS($AQ$2:$AQ$200,$G129)&gt;0,
     COUNTIFS($AR$2:$AR$200,$G129)&gt;0,
     COUNTIFS($AS$2:$AS$200,$G129)&gt;0,
     COUNTIFS($AT$2:$AT$200,$G129)&gt;0,
     COUNTIFS($AU$2:$AU$200,$G129)&gt;0,
     COUNTIFS($AV$2:$AV$200,$G129)&gt;0,
     COUNTIFS($AW$2:$AW$200,$G129)&gt;0,
     COUNTIFS($AX$2:$AX$200,$G129)&gt;0,
     COUNTIFS($AY$2:$AY$200,$G129)&gt;0
   )),
  ),
  4
 ),
"")</f>
        <v/>
      </c>
      <c r="G129" t="str">
        <f ca="1"/>
        <v>Dovin's Veto</v>
      </c>
      <c r="DZ129" t="str">
        <f ca="1"/>
        <v>Tymna the Weaver</v>
      </c>
      <c r="EI129" t="str">
        <f ca="1"/>
        <v>Thrumming Hivepool</v>
      </c>
      <c r="EL129" t="str">
        <f ca="1"/>
        <v>Tymna the Weaver</v>
      </c>
      <c r="EP129" t="str">
        <f ca="1"/>
        <v>Rivendell</v>
      </c>
      <c r="EQ129" t="str">
        <f ca="1"/>
        <v>Rogues' Gallery</v>
      </c>
      <c r="ER129" t="str">
        <f ca="1"/>
        <v>Path to Exile</v>
      </c>
      <c r="EU129" t="str">
        <f ca="1"/>
        <v>Hallowed Fountain</v>
      </c>
      <c r="EV129" t="str">
        <f ca="1"/>
        <v>Path to Exile</v>
      </c>
      <c r="EX129" t="str">
        <f ca="1"/>
        <v>Dovin's Veto</v>
      </c>
    </row>
    <row r="130" spans="1:154" x14ac:dyDescent="0.25">
      <c r="A130" s="2" t="str">
        <f t="shared" ca="1" si="8"/>
        <v>5</v>
      </c>
      <c r="B130" s="2">
        <f t="shared" ca="1" si="9"/>
        <v>2</v>
      </c>
      <c r="C130" s="2" t="str">
        <f ca="1">IFERROR(
 INDEX($V$1:$BL$1,
  MATCH(TRUE,
   CHOOSE({1;2;3;4;5;6;7;8;9;10;11;12;13;14;15;16;17;18;19;20;21;22;23;24;25;26;27;28;29;30;31;32;33;34;35;36;37;38;39;40;41;42;43},
    COUNTIFS($V$2:$V$200,$G130)&gt;0,
    COUNTIFS($W$2:$W$200,$G130)&gt;0,
    COUNTIFS($X$2:$X$200,$G130)&gt;0,
    COUNTIFS($Y$2:$Y$200,$G130)&gt;0,
    COUNTIFS($Z$2:$Z$200,$G130)&gt;0,
    COUNTIFS($AA$2:$AA$200,$G130)&gt;0,
    COUNTIFS($AB$2:$AB$200,$G130)&gt;0,
    COUNTIFS($AC$2:$AC$200,$G130)&gt;0,
    COUNTIFS($AD$2:$AD$200,$G130)&gt;0,
    COUNTIFS($AE$2:$AE$200,$G130)&gt;0,
    COUNTIFS($AF$2:$AF$200,$G130)&gt;0,
    COUNTIFS($AG$2:$AG$200,$G130)&gt;0,
    COUNTIFS($AH$2:$AH$200,$G130)&gt;0,
    COUNTIFS($AI$2:$AI$200,$G130)&gt;0,
    COUNTIFS($AJ$2:$AJ$200,$G130)&gt;0,
    COUNTIFS($AK$2:$AK$200,$G130)&gt;0,
    COUNTIFS($AL$2:$AL$200,$G130)&gt;0,
    COUNTIFS($AM$2:$AM$200,$G130)&gt;0,
    COUNTIFS($AN$2:$AN$200,$G130)&gt;0,
    COUNTIFS($AO$2:$AO$200,$G130)&gt;0,
    COUNTIFS($AP$2:$AP$200,$G130)&gt;0,
    COUNTIFS($AQ$2:$AQ$200,$G130)&gt;0,
    COUNTIFS($AR$2:$AR$200,$G130)&gt;0,
    COUNTIFS($AS$2:$AS$200,$G130)&gt;0,
    COUNTIFS($AT$2:$AT$200,$G130)&gt;0,
    COUNTIFS($AU$2:$AU$200,$G130)&gt;0,
    COUNTIFS($AV$2:$AV$200,$G130)&gt;0,
    COUNTIFS($AW$2:$AW$200,$G130)&gt;0,
    COUNTIFS($AX$2:$AX$200,$G130)&gt;0,
    COUNTIFS($AY$2:$AY$200,$G130)&gt;0,
    COUNTIFS($AZ$2:$AZ$200,$G130)&gt;0,
    COUNTIFS($BA$2:$BA$200,$G130)&gt;0,
    COUNTIFS($BB$2:$BB$200,$G130)&gt;0,
    COUNTIFS($BC$2:$BC$200,$G130)&gt;0,
    COUNTIFS($BD$2:$BD$200,$G130)&gt;0,
    COUNTIFS($BE$2:$BE$200,$G130)&gt;0,
    COUNTIFS($BF$2:$BF$200,$G130)&gt;0,
    COUNTIFS($BG$2:$BG$200,$G130)&gt;0,
    COUNTIFS($BH$2:$BH$200,$G130)&gt;0,
    COUNTIFS($BI$2:$BI$200,$G130)&gt;0,
    COUNTIFS($BJ$2:$BJ$200,$G130)&gt;0,
    COUNTIFS($BK$2:$BK$200,$G130)&gt;0,
    COUNTIFS($BL$2:$BL$200,$G130)&gt;0,
    COUNTIFS($BM$2:$BM$200,$G130)&gt;0,
   ),
  0)
 ),
"")</f>
        <v>Zuko</v>
      </c>
      <c r="D130" s="2" t="str" cm="1">
        <f t="array" aca="1" ref="D130" ca="1">IFERROR(
 INDEX(
  _xlfn._xlws.FILTER($V$1:$AY$1,
   TRANSPOSE(
    CHOOSE({1;2;3;4;5;6;7;8;9;10;11;12;13;14;15;16;17;18;19;20;21;22;23;24;25;26;27;28;29;30},
     COUNTIFS($V$2:$V$200,$G130)&gt;0,
     COUNTIFS($W$2:$W$200,$G130)&gt;0,
     COUNTIFS($X$2:$X$200,$G130)&gt;0,
     COUNTIFS($Y$2:$Y$200,$G130)&gt;0,
     COUNTIFS($Z$2:$Z$200,$G130)&gt;0,
     COUNTIFS($AA$2:$AA$200,$G130)&gt;0,
     COUNTIFS($AB$2:$AB$200,$G130)&gt;0,
     COUNTIFS($AC$2:$AC$200,$G130)&gt;0,
     COUNTIFS($AD$2:$AD$200,$G130)&gt;0,
     COUNTIFS($AE$2:$AE$200,$G130)&gt;0,
     COUNTIFS($AF$2:$AF$200,$G130)&gt;0,
     COUNTIFS($AG$2:$AG$200,$G130)&gt;0,
     COUNTIFS($AH$2:$AH$200,$G130)&gt;0,
     COUNTIFS($AI$2:$AI$200,$G130)&gt;0,
     COUNTIFS($AJ$2:$AJ$200,$G130)&gt;0,
     COUNTIFS($AK$2:$AK$200,$G130)&gt;0,
     COUNTIFS($AL$2:$AL$200,$G130)&gt;0,
     COUNTIFS($AM$2:$AM$200,$G130)&gt;0,
     COUNTIFS($AN$2:$AN$200,$G130)&gt;0,
     COUNTIFS($AO$2:$AO$200,$G130)&gt;0,
     COUNTIFS($AP$2:$AP$200,$G130)&gt;0,
     COUNTIFS($AQ$2:$AQ$200,$G130)&gt;0,
     COUNTIFS($AR$2:$AR$200,$G130)&gt;0,
     COUNTIFS($AS$2:$AS$200,$G130)&gt;0,
     COUNTIFS($AT$2:$AT$200,$G130)&gt;0,
     COUNTIFS($AU$2:$AU$200,$G130)&gt;0,
     COUNTIFS($AV$2:$AV$200,$G130)&gt;0,
     COUNTIFS($AW$2:$AW$200,$G130)&gt;0,
     COUNTIFS($AX$2:$AX$200,$G130)&gt;0,
     COUNTIFS($AY$2:$AY$200,$G130)&gt;0
   )),
  ),
  2
 ),
"")</f>
        <v/>
      </c>
      <c r="E130" s="2" t="str" cm="1">
        <f t="array" aca="1" ref="E130" ca="1">IFERROR(
 INDEX(
  _xlfn._xlws.FILTER($V$1:$AY$1,
   TRANSPOSE(
    CHOOSE({1;2;3;4;5;6;7;8;9;10;11;12;13;14;15;16;17;18;19;20;21;22;23;24;25;26;27;28;29;30},
     COUNTIFS($V$2:$V$200,$G130)&gt;0,
     COUNTIFS($W$2:$W$200,$G130)&gt;0,
     COUNTIFS($X$2:$X$200,$G130)&gt;0,
     COUNTIFS($Y$2:$Y$200,$G130)&gt;0,
     COUNTIFS($Z$2:$Z$200,$G130)&gt;0,
     COUNTIFS($AA$2:$AA$200,$G130)&gt;0,
     COUNTIFS($AB$2:$AB$200,$G130)&gt;0,
     COUNTIFS($AC$2:$AC$200,$G130)&gt;0,
     COUNTIFS($AD$2:$AD$200,$G130)&gt;0,
     COUNTIFS($AE$2:$AE$200,$G130)&gt;0,
     COUNTIFS($AF$2:$AF$200,$G130)&gt;0,
     COUNTIFS($AG$2:$AG$200,$G130)&gt;0,
     COUNTIFS($AH$2:$AH$200,$G130)&gt;0,
     COUNTIFS($AI$2:$AI$200,$G130)&gt;0,
     COUNTIFS($AJ$2:$AJ$200,$G130)&gt;0,
     COUNTIFS($AK$2:$AK$200,$G130)&gt;0,
     COUNTIFS($AL$2:$AL$200,$G130)&gt;0,
     COUNTIFS($AM$2:$AM$200,$G130)&gt;0,
     COUNTIFS($AN$2:$AN$200,$G130)&gt;0,
     COUNTIFS($AO$2:$AO$200,$G130)&gt;0,
     COUNTIFS($AP$2:$AP$200,$G130)&gt;0,
     COUNTIFS($AQ$2:$AQ$200,$G130)&gt;0,
     COUNTIFS($AR$2:$AR$200,$G130)&gt;0,
     COUNTIFS($AS$2:$AS$200,$G130)&gt;0,
     COUNTIFS($AT$2:$AT$200,$G130)&gt;0,
     COUNTIFS($AU$2:$AU$200,$G130)&gt;0,
     COUNTIFS($AV$2:$AV$200,$G130)&gt;0,
     COUNTIFS($AW$2:$AW$200,$G130)&gt;0,
     COUNTIFS($AX$2:$AX$200,$G130)&gt;0,
     COUNTIFS($AY$2:$AY$200,$G130)&gt;0
   )),
  ),
  3
 ),
"")</f>
        <v/>
      </c>
      <c r="F130" s="2" t="str" cm="1">
        <f t="array" aca="1" ref="F130" ca="1">IFERROR(
 INDEX(
  _xlfn._xlws.FILTER($V$1:$AY$1,
   TRANSPOSE(
    CHOOSE({1;2;3;4;5;6;7;8;9;10;11;12;13;14;15;16;17;18;19;20;21;22;23;24;25;26;27;28;29;30},
     COUNTIFS($V$2:$V$200,$G130)&gt;0,
     COUNTIFS($W$2:$W$200,$G130)&gt;0,
     COUNTIFS($X$2:$X$200,$G130)&gt;0,
     COUNTIFS($Y$2:$Y$200,$G130)&gt;0,
     COUNTIFS($Z$2:$Z$200,$G130)&gt;0,
     COUNTIFS($AA$2:$AA$200,$G130)&gt;0,
     COUNTIFS($AB$2:$AB$200,$G130)&gt;0,
     COUNTIFS($AC$2:$AC$200,$G130)&gt;0,
     COUNTIFS($AD$2:$AD$200,$G130)&gt;0,
     COUNTIFS($AE$2:$AE$200,$G130)&gt;0,
     COUNTIFS($AF$2:$AF$200,$G130)&gt;0,
     COUNTIFS($AG$2:$AG$200,$G130)&gt;0,
     COUNTIFS($AH$2:$AH$200,$G130)&gt;0,
     COUNTIFS($AI$2:$AI$200,$G130)&gt;0,
     COUNTIFS($AJ$2:$AJ$200,$G130)&gt;0,
     COUNTIFS($AK$2:$AK$200,$G130)&gt;0,
     COUNTIFS($AL$2:$AL$200,$G130)&gt;0,
     COUNTIFS($AM$2:$AM$200,$G130)&gt;0,
     COUNTIFS($AN$2:$AN$200,$G130)&gt;0,
     COUNTIFS($AO$2:$AO$200,$G130)&gt;0,
     COUNTIFS($AP$2:$AP$200,$G130)&gt;0,
     COUNTIFS($AQ$2:$AQ$200,$G130)&gt;0,
     COUNTIFS($AR$2:$AR$200,$G130)&gt;0,
     COUNTIFS($AS$2:$AS$200,$G130)&gt;0,
     COUNTIFS($AT$2:$AT$200,$G130)&gt;0,
     COUNTIFS($AU$2:$AU$200,$G130)&gt;0,
     COUNTIFS($AV$2:$AV$200,$G130)&gt;0,
     COUNTIFS($AW$2:$AW$200,$G130)&gt;0,
     COUNTIFS($AX$2:$AX$200,$G130)&gt;0,
     COUNTIFS($AY$2:$AY$200,$G130)&gt;0
   )),
  ),
  4
 ),
"")</f>
        <v/>
      </c>
      <c r="G130" t="str">
        <f ca="1"/>
        <v>Dragonskull Summit</v>
      </c>
      <c r="DZ130" t="str">
        <f ca="1"/>
        <v>Unwind</v>
      </c>
      <c r="EI130" t="str">
        <f ca="1"/>
        <v>Ulamog, the Defiler</v>
      </c>
      <c r="EL130" t="str">
        <f ca="1"/>
        <v>Unwind</v>
      </c>
      <c r="EP130" t="str">
        <f ca="1"/>
        <v>Rogue's Passage</v>
      </c>
      <c r="EQ130" t="str">
        <f ca="1"/>
        <v>Root Sliver</v>
      </c>
      <c r="ER130" t="str">
        <f ca="1"/>
        <v>Perplexing Test</v>
      </c>
      <c r="EU130" t="str">
        <f ca="1"/>
        <v>Harmonic Sliver</v>
      </c>
      <c r="EV130" t="str">
        <f ca="1"/>
        <v>Perplexing Test</v>
      </c>
      <c r="EX130" t="str">
        <f ca="1"/>
        <v>Dragonskull Summit</v>
      </c>
    </row>
    <row r="131" spans="1:154" x14ac:dyDescent="0.25">
      <c r="A131" s="2" t="str">
        <f t="shared" ref="A131:A194" ca="1" si="10">IFERROR(INDEX($T$3:$T$200, MATCH($C131, $J$3:$J$200, 0)), "")</f>
        <v>5</v>
      </c>
      <c r="B131" s="2">
        <f t="shared" ref="B131:B194" ca="1" si="11">COUNTIF(V:CG,G131)</f>
        <v>1</v>
      </c>
      <c r="C131" s="2" t="str">
        <f ca="1">IFERROR(
 INDEX($V$1:$BL$1,
  MATCH(TRUE,
   CHOOSE({1;2;3;4;5;6;7;8;9;10;11;12;13;14;15;16;17;18;19;20;21;22;23;24;25;26;27;28;29;30;31;32;33;34;35;36;37;38;39;40;41;42;43},
    COUNTIFS($V$2:$V$200,$G131)&gt;0,
    COUNTIFS($W$2:$W$200,$G131)&gt;0,
    COUNTIFS($X$2:$X$200,$G131)&gt;0,
    COUNTIFS($Y$2:$Y$200,$G131)&gt;0,
    COUNTIFS($Z$2:$Z$200,$G131)&gt;0,
    COUNTIFS($AA$2:$AA$200,$G131)&gt;0,
    COUNTIFS($AB$2:$AB$200,$G131)&gt;0,
    COUNTIFS($AC$2:$AC$200,$G131)&gt;0,
    COUNTIFS($AD$2:$AD$200,$G131)&gt;0,
    COUNTIFS($AE$2:$AE$200,$G131)&gt;0,
    COUNTIFS($AF$2:$AF$200,$G131)&gt;0,
    COUNTIFS($AG$2:$AG$200,$G131)&gt;0,
    COUNTIFS($AH$2:$AH$200,$G131)&gt;0,
    COUNTIFS($AI$2:$AI$200,$G131)&gt;0,
    COUNTIFS($AJ$2:$AJ$200,$G131)&gt;0,
    COUNTIFS($AK$2:$AK$200,$G131)&gt;0,
    COUNTIFS($AL$2:$AL$200,$G131)&gt;0,
    COUNTIFS($AM$2:$AM$200,$G131)&gt;0,
    COUNTIFS($AN$2:$AN$200,$G131)&gt;0,
    COUNTIFS($AO$2:$AO$200,$G131)&gt;0,
    COUNTIFS($AP$2:$AP$200,$G131)&gt;0,
    COUNTIFS($AQ$2:$AQ$200,$G131)&gt;0,
    COUNTIFS($AR$2:$AR$200,$G131)&gt;0,
    COUNTIFS($AS$2:$AS$200,$G131)&gt;0,
    COUNTIFS($AT$2:$AT$200,$G131)&gt;0,
    COUNTIFS($AU$2:$AU$200,$G131)&gt;0,
    COUNTIFS($AV$2:$AV$200,$G131)&gt;0,
    COUNTIFS($AW$2:$AW$200,$G131)&gt;0,
    COUNTIFS($AX$2:$AX$200,$G131)&gt;0,
    COUNTIFS($AY$2:$AY$200,$G131)&gt;0,
    COUNTIFS($AZ$2:$AZ$200,$G131)&gt;0,
    COUNTIFS($BA$2:$BA$200,$G131)&gt;0,
    COUNTIFS($BB$2:$BB$200,$G131)&gt;0,
    COUNTIFS($BC$2:$BC$200,$G131)&gt;0,
    COUNTIFS($BD$2:$BD$200,$G131)&gt;0,
    COUNTIFS($BE$2:$BE$200,$G131)&gt;0,
    COUNTIFS($BF$2:$BF$200,$G131)&gt;0,
    COUNTIFS($BG$2:$BG$200,$G131)&gt;0,
    COUNTIFS($BH$2:$BH$200,$G131)&gt;0,
    COUNTIFS($BI$2:$BI$200,$G131)&gt;0,
    COUNTIFS($BJ$2:$BJ$200,$G131)&gt;0,
    COUNTIFS($BK$2:$BK$200,$G131)&gt;0,
    COUNTIFS($BL$2:$BL$200,$G131)&gt;0,
    COUNTIFS($BM$2:$BM$200,$G131)&gt;0,
   ),
  0)
 ),
"")</f>
        <v>Zuko</v>
      </c>
      <c r="D131" s="2" t="str" cm="1">
        <f t="array" aca="1" ref="D131" ca="1">IFERROR(
 INDEX(
  _xlfn._xlws.FILTER($V$1:$AY$1,
   TRANSPOSE(
    CHOOSE({1;2;3;4;5;6;7;8;9;10;11;12;13;14;15;16;17;18;19;20;21;22;23;24;25;26;27;28;29;30},
     COUNTIFS($V$2:$V$200,$G131)&gt;0,
     COUNTIFS($W$2:$W$200,$G131)&gt;0,
     COUNTIFS($X$2:$X$200,$G131)&gt;0,
     COUNTIFS($Y$2:$Y$200,$G131)&gt;0,
     COUNTIFS($Z$2:$Z$200,$G131)&gt;0,
     COUNTIFS($AA$2:$AA$200,$G131)&gt;0,
     COUNTIFS($AB$2:$AB$200,$G131)&gt;0,
     COUNTIFS($AC$2:$AC$200,$G131)&gt;0,
     COUNTIFS($AD$2:$AD$200,$G131)&gt;0,
     COUNTIFS($AE$2:$AE$200,$G131)&gt;0,
     COUNTIFS($AF$2:$AF$200,$G131)&gt;0,
     COUNTIFS($AG$2:$AG$200,$G131)&gt;0,
     COUNTIFS($AH$2:$AH$200,$G131)&gt;0,
     COUNTIFS($AI$2:$AI$200,$G131)&gt;0,
     COUNTIFS($AJ$2:$AJ$200,$G131)&gt;0,
     COUNTIFS($AK$2:$AK$200,$G131)&gt;0,
     COUNTIFS($AL$2:$AL$200,$G131)&gt;0,
     COUNTIFS($AM$2:$AM$200,$G131)&gt;0,
     COUNTIFS($AN$2:$AN$200,$G131)&gt;0,
     COUNTIFS($AO$2:$AO$200,$G131)&gt;0,
     COUNTIFS($AP$2:$AP$200,$G131)&gt;0,
     COUNTIFS($AQ$2:$AQ$200,$G131)&gt;0,
     COUNTIFS($AR$2:$AR$200,$G131)&gt;0,
     COUNTIFS($AS$2:$AS$200,$G131)&gt;0,
     COUNTIFS($AT$2:$AT$200,$G131)&gt;0,
     COUNTIFS($AU$2:$AU$200,$G131)&gt;0,
     COUNTIFS($AV$2:$AV$200,$G131)&gt;0,
     COUNTIFS($AW$2:$AW$200,$G131)&gt;0,
     COUNTIFS($AX$2:$AX$200,$G131)&gt;0,
     COUNTIFS($AY$2:$AY$200,$G131)&gt;0
   )),
  ),
  2
 ),
"")</f>
        <v/>
      </c>
      <c r="E131" s="2" t="str" cm="1">
        <f t="array" aca="1" ref="E131" ca="1">IFERROR(
 INDEX(
  _xlfn._xlws.FILTER($V$1:$AY$1,
   TRANSPOSE(
    CHOOSE({1;2;3;4;5;6;7;8;9;10;11;12;13;14;15;16;17;18;19;20;21;22;23;24;25;26;27;28;29;30},
     COUNTIFS($V$2:$V$200,$G131)&gt;0,
     COUNTIFS($W$2:$W$200,$G131)&gt;0,
     COUNTIFS($X$2:$X$200,$G131)&gt;0,
     COUNTIFS($Y$2:$Y$200,$G131)&gt;0,
     COUNTIFS($Z$2:$Z$200,$G131)&gt;0,
     COUNTIFS($AA$2:$AA$200,$G131)&gt;0,
     COUNTIFS($AB$2:$AB$200,$G131)&gt;0,
     COUNTIFS($AC$2:$AC$200,$G131)&gt;0,
     COUNTIFS($AD$2:$AD$200,$G131)&gt;0,
     COUNTIFS($AE$2:$AE$200,$G131)&gt;0,
     COUNTIFS($AF$2:$AF$200,$G131)&gt;0,
     COUNTIFS($AG$2:$AG$200,$G131)&gt;0,
     COUNTIFS($AH$2:$AH$200,$G131)&gt;0,
     COUNTIFS($AI$2:$AI$200,$G131)&gt;0,
     COUNTIFS($AJ$2:$AJ$200,$G131)&gt;0,
     COUNTIFS($AK$2:$AK$200,$G131)&gt;0,
     COUNTIFS($AL$2:$AL$200,$G131)&gt;0,
     COUNTIFS($AM$2:$AM$200,$G131)&gt;0,
     COUNTIFS($AN$2:$AN$200,$G131)&gt;0,
     COUNTIFS($AO$2:$AO$200,$G131)&gt;0,
     COUNTIFS($AP$2:$AP$200,$G131)&gt;0,
     COUNTIFS($AQ$2:$AQ$200,$G131)&gt;0,
     COUNTIFS($AR$2:$AR$200,$G131)&gt;0,
     COUNTIFS($AS$2:$AS$200,$G131)&gt;0,
     COUNTIFS($AT$2:$AT$200,$G131)&gt;0,
     COUNTIFS($AU$2:$AU$200,$G131)&gt;0,
     COUNTIFS($AV$2:$AV$200,$G131)&gt;0,
     COUNTIFS($AW$2:$AW$200,$G131)&gt;0,
     COUNTIFS($AX$2:$AX$200,$G131)&gt;0,
     COUNTIFS($AY$2:$AY$200,$G131)&gt;0
   )),
  ),
  3
 ),
"")</f>
        <v/>
      </c>
      <c r="F131" s="2" t="str" cm="1">
        <f t="array" aca="1" ref="F131" ca="1">IFERROR(
 INDEX(
  _xlfn._xlws.FILTER($V$1:$AY$1,
   TRANSPOSE(
    CHOOSE({1;2;3;4;5;6;7;8;9;10;11;12;13;14;15;16;17;18;19;20;21;22;23;24;25;26;27;28;29;30},
     COUNTIFS($V$2:$V$200,$G131)&gt;0,
     COUNTIFS($W$2:$W$200,$G131)&gt;0,
     COUNTIFS($X$2:$X$200,$G131)&gt;0,
     COUNTIFS($Y$2:$Y$200,$G131)&gt;0,
     COUNTIFS($Z$2:$Z$200,$G131)&gt;0,
     COUNTIFS($AA$2:$AA$200,$G131)&gt;0,
     COUNTIFS($AB$2:$AB$200,$G131)&gt;0,
     COUNTIFS($AC$2:$AC$200,$G131)&gt;0,
     COUNTIFS($AD$2:$AD$200,$G131)&gt;0,
     COUNTIFS($AE$2:$AE$200,$G131)&gt;0,
     COUNTIFS($AF$2:$AF$200,$G131)&gt;0,
     COUNTIFS($AG$2:$AG$200,$G131)&gt;0,
     COUNTIFS($AH$2:$AH$200,$G131)&gt;0,
     COUNTIFS($AI$2:$AI$200,$G131)&gt;0,
     COUNTIFS($AJ$2:$AJ$200,$G131)&gt;0,
     COUNTIFS($AK$2:$AK$200,$G131)&gt;0,
     COUNTIFS($AL$2:$AL$200,$G131)&gt;0,
     COUNTIFS($AM$2:$AM$200,$G131)&gt;0,
     COUNTIFS($AN$2:$AN$200,$G131)&gt;0,
     COUNTIFS($AO$2:$AO$200,$G131)&gt;0,
     COUNTIFS($AP$2:$AP$200,$G131)&gt;0,
     COUNTIFS($AQ$2:$AQ$200,$G131)&gt;0,
     COUNTIFS($AR$2:$AR$200,$G131)&gt;0,
     COUNTIFS($AS$2:$AS$200,$G131)&gt;0,
     COUNTIFS($AT$2:$AT$200,$G131)&gt;0,
     COUNTIFS($AU$2:$AU$200,$G131)&gt;0,
     COUNTIFS($AV$2:$AV$200,$G131)&gt;0,
     COUNTIFS($AW$2:$AW$200,$G131)&gt;0,
     COUNTIFS($AX$2:$AX$200,$G131)&gt;0,
     COUNTIFS($AY$2:$AY$200,$G131)&gt;0
   )),
  ),
  4
 ),
"")</f>
        <v/>
      </c>
      <c r="G131" t="str">
        <f ca="1"/>
        <v>Dream Devourer</v>
      </c>
      <c r="DZ131" t="str">
        <f ca="1"/>
        <v>Vault of the Archangel</v>
      </c>
      <c r="EI131" t="str">
        <f ca="1"/>
        <v>Unsettled Mariner</v>
      </c>
      <c r="EL131" t="str">
        <f ca="1"/>
        <v>Vault of the Archangel</v>
      </c>
      <c r="EP131" t="str">
        <f ca="1"/>
        <v>Rotating Fireplace</v>
      </c>
      <c r="EQ131" t="str">
        <f ca="1"/>
        <v>Sacred Foundry</v>
      </c>
      <c r="ER131" t="str">
        <f ca="1"/>
        <v>Phyrexian Dragon Engine</v>
      </c>
      <c r="EU131" t="str">
        <f ca="1"/>
        <v>Harvest Season</v>
      </c>
      <c r="EV131" t="str">
        <f ca="1"/>
        <v>Phyrexian Dragon Engine</v>
      </c>
      <c r="EX131" t="str">
        <f ca="1"/>
        <v>Dream Devourer</v>
      </c>
    </row>
    <row r="132" spans="1:154" x14ac:dyDescent="0.25">
      <c r="A132" s="2" t="str">
        <f t="shared" ca="1" si="10"/>
        <v>5</v>
      </c>
      <c r="B132" s="2">
        <f t="shared" ca="1" si="11"/>
        <v>1</v>
      </c>
      <c r="C132" s="2" t="str">
        <f ca="1">IFERROR(
 INDEX($V$1:$BL$1,
  MATCH(TRUE,
   CHOOSE({1;2;3;4;5;6;7;8;9;10;11;12;13;14;15;16;17;18;19;20;21;22;23;24;25;26;27;28;29;30;31;32;33;34;35;36;37;38;39;40;41;42;43},
    COUNTIFS($V$2:$V$200,$G132)&gt;0,
    COUNTIFS($W$2:$W$200,$G132)&gt;0,
    COUNTIFS($X$2:$X$200,$G132)&gt;0,
    COUNTIFS($Y$2:$Y$200,$G132)&gt;0,
    COUNTIFS($Z$2:$Z$200,$G132)&gt;0,
    COUNTIFS($AA$2:$AA$200,$G132)&gt;0,
    COUNTIFS($AB$2:$AB$200,$G132)&gt;0,
    COUNTIFS($AC$2:$AC$200,$G132)&gt;0,
    COUNTIFS($AD$2:$AD$200,$G132)&gt;0,
    COUNTIFS($AE$2:$AE$200,$G132)&gt;0,
    COUNTIFS($AF$2:$AF$200,$G132)&gt;0,
    COUNTIFS($AG$2:$AG$200,$G132)&gt;0,
    COUNTIFS($AH$2:$AH$200,$G132)&gt;0,
    COUNTIFS($AI$2:$AI$200,$G132)&gt;0,
    COUNTIFS($AJ$2:$AJ$200,$G132)&gt;0,
    COUNTIFS($AK$2:$AK$200,$G132)&gt;0,
    COUNTIFS($AL$2:$AL$200,$G132)&gt;0,
    COUNTIFS($AM$2:$AM$200,$G132)&gt;0,
    COUNTIFS($AN$2:$AN$200,$G132)&gt;0,
    COUNTIFS($AO$2:$AO$200,$G132)&gt;0,
    COUNTIFS($AP$2:$AP$200,$G132)&gt;0,
    COUNTIFS($AQ$2:$AQ$200,$G132)&gt;0,
    COUNTIFS($AR$2:$AR$200,$G132)&gt;0,
    COUNTIFS($AS$2:$AS$200,$G132)&gt;0,
    COUNTIFS($AT$2:$AT$200,$G132)&gt;0,
    COUNTIFS($AU$2:$AU$200,$G132)&gt;0,
    COUNTIFS($AV$2:$AV$200,$G132)&gt;0,
    COUNTIFS($AW$2:$AW$200,$G132)&gt;0,
    COUNTIFS($AX$2:$AX$200,$G132)&gt;0,
    COUNTIFS($AY$2:$AY$200,$G132)&gt;0,
    COUNTIFS($AZ$2:$AZ$200,$G132)&gt;0,
    COUNTIFS($BA$2:$BA$200,$G132)&gt;0,
    COUNTIFS($BB$2:$BB$200,$G132)&gt;0,
    COUNTIFS($BC$2:$BC$200,$G132)&gt;0,
    COUNTIFS($BD$2:$BD$200,$G132)&gt;0,
    COUNTIFS($BE$2:$BE$200,$G132)&gt;0,
    COUNTIFS($BF$2:$BF$200,$G132)&gt;0,
    COUNTIFS($BG$2:$BG$200,$G132)&gt;0,
    COUNTIFS($BH$2:$BH$200,$G132)&gt;0,
    COUNTIFS($BI$2:$BI$200,$G132)&gt;0,
    COUNTIFS($BJ$2:$BJ$200,$G132)&gt;0,
    COUNTIFS($BK$2:$BK$200,$G132)&gt;0,
    COUNTIFS($BL$2:$BL$200,$G132)&gt;0,
    COUNTIFS($BM$2:$BM$200,$G132)&gt;0,
   ),
  0)
 ),
"")</f>
        <v>Fractius</v>
      </c>
      <c r="D132" s="2" t="str" cm="1">
        <f t="array" aca="1" ref="D132" ca="1">IFERROR(
 INDEX(
  _xlfn._xlws.FILTER($V$1:$AY$1,
   TRANSPOSE(
    CHOOSE({1;2;3;4;5;6;7;8;9;10;11;12;13;14;15;16;17;18;19;20;21;22;23;24;25;26;27;28;29;30},
     COUNTIFS($V$2:$V$200,$G132)&gt;0,
     COUNTIFS($W$2:$W$200,$G132)&gt;0,
     COUNTIFS($X$2:$X$200,$G132)&gt;0,
     COUNTIFS($Y$2:$Y$200,$G132)&gt;0,
     COUNTIFS($Z$2:$Z$200,$G132)&gt;0,
     COUNTIFS($AA$2:$AA$200,$G132)&gt;0,
     COUNTIFS($AB$2:$AB$200,$G132)&gt;0,
     COUNTIFS($AC$2:$AC$200,$G132)&gt;0,
     COUNTIFS($AD$2:$AD$200,$G132)&gt;0,
     COUNTIFS($AE$2:$AE$200,$G132)&gt;0,
     COUNTIFS($AF$2:$AF$200,$G132)&gt;0,
     COUNTIFS($AG$2:$AG$200,$G132)&gt;0,
     COUNTIFS($AH$2:$AH$200,$G132)&gt;0,
     COUNTIFS($AI$2:$AI$200,$G132)&gt;0,
     COUNTIFS($AJ$2:$AJ$200,$G132)&gt;0,
     COUNTIFS($AK$2:$AK$200,$G132)&gt;0,
     COUNTIFS($AL$2:$AL$200,$G132)&gt;0,
     COUNTIFS($AM$2:$AM$200,$G132)&gt;0,
     COUNTIFS($AN$2:$AN$200,$G132)&gt;0,
     COUNTIFS($AO$2:$AO$200,$G132)&gt;0,
     COUNTIFS($AP$2:$AP$200,$G132)&gt;0,
     COUNTIFS($AQ$2:$AQ$200,$G132)&gt;0,
     COUNTIFS($AR$2:$AR$200,$G132)&gt;0,
     COUNTIFS($AS$2:$AS$200,$G132)&gt;0,
     COUNTIFS($AT$2:$AT$200,$G132)&gt;0,
     COUNTIFS($AU$2:$AU$200,$G132)&gt;0,
     COUNTIFS($AV$2:$AV$200,$G132)&gt;0,
     COUNTIFS($AW$2:$AW$200,$G132)&gt;0,
     COUNTIFS($AX$2:$AX$200,$G132)&gt;0,
     COUNTIFS($AY$2:$AY$200,$G132)&gt;0
   )),
  ),
  2
 ),
"")</f>
        <v/>
      </c>
      <c r="E132" s="2" t="str" cm="1">
        <f t="array" aca="1" ref="E132" ca="1">IFERROR(
 INDEX(
  _xlfn._xlws.FILTER($V$1:$AY$1,
   TRANSPOSE(
    CHOOSE({1;2;3;4;5;6;7;8;9;10;11;12;13;14;15;16;17;18;19;20;21;22;23;24;25;26;27;28;29;30},
     COUNTIFS($V$2:$V$200,$G132)&gt;0,
     COUNTIFS($W$2:$W$200,$G132)&gt;0,
     COUNTIFS($X$2:$X$200,$G132)&gt;0,
     COUNTIFS($Y$2:$Y$200,$G132)&gt;0,
     COUNTIFS($Z$2:$Z$200,$G132)&gt;0,
     COUNTIFS($AA$2:$AA$200,$G132)&gt;0,
     COUNTIFS($AB$2:$AB$200,$G132)&gt;0,
     COUNTIFS($AC$2:$AC$200,$G132)&gt;0,
     COUNTIFS($AD$2:$AD$200,$G132)&gt;0,
     COUNTIFS($AE$2:$AE$200,$G132)&gt;0,
     COUNTIFS($AF$2:$AF$200,$G132)&gt;0,
     COUNTIFS($AG$2:$AG$200,$G132)&gt;0,
     COUNTIFS($AH$2:$AH$200,$G132)&gt;0,
     COUNTIFS($AI$2:$AI$200,$G132)&gt;0,
     COUNTIFS($AJ$2:$AJ$200,$G132)&gt;0,
     COUNTIFS($AK$2:$AK$200,$G132)&gt;0,
     COUNTIFS($AL$2:$AL$200,$G132)&gt;0,
     COUNTIFS($AM$2:$AM$200,$G132)&gt;0,
     COUNTIFS($AN$2:$AN$200,$G132)&gt;0,
     COUNTIFS($AO$2:$AO$200,$G132)&gt;0,
     COUNTIFS($AP$2:$AP$200,$G132)&gt;0,
     COUNTIFS($AQ$2:$AQ$200,$G132)&gt;0,
     COUNTIFS($AR$2:$AR$200,$G132)&gt;0,
     COUNTIFS($AS$2:$AS$200,$G132)&gt;0,
     COUNTIFS($AT$2:$AT$200,$G132)&gt;0,
     COUNTIFS($AU$2:$AU$200,$G132)&gt;0,
     COUNTIFS($AV$2:$AV$200,$G132)&gt;0,
     COUNTIFS($AW$2:$AW$200,$G132)&gt;0,
     COUNTIFS($AX$2:$AX$200,$G132)&gt;0,
     COUNTIFS($AY$2:$AY$200,$G132)&gt;0
   )),
  ),
  3
 ),
"")</f>
        <v/>
      </c>
      <c r="F132" s="2" t="str" cm="1">
        <f t="array" aca="1" ref="F132" ca="1">IFERROR(
 INDEX(
  _xlfn._xlws.FILTER($V$1:$AY$1,
   TRANSPOSE(
    CHOOSE({1;2;3;4;5;6;7;8;9;10;11;12;13;14;15;16;17;18;19;20;21;22;23;24;25;26;27;28;29;30},
     COUNTIFS($V$2:$V$200,$G132)&gt;0,
     COUNTIFS($W$2:$W$200,$G132)&gt;0,
     COUNTIFS($X$2:$X$200,$G132)&gt;0,
     COUNTIFS($Y$2:$Y$200,$G132)&gt;0,
     COUNTIFS($Z$2:$Z$200,$G132)&gt;0,
     COUNTIFS($AA$2:$AA$200,$G132)&gt;0,
     COUNTIFS($AB$2:$AB$200,$G132)&gt;0,
     COUNTIFS($AC$2:$AC$200,$G132)&gt;0,
     COUNTIFS($AD$2:$AD$200,$G132)&gt;0,
     COUNTIFS($AE$2:$AE$200,$G132)&gt;0,
     COUNTIFS($AF$2:$AF$200,$G132)&gt;0,
     COUNTIFS($AG$2:$AG$200,$G132)&gt;0,
     COUNTIFS($AH$2:$AH$200,$G132)&gt;0,
     COUNTIFS($AI$2:$AI$200,$G132)&gt;0,
     COUNTIFS($AJ$2:$AJ$200,$G132)&gt;0,
     COUNTIFS($AK$2:$AK$200,$G132)&gt;0,
     COUNTIFS($AL$2:$AL$200,$G132)&gt;0,
     COUNTIFS($AM$2:$AM$200,$G132)&gt;0,
     COUNTIFS($AN$2:$AN$200,$G132)&gt;0,
     COUNTIFS($AO$2:$AO$200,$G132)&gt;0,
     COUNTIFS($AP$2:$AP$200,$G132)&gt;0,
     COUNTIFS($AQ$2:$AQ$200,$G132)&gt;0,
     COUNTIFS($AR$2:$AR$200,$G132)&gt;0,
     COUNTIFS($AS$2:$AS$200,$G132)&gt;0,
     COUNTIFS($AT$2:$AT$200,$G132)&gt;0,
     COUNTIFS($AU$2:$AU$200,$G132)&gt;0,
     COUNTIFS($AV$2:$AV$200,$G132)&gt;0,
     COUNTIFS($AW$2:$AW$200,$G132)&gt;0,
     COUNTIFS($AX$2:$AX$200,$G132)&gt;0,
     COUNTIFS($AY$2:$AY$200,$G132)&gt;0
   )),
  ),
  4
 ),
"")</f>
        <v/>
      </c>
      <c r="G132" t="str">
        <f ca="1"/>
        <v>Dregscape Sliver</v>
      </c>
      <c r="DZ132" t="str">
        <f ca="1"/>
        <v>Veteran Soldier</v>
      </c>
      <c r="EI132" t="str">
        <f ca="1"/>
        <v>Valfenda</v>
      </c>
      <c r="EL132" t="str">
        <f ca="1"/>
        <v>Veteran Soldier</v>
      </c>
      <c r="EP132" t="str">
        <f ca="1"/>
        <v>Satoru, the Infiltrator</v>
      </c>
      <c r="EQ132" t="str">
        <f ca="1"/>
        <v>Savai Triome</v>
      </c>
      <c r="ER132" t="str">
        <f ca="1"/>
        <v>Plains</v>
      </c>
      <c r="EU132" t="str">
        <f ca="1"/>
        <v>Hatchery Sliver</v>
      </c>
      <c r="EV132" t="str">
        <f ca="1"/>
        <v>Plains</v>
      </c>
      <c r="EX132" t="str">
        <f ca="1"/>
        <v>Dregscape Sliver</v>
      </c>
    </row>
    <row r="133" spans="1:154" x14ac:dyDescent="0.25">
      <c r="A133" s="2" t="str">
        <f t="shared" ca="1" si="10"/>
        <v>3</v>
      </c>
      <c r="B133" s="2">
        <f t="shared" ca="1" si="11"/>
        <v>1</v>
      </c>
      <c r="C133" s="2" t="str">
        <f ca="1">IFERROR(
 INDEX($V$1:$BL$1,
  MATCH(TRUE,
   CHOOSE({1;2;3;4;5;6;7;8;9;10;11;12;13;14;15;16;17;18;19;20;21;22;23;24;25;26;27;28;29;30;31;32;33;34;35;36;37;38;39;40;41;42;43},
    COUNTIFS($V$2:$V$200,$G133)&gt;0,
    COUNTIFS($W$2:$W$200,$G133)&gt;0,
    COUNTIFS($X$2:$X$200,$G133)&gt;0,
    COUNTIFS($Y$2:$Y$200,$G133)&gt;0,
    COUNTIFS($Z$2:$Z$200,$G133)&gt;0,
    COUNTIFS($AA$2:$AA$200,$G133)&gt;0,
    COUNTIFS($AB$2:$AB$200,$G133)&gt;0,
    COUNTIFS($AC$2:$AC$200,$G133)&gt;0,
    COUNTIFS($AD$2:$AD$200,$G133)&gt;0,
    COUNTIFS($AE$2:$AE$200,$G133)&gt;0,
    COUNTIFS($AF$2:$AF$200,$G133)&gt;0,
    COUNTIFS($AG$2:$AG$200,$G133)&gt;0,
    COUNTIFS($AH$2:$AH$200,$G133)&gt;0,
    COUNTIFS($AI$2:$AI$200,$G133)&gt;0,
    COUNTIFS($AJ$2:$AJ$200,$G133)&gt;0,
    COUNTIFS($AK$2:$AK$200,$G133)&gt;0,
    COUNTIFS($AL$2:$AL$200,$G133)&gt;0,
    COUNTIFS($AM$2:$AM$200,$G133)&gt;0,
    COUNTIFS($AN$2:$AN$200,$G133)&gt;0,
    COUNTIFS($AO$2:$AO$200,$G133)&gt;0,
    COUNTIFS($AP$2:$AP$200,$G133)&gt;0,
    COUNTIFS($AQ$2:$AQ$200,$G133)&gt;0,
    COUNTIFS($AR$2:$AR$200,$G133)&gt;0,
    COUNTIFS($AS$2:$AS$200,$G133)&gt;0,
    COUNTIFS($AT$2:$AT$200,$G133)&gt;0,
    COUNTIFS($AU$2:$AU$200,$G133)&gt;0,
    COUNTIFS($AV$2:$AV$200,$G133)&gt;0,
    COUNTIFS($AW$2:$AW$200,$G133)&gt;0,
    COUNTIFS($AX$2:$AX$200,$G133)&gt;0,
    COUNTIFS($AY$2:$AY$200,$G133)&gt;0,
    COUNTIFS($AZ$2:$AZ$200,$G133)&gt;0,
    COUNTIFS($BA$2:$BA$200,$G133)&gt;0,
    COUNTIFS($BB$2:$BB$200,$G133)&gt;0,
    COUNTIFS($BC$2:$BC$200,$G133)&gt;0,
    COUNTIFS($BD$2:$BD$200,$G133)&gt;0,
    COUNTIFS($BE$2:$BE$200,$G133)&gt;0,
    COUNTIFS($BF$2:$BF$200,$G133)&gt;0,
    COUNTIFS($BG$2:$BG$200,$G133)&gt;0,
    COUNTIFS($BH$2:$BH$200,$G133)&gt;0,
    COUNTIFS($BI$2:$BI$200,$G133)&gt;0,
    COUNTIFS($BJ$2:$BJ$200,$G133)&gt;0,
    COUNTIFS($BK$2:$BK$200,$G133)&gt;0,
    COUNTIFS($BL$2:$BL$200,$G133)&gt;0,
    COUNTIFS($BM$2:$BM$200,$G133)&gt;0,
   ),
  0)
 ),
"")</f>
        <v>Yuriko</v>
      </c>
      <c r="D133" s="2" t="str" cm="1">
        <f t="array" aca="1" ref="D133" ca="1">IFERROR(
 INDEX(
  _xlfn._xlws.FILTER($V$1:$AY$1,
   TRANSPOSE(
    CHOOSE({1;2;3;4;5;6;7;8;9;10;11;12;13;14;15;16;17;18;19;20;21;22;23;24;25;26;27;28;29;30},
     COUNTIFS($V$2:$V$200,$G133)&gt;0,
     COUNTIFS($W$2:$W$200,$G133)&gt;0,
     COUNTIFS($X$2:$X$200,$G133)&gt;0,
     COUNTIFS($Y$2:$Y$200,$G133)&gt;0,
     COUNTIFS($Z$2:$Z$200,$G133)&gt;0,
     COUNTIFS($AA$2:$AA$200,$G133)&gt;0,
     COUNTIFS($AB$2:$AB$200,$G133)&gt;0,
     COUNTIFS($AC$2:$AC$200,$G133)&gt;0,
     COUNTIFS($AD$2:$AD$200,$G133)&gt;0,
     COUNTIFS($AE$2:$AE$200,$G133)&gt;0,
     COUNTIFS($AF$2:$AF$200,$G133)&gt;0,
     COUNTIFS($AG$2:$AG$200,$G133)&gt;0,
     COUNTIFS($AH$2:$AH$200,$G133)&gt;0,
     COUNTIFS($AI$2:$AI$200,$G133)&gt;0,
     COUNTIFS($AJ$2:$AJ$200,$G133)&gt;0,
     COUNTIFS($AK$2:$AK$200,$G133)&gt;0,
     COUNTIFS($AL$2:$AL$200,$G133)&gt;0,
     COUNTIFS($AM$2:$AM$200,$G133)&gt;0,
     COUNTIFS($AN$2:$AN$200,$G133)&gt;0,
     COUNTIFS($AO$2:$AO$200,$G133)&gt;0,
     COUNTIFS($AP$2:$AP$200,$G133)&gt;0,
     COUNTIFS($AQ$2:$AQ$200,$G133)&gt;0,
     COUNTIFS($AR$2:$AR$200,$G133)&gt;0,
     COUNTIFS($AS$2:$AS$200,$G133)&gt;0,
     COUNTIFS($AT$2:$AT$200,$G133)&gt;0,
     COUNTIFS($AU$2:$AU$200,$G133)&gt;0,
     COUNTIFS($AV$2:$AV$200,$G133)&gt;0,
     COUNTIFS($AW$2:$AW$200,$G133)&gt;0,
     COUNTIFS($AX$2:$AX$200,$G133)&gt;0,
     COUNTIFS($AY$2:$AY$200,$G133)&gt;0
   )),
  ),
  2
 ),
"")</f>
        <v/>
      </c>
      <c r="E133" s="2" t="str" cm="1">
        <f t="array" aca="1" ref="E133" ca="1">IFERROR(
 INDEX(
  _xlfn._xlws.FILTER($V$1:$AY$1,
   TRANSPOSE(
    CHOOSE({1;2;3;4;5;6;7;8;9;10;11;12;13;14;15;16;17;18;19;20;21;22;23;24;25;26;27;28;29;30},
     COUNTIFS($V$2:$V$200,$G133)&gt;0,
     COUNTIFS($W$2:$W$200,$G133)&gt;0,
     COUNTIFS($X$2:$X$200,$G133)&gt;0,
     COUNTIFS($Y$2:$Y$200,$G133)&gt;0,
     COUNTIFS($Z$2:$Z$200,$G133)&gt;0,
     COUNTIFS($AA$2:$AA$200,$G133)&gt;0,
     COUNTIFS($AB$2:$AB$200,$G133)&gt;0,
     COUNTIFS($AC$2:$AC$200,$G133)&gt;0,
     COUNTIFS($AD$2:$AD$200,$G133)&gt;0,
     COUNTIFS($AE$2:$AE$200,$G133)&gt;0,
     COUNTIFS($AF$2:$AF$200,$G133)&gt;0,
     COUNTIFS($AG$2:$AG$200,$G133)&gt;0,
     COUNTIFS($AH$2:$AH$200,$G133)&gt;0,
     COUNTIFS($AI$2:$AI$200,$G133)&gt;0,
     COUNTIFS($AJ$2:$AJ$200,$G133)&gt;0,
     COUNTIFS($AK$2:$AK$200,$G133)&gt;0,
     COUNTIFS($AL$2:$AL$200,$G133)&gt;0,
     COUNTIFS($AM$2:$AM$200,$G133)&gt;0,
     COUNTIFS($AN$2:$AN$200,$G133)&gt;0,
     COUNTIFS($AO$2:$AO$200,$G133)&gt;0,
     COUNTIFS($AP$2:$AP$200,$G133)&gt;0,
     COUNTIFS($AQ$2:$AQ$200,$G133)&gt;0,
     COUNTIFS($AR$2:$AR$200,$G133)&gt;0,
     COUNTIFS($AS$2:$AS$200,$G133)&gt;0,
     COUNTIFS($AT$2:$AT$200,$G133)&gt;0,
     COUNTIFS($AU$2:$AU$200,$G133)&gt;0,
     COUNTIFS($AV$2:$AV$200,$G133)&gt;0,
     COUNTIFS($AW$2:$AW$200,$G133)&gt;0,
     COUNTIFS($AX$2:$AX$200,$G133)&gt;0,
     COUNTIFS($AY$2:$AY$200,$G133)&gt;0
   )),
  ),
  3
 ),
"")</f>
        <v/>
      </c>
      <c r="F133" s="2" t="str" cm="1">
        <f t="array" aca="1" ref="F133" ca="1">IFERROR(
 INDEX(
  _xlfn._xlws.FILTER($V$1:$AY$1,
   TRANSPOSE(
    CHOOSE({1;2;3;4;5;6;7;8;9;10;11;12;13;14;15;16;17;18;19;20;21;22;23;24;25;26;27;28;29;30},
     COUNTIFS($V$2:$V$200,$G133)&gt;0,
     COUNTIFS($W$2:$W$200,$G133)&gt;0,
     COUNTIFS($X$2:$X$200,$G133)&gt;0,
     COUNTIFS($Y$2:$Y$200,$G133)&gt;0,
     COUNTIFS($Z$2:$Z$200,$G133)&gt;0,
     COUNTIFS($AA$2:$AA$200,$G133)&gt;0,
     COUNTIFS($AB$2:$AB$200,$G133)&gt;0,
     COUNTIFS($AC$2:$AC$200,$G133)&gt;0,
     COUNTIFS($AD$2:$AD$200,$G133)&gt;0,
     COUNTIFS($AE$2:$AE$200,$G133)&gt;0,
     COUNTIFS($AF$2:$AF$200,$G133)&gt;0,
     COUNTIFS($AG$2:$AG$200,$G133)&gt;0,
     COUNTIFS($AH$2:$AH$200,$G133)&gt;0,
     COUNTIFS($AI$2:$AI$200,$G133)&gt;0,
     COUNTIFS($AJ$2:$AJ$200,$G133)&gt;0,
     COUNTIFS($AK$2:$AK$200,$G133)&gt;0,
     COUNTIFS($AL$2:$AL$200,$G133)&gt;0,
     COUNTIFS($AM$2:$AM$200,$G133)&gt;0,
     COUNTIFS($AN$2:$AN$200,$G133)&gt;0,
     COUNTIFS($AO$2:$AO$200,$G133)&gt;0,
     COUNTIFS($AP$2:$AP$200,$G133)&gt;0,
     COUNTIFS($AQ$2:$AQ$200,$G133)&gt;0,
     COUNTIFS($AR$2:$AR$200,$G133)&gt;0,
     COUNTIFS($AS$2:$AS$200,$G133)&gt;0,
     COUNTIFS($AT$2:$AT$200,$G133)&gt;0,
     COUNTIFS($AU$2:$AU$200,$G133)&gt;0,
     COUNTIFS($AV$2:$AV$200,$G133)&gt;0,
     COUNTIFS($AW$2:$AW$200,$G133)&gt;0,
     COUNTIFS($AX$2:$AX$200,$G133)&gt;0,
     COUNTIFS($AY$2:$AY$200,$G133)&gt;0
   )),
  ),
  4
 ),
"")</f>
        <v/>
      </c>
      <c r="G133" t="str">
        <f ca="1"/>
        <v>Drowned Catacomb</v>
      </c>
      <c r="DZ133" t="str">
        <f ca="1"/>
        <v>Water Tribe Rallier</v>
      </c>
      <c r="EI133" t="str">
        <f ca="1"/>
        <v>Venom Sliver</v>
      </c>
      <c r="EL133" t="str">
        <f ca="1"/>
        <v>Water Tribe Rallier</v>
      </c>
      <c r="EP133" t="str">
        <f ca="1"/>
        <v>Scalding Tarn</v>
      </c>
      <c r="EQ133" t="str">
        <f ca="1"/>
        <v>Scattered Groves</v>
      </c>
      <c r="ER133" t="str">
        <f ca="1"/>
        <v>Planar Genesis</v>
      </c>
      <c r="EU133" t="str">
        <f ca="1"/>
        <v>Haunted Crossroads</v>
      </c>
      <c r="EV133" t="str">
        <f ca="1"/>
        <v>Planar Genesis</v>
      </c>
      <c r="EX133" t="str">
        <f ca="1"/>
        <v>Drowned Catacomb</v>
      </c>
    </row>
    <row r="134" spans="1:154" x14ac:dyDescent="0.25">
      <c r="A134" s="2" t="str">
        <f t="shared" ca="1" si="10"/>
        <v>5</v>
      </c>
      <c r="B134" s="2">
        <f t="shared" ca="1" si="11"/>
        <v>2</v>
      </c>
      <c r="C134" s="2" t="str">
        <f ca="1">IFERROR(
 INDEX($V$1:$BL$1,
  MATCH(TRUE,
   CHOOSE({1;2;3;4;5;6;7;8;9;10;11;12;13;14;15;16;17;18;19;20;21;22;23;24;25;26;27;28;29;30;31;32;33;34;35;36;37;38;39;40;41;42;43},
    COUNTIFS($V$2:$V$200,$G134)&gt;0,
    COUNTIFS($W$2:$W$200,$G134)&gt;0,
    COUNTIFS($X$2:$X$200,$G134)&gt;0,
    COUNTIFS($Y$2:$Y$200,$G134)&gt;0,
    COUNTIFS($Z$2:$Z$200,$G134)&gt;0,
    COUNTIFS($AA$2:$AA$200,$G134)&gt;0,
    COUNTIFS($AB$2:$AB$200,$G134)&gt;0,
    COUNTIFS($AC$2:$AC$200,$G134)&gt;0,
    COUNTIFS($AD$2:$AD$200,$G134)&gt;0,
    COUNTIFS($AE$2:$AE$200,$G134)&gt;0,
    COUNTIFS($AF$2:$AF$200,$G134)&gt;0,
    COUNTIFS($AG$2:$AG$200,$G134)&gt;0,
    COUNTIFS($AH$2:$AH$200,$G134)&gt;0,
    COUNTIFS($AI$2:$AI$200,$G134)&gt;0,
    COUNTIFS($AJ$2:$AJ$200,$G134)&gt;0,
    COUNTIFS($AK$2:$AK$200,$G134)&gt;0,
    COUNTIFS($AL$2:$AL$200,$G134)&gt;0,
    COUNTIFS($AM$2:$AM$200,$G134)&gt;0,
    COUNTIFS($AN$2:$AN$200,$G134)&gt;0,
    COUNTIFS($AO$2:$AO$200,$G134)&gt;0,
    COUNTIFS($AP$2:$AP$200,$G134)&gt;0,
    COUNTIFS($AQ$2:$AQ$200,$G134)&gt;0,
    COUNTIFS($AR$2:$AR$200,$G134)&gt;0,
    COUNTIFS($AS$2:$AS$200,$G134)&gt;0,
    COUNTIFS($AT$2:$AT$200,$G134)&gt;0,
    COUNTIFS($AU$2:$AU$200,$G134)&gt;0,
    COUNTIFS($AV$2:$AV$200,$G134)&gt;0,
    COUNTIFS($AW$2:$AW$200,$G134)&gt;0,
    COUNTIFS($AX$2:$AX$200,$G134)&gt;0,
    COUNTIFS($AY$2:$AY$200,$G134)&gt;0,
    COUNTIFS($AZ$2:$AZ$200,$G134)&gt;0,
    COUNTIFS($BA$2:$BA$200,$G134)&gt;0,
    COUNTIFS($BB$2:$BB$200,$G134)&gt;0,
    COUNTIFS($BC$2:$BC$200,$G134)&gt;0,
    COUNTIFS($BD$2:$BD$200,$G134)&gt;0,
    COUNTIFS($BE$2:$BE$200,$G134)&gt;0,
    COUNTIFS($BF$2:$BF$200,$G134)&gt;0,
    COUNTIFS($BG$2:$BG$200,$G134)&gt;0,
    COUNTIFS($BH$2:$BH$200,$G134)&gt;0,
    COUNTIFS($BI$2:$BI$200,$G134)&gt;0,
    COUNTIFS($BJ$2:$BJ$200,$G134)&gt;0,
    COUNTIFS($BK$2:$BK$200,$G134)&gt;0,
    COUNTIFS($BL$2:$BL$200,$G134)&gt;0,
    COUNTIFS($BM$2:$BM$200,$G134)&gt;0,
   ),
  0)
 ),
"")</f>
        <v>Yorion</v>
      </c>
      <c r="D134" s="2" t="str" cm="1">
        <f t="array" aca="1" ref="D134" ca="1">IFERROR(
 INDEX(
  _xlfn._xlws.FILTER($V$1:$AY$1,
   TRANSPOSE(
    CHOOSE({1;2;3;4;5;6;7;8;9;10;11;12;13;14;15;16;17;18;19;20;21;22;23;24;25;26;27;28;29;30},
     COUNTIFS($V$2:$V$200,$G134)&gt;0,
     COUNTIFS($W$2:$W$200,$G134)&gt;0,
     COUNTIFS($X$2:$X$200,$G134)&gt;0,
     COUNTIFS($Y$2:$Y$200,$G134)&gt;0,
     COUNTIFS($Z$2:$Z$200,$G134)&gt;0,
     COUNTIFS($AA$2:$AA$200,$G134)&gt;0,
     COUNTIFS($AB$2:$AB$200,$G134)&gt;0,
     COUNTIFS($AC$2:$AC$200,$G134)&gt;0,
     COUNTIFS($AD$2:$AD$200,$G134)&gt;0,
     COUNTIFS($AE$2:$AE$200,$G134)&gt;0,
     COUNTIFS($AF$2:$AF$200,$G134)&gt;0,
     COUNTIFS($AG$2:$AG$200,$G134)&gt;0,
     COUNTIFS($AH$2:$AH$200,$G134)&gt;0,
     COUNTIFS($AI$2:$AI$200,$G134)&gt;0,
     COUNTIFS($AJ$2:$AJ$200,$G134)&gt;0,
     COUNTIFS($AK$2:$AK$200,$G134)&gt;0,
     COUNTIFS($AL$2:$AL$200,$G134)&gt;0,
     COUNTIFS($AM$2:$AM$200,$G134)&gt;0,
     COUNTIFS($AN$2:$AN$200,$G134)&gt;0,
     COUNTIFS($AO$2:$AO$200,$G134)&gt;0,
     COUNTIFS($AP$2:$AP$200,$G134)&gt;0,
     COUNTIFS($AQ$2:$AQ$200,$G134)&gt;0,
     COUNTIFS($AR$2:$AR$200,$G134)&gt;0,
     COUNTIFS($AS$2:$AS$200,$G134)&gt;0,
     COUNTIFS($AT$2:$AT$200,$G134)&gt;0,
     COUNTIFS($AU$2:$AU$200,$G134)&gt;0,
     COUNTIFS($AV$2:$AV$200,$G134)&gt;0,
     COUNTIFS($AW$2:$AW$200,$G134)&gt;0,
     COUNTIFS($AX$2:$AX$200,$G134)&gt;0,
     COUNTIFS($AY$2:$AY$200,$G134)&gt;0
   )),
  ),
  2
 ),
"")</f>
        <v/>
      </c>
      <c r="E134" s="2" t="str" cm="1">
        <f t="array" aca="1" ref="E134" ca="1">IFERROR(
 INDEX(
  _xlfn._xlws.FILTER($V$1:$AY$1,
   TRANSPOSE(
    CHOOSE({1;2;3;4;5;6;7;8;9;10;11;12;13;14;15;16;17;18;19;20;21;22;23;24;25;26;27;28;29;30},
     COUNTIFS($V$2:$V$200,$G134)&gt;0,
     COUNTIFS($W$2:$W$200,$G134)&gt;0,
     COUNTIFS($X$2:$X$200,$G134)&gt;0,
     COUNTIFS($Y$2:$Y$200,$G134)&gt;0,
     COUNTIFS($Z$2:$Z$200,$G134)&gt;0,
     COUNTIFS($AA$2:$AA$200,$G134)&gt;0,
     COUNTIFS($AB$2:$AB$200,$G134)&gt;0,
     COUNTIFS($AC$2:$AC$200,$G134)&gt;0,
     COUNTIFS($AD$2:$AD$200,$G134)&gt;0,
     COUNTIFS($AE$2:$AE$200,$G134)&gt;0,
     COUNTIFS($AF$2:$AF$200,$G134)&gt;0,
     COUNTIFS($AG$2:$AG$200,$G134)&gt;0,
     COUNTIFS($AH$2:$AH$200,$G134)&gt;0,
     COUNTIFS($AI$2:$AI$200,$G134)&gt;0,
     COUNTIFS($AJ$2:$AJ$200,$G134)&gt;0,
     COUNTIFS($AK$2:$AK$200,$G134)&gt;0,
     COUNTIFS($AL$2:$AL$200,$G134)&gt;0,
     COUNTIFS($AM$2:$AM$200,$G134)&gt;0,
     COUNTIFS($AN$2:$AN$200,$G134)&gt;0,
     COUNTIFS($AO$2:$AO$200,$G134)&gt;0,
     COUNTIFS($AP$2:$AP$200,$G134)&gt;0,
     COUNTIFS($AQ$2:$AQ$200,$G134)&gt;0,
     COUNTIFS($AR$2:$AR$200,$G134)&gt;0,
     COUNTIFS($AS$2:$AS$200,$G134)&gt;0,
     COUNTIFS($AT$2:$AT$200,$G134)&gt;0,
     COUNTIFS($AU$2:$AU$200,$G134)&gt;0,
     COUNTIFS($AV$2:$AV$200,$G134)&gt;0,
     COUNTIFS($AW$2:$AW$200,$G134)&gt;0,
     COUNTIFS($AX$2:$AX$200,$G134)&gt;0,
     COUNTIFS($AY$2:$AY$200,$G134)&gt;0
   )),
  ),
  3
 ),
"")</f>
        <v/>
      </c>
      <c r="F134" s="2" t="str" cm="1">
        <f t="array" aca="1" ref="F134" ca="1">IFERROR(
 INDEX(
  _xlfn._xlws.FILTER($V$1:$AY$1,
   TRANSPOSE(
    CHOOSE({1;2;3;4;5;6;7;8;9;10;11;12;13;14;15;16;17;18;19;20;21;22;23;24;25;26;27;28;29;30},
     COUNTIFS($V$2:$V$200,$G134)&gt;0,
     COUNTIFS($W$2:$W$200,$G134)&gt;0,
     COUNTIFS($X$2:$X$200,$G134)&gt;0,
     COUNTIFS($Y$2:$Y$200,$G134)&gt;0,
     COUNTIFS($Z$2:$Z$200,$G134)&gt;0,
     COUNTIFS($AA$2:$AA$200,$G134)&gt;0,
     COUNTIFS($AB$2:$AB$200,$G134)&gt;0,
     COUNTIFS($AC$2:$AC$200,$G134)&gt;0,
     COUNTIFS($AD$2:$AD$200,$G134)&gt;0,
     COUNTIFS($AE$2:$AE$200,$G134)&gt;0,
     COUNTIFS($AF$2:$AF$200,$G134)&gt;0,
     COUNTIFS($AG$2:$AG$200,$G134)&gt;0,
     COUNTIFS($AH$2:$AH$200,$G134)&gt;0,
     COUNTIFS($AI$2:$AI$200,$G134)&gt;0,
     COUNTIFS($AJ$2:$AJ$200,$G134)&gt;0,
     COUNTIFS($AK$2:$AK$200,$G134)&gt;0,
     COUNTIFS($AL$2:$AL$200,$G134)&gt;0,
     COUNTIFS($AM$2:$AM$200,$G134)&gt;0,
     COUNTIFS($AN$2:$AN$200,$G134)&gt;0,
     COUNTIFS($AO$2:$AO$200,$G134)&gt;0,
     COUNTIFS($AP$2:$AP$200,$G134)&gt;0,
     COUNTIFS($AQ$2:$AQ$200,$G134)&gt;0,
     COUNTIFS($AR$2:$AR$200,$G134)&gt;0,
     COUNTIFS($AS$2:$AS$200,$G134)&gt;0,
     COUNTIFS($AT$2:$AT$200,$G134)&gt;0,
     COUNTIFS($AU$2:$AU$200,$G134)&gt;0,
     COUNTIFS($AV$2:$AV$200,$G134)&gt;0,
     COUNTIFS($AW$2:$AW$200,$G134)&gt;0,
     COUNTIFS($AX$2:$AX$200,$G134)&gt;0,
     COUNTIFS($AY$2:$AY$200,$G134)&gt;0
   )),
  ),
  4
 ),
"")</f>
        <v/>
      </c>
      <c r="G134" t="str">
        <f ca="1"/>
        <v>Dusk // Dawn</v>
      </c>
      <c r="DZ134" t="str">
        <f ca="1"/>
        <v>Windcrag Siege</v>
      </c>
      <c r="EI134" t="str">
        <f ca="1"/>
        <v>Vona's Hunger</v>
      </c>
      <c r="EL134" t="str">
        <f ca="1"/>
        <v>Windcrag Siege</v>
      </c>
      <c r="EP134" t="str">
        <f ca="1"/>
        <v>Sea Gate Restoration</v>
      </c>
      <c r="EQ134" t="str">
        <f ca="1"/>
        <v>Scuzzback Scrounger</v>
      </c>
      <c r="ER134" t="str">
        <f ca="1"/>
        <v>Pongify</v>
      </c>
      <c r="EU134" t="str">
        <f ca="1"/>
        <v>Haywire Mite</v>
      </c>
      <c r="EV134" t="str">
        <f ca="1"/>
        <v>Pongify</v>
      </c>
      <c r="EX134" t="str">
        <f ca="1"/>
        <v>Dusk // Dawn</v>
      </c>
    </row>
    <row r="135" spans="1:154" x14ac:dyDescent="0.25">
      <c r="A135" s="2" t="str">
        <f t="shared" ca="1" si="10"/>
        <v>4</v>
      </c>
      <c r="B135" s="2">
        <f t="shared" ca="1" si="11"/>
        <v>1</v>
      </c>
      <c r="C135" s="2" t="str">
        <f ca="1">IFERROR(
 INDEX($V$1:$BL$1,
  MATCH(TRUE,
   CHOOSE({1;2;3;4;5;6;7;8;9;10;11;12;13;14;15;16;17;18;19;20;21;22;23;24;25;26;27;28;29;30;31;32;33;34;35;36;37;38;39;40;41;42;43},
    COUNTIFS($V$2:$V$200,$G135)&gt;0,
    COUNTIFS($W$2:$W$200,$G135)&gt;0,
    COUNTIFS($X$2:$X$200,$G135)&gt;0,
    COUNTIFS($Y$2:$Y$200,$G135)&gt;0,
    COUNTIFS($Z$2:$Z$200,$G135)&gt;0,
    COUNTIFS($AA$2:$AA$200,$G135)&gt;0,
    COUNTIFS($AB$2:$AB$200,$G135)&gt;0,
    COUNTIFS($AC$2:$AC$200,$G135)&gt;0,
    COUNTIFS($AD$2:$AD$200,$G135)&gt;0,
    COUNTIFS($AE$2:$AE$200,$G135)&gt;0,
    COUNTIFS($AF$2:$AF$200,$G135)&gt;0,
    COUNTIFS($AG$2:$AG$200,$G135)&gt;0,
    COUNTIFS($AH$2:$AH$200,$G135)&gt;0,
    COUNTIFS($AI$2:$AI$200,$G135)&gt;0,
    COUNTIFS($AJ$2:$AJ$200,$G135)&gt;0,
    COUNTIFS($AK$2:$AK$200,$G135)&gt;0,
    COUNTIFS($AL$2:$AL$200,$G135)&gt;0,
    COUNTIFS($AM$2:$AM$200,$G135)&gt;0,
    COUNTIFS($AN$2:$AN$200,$G135)&gt;0,
    COUNTIFS($AO$2:$AO$200,$G135)&gt;0,
    COUNTIFS($AP$2:$AP$200,$G135)&gt;0,
    COUNTIFS($AQ$2:$AQ$200,$G135)&gt;0,
    COUNTIFS($AR$2:$AR$200,$G135)&gt;0,
    COUNTIFS($AS$2:$AS$200,$G135)&gt;0,
    COUNTIFS($AT$2:$AT$200,$G135)&gt;0,
    COUNTIFS($AU$2:$AU$200,$G135)&gt;0,
    COUNTIFS($AV$2:$AV$200,$G135)&gt;0,
    COUNTIFS($AW$2:$AW$200,$G135)&gt;0,
    COUNTIFS($AX$2:$AX$200,$G135)&gt;0,
    COUNTIFS($AY$2:$AY$200,$G135)&gt;0,
    COUNTIFS($AZ$2:$AZ$200,$G135)&gt;0,
    COUNTIFS($BA$2:$BA$200,$G135)&gt;0,
    COUNTIFS($BB$2:$BB$200,$G135)&gt;0,
    COUNTIFS($BC$2:$BC$200,$G135)&gt;0,
    COUNTIFS($BD$2:$BD$200,$G135)&gt;0,
    COUNTIFS($BE$2:$BE$200,$G135)&gt;0,
    COUNTIFS($BF$2:$BF$200,$G135)&gt;0,
    COUNTIFS($BG$2:$BG$200,$G135)&gt;0,
    COUNTIFS($BH$2:$BH$200,$G135)&gt;0,
    COUNTIFS($BI$2:$BI$200,$G135)&gt;0,
    COUNTIFS($BJ$2:$BJ$200,$G135)&gt;0,
    COUNTIFS($BK$2:$BK$200,$G135)&gt;0,
    COUNTIFS($BL$2:$BL$200,$G135)&gt;0,
    COUNTIFS($BM$2:$BM$200,$G135)&gt;0,
   ),
  0)
 ),
"")</f>
        <v>Tayam</v>
      </c>
      <c r="D135" s="2" t="str" cm="1">
        <f t="array" aca="1" ref="D135" ca="1">IFERROR(
 INDEX(
  _xlfn._xlws.FILTER($V$1:$AY$1,
   TRANSPOSE(
    CHOOSE({1;2;3;4;5;6;7;8;9;10;11;12;13;14;15;16;17;18;19;20;21;22;23;24;25;26;27;28;29;30},
     COUNTIFS($V$2:$V$200,$G135)&gt;0,
     COUNTIFS($W$2:$W$200,$G135)&gt;0,
     COUNTIFS($X$2:$X$200,$G135)&gt;0,
     COUNTIFS($Y$2:$Y$200,$G135)&gt;0,
     COUNTIFS($Z$2:$Z$200,$G135)&gt;0,
     COUNTIFS($AA$2:$AA$200,$G135)&gt;0,
     COUNTIFS($AB$2:$AB$200,$G135)&gt;0,
     COUNTIFS($AC$2:$AC$200,$G135)&gt;0,
     COUNTIFS($AD$2:$AD$200,$G135)&gt;0,
     COUNTIFS($AE$2:$AE$200,$G135)&gt;0,
     COUNTIFS($AF$2:$AF$200,$G135)&gt;0,
     COUNTIFS($AG$2:$AG$200,$G135)&gt;0,
     COUNTIFS($AH$2:$AH$200,$G135)&gt;0,
     COUNTIFS($AI$2:$AI$200,$G135)&gt;0,
     COUNTIFS($AJ$2:$AJ$200,$G135)&gt;0,
     COUNTIFS($AK$2:$AK$200,$G135)&gt;0,
     COUNTIFS($AL$2:$AL$200,$G135)&gt;0,
     COUNTIFS($AM$2:$AM$200,$G135)&gt;0,
     COUNTIFS($AN$2:$AN$200,$G135)&gt;0,
     COUNTIFS($AO$2:$AO$200,$G135)&gt;0,
     COUNTIFS($AP$2:$AP$200,$G135)&gt;0,
     COUNTIFS($AQ$2:$AQ$200,$G135)&gt;0,
     COUNTIFS($AR$2:$AR$200,$G135)&gt;0,
     COUNTIFS($AS$2:$AS$200,$G135)&gt;0,
     COUNTIFS($AT$2:$AT$200,$G135)&gt;0,
     COUNTIFS($AU$2:$AU$200,$G135)&gt;0,
     COUNTIFS($AV$2:$AV$200,$G135)&gt;0,
     COUNTIFS($AW$2:$AW$200,$G135)&gt;0,
     COUNTIFS($AX$2:$AX$200,$G135)&gt;0,
     COUNTIFS($AY$2:$AY$200,$G135)&gt;0
   )),
  ),
  2
 ),
"")</f>
        <v/>
      </c>
      <c r="E135" s="2" t="str" cm="1">
        <f t="array" aca="1" ref="E135" ca="1">IFERROR(
 INDEX(
  _xlfn._xlws.FILTER($V$1:$AY$1,
   TRANSPOSE(
    CHOOSE({1;2;3;4;5;6;7;8;9;10;11;12;13;14;15;16;17;18;19;20;21;22;23;24;25;26;27;28;29;30},
     COUNTIFS($V$2:$V$200,$G135)&gt;0,
     COUNTIFS($W$2:$W$200,$G135)&gt;0,
     COUNTIFS($X$2:$X$200,$G135)&gt;0,
     COUNTIFS($Y$2:$Y$200,$G135)&gt;0,
     COUNTIFS($Z$2:$Z$200,$G135)&gt;0,
     COUNTIFS($AA$2:$AA$200,$G135)&gt;0,
     COUNTIFS($AB$2:$AB$200,$G135)&gt;0,
     COUNTIFS($AC$2:$AC$200,$G135)&gt;0,
     COUNTIFS($AD$2:$AD$200,$G135)&gt;0,
     COUNTIFS($AE$2:$AE$200,$G135)&gt;0,
     COUNTIFS($AF$2:$AF$200,$G135)&gt;0,
     COUNTIFS($AG$2:$AG$200,$G135)&gt;0,
     COUNTIFS($AH$2:$AH$200,$G135)&gt;0,
     COUNTIFS($AI$2:$AI$200,$G135)&gt;0,
     COUNTIFS($AJ$2:$AJ$200,$G135)&gt;0,
     COUNTIFS($AK$2:$AK$200,$G135)&gt;0,
     COUNTIFS($AL$2:$AL$200,$G135)&gt;0,
     COUNTIFS($AM$2:$AM$200,$G135)&gt;0,
     COUNTIFS($AN$2:$AN$200,$G135)&gt;0,
     COUNTIFS($AO$2:$AO$200,$G135)&gt;0,
     COUNTIFS($AP$2:$AP$200,$G135)&gt;0,
     COUNTIFS($AQ$2:$AQ$200,$G135)&gt;0,
     COUNTIFS($AR$2:$AR$200,$G135)&gt;0,
     COUNTIFS($AS$2:$AS$200,$G135)&gt;0,
     COUNTIFS($AT$2:$AT$200,$G135)&gt;0,
     COUNTIFS($AU$2:$AU$200,$G135)&gt;0,
     COUNTIFS($AV$2:$AV$200,$G135)&gt;0,
     COUNTIFS($AW$2:$AW$200,$G135)&gt;0,
     COUNTIFS($AX$2:$AX$200,$G135)&gt;0,
     COUNTIFS($AY$2:$AY$200,$G135)&gt;0
   )),
  ),
  3
 ),
"")</f>
        <v/>
      </c>
      <c r="F135" s="2" t="str" cm="1">
        <f t="array" aca="1" ref="F135" ca="1">IFERROR(
 INDEX(
  _xlfn._xlws.FILTER($V$1:$AY$1,
   TRANSPOSE(
    CHOOSE({1;2;3;4;5;6;7;8;9;10;11;12;13;14;15;16;17;18;19;20;21;22;23;24;25;26;27;28;29;30},
     COUNTIFS($V$2:$V$200,$G135)&gt;0,
     COUNTIFS($W$2:$W$200,$G135)&gt;0,
     COUNTIFS($X$2:$X$200,$G135)&gt;0,
     COUNTIFS($Y$2:$Y$200,$G135)&gt;0,
     COUNTIFS($Z$2:$Z$200,$G135)&gt;0,
     COUNTIFS($AA$2:$AA$200,$G135)&gt;0,
     COUNTIFS($AB$2:$AB$200,$G135)&gt;0,
     COUNTIFS($AC$2:$AC$200,$G135)&gt;0,
     COUNTIFS($AD$2:$AD$200,$G135)&gt;0,
     COUNTIFS($AE$2:$AE$200,$G135)&gt;0,
     COUNTIFS($AF$2:$AF$200,$G135)&gt;0,
     COUNTIFS($AG$2:$AG$200,$G135)&gt;0,
     COUNTIFS($AH$2:$AH$200,$G135)&gt;0,
     COUNTIFS($AI$2:$AI$200,$G135)&gt;0,
     COUNTIFS($AJ$2:$AJ$200,$G135)&gt;0,
     COUNTIFS($AK$2:$AK$200,$G135)&gt;0,
     COUNTIFS($AL$2:$AL$200,$G135)&gt;0,
     COUNTIFS($AM$2:$AM$200,$G135)&gt;0,
     COUNTIFS($AN$2:$AN$200,$G135)&gt;0,
     COUNTIFS($AO$2:$AO$200,$G135)&gt;0,
     COUNTIFS($AP$2:$AP$200,$G135)&gt;0,
     COUNTIFS($AQ$2:$AQ$200,$G135)&gt;0,
     COUNTIFS($AR$2:$AR$200,$G135)&gt;0,
     COUNTIFS($AS$2:$AS$200,$G135)&gt;0,
     COUNTIFS($AT$2:$AT$200,$G135)&gt;0,
     COUNTIFS($AU$2:$AU$200,$G135)&gt;0,
     COUNTIFS($AV$2:$AV$200,$G135)&gt;0,
     COUNTIFS($AW$2:$AW$200,$G135)&gt;0,
     COUNTIFS($AX$2:$AX$200,$G135)&gt;0,
     COUNTIFS($AY$2:$AY$200,$G135)&gt;0
   )),
  ),
  4
 ),
"")</f>
        <v/>
      </c>
      <c r="G135" t="str">
        <f ca="1"/>
        <v>Earthbender Ascension</v>
      </c>
      <c r="DZ135" t="str">
        <f ca="1"/>
        <v>Windgrace's Judgment</v>
      </c>
      <c r="EI135" t="str">
        <f ca="1"/>
        <v>Ward Sliver</v>
      </c>
      <c r="EL135" t="str">
        <f ca="1"/>
        <v>Windgrace's Judgment</v>
      </c>
      <c r="EP135" t="str">
        <f ca="1"/>
        <v>Seahunter</v>
      </c>
      <c r="EQ135" t="str">
        <f ca="1"/>
        <v>Sedge Sliver</v>
      </c>
      <c r="ER135" t="str">
        <f ca="1"/>
        <v>Prishe's Wanderings</v>
      </c>
      <c r="EU135" t="str">
        <f ca="1"/>
        <v>Heart Sliver</v>
      </c>
      <c r="EV135" t="str">
        <f ca="1"/>
        <v>Prishe's Wanderings</v>
      </c>
      <c r="EX135" t="str">
        <f ca="1"/>
        <v>Earthbender Ascension</v>
      </c>
    </row>
    <row r="136" spans="1:154" x14ac:dyDescent="0.25">
      <c r="A136" s="2" t="str">
        <f t="shared" ca="1" si="10"/>
        <v>4</v>
      </c>
      <c r="B136" s="2">
        <f t="shared" ca="1" si="11"/>
        <v>1</v>
      </c>
      <c r="C136" s="2" t="str">
        <f ca="1">IFERROR(
 INDEX($V$1:$BL$1,
  MATCH(TRUE,
   CHOOSE({1;2;3;4;5;6;7;8;9;10;11;12;13;14;15;16;17;18;19;20;21;22;23;24;25;26;27;28;29;30;31;32;33;34;35;36;37;38;39;40;41;42;43},
    COUNTIFS($V$2:$V$200,$G136)&gt;0,
    COUNTIFS($W$2:$W$200,$G136)&gt;0,
    COUNTIFS($X$2:$X$200,$G136)&gt;0,
    COUNTIFS($Y$2:$Y$200,$G136)&gt;0,
    COUNTIFS($Z$2:$Z$200,$G136)&gt;0,
    COUNTIFS($AA$2:$AA$200,$G136)&gt;0,
    COUNTIFS($AB$2:$AB$200,$G136)&gt;0,
    COUNTIFS($AC$2:$AC$200,$G136)&gt;0,
    COUNTIFS($AD$2:$AD$200,$G136)&gt;0,
    COUNTIFS($AE$2:$AE$200,$G136)&gt;0,
    COUNTIFS($AF$2:$AF$200,$G136)&gt;0,
    COUNTIFS($AG$2:$AG$200,$G136)&gt;0,
    COUNTIFS($AH$2:$AH$200,$G136)&gt;0,
    COUNTIFS($AI$2:$AI$200,$G136)&gt;0,
    COUNTIFS($AJ$2:$AJ$200,$G136)&gt;0,
    COUNTIFS($AK$2:$AK$200,$G136)&gt;0,
    COUNTIFS($AL$2:$AL$200,$G136)&gt;0,
    COUNTIFS($AM$2:$AM$200,$G136)&gt;0,
    COUNTIFS($AN$2:$AN$200,$G136)&gt;0,
    COUNTIFS($AO$2:$AO$200,$G136)&gt;0,
    COUNTIFS($AP$2:$AP$200,$G136)&gt;0,
    COUNTIFS($AQ$2:$AQ$200,$G136)&gt;0,
    COUNTIFS($AR$2:$AR$200,$G136)&gt;0,
    COUNTIFS($AS$2:$AS$200,$G136)&gt;0,
    COUNTIFS($AT$2:$AT$200,$G136)&gt;0,
    COUNTIFS($AU$2:$AU$200,$G136)&gt;0,
    COUNTIFS($AV$2:$AV$200,$G136)&gt;0,
    COUNTIFS($AW$2:$AW$200,$G136)&gt;0,
    COUNTIFS($AX$2:$AX$200,$G136)&gt;0,
    COUNTIFS($AY$2:$AY$200,$G136)&gt;0,
    COUNTIFS($AZ$2:$AZ$200,$G136)&gt;0,
    COUNTIFS($BA$2:$BA$200,$G136)&gt;0,
    COUNTIFS($BB$2:$BB$200,$G136)&gt;0,
    COUNTIFS($BC$2:$BC$200,$G136)&gt;0,
    COUNTIFS($BD$2:$BD$200,$G136)&gt;0,
    COUNTIFS($BE$2:$BE$200,$G136)&gt;0,
    COUNTIFS($BF$2:$BF$200,$G136)&gt;0,
    COUNTIFS($BG$2:$BG$200,$G136)&gt;0,
    COUNTIFS($BH$2:$BH$200,$G136)&gt;0,
    COUNTIFS($BI$2:$BI$200,$G136)&gt;0,
    COUNTIFS($BJ$2:$BJ$200,$G136)&gt;0,
    COUNTIFS($BK$2:$BK$200,$G136)&gt;0,
    COUNTIFS($BL$2:$BL$200,$G136)&gt;0,
    COUNTIFS($BM$2:$BM$200,$G136)&gt;0,
   ),
  0)
 ),
"")</f>
        <v>Modular</v>
      </c>
      <c r="D136" s="2" t="str" cm="1">
        <f t="array" aca="1" ref="D136" ca="1">IFERROR(
 INDEX(
  _xlfn._xlws.FILTER($V$1:$AY$1,
   TRANSPOSE(
    CHOOSE({1;2;3;4;5;6;7;8;9;10;11;12;13;14;15;16;17;18;19;20;21;22;23;24;25;26;27;28;29;30},
     COUNTIFS($V$2:$V$200,$G136)&gt;0,
     COUNTIFS($W$2:$W$200,$G136)&gt;0,
     COUNTIFS($X$2:$X$200,$G136)&gt;0,
     COUNTIFS($Y$2:$Y$200,$G136)&gt;0,
     COUNTIFS($Z$2:$Z$200,$G136)&gt;0,
     COUNTIFS($AA$2:$AA$200,$G136)&gt;0,
     COUNTIFS($AB$2:$AB$200,$G136)&gt;0,
     COUNTIFS($AC$2:$AC$200,$G136)&gt;0,
     COUNTIFS($AD$2:$AD$200,$G136)&gt;0,
     COUNTIFS($AE$2:$AE$200,$G136)&gt;0,
     COUNTIFS($AF$2:$AF$200,$G136)&gt;0,
     COUNTIFS($AG$2:$AG$200,$G136)&gt;0,
     COUNTIFS($AH$2:$AH$200,$G136)&gt;0,
     COUNTIFS($AI$2:$AI$200,$G136)&gt;0,
     COUNTIFS($AJ$2:$AJ$200,$G136)&gt;0,
     COUNTIFS($AK$2:$AK$200,$G136)&gt;0,
     COUNTIFS($AL$2:$AL$200,$G136)&gt;0,
     COUNTIFS($AM$2:$AM$200,$G136)&gt;0,
     COUNTIFS($AN$2:$AN$200,$G136)&gt;0,
     COUNTIFS($AO$2:$AO$200,$G136)&gt;0,
     COUNTIFS($AP$2:$AP$200,$G136)&gt;0,
     COUNTIFS($AQ$2:$AQ$200,$G136)&gt;0,
     COUNTIFS($AR$2:$AR$200,$G136)&gt;0,
     COUNTIFS($AS$2:$AS$200,$G136)&gt;0,
     COUNTIFS($AT$2:$AT$200,$G136)&gt;0,
     COUNTIFS($AU$2:$AU$200,$G136)&gt;0,
     COUNTIFS($AV$2:$AV$200,$G136)&gt;0,
     COUNTIFS($AW$2:$AW$200,$G136)&gt;0,
     COUNTIFS($AX$2:$AX$200,$G136)&gt;0,
     COUNTIFS($AY$2:$AY$200,$G136)&gt;0
   )),
  ),
  2
 ),
"")</f>
        <v/>
      </c>
      <c r="E136" s="2" t="str" cm="1">
        <f t="array" aca="1" ref="E136" ca="1">IFERROR(
 INDEX(
  _xlfn._xlws.FILTER($V$1:$AY$1,
   TRANSPOSE(
    CHOOSE({1;2;3;4;5;6;7;8;9;10;11;12;13;14;15;16;17;18;19;20;21;22;23;24;25;26;27;28;29;30},
     COUNTIFS($V$2:$V$200,$G136)&gt;0,
     COUNTIFS($W$2:$W$200,$G136)&gt;0,
     COUNTIFS($X$2:$X$200,$G136)&gt;0,
     COUNTIFS($Y$2:$Y$200,$G136)&gt;0,
     COUNTIFS($Z$2:$Z$200,$G136)&gt;0,
     COUNTIFS($AA$2:$AA$200,$G136)&gt;0,
     COUNTIFS($AB$2:$AB$200,$G136)&gt;0,
     COUNTIFS($AC$2:$AC$200,$G136)&gt;0,
     COUNTIFS($AD$2:$AD$200,$G136)&gt;0,
     COUNTIFS($AE$2:$AE$200,$G136)&gt;0,
     COUNTIFS($AF$2:$AF$200,$G136)&gt;0,
     COUNTIFS($AG$2:$AG$200,$G136)&gt;0,
     COUNTIFS($AH$2:$AH$200,$G136)&gt;0,
     COUNTIFS($AI$2:$AI$200,$G136)&gt;0,
     COUNTIFS($AJ$2:$AJ$200,$G136)&gt;0,
     COUNTIFS($AK$2:$AK$200,$G136)&gt;0,
     COUNTIFS($AL$2:$AL$200,$G136)&gt;0,
     COUNTIFS($AM$2:$AM$200,$G136)&gt;0,
     COUNTIFS($AN$2:$AN$200,$G136)&gt;0,
     COUNTIFS($AO$2:$AO$200,$G136)&gt;0,
     COUNTIFS($AP$2:$AP$200,$G136)&gt;0,
     COUNTIFS($AQ$2:$AQ$200,$G136)&gt;0,
     COUNTIFS($AR$2:$AR$200,$G136)&gt;0,
     COUNTIFS($AS$2:$AS$200,$G136)&gt;0,
     COUNTIFS($AT$2:$AT$200,$G136)&gt;0,
     COUNTIFS($AU$2:$AU$200,$G136)&gt;0,
     COUNTIFS($AV$2:$AV$200,$G136)&gt;0,
     COUNTIFS($AW$2:$AW$200,$G136)&gt;0,
     COUNTIFS($AX$2:$AX$200,$G136)&gt;0,
     COUNTIFS($AY$2:$AY$200,$G136)&gt;0
   )),
  ),
  3
 ),
"")</f>
        <v/>
      </c>
      <c r="F136" s="2" t="str" cm="1">
        <f t="array" aca="1" ref="F136" ca="1">IFERROR(
 INDEX(
  _xlfn._xlws.FILTER($V$1:$AY$1,
   TRANSPOSE(
    CHOOSE({1;2;3;4;5;6;7;8;9;10;11;12;13;14;15;16;17;18;19;20;21;22;23;24;25;26;27;28;29;30},
     COUNTIFS($V$2:$V$200,$G136)&gt;0,
     COUNTIFS($W$2:$W$200,$G136)&gt;0,
     COUNTIFS($X$2:$X$200,$G136)&gt;0,
     COUNTIFS($Y$2:$Y$200,$G136)&gt;0,
     COUNTIFS($Z$2:$Z$200,$G136)&gt;0,
     COUNTIFS($AA$2:$AA$200,$G136)&gt;0,
     COUNTIFS($AB$2:$AB$200,$G136)&gt;0,
     COUNTIFS($AC$2:$AC$200,$G136)&gt;0,
     COUNTIFS($AD$2:$AD$200,$G136)&gt;0,
     COUNTIFS($AE$2:$AE$200,$G136)&gt;0,
     COUNTIFS($AF$2:$AF$200,$G136)&gt;0,
     COUNTIFS($AG$2:$AG$200,$G136)&gt;0,
     COUNTIFS($AH$2:$AH$200,$G136)&gt;0,
     COUNTIFS($AI$2:$AI$200,$G136)&gt;0,
     COUNTIFS($AJ$2:$AJ$200,$G136)&gt;0,
     COUNTIFS($AK$2:$AK$200,$G136)&gt;0,
     COUNTIFS($AL$2:$AL$200,$G136)&gt;0,
     COUNTIFS($AM$2:$AM$200,$G136)&gt;0,
     COUNTIFS($AN$2:$AN$200,$G136)&gt;0,
     COUNTIFS($AO$2:$AO$200,$G136)&gt;0,
     COUNTIFS($AP$2:$AP$200,$G136)&gt;0,
     COUNTIFS($AQ$2:$AQ$200,$G136)&gt;0,
     COUNTIFS($AR$2:$AR$200,$G136)&gt;0,
     COUNTIFS($AS$2:$AS$200,$G136)&gt;0,
     COUNTIFS($AT$2:$AT$200,$G136)&gt;0,
     COUNTIFS($AU$2:$AU$200,$G136)&gt;0,
     COUNTIFS($AV$2:$AV$200,$G136)&gt;0,
     COUNTIFS($AW$2:$AW$200,$G136)&gt;0,
     COUNTIFS($AX$2:$AX$200,$G136)&gt;0,
     COUNTIFS($AY$2:$AY$200,$G136)&gt;0
   )),
  ),
  4
 ),
"")</f>
        <v/>
      </c>
      <c r="G136" t="str">
        <f ca="1"/>
        <v>Earthshape</v>
      </c>
      <c r="DZ136" t="str">
        <f ca="1"/>
        <v>Wispdrinker Vampire</v>
      </c>
      <c r="EI136" t="str">
        <f ca="1"/>
        <v>Waterbender's Restoration</v>
      </c>
      <c r="EL136" t="str">
        <f ca="1"/>
        <v>Wispdrinker Vampire</v>
      </c>
      <c r="EP136" t="str">
        <f ca="1"/>
        <v>Secret Tunnel</v>
      </c>
      <c r="EQ136" t="str">
        <f ca="1"/>
        <v>Sentinel Sliver</v>
      </c>
      <c r="ER136" t="str">
        <f ca="1"/>
        <v>Prismatic Lens</v>
      </c>
      <c r="EU136" t="str">
        <f ca="1"/>
        <v>Heirloom Auntie</v>
      </c>
      <c r="EV136" t="str">
        <f ca="1"/>
        <v>Prismatic Lens</v>
      </c>
      <c r="EX136" t="str">
        <f ca="1"/>
        <v>Earthshape</v>
      </c>
    </row>
    <row r="137" spans="1:154" x14ac:dyDescent="0.25">
      <c r="A137" s="2" t="str">
        <f t="shared" ca="1" si="10"/>
        <v>3</v>
      </c>
      <c r="B137" s="2">
        <f t="shared" ca="1" si="11"/>
        <v>1</v>
      </c>
      <c r="C137" s="2" t="str">
        <f ca="1">IFERROR(
 INDEX($V$1:$BL$1,
  MATCH(TRUE,
   CHOOSE({1;2;3;4;5;6;7;8;9;10;11;12;13;14;15;16;17;18;19;20;21;22;23;24;25;26;27;28;29;30;31;32;33;34;35;36;37;38;39;40;41;42;43},
    COUNTIFS($V$2:$V$200,$G137)&gt;0,
    COUNTIFS($W$2:$W$200,$G137)&gt;0,
    COUNTIFS($X$2:$X$200,$G137)&gt;0,
    COUNTIFS($Y$2:$Y$200,$G137)&gt;0,
    COUNTIFS($Z$2:$Z$200,$G137)&gt;0,
    COUNTIFS($AA$2:$AA$200,$G137)&gt;0,
    COUNTIFS($AB$2:$AB$200,$G137)&gt;0,
    COUNTIFS($AC$2:$AC$200,$G137)&gt;0,
    COUNTIFS($AD$2:$AD$200,$G137)&gt;0,
    COUNTIFS($AE$2:$AE$200,$G137)&gt;0,
    COUNTIFS($AF$2:$AF$200,$G137)&gt;0,
    COUNTIFS($AG$2:$AG$200,$G137)&gt;0,
    COUNTIFS($AH$2:$AH$200,$G137)&gt;0,
    COUNTIFS($AI$2:$AI$200,$G137)&gt;0,
    COUNTIFS($AJ$2:$AJ$200,$G137)&gt;0,
    COUNTIFS($AK$2:$AK$200,$G137)&gt;0,
    COUNTIFS($AL$2:$AL$200,$G137)&gt;0,
    COUNTIFS($AM$2:$AM$200,$G137)&gt;0,
    COUNTIFS($AN$2:$AN$200,$G137)&gt;0,
    COUNTIFS($AO$2:$AO$200,$G137)&gt;0,
    COUNTIFS($AP$2:$AP$200,$G137)&gt;0,
    COUNTIFS($AQ$2:$AQ$200,$G137)&gt;0,
    COUNTIFS($AR$2:$AR$200,$G137)&gt;0,
    COUNTIFS($AS$2:$AS$200,$G137)&gt;0,
    COUNTIFS($AT$2:$AT$200,$G137)&gt;0,
    COUNTIFS($AU$2:$AU$200,$G137)&gt;0,
    COUNTIFS($AV$2:$AV$200,$G137)&gt;0,
    COUNTIFS($AW$2:$AW$200,$G137)&gt;0,
    COUNTIFS($AX$2:$AX$200,$G137)&gt;0,
    COUNTIFS($AY$2:$AY$200,$G137)&gt;0,
    COUNTIFS($AZ$2:$AZ$200,$G137)&gt;0,
    COUNTIFS($BA$2:$BA$200,$G137)&gt;0,
    COUNTIFS($BB$2:$BB$200,$G137)&gt;0,
    COUNTIFS($BC$2:$BC$200,$G137)&gt;0,
    COUNTIFS($BD$2:$BD$200,$G137)&gt;0,
    COUNTIFS($BE$2:$BE$200,$G137)&gt;0,
    COUNTIFS($BF$2:$BF$200,$G137)&gt;0,
    COUNTIFS($BG$2:$BG$200,$G137)&gt;0,
    COUNTIFS($BH$2:$BH$200,$G137)&gt;0,
    COUNTIFS($BI$2:$BI$200,$G137)&gt;0,
    COUNTIFS($BJ$2:$BJ$200,$G137)&gt;0,
    COUNTIFS($BK$2:$BK$200,$G137)&gt;0,
    COUNTIFS($BL$2:$BL$200,$G137)&gt;0,
    COUNTIFS($BM$2:$BM$200,$G137)&gt;0,
   ),
  0)
 ),
"")</f>
        <v>Kumena</v>
      </c>
      <c r="D137" s="2" t="str" cm="1">
        <f t="array" aca="1" ref="D137" ca="1">IFERROR(
 INDEX(
  _xlfn._xlws.FILTER($V$1:$AY$1,
   TRANSPOSE(
    CHOOSE({1;2;3;4;5;6;7;8;9;10;11;12;13;14;15;16;17;18;19;20;21;22;23;24;25;26;27;28;29;30},
     COUNTIFS($V$2:$V$200,$G137)&gt;0,
     COUNTIFS($W$2:$W$200,$G137)&gt;0,
     COUNTIFS($X$2:$X$200,$G137)&gt;0,
     COUNTIFS($Y$2:$Y$200,$G137)&gt;0,
     COUNTIFS($Z$2:$Z$200,$G137)&gt;0,
     COUNTIFS($AA$2:$AA$200,$G137)&gt;0,
     COUNTIFS($AB$2:$AB$200,$G137)&gt;0,
     COUNTIFS($AC$2:$AC$200,$G137)&gt;0,
     COUNTIFS($AD$2:$AD$200,$G137)&gt;0,
     COUNTIFS($AE$2:$AE$200,$G137)&gt;0,
     COUNTIFS($AF$2:$AF$200,$G137)&gt;0,
     COUNTIFS($AG$2:$AG$200,$G137)&gt;0,
     COUNTIFS($AH$2:$AH$200,$G137)&gt;0,
     COUNTIFS($AI$2:$AI$200,$G137)&gt;0,
     COUNTIFS($AJ$2:$AJ$200,$G137)&gt;0,
     COUNTIFS($AK$2:$AK$200,$G137)&gt;0,
     COUNTIFS($AL$2:$AL$200,$G137)&gt;0,
     COUNTIFS($AM$2:$AM$200,$G137)&gt;0,
     COUNTIFS($AN$2:$AN$200,$G137)&gt;0,
     COUNTIFS($AO$2:$AO$200,$G137)&gt;0,
     COUNTIFS($AP$2:$AP$200,$G137)&gt;0,
     COUNTIFS($AQ$2:$AQ$200,$G137)&gt;0,
     COUNTIFS($AR$2:$AR$200,$G137)&gt;0,
     COUNTIFS($AS$2:$AS$200,$G137)&gt;0,
     COUNTIFS($AT$2:$AT$200,$G137)&gt;0,
     COUNTIFS($AU$2:$AU$200,$G137)&gt;0,
     COUNTIFS($AV$2:$AV$200,$G137)&gt;0,
     COUNTIFS($AW$2:$AW$200,$G137)&gt;0,
     COUNTIFS($AX$2:$AX$200,$G137)&gt;0,
     COUNTIFS($AY$2:$AY$200,$G137)&gt;0
   )),
  ),
  2
 ),
"")</f>
        <v/>
      </c>
      <c r="E137" s="2" t="str" cm="1">
        <f t="array" aca="1" ref="E137" ca="1">IFERROR(
 INDEX(
  _xlfn._xlws.FILTER($V$1:$AY$1,
   TRANSPOSE(
    CHOOSE({1;2;3;4;5;6;7;8;9;10;11;12;13;14;15;16;17;18;19;20;21;22;23;24;25;26;27;28;29;30},
     COUNTIFS($V$2:$V$200,$G137)&gt;0,
     COUNTIFS($W$2:$W$200,$G137)&gt;0,
     COUNTIFS($X$2:$X$200,$G137)&gt;0,
     COUNTIFS($Y$2:$Y$200,$G137)&gt;0,
     COUNTIFS($Z$2:$Z$200,$G137)&gt;0,
     COUNTIFS($AA$2:$AA$200,$G137)&gt;0,
     COUNTIFS($AB$2:$AB$200,$G137)&gt;0,
     COUNTIFS($AC$2:$AC$200,$G137)&gt;0,
     COUNTIFS($AD$2:$AD$200,$G137)&gt;0,
     COUNTIFS($AE$2:$AE$200,$G137)&gt;0,
     COUNTIFS($AF$2:$AF$200,$G137)&gt;0,
     COUNTIFS($AG$2:$AG$200,$G137)&gt;0,
     COUNTIFS($AH$2:$AH$200,$G137)&gt;0,
     COUNTIFS($AI$2:$AI$200,$G137)&gt;0,
     COUNTIFS($AJ$2:$AJ$200,$G137)&gt;0,
     COUNTIFS($AK$2:$AK$200,$G137)&gt;0,
     COUNTIFS($AL$2:$AL$200,$G137)&gt;0,
     COUNTIFS($AM$2:$AM$200,$G137)&gt;0,
     COUNTIFS($AN$2:$AN$200,$G137)&gt;0,
     COUNTIFS($AO$2:$AO$200,$G137)&gt;0,
     COUNTIFS($AP$2:$AP$200,$G137)&gt;0,
     COUNTIFS($AQ$2:$AQ$200,$G137)&gt;0,
     COUNTIFS($AR$2:$AR$200,$G137)&gt;0,
     COUNTIFS($AS$2:$AS$200,$G137)&gt;0,
     COUNTIFS($AT$2:$AT$200,$G137)&gt;0,
     COUNTIFS($AU$2:$AU$200,$G137)&gt;0,
     COUNTIFS($AV$2:$AV$200,$G137)&gt;0,
     COUNTIFS($AW$2:$AW$200,$G137)&gt;0,
     COUNTIFS($AX$2:$AX$200,$G137)&gt;0,
     COUNTIFS($AY$2:$AY$200,$G137)&gt;0
   )),
  ),
  3
 ),
"")</f>
        <v/>
      </c>
      <c r="F137" s="2" t="str" cm="1">
        <f t="array" aca="1" ref="F137" ca="1">IFERROR(
 INDEX(
  _xlfn._xlws.FILTER($V$1:$AY$1,
   TRANSPOSE(
    CHOOSE({1;2;3;4;5;6;7;8;9;10;11;12;13;14;15;16;17;18;19;20;21;22;23;24;25;26;27;28;29;30},
     COUNTIFS($V$2:$V$200,$G137)&gt;0,
     COUNTIFS($W$2:$W$200,$G137)&gt;0,
     COUNTIFS($X$2:$X$200,$G137)&gt;0,
     COUNTIFS($Y$2:$Y$200,$G137)&gt;0,
     COUNTIFS($Z$2:$Z$200,$G137)&gt;0,
     COUNTIFS($AA$2:$AA$200,$G137)&gt;0,
     COUNTIFS($AB$2:$AB$200,$G137)&gt;0,
     COUNTIFS($AC$2:$AC$200,$G137)&gt;0,
     COUNTIFS($AD$2:$AD$200,$G137)&gt;0,
     COUNTIFS($AE$2:$AE$200,$G137)&gt;0,
     COUNTIFS($AF$2:$AF$200,$G137)&gt;0,
     COUNTIFS($AG$2:$AG$200,$G137)&gt;0,
     COUNTIFS($AH$2:$AH$200,$G137)&gt;0,
     COUNTIFS($AI$2:$AI$200,$G137)&gt;0,
     COUNTIFS($AJ$2:$AJ$200,$G137)&gt;0,
     COUNTIFS($AK$2:$AK$200,$G137)&gt;0,
     COUNTIFS($AL$2:$AL$200,$G137)&gt;0,
     COUNTIFS($AM$2:$AM$200,$G137)&gt;0,
     COUNTIFS($AN$2:$AN$200,$G137)&gt;0,
     COUNTIFS($AO$2:$AO$200,$G137)&gt;0,
     COUNTIFS($AP$2:$AP$200,$G137)&gt;0,
     COUNTIFS($AQ$2:$AQ$200,$G137)&gt;0,
     COUNTIFS($AR$2:$AR$200,$G137)&gt;0,
     COUNTIFS($AS$2:$AS$200,$G137)&gt;0,
     COUNTIFS($AT$2:$AT$200,$G137)&gt;0,
     COUNTIFS($AU$2:$AU$200,$G137)&gt;0,
     COUNTIFS($AV$2:$AV$200,$G137)&gt;0,
     COUNTIFS($AW$2:$AW$200,$G137)&gt;0,
     COUNTIFS($AX$2:$AX$200,$G137)&gt;0,
     COUNTIFS($AY$2:$AY$200,$G137)&gt;0
   )),
  ),
  4
 ),
"")</f>
        <v/>
      </c>
      <c r="G137" t="str">
        <f ca="1"/>
        <v>Eclipsed Realms</v>
      </c>
      <c r="DZ137" t="str">
        <f ca="1"/>
        <v>Witherbloom Apprentice</v>
      </c>
      <c r="EI137" t="str">
        <f ca="1"/>
        <v>Watery Grave</v>
      </c>
      <c r="EL137" t="str">
        <f ca="1"/>
        <v>Witherbloom Apprentice</v>
      </c>
      <c r="EP137" t="str">
        <f ca="1"/>
        <v>Seedborn Muse</v>
      </c>
      <c r="EQ137" t="str">
        <f ca="1"/>
        <v>Serrated Biskelion</v>
      </c>
      <c r="ER137" t="str">
        <f ca="1"/>
        <v>Propaganda</v>
      </c>
      <c r="EU137" t="str">
        <f ca="1"/>
        <v>Hibernation Sliver</v>
      </c>
      <c r="EV137" t="str">
        <f ca="1"/>
        <v>Propaganda</v>
      </c>
      <c r="EX137" t="str">
        <f ca="1"/>
        <v>Eclipsed Realms</v>
      </c>
    </row>
    <row r="138" spans="1:154" x14ac:dyDescent="0.25">
      <c r="A138" s="2" t="str">
        <f t="shared" ca="1" si="10"/>
        <v>5</v>
      </c>
      <c r="B138" s="2">
        <f t="shared" ca="1" si="11"/>
        <v>1</v>
      </c>
      <c r="C138" s="2" t="str">
        <f ca="1">IFERROR(
 INDEX($V$1:$BL$1,
  MATCH(TRUE,
   CHOOSE({1;2;3;4;5;6;7;8;9;10;11;12;13;14;15;16;17;18;19;20;21;22;23;24;25;26;27;28;29;30;31;32;33;34;35;36;37;38;39;40;41;42;43},
    COUNTIFS($V$2:$V$200,$G138)&gt;0,
    COUNTIFS($W$2:$W$200,$G138)&gt;0,
    COUNTIFS($X$2:$X$200,$G138)&gt;0,
    COUNTIFS($Y$2:$Y$200,$G138)&gt;0,
    COUNTIFS($Z$2:$Z$200,$G138)&gt;0,
    COUNTIFS($AA$2:$AA$200,$G138)&gt;0,
    COUNTIFS($AB$2:$AB$200,$G138)&gt;0,
    COUNTIFS($AC$2:$AC$200,$G138)&gt;0,
    COUNTIFS($AD$2:$AD$200,$G138)&gt;0,
    COUNTIFS($AE$2:$AE$200,$G138)&gt;0,
    COUNTIFS($AF$2:$AF$200,$G138)&gt;0,
    COUNTIFS($AG$2:$AG$200,$G138)&gt;0,
    COUNTIFS($AH$2:$AH$200,$G138)&gt;0,
    COUNTIFS($AI$2:$AI$200,$G138)&gt;0,
    COUNTIFS($AJ$2:$AJ$200,$G138)&gt;0,
    COUNTIFS($AK$2:$AK$200,$G138)&gt;0,
    COUNTIFS($AL$2:$AL$200,$G138)&gt;0,
    COUNTIFS($AM$2:$AM$200,$G138)&gt;0,
    COUNTIFS($AN$2:$AN$200,$G138)&gt;0,
    COUNTIFS($AO$2:$AO$200,$G138)&gt;0,
    COUNTIFS($AP$2:$AP$200,$G138)&gt;0,
    COUNTIFS($AQ$2:$AQ$200,$G138)&gt;0,
    COUNTIFS($AR$2:$AR$200,$G138)&gt;0,
    COUNTIFS($AS$2:$AS$200,$G138)&gt;0,
    COUNTIFS($AT$2:$AT$200,$G138)&gt;0,
    COUNTIFS($AU$2:$AU$200,$G138)&gt;0,
    COUNTIFS($AV$2:$AV$200,$G138)&gt;0,
    COUNTIFS($AW$2:$AW$200,$G138)&gt;0,
    COUNTIFS($AX$2:$AX$200,$G138)&gt;0,
    COUNTIFS($AY$2:$AY$200,$G138)&gt;0,
    COUNTIFS($AZ$2:$AZ$200,$G138)&gt;0,
    COUNTIFS($BA$2:$BA$200,$G138)&gt;0,
    COUNTIFS($BB$2:$BB$200,$G138)&gt;0,
    COUNTIFS($BC$2:$BC$200,$G138)&gt;0,
    COUNTIFS($BD$2:$BD$200,$G138)&gt;0,
    COUNTIFS($BE$2:$BE$200,$G138)&gt;0,
    COUNTIFS($BF$2:$BF$200,$G138)&gt;0,
    COUNTIFS($BG$2:$BG$200,$G138)&gt;0,
    COUNTIFS($BH$2:$BH$200,$G138)&gt;0,
    COUNTIFS($BI$2:$BI$200,$G138)&gt;0,
    COUNTIFS($BJ$2:$BJ$200,$G138)&gt;0,
    COUNTIFS($BK$2:$BK$200,$G138)&gt;0,
    COUNTIFS($BL$2:$BL$200,$G138)&gt;0,
    COUNTIFS($BM$2:$BM$200,$G138)&gt;0,
   ),
  0)
 ),
"")</f>
        <v>Zuko</v>
      </c>
      <c r="D138" s="2" t="str" cm="1">
        <f t="array" aca="1" ref="D138" ca="1">IFERROR(
 INDEX(
  _xlfn._xlws.FILTER($V$1:$AY$1,
   TRANSPOSE(
    CHOOSE({1;2;3;4;5;6;7;8;9;10;11;12;13;14;15;16;17;18;19;20;21;22;23;24;25;26;27;28;29;30},
     COUNTIFS($V$2:$V$200,$G138)&gt;0,
     COUNTIFS($W$2:$W$200,$G138)&gt;0,
     COUNTIFS($X$2:$X$200,$G138)&gt;0,
     COUNTIFS($Y$2:$Y$200,$G138)&gt;0,
     COUNTIFS($Z$2:$Z$200,$G138)&gt;0,
     COUNTIFS($AA$2:$AA$200,$G138)&gt;0,
     COUNTIFS($AB$2:$AB$200,$G138)&gt;0,
     COUNTIFS($AC$2:$AC$200,$G138)&gt;0,
     COUNTIFS($AD$2:$AD$200,$G138)&gt;0,
     COUNTIFS($AE$2:$AE$200,$G138)&gt;0,
     COUNTIFS($AF$2:$AF$200,$G138)&gt;0,
     COUNTIFS($AG$2:$AG$200,$G138)&gt;0,
     COUNTIFS($AH$2:$AH$200,$G138)&gt;0,
     COUNTIFS($AI$2:$AI$200,$G138)&gt;0,
     COUNTIFS($AJ$2:$AJ$200,$G138)&gt;0,
     COUNTIFS($AK$2:$AK$200,$G138)&gt;0,
     COUNTIFS($AL$2:$AL$200,$G138)&gt;0,
     COUNTIFS($AM$2:$AM$200,$G138)&gt;0,
     COUNTIFS($AN$2:$AN$200,$G138)&gt;0,
     COUNTIFS($AO$2:$AO$200,$G138)&gt;0,
     COUNTIFS($AP$2:$AP$200,$G138)&gt;0,
     COUNTIFS($AQ$2:$AQ$200,$G138)&gt;0,
     COUNTIFS($AR$2:$AR$200,$G138)&gt;0,
     COUNTIFS($AS$2:$AS$200,$G138)&gt;0,
     COUNTIFS($AT$2:$AT$200,$G138)&gt;0,
     COUNTIFS($AU$2:$AU$200,$G138)&gt;0,
     COUNTIFS($AV$2:$AV$200,$G138)&gt;0,
     COUNTIFS($AW$2:$AW$200,$G138)&gt;0,
     COUNTIFS($AX$2:$AX$200,$G138)&gt;0,
     COUNTIFS($AY$2:$AY$200,$G138)&gt;0
   )),
  ),
  2
 ),
"")</f>
        <v/>
      </c>
      <c r="E138" s="2" t="str" cm="1">
        <f t="array" aca="1" ref="E138" ca="1">IFERROR(
 INDEX(
  _xlfn._xlws.FILTER($V$1:$AY$1,
   TRANSPOSE(
    CHOOSE({1;2;3;4;5;6;7;8;9;10;11;12;13;14;15;16;17;18;19;20;21;22;23;24;25;26;27;28;29;30},
     COUNTIFS($V$2:$V$200,$G138)&gt;0,
     COUNTIFS($W$2:$W$200,$G138)&gt;0,
     COUNTIFS($X$2:$X$200,$G138)&gt;0,
     COUNTIFS($Y$2:$Y$200,$G138)&gt;0,
     COUNTIFS($Z$2:$Z$200,$G138)&gt;0,
     COUNTIFS($AA$2:$AA$200,$G138)&gt;0,
     COUNTIFS($AB$2:$AB$200,$G138)&gt;0,
     COUNTIFS($AC$2:$AC$200,$G138)&gt;0,
     COUNTIFS($AD$2:$AD$200,$G138)&gt;0,
     COUNTIFS($AE$2:$AE$200,$G138)&gt;0,
     COUNTIFS($AF$2:$AF$200,$G138)&gt;0,
     COUNTIFS($AG$2:$AG$200,$G138)&gt;0,
     COUNTIFS($AH$2:$AH$200,$G138)&gt;0,
     COUNTIFS($AI$2:$AI$200,$G138)&gt;0,
     COUNTIFS($AJ$2:$AJ$200,$G138)&gt;0,
     COUNTIFS($AK$2:$AK$200,$G138)&gt;0,
     COUNTIFS($AL$2:$AL$200,$G138)&gt;0,
     COUNTIFS($AM$2:$AM$200,$G138)&gt;0,
     COUNTIFS($AN$2:$AN$200,$G138)&gt;0,
     COUNTIFS($AO$2:$AO$200,$G138)&gt;0,
     COUNTIFS($AP$2:$AP$200,$G138)&gt;0,
     COUNTIFS($AQ$2:$AQ$200,$G138)&gt;0,
     COUNTIFS($AR$2:$AR$200,$G138)&gt;0,
     COUNTIFS($AS$2:$AS$200,$G138)&gt;0,
     COUNTIFS($AT$2:$AT$200,$G138)&gt;0,
     COUNTIFS($AU$2:$AU$200,$G138)&gt;0,
     COUNTIFS($AV$2:$AV$200,$G138)&gt;0,
     COUNTIFS($AW$2:$AW$200,$G138)&gt;0,
     COUNTIFS($AX$2:$AX$200,$G138)&gt;0,
     COUNTIFS($AY$2:$AY$200,$G138)&gt;0
   )),
  ),
  3
 ),
"")</f>
        <v/>
      </c>
      <c r="F138" s="2" t="str" cm="1">
        <f t="array" aca="1" ref="F138" ca="1">IFERROR(
 INDEX(
  _xlfn._xlws.FILTER($V$1:$AY$1,
   TRANSPOSE(
    CHOOSE({1;2;3;4;5;6;7;8;9;10;11;12;13;14;15;16;17;18;19;20;21;22;23;24;25;26;27;28;29;30},
     COUNTIFS($V$2:$V$200,$G138)&gt;0,
     COUNTIFS($W$2:$W$200,$G138)&gt;0,
     COUNTIFS($X$2:$X$200,$G138)&gt;0,
     COUNTIFS($Y$2:$Y$200,$G138)&gt;0,
     COUNTIFS($Z$2:$Z$200,$G138)&gt;0,
     COUNTIFS($AA$2:$AA$200,$G138)&gt;0,
     COUNTIFS($AB$2:$AB$200,$G138)&gt;0,
     COUNTIFS($AC$2:$AC$200,$G138)&gt;0,
     COUNTIFS($AD$2:$AD$200,$G138)&gt;0,
     COUNTIFS($AE$2:$AE$200,$G138)&gt;0,
     COUNTIFS($AF$2:$AF$200,$G138)&gt;0,
     COUNTIFS($AG$2:$AG$200,$G138)&gt;0,
     COUNTIFS($AH$2:$AH$200,$G138)&gt;0,
     COUNTIFS($AI$2:$AI$200,$G138)&gt;0,
     COUNTIFS($AJ$2:$AJ$200,$G138)&gt;0,
     COUNTIFS($AK$2:$AK$200,$G138)&gt;0,
     COUNTIFS($AL$2:$AL$200,$G138)&gt;0,
     COUNTIFS($AM$2:$AM$200,$G138)&gt;0,
     COUNTIFS($AN$2:$AN$200,$G138)&gt;0,
     COUNTIFS($AO$2:$AO$200,$G138)&gt;0,
     COUNTIFS($AP$2:$AP$200,$G138)&gt;0,
     COUNTIFS($AQ$2:$AQ$200,$G138)&gt;0,
     COUNTIFS($AR$2:$AR$200,$G138)&gt;0,
     COUNTIFS($AS$2:$AS$200,$G138)&gt;0,
     COUNTIFS($AT$2:$AT$200,$G138)&gt;0,
     COUNTIFS($AU$2:$AU$200,$G138)&gt;0,
     COUNTIFS($AV$2:$AV$200,$G138)&gt;0,
     COUNTIFS($AW$2:$AW$200,$G138)&gt;0,
     COUNTIFS($AX$2:$AX$200,$G138)&gt;0,
     COUNTIFS($AY$2:$AY$200,$G138)&gt;0
   )),
  ),
  4
 ),
"")</f>
        <v/>
      </c>
      <c r="G138" t="str">
        <f ca="1"/>
        <v>Eight-and-a-Half-Tails</v>
      </c>
      <c r="DZ138" t="str">
        <f ca="1"/>
        <v>Within Range</v>
      </c>
      <c r="EI138" t="str">
        <f ca="1"/>
        <v>Winged Sliver</v>
      </c>
      <c r="EL138" t="str">
        <f ca="1"/>
        <v>Within Range</v>
      </c>
      <c r="EP138" t="str">
        <f ca="1"/>
        <v>Shizo, Death's Storehouse</v>
      </c>
      <c r="EQ138" t="str">
        <f ca="1"/>
        <v>Shifting Sliver</v>
      </c>
      <c r="ER138" t="str">
        <f ca="1"/>
        <v>Prosper, Tome-Bound</v>
      </c>
      <c r="EU138" t="str">
        <f ca="1"/>
        <v>Hollowhead Sliver</v>
      </c>
      <c r="EV138" t="str">
        <f ca="1"/>
        <v>Prosper, Tome-Bound</v>
      </c>
      <c r="EX138" t="str">
        <f ca="1"/>
        <v>Eight-and-a-Half-Tails</v>
      </c>
    </row>
    <row r="139" spans="1:154" x14ac:dyDescent="0.25">
      <c r="A139" s="2" t="str">
        <f t="shared" ca="1" si="10"/>
        <v>5</v>
      </c>
      <c r="B139" s="2">
        <f t="shared" ca="1" si="11"/>
        <v>1</v>
      </c>
      <c r="C139" s="2" t="str">
        <f ca="1">IFERROR(
 INDEX($V$1:$BL$1,
  MATCH(TRUE,
   CHOOSE({1;2;3;4;5;6;7;8;9;10;11;12;13;14;15;16;17;18;19;20;21;22;23;24;25;26;27;28;29;30;31;32;33;34;35;36;37;38;39;40;41;42;43},
    COUNTIFS($V$2:$V$200,$G139)&gt;0,
    COUNTIFS($W$2:$W$200,$G139)&gt;0,
    COUNTIFS($X$2:$X$200,$G139)&gt;0,
    COUNTIFS($Y$2:$Y$200,$G139)&gt;0,
    COUNTIFS($Z$2:$Z$200,$G139)&gt;0,
    COUNTIFS($AA$2:$AA$200,$G139)&gt;0,
    COUNTIFS($AB$2:$AB$200,$G139)&gt;0,
    COUNTIFS($AC$2:$AC$200,$G139)&gt;0,
    COUNTIFS($AD$2:$AD$200,$G139)&gt;0,
    COUNTIFS($AE$2:$AE$200,$G139)&gt;0,
    COUNTIFS($AF$2:$AF$200,$G139)&gt;0,
    COUNTIFS($AG$2:$AG$200,$G139)&gt;0,
    COUNTIFS($AH$2:$AH$200,$G139)&gt;0,
    COUNTIFS($AI$2:$AI$200,$G139)&gt;0,
    COUNTIFS($AJ$2:$AJ$200,$G139)&gt;0,
    COUNTIFS($AK$2:$AK$200,$G139)&gt;0,
    COUNTIFS($AL$2:$AL$200,$G139)&gt;0,
    COUNTIFS($AM$2:$AM$200,$G139)&gt;0,
    COUNTIFS($AN$2:$AN$200,$G139)&gt;0,
    COUNTIFS($AO$2:$AO$200,$G139)&gt;0,
    COUNTIFS($AP$2:$AP$200,$G139)&gt;0,
    COUNTIFS($AQ$2:$AQ$200,$G139)&gt;0,
    COUNTIFS($AR$2:$AR$200,$G139)&gt;0,
    COUNTIFS($AS$2:$AS$200,$G139)&gt;0,
    COUNTIFS($AT$2:$AT$200,$G139)&gt;0,
    COUNTIFS($AU$2:$AU$200,$G139)&gt;0,
    COUNTIFS($AV$2:$AV$200,$G139)&gt;0,
    COUNTIFS($AW$2:$AW$200,$G139)&gt;0,
    COUNTIFS($AX$2:$AX$200,$G139)&gt;0,
    COUNTIFS($AY$2:$AY$200,$G139)&gt;0,
    COUNTIFS($AZ$2:$AZ$200,$G139)&gt;0,
    COUNTIFS($BA$2:$BA$200,$G139)&gt;0,
    COUNTIFS($BB$2:$BB$200,$G139)&gt;0,
    COUNTIFS($BC$2:$BC$200,$G139)&gt;0,
    COUNTIFS($BD$2:$BD$200,$G139)&gt;0,
    COUNTIFS($BE$2:$BE$200,$G139)&gt;0,
    COUNTIFS($BF$2:$BF$200,$G139)&gt;0,
    COUNTIFS($BG$2:$BG$200,$G139)&gt;0,
    COUNTIFS($BH$2:$BH$200,$G139)&gt;0,
    COUNTIFS($BI$2:$BI$200,$G139)&gt;0,
    COUNTIFS($BJ$2:$BJ$200,$G139)&gt;0,
    COUNTIFS($BK$2:$BK$200,$G139)&gt;0,
    COUNTIFS($BL$2:$BL$200,$G139)&gt;0,
    COUNTIFS($BM$2:$BM$200,$G139)&gt;0,
   ),
  0)
 ),
"")</f>
        <v>Fractius</v>
      </c>
      <c r="D139" s="2" t="str" cm="1">
        <f t="array" aca="1" ref="D139" ca="1">IFERROR(
 INDEX(
  _xlfn._xlws.FILTER($V$1:$AY$1,
   TRANSPOSE(
    CHOOSE({1;2;3;4;5;6;7;8;9;10;11;12;13;14;15;16;17;18;19;20;21;22;23;24;25;26;27;28;29;30},
     COUNTIFS($V$2:$V$200,$G139)&gt;0,
     COUNTIFS($W$2:$W$200,$G139)&gt;0,
     COUNTIFS($X$2:$X$200,$G139)&gt;0,
     COUNTIFS($Y$2:$Y$200,$G139)&gt;0,
     COUNTIFS($Z$2:$Z$200,$G139)&gt;0,
     COUNTIFS($AA$2:$AA$200,$G139)&gt;0,
     COUNTIFS($AB$2:$AB$200,$G139)&gt;0,
     COUNTIFS($AC$2:$AC$200,$G139)&gt;0,
     COUNTIFS($AD$2:$AD$200,$G139)&gt;0,
     COUNTIFS($AE$2:$AE$200,$G139)&gt;0,
     COUNTIFS($AF$2:$AF$200,$G139)&gt;0,
     COUNTIFS($AG$2:$AG$200,$G139)&gt;0,
     COUNTIFS($AH$2:$AH$200,$G139)&gt;0,
     COUNTIFS($AI$2:$AI$200,$G139)&gt;0,
     COUNTIFS($AJ$2:$AJ$200,$G139)&gt;0,
     COUNTIFS($AK$2:$AK$200,$G139)&gt;0,
     COUNTIFS($AL$2:$AL$200,$G139)&gt;0,
     COUNTIFS($AM$2:$AM$200,$G139)&gt;0,
     COUNTIFS($AN$2:$AN$200,$G139)&gt;0,
     COUNTIFS($AO$2:$AO$200,$G139)&gt;0,
     COUNTIFS($AP$2:$AP$200,$G139)&gt;0,
     COUNTIFS($AQ$2:$AQ$200,$G139)&gt;0,
     COUNTIFS($AR$2:$AR$200,$G139)&gt;0,
     COUNTIFS($AS$2:$AS$200,$G139)&gt;0,
     COUNTIFS($AT$2:$AT$200,$G139)&gt;0,
     COUNTIFS($AU$2:$AU$200,$G139)&gt;0,
     COUNTIFS($AV$2:$AV$200,$G139)&gt;0,
     COUNTIFS($AW$2:$AW$200,$G139)&gt;0,
     COUNTIFS($AX$2:$AX$200,$G139)&gt;0,
     COUNTIFS($AY$2:$AY$200,$G139)&gt;0
   )),
  ),
  2
 ),
"")</f>
        <v/>
      </c>
      <c r="E139" s="2" t="str" cm="1">
        <f t="array" aca="1" ref="E139" ca="1">IFERROR(
 INDEX(
  _xlfn._xlws.FILTER($V$1:$AY$1,
   TRANSPOSE(
    CHOOSE({1;2;3;4;5;6;7;8;9;10;11;12;13;14;15;16;17;18;19;20;21;22;23;24;25;26;27;28;29;30},
     COUNTIFS($V$2:$V$200,$G139)&gt;0,
     COUNTIFS($W$2:$W$200,$G139)&gt;0,
     COUNTIFS($X$2:$X$200,$G139)&gt;0,
     COUNTIFS($Y$2:$Y$200,$G139)&gt;0,
     COUNTIFS($Z$2:$Z$200,$G139)&gt;0,
     COUNTIFS($AA$2:$AA$200,$G139)&gt;0,
     COUNTIFS($AB$2:$AB$200,$G139)&gt;0,
     COUNTIFS($AC$2:$AC$200,$G139)&gt;0,
     COUNTIFS($AD$2:$AD$200,$G139)&gt;0,
     COUNTIFS($AE$2:$AE$200,$G139)&gt;0,
     COUNTIFS($AF$2:$AF$200,$G139)&gt;0,
     COUNTIFS($AG$2:$AG$200,$G139)&gt;0,
     COUNTIFS($AH$2:$AH$200,$G139)&gt;0,
     COUNTIFS($AI$2:$AI$200,$G139)&gt;0,
     COUNTIFS($AJ$2:$AJ$200,$G139)&gt;0,
     COUNTIFS($AK$2:$AK$200,$G139)&gt;0,
     COUNTIFS($AL$2:$AL$200,$G139)&gt;0,
     COUNTIFS($AM$2:$AM$200,$G139)&gt;0,
     COUNTIFS($AN$2:$AN$200,$G139)&gt;0,
     COUNTIFS($AO$2:$AO$200,$G139)&gt;0,
     COUNTIFS($AP$2:$AP$200,$G139)&gt;0,
     COUNTIFS($AQ$2:$AQ$200,$G139)&gt;0,
     COUNTIFS($AR$2:$AR$200,$G139)&gt;0,
     COUNTIFS($AS$2:$AS$200,$G139)&gt;0,
     COUNTIFS($AT$2:$AT$200,$G139)&gt;0,
     COUNTIFS($AU$2:$AU$200,$G139)&gt;0,
     COUNTIFS($AV$2:$AV$200,$G139)&gt;0,
     COUNTIFS($AW$2:$AW$200,$G139)&gt;0,
     COUNTIFS($AX$2:$AX$200,$G139)&gt;0,
     COUNTIFS($AY$2:$AY$200,$G139)&gt;0
   )),
  ),
  3
 ),
"")</f>
        <v/>
      </c>
      <c r="F139" s="2" t="str" cm="1">
        <f t="array" aca="1" ref="F139" ca="1">IFERROR(
 INDEX(
  _xlfn._xlws.FILTER($V$1:$AY$1,
   TRANSPOSE(
    CHOOSE({1;2;3;4;5;6;7;8;9;10;11;12;13;14;15;16;17;18;19;20;21;22;23;24;25;26;27;28;29;30},
     COUNTIFS($V$2:$V$200,$G139)&gt;0,
     COUNTIFS($W$2:$W$200,$G139)&gt;0,
     COUNTIFS($X$2:$X$200,$G139)&gt;0,
     COUNTIFS($Y$2:$Y$200,$G139)&gt;0,
     COUNTIFS($Z$2:$Z$200,$G139)&gt;0,
     COUNTIFS($AA$2:$AA$200,$G139)&gt;0,
     COUNTIFS($AB$2:$AB$200,$G139)&gt;0,
     COUNTIFS($AC$2:$AC$200,$G139)&gt;0,
     COUNTIFS($AD$2:$AD$200,$G139)&gt;0,
     COUNTIFS($AE$2:$AE$200,$G139)&gt;0,
     COUNTIFS($AF$2:$AF$200,$G139)&gt;0,
     COUNTIFS($AG$2:$AG$200,$G139)&gt;0,
     COUNTIFS($AH$2:$AH$200,$G139)&gt;0,
     COUNTIFS($AI$2:$AI$200,$G139)&gt;0,
     COUNTIFS($AJ$2:$AJ$200,$G139)&gt;0,
     COUNTIFS($AK$2:$AK$200,$G139)&gt;0,
     COUNTIFS($AL$2:$AL$200,$G139)&gt;0,
     COUNTIFS($AM$2:$AM$200,$G139)&gt;0,
     COUNTIFS($AN$2:$AN$200,$G139)&gt;0,
     COUNTIFS($AO$2:$AO$200,$G139)&gt;0,
     COUNTIFS($AP$2:$AP$200,$G139)&gt;0,
     COUNTIFS($AQ$2:$AQ$200,$G139)&gt;0,
     COUNTIFS($AR$2:$AR$200,$G139)&gt;0,
     COUNTIFS($AS$2:$AS$200,$G139)&gt;0,
     COUNTIFS($AT$2:$AT$200,$G139)&gt;0,
     COUNTIFS($AU$2:$AU$200,$G139)&gt;0,
     COUNTIFS($AV$2:$AV$200,$G139)&gt;0,
     COUNTIFS($AW$2:$AW$200,$G139)&gt;0,
     COUNTIFS($AX$2:$AX$200,$G139)&gt;0,
     COUNTIFS($AY$2:$AY$200,$G139)&gt;0
   )),
  ),
  4
 ),
"")</f>
        <v/>
      </c>
      <c r="G139" t="str">
        <f ca="1"/>
        <v>Eladamri's Call</v>
      </c>
      <c r="DZ139" t="str">
        <f ca="1"/>
        <v>Woodland Cemetery</v>
      </c>
      <c r="EI139" t="str">
        <f ca="1"/>
        <v>Xander's Lounge</v>
      </c>
      <c r="EL139" t="str">
        <f ca="1"/>
        <v>Woodland Cemetery</v>
      </c>
      <c r="EP139" t="str">
        <f ca="1"/>
        <v>Shoot the Sheriff</v>
      </c>
      <c r="EQ139" t="str">
        <f ca="1"/>
        <v>Signal the Clans</v>
      </c>
      <c r="ER139" t="str">
        <f ca="1"/>
        <v>Pyrohemia</v>
      </c>
      <c r="EU139" t="str">
        <f ca="1"/>
        <v>Homeward Path</v>
      </c>
      <c r="EV139" t="str">
        <f ca="1"/>
        <v>Pyrohemia</v>
      </c>
      <c r="EX139" t="str">
        <f ca="1"/>
        <v>Eladamri's Call</v>
      </c>
    </row>
    <row r="140" spans="1:154" x14ac:dyDescent="0.25">
      <c r="A140" s="2" t="str">
        <f t="shared" ca="1" si="10"/>
        <v>2</v>
      </c>
      <c r="B140" s="2">
        <f t="shared" ca="1" si="11"/>
        <v>2</v>
      </c>
      <c r="C140" s="2" t="str">
        <f ca="1">IFERROR(
 INDEX($V$1:$BL$1,
  MATCH(TRUE,
   CHOOSE({1;2;3;4;5;6;7;8;9;10;11;12;13;14;15;16;17;18;19;20;21;22;23;24;25;26;27;28;29;30;31;32;33;34;35;36;37;38;39;40;41;42;43},
    COUNTIFS($V$2:$V$200,$G140)&gt;0,
    COUNTIFS($W$2:$W$200,$G140)&gt;0,
    COUNTIFS($X$2:$X$200,$G140)&gt;0,
    COUNTIFS($Y$2:$Y$200,$G140)&gt;0,
    COUNTIFS($Z$2:$Z$200,$G140)&gt;0,
    COUNTIFS($AA$2:$AA$200,$G140)&gt;0,
    COUNTIFS($AB$2:$AB$200,$G140)&gt;0,
    COUNTIFS($AC$2:$AC$200,$G140)&gt;0,
    COUNTIFS($AD$2:$AD$200,$G140)&gt;0,
    COUNTIFS($AE$2:$AE$200,$G140)&gt;0,
    COUNTIFS($AF$2:$AF$200,$G140)&gt;0,
    COUNTIFS($AG$2:$AG$200,$G140)&gt;0,
    COUNTIFS($AH$2:$AH$200,$G140)&gt;0,
    COUNTIFS($AI$2:$AI$200,$G140)&gt;0,
    COUNTIFS($AJ$2:$AJ$200,$G140)&gt;0,
    COUNTIFS($AK$2:$AK$200,$G140)&gt;0,
    COUNTIFS($AL$2:$AL$200,$G140)&gt;0,
    COUNTIFS($AM$2:$AM$200,$G140)&gt;0,
    COUNTIFS($AN$2:$AN$200,$G140)&gt;0,
    COUNTIFS($AO$2:$AO$200,$G140)&gt;0,
    COUNTIFS($AP$2:$AP$200,$G140)&gt;0,
    COUNTIFS($AQ$2:$AQ$200,$G140)&gt;0,
    COUNTIFS($AR$2:$AR$200,$G140)&gt;0,
    COUNTIFS($AS$2:$AS$200,$G140)&gt;0,
    COUNTIFS($AT$2:$AT$200,$G140)&gt;0,
    COUNTIFS($AU$2:$AU$200,$G140)&gt;0,
    COUNTIFS($AV$2:$AV$200,$G140)&gt;0,
    COUNTIFS($AW$2:$AW$200,$G140)&gt;0,
    COUNTIFS($AX$2:$AX$200,$G140)&gt;0,
    COUNTIFS($AY$2:$AY$200,$G140)&gt;0,
    COUNTIFS($AZ$2:$AZ$200,$G140)&gt;0,
    COUNTIFS($BA$2:$BA$200,$G140)&gt;0,
    COUNTIFS($BB$2:$BB$200,$G140)&gt;0,
    COUNTIFS($BC$2:$BC$200,$G140)&gt;0,
    COUNTIFS($BD$2:$BD$200,$G140)&gt;0,
    COUNTIFS($BE$2:$BE$200,$G140)&gt;0,
    COUNTIFS($BF$2:$BF$200,$G140)&gt;0,
    COUNTIFS($BG$2:$BG$200,$G140)&gt;0,
    COUNTIFS($BH$2:$BH$200,$G140)&gt;0,
    COUNTIFS($BI$2:$BI$200,$G140)&gt;0,
    COUNTIFS($BJ$2:$BJ$200,$G140)&gt;0,
    COUNTIFS($BK$2:$BK$200,$G140)&gt;0,
    COUNTIFS($BL$2:$BL$200,$G140)&gt;0,
    COUNTIFS($BM$2:$BM$200,$G140)&gt;0,
   ),
  0)
 ),
"")</f>
        <v>Sisay</v>
      </c>
      <c r="D140" s="2" t="str" cm="1">
        <f t="array" aca="1" ref="D140" ca="1">IFERROR(
 INDEX(
  _xlfn._xlws.FILTER($V$1:$AY$1,
   TRANSPOSE(
    CHOOSE({1;2;3;4;5;6;7;8;9;10;11;12;13;14;15;16;17;18;19;20;21;22;23;24;25;26;27;28;29;30},
     COUNTIFS($V$2:$V$200,$G140)&gt;0,
     COUNTIFS($W$2:$W$200,$G140)&gt;0,
     COUNTIFS($X$2:$X$200,$G140)&gt;0,
     COUNTIFS($Y$2:$Y$200,$G140)&gt;0,
     COUNTIFS($Z$2:$Z$200,$G140)&gt;0,
     COUNTIFS($AA$2:$AA$200,$G140)&gt;0,
     COUNTIFS($AB$2:$AB$200,$G140)&gt;0,
     COUNTIFS($AC$2:$AC$200,$G140)&gt;0,
     COUNTIFS($AD$2:$AD$200,$G140)&gt;0,
     COUNTIFS($AE$2:$AE$200,$G140)&gt;0,
     COUNTIFS($AF$2:$AF$200,$G140)&gt;0,
     COUNTIFS($AG$2:$AG$200,$G140)&gt;0,
     COUNTIFS($AH$2:$AH$200,$G140)&gt;0,
     COUNTIFS($AI$2:$AI$200,$G140)&gt;0,
     COUNTIFS($AJ$2:$AJ$200,$G140)&gt;0,
     COUNTIFS($AK$2:$AK$200,$G140)&gt;0,
     COUNTIFS($AL$2:$AL$200,$G140)&gt;0,
     COUNTIFS($AM$2:$AM$200,$G140)&gt;0,
     COUNTIFS($AN$2:$AN$200,$G140)&gt;0,
     COUNTIFS($AO$2:$AO$200,$G140)&gt;0,
     COUNTIFS($AP$2:$AP$200,$G140)&gt;0,
     COUNTIFS($AQ$2:$AQ$200,$G140)&gt;0,
     COUNTIFS($AR$2:$AR$200,$G140)&gt;0,
     COUNTIFS($AS$2:$AS$200,$G140)&gt;0,
     COUNTIFS($AT$2:$AT$200,$G140)&gt;0,
     COUNTIFS($AU$2:$AU$200,$G140)&gt;0,
     COUNTIFS($AV$2:$AV$200,$G140)&gt;0,
     COUNTIFS($AW$2:$AW$200,$G140)&gt;0,
     COUNTIFS($AX$2:$AX$200,$G140)&gt;0,
     COUNTIFS($AY$2:$AY$200,$G140)&gt;0
   )),
  ),
  2
 ),
"")</f>
        <v/>
      </c>
      <c r="E140" s="2" t="str" cm="1">
        <f t="array" aca="1" ref="E140" ca="1">IFERROR(
 INDEX(
  _xlfn._xlws.FILTER($V$1:$AY$1,
   TRANSPOSE(
    CHOOSE({1;2;3;4;5;6;7;8;9;10;11;12;13;14;15;16;17;18;19;20;21;22;23;24;25;26;27;28;29;30},
     COUNTIFS($V$2:$V$200,$G140)&gt;0,
     COUNTIFS($W$2:$W$200,$G140)&gt;0,
     COUNTIFS($X$2:$X$200,$G140)&gt;0,
     COUNTIFS($Y$2:$Y$200,$G140)&gt;0,
     COUNTIFS($Z$2:$Z$200,$G140)&gt;0,
     COUNTIFS($AA$2:$AA$200,$G140)&gt;0,
     COUNTIFS($AB$2:$AB$200,$G140)&gt;0,
     COUNTIFS($AC$2:$AC$200,$G140)&gt;0,
     COUNTIFS($AD$2:$AD$200,$G140)&gt;0,
     COUNTIFS($AE$2:$AE$200,$G140)&gt;0,
     COUNTIFS($AF$2:$AF$200,$G140)&gt;0,
     COUNTIFS($AG$2:$AG$200,$G140)&gt;0,
     COUNTIFS($AH$2:$AH$200,$G140)&gt;0,
     COUNTIFS($AI$2:$AI$200,$G140)&gt;0,
     COUNTIFS($AJ$2:$AJ$200,$G140)&gt;0,
     COUNTIFS($AK$2:$AK$200,$G140)&gt;0,
     COUNTIFS($AL$2:$AL$200,$G140)&gt;0,
     COUNTIFS($AM$2:$AM$200,$G140)&gt;0,
     COUNTIFS($AN$2:$AN$200,$G140)&gt;0,
     COUNTIFS($AO$2:$AO$200,$G140)&gt;0,
     COUNTIFS($AP$2:$AP$200,$G140)&gt;0,
     COUNTIFS($AQ$2:$AQ$200,$G140)&gt;0,
     COUNTIFS($AR$2:$AR$200,$G140)&gt;0,
     COUNTIFS($AS$2:$AS$200,$G140)&gt;0,
     COUNTIFS($AT$2:$AT$200,$G140)&gt;0,
     COUNTIFS($AU$2:$AU$200,$G140)&gt;0,
     COUNTIFS($AV$2:$AV$200,$G140)&gt;0,
     COUNTIFS($AW$2:$AW$200,$G140)&gt;0,
     COUNTIFS($AX$2:$AX$200,$G140)&gt;0,
     COUNTIFS($AY$2:$AY$200,$G140)&gt;0
   )),
  ),
  3
 ),
"")</f>
        <v/>
      </c>
      <c r="F140" s="2" t="str" cm="1">
        <f t="array" aca="1" ref="F140" ca="1">IFERROR(
 INDEX(
  _xlfn._xlws.FILTER($V$1:$AY$1,
   TRANSPOSE(
    CHOOSE({1;2;3;4;5;6;7;8;9;10;11;12;13;14;15;16;17;18;19;20;21;22;23;24;25;26;27;28;29;30},
     COUNTIFS($V$2:$V$200,$G140)&gt;0,
     COUNTIFS($W$2:$W$200,$G140)&gt;0,
     COUNTIFS($X$2:$X$200,$G140)&gt;0,
     COUNTIFS($Y$2:$Y$200,$G140)&gt;0,
     COUNTIFS($Z$2:$Z$200,$G140)&gt;0,
     COUNTIFS($AA$2:$AA$200,$G140)&gt;0,
     COUNTIFS($AB$2:$AB$200,$G140)&gt;0,
     COUNTIFS($AC$2:$AC$200,$G140)&gt;0,
     COUNTIFS($AD$2:$AD$200,$G140)&gt;0,
     COUNTIFS($AE$2:$AE$200,$G140)&gt;0,
     COUNTIFS($AF$2:$AF$200,$G140)&gt;0,
     COUNTIFS($AG$2:$AG$200,$G140)&gt;0,
     COUNTIFS($AH$2:$AH$200,$G140)&gt;0,
     COUNTIFS($AI$2:$AI$200,$G140)&gt;0,
     COUNTIFS($AJ$2:$AJ$200,$G140)&gt;0,
     COUNTIFS($AK$2:$AK$200,$G140)&gt;0,
     COUNTIFS($AL$2:$AL$200,$G140)&gt;0,
     COUNTIFS($AM$2:$AM$200,$G140)&gt;0,
     COUNTIFS($AN$2:$AN$200,$G140)&gt;0,
     COUNTIFS($AO$2:$AO$200,$G140)&gt;0,
     COUNTIFS($AP$2:$AP$200,$G140)&gt;0,
     COUNTIFS($AQ$2:$AQ$200,$G140)&gt;0,
     COUNTIFS($AR$2:$AR$200,$G140)&gt;0,
     COUNTIFS($AS$2:$AS$200,$G140)&gt;0,
     COUNTIFS($AT$2:$AT$200,$G140)&gt;0,
     COUNTIFS($AU$2:$AU$200,$G140)&gt;0,
     COUNTIFS($AV$2:$AV$200,$G140)&gt;0,
     COUNTIFS($AW$2:$AW$200,$G140)&gt;0,
     COUNTIFS($AX$2:$AX$200,$G140)&gt;0,
     COUNTIFS($AY$2:$AY$200,$G140)&gt;0
   )),
  ),
  4
 ),
"")</f>
        <v/>
      </c>
      <c r="G140" t="str">
        <f ca="1"/>
        <v>Elspeth, Sun's Champion</v>
      </c>
      <c r="DZ140" t="str">
        <f ca="1"/>
        <v>Zurgo Stormrender</v>
      </c>
      <c r="EI140" t="str">
        <f ca="1"/>
        <v>Zagoth Triome</v>
      </c>
      <c r="EL140" t="str">
        <f ca="1"/>
        <v>Zurgo Stormrender</v>
      </c>
      <c r="EP140" t="str">
        <f ca="1"/>
        <v>Slash the Ranks</v>
      </c>
      <c r="EQ140" t="str">
        <f ca="1"/>
        <v>Sinew Sliver</v>
      </c>
      <c r="ER140" t="str">
        <f ca="1"/>
        <v>Rabble Rousing</v>
      </c>
      <c r="EU140" t="str">
        <f ca="1"/>
        <v>Homing Sliver</v>
      </c>
      <c r="EV140" t="str">
        <f ca="1"/>
        <v>Rabble Rousing</v>
      </c>
      <c r="EX140" t="str">
        <f ca="1"/>
        <v>Elspeth, Sun's Champion</v>
      </c>
    </row>
    <row r="141" spans="1:154" x14ac:dyDescent="0.25">
      <c r="A141" s="2" t="str">
        <f t="shared" ca="1" si="10"/>
        <v>5</v>
      </c>
      <c r="B141" s="2">
        <f t="shared" ca="1" si="11"/>
        <v>1</v>
      </c>
      <c r="C141" s="2" t="str">
        <f ca="1">IFERROR(
 INDEX($V$1:$BL$1,
  MATCH(TRUE,
   CHOOSE({1;2;3;4;5;6;7;8;9;10;11;12;13;14;15;16;17;18;19;20;21;22;23;24;25;26;27;28;29;30;31;32;33;34;35;36;37;38;39;40;41;42;43},
    COUNTIFS($V$2:$V$200,$G141)&gt;0,
    COUNTIFS($W$2:$W$200,$G141)&gt;0,
    COUNTIFS($X$2:$X$200,$G141)&gt;0,
    COUNTIFS($Y$2:$Y$200,$G141)&gt;0,
    COUNTIFS($Z$2:$Z$200,$G141)&gt;0,
    COUNTIFS($AA$2:$AA$200,$G141)&gt;0,
    COUNTIFS($AB$2:$AB$200,$G141)&gt;0,
    COUNTIFS($AC$2:$AC$200,$G141)&gt;0,
    COUNTIFS($AD$2:$AD$200,$G141)&gt;0,
    COUNTIFS($AE$2:$AE$200,$G141)&gt;0,
    COUNTIFS($AF$2:$AF$200,$G141)&gt;0,
    COUNTIFS($AG$2:$AG$200,$G141)&gt;0,
    COUNTIFS($AH$2:$AH$200,$G141)&gt;0,
    COUNTIFS($AI$2:$AI$200,$G141)&gt;0,
    COUNTIFS($AJ$2:$AJ$200,$G141)&gt;0,
    COUNTIFS($AK$2:$AK$200,$G141)&gt;0,
    COUNTIFS($AL$2:$AL$200,$G141)&gt;0,
    COUNTIFS($AM$2:$AM$200,$G141)&gt;0,
    COUNTIFS($AN$2:$AN$200,$G141)&gt;0,
    COUNTIFS($AO$2:$AO$200,$G141)&gt;0,
    COUNTIFS($AP$2:$AP$200,$G141)&gt;0,
    COUNTIFS($AQ$2:$AQ$200,$G141)&gt;0,
    COUNTIFS($AR$2:$AR$200,$G141)&gt;0,
    COUNTIFS($AS$2:$AS$200,$G141)&gt;0,
    COUNTIFS($AT$2:$AT$200,$G141)&gt;0,
    COUNTIFS($AU$2:$AU$200,$G141)&gt;0,
    COUNTIFS($AV$2:$AV$200,$G141)&gt;0,
    COUNTIFS($AW$2:$AW$200,$G141)&gt;0,
    COUNTIFS($AX$2:$AX$200,$G141)&gt;0,
    COUNTIFS($AY$2:$AY$200,$G141)&gt;0,
    COUNTIFS($AZ$2:$AZ$200,$G141)&gt;0,
    COUNTIFS($BA$2:$BA$200,$G141)&gt;0,
    COUNTIFS($BB$2:$BB$200,$G141)&gt;0,
    COUNTIFS($BC$2:$BC$200,$G141)&gt;0,
    COUNTIFS($BD$2:$BD$200,$G141)&gt;0,
    COUNTIFS($BE$2:$BE$200,$G141)&gt;0,
    COUNTIFS($BF$2:$BF$200,$G141)&gt;0,
    COUNTIFS($BG$2:$BG$200,$G141)&gt;0,
    COUNTIFS($BH$2:$BH$200,$G141)&gt;0,
    COUNTIFS($BI$2:$BI$200,$G141)&gt;0,
    COUNTIFS($BJ$2:$BJ$200,$G141)&gt;0,
    COUNTIFS($BK$2:$BK$200,$G141)&gt;0,
    COUNTIFS($BL$2:$BL$200,$G141)&gt;0,
    COUNTIFS($BM$2:$BM$200,$G141)&gt;0,
   ),
  0)
 ),
"")</f>
        <v>Zuko</v>
      </c>
      <c r="D141" s="2" t="str" cm="1">
        <f t="array" aca="1" ref="D141" ca="1">IFERROR(
 INDEX(
  _xlfn._xlws.FILTER($V$1:$AY$1,
   TRANSPOSE(
    CHOOSE({1;2;3;4;5;6;7;8;9;10;11;12;13;14;15;16;17;18;19;20;21;22;23;24;25;26;27;28;29;30},
     COUNTIFS($V$2:$V$200,$G141)&gt;0,
     COUNTIFS($W$2:$W$200,$G141)&gt;0,
     COUNTIFS($X$2:$X$200,$G141)&gt;0,
     COUNTIFS($Y$2:$Y$200,$G141)&gt;0,
     COUNTIFS($Z$2:$Z$200,$G141)&gt;0,
     COUNTIFS($AA$2:$AA$200,$G141)&gt;0,
     COUNTIFS($AB$2:$AB$200,$G141)&gt;0,
     COUNTIFS($AC$2:$AC$200,$G141)&gt;0,
     COUNTIFS($AD$2:$AD$200,$G141)&gt;0,
     COUNTIFS($AE$2:$AE$200,$G141)&gt;0,
     COUNTIFS($AF$2:$AF$200,$G141)&gt;0,
     COUNTIFS($AG$2:$AG$200,$G141)&gt;0,
     COUNTIFS($AH$2:$AH$200,$G141)&gt;0,
     COUNTIFS($AI$2:$AI$200,$G141)&gt;0,
     COUNTIFS($AJ$2:$AJ$200,$G141)&gt;0,
     COUNTIFS($AK$2:$AK$200,$G141)&gt;0,
     COUNTIFS($AL$2:$AL$200,$G141)&gt;0,
     COUNTIFS($AM$2:$AM$200,$G141)&gt;0,
     COUNTIFS($AN$2:$AN$200,$G141)&gt;0,
     COUNTIFS($AO$2:$AO$200,$G141)&gt;0,
     COUNTIFS($AP$2:$AP$200,$G141)&gt;0,
     COUNTIFS($AQ$2:$AQ$200,$G141)&gt;0,
     COUNTIFS($AR$2:$AR$200,$G141)&gt;0,
     COUNTIFS($AS$2:$AS$200,$G141)&gt;0,
     COUNTIFS($AT$2:$AT$200,$G141)&gt;0,
     COUNTIFS($AU$2:$AU$200,$G141)&gt;0,
     COUNTIFS($AV$2:$AV$200,$G141)&gt;0,
     COUNTIFS($AW$2:$AW$200,$G141)&gt;0,
     COUNTIFS($AX$2:$AX$200,$G141)&gt;0,
     COUNTIFS($AY$2:$AY$200,$G141)&gt;0
   )),
  ),
  2
 ),
"")</f>
        <v/>
      </c>
      <c r="E141" s="2" t="str" cm="1">
        <f t="array" aca="1" ref="E141" ca="1">IFERROR(
 INDEX(
  _xlfn._xlws.FILTER($V$1:$AY$1,
   TRANSPOSE(
    CHOOSE({1;2;3;4;5;6;7;8;9;10;11;12;13;14;15;16;17;18;19;20;21;22;23;24;25;26;27;28;29;30},
     COUNTIFS($V$2:$V$200,$G141)&gt;0,
     COUNTIFS($W$2:$W$200,$G141)&gt;0,
     COUNTIFS($X$2:$X$200,$G141)&gt;0,
     COUNTIFS($Y$2:$Y$200,$G141)&gt;0,
     COUNTIFS($Z$2:$Z$200,$G141)&gt;0,
     COUNTIFS($AA$2:$AA$200,$G141)&gt;0,
     COUNTIFS($AB$2:$AB$200,$G141)&gt;0,
     COUNTIFS($AC$2:$AC$200,$G141)&gt;0,
     COUNTIFS($AD$2:$AD$200,$G141)&gt;0,
     COUNTIFS($AE$2:$AE$200,$G141)&gt;0,
     COUNTIFS($AF$2:$AF$200,$G141)&gt;0,
     COUNTIFS($AG$2:$AG$200,$G141)&gt;0,
     COUNTIFS($AH$2:$AH$200,$G141)&gt;0,
     COUNTIFS($AI$2:$AI$200,$G141)&gt;0,
     COUNTIFS($AJ$2:$AJ$200,$G141)&gt;0,
     COUNTIFS($AK$2:$AK$200,$G141)&gt;0,
     COUNTIFS($AL$2:$AL$200,$G141)&gt;0,
     COUNTIFS($AM$2:$AM$200,$G141)&gt;0,
     COUNTIFS($AN$2:$AN$200,$G141)&gt;0,
     COUNTIFS($AO$2:$AO$200,$G141)&gt;0,
     COUNTIFS($AP$2:$AP$200,$G141)&gt;0,
     COUNTIFS($AQ$2:$AQ$200,$G141)&gt;0,
     COUNTIFS($AR$2:$AR$200,$G141)&gt;0,
     COUNTIFS($AS$2:$AS$200,$G141)&gt;0,
     COUNTIFS($AT$2:$AT$200,$G141)&gt;0,
     COUNTIFS($AU$2:$AU$200,$G141)&gt;0,
     COUNTIFS($AV$2:$AV$200,$G141)&gt;0,
     COUNTIFS($AW$2:$AW$200,$G141)&gt;0,
     COUNTIFS($AX$2:$AX$200,$G141)&gt;0,
     COUNTIFS($AY$2:$AY$200,$G141)&gt;0
   )),
  ),
  3
 ),
"")</f>
        <v/>
      </c>
      <c r="F141" s="2" t="str" cm="1">
        <f t="array" aca="1" ref="F141" ca="1">IFERROR(
 INDEX(
  _xlfn._xlws.FILTER($V$1:$AY$1,
   TRANSPOSE(
    CHOOSE({1;2;3;4;5;6;7;8;9;10;11;12;13;14;15;16;17;18;19;20;21;22;23;24;25;26;27;28;29;30},
     COUNTIFS($V$2:$V$200,$G141)&gt;0,
     COUNTIFS($W$2:$W$200,$G141)&gt;0,
     COUNTIFS($X$2:$X$200,$G141)&gt;0,
     COUNTIFS($Y$2:$Y$200,$G141)&gt;0,
     COUNTIFS($Z$2:$Z$200,$G141)&gt;0,
     COUNTIFS($AA$2:$AA$200,$G141)&gt;0,
     COUNTIFS($AB$2:$AB$200,$G141)&gt;0,
     COUNTIFS($AC$2:$AC$200,$G141)&gt;0,
     COUNTIFS($AD$2:$AD$200,$G141)&gt;0,
     COUNTIFS($AE$2:$AE$200,$G141)&gt;0,
     COUNTIFS($AF$2:$AF$200,$G141)&gt;0,
     COUNTIFS($AG$2:$AG$200,$G141)&gt;0,
     COUNTIFS($AH$2:$AH$200,$G141)&gt;0,
     COUNTIFS($AI$2:$AI$200,$G141)&gt;0,
     COUNTIFS($AJ$2:$AJ$200,$G141)&gt;0,
     COUNTIFS($AK$2:$AK$200,$G141)&gt;0,
     COUNTIFS($AL$2:$AL$200,$G141)&gt;0,
     COUNTIFS($AM$2:$AM$200,$G141)&gt;0,
     COUNTIFS($AN$2:$AN$200,$G141)&gt;0,
     COUNTIFS($AO$2:$AO$200,$G141)&gt;0,
     COUNTIFS($AP$2:$AP$200,$G141)&gt;0,
     COUNTIFS($AQ$2:$AQ$200,$G141)&gt;0,
     COUNTIFS($AR$2:$AR$200,$G141)&gt;0,
     COUNTIFS($AS$2:$AS$200,$G141)&gt;0,
     COUNTIFS($AT$2:$AT$200,$G141)&gt;0,
     COUNTIFS($AU$2:$AU$200,$G141)&gt;0,
     COUNTIFS($AV$2:$AV$200,$G141)&gt;0,
     COUNTIFS($AW$2:$AW$200,$G141)&gt;0,
     COUNTIFS($AX$2:$AX$200,$G141)&gt;0,
     COUNTIFS($AY$2:$AY$200,$G141)&gt;0
   )),
  ),
  4
 ),
"")</f>
        <v/>
      </c>
      <c r="G141" t="str">
        <f ca="1"/>
        <v>Emergence Zone</v>
      </c>
      <c r="DZ141" t="str">
        <f ca="1"/>
        <v>Zurgo, Thunder's Decree</v>
      </c>
      <c r="EI141" t="str">
        <f ca="1"/>
        <v>Ziatora's Proving Ground</v>
      </c>
      <c r="EL141" t="str">
        <f ca="1"/>
        <v>Zurgo, Thunder's Decree</v>
      </c>
      <c r="EP141" t="str">
        <f ca="1"/>
        <v>Slayers' Stronghold</v>
      </c>
      <c r="EQ141" t="str">
        <f ca="1"/>
        <v>Sink into Stupor</v>
      </c>
      <c r="ER141" t="str">
        <f ca="1"/>
        <v>Radiant Summit</v>
      </c>
      <c r="EU141" t="str">
        <f ca="1"/>
        <v>Hunter Sliver</v>
      </c>
      <c r="EV141" t="str">
        <f ca="1"/>
        <v>Radiant Summit</v>
      </c>
      <c r="EX141" t="str">
        <f ca="1"/>
        <v>Emergence Zone</v>
      </c>
    </row>
    <row r="142" spans="1:154" x14ac:dyDescent="0.25">
      <c r="A142" s="2" t="str">
        <f t="shared" ca="1" si="10"/>
        <v>3</v>
      </c>
      <c r="B142" s="2">
        <f t="shared" ca="1" si="11"/>
        <v>2</v>
      </c>
      <c r="C142" s="2" t="str">
        <f ca="1">IFERROR(
 INDEX($V$1:$BL$1,
  MATCH(TRUE,
   CHOOSE({1;2;3;4;5;6;7;8;9;10;11;12;13;14;15;16;17;18;19;20;21;22;23;24;25;26;27;28;29;30;31;32;33;34;35;36;37;38;39;40;41;42;43},
    COUNTIFS($V$2:$V$200,$G142)&gt;0,
    COUNTIFS($W$2:$W$200,$G142)&gt;0,
    COUNTIFS($X$2:$X$200,$G142)&gt;0,
    COUNTIFS($Y$2:$Y$200,$G142)&gt;0,
    COUNTIFS($Z$2:$Z$200,$G142)&gt;0,
    COUNTIFS($AA$2:$AA$200,$G142)&gt;0,
    COUNTIFS($AB$2:$AB$200,$G142)&gt;0,
    COUNTIFS($AC$2:$AC$200,$G142)&gt;0,
    COUNTIFS($AD$2:$AD$200,$G142)&gt;0,
    COUNTIFS($AE$2:$AE$200,$G142)&gt;0,
    COUNTIFS($AF$2:$AF$200,$G142)&gt;0,
    COUNTIFS($AG$2:$AG$200,$G142)&gt;0,
    COUNTIFS($AH$2:$AH$200,$G142)&gt;0,
    COUNTIFS($AI$2:$AI$200,$G142)&gt;0,
    COUNTIFS($AJ$2:$AJ$200,$G142)&gt;0,
    COUNTIFS($AK$2:$AK$200,$G142)&gt;0,
    COUNTIFS($AL$2:$AL$200,$G142)&gt;0,
    COUNTIFS($AM$2:$AM$200,$G142)&gt;0,
    COUNTIFS($AN$2:$AN$200,$G142)&gt;0,
    COUNTIFS($AO$2:$AO$200,$G142)&gt;0,
    COUNTIFS($AP$2:$AP$200,$G142)&gt;0,
    COUNTIFS($AQ$2:$AQ$200,$G142)&gt;0,
    COUNTIFS($AR$2:$AR$200,$G142)&gt;0,
    COUNTIFS($AS$2:$AS$200,$G142)&gt;0,
    COUNTIFS($AT$2:$AT$200,$G142)&gt;0,
    COUNTIFS($AU$2:$AU$200,$G142)&gt;0,
    COUNTIFS($AV$2:$AV$200,$G142)&gt;0,
    COUNTIFS($AW$2:$AW$200,$G142)&gt;0,
    COUNTIFS($AX$2:$AX$200,$G142)&gt;0,
    COUNTIFS($AY$2:$AY$200,$G142)&gt;0,
    COUNTIFS($AZ$2:$AZ$200,$G142)&gt;0,
    COUNTIFS($BA$2:$BA$200,$G142)&gt;0,
    COUNTIFS($BB$2:$BB$200,$G142)&gt;0,
    COUNTIFS($BC$2:$BC$200,$G142)&gt;0,
    COUNTIFS($BD$2:$BD$200,$G142)&gt;0,
    COUNTIFS($BE$2:$BE$200,$G142)&gt;0,
    COUNTIFS($BF$2:$BF$200,$G142)&gt;0,
    COUNTIFS($BG$2:$BG$200,$G142)&gt;0,
    COUNTIFS($BH$2:$BH$200,$G142)&gt;0,
    COUNTIFS($BI$2:$BI$200,$G142)&gt;0,
    COUNTIFS($BJ$2:$BJ$200,$G142)&gt;0,
    COUNTIFS($BK$2:$BK$200,$G142)&gt;0,
    COUNTIFS($BL$2:$BL$200,$G142)&gt;0,
    COUNTIFS($BM$2:$BM$200,$G142)&gt;0,
   ),
  0)
 ),
"")</f>
        <v>JhoiraB</v>
      </c>
      <c r="D142" s="2" t="str" cm="1">
        <f t="array" aca="1" ref="D142" ca="1">IFERROR(
 INDEX(
  _xlfn._xlws.FILTER($V$1:$AY$1,
   TRANSPOSE(
    CHOOSE({1;2;3;4;5;6;7;8;9;10;11;12;13;14;15;16;17;18;19;20;21;22;23;24;25;26;27;28;29;30},
     COUNTIFS($V$2:$V$200,$G142)&gt;0,
     COUNTIFS($W$2:$W$200,$G142)&gt;0,
     COUNTIFS($X$2:$X$200,$G142)&gt;0,
     COUNTIFS($Y$2:$Y$200,$G142)&gt;0,
     COUNTIFS($Z$2:$Z$200,$G142)&gt;0,
     COUNTIFS($AA$2:$AA$200,$G142)&gt;0,
     COUNTIFS($AB$2:$AB$200,$G142)&gt;0,
     COUNTIFS($AC$2:$AC$200,$G142)&gt;0,
     COUNTIFS($AD$2:$AD$200,$G142)&gt;0,
     COUNTIFS($AE$2:$AE$200,$G142)&gt;0,
     COUNTIFS($AF$2:$AF$200,$G142)&gt;0,
     COUNTIFS($AG$2:$AG$200,$G142)&gt;0,
     COUNTIFS($AH$2:$AH$200,$G142)&gt;0,
     COUNTIFS($AI$2:$AI$200,$G142)&gt;0,
     COUNTIFS($AJ$2:$AJ$200,$G142)&gt;0,
     COUNTIFS($AK$2:$AK$200,$G142)&gt;0,
     COUNTIFS($AL$2:$AL$200,$G142)&gt;0,
     COUNTIFS($AM$2:$AM$200,$G142)&gt;0,
     COUNTIFS($AN$2:$AN$200,$G142)&gt;0,
     COUNTIFS($AO$2:$AO$200,$G142)&gt;0,
     COUNTIFS($AP$2:$AP$200,$G142)&gt;0,
     COUNTIFS($AQ$2:$AQ$200,$G142)&gt;0,
     COUNTIFS($AR$2:$AR$200,$G142)&gt;0,
     COUNTIFS($AS$2:$AS$200,$G142)&gt;0,
     COUNTIFS($AT$2:$AT$200,$G142)&gt;0,
     COUNTIFS($AU$2:$AU$200,$G142)&gt;0,
     COUNTIFS($AV$2:$AV$200,$G142)&gt;0,
     COUNTIFS($AW$2:$AW$200,$G142)&gt;0,
     COUNTIFS($AX$2:$AX$200,$G142)&gt;0,
     COUNTIFS($AY$2:$AY$200,$G142)&gt;0
   )),
  ),
  2
 ),
"")</f>
        <v>Jhoira</v>
      </c>
      <c r="E142" s="2" t="str" cm="1">
        <f t="array" aca="1" ref="E142" ca="1">IFERROR(
 INDEX(
  _xlfn._xlws.FILTER($V$1:$AY$1,
   TRANSPOSE(
    CHOOSE({1;2;3;4;5;6;7;8;9;10;11;12;13;14;15;16;17;18;19;20;21;22;23;24;25;26;27;28;29;30},
     COUNTIFS($V$2:$V$200,$G142)&gt;0,
     COUNTIFS($W$2:$W$200,$G142)&gt;0,
     COUNTIFS($X$2:$X$200,$G142)&gt;0,
     COUNTIFS($Y$2:$Y$200,$G142)&gt;0,
     COUNTIFS($Z$2:$Z$200,$G142)&gt;0,
     COUNTIFS($AA$2:$AA$200,$G142)&gt;0,
     COUNTIFS($AB$2:$AB$200,$G142)&gt;0,
     COUNTIFS($AC$2:$AC$200,$G142)&gt;0,
     COUNTIFS($AD$2:$AD$200,$G142)&gt;0,
     COUNTIFS($AE$2:$AE$200,$G142)&gt;0,
     COUNTIFS($AF$2:$AF$200,$G142)&gt;0,
     COUNTIFS($AG$2:$AG$200,$G142)&gt;0,
     COUNTIFS($AH$2:$AH$200,$G142)&gt;0,
     COUNTIFS($AI$2:$AI$200,$G142)&gt;0,
     COUNTIFS($AJ$2:$AJ$200,$G142)&gt;0,
     COUNTIFS($AK$2:$AK$200,$G142)&gt;0,
     COUNTIFS($AL$2:$AL$200,$G142)&gt;0,
     COUNTIFS($AM$2:$AM$200,$G142)&gt;0,
     COUNTIFS($AN$2:$AN$200,$G142)&gt;0,
     COUNTIFS($AO$2:$AO$200,$G142)&gt;0,
     COUNTIFS($AP$2:$AP$200,$G142)&gt;0,
     COUNTIFS($AQ$2:$AQ$200,$G142)&gt;0,
     COUNTIFS($AR$2:$AR$200,$G142)&gt;0,
     COUNTIFS($AS$2:$AS$200,$G142)&gt;0,
     COUNTIFS($AT$2:$AT$200,$G142)&gt;0,
     COUNTIFS($AU$2:$AU$200,$G142)&gt;0,
     COUNTIFS($AV$2:$AV$200,$G142)&gt;0,
     COUNTIFS($AW$2:$AW$200,$G142)&gt;0,
     COUNTIFS($AX$2:$AX$200,$G142)&gt;0,
     COUNTIFS($AY$2:$AY$200,$G142)&gt;0
   )),
  ),
  3
 ),
"")</f>
        <v/>
      </c>
      <c r="F142" s="2" t="str" cm="1">
        <f t="array" aca="1" ref="F142" ca="1">IFERROR(
 INDEX(
  _xlfn._xlws.FILTER($V$1:$AY$1,
   TRANSPOSE(
    CHOOSE({1;2;3;4;5;6;7;8;9;10;11;12;13;14;15;16;17;18;19;20;21;22;23;24;25;26;27;28;29;30},
     COUNTIFS($V$2:$V$200,$G142)&gt;0,
     COUNTIFS($W$2:$W$200,$G142)&gt;0,
     COUNTIFS($X$2:$X$200,$G142)&gt;0,
     COUNTIFS($Y$2:$Y$200,$G142)&gt;0,
     COUNTIFS($Z$2:$Z$200,$G142)&gt;0,
     COUNTIFS($AA$2:$AA$200,$G142)&gt;0,
     COUNTIFS($AB$2:$AB$200,$G142)&gt;0,
     COUNTIFS($AC$2:$AC$200,$G142)&gt;0,
     COUNTIFS($AD$2:$AD$200,$G142)&gt;0,
     COUNTIFS($AE$2:$AE$200,$G142)&gt;0,
     COUNTIFS($AF$2:$AF$200,$G142)&gt;0,
     COUNTIFS($AG$2:$AG$200,$G142)&gt;0,
     COUNTIFS($AH$2:$AH$200,$G142)&gt;0,
     COUNTIFS($AI$2:$AI$200,$G142)&gt;0,
     COUNTIFS($AJ$2:$AJ$200,$G142)&gt;0,
     COUNTIFS($AK$2:$AK$200,$G142)&gt;0,
     COUNTIFS($AL$2:$AL$200,$G142)&gt;0,
     COUNTIFS($AM$2:$AM$200,$G142)&gt;0,
     COUNTIFS($AN$2:$AN$200,$G142)&gt;0,
     COUNTIFS($AO$2:$AO$200,$G142)&gt;0,
     COUNTIFS($AP$2:$AP$200,$G142)&gt;0,
     COUNTIFS($AQ$2:$AQ$200,$G142)&gt;0,
     COUNTIFS($AR$2:$AR$200,$G142)&gt;0,
     COUNTIFS($AS$2:$AS$200,$G142)&gt;0,
     COUNTIFS($AT$2:$AT$200,$G142)&gt;0,
     COUNTIFS($AU$2:$AU$200,$G142)&gt;0,
     COUNTIFS($AV$2:$AV$200,$G142)&gt;0,
     COUNTIFS($AW$2:$AW$200,$G142)&gt;0,
     COUNTIFS($AX$2:$AX$200,$G142)&gt;0,
     COUNTIFS($AY$2:$AY$200,$G142)&gt;0
   )),
  ),
  4
 ),
"")</f>
        <v/>
      </c>
      <c r="G142" t="str">
        <f ca="1"/>
        <v>Emrakul, the World Anew</v>
      </c>
      <c r="DZ142" t="e">
        <f ca="1"/>
        <v>#REF!</v>
      </c>
      <c r="EL142" t="e">
        <f ca="1"/>
        <v>#REF!</v>
      </c>
      <c r="EP142" t="str">
        <f ca="1"/>
        <v>Sokenzan, Crucible of Defiance</v>
      </c>
      <c r="EQ142" t="str">
        <f ca="1"/>
        <v>Sliver Gravemother</v>
      </c>
      <c r="ER142" t="str">
        <f ca="1"/>
        <v>Rakdos Charm</v>
      </c>
      <c r="EU142" t="str">
        <f ca="1"/>
        <v>Illustrious Wanderglyph</v>
      </c>
      <c r="EV142" t="str">
        <f ca="1"/>
        <v>Rakdos Charm</v>
      </c>
      <c r="EX142" t="str">
        <f ca="1"/>
        <v>Emrakul, the World Anew</v>
      </c>
    </row>
    <row r="143" spans="1:154" x14ac:dyDescent="0.25">
      <c r="A143" s="2" t="str">
        <f t="shared" ca="1" si="10"/>
        <v>5</v>
      </c>
      <c r="B143" s="2">
        <f t="shared" ca="1" si="11"/>
        <v>1</v>
      </c>
      <c r="C143" s="2" t="str">
        <f ca="1">IFERROR(
 INDEX($V$1:$BL$1,
  MATCH(TRUE,
   CHOOSE({1;2;3;4;5;6;7;8;9;10;11;12;13;14;15;16;17;18;19;20;21;22;23;24;25;26;27;28;29;30;31;32;33;34;35;36;37;38;39;40;41;42;43},
    COUNTIFS($V$2:$V$200,$G143)&gt;0,
    COUNTIFS($W$2:$W$200,$G143)&gt;0,
    COUNTIFS($X$2:$X$200,$G143)&gt;0,
    COUNTIFS($Y$2:$Y$200,$G143)&gt;0,
    COUNTIFS($Z$2:$Z$200,$G143)&gt;0,
    COUNTIFS($AA$2:$AA$200,$G143)&gt;0,
    COUNTIFS($AB$2:$AB$200,$G143)&gt;0,
    COUNTIFS($AC$2:$AC$200,$G143)&gt;0,
    COUNTIFS($AD$2:$AD$200,$G143)&gt;0,
    COUNTIFS($AE$2:$AE$200,$G143)&gt;0,
    COUNTIFS($AF$2:$AF$200,$G143)&gt;0,
    COUNTIFS($AG$2:$AG$200,$G143)&gt;0,
    COUNTIFS($AH$2:$AH$200,$G143)&gt;0,
    COUNTIFS($AI$2:$AI$200,$G143)&gt;0,
    COUNTIFS($AJ$2:$AJ$200,$G143)&gt;0,
    COUNTIFS($AK$2:$AK$200,$G143)&gt;0,
    COUNTIFS($AL$2:$AL$200,$G143)&gt;0,
    COUNTIFS($AM$2:$AM$200,$G143)&gt;0,
    COUNTIFS($AN$2:$AN$200,$G143)&gt;0,
    COUNTIFS($AO$2:$AO$200,$G143)&gt;0,
    COUNTIFS($AP$2:$AP$200,$G143)&gt;0,
    COUNTIFS($AQ$2:$AQ$200,$G143)&gt;0,
    COUNTIFS($AR$2:$AR$200,$G143)&gt;0,
    COUNTIFS($AS$2:$AS$200,$G143)&gt;0,
    COUNTIFS($AT$2:$AT$200,$G143)&gt;0,
    COUNTIFS($AU$2:$AU$200,$G143)&gt;0,
    COUNTIFS($AV$2:$AV$200,$G143)&gt;0,
    COUNTIFS($AW$2:$AW$200,$G143)&gt;0,
    COUNTIFS($AX$2:$AX$200,$G143)&gt;0,
    COUNTIFS($AY$2:$AY$200,$G143)&gt;0,
    COUNTIFS($AZ$2:$AZ$200,$G143)&gt;0,
    COUNTIFS($BA$2:$BA$200,$G143)&gt;0,
    COUNTIFS($BB$2:$BB$200,$G143)&gt;0,
    COUNTIFS($BC$2:$BC$200,$G143)&gt;0,
    COUNTIFS($BD$2:$BD$200,$G143)&gt;0,
    COUNTIFS($BE$2:$BE$200,$G143)&gt;0,
    COUNTIFS($BF$2:$BF$200,$G143)&gt;0,
    COUNTIFS($BG$2:$BG$200,$G143)&gt;0,
    COUNTIFS($BH$2:$BH$200,$G143)&gt;0,
    COUNTIFS($BI$2:$BI$200,$G143)&gt;0,
    COUNTIFS($BJ$2:$BJ$200,$G143)&gt;0,
    COUNTIFS($BK$2:$BK$200,$G143)&gt;0,
    COUNTIFS($BL$2:$BL$200,$G143)&gt;0,
    COUNTIFS($BM$2:$BM$200,$G143)&gt;0,
   ),
  0)
 ),
"")</f>
        <v>4cRash</v>
      </c>
      <c r="D143" s="2" t="str" cm="1">
        <f t="array" aca="1" ref="D143" ca="1">IFERROR(
 INDEX(
  _xlfn._xlws.FILTER($V$1:$AY$1,
   TRANSPOSE(
    CHOOSE({1;2;3;4;5;6;7;8;9;10;11;12;13;14;15;16;17;18;19;20;21;22;23;24;25;26;27;28;29;30},
     COUNTIFS($V$2:$V$200,$G143)&gt;0,
     COUNTIFS($W$2:$W$200,$G143)&gt;0,
     COUNTIFS($X$2:$X$200,$G143)&gt;0,
     COUNTIFS($Y$2:$Y$200,$G143)&gt;0,
     COUNTIFS($Z$2:$Z$200,$G143)&gt;0,
     COUNTIFS($AA$2:$AA$200,$G143)&gt;0,
     COUNTIFS($AB$2:$AB$200,$G143)&gt;0,
     COUNTIFS($AC$2:$AC$200,$G143)&gt;0,
     COUNTIFS($AD$2:$AD$200,$G143)&gt;0,
     COUNTIFS($AE$2:$AE$200,$G143)&gt;0,
     COUNTIFS($AF$2:$AF$200,$G143)&gt;0,
     COUNTIFS($AG$2:$AG$200,$G143)&gt;0,
     COUNTIFS($AH$2:$AH$200,$G143)&gt;0,
     COUNTIFS($AI$2:$AI$200,$G143)&gt;0,
     COUNTIFS($AJ$2:$AJ$200,$G143)&gt;0,
     COUNTIFS($AK$2:$AK$200,$G143)&gt;0,
     COUNTIFS($AL$2:$AL$200,$G143)&gt;0,
     COUNTIFS($AM$2:$AM$200,$G143)&gt;0,
     COUNTIFS($AN$2:$AN$200,$G143)&gt;0,
     COUNTIFS($AO$2:$AO$200,$G143)&gt;0,
     COUNTIFS($AP$2:$AP$200,$G143)&gt;0,
     COUNTIFS($AQ$2:$AQ$200,$G143)&gt;0,
     COUNTIFS($AR$2:$AR$200,$G143)&gt;0,
     COUNTIFS($AS$2:$AS$200,$G143)&gt;0,
     COUNTIFS($AT$2:$AT$200,$G143)&gt;0,
     COUNTIFS($AU$2:$AU$200,$G143)&gt;0,
     COUNTIFS($AV$2:$AV$200,$G143)&gt;0,
     COUNTIFS($AW$2:$AW$200,$G143)&gt;0,
     COUNTIFS($AX$2:$AX$200,$G143)&gt;0,
     COUNTIFS($AY$2:$AY$200,$G143)&gt;0
   )),
  ),
  2
 ),
"")</f>
        <v/>
      </c>
      <c r="E143" s="2" t="str" cm="1">
        <f t="array" aca="1" ref="E143" ca="1">IFERROR(
 INDEX(
  _xlfn._xlws.FILTER($V$1:$AY$1,
   TRANSPOSE(
    CHOOSE({1;2;3;4;5;6;7;8;9;10;11;12;13;14;15;16;17;18;19;20;21;22;23;24;25;26;27;28;29;30},
     COUNTIFS($V$2:$V$200,$G143)&gt;0,
     COUNTIFS($W$2:$W$200,$G143)&gt;0,
     COUNTIFS($X$2:$X$200,$G143)&gt;0,
     COUNTIFS($Y$2:$Y$200,$G143)&gt;0,
     COUNTIFS($Z$2:$Z$200,$G143)&gt;0,
     COUNTIFS($AA$2:$AA$200,$G143)&gt;0,
     COUNTIFS($AB$2:$AB$200,$G143)&gt;0,
     COUNTIFS($AC$2:$AC$200,$G143)&gt;0,
     COUNTIFS($AD$2:$AD$200,$G143)&gt;0,
     COUNTIFS($AE$2:$AE$200,$G143)&gt;0,
     COUNTIFS($AF$2:$AF$200,$G143)&gt;0,
     COUNTIFS($AG$2:$AG$200,$G143)&gt;0,
     COUNTIFS($AH$2:$AH$200,$G143)&gt;0,
     COUNTIFS($AI$2:$AI$200,$G143)&gt;0,
     COUNTIFS($AJ$2:$AJ$200,$G143)&gt;0,
     COUNTIFS($AK$2:$AK$200,$G143)&gt;0,
     COUNTIFS($AL$2:$AL$200,$G143)&gt;0,
     COUNTIFS($AM$2:$AM$200,$G143)&gt;0,
     COUNTIFS($AN$2:$AN$200,$G143)&gt;0,
     COUNTIFS($AO$2:$AO$200,$G143)&gt;0,
     COUNTIFS($AP$2:$AP$200,$G143)&gt;0,
     COUNTIFS($AQ$2:$AQ$200,$G143)&gt;0,
     COUNTIFS($AR$2:$AR$200,$G143)&gt;0,
     COUNTIFS($AS$2:$AS$200,$G143)&gt;0,
     COUNTIFS($AT$2:$AT$200,$G143)&gt;0,
     COUNTIFS($AU$2:$AU$200,$G143)&gt;0,
     COUNTIFS($AV$2:$AV$200,$G143)&gt;0,
     COUNTIFS($AW$2:$AW$200,$G143)&gt;0,
     COUNTIFS($AX$2:$AX$200,$G143)&gt;0,
     COUNTIFS($AY$2:$AY$200,$G143)&gt;0
   )),
  ),
  3
 ),
"")</f>
        <v/>
      </c>
      <c r="F143" s="2" t="str" cm="1">
        <f t="array" aca="1" ref="F143" ca="1">IFERROR(
 INDEX(
  _xlfn._xlws.FILTER($V$1:$AY$1,
   TRANSPOSE(
    CHOOSE({1;2;3;4;5;6;7;8;9;10;11;12;13;14;15;16;17;18;19;20;21;22;23;24;25;26;27;28;29;30},
     COUNTIFS($V$2:$V$200,$G143)&gt;0,
     COUNTIFS($W$2:$W$200,$G143)&gt;0,
     COUNTIFS($X$2:$X$200,$G143)&gt;0,
     COUNTIFS($Y$2:$Y$200,$G143)&gt;0,
     COUNTIFS($Z$2:$Z$200,$G143)&gt;0,
     COUNTIFS($AA$2:$AA$200,$G143)&gt;0,
     COUNTIFS($AB$2:$AB$200,$G143)&gt;0,
     COUNTIFS($AC$2:$AC$200,$G143)&gt;0,
     COUNTIFS($AD$2:$AD$200,$G143)&gt;0,
     COUNTIFS($AE$2:$AE$200,$G143)&gt;0,
     COUNTIFS($AF$2:$AF$200,$G143)&gt;0,
     COUNTIFS($AG$2:$AG$200,$G143)&gt;0,
     COUNTIFS($AH$2:$AH$200,$G143)&gt;0,
     COUNTIFS($AI$2:$AI$200,$G143)&gt;0,
     COUNTIFS($AJ$2:$AJ$200,$G143)&gt;0,
     COUNTIFS($AK$2:$AK$200,$G143)&gt;0,
     COUNTIFS($AL$2:$AL$200,$G143)&gt;0,
     COUNTIFS($AM$2:$AM$200,$G143)&gt;0,
     COUNTIFS($AN$2:$AN$200,$G143)&gt;0,
     COUNTIFS($AO$2:$AO$200,$G143)&gt;0,
     COUNTIFS($AP$2:$AP$200,$G143)&gt;0,
     COUNTIFS($AQ$2:$AQ$200,$G143)&gt;0,
     COUNTIFS($AR$2:$AR$200,$G143)&gt;0,
     COUNTIFS($AS$2:$AS$200,$G143)&gt;0,
     COUNTIFS($AT$2:$AT$200,$G143)&gt;0,
     COUNTIFS($AU$2:$AU$200,$G143)&gt;0,
     COUNTIFS($AV$2:$AV$200,$G143)&gt;0,
     COUNTIFS($AW$2:$AW$200,$G143)&gt;0,
     COUNTIFS($AX$2:$AX$200,$G143)&gt;0,
     COUNTIFS($AY$2:$AY$200,$G143)&gt;0
   )),
  ),
  4
 ),
"")</f>
        <v/>
      </c>
      <c r="G143" t="str">
        <f ca="1"/>
        <v>Endurance</v>
      </c>
      <c r="EP143" t="str">
        <f ca="1"/>
        <v>Sonic Screwdriver</v>
      </c>
      <c r="EQ143" t="str">
        <f ca="1"/>
        <v>Sliver Hive</v>
      </c>
      <c r="ER143" t="str">
        <f ca="1"/>
        <v>Rampant Growth</v>
      </c>
      <c r="EU143" t="str">
        <f ca="1"/>
        <v>Incendiary Command</v>
      </c>
      <c r="EV143" t="str">
        <f ca="1"/>
        <v>Rampant Growth</v>
      </c>
      <c r="EX143" t="str">
        <f ca="1"/>
        <v>Endurance</v>
      </c>
    </row>
    <row r="144" spans="1:154" x14ac:dyDescent="0.25">
      <c r="A144" s="2" t="str">
        <f t="shared" ca="1" si="10"/>
        <v>2</v>
      </c>
      <c r="B144" s="2">
        <f t="shared" ca="1" si="11"/>
        <v>1</v>
      </c>
      <c r="C144" s="2" t="str">
        <f ca="1">IFERROR(
 INDEX($V$1:$BL$1,
  MATCH(TRUE,
   CHOOSE({1;2;3;4;5;6;7;8;9;10;11;12;13;14;15;16;17;18;19;20;21;22;23;24;25;26;27;28;29;30;31;32;33;34;35;36;37;38;39;40;41;42;43},
    COUNTIFS($V$2:$V$200,$G144)&gt;0,
    COUNTIFS($W$2:$W$200,$G144)&gt;0,
    COUNTIFS($X$2:$X$200,$G144)&gt;0,
    COUNTIFS($Y$2:$Y$200,$G144)&gt;0,
    COUNTIFS($Z$2:$Z$200,$G144)&gt;0,
    COUNTIFS($AA$2:$AA$200,$G144)&gt;0,
    COUNTIFS($AB$2:$AB$200,$G144)&gt;0,
    COUNTIFS($AC$2:$AC$200,$G144)&gt;0,
    COUNTIFS($AD$2:$AD$200,$G144)&gt;0,
    COUNTIFS($AE$2:$AE$200,$G144)&gt;0,
    COUNTIFS($AF$2:$AF$200,$G144)&gt;0,
    COUNTIFS($AG$2:$AG$200,$G144)&gt;0,
    COUNTIFS($AH$2:$AH$200,$G144)&gt;0,
    COUNTIFS($AI$2:$AI$200,$G144)&gt;0,
    COUNTIFS($AJ$2:$AJ$200,$G144)&gt;0,
    COUNTIFS($AK$2:$AK$200,$G144)&gt;0,
    COUNTIFS($AL$2:$AL$200,$G144)&gt;0,
    COUNTIFS($AM$2:$AM$200,$G144)&gt;0,
    COUNTIFS($AN$2:$AN$200,$G144)&gt;0,
    COUNTIFS($AO$2:$AO$200,$G144)&gt;0,
    COUNTIFS($AP$2:$AP$200,$G144)&gt;0,
    COUNTIFS($AQ$2:$AQ$200,$G144)&gt;0,
    COUNTIFS($AR$2:$AR$200,$G144)&gt;0,
    COUNTIFS($AS$2:$AS$200,$G144)&gt;0,
    COUNTIFS($AT$2:$AT$200,$G144)&gt;0,
    COUNTIFS($AU$2:$AU$200,$G144)&gt;0,
    COUNTIFS($AV$2:$AV$200,$G144)&gt;0,
    COUNTIFS($AW$2:$AW$200,$G144)&gt;0,
    COUNTIFS($AX$2:$AX$200,$G144)&gt;0,
    COUNTIFS($AY$2:$AY$200,$G144)&gt;0,
    COUNTIFS($AZ$2:$AZ$200,$G144)&gt;0,
    COUNTIFS($BA$2:$BA$200,$G144)&gt;0,
    COUNTIFS($BB$2:$BB$200,$G144)&gt;0,
    COUNTIFS($BC$2:$BC$200,$G144)&gt;0,
    COUNTIFS($BD$2:$BD$200,$G144)&gt;0,
    COUNTIFS($BE$2:$BE$200,$G144)&gt;0,
    COUNTIFS($BF$2:$BF$200,$G144)&gt;0,
    COUNTIFS($BG$2:$BG$200,$G144)&gt;0,
    COUNTIFS($BH$2:$BH$200,$G144)&gt;0,
    COUNTIFS($BI$2:$BI$200,$G144)&gt;0,
    COUNTIFS($BJ$2:$BJ$200,$G144)&gt;0,
    COUNTIFS($BK$2:$BK$200,$G144)&gt;0,
    COUNTIFS($BL$2:$BL$200,$G144)&gt;0,
    COUNTIFS($BM$2:$BM$200,$G144)&gt;0,
   ),
  0)
 ),
"")</f>
        <v>Carlos</v>
      </c>
      <c r="D144" s="2" t="str" cm="1">
        <f t="array" aca="1" ref="D144" ca="1">IFERROR(
 INDEX(
  _xlfn._xlws.FILTER($V$1:$AY$1,
   TRANSPOSE(
    CHOOSE({1;2;3;4;5;6;7;8;9;10;11;12;13;14;15;16;17;18;19;20;21;22;23;24;25;26;27;28;29;30},
     COUNTIFS($V$2:$V$200,$G144)&gt;0,
     COUNTIFS($W$2:$W$200,$G144)&gt;0,
     COUNTIFS($X$2:$X$200,$G144)&gt;0,
     COUNTIFS($Y$2:$Y$200,$G144)&gt;0,
     COUNTIFS($Z$2:$Z$200,$G144)&gt;0,
     COUNTIFS($AA$2:$AA$200,$G144)&gt;0,
     COUNTIFS($AB$2:$AB$200,$G144)&gt;0,
     COUNTIFS($AC$2:$AC$200,$G144)&gt;0,
     COUNTIFS($AD$2:$AD$200,$G144)&gt;0,
     COUNTIFS($AE$2:$AE$200,$G144)&gt;0,
     COUNTIFS($AF$2:$AF$200,$G144)&gt;0,
     COUNTIFS($AG$2:$AG$200,$G144)&gt;0,
     COUNTIFS($AH$2:$AH$200,$G144)&gt;0,
     COUNTIFS($AI$2:$AI$200,$G144)&gt;0,
     COUNTIFS($AJ$2:$AJ$200,$G144)&gt;0,
     COUNTIFS($AK$2:$AK$200,$G144)&gt;0,
     COUNTIFS($AL$2:$AL$200,$G144)&gt;0,
     COUNTIFS($AM$2:$AM$200,$G144)&gt;0,
     COUNTIFS($AN$2:$AN$200,$G144)&gt;0,
     COUNTIFS($AO$2:$AO$200,$G144)&gt;0,
     COUNTIFS($AP$2:$AP$200,$G144)&gt;0,
     COUNTIFS($AQ$2:$AQ$200,$G144)&gt;0,
     COUNTIFS($AR$2:$AR$200,$G144)&gt;0,
     COUNTIFS($AS$2:$AS$200,$G144)&gt;0,
     COUNTIFS($AT$2:$AT$200,$G144)&gt;0,
     COUNTIFS($AU$2:$AU$200,$G144)&gt;0,
     COUNTIFS($AV$2:$AV$200,$G144)&gt;0,
     COUNTIFS($AW$2:$AW$200,$G144)&gt;0,
     COUNTIFS($AX$2:$AX$200,$G144)&gt;0,
     COUNTIFS($AY$2:$AY$200,$G144)&gt;0
   )),
  ),
  2
 ),
"")</f>
        <v/>
      </c>
      <c r="E144" s="2" t="str" cm="1">
        <f t="array" aca="1" ref="E144" ca="1">IFERROR(
 INDEX(
  _xlfn._xlws.FILTER($V$1:$AY$1,
   TRANSPOSE(
    CHOOSE({1;2;3;4;5;6;7;8;9;10;11;12;13;14;15;16;17;18;19;20;21;22;23;24;25;26;27;28;29;30},
     COUNTIFS($V$2:$V$200,$G144)&gt;0,
     COUNTIFS($W$2:$W$200,$G144)&gt;0,
     COUNTIFS($X$2:$X$200,$G144)&gt;0,
     COUNTIFS($Y$2:$Y$200,$G144)&gt;0,
     COUNTIFS($Z$2:$Z$200,$G144)&gt;0,
     COUNTIFS($AA$2:$AA$200,$G144)&gt;0,
     COUNTIFS($AB$2:$AB$200,$G144)&gt;0,
     COUNTIFS($AC$2:$AC$200,$G144)&gt;0,
     COUNTIFS($AD$2:$AD$200,$G144)&gt;0,
     COUNTIFS($AE$2:$AE$200,$G144)&gt;0,
     COUNTIFS($AF$2:$AF$200,$G144)&gt;0,
     COUNTIFS($AG$2:$AG$200,$G144)&gt;0,
     COUNTIFS($AH$2:$AH$200,$G144)&gt;0,
     COUNTIFS($AI$2:$AI$200,$G144)&gt;0,
     COUNTIFS($AJ$2:$AJ$200,$G144)&gt;0,
     COUNTIFS($AK$2:$AK$200,$G144)&gt;0,
     COUNTIFS($AL$2:$AL$200,$G144)&gt;0,
     COUNTIFS($AM$2:$AM$200,$G144)&gt;0,
     COUNTIFS($AN$2:$AN$200,$G144)&gt;0,
     COUNTIFS($AO$2:$AO$200,$G144)&gt;0,
     COUNTIFS($AP$2:$AP$200,$G144)&gt;0,
     COUNTIFS($AQ$2:$AQ$200,$G144)&gt;0,
     COUNTIFS($AR$2:$AR$200,$G144)&gt;0,
     COUNTIFS($AS$2:$AS$200,$G144)&gt;0,
     COUNTIFS($AT$2:$AT$200,$G144)&gt;0,
     COUNTIFS($AU$2:$AU$200,$G144)&gt;0,
     COUNTIFS($AV$2:$AV$200,$G144)&gt;0,
     COUNTIFS($AW$2:$AW$200,$G144)&gt;0,
     COUNTIFS($AX$2:$AX$200,$G144)&gt;0,
     COUNTIFS($AY$2:$AY$200,$G144)&gt;0
   )),
  ),
  3
 ),
"")</f>
        <v/>
      </c>
      <c r="F144" s="2" t="str" cm="1">
        <f t="array" aca="1" ref="F144" ca="1">IFERROR(
 INDEX(
  _xlfn._xlws.FILTER($V$1:$AY$1,
   TRANSPOSE(
    CHOOSE({1;2;3;4;5;6;7;8;9;10;11;12;13;14;15;16;17;18;19;20;21;22;23;24;25;26;27;28;29;30},
     COUNTIFS($V$2:$V$200,$G144)&gt;0,
     COUNTIFS($W$2:$W$200,$G144)&gt;0,
     COUNTIFS($X$2:$X$200,$G144)&gt;0,
     COUNTIFS($Y$2:$Y$200,$G144)&gt;0,
     COUNTIFS($Z$2:$Z$200,$G144)&gt;0,
     COUNTIFS($AA$2:$AA$200,$G144)&gt;0,
     COUNTIFS($AB$2:$AB$200,$G144)&gt;0,
     COUNTIFS($AC$2:$AC$200,$G144)&gt;0,
     COUNTIFS($AD$2:$AD$200,$G144)&gt;0,
     COUNTIFS($AE$2:$AE$200,$G144)&gt;0,
     COUNTIFS($AF$2:$AF$200,$G144)&gt;0,
     COUNTIFS($AG$2:$AG$200,$G144)&gt;0,
     COUNTIFS($AH$2:$AH$200,$G144)&gt;0,
     COUNTIFS($AI$2:$AI$200,$G144)&gt;0,
     COUNTIFS($AJ$2:$AJ$200,$G144)&gt;0,
     COUNTIFS($AK$2:$AK$200,$G144)&gt;0,
     COUNTIFS($AL$2:$AL$200,$G144)&gt;0,
     COUNTIFS($AM$2:$AM$200,$G144)&gt;0,
     COUNTIFS($AN$2:$AN$200,$G144)&gt;0,
     COUNTIFS($AO$2:$AO$200,$G144)&gt;0,
     COUNTIFS($AP$2:$AP$200,$G144)&gt;0,
     COUNTIFS($AQ$2:$AQ$200,$G144)&gt;0,
     COUNTIFS($AR$2:$AR$200,$G144)&gt;0,
     COUNTIFS($AS$2:$AS$200,$G144)&gt;0,
     COUNTIFS($AT$2:$AT$200,$G144)&gt;0,
     COUNTIFS($AU$2:$AU$200,$G144)&gt;0,
     COUNTIFS($AV$2:$AV$200,$G144)&gt;0,
     COUNTIFS($AW$2:$AW$200,$G144)&gt;0,
     COUNTIFS($AX$2:$AX$200,$G144)&gt;0,
     COUNTIFS($AY$2:$AY$200,$G144)&gt;0
   )),
  ),
  4
 ),
"")</f>
        <v/>
      </c>
      <c r="G144" t="str">
        <f ca="1"/>
        <v>Enduring Innocence</v>
      </c>
      <c r="EP144" t="str">
        <f ca="1"/>
        <v>Sothera, the Supervoid</v>
      </c>
      <c r="EQ144" t="str">
        <f ca="1"/>
        <v>Sliver Hivelord</v>
      </c>
      <c r="ER144" t="str">
        <f ca="1"/>
        <v>Rashmi, Eternities Crafter</v>
      </c>
      <c r="EU144" t="str">
        <f ca="1"/>
        <v>Indatha Triome</v>
      </c>
      <c r="EV144" t="str">
        <f ca="1"/>
        <v>Rashmi, Eternities Crafter</v>
      </c>
      <c r="EX144" t="str">
        <f ca="1"/>
        <v>Enduring Innocence</v>
      </c>
    </row>
    <row r="145" spans="1:154" x14ac:dyDescent="0.25">
      <c r="A145" s="2" t="str">
        <f t="shared" ca="1" si="10"/>
        <v>4</v>
      </c>
      <c r="B145" s="2">
        <f t="shared" ca="1" si="11"/>
        <v>1</v>
      </c>
      <c r="C145" s="2" t="str">
        <f ca="1">IFERROR(
 INDEX($V$1:$BL$1,
  MATCH(TRUE,
   CHOOSE({1;2;3;4;5;6;7;8;9;10;11;12;13;14;15;16;17;18;19;20;21;22;23;24;25;26;27;28;29;30;31;32;33;34;35;36;37;38;39;40;41;42;43},
    COUNTIFS($V$2:$V$200,$G145)&gt;0,
    COUNTIFS($W$2:$W$200,$G145)&gt;0,
    COUNTIFS($X$2:$X$200,$G145)&gt;0,
    COUNTIFS($Y$2:$Y$200,$G145)&gt;0,
    COUNTIFS($Z$2:$Z$200,$G145)&gt;0,
    COUNTIFS($AA$2:$AA$200,$G145)&gt;0,
    COUNTIFS($AB$2:$AB$200,$G145)&gt;0,
    COUNTIFS($AC$2:$AC$200,$G145)&gt;0,
    COUNTIFS($AD$2:$AD$200,$G145)&gt;0,
    COUNTIFS($AE$2:$AE$200,$G145)&gt;0,
    COUNTIFS($AF$2:$AF$200,$G145)&gt;0,
    COUNTIFS($AG$2:$AG$200,$G145)&gt;0,
    COUNTIFS($AH$2:$AH$200,$G145)&gt;0,
    COUNTIFS($AI$2:$AI$200,$G145)&gt;0,
    COUNTIFS($AJ$2:$AJ$200,$G145)&gt;0,
    COUNTIFS($AK$2:$AK$200,$G145)&gt;0,
    COUNTIFS($AL$2:$AL$200,$G145)&gt;0,
    COUNTIFS($AM$2:$AM$200,$G145)&gt;0,
    COUNTIFS($AN$2:$AN$200,$G145)&gt;0,
    COUNTIFS($AO$2:$AO$200,$G145)&gt;0,
    COUNTIFS($AP$2:$AP$200,$G145)&gt;0,
    COUNTIFS($AQ$2:$AQ$200,$G145)&gt;0,
    COUNTIFS($AR$2:$AR$200,$G145)&gt;0,
    COUNTIFS($AS$2:$AS$200,$G145)&gt;0,
    COUNTIFS($AT$2:$AT$200,$G145)&gt;0,
    COUNTIFS($AU$2:$AU$200,$G145)&gt;0,
    COUNTIFS($AV$2:$AV$200,$G145)&gt;0,
    COUNTIFS($AW$2:$AW$200,$G145)&gt;0,
    COUNTIFS($AX$2:$AX$200,$G145)&gt;0,
    COUNTIFS($AY$2:$AY$200,$G145)&gt;0,
    COUNTIFS($AZ$2:$AZ$200,$G145)&gt;0,
    COUNTIFS($BA$2:$BA$200,$G145)&gt;0,
    COUNTIFS($BB$2:$BB$200,$G145)&gt;0,
    COUNTIFS($BC$2:$BC$200,$G145)&gt;0,
    COUNTIFS($BD$2:$BD$200,$G145)&gt;0,
    COUNTIFS($BE$2:$BE$200,$G145)&gt;0,
    COUNTIFS($BF$2:$BF$200,$G145)&gt;0,
    COUNTIFS($BG$2:$BG$200,$G145)&gt;0,
    COUNTIFS($BH$2:$BH$200,$G145)&gt;0,
    COUNTIFS($BI$2:$BI$200,$G145)&gt;0,
    COUNTIFS($BJ$2:$BJ$200,$G145)&gt;0,
    COUNTIFS($BK$2:$BK$200,$G145)&gt;0,
    COUNTIFS($BL$2:$BL$200,$G145)&gt;0,
    COUNTIFS($BM$2:$BM$200,$G145)&gt;0,
   ),
  0)
 ),
"")</f>
        <v>Narset</v>
      </c>
      <c r="D145" s="2" t="str" cm="1">
        <f t="array" aca="1" ref="D145" ca="1">IFERROR(
 INDEX(
  _xlfn._xlws.FILTER($V$1:$AY$1,
   TRANSPOSE(
    CHOOSE({1;2;3;4;5;6;7;8;9;10;11;12;13;14;15;16;17;18;19;20;21;22;23;24;25;26;27;28;29;30},
     COUNTIFS($V$2:$V$200,$G145)&gt;0,
     COUNTIFS($W$2:$W$200,$G145)&gt;0,
     COUNTIFS($X$2:$X$200,$G145)&gt;0,
     COUNTIFS($Y$2:$Y$200,$G145)&gt;0,
     COUNTIFS($Z$2:$Z$200,$G145)&gt;0,
     COUNTIFS($AA$2:$AA$200,$G145)&gt;0,
     COUNTIFS($AB$2:$AB$200,$G145)&gt;0,
     COUNTIFS($AC$2:$AC$200,$G145)&gt;0,
     COUNTIFS($AD$2:$AD$200,$G145)&gt;0,
     COUNTIFS($AE$2:$AE$200,$G145)&gt;0,
     COUNTIFS($AF$2:$AF$200,$G145)&gt;0,
     COUNTIFS($AG$2:$AG$200,$G145)&gt;0,
     COUNTIFS($AH$2:$AH$200,$G145)&gt;0,
     COUNTIFS($AI$2:$AI$200,$G145)&gt;0,
     COUNTIFS($AJ$2:$AJ$200,$G145)&gt;0,
     COUNTIFS($AK$2:$AK$200,$G145)&gt;0,
     COUNTIFS($AL$2:$AL$200,$G145)&gt;0,
     COUNTIFS($AM$2:$AM$200,$G145)&gt;0,
     COUNTIFS($AN$2:$AN$200,$G145)&gt;0,
     COUNTIFS($AO$2:$AO$200,$G145)&gt;0,
     COUNTIFS($AP$2:$AP$200,$G145)&gt;0,
     COUNTIFS($AQ$2:$AQ$200,$G145)&gt;0,
     COUNTIFS($AR$2:$AR$200,$G145)&gt;0,
     COUNTIFS($AS$2:$AS$200,$G145)&gt;0,
     COUNTIFS($AT$2:$AT$200,$G145)&gt;0,
     COUNTIFS($AU$2:$AU$200,$G145)&gt;0,
     COUNTIFS($AV$2:$AV$200,$G145)&gt;0,
     COUNTIFS($AW$2:$AW$200,$G145)&gt;0,
     COUNTIFS($AX$2:$AX$200,$G145)&gt;0,
     COUNTIFS($AY$2:$AY$200,$G145)&gt;0
   )),
  ),
  2
 ),
"")</f>
        <v/>
      </c>
      <c r="E145" s="2" t="str" cm="1">
        <f t="array" aca="1" ref="E145" ca="1">IFERROR(
 INDEX(
  _xlfn._xlws.FILTER($V$1:$AY$1,
   TRANSPOSE(
    CHOOSE({1;2;3;4;5;6;7;8;9;10;11;12;13;14;15;16;17;18;19;20;21;22;23;24;25;26;27;28;29;30},
     COUNTIFS($V$2:$V$200,$G145)&gt;0,
     COUNTIFS($W$2:$W$200,$G145)&gt;0,
     COUNTIFS($X$2:$X$200,$G145)&gt;0,
     COUNTIFS($Y$2:$Y$200,$G145)&gt;0,
     COUNTIFS($Z$2:$Z$200,$G145)&gt;0,
     COUNTIFS($AA$2:$AA$200,$G145)&gt;0,
     COUNTIFS($AB$2:$AB$200,$G145)&gt;0,
     COUNTIFS($AC$2:$AC$200,$G145)&gt;0,
     COUNTIFS($AD$2:$AD$200,$G145)&gt;0,
     COUNTIFS($AE$2:$AE$200,$G145)&gt;0,
     COUNTIFS($AF$2:$AF$200,$G145)&gt;0,
     COUNTIFS($AG$2:$AG$200,$G145)&gt;0,
     COUNTIFS($AH$2:$AH$200,$G145)&gt;0,
     COUNTIFS($AI$2:$AI$200,$G145)&gt;0,
     COUNTIFS($AJ$2:$AJ$200,$G145)&gt;0,
     COUNTIFS($AK$2:$AK$200,$G145)&gt;0,
     COUNTIFS($AL$2:$AL$200,$G145)&gt;0,
     COUNTIFS($AM$2:$AM$200,$G145)&gt;0,
     COUNTIFS($AN$2:$AN$200,$G145)&gt;0,
     COUNTIFS($AO$2:$AO$200,$G145)&gt;0,
     COUNTIFS($AP$2:$AP$200,$G145)&gt;0,
     COUNTIFS($AQ$2:$AQ$200,$G145)&gt;0,
     COUNTIFS($AR$2:$AR$200,$G145)&gt;0,
     COUNTIFS($AS$2:$AS$200,$G145)&gt;0,
     COUNTIFS($AT$2:$AT$200,$G145)&gt;0,
     COUNTIFS($AU$2:$AU$200,$G145)&gt;0,
     COUNTIFS($AV$2:$AV$200,$G145)&gt;0,
     COUNTIFS($AW$2:$AW$200,$G145)&gt;0,
     COUNTIFS($AX$2:$AX$200,$G145)&gt;0,
     COUNTIFS($AY$2:$AY$200,$G145)&gt;0
   )),
  ),
  3
 ),
"")</f>
        <v/>
      </c>
      <c r="F145" s="2" t="str" cm="1">
        <f t="array" aca="1" ref="F145" ca="1">IFERROR(
 INDEX(
  _xlfn._xlws.FILTER($V$1:$AY$1,
   TRANSPOSE(
    CHOOSE({1;2;3;4;5;6;7;8;9;10;11;12;13;14;15;16;17;18;19;20;21;22;23;24;25;26;27;28;29;30},
     COUNTIFS($V$2:$V$200,$G145)&gt;0,
     COUNTIFS($W$2:$W$200,$G145)&gt;0,
     COUNTIFS($X$2:$X$200,$G145)&gt;0,
     COUNTIFS($Y$2:$Y$200,$G145)&gt;0,
     COUNTIFS($Z$2:$Z$200,$G145)&gt;0,
     COUNTIFS($AA$2:$AA$200,$G145)&gt;0,
     COUNTIFS($AB$2:$AB$200,$G145)&gt;0,
     COUNTIFS($AC$2:$AC$200,$G145)&gt;0,
     COUNTIFS($AD$2:$AD$200,$G145)&gt;0,
     COUNTIFS($AE$2:$AE$200,$G145)&gt;0,
     COUNTIFS($AF$2:$AF$200,$G145)&gt;0,
     COUNTIFS($AG$2:$AG$200,$G145)&gt;0,
     COUNTIFS($AH$2:$AH$200,$G145)&gt;0,
     COUNTIFS($AI$2:$AI$200,$G145)&gt;0,
     COUNTIFS($AJ$2:$AJ$200,$G145)&gt;0,
     COUNTIFS($AK$2:$AK$200,$G145)&gt;0,
     COUNTIFS($AL$2:$AL$200,$G145)&gt;0,
     COUNTIFS($AM$2:$AM$200,$G145)&gt;0,
     COUNTIFS($AN$2:$AN$200,$G145)&gt;0,
     COUNTIFS($AO$2:$AO$200,$G145)&gt;0,
     COUNTIFS($AP$2:$AP$200,$G145)&gt;0,
     COUNTIFS($AQ$2:$AQ$200,$G145)&gt;0,
     COUNTIFS($AR$2:$AR$200,$G145)&gt;0,
     COUNTIFS($AS$2:$AS$200,$G145)&gt;0,
     COUNTIFS($AT$2:$AT$200,$G145)&gt;0,
     COUNTIFS($AU$2:$AU$200,$G145)&gt;0,
     COUNTIFS($AV$2:$AV$200,$G145)&gt;0,
     COUNTIFS($AW$2:$AW$200,$G145)&gt;0,
     COUNTIFS($AX$2:$AX$200,$G145)&gt;0,
     COUNTIFS($AY$2:$AY$200,$G145)&gt;0
   )),
  ),
  4
 ),
"")</f>
        <v/>
      </c>
      <c r="G145" t="str">
        <f ca="1"/>
        <v>Enterprising Scallywag</v>
      </c>
      <c r="EP145" t="str">
        <f ca="1"/>
        <v>Spectacular Spider-Man</v>
      </c>
      <c r="EQ145" t="str">
        <f ca="1"/>
        <v>Sliver Legion</v>
      </c>
      <c r="ER145" t="str">
        <f ca="1"/>
        <v>Raven Eagle</v>
      </c>
      <c r="EU145" t="str">
        <f ca="1"/>
        <v>Invasion of Segovia</v>
      </c>
      <c r="EV145" t="str">
        <f ca="1"/>
        <v>Raven Eagle</v>
      </c>
      <c r="EX145" t="str">
        <f ca="1"/>
        <v>Enterprising Scallywag</v>
      </c>
    </row>
    <row r="146" spans="1:154" x14ac:dyDescent="0.25">
      <c r="A146" s="2" t="str">
        <f t="shared" ca="1" si="10"/>
        <v>5</v>
      </c>
      <c r="B146" s="2">
        <f t="shared" ca="1" si="11"/>
        <v>1</v>
      </c>
      <c r="C146" s="2" t="str">
        <f ca="1">IFERROR(
 INDEX($V$1:$BL$1,
  MATCH(TRUE,
   CHOOSE({1;2;3;4;5;6;7;8;9;10;11;12;13;14;15;16;17;18;19;20;21;22;23;24;25;26;27;28;29;30;31;32;33;34;35;36;37;38;39;40;41;42;43},
    COUNTIFS($V$2:$V$200,$G146)&gt;0,
    COUNTIFS($W$2:$W$200,$G146)&gt;0,
    COUNTIFS($X$2:$X$200,$G146)&gt;0,
    COUNTIFS($Y$2:$Y$200,$G146)&gt;0,
    COUNTIFS($Z$2:$Z$200,$G146)&gt;0,
    COUNTIFS($AA$2:$AA$200,$G146)&gt;0,
    COUNTIFS($AB$2:$AB$200,$G146)&gt;0,
    COUNTIFS($AC$2:$AC$200,$G146)&gt;0,
    COUNTIFS($AD$2:$AD$200,$G146)&gt;0,
    COUNTIFS($AE$2:$AE$200,$G146)&gt;0,
    COUNTIFS($AF$2:$AF$200,$G146)&gt;0,
    COUNTIFS($AG$2:$AG$200,$G146)&gt;0,
    COUNTIFS($AH$2:$AH$200,$G146)&gt;0,
    COUNTIFS($AI$2:$AI$200,$G146)&gt;0,
    COUNTIFS($AJ$2:$AJ$200,$G146)&gt;0,
    COUNTIFS($AK$2:$AK$200,$G146)&gt;0,
    COUNTIFS($AL$2:$AL$200,$G146)&gt;0,
    COUNTIFS($AM$2:$AM$200,$G146)&gt;0,
    COUNTIFS($AN$2:$AN$200,$G146)&gt;0,
    COUNTIFS($AO$2:$AO$200,$G146)&gt;0,
    COUNTIFS($AP$2:$AP$200,$G146)&gt;0,
    COUNTIFS($AQ$2:$AQ$200,$G146)&gt;0,
    COUNTIFS($AR$2:$AR$200,$G146)&gt;0,
    COUNTIFS($AS$2:$AS$200,$G146)&gt;0,
    COUNTIFS($AT$2:$AT$200,$G146)&gt;0,
    COUNTIFS($AU$2:$AU$200,$G146)&gt;0,
    COUNTIFS($AV$2:$AV$200,$G146)&gt;0,
    COUNTIFS($AW$2:$AW$200,$G146)&gt;0,
    COUNTIFS($AX$2:$AX$200,$G146)&gt;0,
    COUNTIFS($AY$2:$AY$200,$G146)&gt;0,
    COUNTIFS($AZ$2:$AZ$200,$G146)&gt;0,
    COUNTIFS($BA$2:$BA$200,$G146)&gt;0,
    COUNTIFS($BB$2:$BB$200,$G146)&gt;0,
    COUNTIFS($BC$2:$BC$200,$G146)&gt;0,
    COUNTIFS($BD$2:$BD$200,$G146)&gt;0,
    COUNTIFS($BE$2:$BE$200,$G146)&gt;0,
    COUNTIFS($BF$2:$BF$200,$G146)&gt;0,
    COUNTIFS($BG$2:$BG$200,$G146)&gt;0,
    COUNTIFS($BH$2:$BH$200,$G146)&gt;0,
    COUNTIFS($BI$2:$BI$200,$G146)&gt;0,
    COUNTIFS($BJ$2:$BJ$200,$G146)&gt;0,
    COUNTIFS($BK$2:$BK$200,$G146)&gt;0,
    COUNTIFS($BL$2:$BL$200,$G146)&gt;0,
    COUNTIFS($BM$2:$BM$200,$G146)&gt;0,
   ),
  0)
 ),
"")</f>
        <v>4cRash</v>
      </c>
      <c r="D146" s="2" t="str" cm="1">
        <f t="array" aca="1" ref="D146" ca="1">IFERROR(
 INDEX(
  _xlfn._xlws.FILTER($V$1:$AY$1,
   TRANSPOSE(
    CHOOSE({1;2;3;4;5;6;7;8;9;10;11;12;13;14;15;16;17;18;19;20;21;22;23;24;25;26;27;28;29;30},
     COUNTIFS($V$2:$V$200,$G146)&gt;0,
     COUNTIFS($W$2:$W$200,$G146)&gt;0,
     COUNTIFS($X$2:$X$200,$G146)&gt;0,
     COUNTIFS($Y$2:$Y$200,$G146)&gt;0,
     COUNTIFS($Z$2:$Z$200,$G146)&gt;0,
     COUNTIFS($AA$2:$AA$200,$G146)&gt;0,
     COUNTIFS($AB$2:$AB$200,$G146)&gt;0,
     COUNTIFS($AC$2:$AC$200,$G146)&gt;0,
     COUNTIFS($AD$2:$AD$200,$G146)&gt;0,
     COUNTIFS($AE$2:$AE$200,$G146)&gt;0,
     COUNTIFS($AF$2:$AF$200,$G146)&gt;0,
     COUNTIFS($AG$2:$AG$200,$G146)&gt;0,
     COUNTIFS($AH$2:$AH$200,$G146)&gt;0,
     COUNTIFS($AI$2:$AI$200,$G146)&gt;0,
     COUNTIFS($AJ$2:$AJ$200,$G146)&gt;0,
     COUNTIFS($AK$2:$AK$200,$G146)&gt;0,
     COUNTIFS($AL$2:$AL$200,$G146)&gt;0,
     COUNTIFS($AM$2:$AM$200,$G146)&gt;0,
     COUNTIFS($AN$2:$AN$200,$G146)&gt;0,
     COUNTIFS($AO$2:$AO$200,$G146)&gt;0,
     COUNTIFS($AP$2:$AP$200,$G146)&gt;0,
     COUNTIFS($AQ$2:$AQ$200,$G146)&gt;0,
     COUNTIFS($AR$2:$AR$200,$G146)&gt;0,
     COUNTIFS($AS$2:$AS$200,$G146)&gt;0,
     COUNTIFS($AT$2:$AT$200,$G146)&gt;0,
     COUNTIFS($AU$2:$AU$200,$G146)&gt;0,
     COUNTIFS($AV$2:$AV$200,$G146)&gt;0,
     COUNTIFS($AW$2:$AW$200,$G146)&gt;0,
     COUNTIFS($AX$2:$AX$200,$G146)&gt;0,
     COUNTIFS($AY$2:$AY$200,$G146)&gt;0
   )),
  ),
  2
 ),
"")</f>
        <v/>
      </c>
      <c r="E146" s="2" t="str" cm="1">
        <f t="array" aca="1" ref="E146" ca="1">IFERROR(
 INDEX(
  _xlfn._xlws.FILTER($V$1:$AY$1,
   TRANSPOSE(
    CHOOSE({1;2;3;4;5;6;7;8;9;10;11;12;13;14;15;16;17;18;19;20;21;22;23;24;25;26;27;28;29;30},
     COUNTIFS($V$2:$V$200,$G146)&gt;0,
     COUNTIFS($W$2:$W$200,$G146)&gt;0,
     COUNTIFS($X$2:$X$200,$G146)&gt;0,
     COUNTIFS($Y$2:$Y$200,$G146)&gt;0,
     COUNTIFS($Z$2:$Z$200,$G146)&gt;0,
     COUNTIFS($AA$2:$AA$200,$G146)&gt;0,
     COUNTIFS($AB$2:$AB$200,$G146)&gt;0,
     COUNTIFS($AC$2:$AC$200,$G146)&gt;0,
     COUNTIFS($AD$2:$AD$200,$G146)&gt;0,
     COUNTIFS($AE$2:$AE$200,$G146)&gt;0,
     COUNTIFS($AF$2:$AF$200,$G146)&gt;0,
     COUNTIFS($AG$2:$AG$200,$G146)&gt;0,
     COUNTIFS($AH$2:$AH$200,$G146)&gt;0,
     COUNTIFS($AI$2:$AI$200,$G146)&gt;0,
     COUNTIFS($AJ$2:$AJ$200,$G146)&gt;0,
     COUNTIFS($AK$2:$AK$200,$G146)&gt;0,
     COUNTIFS($AL$2:$AL$200,$G146)&gt;0,
     COUNTIFS($AM$2:$AM$200,$G146)&gt;0,
     COUNTIFS($AN$2:$AN$200,$G146)&gt;0,
     COUNTIFS($AO$2:$AO$200,$G146)&gt;0,
     COUNTIFS($AP$2:$AP$200,$G146)&gt;0,
     COUNTIFS($AQ$2:$AQ$200,$G146)&gt;0,
     COUNTIFS($AR$2:$AR$200,$G146)&gt;0,
     COUNTIFS($AS$2:$AS$200,$G146)&gt;0,
     COUNTIFS($AT$2:$AT$200,$G146)&gt;0,
     COUNTIFS($AU$2:$AU$200,$G146)&gt;0,
     COUNTIFS($AV$2:$AV$200,$G146)&gt;0,
     COUNTIFS($AW$2:$AW$200,$G146)&gt;0,
     COUNTIFS($AX$2:$AX$200,$G146)&gt;0,
     COUNTIFS($AY$2:$AY$200,$G146)&gt;0
   )),
  ),
  3
 ),
"")</f>
        <v/>
      </c>
      <c r="F146" s="2" t="str" cm="1">
        <f t="array" aca="1" ref="F146" ca="1">IFERROR(
 INDEX(
  _xlfn._xlws.FILTER($V$1:$AY$1,
   TRANSPOSE(
    CHOOSE({1;2;3;4;5;6;7;8;9;10;11;12;13;14;15;16;17;18;19;20;21;22;23;24;25;26;27;28;29;30},
     COUNTIFS($V$2:$V$200,$G146)&gt;0,
     COUNTIFS($W$2:$W$200,$G146)&gt;0,
     COUNTIFS($X$2:$X$200,$G146)&gt;0,
     COUNTIFS($Y$2:$Y$200,$G146)&gt;0,
     COUNTIFS($Z$2:$Z$200,$G146)&gt;0,
     COUNTIFS($AA$2:$AA$200,$G146)&gt;0,
     COUNTIFS($AB$2:$AB$200,$G146)&gt;0,
     COUNTIFS($AC$2:$AC$200,$G146)&gt;0,
     COUNTIFS($AD$2:$AD$200,$G146)&gt;0,
     COUNTIFS($AE$2:$AE$200,$G146)&gt;0,
     COUNTIFS($AF$2:$AF$200,$G146)&gt;0,
     COUNTIFS($AG$2:$AG$200,$G146)&gt;0,
     COUNTIFS($AH$2:$AH$200,$G146)&gt;0,
     COUNTIFS($AI$2:$AI$200,$G146)&gt;0,
     COUNTIFS($AJ$2:$AJ$200,$G146)&gt;0,
     COUNTIFS($AK$2:$AK$200,$G146)&gt;0,
     COUNTIFS($AL$2:$AL$200,$G146)&gt;0,
     COUNTIFS($AM$2:$AM$200,$G146)&gt;0,
     COUNTIFS($AN$2:$AN$200,$G146)&gt;0,
     COUNTIFS($AO$2:$AO$200,$G146)&gt;0,
     COUNTIFS($AP$2:$AP$200,$G146)&gt;0,
     COUNTIFS($AQ$2:$AQ$200,$G146)&gt;0,
     COUNTIFS($AR$2:$AR$200,$G146)&gt;0,
     COUNTIFS($AS$2:$AS$200,$G146)&gt;0,
     COUNTIFS($AT$2:$AT$200,$G146)&gt;0,
     COUNTIFS($AU$2:$AU$200,$G146)&gt;0,
     COUNTIFS($AV$2:$AV$200,$G146)&gt;0,
     COUNTIFS($AW$2:$AW$200,$G146)&gt;0,
     COUNTIFS($AX$2:$AX$200,$G146)&gt;0,
     COUNTIFS($AY$2:$AY$200,$G146)&gt;0
   )),
  ),
  4
 ),
"")</f>
        <v/>
      </c>
      <c r="G146" t="str">
        <f ca="1"/>
        <v>Entish Restoration</v>
      </c>
      <c r="EP146" t="str">
        <f ca="1"/>
        <v>Spectator Seating</v>
      </c>
      <c r="EQ146" t="str">
        <f ca="1"/>
        <v>Sliver Overlord</v>
      </c>
      <c r="ER146" t="str">
        <f ca="1"/>
        <v>Reality Shift</v>
      </c>
      <c r="EU146" t="str">
        <f ca="1"/>
        <v>Inventors' Fair</v>
      </c>
      <c r="EV146" t="str">
        <f ca="1"/>
        <v>Reality Shift</v>
      </c>
      <c r="EX146" t="str">
        <f ca="1"/>
        <v>Entish Restoration</v>
      </c>
    </row>
    <row r="147" spans="1:154" x14ac:dyDescent="0.25">
      <c r="A147" s="2" t="str">
        <f t="shared" ca="1" si="10"/>
        <v>2</v>
      </c>
      <c r="B147" s="2">
        <f t="shared" ca="1" si="11"/>
        <v>1</v>
      </c>
      <c r="C147" s="2" t="str">
        <f ca="1">IFERROR(
 INDEX($V$1:$BL$1,
  MATCH(TRUE,
   CHOOSE({1;2;3;4;5;6;7;8;9;10;11;12;13;14;15;16;17;18;19;20;21;22;23;24;25;26;27;28;29;30;31;32;33;34;35;36;37;38;39;40;41;42;43},
    COUNTIFS($V$2:$V$200,$G147)&gt;0,
    COUNTIFS($W$2:$W$200,$G147)&gt;0,
    COUNTIFS($X$2:$X$200,$G147)&gt;0,
    COUNTIFS($Y$2:$Y$200,$G147)&gt;0,
    COUNTIFS($Z$2:$Z$200,$G147)&gt;0,
    COUNTIFS($AA$2:$AA$200,$G147)&gt;0,
    COUNTIFS($AB$2:$AB$200,$G147)&gt;0,
    COUNTIFS($AC$2:$AC$200,$G147)&gt;0,
    COUNTIFS($AD$2:$AD$200,$G147)&gt;0,
    COUNTIFS($AE$2:$AE$200,$G147)&gt;0,
    COUNTIFS($AF$2:$AF$200,$G147)&gt;0,
    COUNTIFS($AG$2:$AG$200,$G147)&gt;0,
    COUNTIFS($AH$2:$AH$200,$G147)&gt;0,
    COUNTIFS($AI$2:$AI$200,$G147)&gt;0,
    COUNTIFS($AJ$2:$AJ$200,$G147)&gt;0,
    COUNTIFS($AK$2:$AK$200,$G147)&gt;0,
    COUNTIFS($AL$2:$AL$200,$G147)&gt;0,
    COUNTIFS($AM$2:$AM$200,$G147)&gt;0,
    COUNTIFS($AN$2:$AN$200,$G147)&gt;0,
    COUNTIFS($AO$2:$AO$200,$G147)&gt;0,
    COUNTIFS($AP$2:$AP$200,$G147)&gt;0,
    COUNTIFS($AQ$2:$AQ$200,$G147)&gt;0,
    COUNTIFS($AR$2:$AR$200,$G147)&gt;0,
    COUNTIFS($AS$2:$AS$200,$G147)&gt;0,
    COUNTIFS($AT$2:$AT$200,$G147)&gt;0,
    COUNTIFS($AU$2:$AU$200,$G147)&gt;0,
    COUNTIFS($AV$2:$AV$200,$G147)&gt;0,
    COUNTIFS($AW$2:$AW$200,$G147)&gt;0,
    COUNTIFS($AX$2:$AX$200,$G147)&gt;0,
    COUNTIFS($AY$2:$AY$200,$G147)&gt;0,
    COUNTIFS($AZ$2:$AZ$200,$G147)&gt;0,
    COUNTIFS($BA$2:$BA$200,$G147)&gt;0,
    COUNTIFS($BB$2:$BB$200,$G147)&gt;0,
    COUNTIFS($BC$2:$BC$200,$G147)&gt;0,
    COUNTIFS($BD$2:$BD$200,$G147)&gt;0,
    COUNTIFS($BE$2:$BE$200,$G147)&gt;0,
    COUNTIFS($BF$2:$BF$200,$G147)&gt;0,
    COUNTIFS($BG$2:$BG$200,$G147)&gt;0,
    COUNTIFS($BH$2:$BH$200,$G147)&gt;0,
    COUNTIFS($BI$2:$BI$200,$G147)&gt;0,
    COUNTIFS($BJ$2:$BJ$200,$G147)&gt;0,
    COUNTIFS($BK$2:$BK$200,$G147)&gt;0,
    COUNTIFS($BL$2:$BL$200,$G147)&gt;0,
    COUNTIFS($BM$2:$BM$200,$G147)&gt;0,
   ),
  0)
 ),
"")</f>
        <v>Gitrog</v>
      </c>
      <c r="D147" s="2" t="str" cm="1">
        <f t="array" aca="1" ref="D147" ca="1">IFERROR(
 INDEX(
  _xlfn._xlws.FILTER($V$1:$AY$1,
   TRANSPOSE(
    CHOOSE({1;2;3;4;5;6;7;8;9;10;11;12;13;14;15;16;17;18;19;20;21;22;23;24;25;26;27;28;29;30},
     COUNTIFS($V$2:$V$200,$G147)&gt;0,
     COUNTIFS($W$2:$W$200,$G147)&gt;0,
     COUNTIFS($X$2:$X$200,$G147)&gt;0,
     COUNTIFS($Y$2:$Y$200,$G147)&gt;0,
     COUNTIFS($Z$2:$Z$200,$G147)&gt;0,
     COUNTIFS($AA$2:$AA$200,$G147)&gt;0,
     COUNTIFS($AB$2:$AB$200,$G147)&gt;0,
     COUNTIFS($AC$2:$AC$200,$G147)&gt;0,
     COUNTIFS($AD$2:$AD$200,$G147)&gt;0,
     COUNTIFS($AE$2:$AE$200,$G147)&gt;0,
     COUNTIFS($AF$2:$AF$200,$G147)&gt;0,
     COUNTIFS($AG$2:$AG$200,$G147)&gt;0,
     COUNTIFS($AH$2:$AH$200,$G147)&gt;0,
     COUNTIFS($AI$2:$AI$200,$G147)&gt;0,
     COUNTIFS($AJ$2:$AJ$200,$G147)&gt;0,
     COUNTIFS($AK$2:$AK$200,$G147)&gt;0,
     COUNTIFS($AL$2:$AL$200,$G147)&gt;0,
     COUNTIFS($AM$2:$AM$200,$G147)&gt;0,
     COUNTIFS($AN$2:$AN$200,$G147)&gt;0,
     COUNTIFS($AO$2:$AO$200,$G147)&gt;0,
     COUNTIFS($AP$2:$AP$200,$G147)&gt;0,
     COUNTIFS($AQ$2:$AQ$200,$G147)&gt;0,
     COUNTIFS($AR$2:$AR$200,$G147)&gt;0,
     COUNTIFS($AS$2:$AS$200,$G147)&gt;0,
     COUNTIFS($AT$2:$AT$200,$G147)&gt;0,
     COUNTIFS($AU$2:$AU$200,$G147)&gt;0,
     COUNTIFS($AV$2:$AV$200,$G147)&gt;0,
     COUNTIFS($AW$2:$AW$200,$G147)&gt;0,
     COUNTIFS($AX$2:$AX$200,$G147)&gt;0,
     COUNTIFS($AY$2:$AY$200,$G147)&gt;0
   )),
  ),
  2
 ),
"")</f>
        <v/>
      </c>
      <c r="E147" s="2" t="str" cm="1">
        <f t="array" aca="1" ref="E147" ca="1">IFERROR(
 INDEX(
  _xlfn._xlws.FILTER($V$1:$AY$1,
   TRANSPOSE(
    CHOOSE({1;2;3;4;5;6;7;8;9;10;11;12;13;14;15;16;17;18;19;20;21;22;23;24;25;26;27;28;29;30},
     COUNTIFS($V$2:$V$200,$G147)&gt;0,
     COUNTIFS($W$2:$W$200,$G147)&gt;0,
     COUNTIFS($X$2:$X$200,$G147)&gt;0,
     COUNTIFS($Y$2:$Y$200,$G147)&gt;0,
     COUNTIFS($Z$2:$Z$200,$G147)&gt;0,
     COUNTIFS($AA$2:$AA$200,$G147)&gt;0,
     COUNTIFS($AB$2:$AB$200,$G147)&gt;0,
     COUNTIFS($AC$2:$AC$200,$G147)&gt;0,
     COUNTIFS($AD$2:$AD$200,$G147)&gt;0,
     COUNTIFS($AE$2:$AE$200,$G147)&gt;0,
     COUNTIFS($AF$2:$AF$200,$G147)&gt;0,
     COUNTIFS($AG$2:$AG$200,$G147)&gt;0,
     COUNTIFS($AH$2:$AH$200,$G147)&gt;0,
     COUNTIFS($AI$2:$AI$200,$G147)&gt;0,
     COUNTIFS($AJ$2:$AJ$200,$G147)&gt;0,
     COUNTIFS($AK$2:$AK$200,$G147)&gt;0,
     COUNTIFS($AL$2:$AL$200,$G147)&gt;0,
     COUNTIFS($AM$2:$AM$200,$G147)&gt;0,
     COUNTIFS($AN$2:$AN$200,$G147)&gt;0,
     COUNTIFS($AO$2:$AO$200,$G147)&gt;0,
     COUNTIFS($AP$2:$AP$200,$G147)&gt;0,
     COUNTIFS($AQ$2:$AQ$200,$G147)&gt;0,
     COUNTIFS($AR$2:$AR$200,$G147)&gt;0,
     COUNTIFS($AS$2:$AS$200,$G147)&gt;0,
     COUNTIFS($AT$2:$AT$200,$G147)&gt;0,
     COUNTIFS($AU$2:$AU$200,$G147)&gt;0,
     COUNTIFS($AV$2:$AV$200,$G147)&gt;0,
     COUNTIFS($AW$2:$AW$200,$G147)&gt;0,
     COUNTIFS($AX$2:$AX$200,$G147)&gt;0,
     COUNTIFS($AY$2:$AY$200,$G147)&gt;0
   )),
  ),
  3
 ),
"")</f>
        <v/>
      </c>
      <c r="F147" s="2" t="str" cm="1">
        <f t="array" aca="1" ref="F147" ca="1">IFERROR(
 INDEX(
  _xlfn._xlws.FILTER($V$1:$AY$1,
   TRANSPOSE(
    CHOOSE({1;2;3;4;5;6;7;8;9;10;11;12;13;14;15;16;17;18;19;20;21;22;23;24;25;26;27;28;29;30},
     COUNTIFS($V$2:$V$200,$G147)&gt;0,
     COUNTIFS($W$2:$W$200,$G147)&gt;0,
     COUNTIFS($X$2:$X$200,$G147)&gt;0,
     COUNTIFS($Y$2:$Y$200,$G147)&gt;0,
     COUNTIFS($Z$2:$Z$200,$G147)&gt;0,
     COUNTIFS($AA$2:$AA$200,$G147)&gt;0,
     COUNTIFS($AB$2:$AB$200,$G147)&gt;0,
     COUNTIFS($AC$2:$AC$200,$G147)&gt;0,
     COUNTIFS($AD$2:$AD$200,$G147)&gt;0,
     COUNTIFS($AE$2:$AE$200,$G147)&gt;0,
     COUNTIFS($AF$2:$AF$200,$G147)&gt;0,
     COUNTIFS($AG$2:$AG$200,$G147)&gt;0,
     COUNTIFS($AH$2:$AH$200,$G147)&gt;0,
     COUNTIFS($AI$2:$AI$200,$G147)&gt;0,
     COUNTIFS($AJ$2:$AJ$200,$G147)&gt;0,
     COUNTIFS($AK$2:$AK$200,$G147)&gt;0,
     COUNTIFS($AL$2:$AL$200,$G147)&gt;0,
     COUNTIFS($AM$2:$AM$200,$G147)&gt;0,
     COUNTIFS($AN$2:$AN$200,$G147)&gt;0,
     COUNTIFS($AO$2:$AO$200,$G147)&gt;0,
     COUNTIFS($AP$2:$AP$200,$G147)&gt;0,
     COUNTIFS($AQ$2:$AQ$200,$G147)&gt;0,
     COUNTIFS($AR$2:$AR$200,$G147)&gt;0,
     COUNTIFS($AS$2:$AS$200,$G147)&gt;0,
     COUNTIFS($AT$2:$AT$200,$G147)&gt;0,
     COUNTIFS($AU$2:$AU$200,$G147)&gt;0,
     COUNTIFS($AV$2:$AV$200,$G147)&gt;0,
     COUNTIFS($AW$2:$AW$200,$G147)&gt;0,
     COUNTIFS($AX$2:$AX$200,$G147)&gt;0,
     COUNTIFS($AY$2:$AY$200,$G147)&gt;0
   )),
  ),
  4
 ),
"")</f>
        <v/>
      </c>
      <c r="G147" t="str">
        <f ca="1"/>
        <v>Entomb</v>
      </c>
      <c r="EP147" t="str">
        <f ca="1"/>
        <v>Sphere Grid</v>
      </c>
      <c r="EQ147" t="str">
        <f ca="1"/>
        <v>Sliver Queen</v>
      </c>
      <c r="ER147" t="str">
        <f ca="1"/>
        <v>Reliquary Tower</v>
      </c>
      <c r="EU147" t="str">
        <f ca="1"/>
        <v>Inventory Management</v>
      </c>
      <c r="EV147" t="str">
        <f ca="1"/>
        <v>Reliquary Tower</v>
      </c>
      <c r="EX147" t="str">
        <f ca="1"/>
        <v>Entomb</v>
      </c>
    </row>
    <row r="148" spans="1:154" x14ac:dyDescent="0.25">
      <c r="A148" s="2" t="str">
        <f t="shared" ca="1" si="10"/>
        <v>5</v>
      </c>
      <c r="B148" s="2">
        <f t="shared" ca="1" si="11"/>
        <v>1</v>
      </c>
      <c r="C148" s="2" t="str">
        <f ca="1">IFERROR(
 INDEX($V$1:$BL$1,
  MATCH(TRUE,
   CHOOSE({1;2;3;4;5;6;7;8;9;10;11;12;13;14;15;16;17;18;19;20;21;22;23;24;25;26;27;28;29;30;31;32;33;34;35;36;37;38;39;40;41;42;43},
    COUNTIFS($V$2:$V$200,$G148)&gt;0,
    COUNTIFS($W$2:$W$200,$G148)&gt;0,
    COUNTIFS($X$2:$X$200,$G148)&gt;0,
    COUNTIFS($Y$2:$Y$200,$G148)&gt;0,
    COUNTIFS($Z$2:$Z$200,$G148)&gt;0,
    COUNTIFS($AA$2:$AA$200,$G148)&gt;0,
    COUNTIFS($AB$2:$AB$200,$G148)&gt;0,
    COUNTIFS($AC$2:$AC$200,$G148)&gt;0,
    COUNTIFS($AD$2:$AD$200,$G148)&gt;0,
    COUNTIFS($AE$2:$AE$200,$G148)&gt;0,
    COUNTIFS($AF$2:$AF$200,$G148)&gt;0,
    COUNTIFS($AG$2:$AG$200,$G148)&gt;0,
    COUNTIFS($AH$2:$AH$200,$G148)&gt;0,
    COUNTIFS($AI$2:$AI$200,$G148)&gt;0,
    COUNTIFS($AJ$2:$AJ$200,$G148)&gt;0,
    COUNTIFS($AK$2:$AK$200,$G148)&gt;0,
    COUNTIFS($AL$2:$AL$200,$G148)&gt;0,
    COUNTIFS($AM$2:$AM$200,$G148)&gt;0,
    COUNTIFS($AN$2:$AN$200,$G148)&gt;0,
    COUNTIFS($AO$2:$AO$200,$G148)&gt;0,
    COUNTIFS($AP$2:$AP$200,$G148)&gt;0,
    COUNTIFS($AQ$2:$AQ$200,$G148)&gt;0,
    COUNTIFS($AR$2:$AR$200,$G148)&gt;0,
    COUNTIFS($AS$2:$AS$200,$G148)&gt;0,
    COUNTIFS($AT$2:$AT$200,$G148)&gt;0,
    COUNTIFS($AU$2:$AU$200,$G148)&gt;0,
    COUNTIFS($AV$2:$AV$200,$G148)&gt;0,
    COUNTIFS($AW$2:$AW$200,$G148)&gt;0,
    COUNTIFS($AX$2:$AX$200,$G148)&gt;0,
    COUNTIFS($AY$2:$AY$200,$G148)&gt;0,
    COUNTIFS($AZ$2:$AZ$200,$G148)&gt;0,
    COUNTIFS($BA$2:$BA$200,$G148)&gt;0,
    COUNTIFS($BB$2:$BB$200,$G148)&gt;0,
    COUNTIFS($BC$2:$BC$200,$G148)&gt;0,
    COUNTIFS($BD$2:$BD$200,$G148)&gt;0,
    COUNTIFS($BE$2:$BE$200,$G148)&gt;0,
    COUNTIFS($BF$2:$BF$200,$G148)&gt;0,
    COUNTIFS($BG$2:$BG$200,$G148)&gt;0,
    COUNTIFS($BH$2:$BH$200,$G148)&gt;0,
    COUNTIFS($BI$2:$BI$200,$G148)&gt;0,
    COUNTIFS($BJ$2:$BJ$200,$G148)&gt;0,
    COUNTIFS($BK$2:$BK$200,$G148)&gt;0,
    COUNTIFS($BL$2:$BL$200,$G148)&gt;0,
    COUNTIFS($BM$2:$BM$200,$G148)&gt;0,
   ),
  0)
 ),
"")</f>
        <v>Yorion</v>
      </c>
      <c r="D148" s="2" t="str" cm="1">
        <f t="array" aca="1" ref="D148" ca="1">IFERROR(
 INDEX(
  _xlfn._xlws.FILTER($V$1:$AY$1,
   TRANSPOSE(
    CHOOSE({1;2;3;4;5;6;7;8;9;10;11;12;13;14;15;16;17;18;19;20;21;22;23;24;25;26;27;28;29;30},
     COUNTIFS($V$2:$V$200,$G148)&gt;0,
     COUNTIFS($W$2:$W$200,$G148)&gt;0,
     COUNTIFS($X$2:$X$200,$G148)&gt;0,
     COUNTIFS($Y$2:$Y$200,$G148)&gt;0,
     COUNTIFS($Z$2:$Z$200,$G148)&gt;0,
     COUNTIFS($AA$2:$AA$200,$G148)&gt;0,
     COUNTIFS($AB$2:$AB$200,$G148)&gt;0,
     COUNTIFS($AC$2:$AC$200,$G148)&gt;0,
     COUNTIFS($AD$2:$AD$200,$G148)&gt;0,
     COUNTIFS($AE$2:$AE$200,$G148)&gt;0,
     COUNTIFS($AF$2:$AF$200,$G148)&gt;0,
     COUNTIFS($AG$2:$AG$200,$G148)&gt;0,
     COUNTIFS($AH$2:$AH$200,$G148)&gt;0,
     COUNTIFS($AI$2:$AI$200,$G148)&gt;0,
     COUNTIFS($AJ$2:$AJ$200,$G148)&gt;0,
     COUNTIFS($AK$2:$AK$200,$G148)&gt;0,
     COUNTIFS($AL$2:$AL$200,$G148)&gt;0,
     COUNTIFS($AM$2:$AM$200,$G148)&gt;0,
     COUNTIFS($AN$2:$AN$200,$G148)&gt;0,
     COUNTIFS($AO$2:$AO$200,$G148)&gt;0,
     COUNTIFS($AP$2:$AP$200,$G148)&gt;0,
     COUNTIFS($AQ$2:$AQ$200,$G148)&gt;0,
     COUNTIFS($AR$2:$AR$200,$G148)&gt;0,
     COUNTIFS($AS$2:$AS$200,$G148)&gt;0,
     COUNTIFS($AT$2:$AT$200,$G148)&gt;0,
     COUNTIFS($AU$2:$AU$200,$G148)&gt;0,
     COUNTIFS($AV$2:$AV$200,$G148)&gt;0,
     COUNTIFS($AW$2:$AW$200,$G148)&gt;0,
     COUNTIFS($AX$2:$AX$200,$G148)&gt;0,
     COUNTIFS($AY$2:$AY$200,$G148)&gt;0
   )),
  ),
  2
 ),
"")</f>
        <v/>
      </c>
      <c r="E148" s="2" t="str" cm="1">
        <f t="array" aca="1" ref="E148" ca="1">IFERROR(
 INDEX(
  _xlfn._xlws.FILTER($V$1:$AY$1,
   TRANSPOSE(
    CHOOSE({1;2;3;4;5;6;7;8;9;10;11;12;13;14;15;16;17;18;19;20;21;22;23;24;25;26;27;28;29;30},
     COUNTIFS($V$2:$V$200,$G148)&gt;0,
     COUNTIFS($W$2:$W$200,$G148)&gt;0,
     COUNTIFS($X$2:$X$200,$G148)&gt;0,
     COUNTIFS($Y$2:$Y$200,$G148)&gt;0,
     COUNTIFS($Z$2:$Z$200,$G148)&gt;0,
     COUNTIFS($AA$2:$AA$200,$G148)&gt;0,
     COUNTIFS($AB$2:$AB$200,$G148)&gt;0,
     COUNTIFS($AC$2:$AC$200,$G148)&gt;0,
     COUNTIFS($AD$2:$AD$200,$G148)&gt;0,
     COUNTIFS($AE$2:$AE$200,$G148)&gt;0,
     COUNTIFS($AF$2:$AF$200,$G148)&gt;0,
     COUNTIFS($AG$2:$AG$200,$G148)&gt;0,
     COUNTIFS($AH$2:$AH$200,$G148)&gt;0,
     COUNTIFS($AI$2:$AI$200,$G148)&gt;0,
     COUNTIFS($AJ$2:$AJ$200,$G148)&gt;0,
     COUNTIFS($AK$2:$AK$200,$G148)&gt;0,
     COUNTIFS($AL$2:$AL$200,$G148)&gt;0,
     COUNTIFS($AM$2:$AM$200,$G148)&gt;0,
     COUNTIFS($AN$2:$AN$200,$G148)&gt;0,
     COUNTIFS($AO$2:$AO$200,$G148)&gt;0,
     COUNTIFS($AP$2:$AP$200,$G148)&gt;0,
     COUNTIFS($AQ$2:$AQ$200,$G148)&gt;0,
     COUNTIFS($AR$2:$AR$200,$G148)&gt;0,
     COUNTIFS($AS$2:$AS$200,$G148)&gt;0,
     COUNTIFS($AT$2:$AT$200,$G148)&gt;0,
     COUNTIFS($AU$2:$AU$200,$G148)&gt;0,
     COUNTIFS($AV$2:$AV$200,$G148)&gt;0,
     COUNTIFS($AW$2:$AW$200,$G148)&gt;0,
     COUNTIFS($AX$2:$AX$200,$G148)&gt;0,
     COUNTIFS($AY$2:$AY$200,$G148)&gt;0
   )),
  ),
  3
 ),
"")</f>
        <v/>
      </c>
      <c r="F148" s="2" t="str" cm="1">
        <f t="array" aca="1" ref="F148" ca="1">IFERROR(
 INDEX(
  _xlfn._xlws.FILTER($V$1:$AY$1,
   TRANSPOSE(
    CHOOSE({1;2;3;4;5;6;7;8;9;10;11;12;13;14;15;16;17;18;19;20;21;22;23;24;25;26;27;28;29;30},
     COUNTIFS($V$2:$V$200,$G148)&gt;0,
     COUNTIFS($W$2:$W$200,$G148)&gt;0,
     COUNTIFS($X$2:$X$200,$G148)&gt;0,
     COUNTIFS($Y$2:$Y$200,$G148)&gt;0,
     COUNTIFS($Z$2:$Z$200,$G148)&gt;0,
     COUNTIFS($AA$2:$AA$200,$G148)&gt;0,
     COUNTIFS($AB$2:$AB$200,$G148)&gt;0,
     COUNTIFS($AC$2:$AC$200,$G148)&gt;0,
     COUNTIFS($AD$2:$AD$200,$G148)&gt;0,
     COUNTIFS($AE$2:$AE$200,$G148)&gt;0,
     COUNTIFS($AF$2:$AF$200,$G148)&gt;0,
     COUNTIFS($AG$2:$AG$200,$G148)&gt;0,
     COUNTIFS($AH$2:$AH$200,$G148)&gt;0,
     COUNTIFS($AI$2:$AI$200,$G148)&gt;0,
     COUNTIFS($AJ$2:$AJ$200,$G148)&gt;0,
     COUNTIFS($AK$2:$AK$200,$G148)&gt;0,
     COUNTIFS($AL$2:$AL$200,$G148)&gt;0,
     COUNTIFS($AM$2:$AM$200,$G148)&gt;0,
     COUNTIFS($AN$2:$AN$200,$G148)&gt;0,
     COUNTIFS($AO$2:$AO$200,$G148)&gt;0,
     COUNTIFS($AP$2:$AP$200,$G148)&gt;0,
     COUNTIFS($AQ$2:$AQ$200,$G148)&gt;0,
     COUNTIFS($AR$2:$AR$200,$G148)&gt;0,
     COUNTIFS($AS$2:$AS$200,$G148)&gt;0,
     COUNTIFS($AT$2:$AT$200,$G148)&gt;0,
     COUNTIFS($AU$2:$AU$200,$G148)&gt;0,
     COUNTIFS($AV$2:$AV$200,$G148)&gt;0,
     COUNTIFS($AW$2:$AW$200,$G148)&gt;0,
     COUNTIFS($AX$2:$AX$200,$G148)&gt;0,
     COUNTIFS($AY$2:$AY$200,$G148)&gt;0
   )),
  ),
  4
 ),
"")</f>
        <v/>
      </c>
      <c r="G148" t="str">
        <f ca="1"/>
        <v>Ephara, God of the Polis</v>
      </c>
      <c r="EP148" t="str">
        <f ca="1"/>
        <v>Springleaf Parade</v>
      </c>
      <c r="EQ148" t="str">
        <f ca="1"/>
        <v>Sokenzan, Crucible of Defiance</v>
      </c>
      <c r="ER148" t="str">
        <f ca="1"/>
        <v>Respite</v>
      </c>
      <c r="EU148" t="str">
        <f ca="1"/>
        <v>Island</v>
      </c>
      <c r="EV148" t="str">
        <f ca="1"/>
        <v>Respite</v>
      </c>
      <c r="EX148" t="str">
        <f ca="1"/>
        <v>Ephara, God of the Polis</v>
      </c>
    </row>
    <row r="149" spans="1:154" x14ac:dyDescent="0.25">
      <c r="A149" s="2" t="str">
        <f t="shared" ca="1" si="10"/>
        <v>5</v>
      </c>
      <c r="B149" s="2">
        <f t="shared" ca="1" si="11"/>
        <v>1</v>
      </c>
      <c r="C149" s="2" t="str">
        <f ca="1">IFERROR(
 INDEX($V$1:$BL$1,
  MATCH(TRUE,
   CHOOSE({1;2;3;4;5;6;7;8;9;10;11;12;13;14;15;16;17;18;19;20;21;22;23;24;25;26;27;28;29;30;31;32;33;34;35;36;37;38;39;40;41;42;43},
    COUNTIFS($V$2:$V$200,$G149)&gt;0,
    COUNTIFS($W$2:$W$200,$G149)&gt;0,
    COUNTIFS($X$2:$X$200,$G149)&gt;0,
    COUNTIFS($Y$2:$Y$200,$G149)&gt;0,
    COUNTIFS($Z$2:$Z$200,$G149)&gt;0,
    COUNTIFS($AA$2:$AA$200,$G149)&gt;0,
    COUNTIFS($AB$2:$AB$200,$G149)&gt;0,
    COUNTIFS($AC$2:$AC$200,$G149)&gt;0,
    COUNTIFS($AD$2:$AD$200,$G149)&gt;0,
    COUNTIFS($AE$2:$AE$200,$G149)&gt;0,
    COUNTIFS($AF$2:$AF$200,$G149)&gt;0,
    COUNTIFS($AG$2:$AG$200,$G149)&gt;0,
    COUNTIFS($AH$2:$AH$200,$G149)&gt;0,
    COUNTIFS($AI$2:$AI$200,$G149)&gt;0,
    COUNTIFS($AJ$2:$AJ$200,$G149)&gt;0,
    COUNTIFS($AK$2:$AK$200,$G149)&gt;0,
    COUNTIFS($AL$2:$AL$200,$G149)&gt;0,
    COUNTIFS($AM$2:$AM$200,$G149)&gt;0,
    COUNTIFS($AN$2:$AN$200,$G149)&gt;0,
    COUNTIFS($AO$2:$AO$200,$G149)&gt;0,
    COUNTIFS($AP$2:$AP$200,$G149)&gt;0,
    COUNTIFS($AQ$2:$AQ$200,$G149)&gt;0,
    COUNTIFS($AR$2:$AR$200,$G149)&gt;0,
    COUNTIFS($AS$2:$AS$200,$G149)&gt;0,
    COUNTIFS($AT$2:$AT$200,$G149)&gt;0,
    COUNTIFS($AU$2:$AU$200,$G149)&gt;0,
    COUNTIFS($AV$2:$AV$200,$G149)&gt;0,
    COUNTIFS($AW$2:$AW$200,$G149)&gt;0,
    COUNTIFS($AX$2:$AX$200,$G149)&gt;0,
    COUNTIFS($AY$2:$AY$200,$G149)&gt;0,
    COUNTIFS($AZ$2:$AZ$200,$G149)&gt;0,
    COUNTIFS($BA$2:$BA$200,$G149)&gt;0,
    COUNTIFS($BB$2:$BB$200,$G149)&gt;0,
    COUNTIFS($BC$2:$BC$200,$G149)&gt;0,
    COUNTIFS($BD$2:$BD$200,$G149)&gt;0,
    COUNTIFS($BE$2:$BE$200,$G149)&gt;0,
    COUNTIFS($BF$2:$BF$200,$G149)&gt;0,
    COUNTIFS($BG$2:$BG$200,$G149)&gt;0,
    COUNTIFS($BH$2:$BH$200,$G149)&gt;0,
    COUNTIFS($BI$2:$BI$200,$G149)&gt;0,
    COUNTIFS($BJ$2:$BJ$200,$G149)&gt;0,
    COUNTIFS($BK$2:$BK$200,$G149)&gt;0,
    COUNTIFS($BL$2:$BL$200,$G149)&gt;0,
    COUNTIFS($BM$2:$BM$200,$G149)&gt;0,
   ),
  0)
 ),
"")</f>
        <v>Yorion</v>
      </c>
      <c r="D149" s="2" t="str" cm="1">
        <f t="array" aca="1" ref="D149" ca="1">IFERROR(
 INDEX(
  _xlfn._xlws.FILTER($V$1:$AY$1,
   TRANSPOSE(
    CHOOSE({1;2;3;4;5;6;7;8;9;10;11;12;13;14;15;16;17;18;19;20;21;22;23;24;25;26;27;28;29;30},
     COUNTIFS($V$2:$V$200,$G149)&gt;0,
     COUNTIFS($W$2:$W$200,$G149)&gt;0,
     COUNTIFS($X$2:$X$200,$G149)&gt;0,
     COUNTIFS($Y$2:$Y$200,$G149)&gt;0,
     COUNTIFS($Z$2:$Z$200,$G149)&gt;0,
     COUNTIFS($AA$2:$AA$200,$G149)&gt;0,
     COUNTIFS($AB$2:$AB$200,$G149)&gt;0,
     COUNTIFS($AC$2:$AC$200,$G149)&gt;0,
     COUNTIFS($AD$2:$AD$200,$G149)&gt;0,
     COUNTIFS($AE$2:$AE$200,$G149)&gt;0,
     COUNTIFS($AF$2:$AF$200,$G149)&gt;0,
     COUNTIFS($AG$2:$AG$200,$G149)&gt;0,
     COUNTIFS($AH$2:$AH$200,$G149)&gt;0,
     COUNTIFS($AI$2:$AI$200,$G149)&gt;0,
     COUNTIFS($AJ$2:$AJ$200,$G149)&gt;0,
     COUNTIFS($AK$2:$AK$200,$G149)&gt;0,
     COUNTIFS($AL$2:$AL$200,$G149)&gt;0,
     COUNTIFS($AM$2:$AM$200,$G149)&gt;0,
     COUNTIFS($AN$2:$AN$200,$G149)&gt;0,
     COUNTIFS($AO$2:$AO$200,$G149)&gt;0,
     COUNTIFS($AP$2:$AP$200,$G149)&gt;0,
     COUNTIFS($AQ$2:$AQ$200,$G149)&gt;0,
     COUNTIFS($AR$2:$AR$200,$G149)&gt;0,
     COUNTIFS($AS$2:$AS$200,$G149)&gt;0,
     COUNTIFS($AT$2:$AT$200,$G149)&gt;0,
     COUNTIFS($AU$2:$AU$200,$G149)&gt;0,
     COUNTIFS($AV$2:$AV$200,$G149)&gt;0,
     COUNTIFS($AW$2:$AW$200,$G149)&gt;0,
     COUNTIFS($AX$2:$AX$200,$G149)&gt;0,
     COUNTIFS($AY$2:$AY$200,$G149)&gt;0
   )),
  ),
  2
 ),
"")</f>
        <v/>
      </c>
      <c r="E149" s="2" t="str" cm="1">
        <f t="array" aca="1" ref="E149" ca="1">IFERROR(
 INDEX(
  _xlfn._xlws.FILTER($V$1:$AY$1,
   TRANSPOSE(
    CHOOSE({1;2;3;4;5;6;7;8;9;10;11;12;13;14;15;16;17;18;19;20;21;22;23;24;25;26;27;28;29;30},
     COUNTIFS($V$2:$V$200,$G149)&gt;0,
     COUNTIFS($W$2:$W$200,$G149)&gt;0,
     COUNTIFS($X$2:$X$200,$G149)&gt;0,
     COUNTIFS($Y$2:$Y$200,$G149)&gt;0,
     COUNTIFS($Z$2:$Z$200,$G149)&gt;0,
     COUNTIFS($AA$2:$AA$200,$G149)&gt;0,
     COUNTIFS($AB$2:$AB$200,$G149)&gt;0,
     COUNTIFS($AC$2:$AC$200,$G149)&gt;0,
     COUNTIFS($AD$2:$AD$200,$G149)&gt;0,
     COUNTIFS($AE$2:$AE$200,$G149)&gt;0,
     COUNTIFS($AF$2:$AF$200,$G149)&gt;0,
     COUNTIFS($AG$2:$AG$200,$G149)&gt;0,
     COUNTIFS($AH$2:$AH$200,$G149)&gt;0,
     COUNTIFS($AI$2:$AI$200,$G149)&gt;0,
     COUNTIFS($AJ$2:$AJ$200,$G149)&gt;0,
     COUNTIFS($AK$2:$AK$200,$G149)&gt;0,
     COUNTIFS($AL$2:$AL$200,$G149)&gt;0,
     COUNTIFS($AM$2:$AM$200,$G149)&gt;0,
     COUNTIFS($AN$2:$AN$200,$G149)&gt;0,
     COUNTIFS($AO$2:$AO$200,$G149)&gt;0,
     COUNTIFS($AP$2:$AP$200,$G149)&gt;0,
     COUNTIFS($AQ$2:$AQ$200,$G149)&gt;0,
     COUNTIFS($AR$2:$AR$200,$G149)&gt;0,
     COUNTIFS($AS$2:$AS$200,$G149)&gt;0,
     COUNTIFS($AT$2:$AT$200,$G149)&gt;0,
     COUNTIFS($AU$2:$AU$200,$G149)&gt;0,
     COUNTIFS($AV$2:$AV$200,$G149)&gt;0,
     COUNTIFS($AW$2:$AW$200,$G149)&gt;0,
     COUNTIFS($AX$2:$AX$200,$G149)&gt;0,
     COUNTIFS($AY$2:$AY$200,$G149)&gt;0
   )),
  ),
  3
 ),
"")</f>
        <v/>
      </c>
      <c r="F149" s="2" t="str" cm="1">
        <f t="array" aca="1" ref="F149" ca="1">IFERROR(
 INDEX(
  _xlfn._xlws.FILTER($V$1:$AY$1,
   TRANSPOSE(
    CHOOSE({1;2;3;4;5;6;7;8;9;10;11;12;13;14;15;16;17;18;19;20;21;22;23;24;25;26;27;28;29;30},
     COUNTIFS($V$2:$V$200,$G149)&gt;0,
     COUNTIFS($W$2:$W$200,$G149)&gt;0,
     COUNTIFS($X$2:$X$200,$G149)&gt;0,
     COUNTIFS($Y$2:$Y$200,$G149)&gt;0,
     COUNTIFS($Z$2:$Z$200,$G149)&gt;0,
     COUNTIFS($AA$2:$AA$200,$G149)&gt;0,
     COUNTIFS($AB$2:$AB$200,$G149)&gt;0,
     COUNTIFS($AC$2:$AC$200,$G149)&gt;0,
     COUNTIFS($AD$2:$AD$200,$G149)&gt;0,
     COUNTIFS($AE$2:$AE$200,$G149)&gt;0,
     COUNTIFS($AF$2:$AF$200,$G149)&gt;0,
     COUNTIFS($AG$2:$AG$200,$G149)&gt;0,
     COUNTIFS($AH$2:$AH$200,$G149)&gt;0,
     COUNTIFS($AI$2:$AI$200,$G149)&gt;0,
     COUNTIFS($AJ$2:$AJ$200,$G149)&gt;0,
     COUNTIFS($AK$2:$AK$200,$G149)&gt;0,
     COUNTIFS($AL$2:$AL$200,$G149)&gt;0,
     COUNTIFS($AM$2:$AM$200,$G149)&gt;0,
     COUNTIFS($AN$2:$AN$200,$G149)&gt;0,
     COUNTIFS($AO$2:$AO$200,$G149)&gt;0,
     COUNTIFS($AP$2:$AP$200,$G149)&gt;0,
     COUNTIFS($AQ$2:$AQ$200,$G149)&gt;0,
     COUNTIFS($AR$2:$AR$200,$G149)&gt;0,
     COUNTIFS($AS$2:$AS$200,$G149)&gt;0,
     COUNTIFS($AT$2:$AT$200,$G149)&gt;0,
     COUNTIFS($AU$2:$AU$200,$G149)&gt;0,
     COUNTIFS($AV$2:$AV$200,$G149)&gt;0,
     COUNTIFS($AW$2:$AW$200,$G149)&gt;0,
     COUNTIFS($AX$2:$AX$200,$G149)&gt;0,
     COUNTIFS($AY$2:$AY$200,$G149)&gt;0
   )),
  ),
  4
 ),
"")</f>
        <v/>
      </c>
      <c r="G149" t="str">
        <f ca="1"/>
        <v>Ephemerate</v>
      </c>
      <c r="EP149" t="str">
        <f ca="1"/>
        <v>Stoneforge Mystic</v>
      </c>
      <c r="EQ149" t="str">
        <f ca="1"/>
        <v>Sol Ring</v>
      </c>
      <c r="ER149" t="str">
        <f ca="1"/>
        <v>Restoration Angel</v>
      </c>
      <c r="EU149" t="str">
        <f ca="1"/>
        <v>Jenova, Ancient Calamity</v>
      </c>
      <c r="EV149" t="str">
        <f ca="1"/>
        <v>Restoration Angel</v>
      </c>
      <c r="EX149" t="str">
        <f ca="1"/>
        <v>Ephemerate</v>
      </c>
    </row>
    <row r="150" spans="1:154" x14ac:dyDescent="0.25">
      <c r="A150" s="2" t="str">
        <f t="shared" ca="1" si="10"/>
        <v>5</v>
      </c>
      <c r="B150" s="2">
        <f t="shared" ca="1" si="11"/>
        <v>1</v>
      </c>
      <c r="C150" s="2" t="str">
        <f ca="1">IFERROR(
 INDEX($V$1:$BL$1,
  MATCH(TRUE,
   CHOOSE({1;2;3;4;5;6;7;8;9;10;11;12;13;14;15;16;17;18;19;20;21;22;23;24;25;26;27;28;29;30;31;32;33;34;35;36;37;38;39;40;41;42;43},
    COUNTIFS($V$2:$V$200,$G150)&gt;0,
    COUNTIFS($W$2:$W$200,$G150)&gt;0,
    COUNTIFS($X$2:$X$200,$G150)&gt;0,
    COUNTIFS($Y$2:$Y$200,$G150)&gt;0,
    COUNTIFS($Z$2:$Z$200,$G150)&gt;0,
    COUNTIFS($AA$2:$AA$200,$G150)&gt;0,
    COUNTIFS($AB$2:$AB$200,$G150)&gt;0,
    COUNTIFS($AC$2:$AC$200,$G150)&gt;0,
    COUNTIFS($AD$2:$AD$200,$G150)&gt;0,
    COUNTIFS($AE$2:$AE$200,$G150)&gt;0,
    COUNTIFS($AF$2:$AF$200,$G150)&gt;0,
    COUNTIFS($AG$2:$AG$200,$G150)&gt;0,
    COUNTIFS($AH$2:$AH$200,$G150)&gt;0,
    COUNTIFS($AI$2:$AI$200,$G150)&gt;0,
    COUNTIFS($AJ$2:$AJ$200,$G150)&gt;0,
    COUNTIFS($AK$2:$AK$200,$G150)&gt;0,
    COUNTIFS($AL$2:$AL$200,$G150)&gt;0,
    COUNTIFS($AM$2:$AM$200,$G150)&gt;0,
    COUNTIFS($AN$2:$AN$200,$G150)&gt;0,
    COUNTIFS($AO$2:$AO$200,$G150)&gt;0,
    COUNTIFS($AP$2:$AP$200,$G150)&gt;0,
    COUNTIFS($AQ$2:$AQ$200,$G150)&gt;0,
    COUNTIFS($AR$2:$AR$200,$G150)&gt;0,
    COUNTIFS($AS$2:$AS$200,$G150)&gt;0,
    COUNTIFS($AT$2:$AT$200,$G150)&gt;0,
    COUNTIFS($AU$2:$AU$200,$G150)&gt;0,
    COUNTIFS($AV$2:$AV$200,$G150)&gt;0,
    COUNTIFS($AW$2:$AW$200,$G150)&gt;0,
    COUNTIFS($AX$2:$AX$200,$G150)&gt;0,
    COUNTIFS($AY$2:$AY$200,$G150)&gt;0,
    COUNTIFS($AZ$2:$AZ$200,$G150)&gt;0,
    COUNTIFS($BA$2:$BA$200,$G150)&gt;0,
    COUNTIFS($BB$2:$BB$200,$G150)&gt;0,
    COUNTIFS($BC$2:$BC$200,$G150)&gt;0,
    COUNTIFS($BD$2:$BD$200,$G150)&gt;0,
    COUNTIFS($BE$2:$BE$200,$G150)&gt;0,
    COUNTIFS($BF$2:$BF$200,$G150)&gt;0,
    COUNTIFS($BG$2:$BG$200,$G150)&gt;0,
    COUNTIFS($BH$2:$BH$200,$G150)&gt;0,
    COUNTIFS($BI$2:$BI$200,$G150)&gt;0,
    COUNTIFS($BJ$2:$BJ$200,$G150)&gt;0,
    COUNTIFS($BK$2:$BK$200,$G150)&gt;0,
    COUNTIFS($BL$2:$BL$200,$G150)&gt;0,
    COUNTIFS($BM$2:$BM$200,$G150)&gt;0,
   ),
  0)
 ),
"")</f>
        <v>Fractius</v>
      </c>
      <c r="D150" s="2" t="str" cm="1">
        <f t="array" aca="1" ref="D150" ca="1">IFERROR(
 INDEX(
  _xlfn._xlws.FILTER($V$1:$AY$1,
   TRANSPOSE(
    CHOOSE({1;2;3;4;5;6;7;8;9;10;11;12;13;14;15;16;17;18;19;20;21;22;23;24;25;26;27;28;29;30},
     COUNTIFS($V$2:$V$200,$G150)&gt;0,
     COUNTIFS($W$2:$W$200,$G150)&gt;0,
     COUNTIFS($X$2:$X$200,$G150)&gt;0,
     COUNTIFS($Y$2:$Y$200,$G150)&gt;0,
     COUNTIFS($Z$2:$Z$200,$G150)&gt;0,
     COUNTIFS($AA$2:$AA$200,$G150)&gt;0,
     COUNTIFS($AB$2:$AB$200,$G150)&gt;0,
     COUNTIFS($AC$2:$AC$200,$G150)&gt;0,
     COUNTIFS($AD$2:$AD$200,$G150)&gt;0,
     COUNTIFS($AE$2:$AE$200,$G150)&gt;0,
     COUNTIFS($AF$2:$AF$200,$G150)&gt;0,
     COUNTIFS($AG$2:$AG$200,$G150)&gt;0,
     COUNTIFS($AH$2:$AH$200,$G150)&gt;0,
     COUNTIFS($AI$2:$AI$200,$G150)&gt;0,
     COUNTIFS($AJ$2:$AJ$200,$G150)&gt;0,
     COUNTIFS($AK$2:$AK$200,$G150)&gt;0,
     COUNTIFS($AL$2:$AL$200,$G150)&gt;0,
     COUNTIFS($AM$2:$AM$200,$G150)&gt;0,
     COUNTIFS($AN$2:$AN$200,$G150)&gt;0,
     COUNTIFS($AO$2:$AO$200,$G150)&gt;0,
     COUNTIFS($AP$2:$AP$200,$G150)&gt;0,
     COUNTIFS($AQ$2:$AQ$200,$G150)&gt;0,
     COUNTIFS($AR$2:$AR$200,$G150)&gt;0,
     COUNTIFS($AS$2:$AS$200,$G150)&gt;0,
     COUNTIFS($AT$2:$AT$200,$G150)&gt;0,
     COUNTIFS($AU$2:$AU$200,$G150)&gt;0,
     COUNTIFS($AV$2:$AV$200,$G150)&gt;0,
     COUNTIFS($AW$2:$AW$200,$G150)&gt;0,
     COUNTIFS($AX$2:$AX$200,$G150)&gt;0,
     COUNTIFS($AY$2:$AY$200,$G150)&gt;0
   )),
  ),
  2
 ),
"")</f>
        <v/>
      </c>
      <c r="E150" s="2" t="str" cm="1">
        <f t="array" aca="1" ref="E150" ca="1">IFERROR(
 INDEX(
  _xlfn._xlws.FILTER($V$1:$AY$1,
   TRANSPOSE(
    CHOOSE({1;2;3;4;5;6;7;8;9;10;11;12;13;14;15;16;17;18;19;20;21;22;23;24;25;26;27;28;29;30},
     COUNTIFS($V$2:$V$200,$G150)&gt;0,
     COUNTIFS($W$2:$W$200,$G150)&gt;0,
     COUNTIFS($X$2:$X$200,$G150)&gt;0,
     COUNTIFS($Y$2:$Y$200,$G150)&gt;0,
     COUNTIFS($Z$2:$Z$200,$G150)&gt;0,
     COUNTIFS($AA$2:$AA$200,$G150)&gt;0,
     COUNTIFS($AB$2:$AB$200,$G150)&gt;0,
     COUNTIFS($AC$2:$AC$200,$G150)&gt;0,
     COUNTIFS($AD$2:$AD$200,$G150)&gt;0,
     COUNTIFS($AE$2:$AE$200,$G150)&gt;0,
     COUNTIFS($AF$2:$AF$200,$G150)&gt;0,
     COUNTIFS($AG$2:$AG$200,$G150)&gt;0,
     COUNTIFS($AH$2:$AH$200,$G150)&gt;0,
     COUNTIFS($AI$2:$AI$200,$G150)&gt;0,
     COUNTIFS($AJ$2:$AJ$200,$G150)&gt;0,
     COUNTIFS($AK$2:$AK$200,$G150)&gt;0,
     COUNTIFS($AL$2:$AL$200,$G150)&gt;0,
     COUNTIFS($AM$2:$AM$200,$G150)&gt;0,
     COUNTIFS($AN$2:$AN$200,$G150)&gt;0,
     COUNTIFS($AO$2:$AO$200,$G150)&gt;0,
     COUNTIFS($AP$2:$AP$200,$G150)&gt;0,
     COUNTIFS($AQ$2:$AQ$200,$G150)&gt;0,
     COUNTIFS($AR$2:$AR$200,$G150)&gt;0,
     COUNTIFS($AS$2:$AS$200,$G150)&gt;0,
     COUNTIFS($AT$2:$AT$200,$G150)&gt;0,
     COUNTIFS($AU$2:$AU$200,$G150)&gt;0,
     COUNTIFS($AV$2:$AV$200,$G150)&gt;0,
     COUNTIFS($AW$2:$AW$200,$G150)&gt;0,
     COUNTIFS($AX$2:$AX$200,$G150)&gt;0,
     COUNTIFS($AY$2:$AY$200,$G150)&gt;0
   )),
  ),
  3
 ),
"")</f>
        <v/>
      </c>
      <c r="F150" s="2" t="str" cm="1">
        <f t="array" aca="1" ref="F150" ca="1">IFERROR(
 INDEX(
  _xlfn._xlws.FILTER($V$1:$AY$1,
   TRANSPOSE(
    CHOOSE({1;2;3;4;5;6;7;8;9;10;11;12;13;14;15;16;17;18;19;20;21;22;23;24;25;26;27;28;29;30},
     COUNTIFS($V$2:$V$200,$G150)&gt;0,
     COUNTIFS($W$2:$W$200,$G150)&gt;0,
     COUNTIFS($X$2:$X$200,$G150)&gt;0,
     COUNTIFS($Y$2:$Y$200,$G150)&gt;0,
     COUNTIFS($Z$2:$Z$200,$G150)&gt;0,
     COUNTIFS($AA$2:$AA$200,$G150)&gt;0,
     COUNTIFS($AB$2:$AB$200,$G150)&gt;0,
     COUNTIFS($AC$2:$AC$200,$G150)&gt;0,
     COUNTIFS($AD$2:$AD$200,$G150)&gt;0,
     COUNTIFS($AE$2:$AE$200,$G150)&gt;0,
     COUNTIFS($AF$2:$AF$200,$G150)&gt;0,
     COUNTIFS($AG$2:$AG$200,$G150)&gt;0,
     COUNTIFS($AH$2:$AH$200,$G150)&gt;0,
     COUNTIFS($AI$2:$AI$200,$G150)&gt;0,
     COUNTIFS($AJ$2:$AJ$200,$G150)&gt;0,
     COUNTIFS($AK$2:$AK$200,$G150)&gt;0,
     COUNTIFS($AL$2:$AL$200,$G150)&gt;0,
     COUNTIFS($AM$2:$AM$200,$G150)&gt;0,
     COUNTIFS($AN$2:$AN$200,$G150)&gt;0,
     COUNTIFS($AO$2:$AO$200,$G150)&gt;0,
     COUNTIFS($AP$2:$AP$200,$G150)&gt;0,
     COUNTIFS($AQ$2:$AQ$200,$G150)&gt;0,
     COUNTIFS($AR$2:$AR$200,$G150)&gt;0,
     COUNTIFS($AS$2:$AS$200,$G150)&gt;0,
     COUNTIFS($AT$2:$AT$200,$G150)&gt;0,
     COUNTIFS($AU$2:$AU$200,$G150)&gt;0,
     COUNTIFS($AV$2:$AV$200,$G150)&gt;0,
     COUNTIFS($AW$2:$AW$200,$G150)&gt;0,
     COUNTIFS($AX$2:$AX$200,$G150)&gt;0,
     COUNTIFS($AY$2:$AY$200,$G150)&gt;0
   )),
  ),
  4
 ),
"")</f>
        <v/>
      </c>
      <c r="G150" t="str">
        <f ca="1"/>
        <v>Essence Sliver</v>
      </c>
      <c r="EP150" t="str">
        <f ca="1"/>
        <v>Stonybrook Banneret</v>
      </c>
      <c r="EQ150" t="str">
        <f ca="1"/>
        <v>Solid Ground</v>
      </c>
      <c r="ER150" t="str">
        <f ca="1"/>
        <v>Rewind</v>
      </c>
      <c r="EU150" t="str">
        <f ca="1"/>
        <v>Jetmir, Nexus of Revels</v>
      </c>
      <c r="EV150" t="str">
        <f ca="1"/>
        <v>Rewind</v>
      </c>
      <c r="EX150" t="str">
        <f ca="1"/>
        <v>Essence Sliver</v>
      </c>
    </row>
    <row r="151" spans="1:154" x14ac:dyDescent="0.25">
      <c r="A151" s="2" t="str">
        <f t="shared" ca="1" si="10"/>
        <v>5</v>
      </c>
      <c r="B151" s="2">
        <f t="shared" ca="1" si="11"/>
        <v>1</v>
      </c>
      <c r="C151" s="2" t="str">
        <f ca="1">IFERROR(
 INDEX($V$1:$BL$1,
  MATCH(TRUE,
   CHOOSE({1;2;3;4;5;6;7;8;9;10;11;12;13;14;15;16;17;18;19;20;21;22;23;24;25;26;27;28;29;30;31;32;33;34;35;36;37;38;39;40;41;42;43},
    COUNTIFS($V$2:$V$200,$G151)&gt;0,
    COUNTIFS($W$2:$W$200,$G151)&gt;0,
    COUNTIFS($X$2:$X$200,$G151)&gt;0,
    COUNTIFS($Y$2:$Y$200,$G151)&gt;0,
    COUNTIFS($Z$2:$Z$200,$G151)&gt;0,
    COUNTIFS($AA$2:$AA$200,$G151)&gt;0,
    COUNTIFS($AB$2:$AB$200,$G151)&gt;0,
    COUNTIFS($AC$2:$AC$200,$G151)&gt;0,
    COUNTIFS($AD$2:$AD$200,$G151)&gt;0,
    COUNTIFS($AE$2:$AE$200,$G151)&gt;0,
    COUNTIFS($AF$2:$AF$200,$G151)&gt;0,
    COUNTIFS($AG$2:$AG$200,$G151)&gt;0,
    COUNTIFS($AH$2:$AH$200,$G151)&gt;0,
    COUNTIFS($AI$2:$AI$200,$G151)&gt;0,
    COUNTIFS($AJ$2:$AJ$200,$G151)&gt;0,
    COUNTIFS($AK$2:$AK$200,$G151)&gt;0,
    COUNTIFS($AL$2:$AL$200,$G151)&gt;0,
    COUNTIFS($AM$2:$AM$200,$G151)&gt;0,
    COUNTIFS($AN$2:$AN$200,$G151)&gt;0,
    COUNTIFS($AO$2:$AO$200,$G151)&gt;0,
    COUNTIFS($AP$2:$AP$200,$G151)&gt;0,
    COUNTIFS($AQ$2:$AQ$200,$G151)&gt;0,
    COUNTIFS($AR$2:$AR$200,$G151)&gt;0,
    COUNTIFS($AS$2:$AS$200,$G151)&gt;0,
    COUNTIFS($AT$2:$AT$200,$G151)&gt;0,
    COUNTIFS($AU$2:$AU$200,$G151)&gt;0,
    COUNTIFS($AV$2:$AV$200,$G151)&gt;0,
    COUNTIFS($AW$2:$AW$200,$G151)&gt;0,
    COUNTIFS($AX$2:$AX$200,$G151)&gt;0,
    COUNTIFS($AY$2:$AY$200,$G151)&gt;0,
    COUNTIFS($AZ$2:$AZ$200,$G151)&gt;0,
    COUNTIFS($BA$2:$BA$200,$G151)&gt;0,
    COUNTIFS($BB$2:$BB$200,$G151)&gt;0,
    COUNTIFS($BC$2:$BC$200,$G151)&gt;0,
    COUNTIFS($BD$2:$BD$200,$G151)&gt;0,
    COUNTIFS($BE$2:$BE$200,$G151)&gt;0,
    COUNTIFS($BF$2:$BF$200,$G151)&gt;0,
    COUNTIFS($BG$2:$BG$200,$G151)&gt;0,
    COUNTIFS($BH$2:$BH$200,$G151)&gt;0,
    COUNTIFS($BI$2:$BI$200,$G151)&gt;0,
    COUNTIFS($BJ$2:$BJ$200,$G151)&gt;0,
    COUNTIFS($BK$2:$BK$200,$G151)&gt;0,
    COUNTIFS($BL$2:$BL$200,$G151)&gt;0,
    COUNTIFS($BM$2:$BM$200,$G151)&gt;0,
   ),
  0)
 ),
"")</f>
        <v>4cRash</v>
      </c>
      <c r="D151" s="2" t="str" cm="1">
        <f t="array" aca="1" ref="D151" ca="1">IFERROR(
 INDEX(
  _xlfn._xlws.FILTER($V$1:$AY$1,
   TRANSPOSE(
    CHOOSE({1;2;3;4;5;6;7;8;9;10;11;12;13;14;15;16;17;18;19;20;21;22;23;24;25;26;27;28;29;30},
     COUNTIFS($V$2:$V$200,$G151)&gt;0,
     COUNTIFS($W$2:$W$200,$G151)&gt;0,
     COUNTIFS($X$2:$X$200,$G151)&gt;0,
     COUNTIFS($Y$2:$Y$200,$G151)&gt;0,
     COUNTIFS($Z$2:$Z$200,$G151)&gt;0,
     COUNTIFS($AA$2:$AA$200,$G151)&gt;0,
     COUNTIFS($AB$2:$AB$200,$G151)&gt;0,
     COUNTIFS($AC$2:$AC$200,$G151)&gt;0,
     COUNTIFS($AD$2:$AD$200,$G151)&gt;0,
     COUNTIFS($AE$2:$AE$200,$G151)&gt;0,
     COUNTIFS($AF$2:$AF$200,$G151)&gt;0,
     COUNTIFS($AG$2:$AG$200,$G151)&gt;0,
     COUNTIFS($AH$2:$AH$200,$G151)&gt;0,
     COUNTIFS($AI$2:$AI$200,$G151)&gt;0,
     COUNTIFS($AJ$2:$AJ$200,$G151)&gt;0,
     COUNTIFS($AK$2:$AK$200,$G151)&gt;0,
     COUNTIFS($AL$2:$AL$200,$G151)&gt;0,
     COUNTIFS($AM$2:$AM$200,$G151)&gt;0,
     COUNTIFS($AN$2:$AN$200,$G151)&gt;0,
     COUNTIFS($AO$2:$AO$200,$G151)&gt;0,
     COUNTIFS($AP$2:$AP$200,$G151)&gt;0,
     COUNTIFS($AQ$2:$AQ$200,$G151)&gt;0,
     COUNTIFS($AR$2:$AR$200,$G151)&gt;0,
     COUNTIFS($AS$2:$AS$200,$G151)&gt;0,
     COUNTIFS($AT$2:$AT$200,$G151)&gt;0,
     COUNTIFS($AU$2:$AU$200,$G151)&gt;0,
     COUNTIFS($AV$2:$AV$200,$G151)&gt;0,
     COUNTIFS($AW$2:$AW$200,$G151)&gt;0,
     COUNTIFS($AX$2:$AX$200,$G151)&gt;0,
     COUNTIFS($AY$2:$AY$200,$G151)&gt;0
   )),
  ),
  2
 ),
"")</f>
        <v/>
      </c>
      <c r="E151" s="2" t="str" cm="1">
        <f t="array" aca="1" ref="E151" ca="1">IFERROR(
 INDEX(
  _xlfn._xlws.FILTER($V$1:$AY$1,
   TRANSPOSE(
    CHOOSE({1;2;3;4;5;6;7;8;9;10;11;12;13;14;15;16;17;18;19;20;21;22;23;24;25;26;27;28;29;30},
     COUNTIFS($V$2:$V$200,$G151)&gt;0,
     COUNTIFS($W$2:$W$200,$G151)&gt;0,
     COUNTIFS($X$2:$X$200,$G151)&gt;0,
     COUNTIFS($Y$2:$Y$200,$G151)&gt;0,
     COUNTIFS($Z$2:$Z$200,$G151)&gt;0,
     COUNTIFS($AA$2:$AA$200,$G151)&gt;0,
     COUNTIFS($AB$2:$AB$200,$G151)&gt;0,
     COUNTIFS($AC$2:$AC$200,$G151)&gt;0,
     COUNTIFS($AD$2:$AD$200,$G151)&gt;0,
     COUNTIFS($AE$2:$AE$200,$G151)&gt;0,
     COUNTIFS($AF$2:$AF$200,$G151)&gt;0,
     COUNTIFS($AG$2:$AG$200,$G151)&gt;0,
     COUNTIFS($AH$2:$AH$200,$G151)&gt;0,
     COUNTIFS($AI$2:$AI$200,$G151)&gt;0,
     COUNTIFS($AJ$2:$AJ$200,$G151)&gt;0,
     COUNTIFS($AK$2:$AK$200,$G151)&gt;0,
     COUNTIFS($AL$2:$AL$200,$G151)&gt;0,
     COUNTIFS($AM$2:$AM$200,$G151)&gt;0,
     COUNTIFS($AN$2:$AN$200,$G151)&gt;0,
     COUNTIFS($AO$2:$AO$200,$G151)&gt;0,
     COUNTIFS($AP$2:$AP$200,$G151)&gt;0,
     COUNTIFS($AQ$2:$AQ$200,$G151)&gt;0,
     COUNTIFS($AR$2:$AR$200,$G151)&gt;0,
     COUNTIFS($AS$2:$AS$200,$G151)&gt;0,
     COUNTIFS($AT$2:$AT$200,$G151)&gt;0,
     COUNTIFS($AU$2:$AU$200,$G151)&gt;0,
     COUNTIFS($AV$2:$AV$200,$G151)&gt;0,
     COUNTIFS($AW$2:$AW$200,$G151)&gt;0,
     COUNTIFS($AX$2:$AX$200,$G151)&gt;0,
     COUNTIFS($AY$2:$AY$200,$G151)&gt;0
   )),
  ),
  3
 ),
"")</f>
        <v/>
      </c>
      <c r="F151" s="2" t="str" cm="1">
        <f t="array" aca="1" ref="F151" ca="1">IFERROR(
 INDEX(
  _xlfn._xlws.FILTER($V$1:$AY$1,
   TRANSPOSE(
    CHOOSE({1;2;3;4;5;6;7;8;9;10;11;12;13;14;15;16;17;18;19;20;21;22;23;24;25;26;27;28;29;30},
     COUNTIFS($V$2:$V$200,$G151)&gt;0,
     COUNTIFS($W$2:$W$200,$G151)&gt;0,
     COUNTIFS($X$2:$X$200,$G151)&gt;0,
     COUNTIFS($Y$2:$Y$200,$G151)&gt;0,
     COUNTIFS($Z$2:$Z$200,$G151)&gt;0,
     COUNTIFS($AA$2:$AA$200,$G151)&gt;0,
     COUNTIFS($AB$2:$AB$200,$G151)&gt;0,
     COUNTIFS($AC$2:$AC$200,$G151)&gt;0,
     COUNTIFS($AD$2:$AD$200,$G151)&gt;0,
     COUNTIFS($AE$2:$AE$200,$G151)&gt;0,
     COUNTIFS($AF$2:$AF$200,$G151)&gt;0,
     COUNTIFS($AG$2:$AG$200,$G151)&gt;0,
     COUNTIFS($AH$2:$AH$200,$G151)&gt;0,
     COUNTIFS($AI$2:$AI$200,$G151)&gt;0,
     COUNTIFS($AJ$2:$AJ$200,$G151)&gt;0,
     COUNTIFS($AK$2:$AK$200,$G151)&gt;0,
     COUNTIFS($AL$2:$AL$200,$G151)&gt;0,
     COUNTIFS($AM$2:$AM$200,$G151)&gt;0,
     COUNTIFS($AN$2:$AN$200,$G151)&gt;0,
     COUNTIFS($AO$2:$AO$200,$G151)&gt;0,
     COUNTIFS($AP$2:$AP$200,$G151)&gt;0,
     COUNTIFS($AQ$2:$AQ$200,$G151)&gt;0,
     COUNTIFS($AR$2:$AR$200,$G151)&gt;0,
     COUNTIFS($AS$2:$AS$200,$G151)&gt;0,
     COUNTIFS($AT$2:$AT$200,$G151)&gt;0,
     COUNTIFS($AU$2:$AU$200,$G151)&gt;0,
     COUNTIFS($AV$2:$AV$200,$G151)&gt;0,
     COUNTIFS($AW$2:$AW$200,$G151)&gt;0,
     COUNTIFS($AX$2:$AX$200,$G151)&gt;0,
     COUNTIFS($AY$2:$AY$200,$G151)&gt;0
   )),
  ),
  4
 ),
"")</f>
        <v/>
      </c>
      <c r="G151" t="str">
        <f ca="1"/>
        <v>Eureka Moment</v>
      </c>
      <c r="EP151" t="str">
        <f ca="1"/>
        <v>Summon: Ixion</v>
      </c>
      <c r="EQ151" t="str">
        <f ca="1"/>
        <v>Sonic Screwdriver</v>
      </c>
      <c r="ER151" t="str">
        <f ca="1"/>
        <v>Roiling Regrowth</v>
      </c>
      <c r="EU151" t="str">
        <f ca="1"/>
        <v>Jetmir's Garden</v>
      </c>
      <c r="EV151" t="str">
        <f ca="1"/>
        <v>Roiling Regrowth</v>
      </c>
      <c r="EX151" t="str">
        <f ca="1"/>
        <v>Eureka Moment</v>
      </c>
    </row>
    <row r="152" spans="1:154" x14ac:dyDescent="0.25">
      <c r="A152" s="2" t="str">
        <f t="shared" ca="1" si="10"/>
        <v>5</v>
      </c>
      <c r="B152" s="2">
        <f t="shared" ca="1" si="11"/>
        <v>1</v>
      </c>
      <c r="C152" s="2" t="str">
        <f ca="1">IFERROR(
 INDEX($V$1:$BL$1,
  MATCH(TRUE,
   CHOOSE({1;2;3;4;5;6;7;8;9;10;11;12;13;14;15;16;17;18;19;20;21;22;23;24;25;26;27;28;29;30;31;32;33;34;35;36;37;38;39;40;41;42;43},
    COUNTIFS($V$2:$V$200,$G152)&gt;0,
    COUNTIFS($W$2:$W$200,$G152)&gt;0,
    COUNTIFS($X$2:$X$200,$G152)&gt;0,
    COUNTIFS($Y$2:$Y$200,$G152)&gt;0,
    COUNTIFS($Z$2:$Z$200,$G152)&gt;0,
    COUNTIFS($AA$2:$AA$200,$G152)&gt;0,
    COUNTIFS($AB$2:$AB$200,$G152)&gt;0,
    COUNTIFS($AC$2:$AC$200,$G152)&gt;0,
    COUNTIFS($AD$2:$AD$200,$G152)&gt;0,
    COUNTIFS($AE$2:$AE$200,$G152)&gt;0,
    COUNTIFS($AF$2:$AF$200,$G152)&gt;0,
    COUNTIFS($AG$2:$AG$200,$G152)&gt;0,
    COUNTIFS($AH$2:$AH$200,$G152)&gt;0,
    COUNTIFS($AI$2:$AI$200,$G152)&gt;0,
    COUNTIFS($AJ$2:$AJ$200,$G152)&gt;0,
    COUNTIFS($AK$2:$AK$200,$G152)&gt;0,
    COUNTIFS($AL$2:$AL$200,$G152)&gt;0,
    COUNTIFS($AM$2:$AM$200,$G152)&gt;0,
    COUNTIFS($AN$2:$AN$200,$G152)&gt;0,
    COUNTIFS($AO$2:$AO$200,$G152)&gt;0,
    COUNTIFS($AP$2:$AP$200,$G152)&gt;0,
    COUNTIFS($AQ$2:$AQ$200,$G152)&gt;0,
    COUNTIFS($AR$2:$AR$200,$G152)&gt;0,
    COUNTIFS($AS$2:$AS$200,$G152)&gt;0,
    COUNTIFS($AT$2:$AT$200,$G152)&gt;0,
    COUNTIFS($AU$2:$AU$200,$G152)&gt;0,
    COUNTIFS($AV$2:$AV$200,$G152)&gt;0,
    COUNTIFS($AW$2:$AW$200,$G152)&gt;0,
    COUNTIFS($AX$2:$AX$200,$G152)&gt;0,
    COUNTIFS($AY$2:$AY$200,$G152)&gt;0,
    COUNTIFS($AZ$2:$AZ$200,$G152)&gt;0,
    COUNTIFS($BA$2:$BA$200,$G152)&gt;0,
    COUNTIFS($BB$2:$BB$200,$G152)&gt;0,
    COUNTIFS($BC$2:$BC$200,$G152)&gt;0,
    COUNTIFS($BD$2:$BD$200,$G152)&gt;0,
    COUNTIFS($BE$2:$BE$200,$G152)&gt;0,
    COUNTIFS($BF$2:$BF$200,$G152)&gt;0,
    COUNTIFS($BG$2:$BG$200,$G152)&gt;0,
    COUNTIFS($BH$2:$BH$200,$G152)&gt;0,
    COUNTIFS($BI$2:$BI$200,$G152)&gt;0,
    COUNTIFS($BJ$2:$BJ$200,$G152)&gt;0,
    COUNTIFS($BK$2:$BK$200,$G152)&gt;0,
    COUNTIFS($BL$2:$BL$200,$G152)&gt;0,
    COUNTIFS($BM$2:$BM$200,$G152)&gt;0,
   ),
  0)
 ),
"")</f>
        <v>4cRash</v>
      </c>
      <c r="D152" s="2" t="str" cm="1">
        <f t="array" aca="1" ref="D152" ca="1">IFERROR(
 INDEX(
  _xlfn._xlws.FILTER($V$1:$AY$1,
   TRANSPOSE(
    CHOOSE({1;2;3;4;5;6;7;8;9;10;11;12;13;14;15;16;17;18;19;20;21;22;23;24;25;26;27;28;29;30},
     COUNTIFS($V$2:$V$200,$G152)&gt;0,
     COUNTIFS($W$2:$W$200,$G152)&gt;0,
     COUNTIFS($X$2:$X$200,$G152)&gt;0,
     COUNTIFS($Y$2:$Y$200,$G152)&gt;0,
     COUNTIFS($Z$2:$Z$200,$G152)&gt;0,
     COUNTIFS($AA$2:$AA$200,$G152)&gt;0,
     COUNTIFS($AB$2:$AB$200,$G152)&gt;0,
     COUNTIFS($AC$2:$AC$200,$G152)&gt;0,
     COUNTIFS($AD$2:$AD$200,$G152)&gt;0,
     COUNTIFS($AE$2:$AE$200,$G152)&gt;0,
     COUNTIFS($AF$2:$AF$200,$G152)&gt;0,
     COUNTIFS($AG$2:$AG$200,$G152)&gt;0,
     COUNTIFS($AH$2:$AH$200,$G152)&gt;0,
     COUNTIFS($AI$2:$AI$200,$G152)&gt;0,
     COUNTIFS($AJ$2:$AJ$200,$G152)&gt;0,
     COUNTIFS($AK$2:$AK$200,$G152)&gt;0,
     COUNTIFS($AL$2:$AL$200,$G152)&gt;0,
     COUNTIFS($AM$2:$AM$200,$G152)&gt;0,
     COUNTIFS($AN$2:$AN$200,$G152)&gt;0,
     COUNTIFS($AO$2:$AO$200,$G152)&gt;0,
     COUNTIFS($AP$2:$AP$200,$G152)&gt;0,
     COUNTIFS($AQ$2:$AQ$200,$G152)&gt;0,
     COUNTIFS($AR$2:$AR$200,$G152)&gt;0,
     COUNTIFS($AS$2:$AS$200,$G152)&gt;0,
     COUNTIFS($AT$2:$AT$200,$G152)&gt;0,
     COUNTIFS($AU$2:$AU$200,$G152)&gt;0,
     COUNTIFS($AV$2:$AV$200,$G152)&gt;0,
     COUNTIFS($AW$2:$AW$200,$G152)&gt;0,
     COUNTIFS($AX$2:$AX$200,$G152)&gt;0,
     COUNTIFS($AY$2:$AY$200,$G152)&gt;0
   )),
  ),
  2
 ),
"")</f>
        <v/>
      </c>
      <c r="E152" s="2" t="str" cm="1">
        <f t="array" aca="1" ref="E152" ca="1">IFERROR(
 INDEX(
  _xlfn._xlws.FILTER($V$1:$AY$1,
   TRANSPOSE(
    CHOOSE({1;2;3;4;5;6;7;8;9;10;11;12;13;14;15;16;17;18;19;20;21;22;23;24;25;26;27;28;29;30},
     COUNTIFS($V$2:$V$200,$G152)&gt;0,
     COUNTIFS($W$2:$W$200,$G152)&gt;0,
     COUNTIFS($X$2:$X$200,$G152)&gt;0,
     COUNTIFS($Y$2:$Y$200,$G152)&gt;0,
     COUNTIFS($Z$2:$Z$200,$G152)&gt;0,
     COUNTIFS($AA$2:$AA$200,$G152)&gt;0,
     COUNTIFS($AB$2:$AB$200,$G152)&gt;0,
     COUNTIFS($AC$2:$AC$200,$G152)&gt;0,
     COUNTIFS($AD$2:$AD$200,$G152)&gt;0,
     COUNTIFS($AE$2:$AE$200,$G152)&gt;0,
     COUNTIFS($AF$2:$AF$200,$G152)&gt;0,
     COUNTIFS($AG$2:$AG$200,$G152)&gt;0,
     COUNTIFS($AH$2:$AH$200,$G152)&gt;0,
     COUNTIFS($AI$2:$AI$200,$G152)&gt;0,
     COUNTIFS($AJ$2:$AJ$200,$G152)&gt;0,
     COUNTIFS($AK$2:$AK$200,$G152)&gt;0,
     COUNTIFS($AL$2:$AL$200,$G152)&gt;0,
     COUNTIFS($AM$2:$AM$200,$G152)&gt;0,
     COUNTIFS($AN$2:$AN$200,$G152)&gt;0,
     COUNTIFS($AO$2:$AO$200,$G152)&gt;0,
     COUNTIFS($AP$2:$AP$200,$G152)&gt;0,
     COUNTIFS($AQ$2:$AQ$200,$G152)&gt;0,
     COUNTIFS($AR$2:$AR$200,$G152)&gt;0,
     COUNTIFS($AS$2:$AS$200,$G152)&gt;0,
     COUNTIFS($AT$2:$AT$200,$G152)&gt;0,
     COUNTIFS($AU$2:$AU$200,$G152)&gt;0,
     COUNTIFS($AV$2:$AV$200,$G152)&gt;0,
     COUNTIFS($AW$2:$AW$200,$G152)&gt;0,
     COUNTIFS($AX$2:$AX$200,$G152)&gt;0,
     COUNTIFS($AY$2:$AY$200,$G152)&gt;0
   )),
  ),
  3
 ),
"")</f>
        <v/>
      </c>
      <c r="F152" s="2" t="str" cm="1">
        <f t="array" aca="1" ref="F152" ca="1">IFERROR(
 INDEX(
  _xlfn._xlws.FILTER($V$1:$AY$1,
   TRANSPOSE(
    CHOOSE({1;2;3;4;5;6;7;8;9;10;11;12;13;14;15;16;17;18;19;20;21;22;23;24;25;26;27;28;29;30},
     COUNTIFS($V$2:$V$200,$G152)&gt;0,
     COUNTIFS($W$2:$W$200,$G152)&gt;0,
     COUNTIFS($X$2:$X$200,$G152)&gt;0,
     COUNTIFS($Y$2:$Y$200,$G152)&gt;0,
     COUNTIFS($Z$2:$Z$200,$G152)&gt;0,
     COUNTIFS($AA$2:$AA$200,$G152)&gt;0,
     COUNTIFS($AB$2:$AB$200,$G152)&gt;0,
     COUNTIFS($AC$2:$AC$200,$G152)&gt;0,
     COUNTIFS($AD$2:$AD$200,$G152)&gt;0,
     COUNTIFS($AE$2:$AE$200,$G152)&gt;0,
     COUNTIFS($AF$2:$AF$200,$G152)&gt;0,
     COUNTIFS($AG$2:$AG$200,$G152)&gt;0,
     COUNTIFS($AH$2:$AH$200,$G152)&gt;0,
     COUNTIFS($AI$2:$AI$200,$G152)&gt;0,
     COUNTIFS($AJ$2:$AJ$200,$G152)&gt;0,
     COUNTIFS($AK$2:$AK$200,$G152)&gt;0,
     COUNTIFS($AL$2:$AL$200,$G152)&gt;0,
     COUNTIFS($AM$2:$AM$200,$G152)&gt;0,
     COUNTIFS($AN$2:$AN$200,$G152)&gt;0,
     COUNTIFS($AO$2:$AO$200,$G152)&gt;0,
     COUNTIFS($AP$2:$AP$200,$G152)&gt;0,
     COUNTIFS($AQ$2:$AQ$200,$G152)&gt;0,
     COUNTIFS($AR$2:$AR$200,$G152)&gt;0,
     COUNTIFS($AS$2:$AS$200,$G152)&gt;0,
     COUNTIFS($AT$2:$AT$200,$G152)&gt;0,
     COUNTIFS($AU$2:$AU$200,$G152)&gt;0,
     COUNTIFS($AV$2:$AV$200,$G152)&gt;0,
     COUNTIFS($AW$2:$AW$200,$G152)&gt;0,
     COUNTIFS($AX$2:$AX$200,$G152)&gt;0,
     COUNTIFS($AY$2:$AY$200,$G152)&gt;0
   )),
  ),
  4
 ),
"")</f>
        <v/>
      </c>
      <c r="G152" t="str">
        <f ca="1"/>
        <v>Evacuation</v>
      </c>
      <c r="EP152" t="str">
        <f ca="1"/>
        <v>Sunpetal Grove</v>
      </c>
      <c r="EQ152" t="str">
        <f ca="1"/>
        <v>Soul Immolation</v>
      </c>
      <c r="ER152" t="str">
        <f ca="1"/>
        <v>Rose, Cutthroat Raider</v>
      </c>
      <c r="EU152" t="str">
        <f ca="1"/>
        <v>Jidoor, Aristocratic Capital // Overture</v>
      </c>
      <c r="EV152" t="str">
        <f ca="1"/>
        <v>Rose, Cutthroat Raider</v>
      </c>
      <c r="EX152" t="str">
        <f ca="1"/>
        <v>Evacuation</v>
      </c>
    </row>
    <row r="153" spans="1:154" x14ac:dyDescent="0.25">
      <c r="A153" s="2" t="str">
        <f t="shared" ca="1" si="10"/>
        <v>5</v>
      </c>
      <c r="B153" s="2">
        <f t="shared" ca="1" si="11"/>
        <v>1</v>
      </c>
      <c r="C153" s="2" t="str">
        <f ca="1">IFERROR(
 INDEX($V$1:$BL$1,
  MATCH(TRUE,
   CHOOSE({1;2;3;4;5;6;7;8;9;10;11;12;13;14;15;16;17;18;19;20;21;22;23;24;25;26;27;28;29;30;31;32;33;34;35;36;37;38;39;40;41;42;43},
    COUNTIFS($V$2:$V$200,$G153)&gt;0,
    COUNTIFS($W$2:$W$200,$G153)&gt;0,
    COUNTIFS($X$2:$X$200,$G153)&gt;0,
    COUNTIFS($Y$2:$Y$200,$G153)&gt;0,
    COUNTIFS($Z$2:$Z$200,$G153)&gt;0,
    COUNTIFS($AA$2:$AA$200,$G153)&gt;0,
    COUNTIFS($AB$2:$AB$200,$G153)&gt;0,
    COUNTIFS($AC$2:$AC$200,$G153)&gt;0,
    COUNTIFS($AD$2:$AD$200,$G153)&gt;0,
    COUNTIFS($AE$2:$AE$200,$G153)&gt;0,
    COUNTIFS($AF$2:$AF$200,$G153)&gt;0,
    COUNTIFS($AG$2:$AG$200,$G153)&gt;0,
    COUNTIFS($AH$2:$AH$200,$G153)&gt;0,
    COUNTIFS($AI$2:$AI$200,$G153)&gt;0,
    COUNTIFS($AJ$2:$AJ$200,$G153)&gt;0,
    COUNTIFS($AK$2:$AK$200,$G153)&gt;0,
    COUNTIFS($AL$2:$AL$200,$G153)&gt;0,
    COUNTIFS($AM$2:$AM$200,$G153)&gt;0,
    COUNTIFS($AN$2:$AN$200,$G153)&gt;0,
    COUNTIFS($AO$2:$AO$200,$G153)&gt;0,
    COUNTIFS($AP$2:$AP$200,$G153)&gt;0,
    COUNTIFS($AQ$2:$AQ$200,$G153)&gt;0,
    COUNTIFS($AR$2:$AR$200,$G153)&gt;0,
    COUNTIFS($AS$2:$AS$200,$G153)&gt;0,
    COUNTIFS($AT$2:$AT$200,$G153)&gt;0,
    COUNTIFS($AU$2:$AU$200,$G153)&gt;0,
    COUNTIFS($AV$2:$AV$200,$G153)&gt;0,
    COUNTIFS($AW$2:$AW$200,$G153)&gt;0,
    COUNTIFS($AX$2:$AX$200,$G153)&gt;0,
    COUNTIFS($AY$2:$AY$200,$G153)&gt;0,
    COUNTIFS($AZ$2:$AZ$200,$G153)&gt;0,
    COUNTIFS($BA$2:$BA$200,$G153)&gt;0,
    COUNTIFS($BB$2:$BB$200,$G153)&gt;0,
    COUNTIFS($BC$2:$BC$200,$G153)&gt;0,
    COUNTIFS($BD$2:$BD$200,$G153)&gt;0,
    COUNTIFS($BE$2:$BE$200,$G153)&gt;0,
    COUNTIFS($BF$2:$BF$200,$G153)&gt;0,
    COUNTIFS($BG$2:$BG$200,$G153)&gt;0,
    COUNTIFS($BH$2:$BH$200,$G153)&gt;0,
    COUNTIFS($BI$2:$BI$200,$G153)&gt;0,
    COUNTIFS($BJ$2:$BJ$200,$G153)&gt;0,
    COUNTIFS($BK$2:$BK$200,$G153)&gt;0,
    COUNTIFS($BL$2:$BL$200,$G153)&gt;0,
    COUNTIFS($BM$2:$BM$200,$G153)&gt;0,
   ),
  0)
 ),
"")</f>
        <v>4cRash</v>
      </c>
      <c r="D153" s="2" t="str" cm="1">
        <f t="array" aca="1" ref="D153" ca="1">IFERROR(
 INDEX(
  _xlfn._xlws.FILTER($V$1:$AY$1,
   TRANSPOSE(
    CHOOSE({1;2;3;4;5;6;7;8;9;10;11;12;13;14;15;16;17;18;19;20;21;22;23;24;25;26;27;28;29;30},
     COUNTIFS($V$2:$V$200,$G153)&gt;0,
     COUNTIFS($W$2:$W$200,$G153)&gt;0,
     COUNTIFS($X$2:$X$200,$G153)&gt;0,
     COUNTIFS($Y$2:$Y$200,$G153)&gt;0,
     COUNTIFS($Z$2:$Z$200,$G153)&gt;0,
     COUNTIFS($AA$2:$AA$200,$G153)&gt;0,
     COUNTIFS($AB$2:$AB$200,$G153)&gt;0,
     COUNTIFS($AC$2:$AC$200,$G153)&gt;0,
     COUNTIFS($AD$2:$AD$200,$G153)&gt;0,
     COUNTIFS($AE$2:$AE$200,$G153)&gt;0,
     COUNTIFS($AF$2:$AF$200,$G153)&gt;0,
     COUNTIFS($AG$2:$AG$200,$G153)&gt;0,
     COUNTIFS($AH$2:$AH$200,$G153)&gt;0,
     COUNTIFS($AI$2:$AI$200,$G153)&gt;0,
     COUNTIFS($AJ$2:$AJ$200,$G153)&gt;0,
     COUNTIFS($AK$2:$AK$200,$G153)&gt;0,
     COUNTIFS($AL$2:$AL$200,$G153)&gt;0,
     COUNTIFS($AM$2:$AM$200,$G153)&gt;0,
     COUNTIFS($AN$2:$AN$200,$G153)&gt;0,
     COUNTIFS($AO$2:$AO$200,$G153)&gt;0,
     COUNTIFS($AP$2:$AP$200,$G153)&gt;0,
     COUNTIFS($AQ$2:$AQ$200,$G153)&gt;0,
     COUNTIFS($AR$2:$AR$200,$G153)&gt;0,
     COUNTIFS($AS$2:$AS$200,$G153)&gt;0,
     COUNTIFS($AT$2:$AT$200,$G153)&gt;0,
     COUNTIFS($AU$2:$AU$200,$G153)&gt;0,
     COUNTIFS($AV$2:$AV$200,$G153)&gt;0,
     COUNTIFS($AW$2:$AW$200,$G153)&gt;0,
     COUNTIFS($AX$2:$AX$200,$G153)&gt;0,
     COUNTIFS($AY$2:$AY$200,$G153)&gt;0
   )),
  ),
  2
 ),
"")</f>
        <v/>
      </c>
      <c r="E153" s="2" t="str" cm="1">
        <f t="array" aca="1" ref="E153" ca="1">IFERROR(
 INDEX(
  _xlfn._xlws.FILTER($V$1:$AY$1,
   TRANSPOSE(
    CHOOSE({1;2;3;4;5;6;7;8;9;10;11;12;13;14;15;16;17;18;19;20;21;22;23;24;25;26;27;28;29;30},
     COUNTIFS($V$2:$V$200,$G153)&gt;0,
     COUNTIFS($W$2:$W$200,$G153)&gt;0,
     COUNTIFS($X$2:$X$200,$G153)&gt;0,
     COUNTIFS($Y$2:$Y$200,$G153)&gt;0,
     COUNTIFS($Z$2:$Z$200,$G153)&gt;0,
     COUNTIFS($AA$2:$AA$200,$G153)&gt;0,
     COUNTIFS($AB$2:$AB$200,$G153)&gt;0,
     COUNTIFS($AC$2:$AC$200,$G153)&gt;0,
     COUNTIFS($AD$2:$AD$200,$G153)&gt;0,
     COUNTIFS($AE$2:$AE$200,$G153)&gt;0,
     COUNTIFS($AF$2:$AF$200,$G153)&gt;0,
     COUNTIFS($AG$2:$AG$200,$G153)&gt;0,
     COUNTIFS($AH$2:$AH$200,$G153)&gt;0,
     COUNTIFS($AI$2:$AI$200,$G153)&gt;0,
     COUNTIFS($AJ$2:$AJ$200,$G153)&gt;0,
     COUNTIFS($AK$2:$AK$200,$G153)&gt;0,
     COUNTIFS($AL$2:$AL$200,$G153)&gt;0,
     COUNTIFS($AM$2:$AM$200,$G153)&gt;0,
     COUNTIFS($AN$2:$AN$200,$G153)&gt;0,
     COUNTIFS($AO$2:$AO$200,$G153)&gt;0,
     COUNTIFS($AP$2:$AP$200,$G153)&gt;0,
     COUNTIFS($AQ$2:$AQ$200,$G153)&gt;0,
     COUNTIFS($AR$2:$AR$200,$G153)&gt;0,
     COUNTIFS($AS$2:$AS$200,$G153)&gt;0,
     COUNTIFS($AT$2:$AT$200,$G153)&gt;0,
     COUNTIFS($AU$2:$AU$200,$G153)&gt;0,
     COUNTIFS($AV$2:$AV$200,$G153)&gt;0,
     COUNTIFS($AW$2:$AW$200,$G153)&gt;0,
     COUNTIFS($AX$2:$AX$200,$G153)&gt;0,
     COUNTIFS($AY$2:$AY$200,$G153)&gt;0
   )),
  ),
  3
 ),
"")</f>
        <v/>
      </c>
      <c r="F153" s="2" t="str" cm="1">
        <f t="array" aca="1" ref="F153" ca="1">IFERROR(
 INDEX(
  _xlfn._xlws.FILTER($V$1:$AY$1,
   TRANSPOSE(
    CHOOSE({1;2;3;4;5;6;7;8;9;10;11;12;13;14;15;16;17;18;19;20;21;22;23;24;25;26;27;28;29;30},
     COUNTIFS($V$2:$V$200,$G153)&gt;0,
     COUNTIFS($W$2:$W$200,$G153)&gt;0,
     COUNTIFS($X$2:$X$200,$G153)&gt;0,
     COUNTIFS($Y$2:$Y$200,$G153)&gt;0,
     COUNTIFS($Z$2:$Z$200,$G153)&gt;0,
     COUNTIFS($AA$2:$AA$200,$G153)&gt;0,
     COUNTIFS($AB$2:$AB$200,$G153)&gt;0,
     COUNTIFS($AC$2:$AC$200,$G153)&gt;0,
     COUNTIFS($AD$2:$AD$200,$G153)&gt;0,
     COUNTIFS($AE$2:$AE$200,$G153)&gt;0,
     COUNTIFS($AF$2:$AF$200,$G153)&gt;0,
     COUNTIFS($AG$2:$AG$200,$G153)&gt;0,
     COUNTIFS($AH$2:$AH$200,$G153)&gt;0,
     COUNTIFS($AI$2:$AI$200,$G153)&gt;0,
     COUNTIFS($AJ$2:$AJ$200,$G153)&gt;0,
     COUNTIFS($AK$2:$AK$200,$G153)&gt;0,
     COUNTIFS($AL$2:$AL$200,$G153)&gt;0,
     COUNTIFS($AM$2:$AM$200,$G153)&gt;0,
     COUNTIFS($AN$2:$AN$200,$G153)&gt;0,
     COUNTIFS($AO$2:$AO$200,$G153)&gt;0,
     COUNTIFS($AP$2:$AP$200,$G153)&gt;0,
     COUNTIFS($AQ$2:$AQ$200,$G153)&gt;0,
     COUNTIFS($AR$2:$AR$200,$G153)&gt;0,
     COUNTIFS($AS$2:$AS$200,$G153)&gt;0,
     COUNTIFS($AT$2:$AT$200,$G153)&gt;0,
     COUNTIFS($AU$2:$AU$200,$G153)&gt;0,
     COUNTIFS($AV$2:$AV$200,$G153)&gt;0,
     COUNTIFS($AW$2:$AW$200,$G153)&gt;0,
     COUNTIFS($AX$2:$AX$200,$G153)&gt;0,
     COUNTIFS($AY$2:$AY$200,$G153)&gt;0
   )),
  ),
  4
 ),
"")</f>
        <v/>
      </c>
      <c r="G153" t="str">
        <f ca="1"/>
        <v>Exalted Flamer of Tzeentch</v>
      </c>
      <c r="EP153" t="str">
        <f ca="1"/>
        <v>Sunscorched Divide</v>
      </c>
      <c r="EQ153" t="str">
        <f ca="1"/>
        <v>Spara's Headquarters</v>
      </c>
      <c r="ER153" t="str">
        <f ca="1"/>
        <v>Searslicer Goblin</v>
      </c>
      <c r="EU153" t="str">
        <f ca="1"/>
        <v>Kambal, Profiteering Mayor</v>
      </c>
      <c r="EV153" t="str">
        <f ca="1"/>
        <v>Searslicer Goblin</v>
      </c>
      <c r="EX153" t="str">
        <f ca="1"/>
        <v>Exalted Flamer of Tzeentch</v>
      </c>
    </row>
    <row r="154" spans="1:154" x14ac:dyDescent="0.25">
      <c r="A154" s="2" t="str">
        <f t="shared" ca="1" si="10"/>
        <v>4</v>
      </c>
      <c r="B154" s="2">
        <f t="shared" ca="1" si="11"/>
        <v>1</v>
      </c>
      <c r="C154" s="2" t="str">
        <f ca="1">IFERROR(
 INDEX($V$1:$BL$1,
  MATCH(TRUE,
   CHOOSE({1;2;3;4;5;6;7;8;9;10;11;12;13;14;15;16;17;18;19;20;21;22;23;24;25;26;27;28;29;30;31;32;33;34;35;36;37;38;39;40;41;42;43},
    COUNTIFS($V$2:$V$200,$G154)&gt;0,
    COUNTIFS($W$2:$W$200,$G154)&gt;0,
    COUNTIFS($X$2:$X$200,$G154)&gt;0,
    COUNTIFS($Y$2:$Y$200,$G154)&gt;0,
    COUNTIFS($Z$2:$Z$200,$G154)&gt;0,
    COUNTIFS($AA$2:$AA$200,$G154)&gt;0,
    COUNTIFS($AB$2:$AB$200,$G154)&gt;0,
    COUNTIFS($AC$2:$AC$200,$G154)&gt;0,
    COUNTIFS($AD$2:$AD$200,$G154)&gt;0,
    COUNTIFS($AE$2:$AE$200,$G154)&gt;0,
    COUNTIFS($AF$2:$AF$200,$G154)&gt;0,
    COUNTIFS($AG$2:$AG$200,$G154)&gt;0,
    COUNTIFS($AH$2:$AH$200,$G154)&gt;0,
    COUNTIFS($AI$2:$AI$200,$G154)&gt;0,
    COUNTIFS($AJ$2:$AJ$200,$G154)&gt;0,
    COUNTIFS($AK$2:$AK$200,$G154)&gt;0,
    COUNTIFS($AL$2:$AL$200,$G154)&gt;0,
    COUNTIFS($AM$2:$AM$200,$G154)&gt;0,
    COUNTIFS($AN$2:$AN$200,$G154)&gt;0,
    COUNTIFS($AO$2:$AO$200,$G154)&gt;0,
    COUNTIFS($AP$2:$AP$200,$G154)&gt;0,
    COUNTIFS($AQ$2:$AQ$200,$G154)&gt;0,
    COUNTIFS($AR$2:$AR$200,$G154)&gt;0,
    COUNTIFS($AS$2:$AS$200,$G154)&gt;0,
    COUNTIFS($AT$2:$AT$200,$G154)&gt;0,
    COUNTIFS($AU$2:$AU$200,$G154)&gt;0,
    COUNTIFS($AV$2:$AV$200,$G154)&gt;0,
    COUNTIFS($AW$2:$AW$200,$G154)&gt;0,
    COUNTIFS($AX$2:$AX$200,$G154)&gt;0,
    COUNTIFS($AY$2:$AY$200,$G154)&gt;0,
    COUNTIFS($AZ$2:$AZ$200,$G154)&gt;0,
    COUNTIFS($BA$2:$BA$200,$G154)&gt;0,
    COUNTIFS($BB$2:$BB$200,$G154)&gt;0,
    COUNTIFS($BC$2:$BC$200,$G154)&gt;0,
    COUNTIFS($BD$2:$BD$200,$G154)&gt;0,
    COUNTIFS($BE$2:$BE$200,$G154)&gt;0,
    COUNTIFS($BF$2:$BF$200,$G154)&gt;0,
    COUNTIFS($BG$2:$BG$200,$G154)&gt;0,
    COUNTIFS($BH$2:$BH$200,$G154)&gt;0,
    COUNTIFS($BI$2:$BI$200,$G154)&gt;0,
    COUNTIFS($BJ$2:$BJ$200,$G154)&gt;0,
    COUNTIFS($BK$2:$BK$200,$G154)&gt;0,
    COUNTIFS($BL$2:$BL$200,$G154)&gt;0,
    COUNTIFS($BM$2:$BM$200,$G154)&gt;0,
   ),
  0)
 ),
"")</f>
        <v>Baylen</v>
      </c>
      <c r="D154" s="2" t="str" cm="1">
        <f t="array" aca="1" ref="D154" ca="1">IFERROR(
 INDEX(
  _xlfn._xlws.FILTER($V$1:$AY$1,
   TRANSPOSE(
    CHOOSE({1;2;3;4;5;6;7;8;9;10;11;12;13;14;15;16;17;18;19;20;21;22;23;24;25;26;27;28;29;30},
     COUNTIFS($V$2:$V$200,$G154)&gt;0,
     COUNTIFS($W$2:$W$200,$G154)&gt;0,
     COUNTIFS($X$2:$X$200,$G154)&gt;0,
     COUNTIFS($Y$2:$Y$200,$G154)&gt;0,
     COUNTIFS($Z$2:$Z$200,$G154)&gt;0,
     COUNTIFS($AA$2:$AA$200,$G154)&gt;0,
     COUNTIFS($AB$2:$AB$200,$G154)&gt;0,
     COUNTIFS($AC$2:$AC$200,$G154)&gt;0,
     COUNTIFS($AD$2:$AD$200,$G154)&gt;0,
     COUNTIFS($AE$2:$AE$200,$G154)&gt;0,
     COUNTIFS($AF$2:$AF$200,$G154)&gt;0,
     COUNTIFS($AG$2:$AG$200,$G154)&gt;0,
     COUNTIFS($AH$2:$AH$200,$G154)&gt;0,
     COUNTIFS($AI$2:$AI$200,$G154)&gt;0,
     COUNTIFS($AJ$2:$AJ$200,$G154)&gt;0,
     COUNTIFS($AK$2:$AK$200,$G154)&gt;0,
     COUNTIFS($AL$2:$AL$200,$G154)&gt;0,
     COUNTIFS($AM$2:$AM$200,$G154)&gt;0,
     COUNTIFS($AN$2:$AN$200,$G154)&gt;0,
     COUNTIFS($AO$2:$AO$200,$G154)&gt;0,
     COUNTIFS($AP$2:$AP$200,$G154)&gt;0,
     COUNTIFS($AQ$2:$AQ$200,$G154)&gt;0,
     COUNTIFS($AR$2:$AR$200,$G154)&gt;0,
     COUNTIFS($AS$2:$AS$200,$G154)&gt;0,
     COUNTIFS($AT$2:$AT$200,$G154)&gt;0,
     COUNTIFS($AU$2:$AU$200,$G154)&gt;0,
     COUNTIFS($AV$2:$AV$200,$G154)&gt;0,
     COUNTIFS($AW$2:$AW$200,$G154)&gt;0,
     COUNTIFS($AX$2:$AX$200,$G154)&gt;0,
     COUNTIFS($AY$2:$AY$200,$G154)&gt;0
   )),
  ),
  2
 ),
"")</f>
        <v/>
      </c>
      <c r="E154" s="2" t="str" cm="1">
        <f t="array" aca="1" ref="E154" ca="1">IFERROR(
 INDEX(
  _xlfn._xlws.FILTER($V$1:$AY$1,
   TRANSPOSE(
    CHOOSE({1;2;3;4;5;6;7;8;9;10;11;12;13;14;15;16;17;18;19;20;21;22;23;24;25;26;27;28;29;30},
     COUNTIFS($V$2:$V$200,$G154)&gt;0,
     COUNTIFS($W$2:$W$200,$G154)&gt;0,
     COUNTIFS($X$2:$X$200,$G154)&gt;0,
     COUNTIFS($Y$2:$Y$200,$G154)&gt;0,
     COUNTIFS($Z$2:$Z$200,$G154)&gt;0,
     COUNTIFS($AA$2:$AA$200,$G154)&gt;0,
     COUNTIFS($AB$2:$AB$200,$G154)&gt;0,
     COUNTIFS($AC$2:$AC$200,$G154)&gt;0,
     COUNTIFS($AD$2:$AD$200,$G154)&gt;0,
     COUNTIFS($AE$2:$AE$200,$G154)&gt;0,
     COUNTIFS($AF$2:$AF$200,$G154)&gt;0,
     COUNTIFS($AG$2:$AG$200,$G154)&gt;0,
     COUNTIFS($AH$2:$AH$200,$G154)&gt;0,
     COUNTIFS($AI$2:$AI$200,$G154)&gt;0,
     COUNTIFS($AJ$2:$AJ$200,$G154)&gt;0,
     COUNTIFS($AK$2:$AK$200,$G154)&gt;0,
     COUNTIFS($AL$2:$AL$200,$G154)&gt;0,
     COUNTIFS($AM$2:$AM$200,$G154)&gt;0,
     COUNTIFS($AN$2:$AN$200,$G154)&gt;0,
     COUNTIFS($AO$2:$AO$200,$G154)&gt;0,
     COUNTIFS($AP$2:$AP$200,$G154)&gt;0,
     COUNTIFS($AQ$2:$AQ$200,$G154)&gt;0,
     COUNTIFS($AR$2:$AR$200,$G154)&gt;0,
     COUNTIFS($AS$2:$AS$200,$G154)&gt;0,
     COUNTIFS($AT$2:$AT$200,$G154)&gt;0,
     COUNTIFS($AU$2:$AU$200,$G154)&gt;0,
     COUNTIFS($AV$2:$AV$200,$G154)&gt;0,
     COUNTIFS($AW$2:$AW$200,$G154)&gt;0,
     COUNTIFS($AX$2:$AX$200,$G154)&gt;0,
     COUNTIFS($AY$2:$AY$200,$G154)&gt;0
   )),
  ),
  3
 ),
"")</f>
        <v/>
      </c>
      <c r="F154" s="2" t="str" cm="1">
        <f t="array" aca="1" ref="F154" ca="1">IFERROR(
 INDEX(
  _xlfn._xlws.FILTER($V$1:$AY$1,
   TRANSPOSE(
    CHOOSE({1;2;3;4;5;6;7;8;9;10;11;12;13;14;15;16;17;18;19;20;21;22;23;24;25;26;27;28;29;30},
     COUNTIFS($V$2:$V$200,$G154)&gt;0,
     COUNTIFS($W$2:$W$200,$G154)&gt;0,
     COUNTIFS($X$2:$X$200,$G154)&gt;0,
     COUNTIFS($Y$2:$Y$200,$G154)&gt;0,
     COUNTIFS($Z$2:$Z$200,$G154)&gt;0,
     COUNTIFS($AA$2:$AA$200,$G154)&gt;0,
     COUNTIFS($AB$2:$AB$200,$G154)&gt;0,
     COUNTIFS($AC$2:$AC$200,$G154)&gt;0,
     COUNTIFS($AD$2:$AD$200,$G154)&gt;0,
     COUNTIFS($AE$2:$AE$200,$G154)&gt;0,
     COUNTIFS($AF$2:$AF$200,$G154)&gt;0,
     COUNTIFS($AG$2:$AG$200,$G154)&gt;0,
     COUNTIFS($AH$2:$AH$200,$G154)&gt;0,
     COUNTIFS($AI$2:$AI$200,$G154)&gt;0,
     COUNTIFS($AJ$2:$AJ$200,$G154)&gt;0,
     COUNTIFS($AK$2:$AK$200,$G154)&gt;0,
     COUNTIFS($AL$2:$AL$200,$G154)&gt;0,
     COUNTIFS($AM$2:$AM$200,$G154)&gt;0,
     COUNTIFS($AN$2:$AN$200,$G154)&gt;0,
     COUNTIFS($AO$2:$AO$200,$G154)&gt;0,
     COUNTIFS($AP$2:$AP$200,$G154)&gt;0,
     COUNTIFS($AQ$2:$AQ$200,$G154)&gt;0,
     COUNTIFS($AR$2:$AR$200,$G154)&gt;0,
     COUNTIFS($AS$2:$AS$200,$G154)&gt;0,
     COUNTIFS($AT$2:$AT$200,$G154)&gt;0,
     COUNTIFS($AU$2:$AU$200,$G154)&gt;0,
     COUNTIFS($AV$2:$AV$200,$G154)&gt;0,
     COUNTIFS($AW$2:$AW$200,$G154)&gt;0,
     COUNTIFS($AX$2:$AX$200,$G154)&gt;0,
     COUNTIFS($AY$2:$AY$200,$G154)&gt;0
   )),
  ),
  4
 ),
"")</f>
        <v/>
      </c>
      <c r="G154" t="str">
        <f ca="1"/>
        <v>Exalted Sunborn</v>
      </c>
      <c r="EP154" t="str">
        <f ca="1"/>
        <v>Sword of Feast and Famine</v>
      </c>
      <c r="EQ154" t="str">
        <f ca="1"/>
        <v>Spirit Water Revival</v>
      </c>
      <c r="ER154" t="str">
        <f ca="1"/>
        <v>Shelter</v>
      </c>
      <c r="EU154" t="str">
        <f ca="1"/>
        <v>Karn's Bastion</v>
      </c>
      <c r="EV154" t="str">
        <f ca="1"/>
        <v>Shelter</v>
      </c>
      <c r="EX154" t="str">
        <f ca="1"/>
        <v>Exalted Sunborn</v>
      </c>
    </row>
    <row r="155" spans="1:154" x14ac:dyDescent="0.25">
      <c r="A155" s="2" t="str">
        <f t="shared" ca="1" si="10"/>
        <v>5</v>
      </c>
      <c r="B155" s="2">
        <f t="shared" ca="1" si="11"/>
        <v>2</v>
      </c>
      <c r="C155" s="2" t="str">
        <f ca="1">IFERROR(
 INDEX($V$1:$BL$1,
  MATCH(TRUE,
   CHOOSE({1;2;3;4;5;6;7;8;9;10;11;12;13;14;15;16;17;18;19;20;21;22;23;24;25;26;27;28;29;30;31;32;33;34;35;36;37;38;39;40;41;42;43},
    COUNTIFS($V$2:$V$200,$G155)&gt;0,
    COUNTIFS($W$2:$W$200,$G155)&gt;0,
    COUNTIFS($X$2:$X$200,$G155)&gt;0,
    COUNTIFS($Y$2:$Y$200,$G155)&gt;0,
    COUNTIFS($Z$2:$Z$200,$G155)&gt;0,
    COUNTIFS($AA$2:$AA$200,$G155)&gt;0,
    COUNTIFS($AB$2:$AB$200,$G155)&gt;0,
    COUNTIFS($AC$2:$AC$200,$G155)&gt;0,
    COUNTIFS($AD$2:$AD$200,$G155)&gt;0,
    COUNTIFS($AE$2:$AE$200,$G155)&gt;0,
    COUNTIFS($AF$2:$AF$200,$G155)&gt;0,
    COUNTIFS($AG$2:$AG$200,$G155)&gt;0,
    COUNTIFS($AH$2:$AH$200,$G155)&gt;0,
    COUNTIFS($AI$2:$AI$200,$G155)&gt;0,
    COUNTIFS($AJ$2:$AJ$200,$G155)&gt;0,
    COUNTIFS($AK$2:$AK$200,$G155)&gt;0,
    COUNTIFS($AL$2:$AL$200,$G155)&gt;0,
    COUNTIFS($AM$2:$AM$200,$G155)&gt;0,
    COUNTIFS($AN$2:$AN$200,$G155)&gt;0,
    COUNTIFS($AO$2:$AO$200,$G155)&gt;0,
    COUNTIFS($AP$2:$AP$200,$G155)&gt;0,
    COUNTIFS($AQ$2:$AQ$200,$G155)&gt;0,
    COUNTIFS($AR$2:$AR$200,$G155)&gt;0,
    COUNTIFS($AS$2:$AS$200,$G155)&gt;0,
    COUNTIFS($AT$2:$AT$200,$G155)&gt;0,
    COUNTIFS($AU$2:$AU$200,$G155)&gt;0,
    COUNTIFS($AV$2:$AV$200,$G155)&gt;0,
    COUNTIFS($AW$2:$AW$200,$G155)&gt;0,
    COUNTIFS($AX$2:$AX$200,$G155)&gt;0,
    COUNTIFS($AY$2:$AY$200,$G155)&gt;0,
    COUNTIFS($AZ$2:$AZ$200,$G155)&gt;0,
    COUNTIFS($BA$2:$BA$200,$G155)&gt;0,
    COUNTIFS($BB$2:$BB$200,$G155)&gt;0,
    COUNTIFS($BC$2:$BC$200,$G155)&gt;0,
    COUNTIFS($BD$2:$BD$200,$G155)&gt;0,
    COUNTIFS($BE$2:$BE$200,$G155)&gt;0,
    COUNTIFS($BF$2:$BF$200,$G155)&gt;0,
    COUNTIFS($BG$2:$BG$200,$G155)&gt;0,
    COUNTIFS($BH$2:$BH$200,$G155)&gt;0,
    COUNTIFS($BI$2:$BI$200,$G155)&gt;0,
    COUNTIFS($BJ$2:$BJ$200,$G155)&gt;0,
    COUNTIFS($BK$2:$BK$200,$G155)&gt;0,
    COUNTIFS($BL$2:$BL$200,$G155)&gt;0,
    COUNTIFS($BM$2:$BM$200,$G155)&gt;0,
   ),
  0)
 ),
"")</f>
        <v>Fractius</v>
      </c>
      <c r="D155" s="2" t="str" cm="1">
        <f t="array" aca="1" ref="D155" ca="1">IFERROR(
 INDEX(
  _xlfn._xlws.FILTER($V$1:$AY$1,
   TRANSPOSE(
    CHOOSE({1;2;3;4;5;6;7;8;9;10;11;12;13;14;15;16;17;18;19;20;21;22;23;24;25;26;27;28;29;30},
     COUNTIFS($V$2:$V$200,$G155)&gt;0,
     COUNTIFS($W$2:$W$200,$G155)&gt;0,
     COUNTIFS($X$2:$X$200,$G155)&gt;0,
     COUNTIFS($Y$2:$Y$200,$G155)&gt;0,
     COUNTIFS($Z$2:$Z$200,$G155)&gt;0,
     COUNTIFS($AA$2:$AA$200,$G155)&gt;0,
     COUNTIFS($AB$2:$AB$200,$G155)&gt;0,
     COUNTIFS($AC$2:$AC$200,$G155)&gt;0,
     COUNTIFS($AD$2:$AD$200,$G155)&gt;0,
     COUNTIFS($AE$2:$AE$200,$G155)&gt;0,
     COUNTIFS($AF$2:$AF$200,$G155)&gt;0,
     COUNTIFS($AG$2:$AG$200,$G155)&gt;0,
     COUNTIFS($AH$2:$AH$200,$G155)&gt;0,
     COUNTIFS($AI$2:$AI$200,$G155)&gt;0,
     COUNTIFS($AJ$2:$AJ$200,$G155)&gt;0,
     COUNTIFS($AK$2:$AK$200,$G155)&gt;0,
     COUNTIFS($AL$2:$AL$200,$G155)&gt;0,
     COUNTIFS($AM$2:$AM$200,$G155)&gt;0,
     COUNTIFS($AN$2:$AN$200,$G155)&gt;0,
     COUNTIFS($AO$2:$AO$200,$G155)&gt;0,
     COUNTIFS($AP$2:$AP$200,$G155)&gt;0,
     COUNTIFS($AQ$2:$AQ$200,$G155)&gt;0,
     COUNTIFS($AR$2:$AR$200,$G155)&gt;0,
     COUNTIFS($AS$2:$AS$200,$G155)&gt;0,
     COUNTIFS($AT$2:$AT$200,$G155)&gt;0,
     COUNTIFS($AU$2:$AU$200,$G155)&gt;0,
     COUNTIFS($AV$2:$AV$200,$G155)&gt;0,
     COUNTIFS($AW$2:$AW$200,$G155)&gt;0,
     COUNTIFS($AX$2:$AX$200,$G155)&gt;0,
     COUNTIFS($AY$2:$AY$200,$G155)&gt;0
   )),
  ),
  2
 ),
"")</f>
        <v/>
      </c>
      <c r="E155" s="2" t="str" cm="1">
        <f t="array" aca="1" ref="E155" ca="1">IFERROR(
 INDEX(
  _xlfn._xlws.FILTER($V$1:$AY$1,
   TRANSPOSE(
    CHOOSE({1;2;3;4;5;6;7;8;9;10;11;12;13;14;15;16;17;18;19;20;21;22;23;24;25;26;27;28;29;30},
     COUNTIFS($V$2:$V$200,$G155)&gt;0,
     COUNTIFS($W$2:$W$200,$G155)&gt;0,
     COUNTIFS($X$2:$X$200,$G155)&gt;0,
     COUNTIFS($Y$2:$Y$200,$G155)&gt;0,
     COUNTIFS($Z$2:$Z$200,$G155)&gt;0,
     COUNTIFS($AA$2:$AA$200,$G155)&gt;0,
     COUNTIFS($AB$2:$AB$200,$G155)&gt;0,
     COUNTIFS($AC$2:$AC$200,$G155)&gt;0,
     COUNTIFS($AD$2:$AD$200,$G155)&gt;0,
     COUNTIFS($AE$2:$AE$200,$G155)&gt;0,
     COUNTIFS($AF$2:$AF$200,$G155)&gt;0,
     COUNTIFS($AG$2:$AG$200,$G155)&gt;0,
     COUNTIFS($AH$2:$AH$200,$G155)&gt;0,
     COUNTIFS($AI$2:$AI$200,$G155)&gt;0,
     COUNTIFS($AJ$2:$AJ$200,$G155)&gt;0,
     COUNTIFS($AK$2:$AK$200,$G155)&gt;0,
     COUNTIFS($AL$2:$AL$200,$G155)&gt;0,
     COUNTIFS($AM$2:$AM$200,$G155)&gt;0,
     COUNTIFS($AN$2:$AN$200,$G155)&gt;0,
     COUNTIFS($AO$2:$AO$200,$G155)&gt;0,
     COUNTIFS($AP$2:$AP$200,$G155)&gt;0,
     COUNTIFS($AQ$2:$AQ$200,$G155)&gt;0,
     COUNTIFS($AR$2:$AR$200,$G155)&gt;0,
     COUNTIFS($AS$2:$AS$200,$G155)&gt;0,
     COUNTIFS($AT$2:$AT$200,$G155)&gt;0,
     COUNTIFS($AU$2:$AU$200,$G155)&gt;0,
     COUNTIFS($AV$2:$AV$200,$G155)&gt;0,
     COUNTIFS($AW$2:$AW$200,$G155)&gt;0,
     COUNTIFS($AX$2:$AX$200,$G155)&gt;0,
     COUNTIFS($AY$2:$AY$200,$G155)&gt;0
   )),
  ),
  3
 ),
"")</f>
        <v/>
      </c>
      <c r="F155" s="2" t="str" cm="1">
        <f t="array" aca="1" ref="F155" ca="1">IFERROR(
 INDEX(
  _xlfn._xlws.FILTER($V$1:$AY$1,
   TRANSPOSE(
    CHOOSE({1;2;3;4;5;6;7;8;9;10;11;12;13;14;15;16;17;18;19;20;21;22;23;24;25;26;27;28;29;30},
     COUNTIFS($V$2:$V$200,$G155)&gt;0,
     COUNTIFS($W$2:$W$200,$G155)&gt;0,
     COUNTIFS($X$2:$X$200,$G155)&gt;0,
     COUNTIFS($Y$2:$Y$200,$G155)&gt;0,
     COUNTIFS($Z$2:$Z$200,$G155)&gt;0,
     COUNTIFS($AA$2:$AA$200,$G155)&gt;0,
     COUNTIFS($AB$2:$AB$200,$G155)&gt;0,
     COUNTIFS($AC$2:$AC$200,$G155)&gt;0,
     COUNTIFS($AD$2:$AD$200,$G155)&gt;0,
     COUNTIFS($AE$2:$AE$200,$G155)&gt;0,
     COUNTIFS($AF$2:$AF$200,$G155)&gt;0,
     COUNTIFS($AG$2:$AG$200,$G155)&gt;0,
     COUNTIFS($AH$2:$AH$200,$G155)&gt;0,
     COUNTIFS($AI$2:$AI$200,$G155)&gt;0,
     COUNTIFS($AJ$2:$AJ$200,$G155)&gt;0,
     COUNTIFS($AK$2:$AK$200,$G155)&gt;0,
     COUNTIFS($AL$2:$AL$200,$G155)&gt;0,
     COUNTIFS($AM$2:$AM$200,$G155)&gt;0,
     COUNTIFS($AN$2:$AN$200,$G155)&gt;0,
     COUNTIFS($AO$2:$AO$200,$G155)&gt;0,
     COUNTIFS($AP$2:$AP$200,$G155)&gt;0,
     COUNTIFS($AQ$2:$AQ$200,$G155)&gt;0,
     COUNTIFS($AR$2:$AR$200,$G155)&gt;0,
     COUNTIFS($AS$2:$AS$200,$G155)&gt;0,
     COUNTIFS($AT$2:$AT$200,$G155)&gt;0,
     COUNTIFS($AU$2:$AU$200,$G155)&gt;0,
     COUNTIFS($AV$2:$AV$200,$G155)&gt;0,
     COUNTIFS($AW$2:$AW$200,$G155)&gt;0,
     COUNTIFS($AX$2:$AX$200,$G155)&gt;0,
     COUNTIFS($AY$2:$AY$200,$G155)&gt;0
   )),
  ),
  4
 ),
"")</f>
        <v/>
      </c>
      <c r="G155" t="str">
        <f ca="1"/>
        <v>Exotic Orchard</v>
      </c>
      <c r="EP155" t="str">
        <f ca="1"/>
        <v>Sword of Fire and Ice</v>
      </c>
      <c r="EQ155" t="str">
        <f ca="1"/>
        <v>Spiteful Sliver</v>
      </c>
      <c r="ER155" t="str">
        <f ca="1"/>
        <v>Sinkhole Surveyor</v>
      </c>
      <c r="EU155" t="str">
        <f ca="1"/>
        <v>Karplusan Forest</v>
      </c>
      <c r="EV155" t="str">
        <f ca="1"/>
        <v>Sinkhole Surveyor</v>
      </c>
      <c r="EX155" t="str">
        <f ca="1"/>
        <v>Exotic Orchard</v>
      </c>
    </row>
    <row r="156" spans="1:154" x14ac:dyDescent="0.25">
      <c r="A156" s="2" t="str">
        <f t="shared" ca="1" si="10"/>
        <v>5</v>
      </c>
      <c r="B156" s="2">
        <f t="shared" ca="1" si="11"/>
        <v>1</v>
      </c>
      <c r="C156" s="2" t="str">
        <f ca="1">IFERROR(
 INDEX($V$1:$BL$1,
  MATCH(TRUE,
   CHOOSE({1;2;3;4;5;6;7;8;9;10;11;12;13;14;15;16;17;18;19;20;21;22;23;24;25;26;27;28;29;30;31;32;33;34;35;36;37;38;39;40;41;42;43},
    COUNTIFS($V$2:$V$200,$G156)&gt;0,
    COUNTIFS($W$2:$W$200,$G156)&gt;0,
    COUNTIFS($X$2:$X$200,$G156)&gt;0,
    COUNTIFS($Y$2:$Y$200,$G156)&gt;0,
    COUNTIFS($Z$2:$Z$200,$G156)&gt;0,
    COUNTIFS($AA$2:$AA$200,$G156)&gt;0,
    COUNTIFS($AB$2:$AB$200,$G156)&gt;0,
    COUNTIFS($AC$2:$AC$200,$G156)&gt;0,
    COUNTIFS($AD$2:$AD$200,$G156)&gt;0,
    COUNTIFS($AE$2:$AE$200,$G156)&gt;0,
    COUNTIFS($AF$2:$AF$200,$G156)&gt;0,
    COUNTIFS($AG$2:$AG$200,$G156)&gt;0,
    COUNTIFS($AH$2:$AH$200,$G156)&gt;0,
    COUNTIFS($AI$2:$AI$200,$G156)&gt;0,
    COUNTIFS($AJ$2:$AJ$200,$G156)&gt;0,
    COUNTIFS($AK$2:$AK$200,$G156)&gt;0,
    COUNTIFS($AL$2:$AL$200,$G156)&gt;0,
    COUNTIFS($AM$2:$AM$200,$G156)&gt;0,
    COUNTIFS($AN$2:$AN$200,$G156)&gt;0,
    COUNTIFS($AO$2:$AO$200,$G156)&gt;0,
    COUNTIFS($AP$2:$AP$200,$G156)&gt;0,
    COUNTIFS($AQ$2:$AQ$200,$G156)&gt;0,
    COUNTIFS($AR$2:$AR$200,$G156)&gt;0,
    COUNTIFS($AS$2:$AS$200,$G156)&gt;0,
    COUNTIFS($AT$2:$AT$200,$G156)&gt;0,
    COUNTIFS($AU$2:$AU$200,$G156)&gt;0,
    COUNTIFS($AV$2:$AV$200,$G156)&gt;0,
    COUNTIFS($AW$2:$AW$200,$G156)&gt;0,
    COUNTIFS($AX$2:$AX$200,$G156)&gt;0,
    COUNTIFS($AY$2:$AY$200,$G156)&gt;0,
    COUNTIFS($AZ$2:$AZ$200,$G156)&gt;0,
    COUNTIFS($BA$2:$BA$200,$G156)&gt;0,
    COUNTIFS($BB$2:$BB$200,$G156)&gt;0,
    COUNTIFS($BC$2:$BC$200,$G156)&gt;0,
    COUNTIFS($BD$2:$BD$200,$G156)&gt;0,
    COUNTIFS($BE$2:$BE$200,$G156)&gt;0,
    COUNTIFS($BF$2:$BF$200,$G156)&gt;0,
    COUNTIFS($BG$2:$BG$200,$G156)&gt;0,
    COUNTIFS($BH$2:$BH$200,$G156)&gt;0,
    COUNTIFS($BI$2:$BI$200,$G156)&gt;0,
    COUNTIFS($BJ$2:$BJ$200,$G156)&gt;0,
    COUNTIFS($BK$2:$BK$200,$G156)&gt;0,
    COUNTIFS($BL$2:$BL$200,$G156)&gt;0,
    COUNTIFS($BM$2:$BM$200,$G156)&gt;0,
   ),
  0)
 ),
"")</f>
        <v>4cRash</v>
      </c>
      <c r="D156" s="2" t="str" cm="1">
        <f t="array" aca="1" ref="D156" ca="1">IFERROR(
 INDEX(
  _xlfn._xlws.FILTER($V$1:$AY$1,
   TRANSPOSE(
    CHOOSE({1;2;3;4;5;6;7;8;9;10;11;12;13;14;15;16;17;18;19;20;21;22;23;24;25;26;27;28;29;30},
     COUNTIFS($V$2:$V$200,$G156)&gt;0,
     COUNTIFS($W$2:$W$200,$G156)&gt;0,
     COUNTIFS($X$2:$X$200,$G156)&gt;0,
     COUNTIFS($Y$2:$Y$200,$G156)&gt;0,
     COUNTIFS($Z$2:$Z$200,$G156)&gt;0,
     COUNTIFS($AA$2:$AA$200,$G156)&gt;0,
     COUNTIFS($AB$2:$AB$200,$G156)&gt;0,
     COUNTIFS($AC$2:$AC$200,$G156)&gt;0,
     COUNTIFS($AD$2:$AD$200,$G156)&gt;0,
     COUNTIFS($AE$2:$AE$200,$G156)&gt;0,
     COUNTIFS($AF$2:$AF$200,$G156)&gt;0,
     COUNTIFS($AG$2:$AG$200,$G156)&gt;0,
     COUNTIFS($AH$2:$AH$200,$G156)&gt;0,
     COUNTIFS($AI$2:$AI$200,$G156)&gt;0,
     COUNTIFS($AJ$2:$AJ$200,$G156)&gt;0,
     COUNTIFS($AK$2:$AK$200,$G156)&gt;0,
     COUNTIFS($AL$2:$AL$200,$G156)&gt;0,
     COUNTIFS($AM$2:$AM$200,$G156)&gt;0,
     COUNTIFS($AN$2:$AN$200,$G156)&gt;0,
     COUNTIFS($AO$2:$AO$200,$G156)&gt;0,
     COUNTIFS($AP$2:$AP$200,$G156)&gt;0,
     COUNTIFS($AQ$2:$AQ$200,$G156)&gt;0,
     COUNTIFS($AR$2:$AR$200,$G156)&gt;0,
     COUNTIFS($AS$2:$AS$200,$G156)&gt;0,
     COUNTIFS($AT$2:$AT$200,$G156)&gt;0,
     COUNTIFS($AU$2:$AU$200,$G156)&gt;0,
     COUNTIFS($AV$2:$AV$200,$G156)&gt;0,
     COUNTIFS($AW$2:$AW$200,$G156)&gt;0,
     COUNTIFS($AX$2:$AX$200,$G156)&gt;0,
     COUNTIFS($AY$2:$AY$200,$G156)&gt;0
   )),
  ),
  2
 ),
"")</f>
        <v/>
      </c>
      <c r="E156" s="2" t="str" cm="1">
        <f t="array" aca="1" ref="E156" ca="1">IFERROR(
 INDEX(
  _xlfn._xlws.FILTER($V$1:$AY$1,
   TRANSPOSE(
    CHOOSE({1;2;3;4;5;6;7;8;9;10;11;12;13;14;15;16;17;18;19;20;21;22;23;24;25;26;27;28;29;30},
     COUNTIFS($V$2:$V$200,$G156)&gt;0,
     COUNTIFS($W$2:$W$200,$G156)&gt;0,
     COUNTIFS($X$2:$X$200,$G156)&gt;0,
     COUNTIFS($Y$2:$Y$200,$G156)&gt;0,
     COUNTIFS($Z$2:$Z$200,$G156)&gt;0,
     COUNTIFS($AA$2:$AA$200,$G156)&gt;0,
     COUNTIFS($AB$2:$AB$200,$G156)&gt;0,
     COUNTIFS($AC$2:$AC$200,$G156)&gt;0,
     COUNTIFS($AD$2:$AD$200,$G156)&gt;0,
     COUNTIFS($AE$2:$AE$200,$G156)&gt;0,
     COUNTIFS($AF$2:$AF$200,$G156)&gt;0,
     COUNTIFS($AG$2:$AG$200,$G156)&gt;0,
     COUNTIFS($AH$2:$AH$200,$G156)&gt;0,
     COUNTIFS($AI$2:$AI$200,$G156)&gt;0,
     COUNTIFS($AJ$2:$AJ$200,$G156)&gt;0,
     COUNTIFS($AK$2:$AK$200,$G156)&gt;0,
     COUNTIFS($AL$2:$AL$200,$G156)&gt;0,
     COUNTIFS($AM$2:$AM$200,$G156)&gt;0,
     COUNTIFS($AN$2:$AN$200,$G156)&gt;0,
     COUNTIFS($AO$2:$AO$200,$G156)&gt;0,
     COUNTIFS($AP$2:$AP$200,$G156)&gt;0,
     COUNTIFS($AQ$2:$AQ$200,$G156)&gt;0,
     COUNTIFS($AR$2:$AR$200,$G156)&gt;0,
     COUNTIFS($AS$2:$AS$200,$G156)&gt;0,
     COUNTIFS($AT$2:$AT$200,$G156)&gt;0,
     COUNTIFS($AU$2:$AU$200,$G156)&gt;0,
     COUNTIFS($AV$2:$AV$200,$G156)&gt;0,
     COUNTIFS($AW$2:$AW$200,$G156)&gt;0,
     COUNTIFS($AX$2:$AX$200,$G156)&gt;0,
     COUNTIFS($AY$2:$AY$200,$G156)&gt;0
   )),
  ),
  3
 ),
"")</f>
        <v/>
      </c>
      <c r="F156" s="2" t="str" cm="1">
        <f t="array" aca="1" ref="F156" ca="1">IFERROR(
 INDEX(
  _xlfn._xlws.FILTER($V$1:$AY$1,
   TRANSPOSE(
    CHOOSE({1;2;3;4;5;6;7;8;9;10;11;12;13;14;15;16;17;18;19;20;21;22;23;24;25;26;27;28;29;30},
     COUNTIFS($V$2:$V$200,$G156)&gt;0,
     COUNTIFS($W$2:$W$200,$G156)&gt;0,
     COUNTIFS($X$2:$X$200,$G156)&gt;0,
     COUNTIFS($Y$2:$Y$200,$G156)&gt;0,
     COUNTIFS($Z$2:$Z$200,$G156)&gt;0,
     COUNTIFS($AA$2:$AA$200,$G156)&gt;0,
     COUNTIFS($AB$2:$AB$200,$G156)&gt;0,
     COUNTIFS($AC$2:$AC$200,$G156)&gt;0,
     COUNTIFS($AD$2:$AD$200,$G156)&gt;0,
     COUNTIFS($AE$2:$AE$200,$G156)&gt;0,
     COUNTIFS($AF$2:$AF$200,$G156)&gt;0,
     COUNTIFS($AG$2:$AG$200,$G156)&gt;0,
     COUNTIFS($AH$2:$AH$200,$G156)&gt;0,
     COUNTIFS($AI$2:$AI$200,$G156)&gt;0,
     COUNTIFS($AJ$2:$AJ$200,$G156)&gt;0,
     COUNTIFS($AK$2:$AK$200,$G156)&gt;0,
     COUNTIFS($AL$2:$AL$200,$G156)&gt;0,
     COUNTIFS($AM$2:$AM$200,$G156)&gt;0,
     COUNTIFS($AN$2:$AN$200,$G156)&gt;0,
     COUNTIFS($AO$2:$AO$200,$G156)&gt;0,
     COUNTIFS($AP$2:$AP$200,$G156)&gt;0,
     COUNTIFS($AQ$2:$AQ$200,$G156)&gt;0,
     COUNTIFS($AR$2:$AR$200,$G156)&gt;0,
     COUNTIFS($AS$2:$AS$200,$G156)&gt;0,
     COUNTIFS($AT$2:$AT$200,$G156)&gt;0,
     COUNTIFS($AU$2:$AU$200,$G156)&gt;0,
     COUNTIFS($AV$2:$AV$200,$G156)&gt;0,
     COUNTIFS($AW$2:$AW$200,$G156)&gt;0,
     COUNTIFS($AX$2:$AX$200,$G156)&gt;0,
     COUNTIFS($AY$2:$AY$200,$G156)&gt;0
   )),
  ),
  4
 ),
"")</f>
        <v/>
      </c>
      <c r="G156" t="str">
        <f ca="1"/>
        <v>Exsanguinate</v>
      </c>
      <c r="EP156" t="str">
        <f ca="1"/>
        <v>Sword of Light and Shadow</v>
      </c>
      <c r="EQ156" t="str">
        <f ca="1"/>
        <v>Springleaf Parade</v>
      </c>
      <c r="ER156" t="str">
        <f ca="1"/>
        <v>Skyknight Vanguard</v>
      </c>
      <c r="EU156" t="str">
        <f ca="1"/>
        <v>Katara's Reversal</v>
      </c>
      <c r="EV156" t="str">
        <f ca="1"/>
        <v>Skyknight Vanguard</v>
      </c>
      <c r="EX156" t="str">
        <f ca="1"/>
        <v>Exsanguinate</v>
      </c>
    </row>
    <row r="157" spans="1:154" x14ac:dyDescent="0.25">
      <c r="A157" s="2" t="str">
        <f t="shared" ca="1" si="10"/>
        <v>4</v>
      </c>
      <c r="B157" s="2">
        <f t="shared" ca="1" si="11"/>
        <v>1</v>
      </c>
      <c r="C157" s="2" t="str">
        <f ca="1">IFERROR(
 INDEX($V$1:$BL$1,
  MATCH(TRUE,
   CHOOSE({1;2;3;4;5;6;7;8;9;10;11;12;13;14;15;16;17;18;19;20;21;22;23;24;25;26;27;28;29;30;31;32;33;34;35;36;37;38;39;40;41;42;43},
    COUNTIFS($V$2:$V$200,$G157)&gt;0,
    COUNTIFS($W$2:$W$200,$G157)&gt;0,
    COUNTIFS($X$2:$X$200,$G157)&gt;0,
    COUNTIFS($Y$2:$Y$200,$G157)&gt;0,
    COUNTIFS($Z$2:$Z$200,$G157)&gt;0,
    COUNTIFS($AA$2:$AA$200,$G157)&gt;0,
    COUNTIFS($AB$2:$AB$200,$G157)&gt;0,
    COUNTIFS($AC$2:$AC$200,$G157)&gt;0,
    COUNTIFS($AD$2:$AD$200,$G157)&gt;0,
    COUNTIFS($AE$2:$AE$200,$G157)&gt;0,
    COUNTIFS($AF$2:$AF$200,$G157)&gt;0,
    COUNTIFS($AG$2:$AG$200,$G157)&gt;0,
    COUNTIFS($AH$2:$AH$200,$G157)&gt;0,
    COUNTIFS($AI$2:$AI$200,$G157)&gt;0,
    COUNTIFS($AJ$2:$AJ$200,$G157)&gt;0,
    COUNTIFS($AK$2:$AK$200,$G157)&gt;0,
    COUNTIFS($AL$2:$AL$200,$G157)&gt;0,
    COUNTIFS($AM$2:$AM$200,$G157)&gt;0,
    COUNTIFS($AN$2:$AN$200,$G157)&gt;0,
    COUNTIFS($AO$2:$AO$200,$G157)&gt;0,
    COUNTIFS($AP$2:$AP$200,$G157)&gt;0,
    COUNTIFS($AQ$2:$AQ$200,$G157)&gt;0,
    COUNTIFS($AR$2:$AR$200,$G157)&gt;0,
    COUNTIFS($AS$2:$AS$200,$G157)&gt;0,
    COUNTIFS($AT$2:$AT$200,$G157)&gt;0,
    COUNTIFS($AU$2:$AU$200,$G157)&gt;0,
    COUNTIFS($AV$2:$AV$200,$G157)&gt;0,
    COUNTIFS($AW$2:$AW$200,$G157)&gt;0,
    COUNTIFS($AX$2:$AX$200,$G157)&gt;0,
    COUNTIFS($AY$2:$AY$200,$G157)&gt;0,
    COUNTIFS($AZ$2:$AZ$200,$G157)&gt;0,
    COUNTIFS($BA$2:$BA$200,$G157)&gt;0,
    COUNTIFS($BB$2:$BB$200,$G157)&gt;0,
    COUNTIFS($BC$2:$BC$200,$G157)&gt;0,
    COUNTIFS($BD$2:$BD$200,$G157)&gt;0,
    COUNTIFS($BE$2:$BE$200,$G157)&gt;0,
    COUNTIFS($BF$2:$BF$200,$G157)&gt;0,
    COUNTIFS($BG$2:$BG$200,$G157)&gt;0,
    COUNTIFS($BH$2:$BH$200,$G157)&gt;0,
    COUNTIFS($BI$2:$BI$200,$G157)&gt;0,
    COUNTIFS($BJ$2:$BJ$200,$G157)&gt;0,
    COUNTIFS($BK$2:$BK$200,$G157)&gt;0,
    COUNTIFS($BL$2:$BL$200,$G157)&gt;0,
    COUNTIFS($BM$2:$BM$200,$G157)&gt;0,
   ),
  0)
 ),
"")</f>
        <v>Modular</v>
      </c>
      <c r="D157" s="2" t="str" cm="1">
        <f t="array" aca="1" ref="D157" ca="1">IFERROR(
 INDEX(
  _xlfn._xlws.FILTER($V$1:$AY$1,
   TRANSPOSE(
    CHOOSE({1;2;3;4;5;6;7;8;9;10;11;12;13;14;15;16;17;18;19;20;21;22;23;24;25;26;27;28;29;30},
     COUNTIFS($V$2:$V$200,$G157)&gt;0,
     COUNTIFS($W$2:$W$200,$G157)&gt;0,
     COUNTIFS($X$2:$X$200,$G157)&gt;0,
     COUNTIFS($Y$2:$Y$200,$G157)&gt;0,
     COUNTIFS($Z$2:$Z$200,$G157)&gt;0,
     COUNTIFS($AA$2:$AA$200,$G157)&gt;0,
     COUNTIFS($AB$2:$AB$200,$G157)&gt;0,
     COUNTIFS($AC$2:$AC$200,$G157)&gt;0,
     COUNTIFS($AD$2:$AD$200,$G157)&gt;0,
     COUNTIFS($AE$2:$AE$200,$G157)&gt;0,
     COUNTIFS($AF$2:$AF$200,$G157)&gt;0,
     COUNTIFS($AG$2:$AG$200,$G157)&gt;0,
     COUNTIFS($AH$2:$AH$200,$G157)&gt;0,
     COUNTIFS($AI$2:$AI$200,$G157)&gt;0,
     COUNTIFS($AJ$2:$AJ$200,$G157)&gt;0,
     COUNTIFS($AK$2:$AK$200,$G157)&gt;0,
     COUNTIFS($AL$2:$AL$200,$G157)&gt;0,
     COUNTIFS($AM$2:$AM$200,$G157)&gt;0,
     COUNTIFS($AN$2:$AN$200,$G157)&gt;0,
     COUNTIFS($AO$2:$AO$200,$G157)&gt;0,
     COUNTIFS($AP$2:$AP$200,$G157)&gt;0,
     COUNTIFS($AQ$2:$AQ$200,$G157)&gt;0,
     COUNTIFS($AR$2:$AR$200,$G157)&gt;0,
     COUNTIFS($AS$2:$AS$200,$G157)&gt;0,
     COUNTIFS($AT$2:$AT$200,$G157)&gt;0,
     COUNTIFS($AU$2:$AU$200,$G157)&gt;0,
     COUNTIFS($AV$2:$AV$200,$G157)&gt;0,
     COUNTIFS($AW$2:$AW$200,$G157)&gt;0,
     COUNTIFS($AX$2:$AX$200,$G157)&gt;0,
     COUNTIFS($AY$2:$AY$200,$G157)&gt;0
   )),
  ),
  2
 ),
"")</f>
        <v/>
      </c>
      <c r="E157" s="2" t="str" cm="1">
        <f t="array" aca="1" ref="E157" ca="1">IFERROR(
 INDEX(
  _xlfn._xlws.FILTER($V$1:$AY$1,
   TRANSPOSE(
    CHOOSE({1;2;3;4;5;6;7;8;9;10;11;12;13;14;15;16;17;18;19;20;21;22;23;24;25;26;27;28;29;30},
     COUNTIFS($V$2:$V$200,$G157)&gt;0,
     COUNTIFS($W$2:$W$200,$G157)&gt;0,
     COUNTIFS($X$2:$X$200,$G157)&gt;0,
     COUNTIFS($Y$2:$Y$200,$G157)&gt;0,
     COUNTIFS($Z$2:$Z$200,$G157)&gt;0,
     COUNTIFS($AA$2:$AA$200,$G157)&gt;0,
     COUNTIFS($AB$2:$AB$200,$G157)&gt;0,
     COUNTIFS($AC$2:$AC$200,$G157)&gt;0,
     COUNTIFS($AD$2:$AD$200,$G157)&gt;0,
     COUNTIFS($AE$2:$AE$200,$G157)&gt;0,
     COUNTIFS($AF$2:$AF$200,$G157)&gt;0,
     COUNTIFS($AG$2:$AG$200,$G157)&gt;0,
     COUNTIFS($AH$2:$AH$200,$G157)&gt;0,
     COUNTIFS($AI$2:$AI$200,$G157)&gt;0,
     COUNTIFS($AJ$2:$AJ$200,$G157)&gt;0,
     COUNTIFS($AK$2:$AK$200,$G157)&gt;0,
     COUNTIFS($AL$2:$AL$200,$G157)&gt;0,
     COUNTIFS($AM$2:$AM$200,$G157)&gt;0,
     COUNTIFS($AN$2:$AN$200,$G157)&gt;0,
     COUNTIFS($AO$2:$AO$200,$G157)&gt;0,
     COUNTIFS($AP$2:$AP$200,$G157)&gt;0,
     COUNTIFS($AQ$2:$AQ$200,$G157)&gt;0,
     COUNTIFS($AR$2:$AR$200,$G157)&gt;0,
     COUNTIFS($AS$2:$AS$200,$G157)&gt;0,
     COUNTIFS($AT$2:$AT$200,$G157)&gt;0,
     COUNTIFS($AU$2:$AU$200,$G157)&gt;0,
     COUNTIFS($AV$2:$AV$200,$G157)&gt;0,
     COUNTIFS($AW$2:$AW$200,$G157)&gt;0,
     COUNTIFS($AX$2:$AX$200,$G157)&gt;0,
     COUNTIFS($AY$2:$AY$200,$G157)&gt;0
   )),
  ),
  3
 ),
"")</f>
        <v/>
      </c>
      <c r="F157" s="2" t="str" cm="1">
        <f t="array" aca="1" ref="F157" ca="1">IFERROR(
 INDEX(
  _xlfn._xlws.FILTER($V$1:$AY$1,
   TRANSPOSE(
    CHOOSE({1;2;3;4;5;6;7;8;9;10;11;12;13;14;15;16;17;18;19;20;21;22;23;24;25;26;27;28;29;30},
     COUNTIFS($V$2:$V$200,$G157)&gt;0,
     COUNTIFS($W$2:$W$200,$G157)&gt;0,
     COUNTIFS($X$2:$X$200,$G157)&gt;0,
     COUNTIFS($Y$2:$Y$200,$G157)&gt;0,
     COUNTIFS($Z$2:$Z$200,$G157)&gt;0,
     COUNTIFS($AA$2:$AA$200,$G157)&gt;0,
     COUNTIFS($AB$2:$AB$200,$G157)&gt;0,
     COUNTIFS($AC$2:$AC$200,$G157)&gt;0,
     COUNTIFS($AD$2:$AD$200,$G157)&gt;0,
     COUNTIFS($AE$2:$AE$200,$G157)&gt;0,
     COUNTIFS($AF$2:$AF$200,$G157)&gt;0,
     COUNTIFS($AG$2:$AG$200,$G157)&gt;0,
     COUNTIFS($AH$2:$AH$200,$G157)&gt;0,
     COUNTIFS($AI$2:$AI$200,$G157)&gt;0,
     COUNTIFS($AJ$2:$AJ$200,$G157)&gt;0,
     COUNTIFS($AK$2:$AK$200,$G157)&gt;0,
     COUNTIFS($AL$2:$AL$200,$G157)&gt;0,
     COUNTIFS($AM$2:$AM$200,$G157)&gt;0,
     COUNTIFS($AN$2:$AN$200,$G157)&gt;0,
     COUNTIFS($AO$2:$AO$200,$G157)&gt;0,
     COUNTIFS($AP$2:$AP$200,$G157)&gt;0,
     COUNTIFS($AQ$2:$AQ$200,$G157)&gt;0,
     COUNTIFS($AR$2:$AR$200,$G157)&gt;0,
     COUNTIFS($AS$2:$AS$200,$G157)&gt;0,
     COUNTIFS($AT$2:$AT$200,$G157)&gt;0,
     COUNTIFS($AU$2:$AU$200,$G157)&gt;0,
     COUNTIFS($AV$2:$AV$200,$G157)&gt;0,
     COUNTIFS($AW$2:$AW$200,$G157)&gt;0,
     COUNTIFS($AX$2:$AX$200,$G157)&gt;0,
     COUNTIFS($AY$2:$AY$200,$G157)&gt;0
   )),
  ),
  4
 ),
"")</f>
        <v/>
      </c>
      <c r="G157" t="str">
        <f ca="1"/>
        <v>Fabled Passage</v>
      </c>
      <c r="EP157" t="str">
        <f ca="1"/>
        <v>Sword of Truth and Justice</v>
      </c>
      <c r="EQ157" t="str">
        <f ca="1"/>
        <v>Steam Vents</v>
      </c>
      <c r="ER157" t="str">
        <f ca="1"/>
        <v>Smoldering Marsh</v>
      </c>
      <c r="EU157" t="str">
        <f ca="1"/>
        <v>Kaya the Inexorable</v>
      </c>
      <c r="EV157" t="str">
        <f ca="1"/>
        <v>Smoldering Marsh</v>
      </c>
      <c r="EX157" t="str">
        <f ca="1"/>
        <v>Fabled Passage</v>
      </c>
    </row>
    <row r="158" spans="1:154" x14ac:dyDescent="0.25">
      <c r="A158" s="2" t="str">
        <f t="shared" ca="1" si="10"/>
        <v>3</v>
      </c>
      <c r="B158" s="2">
        <f t="shared" ca="1" si="11"/>
        <v>1</v>
      </c>
      <c r="C158" s="2" t="str">
        <f ca="1">IFERROR(
 INDEX($V$1:$BL$1,
  MATCH(TRUE,
   CHOOSE({1;2;3;4;5;6;7;8;9;10;11;12;13;14;15;16;17;18;19;20;21;22;23;24;25;26;27;28;29;30;31;32;33;34;35;36;37;38;39;40;41;42;43},
    COUNTIFS($V$2:$V$200,$G158)&gt;0,
    COUNTIFS($W$2:$W$200,$G158)&gt;0,
    COUNTIFS($X$2:$X$200,$G158)&gt;0,
    COUNTIFS($Y$2:$Y$200,$G158)&gt;0,
    COUNTIFS($Z$2:$Z$200,$G158)&gt;0,
    COUNTIFS($AA$2:$AA$200,$G158)&gt;0,
    COUNTIFS($AB$2:$AB$200,$G158)&gt;0,
    COUNTIFS($AC$2:$AC$200,$G158)&gt;0,
    COUNTIFS($AD$2:$AD$200,$G158)&gt;0,
    COUNTIFS($AE$2:$AE$200,$G158)&gt;0,
    COUNTIFS($AF$2:$AF$200,$G158)&gt;0,
    COUNTIFS($AG$2:$AG$200,$G158)&gt;0,
    COUNTIFS($AH$2:$AH$200,$G158)&gt;0,
    COUNTIFS($AI$2:$AI$200,$G158)&gt;0,
    COUNTIFS($AJ$2:$AJ$200,$G158)&gt;0,
    COUNTIFS($AK$2:$AK$200,$G158)&gt;0,
    COUNTIFS($AL$2:$AL$200,$G158)&gt;0,
    COUNTIFS($AM$2:$AM$200,$G158)&gt;0,
    COUNTIFS($AN$2:$AN$200,$G158)&gt;0,
    COUNTIFS($AO$2:$AO$200,$G158)&gt;0,
    COUNTIFS($AP$2:$AP$200,$G158)&gt;0,
    COUNTIFS($AQ$2:$AQ$200,$G158)&gt;0,
    COUNTIFS($AR$2:$AR$200,$G158)&gt;0,
    COUNTIFS($AS$2:$AS$200,$G158)&gt;0,
    COUNTIFS($AT$2:$AT$200,$G158)&gt;0,
    COUNTIFS($AU$2:$AU$200,$G158)&gt;0,
    COUNTIFS($AV$2:$AV$200,$G158)&gt;0,
    COUNTIFS($AW$2:$AW$200,$G158)&gt;0,
    COUNTIFS($AX$2:$AX$200,$G158)&gt;0,
    COUNTIFS($AY$2:$AY$200,$G158)&gt;0,
    COUNTIFS($AZ$2:$AZ$200,$G158)&gt;0,
    COUNTIFS($BA$2:$BA$200,$G158)&gt;0,
    COUNTIFS($BB$2:$BB$200,$G158)&gt;0,
    COUNTIFS($BC$2:$BC$200,$G158)&gt;0,
    COUNTIFS($BD$2:$BD$200,$G158)&gt;0,
    COUNTIFS($BE$2:$BE$200,$G158)&gt;0,
    COUNTIFS($BF$2:$BF$200,$G158)&gt;0,
    COUNTIFS($BG$2:$BG$200,$G158)&gt;0,
    COUNTIFS($BH$2:$BH$200,$G158)&gt;0,
    COUNTIFS($BI$2:$BI$200,$G158)&gt;0,
    COUNTIFS($BJ$2:$BJ$200,$G158)&gt;0,
    COUNTIFS($BK$2:$BK$200,$G158)&gt;0,
    COUNTIFS($BL$2:$BL$200,$G158)&gt;0,
    COUNTIFS($BM$2:$BM$200,$G158)&gt;0,
   ),
  0)
 ),
"")</f>
        <v>Yuriko</v>
      </c>
      <c r="D158" s="2" t="str" cm="1">
        <f t="array" aca="1" ref="D158" ca="1">IFERROR(
 INDEX(
  _xlfn._xlws.FILTER($V$1:$AY$1,
   TRANSPOSE(
    CHOOSE({1;2;3;4;5;6;7;8;9;10;11;12;13;14;15;16;17;18;19;20;21;22;23;24;25;26;27;28;29;30},
     COUNTIFS($V$2:$V$200,$G158)&gt;0,
     COUNTIFS($W$2:$W$200,$G158)&gt;0,
     COUNTIFS($X$2:$X$200,$G158)&gt;0,
     COUNTIFS($Y$2:$Y$200,$G158)&gt;0,
     COUNTIFS($Z$2:$Z$200,$G158)&gt;0,
     COUNTIFS($AA$2:$AA$200,$G158)&gt;0,
     COUNTIFS($AB$2:$AB$200,$G158)&gt;0,
     COUNTIFS($AC$2:$AC$200,$G158)&gt;0,
     COUNTIFS($AD$2:$AD$200,$G158)&gt;0,
     COUNTIFS($AE$2:$AE$200,$G158)&gt;0,
     COUNTIFS($AF$2:$AF$200,$G158)&gt;0,
     COUNTIFS($AG$2:$AG$200,$G158)&gt;0,
     COUNTIFS($AH$2:$AH$200,$G158)&gt;0,
     COUNTIFS($AI$2:$AI$200,$G158)&gt;0,
     COUNTIFS($AJ$2:$AJ$200,$G158)&gt;0,
     COUNTIFS($AK$2:$AK$200,$G158)&gt;0,
     COUNTIFS($AL$2:$AL$200,$G158)&gt;0,
     COUNTIFS($AM$2:$AM$200,$G158)&gt;0,
     COUNTIFS($AN$2:$AN$200,$G158)&gt;0,
     COUNTIFS($AO$2:$AO$200,$G158)&gt;0,
     COUNTIFS($AP$2:$AP$200,$G158)&gt;0,
     COUNTIFS($AQ$2:$AQ$200,$G158)&gt;0,
     COUNTIFS($AR$2:$AR$200,$G158)&gt;0,
     COUNTIFS($AS$2:$AS$200,$G158)&gt;0,
     COUNTIFS($AT$2:$AT$200,$G158)&gt;0,
     COUNTIFS($AU$2:$AU$200,$G158)&gt;0,
     COUNTIFS($AV$2:$AV$200,$G158)&gt;0,
     COUNTIFS($AW$2:$AW$200,$G158)&gt;0,
     COUNTIFS($AX$2:$AX$200,$G158)&gt;0,
     COUNTIFS($AY$2:$AY$200,$G158)&gt;0
   )),
  ),
  2
 ),
"")</f>
        <v/>
      </c>
      <c r="E158" s="2" t="str" cm="1">
        <f t="array" aca="1" ref="E158" ca="1">IFERROR(
 INDEX(
  _xlfn._xlws.FILTER($V$1:$AY$1,
   TRANSPOSE(
    CHOOSE({1;2;3;4;5;6;7;8;9;10;11;12;13;14;15;16;17;18;19;20;21;22;23;24;25;26;27;28;29;30},
     COUNTIFS($V$2:$V$200,$G158)&gt;0,
     COUNTIFS($W$2:$W$200,$G158)&gt;0,
     COUNTIFS($X$2:$X$200,$G158)&gt;0,
     COUNTIFS($Y$2:$Y$200,$G158)&gt;0,
     COUNTIFS($Z$2:$Z$200,$G158)&gt;0,
     COUNTIFS($AA$2:$AA$200,$G158)&gt;0,
     COUNTIFS($AB$2:$AB$200,$G158)&gt;0,
     COUNTIFS($AC$2:$AC$200,$G158)&gt;0,
     COUNTIFS($AD$2:$AD$200,$G158)&gt;0,
     COUNTIFS($AE$2:$AE$200,$G158)&gt;0,
     COUNTIFS($AF$2:$AF$200,$G158)&gt;0,
     COUNTIFS($AG$2:$AG$200,$G158)&gt;0,
     COUNTIFS($AH$2:$AH$200,$G158)&gt;0,
     COUNTIFS($AI$2:$AI$200,$G158)&gt;0,
     COUNTIFS($AJ$2:$AJ$200,$G158)&gt;0,
     COUNTIFS($AK$2:$AK$200,$G158)&gt;0,
     COUNTIFS($AL$2:$AL$200,$G158)&gt;0,
     COUNTIFS($AM$2:$AM$200,$G158)&gt;0,
     COUNTIFS($AN$2:$AN$200,$G158)&gt;0,
     COUNTIFS($AO$2:$AO$200,$G158)&gt;0,
     COUNTIFS($AP$2:$AP$200,$G158)&gt;0,
     COUNTIFS($AQ$2:$AQ$200,$G158)&gt;0,
     COUNTIFS($AR$2:$AR$200,$G158)&gt;0,
     COUNTIFS($AS$2:$AS$200,$G158)&gt;0,
     COUNTIFS($AT$2:$AT$200,$G158)&gt;0,
     COUNTIFS($AU$2:$AU$200,$G158)&gt;0,
     COUNTIFS($AV$2:$AV$200,$G158)&gt;0,
     COUNTIFS($AW$2:$AW$200,$G158)&gt;0,
     COUNTIFS($AX$2:$AX$200,$G158)&gt;0,
     COUNTIFS($AY$2:$AY$200,$G158)&gt;0
   )),
  ),
  3
 ),
"")</f>
        <v/>
      </c>
      <c r="F158" s="2" t="str" cm="1">
        <f t="array" aca="1" ref="F158" ca="1">IFERROR(
 INDEX(
  _xlfn._xlws.FILTER($V$1:$AY$1,
   TRANSPOSE(
    CHOOSE({1;2;3;4;5;6;7;8;9;10;11;12;13;14;15;16;17;18;19;20;21;22;23;24;25;26;27;28;29;30},
     COUNTIFS($V$2:$V$200,$G158)&gt;0,
     COUNTIFS($W$2:$W$200,$G158)&gt;0,
     COUNTIFS($X$2:$X$200,$G158)&gt;0,
     COUNTIFS($Y$2:$Y$200,$G158)&gt;0,
     COUNTIFS($Z$2:$Z$200,$G158)&gt;0,
     COUNTIFS($AA$2:$AA$200,$G158)&gt;0,
     COUNTIFS($AB$2:$AB$200,$G158)&gt;0,
     COUNTIFS($AC$2:$AC$200,$G158)&gt;0,
     COUNTIFS($AD$2:$AD$200,$G158)&gt;0,
     COUNTIFS($AE$2:$AE$200,$G158)&gt;0,
     COUNTIFS($AF$2:$AF$200,$G158)&gt;0,
     COUNTIFS($AG$2:$AG$200,$G158)&gt;0,
     COUNTIFS($AH$2:$AH$200,$G158)&gt;0,
     COUNTIFS($AI$2:$AI$200,$G158)&gt;0,
     COUNTIFS($AJ$2:$AJ$200,$G158)&gt;0,
     COUNTIFS($AK$2:$AK$200,$G158)&gt;0,
     COUNTIFS($AL$2:$AL$200,$G158)&gt;0,
     COUNTIFS($AM$2:$AM$200,$G158)&gt;0,
     COUNTIFS($AN$2:$AN$200,$G158)&gt;0,
     COUNTIFS($AO$2:$AO$200,$G158)&gt;0,
     COUNTIFS($AP$2:$AP$200,$G158)&gt;0,
     COUNTIFS($AQ$2:$AQ$200,$G158)&gt;0,
     COUNTIFS($AR$2:$AR$200,$G158)&gt;0,
     COUNTIFS($AS$2:$AS$200,$G158)&gt;0,
     COUNTIFS($AT$2:$AT$200,$G158)&gt;0,
     COUNTIFS($AU$2:$AU$200,$G158)&gt;0,
     COUNTIFS($AV$2:$AV$200,$G158)&gt;0,
     COUNTIFS($AW$2:$AW$200,$G158)&gt;0,
     COUNTIFS($AX$2:$AX$200,$G158)&gt;0,
     COUNTIFS($AY$2:$AY$200,$G158)&gt;0
   )),
  ),
  4
 ),
"")</f>
        <v/>
      </c>
      <c r="G158" t="str">
        <f ca="1"/>
        <v>Faerie Slumber Party</v>
      </c>
      <c r="EP158" t="str">
        <f ca="1"/>
        <v>Sword of Wealth and Power</v>
      </c>
      <c r="EQ158" t="str">
        <f ca="1"/>
        <v>Sting-Slinger</v>
      </c>
      <c r="ER158" t="str">
        <f ca="1"/>
        <v>Sol Ring</v>
      </c>
      <c r="EU158" t="str">
        <f ca="1"/>
        <v>Keen Duelist</v>
      </c>
      <c r="EV158" t="str">
        <f ca="1"/>
        <v>Sol Ring</v>
      </c>
      <c r="EX158" t="str">
        <f ca="1"/>
        <v>Faerie Slumber Party</v>
      </c>
    </row>
    <row r="159" spans="1:154" x14ac:dyDescent="0.25">
      <c r="A159" s="2" t="str">
        <f t="shared" ca="1" si="10"/>
        <v>5</v>
      </c>
      <c r="B159" s="2">
        <f t="shared" ca="1" si="11"/>
        <v>1</v>
      </c>
      <c r="C159" s="2" t="str">
        <f ca="1">IFERROR(
 INDEX($V$1:$BL$1,
  MATCH(TRUE,
   CHOOSE({1;2;3;4;5;6;7;8;9;10;11;12;13;14;15;16;17;18;19;20;21;22;23;24;25;26;27;28;29;30;31;32;33;34;35;36;37;38;39;40;41;42;43},
    COUNTIFS($V$2:$V$200,$G159)&gt;0,
    COUNTIFS($W$2:$W$200,$G159)&gt;0,
    COUNTIFS($X$2:$X$200,$G159)&gt;0,
    COUNTIFS($Y$2:$Y$200,$G159)&gt;0,
    COUNTIFS($Z$2:$Z$200,$G159)&gt;0,
    COUNTIFS($AA$2:$AA$200,$G159)&gt;0,
    COUNTIFS($AB$2:$AB$200,$G159)&gt;0,
    COUNTIFS($AC$2:$AC$200,$G159)&gt;0,
    COUNTIFS($AD$2:$AD$200,$G159)&gt;0,
    COUNTIFS($AE$2:$AE$200,$G159)&gt;0,
    COUNTIFS($AF$2:$AF$200,$G159)&gt;0,
    COUNTIFS($AG$2:$AG$200,$G159)&gt;0,
    COUNTIFS($AH$2:$AH$200,$G159)&gt;0,
    COUNTIFS($AI$2:$AI$200,$G159)&gt;0,
    COUNTIFS($AJ$2:$AJ$200,$G159)&gt;0,
    COUNTIFS($AK$2:$AK$200,$G159)&gt;0,
    COUNTIFS($AL$2:$AL$200,$G159)&gt;0,
    COUNTIFS($AM$2:$AM$200,$G159)&gt;0,
    COUNTIFS($AN$2:$AN$200,$G159)&gt;0,
    COUNTIFS($AO$2:$AO$200,$G159)&gt;0,
    COUNTIFS($AP$2:$AP$200,$G159)&gt;0,
    COUNTIFS($AQ$2:$AQ$200,$G159)&gt;0,
    COUNTIFS($AR$2:$AR$200,$G159)&gt;0,
    COUNTIFS($AS$2:$AS$200,$G159)&gt;0,
    COUNTIFS($AT$2:$AT$200,$G159)&gt;0,
    COUNTIFS($AU$2:$AU$200,$G159)&gt;0,
    COUNTIFS($AV$2:$AV$200,$G159)&gt;0,
    COUNTIFS($AW$2:$AW$200,$G159)&gt;0,
    COUNTIFS($AX$2:$AX$200,$G159)&gt;0,
    COUNTIFS($AY$2:$AY$200,$G159)&gt;0,
    COUNTIFS($AZ$2:$AZ$200,$G159)&gt;0,
    COUNTIFS($BA$2:$BA$200,$G159)&gt;0,
    COUNTIFS($BB$2:$BB$200,$G159)&gt;0,
    COUNTIFS($BC$2:$BC$200,$G159)&gt;0,
    COUNTIFS($BD$2:$BD$200,$G159)&gt;0,
    COUNTIFS($BE$2:$BE$200,$G159)&gt;0,
    COUNTIFS($BF$2:$BF$200,$G159)&gt;0,
    COUNTIFS($BG$2:$BG$200,$G159)&gt;0,
    COUNTIFS($BH$2:$BH$200,$G159)&gt;0,
    COUNTIFS($BI$2:$BI$200,$G159)&gt;0,
    COUNTIFS($BJ$2:$BJ$200,$G159)&gt;0,
    COUNTIFS($BK$2:$BK$200,$G159)&gt;0,
    COUNTIFS($BL$2:$BL$200,$G159)&gt;0,
    COUNTIFS($BM$2:$BM$200,$G159)&gt;0,
   ),
  0)
 ),
"")</f>
        <v>4cRash</v>
      </c>
      <c r="D159" s="2" t="str" cm="1">
        <f t="array" aca="1" ref="D159" ca="1">IFERROR(
 INDEX(
  _xlfn._xlws.FILTER($V$1:$AY$1,
   TRANSPOSE(
    CHOOSE({1;2;3;4;5;6;7;8;9;10;11;12;13;14;15;16;17;18;19;20;21;22;23;24;25;26;27;28;29;30},
     COUNTIFS($V$2:$V$200,$G159)&gt;0,
     COUNTIFS($W$2:$W$200,$G159)&gt;0,
     COUNTIFS($X$2:$X$200,$G159)&gt;0,
     COUNTIFS($Y$2:$Y$200,$G159)&gt;0,
     COUNTIFS($Z$2:$Z$200,$G159)&gt;0,
     COUNTIFS($AA$2:$AA$200,$G159)&gt;0,
     COUNTIFS($AB$2:$AB$200,$G159)&gt;0,
     COUNTIFS($AC$2:$AC$200,$G159)&gt;0,
     COUNTIFS($AD$2:$AD$200,$G159)&gt;0,
     COUNTIFS($AE$2:$AE$200,$G159)&gt;0,
     COUNTIFS($AF$2:$AF$200,$G159)&gt;0,
     COUNTIFS($AG$2:$AG$200,$G159)&gt;0,
     COUNTIFS($AH$2:$AH$200,$G159)&gt;0,
     COUNTIFS($AI$2:$AI$200,$G159)&gt;0,
     COUNTIFS($AJ$2:$AJ$200,$G159)&gt;0,
     COUNTIFS($AK$2:$AK$200,$G159)&gt;0,
     COUNTIFS($AL$2:$AL$200,$G159)&gt;0,
     COUNTIFS($AM$2:$AM$200,$G159)&gt;0,
     COUNTIFS($AN$2:$AN$200,$G159)&gt;0,
     COUNTIFS($AO$2:$AO$200,$G159)&gt;0,
     COUNTIFS($AP$2:$AP$200,$G159)&gt;0,
     COUNTIFS($AQ$2:$AQ$200,$G159)&gt;0,
     COUNTIFS($AR$2:$AR$200,$G159)&gt;0,
     COUNTIFS($AS$2:$AS$200,$G159)&gt;0,
     COUNTIFS($AT$2:$AT$200,$G159)&gt;0,
     COUNTIFS($AU$2:$AU$200,$G159)&gt;0,
     COUNTIFS($AV$2:$AV$200,$G159)&gt;0,
     COUNTIFS($AW$2:$AW$200,$G159)&gt;0,
     COUNTIFS($AX$2:$AX$200,$G159)&gt;0,
     COUNTIFS($AY$2:$AY$200,$G159)&gt;0
   )),
  ),
  2
 ),
"")</f>
        <v/>
      </c>
      <c r="E159" s="2" t="str" cm="1">
        <f t="array" aca="1" ref="E159" ca="1">IFERROR(
 INDEX(
  _xlfn._xlws.FILTER($V$1:$AY$1,
   TRANSPOSE(
    CHOOSE({1;2;3;4;5;6;7;8;9;10;11;12;13;14;15;16;17;18;19;20;21;22;23;24;25;26;27;28;29;30},
     COUNTIFS($V$2:$V$200,$G159)&gt;0,
     COUNTIFS($W$2:$W$200,$G159)&gt;0,
     COUNTIFS($X$2:$X$200,$G159)&gt;0,
     COUNTIFS($Y$2:$Y$200,$G159)&gt;0,
     COUNTIFS($Z$2:$Z$200,$G159)&gt;0,
     COUNTIFS($AA$2:$AA$200,$G159)&gt;0,
     COUNTIFS($AB$2:$AB$200,$G159)&gt;0,
     COUNTIFS($AC$2:$AC$200,$G159)&gt;0,
     COUNTIFS($AD$2:$AD$200,$G159)&gt;0,
     COUNTIFS($AE$2:$AE$200,$G159)&gt;0,
     COUNTIFS($AF$2:$AF$200,$G159)&gt;0,
     COUNTIFS($AG$2:$AG$200,$G159)&gt;0,
     COUNTIFS($AH$2:$AH$200,$G159)&gt;0,
     COUNTIFS($AI$2:$AI$200,$G159)&gt;0,
     COUNTIFS($AJ$2:$AJ$200,$G159)&gt;0,
     COUNTIFS($AK$2:$AK$200,$G159)&gt;0,
     COUNTIFS($AL$2:$AL$200,$G159)&gt;0,
     COUNTIFS($AM$2:$AM$200,$G159)&gt;0,
     COUNTIFS($AN$2:$AN$200,$G159)&gt;0,
     COUNTIFS($AO$2:$AO$200,$G159)&gt;0,
     COUNTIFS($AP$2:$AP$200,$G159)&gt;0,
     COUNTIFS($AQ$2:$AQ$200,$G159)&gt;0,
     COUNTIFS($AR$2:$AR$200,$G159)&gt;0,
     COUNTIFS($AS$2:$AS$200,$G159)&gt;0,
     COUNTIFS($AT$2:$AT$200,$G159)&gt;0,
     COUNTIFS($AU$2:$AU$200,$G159)&gt;0,
     COUNTIFS($AV$2:$AV$200,$G159)&gt;0,
     COUNTIFS($AW$2:$AW$200,$G159)&gt;0,
     COUNTIFS($AX$2:$AX$200,$G159)&gt;0,
     COUNTIFS($AY$2:$AY$200,$G159)&gt;0
   )),
  ),
  3
 ),
"")</f>
        <v/>
      </c>
      <c r="F159" s="2" t="str" cm="1">
        <f t="array" aca="1" ref="F159" ca="1">IFERROR(
 INDEX(
  _xlfn._xlws.FILTER($V$1:$AY$1,
   TRANSPOSE(
    CHOOSE({1;2;3;4;5;6;7;8;9;10;11;12;13;14;15;16;17;18;19;20;21;22;23;24;25;26;27;28;29;30},
     COUNTIFS($V$2:$V$200,$G159)&gt;0,
     COUNTIFS($W$2:$W$200,$G159)&gt;0,
     COUNTIFS($X$2:$X$200,$G159)&gt;0,
     COUNTIFS($Y$2:$Y$200,$G159)&gt;0,
     COUNTIFS($Z$2:$Z$200,$G159)&gt;0,
     COUNTIFS($AA$2:$AA$200,$G159)&gt;0,
     COUNTIFS($AB$2:$AB$200,$G159)&gt;0,
     COUNTIFS($AC$2:$AC$200,$G159)&gt;0,
     COUNTIFS($AD$2:$AD$200,$G159)&gt;0,
     COUNTIFS($AE$2:$AE$200,$G159)&gt;0,
     COUNTIFS($AF$2:$AF$200,$G159)&gt;0,
     COUNTIFS($AG$2:$AG$200,$G159)&gt;0,
     COUNTIFS($AH$2:$AH$200,$G159)&gt;0,
     COUNTIFS($AI$2:$AI$200,$G159)&gt;0,
     COUNTIFS($AJ$2:$AJ$200,$G159)&gt;0,
     COUNTIFS($AK$2:$AK$200,$G159)&gt;0,
     COUNTIFS($AL$2:$AL$200,$G159)&gt;0,
     COUNTIFS($AM$2:$AM$200,$G159)&gt;0,
     COUNTIFS($AN$2:$AN$200,$G159)&gt;0,
     COUNTIFS($AO$2:$AO$200,$G159)&gt;0,
     COUNTIFS($AP$2:$AP$200,$G159)&gt;0,
     COUNTIFS($AQ$2:$AQ$200,$G159)&gt;0,
     COUNTIFS($AR$2:$AR$200,$G159)&gt;0,
     COUNTIFS($AS$2:$AS$200,$G159)&gt;0,
     COUNTIFS($AT$2:$AT$200,$G159)&gt;0,
     COUNTIFS($AU$2:$AU$200,$G159)&gt;0,
     COUNTIFS($AV$2:$AV$200,$G159)&gt;0,
     COUNTIFS($AW$2:$AW$200,$G159)&gt;0,
     COUNTIFS($AX$2:$AX$200,$G159)&gt;0,
     COUNTIFS($AY$2:$AY$200,$G159)&gt;0
   )),
  ),
  4
 ),
"")</f>
        <v/>
      </c>
      <c r="G159" t="str">
        <f ca="1"/>
        <v>Fandaniel, Telophoroi Ascian</v>
      </c>
      <c r="EP159" t="str">
        <f ca="1"/>
        <v>Tainted Field</v>
      </c>
      <c r="EQ159" t="str">
        <f ca="1"/>
        <v>Stomping Ground</v>
      </c>
      <c r="ER159" t="str">
        <f ca="1"/>
        <v>Sophina, Spearsage Deserter</v>
      </c>
      <c r="EU159" t="str">
        <f ca="1"/>
        <v>Kellan, the Fae-Blooded // Birthright Boon</v>
      </c>
      <c r="EV159" t="str">
        <f ca="1"/>
        <v>Sophina, Spearsage Deserter</v>
      </c>
      <c r="EX159" t="str">
        <f ca="1"/>
        <v>Fandaniel, Telophoroi Ascian</v>
      </c>
    </row>
    <row r="160" spans="1:154" x14ac:dyDescent="0.25">
      <c r="A160" s="2" t="str">
        <f t="shared" ca="1" si="10"/>
        <v>4</v>
      </c>
      <c r="B160" s="2">
        <f t="shared" ca="1" si="11"/>
        <v>1</v>
      </c>
      <c r="C160" s="2" t="str">
        <f ca="1">IFERROR(
 INDEX($V$1:$BL$1,
  MATCH(TRUE,
   CHOOSE({1;2;3;4;5;6;7;8;9;10;11;12;13;14;15;16;17;18;19;20;21;22;23;24;25;26;27;28;29;30;31;32;33;34;35;36;37;38;39;40;41;42;43},
    COUNTIFS($V$2:$V$200,$G160)&gt;0,
    COUNTIFS($W$2:$W$200,$G160)&gt;0,
    COUNTIFS($X$2:$X$200,$G160)&gt;0,
    COUNTIFS($Y$2:$Y$200,$G160)&gt;0,
    COUNTIFS($Z$2:$Z$200,$G160)&gt;0,
    COUNTIFS($AA$2:$AA$200,$G160)&gt;0,
    COUNTIFS($AB$2:$AB$200,$G160)&gt;0,
    COUNTIFS($AC$2:$AC$200,$G160)&gt;0,
    COUNTIFS($AD$2:$AD$200,$G160)&gt;0,
    COUNTIFS($AE$2:$AE$200,$G160)&gt;0,
    COUNTIFS($AF$2:$AF$200,$G160)&gt;0,
    COUNTIFS($AG$2:$AG$200,$G160)&gt;0,
    COUNTIFS($AH$2:$AH$200,$G160)&gt;0,
    COUNTIFS($AI$2:$AI$200,$G160)&gt;0,
    COUNTIFS($AJ$2:$AJ$200,$G160)&gt;0,
    COUNTIFS($AK$2:$AK$200,$G160)&gt;0,
    COUNTIFS($AL$2:$AL$200,$G160)&gt;0,
    COUNTIFS($AM$2:$AM$200,$G160)&gt;0,
    COUNTIFS($AN$2:$AN$200,$G160)&gt;0,
    COUNTIFS($AO$2:$AO$200,$G160)&gt;0,
    COUNTIFS($AP$2:$AP$200,$G160)&gt;0,
    COUNTIFS($AQ$2:$AQ$200,$G160)&gt;0,
    COUNTIFS($AR$2:$AR$200,$G160)&gt;0,
    COUNTIFS($AS$2:$AS$200,$G160)&gt;0,
    COUNTIFS($AT$2:$AT$200,$G160)&gt;0,
    COUNTIFS($AU$2:$AU$200,$G160)&gt;0,
    COUNTIFS($AV$2:$AV$200,$G160)&gt;0,
    COUNTIFS($AW$2:$AW$200,$G160)&gt;0,
    COUNTIFS($AX$2:$AX$200,$G160)&gt;0,
    COUNTIFS($AY$2:$AY$200,$G160)&gt;0,
    COUNTIFS($AZ$2:$AZ$200,$G160)&gt;0,
    COUNTIFS($BA$2:$BA$200,$G160)&gt;0,
    COUNTIFS($BB$2:$BB$200,$G160)&gt;0,
    COUNTIFS($BC$2:$BC$200,$G160)&gt;0,
    COUNTIFS($BD$2:$BD$200,$G160)&gt;0,
    COUNTIFS($BE$2:$BE$200,$G160)&gt;0,
    COUNTIFS($BF$2:$BF$200,$G160)&gt;0,
    COUNTIFS($BG$2:$BG$200,$G160)&gt;0,
    COUNTIFS($BH$2:$BH$200,$G160)&gt;0,
    COUNTIFS($BI$2:$BI$200,$G160)&gt;0,
    COUNTIFS($BJ$2:$BJ$200,$G160)&gt;0,
    COUNTIFS($BK$2:$BK$200,$G160)&gt;0,
    COUNTIFS($BL$2:$BL$200,$G160)&gt;0,
    COUNTIFS($BM$2:$BM$200,$G160)&gt;0,
   ),
  0)
 ),
"")</f>
        <v>Tayam</v>
      </c>
      <c r="D160" s="2" t="str" cm="1">
        <f t="array" aca="1" ref="D160" ca="1">IFERROR(
 INDEX(
  _xlfn._xlws.FILTER($V$1:$AY$1,
   TRANSPOSE(
    CHOOSE({1;2;3;4;5;6;7;8;9;10;11;12;13;14;15;16;17;18;19;20;21;22;23;24;25;26;27;28;29;30},
     COUNTIFS($V$2:$V$200,$G160)&gt;0,
     COUNTIFS($W$2:$W$200,$G160)&gt;0,
     COUNTIFS($X$2:$X$200,$G160)&gt;0,
     COUNTIFS($Y$2:$Y$200,$G160)&gt;0,
     COUNTIFS($Z$2:$Z$200,$G160)&gt;0,
     COUNTIFS($AA$2:$AA$200,$G160)&gt;0,
     COUNTIFS($AB$2:$AB$200,$G160)&gt;0,
     COUNTIFS($AC$2:$AC$200,$G160)&gt;0,
     COUNTIFS($AD$2:$AD$200,$G160)&gt;0,
     COUNTIFS($AE$2:$AE$200,$G160)&gt;0,
     COUNTIFS($AF$2:$AF$200,$G160)&gt;0,
     COUNTIFS($AG$2:$AG$200,$G160)&gt;0,
     COUNTIFS($AH$2:$AH$200,$G160)&gt;0,
     COUNTIFS($AI$2:$AI$200,$G160)&gt;0,
     COUNTIFS($AJ$2:$AJ$200,$G160)&gt;0,
     COUNTIFS($AK$2:$AK$200,$G160)&gt;0,
     COUNTIFS($AL$2:$AL$200,$G160)&gt;0,
     COUNTIFS($AM$2:$AM$200,$G160)&gt;0,
     COUNTIFS($AN$2:$AN$200,$G160)&gt;0,
     COUNTIFS($AO$2:$AO$200,$G160)&gt;0,
     COUNTIFS($AP$2:$AP$200,$G160)&gt;0,
     COUNTIFS($AQ$2:$AQ$200,$G160)&gt;0,
     COUNTIFS($AR$2:$AR$200,$G160)&gt;0,
     COUNTIFS($AS$2:$AS$200,$G160)&gt;0,
     COUNTIFS($AT$2:$AT$200,$G160)&gt;0,
     COUNTIFS($AU$2:$AU$200,$G160)&gt;0,
     COUNTIFS($AV$2:$AV$200,$G160)&gt;0,
     COUNTIFS($AW$2:$AW$200,$G160)&gt;0,
     COUNTIFS($AX$2:$AX$200,$G160)&gt;0,
     COUNTIFS($AY$2:$AY$200,$G160)&gt;0
   )),
  ),
  2
 ),
"")</f>
        <v/>
      </c>
      <c r="E160" s="2" t="str" cm="1">
        <f t="array" aca="1" ref="E160" ca="1">IFERROR(
 INDEX(
  _xlfn._xlws.FILTER($V$1:$AY$1,
   TRANSPOSE(
    CHOOSE({1;2;3;4;5;6;7;8;9;10;11;12;13;14;15;16;17;18;19;20;21;22;23;24;25;26;27;28;29;30},
     COUNTIFS($V$2:$V$200,$G160)&gt;0,
     COUNTIFS($W$2:$W$200,$G160)&gt;0,
     COUNTIFS($X$2:$X$200,$G160)&gt;0,
     COUNTIFS($Y$2:$Y$200,$G160)&gt;0,
     COUNTIFS($Z$2:$Z$200,$G160)&gt;0,
     COUNTIFS($AA$2:$AA$200,$G160)&gt;0,
     COUNTIFS($AB$2:$AB$200,$G160)&gt;0,
     COUNTIFS($AC$2:$AC$200,$G160)&gt;0,
     COUNTIFS($AD$2:$AD$200,$G160)&gt;0,
     COUNTIFS($AE$2:$AE$200,$G160)&gt;0,
     COUNTIFS($AF$2:$AF$200,$G160)&gt;0,
     COUNTIFS($AG$2:$AG$200,$G160)&gt;0,
     COUNTIFS($AH$2:$AH$200,$G160)&gt;0,
     COUNTIFS($AI$2:$AI$200,$G160)&gt;0,
     COUNTIFS($AJ$2:$AJ$200,$G160)&gt;0,
     COUNTIFS($AK$2:$AK$200,$G160)&gt;0,
     COUNTIFS($AL$2:$AL$200,$G160)&gt;0,
     COUNTIFS($AM$2:$AM$200,$G160)&gt;0,
     COUNTIFS($AN$2:$AN$200,$G160)&gt;0,
     COUNTIFS($AO$2:$AO$200,$G160)&gt;0,
     COUNTIFS($AP$2:$AP$200,$G160)&gt;0,
     COUNTIFS($AQ$2:$AQ$200,$G160)&gt;0,
     COUNTIFS($AR$2:$AR$200,$G160)&gt;0,
     COUNTIFS($AS$2:$AS$200,$G160)&gt;0,
     COUNTIFS($AT$2:$AT$200,$G160)&gt;0,
     COUNTIFS($AU$2:$AU$200,$G160)&gt;0,
     COUNTIFS($AV$2:$AV$200,$G160)&gt;0,
     COUNTIFS($AW$2:$AW$200,$G160)&gt;0,
     COUNTIFS($AX$2:$AX$200,$G160)&gt;0,
     COUNTIFS($AY$2:$AY$200,$G160)&gt;0
   )),
  ),
  3
 ),
"")</f>
        <v/>
      </c>
      <c r="F160" s="2" t="str" cm="1">
        <f t="array" aca="1" ref="F160" ca="1">IFERROR(
 INDEX(
  _xlfn._xlws.FILTER($V$1:$AY$1,
   TRANSPOSE(
    CHOOSE({1;2;3;4;5;6;7;8;9;10;11;12;13;14;15;16;17;18;19;20;21;22;23;24;25;26;27;28;29;30},
     COUNTIFS($V$2:$V$200,$G160)&gt;0,
     COUNTIFS($W$2:$W$200,$G160)&gt;0,
     COUNTIFS($X$2:$X$200,$G160)&gt;0,
     COUNTIFS($Y$2:$Y$200,$G160)&gt;0,
     COUNTIFS($Z$2:$Z$200,$G160)&gt;0,
     COUNTIFS($AA$2:$AA$200,$G160)&gt;0,
     COUNTIFS($AB$2:$AB$200,$G160)&gt;0,
     COUNTIFS($AC$2:$AC$200,$G160)&gt;0,
     COUNTIFS($AD$2:$AD$200,$G160)&gt;0,
     COUNTIFS($AE$2:$AE$200,$G160)&gt;0,
     COUNTIFS($AF$2:$AF$200,$G160)&gt;0,
     COUNTIFS($AG$2:$AG$200,$G160)&gt;0,
     COUNTIFS($AH$2:$AH$200,$G160)&gt;0,
     COUNTIFS($AI$2:$AI$200,$G160)&gt;0,
     COUNTIFS($AJ$2:$AJ$200,$G160)&gt;0,
     COUNTIFS($AK$2:$AK$200,$G160)&gt;0,
     COUNTIFS($AL$2:$AL$200,$G160)&gt;0,
     COUNTIFS($AM$2:$AM$200,$G160)&gt;0,
     COUNTIFS($AN$2:$AN$200,$G160)&gt;0,
     COUNTIFS($AO$2:$AO$200,$G160)&gt;0,
     COUNTIFS($AP$2:$AP$200,$G160)&gt;0,
     COUNTIFS($AQ$2:$AQ$200,$G160)&gt;0,
     COUNTIFS($AR$2:$AR$200,$G160)&gt;0,
     COUNTIFS($AS$2:$AS$200,$G160)&gt;0,
     COUNTIFS($AT$2:$AT$200,$G160)&gt;0,
     COUNTIFS($AU$2:$AU$200,$G160)&gt;0,
     COUNTIFS($AV$2:$AV$200,$G160)&gt;0,
     COUNTIFS($AW$2:$AW$200,$G160)&gt;0,
     COUNTIFS($AX$2:$AX$200,$G160)&gt;0,
     COUNTIFS($AY$2:$AY$200,$G160)&gt;0
   )),
  ),
  4
 ),
"")</f>
        <v/>
      </c>
      <c r="G160" t="str">
        <f ca="1"/>
        <v>Farhaven Elf</v>
      </c>
      <c r="EP160" t="str">
        <f ca="1"/>
        <v>Takenuma, Abandoned Mire</v>
      </c>
      <c r="EQ160" t="str">
        <f ca="1"/>
        <v>Striking Sliver</v>
      </c>
      <c r="ER160" t="str">
        <f ca="1"/>
        <v>Spinerock Knoll</v>
      </c>
      <c r="EU160" t="str">
        <f ca="1"/>
        <v>Ketria Triome</v>
      </c>
      <c r="EV160" t="str">
        <f ca="1"/>
        <v>Spinerock Knoll</v>
      </c>
      <c r="EX160" t="str">
        <f ca="1"/>
        <v>Farhaven Elf</v>
      </c>
    </row>
    <row r="161" spans="1:154" x14ac:dyDescent="0.25">
      <c r="A161" s="2" t="str">
        <f t="shared" ca="1" si="10"/>
        <v>4</v>
      </c>
      <c r="B161" s="2">
        <f t="shared" ca="1" si="11"/>
        <v>1</v>
      </c>
      <c r="C161" s="2" t="str">
        <f ca="1">IFERROR(
 INDEX($V$1:$BL$1,
  MATCH(TRUE,
   CHOOSE({1;2;3;4;5;6;7;8;9;10;11;12;13;14;15;16;17;18;19;20;21;22;23;24;25;26;27;28;29;30;31;32;33;34;35;36;37;38;39;40;41;42;43},
    COUNTIFS($V$2:$V$200,$G161)&gt;0,
    COUNTIFS($W$2:$W$200,$G161)&gt;0,
    COUNTIFS($X$2:$X$200,$G161)&gt;0,
    COUNTIFS($Y$2:$Y$200,$G161)&gt;0,
    COUNTIFS($Z$2:$Z$200,$G161)&gt;0,
    COUNTIFS($AA$2:$AA$200,$G161)&gt;0,
    COUNTIFS($AB$2:$AB$200,$G161)&gt;0,
    COUNTIFS($AC$2:$AC$200,$G161)&gt;0,
    COUNTIFS($AD$2:$AD$200,$G161)&gt;0,
    COUNTIFS($AE$2:$AE$200,$G161)&gt;0,
    COUNTIFS($AF$2:$AF$200,$G161)&gt;0,
    COUNTIFS($AG$2:$AG$200,$G161)&gt;0,
    COUNTIFS($AH$2:$AH$200,$G161)&gt;0,
    COUNTIFS($AI$2:$AI$200,$G161)&gt;0,
    COUNTIFS($AJ$2:$AJ$200,$G161)&gt;0,
    COUNTIFS($AK$2:$AK$200,$G161)&gt;0,
    COUNTIFS($AL$2:$AL$200,$G161)&gt;0,
    COUNTIFS($AM$2:$AM$200,$G161)&gt;0,
    COUNTIFS($AN$2:$AN$200,$G161)&gt;0,
    COUNTIFS($AO$2:$AO$200,$G161)&gt;0,
    COUNTIFS($AP$2:$AP$200,$G161)&gt;0,
    COUNTIFS($AQ$2:$AQ$200,$G161)&gt;0,
    COUNTIFS($AR$2:$AR$200,$G161)&gt;0,
    COUNTIFS($AS$2:$AS$200,$G161)&gt;0,
    COUNTIFS($AT$2:$AT$200,$G161)&gt;0,
    COUNTIFS($AU$2:$AU$200,$G161)&gt;0,
    COUNTIFS($AV$2:$AV$200,$G161)&gt;0,
    COUNTIFS($AW$2:$AW$200,$G161)&gt;0,
    COUNTIFS($AX$2:$AX$200,$G161)&gt;0,
    COUNTIFS($AY$2:$AY$200,$G161)&gt;0,
    COUNTIFS($AZ$2:$AZ$200,$G161)&gt;0,
    COUNTIFS($BA$2:$BA$200,$G161)&gt;0,
    COUNTIFS($BB$2:$BB$200,$G161)&gt;0,
    COUNTIFS($BC$2:$BC$200,$G161)&gt;0,
    COUNTIFS($BD$2:$BD$200,$G161)&gt;0,
    COUNTIFS($BE$2:$BE$200,$G161)&gt;0,
    COUNTIFS($BF$2:$BF$200,$G161)&gt;0,
    COUNTIFS($BG$2:$BG$200,$G161)&gt;0,
    COUNTIFS($BH$2:$BH$200,$G161)&gt;0,
    COUNTIFS($BI$2:$BI$200,$G161)&gt;0,
    COUNTIFS($BJ$2:$BJ$200,$G161)&gt;0,
    COUNTIFS($BK$2:$BK$200,$G161)&gt;0,
    COUNTIFS($BL$2:$BL$200,$G161)&gt;0,
    COUNTIFS($BM$2:$BM$200,$G161)&gt;0,
   ),
  0)
 ),
"")</f>
        <v>Baylen</v>
      </c>
      <c r="D161" s="2" t="str" cm="1">
        <f t="array" aca="1" ref="D161" ca="1">IFERROR(
 INDEX(
  _xlfn._xlws.FILTER($V$1:$AY$1,
   TRANSPOSE(
    CHOOSE({1;2;3;4;5;6;7;8;9;10;11;12;13;14;15;16;17;18;19;20;21;22;23;24;25;26;27;28;29;30},
     COUNTIFS($V$2:$V$200,$G161)&gt;0,
     COUNTIFS($W$2:$W$200,$G161)&gt;0,
     COUNTIFS($X$2:$X$200,$G161)&gt;0,
     COUNTIFS($Y$2:$Y$200,$G161)&gt;0,
     COUNTIFS($Z$2:$Z$200,$G161)&gt;0,
     COUNTIFS($AA$2:$AA$200,$G161)&gt;0,
     COUNTIFS($AB$2:$AB$200,$G161)&gt;0,
     COUNTIFS($AC$2:$AC$200,$G161)&gt;0,
     COUNTIFS($AD$2:$AD$200,$G161)&gt;0,
     COUNTIFS($AE$2:$AE$200,$G161)&gt;0,
     COUNTIFS($AF$2:$AF$200,$G161)&gt;0,
     COUNTIFS($AG$2:$AG$200,$G161)&gt;0,
     COUNTIFS($AH$2:$AH$200,$G161)&gt;0,
     COUNTIFS($AI$2:$AI$200,$G161)&gt;0,
     COUNTIFS($AJ$2:$AJ$200,$G161)&gt;0,
     COUNTIFS($AK$2:$AK$200,$G161)&gt;0,
     COUNTIFS($AL$2:$AL$200,$G161)&gt;0,
     COUNTIFS($AM$2:$AM$200,$G161)&gt;0,
     COUNTIFS($AN$2:$AN$200,$G161)&gt;0,
     COUNTIFS($AO$2:$AO$200,$G161)&gt;0,
     COUNTIFS($AP$2:$AP$200,$G161)&gt;0,
     COUNTIFS($AQ$2:$AQ$200,$G161)&gt;0,
     COUNTIFS($AR$2:$AR$200,$G161)&gt;0,
     COUNTIFS($AS$2:$AS$200,$G161)&gt;0,
     COUNTIFS($AT$2:$AT$200,$G161)&gt;0,
     COUNTIFS($AU$2:$AU$200,$G161)&gt;0,
     COUNTIFS($AV$2:$AV$200,$G161)&gt;0,
     COUNTIFS($AW$2:$AW$200,$G161)&gt;0,
     COUNTIFS($AX$2:$AX$200,$G161)&gt;0,
     COUNTIFS($AY$2:$AY$200,$G161)&gt;0
   )),
  ),
  2
 ),
"")</f>
        <v/>
      </c>
      <c r="E161" s="2" t="str" cm="1">
        <f t="array" aca="1" ref="E161" ca="1">IFERROR(
 INDEX(
  _xlfn._xlws.FILTER($V$1:$AY$1,
   TRANSPOSE(
    CHOOSE({1;2;3;4;5;6;7;8;9;10;11;12;13;14;15;16;17;18;19;20;21;22;23;24;25;26;27;28;29;30},
     COUNTIFS($V$2:$V$200,$G161)&gt;0,
     COUNTIFS($W$2:$W$200,$G161)&gt;0,
     COUNTIFS($X$2:$X$200,$G161)&gt;0,
     COUNTIFS($Y$2:$Y$200,$G161)&gt;0,
     COUNTIFS($Z$2:$Z$200,$G161)&gt;0,
     COUNTIFS($AA$2:$AA$200,$G161)&gt;0,
     COUNTIFS($AB$2:$AB$200,$G161)&gt;0,
     COUNTIFS($AC$2:$AC$200,$G161)&gt;0,
     COUNTIFS($AD$2:$AD$200,$G161)&gt;0,
     COUNTIFS($AE$2:$AE$200,$G161)&gt;0,
     COUNTIFS($AF$2:$AF$200,$G161)&gt;0,
     COUNTIFS($AG$2:$AG$200,$G161)&gt;0,
     COUNTIFS($AH$2:$AH$200,$G161)&gt;0,
     COUNTIFS($AI$2:$AI$200,$G161)&gt;0,
     COUNTIFS($AJ$2:$AJ$200,$G161)&gt;0,
     COUNTIFS($AK$2:$AK$200,$G161)&gt;0,
     COUNTIFS($AL$2:$AL$200,$G161)&gt;0,
     COUNTIFS($AM$2:$AM$200,$G161)&gt;0,
     COUNTIFS($AN$2:$AN$200,$G161)&gt;0,
     COUNTIFS($AO$2:$AO$200,$G161)&gt;0,
     COUNTIFS($AP$2:$AP$200,$G161)&gt;0,
     COUNTIFS($AQ$2:$AQ$200,$G161)&gt;0,
     COUNTIFS($AR$2:$AR$200,$G161)&gt;0,
     COUNTIFS($AS$2:$AS$200,$G161)&gt;0,
     COUNTIFS($AT$2:$AT$200,$G161)&gt;0,
     COUNTIFS($AU$2:$AU$200,$G161)&gt;0,
     COUNTIFS($AV$2:$AV$200,$G161)&gt;0,
     COUNTIFS($AW$2:$AW$200,$G161)&gt;0,
     COUNTIFS($AX$2:$AX$200,$G161)&gt;0,
     COUNTIFS($AY$2:$AY$200,$G161)&gt;0
   )),
  ),
  3
 ),
"")</f>
        <v/>
      </c>
      <c r="F161" s="2" t="str" cm="1">
        <f t="array" aca="1" ref="F161" ca="1">IFERROR(
 INDEX(
  _xlfn._xlws.FILTER($V$1:$AY$1,
   TRANSPOSE(
    CHOOSE({1;2;3;4;5;6;7;8;9;10;11;12;13;14;15;16;17;18;19;20;21;22;23;24;25;26;27;28;29;30},
     COUNTIFS($V$2:$V$200,$G161)&gt;0,
     COUNTIFS($W$2:$W$200,$G161)&gt;0,
     COUNTIFS($X$2:$X$200,$G161)&gt;0,
     COUNTIFS($Y$2:$Y$200,$G161)&gt;0,
     COUNTIFS($Z$2:$Z$200,$G161)&gt;0,
     COUNTIFS($AA$2:$AA$200,$G161)&gt;0,
     COUNTIFS($AB$2:$AB$200,$G161)&gt;0,
     COUNTIFS($AC$2:$AC$200,$G161)&gt;0,
     COUNTIFS($AD$2:$AD$200,$G161)&gt;0,
     COUNTIFS($AE$2:$AE$200,$G161)&gt;0,
     COUNTIFS($AF$2:$AF$200,$G161)&gt;0,
     COUNTIFS($AG$2:$AG$200,$G161)&gt;0,
     COUNTIFS($AH$2:$AH$200,$G161)&gt;0,
     COUNTIFS($AI$2:$AI$200,$G161)&gt;0,
     COUNTIFS($AJ$2:$AJ$200,$G161)&gt;0,
     COUNTIFS($AK$2:$AK$200,$G161)&gt;0,
     COUNTIFS($AL$2:$AL$200,$G161)&gt;0,
     COUNTIFS($AM$2:$AM$200,$G161)&gt;0,
     COUNTIFS($AN$2:$AN$200,$G161)&gt;0,
     COUNTIFS($AO$2:$AO$200,$G161)&gt;0,
     COUNTIFS($AP$2:$AP$200,$G161)&gt;0,
     COUNTIFS($AQ$2:$AQ$200,$G161)&gt;0,
     COUNTIFS($AR$2:$AR$200,$G161)&gt;0,
     COUNTIFS($AS$2:$AS$200,$G161)&gt;0,
     COUNTIFS($AT$2:$AT$200,$G161)&gt;0,
     COUNTIFS($AU$2:$AU$200,$G161)&gt;0,
     COUNTIFS($AV$2:$AV$200,$G161)&gt;0,
     COUNTIFS($AW$2:$AW$200,$G161)&gt;0,
     COUNTIFS($AX$2:$AX$200,$G161)&gt;0,
     COUNTIFS($AY$2:$AY$200,$G161)&gt;0
   )),
  ),
  4
 ),
"")</f>
        <v/>
      </c>
      <c r="G161" t="str">
        <f ca="1"/>
        <v>Farmer Cotton</v>
      </c>
      <c r="EP161" t="str">
        <f ca="1"/>
        <v>Tale of Katara and Toph</v>
      </c>
      <c r="EQ161" t="str">
        <f ca="1"/>
        <v>Strix Serenade</v>
      </c>
      <c r="ER161" t="str">
        <f ca="1"/>
        <v>Spirit Water Revival</v>
      </c>
      <c r="EU161" t="str">
        <f ca="1"/>
        <v>Khorvath's Fury</v>
      </c>
      <c r="EV161" t="str">
        <f ca="1"/>
        <v>Spirit Water Revival</v>
      </c>
      <c r="EX161" t="str">
        <f ca="1"/>
        <v>Farmer Cotton</v>
      </c>
    </row>
    <row r="162" spans="1:154" x14ac:dyDescent="0.25">
      <c r="A162" s="2" t="str">
        <f t="shared" ca="1" si="10"/>
        <v>5</v>
      </c>
      <c r="B162" s="2">
        <f t="shared" ca="1" si="11"/>
        <v>1</v>
      </c>
      <c r="C162" s="2" t="str">
        <f ca="1">IFERROR(
 INDEX($V$1:$BL$1,
  MATCH(TRUE,
   CHOOSE({1;2;3;4;5;6;7;8;9;10;11;12;13;14;15;16;17;18;19;20;21;22;23;24;25;26;27;28;29;30;31;32;33;34;35;36;37;38;39;40;41;42;43},
    COUNTIFS($V$2:$V$200,$G162)&gt;0,
    COUNTIFS($W$2:$W$200,$G162)&gt;0,
    COUNTIFS($X$2:$X$200,$G162)&gt;0,
    COUNTIFS($Y$2:$Y$200,$G162)&gt;0,
    COUNTIFS($Z$2:$Z$200,$G162)&gt;0,
    COUNTIFS($AA$2:$AA$200,$G162)&gt;0,
    COUNTIFS($AB$2:$AB$200,$G162)&gt;0,
    COUNTIFS($AC$2:$AC$200,$G162)&gt;0,
    COUNTIFS($AD$2:$AD$200,$G162)&gt;0,
    COUNTIFS($AE$2:$AE$200,$G162)&gt;0,
    COUNTIFS($AF$2:$AF$200,$G162)&gt;0,
    COUNTIFS($AG$2:$AG$200,$G162)&gt;0,
    COUNTIFS($AH$2:$AH$200,$G162)&gt;0,
    COUNTIFS($AI$2:$AI$200,$G162)&gt;0,
    COUNTIFS($AJ$2:$AJ$200,$G162)&gt;0,
    COUNTIFS($AK$2:$AK$200,$G162)&gt;0,
    COUNTIFS($AL$2:$AL$200,$G162)&gt;0,
    COUNTIFS($AM$2:$AM$200,$G162)&gt;0,
    COUNTIFS($AN$2:$AN$200,$G162)&gt;0,
    COUNTIFS($AO$2:$AO$200,$G162)&gt;0,
    COUNTIFS($AP$2:$AP$200,$G162)&gt;0,
    COUNTIFS($AQ$2:$AQ$200,$G162)&gt;0,
    COUNTIFS($AR$2:$AR$200,$G162)&gt;0,
    COUNTIFS($AS$2:$AS$200,$G162)&gt;0,
    COUNTIFS($AT$2:$AT$200,$G162)&gt;0,
    COUNTIFS($AU$2:$AU$200,$G162)&gt;0,
    COUNTIFS($AV$2:$AV$200,$G162)&gt;0,
    COUNTIFS($AW$2:$AW$200,$G162)&gt;0,
    COUNTIFS($AX$2:$AX$200,$G162)&gt;0,
    COUNTIFS($AY$2:$AY$200,$G162)&gt;0,
    COUNTIFS($AZ$2:$AZ$200,$G162)&gt;0,
    COUNTIFS($BA$2:$BA$200,$G162)&gt;0,
    COUNTIFS($BB$2:$BB$200,$G162)&gt;0,
    COUNTIFS($BC$2:$BC$200,$G162)&gt;0,
    COUNTIFS($BD$2:$BD$200,$G162)&gt;0,
    COUNTIFS($BE$2:$BE$200,$G162)&gt;0,
    COUNTIFS($BF$2:$BF$200,$G162)&gt;0,
    COUNTIFS($BG$2:$BG$200,$G162)&gt;0,
    COUNTIFS($BH$2:$BH$200,$G162)&gt;0,
    COUNTIFS($BI$2:$BI$200,$G162)&gt;0,
    COUNTIFS($BJ$2:$BJ$200,$G162)&gt;0,
    COUNTIFS($BK$2:$BK$200,$G162)&gt;0,
    COUNTIFS($BL$2:$BL$200,$G162)&gt;0,
    COUNTIFS($BM$2:$BM$200,$G162)&gt;0,
   ),
  0)
 ),
"")</f>
        <v>Yorion</v>
      </c>
      <c r="D162" s="2" t="str" cm="1">
        <f t="array" aca="1" ref="D162" ca="1">IFERROR(
 INDEX(
  _xlfn._xlws.FILTER($V$1:$AY$1,
   TRANSPOSE(
    CHOOSE({1;2;3;4;5;6;7;8;9;10;11;12;13;14;15;16;17;18;19;20;21;22;23;24;25;26;27;28;29;30},
     COUNTIFS($V$2:$V$200,$G162)&gt;0,
     COUNTIFS($W$2:$W$200,$G162)&gt;0,
     COUNTIFS($X$2:$X$200,$G162)&gt;0,
     COUNTIFS($Y$2:$Y$200,$G162)&gt;0,
     COUNTIFS($Z$2:$Z$200,$G162)&gt;0,
     COUNTIFS($AA$2:$AA$200,$G162)&gt;0,
     COUNTIFS($AB$2:$AB$200,$G162)&gt;0,
     COUNTIFS($AC$2:$AC$200,$G162)&gt;0,
     COUNTIFS($AD$2:$AD$200,$G162)&gt;0,
     COUNTIFS($AE$2:$AE$200,$G162)&gt;0,
     COUNTIFS($AF$2:$AF$200,$G162)&gt;0,
     COUNTIFS($AG$2:$AG$200,$G162)&gt;0,
     COUNTIFS($AH$2:$AH$200,$G162)&gt;0,
     COUNTIFS($AI$2:$AI$200,$G162)&gt;0,
     COUNTIFS($AJ$2:$AJ$200,$G162)&gt;0,
     COUNTIFS($AK$2:$AK$200,$G162)&gt;0,
     COUNTIFS($AL$2:$AL$200,$G162)&gt;0,
     COUNTIFS($AM$2:$AM$200,$G162)&gt;0,
     COUNTIFS($AN$2:$AN$200,$G162)&gt;0,
     COUNTIFS($AO$2:$AO$200,$G162)&gt;0,
     COUNTIFS($AP$2:$AP$200,$G162)&gt;0,
     COUNTIFS($AQ$2:$AQ$200,$G162)&gt;0,
     COUNTIFS($AR$2:$AR$200,$G162)&gt;0,
     COUNTIFS($AS$2:$AS$200,$G162)&gt;0,
     COUNTIFS($AT$2:$AT$200,$G162)&gt;0,
     COUNTIFS($AU$2:$AU$200,$G162)&gt;0,
     COUNTIFS($AV$2:$AV$200,$G162)&gt;0,
     COUNTIFS($AW$2:$AW$200,$G162)&gt;0,
     COUNTIFS($AX$2:$AX$200,$G162)&gt;0,
     COUNTIFS($AY$2:$AY$200,$G162)&gt;0
   )),
  ),
  2
 ),
"")</f>
        <v/>
      </c>
      <c r="E162" s="2" t="str" cm="1">
        <f t="array" aca="1" ref="E162" ca="1">IFERROR(
 INDEX(
  _xlfn._xlws.FILTER($V$1:$AY$1,
   TRANSPOSE(
    CHOOSE({1;2;3;4;5;6;7;8;9;10;11;12;13;14;15;16;17;18;19;20;21;22;23;24;25;26;27;28;29;30},
     COUNTIFS($V$2:$V$200,$G162)&gt;0,
     COUNTIFS($W$2:$W$200,$G162)&gt;0,
     COUNTIFS($X$2:$X$200,$G162)&gt;0,
     COUNTIFS($Y$2:$Y$200,$G162)&gt;0,
     COUNTIFS($Z$2:$Z$200,$G162)&gt;0,
     COUNTIFS($AA$2:$AA$200,$G162)&gt;0,
     COUNTIFS($AB$2:$AB$200,$G162)&gt;0,
     COUNTIFS($AC$2:$AC$200,$G162)&gt;0,
     COUNTIFS($AD$2:$AD$200,$G162)&gt;0,
     COUNTIFS($AE$2:$AE$200,$G162)&gt;0,
     COUNTIFS($AF$2:$AF$200,$G162)&gt;0,
     COUNTIFS($AG$2:$AG$200,$G162)&gt;0,
     COUNTIFS($AH$2:$AH$200,$G162)&gt;0,
     COUNTIFS($AI$2:$AI$200,$G162)&gt;0,
     COUNTIFS($AJ$2:$AJ$200,$G162)&gt;0,
     COUNTIFS($AK$2:$AK$200,$G162)&gt;0,
     COUNTIFS($AL$2:$AL$200,$G162)&gt;0,
     COUNTIFS($AM$2:$AM$200,$G162)&gt;0,
     COUNTIFS($AN$2:$AN$200,$G162)&gt;0,
     COUNTIFS($AO$2:$AO$200,$G162)&gt;0,
     COUNTIFS($AP$2:$AP$200,$G162)&gt;0,
     COUNTIFS($AQ$2:$AQ$200,$G162)&gt;0,
     COUNTIFS($AR$2:$AR$200,$G162)&gt;0,
     COUNTIFS($AS$2:$AS$200,$G162)&gt;0,
     COUNTIFS($AT$2:$AT$200,$G162)&gt;0,
     COUNTIFS($AU$2:$AU$200,$G162)&gt;0,
     COUNTIFS($AV$2:$AV$200,$G162)&gt;0,
     COUNTIFS($AW$2:$AW$200,$G162)&gt;0,
     COUNTIFS($AX$2:$AX$200,$G162)&gt;0,
     COUNTIFS($AY$2:$AY$200,$G162)&gt;0
   )),
  ),
  3
 ),
"")</f>
        <v/>
      </c>
      <c r="F162" s="2" t="str" cm="1">
        <f t="array" aca="1" ref="F162" ca="1">IFERROR(
 INDEX(
  _xlfn._xlws.FILTER($V$1:$AY$1,
   TRANSPOSE(
    CHOOSE({1;2;3;4;5;6;7;8;9;10;11;12;13;14;15;16;17;18;19;20;21;22;23;24;25;26;27;28;29;30},
     COUNTIFS($V$2:$V$200,$G162)&gt;0,
     COUNTIFS($W$2:$W$200,$G162)&gt;0,
     COUNTIFS($X$2:$X$200,$G162)&gt;0,
     COUNTIFS($Y$2:$Y$200,$G162)&gt;0,
     COUNTIFS($Z$2:$Z$200,$G162)&gt;0,
     COUNTIFS($AA$2:$AA$200,$G162)&gt;0,
     COUNTIFS($AB$2:$AB$200,$G162)&gt;0,
     COUNTIFS($AC$2:$AC$200,$G162)&gt;0,
     COUNTIFS($AD$2:$AD$200,$G162)&gt;0,
     COUNTIFS($AE$2:$AE$200,$G162)&gt;0,
     COUNTIFS($AF$2:$AF$200,$G162)&gt;0,
     COUNTIFS($AG$2:$AG$200,$G162)&gt;0,
     COUNTIFS($AH$2:$AH$200,$G162)&gt;0,
     COUNTIFS($AI$2:$AI$200,$G162)&gt;0,
     COUNTIFS($AJ$2:$AJ$200,$G162)&gt;0,
     COUNTIFS($AK$2:$AK$200,$G162)&gt;0,
     COUNTIFS($AL$2:$AL$200,$G162)&gt;0,
     COUNTIFS($AM$2:$AM$200,$G162)&gt;0,
     COUNTIFS($AN$2:$AN$200,$G162)&gt;0,
     COUNTIFS($AO$2:$AO$200,$G162)&gt;0,
     COUNTIFS($AP$2:$AP$200,$G162)&gt;0,
     COUNTIFS($AQ$2:$AQ$200,$G162)&gt;0,
     COUNTIFS($AR$2:$AR$200,$G162)&gt;0,
     COUNTIFS($AS$2:$AS$200,$G162)&gt;0,
     COUNTIFS($AT$2:$AT$200,$G162)&gt;0,
     COUNTIFS($AU$2:$AU$200,$G162)&gt;0,
     COUNTIFS($AV$2:$AV$200,$G162)&gt;0,
     COUNTIFS($AW$2:$AW$200,$G162)&gt;0,
     COUNTIFS($AX$2:$AX$200,$G162)&gt;0,
     COUNTIFS($AY$2:$AY$200,$G162)&gt;0
   )),
  ),
  4
 ),
"")</f>
        <v/>
      </c>
      <c r="G162" t="str">
        <f ca="1"/>
        <v>Felidar Guardian</v>
      </c>
      <c r="EP162" t="str">
        <f ca="1"/>
        <v>Tarrian's Journal</v>
      </c>
      <c r="EQ162" t="str">
        <f ca="1"/>
        <v>Stump Stomp</v>
      </c>
      <c r="ER162" t="str">
        <f ca="1"/>
        <v>Splash Portal</v>
      </c>
      <c r="EU162" t="str">
        <f ca="1"/>
        <v>Kinnan, Bonder Prodigy</v>
      </c>
      <c r="EV162" t="str">
        <f ca="1"/>
        <v>Splash Portal</v>
      </c>
      <c r="EX162" t="str">
        <f ca="1"/>
        <v>Felidar Guardian</v>
      </c>
    </row>
    <row r="163" spans="1:154" x14ac:dyDescent="0.25">
      <c r="A163" s="2" t="str">
        <f t="shared" ca="1" si="10"/>
        <v>4</v>
      </c>
      <c r="B163" s="2">
        <f t="shared" ca="1" si="11"/>
        <v>1</v>
      </c>
      <c r="C163" s="2" t="str">
        <f ca="1">IFERROR(
 INDEX($V$1:$BL$1,
  MATCH(TRUE,
   CHOOSE({1;2;3;4;5;6;7;8;9;10;11;12;13;14;15;16;17;18;19;20;21;22;23;24;25;26;27;28;29;30;31;32;33;34;35;36;37;38;39;40;41;42;43},
    COUNTIFS($V$2:$V$200,$G163)&gt;0,
    COUNTIFS($W$2:$W$200,$G163)&gt;0,
    COUNTIFS($X$2:$X$200,$G163)&gt;0,
    COUNTIFS($Y$2:$Y$200,$G163)&gt;0,
    COUNTIFS($Z$2:$Z$200,$G163)&gt;0,
    COUNTIFS($AA$2:$AA$200,$G163)&gt;0,
    COUNTIFS($AB$2:$AB$200,$G163)&gt;0,
    COUNTIFS($AC$2:$AC$200,$G163)&gt;0,
    COUNTIFS($AD$2:$AD$200,$G163)&gt;0,
    COUNTIFS($AE$2:$AE$200,$G163)&gt;0,
    COUNTIFS($AF$2:$AF$200,$G163)&gt;0,
    COUNTIFS($AG$2:$AG$200,$G163)&gt;0,
    COUNTIFS($AH$2:$AH$200,$G163)&gt;0,
    COUNTIFS($AI$2:$AI$200,$G163)&gt;0,
    COUNTIFS($AJ$2:$AJ$200,$G163)&gt;0,
    COUNTIFS($AK$2:$AK$200,$G163)&gt;0,
    COUNTIFS($AL$2:$AL$200,$G163)&gt;0,
    COUNTIFS($AM$2:$AM$200,$G163)&gt;0,
    COUNTIFS($AN$2:$AN$200,$G163)&gt;0,
    COUNTIFS($AO$2:$AO$200,$G163)&gt;0,
    COUNTIFS($AP$2:$AP$200,$G163)&gt;0,
    COUNTIFS($AQ$2:$AQ$200,$G163)&gt;0,
    COUNTIFS($AR$2:$AR$200,$G163)&gt;0,
    COUNTIFS($AS$2:$AS$200,$G163)&gt;0,
    COUNTIFS($AT$2:$AT$200,$G163)&gt;0,
    COUNTIFS($AU$2:$AU$200,$G163)&gt;0,
    COUNTIFS($AV$2:$AV$200,$G163)&gt;0,
    COUNTIFS($AW$2:$AW$200,$G163)&gt;0,
    COUNTIFS($AX$2:$AX$200,$G163)&gt;0,
    COUNTIFS($AY$2:$AY$200,$G163)&gt;0,
    COUNTIFS($AZ$2:$AZ$200,$G163)&gt;0,
    COUNTIFS($BA$2:$BA$200,$G163)&gt;0,
    COUNTIFS($BB$2:$BB$200,$G163)&gt;0,
    COUNTIFS($BC$2:$BC$200,$G163)&gt;0,
    COUNTIFS($BD$2:$BD$200,$G163)&gt;0,
    COUNTIFS($BE$2:$BE$200,$G163)&gt;0,
    COUNTIFS($BF$2:$BF$200,$G163)&gt;0,
    COUNTIFS($BG$2:$BG$200,$G163)&gt;0,
    COUNTIFS($BH$2:$BH$200,$G163)&gt;0,
    COUNTIFS($BI$2:$BI$200,$G163)&gt;0,
    COUNTIFS($BJ$2:$BJ$200,$G163)&gt;0,
    COUNTIFS($BK$2:$BK$200,$G163)&gt;0,
    COUNTIFS($BL$2:$BL$200,$G163)&gt;0,
    COUNTIFS($BM$2:$BM$200,$G163)&gt;0,
   ),
  0)
 ),
"")</f>
        <v>Modular</v>
      </c>
      <c r="D163" s="2" t="str" cm="1">
        <f t="array" aca="1" ref="D163" ca="1">IFERROR(
 INDEX(
  _xlfn._xlws.FILTER($V$1:$AY$1,
   TRANSPOSE(
    CHOOSE({1;2;3;4;5;6;7;8;9;10;11;12;13;14;15;16;17;18;19;20;21;22;23;24;25;26;27;28;29;30},
     COUNTIFS($V$2:$V$200,$G163)&gt;0,
     COUNTIFS($W$2:$W$200,$G163)&gt;0,
     COUNTIFS($X$2:$X$200,$G163)&gt;0,
     COUNTIFS($Y$2:$Y$200,$G163)&gt;0,
     COUNTIFS($Z$2:$Z$200,$G163)&gt;0,
     COUNTIFS($AA$2:$AA$200,$G163)&gt;0,
     COUNTIFS($AB$2:$AB$200,$G163)&gt;0,
     COUNTIFS($AC$2:$AC$200,$G163)&gt;0,
     COUNTIFS($AD$2:$AD$200,$G163)&gt;0,
     COUNTIFS($AE$2:$AE$200,$G163)&gt;0,
     COUNTIFS($AF$2:$AF$200,$G163)&gt;0,
     COUNTIFS($AG$2:$AG$200,$G163)&gt;0,
     COUNTIFS($AH$2:$AH$200,$G163)&gt;0,
     COUNTIFS($AI$2:$AI$200,$G163)&gt;0,
     COUNTIFS($AJ$2:$AJ$200,$G163)&gt;0,
     COUNTIFS($AK$2:$AK$200,$G163)&gt;0,
     COUNTIFS($AL$2:$AL$200,$G163)&gt;0,
     COUNTIFS($AM$2:$AM$200,$G163)&gt;0,
     COUNTIFS($AN$2:$AN$200,$G163)&gt;0,
     COUNTIFS($AO$2:$AO$200,$G163)&gt;0,
     COUNTIFS($AP$2:$AP$200,$G163)&gt;0,
     COUNTIFS($AQ$2:$AQ$200,$G163)&gt;0,
     COUNTIFS($AR$2:$AR$200,$G163)&gt;0,
     COUNTIFS($AS$2:$AS$200,$G163)&gt;0,
     COUNTIFS($AT$2:$AT$200,$G163)&gt;0,
     COUNTIFS($AU$2:$AU$200,$G163)&gt;0,
     COUNTIFS($AV$2:$AV$200,$G163)&gt;0,
     COUNTIFS($AW$2:$AW$200,$G163)&gt;0,
     COUNTIFS($AX$2:$AX$200,$G163)&gt;0,
     COUNTIFS($AY$2:$AY$200,$G163)&gt;0
   )),
  ),
  2
 ),
"")</f>
        <v/>
      </c>
      <c r="E163" s="2" t="str" cm="1">
        <f t="array" aca="1" ref="E163" ca="1">IFERROR(
 INDEX(
  _xlfn._xlws.FILTER($V$1:$AY$1,
   TRANSPOSE(
    CHOOSE({1;2;3;4;5;6;7;8;9;10;11;12;13;14;15;16;17;18;19;20;21;22;23;24;25;26;27;28;29;30},
     COUNTIFS($V$2:$V$200,$G163)&gt;0,
     COUNTIFS($W$2:$W$200,$G163)&gt;0,
     COUNTIFS($X$2:$X$200,$G163)&gt;0,
     COUNTIFS($Y$2:$Y$200,$G163)&gt;0,
     COUNTIFS($Z$2:$Z$200,$G163)&gt;0,
     COUNTIFS($AA$2:$AA$200,$G163)&gt;0,
     COUNTIFS($AB$2:$AB$200,$G163)&gt;0,
     COUNTIFS($AC$2:$AC$200,$G163)&gt;0,
     COUNTIFS($AD$2:$AD$200,$G163)&gt;0,
     COUNTIFS($AE$2:$AE$200,$G163)&gt;0,
     COUNTIFS($AF$2:$AF$200,$G163)&gt;0,
     COUNTIFS($AG$2:$AG$200,$G163)&gt;0,
     COUNTIFS($AH$2:$AH$200,$G163)&gt;0,
     COUNTIFS($AI$2:$AI$200,$G163)&gt;0,
     COUNTIFS($AJ$2:$AJ$200,$G163)&gt;0,
     COUNTIFS($AK$2:$AK$200,$G163)&gt;0,
     COUNTIFS($AL$2:$AL$200,$G163)&gt;0,
     COUNTIFS($AM$2:$AM$200,$G163)&gt;0,
     COUNTIFS($AN$2:$AN$200,$G163)&gt;0,
     COUNTIFS($AO$2:$AO$200,$G163)&gt;0,
     COUNTIFS($AP$2:$AP$200,$G163)&gt;0,
     COUNTIFS($AQ$2:$AQ$200,$G163)&gt;0,
     COUNTIFS($AR$2:$AR$200,$G163)&gt;0,
     COUNTIFS($AS$2:$AS$200,$G163)&gt;0,
     COUNTIFS($AT$2:$AT$200,$G163)&gt;0,
     COUNTIFS($AU$2:$AU$200,$G163)&gt;0,
     COUNTIFS($AV$2:$AV$200,$G163)&gt;0,
     COUNTIFS($AW$2:$AW$200,$G163)&gt;0,
     COUNTIFS($AX$2:$AX$200,$G163)&gt;0,
     COUNTIFS($AY$2:$AY$200,$G163)&gt;0
   )),
  ),
  3
 ),
"")</f>
        <v/>
      </c>
      <c r="F163" s="2" t="str" cm="1">
        <f t="array" aca="1" ref="F163" ca="1">IFERROR(
 INDEX(
  _xlfn._xlws.FILTER($V$1:$AY$1,
   TRANSPOSE(
    CHOOSE({1;2;3;4;5;6;7;8;9;10;11;12;13;14;15;16;17;18;19;20;21;22;23;24;25;26;27;28;29;30},
     COUNTIFS($V$2:$V$200,$G163)&gt;0,
     COUNTIFS($W$2:$W$200,$G163)&gt;0,
     COUNTIFS($X$2:$X$200,$G163)&gt;0,
     COUNTIFS($Y$2:$Y$200,$G163)&gt;0,
     COUNTIFS($Z$2:$Z$200,$G163)&gt;0,
     COUNTIFS($AA$2:$AA$200,$G163)&gt;0,
     COUNTIFS($AB$2:$AB$200,$G163)&gt;0,
     COUNTIFS($AC$2:$AC$200,$G163)&gt;0,
     COUNTIFS($AD$2:$AD$200,$G163)&gt;0,
     COUNTIFS($AE$2:$AE$200,$G163)&gt;0,
     COUNTIFS($AF$2:$AF$200,$G163)&gt;0,
     COUNTIFS($AG$2:$AG$200,$G163)&gt;0,
     COUNTIFS($AH$2:$AH$200,$G163)&gt;0,
     COUNTIFS($AI$2:$AI$200,$G163)&gt;0,
     COUNTIFS($AJ$2:$AJ$200,$G163)&gt;0,
     COUNTIFS($AK$2:$AK$200,$G163)&gt;0,
     COUNTIFS($AL$2:$AL$200,$G163)&gt;0,
     COUNTIFS($AM$2:$AM$200,$G163)&gt;0,
     COUNTIFS($AN$2:$AN$200,$G163)&gt;0,
     COUNTIFS($AO$2:$AO$200,$G163)&gt;0,
     COUNTIFS($AP$2:$AP$200,$G163)&gt;0,
     COUNTIFS($AQ$2:$AQ$200,$G163)&gt;0,
     COUNTIFS($AR$2:$AR$200,$G163)&gt;0,
     COUNTIFS($AS$2:$AS$200,$G163)&gt;0,
     COUNTIFS($AT$2:$AT$200,$G163)&gt;0,
     COUNTIFS($AU$2:$AU$200,$G163)&gt;0,
     COUNTIFS($AV$2:$AV$200,$G163)&gt;0,
     COUNTIFS($AW$2:$AW$200,$G163)&gt;0,
     COUNTIFS($AX$2:$AX$200,$G163)&gt;0,
     COUNTIFS($AY$2:$AY$200,$G163)&gt;0
   )),
  ),
  4
 ),
"")</f>
        <v/>
      </c>
      <c r="G163" t="str">
        <f ca="1"/>
        <v>Filigree Vector</v>
      </c>
      <c r="EP163" t="str">
        <f ca="1"/>
        <v>Teferi's Ageless Insight</v>
      </c>
      <c r="EQ163" t="str">
        <f ca="1"/>
        <v>Susur Secundi, Void Altar</v>
      </c>
      <c r="ER163" t="str">
        <f ca="1"/>
        <v>Starfield Vocalist</v>
      </c>
      <c r="EU163" t="str">
        <f ca="1"/>
        <v>Kozilek, the Broken Reality</v>
      </c>
      <c r="EV163" t="str">
        <f ca="1"/>
        <v>Starfield Vocalist</v>
      </c>
      <c r="EX163" t="str">
        <f ca="1"/>
        <v>Filigree Vector</v>
      </c>
    </row>
    <row r="164" spans="1:154" x14ac:dyDescent="0.25">
      <c r="A164" s="2" t="str">
        <f t="shared" ca="1" si="10"/>
        <v>3</v>
      </c>
      <c r="B164" s="2">
        <f t="shared" ca="1" si="11"/>
        <v>1</v>
      </c>
      <c r="C164" s="2" t="str">
        <f ca="1">IFERROR(
 INDEX($V$1:$BL$1,
  MATCH(TRUE,
   CHOOSE({1;2;3;4;5;6;7;8;9;10;11;12;13;14;15;16;17;18;19;20;21;22;23;24;25;26;27;28;29;30;31;32;33;34;35;36;37;38;39;40;41;42;43},
    COUNTIFS($V$2:$V$200,$G164)&gt;0,
    COUNTIFS($W$2:$W$200,$G164)&gt;0,
    COUNTIFS($X$2:$X$200,$G164)&gt;0,
    COUNTIFS($Y$2:$Y$200,$G164)&gt;0,
    COUNTIFS($Z$2:$Z$200,$G164)&gt;0,
    COUNTIFS($AA$2:$AA$200,$G164)&gt;0,
    COUNTIFS($AB$2:$AB$200,$G164)&gt;0,
    COUNTIFS($AC$2:$AC$200,$G164)&gt;0,
    COUNTIFS($AD$2:$AD$200,$G164)&gt;0,
    COUNTIFS($AE$2:$AE$200,$G164)&gt;0,
    COUNTIFS($AF$2:$AF$200,$G164)&gt;0,
    COUNTIFS($AG$2:$AG$200,$G164)&gt;0,
    COUNTIFS($AH$2:$AH$200,$G164)&gt;0,
    COUNTIFS($AI$2:$AI$200,$G164)&gt;0,
    COUNTIFS($AJ$2:$AJ$200,$G164)&gt;0,
    COUNTIFS($AK$2:$AK$200,$G164)&gt;0,
    COUNTIFS($AL$2:$AL$200,$G164)&gt;0,
    COUNTIFS($AM$2:$AM$200,$G164)&gt;0,
    COUNTIFS($AN$2:$AN$200,$G164)&gt;0,
    COUNTIFS($AO$2:$AO$200,$G164)&gt;0,
    COUNTIFS($AP$2:$AP$200,$G164)&gt;0,
    COUNTIFS($AQ$2:$AQ$200,$G164)&gt;0,
    COUNTIFS($AR$2:$AR$200,$G164)&gt;0,
    COUNTIFS($AS$2:$AS$200,$G164)&gt;0,
    COUNTIFS($AT$2:$AT$200,$G164)&gt;0,
    COUNTIFS($AU$2:$AU$200,$G164)&gt;0,
    COUNTIFS($AV$2:$AV$200,$G164)&gt;0,
    COUNTIFS($AW$2:$AW$200,$G164)&gt;0,
    COUNTIFS($AX$2:$AX$200,$G164)&gt;0,
    COUNTIFS($AY$2:$AY$200,$G164)&gt;0,
    COUNTIFS($AZ$2:$AZ$200,$G164)&gt;0,
    COUNTIFS($BA$2:$BA$200,$G164)&gt;0,
    COUNTIFS($BB$2:$BB$200,$G164)&gt;0,
    COUNTIFS($BC$2:$BC$200,$G164)&gt;0,
    COUNTIFS($BD$2:$BD$200,$G164)&gt;0,
    COUNTIFS($BE$2:$BE$200,$G164)&gt;0,
    COUNTIFS($BF$2:$BF$200,$G164)&gt;0,
    COUNTIFS($BG$2:$BG$200,$G164)&gt;0,
    COUNTIFS($BH$2:$BH$200,$G164)&gt;0,
    COUNTIFS($BI$2:$BI$200,$G164)&gt;0,
    COUNTIFS($BJ$2:$BJ$200,$G164)&gt;0,
    COUNTIFS($BK$2:$BK$200,$G164)&gt;0,
    COUNTIFS($BL$2:$BL$200,$G164)&gt;0,
    COUNTIFS($BM$2:$BM$200,$G164)&gt;0,
   ),
  0)
 ),
"")</f>
        <v>Akiri</v>
      </c>
      <c r="D164" s="2" t="str" cm="1">
        <f t="array" aca="1" ref="D164" ca="1">IFERROR(
 INDEX(
  _xlfn._xlws.FILTER($V$1:$AY$1,
   TRANSPOSE(
    CHOOSE({1;2;3;4;5;6;7;8;9;10;11;12;13;14;15;16;17;18;19;20;21;22;23;24;25;26;27;28;29;30},
     COUNTIFS($V$2:$V$200,$G164)&gt;0,
     COUNTIFS($W$2:$W$200,$G164)&gt;0,
     COUNTIFS($X$2:$X$200,$G164)&gt;0,
     COUNTIFS($Y$2:$Y$200,$G164)&gt;0,
     COUNTIFS($Z$2:$Z$200,$G164)&gt;0,
     COUNTIFS($AA$2:$AA$200,$G164)&gt;0,
     COUNTIFS($AB$2:$AB$200,$G164)&gt;0,
     COUNTIFS($AC$2:$AC$200,$G164)&gt;0,
     COUNTIFS($AD$2:$AD$200,$G164)&gt;0,
     COUNTIFS($AE$2:$AE$200,$G164)&gt;0,
     COUNTIFS($AF$2:$AF$200,$G164)&gt;0,
     COUNTIFS($AG$2:$AG$200,$G164)&gt;0,
     COUNTIFS($AH$2:$AH$200,$G164)&gt;0,
     COUNTIFS($AI$2:$AI$200,$G164)&gt;0,
     COUNTIFS($AJ$2:$AJ$200,$G164)&gt;0,
     COUNTIFS($AK$2:$AK$200,$G164)&gt;0,
     COUNTIFS($AL$2:$AL$200,$G164)&gt;0,
     COUNTIFS($AM$2:$AM$200,$G164)&gt;0,
     COUNTIFS($AN$2:$AN$200,$G164)&gt;0,
     COUNTIFS($AO$2:$AO$200,$G164)&gt;0,
     COUNTIFS($AP$2:$AP$200,$G164)&gt;0,
     COUNTIFS($AQ$2:$AQ$200,$G164)&gt;0,
     COUNTIFS($AR$2:$AR$200,$G164)&gt;0,
     COUNTIFS($AS$2:$AS$200,$G164)&gt;0,
     COUNTIFS($AT$2:$AT$200,$G164)&gt;0,
     COUNTIFS($AU$2:$AU$200,$G164)&gt;0,
     COUNTIFS($AV$2:$AV$200,$G164)&gt;0,
     COUNTIFS($AW$2:$AW$200,$G164)&gt;0,
     COUNTIFS($AX$2:$AX$200,$G164)&gt;0,
     COUNTIFS($AY$2:$AY$200,$G164)&gt;0
   )),
  ),
  2
 ),
"")</f>
        <v/>
      </c>
      <c r="E164" s="2" t="str" cm="1">
        <f t="array" aca="1" ref="E164" ca="1">IFERROR(
 INDEX(
  _xlfn._xlws.FILTER($V$1:$AY$1,
   TRANSPOSE(
    CHOOSE({1;2;3;4;5;6;7;8;9;10;11;12;13;14;15;16;17;18;19;20;21;22;23;24;25;26;27;28;29;30},
     COUNTIFS($V$2:$V$200,$G164)&gt;0,
     COUNTIFS($W$2:$W$200,$G164)&gt;0,
     COUNTIFS($X$2:$X$200,$G164)&gt;0,
     COUNTIFS($Y$2:$Y$200,$G164)&gt;0,
     COUNTIFS($Z$2:$Z$200,$G164)&gt;0,
     COUNTIFS($AA$2:$AA$200,$G164)&gt;0,
     COUNTIFS($AB$2:$AB$200,$G164)&gt;0,
     COUNTIFS($AC$2:$AC$200,$G164)&gt;0,
     COUNTIFS($AD$2:$AD$200,$G164)&gt;0,
     COUNTIFS($AE$2:$AE$200,$G164)&gt;0,
     COUNTIFS($AF$2:$AF$200,$G164)&gt;0,
     COUNTIFS($AG$2:$AG$200,$G164)&gt;0,
     COUNTIFS($AH$2:$AH$200,$G164)&gt;0,
     COUNTIFS($AI$2:$AI$200,$G164)&gt;0,
     COUNTIFS($AJ$2:$AJ$200,$G164)&gt;0,
     COUNTIFS($AK$2:$AK$200,$G164)&gt;0,
     COUNTIFS($AL$2:$AL$200,$G164)&gt;0,
     COUNTIFS($AM$2:$AM$200,$G164)&gt;0,
     COUNTIFS($AN$2:$AN$200,$G164)&gt;0,
     COUNTIFS($AO$2:$AO$200,$G164)&gt;0,
     COUNTIFS($AP$2:$AP$200,$G164)&gt;0,
     COUNTIFS($AQ$2:$AQ$200,$G164)&gt;0,
     COUNTIFS($AR$2:$AR$200,$G164)&gt;0,
     COUNTIFS($AS$2:$AS$200,$G164)&gt;0,
     COUNTIFS($AT$2:$AT$200,$G164)&gt;0,
     COUNTIFS($AU$2:$AU$200,$G164)&gt;0,
     COUNTIFS($AV$2:$AV$200,$G164)&gt;0,
     COUNTIFS($AW$2:$AW$200,$G164)&gt;0,
     COUNTIFS($AX$2:$AX$200,$G164)&gt;0,
     COUNTIFS($AY$2:$AY$200,$G164)&gt;0
   )),
  ),
  3
 ),
"")</f>
        <v/>
      </c>
      <c r="F164" s="2" t="str" cm="1">
        <f t="array" aca="1" ref="F164" ca="1">IFERROR(
 INDEX(
  _xlfn._xlws.FILTER($V$1:$AY$1,
   TRANSPOSE(
    CHOOSE({1;2;3;4;5;6;7;8;9;10;11;12;13;14;15;16;17;18;19;20;21;22;23;24;25;26;27;28;29;30},
     COUNTIFS($V$2:$V$200,$G164)&gt;0,
     COUNTIFS($W$2:$W$200,$G164)&gt;0,
     COUNTIFS($X$2:$X$200,$G164)&gt;0,
     COUNTIFS($Y$2:$Y$200,$G164)&gt;0,
     COUNTIFS($Z$2:$Z$200,$G164)&gt;0,
     COUNTIFS($AA$2:$AA$200,$G164)&gt;0,
     COUNTIFS($AB$2:$AB$200,$G164)&gt;0,
     COUNTIFS($AC$2:$AC$200,$G164)&gt;0,
     COUNTIFS($AD$2:$AD$200,$G164)&gt;0,
     COUNTIFS($AE$2:$AE$200,$G164)&gt;0,
     COUNTIFS($AF$2:$AF$200,$G164)&gt;0,
     COUNTIFS($AG$2:$AG$200,$G164)&gt;0,
     COUNTIFS($AH$2:$AH$200,$G164)&gt;0,
     COUNTIFS($AI$2:$AI$200,$G164)&gt;0,
     COUNTIFS($AJ$2:$AJ$200,$G164)&gt;0,
     COUNTIFS($AK$2:$AK$200,$G164)&gt;0,
     COUNTIFS($AL$2:$AL$200,$G164)&gt;0,
     COUNTIFS($AM$2:$AM$200,$G164)&gt;0,
     COUNTIFS($AN$2:$AN$200,$G164)&gt;0,
     COUNTIFS($AO$2:$AO$200,$G164)&gt;0,
     COUNTIFS($AP$2:$AP$200,$G164)&gt;0,
     COUNTIFS($AQ$2:$AQ$200,$G164)&gt;0,
     COUNTIFS($AR$2:$AR$200,$G164)&gt;0,
     COUNTIFS($AS$2:$AS$200,$G164)&gt;0,
     COUNTIFS($AT$2:$AT$200,$G164)&gt;0,
     COUNTIFS($AU$2:$AU$200,$G164)&gt;0,
     COUNTIFS($AV$2:$AV$200,$G164)&gt;0,
     COUNTIFS($AW$2:$AW$200,$G164)&gt;0,
     COUNTIFS($AX$2:$AX$200,$G164)&gt;0,
     COUNTIFS($AY$2:$AY$200,$G164)&gt;0
   )),
  ),
  4
 ),
"")</f>
        <v/>
      </c>
      <c r="G164" t="str">
        <f ca="1"/>
        <v>Final Showdown</v>
      </c>
      <c r="EP164" t="str">
        <f ca="1"/>
        <v>Temple of Malice</v>
      </c>
      <c r="EQ164" t="str">
        <f ca="1"/>
        <v>Swamp</v>
      </c>
      <c r="ER164" t="str">
        <f ca="1"/>
        <v>Stroke of Midnight</v>
      </c>
      <c r="EU164" t="str">
        <f ca="1"/>
        <v>Kutzil, Malamet Exemplar</v>
      </c>
      <c r="EV164" t="str">
        <f ca="1"/>
        <v>Stroke of Midnight</v>
      </c>
      <c r="EX164" t="str">
        <f ca="1"/>
        <v>Final Showdown</v>
      </c>
    </row>
    <row r="165" spans="1:154" x14ac:dyDescent="0.25">
      <c r="A165" s="2" t="str">
        <f t="shared" ca="1" si="10"/>
        <v>3</v>
      </c>
      <c r="B165" s="2">
        <f t="shared" ca="1" si="11"/>
        <v>3</v>
      </c>
      <c r="C165" s="2" t="str">
        <f ca="1">IFERROR(
 INDEX($V$1:$BL$1,
  MATCH(TRUE,
   CHOOSE({1;2;3;4;5;6;7;8;9;10;11;12;13;14;15;16;17;18;19;20;21;22;23;24;25;26;27;28;29;30;31;32;33;34;35;36;37;38;39;40;41;42;43},
    COUNTIFS($V$2:$V$200,$G165)&gt;0,
    COUNTIFS($W$2:$W$200,$G165)&gt;0,
    COUNTIFS($X$2:$X$200,$G165)&gt;0,
    COUNTIFS($Y$2:$Y$200,$G165)&gt;0,
    COUNTIFS($Z$2:$Z$200,$G165)&gt;0,
    COUNTIFS($AA$2:$AA$200,$G165)&gt;0,
    COUNTIFS($AB$2:$AB$200,$G165)&gt;0,
    COUNTIFS($AC$2:$AC$200,$G165)&gt;0,
    COUNTIFS($AD$2:$AD$200,$G165)&gt;0,
    COUNTIFS($AE$2:$AE$200,$G165)&gt;0,
    COUNTIFS($AF$2:$AF$200,$G165)&gt;0,
    COUNTIFS($AG$2:$AG$200,$G165)&gt;0,
    COUNTIFS($AH$2:$AH$200,$G165)&gt;0,
    COUNTIFS($AI$2:$AI$200,$G165)&gt;0,
    COUNTIFS($AJ$2:$AJ$200,$G165)&gt;0,
    COUNTIFS($AK$2:$AK$200,$G165)&gt;0,
    COUNTIFS($AL$2:$AL$200,$G165)&gt;0,
    COUNTIFS($AM$2:$AM$200,$G165)&gt;0,
    COUNTIFS($AN$2:$AN$200,$G165)&gt;0,
    COUNTIFS($AO$2:$AO$200,$G165)&gt;0,
    COUNTIFS($AP$2:$AP$200,$G165)&gt;0,
    COUNTIFS($AQ$2:$AQ$200,$G165)&gt;0,
    COUNTIFS($AR$2:$AR$200,$G165)&gt;0,
    COUNTIFS($AS$2:$AS$200,$G165)&gt;0,
    COUNTIFS($AT$2:$AT$200,$G165)&gt;0,
    COUNTIFS($AU$2:$AU$200,$G165)&gt;0,
    COUNTIFS($AV$2:$AV$200,$G165)&gt;0,
    COUNTIFS($AW$2:$AW$200,$G165)&gt;0,
    COUNTIFS($AX$2:$AX$200,$G165)&gt;0,
    COUNTIFS($AY$2:$AY$200,$G165)&gt;0,
    COUNTIFS($AZ$2:$AZ$200,$G165)&gt;0,
    COUNTIFS($BA$2:$BA$200,$G165)&gt;0,
    COUNTIFS($BB$2:$BB$200,$G165)&gt;0,
    COUNTIFS($BC$2:$BC$200,$G165)&gt;0,
    COUNTIFS($BD$2:$BD$200,$G165)&gt;0,
    COUNTIFS($BE$2:$BE$200,$G165)&gt;0,
    COUNTIFS($BF$2:$BF$200,$G165)&gt;0,
    COUNTIFS($BG$2:$BG$200,$G165)&gt;0,
    COUNTIFS($BH$2:$BH$200,$G165)&gt;0,
    COUNTIFS($BI$2:$BI$200,$G165)&gt;0,
    COUNTIFS($BJ$2:$BJ$200,$G165)&gt;0,
    COUNTIFS($BK$2:$BK$200,$G165)&gt;0,
    COUNTIFS($BL$2:$BL$200,$G165)&gt;0,
    COUNTIFS($BM$2:$BM$200,$G165)&gt;0,
   ),
  0)
 ),
"")</f>
        <v>Akiri</v>
      </c>
      <c r="D165" s="2" t="str" cm="1">
        <f t="array" aca="1" ref="D165" ca="1">IFERROR(
 INDEX(
  _xlfn._xlws.FILTER($V$1:$AY$1,
   TRANSPOSE(
    CHOOSE({1;2;3;4;5;6;7;8;9;10;11;12;13;14;15;16;17;18;19;20;21;22;23;24;25;26;27;28;29;30},
     COUNTIFS($V$2:$V$200,$G165)&gt;0,
     COUNTIFS($W$2:$W$200,$G165)&gt;0,
     COUNTIFS($X$2:$X$200,$G165)&gt;0,
     COUNTIFS($Y$2:$Y$200,$G165)&gt;0,
     COUNTIFS($Z$2:$Z$200,$G165)&gt;0,
     COUNTIFS($AA$2:$AA$200,$G165)&gt;0,
     COUNTIFS($AB$2:$AB$200,$G165)&gt;0,
     COUNTIFS($AC$2:$AC$200,$G165)&gt;0,
     COUNTIFS($AD$2:$AD$200,$G165)&gt;0,
     COUNTIFS($AE$2:$AE$200,$G165)&gt;0,
     COUNTIFS($AF$2:$AF$200,$G165)&gt;0,
     COUNTIFS($AG$2:$AG$200,$G165)&gt;0,
     COUNTIFS($AH$2:$AH$200,$G165)&gt;0,
     COUNTIFS($AI$2:$AI$200,$G165)&gt;0,
     COUNTIFS($AJ$2:$AJ$200,$G165)&gt;0,
     COUNTIFS($AK$2:$AK$200,$G165)&gt;0,
     COUNTIFS($AL$2:$AL$200,$G165)&gt;0,
     COUNTIFS($AM$2:$AM$200,$G165)&gt;0,
     COUNTIFS($AN$2:$AN$200,$G165)&gt;0,
     COUNTIFS($AO$2:$AO$200,$G165)&gt;0,
     COUNTIFS($AP$2:$AP$200,$G165)&gt;0,
     COUNTIFS($AQ$2:$AQ$200,$G165)&gt;0,
     COUNTIFS($AR$2:$AR$200,$G165)&gt;0,
     COUNTIFS($AS$2:$AS$200,$G165)&gt;0,
     COUNTIFS($AT$2:$AT$200,$G165)&gt;0,
     COUNTIFS($AU$2:$AU$200,$G165)&gt;0,
     COUNTIFS($AV$2:$AV$200,$G165)&gt;0,
     COUNTIFS($AW$2:$AW$200,$G165)&gt;0,
     COUNTIFS($AX$2:$AX$200,$G165)&gt;0,
     COUNTIFS($AY$2:$AY$200,$G165)&gt;0
   )),
  ),
  2
 ),
"")</f>
        <v/>
      </c>
      <c r="E165" s="2" t="str" cm="1">
        <f t="array" aca="1" ref="E165" ca="1">IFERROR(
 INDEX(
  _xlfn._xlws.FILTER($V$1:$AY$1,
   TRANSPOSE(
    CHOOSE({1;2;3;4;5;6;7;8;9;10;11;12;13;14;15;16;17;18;19;20;21;22;23;24;25;26;27;28;29;30},
     COUNTIFS($V$2:$V$200,$G165)&gt;0,
     COUNTIFS($W$2:$W$200,$G165)&gt;0,
     COUNTIFS($X$2:$X$200,$G165)&gt;0,
     COUNTIFS($Y$2:$Y$200,$G165)&gt;0,
     COUNTIFS($Z$2:$Z$200,$G165)&gt;0,
     COUNTIFS($AA$2:$AA$200,$G165)&gt;0,
     COUNTIFS($AB$2:$AB$200,$G165)&gt;0,
     COUNTIFS($AC$2:$AC$200,$G165)&gt;0,
     COUNTIFS($AD$2:$AD$200,$G165)&gt;0,
     COUNTIFS($AE$2:$AE$200,$G165)&gt;0,
     COUNTIFS($AF$2:$AF$200,$G165)&gt;0,
     COUNTIFS($AG$2:$AG$200,$G165)&gt;0,
     COUNTIFS($AH$2:$AH$200,$G165)&gt;0,
     COUNTIFS($AI$2:$AI$200,$G165)&gt;0,
     COUNTIFS($AJ$2:$AJ$200,$G165)&gt;0,
     COUNTIFS($AK$2:$AK$200,$G165)&gt;0,
     COUNTIFS($AL$2:$AL$200,$G165)&gt;0,
     COUNTIFS($AM$2:$AM$200,$G165)&gt;0,
     COUNTIFS($AN$2:$AN$200,$G165)&gt;0,
     COUNTIFS($AO$2:$AO$200,$G165)&gt;0,
     COUNTIFS($AP$2:$AP$200,$G165)&gt;0,
     COUNTIFS($AQ$2:$AQ$200,$G165)&gt;0,
     COUNTIFS($AR$2:$AR$200,$G165)&gt;0,
     COUNTIFS($AS$2:$AS$200,$G165)&gt;0,
     COUNTIFS($AT$2:$AT$200,$G165)&gt;0,
     COUNTIFS($AU$2:$AU$200,$G165)&gt;0,
     COUNTIFS($AV$2:$AV$200,$G165)&gt;0,
     COUNTIFS($AW$2:$AW$200,$G165)&gt;0,
     COUNTIFS($AX$2:$AX$200,$G165)&gt;0,
     COUNTIFS($AY$2:$AY$200,$G165)&gt;0
   )),
  ),
  3
 ),
"")</f>
        <v/>
      </c>
      <c r="F165" s="2" t="str" cm="1">
        <f t="array" aca="1" ref="F165" ca="1">IFERROR(
 INDEX(
  _xlfn._xlws.FILTER($V$1:$AY$1,
   TRANSPOSE(
    CHOOSE({1;2;3;4;5;6;7;8;9;10;11;12;13;14;15;16;17;18;19;20;21;22;23;24;25;26;27;28;29;30},
     COUNTIFS($V$2:$V$200,$G165)&gt;0,
     COUNTIFS($W$2:$W$200,$G165)&gt;0,
     COUNTIFS($X$2:$X$200,$G165)&gt;0,
     COUNTIFS($Y$2:$Y$200,$G165)&gt;0,
     COUNTIFS($Z$2:$Z$200,$G165)&gt;0,
     COUNTIFS($AA$2:$AA$200,$G165)&gt;0,
     COUNTIFS($AB$2:$AB$200,$G165)&gt;0,
     COUNTIFS($AC$2:$AC$200,$G165)&gt;0,
     COUNTIFS($AD$2:$AD$200,$G165)&gt;0,
     COUNTIFS($AE$2:$AE$200,$G165)&gt;0,
     COUNTIFS($AF$2:$AF$200,$G165)&gt;0,
     COUNTIFS($AG$2:$AG$200,$G165)&gt;0,
     COUNTIFS($AH$2:$AH$200,$G165)&gt;0,
     COUNTIFS($AI$2:$AI$200,$G165)&gt;0,
     COUNTIFS($AJ$2:$AJ$200,$G165)&gt;0,
     COUNTIFS($AK$2:$AK$200,$G165)&gt;0,
     COUNTIFS($AL$2:$AL$200,$G165)&gt;0,
     COUNTIFS($AM$2:$AM$200,$G165)&gt;0,
     COUNTIFS($AN$2:$AN$200,$G165)&gt;0,
     COUNTIFS($AO$2:$AO$200,$G165)&gt;0,
     COUNTIFS($AP$2:$AP$200,$G165)&gt;0,
     COUNTIFS($AQ$2:$AQ$200,$G165)&gt;0,
     COUNTIFS($AR$2:$AR$200,$G165)&gt;0,
     COUNTIFS($AS$2:$AS$200,$G165)&gt;0,
     COUNTIFS($AT$2:$AT$200,$G165)&gt;0,
     COUNTIFS($AU$2:$AU$200,$G165)&gt;0,
     COUNTIFS($AV$2:$AV$200,$G165)&gt;0,
     COUNTIFS($AW$2:$AW$200,$G165)&gt;0,
     COUNTIFS($AX$2:$AX$200,$G165)&gt;0,
     COUNTIFS($AY$2:$AY$200,$G165)&gt;0
   )),
  ),
  4
 ),
"")</f>
        <v/>
      </c>
      <c r="G165" t="str">
        <f ca="1"/>
        <v>Firebender Ascension</v>
      </c>
      <c r="EP165" t="str">
        <f ca="1"/>
        <v>Temporal Manipulation</v>
      </c>
      <c r="EQ165" t="str">
        <f ca="1"/>
        <v>Swan Song</v>
      </c>
      <c r="ER165" t="str">
        <f ca="1"/>
        <v>Sundering Eruption</v>
      </c>
      <c r="EU165" t="str">
        <f ca="1"/>
        <v>Lae'zel, Vlaakith's Champion</v>
      </c>
      <c r="EV165" t="str">
        <f ca="1"/>
        <v>Sundering Eruption</v>
      </c>
      <c r="EX165" t="str">
        <f ca="1"/>
        <v>Firebender Ascension</v>
      </c>
    </row>
    <row r="166" spans="1:154" x14ac:dyDescent="0.25">
      <c r="A166" s="2" t="str">
        <f t="shared" ca="1" si="10"/>
        <v>5</v>
      </c>
      <c r="B166" s="2">
        <f t="shared" ca="1" si="11"/>
        <v>20</v>
      </c>
      <c r="C166" s="2" t="str">
        <f ca="1">IFERROR(
 INDEX($V$1:$BL$1,
  MATCH(TRUE,
   CHOOSE({1;2;3;4;5;6;7;8;9;10;11;12;13;14;15;16;17;18;19;20;21;22;23;24;25;26;27;28;29;30;31;32;33;34;35;36;37;38;39;40;41;42;43},
    COUNTIFS($V$2:$V$200,$G166)&gt;0,
    COUNTIFS($W$2:$W$200,$G166)&gt;0,
    COUNTIFS($X$2:$X$200,$G166)&gt;0,
    COUNTIFS($Y$2:$Y$200,$G166)&gt;0,
    COUNTIFS($Z$2:$Z$200,$G166)&gt;0,
    COUNTIFS($AA$2:$AA$200,$G166)&gt;0,
    COUNTIFS($AB$2:$AB$200,$G166)&gt;0,
    COUNTIFS($AC$2:$AC$200,$G166)&gt;0,
    COUNTIFS($AD$2:$AD$200,$G166)&gt;0,
    COUNTIFS($AE$2:$AE$200,$G166)&gt;0,
    COUNTIFS($AF$2:$AF$200,$G166)&gt;0,
    COUNTIFS($AG$2:$AG$200,$G166)&gt;0,
    COUNTIFS($AH$2:$AH$200,$G166)&gt;0,
    COUNTIFS($AI$2:$AI$200,$G166)&gt;0,
    COUNTIFS($AJ$2:$AJ$200,$G166)&gt;0,
    COUNTIFS($AK$2:$AK$200,$G166)&gt;0,
    COUNTIFS($AL$2:$AL$200,$G166)&gt;0,
    COUNTIFS($AM$2:$AM$200,$G166)&gt;0,
    COUNTIFS($AN$2:$AN$200,$G166)&gt;0,
    COUNTIFS($AO$2:$AO$200,$G166)&gt;0,
    COUNTIFS($AP$2:$AP$200,$G166)&gt;0,
    COUNTIFS($AQ$2:$AQ$200,$G166)&gt;0,
    COUNTIFS($AR$2:$AR$200,$G166)&gt;0,
    COUNTIFS($AS$2:$AS$200,$G166)&gt;0,
    COUNTIFS($AT$2:$AT$200,$G166)&gt;0,
    COUNTIFS($AU$2:$AU$200,$G166)&gt;0,
    COUNTIFS($AV$2:$AV$200,$G166)&gt;0,
    COUNTIFS($AW$2:$AW$200,$G166)&gt;0,
    COUNTIFS($AX$2:$AX$200,$G166)&gt;0,
    COUNTIFS($AY$2:$AY$200,$G166)&gt;0,
    COUNTIFS($AZ$2:$AZ$200,$G166)&gt;0,
    COUNTIFS($BA$2:$BA$200,$G166)&gt;0,
    COUNTIFS($BB$2:$BB$200,$G166)&gt;0,
    COUNTIFS($BC$2:$BC$200,$G166)&gt;0,
    COUNTIFS($BD$2:$BD$200,$G166)&gt;0,
    COUNTIFS($BE$2:$BE$200,$G166)&gt;0,
    COUNTIFS($BF$2:$BF$200,$G166)&gt;0,
    COUNTIFS($BG$2:$BG$200,$G166)&gt;0,
    COUNTIFS($BH$2:$BH$200,$G166)&gt;0,
    COUNTIFS($BI$2:$BI$200,$G166)&gt;0,
    COUNTIFS($BJ$2:$BJ$200,$G166)&gt;0,
    COUNTIFS($BK$2:$BK$200,$G166)&gt;0,
    COUNTIFS($BL$2:$BL$200,$G166)&gt;0,
    COUNTIFS($BM$2:$BM$200,$G166)&gt;0,
   ),
  0)
 ),
"")</f>
        <v>Fractius</v>
      </c>
      <c r="D166" s="2" t="str" cm="1">
        <f t="array" aca="1" ref="D166" ca="1">IFERROR(
 INDEX(
  _xlfn._xlws.FILTER($V$1:$AY$1,
   TRANSPOSE(
    CHOOSE({1;2;3;4;5;6;7;8;9;10;11;12;13;14;15;16;17;18;19;20;21;22;23;24;25;26;27;28;29;30},
     COUNTIFS($V$2:$V$200,$G166)&gt;0,
     COUNTIFS($W$2:$W$200,$G166)&gt;0,
     COUNTIFS($X$2:$X$200,$G166)&gt;0,
     COUNTIFS($Y$2:$Y$200,$G166)&gt;0,
     COUNTIFS($Z$2:$Z$200,$G166)&gt;0,
     COUNTIFS($AA$2:$AA$200,$G166)&gt;0,
     COUNTIFS($AB$2:$AB$200,$G166)&gt;0,
     COUNTIFS($AC$2:$AC$200,$G166)&gt;0,
     COUNTIFS($AD$2:$AD$200,$G166)&gt;0,
     COUNTIFS($AE$2:$AE$200,$G166)&gt;0,
     COUNTIFS($AF$2:$AF$200,$G166)&gt;0,
     COUNTIFS($AG$2:$AG$200,$G166)&gt;0,
     COUNTIFS($AH$2:$AH$200,$G166)&gt;0,
     COUNTIFS($AI$2:$AI$200,$G166)&gt;0,
     COUNTIFS($AJ$2:$AJ$200,$G166)&gt;0,
     COUNTIFS($AK$2:$AK$200,$G166)&gt;0,
     COUNTIFS($AL$2:$AL$200,$G166)&gt;0,
     COUNTIFS($AM$2:$AM$200,$G166)&gt;0,
     COUNTIFS($AN$2:$AN$200,$G166)&gt;0,
     COUNTIFS($AO$2:$AO$200,$G166)&gt;0,
     COUNTIFS($AP$2:$AP$200,$G166)&gt;0,
     COUNTIFS($AQ$2:$AQ$200,$G166)&gt;0,
     COUNTIFS($AR$2:$AR$200,$G166)&gt;0,
     COUNTIFS($AS$2:$AS$200,$G166)&gt;0,
     COUNTIFS($AT$2:$AT$200,$G166)&gt;0,
     COUNTIFS($AU$2:$AU$200,$G166)&gt;0,
     COUNTIFS($AV$2:$AV$200,$G166)&gt;0,
     COUNTIFS($AW$2:$AW$200,$G166)&gt;0,
     COUNTIFS($AX$2:$AX$200,$G166)&gt;0,
     COUNTIFS($AY$2:$AY$200,$G166)&gt;0
   )),
  ),
  2
 ),
"")</f>
        <v>Kresh</v>
      </c>
      <c r="E166" s="2" t="str" cm="1">
        <f t="array" aca="1" ref="E166" ca="1">IFERROR(
 INDEX(
  _xlfn._xlws.FILTER($V$1:$AY$1,
   TRANSPOSE(
    CHOOSE({1;2;3;4;5;6;7;8;9;10;11;12;13;14;15;16;17;18;19;20;21;22;23;24;25;26;27;28;29;30},
     COUNTIFS($V$2:$V$200,$G166)&gt;0,
     COUNTIFS($W$2:$W$200,$G166)&gt;0,
     COUNTIFS($X$2:$X$200,$G166)&gt;0,
     COUNTIFS($Y$2:$Y$200,$G166)&gt;0,
     COUNTIFS($Z$2:$Z$200,$G166)&gt;0,
     COUNTIFS($AA$2:$AA$200,$G166)&gt;0,
     COUNTIFS($AB$2:$AB$200,$G166)&gt;0,
     COUNTIFS($AC$2:$AC$200,$G166)&gt;0,
     COUNTIFS($AD$2:$AD$200,$G166)&gt;0,
     COUNTIFS($AE$2:$AE$200,$G166)&gt;0,
     COUNTIFS($AF$2:$AF$200,$G166)&gt;0,
     COUNTIFS($AG$2:$AG$200,$G166)&gt;0,
     COUNTIFS($AH$2:$AH$200,$G166)&gt;0,
     COUNTIFS($AI$2:$AI$200,$G166)&gt;0,
     COUNTIFS($AJ$2:$AJ$200,$G166)&gt;0,
     COUNTIFS($AK$2:$AK$200,$G166)&gt;0,
     COUNTIFS($AL$2:$AL$200,$G166)&gt;0,
     COUNTIFS($AM$2:$AM$200,$G166)&gt;0,
     COUNTIFS($AN$2:$AN$200,$G166)&gt;0,
     COUNTIFS($AO$2:$AO$200,$G166)&gt;0,
     COUNTIFS($AP$2:$AP$200,$G166)&gt;0,
     COUNTIFS($AQ$2:$AQ$200,$G166)&gt;0,
     COUNTIFS($AR$2:$AR$200,$G166)&gt;0,
     COUNTIFS($AS$2:$AS$200,$G166)&gt;0,
     COUNTIFS($AT$2:$AT$200,$G166)&gt;0,
     COUNTIFS($AU$2:$AU$200,$G166)&gt;0,
     COUNTIFS($AV$2:$AV$200,$G166)&gt;0,
     COUNTIFS($AW$2:$AW$200,$G166)&gt;0,
     COUNTIFS($AX$2:$AX$200,$G166)&gt;0,
     COUNTIFS($AY$2:$AY$200,$G166)&gt;0
   )),
  ),
  3
 ),
"")</f>
        <v/>
      </c>
      <c r="F166" s="2" t="str" cm="1">
        <f t="array" aca="1" ref="F166" ca="1">IFERROR(
 INDEX(
  _xlfn._xlws.FILTER($V$1:$AY$1,
   TRANSPOSE(
    CHOOSE({1;2;3;4;5;6;7;8;9;10;11;12;13;14;15;16;17;18;19;20;21;22;23;24;25;26;27;28;29;30},
     COUNTIFS($V$2:$V$200,$G166)&gt;0,
     COUNTIFS($W$2:$W$200,$G166)&gt;0,
     COUNTIFS($X$2:$X$200,$G166)&gt;0,
     COUNTIFS($Y$2:$Y$200,$G166)&gt;0,
     COUNTIFS($Z$2:$Z$200,$G166)&gt;0,
     COUNTIFS($AA$2:$AA$200,$G166)&gt;0,
     COUNTIFS($AB$2:$AB$200,$G166)&gt;0,
     COUNTIFS($AC$2:$AC$200,$G166)&gt;0,
     COUNTIFS($AD$2:$AD$200,$G166)&gt;0,
     COUNTIFS($AE$2:$AE$200,$G166)&gt;0,
     COUNTIFS($AF$2:$AF$200,$G166)&gt;0,
     COUNTIFS($AG$2:$AG$200,$G166)&gt;0,
     COUNTIFS($AH$2:$AH$200,$G166)&gt;0,
     COUNTIFS($AI$2:$AI$200,$G166)&gt;0,
     COUNTIFS($AJ$2:$AJ$200,$G166)&gt;0,
     COUNTIFS($AK$2:$AK$200,$G166)&gt;0,
     COUNTIFS($AL$2:$AL$200,$G166)&gt;0,
     COUNTIFS($AM$2:$AM$200,$G166)&gt;0,
     COUNTIFS($AN$2:$AN$200,$G166)&gt;0,
     COUNTIFS($AO$2:$AO$200,$G166)&gt;0,
     COUNTIFS($AP$2:$AP$200,$G166)&gt;0,
     COUNTIFS($AQ$2:$AQ$200,$G166)&gt;0,
     COUNTIFS($AR$2:$AR$200,$G166)&gt;0,
     COUNTIFS($AS$2:$AS$200,$G166)&gt;0,
     COUNTIFS($AT$2:$AT$200,$G166)&gt;0,
     COUNTIFS($AU$2:$AU$200,$G166)&gt;0,
     COUNTIFS($AV$2:$AV$200,$G166)&gt;0,
     COUNTIFS($AW$2:$AW$200,$G166)&gt;0,
     COUNTIFS($AX$2:$AX$200,$G166)&gt;0,
     COUNTIFS($AY$2:$AY$200,$G166)&gt;0
   )),
  ),
  4
 ),
"")</f>
        <v/>
      </c>
      <c r="G166" t="str">
        <f ca="1"/>
        <v>Forest</v>
      </c>
      <c r="EP166" t="str">
        <f ca="1"/>
        <v>Temporal Trespass</v>
      </c>
      <c r="EQ166" t="str">
        <f ca="1"/>
        <v>Synapse Sliver</v>
      </c>
      <c r="ER166" t="str">
        <f ca="1"/>
        <v>Sunpetal Grove</v>
      </c>
      <c r="EU166" t="str">
        <f ca="1"/>
        <v>Lavabelly Sliver</v>
      </c>
      <c r="EV166" t="str">
        <f ca="1"/>
        <v>Sunpetal Grove</v>
      </c>
      <c r="EX166" t="str">
        <f ca="1"/>
        <v>Forest</v>
      </c>
    </row>
    <row r="167" spans="1:154" x14ac:dyDescent="0.25">
      <c r="A167" s="2" t="str">
        <f t="shared" ca="1" si="10"/>
        <v>2</v>
      </c>
      <c r="B167" s="2">
        <f t="shared" ca="1" si="11"/>
        <v>1</v>
      </c>
      <c r="C167" s="2" t="str">
        <f ca="1">IFERROR(
 INDEX($V$1:$BL$1,
  MATCH(TRUE,
   CHOOSE({1;2;3;4;5;6;7;8;9;10;11;12;13;14;15;16;17;18;19;20;21;22;23;24;25;26;27;28;29;30;31;32;33;34;35;36;37;38;39;40;41;42;43},
    COUNTIFS($V$2:$V$200,$G167)&gt;0,
    COUNTIFS($W$2:$W$200,$G167)&gt;0,
    COUNTIFS($X$2:$X$200,$G167)&gt;0,
    COUNTIFS($Y$2:$Y$200,$G167)&gt;0,
    COUNTIFS($Z$2:$Z$200,$G167)&gt;0,
    COUNTIFS($AA$2:$AA$200,$G167)&gt;0,
    COUNTIFS($AB$2:$AB$200,$G167)&gt;0,
    COUNTIFS($AC$2:$AC$200,$G167)&gt;0,
    COUNTIFS($AD$2:$AD$200,$G167)&gt;0,
    COUNTIFS($AE$2:$AE$200,$G167)&gt;0,
    COUNTIFS($AF$2:$AF$200,$G167)&gt;0,
    COUNTIFS($AG$2:$AG$200,$G167)&gt;0,
    COUNTIFS($AH$2:$AH$200,$G167)&gt;0,
    COUNTIFS($AI$2:$AI$200,$G167)&gt;0,
    COUNTIFS($AJ$2:$AJ$200,$G167)&gt;0,
    COUNTIFS($AK$2:$AK$200,$G167)&gt;0,
    COUNTIFS($AL$2:$AL$200,$G167)&gt;0,
    COUNTIFS($AM$2:$AM$200,$G167)&gt;0,
    COUNTIFS($AN$2:$AN$200,$G167)&gt;0,
    COUNTIFS($AO$2:$AO$200,$G167)&gt;0,
    COUNTIFS($AP$2:$AP$200,$G167)&gt;0,
    COUNTIFS($AQ$2:$AQ$200,$G167)&gt;0,
    COUNTIFS($AR$2:$AR$200,$G167)&gt;0,
    COUNTIFS($AS$2:$AS$200,$G167)&gt;0,
    COUNTIFS($AT$2:$AT$200,$G167)&gt;0,
    COUNTIFS($AU$2:$AU$200,$G167)&gt;0,
    COUNTIFS($AV$2:$AV$200,$G167)&gt;0,
    COUNTIFS($AW$2:$AW$200,$G167)&gt;0,
    COUNTIFS($AX$2:$AX$200,$G167)&gt;0,
    COUNTIFS($AY$2:$AY$200,$G167)&gt;0,
    COUNTIFS($AZ$2:$AZ$200,$G167)&gt;0,
    COUNTIFS($BA$2:$BA$200,$G167)&gt;0,
    COUNTIFS($BB$2:$BB$200,$G167)&gt;0,
    COUNTIFS($BC$2:$BC$200,$G167)&gt;0,
    COUNTIFS($BD$2:$BD$200,$G167)&gt;0,
    COUNTIFS($BE$2:$BE$200,$G167)&gt;0,
    COUNTIFS($BF$2:$BF$200,$G167)&gt;0,
    COUNTIFS($BG$2:$BG$200,$G167)&gt;0,
    COUNTIFS($BH$2:$BH$200,$G167)&gt;0,
    COUNTIFS($BI$2:$BI$200,$G167)&gt;0,
    COUNTIFS($BJ$2:$BJ$200,$G167)&gt;0,
    COUNTIFS($BK$2:$BK$200,$G167)&gt;0,
    COUNTIFS($BL$2:$BL$200,$G167)&gt;0,
    COUNTIFS($BM$2:$BM$200,$G167)&gt;0,
   ),
  0)
 ),
"")</f>
        <v>Zimone</v>
      </c>
      <c r="D167" s="2" t="str" cm="1">
        <f t="array" aca="1" ref="D167" ca="1">IFERROR(
 INDEX(
  _xlfn._xlws.FILTER($V$1:$AY$1,
   TRANSPOSE(
    CHOOSE({1;2;3;4;5;6;7;8;9;10;11;12;13;14;15;16;17;18;19;20;21;22;23;24;25;26;27;28;29;30},
     COUNTIFS($V$2:$V$200,$G167)&gt;0,
     COUNTIFS($W$2:$W$200,$G167)&gt;0,
     COUNTIFS($X$2:$X$200,$G167)&gt;0,
     COUNTIFS($Y$2:$Y$200,$G167)&gt;0,
     COUNTIFS($Z$2:$Z$200,$G167)&gt;0,
     COUNTIFS($AA$2:$AA$200,$G167)&gt;0,
     COUNTIFS($AB$2:$AB$200,$G167)&gt;0,
     COUNTIFS($AC$2:$AC$200,$G167)&gt;0,
     COUNTIFS($AD$2:$AD$200,$G167)&gt;0,
     COUNTIFS($AE$2:$AE$200,$G167)&gt;0,
     COUNTIFS($AF$2:$AF$200,$G167)&gt;0,
     COUNTIFS($AG$2:$AG$200,$G167)&gt;0,
     COUNTIFS($AH$2:$AH$200,$G167)&gt;0,
     COUNTIFS($AI$2:$AI$200,$G167)&gt;0,
     COUNTIFS($AJ$2:$AJ$200,$G167)&gt;0,
     COUNTIFS($AK$2:$AK$200,$G167)&gt;0,
     COUNTIFS($AL$2:$AL$200,$G167)&gt;0,
     COUNTIFS($AM$2:$AM$200,$G167)&gt;0,
     COUNTIFS($AN$2:$AN$200,$G167)&gt;0,
     COUNTIFS($AO$2:$AO$200,$G167)&gt;0,
     COUNTIFS($AP$2:$AP$200,$G167)&gt;0,
     COUNTIFS($AQ$2:$AQ$200,$G167)&gt;0,
     COUNTIFS($AR$2:$AR$200,$G167)&gt;0,
     COUNTIFS($AS$2:$AS$200,$G167)&gt;0,
     COUNTIFS($AT$2:$AT$200,$G167)&gt;0,
     COUNTIFS($AU$2:$AU$200,$G167)&gt;0,
     COUNTIFS($AV$2:$AV$200,$G167)&gt;0,
     COUNTIFS($AW$2:$AW$200,$G167)&gt;0,
     COUNTIFS($AX$2:$AX$200,$G167)&gt;0,
     COUNTIFS($AY$2:$AY$200,$G167)&gt;0
   )),
  ),
  2
 ),
"")</f>
        <v/>
      </c>
      <c r="E167" s="2" t="str" cm="1">
        <f t="array" aca="1" ref="E167" ca="1">IFERROR(
 INDEX(
  _xlfn._xlws.FILTER($V$1:$AY$1,
   TRANSPOSE(
    CHOOSE({1;2;3;4;5;6;7;8;9;10;11;12;13;14;15;16;17;18;19;20;21;22;23;24;25;26;27;28;29;30},
     COUNTIFS($V$2:$V$200,$G167)&gt;0,
     COUNTIFS($W$2:$W$200,$G167)&gt;0,
     COUNTIFS($X$2:$X$200,$G167)&gt;0,
     COUNTIFS($Y$2:$Y$200,$G167)&gt;0,
     COUNTIFS($Z$2:$Z$200,$G167)&gt;0,
     COUNTIFS($AA$2:$AA$200,$G167)&gt;0,
     COUNTIFS($AB$2:$AB$200,$G167)&gt;0,
     COUNTIFS($AC$2:$AC$200,$G167)&gt;0,
     COUNTIFS($AD$2:$AD$200,$G167)&gt;0,
     COUNTIFS($AE$2:$AE$200,$G167)&gt;0,
     COUNTIFS($AF$2:$AF$200,$G167)&gt;0,
     COUNTIFS($AG$2:$AG$200,$G167)&gt;0,
     COUNTIFS($AH$2:$AH$200,$G167)&gt;0,
     COUNTIFS($AI$2:$AI$200,$G167)&gt;0,
     COUNTIFS($AJ$2:$AJ$200,$G167)&gt;0,
     COUNTIFS($AK$2:$AK$200,$G167)&gt;0,
     COUNTIFS($AL$2:$AL$200,$G167)&gt;0,
     COUNTIFS($AM$2:$AM$200,$G167)&gt;0,
     COUNTIFS($AN$2:$AN$200,$G167)&gt;0,
     COUNTIFS($AO$2:$AO$200,$G167)&gt;0,
     COUNTIFS($AP$2:$AP$200,$G167)&gt;0,
     COUNTIFS($AQ$2:$AQ$200,$G167)&gt;0,
     COUNTIFS($AR$2:$AR$200,$G167)&gt;0,
     COUNTIFS($AS$2:$AS$200,$G167)&gt;0,
     COUNTIFS($AT$2:$AT$200,$G167)&gt;0,
     COUNTIFS($AU$2:$AU$200,$G167)&gt;0,
     COUNTIFS($AV$2:$AV$200,$G167)&gt;0,
     COUNTIFS($AW$2:$AW$200,$G167)&gt;0,
     COUNTIFS($AX$2:$AX$200,$G167)&gt;0,
     COUNTIFS($AY$2:$AY$200,$G167)&gt;0
   )),
  ),
  3
 ),
"")</f>
        <v/>
      </c>
      <c r="F167" s="2" t="str" cm="1">
        <f t="array" aca="1" ref="F167" ca="1">IFERROR(
 INDEX(
  _xlfn._xlws.FILTER($V$1:$AY$1,
   TRANSPOSE(
    CHOOSE({1;2;3;4;5;6;7;8;9;10;11;12;13;14;15;16;17;18;19;20;21;22;23;24;25;26;27;28;29;30},
     COUNTIFS($V$2:$V$200,$G167)&gt;0,
     COUNTIFS($W$2:$W$200,$G167)&gt;0,
     COUNTIFS($X$2:$X$200,$G167)&gt;0,
     COUNTIFS($Y$2:$Y$200,$G167)&gt;0,
     COUNTIFS($Z$2:$Z$200,$G167)&gt;0,
     COUNTIFS($AA$2:$AA$200,$G167)&gt;0,
     COUNTIFS($AB$2:$AB$200,$G167)&gt;0,
     COUNTIFS($AC$2:$AC$200,$G167)&gt;0,
     COUNTIFS($AD$2:$AD$200,$G167)&gt;0,
     COUNTIFS($AE$2:$AE$200,$G167)&gt;0,
     COUNTIFS($AF$2:$AF$200,$G167)&gt;0,
     COUNTIFS($AG$2:$AG$200,$G167)&gt;0,
     COUNTIFS($AH$2:$AH$200,$G167)&gt;0,
     COUNTIFS($AI$2:$AI$200,$G167)&gt;0,
     COUNTIFS($AJ$2:$AJ$200,$G167)&gt;0,
     COUNTIFS($AK$2:$AK$200,$G167)&gt;0,
     COUNTIFS($AL$2:$AL$200,$G167)&gt;0,
     COUNTIFS($AM$2:$AM$200,$G167)&gt;0,
     COUNTIFS($AN$2:$AN$200,$G167)&gt;0,
     COUNTIFS($AO$2:$AO$200,$G167)&gt;0,
     COUNTIFS($AP$2:$AP$200,$G167)&gt;0,
     COUNTIFS($AQ$2:$AQ$200,$G167)&gt;0,
     COUNTIFS($AR$2:$AR$200,$G167)&gt;0,
     COUNTIFS($AS$2:$AS$200,$G167)&gt;0,
     COUNTIFS($AT$2:$AT$200,$G167)&gt;0,
     COUNTIFS($AU$2:$AU$200,$G167)&gt;0,
     COUNTIFS($AV$2:$AV$200,$G167)&gt;0,
     COUNTIFS($AW$2:$AW$200,$G167)&gt;0,
     COUNTIFS($AX$2:$AX$200,$G167)&gt;0,
     COUNTIFS($AY$2:$AY$200,$G167)&gt;0
   )),
  ),
  4
 ),
"")</f>
        <v/>
      </c>
      <c r="G167" t="str">
        <f ca="1"/>
        <v>Forsaken Miner</v>
      </c>
      <c r="EP167" t="str">
        <f ca="1"/>
        <v>The Duke, Rebel Sentry</v>
      </c>
      <c r="EQ167" t="str">
        <f ca="1"/>
        <v>Syphon Sliver</v>
      </c>
      <c r="ER167" t="str">
        <f ca="1"/>
        <v>Swamp</v>
      </c>
      <c r="EU167" t="str">
        <f ca="1"/>
        <v>Lavaspur Boots</v>
      </c>
      <c r="EV167" t="str">
        <f ca="1"/>
        <v>Swamp</v>
      </c>
      <c r="EX167" t="str">
        <f ca="1"/>
        <v>Forsaken Miner</v>
      </c>
    </row>
    <row r="168" spans="1:154" x14ac:dyDescent="0.25">
      <c r="A168" s="2" t="str">
        <f t="shared" ca="1" si="10"/>
        <v>2</v>
      </c>
      <c r="B168" s="2">
        <f t="shared" ca="1" si="11"/>
        <v>1</v>
      </c>
      <c r="C168" s="2" t="str">
        <f ca="1">IFERROR(
 INDEX($V$1:$BL$1,
  MATCH(TRUE,
   CHOOSE({1;2;3;4;5;6;7;8;9;10;11;12;13;14;15;16;17;18;19;20;21;22;23;24;25;26;27;28;29;30;31;32;33;34;35;36;37;38;39;40;41;42;43},
    COUNTIFS($V$2:$V$200,$G168)&gt;0,
    COUNTIFS($W$2:$W$200,$G168)&gt;0,
    COUNTIFS($X$2:$X$200,$G168)&gt;0,
    COUNTIFS($Y$2:$Y$200,$G168)&gt;0,
    COUNTIFS($Z$2:$Z$200,$G168)&gt;0,
    COUNTIFS($AA$2:$AA$200,$G168)&gt;0,
    COUNTIFS($AB$2:$AB$200,$G168)&gt;0,
    COUNTIFS($AC$2:$AC$200,$G168)&gt;0,
    COUNTIFS($AD$2:$AD$200,$G168)&gt;0,
    COUNTIFS($AE$2:$AE$200,$G168)&gt;0,
    COUNTIFS($AF$2:$AF$200,$G168)&gt;0,
    COUNTIFS($AG$2:$AG$200,$G168)&gt;0,
    COUNTIFS($AH$2:$AH$200,$G168)&gt;0,
    COUNTIFS($AI$2:$AI$200,$G168)&gt;0,
    COUNTIFS($AJ$2:$AJ$200,$G168)&gt;0,
    COUNTIFS($AK$2:$AK$200,$G168)&gt;0,
    COUNTIFS($AL$2:$AL$200,$G168)&gt;0,
    COUNTIFS($AM$2:$AM$200,$G168)&gt;0,
    COUNTIFS($AN$2:$AN$200,$G168)&gt;0,
    COUNTIFS($AO$2:$AO$200,$G168)&gt;0,
    COUNTIFS($AP$2:$AP$200,$G168)&gt;0,
    COUNTIFS($AQ$2:$AQ$200,$G168)&gt;0,
    COUNTIFS($AR$2:$AR$200,$G168)&gt;0,
    COUNTIFS($AS$2:$AS$200,$G168)&gt;0,
    COUNTIFS($AT$2:$AT$200,$G168)&gt;0,
    COUNTIFS($AU$2:$AU$200,$G168)&gt;0,
    COUNTIFS($AV$2:$AV$200,$G168)&gt;0,
    COUNTIFS($AW$2:$AW$200,$G168)&gt;0,
    COUNTIFS($AX$2:$AX$200,$G168)&gt;0,
    COUNTIFS($AY$2:$AY$200,$G168)&gt;0,
    COUNTIFS($AZ$2:$AZ$200,$G168)&gt;0,
    COUNTIFS($BA$2:$BA$200,$G168)&gt;0,
    COUNTIFS($BB$2:$BB$200,$G168)&gt;0,
    COUNTIFS($BC$2:$BC$200,$G168)&gt;0,
    COUNTIFS($BD$2:$BD$200,$G168)&gt;0,
    COUNTIFS($BE$2:$BE$200,$G168)&gt;0,
    COUNTIFS($BF$2:$BF$200,$G168)&gt;0,
    COUNTIFS($BG$2:$BG$200,$G168)&gt;0,
    COUNTIFS($BH$2:$BH$200,$G168)&gt;0,
    COUNTIFS($BI$2:$BI$200,$G168)&gt;0,
    COUNTIFS($BJ$2:$BJ$200,$G168)&gt;0,
    COUNTIFS($BK$2:$BK$200,$G168)&gt;0,
    COUNTIFS($BL$2:$BL$200,$G168)&gt;0,
    COUNTIFS($BM$2:$BM$200,$G168)&gt;0,
   ),
  0)
 ),
"")</f>
        <v>Sisay</v>
      </c>
      <c r="D168" s="2" t="str" cm="1">
        <f t="array" aca="1" ref="D168" ca="1">IFERROR(
 INDEX(
  _xlfn._xlws.FILTER($V$1:$AY$1,
   TRANSPOSE(
    CHOOSE({1;2;3;4;5;6;7;8;9;10;11;12;13;14;15;16;17;18;19;20;21;22;23;24;25;26;27;28;29;30},
     COUNTIFS($V$2:$V$200,$G168)&gt;0,
     COUNTIFS($W$2:$W$200,$G168)&gt;0,
     COUNTIFS($X$2:$X$200,$G168)&gt;0,
     COUNTIFS($Y$2:$Y$200,$G168)&gt;0,
     COUNTIFS($Z$2:$Z$200,$G168)&gt;0,
     COUNTIFS($AA$2:$AA$200,$G168)&gt;0,
     COUNTIFS($AB$2:$AB$200,$G168)&gt;0,
     COUNTIFS($AC$2:$AC$200,$G168)&gt;0,
     COUNTIFS($AD$2:$AD$200,$G168)&gt;0,
     COUNTIFS($AE$2:$AE$200,$G168)&gt;0,
     COUNTIFS($AF$2:$AF$200,$G168)&gt;0,
     COUNTIFS($AG$2:$AG$200,$G168)&gt;0,
     COUNTIFS($AH$2:$AH$200,$G168)&gt;0,
     COUNTIFS($AI$2:$AI$200,$G168)&gt;0,
     COUNTIFS($AJ$2:$AJ$200,$G168)&gt;0,
     COUNTIFS($AK$2:$AK$200,$G168)&gt;0,
     COUNTIFS($AL$2:$AL$200,$G168)&gt;0,
     COUNTIFS($AM$2:$AM$200,$G168)&gt;0,
     COUNTIFS($AN$2:$AN$200,$G168)&gt;0,
     COUNTIFS($AO$2:$AO$200,$G168)&gt;0,
     COUNTIFS($AP$2:$AP$200,$G168)&gt;0,
     COUNTIFS($AQ$2:$AQ$200,$G168)&gt;0,
     COUNTIFS($AR$2:$AR$200,$G168)&gt;0,
     COUNTIFS($AS$2:$AS$200,$G168)&gt;0,
     COUNTIFS($AT$2:$AT$200,$G168)&gt;0,
     COUNTIFS($AU$2:$AU$200,$G168)&gt;0,
     COUNTIFS($AV$2:$AV$200,$G168)&gt;0,
     COUNTIFS($AW$2:$AW$200,$G168)&gt;0,
     COUNTIFS($AX$2:$AX$200,$G168)&gt;0,
     COUNTIFS($AY$2:$AY$200,$G168)&gt;0
   )),
  ),
  2
 ),
"")</f>
        <v/>
      </c>
      <c r="E168" s="2" t="str" cm="1">
        <f t="array" aca="1" ref="E168" ca="1">IFERROR(
 INDEX(
  _xlfn._xlws.FILTER($V$1:$AY$1,
   TRANSPOSE(
    CHOOSE({1;2;3;4;5;6;7;8;9;10;11;12;13;14;15;16;17;18;19;20;21;22;23;24;25;26;27;28;29;30},
     COUNTIFS($V$2:$V$200,$G168)&gt;0,
     COUNTIFS($W$2:$W$200,$G168)&gt;0,
     COUNTIFS($X$2:$X$200,$G168)&gt;0,
     COUNTIFS($Y$2:$Y$200,$G168)&gt;0,
     COUNTIFS($Z$2:$Z$200,$G168)&gt;0,
     COUNTIFS($AA$2:$AA$200,$G168)&gt;0,
     COUNTIFS($AB$2:$AB$200,$G168)&gt;0,
     COUNTIFS($AC$2:$AC$200,$G168)&gt;0,
     COUNTIFS($AD$2:$AD$200,$G168)&gt;0,
     COUNTIFS($AE$2:$AE$200,$G168)&gt;0,
     COUNTIFS($AF$2:$AF$200,$G168)&gt;0,
     COUNTIFS($AG$2:$AG$200,$G168)&gt;0,
     COUNTIFS($AH$2:$AH$200,$G168)&gt;0,
     COUNTIFS($AI$2:$AI$200,$G168)&gt;0,
     COUNTIFS($AJ$2:$AJ$200,$G168)&gt;0,
     COUNTIFS($AK$2:$AK$200,$G168)&gt;0,
     COUNTIFS($AL$2:$AL$200,$G168)&gt;0,
     COUNTIFS($AM$2:$AM$200,$G168)&gt;0,
     COUNTIFS($AN$2:$AN$200,$G168)&gt;0,
     COUNTIFS($AO$2:$AO$200,$G168)&gt;0,
     COUNTIFS($AP$2:$AP$200,$G168)&gt;0,
     COUNTIFS($AQ$2:$AQ$200,$G168)&gt;0,
     COUNTIFS($AR$2:$AR$200,$G168)&gt;0,
     COUNTIFS($AS$2:$AS$200,$G168)&gt;0,
     COUNTIFS($AT$2:$AT$200,$G168)&gt;0,
     COUNTIFS($AU$2:$AU$200,$G168)&gt;0,
     COUNTIFS($AV$2:$AV$200,$G168)&gt;0,
     COUNTIFS($AW$2:$AW$200,$G168)&gt;0,
     COUNTIFS($AX$2:$AX$200,$G168)&gt;0,
     COUNTIFS($AY$2:$AY$200,$G168)&gt;0
   )),
  ),
  3
 ),
"")</f>
        <v/>
      </c>
      <c r="F168" s="2" t="str" cm="1">
        <f t="array" aca="1" ref="F168" ca="1">IFERROR(
 INDEX(
  _xlfn._xlws.FILTER($V$1:$AY$1,
   TRANSPOSE(
    CHOOSE({1;2;3;4;5;6;7;8;9;10;11;12;13;14;15;16;17;18;19;20;21;22;23;24;25;26;27;28;29;30},
     COUNTIFS($V$2:$V$200,$G168)&gt;0,
     COUNTIFS($W$2:$W$200,$G168)&gt;0,
     COUNTIFS($X$2:$X$200,$G168)&gt;0,
     COUNTIFS($Y$2:$Y$200,$G168)&gt;0,
     COUNTIFS($Z$2:$Z$200,$G168)&gt;0,
     COUNTIFS($AA$2:$AA$200,$G168)&gt;0,
     COUNTIFS($AB$2:$AB$200,$G168)&gt;0,
     COUNTIFS($AC$2:$AC$200,$G168)&gt;0,
     COUNTIFS($AD$2:$AD$200,$G168)&gt;0,
     COUNTIFS($AE$2:$AE$200,$G168)&gt;0,
     COUNTIFS($AF$2:$AF$200,$G168)&gt;0,
     COUNTIFS($AG$2:$AG$200,$G168)&gt;0,
     COUNTIFS($AH$2:$AH$200,$G168)&gt;0,
     COUNTIFS($AI$2:$AI$200,$G168)&gt;0,
     COUNTIFS($AJ$2:$AJ$200,$G168)&gt;0,
     COUNTIFS($AK$2:$AK$200,$G168)&gt;0,
     COUNTIFS($AL$2:$AL$200,$G168)&gt;0,
     COUNTIFS($AM$2:$AM$200,$G168)&gt;0,
     COUNTIFS($AN$2:$AN$200,$G168)&gt;0,
     COUNTIFS($AO$2:$AO$200,$G168)&gt;0,
     COUNTIFS($AP$2:$AP$200,$G168)&gt;0,
     COUNTIFS($AQ$2:$AQ$200,$G168)&gt;0,
     COUNTIFS($AR$2:$AR$200,$G168)&gt;0,
     COUNTIFS($AS$2:$AS$200,$G168)&gt;0,
     COUNTIFS($AT$2:$AT$200,$G168)&gt;0,
     COUNTIFS($AU$2:$AU$200,$G168)&gt;0,
     COUNTIFS($AV$2:$AV$200,$G168)&gt;0,
     COUNTIFS($AW$2:$AW$200,$G168)&gt;0,
     COUNTIFS($AX$2:$AX$200,$G168)&gt;0,
     COUNTIFS($AY$2:$AY$200,$G168)&gt;0
   )),
  ),
  4
 ),
"")</f>
        <v/>
      </c>
      <c r="G168" t="str">
        <f ca="1"/>
        <v>Freyalise, Llanowar's Fury</v>
      </c>
      <c r="EP168" t="str">
        <f ca="1"/>
        <v>The Enigma Jewel</v>
      </c>
      <c r="EQ168" t="str">
        <f ca="1"/>
        <v>Taunting Sliver</v>
      </c>
      <c r="ER168" t="str">
        <f ca="1"/>
        <v>Swords to Plowshares</v>
      </c>
      <c r="EU168" t="str">
        <f ca="1"/>
        <v>Life of the Party</v>
      </c>
      <c r="EV168" t="str">
        <f ca="1"/>
        <v>Swords to Plowshares</v>
      </c>
      <c r="EX168" t="str">
        <f ca="1"/>
        <v>Freyalise, Llanowar's Fury</v>
      </c>
    </row>
    <row r="169" spans="1:154" x14ac:dyDescent="0.25">
      <c r="A169" s="2" t="str">
        <f t="shared" ca="1" si="10"/>
        <v>5</v>
      </c>
      <c r="B169" s="2">
        <f t="shared" ca="1" si="11"/>
        <v>1</v>
      </c>
      <c r="C169" s="2" t="str">
        <f ca="1">IFERROR(
 INDEX($V$1:$BL$1,
  MATCH(TRUE,
   CHOOSE({1;2;3;4;5;6;7;8;9;10;11;12;13;14;15;16;17;18;19;20;21;22;23;24;25;26;27;28;29;30;31;32;33;34;35;36;37;38;39;40;41;42;43},
    COUNTIFS($V$2:$V$200,$G169)&gt;0,
    COUNTIFS($W$2:$W$200,$G169)&gt;0,
    COUNTIFS($X$2:$X$200,$G169)&gt;0,
    COUNTIFS($Y$2:$Y$200,$G169)&gt;0,
    COUNTIFS($Z$2:$Z$200,$G169)&gt;0,
    COUNTIFS($AA$2:$AA$200,$G169)&gt;0,
    COUNTIFS($AB$2:$AB$200,$G169)&gt;0,
    COUNTIFS($AC$2:$AC$200,$G169)&gt;0,
    COUNTIFS($AD$2:$AD$200,$G169)&gt;0,
    COUNTIFS($AE$2:$AE$200,$G169)&gt;0,
    COUNTIFS($AF$2:$AF$200,$G169)&gt;0,
    COUNTIFS($AG$2:$AG$200,$G169)&gt;0,
    COUNTIFS($AH$2:$AH$200,$G169)&gt;0,
    COUNTIFS($AI$2:$AI$200,$G169)&gt;0,
    COUNTIFS($AJ$2:$AJ$200,$G169)&gt;0,
    COUNTIFS($AK$2:$AK$200,$G169)&gt;0,
    COUNTIFS($AL$2:$AL$200,$G169)&gt;0,
    COUNTIFS($AM$2:$AM$200,$G169)&gt;0,
    COUNTIFS($AN$2:$AN$200,$G169)&gt;0,
    COUNTIFS($AO$2:$AO$200,$G169)&gt;0,
    COUNTIFS($AP$2:$AP$200,$G169)&gt;0,
    COUNTIFS($AQ$2:$AQ$200,$G169)&gt;0,
    COUNTIFS($AR$2:$AR$200,$G169)&gt;0,
    COUNTIFS($AS$2:$AS$200,$G169)&gt;0,
    COUNTIFS($AT$2:$AT$200,$G169)&gt;0,
    COUNTIFS($AU$2:$AU$200,$G169)&gt;0,
    COUNTIFS($AV$2:$AV$200,$G169)&gt;0,
    COUNTIFS($AW$2:$AW$200,$G169)&gt;0,
    COUNTIFS($AX$2:$AX$200,$G169)&gt;0,
    COUNTIFS($AY$2:$AY$200,$G169)&gt;0,
    COUNTIFS($AZ$2:$AZ$200,$G169)&gt;0,
    COUNTIFS($BA$2:$BA$200,$G169)&gt;0,
    COUNTIFS($BB$2:$BB$200,$G169)&gt;0,
    COUNTIFS($BC$2:$BC$200,$G169)&gt;0,
    COUNTIFS($BD$2:$BD$200,$G169)&gt;0,
    COUNTIFS($BE$2:$BE$200,$G169)&gt;0,
    COUNTIFS($BF$2:$BF$200,$G169)&gt;0,
    COUNTIFS($BG$2:$BG$200,$G169)&gt;0,
    COUNTIFS($BH$2:$BH$200,$G169)&gt;0,
    COUNTIFS($BI$2:$BI$200,$G169)&gt;0,
    COUNTIFS($BJ$2:$BJ$200,$G169)&gt;0,
    COUNTIFS($BK$2:$BK$200,$G169)&gt;0,
    COUNTIFS($BL$2:$BL$200,$G169)&gt;0,
    COUNTIFS($BM$2:$BM$200,$G169)&gt;0,
   ),
  0)
 ),
"")</f>
        <v>Fractius</v>
      </c>
      <c r="D169" s="2" t="str" cm="1">
        <f t="array" aca="1" ref="D169" ca="1">IFERROR(
 INDEX(
  _xlfn._xlws.FILTER($V$1:$AY$1,
   TRANSPOSE(
    CHOOSE({1;2;3;4;5;6;7;8;9;10;11;12;13;14;15;16;17;18;19;20;21;22;23;24;25;26;27;28;29;30},
     COUNTIFS($V$2:$V$200,$G169)&gt;0,
     COUNTIFS($W$2:$W$200,$G169)&gt;0,
     COUNTIFS($X$2:$X$200,$G169)&gt;0,
     COUNTIFS($Y$2:$Y$200,$G169)&gt;0,
     COUNTIFS($Z$2:$Z$200,$G169)&gt;0,
     COUNTIFS($AA$2:$AA$200,$G169)&gt;0,
     COUNTIFS($AB$2:$AB$200,$G169)&gt;0,
     COUNTIFS($AC$2:$AC$200,$G169)&gt;0,
     COUNTIFS($AD$2:$AD$200,$G169)&gt;0,
     COUNTIFS($AE$2:$AE$200,$G169)&gt;0,
     COUNTIFS($AF$2:$AF$200,$G169)&gt;0,
     COUNTIFS($AG$2:$AG$200,$G169)&gt;0,
     COUNTIFS($AH$2:$AH$200,$G169)&gt;0,
     COUNTIFS($AI$2:$AI$200,$G169)&gt;0,
     COUNTIFS($AJ$2:$AJ$200,$G169)&gt;0,
     COUNTIFS($AK$2:$AK$200,$G169)&gt;0,
     COUNTIFS($AL$2:$AL$200,$G169)&gt;0,
     COUNTIFS($AM$2:$AM$200,$G169)&gt;0,
     COUNTIFS($AN$2:$AN$200,$G169)&gt;0,
     COUNTIFS($AO$2:$AO$200,$G169)&gt;0,
     COUNTIFS($AP$2:$AP$200,$G169)&gt;0,
     COUNTIFS($AQ$2:$AQ$200,$G169)&gt;0,
     COUNTIFS($AR$2:$AR$200,$G169)&gt;0,
     COUNTIFS($AS$2:$AS$200,$G169)&gt;0,
     COUNTIFS($AT$2:$AT$200,$G169)&gt;0,
     COUNTIFS($AU$2:$AU$200,$G169)&gt;0,
     COUNTIFS($AV$2:$AV$200,$G169)&gt;0,
     COUNTIFS($AW$2:$AW$200,$G169)&gt;0,
     COUNTIFS($AX$2:$AX$200,$G169)&gt;0,
     COUNTIFS($AY$2:$AY$200,$G169)&gt;0
   )),
  ),
  2
 ),
"")</f>
        <v/>
      </c>
      <c r="E169" s="2" t="str" cm="1">
        <f t="array" aca="1" ref="E169" ca="1">IFERROR(
 INDEX(
  _xlfn._xlws.FILTER($V$1:$AY$1,
   TRANSPOSE(
    CHOOSE({1;2;3;4;5;6;7;8;9;10;11;12;13;14;15;16;17;18;19;20;21;22;23;24;25;26;27;28;29;30},
     COUNTIFS($V$2:$V$200,$G169)&gt;0,
     COUNTIFS($W$2:$W$200,$G169)&gt;0,
     COUNTIFS($X$2:$X$200,$G169)&gt;0,
     COUNTIFS($Y$2:$Y$200,$G169)&gt;0,
     COUNTIFS($Z$2:$Z$200,$G169)&gt;0,
     COUNTIFS($AA$2:$AA$200,$G169)&gt;0,
     COUNTIFS($AB$2:$AB$200,$G169)&gt;0,
     COUNTIFS($AC$2:$AC$200,$G169)&gt;0,
     COUNTIFS($AD$2:$AD$200,$G169)&gt;0,
     COUNTIFS($AE$2:$AE$200,$G169)&gt;0,
     COUNTIFS($AF$2:$AF$200,$G169)&gt;0,
     COUNTIFS($AG$2:$AG$200,$G169)&gt;0,
     COUNTIFS($AH$2:$AH$200,$G169)&gt;0,
     COUNTIFS($AI$2:$AI$200,$G169)&gt;0,
     COUNTIFS($AJ$2:$AJ$200,$G169)&gt;0,
     COUNTIFS($AK$2:$AK$200,$G169)&gt;0,
     COUNTIFS($AL$2:$AL$200,$G169)&gt;0,
     COUNTIFS($AM$2:$AM$200,$G169)&gt;0,
     COUNTIFS($AN$2:$AN$200,$G169)&gt;0,
     COUNTIFS($AO$2:$AO$200,$G169)&gt;0,
     COUNTIFS($AP$2:$AP$200,$G169)&gt;0,
     COUNTIFS($AQ$2:$AQ$200,$G169)&gt;0,
     COUNTIFS($AR$2:$AR$200,$G169)&gt;0,
     COUNTIFS($AS$2:$AS$200,$G169)&gt;0,
     COUNTIFS($AT$2:$AT$200,$G169)&gt;0,
     COUNTIFS($AU$2:$AU$200,$G169)&gt;0,
     COUNTIFS($AV$2:$AV$200,$G169)&gt;0,
     COUNTIFS($AW$2:$AW$200,$G169)&gt;0,
     COUNTIFS($AX$2:$AX$200,$G169)&gt;0,
     COUNTIFS($AY$2:$AY$200,$G169)&gt;0
   )),
  ),
  3
 ),
"")</f>
        <v/>
      </c>
      <c r="F169" s="2" t="str" cm="1">
        <f t="array" aca="1" ref="F169" ca="1">IFERROR(
 INDEX(
  _xlfn._xlws.FILTER($V$1:$AY$1,
   TRANSPOSE(
    CHOOSE({1;2;3;4;5;6;7;8;9;10;11;12;13;14;15;16;17;18;19;20;21;22;23;24;25;26;27;28;29;30},
     COUNTIFS($V$2:$V$200,$G169)&gt;0,
     COUNTIFS($W$2:$W$200,$G169)&gt;0,
     COUNTIFS($X$2:$X$200,$G169)&gt;0,
     COUNTIFS($Y$2:$Y$200,$G169)&gt;0,
     COUNTIFS($Z$2:$Z$200,$G169)&gt;0,
     COUNTIFS($AA$2:$AA$200,$G169)&gt;0,
     COUNTIFS($AB$2:$AB$200,$G169)&gt;0,
     COUNTIFS($AC$2:$AC$200,$G169)&gt;0,
     COUNTIFS($AD$2:$AD$200,$G169)&gt;0,
     COUNTIFS($AE$2:$AE$200,$G169)&gt;0,
     COUNTIFS($AF$2:$AF$200,$G169)&gt;0,
     COUNTIFS($AG$2:$AG$200,$G169)&gt;0,
     COUNTIFS($AH$2:$AH$200,$G169)&gt;0,
     COUNTIFS($AI$2:$AI$200,$G169)&gt;0,
     COUNTIFS($AJ$2:$AJ$200,$G169)&gt;0,
     COUNTIFS($AK$2:$AK$200,$G169)&gt;0,
     COUNTIFS($AL$2:$AL$200,$G169)&gt;0,
     COUNTIFS($AM$2:$AM$200,$G169)&gt;0,
     COUNTIFS($AN$2:$AN$200,$G169)&gt;0,
     COUNTIFS($AO$2:$AO$200,$G169)&gt;0,
     COUNTIFS($AP$2:$AP$200,$G169)&gt;0,
     COUNTIFS($AQ$2:$AQ$200,$G169)&gt;0,
     COUNTIFS($AR$2:$AR$200,$G169)&gt;0,
     COUNTIFS($AS$2:$AS$200,$G169)&gt;0,
     COUNTIFS($AT$2:$AT$200,$G169)&gt;0,
     COUNTIFS($AU$2:$AU$200,$G169)&gt;0,
     COUNTIFS($AV$2:$AV$200,$G169)&gt;0,
     COUNTIFS($AW$2:$AW$200,$G169)&gt;0,
     COUNTIFS($AX$2:$AX$200,$G169)&gt;0,
     COUNTIFS($AY$2:$AY$200,$G169)&gt;0
   )),
  ),
  4
 ),
"")</f>
        <v/>
      </c>
      <c r="G169" t="str">
        <f ca="1"/>
        <v>Galerider Sliver</v>
      </c>
      <c r="EP169" t="str">
        <f ca="1"/>
        <v>The Mycosynth Gardens</v>
      </c>
      <c r="EQ169" t="str">
        <f ca="1"/>
        <v>Telekinetic Sliver</v>
      </c>
      <c r="ER169" t="str">
        <f ca="1"/>
        <v>Tana, the Bloodsower</v>
      </c>
      <c r="EU169" t="str">
        <f ca="1"/>
        <v>Lightning Greaves</v>
      </c>
      <c r="EV169" t="str">
        <f ca="1"/>
        <v>Tana, the Bloodsower</v>
      </c>
      <c r="EX169" t="str">
        <f ca="1"/>
        <v>Galerider Sliver</v>
      </c>
    </row>
    <row r="170" spans="1:154" x14ac:dyDescent="0.25">
      <c r="A170" s="2" t="str">
        <f t="shared" ca="1" si="10"/>
        <v>2</v>
      </c>
      <c r="B170" s="2">
        <f t="shared" ca="1" si="11"/>
        <v>1</v>
      </c>
      <c r="C170" s="2" t="str">
        <f ca="1">IFERROR(
 INDEX($V$1:$BL$1,
  MATCH(TRUE,
   CHOOSE({1;2;3;4;5;6;7;8;9;10;11;12;13;14;15;16;17;18;19;20;21;22;23;24;25;26;27;28;29;30;31;32;33;34;35;36;37;38;39;40;41;42;43},
    COUNTIFS($V$2:$V$200,$G170)&gt;0,
    COUNTIFS($W$2:$W$200,$G170)&gt;0,
    COUNTIFS($X$2:$X$200,$G170)&gt;0,
    COUNTIFS($Y$2:$Y$200,$G170)&gt;0,
    COUNTIFS($Z$2:$Z$200,$G170)&gt;0,
    COUNTIFS($AA$2:$AA$200,$G170)&gt;0,
    COUNTIFS($AB$2:$AB$200,$G170)&gt;0,
    COUNTIFS($AC$2:$AC$200,$G170)&gt;0,
    COUNTIFS($AD$2:$AD$200,$G170)&gt;0,
    COUNTIFS($AE$2:$AE$200,$G170)&gt;0,
    COUNTIFS($AF$2:$AF$200,$G170)&gt;0,
    COUNTIFS($AG$2:$AG$200,$G170)&gt;0,
    COUNTIFS($AH$2:$AH$200,$G170)&gt;0,
    COUNTIFS($AI$2:$AI$200,$G170)&gt;0,
    COUNTIFS($AJ$2:$AJ$200,$G170)&gt;0,
    COUNTIFS($AK$2:$AK$200,$G170)&gt;0,
    COUNTIFS($AL$2:$AL$200,$G170)&gt;0,
    COUNTIFS($AM$2:$AM$200,$G170)&gt;0,
    COUNTIFS($AN$2:$AN$200,$G170)&gt;0,
    COUNTIFS($AO$2:$AO$200,$G170)&gt;0,
    COUNTIFS($AP$2:$AP$200,$G170)&gt;0,
    COUNTIFS($AQ$2:$AQ$200,$G170)&gt;0,
    COUNTIFS($AR$2:$AR$200,$G170)&gt;0,
    COUNTIFS($AS$2:$AS$200,$G170)&gt;0,
    COUNTIFS($AT$2:$AT$200,$G170)&gt;0,
    COUNTIFS($AU$2:$AU$200,$G170)&gt;0,
    COUNTIFS($AV$2:$AV$200,$G170)&gt;0,
    COUNTIFS($AW$2:$AW$200,$G170)&gt;0,
    COUNTIFS($AX$2:$AX$200,$G170)&gt;0,
    COUNTIFS($AY$2:$AY$200,$G170)&gt;0,
    COUNTIFS($AZ$2:$AZ$200,$G170)&gt;0,
    COUNTIFS($BA$2:$BA$200,$G170)&gt;0,
    COUNTIFS($BB$2:$BB$200,$G170)&gt;0,
    COUNTIFS($BC$2:$BC$200,$G170)&gt;0,
    COUNTIFS($BD$2:$BD$200,$G170)&gt;0,
    COUNTIFS($BE$2:$BE$200,$G170)&gt;0,
    COUNTIFS($BF$2:$BF$200,$G170)&gt;0,
    COUNTIFS($BG$2:$BG$200,$G170)&gt;0,
    COUNTIFS($BH$2:$BH$200,$G170)&gt;0,
    COUNTIFS($BI$2:$BI$200,$G170)&gt;0,
    COUNTIFS($BJ$2:$BJ$200,$G170)&gt;0,
    COUNTIFS($BK$2:$BK$200,$G170)&gt;0,
    COUNTIFS($BL$2:$BL$200,$G170)&gt;0,
    COUNTIFS($BM$2:$BM$200,$G170)&gt;0,
   ),
  0)
 ),
"")</f>
        <v>Rani</v>
      </c>
      <c r="D170" s="2" t="str" cm="1">
        <f t="array" aca="1" ref="D170" ca="1">IFERROR(
 INDEX(
  _xlfn._xlws.FILTER($V$1:$AY$1,
   TRANSPOSE(
    CHOOSE({1;2;3;4;5;6;7;8;9;10;11;12;13;14;15;16;17;18;19;20;21;22;23;24;25;26;27;28;29;30},
     COUNTIFS($V$2:$V$200,$G170)&gt;0,
     COUNTIFS($W$2:$W$200,$G170)&gt;0,
     COUNTIFS($X$2:$X$200,$G170)&gt;0,
     COUNTIFS($Y$2:$Y$200,$G170)&gt;0,
     COUNTIFS($Z$2:$Z$200,$G170)&gt;0,
     COUNTIFS($AA$2:$AA$200,$G170)&gt;0,
     COUNTIFS($AB$2:$AB$200,$G170)&gt;0,
     COUNTIFS($AC$2:$AC$200,$G170)&gt;0,
     COUNTIFS($AD$2:$AD$200,$G170)&gt;0,
     COUNTIFS($AE$2:$AE$200,$G170)&gt;0,
     COUNTIFS($AF$2:$AF$200,$G170)&gt;0,
     COUNTIFS($AG$2:$AG$200,$G170)&gt;0,
     COUNTIFS($AH$2:$AH$200,$G170)&gt;0,
     COUNTIFS($AI$2:$AI$200,$G170)&gt;0,
     COUNTIFS($AJ$2:$AJ$200,$G170)&gt;0,
     COUNTIFS($AK$2:$AK$200,$G170)&gt;0,
     COUNTIFS($AL$2:$AL$200,$G170)&gt;0,
     COUNTIFS($AM$2:$AM$200,$G170)&gt;0,
     COUNTIFS($AN$2:$AN$200,$G170)&gt;0,
     COUNTIFS($AO$2:$AO$200,$G170)&gt;0,
     COUNTIFS($AP$2:$AP$200,$G170)&gt;0,
     COUNTIFS($AQ$2:$AQ$200,$G170)&gt;0,
     COUNTIFS($AR$2:$AR$200,$G170)&gt;0,
     COUNTIFS($AS$2:$AS$200,$G170)&gt;0,
     COUNTIFS($AT$2:$AT$200,$G170)&gt;0,
     COUNTIFS($AU$2:$AU$200,$G170)&gt;0,
     COUNTIFS($AV$2:$AV$200,$G170)&gt;0,
     COUNTIFS($AW$2:$AW$200,$G170)&gt;0,
     COUNTIFS($AX$2:$AX$200,$G170)&gt;0,
     COUNTIFS($AY$2:$AY$200,$G170)&gt;0
   )),
  ),
  2
 ),
"")</f>
        <v/>
      </c>
      <c r="E170" s="2" t="str" cm="1">
        <f t="array" aca="1" ref="E170" ca="1">IFERROR(
 INDEX(
  _xlfn._xlws.FILTER($V$1:$AY$1,
   TRANSPOSE(
    CHOOSE({1;2;3;4;5;6;7;8;9;10;11;12;13;14;15;16;17;18;19;20;21;22;23;24;25;26;27;28;29;30},
     COUNTIFS($V$2:$V$200,$G170)&gt;0,
     COUNTIFS($W$2:$W$200,$G170)&gt;0,
     COUNTIFS($X$2:$X$200,$G170)&gt;0,
     COUNTIFS($Y$2:$Y$200,$G170)&gt;0,
     COUNTIFS($Z$2:$Z$200,$G170)&gt;0,
     COUNTIFS($AA$2:$AA$200,$G170)&gt;0,
     COUNTIFS($AB$2:$AB$200,$G170)&gt;0,
     COUNTIFS($AC$2:$AC$200,$G170)&gt;0,
     COUNTIFS($AD$2:$AD$200,$G170)&gt;0,
     COUNTIFS($AE$2:$AE$200,$G170)&gt;0,
     COUNTIFS($AF$2:$AF$200,$G170)&gt;0,
     COUNTIFS($AG$2:$AG$200,$G170)&gt;0,
     COUNTIFS($AH$2:$AH$200,$G170)&gt;0,
     COUNTIFS($AI$2:$AI$200,$G170)&gt;0,
     COUNTIFS($AJ$2:$AJ$200,$G170)&gt;0,
     COUNTIFS($AK$2:$AK$200,$G170)&gt;0,
     COUNTIFS($AL$2:$AL$200,$G170)&gt;0,
     COUNTIFS($AM$2:$AM$200,$G170)&gt;0,
     COUNTIFS($AN$2:$AN$200,$G170)&gt;0,
     COUNTIFS($AO$2:$AO$200,$G170)&gt;0,
     COUNTIFS($AP$2:$AP$200,$G170)&gt;0,
     COUNTIFS($AQ$2:$AQ$200,$G170)&gt;0,
     COUNTIFS($AR$2:$AR$200,$G170)&gt;0,
     COUNTIFS($AS$2:$AS$200,$G170)&gt;0,
     COUNTIFS($AT$2:$AT$200,$G170)&gt;0,
     COUNTIFS($AU$2:$AU$200,$G170)&gt;0,
     COUNTIFS($AV$2:$AV$200,$G170)&gt;0,
     COUNTIFS($AW$2:$AW$200,$G170)&gt;0,
     COUNTIFS($AX$2:$AX$200,$G170)&gt;0,
     COUNTIFS($AY$2:$AY$200,$G170)&gt;0
   )),
  ),
  3
 ),
"")</f>
        <v/>
      </c>
      <c r="F170" s="2" t="str" cm="1">
        <f t="array" aca="1" ref="F170" ca="1">IFERROR(
 INDEX(
  _xlfn._xlws.FILTER($V$1:$AY$1,
   TRANSPOSE(
    CHOOSE({1;2;3;4;5;6;7;8;9;10;11;12;13;14;15;16;17;18;19;20;21;22;23;24;25;26;27;28;29;30},
     COUNTIFS($V$2:$V$200,$G170)&gt;0,
     COUNTIFS($W$2:$W$200,$G170)&gt;0,
     COUNTIFS($X$2:$X$200,$G170)&gt;0,
     COUNTIFS($Y$2:$Y$200,$G170)&gt;0,
     COUNTIFS($Z$2:$Z$200,$G170)&gt;0,
     COUNTIFS($AA$2:$AA$200,$G170)&gt;0,
     COUNTIFS($AB$2:$AB$200,$G170)&gt;0,
     COUNTIFS($AC$2:$AC$200,$G170)&gt;0,
     COUNTIFS($AD$2:$AD$200,$G170)&gt;0,
     COUNTIFS($AE$2:$AE$200,$G170)&gt;0,
     COUNTIFS($AF$2:$AF$200,$G170)&gt;0,
     COUNTIFS($AG$2:$AG$200,$G170)&gt;0,
     COUNTIFS($AH$2:$AH$200,$G170)&gt;0,
     COUNTIFS($AI$2:$AI$200,$G170)&gt;0,
     COUNTIFS($AJ$2:$AJ$200,$G170)&gt;0,
     COUNTIFS($AK$2:$AK$200,$G170)&gt;0,
     COUNTIFS($AL$2:$AL$200,$G170)&gt;0,
     COUNTIFS($AM$2:$AM$200,$G170)&gt;0,
     COUNTIFS($AN$2:$AN$200,$G170)&gt;0,
     COUNTIFS($AO$2:$AO$200,$G170)&gt;0,
     COUNTIFS($AP$2:$AP$200,$G170)&gt;0,
     COUNTIFS($AQ$2:$AQ$200,$G170)&gt;0,
     COUNTIFS($AR$2:$AR$200,$G170)&gt;0,
     COUNTIFS($AS$2:$AS$200,$G170)&gt;0,
     COUNTIFS($AT$2:$AT$200,$G170)&gt;0,
     COUNTIFS($AU$2:$AU$200,$G170)&gt;0,
     COUNTIFS($AV$2:$AV$200,$G170)&gt;0,
     COUNTIFS($AW$2:$AW$200,$G170)&gt;0,
     COUNTIFS($AX$2:$AX$200,$G170)&gt;0,
     COUNTIFS($AY$2:$AY$200,$G170)&gt;0
   )),
  ),
  4
 ),
"")</f>
        <v/>
      </c>
      <c r="G170" t="str">
        <f ca="1"/>
        <v>Gallifrey Council Chamber</v>
      </c>
      <c r="EP170" t="str">
        <f ca="1"/>
        <v>The Peregrine Dynamo</v>
      </c>
      <c r="EQ170" t="str">
        <f ca="1"/>
        <v>Temple Garden</v>
      </c>
      <c r="ER170" t="str">
        <f ca="1"/>
        <v>Tear Asunder</v>
      </c>
      <c r="EU170" t="str">
        <f ca="1"/>
        <v>Liquimetal Torque</v>
      </c>
      <c r="EV170" t="str">
        <f ca="1"/>
        <v>Tear Asunder</v>
      </c>
      <c r="EX170" t="str">
        <f ca="1"/>
        <v>Gallifrey Council Chamber</v>
      </c>
    </row>
    <row r="171" spans="1:154" x14ac:dyDescent="0.25">
      <c r="A171" s="2" t="str">
        <f t="shared" ca="1" si="10"/>
        <v>3</v>
      </c>
      <c r="B171" s="2">
        <f t="shared" ca="1" si="11"/>
        <v>1</v>
      </c>
      <c r="C171" s="2" t="str">
        <f ca="1">IFERROR(
 INDEX($V$1:$BL$1,
  MATCH(TRUE,
   CHOOSE({1;2;3;4;5;6;7;8;9;10;11;12;13;14;15;16;17;18;19;20;21;22;23;24;25;26;27;28;29;30;31;32;33;34;35;36;37;38;39;40;41;42;43},
    COUNTIFS($V$2:$V$200,$G171)&gt;0,
    COUNTIFS($W$2:$W$200,$G171)&gt;0,
    COUNTIFS($X$2:$X$200,$G171)&gt;0,
    COUNTIFS($Y$2:$Y$200,$G171)&gt;0,
    COUNTIFS($Z$2:$Z$200,$G171)&gt;0,
    COUNTIFS($AA$2:$AA$200,$G171)&gt;0,
    COUNTIFS($AB$2:$AB$200,$G171)&gt;0,
    COUNTIFS($AC$2:$AC$200,$G171)&gt;0,
    COUNTIFS($AD$2:$AD$200,$G171)&gt;0,
    COUNTIFS($AE$2:$AE$200,$G171)&gt;0,
    COUNTIFS($AF$2:$AF$200,$G171)&gt;0,
    COUNTIFS($AG$2:$AG$200,$G171)&gt;0,
    COUNTIFS($AH$2:$AH$200,$G171)&gt;0,
    COUNTIFS($AI$2:$AI$200,$G171)&gt;0,
    COUNTIFS($AJ$2:$AJ$200,$G171)&gt;0,
    COUNTIFS($AK$2:$AK$200,$G171)&gt;0,
    COUNTIFS($AL$2:$AL$200,$G171)&gt;0,
    COUNTIFS($AM$2:$AM$200,$G171)&gt;0,
    COUNTIFS($AN$2:$AN$200,$G171)&gt;0,
    COUNTIFS($AO$2:$AO$200,$G171)&gt;0,
    COUNTIFS($AP$2:$AP$200,$G171)&gt;0,
    COUNTIFS($AQ$2:$AQ$200,$G171)&gt;0,
    COUNTIFS($AR$2:$AR$200,$G171)&gt;0,
    COUNTIFS($AS$2:$AS$200,$G171)&gt;0,
    COUNTIFS($AT$2:$AT$200,$G171)&gt;0,
    COUNTIFS($AU$2:$AU$200,$G171)&gt;0,
    COUNTIFS($AV$2:$AV$200,$G171)&gt;0,
    COUNTIFS($AW$2:$AW$200,$G171)&gt;0,
    COUNTIFS($AX$2:$AX$200,$G171)&gt;0,
    COUNTIFS($AY$2:$AY$200,$G171)&gt;0,
    COUNTIFS($AZ$2:$AZ$200,$G171)&gt;0,
    COUNTIFS($BA$2:$BA$200,$G171)&gt;0,
    COUNTIFS($BB$2:$BB$200,$G171)&gt;0,
    COUNTIFS($BC$2:$BC$200,$G171)&gt;0,
    COUNTIFS($BD$2:$BD$200,$G171)&gt;0,
    COUNTIFS($BE$2:$BE$200,$G171)&gt;0,
    COUNTIFS($BF$2:$BF$200,$G171)&gt;0,
    COUNTIFS($BG$2:$BG$200,$G171)&gt;0,
    COUNTIFS($BH$2:$BH$200,$G171)&gt;0,
    COUNTIFS($BI$2:$BI$200,$G171)&gt;0,
    COUNTIFS($BJ$2:$BJ$200,$G171)&gt;0,
    COUNTIFS($BK$2:$BK$200,$G171)&gt;0,
    COUNTIFS($BL$2:$BL$200,$G171)&gt;0,
    COUNTIFS($BM$2:$BM$200,$G171)&gt;0,
   ),
  0)
 ),
"")</f>
        <v>Inalla</v>
      </c>
      <c r="D171" s="2" t="str" cm="1">
        <f t="array" aca="1" ref="D171" ca="1">IFERROR(
 INDEX(
  _xlfn._xlws.FILTER($V$1:$AY$1,
   TRANSPOSE(
    CHOOSE({1;2;3;4;5;6;7;8;9;10;11;12;13;14;15;16;17;18;19;20;21;22;23;24;25;26;27;28;29;30},
     COUNTIFS($V$2:$V$200,$G171)&gt;0,
     COUNTIFS($W$2:$W$200,$G171)&gt;0,
     COUNTIFS($X$2:$X$200,$G171)&gt;0,
     COUNTIFS($Y$2:$Y$200,$G171)&gt;0,
     COUNTIFS($Z$2:$Z$200,$G171)&gt;0,
     COUNTIFS($AA$2:$AA$200,$G171)&gt;0,
     COUNTIFS($AB$2:$AB$200,$G171)&gt;0,
     COUNTIFS($AC$2:$AC$200,$G171)&gt;0,
     COUNTIFS($AD$2:$AD$200,$G171)&gt;0,
     COUNTIFS($AE$2:$AE$200,$G171)&gt;0,
     COUNTIFS($AF$2:$AF$200,$G171)&gt;0,
     COUNTIFS($AG$2:$AG$200,$G171)&gt;0,
     COUNTIFS($AH$2:$AH$200,$G171)&gt;0,
     COUNTIFS($AI$2:$AI$200,$G171)&gt;0,
     COUNTIFS($AJ$2:$AJ$200,$G171)&gt;0,
     COUNTIFS($AK$2:$AK$200,$G171)&gt;0,
     COUNTIFS($AL$2:$AL$200,$G171)&gt;0,
     COUNTIFS($AM$2:$AM$200,$G171)&gt;0,
     COUNTIFS($AN$2:$AN$200,$G171)&gt;0,
     COUNTIFS($AO$2:$AO$200,$G171)&gt;0,
     COUNTIFS($AP$2:$AP$200,$G171)&gt;0,
     COUNTIFS($AQ$2:$AQ$200,$G171)&gt;0,
     COUNTIFS($AR$2:$AR$200,$G171)&gt;0,
     COUNTIFS($AS$2:$AS$200,$G171)&gt;0,
     COUNTIFS($AT$2:$AT$200,$G171)&gt;0,
     COUNTIFS($AU$2:$AU$200,$G171)&gt;0,
     COUNTIFS($AV$2:$AV$200,$G171)&gt;0,
     COUNTIFS($AW$2:$AW$200,$G171)&gt;0,
     COUNTIFS($AX$2:$AX$200,$G171)&gt;0,
     COUNTIFS($AY$2:$AY$200,$G171)&gt;0
   )),
  ),
  2
 ),
"")</f>
        <v/>
      </c>
      <c r="E171" s="2" t="str" cm="1">
        <f t="array" aca="1" ref="E171" ca="1">IFERROR(
 INDEX(
  _xlfn._xlws.FILTER($V$1:$AY$1,
   TRANSPOSE(
    CHOOSE({1;2;3;4;5;6;7;8;9;10;11;12;13;14;15;16;17;18;19;20;21;22;23;24;25;26;27;28;29;30},
     COUNTIFS($V$2:$V$200,$G171)&gt;0,
     COUNTIFS($W$2:$W$200,$G171)&gt;0,
     COUNTIFS($X$2:$X$200,$G171)&gt;0,
     COUNTIFS($Y$2:$Y$200,$G171)&gt;0,
     COUNTIFS($Z$2:$Z$200,$G171)&gt;0,
     COUNTIFS($AA$2:$AA$200,$G171)&gt;0,
     COUNTIFS($AB$2:$AB$200,$G171)&gt;0,
     COUNTIFS($AC$2:$AC$200,$G171)&gt;0,
     COUNTIFS($AD$2:$AD$200,$G171)&gt;0,
     COUNTIFS($AE$2:$AE$200,$G171)&gt;0,
     COUNTIFS($AF$2:$AF$200,$G171)&gt;0,
     COUNTIFS($AG$2:$AG$200,$G171)&gt;0,
     COUNTIFS($AH$2:$AH$200,$G171)&gt;0,
     COUNTIFS($AI$2:$AI$200,$G171)&gt;0,
     COUNTIFS($AJ$2:$AJ$200,$G171)&gt;0,
     COUNTIFS($AK$2:$AK$200,$G171)&gt;0,
     COUNTIFS($AL$2:$AL$200,$G171)&gt;0,
     COUNTIFS($AM$2:$AM$200,$G171)&gt;0,
     COUNTIFS($AN$2:$AN$200,$G171)&gt;0,
     COUNTIFS($AO$2:$AO$200,$G171)&gt;0,
     COUNTIFS($AP$2:$AP$200,$G171)&gt;0,
     COUNTIFS($AQ$2:$AQ$200,$G171)&gt;0,
     COUNTIFS($AR$2:$AR$200,$G171)&gt;0,
     COUNTIFS($AS$2:$AS$200,$G171)&gt;0,
     COUNTIFS($AT$2:$AT$200,$G171)&gt;0,
     COUNTIFS($AU$2:$AU$200,$G171)&gt;0,
     COUNTIFS($AV$2:$AV$200,$G171)&gt;0,
     COUNTIFS($AW$2:$AW$200,$G171)&gt;0,
     COUNTIFS($AX$2:$AX$200,$G171)&gt;0,
     COUNTIFS($AY$2:$AY$200,$G171)&gt;0
   )),
  ),
  3
 ),
"")</f>
        <v/>
      </c>
      <c r="F171" s="2" t="str" cm="1">
        <f t="array" aca="1" ref="F171" ca="1">IFERROR(
 INDEX(
  _xlfn._xlws.FILTER($V$1:$AY$1,
   TRANSPOSE(
    CHOOSE({1;2;3;4;5;6;7;8;9;10;11;12;13;14;15;16;17;18;19;20;21;22;23;24;25;26;27;28;29;30},
     COUNTIFS($V$2:$V$200,$G171)&gt;0,
     COUNTIFS($W$2:$W$200,$G171)&gt;0,
     COUNTIFS($X$2:$X$200,$G171)&gt;0,
     COUNTIFS($Y$2:$Y$200,$G171)&gt;0,
     COUNTIFS($Z$2:$Z$200,$G171)&gt;0,
     COUNTIFS($AA$2:$AA$200,$G171)&gt;0,
     COUNTIFS($AB$2:$AB$200,$G171)&gt;0,
     COUNTIFS($AC$2:$AC$200,$G171)&gt;0,
     COUNTIFS($AD$2:$AD$200,$G171)&gt;0,
     COUNTIFS($AE$2:$AE$200,$G171)&gt;0,
     COUNTIFS($AF$2:$AF$200,$G171)&gt;0,
     COUNTIFS($AG$2:$AG$200,$G171)&gt;0,
     COUNTIFS($AH$2:$AH$200,$G171)&gt;0,
     COUNTIFS($AI$2:$AI$200,$G171)&gt;0,
     COUNTIFS($AJ$2:$AJ$200,$G171)&gt;0,
     COUNTIFS($AK$2:$AK$200,$G171)&gt;0,
     COUNTIFS($AL$2:$AL$200,$G171)&gt;0,
     COUNTIFS($AM$2:$AM$200,$G171)&gt;0,
     COUNTIFS($AN$2:$AN$200,$G171)&gt;0,
     COUNTIFS($AO$2:$AO$200,$G171)&gt;0,
     COUNTIFS($AP$2:$AP$200,$G171)&gt;0,
     COUNTIFS($AQ$2:$AQ$200,$G171)&gt;0,
     COUNTIFS($AR$2:$AR$200,$G171)&gt;0,
     COUNTIFS($AS$2:$AS$200,$G171)&gt;0,
     COUNTIFS($AT$2:$AT$200,$G171)&gt;0,
     COUNTIFS($AU$2:$AU$200,$G171)&gt;0,
     COUNTIFS($AV$2:$AV$200,$G171)&gt;0,
     COUNTIFS($AW$2:$AW$200,$G171)&gt;0,
     COUNTIFS($AX$2:$AX$200,$G171)&gt;0,
     COUNTIFS($AY$2:$AY$200,$G171)&gt;0
   )),
  ),
  4
 ),
"")</f>
        <v/>
      </c>
      <c r="G171" t="str">
        <f ca="1"/>
        <v>Gathering Stone</v>
      </c>
      <c r="EP171" t="str">
        <f ca="1"/>
        <v>The Shire</v>
      </c>
      <c r="EQ171" t="str">
        <f ca="1"/>
        <v>Terra Eternal</v>
      </c>
      <c r="ER171" t="str">
        <f ca="1"/>
        <v>Temple of the False God</v>
      </c>
      <c r="EU171" t="str">
        <f ca="1"/>
        <v>Lithoform Engine</v>
      </c>
      <c r="EV171" t="str">
        <f ca="1"/>
        <v>Temple of the False God</v>
      </c>
      <c r="EX171" t="str">
        <f ca="1"/>
        <v>Gathering Stone</v>
      </c>
    </row>
    <row r="172" spans="1:154" x14ac:dyDescent="0.25">
      <c r="A172" s="2" t="str">
        <f t="shared" ca="1" si="10"/>
        <v>4</v>
      </c>
      <c r="B172" s="2">
        <f t="shared" ca="1" si="11"/>
        <v>2</v>
      </c>
      <c r="C172" s="2" t="str">
        <f ca="1">IFERROR(
 INDEX($V$1:$BL$1,
  MATCH(TRUE,
   CHOOSE({1;2;3;4;5;6;7;8;9;10;11;12;13;14;15;16;17;18;19;20;21;22;23;24;25;26;27;28;29;30;31;32;33;34;35;36;37;38;39;40;41;42;43},
    COUNTIFS($V$2:$V$200,$G172)&gt;0,
    COUNTIFS($W$2:$W$200,$G172)&gt;0,
    COUNTIFS($X$2:$X$200,$G172)&gt;0,
    COUNTIFS($Y$2:$Y$200,$G172)&gt;0,
    COUNTIFS($Z$2:$Z$200,$G172)&gt;0,
    COUNTIFS($AA$2:$AA$200,$G172)&gt;0,
    COUNTIFS($AB$2:$AB$200,$G172)&gt;0,
    COUNTIFS($AC$2:$AC$200,$G172)&gt;0,
    COUNTIFS($AD$2:$AD$200,$G172)&gt;0,
    COUNTIFS($AE$2:$AE$200,$G172)&gt;0,
    COUNTIFS($AF$2:$AF$200,$G172)&gt;0,
    COUNTIFS($AG$2:$AG$200,$G172)&gt;0,
    COUNTIFS($AH$2:$AH$200,$G172)&gt;0,
    COUNTIFS($AI$2:$AI$200,$G172)&gt;0,
    COUNTIFS($AJ$2:$AJ$200,$G172)&gt;0,
    COUNTIFS($AK$2:$AK$200,$G172)&gt;0,
    COUNTIFS($AL$2:$AL$200,$G172)&gt;0,
    COUNTIFS($AM$2:$AM$200,$G172)&gt;0,
    COUNTIFS($AN$2:$AN$200,$G172)&gt;0,
    COUNTIFS($AO$2:$AO$200,$G172)&gt;0,
    COUNTIFS($AP$2:$AP$200,$G172)&gt;0,
    COUNTIFS($AQ$2:$AQ$200,$G172)&gt;0,
    COUNTIFS($AR$2:$AR$200,$G172)&gt;0,
    COUNTIFS($AS$2:$AS$200,$G172)&gt;0,
    COUNTIFS($AT$2:$AT$200,$G172)&gt;0,
    COUNTIFS($AU$2:$AU$200,$G172)&gt;0,
    COUNTIFS($AV$2:$AV$200,$G172)&gt;0,
    COUNTIFS($AW$2:$AW$200,$G172)&gt;0,
    COUNTIFS($AX$2:$AX$200,$G172)&gt;0,
    COUNTIFS($AY$2:$AY$200,$G172)&gt;0,
    COUNTIFS($AZ$2:$AZ$200,$G172)&gt;0,
    COUNTIFS($BA$2:$BA$200,$G172)&gt;0,
    COUNTIFS($BB$2:$BB$200,$G172)&gt;0,
    COUNTIFS($BC$2:$BC$200,$G172)&gt;0,
    COUNTIFS($BD$2:$BD$200,$G172)&gt;0,
    COUNTIFS($BE$2:$BE$200,$G172)&gt;0,
    COUNTIFS($BF$2:$BF$200,$G172)&gt;0,
    COUNTIFS($BG$2:$BG$200,$G172)&gt;0,
    COUNTIFS($BH$2:$BH$200,$G172)&gt;0,
    COUNTIFS($BI$2:$BI$200,$G172)&gt;0,
    COUNTIFS($BJ$2:$BJ$200,$G172)&gt;0,
    COUNTIFS($BK$2:$BK$200,$G172)&gt;0,
    COUNTIFS($BL$2:$BL$200,$G172)&gt;0,
    COUNTIFS($BM$2:$BM$200,$G172)&gt;0,
   ),
  0)
 ),
"")</f>
        <v>Baylen</v>
      </c>
      <c r="D172" s="2" t="str" cm="1">
        <f t="array" aca="1" ref="D172" ca="1">IFERROR(
 INDEX(
  _xlfn._xlws.FILTER($V$1:$AY$1,
   TRANSPOSE(
    CHOOSE({1;2;3;4;5;6;7;8;9;10;11;12;13;14;15;16;17;18;19;20;21;22;23;24;25;26;27;28;29;30},
     COUNTIFS($V$2:$V$200,$G172)&gt;0,
     COUNTIFS($W$2:$W$200,$G172)&gt;0,
     COUNTIFS($X$2:$X$200,$G172)&gt;0,
     COUNTIFS($Y$2:$Y$200,$G172)&gt;0,
     COUNTIFS($Z$2:$Z$200,$G172)&gt;0,
     COUNTIFS($AA$2:$AA$200,$G172)&gt;0,
     COUNTIFS($AB$2:$AB$200,$G172)&gt;0,
     COUNTIFS($AC$2:$AC$200,$G172)&gt;0,
     COUNTIFS($AD$2:$AD$200,$G172)&gt;0,
     COUNTIFS($AE$2:$AE$200,$G172)&gt;0,
     COUNTIFS($AF$2:$AF$200,$G172)&gt;0,
     COUNTIFS($AG$2:$AG$200,$G172)&gt;0,
     COUNTIFS($AH$2:$AH$200,$G172)&gt;0,
     COUNTIFS($AI$2:$AI$200,$G172)&gt;0,
     COUNTIFS($AJ$2:$AJ$200,$G172)&gt;0,
     COUNTIFS($AK$2:$AK$200,$G172)&gt;0,
     COUNTIFS($AL$2:$AL$200,$G172)&gt;0,
     COUNTIFS($AM$2:$AM$200,$G172)&gt;0,
     COUNTIFS($AN$2:$AN$200,$G172)&gt;0,
     COUNTIFS($AO$2:$AO$200,$G172)&gt;0,
     COUNTIFS($AP$2:$AP$200,$G172)&gt;0,
     COUNTIFS($AQ$2:$AQ$200,$G172)&gt;0,
     COUNTIFS($AR$2:$AR$200,$G172)&gt;0,
     COUNTIFS($AS$2:$AS$200,$G172)&gt;0,
     COUNTIFS($AT$2:$AT$200,$G172)&gt;0,
     COUNTIFS($AU$2:$AU$200,$G172)&gt;0,
     COUNTIFS($AV$2:$AV$200,$G172)&gt;0,
     COUNTIFS($AW$2:$AW$200,$G172)&gt;0,
     COUNTIFS($AX$2:$AX$200,$G172)&gt;0,
     COUNTIFS($AY$2:$AY$200,$G172)&gt;0
   )),
  ),
  2
 ),
"")</f>
        <v>Tayam</v>
      </c>
      <c r="E172" s="2" t="str" cm="1">
        <f t="array" aca="1" ref="E172" ca="1">IFERROR(
 INDEX(
  _xlfn._xlws.FILTER($V$1:$AY$1,
   TRANSPOSE(
    CHOOSE({1;2;3;4;5;6;7;8;9;10;11;12;13;14;15;16;17;18;19;20;21;22;23;24;25;26;27;28;29;30},
     COUNTIFS($V$2:$V$200,$G172)&gt;0,
     COUNTIFS($W$2:$W$200,$G172)&gt;0,
     COUNTIFS($X$2:$X$200,$G172)&gt;0,
     COUNTIFS($Y$2:$Y$200,$G172)&gt;0,
     COUNTIFS($Z$2:$Z$200,$G172)&gt;0,
     COUNTIFS($AA$2:$AA$200,$G172)&gt;0,
     COUNTIFS($AB$2:$AB$200,$G172)&gt;0,
     COUNTIFS($AC$2:$AC$200,$G172)&gt;0,
     COUNTIFS($AD$2:$AD$200,$G172)&gt;0,
     COUNTIFS($AE$2:$AE$200,$G172)&gt;0,
     COUNTIFS($AF$2:$AF$200,$G172)&gt;0,
     COUNTIFS($AG$2:$AG$200,$G172)&gt;0,
     COUNTIFS($AH$2:$AH$200,$G172)&gt;0,
     COUNTIFS($AI$2:$AI$200,$G172)&gt;0,
     COUNTIFS($AJ$2:$AJ$200,$G172)&gt;0,
     COUNTIFS($AK$2:$AK$200,$G172)&gt;0,
     COUNTIFS($AL$2:$AL$200,$G172)&gt;0,
     COUNTIFS($AM$2:$AM$200,$G172)&gt;0,
     COUNTIFS($AN$2:$AN$200,$G172)&gt;0,
     COUNTIFS($AO$2:$AO$200,$G172)&gt;0,
     COUNTIFS($AP$2:$AP$200,$G172)&gt;0,
     COUNTIFS($AQ$2:$AQ$200,$G172)&gt;0,
     COUNTIFS($AR$2:$AR$200,$G172)&gt;0,
     COUNTIFS($AS$2:$AS$200,$G172)&gt;0,
     COUNTIFS($AT$2:$AT$200,$G172)&gt;0,
     COUNTIFS($AU$2:$AU$200,$G172)&gt;0,
     COUNTIFS($AV$2:$AV$200,$G172)&gt;0,
     COUNTIFS($AW$2:$AW$200,$G172)&gt;0,
     COUNTIFS($AX$2:$AX$200,$G172)&gt;0,
     COUNTIFS($AY$2:$AY$200,$G172)&gt;0
   )),
  ),
  3
 ),
"")</f>
        <v/>
      </c>
      <c r="F172" s="2" t="str" cm="1">
        <f t="array" aca="1" ref="F172" ca="1">IFERROR(
 INDEX(
  _xlfn._xlws.FILTER($V$1:$AY$1,
   TRANSPOSE(
    CHOOSE({1;2;3;4;5;6;7;8;9;10;11;12;13;14;15;16;17;18;19;20;21;22;23;24;25;26;27;28;29;30},
     COUNTIFS($V$2:$V$200,$G172)&gt;0,
     COUNTIFS($W$2:$W$200,$G172)&gt;0,
     COUNTIFS($X$2:$X$200,$G172)&gt;0,
     COUNTIFS($Y$2:$Y$200,$G172)&gt;0,
     COUNTIFS($Z$2:$Z$200,$G172)&gt;0,
     COUNTIFS($AA$2:$AA$200,$G172)&gt;0,
     COUNTIFS($AB$2:$AB$200,$G172)&gt;0,
     COUNTIFS($AC$2:$AC$200,$G172)&gt;0,
     COUNTIFS($AD$2:$AD$200,$G172)&gt;0,
     COUNTIFS($AE$2:$AE$200,$G172)&gt;0,
     COUNTIFS($AF$2:$AF$200,$G172)&gt;0,
     COUNTIFS($AG$2:$AG$200,$G172)&gt;0,
     COUNTIFS($AH$2:$AH$200,$G172)&gt;0,
     COUNTIFS($AI$2:$AI$200,$G172)&gt;0,
     COUNTIFS($AJ$2:$AJ$200,$G172)&gt;0,
     COUNTIFS($AK$2:$AK$200,$G172)&gt;0,
     COUNTIFS($AL$2:$AL$200,$G172)&gt;0,
     COUNTIFS($AM$2:$AM$200,$G172)&gt;0,
     COUNTIFS($AN$2:$AN$200,$G172)&gt;0,
     COUNTIFS($AO$2:$AO$200,$G172)&gt;0,
     COUNTIFS($AP$2:$AP$200,$G172)&gt;0,
     COUNTIFS($AQ$2:$AQ$200,$G172)&gt;0,
     COUNTIFS($AR$2:$AR$200,$G172)&gt;0,
     COUNTIFS($AS$2:$AS$200,$G172)&gt;0,
     COUNTIFS($AT$2:$AT$200,$G172)&gt;0,
     COUNTIFS($AU$2:$AU$200,$G172)&gt;0,
     COUNTIFS($AV$2:$AV$200,$G172)&gt;0,
     COUNTIFS($AW$2:$AW$200,$G172)&gt;0,
     COUNTIFS($AX$2:$AX$200,$G172)&gt;0,
     COUNTIFS($AY$2:$AY$200,$G172)&gt;0
   )),
  ),
  4
 ),
"")</f>
        <v/>
      </c>
      <c r="G172" t="str">
        <f ca="1"/>
        <v>Gavony Township</v>
      </c>
      <c r="EP172" t="str">
        <f ca="1"/>
        <v>The Tenth Doctor</v>
      </c>
      <c r="EQ172" t="str">
        <f ca="1"/>
        <v>The Cabbage Merchant</v>
      </c>
      <c r="ER172" t="str">
        <f ca="1"/>
        <v>Terminate</v>
      </c>
      <c r="EU172" t="str">
        <f ca="1"/>
        <v>Lolth, Spider Queen</v>
      </c>
      <c r="EV172" t="str">
        <f ca="1"/>
        <v>Terminate</v>
      </c>
      <c r="EX172" t="str">
        <f ca="1"/>
        <v>Gavony Township</v>
      </c>
    </row>
    <row r="173" spans="1:154" x14ac:dyDescent="0.25">
      <c r="A173" s="2" t="str">
        <f t="shared" ca="1" si="10"/>
        <v>5</v>
      </c>
      <c r="B173" s="2">
        <f t="shared" ca="1" si="11"/>
        <v>1</v>
      </c>
      <c r="C173" s="2" t="str">
        <f ca="1">IFERROR(
 INDEX($V$1:$BL$1,
  MATCH(TRUE,
   CHOOSE({1;2;3;4;5;6;7;8;9;10;11;12;13;14;15;16;17;18;19;20;21;22;23;24;25;26;27;28;29;30;31;32;33;34;35;36;37;38;39;40;41;42;43},
    COUNTIFS($V$2:$V$200,$G173)&gt;0,
    COUNTIFS($W$2:$W$200,$G173)&gt;0,
    COUNTIFS($X$2:$X$200,$G173)&gt;0,
    COUNTIFS($Y$2:$Y$200,$G173)&gt;0,
    COUNTIFS($Z$2:$Z$200,$G173)&gt;0,
    COUNTIFS($AA$2:$AA$200,$G173)&gt;0,
    COUNTIFS($AB$2:$AB$200,$G173)&gt;0,
    COUNTIFS($AC$2:$AC$200,$G173)&gt;0,
    COUNTIFS($AD$2:$AD$200,$G173)&gt;0,
    COUNTIFS($AE$2:$AE$200,$G173)&gt;0,
    COUNTIFS($AF$2:$AF$200,$G173)&gt;0,
    COUNTIFS($AG$2:$AG$200,$G173)&gt;0,
    COUNTIFS($AH$2:$AH$200,$G173)&gt;0,
    COUNTIFS($AI$2:$AI$200,$G173)&gt;0,
    COUNTIFS($AJ$2:$AJ$200,$G173)&gt;0,
    COUNTIFS($AK$2:$AK$200,$G173)&gt;0,
    COUNTIFS($AL$2:$AL$200,$G173)&gt;0,
    COUNTIFS($AM$2:$AM$200,$G173)&gt;0,
    COUNTIFS($AN$2:$AN$200,$G173)&gt;0,
    COUNTIFS($AO$2:$AO$200,$G173)&gt;0,
    COUNTIFS($AP$2:$AP$200,$G173)&gt;0,
    COUNTIFS($AQ$2:$AQ$200,$G173)&gt;0,
    COUNTIFS($AR$2:$AR$200,$G173)&gt;0,
    COUNTIFS($AS$2:$AS$200,$G173)&gt;0,
    COUNTIFS($AT$2:$AT$200,$G173)&gt;0,
    COUNTIFS($AU$2:$AU$200,$G173)&gt;0,
    COUNTIFS($AV$2:$AV$200,$G173)&gt;0,
    COUNTIFS($AW$2:$AW$200,$G173)&gt;0,
    COUNTIFS($AX$2:$AX$200,$G173)&gt;0,
    COUNTIFS($AY$2:$AY$200,$G173)&gt;0,
    COUNTIFS($AZ$2:$AZ$200,$G173)&gt;0,
    COUNTIFS($BA$2:$BA$200,$G173)&gt;0,
    COUNTIFS($BB$2:$BB$200,$G173)&gt;0,
    COUNTIFS($BC$2:$BC$200,$G173)&gt;0,
    COUNTIFS($BD$2:$BD$200,$G173)&gt;0,
    COUNTIFS($BE$2:$BE$200,$G173)&gt;0,
    COUNTIFS($BF$2:$BF$200,$G173)&gt;0,
    COUNTIFS($BG$2:$BG$200,$G173)&gt;0,
    COUNTIFS($BH$2:$BH$200,$G173)&gt;0,
    COUNTIFS($BI$2:$BI$200,$G173)&gt;0,
    COUNTIFS($BJ$2:$BJ$200,$G173)&gt;0,
    COUNTIFS($BK$2:$BK$200,$G173)&gt;0,
    COUNTIFS($BL$2:$BL$200,$G173)&gt;0,
    COUNTIFS($BM$2:$BM$200,$G173)&gt;0,
   ),
  0)
 ),
"")</f>
        <v>Fractius</v>
      </c>
      <c r="D173" s="2" t="str" cm="1">
        <f t="array" aca="1" ref="D173" ca="1">IFERROR(
 INDEX(
  _xlfn._xlws.FILTER($V$1:$AY$1,
   TRANSPOSE(
    CHOOSE({1;2;3;4;5;6;7;8;9;10;11;12;13;14;15;16;17;18;19;20;21;22;23;24;25;26;27;28;29;30},
     COUNTIFS($V$2:$V$200,$G173)&gt;0,
     COUNTIFS($W$2:$W$200,$G173)&gt;0,
     COUNTIFS($X$2:$X$200,$G173)&gt;0,
     COUNTIFS($Y$2:$Y$200,$G173)&gt;0,
     COUNTIFS($Z$2:$Z$200,$G173)&gt;0,
     COUNTIFS($AA$2:$AA$200,$G173)&gt;0,
     COUNTIFS($AB$2:$AB$200,$G173)&gt;0,
     COUNTIFS($AC$2:$AC$200,$G173)&gt;0,
     COUNTIFS($AD$2:$AD$200,$G173)&gt;0,
     COUNTIFS($AE$2:$AE$200,$G173)&gt;0,
     COUNTIFS($AF$2:$AF$200,$G173)&gt;0,
     COUNTIFS($AG$2:$AG$200,$G173)&gt;0,
     COUNTIFS($AH$2:$AH$200,$G173)&gt;0,
     COUNTIFS($AI$2:$AI$200,$G173)&gt;0,
     COUNTIFS($AJ$2:$AJ$200,$G173)&gt;0,
     COUNTIFS($AK$2:$AK$200,$G173)&gt;0,
     COUNTIFS($AL$2:$AL$200,$G173)&gt;0,
     COUNTIFS($AM$2:$AM$200,$G173)&gt;0,
     COUNTIFS($AN$2:$AN$200,$G173)&gt;0,
     COUNTIFS($AO$2:$AO$200,$G173)&gt;0,
     COUNTIFS($AP$2:$AP$200,$G173)&gt;0,
     COUNTIFS($AQ$2:$AQ$200,$G173)&gt;0,
     COUNTIFS($AR$2:$AR$200,$G173)&gt;0,
     COUNTIFS($AS$2:$AS$200,$G173)&gt;0,
     COUNTIFS($AT$2:$AT$200,$G173)&gt;0,
     COUNTIFS($AU$2:$AU$200,$G173)&gt;0,
     COUNTIFS($AV$2:$AV$200,$G173)&gt;0,
     COUNTIFS($AW$2:$AW$200,$G173)&gt;0,
     COUNTIFS($AX$2:$AX$200,$G173)&gt;0,
     COUNTIFS($AY$2:$AY$200,$G173)&gt;0
   )),
  ),
  2
 ),
"")</f>
        <v/>
      </c>
      <c r="E173" s="2" t="str" cm="1">
        <f t="array" aca="1" ref="E173" ca="1">IFERROR(
 INDEX(
  _xlfn._xlws.FILTER($V$1:$AY$1,
   TRANSPOSE(
    CHOOSE({1;2;3;4;5;6;7;8;9;10;11;12;13;14;15;16;17;18;19;20;21;22;23;24;25;26;27;28;29;30},
     COUNTIFS($V$2:$V$200,$G173)&gt;0,
     COUNTIFS($W$2:$W$200,$G173)&gt;0,
     COUNTIFS($X$2:$X$200,$G173)&gt;0,
     COUNTIFS($Y$2:$Y$200,$G173)&gt;0,
     COUNTIFS($Z$2:$Z$200,$G173)&gt;0,
     COUNTIFS($AA$2:$AA$200,$G173)&gt;0,
     COUNTIFS($AB$2:$AB$200,$G173)&gt;0,
     COUNTIFS($AC$2:$AC$200,$G173)&gt;0,
     COUNTIFS($AD$2:$AD$200,$G173)&gt;0,
     COUNTIFS($AE$2:$AE$200,$G173)&gt;0,
     COUNTIFS($AF$2:$AF$200,$G173)&gt;0,
     COUNTIFS($AG$2:$AG$200,$G173)&gt;0,
     COUNTIFS($AH$2:$AH$200,$G173)&gt;0,
     COUNTIFS($AI$2:$AI$200,$G173)&gt;0,
     COUNTIFS($AJ$2:$AJ$200,$G173)&gt;0,
     COUNTIFS($AK$2:$AK$200,$G173)&gt;0,
     COUNTIFS($AL$2:$AL$200,$G173)&gt;0,
     COUNTIFS($AM$2:$AM$200,$G173)&gt;0,
     COUNTIFS($AN$2:$AN$200,$G173)&gt;0,
     COUNTIFS($AO$2:$AO$200,$G173)&gt;0,
     COUNTIFS($AP$2:$AP$200,$G173)&gt;0,
     COUNTIFS($AQ$2:$AQ$200,$G173)&gt;0,
     COUNTIFS($AR$2:$AR$200,$G173)&gt;0,
     COUNTIFS($AS$2:$AS$200,$G173)&gt;0,
     COUNTIFS($AT$2:$AT$200,$G173)&gt;0,
     COUNTIFS($AU$2:$AU$200,$G173)&gt;0,
     COUNTIFS($AV$2:$AV$200,$G173)&gt;0,
     COUNTIFS($AW$2:$AW$200,$G173)&gt;0,
     COUNTIFS($AX$2:$AX$200,$G173)&gt;0,
     COUNTIFS($AY$2:$AY$200,$G173)&gt;0
   )),
  ),
  3
 ),
"")</f>
        <v/>
      </c>
      <c r="F173" s="2" t="str" cm="1">
        <f t="array" aca="1" ref="F173" ca="1">IFERROR(
 INDEX(
  _xlfn._xlws.FILTER($V$1:$AY$1,
   TRANSPOSE(
    CHOOSE({1;2;3;4;5;6;7;8;9;10;11;12;13;14;15;16;17;18;19;20;21;22;23;24;25;26;27;28;29;30},
     COUNTIFS($V$2:$V$200,$G173)&gt;0,
     COUNTIFS($W$2:$W$200,$G173)&gt;0,
     COUNTIFS($X$2:$X$200,$G173)&gt;0,
     COUNTIFS($Y$2:$Y$200,$G173)&gt;0,
     COUNTIFS($Z$2:$Z$200,$G173)&gt;0,
     COUNTIFS($AA$2:$AA$200,$G173)&gt;0,
     COUNTIFS($AB$2:$AB$200,$G173)&gt;0,
     COUNTIFS($AC$2:$AC$200,$G173)&gt;0,
     COUNTIFS($AD$2:$AD$200,$G173)&gt;0,
     COUNTIFS($AE$2:$AE$200,$G173)&gt;0,
     COUNTIFS($AF$2:$AF$200,$G173)&gt;0,
     COUNTIFS($AG$2:$AG$200,$G173)&gt;0,
     COUNTIFS($AH$2:$AH$200,$G173)&gt;0,
     COUNTIFS($AI$2:$AI$200,$G173)&gt;0,
     COUNTIFS($AJ$2:$AJ$200,$G173)&gt;0,
     COUNTIFS($AK$2:$AK$200,$G173)&gt;0,
     COUNTIFS($AL$2:$AL$200,$G173)&gt;0,
     COUNTIFS($AM$2:$AM$200,$G173)&gt;0,
     COUNTIFS($AN$2:$AN$200,$G173)&gt;0,
     COUNTIFS($AO$2:$AO$200,$G173)&gt;0,
     COUNTIFS($AP$2:$AP$200,$G173)&gt;0,
     COUNTIFS($AQ$2:$AQ$200,$G173)&gt;0,
     COUNTIFS($AR$2:$AR$200,$G173)&gt;0,
     COUNTIFS($AS$2:$AS$200,$G173)&gt;0,
     COUNTIFS($AT$2:$AT$200,$G173)&gt;0,
     COUNTIFS($AU$2:$AU$200,$G173)&gt;0,
     COUNTIFS($AV$2:$AV$200,$G173)&gt;0,
     COUNTIFS($AW$2:$AW$200,$G173)&gt;0,
     COUNTIFS($AX$2:$AX$200,$G173)&gt;0,
     COUNTIFS($AY$2:$AY$200,$G173)&gt;0
   )),
  ),
  4
 ),
"")</f>
        <v/>
      </c>
      <c r="G173" t="str">
        <f ca="1"/>
        <v>Gemhide Sliver</v>
      </c>
      <c r="EP173" t="str">
        <f ca="1"/>
        <v>The Water Crystal</v>
      </c>
      <c r="EQ173" t="str">
        <f ca="1"/>
        <v>The First Sliver</v>
      </c>
      <c r="ER173" t="str">
        <f ca="1"/>
        <v>Teysa Karlov</v>
      </c>
      <c r="EU173" t="str">
        <f ca="1"/>
        <v>Long Feng, Grand Secretariat</v>
      </c>
      <c r="EV173" t="str">
        <f ca="1"/>
        <v>Teysa Karlov</v>
      </c>
      <c r="EX173" t="str">
        <f ca="1"/>
        <v>Gemhide Sliver</v>
      </c>
    </row>
    <row r="174" spans="1:154" x14ac:dyDescent="0.25">
      <c r="A174" s="2" t="str">
        <f t="shared" ca="1" si="10"/>
        <v>5</v>
      </c>
      <c r="B174" s="2">
        <f t="shared" ca="1" si="11"/>
        <v>1</v>
      </c>
      <c r="C174" s="2" t="str">
        <f ca="1">IFERROR(
 INDEX($V$1:$BL$1,
  MATCH(TRUE,
   CHOOSE({1;2;3;4;5;6;7;8;9;10;11;12;13;14;15;16;17;18;19;20;21;22;23;24;25;26;27;28;29;30;31;32;33;34;35;36;37;38;39;40;41;42;43},
    COUNTIFS($V$2:$V$200,$G174)&gt;0,
    COUNTIFS($W$2:$W$200,$G174)&gt;0,
    COUNTIFS($X$2:$X$200,$G174)&gt;0,
    COUNTIFS($Y$2:$Y$200,$G174)&gt;0,
    COUNTIFS($Z$2:$Z$200,$G174)&gt;0,
    COUNTIFS($AA$2:$AA$200,$G174)&gt;0,
    COUNTIFS($AB$2:$AB$200,$G174)&gt;0,
    COUNTIFS($AC$2:$AC$200,$G174)&gt;0,
    COUNTIFS($AD$2:$AD$200,$G174)&gt;0,
    COUNTIFS($AE$2:$AE$200,$G174)&gt;0,
    COUNTIFS($AF$2:$AF$200,$G174)&gt;0,
    COUNTIFS($AG$2:$AG$200,$G174)&gt;0,
    COUNTIFS($AH$2:$AH$200,$G174)&gt;0,
    COUNTIFS($AI$2:$AI$200,$G174)&gt;0,
    COUNTIFS($AJ$2:$AJ$200,$G174)&gt;0,
    COUNTIFS($AK$2:$AK$200,$G174)&gt;0,
    COUNTIFS($AL$2:$AL$200,$G174)&gt;0,
    COUNTIFS($AM$2:$AM$200,$G174)&gt;0,
    COUNTIFS($AN$2:$AN$200,$G174)&gt;0,
    COUNTIFS($AO$2:$AO$200,$G174)&gt;0,
    COUNTIFS($AP$2:$AP$200,$G174)&gt;0,
    COUNTIFS($AQ$2:$AQ$200,$G174)&gt;0,
    COUNTIFS($AR$2:$AR$200,$G174)&gt;0,
    COUNTIFS($AS$2:$AS$200,$G174)&gt;0,
    COUNTIFS($AT$2:$AT$200,$G174)&gt;0,
    COUNTIFS($AU$2:$AU$200,$G174)&gt;0,
    COUNTIFS($AV$2:$AV$200,$G174)&gt;0,
    COUNTIFS($AW$2:$AW$200,$G174)&gt;0,
    COUNTIFS($AX$2:$AX$200,$G174)&gt;0,
    COUNTIFS($AY$2:$AY$200,$G174)&gt;0,
    COUNTIFS($AZ$2:$AZ$200,$G174)&gt;0,
    COUNTIFS($BA$2:$BA$200,$G174)&gt;0,
    COUNTIFS($BB$2:$BB$200,$G174)&gt;0,
    COUNTIFS($BC$2:$BC$200,$G174)&gt;0,
    COUNTIFS($BD$2:$BD$200,$G174)&gt;0,
    COUNTIFS($BE$2:$BE$200,$G174)&gt;0,
    COUNTIFS($BF$2:$BF$200,$G174)&gt;0,
    COUNTIFS($BG$2:$BG$200,$G174)&gt;0,
    COUNTIFS($BH$2:$BH$200,$G174)&gt;0,
    COUNTIFS($BI$2:$BI$200,$G174)&gt;0,
    COUNTIFS($BJ$2:$BJ$200,$G174)&gt;0,
    COUNTIFS($BK$2:$BK$200,$G174)&gt;0,
    COUNTIFS($BL$2:$BL$200,$G174)&gt;0,
    COUNTIFS($BM$2:$BM$200,$G174)&gt;0,
   ),
  0)
 ),
"")</f>
        <v>Zuko</v>
      </c>
      <c r="D174" s="2" t="str" cm="1">
        <f t="array" aca="1" ref="D174" ca="1">IFERROR(
 INDEX(
  _xlfn._xlws.FILTER($V$1:$AY$1,
   TRANSPOSE(
    CHOOSE({1;2;3;4;5;6;7;8;9;10;11;12;13;14;15;16;17;18;19;20;21;22;23;24;25;26;27;28;29;30},
     COUNTIFS($V$2:$V$200,$G174)&gt;0,
     COUNTIFS($W$2:$W$200,$G174)&gt;0,
     COUNTIFS($X$2:$X$200,$G174)&gt;0,
     COUNTIFS($Y$2:$Y$200,$G174)&gt;0,
     COUNTIFS($Z$2:$Z$200,$G174)&gt;0,
     COUNTIFS($AA$2:$AA$200,$G174)&gt;0,
     COUNTIFS($AB$2:$AB$200,$G174)&gt;0,
     COUNTIFS($AC$2:$AC$200,$G174)&gt;0,
     COUNTIFS($AD$2:$AD$200,$G174)&gt;0,
     COUNTIFS($AE$2:$AE$200,$G174)&gt;0,
     COUNTIFS($AF$2:$AF$200,$G174)&gt;0,
     COUNTIFS($AG$2:$AG$200,$G174)&gt;0,
     COUNTIFS($AH$2:$AH$200,$G174)&gt;0,
     COUNTIFS($AI$2:$AI$200,$G174)&gt;0,
     COUNTIFS($AJ$2:$AJ$200,$G174)&gt;0,
     COUNTIFS($AK$2:$AK$200,$G174)&gt;0,
     COUNTIFS($AL$2:$AL$200,$G174)&gt;0,
     COUNTIFS($AM$2:$AM$200,$G174)&gt;0,
     COUNTIFS($AN$2:$AN$200,$G174)&gt;0,
     COUNTIFS($AO$2:$AO$200,$G174)&gt;0,
     COUNTIFS($AP$2:$AP$200,$G174)&gt;0,
     COUNTIFS($AQ$2:$AQ$200,$G174)&gt;0,
     COUNTIFS($AR$2:$AR$200,$G174)&gt;0,
     COUNTIFS($AS$2:$AS$200,$G174)&gt;0,
     COUNTIFS($AT$2:$AT$200,$G174)&gt;0,
     COUNTIFS($AU$2:$AU$200,$G174)&gt;0,
     COUNTIFS($AV$2:$AV$200,$G174)&gt;0,
     COUNTIFS($AW$2:$AW$200,$G174)&gt;0,
     COUNTIFS($AX$2:$AX$200,$G174)&gt;0,
     COUNTIFS($AY$2:$AY$200,$G174)&gt;0
   )),
  ),
  2
 ),
"")</f>
        <v/>
      </c>
      <c r="E174" s="2" t="str" cm="1">
        <f t="array" aca="1" ref="E174" ca="1">IFERROR(
 INDEX(
  _xlfn._xlws.FILTER($V$1:$AY$1,
   TRANSPOSE(
    CHOOSE({1;2;3;4;5;6;7;8;9;10;11;12;13;14;15;16;17;18;19;20;21;22;23;24;25;26;27;28;29;30},
     COUNTIFS($V$2:$V$200,$G174)&gt;0,
     COUNTIFS($W$2:$W$200,$G174)&gt;0,
     COUNTIFS($X$2:$X$200,$G174)&gt;0,
     COUNTIFS($Y$2:$Y$200,$G174)&gt;0,
     COUNTIFS($Z$2:$Z$200,$G174)&gt;0,
     COUNTIFS($AA$2:$AA$200,$G174)&gt;0,
     COUNTIFS($AB$2:$AB$200,$G174)&gt;0,
     COUNTIFS($AC$2:$AC$200,$G174)&gt;0,
     COUNTIFS($AD$2:$AD$200,$G174)&gt;0,
     COUNTIFS($AE$2:$AE$200,$G174)&gt;0,
     COUNTIFS($AF$2:$AF$200,$G174)&gt;0,
     COUNTIFS($AG$2:$AG$200,$G174)&gt;0,
     COUNTIFS($AH$2:$AH$200,$G174)&gt;0,
     COUNTIFS($AI$2:$AI$200,$G174)&gt;0,
     COUNTIFS($AJ$2:$AJ$200,$G174)&gt;0,
     COUNTIFS($AK$2:$AK$200,$G174)&gt;0,
     COUNTIFS($AL$2:$AL$200,$G174)&gt;0,
     COUNTIFS($AM$2:$AM$200,$G174)&gt;0,
     COUNTIFS($AN$2:$AN$200,$G174)&gt;0,
     COUNTIFS($AO$2:$AO$200,$G174)&gt;0,
     COUNTIFS($AP$2:$AP$200,$G174)&gt;0,
     COUNTIFS($AQ$2:$AQ$200,$G174)&gt;0,
     COUNTIFS($AR$2:$AR$200,$G174)&gt;0,
     COUNTIFS($AS$2:$AS$200,$G174)&gt;0,
     COUNTIFS($AT$2:$AT$200,$G174)&gt;0,
     COUNTIFS($AU$2:$AU$200,$G174)&gt;0,
     COUNTIFS($AV$2:$AV$200,$G174)&gt;0,
     COUNTIFS($AW$2:$AW$200,$G174)&gt;0,
     COUNTIFS($AX$2:$AX$200,$G174)&gt;0,
     COUNTIFS($AY$2:$AY$200,$G174)&gt;0
   )),
  ),
  3
 ),
"")</f>
        <v/>
      </c>
      <c r="F174" s="2" t="str" cm="1">
        <f t="array" aca="1" ref="F174" ca="1">IFERROR(
 INDEX(
  _xlfn._xlws.FILTER($V$1:$AY$1,
   TRANSPOSE(
    CHOOSE({1;2;3;4;5;6;7;8;9;10;11;12;13;14;15;16;17;18;19;20;21;22;23;24;25;26;27;28;29;30},
     COUNTIFS($V$2:$V$200,$G174)&gt;0,
     COUNTIFS($W$2:$W$200,$G174)&gt;0,
     COUNTIFS($X$2:$X$200,$G174)&gt;0,
     COUNTIFS($Y$2:$Y$200,$G174)&gt;0,
     COUNTIFS($Z$2:$Z$200,$G174)&gt;0,
     COUNTIFS($AA$2:$AA$200,$G174)&gt;0,
     COUNTIFS($AB$2:$AB$200,$G174)&gt;0,
     COUNTIFS($AC$2:$AC$200,$G174)&gt;0,
     COUNTIFS($AD$2:$AD$200,$G174)&gt;0,
     COUNTIFS($AE$2:$AE$200,$G174)&gt;0,
     COUNTIFS($AF$2:$AF$200,$G174)&gt;0,
     COUNTIFS($AG$2:$AG$200,$G174)&gt;0,
     COUNTIFS($AH$2:$AH$200,$G174)&gt;0,
     COUNTIFS($AI$2:$AI$200,$G174)&gt;0,
     COUNTIFS($AJ$2:$AJ$200,$G174)&gt;0,
     COUNTIFS($AK$2:$AK$200,$G174)&gt;0,
     COUNTIFS($AL$2:$AL$200,$G174)&gt;0,
     COUNTIFS($AM$2:$AM$200,$G174)&gt;0,
     COUNTIFS($AN$2:$AN$200,$G174)&gt;0,
     COUNTIFS($AO$2:$AO$200,$G174)&gt;0,
     COUNTIFS($AP$2:$AP$200,$G174)&gt;0,
     COUNTIFS($AQ$2:$AQ$200,$G174)&gt;0,
     COUNTIFS($AR$2:$AR$200,$G174)&gt;0,
     COUNTIFS($AS$2:$AS$200,$G174)&gt;0,
     COUNTIFS($AT$2:$AT$200,$G174)&gt;0,
     COUNTIFS($AU$2:$AU$200,$G174)&gt;0,
     COUNTIFS($AV$2:$AV$200,$G174)&gt;0,
     COUNTIFS($AW$2:$AW$200,$G174)&gt;0,
     COUNTIFS($AX$2:$AX$200,$G174)&gt;0,
     COUNTIFS($AY$2:$AY$200,$G174)&gt;0
   )),
  ),
  4
 ),
"")</f>
        <v/>
      </c>
      <c r="G174" t="str">
        <f ca="1"/>
        <v>Generous Gift</v>
      </c>
      <c r="EP174" t="str">
        <f ca="1"/>
        <v>Thousand-Year Elixir</v>
      </c>
      <c r="EQ174" t="str">
        <f ca="1"/>
        <v>The Gold Saucer</v>
      </c>
      <c r="ER174" t="str">
        <f ca="1"/>
        <v>Teysa, Opulent Oligarch</v>
      </c>
      <c r="EU174" t="str">
        <f ca="1"/>
        <v>Lord of Atlantis</v>
      </c>
      <c r="EV174" t="str">
        <f ca="1"/>
        <v>Teysa, Opulent Oligarch</v>
      </c>
      <c r="EX174" t="str">
        <f ca="1"/>
        <v>Generous Gift</v>
      </c>
    </row>
    <row r="175" spans="1:154" x14ac:dyDescent="0.25">
      <c r="A175" s="2" t="str">
        <f t="shared" ca="1" si="10"/>
        <v>4</v>
      </c>
      <c r="B175" s="2">
        <f t="shared" ca="1" si="11"/>
        <v>1</v>
      </c>
      <c r="C175" s="2" t="str">
        <f ca="1">IFERROR(
 INDEX($V$1:$BL$1,
  MATCH(TRUE,
   CHOOSE({1;2;3;4;5;6;7;8;9;10;11;12;13;14;15;16;17;18;19;20;21;22;23;24;25;26;27;28;29;30;31;32;33;34;35;36;37;38;39;40;41;42;43},
    COUNTIFS($V$2:$V$200,$G175)&gt;0,
    COUNTIFS($W$2:$W$200,$G175)&gt;0,
    COUNTIFS($X$2:$X$200,$G175)&gt;0,
    COUNTIFS($Y$2:$Y$200,$G175)&gt;0,
    COUNTIFS($Z$2:$Z$200,$G175)&gt;0,
    COUNTIFS($AA$2:$AA$200,$G175)&gt;0,
    COUNTIFS($AB$2:$AB$200,$G175)&gt;0,
    COUNTIFS($AC$2:$AC$200,$G175)&gt;0,
    COUNTIFS($AD$2:$AD$200,$G175)&gt;0,
    COUNTIFS($AE$2:$AE$200,$G175)&gt;0,
    COUNTIFS($AF$2:$AF$200,$G175)&gt;0,
    COUNTIFS($AG$2:$AG$200,$G175)&gt;0,
    COUNTIFS($AH$2:$AH$200,$G175)&gt;0,
    COUNTIFS($AI$2:$AI$200,$G175)&gt;0,
    COUNTIFS($AJ$2:$AJ$200,$G175)&gt;0,
    COUNTIFS($AK$2:$AK$200,$G175)&gt;0,
    COUNTIFS($AL$2:$AL$200,$G175)&gt;0,
    COUNTIFS($AM$2:$AM$200,$G175)&gt;0,
    COUNTIFS($AN$2:$AN$200,$G175)&gt;0,
    COUNTIFS($AO$2:$AO$200,$G175)&gt;0,
    COUNTIFS($AP$2:$AP$200,$G175)&gt;0,
    COUNTIFS($AQ$2:$AQ$200,$G175)&gt;0,
    COUNTIFS($AR$2:$AR$200,$G175)&gt;0,
    COUNTIFS($AS$2:$AS$200,$G175)&gt;0,
    COUNTIFS($AT$2:$AT$200,$G175)&gt;0,
    COUNTIFS($AU$2:$AU$200,$G175)&gt;0,
    COUNTIFS($AV$2:$AV$200,$G175)&gt;0,
    COUNTIFS($AW$2:$AW$200,$G175)&gt;0,
    COUNTIFS($AX$2:$AX$200,$G175)&gt;0,
    COUNTIFS($AY$2:$AY$200,$G175)&gt;0,
    COUNTIFS($AZ$2:$AZ$200,$G175)&gt;0,
    COUNTIFS($BA$2:$BA$200,$G175)&gt;0,
    COUNTIFS($BB$2:$BB$200,$G175)&gt;0,
    COUNTIFS($BC$2:$BC$200,$G175)&gt;0,
    COUNTIFS($BD$2:$BD$200,$G175)&gt;0,
    COUNTIFS($BE$2:$BE$200,$G175)&gt;0,
    COUNTIFS($BF$2:$BF$200,$G175)&gt;0,
    COUNTIFS($BG$2:$BG$200,$G175)&gt;0,
    COUNTIFS($BH$2:$BH$200,$G175)&gt;0,
    COUNTIFS($BI$2:$BI$200,$G175)&gt;0,
    COUNTIFS($BJ$2:$BJ$200,$G175)&gt;0,
    COUNTIFS($BK$2:$BK$200,$G175)&gt;0,
    COUNTIFS($BL$2:$BL$200,$G175)&gt;0,
    COUNTIFS($BM$2:$BM$200,$G175)&gt;0,
   ),
  0)
 ),
"")</f>
        <v>Ool</v>
      </c>
      <c r="D175" s="2" t="str" cm="1">
        <f t="array" aca="1" ref="D175" ca="1">IFERROR(
 INDEX(
  _xlfn._xlws.FILTER($V$1:$AY$1,
   TRANSPOSE(
    CHOOSE({1;2;3;4;5;6;7;8;9;10;11;12;13;14;15;16;17;18;19;20;21;22;23;24;25;26;27;28;29;30},
     COUNTIFS($V$2:$V$200,$G175)&gt;0,
     COUNTIFS($W$2:$W$200,$G175)&gt;0,
     COUNTIFS($X$2:$X$200,$G175)&gt;0,
     COUNTIFS($Y$2:$Y$200,$G175)&gt;0,
     COUNTIFS($Z$2:$Z$200,$G175)&gt;0,
     COUNTIFS($AA$2:$AA$200,$G175)&gt;0,
     COUNTIFS($AB$2:$AB$200,$G175)&gt;0,
     COUNTIFS($AC$2:$AC$200,$G175)&gt;0,
     COUNTIFS($AD$2:$AD$200,$G175)&gt;0,
     COUNTIFS($AE$2:$AE$200,$G175)&gt;0,
     COUNTIFS($AF$2:$AF$200,$G175)&gt;0,
     COUNTIFS($AG$2:$AG$200,$G175)&gt;0,
     COUNTIFS($AH$2:$AH$200,$G175)&gt;0,
     COUNTIFS($AI$2:$AI$200,$G175)&gt;0,
     COUNTIFS($AJ$2:$AJ$200,$G175)&gt;0,
     COUNTIFS($AK$2:$AK$200,$G175)&gt;0,
     COUNTIFS($AL$2:$AL$200,$G175)&gt;0,
     COUNTIFS($AM$2:$AM$200,$G175)&gt;0,
     COUNTIFS($AN$2:$AN$200,$G175)&gt;0,
     COUNTIFS($AO$2:$AO$200,$G175)&gt;0,
     COUNTIFS($AP$2:$AP$200,$G175)&gt;0,
     COUNTIFS($AQ$2:$AQ$200,$G175)&gt;0,
     COUNTIFS($AR$2:$AR$200,$G175)&gt;0,
     COUNTIFS($AS$2:$AS$200,$G175)&gt;0,
     COUNTIFS($AT$2:$AT$200,$G175)&gt;0,
     COUNTIFS($AU$2:$AU$200,$G175)&gt;0,
     COUNTIFS($AV$2:$AV$200,$G175)&gt;0,
     COUNTIFS($AW$2:$AW$200,$G175)&gt;0,
     COUNTIFS($AX$2:$AX$200,$G175)&gt;0,
     COUNTIFS($AY$2:$AY$200,$G175)&gt;0
   )),
  ),
  2
 ),
"")</f>
        <v/>
      </c>
      <c r="E175" s="2" t="str" cm="1">
        <f t="array" aca="1" ref="E175" ca="1">IFERROR(
 INDEX(
  _xlfn._xlws.FILTER($V$1:$AY$1,
   TRANSPOSE(
    CHOOSE({1;2;3;4;5;6;7;8;9;10;11;12;13;14;15;16;17;18;19;20;21;22;23;24;25;26;27;28;29;30},
     COUNTIFS($V$2:$V$200,$G175)&gt;0,
     COUNTIFS($W$2:$W$200,$G175)&gt;0,
     COUNTIFS($X$2:$X$200,$G175)&gt;0,
     COUNTIFS($Y$2:$Y$200,$G175)&gt;0,
     COUNTIFS($Z$2:$Z$200,$G175)&gt;0,
     COUNTIFS($AA$2:$AA$200,$G175)&gt;0,
     COUNTIFS($AB$2:$AB$200,$G175)&gt;0,
     COUNTIFS($AC$2:$AC$200,$G175)&gt;0,
     COUNTIFS($AD$2:$AD$200,$G175)&gt;0,
     COUNTIFS($AE$2:$AE$200,$G175)&gt;0,
     COUNTIFS($AF$2:$AF$200,$G175)&gt;0,
     COUNTIFS($AG$2:$AG$200,$G175)&gt;0,
     COUNTIFS($AH$2:$AH$200,$G175)&gt;0,
     COUNTIFS($AI$2:$AI$200,$G175)&gt;0,
     COUNTIFS($AJ$2:$AJ$200,$G175)&gt;0,
     COUNTIFS($AK$2:$AK$200,$G175)&gt;0,
     COUNTIFS($AL$2:$AL$200,$G175)&gt;0,
     COUNTIFS($AM$2:$AM$200,$G175)&gt;0,
     COUNTIFS($AN$2:$AN$200,$G175)&gt;0,
     COUNTIFS($AO$2:$AO$200,$G175)&gt;0,
     COUNTIFS($AP$2:$AP$200,$G175)&gt;0,
     COUNTIFS($AQ$2:$AQ$200,$G175)&gt;0,
     COUNTIFS($AR$2:$AR$200,$G175)&gt;0,
     COUNTIFS($AS$2:$AS$200,$G175)&gt;0,
     COUNTIFS($AT$2:$AT$200,$G175)&gt;0,
     COUNTIFS($AU$2:$AU$200,$G175)&gt;0,
     COUNTIFS($AV$2:$AV$200,$G175)&gt;0,
     COUNTIFS($AW$2:$AW$200,$G175)&gt;0,
     COUNTIFS($AX$2:$AX$200,$G175)&gt;0,
     COUNTIFS($AY$2:$AY$200,$G175)&gt;0
   )),
  ),
  3
 ),
"")</f>
        <v/>
      </c>
      <c r="F175" s="2" t="str" cm="1">
        <f t="array" aca="1" ref="F175" ca="1">IFERROR(
 INDEX(
  _xlfn._xlws.FILTER($V$1:$AY$1,
   TRANSPOSE(
    CHOOSE({1;2;3;4;5;6;7;8;9;10;11;12;13;14;15;16;17;18;19;20;21;22;23;24;25;26;27;28;29;30},
     COUNTIFS($V$2:$V$200,$G175)&gt;0,
     COUNTIFS($W$2:$W$200,$G175)&gt;0,
     COUNTIFS($X$2:$X$200,$G175)&gt;0,
     COUNTIFS($Y$2:$Y$200,$G175)&gt;0,
     COUNTIFS($Z$2:$Z$200,$G175)&gt;0,
     COUNTIFS($AA$2:$AA$200,$G175)&gt;0,
     COUNTIFS($AB$2:$AB$200,$G175)&gt;0,
     COUNTIFS($AC$2:$AC$200,$G175)&gt;0,
     COUNTIFS($AD$2:$AD$200,$G175)&gt;0,
     COUNTIFS($AE$2:$AE$200,$G175)&gt;0,
     COUNTIFS($AF$2:$AF$200,$G175)&gt;0,
     COUNTIFS($AG$2:$AG$200,$G175)&gt;0,
     COUNTIFS($AH$2:$AH$200,$G175)&gt;0,
     COUNTIFS($AI$2:$AI$200,$G175)&gt;0,
     COUNTIFS($AJ$2:$AJ$200,$G175)&gt;0,
     COUNTIFS($AK$2:$AK$200,$G175)&gt;0,
     COUNTIFS($AL$2:$AL$200,$G175)&gt;0,
     COUNTIFS($AM$2:$AM$200,$G175)&gt;0,
     COUNTIFS($AN$2:$AN$200,$G175)&gt;0,
     COUNTIFS($AO$2:$AO$200,$G175)&gt;0,
     COUNTIFS($AP$2:$AP$200,$G175)&gt;0,
     COUNTIFS($AQ$2:$AQ$200,$G175)&gt;0,
     COUNTIFS($AR$2:$AR$200,$G175)&gt;0,
     COUNTIFS($AS$2:$AS$200,$G175)&gt;0,
     COUNTIFS($AT$2:$AT$200,$G175)&gt;0,
     COUNTIFS($AU$2:$AU$200,$G175)&gt;0,
     COUNTIFS($AV$2:$AV$200,$G175)&gt;0,
     COUNTIFS($AW$2:$AW$200,$G175)&gt;0,
     COUNTIFS($AX$2:$AX$200,$G175)&gt;0,
     COUNTIFS($AY$2:$AY$200,$G175)&gt;0
   )),
  ),
  4
 ),
"")</f>
        <v/>
      </c>
      <c r="G175" t="str">
        <f ca="1"/>
        <v>Generous Patron</v>
      </c>
      <c r="EP175" t="str">
        <f ca="1"/>
        <v>Thran Dynamo</v>
      </c>
      <c r="EQ175" t="str">
        <f ca="1"/>
        <v>The Great Henge</v>
      </c>
      <c r="ER175" t="str">
        <f ca="1"/>
        <v>Teysa, Orzhov Scion</v>
      </c>
      <c r="EU175" t="str">
        <f ca="1"/>
        <v>Lost Jitte</v>
      </c>
      <c r="EV175" t="str">
        <f ca="1"/>
        <v>Teysa, Orzhov Scion</v>
      </c>
      <c r="EX175" t="str">
        <f ca="1"/>
        <v>Generous Patron</v>
      </c>
    </row>
    <row r="176" spans="1:154" x14ac:dyDescent="0.25">
      <c r="A176" s="2" t="str">
        <f t="shared" ca="1" si="10"/>
        <v>4</v>
      </c>
      <c r="B176" s="2">
        <f t="shared" ca="1" si="11"/>
        <v>1</v>
      </c>
      <c r="C176" s="2" t="str">
        <f ca="1">IFERROR(
 INDEX($V$1:$BL$1,
  MATCH(TRUE,
   CHOOSE({1;2;3;4;5;6;7;8;9;10;11;12;13;14;15;16;17;18;19;20;21;22;23;24;25;26;27;28;29;30;31;32;33;34;35;36;37;38;39;40;41;42;43},
    COUNTIFS($V$2:$V$200,$G176)&gt;0,
    COUNTIFS($W$2:$W$200,$G176)&gt;0,
    COUNTIFS($X$2:$X$200,$G176)&gt;0,
    COUNTIFS($Y$2:$Y$200,$G176)&gt;0,
    COUNTIFS($Z$2:$Z$200,$G176)&gt;0,
    COUNTIFS($AA$2:$AA$200,$G176)&gt;0,
    COUNTIFS($AB$2:$AB$200,$G176)&gt;0,
    COUNTIFS($AC$2:$AC$200,$G176)&gt;0,
    COUNTIFS($AD$2:$AD$200,$G176)&gt;0,
    COUNTIFS($AE$2:$AE$200,$G176)&gt;0,
    COUNTIFS($AF$2:$AF$200,$G176)&gt;0,
    COUNTIFS($AG$2:$AG$200,$G176)&gt;0,
    COUNTIFS($AH$2:$AH$200,$G176)&gt;0,
    COUNTIFS($AI$2:$AI$200,$G176)&gt;0,
    COUNTIFS($AJ$2:$AJ$200,$G176)&gt;0,
    COUNTIFS($AK$2:$AK$200,$G176)&gt;0,
    COUNTIFS($AL$2:$AL$200,$G176)&gt;0,
    COUNTIFS($AM$2:$AM$200,$G176)&gt;0,
    COUNTIFS($AN$2:$AN$200,$G176)&gt;0,
    COUNTIFS($AO$2:$AO$200,$G176)&gt;0,
    COUNTIFS($AP$2:$AP$200,$G176)&gt;0,
    COUNTIFS($AQ$2:$AQ$200,$G176)&gt;0,
    COUNTIFS($AR$2:$AR$200,$G176)&gt;0,
    COUNTIFS($AS$2:$AS$200,$G176)&gt;0,
    COUNTIFS($AT$2:$AT$200,$G176)&gt;0,
    COUNTIFS($AU$2:$AU$200,$G176)&gt;0,
    COUNTIFS($AV$2:$AV$200,$G176)&gt;0,
    COUNTIFS($AW$2:$AW$200,$G176)&gt;0,
    COUNTIFS($AX$2:$AX$200,$G176)&gt;0,
    COUNTIFS($AY$2:$AY$200,$G176)&gt;0,
    COUNTIFS($AZ$2:$AZ$200,$G176)&gt;0,
    COUNTIFS($BA$2:$BA$200,$G176)&gt;0,
    COUNTIFS($BB$2:$BB$200,$G176)&gt;0,
    COUNTIFS($BC$2:$BC$200,$G176)&gt;0,
    COUNTIFS($BD$2:$BD$200,$G176)&gt;0,
    COUNTIFS($BE$2:$BE$200,$G176)&gt;0,
    COUNTIFS($BF$2:$BF$200,$G176)&gt;0,
    COUNTIFS($BG$2:$BG$200,$G176)&gt;0,
    COUNTIFS($BH$2:$BH$200,$G176)&gt;0,
    COUNTIFS($BI$2:$BI$200,$G176)&gt;0,
    COUNTIFS($BJ$2:$BJ$200,$G176)&gt;0,
    COUNTIFS($BK$2:$BK$200,$G176)&gt;0,
    COUNTIFS($BL$2:$BL$200,$G176)&gt;0,
    COUNTIFS($BM$2:$BM$200,$G176)&gt;0,
   ),
  0)
 ),
"")</f>
        <v>Narset</v>
      </c>
      <c r="D176" s="2" t="str" cm="1">
        <f t="array" aca="1" ref="D176" ca="1">IFERROR(
 INDEX(
  _xlfn._xlws.FILTER($V$1:$AY$1,
   TRANSPOSE(
    CHOOSE({1;2;3;4;5;6;7;8;9;10;11;12;13;14;15;16;17;18;19;20;21;22;23;24;25;26;27;28;29;30},
     COUNTIFS($V$2:$V$200,$G176)&gt;0,
     COUNTIFS($W$2:$W$200,$G176)&gt;0,
     COUNTIFS($X$2:$X$200,$G176)&gt;0,
     COUNTIFS($Y$2:$Y$200,$G176)&gt;0,
     COUNTIFS($Z$2:$Z$200,$G176)&gt;0,
     COUNTIFS($AA$2:$AA$200,$G176)&gt;0,
     COUNTIFS($AB$2:$AB$200,$G176)&gt;0,
     COUNTIFS($AC$2:$AC$200,$G176)&gt;0,
     COUNTIFS($AD$2:$AD$200,$G176)&gt;0,
     COUNTIFS($AE$2:$AE$200,$G176)&gt;0,
     COUNTIFS($AF$2:$AF$200,$G176)&gt;0,
     COUNTIFS($AG$2:$AG$200,$G176)&gt;0,
     COUNTIFS($AH$2:$AH$200,$G176)&gt;0,
     COUNTIFS($AI$2:$AI$200,$G176)&gt;0,
     COUNTIFS($AJ$2:$AJ$200,$G176)&gt;0,
     COUNTIFS($AK$2:$AK$200,$G176)&gt;0,
     COUNTIFS($AL$2:$AL$200,$G176)&gt;0,
     COUNTIFS($AM$2:$AM$200,$G176)&gt;0,
     COUNTIFS($AN$2:$AN$200,$G176)&gt;0,
     COUNTIFS($AO$2:$AO$200,$G176)&gt;0,
     COUNTIFS($AP$2:$AP$200,$G176)&gt;0,
     COUNTIFS($AQ$2:$AQ$200,$G176)&gt;0,
     COUNTIFS($AR$2:$AR$200,$G176)&gt;0,
     COUNTIFS($AS$2:$AS$200,$G176)&gt;0,
     COUNTIFS($AT$2:$AT$200,$G176)&gt;0,
     COUNTIFS($AU$2:$AU$200,$G176)&gt;0,
     COUNTIFS($AV$2:$AV$200,$G176)&gt;0,
     COUNTIFS($AW$2:$AW$200,$G176)&gt;0,
     COUNTIFS($AX$2:$AX$200,$G176)&gt;0,
     COUNTIFS($AY$2:$AY$200,$G176)&gt;0
   )),
  ),
  2
 ),
"")</f>
        <v/>
      </c>
      <c r="E176" s="2" t="str" cm="1">
        <f t="array" aca="1" ref="E176" ca="1">IFERROR(
 INDEX(
  _xlfn._xlws.FILTER($V$1:$AY$1,
   TRANSPOSE(
    CHOOSE({1;2;3;4;5;6;7;8;9;10;11;12;13;14;15;16;17;18;19;20;21;22;23;24;25;26;27;28;29;30},
     COUNTIFS($V$2:$V$200,$G176)&gt;0,
     COUNTIFS($W$2:$W$200,$G176)&gt;0,
     COUNTIFS($X$2:$X$200,$G176)&gt;0,
     COUNTIFS($Y$2:$Y$200,$G176)&gt;0,
     COUNTIFS($Z$2:$Z$200,$G176)&gt;0,
     COUNTIFS($AA$2:$AA$200,$G176)&gt;0,
     COUNTIFS($AB$2:$AB$200,$G176)&gt;0,
     COUNTIFS($AC$2:$AC$200,$G176)&gt;0,
     COUNTIFS($AD$2:$AD$200,$G176)&gt;0,
     COUNTIFS($AE$2:$AE$200,$G176)&gt;0,
     COUNTIFS($AF$2:$AF$200,$G176)&gt;0,
     COUNTIFS($AG$2:$AG$200,$G176)&gt;0,
     COUNTIFS($AH$2:$AH$200,$G176)&gt;0,
     COUNTIFS($AI$2:$AI$200,$G176)&gt;0,
     COUNTIFS($AJ$2:$AJ$200,$G176)&gt;0,
     COUNTIFS($AK$2:$AK$200,$G176)&gt;0,
     COUNTIFS($AL$2:$AL$200,$G176)&gt;0,
     COUNTIFS($AM$2:$AM$200,$G176)&gt;0,
     COUNTIFS($AN$2:$AN$200,$G176)&gt;0,
     COUNTIFS($AO$2:$AO$200,$G176)&gt;0,
     COUNTIFS($AP$2:$AP$200,$G176)&gt;0,
     COUNTIFS($AQ$2:$AQ$200,$G176)&gt;0,
     COUNTIFS($AR$2:$AR$200,$G176)&gt;0,
     COUNTIFS($AS$2:$AS$200,$G176)&gt;0,
     COUNTIFS($AT$2:$AT$200,$G176)&gt;0,
     COUNTIFS($AU$2:$AU$200,$G176)&gt;0,
     COUNTIFS($AV$2:$AV$200,$G176)&gt;0,
     COUNTIFS($AW$2:$AW$200,$G176)&gt;0,
     COUNTIFS($AX$2:$AX$200,$G176)&gt;0,
     COUNTIFS($AY$2:$AY$200,$G176)&gt;0
   )),
  ),
  3
 ),
"")</f>
        <v/>
      </c>
      <c r="F176" s="2" t="str" cm="1">
        <f t="array" aca="1" ref="F176" ca="1">IFERROR(
 INDEX(
  _xlfn._xlws.FILTER($V$1:$AY$1,
   TRANSPOSE(
    CHOOSE({1;2;3;4;5;6;7;8;9;10;11;12;13;14;15;16;17;18;19;20;21;22;23;24;25;26;27;28;29;30},
     COUNTIFS($V$2:$V$200,$G176)&gt;0,
     COUNTIFS($W$2:$W$200,$G176)&gt;0,
     COUNTIFS($X$2:$X$200,$G176)&gt;0,
     COUNTIFS($Y$2:$Y$200,$G176)&gt;0,
     COUNTIFS($Z$2:$Z$200,$G176)&gt;0,
     COUNTIFS($AA$2:$AA$200,$G176)&gt;0,
     COUNTIFS($AB$2:$AB$200,$G176)&gt;0,
     COUNTIFS($AC$2:$AC$200,$G176)&gt;0,
     COUNTIFS($AD$2:$AD$200,$G176)&gt;0,
     COUNTIFS($AE$2:$AE$200,$G176)&gt;0,
     COUNTIFS($AF$2:$AF$200,$G176)&gt;0,
     COUNTIFS($AG$2:$AG$200,$G176)&gt;0,
     COUNTIFS($AH$2:$AH$200,$G176)&gt;0,
     COUNTIFS($AI$2:$AI$200,$G176)&gt;0,
     COUNTIFS($AJ$2:$AJ$200,$G176)&gt;0,
     COUNTIFS($AK$2:$AK$200,$G176)&gt;0,
     COUNTIFS($AL$2:$AL$200,$G176)&gt;0,
     COUNTIFS($AM$2:$AM$200,$G176)&gt;0,
     COUNTIFS($AN$2:$AN$200,$G176)&gt;0,
     COUNTIFS($AO$2:$AO$200,$G176)&gt;0,
     COUNTIFS($AP$2:$AP$200,$G176)&gt;0,
     COUNTIFS($AQ$2:$AQ$200,$G176)&gt;0,
     COUNTIFS($AR$2:$AR$200,$G176)&gt;0,
     COUNTIFS($AS$2:$AS$200,$G176)&gt;0,
     COUNTIFS($AT$2:$AT$200,$G176)&gt;0,
     COUNTIFS($AU$2:$AU$200,$G176)&gt;0,
     COUNTIFS($AV$2:$AV$200,$G176)&gt;0,
     COUNTIFS($AW$2:$AW$200,$G176)&gt;0,
     COUNTIFS($AX$2:$AX$200,$G176)&gt;0,
     COUNTIFS($AY$2:$AY$200,$G176)&gt;0
   )),
  ),
  4
 ),
"")</f>
        <v/>
      </c>
      <c r="G176" t="str">
        <f ca="1"/>
        <v>Ghostly Prison</v>
      </c>
      <c r="EP176" t="str">
        <f ca="1"/>
        <v>Titania, Voice of Gaea</v>
      </c>
      <c r="EQ176" t="str">
        <f ca="1"/>
        <v>The Soul Stone</v>
      </c>
      <c r="ER176" t="str">
        <f ca="1"/>
        <v>The Battle of Bywater</v>
      </c>
      <c r="EU176" t="str">
        <f ca="1"/>
        <v>Luxury Suite</v>
      </c>
      <c r="EV176" t="str">
        <f ca="1"/>
        <v>The Battle of Bywater</v>
      </c>
      <c r="EX176" t="str">
        <f ca="1"/>
        <v>Ghostly Prison</v>
      </c>
    </row>
    <row r="177" spans="1:154" x14ac:dyDescent="0.25">
      <c r="A177" s="2" t="str">
        <f t="shared" ca="1" si="10"/>
        <v>5</v>
      </c>
      <c r="B177" s="2">
        <f t="shared" ca="1" si="11"/>
        <v>1</v>
      </c>
      <c r="C177" s="2" t="str">
        <f ca="1">IFERROR(
 INDEX($V$1:$BL$1,
  MATCH(TRUE,
   CHOOSE({1;2;3;4;5;6;7;8;9;10;11;12;13;14;15;16;17;18;19;20;21;22;23;24;25;26;27;28;29;30;31;32;33;34;35;36;37;38;39;40;41;42;43},
    COUNTIFS($V$2:$V$200,$G177)&gt;0,
    COUNTIFS($W$2:$W$200,$G177)&gt;0,
    COUNTIFS($X$2:$X$200,$G177)&gt;0,
    COUNTIFS($Y$2:$Y$200,$G177)&gt;0,
    COUNTIFS($Z$2:$Z$200,$G177)&gt;0,
    COUNTIFS($AA$2:$AA$200,$G177)&gt;0,
    COUNTIFS($AB$2:$AB$200,$G177)&gt;0,
    COUNTIFS($AC$2:$AC$200,$G177)&gt;0,
    COUNTIFS($AD$2:$AD$200,$G177)&gt;0,
    COUNTIFS($AE$2:$AE$200,$G177)&gt;0,
    COUNTIFS($AF$2:$AF$200,$G177)&gt;0,
    COUNTIFS($AG$2:$AG$200,$G177)&gt;0,
    COUNTIFS($AH$2:$AH$200,$G177)&gt;0,
    COUNTIFS($AI$2:$AI$200,$G177)&gt;0,
    COUNTIFS($AJ$2:$AJ$200,$G177)&gt;0,
    COUNTIFS($AK$2:$AK$200,$G177)&gt;0,
    COUNTIFS($AL$2:$AL$200,$G177)&gt;0,
    COUNTIFS($AM$2:$AM$200,$G177)&gt;0,
    COUNTIFS($AN$2:$AN$200,$G177)&gt;0,
    COUNTIFS($AO$2:$AO$200,$G177)&gt;0,
    COUNTIFS($AP$2:$AP$200,$G177)&gt;0,
    COUNTIFS($AQ$2:$AQ$200,$G177)&gt;0,
    COUNTIFS($AR$2:$AR$200,$G177)&gt;0,
    COUNTIFS($AS$2:$AS$200,$G177)&gt;0,
    COUNTIFS($AT$2:$AT$200,$G177)&gt;0,
    COUNTIFS($AU$2:$AU$200,$G177)&gt;0,
    COUNTIFS($AV$2:$AV$200,$G177)&gt;0,
    COUNTIFS($AW$2:$AW$200,$G177)&gt;0,
    COUNTIFS($AX$2:$AX$200,$G177)&gt;0,
    COUNTIFS($AY$2:$AY$200,$G177)&gt;0,
    COUNTIFS($AZ$2:$AZ$200,$G177)&gt;0,
    COUNTIFS($BA$2:$BA$200,$G177)&gt;0,
    COUNTIFS($BB$2:$BB$200,$G177)&gt;0,
    COUNTIFS($BC$2:$BC$200,$G177)&gt;0,
    COUNTIFS($BD$2:$BD$200,$G177)&gt;0,
    COUNTIFS($BE$2:$BE$200,$G177)&gt;0,
    COUNTIFS($BF$2:$BF$200,$G177)&gt;0,
    COUNTIFS($BG$2:$BG$200,$G177)&gt;0,
    COUNTIFS($BH$2:$BH$200,$G177)&gt;0,
    COUNTIFS($BI$2:$BI$200,$G177)&gt;0,
    COUNTIFS($BJ$2:$BJ$200,$G177)&gt;0,
    COUNTIFS($BK$2:$BK$200,$G177)&gt;0,
    COUNTIFS($BL$2:$BL$200,$G177)&gt;0,
    COUNTIFS($BM$2:$BM$200,$G177)&gt;0,
   ),
  0)
 ),
"")</f>
        <v>Yorion</v>
      </c>
      <c r="D177" s="2" t="str" cm="1">
        <f t="array" aca="1" ref="D177" ca="1">IFERROR(
 INDEX(
  _xlfn._xlws.FILTER($V$1:$AY$1,
   TRANSPOSE(
    CHOOSE({1;2;3;4;5;6;7;8;9;10;11;12;13;14;15;16;17;18;19;20;21;22;23;24;25;26;27;28;29;30},
     COUNTIFS($V$2:$V$200,$G177)&gt;0,
     COUNTIFS($W$2:$W$200,$G177)&gt;0,
     COUNTIFS($X$2:$X$200,$G177)&gt;0,
     COUNTIFS($Y$2:$Y$200,$G177)&gt;0,
     COUNTIFS($Z$2:$Z$200,$G177)&gt;0,
     COUNTIFS($AA$2:$AA$200,$G177)&gt;0,
     COUNTIFS($AB$2:$AB$200,$G177)&gt;0,
     COUNTIFS($AC$2:$AC$200,$G177)&gt;0,
     COUNTIFS($AD$2:$AD$200,$G177)&gt;0,
     COUNTIFS($AE$2:$AE$200,$G177)&gt;0,
     COUNTIFS($AF$2:$AF$200,$G177)&gt;0,
     COUNTIFS($AG$2:$AG$200,$G177)&gt;0,
     COUNTIFS($AH$2:$AH$200,$G177)&gt;0,
     COUNTIFS($AI$2:$AI$200,$G177)&gt;0,
     COUNTIFS($AJ$2:$AJ$200,$G177)&gt;0,
     COUNTIFS($AK$2:$AK$200,$G177)&gt;0,
     COUNTIFS($AL$2:$AL$200,$G177)&gt;0,
     COUNTIFS($AM$2:$AM$200,$G177)&gt;0,
     COUNTIFS($AN$2:$AN$200,$G177)&gt;0,
     COUNTIFS($AO$2:$AO$200,$G177)&gt;0,
     COUNTIFS($AP$2:$AP$200,$G177)&gt;0,
     COUNTIFS($AQ$2:$AQ$200,$G177)&gt;0,
     COUNTIFS($AR$2:$AR$200,$G177)&gt;0,
     COUNTIFS($AS$2:$AS$200,$G177)&gt;0,
     COUNTIFS($AT$2:$AT$200,$G177)&gt;0,
     COUNTIFS($AU$2:$AU$200,$G177)&gt;0,
     COUNTIFS($AV$2:$AV$200,$G177)&gt;0,
     COUNTIFS($AW$2:$AW$200,$G177)&gt;0,
     COUNTIFS($AX$2:$AX$200,$G177)&gt;0,
     COUNTIFS($AY$2:$AY$200,$G177)&gt;0
   )),
  ),
  2
 ),
"")</f>
        <v/>
      </c>
      <c r="E177" s="2" t="str" cm="1">
        <f t="array" aca="1" ref="E177" ca="1">IFERROR(
 INDEX(
  _xlfn._xlws.FILTER($V$1:$AY$1,
   TRANSPOSE(
    CHOOSE({1;2;3;4;5;6;7;8;9;10;11;12;13;14;15;16;17;18;19;20;21;22;23;24;25;26;27;28;29;30},
     COUNTIFS($V$2:$V$200,$G177)&gt;0,
     COUNTIFS($W$2:$W$200,$G177)&gt;0,
     COUNTIFS($X$2:$X$200,$G177)&gt;0,
     COUNTIFS($Y$2:$Y$200,$G177)&gt;0,
     COUNTIFS($Z$2:$Z$200,$G177)&gt;0,
     COUNTIFS($AA$2:$AA$200,$G177)&gt;0,
     COUNTIFS($AB$2:$AB$200,$G177)&gt;0,
     COUNTIFS($AC$2:$AC$200,$G177)&gt;0,
     COUNTIFS($AD$2:$AD$200,$G177)&gt;0,
     COUNTIFS($AE$2:$AE$200,$G177)&gt;0,
     COUNTIFS($AF$2:$AF$200,$G177)&gt;0,
     COUNTIFS($AG$2:$AG$200,$G177)&gt;0,
     COUNTIFS($AH$2:$AH$200,$G177)&gt;0,
     COUNTIFS($AI$2:$AI$200,$G177)&gt;0,
     COUNTIFS($AJ$2:$AJ$200,$G177)&gt;0,
     COUNTIFS($AK$2:$AK$200,$G177)&gt;0,
     COUNTIFS($AL$2:$AL$200,$G177)&gt;0,
     COUNTIFS($AM$2:$AM$200,$G177)&gt;0,
     COUNTIFS($AN$2:$AN$200,$G177)&gt;0,
     COUNTIFS($AO$2:$AO$200,$G177)&gt;0,
     COUNTIFS($AP$2:$AP$200,$G177)&gt;0,
     COUNTIFS($AQ$2:$AQ$200,$G177)&gt;0,
     COUNTIFS($AR$2:$AR$200,$G177)&gt;0,
     COUNTIFS($AS$2:$AS$200,$G177)&gt;0,
     COUNTIFS($AT$2:$AT$200,$G177)&gt;0,
     COUNTIFS($AU$2:$AU$200,$G177)&gt;0,
     COUNTIFS($AV$2:$AV$200,$G177)&gt;0,
     COUNTIFS($AW$2:$AW$200,$G177)&gt;0,
     COUNTIFS($AX$2:$AX$200,$G177)&gt;0,
     COUNTIFS($AY$2:$AY$200,$G177)&gt;0
   )),
  ),
  3
 ),
"")</f>
        <v/>
      </c>
      <c r="F177" s="2" t="str" cm="1">
        <f t="array" aca="1" ref="F177" ca="1">IFERROR(
 INDEX(
  _xlfn._xlws.FILTER($V$1:$AY$1,
   TRANSPOSE(
    CHOOSE({1;2;3;4;5;6;7;8;9;10;11;12;13;14;15;16;17;18;19;20;21;22;23;24;25;26;27;28;29;30},
     COUNTIFS($V$2:$V$200,$G177)&gt;0,
     COUNTIFS($W$2:$W$200,$G177)&gt;0,
     COUNTIFS($X$2:$X$200,$G177)&gt;0,
     COUNTIFS($Y$2:$Y$200,$G177)&gt;0,
     COUNTIFS($Z$2:$Z$200,$G177)&gt;0,
     COUNTIFS($AA$2:$AA$200,$G177)&gt;0,
     COUNTIFS($AB$2:$AB$200,$G177)&gt;0,
     COUNTIFS($AC$2:$AC$200,$G177)&gt;0,
     COUNTIFS($AD$2:$AD$200,$G177)&gt;0,
     COUNTIFS($AE$2:$AE$200,$G177)&gt;0,
     COUNTIFS($AF$2:$AF$200,$G177)&gt;0,
     COUNTIFS($AG$2:$AG$200,$G177)&gt;0,
     COUNTIFS($AH$2:$AH$200,$G177)&gt;0,
     COUNTIFS($AI$2:$AI$200,$G177)&gt;0,
     COUNTIFS($AJ$2:$AJ$200,$G177)&gt;0,
     COUNTIFS($AK$2:$AK$200,$G177)&gt;0,
     COUNTIFS($AL$2:$AL$200,$G177)&gt;0,
     COUNTIFS($AM$2:$AM$200,$G177)&gt;0,
     COUNTIFS($AN$2:$AN$200,$G177)&gt;0,
     COUNTIFS($AO$2:$AO$200,$G177)&gt;0,
     COUNTIFS($AP$2:$AP$200,$G177)&gt;0,
     COUNTIFS($AQ$2:$AQ$200,$G177)&gt;0,
     COUNTIFS($AR$2:$AR$200,$G177)&gt;0,
     COUNTIFS($AS$2:$AS$200,$G177)&gt;0,
     COUNTIFS($AT$2:$AT$200,$G177)&gt;0,
     COUNTIFS($AU$2:$AU$200,$G177)&gt;0,
     COUNTIFS($AV$2:$AV$200,$G177)&gt;0,
     COUNTIFS($AW$2:$AW$200,$G177)&gt;0,
     COUNTIFS($AX$2:$AX$200,$G177)&gt;0,
     COUNTIFS($AY$2:$AY$200,$G177)&gt;0
   )),
  ),
  4
 ),
"")</f>
        <v/>
      </c>
      <c r="G177" t="str">
        <f ca="1"/>
        <v>Ghostway</v>
      </c>
      <c r="EP177" t="str">
        <f ca="1"/>
        <v>Treasure Vault</v>
      </c>
      <c r="EQ177" t="str">
        <f ca="1"/>
        <v>Thopter Shop</v>
      </c>
      <c r="ER177" t="str">
        <f ca="1"/>
        <v>The Emperor of Palamecia</v>
      </c>
      <c r="EU177" t="str">
        <f ca="1"/>
        <v>Maddening Cacophony</v>
      </c>
      <c r="EV177" t="str">
        <f ca="1"/>
        <v>The Emperor of Palamecia</v>
      </c>
      <c r="EX177" t="str">
        <f ca="1"/>
        <v>Ghostway</v>
      </c>
    </row>
    <row r="178" spans="1:154" x14ac:dyDescent="0.25">
      <c r="A178" s="2" t="str">
        <f t="shared" ca="1" si="10"/>
        <v>2</v>
      </c>
      <c r="B178" s="2">
        <f t="shared" ca="1" si="11"/>
        <v>1</v>
      </c>
      <c r="C178" s="2" t="str">
        <f ca="1">IFERROR(
 INDEX($V$1:$BL$1,
  MATCH(TRUE,
   CHOOSE({1;2;3;4;5;6;7;8;9;10;11;12;13;14;15;16;17;18;19;20;21;22;23;24;25;26;27;28;29;30;31;32;33;34;35;36;37;38;39;40;41;42;43},
    COUNTIFS($V$2:$V$200,$G178)&gt;0,
    COUNTIFS($W$2:$W$200,$G178)&gt;0,
    COUNTIFS($X$2:$X$200,$G178)&gt;0,
    COUNTIFS($Y$2:$Y$200,$G178)&gt;0,
    COUNTIFS($Z$2:$Z$200,$G178)&gt;0,
    COUNTIFS($AA$2:$AA$200,$G178)&gt;0,
    COUNTIFS($AB$2:$AB$200,$G178)&gt;0,
    COUNTIFS($AC$2:$AC$200,$G178)&gt;0,
    COUNTIFS($AD$2:$AD$200,$G178)&gt;0,
    COUNTIFS($AE$2:$AE$200,$G178)&gt;0,
    COUNTIFS($AF$2:$AF$200,$G178)&gt;0,
    COUNTIFS($AG$2:$AG$200,$G178)&gt;0,
    COUNTIFS($AH$2:$AH$200,$G178)&gt;0,
    COUNTIFS($AI$2:$AI$200,$G178)&gt;0,
    COUNTIFS($AJ$2:$AJ$200,$G178)&gt;0,
    COUNTIFS($AK$2:$AK$200,$G178)&gt;0,
    COUNTIFS($AL$2:$AL$200,$G178)&gt;0,
    COUNTIFS($AM$2:$AM$200,$G178)&gt;0,
    COUNTIFS($AN$2:$AN$200,$G178)&gt;0,
    COUNTIFS($AO$2:$AO$200,$G178)&gt;0,
    COUNTIFS($AP$2:$AP$200,$G178)&gt;0,
    COUNTIFS($AQ$2:$AQ$200,$G178)&gt;0,
    COUNTIFS($AR$2:$AR$200,$G178)&gt;0,
    COUNTIFS($AS$2:$AS$200,$G178)&gt;0,
    COUNTIFS($AT$2:$AT$200,$G178)&gt;0,
    COUNTIFS($AU$2:$AU$200,$G178)&gt;0,
    COUNTIFS($AV$2:$AV$200,$G178)&gt;0,
    COUNTIFS($AW$2:$AW$200,$G178)&gt;0,
    COUNTIFS($AX$2:$AX$200,$G178)&gt;0,
    COUNTIFS($AY$2:$AY$200,$G178)&gt;0,
    COUNTIFS($AZ$2:$AZ$200,$G178)&gt;0,
    COUNTIFS($BA$2:$BA$200,$G178)&gt;0,
    COUNTIFS($BB$2:$BB$200,$G178)&gt;0,
    COUNTIFS($BC$2:$BC$200,$G178)&gt;0,
    COUNTIFS($BD$2:$BD$200,$G178)&gt;0,
    COUNTIFS($BE$2:$BE$200,$G178)&gt;0,
    COUNTIFS($BF$2:$BF$200,$G178)&gt;0,
    COUNTIFS($BG$2:$BG$200,$G178)&gt;0,
    COUNTIFS($BH$2:$BH$200,$G178)&gt;0,
    COUNTIFS($BI$2:$BI$200,$G178)&gt;0,
    COUNTIFS($BJ$2:$BJ$200,$G178)&gt;0,
    COUNTIFS($BK$2:$BK$200,$G178)&gt;0,
    COUNTIFS($BL$2:$BL$200,$G178)&gt;0,
    COUNTIFS($BM$2:$BM$200,$G178)&gt;0,
   ),
  0)
 ),
"")</f>
        <v>Rani</v>
      </c>
      <c r="D178" s="2" t="str" cm="1">
        <f t="array" aca="1" ref="D178" ca="1">IFERROR(
 INDEX(
  _xlfn._xlws.FILTER($V$1:$AY$1,
   TRANSPOSE(
    CHOOSE({1;2;3;4;5;6;7;8;9;10;11;12;13;14;15;16;17;18;19;20;21;22;23;24;25;26;27;28;29;30},
     COUNTIFS($V$2:$V$200,$G178)&gt;0,
     COUNTIFS($W$2:$W$200,$G178)&gt;0,
     COUNTIFS($X$2:$X$200,$G178)&gt;0,
     COUNTIFS($Y$2:$Y$200,$G178)&gt;0,
     COUNTIFS($Z$2:$Z$200,$G178)&gt;0,
     COUNTIFS($AA$2:$AA$200,$G178)&gt;0,
     COUNTIFS($AB$2:$AB$200,$G178)&gt;0,
     COUNTIFS($AC$2:$AC$200,$G178)&gt;0,
     COUNTIFS($AD$2:$AD$200,$G178)&gt;0,
     COUNTIFS($AE$2:$AE$200,$G178)&gt;0,
     COUNTIFS($AF$2:$AF$200,$G178)&gt;0,
     COUNTIFS($AG$2:$AG$200,$G178)&gt;0,
     COUNTIFS($AH$2:$AH$200,$G178)&gt;0,
     COUNTIFS($AI$2:$AI$200,$G178)&gt;0,
     COUNTIFS($AJ$2:$AJ$200,$G178)&gt;0,
     COUNTIFS($AK$2:$AK$200,$G178)&gt;0,
     COUNTIFS($AL$2:$AL$200,$G178)&gt;0,
     COUNTIFS($AM$2:$AM$200,$G178)&gt;0,
     COUNTIFS($AN$2:$AN$200,$G178)&gt;0,
     COUNTIFS($AO$2:$AO$200,$G178)&gt;0,
     COUNTIFS($AP$2:$AP$200,$G178)&gt;0,
     COUNTIFS($AQ$2:$AQ$200,$G178)&gt;0,
     COUNTIFS($AR$2:$AR$200,$G178)&gt;0,
     COUNTIFS($AS$2:$AS$200,$G178)&gt;0,
     COUNTIFS($AT$2:$AT$200,$G178)&gt;0,
     COUNTIFS($AU$2:$AU$200,$G178)&gt;0,
     COUNTIFS($AV$2:$AV$200,$G178)&gt;0,
     COUNTIFS($AW$2:$AW$200,$G178)&gt;0,
     COUNTIFS($AX$2:$AX$200,$G178)&gt;0,
     COUNTIFS($AY$2:$AY$200,$G178)&gt;0
   )),
  ),
  2
 ),
"")</f>
        <v/>
      </c>
      <c r="E178" s="2" t="str" cm="1">
        <f t="array" aca="1" ref="E178" ca="1">IFERROR(
 INDEX(
  _xlfn._xlws.FILTER($V$1:$AY$1,
   TRANSPOSE(
    CHOOSE({1;2;3;4;5;6;7;8;9;10;11;12;13;14;15;16;17;18;19;20;21;22;23;24;25;26;27;28;29;30},
     COUNTIFS($V$2:$V$200,$G178)&gt;0,
     COUNTIFS($W$2:$W$200,$G178)&gt;0,
     COUNTIFS($X$2:$X$200,$G178)&gt;0,
     COUNTIFS($Y$2:$Y$200,$G178)&gt;0,
     COUNTIFS($Z$2:$Z$200,$G178)&gt;0,
     COUNTIFS($AA$2:$AA$200,$G178)&gt;0,
     COUNTIFS($AB$2:$AB$200,$G178)&gt;0,
     COUNTIFS($AC$2:$AC$200,$G178)&gt;0,
     COUNTIFS($AD$2:$AD$200,$G178)&gt;0,
     COUNTIFS($AE$2:$AE$200,$G178)&gt;0,
     COUNTIFS($AF$2:$AF$200,$G178)&gt;0,
     COUNTIFS($AG$2:$AG$200,$G178)&gt;0,
     COUNTIFS($AH$2:$AH$200,$G178)&gt;0,
     COUNTIFS($AI$2:$AI$200,$G178)&gt;0,
     COUNTIFS($AJ$2:$AJ$200,$G178)&gt;0,
     COUNTIFS($AK$2:$AK$200,$G178)&gt;0,
     COUNTIFS($AL$2:$AL$200,$G178)&gt;0,
     COUNTIFS($AM$2:$AM$200,$G178)&gt;0,
     COUNTIFS($AN$2:$AN$200,$G178)&gt;0,
     COUNTIFS($AO$2:$AO$200,$G178)&gt;0,
     COUNTIFS($AP$2:$AP$200,$G178)&gt;0,
     COUNTIFS($AQ$2:$AQ$200,$G178)&gt;0,
     COUNTIFS($AR$2:$AR$200,$G178)&gt;0,
     COUNTIFS($AS$2:$AS$200,$G178)&gt;0,
     COUNTIFS($AT$2:$AT$200,$G178)&gt;0,
     COUNTIFS($AU$2:$AU$200,$G178)&gt;0,
     COUNTIFS($AV$2:$AV$200,$G178)&gt;0,
     COUNTIFS($AW$2:$AW$200,$G178)&gt;0,
     COUNTIFS($AX$2:$AX$200,$G178)&gt;0,
     COUNTIFS($AY$2:$AY$200,$G178)&gt;0
   )),
  ),
  3
 ),
"")</f>
        <v/>
      </c>
      <c r="F178" s="2" t="str" cm="1">
        <f t="array" aca="1" ref="F178" ca="1">IFERROR(
 INDEX(
  _xlfn._xlws.FILTER($V$1:$AY$1,
   TRANSPOSE(
    CHOOSE({1;2;3;4;5;6;7;8;9;10;11;12;13;14;15;16;17;18;19;20;21;22;23;24;25;26;27;28;29;30},
     COUNTIFS($V$2:$V$200,$G178)&gt;0,
     COUNTIFS($W$2:$W$200,$G178)&gt;0,
     COUNTIFS($X$2:$X$200,$G178)&gt;0,
     COUNTIFS($Y$2:$Y$200,$G178)&gt;0,
     COUNTIFS($Z$2:$Z$200,$G178)&gt;0,
     COUNTIFS($AA$2:$AA$200,$G178)&gt;0,
     COUNTIFS($AB$2:$AB$200,$G178)&gt;0,
     COUNTIFS($AC$2:$AC$200,$G178)&gt;0,
     COUNTIFS($AD$2:$AD$200,$G178)&gt;0,
     COUNTIFS($AE$2:$AE$200,$G178)&gt;0,
     COUNTIFS($AF$2:$AF$200,$G178)&gt;0,
     COUNTIFS($AG$2:$AG$200,$G178)&gt;0,
     COUNTIFS($AH$2:$AH$200,$G178)&gt;0,
     COUNTIFS($AI$2:$AI$200,$G178)&gt;0,
     COUNTIFS($AJ$2:$AJ$200,$G178)&gt;0,
     COUNTIFS($AK$2:$AK$200,$G178)&gt;0,
     COUNTIFS($AL$2:$AL$200,$G178)&gt;0,
     COUNTIFS($AM$2:$AM$200,$G178)&gt;0,
     COUNTIFS($AN$2:$AN$200,$G178)&gt;0,
     COUNTIFS($AO$2:$AO$200,$G178)&gt;0,
     COUNTIFS($AP$2:$AP$200,$G178)&gt;0,
     COUNTIFS($AQ$2:$AQ$200,$G178)&gt;0,
     COUNTIFS($AR$2:$AR$200,$G178)&gt;0,
     COUNTIFS($AS$2:$AS$200,$G178)&gt;0,
     COUNTIFS($AT$2:$AT$200,$G178)&gt;0,
     COUNTIFS($AU$2:$AU$200,$G178)&gt;0,
     COUNTIFS($AV$2:$AV$200,$G178)&gt;0,
     COUNTIFS($AW$2:$AW$200,$G178)&gt;0,
     COUNTIFS($AX$2:$AX$200,$G178)&gt;0,
     COUNTIFS($AY$2:$AY$200,$G178)&gt;0
   )),
  ),
  4
 ),
"")</f>
        <v/>
      </c>
      <c r="G178" t="str">
        <f ca="1"/>
        <v>Ghoulish Impetus</v>
      </c>
      <c r="EP178" t="str">
        <f ca="1"/>
        <v>Ulamog, the Defiler</v>
      </c>
      <c r="EQ178" t="str">
        <f ca="1"/>
        <v>Thorncaster Sliver</v>
      </c>
      <c r="ER178" t="str">
        <f ca="1"/>
        <v>The Legend of Roku</v>
      </c>
      <c r="EU178" t="str">
        <f ca="1"/>
        <v>Magda, the Hoardmaster</v>
      </c>
      <c r="EV178" t="str">
        <f ca="1"/>
        <v>The Legend of Roku</v>
      </c>
      <c r="EX178" t="str">
        <f ca="1"/>
        <v>Ghoulish Impetus</v>
      </c>
    </row>
    <row r="179" spans="1:154" x14ac:dyDescent="0.25">
      <c r="A179" s="2" t="str">
        <f t="shared" ca="1" si="10"/>
        <v>4</v>
      </c>
      <c r="B179" s="2">
        <f t="shared" ca="1" si="11"/>
        <v>1</v>
      </c>
      <c r="C179" s="2" t="str">
        <f ca="1">IFERROR(
 INDEX($V$1:$BL$1,
  MATCH(TRUE,
   CHOOSE({1;2;3;4;5;6;7;8;9;10;11;12;13;14;15;16;17;18;19;20;21;22;23;24;25;26;27;28;29;30;31;32;33;34;35;36;37;38;39;40;41;42;43},
    COUNTIFS($V$2:$V$200,$G179)&gt;0,
    COUNTIFS($W$2:$W$200,$G179)&gt;0,
    COUNTIFS($X$2:$X$200,$G179)&gt;0,
    COUNTIFS($Y$2:$Y$200,$G179)&gt;0,
    COUNTIFS($Z$2:$Z$200,$G179)&gt;0,
    COUNTIFS($AA$2:$AA$200,$G179)&gt;0,
    COUNTIFS($AB$2:$AB$200,$G179)&gt;0,
    COUNTIFS($AC$2:$AC$200,$G179)&gt;0,
    COUNTIFS($AD$2:$AD$200,$G179)&gt;0,
    COUNTIFS($AE$2:$AE$200,$G179)&gt;0,
    COUNTIFS($AF$2:$AF$200,$G179)&gt;0,
    COUNTIFS($AG$2:$AG$200,$G179)&gt;0,
    COUNTIFS($AH$2:$AH$200,$G179)&gt;0,
    COUNTIFS($AI$2:$AI$200,$G179)&gt;0,
    COUNTIFS($AJ$2:$AJ$200,$G179)&gt;0,
    COUNTIFS($AK$2:$AK$200,$G179)&gt;0,
    COUNTIFS($AL$2:$AL$200,$G179)&gt;0,
    COUNTIFS($AM$2:$AM$200,$G179)&gt;0,
    COUNTIFS($AN$2:$AN$200,$G179)&gt;0,
    COUNTIFS($AO$2:$AO$200,$G179)&gt;0,
    COUNTIFS($AP$2:$AP$200,$G179)&gt;0,
    COUNTIFS($AQ$2:$AQ$200,$G179)&gt;0,
    COUNTIFS($AR$2:$AR$200,$G179)&gt;0,
    COUNTIFS($AS$2:$AS$200,$G179)&gt;0,
    COUNTIFS($AT$2:$AT$200,$G179)&gt;0,
    COUNTIFS($AU$2:$AU$200,$G179)&gt;0,
    COUNTIFS($AV$2:$AV$200,$G179)&gt;0,
    COUNTIFS($AW$2:$AW$200,$G179)&gt;0,
    COUNTIFS($AX$2:$AX$200,$G179)&gt;0,
    COUNTIFS($AY$2:$AY$200,$G179)&gt;0,
    COUNTIFS($AZ$2:$AZ$200,$G179)&gt;0,
    COUNTIFS($BA$2:$BA$200,$G179)&gt;0,
    COUNTIFS($BB$2:$BB$200,$G179)&gt;0,
    COUNTIFS($BC$2:$BC$200,$G179)&gt;0,
    COUNTIFS($BD$2:$BD$200,$G179)&gt;0,
    COUNTIFS($BE$2:$BE$200,$G179)&gt;0,
    COUNTIFS($BF$2:$BF$200,$G179)&gt;0,
    COUNTIFS($BG$2:$BG$200,$G179)&gt;0,
    COUNTIFS($BH$2:$BH$200,$G179)&gt;0,
    COUNTIFS($BI$2:$BI$200,$G179)&gt;0,
    COUNTIFS($BJ$2:$BJ$200,$G179)&gt;0,
    COUNTIFS($BK$2:$BK$200,$G179)&gt;0,
    COUNTIFS($BL$2:$BL$200,$G179)&gt;0,
    COUNTIFS($BM$2:$BM$200,$G179)&gt;0,
   ),
  0)
 ),
"")</f>
        <v>Modular</v>
      </c>
      <c r="D179" s="2" t="str" cm="1">
        <f t="array" aca="1" ref="D179" ca="1">IFERROR(
 INDEX(
  _xlfn._xlws.FILTER($V$1:$AY$1,
   TRANSPOSE(
    CHOOSE({1;2;3;4;5;6;7;8;9;10;11;12;13;14;15;16;17;18;19;20;21;22;23;24;25;26;27;28;29;30},
     COUNTIFS($V$2:$V$200,$G179)&gt;0,
     COUNTIFS($W$2:$W$200,$G179)&gt;0,
     COUNTIFS($X$2:$X$200,$G179)&gt;0,
     COUNTIFS($Y$2:$Y$200,$G179)&gt;0,
     COUNTIFS($Z$2:$Z$200,$G179)&gt;0,
     COUNTIFS($AA$2:$AA$200,$G179)&gt;0,
     COUNTIFS($AB$2:$AB$200,$G179)&gt;0,
     COUNTIFS($AC$2:$AC$200,$G179)&gt;0,
     COUNTIFS($AD$2:$AD$200,$G179)&gt;0,
     COUNTIFS($AE$2:$AE$200,$G179)&gt;0,
     COUNTIFS($AF$2:$AF$200,$G179)&gt;0,
     COUNTIFS($AG$2:$AG$200,$G179)&gt;0,
     COUNTIFS($AH$2:$AH$200,$G179)&gt;0,
     COUNTIFS($AI$2:$AI$200,$G179)&gt;0,
     COUNTIFS($AJ$2:$AJ$200,$G179)&gt;0,
     COUNTIFS($AK$2:$AK$200,$G179)&gt;0,
     COUNTIFS($AL$2:$AL$200,$G179)&gt;0,
     COUNTIFS($AM$2:$AM$200,$G179)&gt;0,
     COUNTIFS($AN$2:$AN$200,$G179)&gt;0,
     COUNTIFS($AO$2:$AO$200,$G179)&gt;0,
     COUNTIFS($AP$2:$AP$200,$G179)&gt;0,
     COUNTIFS($AQ$2:$AQ$200,$G179)&gt;0,
     COUNTIFS($AR$2:$AR$200,$G179)&gt;0,
     COUNTIFS($AS$2:$AS$200,$G179)&gt;0,
     COUNTIFS($AT$2:$AT$200,$G179)&gt;0,
     COUNTIFS($AU$2:$AU$200,$G179)&gt;0,
     COUNTIFS($AV$2:$AV$200,$G179)&gt;0,
     COUNTIFS($AW$2:$AW$200,$G179)&gt;0,
     COUNTIFS($AX$2:$AX$200,$G179)&gt;0,
     COUNTIFS($AY$2:$AY$200,$G179)&gt;0
   )),
  ),
  2
 ),
"")</f>
        <v/>
      </c>
      <c r="E179" s="2" t="str" cm="1">
        <f t="array" aca="1" ref="E179" ca="1">IFERROR(
 INDEX(
  _xlfn._xlws.FILTER($V$1:$AY$1,
   TRANSPOSE(
    CHOOSE({1;2;3;4;5;6;7;8;9;10;11;12;13;14;15;16;17;18;19;20;21;22;23;24;25;26;27;28;29;30},
     COUNTIFS($V$2:$V$200,$G179)&gt;0,
     COUNTIFS($W$2:$W$200,$G179)&gt;0,
     COUNTIFS($X$2:$X$200,$G179)&gt;0,
     COUNTIFS($Y$2:$Y$200,$G179)&gt;0,
     COUNTIFS($Z$2:$Z$200,$G179)&gt;0,
     COUNTIFS($AA$2:$AA$200,$G179)&gt;0,
     COUNTIFS($AB$2:$AB$200,$G179)&gt;0,
     COUNTIFS($AC$2:$AC$200,$G179)&gt;0,
     COUNTIFS($AD$2:$AD$200,$G179)&gt;0,
     COUNTIFS($AE$2:$AE$200,$G179)&gt;0,
     COUNTIFS($AF$2:$AF$200,$G179)&gt;0,
     COUNTIFS($AG$2:$AG$200,$G179)&gt;0,
     COUNTIFS($AH$2:$AH$200,$G179)&gt;0,
     COUNTIFS($AI$2:$AI$200,$G179)&gt;0,
     COUNTIFS($AJ$2:$AJ$200,$G179)&gt;0,
     COUNTIFS($AK$2:$AK$200,$G179)&gt;0,
     COUNTIFS($AL$2:$AL$200,$G179)&gt;0,
     COUNTIFS($AM$2:$AM$200,$G179)&gt;0,
     COUNTIFS($AN$2:$AN$200,$G179)&gt;0,
     COUNTIFS($AO$2:$AO$200,$G179)&gt;0,
     COUNTIFS($AP$2:$AP$200,$G179)&gt;0,
     COUNTIFS($AQ$2:$AQ$200,$G179)&gt;0,
     COUNTIFS($AR$2:$AR$200,$G179)&gt;0,
     COUNTIFS($AS$2:$AS$200,$G179)&gt;0,
     COUNTIFS($AT$2:$AT$200,$G179)&gt;0,
     COUNTIFS($AU$2:$AU$200,$G179)&gt;0,
     COUNTIFS($AV$2:$AV$200,$G179)&gt;0,
     COUNTIFS($AW$2:$AW$200,$G179)&gt;0,
     COUNTIFS($AX$2:$AX$200,$G179)&gt;0,
     COUNTIFS($AY$2:$AY$200,$G179)&gt;0
   )),
  ),
  3
 ),
"")</f>
        <v/>
      </c>
      <c r="F179" s="2" t="str" cm="1">
        <f t="array" aca="1" ref="F179" ca="1">IFERROR(
 INDEX(
  _xlfn._xlws.FILTER($V$1:$AY$1,
   TRANSPOSE(
    CHOOSE({1;2;3;4;5;6;7;8;9;10;11;12;13;14;15;16;17;18;19;20;21;22;23;24;25;26;27;28;29;30},
     COUNTIFS($V$2:$V$200,$G179)&gt;0,
     COUNTIFS($W$2:$W$200,$G179)&gt;0,
     COUNTIFS($X$2:$X$200,$G179)&gt;0,
     COUNTIFS($Y$2:$Y$200,$G179)&gt;0,
     COUNTIFS($Z$2:$Z$200,$G179)&gt;0,
     COUNTIFS($AA$2:$AA$200,$G179)&gt;0,
     COUNTIFS($AB$2:$AB$200,$G179)&gt;0,
     COUNTIFS($AC$2:$AC$200,$G179)&gt;0,
     COUNTIFS($AD$2:$AD$200,$G179)&gt;0,
     COUNTIFS($AE$2:$AE$200,$G179)&gt;0,
     COUNTIFS($AF$2:$AF$200,$G179)&gt;0,
     COUNTIFS($AG$2:$AG$200,$G179)&gt;0,
     COUNTIFS($AH$2:$AH$200,$G179)&gt;0,
     COUNTIFS($AI$2:$AI$200,$G179)&gt;0,
     COUNTIFS($AJ$2:$AJ$200,$G179)&gt;0,
     COUNTIFS($AK$2:$AK$200,$G179)&gt;0,
     COUNTIFS($AL$2:$AL$200,$G179)&gt;0,
     COUNTIFS($AM$2:$AM$200,$G179)&gt;0,
     COUNTIFS($AN$2:$AN$200,$G179)&gt;0,
     COUNTIFS($AO$2:$AO$200,$G179)&gt;0,
     COUNTIFS($AP$2:$AP$200,$G179)&gt;0,
     COUNTIFS($AQ$2:$AQ$200,$G179)&gt;0,
     COUNTIFS($AR$2:$AR$200,$G179)&gt;0,
     COUNTIFS($AS$2:$AS$200,$G179)&gt;0,
     COUNTIFS($AT$2:$AT$200,$G179)&gt;0,
     COUNTIFS($AU$2:$AU$200,$G179)&gt;0,
     COUNTIFS($AV$2:$AV$200,$G179)&gt;0,
     COUNTIFS($AW$2:$AW$200,$G179)&gt;0,
     COUNTIFS($AX$2:$AX$200,$G179)&gt;0,
     COUNTIFS($AY$2:$AY$200,$G179)&gt;0
   )),
  ),
  4
 ),
"")</f>
        <v/>
      </c>
      <c r="G179" t="str">
        <f ca="1"/>
        <v>Giggling Skitterspike</v>
      </c>
      <c r="EP179" t="str">
        <f ca="1"/>
        <v>Ulamog, the Infinite Gyre</v>
      </c>
      <c r="EQ179" t="str">
        <f ca="1"/>
        <v>Three Steps Ahead</v>
      </c>
      <c r="ER179" t="str">
        <f ca="1"/>
        <v>The Lord of Pain</v>
      </c>
      <c r="EU179" t="str">
        <f ca="1"/>
        <v>Magma Sliver</v>
      </c>
      <c r="EV179" t="str">
        <f ca="1"/>
        <v>The Lord of Pain</v>
      </c>
      <c r="EX179" t="str">
        <f ca="1"/>
        <v>Giggling Skitterspike</v>
      </c>
    </row>
    <row r="180" spans="1:154" x14ac:dyDescent="0.25">
      <c r="A180" s="2" t="str">
        <f t="shared" ca="1" si="10"/>
        <v>2</v>
      </c>
      <c r="B180" s="2">
        <f t="shared" ca="1" si="11"/>
        <v>1</v>
      </c>
      <c r="C180" s="2" t="str">
        <f ca="1">IFERROR(
 INDEX($V$1:$BL$1,
  MATCH(TRUE,
   CHOOSE({1;2;3;4;5;6;7;8;9;10;11;12;13;14;15;16;17;18;19;20;21;22;23;24;25;26;27;28;29;30;31;32;33;34;35;36;37;38;39;40;41;42;43},
    COUNTIFS($V$2:$V$200,$G180)&gt;0,
    COUNTIFS($W$2:$W$200,$G180)&gt;0,
    COUNTIFS($X$2:$X$200,$G180)&gt;0,
    COUNTIFS($Y$2:$Y$200,$G180)&gt;0,
    COUNTIFS($Z$2:$Z$200,$G180)&gt;0,
    COUNTIFS($AA$2:$AA$200,$G180)&gt;0,
    COUNTIFS($AB$2:$AB$200,$G180)&gt;0,
    COUNTIFS($AC$2:$AC$200,$G180)&gt;0,
    COUNTIFS($AD$2:$AD$200,$G180)&gt;0,
    COUNTIFS($AE$2:$AE$200,$G180)&gt;0,
    COUNTIFS($AF$2:$AF$200,$G180)&gt;0,
    COUNTIFS($AG$2:$AG$200,$G180)&gt;0,
    COUNTIFS($AH$2:$AH$200,$G180)&gt;0,
    COUNTIFS($AI$2:$AI$200,$G180)&gt;0,
    COUNTIFS($AJ$2:$AJ$200,$G180)&gt;0,
    COUNTIFS($AK$2:$AK$200,$G180)&gt;0,
    COUNTIFS($AL$2:$AL$200,$G180)&gt;0,
    COUNTIFS($AM$2:$AM$200,$G180)&gt;0,
    COUNTIFS($AN$2:$AN$200,$G180)&gt;0,
    COUNTIFS($AO$2:$AO$200,$G180)&gt;0,
    COUNTIFS($AP$2:$AP$200,$G180)&gt;0,
    COUNTIFS($AQ$2:$AQ$200,$G180)&gt;0,
    COUNTIFS($AR$2:$AR$200,$G180)&gt;0,
    COUNTIFS($AS$2:$AS$200,$G180)&gt;0,
    COUNTIFS($AT$2:$AT$200,$G180)&gt;0,
    COUNTIFS($AU$2:$AU$200,$G180)&gt;0,
    COUNTIFS($AV$2:$AV$200,$G180)&gt;0,
    COUNTIFS($AW$2:$AW$200,$G180)&gt;0,
    COUNTIFS($AX$2:$AX$200,$G180)&gt;0,
    COUNTIFS($AY$2:$AY$200,$G180)&gt;0,
    COUNTIFS($AZ$2:$AZ$200,$G180)&gt;0,
    COUNTIFS($BA$2:$BA$200,$G180)&gt;0,
    COUNTIFS($BB$2:$BB$200,$G180)&gt;0,
    COUNTIFS($BC$2:$BC$200,$G180)&gt;0,
    COUNTIFS($BD$2:$BD$200,$G180)&gt;0,
    COUNTIFS($BE$2:$BE$200,$G180)&gt;0,
    COUNTIFS($BF$2:$BF$200,$G180)&gt;0,
    COUNTIFS($BG$2:$BG$200,$G180)&gt;0,
    COUNTIFS($BH$2:$BH$200,$G180)&gt;0,
    COUNTIFS($BI$2:$BI$200,$G180)&gt;0,
    COUNTIFS($BJ$2:$BJ$200,$G180)&gt;0,
    COUNTIFS($BK$2:$BK$200,$G180)&gt;0,
    COUNTIFS($BL$2:$BL$200,$G180)&gt;0,
    COUNTIFS($BM$2:$BM$200,$G180)&gt;0,
   ),
  0)
 ),
"")</f>
        <v>Carlos</v>
      </c>
      <c r="D180" s="2" t="str" cm="1">
        <f t="array" aca="1" ref="D180" ca="1">IFERROR(
 INDEX(
  _xlfn._xlws.FILTER($V$1:$AY$1,
   TRANSPOSE(
    CHOOSE({1;2;3;4;5;6;7;8;9;10;11;12;13;14;15;16;17;18;19;20;21;22;23;24;25;26;27;28;29;30},
     COUNTIFS($V$2:$V$200,$G180)&gt;0,
     COUNTIFS($W$2:$W$200,$G180)&gt;0,
     COUNTIFS($X$2:$X$200,$G180)&gt;0,
     COUNTIFS($Y$2:$Y$200,$G180)&gt;0,
     COUNTIFS($Z$2:$Z$200,$G180)&gt;0,
     COUNTIFS($AA$2:$AA$200,$G180)&gt;0,
     COUNTIFS($AB$2:$AB$200,$G180)&gt;0,
     COUNTIFS($AC$2:$AC$200,$G180)&gt;0,
     COUNTIFS($AD$2:$AD$200,$G180)&gt;0,
     COUNTIFS($AE$2:$AE$200,$G180)&gt;0,
     COUNTIFS($AF$2:$AF$200,$G180)&gt;0,
     COUNTIFS($AG$2:$AG$200,$G180)&gt;0,
     COUNTIFS($AH$2:$AH$200,$G180)&gt;0,
     COUNTIFS($AI$2:$AI$200,$G180)&gt;0,
     COUNTIFS($AJ$2:$AJ$200,$G180)&gt;0,
     COUNTIFS($AK$2:$AK$200,$G180)&gt;0,
     COUNTIFS($AL$2:$AL$200,$G180)&gt;0,
     COUNTIFS($AM$2:$AM$200,$G180)&gt;0,
     COUNTIFS($AN$2:$AN$200,$G180)&gt;0,
     COUNTIFS($AO$2:$AO$200,$G180)&gt;0,
     COUNTIFS($AP$2:$AP$200,$G180)&gt;0,
     COUNTIFS($AQ$2:$AQ$200,$G180)&gt;0,
     COUNTIFS($AR$2:$AR$200,$G180)&gt;0,
     COUNTIFS($AS$2:$AS$200,$G180)&gt;0,
     COUNTIFS($AT$2:$AT$200,$G180)&gt;0,
     COUNTIFS($AU$2:$AU$200,$G180)&gt;0,
     COUNTIFS($AV$2:$AV$200,$G180)&gt;0,
     COUNTIFS($AW$2:$AW$200,$G180)&gt;0,
     COUNTIFS($AX$2:$AX$200,$G180)&gt;0,
     COUNTIFS($AY$2:$AY$200,$G180)&gt;0
   )),
  ),
  2
 ),
"")</f>
        <v/>
      </c>
      <c r="E180" s="2" t="str" cm="1">
        <f t="array" aca="1" ref="E180" ca="1">IFERROR(
 INDEX(
  _xlfn._xlws.FILTER($V$1:$AY$1,
   TRANSPOSE(
    CHOOSE({1;2;3;4;5;6;7;8;9;10;11;12;13;14;15;16;17;18;19;20;21;22;23;24;25;26;27;28;29;30},
     COUNTIFS($V$2:$V$200,$G180)&gt;0,
     COUNTIFS($W$2:$W$200,$G180)&gt;0,
     COUNTIFS($X$2:$X$200,$G180)&gt;0,
     COUNTIFS($Y$2:$Y$200,$G180)&gt;0,
     COUNTIFS($Z$2:$Z$200,$G180)&gt;0,
     COUNTIFS($AA$2:$AA$200,$G180)&gt;0,
     COUNTIFS($AB$2:$AB$200,$G180)&gt;0,
     COUNTIFS($AC$2:$AC$200,$G180)&gt;0,
     COUNTIFS($AD$2:$AD$200,$G180)&gt;0,
     COUNTIFS($AE$2:$AE$200,$G180)&gt;0,
     COUNTIFS($AF$2:$AF$200,$G180)&gt;0,
     COUNTIFS($AG$2:$AG$200,$G180)&gt;0,
     COUNTIFS($AH$2:$AH$200,$G180)&gt;0,
     COUNTIFS($AI$2:$AI$200,$G180)&gt;0,
     COUNTIFS($AJ$2:$AJ$200,$G180)&gt;0,
     COUNTIFS($AK$2:$AK$200,$G180)&gt;0,
     COUNTIFS($AL$2:$AL$200,$G180)&gt;0,
     COUNTIFS($AM$2:$AM$200,$G180)&gt;0,
     COUNTIFS($AN$2:$AN$200,$G180)&gt;0,
     COUNTIFS($AO$2:$AO$200,$G180)&gt;0,
     COUNTIFS($AP$2:$AP$200,$G180)&gt;0,
     COUNTIFS($AQ$2:$AQ$200,$G180)&gt;0,
     COUNTIFS($AR$2:$AR$200,$G180)&gt;0,
     COUNTIFS($AS$2:$AS$200,$G180)&gt;0,
     COUNTIFS($AT$2:$AT$200,$G180)&gt;0,
     COUNTIFS($AU$2:$AU$200,$G180)&gt;0,
     COUNTIFS($AV$2:$AV$200,$G180)&gt;0,
     COUNTIFS($AW$2:$AW$200,$G180)&gt;0,
     COUNTIFS($AX$2:$AX$200,$G180)&gt;0,
     COUNTIFS($AY$2:$AY$200,$G180)&gt;0
   )),
  ),
  3
 ),
"")</f>
        <v/>
      </c>
      <c r="F180" s="2" t="str" cm="1">
        <f t="array" aca="1" ref="F180" ca="1">IFERROR(
 INDEX(
  _xlfn._xlws.FILTER($V$1:$AY$1,
   TRANSPOSE(
    CHOOSE({1;2;3;4;5;6;7;8;9;10;11;12;13;14;15;16;17;18;19;20;21;22;23;24;25;26;27;28;29;30},
     COUNTIFS($V$2:$V$200,$G180)&gt;0,
     COUNTIFS($W$2:$W$200,$G180)&gt;0,
     COUNTIFS($X$2:$X$200,$G180)&gt;0,
     COUNTIFS($Y$2:$Y$200,$G180)&gt;0,
     COUNTIFS($Z$2:$Z$200,$G180)&gt;0,
     COUNTIFS($AA$2:$AA$200,$G180)&gt;0,
     COUNTIFS($AB$2:$AB$200,$G180)&gt;0,
     COUNTIFS($AC$2:$AC$200,$G180)&gt;0,
     COUNTIFS($AD$2:$AD$200,$G180)&gt;0,
     COUNTIFS($AE$2:$AE$200,$G180)&gt;0,
     COUNTIFS($AF$2:$AF$200,$G180)&gt;0,
     COUNTIFS($AG$2:$AG$200,$G180)&gt;0,
     COUNTIFS($AH$2:$AH$200,$G180)&gt;0,
     COUNTIFS($AI$2:$AI$200,$G180)&gt;0,
     COUNTIFS($AJ$2:$AJ$200,$G180)&gt;0,
     COUNTIFS($AK$2:$AK$200,$G180)&gt;0,
     COUNTIFS($AL$2:$AL$200,$G180)&gt;0,
     COUNTIFS($AM$2:$AM$200,$G180)&gt;0,
     COUNTIFS($AN$2:$AN$200,$G180)&gt;0,
     COUNTIFS($AO$2:$AO$200,$G180)&gt;0,
     COUNTIFS($AP$2:$AP$200,$G180)&gt;0,
     COUNTIFS($AQ$2:$AQ$200,$G180)&gt;0,
     COUNTIFS($AR$2:$AR$200,$G180)&gt;0,
     COUNTIFS($AS$2:$AS$200,$G180)&gt;0,
     COUNTIFS($AT$2:$AT$200,$G180)&gt;0,
     COUNTIFS($AU$2:$AU$200,$G180)&gt;0,
     COUNTIFS($AV$2:$AV$200,$G180)&gt;0,
     COUNTIFS($AW$2:$AW$200,$G180)&gt;0,
     COUNTIFS($AX$2:$AX$200,$G180)&gt;0,
     COUNTIFS($AY$2:$AY$200,$G180)&gt;0
   )),
  ),
  4
 ),
"")</f>
        <v/>
      </c>
      <c r="G180" t="str">
        <f ca="1"/>
        <v>Giver of Runes</v>
      </c>
      <c r="EP180" t="str">
        <f ca="1"/>
        <v>Ulamog's Dreadsire</v>
      </c>
      <c r="EQ180" t="str">
        <f ca="1"/>
        <v>Three Tree City</v>
      </c>
      <c r="ER180" t="str">
        <f ca="1"/>
        <v>Thought Vessel</v>
      </c>
      <c r="EU180" t="str">
        <f ca="1"/>
        <v>Manaweft Sliver</v>
      </c>
      <c r="EV180" t="str">
        <f ca="1"/>
        <v>Thought Vessel</v>
      </c>
      <c r="EX180" t="str">
        <f ca="1"/>
        <v>Giver of Runes</v>
      </c>
    </row>
    <row r="181" spans="1:154" x14ac:dyDescent="0.25">
      <c r="A181" s="2" t="str">
        <f t="shared" ca="1" si="10"/>
        <v>3</v>
      </c>
      <c r="B181" s="2">
        <f t="shared" ca="1" si="11"/>
        <v>1</v>
      </c>
      <c r="C181" s="2" t="str">
        <f ca="1">IFERROR(
 INDEX($V$1:$BL$1,
  MATCH(TRUE,
   CHOOSE({1;2;3;4;5;6;7;8;9;10;11;12;13;14;15;16;17;18;19;20;21;22;23;24;25;26;27;28;29;30;31;32;33;34;35;36;37;38;39;40;41;42;43},
    COUNTIFS($V$2:$V$200,$G181)&gt;0,
    COUNTIFS($W$2:$W$200,$G181)&gt;0,
    COUNTIFS($X$2:$X$200,$G181)&gt;0,
    COUNTIFS($Y$2:$Y$200,$G181)&gt;0,
    COUNTIFS($Z$2:$Z$200,$G181)&gt;0,
    COUNTIFS($AA$2:$AA$200,$G181)&gt;0,
    COUNTIFS($AB$2:$AB$200,$G181)&gt;0,
    COUNTIFS($AC$2:$AC$200,$G181)&gt;0,
    COUNTIFS($AD$2:$AD$200,$G181)&gt;0,
    COUNTIFS($AE$2:$AE$200,$G181)&gt;0,
    COUNTIFS($AF$2:$AF$200,$G181)&gt;0,
    COUNTIFS($AG$2:$AG$200,$G181)&gt;0,
    COUNTIFS($AH$2:$AH$200,$G181)&gt;0,
    COUNTIFS($AI$2:$AI$200,$G181)&gt;0,
    COUNTIFS($AJ$2:$AJ$200,$G181)&gt;0,
    COUNTIFS($AK$2:$AK$200,$G181)&gt;0,
    COUNTIFS($AL$2:$AL$200,$G181)&gt;0,
    COUNTIFS($AM$2:$AM$200,$G181)&gt;0,
    COUNTIFS($AN$2:$AN$200,$G181)&gt;0,
    COUNTIFS($AO$2:$AO$200,$G181)&gt;0,
    COUNTIFS($AP$2:$AP$200,$G181)&gt;0,
    COUNTIFS($AQ$2:$AQ$200,$G181)&gt;0,
    COUNTIFS($AR$2:$AR$200,$G181)&gt;0,
    COUNTIFS($AS$2:$AS$200,$G181)&gt;0,
    COUNTIFS($AT$2:$AT$200,$G181)&gt;0,
    COUNTIFS($AU$2:$AU$200,$G181)&gt;0,
    COUNTIFS($AV$2:$AV$200,$G181)&gt;0,
    COUNTIFS($AW$2:$AW$200,$G181)&gt;0,
    COUNTIFS($AX$2:$AX$200,$G181)&gt;0,
    COUNTIFS($AY$2:$AY$200,$G181)&gt;0,
    COUNTIFS($AZ$2:$AZ$200,$G181)&gt;0,
    COUNTIFS($BA$2:$BA$200,$G181)&gt;0,
    COUNTIFS($BB$2:$BB$200,$G181)&gt;0,
    COUNTIFS($BC$2:$BC$200,$G181)&gt;0,
    COUNTIFS($BD$2:$BD$200,$G181)&gt;0,
    COUNTIFS($BE$2:$BE$200,$G181)&gt;0,
    COUNTIFS($BF$2:$BF$200,$G181)&gt;0,
    COUNTIFS($BG$2:$BG$200,$G181)&gt;0,
    COUNTIFS($BH$2:$BH$200,$G181)&gt;0,
    COUNTIFS($BI$2:$BI$200,$G181)&gt;0,
    COUNTIFS($BJ$2:$BJ$200,$G181)&gt;0,
    COUNTIFS($BK$2:$BK$200,$G181)&gt;0,
    COUNTIFS($BL$2:$BL$200,$G181)&gt;0,
    COUNTIFS($BM$2:$BM$200,$G181)&gt;0,
   ),
  0)
 ),
"")</f>
        <v>Inalla</v>
      </c>
      <c r="D181" s="2" t="str" cm="1">
        <f t="array" aca="1" ref="D181" ca="1">IFERROR(
 INDEX(
  _xlfn._xlws.FILTER($V$1:$AY$1,
   TRANSPOSE(
    CHOOSE({1;2;3;4;5;6;7;8;9;10;11;12;13;14;15;16;17;18;19;20;21;22;23;24;25;26;27;28;29;30},
     COUNTIFS($V$2:$V$200,$G181)&gt;0,
     COUNTIFS($W$2:$W$200,$G181)&gt;0,
     COUNTIFS($X$2:$X$200,$G181)&gt;0,
     COUNTIFS($Y$2:$Y$200,$G181)&gt;0,
     COUNTIFS($Z$2:$Z$200,$G181)&gt;0,
     COUNTIFS($AA$2:$AA$200,$G181)&gt;0,
     COUNTIFS($AB$2:$AB$200,$G181)&gt;0,
     COUNTIFS($AC$2:$AC$200,$G181)&gt;0,
     COUNTIFS($AD$2:$AD$200,$G181)&gt;0,
     COUNTIFS($AE$2:$AE$200,$G181)&gt;0,
     COUNTIFS($AF$2:$AF$200,$G181)&gt;0,
     COUNTIFS($AG$2:$AG$200,$G181)&gt;0,
     COUNTIFS($AH$2:$AH$200,$G181)&gt;0,
     COUNTIFS($AI$2:$AI$200,$G181)&gt;0,
     COUNTIFS($AJ$2:$AJ$200,$G181)&gt;0,
     COUNTIFS($AK$2:$AK$200,$G181)&gt;0,
     COUNTIFS($AL$2:$AL$200,$G181)&gt;0,
     COUNTIFS($AM$2:$AM$200,$G181)&gt;0,
     COUNTIFS($AN$2:$AN$200,$G181)&gt;0,
     COUNTIFS($AO$2:$AO$200,$G181)&gt;0,
     COUNTIFS($AP$2:$AP$200,$G181)&gt;0,
     COUNTIFS($AQ$2:$AQ$200,$G181)&gt;0,
     COUNTIFS($AR$2:$AR$200,$G181)&gt;0,
     COUNTIFS($AS$2:$AS$200,$G181)&gt;0,
     COUNTIFS($AT$2:$AT$200,$G181)&gt;0,
     COUNTIFS($AU$2:$AU$200,$G181)&gt;0,
     COUNTIFS($AV$2:$AV$200,$G181)&gt;0,
     COUNTIFS($AW$2:$AW$200,$G181)&gt;0,
     COUNTIFS($AX$2:$AX$200,$G181)&gt;0,
     COUNTIFS($AY$2:$AY$200,$G181)&gt;0
   )),
  ),
  2
 ),
"")</f>
        <v/>
      </c>
      <c r="E181" s="2" t="str" cm="1">
        <f t="array" aca="1" ref="E181" ca="1">IFERROR(
 INDEX(
  _xlfn._xlws.FILTER($V$1:$AY$1,
   TRANSPOSE(
    CHOOSE({1;2;3;4;5;6;7;8;9;10;11;12;13;14;15;16;17;18;19;20;21;22;23;24;25;26;27;28;29;30},
     COUNTIFS($V$2:$V$200,$G181)&gt;0,
     COUNTIFS($W$2:$W$200,$G181)&gt;0,
     COUNTIFS($X$2:$X$200,$G181)&gt;0,
     COUNTIFS($Y$2:$Y$200,$G181)&gt;0,
     COUNTIFS($Z$2:$Z$200,$G181)&gt;0,
     COUNTIFS($AA$2:$AA$200,$G181)&gt;0,
     COUNTIFS($AB$2:$AB$200,$G181)&gt;0,
     COUNTIFS($AC$2:$AC$200,$G181)&gt;0,
     COUNTIFS($AD$2:$AD$200,$G181)&gt;0,
     COUNTIFS($AE$2:$AE$200,$G181)&gt;0,
     COUNTIFS($AF$2:$AF$200,$G181)&gt;0,
     COUNTIFS($AG$2:$AG$200,$G181)&gt;0,
     COUNTIFS($AH$2:$AH$200,$G181)&gt;0,
     COUNTIFS($AI$2:$AI$200,$G181)&gt;0,
     COUNTIFS($AJ$2:$AJ$200,$G181)&gt;0,
     COUNTIFS($AK$2:$AK$200,$G181)&gt;0,
     COUNTIFS($AL$2:$AL$200,$G181)&gt;0,
     COUNTIFS($AM$2:$AM$200,$G181)&gt;0,
     COUNTIFS($AN$2:$AN$200,$G181)&gt;0,
     COUNTIFS($AO$2:$AO$200,$G181)&gt;0,
     COUNTIFS($AP$2:$AP$200,$G181)&gt;0,
     COUNTIFS($AQ$2:$AQ$200,$G181)&gt;0,
     COUNTIFS($AR$2:$AR$200,$G181)&gt;0,
     COUNTIFS($AS$2:$AS$200,$G181)&gt;0,
     COUNTIFS($AT$2:$AT$200,$G181)&gt;0,
     COUNTIFS($AU$2:$AU$200,$G181)&gt;0,
     COUNTIFS($AV$2:$AV$200,$G181)&gt;0,
     COUNTIFS($AW$2:$AW$200,$G181)&gt;0,
     COUNTIFS($AX$2:$AX$200,$G181)&gt;0,
     COUNTIFS($AY$2:$AY$200,$G181)&gt;0
   )),
  ),
  3
 ),
"")</f>
        <v/>
      </c>
      <c r="F181" s="2" t="str" cm="1">
        <f t="array" aca="1" ref="F181" ca="1">IFERROR(
 INDEX(
  _xlfn._xlws.FILTER($V$1:$AY$1,
   TRANSPOSE(
    CHOOSE({1;2;3;4;5;6;7;8;9;10;11;12;13;14;15;16;17;18;19;20;21;22;23;24;25;26;27;28;29;30},
     COUNTIFS($V$2:$V$200,$G181)&gt;0,
     COUNTIFS($W$2:$W$200,$G181)&gt;0,
     COUNTIFS($X$2:$X$200,$G181)&gt;0,
     COUNTIFS($Y$2:$Y$200,$G181)&gt;0,
     COUNTIFS($Z$2:$Z$200,$G181)&gt;0,
     COUNTIFS($AA$2:$AA$200,$G181)&gt;0,
     COUNTIFS($AB$2:$AB$200,$G181)&gt;0,
     COUNTIFS($AC$2:$AC$200,$G181)&gt;0,
     COUNTIFS($AD$2:$AD$200,$G181)&gt;0,
     COUNTIFS($AE$2:$AE$200,$G181)&gt;0,
     COUNTIFS($AF$2:$AF$200,$G181)&gt;0,
     COUNTIFS($AG$2:$AG$200,$G181)&gt;0,
     COUNTIFS($AH$2:$AH$200,$G181)&gt;0,
     COUNTIFS($AI$2:$AI$200,$G181)&gt;0,
     COUNTIFS($AJ$2:$AJ$200,$G181)&gt;0,
     COUNTIFS($AK$2:$AK$200,$G181)&gt;0,
     COUNTIFS($AL$2:$AL$200,$G181)&gt;0,
     COUNTIFS($AM$2:$AM$200,$G181)&gt;0,
     COUNTIFS($AN$2:$AN$200,$G181)&gt;0,
     COUNTIFS($AO$2:$AO$200,$G181)&gt;0,
     COUNTIFS($AP$2:$AP$200,$G181)&gt;0,
     COUNTIFS($AQ$2:$AQ$200,$G181)&gt;0,
     COUNTIFS($AR$2:$AR$200,$G181)&gt;0,
     COUNTIFS($AS$2:$AS$200,$G181)&gt;0,
     COUNTIFS($AT$2:$AT$200,$G181)&gt;0,
     COUNTIFS($AU$2:$AU$200,$G181)&gt;0,
     COUNTIFS($AV$2:$AV$200,$G181)&gt;0,
     COUNTIFS($AW$2:$AW$200,$G181)&gt;0,
     COUNTIFS($AX$2:$AX$200,$G181)&gt;0,
     COUNTIFS($AY$2:$AY$200,$G181)&gt;0
   )),
  ),
  4
 ),
"")</f>
        <v/>
      </c>
      <c r="G181" t="str">
        <f ca="1"/>
        <v>Glasspool Mimic</v>
      </c>
      <c r="EP181" t="str">
        <f ca="1"/>
        <v>Unbreakable Formation</v>
      </c>
      <c r="EQ181" t="str">
        <f ca="1"/>
        <v>Thrumming Hivepool</v>
      </c>
      <c r="ER181" t="str">
        <f ca="1"/>
        <v>Tocasia's Welcome</v>
      </c>
      <c r="EU181" t="str">
        <f ca="1"/>
        <v>Mandate of Abaddon</v>
      </c>
      <c r="EV181" t="str">
        <f ca="1"/>
        <v>Tocasia's Welcome</v>
      </c>
      <c r="EX181" t="str">
        <f ca="1"/>
        <v>Glasspool Mimic</v>
      </c>
    </row>
    <row r="182" spans="1:154" x14ac:dyDescent="0.25">
      <c r="A182" s="2" t="str">
        <f t="shared" ca="1" si="10"/>
        <v>2</v>
      </c>
      <c r="B182" s="2">
        <f t="shared" ca="1" si="11"/>
        <v>2</v>
      </c>
      <c r="C182" s="2" t="str">
        <f ca="1">IFERROR(
 INDEX($V$1:$BL$1,
  MATCH(TRUE,
   CHOOSE({1;2;3;4;5;6;7;8;9;10;11;12;13;14;15;16;17;18;19;20;21;22;23;24;25;26;27;28;29;30;31;32;33;34;35;36;37;38;39;40;41;42;43},
    COUNTIFS($V$2:$V$200,$G182)&gt;0,
    COUNTIFS($W$2:$W$200,$G182)&gt;0,
    COUNTIFS($X$2:$X$200,$G182)&gt;0,
    COUNTIFS($Y$2:$Y$200,$G182)&gt;0,
    COUNTIFS($Z$2:$Z$200,$G182)&gt;0,
    COUNTIFS($AA$2:$AA$200,$G182)&gt;0,
    COUNTIFS($AB$2:$AB$200,$G182)&gt;0,
    COUNTIFS($AC$2:$AC$200,$G182)&gt;0,
    COUNTIFS($AD$2:$AD$200,$G182)&gt;0,
    COUNTIFS($AE$2:$AE$200,$G182)&gt;0,
    COUNTIFS($AF$2:$AF$200,$G182)&gt;0,
    COUNTIFS($AG$2:$AG$200,$G182)&gt;0,
    COUNTIFS($AH$2:$AH$200,$G182)&gt;0,
    COUNTIFS($AI$2:$AI$200,$G182)&gt;0,
    COUNTIFS($AJ$2:$AJ$200,$G182)&gt;0,
    COUNTIFS($AK$2:$AK$200,$G182)&gt;0,
    COUNTIFS($AL$2:$AL$200,$G182)&gt;0,
    COUNTIFS($AM$2:$AM$200,$G182)&gt;0,
    COUNTIFS($AN$2:$AN$200,$G182)&gt;0,
    COUNTIFS($AO$2:$AO$200,$G182)&gt;0,
    COUNTIFS($AP$2:$AP$200,$G182)&gt;0,
    COUNTIFS($AQ$2:$AQ$200,$G182)&gt;0,
    COUNTIFS($AR$2:$AR$200,$G182)&gt;0,
    COUNTIFS($AS$2:$AS$200,$G182)&gt;0,
    COUNTIFS($AT$2:$AT$200,$G182)&gt;0,
    COUNTIFS($AU$2:$AU$200,$G182)&gt;0,
    COUNTIFS($AV$2:$AV$200,$G182)&gt;0,
    COUNTIFS($AW$2:$AW$200,$G182)&gt;0,
    COUNTIFS($AX$2:$AX$200,$G182)&gt;0,
    COUNTIFS($AY$2:$AY$200,$G182)&gt;0,
    COUNTIFS($AZ$2:$AZ$200,$G182)&gt;0,
    COUNTIFS($BA$2:$BA$200,$G182)&gt;0,
    COUNTIFS($BB$2:$BB$200,$G182)&gt;0,
    COUNTIFS($BC$2:$BC$200,$G182)&gt;0,
    COUNTIFS($BD$2:$BD$200,$G182)&gt;0,
    COUNTIFS($BE$2:$BE$200,$G182)&gt;0,
    COUNTIFS($BF$2:$BF$200,$G182)&gt;0,
    COUNTIFS($BG$2:$BG$200,$G182)&gt;0,
    COUNTIFS($BH$2:$BH$200,$G182)&gt;0,
    COUNTIFS($BI$2:$BI$200,$G182)&gt;0,
    COUNTIFS($BJ$2:$BJ$200,$G182)&gt;0,
    COUNTIFS($BK$2:$BK$200,$G182)&gt;0,
    COUNTIFS($BL$2:$BL$200,$G182)&gt;0,
    COUNTIFS($BM$2:$BM$200,$G182)&gt;0,
   ),
  0)
 ),
"")</f>
        <v>VialIshai</v>
      </c>
      <c r="D182" s="2" t="str" cm="1">
        <f t="array" aca="1" ref="D182" ca="1">IFERROR(
 INDEX(
  _xlfn._xlws.FILTER($V$1:$AY$1,
   TRANSPOSE(
    CHOOSE({1;2;3;4;5;6;7;8;9;10;11;12;13;14;15;16;17;18;19;20;21;22;23;24;25;26;27;28;29;30},
     COUNTIFS($V$2:$V$200,$G182)&gt;0,
     COUNTIFS($W$2:$W$200,$G182)&gt;0,
     COUNTIFS($X$2:$X$200,$G182)&gt;0,
     COUNTIFS($Y$2:$Y$200,$G182)&gt;0,
     COUNTIFS($Z$2:$Z$200,$G182)&gt;0,
     COUNTIFS($AA$2:$AA$200,$G182)&gt;0,
     COUNTIFS($AB$2:$AB$200,$G182)&gt;0,
     COUNTIFS($AC$2:$AC$200,$G182)&gt;0,
     COUNTIFS($AD$2:$AD$200,$G182)&gt;0,
     COUNTIFS($AE$2:$AE$200,$G182)&gt;0,
     COUNTIFS($AF$2:$AF$200,$G182)&gt;0,
     COUNTIFS($AG$2:$AG$200,$G182)&gt;0,
     COUNTIFS($AH$2:$AH$200,$G182)&gt;0,
     COUNTIFS($AI$2:$AI$200,$G182)&gt;0,
     COUNTIFS($AJ$2:$AJ$200,$G182)&gt;0,
     COUNTIFS($AK$2:$AK$200,$G182)&gt;0,
     COUNTIFS($AL$2:$AL$200,$G182)&gt;0,
     COUNTIFS($AM$2:$AM$200,$G182)&gt;0,
     COUNTIFS($AN$2:$AN$200,$G182)&gt;0,
     COUNTIFS($AO$2:$AO$200,$G182)&gt;0,
     COUNTIFS($AP$2:$AP$200,$G182)&gt;0,
     COUNTIFS($AQ$2:$AQ$200,$G182)&gt;0,
     COUNTIFS($AR$2:$AR$200,$G182)&gt;0,
     COUNTIFS($AS$2:$AS$200,$G182)&gt;0,
     COUNTIFS($AT$2:$AT$200,$G182)&gt;0,
     COUNTIFS($AU$2:$AU$200,$G182)&gt;0,
     COUNTIFS($AV$2:$AV$200,$G182)&gt;0,
     COUNTIFS($AW$2:$AW$200,$G182)&gt;0,
     COUNTIFS($AX$2:$AX$200,$G182)&gt;0,
     COUNTIFS($AY$2:$AY$200,$G182)&gt;0
   )),
  ),
  2
 ),
"")</f>
        <v>Oona</v>
      </c>
      <c r="E182" s="2" t="str" cm="1">
        <f t="array" aca="1" ref="E182" ca="1">IFERROR(
 INDEX(
  _xlfn._xlws.FILTER($V$1:$AY$1,
   TRANSPOSE(
    CHOOSE({1;2;3;4;5;6;7;8;9;10;11;12;13;14;15;16;17;18;19;20;21;22;23;24;25;26;27;28;29;30},
     COUNTIFS($V$2:$V$200,$G182)&gt;0,
     COUNTIFS($W$2:$W$200,$G182)&gt;0,
     COUNTIFS($X$2:$X$200,$G182)&gt;0,
     COUNTIFS($Y$2:$Y$200,$G182)&gt;0,
     COUNTIFS($Z$2:$Z$200,$G182)&gt;0,
     COUNTIFS($AA$2:$AA$200,$G182)&gt;0,
     COUNTIFS($AB$2:$AB$200,$G182)&gt;0,
     COUNTIFS($AC$2:$AC$200,$G182)&gt;0,
     COUNTIFS($AD$2:$AD$200,$G182)&gt;0,
     COUNTIFS($AE$2:$AE$200,$G182)&gt;0,
     COUNTIFS($AF$2:$AF$200,$G182)&gt;0,
     COUNTIFS($AG$2:$AG$200,$G182)&gt;0,
     COUNTIFS($AH$2:$AH$200,$G182)&gt;0,
     COUNTIFS($AI$2:$AI$200,$G182)&gt;0,
     COUNTIFS($AJ$2:$AJ$200,$G182)&gt;0,
     COUNTIFS($AK$2:$AK$200,$G182)&gt;0,
     COUNTIFS($AL$2:$AL$200,$G182)&gt;0,
     COUNTIFS($AM$2:$AM$200,$G182)&gt;0,
     COUNTIFS($AN$2:$AN$200,$G182)&gt;0,
     COUNTIFS($AO$2:$AO$200,$G182)&gt;0,
     COUNTIFS($AP$2:$AP$200,$G182)&gt;0,
     COUNTIFS($AQ$2:$AQ$200,$G182)&gt;0,
     COUNTIFS($AR$2:$AR$200,$G182)&gt;0,
     COUNTIFS($AS$2:$AS$200,$G182)&gt;0,
     COUNTIFS($AT$2:$AT$200,$G182)&gt;0,
     COUNTIFS($AU$2:$AU$200,$G182)&gt;0,
     COUNTIFS($AV$2:$AV$200,$G182)&gt;0,
     COUNTIFS($AW$2:$AW$200,$G182)&gt;0,
     COUNTIFS($AX$2:$AX$200,$G182)&gt;0,
     COUNTIFS($AY$2:$AY$200,$G182)&gt;0
   )),
  ),
  3
 ),
"")</f>
        <v/>
      </c>
      <c r="F182" s="2" t="str" cm="1">
        <f t="array" aca="1" ref="F182" ca="1">IFERROR(
 INDEX(
  _xlfn._xlws.FILTER($V$1:$AY$1,
   TRANSPOSE(
    CHOOSE({1;2;3;4;5;6;7;8;9;10;11;12;13;14;15;16;17;18;19;20;21;22;23;24;25;26;27;28;29;30},
     COUNTIFS($V$2:$V$200,$G182)&gt;0,
     COUNTIFS($W$2:$W$200,$G182)&gt;0,
     COUNTIFS($X$2:$X$200,$G182)&gt;0,
     COUNTIFS($Y$2:$Y$200,$G182)&gt;0,
     COUNTIFS($Z$2:$Z$200,$G182)&gt;0,
     COUNTIFS($AA$2:$AA$200,$G182)&gt;0,
     COUNTIFS($AB$2:$AB$200,$G182)&gt;0,
     COUNTIFS($AC$2:$AC$200,$G182)&gt;0,
     COUNTIFS($AD$2:$AD$200,$G182)&gt;0,
     COUNTIFS($AE$2:$AE$200,$G182)&gt;0,
     COUNTIFS($AF$2:$AF$200,$G182)&gt;0,
     COUNTIFS($AG$2:$AG$200,$G182)&gt;0,
     COUNTIFS($AH$2:$AH$200,$G182)&gt;0,
     COUNTIFS($AI$2:$AI$200,$G182)&gt;0,
     COUNTIFS($AJ$2:$AJ$200,$G182)&gt;0,
     COUNTIFS($AK$2:$AK$200,$G182)&gt;0,
     COUNTIFS($AL$2:$AL$200,$G182)&gt;0,
     COUNTIFS($AM$2:$AM$200,$G182)&gt;0,
     COUNTIFS($AN$2:$AN$200,$G182)&gt;0,
     COUNTIFS($AO$2:$AO$200,$G182)&gt;0,
     COUNTIFS($AP$2:$AP$200,$G182)&gt;0,
     COUNTIFS($AQ$2:$AQ$200,$G182)&gt;0,
     COUNTIFS($AR$2:$AR$200,$G182)&gt;0,
     COUNTIFS($AS$2:$AS$200,$G182)&gt;0,
     COUNTIFS($AT$2:$AT$200,$G182)&gt;0,
     COUNTIFS($AU$2:$AU$200,$G182)&gt;0,
     COUNTIFS($AV$2:$AV$200,$G182)&gt;0,
     COUNTIFS($AW$2:$AW$200,$G182)&gt;0,
     COUNTIFS($AX$2:$AX$200,$G182)&gt;0,
     COUNTIFS($AY$2:$AY$200,$G182)&gt;0
   )),
  ),
  4
 ),
"")</f>
        <v/>
      </c>
      <c r="G182" t="str">
        <f ca="1"/>
        <v>Glen Elendra's Answer</v>
      </c>
      <c r="EP182" t="str">
        <f ca="1"/>
        <v>Unholy Annex // Ritual Chamber</v>
      </c>
      <c r="EQ182" t="str">
        <f ca="1"/>
        <v>Tree of Tales</v>
      </c>
      <c r="ER182" t="str">
        <f ca="1"/>
        <v>Toski, Bearer of Secrets</v>
      </c>
      <c r="EU182" t="str">
        <f ca="1"/>
        <v>March of the Canonized</v>
      </c>
      <c r="EV182" t="str">
        <f ca="1"/>
        <v>Toski, Bearer of Secrets</v>
      </c>
      <c r="EX182" t="str">
        <f ca="1"/>
        <v>Glen Elendra's Answer</v>
      </c>
    </row>
    <row r="183" spans="1:154" x14ac:dyDescent="0.25">
      <c r="A183" s="2" t="str">
        <f t="shared" ca="1" si="10"/>
        <v>2</v>
      </c>
      <c r="B183" s="2">
        <f t="shared" ca="1" si="11"/>
        <v>1</v>
      </c>
      <c r="C183" s="2" t="str">
        <f ca="1">IFERROR(
 INDEX($V$1:$BL$1,
  MATCH(TRUE,
   CHOOSE({1;2;3;4;5;6;7;8;9;10;11;12;13;14;15;16;17;18;19;20;21;22;23;24;25;26;27;28;29;30;31;32;33;34;35;36;37;38;39;40;41;42;43},
    COUNTIFS($V$2:$V$200,$G183)&gt;0,
    COUNTIFS($W$2:$W$200,$G183)&gt;0,
    COUNTIFS($X$2:$X$200,$G183)&gt;0,
    COUNTIFS($Y$2:$Y$200,$G183)&gt;0,
    COUNTIFS($Z$2:$Z$200,$G183)&gt;0,
    COUNTIFS($AA$2:$AA$200,$G183)&gt;0,
    COUNTIFS($AB$2:$AB$200,$G183)&gt;0,
    COUNTIFS($AC$2:$AC$200,$G183)&gt;0,
    COUNTIFS($AD$2:$AD$200,$G183)&gt;0,
    COUNTIFS($AE$2:$AE$200,$G183)&gt;0,
    COUNTIFS($AF$2:$AF$200,$G183)&gt;0,
    COUNTIFS($AG$2:$AG$200,$G183)&gt;0,
    COUNTIFS($AH$2:$AH$200,$G183)&gt;0,
    COUNTIFS($AI$2:$AI$200,$G183)&gt;0,
    COUNTIFS($AJ$2:$AJ$200,$G183)&gt;0,
    COUNTIFS($AK$2:$AK$200,$G183)&gt;0,
    COUNTIFS($AL$2:$AL$200,$G183)&gt;0,
    COUNTIFS($AM$2:$AM$200,$G183)&gt;0,
    COUNTIFS($AN$2:$AN$200,$G183)&gt;0,
    COUNTIFS($AO$2:$AO$200,$G183)&gt;0,
    COUNTIFS($AP$2:$AP$200,$G183)&gt;0,
    COUNTIFS($AQ$2:$AQ$200,$G183)&gt;0,
    COUNTIFS($AR$2:$AR$200,$G183)&gt;0,
    COUNTIFS($AS$2:$AS$200,$G183)&gt;0,
    COUNTIFS($AT$2:$AT$200,$G183)&gt;0,
    COUNTIFS($AU$2:$AU$200,$G183)&gt;0,
    COUNTIFS($AV$2:$AV$200,$G183)&gt;0,
    COUNTIFS($AW$2:$AW$200,$G183)&gt;0,
    COUNTIFS($AX$2:$AX$200,$G183)&gt;0,
    COUNTIFS($AY$2:$AY$200,$G183)&gt;0,
    COUNTIFS($AZ$2:$AZ$200,$G183)&gt;0,
    COUNTIFS($BA$2:$BA$200,$G183)&gt;0,
    COUNTIFS($BB$2:$BB$200,$G183)&gt;0,
    COUNTIFS($BC$2:$BC$200,$G183)&gt;0,
    COUNTIFS($BD$2:$BD$200,$G183)&gt;0,
    COUNTIFS($BE$2:$BE$200,$G183)&gt;0,
    COUNTIFS($BF$2:$BF$200,$G183)&gt;0,
    COUNTIFS($BG$2:$BG$200,$G183)&gt;0,
    COUNTIFS($BH$2:$BH$200,$G183)&gt;0,
    COUNTIFS($BI$2:$BI$200,$G183)&gt;0,
    COUNTIFS($BJ$2:$BJ$200,$G183)&gt;0,
    COUNTIFS($BK$2:$BK$200,$G183)&gt;0,
    COUNTIFS($BL$2:$BL$200,$G183)&gt;0,
    COUNTIFS($BM$2:$BM$200,$G183)&gt;0,
   ),
  0)
 ),
"")</f>
        <v>Piratas</v>
      </c>
      <c r="D183" s="2" t="str" cm="1">
        <f t="array" aca="1" ref="D183" ca="1">IFERROR(
 INDEX(
  _xlfn._xlws.FILTER($V$1:$AY$1,
   TRANSPOSE(
    CHOOSE({1;2;3;4;5;6;7;8;9;10;11;12;13;14;15;16;17;18;19;20;21;22;23;24;25;26;27;28;29;30},
     COUNTIFS($V$2:$V$200,$G183)&gt;0,
     COUNTIFS($W$2:$W$200,$G183)&gt;0,
     COUNTIFS($X$2:$X$200,$G183)&gt;0,
     COUNTIFS($Y$2:$Y$200,$G183)&gt;0,
     COUNTIFS($Z$2:$Z$200,$G183)&gt;0,
     COUNTIFS($AA$2:$AA$200,$G183)&gt;0,
     COUNTIFS($AB$2:$AB$200,$G183)&gt;0,
     COUNTIFS($AC$2:$AC$200,$G183)&gt;0,
     COUNTIFS($AD$2:$AD$200,$G183)&gt;0,
     COUNTIFS($AE$2:$AE$200,$G183)&gt;0,
     COUNTIFS($AF$2:$AF$200,$G183)&gt;0,
     COUNTIFS($AG$2:$AG$200,$G183)&gt;0,
     COUNTIFS($AH$2:$AH$200,$G183)&gt;0,
     COUNTIFS($AI$2:$AI$200,$G183)&gt;0,
     COUNTIFS($AJ$2:$AJ$200,$G183)&gt;0,
     COUNTIFS($AK$2:$AK$200,$G183)&gt;0,
     COUNTIFS($AL$2:$AL$200,$G183)&gt;0,
     COUNTIFS($AM$2:$AM$200,$G183)&gt;0,
     COUNTIFS($AN$2:$AN$200,$G183)&gt;0,
     COUNTIFS($AO$2:$AO$200,$G183)&gt;0,
     COUNTIFS($AP$2:$AP$200,$G183)&gt;0,
     COUNTIFS($AQ$2:$AQ$200,$G183)&gt;0,
     COUNTIFS($AR$2:$AR$200,$G183)&gt;0,
     COUNTIFS($AS$2:$AS$200,$G183)&gt;0,
     COUNTIFS($AT$2:$AT$200,$G183)&gt;0,
     COUNTIFS($AU$2:$AU$200,$G183)&gt;0,
     COUNTIFS($AV$2:$AV$200,$G183)&gt;0,
     COUNTIFS($AW$2:$AW$200,$G183)&gt;0,
     COUNTIFS($AX$2:$AX$200,$G183)&gt;0,
     COUNTIFS($AY$2:$AY$200,$G183)&gt;0
   )),
  ),
  2
 ),
"")</f>
        <v/>
      </c>
      <c r="E183" s="2" t="str" cm="1">
        <f t="array" aca="1" ref="E183" ca="1">IFERROR(
 INDEX(
  _xlfn._xlws.FILTER($V$1:$AY$1,
   TRANSPOSE(
    CHOOSE({1;2;3;4;5;6;7;8;9;10;11;12;13;14;15;16;17;18;19;20;21;22;23;24;25;26;27;28;29;30},
     COUNTIFS($V$2:$V$200,$G183)&gt;0,
     COUNTIFS($W$2:$W$200,$G183)&gt;0,
     COUNTIFS($X$2:$X$200,$G183)&gt;0,
     COUNTIFS($Y$2:$Y$200,$G183)&gt;0,
     COUNTIFS($Z$2:$Z$200,$G183)&gt;0,
     COUNTIFS($AA$2:$AA$200,$G183)&gt;0,
     COUNTIFS($AB$2:$AB$200,$G183)&gt;0,
     COUNTIFS($AC$2:$AC$200,$G183)&gt;0,
     COUNTIFS($AD$2:$AD$200,$G183)&gt;0,
     COUNTIFS($AE$2:$AE$200,$G183)&gt;0,
     COUNTIFS($AF$2:$AF$200,$G183)&gt;0,
     COUNTIFS($AG$2:$AG$200,$G183)&gt;0,
     COUNTIFS($AH$2:$AH$200,$G183)&gt;0,
     COUNTIFS($AI$2:$AI$200,$G183)&gt;0,
     COUNTIFS($AJ$2:$AJ$200,$G183)&gt;0,
     COUNTIFS($AK$2:$AK$200,$G183)&gt;0,
     COUNTIFS($AL$2:$AL$200,$G183)&gt;0,
     COUNTIFS($AM$2:$AM$200,$G183)&gt;0,
     COUNTIFS($AN$2:$AN$200,$G183)&gt;0,
     COUNTIFS($AO$2:$AO$200,$G183)&gt;0,
     COUNTIFS($AP$2:$AP$200,$G183)&gt;0,
     COUNTIFS($AQ$2:$AQ$200,$G183)&gt;0,
     COUNTIFS($AR$2:$AR$200,$G183)&gt;0,
     COUNTIFS($AS$2:$AS$200,$G183)&gt;0,
     COUNTIFS($AT$2:$AT$200,$G183)&gt;0,
     COUNTIFS($AU$2:$AU$200,$G183)&gt;0,
     COUNTIFS($AV$2:$AV$200,$G183)&gt;0,
     COUNTIFS($AW$2:$AW$200,$G183)&gt;0,
     COUNTIFS($AX$2:$AX$200,$G183)&gt;0,
     COUNTIFS($AY$2:$AY$200,$G183)&gt;0
   )),
  ),
  3
 ),
"")</f>
        <v/>
      </c>
      <c r="F183" s="2" t="str" cm="1">
        <f t="array" aca="1" ref="F183" ca="1">IFERROR(
 INDEX(
  _xlfn._xlws.FILTER($V$1:$AY$1,
   TRANSPOSE(
    CHOOSE({1;2;3;4;5;6;7;8;9;10;11;12;13;14;15;16;17;18;19;20;21;22;23;24;25;26;27;28;29;30},
     COUNTIFS($V$2:$V$200,$G183)&gt;0,
     COUNTIFS($W$2:$W$200,$G183)&gt;0,
     COUNTIFS($X$2:$X$200,$G183)&gt;0,
     COUNTIFS($Y$2:$Y$200,$G183)&gt;0,
     COUNTIFS($Z$2:$Z$200,$G183)&gt;0,
     COUNTIFS($AA$2:$AA$200,$G183)&gt;0,
     COUNTIFS($AB$2:$AB$200,$G183)&gt;0,
     COUNTIFS($AC$2:$AC$200,$G183)&gt;0,
     COUNTIFS($AD$2:$AD$200,$G183)&gt;0,
     COUNTIFS($AE$2:$AE$200,$G183)&gt;0,
     COUNTIFS($AF$2:$AF$200,$G183)&gt;0,
     COUNTIFS($AG$2:$AG$200,$G183)&gt;0,
     COUNTIFS($AH$2:$AH$200,$G183)&gt;0,
     COUNTIFS($AI$2:$AI$200,$G183)&gt;0,
     COUNTIFS($AJ$2:$AJ$200,$G183)&gt;0,
     COUNTIFS($AK$2:$AK$200,$G183)&gt;0,
     COUNTIFS($AL$2:$AL$200,$G183)&gt;0,
     COUNTIFS($AM$2:$AM$200,$G183)&gt;0,
     COUNTIFS($AN$2:$AN$200,$G183)&gt;0,
     COUNTIFS($AO$2:$AO$200,$G183)&gt;0,
     COUNTIFS($AP$2:$AP$200,$G183)&gt;0,
     COUNTIFS($AQ$2:$AQ$200,$G183)&gt;0,
     COUNTIFS($AR$2:$AR$200,$G183)&gt;0,
     COUNTIFS($AS$2:$AS$200,$G183)&gt;0,
     COUNTIFS($AT$2:$AT$200,$G183)&gt;0,
     COUNTIFS($AU$2:$AU$200,$G183)&gt;0,
     COUNTIFS($AV$2:$AV$200,$G183)&gt;0,
     COUNTIFS($AW$2:$AW$200,$G183)&gt;0,
     COUNTIFS($AX$2:$AX$200,$G183)&gt;0,
     COUNTIFS($AY$2:$AY$200,$G183)&gt;0
   )),
  ),
  4
 ),
"")</f>
        <v/>
      </c>
      <c r="G183" t="str">
        <f ca="1"/>
        <v>Glint-Horn Buccaneer</v>
      </c>
      <c r="EP183" t="str">
        <f ca="1"/>
        <v>Vault of Champions</v>
      </c>
      <c r="EQ183" t="str">
        <f ca="1"/>
        <v>Ulamog, the Defiler</v>
      </c>
      <c r="ER183" t="str">
        <f ca="1"/>
        <v>Toxic Deluge</v>
      </c>
      <c r="EU183" t="str">
        <f ca="1"/>
        <v>Mask of Griselbrand</v>
      </c>
      <c r="EV183" t="str">
        <f ca="1"/>
        <v>Toxic Deluge</v>
      </c>
      <c r="EX183" t="str">
        <f ca="1"/>
        <v>Glint-Horn Buccaneer</v>
      </c>
    </row>
    <row r="184" spans="1:154" x14ac:dyDescent="0.25">
      <c r="A184" s="2" t="str">
        <f t="shared" ca="1" si="10"/>
        <v>5</v>
      </c>
      <c r="B184" s="2">
        <f t="shared" ca="1" si="11"/>
        <v>1</v>
      </c>
      <c r="C184" s="2" t="str">
        <f ca="1">IFERROR(
 INDEX($V$1:$BL$1,
  MATCH(TRUE,
   CHOOSE({1;2;3;4;5;6;7;8;9;10;11;12;13;14;15;16;17;18;19;20;21;22;23;24;25;26;27;28;29;30;31;32;33;34;35;36;37;38;39;40;41;42;43},
    COUNTIFS($V$2:$V$200,$G184)&gt;0,
    COUNTIFS($W$2:$W$200,$G184)&gt;0,
    COUNTIFS($X$2:$X$200,$G184)&gt;0,
    COUNTIFS($Y$2:$Y$200,$G184)&gt;0,
    COUNTIFS($Z$2:$Z$200,$G184)&gt;0,
    COUNTIFS($AA$2:$AA$200,$G184)&gt;0,
    COUNTIFS($AB$2:$AB$200,$G184)&gt;0,
    COUNTIFS($AC$2:$AC$200,$G184)&gt;0,
    COUNTIFS($AD$2:$AD$200,$G184)&gt;0,
    COUNTIFS($AE$2:$AE$200,$G184)&gt;0,
    COUNTIFS($AF$2:$AF$200,$G184)&gt;0,
    COUNTIFS($AG$2:$AG$200,$G184)&gt;0,
    COUNTIFS($AH$2:$AH$200,$G184)&gt;0,
    COUNTIFS($AI$2:$AI$200,$G184)&gt;0,
    COUNTIFS($AJ$2:$AJ$200,$G184)&gt;0,
    COUNTIFS($AK$2:$AK$200,$G184)&gt;0,
    COUNTIFS($AL$2:$AL$200,$G184)&gt;0,
    COUNTIFS($AM$2:$AM$200,$G184)&gt;0,
    COUNTIFS($AN$2:$AN$200,$G184)&gt;0,
    COUNTIFS($AO$2:$AO$200,$G184)&gt;0,
    COUNTIFS($AP$2:$AP$200,$G184)&gt;0,
    COUNTIFS($AQ$2:$AQ$200,$G184)&gt;0,
    COUNTIFS($AR$2:$AR$200,$G184)&gt;0,
    COUNTIFS($AS$2:$AS$200,$G184)&gt;0,
    COUNTIFS($AT$2:$AT$200,$G184)&gt;0,
    COUNTIFS($AU$2:$AU$200,$G184)&gt;0,
    COUNTIFS($AV$2:$AV$200,$G184)&gt;0,
    COUNTIFS($AW$2:$AW$200,$G184)&gt;0,
    COUNTIFS($AX$2:$AX$200,$G184)&gt;0,
    COUNTIFS($AY$2:$AY$200,$G184)&gt;0,
    COUNTIFS($AZ$2:$AZ$200,$G184)&gt;0,
    COUNTIFS($BA$2:$BA$200,$G184)&gt;0,
    COUNTIFS($BB$2:$BB$200,$G184)&gt;0,
    COUNTIFS($BC$2:$BC$200,$G184)&gt;0,
    COUNTIFS($BD$2:$BD$200,$G184)&gt;0,
    COUNTIFS($BE$2:$BE$200,$G184)&gt;0,
    COUNTIFS($BF$2:$BF$200,$G184)&gt;0,
    COUNTIFS($BG$2:$BG$200,$G184)&gt;0,
    COUNTIFS($BH$2:$BH$200,$G184)&gt;0,
    COUNTIFS($BI$2:$BI$200,$G184)&gt;0,
    COUNTIFS($BJ$2:$BJ$200,$G184)&gt;0,
    COUNTIFS($BK$2:$BK$200,$G184)&gt;0,
    COUNTIFS($BL$2:$BL$200,$G184)&gt;0,
    COUNTIFS($BM$2:$BM$200,$G184)&gt;0,
   ),
  0)
 ),
"")</f>
        <v>Fractius</v>
      </c>
      <c r="D184" s="2" t="str" cm="1">
        <f t="array" aca="1" ref="D184" ca="1">IFERROR(
 INDEX(
  _xlfn._xlws.FILTER($V$1:$AY$1,
   TRANSPOSE(
    CHOOSE({1;2;3;4;5;6;7;8;9;10;11;12;13;14;15;16;17;18;19;20;21;22;23;24;25;26;27;28;29;30},
     COUNTIFS($V$2:$V$200,$G184)&gt;0,
     COUNTIFS($W$2:$W$200,$G184)&gt;0,
     COUNTIFS($X$2:$X$200,$G184)&gt;0,
     COUNTIFS($Y$2:$Y$200,$G184)&gt;0,
     COUNTIFS($Z$2:$Z$200,$G184)&gt;0,
     COUNTIFS($AA$2:$AA$200,$G184)&gt;0,
     COUNTIFS($AB$2:$AB$200,$G184)&gt;0,
     COUNTIFS($AC$2:$AC$200,$G184)&gt;0,
     COUNTIFS($AD$2:$AD$200,$G184)&gt;0,
     COUNTIFS($AE$2:$AE$200,$G184)&gt;0,
     COUNTIFS($AF$2:$AF$200,$G184)&gt;0,
     COUNTIFS($AG$2:$AG$200,$G184)&gt;0,
     COUNTIFS($AH$2:$AH$200,$G184)&gt;0,
     COUNTIFS($AI$2:$AI$200,$G184)&gt;0,
     COUNTIFS($AJ$2:$AJ$200,$G184)&gt;0,
     COUNTIFS($AK$2:$AK$200,$G184)&gt;0,
     COUNTIFS($AL$2:$AL$200,$G184)&gt;0,
     COUNTIFS($AM$2:$AM$200,$G184)&gt;0,
     COUNTIFS($AN$2:$AN$200,$G184)&gt;0,
     COUNTIFS($AO$2:$AO$200,$G184)&gt;0,
     COUNTIFS($AP$2:$AP$200,$G184)&gt;0,
     COUNTIFS($AQ$2:$AQ$200,$G184)&gt;0,
     COUNTIFS($AR$2:$AR$200,$G184)&gt;0,
     COUNTIFS($AS$2:$AS$200,$G184)&gt;0,
     COUNTIFS($AT$2:$AT$200,$G184)&gt;0,
     COUNTIFS($AU$2:$AU$200,$G184)&gt;0,
     COUNTIFS($AV$2:$AV$200,$G184)&gt;0,
     COUNTIFS($AW$2:$AW$200,$G184)&gt;0,
     COUNTIFS($AX$2:$AX$200,$G184)&gt;0,
     COUNTIFS($AY$2:$AY$200,$G184)&gt;0
   )),
  ),
  2
 ),
"")</f>
        <v/>
      </c>
      <c r="E184" s="2" t="str" cm="1">
        <f t="array" aca="1" ref="E184" ca="1">IFERROR(
 INDEX(
  _xlfn._xlws.FILTER($V$1:$AY$1,
   TRANSPOSE(
    CHOOSE({1;2;3;4;5;6;7;8;9;10;11;12;13;14;15;16;17;18;19;20;21;22;23;24;25;26;27;28;29;30},
     COUNTIFS($V$2:$V$200,$G184)&gt;0,
     COUNTIFS($W$2:$W$200,$G184)&gt;0,
     COUNTIFS($X$2:$X$200,$G184)&gt;0,
     COUNTIFS($Y$2:$Y$200,$G184)&gt;0,
     COUNTIFS($Z$2:$Z$200,$G184)&gt;0,
     COUNTIFS($AA$2:$AA$200,$G184)&gt;0,
     COUNTIFS($AB$2:$AB$200,$G184)&gt;0,
     COUNTIFS($AC$2:$AC$200,$G184)&gt;0,
     COUNTIFS($AD$2:$AD$200,$G184)&gt;0,
     COUNTIFS($AE$2:$AE$200,$G184)&gt;0,
     COUNTIFS($AF$2:$AF$200,$G184)&gt;0,
     COUNTIFS($AG$2:$AG$200,$G184)&gt;0,
     COUNTIFS($AH$2:$AH$200,$G184)&gt;0,
     COUNTIFS($AI$2:$AI$200,$G184)&gt;0,
     COUNTIFS($AJ$2:$AJ$200,$G184)&gt;0,
     COUNTIFS($AK$2:$AK$200,$G184)&gt;0,
     COUNTIFS($AL$2:$AL$200,$G184)&gt;0,
     COUNTIFS($AM$2:$AM$200,$G184)&gt;0,
     COUNTIFS($AN$2:$AN$200,$G184)&gt;0,
     COUNTIFS($AO$2:$AO$200,$G184)&gt;0,
     COUNTIFS($AP$2:$AP$200,$G184)&gt;0,
     COUNTIFS($AQ$2:$AQ$200,$G184)&gt;0,
     COUNTIFS($AR$2:$AR$200,$G184)&gt;0,
     COUNTIFS($AS$2:$AS$200,$G184)&gt;0,
     COUNTIFS($AT$2:$AT$200,$G184)&gt;0,
     COUNTIFS($AU$2:$AU$200,$G184)&gt;0,
     COUNTIFS($AV$2:$AV$200,$G184)&gt;0,
     COUNTIFS($AW$2:$AW$200,$G184)&gt;0,
     COUNTIFS($AX$2:$AX$200,$G184)&gt;0,
     COUNTIFS($AY$2:$AY$200,$G184)&gt;0
   )),
  ),
  3
 ),
"")</f>
        <v/>
      </c>
      <c r="F184" s="2" t="str" cm="1">
        <f t="array" aca="1" ref="F184" ca="1">IFERROR(
 INDEX(
  _xlfn._xlws.FILTER($V$1:$AY$1,
   TRANSPOSE(
    CHOOSE({1;2;3;4;5;6;7;8;9;10;11;12;13;14;15;16;17;18;19;20;21;22;23;24;25;26;27;28;29;30},
     COUNTIFS($V$2:$V$200,$G184)&gt;0,
     COUNTIFS($W$2:$W$200,$G184)&gt;0,
     COUNTIFS($X$2:$X$200,$G184)&gt;0,
     COUNTIFS($Y$2:$Y$200,$G184)&gt;0,
     COUNTIFS($Z$2:$Z$200,$G184)&gt;0,
     COUNTIFS($AA$2:$AA$200,$G184)&gt;0,
     COUNTIFS($AB$2:$AB$200,$G184)&gt;0,
     COUNTIFS($AC$2:$AC$200,$G184)&gt;0,
     COUNTIFS($AD$2:$AD$200,$G184)&gt;0,
     COUNTIFS($AE$2:$AE$200,$G184)&gt;0,
     COUNTIFS($AF$2:$AF$200,$G184)&gt;0,
     COUNTIFS($AG$2:$AG$200,$G184)&gt;0,
     COUNTIFS($AH$2:$AH$200,$G184)&gt;0,
     COUNTIFS($AI$2:$AI$200,$G184)&gt;0,
     COUNTIFS($AJ$2:$AJ$200,$G184)&gt;0,
     COUNTIFS($AK$2:$AK$200,$G184)&gt;0,
     COUNTIFS($AL$2:$AL$200,$G184)&gt;0,
     COUNTIFS($AM$2:$AM$200,$G184)&gt;0,
     COUNTIFS($AN$2:$AN$200,$G184)&gt;0,
     COUNTIFS($AO$2:$AO$200,$G184)&gt;0,
     COUNTIFS($AP$2:$AP$200,$G184)&gt;0,
     COUNTIFS($AQ$2:$AQ$200,$G184)&gt;0,
     COUNTIFS($AR$2:$AR$200,$G184)&gt;0,
     COUNTIFS($AS$2:$AS$200,$G184)&gt;0,
     COUNTIFS($AT$2:$AT$200,$G184)&gt;0,
     COUNTIFS($AU$2:$AU$200,$G184)&gt;0,
     COUNTIFS($AV$2:$AV$200,$G184)&gt;0,
     COUNTIFS($AW$2:$AW$200,$G184)&gt;0,
     COUNTIFS($AX$2:$AX$200,$G184)&gt;0,
     COUNTIFS($AY$2:$AY$200,$G184)&gt;0
   )),
  ),
  4
 ),
"")</f>
        <v/>
      </c>
      <c r="G184" t="str">
        <f ca="1"/>
        <v>Godless Shrine</v>
      </c>
      <c r="EP184" t="str">
        <f ca="1"/>
        <v>Vault of the Archangel</v>
      </c>
      <c r="EQ184" t="str">
        <f ca="1"/>
        <v>Unsettled Mariner</v>
      </c>
      <c r="ER184" t="str">
        <f ca="1"/>
        <v>Tymna the Weaver</v>
      </c>
      <c r="EU184" t="str">
        <f ca="1"/>
        <v>Merrow Commerce</v>
      </c>
      <c r="EV184" t="str">
        <f ca="1"/>
        <v>Tymna the Weaver</v>
      </c>
      <c r="EX184" t="str">
        <f ca="1"/>
        <v>Godless Shrine</v>
      </c>
    </row>
    <row r="185" spans="1:154" x14ac:dyDescent="0.25">
      <c r="A185" s="2" t="str">
        <f t="shared" ca="1" si="10"/>
        <v>4</v>
      </c>
      <c r="B185" s="2">
        <f t="shared" ca="1" si="11"/>
        <v>1</v>
      </c>
      <c r="C185" s="2" t="str">
        <f ca="1">IFERROR(
 INDEX($V$1:$BL$1,
  MATCH(TRUE,
   CHOOSE({1;2;3;4;5;6;7;8;9;10;11;12;13;14;15;16;17;18;19;20;21;22;23;24;25;26;27;28;29;30;31;32;33;34;35;36;37;38;39;40;41;42;43},
    COUNTIFS($V$2:$V$200,$G185)&gt;0,
    COUNTIFS($W$2:$W$200,$G185)&gt;0,
    COUNTIFS($X$2:$X$200,$G185)&gt;0,
    COUNTIFS($Y$2:$Y$200,$G185)&gt;0,
    COUNTIFS($Z$2:$Z$200,$G185)&gt;0,
    COUNTIFS($AA$2:$AA$200,$G185)&gt;0,
    COUNTIFS($AB$2:$AB$200,$G185)&gt;0,
    COUNTIFS($AC$2:$AC$200,$G185)&gt;0,
    COUNTIFS($AD$2:$AD$200,$G185)&gt;0,
    COUNTIFS($AE$2:$AE$200,$G185)&gt;0,
    COUNTIFS($AF$2:$AF$200,$G185)&gt;0,
    COUNTIFS($AG$2:$AG$200,$G185)&gt;0,
    COUNTIFS($AH$2:$AH$200,$G185)&gt;0,
    COUNTIFS($AI$2:$AI$200,$G185)&gt;0,
    COUNTIFS($AJ$2:$AJ$200,$G185)&gt;0,
    COUNTIFS($AK$2:$AK$200,$G185)&gt;0,
    COUNTIFS($AL$2:$AL$200,$G185)&gt;0,
    COUNTIFS($AM$2:$AM$200,$G185)&gt;0,
    COUNTIFS($AN$2:$AN$200,$G185)&gt;0,
    COUNTIFS($AO$2:$AO$200,$G185)&gt;0,
    COUNTIFS($AP$2:$AP$200,$G185)&gt;0,
    COUNTIFS($AQ$2:$AQ$200,$G185)&gt;0,
    COUNTIFS($AR$2:$AR$200,$G185)&gt;0,
    COUNTIFS($AS$2:$AS$200,$G185)&gt;0,
    COUNTIFS($AT$2:$AT$200,$G185)&gt;0,
    COUNTIFS($AU$2:$AU$200,$G185)&gt;0,
    COUNTIFS($AV$2:$AV$200,$G185)&gt;0,
    COUNTIFS($AW$2:$AW$200,$G185)&gt;0,
    COUNTIFS($AX$2:$AX$200,$G185)&gt;0,
    COUNTIFS($AY$2:$AY$200,$G185)&gt;0,
    COUNTIFS($AZ$2:$AZ$200,$G185)&gt;0,
    COUNTIFS($BA$2:$BA$200,$G185)&gt;0,
    COUNTIFS($BB$2:$BB$200,$G185)&gt;0,
    COUNTIFS($BC$2:$BC$200,$G185)&gt;0,
    COUNTIFS($BD$2:$BD$200,$G185)&gt;0,
    COUNTIFS($BE$2:$BE$200,$G185)&gt;0,
    COUNTIFS($BF$2:$BF$200,$G185)&gt;0,
    COUNTIFS($BG$2:$BG$200,$G185)&gt;0,
    COUNTIFS($BH$2:$BH$200,$G185)&gt;0,
    COUNTIFS($BI$2:$BI$200,$G185)&gt;0,
    COUNTIFS($BJ$2:$BJ$200,$G185)&gt;0,
    COUNTIFS($BK$2:$BK$200,$G185)&gt;0,
    COUNTIFS($BL$2:$BL$200,$G185)&gt;0,
    COUNTIFS($BM$2:$BM$200,$G185)&gt;0,
   ),
  0)
 ),
"")</f>
        <v>Modular</v>
      </c>
      <c r="D185" s="2" t="str" cm="1">
        <f t="array" aca="1" ref="D185" ca="1">IFERROR(
 INDEX(
  _xlfn._xlws.FILTER($V$1:$AY$1,
   TRANSPOSE(
    CHOOSE({1;2;3;4;5;6;7;8;9;10;11;12;13;14;15;16;17;18;19;20;21;22;23;24;25;26;27;28;29;30},
     COUNTIFS($V$2:$V$200,$G185)&gt;0,
     COUNTIFS($W$2:$W$200,$G185)&gt;0,
     COUNTIFS($X$2:$X$200,$G185)&gt;0,
     COUNTIFS($Y$2:$Y$200,$G185)&gt;0,
     COUNTIFS($Z$2:$Z$200,$G185)&gt;0,
     COUNTIFS($AA$2:$AA$200,$G185)&gt;0,
     COUNTIFS($AB$2:$AB$200,$G185)&gt;0,
     COUNTIFS($AC$2:$AC$200,$G185)&gt;0,
     COUNTIFS($AD$2:$AD$200,$G185)&gt;0,
     COUNTIFS($AE$2:$AE$200,$G185)&gt;0,
     COUNTIFS($AF$2:$AF$200,$G185)&gt;0,
     COUNTIFS($AG$2:$AG$200,$G185)&gt;0,
     COUNTIFS($AH$2:$AH$200,$G185)&gt;0,
     COUNTIFS($AI$2:$AI$200,$G185)&gt;0,
     COUNTIFS($AJ$2:$AJ$200,$G185)&gt;0,
     COUNTIFS($AK$2:$AK$200,$G185)&gt;0,
     COUNTIFS($AL$2:$AL$200,$G185)&gt;0,
     COUNTIFS($AM$2:$AM$200,$G185)&gt;0,
     COUNTIFS($AN$2:$AN$200,$G185)&gt;0,
     COUNTIFS($AO$2:$AO$200,$G185)&gt;0,
     COUNTIFS($AP$2:$AP$200,$G185)&gt;0,
     COUNTIFS($AQ$2:$AQ$200,$G185)&gt;0,
     COUNTIFS($AR$2:$AR$200,$G185)&gt;0,
     COUNTIFS($AS$2:$AS$200,$G185)&gt;0,
     COUNTIFS($AT$2:$AT$200,$G185)&gt;0,
     COUNTIFS($AU$2:$AU$200,$G185)&gt;0,
     COUNTIFS($AV$2:$AV$200,$G185)&gt;0,
     COUNTIFS($AW$2:$AW$200,$G185)&gt;0,
     COUNTIFS($AX$2:$AX$200,$G185)&gt;0,
     COUNTIFS($AY$2:$AY$200,$G185)&gt;0
   )),
  ),
  2
 ),
"")</f>
        <v/>
      </c>
      <c r="E185" s="2" t="str" cm="1">
        <f t="array" aca="1" ref="E185" ca="1">IFERROR(
 INDEX(
  _xlfn._xlws.FILTER($V$1:$AY$1,
   TRANSPOSE(
    CHOOSE({1;2;3;4;5;6;7;8;9;10;11;12;13;14;15;16;17;18;19;20;21;22;23;24;25;26;27;28;29;30},
     COUNTIFS($V$2:$V$200,$G185)&gt;0,
     COUNTIFS($W$2:$W$200,$G185)&gt;0,
     COUNTIFS($X$2:$X$200,$G185)&gt;0,
     COUNTIFS($Y$2:$Y$200,$G185)&gt;0,
     COUNTIFS($Z$2:$Z$200,$G185)&gt;0,
     COUNTIFS($AA$2:$AA$200,$G185)&gt;0,
     COUNTIFS($AB$2:$AB$200,$G185)&gt;0,
     COUNTIFS($AC$2:$AC$200,$G185)&gt;0,
     COUNTIFS($AD$2:$AD$200,$G185)&gt;0,
     COUNTIFS($AE$2:$AE$200,$G185)&gt;0,
     COUNTIFS($AF$2:$AF$200,$G185)&gt;0,
     COUNTIFS($AG$2:$AG$200,$G185)&gt;0,
     COUNTIFS($AH$2:$AH$200,$G185)&gt;0,
     COUNTIFS($AI$2:$AI$200,$G185)&gt;0,
     COUNTIFS($AJ$2:$AJ$200,$G185)&gt;0,
     COUNTIFS($AK$2:$AK$200,$G185)&gt;0,
     COUNTIFS($AL$2:$AL$200,$G185)&gt;0,
     COUNTIFS($AM$2:$AM$200,$G185)&gt;0,
     COUNTIFS($AN$2:$AN$200,$G185)&gt;0,
     COUNTIFS($AO$2:$AO$200,$G185)&gt;0,
     COUNTIFS($AP$2:$AP$200,$G185)&gt;0,
     COUNTIFS($AQ$2:$AQ$200,$G185)&gt;0,
     COUNTIFS($AR$2:$AR$200,$G185)&gt;0,
     COUNTIFS($AS$2:$AS$200,$G185)&gt;0,
     COUNTIFS($AT$2:$AT$200,$G185)&gt;0,
     COUNTIFS($AU$2:$AU$200,$G185)&gt;0,
     COUNTIFS($AV$2:$AV$200,$G185)&gt;0,
     COUNTIFS($AW$2:$AW$200,$G185)&gt;0,
     COUNTIFS($AX$2:$AX$200,$G185)&gt;0,
     COUNTIFS($AY$2:$AY$200,$G185)&gt;0
   )),
  ),
  3
 ),
"")</f>
        <v/>
      </c>
      <c r="F185" s="2" t="str" cm="1">
        <f t="array" aca="1" ref="F185" ca="1">IFERROR(
 INDEX(
  _xlfn._xlws.FILTER($V$1:$AY$1,
   TRANSPOSE(
    CHOOSE({1;2;3;4;5;6;7;8;9;10;11;12;13;14;15;16;17;18;19;20;21;22;23;24;25;26;27;28;29;30},
     COUNTIFS($V$2:$V$200,$G185)&gt;0,
     COUNTIFS($W$2:$W$200,$G185)&gt;0,
     COUNTIFS($X$2:$X$200,$G185)&gt;0,
     COUNTIFS($Y$2:$Y$200,$G185)&gt;0,
     COUNTIFS($Z$2:$Z$200,$G185)&gt;0,
     COUNTIFS($AA$2:$AA$200,$G185)&gt;0,
     COUNTIFS($AB$2:$AB$200,$G185)&gt;0,
     COUNTIFS($AC$2:$AC$200,$G185)&gt;0,
     COUNTIFS($AD$2:$AD$200,$G185)&gt;0,
     COUNTIFS($AE$2:$AE$200,$G185)&gt;0,
     COUNTIFS($AF$2:$AF$200,$G185)&gt;0,
     COUNTIFS($AG$2:$AG$200,$G185)&gt;0,
     COUNTIFS($AH$2:$AH$200,$G185)&gt;0,
     COUNTIFS($AI$2:$AI$200,$G185)&gt;0,
     COUNTIFS($AJ$2:$AJ$200,$G185)&gt;0,
     COUNTIFS($AK$2:$AK$200,$G185)&gt;0,
     COUNTIFS($AL$2:$AL$200,$G185)&gt;0,
     COUNTIFS($AM$2:$AM$200,$G185)&gt;0,
     COUNTIFS($AN$2:$AN$200,$G185)&gt;0,
     COUNTIFS($AO$2:$AO$200,$G185)&gt;0,
     COUNTIFS($AP$2:$AP$200,$G185)&gt;0,
     COUNTIFS($AQ$2:$AQ$200,$G185)&gt;0,
     COUNTIFS($AR$2:$AR$200,$G185)&gt;0,
     COUNTIFS($AS$2:$AS$200,$G185)&gt;0,
     COUNTIFS($AT$2:$AT$200,$G185)&gt;0,
     COUNTIFS($AU$2:$AU$200,$G185)&gt;0,
     COUNTIFS($AV$2:$AV$200,$G185)&gt;0,
     COUNTIFS($AW$2:$AW$200,$G185)&gt;0,
     COUNTIFS($AX$2:$AX$200,$G185)&gt;0,
     COUNTIFS($AY$2:$AY$200,$G185)&gt;0
   )),
  ),
  4
 ),
"")</f>
        <v/>
      </c>
      <c r="G185" t="str">
        <f ca="1"/>
        <v>Gonti's Aether Heart</v>
      </c>
      <c r="EP185" t="str">
        <f ca="1"/>
        <v>Vexing Puzzlebox</v>
      </c>
      <c r="EQ185" t="str">
        <f ca="1"/>
        <v>Valfenda</v>
      </c>
      <c r="ER185" t="str">
        <f ca="1"/>
        <v>Ultimate Magic: Holy</v>
      </c>
      <c r="EU185" t="str">
        <f ca="1"/>
        <v>Merrow Harbinger</v>
      </c>
      <c r="EV185" t="str">
        <f ca="1"/>
        <v>Ultimate Magic: Holy</v>
      </c>
      <c r="EX185" t="str">
        <f ca="1"/>
        <v>Gonti's Aether Heart</v>
      </c>
    </row>
    <row r="186" spans="1:154" x14ac:dyDescent="0.25">
      <c r="A186" s="2" t="str">
        <f t="shared" ca="1" si="10"/>
        <v>4</v>
      </c>
      <c r="B186" s="2">
        <f t="shared" ca="1" si="11"/>
        <v>1</v>
      </c>
      <c r="C186" s="2" t="str">
        <f ca="1">IFERROR(
 INDEX($V$1:$BL$1,
  MATCH(TRUE,
   CHOOSE({1;2;3;4;5;6;7;8;9;10;11;12;13;14;15;16;17;18;19;20;21;22;23;24;25;26;27;28;29;30;31;32;33;34;35;36;37;38;39;40;41;42;43},
    COUNTIFS($V$2:$V$200,$G186)&gt;0,
    COUNTIFS($W$2:$W$200,$G186)&gt;0,
    COUNTIFS($X$2:$X$200,$G186)&gt;0,
    COUNTIFS($Y$2:$Y$200,$G186)&gt;0,
    COUNTIFS($Z$2:$Z$200,$G186)&gt;0,
    COUNTIFS($AA$2:$AA$200,$G186)&gt;0,
    COUNTIFS($AB$2:$AB$200,$G186)&gt;0,
    COUNTIFS($AC$2:$AC$200,$G186)&gt;0,
    COUNTIFS($AD$2:$AD$200,$G186)&gt;0,
    COUNTIFS($AE$2:$AE$200,$G186)&gt;0,
    COUNTIFS($AF$2:$AF$200,$G186)&gt;0,
    COUNTIFS($AG$2:$AG$200,$G186)&gt;0,
    COUNTIFS($AH$2:$AH$200,$G186)&gt;0,
    COUNTIFS($AI$2:$AI$200,$G186)&gt;0,
    COUNTIFS($AJ$2:$AJ$200,$G186)&gt;0,
    COUNTIFS($AK$2:$AK$200,$G186)&gt;0,
    COUNTIFS($AL$2:$AL$200,$G186)&gt;0,
    COUNTIFS($AM$2:$AM$200,$G186)&gt;0,
    COUNTIFS($AN$2:$AN$200,$G186)&gt;0,
    COUNTIFS($AO$2:$AO$200,$G186)&gt;0,
    COUNTIFS($AP$2:$AP$200,$G186)&gt;0,
    COUNTIFS($AQ$2:$AQ$200,$G186)&gt;0,
    COUNTIFS($AR$2:$AR$200,$G186)&gt;0,
    COUNTIFS($AS$2:$AS$200,$G186)&gt;0,
    COUNTIFS($AT$2:$AT$200,$G186)&gt;0,
    COUNTIFS($AU$2:$AU$200,$G186)&gt;0,
    COUNTIFS($AV$2:$AV$200,$G186)&gt;0,
    COUNTIFS($AW$2:$AW$200,$G186)&gt;0,
    COUNTIFS($AX$2:$AX$200,$G186)&gt;0,
    COUNTIFS($AY$2:$AY$200,$G186)&gt;0,
    COUNTIFS($AZ$2:$AZ$200,$G186)&gt;0,
    COUNTIFS($BA$2:$BA$200,$G186)&gt;0,
    COUNTIFS($BB$2:$BB$200,$G186)&gt;0,
    COUNTIFS($BC$2:$BC$200,$G186)&gt;0,
    COUNTIFS($BD$2:$BD$200,$G186)&gt;0,
    COUNTIFS($BE$2:$BE$200,$G186)&gt;0,
    COUNTIFS($BF$2:$BF$200,$G186)&gt;0,
    COUNTIFS($BG$2:$BG$200,$G186)&gt;0,
    COUNTIFS($BH$2:$BH$200,$G186)&gt;0,
    COUNTIFS($BI$2:$BI$200,$G186)&gt;0,
    COUNTIFS($BJ$2:$BJ$200,$G186)&gt;0,
    COUNTIFS($BK$2:$BK$200,$G186)&gt;0,
    COUNTIFS($BL$2:$BL$200,$G186)&gt;0,
    COUNTIFS($BM$2:$BM$200,$G186)&gt;0,
   ),
  0)
 ),
"")</f>
        <v>Modular</v>
      </c>
      <c r="D186" s="2" t="str" cm="1">
        <f t="array" aca="1" ref="D186" ca="1">IFERROR(
 INDEX(
  _xlfn._xlws.FILTER($V$1:$AY$1,
   TRANSPOSE(
    CHOOSE({1;2;3;4;5;6;7;8;9;10;11;12;13;14;15;16;17;18;19;20;21;22;23;24;25;26;27;28;29;30},
     COUNTIFS($V$2:$V$200,$G186)&gt;0,
     COUNTIFS($W$2:$W$200,$G186)&gt;0,
     COUNTIFS($X$2:$X$200,$G186)&gt;0,
     COUNTIFS($Y$2:$Y$200,$G186)&gt;0,
     COUNTIFS($Z$2:$Z$200,$G186)&gt;0,
     COUNTIFS($AA$2:$AA$200,$G186)&gt;0,
     COUNTIFS($AB$2:$AB$200,$G186)&gt;0,
     COUNTIFS($AC$2:$AC$200,$G186)&gt;0,
     COUNTIFS($AD$2:$AD$200,$G186)&gt;0,
     COUNTIFS($AE$2:$AE$200,$G186)&gt;0,
     COUNTIFS($AF$2:$AF$200,$G186)&gt;0,
     COUNTIFS($AG$2:$AG$200,$G186)&gt;0,
     COUNTIFS($AH$2:$AH$200,$G186)&gt;0,
     COUNTIFS($AI$2:$AI$200,$G186)&gt;0,
     COUNTIFS($AJ$2:$AJ$200,$G186)&gt;0,
     COUNTIFS($AK$2:$AK$200,$G186)&gt;0,
     COUNTIFS($AL$2:$AL$200,$G186)&gt;0,
     COUNTIFS($AM$2:$AM$200,$G186)&gt;0,
     COUNTIFS($AN$2:$AN$200,$G186)&gt;0,
     COUNTIFS($AO$2:$AO$200,$G186)&gt;0,
     COUNTIFS($AP$2:$AP$200,$G186)&gt;0,
     COUNTIFS($AQ$2:$AQ$200,$G186)&gt;0,
     COUNTIFS($AR$2:$AR$200,$G186)&gt;0,
     COUNTIFS($AS$2:$AS$200,$G186)&gt;0,
     COUNTIFS($AT$2:$AT$200,$G186)&gt;0,
     COUNTIFS($AU$2:$AU$200,$G186)&gt;0,
     COUNTIFS($AV$2:$AV$200,$G186)&gt;0,
     COUNTIFS($AW$2:$AW$200,$G186)&gt;0,
     COUNTIFS($AX$2:$AX$200,$G186)&gt;0,
     COUNTIFS($AY$2:$AY$200,$G186)&gt;0
   )),
  ),
  2
 ),
"")</f>
        <v/>
      </c>
      <c r="E186" s="2" t="str" cm="1">
        <f t="array" aca="1" ref="E186" ca="1">IFERROR(
 INDEX(
  _xlfn._xlws.FILTER($V$1:$AY$1,
   TRANSPOSE(
    CHOOSE({1;2;3;4;5;6;7;8;9;10;11;12;13;14;15;16;17;18;19;20;21;22;23;24;25;26;27;28;29;30},
     COUNTIFS($V$2:$V$200,$G186)&gt;0,
     COUNTIFS($W$2:$W$200,$G186)&gt;0,
     COUNTIFS($X$2:$X$200,$G186)&gt;0,
     COUNTIFS($Y$2:$Y$200,$G186)&gt;0,
     COUNTIFS($Z$2:$Z$200,$G186)&gt;0,
     COUNTIFS($AA$2:$AA$200,$G186)&gt;0,
     COUNTIFS($AB$2:$AB$200,$G186)&gt;0,
     COUNTIFS($AC$2:$AC$200,$G186)&gt;0,
     COUNTIFS($AD$2:$AD$200,$G186)&gt;0,
     COUNTIFS($AE$2:$AE$200,$G186)&gt;0,
     COUNTIFS($AF$2:$AF$200,$G186)&gt;0,
     COUNTIFS($AG$2:$AG$200,$G186)&gt;0,
     COUNTIFS($AH$2:$AH$200,$G186)&gt;0,
     COUNTIFS($AI$2:$AI$200,$G186)&gt;0,
     COUNTIFS($AJ$2:$AJ$200,$G186)&gt;0,
     COUNTIFS($AK$2:$AK$200,$G186)&gt;0,
     COUNTIFS($AL$2:$AL$200,$G186)&gt;0,
     COUNTIFS($AM$2:$AM$200,$G186)&gt;0,
     COUNTIFS($AN$2:$AN$200,$G186)&gt;0,
     COUNTIFS($AO$2:$AO$200,$G186)&gt;0,
     COUNTIFS($AP$2:$AP$200,$G186)&gt;0,
     COUNTIFS($AQ$2:$AQ$200,$G186)&gt;0,
     COUNTIFS($AR$2:$AR$200,$G186)&gt;0,
     COUNTIFS($AS$2:$AS$200,$G186)&gt;0,
     COUNTIFS($AT$2:$AT$200,$G186)&gt;0,
     COUNTIFS($AU$2:$AU$200,$G186)&gt;0,
     COUNTIFS($AV$2:$AV$200,$G186)&gt;0,
     COUNTIFS($AW$2:$AW$200,$G186)&gt;0,
     COUNTIFS($AX$2:$AX$200,$G186)&gt;0,
     COUNTIFS($AY$2:$AY$200,$G186)&gt;0
   )),
  ),
  3
 ),
"")</f>
        <v/>
      </c>
      <c r="F186" s="2" t="str" cm="1">
        <f t="array" aca="1" ref="F186" ca="1">IFERROR(
 INDEX(
  _xlfn._xlws.FILTER($V$1:$AY$1,
   TRANSPOSE(
    CHOOSE({1;2;3;4;5;6;7;8;9;10;11;12;13;14;15;16;17;18;19;20;21;22;23;24;25;26;27;28;29;30},
     COUNTIFS($V$2:$V$200,$G186)&gt;0,
     COUNTIFS($W$2:$W$200,$G186)&gt;0,
     COUNTIFS($X$2:$X$200,$G186)&gt;0,
     COUNTIFS($Y$2:$Y$200,$G186)&gt;0,
     COUNTIFS($Z$2:$Z$200,$G186)&gt;0,
     COUNTIFS($AA$2:$AA$200,$G186)&gt;0,
     COUNTIFS($AB$2:$AB$200,$G186)&gt;0,
     COUNTIFS($AC$2:$AC$200,$G186)&gt;0,
     COUNTIFS($AD$2:$AD$200,$G186)&gt;0,
     COUNTIFS($AE$2:$AE$200,$G186)&gt;0,
     COUNTIFS($AF$2:$AF$200,$G186)&gt;0,
     COUNTIFS($AG$2:$AG$200,$G186)&gt;0,
     COUNTIFS($AH$2:$AH$200,$G186)&gt;0,
     COUNTIFS($AI$2:$AI$200,$G186)&gt;0,
     COUNTIFS($AJ$2:$AJ$200,$G186)&gt;0,
     COUNTIFS($AK$2:$AK$200,$G186)&gt;0,
     COUNTIFS($AL$2:$AL$200,$G186)&gt;0,
     COUNTIFS($AM$2:$AM$200,$G186)&gt;0,
     COUNTIFS($AN$2:$AN$200,$G186)&gt;0,
     COUNTIFS($AO$2:$AO$200,$G186)&gt;0,
     COUNTIFS($AP$2:$AP$200,$G186)&gt;0,
     COUNTIFS($AQ$2:$AQ$200,$G186)&gt;0,
     COUNTIFS($AR$2:$AR$200,$G186)&gt;0,
     COUNTIFS($AS$2:$AS$200,$G186)&gt;0,
     COUNTIFS($AT$2:$AT$200,$G186)&gt;0,
     COUNTIFS($AU$2:$AU$200,$G186)&gt;0,
     COUNTIFS($AV$2:$AV$200,$G186)&gt;0,
     COUNTIFS($AW$2:$AW$200,$G186)&gt;0,
     COUNTIFS($AX$2:$AX$200,$G186)&gt;0,
     COUNTIFS($AY$2:$AY$200,$G186)&gt;0
   )),
  ),
  4
 ),
"")</f>
        <v/>
      </c>
      <c r="G186" t="str">
        <f ca="1"/>
        <v>Great Furnace</v>
      </c>
      <c r="EP186" t="str">
        <f ca="1"/>
        <v>Virtue of Loyalty // Ardenvale Fealty</v>
      </c>
      <c r="EQ186" t="str">
        <f ca="1"/>
        <v>Venom Sliver</v>
      </c>
      <c r="ER186" t="str">
        <f ca="1"/>
        <v>Unwind</v>
      </c>
      <c r="EU186" t="str">
        <f ca="1"/>
        <v>Mines of Moria</v>
      </c>
      <c r="EV186" t="str">
        <f ca="1"/>
        <v>Unwind</v>
      </c>
      <c r="EX186" t="str">
        <f ca="1"/>
        <v>Great Furnace</v>
      </c>
    </row>
    <row r="187" spans="1:154" x14ac:dyDescent="0.25">
      <c r="A187" s="2" t="str">
        <f t="shared" ca="1" si="10"/>
        <v>4</v>
      </c>
      <c r="B187" s="2">
        <f t="shared" ca="1" si="11"/>
        <v>1</v>
      </c>
      <c r="C187" s="2" t="str">
        <f ca="1">IFERROR(
 INDEX($V$1:$BL$1,
  MATCH(TRUE,
   CHOOSE({1;2;3;4;5;6;7;8;9;10;11;12;13;14;15;16;17;18;19;20;21;22;23;24;25;26;27;28;29;30;31;32;33;34;35;36;37;38;39;40;41;42;43},
    COUNTIFS($V$2:$V$200,$G187)&gt;0,
    COUNTIFS($W$2:$W$200,$G187)&gt;0,
    COUNTIFS($X$2:$X$200,$G187)&gt;0,
    COUNTIFS($Y$2:$Y$200,$G187)&gt;0,
    COUNTIFS($Z$2:$Z$200,$G187)&gt;0,
    COUNTIFS($AA$2:$AA$200,$G187)&gt;0,
    COUNTIFS($AB$2:$AB$200,$G187)&gt;0,
    COUNTIFS($AC$2:$AC$200,$G187)&gt;0,
    COUNTIFS($AD$2:$AD$200,$G187)&gt;0,
    COUNTIFS($AE$2:$AE$200,$G187)&gt;0,
    COUNTIFS($AF$2:$AF$200,$G187)&gt;0,
    COUNTIFS($AG$2:$AG$200,$G187)&gt;0,
    COUNTIFS($AH$2:$AH$200,$G187)&gt;0,
    COUNTIFS($AI$2:$AI$200,$G187)&gt;0,
    COUNTIFS($AJ$2:$AJ$200,$G187)&gt;0,
    COUNTIFS($AK$2:$AK$200,$G187)&gt;0,
    COUNTIFS($AL$2:$AL$200,$G187)&gt;0,
    COUNTIFS($AM$2:$AM$200,$G187)&gt;0,
    COUNTIFS($AN$2:$AN$200,$G187)&gt;0,
    COUNTIFS($AO$2:$AO$200,$G187)&gt;0,
    COUNTIFS($AP$2:$AP$200,$G187)&gt;0,
    COUNTIFS($AQ$2:$AQ$200,$G187)&gt;0,
    COUNTIFS($AR$2:$AR$200,$G187)&gt;0,
    COUNTIFS($AS$2:$AS$200,$G187)&gt;0,
    COUNTIFS($AT$2:$AT$200,$G187)&gt;0,
    COUNTIFS($AU$2:$AU$200,$G187)&gt;0,
    COUNTIFS($AV$2:$AV$200,$G187)&gt;0,
    COUNTIFS($AW$2:$AW$200,$G187)&gt;0,
    COUNTIFS($AX$2:$AX$200,$G187)&gt;0,
    COUNTIFS($AY$2:$AY$200,$G187)&gt;0,
    COUNTIFS($AZ$2:$AZ$200,$G187)&gt;0,
    COUNTIFS($BA$2:$BA$200,$G187)&gt;0,
    COUNTIFS($BB$2:$BB$200,$G187)&gt;0,
    COUNTIFS($BC$2:$BC$200,$G187)&gt;0,
    COUNTIFS($BD$2:$BD$200,$G187)&gt;0,
    COUNTIFS($BE$2:$BE$200,$G187)&gt;0,
    COUNTIFS($BF$2:$BF$200,$G187)&gt;0,
    COUNTIFS($BG$2:$BG$200,$G187)&gt;0,
    COUNTIFS($BH$2:$BH$200,$G187)&gt;0,
    COUNTIFS($BI$2:$BI$200,$G187)&gt;0,
    COUNTIFS($BJ$2:$BJ$200,$G187)&gt;0,
    COUNTIFS($BK$2:$BK$200,$G187)&gt;0,
    COUNTIFS($BL$2:$BL$200,$G187)&gt;0,
    COUNTIFS($BM$2:$BM$200,$G187)&gt;0,
   ),
  0)
 ),
"")</f>
        <v>Ool</v>
      </c>
      <c r="D187" s="2" t="str" cm="1">
        <f t="array" aca="1" ref="D187" ca="1">IFERROR(
 INDEX(
  _xlfn._xlws.FILTER($V$1:$AY$1,
   TRANSPOSE(
    CHOOSE({1;2;3;4;5;6;7;8;9;10;11;12;13;14;15;16;17;18;19;20;21;22;23;24;25;26;27;28;29;30},
     COUNTIFS($V$2:$V$200,$G187)&gt;0,
     COUNTIFS($W$2:$W$200,$G187)&gt;0,
     COUNTIFS($X$2:$X$200,$G187)&gt;0,
     COUNTIFS($Y$2:$Y$200,$G187)&gt;0,
     COUNTIFS($Z$2:$Z$200,$G187)&gt;0,
     COUNTIFS($AA$2:$AA$200,$G187)&gt;0,
     COUNTIFS($AB$2:$AB$200,$G187)&gt;0,
     COUNTIFS($AC$2:$AC$200,$G187)&gt;0,
     COUNTIFS($AD$2:$AD$200,$G187)&gt;0,
     COUNTIFS($AE$2:$AE$200,$G187)&gt;0,
     COUNTIFS($AF$2:$AF$200,$G187)&gt;0,
     COUNTIFS($AG$2:$AG$200,$G187)&gt;0,
     COUNTIFS($AH$2:$AH$200,$G187)&gt;0,
     COUNTIFS($AI$2:$AI$200,$G187)&gt;0,
     COUNTIFS($AJ$2:$AJ$200,$G187)&gt;0,
     COUNTIFS($AK$2:$AK$200,$G187)&gt;0,
     COUNTIFS($AL$2:$AL$200,$G187)&gt;0,
     COUNTIFS($AM$2:$AM$200,$G187)&gt;0,
     COUNTIFS($AN$2:$AN$200,$G187)&gt;0,
     COUNTIFS($AO$2:$AO$200,$G187)&gt;0,
     COUNTIFS($AP$2:$AP$200,$G187)&gt;0,
     COUNTIFS($AQ$2:$AQ$200,$G187)&gt;0,
     COUNTIFS($AR$2:$AR$200,$G187)&gt;0,
     COUNTIFS($AS$2:$AS$200,$G187)&gt;0,
     COUNTIFS($AT$2:$AT$200,$G187)&gt;0,
     COUNTIFS($AU$2:$AU$200,$G187)&gt;0,
     COUNTIFS($AV$2:$AV$200,$G187)&gt;0,
     COUNTIFS($AW$2:$AW$200,$G187)&gt;0,
     COUNTIFS($AX$2:$AX$200,$G187)&gt;0,
     COUNTIFS($AY$2:$AY$200,$G187)&gt;0
   )),
  ),
  2
 ),
"")</f>
        <v/>
      </c>
      <c r="E187" s="2" t="str" cm="1">
        <f t="array" aca="1" ref="E187" ca="1">IFERROR(
 INDEX(
  _xlfn._xlws.FILTER($V$1:$AY$1,
   TRANSPOSE(
    CHOOSE({1;2;3;4;5;6;7;8;9;10;11;12;13;14;15;16;17;18;19;20;21;22;23;24;25;26;27;28;29;30},
     COUNTIFS($V$2:$V$200,$G187)&gt;0,
     COUNTIFS($W$2:$W$200,$G187)&gt;0,
     COUNTIFS($X$2:$X$200,$G187)&gt;0,
     COUNTIFS($Y$2:$Y$200,$G187)&gt;0,
     COUNTIFS($Z$2:$Z$200,$G187)&gt;0,
     COUNTIFS($AA$2:$AA$200,$G187)&gt;0,
     COUNTIFS($AB$2:$AB$200,$G187)&gt;0,
     COUNTIFS($AC$2:$AC$200,$G187)&gt;0,
     COUNTIFS($AD$2:$AD$200,$G187)&gt;0,
     COUNTIFS($AE$2:$AE$200,$G187)&gt;0,
     COUNTIFS($AF$2:$AF$200,$G187)&gt;0,
     COUNTIFS($AG$2:$AG$200,$G187)&gt;0,
     COUNTIFS($AH$2:$AH$200,$G187)&gt;0,
     COUNTIFS($AI$2:$AI$200,$G187)&gt;0,
     COUNTIFS($AJ$2:$AJ$200,$G187)&gt;0,
     COUNTIFS($AK$2:$AK$200,$G187)&gt;0,
     COUNTIFS($AL$2:$AL$200,$G187)&gt;0,
     COUNTIFS($AM$2:$AM$200,$G187)&gt;0,
     COUNTIFS($AN$2:$AN$200,$G187)&gt;0,
     COUNTIFS($AO$2:$AO$200,$G187)&gt;0,
     COUNTIFS($AP$2:$AP$200,$G187)&gt;0,
     COUNTIFS($AQ$2:$AQ$200,$G187)&gt;0,
     COUNTIFS($AR$2:$AR$200,$G187)&gt;0,
     COUNTIFS($AS$2:$AS$200,$G187)&gt;0,
     COUNTIFS($AT$2:$AT$200,$G187)&gt;0,
     COUNTIFS($AU$2:$AU$200,$G187)&gt;0,
     COUNTIFS($AV$2:$AV$200,$G187)&gt;0,
     COUNTIFS($AW$2:$AW$200,$G187)&gt;0,
     COUNTIFS($AX$2:$AX$200,$G187)&gt;0,
     COUNTIFS($AY$2:$AY$200,$G187)&gt;0
   )),
  ),
  3
 ),
"")</f>
        <v/>
      </c>
      <c r="F187" s="2" t="str" cm="1">
        <f t="array" aca="1" ref="F187" ca="1">IFERROR(
 INDEX(
  _xlfn._xlws.FILTER($V$1:$AY$1,
   TRANSPOSE(
    CHOOSE({1;2;3;4;5;6;7;8;9;10;11;12;13;14;15;16;17;18;19;20;21;22;23;24;25;26;27;28;29;30},
     COUNTIFS($V$2:$V$200,$G187)&gt;0,
     COUNTIFS($W$2:$W$200,$G187)&gt;0,
     COUNTIFS($X$2:$X$200,$G187)&gt;0,
     COUNTIFS($Y$2:$Y$200,$G187)&gt;0,
     COUNTIFS($Z$2:$Z$200,$G187)&gt;0,
     COUNTIFS($AA$2:$AA$200,$G187)&gt;0,
     COUNTIFS($AB$2:$AB$200,$G187)&gt;0,
     COUNTIFS($AC$2:$AC$200,$G187)&gt;0,
     COUNTIFS($AD$2:$AD$200,$G187)&gt;0,
     COUNTIFS($AE$2:$AE$200,$G187)&gt;0,
     COUNTIFS($AF$2:$AF$200,$G187)&gt;0,
     COUNTIFS($AG$2:$AG$200,$G187)&gt;0,
     COUNTIFS($AH$2:$AH$200,$G187)&gt;0,
     COUNTIFS($AI$2:$AI$200,$G187)&gt;0,
     COUNTIFS($AJ$2:$AJ$200,$G187)&gt;0,
     COUNTIFS($AK$2:$AK$200,$G187)&gt;0,
     COUNTIFS($AL$2:$AL$200,$G187)&gt;0,
     COUNTIFS($AM$2:$AM$200,$G187)&gt;0,
     COUNTIFS($AN$2:$AN$200,$G187)&gt;0,
     COUNTIFS($AO$2:$AO$200,$G187)&gt;0,
     COUNTIFS($AP$2:$AP$200,$G187)&gt;0,
     COUNTIFS($AQ$2:$AQ$200,$G187)&gt;0,
     COUNTIFS($AR$2:$AR$200,$G187)&gt;0,
     COUNTIFS($AS$2:$AS$200,$G187)&gt;0,
     COUNTIFS($AT$2:$AT$200,$G187)&gt;0,
     COUNTIFS($AU$2:$AU$200,$G187)&gt;0,
     COUNTIFS($AV$2:$AV$200,$G187)&gt;0,
     COUNTIFS($AW$2:$AW$200,$G187)&gt;0,
     COUNTIFS($AX$2:$AX$200,$G187)&gt;0,
     COUNTIFS($AY$2:$AY$200,$G187)&gt;0
   )),
  ),
  4
 ),
"")</f>
        <v/>
      </c>
      <c r="G187" t="str">
        <f ca="1"/>
        <v>Grim Affliction</v>
      </c>
      <c r="EP187" t="str">
        <f ca="1"/>
        <v>Vronos, Masked Inquisitor</v>
      </c>
      <c r="EQ187" t="str">
        <f ca="1"/>
        <v>Vona's Hunger</v>
      </c>
      <c r="ER187" t="str">
        <f ca="1"/>
        <v>Vault of the Archangel</v>
      </c>
      <c r="EU187" t="str">
        <f ca="1"/>
        <v>Mirror Pool</v>
      </c>
      <c r="EV187" t="str">
        <f ca="1"/>
        <v>Vault of the Archangel</v>
      </c>
      <c r="EX187" t="str">
        <f ca="1"/>
        <v>Grim Affliction</v>
      </c>
    </row>
    <row r="188" spans="1:154" x14ac:dyDescent="0.25">
      <c r="A188" s="2" t="str">
        <f t="shared" ca="1" si="10"/>
        <v>5</v>
      </c>
      <c r="B188" s="2">
        <f t="shared" ca="1" si="11"/>
        <v>1</v>
      </c>
      <c r="C188" s="2" t="str">
        <f ca="1">IFERROR(
 INDEX($V$1:$BL$1,
  MATCH(TRUE,
   CHOOSE({1;2;3;4;5;6;7;8;9;10;11;12;13;14;15;16;17;18;19;20;21;22;23;24;25;26;27;28;29;30;31;32;33;34;35;36;37;38;39;40;41;42;43},
    COUNTIFS($V$2:$V$200,$G188)&gt;0,
    COUNTIFS($W$2:$W$200,$G188)&gt;0,
    COUNTIFS($X$2:$X$200,$G188)&gt;0,
    COUNTIFS($Y$2:$Y$200,$G188)&gt;0,
    COUNTIFS($Z$2:$Z$200,$G188)&gt;0,
    COUNTIFS($AA$2:$AA$200,$G188)&gt;0,
    COUNTIFS($AB$2:$AB$200,$G188)&gt;0,
    COUNTIFS($AC$2:$AC$200,$G188)&gt;0,
    COUNTIFS($AD$2:$AD$200,$G188)&gt;0,
    COUNTIFS($AE$2:$AE$200,$G188)&gt;0,
    COUNTIFS($AF$2:$AF$200,$G188)&gt;0,
    COUNTIFS($AG$2:$AG$200,$G188)&gt;0,
    COUNTIFS($AH$2:$AH$200,$G188)&gt;0,
    COUNTIFS($AI$2:$AI$200,$G188)&gt;0,
    COUNTIFS($AJ$2:$AJ$200,$G188)&gt;0,
    COUNTIFS($AK$2:$AK$200,$G188)&gt;0,
    COUNTIFS($AL$2:$AL$200,$G188)&gt;0,
    COUNTIFS($AM$2:$AM$200,$G188)&gt;0,
    COUNTIFS($AN$2:$AN$200,$G188)&gt;0,
    COUNTIFS($AO$2:$AO$200,$G188)&gt;0,
    COUNTIFS($AP$2:$AP$200,$G188)&gt;0,
    COUNTIFS($AQ$2:$AQ$200,$G188)&gt;0,
    COUNTIFS($AR$2:$AR$200,$G188)&gt;0,
    COUNTIFS($AS$2:$AS$200,$G188)&gt;0,
    COUNTIFS($AT$2:$AT$200,$G188)&gt;0,
    COUNTIFS($AU$2:$AU$200,$G188)&gt;0,
    COUNTIFS($AV$2:$AV$200,$G188)&gt;0,
    COUNTIFS($AW$2:$AW$200,$G188)&gt;0,
    COUNTIFS($AX$2:$AX$200,$G188)&gt;0,
    COUNTIFS($AY$2:$AY$200,$G188)&gt;0,
    COUNTIFS($AZ$2:$AZ$200,$G188)&gt;0,
    COUNTIFS($BA$2:$BA$200,$G188)&gt;0,
    COUNTIFS($BB$2:$BB$200,$G188)&gt;0,
    COUNTIFS($BC$2:$BC$200,$G188)&gt;0,
    COUNTIFS($BD$2:$BD$200,$G188)&gt;0,
    COUNTIFS($BE$2:$BE$200,$G188)&gt;0,
    COUNTIFS($BF$2:$BF$200,$G188)&gt;0,
    COUNTIFS($BG$2:$BG$200,$G188)&gt;0,
    COUNTIFS($BH$2:$BH$200,$G188)&gt;0,
    COUNTIFS($BI$2:$BI$200,$G188)&gt;0,
    COUNTIFS($BJ$2:$BJ$200,$G188)&gt;0,
    COUNTIFS($BK$2:$BK$200,$G188)&gt;0,
    COUNTIFS($BL$2:$BL$200,$G188)&gt;0,
    COUNTIFS($BM$2:$BM$200,$G188)&gt;0,
   ),
  0)
 ),
"")</f>
        <v>4cRash</v>
      </c>
      <c r="D188" s="2" t="str" cm="1">
        <f t="array" aca="1" ref="D188" ca="1">IFERROR(
 INDEX(
  _xlfn._xlws.FILTER($V$1:$AY$1,
   TRANSPOSE(
    CHOOSE({1;2;3;4;5;6;7;8;9;10;11;12;13;14;15;16;17;18;19;20;21;22;23;24;25;26;27;28;29;30},
     COUNTIFS($V$2:$V$200,$G188)&gt;0,
     COUNTIFS($W$2:$W$200,$G188)&gt;0,
     COUNTIFS($X$2:$X$200,$G188)&gt;0,
     COUNTIFS($Y$2:$Y$200,$G188)&gt;0,
     COUNTIFS($Z$2:$Z$200,$G188)&gt;0,
     COUNTIFS($AA$2:$AA$200,$G188)&gt;0,
     COUNTIFS($AB$2:$AB$200,$G188)&gt;0,
     COUNTIFS($AC$2:$AC$200,$G188)&gt;0,
     COUNTIFS($AD$2:$AD$200,$G188)&gt;0,
     COUNTIFS($AE$2:$AE$200,$G188)&gt;0,
     COUNTIFS($AF$2:$AF$200,$G188)&gt;0,
     COUNTIFS($AG$2:$AG$200,$G188)&gt;0,
     COUNTIFS($AH$2:$AH$200,$G188)&gt;0,
     COUNTIFS($AI$2:$AI$200,$G188)&gt;0,
     COUNTIFS($AJ$2:$AJ$200,$G188)&gt;0,
     COUNTIFS($AK$2:$AK$200,$G188)&gt;0,
     COUNTIFS($AL$2:$AL$200,$G188)&gt;0,
     COUNTIFS($AM$2:$AM$200,$G188)&gt;0,
     COUNTIFS($AN$2:$AN$200,$G188)&gt;0,
     COUNTIFS($AO$2:$AO$200,$G188)&gt;0,
     COUNTIFS($AP$2:$AP$200,$G188)&gt;0,
     COUNTIFS($AQ$2:$AQ$200,$G188)&gt;0,
     COUNTIFS($AR$2:$AR$200,$G188)&gt;0,
     COUNTIFS($AS$2:$AS$200,$G188)&gt;0,
     COUNTIFS($AT$2:$AT$200,$G188)&gt;0,
     COUNTIFS($AU$2:$AU$200,$G188)&gt;0,
     COUNTIFS($AV$2:$AV$200,$G188)&gt;0,
     COUNTIFS($AW$2:$AW$200,$G188)&gt;0,
     COUNTIFS($AX$2:$AX$200,$G188)&gt;0,
     COUNTIFS($AY$2:$AY$200,$G188)&gt;0
   )),
  ),
  2
 ),
"")</f>
        <v/>
      </c>
      <c r="E188" s="2" t="str" cm="1">
        <f t="array" aca="1" ref="E188" ca="1">IFERROR(
 INDEX(
  _xlfn._xlws.FILTER($V$1:$AY$1,
   TRANSPOSE(
    CHOOSE({1;2;3;4;5;6;7;8;9;10;11;12;13;14;15;16;17;18;19;20;21;22;23;24;25;26;27;28;29;30},
     COUNTIFS($V$2:$V$200,$G188)&gt;0,
     COUNTIFS($W$2:$W$200,$G188)&gt;0,
     COUNTIFS($X$2:$X$200,$G188)&gt;0,
     COUNTIFS($Y$2:$Y$200,$G188)&gt;0,
     COUNTIFS($Z$2:$Z$200,$G188)&gt;0,
     COUNTIFS($AA$2:$AA$200,$G188)&gt;0,
     COUNTIFS($AB$2:$AB$200,$G188)&gt;0,
     COUNTIFS($AC$2:$AC$200,$G188)&gt;0,
     COUNTIFS($AD$2:$AD$200,$G188)&gt;0,
     COUNTIFS($AE$2:$AE$200,$G188)&gt;0,
     COUNTIFS($AF$2:$AF$200,$G188)&gt;0,
     COUNTIFS($AG$2:$AG$200,$G188)&gt;0,
     COUNTIFS($AH$2:$AH$200,$G188)&gt;0,
     COUNTIFS($AI$2:$AI$200,$G188)&gt;0,
     COUNTIFS($AJ$2:$AJ$200,$G188)&gt;0,
     COUNTIFS($AK$2:$AK$200,$G188)&gt;0,
     COUNTIFS($AL$2:$AL$200,$G188)&gt;0,
     COUNTIFS($AM$2:$AM$200,$G188)&gt;0,
     COUNTIFS($AN$2:$AN$200,$G188)&gt;0,
     COUNTIFS($AO$2:$AO$200,$G188)&gt;0,
     COUNTIFS($AP$2:$AP$200,$G188)&gt;0,
     COUNTIFS($AQ$2:$AQ$200,$G188)&gt;0,
     COUNTIFS($AR$2:$AR$200,$G188)&gt;0,
     COUNTIFS($AS$2:$AS$200,$G188)&gt;0,
     COUNTIFS($AT$2:$AT$200,$G188)&gt;0,
     COUNTIFS($AU$2:$AU$200,$G188)&gt;0,
     COUNTIFS($AV$2:$AV$200,$G188)&gt;0,
     COUNTIFS($AW$2:$AW$200,$G188)&gt;0,
     COUNTIFS($AX$2:$AX$200,$G188)&gt;0,
     COUNTIFS($AY$2:$AY$200,$G188)&gt;0
   )),
  ),
  3
 ),
"")</f>
        <v/>
      </c>
      <c r="F188" s="2" t="str" cm="1">
        <f t="array" aca="1" ref="F188" ca="1">IFERROR(
 INDEX(
  _xlfn._xlws.FILTER($V$1:$AY$1,
   TRANSPOSE(
    CHOOSE({1;2;3;4;5;6;7;8;9;10;11;12;13;14;15;16;17;18;19;20;21;22;23;24;25;26;27;28;29;30},
     COUNTIFS($V$2:$V$200,$G188)&gt;0,
     COUNTIFS($W$2:$W$200,$G188)&gt;0,
     COUNTIFS($X$2:$X$200,$G188)&gt;0,
     COUNTIFS($Y$2:$Y$200,$G188)&gt;0,
     COUNTIFS($Z$2:$Z$200,$G188)&gt;0,
     COUNTIFS($AA$2:$AA$200,$G188)&gt;0,
     COUNTIFS($AB$2:$AB$200,$G188)&gt;0,
     COUNTIFS($AC$2:$AC$200,$G188)&gt;0,
     COUNTIFS($AD$2:$AD$200,$G188)&gt;0,
     COUNTIFS($AE$2:$AE$200,$G188)&gt;0,
     COUNTIFS($AF$2:$AF$200,$G188)&gt;0,
     COUNTIFS($AG$2:$AG$200,$G188)&gt;0,
     COUNTIFS($AH$2:$AH$200,$G188)&gt;0,
     COUNTIFS($AI$2:$AI$200,$G188)&gt;0,
     COUNTIFS($AJ$2:$AJ$200,$G188)&gt;0,
     COUNTIFS($AK$2:$AK$200,$G188)&gt;0,
     COUNTIFS($AL$2:$AL$200,$G188)&gt;0,
     COUNTIFS($AM$2:$AM$200,$G188)&gt;0,
     COUNTIFS($AN$2:$AN$200,$G188)&gt;0,
     COUNTIFS($AO$2:$AO$200,$G188)&gt;0,
     COUNTIFS($AP$2:$AP$200,$G188)&gt;0,
     COUNTIFS($AQ$2:$AQ$200,$G188)&gt;0,
     COUNTIFS($AR$2:$AR$200,$G188)&gt;0,
     COUNTIFS($AS$2:$AS$200,$G188)&gt;0,
     COUNTIFS($AT$2:$AT$200,$G188)&gt;0,
     COUNTIFS($AU$2:$AU$200,$G188)&gt;0,
     COUNTIFS($AV$2:$AV$200,$G188)&gt;0,
     COUNTIFS($AW$2:$AW$200,$G188)&gt;0,
     COUNTIFS($AX$2:$AX$200,$G188)&gt;0,
     COUNTIFS($AY$2:$AY$200,$G188)&gt;0
   )),
  ),
  4
 ),
"")</f>
        <v/>
      </c>
      <c r="G188" t="str">
        <f ca="1"/>
        <v>Growth Spiral</v>
      </c>
      <c r="EP188" t="str">
        <f ca="1"/>
        <v>Wan Shi Tong, Librarian</v>
      </c>
      <c r="EQ188" t="str">
        <f ca="1"/>
        <v>Ward Sliver</v>
      </c>
      <c r="ER188" t="str">
        <f ca="1"/>
        <v>Vedalken Mastermind</v>
      </c>
      <c r="EU188" t="str">
        <f ca="1"/>
        <v>Mistbind Clique</v>
      </c>
      <c r="EV188" t="str">
        <f ca="1"/>
        <v>Vedalken Mastermind</v>
      </c>
      <c r="EX188" t="str">
        <f ca="1"/>
        <v>Growth Spiral</v>
      </c>
    </row>
    <row r="189" spans="1:154" x14ac:dyDescent="0.25">
      <c r="A189" s="2" t="str">
        <f t="shared" ca="1" si="10"/>
        <v>2</v>
      </c>
      <c r="B189" s="2">
        <f t="shared" ca="1" si="11"/>
        <v>1</v>
      </c>
      <c r="C189" s="2" t="str">
        <f ca="1">IFERROR(
 INDEX($V$1:$BL$1,
  MATCH(TRUE,
   CHOOSE({1;2;3;4;5;6;7;8;9;10;11;12;13;14;15;16;17;18;19;20;21;22;23;24;25;26;27;28;29;30;31;32;33;34;35;36;37;38;39;40;41;42;43},
    COUNTIFS($V$2:$V$200,$G189)&gt;0,
    COUNTIFS($W$2:$W$200,$G189)&gt;0,
    COUNTIFS($X$2:$X$200,$G189)&gt;0,
    COUNTIFS($Y$2:$Y$200,$G189)&gt;0,
    COUNTIFS($Z$2:$Z$200,$G189)&gt;0,
    COUNTIFS($AA$2:$AA$200,$G189)&gt;0,
    COUNTIFS($AB$2:$AB$200,$G189)&gt;0,
    COUNTIFS($AC$2:$AC$200,$G189)&gt;0,
    COUNTIFS($AD$2:$AD$200,$G189)&gt;0,
    COUNTIFS($AE$2:$AE$200,$G189)&gt;0,
    COUNTIFS($AF$2:$AF$200,$G189)&gt;0,
    COUNTIFS($AG$2:$AG$200,$G189)&gt;0,
    COUNTIFS($AH$2:$AH$200,$G189)&gt;0,
    COUNTIFS($AI$2:$AI$200,$G189)&gt;0,
    COUNTIFS($AJ$2:$AJ$200,$G189)&gt;0,
    COUNTIFS($AK$2:$AK$200,$G189)&gt;0,
    COUNTIFS($AL$2:$AL$200,$G189)&gt;0,
    COUNTIFS($AM$2:$AM$200,$G189)&gt;0,
    COUNTIFS($AN$2:$AN$200,$G189)&gt;0,
    COUNTIFS($AO$2:$AO$200,$G189)&gt;0,
    COUNTIFS($AP$2:$AP$200,$G189)&gt;0,
    COUNTIFS($AQ$2:$AQ$200,$G189)&gt;0,
    COUNTIFS($AR$2:$AR$200,$G189)&gt;0,
    COUNTIFS($AS$2:$AS$200,$G189)&gt;0,
    COUNTIFS($AT$2:$AT$200,$G189)&gt;0,
    COUNTIFS($AU$2:$AU$200,$G189)&gt;0,
    COUNTIFS($AV$2:$AV$200,$G189)&gt;0,
    COUNTIFS($AW$2:$AW$200,$G189)&gt;0,
    COUNTIFS($AX$2:$AX$200,$G189)&gt;0,
    COUNTIFS($AY$2:$AY$200,$G189)&gt;0,
    COUNTIFS($AZ$2:$AZ$200,$G189)&gt;0,
    COUNTIFS($BA$2:$BA$200,$G189)&gt;0,
    COUNTIFS($BB$2:$BB$200,$G189)&gt;0,
    COUNTIFS($BC$2:$BC$200,$G189)&gt;0,
    COUNTIFS($BD$2:$BD$200,$G189)&gt;0,
    COUNTIFS($BE$2:$BE$200,$G189)&gt;0,
    COUNTIFS($BF$2:$BF$200,$G189)&gt;0,
    COUNTIFS($BG$2:$BG$200,$G189)&gt;0,
    COUNTIFS($BH$2:$BH$200,$G189)&gt;0,
    COUNTIFS($BI$2:$BI$200,$G189)&gt;0,
    COUNTIFS($BJ$2:$BJ$200,$G189)&gt;0,
    COUNTIFS($BK$2:$BK$200,$G189)&gt;0,
    COUNTIFS($BL$2:$BL$200,$G189)&gt;0,
    COUNTIFS($BM$2:$BM$200,$G189)&gt;0,
   ),
  0)
 ),
"")</f>
        <v>Carlos</v>
      </c>
      <c r="D189" s="2" t="str" cm="1">
        <f t="array" aca="1" ref="D189" ca="1">IFERROR(
 INDEX(
  _xlfn._xlws.FILTER($V$1:$AY$1,
   TRANSPOSE(
    CHOOSE({1;2;3;4;5;6;7;8;9;10;11;12;13;14;15;16;17;18;19;20;21;22;23;24;25;26;27;28;29;30},
     COUNTIFS($V$2:$V$200,$G189)&gt;0,
     COUNTIFS($W$2:$W$200,$G189)&gt;0,
     COUNTIFS($X$2:$X$200,$G189)&gt;0,
     COUNTIFS($Y$2:$Y$200,$G189)&gt;0,
     COUNTIFS($Z$2:$Z$200,$G189)&gt;0,
     COUNTIFS($AA$2:$AA$200,$G189)&gt;0,
     COUNTIFS($AB$2:$AB$200,$G189)&gt;0,
     COUNTIFS($AC$2:$AC$200,$G189)&gt;0,
     COUNTIFS($AD$2:$AD$200,$G189)&gt;0,
     COUNTIFS($AE$2:$AE$200,$G189)&gt;0,
     COUNTIFS($AF$2:$AF$200,$G189)&gt;0,
     COUNTIFS($AG$2:$AG$200,$G189)&gt;0,
     COUNTIFS($AH$2:$AH$200,$G189)&gt;0,
     COUNTIFS($AI$2:$AI$200,$G189)&gt;0,
     COUNTIFS($AJ$2:$AJ$200,$G189)&gt;0,
     COUNTIFS($AK$2:$AK$200,$G189)&gt;0,
     COUNTIFS($AL$2:$AL$200,$G189)&gt;0,
     COUNTIFS($AM$2:$AM$200,$G189)&gt;0,
     COUNTIFS($AN$2:$AN$200,$G189)&gt;0,
     COUNTIFS($AO$2:$AO$200,$G189)&gt;0,
     COUNTIFS($AP$2:$AP$200,$G189)&gt;0,
     COUNTIFS($AQ$2:$AQ$200,$G189)&gt;0,
     COUNTIFS($AR$2:$AR$200,$G189)&gt;0,
     COUNTIFS($AS$2:$AS$200,$G189)&gt;0,
     COUNTIFS($AT$2:$AT$200,$G189)&gt;0,
     COUNTIFS($AU$2:$AU$200,$G189)&gt;0,
     COUNTIFS($AV$2:$AV$200,$G189)&gt;0,
     COUNTIFS($AW$2:$AW$200,$G189)&gt;0,
     COUNTIFS($AX$2:$AX$200,$G189)&gt;0,
     COUNTIFS($AY$2:$AY$200,$G189)&gt;0
   )),
  ),
  2
 ),
"")</f>
        <v/>
      </c>
      <c r="E189" s="2" t="str" cm="1">
        <f t="array" aca="1" ref="E189" ca="1">IFERROR(
 INDEX(
  _xlfn._xlws.FILTER($V$1:$AY$1,
   TRANSPOSE(
    CHOOSE({1;2;3;4;5;6;7;8;9;10;11;12;13;14;15;16;17;18;19;20;21;22;23;24;25;26;27;28;29;30},
     COUNTIFS($V$2:$V$200,$G189)&gt;0,
     COUNTIFS($W$2:$W$200,$G189)&gt;0,
     COUNTIFS($X$2:$X$200,$G189)&gt;0,
     COUNTIFS($Y$2:$Y$200,$G189)&gt;0,
     COUNTIFS($Z$2:$Z$200,$G189)&gt;0,
     COUNTIFS($AA$2:$AA$200,$G189)&gt;0,
     COUNTIFS($AB$2:$AB$200,$G189)&gt;0,
     COUNTIFS($AC$2:$AC$200,$G189)&gt;0,
     COUNTIFS($AD$2:$AD$200,$G189)&gt;0,
     COUNTIFS($AE$2:$AE$200,$G189)&gt;0,
     COUNTIFS($AF$2:$AF$200,$G189)&gt;0,
     COUNTIFS($AG$2:$AG$200,$G189)&gt;0,
     COUNTIFS($AH$2:$AH$200,$G189)&gt;0,
     COUNTIFS($AI$2:$AI$200,$G189)&gt;0,
     COUNTIFS($AJ$2:$AJ$200,$G189)&gt;0,
     COUNTIFS($AK$2:$AK$200,$G189)&gt;0,
     COUNTIFS($AL$2:$AL$200,$G189)&gt;0,
     COUNTIFS($AM$2:$AM$200,$G189)&gt;0,
     COUNTIFS($AN$2:$AN$200,$G189)&gt;0,
     COUNTIFS($AO$2:$AO$200,$G189)&gt;0,
     COUNTIFS($AP$2:$AP$200,$G189)&gt;0,
     COUNTIFS($AQ$2:$AQ$200,$G189)&gt;0,
     COUNTIFS($AR$2:$AR$200,$G189)&gt;0,
     COUNTIFS($AS$2:$AS$200,$G189)&gt;0,
     COUNTIFS($AT$2:$AT$200,$G189)&gt;0,
     COUNTIFS($AU$2:$AU$200,$G189)&gt;0,
     COUNTIFS($AV$2:$AV$200,$G189)&gt;0,
     COUNTIFS($AW$2:$AW$200,$G189)&gt;0,
     COUNTIFS($AX$2:$AX$200,$G189)&gt;0,
     COUNTIFS($AY$2:$AY$200,$G189)&gt;0
   )),
  ),
  3
 ),
"")</f>
        <v/>
      </c>
      <c r="F189" s="2" t="str" cm="1">
        <f t="array" aca="1" ref="F189" ca="1">IFERROR(
 INDEX(
  _xlfn._xlws.FILTER($V$1:$AY$1,
   TRANSPOSE(
    CHOOSE({1;2;3;4;5;6;7;8;9;10;11;12;13;14;15;16;17;18;19;20;21;22;23;24;25;26;27;28;29;30},
     COUNTIFS($V$2:$V$200,$G189)&gt;0,
     COUNTIFS($W$2:$W$200,$G189)&gt;0,
     COUNTIFS($X$2:$X$200,$G189)&gt;0,
     COUNTIFS($Y$2:$Y$200,$G189)&gt;0,
     COUNTIFS($Z$2:$Z$200,$G189)&gt;0,
     COUNTIFS($AA$2:$AA$200,$G189)&gt;0,
     COUNTIFS($AB$2:$AB$200,$G189)&gt;0,
     COUNTIFS($AC$2:$AC$200,$G189)&gt;0,
     COUNTIFS($AD$2:$AD$200,$G189)&gt;0,
     COUNTIFS($AE$2:$AE$200,$G189)&gt;0,
     COUNTIFS($AF$2:$AF$200,$G189)&gt;0,
     COUNTIFS($AG$2:$AG$200,$G189)&gt;0,
     COUNTIFS($AH$2:$AH$200,$G189)&gt;0,
     COUNTIFS($AI$2:$AI$200,$G189)&gt;0,
     COUNTIFS($AJ$2:$AJ$200,$G189)&gt;0,
     COUNTIFS($AK$2:$AK$200,$G189)&gt;0,
     COUNTIFS($AL$2:$AL$200,$G189)&gt;0,
     COUNTIFS($AM$2:$AM$200,$G189)&gt;0,
     COUNTIFS($AN$2:$AN$200,$G189)&gt;0,
     COUNTIFS($AO$2:$AO$200,$G189)&gt;0,
     COUNTIFS($AP$2:$AP$200,$G189)&gt;0,
     COUNTIFS($AQ$2:$AQ$200,$G189)&gt;0,
     COUNTIFS($AR$2:$AR$200,$G189)&gt;0,
     COUNTIFS($AS$2:$AS$200,$G189)&gt;0,
     COUNTIFS($AT$2:$AT$200,$G189)&gt;0,
     COUNTIFS($AU$2:$AU$200,$G189)&gt;0,
     COUNTIFS($AV$2:$AV$200,$G189)&gt;0,
     COUNTIFS($AW$2:$AW$200,$G189)&gt;0,
     COUNTIFS($AX$2:$AX$200,$G189)&gt;0,
     COUNTIFS($AY$2:$AY$200,$G189)&gt;0
   )),
  ),
  4
 ),
"")</f>
        <v/>
      </c>
      <c r="G189" t="str">
        <f ca="1"/>
        <v>Guide of Souls</v>
      </c>
      <c r="EP189" t="str">
        <f ca="1"/>
        <v>Warleader's Call</v>
      </c>
      <c r="EQ189" t="str">
        <f ca="1"/>
        <v>Warren Torchmaster</v>
      </c>
      <c r="ER189" t="str">
        <f ca="1"/>
        <v>Vedalken Orrery</v>
      </c>
      <c r="EU189" t="str">
        <f ca="1"/>
        <v>Mistrise Village</v>
      </c>
      <c r="EV189" t="str">
        <f ca="1"/>
        <v>Vedalken Orrery</v>
      </c>
      <c r="EX189" t="str">
        <f ca="1"/>
        <v>Guide of Souls</v>
      </c>
    </row>
    <row r="190" spans="1:154" x14ac:dyDescent="0.25">
      <c r="A190" s="2" t="str">
        <f t="shared" ca="1" si="10"/>
        <v>5</v>
      </c>
      <c r="B190" s="2">
        <f t="shared" ca="1" si="11"/>
        <v>1</v>
      </c>
      <c r="C190" s="2" t="str">
        <f ca="1">IFERROR(
 INDEX($V$1:$BL$1,
  MATCH(TRUE,
   CHOOSE({1;2;3;4;5;6;7;8;9;10;11;12;13;14;15;16;17;18;19;20;21;22;23;24;25;26;27;28;29;30;31;32;33;34;35;36;37;38;39;40;41;42;43},
    COUNTIFS($V$2:$V$200,$G190)&gt;0,
    COUNTIFS($W$2:$W$200,$G190)&gt;0,
    COUNTIFS($X$2:$X$200,$G190)&gt;0,
    COUNTIFS($Y$2:$Y$200,$G190)&gt;0,
    COUNTIFS($Z$2:$Z$200,$G190)&gt;0,
    COUNTIFS($AA$2:$AA$200,$G190)&gt;0,
    COUNTIFS($AB$2:$AB$200,$G190)&gt;0,
    COUNTIFS($AC$2:$AC$200,$G190)&gt;0,
    COUNTIFS($AD$2:$AD$200,$G190)&gt;0,
    COUNTIFS($AE$2:$AE$200,$G190)&gt;0,
    COUNTIFS($AF$2:$AF$200,$G190)&gt;0,
    COUNTIFS($AG$2:$AG$200,$G190)&gt;0,
    COUNTIFS($AH$2:$AH$200,$G190)&gt;0,
    COUNTIFS($AI$2:$AI$200,$G190)&gt;0,
    COUNTIFS($AJ$2:$AJ$200,$G190)&gt;0,
    COUNTIFS($AK$2:$AK$200,$G190)&gt;0,
    COUNTIFS($AL$2:$AL$200,$G190)&gt;0,
    COUNTIFS($AM$2:$AM$200,$G190)&gt;0,
    COUNTIFS($AN$2:$AN$200,$G190)&gt;0,
    COUNTIFS($AO$2:$AO$200,$G190)&gt;0,
    COUNTIFS($AP$2:$AP$200,$G190)&gt;0,
    COUNTIFS($AQ$2:$AQ$200,$G190)&gt;0,
    COUNTIFS($AR$2:$AR$200,$G190)&gt;0,
    COUNTIFS($AS$2:$AS$200,$G190)&gt;0,
    COUNTIFS($AT$2:$AT$200,$G190)&gt;0,
    COUNTIFS($AU$2:$AU$200,$G190)&gt;0,
    COUNTIFS($AV$2:$AV$200,$G190)&gt;0,
    COUNTIFS($AW$2:$AW$200,$G190)&gt;0,
    COUNTIFS($AX$2:$AX$200,$G190)&gt;0,
    COUNTIFS($AY$2:$AY$200,$G190)&gt;0,
    COUNTIFS($AZ$2:$AZ$200,$G190)&gt;0,
    COUNTIFS($BA$2:$BA$200,$G190)&gt;0,
    COUNTIFS($BB$2:$BB$200,$G190)&gt;0,
    COUNTIFS($BC$2:$BC$200,$G190)&gt;0,
    COUNTIFS($BD$2:$BD$200,$G190)&gt;0,
    COUNTIFS($BE$2:$BE$200,$G190)&gt;0,
    COUNTIFS($BF$2:$BF$200,$G190)&gt;0,
    COUNTIFS($BG$2:$BG$200,$G190)&gt;0,
    COUNTIFS($BH$2:$BH$200,$G190)&gt;0,
    COUNTIFS($BI$2:$BI$200,$G190)&gt;0,
    COUNTIFS($BJ$2:$BJ$200,$G190)&gt;0,
    COUNTIFS($BK$2:$BK$200,$G190)&gt;0,
    COUNTIFS($BL$2:$BL$200,$G190)&gt;0,
    COUNTIFS($BM$2:$BM$200,$G190)&gt;0,
   ),
  0)
 ),
"")</f>
        <v>4cRash</v>
      </c>
      <c r="D190" s="2" t="str" cm="1">
        <f t="array" aca="1" ref="D190" ca="1">IFERROR(
 INDEX(
  _xlfn._xlws.FILTER($V$1:$AY$1,
   TRANSPOSE(
    CHOOSE({1;2;3;4;5;6;7;8;9;10;11;12;13;14;15;16;17;18;19;20;21;22;23;24;25;26;27;28;29;30},
     COUNTIFS($V$2:$V$200,$G190)&gt;0,
     COUNTIFS($W$2:$W$200,$G190)&gt;0,
     COUNTIFS($X$2:$X$200,$G190)&gt;0,
     COUNTIFS($Y$2:$Y$200,$G190)&gt;0,
     COUNTIFS($Z$2:$Z$200,$G190)&gt;0,
     COUNTIFS($AA$2:$AA$200,$G190)&gt;0,
     COUNTIFS($AB$2:$AB$200,$G190)&gt;0,
     COUNTIFS($AC$2:$AC$200,$G190)&gt;0,
     COUNTIFS($AD$2:$AD$200,$G190)&gt;0,
     COUNTIFS($AE$2:$AE$200,$G190)&gt;0,
     COUNTIFS($AF$2:$AF$200,$G190)&gt;0,
     COUNTIFS($AG$2:$AG$200,$G190)&gt;0,
     COUNTIFS($AH$2:$AH$200,$G190)&gt;0,
     COUNTIFS($AI$2:$AI$200,$G190)&gt;0,
     COUNTIFS($AJ$2:$AJ$200,$G190)&gt;0,
     COUNTIFS($AK$2:$AK$200,$G190)&gt;0,
     COUNTIFS($AL$2:$AL$200,$G190)&gt;0,
     COUNTIFS($AM$2:$AM$200,$G190)&gt;0,
     COUNTIFS($AN$2:$AN$200,$G190)&gt;0,
     COUNTIFS($AO$2:$AO$200,$G190)&gt;0,
     COUNTIFS($AP$2:$AP$200,$G190)&gt;0,
     COUNTIFS($AQ$2:$AQ$200,$G190)&gt;0,
     COUNTIFS($AR$2:$AR$200,$G190)&gt;0,
     COUNTIFS($AS$2:$AS$200,$G190)&gt;0,
     COUNTIFS($AT$2:$AT$200,$G190)&gt;0,
     COUNTIFS($AU$2:$AU$200,$G190)&gt;0,
     COUNTIFS($AV$2:$AV$200,$G190)&gt;0,
     COUNTIFS($AW$2:$AW$200,$G190)&gt;0,
     COUNTIFS($AX$2:$AX$200,$G190)&gt;0,
     COUNTIFS($AY$2:$AY$200,$G190)&gt;0
   )),
  ),
  2
 ),
"")</f>
        <v/>
      </c>
      <c r="E190" s="2" t="str" cm="1">
        <f t="array" aca="1" ref="E190" ca="1">IFERROR(
 INDEX(
  _xlfn._xlws.FILTER($V$1:$AY$1,
   TRANSPOSE(
    CHOOSE({1;2;3;4;5;6;7;8;9;10;11;12;13;14;15;16;17;18;19;20;21;22;23;24;25;26;27;28;29;30},
     COUNTIFS($V$2:$V$200,$G190)&gt;0,
     COUNTIFS($W$2:$W$200,$G190)&gt;0,
     COUNTIFS($X$2:$X$200,$G190)&gt;0,
     COUNTIFS($Y$2:$Y$200,$G190)&gt;0,
     COUNTIFS($Z$2:$Z$200,$G190)&gt;0,
     COUNTIFS($AA$2:$AA$200,$G190)&gt;0,
     COUNTIFS($AB$2:$AB$200,$G190)&gt;0,
     COUNTIFS($AC$2:$AC$200,$G190)&gt;0,
     COUNTIFS($AD$2:$AD$200,$G190)&gt;0,
     COUNTIFS($AE$2:$AE$200,$G190)&gt;0,
     COUNTIFS($AF$2:$AF$200,$G190)&gt;0,
     COUNTIFS($AG$2:$AG$200,$G190)&gt;0,
     COUNTIFS($AH$2:$AH$200,$G190)&gt;0,
     COUNTIFS($AI$2:$AI$200,$G190)&gt;0,
     COUNTIFS($AJ$2:$AJ$200,$G190)&gt;0,
     COUNTIFS($AK$2:$AK$200,$G190)&gt;0,
     COUNTIFS($AL$2:$AL$200,$G190)&gt;0,
     COUNTIFS($AM$2:$AM$200,$G190)&gt;0,
     COUNTIFS($AN$2:$AN$200,$G190)&gt;0,
     COUNTIFS($AO$2:$AO$200,$G190)&gt;0,
     COUNTIFS($AP$2:$AP$200,$G190)&gt;0,
     COUNTIFS($AQ$2:$AQ$200,$G190)&gt;0,
     COUNTIFS($AR$2:$AR$200,$G190)&gt;0,
     COUNTIFS($AS$2:$AS$200,$G190)&gt;0,
     COUNTIFS($AT$2:$AT$200,$G190)&gt;0,
     COUNTIFS($AU$2:$AU$200,$G190)&gt;0,
     COUNTIFS($AV$2:$AV$200,$G190)&gt;0,
     COUNTIFS($AW$2:$AW$200,$G190)&gt;0,
     COUNTIFS($AX$2:$AX$200,$G190)&gt;0,
     COUNTIFS($AY$2:$AY$200,$G190)&gt;0
   )),
  ),
  3
 ),
"")</f>
        <v/>
      </c>
      <c r="F190" s="2" t="str" cm="1">
        <f t="array" aca="1" ref="F190" ca="1">IFERROR(
 INDEX(
  _xlfn._xlws.FILTER($V$1:$AY$1,
   TRANSPOSE(
    CHOOSE({1;2;3;4;5;6;7;8;9;10;11;12;13;14;15;16;17;18;19;20;21;22;23;24;25;26;27;28;29;30},
     COUNTIFS($V$2:$V$200,$G190)&gt;0,
     COUNTIFS($W$2:$W$200,$G190)&gt;0,
     COUNTIFS($X$2:$X$200,$G190)&gt;0,
     COUNTIFS($Y$2:$Y$200,$G190)&gt;0,
     COUNTIFS($Z$2:$Z$200,$G190)&gt;0,
     COUNTIFS($AA$2:$AA$200,$G190)&gt;0,
     COUNTIFS($AB$2:$AB$200,$G190)&gt;0,
     COUNTIFS($AC$2:$AC$200,$G190)&gt;0,
     COUNTIFS($AD$2:$AD$200,$G190)&gt;0,
     COUNTIFS($AE$2:$AE$200,$G190)&gt;0,
     COUNTIFS($AF$2:$AF$200,$G190)&gt;0,
     COUNTIFS($AG$2:$AG$200,$G190)&gt;0,
     COUNTIFS($AH$2:$AH$200,$G190)&gt;0,
     COUNTIFS($AI$2:$AI$200,$G190)&gt;0,
     COUNTIFS($AJ$2:$AJ$200,$G190)&gt;0,
     COUNTIFS($AK$2:$AK$200,$G190)&gt;0,
     COUNTIFS($AL$2:$AL$200,$G190)&gt;0,
     COUNTIFS($AM$2:$AM$200,$G190)&gt;0,
     COUNTIFS($AN$2:$AN$200,$G190)&gt;0,
     COUNTIFS($AO$2:$AO$200,$G190)&gt;0,
     COUNTIFS($AP$2:$AP$200,$G190)&gt;0,
     COUNTIFS($AQ$2:$AQ$200,$G190)&gt;0,
     COUNTIFS($AR$2:$AR$200,$G190)&gt;0,
     COUNTIFS($AS$2:$AS$200,$G190)&gt;0,
     COUNTIFS($AT$2:$AT$200,$G190)&gt;0,
     COUNTIFS($AU$2:$AU$200,$G190)&gt;0,
     COUNTIFS($AV$2:$AV$200,$G190)&gt;0,
     COUNTIFS($AW$2:$AW$200,$G190)&gt;0,
     COUNTIFS($AX$2:$AX$200,$G190)&gt;0,
     COUNTIFS($AY$2:$AY$200,$G190)&gt;0
   )),
  ),
  4
 ),
"")</f>
        <v/>
      </c>
      <c r="G190" t="str">
        <f ca="1"/>
        <v>Guttersnipe</v>
      </c>
      <c r="EP190" t="str">
        <f ca="1"/>
        <v>Warren Soultrader</v>
      </c>
      <c r="EQ190" t="str">
        <f ca="1"/>
        <v>Waterbender's Restoration</v>
      </c>
      <c r="ER190" t="str">
        <f ca="1"/>
        <v>Veteran Soldier</v>
      </c>
      <c r="EU190" t="str">
        <f ca="1"/>
        <v>Misty Rainforest</v>
      </c>
      <c r="EV190" t="str">
        <f ca="1"/>
        <v>Veteran Soldier</v>
      </c>
      <c r="EX190" t="str">
        <f ca="1"/>
        <v>Guttersnipe</v>
      </c>
    </row>
    <row r="191" spans="1:154" x14ac:dyDescent="0.25">
      <c r="A191" s="2" t="str">
        <f t="shared" ca="1" si="10"/>
        <v>5</v>
      </c>
      <c r="B191" s="2">
        <f t="shared" ca="1" si="11"/>
        <v>1</v>
      </c>
      <c r="C191" s="2" t="str">
        <f ca="1">IFERROR(
 INDEX($V$1:$BL$1,
  MATCH(TRUE,
   CHOOSE({1;2;3;4;5;6;7;8;9;10;11;12;13;14;15;16;17;18;19;20;21;22;23;24;25;26;27;28;29;30;31;32;33;34;35;36;37;38;39;40;41;42;43},
    COUNTIFS($V$2:$V$200,$G191)&gt;0,
    COUNTIFS($W$2:$W$200,$G191)&gt;0,
    COUNTIFS($X$2:$X$200,$G191)&gt;0,
    COUNTIFS($Y$2:$Y$200,$G191)&gt;0,
    COUNTIFS($Z$2:$Z$200,$G191)&gt;0,
    COUNTIFS($AA$2:$AA$200,$G191)&gt;0,
    COUNTIFS($AB$2:$AB$200,$G191)&gt;0,
    COUNTIFS($AC$2:$AC$200,$G191)&gt;0,
    COUNTIFS($AD$2:$AD$200,$G191)&gt;0,
    COUNTIFS($AE$2:$AE$200,$G191)&gt;0,
    COUNTIFS($AF$2:$AF$200,$G191)&gt;0,
    COUNTIFS($AG$2:$AG$200,$G191)&gt;0,
    COUNTIFS($AH$2:$AH$200,$G191)&gt;0,
    COUNTIFS($AI$2:$AI$200,$G191)&gt;0,
    COUNTIFS($AJ$2:$AJ$200,$G191)&gt;0,
    COUNTIFS($AK$2:$AK$200,$G191)&gt;0,
    COUNTIFS($AL$2:$AL$200,$G191)&gt;0,
    COUNTIFS($AM$2:$AM$200,$G191)&gt;0,
    COUNTIFS($AN$2:$AN$200,$G191)&gt;0,
    COUNTIFS($AO$2:$AO$200,$G191)&gt;0,
    COUNTIFS($AP$2:$AP$200,$G191)&gt;0,
    COUNTIFS($AQ$2:$AQ$200,$G191)&gt;0,
    COUNTIFS($AR$2:$AR$200,$G191)&gt;0,
    COUNTIFS($AS$2:$AS$200,$G191)&gt;0,
    COUNTIFS($AT$2:$AT$200,$G191)&gt;0,
    COUNTIFS($AU$2:$AU$200,$G191)&gt;0,
    COUNTIFS($AV$2:$AV$200,$G191)&gt;0,
    COUNTIFS($AW$2:$AW$200,$G191)&gt;0,
    COUNTIFS($AX$2:$AX$200,$G191)&gt;0,
    COUNTIFS($AY$2:$AY$200,$G191)&gt;0,
    COUNTIFS($AZ$2:$AZ$200,$G191)&gt;0,
    COUNTIFS($BA$2:$BA$200,$G191)&gt;0,
    COUNTIFS($BB$2:$BB$200,$G191)&gt;0,
    COUNTIFS($BC$2:$BC$200,$G191)&gt;0,
    COUNTIFS($BD$2:$BD$200,$G191)&gt;0,
    COUNTIFS($BE$2:$BE$200,$G191)&gt;0,
    COUNTIFS($BF$2:$BF$200,$G191)&gt;0,
    COUNTIFS($BG$2:$BG$200,$G191)&gt;0,
    COUNTIFS($BH$2:$BH$200,$G191)&gt;0,
    COUNTIFS($BI$2:$BI$200,$G191)&gt;0,
    COUNTIFS($BJ$2:$BJ$200,$G191)&gt;0,
    COUNTIFS($BK$2:$BK$200,$G191)&gt;0,
    COUNTIFS($BL$2:$BL$200,$G191)&gt;0,
    COUNTIFS($BM$2:$BM$200,$G191)&gt;0,
   ),
  0)
 ),
"")</f>
        <v>Fractius</v>
      </c>
      <c r="D191" s="2" t="str" cm="1">
        <f t="array" aca="1" ref="D191" ca="1">IFERROR(
 INDEX(
  _xlfn._xlws.FILTER($V$1:$AY$1,
   TRANSPOSE(
    CHOOSE({1;2;3;4;5;6;7;8;9;10;11;12;13;14;15;16;17;18;19;20;21;22;23;24;25;26;27;28;29;30},
     COUNTIFS($V$2:$V$200,$G191)&gt;0,
     COUNTIFS($W$2:$W$200,$G191)&gt;0,
     COUNTIFS($X$2:$X$200,$G191)&gt;0,
     COUNTIFS($Y$2:$Y$200,$G191)&gt;0,
     COUNTIFS($Z$2:$Z$200,$G191)&gt;0,
     COUNTIFS($AA$2:$AA$200,$G191)&gt;0,
     COUNTIFS($AB$2:$AB$200,$G191)&gt;0,
     COUNTIFS($AC$2:$AC$200,$G191)&gt;0,
     COUNTIFS($AD$2:$AD$200,$G191)&gt;0,
     COUNTIFS($AE$2:$AE$200,$G191)&gt;0,
     COUNTIFS($AF$2:$AF$200,$G191)&gt;0,
     COUNTIFS($AG$2:$AG$200,$G191)&gt;0,
     COUNTIFS($AH$2:$AH$200,$G191)&gt;0,
     COUNTIFS($AI$2:$AI$200,$G191)&gt;0,
     COUNTIFS($AJ$2:$AJ$200,$G191)&gt;0,
     COUNTIFS($AK$2:$AK$200,$G191)&gt;0,
     COUNTIFS($AL$2:$AL$200,$G191)&gt;0,
     COUNTIFS($AM$2:$AM$200,$G191)&gt;0,
     COUNTIFS($AN$2:$AN$200,$G191)&gt;0,
     COUNTIFS($AO$2:$AO$200,$G191)&gt;0,
     COUNTIFS($AP$2:$AP$200,$G191)&gt;0,
     COUNTIFS($AQ$2:$AQ$200,$G191)&gt;0,
     COUNTIFS($AR$2:$AR$200,$G191)&gt;0,
     COUNTIFS($AS$2:$AS$200,$G191)&gt;0,
     COUNTIFS($AT$2:$AT$200,$G191)&gt;0,
     COUNTIFS($AU$2:$AU$200,$G191)&gt;0,
     COUNTIFS($AV$2:$AV$200,$G191)&gt;0,
     COUNTIFS($AW$2:$AW$200,$G191)&gt;0,
     COUNTIFS($AX$2:$AX$200,$G191)&gt;0,
     COUNTIFS($AY$2:$AY$200,$G191)&gt;0
   )),
  ),
  2
 ),
"")</f>
        <v/>
      </c>
      <c r="E191" s="2" t="str" cm="1">
        <f t="array" aca="1" ref="E191" ca="1">IFERROR(
 INDEX(
  _xlfn._xlws.FILTER($V$1:$AY$1,
   TRANSPOSE(
    CHOOSE({1;2;3;4;5;6;7;8;9;10;11;12;13;14;15;16;17;18;19;20;21;22;23;24;25;26;27;28;29;30},
     COUNTIFS($V$2:$V$200,$G191)&gt;0,
     COUNTIFS($W$2:$W$200,$G191)&gt;0,
     COUNTIFS($X$2:$X$200,$G191)&gt;0,
     COUNTIFS($Y$2:$Y$200,$G191)&gt;0,
     COUNTIFS($Z$2:$Z$200,$G191)&gt;0,
     COUNTIFS($AA$2:$AA$200,$G191)&gt;0,
     COUNTIFS($AB$2:$AB$200,$G191)&gt;0,
     COUNTIFS($AC$2:$AC$200,$G191)&gt;0,
     COUNTIFS($AD$2:$AD$200,$G191)&gt;0,
     COUNTIFS($AE$2:$AE$200,$G191)&gt;0,
     COUNTIFS($AF$2:$AF$200,$G191)&gt;0,
     COUNTIFS($AG$2:$AG$200,$G191)&gt;0,
     COUNTIFS($AH$2:$AH$200,$G191)&gt;0,
     COUNTIFS($AI$2:$AI$200,$G191)&gt;0,
     COUNTIFS($AJ$2:$AJ$200,$G191)&gt;0,
     COUNTIFS($AK$2:$AK$200,$G191)&gt;0,
     COUNTIFS($AL$2:$AL$200,$G191)&gt;0,
     COUNTIFS($AM$2:$AM$200,$G191)&gt;0,
     COUNTIFS($AN$2:$AN$200,$G191)&gt;0,
     COUNTIFS($AO$2:$AO$200,$G191)&gt;0,
     COUNTIFS($AP$2:$AP$200,$G191)&gt;0,
     COUNTIFS($AQ$2:$AQ$200,$G191)&gt;0,
     COUNTIFS($AR$2:$AR$200,$G191)&gt;0,
     COUNTIFS($AS$2:$AS$200,$G191)&gt;0,
     COUNTIFS($AT$2:$AT$200,$G191)&gt;0,
     COUNTIFS($AU$2:$AU$200,$G191)&gt;0,
     COUNTIFS($AV$2:$AV$200,$G191)&gt;0,
     COUNTIFS($AW$2:$AW$200,$G191)&gt;0,
     COUNTIFS($AX$2:$AX$200,$G191)&gt;0,
     COUNTIFS($AY$2:$AY$200,$G191)&gt;0
   )),
  ),
  3
 ),
"")</f>
        <v/>
      </c>
      <c r="F191" s="2" t="str" cm="1">
        <f t="array" aca="1" ref="F191" ca="1">IFERROR(
 INDEX(
  _xlfn._xlws.FILTER($V$1:$AY$1,
   TRANSPOSE(
    CHOOSE({1;2;3;4;5;6;7;8;9;10;11;12;13;14;15;16;17;18;19;20;21;22;23;24;25;26;27;28;29;30},
     COUNTIFS($V$2:$V$200,$G191)&gt;0,
     COUNTIFS($W$2:$W$200,$G191)&gt;0,
     COUNTIFS($X$2:$X$200,$G191)&gt;0,
     COUNTIFS($Y$2:$Y$200,$G191)&gt;0,
     COUNTIFS($Z$2:$Z$200,$G191)&gt;0,
     COUNTIFS($AA$2:$AA$200,$G191)&gt;0,
     COUNTIFS($AB$2:$AB$200,$G191)&gt;0,
     COUNTIFS($AC$2:$AC$200,$G191)&gt;0,
     COUNTIFS($AD$2:$AD$200,$G191)&gt;0,
     COUNTIFS($AE$2:$AE$200,$G191)&gt;0,
     COUNTIFS($AF$2:$AF$200,$G191)&gt;0,
     COUNTIFS($AG$2:$AG$200,$G191)&gt;0,
     COUNTIFS($AH$2:$AH$200,$G191)&gt;0,
     COUNTIFS($AI$2:$AI$200,$G191)&gt;0,
     COUNTIFS($AJ$2:$AJ$200,$G191)&gt;0,
     COUNTIFS($AK$2:$AK$200,$G191)&gt;0,
     COUNTIFS($AL$2:$AL$200,$G191)&gt;0,
     COUNTIFS($AM$2:$AM$200,$G191)&gt;0,
     COUNTIFS($AN$2:$AN$200,$G191)&gt;0,
     COUNTIFS($AO$2:$AO$200,$G191)&gt;0,
     COUNTIFS($AP$2:$AP$200,$G191)&gt;0,
     COUNTIFS($AQ$2:$AQ$200,$G191)&gt;0,
     COUNTIFS($AR$2:$AR$200,$G191)&gt;0,
     COUNTIFS($AS$2:$AS$200,$G191)&gt;0,
     COUNTIFS($AT$2:$AT$200,$G191)&gt;0,
     COUNTIFS($AU$2:$AU$200,$G191)&gt;0,
     COUNTIFS($AV$2:$AV$200,$G191)&gt;0,
     COUNTIFS($AW$2:$AW$200,$G191)&gt;0,
     COUNTIFS($AX$2:$AX$200,$G191)&gt;0,
     COUNTIFS($AY$2:$AY$200,$G191)&gt;0
   )),
  ),
  4
 ),
"")</f>
        <v/>
      </c>
      <c r="G191" t="str">
        <f ca="1"/>
        <v>Hallowed Fountain</v>
      </c>
      <c r="EP191" t="str">
        <f ca="1"/>
        <v>Waterbender's Restoration</v>
      </c>
      <c r="EQ191" t="str">
        <f ca="1"/>
        <v>Watery Grave</v>
      </c>
      <c r="ER191" t="str">
        <f ca="1"/>
        <v>Virtue of Knowledge // Vantress Visions</v>
      </c>
      <c r="EU191" t="str">
        <f ca="1"/>
        <v>Mnemonic Sliver</v>
      </c>
      <c r="EV191" t="str">
        <f ca="1"/>
        <v>Virtue of Knowledge // Vantress Visions</v>
      </c>
      <c r="EX191" t="str">
        <f ca="1"/>
        <v>Hallowed Fountain</v>
      </c>
    </row>
    <row r="192" spans="1:154" x14ac:dyDescent="0.25">
      <c r="A192" s="2" t="str">
        <f t="shared" ca="1" si="10"/>
        <v>5</v>
      </c>
      <c r="B192" s="2">
        <f t="shared" ca="1" si="11"/>
        <v>21</v>
      </c>
      <c r="C192" s="2" t="str">
        <f ca="1">IFERROR(
 INDEX($V$1:$BL$1,
  MATCH(TRUE,
   CHOOSE({1;2;3;4;5;6;7;8;9;10;11;12;13;14;15;16;17;18;19;20;21;22;23;24;25;26;27;28;29;30;31;32;33;34;35;36;37;38;39;40;41;42;43},
    COUNTIFS($V$2:$V$200,$G192)&gt;0,
    COUNTIFS($W$2:$W$200,$G192)&gt;0,
    COUNTIFS($X$2:$X$200,$G192)&gt;0,
    COUNTIFS($Y$2:$Y$200,$G192)&gt;0,
    COUNTIFS($Z$2:$Z$200,$G192)&gt;0,
    COUNTIFS($AA$2:$AA$200,$G192)&gt;0,
    COUNTIFS($AB$2:$AB$200,$G192)&gt;0,
    COUNTIFS($AC$2:$AC$200,$G192)&gt;0,
    COUNTIFS($AD$2:$AD$200,$G192)&gt;0,
    COUNTIFS($AE$2:$AE$200,$G192)&gt;0,
    COUNTIFS($AF$2:$AF$200,$G192)&gt;0,
    COUNTIFS($AG$2:$AG$200,$G192)&gt;0,
    COUNTIFS($AH$2:$AH$200,$G192)&gt;0,
    COUNTIFS($AI$2:$AI$200,$G192)&gt;0,
    COUNTIFS($AJ$2:$AJ$200,$G192)&gt;0,
    COUNTIFS($AK$2:$AK$200,$G192)&gt;0,
    COUNTIFS($AL$2:$AL$200,$G192)&gt;0,
    COUNTIFS($AM$2:$AM$200,$G192)&gt;0,
    COUNTIFS($AN$2:$AN$200,$G192)&gt;0,
    COUNTIFS($AO$2:$AO$200,$G192)&gt;0,
    COUNTIFS($AP$2:$AP$200,$G192)&gt;0,
    COUNTIFS($AQ$2:$AQ$200,$G192)&gt;0,
    COUNTIFS($AR$2:$AR$200,$G192)&gt;0,
    COUNTIFS($AS$2:$AS$200,$G192)&gt;0,
    COUNTIFS($AT$2:$AT$200,$G192)&gt;0,
    COUNTIFS($AU$2:$AU$200,$G192)&gt;0,
    COUNTIFS($AV$2:$AV$200,$G192)&gt;0,
    COUNTIFS($AW$2:$AW$200,$G192)&gt;0,
    COUNTIFS($AX$2:$AX$200,$G192)&gt;0,
    COUNTIFS($AY$2:$AY$200,$G192)&gt;0,
    COUNTIFS($AZ$2:$AZ$200,$G192)&gt;0,
    COUNTIFS($BA$2:$BA$200,$G192)&gt;0,
    COUNTIFS($BB$2:$BB$200,$G192)&gt;0,
    COUNTIFS($BC$2:$BC$200,$G192)&gt;0,
    COUNTIFS($BD$2:$BD$200,$G192)&gt;0,
    COUNTIFS($BE$2:$BE$200,$G192)&gt;0,
    COUNTIFS($BF$2:$BF$200,$G192)&gt;0,
    COUNTIFS($BG$2:$BG$200,$G192)&gt;0,
    COUNTIFS($BH$2:$BH$200,$G192)&gt;0,
    COUNTIFS($BI$2:$BI$200,$G192)&gt;0,
    COUNTIFS($BJ$2:$BJ$200,$G192)&gt;0,
    COUNTIFS($BK$2:$BK$200,$G192)&gt;0,
    COUNTIFS($BL$2:$BL$200,$G192)&gt;0,
    COUNTIFS($BM$2:$BM$200,$G192)&gt;0,
   ),
  0)
 ),
"")</f>
        <v>Yorion</v>
      </c>
      <c r="D192" s="2" t="str" cm="1">
        <f t="array" aca="1" ref="D192" ca="1">IFERROR(
 INDEX(
  _xlfn._xlws.FILTER($V$1:$AY$1,
   TRANSPOSE(
    CHOOSE({1;2;3;4;5;6;7;8;9;10;11;12;13;14;15;16;17;18;19;20;21;22;23;24;25;26;27;28;29;30},
     COUNTIFS($V$2:$V$200,$G192)&gt;0,
     COUNTIFS($W$2:$W$200,$G192)&gt;0,
     COUNTIFS($X$2:$X$200,$G192)&gt;0,
     COUNTIFS($Y$2:$Y$200,$G192)&gt;0,
     COUNTIFS($Z$2:$Z$200,$G192)&gt;0,
     COUNTIFS($AA$2:$AA$200,$G192)&gt;0,
     COUNTIFS($AB$2:$AB$200,$G192)&gt;0,
     COUNTIFS($AC$2:$AC$200,$G192)&gt;0,
     COUNTIFS($AD$2:$AD$200,$G192)&gt;0,
     COUNTIFS($AE$2:$AE$200,$G192)&gt;0,
     COUNTIFS($AF$2:$AF$200,$G192)&gt;0,
     COUNTIFS($AG$2:$AG$200,$G192)&gt;0,
     COUNTIFS($AH$2:$AH$200,$G192)&gt;0,
     COUNTIFS($AI$2:$AI$200,$G192)&gt;0,
     COUNTIFS($AJ$2:$AJ$200,$G192)&gt;0,
     COUNTIFS($AK$2:$AK$200,$G192)&gt;0,
     COUNTIFS($AL$2:$AL$200,$G192)&gt;0,
     COUNTIFS($AM$2:$AM$200,$G192)&gt;0,
     COUNTIFS($AN$2:$AN$200,$G192)&gt;0,
     COUNTIFS($AO$2:$AO$200,$G192)&gt;0,
     COUNTIFS($AP$2:$AP$200,$G192)&gt;0,
     COUNTIFS($AQ$2:$AQ$200,$G192)&gt;0,
     COUNTIFS($AR$2:$AR$200,$G192)&gt;0,
     COUNTIFS($AS$2:$AS$200,$G192)&gt;0,
     COUNTIFS($AT$2:$AT$200,$G192)&gt;0,
     COUNTIFS($AU$2:$AU$200,$G192)&gt;0,
     COUNTIFS($AV$2:$AV$200,$G192)&gt;0,
     COUNTIFS($AW$2:$AW$200,$G192)&gt;0,
     COUNTIFS($AX$2:$AX$200,$G192)&gt;0,
     COUNTIFS($AY$2:$AY$200,$G192)&gt;0
   )),
  ),
  2
 ),
"")</f>
        <v/>
      </c>
      <c r="E192" s="2" t="str" cm="1">
        <f t="array" aca="1" ref="E192" ca="1">IFERROR(
 INDEX(
  _xlfn._xlws.FILTER($V$1:$AY$1,
   TRANSPOSE(
    CHOOSE({1;2;3;4;5;6;7;8;9;10;11;12;13;14;15;16;17;18;19;20;21;22;23;24;25;26;27;28;29;30},
     COUNTIFS($V$2:$V$200,$G192)&gt;0,
     COUNTIFS($W$2:$W$200,$G192)&gt;0,
     COUNTIFS($X$2:$X$200,$G192)&gt;0,
     COUNTIFS($Y$2:$Y$200,$G192)&gt;0,
     COUNTIFS($Z$2:$Z$200,$G192)&gt;0,
     COUNTIFS($AA$2:$AA$200,$G192)&gt;0,
     COUNTIFS($AB$2:$AB$200,$G192)&gt;0,
     COUNTIFS($AC$2:$AC$200,$G192)&gt;0,
     COUNTIFS($AD$2:$AD$200,$G192)&gt;0,
     COUNTIFS($AE$2:$AE$200,$G192)&gt;0,
     COUNTIFS($AF$2:$AF$200,$G192)&gt;0,
     COUNTIFS($AG$2:$AG$200,$G192)&gt;0,
     COUNTIFS($AH$2:$AH$200,$G192)&gt;0,
     COUNTIFS($AI$2:$AI$200,$G192)&gt;0,
     COUNTIFS($AJ$2:$AJ$200,$G192)&gt;0,
     COUNTIFS($AK$2:$AK$200,$G192)&gt;0,
     COUNTIFS($AL$2:$AL$200,$G192)&gt;0,
     COUNTIFS($AM$2:$AM$200,$G192)&gt;0,
     COUNTIFS($AN$2:$AN$200,$G192)&gt;0,
     COUNTIFS($AO$2:$AO$200,$G192)&gt;0,
     COUNTIFS($AP$2:$AP$200,$G192)&gt;0,
     COUNTIFS($AQ$2:$AQ$200,$G192)&gt;0,
     COUNTIFS($AR$2:$AR$200,$G192)&gt;0,
     COUNTIFS($AS$2:$AS$200,$G192)&gt;0,
     COUNTIFS($AT$2:$AT$200,$G192)&gt;0,
     COUNTIFS($AU$2:$AU$200,$G192)&gt;0,
     COUNTIFS($AV$2:$AV$200,$G192)&gt;0,
     COUNTIFS($AW$2:$AW$200,$G192)&gt;0,
     COUNTIFS($AX$2:$AX$200,$G192)&gt;0,
     COUNTIFS($AY$2:$AY$200,$G192)&gt;0
   )),
  ),
  3
 ),
"")</f>
        <v/>
      </c>
      <c r="F192" s="2" t="str" cm="1">
        <f t="array" aca="1" ref="F192" ca="1">IFERROR(
 INDEX(
  _xlfn._xlws.FILTER($V$1:$AY$1,
   TRANSPOSE(
    CHOOSE({1;2;3;4;5;6;7;8;9;10;11;12;13;14;15;16;17;18;19;20;21;22;23;24;25;26;27;28;29;30},
     COUNTIFS($V$2:$V$200,$G192)&gt;0,
     COUNTIFS($W$2:$W$200,$G192)&gt;0,
     COUNTIFS($X$2:$X$200,$G192)&gt;0,
     COUNTIFS($Y$2:$Y$200,$G192)&gt;0,
     COUNTIFS($Z$2:$Z$200,$G192)&gt;0,
     COUNTIFS($AA$2:$AA$200,$G192)&gt;0,
     COUNTIFS($AB$2:$AB$200,$G192)&gt;0,
     COUNTIFS($AC$2:$AC$200,$G192)&gt;0,
     COUNTIFS($AD$2:$AD$200,$G192)&gt;0,
     COUNTIFS($AE$2:$AE$200,$G192)&gt;0,
     COUNTIFS($AF$2:$AF$200,$G192)&gt;0,
     COUNTIFS($AG$2:$AG$200,$G192)&gt;0,
     COUNTIFS($AH$2:$AH$200,$G192)&gt;0,
     COUNTIFS($AI$2:$AI$200,$G192)&gt;0,
     COUNTIFS($AJ$2:$AJ$200,$G192)&gt;0,
     COUNTIFS($AK$2:$AK$200,$G192)&gt;0,
     COUNTIFS($AL$2:$AL$200,$G192)&gt;0,
     COUNTIFS($AM$2:$AM$200,$G192)&gt;0,
     COUNTIFS($AN$2:$AN$200,$G192)&gt;0,
     COUNTIFS($AO$2:$AO$200,$G192)&gt;0,
     COUNTIFS($AP$2:$AP$200,$G192)&gt;0,
     COUNTIFS($AQ$2:$AQ$200,$G192)&gt;0,
     COUNTIFS($AR$2:$AR$200,$G192)&gt;0,
     COUNTIFS($AS$2:$AS$200,$G192)&gt;0,
     COUNTIFS($AT$2:$AT$200,$G192)&gt;0,
     COUNTIFS($AU$2:$AU$200,$G192)&gt;0,
     COUNTIFS($AV$2:$AV$200,$G192)&gt;0,
     COUNTIFS($AW$2:$AW$200,$G192)&gt;0,
     COUNTIFS($AX$2:$AX$200,$G192)&gt;0,
     COUNTIFS($AY$2:$AY$200,$G192)&gt;0
   )),
  ),
  4
 ),
"")</f>
        <v/>
      </c>
      <c r="G192" t="str">
        <f ca="1"/>
        <v>Hare Apparent</v>
      </c>
      <c r="EP192" t="str">
        <f ca="1"/>
        <v>Watery Grave</v>
      </c>
      <c r="EQ192" t="str">
        <f ca="1"/>
        <v>Winged Sliver</v>
      </c>
      <c r="ER192" t="str">
        <f ca="1"/>
        <v>Water Tribe Rallier</v>
      </c>
      <c r="EU192" t="str">
        <f ca="1"/>
        <v>Molten Echoes</v>
      </c>
      <c r="EV192" t="str">
        <f ca="1"/>
        <v>Water Tribe Rallier</v>
      </c>
      <c r="EX192" t="str">
        <f ca="1"/>
        <v>Hare Apparent</v>
      </c>
    </row>
    <row r="193" spans="1:154" x14ac:dyDescent="0.25">
      <c r="A193" s="2" t="str">
        <f t="shared" ca="1" si="10"/>
        <v>5</v>
      </c>
      <c r="B193" s="2">
        <f t="shared" ca="1" si="11"/>
        <v>1</v>
      </c>
      <c r="C193" s="2" t="str">
        <f ca="1">IFERROR(
 INDEX($V$1:$BL$1,
  MATCH(TRUE,
   CHOOSE({1;2;3;4;5;6;7;8;9;10;11;12;13;14;15;16;17;18;19;20;21;22;23;24;25;26;27;28;29;30;31;32;33;34;35;36;37;38;39;40;41;42;43},
    COUNTIFS($V$2:$V$200,$G193)&gt;0,
    COUNTIFS($W$2:$W$200,$G193)&gt;0,
    COUNTIFS($X$2:$X$200,$G193)&gt;0,
    COUNTIFS($Y$2:$Y$200,$G193)&gt;0,
    COUNTIFS($Z$2:$Z$200,$G193)&gt;0,
    COUNTIFS($AA$2:$AA$200,$G193)&gt;0,
    COUNTIFS($AB$2:$AB$200,$G193)&gt;0,
    COUNTIFS($AC$2:$AC$200,$G193)&gt;0,
    COUNTIFS($AD$2:$AD$200,$G193)&gt;0,
    COUNTIFS($AE$2:$AE$200,$G193)&gt;0,
    COUNTIFS($AF$2:$AF$200,$G193)&gt;0,
    COUNTIFS($AG$2:$AG$200,$G193)&gt;0,
    COUNTIFS($AH$2:$AH$200,$G193)&gt;0,
    COUNTIFS($AI$2:$AI$200,$G193)&gt;0,
    COUNTIFS($AJ$2:$AJ$200,$G193)&gt;0,
    COUNTIFS($AK$2:$AK$200,$G193)&gt;0,
    COUNTIFS($AL$2:$AL$200,$G193)&gt;0,
    COUNTIFS($AM$2:$AM$200,$G193)&gt;0,
    COUNTIFS($AN$2:$AN$200,$G193)&gt;0,
    COUNTIFS($AO$2:$AO$200,$G193)&gt;0,
    COUNTIFS($AP$2:$AP$200,$G193)&gt;0,
    COUNTIFS($AQ$2:$AQ$200,$G193)&gt;0,
    COUNTIFS($AR$2:$AR$200,$G193)&gt;0,
    COUNTIFS($AS$2:$AS$200,$G193)&gt;0,
    COUNTIFS($AT$2:$AT$200,$G193)&gt;0,
    COUNTIFS($AU$2:$AU$200,$G193)&gt;0,
    COUNTIFS($AV$2:$AV$200,$G193)&gt;0,
    COUNTIFS($AW$2:$AW$200,$G193)&gt;0,
    COUNTIFS($AX$2:$AX$200,$G193)&gt;0,
    COUNTIFS($AY$2:$AY$200,$G193)&gt;0,
    COUNTIFS($AZ$2:$AZ$200,$G193)&gt;0,
    COUNTIFS($BA$2:$BA$200,$G193)&gt;0,
    COUNTIFS($BB$2:$BB$200,$G193)&gt;0,
    COUNTIFS($BC$2:$BC$200,$G193)&gt;0,
    COUNTIFS($BD$2:$BD$200,$G193)&gt;0,
    COUNTIFS($BE$2:$BE$200,$G193)&gt;0,
    COUNTIFS($BF$2:$BF$200,$G193)&gt;0,
    COUNTIFS($BG$2:$BG$200,$G193)&gt;0,
    COUNTIFS($BH$2:$BH$200,$G193)&gt;0,
    COUNTIFS($BI$2:$BI$200,$G193)&gt;0,
    COUNTIFS($BJ$2:$BJ$200,$G193)&gt;0,
    COUNTIFS($BK$2:$BK$200,$G193)&gt;0,
    COUNTIFS($BL$2:$BL$200,$G193)&gt;0,
    COUNTIFS($BM$2:$BM$200,$G193)&gt;0,
   ),
  0)
 ),
"")</f>
        <v>Fractius</v>
      </c>
      <c r="D193" s="2" t="str" cm="1">
        <f t="array" aca="1" ref="D193" ca="1">IFERROR(
 INDEX(
  _xlfn._xlws.FILTER($V$1:$AY$1,
   TRANSPOSE(
    CHOOSE({1;2;3;4;5;6;7;8;9;10;11;12;13;14;15;16;17;18;19;20;21;22;23;24;25;26;27;28;29;30},
     COUNTIFS($V$2:$V$200,$G193)&gt;0,
     COUNTIFS($W$2:$W$200,$G193)&gt;0,
     COUNTIFS($X$2:$X$200,$G193)&gt;0,
     COUNTIFS($Y$2:$Y$200,$G193)&gt;0,
     COUNTIFS($Z$2:$Z$200,$G193)&gt;0,
     COUNTIFS($AA$2:$AA$200,$G193)&gt;0,
     COUNTIFS($AB$2:$AB$200,$G193)&gt;0,
     COUNTIFS($AC$2:$AC$200,$G193)&gt;0,
     COUNTIFS($AD$2:$AD$200,$G193)&gt;0,
     COUNTIFS($AE$2:$AE$200,$G193)&gt;0,
     COUNTIFS($AF$2:$AF$200,$G193)&gt;0,
     COUNTIFS($AG$2:$AG$200,$G193)&gt;0,
     COUNTIFS($AH$2:$AH$200,$G193)&gt;0,
     COUNTIFS($AI$2:$AI$200,$G193)&gt;0,
     COUNTIFS($AJ$2:$AJ$200,$G193)&gt;0,
     COUNTIFS($AK$2:$AK$200,$G193)&gt;0,
     COUNTIFS($AL$2:$AL$200,$G193)&gt;0,
     COUNTIFS($AM$2:$AM$200,$G193)&gt;0,
     COUNTIFS($AN$2:$AN$200,$G193)&gt;0,
     COUNTIFS($AO$2:$AO$200,$G193)&gt;0,
     COUNTIFS($AP$2:$AP$200,$G193)&gt;0,
     COUNTIFS($AQ$2:$AQ$200,$G193)&gt;0,
     COUNTIFS($AR$2:$AR$200,$G193)&gt;0,
     COUNTIFS($AS$2:$AS$200,$G193)&gt;0,
     COUNTIFS($AT$2:$AT$200,$G193)&gt;0,
     COUNTIFS($AU$2:$AU$200,$G193)&gt;0,
     COUNTIFS($AV$2:$AV$200,$G193)&gt;0,
     COUNTIFS($AW$2:$AW$200,$G193)&gt;0,
     COUNTIFS($AX$2:$AX$200,$G193)&gt;0,
     COUNTIFS($AY$2:$AY$200,$G193)&gt;0
   )),
  ),
  2
 ),
"")</f>
        <v/>
      </c>
      <c r="E193" s="2" t="str" cm="1">
        <f t="array" aca="1" ref="E193" ca="1">IFERROR(
 INDEX(
  _xlfn._xlws.FILTER($V$1:$AY$1,
   TRANSPOSE(
    CHOOSE({1;2;3;4;5;6;7;8;9;10;11;12;13;14;15;16;17;18;19;20;21;22;23;24;25;26;27;28;29;30},
     COUNTIFS($V$2:$V$200,$G193)&gt;0,
     COUNTIFS($W$2:$W$200,$G193)&gt;0,
     COUNTIFS($X$2:$X$200,$G193)&gt;0,
     COUNTIFS($Y$2:$Y$200,$G193)&gt;0,
     COUNTIFS($Z$2:$Z$200,$G193)&gt;0,
     COUNTIFS($AA$2:$AA$200,$G193)&gt;0,
     COUNTIFS($AB$2:$AB$200,$G193)&gt;0,
     COUNTIFS($AC$2:$AC$200,$G193)&gt;0,
     COUNTIFS($AD$2:$AD$200,$G193)&gt;0,
     COUNTIFS($AE$2:$AE$200,$G193)&gt;0,
     COUNTIFS($AF$2:$AF$200,$G193)&gt;0,
     COUNTIFS($AG$2:$AG$200,$G193)&gt;0,
     COUNTIFS($AH$2:$AH$200,$G193)&gt;0,
     COUNTIFS($AI$2:$AI$200,$G193)&gt;0,
     COUNTIFS($AJ$2:$AJ$200,$G193)&gt;0,
     COUNTIFS($AK$2:$AK$200,$G193)&gt;0,
     COUNTIFS($AL$2:$AL$200,$G193)&gt;0,
     COUNTIFS($AM$2:$AM$200,$G193)&gt;0,
     COUNTIFS($AN$2:$AN$200,$G193)&gt;0,
     COUNTIFS($AO$2:$AO$200,$G193)&gt;0,
     COUNTIFS($AP$2:$AP$200,$G193)&gt;0,
     COUNTIFS($AQ$2:$AQ$200,$G193)&gt;0,
     COUNTIFS($AR$2:$AR$200,$G193)&gt;0,
     COUNTIFS($AS$2:$AS$200,$G193)&gt;0,
     COUNTIFS($AT$2:$AT$200,$G193)&gt;0,
     COUNTIFS($AU$2:$AU$200,$G193)&gt;0,
     COUNTIFS($AV$2:$AV$200,$G193)&gt;0,
     COUNTIFS($AW$2:$AW$200,$G193)&gt;0,
     COUNTIFS($AX$2:$AX$200,$G193)&gt;0,
     COUNTIFS($AY$2:$AY$200,$G193)&gt;0
   )),
  ),
  3
 ),
"")</f>
        <v/>
      </c>
      <c r="F193" s="2" t="str" cm="1">
        <f t="array" aca="1" ref="F193" ca="1">IFERROR(
 INDEX(
  _xlfn._xlws.FILTER($V$1:$AY$1,
   TRANSPOSE(
    CHOOSE({1;2;3;4;5;6;7;8;9;10;11;12;13;14;15;16;17;18;19;20;21;22;23;24;25;26;27;28;29;30},
     COUNTIFS($V$2:$V$200,$G193)&gt;0,
     COUNTIFS($W$2:$W$200,$G193)&gt;0,
     COUNTIFS($X$2:$X$200,$G193)&gt;0,
     COUNTIFS($Y$2:$Y$200,$G193)&gt;0,
     COUNTIFS($Z$2:$Z$200,$G193)&gt;0,
     COUNTIFS($AA$2:$AA$200,$G193)&gt;0,
     COUNTIFS($AB$2:$AB$200,$G193)&gt;0,
     COUNTIFS($AC$2:$AC$200,$G193)&gt;0,
     COUNTIFS($AD$2:$AD$200,$G193)&gt;0,
     COUNTIFS($AE$2:$AE$200,$G193)&gt;0,
     COUNTIFS($AF$2:$AF$200,$G193)&gt;0,
     COUNTIFS($AG$2:$AG$200,$G193)&gt;0,
     COUNTIFS($AH$2:$AH$200,$G193)&gt;0,
     COUNTIFS($AI$2:$AI$200,$G193)&gt;0,
     COUNTIFS($AJ$2:$AJ$200,$G193)&gt;0,
     COUNTIFS($AK$2:$AK$200,$G193)&gt;0,
     COUNTIFS($AL$2:$AL$200,$G193)&gt;0,
     COUNTIFS($AM$2:$AM$200,$G193)&gt;0,
     COUNTIFS($AN$2:$AN$200,$G193)&gt;0,
     COUNTIFS($AO$2:$AO$200,$G193)&gt;0,
     COUNTIFS($AP$2:$AP$200,$G193)&gt;0,
     COUNTIFS($AQ$2:$AQ$200,$G193)&gt;0,
     COUNTIFS($AR$2:$AR$200,$G193)&gt;0,
     COUNTIFS($AS$2:$AS$200,$G193)&gt;0,
     COUNTIFS($AT$2:$AT$200,$G193)&gt;0,
     COUNTIFS($AU$2:$AU$200,$G193)&gt;0,
     COUNTIFS($AV$2:$AV$200,$G193)&gt;0,
     COUNTIFS($AW$2:$AW$200,$G193)&gt;0,
     COUNTIFS($AX$2:$AX$200,$G193)&gt;0,
     COUNTIFS($AY$2:$AY$200,$G193)&gt;0
   )),
  ),
  4
 ),
"")</f>
        <v/>
      </c>
      <c r="G193" t="str">
        <f ca="1"/>
        <v>Harmonic Sliver</v>
      </c>
      <c r="EP193" t="str">
        <f ca="1"/>
        <v>Woodland Cemetery</v>
      </c>
      <c r="EQ193" t="str">
        <f ca="1"/>
        <v>Xander's Lounge</v>
      </c>
      <c r="ER193" t="str">
        <f ca="1"/>
        <v>Waterbender's Restoration</v>
      </c>
      <c r="EU193" t="str">
        <f ca="1"/>
        <v>Mondrak, Glory Dominus</v>
      </c>
      <c r="EV193" t="str">
        <f ca="1"/>
        <v>Waterbender's Restoration</v>
      </c>
      <c r="EX193" t="str">
        <f ca="1"/>
        <v>Harmonic Sliver</v>
      </c>
    </row>
    <row r="194" spans="1:154" x14ac:dyDescent="0.25">
      <c r="A194" s="2" t="str">
        <f t="shared" ca="1" si="10"/>
        <v>5</v>
      </c>
      <c r="B194" s="2">
        <f t="shared" ca="1" si="11"/>
        <v>1</v>
      </c>
      <c r="C194" s="2" t="str">
        <f ca="1">IFERROR(
 INDEX($V$1:$BL$1,
  MATCH(TRUE,
   CHOOSE({1;2;3;4;5;6;7;8;9;10;11;12;13;14;15;16;17;18;19;20;21;22;23;24;25;26;27;28;29;30;31;32;33;34;35;36;37;38;39;40;41;42;43},
    COUNTIFS($V$2:$V$200,$G194)&gt;0,
    COUNTIFS($W$2:$W$200,$G194)&gt;0,
    COUNTIFS($X$2:$X$200,$G194)&gt;0,
    COUNTIFS($Y$2:$Y$200,$G194)&gt;0,
    COUNTIFS($Z$2:$Z$200,$G194)&gt;0,
    COUNTIFS($AA$2:$AA$200,$G194)&gt;0,
    COUNTIFS($AB$2:$AB$200,$G194)&gt;0,
    COUNTIFS($AC$2:$AC$200,$G194)&gt;0,
    COUNTIFS($AD$2:$AD$200,$G194)&gt;0,
    COUNTIFS($AE$2:$AE$200,$G194)&gt;0,
    COUNTIFS($AF$2:$AF$200,$G194)&gt;0,
    COUNTIFS($AG$2:$AG$200,$G194)&gt;0,
    COUNTIFS($AH$2:$AH$200,$G194)&gt;0,
    COUNTIFS($AI$2:$AI$200,$G194)&gt;0,
    COUNTIFS($AJ$2:$AJ$200,$G194)&gt;0,
    COUNTIFS($AK$2:$AK$200,$G194)&gt;0,
    COUNTIFS($AL$2:$AL$200,$G194)&gt;0,
    COUNTIFS($AM$2:$AM$200,$G194)&gt;0,
    COUNTIFS($AN$2:$AN$200,$G194)&gt;0,
    COUNTIFS($AO$2:$AO$200,$G194)&gt;0,
    COUNTIFS($AP$2:$AP$200,$G194)&gt;0,
    COUNTIFS($AQ$2:$AQ$200,$G194)&gt;0,
    COUNTIFS($AR$2:$AR$200,$G194)&gt;0,
    COUNTIFS($AS$2:$AS$200,$G194)&gt;0,
    COUNTIFS($AT$2:$AT$200,$G194)&gt;0,
    COUNTIFS($AU$2:$AU$200,$G194)&gt;0,
    COUNTIFS($AV$2:$AV$200,$G194)&gt;0,
    COUNTIFS($AW$2:$AW$200,$G194)&gt;0,
    COUNTIFS($AX$2:$AX$200,$G194)&gt;0,
    COUNTIFS($AY$2:$AY$200,$G194)&gt;0,
    COUNTIFS($AZ$2:$AZ$200,$G194)&gt;0,
    COUNTIFS($BA$2:$BA$200,$G194)&gt;0,
    COUNTIFS($BB$2:$BB$200,$G194)&gt;0,
    COUNTIFS($BC$2:$BC$200,$G194)&gt;0,
    COUNTIFS($BD$2:$BD$200,$G194)&gt;0,
    COUNTIFS($BE$2:$BE$200,$G194)&gt;0,
    COUNTIFS($BF$2:$BF$200,$G194)&gt;0,
    COUNTIFS($BG$2:$BG$200,$G194)&gt;0,
    COUNTIFS($BH$2:$BH$200,$G194)&gt;0,
    COUNTIFS($BI$2:$BI$200,$G194)&gt;0,
    COUNTIFS($BJ$2:$BJ$200,$G194)&gt;0,
    COUNTIFS($BK$2:$BK$200,$G194)&gt;0,
    COUNTIFS($BL$2:$BL$200,$G194)&gt;0,
    COUNTIFS($BM$2:$BM$200,$G194)&gt;0,
   ),
  0)
 ),
"")</f>
        <v>4cRash</v>
      </c>
      <c r="D194" s="2" t="str" cm="1">
        <f t="array" aca="1" ref="D194" ca="1">IFERROR(
 INDEX(
  _xlfn._xlws.FILTER($V$1:$AY$1,
   TRANSPOSE(
    CHOOSE({1;2;3;4;5;6;7;8;9;10;11;12;13;14;15;16;17;18;19;20;21;22;23;24;25;26;27;28;29;30},
     COUNTIFS($V$2:$V$200,$G194)&gt;0,
     COUNTIFS($W$2:$W$200,$G194)&gt;0,
     COUNTIFS($X$2:$X$200,$G194)&gt;0,
     COUNTIFS($Y$2:$Y$200,$G194)&gt;0,
     COUNTIFS($Z$2:$Z$200,$G194)&gt;0,
     COUNTIFS($AA$2:$AA$200,$G194)&gt;0,
     COUNTIFS($AB$2:$AB$200,$G194)&gt;0,
     COUNTIFS($AC$2:$AC$200,$G194)&gt;0,
     COUNTIFS($AD$2:$AD$200,$G194)&gt;0,
     COUNTIFS($AE$2:$AE$200,$G194)&gt;0,
     COUNTIFS($AF$2:$AF$200,$G194)&gt;0,
     COUNTIFS($AG$2:$AG$200,$G194)&gt;0,
     COUNTIFS($AH$2:$AH$200,$G194)&gt;0,
     COUNTIFS($AI$2:$AI$200,$G194)&gt;0,
     COUNTIFS($AJ$2:$AJ$200,$G194)&gt;0,
     COUNTIFS($AK$2:$AK$200,$G194)&gt;0,
     COUNTIFS($AL$2:$AL$200,$G194)&gt;0,
     COUNTIFS($AM$2:$AM$200,$G194)&gt;0,
     COUNTIFS($AN$2:$AN$200,$G194)&gt;0,
     COUNTIFS($AO$2:$AO$200,$G194)&gt;0,
     COUNTIFS($AP$2:$AP$200,$G194)&gt;0,
     COUNTIFS($AQ$2:$AQ$200,$G194)&gt;0,
     COUNTIFS($AR$2:$AR$200,$G194)&gt;0,
     COUNTIFS($AS$2:$AS$200,$G194)&gt;0,
     COUNTIFS($AT$2:$AT$200,$G194)&gt;0,
     COUNTIFS($AU$2:$AU$200,$G194)&gt;0,
     COUNTIFS($AV$2:$AV$200,$G194)&gt;0,
     COUNTIFS($AW$2:$AW$200,$G194)&gt;0,
     COUNTIFS($AX$2:$AX$200,$G194)&gt;0,
     COUNTIFS($AY$2:$AY$200,$G194)&gt;0
   )),
  ),
  2
 ),
"")</f>
        <v/>
      </c>
      <c r="E194" s="2" t="str" cm="1">
        <f t="array" aca="1" ref="E194" ca="1">IFERROR(
 INDEX(
  _xlfn._xlws.FILTER($V$1:$AY$1,
   TRANSPOSE(
    CHOOSE({1;2;3;4;5;6;7;8;9;10;11;12;13;14;15;16;17;18;19;20;21;22;23;24;25;26;27;28;29;30},
     COUNTIFS($V$2:$V$200,$G194)&gt;0,
     COUNTIFS($W$2:$W$200,$G194)&gt;0,
     COUNTIFS($X$2:$X$200,$G194)&gt;0,
     COUNTIFS($Y$2:$Y$200,$G194)&gt;0,
     COUNTIFS($Z$2:$Z$200,$G194)&gt;0,
     COUNTIFS($AA$2:$AA$200,$G194)&gt;0,
     COUNTIFS($AB$2:$AB$200,$G194)&gt;0,
     COUNTIFS($AC$2:$AC$200,$G194)&gt;0,
     COUNTIFS($AD$2:$AD$200,$G194)&gt;0,
     COUNTIFS($AE$2:$AE$200,$G194)&gt;0,
     COUNTIFS($AF$2:$AF$200,$G194)&gt;0,
     COUNTIFS($AG$2:$AG$200,$G194)&gt;0,
     COUNTIFS($AH$2:$AH$200,$G194)&gt;0,
     COUNTIFS($AI$2:$AI$200,$G194)&gt;0,
     COUNTIFS($AJ$2:$AJ$200,$G194)&gt;0,
     COUNTIFS($AK$2:$AK$200,$G194)&gt;0,
     COUNTIFS($AL$2:$AL$200,$G194)&gt;0,
     COUNTIFS($AM$2:$AM$200,$G194)&gt;0,
     COUNTIFS($AN$2:$AN$200,$G194)&gt;0,
     COUNTIFS($AO$2:$AO$200,$G194)&gt;0,
     COUNTIFS($AP$2:$AP$200,$G194)&gt;0,
     COUNTIFS($AQ$2:$AQ$200,$G194)&gt;0,
     COUNTIFS($AR$2:$AR$200,$G194)&gt;0,
     COUNTIFS($AS$2:$AS$200,$G194)&gt;0,
     COUNTIFS($AT$2:$AT$200,$G194)&gt;0,
     COUNTIFS($AU$2:$AU$200,$G194)&gt;0,
     COUNTIFS($AV$2:$AV$200,$G194)&gt;0,
     COUNTIFS($AW$2:$AW$200,$G194)&gt;0,
     COUNTIFS($AX$2:$AX$200,$G194)&gt;0,
     COUNTIFS($AY$2:$AY$200,$G194)&gt;0
   )),
  ),
  3
 ),
"")</f>
        <v/>
      </c>
      <c r="F194" s="2" t="str" cm="1">
        <f t="array" aca="1" ref="F194" ca="1">IFERROR(
 INDEX(
  _xlfn._xlws.FILTER($V$1:$AY$1,
   TRANSPOSE(
    CHOOSE({1;2;3;4;5;6;7;8;9;10;11;12;13;14;15;16;17;18;19;20;21;22;23;24;25;26;27;28;29;30},
     COUNTIFS($V$2:$V$200,$G194)&gt;0,
     COUNTIFS($W$2:$W$200,$G194)&gt;0,
     COUNTIFS($X$2:$X$200,$G194)&gt;0,
     COUNTIFS($Y$2:$Y$200,$G194)&gt;0,
     COUNTIFS($Z$2:$Z$200,$G194)&gt;0,
     COUNTIFS($AA$2:$AA$200,$G194)&gt;0,
     COUNTIFS($AB$2:$AB$200,$G194)&gt;0,
     COUNTIFS($AC$2:$AC$200,$G194)&gt;0,
     COUNTIFS($AD$2:$AD$200,$G194)&gt;0,
     COUNTIFS($AE$2:$AE$200,$G194)&gt;0,
     COUNTIFS($AF$2:$AF$200,$G194)&gt;0,
     COUNTIFS($AG$2:$AG$200,$G194)&gt;0,
     COUNTIFS($AH$2:$AH$200,$G194)&gt;0,
     COUNTIFS($AI$2:$AI$200,$G194)&gt;0,
     COUNTIFS($AJ$2:$AJ$200,$G194)&gt;0,
     COUNTIFS($AK$2:$AK$200,$G194)&gt;0,
     COUNTIFS($AL$2:$AL$200,$G194)&gt;0,
     COUNTIFS($AM$2:$AM$200,$G194)&gt;0,
     COUNTIFS($AN$2:$AN$200,$G194)&gt;0,
     COUNTIFS($AO$2:$AO$200,$G194)&gt;0,
     COUNTIFS($AP$2:$AP$200,$G194)&gt;0,
     COUNTIFS($AQ$2:$AQ$200,$G194)&gt;0,
     COUNTIFS($AR$2:$AR$200,$G194)&gt;0,
     COUNTIFS($AS$2:$AS$200,$G194)&gt;0,
     COUNTIFS($AT$2:$AT$200,$G194)&gt;0,
     COUNTIFS($AU$2:$AU$200,$G194)&gt;0,
     COUNTIFS($AV$2:$AV$200,$G194)&gt;0,
     COUNTIFS($AW$2:$AW$200,$G194)&gt;0,
     COUNTIFS($AX$2:$AX$200,$G194)&gt;0,
     COUNTIFS($AY$2:$AY$200,$G194)&gt;0
   )),
  ),
  4
 ),
"")</f>
        <v/>
      </c>
      <c r="G194" t="str">
        <f ca="1"/>
        <v>Harrow</v>
      </c>
      <c r="EP194" t="str">
        <f ca="1"/>
        <v>World at War</v>
      </c>
      <c r="EQ194" t="str">
        <f ca="1"/>
        <v>Yavimaya, Cradle of Growth</v>
      </c>
      <c r="ER194" t="str">
        <f ca="1"/>
        <v>Windbrisk Heights</v>
      </c>
      <c r="EU194" t="str">
        <f ca="1"/>
        <v>Monk Gyatso</v>
      </c>
      <c r="EV194" t="str">
        <f ca="1"/>
        <v>Windbrisk Heights</v>
      </c>
      <c r="EX194" t="str">
        <f ca="1"/>
        <v>Harrow</v>
      </c>
    </row>
    <row r="195" spans="1:154" x14ac:dyDescent="0.25">
      <c r="A195" s="2" t="str">
        <f t="shared" ref="A195:A258" ca="1" si="12">IFERROR(INDEX($T$3:$T$200, MATCH($C195, $J$3:$J$200, 0)), "")</f>
        <v>3</v>
      </c>
      <c r="B195" s="2">
        <f t="shared" ref="B195:B258" ca="1" si="13">COUNTIF(V:CG,G195)</f>
        <v>1</v>
      </c>
      <c r="C195" s="2" t="str">
        <f ca="1">IFERROR(
 INDEX($V$1:$BL$1,
  MATCH(TRUE,
   CHOOSE({1;2;3;4;5;6;7;8;9;10;11;12;13;14;15;16;17;18;19;20;21;22;23;24;25;26;27;28;29;30;31;32;33;34;35;36;37;38;39;40;41;42;43},
    COUNTIFS($V$2:$V$200,$G195)&gt;0,
    COUNTIFS($W$2:$W$200,$G195)&gt;0,
    COUNTIFS($X$2:$X$200,$G195)&gt;0,
    COUNTIFS($Y$2:$Y$200,$G195)&gt;0,
    COUNTIFS($Z$2:$Z$200,$G195)&gt;0,
    COUNTIFS($AA$2:$AA$200,$G195)&gt;0,
    COUNTIFS($AB$2:$AB$200,$G195)&gt;0,
    COUNTIFS($AC$2:$AC$200,$G195)&gt;0,
    COUNTIFS($AD$2:$AD$200,$G195)&gt;0,
    COUNTIFS($AE$2:$AE$200,$G195)&gt;0,
    COUNTIFS($AF$2:$AF$200,$G195)&gt;0,
    COUNTIFS($AG$2:$AG$200,$G195)&gt;0,
    COUNTIFS($AH$2:$AH$200,$G195)&gt;0,
    COUNTIFS($AI$2:$AI$200,$G195)&gt;0,
    COUNTIFS($AJ$2:$AJ$200,$G195)&gt;0,
    COUNTIFS($AK$2:$AK$200,$G195)&gt;0,
    COUNTIFS($AL$2:$AL$200,$G195)&gt;0,
    COUNTIFS($AM$2:$AM$200,$G195)&gt;0,
    COUNTIFS($AN$2:$AN$200,$G195)&gt;0,
    COUNTIFS($AO$2:$AO$200,$G195)&gt;0,
    COUNTIFS($AP$2:$AP$200,$G195)&gt;0,
    COUNTIFS($AQ$2:$AQ$200,$G195)&gt;0,
    COUNTIFS($AR$2:$AR$200,$G195)&gt;0,
    COUNTIFS($AS$2:$AS$200,$G195)&gt;0,
    COUNTIFS($AT$2:$AT$200,$G195)&gt;0,
    COUNTIFS($AU$2:$AU$200,$G195)&gt;0,
    COUNTIFS($AV$2:$AV$200,$G195)&gt;0,
    COUNTIFS($AW$2:$AW$200,$G195)&gt;0,
    COUNTIFS($AX$2:$AX$200,$G195)&gt;0,
    COUNTIFS($AY$2:$AY$200,$G195)&gt;0,
    COUNTIFS($AZ$2:$AZ$200,$G195)&gt;0,
    COUNTIFS($BA$2:$BA$200,$G195)&gt;0,
    COUNTIFS($BB$2:$BB$200,$G195)&gt;0,
    COUNTIFS($BC$2:$BC$200,$G195)&gt;0,
    COUNTIFS($BD$2:$BD$200,$G195)&gt;0,
    COUNTIFS($BE$2:$BE$200,$G195)&gt;0,
    COUNTIFS($BF$2:$BF$200,$G195)&gt;0,
    COUNTIFS($BG$2:$BG$200,$G195)&gt;0,
    COUNTIFS($BH$2:$BH$200,$G195)&gt;0,
    COUNTIFS($BI$2:$BI$200,$G195)&gt;0,
    COUNTIFS($BJ$2:$BJ$200,$G195)&gt;0,
    COUNTIFS($BK$2:$BK$200,$G195)&gt;0,
    COUNTIFS($BL$2:$BL$200,$G195)&gt;0,
    COUNTIFS($BM$2:$BM$200,$G195)&gt;0,
   ),
  0)
 ),
"")</f>
        <v>Kumena</v>
      </c>
      <c r="D195" s="2" t="str" cm="1">
        <f t="array" aca="1" ref="D195" ca="1">IFERROR(
 INDEX(
  _xlfn._xlws.FILTER($V$1:$AY$1,
   TRANSPOSE(
    CHOOSE({1;2;3;4;5;6;7;8;9;10;11;12;13;14;15;16;17;18;19;20;21;22;23;24;25;26;27;28;29;30},
     COUNTIFS($V$2:$V$200,$G195)&gt;0,
     COUNTIFS($W$2:$W$200,$G195)&gt;0,
     COUNTIFS($X$2:$X$200,$G195)&gt;0,
     COUNTIFS($Y$2:$Y$200,$G195)&gt;0,
     COUNTIFS($Z$2:$Z$200,$G195)&gt;0,
     COUNTIFS($AA$2:$AA$200,$G195)&gt;0,
     COUNTIFS($AB$2:$AB$200,$G195)&gt;0,
     COUNTIFS($AC$2:$AC$200,$G195)&gt;0,
     COUNTIFS($AD$2:$AD$200,$G195)&gt;0,
     COUNTIFS($AE$2:$AE$200,$G195)&gt;0,
     COUNTIFS($AF$2:$AF$200,$G195)&gt;0,
     COUNTIFS($AG$2:$AG$200,$G195)&gt;0,
     COUNTIFS($AH$2:$AH$200,$G195)&gt;0,
     COUNTIFS($AI$2:$AI$200,$G195)&gt;0,
     COUNTIFS($AJ$2:$AJ$200,$G195)&gt;0,
     COUNTIFS($AK$2:$AK$200,$G195)&gt;0,
     COUNTIFS($AL$2:$AL$200,$G195)&gt;0,
     COUNTIFS($AM$2:$AM$200,$G195)&gt;0,
     COUNTIFS($AN$2:$AN$200,$G195)&gt;0,
     COUNTIFS($AO$2:$AO$200,$G195)&gt;0,
     COUNTIFS($AP$2:$AP$200,$G195)&gt;0,
     COUNTIFS($AQ$2:$AQ$200,$G195)&gt;0,
     COUNTIFS($AR$2:$AR$200,$G195)&gt;0,
     COUNTIFS($AS$2:$AS$200,$G195)&gt;0,
     COUNTIFS($AT$2:$AT$200,$G195)&gt;0,
     COUNTIFS($AU$2:$AU$200,$G195)&gt;0,
     COUNTIFS($AV$2:$AV$200,$G195)&gt;0,
     COUNTIFS($AW$2:$AW$200,$G195)&gt;0,
     COUNTIFS($AX$2:$AX$200,$G195)&gt;0,
     COUNTIFS($AY$2:$AY$200,$G195)&gt;0
   )),
  ),
  2
 ),
"")</f>
        <v/>
      </c>
      <c r="E195" s="2" t="str" cm="1">
        <f t="array" aca="1" ref="E195" ca="1">IFERROR(
 INDEX(
  _xlfn._xlws.FILTER($V$1:$AY$1,
   TRANSPOSE(
    CHOOSE({1;2;3;4;5;6;7;8;9;10;11;12;13;14;15;16;17;18;19;20;21;22;23;24;25;26;27;28;29;30},
     COUNTIFS($V$2:$V$200,$G195)&gt;0,
     COUNTIFS($W$2:$W$200,$G195)&gt;0,
     COUNTIFS($X$2:$X$200,$G195)&gt;0,
     COUNTIFS($Y$2:$Y$200,$G195)&gt;0,
     COUNTIFS($Z$2:$Z$200,$G195)&gt;0,
     COUNTIFS($AA$2:$AA$200,$G195)&gt;0,
     COUNTIFS($AB$2:$AB$200,$G195)&gt;0,
     COUNTIFS($AC$2:$AC$200,$G195)&gt;0,
     COUNTIFS($AD$2:$AD$200,$G195)&gt;0,
     COUNTIFS($AE$2:$AE$200,$G195)&gt;0,
     COUNTIFS($AF$2:$AF$200,$G195)&gt;0,
     COUNTIFS($AG$2:$AG$200,$G195)&gt;0,
     COUNTIFS($AH$2:$AH$200,$G195)&gt;0,
     COUNTIFS($AI$2:$AI$200,$G195)&gt;0,
     COUNTIFS($AJ$2:$AJ$200,$G195)&gt;0,
     COUNTIFS($AK$2:$AK$200,$G195)&gt;0,
     COUNTIFS($AL$2:$AL$200,$G195)&gt;0,
     COUNTIFS($AM$2:$AM$200,$G195)&gt;0,
     COUNTIFS($AN$2:$AN$200,$G195)&gt;0,
     COUNTIFS($AO$2:$AO$200,$G195)&gt;0,
     COUNTIFS($AP$2:$AP$200,$G195)&gt;0,
     COUNTIFS($AQ$2:$AQ$200,$G195)&gt;0,
     COUNTIFS($AR$2:$AR$200,$G195)&gt;0,
     COUNTIFS($AS$2:$AS$200,$G195)&gt;0,
     COUNTIFS($AT$2:$AT$200,$G195)&gt;0,
     COUNTIFS($AU$2:$AU$200,$G195)&gt;0,
     COUNTIFS($AV$2:$AV$200,$G195)&gt;0,
     COUNTIFS($AW$2:$AW$200,$G195)&gt;0,
     COUNTIFS($AX$2:$AX$200,$G195)&gt;0,
     COUNTIFS($AY$2:$AY$200,$G195)&gt;0
   )),
  ),
  3
 ),
"")</f>
        <v/>
      </c>
      <c r="F195" s="2" t="str" cm="1">
        <f t="array" aca="1" ref="F195" ca="1">IFERROR(
 INDEX(
  _xlfn._xlws.FILTER($V$1:$AY$1,
   TRANSPOSE(
    CHOOSE({1;2;3;4;5;6;7;8;9;10;11;12;13;14;15;16;17;18;19;20;21;22;23;24;25;26;27;28;29;30},
     COUNTIFS($V$2:$V$200,$G195)&gt;0,
     COUNTIFS($W$2:$W$200,$G195)&gt;0,
     COUNTIFS($X$2:$X$200,$G195)&gt;0,
     COUNTIFS($Y$2:$Y$200,$G195)&gt;0,
     COUNTIFS($Z$2:$Z$200,$G195)&gt;0,
     COUNTIFS($AA$2:$AA$200,$G195)&gt;0,
     COUNTIFS($AB$2:$AB$200,$G195)&gt;0,
     COUNTIFS($AC$2:$AC$200,$G195)&gt;0,
     COUNTIFS($AD$2:$AD$200,$G195)&gt;0,
     COUNTIFS($AE$2:$AE$200,$G195)&gt;0,
     COUNTIFS($AF$2:$AF$200,$G195)&gt;0,
     COUNTIFS($AG$2:$AG$200,$G195)&gt;0,
     COUNTIFS($AH$2:$AH$200,$G195)&gt;0,
     COUNTIFS($AI$2:$AI$200,$G195)&gt;0,
     COUNTIFS($AJ$2:$AJ$200,$G195)&gt;0,
     COUNTIFS($AK$2:$AK$200,$G195)&gt;0,
     COUNTIFS($AL$2:$AL$200,$G195)&gt;0,
     COUNTIFS($AM$2:$AM$200,$G195)&gt;0,
     COUNTIFS($AN$2:$AN$200,$G195)&gt;0,
     COUNTIFS($AO$2:$AO$200,$G195)&gt;0,
     COUNTIFS($AP$2:$AP$200,$G195)&gt;0,
     COUNTIFS($AQ$2:$AQ$200,$G195)&gt;0,
     COUNTIFS($AR$2:$AR$200,$G195)&gt;0,
     COUNTIFS($AS$2:$AS$200,$G195)&gt;0,
     COUNTIFS($AT$2:$AT$200,$G195)&gt;0,
     COUNTIFS($AU$2:$AU$200,$G195)&gt;0,
     COUNTIFS($AV$2:$AV$200,$G195)&gt;0,
     COUNTIFS($AW$2:$AW$200,$G195)&gt;0,
     COUNTIFS($AX$2:$AX$200,$G195)&gt;0,
     COUNTIFS($AY$2:$AY$200,$G195)&gt;0
   )),
  ),
  4
 ),
"")</f>
        <v/>
      </c>
      <c r="G195" t="str">
        <f ca="1"/>
        <v>Harvest Season</v>
      </c>
      <c r="EP195" t="str">
        <f ca="1"/>
        <v>Zellix, Sanity Flayer</v>
      </c>
      <c r="EQ195" t="str">
        <f ca="1"/>
        <v>Yawgmoth, Thran Physician</v>
      </c>
      <c r="ER195" t="str">
        <f ca="1"/>
        <v>Windcrag Siege</v>
      </c>
      <c r="EU195" t="str">
        <f ca="1"/>
        <v>Morphic Pool</v>
      </c>
      <c r="EV195" t="str">
        <f ca="1"/>
        <v>Windcrag Siege</v>
      </c>
      <c r="EX195" t="str">
        <f ca="1"/>
        <v>Harvest Season</v>
      </c>
    </row>
    <row r="196" spans="1:154" x14ac:dyDescent="0.25">
      <c r="A196" s="2" t="str">
        <f t="shared" ca="1" si="12"/>
        <v>5</v>
      </c>
      <c r="B196" s="2">
        <f t="shared" ca="1" si="13"/>
        <v>1</v>
      </c>
      <c r="C196" s="2" t="str">
        <f ca="1">IFERROR(
 INDEX($V$1:$BL$1,
  MATCH(TRUE,
   CHOOSE({1;2;3;4;5;6;7;8;9;10;11;12;13;14;15;16;17;18;19;20;21;22;23;24;25;26;27;28;29;30;31;32;33;34;35;36;37;38;39;40;41;42;43},
    COUNTIFS($V$2:$V$200,$G196)&gt;0,
    COUNTIFS($W$2:$W$200,$G196)&gt;0,
    COUNTIFS($X$2:$X$200,$G196)&gt;0,
    COUNTIFS($Y$2:$Y$200,$G196)&gt;0,
    COUNTIFS($Z$2:$Z$200,$G196)&gt;0,
    COUNTIFS($AA$2:$AA$200,$G196)&gt;0,
    COUNTIFS($AB$2:$AB$200,$G196)&gt;0,
    COUNTIFS($AC$2:$AC$200,$G196)&gt;0,
    COUNTIFS($AD$2:$AD$200,$G196)&gt;0,
    COUNTIFS($AE$2:$AE$200,$G196)&gt;0,
    COUNTIFS($AF$2:$AF$200,$G196)&gt;0,
    COUNTIFS($AG$2:$AG$200,$G196)&gt;0,
    COUNTIFS($AH$2:$AH$200,$G196)&gt;0,
    COUNTIFS($AI$2:$AI$200,$G196)&gt;0,
    COUNTIFS($AJ$2:$AJ$200,$G196)&gt;0,
    COUNTIFS($AK$2:$AK$200,$G196)&gt;0,
    COUNTIFS($AL$2:$AL$200,$G196)&gt;0,
    COUNTIFS($AM$2:$AM$200,$G196)&gt;0,
    COUNTIFS($AN$2:$AN$200,$G196)&gt;0,
    COUNTIFS($AO$2:$AO$200,$G196)&gt;0,
    COUNTIFS($AP$2:$AP$200,$G196)&gt;0,
    COUNTIFS($AQ$2:$AQ$200,$G196)&gt;0,
    COUNTIFS($AR$2:$AR$200,$G196)&gt;0,
    COUNTIFS($AS$2:$AS$200,$G196)&gt;0,
    COUNTIFS($AT$2:$AT$200,$G196)&gt;0,
    COUNTIFS($AU$2:$AU$200,$G196)&gt;0,
    COUNTIFS($AV$2:$AV$200,$G196)&gt;0,
    COUNTIFS($AW$2:$AW$200,$G196)&gt;0,
    COUNTIFS($AX$2:$AX$200,$G196)&gt;0,
    COUNTIFS($AY$2:$AY$200,$G196)&gt;0,
    COUNTIFS($AZ$2:$AZ$200,$G196)&gt;0,
    COUNTIFS($BA$2:$BA$200,$G196)&gt;0,
    COUNTIFS($BB$2:$BB$200,$G196)&gt;0,
    COUNTIFS($BC$2:$BC$200,$G196)&gt;0,
    COUNTIFS($BD$2:$BD$200,$G196)&gt;0,
    COUNTIFS($BE$2:$BE$200,$G196)&gt;0,
    COUNTIFS($BF$2:$BF$200,$G196)&gt;0,
    COUNTIFS($BG$2:$BG$200,$G196)&gt;0,
    COUNTIFS($BH$2:$BH$200,$G196)&gt;0,
    COUNTIFS($BI$2:$BI$200,$G196)&gt;0,
    COUNTIFS($BJ$2:$BJ$200,$G196)&gt;0,
    COUNTIFS($BK$2:$BK$200,$G196)&gt;0,
    COUNTIFS($BL$2:$BL$200,$G196)&gt;0,
    COUNTIFS($BM$2:$BM$200,$G196)&gt;0,
   ),
  0)
 ),
"")</f>
        <v>Fractius</v>
      </c>
      <c r="D196" s="2" t="str" cm="1">
        <f t="array" aca="1" ref="D196" ca="1">IFERROR(
 INDEX(
  _xlfn._xlws.FILTER($V$1:$AY$1,
   TRANSPOSE(
    CHOOSE({1;2;3;4;5;6;7;8;9;10;11;12;13;14;15;16;17;18;19;20;21;22;23;24;25;26;27;28;29;30},
     COUNTIFS($V$2:$V$200,$G196)&gt;0,
     COUNTIFS($W$2:$W$200,$G196)&gt;0,
     COUNTIFS($X$2:$X$200,$G196)&gt;0,
     COUNTIFS($Y$2:$Y$200,$G196)&gt;0,
     COUNTIFS($Z$2:$Z$200,$G196)&gt;0,
     COUNTIFS($AA$2:$AA$200,$G196)&gt;0,
     COUNTIFS($AB$2:$AB$200,$G196)&gt;0,
     COUNTIFS($AC$2:$AC$200,$G196)&gt;0,
     COUNTIFS($AD$2:$AD$200,$G196)&gt;0,
     COUNTIFS($AE$2:$AE$200,$G196)&gt;0,
     COUNTIFS($AF$2:$AF$200,$G196)&gt;0,
     COUNTIFS($AG$2:$AG$200,$G196)&gt;0,
     COUNTIFS($AH$2:$AH$200,$G196)&gt;0,
     COUNTIFS($AI$2:$AI$200,$G196)&gt;0,
     COUNTIFS($AJ$2:$AJ$200,$G196)&gt;0,
     COUNTIFS($AK$2:$AK$200,$G196)&gt;0,
     COUNTIFS($AL$2:$AL$200,$G196)&gt;0,
     COUNTIFS($AM$2:$AM$200,$G196)&gt;0,
     COUNTIFS($AN$2:$AN$200,$G196)&gt;0,
     COUNTIFS($AO$2:$AO$200,$G196)&gt;0,
     COUNTIFS($AP$2:$AP$200,$G196)&gt;0,
     COUNTIFS($AQ$2:$AQ$200,$G196)&gt;0,
     COUNTIFS($AR$2:$AR$200,$G196)&gt;0,
     COUNTIFS($AS$2:$AS$200,$G196)&gt;0,
     COUNTIFS($AT$2:$AT$200,$G196)&gt;0,
     COUNTIFS($AU$2:$AU$200,$G196)&gt;0,
     COUNTIFS($AV$2:$AV$200,$G196)&gt;0,
     COUNTIFS($AW$2:$AW$200,$G196)&gt;0,
     COUNTIFS($AX$2:$AX$200,$G196)&gt;0,
     COUNTIFS($AY$2:$AY$200,$G196)&gt;0
   )),
  ),
  2
 ),
"")</f>
        <v/>
      </c>
      <c r="E196" s="2" t="str" cm="1">
        <f t="array" aca="1" ref="E196" ca="1">IFERROR(
 INDEX(
  _xlfn._xlws.FILTER($V$1:$AY$1,
   TRANSPOSE(
    CHOOSE({1;2;3;4;5;6;7;8;9;10;11;12;13;14;15;16;17;18;19;20;21;22;23;24;25;26;27;28;29;30},
     COUNTIFS($V$2:$V$200,$G196)&gt;0,
     COUNTIFS($W$2:$W$200,$G196)&gt;0,
     COUNTIFS($X$2:$X$200,$G196)&gt;0,
     COUNTIFS($Y$2:$Y$200,$G196)&gt;0,
     COUNTIFS($Z$2:$Z$200,$G196)&gt;0,
     COUNTIFS($AA$2:$AA$200,$G196)&gt;0,
     COUNTIFS($AB$2:$AB$200,$G196)&gt;0,
     COUNTIFS($AC$2:$AC$200,$G196)&gt;0,
     COUNTIFS($AD$2:$AD$200,$G196)&gt;0,
     COUNTIFS($AE$2:$AE$200,$G196)&gt;0,
     COUNTIFS($AF$2:$AF$200,$G196)&gt;0,
     COUNTIFS($AG$2:$AG$200,$G196)&gt;0,
     COUNTIFS($AH$2:$AH$200,$G196)&gt;0,
     COUNTIFS($AI$2:$AI$200,$G196)&gt;0,
     COUNTIFS($AJ$2:$AJ$200,$G196)&gt;0,
     COUNTIFS($AK$2:$AK$200,$G196)&gt;0,
     COUNTIFS($AL$2:$AL$200,$G196)&gt;0,
     COUNTIFS($AM$2:$AM$200,$G196)&gt;0,
     COUNTIFS($AN$2:$AN$200,$G196)&gt;0,
     COUNTIFS($AO$2:$AO$200,$G196)&gt;0,
     COUNTIFS($AP$2:$AP$200,$G196)&gt;0,
     COUNTIFS($AQ$2:$AQ$200,$G196)&gt;0,
     COUNTIFS($AR$2:$AR$200,$G196)&gt;0,
     COUNTIFS($AS$2:$AS$200,$G196)&gt;0,
     COUNTIFS($AT$2:$AT$200,$G196)&gt;0,
     COUNTIFS($AU$2:$AU$200,$G196)&gt;0,
     COUNTIFS($AV$2:$AV$200,$G196)&gt;0,
     COUNTIFS($AW$2:$AW$200,$G196)&gt;0,
     COUNTIFS($AX$2:$AX$200,$G196)&gt;0,
     COUNTIFS($AY$2:$AY$200,$G196)&gt;0
   )),
  ),
  3
 ),
"")</f>
        <v/>
      </c>
      <c r="F196" s="2" t="str" cm="1">
        <f t="array" aca="1" ref="F196" ca="1">IFERROR(
 INDEX(
  _xlfn._xlws.FILTER($V$1:$AY$1,
   TRANSPOSE(
    CHOOSE({1;2;3;4;5;6;7;8;9;10;11;12;13;14;15;16;17;18;19;20;21;22;23;24;25;26;27;28;29;30},
     COUNTIFS($V$2:$V$200,$G196)&gt;0,
     COUNTIFS($W$2:$W$200,$G196)&gt;0,
     COUNTIFS($X$2:$X$200,$G196)&gt;0,
     COUNTIFS($Y$2:$Y$200,$G196)&gt;0,
     COUNTIFS($Z$2:$Z$200,$G196)&gt;0,
     COUNTIFS($AA$2:$AA$200,$G196)&gt;0,
     COUNTIFS($AB$2:$AB$200,$G196)&gt;0,
     COUNTIFS($AC$2:$AC$200,$G196)&gt;0,
     COUNTIFS($AD$2:$AD$200,$G196)&gt;0,
     COUNTIFS($AE$2:$AE$200,$G196)&gt;0,
     COUNTIFS($AF$2:$AF$200,$G196)&gt;0,
     COUNTIFS($AG$2:$AG$200,$G196)&gt;0,
     COUNTIFS($AH$2:$AH$200,$G196)&gt;0,
     COUNTIFS($AI$2:$AI$200,$G196)&gt;0,
     COUNTIFS($AJ$2:$AJ$200,$G196)&gt;0,
     COUNTIFS($AK$2:$AK$200,$G196)&gt;0,
     COUNTIFS($AL$2:$AL$200,$G196)&gt;0,
     COUNTIFS($AM$2:$AM$200,$G196)&gt;0,
     COUNTIFS($AN$2:$AN$200,$G196)&gt;0,
     COUNTIFS($AO$2:$AO$200,$G196)&gt;0,
     COUNTIFS($AP$2:$AP$200,$G196)&gt;0,
     COUNTIFS($AQ$2:$AQ$200,$G196)&gt;0,
     COUNTIFS($AR$2:$AR$200,$G196)&gt;0,
     COUNTIFS($AS$2:$AS$200,$G196)&gt;0,
     COUNTIFS($AT$2:$AT$200,$G196)&gt;0,
     COUNTIFS($AU$2:$AU$200,$G196)&gt;0,
     COUNTIFS($AV$2:$AV$200,$G196)&gt;0,
     COUNTIFS($AW$2:$AW$200,$G196)&gt;0,
     COUNTIFS($AX$2:$AX$200,$G196)&gt;0,
     COUNTIFS($AY$2:$AY$200,$G196)&gt;0
   )),
  ),
  4
 ),
"")</f>
        <v/>
      </c>
      <c r="G196" t="str">
        <f ca="1"/>
        <v>Hatchery Sliver</v>
      </c>
      <c r="EQ196" t="str">
        <f ca="1"/>
        <v>Zagoth Triome</v>
      </c>
      <c r="ER196" t="str">
        <f ca="1"/>
        <v>Windgrace's Judgment</v>
      </c>
      <c r="EU196" t="str">
        <f ca="1"/>
        <v>Mountain</v>
      </c>
      <c r="EV196" t="str">
        <f ca="1"/>
        <v>Windgrace's Judgment</v>
      </c>
      <c r="EX196" t="str">
        <f ca="1"/>
        <v>Hatchery Sliver</v>
      </c>
    </row>
    <row r="197" spans="1:154" x14ac:dyDescent="0.25">
      <c r="A197" s="2" t="str">
        <f t="shared" ca="1" si="12"/>
        <v>5</v>
      </c>
      <c r="B197" s="2">
        <f t="shared" ca="1" si="13"/>
        <v>1</v>
      </c>
      <c r="C197" s="2" t="str">
        <f ca="1">IFERROR(
 INDEX($V$1:$BL$1,
  MATCH(TRUE,
   CHOOSE({1;2;3;4;5;6;7;8;9;10;11;12;13;14;15;16;17;18;19;20;21;22;23;24;25;26;27;28;29;30;31;32;33;34;35;36;37;38;39;40;41;42;43},
    COUNTIFS($V$2:$V$200,$G197)&gt;0,
    COUNTIFS($W$2:$W$200,$G197)&gt;0,
    COUNTIFS($X$2:$X$200,$G197)&gt;0,
    COUNTIFS($Y$2:$Y$200,$G197)&gt;0,
    COUNTIFS($Z$2:$Z$200,$G197)&gt;0,
    COUNTIFS($AA$2:$AA$200,$G197)&gt;0,
    COUNTIFS($AB$2:$AB$200,$G197)&gt;0,
    COUNTIFS($AC$2:$AC$200,$G197)&gt;0,
    COUNTIFS($AD$2:$AD$200,$G197)&gt;0,
    COUNTIFS($AE$2:$AE$200,$G197)&gt;0,
    COUNTIFS($AF$2:$AF$200,$G197)&gt;0,
    COUNTIFS($AG$2:$AG$200,$G197)&gt;0,
    COUNTIFS($AH$2:$AH$200,$G197)&gt;0,
    COUNTIFS($AI$2:$AI$200,$G197)&gt;0,
    COUNTIFS($AJ$2:$AJ$200,$G197)&gt;0,
    COUNTIFS($AK$2:$AK$200,$G197)&gt;0,
    COUNTIFS($AL$2:$AL$200,$G197)&gt;0,
    COUNTIFS($AM$2:$AM$200,$G197)&gt;0,
    COUNTIFS($AN$2:$AN$200,$G197)&gt;0,
    COUNTIFS($AO$2:$AO$200,$G197)&gt;0,
    COUNTIFS($AP$2:$AP$200,$G197)&gt;0,
    COUNTIFS($AQ$2:$AQ$200,$G197)&gt;0,
    COUNTIFS($AR$2:$AR$200,$G197)&gt;0,
    COUNTIFS($AS$2:$AS$200,$G197)&gt;0,
    COUNTIFS($AT$2:$AT$200,$G197)&gt;0,
    COUNTIFS($AU$2:$AU$200,$G197)&gt;0,
    COUNTIFS($AV$2:$AV$200,$G197)&gt;0,
    COUNTIFS($AW$2:$AW$200,$G197)&gt;0,
    COUNTIFS($AX$2:$AX$200,$G197)&gt;0,
    COUNTIFS($AY$2:$AY$200,$G197)&gt;0,
    COUNTIFS($AZ$2:$AZ$200,$G197)&gt;0,
    COUNTIFS($BA$2:$BA$200,$G197)&gt;0,
    COUNTIFS($BB$2:$BB$200,$G197)&gt;0,
    COUNTIFS($BC$2:$BC$200,$G197)&gt;0,
    COUNTIFS($BD$2:$BD$200,$G197)&gt;0,
    COUNTIFS($BE$2:$BE$200,$G197)&gt;0,
    COUNTIFS($BF$2:$BF$200,$G197)&gt;0,
    COUNTIFS($BG$2:$BG$200,$G197)&gt;0,
    COUNTIFS($BH$2:$BH$200,$G197)&gt;0,
    COUNTIFS($BI$2:$BI$200,$G197)&gt;0,
    COUNTIFS($BJ$2:$BJ$200,$G197)&gt;0,
    COUNTIFS($BK$2:$BK$200,$G197)&gt;0,
    COUNTIFS($BL$2:$BL$200,$G197)&gt;0,
    COUNTIFS($BM$2:$BM$200,$G197)&gt;0,
   ),
  0)
 ),
"")</f>
        <v>Fractius</v>
      </c>
      <c r="D197" s="2" t="str" cm="1">
        <f t="array" aca="1" ref="D197" ca="1">IFERROR(
 INDEX(
  _xlfn._xlws.FILTER($V$1:$AY$1,
   TRANSPOSE(
    CHOOSE({1;2;3;4;5;6;7;8;9;10;11;12;13;14;15;16;17;18;19;20;21;22;23;24;25;26;27;28;29;30},
     COUNTIFS($V$2:$V$200,$G197)&gt;0,
     COUNTIFS($W$2:$W$200,$G197)&gt;0,
     COUNTIFS($X$2:$X$200,$G197)&gt;0,
     COUNTIFS($Y$2:$Y$200,$G197)&gt;0,
     COUNTIFS($Z$2:$Z$200,$G197)&gt;0,
     COUNTIFS($AA$2:$AA$200,$G197)&gt;0,
     COUNTIFS($AB$2:$AB$200,$G197)&gt;0,
     COUNTIFS($AC$2:$AC$200,$G197)&gt;0,
     COUNTIFS($AD$2:$AD$200,$G197)&gt;0,
     COUNTIFS($AE$2:$AE$200,$G197)&gt;0,
     COUNTIFS($AF$2:$AF$200,$G197)&gt;0,
     COUNTIFS($AG$2:$AG$200,$G197)&gt;0,
     COUNTIFS($AH$2:$AH$200,$G197)&gt;0,
     COUNTIFS($AI$2:$AI$200,$G197)&gt;0,
     COUNTIFS($AJ$2:$AJ$200,$G197)&gt;0,
     COUNTIFS($AK$2:$AK$200,$G197)&gt;0,
     COUNTIFS($AL$2:$AL$200,$G197)&gt;0,
     COUNTIFS($AM$2:$AM$200,$G197)&gt;0,
     COUNTIFS($AN$2:$AN$200,$G197)&gt;0,
     COUNTIFS($AO$2:$AO$200,$G197)&gt;0,
     COUNTIFS($AP$2:$AP$200,$G197)&gt;0,
     COUNTIFS($AQ$2:$AQ$200,$G197)&gt;0,
     COUNTIFS($AR$2:$AR$200,$G197)&gt;0,
     COUNTIFS($AS$2:$AS$200,$G197)&gt;0,
     COUNTIFS($AT$2:$AT$200,$G197)&gt;0,
     COUNTIFS($AU$2:$AU$200,$G197)&gt;0,
     COUNTIFS($AV$2:$AV$200,$G197)&gt;0,
     COUNTIFS($AW$2:$AW$200,$G197)&gt;0,
     COUNTIFS($AX$2:$AX$200,$G197)&gt;0,
     COUNTIFS($AY$2:$AY$200,$G197)&gt;0
   )),
  ),
  2
 ),
"")</f>
        <v/>
      </c>
      <c r="E197" s="2" t="str" cm="1">
        <f t="array" aca="1" ref="E197" ca="1">IFERROR(
 INDEX(
  _xlfn._xlws.FILTER($V$1:$AY$1,
   TRANSPOSE(
    CHOOSE({1;2;3;4;5;6;7;8;9;10;11;12;13;14;15;16;17;18;19;20;21;22;23;24;25;26;27;28;29;30},
     COUNTIFS($V$2:$V$200,$G197)&gt;0,
     COUNTIFS($W$2:$W$200,$G197)&gt;0,
     COUNTIFS($X$2:$X$200,$G197)&gt;0,
     COUNTIFS($Y$2:$Y$200,$G197)&gt;0,
     COUNTIFS($Z$2:$Z$200,$G197)&gt;0,
     COUNTIFS($AA$2:$AA$200,$G197)&gt;0,
     COUNTIFS($AB$2:$AB$200,$G197)&gt;0,
     COUNTIFS($AC$2:$AC$200,$G197)&gt;0,
     COUNTIFS($AD$2:$AD$200,$G197)&gt;0,
     COUNTIFS($AE$2:$AE$200,$G197)&gt;0,
     COUNTIFS($AF$2:$AF$200,$G197)&gt;0,
     COUNTIFS($AG$2:$AG$200,$G197)&gt;0,
     COUNTIFS($AH$2:$AH$200,$G197)&gt;0,
     COUNTIFS($AI$2:$AI$200,$G197)&gt;0,
     COUNTIFS($AJ$2:$AJ$200,$G197)&gt;0,
     COUNTIFS($AK$2:$AK$200,$G197)&gt;0,
     COUNTIFS($AL$2:$AL$200,$G197)&gt;0,
     COUNTIFS($AM$2:$AM$200,$G197)&gt;0,
     COUNTIFS($AN$2:$AN$200,$G197)&gt;0,
     COUNTIFS($AO$2:$AO$200,$G197)&gt;0,
     COUNTIFS($AP$2:$AP$200,$G197)&gt;0,
     COUNTIFS($AQ$2:$AQ$200,$G197)&gt;0,
     COUNTIFS($AR$2:$AR$200,$G197)&gt;0,
     COUNTIFS($AS$2:$AS$200,$G197)&gt;0,
     COUNTIFS($AT$2:$AT$200,$G197)&gt;0,
     COUNTIFS($AU$2:$AU$200,$G197)&gt;0,
     COUNTIFS($AV$2:$AV$200,$G197)&gt;0,
     COUNTIFS($AW$2:$AW$200,$G197)&gt;0,
     COUNTIFS($AX$2:$AX$200,$G197)&gt;0,
     COUNTIFS($AY$2:$AY$200,$G197)&gt;0
   )),
  ),
  3
 ),
"")</f>
        <v/>
      </c>
      <c r="F197" s="2" t="str" cm="1">
        <f t="array" aca="1" ref="F197" ca="1">IFERROR(
 INDEX(
  _xlfn._xlws.FILTER($V$1:$AY$1,
   TRANSPOSE(
    CHOOSE({1;2;3;4;5;6;7;8;9;10;11;12;13;14;15;16;17;18;19;20;21;22;23;24;25;26;27;28;29;30},
     COUNTIFS($V$2:$V$200,$G197)&gt;0,
     COUNTIFS($W$2:$W$200,$G197)&gt;0,
     COUNTIFS($X$2:$X$200,$G197)&gt;0,
     COUNTIFS($Y$2:$Y$200,$G197)&gt;0,
     COUNTIFS($Z$2:$Z$200,$G197)&gt;0,
     COUNTIFS($AA$2:$AA$200,$G197)&gt;0,
     COUNTIFS($AB$2:$AB$200,$G197)&gt;0,
     COUNTIFS($AC$2:$AC$200,$G197)&gt;0,
     COUNTIFS($AD$2:$AD$200,$G197)&gt;0,
     COUNTIFS($AE$2:$AE$200,$G197)&gt;0,
     COUNTIFS($AF$2:$AF$200,$G197)&gt;0,
     COUNTIFS($AG$2:$AG$200,$G197)&gt;0,
     COUNTIFS($AH$2:$AH$200,$G197)&gt;0,
     COUNTIFS($AI$2:$AI$200,$G197)&gt;0,
     COUNTIFS($AJ$2:$AJ$200,$G197)&gt;0,
     COUNTIFS($AK$2:$AK$200,$G197)&gt;0,
     COUNTIFS($AL$2:$AL$200,$G197)&gt;0,
     COUNTIFS($AM$2:$AM$200,$G197)&gt;0,
     COUNTIFS($AN$2:$AN$200,$G197)&gt;0,
     COUNTIFS($AO$2:$AO$200,$G197)&gt;0,
     COUNTIFS($AP$2:$AP$200,$G197)&gt;0,
     COUNTIFS($AQ$2:$AQ$200,$G197)&gt;0,
     COUNTIFS($AR$2:$AR$200,$G197)&gt;0,
     COUNTIFS($AS$2:$AS$200,$G197)&gt;0,
     COUNTIFS($AT$2:$AT$200,$G197)&gt;0,
     COUNTIFS($AU$2:$AU$200,$G197)&gt;0,
     COUNTIFS($AV$2:$AV$200,$G197)&gt;0,
     COUNTIFS($AW$2:$AW$200,$G197)&gt;0,
     COUNTIFS($AX$2:$AX$200,$G197)&gt;0,
     COUNTIFS($AY$2:$AY$200,$G197)&gt;0
   )),
  ),
  4
 ),
"")</f>
        <v/>
      </c>
      <c r="G197" t="str">
        <f ca="1"/>
        <v>Haunted Crossroads</v>
      </c>
      <c r="EQ197" t="str">
        <f ca="1"/>
        <v>Ziatora's Proving Ground</v>
      </c>
      <c r="ER197" t="str">
        <f ca="1"/>
        <v>Wispdrinker Vampire</v>
      </c>
      <c r="EU197" t="str">
        <f ca="1"/>
        <v>Mox Tantalite</v>
      </c>
      <c r="EV197" t="str">
        <f ca="1"/>
        <v>Wispdrinker Vampire</v>
      </c>
      <c r="EX197" t="str">
        <f ca="1"/>
        <v>Haunted Crossroads</v>
      </c>
    </row>
    <row r="198" spans="1:154" x14ac:dyDescent="0.25">
      <c r="A198" s="2" t="str">
        <f t="shared" ca="1" si="12"/>
        <v>5</v>
      </c>
      <c r="B198" s="2">
        <f t="shared" ca="1" si="13"/>
        <v>1</v>
      </c>
      <c r="C198" s="2" t="str">
        <f ca="1">IFERROR(
 INDEX($V$1:$BL$1,
  MATCH(TRUE,
   CHOOSE({1;2;3;4;5;6;7;8;9;10;11;12;13;14;15;16;17;18;19;20;21;22;23;24;25;26;27;28;29;30;31;32;33;34;35;36;37;38;39;40;41;42;43},
    COUNTIFS($V$2:$V$200,$G198)&gt;0,
    COUNTIFS($W$2:$W$200,$G198)&gt;0,
    COUNTIFS($X$2:$X$200,$G198)&gt;0,
    COUNTIFS($Y$2:$Y$200,$G198)&gt;0,
    COUNTIFS($Z$2:$Z$200,$G198)&gt;0,
    COUNTIFS($AA$2:$AA$200,$G198)&gt;0,
    COUNTIFS($AB$2:$AB$200,$G198)&gt;0,
    COUNTIFS($AC$2:$AC$200,$G198)&gt;0,
    COUNTIFS($AD$2:$AD$200,$G198)&gt;0,
    COUNTIFS($AE$2:$AE$200,$G198)&gt;0,
    COUNTIFS($AF$2:$AF$200,$G198)&gt;0,
    COUNTIFS($AG$2:$AG$200,$G198)&gt;0,
    COUNTIFS($AH$2:$AH$200,$G198)&gt;0,
    COUNTIFS($AI$2:$AI$200,$G198)&gt;0,
    COUNTIFS($AJ$2:$AJ$200,$G198)&gt;0,
    COUNTIFS($AK$2:$AK$200,$G198)&gt;0,
    COUNTIFS($AL$2:$AL$200,$G198)&gt;0,
    COUNTIFS($AM$2:$AM$200,$G198)&gt;0,
    COUNTIFS($AN$2:$AN$200,$G198)&gt;0,
    COUNTIFS($AO$2:$AO$200,$G198)&gt;0,
    COUNTIFS($AP$2:$AP$200,$G198)&gt;0,
    COUNTIFS($AQ$2:$AQ$200,$G198)&gt;0,
    COUNTIFS($AR$2:$AR$200,$G198)&gt;0,
    COUNTIFS($AS$2:$AS$200,$G198)&gt;0,
    COUNTIFS($AT$2:$AT$200,$G198)&gt;0,
    COUNTIFS($AU$2:$AU$200,$G198)&gt;0,
    COUNTIFS($AV$2:$AV$200,$G198)&gt;0,
    COUNTIFS($AW$2:$AW$200,$G198)&gt;0,
    COUNTIFS($AX$2:$AX$200,$G198)&gt;0,
    COUNTIFS($AY$2:$AY$200,$G198)&gt;0,
    COUNTIFS($AZ$2:$AZ$200,$G198)&gt;0,
    COUNTIFS($BA$2:$BA$200,$G198)&gt;0,
    COUNTIFS($BB$2:$BB$200,$G198)&gt;0,
    COUNTIFS($BC$2:$BC$200,$G198)&gt;0,
    COUNTIFS($BD$2:$BD$200,$G198)&gt;0,
    COUNTIFS($BE$2:$BE$200,$G198)&gt;0,
    COUNTIFS($BF$2:$BF$200,$G198)&gt;0,
    COUNTIFS($BG$2:$BG$200,$G198)&gt;0,
    COUNTIFS($BH$2:$BH$200,$G198)&gt;0,
    COUNTIFS($BI$2:$BI$200,$G198)&gt;0,
    COUNTIFS($BJ$2:$BJ$200,$G198)&gt;0,
    COUNTIFS($BK$2:$BK$200,$G198)&gt;0,
    COUNTIFS($BL$2:$BL$200,$G198)&gt;0,
    COUNTIFS($BM$2:$BM$200,$G198)&gt;0,
   ),
  0)
 ),
"")</f>
        <v>Zuko</v>
      </c>
      <c r="D198" s="2" t="str" cm="1">
        <f t="array" aca="1" ref="D198" ca="1">IFERROR(
 INDEX(
  _xlfn._xlws.FILTER($V$1:$AY$1,
   TRANSPOSE(
    CHOOSE({1;2;3;4;5;6;7;8;9;10;11;12;13;14;15;16;17;18;19;20;21;22;23;24;25;26;27;28;29;30},
     COUNTIFS($V$2:$V$200,$G198)&gt;0,
     COUNTIFS($W$2:$W$200,$G198)&gt;0,
     COUNTIFS($X$2:$X$200,$G198)&gt;0,
     COUNTIFS($Y$2:$Y$200,$G198)&gt;0,
     COUNTIFS($Z$2:$Z$200,$G198)&gt;0,
     COUNTIFS($AA$2:$AA$200,$G198)&gt;0,
     COUNTIFS($AB$2:$AB$200,$G198)&gt;0,
     COUNTIFS($AC$2:$AC$200,$G198)&gt;0,
     COUNTIFS($AD$2:$AD$200,$G198)&gt;0,
     COUNTIFS($AE$2:$AE$200,$G198)&gt;0,
     COUNTIFS($AF$2:$AF$200,$G198)&gt;0,
     COUNTIFS($AG$2:$AG$200,$G198)&gt;0,
     COUNTIFS($AH$2:$AH$200,$G198)&gt;0,
     COUNTIFS($AI$2:$AI$200,$G198)&gt;0,
     COUNTIFS($AJ$2:$AJ$200,$G198)&gt;0,
     COUNTIFS($AK$2:$AK$200,$G198)&gt;0,
     COUNTIFS($AL$2:$AL$200,$G198)&gt;0,
     COUNTIFS($AM$2:$AM$200,$G198)&gt;0,
     COUNTIFS($AN$2:$AN$200,$G198)&gt;0,
     COUNTIFS($AO$2:$AO$200,$G198)&gt;0,
     COUNTIFS($AP$2:$AP$200,$G198)&gt;0,
     COUNTIFS($AQ$2:$AQ$200,$G198)&gt;0,
     COUNTIFS($AR$2:$AR$200,$G198)&gt;0,
     COUNTIFS($AS$2:$AS$200,$G198)&gt;0,
     COUNTIFS($AT$2:$AT$200,$G198)&gt;0,
     COUNTIFS($AU$2:$AU$200,$G198)&gt;0,
     COUNTIFS($AV$2:$AV$200,$G198)&gt;0,
     COUNTIFS($AW$2:$AW$200,$G198)&gt;0,
     COUNTIFS($AX$2:$AX$200,$G198)&gt;0,
     COUNTIFS($AY$2:$AY$200,$G198)&gt;0
   )),
  ),
  2
 ),
"")</f>
        <v/>
      </c>
      <c r="E198" s="2" t="str" cm="1">
        <f t="array" aca="1" ref="E198" ca="1">IFERROR(
 INDEX(
  _xlfn._xlws.FILTER($V$1:$AY$1,
   TRANSPOSE(
    CHOOSE({1;2;3;4;5;6;7;8;9;10;11;12;13;14;15;16;17;18;19;20;21;22;23;24;25;26;27;28;29;30},
     COUNTIFS($V$2:$V$200,$G198)&gt;0,
     COUNTIFS($W$2:$W$200,$G198)&gt;0,
     COUNTIFS($X$2:$X$200,$G198)&gt;0,
     COUNTIFS($Y$2:$Y$200,$G198)&gt;0,
     COUNTIFS($Z$2:$Z$200,$G198)&gt;0,
     COUNTIFS($AA$2:$AA$200,$G198)&gt;0,
     COUNTIFS($AB$2:$AB$200,$G198)&gt;0,
     COUNTIFS($AC$2:$AC$200,$G198)&gt;0,
     COUNTIFS($AD$2:$AD$200,$G198)&gt;0,
     COUNTIFS($AE$2:$AE$200,$G198)&gt;0,
     COUNTIFS($AF$2:$AF$200,$G198)&gt;0,
     COUNTIFS($AG$2:$AG$200,$G198)&gt;0,
     COUNTIFS($AH$2:$AH$200,$G198)&gt;0,
     COUNTIFS($AI$2:$AI$200,$G198)&gt;0,
     COUNTIFS($AJ$2:$AJ$200,$G198)&gt;0,
     COUNTIFS($AK$2:$AK$200,$G198)&gt;0,
     COUNTIFS($AL$2:$AL$200,$G198)&gt;0,
     COUNTIFS($AM$2:$AM$200,$G198)&gt;0,
     COUNTIFS($AN$2:$AN$200,$G198)&gt;0,
     COUNTIFS($AO$2:$AO$200,$G198)&gt;0,
     COUNTIFS($AP$2:$AP$200,$G198)&gt;0,
     COUNTIFS($AQ$2:$AQ$200,$G198)&gt;0,
     COUNTIFS($AR$2:$AR$200,$G198)&gt;0,
     COUNTIFS($AS$2:$AS$200,$G198)&gt;0,
     COUNTIFS($AT$2:$AT$200,$G198)&gt;0,
     COUNTIFS($AU$2:$AU$200,$G198)&gt;0,
     COUNTIFS($AV$2:$AV$200,$G198)&gt;0,
     COUNTIFS($AW$2:$AW$200,$G198)&gt;0,
     COUNTIFS($AX$2:$AX$200,$G198)&gt;0,
     COUNTIFS($AY$2:$AY$200,$G198)&gt;0
   )),
  ),
  3
 ),
"")</f>
        <v/>
      </c>
      <c r="F198" s="2" t="str" cm="1">
        <f t="array" aca="1" ref="F198" ca="1">IFERROR(
 INDEX(
  _xlfn._xlws.FILTER($V$1:$AY$1,
   TRANSPOSE(
    CHOOSE({1;2;3;4;5;6;7;8;9;10;11;12;13;14;15;16;17;18;19;20;21;22;23;24;25;26;27;28;29;30},
     COUNTIFS($V$2:$V$200,$G198)&gt;0,
     COUNTIFS($W$2:$W$200,$G198)&gt;0,
     COUNTIFS($X$2:$X$200,$G198)&gt;0,
     COUNTIFS($Y$2:$Y$200,$G198)&gt;0,
     COUNTIFS($Z$2:$Z$200,$G198)&gt;0,
     COUNTIFS($AA$2:$AA$200,$G198)&gt;0,
     COUNTIFS($AB$2:$AB$200,$G198)&gt;0,
     COUNTIFS($AC$2:$AC$200,$G198)&gt;0,
     COUNTIFS($AD$2:$AD$200,$G198)&gt;0,
     COUNTIFS($AE$2:$AE$200,$G198)&gt;0,
     COUNTIFS($AF$2:$AF$200,$G198)&gt;0,
     COUNTIFS($AG$2:$AG$200,$G198)&gt;0,
     COUNTIFS($AH$2:$AH$200,$G198)&gt;0,
     COUNTIFS($AI$2:$AI$200,$G198)&gt;0,
     COUNTIFS($AJ$2:$AJ$200,$G198)&gt;0,
     COUNTIFS($AK$2:$AK$200,$G198)&gt;0,
     COUNTIFS($AL$2:$AL$200,$G198)&gt;0,
     COUNTIFS($AM$2:$AM$200,$G198)&gt;0,
     COUNTIFS($AN$2:$AN$200,$G198)&gt;0,
     COUNTIFS($AO$2:$AO$200,$G198)&gt;0,
     COUNTIFS($AP$2:$AP$200,$G198)&gt;0,
     COUNTIFS($AQ$2:$AQ$200,$G198)&gt;0,
     COUNTIFS($AR$2:$AR$200,$G198)&gt;0,
     COUNTIFS($AS$2:$AS$200,$G198)&gt;0,
     COUNTIFS($AT$2:$AT$200,$G198)&gt;0,
     COUNTIFS($AU$2:$AU$200,$G198)&gt;0,
     COUNTIFS($AV$2:$AV$200,$G198)&gt;0,
     COUNTIFS($AW$2:$AW$200,$G198)&gt;0,
     COUNTIFS($AX$2:$AX$200,$G198)&gt;0,
     COUNTIFS($AY$2:$AY$200,$G198)&gt;0
   )),
  ),
  4
 ),
"")</f>
        <v/>
      </c>
      <c r="G198" t="str">
        <f ca="1"/>
        <v>Havengul Laboratory</v>
      </c>
      <c r="EQ198" t="e">
        <f ca="1"/>
        <v>#REF!</v>
      </c>
      <c r="ER198" t="str">
        <f ca="1"/>
        <v>Witherbloom Apprentice</v>
      </c>
      <c r="EU198" t="str">
        <f ca="1"/>
        <v>Muscle Sliver</v>
      </c>
      <c r="EV198" t="str">
        <f ca="1"/>
        <v>Witherbloom Apprentice</v>
      </c>
      <c r="EX198" t="str">
        <f ca="1"/>
        <v>Havengul Laboratory</v>
      </c>
    </row>
    <row r="199" spans="1:154" x14ac:dyDescent="0.25">
      <c r="A199" s="2" t="str">
        <f t="shared" ca="1" si="12"/>
        <v>4</v>
      </c>
      <c r="B199" s="2">
        <f t="shared" ca="1" si="13"/>
        <v>1</v>
      </c>
      <c r="C199" s="2" t="str">
        <f ca="1">IFERROR(
 INDEX($V$1:$BL$1,
  MATCH(TRUE,
   CHOOSE({1;2;3;4;5;6;7;8;9;10;11;12;13;14;15;16;17;18;19;20;21;22;23;24;25;26;27;28;29;30;31;32;33;34;35;36;37;38;39;40;41;42;43},
    COUNTIFS($V$2:$V$200,$G199)&gt;0,
    COUNTIFS($W$2:$W$200,$G199)&gt;0,
    COUNTIFS($X$2:$X$200,$G199)&gt;0,
    COUNTIFS($Y$2:$Y$200,$G199)&gt;0,
    COUNTIFS($Z$2:$Z$200,$G199)&gt;0,
    COUNTIFS($AA$2:$AA$200,$G199)&gt;0,
    COUNTIFS($AB$2:$AB$200,$G199)&gt;0,
    COUNTIFS($AC$2:$AC$200,$G199)&gt;0,
    COUNTIFS($AD$2:$AD$200,$G199)&gt;0,
    COUNTIFS($AE$2:$AE$200,$G199)&gt;0,
    COUNTIFS($AF$2:$AF$200,$G199)&gt;0,
    COUNTIFS($AG$2:$AG$200,$G199)&gt;0,
    COUNTIFS($AH$2:$AH$200,$G199)&gt;0,
    COUNTIFS($AI$2:$AI$200,$G199)&gt;0,
    COUNTIFS($AJ$2:$AJ$200,$G199)&gt;0,
    COUNTIFS($AK$2:$AK$200,$G199)&gt;0,
    COUNTIFS($AL$2:$AL$200,$G199)&gt;0,
    COUNTIFS($AM$2:$AM$200,$G199)&gt;0,
    COUNTIFS($AN$2:$AN$200,$G199)&gt;0,
    COUNTIFS($AO$2:$AO$200,$G199)&gt;0,
    COUNTIFS($AP$2:$AP$200,$G199)&gt;0,
    COUNTIFS($AQ$2:$AQ$200,$G199)&gt;0,
    COUNTIFS($AR$2:$AR$200,$G199)&gt;0,
    COUNTIFS($AS$2:$AS$200,$G199)&gt;0,
    COUNTIFS($AT$2:$AT$200,$G199)&gt;0,
    COUNTIFS($AU$2:$AU$200,$G199)&gt;0,
    COUNTIFS($AV$2:$AV$200,$G199)&gt;0,
    COUNTIFS($AW$2:$AW$200,$G199)&gt;0,
    COUNTIFS($AX$2:$AX$200,$G199)&gt;0,
    COUNTIFS($AY$2:$AY$200,$G199)&gt;0,
    COUNTIFS($AZ$2:$AZ$200,$G199)&gt;0,
    COUNTIFS($BA$2:$BA$200,$G199)&gt;0,
    COUNTIFS($BB$2:$BB$200,$G199)&gt;0,
    COUNTIFS($BC$2:$BC$200,$G199)&gt;0,
    COUNTIFS($BD$2:$BD$200,$G199)&gt;0,
    COUNTIFS($BE$2:$BE$200,$G199)&gt;0,
    COUNTIFS($BF$2:$BF$200,$G199)&gt;0,
    COUNTIFS($BG$2:$BG$200,$G199)&gt;0,
    COUNTIFS($BH$2:$BH$200,$G199)&gt;0,
    COUNTIFS($BI$2:$BI$200,$G199)&gt;0,
    COUNTIFS($BJ$2:$BJ$200,$G199)&gt;0,
    COUNTIFS($BK$2:$BK$200,$G199)&gt;0,
    COUNTIFS($BL$2:$BL$200,$G199)&gt;0,
    COUNTIFS($BM$2:$BM$200,$G199)&gt;0,
   ),
  0)
 ),
"")</f>
        <v>Modular</v>
      </c>
      <c r="D199" s="2" t="str" cm="1">
        <f t="array" aca="1" ref="D199" ca="1">IFERROR(
 INDEX(
  _xlfn._xlws.FILTER($V$1:$AY$1,
   TRANSPOSE(
    CHOOSE({1;2;3;4;5;6;7;8;9;10;11;12;13;14;15;16;17;18;19;20;21;22;23;24;25;26;27;28;29;30},
     COUNTIFS($V$2:$V$200,$G199)&gt;0,
     COUNTIFS($W$2:$W$200,$G199)&gt;0,
     COUNTIFS($X$2:$X$200,$G199)&gt;0,
     COUNTIFS($Y$2:$Y$200,$G199)&gt;0,
     COUNTIFS($Z$2:$Z$200,$G199)&gt;0,
     COUNTIFS($AA$2:$AA$200,$G199)&gt;0,
     COUNTIFS($AB$2:$AB$200,$G199)&gt;0,
     COUNTIFS($AC$2:$AC$200,$G199)&gt;0,
     COUNTIFS($AD$2:$AD$200,$G199)&gt;0,
     COUNTIFS($AE$2:$AE$200,$G199)&gt;0,
     COUNTIFS($AF$2:$AF$200,$G199)&gt;0,
     COUNTIFS($AG$2:$AG$200,$G199)&gt;0,
     COUNTIFS($AH$2:$AH$200,$G199)&gt;0,
     COUNTIFS($AI$2:$AI$200,$G199)&gt;0,
     COUNTIFS($AJ$2:$AJ$200,$G199)&gt;0,
     COUNTIFS($AK$2:$AK$200,$G199)&gt;0,
     COUNTIFS($AL$2:$AL$200,$G199)&gt;0,
     COUNTIFS($AM$2:$AM$200,$G199)&gt;0,
     COUNTIFS($AN$2:$AN$200,$G199)&gt;0,
     COUNTIFS($AO$2:$AO$200,$G199)&gt;0,
     COUNTIFS($AP$2:$AP$200,$G199)&gt;0,
     COUNTIFS($AQ$2:$AQ$200,$G199)&gt;0,
     COUNTIFS($AR$2:$AR$200,$G199)&gt;0,
     COUNTIFS($AS$2:$AS$200,$G199)&gt;0,
     COUNTIFS($AT$2:$AT$200,$G199)&gt;0,
     COUNTIFS($AU$2:$AU$200,$G199)&gt;0,
     COUNTIFS($AV$2:$AV$200,$G199)&gt;0,
     COUNTIFS($AW$2:$AW$200,$G199)&gt;0,
     COUNTIFS($AX$2:$AX$200,$G199)&gt;0,
     COUNTIFS($AY$2:$AY$200,$G199)&gt;0
   )),
  ),
  2
 ),
"")</f>
        <v/>
      </c>
      <c r="E199" s="2" t="str" cm="1">
        <f t="array" aca="1" ref="E199" ca="1">IFERROR(
 INDEX(
  _xlfn._xlws.FILTER($V$1:$AY$1,
   TRANSPOSE(
    CHOOSE({1;2;3;4;5;6;7;8;9;10;11;12;13;14;15;16;17;18;19;20;21;22;23;24;25;26;27;28;29;30},
     COUNTIFS($V$2:$V$200,$G199)&gt;0,
     COUNTIFS($W$2:$W$200,$G199)&gt;0,
     COUNTIFS($X$2:$X$200,$G199)&gt;0,
     COUNTIFS($Y$2:$Y$200,$G199)&gt;0,
     COUNTIFS($Z$2:$Z$200,$G199)&gt;0,
     COUNTIFS($AA$2:$AA$200,$G199)&gt;0,
     COUNTIFS($AB$2:$AB$200,$G199)&gt;0,
     COUNTIFS($AC$2:$AC$200,$G199)&gt;0,
     COUNTIFS($AD$2:$AD$200,$G199)&gt;0,
     COUNTIFS($AE$2:$AE$200,$G199)&gt;0,
     COUNTIFS($AF$2:$AF$200,$G199)&gt;0,
     COUNTIFS($AG$2:$AG$200,$G199)&gt;0,
     COUNTIFS($AH$2:$AH$200,$G199)&gt;0,
     COUNTIFS($AI$2:$AI$200,$G199)&gt;0,
     COUNTIFS($AJ$2:$AJ$200,$G199)&gt;0,
     COUNTIFS($AK$2:$AK$200,$G199)&gt;0,
     COUNTIFS($AL$2:$AL$200,$G199)&gt;0,
     COUNTIFS($AM$2:$AM$200,$G199)&gt;0,
     COUNTIFS($AN$2:$AN$200,$G199)&gt;0,
     COUNTIFS($AO$2:$AO$200,$G199)&gt;0,
     COUNTIFS($AP$2:$AP$200,$G199)&gt;0,
     COUNTIFS($AQ$2:$AQ$200,$G199)&gt;0,
     COUNTIFS($AR$2:$AR$200,$G199)&gt;0,
     COUNTIFS($AS$2:$AS$200,$G199)&gt;0,
     COUNTIFS($AT$2:$AT$200,$G199)&gt;0,
     COUNTIFS($AU$2:$AU$200,$G199)&gt;0,
     COUNTIFS($AV$2:$AV$200,$G199)&gt;0,
     COUNTIFS($AW$2:$AW$200,$G199)&gt;0,
     COUNTIFS($AX$2:$AX$200,$G199)&gt;0,
     COUNTIFS($AY$2:$AY$200,$G199)&gt;0
   )),
  ),
  3
 ),
"")</f>
        <v/>
      </c>
      <c r="F199" s="2" t="str" cm="1">
        <f t="array" aca="1" ref="F199" ca="1">IFERROR(
 INDEX(
  _xlfn._xlws.FILTER($V$1:$AY$1,
   TRANSPOSE(
    CHOOSE({1;2;3;4;5;6;7;8;9;10;11;12;13;14;15;16;17;18;19;20;21;22;23;24;25;26;27;28;29;30},
     COUNTIFS($V$2:$V$200,$G199)&gt;0,
     COUNTIFS($W$2:$W$200,$G199)&gt;0,
     COUNTIFS($X$2:$X$200,$G199)&gt;0,
     COUNTIFS($Y$2:$Y$200,$G199)&gt;0,
     COUNTIFS($Z$2:$Z$200,$G199)&gt;0,
     COUNTIFS($AA$2:$AA$200,$G199)&gt;0,
     COUNTIFS($AB$2:$AB$200,$G199)&gt;0,
     COUNTIFS($AC$2:$AC$200,$G199)&gt;0,
     COUNTIFS($AD$2:$AD$200,$G199)&gt;0,
     COUNTIFS($AE$2:$AE$200,$G199)&gt;0,
     COUNTIFS($AF$2:$AF$200,$G199)&gt;0,
     COUNTIFS($AG$2:$AG$200,$G199)&gt;0,
     COUNTIFS($AH$2:$AH$200,$G199)&gt;0,
     COUNTIFS($AI$2:$AI$200,$G199)&gt;0,
     COUNTIFS($AJ$2:$AJ$200,$G199)&gt;0,
     COUNTIFS($AK$2:$AK$200,$G199)&gt;0,
     COUNTIFS($AL$2:$AL$200,$G199)&gt;0,
     COUNTIFS($AM$2:$AM$200,$G199)&gt;0,
     COUNTIFS($AN$2:$AN$200,$G199)&gt;0,
     COUNTIFS($AO$2:$AO$200,$G199)&gt;0,
     COUNTIFS($AP$2:$AP$200,$G199)&gt;0,
     COUNTIFS($AQ$2:$AQ$200,$G199)&gt;0,
     COUNTIFS($AR$2:$AR$200,$G199)&gt;0,
     COUNTIFS($AS$2:$AS$200,$G199)&gt;0,
     COUNTIFS($AT$2:$AT$200,$G199)&gt;0,
     COUNTIFS($AU$2:$AU$200,$G199)&gt;0,
     COUNTIFS($AV$2:$AV$200,$G199)&gt;0,
     COUNTIFS($AW$2:$AW$200,$G199)&gt;0,
     COUNTIFS($AX$2:$AX$200,$G199)&gt;0,
     COUNTIFS($AY$2:$AY$200,$G199)&gt;0
   )),
  ),
  4
 ),
"")</f>
        <v/>
      </c>
      <c r="G199" t="str">
        <f ca="1"/>
        <v>Haywire Mite</v>
      </c>
      <c r="ER199" t="str">
        <f ca="1"/>
        <v>Within Range</v>
      </c>
      <c r="EU199" t="str">
        <f ca="1"/>
        <v>Mutable Explorer</v>
      </c>
      <c r="EV199" t="str">
        <f ca="1"/>
        <v>Within Range</v>
      </c>
      <c r="EX199" t="str">
        <f ca="1"/>
        <v>Haywire Mite</v>
      </c>
    </row>
    <row r="200" spans="1:154" x14ac:dyDescent="0.25">
      <c r="A200" s="2" t="str">
        <f t="shared" ca="1" si="12"/>
        <v>5</v>
      </c>
      <c r="B200" s="2">
        <f t="shared" ca="1" si="13"/>
        <v>1</v>
      </c>
      <c r="C200" s="2" t="str">
        <f ca="1">IFERROR(
 INDEX($V$1:$BL$1,
  MATCH(TRUE,
   CHOOSE({1;2;3;4;5;6;7;8;9;10;11;12;13;14;15;16;17;18;19;20;21;22;23;24;25;26;27;28;29;30;31;32;33;34;35;36;37;38;39;40;41;42;43},
    COUNTIFS($V$2:$V$200,$G200)&gt;0,
    COUNTIFS($W$2:$W$200,$G200)&gt;0,
    COUNTIFS($X$2:$X$200,$G200)&gt;0,
    COUNTIFS($Y$2:$Y$200,$G200)&gt;0,
    COUNTIFS($Z$2:$Z$200,$G200)&gt;0,
    COUNTIFS($AA$2:$AA$200,$G200)&gt;0,
    COUNTIFS($AB$2:$AB$200,$G200)&gt;0,
    COUNTIFS($AC$2:$AC$200,$G200)&gt;0,
    COUNTIFS($AD$2:$AD$200,$G200)&gt;0,
    COUNTIFS($AE$2:$AE$200,$G200)&gt;0,
    COUNTIFS($AF$2:$AF$200,$G200)&gt;0,
    COUNTIFS($AG$2:$AG$200,$G200)&gt;0,
    COUNTIFS($AH$2:$AH$200,$G200)&gt;0,
    COUNTIFS($AI$2:$AI$200,$G200)&gt;0,
    COUNTIFS($AJ$2:$AJ$200,$G200)&gt;0,
    COUNTIFS($AK$2:$AK$200,$G200)&gt;0,
    COUNTIFS($AL$2:$AL$200,$G200)&gt;0,
    COUNTIFS($AM$2:$AM$200,$G200)&gt;0,
    COUNTIFS($AN$2:$AN$200,$G200)&gt;0,
    COUNTIFS($AO$2:$AO$200,$G200)&gt;0,
    COUNTIFS($AP$2:$AP$200,$G200)&gt;0,
    COUNTIFS($AQ$2:$AQ$200,$G200)&gt;0,
    COUNTIFS($AR$2:$AR$200,$G200)&gt;0,
    COUNTIFS($AS$2:$AS$200,$G200)&gt;0,
    COUNTIFS($AT$2:$AT$200,$G200)&gt;0,
    COUNTIFS($AU$2:$AU$200,$G200)&gt;0,
    COUNTIFS($AV$2:$AV$200,$G200)&gt;0,
    COUNTIFS($AW$2:$AW$200,$G200)&gt;0,
    COUNTIFS($AX$2:$AX$200,$G200)&gt;0,
    COUNTIFS($AY$2:$AY$200,$G200)&gt;0,
    COUNTIFS($AZ$2:$AZ$200,$G200)&gt;0,
    COUNTIFS($BA$2:$BA$200,$G200)&gt;0,
    COUNTIFS($BB$2:$BB$200,$G200)&gt;0,
    COUNTIFS($BC$2:$BC$200,$G200)&gt;0,
    COUNTIFS($BD$2:$BD$200,$G200)&gt;0,
    COUNTIFS($BE$2:$BE$200,$G200)&gt;0,
    COUNTIFS($BF$2:$BF$200,$G200)&gt;0,
    COUNTIFS($BG$2:$BG$200,$G200)&gt;0,
    COUNTIFS($BH$2:$BH$200,$G200)&gt;0,
    COUNTIFS($BI$2:$BI$200,$G200)&gt;0,
    COUNTIFS($BJ$2:$BJ$200,$G200)&gt;0,
    COUNTIFS($BK$2:$BK$200,$G200)&gt;0,
    COUNTIFS($BL$2:$BL$200,$G200)&gt;0,
    COUNTIFS($BM$2:$BM$200,$G200)&gt;0,
   ),
  0)
 ),
"")</f>
        <v>Zuko</v>
      </c>
      <c r="D200" s="2" t="str" cm="1">
        <f t="array" aca="1" ref="D200" ca="1">IFERROR(
 INDEX(
  _xlfn._xlws.FILTER($V$1:$AY$1,
   TRANSPOSE(
    CHOOSE({1;2;3;4;5;6;7;8;9;10;11;12;13;14;15;16;17;18;19;20;21;22;23;24;25;26;27;28;29;30},
     COUNTIFS($V$2:$V$200,$G200)&gt;0,
     COUNTIFS($W$2:$W$200,$G200)&gt;0,
     COUNTIFS($X$2:$X$200,$G200)&gt;0,
     COUNTIFS($Y$2:$Y$200,$G200)&gt;0,
     COUNTIFS($Z$2:$Z$200,$G200)&gt;0,
     COUNTIFS($AA$2:$AA$200,$G200)&gt;0,
     COUNTIFS($AB$2:$AB$200,$G200)&gt;0,
     COUNTIFS($AC$2:$AC$200,$G200)&gt;0,
     COUNTIFS($AD$2:$AD$200,$G200)&gt;0,
     COUNTIFS($AE$2:$AE$200,$G200)&gt;0,
     COUNTIFS($AF$2:$AF$200,$G200)&gt;0,
     COUNTIFS($AG$2:$AG$200,$G200)&gt;0,
     COUNTIFS($AH$2:$AH$200,$G200)&gt;0,
     COUNTIFS($AI$2:$AI$200,$G200)&gt;0,
     COUNTIFS($AJ$2:$AJ$200,$G200)&gt;0,
     COUNTIFS($AK$2:$AK$200,$G200)&gt;0,
     COUNTIFS($AL$2:$AL$200,$G200)&gt;0,
     COUNTIFS($AM$2:$AM$200,$G200)&gt;0,
     COUNTIFS($AN$2:$AN$200,$G200)&gt;0,
     COUNTIFS($AO$2:$AO$200,$G200)&gt;0,
     COUNTIFS($AP$2:$AP$200,$G200)&gt;0,
     COUNTIFS($AQ$2:$AQ$200,$G200)&gt;0,
     COUNTIFS($AR$2:$AR$200,$G200)&gt;0,
     COUNTIFS($AS$2:$AS$200,$G200)&gt;0,
     COUNTIFS($AT$2:$AT$200,$G200)&gt;0,
     COUNTIFS($AU$2:$AU$200,$G200)&gt;0,
     COUNTIFS($AV$2:$AV$200,$G200)&gt;0,
     COUNTIFS($AW$2:$AW$200,$G200)&gt;0,
     COUNTIFS($AX$2:$AX$200,$G200)&gt;0,
     COUNTIFS($AY$2:$AY$200,$G200)&gt;0
   )),
  ),
  2
 ),
"")</f>
        <v/>
      </c>
      <c r="E200" s="2" t="str" cm="1">
        <f t="array" aca="1" ref="E200" ca="1">IFERROR(
 INDEX(
  _xlfn._xlws.FILTER($V$1:$AY$1,
   TRANSPOSE(
    CHOOSE({1;2;3;4;5;6;7;8;9;10;11;12;13;14;15;16;17;18;19;20;21;22;23;24;25;26;27;28;29;30},
     COUNTIFS($V$2:$V$200,$G200)&gt;0,
     COUNTIFS($W$2:$W$200,$G200)&gt;0,
     COUNTIFS($X$2:$X$200,$G200)&gt;0,
     COUNTIFS($Y$2:$Y$200,$G200)&gt;0,
     COUNTIFS($Z$2:$Z$200,$G200)&gt;0,
     COUNTIFS($AA$2:$AA$200,$G200)&gt;0,
     COUNTIFS($AB$2:$AB$200,$G200)&gt;0,
     COUNTIFS($AC$2:$AC$200,$G200)&gt;0,
     COUNTIFS($AD$2:$AD$200,$G200)&gt;0,
     COUNTIFS($AE$2:$AE$200,$G200)&gt;0,
     COUNTIFS($AF$2:$AF$200,$G200)&gt;0,
     COUNTIFS($AG$2:$AG$200,$G200)&gt;0,
     COUNTIFS($AH$2:$AH$200,$G200)&gt;0,
     COUNTIFS($AI$2:$AI$200,$G200)&gt;0,
     COUNTIFS($AJ$2:$AJ$200,$G200)&gt;0,
     COUNTIFS($AK$2:$AK$200,$G200)&gt;0,
     COUNTIFS($AL$2:$AL$200,$G200)&gt;0,
     COUNTIFS($AM$2:$AM$200,$G200)&gt;0,
     COUNTIFS($AN$2:$AN$200,$G200)&gt;0,
     COUNTIFS($AO$2:$AO$200,$G200)&gt;0,
     COUNTIFS($AP$2:$AP$200,$G200)&gt;0,
     COUNTIFS($AQ$2:$AQ$200,$G200)&gt;0,
     COUNTIFS($AR$2:$AR$200,$G200)&gt;0,
     COUNTIFS($AS$2:$AS$200,$G200)&gt;0,
     COUNTIFS($AT$2:$AT$200,$G200)&gt;0,
     COUNTIFS($AU$2:$AU$200,$G200)&gt;0,
     COUNTIFS($AV$2:$AV$200,$G200)&gt;0,
     COUNTIFS($AW$2:$AW$200,$G200)&gt;0,
     COUNTIFS($AX$2:$AX$200,$G200)&gt;0,
     COUNTIFS($AY$2:$AY$200,$G200)&gt;0
   )),
  ),
  3
 ),
"")</f>
        <v/>
      </c>
      <c r="F200" s="2" t="str" cm="1">
        <f t="array" aca="1" ref="F200" ca="1">IFERROR(
 INDEX(
  _xlfn._xlws.FILTER($V$1:$AY$1,
   TRANSPOSE(
    CHOOSE({1;2;3;4;5;6;7;8;9;10;11;12;13;14;15;16;17;18;19;20;21;22;23;24;25;26;27;28;29;30},
     COUNTIFS($V$2:$V$200,$G200)&gt;0,
     COUNTIFS($W$2:$W$200,$G200)&gt;0,
     COUNTIFS($X$2:$X$200,$G200)&gt;0,
     COUNTIFS($Y$2:$Y$200,$G200)&gt;0,
     COUNTIFS($Z$2:$Z$200,$G200)&gt;0,
     COUNTIFS($AA$2:$AA$200,$G200)&gt;0,
     COUNTIFS($AB$2:$AB$200,$G200)&gt;0,
     COUNTIFS($AC$2:$AC$200,$G200)&gt;0,
     COUNTIFS($AD$2:$AD$200,$G200)&gt;0,
     COUNTIFS($AE$2:$AE$200,$G200)&gt;0,
     COUNTIFS($AF$2:$AF$200,$G200)&gt;0,
     COUNTIFS($AG$2:$AG$200,$G200)&gt;0,
     COUNTIFS($AH$2:$AH$200,$G200)&gt;0,
     COUNTIFS($AI$2:$AI$200,$G200)&gt;0,
     COUNTIFS($AJ$2:$AJ$200,$G200)&gt;0,
     COUNTIFS($AK$2:$AK$200,$G200)&gt;0,
     COUNTIFS($AL$2:$AL$200,$G200)&gt;0,
     COUNTIFS($AM$2:$AM$200,$G200)&gt;0,
     COUNTIFS($AN$2:$AN$200,$G200)&gt;0,
     COUNTIFS($AO$2:$AO$200,$G200)&gt;0,
     COUNTIFS($AP$2:$AP$200,$G200)&gt;0,
     COUNTIFS($AQ$2:$AQ$200,$G200)&gt;0,
     COUNTIFS($AR$2:$AR$200,$G200)&gt;0,
     COUNTIFS($AS$2:$AS$200,$G200)&gt;0,
     COUNTIFS($AT$2:$AT$200,$G200)&gt;0,
     COUNTIFS($AU$2:$AU$200,$G200)&gt;0,
     COUNTIFS($AV$2:$AV$200,$G200)&gt;0,
     COUNTIFS($AW$2:$AW$200,$G200)&gt;0,
     COUNTIFS($AX$2:$AX$200,$G200)&gt;0,
     COUNTIFS($AY$2:$AY$200,$G200)&gt;0
   )),
  ),
  4
 ),
"")</f>
        <v/>
      </c>
      <c r="G200" t="str">
        <f ca="1"/>
        <v>Headliner Scarlett</v>
      </c>
      <c r="ER200" t="str">
        <f ca="1"/>
        <v>Woodland Cemetery</v>
      </c>
      <c r="EU200" t="str">
        <f ca="1"/>
        <v>Necrotic Sliver</v>
      </c>
      <c r="EV200" t="str">
        <f ca="1"/>
        <v>Woodland Cemetery</v>
      </c>
      <c r="EX200" t="str">
        <f ca="1"/>
        <v>Headliner Scarlett</v>
      </c>
    </row>
    <row r="201" spans="1:154" x14ac:dyDescent="0.25">
      <c r="A201" s="2" t="str">
        <f t="shared" ca="1" si="12"/>
        <v>5</v>
      </c>
      <c r="B201" s="2">
        <f t="shared" ca="1" si="13"/>
        <v>1</v>
      </c>
      <c r="C201" s="2" t="str">
        <f ca="1">IFERROR(
 INDEX($V$1:$BL$1,
  MATCH(TRUE,
   CHOOSE({1;2;3;4;5;6;7;8;9;10;11;12;13;14;15;16;17;18;19;20;21;22;23;24;25;26;27;28;29;30;31;32;33;34;35;36;37;38;39;40;41;42;43},
    COUNTIFS($V$2:$V$200,$G201)&gt;0,
    COUNTIFS($W$2:$W$200,$G201)&gt;0,
    COUNTIFS($X$2:$X$200,$G201)&gt;0,
    COUNTIFS($Y$2:$Y$200,$G201)&gt;0,
    COUNTIFS($Z$2:$Z$200,$G201)&gt;0,
    COUNTIFS($AA$2:$AA$200,$G201)&gt;0,
    COUNTIFS($AB$2:$AB$200,$G201)&gt;0,
    COUNTIFS($AC$2:$AC$200,$G201)&gt;0,
    COUNTIFS($AD$2:$AD$200,$G201)&gt;0,
    COUNTIFS($AE$2:$AE$200,$G201)&gt;0,
    COUNTIFS($AF$2:$AF$200,$G201)&gt;0,
    COUNTIFS($AG$2:$AG$200,$G201)&gt;0,
    COUNTIFS($AH$2:$AH$200,$G201)&gt;0,
    COUNTIFS($AI$2:$AI$200,$G201)&gt;0,
    COUNTIFS($AJ$2:$AJ$200,$G201)&gt;0,
    COUNTIFS($AK$2:$AK$200,$G201)&gt;0,
    COUNTIFS($AL$2:$AL$200,$G201)&gt;0,
    COUNTIFS($AM$2:$AM$200,$G201)&gt;0,
    COUNTIFS($AN$2:$AN$200,$G201)&gt;0,
    COUNTIFS($AO$2:$AO$200,$G201)&gt;0,
    COUNTIFS($AP$2:$AP$200,$G201)&gt;0,
    COUNTIFS($AQ$2:$AQ$200,$G201)&gt;0,
    COUNTIFS($AR$2:$AR$200,$G201)&gt;0,
    COUNTIFS($AS$2:$AS$200,$G201)&gt;0,
    COUNTIFS($AT$2:$AT$200,$G201)&gt;0,
    COUNTIFS($AU$2:$AU$200,$G201)&gt;0,
    COUNTIFS($AV$2:$AV$200,$G201)&gt;0,
    COUNTIFS($AW$2:$AW$200,$G201)&gt;0,
    COUNTIFS($AX$2:$AX$200,$G201)&gt;0,
    COUNTIFS($AY$2:$AY$200,$G201)&gt;0,
    COUNTIFS($AZ$2:$AZ$200,$G201)&gt;0,
    COUNTIFS($BA$2:$BA$200,$G201)&gt;0,
    COUNTIFS($BB$2:$BB$200,$G201)&gt;0,
    COUNTIFS($BC$2:$BC$200,$G201)&gt;0,
    COUNTIFS($BD$2:$BD$200,$G201)&gt;0,
    COUNTIFS($BE$2:$BE$200,$G201)&gt;0,
    COUNTIFS($BF$2:$BF$200,$G201)&gt;0,
    COUNTIFS($BG$2:$BG$200,$G201)&gt;0,
    COUNTIFS($BH$2:$BH$200,$G201)&gt;0,
    COUNTIFS($BI$2:$BI$200,$G201)&gt;0,
    COUNTIFS($BJ$2:$BJ$200,$G201)&gt;0,
    COUNTIFS($BK$2:$BK$200,$G201)&gt;0,
    COUNTIFS($BL$2:$BL$200,$G201)&gt;0,
    COUNTIFS($BM$2:$BM$200,$G201)&gt;0,
   ),
  0)
 ),
"")</f>
        <v>Fractius</v>
      </c>
      <c r="D201" s="2" t="str" cm="1">
        <f t="array" aca="1" ref="D201" ca="1">IFERROR(
 INDEX(
  _xlfn._xlws.FILTER($V$1:$AY$1,
   TRANSPOSE(
    CHOOSE({1;2;3;4;5;6;7;8;9;10;11;12;13;14;15;16;17;18;19;20;21;22;23;24;25;26;27;28;29;30},
     COUNTIFS($V$2:$V$200,$G201)&gt;0,
     COUNTIFS($W$2:$W$200,$G201)&gt;0,
     COUNTIFS($X$2:$X$200,$G201)&gt;0,
     COUNTIFS($Y$2:$Y$200,$G201)&gt;0,
     COUNTIFS($Z$2:$Z$200,$G201)&gt;0,
     COUNTIFS($AA$2:$AA$200,$G201)&gt;0,
     COUNTIFS($AB$2:$AB$200,$G201)&gt;0,
     COUNTIFS($AC$2:$AC$200,$G201)&gt;0,
     COUNTIFS($AD$2:$AD$200,$G201)&gt;0,
     COUNTIFS($AE$2:$AE$200,$G201)&gt;0,
     COUNTIFS($AF$2:$AF$200,$G201)&gt;0,
     COUNTIFS($AG$2:$AG$200,$G201)&gt;0,
     COUNTIFS($AH$2:$AH$200,$G201)&gt;0,
     COUNTIFS($AI$2:$AI$200,$G201)&gt;0,
     COUNTIFS($AJ$2:$AJ$200,$G201)&gt;0,
     COUNTIFS($AK$2:$AK$200,$G201)&gt;0,
     COUNTIFS($AL$2:$AL$200,$G201)&gt;0,
     COUNTIFS($AM$2:$AM$200,$G201)&gt;0,
     COUNTIFS($AN$2:$AN$200,$G201)&gt;0,
     COUNTIFS($AO$2:$AO$200,$G201)&gt;0,
     COUNTIFS($AP$2:$AP$200,$G201)&gt;0,
     COUNTIFS($AQ$2:$AQ$200,$G201)&gt;0,
     COUNTIFS($AR$2:$AR$200,$G201)&gt;0,
     COUNTIFS($AS$2:$AS$200,$G201)&gt;0,
     COUNTIFS($AT$2:$AT$200,$G201)&gt;0,
     COUNTIFS($AU$2:$AU$200,$G201)&gt;0,
     COUNTIFS($AV$2:$AV$200,$G201)&gt;0,
     COUNTIFS($AW$2:$AW$200,$G201)&gt;0,
     COUNTIFS($AX$2:$AX$200,$G201)&gt;0,
     COUNTIFS($AY$2:$AY$200,$G201)&gt;0
   )),
  ),
  2
 ),
"")</f>
        <v/>
      </c>
      <c r="E201" s="2" t="str" cm="1">
        <f t="array" aca="1" ref="E201" ca="1">IFERROR(
 INDEX(
  _xlfn._xlws.FILTER($V$1:$AY$1,
   TRANSPOSE(
    CHOOSE({1;2;3;4;5;6;7;8;9;10;11;12;13;14;15;16;17;18;19;20;21;22;23;24;25;26;27;28;29;30},
     COUNTIFS($V$2:$V$200,$G201)&gt;0,
     COUNTIFS($W$2:$W$200,$G201)&gt;0,
     COUNTIFS($X$2:$X$200,$G201)&gt;0,
     COUNTIFS($Y$2:$Y$200,$G201)&gt;0,
     COUNTIFS($Z$2:$Z$200,$G201)&gt;0,
     COUNTIFS($AA$2:$AA$200,$G201)&gt;0,
     COUNTIFS($AB$2:$AB$200,$G201)&gt;0,
     COUNTIFS($AC$2:$AC$200,$G201)&gt;0,
     COUNTIFS($AD$2:$AD$200,$G201)&gt;0,
     COUNTIFS($AE$2:$AE$200,$G201)&gt;0,
     COUNTIFS($AF$2:$AF$200,$G201)&gt;0,
     COUNTIFS($AG$2:$AG$200,$G201)&gt;0,
     COUNTIFS($AH$2:$AH$200,$G201)&gt;0,
     COUNTIFS($AI$2:$AI$200,$G201)&gt;0,
     COUNTIFS($AJ$2:$AJ$200,$G201)&gt;0,
     COUNTIFS($AK$2:$AK$200,$G201)&gt;0,
     COUNTIFS($AL$2:$AL$200,$G201)&gt;0,
     COUNTIFS($AM$2:$AM$200,$G201)&gt;0,
     COUNTIFS($AN$2:$AN$200,$G201)&gt;0,
     COUNTIFS($AO$2:$AO$200,$G201)&gt;0,
     COUNTIFS($AP$2:$AP$200,$G201)&gt;0,
     COUNTIFS($AQ$2:$AQ$200,$G201)&gt;0,
     COUNTIFS($AR$2:$AR$200,$G201)&gt;0,
     COUNTIFS($AS$2:$AS$200,$G201)&gt;0,
     COUNTIFS($AT$2:$AT$200,$G201)&gt;0,
     COUNTIFS($AU$2:$AU$200,$G201)&gt;0,
     COUNTIFS($AV$2:$AV$200,$G201)&gt;0,
     COUNTIFS($AW$2:$AW$200,$G201)&gt;0,
     COUNTIFS($AX$2:$AX$200,$G201)&gt;0,
     COUNTIFS($AY$2:$AY$200,$G201)&gt;0
   )),
  ),
  3
 ),
"")</f>
        <v/>
      </c>
      <c r="F201" s="2" t="str" cm="1">
        <f t="array" aca="1" ref="F201" ca="1">IFERROR(
 INDEX(
  _xlfn._xlws.FILTER($V$1:$AY$1,
   TRANSPOSE(
    CHOOSE({1;2;3;4;5;6;7;8;9;10;11;12;13;14;15;16;17;18;19;20;21;22;23;24;25;26;27;28;29;30},
     COUNTIFS($V$2:$V$200,$G201)&gt;0,
     COUNTIFS($W$2:$W$200,$G201)&gt;0,
     COUNTIFS($X$2:$X$200,$G201)&gt;0,
     COUNTIFS($Y$2:$Y$200,$G201)&gt;0,
     COUNTIFS($Z$2:$Z$200,$G201)&gt;0,
     COUNTIFS($AA$2:$AA$200,$G201)&gt;0,
     COUNTIFS($AB$2:$AB$200,$G201)&gt;0,
     COUNTIFS($AC$2:$AC$200,$G201)&gt;0,
     COUNTIFS($AD$2:$AD$200,$G201)&gt;0,
     COUNTIFS($AE$2:$AE$200,$G201)&gt;0,
     COUNTIFS($AF$2:$AF$200,$G201)&gt;0,
     COUNTIFS($AG$2:$AG$200,$G201)&gt;0,
     COUNTIFS($AH$2:$AH$200,$G201)&gt;0,
     COUNTIFS($AI$2:$AI$200,$G201)&gt;0,
     COUNTIFS($AJ$2:$AJ$200,$G201)&gt;0,
     COUNTIFS($AK$2:$AK$200,$G201)&gt;0,
     COUNTIFS($AL$2:$AL$200,$G201)&gt;0,
     COUNTIFS($AM$2:$AM$200,$G201)&gt;0,
     COUNTIFS($AN$2:$AN$200,$G201)&gt;0,
     COUNTIFS($AO$2:$AO$200,$G201)&gt;0,
     COUNTIFS($AP$2:$AP$200,$G201)&gt;0,
     COUNTIFS($AQ$2:$AQ$200,$G201)&gt;0,
     COUNTIFS($AR$2:$AR$200,$G201)&gt;0,
     COUNTIFS($AS$2:$AS$200,$G201)&gt;0,
     COUNTIFS($AT$2:$AT$200,$G201)&gt;0,
     COUNTIFS($AU$2:$AU$200,$G201)&gt;0,
     COUNTIFS($AV$2:$AV$200,$G201)&gt;0,
     COUNTIFS($AW$2:$AW$200,$G201)&gt;0,
     COUNTIFS($AX$2:$AX$200,$G201)&gt;0,
     COUNTIFS($AY$2:$AY$200,$G201)&gt;0
   )),
  ),
  4
 ),
"")</f>
        <v/>
      </c>
      <c r="G201" t="str">
        <f ca="1"/>
        <v>Heart Sliver</v>
      </c>
      <c r="ER201" t="str">
        <f ca="1"/>
        <v>Zurgo Stormrender</v>
      </c>
      <c r="EU201" t="str">
        <f ca="1"/>
        <v>Nest of Scarabs</v>
      </c>
      <c r="EV201" t="str">
        <f ca="1"/>
        <v>Zurgo Stormrender</v>
      </c>
      <c r="EX201" t="str">
        <f ca="1"/>
        <v>Heart Sliver</v>
      </c>
    </row>
    <row r="202" spans="1:154" x14ac:dyDescent="0.25">
      <c r="A202" s="2" t="str">
        <f t="shared" ca="1" si="12"/>
        <v>4</v>
      </c>
      <c r="B202" s="2">
        <f t="shared" ca="1" si="13"/>
        <v>1</v>
      </c>
      <c r="C202" s="2" t="str">
        <f ca="1">IFERROR(
 INDEX($V$1:$BL$1,
  MATCH(TRUE,
   CHOOSE({1;2;3;4;5;6;7;8;9;10;11;12;13;14;15;16;17;18;19;20;21;22;23;24;25;26;27;28;29;30;31;32;33;34;35;36;37;38;39;40;41;42;43},
    COUNTIFS($V$2:$V$200,$G202)&gt;0,
    COUNTIFS($W$2:$W$200,$G202)&gt;0,
    COUNTIFS($X$2:$X$200,$G202)&gt;0,
    COUNTIFS($Y$2:$Y$200,$G202)&gt;0,
    COUNTIFS($Z$2:$Z$200,$G202)&gt;0,
    COUNTIFS($AA$2:$AA$200,$G202)&gt;0,
    COUNTIFS($AB$2:$AB$200,$G202)&gt;0,
    COUNTIFS($AC$2:$AC$200,$G202)&gt;0,
    COUNTIFS($AD$2:$AD$200,$G202)&gt;0,
    COUNTIFS($AE$2:$AE$200,$G202)&gt;0,
    COUNTIFS($AF$2:$AF$200,$G202)&gt;0,
    COUNTIFS($AG$2:$AG$200,$G202)&gt;0,
    COUNTIFS($AH$2:$AH$200,$G202)&gt;0,
    COUNTIFS($AI$2:$AI$200,$G202)&gt;0,
    COUNTIFS($AJ$2:$AJ$200,$G202)&gt;0,
    COUNTIFS($AK$2:$AK$200,$G202)&gt;0,
    COUNTIFS($AL$2:$AL$200,$G202)&gt;0,
    COUNTIFS($AM$2:$AM$200,$G202)&gt;0,
    COUNTIFS($AN$2:$AN$200,$G202)&gt;0,
    COUNTIFS($AO$2:$AO$200,$G202)&gt;0,
    COUNTIFS($AP$2:$AP$200,$G202)&gt;0,
    COUNTIFS($AQ$2:$AQ$200,$G202)&gt;0,
    COUNTIFS($AR$2:$AR$200,$G202)&gt;0,
    COUNTIFS($AS$2:$AS$200,$G202)&gt;0,
    COUNTIFS($AT$2:$AT$200,$G202)&gt;0,
    COUNTIFS($AU$2:$AU$200,$G202)&gt;0,
    COUNTIFS($AV$2:$AV$200,$G202)&gt;0,
    COUNTIFS($AW$2:$AW$200,$G202)&gt;0,
    COUNTIFS($AX$2:$AX$200,$G202)&gt;0,
    COUNTIFS($AY$2:$AY$200,$G202)&gt;0,
    COUNTIFS($AZ$2:$AZ$200,$G202)&gt;0,
    COUNTIFS($BA$2:$BA$200,$G202)&gt;0,
    COUNTIFS($BB$2:$BB$200,$G202)&gt;0,
    COUNTIFS($BC$2:$BC$200,$G202)&gt;0,
    COUNTIFS($BD$2:$BD$200,$G202)&gt;0,
    COUNTIFS($BE$2:$BE$200,$G202)&gt;0,
    COUNTIFS($BF$2:$BF$200,$G202)&gt;0,
    COUNTIFS($BG$2:$BG$200,$G202)&gt;0,
    COUNTIFS($BH$2:$BH$200,$G202)&gt;0,
    COUNTIFS($BI$2:$BI$200,$G202)&gt;0,
    COUNTIFS($BJ$2:$BJ$200,$G202)&gt;0,
    COUNTIFS($BK$2:$BK$200,$G202)&gt;0,
    COUNTIFS($BL$2:$BL$200,$G202)&gt;0,
    COUNTIFS($BM$2:$BM$200,$G202)&gt;0,
   ),
  0)
 ),
"")</f>
        <v>Ool</v>
      </c>
      <c r="D202" s="2" t="str" cm="1">
        <f t="array" aca="1" ref="D202" ca="1">IFERROR(
 INDEX(
  _xlfn._xlws.FILTER($V$1:$AY$1,
   TRANSPOSE(
    CHOOSE({1;2;3;4;5;6;7;8;9;10;11;12;13;14;15;16;17;18;19;20;21;22;23;24;25;26;27;28;29;30},
     COUNTIFS($V$2:$V$200,$G202)&gt;0,
     COUNTIFS($W$2:$W$200,$G202)&gt;0,
     COUNTIFS($X$2:$X$200,$G202)&gt;0,
     COUNTIFS($Y$2:$Y$200,$G202)&gt;0,
     COUNTIFS($Z$2:$Z$200,$G202)&gt;0,
     COUNTIFS($AA$2:$AA$200,$G202)&gt;0,
     COUNTIFS($AB$2:$AB$200,$G202)&gt;0,
     COUNTIFS($AC$2:$AC$200,$G202)&gt;0,
     COUNTIFS($AD$2:$AD$200,$G202)&gt;0,
     COUNTIFS($AE$2:$AE$200,$G202)&gt;0,
     COUNTIFS($AF$2:$AF$200,$G202)&gt;0,
     COUNTIFS($AG$2:$AG$200,$G202)&gt;0,
     COUNTIFS($AH$2:$AH$200,$G202)&gt;0,
     COUNTIFS($AI$2:$AI$200,$G202)&gt;0,
     COUNTIFS($AJ$2:$AJ$200,$G202)&gt;0,
     COUNTIFS($AK$2:$AK$200,$G202)&gt;0,
     COUNTIFS($AL$2:$AL$200,$G202)&gt;0,
     COUNTIFS($AM$2:$AM$200,$G202)&gt;0,
     COUNTIFS($AN$2:$AN$200,$G202)&gt;0,
     COUNTIFS($AO$2:$AO$200,$G202)&gt;0,
     COUNTIFS($AP$2:$AP$200,$G202)&gt;0,
     COUNTIFS($AQ$2:$AQ$200,$G202)&gt;0,
     COUNTIFS($AR$2:$AR$200,$G202)&gt;0,
     COUNTIFS($AS$2:$AS$200,$G202)&gt;0,
     COUNTIFS($AT$2:$AT$200,$G202)&gt;0,
     COUNTIFS($AU$2:$AU$200,$G202)&gt;0,
     COUNTIFS($AV$2:$AV$200,$G202)&gt;0,
     COUNTIFS($AW$2:$AW$200,$G202)&gt;0,
     COUNTIFS($AX$2:$AX$200,$G202)&gt;0,
     COUNTIFS($AY$2:$AY$200,$G202)&gt;0
   )),
  ),
  2
 ),
"")</f>
        <v/>
      </c>
      <c r="E202" s="2" t="str" cm="1">
        <f t="array" aca="1" ref="E202" ca="1">IFERROR(
 INDEX(
  _xlfn._xlws.FILTER($V$1:$AY$1,
   TRANSPOSE(
    CHOOSE({1;2;3;4;5;6;7;8;9;10;11;12;13;14;15;16;17;18;19;20;21;22;23;24;25;26;27;28;29;30},
     COUNTIFS($V$2:$V$200,$G202)&gt;0,
     COUNTIFS($W$2:$W$200,$G202)&gt;0,
     COUNTIFS($X$2:$X$200,$G202)&gt;0,
     COUNTIFS($Y$2:$Y$200,$G202)&gt;0,
     COUNTIFS($Z$2:$Z$200,$G202)&gt;0,
     COUNTIFS($AA$2:$AA$200,$G202)&gt;0,
     COUNTIFS($AB$2:$AB$200,$G202)&gt;0,
     COUNTIFS($AC$2:$AC$200,$G202)&gt;0,
     COUNTIFS($AD$2:$AD$200,$G202)&gt;0,
     COUNTIFS($AE$2:$AE$200,$G202)&gt;0,
     COUNTIFS($AF$2:$AF$200,$G202)&gt;0,
     COUNTIFS($AG$2:$AG$200,$G202)&gt;0,
     COUNTIFS($AH$2:$AH$200,$G202)&gt;0,
     COUNTIFS($AI$2:$AI$200,$G202)&gt;0,
     COUNTIFS($AJ$2:$AJ$200,$G202)&gt;0,
     COUNTIFS($AK$2:$AK$200,$G202)&gt;0,
     COUNTIFS($AL$2:$AL$200,$G202)&gt;0,
     COUNTIFS($AM$2:$AM$200,$G202)&gt;0,
     COUNTIFS($AN$2:$AN$200,$G202)&gt;0,
     COUNTIFS($AO$2:$AO$200,$G202)&gt;0,
     COUNTIFS($AP$2:$AP$200,$G202)&gt;0,
     COUNTIFS($AQ$2:$AQ$200,$G202)&gt;0,
     COUNTIFS($AR$2:$AR$200,$G202)&gt;0,
     COUNTIFS($AS$2:$AS$200,$G202)&gt;0,
     COUNTIFS($AT$2:$AT$200,$G202)&gt;0,
     COUNTIFS($AU$2:$AU$200,$G202)&gt;0,
     COUNTIFS($AV$2:$AV$200,$G202)&gt;0,
     COUNTIFS($AW$2:$AW$200,$G202)&gt;0,
     COUNTIFS($AX$2:$AX$200,$G202)&gt;0,
     COUNTIFS($AY$2:$AY$200,$G202)&gt;0
   )),
  ),
  3
 ),
"")</f>
        <v/>
      </c>
      <c r="F202" s="2" t="str" cm="1">
        <f t="array" aca="1" ref="F202" ca="1">IFERROR(
 INDEX(
  _xlfn._xlws.FILTER($V$1:$AY$1,
   TRANSPOSE(
    CHOOSE({1;2;3;4;5;6;7;8;9;10;11;12;13;14;15;16;17;18;19;20;21;22;23;24;25;26;27;28;29;30},
     COUNTIFS($V$2:$V$200,$G202)&gt;0,
     COUNTIFS($W$2:$W$200,$G202)&gt;0,
     COUNTIFS($X$2:$X$200,$G202)&gt;0,
     COUNTIFS($Y$2:$Y$200,$G202)&gt;0,
     COUNTIFS($Z$2:$Z$200,$G202)&gt;0,
     COUNTIFS($AA$2:$AA$200,$G202)&gt;0,
     COUNTIFS($AB$2:$AB$200,$G202)&gt;0,
     COUNTIFS($AC$2:$AC$200,$G202)&gt;0,
     COUNTIFS($AD$2:$AD$200,$G202)&gt;0,
     COUNTIFS($AE$2:$AE$200,$G202)&gt;0,
     COUNTIFS($AF$2:$AF$200,$G202)&gt;0,
     COUNTIFS($AG$2:$AG$200,$G202)&gt;0,
     COUNTIFS($AH$2:$AH$200,$G202)&gt;0,
     COUNTIFS($AI$2:$AI$200,$G202)&gt;0,
     COUNTIFS($AJ$2:$AJ$200,$G202)&gt;0,
     COUNTIFS($AK$2:$AK$200,$G202)&gt;0,
     COUNTIFS($AL$2:$AL$200,$G202)&gt;0,
     COUNTIFS($AM$2:$AM$200,$G202)&gt;0,
     COUNTIFS($AN$2:$AN$200,$G202)&gt;0,
     COUNTIFS($AO$2:$AO$200,$G202)&gt;0,
     COUNTIFS($AP$2:$AP$200,$G202)&gt;0,
     COUNTIFS($AQ$2:$AQ$200,$G202)&gt;0,
     COUNTIFS($AR$2:$AR$200,$G202)&gt;0,
     COUNTIFS($AS$2:$AS$200,$G202)&gt;0,
     COUNTIFS($AT$2:$AT$200,$G202)&gt;0,
     COUNTIFS($AU$2:$AU$200,$G202)&gt;0,
     COUNTIFS($AV$2:$AV$200,$G202)&gt;0,
     COUNTIFS($AW$2:$AW$200,$G202)&gt;0,
     COUNTIFS($AX$2:$AX$200,$G202)&gt;0,
     COUNTIFS($AY$2:$AY$200,$G202)&gt;0
   )),
  ),
  4
 ),
"")</f>
        <v/>
      </c>
      <c r="G202" t="str">
        <f ca="1"/>
        <v>Heirloom Auntie</v>
      </c>
      <c r="ER202" t="str">
        <f ca="1"/>
        <v>Zurgo, Thunder's Decree</v>
      </c>
      <c r="EU202" t="str">
        <f ca="1"/>
        <v>Nibelheim Aflame</v>
      </c>
      <c r="EV202" t="str">
        <f ca="1"/>
        <v>Zurgo, Thunder's Decree</v>
      </c>
      <c r="EX202" t="str">
        <f ca="1"/>
        <v>Heirloom Auntie</v>
      </c>
    </row>
    <row r="203" spans="1:154" x14ac:dyDescent="0.25">
      <c r="A203" s="2" t="str">
        <f t="shared" ca="1" si="12"/>
        <v>5</v>
      </c>
      <c r="B203" s="2">
        <f t="shared" ca="1" si="13"/>
        <v>1</v>
      </c>
      <c r="C203" s="2" t="str">
        <f ca="1">IFERROR(
 INDEX($V$1:$BL$1,
  MATCH(TRUE,
   CHOOSE({1;2;3;4;5;6;7;8;9;10;11;12;13;14;15;16;17;18;19;20;21;22;23;24;25;26;27;28;29;30;31;32;33;34;35;36;37;38;39;40;41;42;43},
    COUNTIFS($V$2:$V$200,$G203)&gt;0,
    COUNTIFS($W$2:$W$200,$G203)&gt;0,
    COUNTIFS($X$2:$X$200,$G203)&gt;0,
    COUNTIFS($Y$2:$Y$200,$G203)&gt;0,
    COUNTIFS($Z$2:$Z$200,$G203)&gt;0,
    COUNTIFS($AA$2:$AA$200,$G203)&gt;0,
    COUNTIFS($AB$2:$AB$200,$G203)&gt;0,
    COUNTIFS($AC$2:$AC$200,$G203)&gt;0,
    COUNTIFS($AD$2:$AD$200,$G203)&gt;0,
    COUNTIFS($AE$2:$AE$200,$G203)&gt;0,
    COUNTIFS($AF$2:$AF$200,$G203)&gt;0,
    COUNTIFS($AG$2:$AG$200,$G203)&gt;0,
    COUNTIFS($AH$2:$AH$200,$G203)&gt;0,
    COUNTIFS($AI$2:$AI$200,$G203)&gt;0,
    COUNTIFS($AJ$2:$AJ$200,$G203)&gt;0,
    COUNTIFS($AK$2:$AK$200,$G203)&gt;0,
    COUNTIFS($AL$2:$AL$200,$G203)&gt;0,
    COUNTIFS($AM$2:$AM$200,$G203)&gt;0,
    COUNTIFS($AN$2:$AN$200,$G203)&gt;0,
    COUNTIFS($AO$2:$AO$200,$G203)&gt;0,
    COUNTIFS($AP$2:$AP$200,$G203)&gt;0,
    COUNTIFS($AQ$2:$AQ$200,$G203)&gt;0,
    COUNTIFS($AR$2:$AR$200,$G203)&gt;0,
    COUNTIFS($AS$2:$AS$200,$G203)&gt;0,
    COUNTIFS($AT$2:$AT$200,$G203)&gt;0,
    COUNTIFS($AU$2:$AU$200,$G203)&gt;0,
    COUNTIFS($AV$2:$AV$200,$G203)&gt;0,
    COUNTIFS($AW$2:$AW$200,$G203)&gt;0,
    COUNTIFS($AX$2:$AX$200,$G203)&gt;0,
    COUNTIFS($AY$2:$AY$200,$G203)&gt;0,
    COUNTIFS($AZ$2:$AZ$200,$G203)&gt;0,
    COUNTIFS($BA$2:$BA$200,$G203)&gt;0,
    COUNTIFS($BB$2:$BB$200,$G203)&gt;0,
    COUNTIFS($BC$2:$BC$200,$G203)&gt;0,
    COUNTIFS($BD$2:$BD$200,$G203)&gt;0,
    COUNTIFS($BE$2:$BE$200,$G203)&gt;0,
    COUNTIFS($BF$2:$BF$200,$G203)&gt;0,
    COUNTIFS($BG$2:$BG$200,$G203)&gt;0,
    COUNTIFS($BH$2:$BH$200,$G203)&gt;0,
    COUNTIFS($BI$2:$BI$200,$G203)&gt;0,
    COUNTIFS($BJ$2:$BJ$200,$G203)&gt;0,
    COUNTIFS($BK$2:$BK$200,$G203)&gt;0,
    COUNTIFS($BL$2:$BL$200,$G203)&gt;0,
    COUNTIFS($BM$2:$BM$200,$G203)&gt;0,
   ),
  0)
 ),
"")</f>
        <v>Fractius</v>
      </c>
      <c r="D203" s="2" t="str" cm="1">
        <f t="array" aca="1" ref="D203" ca="1">IFERROR(
 INDEX(
  _xlfn._xlws.FILTER($V$1:$AY$1,
   TRANSPOSE(
    CHOOSE({1;2;3;4;5;6;7;8;9;10;11;12;13;14;15;16;17;18;19;20;21;22;23;24;25;26;27;28;29;30},
     COUNTIFS($V$2:$V$200,$G203)&gt;0,
     COUNTIFS($W$2:$W$200,$G203)&gt;0,
     COUNTIFS($X$2:$X$200,$G203)&gt;0,
     COUNTIFS($Y$2:$Y$200,$G203)&gt;0,
     COUNTIFS($Z$2:$Z$200,$G203)&gt;0,
     COUNTIFS($AA$2:$AA$200,$G203)&gt;0,
     COUNTIFS($AB$2:$AB$200,$G203)&gt;0,
     COUNTIFS($AC$2:$AC$200,$G203)&gt;0,
     COUNTIFS($AD$2:$AD$200,$G203)&gt;0,
     COUNTIFS($AE$2:$AE$200,$G203)&gt;0,
     COUNTIFS($AF$2:$AF$200,$G203)&gt;0,
     COUNTIFS($AG$2:$AG$200,$G203)&gt;0,
     COUNTIFS($AH$2:$AH$200,$G203)&gt;0,
     COUNTIFS($AI$2:$AI$200,$G203)&gt;0,
     COUNTIFS($AJ$2:$AJ$200,$G203)&gt;0,
     COUNTIFS($AK$2:$AK$200,$G203)&gt;0,
     COUNTIFS($AL$2:$AL$200,$G203)&gt;0,
     COUNTIFS($AM$2:$AM$200,$G203)&gt;0,
     COUNTIFS($AN$2:$AN$200,$G203)&gt;0,
     COUNTIFS($AO$2:$AO$200,$G203)&gt;0,
     COUNTIFS($AP$2:$AP$200,$G203)&gt;0,
     COUNTIFS($AQ$2:$AQ$200,$G203)&gt;0,
     COUNTIFS($AR$2:$AR$200,$G203)&gt;0,
     COUNTIFS($AS$2:$AS$200,$G203)&gt;0,
     COUNTIFS($AT$2:$AT$200,$G203)&gt;0,
     COUNTIFS($AU$2:$AU$200,$G203)&gt;0,
     COUNTIFS($AV$2:$AV$200,$G203)&gt;0,
     COUNTIFS($AW$2:$AW$200,$G203)&gt;0,
     COUNTIFS($AX$2:$AX$200,$G203)&gt;0,
     COUNTIFS($AY$2:$AY$200,$G203)&gt;0
   )),
  ),
  2
 ),
"")</f>
        <v/>
      </c>
      <c r="E203" s="2" t="str" cm="1">
        <f t="array" aca="1" ref="E203" ca="1">IFERROR(
 INDEX(
  _xlfn._xlws.FILTER($V$1:$AY$1,
   TRANSPOSE(
    CHOOSE({1;2;3;4;5;6;7;8;9;10;11;12;13;14;15;16;17;18;19;20;21;22;23;24;25;26;27;28;29;30},
     COUNTIFS($V$2:$V$200,$G203)&gt;0,
     COUNTIFS($W$2:$W$200,$G203)&gt;0,
     COUNTIFS($X$2:$X$200,$G203)&gt;0,
     COUNTIFS($Y$2:$Y$200,$G203)&gt;0,
     COUNTIFS($Z$2:$Z$200,$G203)&gt;0,
     COUNTIFS($AA$2:$AA$200,$G203)&gt;0,
     COUNTIFS($AB$2:$AB$200,$G203)&gt;0,
     COUNTIFS($AC$2:$AC$200,$G203)&gt;0,
     COUNTIFS($AD$2:$AD$200,$G203)&gt;0,
     COUNTIFS($AE$2:$AE$200,$G203)&gt;0,
     COUNTIFS($AF$2:$AF$200,$G203)&gt;0,
     COUNTIFS($AG$2:$AG$200,$G203)&gt;0,
     COUNTIFS($AH$2:$AH$200,$G203)&gt;0,
     COUNTIFS($AI$2:$AI$200,$G203)&gt;0,
     COUNTIFS($AJ$2:$AJ$200,$G203)&gt;0,
     COUNTIFS($AK$2:$AK$200,$G203)&gt;0,
     COUNTIFS($AL$2:$AL$200,$G203)&gt;0,
     COUNTIFS($AM$2:$AM$200,$G203)&gt;0,
     COUNTIFS($AN$2:$AN$200,$G203)&gt;0,
     COUNTIFS($AO$2:$AO$200,$G203)&gt;0,
     COUNTIFS($AP$2:$AP$200,$G203)&gt;0,
     COUNTIFS($AQ$2:$AQ$200,$G203)&gt;0,
     COUNTIFS($AR$2:$AR$200,$G203)&gt;0,
     COUNTIFS($AS$2:$AS$200,$G203)&gt;0,
     COUNTIFS($AT$2:$AT$200,$G203)&gt;0,
     COUNTIFS($AU$2:$AU$200,$G203)&gt;0,
     COUNTIFS($AV$2:$AV$200,$G203)&gt;0,
     COUNTIFS($AW$2:$AW$200,$G203)&gt;0,
     COUNTIFS($AX$2:$AX$200,$G203)&gt;0,
     COUNTIFS($AY$2:$AY$200,$G203)&gt;0
   )),
  ),
  3
 ),
"")</f>
        <v/>
      </c>
      <c r="F203" s="2" t="str" cm="1">
        <f t="array" aca="1" ref="F203" ca="1">IFERROR(
 INDEX(
  _xlfn._xlws.FILTER($V$1:$AY$1,
   TRANSPOSE(
    CHOOSE({1;2;3;4;5;6;7;8;9;10;11;12;13;14;15;16;17;18;19;20;21;22;23;24;25;26;27;28;29;30},
     COUNTIFS($V$2:$V$200,$G203)&gt;0,
     COUNTIFS($W$2:$W$200,$G203)&gt;0,
     COUNTIFS($X$2:$X$200,$G203)&gt;0,
     COUNTIFS($Y$2:$Y$200,$G203)&gt;0,
     COUNTIFS($Z$2:$Z$200,$G203)&gt;0,
     COUNTIFS($AA$2:$AA$200,$G203)&gt;0,
     COUNTIFS($AB$2:$AB$200,$G203)&gt;0,
     COUNTIFS($AC$2:$AC$200,$G203)&gt;0,
     COUNTIFS($AD$2:$AD$200,$G203)&gt;0,
     COUNTIFS($AE$2:$AE$200,$G203)&gt;0,
     COUNTIFS($AF$2:$AF$200,$G203)&gt;0,
     COUNTIFS($AG$2:$AG$200,$G203)&gt;0,
     COUNTIFS($AH$2:$AH$200,$G203)&gt;0,
     COUNTIFS($AI$2:$AI$200,$G203)&gt;0,
     COUNTIFS($AJ$2:$AJ$200,$G203)&gt;0,
     COUNTIFS($AK$2:$AK$200,$G203)&gt;0,
     COUNTIFS($AL$2:$AL$200,$G203)&gt;0,
     COUNTIFS($AM$2:$AM$200,$G203)&gt;0,
     COUNTIFS($AN$2:$AN$200,$G203)&gt;0,
     COUNTIFS($AO$2:$AO$200,$G203)&gt;0,
     COUNTIFS($AP$2:$AP$200,$G203)&gt;0,
     COUNTIFS($AQ$2:$AQ$200,$G203)&gt;0,
     COUNTIFS($AR$2:$AR$200,$G203)&gt;0,
     COUNTIFS($AS$2:$AS$200,$G203)&gt;0,
     COUNTIFS($AT$2:$AT$200,$G203)&gt;0,
     COUNTIFS($AU$2:$AU$200,$G203)&gt;0,
     COUNTIFS($AV$2:$AV$200,$G203)&gt;0,
     COUNTIFS($AW$2:$AW$200,$G203)&gt;0,
     COUNTIFS($AX$2:$AX$200,$G203)&gt;0,
     COUNTIFS($AY$2:$AY$200,$G203)&gt;0
   )),
  ),
  4
 ),
"")</f>
        <v/>
      </c>
      <c r="G203" t="str">
        <f ca="1"/>
        <v>Hibernation Sliver</v>
      </c>
      <c r="ER203" t="e">
        <f ca="1"/>
        <v>#REF!</v>
      </c>
      <c r="EU203" t="str">
        <f ca="1"/>
        <v>Nicol Bolas, God-Pharaoh</v>
      </c>
      <c r="EV203" t="e">
        <f ca="1"/>
        <v>#REF!</v>
      </c>
      <c r="EX203" t="str">
        <f ca="1"/>
        <v>Hibernation Sliver</v>
      </c>
    </row>
    <row r="204" spans="1:154" x14ac:dyDescent="0.25">
      <c r="A204" s="2" t="str">
        <f t="shared" ca="1" si="12"/>
        <v>5</v>
      </c>
      <c r="B204" s="2">
        <f t="shared" ca="1" si="13"/>
        <v>1</v>
      </c>
      <c r="C204" s="2" t="str">
        <f ca="1">IFERROR(
 INDEX($V$1:$BL$1,
  MATCH(TRUE,
   CHOOSE({1;2;3;4;5;6;7;8;9;10;11;12;13;14;15;16;17;18;19;20;21;22;23;24;25;26;27;28;29;30;31;32;33;34;35;36;37;38;39;40;41;42;43},
    COUNTIFS($V$2:$V$200,$G204)&gt;0,
    COUNTIFS($W$2:$W$200,$G204)&gt;0,
    COUNTIFS($X$2:$X$200,$G204)&gt;0,
    COUNTIFS($Y$2:$Y$200,$G204)&gt;0,
    COUNTIFS($Z$2:$Z$200,$G204)&gt;0,
    COUNTIFS($AA$2:$AA$200,$G204)&gt;0,
    COUNTIFS($AB$2:$AB$200,$G204)&gt;0,
    COUNTIFS($AC$2:$AC$200,$G204)&gt;0,
    COUNTIFS($AD$2:$AD$200,$G204)&gt;0,
    COUNTIFS($AE$2:$AE$200,$G204)&gt;0,
    COUNTIFS($AF$2:$AF$200,$G204)&gt;0,
    COUNTIFS($AG$2:$AG$200,$G204)&gt;0,
    COUNTIFS($AH$2:$AH$200,$G204)&gt;0,
    COUNTIFS($AI$2:$AI$200,$G204)&gt;0,
    COUNTIFS($AJ$2:$AJ$200,$G204)&gt;0,
    COUNTIFS($AK$2:$AK$200,$G204)&gt;0,
    COUNTIFS($AL$2:$AL$200,$G204)&gt;0,
    COUNTIFS($AM$2:$AM$200,$G204)&gt;0,
    COUNTIFS($AN$2:$AN$200,$G204)&gt;0,
    COUNTIFS($AO$2:$AO$200,$G204)&gt;0,
    COUNTIFS($AP$2:$AP$200,$G204)&gt;0,
    COUNTIFS($AQ$2:$AQ$200,$G204)&gt;0,
    COUNTIFS($AR$2:$AR$200,$G204)&gt;0,
    COUNTIFS($AS$2:$AS$200,$G204)&gt;0,
    COUNTIFS($AT$2:$AT$200,$G204)&gt;0,
    COUNTIFS($AU$2:$AU$200,$G204)&gt;0,
    COUNTIFS($AV$2:$AV$200,$G204)&gt;0,
    COUNTIFS($AW$2:$AW$200,$G204)&gt;0,
    COUNTIFS($AX$2:$AX$200,$G204)&gt;0,
    COUNTIFS($AY$2:$AY$200,$G204)&gt;0,
    COUNTIFS($AZ$2:$AZ$200,$G204)&gt;0,
    COUNTIFS($BA$2:$BA$200,$G204)&gt;0,
    COUNTIFS($BB$2:$BB$200,$G204)&gt;0,
    COUNTIFS($BC$2:$BC$200,$G204)&gt;0,
    COUNTIFS($BD$2:$BD$200,$G204)&gt;0,
    COUNTIFS($BE$2:$BE$200,$G204)&gt;0,
    COUNTIFS($BF$2:$BF$200,$G204)&gt;0,
    COUNTIFS($BG$2:$BG$200,$G204)&gt;0,
    COUNTIFS($BH$2:$BH$200,$G204)&gt;0,
    COUNTIFS($BI$2:$BI$200,$G204)&gt;0,
    COUNTIFS($BJ$2:$BJ$200,$G204)&gt;0,
    COUNTIFS($BK$2:$BK$200,$G204)&gt;0,
    COUNTIFS($BL$2:$BL$200,$G204)&gt;0,
    COUNTIFS($BM$2:$BM$200,$G204)&gt;0,
   ),
  0)
 ),
"")</f>
        <v>Fractius</v>
      </c>
      <c r="D204" s="2" t="str" cm="1">
        <f t="array" aca="1" ref="D204" ca="1">IFERROR(
 INDEX(
  _xlfn._xlws.FILTER($V$1:$AY$1,
   TRANSPOSE(
    CHOOSE({1;2;3;4;5;6;7;8;9;10;11;12;13;14;15;16;17;18;19;20;21;22;23;24;25;26;27;28;29;30},
     COUNTIFS($V$2:$V$200,$G204)&gt;0,
     COUNTIFS($W$2:$W$200,$G204)&gt;0,
     COUNTIFS($X$2:$X$200,$G204)&gt;0,
     COUNTIFS($Y$2:$Y$200,$G204)&gt;0,
     COUNTIFS($Z$2:$Z$200,$G204)&gt;0,
     COUNTIFS($AA$2:$AA$200,$G204)&gt;0,
     COUNTIFS($AB$2:$AB$200,$G204)&gt;0,
     COUNTIFS($AC$2:$AC$200,$G204)&gt;0,
     COUNTIFS($AD$2:$AD$200,$G204)&gt;0,
     COUNTIFS($AE$2:$AE$200,$G204)&gt;0,
     COUNTIFS($AF$2:$AF$200,$G204)&gt;0,
     COUNTIFS($AG$2:$AG$200,$G204)&gt;0,
     COUNTIFS($AH$2:$AH$200,$G204)&gt;0,
     COUNTIFS($AI$2:$AI$200,$G204)&gt;0,
     COUNTIFS($AJ$2:$AJ$200,$G204)&gt;0,
     COUNTIFS($AK$2:$AK$200,$G204)&gt;0,
     COUNTIFS($AL$2:$AL$200,$G204)&gt;0,
     COUNTIFS($AM$2:$AM$200,$G204)&gt;0,
     COUNTIFS($AN$2:$AN$200,$G204)&gt;0,
     COUNTIFS($AO$2:$AO$200,$G204)&gt;0,
     COUNTIFS($AP$2:$AP$200,$G204)&gt;0,
     COUNTIFS($AQ$2:$AQ$200,$G204)&gt;0,
     COUNTIFS($AR$2:$AR$200,$G204)&gt;0,
     COUNTIFS($AS$2:$AS$200,$G204)&gt;0,
     COUNTIFS($AT$2:$AT$200,$G204)&gt;0,
     COUNTIFS($AU$2:$AU$200,$G204)&gt;0,
     COUNTIFS($AV$2:$AV$200,$G204)&gt;0,
     COUNTIFS($AW$2:$AW$200,$G204)&gt;0,
     COUNTIFS($AX$2:$AX$200,$G204)&gt;0,
     COUNTIFS($AY$2:$AY$200,$G204)&gt;0
   )),
  ),
  2
 ),
"")</f>
        <v/>
      </c>
      <c r="E204" s="2" t="str" cm="1">
        <f t="array" aca="1" ref="E204" ca="1">IFERROR(
 INDEX(
  _xlfn._xlws.FILTER($V$1:$AY$1,
   TRANSPOSE(
    CHOOSE({1;2;3;4;5;6;7;8;9;10;11;12;13;14;15;16;17;18;19;20;21;22;23;24;25;26;27;28;29;30},
     COUNTIFS($V$2:$V$200,$G204)&gt;0,
     COUNTIFS($W$2:$W$200,$G204)&gt;0,
     COUNTIFS($X$2:$X$200,$G204)&gt;0,
     COUNTIFS($Y$2:$Y$200,$G204)&gt;0,
     COUNTIFS($Z$2:$Z$200,$G204)&gt;0,
     COUNTIFS($AA$2:$AA$200,$G204)&gt;0,
     COUNTIFS($AB$2:$AB$200,$G204)&gt;0,
     COUNTIFS($AC$2:$AC$200,$G204)&gt;0,
     COUNTIFS($AD$2:$AD$200,$G204)&gt;0,
     COUNTIFS($AE$2:$AE$200,$G204)&gt;0,
     COUNTIFS($AF$2:$AF$200,$G204)&gt;0,
     COUNTIFS($AG$2:$AG$200,$G204)&gt;0,
     COUNTIFS($AH$2:$AH$200,$G204)&gt;0,
     COUNTIFS($AI$2:$AI$200,$G204)&gt;0,
     COUNTIFS($AJ$2:$AJ$200,$G204)&gt;0,
     COUNTIFS($AK$2:$AK$200,$G204)&gt;0,
     COUNTIFS($AL$2:$AL$200,$G204)&gt;0,
     COUNTIFS($AM$2:$AM$200,$G204)&gt;0,
     COUNTIFS($AN$2:$AN$200,$G204)&gt;0,
     COUNTIFS($AO$2:$AO$200,$G204)&gt;0,
     COUNTIFS($AP$2:$AP$200,$G204)&gt;0,
     COUNTIFS($AQ$2:$AQ$200,$G204)&gt;0,
     COUNTIFS($AR$2:$AR$200,$G204)&gt;0,
     COUNTIFS($AS$2:$AS$200,$G204)&gt;0,
     COUNTIFS($AT$2:$AT$200,$G204)&gt;0,
     COUNTIFS($AU$2:$AU$200,$G204)&gt;0,
     COUNTIFS($AV$2:$AV$200,$G204)&gt;0,
     COUNTIFS($AW$2:$AW$200,$G204)&gt;0,
     COUNTIFS($AX$2:$AX$200,$G204)&gt;0,
     COUNTIFS($AY$2:$AY$200,$G204)&gt;0
   )),
  ),
  3
 ),
"")</f>
        <v/>
      </c>
      <c r="F204" s="2" t="str" cm="1">
        <f t="array" aca="1" ref="F204" ca="1">IFERROR(
 INDEX(
  _xlfn._xlws.FILTER($V$1:$AY$1,
   TRANSPOSE(
    CHOOSE({1;2;3;4;5;6;7;8;9;10;11;12;13;14;15;16;17;18;19;20;21;22;23;24;25;26;27;28;29;30},
     COUNTIFS($V$2:$V$200,$G204)&gt;0,
     COUNTIFS($W$2:$W$200,$G204)&gt;0,
     COUNTIFS($X$2:$X$200,$G204)&gt;0,
     COUNTIFS($Y$2:$Y$200,$G204)&gt;0,
     COUNTIFS($Z$2:$Z$200,$G204)&gt;0,
     COUNTIFS($AA$2:$AA$200,$G204)&gt;0,
     COUNTIFS($AB$2:$AB$200,$G204)&gt;0,
     COUNTIFS($AC$2:$AC$200,$G204)&gt;0,
     COUNTIFS($AD$2:$AD$200,$G204)&gt;0,
     COUNTIFS($AE$2:$AE$200,$G204)&gt;0,
     COUNTIFS($AF$2:$AF$200,$G204)&gt;0,
     COUNTIFS($AG$2:$AG$200,$G204)&gt;0,
     COUNTIFS($AH$2:$AH$200,$G204)&gt;0,
     COUNTIFS($AI$2:$AI$200,$G204)&gt;0,
     COUNTIFS($AJ$2:$AJ$200,$G204)&gt;0,
     COUNTIFS($AK$2:$AK$200,$G204)&gt;0,
     COUNTIFS($AL$2:$AL$200,$G204)&gt;0,
     COUNTIFS($AM$2:$AM$200,$G204)&gt;0,
     COUNTIFS($AN$2:$AN$200,$G204)&gt;0,
     COUNTIFS($AO$2:$AO$200,$G204)&gt;0,
     COUNTIFS($AP$2:$AP$200,$G204)&gt;0,
     COUNTIFS($AQ$2:$AQ$200,$G204)&gt;0,
     COUNTIFS($AR$2:$AR$200,$G204)&gt;0,
     COUNTIFS($AS$2:$AS$200,$G204)&gt;0,
     COUNTIFS($AT$2:$AT$200,$G204)&gt;0,
     COUNTIFS($AU$2:$AU$200,$G204)&gt;0,
     COUNTIFS($AV$2:$AV$200,$G204)&gt;0,
     COUNTIFS($AW$2:$AW$200,$G204)&gt;0,
     COUNTIFS($AX$2:$AX$200,$G204)&gt;0,
     COUNTIFS($AY$2:$AY$200,$G204)&gt;0
   )),
  ),
  4
 ),
"")</f>
        <v/>
      </c>
      <c r="G204" t="str">
        <f ca="1"/>
        <v>Hollowhead Sliver</v>
      </c>
      <c r="EU204" t="str">
        <f ca="1"/>
        <v>Nissa, Resurgent Animist</v>
      </c>
      <c r="EX204" t="str">
        <f ca="1"/>
        <v>Hollowhead Sliver</v>
      </c>
    </row>
    <row r="205" spans="1:154" x14ac:dyDescent="0.25">
      <c r="A205" s="2" t="str">
        <f t="shared" ca="1" si="12"/>
        <v>1</v>
      </c>
      <c r="B205" s="2">
        <f t="shared" ca="1" si="13"/>
        <v>1</v>
      </c>
      <c r="C205" s="2" t="str">
        <f ca="1">IFERROR(
 INDEX($V$1:$BL$1,
  MATCH(TRUE,
   CHOOSE({1;2;3;4;5;6;7;8;9;10;11;12;13;14;15;16;17;18;19;20;21;22;23;24;25;26;27;28;29;30;31;32;33;34;35;36;37;38;39;40;41;42;43},
    COUNTIFS($V$2:$V$200,$G205)&gt;0,
    COUNTIFS($W$2:$W$200,$G205)&gt;0,
    COUNTIFS($X$2:$X$200,$G205)&gt;0,
    COUNTIFS($Y$2:$Y$200,$G205)&gt;0,
    COUNTIFS($Z$2:$Z$200,$G205)&gt;0,
    COUNTIFS($AA$2:$AA$200,$G205)&gt;0,
    COUNTIFS($AB$2:$AB$200,$G205)&gt;0,
    COUNTIFS($AC$2:$AC$200,$G205)&gt;0,
    COUNTIFS($AD$2:$AD$200,$G205)&gt;0,
    COUNTIFS($AE$2:$AE$200,$G205)&gt;0,
    COUNTIFS($AF$2:$AF$200,$G205)&gt;0,
    COUNTIFS($AG$2:$AG$200,$G205)&gt;0,
    COUNTIFS($AH$2:$AH$200,$G205)&gt;0,
    COUNTIFS($AI$2:$AI$200,$G205)&gt;0,
    COUNTIFS($AJ$2:$AJ$200,$G205)&gt;0,
    COUNTIFS($AK$2:$AK$200,$G205)&gt;0,
    COUNTIFS($AL$2:$AL$200,$G205)&gt;0,
    COUNTIFS($AM$2:$AM$200,$G205)&gt;0,
    COUNTIFS($AN$2:$AN$200,$G205)&gt;0,
    COUNTIFS($AO$2:$AO$200,$G205)&gt;0,
    COUNTIFS($AP$2:$AP$200,$G205)&gt;0,
    COUNTIFS($AQ$2:$AQ$200,$G205)&gt;0,
    COUNTIFS($AR$2:$AR$200,$G205)&gt;0,
    COUNTIFS($AS$2:$AS$200,$G205)&gt;0,
    COUNTIFS($AT$2:$AT$200,$G205)&gt;0,
    COUNTIFS($AU$2:$AU$200,$G205)&gt;0,
    COUNTIFS($AV$2:$AV$200,$G205)&gt;0,
    COUNTIFS($AW$2:$AW$200,$G205)&gt;0,
    COUNTIFS($AX$2:$AX$200,$G205)&gt;0,
    COUNTIFS($AY$2:$AY$200,$G205)&gt;0,
    COUNTIFS($AZ$2:$AZ$200,$G205)&gt;0,
    COUNTIFS($BA$2:$BA$200,$G205)&gt;0,
    COUNTIFS($BB$2:$BB$200,$G205)&gt;0,
    COUNTIFS($BC$2:$BC$200,$G205)&gt;0,
    COUNTIFS($BD$2:$BD$200,$G205)&gt;0,
    COUNTIFS($BE$2:$BE$200,$G205)&gt;0,
    COUNTIFS($BF$2:$BF$200,$G205)&gt;0,
    COUNTIFS($BG$2:$BG$200,$G205)&gt;0,
    COUNTIFS($BH$2:$BH$200,$G205)&gt;0,
    COUNTIFS($BI$2:$BI$200,$G205)&gt;0,
    COUNTIFS($BJ$2:$BJ$200,$G205)&gt;0,
    COUNTIFS($BK$2:$BK$200,$G205)&gt;0,
    COUNTIFS($BL$2:$BL$200,$G205)&gt;0,
    COUNTIFS($BM$2:$BM$200,$G205)&gt;0,
   ),
  0)
 ),
"")</f>
        <v>Zedruu</v>
      </c>
      <c r="D205" s="2" t="str" cm="1">
        <f t="array" aca="1" ref="D205" ca="1">IFERROR(
 INDEX(
  _xlfn._xlws.FILTER($V$1:$AY$1,
   TRANSPOSE(
    CHOOSE({1;2;3;4;5;6;7;8;9;10;11;12;13;14;15;16;17;18;19;20;21;22;23;24;25;26;27;28;29;30},
     COUNTIFS($V$2:$V$200,$G205)&gt;0,
     COUNTIFS($W$2:$W$200,$G205)&gt;0,
     COUNTIFS($X$2:$X$200,$G205)&gt;0,
     COUNTIFS($Y$2:$Y$200,$G205)&gt;0,
     COUNTIFS($Z$2:$Z$200,$G205)&gt;0,
     COUNTIFS($AA$2:$AA$200,$G205)&gt;0,
     COUNTIFS($AB$2:$AB$200,$G205)&gt;0,
     COUNTIFS($AC$2:$AC$200,$G205)&gt;0,
     COUNTIFS($AD$2:$AD$200,$G205)&gt;0,
     COUNTIFS($AE$2:$AE$200,$G205)&gt;0,
     COUNTIFS($AF$2:$AF$200,$G205)&gt;0,
     COUNTIFS($AG$2:$AG$200,$G205)&gt;0,
     COUNTIFS($AH$2:$AH$200,$G205)&gt;0,
     COUNTIFS($AI$2:$AI$200,$G205)&gt;0,
     COUNTIFS($AJ$2:$AJ$200,$G205)&gt;0,
     COUNTIFS($AK$2:$AK$200,$G205)&gt;0,
     COUNTIFS($AL$2:$AL$200,$G205)&gt;0,
     COUNTIFS($AM$2:$AM$200,$G205)&gt;0,
     COUNTIFS($AN$2:$AN$200,$G205)&gt;0,
     COUNTIFS($AO$2:$AO$200,$G205)&gt;0,
     COUNTIFS($AP$2:$AP$200,$G205)&gt;0,
     COUNTIFS($AQ$2:$AQ$200,$G205)&gt;0,
     COUNTIFS($AR$2:$AR$200,$G205)&gt;0,
     COUNTIFS($AS$2:$AS$200,$G205)&gt;0,
     COUNTIFS($AT$2:$AT$200,$G205)&gt;0,
     COUNTIFS($AU$2:$AU$200,$G205)&gt;0,
     COUNTIFS($AV$2:$AV$200,$G205)&gt;0,
     COUNTIFS($AW$2:$AW$200,$G205)&gt;0,
     COUNTIFS($AX$2:$AX$200,$G205)&gt;0,
     COUNTIFS($AY$2:$AY$200,$G205)&gt;0
   )),
  ),
  2
 ),
"")</f>
        <v/>
      </c>
      <c r="E205" s="2" t="str" cm="1">
        <f t="array" aca="1" ref="E205" ca="1">IFERROR(
 INDEX(
  _xlfn._xlws.FILTER($V$1:$AY$1,
   TRANSPOSE(
    CHOOSE({1;2;3;4;5;6;7;8;9;10;11;12;13;14;15;16;17;18;19;20;21;22;23;24;25;26;27;28;29;30},
     COUNTIFS($V$2:$V$200,$G205)&gt;0,
     COUNTIFS($W$2:$W$200,$G205)&gt;0,
     COUNTIFS($X$2:$X$200,$G205)&gt;0,
     COUNTIFS($Y$2:$Y$200,$G205)&gt;0,
     COUNTIFS($Z$2:$Z$200,$G205)&gt;0,
     COUNTIFS($AA$2:$AA$200,$G205)&gt;0,
     COUNTIFS($AB$2:$AB$200,$G205)&gt;0,
     COUNTIFS($AC$2:$AC$200,$G205)&gt;0,
     COUNTIFS($AD$2:$AD$200,$G205)&gt;0,
     COUNTIFS($AE$2:$AE$200,$G205)&gt;0,
     COUNTIFS($AF$2:$AF$200,$G205)&gt;0,
     COUNTIFS($AG$2:$AG$200,$G205)&gt;0,
     COUNTIFS($AH$2:$AH$200,$G205)&gt;0,
     COUNTIFS($AI$2:$AI$200,$G205)&gt;0,
     COUNTIFS($AJ$2:$AJ$200,$G205)&gt;0,
     COUNTIFS($AK$2:$AK$200,$G205)&gt;0,
     COUNTIFS($AL$2:$AL$200,$G205)&gt;0,
     COUNTIFS($AM$2:$AM$200,$G205)&gt;0,
     COUNTIFS($AN$2:$AN$200,$G205)&gt;0,
     COUNTIFS($AO$2:$AO$200,$G205)&gt;0,
     COUNTIFS($AP$2:$AP$200,$G205)&gt;0,
     COUNTIFS($AQ$2:$AQ$200,$G205)&gt;0,
     COUNTIFS($AR$2:$AR$200,$G205)&gt;0,
     COUNTIFS($AS$2:$AS$200,$G205)&gt;0,
     COUNTIFS($AT$2:$AT$200,$G205)&gt;0,
     COUNTIFS($AU$2:$AU$200,$G205)&gt;0,
     COUNTIFS($AV$2:$AV$200,$G205)&gt;0,
     COUNTIFS($AW$2:$AW$200,$G205)&gt;0,
     COUNTIFS($AX$2:$AX$200,$G205)&gt;0,
     COUNTIFS($AY$2:$AY$200,$G205)&gt;0
   )),
  ),
  3
 ),
"")</f>
        <v/>
      </c>
      <c r="F205" s="2" t="str" cm="1">
        <f t="array" aca="1" ref="F205" ca="1">IFERROR(
 INDEX(
  _xlfn._xlws.FILTER($V$1:$AY$1,
   TRANSPOSE(
    CHOOSE({1;2;3;4;5;6;7;8;9;10;11;12;13;14;15;16;17;18;19;20;21;22;23;24;25;26;27;28;29;30},
     COUNTIFS($V$2:$V$200,$G205)&gt;0,
     COUNTIFS($W$2:$W$200,$G205)&gt;0,
     COUNTIFS($X$2:$X$200,$G205)&gt;0,
     COUNTIFS($Y$2:$Y$200,$G205)&gt;0,
     COUNTIFS($Z$2:$Z$200,$G205)&gt;0,
     COUNTIFS($AA$2:$AA$200,$G205)&gt;0,
     COUNTIFS($AB$2:$AB$200,$G205)&gt;0,
     COUNTIFS($AC$2:$AC$200,$G205)&gt;0,
     COUNTIFS($AD$2:$AD$200,$G205)&gt;0,
     COUNTIFS($AE$2:$AE$200,$G205)&gt;0,
     COUNTIFS($AF$2:$AF$200,$G205)&gt;0,
     COUNTIFS($AG$2:$AG$200,$G205)&gt;0,
     COUNTIFS($AH$2:$AH$200,$G205)&gt;0,
     COUNTIFS($AI$2:$AI$200,$G205)&gt;0,
     COUNTIFS($AJ$2:$AJ$200,$G205)&gt;0,
     COUNTIFS($AK$2:$AK$200,$G205)&gt;0,
     COUNTIFS($AL$2:$AL$200,$G205)&gt;0,
     COUNTIFS($AM$2:$AM$200,$G205)&gt;0,
     COUNTIFS($AN$2:$AN$200,$G205)&gt;0,
     COUNTIFS($AO$2:$AO$200,$G205)&gt;0,
     COUNTIFS($AP$2:$AP$200,$G205)&gt;0,
     COUNTIFS($AQ$2:$AQ$200,$G205)&gt;0,
     COUNTIFS($AR$2:$AR$200,$G205)&gt;0,
     COUNTIFS($AS$2:$AS$200,$G205)&gt;0,
     COUNTIFS($AT$2:$AT$200,$G205)&gt;0,
     COUNTIFS($AU$2:$AU$200,$G205)&gt;0,
     COUNTIFS($AV$2:$AV$200,$G205)&gt;0,
     COUNTIFS($AW$2:$AW$200,$G205)&gt;0,
     COUNTIFS($AX$2:$AX$200,$G205)&gt;0,
     COUNTIFS($AY$2:$AY$200,$G205)&gt;0
   )),
  ),
  4
 ),
"")</f>
        <v/>
      </c>
      <c r="G205" t="str">
        <f ca="1"/>
        <v>Homeward Path</v>
      </c>
      <c r="EU205" t="str">
        <f ca="1"/>
        <v>Obelisk Spider</v>
      </c>
      <c r="EX205" t="str">
        <f ca="1"/>
        <v>Homeward Path</v>
      </c>
    </row>
    <row r="206" spans="1:154" x14ac:dyDescent="0.25">
      <c r="A206" s="2" t="str">
        <f t="shared" ca="1" si="12"/>
        <v>5</v>
      </c>
      <c r="B206" s="2">
        <f t="shared" ca="1" si="13"/>
        <v>1</v>
      </c>
      <c r="C206" s="2" t="str">
        <f ca="1">IFERROR(
 INDEX($V$1:$BL$1,
  MATCH(TRUE,
   CHOOSE({1;2;3;4;5;6;7;8;9;10;11;12;13;14;15;16;17;18;19;20;21;22;23;24;25;26;27;28;29;30;31;32;33;34;35;36;37;38;39;40;41;42;43},
    COUNTIFS($V$2:$V$200,$G206)&gt;0,
    COUNTIFS($W$2:$W$200,$G206)&gt;0,
    COUNTIFS($X$2:$X$200,$G206)&gt;0,
    COUNTIFS($Y$2:$Y$200,$G206)&gt;0,
    COUNTIFS($Z$2:$Z$200,$G206)&gt;0,
    COUNTIFS($AA$2:$AA$200,$G206)&gt;0,
    COUNTIFS($AB$2:$AB$200,$G206)&gt;0,
    COUNTIFS($AC$2:$AC$200,$G206)&gt;0,
    COUNTIFS($AD$2:$AD$200,$G206)&gt;0,
    COUNTIFS($AE$2:$AE$200,$G206)&gt;0,
    COUNTIFS($AF$2:$AF$200,$G206)&gt;0,
    COUNTIFS($AG$2:$AG$200,$G206)&gt;0,
    COUNTIFS($AH$2:$AH$200,$G206)&gt;0,
    COUNTIFS($AI$2:$AI$200,$G206)&gt;0,
    COUNTIFS($AJ$2:$AJ$200,$G206)&gt;0,
    COUNTIFS($AK$2:$AK$200,$G206)&gt;0,
    COUNTIFS($AL$2:$AL$200,$G206)&gt;0,
    COUNTIFS($AM$2:$AM$200,$G206)&gt;0,
    COUNTIFS($AN$2:$AN$200,$G206)&gt;0,
    COUNTIFS($AO$2:$AO$200,$G206)&gt;0,
    COUNTIFS($AP$2:$AP$200,$G206)&gt;0,
    COUNTIFS($AQ$2:$AQ$200,$G206)&gt;0,
    COUNTIFS($AR$2:$AR$200,$G206)&gt;0,
    COUNTIFS($AS$2:$AS$200,$G206)&gt;0,
    COUNTIFS($AT$2:$AT$200,$G206)&gt;0,
    COUNTIFS($AU$2:$AU$200,$G206)&gt;0,
    COUNTIFS($AV$2:$AV$200,$G206)&gt;0,
    COUNTIFS($AW$2:$AW$200,$G206)&gt;0,
    COUNTIFS($AX$2:$AX$200,$G206)&gt;0,
    COUNTIFS($AY$2:$AY$200,$G206)&gt;0,
    COUNTIFS($AZ$2:$AZ$200,$G206)&gt;0,
    COUNTIFS($BA$2:$BA$200,$G206)&gt;0,
    COUNTIFS($BB$2:$BB$200,$G206)&gt;0,
    COUNTIFS($BC$2:$BC$200,$G206)&gt;0,
    COUNTIFS($BD$2:$BD$200,$G206)&gt;0,
    COUNTIFS($BE$2:$BE$200,$G206)&gt;0,
    COUNTIFS($BF$2:$BF$200,$G206)&gt;0,
    COUNTIFS($BG$2:$BG$200,$G206)&gt;0,
    COUNTIFS($BH$2:$BH$200,$G206)&gt;0,
    COUNTIFS($BI$2:$BI$200,$G206)&gt;0,
    COUNTIFS($BJ$2:$BJ$200,$G206)&gt;0,
    COUNTIFS($BK$2:$BK$200,$G206)&gt;0,
    COUNTIFS($BL$2:$BL$200,$G206)&gt;0,
    COUNTIFS($BM$2:$BM$200,$G206)&gt;0,
   ),
  0)
 ),
"")</f>
        <v>Fractius</v>
      </c>
      <c r="D206" s="2" t="str" cm="1">
        <f t="array" aca="1" ref="D206" ca="1">IFERROR(
 INDEX(
  _xlfn._xlws.FILTER($V$1:$AY$1,
   TRANSPOSE(
    CHOOSE({1;2;3;4;5;6;7;8;9;10;11;12;13;14;15;16;17;18;19;20;21;22;23;24;25;26;27;28;29;30},
     COUNTIFS($V$2:$V$200,$G206)&gt;0,
     COUNTIFS($W$2:$W$200,$G206)&gt;0,
     COUNTIFS($X$2:$X$200,$G206)&gt;0,
     COUNTIFS($Y$2:$Y$200,$G206)&gt;0,
     COUNTIFS($Z$2:$Z$200,$G206)&gt;0,
     COUNTIFS($AA$2:$AA$200,$G206)&gt;0,
     COUNTIFS($AB$2:$AB$200,$G206)&gt;0,
     COUNTIFS($AC$2:$AC$200,$G206)&gt;0,
     COUNTIFS($AD$2:$AD$200,$G206)&gt;0,
     COUNTIFS($AE$2:$AE$200,$G206)&gt;0,
     COUNTIFS($AF$2:$AF$200,$G206)&gt;0,
     COUNTIFS($AG$2:$AG$200,$G206)&gt;0,
     COUNTIFS($AH$2:$AH$200,$G206)&gt;0,
     COUNTIFS($AI$2:$AI$200,$G206)&gt;0,
     COUNTIFS($AJ$2:$AJ$200,$G206)&gt;0,
     COUNTIFS($AK$2:$AK$200,$G206)&gt;0,
     COUNTIFS($AL$2:$AL$200,$G206)&gt;0,
     COUNTIFS($AM$2:$AM$200,$G206)&gt;0,
     COUNTIFS($AN$2:$AN$200,$G206)&gt;0,
     COUNTIFS($AO$2:$AO$200,$G206)&gt;0,
     COUNTIFS($AP$2:$AP$200,$G206)&gt;0,
     COUNTIFS($AQ$2:$AQ$200,$G206)&gt;0,
     COUNTIFS($AR$2:$AR$200,$G206)&gt;0,
     COUNTIFS($AS$2:$AS$200,$G206)&gt;0,
     COUNTIFS($AT$2:$AT$200,$G206)&gt;0,
     COUNTIFS($AU$2:$AU$200,$G206)&gt;0,
     COUNTIFS($AV$2:$AV$200,$G206)&gt;0,
     COUNTIFS($AW$2:$AW$200,$G206)&gt;0,
     COUNTIFS($AX$2:$AX$200,$G206)&gt;0,
     COUNTIFS($AY$2:$AY$200,$G206)&gt;0
   )),
  ),
  2
 ),
"")</f>
        <v/>
      </c>
      <c r="E206" s="2" t="str" cm="1">
        <f t="array" aca="1" ref="E206" ca="1">IFERROR(
 INDEX(
  _xlfn._xlws.FILTER($V$1:$AY$1,
   TRANSPOSE(
    CHOOSE({1;2;3;4;5;6;7;8;9;10;11;12;13;14;15;16;17;18;19;20;21;22;23;24;25;26;27;28;29;30},
     COUNTIFS($V$2:$V$200,$G206)&gt;0,
     COUNTIFS($W$2:$W$200,$G206)&gt;0,
     COUNTIFS($X$2:$X$200,$G206)&gt;0,
     COUNTIFS($Y$2:$Y$200,$G206)&gt;0,
     COUNTIFS($Z$2:$Z$200,$G206)&gt;0,
     COUNTIFS($AA$2:$AA$200,$G206)&gt;0,
     COUNTIFS($AB$2:$AB$200,$G206)&gt;0,
     COUNTIFS($AC$2:$AC$200,$G206)&gt;0,
     COUNTIFS($AD$2:$AD$200,$G206)&gt;0,
     COUNTIFS($AE$2:$AE$200,$G206)&gt;0,
     COUNTIFS($AF$2:$AF$200,$G206)&gt;0,
     COUNTIFS($AG$2:$AG$200,$G206)&gt;0,
     COUNTIFS($AH$2:$AH$200,$G206)&gt;0,
     COUNTIFS($AI$2:$AI$200,$G206)&gt;0,
     COUNTIFS($AJ$2:$AJ$200,$G206)&gt;0,
     COUNTIFS($AK$2:$AK$200,$G206)&gt;0,
     COUNTIFS($AL$2:$AL$200,$G206)&gt;0,
     COUNTIFS($AM$2:$AM$200,$G206)&gt;0,
     COUNTIFS($AN$2:$AN$200,$G206)&gt;0,
     COUNTIFS($AO$2:$AO$200,$G206)&gt;0,
     COUNTIFS($AP$2:$AP$200,$G206)&gt;0,
     COUNTIFS($AQ$2:$AQ$200,$G206)&gt;0,
     COUNTIFS($AR$2:$AR$200,$G206)&gt;0,
     COUNTIFS($AS$2:$AS$200,$G206)&gt;0,
     COUNTIFS($AT$2:$AT$200,$G206)&gt;0,
     COUNTIFS($AU$2:$AU$200,$G206)&gt;0,
     COUNTIFS($AV$2:$AV$200,$G206)&gt;0,
     COUNTIFS($AW$2:$AW$200,$G206)&gt;0,
     COUNTIFS($AX$2:$AX$200,$G206)&gt;0,
     COUNTIFS($AY$2:$AY$200,$G206)&gt;0
   )),
  ),
  3
 ),
"")</f>
        <v/>
      </c>
      <c r="F206" s="2" t="str" cm="1">
        <f t="array" aca="1" ref="F206" ca="1">IFERROR(
 INDEX(
  _xlfn._xlws.FILTER($V$1:$AY$1,
   TRANSPOSE(
    CHOOSE({1;2;3;4;5;6;7;8;9;10;11;12;13;14;15;16;17;18;19;20;21;22;23;24;25;26;27;28;29;30},
     COUNTIFS($V$2:$V$200,$G206)&gt;0,
     COUNTIFS($W$2:$W$200,$G206)&gt;0,
     COUNTIFS($X$2:$X$200,$G206)&gt;0,
     COUNTIFS($Y$2:$Y$200,$G206)&gt;0,
     COUNTIFS($Z$2:$Z$200,$G206)&gt;0,
     COUNTIFS($AA$2:$AA$200,$G206)&gt;0,
     COUNTIFS($AB$2:$AB$200,$G206)&gt;0,
     COUNTIFS($AC$2:$AC$200,$G206)&gt;0,
     COUNTIFS($AD$2:$AD$200,$G206)&gt;0,
     COUNTIFS($AE$2:$AE$200,$G206)&gt;0,
     COUNTIFS($AF$2:$AF$200,$G206)&gt;0,
     COUNTIFS($AG$2:$AG$200,$G206)&gt;0,
     COUNTIFS($AH$2:$AH$200,$G206)&gt;0,
     COUNTIFS($AI$2:$AI$200,$G206)&gt;0,
     COUNTIFS($AJ$2:$AJ$200,$G206)&gt;0,
     COUNTIFS($AK$2:$AK$200,$G206)&gt;0,
     COUNTIFS($AL$2:$AL$200,$G206)&gt;0,
     COUNTIFS($AM$2:$AM$200,$G206)&gt;0,
     COUNTIFS($AN$2:$AN$200,$G206)&gt;0,
     COUNTIFS($AO$2:$AO$200,$G206)&gt;0,
     COUNTIFS($AP$2:$AP$200,$G206)&gt;0,
     COUNTIFS($AQ$2:$AQ$200,$G206)&gt;0,
     COUNTIFS($AR$2:$AR$200,$G206)&gt;0,
     COUNTIFS($AS$2:$AS$200,$G206)&gt;0,
     COUNTIFS($AT$2:$AT$200,$G206)&gt;0,
     COUNTIFS($AU$2:$AU$200,$G206)&gt;0,
     COUNTIFS($AV$2:$AV$200,$G206)&gt;0,
     COUNTIFS($AW$2:$AW$200,$G206)&gt;0,
     COUNTIFS($AX$2:$AX$200,$G206)&gt;0,
     COUNTIFS($AY$2:$AY$200,$G206)&gt;0
   )),
  ),
  4
 ),
"")</f>
        <v/>
      </c>
      <c r="G206" t="str">
        <f ca="1"/>
        <v>Homing Sliver</v>
      </c>
      <c r="EU206" t="str">
        <f ca="1"/>
        <v>Obsessive Pursuit</v>
      </c>
      <c r="EX206" t="str">
        <f ca="1"/>
        <v>Homing Sliver</v>
      </c>
    </row>
    <row r="207" spans="1:154" x14ac:dyDescent="0.25">
      <c r="A207" s="2" t="str">
        <f t="shared" ca="1" si="12"/>
        <v>5</v>
      </c>
      <c r="B207" s="2">
        <f t="shared" ca="1" si="13"/>
        <v>1</v>
      </c>
      <c r="C207" s="2" t="str">
        <f ca="1">IFERROR(
 INDEX($V$1:$BL$1,
  MATCH(TRUE,
   CHOOSE({1;2;3;4;5;6;7;8;9;10;11;12;13;14;15;16;17;18;19;20;21;22;23;24;25;26;27;28;29;30;31;32;33;34;35;36;37;38;39;40;41;42;43},
    COUNTIFS($V$2:$V$200,$G207)&gt;0,
    COUNTIFS($W$2:$W$200,$G207)&gt;0,
    COUNTIFS($X$2:$X$200,$G207)&gt;0,
    COUNTIFS($Y$2:$Y$200,$G207)&gt;0,
    COUNTIFS($Z$2:$Z$200,$G207)&gt;0,
    COUNTIFS($AA$2:$AA$200,$G207)&gt;0,
    COUNTIFS($AB$2:$AB$200,$G207)&gt;0,
    COUNTIFS($AC$2:$AC$200,$G207)&gt;0,
    COUNTIFS($AD$2:$AD$200,$G207)&gt;0,
    COUNTIFS($AE$2:$AE$200,$G207)&gt;0,
    COUNTIFS($AF$2:$AF$200,$G207)&gt;0,
    COUNTIFS($AG$2:$AG$200,$G207)&gt;0,
    COUNTIFS($AH$2:$AH$200,$G207)&gt;0,
    COUNTIFS($AI$2:$AI$200,$G207)&gt;0,
    COUNTIFS($AJ$2:$AJ$200,$G207)&gt;0,
    COUNTIFS($AK$2:$AK$200,$G207)&gt;0,
    COUNTIFS($AL$2:$AL$200,$G207)&gt;0,
    COUNTIFS($AM$2:$AM$200,$G207)&gt;0,
    COUNTIFS($AN$2:$AN$200,$G207)&gt;0,
    COUNTIFS($AO$2:$AO$200,$G207)&gt;0,
    COUNTIFS($AP$2:$AP$200,$G207)&gt;0,
    COUNTIFS($AQ$2:$AQ$200,$G207)&gt;0,
    COUNTIFS($AR$2:$AR$200,$G207)&gt;0,
    COUNTIFS($AS$2:$AS$200,$G207)&gt;0,
    COUNTIFS($AT$2:$AT$200,$G207)&gt;0,
    COUNTIFS($AU$2:$AU$200,$G207)&gt;0,
    COUNTIFS($AV$2:$AV$200,$G207)&gt;0,
    COUNTIFS($AW$2:$AW$200,$G207)&gt;0,
    COUNTIFS($AX$2:$AX$200,$G207)&gt;0,
    COUNTIFS($AY$2:$AY$200,$G207)&gt;0,
    COUNTIFS($AZ$2:$AZ$200,$G207)&gt;0,
    COUNTIFS($BA$2:$BA$200,$G207)&gt;0,
    COUNTIFS($BB$2:$BB$200,$G207)&gt;0,
    COUNTIFS($BC$2:$BC$200,$G207)&gt;0,
    COUNTIFS($BD$2:$BD$200,$G207)&gt;0,
    COUNTIFS($BE$2:$BE$200,$G207)&gt;0,
    COUNTIFS($BF$2:$BF$200,$G207)&gt;0,
    COUNTIFS($BG$2:$BG$200,$G207)&gt;0,
    COUNTIFS($BH$2:$BH$200,$G207)&gt;0,
    COUNTIFS($BI$2:$BI$200,$G207)&gt;0,
    COUNTIFS($BJ$2:$BJ$200,$G207)&gt;0,
    COUNTIFS($BK$2:$BK$200,$G207)&gt;0,
    COUNTIFS($BL$2:$BL$200,$G207)&gt;0,
    COUNTIFS($BM$2:$BM$200,$G207)&gt;0,
   ),
  0)
 ),
"")</f>
        <v>Fractius</v>
      </c>
      <c r="D207" s="2" t="str" cm="1">
        <f t="array" aca="1" ref="D207" ca="1">IFERROR(
 INDEX(
  _xlfn._xlws.FILTER($V$1:$AY$1,
   TRANSPOSE(
    CHOOSE({1;2;3;4;5;6;7;8;9;10;11;12;13;14;15;16;17;18;19;20;21;22;23;24;25;26;27;28;29;30},
     COUNTIFS($V$2:$V$200,$G207)&gt;0,
     COUNTIFS($W$2:$W$200,$G207)&gt;0,
     COUNTIFS($X$2:$X$200,$G207)&gt;0,
     COUNTIFS($Y$2:$Y$200,$G207)&gt;0,
     COUNTIFS($Z$2:$Z$200,$G207)&gt;0,
     COUNTIFS($AA$2:$AA$200,$G207)&gt;0,
     COUNTIFS($AB$2:$AB$200,$G207)&gt;0,
     COUNTIFS($AC$2:$AC$200,$G207)&gt;0,
     COUNTIFS($AD$2:$AD$200,$G207)&gt;0,
     COUNTIFS($AE$2:$AE$200,$G207)&gt;0,
     COUNTIFS($AF$2:$AF$200,$G207)&gt;0,
     COUNTIFS($AG$2:$AG$200,$G207)&gt;0,
     COUNTIFS($AH$2:$AH$200,$G207)&gt;0,
     COUNTIFS($AI$2:$AI$200,$G207)&gt;0,
     COUNTIFS($AJ$2:$AJ$200,$G207)&gt;0,
     COUNTIFS($AK$2:$AK$200,$G207)&gt;0,
     COUNTIFS($AL$2:$AL$200,$G207)&gt;0,
     COUNTIFS($AM$2:$AM$200,$G207)&gt;0,
     COUNTIFS($AN$2:$AN$200,$G207)&gt;0,
     COUNTIFS($AO$2:$AO$200,$G207)&gt;0,
     COUNTIFS($AP$2:$AP$200,$G207)&gt;0,
     COUNTIFS($AQ$2:$AQ$200,$G207)&gt;0,
     COUNTIFS($AR$2:$AR$200,$G207)&gt;0,
     COUNTIFS($AS$2:$AS$200,$G207)&gt;0,
     COUNTIFS($AT$2:$AT$200,$G207)&gt;0,
     COUNTIFS($AU$2:$AU$200,$G207)&gt;0,
     COUNTIFS($AV$2:$AV$200,$G207)&gt;0,
     COUNTIFS($AW$2:$AW$200,$G207)&gt;0,
     COUNTIFS($AX$2:$AX$200,$G207)&gt;0,
     COUNTIFS($AY$2:$AY$200,$G207)&gt;0
   )),
  ),
  2
 ),
"")</f>
        <v/>
      </c>
      <c r="E207" s="2" t="str" cm="1">
        <f t="array" aca="1" ref="E207" ca="1">IFERROR(
 INDEX(
  _xlfn._xlws.FILTER($V$1:$AY$1,
   TRANSPOSE(
    CHOOSE({1;2;3;4;5;6;7;8;9;10;11;12;13;14;15;16;17;18;19;20;21;22;23;24;25;26;27;28;29;30},
     COUNTIFS($V$2:$V$200,$G207)&gt;0,
     COUNTIFS($W$2:$W$200,$G207)&gt;0,
     COUNTIFS($X$2:$X$200,$G207)&gt;0,
     COUNTIFS($Y$2:$Y$200,$G207)&gt;0,
     COUNTIFS($Z$2:$Z$200,$G207)&gt;0,
     COUNTIFS($AA$2:$AA$200,$G207)&gt;0,
     COUNTIFS($AB$2:$AB$200,$G207)&gt;0,
     COUNTIFS($AC$2:$AC$200,$G207)&gt;0,
     COUNTIFS($AD$2:$AD$200,$G207)&gt;0,
     COUNTIFS($AE$2:$AE$200,$G207)&gt;0,
     COUNTIFS($AF$2:$AF$200,$G207)&gt;0,
     COUNTIFS($AG$2:$AG$200,$G207)&gt;0,
     COUNTIFS($AH$2:$AH$200,$G207)&gt;0,
     COUNTIFS($AI$2:$AI$200,$G207)&gt;0,
     COUNTIFS($AJ$2:$AJ$200,$G207)&gt;0,
     COUNTIFS($AK$2:$AK$200,$G207)&gt;0,
     COUNTIFS($AL$2:$AL$200,$G207)&gt;0,
     COUNTIFS($AM$2:$AM$200,$G207)&gt;0,
     COUNTIFS($AN$2:$AN$200,$G207)&gt;0,
     COUNTIFS($AO$2:$AO$200,$G207)&gt;0,
     COUNTIFS($AP$2:$AP$200,$G207)&gt;0,
     COUNTIFS($AQ$2:$AQ$200,$G207)&gt;0,
     COUNTIFS($AR$2:$AR$200,$G207)&gt;0,
     COUNTIFS($AS$2:$AS$200,$G207)&gt;0,
     COUNTIFS($AT$2:$AT$200,$G207)&gt;0,
     COUNTIFS($AU$2:$AU$200,$G207)&gt;0,
     COUNTIFS($AV$2:$AV$200,$G207)&gt;0,
     COUNTIFS($AW$2:$AW$200,$G207)&gt;0,
     COUNTIFS($AX$2:$AX$200,$G207)&gt;0,
     COUNTIFS($AY$2:$AY$200,$G207)&gt;0
   )),
  ),
  3
 ),
"")</f>
        <v/>
      </c>
      <c r="F207" s="2" t="str" cm="1">
        <f t="array" aca="1" ref="F207" ca="1">IFERROR(
 INDEX(
  _xlfn._xlws.FILTER($V$1:$AY$1,
   TRANSPOSE(
    CHOOSE({1;2;3;4;5;6;7;8;9;10;11;12;13;14;15;16;17;18;19;20;21;22;23;24;25;26;27;28;29;30},
     COUNTIFS($V$2:$V$200,$G207)&gt;0,
     COUNTIFS($W$2:$W$200,$G207)&gt;0,
     COUNTIFS($X$2:$X$200,$G207)&gt;0,
     COUNTIFS($Y$2:$Y$200,$G207)&gt;0,
     COUNTIFS($Z$2:$Z$200,$G207)&gt;0,
     COUNTIFS($AA$2:$AA$200,$G207)&gt;0,
     COUNTIFS($AB$2:$AB$200,$G207)&gt;0,
     COUNTIFS($AC$2:$AC$200,$G207)&gt;0,
     COUNTIFS($AD$2:$AD$200,$G207)&gt;0,
     COUNTIFS($AE$2:$AE$200,$G207)&gt;0,
     COUNTIFS($AF$2:$AF$200,$G207)&gt;0,
     COUNTIFS($AG$2:$AG$200,$G207)&gt;0,
     COUNTIFS($AH$2:$AH$200,$G207)&gt;0,
     COUNTIFS($AI$2:$AI$200,$G207)&gt;0,
     COUNTIFS($AJ$2:$AJ$200,$G207)&gt;0,
     COUNTIFS($AK$2:$AK$200,$G207)&gt;0,
     COUNTIFS($AL$2:$AL$200,$G207)&gt;0,
     COUNTIFS($AM$2:$AM$200,$G207)&gt;0,
     COUNTIFS($AN$2:$AN$200,$G207)&gt;0,
     COUNTIFS($AO$2:$AO$200,$G207)&gt;0,
     COUNTIFS($AP$2:$AP$200,$G207)&gt;0,
     COUNTIFS($AQ$2:$AQ$200,$G207)&gt;0,
     COUNTIFS($AR$2:$AR$200,$G207)&gt;0,
     COUNTIFS($AS$2:$AS$200,$G207)&gt;0,
     COUNTIFS($AT$2:$AT$200,$G207)&gt;0,
     COUNTIFS($AU$2:$AU$200,$G207)&gt;0,
     COUNTIFS($AV$2:$AV$200,$G207)&gt;0,
     COUNTIFS($AW$2:$AW$200,$G207)&gt;0,
     COUNTIFS($AX$2:$AX$200,$G207)&gt;0,
     COUNTIFS($AY$2:$AY$200,$G207)&gt;0
   )),
  ),
  4
 ),
"")</f>
        <v/>
      </c>
      <c r="G207" t="str">
        <f ca="1"/>
        <v>Hunter Sliver</v>
      </c>
      <c r="EU207" t="str">
        <f ca="1"/>
        <v>Obsidian Obelisk</v>
      </c>
      <c r="EX207" t="str">
        <f ca="1"/>
        <v>Hunter Sliver</v>
      </c>
    </row>
    <row r="208" spans="1:154" x14ac:dyDescent="0.25">
      <c r="A208" s="2" t="str">
        <f t="shared" ca="1" si="12"/>
        <v>5</v>
      </c>
      <c r="B208" s="2">
        <f t="shared" ca="1" si="13"/>
        <v>1</v>
      </c>
      <c r="C208" s="2" t="str">
        <f ca="1">IFERROR(
 INDEX($V$1:$BL$1,
  MATCH(TRUE,
   CHOOSE({1;2;3;4;5;6;7;8;9;10;11;12;13;14;15;16;17;18;19;20;21;22;23;24;25;26;27;28;29;30;31;32;33;34;35;36;37;38;39;40;41;42;43},
    COUNTIFS($V$2:$V$200,$G208)&gt;0,
    COUNTIFS($W$2:$W$200,$G208)&gt;0,
    COUNTIFS($X$2:$X$200,$G208)&gt;0,
    COUNTIFS($Y$2:$Y$200,$G208)&gt;0,
    COUNTIFS($Z$2:$Z$200,$G208)&gt;0,
    COUNTIFS($AA$2:$AA$200,$G208)&gt;0,
    COUNTIFS($AB$2:$AB$200,$G208)&gt;0,
    COUNTIFS($AC$2:$AC$200,$G208)&gt;0,
    COUNTIFS($AD$2:$AD$200,$G208)&gt;0,
    COUNTIFS($AE$2:$AE$200,$G208)&gt;0,
    COUNTIFS($AF$2:$AF$200,$G208)&gt;0,
    COUNTIFS($AG$2:$AG$200,$G208)&gt;0,
    COUNTIFS($AH$2:$AH$200,$G208)&gt;0,
    COUNTIFS($AI$2:$AI$200,$G208)&gt;0,
    COUNTIFS($AJ$2:$AJ$200,$G208)&gt;0,
    COUNTIFS($AK$2:$AK$200,$G208)&gt;0,
    COUNTIFS($AL$2:$AL$200,$G208)&gt;0,
    COUNTIFS($AM$2:$AM$200,$G208)&gt;0,
    COUNTIFS($AN$2:$AN$200,$G208)&gt;0,
    COUNTIFS($AO$2:$AO$200,$G208)&gt;0,
    COUNTIFS($AP$2:$AP$200,$G208)&gt;0,
    COUNTIFS($AQ$2:$AQ$200,$G208)&gt;0,
    COUNTIFS($AR$2:$AR$200,$G208)&gt;0,
    COUNTIFS($AS$2:$AS$200,$G208)&gt;0,
    COUNTIFS($AT$2:$AT$200,$G208)&gt;0,
    COUNTIFS($AU$2:$AU$200,$G208)&gt;0,
    COUNTIFS($AV$2:$AV$200,$G208)&gt;0,
    COUNTIFS($AW$2:$AW$200,$G208)&gt;0,
    COUNTIFS($AX$2:$AX$200,$G208)&gt;0,
    COUNTIFS($AY$2:$AY$200,$G208)&gt;0,
    COUNTIFS($AZ$2:$AZ$200,$G208)&gt;0,
    COUNTIFS($BA$2:$BA$200,$G208)&gt;0,
    COUNTIFS($BB$2:$BB$200,$G208)&gt;0,
    COUNTIFS($BC$2:$BC$200,$G208)&gt;0,
    COUNTIFS($BD$2:$BD$200,$G208)&gt;0,
    COUNTIFS($BE$2:$BE$200,$G208)&gt;0,
    COUNTIFS($BF$2:$BF$200,$G208)&gt;0,
    COUNTIFS($BG$2:$BG$200,$G208)&gt;0,
    COUNTIFS($BH$2:$BH$200,$G208)&gt;0,
    COUNTIFS($BI$2:$BI$200,$G208)&gt;0,
    COUNTIFS($BJ$2:$BJ$200,$G208)&gt;0,
    COUNTIFS($BK$2:$BK$200,$G208)&gt;0,
    COUNTIFS($BL$2:$BL$200,$G208)&gt;0,
    COUNTIFS($BM$2:$BM$200,$G208)&gt;0,
   ),
  0)
 ),
"")</f>
        <v>4cRash</v>
      </c>
      <c r="D208" s="2" t="str" cm="1">
        <f t="array" aca="1" ref="D208" ca="1">IFERROR(
 INDEX(
  _xlfn._xlws.FILTER($V$1:$AY$1,
   TRANSPOSE(
    CHOOSE({1;2;3;4;5;6;7;8;9;10;11;12;13;14;15;16;17;18;19;20;21;22;23;24;25;26;27;28;29;30},
     COUNTIFS($V$2:$V$200,$G208)&gt;0,
     COUNTIFS($W$2:$W$200,$G208)&gt;0,
     COUNTIFS($X$2:$X$200,$G208)&gt;0,
     COUNTIFS($Y$2:$Y$200,$G208)&gt;0,
     COUNTIFS($Z$2:$Z$200,$G208)&gt;0,
     COUNTIFS($AA$2:$AA$200,$G208)&gt;0,
     COUNTIFS($AB$2:$AB$200,$G208)&gt;0,
     COUNTIFS($AC$2:$AC$200,$G208)&gt;0,
     COUNTIFS($AD$2:$AD$200,$G208)&gt;0,
     COUNTIFS($AE$2:$AE$200,$G208)&gt;0,
     COUNTIFS($AF$2:$AF$200,$G208)&gt;0,
     COUNTIFS($AG$2:$AG$200,$G208)&gt;0,
     COUNTIFS($AH$2:$AH$200,$G208)&gt;0,
     COUNTIFS($AI$2:$AI$200,$G208)&gt;0,
     COUNTIFS($AJ$2:$AJ$200,$G208)&gt;0,
     COUNTIFS($AK$2:$AK$200,$G208)&gt;0,
     COUNTIFS($AL$2:$AL$200,$G208)&gt;0,
     COUNTIFS($AM$2:$AM$200,$G208)&gt;0,
     COUNTIFS($AN$2:$AN$200,$G208)&gt;0,
     COUNTIFS($AO$2:$AO$200,$G208)&gt;0,
     COUNTIFS($AP$2:$AP$200,$G208)&gt;0,
     COUNTIFS($AQ$2:$AQ$200,$G208)&gt;0,
     COUNTIFS($AR$2:$AR$200,$G208)&gt;0,
     COUNTIFS($AS$2:$AS$200,$G208)&gt;0,
     COUNTIFS($AT$2:$AT$200,$G208)&gt;0,
     COUNTIFS($AU$2:$AU$200,$G208)&gt;0,
     COUNTIFS($AV$2:$AV$200,$G208)&gt;0,
     COUNTIFS($AW$2:$AW$200,$G208)&gt;0,
     COUNTIFS($AX$2:$AX$200,$G208)&gt;0,
     COUNTIFS($AY$2:$AY$200,$G208)&gt;0
   )),
  ),
  2
 ),
"")</f>
        <v/>
      </c>
      <c r="E208" s="2" t="str" cm="1">
        <f t="array" aca="1" ref="E208" ca="1">IFERROR(
 INDEX(
  _xlfn._xlws.FILTER($V$1:$AY$1,
   TRANSPOSE(
    CHOOSE({1;2;3;4;5;6;7;8;9;10;11;12;13;14;15;16;17;18;19;20;21;22;23;24;25;26;27;28;29;30},
     COUNTIFS($V$2:$V$200,$G208)&gt;0,
     COUNTIFS($W$2:$W$200,$G208)&gt;0,
     COUNTIFS($X$2:$X$200,$G208)&gt;0,
     COUNTIFS($Y$2:$Y$200,$G208)&gt;0,
     COUNTIFS($Z$2:$Z$200,$G208)&gt;0,
     COUNTIFS($AA$2:$AA$200,$G208)&gt;0,
     COUNTIFS($AB$2:$AB$200,$G208)&gt;0,
     COUNTIFS($AC$2:$AC$200,$G208)&gt;0,
     COUNTIFS($AD$2:$AD$200,$G208)&gt;0,
     COUNTIFS($AE$2:$AE$200,$G208)&gt;0,
     COUNTIFS($AF$2:$AF$200,$G208)&gt;0,
     COUNTIFS($AG$2:$AG$200,$G208)&gt;0,
     COUNTIFS($AH$2:$AH$200,$G208)&gt;0,
     COUNTIFS($AI$2:$AI$200,$G208)&gt;0,
     COUNTIFS($AJ$2:$AJ$200,$G208)&gt;0,
     COUNTIFS($AK$2:$AK$200,$G208)&gt;0,
     COUNTIFS($AL$2:$AL$200,$G208)&gt;0,
     COUNTIFS($AM$2:$AM$200,$G208)&gt;0,
     COUNTIFS($AN$2:$AN$200,$G208)&gt;0,
     COUNTIFS($AO$2:$AO$200,$G208)&gt;0,
     COUNTIFS($AP$2:$AP$200,$G208)&gt;0,
     COUNTIFS($AQ$2:$AQ$200,$G208)&gt;0,
     COUNTIFS($AR$2:$AR$200,$G208)&gt;0,
     COUNTIFS($AS$2:$AS$200,$G208)&gt;0,
     COUNTIFS($AT$2:$AT$200,$G208)&gt;0,
     COUNTIFS($AU$2:$AU$200,$G208)&gt;0,
     COUNTIFS($AV$2:$AV$200,$G208)&gt;0,
     COUNTIFS($AW$2:$AW$200,$G208)&gt;0,
     COUNTIFS($AX$2:$AX$200,$G208)&gt;0,
     COUNTIFS($AY$2:$AY$200,$G208)&gt;0
   )),
  ),
  3
 ),
"")</f>
        <v/>
      </c>
      <c r="F208" s="2" t="str" cm="1">
        <f t="array" aca="1" ref="F208" ca="1">IFERROR(
 INDEX(
  _xlfn._xlws.FILTER($V$1:$AY$1,
   TRANSPOSE(
    CHOOSE({1;2;3;4;5;6;7;8;9;10;11;12;13;14;15;16;17;18;19;20;21;22;23;24;25;26;27;28;29;30},
     COUNTIFS($V$2:$V$200,$G208)&gt;0,
     COUNTIFS($W$2:$W$200,$G208)&gt;0,
     COUNTIFS($X$2:$X$200,$G208)&gt;0,
     COUNTIFS($Y$2:$Y$200,$G208)&gt;0,
     COUNTIFS($Z$2:$Z$200,$G208)&gt;0,
     COUNTIFS($AA$2:$AA$200,$G208)&gt;0,
     COUNTIFS($AB$2:$AB$200,$G208)&gt;0,
     COUNTIFS($AC$2:$AC$200,$G208)&gt;0,
     COUNTIFS($AD$2:$AD$200,$G208)&gt;0,
     COUNTIFS($AE$2:$AE$200,$G208)&gt;0,
     COUNTIFS($AF$2:$AF$200,$G208)&gt;0,
     COUNTIFS($AG$2:$AG$200,$G208)&gt;0,
     COUNTIFS($AH$2:$AH$200,$G208)&gt;0,
     COUNTIFS($AI$2:$AI$200,$G208)&gt;0,
     COUNTIFS($AJ$2:$AJ$200,$G208)&gt;0,
     COUNTIFS($AK$2:$AK$200,$G208)&gt;0,
     COUNTIFS($AL$2:$AL$200,$G208)&gt;0,
     COUNTIFS($AM$2:$AM$200,$G208)&gt;0,
     COUNTIFS($AN$2:$AN$200,$G208)&gt;0,
     COUNTIFS($AO$2:$AO$200,$G208)&gt;0,
     COUNTIFS($AP$2:$AP$200,$G208)&gt;0,
     COUNTIFS($AQ$2:$AQ$200,$G208)&gt;0,
     COUNTIFS($AR$2:$AR$200,$G208)&gt;0,
     COUNTIFS($AS$2:$AS$200,$G208)&gt;0,
     COUNTIFS($AT$2:$AT$200,$G208)&gt;0,
     COUNTIFS($AU$2:$AU$200,$G208)&gt;0,
     COUNTIFS($AV$2:$AV$200,$G208)&gt;0,
     COUNTIFS($AW$2:$AW$200,$G208)&gt;0,
     COUNTIFS($AX$2:$AX$200,$G208)&gt;0,
     COUNTIFS($AY$2:$AY$200,$G208)&gt;0
   )),
  ),
  4
 ),
"")</f>
        <v/>
      </c>
      <c r="G208" t="str">
        <f ca="1"/>
        <v>Hurkyl's Final Meditation</v>
      </c>
      <c r="EU208" t="str">
        <f ca="1"/>
        <v>Oko, Thief of Crowns</v>
      </c>
      <c r="EX208" t="str">
        <f ca="1"/>
        <v>Hurkyl's Final Meditation</v>
      </c>
    </row>
    <row r="209" spans="1:154" x14ac:dyDescent="0.25">
      <c r="A209" s="2" t="str">
        <f t="shared" ca="1" si="12"/>
        <v>1</v>
      </c>
      <c r="B209" s="2">
        <f t="shared" ca="1" si="13"/>
        <v>2</v>
      </c>
      <c r="C209" s="2" t="str">
        <f ca="1">IFERROR(
 INDEX($V$1:$BL$1,
  MATCH(TRUE,
   CHOOSE({1;2;3;4;5;6;7;8;9;10;11;12;13;14;15;16;17;18;19;20;21;22;23;24;25;26;27;28;29;30;31;32;33;34;35;36;37;38;39;40;41;42;43},
    COUNTIFS($V$2:$V$200,$G209)&gt;0,
    COUNTIFS($W$2:$W$200,$G209)&gt;0,
    COUNTIFS($X$2:$X$200,$G209)&gt;0,
    COUNTIFS($Y$2:$Y$200,$G209)&gt;0,
    COUNTIFS($Z$2:$Z$200,$G209)&gt;0,
    COUNTIFS($AA$2:$AA$200,$G209)&gt;0,
    COUNTIFS($AB$2:$AB$200,$G209)&gt;0,
    COUNTIFS($AC$2:$AC$200,$G209)&gt;0,
    COUNTIFS($AD$2:$AD$200,$G209)&gt;0,
    COUNTIFS($AE$2:$AE$200,$G209)&gt;0,
    COUNTIFS($AF$2:$AF$200,$G209)&gt;0,
    COUNTIFS($AG$2:$AG$200,$G209)&gt;0,
    COUNTIFS($AH$2:$AH$200,$G209)&gt;0,
    COUNTIFS($AI$2:$AI$200,$G209)&gt;0,
    COUNTIFS($AJ$2:$AJ$200,$G209)&gt;0,
    COUNTIFS($AK$2:$AK$200,$G209)&gt;0,
    COUNTIFS($AL$2:$AL$200,$G209)&gt;0,
    COUNTIFS($AM$2:$AM$200,$G209)&gt;0,
    COUNTIFS($AN$2:$AN$200,$G209)&gt;0,
    COUNTIFS($AO$2:$AO$200,$G209)&gt;0,
    COUNTIFS($AP$2:$AP$200,$G209)&gt;0,
    COUNTIFS($AQ$2:$AQ$200,$G209)&gt;0,
    COUNTIFS($AR$2:$AR$200,$G209)&gt;0,
    COUNTIFS($AS$2:$AS$200,$G209)&gt;0,
    COUNTIFS($AT$2:$AT$200,$G209)&gt;0,
    COUNTIFS($AU$2:$AU$200,$G209)&gt;0,
    COUNTIFS($AV$2:$AV$200,$G209)&gt;0,
    COUNTIFS($AW$2:$AW$200,$G209)&gt;0,
    COUNTIFS($AX$2:$AX$200,$G209)&gt;0,
    COUNTIFS($AY$2:$AY$200,$G209)&gt;0,
    COUNTIFS($AZ$2:$AZ$200,$G209)&gt;0,
    COUNTIFS($BA$2:$BA$200,$G209)&gt;0,
    COUNTIFS($BB$2:$BB$200,$G209)&gt;0,
    COUNTIFS($BC$2:$BC$200,$G209)&gt;0,
    COUNTIFS($BD$2:$BD$200,$G209)&gt;0,
    COUNTIFS($BE$2:$BE$200,$G209)&gt;0,
    COUNTIFS($BF$2:$BF$200,$G209)&gt;0,
    COUNTIFS($BG$2:$BG$200,$G209)&gt;0,
    COUNTIFS($BH$2:$BH$200,$G209)&gt;0,
    COUNTIFS($BI$2:$BI$200,$G209)&gt;0,
    COUNTIFS($BJ$2:$BJ$200,$G209)&gt;0,
    COUNTIFS($BK$2:$BK$200,$G209)&gt;0,
    COUNTIFS($BL$2:$BL$200,$G209)&gt;0,
    COUNTIFS($BM$2:$BM$200,$G209)&gt;0,
   ),
  0)
 ),
"")</f>
        <v>Breya</v>
      </c>
      <c r="D209" s="2" t="str" cm="1">
        <f t="array" aca="1" ref="D209" ca="1">IFERROR(
 INDEX(
  _xlfn._xlws.FILTER($V$1:$AY$1,
   TRANSPOSE(
    CHOOSE({1;2;3;4;5;6;7;8;9;10;11;12;13;14;15;16;17;18;19;20;21;22;23;24;25;26;27;28;29;30},
     COUNTIFS($V$2:$V$200,$G209)&gt;0,
     COUNTIFS($W$2:$W$200,$G209)&gt;0,
     COUNTIFS($X$2:$X$200,$G209)&gt;0,
     COUNTIFS($Y$2:$Y$200,$G209)&gt;0,
     COUNTIFS($Z$2:$Z$200,$G209)&gt;0,
     COUNTIFS($AA$2:$AA$200,$G209)&gt;0,
     COUNTIFS($AB$2:$AB$200,$G209)&gt;0,
     COUNTIFS($AC$2:$AC$200,$G209)&gt;0,
     COUNTIFS($AD$2:$AD$200,$G209)&gt;0,
     COUNTIFS($AE$2:$AE$200,$G209)&gt;0,
     COUNTIFS($AF$2:$AF$200,$G209)&gt;0,
     COUNTIFS($AG$2:$AG$200,$G209)&gt;0,
     COUNTIFS($AH$2:$AH$200,$G209)&gt;0,
     COUNTIFS($AI$2:$AI$200,$G209)&gt;0,
     COUNTIFS($AJ$2:$AJ$200,$G209)&gt;0,
     COUNTIFS($AK$2:$AK$200,$G209)&gt;0,
     COUNTIFS($AL$2:$AL$200,$G209)&gt;0,
     COUNTIFS($AM$2:$AM$200,$G209)&gt;0,
     COUNTIFS($AN$2:$AN$200,$G209)&gt;0,
     COUNTIFS($AO$2:$AO$200,$G209)&gt;0,
     COUNTIFS($AP$2:$AP$200,$G209)&gt;0,
     COUNTIFS($AQ$2:$AQ$200,$G209)&gt;0,
     COUNTIFS($AR$2:$AR$200,$G209)&gt;0,
     COUNTIFS($AS$2:$AS$200,$G209)&gt;0,
     COUNTIFS($AT$2:$AT$200,$G209)&gt;0,
     COUNTIFS($AU$2:$AU$200,$G209)&gt;0,
     COUNTIFS($AV$2:$AV$200,$G209)&gt;0,
     COUNTIFS($AW$2:$AW$200,$G209)&gt;0,
     COUNTIFS($AX$2:$AX$200,$G209)&gt;0,
     COUNTIFS($AY$2:$AY$200,$G209)&gt;0
   )),
  ),
  2
 ),
"")</f>
        <v>OWA</v>
      </c>
      <c r="E209" s="2" t="str" cm="1">
        <f t="array" aca="1" ref="E209" ca="1">IFERROR(
 INDEX(
  _xlfn._xlws.FILTER($V$1:$AY$1,
   TRANSPOSE(
    CHOOSE({1;2;3;4;5;6;7;8;9;10;11;12;13;14;15;16;17;18;19;20;21;22;23;24;25;26;27;28;29;30},
     COUNTIFS($V$2:$V$200,$G209)&gt;0,
     COUNTIFS($W$2:$W$200,$G209)&gt;0,
     COUNTIFS($X$2:$X$200,$G209)&gt;0,
     COUNTIFS($Y$2:$Y$200,$G209)&gt;0,
     COUNTIFS($Z$2:$Z$200,$G209)&gt;0,
     COUNTIFS($AA$2:$AA$200,$G209)&gt;0,
     COUNTIFS($AB$2:$AB$200,$G209)&gt;0,
     COUNTIFS($AC$2:$AC$200,$G209)&gt;0,
     COUNTIFS($AD$2:$AD$200,$G209)&gt;0,
     COUNTIFS($AE$2:$AE$200,$G209)&gt;0,
     COUNTIFS($AF$2:$AF$200,$G209)&gt;0,
     COUNTIFS($AG$2:$AG$200,$G209)&gt;0,
     COUNTIFS($AH$2:$AH$200,$G209)&gt;0,
     COUNTIFS($AI$2:$AI$200,$G209)&gt;0,
     COUNTIFS($AJ$2:$AJ$200,$G209)&gt;0,
     COUNTIFS($AK$2:$AK$200,$G209)&gt;0,
     COUNTIFS($AL$2:$AL$200,$G209)&gt;0,
     COUNTIFS($AM$2:$AM$200,$G209)&gt;0,
     COUNTIFS($AN$2:$AN$200,$G209)&gt;0,
     COUNTIFS($AO$2:$AO$200,$G209)&gt;0,
     COUNTIFS($AP$2:$AP$200,$G209)&gt;0,
     COUNTIFS($AQ$2:$AQ$200,$G209)&gt;0,
     COUNTIFS($AR$2:$AR$200,$G209)&gt;0,
     COUNTIFS($AS$2:$AS$200,$G209)&gt;0,
     COUNTIFS($AT$2:$AT$200,$G209)&gt;0,
     COUNTIFS($AU$2:$AU$200,$G209)&gt;0,
     COUNTIFS($AV$2:$AV$200,$G209)&gt;0,
     COUNTIFS($AW$2:$AW$200,$G209)&gt;0,
     COUNTIFS($AX$2:$AX$200,$G209)&gt;0,
     COUNTIFS($AY$2:$AY$200,$G209)&gt;0
   )),
  ),
  3
 ),
"")</f>
        <v/>
      </c>
      <c r="F209" s="2" t="str" cm="1">
        <f t="array" aca="1" ref="F209" ca="1">IFERROR(
 INDEX(
  _xlfn._xlws.FILTER($V$1:$AY$1,
   TRANSPOSE(
    CHOOSE({1;2;3;4;5;6;7;8;9;10;11;12;13;14;15;16;17;18;19;20;21;22;23;24;25;26;27;28;29;30},
     COUNTIFS($V$2:$V$200,$G209)&gt;0,
     COUNTIFS($W$2:$W$200,$G209)&gt;0,
     COUNTIFS($X$2:$X$200,$G209)&gt;0,
     COUNTIFS($Y$2:$Y$200,$G209)&gt;0,
     COUNTIFS($Z$2:$Z$200,$G209)&gt;0,
     COUNTIFS($AA$2:$AA$200,$G209)&gt;0,
     COUNTIFS($AB$2:$AB$200,$G209)&gt;0,
     COUNTIFS($AC$2:$AC$200,$G209)&gt;0,
     COUNTIFS($AD$2:$AD$200,$G209)&gt;0,
     COUNTIFS($AE$2:$AE$200,$G209)&gt;0,
     COUNTIFS($AF$2:$AF$200,$G209)&gt;0,
     COUNTIFS($AG$2:$AG$200,$G209)&gt;0,
     COUNTIFS($AH$2:$AH$200,$G209)&gt;0,
     COUNTIFS($AI$2:$AI$200,$G209)&gt;0,
     COUNTIFS($AJ$2:$AJ$200,$G209)&gt;0,
     COUNTIFS($AK$2:$AK$200,$G209)&gt;0,
     COUNTIFS($AL$2:$AL$200,$G209)&gt;0,
     COUNTIFS($AM$2:$AM$200,$G209)&gt;0,
     COUNTIFS($AN$2:$AN$200,$G209)&gt;0,
     COUNTIFS($AO$2:$AO$200,$G209)&gt;0,
     COUNTIFS($AP$2:$AP$200,$G209)&gt;0,
     COUNTIFS($AQ$2:$AQ$200,$G209)&gt;0,
     COUNTIFS($AR$2:$AR$200,$G209)&gt;0,
     COUNTIFS($AS$2:$AS$200,$G209)&gt;0,
     COUNTIFS($AT$2:$AT$200,$G209)&gt;0,
     COUNTIFS($AU$2:$AU$200,$G209)&gt;0,
     COUNTIFS($AV$2:$AV$200,$G209)&gt;0,
     COUNTIFS($AW$2:$AW$200,$G209)&gt;0,
     COUNTIFS($AX$2:$AX$200,$G209)&gt;0,
     COUNTIFS($AY$2:$AY$200,$G209)&gt;0
   )),
  ),
  4
 ),
"")</f>
        <v/>
      </c>
      <c r="G209" t="str">
        <f ca="1"/>
        <v>Illustrious Wanderglyph</v>
      </c>
      <c r="EU209" t="str">
        <f ca="1"/>
        <v>Ondu Inversion</v>
      </c>
      <c r="EX209" t="str">
        <f ca="1"/>
        <v>Illustrious Wanderglyph</v>
      </c>
    </row>
    <row r="210" spans="1:154" x14ac:dyDescent="0.25">
      <c r="A210" s="2" t="str">
        <f t="shared" ca="1" si="12"/>
        <v>4</v>
      </c>
      <c r="B210" s="2">
        <f t="shared" ca="1" si="13"/>
        <v>1</v>
      </c>
      <c r="C210" s="2" t="str">
        <f ca="1">IFERROR(
 INDEX($V$1:$BL$1,
  MATCH(TRUE,
   CHOOSE({1;2;3;4;5;6;7;8;9;10;11;12;13;14;15;16;17;18;19;20;21;22;23;24;25;26;27;28;29;30;31;32;33;34;35;36;37;38;39;40;41;42;43},
    COUNTIFS($V$2:$V$200,$G210)&gt;0,
    COUNTIFS($W$2:$W$200,$G210)&gt;0,
    COUNTIFS($X$2:$X$200,$G210)&gt;0,
    COUNTIFS($Y$2:$Y$200,$G210)&gt;0,
    COUNTIFS($Z$2:$Z$200,$G210)&gt;0,
    COUNTIFS($AA$2:$AA$200,$G210)&gt;0,
    COUNTIFS($AB$2:$AB$200,$G210)&gt;0,
    COUNTIFS($AC$2:$AC$200,$G210)&gt;0,
    COUNTIFS($AD$2:$AD$200,$G210)&gt;0,
    COUNTIFS($AE$2:$AE$200,$G210)&gt;0,
    COUNTIFS($AF$2:$AF$200,$G210)&gt;0,
    COUNTIFS($AG$2:$AG$200,$G210)&gt;0,
    COUNTIFS($AH$2:$AH$200,$G210)&gt;0,
    COUNTIFS($AI$2:$AI$200,$G210)&gt;0,
    COUNTIFS($AJ$2:$AJ$200,$G210)&gt;0,
    COUNTIFS($AK$2:$AK$200,$G210)&gt;0,
    COUNTIFS($AL$2:$AL$200,$G210)&gt;0,
    COUNTIFS($AM$2:$AM$200,$G210)&gt;0,
    COUNTIFS($AN$2:$AN$200,$G210)&gt;0,
    COUNTIFS($AO$2:$AO$200,$G210)&gt;0,
    COUNTIFS($AP$2:$AP$200,$G210)&gt;0,
    COUNTIFS($AQ$2:$AQ$200,$G210)&gt;0,
    COUNTIFS($AR$2:$AR$200,$G210)&gt;0,
    COUNTIFS($AS$2:$AS$200,$G210)&gt;0,
    COUNTIFS($AT$2:$AT$200,$G210)&gt;0,
    COUNTIFS($AU$2:$AU$200,$G210)&gt;0,
    COUNTIFS($AV$2:$AV$200,$G210)&gt;0,
    COUNTIFS($AW$2:$AW$200,$G210)&gt;0,
    COUNTIFS($AX$2:$AX$200,$G210)&gt;0,
    COUNTIFS($AY$2:$AY$200,$G210)&gt;0,
    COUNTIFS($AZ$2:$AZ$200,$G210)&gt;0,
    COUNTIFS($BA$2:$BA$200,$G210)&gt;0,
    COUNTIFS($BB$2:$BB$200,$G210)&gt;0,
    COUNTIFS($BC$2:$BC$200,$G210)&gt;0,
    COUNTIFS($BD$2:$BD$200,$G210)&gt;0,
    COUNTIFS($BE$2:$BE$200,$G210)&gt;0,
    COUNTIFS($BF$2:$BF$200,$G210)&gt;0,
    COUNTIFS($BG$2:$BG$200,$G210)&gt;0,
    COUNTIFS($BH$2:$BH$200,$G210)&gt;0,
    COUNTIFS($BI$2:$BI$200,$G210)&gt;0,
    COUNTIFS($BJ$2:$BJ$200,$G210)&gt;0,
    COUNTIFS($BK$2:$BK$200,$G210)&gt;0,
    COUNTIFS($BL$2:$BL$200,$G210)&gt;0,
    COUNTIFS($BM$2:$BM$200,$G210)&gt;0,
   ),
  0)
 ),
"")</f>
        <v>Narset</v>
      </c>
      <c r="D210" s="2" t="str" cm="1">
        <f t="array" aca="1" ref="D210" ca="1">IFERROR(
 INDEX(
  _xlfn._xlws.FILTER($V$1:$AY$1,
   TRANSPOSE(
    CHOOSE({1;2;3;4;5;6;7;8;9;10;11;12;13;14;15;16;17;18;19;20;21;22;23;24;25;26;27;28;29;30},
     COUNTIFS($V$2:$V$200,$G210)&gt;0,
     COUNTIFS($W$2:$W$200,$G210)&gt;0,
     COUNTIFS($X$2:$X$200,$G210)&gt;0,
     COUNTIFS($Y$2:$Y$200,$G210)&gt;0,
     COUNTIFS($Z$2:$Z$200,$G210)&gt;0,
     COUNTIFS($AA$2:$AA$200,$G210)&gt;0,
     COUNTIFS($AB$2:$AB$200,$G210)&gt;0,
     COUNTIFS($AC$2:$AC$200,$G210)&gt;0,
     COUNTIFS($AD$2:$AD$200,$G210)&gt;0,
     COUNTIFS($AE$2:$AE$200,$G210)&gt;0,
     COUNTIFS($AF$2:$AF$200,$G210)&gt;0,
     COUNTIFS($AG$2:$AG$200,$G210)&gt;0,
     COUNTIFS($AH$2:$AH$200,$G210)&gt;0,
     COUNTIFS($AI$2:$AI$200,$G210)&gt;0,
     COUNTIFS($AJ$2:$AJ$200,$G210)&gt;0,
     COUNTIFS($AK$2:$AK$200,$G210)&gt;0,
     COUNTIFS($AL$2:$AL$200,$G210)&gt;0,
     COUNTIFS($AM$2:$AM$200,$G210)&gt;0,
     COUNTIFS($AN$2:$AN$200,$G210)&gt;0,
     COUNTIFS($AO$2:$AO$200,$G210)&gt;0,
     COUNTIFS($AP$2:$AP$200,$G210)&gt;0,
     COUNTIFS($AQ$2:$AQ$200,$G210)&gt;0,
     COUNTIFS($AR$2:$AR$200,$G210)&gt;0,
     COUNTIFS($AS$2:$AS$200,$G210)&gt;0,
     COUNTIFS($AT$2:$AT$200,$G210)&gt;0,
     COUNTIFS($AU$2:$AU$200,$G210)&gt;0,
     COUNTIFS($AV$2:$AV$200,$G210)&gt;0,
     COUNTIFS($AW$2:$AW$200,$G210)&gt;0,
     COUNTIFS($AX$2:$AX$200,$G210)&gt;0,
     COUNTIFS($AY$2:$AY$200,$G210)&gt;0
   )),
  ),
  2
 ),
"")</f>
        <v/>
      </c>
      <c r="E210" s="2" t="str" cm="1">
        <f t="array" aca="1" ref="E210" ca="1">IFERROR(
 INDEX(
  _xlfn._xlws.FILTER($V$1:$AY$1,
   TRANSPOSE(
    CHOOSE({1;2;3;4;5;6;7;8;9;10;11;12;13;14;15;16;17;18;19;20;21;22;23;24;25;26;27;28;29;30},
     COUNTIFS($V$2:$V$200,$G210)&gt;0,
     COUNTIFS($W$2:$W$200,$G210)&gt;0,
     COUNTIFS($X$2:$X$200,$G210)&gt;0,
     COUNTIFS($Y$2:$Y$200,$G210)&gt;0,
     COUNTIFS($Z$2:$Z$200,$G210)&gt;0,
     COUNTIFS($AA$2:$AA$200,$G210)&gt;0,
     COUNTIFS($AB$2:$AB$200,$G210)&gt;0,
     COUNTIFS($AC$2:$AC$200,$G210)&gt;0,
     COUNTIFS($AD$2:$AD$200,$G210)&gt;0,
     COUNTIFS($AE$2:$AE$200,$G210)&gt;0,
     COUNTIFS($AF$2:$AF$200,$G210)&gt;0,
     COUNTIFS($AG$2:$AG$200,$G210)&gt;0,
     COUNTIFS($AH$2:$AH$200,$G210)&gt;0,
     COUNTIFS($AI$2:$AI$200,$G210)&gt;0,
     COUNTIFS($AJ$2:$AJ$200,$G210)&gt;0,
     COUNTIFS($AK$2:$AK$200,$G210)&gt;0,
     COUNTIFS($AL$2:$AL$200,$G210)&gt;0,
     COUNTIFS($AM$2:$AM$200,$G210)&gt;0,
     COUNTIFS($AN$2:$AN$200,$G210)&gt;0,
     COUNTIFS($AO$2:$AO$200,$G210)&gt;0,
     COUNTIFS($AP$2:$AP$200,$G210)&gt;0,
     COUNTIFS($AQ$2:$AQ$200,$G210)&gt;0,
     COUNTIFS($AR$2:$AR$200,$G210)&gt;0,
     COUNTIFS($AS$2:$AS$200,$G210)&gt;0,
     COUNTIFS($AT$2:$AT$200,$G210)&gt;0,
     COUNTIFS($AU$2:$AU$200,$G210)&gt;0,
     COUNTIFS($AV$2:$AV$200,$G210)&gt;0,
     COUNTIFS($AW$2:$AW$200,$G210)&gt;0,
     COUNTIFS($AX$2:$AX$200,$G210)&gt;0,
     COUNTIFS($AY$2:$AY$200,$G210)&gt;0
   )),
  ),
  3
 ),
"")</f>
        <v/>
      </c>
      <c r="F210" s="2" t="str" cm="1">
        <f t="array" aca="1" ref="F210" ca="1">IFERROR(
 INDEX(
  _xlfn._xlws.FILTER($V$1:$AY$1,
   TRANSPOSE(
    CHOOSE({1;2;3;4;5;6;7;8;9;10;11;12;13;14;15;16;17;18;19;20;21;22;23;24;25;26;27;28;29;30},
     COUNTIFS($V$2:$V$200,$G210)&gt;0,
     COUNTIFS($W$2:$W$200,$G210)&gt;0,
     COUNTIFS($X$2:$X$200,$G210)&gt;0,
     COUNTIFS($Y$2:$Y$200,$G210)&gt;0,
     COUNTIFS($Z$2:$Z$200,$G210)&gt;0,
     COUNTIFS($AA$2:$AA$200,$G210)&gt;0,
     COUNTIFS($AB$2:$AB$200,$G210)&gt;0,
     COUNTIFS($AC$2:$AC$200,$G210)&gt;0,
     COUNTIFS($AD$2:$AD$200,$G210)&gt;0,
     COUNTIFS($AE$2:$AE$200,$G210)&gt;0,
     COUNTIFS($AF$2:$AF$200,$G210)&gt;0,
     COUNTIFS($AG$2:$AG$200,$G210)&gt;0,
     COUNTIFS($AH$2:$AH$200,$G210)&gt;0,
     COUNTIFS($AI$2:$AI$200,$G210)&gt;0,
     COUNTIFS($AJ$2:$AJ$200,$G210)&gt;0,
     COUNTIFS($AK$2:$AK$200,$G210)&gt;0,
     COUNTIFS($AL$2:$AL$200,$G210)&gt;0,
     COUNTIFS($AM$2:$AM$200,$G210)&gt;0,
     COUNTIFS($AN$2:$AN$200,$G210)&gt;0,
     COUNTIFS($AO$2:$AO$200,$G210)&gt;0,
     COUNTIFS($AP$2:$AP$200,$G210)&gt;0,
     COUNTIFS($AQ$2:$AQ$200,$G210)&gt;0,
     COUNTIFS($AR$2:$AR$200,$G210)&gt;0,
     COUNTIFS($AS$2:$AS$200,$G210)&gt;0,
     COUNTIFS($AT$2:$AT$200,$G210)&gt;0,
     COUNTIFS($AU$2:$AU$200,$G210)&gt;0,
     COUNTIFS($AV$2:$AV$200,$G210)&gt;0,
     COUNTIFS($AW$2:$AW$200,$G210)&gt;0,
     COUNTIFS($AX$2:$AX$200,$G210)&gt;0,
     COUNTIFS($AY$2:$AY$200,$G210)&gt;0
   )),
  ),
  4
 ),
"")</f>
        <v/>
      </c>
      <c r="G210" t="str">
        <f ca="1"/>
        <v>Incendiary Command</v>
      </c>
      <c r="EU210" t="str">
        <f ca="1"/>
        <v>Opaline Sliver</v>
      </c>
      <c r="EX210" t="str">
        <f ca="1"/>
        <v>Incendiary Command</v>
      </c>
    </row>
    <row r="211" spans="1:154" x14ac:dyDescent="0.25">
      <c r="A211" s="2" t="str">
        <f t="shared" ca="1" si="12"/>
        <v>5</v>
      </c>
      <c r="B211" s="2">
        <f t="shared" ca="1" si="13"/>
        <v>1</v>
      </c>
      <c r="C211" s="2" t="str">
        <f ca="1">IFERROR(
 INDEX($V$1:$BL$1,
  MATCH(TRUE,
   CHOOSE({1;2;3;4;5;6;7;8;9;10;11;12;13;14;15;16;17;18;19;20;21;22;23;24;25;26;27;28;29;30;31;32;33;34;35;36;37;38;39;40;41;42;43},
    COUNTIFS($V$2:$V$200,$G211)&gt;0,
    COUNTIFS($W$2:$W$200,$G211)&gt;0,
    COUNTIFS($X$2:$X$200,$G211)&gt;0,
    COUNTIFS($Y$2:$Y$200,$G211)&gt;0,
    COUNTIFS($Z$2:$Z$200,$G211)&gt;0,
    COUNTIFS($AA$2:$AA$200,$G211)&gt;0,
    COUNTIFS($AB$2:$AB$200,$G211)&gt;0,
    COUNTIFS($AC$2:$AC$200,$G211)&gt;0,
    COUNTIFS($AD$2:$AD$200,$G211)&gt;0,
    COUNTIFS($AE$2:$AE$200,$G211)&gt;0,
    COUNTIFS($AF$2:$AF$200,$G211)&gt;0,
    COUNTIFS($AG$2:$AG$200,$G211)&gt;0,
    COUNTIFS($AH$2:$AH$200,$G211)&gt;0,
    COUNTIFS($AI$2:$AI$200,$G211)&gt;0,
    COUNTIFS($AJ$2:$AJ$200,$G211)&gt;0,
    COUNTIFS($AK$2:$AK$200,$G211)&gt;0,
    COUNTIFS($AL$2:$AL$200,$G211)&gt;0,
    COUNTIFS($AM$2:$AM$200,$G211)&gt;0,
    COUNTIFS($AN$2:$AN$200,$G211)&gt;0,
    COUNTIFS($AO$2:$AO$200,$G211)&gt;0,
    COUNTIFS($AP$2:$AP$200,$G211)&gt;0,
    COUNTIFS($AQ$2:$AQ$200,$G211)&gt;0,
    COUNTIFS($AR$2:$AR$200,$G211)&gt;0,
    COUNTIFS($AS$2:$AS$200,$G211)&gt;0,
    COUNTIFS($AT$2:$AT$200,$G211)&gt;0,
    COUNTIFS($AU$2:$AU$200,$G211)&gt;0,
    COUNTIFS($AV$2:$AV$200,$G211)&gt;0,
    COUNTIFS($AW$2:$AW$200,$G211)&gt;0,
    COUNTIFS($AX$2:$AX$200,$G211)&gt;0,
    COUNTIFS($AY$2:$AY$200,$G211)&gt;0,
    COUNTIFS($AZ$2:$AZ$200,$G211)&gt;0,
    COUNTIFS($BA$2:$BA$200,$G211)&gt;0,
    COUNTIFS($BB$2:$BB$200,$G211)&gt;0,
    COUNTIFS($BC$2:$BC$200,$G211)&gt;0,
    COUNTIFS($BD$2:$BD$200,$G211)&gt;0,
    COUNTIFS($BE$2:$BE$200,$G211)&gt;0,
    COUNTIFS($BF$2:$BF$200,$G211)&gt;0,
    COUNTIFS($BG$2:$BG$200,$G211)&gt;0,
    COUNTIFS($BH$2:$BH$200,$G211)&gt;0,
    COUNTIFS($BI$2:$BI$200,$G211)&gt;0,
    COUNTIFS($BJ$2:$BJ$200,$G211)&gt;0,
    COUNTIFS($BK$2:$BK$200,$G211)&gt;0,
    COUNTIFS($BL$2:$BL$200,$G211)&gt;0,
    COUNTIFS($BM$2:$BM$200,$G211)&gt;0,
   ),
  0)
 ),
"")</f>
        <v>Fractius</v>
      </c>
      <c r="D211" s="2" t="str" cm="1">
        <f t="array" aca="1" ref="D211" ca="1">IFERROR(
 INDEX(
  _xlfn._xlws.FILTER($V$1:$AY$1,
   TRANSPOSE(
    CHOOSE({1;2;3;4;5;6;7;8;9;10;11;12;13;14;15;16;17;18;19;20;21;22;23;24;25;26;27;28;29;30},
     COUNTIFS($V$2:$V$200,$G211)&gt;0,
     COUNTIFS($W$2:$W$200,$G211)&gt;0,
     COUNTIFS($X$2:$X$200,$G211)&gt;0,
     COUNTIFS($Y$2:$Y$200,$G211)&gt;0,
     COUNTIFS($Z$2:$Z$200,$G211)&gt;0,
     COUNTIFS($AA$2:$AA$200,$G211)&gt;0,
     COUNTIFS($AB$2:$AB$200,$G211)&gt;0,
     COUNTIFS($AC$2:$AC$200,$G211)&gt;0,
     COUNTIFS($AD$2:$AD$200,$G211)&gt;0,
     COUNTIFS($AE$2:$AE$200,$G211)&gt;0,
     COUNTIFS($AF$2:$AF$200,$G211)&gt;0,
     COUNTIFS($AG$2:$AG$200,$G211)&gt;0,
     COUNTIFS($AH$2:$AH$200,$G211)&gt;0,
     COUNTIFS($AI$2:$AI$200,$G211)&gt;0,
     COUNTIFS($AJ$2:$AJ$200,$G211)&gt;0,
     COUNTIFS($AK$2:$AK$200,$G211)&gt;0,
     COUNTIFS($AL$2:$AL$200,$G211)&gt;0,
     COUNTIFS($AM$2:$AM$200,$G211)&gt;0,
     COUNTIFS($AN$2:$AN$200,$G211)&gt;0,
     COUNTIFS($AO$2:$AO$200,$G211)&gt;0,
     COUNTIFS($AP$2:$AP$200,$G211)&gt;0,
     COUNTIFS($AQ$2:$AQ$200,$G211)&gt;0,
     COUNTIFS($AR$2:$AR$200,$G211)&gt;0,
     COUNTIFS($AS$2:$AS$200,$G211)&gt;0,
     COUNTIFS($AT$2:$AT$200,$G211)&gt;0,
     COUNTIFS($AU$2:$AU$200,$G211)&gt;0,
     COUNTIFS($AV$2:$AV$200,$G211)&gt;0,
     COUNTIFS($AW$2:$AW$200,$G211)&gt;0,
     COUNTIFS($AX$2:$AX$200,$G211)&gt;0,
     COUNTIFS($AY$2:$AY$200,$G211)&gt;0
   )),
  ),
  2
 ),
"")</f>
        <v/>
      </c>
      <c r="E211" s="2" t="str" cm="1">
        <f t="array" aca="1" ref="E211" ca="1">IFERROR(
 INDEX(
  _xlfn._xlws.FILTER($V$1:$AY$1,
   TRANSPOSE(
    CHOOSE({1;2;3;4;5;6;7;8;9;10;11;12;13;14;15;16;17;18;19;20;21;22;23;24;25;26;27;28;29;30},
     COUNTIFS($V$2:$V$200,$G211)&gt;0,
     COUNTIFS($W$2:$W$200,$G211)&gt;0,
     COUNTIFS($X$2:$X$200,$G211)&gt;0,
     COUNTIFS($Y$2:$Y$200,$G211)&gt;0,
     COUNTIFS($Z$2:$Z$200,$G211)&gt;0,
     COUNTIFS($AA$2:$AA$200,$G211)&gt;0,
     COUNTIFS($AB$2:$AB$200,$G211)&gt;0,
     COUNTIFS($AC$2:$AC$200,$G211)&gt;0,
     COUNTIFS($AD$2:$AD$200,$G211)&gt;0,
     COUNTIFS($AE$2:$AE$200,$G211)&gt;0,
     COUNTIFS($AF$2:$AF$200,$G211)&gt;0,
     COUNTIFS($AG$2:$AG$200,$G211)&gt;0,
     COUNTIFS($AH$2:$AH$200,$G211)&gt;0,
     COUNTIFS($AI$2:$AI$200,$G211)&gt;0,
     COUNTIFS($AJ$2:$AJ$200,$G211)&gt;0,
     COUNTIFS($AK$2:$AK$200,$G211)&gt;0,
     COUNTIFS($AL$2:$AL$200,$G211)&gt;0,
     COUNTIFS($AM$2:$AM$200,$G211)&gt;0,
     COUNTIFS($AN$2:$AN$200,$G211)&gt;0,
     COUNTIFS($AO$2:$AO$200,$G211)&gt;0,
     COUNTIFS($AP$2:$AP$200,$G211)&gt;0,
     COUNTIFS($AQ$2:$AQ$200,$G211)&gt;0,
     COUNTIFS($AR$2:$AR$200,$G211)&gt;0,
     COUNTIFS($AS$2:$AS$200,$G211)&gt;0,
     COUNTIFS($AT$2:$AT$200,$G211)&gt;0,
     COUNTIFS($AU$2:$AU$200,$G211)&gt;0,
     COUNTIFS($AV$2:$AV$200,$G211)&gt;0,
     COUNTIFS($AW$2:$AW$200,$G211)&gt;0,
     COUNTIFS($AX$2:$AX$200,$G211)&gt;0,
     COUNTIFS($AY$2:$AY$200,$G211)&gt;0
   )),
  ),
  3
 ),
"")</f>
        <v/>
      </c>
      <c r="F211" s="2" t="str" cm="1">
        <f t="array" aca="1" ref="F211" ca="1">IFERROR(
 INDEX(
  _xlfn._xlws.FILTER($V$1:$AY$1,
   TRANSPOSE(
    CHOOSE({1;2;3;4;5;6;7;8;9;10;11;12;13;14;15;16;17;18;19;20;21;22;23;24;25;26;27;28;29;30},
     COUNTIFS($V$2:$V$200,$G211)&gt;0,
     COUNTIFS($W$2:$W$200,$G211)&gt;0,
     COUNTIFS($X$2:$X$200,$G211)&gt;0,
     COUNTIFS($Y$2:$Y$200,$G211)&gt;0,
     COUNTIFS($Z$2:$Z$200,$G211)&gt;0,
     COUNTIFS($AA$2:$AA$200,$G211)&gt;0,
     COUNTIFS($AB$2:$AB$200,$G211)&gt;0,
     COUNTIFS($AC$2:$AC$200,$G211)&gt;0,
     COUNTIFS($AD$2:$AD$200,$G211)&gt;0,
     COUNTIFS($AE$2:$AE$200,$G211)&gt;0,
     COUNTIFS($AF$2:$AF$200,$G211)&gt;0,
     COUNTIFS($AG$2:$AG$200,$G211)&gt;0,
     COUNTIFS($AH$2:$AH$200,$G211)&gt;0,
     COUNTIFS($AI$2:$AI$200,$G211)&gt;0,
     COUNTIFS($AJ$2:$AJ$200,$G211)&gt;0,
     COUNTIFS($AK$2:$AK$200,$G211)&gt;0,
     COUNTIFS($AL$2:$AL$200,$G211)&gt;0,
     COUNTIFS($AM$2:$AM$200,$G211)&gt;0,
     COUNTIFS($AN$2:$AN$200,$G211)&gt;0,
     COUNTIFS($AO$2:$AO$200,$G211)&gt;0,
     COUNTIFS($AP$2:$AP$200,$G211)&gt;0,
     COUNTIFS($AQ$2:$AQ$200,$G211)&gt;0,
     COUNTIFS($AR$2:$AR$200,$G211)&gt;0,
     COUNTIFS($AS$2:$AS$200,$G211)&gt;0,
     COUNTIFS($AT$2:$AT$200,$G211)&gt;0,
     COUNTIFS($AU$2:$AU$200,$G211)&gt;0,
     COUNTIFS($AV$2:$AV$200,$G211)&gt;0,
     COUNTIFS($AW$2:$AW$200,$G211)&gt;0,
     COUNTIFS($AX$2:$AX$200,$G211)&gt;0,
     COUNTIFS($AY$2:$AY$200,$G211)&gt;0
   )),
  ),
  4
 ),
"")</f>
        <v/>
      </c>
      <c r="G211" t="str">
        <f ca="1"/>
        <v>Indatha Triome</v>
      </c>
      <c r="EU211" t="str">
        <f ca="1"/>
        <v>Overgrown Tomb</v>
      </c>
      <c r="EX211" t="str">
        <f ca="1"/>
        <v>Indatha Triome</v>
      </c>
    </row>
    <row r="212" spans="1:154" x14ac:dyDescent="0.25">
      <c r="A212" s="2" t="str">
        <f t="shared" ca="1" si="12"/>
        <v>5</v>
      </c>
      <c r="B212" s="2">
        <f t="shared" ca="1" si="13"/>
        <v>1</v>
      </c>
      <c r="C212" s="2" t="str">
        <f ca="1">IFERROR(
 INDEX($V$1:$BL$1,
  MATCH(TRUE,
   CHOOSE({1;2;3;4;5;6;7;8;9;10;11;12;13;14;15;16;17;18;19;20;21;22;23;24;25;26;27;28;29;30;31;32;33;34;35;36;37;38;39;40;41;42;43},
    COUNTIFS($V$2:$V$200,$G212)&gt;0,
    COUNTIFS($W$2:$W$200,$G212)&gt;0,
    COUNTIFS($X$2:$X$200,$G212)&gt;0,
    COUNTIFS($Y$2:$Y$200,$G212)&gt;0,
    COUNTIFS($Z$2:$Z$200,$G212)&gt;0,
    COUNTIFS($AA$2:$AA$200,$G212)&gt;0,
    COUNTIFS($AB$2:$AB$200,$G212)&gt;0,
    COUNTIFS($AC$2:$AC$200,$G212)&gt;0,
    COUNTIFS($AD$2:$AD$200,$G212)&gt;0,
    COUNTIFS($AE$2:$AE$200,$G212)&gt;0,
    COUNTIFS($AF$2:$AF$200,$G212)&gt;0,
    COUNTIFS($AG$2:$AG$200,$G212)&gt;0,
    COUNTIFS($AH$2:$AH$200,$G212)&gt;0,
    COUNTIFS($AI$2:$AI$200,$G212)&gt;0,
    COUNTIFS($AJ$2:$AJ$200,$G212)&gt;0,
    COUNTIFS($AK$2:$AK$200,$G212)&gt;0,
    COUNTIFS($AL$2:$AL$200,$G212)&gt;0,
    COUNTIFS($AM$2:$AM$200,$G212)&gt;0,
    COUNTIFS($AN$2:$AN$200,$G212)&gt;0,
    COUNTIFS($AO$2:$AO$200,$G212)&gt;0,
    COUNTIFS($AP$2:$AP$200,$G212)&gt;0,
    COUNTIFS($AQ$2:$AQ$200,$G212)&gt;0,
    COUNTIFS($AR$2:$AR$200,$G212)&gt;0,
    COUNTIFS($AS$2:$AS$200,$G212)&gt;0,
    COUNTIFS($AT$2:$AT$200,$G212)&gt;0,
    COUNTIFS($AU$2:$AU$200,$G212)&gt;0,
    COUNTIFS($AV$2:$AV$200,$G212)&gt;0,
    COUNTIFS($AW$2:$AW$200,$G212)&gt;0,
    COUNTIFS($AX$2:$AX$200,$G212)&gt;0,
    COUNTIFS($AY$2:$AY$200,$G212)&gt;0,
    COUNTIFS($AZ$2:$AZ$200,$G212)&gt;0,
    COUNTIFS($BA$2:$BA$200,$G212)&gt;0,
    COUNTIFS($BB$2:$BB$200,$G212)&gt;0,
    COUNTIFS($BC$2:$BC$200,$G212)&gt;0,
    COUNTIFS($BD$2:$BD$200,$G212)&gt;0,
    COUNTIFS($BE$2:$BE$200,$G212)&gt;0,
    COUNTIFS($BF$2:$BF$200,$G212)&gt;0,
    COUNTIFS($BG$2:$BG$200,$G212)&gt;0,
    COUNTIFS($BH$2:$BH$200,$G212)&gt;0,
    COUNTIFS($BI$2:$BI$200,$G212)&gt;0,
    COUNTIFS($BJ$2:$BJ$200,$G212)&gt;0,
    COUNTIFS($BK$2:$BK$200,$G212)&gt;0,
    COUNTIFS($BL$2:$BL$200,$G212)&gt;0,
    COUNTIFS($BM$2:$BM$200,$G212)&gt;0,
   ),
  0)
 ),
"")</f>
        <v>4cRash</v>
      </c>
      <c r="D212" s="2" t="str" cm="1">
        <f t="array" aca="1" ref="D212" ca="1">IFERROR(
 INDEX(
  _xlfn._xlws.FILTER($V$1:$AY$1,
   TRANSPOSE(
    CHOOSE({1;2;3;4;5;6;7;8;9;10;11;12;13;14;15;16;17;18;19;20;21;22;23;24;25;26;27;28;29;30},
     COUNTIFS($V$2:$V$200,$G212)&gt;0,
     COUNTIFS($W$2:$W$200,$G212)&gt;0,
     COUNTIFS($X$2:$X$200,$G212)&gt;0,
     COUNTIFS($Y$2:$Y$200,$G212)&gt;0,
     COUNTIFS($Z$2:$Z$200,$G212)&gt;0,
     COUNTIFS($AA$2:$AA$200,$G212)&gt;0,
     COUNTIFS($AB$2:$AB$200,$G212)&gt;0,
     COUNTIFS($AC$2:$AC$200,$G212)&gt;0,
     COUNTIFS($AD$2:$AD$200,$G212)&gt;0,
     COUNTIFS($AE$2:$AE$200,$G212)&gt;0,
     COUNTIFS($AF$2:$AF$200,$G212)&gt;0,
     COUNTIFS($AG$2:$AG$200,$G212)&gt;0,
     COUNTIFS($AH$2:$AH$200,$G212)&gt;0,
     COUNTIFS($AI$2:$AI$200,$G212)&gt;0,
     COUNTIFS($AJ$2:$AJ$200,$G212)&gt;0,
     COUNTIFS($AK$2:$AK$200,$G212)&gt;0,
     COUNTIFS($AL$2:$AL$200,$G212)&gt;0,
     COUNTIFS($AM$2:$AM$200,$G212)&gt;0,
     COUNTIFS($AN$2:$AN$200,$G212)&gt;0,
     COUNTIFS($AO$2:$AO$200,$G212)&gt;0,
     COUNTIFS($AP$2:$AP$200,$G212)&gt;0,
     COUNTIFS($AQ$2:$AQ$200,$G212)&gt;0,
     COUNTIFS($AR$2:$AR$200,$G212)&gt;0,
     COUNTIFS($AS$2:$AS$200,$G212)&gt;0,
     COUNTIFS($AT$2:$AT$200,$G212)&gt;0,
     COUNTIFS($AU$2:$AU$200,$G212)&gt;0,
     COUNTIFS($AV$2:$AV$200,$G212)&gt;0,
     COUNTIFS($AW$2:$AW$200,$G212)&gt;0,
     COUNTIFS($AX$2:$AX$200,$G212)&gt;0,
     COUNTIFS($AY$2:$AY$200,$G212)&gt;0
   )),
  ),
  2
 ),
"")</f>
        <v/>
      </c>
      <c r="E212" s="2" t="str" cm="1">
        <f t="array" aca="1" ref="E212" ca="1">IFERROR(
 INDEX(
  _xlfn._xlws.FILTER($V$1:$AY$1,
   TRANSPOSE(
    CHOOSE({1;2;3;4;5;6;7;8;9;10;11;12;13;14;15;16;17;18;19;20;21;22;23;24;25;26;27;28;29;30},
     COUNTIFS($V$2:$V$200,$G212)&gt;0,
     COUNTIFS($W$2:$W$200,$G212)&gt;0,
     COUNTIFS($X$2:$X$200,$G212)&gt;0,
     COUNTIFS($Y$2:$Y$200,$G212)&gt;0,
     COUNTIFS($Z$2:$Z$200,$G212)&gt;0,
     COUNTIFS($AA$2:$AA$200,$G212)&gt;0,
     COUNTIFS($AB$2:$AB$200,$G212)&gt;0,
     COUNTIFS($AC$2:$AC$200,$G212)&gt;0,
     COUNTIFS($AD$2:$AD$200,$G212)&gt;0,
     COUNTIFS($AE$2:$AE$200,$G212)&gt;0,
     COUNTIFS($AF$2:$AF$200,$G212)&gt;0,
     COUNTIFS($AG$2:$AG$200,$G212)&gt;0,
     COUNTIFS($AH$2:$AH$200,$G212)&gt;0,
     COUNTIFS($AI$2:$AI$200,$G212)&gt;0,
     COUNTIFS($AJ$2:$AJ$200,$G212)&gt;0,
     COUNTIFS($AK$2:$AK$200,$G212)&gt;0,
     COUNTIFS($AL$2:$AL$200,$G212)&gt;0,
     COUNTIFS($AM$2:$AM$200,$G212)&gt;0,
     COUNTIFS($AN$2:$AN$200,$G212)&gt;0,
     COUNTIFS($AO$2:$AO$200,$G212)&gt;0,
     COUNTIFS($AP$2:$AP$200,$G212)&gt;0,
     COUNTIFS($AQ$2:$AQ$200,$G212)&gt;0,
     COUNTIFS($AR$2:$AR$200,$G212)&gt;0,
     COUNTIFS($AS$2:$AS$200,$G212)&gt;0,
     COUNTIFS($AT$2:$AT$200,$G212)&gt;0,
     COUNTIFS($AU$2:$AU$200,$G212)&gt;0,
     COUNTIFS($AV$2:$AV$200,$G212)&gt;0,
     COUNTIFS($AW$2:$AW$200,$G212)&gt;0,
     COUNTIFS($AX$2:$AX$200,$G212)&gt;0,
     COUNTIFS($AY$2:$AY$200,$G212)&gt;0
   )),
  ),
  3
 ),
"")</f>
        <v/>
      </c>
      <c r="F212" s="2" t="str" cm="1">
        <f t="array" aca="1" ref="F212" ca="1">IFERROR(
 INDEX(
  _xlfn._xlws.FILTER($V$1:$AY$1,
   TRANSPOSE(
    CHOOSE({1;2;3;4;5;6;7;8;9;10;11;12;13;14;15;16;17;18;19;20;21;22;23;24;25;26;27;28;29;30},
     COUNTIFS($V$2:$V$200,$G212)&gt;0,
     COUNTIFS($W$2:$W$200,$G212)&gt;0,
     COUNTIFS($X$2:$X$200,$G212)&gt;0,
     COUNTIFS($Y$2:$Y$200,$G212)&gt;0,
     COUNTIFS($Z$2:$Z$200,$G212)&gt;0,
     COUNTIFS($AA$2:$AA$200,$G212)&gt;0,
     COUNTIFS($AB$2:$AB$200,$G212)&gt;0,
     COUNTIFS($AC$2:$AC$200,$G212)&gt;0,
     COUNTIFS($AD$2:$AD$200,$G212)&gt;0,
     COUNTIFS($AE$2:$AE$200,$G212)&gt;0,
     COUNTIFS($AF$2:$AF$200,$G212)&gt;0,
     COUNTIFS($AG$2:$AG$200,$G212)&gt;0,
     COUNTIFS($AH$2:$AH$200,$G212)&gt;0,
     COUNTIFS($AI$2:$AI$200,$G212)&gt;0,
     COUNTIFS($AJ$2:$AJ$200,$G212)&gt;0,
     COUNTIFS($AK$2:$AK$200,$G212)&gt;0,
     COUNTIFS($AL$2:$AL$200,$G212)&gt;0,
     COUNTIFS($AM$2:$AM$200,$G212)&gt;0,
     COUNTIFS($AN$2:$AN$200,$G212)&gt;0,
     COUNTIFS($AO$2:$AO$200,$G212)&gt;0,
     COUNTIFS($AP$2:$AP$200,$G212)&gt;0,
     COUNTIFS($AQ$2:$AQ$200,$G212)&gt;0,
     COUNTIFS($AR$2:$AR$200,$G212)&gt;0,
     COUNTIFS($AS$2:$AS$200,$G212)&gt;0,
     COUNTIFS($AT$2:$AT$200,$G212)&gt;0,
     COUNTIFS($AU$2:$AU$200,$G212)&gt;0,
     COUNTIFS($AV$2:$AV$200,$G212)&gt;0,
     COUNTIFS($AW$2:$AW$200,$G212)&gt;0,
     COUNTIFS($AX$2:$AX$200,$G212)&gt;0,
     COUNTIFS($AY$2:$AY$200,$G212)&gt;0
   )),
  ),
  4
 ),
"")</f>
        <v/>
      </c>
      <c r="G212" t="str">
        <f ca="1"/>
        <v>Inferno</v>
      </c>
      <c r="EU212" t="str">
        <f ca="1"/>
        <v>Path to Exile</v>
      </c>
      <c r="EX212" t="str">
        <f ca="1"/>
        <v>Inferno</v>
      </c>
    </row>
    <row r="213" spans="1:154" x14ac:dyDescent="0.25">
      <c r="A213" s="2" t="str">
        <f t="shared" ca="1" si="12"/>
        <v>1</v>
      </c>
      <c r="B213" s="2">
        <f t="shared" ca="1" si="13"/>
        <v>1</v>
      </c>
      <c r="C213" s="2" t="str">
        <f ca="1">IFERROR(
 INDEX($V$1:$BL$1,
  MATCH(TRUE,
   CHOOSE({1;2;3;4;5;6;7;8;9;10;11;12;13;14;15;16;17;18;19;20;21;22;23;24;25;26;27;28;29;30;31;32;33;34;35;36;37;38;39;40;41;42;43},
    COUNTIFS($V$2:$V$200,$G213)&gt;0,
    COUNTIFS($W$2:$W$200,$G213)&gt;0,
    COUNTIFS($X$2:$X$200,$G213)&gt;0,
    COUNTIFS($Y$2:$Y$200,$G213)&gt;0,
    COUNTIFS($Z$2:$Z$200,$G213)&gt;0,
    COUNTIFS($AA$2:$AA$200,$G213)&gt;0,
    COUNTIFS($AB$2:$AB$200,$G213)&gt;0,
    COUNTIFS($AC$2:$AC$200,$G213)&gt;0,
    COUNTIFS($AD$2:$AD$200,$G213)&gt;0,
    COUNTIFS($AE$2:$AE$200,$G213)&gt;0,
    COUNTIFS($AF$2:$AF$200,$G213)&gt;0,
    COUNTIFS($AG$2:$AG$200,$G213)&gt;0,
    COUNTIFS($AH$2:$AH$200,$G213)&gt;0,
    COUNTIFS($AI$2:$AI$200,$G213)&gt;0,
    COUNTIFS($AJ$2:$AJ$200,$G213)&gt;0,
    COUNTIFS($AK$2:$AK$200,$G213)&gt;0,
    COUNTIFS($AL$2:$AL$200,$G213)&gt;0,
    COUNTIFS($AM$2:$AM$200,$G213)&gt;0,
    COUNTIFS($AN$2:$AN$200,$G213)&gt;0,
    COUNTIFS($AO$2:$AO$200,$G213)&gt;0,
    COUNTIFS($AP$2:$AP$200,$G213)&gt;0,
    COUNTIFS($AQ$2:$AQ$200,$G213)&gt;0,
    COUNTIFS($AR$2:$AR$200,$G213)&gt;0,
    COUNTIFS($AS$2:$AS$200,$G213)&gt;0,
    COUNTIFS($AT$2:$AT$200,$G213)&gt;0,
    COUNTIFS($AU$2:$AU$200,$G213)&gt;0,
    COUNTIFS($AV$2:$AV$200,$G213)&gt;0,
    COUNTIFS($AW$2:$AW$200,$G213)&gt;0,
    COUNTIFS($AX$2:$AX$200,$G213)&gt;0,
    COUNTIFS($AY$2:$AY$200,$G213)&gt;0,
    COUNTIFS($AZ$2:$AZ$200,$G213)&gt;0,
    COUNTIFS($BA$2:$BA$200,$G213)&gt;0,
    COUNTIFS($BB$2:$BB$200,$G213)&gt;0,
    COUNTIFS($BC$2:$BC$200,$G213)&gt;0,
    COUNTIFS($BD$2:$BD$200,$G213)&gt;0,
    COUNTIFS($BE$2:$BE$200,$G213)&gt;0,
    COUNTIFS($BF$2:$BF$200,$G213)&gt;0,
    COUNTIFS($BG$2:$BG$200,$G213)&gt;0,
    COUNTIFS($BH$2:$BH$200,$G213)&gt;0,
    COUNTIFS($BI$2:$BI$200,$G213)&gt;0,
    COUNTIFS($BJ$2:$BJ$200,$G213)&gt;0,
    COUNTIFS($BK$2:$BK$200,$G213)&gt;0,
    COUNTIFS($BL$2:$BL$200,$G213)&gt;0,
    COUNTIFS($BM$2:$BM$200,$G213)&gt;0,
   ),
  0)
 ),
"")</f>
        <v>Oona</v>
      </c>
      <c r="D213" s="2" t="str" cm="1">
        <f t="array" aca="1" ref="D213" ca="1">IFERROR(
 INDEX(
  _xlfn._xlws.FILTER($V$1:$AY$1,
   TRANSPOSE(
    CHOOSE({1;2;3;4;5;6;7;8;9;10;11;12;13;14;15;16;17;18;19;20;21;22;23;24;25;26;27;28;29;30},
     COUNTIFS($V$2:$V$200,$G213)&gt;0,
     COUNTIFS($W$2:$W$200,$G213)&gt;0,
     COUNTIFS($X$2:$X$200,$G213)&gt;0,
     COUNTIFS($Y$2:$Y$200,$G213)&gt;0,
     COUNTIFS($Z$2:$Z$200,$G213)&gt;0,
     COUNTIFS($AA$2:$AA$200,$G213)&gt;0,
     COUNTIFS($AB$2:$AB$200,$G213)&gt;0,
     COUNTIFS($AC$2:$AC$200,$G213)&gt;0,
     COUNTIFS($AD$2:$AD$200,$G213)&gt;0,
     COUNTIFS($AE$2:$AE$200,$G213)&gt;0,
     COUNTIFS($AF$2:$AF$200,$G213)&gt;0,
     COUNTIFS($AG$2:$AG$200,$G213)&gt;0,
     COUNTIFS($AH$2:$AH$200,$G213)&gt;0,
     COUNTIFS($AI$2:$AI$200,$G213)&gt;0,
     COUNTIFS($AJ$2:$AJ$200,$G213)&gt;0,
     COUNTIFS($AK$2:$AK$200,$G213)&gt;0,
     COUNTIFS($AL$2:$AL$200,$G213)&gt;0,
     COUNTIFS($AM$2:$AM$200,$G213)&gt;0,
     COUNTIFS($AN$2:$AN$200,$G213)&gt;0,
     COUNTIFS($AO$2:$AO$200,$G213)&gt;0,
     COUNTIFS($AP$2:$AP$200,$G213)&gt;0,
     COUNTIFS($AQ$2:$AQ$200,$G213)&gt;0,
     COUNTIFS($AR$2:$AR$200,$G213)&gt;0,
     COUNTIFS($AS$2:$AS$200,$G213)&gt;0,
     COUNTIFS($AT$2:$AT$200,$G213)&gt;0,
     COUNTIFS($AU$2:$AU$200,$G213)&gt;0,
     COUNTIFS($AV$2:$AV$200,$G213)&gt;0,
     COUNTIFS($AW$2:$AW$200,$G213)&gt;0,
     COUNTIFS($AX$2:$AX$200,$G213)&gt;0,
     COUNTIFS($AY$2:$AY$200,$G213)&gt;0
   )),
  ),
  2
 ),
"")</f>
        <v/>
      </c>
      <c r="E213" s="2" t="str" cm="1">
        <f t="array" aca="1" ref="E213" ca="1">IFERROR(
 INDEX(
  _xlfn._xlws.FILTER($V$1:$AY$1,
   TRANSPOSE(
    CHOOSE({1;2;3;4;5;6;7;8;9;10;11;12;13;14;15;16;17;18;19;20;21;22;23;24;25;26;27;28;29;30},
     COUNTIFS($V$2:$V$200,$G213)&gt;0,
     COUNTIFS($W$2:$W$200,$G213)&gt;0,
     COUNTIFS($X$2:$X$200,$G213)&gt;0,
     COUNTIFS($Y$2:$Y$200,$G213)&gt;0,
     COUNTIFS($Z$2:$Z$200,$G213)&gt;0,
     COUNTIFS($AA$2:$AA$200,$G213)&gt;0,
     COUNTIFS($AB$2:$AB$200,$G213)&gt;0,
     COUNTIFS($AC$2:$AC$200,$G213)&gt;0,
     COUNTIFS($AD$2:$AD$200,$G213)&gt;0,
     COUNTIFS($AE$2:$AE$200,$G213)&gt;0,
     COUNTIFS($AF$2:$AF$200,$G213)&gt;0,
     COUNTIFS($AG$2:$AG$200,$G213)&gt;0,
     COUNTIFS($AH$2:$AH$200,$G213)&gt;0,
     COUNTIFS($AI$2:$AI$200,$G213)&gt;0,
     COUNTIFS($AJ$2:$AJ$200,$G213)&gt;0,
     COUNTIFS($AK$2:$AK$200,$G213)&gt;0,
     COUNTIFS($AL$2:$AL$200,$G213)&gt;0,
     COUNTIFS($AM$2:$AM$200,$G213)&gt;0,
     COUNTIFS($AN$2:$AN$200,$G213)&gt;0,
     COUNTIFS($AO$2:$AO$200,$G213)&gt;0,
     COUNTIFS($AP$2:$AP$200,$G213)&gt;0,
     COUNTIFS($AQ$2:$AQ$200,$G213)&gt;0,
     COUNTIFS($AR$2:$AR$200,$G213)&gt;0,
     COUNTIFS($AS$2:$AS$200,$G213)&gt;0,
     COUNTIFS($AT$2:$AT$200,$G213)&gt;0,
     COUNTIFS($AU$2:$AU$200,$G213)&gt;0,
     COUNTIFS($AV$2:$AV$200,$G213)&gt;0,
     COUNTIFS($AW$2:$AW$200,$G213)&gt;0,
     COUNTIFS($AX$2:$AX$200,$G213)&gt;0,
     COUNTIFS($AY$2:$AY$200,$G213)&gt;0
   )),
  ),
  3
 ),
"")</f>
        <v/>
      </c>
      <c r="F213" s="2" t="str" cm="1">
        <f t="array" aca="1" ref="F213" ca="1">IFERROR(
 INDEX(
  _xlfn._xlws.FILTER($V$1:$AY$1,
   TRANSPOSE(
    CHOOSE({1;2;3;4;5;6;7;8;9;10;11;12;13;14;15;16;17;18;19;20;21;22;23;24;25;26;27;28;29;30},
     COUNTIFS($V$2:$V$200,$G213)&gt;0,
     COUNTIFS($W$2:$W$200,$G213)&gt;0,
     COUNTIFS($X$2:$X$200,$G213)&gt;0,
     COUNTIFS($Y$2:$Y$200,$G213)&gt;0,
     COUNTIFS($Z$2:$Z$200,$G213)&gt;0,
     COUNTIFS($AA$2:$AA$200,$G213)&gt;0,
     COUNTIFS($AB$2:$AB$200,$G213)&gt;0,
     COUNTIFS($AC$2:$AC$200,$G213)&gt;0,
     COUNTIFS($AD$2:$AD$200,$G213)&gt;0,
     COUNTIFS($AE$2:$AE$200,$G213)&gt;0,
     COUNTIFS($AF$2:$AF$200,$G213)&gt;0,
     COUNTIFS($AG$2:$AG$200,$G213)&gt;0,
     COUNTIFS($AH$2:$AH$200,$G213)&gt;0,
     COUNTIFS($AI$2:$AI$200,$G213)&gt;0,
     COUNTIFS($AJ$2:$AJ$200,$G213)&gt;0,
     COUNTIFS($AK$2:$AK$200,$G213)&gt;0,
     COUNTIFS($AL$2:$AL$200,$G213)&gt;0,
     COUNTIFS($AM$2:$AM$200,$G213)&gt;0,
     COUNTIFS($AN$2:$AN$200,$G213)&gt;0,
     COUNTIFS($AO$2:$AO$200,$G213)&gt;0,
     COUNTIFS($AP$2:$AP$200,$G213)&gt;0,
     COUNTIFS($AQ$2:$AQ$200,$G213)&gt;0,
     COUNTIFS($AR$2:$AR$200,$G213)&gt;0,
     COUNTIFS($AS$2:$AS$200,$G213)&gt;0,
     COUNTIFS($AT$2:$AT$200,$G213)&gt;0,
     COUNTIFS($AU$2:$AU$200,$G213)&gt;0,
     COUNTIFS($AV$2:$AV$200,$G213)&gt;0,
     COUNTIFS($AW$2:$AW$200,$G213)&gt;0,
     COUNTIFS($AX$2:$AX$200,$G213)&gt;0,
     COUNTIFS($AY$2:$AY$200,$G213)&gt;0
   )),
  ),
  4
 ),
"")</f>
        <v/>
      </c>
      <c r="G213" t="str">
        <f ca="1"/>
        <v>Invasion of Segovia</v>
      </c>
      <c r="EU213" t="str">
        <f ca="1"/>
        <v>Persistent Constrictor</v>
      </c>
      <c r="EX213" t="str">
        <f ca="1"/>
        <v>Invasion of Segovia</v>
      </c>
    </row>
    <row r="214" spans="1:154" x14ac:dyDescent="0.25">
      <c r="A214" s="2" t="str">
        <f t="shared" ca="1" si="12"/>
        <v>2</v>
      </c>
      <c r="B214" s="2">
        <f t="shared" ca="1" si="13"/>
        <v>2</v>
      </c>
      <c r="C214" s="2" t="str">
        <f ca="1">IFERROR(
 INDEX($V$1:$BL$1,
  MATCH(TRUE,
   CHOOSE({1;2;3;4;5;6;7;8;9;10;11;12;13;14;15;16;17;18;19;20;21;22;23;24;25;26;27;28;29;30;31;32;33;34;35;36;37;38;39;40;41;42;43},
    COUNTIFS($V$2:$V$200,$G214)&gt;0,
    COUNTIFS($W$2:$W$200,$G214)&gt;0,
    COUNTIFS($X$2:$X$200,$G214)&gt;0,
    COUNTIFS($Y$2:$Y$200,$G214)&gt;0,
    COUNTIFS($Z$2:$Z$200,$G214)&gt;0,
    COUNTIFS($AA$2:$AA$200,$G214)&gt;0,
    COUNTIFS($AB$2:$AB$200,$G214)&gt;0,
    COUNTIFS($AC$2:$AC$200,$G214)&gt;0,
    COUNTIFS($AD$2:$AD$200,$G214)&gt;0,
    COUNTIFS($AE$2:$AE$200,$G214)&gt;0,
    COUNTIFS($AF$2:$AF$200,$G214)&gt;0,
    COUNTIFS($AG$2:$AG$200,$G214)&gt;0,
    COUNTIFS($AH$2:$AH$200,$G214)&gt;0,
    COUNTIFS($AI$2:$AI$200,$G214)&gt;0,
    COUNTIFS($AJ$2:$AJ$200,$G214)&gt;0,
    COUNTIFS($AK$2:$AK$200,$G214)&gt;0,
    COUNTIFS($AL$2:$AL$200,$G214)&gt;0,
    COUNTIFS($AM$2:$AM$200,$G214)&gt;0,
    COUNTIFS($AN$2:$AN$200,$G214)&gt;0,
    COUNTIFS($AO$2:$AO$200,$G214)&gt;0,
    COUNTIFS($AP$2:$AP$200,$G214)&gt;0,
    COUNTIFS($AQ$2:$AQ$200,$G214)&gt;0,
    COUNTIFS($AR$2:$AR$200,$G214)&gt;0,
    COUNTIFS($AS$2:$AS$200,$G214)&gt;0,
    COUNTIFS($AT$2:$AT$200,$G214)&gt;0,
    COUNTIFS($AU$2:$AU$200,$G214)&gt;0,
    COUNTIFS($AV$2:$AV$200,$G214)&gt;0,
    COUNTIFS($AW$2:$AW$200,$G214)&gt;0,
    COUNTIFS($AX$2:$AX$200,$G214)&gt;0,
    COUNTIFS($AY$2:$AY$200,$G214)&gt;0,
    COUNTIFS($AZ$2:$AZ$200,$G214)&gt;0,
    COUNTIFS($BA$2:$BA$200,$G214)&gt;0,
    COUNTIFS($BB$2:$BB$200,$G214)&gt;0,
    COUNTIFS($BC$2:$BC$200,$G214)&gt;0,
    COUNTIFS($BD$2:$BD$200,$G214)&gt;0,
    COUNTIFS($BE$2:$BE$200,$G214)&gt;0,
    COUNTIFS($BF$2:$BF$200,$G214)&gt;0,
    COUNTIFS($BG$2:$BG$200,$G214)&gt;0,
    COUNTIFS($BH$2:$BH$200,$G214)&gt;0,
    COUNTIFS($BI$2:$BI$200,$G214)&gt;0,
    COUNTIFS($BJ$2:$BJ$200,$G214)&gt;0,
    COUNTIFS($BK$2:$BK$200,$G214)&gt;0,
    COUNTIFS($BL$2:$BL$200,$G214)&gt;0,
    COUNTIFS($BM$2:$BM$200,$G214)&gt;0,
   ),
  0)
 ),
"")</f>
        <v>Muzzio</v>
      </c>
      <c r="D214" s="2" t="str" cm="1">
        <f t="array" aca="1" ref="D214" ca="1">IFERROR(
 INDEX(
  _xlfn._xlws.FILTER($V$1:$AY$1,
   TRANSPOSE(
    CHOOSE({1;2;3;4;5;6;7;8;9;10;11;12;13;14;15;16;17;18;19;20;21;22;23;24;25;26;27;28;29;30},
     COUNTIFS($V$2:$V$200,$G214)&gt;0,
     COUNTIFS($W$2:$W$200,$G214)&gt;0,
     COUNTIFS($X$2:$X$200,$G214)&gt;0,
     COUNTIFS($Y$2:$Y$200,$G214)&gt;0,
     COUNTIFS($Z$2:$Z$200,$G214)&gt;0,
     COUNTIFS($AA$2:$AA$200,$G214)&gt;0,
     COUNTIFS($AB$2:$AB$200,$G214)&gt;0,
     COUNTIFS($AC$2:$AC$200,$G214)&gt;0,
     COUNTIFS($AD$2:$AD$200,$G214)&gt;0,
     COUNTIFS($AE$2:$AE$200,$G214)&gt;0,
     COUNTIFS($AF$2:$AF$200,$G214)&gt;0,
     COUNTIFS($AG$2:$AG$200,$G214)&gt;0,
     COUNTIFS($AH$2:$AH$200,$G214)&gt;0,
     COUNTIFS($AI$2:$AI$200,$G214)&gt;0,
     COUNTIFS($AJ$2:$AJ$200,$G214)&gt;0,
     COUNTIFS($AK$2:$AK$200,$G214)&gt;0,
     COUNTIFS($AL$2:$AL$200,$G214)&gt;0,
     COUNTIFS($AM$2:$AM$200,$G214)&gt;0,
     COUNTIFS($AN$2:$AN$200,$G214)&gt;0,
     COUNTIFS($AO$2:$AO$200,$G214)&gt;0,
     COUNTIFS($AP$2:$AP$200,$G214)&gt;0,
     COUNTIFS($AQ$2:$AQ$200,$G214)&gt;0,
     COUNTIFS($AR$2:$AR$200,$G214)&gt;0,
     COUNTIFS($AS$2:$AS$200,$G214)&gt;0,
     COUNTIFS($AT$2:$AT$200,$G214)&gt;0,
     COUNTIFS($AU$2:$AU$200,$G214)&gt;0,
     COUNTIFS($AV$2:$AV$200,$G214)&gt;0,
     COUNTIFS($AW$2:$AW$200,$G214)&gt;0,
     COUNTIFS($AX$2:$AX$200,$G214)&gt;0,
     COUNTIFS($AY$2:$AY$200,$G214)&gt;0
   )),
  ),
  2
 ),
"")</f>
        <v/>
      </c>
      <c r="E214" s="2" t="str" cm="1">
        <f t="array" aca="1" ref="E214" ca="1">IFERROR(
 INDEX(
  _xlfn._xlws.FILTER($V$1:$AY$1,
   TRANSPOSE(
    CHOOSE({1;2;3;4;5;6;7;8;9;10;11;12;13;14;15;16;17;18;19;20;21;22;23;24;25;26;27;28;29;30},
     COUNTIFS($V$2:$V$200,$G214)&gt;0,
     COUNTIFS($W$2:$W$200,$G214)&gt;0,
     COUNTIFS($X$2:$X$200,$G214)&gt;0,
     COUNTIFS($Y$2:$Y$200,$G214)&gt;0,
     COUNTIFS($Z$2:$Z$200,$G214)&gt;0,
     COUNTIFS($AA$2:$AA$200,$G214)&gt;0,
     COUNTIFS($AB$2:$AB$200,$G214)&gt;0,
     COUNTIFS($AC$2:$AC$200,$G214)&gt;0,
     COUNTIFS($AD$2:$AD$200,$G214)&gt;0,
     COUNTIFS($AE$2:$AE$200,$G214)&gt;0,
     COUNTIFS($AF$2:$AF$200,$G214)&gt;0,
     COUNTIFS($AG$2:$AG$200,$G214)&gt;0,
     COUNTIFS($AH$2:$AH$200,$G214)&gt;0,
     COUNTIFS($AI$2:$AI$200,$G214)&gt;0,
     COUNTIFS($AJ$2:$AJ$200,$G214)&gt;0,
     COUNTIFS($AK$2:$AK$200,$G214)&gt;0,
     COUNTIFS($AL$2:$AL$200,$G214)&gt;0,
     COUNTIFS($AM$2:$AM$200,$G214)&gt;0,
     COUNTIFS($AN$2:$AN$200,$G214)&gt;0,
     COUNTIFS($AO$2:$AO$200,$G214)&gt;0,
     COUNTIFS($AP$2:$AP$200,$G214)&gt;0,
     COUNTIFS($AQ$2:$AQ$200,$G214)&gt;0,
     COUNTIFS($AR$2:$AR$200,$G214)&gt;0,
     COUNTIFS($AS$2:$AS$200,$G214)&gt;0,
     COUNTIFS($AT$2:$AT$200,$G214)&gt;0,
     COUNTIFS($AU$2:$AU$200,$G214)&gt;0,
     COUNTIFS($AV$2:$AV$200,$G214)&gt;0,
     COUNTIFS($AW$2:$AW$200,$G214)&gt;0,
     COUNTIFS($AX$2:$AX$200,$G214)&gt;0,
     COUNTIFS($AY$2:$AY$200,$G214)&gt;0
   )),
  ),
  3
 ),
"")</f>
        <v/>
      </c>
      <c r="F214" s="2" t="str" cm="1">
        <f t="array" aca="1" ref="F214" ca="1">IFERROR(
 INDEX(
  _xlfn._xlws.FILTER($V$1:$AY$1,
   TRANSPOSE(
    CHOOSE({1;2;3;4;5;6;7;8;9;10;11;12;13;14;15;16;17;18;19;20;21;22;23;24;25;26;27;28;29;30},
     COUNTIFS($V$2:$V$200,$G214)&gt;0,
     COUNTIFS($W$2:$W$200,$G214)&gt;0,
     COUNTIFS($X$2:$X$200,$G214)&gt;0,
     COUNTIFS($Y$2:$Y$200,$G214)&gt;0,
     COUNTIFS($Z$2:$Z$200,$G214)&gt;0,
     COUNTIFS($AA$2:$AA$200,$G214)&gt;0,
     COUNTIFS($AB$2:$AB$200,$G214)&gt;0,
     COUNTIFS($AC$2:$AC$200,$G214)&gt;0,
     COUNTIFS($AD$2:$AD$200,$G214)&gt;0,
     COUNTIFS($AE$2:$AE$200,$G214)&gt;0,
     COUNTIFS($AF$2:$AF$200,$G214)&gt;0,
     COUNTIFS($AG$2:$AG$200,$G214)&gt;0,
     COUNTIFS($AH$2:$AH$200,$G214)&gt;0,
     COUNTIFS($AI$2:$AI$200,$G214)&gt;0,
     COUNTIFS($AJ$2:$AJ$200,$G214)&gt;0,
     COUNTIFS($AK$2:$AK$200,$G214)&gt;0,
     COUNTIFS($AL$2:$AL$200,$G214)&gt;0,
     COUNTIFS($AM$2:$AM$200,$G214)&gt;0,
     COUNTIFS($AN$2:$AN$200,$G214)&gt;0,
     COUNTIFS($AO$2:$AO$200,$G214)&gt;0,
     COUNTIFS($AP$2:$AP$200,$G214)&gt;0,
     COUNTIFS($AQ$2:$AQ$200,$G214)&gt;0,
     COUNTIFS($AR$2:$AR$200,$G214)&gt;0,
     COUNTIFS($AS$2:$AS$200,$G214)&gt;0,
     COUNTIFS($AT$2:$AT$200,$G214)&gt;0,
     COUNTIFS($AU$2:$AU$200,$G214)&gt;0,
     COUNTIFS($AV$2:$AV$200,$G214)&gt;0,
     COUNTIFS($AW$2:$AW$200,$G214)&gt;0,
     COUNTIFS($AX$2:$AX$200,$G214)&gt;0,
     COUNTIFS($AY$2:$AY$200,$G214)&gt;0
   )),
  ),
  4
 ),
"")</f>
        <v/>
      </c>
      <c r="G214" t="str">
        <f ca="1"/>
        <v>Inventors' Fair</v>
      </c>
      <c r="EU214" t="str">
        <f ca="1"/>
        <v>Pestered Wellguard</v>
      </c>
      <c r="EX214" t="str">
        <f ca="1"/>
        <v>Inventors' Fair</v>
      </c>
    </row>
    <row r="215" spans="1:154" x14ac:dyDescent="0.25">
      <c r="A215" s="2" t="str">
        <f t="shared" ca="1" si="12"/>
        <v>3</v>
      </c>
      <c r="B215" s="2">
        <f t="shared" ca="1" si="13"/>
        <v>1</v>
      </c>
      <c r="C215" s="2" t="str">
        <f ca="1">IFERROR(
 INDEX($V$1:$BL$1,
  MATCH(TRUE,
   CHOOSE({1;2;3;4;5;6;7;8;9;10;11;12;13;14;15;16;17;18;19;20;21;22;23;24;25;26;27;28;29;30;31;32;33;34;35;36;37;38;39;40;41;42;43},
    COUNTIFS($V$2:$V$200,$G215)&gt;0,
    COUNTIFS($W$2:$W$200,$G215)&gt;0,
    COUNTIFS($X$2:$X$200,$G215)&gt;0,
    COUNTIFS($Y$2:$Y$200,$G215)&gt;0,
    COUNTIFS($Z$2:$Z$200,$G215)&gt;0,
    COUNTIFS($AA$2:$AA$200,$G215)&gt;0,
    COUNTIFS($AB$2:$AB$200,$G215)&gt;0,
    COUNTIFS($AC$2:$AC$200,$G215)&gt;0,
    COUNTIFS($AD$2:$AD$200,$G215)&gt;0,
    COUNTIFS($AE$2:$AE$200,$G215)&gt;0,
    COUNTIFS($AF$2:$AF$200,$G215)&gt;0,
    COUNTIFS($AG$2:$AG$200,$G215)&gt;0,
    COUNTIFS($AH$2:$AH$200,$G215)&gt;0,
    COUNTIFS($AI$2:$AI$200,$G215)&gt;0,
    COUNTIFS($AJ$2:$AJ$200,$G215)&gt;0,
    COUNTIFS($AK$2:$AK$200,$G215)&gt;0,
    COUNTIFS($AL$2:$AL$200,$G215)&gt;0,
    COUNTIFS($AM$2:$AM$200,$G215)&gt;0,
    COUNTIFS($AN$2:$AN$200,$G215)&gt;0,
    COUNTIFS($AO$2:$AO$200,$G215)&gt;0,
    COUNTIFS($AP$2:$AP$200,$G215)&gt;0,
    COUNTIFS($AQ$2:$AQ$200,$G215)&gt;0,
    COUNTIFS($AR$2:$AR$200,$G215)&gt;0,
    COUNTIFS($AS$2:$AS$200,$G215)&gt;0,
    COUNTIFS($AT$2:$AT$200,$G215)&gt;0,
    COUNTIFS($AU$2:$AU$200,$G215)&gt;0,
    COUNTIFS($AV$2:$AV$200,$G215)&gt;0,
    COUNTIFS($AW$2:$AW$200,$G215)&gt;0,
    COUNTIFS($AX$2:$AX$200,$G215)&gt;0,
    COUNTIFS($AY$2:$AY$200,$G215)&gt;0,
    COUNTIFS($AZ$2:$AZ$200,$G215)&gt;0,
    COUNTIFS($BA$2:$BA$200,$G215)&gt;0,
    COUNTIFS($BB$2:$BB$200,$G215)&gt;0,
    COUNTIFS($BC$2:$BC$200,$G215)&gt;0,
    COUNTIFS($BD$2:$BD$200,$G215)&gt;0,
    COUNTIFS($BE$2:$BE$200,$G215)&gt;0,
    COUNTIFS($BF$2:$BF$200,$G215)&gt;0,
    COUNTIFS($BG$2:$BG$200,$G215)&gt;0,
    COUNTIFS($BH$2:$BH$200,$G215)&gt;0,
    COUNTIFS($BI$2:$BI$200,$G215)&gt;0,
    COUNTIFS($BJ$2:$BJ$200,$G215)&gt;0,
    COUNTIFS($BK$2:$BK$200,$G215)&gt;0,
    COUNTIFS($BL$2:$BL$200,$G215)&gt;0,
    COUNTIFS($BM$2:$BM$200,$G215)&gt;0,
   ),
  0)
 ),
"")</f>
        <v>Akiri</v>
      </c>
      <c r="D215" s="2" t="str" cm="1">
        <f t="array" aca="1" ref="D215" ca="1">IFERROR(
 INDEX(
  _xlfn._xlws.FILTER($V$1:$AY$1,
   TRANSPOSE(
    CHOOSE({1;2;3;4;5;6;7;8;9;10;11;12;13;14;15;16;17;18;19;20;21;22;23;24;25;26;27;28;29;30},
     COUNTIFS($V$2:$V$200,$G215)&gt;0,
     COUNTIFS($W$2:$W$200,$G215)&gt;0,
     COUNTIFS($X$2:$X$200,$G215)&gt;0,
     COUNTIFS($Y$2:$Y$200,$G215)&gt;0,
     COUNTIFS($Z$2:$Z$200,$G215)&gt;0,
     COUNTIFS($AA$2:$AA$200,$G215)&gt;0,
     COUNTIFS($AB$2:$AB$200,$G215)&gt;0,
     COUNTIFS($AC$2:$AC$200,$G215)&gt;0,
     COUNTIFS($AD$2:$AD$200,$G215)&gt;0,
     COUNTIFS($AE$2:$AE$200,$G215)&gt;0,
     COUNTIFS($AF$2:$AF$200,$G215)&gt;0,
     COUNTIFS($AG$2:$AG$200,$G215)&gt;0,
     COUNTIFS($AH$2:$AH$200,$G215)&gt;0,
     COUNTIFS($AI$2:$AI$200,$G215)&gt;0,
     COUNTIFS($AJ$2:$AJ$200,$G215)&gt;0,
     COUNTIFS($AK$2:$AK$200,$G215)&gt;0,
     COUNTIFS($AL$2:$AL$200,$G215)&gt;0,
     COUNTIFS($AM$2:$AM$200,$G215)&gt;0,
     COUNTIFS($AN$2:$AN$200,$G215)&gt;0,
     COUNTIFS($AO$2:$AO$200,$G215)&gt;0,
     COUNTIFS($AP$2:$AP$200,$G215)&gt;0,
     COUNTIFS($AQ$2:$AQ$200,$G215)&gt;0,
     COUNTIFS($AR$2:$AR$200,$G215)&gt;0,
     COUNTIFS($AS$2:$AS$200,$G215)&gt;0,
     COUNTIFS($AT$2:$AT$200,$G215)&gt;0,
     COUNTIFS($AU$2:$AU$200,$G215)&gt;0,
     COUNTIFS($AV$2:$AV$200,$G215)&gt;0,
     COUNTIFS($AW$2:$AW$200,$G215)&gt;0,
     COUNTIFS($AX$2:$AX$200,$G215)&gt;0,
     COUNTIFS($AY$2:$AY$200,$G215)&gt;0
   )),
  ),
  2
 ),
"")</f>
        <v/>
      </c>
      <c r="E215" s="2" t="str" cm="1">
        <f t="array" aca="1" ref="E215" ca="1">IFERROR(
 INDEX(
  _xlfn._xlws.FILTER($V$1:$AY$1,
   TRANSPOSE(
    CHOOSE({1;2;3;4;5;6;7;8;9;10;11;12;13;14;15;16;17;18;19;20;21;22;23;24;25;26;27;28;29;30},
     COUNTIFS($V$2:$V$200,$G215)&gt;0,
     COUNTIFS($W$2:$W$200,$G215)&gt;0,
     COUNTIFS($X$2:$X$200,$G215)&gt;0,
     COUNTIFS($Y$2:$Y$200,$G215)&gt;0,
     COUNTIFS($Z$2:$Z$200,$G215)&gt;0,
     COUNTIFS($AA$2:$AA$200,$G215)&gt;0,
     COUNTIFS($AB$2:$AB$200,$G215)&gt;0,
     COUNTIFS($AC$2:$AC$200,$G215)&gt;0,
     COUNTIFS($AD$2:$AD$200,$G215)&gt;0,
     COUNTIFS($AE$2:$AE$200,$G215)&gt;0,
     COUNTIFS($AF$2:$AF$200,$G215)&gt;0,
     COUNTIFS($AG$2:$AG$200,$G215)&gt;0,
     COUNTIFS($AH$2:$AH$200,$G215)&gt;0,
     COUNTIFS($AI$2:$AI$200,$G215)&gt;0,
     COUNTIFS($AJ$2:$AJ$200,$G215)&gt;0,
     COUNTIFS($AK$2:$AK$200,$G215)&gt;0,
     COUNTIFS($AL$2:$AL$200,$G215)&gt;0,
     COUNTIFS($AM$2:$AM$200,$G215)&gt;0,
     COUNTIFS($AN$2:$AN$200,$G215)&gt;0,
     COUNTIFS($AO$2:$AO$200,$G215)&gt;0,
     COUNTIFS($AP$2:$AP$200,$G215)&gt;0,
     COUNTIFS($AQ$2:$AQ$200,$G215)&gt;0,
     COUNTIFS($AR$2:$AR$200,$G215)&gt;0,
     COUNTIFS($AS$2:$AS$200,$G215)&gt;0,
     COUNTIFS($AT$2:$AT$200,$G215)&gt;0,
     COUNTIFS($AU$2:$AU$200,$G215)&gt;0,
     COUNTIFS($AV$2:$AV$200,$G215)&gt;0,
     COUNTIFS($AW$2:$AW$200,$G215)&gt;0,
     COUNTIFS($AX$2:$AX$200,$G215)&gt;0,
     COUNTIFS($AY$2:$AY$200,$G215)&gt;0
   )),
  ),
  3
 ),
"")</f>
        <v/>
      </c>
      <c r="F215" s="2" t="str" cm="1">
        <f t="array" aca="1" ref="F215" ca="1">IFERROR(
 INDEX(
  _xlfn._xlws.FILTER($V$1:$AY$1,
   TRANSPOSE(
    CHOOSE({1;2;3;4;5;6;7;8;9;10;11;12;13;14;15;16;17;18;19;20;21;22;23;24;25;26;27;28;29;30},
     COUNTIFS($V$2:$V$200,$G215)&gt;0,
     COUNTIFS($W$2:$W$200,$G215)&gt;0,
     COUNTIFS($X$2:$X$200,$G215)&gt;0,
     COUNTIFS($Y$2:$Y$200,$G215)&gt;0,
     COUNTIFS($Z$2:$Z$200,$G215)&gt;0,
     COUNTIFS($AA$2:$AA$200,$G215)&gt;0,
     COUNTIFS($AB$2:$AB$200,$G215)&gt;0,
     COUNTIFS($AC$2:$AC$200,$G215)&gt;0,
     COUNTIFS($AD$2:$AD$200,$G215)&gt;0,
     COUNTIFS($AE$2:$AE$200,$G215)&gt;0,
     COUNTIFS($AF$2:$AF$200,$G215)&gt;0,
     COUNTIFS($AG$2:$AG$200,$G215)&gt;0,
     COUNTIFS($AH$2:$AH$200,$G215)&gt;0,
     COUNTIFS($AI$2:$AI$200,$G215)&gt;0,
     COUNTIFS($AJ$2:$AJ$200,$G215)&gt;0,
     COUNTIFS($AK$2:$AK$200,$G215)&gt;0,
     COUNTIFS($AL$2:$AL$200,$G215)&gt;0,
     COUNTIFS($AM$2:$AM$200,$G215)&gt;0,
     COUNTIFS($AN$2:$AN$200,$G215)&gt;0,
     COUNTIFS($AO$2:$AO$200,$G215)&gt;0,
     COUNTIFS($AP$2:$AP$200,$G215)&gt;0,
     COUNTIFS($AQ$2:$AQ$200,$G215)&gt;0,
     COUNTIFS($AR$2:$AR$200,$G215)&gt;0,
     COUNTIFS($AS$2:$AS$200,$G215)&gt;0,
     COUNTIFS($AT$2:$AT$200,$G215)&gt;0,
     COUNTIFS($AU$2:$AU$200,$G215)&gt;0,
     COUNTIFS($AV$2:$AV$200,$G215)&gt;0,
     COUNTIFS($AW$2:$AW$200,$G215)&gt;0,
     COUNTIFS($AX$2:$AX$200,$G215)&gt;0,
     COUNTIFS($AY$2:$AY$200,$G215)&gt;0
   )),
  ),
  4
 ),
"")</f>
        <v/>
      </c>
      <c r="G215" t="str">
        <f ca="1"/>
        <v>Inventory Management</v>
      </c>
      <c r="EU215" t="str">
        <f ca="1"/>
        <v>Petrified Field</v>
      </c>
      <c r="EX215" t="str">
        <f ca="1"/>
        <v>Inventory Management</v>
      </c>
    </row>
    <row r="216" spans="1:154" x14ac:dyDescent="0.25">
      <c r="A216" s="2" t="str">
        <f t="shared" ca="1" si="12"/>
        <v>5</v>
      </c>
      <c r="B216" s="2">
        <f t="shared" ca="1" si="13"/>
        <v>1</v>
      </c>
      <c r="C216" s="2" t="str">
        <f ca="1">IFERROR(
 INDEX($V$1:$BL$1,
  MATCH(TRUE,
   CHOOSE({1;2;3;4;5;6;7;8;9;10;11;12;13;14;15;16;17;18;19;20;21;22;23;24;25;26;27;28;29;30;31;32;33;34;35;36;37;38;39;40;41;42;43},
    COUNTIFS($V$2:$V$200,$G216)&gt;0,
    COUNTIFS($W$2:$W$200,$G216)&gt;0,
    COUNTIFS($X$2:$X$200,$G216)&gt;0,
    COUNTIFS($Y$2:$Y$200,$G216)&gt;0,
    COUNTIFS($Z$2:$Z$200,$G216)&gt;0,
    COUNTIFS($AA$2:$AA$200,$G216)&gt;0,
    COUNTIFS($AB$2:$AB$200,$G216)&gt;0,
    COUNTIFS($AC$2:$AC$200,$G216)&gt;0,
    COUNTIFS($AD$2:$AD$200,$G216)&gt;0,
    COUNTIFS($AE$2:$AE$200,$G216)&gt;0,
    COUNTIFS($AF$2:$AF$200,$G216)&gt;0,
    COUNTIFS($AG$2:$AG$200,$G216)&gt;0,
    COUNTIFS($AH$2:$AH$200,$G216)&gt;0,
    COUNTIFS($AI$2:$AI$200,$G216)&gt;0,
    COUNTIFS($AJ$2:$AJ$200,$G216)&gt;0,
    COUNTIFS($AK$2:$AK$200,$G216)&gt;0,
    COUNTIFS($AL$2:$AL$200,$G216)&gt;0,
    COUNTIFS($AM$2:$AM$200,$G216)&gt;0,
    COUNTIFS($AN$2:$AN$200,$G216)&gt;0,
    COUNTIFS($AO$2:$AO$200,$G216)&gt;0,
    COUNTIFS($AP$2:$AP$200,$G216)&gt;0,
    COUNTIFS($AQ$2:$AQ$200,$G216)&gt;0,
    COUNTIFS($AR$2:$AR$200,$G216)&gt;0,
    COUNTIFS($AS$2:$AS$200,$G216)&gt;0,
    COUNTIFS($AT$2:$AT$200,$G216)&gt;0,
    COUNTIFS($AU$2:$AU$200,$G216)&gt;0,
    COUNTIFS($AV$2:$AV$200,$G216)&gt;0,
    COUNTIFS($AW$2:$AW$200,$G216)&gt;0,
    COUNTIFS($AX$2:$AX$200,$G216)&gt;0,
    COUNTIFS($AY$2:$AY$200,$G216)&gt;0,
    COUNTIFS($AZ$2:$AZ$200,$G216)&gt;0,
    COUNTIFS($BA$2:$BA$200,$G216)&gt;0,
    COUNTIFS($BB$2:$BB$200,$G216)&gt;0,
    COUNTIFS($BC$2:$BC$200,$G216)&gt;0,
    COUNTIFS($BD$2:$BD$200,$G216)&gt;0,
    COUNTIFS($BE$2:$BE$200,$G216)&gt;0,
    COUNTIFS($BF$2:$BF$200,$G216)&gt;0,
    COUNTIFS($BG$2:$BG$200,$G216)&gt;0,
    COUNTIFS($BH$2:$BH$200,$G216)&gt;0,
    COUNTIFS($BI$2:$BI$200,$G216)&gt;0,
    COUNTIFS($BJ$2:$BJ$200,$G216)&gt;0,
    COUNTIFS($BK$2:$BK$200,$G216)&gt;0,
    COUNTIFS($BL$2:$BL$200,$G216)&gt;0,
    COUNTIFS($BM$2:$BM$200,$G216)&gt;0,
   ),
  0)
 ),
"")</f>
        <v>Zuko</v>
      </c>
      <c r="D216" s="2" t="str" cm="1">
        <f t="array" aca="1" ref="D216" ca="1">IFERROR(
 INDEX(
  _xlfn._xlws.FILTER($V$1:$AY$1,
   TRANSPOSE(
    CHOOSE({1;2;3;4;5;6;7;8;9;10;11;12;13;14;15;16;17;18;19;20;21;22;23;24;25;26;27;28;29;30},
     COUNTIFS($V$2:$V$200,$G216)&gt;0,
     COUNTIFS($W$2:$W$200,$G216)&gt;0,
     COUNTIFS($X$2:$X$200,$G216)&gt;0,
     COUNTIFS($Y$2:$Y$200,$G216)&gt;0,
     COUNTIFS($Z$2:$Z$200,$G216)&gt;0,
     COUNTIFS($AA$2:$AA$200,$G216)&gt;0,
     COUNTIFS($AB$2:$AB$200,$G216)&gt;0,
     COUNTIFS($AC$2:$AC$200,$G216)&gt;0,
     COUNTIFS($AD$2:$AD$200,$G216)&gt;0,
     COUNTIFS($AE$2:$AE$200,$G216)&gt;0,
     COUNTIFS($AF$2:$AF$200,$G216)&gt;0,
     COUNTIFS($AG$2:$AG$200,$G216)&gt;0,
     COUNTIFS($AH$2:$AH$200,$G216)&gt;0,
     COUNTIFS($AI$2:$AI$200,$G216)&gt;0,
     COUNTIFS($AJ$2:$AJ$200,$G216)&gt;0,
     COUNTIFS($AK$2:$AK$200,$G216)&gt;0,
     COUNTIFS($AL$2:$AL$200,$G216)&gt;0,
     COUNTIFS($AM$2:$AM$200,$G216)&gt;0,
     COUNTIFS($AN$2:$AN$200,$G216)&gt;0,
     COUNTIFS($AO$2:$AO$200,$G216)&gt;0,
     COUNTIFS($AP$2:$AP$200,$G216)&gt;0,
     COUNTIFS($AQ$2:$AQ$200,$G216)&gt;0,
     COUNTIFS($AR$2:$AR$200,$G216)&gt;0,
     COUNTIFS($AS$2:$AS$200,$G216)&gt;0,
     COUNTIFS($AT$2:$AT$200,$G216)&gt;0,
     COUNTIFS($AU$2:$AU$200,$G216)&gt;0,
     COUNTIFS($AV$2:$AV$200,$G216)&gt;0,
     COUNTIFS($AW$2:$AW$200,$G216)&gt;0,
     COUNTIFS($AX$2:$AX$200,$G216)&gt;0,
     COUNTIFS($AY$2:$AY$200,$G216)&gt;0
   )),
  ),
  2
 ),
"")</f>
        <v/>
      </c>
      <c r="E216" s="2" t="str" cm="1">
        <f t="array" aca="1" ref="E216" ca="1">IFERROR(
 INDEX(
  _xlfn._xlws.FILTER($V$1:$AY$1,
   TRANSPOSE(
    CHOOSE({1;2;3;4;5;6;7;8;9;10;11;12;13;14;15;16;17;18;19;20;21;22;23;24;25;26;27;28;29;30},
     COUNTIFS($V$2:$V$200,$G216)&gt;0,
     COUNTIFS($W$2:$W$200,$G216)&gt;0,
     COUNTIFS($X$2:$X$200,$G216)&gt;0,
     COUNTIFS($Y$2:$Y$200,$G216)&gt;0,
     COUNTIFS($Z$2:$Z$200,$G216)&gt;0,
     COUNTIFS($AA$2:$AA$200,$G216)&gt;0,
     COUNTIFS($AB$2:$AB$200,$G216)&gt;0,
     COUNTIFS($AC$2:$AC$200,$G216)&gt;0,
     COUNTIFS($AD$2:$AD$200,$G216)&gt;0,
     COUNTIFS($AE$2:$AE$200,$G216)&gt;0,
     COUNTIFS($AF$2:$AF$200,$G216)&gt;0,
     COUNTIFS($AG$2:$AG$200,$G216)&gt;0,
     COUNTIFS($AH$2:$AH$200,$G216)&gt;0,
     COUNTIFS($AI$2:$AI$200,$G216)&gt;0,
     COUNTIFS($AJ$2:$AJ$200,$G216)&gt;0,
     COUNTIFS($AK$2:$AK$200,$G216)&gt;0,
     COUNTIFS($AL$2:$AL$200,$G216)&gt;0,
     COUNTIFS($AM$2:$AM$200,$G216)&gt;0,
     COUNTIFS($AN$2:$AN$200,$G216)&gt;0,
     COUNTIFS($AO$2:$AO$200,$G216)&gt;0,
     COUNTIFS($AP$2:$AP$200,$G216)&gt;0,
     COUNTIFS($AQ$2:$AQ$200,$G216)&gt;0,
     COUNTIFS($AR$2:$AR$200,$G216)&gt;0,
     COUNTIFS($AS$2:$AS$200,$G216)&gt;0,
     COUNTIFS($AT$2:$AT$200,$G216)&gt;0,
     COUNTIFS($AU$2:$AU$200,$G216)&gt;0,
     COUNTIFS($AV$2:$AV$200,$G216)&gt;0,
     COUNTIFS($AW$2:$AW$200,$G216)&gt;0,
     COUNTIFS($AX$2:$AX$200,$G216)&gt;0,
     COUNTIFS($AY$2:$AY$200,$G216)&gt;0
   )),
  ),
  3
 ),
"")</f>
        <v/>
      </c>
      <c r="F216" s="2" t="str" cm="1">
        <f t="array" aca="1" ref="F216" ca="1">IFERROR(
 INDEX(
  _xlfn._xlws.FILTER($V$1:$AY$1,
   TRANSPOSE(
    CHOOSE({1;2;3;4;5;6;7;8;9;10;11;12;13;14;15;16;17;18;19;20;21;22;23;24;25;26;27;28;29;30},
     COUNTIFS($V$2:$V$200,$G216)&gt;0,
     COUNTIFS($W$2:$W$200,$G216)&gt;0,
     COUNTIFS($X$2:$X$200,$G216)&gt;0,
     COUNTIFS($Y$2:$Y$200,$G216)&gt;0,
     COUNTIFS($Z$2:$Z$200,$G216)&gt;0,
     COUNTIFS($AA$2:$AA$200,$G216)&gt;0,
     COUNTIFS($AB$2:$AB$200,$G216)&gt;0,
     COUNTIFS($AC$2:$AC$200,$G216)&gt;0,
     COUNTIFS($AD$2:$AD$200,$G216)&gt;0,
     COUNTIFS($AE$2:$AE$200,$G216)&gt;0,
     COUNTIFS($AF$2:$AF$200,$G216)&gt;0,
     COUNTIFS($AG$2:$AG$200,$G216)&gt;0,
     COUNTIFS($AH$2:$AH$200,$G216)&gt;0,
     COUNTIFS($AI$2:$AI$200,$G216)&gt;0,
     COUNTIFS($AJ$2:$AJ$200,$G216)&gt;0,
     COUNTIFS($AK$2:$AK$200,$G216)&gt;0,
     COUNTIFS($AL$2:$AL$200,$G216)&gt;0,
     COUNTIFS($AM$2:$AM$200,$G216)&gt;0,
     COUNTIFS($AN$2:$AN$200,$G216)&gt;0,
     COUNTIFS($AO$2:$AO$200,$G216)&gt;0,
     COUNTIFS($AP$2:$AP$200,$G216)&gt;0,
     COUNTIFS($AQ$2:$AQ$200,$G216)&gt;0,
     COUNTIFS($AR$2:$AR$200,$G216)&gt;0,
     COUNTIFS($AS$2:$AS$200,$G216)&gt;0,
     COUNTIFS($AT$2:$AT$200,$G216)&gt;0,
     COUNTIFS($AU$2:$AU$200,$G216)&gt;0,
     COUNTIFS($AV$2:$AV$200,$G216)&gt;0,
     COUNTIFS($AW$2:$AW$200,$G216)&gt;0,
     COUNTIFS($AX$2:$AX$200,$G216)&gt;0,
     COUNTIFS($AY$2:$AY$200,$G216)&gt;0
   )),
  ),
  4
 ),
"")</f>
        <v/>
      </c>
      <c r="G216" t="str">
        <f ca="1"/>
        <v>Iraxxa, Empress of Mars</v>
      </c>
      <c r="EU216" t="str">
        <f ca="1"/>
        <v>Phyrexian Arena</v>
      </c>
      <c r="EX216" t="str">
        <f ca="1"/>
        <v>Iraxxa, Empress of Mars</v>
      </c>
    </row>
    <row r="217" spans="1:154" x14ac:dyDescent="0.25">
      <c r="A217" s="2" t="str">
        <f t="shared" ca="1" si="12"/>
        <v>5</v>
      </c>
      <c r="B217" s="2">
        <f t="shared" ca="1" si="13"/>
        <v>25</v>
      </c>
      <c r="C217" s="2" t="str">
        <f ca="1">IFERROR(
 INDEX($V$1:$BL$1,
  MATCH(TRUE,
   CHOOSE({1;2;3;4;5;6;7;8;9;10;11;12;13;14;15;16;17;18;19;20;21;22;23;24;25;26;27;28;29;30;31;32;33;34;35;36;37;38;39;40;41;42;43},
    COUNTIFS($V$2:$V$200,$G217)&gt;0,
    COUNTIFS($W$2:$W$200,$G217)&gt;0,
    COUNTIFS($X$2:$X$200,$G217)&gt;0,
    COUNTIFS($Y$2:$Y$200,$G217)&gt;0,
    COUNTIFS($Z$2:$Z$200,$G217)&gt;0,
    COUNTIFS($AA$2:$AA$200,$G217)&gt;0,
    COUNTIFS($AB$2:$AB$200,$G217)&gt;0,
    COUNTIFS($AC$2:$AC$200,$G217)&gt;0,
    COUNTIFS($AD$2:$AD$200,$G217)&gt;0,
    COUNTIFS($AE$2:$AE$200,$G217)&gt;0,
    COUNTIFS($AF$2:$AF$200,$G217)&gt;0,
    COUNTIFS($AG$2:$AG$200,$G217)&gt;0,
    COUNTIFS($AH$2:$AH$200,$G217)&gt;0,
    COUNTIFS($AI$2:$AI$200,$G217)&gt;0,
    COUNTIFS($AJ$2:$AJ$200,$G217)&gt;0,
    COUNTIFS($AK$2:$AK$200,$G217)&gt;0,
    COUNTIFS($AL$2:$AL$200,$G217)&gt;0,
    COUNTIFS($AM$2:$AM$200,$G217)&gt;0,
    COUNTIFS($AN$2:$AN$200,$G217)&gt;0,
    COUNTIFS($AO$2:$AO$200,$G217)&gt;0,
    COUNTIFS($AP$2:$AP$200,$G217)&gt;0,
    COUNTIFS($AQ$2:$AQ$200,$G217)&gt;0,
    COUNTIFS($AR$2:$AR$200,$G217)&gt;0,
    COUNTIFS($AS$2:$AS$200,$G217)&gt;0,
    COUNTIFS($AT$2:$AT$200,$G217)&gt;0,
    COUNTIFS($AU$2:$AU$200,$G217)&gt;0,
    COUNTIFS($AV$2:$AV$200,$G217)&gt;0,
    COUNTIFS($AW$2:$AW$200,$G217)&gt;0,
    COUNTIFS($AX$2:$AX$200,$G217)&gt;0,
    COUNTIFS($AY$2:$AY$200,$G217)&gt;0,
    COUNTIFS($AZ$2:$AZ$200,$G217)&gt;0,
    COUNTIFS($BA$2:$BA$200,$G217)&gt;0,
    COUNTIFS($BB$2:$BB$200,$G217)&gt;0,
    COUNTIFS($BC$2:$BC$200,$G217)&gt;0,
    COUNTIFS($BD$2:$BD$200,$G217)&gt;0,
    COUNTIFS($BE$2:$BE$200,$G217)&gt;0,
    COUNTIFS($BF$2:$BF$200,$G217)&gt;0,
    COUNTIFS($BG$2:$BG$200,$G217)&gt;0,
    COUNTIFS($BH$2:$BH$200,$G217)&gt;0,
    COUNTIFS($BI$2:$BI$200,$G217)&gt;0,
    COUNTIFS($BJ$2:$BJ$200,$G217)&gt;0,
    COUNTIFS($BK$2:$BK$200,$G217)&gt;0,
    COUNTIFS($BL$2:$BL$200,$G217)&gt;0,
    COUNTIFS($BM$2:$BM$200,$G217)&gt;0,
   ),
  0)
 ),
"")</f>
        <v>Fractius</v>
      </c>
      <c r="D217" s="2" t="str" cm="1">
        <f t="array" aca="1" ref="D217" ca="1">IFERROR(
 INDEX(
  _xlfn._xlws.FILTER($V$1:$AY$1,
   TRANSPOSE(
    CHOOSE({1;2;3;4;5;6;7;8;9;10;11;12;13;14;15;16;17;18;19;20;21;22;23;24;25;26;27;28;29;30},
     COUNTIFS($V$2:$V$200,$G217)&gt;0,
     COUNTIFS($W$2:$W$200,$G217)&gt;0,
     COUNTIFS($X$2:$X$200,$G217)&gt;0,
     COUNTIFS($Y$2:$Y$200,$G217)&gt;0,
     COUNTIFS($Z$2:$Z$200,$G217)&gt;0,
     COUNTIFS($AA$2:$AA$200,$G217)&gt;0,
     COUNTIFS($AB$2:$AB$200,$G217)&gt;0,
     COUNTIFS($AC$2:$AC$200,$G217)&gt;0,
     COUNTIFS($AD$2:$AD$200,$G217)&gt;0,
     COUNTIFS($AE$2:$AE$200,$G217)&gt;0,
     COUNTIFS($AF$2:$AF$200,$G217)&gt;0,
     COUNTIFS($AG$2:$AG$200,$G217)&gt;0,
     COUNTIFS($AH$2:$AH$200,$G217)&gt;0,
     COUNTIFS($AI$2:$AI$200,$G217)&gt;0,
     COUNTIFS($AJ$2:$AJ$200,$G217)&gt;0,
     COUNTIFS($AK$2:$AK$200,$G217)&gt;0,
     COUNTIFS($AL$2:$AL$200,$G217)&gt;0,
     COUNTIFS($AM$2:$AM$200,$G217)&gt;0,
     COUNTIFS($AN$2:$AN$200,$G217)&gt;0,
     COUNTIFS($AO$2:$AO$200,$G217)&gt;0,
     COUNTIFS($AP$2:$AP$200,$G217)&gt;0,
     COUNTIFS($AQ$2:$AQ$200,$G217)&gt;0,
     COUNTIFS($AR$2:$AR$200,$G217)&gt;0,
     COUNTIFS($AS$2:$AS$200,$G217)&gt;0,
     COUNTIFS($AT$2:$AT$200,$G217)&gt;0,
     COUNTIFS($AU$2:$AU$200,$G217)&gt;0,
     COUNTIFS($AV$2:$AV$200,$G217)&gt;0,
     COUNTIFS($AW$2:$AW$200,$G217)&gt;0,
     COUNTIFS($AX$2:$AX$200,$G217)&gt;0,
     COUNTIFS($AY$2:$AY$200,$G217)&gt;0
   )),
  ),
  2
 ),
"")</f>
        <v/>
      </c>
      <c r="E217" s="2" t="str" cm="1">
        <f t="array" aca="1" ref="E217" ca="1">IFERROR(
 INDEX(
  _xlfn._xlws.FILTER($V$1:$AY$1,
   TRANSPOSE(
    CHOOSE({1;2;3;4;5;6;7;8;9;10;11;12;13;14;15;16;17;18;19;20;21;22;23;24;25;26;27;28;29;30},
     COUNTIFS($V$2:$V$200,$G217)&gt;0,
     COUNTIFS($W$2:$W$200,$G217)&gt;0,
     COUNTIFS($X$2:$X$200,$G217)&gt;0,
     COUNTIFS($Y$2:$Y$200,$G217)&gt;0,
     COUNTIFS($Z$2:$Z$200,$G217)&gt;0,
     COUNTIFS($AA$2:$AA$200,$G217)&gt;0,
     COUNTIFS($AB$2:$AB$200,$G217)&gt;0,
     COUNTIFS($AC$2:$AC$200,$G217)&gt;0,
     COUNTIFS($AD$2:$AD$200,$G217)&gt;0,
     COUNTIFS($AE$2:$AE$200,$G217)&gt;0,
     COUNTIFS($AF$2:$AF$200,$G217)&gt;0,
     COUNTIFS($AG$2:$AG$200,$G217)&gt;0,
     COUNTIFS($AH$2:$AH$200,$G217)&gt;0,
     COUNTIFS($AI$2:$AI$200,$G217)&gt;0,
     COUNTIFS($AJ$2:$AJ$200,$G217)&gt;0,
     COUNTIFS($AK$2:$AK$200,$G217)&gt;0,
     COUNTIFS($AL$2:$AL$200,$G217)&gt;0,
     COUNTIFS($AM$2:$AM$200,$G217)&gt;0,
     COUNTIFS($AN$2:$AN$200,$G217)&gt;0,
     COUNTIFS($AO$2:$AO$200,$G217)&gt;0,
     COUNTIFS($AP$2:$AP$200,$G217)&gt;0,
     COUNTIFS($AQ$2:$AQ$200,$G217)&gt;0,
     COUNTIFS($AR$2:$AR$200,$G217)&gt;0,
     COUNTIFS($AS$2:$AS$200,$G217)&gt;0,
     COUNTIFS($AT$2:$AT$200,$G217)&gt;0,
     COUNTIFS($AU$2:$AU$200,$G217)&gt;0,
     COUNTIFS($AV$2:$AV$200,$G217)&gt;0,
     COUNTIFS($AW$2:$AW$200,$G217)&gt;0,
     COUNTIFS($AX$2:$AX$200,$G217)&gt;0,
     COUNTIFS($AY$2:$AY$200,$G217)&gt;0
   )),
  ),
  3
 ),
"")</f>
        <v/>
      </c>
      <c r="F217" s="2" t="str" cm="1">
        <f t="array" aca="1" ref="F217" ca="1">IFERROR(
 INDEX(
  _xlfn._xlws.FILTER($V$1:$AY$1,
   TRANSPOSE(
    CHOOSE({1;2;3;4;5;6;7;8;9;10;11;12;13;14;15;16;17;18;19;20;21;22;23;24;25;26;27;28;29;30},
     COUNTIFS($V$2:$V$200,$G217)&gt;0,
     COUNTIFS($W$2:$W$200,$G217)&gt;0,
     COUNTIFS($X$2:$X$200,$G217)&gt;0,
     COUNTIFS($Y$2:$Y$200,$G217)&gt;0,
     COUNTIFS($Z$2:$Z$200,$G217)&gt;0,
     COUNTIFS($AA$2:$AA$200,$G217)&gt;0,
     COUNTIFS($AB$2:$AB$200,$G217)&gt;0,
     COUNTIFS($AC$2:$AC$200,$G217)&gt;0,
     COUNTIFS($AD$2:$AD$200,$G217)&gt;0,
     COUNTIFS($AE$2:$AE$200,$G217)&gt;0,
     COUNTIFS($AF$2:$AF$200,$G217)&gt;0,
     COUNTIFS($AG$2:$AG$200,$G217)&gt;0,
     COUNTIFS($AH$2:$AH$200,$G217)&gt;0,
     COUNTIFS($AI$2:$AI$200,$G217)&gt;0,
     COUNTIFS($AJ$2:$AJ$200,$G217)&gt;0,
     COUNTIFS($AK$2:$AK$200,$G217)&gt;0,
     COUNTIFS($AL$2:$AL$200,$G217)&gt;0,
     COUNTIFS($AM$2:$AM$200,$G217)&gt;0,
     COUNTIFS($AN$2:$AN$200,$G217)&gt;0,
     COUNTIFS($AO$2:$AO$200,$G217)&gt;0,
     COUNTIFS($AP$2:$AP$200,$G217)&gt;0,
     COUNTIFS($AQ$2:$AQ$200,$G217)&gt;0,
     COUNTIFS($AR$2:$AR$200,$G217)&gt;0,
     COUNTIFS($AS$2:$AS$200,$G217)&gt;0,
     COUNTIFS($AT$2:$AT$200,$G217)&gt;0,
     COUNTIFS($AU$2:$AU$200,$G217)&gt;0,
     COUNTIFS($AV$2:$AV$200,$G217)&gt;0,
     COUNTIFS($AW$2:$AW$200,$G217)&gt;0,
     COUNTIFS($AX$2:$AX$200,$G217)&gt;0,
     COUNTIFS($AY$2:$AY$200,$G217)&gt;0
   )),
  ),
  4
 ),
"")</f>
        <v/>
      </c>
      <c r="G217" t="str">
        <f ca="1"/>
        <v>Island</v>
      </c>
      <c r="EU217" t="str">
        <f ca="1"/>
        <v>Phyrexian Tower</v>
      </c>
      <c r="EX217" t="str">
        <f ca="1"/>
        <v>Island</v>
      </c>
    </row>
    <row r="218" spans="1:154" x14ac:dyDescent="0.25">
      <c r="A218" s="2" t="str">
        <f t="shared" ca="1" si="12"/>
        <v>5</v>
      </c>
      <c r="B218" s="2">
        <f t="shared" ca="1" si="13"/>
        <v>1</v>
      </c>
      <c r="C218" s="2" t="str">
        <f ca="1">IFERROR(
 INDEX($V$1:$BL$1,
  MATCH(TRUE,
   CHOOSE({1;2;3;4;5;6;7;8;9;10;11;12;13;14;15;16;17;18;19;20;21;22;23;24;25;26;27;28;29;30;31;32;33;34;35;36;37;38;39;40;41;42;43},
    COUNTIFS($V$2:$V$200,$G218)&gt;0,
    COUNTIFS($W$2:$W$200,$G218)&gt;0,
    COUNTIFS($X$2:$X$200,$G218)&gt;0,
    COUNTIFS($Y$2:$Y$200,$G218)&gt;0,
    COUNTIFS($Z$2:$Z$200,$G218)&gt;0,
    COUNTIFS($AA$2:$AA$200,$G218)&gt;0,
    COUNTIFS($AB$2:$AB$200,$G218)&gt;0,
    COUNTIFS($AC$2:$AC$200,$G218)&gt;0,
    COUNTIFS($AD$2:$AD$200,$G218)&gt;0,
    COUNTIFS($AE$2:$AE$200,$G218)&gt;0,
    COUNTIFS($AF$2:$AF$200,$G218)&gt;0,
    COUNTIFS($AG$2:$AG$200,$G218)&gt;0,
    COUNTIFS($AH$2:$AH$200,$G218)&gt;0,
    COUNTIFS($AI$2:$AI$200,$G218)&gt;0,
    COUNTIFS($AJ$2:$AJ$200,$G218)&gt;0,
    COUNTIFS($AK$2:$AK$200,$G218)&gt;0,
    COUNTIFS($AL$2:$AL$200,$G218)&gt;0,
    COUNTIFS($AM$2:$AM$200,$G218)&gt;0,
    COUNTIFS($AN$2:$AN$200,$G218)&gt;0,
    COUNTIFS($AO$2:$AO$200,$G218)&gt;0,
    COUNTIFS($AP$2:$AP$200,$G218)&gt;0,
    COUNTIFS($AQ$2:$AQ$200,$G218)&gt;0,
    COUNTIFS($AR$2:$AR$200,$G218)&gt;0,
    COUNTIFS($AS$2:$AS$200,$G218)&gt;0,
    COUNTIFS($AT$2:$AT$200,$G218)&gt;0,
    COUNTIFS($AU$2:$AU$200,$G218)&gt;0,
    COUNTIFS($AV$2:$AV$200,$G218)&gt;0,
    COUNTIFS($AW$2:$AW$200,$G218)&gt;0,
    COUNTIFS($AX$2:$AX$200,$G218)&gt;0,
    COUNTIFS($AY$2:$AY$200,$G218)&gt;0,
    COUNTIFS($AZ$2:$AZ$200,$G218)&gt;0,
    COUNTIFS($BA$2:$BA$200,$G218)&gt;0,
    COUNTIFS($BB$2:$BB$200,$G218)&gt;0,
    COUNTIFS($BC$2:$BC$200,$G218)&gt;0,
    COUNTIFS($BD$2:$BD$200,$G218)&gt;0,
    COUNTIFS($BE$2:$BE$200,$G218)&gt;0,
    COUNTIFS($BF$2:$BF$200,$G218)&gt;0,
    COUNTIFS($BG$2:$BG$200,$G218)&gt;0,
    COUNTIFS($BH$2:$BH$200,$G218)&gt;0,
    COUNTIFS($BI$2:$BI$200,$G218)&gt;0,
    COUNTIFS($BJ$2:$BJ$200,$G218)&gt;0,
    COUNTIFS($BK$2:$BK$200,$G218)&gt;0,
    COUNTIFS($BL$2:$BL$200,$G218)&gt;0,
    COUNTIFS($BM$2:$BM$200,$G218)&gt;0,
   ),
  0)
 ),
"")</f>
        <v>Little</v>
      </c>
      <c r="D218" s="2" t="str" cm="1">
        <f t="array" aca="1" ref="D218" ca="1">IFERROR(
 INDEX(
  _xlfn._xlws.FILTER($V$1:$AY$1,
   TRANSPOSE(
    CHOOSE({1;2;3;4;5;6;7;8;9;10;11;12;13;14;15;16;17;18;19;20;21;22;23;24;25;26;27;28;29;30},
     COUNTIFS($V$2:$V$200,$G218)&gt;0,
     COUNTIFS($W$2:$W$200,$G218)&gt;0,
     COUNTIFS($X$2:$X$200,$G218)&gt;0,
     COUNTIFS($Y$2:$Y$200,$G218)&gt;0,
     COUNTIFS($Z$2:$Z$200,$G218)&gt;0,
     COUNTIFS($AA$2:$AA$200,$G218)&gt;0,
     COUNTIFS($AB$2:$AB$200,$G218)&gt;0,
     COUNTIFS($AC$2:$AC$200,$G218)&gt;0,
     COUNTIFS($AD$2:$AD$200,$G218)&gt;0,
     COUNTIFS($AE$2:$AE$200,$G218)&gt;0,
     COUNTIFS($AF$2:$AF$200,$G218)&gt;0,
     COUNTIFS($AG$2:$AG$200,$G218)&gt;0,
     COUNTIFS($AH$2:$AH$200,$G218)&gt;0,
     COUNTIFS($AI$2:$AI$200,$G218)&gt;0,
     COUNTIFS($AJ$2:$AJ$200,$G218)&gt;0,
     COUNTIFS($AK$2:$AK$200,$G218)&gt;0,
     COUNTIFS($AL$2:$AL$200,$G218)&gt;0,
     COUNTIFS($AM$2:$AM$200,$G218)&gt;0,
     COUNTIFS($AN$2:$AN$200,$G218)&gt;0,
     COUNTIFS($AO$2:$AO$200,$G218)&gt;0,
     COUNTIFS($AP$2:$AP$200,$G218)&gt;0,
     COUNTIFS($AQ$2:$AQ$200,$G218)&gt;0,
     COUNTIFS($AR$2:$AR$200,$G218)&gt;0,
     COUNTIFS($AS$2:$AS$200,$G218)&gt;0,
     COUNTIFS($AT$2:$AT$200,$G218)&gt;0,
     COUNTIFS($AU$2:$AU$200,$G218)&gt;0,
     COUNTIFS($AV$2:$AV$200,$G218)&gt;0,
     COUNTIFS($AW$2:$AW$200,$G218)&gt;0,
     COUNTIFS($AX$2:$AX$200,$G218)&gt;0,
     COUNTIFS($AY$2:$AY$200,$G218)&gt;0
   )),
  ),
  2
 ),
"")</f>
        <v/>
      </c>
      <c r="E218" s="2" t="str" cm="1">
        <f t="array" aca="1" ref="E218" ca="1">IFERROR(
 INDEX(
  _xlfn._xlws.FILTER($V$1:$AY$1,
   TRANSPOSE(
    CHOOSE({1;2;3;4;5;6;7;8;9;10;11;12;13;14;15;16;17;18;19;20;21;22;23;24;25;26;27;28;29;30},
     COUNTIFS($V$2:$V$200,$G218)&gt;0,
     COUNTIFS($W$2:$W$200,$G218)&gt;0,
     COUNTIFS($X$2:$X$200,$G218)&gt;0,
     COUNTIFS($Y$2:$Y$200,$G218)&gt;0,
     COUNTIFS($Z$2:$Z$200,$G218)&gt;0,
     COUNTIFS($AA$2:$AA$200,$G218)&gt;0,
     COUNTIFS($AB$2:$AB$200,$G218)&gt;0,
     COUNTIFS($AC$2:$AC$200,$G218)&gt;0,
     COUNTIFS($AD$2:$AD$200,$G218)&gt;0,
     COUNTIFS($AE$2:$AE$200,$G218)&gt;0,
     COUNTIFS($AF$2:$AF$200,$G218)&gt;0,
     COUNTIFS($AG$2:$AG$200,$G218)&gt;0,
     COUNTIFS($AH$2:$AH$200,$G218)&gt;0,
     COUNTIFS($AI$2:$AI$200,$G218)&gt;0,
     COUNTIFS($AJ$2:$AJ$200,$G218)&gt;0,
     COUNTIFS($AK$2:$AK$200,$G218)&gt;0,
     COUNTIFS($AL$2:$AL$200,$G218)&gt;0,
     COUNTIFS($AM$2:$AM$200,$G218)&gt;0,
     COUNTIFS($AN$2:$AN$200,$G218)&gt;0,
     COUNTIFS($AO$2:$AO$200,$G218)&gt;0,
     COUNTIFS($AP$2:$AP$200,$G218)&gt;0,
     COUNTIFS($AQ$2:$AQ$200,$G218)&gt;0,
     COUNTIFS($AR$2:$AR$200,$G218)&gt;0,
     COUNTIFS($AS$2:$AS$200,$G218)&gt;0,
     COUNTIFS($AT$2:$AT$200,$G218)&gt;0,
     COUNTIFS($AU$2:$AU$200,$G218)&gt;0,
     COUNTIFS($AV$2:$AV$200,$G218)&gt;0,
     COUNTIFS($AW$2:$AW$200,$G218)&gt;0,
     COUNTIFS($AX$2:$AX$200,$G218)&gt;0,
     COUNTIFS($AY$2:$AY$200,$G218)&gt;0
   )),
  ),
  3
 ),
"")</f>
        <v/>
      </c>
      <c r="F218" s="2" t="str" cm="1">
        <f t="array" aca="1" ref="F218" ca="1">IFERROR(
 INDEX(
  _xlfn._xlws.FILTER($V$1:$AY$1,
   TRANSPOSE(
    CHOOSE({1;2;3;4;5;6;7;8;9;10;11;12;13;14;15;16;17;18;19;20;21;22;23;24;25;26;27;28;29;30},
     COUNTIFS($V$2:$V$200,$G218)&gt;0,
     COUNTIFS($W$2:$W$200,$G218)&gt;0,
     COUNTIFS($X$2:$X$200,$G218)&gt;0,
     COUNTIFS($Y$2:$Y$200,$G218)&gt;0,
     COUNTIFS($Z$2:$Z$200,$G218)&gt;0,
     COUNTIFS($AA$2:$AA$200,$G218)&gt;0,
     COUNTIFS($AB$2:$AB$200,$G218)&gt;0,
     COUNTIFS($AC$2:$AC$200,$G218)&gt;0,
     COUNTIFS($AD$2:$AD$200,$G218)&gt;0,
     COUNTIFS($AE$2:$AE$200,$G218)&gt;0,
     COUNTIFS($AF$2:$AF$200,$G218)&gt;0,
     COUNTIFS($AG$2:$AG$200,$G218)&gt;0,
     COUNTIFS($AH$2:$AH$200,$G218)&gt;0,
     COUNTIFS($AI$2:$AI$200,$G218)&gt;0,
     COUNTIFS($AJ$2:$AJ$200,$G218)&gt;0,
     COUNTIFS($AK$2:$AK$200,$G218)&gt;0,
     COUNTIFS($AL$2:$AL$200,$G218)&gt;0,
     COUNTIFS($AM$2:$AM$200,$G218)&gt;0,
     COUNTIFS($AN$2:$AN$200,$G218)&gt;0,
     COUNTIFS($AO$2:$AO$200,$G218)&gt;0,
     COUNTIFS($AP$2:$AP$200,$G218)&gt;0,
     COUNTIFS($AQ$2:$AQ$200,$G218)&gt;0,
     COUNTIFS($AR$2:$AR$200,$G218)&gt;0,
     COUNTIFS($AS$2:$AS$200,$G218)&gt;0,
     COUNTIFS($AT$2:$AT$200,$G218)&gt;0,
     COUNTIFS($AU$2:$AU$200,$G218)&gt;0,
     COUNTIFS($AV$2:$AV$200,$G218)&gt;0,
     COUNTIFS($AW$2:$AW$200,$G218)&gt;0,
     COUNTIFS($AX$2:$AX$200,$G218)&gt;0,
     COUNTIFS($AY$2:$AY$200,$G218)&gt;0
   )),
  ),
  4
 ),
"")</f>
        <v/>
      </c>
      <c r="G218" t="str">
        <f ca="1"/>
        <v>Isolated Chapel</v>
      </c>
      <c r="EU218" t="str">
        <f ca="1"/>
        <v>Plains</v>
      </c>
      <c r="EX218" t="str">
        <f ca="1"/>
        <v>Isolated Chapel</v>
      </c>
    </row>
    <row r="219" spans="1:154" x14ac:dyDescent="0.25">
      <c r="A219" s="2" t="str">
        <f t="shared" ca="1" si="12"/>
        <v>5</v>
      </c>
      <c r="B219" s="2">
        <f t="shared" ca="1" si="13"/>
        <v>1</v>
      </c>
      <c r="C219" s="2" t="str">
        <f ca="1">IFERROR(
 INDEX($V$1:$BL$1,
  MATCH(TRUE,
   CHOOSE({1;2;3;4;5;6;7;8;9;10;11;12;13;14;15;16;17;18;19;20;21;22;23;24;25;26;27;28;29;30;31;32;33;34;35;36;37;38;39;40;41;42;43},
    COUNTIFS($V$2:$V$200,$G219)&gt;0,
    COUNTIFS($W$2:$W$200,$G219)&gt;0,
    COUNTIFS($X$2:$X$200,$G219)&gt;0,
    COUNTIFS($Y$2:$Y$200,$G219)&gt;0,
    COUNTIFS($Z$2:$Z$200,$G219)&gt;0,
    COUNTIFS($AA$2:$AA$200,$G219)&gt;0,
    COUNTIFS($AB$2:$AB$200,$G219)&gt;0,
    COUNTIFS($AC$2:$AC$200,$G219)&gt;0,
    COUNTIFS($AD$2:$AD$200,$G219)&gt;0,
    COUNTIFS($AE$2:$AE$200,$G219)&gt;0,
    COUNTIFS($AF$2:$AF$200,$G219)&gt;0,
    COUNTIFS($AG$2:$AG$200,$G219)&gt;0,
    COUNTIFS($AH$2:$AH$200,$G219)&gt;0,
    COUNTIFS($AI$2:$AI$200,$G219)&gt;0,
    COUNTIFS($AJ$2:$AJ$200,$G219)&gt;0,
    COUNTIFS($AK$2:$AK$200,$G219)&gt;0,
    COUNTIFS($AL$2:$AL$200,$G219)&gt;0,
    COUNTIFS($AM$2:$AM$200,$G219)&gt;0,
    COUNTIFS($AN$2:$AN$200,$G219)&gt;0,
    COUNTIFS($AO$2:$AO$200,$G219)&gt;0,
    COUNTIFS($AP$2:$AP$200,$G219)&gt;0,
    COUNTIFS($AQ$2:$AQ$200,$G219)&gt;0,
    COUNTIFS($AR$2:$AR$200,$G219)&gt;0,
    COUNTIFS($AS$2:$AS$200,$G219)&gt;0,
    COUNTIFS($AT$2:$AT$200,$G219)&gt;0,
    COUNTIFS($AU$2:$AU$200,$G219)&gt;0,
    COUNTIFS($AV$2:$AV$200,$G219)&gt;0,
    COUNTIFS($AW$2:$AW$200,$G219)&gt;0,
    COUNTIFS($AX$2:$AX$200,$G219)&gt;0,
    COUNTIFS($AY$2:$AY$200,$G219)&gt;0,
    COUNTIFS($AZ$2:$AZ$200,$G219)&gt;0,
    COUNTIFS($BA$2:$BA$200,$G219)&gt;0,
    COUNTIFS($BB$2:$BB$200,$G219)&gt;0,
    COUNTIFS($BC$2:$BC$200,$G219)&gt;0,
    COUNTIFS($BD$2:$BD$200,$G219)&gt;0,
    COUNTIFS($BE$2:$BE$200,$G219)&gt;0,
    COUNTIFS($BF$2:$BF$200,$G219)&gt;0,
    COUNTIFS($BG$2:$BG$200,$G219)&gt;0,
    COUNTIFS($BH$2:$BH$200,$G219)&gt;0,
    COUNTIFS($BI$2:$BI$200,$G219)&gt;0,
    COUNTIFS($BJ$2:$BJ$200,$G219)&gt;0,
    COUNTIFS($BK$2:$BK$200,$G219)&gt;0,
    COUNTIFS($BL$2:$BL$200,$G219)&gt;0,
    COUNTIFS($BM$2:$BM$200,$G219)&gt;0,
   ),
  0)
 ),
"")</f>
        <v>Little</v>
      </c>
      <c r="D219" s="2" t="str" cm="1">
        <f t="array" aca="1" ref="D219" ca="1">IFERROR(
 INDEX(
  _xlfn._xlws.FILTER($V$1:$AY$1,
   TRANSPOSE(
    CHOOSE({1;2;3;4;5;6;7;8;9;10;11;12;13;14;15;16;17;18;19;20;21;22;23;24;25;26;27;28;29;30},
     COUNTIFS($V$2:$V$200,$G219)&gt;0,
     COUNTIFS($W$2:$W$200,$G219)&gt;0,
     COUNTIFS($X$2:$X$200,$G219)&gt;0,
     COUNTIFS($Y$2:$Y$200,$G219)&gt;0,
     COUNTIFS($Z$2:$Z$200,$G219)&gt;0,
     COUNTIFS($AA$2:$AA$200,$G219)&gt;0,
     COUNTIFS($AB$2:$AB$200,$G219)&gt;0,
     COUNTIFS($AC$2:$AC$200,$G219)&gt;0,
     COUNTIFS($AD$2:$AD$200,$G219)&gt;0,
     COUNTIFS($AE$2:$AE$200,$G219)&gt;0,
     COUNTIFS($AF$2:$AF$200,$G219)&gt;0,
     COUNTIFS($AG$2:$AG$200,$G219)&gt;0,
     COUNTIFS($AH$2:$AH$200,$G219)&gt;0,
     COUNTIFS($AI$2:$AI$200,$G219)&gt;0,
     COUNTIFS($AJ$2:$AJ$200,$G219)&gt;0,
     COUNTIFS($AK$2:$AK$200,$G219)&gt;0,
     COUNTIFS($AL$2:$AL$200,$G219)&gt;0,
     COUNTIFS($AM$2:$AM$200,$G219)&gt;0,
     COUNTIFS($AN$2:$AN$200,$G219)&gt;0,
     COUNTIFS($AO$2:$AO$200,$G219)&gt;0,
     COUNTIFS($AP$2:$AP$200,$G219)&gt;0,
     COUNTIFS($AQ$2:$AQ$200,$G219)&gt;0,
     COUNTIFS($AR$2:$AR$200,$G219)&gt;0,
     COUNTIFS($AS$2:$AS$200,$G219)&gt;0,
     COUNTIFS($AT$2:$AT$200,$G219)&gt;0,
     COUNTIFS($AU$2:$AU$200,$G219)&gt;0,
     COUNTIFS($AV$2:$AV$200,$G219)&gt;0,
     COUNTIFS($AW$2:$AW$200,$G219)&gt;0,
     COUNTIFS($AX$2:$AX$200,$G219)&gt;0,
     COUNTIFS($AY$2:$AY$200,$G219)&gt;0
   )),
  ),
  2
 ),
"")</f>
        <v/>
      </c>
      <c r="E219" s="2" t="str" cm="1">
        <f t="array" aca="1" ref="E219" ca="1">IFERROR(
 INDEX(
  _xlfn._xlws.FILTER($V$1:$AY$1,
   TRANSPOSE(
    CHOOSE({1;2;3;4;5;6;7;8;9;10;11;12;13;14;15;16;17;18;19;20;21;22;23;24;25;26;27;28;29;30},
     COUNTIFS($V$2:$V$200,$G219)&gt;0,
     COUNTIFS($W$2:$W$200,$G219)&gt;0,
     COUNTIFS($X$2:$X$200,$G219)&gt;0,
     COUNTIFS($Y$2:$Y$200,$G219)&gt;0,
     COUNTIFS($Z$2:$Z$200,$G219)&gt;0,
     COUNTIFS($AA$2:$AA$200,$G219)&gt;0,
     COUNTIFS($AB$2:$AB$200,$G219)&gt;0,
     COUNTIFS($AC$2:$AC$200,$G219)&gt;0,
     COUNTIFS($AD$2:$AD$200,$G219)&gt;0,
     COUNTIFS($AE$2:$AE$200,$G219)&gt;0,
     COUNTIFS($AF$2:$AF$200,$G219)&gt;0,
     COUNTIFS($AG$2:$AG$200,$G219)&gt;0,
     COUNTIFS($AH$2:$AH$200,$G219)&gt;0,
     COUNTIFS($AI$2:$AI$200,$G219)&gt;0,
     COUNTIFS($AJ$2:$AJ$200,$G219)&gt;0,
     COUNTIFS($AK$2:$AK$200,$G219)&gt;0,
     COUNTIFS($AL$2:$AL$200,$G219)&gt;0,
     COUNTIFS($AM$2:$AM$200,$G219)&gt;0,
     COUNTIFS($AN$2:$AN$200,$G219)&gt;0,
     COUNTIFS($AO$2:$AO$200,$G219)&gt;0,
     COUNTIFS($AP$2:$AP$200,$G219)&gt;0,
     COUNTIFS($AQ$2:$AQ$200,$G219)&gt;0,
     COUNTIFS($AR$2:$AR$200,$G219)&gt;0,
     COUNTIFS($AS$2:$AS$200,$G219)&gt;0,
     COUNTIFS($AT$2:$AT$200,$G219)&gt;0,
     COUNTIFS($AU$2:$AU$200,$G219)&gt;0,
     COUNTIFS($AV$2:$AV$200,$G219)&gt;0,
     COUNTIFS($AW$2:$AW$200,$G219)&gt;0,
     COUNTIFS($AX$2:$AX$200,$G219)&gt;0,
     COUNTIFS($AY$2:$AY$200,$G219)&gt;0
   )),
  ),
  3
 ),
"")</f>
        <v/>
      </c>
      <c r="F219" s="2" t="str" cm="1">
        <f t="array" aca="1" ref="F219" ca="1">IFERROR(
 INDEX(
  _xlfn._xlws.FILTER($V$1:$AY$1,
   TRANSPOSE(
    CHOOSE({1;2;3;4;5;6;7;8;9;10;11;12;13;14;15;16;17;18;19;20;21;22;23;24;25;26;27;28;29;30},
     COUNTIFS($V$2:$V$200,$G219)&gt;0,
     COUNTIFS($W$2:$W$200,$G219)&gt;0,
     COUNTIFS($X$2:$X$200,$G219)&gt;0,
     COUNTIFS($Y$2:$Y$200,$G219)&gt;0,
     COUNTIFS($Z$2:$Z$200,$G219)&gt;0,
     COUNTIFS($AA$2:$AA$200,$G219)&gt;0,
     COUNTIFS($AB$2:$AB$200,$G219)&gt;0,
     COUNTIFS($AC$2:$AC$200,$G219)&gt;0,
     COUNTIFS($AD$2:$AD$200,$G219)&gt;0,
     COUNTIFS($AE$2:$AE$200,$G219)&gt;0,
     COUNTIFS($AF$2:$AF$200,$G219)&gt;0,
     COUNTIFS($AG$2:$AG$200,$G219)&gt;0,
     COUNTIFS($AH$2:$AH$200,$G219)&gt;0,
     COUNTIFS($AI$2:$AI$200,$G219)&gt;0,
     COUNTIFS($AJ$2:$AJ$200,$G219)&gt;0,
     COUNTIFS($AK$2:$AK$200,$G219)&gt;0,
     COUNTIFS($AL$2:$AL$200,$G219)&gt;0,
     COUNTIFS($AM$2:$AM$200,$G219)&gt;0,
     COUNTIFS($AN$2:$AN$200,$G219)&gt;0,
     COUNTIFS($AO$2:$AO$200,$G219)&gt;0,
     COUNTIFS($AP$2:$AP$200,$G219)&gt;0,
     COUNTIFS($AQ$2:$AQ$200,$G219)&gt;0,
     COUNTIFS($AR$2:$AR$200,$G219)&gt;0,
     COUNTIFS($AS$2:$AS$200,$G219)&gt;0,
     COUNTIFS($AT$2:$AT$200,$G219)&gt;0,
     COUNTIFS($AU$2:$AU$200,$G219)&gt;0,
     COUNTIFS($AV$2:$AV$200,$G219)&gt;0,
     COUNTIFS($AW$2:$AW$200,$G219)&gt;0,
     COUNTIFS($AX$2:$AX$200,$G219)&gt;0,
     COUNTIFS($AY$2:$AY$200,$G219)&gt;0
   )),
  ),
  4
 ),
"")</f>
        <v/>
      </c>
      <c r="G219" t="str">
        <f ca="1"/>
        <v>Isshin, Two Heavens as One</v>
      </c>
      <c r="EU219" t="str">
        <f ca="1"/>
        <v>Polluted Delta</v>
      </c>
      <c r="EX219" t="str">
        <f ca="1"/>
        <v>Isshin, Two Heavens as One</v>
      </c>
    </row>
    <row r="220" spans="1:154" x14ac:dyDescent="0.25">
      <c r="A220" s="2" t="str">
        <f t="shared" ca="1" si="12"/>
        <v>5</v>
      </c>
      <c r="B220" s="2">
        <f t="shared" ca="1" si="13"/>
        <v>1</v>
      </c>
      <c r="C220" s="2" t="str">
        <f ca="1">IFERROR(
 INDEX($V$1:$BL$1,
  MATCH(TRUE,
   CHOOSE({1;2;3;4;5;6;7;8;9;10;11;12;13;14;15;16;17;18;19;20;21;22;23;24;25;26;27;28;29;30;31;32;33;34;35;36;37;38;39;40;41;42;43},
    COUNTIFS($V$2:$V$200,$G220)&gt;0,
    COUNTIFS($W$2:$W$200,$G220)&gt;0,
    COUNTIFS($X$2:$X$200,$G220)&gt;0,
    COUNTIFS($Y$2:$Y$200,$G220)&gt;0,
    COUNTIFS($Z$2:$Z$200,$G220)&gt;0,
    COUNTIFS($AA$2:$AA$200,$G220)&gt;0,
    COUNTIFS($AB$2:$AB$200,$G220)&gt;0,
    COUNTIFS($AC$2:$AC$200,$G220)&gt;0,
    COUNTIFS($AD$2:$AD$200,$G220)&gt;0,
    COUNTIFS($AE$2:$AE$200,$G220)&gt;0,
    COUNTIFS($AF$2:$AF$200,$G220)&gt;0,
    COUNTIFS($AG$2:$AG$200,$G220)&gt;0,
    COUNTIFS($AH$2:$AH$200,$G220)&gt;0,
    COUNTIFS($AI$2:$AI$200,$G220)&gt;0,
    COUNTIFS($AJ$2:$AJ$200,$G220)&gt;0,
    COUNTIFS($AK$2:$AK$200,$G220)&gt;0,
    COUNTIFS($AL$2:$AL$200,$G220)&gt;0,
    COUNTIFS($AM$2:$AM$200,$G220)&gt;0,
    COUNTIFS($AN$2:$AN$200,$G220)&gt;0,
    COUNTIFS($AO$2:$AO$200,$G220)&gt;0,
    COUNTIFS($AP$2:$AP$200,$G220)&gt;0,
    COUNTIFS($AQ$2:$AQ$200,$G220)&gt;0,
    COUNTIFS($AR$2:$AR$200,$G220)&gt;0,
    COUNTIFS($AS$2:$AS$200,$G220)&gt;0,
    COUNTIFS($AT$2:$AT$200,$G220)&gt;0,
    COUNTIFS($AU$2:$AU$200,$G220)&gt;0,
    COUNTIFS($AV$2:$AV$200,$G220)&gt;0,
    COUNTIFS($AW$2:$AW$200,$G220)&gt;0,
    COUNTIFS($AX$2:$AX$200,$G220)&gt;0,
    COUNTIFS($AY$2:$AY$200,$G220)&gt;0,
    COUNTIFS($AZ$2:$AZ$200,$G220)&gt;0,
    COUNTIFS($BA$2:$BA$200,$G220)&gt;0,
    COUNTIFS($BB$2:$BB$200,$G220)&gt;0,
    COUNTIFS($BC$2:$BC$200,$G220)&gt;0,
    COUNTIFS($BD$2:$BD$200,$G220)&gt;0,
    COUNTIFS($BE$2:$BE$200,$G220)&gt;0,
    COUNTIFS($BF$2:$BF$200,$G220)&gt;0,
    COUNTIFS($BG$2:$BG$200,$G220)&gt;0,
    COUNTIFS($BH$2:$BH$200,$G220)&gt;0,
    COUNTIFS($BI$2:$BI$200,$G220)&gt;0,
    COUNTIFS($BJ$2:$BJ$200,$G220)&gt;0,
    COUNTIFS($BK$2:$BK$200,$G220)&gt;0,
    COUNTIFS($BL$2:$BL$200,$G220)&gt;0,
    COUNTIFS($BM$2:$BM$200,$G220)&gt;0,
   ),
  0)
 ),
"")</f>
        <v>4cRash</v>
      </c>
      <c r="D220" s="2" t="str" cm="1">
        <f t="array" aca="1" ref="D220" ca="1">IFERROR(
 INDEX(
  _xlfn._xlws.FILTER($V$1:$AY$1,
   TRANSPOSE(
    CHOOSE({1;2;3;4;5;6;7;8;9;10;11;12;13;14;15;16;17;18;19;20;21;22;23;24;25;26;27;28;29;30},
     COUNTIFS($V$2:$V$200,$G220)&gt;0,
     COUNTIFS($W$2:$W$200,$G220)&gt;0,
     COUNTIFS($X$2:$X$200,$G220)&gt;0,
     COUNTIFS($Y$2:$Y$200,$G220)&gt;0,
     COUNTIFS($Z$2:$Z$200,$G220)&gt;0,
     COUNTIFS($AA$2:$AA$200,$G220)&gt;0,
     COUNTIFS($AB$2:$AB$200,$G220)&gt;0,
     COUNTIFS($AC$2:$AC$200,$G220)&gt;0,
     COUNTIFS($AD$2:$AD$200,$G220)&gt;0,
     COUNTIFS($AE$2:$AE$200,$G220)&gt;0,
     COUNTIFS($AF$2:$AF$200,$G220)&gt;0,
     COUNTIFS($AG$2:$AG$200,$G220)&gt;0,
     COUNTIFS($AH$2:$AH$200,$G220)&gt;0,
     COUNTIFS($AI$2:$AI$200,$G220)&gt;0,
     COUNTIFS($AJ$2:$AJ$200,$G220)&gt;0,
     COUNTIFS($AK$2:$AK$200,$G220)&gt;0,
     COUNTIFS($AL$2:$AL$200,$G220)&gt;0,
     COUNTIFS($AM$2:$AM$200,$G220)&gt;0,
     COUNTIFS($AN$2:$AN$200,$G220)&gt;0,
     COUNTIFS($AO$2:$AO$200,$G220)&gt;0,
     COUNTIFS($AP$2:$AP$200,$G220)&gt;0,
     COUNTIFS($AQ$2:$AQ$200,$G220)&gt;0,
     COUNTIFS($AR$2:$AR$200,$G220)&gt;0,
     COUNTIFS($AS$2:$AS$200,$G220)&gt;0,
     COUNTIFS($AT$2:$AT$200,$G220)&gt;0,
     COUNTIFS($AU$2:$AU$200,$G220)&gt;0,
     COUNTIFS($AV$2:$AV$200,$G220)&gt;0,
     COUNTIFS($AW$2:$AW$200,$G220)&gt;0,
     COUNTIFS($AX$2:$AX$200,$G220)&gt;0,
     COUNTIFS($AY$2:$AY$200,$G220)&gt;0
   )),
  ),
  2
 ),
"")</f>
        <v/>
      </c>
      <c r="E220" s="2" t="str" cm="1">
        <f t="array" aca="1" ref="E220" ca="1">IFERROR(
 INDEX(
  _xlfn._xlws.FILTER($V$1:$AY$1,
   TRANSPOSE(
    CHOOSE({1;2;3;4;5;6;7;8;9;10;11;12;13;14;15;16;17;18;19;20;21;22;23;24;25;26;27;28;29;30},
     COUNTIFS($V$2:$V$200,$G220)&gt;0,
     COUNTIFS($W$2:$W$200,$G220)&gt;0,
     COUNTIFS($X$2:$X$200,$G220)&gt;0,
     COUNTIFS($Y$2:$Y$200,$G220)&gt;0,
     COUNTIFS($Z$2:$Z$200,$G220)&gt;0,
     COUNTIFS($AA$2:$AA$200,$G220)&gt;0,
     COUNTIFS($AB$2:$AB$200,$G220)&gt;0,
     COUNTIFS($AC$2:$AC$200,$G220)&gt;0,
     COUNTIFS($AD$2:$AD$200,$G220)&gt;0,
     COUNTIFS($AE$2:$AE$200,$G220)&gt;0,
     COUNTIFS($AF$2:$AF$200,$G220)&gt;0,
     COUNTIFS($AG$2:$AG$200,$G220)&gt;0,
     COUNTIFS($AH$2:$AH$200,$G220)&gt;0,
     COUNTIFS($AI$2:$AI$200,$G220)&gt;0,
     COUNTIFS($AJ$2:$AJ$200,$G220)&gt;0,
     COUNTIFS($AK$2:$AK$200,$G220)&gt;0,
     COUNTIFS($AL$2:$AL$200,$G220)&gt;0,
     COUNTIFS($AM$2:$AM$200,$G220)&gt;0,
     COUNTIFS($AN$2:$AN$200,$G220)&gt;0,
     COUNTIFS($AO$2:$AO$200,$G220)&gt;0,
     COUNTIFS($AP$2:$AP$200,$G220)&gt;0,
     COUNTIFS($AQ$2:$AQ$200,$G220)&gt;0,
     COUNTIFS($AR$2:$AR$200,$G220)&gt;0,
     COUNTIFS($AS$2:$AS$200,$G220)&gt;0,
     COUNTIFS($AT$2:$AT$200,$G220)&gt;0,
     COUNTIFS($AU$2:$AU$200,$G220)&gt;0,
     COUNTIFS($AV$2:$AV$200,$G220)&gt;0,
     COUNTIFS($AW$2:$AW$200,$G220)&gt;0,
     COUNTIFS($AX$2:$AX$200,$G220)&gt;0,
     COUNTIFS($AY$2:$AY$200,$G220)&gt;0
   )),
  ),
  3
 ),
"")</f>
        <v/>
      </c>
      <c r="F220" s="2" t="str" cm="1">
        <f t="array" aca="1" ref="F220" ca="1">IFERROR(
 INDEX(
  _xlfn._xlws.FILTER($V$1:$AY$1,
   TRANSPOSE(
    CHOOSE({1;2;3;4;5;6;7;8;9;10;11;12;13;14;15;16;17;18;19;20;21;22;23;24;25;26;27;28;29;30},
     COUNTIFS($V$2:$V$200,$G220)&gt;0,
     COUNTIFS($W$2:$W$200,$G220)&gt;0,
     COUNTIFS($X$2:$X$200,$G220)&gt;0,
     COUNTIFS($Y$2:$Y$200,$G220)&gt;0,
     COUNTIFS($Z$2:$Z$200,$G220)&gt;0,
     COUNTIFS($AA$2:$AA$200,$G220)&gt;0,
     COUNTIFS($AB$2:$AB$200,$G220)&gt;0,
     COUNTIFS($AC$2:$AC$200,$G220)&gt;0,
     COUNTIFS($AD$2:$AD$200,$G220)&gt;0,
     COUNTIFS($AE$2:$AE$200,$G220)&gt;0,
     COUNTIFS($AF$2:$AF$200,$G220)&gt;0,
     COUNTIFS($AG$2:$AG$200,$G220)&gt;0,
     COUNTIFS($AH$2:$AH$200,$G220)&gt;0,
     COUNTIFS($AI$2:$AI$200,$G220)&gt;0,
     COUNTIFS($AJ$2:$AJ$200,$G220)&gt;0,
     COUNTIFS($AK$2:$AK$200,$G220)&gt;0,
     COUNTIFS($AL$2:$AL$200,$G220)&gt;0,
     COUNTIFS($AM$2:$AM$200,$G220)&gt;0,
     COUNTIFS($AN$2:$AN$200,$G220)&gt;0,
     COUNTIFS($AO$2:$AO$200,$G220)&gt;0,
     COUNTIFS($AP$2:$AP$200,$G220)&gt;0,
     COUNTIFS($AQ$2:$AQ$200,$G220)&gt;0,
     COUNTIFS($AR$2:$AR$200,$G220)&gt;0,
     COUNTIFS($AS$2:$AS$200,$G220)&gt;0,
     COUNTIFS($AT$2:$AT$200,$G220)&gt;0,
     COUNTIFS($AU$2:$AU$200,$G220)&gt;0,
     COUNTIFS($AV$2:$AV$200,$G220)&gt;0,
     COUNTIFS($AW$2:$AW$200,$G220)&gt;0,
     COUNTIFS($AX$2:$AX$200,$G220)&gt;0,
     COUNTIFS($AY$2:$AY$200,$G220)&gt;0
   )),
  ),
  4
 ),
"")</f>
        <v/>
      </c>
      <c r="G220" t="str">
        <f ca="1"/>
        <v>Jaheira's Respite</v>
      </c>
      <c r="EU220" t="str">
        <f ca="1"/>
        <v>Predatory Sliver</v>
      </c>
      <c r="EX220" t="str">
        <f ca="1"/>
        <v>Jaheira's Respite</v>
      </c>
    </row>
    <row r="221" spans="1:154" x14ac:dyDescent="0.25">
      <c r="A221" s="2" t="str">
        <f t="shared" ca="1" si="12"/>
        <v>4</v>
      </c>
      <c r="B221" s="2">
        <f t="shared" ca="1" si="13"/>
        <v>1</v>
      </c>
      <c r="C221" s="2" t="str">
        <f ca="1">IFERROR(
 INDEX($V$1:$BL$1,
  MATCH(TRUE,
   CHOOSE({1;2;3;4;5;6;7;8;9;10;11;12;13;14;15;16;17;18;19;20;21;22;23;24;25;26;27;28;29;30;31;32;33;34;35;36;37;38;39;40;41;42;43},
    COUNTIFS($V$2:$V$200,$G221)&gt;0,
    COUNTIFS($W$2:$W$200,$G221)&gt;0,
    COUNTIFS($X$2:$X$200,$G221)&gt;0,
    COUNTIFS($Y$2:$Y$200,$G221)&gt;0,
    COUNTIFS($Z$2:$Z$200,$G221)&gt;0,
    COUNTIFS($AA$2:$AA$200,$G221)&gt;0,
    COUNTIFS($AB$2:$AB$200,$G221)&gt;0,
    COUNTIFS($AC$2:$AC$200,$G221)&gt;0,
    COUNTIFS($AD$2:$AD$200,$G221)&gt;0,
    COUNTIFS($AE$2:$AE$200,$G221)&gt;0,
    COUNTIFS($AF$2:$AF$200,$G221)&gt;0,
    COUNTIFS($AG$2:$AG$200,$G221)&gt;0,
    COUNTIFS($AH$2:$AH$200,$G221)&gt;0,
    COUNTIFS($AI$2:$AI$200,$G221)&gt;0,
    COUNTIFS($AJ$2:$AJ$200,$G221)&gt;0,
    COUNTIFS($AK$2:$AK$200,$G221)&gt;0,
    COUNTIFS($AL$2:$AL$200,$G221)&gt;0,
    COUNTIFS($AM$2:$AM$200,$G221)&gt;0,
    COUNTIFS($AN$2:$AN$200,$G221)&gt;0,
    COUNTIFS($AO$2:$AO$200,$G221)&gt;0,
    COUNTIFS($AP$2:$AP$200,$G221)&gt;0,
    COUNTIFS($AQ$2:$AQ$200,$G221)&gt;0,
    COUNTIFS($AR$2:$AR$200,$G221)&gt;0,
    COUNTIFS($AS$2:$AS$200,$G221)&gt;0,
    COUNTIFS($AT$2:$AT$200,$G221)&gt;0,
    COUNTIFS($AU$2:$AU$200,$G221)&gt;0,
    COUNTIFS($AV$2:$AV$200,$G221)&gt;0,
    COUNTIFS($AW$2:$AW$200,$G221)&gt;0,
    COUNTIFS($AX$2:$AX$200,$G221)&gt;0,
    COUNTIFS($AY$2:$AY$200,$G221)&gt;0,
    COUNTIFS($AZ$2:$AZ$200,$G221)&gt;0,
    COUNTIFS($BA$2:$BA$200,$G221)&gt;0,
    COUNTIFS($BB$2:$BB$200,$G221)&gt;0,
    COUNTIFS($BC$2:$BC$200,$G221)&gt;0,
    COUNTIFS($BD$2:$BD$200,$G221)&gt;0,
    COUNTIFS($BE$2:$BE$200,$G221)&gt;0,
    COUNTIFS($BF$2:$BF$200,$G221)&gt;0,
    COUNTIFS($BG$2:$BG$200,$G221)&gt;0,
    COUNTIFS($BH$2:$BH$200,$G221)&gt;0,
    COUNTIFS($BI$2:$BI$200,$G221)&gt;0,
    COUNTIFS($BJ$2:$BJ$200,$G221)&gt;0,
    COUNTIFS($BK$2:$BK$200,$G221)&gt;0,
    COUNTIFS($BL$2:$BL$200,$G221)&gt;0,
    COUNTIFS($BM$2:$BM$200,$G221)&gt;0,
   ),
  0)
 ),
"")</f>
        <v>Kresh</v>
      </c>
      <c r="D221" s="2" t="str" cm="1">
        <f t="array" aca="1" ref="D221" ca="1">IFERROR(
 INDEX(
  _xlfn._xlws.FILTER($V$1:$AY$1,
   TRANSPOSE(
    CHOOSE({1;2;3;4;5;6;7;8;9;10;11;12;13;14;15;16;17;18;19;20;21;22;23;24;25;26;27;28;29;30},
     COUNTIFS($V$2:$V$200,$G221)&gt;0,
     COUNTIFS($W$2:$W$200,$G221)&gt;0,
     COUNTIFS($X$2:$X$200,$G221)&gt;0,
     COUNTIFS($Y$2:$Y$200,$G221)&gt;0,
     COUNTIFS($Z$2:$Z$200,$G221)&gt;0,
     COUNTIFS($AA$2:$AA$200,$G221)&gt;0,
     COUNTIFS($AB$2:$AB$200,$G221)&gt;0,
     COUNTIFS($AC$2:$AC$200,$G221)&gt;0,
     COUNTIFS($AD$2:$AD$200,$G221)&gt;0,
     COUNTIFS($AE$2:$AE$200,$G221)&gt;0,
     COUNTIFS($AF$2:$AF$200,$G221)&gt;0,
     COUNTIFS($AG$2:$AG$200,$G221)&gt;0,
     COUNTIFS($AH$2:$AH$200,$G221)&gt;0,
     COUNTIFS($AI$2:$AI$200,$G221)&gt;0,
     COUNTIFS($AJ$2:$AJ$200,$G221)&gt;0,
     COUNTIFS($AK$2:$AK$200,$G221)&gt;0,
     COUNTIFS($AL$2:$AL$200,$G221)&gt;0,
     COUNTIFS($AM$2:$AM$200,$G221)&gt;0,
     COUNTIFS($AN$2:$AN$200,$G221)&gt;0,
     COUNTIFS($AO$2:$AO$200,$G221)&gt;0,
     COUNTIFS($AP$2:$AP$200,$G221)&gt;0,
     COUNTIFS($AQ$2:$AQ$200,$G221)&gt;0,
     COUNTIFS($AR$2:$AR$200,$G221)&gt;0,
     COUNTIFS($AS$2:$AS$200,$G221)&gt;0,
     COUNTIFS($AT$2:$AT$200,$G221)&gt;0,
     COUNTIFS($AU$2:$AU$200,$G221)&gt;0,
     COUNTIFS($AV$2:$AV$200,$G221)&gt;0,
     COUNTIFS($AW$2:$AW$200,$G221)&gt;0,
     COUNTIFS($AX$2:$AX$200,$G221)&gt;0,
     COUNTIFS($AY$2:$AY$200,$G221)&gt;0
   )),
  ),
  2
 ),
"")</f>
        <v/>
      </c>
      <c r="E221" s="2" t="str" cm="1">
        <f t="array" aca="1" ref="E221" ca="1">IFERROR(
 INDEX(
  _xlfn._xlws.FILTER($V$1:$AY$1,
   TRANSPOSE(
    CHOOSE({1;2;3;4;5;6;7;8;9;10;11;12;13;14;15;16;17;18;19;20;21;22;23;24;25;26;27;28;29;30},
     COUNTIFS($V$2:$V$200,$G221)&gt;0,
     COUNTIFS($W$2:$W$200,$G221)&gt;0,
     COUNTIFS($X$2:$X$200,$G221)&gt;0,
     COUNTIFS($Y$2:$Y$200,$G221)&gt;0,
     COUNTIFS($Z$2:$Z$200,$G221)&gt;0,
     COUNTIFS($AA$2:$AA$200,$G221)&gt;0,
     COUNTIFS($AB$2:$AB$200,$G221)&gt;0,
     COUNTIFS($AC$2:$AC$200,$G221)&gt;0,
     COUNTIFS($AD$2:$AD$200,$G221)&gt;0,
     COUNTIFS($AE$2:$AE$200,$G221)&gt;0,
     COUNTIFS($AF$2:$AF$200,$G221)&gt;0,
     COUNTIFS($AG$2:$AG$200,$G221)&gt;0,
     COUNTIFS($AH$2:$AH$200,$G221)&gt;0,
     COUNTIFS($AI$2:$AI$200,$G221)&gt;0,
     COUNTIFS($AJ$2:$AJ$200,$G221)&gt;0,
     COUNTIFS($AK$2:$AK$200,$G221)&gt;0,
     COUNTIFS($AL$2:$AL$200,$G221)&gt;0,
     COUNTIFS($AM$2:$AM$200,$G221)&gt;0,
     COUNTIFS($AN$2:$AN$200,$G221)&gt;0,
     COUNTIFS($AO$2:$AO$200,$G221)&gt;0,
     COUNTIFS($AP$2:$AP$200,$G221)&gt;0,
     COUNTIFS($AQ$2:$AQ$200,$G221)&gt;0,
     COUNTIFS($AR$2:$AR$200,$G221)&gt;0,
     COUNTIFS($AS$2:$AS$200,$G221)&gt;0,
     COUNTIFS($AT$2:$AT$200,$G221)&gt;0,
     COUNTIFS($AU$2:$AU$200,$G221)&gt;0,
     COUNTIFS($AV$2:$AV$200,$G221)&gt;0,
     COUNTIFS($AW$2:$AW$200,$G221)&gt;0,
     COUNTIFS($AX$2:$AX$200,$G221)&gt;0,
     COUNTIFS($AY$2:$AY$200,$G221)&gt;0
   )),
  ),
  3
 ),
"")</f>
        <v/>
      </c>
      <c r="F221" s="2" t="str" cm="1">
        <f t="array" aca="1" ref="F221" ca="1">IFERROR(
 INDEX(
  _xlfn._xlws.FILTER($V$1:$AY$1,
   TRANSPOSE(
    CHOOSE({1;2;3;4;5;6;7;8;9;10;11;12;13;14;15;16;17;18;19;20;21;22;23;24;25;26;27;28;29;30},
     COUNTIFS($V$2:$V$200,$G221)&gt;0,
     COUNTIFS($W$2:$W$200,$G221)&gt;0,
     COUNTIFS($X$2:$X$200,$G221)&gt;0,
     COUNTIFS($Y$2:$Y$200,$G221)&gt;0,
     COUNTIFS($Z$2:$Z$200,$G221)&gt;0,
     COUNTIFS($AA$2:$AA$200,$G221)&gt;0,
     COUNTIFS($AB$2:$AB$200,$G221)&gt;0,
     COUNTIFS($AC$2:$AC$200,$G221)&gt;0,
     COUNTIFS($AD$2:$AD$200,$G221)&gt;0,
     COUNTIFS($AE$2:$AE$200,$G221)&gt;0,
     COUNTIFS($AF$2:$AF$200,$G221)&gt;0,
     COUNTIFS($AG$2:$AG$200,$G221)&gt;0,
     COUNTIFS($AH$2:$AH$200,$G221)&gt;0,
     COUNTIFS($AI$2:$AI$200,$G221)&gt;0,
     COUNTIFS($AJ$2:$AJ$200,$G221)&gt;0,
     COUNTIFS($AK$2:$AK$200,$G221)&gt;0,
     COUNTIFS($AL$2:$AL$200,$G221)&gt;0,
     COUNTIFS($AM$2:$AM$200,$G221)&gt;0,
     COUNTIFS($AN$2:$AN$200,$G221)&gt;0,
     COUNTIFS($AO$2:$AO$200,$G221)&gt;0,
     COUNTIFS($AP$2:$AP$200,$G221)&gt;0,
     COUNTIFS($AQ$2:$AQ$200,$G221)&gt;0,
     COUNTIFS($AR$2:$AR$200,$G221)&gt;0,
     COUNTIFS($AS$2:$AS$200,$G221)&gt;0,
     COUNTIFS($AT$2:$AT$200,$G221)&gt;0,
     COUNTIFS($AU$2:$AU$200,$G221)&gt;0,
     COUNTIFS($AV$2:$AV$200,$G221)&gt;0,
     COUNTIFS($AW$2:$AW$200,$G221)&gt;0,
     COUNTIFS($AX$2:$AX$200,$G221)&gt;0,
     COUNTIFS($AY$2:$AY$200,$G221)&gt;0
   )),
  ),
  4
 ),
"")</f>
        <v/>
      </c>
      <c r="G221" t="str">
        <f ca="1"/>
        <v>Jenova, Ancient Calamity</v>
      </c>
      <c r="EU221" t="str">
        <f ca="1"/>
        <v>Prosperous Partnership</v>
      </c>
      <c r="EX221" t="str">
        <f ca="1"/>
        <v>Jenova, Ancient Calamity</v>
      </c>
    </row>
    <row r="222" spans="1:154" x14ac:dyDescent="0.25">
      <c r="A222" s="2" t="str">
        <f t="shared" ca="1" si="12"/>
        <v>4</v>
      </c>
      <c r="B222" s="2">
        <f t="shared" ca="1" si="13"/>
        <v>1</v>
      </c>
      <c r="C222" s="2" t="str">
        <f ca="1">IFERROR(
 INDEX($V$1:$BL$1,
  MATCH(TRUE,
   CHOOSE({1;2;3;4;5;6;7;8;9;10;11;12;13;14;15;16;17;18;19;20;21;22;23;24;25;26;27;28;29;30;31;32;33;34;35;36;37;38;39;40;41;42;43},
    COUNTIFS($V$2:$V$200,$G222)&gt;0,
    COUNTIFS($W$2:$W$200,$G222)&gt;0,
    COUNTIFS($X$2:$X$200,$G222)&gt;0,
    COUNTIFS($Y$2:$Y$200,$G222)&gt;0,
    COUNTIFS($Z$2:$Z$200,$G222)&gt;0,
    COUNTIFS($AA$2:$AA$200,$G222)&gt;0,
    COUNTIFS($AB$2:$AB$200,$G222)&gt;0,
    COUNTIFS($AC$2:$AC$200,$G222)&gt;0,
    COUNTIFS($AD$2:$AD$200,$G222)&gt;0,
    COUNTIFS($AE$2:$AE$200,$G222)&gt;0,
    COUNTIFS($AF$2:$AF$200,$G222)&gt;0,
    COUNTIFS($AG$2:$AG$200,$G222)&gt;0,
    COUNTIFS($AH$2:$AH$200,$G222)&gt;0,
    COUNTIFS($AI$2:$AI$200,$G222)&gt;0,
    COUNTIFS($AJ$2:$AJ$200,$G222)&gt;0,
    COUNTIFS($AK$2:$AK$200,$G222)&gt;0,
    COUNTIFS($AL$2:$AL$200,$G222)&gt;0,
    COUNTIFS($AM$2:$AM$200,$G222)&gt;0,
    COUNTIFS($AN$2:$AN$200,$G222)&gt;0,
    COUNTIFS($AO$2:$AO$200,$G222)&gt;0,
    COUNTIFS($AP$2:$AP$200,$G222)&gt;0,
    COUNTIFS($AQ$2:$AQ$200,$G222)&gt;0,
    COUNTIFS($AR$2:$AR$200,$G222)&gt;0,
    COUNTIFS($AS$2:$AS$200,$G222)&gt;0,
    COUNTIFS($AT$2:$AT$200,$G222)&gt;0,
    COUNTIFS($AU$2:$AU$200,$G222)&gt;0,
    COUNTIFS($AV$2:$AV$200,$G222)&gt;0,
    COUNTIFS($AW$2:$AW$200,$G222)&gt;0,
    COUNTIFS($AX$2:$AX$200,$G222)&gt;0,
    COUNTIFS($AY$2:$AY$200,$G222)&gt;0,
    COUNTIFS($AZ$2:$AZ$200,$G222)&gt;0,
    COUNTIFS($BA$2:$BA$200,$G222)&gt;0,
    COUNTIFS($BB$2:$BB$200,$G222)&gt;0,
    COUNTIFS($BC$2:$BC$200,$G222)&gt;0,
    COUNTIFS($BD$2:$BD$200,$G222)&gt;0,
    COUNTIFS($BE$2:$BE$200,$G222)&gt;0,
    COUNTIFS($BF$2:$BF$200,$G222)&gt;0,
    COUNTIFS($BG$2:$BG$200,$G222)&gt;0,
    COUNTIFS($BH$2:$BH$200,$G222)&gt;0,
    COUNTIFS($BI$2:$BI$200,$G222)&gt;0,
    COUNTIFS($BJ$2:$BJ$200,$G222)&gt;0,
    COUNTIFS($BK$2:$BK$200,$G222)&gt;0,
    COUNTIFS($BL$2:$BL$200,$G222)&gt;0,
    COUNTIFS($BM$2:$BM$200,$G222)&gt;0,
   ),
  0)
 ),
"")</f>
        <v>Baylen</v>
      </c>
      <c r="D222" s="2" t="str" cm="1">
        <f t="array" aca="1" ref="D222" ca="1">IFERROR(
 INDEX(
  _xlfn._xlws.FILTER($V$1:$AY$1,
   TRANSPOSE(
    CHOOSE({1;2;3;4;5;6;7;8;9;10;11;12;13;14;15;16;17;18;19;20;21;22;23;24;25;26;27;28;29;30},
     COUNTIFS($V$2:$V$200,$G222)&gt;0,
     COUNTIFS($W$2:$W$200,$G222)&gt;0,
     COUNTIFS($X$2:$X$200,$G222)&gt;0,
     COUNTIFS($Y$2:$Y$200,$G222)&gt;0,
     COUNTIFS($Z$2:$Z$200,$G222)&gt;0,
     COUNTIFS($AA$2:$AA$200,$G222)&gt;0,
     COUNTIFS($AB$2:$AB$200,$G222)&gt;0,
     COUNTIFS($AC$2:$AC$200,$G222)&gt;0,
     COUNTIFS($AD$2:$AD$200,$G222)&gt;0,
     COUNTIFS($AE$2:$AE$200,$G222)&gt;0,
     COUNTIFS($AF$2:$AF$200,$G222)&gt;0,
     COUNTIFS($AG$2:$AG$200,$G222)&gt;0,
     COUNTIFS($AH$2:$AH$200,$G222)&gt;0,
     COUNTIFS($AI$2:$AI$200,$G222)&gt;0,
     COUNTIFS($AJ$2:$AJ$200,$G222)&gt;0,
     COUNTIFS($AK$2:$AK$200,$G222)&gt;0,
     COUNTIFS($AL$2:$AL$200,$G222)&gt;0,
     COUNTIFS($AM$2:$AM$200,$G222)&gt;0,
     COUNTIFS($AN$2:$AN$200,$G222)&gt;0,
     COUNTIFS($AO$2:$AO$200,$G222)&gt;0,
     COUNTIFS($AP$2:$AP$200,$G222)&gt;0,
     COUNTIFS($AQ$2:$AQ$200,$G222)&gt;0,
     COUNTIFS($AR$2:$AR$200,$G222)&gt;0,
     COUNTIFS($AS$2:$AS$200,$G222)&gt;0,
     COUNTIFS($AT$2:$AT$200,$G222)&gt;0,
     COUNTIFS($AU$2:$AU$200,$G222)&gt;0,
     COUNTIFS($AV$2:$AV$200,$G222)&gt;0,
     COUNTIFS($AW$2:$AW$200,$G222)&gt;0,
     COUNTIFS($AX$2:$AX$200,$G222)&gt;0,
     COUNTIFS($AY$2:$AY$200,$G222)&gt;0
   )),
  ),
  2
 ),
"")</f>
        <v/>
      </c>
      <c r="E222" s="2" t="str" cm="1">
        <f t="array" aca="1" ref="E222" ca="1">IFERROR(
 INDEX(
  _xlfn._xlws.FILTER($V$1:$AY$1,
   TRANSPOSE(
    CHOOSE({1;2;3;4;5;6;7;8;9;10;11;12;13;14;15;16;17;18;19;20;21;22;23;24;25;26;27;28;29;30},
     COUNTIFS($V$2:$V$200,$G222)&gt;0,
     COUNTIFS($W$2:$W$200,$G222)&gt;0,
     COUNTIFS($X$2:$X$200,$G222)&gt;0,
     COUNTIFS($Y$2:$Y$200,$G222)&gt;0,
     COUNTIFS($Z$2:$Z$200,$G222)&gt;0,
     COUNTIFS($AA$2:$AA$200,$G222)&gt;0,
     COUNTIFS($AB$2:$AB$200,$G222)&gt;0,
     COUNTIFS($AC$2:$AC$200,$G222)&gt;0,
     COUNTIFS($AD$2:$AD$200,$G222)&gt;0,
     COUNTIFS($AE$2:$AE$200,$G222)&gt;0,
     COUNTIFS($AF$2:$AF$200,$G222)&gt;0,
     COUNTIFS($AG$2:$AG$200,$G222)&gt;0,
     COUNTIFS($AH$2:$AH$200,$G222)&gt;0,
     COUNTIFS($AI$2:$AI$200,$G222)&gt;0,
     COUNTIFS($AJ$2:$AJ$200,$G222)&gt;0,
     COUNTIFS($AK$2:$AK$200,$G222)&gt;0,
     COUNTIFS($AL$2:$AL$200,$G222)&gt;0,
     COUNTIFS($AM$2:$AM$200,$G222)&gt;0,
     COUNTIFS($AN$2:$AN$200,$G222)&gt;0,
     COUNTIFS($AO$2:$AO$200,$G222)&gt;0,
     COUNTIFS($AP$2:$AP$200,$G222)&gt;0,
     COUNTIFS($AQ$2:$AQ$200,$G222)&gt;0,
     COUNTIFS($AR$2:$AR$200,$G222)&gt;0,
     COUNTIFS($AS$2:$AS$200,$G222)&gt;0,
     COUNTIFS($AT$2:$AT$200,$G222)&gt;0,
     COUNTIFS($AU$2:$AU$200,$G222)&gt;0,
     COUNTIFS($AV$2:$AV$200,$G222)&gt;0,
     COUNTIFS($AW$2:$AW$200,$G222)&gt;0,
     COUNTIFS($AX$2:$AX$200,$G222)&gt;0,
     COUNTIFS($AY$2:$AY$200,$G222)&gt;0
   )),
  ),
  3
 ),
"")</f>
        <v/>
      </c>
      <c r="F222" s="2" t="str" cm="1">
        <f t="array" aca="1" ref="F222" ca="1">IFERROR(
 INDEX(
  _xlfn._xlws.FILTER($V$1:$AY$1,
   TRANSPOSE(
    CHOOSE({1;2;3;4;5;6;7;8;9;10;11;12;13;14;15;16;17;18;19;20;21;22;23;24;25;26;27;28;29;30},
     COUNTIFS($V$2:$V$200,$G222)&gt;0,
     COUNTIFS($W$2:$W$200,$G222)&gt;0,
     COUNTIFS($X$2:$X$200,$G222)&gt;0,
     COUNTIFS($Y$2:$Y$200,$G222)&gt;0,
     COUNTIFS($Z$2:$Z$200,$G222)&gt;0,
     COUNTIFS($AA$2:$AA$200,$G222)&gt;0,
     COUNTIFS($AB$2:$AB$200,$G222)&gt;0,
     COUNTIFS($AC$2:$AC$200,$G222)&gt;0,
     COUNTIFS($AD$2:$AD$200,$G222)&gt;0,
     COUNTIFS($AE$2:$AE$200,$G222)&gt;0,
     COUNTIFS($AF$2:$AF$200,$G222)&gt;0,
     COUNTIFS($AG$2:$AG$200,$G222)&gt;0,
     COUNTIFS($AH$2:$AH$200,$G222)&gt;0,
     COUNTIFS($AI$2:$AI$200,$G222)&gt;0,
     COUNTIFS($AJ$2:$AJ$200,$G222)&gt;0,
     COUNTIFS($AK$2:$AK$200,$G222)&gt;0,
     COUNTIFS($AL$2:$AL$200,$G222)&gt;0,
     COUNTIFS($AM$2:$AM$200,$G222)&gt;0,
     COUNTIFS($AN$2:$AN$200,$G222)&gt;0,
     COUNTIFS($AO$2:$AO$200,$G222)&gt;0,
     COUNTIFS($AP$2:$AP$200,$G222)&gt;0,
     COUNTIFS($AQ$2:$AQ$200,$G222)&gt;0,
     COUNTIFS($AR$2:$AR$200,$G222)&gt;0,
     COUNTIFS($AS$2:$AS$200,$G222)&gt;0,
     COUNTIFS($AT$2:$AT$200,$G222)&gt;0,
     COUNTIFS($AU$2:$AU$200,$G222)&gt;0,
     COUNTIFS($AV$2:$AV$200,$G222)&gt;0,
     COUNTIFS($AW$2:$AW$200,$G222)&gt;0,
     COUNTIFS($AX$2:$AX$200,$G222)&gt;0,
     COUNTIFS($AY$2:$AY$200,$G222)&gt;0
   )),
  ),
  4
 ),
"")</f>
        <v/>
      </c>
      <c r="G222" t="str">
        <f ca="1"/>
        <v>Jetmir, Nexus of Revels</v>
      </c>
      <c r="EU222" t="str">
        <f ca="1"/>
        <v>Psionic Sliver</v>
      </c>
      <c r="EX222" t="str">
        <f ca="1"/>
        <v>Jetmir, Nexus of Revels</v>
      </c>
    </row>
    <row r="223" spans="1:154" x14ac:dyDescent="0.25">
      <c r="A223" s="2" t="str">
        <f t="shared" ca="1" si="12"/>
        <v>5</v>
      </c>
      <c r="B223" s="2">
        <f t="shared" ca="1" si="13"/>
        <v>1</v>
      </c>
      <c r="C223" s="2" t="str">
        <f ca="1">IFERROR(
 INDEX($V$1:$BL$1,
  MATCH(TRUE,
   CHOOSE({1;2;3;4;5;6;7;8;9;10;11;12;13;14;15;16;17;18;19;20;21;22;23;24;25;26;27;28;29;30;31;32;33;34;35;36;37;38;39;40;41;42;43},
    COUNTIFS($V$2:$V$200,$G223)&gt;0,
    COUNTIFS($W$2:$W$200,$G223)&gt;0,
    COUNTIFS($X$2:$X$200,$G223)&gt;0,
    COUNTIFS($Y$2:$Y$200,$G223)&gt;0,
    COUNTIFS($Z$2:$Z$200,$G223)&gt;0,
    COUNTIFS($AA$2:$AA$200,$G223)&gt;0,
    COUNTIFS($AB$2:$AB$200,$G223)&gt;0,
    COUNTIFS($AC$2:$AC$200,$G223)&gt;0,
    COUNTIFS($AD$2:$AD$200,$G223)&gt;0,
    COUNTIFS($AE$2:$AE$200,$G223)&gt;0,
    COUNTIFS($AF$2:$AF$200,$G223)&gt;0,
    COUNTIFS($AG$2:$AG$200,$G223)&gt;0,
    COUNTIFS($AH$2:$AH$200,$G223)&gt;0,
    COUNTIFS($AI$2:$AI$200,$G223)&gt;0,
    COUNTIFS($AJ$2:$AJ$200,$G223)&gt;0,
    COUNTIFS($AK$2:$AK$200,$G223)&gt;0,
    COUNTIFS($AL$2:$AL$200,$G223)&gt;0,
    COUNTIFS($AM$2:$AM$200,$G223)&gt;0,
    COUNTIFS($AN$2:$AN$200,$G223)&gt;0,
    COUNTIFS($AO$2:$AO$200,$G223)&gt;0,
    COUNTIFS($AP$2:$AP$200,$G223)&gt;0,
    COUNTIFS($AQ$2:$AQ$200,$G223)&gt;0,
    COUNTIFS($AR$2:$AR$200,$G223)&gt;0,
    COUNTIFS($AS$2:$AS$200,$G223)&gt;0,
    COUNTIFS($AT$2:$AT$200,$G223)&gt;0,
    COUNTIFS($AU$2:$AU$200,$G223)&gt;0,
    COUNTIFS($AV$2:$AV$200,$G223)&gt;0,
    COUNTIFS($AW$2:$AW$200,$G223)&gt;0,
    COUNTIFS($AX$2:$AX$200,$G223)&gt;0,
    COUNTIFS($AY$2:$AY$200,$G223)&gt;0,
    COUNTIFS($AZ$2:$AZ$200,$G223)&gt;0,
    COUNTIFS($BA$2:$BA$200,$G223)&gt;0,
    COUNTIFS($BB$2:$BB$200,$G223)&gt;0,
    COUNTIFS($BC$2:$BC$200,$G223)&gt;0,
    COUNTIFS($BD$2:$BD$200,$G223)&gt;0,
    COUNTIFS($BE$2:$BE$200,$G223)&gt;0,
    COUNTIFS($BF$2:$BF$200,$G223)&gt;0,
    COUNTIFS($BG$2:$BG$200,$G223)&gt;0,
    COUNTIFS($BH$2:$BH$200,$G223)&gt;0,
    COUNTIFS($BI$2:$BI$200,$G223)&gt;0,
    COUNTIFS($BJ$2:$BJ$200,$G223)&gt;0,
    COUNTIFS($BK$2:$BK$200,$G223)&gt;0,
    COUNTIFS($BL$2:$BL$200,$G223)&gt;0,
    COUNTIFS($BM$2:$BM$200,$G223)&gt;0,
   ),
  0)
 ),
"")</f>
        <v>Fractius</v>
      </c>
      <c r="D223" s="2" t="str" cm="1">
        <f t="array" aca="1" ref="D223" ca="1">IFERROR(
 INDEX(
  _xlfn._xlws.FILTER($V$1:$AY$1,
   TRANSPOSE(
    CHOOSE({1;2;3;4;5;6;7;8;9;10;11;12;13;14;15;16;17;18;19;20;21;22;23;24;25;26;27;28;29;30},
     COUNTIFS($V$2:$V$200,$G223)&gt;0,
     COUNTIFS($W$2:$W$200,$G223)&gt;0,
     COUNTIFS($X$2:$X$200,$G223)&gt;0,
     COUNTIFS($Y$2:$Y$200,$G223)&gt;0,
     COUNTIFS($Z$2:$Z$200,$G223)&gt;0,
     COUNTIFS($AA$2:$AA$200,$G223)&gt;0,
     COUNTIFS($AB$2:$AB$200,$G223)&gt;0,
     COUNTIFS($AC$2:$AC$200,$G223)&gt;0,
     COUNTIFS($AD$2:$AD$200,$G223)&gt;0,
     COUNTIFS($AE$2:$AE$200,$G223)&gt;0,
     COUNTIFS($AF$2:$AF$200,$G223)&gt;0,
     COUNTIFS($AG$2:$AG$200,$G223)&gt;0,
     COUNTIFS($AH$2:$AH$200,$G223)&gt;0,
     COUNTIFS($AI$2:$AI$200,$G223)&gt;0,
     COUNTIFS($AJ$2:$AJ$200,$G223)&gt;0,
     COUNTIFS($AK$2:$AK$200,$G223)&gt;0,
     COUNTIFS($AL$2:$AL$200,$G223)&gt;0,
     COUNTIFS($AM$2:$AM$200,$G223)&gt;0,
     COUNTIFS($AN$2:$AN$200,$G223)&gt;0,
     COUNTIFS($AO$2:$AO$200,$G223)&gt;0,
     COUNTIFS($AP$2:$AP$200,$G223)&gt;0,
     COUNTIFS($AQ$2:$AQ$200,$G223)&gt;0,
     COUNTIFS($AR$2:$AR$200,$G223)&gt;0,
     COUNTIFS($AS$2:$AS$200,$G223)&gt;0,
     COUNTIFS($AT$2:$AT$200,$G223)&gt;0,
     COUNTIFS($AU$2:$AU$200,$G223)&gt;0,
     COUNTIFS($AV$2:$AV$200,$G223)&gt;0,
     COUNTIFS($AW$2:$AW$200,$G223)&gt;0,
     COUNTIFS($AX$2:$AX$200,$G223)&gt;0,
     COUNTIFS($AY$2:$AY$200,$G223)&gt;0
   )),
  ),
  2
 ),
"")</f>
        <v/>
      </c>
      <c r="E223" s="2" t="str" cm="1">
        <f t="array" aca="1" ref="E223" ca="1">IFERROR(
 INDEX(
  _xlfn._xlws.FILTER($V$1:$AY$1,
   TRANSPOSE(
    CHOOSE({1;2;3;4;5;6;7;8;9;10;11;12;13;14;15;16;17;18;19;20;21;22;23;24;25;26;27;28;29;30},
     COUNTIFS($V$2:$V$200,$G223)&gt;0,
     COUNTIFS($W$2:$W$200,$G223)&gt;0,
     COUNTIFS($X$2:$X$200,$G223)&gt;0,
     COUNTIFS($Y$2:$Y$200,$G223)&gt;0,
     COUNTIFS($Z$2:$Z$200,$G223)&gt;0,
     COUNTIFS($AA$2:$AA$200,$G223)&gt;0,
     COUNTIFS($AB$2:$AB$200,$G223)&gt;0,
     COUNTIFS($AC$2:$AC$200,$G223)&gt;0,
     COUNTIFS($AD$2:$AD$200,$G223)&gt;0,
     COUNTIFS($AE$2:$AE$200,$G223)&gt;0,
     COUNTIFS($AF$2:$AF$200,$G223)&gt;0,
     COUNTIFS($AG$2:$AG$200,$G223)&gt;0,
     COUNTIFS($AH$2:$AH$200,$G223)&gt;0,
     COUNTIFS($AI$2:$AI$200,$G223)&gt;0,
     COUNTIFS($AJ$2:$AJ$200,$G223)&gt;0,
     COUNTIFS($AK$2:$AK$200,$G223)&gt;0,
     COUNTIFS($AL$2:$AL$200,$G223)&gt;0,
     COUNTIFS($AM$2:$AM$200,$G223)&gt;0,
     COUNTIFS($AN$2:$AN$200,$G223)&gt;0,
     COUNTIFS($AO$2:$AO$200,$G223)&gt;0,
     COUNTIFS($AP$2:$AP$200,$G223)&gt;0,
     COUNTIFS($AQ$2:$AQ$200,$G223)&gt;0,
     COUNTIFS($AR$2:$AR$200,$G223)&gt;0,
     COUNTIFS($AS$2:$AS$200,$G223)&gt;0,
     COUNTIFS($AT$2:$AT$200,$G223)&gt;0,
     COUNTIFS($AU$2:$AU$200,$G223)&gt;0,
     COUNTIFS($AV$2:$AV$200,$G223)&gt;0,
     COUNTIFS($AW$2:$AW$200,$G223)&gt;0,
     COUNTIFS($AX$2:$AX$200,$G223)&gt;0,
     COUNTIFS($AY$2:$AY$200,$G223)&gt;0
   )),
  ),
  3
 ),
"")</f>
        <v/>
      </c>
      <c r="F223" s="2" t="str" cm="1">
        <f t="array" aca="1" ref="F223" ca="1">IFERROR(
 INDEX(
  _xlfn._xlws.FILTER($V$1:$AY$1,
   TRANSPOSE(
    CHOOSE({1;2;3;4;5;6;7;8;9;10;11;12;13;14;15;16;17;18;19;20;21;22;23;24;25;26;27;28;29;30},
     COUNTIFS($V$2:$V$200,$G223)&gt;0,
     COUNTIFS($W$2:$W$200,$G223)&gt;0,
     COUNTIFS($X$2:$X$200,$G223)&gt;0,
     COUNTIFS($Y$2:$Y$200,$G223)&gt;0,
     COUNTIFS($Z$2:$Z$200,$G223)&gt;0,
     COUNTIFS($AA$2:$AA$200,$G223)&gt;0,
     COUNTIFS($AB$2:$AB$200,$G223)&gt;0,
     COUNTIFS($AC$2:$AC$200,$G223)&gt;0,
     COUNTIFS($AD$2:$AD$200,$G223)&gt;0,
     COUNTIFS($AE$2:$AE$200,$G223)&gt;0,
     COUNTIFS($AF$2:$AF$200,$G223)&gt;0,
     COUNTIFS($AG$2:$AG$200,$G223)&gt;0,
     COUNTIFS($AH$2:$AH$200,$G223)&gt;0,
     COUNTIFS($AI$2:$AI$200,$G223)&gt;0,
     COUNTIFS($AJ$2:$AJ$200,$G223)&gt;0,
     COUNTIFS($AK$2:$AK$200,$G223)&gt;0,
     COUNTIFS($AL$2:$AL$200,$G223)&gt;0,
     COUNTIFS($AM$2:$AM$200,$G223)&gt;0,
     COUNTIFS($AN$2:$AN$200,$G223)&gt;0,
     COUNTIFS($AO$2:$AO$200,$G223)&gt;0,
     COUNTIFS($AP$2:$AP$200,$G223)&gt;0,
     COUNTIFS($AQ$2:$AQ$200,$G223)&gt;0,
     COUNTIFS($AR$2:$AR$200,$G223)&gt;0,
     COUNTIFS($AS$2:$AS$200,$G223)&gt;0,
     COUNTIFS($AT$2:$AT$200,$G223)&gt;0,
     COUNTIFS($AU$2:$AU$200,$G223)&gt;0,
     COUNTIFS($AV$2:$AV$200,$G223)&gt;0,
     COUNTIFS($AW$2:$AW$200,$G223)&gt;0,
     COUNTIFS($AX$2:$AX$200,$G223)&gt;0,
     COUNTIFS($AY$2:$AY$200,$G223)&gt;0
   )),
  ),
  4
 ),
"")</f>
        <v/>
      </c>
      <c r="G223" t="str">
        <f ca="1"/>
        <v>Jetmir's Garden</v>
      </c>
      <c r="EU223" t="str">
        <f ca="1"/>
        <v>Psychic Corrosion</v>
      </c>
      <c r="EX223" t="str">
        <f ca="1"/>
        <v>Jetmir's Garden</v>
      </c>
    </row>
    <row r="224" spans="1:154" x14ac:dyDescent="0.25">
      <c r="A224" s="2" t="str">
        <f t="shared" ca="1" si="12"/>
        <v>4</v>
      </c>
      <c r="B224" s="2">
        <f t="shared" ca="1" si="13"/>
        <v>2</v>
      </c>
      <c r="C224" s="2" t="str">
        <f ca="1">IFERROR(
 INDEX($V$1:$BL$1,
  MATCH(TRUE,
   CHOOSE({1;2;3;4;5;6;7;8;9;10;11;12;13;14;15;16;17;18;19;20;21;22;23;24;25;26;27;28;29;30;31;32;33;34;35;36;37;38;39;40;41;42;43},
    COUNTIFS($V$2:$V$200,$G224)&gt;0,
    COUNTIFS($W$2:$W$200,$G224)&gt;0,
    COUNTIFS($X$2:$X$200,$G224)&gt;0,
    COUNTIFS($Y$2:$Y$200,$G224)&gt;0,
    COUNTIFS($Z$2:$Z$200,$G224)&gt;0,
    COUNTIFS($AA$2:$AA$200,$G224)&gt;0,
    COUNTIFS($AB$2:$AB$200,$G224)&gt;0,
    COUNTIFS($AC$2:$AC$200,$G224)&gt;0,
    COUNTIFS($AD$2:$AD$200,$G224)&gt;0,
    COUNTIFS($AE$2:$AE$200,$G224)&gt;0,
    COUNTIFS($AF$2:$AF$200,$G224)&gt;0,
    COUNTIFS($AG$2:$AG$200,$G224)&gt;0,
    COUNTIFS($AH$2:$AH$200,$G224)&gt;0,
    COUNTIFS($AI$2:$AI$200,$G224)&gt;0,
    COUNTIFS($AJ$2:$AJ$200,$G224)&gt;0,
    COUNTIFS($AK$2:$AK$200,$G224)&gt;0,
    COUNTIFS($AL$2:$AL$200,$G224)&gt;0,
    COUNTIFS($AM$2:$AM$200,$G224)&gt;0,
    COUNTIFS($AN$2:$AN$200,$G224)&gt;0,
    COUNTIFS($AO$2:$AO$200,$G224)&gt;0,
    COUNTIFS($AP$2:$AP$200,$G224)&gt;0,
    COUNTIFS($AQ$2:$AQ$200,$G224)&gt;0,
    COUNTIFS($AR$2:$AR$200,$G224)&gt;0,
    COUNTIFS($AS$2:$AS$200,$G224)&gt;0,
    COUNTIFS($AT$2:$AT$200,$G224)&gt;0,
    COUNTIFS($AU$2:$AU$200,$G224)&gt;0,
    COUNTIFS($AV$2:$AV$200,$G224)&gt;0,
    COUNTIFS($AW$2:$AW$200,$G224)&gt;0,
    COUNTIFS($AX$2:$AX$200,$G224)&gt;0,
    COUNTIFS($AY$2:$AY$200,$G224)&gt;0,
    COUNTIFS($AZ$2:$AZ$200,$G224)&gt;0,
    COUNTIFS($BA$2:$BA$200,$G224)&gt;0,
    COUNTIFS($BB$2:$BB$200,$G224)&gt;0,
    COUNTIFS($BC$2:$BC$200,$G224)&gt;0,
    COUNTIFS($BD$2:$BD$200,$G224)&gt;0,
    COUNTIFS($BE$2:$BE$200,$G224)&gt;0,
    COUNTIFS($BF$2:$BF$200,$G224)&gt;0,
    COUNTIFS($BG$2:$BG$200,$G224)&gt;0,
    COUNTIFS($BH$2:$BH$200,$G224)&gt;0,
    COUNTIFS($BI$2:$BI$200,$G224)&gt;0,
    COUNTIFS($BJ$2:$BJ$200,$G224)&gt;0,
    COUNTIFS($BK$2:$BK$200,$G224)&gt;0,
    COUNTIFS($BL$2:$BL$200,$G224)&gt;0,
    COUNTIFS($BM$2:$BM$200,$G224)&gt;0,
   ),
  0)
 ),
"")</f>
        <v>Narset</v>
      </c>
      <c r="D224" s="2" t="str" cm="1">
        <f t="array" aca="1" ref="D224" ca="1">IFERROR(
 INDEX(
  _xlfn._xlws.FILTER($V$1:$AY$1,
   TRANSPOSE(
    CHOOSE({1;2;3;4;5;6;7;8;9;10;11;12;13;14;15;16;17;18;19;20;21;22;23;24;25;26;27;28;29;30},
     COUNTIFS($V$2:$V$200,$G224)&gt;0,
     COUNTIFS($W$2:$W$200,$G224)&gt;0,
     COUNTIFS($X$2:$X$200,$G224)&gt;0,
     COUNTIFS($Y$2:$Y$200,$G224)&gt;0,
     COUNTIFS($Z$2:$Z$200,$G224)&gt;0,
     COUNTIFS($AA$2:$AA$200,$G224)&gt;0,
     COUNTIFS($AB$2:$AB$200,$G224)&gt;0,
     COUNTIFS($AC$2:$AC$200,$G224)&gt;0,
     COUNTIFS($AD$2:$AD$200,$G224)&gt;0,
     COUNTIFS($AE$2:$AE$200,$G224)&gt;0,
     COUNTIFS($AF$2:$AF$200,$G224)&gt;0,
     COUNTIFS($AG$2:$AG$200,$G224)&gt;0,
     COUNTIFS($AH$2:$AH$200,$G224)&gt;0,
     COUNTIFS($AI$2:$AI$200,$G224)&gt;0,
     COUNTIFS($AJ$2:$AJ$200,$G224)&gt;0,
     COUNTIFS($AK$2:$AK$200,$G224)&gt;0,
     COUNTIFS($AL$2:$AL$200,$G224)&gt;0,
     COUNTIFS($AM$2:$AM$200,$G224)&gt;0,
     COUNTIFS($AN$2:$AN$200,$G224)&gt;0,
     COUNTIFS($AO$2:$AO$200,$G224)&gt;0,
     COUNTIFS($AP$2:$AP$200,$G224)&gt;0,
     COUNTIFS($AQ$2:$AQ$200,$G224)&gt;0,
     COUNTIFS($AR$2:$AR$200,$G224)&gt;0,
     COUNTIFS($AS$2:$AS$200,$G224)&gt;0,
     COUNTIFS($AT$2:$AT$200,$G224)&gt;0,
     COUNTIFS($AU$2:$AU$200,$G224)&gt;0,
     COUNTIFS($AV$2:$AV$200,$G224)&gt;0,
     COUNTIFS($AW$2:$AW$200,$G224)&gt;0,
     COUNTIFS($AX$2:$AX$200,$G224)&gt;0,
     COUNTIFS($AY$2:$AY$200,$G224)&gt;0
   )),
  ),
  2
 ),
"")</f>
        <v>Oona</v>
      </c>
      <c r="E224" s="2" t="str" cm="1">
        <f t="array" aca="1" ref="E224" ca="1">IFERROR(
 INDEX(
  _xlfn._xlws.FILTER($V$1:$AY$1,
   TRANSPOSE(
    CHOOSE({1;2;3;4;5;6;7;8;9;10;11;12;13;14;15;16;17;18;19;20;21;22;23;24;25;26;27;28;29;30},
     COUNTIFS($V$2:$V$200,$G224)&gt;0,
     COUNTIFS($W$2:$W$200,$G224)&gt;0,
     COUNTIFS($X$2:$X$200,$G224)&gt;0,
     COUNTIFS($Y$2:$Y$200,$G224)&gt;0,
     COUNTIFS($Z$2:$Z$200,$G224)&gt;0,
     COUNTIFS($AA$2:$AA$200,$G224)&gt;0,
     COUNTIFS($AB$2:$AB$200,$G224)&gt;0,
     COUNTIFS($AC$2:$AC$200,$G224)&gt;0,
     COUNTIFS($AD$2:$AD$200,$G224)&gt;0,
     COUNTIFS($AE$2:$AE$200,$G224)&gt;0,
     COUNTIFS($AF$2:$AF$200,$G224)&gt;0,
     COUNTIFS($AG$2:$AG$200,$G224)&gt;0,
     COUNTIFS($AH$2:$AH$200,$G224)&gt;0,
     COUNTIFS($AI$2:$AI$200,$G224)&gt;0,
     COUNTIFS($AJ$2:$AJ$200,$G224)&gt;0,
     COUNTIFS($AK$2:$AK$200,$G224)&gt;0,
     COUNTIFS($AL$2:$AL$200,$G224)&gt;0,
     COUNTIFS($AM$2:$AM$200,$G224)&gt;0,
     COUNTIFS($AN$2:$AN$200,$G224)&gt;0,
     COUNTIFS($AO$2:$AO$200,$G224)&gt;0,
     COUNTIFS($AP$2:$AP$200,$G224)&gt;0,
     COUNTIFS($AQ$2:$AQ$200,$G224)&gt;0,
     COUNTIFS($AR$2:$AR$200,$G224)&gt;0,
     COUNTIFS($AS$2:$AS$200,$G224)&gt;0,
     COUNTIFS($AT$2:$AT$200,$G224)&gt;0,
     COUNTIFS($AU$2:$AU$200,$G224)&gt;0,
     COUNTIFS($AV$2:$AV$200,$G224)&gt;0,
     COUNTIFS($AW$2:$AW$200,$G224)&gt;0,
     COUNTIFS($AX$2:$AX$200,$G224)&gt;0,
     COUNTIFS($AY$2:$AY$200,$G224)&gt;0
   )),
  ),
  3
 ),
"")</f>
        <v/>
      </c>
      <c r="F224" s="2" t="str" cm="1">
        <f t="array" aca="1" ref="F224" ca="1">IFERROR(
 INDEX(
  _xlfn._xlws.FILTER($V$1:$AY$1,
   TRANSPOSE(
    CHOOSE({1;2;3;4;5;6;7;8;9;10;11;12;13;14;15;16;17;18;19;20;21;22;23;24;25;26;27;28;29;30},
     COUNTIFS($V$2:$V$200,$G224)&gt;0,
     COUNTIFS($W$2:$W$200,$G224)&gt;0,
     COUNTIFS($X$2:$X$200,$G224)&gt;0,
     COUNTIFS($Y$2:$Y$200,$G224)&gt;0,
     COUNTIFS($Z$2:$Z$200,$G224)&gt;0,
     COUNTIFS($AA$2:$AA$200,$G224)&gt;0,
     COUNTIFS($AB$2:$AB$200,$G224)&gt;0,
     COUNTIFS($AC$2:$AC$200,$G224)&gt;0,
     COUNTIFS($AD$2:$AD$200,$G224)&gt;0,
     COUNTIFS($AE$2:$AE$200,$G224)&gt;0,
     COUNTIFS($AF$2:$AF$200,$G224)&gt;0,
     COUNTIFS($AG$2:$AG$200,$G224)&gt;0,
     COUNTIFS($AH$2:$AH$200,$G224)&gt;0,
     COUNTIFS($AI$2:$AI$200,$G224)&gt;0,
     COUNTIFS($AJ$2:$AJ$200,$G224)&gt;0,
     COUNTIFS($AK$2:$AK$200,$G224)&gt;0,
     COUNTIFS($AL$2:$AL$200,$G224)&gt;0,
     COUNTIFS($AM$2:$AM$200,$G224)&gt;0,
     COUNTIFS($AN$2:$AN$200,$G224)&gt;0,
     COUNTIFS($AO$2:$AO$200,$G224)&gt;0,
     COUNTIFS($AP$2:$AP$200,$G224)&gt;0,
     COUNTIFS($AQ$2:$AQ$200,$G224)&gt;0,
     COUNTIFS($AR$2:$AR$200,$G224)&gt;0,
     COUNTIFS($AS$2:$AS$200,$G224)&gt;0,
     COUNTIFS($AT$2:$AT$200,$G224)&gt;0,
     COUNTIFS($AU$2:$AU$200,$G224)&gt;0,
     COUNTIFS($AV$2:$AV$200,$G224)&gt;0,
     COUNTIFS($AW$2:$AW$200,$G224)&gt;0,
     COUNTIFS($AX$2:$AX$200,$G224)&gt;0,
     COUNTIFS($AY$2:$AY$200,$G224)&gt;0
   )),
  ),
  4
 ),
"")</f>
        <v/>
      </c>
      <c r="G224" t="str">
        <f ca="1"/>
        <v>Jidoor, Aristocratic Capital // Overture</v>
      </c>
      <c r="EU224" t="str">
        <f ca="1"/>
        <v>Psychic Paper</v>
      </c>
      <c r="EX224" t="str">
        <f ca="1"/>
        <v>Jidoor, Aristocratic Capital // Overture</v>
      </c>
    </row>
    <row r="225" spans="1:154" x14ac:dyDescent="0.25">
      <c r="A225" s="2" t="str">
        <f t="shared" ca="1" si="12"/>
        <v>5</v>
      </c>
      <c r="B225" s="2">
        <f t="shared" ca="1" si="13"/>
        <v>1</v>
      </c>
      <c r="C225" s="2" t="str">
        <f ca="1">IFERROR(
 INDEX($V$1:$BL$1,
  MATCH(TRUE,
   CHOOSE({1;2;3;4;5;6;7;8;9;10;11;12;13;14;15;16;17;18;19;20;21;22;23;24;25;26;27;28;29;30;31;32;33;34;35;36;37;38;39;40;41;42;43},
    COUNTIFS($V$2:$V$200,$G225)&gt;0,
    COUNTIFS($W$2:$W$200,$G225)&gt;0,
    COUNTIFS($X$2:$X$200,$G225)&gt;0,
    COUNTIFS($Y$2:$Y$200,$G225)&gt;0,
    COUNTIFS($Z$2:$Z$200,$G225)&gt;0,
    COUNTIFS($AA$2:$AA$200,$G225)&gt;0,
    COUNTIFS($AB$2:$AB$200,$G225)&gt;0,
    COUNTIFS($AC$2:$AC$200,$G225)&gt;0,
    COUNTIFS($AD$2:$AD$200,$G225)&gt;0,
    COUNTIFS($AE$2:$AE$200,$G225)&gt;0,
    COUNTIFS($AF$2:$AF$200,$G225)&gt;0,
    COUNTIFS($AG$2:$AG$200,$G225)&gt;0,
    COUNTIFS($AH$2:$AH$200,$G225)&gt;0,
    COUNTIFS($AI$2:$AI$200,$G225)&gt;0,
    COUNTIFS($AJ$2:$AJ$200,$G225)&gt;0,
    COUNTIFS($AK$2:$AK$200,$G225)&gt;0,
    COUNTIFS($AL$2:$AL$200,$G225)&gt;0,
    COUNTIFS($AM$2:$AM$200,$G225)&gt;0,
    COUNTIFS($AN$2:$AN$200,$G225)&gt;0,
    COUNTIFS($AO$2:$AO$200,$G225)&gt;0,
    COUNTIFS($AP$2:$AP$200,$G225)&gt;0,
    COUNTIFS($AQ$2:$AQ$200,$G225)&gt;0,
    COUNTIFS($AR$2:$AR$200,$G225)&gt;0,
    COUNTIFS($AS$2:$AS$200,$G225)&gt;0,
    COUNTIFS($AT$2:$AT$200,$G225)&gt;0,
    COUNTIFS($AU$2:$AU$200,$G225)&gt;0,
    COUNTIFS($AV$2:$AV$200,$G225)&gt;0,
    COUNTIFS($AW$2:$AW$200,$G225)&gt;0,
    COUNTIFS($AX$2:$AX$200,$G225)&gt;0,
    COUNTIFS($AY$2:$AY$200,$G225)&gt;0,
    COUNTIFS($AZ$2:$AZ$200,$G225)&gt;0,
    COUNTIFS($BA$2:$BA$200,$G225)&gt;0,
    COUNTIFS($BB$2:$BB$200,$G225)&gt;0,
    COUNTIFS($BC$2:$BC$200,$G225)&gt;0,
    COUNTIFS($BD$2:$BD$200,$G225)&gt;0,
    COUNTIFS($BE$2:$BE$200,$G225)&gt;0,
    COUNTIFS($BF$2:$BF$200,$G225)&gt;0,
    COUNTIFS($BG$2:$BG$200,$G225)&gt;0,
    COUNTIFS($BH$2:$BH$200,$G225)&gt;0,
    COUNTIFS($BI$2:$BI$200,$G225)&gt;0,
    COUNTIFS($BJ$2:$BJ$200,$G225)&gt;0,
    COUNTIFS($BK$2:$BK$200,$G225)&gt;0,
    COUNTIFS($BL$2:$BL$200,$G225)&gt;0,
    COUNTIFS($BM$2:$BM$200,$G225)&gt;0,
   ),
  0)
 ),
"")</f>
        <v>4cRash</v>
      </c>
      <c r="D225" s="2" t="str" cm="1">
        <f t="array" aca="1" ref="D225" ca="1">IFERROR(
 INDEX(
  _xlfn._xlws.FILTER($V$1:$AY$1,
   TRANSPOSE(
    CHOOSE({1;2;3;4;5;6;7;8;9;10;11;12;13;14;15;16;17;18;19;20;21;22;23;24;25;26;27;28;29;30},
     COUNTIFS($V$2:$V$200,$G225)&gt;0,
     COUNTIFS($W$2:$W$200,$G225)&gt;0,
     COUNTIFS($X$2:$X$200,$G225)&gt;0,
     COUNTIFS($Y$2:$Y$200,$G225)&gt;0,
     COUNTIFS($Z$2:$Z$200,$G225)&gt;0,
     COUNTIFS($AA$2:$AA$200,$G225)&gt;0,
     COUNTIFS($AB$2:$AB$200,$G225)&gt;0,
     COUNTIFS($AC$2:$AC$200,$G225)&gt;0,
     COUNTIFS($AD$2:$AD$200,$G225)&gt;0,
     COUNTIFS($AE$2:$AE$200,$G225)&gt;0,
     COUNTIFS($AF$2:$AF$200,$G225)&gt;0,
     COUNTIFS($AG$2:$AG$200,$G225)&gt;0,
     COUNTIFS($AH$2:$AH$200,$G225)&gt;0,
     COUNTIFS($AI$2:$AI$200,$G225)&gt;0,
     COUNTIFS($AJ$2:$AJ$200,$G225)&gt;0,
     COUNTIFS($AK$2:$AK$200,$G225)&gt;0,
     COUNTIFS($AL$2:$AL$200,$G225)&gt;0,
     COUNTIFS($AM$2:$AM$200,$G225)&gt;0,
     COUNTIFS($AN$2:$AN$200,$G225)&gt;0,
     COUNTIFS($AO$2:$AO$200,$G225)&gt;0,
     COUNTIFS($AP$2:$AP$200,$G225)&gt;0,
     COUNTIFS($AQ$2:$AQ$200,$G225)&gt;0,
     COUNTIFS($AR$2:$AR$200,$G225)&gt;0,
     COUNTIFS($AS$2:$AS$200,$G225)&gt;0,
     COUNTIFS($AT$2:$AT$200,$G225)&gt;0,
     COUNTIFS($AU$2:$AU$200,$G225)&gt;0,
     COUNTIFS($AV$2:$AV$200,$G225)&gt;0,
     COUNTIFS($AW$2:$AW$200,$G225)&gt;0,
     COUNTIFS($AX$2:$AX$200,$G225)&gt;0,
     COUNTIFS($AY$2:$AY$200,$G225)&gt;0
   )),
  ),
  2
 ),
"")</f>
        <v/>
      </c>
      <c r="E225" s="2" t="str" cm="1">
        <f t="array" aca="1" ref="E225" ca="1">IFERROR(
 INDEX(
  _xlfn._xlws.FILTER($V$1:$AY$1,
   TRANSPOSE(
    CHOOSE({1;2;3;4;5;6;7;8;9;10;11;12;13;14;15;16;17;18;19;20;21;22;23;24;25;26;27;28;29;30},
     COUNTIFS($V$2:$V$200,$G225)&gt;0,
     COUNTIFS($W$2:$W$200,$G225)&gt;0,
     COUNTIFS($X$2:$X$200,$G225)&gt;0,
     COUNTIFS($Y$2:$Y$200,$G225)&gt;0,
     COUNTIFS($Z$2:$Z$200,$G225)&gt;0,
     COUNTIFS($AA$2:$AA$200,$G225)&gt;0,
     COUNTIFS($AB$2:$AB$200,$G225)&gt;0,
     COUNTIFS($AC$2:$AC$200,$G225)&gt;0,
     COUNTIFS($AD$2:$AD$200,$G225)&gt;0,
     COUNTIFS($AE$2:$AE$200,$G225)&gt;0,
     COUNTIFS($AF$2:$AF$200,$G225)&gt;0,
     COUNTIFS($AG$2:$AG$200,$G225)&gt;0,
     COUNTIFS($AH$2:$AH$200,$G225)&gt;0,
     COUNTIFS($AI$2:$AI$200,$G225)&gt;0,
     COUNTIFS($AJ$2:$AJ$200,$G225)&gt;0,
     COUNTIFS($AK$2:$AK$200,$G225)&gt;0,
     COUNTIFS($AL$2:$AL$200,$G225)&gt;0,
     COUNTIFS($AM$2:$AM$200,$G225)&gt;0,
     COUNTIFS($AN$2:$AN$200,$G225)&gt;0,
     COUNTIFS($AO$2:$AO$200,$G225)&gt;0,
     COUNTIFS($AP$2:$AP$200,$G225)&gt;0,
     COUNTIFS($AQ$2:$AQ$200,$G225)&gt;0,
     COUNTIFS($AR$2:$AR$200,$G225)&gt;0,
     COUNTIFS($AS$2:$AS$200,$G225)&gt;0,
     COUNTIFS($AT$2:$AT$200,$G225)&gt;0,
     COUNTIFS($AU$2:$AU$200,$G225)&gt;0,
     COUNTIFS($AV$2:$AV$200,$G225)&gt;0,
     COUNTIFS($AW$2:$AW$200,$G225)&gt;0,
     COUNTIFS($AX$2:$AX$200,$G225)&gt;0,
     COUNTIFS($AY$2:$AY$200,$G225)&gt;0
   )),
  ),
  3
 ),
"")</f>
        <v/>
      </c>
      <c r="F225" s="2" t="str" cm="1">
        <f t="array" aca="1" ref="F225" ca="1">IFERROR(
 INDEX(
  _xlfn._xlws.FILTER($V$1:$AY$1,
   TRANSPOSE(
    CHOOSE({1;2;3;4;5;6;7;8;9;10;11;12;13;14;15;16;17;18;19;20;21;22;23;24;25;26;27;28;29;30},
     COUNTIFS($V$2:$V$200,$G225)&gt;0,
     COUNTIFS($W$2:$W$200,$G225)&gt;0,
     COUNTIFS($X$2:$X$200,$G225)&gt;0,
     COUNTIFS($Y$2:$Y$200,$G225)&gt;0,
     COUNTIFS($Z$2:$Z$200,$G225)&gt;0,
     COUNTIFS($AA$2:$AA$200,$G225)&gt;0,
     COUNTIFS($AB$2:$AB$200,$G225)&gt;0,
     COUNTIFS($AC$2:$AC$200,$G225)&gt;0,
     COUNTIFS($AD$2:$AD$200,$G225)&gt;0,
     COUNTIFS($AE$2:$AE$200,$G225)&gt;0,
     COUNTIFS($AF$2:$AF$200,$G225)&gt;0,
     COUNTIFS($AG$2:$AG$200,$G225)&gt;0,
     COUNTIFS($AH$2:$AH$200,$G225)&gt;0,
     COUNTIFS($AI$2:$AI$200,$G225)&gt;0,
     COUNTIFS($AJ$2:$AJ$200,$G225)&gt;0,
     COUNTIFS($AK$2:$AK$200,$G225)&gt;0,
     COUNTIFS($AL$2:$AL$200,$G225)&gt;0,
     COUNTIFS($AM$2:$AM$200,$G225)&gt;0,
     COUNTIFS($AN$2:$AN$200,$G225)&gt;0,
     COUNTIFS($AO$2:$AO$200,$G225)&gt;0,
     COUNTIFS($AP$2:$AP$200,$G225)&gt;0,
     COUNTIFS($AQ$2:$AQ$200,$G225)&gt;0,
     COUNTIFS($AR$2:$AR$200,$G225)&gt;0,
     COUNTIFS($AS$2:$AS$200,$G225)&gt;0,
     COUNTIFS($AT$2:$AT$200,$G225)&gt;0,
     COUNTIFS($AU$2:$AU$200,$G225)&gt;0,
     COUNTIFS($AV$2:$AV$200,$G225)&gt;0,
     COUNTIFS($AW$2:$AW$200,$G225)&gt;0,
     COUNTIFS($AX$2:$AX$200,$G225)&gt;0,
     COUNTIFS($AY$2:$AY$200,$G225)&gt;0
   )),
  ),
  4
 ),
"")</f>
        <v/>
      </c>
      <c r="G225" t="str">
        <f ca="1"/>
        <v>Joint Exploration</v>
      </c>
      <c r="EU225" t="str">
        <f ca="1"/>
        <v>Pulmonic Sliver</v>
      </c>
      <c r="EX225" t="str">
        <f ca="1"/>
        <v>Joint Exploration</v>
      </c>
    </row>
    <row r="226" spans="1:154" x14ac:dyDescent="0.25">
      <c r="A226" s="2" t="str">
        <f t="shared" ca="1" si="12"/>
        <v>5</v>
      </c>
      <c r="B226" s="2">
        <f t="shared" ca="1" si="13"/>
        <v>1</v>
      </c>
      <c r="C226" s="2" t="str">
        <f ca="1">IFERROR(
 INDEX($V$1:$BL$1,
  MATCH(TRUE,
   CHOOSE({1;2;3;4;5;6;7;8;9;10;11;12;13;14;15;16;17;18;19;20;21;22;23;24;25;26;27;28;29;30;31;32;33;34;35;36;37;38;39;40;41;42;43},
    COUNTIFS($V$2:$V$200,$G226)&gt;0,
    COUNTIFS($W$2:$W$200,$G226)&gt;0,
    COUNTIFS($X$2:$X$200,$G226)&gt;0,
    COUNTIFS($Y$2:$Y$200,$G226)&gt;0,
    COUNTIFS($Z$2:$Z$200,$G226)&gt;0,
    COUNTIFS($AA$2:$AA$200,$G226)&gt;0,
    COUNTIFS($AB$2:$AB$200,$G226)&gt;0,
    COUNTIFS($AC$2:$AC$200,$G226)&gt;0,
    COUNTIFS($AD$2:$AD$200,$G226)&gt;0,
    COUNTIFS($AE$2:$AE$200,$G226)&gt;0,
    COUNTIFS($AF$2:$AF$200,$G226)&gt;0,
    COUNTIFS($AG$2:$AG$200,$G226)&gt;0,
    COUNTIFS($AH$2:$AH$200,$G226)&gt;0,
    COUNTIFS($AI$2:$AI$200,$G226)&gt;0,
    COUNTIFS($AJ$2:$AJ$200,$G226)&gt;0,
    COUNTIFS($AK$2:$AK$200,$G226)&gt;0,
    COUNTIFS($AL$2:$AL$200,$G226)&gt;0,
    COUNTIFS($AM$2:$AM$200,$G226)&gt;0,
    COUNTIFS($AN$2:$AN$200,$G226)&gt;0,
    COUNTIFS($AO$2:$AO$200,$G226)&gt;0,
    COUNTIFS($AP$2:$AP$200,$G226)&gt;0,
    COUNTIFS($AQ$2:$AQ$200,$G226)&gt;0,
    COUNTIFS($AR$2:$AR$200,$G226)&gt;0,
    COUNTIFS($AS$2:$AS$200,$G226)&gt;0,
    COUNTIFS($AT$2:$AT$200,$G226)&gt;0,
    COUNTIFS($AU$2:$AU$200,$G226)&gt;0,
    COUNTIFS($AV$2:$AV$200,$G226)&gt;0,
    COUNTIFS($AW$2:$AW$200,$G226)&gt;0,
    COUNTIFS($AX$2:$AX$200,$G226)&gt;0,
    COUNTIFS($AY$2:$AY$200,$G226)&gt;0,
    COUNTIFS($AZ$2:$AZ$200,$G226)&gt;0,
    COUNTIFS($BA$2:$BA$200,$G226)&gt;0,
    COUNTIFS($BB$2:$BB$200,$G226)&gt;0,
    COUNTIFS($BC$2:$BC$200,$G226)&gt;0,
    COUNTIFS($BD$2:$BD$200,$G226)&gt;0,
    COUNTIFS($BE$2:$BE$200,$G226)&gt;0,
    COUNTIFS($BF$2:$BF$200,$G226)&gt;0,
    COUNTIFS($BG$2:$BG$200,$G226)&gt;0,
    COUNTIFS($BH$2:$BH$200,$G226)&gt;0,
    COUNTIFS($BI$2:$BI$200,$G226)&gt;0,
    COUNTIFS($BJ$2:$BJ$200,$G226)&gt;0,
    COUNTIFS($BK$2:$BK$200,$G226)&gt;0,
    COUNTIFS($BL$2:$BL$200,$G226)&gt;0,
    COUNTIFS($BM$2:$BM$200,$G226)&gt;0,
   ),
  0)
 ),
"")</f>
        <v>Little</v>
      </c>
      <c r="D226" s="2" t="str" cm="1">
        <f t="array" aca="1" ref="D226" ca="1">IFERROR(
 INDEX(
  _xlfn._xlws.FILTER($V$1:$AY$1,
   TRANSPOSE(
    CHOOSE({1;2;3;4;5;6;7;8;9;10;11;12;13;14;15;16;17;18;19;20;21;22;23;24;25;26;27;28;29;30},
     COUNTIFS($V$2:$V$200,$G226)&gt;0,
     COUNTIFS($W$2:$W$200,$G226)&gt;0,
     COUNTIFS($X$2:$X$200,$G226)&gt;0,
     COUNTIFS($Y$2:$Y$200,$G226)&gt;0,
     COUNTIFS($Z$2:$Z$200,$G226)&gt;0,
     COUNTIFS($AA$2:$AA$200,$G226)&gt;0,
     COUNTIFS($AB$2:$AB$200,$G226)&gt;0,
     COUNTIFS($AC$2:$AC$200,$G226)&gt;0,
     COUNTIFS($AD$2:$AD$200,$G226)&gt;0,
     COUNTIFS($AE$2:$AE$200,$G226)&gt;0,
     COUNTIFS($AF$2:$AF$200,$G226)&gt;0,
     COUNTIFS($AG$2:$AG$200,$G226)&gt;0,
     COUNTIFS($AH$2:$AH$200,$G226)&gt;0,
     COUNTIFS($AI$2:$AI$200,$G226)&gt;0,
     COUNTIFS($AJ$2:$AJ$200,$G226)&gt;0,
     COUNTIFS($AK$2:$AK$200,$G226)&gt;0,
     COUNTIFS($AL$2:$AL$200,$G226)&gt;0,
     COUNTIFS($AM$2:$AM$200,$G226)&gt;0,
     COUNTIFS($AN$2:$AN$200,$G226)&gt;0,
     COUNTIFS($AO$2:$AO$200,$G226)&gt;0,
     COUNTIFS($AP$2:$AP$200,$G226)&gt;0,
     COUNTIFS($AQ$2:$AQ$200,$G226)&gt;0,
     COUNTIFS($AR$2:$AR$200,$G226)&gt;0,
     COUNTIFS($AS$2:$AS$200,$G226)&gt;0,
     COUNTIFS($AT$2:$AT$200,$G226)&gt;0,
     COUNTIFS($AU$2:$AU$200,$G226)&gt;0,
     COUNTIFS($AV$2:$AV$200,$G226)&gt;0,
     COUNTIFS($AW$2:$AW$200,$G226)&gt;0,
     COUNTIFS($AX$2:$AX$200,$G226)&gt;0,
     COUNTIFS($AY$2:$AY$200,$G226)&gt;0
   )),
  ),
  2
 ),
"")</f>
        <v/>
      </c>
      <c r="E226" s="2" t="str" cm="1">
        <f t="array" aca="1" ref="E226" ca="1">IFERROR(
 INDEX(
  _xlfn._xlws.FILTER($V$1:$AY$1,
   TRANSPOSE(
    CHOOSE({1;2;3;4;5;6;7;8;9;10;11;12;13;14;15;16;17;18;19;20;21;22;23;24;25;26;27;28;29;30},
     COUNTIFS($V$2:$V$200,$G226)&gt;0,
     COUNTIFS($W$2:$W$200,$G226)&gt;0,
     COUNTIFS($X$2:$X$200,$G226)&gt;0,
     COUNTIFS($Y$2:$Y$200,$G226)&gt;0,
     COUNTIFS($Z$2:$Z$200,$G226)&gt;0,
     COUNTIFS($AA$2:$AA$200,$G226)&gt;0,
     COUNTIFS($AB$2:$AB$200,$G226)&gt;0,
     COUNTIFS($AC$2:$AC$200,$G226)&gt;0,
     COUNTIFS($AD$2:$AD$200,$G226)&gt;0,
     COUNTIFS($AE$2:$AE$200,$G226)&gt;0,
     COUNTIFS($AF$2:$AF$200,$G226)&gt;0,
     COUNTIFS($AG$2:$AG$200,$G226)&gt;0,
     COUNTIFS($AH$2:$AH$200,$G226)&gt;0,
     COUNTIFS($AI$2:$AI$200,$G226)&gt;0,
     COUNTIFS($AJ$2:$AJ$200,$G226)&gt;0,
     COUNTIFS($AK$2:$AK$200,$G226)&gt;0,
     COUNTIFS($AL$2:$AL$200,$G226)&gt;0,
     COUNTIFS($AM$2:$AM$200,$G226)&gt;0,
     COUNTIFS($AN$2:$AN$200,$G226)&gt;0,
     COUNTIFS($AO$2:$AO$200,$G226)&gt;0,
     COUNTIFS($AP$2:$AP$200,$G226)&gt;0,
     COUNTIFS($AQ$2:$AQ$200,$G226)&gt;0,
     COUNTIFS($AR$2:$AR$200,$G226)&gt;0,
     COUNTIFS($AS$2:$AS$200,$G226)&gt;0,
     COUNTIFS($AT$2:$AT$200,$G226)&gt;0,
     COUNTIFS($AU$2:$AU$200,$G226)&gt;0,
     COUNTIFS($AV$2:$AV$200,$G226)&gt;0,
     COUNTIFS($AW$2:$AW$200,$G226)&gt;0,
     COUNTIFS($AX$2:$AX$200,$G226)&gt;0,
     COUNTIFS($AY$2:$AY$200,$G226)&gt;0
   )),
  ),
  3
 ),
"")</f>
        <v/>
      </c>
      <c r="F226" s="2" t="str" cm="1">
        <f t="array" aca="1" ref="F226" ca="1">IFERROR(
 INDEX(
  _xlfn._xlws.FILTER($V$1:$AY$1,
   TRANSPOSE(
    CHOOSE({1;2;3;4;5;6;7;8;9;10;11;12;13;14;15;16;17;18;19;20;21;22;23;24;25;26;27;28;29;30},
     COUNTIFS($V$2:$V$200,$G226)&gt;0,
     COUNTIFS($W$2:$W$200,$G226)&gt;0,
     COUNTIFS($X$2:$X$200,$G226)&gt;0,
     COUNTIFS($Y$2:$Y$200,$G226)&gt;0,
     COUNTIFS($Z$2:$Z$200,$G226)&gt;0,
     COUNTIFS($AA$2:$AA$200,$G226)&gt;0,
     COUNTIFS($AB$2:$AB$200,$G226)&gt;0,
     COUNTIFS($AC$2:$AC$200,$G226)&gt;0,
     COUNTIFS($AD$2:$AD$200,$G226)&gt;0,
     COUNTIFS($AE$2:$AE$200,$G226)&gt;0,
     COUNTIFS($AF$2:$AF$200,$G226)&gt;0,
     COUNTIFS($AG$2:$AG$200,$G226)&gt;0,
     COUNTIFS($AH$2:$AH$200,$G226)&gt;0,
     COUNTIFS($AI$2:$AI$200,$G226)&gt;0,
     COUNTIFS($AJ$2:$AJ$200,$G226)&gt;0,
     COUNTIFS($AK$2:$AK$200,$G226)&gt;0,
     COUNTIFS($AL$2:$AL$200,$G226)&gt;0,
     COUNTIFS($AM$2:$AM$200,$G226)&gt;0,
     COUNTIFS($AN$2:$AN$200,$G226)&gt;0,
     COUNTIFS($AO$2:$AO$200,$G226)&gt;0,
     COUNTIFS($AP$2:$AP$200,$G226)&gt;0,
     COUNTIFS($AQ$2:$AQ$200,$G226)&gt;0,
     COUNTIFS($AR$2:$AR$200,$G226)&gt;0,
     COUNTIFS($AS$2:$AS$200,$G226)&gt;0,
     COUNTIFS($AT$2:$AT$200,$G226)&gt;0,
     COUNTIFS($AU$2:$AU$200,$G226)&gt;0,
     COUNTIFS($AV$2:$AV$200,$G226)&gt;0,
     COUNTIFS($AW$2:$AW$200,$G226)&gt;0,
     COUNTIFS($AX$2:$AX$200,$G226)&gt;0,
     COUNTIFS($AY$2:$AY$200,$G226)&gt;0
   )),
  ),
  4
 ),
"")</f>
        <v/>
      </c>
      <c r="G226" t="str">
        <f ca="1"/>
        <v>Kabira Takedown</v>
      </c>
      <c r="EU226" t="str">
        <f ca="1"/>
        <v>Puncture Blast</v>
      </c>
      <c r="EX226" t="str">
        <f ca="1"/>
        <v>Kabira Takedown</v>
      </c>
    </row>
    <row r="227" spans="1:154" x14ac:dyDescent="0.25">
      <c r="A227" s="2" t="str">
        <f t="shared" ca="1" si="12"/>
        <v>5</v>
      </c>
      <c r="B227" s="2">
        <f t="shared" ca="1" si="13"/>
        <v>1</v>
      </c>
      <c r="C227" s="2" t="str">
        <f ca="1">IFERROR(
 INDEX($V$1:$BL$1,
  MATCH(TRUE,
   CHOOSE({1;2;3;4;5;6;7;8;9;10;11;12;13;14;15;16;17;18;19;20;21;22;23;24;25;26;27;28;29;30;31;32;33;34;35;36;37;38;39;40;41;42;43},
    COUNTIFS($V$2:$V$200,$G227)&gt;0,
    COUNTIFS($W$2:$W$200,$G227)&gt;0,
    COUNTIFS($X$2:$X$200,$G227)&gt;0,
    COUNTIFS($Y$2:$Y$200,$G227)&gt;0,
    COUNTIFS($Z$2:$Z$200,$G227)&gt;0,
    COUNTIFS($AA$2:$AA$200,$G227)&gt;0,
    COUNTIFS($AB$2:$AB$200,$G227)&gt;0,
    COUNTIFS($AC$2:$AC$200,$G227)&gt;0,
    COUNTIFS($AD$2:$AD$200,$G227)&gt;0,
    COUNTIFS($AE$2:$AE$200,$G227)&gt;0,
    COUNTIFS($AF$2:$AF$200,$G227)&gt;0,
    COUNTIFS($AG$2:$AG$200,$G227)&gt;0,
    COUNTIFS($AH$2:$AH$200,$G227)&gt;0,
    COUNTIFS($AI$2:$AI$200,$G227)&gt;0,
    COUNTIFS($AJ$2:$AJ$200,$G227)&gt;0,
    COUNTIFS($AK$2:$AK$200,$G227)&gt;0,
    COUNTIFS($AL$2:$AL$200,$G227)&gt;0,
    COUNTIFS($AM$2:$AM$200,$G227)&gt;0,
    COUNTIFS($AN$2:$AN$200,$G227)&gt;0,
    COUNTIFS($AO$2:$AO$200,$G227)&gt;0,
    COUNTIFS($AP$2:$AP$200,$G227)&gt;0,
    COUNTIFS($AQ$2:$AQ$200,$G227)&gt;0,
    COUNTIFS($AR$2:$AR$200,$G227)&gt;0,
    COUNTIFS($AS$2:$AS$200,$G227)&gt;0,
    COUNTIFS($AT$2:$AT$200,$G227)&gt;0,
    COUNTIFS($AU$2:$AU$200,$G227)&gt;0,
    COUNTIFS($AV$2:$AV$200,$G227)&gt;0,
    COUNTIFS($AW$2:$AW$200,$G227)&gt;0,
    COUNTIFS($AX$2:$AX$200,$G227)&gt;0,
    COUNTIFS($AY$2:$AY$200,$G227)&gt;0,
    COUNTIFS($AZ$2:$AZ$200,$G227)&gt;0,
    COUNTIFS($BA$2:$BA$200,$G227)&gt;0,
    COUNTIFS($BB$2:$BB$200,$G227)&gt;0,
    COUNTIFS($BC$2:$BC$200,$G227)&gt;0,
    COUNTIFS($BD$2:$BD$200,$G227)&gt;0,
    COUNTIFS($BE$2:$BE$200,$G227)&gt;0,
    COUNTIFS($BF$2:$BF$200,$G227)&gt;0,
    COUNTIFS($BG$2:$BG$200,$G227)&gt;0,
    COUNTIFS($BH$2:$BH$200,$G227)&gt;0,
    COUNTIFS($BI$2:$BI$200,$G227)&gt;0,
    COUNTIFS($BJ$2:$BJ$200,$G227)&gt;0,
    COUNTIFS($BK$2:$BK$200,$G227)&gt;0,
    COUNTIFS($BL$2:$BL$200,$G227)&gt;0,
    COUNTIFS($BM$2:$BM$200,$G227)&gt;0,
   ),
  0)
 ),
"")</f>
        <v>4cRash</v>
      </c>
      <c r="D227" s="2" t="str" cm="1">
        <f t="array" aca="1" ref="D227" ca="1">IFERROR(
 INDEX(
  _xlfn._xlws.FILTER($V$1:$AY$1,
   TRANSPOSE(
    CHOOSE({1;2;3;4;5;6;7;8;9;10;11;12;13;14;15;16;17;18;19;20;21;22;23;24;25;26;27;28;29;30},
     COUNTIFS($V$2:$V$200,$G227)&gt;0,
     COUNTIFS($W$2:$W$200,$G227)&gt;0,
     COUNTIFS($X$2:$X$200,$G227)&gt;0,
     COUNTIFS($Y$2:$Y$200,$G227)&gt;0,
     COUNTIFS($Z$2:$Z$200,$G227)&gt;0,
     COUNTIFS($AA$2:$AA$200,$G227)&gt;0,
     COUNTIFS($AB$2:$AB$200,$G227)&gt;0,
     COUNTIFS($AC$2:$AC$200,$G227)&gt;0,
     COUNTIFS($AD$2:$AD$200,$G227)&gt;0,
     COUNTIFS($AE$2:$AE$200,$G227)&gt;0,
     COUNTIFS($AF$2:$AF$200,$G227)&gt;0,
     COUNTIFS($AG$2:$AG$200,$G227)&gt;0,
     COUNTIFS($AH$2:$AH$200,$G227)&gt;0,
     COUNTIFS($AI$2:$AI$200,$G227)&gt;0,
     COUNTIFS($AJ$2:$AJ$200,$G227)&gt;0,
     COUNTIFS($AK$2:$AK$200,$G227)&gt;0,
     COUNTIFS($AL$2:$AL$200,$G227)&gt;0,
     COUNTIFS($AM$2:$AM$200,$G227)&gt;0,
     COUNTIFS($AN$2:$AN$200,$G227)&gt;0,
     COUNTIFS($AO$2:$AO$200,$G227)&gt;0,
     COUNTIFS($AP$2:$AP$200,$G227)&gt;0,
     COUNTIFS($AQ$2:$AQ$200,$G227)&gt;0,
     COUNTIFS($AR$2:$AR$200,$G227)&gt;0,
     COUNTIFS($AS$2:$AS$200,$G227)&gt;0,
     COUNTIFS($AT$2:$AT$200,$G227)&gt;0,
     COUNTIFS($AU$2:$AU$200,$G227)&gt;0,
     COUNTIFS($AV$2:$AV$200,$G227)&gt;0,
     COUNTIFS($AW$2:$AW$200,$G227)&gt;0,
     COUNTIFS($AX$2:$AX$200,$G227)&gt;0,
     COUNTIFS($AY$2:$AY$200,$G227)&gt;0
   )),
  ),
  2
 ),
"")</f>
        <v/>
      </c>
      <c r="E227" s="2" t="str" cm="1">
        <f t="array" aca="1" ref="E227" ca="1">IFERROR(
 INDEX(
  _xlfn._xlws.FILTER($V$1:$AY$1,
   TRANSPOSE(
    CHOOSE({1;2;3;4;5;6;7;8;9;10;11;12;13;14;15;16;17;18;19;20;21;22;23;24;25;26;27;28;29;30},
     COUNTIFS($V$2:$V$200,$G227)&gt;0,
     COUNTIFS($W$2:$W$200,$G227)&gt;0,
     COUNTIFS($X$2:$X$200,$G227)&gt;0,
     COUNTIFS($Y$2:$Y$200,$G227)&gt;0,
     COUNTIFS($Z$2:$Z$200,$G227)&gt;0,
     COUNTIFS($AA$2:$AA$200,$G227)&gt;0,
     COUNTIFS($AB$2:$AB$200,$G227)&gt;0,
     COUNTIFS($AC$2:$AC$200,$G227)&gt;0,
     COUNTIFS($AD$2:$AD$200,$G227)&gt;0,
     COUNTIFS($AE$2:$AE$200,$G227)&gt;0,
     COUNTIFS($AF$2:$AF$200,$G227)&gt;0,
     COUNTIFS($AG$2:$AG$200,$G227)&gt;0,
     COUNTIFS($AH$2:$AH$200,$G227)&gt;0,
     COUNTIFS($AI$2:$AI$200,$G227)&gt;0,
     COUNTIFS($AJ$2:$AJ$200,$G227)&gt;0,
     COUNTIFS($AK$2:$AK$200,$G227)&gt;0,
     COUNTIFS($AL$2:$AL$200,$G227)&gt;0,
     COUNTIFS($AM$2:$AM$200,$G227)&gt;0,
     COUNTIFS($AN$2:$AN$200,$G227)&gt;0,
     COUNTIFS($AO$2:$AO$200,$G227)&gt;0,
     COUNTIFS($AP$2:$AP$200,$G227)&gt;0,
     COUNTIFS($AQ$2:$AQ$200,$G227)&gt;0,
     COUNTIFS($AR$2:$AR$200,$G227)&gt;0,
     COUNTIFS($AS$2:$AS$200,$G227)&gt;0,
     COUNTIFS($AT$2:$AT$200,$G227)&gt;0,
     COUNTIFS($AU$2:$AU$200,$G227)&gt;0,
     COUNTIFS($AV$2:$AV$200,$G227)&gt;0,
     COUNTIFS($AW$2:$AW$200,$G227)&gt;0,
     COUNTIFS($AX$2:$AX$200,$G227)&gt;0,
     COUNTIFS($AY$2:$AY$200,$G227)&gt;0
   )),
  ),
  3
 ),
"")</f>
        <v/>
      </c>
      <c r="F227" s="2" t="str" cm="1">
        <f t="array" aca="1" ref="F227" ca="1">IFERROR(
 INDEX(
  _xlfn._xlws.FILTER($V$1:$AY$1,
   TRANSPOSE(
    CHOOSE({1;2;3;4;5;6;7;8;9;10;11;12;13;14;15;16;17;18;19;20;21;22;23;24;25;26;27;28;29;30},
     COUNTIFS($V$2:$V$200,$G227)&gt;0,
     COUNTIFS($W$2:$W$200,$G227)&gt;0,
     COUNTIFS($X$2:$X$200,$G227)&gt;0,
     COUNTIFS($Y$2:$Y$200,$G227)&gt;0,
     COUNTIFS($Z$2:$Z$200,$G227)&gt;0,
     COUNTIFS($AA$2:$AA$200,$G227)&gt;0,
     COUNTIFS($AB$2:$AB$200,$G227)&gt;0,
     COUNTIFS($AC$2:$AC$200,$G227)&gt;0,
     COUNTIFS($AD$2:$AD$200,$G227)&gt;0,
     COUNTIFS($AE$2:$AE$200,$G227)&gt;0,
     COUNTIFS($AF$2:$AF$200,$G227)&gt;0,
     COUNTIFS($AG$2:$AG$200,$G227)&gt;0,
     COUNTIFS($AH$2:$AH$200,$G227)&gt;0,
     COUNTIFS($AI$2:$AI$200,$G227)&gt;0,
     COUNTIFS($AJ$2:$AJ$200,$G227)&gt;0,
     COUNTIFS($AK$2:$AK$200,$G227)&gt;0,
     COUNTIFS($AL$2:$AL$200,$G227)&gt;0,
     COUNTIFS($AM$2:$AM$200,$G227)&gt;0,
     COUNTIFS($AN$2:$AN$200,$G227)&gt;0,
     COUNTIFS($AO$2:$AO$200,$G227)&gt;0,
     COUNTIFS($AP$2:$AP$200,$G227)&gt;0,
     COUNTIFS($AQ$2:$AQ$200,$G227)&gt;0,
     COUNTIFS($AR$2:$AR$200,$G227)&gt;0,
     COUNTIFS($AS$2:$AS$200,$G227)&gt;0,
     COUNTIFS($AT$2:$AT$200,$G227)&gt;0,
     COUNTIFS($AU$2:$AU$200,$G227)&gt;0,
     COUNTIFS($AV$2:$AV$200,$G227)&gt;0,
     COUNTIFS($AW$2:$AW$200,$G227)&gt;0,
     COUNTIFS($AX$2:$AX$200,$G227)&gt;0,
     COUNTIFS($AY$2:$AY$200,$G227)&gt;0
   )),
  ),
  4
 ),
"")</f>
        <v/>
      </c>
      <c r="G227" t="str">
        <f ca="1"/>
        <v>Kaervek the Merciless</v>
      </c>
      <c r="EU227" t="str">
        <f ca="1"/>
        <v>Purphoros, God of the Forge</v>
      </c>
      <c r="EX227" t="str">
        <f ca="1"/>
        <v>Kaervek the Merciless</v>
      </c>
    </row>
    <row r="228" spans="1:154" x14ac:dyDescent="0.25">
      <c r="A228" s="2" t="str">
        <f t="shared" ca="1" si="12"/>
        <v>2</v>
      </c>
      <c r="B228" s="2">
        <f t="shared" ca="1" si="13"/>
        <v>2</v>
      </c>
      <c r="C228" s="2" t="str">
        <f ca="1">IFERROR(
 INDEX($V$1:$BL$1,
  MATCH(TRUE,
   CHOOSE({1;2;3;4;5;6;7;8;9;10;11;12;13;14;15;16;17;18;19;20;21;22;23;24;25;26;27;28;29;30;31;32;33;34;35;36;37;38;39;40;41;42;43},
    COUNTIFS($V$2:$V$200,$G228)&gt;0,
    COUNTIFS($W$2:$W$200,$G228)&gt;0,
    COUNTIFS($X$2:$X$200,$G228)&gt;0,
    COUNTIFS($Y$2:$Y$200,$G228)&gt;0,
    COUNTIFS($Z$2:$Z$200,$G228)&gt;0,
    COUNTIFS($AA$2:$AA$200,$G228)&gt;0,
    COUNTIFS($AB$2:$AB$200,$G228)&gt;0,
    COUNTIFS($AC$2:$AC$200,$G228)&gt;0,
    COUNTIFS($AD$2:$AD$200,$G228)&gt;0,
    COUNTIFS($AE$2:$AE$200,$G228)&gt;0,
    COUNTIFS($AF$2:$AF$200,$G228)&gt;0,
    COUNTIFS($AG$2:$AG$200,$G228)&gt;0,
    COUNTIFS($AH$2:$AH$200,$G228)&gt;0,
    COUNTIFS($AI$2:$AI$200,$G228)&gt;0,
    COUNTIFS($AJ$2:$AJ$200,$G228)&gt;0,
    COUNTIFS($AK$2:$AK$200,$G228)&gt;0,
    COUNTIFS($AL$2:$AL$200,$G228)&gt;0,
    COUNTIFS($AM$2:$AM$200,$G228)&gt;0,
    COUNTIFS($AN$2:$AN$200,$G228)&gt;0,
    COUNTIFS($AO$2:$AO$200,$G228)&gt;0,
    COUNTIFS($AP$2:$AP$200,$G228)&gt;0,
    COUNTIFS($AQ$2:$AQ$200,$G228)&gt;0,
    COUNTIFS($AR$2:$AR$200,$G228)&gt;0,
    COUNTIFS($AS$2:$AS$200,$G228)&gt;0,
    COUNTIFS($AT$2:$AT$200,$G228)&gt;0,
    COUNTIFS($AU$2:$AU$200,$G228)&gt;0,
    COUNTIFS($AV$2:$AV$200,$G228)&gt;0,
    COUNTIFS($AW$2:$AW$200,$G228)&gt;0,
    COUNTIFS($AX$2:$AX$200,$G228)&gt;0,
    COUNTIFS($AY$2:$AY$200,$G228)&gt;0,
    COUNTIFS($AZ$2:$AZ$200,$G228)&gt;0,
    COUNTIFS($BA$2:$BA$200,$G228)&gt;0,
    COUNTIFS($BB$2:$BB$200,$G228)&gt;0,
    COUNTIFS($BC$2:$BC$200,$G228)&gt;0,
    COUNTIFS($BD$2:$BD$200,$G228)&gt;0,
    COUNTIFS($BE$2:$BE$200,$G228)&gt;0,
    COUNTIFS($BF$2:$BF$200,$G228)&gt;0,
    COUNTIFS($BG$2:$BG$200,$G228)&gt;0,
    COUNTIFS($BH$2:$BH$200,$G228)&gt;0,
    COUNTIFS($BI$2:$BI$200,$G228)&gt;0,
    COUNTIFS($BJ$2:$BJ$200,$G228)&gt;0,
    COUNTIFS($BK$2:$BK$200,$G228)&gt;0,
    COUNTIFS($BL$2:$BL$200,$G228)&gt;0,
    COUNTIFS($BM$2:$BM$200,$G228)&gt;0,
   ),
  0)
 ),
"")</f>
        <v>Alela</v>
      </c>
      <c r="D228" s="2" t="str" cm="1">
        <f t="array" aca="1" ref="D228" ca="1">IFERROR(
 INDEX(
  _xlfn._xlws.FILTER($V$1:$AY$1,
   TRANSPOSE(
    CHOOSE({1;2;3;4;5;6;7;8;9;10;11;12;13;14;15;16;17;18;19;20;21;22;23;24;25;26;27;28;29;30},
     COUNTIFS($V$2:$V$200,$G228)&gt;0,
     COUNTIFS($W$2:$W$200,$G228)&gt;0,
     COUNTIFS($X$2:$X$200,$G228)&gt;0,
     COUNTIFS($Y$2:$Y$200,$G228)&gt;0,
     COUNTIFS($Z$2:$Z$200,$G228)&gt;0,
     COUNTIFS($AA$2:$AA$200,$G228)&gt;0,
     COUNTIFS($AB$2:$AB$200,$G228)&gt;0,
     COUNTIFS($AC$2:$AC$200,$G228)&gt;0,
     COUNTIFS($AD$2:$AD$200,$G228)&gt;0,
     COUNTIFS($AE$2:$AE$200,$G228)&gt;0,
     COUNTIFS($AF$2:$AF$200,$G228)&gt;0,
     COUNTIFS($AG$2:$AG$200,$G228)&gt;0,
     COUNTIFS($AH$2:$AH$200,$G228)&gt;0,
     COUNTIFS($AI$2:$AI$200,$G228)&gt;0,
     COUNTIFS($AJ$2:$AJ$200,$G228)&gt;0,
     COUNTIFS($AK$2:$AK$200,$G228)&gt;0,
     COUNTIFS($AL$2:$AL$200,$G228)&gt;0,
     COUNTIFS($AM$2:$AM$200,$G228)&gt;0,
     COUNTIFS($AN$2:$AN$200,$G228)&gt;0,
     COUNTIFS($AO$2:$AO$200,$G228)&gt;0,
     COUNTIFS($AP$2:$AP$200,$G228)&gt;0,
     COUNTIFS($AQ$2:$AQ$200,$G228)&gt;0,
     COUNTIFS($AR$2:$AR$200,$G228)&gt;0,
     COUNTIFS($AS$2:$AS$200,$G228)&gt;0,
     COUNTIFS($AT$2:$AT$200,$G228)&gt;0,
     COUNTIFS($AU$2:$AU$200,$G228)&gt;0,
     COUNTIFS($AV$2:$AV$200,$G228)&gt;0,
     COUNTIFS($AW$2:$AW$200,$G228)&gt;0,
     COUNTIFS($AX$2:$AX$200,$G228)&gt;0,
     COUNTIFS($AY$2:$AY$200,$G228)&gt;0
   )),
  ),
  2
 ),
"")</f>
        <v/>
      </c>
      <c r="E228" s="2" t="str" cm="1">
        <f t="array" aca="1" ref="E228" ca="1">IFERROR(
 INDEX(
  _xlfn._xlws.FILTER($V$1:$AY$1,
   TRANSPOSE(
    CHOOSE({1;2;3;4;5;6;7;8;9;10;11;12;13;14;15;16;17;18;19;20;21;22;23;24;25;26;27;28;29;30},
     COUNTIFS($V$2:$V$200,$G228)&gt;0,
     COUNTIFS($W$2:$W$200,$G228)&gt;0,
     COUNTIFS($X$2:$X$200,$G228)&gt;0,
     COUNTIFS($Y$2:$Y$200,$G228)&gt;0,
     COUNTIFS($Z$2:$Z$200,$G228)&gt;0,
     COUNTIFS($AA$2:$AA$200,$G228)&gt;0,
     COUNTIFS($AB$2:$AB$200,$G228)&gt;0,
     COUNTIFS($AC$2:$AC$200,$G228)&gt;0,
     COUNTIFS($AD$2:$AD$200,$G228)&gt;0,
     COUNTIFS($AE$2:$AE$200,$G228)&gt;0,
     COUNTIFS($AF$2:$AF$200,$G228)&gt;0,
     COUNTIFS($AG$2:$AG$200,$G228)&gt;0,
     COUNTIFS($AH$2:$AH$200,$G228)&gt;0,
     COUNTIFS($AI$2:$AI$200,$G228)&gt;0,
     COUNTIFS($AJ$2:$AJ$200,$G228)&gt;0,
     COUNTIFS($AK$2:$AK$200,$G228)&gt;0,
     COUNTIFS($AL$2:$AL$200,$G228)&gt;0,
     COUNTIFS($AM$2:$AM$200,$G228)&gt;0,
     COUNTIFS($AN$2:$AN$200,$G228)&gt;0,
     COUNTIFS($AO$2:$AO$200,$G228)&gt;0,
     COUNTIFS($AP$2:$AP$200,$G228)&gt;0,
     COUNTIFS($AQ$2:$AQ$200,$G228)&gt;0,
     COUNTIFS($AR$2:$AR$200,$G228)&gt;0,
     COUNTIFS($AS$2:$AS$200,$G228)&gt;0,
     COUNTIFS($AT$2:$AT$200,$G228)&gt;0,
     COUNTIFS($AU$2:$AU$200,$G228)&gt;0,
     COUNTIFS($AV$2:$AV$200,$G228)&gt;0,
     COUNTIFS($AW$2:$AW$200,$G228)&gt;0,
     COUNTIFS($AX$2:$AX$200,$G228)&gt;0,
     COUNTIFS($AY$2:$AY$200,$G228)&gt;0
   )),
  ),
  3
 ),
"")</f>
        <v/>
      </c>
      <c r="F228" s="2" t="str" cm="1">
        <f t="array" aca="1" ref="F228" ca="1">IFERROR(
 INDEX(
  _xlfn._xlws.FILTER($V$1:$AY$1,
   TRANSPOSE(
    CHOOSE({1;2;3;4;5;6;7;8;9;10;11;12;13;14;15;16;17;18;19;20;21;22;23;24;25;26;27;28;29;30},
     COUNTIFS($V$2:$V$200,$G228)&gt;0,
     COUNTIFS($W$2:$W$200,$G228)&gt;0,
     COUNTIFS($X$2:$X$200,$G228)&gt;0,
     COUNTIFS($Y$2:$Y$200,$G228)&gt;0,
     COUNTIFS($Z$2:$Z$200,$G228)&gt;0,
     COUNTIFS($AA$2:$AA$200,$G228)&gt;0,
     COUNTIFS($AB$2:$AB$200,$G228)&gt;0,
     COUNTIFS($AC$2:$AC$200,$G228)&gt;0,
     COUNTIFS($AD$2:$AD$200,$G228)&gt;0,
     COUNTIFS($AE$2:$AE$200,$G228)&gt;0,
     COUNTIFS($AF$2:$AF$200,$G228)&gt;0,
     COUNTIFS($AG$2:$AG$200,$G228)&gt;0,
     COUNTIFS($AH$2:$AH$200,$G228)&gt;0,
     COUNTIFS($AI$2:$AI$200,$G228)&gt;0,
     COUNTIFS($AJ$2:$AJ$200,$G228)&gt;0,
     COUNTIFS($AK$2:$AK$200,$G228)&gt;0,
     COUNTIFS($AL$2:$AL$200,$G228)&gt;0,
     COUNTIFS($AM$2:$AM$200,$G228)&gt;0,
     COUNTIFS($AN$2:$AN$200,$G228)&gt;0,
     COUNTIFS($AO$2:$AO$200,$G228)&gt;0,
     COUNTIFS($AP$2:$AP$200,$G228)&gt;0,
     COUNTIFS($AQ$2:$AQ$200,$G228)&gt;0,
     COUNTIFS($AR$2:$AR$200,$G228)&gt;0,
     COUNTIFS($AS$2:$AS$200,$G228)&gt;0,
     COUNTIFS($AT$2:$AT$200,$G228)&gt;0,
     COUNTIFS($AU$2:$AU$200,$G228)&gt;0,
     COUNTIFS($AV$2:$AV$200,$G228)&gt;0,
     COUNTIFS($AW$2:$AW$200,$G228)&gt;0,
     COUNTIFS($AX$2:$AX$200,$G228)&gt;0,
     COUNTIFS($AY$2:$AY$200,$G228)&gt;0
   )),
  ),
  4
 ),
"")</f>
        <v/>
      </c>
      <c r="G228" t="str">
        <f ca="1"/>
        <v>Kambal, Profiteering Mayor</v>
      </c>
      <c r="EU228" t="str">
        <f ca="1"/>
        <v>Quick Sliver</v>
      </c>
      <c r="EX228" t="str">
        <f ca="1"/>
        <v>Kambal, Profiteering Mayor</v>
      </c>
    </row>
    <row r="229" spans="1:154" x14ac:dyDescent="0.25">
      <c r="A229" s="2" t="str">
        <f t="shared" ca="1" si="12"/>
        <v>4</v>
      </c>
      <c r="B229" s="2">
        <f t="shared" ca="1" si="13"/>
        <v>1</v>
      </c>
      <c r="C229" s="2" t="str">
        <f ca="1">IFERROR(
 INDEX($V$1:$BL$1,
  MATCH(TRUE,
   CHOOSE({1;2;3;4;5;6;7;8;9;10;11;12;13;14;15;16;17;18;19;20;21;22;23;24;25;26;27;28;29;30;31;32;33;34;35;36;37;38;39;40;41;42;43},
    COUNTIFS($V$2:$V$200,$G229)&gt;0,
    COUNTIFS($W$2:$W$200,$G229)&gt;0,
    COUNTIFS($X$2:$X$200,$G229)&gt;0,
    COUNTIFS($Y$2:$Y$200,$G229)&gt;0,
    COUNTIFS($Z$2:$Z$200,$G229)&gt;0,
    COUNTIFS($AA$2:$AA$200,$G229)&gt;0,
    COUNTIFS($AB$2:$AB$200,$G229)&gt;0,
    COUNTIFS($AC$2:$AC$200,$G229)&gt;0,
    COUNTIFS($AD$2:$AD$200,$G229)&gt;0,
    COUNTIFS($AE$2:$AE$200,$G229)&gt;0,
    COUNTIFS($AF$2:$AF$200,$G229)&gt;0,
    COUNTIFS($AG$2:$AG$200,$G229)&gt;0,
    COUNTIFS($AH$2:$AH$200,$G229)&gt;0,
    COUNTIFS($AI$2:$AI$200,$G229)&gt;0,
    COUNTIFS($AJ$2:$AJ$200,$G229)&gt;0,
    COUNTIFS($AK$2:$AK$200,$G229)&gt;0,
    COUNTIFS($AL$2:$AL$200,$G229)&gt;0,
    COUNTIFS($AM$2:$AM$200,$G229)&gt;0,
    COUNTIFS($AN$2:$AN$200,$G229)&gt;0,
    COUNTIFS($AO$2:$AO$200,$G229)&gt;0,
    COUNTIFS($AP$2:$AP$200,$G229)&gt;0,
    COUNTIFS($AQ$2:$AQ$200,$G229)&gt;0,
    COUNTIFS($AR$2:$AR$200,$G229)&gt;0,
    COUNTIFS($AS$2:$AS$200,$G229)&gt;0,
    COUNTIFS($AT$2:$AT$200,$G229)&gt;0,
    COUNTIFS($AU$2:$AU$200,$G229)&gt;0,
    COUNTIFS($AV$2:$AV$200,$G229)&gt;0,
    COUNTIFS($AW$2:$AW$200,$G229)&gt;0,
    COUNTIFS($AX$2:$AX$200,$G229)&gt;0,
    COUNTIFS($AY$2:$AY$200,$G229)&gt;0,
    COUNTIFS($AZ$2:$AZ$200,$G229)&gt;0,
    COUNTIFS($BA$2:$BA$200,$G229)&gt;0,
    COUNTIFS($BB$2:$BB$200,$G229)&gt;0,
    COUNTIFS($BC$2:$BC$200,$G229)&gt;0,
    COUNTIFS($BD$2:$BD$200,$G229)&gt;0,
    COUNTIFS($BE$2:$BE$200,$G229)&gt;0,
    COUNTIFS($BF$2:$BF$200,$G229)&gt;0,
    COUNTIFS($BG$2:$BG$200,$G229)&gt;0,
    COUNTIFS($BH$2:$BH$200,$G229)&gt;0,
    COUNTIFS($BI$2:$BI$200,$G229)&gt;0,
    COUNTIFS($BJ$2:$BJ$200,$G229)&gt;0,
    COUNTIFS($BK$2:$BK$200,$G229)&gt;0,
    COUNTIFS($BL$2:$BL$200,$G229)&gt;0,
    COUNTIFS($BM$2:$BM$200,$G229)&gt;0,
   ),
  0)
 ),
"")</f>
        <v>Modular</v>
      </c>
      <c r="D229" s="2" t="str" cm="1">
        <f t="array" aca="1" ref="D229" ca="1">IFERROR(
 INDEX(
  _xlfn._xlws.FILTER($V$1:$AY$1,
   TRANSPOSE(
    CHOOSE({1;2;3;4;5;6;7;8;9;10;11;12;13;14;15;16;17;18;19;20;21;22;23;24;25;26;27;28;29;30},
     COUNTIFS($V$2:$V$200,$G229)&gt;0,
     COUNTIFS($W$2:$W$200,$G229)&gt;0,
     COUNTIFS($X$2:$X$200,$G229)&gt;0,
     COUNTIFS($Y$2:$Y$200,$G229)&gt;0,
     COUNTIFS($Z$2:$Z$200,$G229)&gt;0,
     COUNTIFS($AA$2:$AA$200,$G229)&gt;0,
     COUNTIFS($AB$2:$AB$200,$G229)&gt;0,
     COUNTIFS($AC$2:$AC$200,$G229)&gt;0,
     COUNTIFS($AD$2:$AD$200,$G229)&gt;0,
     COUNTIFS($AE$2:$AE$200,$G229)&gt;0,
     COUNTIFS($AF$2:$AF$200,$G229)&gt;0,
     COUNTIFS($AG$2:$AG$200,$G229)&gt;0,
     COUNTIFS($AH$2:$AH$200,$G229)&gt;0,
     COUNTIFS($AI$2:$AI$200,$G229)&gt;0,
     COUNTIFS($AJ$2:$AJ$200,$G229)&gt;0,
     COUNTIFS($AK$2:$AK$200,$G229)&gt;0,
     COUNTIFS($AL$2:$AL$200,$G229)&gt;0,
     COUNTIFS($AM$2:$AM$200,$G229)&gt;0,
     COUNTIFS($AN$2:$AN$200,$G229)&gt;0,
     COUNTIFS($AO$2:$AO$200,$G229)&gt;0,
     COUNTIFS($AP$2:$AP$200,$G229)&gt;0,
     COUNTIFS($AQ$2:$AQ$200,$G229)&gt;0,
     COUNTIFS($AR$2:$AR$200,$G229)&gt;0,
     COUNTIFS($AS$2:$AS$200,$G229)&gt;0,
     COUNTIFS($AT$2:$AT$200,$G229)&gt;0,
     COUNTIFS($AU$2:$AU$200,$G229)&gt;0,
     COUNTIFS($AV$2:$AV$200,$G229)&gt;0,
     COUNTIFS($AW$2:$AW$200,$G229)&gt;0,
     COUNTIFS($AX$2:$AX$200,$G229)&gt;0,
     COUNTIFS($AY$2:$AY$200,$G229)&gt;0
   )),
  ),
  2
 ),
"")</f>
        <v/>
      </c>
      <c r="E229" s="2" t="str" cm="1">
        <f t="array" aca="1" ref="E229" ca="1">IFERROR(
 INDEX(
  _xlfn._xlws.FILTER($V$1:$AY$1,
   TRANSPOSE(
    CHOOSE({1;2;3;4;5;6;7;8;9;10;11;12;13;14;15;16;17;18;19;20;21;22;23;24;25;26;27;28;29;30},
     COUNTIFS($V$2:$V$200,$G229)&gt;0,
     COUNTIFS($W$2:$W$200,$G229)&gt;0,
     COUNTIFS($X$2:$X$200,$G229)&gt;0,
     COUNTIFS($Y$2:$Y$200,$G229)&gt;0,
     COUNTIFS($Z$2:$Z$200,$G229)&gt;0,
     COUNTIFS($AA$2:$AA$200,$G229)&gt;0,
     COUNTIFS($AB$2:$AB$200,$G229)&gt;0,
     COUNTIFS($AC$2:$AC$200,$G229)&gt;0,
     COUNTIFS($AD$2:$AD$200,$G229)&gt;0,
     COUNTIFS($AE$2:$AE$200,$G229)&gt;0,
     COUNTIFS($AF$2:$AF$200,$G229)&gt;0,
     COUNTIFS($AG$2:$AG$200,$G229)&gt;0,
     COUNTIFS($AH$2:$AH$200,$G229)&gt;0,
     COUNTIFS($AI$2:$AI$200,$G229)&gt;0,
     COUNTIFS($AJ$2:$AJ$200,$G229)&gt;0,
     COUNTIFS($AK$2:$AK$200,$G229)&gt;0,
     COUNTIFS($AL$2:$AL$200,$G229)&gt;0,
     COUNTIFS($AM$2:$AM$200,$G229)&gt;0,
     COUNTIFS($AN$2:$AN$200,$G229)&gt;0,
     COUNTIFS($AO$2:$AO$200,$G229)&gt;0,
     COUNTIFS($AP$2:$AP$200,$G229)&gt;0,
     COUNTIFS($AQ$2:$AQ$200,$G229)&gt;0,
     COUNTIFS($AR$2:$AR$200,$G229)&gt;0,
     COUNTIFS($AS$2:$AS$200,$G229)&gt;0,
     COUNTIFS($AT$2:$AT$200,$G229)&gt;0,
     COUNTIFS($AU$2:$AU$200,$G229)&gt;0,
     COUNTIFS($AV$2:$AV$200,$G229)&gt;0,
     COUNTIFS($AW$2:$AW$200,$G229)&gt;0,
     COUNTIFS($AX$2:$AX$200,$G229)&gt;0,
     COUNTIFS($AY$2:$AY$200,$G229)&gt;0
   )),
  ),
  3
 ),
"")</f>
        <v/>
      </c>
      <c r="F229" s="2" t="str" cm="1">
        <f t="array" aca="1" ref="F229" ca="1">IFERROR(
 INDEX(
  _xlfn._xlws.FILTER($V$1:$AY$1,
   TRANSPOSE(
    CHOOSE({1;2;3;4;5;6;7;8;9;10;11;12;13;14;15;16;17;18;19;20;21;22;23;24;25;26;27;28;29;30},
     COUNTIFS($V$2:$V$200,$G229)&gt;0,
     COUNTIFS($W$2:$W$200,$G229)&gt;0,
     COUNTIFS($X$2:$X$200,$G229)&gt;0,
     COUNTIFS($Y$2:$Y$200,$G229)&gt;0,
     COUNTIFS($Z$2:$Z$200,$G229)&gt;0,
     COUNTIFS($AA$2:$AA$200,$G229)&gt;0,
     COUNTIFS($AB$2:$AB$200,$G229)&gt;0,
     COUNTIFS($AC$2:$AC$200,$G229)&gt;0,
     COUNTIFS($AD$2:$AD$200,$G229)&gt;0,
     COUNTIFS($AE$2:$AE$200,$G229)&gt;0,
     COUNTIFS($AF$2:$AF$200,$G229)&gt;0,
     COUNTIFS($AG$2:$AG$200,$G229)&gt;0,
     COUNTIFS($AH$2:$AH$200,$G229)&gt;0,
     COUNTIFS($AI$2:$AI$200,$G229)&gt;0,
     COUNTIFS($AJ$2:$AJ$200,$G229)&gt;0,
     COUNTIFS($AK$2:$AK$200,$G229)&gt;0,
     COUNTIFS($AL$2:$AL$200,$G229)&gt;0,
     COUNTIFS($AM$2:$AM$200,$G229)&gt;0,
     COUNTIFS($AN$2:$AN$200,$G229)&gt;0,
     COUNTIFS($AO$2:$AO$200,$G229)&gt;0,
     COUNTIFS($AP$2:$AP$200,$G229)&gt;0,
     COUNTIFS($AQ$2:$AQ$200,$G229)&gt;0,
     COUNTIFS($AR$2:$AR$200,$G229)&gt;0,
     COUNTIFS($AS$2:$AS$200,$G229)&gt;0,
     COUNTIFS($AT$2:$AT$200,$G229)&gt;0,
     COUNTIFS($AU$2:$AU$200,$G229)&gt;0,
     COUNTIFS($AV$2:$AV$200,$G229)&gt;0,
     COUNTIFS($AW$2:$AW$200,$G229)&gt;0,
     COUNTIFS($AX$2:$AX$200,$G229)&gt;0,
     COUNTIFS($AY$2:$AY$200,$G229)&gt;0
   )),
  ),
  4
 ),
"")</f>
        <v/>
      </c>
      <c r="G229" t="str">
        <f ca="1"/>
        <v>Karn's Bastion</v>
      </c>
      <c r="EU229" t="str">
        <f ca="1"/>
        <v>Quilled Sliver</v>
      </c>
      <c r="EX229" t="str">
        <f ca="1"/>
        <v>Karn's Bastion</v>
      </c>
    </row>
    <row r="230" spans="1:154" x14ac:dyDescent="0.25">
      <c r="A230" s="2" t="str">
        <f t="shared" ca="1" si="12"/>
        <v>4</v>
      </c>
      <c r="B230" s="2">
        <f t="shared" ca="1" si="13"/>
        <v>1</v>
      </c>
      <c r="C230" s="2" t="str">
        <f ca="1">IFERROR(
 INDEX($V$1:$BL$1,
  MATCH(TRUE,
   CHOOSE({1;2;3;4;5;6;7;8;9;10;11;12;13;14;15;16;17;18;19;20;21;22;23;24;25;26;27;28;29;30;31;32;33;34;35;36;37;38;39;40;41;42;43},
    COUNTIFS($V$2:$V$200,$G230)&gt;0,
    COUNTIFS($W$2:$W$200,$G230)&gt;0,
    COUNTIFS($X$2:$X$200,$G230)&gt;0,
    COUNTIFS($Y$2:$Y$200,$G230)&gt;0,
    COUNTIFS($Z$2:$Z$200,$G230)&gt;0,
    COUNTIFS($AA$2:$AA$200,$G230)&gt;0,
    COUNTIFS($AB$2:$AB$200,$G230)&gt;0,
    COUNTIFS($AC$2:$AC$200,$G230)&gt;0,
    COUNTIFS($AD$2:$AD$200,$G230)&gt;0,
    COUNTIFS($AE$2:$AE$200,$G230)&gt;0,
    COUNTIFS($AF$2:$AF$200,$G230)&gt;0,
    COUNTIFS($AG$2:$AG$200,$G230)&gt;0,
    COUNTIFS($AH$2:$AH$200,$G230)&gt;0,
    COUNTIFS($AI$2:$AI$200,$G230)&gt;0,
    COUNTIFS($AJ$2:$AJ$200,$G230)&gt;0,
    COUNTIFS($AK$2:$AK$200,$G230)&gt;0,
    COUNTIFS($AL$2:$AL$200,$G230)&gt;0,
    COUNTIFS($AM$2:$AM$200,$G230)&gt;0,
    COUNTIFS($AN$2:$AN$200,$G230)&gt;0,
    COUNTIFS($AO$2:$AO$200,$G230)&gt;0,
    COUNTIFS($AP$2:$AP$200,$G230)&gt;0,
    COUNTIFS($AQ$2:$AQ$200,$G230)&gt;0,
    COUNTIFS($AR$2:$AR$200,$G230)&gt;0,
    COUNTIFS($AS$2:$AS$200,$G230)&gt;0,
    COUNTIFS($AT$2:$AT$200,$G230)&gt;0,
    COUNTIFS($AU$2:$AU$200,$G230)&gt;0,
    COUNTIFS($AV$2:$AV$200,$G230)&gt;0,
    COUNTIFS($AW$2:$AW$200,$G230)&gt;0,
    COUNTIFS($AX$2:$AX$200,$G230)&gt;0,
    COUNTIFS($AY$2:$AY$200,$G230)&gt;0,
    COUNTIFS($AZ$2:$AZ$200,$G230)&gt;0,
    COUNTIFS($BA$2:$BA$200,$G230)&gt;0,
    COUNTIFS($BB$2:$BB$200,$G230)&gt;0,
    COUNTIFS($BC$2:$BC$200,$G230)&gt;0,
    COUNTIFS($BD$2:$BD$200,$G230)&gt;0,
    COUNTIFS($BE$2:$BE$200,$G230)&gt;0,
    COUNTIFS($BF$2:$BF$200,$G230)&gt;0,
    COUNTIFS($BG$2:$BG$200,$G230)&gt;0,
    COUNTIFS($BH$2:$BH$200,$G230)&gt;0,
    COUNTIFS($BI$2:$BI$200,$G230)&gt;0,
    COUNTIFS($BJ$2:$BJ$200,$G230)&gt;0,
    COUNTIFS($BK$2:$BK$200,$G230)&gt;0,
    COUNTIFS($BL$2:$BL$200,$G230)&gt;0,
    COUNTIFS($BM$2:$BM$200,$G230)&gt;0,
   ),
  0)
 ),
"")</f>
        <v>Baylen</v>
      </c>
      <c r="D230" s="2" t="str" cm="1">
        <f t="array" aca="1" ref="D230" ca="1">IFERROR(
 INDEX(
  _xlfn._xlws.FILTER($V$1:$AY$1,
   TRANSPOSE(
    CHOOSE({1;2;3;4;5;6;7;8;9;10;11;12;13;14;15;16;17;18;19;20;21;22;23;24;25;26;27;28;29;30},
     COUNTIFS($V$2:$V$200,$G230)&gt;0,
     COUNTIFS($W$2:$W$200,$G230)&gt;0,
     COUNTIFS($X$2:$X$200,$G230)&gt;0,
     COUNTIFS($Y$2:$Y$200,$G230)&gt;0,
     COUNTIFS($Z$2:$Z$200,$G230)&gt;0,
     COUNTIFS($AA$2:$AA$200,$G230)&gt;0,
     COUNTIFS($AB$2:$AB$200,$G230)&gt;0,
     COUNTIFS($AC$2:$AC$200,$G230)&gt;0,
     COUNTIFS($AD$2:$AD$200,$G230)&gt;0,
     COUNTIFS($AE$2:$AE$200,$G230)&gt;0,
     COUNTIFS($AF$2:$AF$200,$G230)&gt;0,
     COUNTIFS($AG$2:$AG$200,$G230)&gt;0,
     COUNTIFS($AH$2:$AH$200,$G230)&gt;0,
     COUNTIFS($AI$2:$AI$200,$G230)&gt;0,
     COUNTIFS($AJ$2:$AJ$200,$G230)&gt;0,
     COUNTIFS($AK$2:$AK$200,$G230)&gt;0,
     COUNTIFS($AL$2:$AL$200,$G230)&gt;0,
     COUNTIFS($AM$2:$AM$200,$G230)&gt;0,
     COUNTIFS($AN$2:$AN$200,$G230)&gt;0,
     COUNTIFS($AO$2:$AO$200,$G230)&gt;0,
     COUNTIFS($AP$2:$AP$200,$G230)&gt;0,
     COUNTIFS($AQ$2:$AQ$200,$G230)&gt;0,
     COUNTIFS($AR$2:$AR$200,$G230)&gt;0,
     COUNTIFS($AS$2:$AS$200,$G230)&gt;0,
     COUNTIFS($AT$2:$AT$200,$G230)&gt;0,
     COUNTIFS($AU$2:$AU$200,$G230)&gt;0,
     COUNTIFS($AV$2:$AV$200,$G230)&gt;0,
     COUNTIFS($AW$2:$AW$200,$G230)&gt;0,
     COUNTIFS($AX$2:$AX$200,$G230)&gt;0,
     COUNTIFS($AY$2:$AY$200,$G230)&gt;0
   )),
  ),
  2
 ),
"")</f>
        <v/>
      </c>
      <c r="E230" s="2" t="str" cm="1">
        <f t="array" aca="1" ref="E230" ca="1">IFERROR(
 INDEX(
  _xlfn._xlws.FILTER($V$1:$AY$1,
   TRANSPOSE(
    CHOOSE({1;2;3;4;5;6;7;8;9;10;11;12;13;14;15;16;17;18;19;20;21;22;23;24;25;26;27;28;29;30},
     COUNTIFS($V$2:$V$200,$G230)&gt;0,
     COUNTIFS($W$2:$W$200,$G230)&gt;0,
     COUNTIFS($X$2:$X$200,$G230)&gt;0,
     COUNTIFS($Y$2:$Y$200,$G230)&gt;0,
     COUNTIFS($Z$2:$Z$200,$G230)&gt;0,
     COUNTIFS($AA$2:$AA$200,$G230)&gt;0,
     COUNTIFS($AB$2:$AB$200,$G230)&gt;0,
     COUNTIFS($AC$2:$AC$200,$G230)&gt;0,
     COUNTIFS($AD$2:$AD$200,$G230)&gt;0,
     COUNTIFS($AE$2:$AE$200,$G230)&gt;0,
     COUNTIFS($AF$2:$AF$200,$G230)&gt;0,
     COUNTIFS($AG$2:$AG$200,$G230)&gt;0,
     COUNTIFS($AH$2:$AH$200,$G230)&gt;0,
     COUNTIFS($AI$2:$AI$200,$G230)&gt;0,
     COUNTIFS($AJ$2:$AJ$200,$G230)&gt;0,
     COUNTIFS($AK$2:$AK$200,$G230)&gt;0,
     COUNTIFS($AL$2:$AL$200,$G230)&gt;0,
     COUNTIFS($AM$2:$AM$200,$G230)&gt;0,
     COUNTIFS($AN$2:$AN$200,$G230)&gt;0,
     COUNTIFS($AO$2:$AO$200,$G230)&gt;0,
     COUNTIFS($AP$2:$AP$200,$G230)&gt;0,
     COUNTIFS($AQ$2:$AQ$200,$G230)&gt;0,
     COUNTIFS($AR$2:$AR$200,$G230)&gt;0,
     COUNTIFS($AS$2:$AS$200,$G230)&gt;0,
     COUNTIFS($AT$2:$AT$200,$G230)&gt;0,
     COUNTIFS($AU$2:$AU$200,$G230)&gt;0,
     COUNTIFS($AV$2:$AV$200,$G230)&gt;0,
     COUNTIFS($AW$2:$AW$200,$G230)&gt;0,
     COUNTIFS($AX$2:$AX$200,$G230)&gt;0,
     COUNTIFS($AY$2:$AY$200,$G230)&gt;0
   )),
  ),
  3
 ),
"")</f>
        <v/>
      </c>
      <c r="F230" s="2" t="str" cm="1">
        <f t="array" aca="1" ref="F230" ca="1">IFERROR(
 INDEX(
  _xlfn._xlws.FILTER($V$1:$AY$1,
   TRANSPOSE(
    CHOOSE({1;2;3;4;5;6;7;8;9;10;11;12;13;14;15;16;17;18;19;20;21;22;23;24;25;26;27;28;29;30},
     COUNTIFS($V$2:$V$200,$G230)&gt;0,
     COUNTIFS($W$2:$W$200,$G230)&gt;0,
     COUNTIFS($X$2:$X$200,$G230)&gt;0,
     COUNTIFS($Y$2:$Y$200,$G230)&gt;0,
     COUNTIFS($Z$2:$Z$200,$G230)&gt;0,
     COUNTIFS($AA$2:$AA$200,$G230)&gt;0,
     COUNTIFS($AB$2:$AB$200,$G230)&gt;0,
     COUNTIFS($AC$2:$AC$200,$G230)&gt;0,
     COUNTIFS($AD$2:$AD$200,$G230)&gt;0,
     COUNTIFS($AE$2:$AE$200,$G230)&gt;0,
     COUNTIFS($AF$2:$AF$200,$G230)&gt;0,
     COUNTIFS($AG$2:$AG$200,$G230)&gt;0,
     COUNTIFS($AH$2:$AH$200,$G230)&gt;0,
     COUNTIFS($AI$2:$AI$200,$G230)&gt;0,
     COUNTIFS($AJ$2:$AJ$200,$G230)&gt;0,
     COUNTIFS($AK$2:$AK$200,$G230)&gt;0,
     COUNTIFS($AL$2:$AL$200,$G230)&gt;0,
     COUNTIFS($AM$2:$AM$200,$G230)&gt;0,
     COUNTIFS($AN$2:$AN$200,$G230)&gt;0,
     COUNTIFS($AO$2:$AO$200,$G230)&gt;0,
     COUNTIFS($AP$2:$AP$200,$G230)&gt;0,
     COUNTIFS($AQ$2:$AQ$200,$G230)&gt;0,
     COUNTIFS($AR$2:$AR$200,$G230)&gt;0,
     COUNTIFS($AS$2:$AS$200,$G230)&gt;0,
     COUNTIFS($AT$2:$AT$200,$G230)&gt;0,
     COUNTIFS($AU$2:$AU$200,$G230)&gt;0,
     COUNTIFS($AV$2:$AV$200,$G230)&gt;0,
     COUNTIFS($AW$2:$AW$200,$G230)&gt;0,
     COUNTIFS($AX$2:$AX$200,$G230)&gt;0,
     COUNTIFS($AY$2:$AY$200,$G230)&gt;0
   )),
  ),
  4
 ),
"")</f>
        <v/>
      </c>
      <c r="G230" t="str">
        <f ca="1"/>
        <v>Karplusan Forest</v>
      </c>
      <c r="EU230" t="str">
        <f ca="1"/>
        <v>Raffine's Tower</v>
      </c>
      <c r="EX230" t="str">
        <f ca="1"/>
        <v>Karplusan Forest</v>
      </c>
    </row>
    <row r="231" spans="1:154" x14ac:dyDescent="0.25">
      <c r="A231" s="2" t="str">
        <f t="shared" ca="1" si="12"/>
        <v>2</v>
      </c>
      <c r="B231" s="2">
        <f t="shared" ca="1" si="13"/>
        <v>2</v>
      </c>
      <c r="C231" s="2" t="str">
        <f ca="1">IFERROR(
 INDEX($V$1:$BL$1,
  MATCH(TRUE,
   CHOOSE({1;2;3;4;5;6;7;8;9;10;11;12;13;14;15;16;17;18;19;20;21;22;23;24;25;26;27;28;29;30;31;32;33;34;35;36;37;38;39;40;41;42;43},
    COUNTIFS($V$2:$V$200,$G231)&gt;0,
    COUNTIFS($W$2:$W$200,$G231)&gt;0,
    COUNTIFS($X$2:$X$200,$G231)&gt;0,
    COUNTIFS($Y$2:$Y$200,$G231)&gt;0,
    COUNTIFS($Z$2:$Z$200,$G231)&gt;0,
    COUNTIFS($AA$2:$AA$200,$G231)&gt;0,
    COUNTIFS($AB$2:$AB$200,$G231)&gt;0,
    COUNTIFS($AC$2:$AC$200,$G231)&gt;0,
    COUNTIFS($AD$2:$AD$200,$G231)&gt;0,
    COUNTIFS($AE$2:$AE$200,$G231)&gt;0,
    COUNTIFS($AF$2:$AF$200,$G231)&gt;0,
    COUNTIFS($AG$2:$AG$200,$G231)&gt;0,
    COUNTIFS($AH$2:$AH$200,$G231)&gt;0,
    COUNTIFS($AI$2:$AI$200,$G231)&gt;0,
    COUNTIFS($AJ$2:$AJ$200,$G231)&gt;0,
    COUNTIFS($AK$2:$AK$200,$G231)&gt;0,
    COUNTIFS($AL$2:$AL$200,$G231)&gt;0,
    COUNTIFS($AM$2:$AM$200,$G231)&gt;0,
    COUNTIFS($AN$2:$AN$200,$G231)&gt;0,
    COUNTIFS($AO$2:$AO$200,$G231)&gt;0,
    COUNTIFS($AP$2:$AP$200,$G231)&gt;0,
    COUNTIFS($AQ$2:$AQ$200,$G231)&gt;0,
    COUNTIFS($AR$2:$AR$200,$G231)&gt;0,
    COUNTIFS($AS$2:$AS$200,$G231)&gt;0,
    COUNTIFS($AT$2:$AT$200,$G231)&gt;0,
    COUNTIFS($AU$2:$AU$200,$G231)&gt;0,
    COUNTIFS($AV$2:$AV$200,$G231)&gt;0,
    COUNTIFS($AW$2:$AW$200,$G231)&gt;0,
    COUNTIFS($AX$2:$AX$200,$G231)&gt;0,
    COUNTIFS($AY$2:$AY$200,$G231)&gt;0,
    COUNTIFS($AZ$2:$AZ$200,$G231)&gt;0,
    COUNTIFS($BA$2:$BA$200,$G231)&gt;0,
    COUNTIFS($BB$2:$BB$200,$G231)&gt;0,
    COUNTIFS($BC$2:$BC$200,$G231)&gt;0,
    COUNTIFS($BD$2:$BD$200,$G231)&gt;0,
    COUNTIFS($BE$2:$BE$200,$G231)&gt;0,
    COUNTIFS($BF$2:$BF$200,$G231)&gt;0,
    COUNTIFS($BG$2:$BG$200,$G231)&gt;0,
    COUNTIFS($BH$2:$BH$200,$G231)&gt;0,
    COUNTIFS($BI$2:$BI$200,$G231)&gt;0,
    COUNTIFS($BJ$2:$BJ$200,$G231)&gt;0,
    COUNTIFS($BK$2:$BK$200,$G231)&gt;0,
    COUNTIFS($BL$2:$BL$200,$G231)&gt;0,
    COUNTIFS($BM$2:$BM$200,$G231)&gt;0,
   ),
  0)
 ),
"")</f>
        <v>Muzzio</v>
      </c>
      <c r="D231" s="2" t="str" cm="1">
        <f t="array" aca="1" ref="D231" ca="1">IFERROR(
 INDEX(
  _xlfn._xlws.FILTER($V$1:$AY$1,
   TRANSPOSE(
    CHOOSE({1;2;3;4;5;6;7;8;9;10;11;12;13;14;15;16;17;18;19;20;21;22;23;24;25;26;27;28;29;30},
     COUNTIFS($V$2:$V$200,$G231)&gt;0,
     COUNTIFS($W$2:$W$200,$G231)&gt;0,
     COUNTIFS($X$2:$X$200,$G231)&gt;0,
     COUNTIFS($Y$2:$Y$200,$G231)&gt;0,
     COUNTIFS($Z$2:$Z$200,$G231)&gt;0,
     COUNTIFS($AA$2:$AA$200,$G231)&gt;0,
     COUNTIFS($AB$2:$AB$200,$G231)&gt;0,
     COUNTIFS($AC$2:$AC$200,$G231)&gt;0,
     COUNTIFS($AD$2:$AD$200,$G231)&gt;0,
     COUNTIFS($AE$2:$AE$200,$G231)&gt;0,
     COUNTIFS($AF$2:$AF$200,$G231)&gt;0,
     COUNTIFS($AG$2:$AG$200,$G231)&gt;0,
     COUNTIFS($AH$2:$AH$200,$G231)&gt;0,
     COUNTIFS($AI$2:$AI$200,$G231)&gt;0,
     COUNTIFS($AJ$2:$AJ$200,$G231)&gt;0,
     COUNTIFS($AK$2:$AK$200,$G231)&gt;0,
     COUNTIFS($AL$2:$AL$200,$G231)&gt;0,
     COUNTIFS($AM$2:$AM$200,$G231)&gt;0,
     COUNTIFS($AN$2:$AN$200,$G231)&gt;0,
     COUNTIFS($AO$2:$AO$200,$G231)&gt;0,
     COUNTIFS($AP$2:$AP$200,$G231)&gt;0,
     COUNTIFS($AQ$2:$AQ$200,$G231)&gt;0,
     COUNTIFS($AR$2:$AR$200,$G231)&gt;0,
     COUNTIFS($AS$2:$AS$200,$G231)&gt;0,
     COUNTIFS($AT$2:$AT$200,$G231)&gt;0,
     COUNTIFS($AU$2:$AU$200,$G231)&gt;0,
     COUNTIFS($AV$2:$AV$200,$G231)&gt;0,
     COUNTIFS($AW$2:$AW$200,$G231)&gt;0,
     COUNTIFS($AX$2:$AX$200,$G231)&gt;0,
     COUNTIFS($AY$2:$AY$200,$G231)&gt;0
   )),
  ),
  2
 ),
"")</f>
        <v>Oona</v>
      </c>
      <c r="E231" s="2" t="str" cm="1">
        <f t="array" aca="1" ref="E231" ca="1">IFERROR(
 INDEX(
  _xlfn._xlws.FILTER($V$1:$AY$1,
   TRANSPOSE(
    CHOOSE({1;2;3;4;5;6;7;8;9;10;11;12;13;14;15;16;17;18;19;20;21;22;23;24;25;26;27;28;29;30},
     COUNTIFS($V$2:$V$200,$G231)&gt;0,
     COUNTIFS($W$2:$W$200,$G231)&gt;0,
     COUNTIFS($X$2:$X$200,$G231)&gt;0,
     COUNTIFS($Y$2:$Y$200,$G231)&gt;0,
     COUNTIFS($Z$2:$Z$200,$G231)&gt;0,
     COUNTIFS($AA$2:$AA$200,$G231)&gt;0,
     COUNTIFS($AB$2:$AB$200,$G231)&gt;0,
     COUNTIFS($AC$2:$AC$200,$G231)&gt;0,
     COUNTIFS($AD$2:$AD$200,$G231)&gt;0,
     COUNTIFS($AE$2:$AE$200,$G231)&gt;0,
     COUNTIFS($AF$2:$AF$200,$G231)&gt;0,
     COUNTIFS($AG$2:$AG$200,$G231)&gt;0,
     COUNTIFS($AH$2:$AH$200,$G231)&gt;0,
     COUNTIFS($AI$2:$AI$200,$G231)&gt;0,
     COUNTIFS($AJ$2:$AJ$200,$G231)&gt;0,
     COUNTIFS($AK$2:$AK$200,$G231)&gt;0,
     COUNTIFS($AL$2:$AL$200,$G231)&gt;0,
     COUNTIFS($AM$2:$AM$200,$G231)&gt;0,
     COUNTIFS($AN$2:$AN$200,$G231)&gt;0,
     COUNTIFS($AO$2:$AO$200,$G231)&gt;0,
     COUNTIFS($AP$2:$AP$200,$G231)&gt;0,
     COUNTIFS($AQ$2:$AQ$200,$G231)&gt;0,
     COUNTIFS($AR$2:$AR$200,$G231)&gt;0,
     COUNTIFS($AS$2:$AS$200,$G231)&gt;0,
     COUNTIFS($AT$2:$AT$200,$G231)&gt;0,
     COUNTIFS($AU$2:$AU$200,$G231)&gt;0,
     COUNTIFS($AV$2:$AV$200,$G231)&gt;0,
     COUNTIFS($AW$2:$AW$200,$G231)&gt;0,
     COUNTIFS($AX$2:$AX$200,$G231)&gt;0,
     COUNTIFS($AY$2:$AY$200,$G231)&gt;0
   )),
  ),
  3
 ),
"")</f>
        <v/>
      </c>
      <c r="F231" s="2" t="str" cm="1">
        <f t="array" aca="1" ref="F231" ca="1">IFERROR(
 INDEX(
  _xlfn._xlws.FILTER($V$1:$AY$1,
   TRANSPOSE(
    CHOOSE({1;2;3;4;5;6;7;8;9;10;11;12;13;14;15;16;17;18;19;20;21;22;23;24;25;26;27;28;29;30},
     COUNTIFS($V$2:$V$200,$G231)&gt;0,
     COUNTIFS($W$2:$W$200,$G231)&gt;0,
     COUNTIFS($X$2:$X$200,$G231)&gt;0,
     COUNTIFS($Y$2:$Y$200,$G231)&gt;0,
     COUNTIFS($Z$2:$Z$200,$G231)&gt;0,
     COUNTIFS($AA$2:$AA$200,$G231)&gt;0,
     COUNTIFS($AB$2:$AB$200,$G231)&gt;0,
     COUNTIFS($AC$2:$AC$200,$G231)&gt;0,
     COUNTIFS($AD$2:$AD$200,$G231)&gt;0,
     COUNTIFS($AE$2:$AE$200,$G231)&gt;0,
     COUNTIFS($AF$2:$AF$200,$G231)&gt;0,
     COUNTIFS($AG$2:$AG$200,$G231)&gt;0,
     COUNTIFS($AH$2:$AH$200,$G231)&gt;0,
     COUNTIFS($AI$2:$AI$200,$G231)&gt;0,
     COUNTIFS($AJ$2:$AJ$200,$G231)&gt;0,
     COUNTIFS($AK$2:$AK$200,$G231)&gt;0,
     COUNTIFS($AL$2:$AL$200,$G231)&gt;0,
     COUNTIFS($AM$2:$AM$200,$G231)&gt;0,
     COUNTIFS($AN$2:$AN$200,$G231)&gt;0,
     COUNTIFS($AO$2:$AO$200,$G231)&gt;0,
     COUNTIFS($AP$2:$AP$200,$G231)&gt;0,
     COUNTIFS($AQ$2:$AQ$200,$G231)&gt;0,
     COUNTIFS($AR$2:$AR$200,$G231)&gt;0,
     COUNTIFS($AS$2:$AS$200,$G231)&gt;0,
     COUNTIFS($AT$2:$AT$200,$G231)&gt;0,
     COUNTIFS($AU$2:$AU$200,$G231)&gt;0,
     COUNTIFS($AV$2:$AV$200,$G231)&gt;0,
     COUNTIFS($AW$2:$AW$200,$G231)&gt;0,
     COUNTIFS($AX$2:$AX$200,$G231)&gt;0,
     COUNTIFS($AY$2:$AY$200,$G231)&gt;0
   )),
  ),
  4
 ),
"")</f>
        <v/>
      </c>
      <c r="G231" t="str">
        <f ca="1"/>
        <v>Katara's Reversal</v>
      </c>
      <c r="EU231" t="str">
        <f ca="1"/>
        <v>Raugrin Triome</v>
      </c>
      <c r="EX231" t="str">
        <f ca="1"/>
        <v>Katara's Reversal</v>
      </c>
    </row>
    <row r="232" spans="1:154" x14ac:dyDescent="0.25">
      <c r="A232" s="2" t="str">
        <f t="shared" ca="1" si="12"/>
        <v>2</v>
      </c>
      <c r="B232" s="2">
        <f t="shared" ca="1" si="13"/>
        <v>1</v>
      </c>
      <c r="C232" s="2" t="str">
        <f ca="1">IFERROR(
 INDEX($V$1:$BL$1,
  MATCH(TRUE,
   CHOOSE({1;2;3;4;5;6;7;8;9;10;11;12;13;14;15;16;17;18;19;20;21;22;23;24;25;26;27;28;29;30;31;32;33;34;35;36;37;38;39;40;41;42;43},
    COUNTIFS($V$2:$V$200,$G232)&gt;0,
    COUNTIFS($W$2:$W$200,$G232)&gt;0,
    COUNTIFS($X$2:$X$200,$G232)&gt;0,
    COUNTIFS($Y$2:$Y$200,$G232)&gt;0,
    COUNTIFS($Z$2:$Z$200,$G232)&gt;0,
    COUNTIFS($AA$2:$AA$200,$G232)&gt;0,
    COUNTIFS($AB$2:$AB$200,$G232)&gt;0,
    COUNTIFS($AC$2:$AC$200,$G232)&gt;0,
    COUNTIFS($AD$2:$AD$200,$G232)&gt;0,
    COUNTIFS($AE$2:$AE$200,$G232)&gt;0,
    COUNTIFS($AF$2:$AF$200,$G232)&gt;0,
    COUNTIFS($AG$2:$AG$200,$G232)&gt;0,
    COUNTIFS($AH$2:$AH$200,$G232)&gt;0,
    COUNTIFS($AI$2:$AI$200,$G232)&gt;0,
    COUNTIFS($AJ$2:$AJ$200,$G232)&gt;0,
    COUNTIFS($AK$2:$AK$200,$G232)&gt;0,
    COUNTIFS($AL$2:$AL$200,$G232)&gt;0,
    COUNTIFS($AM$2:$AM$200,$G232)&gt;0,
    COUNTIFS($AN$2:$AN$200,$G232)&gt;0,
    COUNTIFS($AO$2:$AO$200,$G232)&gt;0,
    COUNTIFS($AP$2:$AP$200,$G232)&gt;0,
    COUNTIFS($AQ$2:$AQ$200,$G232)&gt;0,
    COUNTIFS($AR$2:$AR$200,$G232)&gt;0,
    COUNTIFS($AS$2:$AS$200,$G232)&gt;0,
    COUNTIFS($AT$2:$AT$200,$G232)&gt;0,
    COUNTIFS($AU$2:$AU$200,$G232)&gt;0,
    COUNTIFS($AV$2:$AV$200,$G232)&gt;0,
    COUNTIFS($AW$2:$AW$200,$G232)&gt;0,
    COUNTIFS($AX$2:$AX$200,$G232)&gt;0,
    COUNTIFS($AY$2:$AY$200,$G232)&gt;0,
    COUNTIFS($AZ$2:$AZ$200,$G232)&gt;0,
    COUNTIFS($BA$2:$BA$200,$G232)&gt;0,
    COUNTIFS($BB$2:$BB$200,$G232)&gt;0,
    COUNTIFS($BC$2:$BC$200,$G232)&gt;0,
    COUNTIFS($BD$2:$BD$200,$G232)&gt;0,
    COUNTIFS($BE$2:$BE$200,$G232)&gt;0,
    COUNTIFS($BF$2:$BF$200,$G232)&gt;0,
    COUNTIFS($BG$2:$BG$200,$G232)&gt;0,
    COUNTIFS($BH$2:$BH$200,$G232)&gt;0,
    COUNTIFS($BI$2:$BI$200,$G232)&gt;0,
    COUNTIFS($BJ$2:$BJ$200,$G232)&gt;0,
    COUNTIFS($BK$2:$BK$200,$G232)&gt;0,
    COUNTIFS($BL$2:$BL$200,$G232)&gt;0,
    COUNTIFS($BM$2:$BM$200,$G232)&gt;0,
   ),
  0)
 ),
"")</f>
        <v>Sisay</v>
      </c>
      <c r="D232" s="2" t="str" cm="1">
        <f t="array" aca="1" ref="D232" ca="1">IFERROR(
 INDEX(
  _xlfn._xlws.FILTER($V$1:$AY$1,
   TRANSPOSE(
    CHOOSE({1;2;3;4;5;6;7;8;9;10;11;12;13;14;15;16;17;18;19;20;21;22;23;24;25;26;27;28;29;30},
     COUNTIFS($V$2:$V$200,$G232)&gt;0,
     COUNTIFS($W$2:$W$200,$G232)&gt;0,
     COUNTIFS($X$2:$X$200,$G232)&gt;0,
     COUNTIFS($Y$2:$Y$200,$G232)&gt;0,
     COUNTIFS($Z$2:$Z$200,$G232)&gt;0,
     COUNTIFS($AA$2:$AA$200,$G232)&gt;0,
     COUNTIFS($AB$2:$AB$200,$G232)&gt;0,
     COUNTIFS($AC$2:$AC$200,$G232)&gt;0,
     COUNTIFS($AD$2:$AD$200,$G232)&gt;0,
     COUNTIFS($AE$2:$AE$200,$G232)&gt;0,
     COUNTIFS($AF$2:$AF$200,$G232)&gt;0,
     COUNTIFS($AG$2:$AG$200,$G232)&gt;0,
     COUNTIFS($AH$2:$AH$200,$G232)&gt;0,
     COUNTIFS($AI$2:$AI$200,$G232)&gt;0,
     COUNTIFS($AJ$2:$AJ$200,$G232)&gt;0,
     COUNTIFS($AK$2:$AK$200,$G232)&gt;0,
     COUNTIFS($AL$2:$AL$200,$G232)&gt;0,
     COUNTIFS($AM$2:$AM$200,$G232)&gt;0,
     COUNTIFS($AN$2:$AN$200,$G232)&gt;0,
     COUNTIFS($AO$2:$AO$200,$G232)&gt;0,
     COUNTIFS($AP$2:$AP$200,$G232)&gt;0,
     COUNTIFS($AQ$2:$AQ$200,$G232)&gt;0,
     COUNTIFS($AR$2:$AR$200,$G232)&gt;0,
     COUNTIFS($AS$2:$AS$200,$G232)&gt;0,
     COUNTIFS($AT$2:$AT$200,$G232)&gt;0,
     COUNTIFS($AU$2:$AU$200,$G232)&gt;0,
     COUNTIFS($AV$2:$AV$200,$G232)&gt;0,
     COUNTIFS($AW$2:$AW$200,$G232)&gt;0,
     COUNTIFS($AX$2:$AX$200,$G232)&gt;0,
     COUNTIFS($AY$2:$AY$200,$G232)&gt;0
   )),
  ),
  2
 ),
"")</f>
        <v/>
      </c>
      <c r="E232" s="2" t="str" cm="1">
        <f t="array" aca="1" ref="E232" ca="1">IFERROR(
 INDEX(
  _xlfn._xlws.FILTER($V$1:$AY$1,
   TRANSPOSE(
    CHOOSE({1;2;3;4;5;6;7;8;9;10;11;12;13;14;15;16;17;18;19;20;21;22;23;24;25;26;27;28;29;30},
     COUNTIFS($V$2:$V$200,$G232)&gt;0,
     COUNTIFS($W$2:$W$200,$G232)&gt;0,
     COUNTIFS($X$2:$X$200,$G232)&gt;0,
     COUNTIFS($Y$2:$Y$200,$G232)&gt;0,
     COUNTIFS($Z$2:$Z$200,$G232)&gt;0,
     COUNTIFS($AA$2:$AA$200,$G232)&gt;0,
     COUNTIFS($AB$2:$AB$200,$G232)&gt;0,
     COUNTIFS($AC$2:$AC$200,$G232)&gt;0,
     COUNTIFS($AD$2:$AD$200,$G232)&gt;0,
     COUNTIFS($AE$2:$AE$200,$G232)&gt;0,
     COUNTIFS($AF$2:$AF$200,$G232)&gt;0,
     COUNTIFS($AG$2:$AG$200,$G232)&gt;0,
     COUNTIFS($AH$2:$AH$200,$G232)&gt;0,
     COUNTIFS($AI$2:$AI$200,$G232)&gt;0,
     COUNTIFS($AJ$2:$AJ$200,$G232)&gt;0,
     COUNTIFS($AK$2:$AK$200,$G232)&gt;0,
     COUNTIFS($AL$2:$AL$200,$G232)&gt;0,
     COUNTIFS($AM$2:$AM$200,$G232)&gt;0,
     COUNTIFS($AN$2:$AN$200,$G232)&gt;0,
     COUNTIFS($AO$2:$AO$200,$G232)&gt;0,
     COUNTIFS($AP$2:$AP$200,$G232)&gt;0,
     COUNTIFS($AQ$2:$AQ$200,$G232)&gt;0,
     COUNTIFS($AR$2:$AR$200,$G232)&gt;0,
     COUNTIFS($AS$2:$AS$200,$G232)&gt;0,
     COUNTIFS($AT$2:$AT$200,$G232)&gt;0,
     COUNTIFS($AU$2:$AU$200,$G232)&gt;0,
     COUNTIFS($AV$2:$AV$200,$G232)&gt;0,
     COUNTIFS($AW$2:$AW$200,$G232)&gt;0,
     COUNTIFS($AX$2:$AX$200,$G232)&gt;0,
     COUNTIFS($AY$2:$AY$200,$G232)&gt;0
   )),
  ),
  3
 ),
"")</f>
        <v/>
      </c>
      <c r="F232" s="2" t="str" cm="1">
        <f t="array" aca="1" ref="F232" ca="1">IFERROR(
 INDEX(
  _xlfn._xlws.FILTER($V$1:$AY$1,
   TRANSPOSE(
    CHOOSE({1;2;3;4;5;6;7;8;9;10;11;12;13;14;15;16;17;18;19;20;21;22;23;24;25;26;27;28;29;30},
     COUNTIFS($V$2:$V$200,$G232)&gt;0,
     COUNTIFS($W$2:$W$200,$G232)&gt;0,
     COUNTIFS($X$2:$X$200,$G232)&gt;0,
     COUNTIFS($Y$2:$Y$200,$G232)&gt;0,
     COUNTIFS($Z$2:$Z$200,$G232)&gt;0,
     COUNTIFS($AA$2:$AA$200,$G232)&gt;0,
     COUNTIFS($AB$2:$AB$200,$G232)&gt;0,
     COUNTIFS($AC$2:$AC$200,$G232)&gt;0,
     COUNTIFS($AD$2:$AD$200,$G232)&gt;0,
     COUNTIFS($AE$2:$AE$200,$G232)&gt;0,
     COUNTIFS($AF$2:$AF$200,$G232)&gt;0,
     COUNTIFS($AG$2:$AG$200,$G232)&gt;0,
     COUNTIFS($AH$2:$AH$200,$G232)&gt;0,
     COUNTIFS($AI$2:$AI$200,$G232)&gt;0,
     COUNTIFS($AJ$2:$AJ$200,$G232)&gt;0,
     COUNTIFS($AK$2:$AK$200,$G232)&gt;0,
     COUNTIFS($AL$2:$AL$200,$G232)&gt;0,
     COUNTIFS($AM$2:$AM$200,$G232)&gt;0,
     COUNTIFS($AN$2:$AN$200,$G232)&gt;0,
     COUNTIFS($AO$2:$AO$200,$G232)&gt;0,
     COUNTIFS($AP$2:$AP$200,$G232)&gt;0,
     COUNTIFS($AQ$2:$AQ$200,$G232)&gt;0,
     COUNTIFS($AR$2:$AR$200,$G232)&gt;0,
     COUNTIFS($AS$2:$AS$200,$G232)&gt;0,
     COUNTIFS($AT$2:$AT$200,$G232)&gt;0,
     COUNTIFS($AU$2:$AU$200,$G232)&gt;0,
     COUNTIFS($AV$2:$AV$200,$G232)&gt;0,
     COUNTIFS($AW$2:$AW$200,$G232)&gt;0,
     COUNTIFS($AX$2:$AX$200,$G232)&gt;0,
     COUNTIFS($AY$2:$AY$200,$G232)&gt;0
   )),
  ),
  4
 ),
"")</f>
        <v/>
      </c>
      <c r="G232" t="str">
        <f ca="1"/>
        <v>Kaya the Inexorable</v>
      </c>
      <c r="EU232" t="str">
        <f ca="1"/>
        <v>Raven Eagle</v>
      </c>
      <c r="EX232" t="str">
        <f ca="1"/>
        <v>Kaya the Inexorable</v>
      </c>
    </row>
    <row r="233" spans="1:154" x14ac:dyDescent="0.25">
      <c r="A233" s="2" t="str">
        <f t="shared" ca="1" si="12"/>
        <v>3</v>
      </c>
      <c r="B233" s="2">
        <f t="shared" ca="1" si="13"/>
        <v>1</v>
      </c>
      <c r="C233" s="2" t="str">
        <f ca="1">IFERROR(
 INDEX($V$1:$BL$1,
  MATCH(TRUE,
   CHOOSE({1;2;3;4;5;6;7;8;9;10;11;12;13;14;15;16;17;18;19;20;21;22;23;24;25;26;27;28;29;30;31;32;33;34;35;36;37;38;39;40;41;42;43},
    COUNTIFS($V$2:$V$200,$G233)&gt;0,
    COUNTIFS($W$2:$W$200,$G233)&gt;0,
    COUNTIFS($X$2:$X$200,$G233)&gt;0,
    COUNTIFS($Y$2:$Y$200,$G233)&gt;0,
    COUNTIFS($Z$2:$Z$200,$G233)&gt;0,
    COUNTIFS($AA$2:$AA$200,$G233)&gt;0,
    COUNTIFS($AB$2:$AB$200,$G233)&gt;0,
    COUNTIFS($AC$2:$AC$200,$G233)&gt;0,
    COUNTIFS($AD$2:$AD$200,$G233)&gt;0,
    COUNTIFS($AE$2:$AE$200,$G233)&gt;0,
    COUNTIFS($AF$2:$AF$200,$G233)&gt;0,
    COUNTIFS($AG$2:$AG$200,$G233)&gt;0,
    COUNTIFS($AH$2:$AH$200,$G233)&gt;0,
    COUNTIFS($AI$2:$AI$200,$G233)&gt;0,
    COUNTIFS($AJ$2:$AJ$200,$G233)&gt;0,
    COUNTIFS($AK$2:$AK$200,$G233)&gt;0,
    COUNTIFS($AL$2:$AL$200,$G233)&gt;0,
    COUNTIFS($AM$2:$AM$200,$G233)&gt;0,
    COUNTIFS($AN$2:$AN$200,$G233)&gt;0,
    COUNTIFS($AO$2:$AO$200,$G233)&gt;0,
    COUNTIFS($AP$2:$AP$200,$G233)&gt;0,
    COUNTIFS($AQ$2:$AQ$200,$G233)&gt;0,
    COUNTIFS($AR$2:$AR$200,$G233)&gt;0,
    COUNTIFS($AS$2:$AS$200,$G233)&gt;0,
    COUNTIFS($AT$2:$AT$200,$G233)&gt;0,
    COUNTIFS($AU$2:$AU$200,$G233)&gt;0,
    COUNTIFS($AV$2:$AV$200,$G233)&gt;0,
    COUNTIFS($AW$2:$AW$200,$G233)&gt;0,
    COUNTIFS($AX$2:$AX$200,$G233)&gt;0,
    COUNTIFS($AY$2:$AY$200,$G233)&gt;0,
    COUNTIFS($AZ$2:$AZ$200,$G233)&gt;0,
    COUNTIFS($BA$2:$BA$200,$G233)&gt;0,
    COUNTIFS($BB$2:$BB$200,$G233)&gt;0,
    COUNTIFS($BC$2:$BC$200,$G233)&gt;0,
    COUNTIFS($BD$2:$BD$200,$G233)&gt;0,
    COUNTIFS($BE$2:$BE$200,$G233)&gt;0,
    COUNTIFS($BF$2:$BF$200,$G233)&gt;0,
    COUNTIFS($BG$2:$BG$200,$G233)&gt;0,
    COUNTIFS($BH$2:$BH$200,$G233)&gt;0,
    COUNTIFS($BI$2:$BI$200,$G233)&gt;0,
    COUNTIFS($BJ$2:$BJ$200,$G233)&gt;0,
    COUNTIFS($BK$2:$BK$200,$G233)&gt;0,
    COUNTIFS($BL$2:$BL$200,$G233)&gt;0,
    COUNTIFS($BM$2:$BM$200,$G233)&gt;0,
   ),
  0)
 ),
"")</f>
        <v>Yuriko</v>
      </c>
      <c r="D233" s="2" t="str" cm="1">
        <f t="array" aca="1" ref="D233" ca="1">IFERROR(
 INDEX(
  _xlfn._xlws.FILTER($V$1:$AY$1,
   TRANSPOSE(
    CHOOSE({1;2;3;4;5;6;7;8;9;10;11;12;13;14;15;16;17;18;19;20;21;22;23;24;25;26;27;28;29;30},
     COUNTIFS($V$2:$V$200,$G233)&gt;0,
     COUNTIFS($W$2:$W$200,$G233)&gt;0,
     COUNTIFS($X$2:$X$200,$G233)&gt;0,
     COUNTIFS($Y$2:$Y$200,$G233)&gt;0,
     COUNTIFS($Z$2:$Z$200,$G233)&gt;0,
     COUNTIFS($AA$2:$AA$200,$G233)&gt;0,
     COUNTIFS($AB$2:$AB$200,$G233)&gt;0,
     COUNTIFS($AC$2:$AC$200,$G233)&gt;0,
     COUNTIFS($AD$2:$AD$200,$G233)&gt;0,
     COUNTIFS($AE$2:$AE$200,$G233)&gt;0,
     COUNTIFS($AF$2:$AF$200,$G233)&gt;0,
     COUNTIFS($AG$2:$AG$200,$G233)&gt;0,
     COUNTIFS($AH$2:$AH$200,$G233)&gt;0,
     COUNTIFS($AI$2:$AI$200,$G233)&gt;0,
     COUNTIFS($AJ$2:$AJ$200,$G233)&gt;0,
     COUNTIFS($AK$2:$AK$200,$G233)&gt;0,
     COUNTIFS($AL$2:$AL$200,$G233)&gt;0,
     COUNTIFS($AM$2:$AM$200,$G233)&gt;0,
     COUNTIFS($AN$2:$AN$200,$G233)&gt;0,
     COUNTIFS($AO$2:$AO$200,$G233)&gt;0,
     COUNTIFS($AP$2:$AP$200,$G233)&gt;0,
     COUNTIFS($AQ$2:$AQ$200,$G233)&gt;0,
     COUNTIFS($AR$2:$AR$200,$G233)&gt;0,
     COUNTIFS($AS$2:$AS$200,$G233)&gt;0,
     COUNTIFS($AT$2:$AT$200,$G233)&gt;0,
     COUNTIFS($AU$2:$AU$200,$G233)&gt;0,
     COUNTIFS($AV$2:$AV$200,$G233)&gt;0,
     COUNTIFS($AW$2:$AW$200,$G233)&gt;0,
     COUNTIFS($AX$2:$AX$200,$G233)&gt;0,
     COUNTIFS($AY$2:$AY$200,$G233)&gt;0
   )),
  ),
  2
 ),
"")</f>
        <v/>
      </c>
      <c r="E233" s="2" t="str" cm="1">
        <f t="array" aca="1" ref="E233" ca="1">IFERROR(
 INDEX(
  _xlfn._xlws.FILTER($V$1:$AY$1,
   TRANSPOSE(
    CHOOSE({1;2;3;4;5;6;7;8;9;10;11;12;13;14;15;16;17;18;19;20;21;22;23;24;25;26;27;28;29;30},
     COUNTIFS($V$2:$V$200,$G233)&gt;0,
     COUNTIFS($W$2:$W$200,$G233)&gt;0,
     COUNTIFS($X$2:$X$200,$G233)&gt;0,
     COUNTIFS($Y$2:$Y$200,$G233)&gt;0,
     COUNTIFS($Z$2:$Z$200,$G233)&gt;0,
     COUNTIFS($AA$2:$AA$200,$G233)&gt;0,
     COUNTIFS($AB$2:$AB$200,$G233)&gt;0,
     COUNTIFS($AC$2:$AC$200,$G233)&gt;0,
     COUNTIFS($AD$2:$AD$200,$G233)&gt;0,
     COUNTIFS($AE$2:$AE$200,$G233)&gt;0,
     COUNTIFS($AF$2:$AF$200,$G233)&gt;0,
     COUNTIFS($AG$2:$AG$200,$G233)&gt;0,
     COUNTIFS($AH$2:$AH$200,$G233)&gt;0,
     COUNTIFS($AI$2:$AI$200,$G233)&gt;0,
     COUNTIFS($AJ$2:$AJ$200,$G233)&gt;0,
     COUNTIFS($AK$2:$AK$200,$G233)&gt;0,
     COUNTIFS($AL$2:$AL$200,$G233)&gt;0,
     COUNTIFS($AM$2:$AM$200,$G233)&gt;0,
     COUNTIFS($AN$2:$AN$200,$G233)&gt;0,
     COUNTIFS($AO$2:$AO$200,$G233)&gt;0,
     COUNTIFS($AP$2:$AP$200,$G233)&gt;0,
     COUNTIFS($AQ$2:$AQ$200,$G233)&gt;0,
     COUNTIFS($AR$2:$AR$200,$G233)&gt;0,
     COUNTIFS($AS$2:$AS$200,$G233)&gt;0,
     COUNTIFS($AT$2:$AT$200,$G233)&gt;0,
     COUNTIFS($AU$2:$AU$200,$G233)&gt;0,
     COUNTIFS($AV$2:$AV$200,$G233)&gt;0,
     COUNTIFS($AW$2:$AW$200,$G233)&gt;0,
     COUNTIFS($AX$2:$AX$200,$G233)&gt;0,
     COUNTIFS($AY$2:$AY$200,$G233)&gt;0
   )),
  ),
  3
 ),
"")</f>
        <v/>
      </c>
      <c r="F233" s="2" t="str" cm="1">
        <f t="array" aca="1" ref="F233" ca="1">IFERROR(
 INDEX(
  _xlfn._xlws.FILTER($V$1:$AY$1,
   TRANSPOSE(
    CHOOSE({1;2;3;4;5;6;7;8;9;10;11;12;13;14;15;16;17;18;19;20;21;22;23;24;25;26;27;28;29;30},
     COUNTIFS($V$2:$V$200,$G233)&gt;0,
     COUNTIFS($W$2:$W$200,$G233)&gt;0,
     COUNTIFS($X$2:$X$200,$G233)&gt;0,
     COUNTIFS($Y$2:$Y$200,$G233)&gt;0,
     COUNTIFS($Z$2:$Z$200,$G233)&gt;0,
     COUNTIFS($AA$2:$AA$200,$G233)&gt;0,
     COUNTIFS($AB$2:$AB$200,$G233)&gt;0,
     COUNTIFS($AC$2:$AC$200,$G233)&gt;0,
     COUNTIFS($AD$2:$AD$200,$G233)&gt;0,
     COUNTIFS($AE$2:$AE$200,$G233)&gt;0,
     COUNTIFS($AF$2:$AF$200,$G233)&gt;0,
     COUNTIFS($AG$2:$AG$200,$G233)&gt;0,
     COUNTIFS($AH$2:$AH$200,$G233)&gt;0,
     COUNTIFS($AI$2:$AI$200,$G233)&gt;0,
     COUNTIFS($AJ$2:$AJ$200,$G233)&gt;0,
     COUNTIFS($AK$2:$AK$200,$G233)&gt;0,
     COUNTIFS($AL$2:$AL$200,$G233)&gt;0,
     COUNTIFS($AM$2:$AM$200,$G233)&gt;0,
     COUNTIFS($AN$2:$AN$200,$G233)&gt;0,
     COUNTIFS($AO$2:$AO$200,$G233)&gt;0,
     COUNTIFS($AP$2:$AP$200,$G233)&gt;0,
     COUNTIFS($AQ$2:$AQ$200,$G233)&gt;0,
     COUNTIFS($AR$2:$AR$200,$G233)&gt;0,
     COUNTIFS($AS$2:$AS$200,$G233)&gt;0,
     COUNTIFS($AT$2:$AT$200,$G233)&gt;0,
     COUNTIFS($AU$2:$AU$200,$G233)&gt;0,
     COUNTIFS($AV$2:$AV$200,$G233)&gt;0,
     COUNTIFS($AW$2:$AW$200,$G233)&gt;0,
     COUNTIFS($AX$2:$AX$200,$G233)&gt;0,
     COUNTIFS($AY$2:$AY$200,$G233)&gt;0
   )),
  ),
  4
 ),
"")</f>
        <v/>
      </c>
      <c r="G233" t="str">
        <f ca="1"/>
        <v>Keen Duelist</v>
      </c>
      <c r="EU233" t="str">
        <f ca="1"/>
        <v>Realmwalker</v>
      </c>
      <c r="EX233" t="str">
        <f ca="1"/>
        <v>Keen Duelist</v>
      </c>
    </row>
    <row r="234" spans="1:154" x14ac:dyDescent="0.25">
      <c r="A234" s="2" t="str">
        <f t="shared" ca="1" si="12"/>
        <v>3</v>
      </c>
      <c r="B234" s="2">
        <f t="shared" ca="1" si="13"/>
        <v>1</v>
      </c>
      <c r="C234" s="2" t="str">
        <f ca="1">IFERROR(
 INDEX($V$1:$BL$1,
  MATCH(TRUE,
   CHOOSE({1;2;3;4;5;6;7;8;9;10;11;12;13;14;15;16;17;18;19;20;21;22;23;24;25;26;27;28;29;30;31;32;33;34;35;36;37;38;39;40;41;42;43},
    COUNTIFS($V$2:$V$200,$G234)&gt;0,
    COUNTIFS($W$2:$W$200,$G234)&gt;0,
    COUNTIFS($X$2:$X$200,$G234)&gt;0,
    COUNTIFS($Y$2:$Y$200,$G234)&gt;0,
    COUNTIFS($Z$2:$Z$200,$G234)&gt;0,
    COUNTIFS($AA$2:$AA$200,$G234)&gt;0,
    COUNTIFS($AB$2:$AB$200,$G234)&gt;0,
    COUNTIFS($AC$2:$AC$200,$G234)&gt;0,
    COUNTIFS($AD$2:$AD$200,$G234)&gt;0,
    COUNTIFS($AE$2:$AE$200,$G234)&gt;0,
    COUNTIFS($AF$2:$AF$200,$G234)&gt;0,
    COUNTIFS($AG$2:$AG$200,$G234)&gt;0,
    COUNTIFS($AH$2:$AH$200,$G234)&gt;0,
    COUNTIFS($AI$2:$AI$200,$G234)&gt;0,
    COUNTIFS($AJ$2:$AJ$200,$G234)&gt;0,
    COUNTIFS($AK$2:$AK$200,$G234)&gt;0,
    COUNTIFS($AL$2:$AL$200,$G234)&gt;0,
    COUNTIFS($AM$2:$AM$200,$G234)&gt;0,
    COUNTIFS($AN$2:$AN$200,$G234)&gt;0,
    COUNTIFS($AO$2:$AO$200,$G234)&gt;0,
    COUNTIFS($AP$2:$AP$200,$G234)&gt;0,
    COUNTIFS($AQ$2:$AQ$200,$G234)&gt;0,
    COUNTIFS($AR$2:$AR$200,$G234)&gt;0,
    COUNTIFS($AS$2:$AS$200,$G234)&gt;0,
    COUNTIFS($AT$2:$AT$200,$G234)&gt;0,
    COUNTIFS($AU$2:$AU$200,$G234)&gt;0,
    COUNTIFS($AV$2:$AV$200,$G234)&gt;0,
    COUNTIFS($AW$2:$AW$200,$G234)&gt;0,
    COUNTIFS($AX$2:$AX$200,$G234)&gt;0,
    COUNTIFS($AY$2:$AY$200,$G234)&gt;0,
    COUNTIFS($AZ$2:$AZ$200,$G234)&gt;0,
    COUNTIFS($BA$2:$BA$200,$G234)&gt;0,
    COUNTIFS($BB$2:$BB$200,$G234)&gt;0,
    COUNTIFS($BC$2:$BC$200,$G234)&gt;0,
    COUNTIFS($BD$2:$BD$200,$G234)&gt;0,
    COUNTIFS($BE$2:$BE$200,$G234)&gt;0,
    COUNTIFS($BF$2:$BF$200,$G234)&gt;0,
    COUNTIFS($BG$2:$BG$200,$G234)&gt;0,
    COUNTIFS($BH$2:$BH$200,$G234)&gt;0,
    COUNTIFS($BI$2:$BI$200,$G234)&gt;0,
    COUNTIFS($BJ$2:$BJ$200,$G234)&gt;0,
    COUNTIFS($BK$2:$BK$200,$G234)&gt;0,
    COUNTIFS($BL$2:$BL$200,$G234)&gt;0,
    COUNTIFS($BM$2:$BM$200,$G234)&gt;0,
   ),
  0)
 ),
"")</f>
        <v>Akiri</v>
      </c>
      <c r="D234" s="2" t="str" cm="1">
        <f t="array" aca="1" ref="D234" ca="1">IFERROR(
 INDEX(
  _xlfn._xlws.FILTER($V$1:$AY$1,
   TRANSPOSE(
    CHOOSE({1;2;3;4;5;6;7;8;9;10;11;12;13;14;15;16;17;18;19;20;21;22;23;24;25;26;27;28;29;30},
     COUNTIFS($V$2:$V$200,$G234)&gt;0,
     COUNTIFS($W$2:$W$200,$G234)&gt;0,
     COUNTIFS($X$2:$X$200,$G234)&gt;0,
     COUNTIFS($Y$2:$Y$200,$G234)&gt;0,
     COUNTIFS($Z$2:$Z$200,$G234)&gt;0,
     COUNTIFS($AA$2:$AA$200,$G234)&gt;0,
     COUNTIFS($AB$2:$AB$200,$G234)&gt;0,
     COUNTIFS($AC$2:$AC$200,$G234)&gt;0,
     COUNTIFS($AD$2:$AD$200,$G234)&gt;0,
     COUNTIFS($AE$2:$AE$200,$G234)&gt;0,
     COUNTIFS($AF$2:$AF$200,$G234)&gt;0,
     COUNTIFS($AG$2:$AG$200,$G234)&gt;0,
     COUNTIFS($AH$2:$AH$200,$G234)&gt;0,
     COUNTIFS($AI$2:$AI$200,$G234)&gt;0,
     COUNTIFS($AJ$2:$AJ$200,$G234)&gt;0,
     COUNTIFS($AK$2:$AK$200,$G234)&gt;0,
     COUNTIFS($AL$2:$AL$200,$G234)&gt;0,
     COUNTIFS($AM$2:$AM$200,$G234)&gt;0,
     COUNTIFS($AN$2:$AN$200,$G234)&gt;0,
     COUNTIFS($AO$2:$AO$200,$G234)&gt;0,
     COUNTIFS($AP$2:$AP$200,$G234)&gt;0,
     COUNTIFS($AQ$2:$AQ$200,$G234)&gt;0,
     COUNTIFS($AR$2:$AR$200,$G234)&gt;0,
     COUNTIFS($AS$2:$AS$200,$G234)&gt;0,
     COUNTIFS($AT$2:$AT$200,$G234)&gt;0,
     COUNTIFS($AU$2:$AU$200,$G234)&gt;0,
     COUNTIFS($AV$2:$AV$200,$G234)&gt;0,
     COUNTIFS($AW$2:$AW$200,$G234)&gt;0,
     COUNTIFS($AX$2:$AX$200,$G234)&gt;0,
     COUNTIFS($AY$2:$AY$200,$G234)&gt;0
   )),
  ),
  2
 ),
"")</f>
        <v/>
      </c>
      <c r="E234" s="2" t="str" cm="1">
        <f t="array" aca="1" ref="E234" ca="1">IFERROR(
 INDEX(
  _xlfn._xlws.FILTER($V$1:$AY$1,
   TRANSPOSE(
    CHOOSE({1;2;3;4;5;6;7;8;9;10;11;12;13;14;15;16;17;18;19;20;21;22;23;24;25;26;27;28;29;30},
     COUNTIFS($V$2:$V$200,$G234)&gt;0,
     COUNTIFS($W$2:$W$200,$G234)&gt;0,
     COUNTIFS($X$2:$X$200,$G234)&gt;0,
     COUNTIFS($Y$2:$Y$200,$G234)&gt;0,
     COUNTIFS($Z$2:$Z$200,$G234)&gt;0,
     COUNTIFS($AA$2:$AA$200,$G234)&gt;0,
     COUNTIFS($AB$2:$AB$200,$G234)&gt;0,
     COUNTIFS($AC$2:$AC$200,$G234)&gt;0,
     COUNTIFS($AD$2:$AD$200,$G234)&gt;0,
     COUNTIFS($AE$2:$AE$200,$G234)&gt;0,
     COUNTIFS($AF$2:$AF$200,$G234)&gt;0,
     COUNTIFS($AG$2:$AG$200,$G234)&gt;0,
     COUNTIFS($AH$2:$AH$200,$G234)&gt;0,
     COUNTIFS($AI$2:$AI$200,$G234)&gt;0,
     COUNTIFS($AJ$2:$AJ$200,$G234)&gt;0,
     COUNTIFS($AK$2:$AK$200,$G234)&gt;0,
     COUNTIFS($AL$2:$AL$200,$G234)&gt;0,
     COUNTIFS($AM$2:$AM$200,$G234)&gt;0,
     COUNTIFS($AN$2:$AN$200,$G234)&gt;0,
     COUNTIFS($AO$2:$AO$200,$G234)&gt;0,
     COUNTIFS($AP$2:$AP$200,$G234)&gt;0,
     COUNTIFS($AQ$2:$AQ$200,$G234)&gt;0,
     COUNTIFS($AR$2:$AR$200,$G234)&gt;0,
     COUNTIFS($AS$2:$AS$200,$G234)&gt;0,
     COUNTIFS($AT$2:$AT$200,$G234)&gt;0,
     COUNTIFS($AU$2:$AU$200,$G234)&gt;0,
     COUNTIFS($AV$2:$AV$200,$G234)&gt;0,
     COUNTIFS($AW$2:$AW$200,$G234)&gt;0,
     COUNTIFS($AX$2:$AX$200,$G234)&gt;0,
     COUNTIFS($AY$2:$AY$200,$G234)&gt;0
   )),
  ),
  3
 ),
"")</f>
        <v/>
      </c>
      <c r="F234" s="2" t="str" cm="1">
        <f t="array" aca="1" ref="F234" ca="1">IFERROR(
 INDEX(
  _xlfn._xlws.FILTER($V$1:$AY$1,
   TRANSPOSE(
    CHOOSE({1;2;3;4;5;6;7;8;9;10;11;12;13;14;15;16;17;18;19;20;21;22;23;24;25;26;27;28;29;30},
     COUNTIFS($V$2:$V$200,$G234)&gt;0,
     COUNTIFS($W$2:$W$200,$G234)&gt;0,
     COUNTIFS($X$2:$X$200,$G234)&gt;0,
     COUNTIFS($Y$2:$Y$200,$G234)&gt;0,
     COUNTIFS($Z$2:$Z$200,$G234)&gt;0,
     COUNTIFS($AA$2:$AA$200,$G234)&gt;0,
     COUNTIFS($AB$2:$AB$200,$G234)&gt;0,
     COUNTIFS($AC$2:$AC$200,$G234)&gt;0,
     COUNTIFS($AD$2:$AD$200,$G234)&gt;0,
     COUNTIFS($AE$2:$AE$200,$G234)&gt;0,
     COUNTIFS($AF$2:$AF$200,$G234)&gt;0,
     COUNTIFS($AG$2:$AG$200,$G234)&gt;0,
     COUNTIFS($AH$2:$AH$200,$G234)&gt;0,
     COUNTIFS($AI$2:$AI$200,$G234)&gt;0,
     COUNTIFS($AJ$2:$AJ$200,$G234)&gt;0,
     COUNTIFS($AK$2:$AK$200,$G234)&gt;0,
     COUNTIFS($AL$2:$AL$200,$G234)&gt;0,
     COUNTIFS($AM$2:$AM$200,$G234)&gt;0,
     COUNTIFS($AN$2:$AN$200,$G234)&gt;0,
     COUNTIFS($AO$2:$AO$200,$G234)&gt;0,
     COUNTIFS($AP$2:$AP$200,$G234)&gt;0,
     COUNTIFS($AQ$2:$AQ$200,$G234)&gt;0,
     COUNTIFS($AR$2:$AR$200,$G234)&gt;0,
     COUNTIFS($AS$2:$AS$200,$G234)&gt;0,
     COUNTIFS($AT$2:$AT$200,$G234)&gt;0,
     COUNTIFS($AU$2:$AU$200,$G234)&gt;0,
     COUNTIFS($AV$2:$AV$200,$G234)&gt;0,
     COUNTIFS($AW$2:$AW$200,$G234)&gt;0,
     COUNTIFS($AX$2:$AX$200,$G234)&gt;0,
     COUNTIFS($AY$2:$AY$200,$G234)&gt;0
   )),
  ),
  4
 ),
"")</f>
        <v/>
      </c>
      <c r="G234" t="str">
        <f ca="1"/>
        <v>Kellan, the Fae-Blooded // Birthright Boon</v>
      </c>
      <c r="EU234" t="str">
        <f ca="1"/>
        <v>Red XIII, Proud Warrior</v>
      </c>
      <c r="EX234" t="str">
        <f ca="1"/>
        <v>Kellan, the Fae-Blooded // Birthright Boon</v>
      </c>
    </row>
    <row r="235" spans="1:154" x14ac:dyDescent="0.25">
      <c r="A235" s="2" t="str">
        <f t="shared" ca="1" si="12"/>
        <v>5</v>
      </c>
      <c r="B235" s="2">
        <f t="shared" ca="1" si="13"/>
        <v>1</v>
      </c>
      <c r="C235" s="2" t="str">
        <f ca="1">IFERROR(
 INDEX($V$1:$BL$1,
  MATCH(TRUE,
   CHOOSE({1;2;3;4;5;6;7;8;9;10;11;12;13;14;15;16;17;18;19;20;21;22;23;24;25;26;27;28;29;30;31;32;33;34;35;36;37;38;39;40;41;42;43},
    COUNTIFS($V$2:$V$200,$G235)&gt;0,
    COUNTIFS($W$2:$W$200,$G235)&gt;0,
    COUNTIFS($X$2:$X$200,$G235)&gt;0,
    COUNTIFS($Y$2:$Y$200,$G235)&gt;0,
    COUNTIFS($Z$2:$Z$200,$G235)&gt;0,
    COUNTIFS($AA$2:$AA$200,$G235)&gt;0,
    COUNTIFS($AB$2:$AB$200,$G235)&gt;0,
    COUNTIFS($AC$2:$AC$200,$G235)&gt;0,
    COUNTIFS($AD$2:$AD$200,$G235)&gt;0,
    COUNTIFS($AE$2:$AE$200,$G235)&gt;0,
    COUNTIFS($AF$2:$AF$200,$G235)&gt;0,
    COUNTIFS($AG$2:$AG$200,$G235)&gt;0,
    COUNTIFS($AH$2:$AH$200,$G235)&gt;0,
    COUNTIFS($AI$2:$AI$200,$G235)&gt;0,
    COUNTIFS($AJ$2:$AJ$200,$G235)&gt;0,
    COUNTIFS($AK$2:$AK$200,$G235)&gt;0,
    COUNTIFS($AL$2:$AL$200,$G235)&gt;0,
    COUNTIFS($AM$2:$AM$200,$G235)&gt;0,
    COUNTIFS($AN$2:$AN$200,$G235)&gt;0,
    COUNTIFS($AO$2:$AO$200,$G235)&gt;0,
    COUNTIFS($AP$2:$AP$200,$G235)&gt;0,
    COUNTIFS($AQ$2:$AQ$200,$G235)&gt;0,
    COUNTIFS($AR$2:$AR$200,$G235)&gt;0,
    COUNTIFS($AS$2:$AS$200,$G235)&gt;0,
    COUNTIFS($AT$2:$AT$200,$G235)&gt;0,
    COUNTIFS($AU$2:$AU$200,$G235)&gt;0,
    COUNTIFS($AV$2:$AV$200,$G235)&gt;0,
    COUNTIFS($AW$2:$AW$200,$G235)&gt;0,
    COUNTIFS($AX$2:$AX$200,$G235)&gt;0,
    COUNTIFS($AY$2:$AY$200,$G235)&gt;0,
    COUNTIFS($AZ$2:$AZ$200,$G235)&gt;0,
    COUNTIFS($BA$2:$BA$200,$G235)&gt;0,
    COUNTIFS($BB$2:$BB$200,$G235)&gt;0,
    COUNTIFS($BC$2:$BC$200,$G235)&gt;0,
    COUNTIFS($BD$2:$BD$200,$G235)&gt;0,
    COUNTIFS($BE$2:$BE$200,$G235)&gt;0,
    COUNTIFS($BF$2:$BF$200,$G235)&gt;0,
    COUNTIFS($BG$2:$BG$200,$G235)&gt;0,
    COUNTIFS($BH$2:$BH$200,$G235)&gt;0,
    COUNTIFS($BI$2:$BI$200,$G235)&gt;0,
    COUNTIFS($BJ$2:$BJ$200,$G235)&gt;0,
    COUNTIFS($BK$2:$BK$200,$G235)&gt;0,
    COUNTIFS($BL$2:$BL$200,$G235)&gt;0,
    COUNTIFS($BM$2:$BM$200,$G235)&gt;0,
   ),
  0)
 ),
"")</f>
        <v>4cRash</v>
      </c>
      <c r="D235" s="2" t="str" cm="1">
        <f t="array" aca="1" ref="D235" ca="1">IFERROR(
 INDEX(
  _xlfn._xlws.FILTER($V$1:$AY$1,
   TRANSPOSE(
    CHOOSE({1;2;3;4;5;6;7;8;9;10;11;12;13;14;15;16;17;18;19;20;21;22;23;24;25;26;27;28;29;30},
     COUNTIFS($V$2:$V$200,$G235)&gt;0,
     COUNTIFS($W$2:$W$200,$G235)&gt;0,
     COUNTIFS($X$2:$X$200,$G235)&gt;0,
     COUNTIFS($Y$2:$Y$200,$G235)&gt;0,
     COUNTIFS($Z$2:$Z$200,$G235)&gt;0,
     COUNTIFS($AA$2:$AA$200,$G235)&gt;0,
     COUNTIFS($AB$2:$AB$200,$G235)&gt;0,
     COUNTIFS($AC$2:$AC$200,$G235)&gt;0,
     COUNTIFS($AD$2:$AD$200,$G235)&gt;0,
     COUNTIFS($AE$2:$AE$200,$G235)&gt;0,
     COUNTIFS($AF$2:$AF$200,$G235)&gt;0,
     COUNTIFS($AG$2:$AG$200,$G235)&gt;0,
     COUNTIFS($AH$2:$AH$200,$G235)&gt;0,
     COUNTIFS($AI$2:$AI$200,$G235)&gt;0,
     COUNTIFS($AJ$2:$AJ$200,$G235)&gt;0,
     COUNTIFS($AK$2:$AK$200,$G235)&gt;0,
     COUNTIFS($AL$2:$AL$200,$G235)&gt;0,
     COUNTIFS($AM$2:$AM$200,$G235)&gt;0,
     COUNTIFS($AN$2:$AN$200,$G235)&gt;0,
     COUNTIFS($AO$2:$AO$200,$G235)&gt;0,
     COUNTIFS($AP$2:$AP$200,$G235)&gt;0,
     COUNTIFS($AQ$2:$AQ$200,$G235)&gt;0,
     COUNTIFS($AR$2:$AR$200,$G235)&gt;0,
     COUNTIFS($AS$2:$AS$200,$G235)&gt;0,
     COUNTIFS($AT$2:$AT$200,$G235)&gt;0,
     COUNTIFS($AU$2:$AU$200,$G235)&gt;0,
     COUNTIFS($AV$2:$AV$200,$G235)&gt;0,
     COUNTIFS($AW$2:$AW$200,$G235)&gt;0,
     COUNTIFS($AX$2:$AX$200,$G235)&gt;0,
     COUNTIFS($AY$2:$AY$200,$G235)&gt;0
   )),
  ),
  2
 ),
"")</f>
        <v/>
      </c>
      <c r="E235" s="2" t="str" cm="1">
        <f t="array" aca="1" ref="E235" ca="1">IFERROR(
 INDEX(
  _xlfn._xlws.FILTER($V$1:$AY$1,
   TRANSPOSE(
    CHOOSE({1;2;3;4;5;6;7;8;9;10;11;12;13;14;15;16;17;18;19;20;21;22;23;24;25;26;27;28;29;30},
     COUNTIFS($V$2:$V$200,$G235)&gt;0,
     COUNTIFS($W$2:$W$200,$G235)&gt;0,
     COUNTIFS($X$2:$X$200,$G235)&gt;0,
     COUNTIFS($Y$2:$Y$200,$G235)&gt;0,
     COUNTIFS($Z$2:$Z$200,$G235)&gt;0,
     COUNTIFS($AA$2:$AA$200,$G235)&gt;0,
     COUNTIFS($AB$2:$AB$200,$G235)&gt;0,
     COUNTIFS($AC$2:$AC$200,$G235)&gt;0,
     COUNTIFS($AD$2:$AD$200,$G235)&gt;0,
     COUNTIFS($AE$2:$AE$200,$G235)&gt;0,
     COUNTIFS($AF$2:$AF$200,$G235)&gt;0,
     COUNTIFS($AG$2:$AG$200,$G235)&gt;0,
     COUNTIFS($AH$2:$AH$200,$G235)&gt;0,
     COUNTIFS($AI$2:$AI$200,$G235)&gt;0,
     COUNTIFS($AJ$2:$AJ$200,$G235)&gt;0,
     COUNTIFS($AK$2:$AK$200,$G235)&gt;0,
     COUNTIFS($AL$2:$AL$200,$G235)&gt;0,
     COUNTIFS($AM$2:$AM$200,$G235)&gt;0,
     COUNTIFS($AN$2:$AN$200,$G235)&gt;0,
     COUNTIFS($AO$2:$AO$200,$G235)&gt;0,
     COUNTIFS($AP$2:$AP$200,$G235)&gt;0,
     COUNTIFS($AQ$2:$AQ$200,$G235)&gt;0,
     COUNTIFS($AR$2:$AR$200,$G235)&gt;0,
     COUNTIFS($AS$2:$AS$200,$G235)&gt;0,
     COUNTIFS($AT$2:$AT$200,$G235)&gt;0,
     COUNTIFS($AU$2:$AU$200,$G235)&gt;0,
     COUNTIFS($AV$2:$AV$200,$G235)&gt;0,
     COUNTIFS($AW$2:$AW$200,$G235)&gt;0,
     COUNTIFS($AX$2:$AX$200,$G235)&gt;0,
     COUNTIFS($AY$2:$AY$200,$G235)&gt;0
   )),
  ),
  3
 ),
"")</f>
        <v/>
      </c>
      <c r="F235" s="2" t="str" cm="1">
        <f t="array" aca="1" ref="F235" ca="1">IFERROR(
 INDEX(
  _xlfn._xlws.FILTER($V$1:$AY$1,
   TRANSPOSE(
    CHOOSE({1;2;3;4;5;6;7;8;9;10;11;12;13;14;15;16;17;18;19;20;21;22;23;24;25;26;27;28;29;30},
     COUNTIFS($V$2:$V$200,$G235)&gt;0,
     COUNTIFS($W$2:$W$200,$G235)&gt;0,
     COUNTIFS($X$2:$X$200,$G235)&gt;0,
     COUNTIFS($Y$2:$Y$200,$G235)&gt;0,
     COUNTIFS($Z$2:$Z$200,$G235)&gt;0,
     COUNTIFS($AA$2:$AA$200,$G235)&gt;0,
     COUNTIFS($AB$2:$AB$200,$G235)&gt;0,
     COUNTIFS($AC$2:$AC$200,$G235)&gt;0,
     COUNTIFS($AD$2:$AD$200,$G235)&gt;0,
     COUNTIFS($AE$2:$AE$200,$G235)&gt;0,
     COUNTIFS($AF$2:$AF$200,$G235)&gt;0,
     COUNTIFS($AG$2:$AG$200,$G235)&gt;0,
     COUNTIFS($AH$2:$AH$200,$G235)&gt;0,
     COUNTIFS($AI$2:$AI$200,$G235)&gt;0,
     COUNTIFS($AJ$2:$AJ$200,$G235)&gt;0,
     COUNTIFS($AK$2:$AK$200,$G235)&gt;0,
     COUNTIFS($AL$2:$AL$200,$G235)&gt;0,
     COUNTIFS($AM$2:$AM$200,$G235)&gt;0,
     COUNTIFS($AN$2:$AN$200,$G235)&gt;0,
     COUNTIFS($AO$2:$AO$200,$G235)&gt;0,
     COUNTIFS($AP$2:$AP$200,$G235)&gt;0,
     COUNTIFS($AQ$2:$AQ$200,$G235)&gt;0,
     COUNTIFS($AR$2:$AR$200,$G235)&gt;0,
     COUNTIFS($AS$2:$AS$200,$G235)&gt;0,
     COUNTIFS($AT$2:$AT$200,$G235)&gt;0,
     COUNTIFS($AU$2:$AU$200,$G235)&gt;0,
     COUNTIFS($AV$2:$AV$200,$G235)&gt;0,
     COUNTIFS($AW$2:$AW$200,$G235)&gt;0,
     COUNTIFS($AX$2:$AX$200,$G235)&gt;0,
     COUNTIFS($AY$2:$AY$200,$G235)&gt;0
   )),
  ),
  4
 ),
"")</f>
        <v/>
      </c>
      <c r="G235" t="str">
        <f ca="1"/>
        <v>Kess, Dissident Mage</v>
      </c>
      <c r="EU235" t="str">
        <f ca="1"/>
        <v>Reflecting Pool</v>
      </c>
      <c r="EX235" t="str">
        <f ca="1"/>
        <v>Kess, Dissident Mage</v>
      </c>
    </row>
    <row r="236" spans="1:154" x14ac:dyDescent="0.25">
      <c r="A236" s="2" t="str">
        <f t="shared" ca="1" si="12"/>
        <v>5</v>
      </c>
      <c r="B236" s="2">
        <f t="shared" ca="1" si="13"/>
        <v>1</v>
      </c>
      <c r="C236" s="2" t="str">
        <f ca="1">IFERROR(
 INDEX($V$1:$BL$1,
  MATCH(TRUE,
   CHOOSE({1;2;3;4;5;6;7;8;9;10;11;12;13;14;15;16;17;18;19;20;21;22;23;24;25;26;27;28;29;30;31;32;33;34;35;36;37;38;39;40;41;42;43},
    COUNTIFS($V$2:$V$200,$G236)&gt;0,
    COUNTIFS($W$2:$W$200,$G236)&gt;0,
    COUNTIFS($X$2:$X$200,$G236)&gt;0,
    COUNTIFS($Y$2:$Y$200,$G236)&gt;0,
    COUNTIFS($Z$2:$Z$200,$G236)&gt;0,
    COUNTIFS($AA$2:$AA$200,$G236)&gt;0,
    COUNTIFS($AB$2:$AB$200,$G236)&gt;0,
    COUNTIFS($AC$2:$AC$200,$G236)&gt;0,
    COUNTIFS($AD$2:$AD$200,$G236)&gt;0,
    COUNTIFS($AE$2:$AE$200,$G236)&gt;0,
    COUNTIFS($AF$2:$AF$200,$G236)&gt;0,
    COUNTIFS($AG$2:$AG$200,$G236)&gt;0,
    COUNTIFS($AH$2:$AH$200,$G236)&gt;0,
    COUNTIFS($AI$2:$AI$200,$G236)&gt;0,
    COUNTIFS($AJ$2:$AJ$200,$G236)&gt;0,
    COUNTIFS($AK$2:$AK$200,$G236)&gt;0,
    COUNTIFS($AL$2:$AL$200,$G236)&gt;0,
    COUNTIFS($AM$2:$AM$200,$G236)&gt;0,
    COUNTIFS($AN$2:$AN$200,$G236)&gt;0,
    COUNTIFS($AO$2:$AO$200,$G236)&gt;0,
    COUNTIFS($AP$2:$AP$200,$G236)&gt;0,
    COUNTIFS($AQ$2:$AQ$200,$G236)&gt;0,
    COUNTIFS($AR$2:$AR$200,$G236)&gt;0,
    COUNTIFS($AS$2:$AS$200,$G236)&gt;0,
    COUNTIFS($AT$2:$AT$200,$G236)&gt;0,
    COUNTIFS($AU$2:$AU$200,$G236)&gt;0,
    COUNTIFS($AV$2:$AV$200,$G236)&gt;0,
    COUNTIFS($AW$2:$AW$200,$G236)&gt;0,
    COUNTIFS($AX$2:$AX$200,$G236)&gt;0,
    COUNTIFS($AY$2:$AY$200,$G236)&gt;0,
    COUNTIFS($AZ$2:$AZ$200,$G236)&gt;0,
    COUNTIFS($BA$2:$BA$200,$G236)&gt;0,
    COUNTIFS($BB$2:$BB$200,$G236)&gt;0,
    COUNTIFS($BC$2:$BC$200,$G236)&gt;0,
    COUNTIFS($BD$2:$BD$200,$G236)&gt;0,
    COUNTIFS($BE$2:$BE$200,$G236)&gt;0,
    COUNTIFS($BF$2:$BF$200,$G236)&gt;0,
    COUNTIFS($BG$2:$BG$200,$G236)&gt;0,
    COUNTIFS($BH$2:$BH$200,$G236)&gt;0,
    COUNTIFS($BI$2:$BI$200,$G236)&gt;0,
    COUNTIFS($BJ$2:$BJ$200,$G236)&gt;0,
    COUNTIFS($BK$2:$BK$200,$G236)&gt;0,
    COUNTIFS($BL$2:$BL$200,$G236)&gt;0,
    COUNTIFS($BM$2:$BM$200,$G236)&gt;0,
   ),
  0)
 ),
"")</f>
        <v>Fractius</v>
      </c>
      <c r="D236" s="2" t="str" cm="1">
        <f t="array" aca="1" ref="D236" ca="1">IFERROR(
 INDEX(
  _xlfn._xlws.FILTER($V$1:$AY$1,
   TRANSPOSE(
    CHOOSE({1;2;3;4;5;6;7;8;9;10;11;12;13;14;15;16;17;18;19;20;21;22;23;24;25;26;27;28;29;30},
     COUNTIFS($V$2:$V$200,$G236)&gt;0,
     COUNTIFS($W$2:$W$200,$G236)&gt;0,
     COUNTIFS($X$2:$X$200,$G236)&gt;0,
     COUNTIFS($Y$2:$Y$200,$G236)&gt;0,
     COUNTIFS($Z$2:$Z$200,$G236)&gt;0,
     COUNTIFS($AA$2:$AA$200,$G236)&gt;0,
     COUNTIFS($AB$2:$AB$200,$G236)&gt;0,
     COUNTIFS($AC$2:$AC$200,$G236)&gt;0,
     COUNTIFS($AD$2:$AD$200,$G236)&gt;0,
     COUNTIFS($AE$2:$AE$200,$G236)&gt;0,
     COUNTIFS($AF$2:$AF$200,$G236)&gt;0,
     COUNTIFS($AG$2:$AG$200,$G236)&gt;0,
     COUNTIFS($AH$2:$AH$200,$G236)&gt;0,
     COUNTIFS($AI$2:$AI$200,$G236)&gt;0,
     COUNTIFS($AJ$2:$AJ$200,$G236)&gt;0,
     COUNTIFS($AK$2:$AK$200,$G236)&gt;0,
     COUNTIFS($AL$2:$AL$200,$G236)&gt;0,
     COUNTIFS($AM$2:$AM$200,$G236)&gt;0,
     COUNTIFS($AN$2:$AN$200,$G236)&gt;0,
     COUNTIFS($AO$2:$AO$200,$G236)&gt;0,
     COUNTIFS($AP$2:$AP$200,$G236)&gt;0,
     COUNTIFS($AQ$2:$AQ$200,$G236)&gt;0,
     COUNTIFS($AR$2:$AR$200,$G236)&gt;0,
     COUNTIFS($AS$2:$AS$200,$G236)&gt;0,
     COUNTIFS($AT$2:$AT$200,$G236)&gt;0,
     COUNTIFS($AU$2:$AU$200,$G236)&gt;0,
     COUNTIFS($AV$2:$AV$200,$G236)&gt;0,
     COUNTIFS($AW$2:$AW$200,$G236)&gt;0,
     COUNTIFS($AX$2:$AX$200,$G236)&gt;0,
     COUNTIFS($AY$2:$AY$200,$G236)&gt;0
   )),
  ),
  2
 ),
"")</f>
        <v/>
      </c>
      <c r="E236" s="2" t="str" cm="1">
        <f t="array" aca="1" ref="E236" ca="1">IFERROR(
 INDEX(
  _xlfn._xlws.FILTER($V$1:$AY$1,
   TRANSPOSE(
    CHOOSE({1;2;3;4;5;6;7;8;9;10;11;12;13;14;15;16;17;18;19;20;21;22;23;24;25;26;27;28;29;30},
     COUNTIFS($V$2:$V$200,$G236)&gt;0,
     COUNTIFS($W$2:$W$200,$G236)&gt;0,
     COUNTIFS($X$2:$X$200,$G236)&gt;0,
     COUNTIFS($Y$2:$Y$200,$G236)&gt;0,
     COUNTIFS($Z$2:$Z$200,$G236)&gt;0,
     COUNTIFS($AA$2:$AA$200,$G236)&gt;0,
     COUNTIFS($AB$2:$AB$200,$G236)&gt;0,
     COUNTIFS($AC$2:$AC$200,$G236)&gt;0,
     COUNTIFS($AD$2:$AD$200,$G236)&gt;0,
     COUNTIFS($AE$2:$AE$200,$G236)&gt;0,
     COUNTIFS($AF$2:$AF$200,$G236)&gt;0,
     COUNTIFS($AG$2:$AG$200,$G236)&gt;0,
     COUNTIFS($AH$2:$AH$200,$G236)&gt;0,
     COUNTIFS($AI$2:$AI$200,$G236)&gt;0,
     COUNTIFS($AJ$2:$AJ$200,$G236)&gt;0,
     COUNTIFS($AK$2:$AK$200,$G236)&gt;0,
     COUNTIFS($AL$2:$AL$200,$G236)&gt;0,
     COUNTIFS($AM$2:$AM$200,$G236)&gt;0,
     COUNTIFS($AN$2:$AN$200,$G236)&gt;0,
     COUNTIFS($AO$2:$AO$200,$G236)&gt;0,
     COUNTIFS($AP$2:$AP$200,$G236)&gt;0,
     COUNTIFS($AQ$2:$AQ$200,$G236)&gt;0,
     COUNTIFS($AR$2:$AR$200,$G236)&gt;0,
     COUNTIFS($AS$2:$AS$200,$G236)&gt;0,
     COUNTIFS($AT$2:$AT$200,$G236)&gt;0,
     COUNTIFS($AU$2:$AU$200,$G236)&gt;0,
     COUNTIFS($AV$2:$AV$200,$G236)&gt;0,
     COUNTIFS($AW$2:$AW$200,$G236)&gt;0,
     COUNTIFS($AX$2:$AX$200,$G236)&gt;0,
     COUNTIFS($AY$2:$AY$200,$G236)&gt;0
   )),
  ),
  3
 ),
"")</f>
        <v/>
      </c>
      <c r="F236" s="2" t="str" cm="1">
        <f t="array" aca="1" ref="F236" ca="1">IFERROR(
 INDEX(
  _xlfn._xlws.FILTER($V$1:$AY$1,
   TRANSPOSE(
    CHOOSE({1;2;3;4;5;6;7;8;9;10;11;12;13;14;15;16;17;18;19;20;21;22;23;24;25;26;27;28;29;30},
     COUNTIFS($V$2:$V$200,$G236)&gt;0,
     COUNTIFS($W$2:$W$200,$G236)&gt;0,
     COUNTIFS($X$2:$X$200,$G236)&gt;0,
     COUNTIFS($Y$2:$Y$200,$G236)&gt;0,
     COUNTIFS($Z$2:$Z$200,$G236)&gt;0,
     COUNTIFS($AA$2:$AA$200,$G236)&gt;0,
     COUNTIFS($AB$2:$AB$200,$G236)&gt;0,
     COUNTIFS($AC$2:$AC$200,$G236)&gt;0,
     COUNTIFS($AD$2:$AD$200,$G236)&gt;0,
     COUNTIFS($AE$2:$AE$200,$G236)&gt;0,
     COUNTIFS($AF$2:$AF$200,$G236)&gt;0,
     COUNTIFS($AG$2:$AG$200,$G236)&gt;0,
     COUNTIFS($AH$2:$AH$200,$G236)&gt;0,
     COUNTIFS($AI$2:$AI$200,$G236)&gt;0,
     COUNTIFS($AJ$2:$AJ$200,$G236)&gt;0,
     COUNTIFS($AK$2:$AK$200,$G236)&gt;0,
     COUNTIFS($AL$2:$AL$200,$G236)&gt;0,
     COUNTIFS($AM$2:$AM$200,$G236)&gt;0,
     COUNTIFS($AN$2:$AN$200,$G236)&gt;0,
     COUNTIFS($AO$2:$AO$200,$G236)&gt;0,
     COUNTIFS($AP$2:$AP$200,$G236)&gt;0,
     COUNTIFS($AQ$2:$AQ$200,$G236)&gt;0,
     COUNTIFS($AR$2:$AR$200,$G236)&gt;0,
     COUNTIFS($AS$2:$AS$200,$G236)&gt;0,
     COUNTIFS($AT$2:$AT$200,$G236)&gt;0,
     COUNTIFS($AU$2:$AU$200,$G236)&gt;0,
     COUNTIFS($AV$2:$AV$200,$G236)&gt;0,
     COUNTIFS($AW$2:$AW$200,$G236)&gt;0,
     COUNTIFS($AX$2:$AX$200,$G236)&gt;0,
     COUNTIFS($AY$2:$AY$200,$G236)&gt;0
   )),
  ),
  4
 ),
"")</f>
        <v/>
      </c>
      <c r="G236" t="str">
        <f ca="1"/>
        <v>Ketria Triome</v>
      </c>
      <c r="EU236" t="str">
        <f ca="1"/>
        <v>Reforge the Soul</v>
      </c>
      <c r="EX236" t="str">
        <f ca="1"/>
        <v>Ketria Triome</v>
      </c>
    </row>
    <row r="237" spans="1:154" x14ac:dyDescent="0.25">
      <c r="A237" s="2" t="str">
        <f t="shared" ca="1" si="12"/>
        <v>4</v>
      </c>
      <c r="B237" s="2">
        <f t="shared" ca="1" si="13"/>
        <v>1</v>
      </c>
      <c r="C237" s="2" t="str">
        <f ca="1">IFERROR(
 INDEX($V$1:$BL$1,
  MATCH(TRUE,
   CHOOSE({1;2;3;4;5;6;7;8;9;10;11;12;13;14;15;16;17;18;19;20;21;22;23;24;25;26;27;28;29;30;31;32;33;34;35;36;37;38;39;40;41;42;43},
    COUNTIFS($V$2:$V$200,$G237)&gt;0,
    COUNTIFS($W$2:$W$200,$G237)&gt;0,
    COUNTIFS($X$2:$X$200,$G237)&gt;0,
    COUNTIFS($Y$2:$Y$200,$G237)&gt;0,
    COUNTIFS($Z$2:$Z$200,$G237)&gt;0,
    COUNTIFS($AA$2:$AA$200,$G237)&gt;0,
    COUNTIFS($AB$2:$AB$200,$G237)&gt;0,
    COUNTIFS($AC$2:$AC$200,$G237)&gt;0,
    COUNTIFS($AD$2:$AD$200,$G237)&gt;0,
    COUNTIFS($AE$2:$AE$200,$G237)&gt;0,
    COUNTIFS($AF$2:$AF$200,$G237)&gt;0,
    COUNTIFS($AG$2:$AG$200,$G237)&gt;0,
    COUNTIFS($AH$2:$AH$200,$G237)&gt;0,
    COUNTIFS($AI$2:$AI$200,$G237)&gt;0,
    COUNTIFS($AJ$2:$AJ$200,$G237)&gt;0,
    COUNTIFS($AK$2:$AK$200,$G237)&gt;0,
    COUNTIFS($AL$2:$AL$200,$G237)&gt;0,
    COUNTIFS($AM$2:$AM$200,$G237)&gt;0,
    COUNTIFS($AN$2:$AN$200,$G237)&gt;0,
    COUNTIFS($AO$2:$AO$200,$G237)&gt;0,
    COUNTIFS($AP$2:$AP$200,$G237)&gt;0,
    COUNTIFS($AQ$2:$AQ$200,$G237)&gt;0,
    COUNTIFS($AR$2:$AR$200,$G237)&gt;0,
    COUNTIFS($AS$2:$AS$200,$G237)&gt;0,
    COUNTIFS($AT$2:$AT$200,$G237)&gt;0,
    COUNTIFS($AU$2:$AU$200,$G237)&gt;0,
    COUNTIFS($AV$2:$AV$200,$G237)&gt;0,
    COUNTIFS($AW$2:$AW$200,$G237)&gt;0,
    COUNTIFS($AX$2:$AX$200,$G237)&gt;0,
    COUNTIFS($AY$2:$AY$200,$G237)&gt;0,
    COUNTIFS($AZ$2:$AZ$200,$G237)&gt;0,
    COUNTIFS($BA$2:$BA$200,$G237)&gt;0,
    COUNTIFS($BB$2:$BB$200,$G237)&gt;0,
    COUNTIFS($BC$2:$BC$200,$G237)&gt;0,
    COUNTIFS($BD$2:$BD$200,$G237)&gt;0,
    COUNTIFS($BE$2:$BE$200,$G237)&gt;0,
    COUNTIFS($BF$2:$BF$200,$G237)&gt;0,
    COUNTIFS($BG$2:$BG$200,$G237)&gt;0,
    COUNTIFS($BH$2:$BH$200,$G237)&gt;0,
    COUNTIFS($BI$2:$BI$200,$G237)&gt;0,
    COUNTIFS($BJ$2:$BJ$200,$G237)&gt;0,
    COUNTIFS($BK$2:$BK$200,$G237)&gt;0,
    COUNTIFS($BL$2:$BL$200,$G237)&gt;0,
    COUNTIFS($BM$2:$BM$200,$G237)&gt;0,
   ),
  0)
 ),
"")</f>
        <v>Narset</v>
      </c>
      <c r="D237" s="2" t="str" cm="1">
        <f t="array" aca="1" ref="D237" ca="1">IFERROR(
 INDEX(
  _xlfn._xlws.FILTER($V$1:$AY$1,
   TRANSPOSE(
    CHOOSE({1;2;3;4;5;6;7;8;9;10;11;12;13;14;15;16;17;18;19;20;21;22;23;24;25;26;27;28;29;30},
     COUNTIFS($V$2:$V$200,$G237)&gt;0,
     COUNTIFS($W$2:$W$200,$G237)&gt;0,
     COUNTIFS($X$2:$X$200,$G237)&gt;0,
     COUNTIFS($Y$2:$Y$200,$G237)&gt;0,
     COUNTIFS($Z$2:$Z$200,$G237)&gt;0,
     COUNTIFS($AA$2:$AA$200,$G237)&gt;0,
     COUNTIFS($AB$2:$AB$200,$G237)&gt;0,
     COUNTIFS($AC$2:$AC$200,$G237)&gt;0,
     COUNTIFS($AD$2:$AD$200,$G237)&gt;0,
     COUNTIFS($AE$2:$AE$200,$G237)&gt;0,
     COUNTIFS($AF$2:$AF$200,$G237)&gt;0,
     COUNTIFS($AG$2:$AG$200,$G237)&gt;0,
     COUNTIFS($AH$2:$AH$200,$G237)&gt;0,
     COUNTIFS($AI$2:$AI$200,$G237)&gt;0,
     COUNTIFS($AJ$2:$AJ$200,$G237)&gt;0,
     COUNTIFS($AK$2:$AK$200,$G237)&gt;0,
     COUNTIFS($AL$2:$AL$200,$G237)&gt;0,
     COUNTIFS($AM$2:$AM$200,$G237)&gt;0,
     COUNTIFS($AN$2:$AN$200,$G237)&gt;0,
     COUNTIFS($AO$2:$AO$200,$G237)&gt;0,
     COUNTIFS($AP$2:$AP$200,$G237)&gt;0,
     COUNTIFS($AQ$2:$AQ$200,$G237)&gt;0,
     COUNTIFS($AR$2:$AR$200,$G237)&gt;0,
     COUNTIFS($AS$2:$AS$200,$G237)&gt;0,
     COUNTIFS($AT$2:$AT$200,$G237)&gt;0,
     COUNTIFS($AU$2:$AU$200,$G237)&gt;0,
     COUNTIFS($AV$2:$AV$200,$G237)&gt;0,
     COUNTIFS($AW$2:$AW$200,$G237)&gt;0,
     COUNTIFS($AX$2:$AX$200,$G237)&gt;0,
     COUNTIFS($AY$2:$AY$200,$G237)&gt;0
   )),
  ),
  2
 ),
"")</f>
        <v/>
      </c>
      <c r="E237" s="2" t="str" cm="1">
        <f t="array" aca="1" ref="E237" ca="1">IFERROR(
 INDEX(
  _xlfn._xlws.FILTER($V$1:$AY$1,
   TRANSPOSE(
    CHOOSE({1;2;3;4;5;6;7;8;9;10;11;12;13;14;15;16;17;18;19;20;21;22;23;24;25;26;27;28;29;30},
     COUNTIFS($V$2:$V$200,$G237)&gt;0,
     COUNTIFS($W$2:$W$200,$G237)&gt;0,
     COUNTIFS($X$2:$X$200,$G237)&gt;0,
     COUNTIFS($Y$2:$Y$200,$G237)&gt;0,
     COUNTIFS($Z$2:$Z$200,$G237)&gt;0,
     COUNTIFS($AA$2:$AA$200,$G237)&gt;0,
     COUNTIFS($AB$2:$AB$200,$G237)&gt;0,
     COUNTIFS($AC$2:$AC$200,$G237)&gt;0,
     COUNTIFS($AD$2:$AD$200,$G237)&gt;0,
     COUNTIFS($AE$2:$AE$200,$G237)&gt;0,
     COUNTIFS($AF$2:$AF$200,$G237)&gt;0,
     COUNTIFS($AG$2:$AG$200,$G237)&gt;0,
     COUNTIFS($AH$2:$AH$200,$G237)&gt;0,
     COUNTIFS($AI$2:$AI$200,$G237)&gt;0,
     COUNTIFS($AJ$2:$AJ$200,$G237)&gt;0,
     COUNTIFS($AK$2:$AK$200,$G237)&gt;0,
     COUNTIFS($AL$2:$AL$200,$G237)&gt;0,
     COUNTIFS($AM$2:$AM$200,$G237)&gt;0,
     COUNTIFS($AN$2:$AN$200,$G237)&gt;0,
     COUNTIFS($AO$2:$AO$200,$G237)&gt;0,
     COUNTIFS($AP$2:$AP$200,$G237)&gt;0,
     COUNTIFS($AQ$2:$AQ$200,$G237)&gt;0,
     COUNTIFS($AR$2:$AR$200,$G237)&gt;0,
     COUNTIFS($AS$2:$AS$200,$G237)&gt;0,
     COUNTIFS($AT$2:$AT$200,$G237)&gt;0,
     COUNTIFS($AU$2:$AU$200,$G237)&gt;0,
     COUNTIFS($AV$2:$AV$200,$G237)&gt;0,
     COUNTIFS($AW$2:$AW$200,$G237)&gt;0,
     COUNTIFS($AX$2:$AX$200,$G237)&gt;0,
     COUNTIFS($AY$2:$AY$200,$G237)&gt;0
   )),
  ),
  3
 ),
"")</f>
        <v/>
      </c>
      <c r="F237" s="2" t="str" cm="1">
        <f t="array" aca="1" ref="F237" ca="1">IFERROR(
 INDEX(
  _xlfn._xlws.FILTER($V$1:$AY$1,
   TRANSPOSE(
    CHOOSE({1;2;3;4;5;6;7;8;9;10;11;12;13;14;15;16;17;18;19;20;21;22;23;24;25;26;27;28;29;30},
     COUNTIFS($V$2:$V$200,$G237)&gt;0,
     COUNTIFS($W$2:$W$200,$G237)&gt;0,
     COUNTIFS($X$2:$X$200,$G237)&gt;0,
     COUNTIFS($Y$2:$Y$200,$G237)&gt;0,
     COUNTIFS($Z$2:$Z$200,$G237)&gt;0,
     COUNTIFS($AA$2:$AA$200,$G237)&gt;0,
     COUNTIFS($AB$2:$AB$200,$G237)&gt;0,
     COUNTIFS($AC$2:$AC$200,$G237)&gt;0,
     COUNTIFS($AD$2:$AD$200,$G237)&gt;0,
     COUNTIFS($AE$2:$AE$200,$G237)&gt;0,
     COUNTIFS($AF$2:$AF$200,$G237)&gt;0,
     COUNTIFS($AG$2:$AG$200,$G237)&gt;0,
     COUNTIFS($AH$2:$AH$200,$G237)&gt;0,
     COUNTIFS($AI$2:$AI$200,$G237)&gt;0,
     COUNTIFS($AJ$2:$AJ$200,$G237)&gt;0,
     COUNTIFS($AK$2:$AK$200,$G237)&gt;0,
     COUNTIFS($AL$2:$AL$200,$G237)&gt;0,
     COUNTIFS($AM$2:$AM$200,$G237)&gt;0,
     COUNTIFS($AN$2:$AN$200,$G237)&gt;0,
     COUNTIFS($AO$2:$AO$200,$G237)&gt;0,
     COUNTIFS($AP$2:$AP$200,$G237)&gt;0,
     COUNTIFS($AQ$2:$AQ$200,$G237)&gt;0,
     COUNTIFS($AR$2:$AR$200,$G237)&gt;0,
     COUNTIFS($AS$2:$AS$200,$G237)&gt;0,
     COUNTIFS($AT$2:$AT$200,$G237)&gt;0,
     COUNTIFS($AU$2:$AU$200,$G237)&gt;0,
     COUNTIFS($AV$2:$AV$200,$G237)&gt;0,
     COUNTIFS($AW$2:$AW$200,$G237)&gt;0,
     COUNTIFS($AX$2:$AX$200,$G237)&gt;0,
     COUNTIFS($AY$2:$AY$200,$G237)&gt;0
   )),
  ),
  4
 ),
"")</f>
        <v/>
      </c>
      <c r="G237" t="str">
        <f ca="1"/>
        <v>Khorvath's Fury</v>
      </c>
      <c r="EU237" t="str">
        <f ca="1"/>
        <v>Regal Sliver</v>
      </c>
      <c r="EX237" t="str">
        <f ca="1"/>
        <v>Khorvath's Fury</v>
      </c>
    </row>
    <row r="238" spans="1:154" x14ac:dyDescent="0.25">
      <c r="A238" s="2" t="str">
        <f t="shared" ca="1" si="12"/>
        <v>1</v>
      </c>
      <c r="B238" s="2">
        <f t="shared" ca="1" si="13"/>
        <v>1</v>
      </c>
      <c r="C238" s="2" t="str">
        <f ca="1">IFERROR(
 INDEX($V$1:$BL$1,
  MATCH(TRUE,
   CHOOSE({1;2;3;4;5;6;7;8;9;10;11;12;13;14;15;16;17;18;19;20;21;22;23;24;25;26;27;28;29;30;31;32;33;34;35;36;37;38;39;40;41;42;43},
    COUNTIFS($V$2:$V$200,$G238)&gt;0,
    COUNTIFS($W$2:$W$200,$G238)&gt;0,
    COUNTIFS($X$2:$X$200,$G238)&gt;0,
    COUNTIFS($Y$2:$Y$200,$G238)&gt;0,
    COUNTIFS($Z$2:$Z$200,$G238)&gt;0,
    COUNTIFS($AA$2:$AA$200,$G238)&gt;0,
    COUNTIFS($AB$2:$AB$200,$G238)&gt;0,
    COUNTIFS($AC$2:$AC$200,$G238)&gt;0,
    COUNTIFS($AD$2:$AD$200,$G238)&gt;0,
    COUNTIFS($AE$2:$AE$200,$G238)&gt;0,
    COUNTIFS($AF$2:$AF$200,$G238)&gt;0,
    COUNTIFS($AG$2:$AG$200,$G238)&gt;0,
    COUNTIFS($AH$2:$AH$200,$G238)&gt;0,
    COUNTIFS($AI$2:$AI$200,$G238)&gt;0,
    COUNTIFS($AJ$2:$AJ$200,$G238)&gt;0,
    COUNTIFS($AK$2:$AK$200,$G238)&gt;0,
    COUNTIFS($AL$2:$AL$200,$G238)&gt;0,
    COUNTIFS($AM$2:$AM$200,$G238)&gt;0,
    COUNTIFS($AN$2:$AN$200,$G238)&gt;0,
    COUNTIFS($AO$2:$AO$200,$G238)&gt;0,
    COUNTIFS($AP$2:$AP$200,$G238)&gt;0,
    COUNTIFS($AQ$2:$AQ$200,$G238)&gt;0,
    COUNTIFS($AR$2:$AR$200,$G238)&gt;0,
    COUNTIFS($AS$2:$AS$200,$G238)&gt;0,
    COUNTIFS($AT$2:$AT$200,$G238)&gt;0,
    COUNTIFS($AU$2:$AU$200,$G238)&gt;0,
    COUNTIFS($AV$2:$AV$200,$G238)&gt;0,
    COUNTIFS($AW$2:$AW$200,$G238)&gt;0,
    COUNTIFS($AX$2:$AX$200,$G238)&gt;0,
    COUNTIFS($AY$2:$AY$200,$G238)&gt;0,
    COUNTIFS($AZ$2:$AZ$200,$G238)&gt;0,
    COUNTIFS($BA$2:$BA$200,$G238)&gt;0,
    COUNTIFS($BB$2:$BB$200,$G238)&gt;0,
    COUNTIFS($BC$2:$BC$200,$G238)&gt;0,
    COUNTIFS($BD$2:$BD$200,$G238)&gt;0,
    COUNTIFS($BE$2:$BE$200,$G238)&gt;0,
    COUNTIFS($BF$2:$BF$200,$G238)&gt;0,
    COUNTIFS($BG$2:$BG$200,$G238)&gt;0,
    COUNTIFS($BH$2:$BH$200,$G238)&gt;0,
    COUNTIFS($BI$2:$BI$200,$G238)&gt;0,
    COUNTIFS($BJ$2:$BJ$200,$G238)&gt;0,
    COUNTIFS($BK$2:$BK$200,$G238)&gt;0,
    COUNTIFS($BL$2:$BL$200,$G238)&gt;0,
    COUNTIFS($BM$2:$BM$200,$G238)&gt;0,
   ),
  0)
 ),
"")</f>
        <v>Thrakiri</v>
      </c>
      <c r="D238" s="2" t="str" cm="1">
        <f t="array" aca="1" ref="D238" ca="1">IFERROR(
 INDEX(
  _xlfn._xlws.FILTER($V$1:$AY$1,
   TRANSPOSE(
    CHOOSE({1;2;3;4;5;6;7;8;9;10;11;12;13;14;15;16;17;18;19;20;21;22;23;24;25;26;27;28;29;30},
     COUNTIFS($V$2:$V$200,$G238)&gt;0,
     COUNTIFS($W$2:$W$200,$G238)&gt;0,
     COUNTIFS($X$2:$X$200,$G238)&gt;0,
     COUNTIFS($Y$2:$Y$200,$G238)&gt;0,
     COUNTIFS($Z$2:$Z$200,$G238)&gt;0,
     COUNTIFS($AA$2:$AA$200,$G238)&gt;0,
     COUNTIFS($AB$2:$AB$200,$G238)&gt;0,
     COUNTIFS($AC$2:$AC$200,$G238)&gt;0,
     COUNTIFS($AD$2:$AD$200,$G238)&gt;0,
     COUNTIFS($AE$2:$AE$200,$G238)&gt;0,
     COUNTIFS($AF$2:$AF$200,$G238)&gt;0,
     COUNTIFS($AG$2:$AG$200,$G238)&gt;0,
     COUNTIFS($AH$2:$AH$200,$G238)&gt;0,
     COUNTIFS($AI$2:$AI$200,$G238)&gt;0,
     COUNTIFS($AJ$2:$AJ$200,$G238)&gt;0,
     COUNTIFS($AK$2:$AK$200,$G238)&gt;0,
     COUNTIFS($AL$2:$AL$200,$G238)&gt;0,
     COUNTIFS($AM$2:$AM$200,$G238)&gt;0,
     COUNTIFS($AN$2:$AN$200,$G238)&gt;0,
     COUNTIFS($AO$2:$AO$200,$G238)&gt;0,
     COUNTIFS($AP$2:$AP$200,$G238)&gt;0,
     COUNTIFS($AQ$2:$AQ$200,$G238)&gt;0,
     COUNTIFS($AR$2:$AR$200,$G238)&gt;0,
     COUNTIFS($AS$2:$AS$200,$G238)&gt;0,
     COUNTIFS($AT$2:$AT$200,$G238)&gt;0,
     COUNTIFS($AU$2:$AU$200,$G238)&gt;0,
     COUNTIFS($AV$2:$AV$200,$G238)&gt;0,
     COUNTIFS($AW$2:$AW$200,$G238)&gt;0,
     COUNTIFS($AX$2:$AX$200,$G238)&gt;0,
     COUNTIFS($AY$2:$AY$200,$G238)&gt;0
   )),
  ),
  2
 ),
"")</f>
        <v/>
      </c>
      <c r="E238" s="2" t="str" cm="1">
        <f t="array" aca="1" ref="E238" ca="1">IFERROR(
 INDEX(
  _xlfn._xlws.FILTER($V$1:$AY$1,
   TRANSPOSE(
    CHOOSE({1;2;3;4;5;6;7;8;9;10;11;12;13;14;15;16;17;18;19;20;21;22;23;24;25;26;27;28;29;30},
     COUNTIFS($V$2:$V$200,$G238)&gt;0,
     COUNTIFS($W$2:$W$200,$G238)&gt;0,
     COUNTIFS($X$2:$X$200,$G238)&gt;0,
     COUNTIFS($Y$2:$Y$200,$G238)&gt;0,
     COUNTIFS($Z$2:$Z$200,$G238)&gt;0,
     COUNTIFS($AA$2:$AA$200,$G238)&gt;0,
     COUNTIFS($AB$2:$AB$200,$G238)&gt;0,
     COUNTIFS($AC$2:$AC$200,$G238)&gt;0,
     COUNTIFS($AD$2:$AD$200,$G238)&gt;0,
     COUNTIFS($AE$2:$AE$200,$G238)&gt;0,
     COUNTIFS($AF$2:$AF$200,$G238)&gt;0,
     COUNTIFS($AG$2:$AG$200,$G238)&gt;0,
     COUNTIFS($AH$2:$AH$200,$G238)&gt;0,
     COUNTIFS($AI$2:$AI$200,$G238)&gt;0,
     COUNTIFS($AJ$2:$AJ$200,$G238)&gt;0,
     COUNTIFS($AK$2:$AK$200,$G238)&gt;0,
     COUNTIFS($AL$2:$AL$200,$G238)&gt;0,
     COUNTIFS($AM$2:$AM$200,$G238)&gt;0,
     COUNTIFS($AN$2:$AN$200,$G238)&gt;0,
     COUNTIFS($AO$2:$AO$200,$G238)&gt;0,
     COUNTIFS($AP$2:$AP$200,$G238)&gt;0,
     COUNTIFS($AQ$2:$AQ$200,$G238)&gt;0,
     COUNTIFS($AR$2:$AR$200,$G238)&gt;0,
     COUNTIFS($AS$2:$AS$200,$G238)&gt;0,
     COUNTIFS($AT$2:$AT$200,$G238)&gt;0,
     COUNTIFS($AU$2:$AU$200,$G238)&gt;0,
     COUNTIFS($AV$2:$AV$200,$G238)&gt;0,
     COUNTIFS($AW$2:$AW$200,$G238)&gt;0,
     COUNTIFS($AX$2:$AX$200,$G238)&gt;0,
     COUNTIFS($AY$2:$AY$200,$G238)&gt;0
   )),
  ),
  3
 ),
"")</f>
        <v/>
      </c>
      <c r="F238" s="2" t="str" cm="1">
        <f t="array" aca="1" ref="F238" ca="1">IFERROR(
 INDEX(
  _xlfn._xlws.FILTER($V$1:$AY$1,
   TRANSPOSE(
    CHOOSE({1;2;3;4;5;6;7;8;9;10;11;12;13;14;15;16;17;18;19;20;21;22;23;24;25;26;27;28;29;30},
     COUNTIFS($V$2:$V$200,$G238)&gt;0,
     COUNTIFS($W$2:$W$200,$G238)&gt;0,
     COUNTIFS($X$2:$X$200,$G238)&gt;0,
     COUNTIFS($Y$2:$Y$200,$G238)&gt;0,
     COUNTIFS($Z$2:$Z$200,$G238)&gt;0,
     COUNTIFS($AA$2:$AA$200,$G238)&gt;0,
     COUNTIFS($AB$2:$AB$200,$G238)&gt;0,
     COUNTIFS($AC$2:$AC$200,$G238)&gt;0,
     COUNTIFS($AD$2:$AD$200,$G238)&gt;0,
     COUNTIFS($AE$2:$AE$200,$G238)&gt;0,
     COUNTIFS($AF$2:$AF$200,$G238)&gt;0,
     COUNTIFS($AG$2:$AG$200,$G238)&gt;0,
     COUNTIFS($AH$2:$AH$200,$G238)&gt;0,
     COUNTIFS($AI$2:$AI$200,$G238)&gt;0,
     COUNTIFS($AJ$2:$AJ$200,$G238)&gt;0,
     COUNTIFS($AK$2:$AK$200,$G238)&gt;0,
     COUNTIFS($AL$2:$AL$200,$G238)&gt;0,
     COUNTIFS($AM$2:$AM$200,$G238)&gt;0,
     COUNTIFS($AN$2:$AN$200,$G238)&gt;0,
     COUNTIFS($AO$2:$AO$200,$G238)&gt;0,
     COUNTIFS($AP$2:$AP$200,$G238)&gt;0,
     COUNTIFS($AQ$2:$AQ$200,$G238)&gt;0,
     COUNTIFS($AR$2:$AR$200,$G238)&gt;0,
     COUNTIFS($AS$2:$AS$200,$G238)&gt;0,
     COUNTIFS($AT$2:$AT$200,$G238)&gt;0,
     COUNTIFS($AU$2:$AU$200,$G238)&gt;0,
     COUNTIFS($AV$2:$AV$200,$G238)&gt;0,
     COUNTIFS($AW$2:$AW$200,$G238)&gt;0,
     COUNTIFS($AX$2:$AX$200,$G238)&gt;0,
     COUNTIFS($AY$2:$AY$200,$G238)&gt;0
   )),
  ),
  4
 ),
"")</f>
        <v/>
      </c>
      <c r="G238" t="str">
        <f ca="1"/>
        <v>Kinnan, Bonder Prodigy</v>
      </c>
      <c r="EU238" t="str">
        <f ca="1"/>
        <v>Reliquary Tower</v>
      </c>
      <c r="EX238" t="str">
        <f ca="1"/>
        <v>Kinnan, Bonder Prodigy</v>
      </c>
    </row>
    <row r="239" spans="1:154" x14ac:dyDescent="0.25">
      <c r="A239" s="2" t="str">
        <f t="shared" ca="1" si="12"/>
        <v>5</v>
      </c>
      <c r="B239" s="2">
        <f t="shared" ca="1" si="13"/>
        <v>1</v>
      </c>
      <c r="C239" s="2" t="str">
        <f ca="1">IFERROR(
 INDEX($V$1:$BL$1,
  MATCH(TRUE,
   CHOOSE({1;2;3;4;5;6;7;8;9;10;11;12;13;14;15;16;17;18;19;20;21;22;23;24;25;26;27;28;29;30;31;32;33;34;35;36;37;38;39;40;41;42;43},
    COUNTIFS($V$2:$V$200,$G239)&gt;0,
    COUNTIFS($W$2:$W$200,$G239)&gt;0,
    COUNTIFS($X$2:$X$200,$G239)&gt;0,
    COUNTIFS($Y$2:$Y$200,$G239)&gt;0,
    COUNTIFS($Z$2:$Z$200,$G239)&gt;0,
    COUNTIFS($AA$2:$AA$200,$G239)&gt;0,
    COUNTIFS($AB$2:$AB$200,$G239)&gt;0,
    COUNTIFS($AC$2:$AC$200,$G239)&gt;0,
    COUNTIFS($AD$2:$AD$200,$G239)&gt;0,
    COUNTIFS($AE$2:$AE$200,$G239)&gt;0,
    COUNTIFS($AF$2:$AF$200,$G239)&gt;0,
    COUNTIFS($AG$2:$AG$200,$G239)&gt;0,
    COUNTIFS($AH$2:$AH$200,$G239)&gt;0,
    COUNTIFS($AI$2:$AI$200,$G239)&gt;0,
    COUNTIFS($AJ$2:$AJ$200,$G239)&gt;0,
    COUNTIFS($AK$2:$AK$200,$G239)&gt;0,
    COUNTIFS($AL$2:$AL$200,$G239)&gt;0,
    COUNTIFS($AM$2:$AM$200,$G239)&gt;0,
    COUNTIFS($AN$2:$AN$200,$G239)&gt;0,
    COUNTIFS($AO$2:$AO$200,$G239)&gt;0,
    COUNTIFS($AP$2:$AP$200,$G239)&gt;0,
    COUNTIFS($AQ$2:$AQ$200,$G239)&gt;0,
    COUNTIFS($AR$2:$AR$200,$G239)&gt;0,
    COUNTIFS($AS$2:$AS$200,$G239)&gt;0,
    COUNTIFS($AT$2:$AT$200,$G239)&gt;0,
    COUNTIFS($AU$2:$AU$200,$G239)&gt;0,
    COUNTIFS($AV$2:$AV$200,$G239)&gt;0,
    COUNTIFS($AW$2:$AW$200,$G239)&gt;0,
    COUNTIFS($AX$2:$AX$200,$G239)&gt;0,
    COUNTIFS($AY$2:$AY$200,$G239)&gt;0,
    COUNTIFS($AZ$2:$AZ$200,$G239)&gt;0,
    COUNTIFS($BA$2:$BA$200,$G239)&gt;0,
    COUNTIFS($BB$2:$BB$200,$G239)&gt;0,
    COUNTIFS($BC$2:$BC$200,$G239)&gt;0,
    COUNTIFS($BD$2:$BD$200,$G239)&gt;0,
    COUNTIFS($BE$2:$BE$200,$G239)&gt;0,
    COUNTIFS($BF$2:$BF$200,$G239)&gt;0,
    COUNTIFS($BG$2:$BG$200,$G239)&gt;0,
    COUNTIFS($BH$2:$BH$200,$G239)&gt;0,
    COUNTIFS($BI$2:$BI$200,$G239)&gt;0,
    COUNTIFS($BJ$2:$BJ$200,$G239)&gt;0,
    COUNTIFS($BK$2:$BK$200,$G239)&gt;0,
    COUNTIFS($BL$2:$BL$200,$G239)&gt;0,
    COUNTIFS($BM$2:$BM$200,$G239)&gt;0,
   ),
  0)
 ),
"")</f>
        <v>Little</v>
      </c>
      <c r="D239" s="2" t="str" cm="1">
        <f t="array" aca="1" ref="D239" ca="1">IFERROR(
 INDEX(
  _xlfn._xlws.FILTER($V$1:$AY$1,
   TRANSPOSE(
    CHOOSE({1;2;3;4;5;6;7;8;9;10;11;12;13;14;15;16;17;18;19;20;21;22;23;24;25;26;27;28;29;30},
     COUNTIFS($V$2:$V$200,$G239)&gt;0,
     COUNTIFS($W$2:$W$200,$G239)&gt;0,
     COUNTIFS($X$2:$X$200,$G239)&gt;0,
     COUNTIFS($Y$2:$Y$200,$G239)&gt;0,
     COUNTIFS($Z$2:$Z$200,$G239)&gt;0,
     COUNTIFS($AA$2:$AA$200,$G239)&gt;0,
     COUNTIFS($AB$2:$AB$200,$G239)&gt;0,
     COUNTIFS($AC$2:$AC$200,$G239)&gt;0,
     COUNTIFS($AD$2:$AD$200,$G239)&gt;0,
     COUNTIFS($AE$2:$AE$200,$G239)&gt;0,
     COUNTIFS($AF$2:$AF$200,$G239)&gt;0,
     COUNTIFS($AG$2:$AG$200,$G239)&gt;0,
     COUNTIFS($AH$2:$AH$200,$G239)&gt;0,
     COUNTIFS($AI$2:$AI$200,$G239)&gt;0,
     COUNTIFS($AJ$2:$AJ$200,$G239)&gt;0,
     COUNTIFS($AK$2:$AK$200,$G239)&gt;0,
     COUNTIFS($AL$2:$AL$200,$G239)&gt;0,
     COUNTIFS($AM$2:$AM$200,$G239)&gt;0,
     COUNTIFS($AN$2:$AN$200,$G239)&gt;0,
     COUNTIFS($AO$2:$AO$200,$G239)&gt;0,
     COUNTIFS($AP$2:$AP$200,$G239)&gt;0,
     COUNTIFS($AQ$2:$AQ$200,$G239)&gt;0,
     COUNTIFS($AR$2:$AR$200,$G239)&gt;0,
     COUNTIFS($AS$2:$AS$200,$G239)&gt;0,
     COUNTIFS($AT$2:$AT$200,$G239)&gt;0,
     COUNTIFS($AU$2:$AU$200,$G239)&gt;0,
     COUNTIFS($AV$2:$AV$200,$G239)&gt;0,
     COUNTIFS($AW$2:$AW$200,$G239)&gt;0,
     COUNTIFS($AX$2:$AX$200,$G239)&gt;0,
     COUNTIFS($AY$2:$AY$200,$G239)&gt;0
   )),
  ),
  2
 ),
"")</f>
        <v/>
      </c>
      <c r="E239" s="2" t="str" cm="1">
        <f t="array" aca="1" ref="E239" ca="1">IFERROR(
 INDEX(
  _xlfn._xlws.FILTER($V$1:$AY$1,
   TRANSPOSE(
    CHOOSE({1;2;3;4;5;6;7;8;9;10;11;12;13;14;15;16;17;18;19;20;21;22;23;24;25;26;27;28;29;30},
     COUNTIFS($V$2:$V$200,$G239)&gt;0,
     COUNTIFS($W$2:$W$200,$G239)&gt;0,
     COUNTIFS($X$2:$X$200,$G239)&gt;0,
     COUNTIFS($Y$2:$Y$200,$G239)&gt;0,
     COUNTIFS($Z$2:$Z$200,$G239)&gt;0,
     COUNTIFS($AA$2:$AA$200,$G239)&gt;0,
     COUNTIFS($AB$2:$AB$200,$G239)&gt;0,
     COUNTIFS($AC$2:$AC$200,$G239)&gt;0,
     COUNTIFS($AD$2:$AD$200,$G239)&gt;0,
     COUNTIFS($AE$2:$AE$200,$G239)&gt;0,
     COUNTIFS($AF$2:$AF$200,$G239)&gt;0,
     COUNTIFS($AG$2:$AG$200,$G239)&gt;0,
     COUNTIFS($AH$2:$AH$200,$G239)&gt;0,
     COUNTIFS($AI$2:$AI$200,$G239)&gt;0,
     COUNTIFS($AJ$2:$AJ$200,$G239)&gt;0,
     COUNTIFS($AK$2:$AK$200,$G239)&gt;0,
     COUNTIFS($AL$2:$AL$200,$G239)&gt;0,
     COUNTIFS($AM$2:$AM$200,$G239)&gt;0,
     COUNTIFS($AN$2:$AN$200,$G239)&gt;0,
     COUNTIFS($AO$2:$AO$200,$G239)&gt;0,
     COUNTIFS($AP$2:$AP$200,$G239)&gt;0,
     COUNTIFS($AQ$2:$AQ$200,$G239)&gt;0,
     COUNTIFS($AR$2:$AR$200,$G239)&gt;0,
     COUNTIFS($AS$2:$AS$200,$G239)&gt;0,
     COUNTIFS($AT$2:$AT$200,$G239)&gt;0,
     COUNTIFS($AU$2:$AU$200,$G239)&gt;0,
     COUNTIFS($AV$2:$AV$200,$G239)&gt;0,
     COUNTIFS($AW$2:$AW$200,$G239)&gt;0,
     COUNTIFS($AX$2:$AX$200,$G239)&gt;0,
     COUNTIFS($AY$2:$AY$200,$G239)&gt;0
   )),
  ),
  3
 ),
"")</f>
        <v/>
      </c>
      <c r="F239" s="2" t="str" cm="1">
        <f t="array" aca="1" ref="F239" ca="1">IFERROR(
 INDEX(
  _xlfn._xlws.FILTER($V$1:$AY$1,
   TRANSPOSE(
    CHOOSE({1;2;3;4;5;6;7;8;9;10;11;12;13;14;15;16;17;18;19;20;21;22;23;24;25;26;27;28;29;30},
     COUNTIFS($V$2:$V$200,$G239)&gt;0,
     COUNTIFS($W$2:$W$200,$G239)&gt;0,
     COUNTIFS($X$2:$X$200,$G239)&gt;0,
     COUNTIFS($Y$2:$Y$200,$G239)&gt;0,
     COUNTIFS($Z$2:$Z$200,$G239)&gt;0,
     COUNTIFS($AA$2:$AA$200,$G239)&gt;0,
     COUNTIFS($AB$2:$AB$200,$G239)&gt;0,
     COUNTIFS($AC$2:$AC$200,$G239)&gt;0,
     COUNTIFS($AD$2:$AD$200,$G239)&gt;0,
     COUNTIFS($AE$2:$AE$200,$G239)&gt;0,
     COUNTIFS($AF$2:$AF$200,$G239)&gt;0,
     COUNTIFS($AG$2:$AG$200,$G239)&gt;0,
     COUNTIFS($AH$2:$AH$200,$G239)&gt;0,
     COUNTIFS($AI$2:$AI$200,$G239)&gt;0,
     COUNTIFS($AJ$2:$AJ$200,$G239)&gt;0,
     COUNTIFS($AK$2:$AK$200,$G239)&gt;0,
     COUNTIFS($AL$2:$AL$200,$G239)&gt;0,
     COUNTIFS($AM$2:$AM$200,$G239)&gt;0,
     COUNTIFS($AN$2:$AN$200,$G239)&gt;0,
     COUNTIFS($AO$2:$AO$200,$G239)&gt;0,
     COUNTIFS($AP$2:$AP$200,$G239)&gt;0,
     COUNTIFS($AQ$2:$AQ$200,$G239)&gt;0,
     COUNTIFS($AR$2:$AR$200,$G239)&gt;0,
     COUNTIFS($AS$2:$AS$200,$G239)&gt;0,
     COUNTIFS($AT$2:$AT$200,$G239)&gt;0,
     COUNTIFS($AU$2:$AU$200,$G239)&gt;0,
     COUNTIFS($AV$2:$AV$200,$G239)&gt;0,
     COUNTIFS($AW$2:$AW$200,$G239)&gt;0,
     COUNTIFS($AX$2:$AX$200,$G239)&gt;0,
     COUNTIFS($AY$2:$AY$200,$G239)&gt;0
   )),
  ),
  4
 ),
"")</f>
        <v/>
      </c>
      <c r="G239" t="str">
        <f ca="1"/>
        <v>Kinscaer Sentry</v>
      </c>
      <c r="EU239" t="str">
        <f ca="1"/>
        <v>Renewed Solidarity</v>
      </c>
      <c r="EX239" t="str">
        <f ca="1"/>
        <v>Kinscaer Sentry</v>
      </c>
    </row>
    <row r="240" spans="1:154" x14ac:dyDescent="0.25">
      <c r="A240" s="2" t="str">
        <f t="shared" ca="1" si="12"/>
        <v>3</v>
      </c>
      <c r="B240" s="2">
        <f t="shared" ca="1" si="13"/>
        <v>1</v>
      </c>
      <c r="C240" s="2" t="str">
        <f ca="1">IFERROR(
 INDEX($V$1:$BL$1,
  MATCH(TRUE,
   CHOOSE({1;2;3;4;5;6;7;8;9;10;11;12;13;14;15;16;17;18;19;20;21;22;23;24;25;26;27;28;29;30;31;32;33;34;35;36;37;38;39;40;41;42;43},
    COUNTIFS($V$2:$V$200,$G240)&gt;0,
    COUNTIFS($W$2:$W$200,$G240)&gt;0,
    COUNTIFS($X$2:$X$200,$G240)&gt;0,
    COUNTIFS($Y$2:$Y$200,$G240)&gt;0,
    COUNTIFS($Z$2:$Z$200,$G240)&gt;0,
    COUNTIFS($AA$2:$AA$200,$G240)&gt;0,
    COUNTIFS($AB$2:$AB$200,$G240)&gt;0,
    COUNTIFS($AC$2:$AC$200,$G240)&gt;0,
    COUNTIFS($AD$2:$AD$200,$G240)&gt;0,
    COUNTIFS($AE$2:$AE$200,$G240)&gt;0,
    COUNTIFS($AF$2:$AF$200,$G240)&gt;0,
    COUNTIFS($AG$2:$AG$200,$G240)&gt;0,
    COUNTIFS($AH$2:$AH$200,$G240)&gt;0,
    COUNTIFS($AI$2:$AI$200,$G240)&gt;0,
    COUNTIFS($AJ$2:$AJ$200,$G240)&gt;0,
    COUNTIFS($AK$2:$AK$200,$G240)&gt;0,
    COUNTIFS($AL$2:$AL$200,$G240)&gt;0,
    COUNTIFS($AM$2:$AM$200,$G240)&gt;0,
    COUNTIFS($AN$2:$AN$200,$G240)&gt;0,
    COUNTIFS($AO$2:$AO$200,$G240)&gt;0,
    COUNTIFS($AP$2:$AP$200,$G240)&gt;0,
    COUNTIFS($AQ$2:$AQ$200,$G240)&gt;0,
    COUNTIFS($AR$2:$AR$200,$G240)&gt;0,
    COUNTIFS($AS$2:$AS$200,$G240)&gt;0,
    COUNTIFS($AT$2:$AT$200,$G240)&gt;0,
    COUNTIFS($AU$2:$AU$200,$G240)&gt;0,
    COUNTIFS($AV$2:$AV$200,$G240)&gt;0,
    COUNTIFS($AW$2:$AW$200,$G240)&gt;0,
    COUNTIFS($AX$2:$AX$200,$G240)&gt;0,
    COUNTIFS($AY$2:$AY$200,$G240)&gt;0,
    COUNTIFS($AZ$2:$AZ$200,$G240)&gt;0,
    COUNTIFS($BA$2:$BA$200,$G240)&gt;0,
    COUNTIFS($BB$2:$BB$200,$G240)&gt;0,
    COUNTIFS($BC$2:$BC$200,$G240)&gt;0,
    COUNTIFS($BD$2:$BD$200,$G240)&gt;0,
    COUNTIFS($BE$2:$BE$200,$G240)&gt;0,
    COUNTIFS($BF$2:$BF$200,$G240)&gt;0,
    COUNTIFS($BG$2:$BG$200,$G240)&gt;0,
    COUNTIFS($BH$2:$BH$200,$G240)&gt;0,
    COUNTIFS($BI$2:$BI$200,$G240)&gt;0,
    COUNTIFS($BJ$2:$BJ$200,$G240)&gt;0,
    COUNTIFS($BK$2:$BK$200,$G240)&gt;0,
    COUNTIFS($BL$2:$BL$200,$G240)&gt;0,
    COUNTIFS($BM$2:$BM$200,$G240)&gt;0,
   ),
  0)
 ),
"")</f>
        <v>JhoiraB</v>
      </c>
      <c r="D240" s="2" t="str" cm="1">
        <f t="array" aca="1" ref="D240" ca="1">IFERROR(
 INDEX(
  _xlfn._xlws.FILTER($V$1:$AY$1,
   TRANSPOSE(
    CHOOSE({1;2;3;4;5;6;7;8;9;10;11;12;13;14;15;16;17;18;19;20;21;22;23;24;25;26;27;28;29;30},
     COUNTIFS($V$2:$V$200,$G240)&gt;0,
     COUNTIFS($W$2:$W$200,$G240)&gt;0,
     COUNTIFS($X$2:$X$200,$G240)&gt;0,
     COUNTIFS($Y$2:$Y$200,$G240)&gt;0,
     COUNTIFS($Z$2:$Z$200,$G240)&gt;0,
     COUNTIFS($AA$2:$AA$200,$G240)&gt;0,
     COUNTIFS($AB$2:$AB$200,$G240)&gt;0,
     COUNTIFS($AC$2:$AC$200,$G240)&gt;0,
     COUNTIFS($AD$2:$AD$200,$G240)&gt;0,
     COUNTIFS($AE$2:$AE$200,$G240)&gt;0,
     COUNTIFS($AF$2:$AF$200,$G240)&gt;0,
     COUNTIFS($AG$2:$AG$200,$G240)&gt;0,
     COUNTIFS($AH$2:$AH$200,$G240)&gt;0,
     COUNTIFS($AI$2:$AI$200,$G240)&gt;0,
     COUNTIFS($AJ$2:$AJ$200,$G240)&gt;0,
     COUNTIFS($AK$2:$AK$200,$G240)&gt;0,
     COUNTIFS($AL$2:$AL$200,$G240)&gt;0,
     COUNTIFS($AM$2:$AM$200,$G240)&gt;0,
     COUNTIFS($AN$2:$AN$200,$G240)&gt;0,
     COUNTIFS($AO$2:$AO$200,$G240)&gt;0,
     COUNTIFS($AP$2:$AP$200,$G240)&gt;0,
     COUNTIFS($AQ$2:$AQ$200,$G240)&gt;0,
     COUNTIFS($AR$2:$AR$200,$G240)&gt;0,
     COUNTIFS($AS$2:$AS$200,$G240)&gt;0,
     COUNTIFS($AT$2:$AT$200,$G240)&gt;0,
     COUNTIFS($AU$2:$AU$200,$G240)&gt;0,
     COUNTIFS($AV$2:$AV$200,$G240)&gt;0,
     COUNTIFS($AW$2:$AW$200,$G240)&gt;0,
     COUNTIFS($AX$2:$AX$200,$G240)&gt;0,
     COUNTIFS($AY$2:$AY$200,$G240)&gt;0
   )),
  ),
  2
 ),
"")</f>
        <v/>
      </c>
      <c r="E240" s="2" t="str" cm="1">
        <f t="array" aca="1" ref="E240" ca="1">IFERROR(
 INDEX(
  _xlfn._xlws.FILTER($V$1:$AY$1,
   TRANSPOSE(
    CHOOSE({1;2;3;4;5;6;7;8;9;10;11;12;13;14;15;16;17;18;19;20;21;22;23;24;25;26;27;28;29;30},
     COUNTIFS($V$2:$V$200,$G240)&gt;0,
     COUNTIFS($W$2:$W$200,$G240)&gt;0,
     COUNTIFS($X$2:$X$200,$G240)&gt;0,
     COUNTIFS($Y$2:$Y$200,$G240)&gt;0,
     COUNTIFS($Z$2:$Z$200,$G240)&gt;0,
     COUNTIFS($AA$2:$AA$200,$G240)&gt;0,
     COUNTIFS($AB$2:$AB$200,$G240)&gt;0,
     COUNTIFS($AC$2:$AC$200,$G240)&gt;0,
     COUNTIFS($AD$2:$AD$200,$G240)&gt;0,
     COUNTIFS($AE$2:$AE$200,$G240)&gt;0,
     COUNTIFS($AF$2:$AF$200,$G240)&gt;0,
     COUNTIFS($AG$2:$AG$200,$G240)&gt;0,
     COUNTIFS($AH$2:$AH$200,$G240)&gt;0,
     COUNTIFS($AI$2:$AI$200,$G240)&gt;0,
     COUNTIFS($AJ$2:$AJ$200,$G240)&gt;0,
     COUNTIFS($AK$2:$AK$200,$G240)&gt;0,
     COUNTIFS($AL$2:$AL$200,$G240)&gt;0,
     COUNTIFS($AM$2:$AM$200,$G240)&gt;0,
     COUNTIFS($AN$2:$AN$200,$G240)&gt;0,
     COUNTIFS($AO$2:$AO$200,$G240)&gt;0,
     COUNTIFS($AP$2:$AP$200,$G240)&gt;0,
     COUNTIFS($AQ$2:$AQ$200,$G240)&gt;0,
     COUNTIFS($AR$2:$AR$200,$G240)&gt;0,
     COUNTIFS($AS$2:$AS$200,$G240)&gt;0,
     COUNTIFS($AT$2:$AT$200,$G240)&gt;0,
     COUNTIFS($AU$2:$AU$200,$G240)&gt;0,
     COUNTIFS($AV$2:$AV$200,$G240)&gt;0,
     COUNTIFS($AW$2:$AW$200,$G240)&gt;0,
     COUNTIFS($AX$2:$AX$200,$G240)&gt;0,
     COUNTIFS($AY$2:$AY$200,$G240)&gt;0
   )),
  ),
  3
 ),
"")</f>
        <v/>
      </c>
      <c r="F240" s="2" t="str" cm="1">
        <f t="array" aca="1" ref="F240" ca="1">IFERROR(
 INDEX(
  _xlfn._xlws.FILTER($V$1:$AY$1,
   TRANSPOSE(
    CHOOSE({1;2;3;4;5;6;7;8;9;10;11;12;13;14;15;16;17;18;19;20;21;22;23;24;25;26;27;28;29;30},
     COUNTIFS($V$2:$V$200,$G240)&gt;0,
     COUNTIFS($W$2:$W$200,$G240)&gt;0,
     COUNTIFS($X$2:$X$200,$G240)&gt;0,
     COUNTIFS($Y$2:$Y$200,$G240)&gt;0,
     COUNTIFS($Z$2:$Z$200,$G240)&gt;0,
     COUNTIFS($AA$2:$AA$200,$G240)&gt;0,
     COUNTIFS($AB$2:$AB$200,$G240)&gt;0,
     COUNTIFS($AC$2:$AC$200,$G240)&gt;0,
     COUNTIFS($AD$2:$AD$200,$G240)&gt;0,
     COUNTIFS($AE$2:$AE$200,$G240)&gt;0,
     COUNTIFS($AF$2:$AF$200,$G240)&gt;0,
     COUNTIFS($AG$2:$AG$200,$G240)&gt;0,
     COUNTIFS($AH$2:$AH$200,$G240)&gt;0,
     COUNTIFS($AI$2:$AI$200,$G240)&gt;0,
     COUNTIFS($AJ$2:$AJ$200,$G240)&gt;0,
     COUNTIFS($AK$2:$AK$200,$G240)&gt;0,
     COUNTIFS($AL$2:$AL$200,$G240)&gt;0,
     COUNTIFS($AM$2:$AM$200,$G240)&gt;0,
     COUNTIFS($AN$2:$AN$200,$G240)&gt;0,
     COUNTIFS($AO$2:$AO$200,$G240)&gt;0,
     COUNTIFS($AP$2:$AP$200,$G240)&gt;0,
     COUNTIFS($AQ$2:$AQ$200,$G240)&gt;0,
     COUNTIFS($AR$2:$AR$200,$G240)&gt;0,
     COUNTIFS($AS$2:$AS$200,$G240)&gt;0,
     COUNTIFS($AT$2:$AT$200,$G240)&gt;0,
     COUNTIFS($AU$2:$AU$200,$G240)&gt;0,
     COUNTIFS($AV$2:$AV$200,$G240)&gt;0,
     COUNTIFS($AW$2:$AW$200,$G240)&gt;0,
     COUNTIFS($AX$2:$AX$200,$G240)&gt;0,
     COUNTIFS($AY$2:$AY$200,$G240)&gt;0
   )),
  ),
  4
 ),
"")</f>
        <v/>
      </c>
      <c r="G240" t="str">
        <f ca="1"/>
        <v>Kozilek, the Broken Reality</v>
      </c>
      <c r="EU240" t="str">
        <f ca="1"/>
        <v>Return from the Wilds</v>
      </c>
      <c r="EX240" t="str">
        <f ca="1"/>
        <v>Kozilek, the Broken Reality</v>
      </c>
    </row>
    <row r="241" spans="1:154" x14ac:dyDescent="0.25">
      <c r="A241" s="2" t="str">
        <f t="shared" ca="1" si="12"/>
        <v>5</v>
      </c>
      <c r="B241" s="2">
        <f t="shared" ca="1" si="13"/>
        <v>1</v>
      </c>
      <c r="C241" s="2" t="str">
        <f ca="1">IFERROR(
 INDEX($V$1:$BL$1,
  MATCH(TRUE,
   CHOOSE({1;2;3;4;5;6;7;8;9;10;11;12;13;14;15;16;17;18;19;20;21;22;23;24;25;26;27;28;29;30;31;32;33;34;35;36;37;38;39;40;41;42;43},
    COUNTIFS($V$2:$V$200,$G241)&gt;0,
    COUNTIFS($W$2:$W$200,$G241)&gt;0,
    COUNTIFS($X$2:$X$200,$G241)&gt;0,
    COUNTIFS($Y$2:$Y$200,$G241)&gt;0,
    COUNTIFS($Z$2:$Z$200,$G241)&gt;0,
    COUNTIFS($AA$2:$AA$200,$G241)&gt;0,
    COUNTIFS($AB$2:$AB$200,$G241)&gt;0,
    COUNTIFS($AC$2:$AC$200,$G241)&gt;0,
    COUNTIFS($AD$2:$AD$200,$G241)&gt;0,
    COUNTIFS($AE$2:$AE$200,$G241)&gt;0,
    COUNTIFS($AF$2:$AF$200,$G241)&gt;0,
    COUNTIFS($AG$2:$AG$200,$G241)&gt;0,
    COUNTIFS($AH$2:$AH$200,$G241)&gt;0,
    COUNTIFS($AI$2:$AI$200,$G241)&gt;0,
    COUNTIFS($AJ$2:$AJ$200,$G241)&gt;0,
    COUNTIFS($AK$2:$AK$200,$G241)&gt;0,
    COUNTIFS($AL$2:$AL$200,$G241)&gt;0,
    COUNTIFS($AM$2:$AM$200,$G241)&gt;0,
    COUNTIFS($AN$2:$AN$200,$G241)&gt;0,
    COUNTIFS($AO$2:$AO$200,$G241)&gt;0,
    COUNTIFS($AP$2:$AP$200,$G241)&gt;0,
    COUNTIFS($AQ$2:$AQ$200,$G241)&gt;0,
    COUNTIFS($AR$2:$AR$200,$G241)&gt;0,
    COUNTIFS($AS$2:$AS$200,$G241)&gt;0,
    COUNTIFS($AT$2:$AT$200,$G241)&gt;0,
    COUNTIFS($AU$2:$AU$200,$G241)&gt;0,
    COUNTIFS($AV$2:$AV$200,$G241)&gt;0,
    COUNTIFS($AW$2:$AW$200,$G241)&gt;0,
    COUNTIFS($AX$2:$AX$200,$G241)&gt;0,
    COUNTIFS($AY$2:$AY$200,$G241)&gt;0,
    COUNTIFS($AZ$2:$AZ$200,$G241)&gt;0,
    COUNTIFS($BA$2:$BA$200,$G241)&gt;0,
    COUNTIFS($BB$2:$BB$200,$G241)&gt;0,
    COUNTIFS($BC$2:$BC$200,$G241)&gt;0,
    COUNTIFS($BD$2:$BD$200,$G241)&gt;0,
    COUNTIFS($BE$2:$BE$200,$G241)&gt;0,
    COUNTIFS($BF$2:$BF$200,$G241)&gt;0,
    COUNTIFS($BG$2:$BG$200,$G241)&gt;0,
    COUNTIFS($BH$2:$BH$200,$G241)&gt;0,
    COUNTIFS($BI$2:$BI$200,$G241)&gt;0,
    COUNTIFS($BJ$2:$BJ$200,$G241)&gt;0,
    COUNTIFS($BK$2:$BK$200,$G241)&gt;0,
    COUNTIFS($BL$2:$BL$200,$G241)&gt;0,
    COUNTIFS($BM$2:$BM$200,$G241)&gt;0,
   ),
  0)
 ),
"")</f>
        <v>4cRash</v>
      </c>
      <c r="D241" s="2" t="str" cm="1">
        <f t="array" aca="1" ref="D241" ca="1">IFERROR(
 INDEX(
  _xlfn._xlws.FILTER($V$1:$AY$1,
   TRANSPOSE(
    CHOOSE({1;2;3;4;5;6;7;8;9;10;11;12;13;14;15;16;17;18;19;20;21;22;23;24;25;26;27;28;29;30},
     COUNTIFS($V$2:$V$200,$G241)&gt;0,
     COUNTIFS($W$2:$W$200,$G241)&gt;0,
     COUNTIFS($X$2:$X$200,$G241)&gt;0,
     COUNTIFS($Y$2:$Y$200,$G241)&gt;0,
     COUNTIFS($Z$2:$Z$200,$G241)&gt;0,
     COUNTIFS($AA$2:$AA$200,$G241)&gt;0,
     COUNTIFS($AB$2:$AB$200,$G241)&gt;0,
     COUNTIFS($AC$2:$AC$200,$G241)&gt;0,
     COUNTIFS($AD$2:$AD$200,$G241)&gt;0,
     COUNTIFS($AE$2:$AE$200,$G241)&gt;0,
     COUNTIFS($AF$2:$AF$200,$G241)&gt;0,
     COUNTIFS($AG$2:$AG$200,$G241)&gt;0,
     COUNTIFS($AH$2:$AH$200,$G241)&gt;0,
     COUNTIFS($AI$2:$AI$200,$G241)&gt;0,
     COUNTIFS($AJ$2:$AJ$200,$G241)&gt;0,
     COUNTIFS($AK$2:$AK$200,$G241)&gt;0,
     COUNTIFS($AL$2:$AL$200,$G241)&gt;0,
     COUNTIFS($AM$2:$AM$200,$G241)&gt;0,
     COUNTIFS($AN$2:$AN$200,$G241)&gt;0,
     COUNTIFS($AO$2:$AO$200,$G241)&gt;0,
     COUNTIFS($AP$2:$AP$200,$G241)&gt;0,
     COUNTIFS($AQ$2:$AQ$200,$G241)&gt;0,
     COUNTIFS($AR$2:$AR$200,$G241)&gt;0,
     COUNTIFS($AS$2:$AS$200,$G241)&gt;0,
     COUNTIFS($AT$2:$AT$200,$G241)&gt;0,
     COUNTIFS($AU$2:$AU$200,$G241)&gt;0,
     COUNTIFS($AV$2:$AV$200,$G241)&gt;0,
     COUNTIFS($AW$2:$AW$200,$G241)&gt;0,
     COUNTIFS($AX$2:$AX$200,$G241)&gt;0,
     COUNTIFS($AY$2:$AY$200,$G241)&gt;0
   )),
  ),
  2
 ),
"")</f>
        <v/>
      </c>
      <c r="E241" s="2" t="str" cm="1">
        <f t="array" aca="1" ref="E241" ca="1">IFERROR(
 INDEX(
  _xlfn._xlws.FILTER($V$1:$AY$1,
   TRANSPOSE(
    CHOOSE({1;2;3;4;5;6;7;8;9;10;11;12;13;14;15;16;17;18;19;20;21;22;23;24;25;26;27;28;29;30},
     COUNTIFS($V$2:$V$200,$G241)&gt;0,
     COUNTIFS($W$2:$W$200,$G241)&gt;0,
     COUNTIFS($X$2:$X$200,$G241)&gt;0,
     COUNTIFS($Y$2:$Y$200,$G241)&gt;0,
     COUNTIFS($Z$2:$Z$200,$G241)&gt;0,
     COUNTIFS($AA$2:$AA$200,$G241)&gt;0,
     COUNTIFS($AB$2:$AB$200,$G241)&gt;0,
     COUNTIFS($AC$2:$AC$200,$G241)&gt;0,
     COUNTIFS($AD$2:$AD$200,$G241)&gt;0,
     COUNTIFS($AE$2:$AE$200,$G241)&gt;0,
     COUNTIFS($AF$2:$AF$200,$G241)&gt;0,
     COUNTIFS($AG$2:$AG$200,$G241)&gt;0,
     COUNTIFS($AH$2:$AH$200,$G241)&gt;0,
     COUNTIFS($AI$2:$AI$200,$G241)&gt;0,
     COUNTIFS($AJ$2:$AJ$200,$G241)&gt;0,
     COUNTIFS($AK$2:$AK$200,$G241)&gt;0,
     COUNTIFS($AL$2:$AL$200,$G241)&gt;0,
     COUNTIFS($AM$2:$AM$200,$G241)&gt;0,
     COUNTIFS($AN$2:$AN$200,$G241)&gt;0,
     COUNTIFS($AO$2:$AO$200,$G241)&gt;0,
     COUNTIFS($AP$2:$AP$200,$G241)&gt;0,
     COUNTIFS($AQ$2:$AQ$200,$G241)&gt;0,
     COUNTIFS($AR$2:$AR$200,$G241)&gt;0,
     COUNTIFS($AS$2:$AS$200,$G241)&gt;0,
     COUNTIFS($AT$2:$AT$200,$G241)&gt;0,
     COUNTIFS($AU$2:$AU$200,$G241)&gt;0,
     COUNTIFS($AV$2:$AV$200,$G241)&gt;0,
     COUNTIFS($AW$2:$AW$200,$G241)&gt;0,
     COUNTIFS($AX$2:$AX$200,$G241)&gt;0,
     COUNTIFS($AY$2:$AY$200,$G241)&gt;0
   )),
  ),
  3
 ),
"")</f>
        <v/>
      </c>
      <c r="F241" s="2" t="str" cm="1">
        <f t="array" aca="1" ref="F241" ca="1">IFERROR(
 INDEX(
  _xlfn._xlws.FILTER($V$1:$AY$1,
   TRANSPOSE(
    CHOOSE({1;2;3;4;5;6;7;8;9;10;11;12;13;14;15;16;17;18;19;20;21;22;23;24;25;26;27;28;29;30},
     COUNTIFS($V$2:$V$200,$G241)&gt;0,
     COUNTIFS($W$2:$W$200,$G241)&gt;0,
     COUNTIFS($X$2:$X$200,$G241)&gt;0,
     COUNTIFS($Y$2:$Y$200,$G241)&gt;0,
     COUNTIFS($Z$2:$Z$200,$G241)&gt;0,
     COUNTIFS($AA$2:$AA$200,$G241)&gt;0,
     COUNTIFS($AB$2:$AB$200,$G241)&gt;0,
     COUNTIFS($AC$2:$AC$200,$G241)&gt;0,
     COUNTIFS($AD$2:$AD$200,$G241)&gt;0,
     COUNTIFS($AE$2:$AE$200,$G241)&gt;0,
     COUNTIFS($AF$2:$AF$200,$G241)&gt;0,
     COUNTIFS($AG$2:$AG$200,$G241)&gt;0,
     COUNTIFS($AH$2:$AH$200,$G241)&gt;0,
     COUNTIFS($AI$2:$AI$200,$G241)&gt;0,
     COUNTIFS($AJ$2:$AJ$200,$G241)&gt;0,
     COUNTIFS($AK$2:$AK$200,$G241)&gt;0,
     COUNTIFS($AL$2:$AL$200,$G241)&gt;0,
     COUNTIFS($AM$2:$AM$200,$G241)&gt;0,
     COUNTIFS($AN$2:$AN$200,$G241)&gt;0,
     COUNTIFS($AO$2:$AO$200,$G241)&gt;0,
     COUNTIFS($AP$2:$AP$200,$G241)&gt;0,
     COUNTIFS($AQ$2:$AQ$200,$G241)&gt;0,
     COUNTIFS($AR$2:$AR$200,$G241)&gt;0,
     COUNTIFS($AS$2:$AS$200,$G241)&gt;0,
     COUNTIFS($AT$2:$AT$200,$G241)&gt;0,
     COUNTIFS($AU$2:$AU$200,$G241)&gt;0,
     COUNTIFS($AV$2:$AV$200,$G241)&gt;0,
     COUNTIFS($AW$2:$AW$200,$G241)&gt;0,
     COUNTIFS($AX$2:$AX$200,$G241)&gt;0,
     COUNTIFS($AY$2:$AY$200,$G241)&gt;0
   )),
  ),
  4
 ),
"")</f>
        <v/>
      </c>
      <c r="G241" t="str">
        <f ca="1"/>
        <v>Krosan Grip</v>
      </c>
      <c r="EU241" t="str">
        <f ca="1"/>
        <v>Reyhan, Last of the Abzan</v>
      </c>
      <c r="EX241" t="str">
        <f ca="1"/>
        <v>Krosan Grip</v>
      </c>
    </row>
    <row r="242" spans="1:154" x14ac:dyDescent="0.25">
      <c r="A242" s="2" t="str">
        <f t="shared" ca="1" si="12"/>
        <v>4</v>
      </c>
      <c r="B242" s="2">
        <f t="shared" ca="1" si="13"/>
        <v>1</v>
      </c>
      <c r="C242" s="2" t="str">
        <f ca="1">IFERROR(
 INDEX($V$1:$BL$1,
  MATCH(TRUE,
   CHOOSE({1;2;3;4;5;6;7;8;9;10;11;12;13;14;15;16;17;18;19;20;21;22;23;24;25;26;27;28;29;30;31;32;33;34;35;36;37;38;39;40;41;42;43},
    COUNTIFS($V$2:$V$200,$G242)&gt;0,
    COUNTIFS($W$2:$W$200,$G242)&gt;0,
    COUNTIFS($X$2:$X$200,$G242)&gt;0,
    COUNTIFS($Y$2:$Y$200,$G242)&gt;0,
    COUNTIFS($Z$2:$Z$200,$G242)&gt;0,
    COUNTIFS($AA$2:$AA$200,$G242)&gt;0,
    COUNTIFS($AB$2:$AB$200,$G242)&gt;0,
    COUNTIFS($AC$2:$AC$200,$G242)&gt;0,
    COUNTIFS($AD$2:$AD$200,$G242)&gt;0,
    COUNTIFS($AE$2:$AE$200,$G242)&gt;0,
    COUNTIFS($AF$2:$AF$200,$G242)&gt;0,
    COUNTIFS($AG$2:$AG$200,$G242)&gt;0,
    COUNTIFS($AH$2:$AH$200,$G242)&gt;0,
    COUNTIFS($AI$2:$AI$200,$G242)&gt;0,
    COUNTIFS($AJ$2:$AJ$200,$G242)&gt;0,
    COUNTIFS($AK$2:$AK$200,$G242)&gt;0,
    COUNTIFS($AL$2:$AL$200,$G242)&gt;0,
    COUNTIFS($AM$2:$AM$200,$G242)&gt;0,
    COUNTIFS($AN$2:$AN$200,$G242)&gt;0,
    COUNTIFS($AO$2:$AO$200,$G242)&gt;0,
    COUNTIFS($AP$2:$AP$200,$G242)&gt;0,
    COUNTIFS($AQ$2:$AQ$200,$G242)&gt;0,
    COUNTIFS($AR$2:$AR$200,$G242)&gt;0,
    COUNTIFS($AS$2:$AS$200,$G242)&gt;0,
    COUNTIFS($AT$2:$AT$200,$G242)&gt;0,
    COUNTIFS($AU$2:$AU$200,$G242)&gt;0,
    COUNTIFS($AV$2:$AV$200,$G242)&gt;0,
    COUNTIFS($AW$2:$AW$200,$G242)&gt;0,
    COUNTIFS($AX$2:$AX$200,$G242)&gt;0,
    COUNTIFS($AY$2:$AY$200,$G242)&gt;0,
    COUNTIFS($AZ$2:$AZ$200,$G242)&gt;0,
    COUNTIFS($BA$2:$BA$200,$G242)&gt;0,
    COUNTIFS($BB$2:$BB$200,$G242)&gt;0,
    COUNTIFS($BC$2:$BC$200,$G242)&gt;0,
    COUNTIFS($BD$2:$BD$200,$G242)&gt;0,
    COUNTIFS($BE$2:$BE$200,$G242)&gt;0,
    COUNTIFS($BF$2:$BF$200,$G242)&gt;0,
    COUNTIFS($BG$2:$BG$200,$G242)&gt;0,
    COUNTIFS($BH$2:$BH$200,$G242)&gt;0,
    COUNTIFS($BI$2:$BI$200,$G242)&gt;0,
    COUNTIFS($BJ$2:$BJ$200,$G242)&gt;0,
    COUNTIFS($BK$2:$BK$200,$G242)&gt;0,
    COUNTIFS($BL$2:$BL$200,$G242)&gt;0,
    COUNTIFS($BM$2:$BM$200,$G242)&gt;0,
   ),
  0)
 ),
"")</f>
        <v>Tayam</v>
      </c>
      <c r="D242" s="2" t="str" cm="1">
        <f t="array" aca="1" ref="D242" ca="1">IFERROR(
 INDEX(
  _xlfn._xlws.FILTER($V$1:$AY$1,
   TRANSPOSE(
    CHOOSE({1;2;3;4;5;6;7;8;9;10;11;12;13;14;15;16;17;18;19;20;21;22;23;24;25;26;27;28;29;30},
     COUNTIFS($V$2:$V$200,$G242)&gt;0,
     COUNTIFS($W$2:$W$200,$G242)&gt;0,
     COUNTIFS($X$2:$X$200,$G242)&gt;0,
     COUNTIFS($Y$2:$Y$200,$G242)&gt;0,
     COUNTIFS($Z$2:$Z$200,$G242)&gt;0,
     COUNTIFS($AA$2:$AA$200,$G242)&gt;0,
     COUNTIFS($AB$2:$AB$200,$G242)&gt;0,
     COUNTIFS($AC$2:$AC$200,$G242)&gt;0,
     COUNTIFS($AD$2:$AD$200,$G242)&gt;0,
     COUNTIFS($AE$2:$AE$200,$G242)&gt;0,
     COUNTIFS($AF$2:$AF$200,$G242)&gt;0,
     COUNTIFS($AG$2:$AG$200,$G242)&gt;0,
     COUNTIFS($AH$2:$AH$200,$G242)&gt;0,
     COUNTIFS($AI$2:$AI$200,$G242)&gt;0,
     COUNTIFS($AJ$2:$AJ$200,$G242)&gt;0,
     COUNTIFS($AK$2:$AK$200,$G242)&gt;0,
     COUNTIFS($AL$2:$AL$200,$G242)&gt;0,
     COUNTIFS($AM$2:$AM$200,$G242)&gt;0,
     COUNTIFS($AN$2:$AN$200,$G242)&gt;0,
     COUNTIFS($AO$2:$AO$200,$G242)&gt;0,
     COUNTIFS($AP$2:$AP$200,$G242)&gt;0,
     COUNTIFS($AQ$2:$AQ$200,$G242)&gt;0,
     COUNTIFS($AR$2:$AR$200,$G242)&gt;0,
     COUNTIFS($AS$2:$AS$200,$G242)&gt;0,
     COUNTIFS($AT$2:$AT$200,$G242)&gt;0,
     COUNTIFS($AU$2:$AU$200,$G242)&gt;0,
     COUNTIFS($AV$2:$AV$200,$G242)&gt;0,
     COUNTIFS($AW$2:$AW$200,$G242)&gt;0,
     COUNTIFS($AX$2:$AX$200,$G242)&gt;0,
     COUNTIFS($AY$2:$AY$200,$G242)&gt;0
   )),
  ),
  2
 ),
"")</f>
        <v/>
      </c>
      <c r="E242" s="2" t="str" cm="1">
        <f t="array" aca="1" ref="E242" ca="1">IFERROR(
 INDEX(
  _xlfn._xlws.FILTER($V$1:$AY$1,
   TRANSPOSE(
    CHOOSE({1;2;3;4;5;6;7;8;9;10;11;12;13;14;15;16;17;18;19;20;21;22;23;24;25;26;27;28;29;30},
     COUNTIFS($V$2:$V$200,$G242)&gt;0,
     COUNTIFS($W$2:$W$200,$G242)&gt;0,
     COUNTIFS($X$2:$X$200,$G242)&gt;0,
     COUNTIFS($Y$2:$Y$200,$G242)&gt;0,
     COUNTIFS($Z$2:$Z$200,$G242)&gt;0,
     COUNTIFS($AA$2:$AA$200,$G242)&gt;0,
     COUNTIFS($AB$2:$AB$200,$G242)&gt;0,
     COUNTIFS($AC$2:$AC$200,$G242)&gt;0,
     COUNTIFS($AD$2:$AD$200,$G242)&gt;0,
     COUNTIFS($AE$2:$AE$200,$G242)&gt;0,
     COUNTIFS($AF$2:$AF$200,$G242)&gt;0,
     COUNTIFS($AG$2:$AG$200,$G242)&gt;0,
     COUNTIFS($AH$2:$AH$200,$G242)&gt;0,
     COUNTIFS($AI$2:$AI$200,$G242)&gt;0,
     COUNTIFS($AJ$2:$AJ$200,$G242)&gt;0,
     COUNTIFS($AK$2:$AK$200,$G242)&gt;0,
     COUNTIFS($AL$2:$AL$200,$G242)&gt;0,
     COUNTIFS($AM$2:$AM$200,$G242)&gt;0,
     COUNTIFS($AN$2:$AN$200,$G242)&gt;0,
     COUNTIFS($AO$2:$AO$200,$G242)&gt;0,
     COUNTIFS($AP$2:$AP$200,$G242)&gt;0,
     COUNTIFS($AQ$2:$AQ$200,$G242)&gt;0,
     COUNTIFS($AR$2:$AR$200,$G242)&gt;0,
     COUNTIFS($AS$2:$AS$200,$G242)&gt;0,
     COUNTIFS($AT$2:$AT$200,$G242)&gt;0,
     COUNTIFS($AU$2:$AU$200,$G242)&gt;0,
     COUNTIFS($AV$2:$AV$200,$G242)&gt;0,
     COUNTIFS($AW$2:$AW$200,$G242)&gt;0,
     COUNTIFS($AX$2:$AX$200,$G242)&gt;0,
     COUNTIFS($AY$2:$AY$200,$G242)&gt;0
   )),
  ),
  3
 ),
"")</f>
        <v/>
      </c>
      <c r="F242" s="2" t="str" cm="1">
        <f t="array" aca="1" ref="F242" ca="1">IFERROR(
 INDEX(
  _xlfn._xlws.FILTER($V$1:$AY$1,
   TRANSPOSE(
    CHOOSE({1;2;3;4;5;6;7;8;9;10;11;12;13;14;15;16;17;18;19;20;21;22;23;24;25;26;27;28;29;30},
     COUNTIFS($V$2:$V$200,$G242)&gt;0,
     COUNTIFS($W$2:$W$200,$G242)&gt;0,
     COUNTIFS($X$2:$X$200,$G242)&gt;0,
     COUNTIFS($Y$2:$Y$200,$G242)&gt;0,
     COUNTIFS($Z$2:$Z$200,$G242)&gt;0,
     COUNTIFS($AA$2:$AA$200,$G242)&gt;0,
     COUNTIFS($AB$2:$AB$200,$G242)&gt;0,
     COUNTIFS($AC$2:$AC$200,$G242)&gt;0,
     COUNTIFS($AD$2:$AD$200,$G242)&gt;0,
     COUNTIFS($AE$2:$AE$200,$G242)&gt;0,
     COUNTIFS($AF$2:$AF$200,$G242)&gt;0,
     COUNTIFS($AG$2:$AG$200,$G242)&gt;0,
     COUNTIFS($AH$2:$AH$200,$G242)&gt;0,
     COUNTIFS($AI$2:$AI$200,$G242)&gt;0,
     COUNTIFS($AJ$2:$AJ$200,$G242)&gt;0,
     COUNTIFS($AK$2:$AK$200,$G242)&gt;0,
     COUNTIFS($AL$2:$AL$200,$G242)&gt;0,
     COUNTIFS($AM$2:$AM$200,$G242)&gt;0,
     COUNTIFS($AN$2:$AN$200,$G242)&gt;0,
     COUNTIFS($AO$2:$AO$200,$G242)&gt;0,
     COUNTIFS($AP$2:$AP$200,$G242)&gt;0,
     COUNTIFS($AQ$2:$AQ$200,$G242)&gt;0,
     COUNTIFS($AR$2:$AR$200,$G242)&gt;0,
     COUNTIFS($AS$2:$AS$200,$G242)&gt;0,
     COUNTIFS($AT$2:$AT$200,$G242)&gt;0,
     COUNTIFS($AU$2:$AU$200,$G242)&gt;0,
     COUNTIFS($AV$2:$AV$200,$G242)&gt;0,
     COUNTIFS($AW$2:$AW$200,$G242)&gt;0,
     COUNTIFS($AX$2:$AX$200,$G242)&gt;0,
     COUNTIFS($AY$2:$AY$200,$G242)&gt;0
   )),
  ),
  4
 ),
"")</f>
        <v/>
      </c>
      <c r="G242" t="str">
        <f ca="1"/>
        <v>Kutzil, Malamet Exemplar</v>
      </c>
      <c r="EU242" t="str">
        <f ca="1"/>
        <v>Rimekin Recluse</v>
      </c>
      <c r="EX242" t="str">
        <f ca="1"/>
        <v>Kutzil, Malamet Exemplar</v>
      </c>
    </row>
    <row r="243" spans="1:154" x14ac:dyDescent="0.25">
      <c r="A243" s="2" t="str">
        <f t="shared" ca="1" si="12"/>
        <v>4</v>
      </c>
      <c r="B243" s="2">
        <f t="shared" ca="1" si="13"/>
        <v>1</v>
      </c>
      <c r="C243" s="2" t="str">
        <f ca="1">IFERROR(
 INDEX($V$1:$BL$1,
  MATCH(TRUE,
   CHOOSE({1;2;3;4;5;6;7;8;9;10;11;12;13;14;15;16;17;18;19;20;21;22;23;24;25;26;27;28;29;30;31;32;33;34;35;36;37;38;39;40;41;42;43},
    COUNTIFS($V$2:$V$200,$G243)&gt;0,
    COUNTIFS($W$2:$W$200,$G243)&gt;0,
    COUNTIFS($X$2:$X$200,$G243)&gt;0,
    COUNTIFS($Y$2:$Y$200,$G243)&gt;0,
    COUNTIFS($Z$2:$Z$200,$G243)&gt;0,
    COUNTIFS($AA$2:$AA$200,$G243)&gt;0,
    COUNTIFS($AB$2:$AB$200,$G243)&gt;0,
    COUNTIFS($AC$2:$AC$200,$G243)&gt;0,
    COUNTIFS($AD$2:$AD$200,$G243)&gt;0,
    COUNTIFS($AE$2:$AE$200,$G243)&gt;0,
    COUNTIFS($AF$2:$AF$200,$G243)&gt;0,
    COUNTIFS($AG$2:$AG$200,$G243)&gt;0,
    COUNTIFS($AH$2:$AH$200,$G243)&gt;0,
    COUNTIFS($AI$2:$AI$200,$G243)&gt;0,
    COUNTIFS($AJ$2:$AJ$200,$G243)&gt;0,
    COUNTIFS($AK$2:$AK$200,$G243)&gt;0,
    COUNTIFS($AL$2:$AL$200,$G243)&gt;0,
    COUNTIFS($AM$2:$AM$200,$G243)&gt;0,
    COUNTIFS($AN$2:$AN$200,$G243)&gt;0,
    COUNTIFS($AO$2:$AO$200,$G243)&gt;0,
    COUNTIFS($AP$2:$AP$200,$G243)&gt;0,
    COUNTIFS($AQ$2:$AQ$200,$G243)&gt;0,
    COUNTIFS($AR$2:$AR$200,$G243)&gt;0,
    COUNTIFS($AS$2:$AS$200,$G243)&gt;0,
    COUNTIFS($AT$2:$AT$200,$G243)&gt;0,
    COUNTIFS($AU$2:$AU$200,$G243)&gt;0,
    COUNTIFS($AV$2:$AV$200,$G243)&gt;0,
    COUNTIFS($AW$2:$AW$200,$G243)&gt;0,
    COUNTIFS($AX$2:$AX$200,$G243)&gt;0,
    COUNTIFS($AY$2:$AY$200,$G243)&gt;0,
    COUNTIFS($AZ$2:$AZ$200,$G243)&gt;0,
    COUNTIFS($BA$2:$BA$200,$G243)&gt;0,
    COUNTIFS($BB$2:$BB$200,$G243)&gt;0,
    COUNTIFS($BC$2:$BC$200,$G243)&gt;0,
    COUNTIFS($BD$2:$BD$200,$G243)&gt;0,
    COUNTIFS($BE$2:$BE$200,$G243)&gt;0,
    COUNTIFS($BF$2:$BF$200,$G243)&gt;0,
    COUNTIFS($BG$2:$BG$200,$G243)&gt;0,
    COUNTIFS($BH$2:$BH$200,$G243)&gt;0,
    COUNTIFS($BI$2:$BI$200,$G243)&gt;0,
    COUNTIFS($BJ$2:$BJ$200,$G243)&gt;0,
    COUNTIFS($BK$2:$BK$200,$G243)&gt;0,
    COUNTIFS($BL$2:$BL$200,$G243)&gt;0,
    COUNTIFS($BM$2:$BM$200,$G243)&gt;0,
   ),
  0)
 ),
"")</f>
        <v>Tayam</v>
      </c>
      <c r="D243" s="2" t="str" cm="1">
        <f t="array" aca="1" ref="D243" ca="1">IFERROR(
 INDEX(
  _xlfn._xlws.FILTER($V$1:$AY$1,
   TRANSPOSE(
    CHOOSE({1;2;3;4;5;6;7;8;9;10;11;12;13;14;15;16;17;18;19;20;21;22;23;24;25;26;27;28;29;30},
     COUNTIFS($V$2:$V$200,$G243)&gt;0,
     COUNTIFS($W$2:$W$200,$G243)&gt;0,
     COUNTIFS($X$2:$X$200,$G243)&gt;0,
     COUNTIFS($Y$2:$Y$200,$G243)&gt;0,
     COUNTIFS($Z$2:$Z$200,$G243)&gt;0,
     COUNTIFS($AA$2:$AA$200,$G243)&gt;0,
     COUNTIFS($AB$2:$AB$200,$G243)&gt;0,
     COUNTIFS($AC$2:$AC$200,$G243)&gt;0,
     COUNTIFS($AD$2:$AD$200,$G243)&gt;0,
     COUNTIFS($AE$2:$AE$200,$G243)&gt;0,
     COUNTIFS($AF$2:$AF$200,$G243)&gt;0,
     COUNTIFS($AG$2:$AG$200,$G243)&gt;0,
     COUNTIFS($AH$2:$AH$200,$G243)&gt;0,
     COUNTIFS($AI$2:$AI$200,$G243)&gt;0,
     COUNTIFS($AJ$2:$AJ$200,$G243)&gt;0,
     COUNTIFS($AK$2:$AK$200,$G243)&gt;0,
     COUNTIFS($AL$2:$AL$200,$G243)&gt;0,
     COUNTIFS($AM$2:$AM$200,$G243)&gt;0,
     COUNTIFS($AN$2:$AN$200,$G243)&gt;0,
     COUNTIFS($AO$2:$AO$200,$G243)&gt;0,
     COUNTIFS($AP$2:$AP$200,$G243)&gt;0,
     COUNTIFS($AQ$2:$AQ$200,$G243)&gt;0,
     COUNTIFS($AR$2:$AR$200,$G243)&gt;0,
     COUNTIFS($AS$2:$AS$200,$G243)&gt;0,
     COUNTIFS($AT$2:$AT$200,$G243)&gt;0,
     COUNTIFS($AU$2:$AU$200,$G243)&gt;0,
     COUNTIFS($AV$2:$AV$200,$G243)&gt;0,
     COUNTIFS($AW$2:$AW$200,$G243)&gt;0,
     COUNTIFS($AX$2:$AX$200,$G243)&gt;0,
     COUNTIFS($AY$2:$AY$200,$G243)&gt;0
   )),
  ),
  2
 ),
"")</f>
        <v/>
      </c>
      <c r="E243" s="2" t="str" cm="1">
        <f t="array" aca="1" ref="E243" ca="1">IFERROR(
 INDEX(
  _xlfn._xlws.FILTER($V$1:$AY$1,
   TRANSPOSE(
    CHOOSE({1;2;3;4;5;6;7;8;9;10;11;12;13;14;15;16;17;18;19;20;21;22;23;24;25;26;27;28;29;30},
     COUNTIFS($V$2:$V$200,$G243)&gt;0,
     COUNTIFS($W$2:$W$200,$G243)&gt;0,
     COUNTIFS($X$2:$X$200,$G243)&gt;0,
     COUNTIFS($Y$2:$Y$200,$G243)&gt;0,
     COUNTIFS($Z$2:$Z$200,$G243)&gt;0,
     COUNTIFS($AA$2:$AA$200,$G243)&gt;0,
     COUNTIFS($AB$2:$AB$200,$G243)&gt;0,
     COUNTIFS($AC$2:$AC$200,$G243)&gt;0,
     COUNTIFS($AD$2:$AD$200,$G243)&gt;0,
     COUNTIFS($AE$2:$AE$200,$G243)&gt;0,
     COUNTIFS($AF$2:$AF$200,$G243)&gt;0,
     COUNTIFS($AG$2:$AG$200,$G243)&gt;0,
     COUNTIFS($AH$2:$AH$200,$G243)&gt;0,
     COUNTIFS($AI$2:$AI$200,$G243)&gt;0,
     COUNTIFS($AJ$2:$AJ$200,$G243)&gt;0,
     COUNTIFS($AK$2:$AK$200,$G243)&gt;0,
     COUNTIFS($AL$2:$AL$200,$G243)&gt;0,
     COUNTIFS($AM$2:$AM$200,$G243)&gt;0,
     COUNTIFS($AN$2:$AN$200,$G243)&gt;0,
     COUNTIFS($AO$2:$AO$200,$G243)&gt;0,
     COUNTIFS($AP$2:$AP$200,$G243)&gt;0,
     COUNTIFS($AQ$2:$AQ$200,$G243)&gt;0,
     COUNTIFS($AR$2:$AR$200,$G243)&gt;0,
     COUNTIFS($AS$2:$AS$200,$G243)&gt;0,
     COUNTIFS($AT$2:$AT$200,$G243)&gt;0,
     COUNTIFS($AU$2:$AU$200,$G243)&gt;0,
     COUNTIFS($AV$2:$AV$200,$G243)&gt;0,
     COUNTIFS($AW$2:$AW$200,$G243)&gt;0,
     COUNTIFS($AX$2:$AX$200,$G243)&gt;0,
     COUNTIFS($AY$2:$AY$200,$G243)&gt;0
   )),
  ),
  3
 ),
"")</f>
        <v/>
      </c>
      <c r="F243" s="2" t="str" cm="1">
        <f t="array" aca="1" ref="F243" ca="1">IFERROR(
 INDEX(
  _xlfn._xlws.FILTER($V$1:$AY$1,
   TRANSPOSE(
    CHOOSE({1;2;3;4;5;6;7;8;9;10;11;12;13;14;15;16;17;18;19;20;21;22;23;24;25;26;27;28;29;30},
     COUNTIFS($V$2:$V$200,$G243)&gt;0,
     COUNTIFS($W$2:$W$200,$G243)&gt;0,
     COUNTIFS($X$2:$X$200,$G243)&gt;0,
     COUNTIFS($Y$2:$Y$200,$G243)&gt;0,
     COUNTIFS($Z$2:$Z$200,$G243)&gt;0,
     COUNTIFS($AA$2:$AA$200,$G243)&gt;0,
     COUNTIFS($AB$2:$AB$200,$G243)&gt;0,
     COUNTIFS($AC$2:$AC$200,$G243)&gt;0,
     COUNTIFS($AD$2:$AD$200,$G243)&gt;0,
     COUNTIFS($AE$2:$AE$200,$G243)&gt;0,
     COUNTIFS($AF$2:$AF$200,$G243)&gt;0,
     COUNTIFS($AG$2:$AG$200,$G243)&gt;0,
     COUNTIFS($AH$2:$AH$200,$G243)&gt;0,
     COUNTIFS($AI$2:$AI$200,$G243)&gt;0,
     COUNTIFS($AJ$2:$AJ$200,$G243)&gt;0,
     COUNTIFS($AK$2:$AK$200,$G243)&gt;0,
     COUNTIFS($AL$2:$AL$200,$G243)&gt;0,
     COUNTIFS($AM$2:$AM$200,$G243)&gt;0,
     COUNTIFS($AN$2:$AN$200,$G243)&gt;0,
     COUNTIFS($AO$2:$AO$200,$G243)&gt;0,
     COUNTIFS($AP$2:$AP$200,$G243)&gt;0,
     COUNTIFS($AQ$2:$AQ$200,$G243)&gt;0,
     COUNTIFS($AR$2:$AR$200,$G243)&gt;0,
     COUNTIFS($AS$2:$AS$200,$G243)&gt;0,
     COUNTIFS($AT$2:$AT$200,$G243)&gt;0,
     COUNTIFS($AU$2:$AU$200,$G243)&gt;0,
     COUNTIFS($AV$2:$AV$200,$G243)&gt;0,
     COUNTIFS($AW$2:$AW$200,$G243)&gt;0,
     COUNTIFS($AX$2:$AX$200,$G243)&gt;0,
     COUNTIFS($AY$2:$AY$200,$G243)&gt;0
   )),
  ),
  4
 ),
"")</f>
        <v/>
      </c>
      <c r="G243" t="str">
        <f ca="1"/>
        <v>Lae'zel, Vlaakith's Champion</v>
      </c>
      <c r="EU243" t="str">
        <f ca="1"/>
        <v>Rings of Brighthearth</v>
      </c>
      <c r="EX243" t="str">
        <f ca="1"/>
        <v>Lae'zel, Vlaakith's Champion</v>
      </c>
    </row>
    <row r="244" spans="1:154" x14ac:dyDescent="0.25">
      <c r="A244" s="2" t="str">
        <f t="shared" ca="1" si="12"/>
        <v>5</v>
      </c>
      <c r="B244" s="2">
        <f t="shared" ca="1" si="13"/>
        <v>1</v>
      </c>
      <c r="C244" s="2" t="str">
        <f ca="1">IFERROR(
 INDEX($V$1:$BL$1,
  MATCH(TRUE,
   CHOOSE({1;2;3;4;5;6;7;8;9;10;11;12;13;14;15;16;17;18;19;20;21;22;23;24;25;26;27;28;29;30;31;32;33;34;35;36;37;38;39;40;41;42;43},
    COUNTIFS($V$2:$V$200,$G244)&gt;0,
    COUNTIFS($W$2:$W$200,$G244)&gt;0,
    COUNTIFS($X$2:$X$200,$G244)&gt;0,
    COUNTIFS($Y$2:$Y$200,$G244)&gt;0,
    COUNTIFS($Z$2:$Z$200,$G244)&gt;0,
    COUNTIFS($AA$2:$AA$200,$G244)&gt;0,
    COUNTIFS($AB$2:$AB$200,$G244)&gt;0,
    COUNTIFS($AC$2:$AC$200,$G244)&gt;0,
    COUNTIFS($AD$2:$AD$200,$G244)&gt;0,
    COUNTIFS($AE$2:$AE$200,$G244)&gt;0,
    COUNTIFS($AF$2:$AF$200,$G244)&gt;0,
    COUNTIFS($AG$2:$AG$200,$G244)&gt;0,
    COUNTIFS($AH$2:$AH$200,$G244)&gt;0,
    COUNTIFS($AI$2:$AI$200,$G244)&gt;0,
    COUNTIFS($AJ$2:$AJ$200,$G244)&gt;0,
    COUNTIFS($AK$2:$AK$200,$G244)&gt;0,
    COUNTIFS($AL$2:$AL$200,$G244)&gt;0,
    COUNTIFS($AM$2:$AM$200,$G244)&gt;0,
    COUNTIFS($AN$2:$AN$200,$G244)&gt;0,
    COUNTIFS($AO$2:$AO$200,$G244)&gt;0,
    COUNTIFS($AP$2:$AP$200,$G244)&gt;0,
    COUNTIFS($AQ$2:$AQ$200,$G244)&gt;0,
    COUNTIFS($AR$2:$AR$200,$G244)&gt;0,
    COUNTIFS($AS$2:$AS$200,$G244)&gt;0,
    COUNTIFS($AT$2:$AT$200,$G244)&gt;0,
    COUNTIFS($AU$2:$AU$200,$G244)&gt;0,
    COUNTIFS($AV$2:$AV$200,$G244)&gt;0,
    COUNTIFS($AW$2:$AW$200,$G244)&gt;0,
    COUNTIFS($AX$2:$AX$200,$G244)&gt;0,
    COUNTIFS($AY$2:$AY$200,$G244)&gt;0,
    COUNTIFS($AZ$2:$AZ$200,$G244)&gt;0,
    COUNTIFS($BA$2:$BA$200,$G244)&gt;0,
    COUNTIFS($BB$2:$BB$200,$G244)&gt;0,
    COUNTIFS($BC$2:$BC$200,$G244)&gt;0,
    COUNTIFS($BD$2:$BD$200,$G244)&gt;0,
    COUNTIFS($BE$2:$BE$200,$G244)&gt;0,
    COUNTIFS($BF$2:$BF$200,$G244)&gt;0,
    COUNTIFS($BG$2:$BG$200,$G244)&gt;0,
    COUNTIFS($BH$2:$BH$200,$G244)&gt;0,
    COUNTIFS($BI$2:$BI$200,$G244)&gt;0,
    COUNTIFS($BJ$2:$BJ$200,$G244)&gt;0,
    COUNTIFS($BK$2:$BK$200,$G244)&gt;0,
    COUNTIFS($BL$2:$BL$200,$G244)&gt;0,
    COUNTIFS($BM$2:$BM$200,$G244)&gt;0,
   ),
  0)
 ),
"")</f>
        <v>Little</v>
      </c>
      <c r="D244" s="2" t="str" cm="1">
        <f t="array" aca="1" ref="D244" ca="1">IFERROR(
 INDEX(
  _xlfn._xlws.FILTER($V$1:$AY$1,
   TRANSPOSE(
    CHOOSE({1;2;3;4;5;6;7;8;9;10;11;12;13;14;15;16;17;18;19;20;21;22;23;24;25;26;27;28;29;30},
     COUNTIFS($V$2:$V$200,$G244)&gt;0,
     COUNTIFS($W$2:$W$200,$G244)&gt;0,
     COUNTIFS($X$2:$X$200,$G244)&gt;0,
     COUNTIFS($Y$2:$Y$200,$G244)&gt;0,
     COUNTIFS($Z$2:$Z$200,$G244)&gt;0,
     COUNTIFS($AA$2:$AA$200,$G244)&gt;0,
     COUNTIFS($AB$2:$AB$200,$G244)&gt;0,
     COUNTIFS($AC$2:$AC$200,$G244)&gt;0,
     COUNTIFS($AD$2:$AD$200,$G244)&gt;0,
     COUNTIFS($AE$2:$AE$200,$G244)&gt;0,
     COUNTIFS($AF$2:$AF$200,$G244)&gt;0,
     COUNTIFS($AG$2:$AG$200,$G244)&gt;0,
     COUNTIFS($AH$2:$AH$200,$G244)&gt;0,
     COUNTIFS($AI$2:$AI$200,$G244)&gt;0,
     COUNTIFS($AJ$2:$AJ$200,$G244)&gt;0,
     COUNTIFS($AK$2:$AK$200,$G244)&gt;0,
     COUNTIFS($AL$2:$AL$200,$G244)&gt;0,
     COUNTIFS($AM$2:$AM$200,$G244)&gt;0,
     COUNTIFS($AN$2:$AN$200,$G244)&gt;0,
     COUNTIFS($AO$2:$AO$200,$G244)&gt;0,
     COUNTIFS($AP$2:$AP$200,$G244)&gt;0,
     COUNTIFS($AQ$2:$AQ$200,$G244)&gt;0,
     COUNTIFS($AR$2:$AR$200,$G244)&gt;0,
     COUNTIFS($AS$2:$AS$200,$G244)&gt;0,
     COUNTIFS($AT$2:$AT$200,$G244)&gt;0,
     COUNTIFS($AU$2:$AU$200,$G244)&gt;0,
     COUNTIFS($AV$2:$AV$200,$G244)&gt;0,
     COUNTIFS($AW$2:$AW$200,$G244)&gt;0,
     COUNTIFS($AX$2:$AX$200,$G244)&gt;0,
     COUNTIFS($AY$2:$AY$200,$G244)&gt;0
   )),
  ),
  2
 ),
"")</f>
        <v/>
      </c>
      <c r="E244" s="2" t="str" cm="1">
        <f t="array" aca="1" ref="E244" ca="1">IFERROR(
 INDEX(
  _xlfn._xlws.FILTER($V$1:$AY$1,
   TRANSPOSE(
    CHOOSE({1;2;3;4;5;6;7;8;9;10;11;12;13;14;15;16;17;18;19;20;21;22;23;24;25;26;27;28;29;30},
     COUNTIFS($V$2:$V$200,$G244)&gt;0,
     COUNTIFS($W$2:$W$200,$G244)&gt;0,
     COUNTIFS($X$2:$X$200,$G244)&gt;0,
     COUNTIFS($Y$2:$Y$200,$G244)&gt;0,
     COUNTIFS($Z$2:$Z$200,$G244)&gt;0,
     COUNTIFS($AA$2:$AA$200,$G244)&gt;0,
     COUNTIFS($AB$2:$AB$200,$G244)&gt;0,
     COUNTIFS($AC$2:$AC$200,$G244)&gt;0,
     COUNTIFS($AD$2:$AD$200,$G244)&gt;0,
     COUNTIFS($AE$2:$AE$200,$G244)&gt;0,
     COUNTIFS($AF$2:$AF$200,$G244)&gt;0,
     COUNTIFS($AG$2:$AG$200,$G244)&gt;0,
     COUNTIFS($AH$2:$AH$200,$G244)&gt;0,
     COUNTIFS($AI$2:$AI$200,$G244)&gt;0,
     COUNTIFS($AJ$2:$AJ$200,$G244)&gt;0,
     COUNTIFS($AK$2:$AK$200,$G244)&gt;0,
     COUNTIFS($AL$2:$AL$200,$G244)&gt;0,
     COUNTIFS($AM$2:$AM$200,$G244)&gt;0,
     COUNTIFS($AN$2:$AN$200,$G244)&gt;0,
     COUNTIFS($AO$2:$AO$200,$G244)&gt;0,
     COUNTIFS($AP$2:$AP$200,$G244)&gt;0,
     COUNTIFS($AQ$2:$AQ$200,$G244)&gt;0,
     COUNTIFS($AR$2:$AR$200,$G244)&gt;0,
     COUNTIFS($AS$2:$AS$200,$G244)&gt;0,
     COUNTIFS($AT$2:$AT$200,$G244)&gt;0,
     COUNTIFS($AU$2:$AU$200,$G244)&gt;0,
     COUNTIFS($AV$2:$AV$200,$G244)&gt;0,
     COUNTIFS($AW$2:$AW$200,$G244)&gt;0,
     COUNTIFS($AX$2:$AX$200,$G244)&gt;0,
     COUNTIFS($AY$2:$AY$200,$G244)&gt;0
   )),
  ),
  3
 ),
"")</f>
        <v/>
      </c>
      <c r="F244" s="2" t="str" cm="1">
        <f t="array" aca="1" ref="F244" ca="1">IFERROR(
 INDEX(
  _xlfn._xlws.FILTER($V$1:$AY$1,
   TRANSPOSE(
    CHOOSE({1;2;3;4;5;6;7;8;9;10;11;12;13;14;15;16;17;18;19;20;21;22;23;24;25;26;27;28;29;30},
     COUNTIFS($V$2:$V$200,$G244)&gt;0,
     COUNTIFS($W$2:$W$200,$G244)&gt;0,
     COUNTIFS($X$2:$X$200,$G244)&gt;0,
     COUNTIFS($Y$2:$Y$200,$G244)&gt;0,
     COUNTIFS($Z$2:$Z$200,$G244)&gt;0,
     COUNTIFS($AA$2:$AA$200,$G244)&gt;0,
     COUNTIFS($AB$2:$AB$200,$G244)&gt;0,
     COUNTIFS($AC$2:$AC$200,$G244)&gt;0,
     COUNTIFS($AD$2:$AD$200,$G244)&gt;0,
     COUNTIFS($AE$2:$AE$200,$G244)&gt;0,
     COUNTIFS($AF$2:$AF$200,$G244)&gt;0,
     COUNTIFS($AG$2:$AG$200,$G244)&gt;0,
     COUNTIFS($AH$2:$AH$200,$G244)&gt;0,
     COUNTIFS($AI$2:$AI$200,$G244)&gt;0,
     COUNTIFS($AJ$2:$AJ$200,$G244)&gt;0,
     COUNTIFS($AK$2:$AK$200,$G244)&gt;0,
     COUNTIFS($AL$2:$AL$200,$G244)&gt;0,
     COUNTIFS($AM$2:$AM$200,$G244)&gt;0,
     COUNTIFS($AN$2:$AN$200,$G244)&gt;0,
     COUNTIFS($AO$2:$AO$200,$G244)&gt;0,
     COUNTIFS($AP$2:$AP$200,$G244)&gt;0,
     COUNTIFS($AQ$2:$AQ$200,$G244)&gt;0,
     COUNTIFS($AR$2:$AR$200,$G244)&gt;0,
     COUNTIFS($AS$2:$AS$200,$G244)&gt;0,
     COUNTIFS($AT$2:$AT$200,$G244)&gt;0,
     COUNTIFS($AU$2:$AU$200,$G244)&gt;0,
     COUNTIFS($AV$2:$AV$200,$G244)&gt;0,
     COUNTIFS($AW$2:$AW$200,$G244)&gt;0,
     COUNTIFS($AX$2:$AX$200,$G244)&gt;0,
     COUNTIFS($AY$2:$AY$200,$G244)&gt;0
   )),
  ),
  4
 ),
"")</f>
        <v/>
      </c>
      <c r="G244" t="str">
        <f ca="1"/>
        <v>Lagomos, Hand of Hatred</v>
      </c>
      <c r="EU244" t="str">
        <f ca="1"/>
        <v>Ripples of Potential</v>
      </c>
      <c r="EX244" t="str">
        <f ca="1"/>
        <v>Lagomos, Hand of Hatred</v>
      </c>
    </row>
    <row r="245" spans="1:154" x14ac:dyDescent="0.25">
      <c r="A245" s="2" t="str">
        <f t="shared" ca="1" si="12"/>
        <v>5</v>
      </c>
      <c r="B245" s="2">
        <f t="shared" ca="1" si="13"/>
        <v>1</v>
      </c>
      <c r="C245" s="2" t="str">
        <f ca="1">IFERROR(
 INDEX($V$1:$BL$1,
  MATCH(TRUE,
   CHOOSE({1;2;3;4;5;6;7;8;9;10;11;12;13;14;15;16;17;18;19;20;21;22;23;24;25;26;27;28;29;30;31;32;33;34;35;36;37;38;39;40;41;42;43},
    COUNTIFS($V$2:$V$200,$G245)&gt;0,
    COUNTIFS($W$2:$W$200,$G245)&gt;0,
    COUNTIFS($X$2:$X$200,$G245)&gt;0,
    COUNTIFS($Y$2:$Y$200,$G245)&gt;0,
    COUNTIFS($Z$2:$Z$200,$G245)&gt;0,
    COUNTIFS($AA$2:$AA$200,$G245)&gt;0,
    COUNTIFS($AB$2:$AB$200,$G245)&gt;0,
    COUNTIFS($AC$2:$AC$200,$G245)&gt;0,
    COUNTIFS($AD$2:$AD$200,$G245)&gt;0,
    COUNTIFS($AE$2:$AE$200,$G245)&gt;0,
    COUNTIFS($AF$2:$AF$200,$G245)&gt;0,
    COUNTIFS($AG$2:$AG$200,$G245)&gt;0,
    COUNTIFS($AH$2:$AH$200,$G245)&gt;0,
    COUNTIFS($AI$2:$AI$200,$G245)&gt;0,
    COUNTIFS($AJ$2:$AJ$200,$G245)&gt;0,
    COUNTIFS($AK$2:$AK$200,$G245)&gt;0,
    COUNTIFS($AL$2:$AL$200,$G245)&gt;0,
    COUNTIFS($AM$2:$AM$200,$G245)&gt;0,
    COUNTIFS($AN$2:$AN$200,$G245)&gt;0,
    COUNTIFS($AO$2:$AO$200,$G245)&gt;0,
    COUNTIFS($AP$2:$AP$200,$G245)&gt;0,
    COUNTIFS($AQ$2:$AQ$200,$G245)&gt;0,
    COUNTIFS($AR$2:$AR$200,$G245)&gt;0,
    COUNTIFS($AS$2:$AS$200,$G245)&gt;0,
    COUNTIFS($AT$2:$AT$200,$G245)&gt;0,
    COUNTIFS($AU$2:$AU$200,$G245)&gt;0,
    COUNTIFS($AV$2:$AV$200,$G245)&gt;0,
    COUNTIFS($AW$2:$AW$200,$G245)&gt;0,
    COUNTIFS($AX$2:$AX$200,$G245)&gt;0,
    COUNTIFS($AY$2:$AY$200,$G245)&gt;0,
    COUNTIFS($AZ$2:$AZ$200,$G245)&gt;0,
    COUNTIFS($BA$2:$BA$200,$G245)&gt;0,
    COUNTIFS($BB$2:$BB$200,$G245)&gt;0,
    COUNTIFS($BC$2:$BC$200,$G245)&gt;0,
    COUNTIFS($BD$2:$BD$200,$G245)&gt;0,
    COUNTIFS($BE$2:$BE$200,$G245)&gt;0,
    COUNTIFS($BF$2:$BF$200,$G245)&gt;0,
    COUNTIFS($BG$2:$BG$200,$G245)&gt;0,
    COUNTIFS($BH$2:$BH$200,$G245)&gt;0,
    COUNTIFS($BI$2:$BI$200,$G245)&gt;0,
    COUNTIFS($BJ$2:$BJ$200,$G245)&gt;0,
    COUNTIFS($BK$2:$BK$200,$G245)&gt;0,
    COUNTIFS($BL$2:$BL$200,$G245)&gt;0,
    COUNTIFS($BM$2:$BM$200,$G245)&gt;0,
   ),
  0)
 ),
"")</f>
        <v>Fractius</v>
      </c>
      <c r="D245" s="2" t="str" cm="1">
        <f t="array" aca="1" ref="D245" ca="1">IFERROR(
 INDEX(
  _xlfn._xlws.FILTER($V$1:$AY$1,
   TRANSPOSE(
    CHOOSE({1;2;3;4;5;6;7;8;9;10;11;12;13;14;15;16;17;18;19;20;21;22;23;24;25;26;27;28;29;30},
     COUNTIFS($V$2:$V$200,$G245)&gt;0,
     COUNTIFS($W$2:$W$200,$G245)&gt;0,
     COUNTIFS($X$2:$X$200,$G245)&gt;0,
     COUNTIFS($Y$2:$Y$200,$G245)&gt;0,
     COUNTIFS($Z$2:$Z$200,$G245)&gt;0,
     COUNTIFS($AA$2:$AA$200,$G245)&gt;0,
     COUNTIFS($AB$2:$AB$200,$G245)&gt;0,
     COUNTIFS($AC$2:$AC$200,$G245)&gt;0,
     COUNTIFS($AD$2:$AD$200,$G245)&gt;0,
     COUNTIFS($AE$2:$AE$200,$G245)&gt;0,
     COUNTIFS($AF$2:$AF$200,$G245)&gt;0,
     COUNTIFS($AG$2:$AG$200,$G245)&gt;0,
     COUNTIFS($AH$2:$AH$200,$G245)&gt;0,
     COUNTIFS($AI$2:$AI$200,$G245)&gt;0,
     COUNTIFS($AJ$2:$AJ$200,$G245)&gt;0,
     COUNTIFS($AK$2:$AK$200,$G245)&gt;0,
     COUNTIFS($AL$2:$AL$200,$G245)&gt;0,
     COUNTIFS($AM$2:$AM$200,$G245)&gt;0,
     COUNTIFS($AN$2:$AN$200,$G245)&gt;0,
     COUNTIFS($AO$2:$AO$200,$G245)&gt;0,
     COUNTIFS($AP$2:$AP$200,$G245)&gt;0,
     COUNTIFS($AQ$2:$AQ$200,$G245)&gt;0,
     COUNTIFS($AR$2:$AR$200,$G245)&gt;0,
     COUNTIFS($AS$2:$AS$200,$G245)&gt;0,
     COUNTIFS($AT$2:$AT$200,$G245)&gt;0,
     COUNTIFS($AU$2:$AU$200,$G245)&gt;0,
     COUNTIFS($AV$2:$AV$200,$G245)&gt;0,
     COUNTIFS($AW$2:$AW$200,$G245)&gt;0,
     COUNTIFS($AX$2:$AX$200,$G245)&gt;0,
     COUNTIFS($AY$2:$AY$200,$G245)&gt;0
   )),
  ),
  2
 ),
"")</f>
        <v/>
      </c>
      <c r="E245" s="2" t="str" cm="1">
        <f t="array" aca="1" ref="E245" ca="1">IFERROR(
 INDEX(
  _xlfn._xlws.FILTER($V$1:$AY$1,
   TRANSPOSE(
    CHOOSE({1;2;3;4;5;6;7;8;9;10;11;12;13;14;15;16;17;18;19;20;21;22;23;24;25;26;27;28;29;30},
     COUNTIFS($V$2:$V$200,$G245)&gt;0,
     COUNTIFS($W$2:$W$200,$G245)&gt;0,
     COUNTIFS($X$2:$X$200,$G245)&gt;0,
     COUNTIFS($Y$2:$Y$200,$G245)&gt;0,
     COUNTIFS($Z$2:$Z$200,$G245)&gt;0,
     COUNTIFS($AA$2:$AA$200,$G245)&gt;0,
     COUNTIFS($AB$2:$AB$200,$G245)&gt;0,
     COUNTIFS($AC$2:$AC$200,$G245)&gt;0,
     COUNTIFS($AD$2:$AD$200,$G245)&gt;0,
     COUNTIFS($AE$2:$AE$200,$G245)&gt;0,
     COUNTIFS($AF$2:$AF$200,$G245)&gt;0,
     COUNTIFS($AG$2:$AG$200,$G245)&gt;0,
     COUNTIFS($AH$2:$AH$200,$G245)&gt;0,
     COUNTIFS($AI$2:$AI$200,$G245)&gt;0,
     COUNTIFS($AJ$2:$AJ$200,$G245)&gt;0,
     COUNTIFS($AK$2:$AK$200,$G245)&gt;0,
     COUNTIFS($AL$2:$AL$200,$G245)&gt;0,
     COUNTIFS($AM$2:$AM$200,$G245)&gt;0,
     COUNTIFS($AN$2:$AN$200,$G245)&gt;0,
     COUNTIFS($AO$2:$AO$200,$G245)&gt;0,
     COUNTIFS($AP$2:$AP$200,$G245)&gt;0,
     COUNTIFS($AQ$2:$AQ$200,$G245)&gt;0,
     COUNTIFS($AR$2:$AR$200,$G245)&gt;0,
     COUNTIFS($AS$2:$AS$200,$G245)&gt;0,
     COUNTIFS($AT$2:$AT$200,$G245)&gt;0,
     COUNTIFS($AU$2:$AU$200,$G245)&gt;0,
     COUNTIFS($AV$2:$AV$200,$G245)&gt;0,
     COUNTIFS($AW$2:$AW$200,$G245)&gt;0,
     COUNTIFS($AX$2:$AX$200,$G245)&gt;0,
     COUNTIFS($AY$2:$AY$200,$G245)&gt;0
   )),
  ),
  3
 ),
"")</f>
        <v/>
      </c>
      <c r="F245" s="2" t="str" cm="1">
        <f t="array" aca="1" ref="F245" ca="1">IFERROR(
 INDEX(
  _xlfn._xlws.FILTER($V$1:$AY$1,
   TRANSPOSE(
    CHOOSE({1;2;3;4;5;6;7;8;9;10;11;12;13;14;15;16;17;18;19;20;21;22;23;24;25;26;27;28;29;30},
     COUNTIFS($V$2:$V$200,$G245)&gt;0,
     COUNTIFS($W$2:$W$200,$G245)&gt;0,
     COUNTIFS($X$2:$X$200,$G245)&gt;0,
     COUNTIFS($Y$2:$Y$200,$G245)&gt;0,
     COUNTIFS($Z$2:$Z$200,$G245)&gt;0,
     COUNTIFS($AA$2:$AA$200,$G245)&gt;0,
     COUNTIFS($AB$2:$AB$200,$G245)&gt;0,
     COUNTIFS($AC$2:$AC$200,$G245)&gt;0,
     COUNTIFS($AD$2:$AD$200,$G245)&gt;0,
     COUNTIFS($AE$2:$AE$200,$G245)&gt;0,
     COUNTIFS($AF$2:$AF$200,$G245)&gt;0,
     COUNTIFS($AG$2:$AG$200,$G245)&gt;0,
     COUNTIFS($AH$2:$AH$200,$G245)&gt;0,
     COUNTIFS($AI$2:$AI$200,$G245)&gt;0,
     COUNTIFS($AJ$2:$AJ$200,$G245)&gt;0,
     COUNTIFS($AK$2:$AK$200,$G245)&gt;0,
     COUNTIFS($AL$2:$AL$200,$G245)&gt;0,
     COUNTIFS($AM$2:$AM$200,$G245)&gt;0,
     COUNTIFS($AN$2:$AN$200,$G245)&gt;0,
     COUNTIFS($AO$2:$AO$200,$G245)&gt;0,
     COUNTIFS($AP$2:$AP$200,$G245)&gt;0,
     COUNTIFS($AQ$2:$AQ$200,$G245)&gt;0,
     COUNTIFS($AR$2:$AR$200,$G245)&gt;0,
     COUNTIFS($AS$2:$AS$200,$G245)&gt;0,
     COUNTIFS($AT$2:$AT$200,$G245)&gt;0,
     COUNTIFS($AU$2:$AU$200,$G245)&gt;0,
     COUNTIFS($AV$2:$AV$200,$G245)&gt;0,
     COUNTIFS($AW$2:$AW$200,$G245)&gt;0,
     COUNTIFS($AX$2:$AX$200,$G245)&gt;0,
     COUNTIFS($AY$2:$AY$200,$G245)&gt;0
   )),
  ),
  4
 ),
"")</f>
        <v/>
      </c>
      <c r="G245" t="str">
        <f ca="1"/>
        <v>Lavabelly Sliver</v>
      </c>
      <c r="EU245" t="str">
        <f ca="1"/>
        <v>Ripples of Undeath</v>
      </c>
      <c r="EX245" t="str">
        <f ca="1"/>
        <v>Lavabelly Sliver</v>
      </c>
    </row>
    <row r="246" spans="1:154" x14ac:dyDescent="0.25">
      <c r="A246" s="2" t="str">
        <f t="shared" ca="1" si="12"/>
        <v>3</v>
      </c>
      <c r="B246" s="2">
        <f t="shared" ca="1" si="13"/>
        <v>1</v>
      </c>
      <c r="C246" s="2" t="str">
        <f ca="1">IFERROR(
 INDEX($V$1:$BL$1,
  MATCH(TRUE,
   CHOOSE({1;2;3;4;5;6;7;8;9;10;11;12;13;14;15;16;17;18;19;20;21;22;23;24;25;26;27;28;29;30;31;32;33;34;35;36;37;38;39;40;41;42;43},
    COUNTIFS($V$2:$V$200,$G246)&gt;0,
    COUNTIFS($W$2:$W$200,$G246)&gt;0,
    COUNTIFS($X$2:$X$200,$G246)&gt;0,
    COUNTIFS($Y$2:$Y$200,$G246)&gt;0,
    COUNTIFS($Z$2:$Z$200,$G246)&gt;0,
    COUNTIFS($AA$2:$AA$200,$G246)&gt;0,
    COUNTIFS($AB$2:$AB$200,$G246)&gt;0,
    COUNTIFS($AC$2:$AC$200,$G246)&gt;0,
    COUNTIFS($AD$2:$AD$200,$G246)&gt;0,
    COUNTIFS($AE$2:$AE$200,$G246)&gt;0,
    COUNTIFS($AF$2:$AF$200,$G246)&gt;0,
    COUNTIFS($AG$2:$AG$200,$G246)&gt;0,
    COUNTIFS($AH$2:$AH$200,$G246)&gt;0,
    COUNTIFS($AI$2:$AI$200,$G246)&gt;0,
    COUNTIFS($AJ$2:$AJ$200,$G246)&gt;0,
    COUNTIFS($AK$2:$AK$200,$G246)&gt;0,
    COUNTIFS($AL$2:$AL$200,$G246)&gt;0,
    COUNTIFS($AM$2:$AM$200,$G246)&gt;0,
    COUNTIFS($AN$2:$AN$200,$G246)&gt;0,
    COUNTIFS($AO$2:$AO$200,$G246)&gt;0,
    COUNTIFS($AP$2:$AP$200,$G246)&gt;0,
    COUNTIFS($AQ$2:$AQ$200,$G246)&gt;0,
    COUNTIFS($AR$2:$AR$200,$G246)&gt;0,
    COUNTIFS($AS$2:$AS$200,$G246)&gt;0,
    COUNTIFS($AT$2:$AT$200,$G246)&gt;0,
    COUNTIFS($AU$2:$AU$200,$G246)&gt;0,
    COUNTIFS($AV$2:$AV$200,$G246)&gt;0,
    COUNTIFS($AW$2:$AW$200,$G246)&gt;0,
    COUNTIFS($AX$2:$AX$200,$G246)&gt;0,
    COUNTIFS($AY$2:$AY$200,$G246)&gt;0,
    COUNTIFS($AZ$2:$AZ$200,$G246)&gt;0,
    COUNTIFS($BA$2:$BA$200,$G246)&gt;0,
    COUNTIFS($BB$2:$BB$200,$G246)&gt;0,
    COUNTIFS($BC$2:$BC$200,$G246)&gt;0,
    COUNTIFS($BD$2:$BD$200,$G246)&gt;0,
    COUNTIFS($BE$2:$BE$200,$G246)&gt;0,
    COUNTIFS($BF$2:$BF$200,$G246)&gt;0,
    COUNTIFS($BG$2:$BG$200,$G246)&gt;0,
    COUNTIFS($BH$2:$BH$200,$G246)&gt;0,
    COUNTIFS($BI$2:$BI$200,$G246)&gt;0,
    COUNTIFS($BJ$2:$BJ$200,$G246)&gt;0,
    COUNTIFS($BK$2:$BK$200,$G246)&gt;0,
    COUNTIFS($BL$2:$BL$200,$G246)&gt;0,
    COUNTIFS($BM$2:$BM$200,$G246)&gt;0,
   ),
  0)
 ),
"")</f>
        <v>Akiri</v>
      </c>
      <c r="D246" s="2" t="str" cm="1">
        <f t="array" aca="1" ref="D246" ca="1">IFERROR(
 INDEX(
  _xlfn._xlws.FILTER($V$1:$AY$1,
   TRANSPOSE(
    CHOOSE({1;2;3;4;5;6;7;8;9;10;11;12;13;14;15;16;17;18;19;20;21;22;23;24;25;26;27;28;29;30},
     COUNTIFS($V$2:$V$200,$G246)&gt;0,
     COUNTIFS($W$2:$W$200,$G246)&gt;0,
     COUNTIFS($X$2:$X$200,$G246)&gt;0,
     COUNTIFS($Y$2:$Y$200,$G246)&gt;0,
     COUNTIFS($Z$2:$Z$200,$G246)&gt;0,
     COUNTIFS($AA$2:$AA$200,$G246)&gt;0,
     COUNTIFS($AB$2:$AB$200,$G246)&gt;0,
     COUNTIFS($AC$2:$AC$200,$G246)&gt;0,
     COUNTIFS($AD$2:$AD$200,$G246)&gt;0,
     COUNTIFS($AE$2:$AE$200,$G246)&gt;0,
     COUNTIFS($AF$2:$AF$200,$G246)&gt;0,
     COUNTIFS($AG$2:$AG$200,$G246)&gt;0,
     COUNTIFS($AH$2:$AH$200,$G246)&gt;0,
     COUNTIFS($AI$2:$AI$200,$G246)&gt;0,
     COUNTIFS($AJ$2:$AJ$200,$G246)&gt;0,
     COUNTIFS($AK$2:$AK$200,$G246)&gt;0,
     COUNTIFS($AL$2:$AL$200,$G246)&gt;0,
     COUNTIFS($AM$2:$AM$200,$G246)&gt;0,
     COUNTIFS($AN$2:$AN$200,$G246)&gt;0,
     COUNTIFS($AO$2:$AO$200,$G246)&gt;0,
     COUNTIFS($AP$2:$AP$200,$G246)&gt;0,
     COUNTIFS($AQ$2:$AQ$200,$G246)&gt;0,
     COUNTIFS($AR$2:$AR$200,$G246)&gt;0,
     COUNTIFS($AS$2:$AS$200,$G246)&gt;0,
     COUNTIFS($AT$2:$AT$200,$G246)&gt;0,
     COUNTIFS($AU$2:$AU$200,$G246)&gt;0,
     COUNTIFS($AV$2:$AV$200,$G246)&gt;0,
     COUNTIFS($AW$2:$AW$200,$G246)&gt;0,
     COUNTIFS($AX$2:$AX$200,$G246)&gt;0,
     COUNTIFS($AY$2:$AY$200,$G246)&gt;0
   )),
  ),
  2
 ),
"")</f>
        <v/>
      </c>
      <c r="E246" s="2" t="str" cm="1">
        <f t="array" aca="1" ref="E246" ca="1">IFERROR(
 INDEX(
  _xlfn._xlws.FILTER($V$1:$AY$1,
   TRANSPOSE(
    CHOOSE({1;2;3;4;5;6;7;8;9;10;11;12;13;14;15;16;17;18;19;20;21;22;23;24;25;26;27;28;29;30},
     COUNTIFS($V$2:$V$200,$G246)&gt;0,
     COUNTIFS($W$2:$W$200,$G246)&gt;0,
     COUNTIFS($X$2:$X$200,$G246)&gt;0,
     COUNTIFS($Y$2:$Y$200,$G246)&gt;0,
     COUNTIFS($Z$2:$Z$200,$G246)&gt;0,
     COUNTIFS($AA$2:$AA$200,$G246)&gt;0,
     COUNTIFS($AB$2:$AB$200,$G246)&gt;0,
     COUNTIFS($AC$2:$AC$200,$G246)&gt;0,
     COUNTIFS($AD$2:$AD$200,$G246)&gt;0,
     COUNTIFS($AE$2:$AE$200,$G246)&gt;0,
     COUNTIFS($AF$2:$AF$200,$G246)&gt;0,
     COUNTIFS($AG$2:$AG$200,$G246)&gt;0,
     COUNTIFS($AH$2:$AH$200,$G246)&gt;0,
     COUNTIFS($AI$2:$AI$200,$G246)&gt;0,
     COUNTIFS($AJ$2:$AJ$200,$G246)&gt;0,
     COUNTIFS($AK$2:$AK$200,$G246)&gt;0,
     COUNTIFS($AL$2:$AL$200,$G246)&gt;0,
     COUNTIFS($AM$2:$AM$200,$G246)&gt;0,
     COUNTIFS($AN$2:$AN$200,$G246)&gt;0,
     COUNTIFS($AO$2:$AO$200,$G246)&gt;0,
     COUNTIFS($AP$2:$AP$200,$G246)&gt;0,
     COUNTIFS($AQ$2:$AQ$200,$G246)&gt;0,
     COUNTIFS($AR$2:$AR$200,$G246)&gt;0,
     COUNTIFS($AS$2:$AS$200,$G246)&gt;0,
     COUNTIFS($AT$2:$AT$200,$G246)&gt;0,
     COUNTIFS($AU$2:$AU$200,$G246)&gt;0,
     COUNTIFS($AV$2:$AV$200,$G246)&gt;0,
     COUNTIFS($AW$2:$AW$200,$G246)&gt;0,
     COUNTIFS($AX$2:$AX$200,$G246)&gt;0,
     COUNTIFS($AY$2:$AY$200,$G246)&gt;0
   )),
  ),
  3
 ),
"")</f>
        <v/>
      </c>
      <c r="F246" s="2" t="str" cm="1">
        <f t="array" aca="1" ref="F246" ca="1">IFERROR(
 INDEX(
  _xlfn._xlws.FILTER($V$1:$AY$1,
   TRANSPOSE(
    CHOOSE({1;2;3;4;5;6;7;8;9;10;11;12;13;14;15;16;17;18;19;20;21;22;23;24;25;26;27;28;29;30},
     COUNTIFS($V$2:$V$200,$G246)&gt;0,
     COUNTIFS($W$2:$W$200,$G246)&gt;0,
     COUNTIFS($X$2:$X$200,$G246)&gt;0,
     COUNTIFS($Y$2:$Y$200,$G246)&gt;0,
     COUNTIFS($Z$2:$Z$200,$G246)&gt;0,
     COUNTIFS($AA$2:$AA$200,$G246)&gt;0,
     COUNTIFS($AB$2:$AB$200,$G246)&gt;0,
     COUNTIFS($AC$2:$AC$200,$G246)&gt;0,
     COUNTIFS($AD$2:$AD$200,$G246)&gt;0,
     COUNTIFS($AE$2:$AE$200,$G246)&gt;0,
     COUNTIFS($AF$2:$AF$200,$G246)&gt;0,
     COUNTIFS($AG$2:$AG$200,$G246)&gt;0,
     COUNTIFS($AH$2:$AH$200,$G246)&gt;0,
     COUNTIFS($AI$2:$AI$200,$G246)&gt;0,
     COUNTIFS($AJ$2:$AJ$200,$G246)&gt;0,
     COUNTIFS($AK$2:$AK$200,$G246)&gt;0,
     COUNTIFS($AL$2:$AL$200,$G246)&gt;0,
     COUNTIFS($AM$2:$AM$200,$G246)&gt;0,
     COUNTIFS($AN$2:$AN$200,$G246)&gt;0,
     COUNTIFS($AO$2:$AO$200,$G246)&gt;0,
     COUNTIFS($AP$2:$AP$200,$G246)&gt;0,
     COUNTIFS($AQ$2:$AQ$200,$G246)&gt;0,
     COUNTIFS($AR$2:$AR$200,$G246)&gt;0,
     COUNTIFS($AS$2:$AS$200,$G246)&gt;0,
     COUNTIFS($AT$2:$AT$200,$G246)&gt;0,
     COUNTIFS($AU$2:$AU$200,$G246)&gt;0,
     COUNTIFS($AV$2:$AV$200,$G246)&gt;0,
     COUNTIFS($AW$2:$AW$200,$G246)&gt;0,
     COUNTIFS($AX$2:$AX$200,$G246)&gt;0,
     COUNTIFS($AY$2:$AY$200,$G246)&gt;0
   )),
  ),
  4
 ),
"")</f>
        <v/>
      </c>
      <c r="G246" t="str">
        <f ca="1"/>
        <v>Lavaspur Boots</v>
      </c>
      <c r="EU246" t="str">
        <f ca="1"/>
        <v>Rise of the Eldrazi</v>
      </c>
      <c r="EX246" t="str">
        <f ca="1"/>
        <v>Lavaspur Boots</v>
      </c>
    </row>
    <row r="247" spans="1:154" x14ac:dyDescent="0.25">
      <c r="A247" s="2" t="str">
        <f t="shared" ca="1" si="12"/>
        <v>5</v>
      </c>
      <c r="B247" s="2">
        <f t="shared" ca="1" si="13"/>
        <v>1</v>
      </c>
      <c r="C247" s="2" t="str">
        <f ca="1">IFERROR(
 INDEX($V$1:$BL$1,
  MATCH(TRUE,
   CHOOSE({1;2;3;4;5;6;7;8;9;10;11;12;13;14;15;16;17;18;19;20;21;22;23;24;25;26;27;28;29;30;31;32;33;34;35;36;37;38;39;40;41;42;43},
    COUNTIFS($V$2:$V$200,$G247)&gt;0,
    COUNTIFS($W$2:$W$200,$G247)&gt;0,
    COUNTIFS($X$2:$X$200,$G247)&gt;0,
    COUNTIFS($Y$2:$Y$200,$G247)&gt;0,
    COUNTIFS($Z$2:$Z$200,$G247)&gt;0,
    COUNTIFS($AA$2:$AA$200,$G247)&gt;0,
    COUNTIFS($AB$2:$AB$200,$G247)&gt;0,
    COUNTIFS($AC$2:$AC$200,$G247)&gt;0,
    COUNTIFS($AD$2:$AD$200,$G247)&gt;0,
    COUNTIFS($AE$2:$AE$200,$G247)&gt;0,
    COUNTIFS($AF$2:$AF$200,$G247)&gt;0,
    COUNTIFS($AG$2:$AG$200,$G247)&gt;0,
    COUNTIFS($AH$2:$AH$200,$G247)&gt;0,
    COUNTIFS($AI$2:$AI$200,$G247)&gt;0,
    COUNTIFS($AJ$2:$AJ$200,$G247)&gt;0,
    COUNTIFS($AK$2:$AK$200,$G247)&gt;0,
    COUNTIFS($AL$2:$AL$200,$G247)&gt;0,
    COUNTIFS($AM$2:$AM$200,$G247)&gt;0,
    COUNTIFS($AN$2:$AN$200,$G247)&gt;0,
    COUNTIFS($AO$2:$AO$200,$G247)&gt;0,
    COUNTIFS($AP$2:$AP$200,$G247)&gt;0,
    COUNTIFS($AQ$2:$AQ$200,$G247)&gt;0,
    COUNTIFS($AR$2:$AR$200,$G247)&gt;0,
    COUNTIFS($AS$2:$AS$200,$G247)&gt;0,
    COUNTIFS($AT$2:$AT$200,$G247)&gt;0,
    COUNTIFS($AU$2:$AU$200,$G247)&gt;0,
    COUNTIFS($AV$2:$AV$200,$G247)&gt;0,
    COUNTIFS($AW$2:$AW$200,$G247)&gt;0,
    COUNTIFS($AX$2:$AX$200,$G247)&gt;0,
    COUNTIFS($AY$2:$AY$200,$G247)&gt;0,
    COUNTIFS($AZ$2:$AZ$200,$G247)&gt;0,
    COUNTIFS($BA$2:$BA$200,$G247)&gt;0,
    COUNTIFS($BB$2:$BB$200,$G247)&gt;0,
    COUNTIFS($BC$2:$BC$200,$G247)&gt;0,
    COUNTIFS($BD$2:$BD$200,$G247)&gt;0,
    COUNTIFS($BE$2:$BE$200,$G247)&gt;0,
    COUNTIFS($BF$2:$BF$200,$G247)&gt;0,
    COUNTIFS($BG$2:$BG$200,$G247)&gt;0,
    COUNTIFS($BH$2:$BH$200,$G247)&gt;0,
    COUNTIFS($BI$2:$BI$200,$G247)&gt;0,
    COUNTIFS($BJ$2:$BJ$200,$G247)&gt;0,
    COUNTIFS($BK$2:$BK$200,$G247)&gt;0,
    COUNTIFS($BL$2:$BL$200,$G247)&gt;0,
    COUNTIFS($BM$2:$BM$200,$G247)&gt;0,
   ),
  0)
 ),
"")</f>
        <v>Zuko</v>
      </c>
      <c r="D247" s="2" t="str" cm="1">
        <f t="array" aca="1" ref="D247" ca="1">IFERROR(
 INDEX(
  _xlfn._xlws.FILTER($V$1:$AY$1,
   TRANSPOSE(
    CHOOSE({1;2;3;4;5;6;7;8;9;10;11;12;13;14;15;16;17;18;19;20;21;22;23;24;25;26;27;28;29;30},
     COUNTIFS($V$2:$V$200,$G247)&gt;0,
     COUNTIFS($W$2:$W$200,$G247)&gt;0,
     COUNTIFS($X$2:$X$200,$G247)&gt;0,
     COUNTIFS($Y$2:$Y$200,$G247)&gt;0,
     COUNTIFS($Z$2:$Z$200,$G247)&gt;0,
     COUNTIFS($AA$2:$AA$200,$G247)&gt;0,
     COUNTIFS($AB$2:$AB$200,$G247)&gt;0,
     COUNTIFS($AC$2:$AC$200,$G247)&gt;0,
     COUNTIFS($AD$2:$AD$200,$G247)&gt;0,
     COUNTIFS($AE$2:$AE$200,$G247)&gt;0,
     COUNTIFS($AF$2:$AF$200,$G247)&gt;0,
     COUNTIFS($AG$2:$AG$200,$G247)&gt;0,
     COUNTIFS($AH$2:$AH$200,$G247)&gt;0,
     COUNTIFS($AI$2:$AI$200,$G247)&gt;0,
     COUNTIFS($AJ$2:$AJ$200,$G247)&gt;0,
     COUNTIFS($AK$2:$AK$200,$G247)&gt;0,
     COUNTIFS($AL$2:$AL$200,$G247)&gt;0,
     COUNTIFS($AM$2:$AM$200,$G247)&gt;0,
     COUNTIFS($AN$2:$AN$200,$G247)&gt;0,
     COUNTIFS($AO$2:$AO$200,$G247)&gt;0,
     COUNTIFS($AP$2:$AP$200,$G247)&gt;0,
     COUNTIFS($AQ$2:$AQ$200,$G247)&gt;0,
     COUNTIFS($AR$2:$AR$200,$G247)&gt;0,
     COUNTIFS($AS$2:$AS$200,$G247)&gt;0,
     COUNTIFS($AT$2:$AT$200,$G247)&gt;0,
     COUNTIFS($AU$2:$AU$200,$G247)&gt;0,
     COUNTIFS($AV$2:$AV$200,$G247)&gt;0,
     COUNTIFS($AW$2:$AW$200,$G247)&gt;0,
     COUNTIFS($AX$2:$AX$200,$G247)&gt;0,
     COUNTIFS($AY$2:$AY$200,$G247)&gt;0
   )),
  ),
  2
 ),
"")</f>
        <v/>
      </c>
      <c r="E247" s="2" t="str" cm="1">
        <f t="array" aca="1" ref="E247" ca="1">IFERROR(
 INDEX(
  _xlfn._xlws.FILTER($V$1:$AY$1,
   TRANSPOSE(
    CHOOSE({1;2;3;4;5;6;7;8;9;10;11;12;13;14;15;16;17;18;19;20;21;22;23;24;25;26;27;28;29;30},
     COUNTIFS($V$2:$V$200,$G247)&gt;0,
     COUNTIFS($W$2:$W$200,$G247)&gt;0,
     COUNTIFS($X$2:$X$200,$G247)&gt;0,
     COUNTIFS($Y$2:$Y$200,$G247)&gt;0,
     COUNTIFS($Z$2:$Z$200,$G247)&gt;0,
     COUNTIFS($AA$2:$AA$200,$G247)&gt;0,
     COUNTIFS($AB$2:$AB$200,$G247)&gt;0,
     COUNTIFS($AC$2:$AC$200,$G247)&gt;0,
     COUNTIFS($AD$2:$AD$200,$G247)&gt;0,
     COUNTIFS($AE$2:$AE$200,$G247)&gt;0,
     COUNTIFS($AF$2:$AF$200,$G247)&gt;0,
     COUNTIFS($AG$2:$AG$200,$G247)&gt;0,
     COUNTIFS($AH$2:$AH$200,$G247)&gt;0,
     COUNTIFS($AI$2:$AI$200,$G247)&gt;0,
     COUNTIFS($AJ$2:$AJ$200,$G247)&gt;0,
     COUNTIFS($AK$2:$AK$200,$G247)&gt;0,
     COUNTIFS($AL$2:$AL$200,$G247)&gt;0,
     COUNTIFS($AM$2:$AM$200,$G247)&gt;0,
     COUNTIFS($AN$2:$AN$200,$G247)&gt;0,
     COUNTIFS($AO$2:$AO$200,$G247)&gt;0,
     COUNTIFS($AP$2:$AP$200,$G247)&gt;0,
     COUNTIFS($AQ$2:$AQ$200,$G247)&gt;0,
     COUNTIFS($AR$2:$AR$200,$G247)&gt;0,
     COUNTIFS($AS$2:$AS$200,$G247)&gt;0,
     COUNTIFS($AT$2:$AT$200,$G247)&gt;0,
     COUNTIFS($AU$2:$AU$200,$G247)&gt;0,
     COUNTIFS($AV$2:$AV$200,$G247)&gt;0,
     COUNTIFS($AW$2:$AW$200,$G247)&gt;0,
     COUNTIFS($AX$2:$AX$200,$G247)&gt;0,
     COUNTIFS($AY$2:$AY$200,$G247)&gt;0
   )),
  ),
  3
 ),
"")</f>
        <v/>
      </c>
      <c r="F247" s="2" t="str" cm="1">
        <f t="array" aca="1" ref="F247" ca="1">IFERROR(
 INDEX(
  _xlfn._xlws.FILTER($V$1:$AY$1,
   TRANSPOSE(
    CHOOSE({1;2;3;4;5;6;7;8;9;10;11;12;13;14;15;16;17;18;19;20;21;22;23;24;25;26;27;28;29;30},
     COUNTIFS($V$2:$V$200,$G247)&gt;0,
     COUNTIFS($W$2:$W$200,$G247)&gt;0,
     COUNTIFS($X$2:$X$200,$G247)&gt;0,
     COUNTIFS($Y$2:$Y$200,$G247)&gt;0,
     COUNTIFS($Z$2:$Z$200,$G247)&gt;0,
     COUNTIFS($AA$2:$AA$200,$G247)&gt;0,
     COUNTIFS($AB$2:$AB$200,$G247)&gt;0,
     COUNTIFS($AC$2:$AC$200,$G247)&gt;0,
     COUNTIFS($AD$2:$AD$200,$G247)&gt;0,
     COUNTIFS($AE$2:$AE$200,$G247)&gt;0,
     COUNTIFS($AF$2:$AF$200,$G247)&gt;0,
     COUNTIFS($AG$2:$AG$200,$G247)&gt;0,
     COUNTIFS($AH$2:$AH$200,$G247)&gt;0,
     COUNTIFS($AI$2:$AI$200,$G247)&gt;0,
     COUNTIFS($AJ$2:$AJ$200,$G247)&gt;0,
     COUNTIFS($AK$2:$AK$200,$G247)&gt;0,
     COUNTIFS($AL$2:$AL$200,$G247)&gt;0,
     COUNTIFS($AM$2:$AM$200,$G247)&gt;0,
     COUNTIFS($AN$2:$AN$200,$G247)&gt;0,
     COUNTIFS($AO$2:$AO$200,$G247)&gt;0,
     COUNTIFS($AP$2:$AP$200,$G247)&gt;0,
     COUNTIFS($AQ$2:$AQ$200,$G247)&gt;0,
     COUNTIFS($AR$2:$AR$200,$G247)&gt;0,
     COUNTIFS($AS$2:$AS$200,$G247)&gt;0,
     COUNTIFS($AT$2:$AT$200,$G247)&gt;0,
     COUNTIFS($AU$2:$AU$200,$G247)&gt;0,
     COUNTIFS($AV$2:$AV$200,$G247)&gt;0,
     COUNTIFS($AW$2:$AW$200,$G247)&gt;0,
     COUNTIFS($AX$2:$AX$200,$G247)&gt;0,
     COUNTIFS($AY$2:$AY$200,$G247)&gt;0
   )),
  ),
  4
 ),
"")</f>
        <v/>
      </c>
      <c r="G247" t="str">
        <f ca="1"/>
        <v>Leyline Tyrant</v>
      </c>
      <c r="EU247" t="str">
        <f ca="1"/>
        <v>Rivendell</v>
      </c>
      <c r="EX247" t="str">
        <f ca="1"/>
        <v>Leyline Tyrant</v>
      </c>
    </row>
    <row r="248" spans="1:154" x14ac:dyDescent="0.25">
      <c r="A248" s="2" t="str">
        <f t="shared" ca="1" si="12"/>
        <v>2</v>
      </c>
      <c r="B248" s="2">
        <f t="shared" ca="1" si="13"/>
        <v>1</v>
      </c>
      <c r="C248" s="2" t="str">
        <f ca="1">IFERROR(
 INDEX($V$1:$BL$1,
  MATCH(TRUE,
   CHOOSE({1;2;3;4;5;6;7;8;9;10;11;12;13;14;15;16;17;18;19;20;21;22;23;24;25;26;27;28;29;30;31;32;33;34;35;36;37;38;39;40;41;42;43},
    COUNTIFS($V$2:$V$200,$G248)&gt;0,
    COUNTIFS($W$2:$W$200,$G248)&gt;0,
    COUNTIFS($X$2:$X$200,$G248)&gt;0,
    COUNTIFS($Y$2:$Y$200,$G248)&gt;0,
    COUNTIFS($Z$2:$Z$200,$G248)&gt;0,
    COUNTIFS($AA$2:$AA$200,$G248)&gt;0,
    COUNTIFS($AB$2:$AB$200,$G248)&gt;0,
    COUNTIFS($AC$2:$AC$200,$G248)&gt;0,
    COUNTIFS($AD$2:$AD$200,$G248)&gt;0,
    COUNTIFS($AE$2:$AE$200,$G248)&gt;0,
    COUNTIFS($AF$2:$AF$200,$G248)&gt;0,
    COUNTIFS($AG$2:$AG$200,$G248)&gt;0,
    COUNTIFS($AH$2:$AH$200,$G248)&gt;0,
    COUNTIFS($AI$2:$AI$200,$G248)&gt;0,
    COUNTIFS($AJ$2:$AJ$200,$G248)&gt;0,
    COUNTIFS($AK$2:$AK$200,$G248)&gt;0,
    COUNTIFS($AL$2:$AL$200,$G248)&gt;0,
    COUNTIFS($AM$2:$AM$200,$G248)&gt;0,
    COUNTIFS($AN$2:$AN$200,$G248)&gt;0,
    COUNTIFS($AO$2:$AO$200,$G248)&gt;0,
    COUNTIFS($AP$2:$AP$200,$G248)&gt;0,
    COUNTIFS($AQ$2:$AQ$200,$G248)&gt;0,
    COUNTIFS($AR$2:$AR$200,$G248)&gt;0,
    COUNTIFS($AS$2:$AS$200,$G248)&gt;0,
    COUNTIFS($AT$2:$AT$200,$G248)&gt;0,
    COUNTIFS($AU$2:$AU$200,$G248)&gt;0,
    COUNTIFS($AV$2:$AV$200,$G248)&gt;0,
    COUNTIFS($AW$2:$AW$200,$G248)&gt;0,
    COUNTIFS($AX$2:$AX$200,$G248)&gt;0,
    COUNTIFS($AY$2:$AY$200,$G248)&gt;0,
    COUNTIFS($AZ$2:$AZ$200,$G248)&gt;0,
    COUNTIFS($BA$2:$BA$200,$G248)&gt;0,
    COUNTIFS($BB$2:$BB$200,$G248)&gt;0,
    COUNTIFS($BC$2:$BC$200,$G248)&gt;0,
    COUNTIFS($BD$2:$BD$200,$G248)&gt;0,
    COUNTIFS($BE$2:$BE$200,$G248)&gt;0,
    COUNTIFS($BF$2:$BF$200,$G248)&gt;0,
    COUNTIFS($BG$2:$BG$200,$G248)&gt;0,
    COUNTIFS($BH$2:$BH$200,$G248)&gt;0,
    COUNTIFS($BI$2:$BI$200,$G248)&gt;0,
    COUNTIFS($BJ$2:$BJ$200,$G248)&gt;0,
    COUNTIFS($BK$2:$BK$200,$G248)&gt;0,
    COUNTIFS($BL$2:$BL$200,$G248)&gt;0,
    COUNTIFS($BM$2:$BM$200,$G248)&gt;0,
   ),
  0)
 ),
"")</f>
        <v>Rani</v>
      </c>
      <c r="D248" s="2" t="str" cm="1">
        <f t="array" aca="1" ref="D248" ca="1">IFERROR(
 INDEX(
  _xlfn._xlws.FILTER($V$1:$AY$1,
   TRANSPOSE(
    CHOOSE({1;2;3;4;5;6;7;8;9;10;11;12;13;14;15;16;17;18;19;20;21;22;23;24;25;26;27;28;29;30},
     COUNTIFS($V$2:$V$200,$G248)&gt;0,
     COUNTIFS($W$2:$W$200,$G248)&gt;0,
     COUNTIFS($X$2:$X$200,$G248)&gt;0,
     COUNTIFS($Y$2:$Y$200,$G248)&gt;0,
     COUNTIFS($Z$2:$Z$200,$G248)&gt;0,
     COUNTIFS($AA$2:$AA$200,$G248)&gt;0,
     COUNTIFS($AB$2:$AB$200,$G248)&gt;0,
     COUNTIFS($AC$2:$AC$200,$G248)&gt;0,
     COUNTIFS($AD$2:$AD$200,$G248)&gt;0,
     COUNTIFS($AE$2:$AE$200,$G248)&gt;0,
     COUNTIFS($AF$2:$AF$200,$G248)&gt;0,
     COUNTIFS($AG$2:$AG$200,$G248)&gt;0,
     COUNTIFS($AH$2:$AH$200,$G248)&gt;0,
     COUNTIFS($AI$2:$AI$200,$G248)&gt;0,
     COUNTIFS($AJ$2:$AJ$200,$G248)&gt;0,
     COUNTIFS($AK$2:$AK$200,$G248)&gt;0,
     COUNTIFS($AL$2:$AL$200,$G248)&gt;0,
     COUNTIFS($AM$2:$AM$200,$G248)&gt;0,
     COUNTIFS($AN$2:$AN$200,$G248)&gt;0,
     COUNTIFS($AO$2:$AO$200,$G248)&gt;0,
     COUNTIFS($AP$2:$AP$200,$G248)&gt;0,
     COUNTIFS($AQ$2:$AQ$200,$G248)&gt;0,
     COUNTIFS($AR$2:$AR$200,$G248)&gt;0,
     COUNTIFS($AS$2:$AS$200,$G248)&gt;0,
     COUNTIFS($AT$2:$AT$200,$G248)&gt;0,
     COUNTIFS($AU$2:$AU$200,$G248)&gt;0,
     COUNTIFS($AV$2:$AV$200,$G248)&gt;0,
     COUNTIFS($AW$2:$AW$200,$G248)&gt;0,
     COUNTIFS($AX$2:$AX$200,$G248)&gt;0,
     COUNTIFS($AY$2:$AY$200,$G248)&gt;0
   )),
  ),
  2
 ),
"")</f>
        <v/>
      </c>
      <c r="E248" s="2" t="str" cm="1">
        <f t="array" aca="1" ref="E248" ca="1">IFERROR(
 INDEX(
  _xlfn._xlws.FILTER($V$1:$AY$1,
   TRANSPOSE(
    CHOOSE({1;2;3;4;5;6;7;8;9;10;11;12;13;14;15;16;17;18;19;20;21;22;23;24;25;26;27;28;29;30},
     COUNTIFS($V$2:$V$200,$G248)&gt;0,
     COUNTIFS($W$2:$W$200,$G248)&gt;0,
     COUNTIFS($X$2:$X$200,$G248)&gt;0,
     COUNTIFS($Y$2:$Y$200,$G248)&gt;0,
     COUNTIFS($Z$2:$Z$200,$G248)&gt;0,
     COUNTIFS($AA$2:$AA$200,$G248)&gt;0,
     COUNTIFS($AB$2:$AB$200,$G248)&gt;0,
     COUNTIFS($AC$2:$AC$200,$G248)&gt;0,
     COUNTIFS($AD$2:$AD$200,$G248)&gt;0,
     COUNTIFS($AE$2:$AE$200,$G248)&gt;0,
     COUNTIFS($AF$2:$AF$200,$G248)&gt;0,
     COUNTIFS($AG$2:$AG$200,$G248)&gt;0,
     COUNTIFS($AH$2:$AH$200,$G248)&gt;0,
     COUNTIFS($AI$2:$AI$200,$G248)&gt;0,
     COUNTIFS($AJ$2:$AJ$200,$G248)&gt;0,
     COUNTIFS($AK$2:$AK$200,$G248)&gt;0,
     COUNTIFS($AL$2:$AL$200,$G248)&gt;0,
     COUNTIFS($AM$2:$AM$200,$G248)&gt;0,
     COUNTIFS($AN$2:$AN$200,$G248)&gt;0,
     COUNTIFS($AO$2:$AO$200,$G248)&gt;0,
     COUNTIFS($AP$2:$AP$200,$G248)&gt;0,
     COUNTIFS($AQ$2:$AQ$200,$G248)&gt;0,
     COUNTIFS($AR$2:$AR$200,$G248)&gt;0,
     COUNTIFS($AS$2:$AS$200,$G248)&gt;0,
     COUNTIFS($AT$2:$AT$200,$G248)&gt;0,
     COUNTIFS($AU$2:$AU$200,$G248)&gt;0,
     COUNTIFS($AV$2:$AV$200,$G248)&gt;0,
     COUNTIFS($AW$2:$AW$200,$G248)&gt;0,
     COUNTIFS($AX$2:$AX$200,$G248)&gt;0,
     COUNTIFS($AY$2:$AY$200,$G248)&gt;0
   )),
  ),
  3
 ),
"")</f>
        <v/>
      </c>
      <c r="F248" s="2" t="str" cm="1">
        <f t="array" aca="1" ref="F248" ca="1">IFERROR(
 INDEX(
  _xlfn._xlws.FILTER($V$1:$AY$1,
   TRANSPOSE(
    CHOOSE({1;2;3;4;5;6;7;8;9;10;11;12;13;14;15;16;17;18;19;20;21;22;23;24;25;26;27;28;29;30},
     COUNTIFS($V$2:$V$200,$G248)&gt;0,
     COUNTIFS($W$2:$W$200,$G248)&gt;0,
     COUNTIFS($X$2:$X$200,$G248)&gt;0,
     COUNTIFS($Y$2:$Y$200,$G248)&gt;0,
     COUNTIFS($Z$2:$Z$200,$G248)&gt;0,
     COUNTIFS($AA$2:$AA$200,$G248)&gt;0,
     COUNTIFS($AB$2:$AB$200,$G248)&gt;0,
     COUNTIFS($AC$2:$AC$200,$G248)&gt;0,
     COUNTIFS($AD$2:$AD$200,$G248)&gt;0,
     COUNTIFS($AE$2:$AE$200,$G248)&gt;0,
     COUNTIFS($AF$2:$AF$200,$G248)&gt;0,
     COUNTIFS($AG$2:$AG$200,$G248)&gt;0,
     COUNTIFS($AH$2:$AH$200,$G248)&gt;0,
     COUNTIFS($AI$2:$AI$200,$G248)&gt;0,
     COUNTIFS($AJ$2:$AJ$200,$G248)&gt;0,
     COUNTIFS($AK$2:$AK$200,$G248)&gt;0,
     COUNTIFS($AL$2:$AL$200,$G248)&gt;0,
     COUNTIFS($AM$2:$AM$200,$G248)&gt;0,
     COUNTIFS($AN$2:$AN$200,$G248)&gt;0,
     COUNTIFS($AO$2:$AO$200,$G248)&gt;0,
     COUNTIFS($AP$2:$AP$200,$G248)&gt;0,
     COUNTIFS($AQ$2:$AQ$200,$G248)&gt;0,
     COUNTIFS($AR$2:$AR$200,$G248)&gt;0,
     COUNTIFS($AS$2:$AS$200,$G248)&gt;0,
     COUNTIFS($AT$2:$AT$200,$G248)&gt;0,
     COUNTIFS($AU$2:$AU$200,$G248)&gt;0,
     COUNTIFS($AV$2:$AV$200,$G248)&gt;0,
     COUNTIFS($AW$2:$AW$200,$G248)&gt;0,
     COUNTIFS($AX$2:$AX$200,$G248)&gt;0,
     COUNTIFS($AY$2:$AY$200,$G248)&gt;0
   )),
  ),
  4
 ),
"")</f>
        <v/>
      </c>
      <c r="G248" t="str">
        <f ca="1"/>
        <v>Life of the Party</v>
      </c>
      <c r="EU248" t="str">
        <f ca="1"/>
        <v>Riveteers Charm</v>
      </c>
      <c r="EX248" t="str">
        <f ca="1"/>
        <v>Life of the Party</v>
      </c>
    </row>
    <row r="249" spans="1:154" x14ac:dyDescent="0.25">
      <c r="A249" s="2" t="str">
        <f t="shared" ca="1" si="12"/>
        <v>4</v>
      </c>
      <c r="B249" s="2">
        <f t="shared" ca="1" si="13"/>
        <v>2</v>
      </c>
      <c r="C249" s="2" t="str">
        <f ca="1">IFERROR(
 INDEX($V$1:$BL$1,
  MATCH(TRUE,
   CHOOSE({1;2;3;4;5;6;7;8;9;10;11;12;13;14;15;16;17;18;19;20;21;22;23;24;25;26;27;28;29;30;31;32;33;34;35;36;37;38;39;40;41;42;43},
    COUNTIFS($V$2:$V$200,$G249)&gt;0,
    COUNTIFS($W$2:$W$200,$G249)&gt;0,
    COUNTIFS($X$2:$X$200,$G249)&gt;0,
    COUNTIFS($Y$2:$Y$200,$G249)&gt;0,
    COUNTIFS($Z$2:$Z$200,$G249)&gt;0,
    COUNTIFS($AA$2:$AA$200,$G249)&gt;0,
    COUNTIFS($AB$2:$AB$200,$G249)&gt;0,
    COUNTIFS($AC$2:$AC$200,$G249)&gt;0,
    COUNTIFS($AD$2:$AD$200,$G249)&gt;0,
    COUNTIFS($AE$2:$AE$200,$G249)&gt;0,
    COUNTIFS($AF$2:$AF$200,$G249)&gt;0,
    COUNTIFS($AG$2:$AG$200,$G249)&gt;0,
    COUNTIFS($AH$2:$AH$200,$G249)&gt;0,
    COUNTIFS($AI$2:$AI$200,$G249)&gt;0,
    COUNTIFS($AJ$2:$AJ$200,$G249)&gt;0,
    COUNTIFS($AK$2:$AK$200,$G249)&gt;0,
    COUNTIFS($AL$2:$AL$200,$G249)&gt;0,
    COUNTIFS($AM$2:$AM$200,$G249)&gt;0,
    COUNTIFS($AN$2:$AN$200,$G249)&gt;0,
    COUNTIFS($AO$2:$AO$200,$G249)&gt;0,
    COUNTIFS($AP$2:$AP$200,$G249)&gt;0,
    COUNTIFS($AQ$2:$AQ$200,$G249)&gt;0,
    COUNTIFS($AR$2:$AR$200,$G249)&gt;0,
    COUNTIFS($AS$2:$AS$200,$G249)&gt;0,
    COUNTIFS($AT$2:$AT$200,$G249)&gt;0,
    COUNTIFS($AU$2:$AU$200,$G249)&gt;0,
    COUNTIFS($AV$2:$AV$200,$G249)&gt;0,
    COUNTIFS($AW$2:$AW$200,$G249)&gt;0,
    COUNTIFS($AX$2:$AX$200,$G249)&gt;0,
    COUNTIFS($AY$2:$AY$200,$G249)&gt;0,
    COUNTIFS($AZ$2:$AZ$200,$G249)&gt;0,
    COUNTIFS($BA$2:$BA$200,$G249)&gt;0,
    COUNTIFS($BB$2:$BB$200,$G249)&gt;0,
    COUNTIFS($BC$2:$BC$200,$G249)&gt;0,
    COUNTIFS($BD$2:$BD$200,$G249)&gt;0,
    COUNTIFS($BE$2:$BE$200,$G249)&gt;0,
    COUNTIFS($BF$2:$BF$200,$G249)&gt;0,
    COUNTIFS($BG$2:$BG$200,$G249)&gt;0,
    COUNTIFS($BH$2:$BH$200,$G249)&gt;0,
    COUNTIFS($BI$2:$BI$200,$G249)&gt;0,
    COUNTIFS($BJ$2:$BJ$200,$G249)&gt;0,
    COUNTIFS($BK$2:$BK$200,$G249)&gt;0,
    COUNTIFS($BL$2:$BL$200,$G249)&gt;0,
    COUNTIFS($BM$2:$BM$200,$G249)&gt;0,
   ),
  0)
 ),
"")</f>
        <v>Baylen</v>
      </c>
      <c r="D249" s="2" t="str" cm="1">
        <f t="array" aca="1" ref="D249" ca="1">IFERROR(
 INDEX(
  _xlfn._xlws.FILTER($V$1:$AY$1,
   TRANSPOSE(
    CHOOSE({1;2;3;4;5;6;7;8;9;10;11;12;13;14;15;16;17;18;19;20;21;22;23;24;25;26;27;28;29;30},
     COUNTIFS($V$2:$V$200,$G249)&gt;0,
     COUNTIFS($W$2:$W$200,$G249)&gt;0,
     COUNTIFS($X$2:$X$200,$G249)&gt;0,
     COUNTIFS($Y$2:$Y$200,$G249)&gt;0,
     COUNTIFS($Z$2:$Z$200,$G249)&gt;0,
     COUNTIFS($AA$2:$AA$200,$G249)&gt;0,
     COUNTIFS($AB$2:$AB$200,$G249)&gt;0,
     COUNTIFS($AC$2:$AC$200,$G249)&gt;0,
     COUNTIFS($AD$2:$AD$200,$G249)&gt;0,
     COUNTIFS($AE$2:$AE$200,$G249)&gt;0,
     COUNTIFS($AF$2:$AF$200,$G249)&gt;0,
     COUNTIFS($AG$2:$AG$200,$G249)&gt;0,
     COUNTIFS($AH$2:$AH$200,$G249)&gt;0,
     COUNTIFS($AI$2:$AI$200,$G249)&gt;0,
     COUNTIFS($AJ$2:$AJ$200,$G249)&gt;0,
     COUNTIFS($AK$2:$AK$200,$G249)&gt;0,
     COUNTIFS($AL$2:$AL$200,$G249)&gt;0,
     COUNTIFS($AM$2:$AM$200,$G249)&gt;0,
     COUNTIFS($AN$2:$AN$200,$G249)&gt;0,
     COUNTIFS($AO$2:$AO$200,$G249)&gt;0,
     COUNTIFS($AP$2:$AP$200,$G249)&gt;0,
     COUNTIFS($AQ$2:$AQ$200,$G249)&gt;0,
     COUNTIFS($AR$2:$AR$200,$G249)&gt;0,
     COUNTIFS($AS$2:$AS$200,$G249)&gt;0,
     COUNTIFS($AT$2:$AT$200,$G249)&gt;0,
     COUNTIFS($AU$2:$AU$200,$G249)&gt;0,
     COUNTIFS($AV$2:$AV$200,$G249)&gt;0,
     COUNTIFS($AW$2:$AW$200,$G249)&gt;0,
     COUNTIFS($AX$2:$AX$200,$G249)&gt;0,
     COUNTIFS($AY$2:$AY$200,$G249)&gt;0
   )),
  ),
  2
 ),
"")</f>
        <v/>
      </c>
      <c r="E249" s="2" t="str" cm="1">
        <f t="array" aca="1" ref="E249" ca="1">IFERROR(
 INDEX(
  _xlfn._xlws.FILTER($V$1:$AY$1,
   TRANSPOSE(
    CHOOSE({1;2;3;4;5;6;7;8;9;10;11;12;13;14;15;16;17;18;19;20;21;22;23;24;25;26;27;28;29;30},
     COUNTIFS($V$2:$V$200,$G249)&gt;0,
     COUNTIFS($W$2:$W$200,$G249)&gt;0,
     COUNTIFS($X$2:$X$200,$G249)&gt;0,
     COUNTIFS($Y$2:$Y$200,$G249)&gt;0,
     COUNTIFS($Z$2:$Z$200,$G249)&gt;0,
     COUNTIFS($AA$2:$AA$200,$G249)&gt;0,
     COUNTIFS($AB$2:$AB$200,$G249)&gt;0,
     COUNTIFS($AC$2:$AC$200,$G249)&gt;0,
     COUNTIFS($AD$2:$AD$200,$G249)&gt;0,
     COUNTIFS($AE$2:$AE$200,$G249)&gt;0,
     COUNTIFS($AF$2:$AF$200,$G249)&gt;0,
     COUNTIFS($AG$2:$AG$200,$G249)&gt;0,
     COUNTIFS($AH$2:$AH$200,$G249)&gt;0,
     COUNTIFS($AI$2:$AI$200,$G249)&gt;0,
     COUNTIFS($AJ$2:$AJ$200,$G249)&gt;0,
     COUNTIFS($AK$2:$AK$200,$G249)&gt;0,
     COUNTIFS($AL$2:$AL$200,$G249)&gt;0,
     COUNTIFS($AM$2:$AM$200,$G249)&gt;0,
     COUNTIFS($AN$2:$AN$200,$G249)&gt;0,
     COUNTIFS($AO$2:$AO$200,$G249)&gt;0,
     COUNTIFS($AP$2:$AP$200,$G249)&gt;0,
     COUNTIFS($AQ$2:$AQ$200,$G249)&gt;0,
     COUNTIFS($AR$2:$AR$200,$G249)&gt;0,
     COUNTIFS($AS$2:$AS$200,$G249)&gt;0,
     COUNTIFS($AT$2:$AT$200,$G249)&gt;0,
     COUNTIFS($AU$2:$AU$200,$G249)&gt;0,
     COUNTIFS($AV$2:$AV$200,$G249)&gt;0,
     COUNTIFS($AW$2:$AW$200,$G249)&gt;0,
     COUNTIFS($AX$2:$AX$200,$G249)&gt;0,
     COUNTIFS($AY$2:$AY$200,$G249)&gt;0
   )),
  ),
  3
 ),
"")</f>
        <v/>
      </c>
      <c r="F249" s="2" t="str" cm="1">
        <f t="array" aca="1" ref="F249" ca="1">IFERROR(
 INDEX(
  _xlfn._xlws.FILTER($V$1:$AY$1,
   TRANSPOSE(
    CHOOSE({1;2;3;4;5;6;7;8;9;10;11;12;13;14;15;16;17;18;19;20;21;22;23;24;25;26;27;28;29;30},
     COUNTIFS($V$2:$V$200,$G249)&gt;0,
     COUNTIFS($W$2:$W$200,$G249)&gt;0,
     COUNTIFS($X$2:$X$200,$G249)&gt;0,
     COUNTIFS($Y$2:$Y$200,$G249)&gt;0,
     COUNTIFS($Z$2:$Z$200,$G249)&gt;0,
     COUNTIFS($AA$2:$AA$200,$G249)&gt;0,
     COUNTIFS($AB$2:$AB$200,$G249)&gt;0,
     COUNTIFS($AC$2:$AC$200,$G249)&gt;0,
     COUNTIFS($AD$2:$AD$200,$G249)&gt;0,
     COUNTIFS($AE$2:$AE$200,$G249)&gt;0,
     COUNTIFS($AF$2:$AF$200,$G249)&gt;0,
     COUNTIFS($AG$2:$AG$200,$G249)&gt;0,
     COUNTIFS($AH$2:$AH$200,$G249)&gt;0,
     COUNTIFS($AI$2:$AI$200,$G249)&gt;0,
     COUNTIFS($AJ$2:$AJ$200,$G249)&gt;0,
     COUNTIFS($AK$2:$AK$200,$G249)&gt;0,
     COUNTIFS($AL$2:$AL$200,$G249)&gt;0,
     COUNTIFS($AM$2:$AM$200,$G249)&gt;0,
     COUNTIFS($AN$2:$AN$200,$G249)&gt;0,
     COUNTIFS($AO$2:$AO$200,$G249)&gt;0,
     COUNTIFS($AP$2:$AP$200,$G249)&gt;0,
     COUNTIFS($AQ$2:$AQ$200,$G249)&gt;0,
     COUNTIFS($AR$2:$AR$200,$G249)&gt;0,
     COUNTIFS($AS$2:$AS$200,$G249)&gt;0,
     COUNTIFS($AT$2:$AT$200,$G249)&gt;0,
     COUNTIFS($AU$2:$AU$200,$G249)&gt;0,
     COUNTIFS($AV$2:$AV$200,$G249)&gt;0,
     COUNTIFS($AW$2:$AW$200,$G249)&gt;0,
     COUNTIFS($AX$2:$AX$200,$G249)&gt;0,
     COUNTIFS($AY$2:$AY$200,$G249)&gt;0
   )),
  ),
  4
 ),
"")</f>
        <v/>
      </c>
      <c r="G249" t="str">
        <f ca="1"/>
        <v>Lightning Greaves</v>
      </c>
      <c r="EU249" t="str">
        <f ca="1"/>
        <v>Rogues' Gallery</v>
      </c>
      <c r="EX249" t="str">
        <f ca="1"/>
        <v>Lightning Greaves</v>
      </c>
    </row>
    <row r="250" spans="1:154" x14ac:dyDescent="0.25">
      <c r="A250" s="2" t="str">
        <f t="shared" ca="1" si="12"/>
        <v>4</v>
      </c>
      <c r="B250" s="2">
        <f t="shared" ca="1" si="13"/>
        <v>1</v>
      </c>
      <c r="C250" s="2" t="str">
        <f ca="1">IFERROR(
 INDEX($V$1:$BL$1,
  MATCH(TRUE,
   CHOOSE({1;2;3;4;5;6;7;8;9;10;11;12;13;14;15;16;17;18;19;20;21;22;23;24;25;26;27;28;29;30;31;32;33;34;35;36;37;38;39;40;41;42;43},
    COUNTIFS($V$2:$V$200,$G250)&gt;0,
    COUNTIFS($W$2:$W$200,$G250)&gt;0,
    COUNTIFS($X$2:$X$200,$G250)&gt;0,
    COUNTIFS($Y$2:$Y$200,$G250)&gt;0,
    COUNTIFS($Z$2:$Z$200,$G250)&gt;0,
    COUNTIFS($AA$2:$AA$200,$G250)&gt;0,
    COUNTIFS($AB$2:$AB$200,$G250)&gt;0,
    COUNTIFS($AC$2:$AC$200,$G250)&gt;0,
    COUNTIFS($AD$2:$AD$200,$G250)&gt;0,
    COUNTIFS($AE$2:$AE$200,$G250)&gt;0,
    COUNTIFS($AF$2:$AF$200,$G250)&gt;0,
    COUNTIFS($AG$2:$AG$200,$G250)&gt;0,
    COUNTIFS($AH$2:$AH$200,$G250)&gt;0,
    COUNTIFS($AI$2:$AI$200,$G250)&gt;0,
    COUNTIFS($AJ$2:$AJ$200,$G250)&gt;0,
    COUNTIFS($AK$2:$AK$200,$G250)&gt;0,
    COUNTIFS($AL$2:$AL$200,$G250)&gt;0,
    COUNTIFS($AM$2:$AM$200,$G250)&gt;0,
    COUNTIFS($AN$2:$AN$200,$G250)&gt;0,
    COUNTIFS($AO$2:$AO$200,$G250)&gt;0,
    COUNTIFS($AP$2:$AP$200,$G250)&gt;0,
    COUNTIFS($AQ$2:$AQ$200,$G250)&gt;0,
    COUNTIFS($AR$2:$AR$200,$G250)&gt;0,
    COUNTIFS($AS$2:$AS$200,$G250)&gt;0,
    COUNTIFS($AT$2:$AT$200,$G250)&gt;0,
    COUNTIFS($AU$2:$AU$200,$G250)&gt;0,
    COUNTIFS($AV$2:$AV$200,$G250)&gt;0,
    COUNTIFS($AW$2:$AW$200,$G250)&gt;0,
    COUNTIFS($AX$2:$AX$200,$G250)&gt;0,
    COUNTIFS($AY$2:$AY$200,$G250)&gt;0,
    COUNTIFS($AZ$2:$AZ$200,$G250)&gt;0,
    COUNTIFS($BA$2:$BA$200,$G250)&gt;0,
    COUNTIFS($BB$2:$BB$200,$G250)&gt;0,
    COUNTIFS($BC$2:$BC$200,$G250)&gt;0,
    COUNTIFS($BD$2:$BD$200,$G250)&gt;0,
    COUNTIFS($BE$2:$BE$200,$G250)&gt;0,
    COUNTIFS($BF$2:$BF$200,$G250)&gt;0,
    COUNTIFS($BG$2:$BG$200,$G250)&gt;0,
    COUNTIFS($BH$2:$BH$200,$G250)&gt;0,
    COUNTIFS($BI$2:$BI$200,$G250)&gt;0,
    COUNTIFS($BJ$2:$BJ$200,$G250)&gt;0,
    COUNTIFS($BK$2:$BK$200,$G250)&gt;0,
    COUNTIFS($BL$2:$BL$200,$G250)&gt;0,
    COUNTIFS($BM$2:$BM$200,$G250)&gt;0,
   ),
  0)
 ),
"")</f>
        <v>Modular</v>
      </c>
      <c r="D250" s="2" t="str" cm="1">
        <f t="array" aca="1" ref="D250" ca="1">IFERROR(
 INDEX(
  _xlfn._xlws.FILTER($V$1:$AY$1,
   TRANSPOSE(
    CHOOSE({1;2;3;4;5;6;7;8;9;10;11;12;13;14;15;16;17;18;19;20;21;22;23;24;25;26;27;28;29;30},
     COUNTIFS($V$2:$V$200,$G250)&gt;0,
     COUNTIFS($W$2:$W$200,$G250)&gt;0,
     COUNTIFS($X$2:$X$200,$G250)&gt;0,
     COUNTIFS($Y$2:$Y$200,$G250)&gt;0,
     COUNTIFS($Z$2:$Z$200,$G250)&gt;0,
     COUNTIFS($AA$2:$AA$200,$G250)&gt;0,
     COUNTIFS($AB$2:$AB$200,$G250)&gt;0,
     COUNTIFS($AC$2:$AC$200,$G250)&gt;0,
     COUNTIFS($AD$2:$AD$200,$G250)&gt;0,
     COUNTIFS($AE$2:$AE$200,$G250)&gt;0,
     COUNTIFS($AF$2:$AF$200,$G250)&gt;0,
     COUNTIFS($AG$2:$AG$200,$G250)&gt;0,
     COUNTIFS($AH$2:$AH$200,$G250)&gt;0,
     COUNTIFS($AI$2:$AI$200,$G250)&gt;0,
     COUNTIFS($AJ$2:$AJ$200,$G250)&gt;0,
     COUNTIFS($AK$2:$AK$200,$G250)&gt;0,
     COUNTIFS($AL$2:$AL$200,$G250)&gt;0,
     COUNTIFS($AM$2:$AM$200,$G250)&gt;0,
     COUNTIFS($AN$2:$AN$200,$G250)&gt;0,
     COUNTIFS($AO$2:$AO$200,$G250)&gt;0,
     COUNTIFS($AP$2:$AP$200,$G250)&gt;0,
     COUNTIFS($AQ$2:$AQ$200,$G250)&gt;0,
     COUNTIFS($AR$2:$AR$200,$G250)&gt;0,
     COUNTIFS($AS$2:$AS$200,$G250)&gt;0,
     COUNTIFS($AT$2:$AT$200,$G250)&gt;0,
     COUNTIFS($AU$2:$AU$200,$G250)&gt;0,
     COUNTIFS($AV$2:$AV$200,$G250)&gt;0,
     COUNTIFS($AW$2:$AW$200,$G250)&gt;0,
     COUNTIFS($AX$2:$AX$200,$G250)&gt;0,
     COUNTIFS($AY$2:$AY$200,$G250)&gt;0
   )),
  ),
  2
 ),
"")</f>
        <v/>
      </c>
      <c r="E250" s="2" t="str" cm="1">
        <f t="array" aca="1" ref="E250" ca="1">IFERROR(
 INDEX(
  _xlfn._xlws.FILTER($V$1:$AY$1,
   TRANSPOSE(
    CHOOSE({1;2;3;4;5;6;7;8;9;10;11;12;13;14;15;16;17;18;19;20;21;22;23;24;25;26;27;28;29;30},
     COUNTIFS($V$2:$V$200,$G250)&gt;0,
     COUNTIFS($W$2:$W$200,$G250)&gt;0,
     COUNTIFS($X$2:$X$200,$G250)&gt;0,
     COUNTIFS($Y$2:$Y$200,$G250)&gt;0,
     COUNTIFS($Z$2:$Z$200,$G250)&gt;0,
     COUNTIFS($AA$2:$AA$200,$G250)&gt;0,
     COUNTIFS($AB$2:$AB$200,$G250)&gt;0,
     COUNTIFS($AC$2:$AC$200,$G250)&gt;0,
     COUNTIFS($AD$2:$AD$200,$G250)&gt;0,
     COUNTIFS($AE$2:$AE$200,$G250)&gt;0,
     COUNTIFS($AF$2:$AF$200,$G250)&gt;0,
     COUNTIFS($AG$2:$AG$200,$G250)&gt;0,
     COUNTIFS($AH$2:$AH$200,$G250)&gt;0,
     COUNTIFS($AI$2:$AI$200,$G250)&gt;0,
     COUNTIFS($AJ$2:$AJ$200,$G250)&gt;0,
     COUNTIFS($AK$2:$AK$200,$G250)&gt;0,
     COUNTIFS($AL$2:$AL$200,$G250)&gt;0,
     COUNTIFS($AM$2:$AM$200,$G250)&gt;0,
     COUNTIFS($AN$2:$AN$200,$G250)&gt;0,
     COUNTIFS($AO$2:$AO$200,$G250)&gt;0,
     COUNTIFS($AP$2:$AP$200,$G250)&gt;0,
     COUNTIFS($AQ$2:$AQ$200,$G250)&gt;0,
     COUNTIFS($AR$2:$AR$200,$G250)&gt;0,
     COUNTIFS($AS$2:$AS$200,$G250)&gt;0,
     COUNTIFS($AT$2:$AT$200,$G250)&gt;0,
     COUNTIFS($AU$2:$AU$200,$G250)&gt;0,
     COUNTIFS($AV$2:$AV$200,$G250)&gt;0,
     COUNTIFS($AW$2:$AW$200,$G250)&gt;0,
     COUNTIFS($AX$2:$AX$200,$G250)&gt;0,
     COUNTIFS($AY$2:$AY$200,$G250)&gt;0
   )),
  ),
  3
 ),
"")</f>
        <v/>
      </c>
      <c r="F250" s="2" t="str" cm="1">
        <f t="array" aca="1" ref="F250" ca="1">IFERROR(
 INDEX(
  _xlfn._xlws.FILTER($V$1:$AY$1,
   TRANSPOSE(
    CHOOSE({1;2;3;4;5;6;7;8;9;10;11;12;13;14;15;16;17;18;19;20;21;22;23;24;25;26;27;28;29;30},
     COUNTIFS($V$2:$V$200,$G250)&gt;0,
     COUNTIFS($W$2:$W$200,$G250)&gt;0,
     COUNTIFS($X$2:$X$200,$G250)&gt;0,
     COUNTIFS($Y$2:$Y$200,$G250)&gt;0,
     COUNTIFS($Z$2:$Z$200,$G250)&gt;0,
     COUNTIFS($AA$2:$AA$200,$G250)&gt;0,
     COUNTIFS($AB$2:$AB$200,$G250)&gt;0,
     COUNTIFS($AC$2:$AC$200,$G250)&gt;0,
     COUNTIFS($AD$2:$AD$200,$G250)&gt;0,
     COUNTIFS($AE$2:$AE$200,$G250)&gt;0,
     COUNTIFS($AF$2:$AF$200,$G250)&gt;0,
     COUNTIFS($AG$2:$AG$200,$G250)&gt;0,
     COUNTIFS($AH$2:$AH$200,$G250)&gt;0,
     COUNTIFS($AI$2:$AI$200,$G250)&gt;0,
     COUNTIFS($AJ$2:$AJ$200,$G250)&gt;0,
     COUNTIFS($AK$2:$AK$200,$G250)&gt;0,
     COUNTIFS($AL$2:$AL$200,$G250)&gt;0,
     COUNTIFS($AM$2:$AM$200,$G250)&gt;0,
     COUNTIFS($AN$2:$AN$200,$G250)&gt;0,
     COUNTIFS($AO$2:$AO$200,$G250)&gt;0,
     COUNTIFS($AP$2:$AP$200,$G250)&gt;0,
     COUNTIFS($AQ$2:$AQ$200,$G250)&gt;0,
     COUNTIFS($AR$2:$AR$200,$G250)&gt;0,
     COUNTIFS($AS$2:$AS$200,$G250)&gt;0,
     COUNTIFS($AT$2:$AT$200,$G250)&gt;0,
     COUNTIFS($AU$2:$AU$200,$G250)&gt;0,
     COUNTIFS($AV$2:$AV$200,$G250)&gt;0,
     COUNTIFS($AW$2:$AW$200,$G250)&gt;0,
     COUNTIFS($AX$2:$AX$200,$G250)&gt;0,
     COUNTIFS($AY$2:$AY$200,$G250)&gt;0
   )),
  ),
  4
 ),
"")</f>
        <v/>
      </c>
      <c r="G250" t="str">
        <f ca="1"/>
        <v>Liquimetal Torque</v>
      </c>
      <c r="EU250" t="str">
        <f ca="1"/>
        <v>Rogue's Passage</v>
      </c>
      <c r="EX250" t="str">
        <f ca="1"/>
        <v>Liquimetal Torque</v>
      </c>
    </row>
    <row r="251" spans="1:154" x14ac:dyDescent="0.25">
      <c r="A251" s="2" t="str">
        <f t="shared" ca="1" si="12"/>
        <v>4</v>
      </c>
      <c r="B251" s="2">
        <f t="shared" ca="1" si="13"/>
        <v>1</v>
      </c>
      <c r="C251" s="2" t="str">
        <f ca="1">IFERROR(
 INDEX($V$1:$BL$1,
  MATCH(TRUE,
   CHOOSE({1;2;3;4;5;6;7;8;9;10;11;12;13;14;15;16;17;18;19;20;21;22;23;24;25;26;27;28;29;30;31;32;33;34;35;36;37;38;39;40;41;42;43},
    COUNTIFS($V$2:$V$200,$G251)&gt;0,
    COUNTIFS($W$2:$W$200,$G251)&gt;0,
    COUNTIFS($X$2:$X$200,$G251)&gt;0,
    COUNTIFS($Y$2:$Y$200,$G251)&gt;0,
    COUNTIFS($Z$2:$Z$200,$G251)&gt;0,
    COUNTIFS($AA$2:$AA$200,$G251)&gt;0,
    COUNTIFS($AB$2:$AB$200,$G251)&gt;0,
    COUNTIFS($AC$2:$AC$200,$G251)&gt;0,
    COUNTIFS($AD$2:$AD$200,$G251)&gt;0,
    COUNTIFS($AE$2:$AE$200,$G251)&gt;0,
    COUNTIFS($AF$2:$AF$200,$G251)&gt;0,
    COUNTIFS($AG$2:$AG$200,$G251)&gt;0,
    COUNTIFS($AH$2:$AH$200,$G251)&gt;0,
    COUNTIFS($AI$2:$AI$200,$G251)&gt;0,
    COUNTIFS($AJ$2:$AJ$200,$G251)&gt;0,
    COUNTIFS($AK$2:$AK$200,$G251)&gt;0,
    COUNTIFS($AL$2:$AL$200,$G251)&gt;0,
    COUNTIFS($AM$2:$AM$200,$G251)&gt;0,
    COUNTIFS($AN$2:$AN$200,$G251)&gt;0,
    COUNTIFS($AO$2:$AO$200,$G251)&gt;0,
    COUNTIFS($AP$2:$AP$200,$G251)&gt;0,
    COUNTIFS($AQ$2:$AQ$200,$G251)&gt;0,
    COUNTIFS($AR$2:$AR$200,$G251)&gt;0,
    COUNTIFS($AS$2:$AS$200,$G251)&gt;0,
    COUNTIFS($AT$2:$AT$200,$G251)&gt;0,
    COUNTIFS($AU$2:$AU$200,$G251)&gt;0,
    COUNTIFS($AV$2:$AV$200,$G251)&gt;0,
    COUNTIFS($AW$2:$AW$200,$G251)&gt;0,
    COUNTIFS($AX$2:$AX$200,$G251)&gt;0,
    COUNTIFS($AY$2:$AY$200,$G251)&gt;0,
    COUNTIFS($AZ$2:$AZ$200,$G251)&gt;0,
    COUNTIFS($BA$2:$BA$200,$G251)&gt;0,
    COUNTIFS($BB$2:$BB$200,$G251)&gt;0,
    COUNTIFS($BC$2:$BC$200,$G251)&gt;0,
    COUNTIFS($BD$2:$BD$200,$G251)&gt;0,
    COUNTIFS($BE$2:$BE$200,$G251)&gt;0,
    COUNTIFS($BF$2:$BF$200,$G251)&gt;0,
    COUNTIFS($BG$2:$BG$200,$G251)&gt;0,
    COUNTIFS($BH$2:$BH$200,$G251)&gt;0,
    COUNTIFS($BI$2:$BI$200,$G251)&gt;0,
    COUNTIFS($BJ$2:$BJ$200,$G251)&gt;0,
    COUNTIFS($BK$2:$BK$200,$G251)&gt;0,
    COUNTIFS($BL$2:$BL$200,$G251)&gt;0,
    COUNTIFS($BM$2:$BM$200,$G251)&gt;0,
   ),
  0)
 ),
"")</f>
        <v>Modular</v>
      </c>
      <c r="D251" s="2" t="str" cm="1">
        <f t="array" aca="1" ref="D251" ca="1">IFERROR(
 INDEX(
  _xlfn._xlws.FILTER($V$1:$AY$1,
   TRANSPOSE(
    CHOOSE({1;2;3;4;5;6;7;8;9;10;11;12;13;14;15;16;17;18;19;20;21;22;23;24;25;26;27;28;29;30},
     COUNTIFS($V$2:$V$200,$G251)&gt;0,
     COUNTIFS($W$2:$W$200,$G251)&gt;0,
     COUNTIFS($X$2:$X$200,$G251)&gt;0,
     COUNTIFS($Y$2:$Y$200,$G251)&gt;0,
     COUNTIFS($Z$2:$Z$200,$G251)&gt;0,
     COUNTIFS($AA$2:$AA$200,$G251)&gt;0,
     COUNTIFS($AB$2:$AB$200,$G251)&gt;0,
     COUNTIFS($AC$2:$AC$200,$G251)&gt;0,
     COUNTIFS($AD$2:$AD$200,$G251)&gt;0,
     COUNTIFS($AE$2:$AE$200,$G251)&gt;0,
     COUNTIFS($AF$2:$AF$200,$G251)&gt;0,
     COUNTIFS($AG$2:$AG$200,$G251)&gt;0,
     COUNTIFS($AH$2:$AH$200,$G251)&gt;0,
     COUNTIFS($AI$2:$AI$200,$G251)&gt;0,
     COUNTIFS($AJ$2:$AJ$200,$G251)&gt;0,
     COUNTIFS($AK$2:$AK$200,$G251)&gt;0,
     COUNTIFS($AL$2:$AL$200,$G251)&gt;0,
     COUNTIFS($AM$2:$AM$200,$G251)&gt;0,
     COUNTIFS($AN$2:$AN$200,$G251)&gt;0,
     COUNTIFS($AO$2:$AO$200,$G251)&gt;0,
     COUNTIFS($AP$2:$AP$200,$G251)&gt;0,
     COUNTIFS($AQ$2:$AQ$200,$G251)&gt;0,
     COUNTIFS($AR$2:$AR$200,$G251)&gt;0,
     COUNTIFS($AS$2:$AS$200,$G251)&gt;0,
     COUNTIFS($AT$2:$AT$200,$G251)&gt;0,
     COUNTIFS($AU$2:$AU$200,$G251)&gt;0,
     COUNTIFS($AV$2:$AV$200,$G251)&gt;0,
     COUNTIFS($AW$2:$AW$200,$G251)&gt;0,
     COUNTIFS($AX$2:$AX$200,$G251)&gt;0,
     COUNTIFS($AY$2:$AY$200,$G251)&gt;0
   )),
  ),
  2
 ),
"")</f>
        <v/>
      </c>
      <c r="E251" s="2" t="str" cm="1">
        <f t="array" aca="1" ref="E251" ca="1">IFERROR(
 INDEX(
  _xlfn._xlws.FILTER($V$1:$AY$1,
   TRANSPOSE(
    CHOOSE({1;2;3;4;5;6;7;8;9;10;11;12;13;14;15;16;17;18;19;20;21;22;23;24;25;26;27;28;29;30},
     COUNTIFS($V$2:$V$200,$G251)&gt;0,
     COUNTIFS($W$2:$W$200,$G251)&gt;0,
     COUNTIFS($X$2:$X$200,$G251)&gt;0,
     COUNTIFS($Y$2:$Y$200,$G251)&gt;0,
     COUNTIFS($Z$2:$Z$200,$G251)&gt;0,
     COUNTIFS($AA$2:$AA$200,$G251)&gt;0,
     COUNTIFS($AB$2:$AB$200,$G251)&gt;0,
     COUNTIFS($AC$2:$AC$200,$G251)&gt;0,
     COUNTIFS($AD$2:$AD$200,$G251)&gt;0,
     COUNTIFS($AE$2:$AE$200,$G251)&gt;0,
     COUNTIFS($AF$2:$AF$200,$G251)&gt;0,
     COUNTIFS($AG$2:$AG$200,$G251)&gt;0,
     COUNTIFS($AH$2:$AH$200,$G251)&gt;0,
     COUNTIFS($AI$2:$AI$200,$G251)&gt;0,
     COUNTIFS($AJ$2:$AJ$200,$G251)&gt;0,
     COUNTIFS($AK$2:$AK$200,$G251)&gt;0,
     COUNTIFS($AL$2:$AL$200,$G251)&gt;0,
     COUNTIFS($AM$2:$AM$200,$G251)&gt;0,
     COUNTIFS($AN$2:$AN$200,$G251)&gt;0,
     COUNTIFS($AO$2:$AO$200,$G251)&gt;0,
     COUNTIFS($AP$2:$AP$200,$G251)&gt;0,
     COUNTIFS($AQ$2:$AQ$200,$G251)&gt;0,
     COUNTIFS($AR$2:$AR$200,$G251)&gt;0,
     COUNTIFS($AS$2:$AS$200,$G251)&gt;0,
     COUNTIFS($AT$2:$AT$200,$G251)&gt;0,
     COUNTIFS($AU$2:$AU$200,$G251)&gt;0,
     COUNTIFS($AV$2:$AV$200,$G251)&gt;0,
     COUNTIFS($AW$2:$AW$200,$G251)&gt;0,
     COUNTIFS($AX$2:$AX$200,$G251)&gt;0,
     COUNTIFS($AY$2:$AY$200,$G251)&gt;0
   )),
  ),
  3
 ),
"")</f>
        <v/>
      </c>
      <c r="F251" s="2" t="str" cm="1">
        <f t="array" aca="1" ref="F251" ca="1">IFERROR(
 INDEX(
  _xlfn._xlws.FILTER($V$1:$AY$1,
   TRANSPOSE(
    CHOOSE({1;2;3;4;5;6;7;8;9;10;11;12;13;14;15;16;17;18;19;20;21;22;23;24;25;26;27;28;29;30},
     COUNTIFS($V$2:$V$200,$G251)&gt;0,
     COUNTIFS($W$2:$W$200,$G251)&gt;0,
     COUNTIFS($X$2:$X$200,$G251)&gt;0,
     COUNTIFS($Y$2:$Y$200,$G251)&gt;0,
     COUNTIFS($Z$2:$Z$200,$G251)&gt;0,
     COUNTIFS($AA$2:$AA$200,$G251)&gt;0,
     COUNTIFS($AB$2:$AB$200,$G251)&gt;0,
     COUNTIFS($AC$2:$AC$200,$G251)&gt;0,
     COUNTIFS($AD$2:$AD$200,$G251)&gt;0,
     COUNTIFS($AE$2:$AE$200,$G251)&gt;0,
     COUNTIFS($AF$2:$AF$200,$G251)&gt;0,
     COUNTIFS($AG$2:$AG$200,$G251)&gt;0,
     COUNTIFS($AH$2:$AH$200,$G251)&gt;0,
     COUNTIFS($AI$2:$AI$200,$G251)&gt;0,
     COUNTIFS($AJ$2:$AJ$200,$G251)&gt;0,
     COUNTIFS($AK$2:$AK$200,$G251)&gt;0,
     COUNTIFS($AL$2:$AL$200,$G251)&gt;0,
     COUNTIFS($AM$2:$AM$200,$G251)&gt;0,
     COUNTIFS($AN$2:$AN$200,$G251)&gt;0,
     COUNTIFS($AO$2:$AO$200,$G251)&gt;0,
     COUNTIFS($AP$2:$AP$200,$G251)&gt;0,
     COUNTIFS($AQ$2:$AQ$200,$G251)&gt;0,
     COUNTIFS($AR$2:$AR$200,$G251)&gt;0,
     COUNTIFS($AS$2:$AS$200,$G251)&gt;0,
     COUNTIFS($AT$2:$AT$200,$G251)&gt;0,
     COUNTIFS($AU$2:$AU$200,$G251)&gt;0,
     COUNTIFS($AV$2:$AV$200,$G251)&gt;0,
     COUNTIFS($AW$2:$AW$200,$G251)&gt;0,
     COUNTIFS($AX$2:$AX$200,$G251)&gt;0,
     COUNTIFS($AY$2:$AY$200,$G251)&gt;0
   )),
  ),
  4
 ),
"")</f>
        <v/>
      </c>
      <c r="G251" t="str">
        <f ca="1"/>
        <v>Lithoform Engine</v>
      </c>
      <c r="EU251" t="str">
        <f ca="1"/>
        <v>Root Sliver</v>
      </c>
      <c r="EX251" t="str">
        <f ca="1"/>
        <v>Lithoform Engine</v>
      </c>
    </row>
    <row r="252" spans="1:154" x14ac:dyDescent="0.25">
      <c r="A252" s="2" t="str">
        <f t="shared" ca="1" si="12"/>
        <v>5</v>
      </c>
      <c r="B252" s="2">
        <f t="shared" ca="1" si="13"/>
        <v>1</v>
      </c>
      <c r="C252" s="2" t="str">
        <f ca="1">IFERROR(
 INDEX($V$1:$BL$1,
  MATCH(TRUE,
   CHOOSE({1;2;3;4;5;6;7;8;9;10;11;12;13;14;15;16;17;18;19;20;21;22;23;24;25;26;27;28;29;30;31;32;33;34;35;36;37;38;39;40;41;42;43},
    COUNTIFS($V$2:$V$200,$G252)&gt;0,
    COUNTIFS($W$2:$W$200,$G252)&gt;0,
    COUNTIFS($X$2:$X$200,$G252)&gt;0,
    COUNTIFS($Y$2:$Y$200,$G252)&gt;0,
    COUNTIFS($Z$2:$Z$200,$G252)&gt;0,
    COUNTIFS($AA$2:$AA$200,$G252)&gt;0,
    COUNTIFS($AB$2:$AB$200,$G252)&gt;0,
    COUNTIFS($AC$2:$AC$200,$G252)&gt;0,
    COUNTIFS($AD$2:$AD$200,$G252)&gt;0,
    COUNTIFS($AE$2:$AE$200,$G252)&gt;0,
    COUNTIFS($AF$2:$AF$200,$G252)&gt;0,
    COUNTIFS($AG$2:$AG$200,$G252)&gt;0,
    COUNTIFS($AH$2:$AH$200,$G252)&gt;0,
    COUNTIFS($AI$2:$AI$200,$G252)&gt;0,
    COUNTIFS($AJ$2:$AJ$200,$G252)&gt;0,
    COUNTIFS($AK$2:$AK$200,$G252)&gt;0,
    COUNTIFS($AL$2:$AL$200,$G252)&gt;0,
    COUNTIFS($AM$2:$AM$200,$G252)&gt;0,
    COUNTIFS($AN$2:$AN$200,$G252)&gt;0,
    COUNTIFS($AO$2:$AO$200,$G252)&gt;0,
    COUNTIFS($AP$2:$AP$200,$G252)&gt;0,
    COUNTIFS($AQ$2:$AQ$200,$G252)&gt;0,
    COUNTIFS($AR$2:$AR$200,$G252)&gt;0,
    COUNTIFS($AS$2:$AS$200,$G252)&gt;0,
    COUNTIFS($AT$2:$AT$200,$G252)&gt;0,
    COUNTIFS($AU$2:$AU$200,$G252)&gt;0,
    COUNTIFS($AV$2:$AV$200,$G252)&gt;0,
    COUNTIFS($AW$2:$AW$200,$G252)&gt;0,
    COUNTIFS($AX$2:$AX$200,$G252)&gt;0,
    COUNTIFS($AY$2:$AY$200,$G252)&gt;0,
    COUNTIFS($AZ$2:$AZ$200,$G252)&gt;0,
    COUNTIFS($BA$2:$BA$200,$G252)&gt;0,
    COUNTIFS($BB$2:$BB$200,$G252)&gt;0,
    COUNTIFS($BC$2:$BC$200,$G252)&gt;0,
    COUNTIFS($BD$2:$BD$200,$G252)&gt;0,
    COUNTIFS($BE$2:$BE$200,$G252)&gt;0,
    COUNTIFS($BF$2:$BF$200,$G252)&gt;0,
    COUNTIFS($BG$2:$BG$200,$G252)&gt;0,
    COUNTIFS($BH$2:$BH$200,$G252)&gt;0,
    COUNTIFS($BI$2:$BI$200,$G252)&gt;0,
    COUNTIFS($BJ$2:$BJ$200,$G252)&gt;0,
    COUNTIFS($BK$2:$BK$200,$G252)&gt;0,
    COUNTIFS($BL$2:$BL$200,$G252)&gt;0,
    COUNTIFS($BM$2:$BM$200,$G252)&gt;0,
   ),
  0)
 ),
"")</f>
        <v>Little</v>
      </c>
      <c r="D252" s="2" t="str" cm="1">
        <f t="array" aca="1" ref="D252" ca="1">IFERROR(
 INDEX(
  _xlfn._xlws.FILTER($V$1:$AY$1,
   TRANSPOSE(
    CHOOSE({1;2;3;4;5;6;7;8;9;10;11;12;13;14;15;16;17;18;19;20;21;22;23;24;25;26;27;28;29;30},
     COUNTIFS($V$2:$V$200,$G252)&gt;0,
     COUNTIFS($W$2:$W$200,$G252)&gt;0,
     COUNTIFS($X$2:$X$200,$G252)&gt;0,
     COUNTIFS($Y$2:$Y$200,$G252)&gt;0,
     COUNTIFS($Z$2:$Z$200,$G252)&gt;0,
     COUNTIFS($AA$2:$AA$200,$G252)&gt;0,
     COUNTIFS($AB$2:$AB$200,$G252)&gt;0,
     COUNTIFS($AC$2:$AC$200,$G252)&gt;0,
     COUNTIFS($AD$2:$AD$200,$G252)&gt;0,
     COUNTIFS($AE$2:$AE$200,$G252)&gt;0,
     COUNTIFS($AF$2:$AF$200,$G252)&gt;0,
     COUNTIFS($AG$2:$AG$200,$G252)&gt;0,
     COUNTIFS($AH$2:$AH$200,$G252)&gt;0,
     COUNTIFS($AI$2:$AI$200,$G252)&gt;0,
     COUNTIFS($AJ$2:$AJ$200,$G252)&gt;0,
     COUNTIFS($AK$2:$AK$200,$G252)&gt;0,
     COUNTIFS($AL$2:$AL$200,$G252)&gt;0,
     COUNTIFS($AM$2:$AM$200,$G252)&gt;0,
     COUNTIFS($AN$2:$AN$200,$G252)&gt;0,
     COUNTIFS($AO$2:$AO$200,$G252)&gt;0,
     COUNTIFS($AP$2:$AP$200,$G252)&gt;0,
     COUNTIFS($AQ$2:$AQ$200,$G252)&gt;0,
     COUNTIFS($AR$2:$AR$200,$G252)&gt;0,
     COUNTIFS($AS$2:$AS$200,$G252)&gt;0,
     COUNTIFS($AT$2:$AT$200,$G252)&gt;0,
     COUNTIFS($AU$2:$AU$200,$G252)&gt;0,
     COUNTIFS($AV$2:$AV$200,$G252)&gt;0,
     COUNTIFS($AW$2:$AW$200,$G252)&gt;0,
     COUNTIFS($AX$2:$AX$200,$G252)&gt;0,
     COUNTIFS($AY$2:$AY$200,$G252)&gt;0
   )),
  ),
  2
 ),
"")</f>
        <v/>
      </c>
      <c r="E252" s="2" t="str" cm="1">
        <f t="array" aca="1" ref="E252" ca="1">IFERROR(
 INDEX(
  _xlfn._xlws.FILTER($V$1:$AY$1,
   TRANSPOSE(
    CHOOSE({1;2;3;4;5;6;7;8;9;10;11;12;13;14;15;16;17;18;19;20;21;22;23;24;25;26;27;28;29;30},
     COUNTIFS($V$2:$V$200,$G252)&gt;0,
     COUNTIFS($W$2:$W$200,$G252)&gt;0,
     COUNTIFS($X$2:$X$200,$G252)&gt;0,
     COUNTIFS($Y$2:$Y$200,$G252)&gt;0,
     COUNTIFS($Z$2:$Z$200,$G252)&gt;0,
     COUNTIFS($AA$2:$AA$200,$G252)&gt;0,
     COUNTIFS($AB$2:$AB$200,$G252)&gt;0,
     COUNTIFS($AC$2:$AC$200,$G252)&gt;0,
     COUNTIFS($AD$2:$AD$200,$G252)&gt;0,
     COUNTIFS($AE$2:$AE$200,$G252)&gt;0,
     COUNTIFS($AF$2:$AF$200,$G252)&gt;0,
     COUNTIFS($AG$2:$AG$200,$G252)&gt;0,
     COUNTIFS($AH$2:$AH$200,$G252)&gt;0,
     COUNTIFS($AI$2:$AI$200,$G252)&gt;0,
     COUNTIFS($AJ$2:$AJ$200,$G252)&gt;0,
     COUNTIFS($AK$2:$AK$200,$G252)&gt;0,
     COUNTIFS($AL$2:$AL$200,$G252)&gt;0,
     COUNTIFS($AM$2:$AM$200,$G252)&gt;0,
     COUNTIFS($AN$2:$AN$200,$G252)&gt;0,
     COUNTIFS($AO$2:$AO$200,$G252)&gt;0,
     COUNTIFS($AP$2:$AP$200,$G252)&gt;0,
     COUNTIFS($AQ$2:$AQ$200,$G252)&gt;0,
     COUNTIFS($AR$2:$AR$200,$G252)&gt;0,
     COUNTIFS($AS$2:$AS$200,$G252)&gt;0,
     COUNTIFS($AT$2:$AT$200,$G252)&gt;0,
     COUNTIFS($AU$2:$AU$200,$G252)&gt;0,
     COUNTIFS($AV$2:$AV$200,$G252)&gt;0,
     COUNTIFS($AW$2:$AW$200,$G252)&gt;0,
     COUNTIFS($AX$2:$AX$200,$G252)&gt;0,
     COUNTIFS($AY$2:$AY$200,$G252)&gt;0
   )),
  ),
  3
 ),
"")</f>
        <v/>
      </c>
      <c r="F252" s="2" t="str" cm="1">
        <f t="array" aca="1" ref="F252" ca="1">IFERROR(
 INDEX(
  _xlfn._xlws.FILTER($V$1:$AY$1,
   TRANSPOSE(
    CHOOSE({1;2;3;4;5;6;7;8;9;10;11;12;13;14;15;16;17;18;19;20;21;22;23;24;25;26;27;28;29;30},
     COUNTIFS($V$2:$V$200,$G252)&gt;0,
     COUNTIFS($W$2:$W$200,$G252)&gt;0,
     COUNTIFS($X$2:$X$200,$G252)&gt;0,
     COUNTIFS($Y$2:$Y$200,$G252)&gt;0,
     COUNTIFS($Z$2:$Z$200,$G252)&gt;0,
     COUNTIFS($AA$2:$AA$200,$G252)&gt;0,
     COUNTIFS($AB$2:$AB$200,$G252)&gt;0,
     COUNTIFS($AC$2:$AC$200,$G252)&gt;0,
     COUNTIFS($AD$2:$AD$200,$G252)&gt;0,
     COUNTIFS($AE$2:$AE$200,$G252)&gt;0,
     COUNTIFS($AF$2:$AF$200,$G252)&gt;0,
     COUNTIFS($AG$2:$AG$200,$G252)&gt;0,
     COUNTIFS($AH$2:$AH$200,$G252)&gt;0,
     COUNTIFS($AI$2:$AI$200,$G252)&gt;0,
     COUNTIFS($AJ$2:$AJ$200,$G252)&gt;0,
     COUNTIFS($AK$2:$AK$200,$G252)&gt;0,
     COUNTIFS($AL$2:$AL$200,$G252)&gt;0,
     COUNTIFS($AM$2:$AM$200,$G252)&gt;0,
     COUNTIFS($AN$2:$AN$200,$G252)&gt;0,
     COUNTIFS($AO$2:$AO$200,$G252)&gt;0,
     COUNTIFS($AP$2:$AP$200,$G252)&gt;0,
     COUNTIFS($AQ$2:$AQ$200,$G252)&gt;0,
     COUNTIFS($AR$2:$AR$200,$G252)&gt;0,
     COUNTIFS($AS$2:$AS$200,$G252)&gt;0,
     COUNTIFS($AT$2:$AT$200,$G252)&gt;0,
     COUNTIFS($AU$2:$AU$200,$G252)&gt;0,
     COUNTIFS($AV$2:$AV$200,$G252)&gt;0,
     COUNTIFS($AW$2:$AW$200,$G252)&gt;0,
     COUNTIFS($AX$2:$AX$200,$G252)&gt;0,
     COUNTIFS($AY$2:$AY$200,$G252)&gt;0
   )),
  ),
  4
 ),
"")</f>
        <v/>
      </c>
      <c r="G252" t="str">
        <f ca="1"/>
        <v>Llanowar Wastes</v>
      </c>
      <c r="EU252" t="str">
        <f ca="1"/>
        <v>Rotating Fireplace</v>
      </c>
      <c r="EX252" t="str">
        <f ca="1"/>
        <v>Llanowar Wastes</v>
      </c>
    </row>
    <row r="253" spans="1:154" x14ac:dyDescent="0.25">
      <c r="A253" s="2" t="str">
        <f t="shared" ca="1" si="12"/>
        <v>2</v>
      </c>
      <c r="B253" s="2">
        <f t="shared" ca="1" si="13"/>
        <v>1</v>
      </c>
      <c r="C253" s="2" t="str">
        <f ca="1">IFERROR(
 INDEX($V$1:$BL$1,
  MATCH(TRUE,
   CHOOSE({1;2;3;4;5;6;7;8;9;10;11;12;13;14;15;16;17;18;19;20;21;22;23;24;25;26;27;28;29;30;31;32;33;34;35;36;37;38;39;40;41;42;43},
    COUNTIFS($V$2:$V$200,$G253)&gt;0,
    COUNTIFS($W$2:$W$200,$G253)&gt;0,
    COUNTIFS($X$2:$X$200,$G253)&gt;0,
    COUNTIFS($Y$2:$Y$200,$G253)&gt;0,
    COUNTIFS($Z$2:$Z$200,$G253)&gt;0,
    COUNTIFS($AA$2:$AA$200,$G253)&gt;0,
    COUNTIFS($AB$2:$AB$200,$G253)&gt;0,
    COUNTIFS($AC$2:$AC$200,$G253)&gt;0,
    COUNTIFS($AD$2:$AD$200,$G253)&gt;0,
    COUNTIFS($AE$2:$AE$200,$G253)&gt;0,
    COUNTIFS($AF$2:$AF$200,$G253)&gt;0,
    COUNTIFS($AG$2:$AG$200,$G253)&gt;0,
    COUNTIFS($AH$2:$AH$200,$G253)&gt;0,
    COUNTIFS($AI$2:$AI$200,$G253)&gt;0,
    COUNTIFS($AJ$2:$AJ$200,$G253)&gt;0,
    COUNTIFS($AK$2:$AK$200,$G253)&gt;0,
    COUNTIFS($AL$2:$AL$200,$G253)&gt;0,
    COUNTIFS($AM$2:$AM$200,$G253)&gt;0,
    COUNTIFS($AN$2:$AN$200,$G253)&gt;0,
    COUNTIFS($AO$2:$AO$200,$G253)&gt;0,
    COUNTIFS($AP$2:$AP$200,$G253)&gt;0,
    COUNTIFS($AQ$2:$AQ$200,$G253)&gt;0,
    COUNTIFS($AR$2:$AR$200,$G253)&gt;0,
    COUNTIFS($AS$2:$AS$200,$G253)&gt;0,
    COUNTIFS($AT$2:$AT$200,$G253)&gt;0,
    COUNTIFS($AU$2:$AU$200,$G253)&gt;0,
    COUNTIFS($AV$2:$AV$200,$G253)&gt;0,
    COUNTIFS($AW$2:$AW$200,$G253)&gt;0,
    COUNTIFS($AX$2:$AX$200,$G253)&gt;0,
    COUNTIFS($AY$2:$AY$200,$G253)&gt;0,
    COUNTIFS($AZ$2:$AZ$200,$G253)&gt;0,
    COUNTIFS($BA$2:$BA$200,$G253)&gt;0,
    COUNTIFS($BB$2:$BB$200,$G253)&gt;0,
    COUNTIFS($BC$2:$BC$200,$G253)&gt;0,
    COUNTIFS($BD$2:$BD$200,$G253)&gt;0,
    COUNTIFS($BE$2:$BE$200,$G253)&gt;0,
    COUNTIFS($BF$2:$BF$200,$G253)&gt;0,
    COUNTIFS($BG$2:$BG$200,$G253)&gt;0,
    COUNTIFS($BH$2:$BH$200,$G253)&gt;0,
    COUNTIFS($BI$2:$BI$200,$G253)&gt;0,
    COUNTIFS($BJ$2:$BJ$200,$G253)&gt;0,
    COUNTIFS($BK$2:$BK$200,$G253)&gt;0,
    COUNTIFS($BL$2:$BL$200,$G253)&gt;0,
    COUNTIFS($BM$2:$BM$200,$G253)&gt;0,
   ),
  0)
 ),
"")</f>
        <v>Sisay</v>
      </c>
      <c r="D253" s="2" t="str" cm="1">
        <f t="array" aca="1" ref="D253" ca="1">IFERROR(
 INDEX(
  _xlfn._xlws.FILTER($V$1:$AY$1,
   TRANSPOSE(
    CHOOSE({1;2;3;4;5;6;7;8;9;10;11;12;13;14;15;16;17;18;19;20;21;22;23;24;25;26;27;28;29;30},
     COUNTIFS($V$2:$V$200,$G253)&gt;0,
     COUNTIFS($W$2:$W$200,$G253)&gt;0,
     COUNTIFS($X$2:$X$200,$G253)&gt;0,
     COUNTIFS($Y$2:$Y$200,$G253)&gt;0,
     COUNTIFS($Z$2:$Z$200,$G253)&gt;0,
     COUNTIFS($AA$2:$AA$200,$G253)&gt;0,
     COUNTIFS($AB$2:$AB$200,$G253)&gt;0,
     COUNTIFS($AC$2:$AC$200,$G253)&gt;0,
     COUNTIFS($AD$2:$AD$200,$G253)&gt;0,
     COUNTIFS($AE$2:$AE$200,$G253)&gt;0,
     COUNTIFS($AF$2:$AF$200,$G253)&gt;0,
     COUNTIFS($AG$2:$AG$200,$G253)&gt;0,
     COUNTIFS($AH$2:$AH$200,$G253)&gt;0,
     COUNTIFS($AI$2:$AI$200,$G253)&gt;0,
     COUNTIFS($AJ$2:$AJ$200,$G253)&gt;0,
     COUNTIFS($AK$2:$AK$200,$G253)&gt;0,
     COUNTIFS($AL$2:$AL$200,$G253)&gt;0,
     COUNTIFS($AM$2:$AM$200,$G253)&gt;0,
     COUNTIFS($AN$2:$AN$200,$G253)&gt;0,
     COUNTIFS($AO$2:$AO$200,$G253)&gt;0,
     COUNTIFS($AP$2:$AP$200,$G253)&gt;0,
     COUNTIFS($AQ$2:$AQ$200,$G253)&gt;0,
     COUNTIFS($AR$2:$AR$200,$G253)&gt;0,
     COUNTIFS($AS$2:$AS$200,$G253)&gt;0,
     COUNTIFS($AT$2:$AT$200,$G253)&gt;0,
     COUNTIFS($AU$2:$AU$200,$G253)&gt;0,
     COUNTIFS($AV$2:$AV$200,$G253)&gt;0,
     COUNTIFS($AW$2:$AW$200,$G253)&gt;0,
     COUNTIFS($AX$2:$AX$200,$G253)&gt;0,
     COUNTIFS($AY$2:$AY$200,$G253)&gt;0
   )),
  ),
  2
 ),
"")</f>
        <v/>
      </c>
      <c r="E253" s="2" t="str" cm="1">
        <f t="array" aca="1" ref="E253" ca="1">IFERROR(
 INDEX(
  _xlfn._xlws.FILTER($V$1:$AY$1,
   TRANSPOSE(
    CHOOSE({1;2;3;4;5;6;7;8;9;10;11;12;13;14;15;16;17;18;19;20;21;22;23;24;25;26;27;28;29;30},
     COUNTIFS($V$2:$V$200,$G253)&gt;0,
     COUNTIFS($W$2:$W$200,$G253)&gt;0,
     COUNTIFS($X$2:$X$200,$G253)&gt;0,
     COUNTIFS($Y$2:$Y$200,$G253)&gt;0,
     COUNTIFS($Z$2:$Z$200,$G253)&gt;0,
     COUNTIFS($AA$2:$AA$200,$G253)&gt;0,
     COUNTIFS($AB$2:$AB$200,$G253)&gt;0,
     COUNTIFS($AC$2:$AC$200,$G253)&gt;0,
     COUNTIFS($AD$2:$AD$200,$G253)&gt;0,
     COUNTIFS($AE$2:$AE$200,$G253)&gt;0,
     COUNTIFS($AF$2:$AF$200,$G253)&gt;0,
     COUNTIFS($AG$2:$AG$200,$G253)&gt;0,
     COUNTIFS($AH$2:$AH$200,$G253)&gt;0,
     COUNTIFS($AI$2:$AI$200,$G253)&gt;0,
     COUNTIFS($AJ$2:$AJ$200,$G253)&gt;0,
     COUNTIFS($AK$2:$AK$200,$G253)&gt;0,
     COUNTIFS($AL$2:$AL$200,$G253)&gt;0,
     COUNTIFS($AM$2:$AM$200,$G253)&gt;0,
     COUNTIFS($AN$2:$AN$200,$G253)&gt;0,
     COUNTIFS($AO$2:$AO$200,$G253)&gt;0,
     COUNTIFS($AP$2:$AP$200,$G253)&gt;0,
     COUNTIFS($AQ$2:$AQ$200,$G253)&gt;0,
     COUNTIFS($AR$2:$AR$200,$G253)&gt;0,
     COUNTIFS($AS$2:$AS$200,$G253)&gt;0,
     COUNTIFS($AT$2:$AT$200,$G253)&gt;0,
     COUNTIFS($AU$2:$AU$200,$G253)&gt;0,
     COUNTIFS($AV$2:$AV$200,$G253)&gt;0,
     COUNTIFS($AW$2:$AW$200,$G253)&gt;0,
     COUNTIFS($AX$2:$AX$200,$G253)&gt;0,
     COUNTIFS($AY$2:$AY$200,$G253)&gt;0
   )),
  ),
  3
 ),
"")</f>
        <v/>
      </c>
      <c r="F253" s="2" t="str" cm="1">
        <f t="array" aca="1" ref="F253" ca="1">IFERROR(
 INDEX(
  _xlfn._xlws.FILTER($V$1:$AY$1,
   TRANSPOSE(
    CHOOSE({1;2;3;4;5;6;7;8;9;10;11;12;13;14;15;16;17;18;19;20;21;22;23;24;25;26;27;28;29;30},
     COUNTIFS($V$2:$V$200,$G253)&gt;0,
     COUNTIFS($W$2:$W$200,$G253)&gt;0,
     COUNTIFS($X$2:$X$200,$G253)&gt;0,
     COUNTIFS($Y$2:$Y$200,$G253)&gt;0,
     COUNTIFS($Z$2:$Z$200,$G253)&gt;0,
     COUNTIFS($AA$2:$AA$200,$G253)&gt;0,
     COUNTIFS($AB$2:$AB$200,$G253)&gt;0,
     COUNTIFS($AC$2:$AC$200,$G253)&gt;0,
     COUNTIFS($AD$2:$AD$200,$G253)&gt;0,
     COUNTIFS($AE$2:$AE$200,$G253)&gt;0,
     COUNTIFS($AF$2:$AF$200,$G253)&gt;0,
     COUNTIFS($AG$2:$AG$200,$G253)&gt;0,
     COUNTIFS($AH$2:$AH$200,$G253)&gt;0,
     COUNTIFS($AI$2:$AI$200,$G253)&gt;0,
     COUNTIFS($AJ$2:$AJ$200,$G253)&gt;0,
     COUNTIFS($AK$2:$AK$200,$G253)&gt;0,
     COUNTIFS($AL$2:$AL$200,$G253)&gt;0,
     COUNTIFS($AM$2:$AM$200,$G253)&gt;0,
     COUNTIFS($AN$2:$AN$200,$G253)&gt;0,
     COUNTIFS($AO$2:$AO$200,$G253)&gt;0,
     COUNTIFS($AP$2:$AP$200,$G253)&gt;0,
     COUNTIFS($AQ$2:$AQ$200,$G253)&gt;0,
     COUNTIFS($AR$2:$AR$200,$G253)&gt;0,
     COUNTIFS($AS$2:$AS$200,$G253)&gt;0,
     COUNTIFS($AT$2:$AT$200,$G253)&gt;0,
     COUNTIFS($AU$2:$AU$200,$G253)&gt;0,
     COUNTIFS($AV$2:$AV$200,$G253)&gt;0,
     COUNTIFS($AW$2:$AW$200,$G253)&gt;0,
     COUNTIFS($AX$2:$AX$200,$G253)&gt;0,
     COUNTIFS($AY$2:$AY$200,$G253)&gt;0
   )),
  ),
  4
 ),
"")</f>
        <v/>
      </c>
      <c r="G253" t="str">
        <f ca="1"/>
        <v>Lolth, Spider Queen</v>
      </c>
      <c r="EU253" t="str">
        <f ca="1"/>
        <v>Sacred Foundry</v>
      </c>
      <c r="EX253" t="str">
        <f ca="1"/>
        <v>Lolth, Spider Queen</v>
      </c>
    </row>
    <row r="254" spans="1:154" x14ac:dyDescent="0.25">
      <c r="A254" s="2" t="str">
        <f t="shared" ca="1" si="12"/>
        <v>4</v>
      </c>
      <c r="B254" s="2">
        <f t="shared" ca="1" si="13"/>
        <v>1</v>
      </c>
      <c r="C254" s="2" t="str">
        <f ca="1">IFERROR(
 INDEX($V$1:$BL$1,
  MATCH(TRUE,
   CHOOSE({1;2;3;4;5;6;7;8;9;10;11;12;13;14;15;16;17;18;19;20;21;22;23;24;25;26;27;28;29;30;31;32;33;34;35;36;37;38;39;40;41;42;43},
    COUNTIFS($V$2:$V$200,$G254)&gt;0,
    COUNTIFS($W$2:$W$200,$G254)&gt;0,
    COUNTIFS($X$2:$X$200,$G254)&gt;0,
    COUNTIFS($Y$2:$Y$200,$G254)&gt;0,
    COUNTIFS($Z$2:$Z$200,$G254)&gt;0,
    COUNTIFS($AA$2:$AA$200,$G254)&gt;0,
    COUNTIFS($AB$2:$AB$200,$G254)&gt;0,
    COUNTIFS($AC$2:$AC$200,$G254)&gt;0,
    COUNTIFS($AD$2:$AD$200,$G254)&gt;0,
    COUNTIFS($AE$2:$AE$200,$G254)&gt;0,
    COUNTIFS($AF$2:$AF$200,$G254)&gt;0,
    COUNTIFS($AG$2:$AG$200,$G254)&gt;0,
    COUNTIFS($AH$2:$AH$200,$G254)&gt;0,
    COUNTIFS($AI$2:$AI$200,$G254)&gt;0,
    COUNTIFS($AJ$2:$AJ$200,$G254)&gt;0,
    COUNTIFS($AK$2:$AK$200,$G254)&gt;0,
    COUNTIFS($AL$2:$AL$200,$G254)&gt;0,
    COUNTIFS($AM$2:$AM$200,$G254)&gt;0,
    COUNTIFS($AN$2:$AN$200,$G254)&gt;0,
    COUNTIFS($AO$2:$AO$200,$G254)&gt;0,
    COUNTIFS($AP$2:$AP$200,$G254)&gt;0,
    COUNTIFS($AQ$2:$AQ$200,$G254)&gt;0,
    COUNTIFS($AR$2:$AR$200,$G254)&gt;0,
    COUNTIFS($AS$2:$AS$200,$G254)&gt;0,
    COUNTIFS($AT$2:$AT$200,$G254)&gt;0,
    COUNTIFS($AU$2:$AU$200,$G254)&gt;0,
    COUNTIFS($AV$2:$AV$200,$G254)&gt;0,
    COUNTIFS($AW$2:$AW$200,$G254)&gt;0,
    COUNTIFS($AX$2:$AX$200,$G254)&gt;0,
    COUNTIFS($AY$2:$AY$200,$G254)&gt;0,
    COUNTIFS($AZ$2:$AZ$200,$G254)&gt;0,
    COUNTIFS($BA$2:$BA$200,$G254)&gt;0,
    COUNTIFS($BB$2:$BB$200,$G254)&gt;0,
    COUNTIFS($BC$2:$BC$200,$G254)&gt;0,
    COUNTIFS($BD$2:$BD$200,$G254)&gt;0,
    COUNTIFS($BE$2:$BE$200,$G254)&gt;0,
    COUNTIFS($BF$2:$BF$200,$G254)&gt;0,
    COUNTIFS($BG$2:$BG$200,$G254)&gt;0,
    COUNTIFS($BH$2:$BH$200,$G254)&gt;0,
    COUNTIFS($BI$2:$BI$200,$G254)&gt;0,
    COUNTIFS($BJ$2:$BJ$200,$G254)&gt;0,
    COUNTIFS($BK$2:$BK$200,$G254)&gt;0,
    COUNTIFS($BL$2:$BL$200,$G254)&gt;0,
    COUNTIFS($BM$2:$BM$200,$G254)&gt;0,
   ),
  0)
 ),
"")</f>
        <v>Tayam</v>
      </c>
      <c r="D254" s="2" t="str" cm="1">
        <f t="array" aca="1" ref="D254" ca="1">IFERROR(
 INDEX(
  _xlfn._xlws.FILTER($V$1:$AY$1,
   TRANSPOSE(
    CHOOSE({1;2;3;4;5;6;7;8;9;10;11;12;13;14;15;16;17;18;19;20;21;22;23;24;25;26;27;28;29;30},
     COUNTIFS($V$2:$V$200,$G254)&gt;0,
     COUNTIFS($W$2:$W$200,$G254)&gt;0,
     COUNTIFS($X$2:$X$200,$G254)&gt;0,
     COUNTIFS($Y$2:$Y$200,$G254)&gt;0,
     COUNTIFS($Z$2:$Z$200,$G254)&gt;0,
     COUNTIFS($AA$2:$AA$200,$G254)&gt;0,
     COUNTIFS($AB$2:$AB$200,$G254)&gt;0,
     COUNTIFS($AC$2:$AC$200,$G254)&gt;0,
     COUNTIFS($AD$2:$AD$200,$G254)&gt;0,
     COUNTIFS($AE$2:$AE$200,$G254)&gt;0,
     COUNTIFS($AF$2:$AF$200,$G254)&gt;0,
     COUNTIFS($AG$2:$AG$200,$G254)&gt;0,
     COUNTIFS($AH$2:$AH$200,$G254)&gt;0,
     COUNTIFS($AI$2:$AI$200,$G254)&gt;0,
     COUNTIFS($AJ$2:$AJ$200,$G254)&gt;0,
     COUNTIFS($AK$2:$AK$200,$G254)&gt;0,
     COUNTIFS($AL$2:$AL$200,$G254)&gt;0,
     COUNTIFS($AM$2:$AM$200,$G254)&gt;0,
     COUNTIFS($AN$2:$AN$200,$G254)&gt;0,
     COUNTIFS($AO$2:$AO$200,$G254)&gt;0,
     COUNTIFS($AP$2:$AP$200,$G254)&gt;0,
     COUNTIFS($AQ$2:$AQ$200,$G254)&gt;0,
     COUNTIFS($AR$2:$AR$200,$G254)&gt;0,
     COUNTIFS($AS$2:$AS$200,$G254)&gt;0,
     COUNTIFS($AT$2:$AT$200,$G254)&gt;0,
     COUNTIFS($AU$2:$AU$200,$G254)&gt;0,
     COUNTIFS($AV$2:$AV$200,$G254)&gt;0,
     COUNTIFS($AW$2:$AW$200,$G254)&gt;0,
     COUNTIFS($AX$2:$AX$200,$G254)&gt;0,
     COUNTIFS($AY$2:$AY$200,$G254)&gt;0
   )),
  ),
  2
 ),
"")</f>
        <v/>
      </c>
      <c r="E254" s="2" t="str" cm="1">
        <f t="array" aca="1" ref="E254" ca="1">IFERROR(
 INDEX(
  _xlfn._xlws.FILTER($V$1:$AY$1,
   TRANSPOSE(
    CHOOSE({1;2;3;4;5;6;7;8;9;10;11;12;13;14;15;16;17;18;19;20;21;22;23;24;25;26;27;28;29;30},
     COUNTIFS($V$2:$V$200,$G254)&gt;0,
     COUNTIFS($W$2:$W$200,$G254)&gt;0,
     COUNTIFS($X$2:$X$200,$G254)&gt;0,
     COUNTIFS($Y$2:$Y$200,$G254)&gt;0,
     COUNTIFS($Z$2:$Z$200,$G254)&gt;0,
     COUNTIFS($AA$2:$AA$200,$G254)&gt;0,
     COUNTIFS($AB$2:$AB$200,$G254)&gt;0,
     COUNTIFS($AC$2:$AC$200,$G254)&gt;0,
     COUNTIFS($AD$2:$AD$200,$G254)&gt;0,
     COUNTIFS($AE$2:$AE$200,$G254)&gt;0,
     COUNTIFS($AF$2:$AF$200,$G254)&gt;0,
     COUNTIFS($AG$2:$AG$200,$G254)&gt;0,
     COUNTIFS($AH$2:$AH$200,$G254)&gt;0,
     COUNTIFS($AI$2:$AI$200,$G254)&gt;0,
     COUNTIFS($AJ$2:$AJ$200,$G254)&gt;0,
     COUNTIFS($AK$2:$AK$200,$G254)&gt;0,
     COUNTIFS($AL$2:$AL$200,$G254)&gt;0,
     COUNTIFS($AM$2:$AM$200,$G254)&gt;0,
     COUNTIFS($AN$2:$AN$200,$G254)&gt;0,
     COUNTIFS($AO$2:$AO$200,$G254)&gt;0,
     COUNTIFS($AP$2:$AP$200,$G254)&gt;0,
     COUNTIFS($AQ$2:$AQ$200,$G254)&gt;0,
     COUNTIFS($AR$2:$AR$200,$G254)&gt;0,
     COUNTIFS($AS$2:$AS$200,$G254)&gt;0,
     COUNTIFS($AT$2:$AT$200,$G254)&gt;0,
     COUNTIFS($AU$2:$AU$200,$G254)&gt;0,
     COUNTIFS($AV$2:$AV$200,$G254)&gt;0,
     COUNTIFS($AW$2:$AW$200,$G254)&gt;0,
     COUNTIFS($AX$2:$AX$200,$G254)&gt;0,
     COUNTIFS($AY$2:$AY$200,$G254)&gt;0
   )),
  ),
  3
 ),
"")</f>
        <v/>
      </c>
      <c r="F254" s="2" t="str" cm="1">
        <f t="array" aca="1" ref="F254" ca="1">IFERROR(
 INDEX(
  _xlfn._xlws.FILTER($V$1:$AY$1,
   TRANSPOSE(
    CHOOSE({1;2;3;4;5;6;7;8;9;10;11;12;13;14;15;16;17;18;19;20;21;22;23;24;25;26;27;28;29;30},
     COUNTIFS($V$2:$V$200,$G254)&gt;0,
     COUNTIFS($W$2:$W$200,$G254)&gt;0,
     COUNTIFS($X$2:$X$200,$G254)&gt;0,
     COUNTIFS($Y$2:$Y$200,$G254)&gt;0,
     COUNTIFS($Z$2:$Z$200,$G254)&gt;0,
     COUNTIFS($AA$2:$AA$200,$G254)&gt;0,
     COUNTIFS($AB$2:$AB$200,$G254)&gt;0,
     COUNTIFS($AC$2:$AC$200,$G254)&gt;0,
     COUNTIFS($AD$2:$AD$200,$G254)&gt;0,
     COUNTIFS($AE$2:$AE$200,$G254)&gt;0,
     COUNTIFS($AF$2:$AF$200,$G254)&gt;0,
     COUNTIFS($AG$2:$AG$200,$G254)&gt;0,
     COUNTIFS($AH$2:$AH$200,$G254)&gt;0,
     COUNTIFS($AI$2:$AI$200,$G254)&gt;0,
     COUNTIFS($AJ$2:$AJ$200,$G254)&gt;0,
     COUNTIFS($AK$2:$AK$200,$G254)&gt;0,
     COUNTIFS($AL$2:$AL$200,$G254)&gt;0,
     COUNTIFS($AM$2:$AM$200,$G254)&gt;0,
     COUNTIFS($AN$2:$AN$200,$G254)&gt;0,
     COUNTIFS($AO$2:$AO$200,$G254)&gt;0,
     COUNTIFS($AP$2:$AP$200,$G254)&gt;0,
     COUNTIFS($AQ$2:$AQ$200,$G254)&gt;0,
     COUNTIFS($AR$2:$AR$200,$G254)&gt;0,
     COUNTIFS($AS$2:$AS$200,$G254)&gt;0,
     COUNTIFS($AT$2:$AT$200,$G254)&gt;0,
     COUNTIFS($AU$2:$AU$200,$G254)&gt;0,
     COUNTIFS($AV$2:$AV$200,$G254)&gt;0,
     COUNTIFS($AW$2:$AW$200,$G254)&gt;0,
     COUNTIFS($AX$2:$AX$200,$G254)&gt;0,
     COUNTIFS($AY$2:$AY$200,$G254)&gt;0
   )),
  ),
  4
 ),
"")</f>
        <v/>
      </c>
      <c r="G254" t="str">
        <f ca="1"/>
        <v>Long Feng, Grand Secretariat</v>
      </c>
      <c r="EU254" t="str">
        <f ca="1"/>
        <v>Satoru, the Infiltrator</v>
      </c>
      <c r="EX254" t="str">
        <f ca="1"/>
        <v>Long Feng, Grand Secretariat</v>
      </c>
    </row>
    <row r="255" spans="1:154" x14ac:dyDescent="0.25">
      <c r="A255" s="2" t="str">
        <f t="shared" ca="1" si="12"/>
        <v>5</v>
      </c>
      <c r="B255" s="2">
        <f t="shared" ca="1" si="13"/>
        <v>1</v>
      </c>
      <c r="C255" s="2" t="str">
        <f ca="1">IFERROR(
 INDEX($V$1:$BL$1,
  MATCH(TRUE,
   CHOOSE({1;2;3;4;5;6;7;8;9;10;11;12;13;14;15;16;17;18;19;20;21;22;23;24;25;26;27;28;29;30;31;32;33;34;35;36;37;38;39;40;41;42;43},
    COUNTIFS($V$2:$V$200,$G255)&gt;0,
    COUNTIFS($W$2:$W$200,$G255)&gt;0,
    COUNTIFS($X$2:$X$200,$G255)&gt;0,
    COUNTIFS($Y$2:$Y$200,$G255)&gt;0,
    COUNTIFS($Z$2:$Z$200,$G255)&gt;0,
    COUNTIFS($AA$2:$AA$200,$G255)&gt;0,
    COUNTIFS($AB$2:$AB$200,$G255)&gt;0,
    COUNTIFS($AC$2:$AC$200,$G255)&gt;0,
    COUNTIFS($AD$2:$AD$200,$G255)&gt;0,
    COUNTIFS($AE$2:$AE$200,$G255)&gt;0,
    COUNTIFS($AF$2:$AF$200,$G255)&gt;0,
    COUNTIFS($AG$2:$AG$200,$G255)&gt;0,
    COUNTIFS($AH$2:$AH$200,$G255)&gt;0,
    COUNTIFS($AI$2:$AI$200,$G255)&gt;0,
    COUNTIFS($AJ$2:$AJ$200,$G255)&gt;0,
    COUNTIFS($AK$2:$AK$200,$G255)&gt;0,
    COUNTIFS($AL$2:$AL$200,$G255)&gt;0,
    COUNTIFS($AM$2:$AM$200,$G255)&gt;0,
    COUNTIFS($AN$2:$AN$200,$G255)&gt;0,
    COUNTIFS($AO$2:$AO$200,$G255)&gt;0,
    COUNTIFS($AP$2:$AP$200,$G255)&gt;0,
    COUNTIFS($AQ$2:$AQ$200,$G255)&gt;0,
    COUNTIFS($AR$2:$AR$200,$G255)&gt;0,
    COUNTIFS($AS$2:$AS$200,$G255)&gt;0,
    COUNTIFS($AT$2:$AT$200,$G255)&gt;0,
    COUNTIFS($AU$2:$AU$200,$G255)&gt;0,
    COUNTIFS($AV$2:$AV$200,$G255)&gt;0,
    COUNTIFS($AW$2:$AW$200,$G255)&gt;0,
    COUNTIFS($AX$2:$AX$200,$G255)&gt;0,
    COUNTIFS($AY$2:$AY$200,$G255)&gt;0,
    COUNTIFS($AZ$2:$AZ$200,$G255)&gt;0,
    COUNTIFS($BA$2:$BA$200,$G255)&gt;0,
    COUNTIFS($BB$2:$BB$200,$G255)&gt;0,
    COUNTIFS($BC$2:$BC$200,$G255)&gt;0,
    COUNTIFS($BD$2:$BD$200,$G255)&gt;0,
    COUNTIFS($BE$2:$BE$200,$G255)&gt;0,
    COUNTIFS($BF$2:$BF$200,$G255)&gt;0,
    COUNTIFS($BG$2:$BG$200,$G255)&gt;0,
    COUNTIFS($BH$2:$BH$200,$G255)&gt;0,
    COUNTIFS($BI$2:$BI$200,$G255)&gt;0,
    COUNTIFS($BJ$2:$BJ$200,$G255)&gt;0,
    COUNTIFS($BK$2:$BK$200,$G255)&gt;0,
    COUNTIFS($BL$2:$BL$200,$G255)&gt;0,
    COUNTIFS($BM$2:$BM$200,$G255)&gt;0,
   ),
  0)
 ),
"")</f>
        <v>Zuko</v>
      </c>
      <c r="D255" s="2" t="str" cm="1">
        <f t="array" aca="1" ref="D255" ca="1">IFERROR(
 INDEX(
  _xlfn._xlws.FILTER($V$1:$AY$1,
   TRANSPOSE(
    CHOOSE({1;2;3;4;5;6;7;8;9;10;11;12;13;14;15;16;17;18;19;20;21;22;23;24;25;26;27;28;29;30},
     COUNTIFS($V$2:$V$200,$G255)&gt;0,
     COUNTIFS($W$2:$W$200,$G255)&gt;0,
     COUNTIFS($X$2:$X$200,$G255)&gt;0,
     COUNTIFS($Y$2:$Y$200,$G255)&gt;0,
     COUNTIFS($Z$2:$Z$200,$G255)&gt;0,
     COUNTIFS($AA$2:$AA$200,$G255)&gt;0,
     COUNTIFS($AB$2:$AB$200,$G255)&gt;0,
     COUNTIFS($AC$2:$AC$200,$G255)&gt;0,
     COUNTIFS($AD$2:$AD$200,$G255)&gt;0,
     COUNTIFS($AE$2:$AE$200,$G255)&gt;0,
     COUNTIFS($AF$2:$AF$200,$G255)&gt;0,
     COUNTIFS($AG$2:$AG$200,$G255)&gt;0,
     COUNTIFS($AH$2:$AH$200,$G255)&gt;0,
     COUNTIFS($AI$2:$AI$200,$G255)&gt;0,
     COUNTIFS($AJ$2:$AJ$200,$G255)&gt;0,
     COUNTIFS($AK$2:$AK$200,$G255)&gt;0,
     COUNTIFS($AL$2:$AL$200,$G255)&gt;0,
     COUNTIFS($AM$2:$AM$200,$G255)&gt;0,
     COUNTIFS($AN$2:$AN$200,$G255)&gt;0,
     COUNTIFS($AO$2:$AO$200,$G255)&gt;0,
     COUNTIFS($AP$2:$AP$200,$G255)&gt;0,
     COUNTIFS($AQ$2:$AQ$200,$G255)&gt;0,
     COUNTIFS($AR$2:$AR$200,$G255)&gt;0,
     COUNTIFS($AS$2:$AS$200,$G255)&gt;0,
     COUNTIFS($AT$2:$AT$200,$G255)&gt;0,
     COUNTIFS($AU$2:$AU$200,$G255)&gt;0,
     COUNTIFS($AV$2:$AV$200,$G255)&gt;0,
     COUNTIFS($AW$2:$AW$200,$G255)&gt;0,
     COUNTIFS($AX$2:$AX$200,$G255)&gt;0,
     COUNTIFS($AY$2:$AY$200,$G255)&gt;0
   )),
  ),
  2
 ),
"")</f>
        <v/>
      </c>
      <c r="E255" s="2" t="str" cm="1">
        <f t="array" aca="1" ref="E255" ca="1">IFERROR(
 INDEX(
  _xlfn._xlws.FILTER($V$1:$AY$1,
   TRANSPOSE(
    CHOOSE({1;2;3;4;5;6;7;8;9;10;11;12;13;14;15;16;17;18;19;20;21;22;23;24;25;26;27;28;29;30},
     COUNTIFS($V$2:$V$200,$G255)&gt;0,
     COUNTIFS($W$2:$W$200,$G255)&gt;0,
     COUNTIFS($X$2:$X$200,$G255)&gt;0,
     COUNTIFS($Y$2:$Y$200,$G255)&gt;0,
     COUNTIFS($Z$2:$Z$200,$G255)&gt;0,
     COUNTIFS($AA$2:$AA$200,$G255)&gt;0,
     COUNTIFS($AB$2:$AB$200,$G255)&gt;0,
     COUNTIFS($AC$2:$AC$200,$G255)&gt;0,
     COUNTIFS($AD$2:$AD$200,$G255)&gt;0,
     COUNTIFS($AE$2:$AE$200,$G255)&gt;0,
     COUNTIFS($AF$2:$AF$200,$G255)&gt;0,
     COUNTIFS($AG$2:$AG$200,$G255)&gt;0,
     COUNTIFS($AH$2:$AH$200,$G255)&gt;0,
     COUNTIFS($AI$2:$AI$200,$G255)&gt;0,
     COUNTIFS($AJ$2:$AJ$200,$G255)&gt;0,
     COUNTIFS($AK$2:$AK$200,$G255)&gt;0,
     COUNTIFS($AL$2:$AL$200,$G255)&gt;0,
     COUNTIFS($AM$2:$AM$200,$G255)&gt;0,
     COUNTIFS($AN$2:$AN$200,$G255)&gt;0,
     COUNTIFS($AO$2:$AO$200,$G255)&gt;0,
     COUNTIFS($AP$2:$AP$200,$G255)&gt;0,
     COUNTIFS($AQ$2:$AQ$200,$G255)&gt;0,
     COUNTIFS($AR$2:$AR$200,$G255)&gt;0,
     COUNTIFS($AS$2:$AS$200,$G255)&gt;0,
     COUNTIFS($AT$2:$AT$200,$G255)&gt;0,
     COUNTIFS($AU$2:$AU$200,$G255)&gt;0,
     COUNTIFS($AV$2:$AV$200,$G255)&gt;0,
     COUNTIFS($AW$2:$AW$200,$G255)&gt;0,
     COUNTIFS($AX$2:$AX$200,$G255)&gt;0,
     COUNTIFS($AY$2:$AY$200,$G255)&gt;0
   )),
  ),
  3
 ),
"")</f>
        <v/>
      </c>
      <c r="F255" s="2" t="str" cm="1">
        <f t="array" aca="1" ref="F255" ca="1">IFERROR(
 INDEX(
  _xlfn._xlws.FILTER($V$1:$AY$1,
   TRANSPOSE(
    CHOOSE({1;2;3;4;5;6;7;8;9;10;11;12;13;14;15;16;17;18;19;20;21;22;23;24;25;26;27;28;29;30},
     COUNTIFS($V$2:$V$200,$G255)&gt;0,
     COUNTIFS($W$2:$W$200,$G255)&gt;0,
     COUNTIFS($X$2:$X$200,$G255)&gt;0,
     COUNTIFS($Y$2:$Y$200,$G255)&gt;0,
     COUNTIFS($Z$2:$Z$200,$G255)&gt;0,
     COUNTIFS($AA$2:$AA$200,$G255)&gt;0,
     COUNTIFS($AB$2:$AB$200,$G255)&gt;0,
     COUNTIFS($AC$2:$AC$200,$G255)&gt;0,
     COUNTIFS($AD$2:$AD$200,$G255)&gt;0,
     COUNTIFS($AE$2:$AE$200,$G255)&gt;0,
     COUNTIFS($AF$2:$AF$200,$G255)&gt;0,
     COUNTIFS($AG$2:$AG$200,$G255)&gt;0,
     COUNTIFS($AH$2:$AH$200,$G255)&gt;0,
     COUNTIFS($AI$2:$AI$200,$G255)&gt;0,
     COUNTIFS($AJ$2:$AJ$200,$G255)&gt;0,
     COUNTIFS($AK$2:$AK$200,$G255)&gt;0,
     COUNTIFS($AL$2:$AL$200,$G255)&gt;0,
     COUNTIFS($AM$2:$AM$200,$G255)&gt;0,
     COUNTIFS($AN$2:$AN$200,$G255)&gt;0,
     COUNTIFS($AO$2:$AO$200,$G255)&gt;0,
     COUNTIFS($AP$2:$AP$200,$G255)&gt;0,
     COUNTIFS($AQ$2:$AQ$200,$G255)&gt;0,
     COUNTIFS($AR$2:$AR$200,$G255)&gt;0,
     COUNTIFS($AS$2:$AS$200,$G255)&gt;0,
     COUNTIFS($AT$2:$AT$200,$G255)&gt;0,
     COUNTIFS($AU$2:$AU$200,$G255)&gt;0,
     COUNTIFS($AV$2:$AV$200,$G255)&gt;0,
     COUNTIFS($AW$2:$AW$200,$G255)&gt;0,
     COUNTIFS($AX$2:$AX$200,$G255)&gt;0,
     COUNTIFS($AY$2:$AY$200,$G255)&gt;0
   )),
  ),
  4
 ),
"")</f>
        <v/>
      </c>
      <c r="G255" t="str">
        <f ca="1"/>
        <v>Long-Range Sensor</v>
      </c>
      <c r="EU255" t="str">
        <f ca="1"/>
        <v>Savai Triome</v>
      </c>
      <c r="EX255" t="str">
        <f ca="1"/>
        <v>Long-Range Sensor</v>
      </c>
    </row>
    <row r="256" spans="1:154" x14ac:dyDescent="0.25">
      <c r="A256" s="2" t="str">
        <f t="shared" ca="1" si="12"/>
        <v>3</v>
      </c>
      <c r="B256" s="2">
        <f t="shared" ca="1" si="13"/>
        <v>1</v>
      </c>
      <c r="C256" s="2" t="str">
        <f ca="1">IFERROR(
 INDEX($V$1:$BL$1,
  MATCH(TRUE,
   CHOOSE({1;2;3;4;5;6;7;8;9;10;11;12;13;14;15;16;17;18;19;20;21;22;23;24;25;26;27;28;29;30;31;32;33;34;35;36;37;38;39;40;41;42;43},
    COUNTIFS($V$2:$V$200,$G256)&gt;0,
    COUNTIFS($W$2:$W$200,$G256)&gt;0,
    COUNTIFS($X$2:$X$200,$G256)&gt;0,
    COUNTIFS($Y$2:$Y$200,$G256)&gt;0,
    COUNTIFS($Z$2:$Z$200,$G256)&gt;0,
    COUNTIFS($AA$2:$AA$200,$G256)&gt;0,
    COUNTIFS($AB$2:$AB$200,$G256)&gt;0,
    COUNTIFS($AC$2:$AC$200,$G256)&gt;0,
    COUNTIFS($AD$2:$AD$200,$G256)&gt;0,
    COUNTIFS($AE$2:$AE$200,$G256)&gt;0,
    COUNTIFS($AF$2:$AF$200,$G256)&gt;0,
    COUNTIFS($AG$2:$AG$200,$G256)&gt;0,
    COUNTIFS($AH$2:$AH$200,$G256)&gt;0,
    COUNTIFS($AI$2:$AI$200,$G256)&gt;0,
    COUNTIFS($AJ$2:$AJ$200,$G256)&gt;0,
    COUNTIFS($AK$2:$AK$200,$G256)&gt;0,
    COUNTIFS($AL$2:$AL$200,$G256)&gt;0,
    COUNTIFS($AM$2:$AM$200,$G256)&gt;0,
    COUNTIFS($AN$2:$AN$200,$G256)&gt;0,
    COUNTIFS($AO$2:$AO$200,$G256)&gt;0,
    COUNTIFS($AP$2:$AP$200,$G256)&gt;0,
    COUNTIFS($AQ$2:$AQ$200,$G256)&gt;0,
    COUNTIFS($AR$2:$AR$200,$G256)&gt;0,
    COUNTIFS($AS$2:$AS$200,$G256)&gt;0,
    COUNTIFS($AT$2:$AT$200,$G256)&gt;0,
    COUNTIFS($AU$2:$AU$200,$G256)&gt;0,
    COUNTIFS($AV$2:$AV$200,$G256)&gt;0,
    COUNTIFS($AW$2:$AW$200,$G256)&gt;0,
    COUNTIFS($AX$2:$AX$200,$G256)&gt;0,
    COUNTIFS($AY$2:$AY$200,$G256)&gt;0,
    COUNTIFS($AZ$2:$AZ$200,$G256)&gt;0,
    COUNTIFS($BA$2:$BA$200,$G256)&gt;0,
    COUNTIFS($BB$2:$BB$200,$G256)&gt;0,
    COUNTIFS($BC$2:$BC$200,$G256)&gt;0,
    COUNTIFS($BD$2:$BD$200,$G256)&gt;0,
    COUNTIFS($BE$2:$BE$200,$G256)&gt;0,
    COUNTIFS($BF$2:$BF$200,$G256)&gt;0,
    COUNTIFS($BG$2:$BG$200,$G256)&gt;0,
    COUNTIFS($BH$2:$BH$200,$G256)&gt;0,
    COUNTIFS($BI$2:$BI$200,$G256)&gt;0,
    COUNTIFS($BJ$2:$BJ$200,$G256)&gt;0,
    COUNTIFS($BK$2:$BK$200,$G256)&gt;0,
    COUNTIFS($BL$2:$BL$200,$G256)&gt;0,
    COUNTIFS($BM$2:$BM$200,$G256)&gt;0,
   ),
  0)
 ),
"")</f>
        <v>Kumena</v>
      </c>
      <c r="D256" s="2" t="str" cm="1">
        <f t="array" aca="1" ref="D256" ca="1">IFERROR(
 INDEX(
  _xlfn._xlws.FILTER($V$1:$AY$1,
   TRANSPOSE(
    CHOOSE({1;2;3;4;5;6;7;8;9;10;11;12;13;14;15;16;17;18;19;20;21;22;23;24;25;26;27;28;29;30},
     COUNTIFS($V$2:$V$200,$G256)&gt;0,
     COUNTIFS($W$2:$W$200,$G256)&gt;0,
     COUNTIFS($X$2:$X$200,$G256)&gt;0,
     COUNTIFS($Y$2:$Y$200,$G256)&gt;0,
     COUNTIFS($Z$2:$Z$200,$G256)&gt;0,
     COUNTIFS($AA$2:$AA$200,$G256)&gt;0,
     COUNTIFS($AB$2:$AB$200,$G256)&gt;0,
     COUNTIFS($AC$2:$AC$200,$G256)&gt;0,
     COUNTIFS($AD$2:$AD$200,$G256)&gt;0,
     COUNTIFS($AE$2:$AE$200,$G256)&gt;0,
     COUNTIFS($AF$2:$AF$200,$G256)&gt;0,
     COUNTIFS($AG$2:$AG$200,$G256)&gt;0,
     COUNTIFS($AH$2:$AH$200,$G256)&gt;0,
     COUNTIFS($AI$2:$AI$200,$G256)&gt;0,
     COUNTIFS($AJ$2:$AJ$200,$G256)&gt;0,
     COUNTIFS($AK$2:$AK$200,$G256)&gt;0,
     COUNTIFS($AL$2:$AL$200,$G256)&gt;0,
     COUNTIFS($AM$2:$AM$200,$G256)&gt;0,
     COUNTIFS($AN$2:$AN$200,$G256)&gt;0,
     COUNTIFS($AO$2:$AO$200,$G256)&gt;0,
     COUNTIFS($AP$2:$AP$200,$G256)&gt;0,
     COUNTIFS($AQ$2:$AQ$200,$G256)&gt;0,
     COUNTIFS($AR$2:$AR$200,$G256)&gt;0,
     COUNTIFS($AS$2:$AS$200,$G256)&gt;0,
     COUNTIFS($AT$2:$AT$200,$G256)&gt;0,
     COUNTIFS($AU$2:$AU$200,$G256)&gt;0,
     COUNTIFS($AV$2:$AV$200,$G256)&gt;0,
     COUNTIFS($AW$2:$AW$200,$G256)&gt;0,
     COUNTIFS($AX$2:$AX$200,$G256)&gt;0,
     COUNTIFS($AY$2:$AY$200,$G256)&gt;0
   )),
  ),
  2
 ),
"")</f>
        <v/>
      </c>
      <c r="E256" s="2" t="str" cm="1">
        <f t="array" aca="1" ref="E256" ca="1">IFERROR(
 INDEX(
  _xlfn._xlws.FILTER($V$1:$AY$1,
   TRANSPOSE(
    CHOOSE({1;2;3;4;5;6;7;8;9;10;11;12;13;14;15;16;17;18;19;20;21;22;23;24;25;26;27;28;29;30},
     COUNTIFS($V$2:$V$200,$G256)&gt;0,
     COUNTIFS($W$2:$W$200,$G256)&gt;0,
     COUNTIFS($X$2:$X$200,$G256)&gt;0,
     COUNTIFS($Y$2:$Y$200,$G256)&gt;0,
     COUNTIFS($Z$2:$Z$200,$G256)&gt;0,
     COUNTIFS($AA$2:$AA$200,$G256)&gt;0,
     COUNTIFS($AB$2:$AB$200,$G256)&gt;0,
     COUNTIFS($AC$2:$AC$200,$G256)&gt;0,
     COUNTIFS($AD$2:$AD$200,$G256)&gt;0,
     COUNTIFS($AE$2:$AE$200,$G256)&gt;0,
     COUNTIFS($AF$2:$AF$200,$G256)&gt;0,
     COUNTIFS($AG$2:$AG$200,$G256)&gt;0,
     COUNTIFS($AH$2:$AH$200,$G256)&gt;0,
     COUNTIFS($AI$2:$AI$200,$G256)&gt;0,
     COUNTIFS($AJ$2:$AJ$200,$G256)&gt;0,
     COUNTIFS($AK$2:$AK$200,$G256)&gt;0,
     COUNTIFS($AL$2:$AL$200,$G256)&gt;0,
     COUNTIFS($AM$2:$AM$200,$G256)&gt;0,
     COUNTIFS($AN$2:$AN$200,$G256)&gt;0,
     COUNTIFS($AO$2:$AO$200,$G256)&gt;0,
     COUNTIFS($AP$2:$AP$200,$G256)&gt;0,
     COUNTIFS($AQ$2:$AQ$200,$G256)&gt;0,
     COUNTIFS($AR$2:$AR$200,$G256)&gt;0,
     COUNTIFS($AS$2:$AS$200,$G256)&gt;0,
     COUNTIFS($AT$2:$AT$200,$G256)&gt;0,
     COUNTIFS($AU$2:$AU$200,$G256)&gt;0,
     COUNTIFS($AV$2:$AV$200,$G256)&gt;0,
     COUNTIFS($AW$2:$AW$200,$G256)&gt;0,
     COUNTIFS($AX$2:$AX$200,$G256)&gt;0,
     COUNTIFS($AY$2:$AY$200,$G256)&gt;0
   )),
  ),
  3
 ),
"")</f>
        <v/>
      </c>
      <c r="F256" s="2" t="str" cm="1">
        <f t="array" aca="1" ref="F256" ca="1">IFERROR(
 INDEX(
  _xlfn._xlws.FILTER($V$1:$AY$1,
   TRANSPOSE(
    CHOOSE({1;2;3;4;5;6;7;8;9;10;11;12;13;14;15;16;17;18;19;20;21;22;23;24;25;26;27;28;29;30},
     COUNTIFS($V$2:$V$200,$G256)&gt;0,
     COUNTIFS($W$2:$W$200,$G256)&gt;0,
     COUNTIFS($X$2:$X$200,$G256)&gt;0,
     COUNTIFS($Y$2:$Y$200,$G256)&gt;0,
     COUNTIFS($Z$2:$Z$200,$G256)&gt;0,
     COUNTIFS($AA$2:$AA$200,$G256)&gt;0,
     COUNTIFS($AB$2:$AB$200,$G256)&gt;0,
     COUNTIFS($AC$2:$AC$200,$G256)&gt;0,
     COUNTIFS($AD$2:$AD$200,$G256)&gt;0,
     COUNTIFS($AE$2:$AE$200,$G256)&gt;0,
     COUNTIFS($AF$2:$AF$200,$G256)&gt;0,
     COUNTIFS($AG$2:$AG$200,$G256)&gt;0,
     COUNTIFS($AH$2:$AH$200,$G256)&gt;0,
     COUNTIFS($AI$2:$AI$200,$G256)&gt;0,
     COUNTIFS($AJ$2:$AJ$200,$G256)&gt;0,
     COUNTIFS($AK$2:$AK$200,$G256)&gt;0,
     COUNTIFS($AL$2:$AL$200,$G256)&gt;0,
     COUNTIFS($AM$2:$AM$200,$G256)&gt;0,
     COUNTIFS($AN$2:$AN$200,$G256)&gt;0,
     COUNTIFS($AO$2:$AO$200,$G256)&gt;0,
     COUNTIFS($AP$2:$AP$200,$G256)&gt;0,
     COUNTIFS($AQ$2:$AQ$200,$G256)&gt;0,
     COUNTIFS($AR$2:$AR$200,$G256)&gt;0,
     COUNTIFS($AS$2:$AS$200,$G256)&gt;0,
     COUNTIFS($AT$2:$AT$200,$G256)&gt;0,
     COUNTIFS($AU$2:$AU$200,$G256)&gt;0,
     COUNTIFS($AV$2:$AV$200,$G256)&gt;0,
     COUNTIFS($AW$2:$AW$200,$G256)&gt;0,
     COUNTIFS($AX$2:$AX$200,$G256)&gt;0,
     COUNTIFS($AY$2:$AY$200,$G256)&gt;0
   )),
  ),
  4
 ),
"")</f>
        <v/>
      </c>
      <c r="G256" t="str">
        <f ca="1"/>
        <v>Lord of Atlantis</v>
      </c>
      <c r="EU256" t="str">
        <f ca="1"/>
        <v>Scalding Tarn</v>
      </c>
      <c r="EX256" t="str">
        <f ca="1"/>
        <v>Lord of Atlantis</v>
      </c>
    </row>
    <row r="257" spans="1:154" x14ac:dyDescent="0.25">
      <c r="A257" s="2" t="str">
        <f t="shared" ca="1" si="12"/>
        <v>3</v>
      </c>
      <c r="B257" s="2">
        <f t="shared" ca="1" si="13"/>
        <v>1</v>
      </c>
      <c r="C257" s="2" t="str">
        <f ca="1">IFERROR(
 INDEX($V$1:$BL$1,
  MATCH(TRUE,
   CHOOSE({1;2;3;4;5;6;7;8;9;10;11;12;13;14;15;16;17;18;19;20;21;22;23;24;25;26;27;28;29;30;31;32;33;34;35;36;37;38;39;40;41;42;43},
    COUNTIFS($V$2:$V$200,$G257)&gt;0,
    COUNTIFS($W$2:$W$200,$G257)&gt;0,
    COUNTIFS($X$2:$X$200,$G257)&gt;0,
    COUNTIFS($Y$2:$Y$200,$G257)&gt;0,
    COUNTIFS($Z$2:$Z$200,$G257)&gt;0,
    COUNTIFS($AA$2:$AA$200,$G257)&gt;0,
    COUNTIFS($AB$2:$AB$200,$G257)&gt;0,
    COUNTIFS($AC$2:$AC$200,$G257)&gt;0,
    COUNTIFS($AD$2:$AD$200,$G257)&gt;0,
    COUNTIFS($AE$2:$AE$200,$G257)&gt;0,
    COUNTIFS($AF$2:$AF$200,$G257)&gt;0,
    COUNTIFS($AG$2:$AG$200,$G257)&gt;0,
    COUNTIFS($AH$2:$AH$200,$G257)&gt;0,
    COUNTIFS($AI$2:$AI$200,$G257)&gt;0,
    COUNTIFS($AJ$2:$AJ$200,$G257)&gt;0,
    COUNTIFS($AK$2:$AK$200,$G257)&gt;0,
    COUNTIFS($AL$2:$AL$200,$G257)&gt;0,
    COUNTIFS($AM$2:$AM$200,$G257)&gt;0,
    COUNTIFS($AN$2:$AN$200,$G257)&gt;0,
    COUNTIFS($AO$2:$AO$200,$G257)&gt;0,
    COUNTIFS($AP$2:$AP$200,$G257)&gt;0,
    COUNTIFS($AQ$2:$AQ$200,$G257)&gt;0,
    COUNTIFS($AR$2:$AR$200,$G257)&gt;0,
    COUNTIFS($AS$2:$AS$200,$G257)&gt;0,
    COUNTIFS($AT$2:$AT$200,$G257)&gt;0,
    COUNTIFS($AU$2:$AU$200,$G257)&gt;0,
    COUNTIFS($AV$2:$AV$200,$G257)&gt;0,
    COUNTIFS($AW$2:$AW$200,$G257)&gt;0,
    COUNTIFS($AX$2:$AX$200,$G257)&gt;0,
    COUNTIFS($AY$2:$AY$200,$G257)&gt;0,
    COUNTIFS($AZ$2:$AZ$200,$G257)&gt;0,
    COUNTIFS($BA$2:$BA$200,$G257)&gt;0,
    COUNTIFS($BB$2:$BB$200,$G257)&gt;0,
    COUNTIFS($BC$2:$BC$200,$G257)&gt;0,
    COUNTIFS($BD$2:$BD$200,$G257)&gt;0,
    COUNTIFS($BE$2:$BE$200,$G257)&gt;0,
    COUNTIFS($BF$2:$BF$200,$G257)&gt;0,
    COUNTIFS($BG$2:$BG$200,$G257)&gt;0,
    COUNTIFS($BH$2:$BH$200,$G257)&gt;0,
    COUNTIFS($BI$2:$BI$200,$G257)&gt;0,
    COUNTIFS($BJ$2:$BJ$200,$G257)&gt;0,
    COUNTIFS($BK$2:$BK$200,$G257)&gt;0,
    COUNTIFS($BL$2:$BL$200,$G257)&gt;0,
    COUNTIFS($BM$2:$BM$200,$G257)&gt;0,
   ),
  0)
 ),
"")</f>
        <v>Akiri</v>
      </c>
      <c r="D257" s="2" t="str" cm="1">
        <f t="array" aca="1" ref="D257" ca="1">IFERROR(
 INDEX(
  _xlfn._xlws.FILTER($V$1:$AY$1,
   TRANSPOSE(
    CHOOSE({1;2;3;4;5;6;7;8;9;10;11;12;13;14;15;16;17;18;19;20;21;22;23;24;25;26;27;28;29;30},
     COUNTIFS($V$2:$V$200,$G257)&gt;0,
     COUNTIFS($W$2:$W$200,$G257)&gt;0,
     COUNTIFS($X$2:$X$200,$G257)&gt;0,
     COUNTIFS($Y$2:$Y$200,$G257)&gt;0,
     COUNTIFS($Z$2:$Z$200,$G257)&gt;0,
     COUNTIFS($AA$2:$AA$200,$G257)&gt;0,
     COUNTIFS($AB$2:$AB$200,$G257)&gt;0,
     COUNTIFS($AC$2:$AC$200,$G257)&gt;0,
     COUNTIFS($AD$2:$AD$200,$G257)&gt;0,
     COUNTIFS($AE$2:$AE$200,$G257)&gt;0,
     COUNTIFS($AF$2:$AF$200,$G257)&gt;0,
     COUNTIFS($AG$2:$AG$200,$G257)&gt;0,
     COUNTIFS($AH$2:$AH$200,$G257)&gt;0,
     COUNTIFS($AI$2:$AI$200,$G257)&gt;0,
     COUNTIFS($AJ$2:$AJ$200,$G257)&gt;0,
     COUNTIFS($AK$2:$AK$200,$G257)&gt;0,
     COUNTIFS($AL$2:$AL$200,$G257)&gt;0,
     COUNTIFS($AM$2:$AM$200,$G257)&gt;0,
     COUNTIFS($AN$2:$AN$200,$G257)&gt;0,
     COUNTIFS($AO$2:$AO$200,$G257)&gt;0,
     COUNTIFS($AP$2:$AP$200,$G257)&gt;0,
     COUNTIFS($AQ$2:$AQ$200,$G257)&gt;0,
     COUNTIFS($AR$2:$AR$200,$G257)&gt;0,
     COUNTIFS($AS$2:$AS$200,$G257)&gt;0,
     COUNTIFS($AT$2:$AT$200,$G257)&gt;0,
     COUNTIFS($AU$2:$AU$200,$G257)&gt;0,
     COUNTIFS($AV$2:$AV$200,$G257)&gt;0,
     COUNTIFS($AW$2:$AW$200,$G257)&gt;0,
     COUNTIFS($AX$2:$AX$200,$G257)&gt;0,
     COUNTIFS($AY$2:$AY$200,$G257)&gt;0
   )),
  ),
  2
 ),
"")</f>
        <v/>
      </c>
      <c r="E257" s="2" t="str" cm="1">
        <f t="array" aca="1" ref="E257" ca="1">IFERROR(
 INDEX(
  _xlfn._xlws.FILTER($V$1:$AY$1,
   TRANSPOSE(
    CHOOSE({1;2;3;4;5;6;7;8;9;10;11;12;13;14;15;16;17;18;19;20;21;22;23;24;25;26;27;28;29;30},
     COUNTIFS($V$2:$V$200,$G257)&gt;0,
     COUNTIFS($W$2:$W$200,$G257)&gt;0,
     COUNTIFS($X$2:$X$200,$G257)&gt;0,
     COUNTIFS($Y$2:$Y$200,$G257)&gt;0,
     COUNTIFS($Z$2:$Z$200,$G257)&gt;0,
     COUNTIFS($AA$2:$AA$200,$G257)&gt;0,
     COUNTIFS($AB$2:$AB$200,$G257)&gt;0,
     COUNTIFS($AC$2:$AC$200,$G257)&gt;0,
     COUNTIFS($AD$2:$AD$200,$G257)&gt;0,
     COUNTIFS($AE$2:$AE$200,$G257)&gt;0,
     COUNTIFS($AF$2:$AF$200,$G257)&gt;0,
     COUNTIFS($AG$2:$AG$200,$G257)&gt;0,
     COUNTIFS($AH$2:$AH$200,$G257)&gt;0,
     COUNTIFS($AI$2:$AI$200,$G257)&gt;0,
     COUNTIFS($AJ$2:$AJ$200,$G257)&gt;0,
     COUNTIFS($AK$2:$AK$200,$G257)&gt;0,
     COUNTIFS($AL$2:$AL$200,$G257)&gt;0,
     COUNTIFS($AM$2:$AM$200,$G257)&gt;0,
     COUNTIFS($AN$2:$AN$200,$G257)&gt;0,
     COUNTIFS($AO$2:$AO$200,$G257)&gt;0,
     COUNTIFS($AP$2:$AP$200,$G257)&gt;0,
     COUNTIFS($AQ$2:$AQ$200,$G257)&gt;0,
     COUNTIFS($AR$2:$AR$200,$G257)&gt;0,
     COUNTIFS($AS$2:$AS$200,$G257)&gt;0,
     COUNTIFS($AT$2:$AT$200,$G257)&gt;0,
     COUNTIFS($AU$2:$AU$200,$G257)&gt;0,
     COUNTIFS($AV$2:$AV$200,$G257)&gt;0,
     COUNTIFS($AW$2:$AW$200,$G257)&gt;0,
     COUNTIFS($AX$2:$AX$200,$G257)&gt;0,
     COUNTIFS($AY$2:$AY$200,$G257)&gt;0
   )),
  ),
  3
 ),
"")</f>
        <v/>
      </c>
      <c r="F257" s="2" t="str" cm="1">
        <f t="array" aca="1" ref="F257" ca="1">IFERROR(
 INDEX(
  _xlfn._xlws.FILTER($V$1:$AY$1,
   TRANSPOSE(
    CHOOSE({1;2;3;4;5;6;7;8;9;10;11;12;13;14;15;16;17;18;19;20;21;22;23;24;25;26;27;28;29;30},
     COUNTIFS($V$2:$V$200,$G257)&gt;0,
     COUNTIFS($W$2:$W$200,$G257)&gt;0,
     COUNTIFS($X$2:$X$200,$G257)&gt;0,
     COUNTIFS($Y$2:$Y$200,$G257)&gt;0,
     COUNTIFS($Z$2:$Z$200,$G257)&gt;0,
     COUNTIFS($AA$2:$AA$200,$G257)&gt;0,
     COUNTIFS($AB$2:$AB$200,$G257)&gt;0,
     COUNTIFS($AC$2:$AC$200,$G257)&gt;0,
     COUNTIFS($AD$2:$AD$200,$G257)&gt;0,
     COUNTIFS($AE$2:$AE$200,$G257)&gt;0,
     COUNTIFS($AF$2:$AF$200,$G257)&gt;0,
     COUNTIFS($AG$2:$AG$200,$G257)&gt;0,
     COUNTIFS($AH$2:$AH$200,$G257)&gt;0,
     COUNTIFS($AI$2:$AI$200,$G257)&gt;0,
     COUNTIFS($AJ$2:$AJ$200,$G257)&gt;0,
     COUNTIFS($AK$2:$AK$200,$G257)&gt;0,
     COUNTIFS($AL$2:$AL$200,$G257)&gt;0,
     COUNTIFS($AM$2:$AM$200,$G257)&gt;0,
     COUNTIFS($AN$2:$AN$200,$G257)&gt;0,
     COUNTIFS($AO$2:$AO$200,$G257)&gt;0,
     COUNTIFS($AP$2:$AP$200,$G257)&gt;0,
     COUNTIFS($AQ$2:$AQ$200,$G257)&gt;0,
     COUNTIFS($AR$2:$AR$200,$G257)&gt;0,
     COUNTIFS($AS$2:$AS$200,$G257)&gt;0,
     COUNTIFS($AT$2:$AT$200,$G257)&gt;0,
     COUNTIFS($AU$2:$AU$200,$G257)&gt;0,
     COUNTIFS($AV$2:$AV$200,$G257)&gt;0,
     COUNTIFS($AW$2:$AW$200,$G257)&gt;0,
     COUNTIFS($AX$2:$AX$200,$G257)&gt;0,
     COUNTIFS($AY$2:$AY$200,$G257)&gt;0
   )),
  ),
  4
 ),
"")</f>
        <v/>
      </c>
      <c r="G257" t="str">
        <f ca="1"/>
        <v>Lost Jitte</v>
      </c>
      <c r="EU257" t="str">
        <f ca="1"/>
        <v>Scattered Groves</v>
      </c>
      <c r="EX257" t="str">
        <f ca="1"/>
        <v>Lost Jitte</v>
      </c>
    </row>
    <row r="258" spans="1:154" x14ac:dyDescent="0.25">
      <c r="A258" s="2" t="str">
        <f t="shared" ca="1" si="12"/>
        <v>5</v>
      </c>
      <c r="B258" s="2">
        <f t="shared" ca="1" si="13"/>
        <v>1</v>
      </c>
      <c r="C258" s="2" t="str">
        <f ca="1">IFERROR(
 INDEX($V$1:$BL$1,
  MATCH(TRUE,
   CHOOSE({1;2;3;4;5;6;7;8;9;10;11;12;13;14;15;16;17;18;19;20;21;22;23;24;25;26;27;28;29;30;31;32;33;34;35;36;37;38;39;40;41;42;43},
    COUNTIFS($V$2:$V$200,$G258)&gt;0,
    COUNTIFS($W$2:$W$200,$G258)&gt;0,
    COUNTIFS($X$2:$X$200,$G258)&gt;0,
    COUNTIFS($Y$2:$Y$200,$G258)&gt;0,
    COUNTIFS($Z$2:$Z$200,$G258)&gt;0,
    COUNTIFS($AA$2:$AA$200,$G258)&gt;0,
    COUNTIFS($AB$2:$AB$200,$G258)&gt;0,
    COUNTIFS($AC$2:$AC$200,$G258)&gt;0,
    COUNTIFS($AD$2:$AD$200,$G258)&gt;0,
    COUNTIFS($AE$2:$AE$200,$G258)&gt;0,
    COUNTIFS($AF$2:$AF$200,$G258)&gt;0,
    COUNTIFS($AG$2:$AG$200,$G258)&gt;0,
    COUNTIFS($AH$2:$AH$200,$G258)&gt;0,
    COUNTIFS($AI$2:$AI$200,$G258)&gt;0,
    COUNTIFS($AJ$2:$AJ$200,$G258)&gt;0,
    COUNTIFS($AK$2:$AK$200,$G258)&gt;0,
    COUNTIFS($AL$2:$AL$200,$G258)&gt;0,
    COUNTIFS($AM$2:$AM$200,$G258)&gt;0,
    COUNTIFS($AN$2:$AN$200,$G258)&gt;0,
    COUNTIFS($AO$2:$AO$200,$G258)&gt;0,
    COUNTIFS($AP$2:$AP$200,$G258)&gt;0,
    COUNTIFS($AQ$2:$AQ$200,$G258)&gt;0,
    COUNTIFS($AR$2:$AR$200,$G258)&gt;0,
    COUNTIFS($AS$2:$AS$200,$G258)&gt;0,
    COUNTIFS($AT$2:$AT$200,$G258)&gt;0,
    COUNTIFS($AU$2:$AU$200,$G258)&gt;0,
    COUNTIFS($AV$2:$AV$200,$G258)&gt;0,
    COUNTIFS($AW$2:$AW$200,$G258)&gt;0,
    COUNTIFS($AX$2:$AX$200,$G258)&gt;0,
    COUNTIFS($AY$2:$AY$200,$G258)&gt;0,
    COUNTIFS($AZ$2:$AZ$200,$G258)&gt;0,
    COUNTIFS($BA$2:$BA$200,$G258)&gt;0,
    COUNTIFS($BB$2:$BB$200,$G258)&gt;0,
    COUNTIFS($BC$2:$BC$200,$G258)&gt;0,
    COUNTIFS($BD$2:$BD$200,$G258)&gt;0,
    COUNTIFS($BE$2:$BE$200,$G258)&gt;0,
    COUNTIFS($BF$2:$BF$200,$G258)&gt;0,
    COUNTIFS($BG$2:$BG$200,$G258)&gt;0,
    COUNTIFS($BH$2:$BH$200,$G258)&gt;0,
    COUNTIFS($BI$2:$BI$200,$G258)&gt;0,
    COUNTIFS($BJ$2:$BJ$200,$G258)&gt;0,
    COUNTIFS($BK$2:$BK$200,$G258)&gt;0,
    COUNTIFS($BL$2:$BL$200,$G258)&gt;0,
    COUNTIFS($BM$2:$BM$200,$G258)&gt;0,
   ),
  0)
 ),
"")</f>
        <v>Little</v>
      </c>
      <c r="D258" s="2" t="str" cm="1">
        <f t="array" aca="1" ref="D258" ca="1">IFERROR(
 INDEX(
  _xlfn._xlws.FILTER($V$1:$AY$1,
   TRANSPOSE(
    CHOOSE({1;2;3;4;5;6;7;8;9;10;11;12;13;14;15;16;17;18;19;20;21;22;23;24;25;26;27;28;29;30},
     COUNTIFS($V$2:$V$200,$G258)&gt;0,
     COUNTIFS($W$2:$W$200,$G258)&gt;0,
     COUNTIFS($X$2:$X$200,$G258)&gt;0,
     COUNTIFS($Y$2:$Y$200,$G258)&gt;0,
     COUNTIFS($Z$2:$Z$200,$G258)&gt;0,
     COUNTIFS($AA$2:$AA$200,$G258)&gt;0,
     COUNTIFS($AB$2:$AB$200,$G258)&gt;0,
     COUNTIFS($AC$2:$AC$200,$G258)&gt;0,
     COUNTIFS($AD$2:$AD$200,$G258)&gt;0,
     COUNTIFS($AE$2:$AE$200,$G258)&gt;0,
     COUNTIFS($AF$2:$AF$200,$G258)&gt;0,
     COUNTIFS($AG$2:$AG$200,$G258)&gt;0,
     COUNTIFS($AH$2:$AH$200,$G258)&gt;0,
     COUNTIFS($AI$2:$AI$200,$G258)&gt;0,
     COUNTIFS($AJ$2:$AJ$200,$G258)&gt;0,
     COUNTIFS($AK$2:$AK$200,$G258)&gt;0,
     COUNTIFS($AL$2:$AL$200,$G258)&gt;0,
     COUNTIFS($AM$2:$AM$200,$G258)&gt;0,
     COUNTIFS($AN$2:$AN$200,$G258)&gt;0,
     COUNTIFS($AO$2:$AO$200,$G258)&gt;0,
     COUNTIFS($AP$2:$AP$200,$G258)&gt;0,
     COUNTIFS($AQ$2:$AQ$200,$G258)&gt;0,
     COUNTIFS($AR$2:$AR$200,$G258)&gt;0,
     COUNTIFS($AS$2:$AS$200,$G258)&gt;0,
     COUNTIFS($AT$2:$AT$200,$G258)&gt;0,
     COUNTIFS($AU$2:$AU$200,$G258)&gt;0,
     COUNTIFS($AV$2:$AV$200,$G258)&gt;0,
     COUNTIFS($AW$2:$AW$200,$G258)&gt;0,
     COUNTIFS($AX$2:$AX$200,$G258)&gt;0,
     COUNTIFS($AY$2:$AY$200,$G258)&gt;0
   )),
  ),
  2
 ),
"")</f>
        <v/>
      </c>
      <c r="E258" s="2" t="str" cm="1">
        <f t="array" aca="1" ref="E258" ca="1">IFERROR(
 INDEX(
  _xlfn._xlws.FILTER($V$1:$AY$1,
   TRANSPOSE(
    CHOOSE({1;2;3;4;5;6;7;8;9;10;11;12;13;14;15;16;17;18;19;20;21;22;23;24;25;26;27;28;29;30},
     COUNTIFS($V$2:$V$200,$G258)&gt;0,
     COUNTIFS($W$2:$W$200,$G258)&gt;0,
     COUNTIFS($X$2:$X$200,$G258)&gt;0,
     COUNTIFS($Y$2:$Y$200,$G258)&gt;0,
     COUNTIFS($Z$2:$Z$200,$G258)&gt;0,
     COUNTIFS($AA$2:$AA$200,$G258)&gt;0,
     COUNTIFS($AB$2:$AB$200,$G258)&gt;0,
     COUNTIFS($AC$2:$AC$200,$G258)&gt;0,
     COUNTIFS($AD$2:$AD$200,$G258)&gt;0,
     COUNTIFS($AE$2:$AE$200,$G258)&gt;0,
     COUNTIFS($AF$2:$AF$200,$G258)&gt;0,
     COUNTIFS($AG$2:$AG$200,$G258)&gt;0,
     COUNTIFS($AH$2:$AH$200,$G258)&gt;0,
     COUNTIFS($AI$2:$AI$200,$G258)&gt;0,
     COUNTIFS($AJ$2:$AJ$200,$G258)&gt;0,
     COUNTIFS($AK$2:$AK$200,$G258)&gt;0,
     COUNTIFS($AL$2:$AL$200,$G258)&gt;0,
     COUNTIFS($AM$2:$AM$200,$G258)&gt;0,
     COUNTIFS($AN$2:$AN$200,$G258)&gt;0,
     COUNTIFS($AO$2:$AO$200,$G258)&gt;0,
     COUNTIFS($AP$2:$AP$200,$G258)&gt;0,
     COUNTIFS($AQ$2:$AQ$200,$G258)&gt;0,
     COUNTIFS($AR$2:$AR$200,$G258)&gt;0,
     COUNTIFS($AS$2:$AS$200,$G258)&gt;0,
     COUNTIFS($AT$2:$AT$200,$G258)&gt;0,
     COUNTIFS($AU$2:$AU$200,$G258)&gt;0,
     COUNTIFS($AV$2:$AV$200,$G258)&gt;0,
     COUNTIFS($AW$2:$AW$200,$G258)&gt;0,
     COUNTIFS($AX$2:$AX$200,$G258)&gt;0,
     COUNTIFS($AY$2:$AY$200,$G258)&gt;0
   )),
  ),
  3
 ),
"")</f>
        <v/>
      </c>
      <c r="F258" s="2" t="str" cm="1">
        <f t="array" aca="1" ref="F258" ca="1">IFERROR(
 INDEX(
  _xlfn._xlws.FILTER($V$1:$AY$1,
   TRANSPOSE(
    CHOOSE({1;2;3;4;5;6;7;8;9;10;11;12;13;14;15;16;17;18;19;20;21;22;23;24;25;26;27;28;29;30},
     COUNTIFS($V$2:$V$200,$G258)&gt;0,
     COUNTIFS($W$2:$W$200,$G258)&gt;0,
     COUNTIFS($X$2:$X$200,$G258)&gt;0,
     COUNTIFS($Y$2:$Y$200,$G258)&gt;0,
     COUNTIFS($Z$2:$Z$200,$G258)&gt;0,
     COUNTIFS($AA$2:$AA$200,$G258)&gt;0,
     COUNTIFS($AB$2:$AB$200,$G258)&gt;0,
     COUNTIFS($AC$2:$AC$200,$G258)&gt;0,
     COUNTIFS($AD$2:$AD$200,$G258)&gt;0,
     COUNTIFS($AE$2:$AE$200,$G258)&gt;0,
     COUNTIFS($AF$2:$AF$200,$G258)&gt;0,
     COUNTIFS($AG$2:$AG$200,$G258)&gt;0,
     COUNTIFS($AH$2:$AH$200,$G258)&gt;0,
     COUNTIFS($AI$2:$AI$200,$G258)&gt;0,
     COUNTIFS($AJ$2:$AJ$200,$G258)&gt;0,
     COUNTIFS($AK$2:$AK$200,$G258)&gt;0,
     COUNTIFS($AL$2:$AL$200,$G258)&gt;0,
     COUNTIFS($AM$2:$AM$200,$G258)&gt;0,
     COUNTIFS($AN$2:$AN$200,$G258)&gt;0,
     COUNTIFS($AO$2:$AO$200,$G258)&gt;0,
     COUNTIFS($AP$2:$AP$200,$G258)&gt;0,
     COUNTIFS($AQ$2:$AQ$200,$G258)&gt;0,
     COUNTIFS($AR$2:$AR$200,$G258)&gt;0,
     COUNTIFS($AS$2:$AS$200,$G258)&gt;0,
     COUNTIFS($AT$2:$AT$200,$G258)&gt;0,
     COUNTIFS($AU$2:$AU$200,$G258)&gt;0,
     COUNTIFS($AV$2:$AV$200,$G258)&gt;0,
     COUNTIFS($AW$2:$AW$200,$G258)&gt;0,
     COUNTIFS($AX$2:$AX$200,$G258)&gt;0,
     COUNTIFS($AY$2:$AY$200,$G258)&gt;0
   )),
  ),
  4
 ),
"")</f>
        <v/>
      </c>
      <c r="G258" t="str">
        <f ca="1"/>
        <v>Loyal Apprentice</v>
      </c>
      <c r="EU258" t="str">
        <f ca="1"/>
        <v>Scuzzback Scrounger</v>
      </c>
      <c r="EX258" t="str">
        <f ca="1"/>
        <v>Loyal Apprentice</v>
      </c>
    </row>
    <row r="259" spans="1:154" x14ac:dyDescent="0.25">
      <c r="A259" s="2" t="str">
        <f t="shared" ref="A259:A322" ca="1" si="14">IFERROR(INDEX($T$3:$T$200, MATCH($C259, $J$3:$J$200, 0)), "")</f>
        <v>5</v>
      </c>
      <c r="B259" s="2">
        <f t="shared" ref="B259:B322" ca="1" si="15">COUNTIF(V:CG,G259)</f>
        <v>1</v>
      </c>
      <c r="C259" s="2" t="str">
        <f ca="1">IFERROR(
 INDEX($V$1:$BL$1,
  MATCH(TRUE,
   CHOOSE({1;2;3;4;5;6;7;8;9;10;11;12;13;14;15;16;17;18;19;20;21;22;23;24;25;26;27;28;29;30;31;32;33;34;35;36;37;38;39;40;41;42;43},
    COUNTIFS($V$2:$V$200,$G259)&gt;0,
    COUNTIFS($W$2:$W$200,$G259)&gt;0,
    COUNTIFS($X$2:$X$200,$G259)&gt;0,
    COUNTIFS($Y$2:$Y$200,$G259)&gt;0,
    COUNTIFS($Z$2:$Z$200,$G259)&gt;0,
    COUNTIFS($AA$2:$AA$200,$G259)&gt;0,
    COUNTIFS($AB$2:$AB$200,$G259)&gt;0,
    COUNTIFS($AC$2:$AC$200,$G259)&gt;0,
    COUNTIFS($AD$2:$AD$200,$G259)&gt;0,
    COUNTIFS($AE$2:$AE$200,$G259)&gt;0,
    COUNTIFS($AF$2:$AF$200,$G259)&gt;0,
    COUNTIFS($AG$2:$AG$200,$G259)&gt;0,
    COUNTIFS($AH$2:$AH$200,$G259)&gt;0,
    COUNTIFS($AI$2:$AI$200,$G259)&gt;0,
    COUNTIFS($AJ$2:$AJ$200,$G259)&gt;0,
    COUNTIFS($AK$2:$AK$200,$G259)&gt;0,
    COUNTIFS($AL$2:$AL$200,$G259)&gt;0,
    COUNTIFS($AM$2:$AM$200,$G259)&gt;0,
    COUNTIFS($AN$2:$AN$200,$G259)&gt;0,
    COUNTIFS($AO$2:$AO$200,$G259)&gt;0,
    COUNTIFS($AP$2:$AP$200,$G259)&gt;0,
    COUNTIFS($AQ$2:$AQ$200,$G259)&gt;0,
    COUNTIFS($AR$2:$AR$200,$G259)&gt;0,
    COUNTIFS($AS$2:$AS$200,$G259)&gt;0,
    COUNTIFS($AT$2:$AT$200,$G259)&gt;0,
    COUNTIFS($AU$2:$AU$200,$G259)&gt;0,
    COUNTIFS($AV$2:$AV$200,$G259)&gt;0,
    COUNTIFS($AW$2:$AW$200,$G259)&gt;0,
    COUNTIFS($AX$2:$AX$200,$G259)&gt;0,
    COUNTIFS($AY$2:$AY$200,$G259)&gt;0,
    COUNTIFS($AZ$2:$AZ$200,$G259)&gt;0,
    COUNTIFS($BA$2:$BA$200,$G259)&gt;0,
    COUNTIFS($BB$2:$BB$200,$G259)&gt;0,
    COUNTIFS($BC$2:$BC$200,$G259)&gt;0,
    COUNTIFS($BD$2:$BD$200,$G259)&gt;0,
    COUNTIFS($BE$2:$BE$200,$G259)&gt;0,
    COUNTIFS($BF$2:$BF$200,$G259)&gt;0,
    COUNTIFS($BG$2:$BG$200,$G259)&gt;0,
    COUNTIFS($BH$2:$BH$200,$G259)&gt;0,
    COUNTIFS($BI$2:$BI$200,$G259)&gt;0,
    COUNTIFS($BJ$2:$BJ$200,$G259)&gt;0,
    COUNTIFS($BK$2:$BK$200,$G259)&gt;0,
    COUNTIFS($BL$2:$BL$200,$G259)&gt;0,
    COUNTIFS($BM$2:$BM$200,$G259)&gt;0,
   ),
  0)
 ),
"")</f>
        <v>Little</v>
      </c>
      <c r="D259" s="2" t="str" cm="1">
        <f t="array" aca="1" ref="D259" ca="1">IFERROR(
 INDEX(
  _xlfn._xlws.FILTER($V$1:$AY$1,
   TRANSPOSE(
    CHOOSE({1;2;3;4;5;6;7;8;9;10;11;12;13;14;15;16;17;18;19;20;21;22;23;24;25;26;27;28;29;30},
     COUNTIFS($V$2:$V$200,$G259)&gt;0,
     COUNTIFS($W$2:$W$200,$G259)&gt;0,
     COUNTIFS($X$2:$X$200,$G259)&gt;0,
     COUNTIFS($Y$2:$Y$200,$G259)&gt;0,
     COUNTIFS($Z$2:$Z$200,$G259)&gt;0,
     COUNTIFS($AA$2:$AA$200,$G259)&gt;0,
     COUNTIFS($AB$2:$AB$200,$G259)&gt;0,
     COUNTIFS($AC$2:$AC$200,$G259)&gt;0,
     COUNTIFS($AD$2:$AD$200,$G259)&gt;0,
     COUNTIFS($AE$2:$AE$200,$G259)&gt;0,
     COUNTIFS($AF$2:$AF$200,$G259)&gt;0,
     COUNTIFS($AG$2:$AG$200,$G259)&gt;0,
     COUNTIFS($AH$2:$AH$200,$G259)&gt;0,
     COUNTIFS($AI$2:$AI$200,$G259)&gt;0,
     COUNTIFS($AJ$2:$AJ$200,$G259)&gt;0,
     COUNTIFS($AK$2:$AK$200,$G259)&gt;0,
     COUNTIFS($AL$2:$AL$200,$G259)&gt;0,
     COUNTIFS($AM$2:$AM$200,$G259)&gt;0,
     COUNTIFS($AN$2:$AN$200,$G259)&gt;0,
     COUNTIFS($AO$2:$AO$200,$G259)&gt;0,
     COUNTIFS($AP$2:$AP$200,$G259)&gt;0,
     COUNTIFS($AQ$2:$AQ$200,$G259)&gt;0,
     COUNTIFS($AR$2:$AR$200,$G259)&gt;0,
     COUNTIFS($AS$2:$AS$200,$G259)&gt;0,
     COUNTIFS($AT$2:$AT$200,$G259)&gt;0,
     COUNTIFS($AU$2:$AU$200,$G259)&gt;0,
     COUNTIFS($AV$2:$AV$200,$G259)&gt;0,
     COUNTIFS($AW$2:$AW$200,$G259)&gt;0,
     COUNTIFS($AX$2:$AX$200,$G259)&gt;0,
     COUNTIFS($AY$2:$AY$200,$G259)&gt;0
   )),
  ),
  2
 ),
"")</f>
        <v/>
      </c>
      <c r="E259" s="2" t="str" cm="1">
        <f t="array" aca="1" ref="E259" ca="1">IFERROR(
 INDEX(
  _xlfn._xlws.FILTER($V$1:$AY$1,
   TRANSPOSE(
    CHOOSE({1;2;3;4;5;6;7;8;9;10;11;12;13;14;15;16;17;18;19;20;21;22;23;24;25;26;27;28;29;30},
     COUNTIFS($V$2:$V$200,$G259)&gt;0,
     COUNTIFS($W$2:$W$200,$G259)&gt;0,
     COUNTIFS($X$2:$X$200,$G259)&gt;0,
     COUNTIFS($Y$2:$Y$200,$G259)&gt;0,
     COUNTIFS($Z$2:$Z$200,$G259)&gt;0,
     COUNTIFS($AA$2:$AA$200,$G259)&gt;0,
     COUNTIFS($AB$2:$AB$200,$G259)&gt;0,
     COUNTIFS($AC$2:$AC$200,$G259)&gt;0,
     COUNTIFS($AD$2:$AD$200,$G259)&gt;0,
     COUNTIFS($AE$2:$AE$200,$G259)&gt;0,
     COUNTIFS($AF$2:$AF$200,$G259)&gt;0,
     COUNTIFS($AG$2:$AG$200,$G259)&gt;0,
     COUNTIFS($AH$2:$AH$200,$G259)&gt;0,
     COUNTIFS($AI$2:$AI$200,$G259)&gt;0,
     COUNTIFS($AJ$2:$AJ$200,$G259)&gt;0,
     COUNTIFS($AK$2:$AK$200,$G259)&gt;0,
     COUNTIFS($AL$2:$AL$200,$G259)&gt;0,
     COUNTIFS($AM$2:$AM$200,$G259)&gt;0,
     COUNTIFS($AN$2:$AN$200,$G259)&gt;0,
     COUNTIFS($AO$2:$AO$200,$G259)&gt;0,
     COUNTIFS($AP$2:$AP$200,$G259)&gt;0,
     COUNTIFS($AQ$2:$AQ$200,$G259)&gt;0,
     COUNTIFS($AR$2:$AR$200,$G259)&gt;0,
     COUNTIFS($AS$2:$AS$200,$G259)&gt;0,
     COUNTIFS($AT$2:$AT$200,$G259)&gt;0,
     COUNTIFS($AU$2:$AU$200,$G259)&gt;0,
     COUNTIFS($AV$2:$AV$200,$G259)&gt;0,
     COUNTIFS($AW$2:$AW$200,$G259)&gt;0,
     COUNTIFS($AX$2:$AX$200,$G259)&gt;0,
     COUNTIFS($AY$2:$AY$200,$G259)&gt;0
   )),
  ),
  3
 ),
"")</f>
        <v/>
      </c>
      <c r="F259" s="2" t="str" cm="1">
        <f t="array" aca="1" ref="F259" ca="1">IFERROR(
 INDEX(
  _xlfn._xlws.FILTER($V$1:$AY$1,
   TRANSPOSE(
    CHOOSE({1;2;3;4;5;6;7;8;9;10;11;12;13;14;15;16;17;18;19;20;21;22;23;24;25;26;27;28;29;30},
     COUNTIFS($V$2:$V$200,$G259)&gt;0,
     COUNTIFS($W$2:$W$200,$G259)&gt;0,
     COUNTIFS($X$2:$X$200,$G259)&gt;0,
     COUNTIFS($Y$2:$Y$200,$G259)&gt;0,
     COUNTIFS($Z$2:$Z$200,$G259)&gt;0,
     COUNTIFS($AA$2:$AA$200,$G259)&gt;0,
     COUNTIFS($AB$2:$AB$200,$G259)&gt;0,
     COUNTIFS($AC$2:$AC$200,$G259)&gt;0,
     COUNTIFS($AD$2:$AD$200,$G259)&gt;0,
     COUNTIFS($AE$2:$AE$200,$G259)&gt;0,
     COUNTIFS($AF$2:$AF$200,$G259)&gt;0,
     COUNTIFS($AG$2:$AG$200,$G259)&gt;0,
     COUNTIFS($AH$2:$AH$200,$G259)&gt;0,
     COUNTIFS($AI$2:$AI$200,$G259)&gt;0,
     COUNTIFS($AJ$2:$AJ$200,$G259)&gt;0,
     COUNTIFS($AK$2:$AK$200,$G259)&gt;0,
     COUNTIFS($AL$2:$AL$200,$G259)&gt;0,
     COUNTIFS($AM$2:$AM$200,$G259)&gt;0,
     COUNTIFS($AN$2:$AN$200,$G259)&gt;0,
     COUNTIFS($AO$2:$AO$200,$G259)&gt;0,
     COUNTIFS($AP$2:$AP$200,$G259)&gt;0,
     COUNTIFS($AQ$2:$AQ$200,$G259)&gt;0,
     COUNTIFS($AR$2:$AR$200,$G259)&gt;0,
     COUNTIFS($AS$2:$AS$200,$G259)&gt;0,
     COUNTIFS($AT$2:$AT$200,$G259)&gt;0,
     COUNTIFS($AU$2:$AU$200,$G259)&gt;0,
     COUNTIFS($AV$2:$AV$200,$G259)&gt;0,
     COUNTIFS($AW$2:$AW$200,$G259)&gt;0,
     COUNTIFS($AX$2:$AX$200,$G259)&gt;0,
     COUNTIFS($AY$2:$AY$200,$G259)&gt;0
   )),
  ),
  4
 ),
"")</f>
        <v/>
      </c>
      <c r="G259" t="str">
        <f ca="1"/>
        <v>Lurrus of the Dream-Den</v>
      </c>
      <c r="EU259" t="str">
        <f ca="1"/>
        <v>Sea Gate Restoration</v>
      </c>
      <c r="EX259" t="str">
        <f ca="1"/>
        <v>Lurrus of the Dream-Den</v>
      </c>
    </row>
    <row r="260" spans="1:154" x14ac:dyDescent="0.25">
      <c r="A260" s="2" t="str">
        <f t="shared" ca="1" si="14"/>
        <v>2</v>
      </c>
      <c r="B260" s="2">
        <f t="shared" ca="1" si="15"/>
        <v>1</v>
      </c>
      <c r="C260" s="2" t="str">
        <f ca="1">IFERROR(
 INDEX($V$1:$BL$1,
  MATCH(TRUE,
   CHOOSE({1;2;3;4;5;6;7;8;9;10;11;12;13;14;15;16;17;18;19;20;21;22;23;24;25;26;27;28;29;30;31;32;33;34;35;36;37;38;39;40;41;42;43},
    COUNTIFS($V$2:$V$200,$G260)&gt;0,
    COUNTIFS($W$2:$W$200,$G260)&gt;0,
    COUNTIFS($X$2:$X$200,$G260)&gt;0,
    COUNTIFS($Y$2:$Y$200,$G260)&gt;0,
    COUNTIFS($Z$2:$Z$200,$G260)&gt;0,
    COUNTIFS($AA$2:$AA$200,$G260)&gt;0,
    COUNTIFS($AB$2:$AB$200,$G260)&gt;0,
    COUNTIFS($AC$2:$AC$200,$G260)&gt;0,
    COUNTIFS($AD$2:$AD$200,$G260)&gt;0,
    COUNTIFS($AE$2:$AE$200,$G260)&gt;0,
    COUNTIFS($AF$2:$AF$200,$G260)&gt;0,
    COUNTIFS($AG$2:$AG$200,$G260)&gt;0,
    COUNTIFS($AH$2:$AH$200,$G260)&gt;0,
    COUNTIFS($AI$2:$AI$200,$G260)&gt;0,
    COUNTIFS($AJ$2:$AJ$200,$G260)&gt;0,
    COUNTIFS($AK$2:$AK$200,$G260)&gt;0,
    COUNTIFS($AL$2:$AL$200,$G260)&gt;0,
    COUNTIFS($AM$2:$AM$200,$G260)&gt;0,
    COUNTIFS($AN$2:$AN$200,$G260)&gt;0,
    COUNTIFS($AO$2:$AO$200,$G260)&gt;0,
    COUNTIFS($AP$2:$AP$200,$G260)&gt;0,
    COUNTIFS($AQ$2:$AQ$200,$G260)&gt;0,
    COUNTIFS($AR$2:$AR$200,$G260)&gt;0,
    COUNTIFS($AS$2:$AS$200,$G260)&gt;0,
    COUNTIFS($AT$2:$AT$200,$G260)&gt;0,
    COUNTIFS($AU$2:$AU$200,$G260)&gt;0,
    COUNTIFS($AV$2:$AV$200,$G260)&gt;0,
    COUNTIFS($AW$2:$AW$200,$G260)&gt;0,
    COUNTIFS($AX$2:$AX$200,$G260)&gt;0,
    COUNTIFS($AY$2:$AY$200,$G260)&gt;0,
    COUNTIFS($AZ$2:$AZ$200,$G260)&gt;0,
    COUNTIFS($BA$2:$BA$200,$G260)&gt;0,
    COUNTIFS($BB$2:$BB$200,$G260)&gt;0,
    COUNTIFS($BC$2:$BC$200,$G260)&gt;0,
    COUNTIFS($BD$2:$BD$200,$G260)&gt;0,
    COUNTIFS($BE$2:$BE$200,$G260)&gt;0,
    COUNTIFS($BF$2:$BF$200,$G260)&gt;0,
    COUNTIFS($BG$2:$BG$200,$G260)&gt;0,
    COUNTIFS($BH$2:$BH$200,$G260)&gt;0,
    COUNTIFS($BI$2:$BI$200,$G260)&gt;0,
    COUNTIFS($BJ$2:$BJ$200,$G260)&gt;0,
    COUNTIFS($BK$2:$BK$200,$G260)&gt;0,
    COUNTIFS($BL$2:$BL$200,$G260)&gt;0,
    COUNTIFS($BM$2:$BM$200,$G260)&gt;0,
   ),
  0)
 ),
"")</f>
        <v>VialIshai</v>
      </c>
      <c r="D260" s="2" t="str" cm="1">
        <f t="array" aca="1" ref="D260" ca="1">IFERROR(
 INDEX(
  _xlfn._xlws.FILTER($V$1:$AY$1,
   TRANSPOSE(
    CHOOSE({1;2;3;4;5;6;7;8;9;10;11;12;13;14;15;16;17;18;19;20;21;22;23;24;25;26;27;28;29;30},
     COUNTIFS($V$2:$V$200,$G260)&gt;0,
     COUNTIFS($W$2:$W$200,$G260)&gt;0,
     COUNTIFS($X$2:$X$200,$G260)&gt;0,
     COUNTIFS($Y$2:$Y$200,$G260)&gt;0,
     COUNTIFS($Z$2:$Z$200,$G260)&gt;0,
     COUNTIFS($AA$2:$AA$200,$G260)&gt;0,
     COUNTIFS($AB$2:$AB$200,$G260)&gt;0,
     COUNTIFS($AC$2:$AC$200,$G260)&gt;0,
     COUNTIFS($AD$2:$AD$200,$G260)&gt;0,
     COUNTIFS($AE$2:$AE$200,$G260)&gt;0,
     COUNTIFS($AF$2:$AF$200,$G260)&gt;0,
     COUNTIFS($AG$2:$AG$200,$G260)&gt;0,
     COUNTIFS($AH$2:$AH$200,$G260)&gt;0,
     COUNTIFS($AI$2:$AI$200,$G260)&gt;0,
     COUNTIFS($AJ$2:$AJ$200,$G260)&gt;0,
     COUNTIFS($AK$2:$AK$200,$G260)&gt;0,
     COUNTIFS($AL$2:$AL$200,$G260)&gt;0,
     COUNTIFS($AM$2:$AM$200,$G260)&gt;0,
     COUNTIFS($AN$2:$AN$200,$G260)&gt;0,
     COUNTIFS($AO$2:$AO$200,$G260)&gt;0,
     COUNTIFS($AP$2:$AP$200,$G260)&gt;0,
     COUNTIFS($AQ$2:$AQ$200,$G260)&gt;0,
     COUNTIFS($AR$2:$AR$200,$G260)&gt;0,
     COUNTIFS($AS$2:$AS$200,$G260)&gt;0,
     COUNTIFS($AT$2:$AT$200,$G260)&gt;0,
     COUNTIFS($AU$2:$AU$200,$G260)&gt;0,
     COUNTIFS($AV$2:$AV$200,$G260)&gt;0,
     COUNTIFS($AW$2:$AW$200,$G260)&gt;0,
     COUNTIFS($AX$2:$AX$200,$G260)&gt;0,
     COUNTIFS($AY$2:$AY$200,$G260)&gt;0
   )),
  ),
  2
 ),
"")</f>
        <v/>
      </c>
      <c r="E260" s="2" t="str" cm="1">
        <f t="array" aca="1" ref="E260" ca="1">IFERROR(
 INDEX(
  _xlfn._xlws.FILTER($V$1:$AY$1,
   TRANSPOSE(
    CHOOSE({1;2;3;4;5;6;7;8;9;10;11;12;13;14;15;16;17;18;19;20;21;22;23;24;25;26;27;28;29;30},
     COUNTIFS($V$2:$V$200,$G260)&gt;0,
     COUNTIFS($W$2:$W$200,$G260)&gt;0,
     COUNTIFS($X$2:$X$200,$G260)&gt;0,
     COUNTIFS($Y$2:$Y$200,$G260)&gt;0,
     COUNTIFS($Z$2:$Z$200,$G260)&gt;0,
     COUNTIFS($AA$2:$AA$200,$G260)&gt;0,
     COUNTIFS($AB$2:$AB$200,$G260)&gt;0,
     COUNTIFS($AC$2:$AC$200,$G260)&gt;0,
     COUNTIFS($AD$2:$AD$200,$G260)&gt;0,
     COUNTIFS($AE$2:$AE$200,$G260)&gt;0,
     COUNTIFS($AF$2:$AF$200,$G260)&gt;0,
     COUNTIFS($AG$2:$AG$200,$G260)&gt;0,
     COUNTIFS($AH$2:$AH$200,$G260)&gt;0,
     COUNTIFS($AI$2:$AI$200,$G260)&gt;0,
     COUNTIFS($AJ$2:$AJ$200,$G260)&gt;0,
     COUNTIFS($AK$2:$AK$200,$G260)&gt;0,
     COUNTIFS($AL$2:$AL$200,$G260)&gt;0,
     COUNTIFS($AM$2:$AM$200,$G260)&gt;0,
     COUNTIFS($AN$2:$AN$200,$G260)&gt;0,
     COUNTIFS($AO$2:$AO$200,$G260)&gt;0,
     COUNTIFS($AP$2:$AP$200,$G260)&gt;0,
     COUNTIFS($AQ$2:$AQ$200,$G260)&gt;0,
     COUNTIFS($AR$2:$AR$200,$G260)&gt;0,
     COUNTIFS($AS$2:$AS$200,$G260)&gt;0,
     COUNTIFS($AT$2:$AT$200,$G260)&gt;0,
     COUNTIFS($AU$2:$AU$200,$G260)&gt;0,
     COUNTIFS($AV$2:$AV$200,$G260)&gt;0,
     COUNTIFS($AW$2:$AW$200,$G260)&gt;0,
     COUNTIFS($AX$2:$AX$200,$G260)&gt;0,
     COUNTIFS($AY$2:$AY$200,$G260)&gt;0
   )),
  ),
  3
 ),
"")</f>
        <v/>
      </c>
      <c r="F260" s="2" t="str" cm="1">
        <f t="array" aca="1" ref="F260" ca="1">IFERROR(
 INDEX(
  _xlfn._xlws.FILTER($V$1:$AY$1,
   TRANSPOSE(
    CHOOSE({1;2;3;4;5;6;7;8;9;10;11;12;13;14;15;16;17;18;19;20;21;22;23;24;25;26;27;28;29;30},
     COUNTIFS($V$2:$V$200,$G260)&gt;0,
     COUNTIFS($W$2:$W$200,$G260)&gt;0,
     COUNTIFS($X$2:$X$200,$G260)&gt;0,
     COUNTIFS($Y$2:$Y$200,$G260)&gt;0,
     COUNTIFS($Z$2:$Z$200,$G260)&gt;0,
     COUNTIFS($AA$2:$AA$200,$G260)&gt;0,
     COUNTIFS($AB$2:$AB$200,$G260)&gt;0,
     COUNTIFS($AC$2:$AC$200,$G260)&gt;0,
     COUNTIFS($AD$2:$AD$200,$G260)&gt;0,
     COUNTIFS($AE$2:$AE$200,$G260)&gt;0,
     COUNTIFS($AF$2:$AF$200,$G260)&gt;0,
     COUNTIFS($AG$2:$AG$200,$G260)&gt;0,
     COUNTIFS($AH$2:$AH$200,$G260)&gt;0,
     COUNTIFS($AI$2:$AI$200,$G260)&gt;0,
     COUNTIFS($AJ$2:$AJ$200,$G260)&gt;0,
     COUNTIFS($AK$2:$AK$200,$G260)&gt;0,
     COUNTIFS($AL$2:$AL$200,$G260)&gt;0,
     COUNTIFS($AM$2:$AM$200,$G260)&gt;0,
     COUNTIFS($AN$2:$AN$200,$G260)&gt;0,
     COUNTIFS($AO$2:$AO$200,$G260)&gt;0,
     COUNTIFS($AP$2:$AP$200,$G260)&gt;0,
     COUNTIFS($AQ$2:$AQ$200,$G260)&gt;0,
     COUNTIFS($AR$2:$AR$200,$G260)&gt;0,
     COUNTIFS($AS$2:$AS$200,$G260)&gt;0,
     COUNTIFS($AT$2:$AT$200,$G260)&gt;0,
     COUNTIFS($AU$2:$AU$200,$G260)&gt;0,
     COUNTIFS($AV$2:$AV$200,$G260)&gt;0,
     COUNTIFS($AW$2:$AW$200,$G260)&gt;0,
     COUNTIFS($AX$2:$AX$200,$G260)&gt;0,
     COUNTIFS($AY$2:$AY$200,$G260)&gt;0
   )),
  ),
  4
 ),
"")</f>
        <v/>
      </c>
      <c r="G260" t="str">
        <f ca="1"/>
        <v>Luxury Suite</v>
      </c>
      <c r="EU260" t="str">
        <f ca="1"/>
        <v>Seahunter</v>
      </c>
      <c r="EX260" t="str">
        <f ca="1"/>
        <v>Luxury Suite</v>
      </c>
    </row>
    <row r="261" spans="1:154" x14ac:dyDescent="0.25">
      <c r="A261" s="2" t="str">
        <f t="shared" ca="1" si="14"/>
        <v>4</v>
      </c>
      <c r="B261" s="2">
        <f t="shared" ca="1" si="15"/>
        <v>1</v>
      </c>
      <c r="C261" s="2" t="str">
        <f ca="1">IFERROR(
 INDEX($V$1:$BL$1,
  MATCH(TRUE,
   CHOOSE({1;2;3;4;5;6;7;8;9;10;11;12;13;14;15;16;17;18;19;20;21;22;23;24;25;26;27;28;29;30;31;32;33;34;35;36;37;38;39;40;41;42;43},
    COUNTIFS($V$2:$V$200,$G261)&gt;0,
    COUNTIFS($W$2:$W$200,$G261)&gt;0,
    COUNTIFS($X$2:$X$200,$G261)&gt;0,
    COUNTIFS($Y$2:$Y$200,$G261)&gt;0,
    COUNTIFS($Z$2:$Z$200,$G261)&gt;0,
    COUNTIFS($AA$2:$AA$200,$G261)&gt;0,
    COUNTIFS($AB$2:$AB$200,$G261)&gt;0,
    COUNTIFS($AC$2:$AC$200,$G261)&gt;0,
    COUNTIFS($AD$2:$AD$200,$G261)&gt;0,
    COUNTIFS($AE$2:$AE$200,$G261)&gt;0,
    COUNTIFS($AF$2:$AF$200,$G261)&gt;0,
    COUNTIFS($AG$2:$AG$200,$G261)&gt;0,
    COUNTIFS($AH$2:$AH$200,$G261)&gt;0,
    COUNTIFS($AI$2:$AI$200,$G261)&gt;0,
    COUNTIFS($AJ$2:$AJ$200,$G261)&gt;0,
    COUNTIFS($AK$2:$AK$200,$G261)&gt;0,
    COUNTIFS($AL$2:$AL$200,$G261)&gt;0,
    COUNTIFS($AM$2:$AM$200,$G261)&gt;0,
    COUNTIFS($AN$2:$AN$200,$G261)&gt;0,
    COUNTIFS($AO$2:$AO$200,$G261)&gt;0,
    COUNTIFS($AP$2:$AP$200,$G261)&gt;0,
    COUNTIFS($AQ$2:$AQ$200,$G261)&gt;0,
    COUNTIFS($AR$2:$AR$200,$G261)&gt;0,
    COUNTIFS($AS$2:$AS$200,$G261)&gt;0,
    COUNTIFS($AT$2:$AT$200,$G261)&gt;0,
    COUNTIFS($AU$2:$AU$200,$G261)&gt;0,
    COUNTIFS($AV$2:$AV$200,$G261)&gt;0,
    COUNTIFS($AW$2:$AW$200,$G261)&gt;0,
    COUNTIFS($AX$2:$AX$200,$G261)&gt;0,
    COUNTIFS($AY$2:$AY$200,$G261)&gt;0,
    COUNTIFS($AZ$2:$AZ$200,$G261)&gt;0,
    COUNTIFS($BA$2:$BA$200,$G261)&gt;0,
    COUNTIFS($BB$2:$BB$200,$G261)&gt;0,
    COUNTIFS($BC$2:$BC$200,$G261)&gt;0,
    COUNTIFS($BD$2:$BD$200,$G261)&gt;0,
    COUNTIFS($BE$2:$BE$200,$G261)&gt;0,
    COUNTIFS($BF$2:$BF$200,$G261)&gt;0,
    COUNTIFS($BG$2:$BG$200,$G261)&gt;0,
    COUNTIFS($BH$2:$BH$200,$G261)&gt;0,
    COUNTIFS($BI$2:$BI$200,$G261)&gt;0,
    COUNTIFS($BJ$2:$BJ$200,$G261)&gt;0,
    COUNTIFS($BK$2:$BK$200,$G261)&gt;0,
    COUNTIFS($BL$2:$BL$200,$G261)&gt;0,
    COUNTIFS($BM$2:$BM$200,$G261)&gt;0,
   ),
  0)
 ),
"")</f>
        <v>Narset</v>
      </c>
      <c r="D261" s="2" t="str" cm="1">
        <f t="array" aca="1" ref="D261" ca="1">IFERROR(
 INDEX(
  _xlfn._xlws.FILTER($V$1:$AY$1,
   TRANSPOSE(
    CHOOSE({1;2;3;4;5;6;7;8;9;10;11;12;13;14;15;16;17;18;19;20;21;22;23;24;25;26;27;28;29;30},
     COUNTIFS($V$2:$V$200,$G261)&gt;0,
     COUNTIFS($W$2:$W$200,$G261)&gt;0,
     COUNTIFS($X$2:$X$200,$G261)&gt;0,
     COUNTIFS($Y$2:$Y$200,$G261)&gt;0,
     COUNTIFS($Z$2:$Z$200,$G261)&gt;0,
     COUNTIFS($AA$2:$AA$200,$G261)&gt;0,
     COUNTIFS($AB$2:$AB$200,$G261)&gt;0,
     COUNTIFS($AC$2:$AC$200,$G261)&gt;0,
     COUNTIFS($AD$2:$AD$200,$G261)&gt;0,
     COUNTIFS($AE$2:$AE$200,$G261)&gt;0,
     COUNTIFS($AF$2:$AF$200,$G261)&gt;0,
     COUNTIFS($AG$2:$AG$200,$G261)&gt;0,
     COUNTIFS($AH$2:$AH$200,$G261)&gt;0,
     COUNTIFS($AI$2:$AI$200,$G261)&gt;0,
     COUNTIFS($AJ$2:$AJ$200,$G261)&gt;0,
     COUNTIFS($AK$2:$AK$200,$G261)&gt;0,
     COUNTIFS($AL$2:$AL$200,$G261)&gt;0,
     COUNTIFS($AM$2:$AM$200,$G261)&gt;0,
     COUNTIFS($AN$2:$AN$200,$G261)&gt;0,
     COUNTIFS($AO$2:$AO$200,$G261)&gt;0,
     COUNTIFS($AP$2:$AP$200,$G261)&gt;0,
     COUNTIFS($AQ$2:$AQ$200,$G261)&gt;0,
     COUNTIFS($AR$2:$AR$200,$G261)&gt;0,
     COUNTIFS($AS$2:$AS$200,$G261)&gt;0,
     COUNTIFS($AT$2:$AT$200,$G261)&gt;0,
     COUNTIFS($AU$2:$AU$200,$G261)&gt;0,
     COUNTIFS($AV$2:$AV$200,$G261)&gt;0,
     COUNTIFS($AW$2:$AW$200,$G261)&gt;0,
     COUNTIFS($AX$2:$AX$200,$G261)&gt;0,
     COUNTIFS($AY$2:$AY$200,$G261)&gt;0
   )),
  ),
  2
 ),
"")</f>
        <v/>
      </c>
      <c r="E261" s="2" t="str" cm="1">
        <f t="array" aca="1" ref="E261" ca="1">IFERROR(
 INDEX(
  _xlfn._xlws.FILTER($V$1:$AY$1,
   TRANSPOSE(
    CHOOSE({1;2;3;4;5;6;7;8;9;10;11;12;13;14;15;16;17;18;19;20;21;22;23;24;25;26;27;28;29;30},
     COUNTIFS($V$2:$V$200,$G261)&gt;0,
     COUNTIFS($W$2:$W$200,$G261)&gt;0,
     COUNTIFS($X$2:$X$200,$G261)&gt;0,
     COUNTIFS($Y$2:$Y$200,$G261)&gt;0,
     COUNTIFS($Z$2:$Z$200,$G261)&gt;0,
     COUNTIFS($AA$2:$AA$200,$G261)&gt;0,
     COUNTIFS($AB$2:$AB$200,$G261)&gt;0,
     COUNTIFS($AC$2:$AC$200,$G261)&gt;0,
     COUNTIFS($AD$2:$AD$200,$G261)&gt;0,
     COUNTIFS($AE$2:$AE$200,$G261)&gt;0,
     COUNTIFS($AF$2:$AF$200,$G261)&gt;0,
     COUNTIFS($AG$2:$AG$200,$G261)&gt;0,
     COUNTIFS($AH$2:$AH$200,$G261)&gt;0,
     COUNTIFS($AI$2:$AI$200,$G261)&gt;0,
     COUNTIFS($AJ$2:$AJ$200,$G261)&gt;0,
     COUNTIFS($AK$2:$AK$200,$G261)&gt;0,
     COUNTIFS($AL$2:$AL$200,$G261)&gt;0,
     COUNTIFS($AM$2:$AM$200,$G261)&gt;0,
     COUNTIFS($AN$2:$AN$200,$G261)&gt;0,
     COUNTIFS($AO$2:$AO$200,$G261)&gt;0,
     COUNTIFS($AP$2:$AP$200,$G261)&gt;0,
     COUNTIFS($AQ$2:$AQ$200,$G261)&gt;0,
     COUNTIFS($AR$2:$AR$200,$G261)&gt;0,
     COUNTIFS($AS$2:$AS$200,$G261)&gt;0,
     COUNTIFS($AT$2:$AT$200,$G261)&gt;0,
     COUNTIFS($AU$2:$AU$200,$G261)&gt;0,
     COUNTIFS($AV$2:$AV$200,$G261)&gt;0,
     COUNTIFS($AW$2:$AW$200,$G261)&gt;0,
     COUNTIFS($AX$2:$AX$200,$G261)&gt;0,
     COUNTIFS($AY$2:$AY$200,$G261)&gt;0
   )),
  ),
  3
 ),
"")</f>
        <v/>
      </c>
      <c r="F261" s="2" t="str" cm="1">
        <f t="array" aca="1" ref="F261" ca="1">IFERROR(
 INDEX(
  _xlfn._xlws.FILTER($V$1:$AY$1,
   TRANSPOSE(
    CHOOSE({1;2;3;4;5;6;7;8;9;10;11;12;13;14;15;16;17;18;19;20;21;22;23;24;25;26;27;28;29;30},
     COUNTIFS($V$2:$V$200,$G261)&gt;0,
     COUNTIFS($W$2:$W$200,$G261)&gt;0,
     COUNTIFS($X$2:$X$200,$G261)&gt;0,
     COUNTIFS($Y$2:$Y$200,$G261)&gt;0,
     COUNTIFS($Z$2:$Z$200,$G261)&gt;0,
     COUNTIFS($AA$2:$AA$200,$G261)&gt;0,
     COUNTIFS($AB$2:$AB$200,$G261)&gt;0,
     COUNTIFS($AC$2:$AC$200,$G261)&gt;0,
     COUNTIFS($AD$2:$AD$200,$G261)&gt;0,
     COUNTIFS($AE$2:$AE$200,$G261)&gt;0,
     COUNTIFS($AF$2:$AF$200,$G261)&gt;0,
     COUNTIFS($AG$2:$AG$200,$G261)&gt;0,
     COUNTIFS($AH$2:$AH$200,$G261)&gt;0,
     COUNTIFS($AI$2:$AI$200,$G261)&gt;0,
     COUNTIFS($AJ$2:$AJ$200,$G261)&gt;0,
     COUNTIFS($AK$2:$AK$200,$G261)&gt;0,
     COUNTIFS($AL$2:$AL$200,$G261)&gt;0,
     COUNTIFS($AM$2:$AM$200,$G261)&gt;0,
     COUNTIFS($AN$2:$AN$200,$G261)&gt;0,
     COUNTIFS($AO$2:$AO$200,$G261)&gt;0,
     COUNTIFS($AP$2:$AP$200,$G261)&gt;0,
     COUNTIFS($AQ$2:$AQ$200,$G261)&gt;0,
     COUNTIFS($AR$2:$AR$200,$G261)&gt;0,
     COUNTIFS($AS$2:$AS$200,$G261)&gt;0,
     COUNTIFS($AT$2:$AT$200,$G261)&gt;0,
     COUNTIFS($AU$2:$AU$200,$G261)&gt;0,
     COUNTIFS($AV$2:$AV$200,$G261)&gt;0,
     COUNTIFS($AW$2:$AW$200,$G261)&gt;0,
     COUNTIFS($AX$2:$AX$200,$G261)&gt;0,
     COUNTIFS($AY$2:$AY$200,$G261)&gt;0
   )),
  ),
  4
 ),
"")</f>
        <v/>
      </c>
      <c r="G261" t="str">
        <f ca="1"/>
        <v>Maddening Cacophony</v>
      </c>
      <c r="EU261" t="str">
        <f ca="1"/>
        <v>Secret Tunnel</v>
      </c>
      <c r="EX261" t="str">
        <f ca="1"/>
        <v>Maddening Cacophony</v>
      </c>
    </row>
    <row r="262" spans="1:154" x14ac:dyDescent="0.25">
      <c r="A262" s="2" t="str">
        <f t="shared" ca="1" si="14"/>
        <v>4</v>
      </c>
      <c r="B262" s="2">
        <f t="shared" ca="1" si="15"/>
        <v>1</v>
      </c>
      <c r="C262" s="2" t="str">
        <f ca="1">IFERROR(
 INDEX($V$1:$BL$1,
  MATCH(TRUE,
   CHOOSE({1;2;3;4;5;6;7;8;9;10;11;12;13;14;15;16;17;18;19;20;21;22;23;24;25;26;27;28;29;30;31;32;33;34;35;36;37;38;39;40;41;42;43},
    COUNTIFS($V$2:$V$200,$G262)&gt;0,
    COUNTIFS($W$2:$W$200,$G262)&gt;0,
    COUNTIFS($X$2:$X$200,$G262)&gt;0,
    COUNTIFS($Y$2:$Y$200,$G262)&gt;0,
    COUNTIFS($Z$2:$Z$200,$G262)&gt;0,
    COUNTIFS($AA$2:$AA$200,$G262)&gt;0,
    COUNTIFS($AB$2:$AB$200,$G262)&gt;0,
    COUNTIFS($AC$2:$AC$200,$G262)&gt;0,
    COUNTIFS($AD$2:$AD$200,$G262)&gt;0,
    COUNTIFS($AE$2:$AE$200,$G262)&gt;0,
    COUNTIFS($AF$2:$AF$200,$G262)&gt;0,
    COUNTIFS($AG$2:$AG$200,$G262)&gt;0,
    COUNTIFS($AH$2:$AH$200,$G262)&gt;0,
    COUNTIFS($AI$2:$AI$200,$G262)&gt;0,
    COUNTIFS($AJ$2:$AJ$200,$G262)&gt;0,
    COUNTIFS($AK$2:$AK$200,$G262)&gt;0,
    COUNTIFS($AL$2:$AL$200,$G262)&gt;0,
    COUNTIFS($AM$2:$AM$200,$G262)&gt;0,
    COUNTIFS($AN$2:$AN$200,$G262)&gt;0,
    COUNTIFS($AO$2:$AO$200,$G262)&gt;0,
    COUNTIFS($AP$2:$AP$200,$G262)&gt;0,
    COUNTIFS($AQ$2:$AQ$200,$G262)&gt;0,
    COUNTIFS($AR$2:$AR$200,$G262)&gt;0,
    COUNTIFS($AS$2:$AS$200,$G262)&gt;0,
    COUNTIFS($AT$2:$AT$200,$G262)&gt;0,
    COUNTIFS($AU$2:$AU$200,$G262)&gt;0,
    COUNTIFS($AV$2:$AV$200,$G262)&gt;0,
    COUNTIFS($AW$2:$AW$200,$G262)&gt;0,
    COUNTIFS($AX$2:$AX$200,$G262)&gt;0,
    COUNTIFS($AY$2:$AY$200,$G262)&gt;0,
    COUNTIFS($AZ$2:$AZ$200,$G262)&gt;0,
    COUNTIFS($BA$2:$BA$200,$G262)&gt;0,
    COUNTIFS($BB$2:$BB$200,$G262)&gt;0,
    COUNTIFS($BC$2:$BC$200,$G262)&gt;0,
    COUNTIFS($BD$2:$BD$200,$G262)&gt;0,
    COUNTIFS($BE$2:$BE$200,$G262)&gt;0,
    COUNTIFS($BF$2:$BF$200,$G262)&gt;0,
    COUNTIFS($BG$2:$BG$200,$G262)&gt;0,
    COUNTIFS($BH$2:$BH$200,$G262)&gt;0,
    COUNTIFS($BI$2:$BI$200,$G262)&gt;0,
    COUNTIFS($BJ$2:$BJ$200,$G262)&gt;0,
    COUNTIFS($BK$2:$BK$200,$G262)&gt;0,
    COUNTIFS($BL$2:$BL$200,$G262)&gt;0,
    COUNTIFS($BM$2:$BM$200,$G262)&gt;0,
   ),
  0)
 ),
"")</f>
        <v>Ool</v>
      </c>
      <c r="D262" s="2" t="str" cm="1">
        <f t="array" aca="1" ref="D262" ca="1">IFERROR(
 INDEX(
  _xlfn._xlws.FILTER($V$1:$AY$1,
   TRANSPOSE(
    CHOOSE({1;2;3;4;5;6;7;8;9;10;11;12;13;14;15;16;17;18;19;20;21;22;23;24;25;26;27;28;29;30},
     COUNTIFS($V$2:$V$200,$G262)&gt;0,
     COUNTIFS($W$2:$W$200,$G262)&gt;0,
     COUNTIFS($X$2:$X$200,$G262)&gt;0,
     COUNTIFS($Y$2:$Y$200,$G262)&gt;0,
     COUNTIFS($Z$2:$Z$200,$G262)&gt;0,
     COUNTIFS($AA$2:$AA$200,$G262)&gt;0,
     COUNTIFS($AB$2:$AB$200,$G262)&gt;0,
     COUNTIFS($AC$2:$AC$200,$G262)&gt;0,
     COUNTIFS($AD$2:$AD$200,$G262)&gt;0,
     COUNTIFS($AE$2:$AE$200,$G262)&gt;0,
     COUNTIFS($AF$2:$AF$200,$G262)&gt;0,
     COUNTIFS($AG$2:$AG$200,$G262)&gt;0,
     COUNTIFS($AH$2:$AH$200,$G262)&gt;0,
     COUNTIFS($AI$2:$AI$200,$G262)&gt;0,
     COUNTIFS($AJ$2:$AJ$200,$G262)&gt;0,
     COUNTIFS($AK$2:$AK$200,$G262)&gt;0,
     COUNTIFS($AL$2:$AL$200,$G262)&gt;0,
     COUNTIFS($AM$2:$AM$200,$G262)&gt;0,
     COUNTIFS($AN$2:$AN$200,$G262)&gt;0,
     COUNTIFS($AO$2:$AO$200,$G262)&gt;0,
     COUNTIFS($AP$2:$AP$200,$G262)&gt;0,
     COUNTIFS($AQ$2:$AQ$200,$G262)&gt;0,
     COUNTIFS($AR$2:$AR$200,$G262)&gt;0,
     COUNTIFS($AS$2:$AS$200,$G262)&gt;0,
     COUNTIFS($AT$2:$AT$200,$G262)&gt;0,
     COUNTIFS($AU$2:$AU$200,$G262)&gt;0,
     COUNTIFS($AV$2:$AV$200,$G262)&gt;0,
     COUNTIFS($AW$2:$AW$200,$G262)&gt;0,
     COUNTIFS($AX$2:$AX$200,$G262)&gt;0,
     COUNTIFS($AY$2:$AY$200,$G262)&gt;0
   )),
  ),
  2
 ),
"")</f>
        <v/>
      </c>
      <c r="E262" s="2" t="str" cm="1">
        <f t="array" aca="1" ref="E262" ca="1">IFERROR(
 INDEX(
  _xlfn._xlws.FILTER($V$1:$AY$1,
   TRANSPOSE(
    CHOOSE({1;2;3;4;5;6;7;8;9;10;11;12;13;14;15;16;17;18;19;20;21;22;23;24;25;26;27;28;29;30},
     COUNTIFS($V$2:$V$200,$G262)&gt;0,
     COUNTIFS($W$2:$W$200,$G262)&gt;0,
     COUNTIFS($X$2:$X$200,$G262)&gt;0,
     COUNTIFS($Y$2:$Y$200,$G262)&gt;0,
     COUNTIFS($Z$2:$Z$200,$G262)&gt;0,
     COUNTIFS($AA$2:$AA$200,$G262)&gt;0,
     COUNTIFS($AB$2:$AB$200,$G262)&gt;0,
     COUNTIFS($AC$2:$AC$200,$G262)&gt;0,
     COUNTIFS($AD$2:$AD$200,$G262)&gt;0,
     COUNTIFS($AE$2:$AE$200,$G262)&gt;0,
     COUNTIFS($AF$2:$AF$200,$G262)&gt;0,
     COUNTIFS($AG$2:$AG$200,$G262)&gt;0,
     COUNTIFS($AH$2:$AH$200,$G262)&gt;0,
     COUNTIFS($AI$2:$AI$200,$G262)&gt;0,
     COUNTIFS($AJ$2:$AJ$200,$G262)&gt;0,
     COUNTIFS($AK$2:$AK$200,$G262)&gt;0,
     COUNTIFS($AL$2:$AL$200,$G262)&gt;0,
     COUNTIFS($AM$2:$AM$200,$G262)&gt;0,
     COUNTIFS($AN$2:$AN$200,$G262)&gt;0,
     COUNTIFS($AO$2:$AO$200,$G262)&gt;0,
     COUNTIFS($AP$2:$AP$200,$G262)&gt;0,
     COUNTIFS($AQ$2:$AQ$200,$G262)&gt;0,
     COUNTIFS($AR$2:$AR$200,$G262)&gt;0,
     COUNTIFS($AS$2:$AS$200,$G262)&gt;0,
     COUNTIFS($AT$2:$AT$200,$G262)&gt;0,
     COUNTIFS($AU$2:$AU$200,$G262)&gt;0,
     COUNTIFS($AV$2:$AV$200,$G262)&gt;0,
     COUNTIFS($AW$2:$AW$200,$G262)&gt;0,
     COUNTIFS($AX$2:$AX$200,$G262)&gt;0,
     COUNTIFS($AY$2:$AY$200,$G262)&gt;0
   )),
  ),
  3
 ),
"")</f>
        <v/>
      </c>
      <c r="F262" s="2" t="str" cm="1">
        <f t="array" aca="1" ref="F262" ca="1">IFERROR(
 INDEX(
  _xlfn._xlws.FILTER($V$1:$AY$1,
   TRANSPOSE(
    CHOOSE({1;2;3;4;5;6;7;8;9;10;11;12;13;14;15;16;17;18;19;20;21;22;23;24;25;26;27;28;29;30},
     COUNTIFS($V$2:$V$200,$G262)&gt;0,
     COUNTIFS($W$2:$W$200,$G262)&gt;0,
     COUNTIFS($X$2:$X$200,$G262)&gt;0,
     COUNTIFS($Y$2:$Y$200,$G262)&gt;0,
     COUNTIFS($Z$2:$Z$200,$G262)&gt;0,
     COUNTIFS($AA$2:$AA$200,$G262)&gt;0,
     COUNTIFS($AB$2:$AB$200,$G262)&gt;0,
     COUNTIFS($AC$2:$AC$200,$G262)&gt;0,
     COUNTIFS($AD$2:$AD$200,$G262)&gt;0,
     COUNTIFS($AE$2:$AE$200,$G262)&gt;0,
     COUNTIFS($AF$2:$AF$200,$G262)&gt;0,
     COUNTIFS($AG$2:$AG$200,$G262)&gt;0,
     COUNTIFS($AH$2:$AH$200,$G262)&gt;0,
     COUNTIFS($AI$2:$AI$200,$G262)&gt;0,
     COUNTIFS($AJ$2:$AJ$200,$G262)&gt;0,
     COUNTIFS($AK$2:$AK$200,$G262)&gt;0,
     COUNTIFS($AL$2:$AL$200,$G262)&gt;0,
     COUNTIFS($AM$2:$AM$200,$G262)&gt;0,
     COUNTIFS($AN$2:$AN$200,$G262)&gt;0,
     COUNTIFS($AO$2:$AO$200,$G262)&gt;0,
     COUNTIFS($AP$2:$AP$200,$G262)&gt;0,
     COUNTIFS($AQ$2:$AQ$200,$G262)&gt;0,
     COUNTIFS($AR$2:$AR$200,$G262)&gt;0,
     COUNTIFS($AS$2:$AS$200,$G262)&gt;0,
     COUNTIFS($AT$2:$AT$200,$G262)&gt;0,
     COUNTIFS($AU$2:$AU$200,$G262)&gt;0,
     COUNTIFS($AV$2:$AV$200,$G262)&gt;0,
     COUNTIFS($AW$2:$AW$200,$G262)&gt;0,
     COUNTIFS($AX$2:$AX$200,$G262)&gt;0,
     COUNTIFS($AY$2:$AY$200,$G262)&gt;0
   )),
  ),
  4
 ),
"")</f>
        <v/>
      </c>
      <c r="G262" t="str">
        <f ca="1"/>
        <v>Magda, the Hoardmaster</v>
      </c>
      <c r="EU262" t="str">
        <f ca="1"/>
        <v>Sedge Sliver</v>
      </c>
      <c r="EX262" t="str">
        <f ca="1"/>
        <v>Magda, the Hoardmaster</v>
      </c>
    </row>
    <row r="263" spans="1:154" x14ac:dyDescent="0.25">
      <c r="A263" s="2" t="str">
        <f t="shared" ca="1" si="14"/>
        <v>5</v>
      </c>
      <c r="B263" s="2">
        <f t="shared" ca="1" si="15"/>
        <v>1</v>
      </c>
      <c r="C263" s="2" t="str">
        <f ca="1">IFERROR(
 INDEX($V$1:$BL$1,
  MATCH(TRUE,
   CHOOSE({1;2;3;4;5;6;7;8;9;10;11;12;13;14;15;16;17;18;19;20;21;22;23;24;25;26;27;28;29;30;31;32;33;34;35;36;37;38;39;40;41;42;43},
    COUNTIFS($V$2:$V$200,$G263)&gt;0,
    COUNTIFS($W$2:$W$200,$G263)&gt;0,
    COUNTIFS($X$2:$X$200,$G263)&gt;0,
    COUNTIFS($Y$2:$Y$200,$G263)&gt;0,
    COUNTIFS($Z$2:$Z$200,$G263)&gt;0,
    COUNTIFS($AA$2:$AA$200,$G263)&gt;0,
    COUNTIFS($AB$2:$AB$200,$G263)&gt;0,
    COUNTIFS($AC$2:$AC$200,$G263)&gt;0,
    COUNTIFS($AD$2:$AD$200,$G263)&gt;0,
    COUNTIFS($AE$2:$AE$200,$G263)&gt;0,
    COUNTIFS($AF$2:$AF$200,$G263)&gt;0,
    COUNTIFS($AG$2:$AG$200,$G263)&gt;0,
    COUNTIFS($AH$2:$AH$200,$G263)&gt;0,
    COUNTIFS($AI$2:$AI$200,$G263)&gt;0,
    COUNTIFS($AJ$2:$AJ$200,$G263)&gt;0,
    COUNTIFS($AK$2:$AK$200,$G263)&gt;0,
    COUNTIFS($AL$2:$AL$200,$G263)&gt;0,
    COUNTIFS($AM$2:$AM$200,$G263)&gt;0,
    COUNTIFS($AN$2:$AN$200,$G263)&gt;0,
    COUNTIFS($AO$2:$AO$200,$G263)&gt;0,
    COUNTIFS($AP$2:$AP$200,$G263)&gt;0,
    COUNTIFS($AQ$2:$AQ$200,$G263)&gt;0,
    COUNTIFS($AR$2:$AR$200,$G263)&gt;0,
    COUNTIFS($AS$2:$AS$200,$G263)&gt;0,
    COUNTIFS($AT$2:$AT$200,$G263)&gt;0,
    COUNTIFS($AU$2:$AU$200,$G263)&gt;0,
    COUNTIFS($AV$2:$AV$200,$G263)&gt;0,
    COUNTIFS($AW$2:$AW$200,$G263)&gt;0,
    COUNTIFS($AX$2:$AX$200,$G263)&gt;0,
    COUNTIFS($AY$2:$AY$200,$G263)&gt;0,
    COUNTIFS($AZ$2:$AZ$200,$G263)&gt;0,
    COUNTIFS($BA$2:$BA$200,$G263)&gt;0,
    COUNTIFS($BB$2:$BB$200,$G263)&gt;0,
    COUNTIFS($BC$2:$BC$200,$G263)&gt;0,
    COUNTIFS($BD$2:$BD$200,$G263)&gt;0,
    COUNTIFS($BE$2:$BE$200,$G263)&gt;0,
    COUNTIFS($BF$2:$BF$200,$G263)&gt;0,
    COUNTIFS($BG$2:$BG$200,$G263)&gt;0,
    COUNTIFS($BH$2:$BH$200,$G263)&gt;0,
    COUNTIFS($BI$2:$BI$200,$G263)&gt;0,
    COUNTIFS($BJ$2:$BJ$200,$G263)&gt;0,
    COUNTIFS($BK$2:$BK$200,$G263)&gt;0,
    COUNTIFS($BL$2:$BL$200,$G263)&gt;0,
    COUNTIFS($BM$2:$BM$200,$G263)&gt;0,
   ),
  0)
 ),
"")</f>
        <v>Fractius</v>
      </c>
      <c r="D263" s="2" t="str" cm="1">
        <f t="array" aca="1" ref="D263" ca="1">IFERROR(
 INDEX(
  _xlfn._xlws.FILTER($V$1:$AY$1,
   TRANSPOSE(
    CHOOSE({1;2;3;4;5;6;7;8;9;10;11;12;13;14;15;16;17;18;19;20;21;22;23;24;25;26;27;28;29;30},
     COUNTIFS($V$2:$V$200,$G263)&gt;0,
     COUNTIFS($W$2:$W$200,$G263)&gt;0,
     COUNTIFS($X$2:$X$200,$G263)&gt;0,
     COUNTIFS($Y$2:$Y$200,$G263)&gt;0,
     COUNTIFS($Z$2:$Z$200,$G263)&gt;0,
     COUNTIFS($AA$2:$AA$200,$G263)&gt;0,
     COUNTIFS($AB$2:$AB$200,$G263)&gt;0,
     COUNTIFS($AC$2:$AC$200,$G263)&gt;0,
     COUNTIFS($AD$2:$AD$200,$G263)&gt;0,
     COUNTIFS($AE$2:$AE$200,$G263)&gt;0,
     COUNTIFS($AF$2:$AF$200,$G263)&gt;0,
     COUNTIFS($AG$2:$AG$200,$G263)&gt;0,
     COUNTIFS($AH$2:$AH$200,$G263)&gt;0,
     COUNTIFS($AI$2:$AI$200,$G263)&gt;0,
     COUNTIFS($AJ$2:$AJ$200,$G263)&gt;0,
     COUNTIFS($AK$2:$AK$200,$G263)&gt;0,
     COUNTIFS($AL$2:$AL$200,$G263)&gt;0,
     COUNTIFS($AM$2:$AM$200,$G263)&gt;0,
     COUNTIFS($AN$2:$AN$200,$G263)&gt;0,
     COUNTIFS($AO$2:$AO$200,$G263)&gt;0,
     COUNTIFS($AP$2:$AP$200,$G263)&gt;0,
     COUNTIFS($AQ$2:$AQ$200,$G263)&gt;0,
     COUNTIFS($AR$2:$AR$200,$G263)&gt;0,
     COUNTIFS($AS$2:$AS$200,$G263)&gt;0,
     COUNTIFS($AT$2:$AT$200,$G263)&gt;0,
     COUNTIFS($AU$2:$AU$200,$G263)&gt;0,
     COUNTIFS($AV$2:$AV$200,$G263)&gt;0,
     COUNTIFS($AW$2:$AW$200,$G263)&gt;0,
     COUNTIFS($AX$2:$AX$200,$G263)&gt;0,
     COUNTIFS($AY$2:$AY$200,$G263)&gt;0
   )),
  ),
  2
 ),
"")</f>
        <v/>
      </c>
      <c r="E263" s="2" t="str" cm="1">
        <f t="array" aca="1" ref="E263" ca="1">IFERROR(
 INDEX(
  _xlfn._xlws.FILTER($V$1:$AY$1,
   TRANSPOSE(
    CHOOSE({1;2;3;4;5;6;7;8;9;10;11;12;13;14;15;16;17;18;19;20;21;22;23;24;25;26;27;28;29;30},
     COUNTIFS($V$2:$V$200,$G263)&gt;0,
     COUNTIFS($W$2:$W$200,$G263)&gt;0,
     COUNTIFS($X$2:$X$200,$G263)&gt;0,
     COUNTIFS($Y$2:$Y$200,$G263)&gt;0,
     COUNTIFS($Z$2:$Z$200,$G263)&gt;0,
     COUNTIFS($AA$2:$AA$200,$G263)&gt;0,
     COUNTIFS($AB$2:$AB$200,$G263)&gt;0,
     COUNTIFS($AC$2:$AC$200,$G263)&gt;0,
     COUNTIFS($AD$2:$AD$200,$G263)&gt;0,
     COUNTIFS($AE$2:$AE$200,$G263)&gt;0,
     COUNTIFS($AF$2:$AF$200,$G263)&gt;0,
     COUNTIFS($AG$2:$AG$200,$G263)&gt;0,
     COUNTIFS($AH$2:$AH$200,$G263)&gt;0,
     COUNTIFS($AI$2:$AI$200,$G263)&gt;0,
     COUNTIFS($AJ$2:$AJ$200,$G263)&gt;0,
     COUNTIFS($AK$2:$AK$200,$G263)&gt;0,
     COUNTIFS($AL$2:$AL$200,$G263)&gt;0,
     COUNTIFS($AM$2:$AM$200,$G263)&gt;0,
     COUNTIFS($AN$2:$AN$200,$G263)&gt;0,
     COUNTIFS($AO$2:$AO$200,$G263)&gt;0,
     COUNTIFS($AP$2:$AP$200,$G263)&gt;0,
     COUNTIFS($AQ$2:$AQ$200,$G263)&gt;0,
     COUNTIFS($AR$2:$AR$200,$G263)&gt;0,
     COUNTIFS($AS$2:$AS$200,$G263)&gt;0,
     COUNTIFS($AT$2:$AT$200,$G263)&gt;0,
     COUNTIFS($AU$2:$AU$200,$G263)&gt;0,
     COUNTIFS($AV$2:$AV$200,$G263)&gt;0,
     COUNTIFS($AW$2:$AW$200,$G263)&gt;0,
     COUNTIFS($AX$2:$AX$200,$G263)&gt;0,
     COUNTIFS($AY$2:$AY$200,$G263)&gt;0
   )),
  ),
  3
 ),
"")</f>
        <v/>
      </c>
      <c r="F263" s="2" t="str" cm="1">
        <f t="array" aca="1" ref="F263" ca="1">IFERROR(
 INDEX(
  _xlfn._xlws.FILTER($V$1:$AY$1,
   TRANSPOSE(
    CHOOSE({1;2;3;4;5;6;7;8;9;10;11;12;13;14;15;16;17;18;19;20;21;22;23;24;25;26;27;28;29;30},
     COUNTIFS($V$2:$V$200,$G263)&gt;0,
     COUNTIFS($W$2:$W$200,$G263)&gt;0,
     COUNTIFS($X$2:$X$200,$G263)&gt;0,
     COUNTIFS($Y$2:$Y$200,$G263)&gt;0,
     COUNTIFS($Z$2:$Z$200,$G263)&gt;0,
     COUNTIFS($AA$2:$AA$200,$G263)&gt;0,
     COUNTIFS($AB$2:$AB$200,$G263)&gt;0,
     COUNTIFS($AC$2:$AC$200,$G263)&gt;0,
     COUNTIFS($AD$2:$AD$200,$G263)&gt;0,
     COUNTIFS($AE$2:$AE$200,$G263)&gt;0,
     COUNTIFS($AF$2:$AF$200,$G263)&gt;0,
     COUNTIFS($AG$2:$AG$200,$G263)&gt;0,
     COUNTIFS($AH$2:$AH$200,$G263)&gt;0,
     COUNTIFS($AI$2:$AI$200,$G263)&gt;0,
     COUNTIFS($AJ$2:$AJ$200,$G263)&gt;0,
     COUNTIFS($AK$2:$AK$200,$G263)&gt;0,
     COUNTIFS($AL$2:$AL$200,$G263)&gt;0,
     COUNTIFS($AM$2:$AM$200,$G263)&gt;0,
     COUNTIFS($AN$2:$AN$200,$G263)&gt;0,
     COUNTIFS($AO$2:$AO$200,$G263)&gt;0,
     COUNTIFS($AP$2:$AP$200,$G263)&gt;0,
     COUNTIFS($AQ$2:$AQ$200,$G263)&gt;0,
     COUNTIFS($AR$2:$AR$200,$G263)&gt;0,
     COUNTIFS($AS$2:$AS$200,$G263)&gt;0,
     COUNTIFS($AT$2:$AT$200,$G263)&gt;0,
     COUNTIFS($AU$2:$AU$200,$G263)&gt;0,
     COUNTIFS($AV$2:$AV$200,$G263)&gt;0,
     COUNTIFS($AW$2:$AW$200,$G263)&gt;0,
     COUNTIFS($AX$2:$AX$200,$G263)&gt;0,
     COUNTIFS($AY$2:$AY$200,$G263)&gt;0
   )),
  ),
  4
 ),
"")</f>
        <v/>
      </c>
      <c r="G263" t="str">
        <f ca="1"/>
        <v>Magma Sliver</v>
      </c>
      <c r="EU263" t="str">
        <f ca="1"/>
        <v>Seedborn Muse</v>
      </c>
      <c r="EX263" t="str">
        <f ca="1"/>
        <v>Magma Sliver</v>
      </c>
    </row>
    <row r="264" spans="1:154" x14ac:dyDescent="0.25">
      <c r="A264" s="2" t="str">
        <f t="shared" ca="1" si="14"/>
        <v>5</v>
      </c>
      <c r="B264" s="2">
        <f t="shared" ca="1" si="15"/>
        <v>1</v>
      </c>
      <c r="C264" s="2" t="str">
        <f ca="1">IFERROR(
 INDEX($V$1:$BL$1,
  MATCH(TRUE,
   CHOOSE({1;2;3;4;5;6;7;8;9;10;11;12;13;14;15;16;17;18;19;20;21;22;23;24;25;26;27;28;29;30;31;32;33;34;35;36;37;38;39;40;41;42;43},
    COUNTIFS($V$2:$V$200,$G264)&gt;0,
    COUNTIFS($W$2:$W$200,$G264)&gt;0,
    COUNTIFS($X$2:$X$200,$G264)&gt;0,
    COUNTIFS($Y$2:$Y$200,$G264)&gt;0,
    COUNTIFS($Z$2:$Z$200,$G264)&gt;0,
    COUNTIFS($AA$2:$AA$200,$G264)&gt;0,
    COUNTIFS($AB$2:$AB$200,$G264)&gt;0,
    COUNTIFS($AC$2:$AC$200,$G264)&gt;0,
    COUNTIFS($AD$2:$AD$200,$G264)&gt;0,
    COUNTIFS($AE$2:$AE$200,$G264)&gt;0,
    COUNTIFS($AF$2:$AF$200,$G264)&gt;0,
    COUNTIFS($AG$2:$AG$200,$G264)&gt;0,
    COUNTIFS($AH$2:$AH$200,$G264)&gt;0,
    COUNTIFS($AI$2:$AI$200,$G264)&gt;0,
    COUNTIFS($AJ$2:$AJ$200,$G264)&gt;0,
    COUNTIFS($AK$2:$AK$200,$G264)&gt;0,
    COUNTIFS($AL$2:$AL$200,$G264)&gt;0,
    COUNTIFS($AM$2:$AM$200,$G264)&gt;0,
    COUNTIFS($AN$2:$AN$200,$G264)&gt;0,
    COUNTIFS($AO$2:$AO$200,$G264)&gt;0,
    COUNTIFS($AP$2:$AP$200,$G264)&gt;0,
    COUNTIFS($AQ$2:$AQ$200,$G264)&gt;0,
    COUNTIFS($AR$2:$AR$200,$G264)&gt;0,
    COUNTIFS($AS$2:$AS$200,$G264)&gt;0,
    COUNTIFS($AT$2:$AT$200,$G264)&gt;0,
    COUNTIFS($AU$2:$AU$200,$G264)&gt;0,
    COUNTIFS($AV$2:$AV$200,$G264)&gt;0,
    COUNTIFS($AW$2:$AW$200,$G264)&gt;0,
    COUNTIFS($AX$2:$AX$200,$G264)&gt;0,
    COUNTIFS($AY$2:$AY$200,$G264)&gt;0,
    COUNTIFS($AZ$2:$AZ$200,$G264)&gt;0,
    COUNTIFS($BA$2:$BA$200,$G264)&gt;0,
    COUNTIFS($BB$2:$BB$200,$G264)&gt;0,
    COUNTIFS($BC$2:$BC$200,$G264)&gt;0,
    COUNTIFS($BD$2:$BD$200,$G264)&gt;0,
    COUNTIFS($BE$2:$BE$200,$G264)&gt;0,
    COUNTIFS($BF$2:$BF$200,$G264)&gt;0,
    COUNTIFS($BG$2:$BG$200,$G264)&gt;0,
    COUNTIFS($BH$2:$BH$200,$G264)&gt;0,
    COUNTIFS($BI$2:$BI$200,$G264)&gt;0,
    COUNTIFS($BJ$2:$BJ$200,$G264)&gt;0,
    COUNTIFS($BK$2:$BK$200,$G264)&gt;0,
    COUNTIFS($BL$2:$BL$200,$G264)&gt;0,
    COUNTIFS($BM$2:$BM$200,$G264)&gt;0,
   ),
  0)
 ),
"")</f>
        <v>Little</v>
      </c>
      <c r="D264" s="2" t="str" cm="1">
        <f t="array" aca="1" ref="D264" ca="1">IFERROR(
 INDEX(
  _xlfn._xlws.FILTER($V$1:$AY$1,
   TRANSPOSE(
    CHOOSE({1;2;3;4;5;6;7;8;9;10;11;12;13;14;15;16;17;18;19;20;21;22;23;24;25;26;27;28;29;30},
     COUNTIFS($V$2:$V$200,$G264)&gt;0,
     COUNTIFS($W$2:$W$200,$G264)&gt;0,
     COUNTIFS($X$2:$X$200,$G264)&gt;0,
     COUNTIFS($Y$2:$Y$200,$G264)&gt;0,
     COUNTIFS($Z$2:$Z$200,$G264)&gt;0,
     COUNTIFS($AA$2:$AA$200,$G264)&gt;0,
     COUNTIFS($AB$2:$AB$200,$G264)&gt;0,
     COUNTIFS($AC$2:$AC$200,$G264)&gt;0,
     COUNTIFS($AD$2:$AD$200,$G264)&gt;0,
     COUNTIFS($AE$2:$AE$200,$G264)&gt;0,
     COUNTIFS($AF$2:$AF$200,$G264)&gt;0,
     COUNTIFS($AG$2:$AG$200,$G264)&gt;0,
     COUNTIFS($AH$2:$AH$200,$G264)&gt;0,
     COUNTIFS($AI$2:$AI$200,$G264)&gt;0,
     COUNTIFS($AJ$2:$AJ$200,$G264)&gt;0,
     COUNTIFS($AK$2:$AK$200,$G264)&gt;0,
     COUNTIFS($AL$2:$AL$200,$G264)&gt;0,
     COUNTIFS($AM$2:$AM$200,$G264)&gt;0,
     COUNTIFS($AN$2:$AN$200,$G264)&gt;0,
     COUNTIFS($AO$2:$AO$200,$G264)&gt;0,
     COUNTIFS($AP$2:$AP$200,$G264)&gt;0,
     COUNTIFS($AQ$2:$AQ$200,$G264)&gt;0,
     COUNTIFS($AR$2:$AR$200,$G264)&gt;0,
     COUNTIFS($AS$2:$AS$200,$G264)&gt;0,
     COUNTIFS($AT$2:$AT$200,$G264)&gt;0,
     COUNTIFS($AU$2:$AU$200,$G264)&gt;0,
     COUNTIFS($AV$2:$AV$200,$G264)&gt;0,
     COUNTIFS($AW$2:$AW$200,$G264)&gt;0,
     COUNTIFS($AX$2:$AX$200,$G264)&gt;0,
     COUNTIFS($AY$2:$AY$200,$G264)&gt;0
   )),
  ),
  2
 ),
"")</f>
        <v/>
      </c>
      <c r="E264" s="2" t="str" cm="1">
        <f t="array" aca="1" ref="E264" ca="1">IFERROR(
 INDEX(
  _xlfn._xlws.FILTER($V$1:$AY$1,
   TRANSPOSE(
    CHOOSE({1;2;3;4;5;6;7;8;9;10;11;12;13;14;15;16;17;18;19;20;21;22;23;24;25;26;27;28;29;30},
     COUNTIFS($V$2:$V$200,$G264)&gt;0,
     COUNTIFS($W$2:$W$200,$G264)&gt;0,
     COUNTIFS($X$2:$X$200,$G264)&gt;0,
     COUNTIFS($Y$2:$Y$200,$G264)&gt;0,
     COUNTIFS($Z$2:$Z$200,$G264)&gt;0,
     COUNTIFS($AA$2:$AA$200,$G264)&gt;0,
     COUNTIFS($AB$2:$AB$200,$G264)&gt;0,
     COUNTIFS($AC$2:$AC$200,$G264)&gt;0,
     COUNTIFS($AD$2:$AD$200,$G264)&gt;0,
     COUNTIFS($AE$2:$AE$200,$G264)&gt;0,
     COUNTIFS($AF$2:$AF$200,$G264)&gt;0,
     COUNTIFS($AG$2:$AG$200,$G264)&gt;0,
     COUNTIFS($AH$2:$AH$200,$G264)&gt;0,
     COUNTIFS($AI$2:$AI$200,$G264)&gt;0,
     COUNTIFS($AJ$2:$AJ$200,$G264)&gt;0,
     COUNTIFS($AK$2:$AK$200,$G264)&gt;0,
     COUNTIFS($AL$2:$AL$200,$G264)&gt;0,
     COUNTIFS($AM$2:$AM$200,$G264)&gt;0,
     COUNTIFS($AN$2:$AN$200,$G264)&gt;0,
     COUNTIFS($AO$2:$AO$200,$G264)&gt;0,
     COUNTIFS($AP$2:$AP$200,$G264)&gt;0,
     COUNTIFS($AQ$2:$AQ$200,$G264)&gt;0,
     COUNTIFS($AR$2:$AR$200,$G264)&gt;0,
     COUNTIFS($AS$2:$AS$200,$G264)&gt;0,
     COUNTIFS($AT$2:$AT$200,$G264)&gt;0,
     COUNTIFS($AU$2:$AU$200,$G264)&gt;0,
     COUNTIFS($AV$2:$AV$200,$G264)&gt;0,
     COUNTIFS($AW$2:$AW$200,$G264)&gt;0,
     COUNTIFS($AX$2:$AX$200,$G264)&gt;0,
     COUNTIFS($AY$2:$AY$200,$G264)&gt;0
   )),
  ),
  3
 ),
"")</f>
        <v/>
      </c>
      <c r="F264" s="2" t="str" cm="1">
        <f t="array" aca="1" ref="F264" ca="1">IFERROR(
 INDEX(
  _xlfn._xlws.FILTER($V$1:$AY$1,
   TRANSPOSE(
    CHOOSE({1;2;3;4;5;6;7;8;9;10;11;12;13;14;15;16;17;18;19;20;21;22;23;24;25;26;27;28;29;30},
     COUNTIFS($V$2:$V$200,$G264)&gt;0,
     COUNTIFS($W$2:$W$200,$G264)&gt;0,
     COUNTIFS($X$2:$X$200,$G264)&gt;0,
     COUNTIFS($Y$2:$Y$200,$G264)&gt;0,
     COUNTIFS($Z$2:$Z$200,$G264)&gt;0,
     COUNTIFS($AA$2:$AA$200,$G264)&gt;0,
     COUNTIFS($AB$2:$AB$200,$G264)&gt;0,
     COUNTIFS($AC$2:$AC$200,$G264)&gt;0,
     COUNTIFS($AD$2:$AD$200,$G264)&gt;0,
     COUNTIFS($AE$2:$AE$200,$G264)&gt;0,
     COUNTIFS($AF$2:$AF$200,$G264)&gt;0,
     COUNTIFS($AG$2:$AG$200,$G264)&gt;0,
     COUNTIFS($AH$2:$AH$200,$G264)&gt;0,
     COUNTIFS($AI$2:$AI$200,$G264)&gt;0,
     COUNTIFS($AJ$2:$AJ$200,$G264)&gt;0,
     COUNTIFS($AK$2:$AK$200,$G264)&gt;0,
     COUNTIFS($AL$2:$AL$200,$G264)&gt;0,
     COUNTIFS($AM$2:$AM$200,$G264)&gt;0,
     COUNTIFS($AN$2:$AN$200,$G264)&gt;0,
     COUNTIFS($AO$2:$AO$200,$G264)&gt;0,
     COUNTIFS($AP$2:$AP$200,$G264)&gt;0,
     COUNTIFS($AQ$2:$AQ$200,$G264)&gt;0,
     COUNTIFS($AR$2:$AR$200,$G264)&gt;0,
     COUNTIFS($AS$2:$AS$200,$G264)&gt;0,
     COUNTIFS($AT$2:$AT$200,$G264)&gt;0,
     COUNTIFS($AU$2:$AU$200,$G264)&gt;0,
     COUNTIFS($AV$2:$AV$200,$G264)&gt;0,
     COUNTIFS($AW$2:$AW$200,$G264)&gt;0,
     COUNTIFS($AX$2:$AX$200,$G264)&gt;0,
     COUNTIFS($AY$2:$AY$200,$G264)&gt;0
   )),
  ),
  4
 ),
"")</f>
        <v/>
      </c>
      <c r="G264" t="str">
        <f ca="1"/>
        <v>Mahadi, Emporium Master</v>
      </c>
      <c r="EU264" t="str">
        <f ca="1"/>
        <v>Sentinel Sliver</v>
      </c>
      <c r="EX264" t="str">
        <f ca="1"/>
        <v>Mahadi, Emporium Master</v>
      </c>
    </row>
    <row r="265" spans="1:154" x14ac:dyDescent="0.25">
      <c r="A265" s="2" t="str">
        <f t="shared" ca="1" si="14"/>
        <v>5</v>
      </c>
      <c r="B265" s="2">
        <f t="shared" ca="1" si="15"/>
        <v>1</v>
      </c>
      <c r="C265" s="2" t="str">
        <f ca="1">IFERROR(
 INDEX($V$1:$BL$1,
  MATCH(TRUE,
   CHOOSE({1;2;3;4;5;6;7;8;9;10;11;12;13;14;15;16;17;18;19;20;21;22;23;24;25;26;27;28;29;30;31;32;33;34;35;36;37;38;39;40;41;42;43},
    COUNTIFS($V$2:$V$200,$G265)&gt;0,
    COUNTIFS($W$2:$W$200,$G265)&gt;0,
    COUNTIFS($X$2:$X$200,$G265)&gt;0,
    COUNTIFS($Y$2:$Y$200,$G265)&gt;0,
    COUNTIFS($Z$2:$Z$200,$G265)&gt;0,
    COUNTIFS($AA$2:$AA$200,$G265)&gt;0,
    COUNTIFS($AB$2:$AB$200,$G265)&gt;0,
    COUNTIFS($AC$2:$AC$200,$G265)&gt;0,
    COUNTIFS($AD$2:$AD$200,$G265)&gt;0,
    COUNTIFS($AE$2:$AE$200,$G265)&gt;0,
    COUNTIFS($AF$2:$AF$200,$G265)&gt;0,
    COUNTIFS($AG$2:$AG$200,$G265)&gt;0,
    COUNTIFS($AH$2:$AH$200,$G265)&gt;0,
    COUNTIFS($AI$2:$AI$200,$G265)&gt;0,
    COUNTIFS($AJ$2:$AJ$200,$G265)&gt;0,
    COUNTIFS($AK$2:$AK$200,$G265)&gt;0,
    COUNTIFS($AL$2:$AL$200,$G265)&gt;0,
    COUNTIFS($AM$2:$AM$200,$G265)&gt;0,
    COUNTIFS($AN$2:$AN$200,$G265)&gt;0,
    COUNTIFS($AO$2:$AO$200,$G265)&gt;0,
    COUNTIFS($AP$2:$AP$200,$G265)&gt;0,
    COUNTIFS($AQ$2:$AQ$200,$G265)&gt;0,
    COUNTIFS($AR$2:$AR$200,$G265)&gt;0,
    COUNTIFS($AS$2:$AS$200,$G265)&gt;0,
    COUNTIFS($AT$2:$AT$200,$G265)&gt;0,
    COUNTIFS($AU$2:$AU$200,$G265)&gt;0,
    COUNTIFS($AV$2:$AV$200,$G265)&gt;0,
    COUNTIFS($AW$2:$AW$200,$G265)&gt;0,
    COUNTIFS($AX$2:$AX$200,$G265)&gt;0,
    COUNTIFS($AY$2:$AY$200,$G265)&gt;0,
    COUNTIFS($AZ$2:$AZ$200,$G265)&gt;0,
    COUNTIFS($BA$2:$BA$200,$G265)&gt;0,
    COUNTIFS($BB$2:$BB$200,$G265)&gt;0,
    COUNTIFS($BC$2:$BC$200,$G265)&gt;0,
    COUNTIFS($BD$2:$BD$200,$G265)&gt;0,
    COUNTIFS($BE$2:$BE$200,$G265)&gt;0,
    COUNTIFS($BF$2:$BF$200,$G265)&gt;0,
    COUNTIFS($BG$2:$BG$200,$G265)&gt;0,
    COUNTIFS($BH$2:$BH$200,$G265)&gt;0,
    COUNTIFS($BI$2:$BI$200,$G265)&gt;0,
    COUNTIFS($BJ$2:$BJ$200,$G265)&gt;0,
    COUNTIFS($BK$2:$BK$200,$G265)&gt;0,
    COUNTIFS($BL$2:$BL$200,$G265)&gt;0,
    COUNTIFS($BM$2:$BM$200,$G265)&gt;0,
   ),
  0)
 ),
"")</f>
        <v>Fractius</v>
      </c>
      <c r="D265" s="2" t="str" cm="1">
        <f t="array" aca="1" ref="D265" ca="1">IFERROR(
 INDEX(
  _xlfn._xlws.FILTER($V$1:$AY$1,
   TRANSPOSE(
    CHOOSE({1;2;3;4;5;6;7;8;9;10;11;12;13;14;15;16;17;18;19;20;21;22;23;24;25;26;27;28;29;30},
     COUNTIFS($V$2:$V$200,$G265)&gt;0,
     COUNTIFS($W$2:$W$200,$G265)&gt;0,
     COUNTIFS($X$2:$X$200,$G265)&gt;0,
     COUNTIFS($Y$2:$Y$200,$G265)&gt;0,
     COUNTIFS($Z$2:$Z$200,$G265)&gt;0,
     COUNTIFS($AA$2:$AA$200,$G265)&gt;0,
     COUNTIFS($AB$2:$AB$200,$G265)&gt;0,
     COUNTIFS($AC$2:$AC$200,$G265)&gt;0,
     COUNTIFS($AD$2:$AD$200,$G265)&gt;0,
     COUNTIFS($AE$2:$AE$200,$G265)&gt;0,
     COUNTIFS($AF$2:$AF$200,$G265)&gt;0,
     COUNTIFS($AG$2:$AG$200,$G265)&gt;0,
     COUNTIFS($AH$2:$AH$200,$G265)&gt;0,
     COUNTIFS($AI$2:$AI$200,$G265)&gt;0,
     COUNTIFS($AJ$2:$AJ$200,$G265)&gt;0,
     COUNTIFS($AK$2:$AK$200,$G265)&gt;0,
     COUNTIFS($AL$2:$AL$200,$G265)&gt;0,
     COUNTIFS($AM$2:$AM$200,$G265)&gt;0,
     COUNTIFS($AN$2:$AN$200,$G265)&gt;0,
     COUNTIFS($AO$2:$AO$200,$G265)&gt;0,
     COUNTIFS($AP$2:$AP$200,$G265)&gt;0,
     COUNTIFS($AQ$2:$AQ$200,$G265)&gt;0,
     COUNTIFS($AR$2:$AR$200,$G265)&gt;0,
     COUNTIFS($AS$2:$AS$200,$G265)&gt;0,
     COUNTIFS($AT$2:$AT$200,$G265)&gt;0,
     COUNTIFS($AU$2:$AU$200,$G265)&gt;0,
     COUNTIFS($AV$2:$AV$200,$G265)&gt;0,
     COUNTIFS($AW$2:$AW$200,$G265)&gt;0,
     COUNTIFS($AX$2:$AX$200,$G265)&gt;0,
     COUNTIFS($AY$2:$AY$200,$G265)&gt;0
   )),
  ),
  2
 ),
"")</f>
        <v/>
      </c>
      <c r="E265" s="2" t="str" cm="1">
        <f t="array" aca="1" ref="E265" ca="1">IFERROR(
 INDEX(
  _xlfn._xlws.FILTER($V$1:$AY$1,
   TRANSPOSE(
    CHOOSE({1;2;3;4;5;6;7;8;9;10;11;12;13;14;15;16;17;18;19;20;21;22;23;24;25;26;27;28;29;30},
     COUNTIFS($V$2:$V$200,$G265)&gt;0,
     COUNTIFS($W$2:$W$200,$G265)&gt;0,
     COUNTIFS($X$2:$X$200,$G265)&gt;0,
     COUNTIFS($Y$2:$Y$200,$G265)&gt;0,
     COUNTIFS($Z$2:$Z$200,$G265)&gt;0,
     COUNTIFS($AA$2:$AA$200,$G265)&gt;0,
     COUNTIFS($AB$2:$AB$200,$G265)&gt;0,
     COUNTIFS($AC$2:$AC$200,$G265)&gt;0,
     COUNTIFS($AD$2:$AD$200,$G265)&gt;0,
     COUNTIFS($AE$2:$AE$200,$G265)&gt;0,
     COUNTIFS($AF$2:$AF$200,$G265)&gt;0,
     COUNTIFS($AG$2:$AG$200,$G265)&gt;0,
     COUNTIFS($AH$2:$AH$200,$G265)&gt;0,
     COUNTIFS($AI$2:$AI$200,$G265)&gt;0,
     COUNTIFS($AJ$2:$AJ$200,$G265)&gt;0,
     COUNTIFS($AK$2:$AK$200,$G265)&gt;0,
     COUNTIFS($AL$2:$AL$200,$G265)&gt;0,
     COUNTIFS($AM$2:$AM$200,$G265)&gt;0,
     COUNTIFS($AN$2:$AN$200,$G265)&gt;0,
     COUNTIFS($AO$2:$AO$200,$G265)&gt;0,
     COUNTIFS($AP$2:$AP$200,$G265)&gt;0,
     COUNTIFS($AQ$2:$AQ$200,$G265)&gt;0,
     COUNTIFS($AR$2:$AR$200,$G265)&gt;0,
     COUNTIFS($AS$2:$AS$200,$G265)&gt;0,
     COUNTIFS($AT$2:$AT$200,$G265)&gt;0,
     COUNTIFS($AU$2:$AU$200,$G265)&gt;0,
     COUNTIFS($AV$2:$AV$200,$G265)&gt;0,
     COUNTIFS($AW$2:$AW$200,$G265)&gt;0,
     COUNTIFS($AX$2:$AX$200,$G265)&gt;0,
     COUNTIFS($AY$2:$AY$200,$G265)&gt;0
   )),
  ),
  3
 ),
"")</f>
        <v/>
      </c>
      <c r="F265" s="2" t="str" cm="1">
        <f t="array" aca="1" ref="F265" ca="1">IFERROR(
 INDEX(
  _xlfn._xlws.FILTER($V$1:$AY$1,
   TRANSPOSE(
    CHOOSE({1;2;3;4;5;6;7;8;9;10;11;12;13;14;15;16;17;18;19;20;21;22;23;24;25;26;27;28;29;30},
     COUNTIFS($V$2:$V$200,$G265)&gt;0,
     COUNTIFS($W$2:$W$200,$G265)&gt;0,
     COUNTIFS($X$2:$X$200,$G265)&gt;0,
     COUNTIFS($Y$2:$Y$200,$G265)&gt;0,
     COUNTIFS($Z$2:$Z$200,$G265)&gt;0,
     COUNTIFS($AA$2:$AA$200,$G265)&gt;0,
     COUNTIFS($AB$2:$AB$200,$G265)&gt;0,
     COUNTIFS($AC$2:$AC$200,$G265)&gt;0,
     COUNTIFS($AD$2:$AD$200,$G265)&gt;0,
     COUNTIFS($AE$2:$AE$200,$G265)&gt;0,
     COUNTIFS($AF$2:$AF$200,$G265)&gt;0,
     COUNTIFS($AG$2:$AG$200,$G265)&gt;0,
     COUNTIFS($AH$2:$AH$200,$G265)&gt;0,
     COUNTIFS($AI$2:$AI$200,$G265)&gt;0,
     COUNTIFS($AJ$2:$AJ$200,$G265)&gt;0,
     COUNTIFS($AK$2:$AK$200,$G265)&gt;0,
     COUNTIFS($AL$2:$AL$200,$G265)&gt;0,
     COUNTIFS($AM$2:$AM$200,$G265)&gt;0,
     COUNTIFS($AN$2:$AN$200,$G265)&gt;0,
     COUNTIFS($AO$2:$AO$200,$G265)&gt;0,
     COUNTIFS($AP$2:$AP$200,$G265)&gt;0,
     COUNTIFS($AQ$2:$AQ$200,$G265)&gt;0,
     COUNTIFS($AR$2:$AR$200,$G265)&gt;0,
     COUNTIFS($AS$2:$AS$200,$G265)&gt;0,
     COUNTIFS($AT$2:$AT$200,$G265)&gt;0,
     COUNTIFS($AU$2:$AU$200,$G265)&gt;0,
     COUNTIFS($AV$2:$AV$200,$G265)&gt;0,
     COUNTIFS($AW$2:$AW$200,$G265)&gt;0,
     COUNTIFS($AX$2:$AX$200,$G265)&gt;0,
     COUNTIFS($AY$2:$AY$200,$G265)&gt;0
   )),
  ),
  4
 ),
"")</f>
        <v/>
      </c>
      <c r="G265" t="str">
        <f ca="1"/>
        <v>Manaweft Sliver</v>
      </c>
      <c r="EU265" t="str">
        <f ca="1"/>
        <v>Serrated Biskelion</v>
      </c>
      <c r="EX265" t="str">
        <f ca="1"/>
        <v>Manaweft Sliver</v>
      </c>
    </row>
    <row r="266" spans="1:154" x14ac:dyDescent="0.25">
      <c r="A266" s="2" t="str">
        <f t="shared" ca="1" si="14"/>
        <v>4</v>
      </c>
      <c r="B266" s="2">
        <f t="shared" ca="1" si="15"/>
        <v>1</v>
      </c>
      <c r="C266" s="2" t="str">
        <f ca="1">IFERROR(
 INDEX($V$1:$BL$1,
  MATCH(TRUE,
   CHOOSE({1;2;3;4;5;6;7;8;9;10;11;12;13;14;15;16;17;18;19;20;21;22;23;24;25;26;27;28;29;30;31;32;33;34;35;36;37;38;39;40;41;42;43},
    COUNTIFS($V$2:$V$200,$G266)&gt;0,
    COUNTIFS($W$2:$W$200,$G266)&gt;0,
    COUNTIFS($X$2:$X$200,$G266)&gt;0,
    COUNTIFS($Y$2:$Y$200,$G266)&gt;0,
    COUNTIFS($Z$2:$Z$200,$G266)&gt;0,
    COUNTIFS($AA$2:$AA$200,$G266)&gt;0,
    COUNTIFS($AB$2:$AB$200,$G266)&gt;0,
    COUNTIFS($AC$2:$AC$200,$G266)&gt;0,
    COUNTIFS($AD$2:$AD$200,$G266)&gt;0,
    COUNTIFS($AE$2:$AE$200,$G266)&gt;0,
    COUNTIFS($AF$2:$AF$200,$G266)&gt;0,
    COUNTIFS($AG$2:$AG$200,$G266)&gt;0,
    COUNTIFS($AH$2:$AH$200,$G266)&gt;0,
    COUNTIFS($AI$2:$AI$200,$G266)&gt;0,
    COUNTIFS($AJ$2:$AJ$200,$G266)&gt;0,
    COUNTIFS($AK$2:$AK$200,$G266)&gt;0,
    COUNTIFS($AL$2:$AL$200,$G266)&gt;0,
    COUNTIFS($AM$2:$AM$200,$G266)&gt;0,
    COUNTIFS($AN$2:$AN$200,$G266)&gt;0,
    COUNTIFS($AO$2:$AO$200,$G266)&gt;0,
    COUNTIFS($AP$2:$AP$200,$G266)&gt;0,
    COUNTIFS($AQ$2:$AQ$200,$G266)&gt;0,
    COUNTIFS($AR$2:$AR$200,$G266)&gt;0,
    COUNTIFS($AS$2:$AS$200,$G266)&gt;0,
    COUNTIFS($AT$2:$AT$200,$G266)&gt;0,
    COUNTIFS($AU$2:$AU$200,$G266)&gt;0,
    COUNTIFS($AV$2:$AV$200,$G266)&gt;0,
    COUNTIFS($AW$2:$AW$200,$G266)&gt;0,
    COUNTIFS($AX$2:$AX$200,$G266)&gt;0,
    COUNTIFS($AY$2:$AY$200,$G266)&gt;0,
    COUNTIFS($AZ$2:$AZ$200,$G266)&gt;0,
    COUNTIFS($BA$2:$BA$200,$G266)&gt;0,
    COUNTIFS($BB$2:$BB$200,$G266)&gt;0,
    COUNTIFS($BC$2:$BC$200,$G266)&gt;0,
    COUNTIFS($BD$2:$BD$200,$G266)&gt;0,
    COUNTIFS($BE$2:$BE$200,$G266)&gt;0,
    COUNTIFS($BF$2:$BF$200,$G266)&gt;0,
    COUNTIFS($BG$2:$BG$200,$G266)&gt;0,
    COUNTIFS($BH$2:$BH$200,$G266)&gt;0,
    COUNTIFS($BI$2:$BI$200,$G266)&gt;0,
    COUNTIFS($BJ$2:$BJ$200,$G266)&gt;0,
    COUNTIFS($BK$2:$BK$200,$G266)&gt;0,
    COUNTIFS($BL$2:$BL$200,$G266)&gt;0,
    COUNTIFS($BM$2:$BM$200,$G266)&gt;0,
   ),
  0)
 ),
"")</f>
        <v>Kresh</v>
      </c>
      <c r="D266" s="2" t="str" cm="1">
        <f t="array" aca="1" ref="D266" ca="1">IFERROR(
 INDEX(
  _xlfn._xlws.FILTER($V$1:$AY$1,
   TRANSPOSE(
    CHOOSE({1;2;3;4;5;6;7;8;9;10;11;12;13;14;15;16;17;18;19;20;21;22;23;24;25;26;27;28;29;30},
     COUNTIFS($V$2:$V$200,$G266)&gt;0,
     COUNTIFS($W$2:$W$200,$G266)&gt;0,
     COUNTIFS($X$2:$X$200,$G266)&gt;0,
     COUNTIFS($Y$2:$Y$200,$G266)&gt;0,
     COUNTIFS($Z$2:$Z$200,$G266)&gt;0,
     COUNTIFS($AA$2:$AA$200,$G266)&gt;0,
     COUNTIFS($AB$2:$AB$200,$G266)&gt;0,
     COUNTIFS($AC$2:$AC$200,$G266)&gt;0,
     COUNTIFS($AD$2:$AD$200,$G266)&gt;0,
     COUNTIFS($AE$2:$AE$200,$G266)&gt;0,
     COUNTIFS($AF$2:$AF$200,$G266)&gt;0,
     COUNTIFS($AG$2:$AG$200,$G266)&gt;0,
     COUNTIFS($AH$2:$AH$200,$G266)&gt;0,
     COUNTIFS($AI$2:$AI$200,$G266)&gt;0,
     COUNTIFS($AJ$2:$AJ$200,$G266)&gt;0,
     COUNTIFS($AK$2:$AK$200,$G266)&gt;0,
     COUNTIFS($AL$2:$AL$200,$G266)&gt;0,
     COUNTIFS($AM$2:$AM$200,$G266)&gt;0,
     COUNTIFS($AN$2:$AN$200,$G266)&gt;0,
     COUNTIFS($AO$2:$AO$200,$G266)&gt;0,
     COUNTIFS($AP$2:$AP$200,$G266)&gt;0,
     COUNTIFS($AQ$2:$AQ$200,$G266)&gt;0,
     COUNTIFS($AR$2:$AR$200,$G266)&gt;0,
     COUNTIFS($AS$2:$AS$200,$G266)&gt;0,
     COUNTIFS($AT$2:$AT$200,$G266)&gt;0,
     COUNTIFS($AU$2:$AU$200,$G266)&gt;0,
     COUNTIFS($AV$2:$AV$200,$G266)&gt;0,
     COUNTIFS($AW$2:$AW$200,$G266)&gt;0,
     COUNTIFS($AX$2:$AX$200,$G266)&gt;0,
     COUNTIFS($AY$2:$AY$200,$G266)&gt;0
   )),
  ),
  2
 ),
"")</f>
        <v/>
      </c>
      <c r="E266" s="2" t="str" cm="1">
        <f t="array" aca="1" ref="E266" ca="1">IFERROR(
 INDEX(
  _xlfn._xlws.FILTER($V$1:$AY$1,
   TRANSPOSE(
    CHOOSE({1;2;3;4;5;6;7;8;9;10;11;12;13;14;15;16;17;18;19;20;21;22;23;24;25;26;27;28;29;30},
     COUNTIFS($V$2:$V$200,$G266)&gt;0,
     COUNTIFS($W$2:$W$200,$G266)&gt;0,
     COUNTIFS($X$2:$X$200,$G266)&gt;0,
     COUNTIFS($Y$2:$Y$200,$G266)&gt;0,
     COUNTIFS($Z$2:$Z$200,$G266)&gt;0,
     COUNTIFS($AA$2:$AA$200,$G266)&gt;0,
     COUNTIFS($AB$2:$AB$200,$G266)&gt;0,
     COUNTIFS($AC$2:$AC$200,$G266)&gt;0,
     COUNTIFS($AD$2:$AD$200,$G266)&gt;0,
     COUNTIFS($AE$2:$AE$200,$G266)&gt;0,
     COUNTIFS($AF$2:$AF$200,$G266)&gt;0,
     COUNTIFS($AG$2:$AG$200,$G266)&gt;0,
     COUNTIFS($AH$2:$AH$200,$G266)&gt;0,
     COUNTIFS($AI$2:$AI$200,$G266)&gt;0,
     COUNTIFS($AJ$2:$AJ$200,$G266)&gt;0,
     COUNTIFS($AK$2:$AK$200,$G266)&gt;0,
     COUNTIFS($AL$2:$AL$200,$G266)&gt;0,
     COUNTIFS($AM$2:$AM$200,$G266)&gt;0,
     COUNTIFS($AN$2:$AN$200,$G266)&gt;0,
     COUNTIFS($AO$2:$AO$200,$G266)&gt;0,
     COUNTIFS($AP$2:$AP$200,$G266)&gt;0,
     COUNTIFS($AQ$2:$AQ$200,$G266)&gt;0,
     COUNTIFS($AR$2:$AR$200,$G266)&gt;0,
     COUNTIFS($AS$2:$AS$200,$G266)&gt;0,
     COUNTIFS($AT$2:$AT$200,$G266)&gt;0,
     COUNTIFS($AU$2:$AU$200,$G266)&gt;0,
     COUNTIFS($AV$2:$AV$200,$G266)&gt;0,
     COUNTIFS($AW$2:$AW$200,$G266)&gt;0,
     COUNTIFS($AX$2:$AX$200,$G266)&gt;0,
     COUNTIFS($AY$2:$AY$200,$G266)&gt;0
   )),
  ),
  3
 ),
"")</f>
        <v/>
      </c>
      <c r="F266" s="2" t="str" cm="1">
        <f t="array" aca="1" ref="F266" ca="1">IFERROR(
 INDEX(
  _xlfn._xlws.FILTER($V$1:$AY$1,
   TRANSPOSE(
    CHOOSE({1;2;3;4;5;6;7;8;9;10;11;12;13;14;15;16;17;18;19;20;21;22;23;24;25;26;27;28;29;30},
     COUNTIFS($V$2:$V$200,$G266)&gt;0,
     COUNTIFS($W$2:$W$200,$G266)&gt;0,
     COUNTIFS($X$2:$X$200,$G266)&gt;0,
     COUNTIFS($Y$2:$Y$200,$G266)&gt;0,
     COUNTIFS($Z$2:$Z$200,$G266)&gt;0,
     COUNTIFS($AA$2:$AA$200,$G266)&gt;0,
     COUNTIFS($AB$2:$AB$200,$G266)&gt;0,
     COUNTIFS($AC$2:$AC$200,$G266)&gt;0,
     COUNTIFS($AD$2:$AD$200,$G266)&gt;0,
     COUNTIFS($AE$2:$AE$200,$G266)&gt;0,
     COUNTIFS($AF$2:$AF$200,$G266)&gt;0,
     COUNTIFS($AG$2:$AG$200,$G266)&gt;0,
     COUNTIFS($AH$2:$AH$200,$G266)&gt;0,
     COUNTIFS($AI$2:$AI$200,$G266)&gt;0,
     COUNTIFS($AJ$2:$AJ$200,$G266)&gt;0,
     COUNTIFS($AK$2:$AK$200,$G266)&gt;0,
     COUNTIFS($AL$2:$AL$200,$G266)&gt;0,
     COUNTIFS($AM$2:$AM$200,$G266)&gt;0,
     COUNTIFS($AN$2:$AN$200,$G266)&gt;0,
     COUNTIFS($AO$2:$AO$200,$G266)&gt;0,
     COUNTIFS($AP$2:$AP$200,$G266)&gt;0,
     COUNTIFS($AQ$2:$AQ$200,$G266)&gt;0,
     COUNTIFS($AR$2:$AR$200,$G266)&gt;0,
     COUNTIFS($AS$2:$AS$200,$G266)&gt;0,
     COUNTIFS($AT$2:$AT$200,$G266)&gt;0,
     COUNTIFS($AU$2:$AU$200,$G266)&gt;0,
     COUNTIFS($AV$2:$AV$200,$G266)&gt;0,
     COUNTIFS($AW$2:$AW$200,$G266)&gt;0,
     COUNTIFS($AX$2:$AX$200,$G266)&gt;0,
     COUNTIFS($AY$2:$AY$200,$G266)&gt;0
   )),
  ),
  4
 ),
"")</f>
        <v/>
      </c>
      <c r="G266" t="str">
        <f ca="1"/>
        <v>Mandate of Abaddon</v>
      </c>
      <c r="EU266" t="str">
        <f ca="1"/>
        <v>Shifting Sliver</v>
      </c>
      <c r="EX266" t="str">
        <f ca="1"/>
        <v>Mandate of Abaddon</v>
      </c>
    </row>
    <row r="267" spans="1:154" x14ac:dyDescent="0.25">
      <c r="A267" s="2" t="str">
        <f t="shared" ca="1" si="14"/>
        <v>4</v>
      </c>
      <c r="B267" s="2">
        <f t="shared" ca="1" si="15"/>
        <v>1</v>
      </c>
      <c r="C267" s="2" t="str">
        <f ca="1">IFERROR(
 INDEX($V$1:$BL$1,
  MATCH(TRUE,
   CHOOSE({1;2;3;4;5;6;7;8;9;10;11;12;13;14;15;16;17;18;19;20;21;22;23;24;25;26;27;28;29;30;31;32;33;34;35;36;37;38;39;40;41;42;43},
    COUNTIFS($V$2:$V$200,$G267)&gt;0,
    COUNTIFS($W$2:$W$200,$G267)&gt;0,
    COUNTIFS($X$2:$X$200,$G267)&gt;0,
    COUNTIFS($Y$2:$Y$200,$G267)&gt;0,
    COUNTIFS($Z$2:$Z$200,$G267)&gt;0,
    COUNTIFS($AA$2:$AA$200,$G267)&gt;0,
    COUNTIFS($AB$2:$AB$200,$G267)&gt;0,
    COUNTIFS($AC$2:$AC$200,$G267)&gt;0,
    COUNTIFS($AD$2:$AD$200,$G267)&gt;0,
    COUNTIFS($AE$2:$AE$200,$G267)&gt;0,
    COUNTIFS($AF$2:$AF$200,$G267)&gt;0,
    COUNTIFS($AG$2:$AG$200,$G267)&gt;0,
    COUNTIFS($AH$2:$AH$200,$G267)&gt;0,
    COUNTIFS($AI$2:$AI$200,$G267)&gt;0,
    COUNTIFS($AJ$2:$AJ$200,$G267)&gt;0,
    COUNTIFS($AK$2:$AK$200,$G267)&gt;0,
    COUNTIFS($AL$2:$AL$200,$G267)&gt;0,
    COUNTIFS($AM$2:$AM$200,$G267)&gt;0,
    COUNTIFS($AN$2:$AN$200,$G267)&gt;0,
    COUNTIFS($AO$2:$AO$200,$G267)&gt;0,
    COUNTIFS($AP$2:$AP$200,$G267)&gt;0,
    COUNTIFS($AQ$2:$AQ$200,$G267)&gt;0,
    COUNTIFS($AR$2:$AR$200,$G267)&gt;0,
    COUNTIFS($AS$2:$AS$200,$G267)&gt;0,
    COUNTIFS($AT$2:$AT$200,$G267)&gt;0,
    COUNTIFS($AU$2:$AU$200,$G267)&gt;0,
    COUNTIFS($AV$2:$AV$200,$G267)&gt;0,
    COUNTIFS($AW$2:$AW$200,$G267)&gt;0,
    COUNTIFS($AX$2:$AX$200,$G267)&gt;0,
    COUNTIFS($AY$2:$AY$200,$G267)&gt;0,
    COUNTIFS($AZ$2:$AZ$200,$G267)&gt;0,
    COUNTIFS($BA$2:$BA$200,$G267)&gt;0,
    COUNTIFS($BB$2:$BB$200,$G267)&gt;0,
    COUNTIFS($BC$2:$BC$200,$G267)&gt;0,
    COUNTIFS($BD$2:$BD$200,$G267)&gt;0,
    COUNTIFS($BE$2:$BE$200,$G267)&gt;0,
    COUNTIFS($BF$2:$BF$200,$G267)&gt;0,
    COUNTIFS($BG$2:$BG$200,$G267)&gt;0,
    COUNTIFS($BH$2:$BH$200,$G267)&gt;0,
    COUNTIFS($BI$2:$BI$200,$G267)&gt;0,
    COUNTIFS($BJ$2:$BJ$200,$G267)&gt;0,
    COUNTIFS($BK$2:$BK$200,$G267)&gt;0,
    COUNTIFS($BL$2:$BL$200,$G267)&gt;0,
    COUNTIFS($BM$2:$BM$200,$G267)&gt;0,
   ),
  0)
 ),
"")</f>
        <v>Baylen</v>
      </c>
      <c r="D267" s="2" t="str" cm="1">
        <f t="array" aca="1" ref="D267" ca="1">IFERROR(
 INDEX(
  _xlfn._xlws.FILTER($V$1:$AY$1,
   TRANSPOSE(
    CHOOSE({1;2;3;4;5;6;7;8;9;10;11;12;13;14;15;16;17;18;19;20;21;22;23;24;25;26;27;28;29;30},
     COUNTIFS($V$2:$V$200,$G267)&gt;0,
     COUNTIFS($W$2:$W$200,$G267)&gt;0,
     COUNTIFS($X$2:$X$200,$G267)&gt;0,
     COUNTIFS($Y$2:$Y$200,$G267)&gt;0,
     COUNTIFS($Z$2:$Z$200,$G267)&gt;0,
     COUNTIFS($AA$2:$AA$200,$G267)&gt;0,
     COUNTIFS($AB$2:$AB$200,$G267)&gt;0,
     COUNTIFS($AC$2:$AC$200,$G267)&gt;0,
     COUNTIFS($AD$2:$AD$200,$G267)&gt;0,
     COUNTIFS($AE$2:$AE$200,$G267)&gt;0,
     COUNTIFS($AF$2:$AF$200,$G267)&gt;0,
     COUNTIFS($AG$2:$AG$200,$G267)&gt;0,
     COUNTIFS($AH$2:$AH$200,$G267)&gt;0,
     COUNTIFS($AI$2:$AI$200,$G267)&gt;0,
     COUNTIFS($AJ$2:$AJ$200,$G267)&gt;0,
     COUNTIFS($AK$2:$AK$200,$G267)&gt;0,
     COUNTIFS($AL$2:$AL$200,$G267)&gt;0,
     COUNTIFS($AM$2:$AM$200,$G267)&gt;0,
     COUNTIFS($AN$2:$AN$200,$G267)&gt;0,
     COUNTIFS($AO$2:$AO$200,$G267)&gt;0,
     COUNTIFS($AP$2:$AP$200,$G267)&gt;0,
     COUNTIFS($AQ$2:$AQ$200,$G267)&gt;0,
     COUNTIFS($AR$2:$AR$200,$G267)&gt;0,
     COUNTIFS($AS$2:$AS$200,$G267)&gt;0,
     COUNTIFS($AT$2:$AT$200,$G267)&gt;0,
     COUNTIFS($AU$2:$AU$200,$G267)&gt;0,
     COUNTIFS($AV$2:$AV$200,$G267)&gt;0,
     COUNTIFS($AW$2:$AW$200,$G267)&gt;0,
     COUNTIFS($AX$2:$AX$200,$G267)&gt;0,
     COUNTIFS($AY$2:$AY$200,$G267)&gt;0
   )),
  ),
  2
 ),
"")</f>
        <v/>
      </c>
      <c r="E267" s="2" t="str" cm="1">
        <f t="array" aca="1" ref="E267" ca="1">IFERROR(
 INDEX(
  _xlfn._xlws.FILTER($V$1:$AY$1,
   TRANSPOSE(
    CHOOSE({1;2;3;4;5;6;7;8;9;10;11;12;13;14;15;16;17;18;19;20;21;22;23;24;25;26;27;28;29;30},
     COUNTIFS($V$2:$V$200,$G267)&gt;0,
     COUNTIFS($W$2:$W$200,$G267)&gt;0,
     COUNTIFS($X$2:$X$200,$G267)&gt;0,
     COUNTIFS($Y$2:$Y$200,$G267)&gt;0,
     COUNTIFS($Z$2:$Z$200,$G267)&gt;0,
     COUNTIFS($AA$2:$AA$200,$G267)&gt;0,
     COUNTIFS($AB$2:$AB$200,$G267)&gt;0,
     COUNTIFS($AC$2:$AC$200,$G267)&gt;0,
     COUNTIFS($AD$2:$AD$200,$G267)&gt;0,
     COUNTIFS($AE$2:$AE$200,$G267)&gt;0,
     COUNTIFS($AF$2:$AF$200,$G267)&gt;0,
     COUNTIFS($AG$2:$AG$200,$G267)&gt;0,
     COUNTIFS($AH$2:$AH$200,$G267)&gt;0,
     COUNTIFS($AI$2:$AI$200,$G267)&gt;0,
     COUNTIFS($AJ$2:$AJ$200,$G267)&gt;0,
     COUNTIFS($AK$2:$AK$200,$G267)&gt;0,
     COUNTIFS($AL$2:$AL$200,$G267)&gt;0,
     COUNTIFS($AM$2:$AM$200,$G267)&gt;0,
     COUNTIFS($AN$2:$AN$200,$G267)&gt;0,
     COUNTIFS($AO$2:$AO$200,$G267)&gt;0,
     COUNTIFS($AP$2:$AP$200,$G267)&gt;0,
     COUNTIFS($AQ$2:$AQ$200,$G267)&gt;0,
     COUNTIFS($AR$2:$AR$200,$G267)&gt;0,
     COUNTIFS($AS$2:$AS$200,$G267)&gt;0,
     COUNTIFS($AT$2:$AT$200,$G267)&gt;0,
     COUNTIFS($AU$2:$AU$200,$G267)&gt;0,
     COUNTIFS($AV$2:$AV$200,$G267)&gt;0,
     COUNTIFS($AW$2:$AW$200,$G267)&gt;0,
     COUNTIFS($AX$2:$AX$200,$G267)&gt;0,
     COUNTIFS($AY$2:$AY$200,$G267)&gt;0
   )),
  ),
  3
 ),
"")</f>
        <v/>
      </c>
      <c r="F267" s="2" t="str" cm="1">
        <f t="array" aca="1" ref="F267" ca="1">IFERROR(
 INDEX(
  _xlfn._xlws.FILTER($V$1:$AY$1,
   TRANSPOSE(
    CHOOSE({1;2;3;4;5;6;7;8;9;10;11;12;13;14;15;16;17;18;19;20;21;22;23;24;25;26;27;28;29;30},
     COUNTIFS($V$2:$V$200,$G267)&gt;0,
     COUNTIFS($W$2:$W$200,$G267)&gt;0,
     COUNTIFS($X$2:$X$200,$G267)&gt;0,
     COUNTIFS($Y$2:$Y$200,$G267)&gt;0,
     COUNTIFS($Z$2:$Z$200,$G267)&gt;0,
     COUNTIFS($AA$2:$AA$200,$G267)&gt;0,
     COUNTIFS($AB$2:$AB$200,$G267)&gt;0,
     COUNTIFS($AC$2:$AC$200,$G267)&gt;0,
     COUNTIFS($AD$2:$AD$200,$G267)&gt;0,
     COUNTIFS($AE$2:$AE$200,$G267)&gt;0,
     COUNTIFS($AF$2:$AF$200,$G267)&gt;0,
     COUNTIFS($AG$2:$AG$200,$G267)&gt;0,
     COUNTIFS($AH$2:$AH$200,$G267)&gt;0,
     COUNTIFS($AI$2:$AI$200,$G267)&gt;0,
     COUNTIFS($AJ$2:$AJ$200,$G267)&gt;0,
     COUNTIFS($AK$2:$AK$200,$G267)&gt;0,
     COUNTIFS($AL$2:$AL$200,$G267)&gt;0,
     COUNTIFS($AM$2:$AM$200,$G267)&gt;0,
     COUNTIFS($AN$2:$AN$200,$G267)&gt;0,
     COUNTIFS($AO$2:$AO$200,$G267)&gt;0,
     COUNTIFS($AP$2:$AP$200,$G267)&gt;0,
     COUNTIFS($AQ$2:$AQ$200,$G267)&gt;0,
     COUNTIFS($AR$2:$AR$200,$G267)&gt;0,
     COUNTIFS($AS$2:$AS$200,$G267)&gt;0,
     COUNTIFS($AT$2:$AT$200,$G267)&gt;0,
     COUNTIFS($AU$2:$AU$200,$G267)&gt;0,
     COUNTIFS($AV$2:$AV$200,$G267)&gt;0,
     COUNTIFS($AW$2:$AW$200,$G267)&gt;0,
     COUNTIFS($AX$2:$AX$200,$G267)&gt;0,
     COUNTIFS($AY$2:$AY$200,$G267)&gt;0
   )),
  ),
  4
 ),
"")</f>
        <v/>
      </c>
      <c r="G267" t="str">
        <f ca="1"/>
        <v>March of the Canonized</v>
      </c>
      <c r="EU267" t="str">
        <f ca="1"/>
        <v>Shizo, Death's Storehouse</v>
      </c>
      <c r="EX267" t="str">
        <f ca="1"/>
        <v>March of the Canonized</v>
      </c>
    </row>
    <row r="268" spans="1:154" x14ac:dyDescent="0.25">
      <c r="A268" s="2" t="str">
        <f t="shared" ca="1" si="14"/>
        <v>5</v>
      </c>
      <c r="B268" s="2">
        <f t="shared" ca="1" si="15"/>
        <v>1</v>
      </c>
      <c r="C268" s="2" t="str">
        <f ca="1">IFERROR(
 INDEX($V$1:$BL$1,
  MATCH(TRUE,
   CHOOSE({1;2;3;4;5;6;7;8;9;10;11;12;13;14;15;16;17;18;19;20;21;22;23;24;25;26;27;28;29;30;31;32;33;34;35;36;37;38;39;40;41;42;43},
    COUNTIFS($V$2:$V$200,$G268)&gt;0,
    COUNTIFS($W$2:$W$200,$G268)&gt;0,
    COUNTIFS($X$2:$X$200,$G268)&gt;0,
    COUNTIFS($Y$2:$Y$200,$G268)&gt;0,
    COUNTIFS($Z$2:$Z$200,$G268)&gt;0,
    COUNTIFS($AA$2:$AA$200,$G268)&gt;0,
    COUNTIFS($AB$2:$AB$200,$G268)&gt;0,
    COUNTIFS($AC$2:$AC$200,$G268)&gt;0,
    COUNTIFS($AD$2:$AD$200,$G268)&gt;0,
    COUNTIFS($AE$2:$AE$200,$G268)&gt;0,
    COUNTIFS($AF$2:$AF$200,$G268)&gt;0,
    COUNTIFS($AG$2:$AG$200,$G268)&gt;0,
    COUNTIFS($AH$2:$AH$200,$G268)&gt;0,
    COUNTIFS($AI$2:$AI$200,$G268)&gt;0,
    COUNTIFS($AJ$2:$AJ$200,$G268)&gt;0,
    COUNTIFS($AK$2:$AK$200,$G268)&gt;0,
    COUNTIFS($AL$2:$AL$200,$G268)&gt;0,
    COUNTIFS($AM$2:$AM$200,$G268)&gt;0,
    COUNTIFS($AN$2:$AN$200,$G268)&gt;0,
    COUNTIFS($AO$2:$AO$200,$G268)&gt;0,
    COUNTIFS($AP$2:$AP$200,$G268)&gt;0,
    COUNTIFS($AQ$2:$AQ$200,$G268)&gt;0,
    COUNTIFS($AR$2:$AR$200,$G268)&gt;0,
    COUNTIFS($AS$2:$AS$200,$G268)&gt;0,
    COUNTIFS($AT$2:$AT$200,$G268)&gt;0,
    COUNTIFS($AU$2:$AU$200,$G268)&gt;0,
    COUNTIFS($AV$2:$AV$200,$G268)&gt;0,
    COUNTIFS($AW$2:$AW$200,$G268)&gt;0,
    COUNTIFS($AX$2:$AX$200,$G268)&gt;0,
    COUNTIFS($AY$2:$AY$200,$G268)&gt;0,
    COUNTIFS($AZ$2:$AZ$200,$G268)&gt;0,
    COUNTIFS($BA$2:$BA$200,$G268)&gt;0,
    COUNTIFS($BB$2:$BB$200,$G268)&gt;0,
    COUNTIFS($BC$2:$BC$200,$G268)&gt;0,
    COUNTIFS($BD$2:$BD$200,$G268)&gt;0,
    COUNTIFS($BE$2:$BE$200,$G268)&gt;0,
    COUNTIFS($BF$2:$BF$200,$G268)&gt;0,
    COUNTIFS($BG$2:$BG$200,$G268)&gt;0,
    COUNTIFS($BH$2:$BH$200,$G268)&gt;0,
    COUNTIFS($BI$2:$BI$200,$G268)&gt;0,
    COUNTIFS($BJ$2:$BJ$200,$G268)&gt;0,
    COUNTIFS($BK$2:$BK$200,$G268)&gt;0,
    COUNTIFS($BL$2:$BL$200,$G268)&gt;0,
    COUNTIFS($BM$2:$BM$200,$G268)&gt;0,
   ),
  0)
 ),
"")</f>
        <v>Little</v>
      </c>
      <c r="D268" s="2" t="str" cm="1">
        <f t="array" aca="1" ref="D268" ca="1">IFERROR(
 INDEX(
  _xlfn._xlws.FILTER($V$1:$AY$1,
   TRANSPOSE(
    CHOOSE({1;2;3;4;5;6;7;8;9;10;11;12;13;14;15;16;17;18;19;20;21;22;23;24;25;26;27;28;29;30},
     COUNTIFS($V$2:$V$200,$G268)&gt;0,
     COUNTIFS($W$2:$W$200,$G268)&gt;0,
     COUNTIFS($X$2:$X$200,$G268)&gt;0,
     COUNTIFS($Y$2:$Y$200,$G268)&gt;0,
     COUNTIFS($Z$2:$Z$200,$G268)&gt;0,
     COUNTIFS($AA$2:$AA$200,$G268)&gt;0,
     COUNTIFS($AB$2:$AB$200,$G268)&gt;0,
     COUNTIFS($AC$2:$AC$200,$G268)&gt;0,
     COUNTIFS($AD$2:$AD$200,$G268)&gt;0,
     COUNTIFS($AE$2:$AE$200,$G268)&gt;0,
     COUNTIFS($AF$2:$AF$200,$G268)&gt;0,
     COUNTIFS($AG$2:$AG$200,$G268)&gt;0,
     COUNTIFS($AH$2:$AH$200,$G268)&gt;0,
     COUNTIFS($AI$2:$AI$200,$G268)&gt;0,
     COUNTIFS($AJ$2:$AJ$200,$G268)&gt;0,
     COUNTIFS($AK$2:$AK$200,$G268)&gt;0,
     COUNTIFS($AL$2:$AL$200,$G268)&gt;0,
     COUNTIFS($AM$2:$AM$200,$G268)&gt;0,
     COUNTIFS($AN$2:$AN$200,$G268)&gt;0,
     COUNTIFS($AO$2:$AO$200,$G268)&gt;0,
     COUNTIFS($AP$2:$AP$200,$G268)&gt;0,
     COUNTIFS($AQ$2:$AQ$200,$G268)&gt;0,
     COUNTIFS($AR$2:$AR$200,$G268)&gt;0,
     COUNTIFS($AS$2:$AS$200,$G268)&gt;0,
     COUNTIFS($AT$2:$AT$200,$G268)&gt;0,
     COUNTIFS($AU$2:$AU$200,$G268)&gt;0,
     COUNTIFS($AV$2:$AV$200,$G268)&gt;0,
     COUNTIFS($AW$2:$AW$200,$G268)&gt;0,
     COUNTIFS($AX$2:$AX$200,$G268)&gt;0,
     COUNTIFS($AY$2:$AY$200,$G268)&gt;0
   )),
  ),
  2
 ),
"")</f>
        <v/>
      </c>
      <c r="E268" s="2" t="str" cm="1">
        <f t="array" aca="1" ref="E268" ca="1">IFERROR(
 INDEX(
  _xlfn._xlws.FILTER($V$1:$AY$1,
   TRANSPOSE(
    CHOOSE({1;2;3;4;5;6;7;8;9;10;11;12;13;14;15;16;17;18;19;20;21;22;23;24;25;26;27;28;29;30},
     COUNTIFS($V$2:$V$200,$G268)&gt;0,
     COUNTIFS($W$2:$W$200,$G268)&gt;0,
     COUNTIFS($X$2:$X$200,$G268)&gt;0,
     COUNTIFS($Y$2:$Y$200,$G268)&gt;0,
     COUNTIFS($Z$2:$Z$200,$G268)&gt;0,
     COUNTIFS($AA$2:$AA$200,$G268)&gt;0,
     COUNTIFS($AB$2:$AB$200,$G268)&gt;0,
     COUNTIFS($AC$2:$AC$200,$G268)&gt;0,
     COUNTIFS($AD$2:$AD$200,$G268)&gt;0,
     COUNTIFS($AE$2:$AE$200,$G268)&gt;0,
     COUNTIFS($AF$2:$AF$200,$G268)&gt;0,
     COUNTIFS($AG$2:$AG$200,$G268)&gt;0,
     COUNTIFS($AH$2:$AH$200,$G268)&gt;0,
     COUNTIFS($AI$2:$AI$200,$G268)&gt;0,
     COUNTIFS($AJ$2:$AJ$200,$G268)&gt;0,
     COUNTIFS($AK$2:$AK$200,$G268)&gt;0,
     COUNTIFS($AL$2:$AL$200,$G268)&gt;0,
     COUNTIFS($AM$2:$AM$200,$G268)&gt;0,
     COUNTIFS($AN$2:$AN$200,$G268)&gt;0,
     COUNTIFS($AO$2:$AO$200,$G268)&gt;0,
     COUNTIFS($AP$2:$AP$200,$G268)&gt;0,
     COUNTIFS($AQ$2:$AQ$200,$G268)&gt;0,
     COUNTIFS($AR$2:$AR$200,$G268)&gt;0,
     COUNTIFS($AS$2:$AS$200,$G268)&gt;0,
     COUNTIFS($AT$2:$AT$200,$G268)&gt;0,
     COUNTIFS($AU$2:$AU$200,$G268)&gt;0,
     COUNTIFS($AV$2:$AV$200,$G268)&gt;0,
     COUNTIFS($AW$2:$AW$200,$G268)&gt;0,
     COUNTIFS($AX$2:$AX$200,$G268)&gt;0,
     COUNTIFS($AY$2:$AY$200,$G268)&gt;0
   )),
  ),
  3
 ),
"")</f>
        <v/>
      </c>
      <c r="F268" s="2" t="str" cm="1">
        <f t="array" aca="1" ref="F268" ca="1">IFERROR(
 INDEX(
  _xlfn._xlws.FILTER($V$1:$AY$1,
   TRANSPOSE(
    CHOOSE({1;2;3;4;5;6;7;8;9;10;11;12;13;14;15;16;17;18;19;20;21;22;23;24;25;26;27;28;29;30},
     COUNTIFS($V$2:$V$200,$G268)&gt;0,
     COUNTIFS($W$2:$W$200,$G268)&gt;0,
     COUNTIFS($X$2:$X$200,$G268)&gt;0,
     COUNTIFS($Y$2:$Y$200,$G268)&gt;0,
     COUNTIFS($Z$2:$Z$200,$G268)&gt;0,
     COUNTIFS($AA$2:$AA$200,$G268)&gt;0,
     COUNTIFS($AB$2:$AB$200,$G268)&gt;0,
     COUNTIFS($AC$2:$AC$200,$G268)&gt;0,
     COUNTIFS($AD$2:$AD$200,$G268)&gt;0,
     COUNTIFS($AE$2:$AE$200,$G268)&gt;0,
     COUNTIFS($AF$2:$AF$200,$G268)&gt;0,
     COUNTIFS($AG$2:$AG$200,$G268)&gt;0,
     COUNTIFS($AH$2:$AH$200,$G268)&gt;0,
     COUNTIFS($AI$2:$AI$200,$G268)&gt;0,
     COUNTIFS($AJ$2:$AJ$200,$G268)&gt;0,
     COUNTIFS($AK$2:$AK$200,$G268)&gt;0,
     COUNTIFS($AL$2:$AL$200,$G268)&gt;0,
     COUNTIFS($AM$2:$AM$200,$G268)&gt;0,
     COUNTIFS($AN$2:$AN$200,$G268)&gt;0,
     COUNTIFS($AO$2:$AO$200,$G268)&gt;0,
     COUNTIFS($AP$2:$AP$200,$G268)&gt;0,
     COUNTIFS($AQ$2:$AQ$200,$G268)&gt;0,
     COUNTIFS($AR$2:$AR$200,$G268)&gt;0,
     COUNTIFS($AS$2:$AS$200,$G268)&gt;0,
     COUNTIFS($AT$2:$AT$200,$G268)&gt;0,
     COUNTIFS($AU$2:$AU$200,$G268)&gt;0,
     COUNTIFS($AV$2:$AV$200,$G268)&gt;0,
     COUNTIFS($AW$2:$AW$200,$G268)&gt;0,
     COUNTIFS($AX$2:$AX$200,$G268)&gt;0,
     COUNTIFS($AY$2:$AY$200,$G268)&gt;0
   )),
  ),
  4
 ),
"")</f>
        <v/>
      </c>
      <c r="G268" t="str">
        <f ca="1"/>
        <v>Mardu Ascendancy</v>
      </c>
      <c r="EU268" t="str">
        <f ca="1"/>
        <v>Shoot the Sheriff</v>
      </c>
      <c r="EX268" t="str">
        <f ca="1"/>
        <v>Mardu Ascendancy</v>
      </c>
    </row>
    <row r="269" spans="1:154" x14ac:dyDescent="0.25">
      <c r="A269" s="2" t="str">
        <f t="shared" ca="1" si="14"/>
        <v>4</v>
      </c>
      <c r="B269" s="2">
        <f t="shared" ca="1" si="15"/>
        <v>1</v>
      </c>
      <c r="C269" s="2" t="str">
        <f ca="1">IFERROR(
 INDEX($V$1:$BL$1,
  MATCH(TRUE,
   CHOOSE({1;2;3;4;5;6;7;8;9;10;11;12;13;14;15;16;17;18;19;20;21;22;23;24;25;26;27;28;29;30;31;32;33;34;35;36;37;38;39;40;41;42;43},
    COUNTIFS($V$2:$V$200,$G269)&gt;0,
    COUNTIFS($W$2:$W$200,$G269)&gt;0,
    COUNTIFS($X$2:$X$200,$G269)&gt;0,
    COUNTIFS($Y$2:$Y$200,$G269)&gt;0,
    COUNTIFS($Z$2:$Z$200,$G269)&gt;0,
    COUNTIFS($AA$2:$AA$200,$G269)&gt;0,
    COUNTIFS($AB$2:$AB$200,$G269)&gt;0,
    COUNTIFS($AC$2:$AC$200,$G269)&gt;0,
    COUNTIFS($AD$2:$AD$200,$G269)&gt;0,
    COUNTIFS($AE$2:$AE$200,$G269)&gt;0,
    COUNTIFS($AF$2:$AF$200,$G269)&gt;0,
    COUNTIFS($AG$2:$AG$200,$G269)&gt;0,
    COUNTIFS($AH$2:$AH$200,$G269)&gt;0,
    COUNTIFS($AI$2:$AI$200,$G269)&gt;0,
    COUNTIFS($AJ$2:$AJ$200,$G269)&gt;0,
    COUNTIFS($AK$2:$AK$200,$G269)&gt;0,
    COUNTIFS($AL$2:$AL$200,$G269)&gt;0,
    COUNTIFS($AM$2:$AM$200,$G269)&gt;0,
    COUNTIFS($AN$2:$AN$200,$G269)&gt;0,
    COUNTIFS($AO$2:$AO$200,$G269)&gt;0,
    COUNTIFS($AP$2:$AP$200,$G269)&gt;0,
    COUNTIFS($AQ$2:$AQ$200,$G269)&gt;0,
    COUNTIFS($AR$2:$AR$200,$G269)&gt;0,
    COUNTIFS($AS$2:$AS$200,$G269)&gt;0,
    COUNTIFS($AT$2:$AT$200,$G269)&gt;0,
    COUNTIFS($AU$2:$AU$200,$G269)&gt;0,
    COUNTIFS($AV$2:$AV$200,$G269)&gt;0,
    COUNTIFS($AW$2:$AW$200,$G269)&gt;0,
    COUNTIFS($AX$2:$AX$200,$G269)&gt;0,
    COUNTIFS($AY$2:$AY$200,$G269)&gt;0,
    COUNTIFS($AZ$2:$AZ$200,$G269)&gt;0,
    COUNTIFS($BA$2:$BA$200,$G269)&gt;0,
    COUNTIFS($BB$2:$BB$200,$G269)&gt;0,
    COUNTIFS($BC$2:$BC$200,$G269)&gt;0,
    COUNTIFS($BD$2:$BD$200,$G269)&gt;0,
    COUNTIFS($BE$2:$BE$200,$G269)&gt;0,
    COUNTIFS($BF$2:$BF$200,$G269)&gt;0,
    COUNTIFS($BG$2:$BG$200,$G269)&gt;0,
    COUNTIFS($BH$2:$BH$200,$G269)&gt;0,
    COUNTIFS($BI$2:$BI$200,$G269)&gt;0,
    COUNTIFS($BJ$2:$BJ$200,$G269)&gt;0,
    COUNTIFS($BK$2:$BK$200,$G269)&gt;0,
    COUNTIFS($BL$2:$BL$200,$G269)&gt;0,
    COUNTIFS($BM$2:$BM$200,$G269)&gt;0,
   ),
  0)
 ),
"")</f>
        <v>Kresh</v>
      </c>
      <c r="D269" s="2" t="str" cm="1">
        <f t="array" aca="1" ref="D269" ca="1">IFERROR(
 INDEX(
  _xlfn._xlws.FILTER($V$1:$AY$1,
   TRANSPOSE(
    CHOOSE({1;2;3;4;5;6;7;8;9;10;11;12;13;14;15;16;17;18;19;20;21;22;23;24;25;26;27;28;29;30},
     COUNTIFS($V$2:$V$200,$G269)&gt;0,
     COUNTIFS($W$2:$W$200,$G269)&gt;0,
     COUNTIFS($X$2:$X$200,$G269)&gt;0,
     COUNTIFS($Y$2:$Y$200,$G269)&gt;0,
     COUNTIFS($Z$2:$Z$200,$G269)&gt;0,
     COUNTIFS($AA$2:$AA$200,$G269)&gt;0,
     COUNTIFS($AB$2:$AB$200,$G269)&gt;0,
     COUNTIFS($AC$2:$AC$200,$G269)&gt;0,
     COUNTIFS($AD$2:$AD$200,$G269)&gt;0,
     COUNTIFS($AE$2:$AE$200,$G269)&gt;0,
     COUNTIFS($AF$2:$AF$200,$G269)&gt;0,
     COUNTIFS($AG$2:$AG$200,$G269)&gt;0,
     COUNTIFS($AH$2:$AH$200,$G269)&gt;0,
     COUNTIFS($AI$2:$AI$200,$G269)&gt;0,
     COUNTIFS($AJ$2:$AJ$200,$G269)&gt;0,
     COUNTIFS($AK$2:$AK$200,$G269)&gt;0,
     COUNTIFS($AL$2:$AL$200,$G269)&gt;0,
     COUNTIFS($AM$2:$AM$200,$G269)&gt;0,
     COUNTIFS($AN$2:$AN$200,$G269)&gt;0,
     COUNTIFS($AO$2:$AO$200,$G269)&gt;0,
     COUNTIFS($AP$2:$AP$200,$G269)&gt;0,
     COUNTIFS($AQ$2:$AQ$200,$G269)&gt;0,
     COUNTIFS($AR$2:$AR$200,$G269)&gt;0,
     COUNTIFS($AS$2:$AS$200,$G269)&gt;0,
     COUNTIFS($AT$2:$AT$200,$G269)&gt;0,
     COUNTIFS($AU$2:$AU$200,$G269)&gt;0,
     COUNTIFS($AV$2:$AV$200,$G269)&gt;0,
     COUNTIFS($AW$2:$AW$200,$G269)&gt;0,
     COUNTIFS($AX$2:$AX$200,$G269)&gt;0,
     COUNTIFS($AY$2:$AY$200,$G269)&gt;0
   )),
  ),
  2
 ),
"")</f>
        <v/>
      </c>
      <c r="E269" s="2" t="str" cm="1">
        <f t="array" aca="1" ref="E269" ca="1">IFERROR(
 INDEX(
  _xlfn._xlws.FILTER($V$1:$AY$1,
   TRANSPOSE(
    CHOOSE({1;2;3;4;5;6;7;8;9;10;11;12;13;14;15;16;17;18;19;20;21;22;23;24;25;26;27;28;29;30},
     COUNTIFS($V$2:$V$200,$G269)&gt;0,
     COUNTIFS($W$2:$W$200,$G269)&gt;0,
     COUNTIFS($X$2:$X$200,$G269)&gt;0,
     COUNTIFS($Y$2:$Y$200,$G269)&gt;0,
     COUNTIFS($Z$2:$Z$200,$G269)&gt;0,
     COUNTIFS($AA$2:$AA$200,$G269)&gt;0,
     COUNTIFS($AB$2:$AB$200,$G269)&gt;0,
     COUNTIFS($AC$2:$AC$200,$G269)&gt;0,
     COUNTIFS($AD$2:$AD$200,$G269)&gt;0,
     COUNTIFS($AE$2:$AE$200,$G269)&gt;0,
     COUNTIFS($AF$2:$AF$200,$G269)&gt;0,
     COUNTIFS($AG$2:$AG$200,$G269)&gt;0,
     COUNTIFS($AH$2:$AH$200,$G269)&gt;0,
     COUNTIFS($AI$2:$AI$200,$G269)&gt;0,
     COUNTIFS($AJ$2:$AJ$200,$G269)&gt;0,
     COUNTIFS($AK$2:$AK$200,$G269)&gt;0,
     COUNTIFS($AL$2:$AL$200,$G269)&gt;0,
     COUNTIFS($AM$2:$AM$200,$G269)&gt;0,
     COUNTIFS($AN$2:$AN$200,$G269)&gt;0,
     COUNTIFS($AO$2:$AO$200,$G269)&gt;0,
     COUNTIFS($AP$2:$AP$200,$G269)&gt;0,
     COUNTIFS($AQ$2:$AQ$200,$G269)&gt;0,
     COUNTIFS($AR$2:$AR$200,$G269)&gt;0,
     COUNTIFS($AS$2:$AS$200,$G269)&gt;0,
     COUNTIFS($AT$2:$AT$200,$G269)&gt;0,
     COUNTIFS($AU$2:$AU$200,$G269)&gt;0,
     COUNTIFS($AV$2:$AV$200,$G269)&gt;0,
     COUNTIFS($AW$2:$AW$200,$G269)&gt;0,
     COUNTIFS($AX$2:$AX$200,$G269)&gt;0,
     COUNTIFS($AY$2:$AY$200,$G269)&gt;0
   )),
  ),
  3
 ),
"")</f>
        <v/>
      </c>
      <c r="F269" s="2" t="str" cm="1">
        <f t="array" aca="1" ref="F269" ca="1">IFERROR(
 INDEX(
  _xlfn._xlws.FILTER($V$1:$AY$1,
   TRANSPOSE(
    CHOOSE({1;2;3;4;5;6;7;8;9;10;11;12;13;14;15;16;17;18;19;20;21;22;23;24;25;26;27;28;29;30},
     COUNTIFS($V$2:$V$200,$G269)&gt;0,
     COUNTIFS($W$2:$W$200,$G269)&gt;0,
     COUNTIFS($X$2:$X$200,$G269)&gt;0,
     COUNTIFS($Y$2:$Y$200,$G269)&gt;0,
     COUNTIFS($Z$2:$Z$200,$G269)&gt;0,
     COUNTIFS($AA$2:$AA$200,$G269)&gt;0,
     COUNTIFS($AB$2:$AB$200,$G269)&gt;0,
     COUNTIFS($AC$2:$AC$200,$G269)&gt;0,
     COUNTIFS($AD$2:$AD$200,$G269)&gt;0,
     COUNTIFS($AE$2:$AE$200,$G269)&gt;0,
     COUNTIFS($AF$2:$AF$200,$G269)&gt;0,
     COUNTIFS($AG$2:$AG$200,$G269)&gt;0,
     COUNTIFS($AH$2:$AH$200,$G269)&gt;0,
     COUNTIFS($AI$2:$AI$200,$G269)&gt;0,
     COUNTIFS($AJ$2:$AJ$200,$G269)&gt;0,
     COUNTIFS($AK$2:$AK$200,$G269)&gt;0,
     COUNTIFS($AL$2:$AL$200,$G269)&gt;0,
     COUNTIFS($AM$2:$AM$200,$G269)&gt;0,
     COUNTIFS($AN$2:$AN$200,$G269)&gt;0,
     COUNTIFS($AO$2:$AO$200,$G269)&gt;0,
     COUNTIFS($AP$2:$AP$200,$G269)&gt;0,
     COUNTIFS($AQ$2:$AQ$200,$G269)&gt;0,
     COUNTIFS($AR$2:$AR$200,$G269)&gt;0,
     COUNTIFS($AS$2:$AS$200,$G269)&gt;0,
     COUNTIFS($AT$2:$AT$200,$G269)&gt;0,
     COUNTIFS($AU$2:$AU$200,$G269)&gt;0,
     COUNTIFS($AV$2:$AV$200,$G269)&gt;0,
     COUNTIFS($AW$2:$AW$200,$G269)&gt;0,
     COUNTIFS($AX$2:$AX$200,$G269)&gt;0,
     COUNTIFS($AY$2:$AY$200,$G269)&gt;0
   )),
  ),
  4
 ),
"")</f>
        <v/>
      </c>
      <c r="G269" t="str">
        <f ca="1"/>
        <v>Mask of Griselbrand</v>
      </c>
      <c r="EU269" t="str">
        <f ca="1"/>
        <v>Signal the Clans</v>
      </c>
      <c r="EX269" t="str">
        <f ca="1"/>
        <v>Mask of Griselbrand</v>
      </c>
    </row>
    <row r="270" spans="1:154" x14ac:dyDescent="0.25">
      <c r="A270" s="2" t="str">
        <f t="shared" ca="1" si="14"/>
        <v>5</v>
      </c>
      <c r="B270" s="2">
        <f t="shared" ca="1" si="15"/>
        <v>1</v>
      </c>
      <c r="C270" s="2" t="str">
        <f ca="1">IFERROR(
 INDEX($V$1:$BL$1,
  MATCH(TRUE,
   CHOOSE({1;2;3;4;5;6;7;8;9;10;11;12;13;14;15;16;17;18;19;20;21;22;23;24;25;26;27;28;29;30;31;32;33;34;35;36;37;38;39;40;41;42;43},
    COUNTIFS($V$2:$V$200,$G270)&gt;0,
    COUNTIFS($W$2:$W$200,$G270)&gt;0,
    COUNTIFS($X$2:$X$200,$G270)&gt;0,
    COUNTIFS($Y$2:$Y$200,$G270)&gt;0,
    COUNTIFS($Z$2:$Z$200,$G270)&gt;0,
    COUNTIFS($AA$2:$AA$200,$G270)&gt;0,
    COUNTIFS($AB$2:$AB$200,$G270)&gt;0,
    COUNTIFS($AC$2:$AC$200,$G270)&gt;0,
    COUNTIFS($AD$2:$AD$200,$G270)&gt;0,
    COUNTIFS($AE$2:$AE$200,$G270)&gt;0,
    COUNTIFS($AF$2:$AF$200,$G270)&gt;0,
    COUNTIFS($AG$2:$AG$200,$G270)&gt;0,
    COUNTIFS($AH$2:$AH$200,$G270)&gt;0,
    COUNTIFS($AI$2:$AI$200,$G270)&gt;0,
    COUNTIFS($AJ$2:$AJ$200,$G270)&gt;0,
    COUNTIFS($AK$2:$AK$200,$G270)&gt;0,
    COUNTIFS($AL$2:$AL$200,$G270)&gt;0,
    COUNTIFS($AM$2:$AM$200,$G270)&gt;0,
    COUNTIFS($AN$2:$AN$200,$G270)&gt;0,
    COUNTIFS($AO$2:$AO$200,$G270)&gt;0,
    COUNTIFS($AP$2:$AP$200,$G270)&gt;0,
    COUNTIFS($AQ$2:$AQ$200,$G270)&gt;0,
    COUNTIFS($AR$2:$AR$200,$G270)&gt;0,
    COUNTIFS($AS$2:$AS$200,$G270)&gt;0,
    COUNTIFS($AT$2:$AT$200,$G270)&gt;0,
    COUNTIFS($AU$2:$AU$200,$G270)&gt;0,
    COUNTIFS($AV$2:$AV$200,$G270)&gt;0,
    COUNTIFS($AW$2:$AW$200,$G270)&gt;0,
    COUNTIFS($AX$2:$AX$200,$G270)&gt;0,
    COUNTIFS($AY$2:$AY$200,$G270)&gt;0,
    COUNTIFS($AZ$2:$AZ$200,$G270)&gt;0,
    COUNTIFS($BA$2:$BA$200,$G270)&gt;0,
    COUNTIFS($BB$2:$BB$200,$G270)&gt;0,
    COUNTIFS($BC$2:$BC$200,$G270)&gt;0,
    COUNTIFS($BD$2:$BD$200,$G270)&gt;0,
    COUNTIFS($BE$2:$BE$200,$G270)&gt;0,
    COUNTIFS($BF$2:$BF$200,$G270)&gt;0,
    COUNTIFS($BG$2:$BG$200,$G270)&gt;0,
    COUNTIFS($BH$2:$BH$200,$G270)&gt;0,
    COUNTIFS($BI$2:$BI$200,$G270)&gt;0,
    COUNTIFS($BJ$2:$BJ$200,$G270)&gt;0,
    COUNTIFS($BK$2:$BK$200,$G270)&gt;0,
    COUNTIFS($BL$2:$BL$200,$G270)&gt;0,
    COUNTIFS($BM$2:$BM$200,$G270)&gt;0,
   ),
  0)
 ),
"")</f>
        <v>Zuko</v>
      </c>
      <c r="D270" s="2" t="str" cm="1">
        <f t="array" aca="1" ref="D270" ca="1">IFERROR(
 INDEX(
  _xlfn._xlws.FILTER($V$1:$AY$1,
   TRANSPOSE(
    CHOOSE({1;2;3;4;5;6;7;8;9;10;11;12;13;14;15;16;17;18;19;20;21;22;23;24;25;26;27;28;29;30},
     COUNTIFS($V$2:$V$200,$G270)&gt;0,
     COUNTIFS($W$2:$W$200,$G270)&gt;0,
     COUNTIFS($X$2:$X$200,$G270)&gt;0,
     COUNTIFS($Y$2:$Y$200,$G270)&gt;0,
     COUNTIFS($Z$2:$Z$200,$G270)&gt;0,
     COUNTIFS($AA$2:$AA$200,$G270)&gt;0,
     COUNTIFS($AB$2:$AB$200,$G270)&gt;0,
     COUNTIFS($AC$2:$AC$200,$G270)&gt;0,
     COUNTIFS($AD$2:$AD$200,$G270)&gt;0,
     COUNTIFS($AE$2:$AE$200,$G270)&gt;0,
     COUNTIFS($AF$2:$AF$200,$G270)&gt;0,
     COUNTIFS($AG$2:$AG$200,$G270)&gt;0,
     COUNTIFS($AH$2:$AH$200,$G270)&gt;0,
     COUNTIFS($AI$2:$AI$200,$G270)&gt;0,
     COUNTIFS($AJ$2:$AJ$200,$G270)&gt;0,
     COUNTIFS($AK$2:$AK$200,$G270)&gt;0,
     COUNTIFS($AL$2:$AL$200,$G270)&gt;0,
     COUNTIFS($AM$2:$AM$200,$G270)&gt;0,
     COUNTIFS($AN$2:$AN$200,$G270)&gt;0,
     COUNTIFS($AO$2:$AO$200,$G270)&gt;0,
     COUNTIFS($AP$2:$AP$200,$G270)&gt;0,
     COUNTIFS($AQ$2:$AQ$200,$G270)&gt;0,
     COUNTIFS($AR$2:$AR$200,$G270)&gt;0,
     COUNTIFS($AS$2:$AS$200,$G270)&gt;0,
     COUNTIFS($AT$2:$AT$200,$G270)&gt;0,
     COUNTIFS($AU$2:$AU$200,$G270)&gt;0,
     COUNTIFS($AV$2:$AV$200,$G270)&gt;0,
     COUNTIFS($AW$2:$AW$200,$G270)&gt;0,
     COUNTIFS($AX$2:$AX$200,$G270)&gt;0,
     COUNTIFS($AY$2:$AY$200,$G270)&gt;0
   )),
  ),
  2
 ),
"")</f>
        <v/>
      </c>
      <c r="E270" s="2" t="str" cm="1">
        <f t="array" aca="1" ref="E270" ca="1">IFERROR(
 INDEX(
  _xlfn._xlws.FILTER($V$1:$AY$1,
   TRANSPOSE(
    CHOOSE({1;2;3;4;5;6;7;8;9;10;11;12;13;14;15;16;17;18;19;20;21;22;23;24;25;26;27;28;29;30},
     COUNTIFS($V$2:$V$200,$G270)&gt;0,
     COUNTIFS($W$2:$W$200,$G270)&gt;0,
     COUNTIFS($X$2:$X$200,$G270)&gt;0,
     COUNTIFS($Y$2:$Y$200,$G270)&gt;0,
     COUNTIFS($Z$2:$Z$200,$G270)&gt;0,
     COUNTIFS($AA$2:$AA$200,$G270)&gt;0,
     COUNTIFS($AB$2:$AB$200,$G270)&gt;0,
     COUNTIFS($AC$2:$AC$200,$G270)&gt;0,
     COUNTIFS($AD$2:$AD$200,$G270)&gt;0,
     COUNTIFS($AE$2:$AE$200,$G270)&gt;0,
     COUNTIFS($AF$2:$AF$200,$G270)&gt;0,
     COUNTIFS($AG$2:$AG$200,$G270)&gt;0,
     COUNTIFS($AH$2:$AH$200,$G270)&gt;0,
     COUNTIFS($AI$2:$AI$200,$G270)&gt;0,
     COUNTIFS($AJ$2:$AJ$200,$G270)&gt;0,
     COUNTIFS($AK$2:$AK$200,$G270)&gt;0,
     COUNTIFS($AL$2:$AL$200,$G270)&gt;0,
     COUNTIFS($AM$2:$AM$200,$G270)&gt;0,
     COUNTIFS($AN$2:$AN$200,$G270)&gt;0,
     COUNTIFS($AO$2:$AO$200,$G270)&gt;0,
     COUNTIFS($AP$2:$AP$200,$G270)&gt;0,
     COUNTIFS($AQ$2:$AQ$200,$G270)&gt;0,
     COUNTIFS($AR$2:$AR$200,$G270)&gt;0,
     COUNTIFS($AS$2:$AS$200,$G270)&gt;0,
     COUNTIFS($AT$2:$AT$200,$G270)&gt;0,
     COUNTIFS($AU$2:$AU$200,$G270)&gt;0,
     COUNTIFS($AV$2:$AV$200,$G270)&gt;0,
     COUNTIFS($AW$2:$AW$200,$G270)&gt;0,
     COUNTIFS($AX$2:$AX$200,$G270)&gt;0,
     COUNTIFS($AY$2:$AY$200,$G270)&gt;0
   )),
  ),
  3
 ),
"")</f>
        <v/>
      </c>
      <c r="F270" s="2" t="str" cm="1">
        <f t="array" aca="1" ref="F270" ca="1">IFERROR(
 INDEX(
  _xlfn._xlws.FILTER($V$1:$AY$1,
   TRANSPOSE(
    CHOOSE({1;2;3;4;5;6;7;8;9;10;11;12;13;14;15;16;17;18;19;20;21;22;23;24;25;26;27;28;29;30},
     COUNTIFS($V$2:$V$200,$G270)&gt;0,
     COUNTIFS($W$2:$W$200,$G270)&gt;0,
     COUNTIFS($X$2:$X$200,$G270)&gt;0,
     COUNTIFS($Y$2:$Y$200,$G270)&gt;0,
     COUNTIFS($Z$2:$Z$200,$G270)&gt;0,
     COUNTIFS($AA$2:$AA$200,$G270)&gt;0,
     COUNTIFS($AB$2:$AB$200,$G270)&gt;0,
     COUNTIFS($AC$2:$AC$200,$G270)&gt;0,
     COUNTIFS($AD$2:$AD$200,$G270)&gt;0,
     COUNTIFS($AE$2:$AE$200,$G270)&gt;0,
     COUNTIFS($AF$2:$AF$200,$G270)&gt;0,
     COUNTIFS($AG$2:$AG$200,$G270)&gt;0,
     COUNTIFS($AH$2:$AH$200,$G270)&gt;0,
     COUNTIFS($AI$2:$AI$200,$G270)&gt;0,
     COUNTIFS($AJ$2:$AJ$200,$G270)&gt;0,
     COUNTIFS($AK$2:$AK$200,$G270)&gt;0,
     COUNTIFS($AL$2:$AL$200,$G270)&gt;0,
     COUNTIFS($AM$2:$AM$200,$G270)&gt;0,
     COUNTIFS($AN$2:$AN$200,$G270)&gt;0,
     COUNTIFS($AO$2:$AO$200,$G270)&gt;0,
     COUNTIFS($AP$2:$AP$200,$G270)&gt;0,
     COUNTIFS($AQ$2:$AQ$200,$G270)&gt;0,
     COUNTIFS($AR$2:$AR$200,$G270)&gt;0,
     COUNTIFS($AS$2:$AS$200,$G270)&gt;0,
     COUNTIFS($AT$2:$AT$200,$G270)&gt;0,
     COUNTIFS($AU$2:$AU$200,$G270)&gt;0,
     COUNTIFS($AV$2:$AV$200,$G270)&gt;0,
     COUNTIFS($AW$2:$AW$200,$G270)&gt;0,
     COUNTIFS($AX$2:$AX$200,$G270)&gt;0,
     COUNTIFS($AY$2:$AY$200,$G270)&gt;0
   )),
  ),
  4
 ),
"")</f>
        <v/>
      </c>
      <c r="G270" t="str">
        <f ca="1"/>
        <v>Merchant of Truth</v>
      </c>
      <c r="EU270" t="str">
        <f ca="1"/>
        <v>Sinew Sliver</v>
      </c>
      <c r="EX270" t="str">
        <f ca="1"/>
        <v>Merchant of Truth</v>
      </c>
    </row>
    <row r="271" spans="1:154" x14ac:dyDescent="0.25">
      <c r="A271" s="2" t="str">
        <f t="shared" ca="1" si="14"/>
        <v>3</v>
      </c>
      <c r="B271" s="2">
        <f t="shared" ca="1" si="15"/>
        <v>1</v>
      </c>
      <c r="C271" s="2" t="str">
        <f ca="1">IFERROR(
 INDEX($V$1:$BL$1,
  MATCH(TRUE,
   CHOOSE({1;2;3;4;5;6;7;8;9;10;11;12;13;14;15;16;17;18;19;20;21;22;23;24;25;26;27;28;29;30;31;32;33;34;35;36;37;38;39;40;41;42;43},
    COUNTIFS($V$2:$V$200,$G271)&gt;0,
    COUNTIFS($W$2:$W$200,$G271)&gt;0,
    COUNTIFS($X$2:$X$200,$G271)&gt;0,
    COUNTIFS($Y$2:$Y$200,$G271)&gt;0,
    COUNTIFS($Z$2:$Z$200,$G271)&gt;0,
    COUNTIFS($AA$2:$AA$200,$G271)&gt;0,
    COUNTIFS($AB$2:$AB$200,$G271)&gt;0,
    COUNTIFS($AC$2:$AC$200,$G271)&gt;0,
    COUNTIFS($AD$2:$AD$200,$G271)&gt;0,
    COUNTIFS($AE$2:$AE$200,$G271)&gt;0,
    COUNTIFS($AF$2:$AF$200,$G271)&gt;0,
    COUNTIFS($AG$2:$AG$200,$G271)&gt;0,
    COUNTIFS($AH$2:$AH$200,$G271)&gt;0,
    COUNTIFS($AI$2:$AI$200,$G271)&gt;0,
    COUNTIFS($AJ$2:$AJ$200,$G271)&gt;0,
    COUNTIFS($AK$2:$AK$200,$G271)&gt;0,
    COUNTIFS($AL$2:$AL$200,$G271)&gt;0,
    COUNTIFS($AM$2:$AM$200,$G271)&gt;0,
    COUNTIFS($AN$2:$AN$200,$G271)&gt;0,
    COUNTIFS($AO$2:$AO$200,$G271)&gt;0,
    COUNTIFS($AP$2:$AP$200,$G271)&gt;0,
    COUNTIFS($AQ$2:$AQ$200,$G271)&gt;0,
    COUNTIFS($AR$2:$AR$200,$G271)&gt;0,
    COUNTIFS($AS$2:$AS$200,$G271)&gt;0,
    COUNTIFS($AT$2:$AT$200,$G271)&gt;0,
    COUNTIFS($AU$2:$AU$200,$G271)&gt;0,
    COUNTIFS($AV$2:$AV$200,$G271)&gt;0,
    COUNTIFS($AW$2:$AW$200,$G271)&gt;0,
    COUNTIFS($AX$2:$AX$200,$G271)&gt;0,
    COUNTIFS($AY$2:$AY$200,$G271)&gt;0,
    COUNTIFS($AZ$2:$AZ$200,$G271)&gt;0,
    COUNTIFS($BA$2:$BA$200,$G271)&gt;0,
    COUNTIFS($BB$2:$BB$200,$G271)&gt;0,
    COUNTIFS($BC$2:$BC$200,$G271)&gt;0,
    COUNTIFS($BD$2:$BD$200,$G271)&gt;0,
    COUNTIFS($BE$2:$BE$200,$G271)&gt;0,
    COUNTIFS($BF$2:$BF$200,$G271)&gt;0,
    COUNTIFS($BG$2:$BG$200,$G271)&gt;0,
    COUNTIFS($BH$2:$BH$200,$G271)&gt;0,
    COUNTIFS($BI$2:$BI$200,$G271)&gt;0,
    COUNTIFS($BJ$2:$BJ$200,$G271)&gt;0,
    COUNTIFS($BK$2:$BK$200,$G271)&gt;0,
    COUNTIFS($BL$2:$BL$200,$G271)&gt;0,
    COUNTIFS($BM$2:$BM$200,$G271)&gt;0,
   ),
  0)
 ),
"")</f>
        <v>Kumena</v>
      </c>
      <c r="D271" s="2" t="str" cm="1">
        <f t="array" aca="1" ref="D271" ca="1">IFERROR(
 INDEX(
  _xlfn._xlws.FILTER($V$1:$AY$1,
   TRANSPOSE(
    CHOOSE({1;2;3;4;5;6;7;8;9;10;11;12;13;14;15;16;17;18;19;20;21;22;23;24;25;26;27;28;29;30},
     COUNTIFS($V$2:$V$200,$G271)&gt;0,
     COUNTIFS($W$2:$W$200,$G271)&gt;0,
     COUNTIFS($X$2:$X$200,$G271)&gt;0,
     COUNTIFS($Y$2:$Y$200,$G271)&gt;0,
     COUNTIFS($Z$2:$Z$200,$G271)&gt;0,
     COUNTIFS($AA$2:$AA$200,$G271)&gt;0,
     COUNTIFS($AB$2:$AB$200,$G271)&gt;0,
     COUNTIFS($AC$2:$AC$200,$G271)&gt;0,
     COUNTIFS($AD$2:$AD$200,$G271)&gt;0,
     COUNTIFS($AE$2:$AE$200,$G271)&gt;0,
     COUNTIFS($AF$2:$AF$200,$G271)&gt;0,
     COUNTIFS($AG$2:$AG$200,$G271)&gt;0,
     COUNTIFS($AH$2:$AH$200,$G271)&gt;0,
     COUNTIFS($AI$2:$AI$200,$G271)&gt;0,
     COUNTIFS($AJ$2:$AJ$200,$G271)&gt;0,
     COUNTIFS($AK$2:$AK$200,$G271)&gt;0,
     COUNTIFS($AL$2:$AL$200,$G271)&gt;0,
     COUNTIFS($AM$2:$AM$200,$G271)&gt;0,
     COUNTIFS($AN$2:$AN$200,$G271)&gt;0,
     COUNTIFS($AO$2:$AO$200,$G271)&gt;0,
     COUNTIFS($AP$2:$AP$200,$G271)&gt;0,
     COUNTIFS($AQ$2:$AQ$200,$G271)&gt;0,
     COUNTIFS($AR$2:$AR$200,$G271)&gt;0,
     COUNTIFS($AS$2:$AS$200,$G271)&gt;0,
     COUNTIFS($AT$2:$AT$200,$G271)&gt;0,
     COUNTIFS($AU$2:$AU$200,$G271)&gt;0,
     COUNTIFS($AV$2:$AV$200,$G271)&gt;0,
     COUNTIFS($AW$2:$AW$200,$G271)&gt;0,
     COUNTIFS($AX$2:$AX$200,$G271)&gt;0,
     COUNTIFS($AY$2:$AY$200,$G271)&gt;0
   )),
  ),
  2
 ),
"")</f>
        <v/>
      </c>
      <c r="E271" s="2" t="str" cm="1">
        <f t="array" aca="1" ref="E271" ca="1">IFERROR(
 INDEX(
  _xlfn._xlws.FILTER($V$1:$AY$1,
   TRANSPOSE(
    CHOOSE({1;2;3;4;5;6;7;8;9;10;11;12;13;14;15;16;17;18;19;20;21;22;23;24;25;26;27;28;29;30},
     COUNTIFS($V$2:$V$200,$G271)&gt;0,
     COUNTIFS($W$2:$W$200,$G271)&gt;0,
     COUNTIFS($X$2:$X$200,$G271)&gt;0,
     COUNTIFS($Y$2:$Y$200,$G271)&gt;0,
     COUNTIFS($Z$2:$Z$200,$G271)&gt;0,
     COUNTIFS($AA$2:$AA$200,$G271)&gt;0,
     COUNTIFS($AB$2:$AB$200,$G271)&gt;0,
     COUNTIFS($AC$2:$AC$200,$G271)&gt;0,
     COUNTIFS($AD$2:$AD$200,$G271)&gt;0,
     COUNTIFS($AE$2:$AE$200,$G271)&gt;0,
     COUNTIFS($AF$2:$AF$200,$G271)&gt;0,
     COUNTIFS($AG$2:$AG$200,$G271)&gt;0,
     COUNTIFS($AH$2:$AH$200,$G271)&gt;0,
     COUNTIFS($AI$2:$AI$200,$G271)&gt;0,
     COUNTIFS($AJ$2:$AJ$200,$G271)&gt;0,
     COUNTIFS($AK$2:$AK$200,$G271)&gt;0,
     COUNTIFS($AL$2:$AL$200,$G271)&gt;0,
     COUNTIFS($AM$2:$AM$200,$G271)&gt;0,
     COUNTIFS($AN$2:$AN$200,$G271)&gt;0,
     COUNTIFS($AO$2:$AO$200,$G271)&gt;0,
     COUNTIFS($AP$2:$AP$200,$G271)&gt;0,
     COUNTIFS($AQ$2:$AQ$200,$G271)&gt;0,
     COUNTIFS($AR$2:$AR$200,$G271)&gt;0,
     COUNTIFS($AS$2:$AS$200,$G271)&gt;0,
     COUNTIFS($AT$2:$AT$200,$G271)&gt;0,
     COUNTIFS($AU$2:$AU$200,$G271)&gt;0,
     COUNTIFS($AV$2:$AV$200,$G271)&gt;0,
     COUNTIFS($AW$2:$AW$200,$G271)&gt;0,
     COUNTIFS($AX$2:$AX$200,$G271)&gt;0,
     COUNTIFS($AY$2:$AY$200,$G271)&gt;0
   )),
  ),
  3
 ),
"")</f>
        <v/>
      </c>
      <c r="F271" s="2" t="str" cm="1">
        <f t="array" aca="1" ref="F271" ca="1">IFERROR(
 INDEX(
  _xlfn._xlws.FILTER($V$1:$AY$1,
   TRANSPOSE(
    CHOOSE({1;2;3;4;5;6;7;8;9;10;11;12;13;14;15;16;17;18;19;20;21;22;23;24;25;26;27;28;29;30},
     COUNTIFS($V$2:$V$200,$G271)&gt;0,
     COUNTIFS($W$2:$W$200,$G271)&gt;0,
     COUNTIFS($X$2:$X$200,$G271)&gt;0,
     COUNTIFS($Y$2:$Y$200,$G271)&gt;0,
     COUNTIFS($Z$2:$Z$200,$G271)&gt;0,
     COUNTIFS($AA$2:$AA$200,$G271)&gt;0,
     COUNTIFS($AB$2:$AB$200,$G271)&gt;0,
     COUNTIFS($AC$2:$AC$200,$G271)&gt;0,
     COUNTIFS($AD$2:$AD$200,$G271)&gt;0,
     COUNTIFS($AE$2:$AE$200,$G271)&gt;0,
     COUNTIFS($AF$2:$AF$200,$G271)&gt;0,
     COUNTIFS($AG$2:$AG$200,$G271)&gt;0,
     COUNTIFS($AH$2:$AH$200,$G271)&gt;0,
     COUNTIFS($AI$2:$AI$200,$G271)&gt;0,
     COUNTIFS($AJ$2:$AJ$200,$G271)&gt;0,
     COUNTIFS($AK$2:$AK$200,$G271)&gt;0,
     COUNTIFS($AL$2:$AL$200,$G271)&gt;0,
     COUNTIFS($AM$2:$AM$200,$G271)&gt;0,
     COUNTIFS($AN$2:$AN$200,$G271)&gt;0,
     COUNTIFS($AO$2:$AO$200,$G271)&gt;0,
     COUNTIFS($AP$2:$AP$200,$G271)&gt;0,
     COUNTIFS($AQ$2:$AQ$200,$G271)&gt;0,
     COUNTIFS($AR$2:$AR$200,$G271)&gt;0,
     COUNTIFS($AS$2:$AS$200,$G271)&gt;0,
     COUNTIFS($AT$2:$AT$200,$G271)&gt;0,
     COUNTIFS($AU$2:$AU$200,$G271)&gt;0,
     COUNTIFS($AV$2:$AV$200,$G271)&gt;0,
     COUNTIFS($AW$2:$AW$200,$G271)&gt;0,
     COUNTIFS($AX$2:$AX$200,$G271)&gt;0,
     COUNTIFS($AY$2:$AY$200,$G271)&gt;0
   )),
  ),
  4
 ),
"")</f>
        <v/>
      </c>
      <c r="G271" t="str">
        <f ca="1"/>
        <v>Merrow Commerce</v>
      </c>
      <c r="EU271" t="str">
        <f ca="1"/>
        <v>Sink into Stupor</v>
      </c>
      <c r="EX271" t="str">
        <f ca="1"/>
        <v>Merrow Commerce</v>
      </c>
    </row>
    <row r="272" spans="1:154" x14ac:dyDescent="0.25">
      <c r="A272" s="2" t="str">
        <f t="shared" ca="1" si="14"/>
        <v>3</v>
      </c>
      <c r="B272" s="2">
        <f t="shared" ca="1" si="15"/>
        <v>1</v>
      </c>
      <c r="C272" s="2" t="str">
        <f ca="1">IFERROR(
 INDEX($V$1:$BL$1,
  MATCH(TRUE,
   CHOOSE({1;2;3;4;5;6;7;8;9;10;11;12;13;14;15;16;17;18;19;20;21;22;23;24;25;26;27;28;29;30;31;32;33;34;35;36;37;38;39;40;41;42;43},
    COUNTIFS($V$2:$V$200,$G272)&gt;0,
    COUNTIFS($W$2:$W$200,$G272)&gt;0,
    COUNTIFS($X$2:$X$200,$G272)&gt;0,
    COUNTIFS($Y$2:$Y$200,$G272)&gt;0,
    COUNTIFS($Z$2:$Z$200,$G272)&gt;0,
    COUNTIFS($AA$2:$AA$200,$G272)&gt;0,
    COUNTIFS($AB$2:$AB$200,$G272)&gt;0,
    COUNTIFS($AC$2:$AC$200,$G272)&gt;0,
    COUNTIFS($AD$2:$AD$200,$G272)&gt;0,
    COUNTIFS($AE$2:$AE$200,$G272)&gt;0,
    COUNTIFS($AF$2:$AF$200,$G272)&gt;0,
    COUNTIFS($AG$2:$AG$200,$G272)&gt;0,
    COUNTIFS($AH$2:$AH$200,$G272)&gt;0,
    COUNTIFS($AI$2:$AI$200,$G272)&gt;0,
    COUNTIFS($AJ$2:$AJ$200,$G272)&gt;0,
    COUNTIFS($AK$2:$AK$200,$G272)&gt;0,
    COUNTIFS($AL$2:$AL$200,$G272)&gt;0,
    COUNTIFS($AM$2:$AM$200,$G272)&gt;0,
    COUNTIFS($AN$2:$AN$200,$G272)&gt;0,
    COUNTIFS($AO$2:$AO$200,$G272)&gt;0,
    COUNTIFS($AP$2:$AP$200,$G272)&gt;0,
    COUNTIFS($AQ$2:$AQ$200,$G272)&gt;0,
    COUNTIFS($AR$2:$AR$200,$G272)&gt;0,
    COUNTIFS($AS$2:$AS$200,$G272)&gt;0,
    COUNTIFS($AT$2:$AT$200,$G272)&gt;0,
    COUNTIFS($AU$2:$AU$200,$G272)&gt;0,
    COUNTIFS($AV$2:$AV$200,$G272)&gt;0,
    COUNTIFS($AW$2:$AW$200,$G272)&gt;0,
    COUNTIFS($AX$2:$AX$200,$G272)&gt;0,
    COUNTIFS($AY$2:$AY$200,$G272)&gt;0,
    COUNTIFS($AZ$2:$AZ$200,$G272)&gt;0,
    COUNTIFS($BA$2:$BA$200,$G272)&gt;0,
    COUNTIFS($BB$2:$BB$200,$G272)&gt;0,
    COUNTIFS($BC$2:$BC$200,$G272)&gt;0,
    COUNTIFS($BD$2:$BD$200,$G272)&gt;0,
    COUNTIFS($BE$2:$BE$200,$G272)&gt;0,
    COUNTIFS($BF$2:$BF$200,$G272)&gt;0,
    COUNTIFS($BG$2:$BG$200,$G272)&gt;0,
    COUNTIFS($BH$2:$BH$200,$G272)&gt;0,
    COUNTIFS($BI$2:$BI$200,$G272)&gt;0,
    COUNTIFS($BJ$2:$BJ$200,$G272)&gt;0,
    COUNTIFS($BK$2:$BK$200,$G272)&gt;0,
    COUNTIFS($BL$2:$BL$200,$G272)&gt;0,
    COUNTIFS($BM$2:$BM$200,$G272)&gt;0,
   ),
  0)
 ),
"")</f>
        <v>Kumena</v>
      </c>
      <c r="D272" s="2" t="str" cm="1">
        <f t="array" aca="1" ref="D272" ca="1">IFERROR(
 INDEX(
  _xlfn._xlws.FILTER($V$1:$AY$1,
   TRANSPOSE(
    CHOOSE({1;2;3;4;5;6;7;8;9;10;11;12;13;14;15;16;17;18;19;20;21;22;23;24;25;26;27;28;29;30},
     COUNTIFS($V$2:$V$200,$G272)&gt;0,
     COUNTIFS($W$2:$W$200,$G272)&gt;0,
     COUNTIFS($X$2:$X$200,$G272)&gt;0,
     COUNTIFS($Y$2:$Y$200,$G272)&gt;0,
     COUNTIFS($Z$2:$Z$200,$G272)&gt;0,
     COUNTIFS($AA$2:$AA$200,$G272)&gt;0,
     COUNTIFS($AB$2:$AB$200,$G272)&gt;0,
     COUNTIFS($AC$2:$AC$200,$G272)&gt;0,
     COUNTIFS($AD$2:$AD$200,$G272)&gt;0,
     COUNTIFS($AE$2:$AE$200,$G272)&gt;0,
     COUNTIFS($AF$2:$AF$200,$G272)&gt;0,
     COUNTIFS($AG$2:$AG$200,$G272)&gt;0,
     COUNTIFS($AH$2:$AH$200,$G272)&gt;0,
     COUNTIFS($AI$2:$AI$200,$G272)&gt;0,
     COUNTIFS($AJ$2:$AJ$200,$G272)&gt;0,
     COUNTIFS($AK$2:$AK$200,$G272)&gt;0,
     COUNTIFS($AL$2:$AL$200,$G272)&gt;0,
     COUNTIFS($AM$2:$AM$200,$G272)&gt;0,
     COUNTIFS($AN$2:$AN$200,$G272)&gt;0,
     COUNTIFS($AO$2:$AO$200,$G272)&gt;0,
     COUNTIFS($AP$2:$AP$200,$G272)&gt;0,
     COUNTIFS($AQ$2:$AQ$200,$G272)&gt;0,
     COUNTIFS($AR$2:$AR$200,$G272)&gt;0,
     COUNTIFS($AS$2:$AS$200,$G272)&gt;0,
     COUNTIFS($AT$2:$AT$200,$G272)&gt;0,
     COUNTIFS($AU$2:$AU$200,$G272)&gt;0,
     COUNTIFS($AV$2:$AV$200,$G272)&gt;0,
     COUNTIFS($AW$2:$AW$200,$G272)&gt;0,
     COUNTIFS($AX$2:$AX$200,$G272)&gt;0,
     COUNTIFS($AY$2:$AY$200,$G272)&gt;0
   )),
  ),
  2
 ),
"")</f>
        <v/>
      </c>
      <c r="E272" s="2" t="str" cm="1">
        <f t="array" aca="1" ref="E272" ca="1">IFERROR(
 INDEX(
  _xlfn._xlws.FILTER($V$1:$AY$1,
   TRANSPOSE(
    CHOOSE({1;2;3;4;5;6;7;8;9;10;11;12;13;14;15;16;17;18;19;20;21;22;23;24;25;26;27;28;29;30},
     COUNTIFS($V$2:$V$200,$G272)&gt;0,
     COUNTIFS($W$2:$W$200,$G272)&gt;0,
     COUNTIFS($X$2:$X$200,$G272)&gt;0,
     COUNTIFS($Y$2:$Y$200,$G272)&gt;0,
     COUNTIFS($Z$2:$Z$200,$G272)&gt;0,
     COUNTIFS($AA$2:$AA$200,$G272)&gt;0,
     COUNTIFS($AB$2:$AB$200,$G272)&gt;0,
     COUNTIFS($AC$2:$AC$200,$G272)&gt;0,
     COUNTIFS($AD$2:$AD$200,$G272)&gt;0,
     COUNTIFS($AE$2:$AE$200,$G272)&gt;0,
     COUNTIFS($AF$2:$AF$200,$G272)&gt;0,
     COUNTIFS($AG$2:$AG$200,$G272)&gt;0,
     COUNTIFS($AH$2:$AH$200,$G272)&gt;0,
     COUNTIFS($AI$2:$AI$200,$G272)&gt;0,
     COUNTIFS($AJ$2:$AJ$200,$G272)&gt;0,
     COUNTIFS($AK$2:$AK$200,$G272)&gt;0,
     COUNTIFS($AL$2:$AL$200,$G272)&gt;0,
     COUNTIFS($AM$2:$AM$200,$G272)&gt;0,
     COUNTIFS($AN$2:$AN$200,$G272)&gt;0,
     COUNTIFS($AO$2:$AO$200,$G272)&gt;0,
     COUNTIFS($AP$2:$AP$200,$G272)&gt;0,
     COUNTIFS($AQ$2:$AQ$200,$G272)&gt;0,
     COUNTIFS($AR$2:$AR$200,$G272)&gt;0,
     COUNTIFS($AS$2:$AS$200,$G272)&gt;0,
     COUNTIFS($AT$2:$AT$200,$G272)&gt;0,
     COUNTIFS($AU$2:$AU$200,$G272)&gt;0,
     COUNTIFS($AV$2:$AV$200,$G272)&gt;0,
     COUNTIFS($AW$2:$AW$200,$G272)&gt;0,
     COUNTIFS($AX$2:$AX$200,$G272)&gt;0,
     COUNTIFS($AY$2:$AY$200,$G272)&gt;0
   )),
  ),
  3
 ),
"")</f>
        <v/>
      </c>
      <c r="F272" s="2" t="str" cm="1">
        <f t="array" aca="1" ref="F272" ca="1">IFERROR(
 INDEX(
  _xlfn._xlws.FILTER($V$1:$AY$1,
   TRANSPOSE(
    CHOOSE({1;2;3;4;5;6;7;8;9;10;11;12;13;14;15;16;17;18;19;20;21;22;23;24;25;26;27;28;29;30},
     COUNTIFS($V$2:$V$200,$G272)&gt;0,
     COUNTIFS($W$2:$W$200,$G272)&gt;0,
     COUNTIFS($X$2:$X$200,$G272)&gt;0,
     COUNTIFS($Y$2:$Y$200,$G272)&gt;0,
     COUNTIFS($Z$2:$Z$200,$G272)&gt;0,
     COUNTIFS($AA$2:$AA$200,$G272)&gt;0,
     COUNTIFS($AB$2:$AB$200,$G272)&gt;0,
     COUNTIFS($AC$2:$AC$200,$G272)&gt;0,
     COUNTIFS($AD$2:$AD$200,$G272)&gt;0,
     COUNTIFS($AE$2:$AE$200,$G272)&gt;0,
     COUNTIFS($AF$2:$AF$200,$G272)&gt;0,
     COUNTIFS($AG$2:$AG$200,$G272)&gt;0,
     COUNTIFS($AH$2:$AH$200,$G272)&gt;0,
     COUNTIFS($AI$2:$AI$200,$G272)&gt;0,
     COUNTIFS($AJ$2:$AJ$200,$G272)&gt;0,
     COUNTIFS($AK$2:$AK$200,$G272)&gt;0,
     COUNTIFS($AL$2:$AL$200,$G272)&gt;0,
     COUNTIFS($AM$2:$AM$200,$G272)&gt;0,
     COUNTIFS($AN$2:$AN$200,$G272)&gt;0,
     COUNTIFS($AO$2:$AO$200,$G272)&gt;0,
     COUNTIFS($AP$2:$AP$200,$G272)&gt;0,
     COUNTIFS($AQ$2:$AQ$200,$G272)&gt;0,
     COUNTIFS($AR$2:$AR$200,$G272)&gt;0,
     COUNTIFS($AS$2:$AS$200,$G272)&gt;0,
     COUNTIFS($AT$2:$AT$200,$G272)&gt;0,
     COUNTIFS($AU$2:$AU$200,$G272)&gt;0,
     COUNTIFS($AV$2:$AV$200,$G272)&gt;0,
     COUNTIFS($AW$2:$AW$200,$G272)&gt;0,
     COUNTIFS($AX$2:$AX$200,$G272)&gt;0,
     COUNTIFS($AY$2:$AY$200,$G272)&gt;0
   )),
  ),
  4
 ),
"")</f>
        <v/>
      </c>
      <c r="G272" t="str">
        <f ca="1"/>
        <v>Merrow Harbinger</v>
      </c>
      <c r="EU272" t="str">
        <f ca="1"/>
        <v>Slash the Ranks</v>
      </c>
      <c r="EX272" t="str">
        <f ca="1"/>
        <v>Merrow Harbinger</v>
      </c>
    </row>
    <row r="273" spans="1:154" x14ac:dyDescent="0.25">
      <c r="A273" s="2" t="str">
        <f t="shared" ca="1" si="14"/>
        <v>5</v>
      </c>
      <c r="B273" s="2">
        <f t="shared" ca="1" si="15"/>
        <v>1</v>
      </c>
      <c r="C273" s="2" t="str">
        <f ca="1">IFERROR(
 INDEX($V$1:$BL$1,
  MATCH(TRUE,
   CHOOSE({1;2;3;4;5;6;7;8;9;10;11;12;13;14;15;16;17;18;19;20;21;22;23;24;25;26;27;28;29;30;31;32;33;34;35;36;37;38;39;40;41;42;43},
    COUNTIFS($V$2:$V$200,$G273)&gt;0,
    COUNTIFS($W$2:$W$200,$G273)&gt;0,
    COUNTIFS($X$2:$X$200,$G273)&gt;0,
    COUNTIFS($Y$2:$Y$200,$G273)&gt;0,
    COUNTIFS($Z$2:$Z$200,$G273)&gt;0,
    COUNTIFS($AA$2:$AA$200,$G273)&gt;0,
    COUNTIFS($AB$2:$AB$200,$G273)&gt;0,
    COUNTIFS($AC$2:$AC$200,$G273)&gt;0,
    COUNTIFS($AD$2:$AD$200,$G273)&gt;0,
    COUNTIFS($AE$2:$AE$200,$G273)&gt;0,
    COUNTIFS($AF$2:$AF$200,$G273)&gt;0,
    COUNTIFS($AG$2:$AG$200,$G273)&gt;0,
    COUNTIFS($AH$2:$AH$200,$G273)&gt;0,
    COUNTIFS($AI$2:$AI$200,$G273)&gt;0,
    COUNTIFS($AJ$2:$AJ$200,$G273)&gt;0,
    COUNTIFS($AK$2:$AK$200,$G273)&gt;0,
    COUNTIFS($AL$2:$AL$200,$G273)&gt;0,
    COUNTIFS($AM$2:$AM$200,$G273)&gt;0,
    COUNTIFS($AN$2:$AN$200,$G273)&gt;0,
    COUNTIFS($AO$2:$AO$200,$G273)&gt;0,
    COUNTIFS($AP$2:$AP$200,$G273)&gt;0,
    COUNTIFS($AQ$2:$AQ$200,$G273)&gt;0,
    COUNTIFS($AR$2:$AR$200,$G273)&gt;0,
    COUNTIFS($AS$2:$AS$200,$G273)&gt;0,
    COUNTIFS($AT$2:$AT$200,$G273)&gt;0,
    COUNTIFS($AU$2:$AU$200,$G273)&gt;0,
    COUNTIFS($AV$2:$AV$200,$G273)&gt;0,
    COUNTIFS($AW$2:$AW$200,$G273)&gt;0,
    COUNTIFS($AX$2:$AX$200,$G273)&gt;0,
    COUNTIFS($AY$2:$AY$200,$G273)&gt;0,
    COUNTIFS($AZ$2:$AZ$200,$G273)&gt;0,
    COUNTIFS($BA$2:$BA$200,$G273)&gt;0,
    COUNTIFS($BB$2:$BB$200,$G273)&gt;0,
    COUNTIFS($BC$2:$BC$200,$G273)&gt;0,
    COUNTIFS($BD$2:$BD$200,$G273)&gt;0,
    COUNTIFS($BE$2:$BE$200,$G273)&gt;0,
    COUNTIFS($BF$2:$BF$200,$G273)&gt;0,
    COUNTIFS($BG$2:$BG$200,$G273)&gt;0,
    COUNTIFS($BH$2:$BH$200,$G273)&gt;0,
    COUNTIFS($BI$2:$BI$200,$G273)&gt;0,
    COUNTIFS($BJ$2:$BJ$200,$G273)&gt;0,
    COUNTIFS($BK$2:$BK$200,$G273)&gt;0,
    COUNTIFS($BL$2:$BL$200,$G273)&gt;0,
    COUNTIFS($BM$2:$BM$200,$G273)&gt;0,
   ),
  0)
 ),
"")</f>
        <v>Yorion</v>
      </c>
      <c r="D273" s="2" t="str" cm="1">
        <f t="array" aca="1" ref="D273" ca="1">IFERROR(
 INDEX(
  _xlfn._xlws.FILTER($V$1:$AY$1,
   TRANSPOSE(
    CHOOSE({1;2;3;4;5;6;7;8;9;10;11;12;13;14;15;16;17;18;19;20;21;22;23;24;25;26;27;28;29;30},
     COUNTIFS($V$2:$V$200,$G273)&gt;0,
     COUNTIFS($W$2:$W$200,$G273)&gt;0,
     COUNTIFS($X$2:$X$200,$G273)&gt;0,
     COUNTIFS($Y$2:$Y$200,$G273)&gt;0,
     COUNTIFS($Z$2:$Z$200,$G273)&gt;0,
     COUNTIFS($AA$2:$AA$200,$G273)&gt;0,
     COUNTIFS($AB$2:$AB$200,$G273)&gt;0,
     COUNTIFS($AC$2:$AC$200,$G273)&gt;0,
     COUNTIFS($AD$2:$AD$200,$G273)&gt;0,
     COUNTIFS($AE$2:$AE$200,$G273)&gt;0,
     COUNTIFS($AF$2:$AF$200,$G273)&gt;0,
     COUNTIFS($AG$2:$AG$200,$G273)&gt;0,
     COUNTIFS($AH$2:$AH$200,$G273)&gt;0,
     COUNTIFS($AI$2:$AI$200,$G273)&gt;0,
     COUNTIFS($AJ$2:$AJ$200,$G273)&gt;0,
     COUNTIFS($AK$2:$AK$200,$G273)&gt;0,
     COUNTIFS($AL$2:$AL$200,$G273)&gt;0,
     COUNTIFS($AM$2:$AM$200,$G273)&gt;0,
     COUNTIFS($AN$2:$AN$200,$G273)&gt;0,
     COUNTIFS($AO$2:$AO$200,$G273)&gt;0,
     COUNTIFS($AP$2:$AP$200,$G273)&gt;0,
     COUNTIFS($AQ$2:$AQ$200,$G273)&gt;0,
     COUNTIFS($AR$2:$AR$200,$G273)&gt;0,
     COUNTIFS($AS$2:$AS$200,$G273)&gt;0,
     COUNTIFS($AT$2:$AT$200,$G273)&gt;0,
     COUNTIFS($AU$2:$AU$200,$G273)&gt;0,
     COUNTIFS($AV$2:$AV$200,$G273)&gt;0,
     COUNTIFS($AW$2:$AW$200,$G273)&gt;0,
     COUNTIFS($AX$2:$AX$200,$G273)&gt;0,
     COUNTIFS($AY$2:$AY$200,$G273)&gt;0
   )),
  ),
  2
 ),
"")</f>
        <v/>
      </c>
      <c r="E273" s="2" t="str" cm="1">
        <f t="array" aca="1" ref="E273" ca="1">IFERROR(
 INDEX(
  _xlfn._xlws.FILTER($V$1:$AY$1,
   TRANSPOSE(
    CHOOSE({1;2;3;4;5;6;7;8;9;10;11;12;13;14;15;16;17;18;19;20;21;22;23;24;25;26;27;28;29;30},
     COUNTIFS($V$2:$V$200,$G273)&gt;0,
     COUNTIFS($W$2:$W$200,$G273)&gt;0,
     COUNTIFS($X$2:$X$200,$G273)&gt;0,
     COUNTIFS($Y$2:$Y$200,$G273)&gt;0,
     COUNTIFS($Z$2:$Z$200,$G273)&gt;0,
     COUNTIFS($AA$2:$AA$200,$G273)&gt;0,
     COUNTIFS($AB$2:$AB$200,$G273)&gt;0,
     COUNTIFS($AC$2:$AC$200,$G273)&gt;0,
     COUNTIFS($AD$2:$AD$200,$G273)&gt;0,
     COUNTIFS($AE$2:$AE$200,$G273)&gt;0,
     COUNTIFS($AF$2:$AF$200,$G273)&gt;0,
     COUNTIFS($AG$2:$AG$200,$G273)&gt;0,
     COUNTIFS($AH$2:$AH$200,$G273)&gt;0,
     COUNTIFS($AI$2:$AI$200,$G273)&gt;0,
     COUNTIFS($AJ$2:$AJ$200,$G273)&gt;0,
     COUNTIFS($AK$2:$AK$200,$G273)&gt;0,
     COUNTIFS($AL$2:$AL$200,$G273)&gt;0,
     COUNTIFS($AM$2:$AM$200,$G273)&gt;0,
     COUNTIFS($AN$2:$AN$200,$G273)&gt;0,
     COUNTIFS($AO$2:$AO$200,$G273)&gt;0,
     COUNTIFS($AP$2:$AP$200,$G273)&gt;0,
     COUNTIFS($AQ$2:$AQ$200,$G273)&gt;0,
     COUNTIFS($AR$2:$AR$200,$G273)&gt;0,
     COUNTIFS($AS$2:$AS$200,$G273)&gt;0,
     COUNTIFS($AT$2:$AT$200,$G273)&gt;0,
     COUNTIFS($AU$2:$AU$200,$G273)&gt;0,
     COUNTIFS($AV$2:$AV$200,$G273)&gt;0,
     COUNTIFS($AW$2:$AW$200,$G273)&gt;0,
     COUNTIFS($AX$2:$AX$200,$G273)&gt;0,
     COUNTIFS($AY$2:$AY$200,$G273)&gt;0
   )),
  ),
  3
 ),
"")</f>
        <v/>
      </c>
      <c r="F273" s="2" t="str" cm="1">
        <f t="array" aca="1" ref="F273" ca="1">IFERROR(
 INDEX(
  _xlfn._xlws.FILTER($V$1:$AY$1,
   TRANSPOSE(
    CHOOSE({1;2;3;4;5;6;7;8;9;10;11;12;13;14;15;16;17;18;19;20;21;22;23;24;25;26;27;28;29;30},
     COUNTIFS($V$2:$V$200,$G273)&gt;0,
     COUNTIFS($W$2:$W$200,$G273)&gt;0,
     COUNTIFS($X$2:$X$200,$G273)&gt;0,
     COUNTIFS($Y$2:$Y$200,$G273)&gt;0,
     COUNTIFS($Z$2:$Z$200,$G273)&gt;0,
     COUNTIFS($AA$2:$AA$200,$G273)&gt;0,
     COUNTIFS($AB$2:$AB$200,$G273)&gt;0,
     COUNTIFS($AC$2:$AC$200,$G273)&gt;0,
     COUNTIFS($AD$2:$AD$200,$G273)&gt;0,
     COUNTIFS($AE$2:$AE$200,$G273)&gt;0,
     COUNTIFS($AF$2:$AF$200,$G273)&gt;0,
     COUNTIFS($AG$2:$AG$200,$G273)&gt;0,
     COUNTIFS($AH$2:$AH$200,$G273)&gt;0,
     COUNTIFS($AI$2:$AI$200,$G273)&gt;0,
     COUNTIFS($AJ$2:$AJ$200,$G273)&gt;0,
     COUNTIFS($AK$2:$AK$200,$G273)&gt;0,
     COUNTIFS($AL$2:$AL$200,$G273)&gt;0,
     COUNTIFS($AM$2:$AM$200,$G273)&gt;0,
     COUNTIFS($AN$2:$AN$200,$G273)&gt;0,
     COUNTIFS($AO$2:$AO$200,$G273)&gt;0,
     COUNTIFS($AP$2:$AP$200,$G273)&gt;0,
     COUNTIFS($AQ$2:$AQ$200,$G273)&gt;0,
     COUNTIFS($AR$2:$AR$200,$G273)&gt;0,
     COUNTIFS($AS$2:$AS$200,$G273)&gt;0,
     COUNTIFS($AT$2:$AT$200,$G273)&gt;0,
     COUNTIFS($AU$2:$AU$200,$G273)&gt;0,
     COUNTIFS($AV$2:$AV$200,$G273)&gt;0,
     COUNTIFS($AW$2:$AW$200,$G273)&gt;0,
     COUNTIFS($AX$2:$AX$200,$G273)&gt;0,
     COUNTIFS($AY$2:$AY$200,$G273)&gt;0
   )),
  ),
  4
 ),
"")</f>
        <v/>
      </c>
      <c r="G273" t="str">
        <f ca="1"/>
        <v>Mind Stone</v>
      </c>
      <c r="EU273" t="str">
        <f ca="1"/>
        <v>Slayers' Stronghold</v>
      </c>
      <c r="EX273" t="str">
        <f ca="1"/>
        <v>Mind Stone</v>
      </c>
    </row>
    <row r="274" spans="1:154" x14ac:dyDescent="0.25">
      <c r="A274" s="2" t="str">
        <f t="shared" ca="1" si="14"/>
        <v>2</v>
      </c>
      <c r="B274" s="2">
        <f t="shared" ca="1" si="15"/>
        <v>1</v>
      </c>
      <c r="C274" s="2" t="str">
        <f ca="1">IFERROR(
 INDEX($V$1:$BL$1,
  MATCH(TRUE,
   CHOOSE({1;2;3;4;5;6;7;8;9;10;11;12;13;14;15;16;17;18;19;20;21;22;23;24;25;26;27;28;29;30;31;32;33;34;35;36;37;38;39;40;41;42;43},
    COUNTIFS($V$2:$V$200,$G274)&gt;0,
    COUNTIFS($W$2:$W$200,$G274)&gt;0,
    COUNTIFS($X$2:$X$200,$G274)&gt;0,
    COUNTIFS($Y$2:$Y$200,$G274)&gt;0,
    COUNTIFS($Z$2:$Z$200,$G274)&gt;0,
    COUNTIFS($AA$2:$AA$200,$G274)&gt;0,
    COUNTIFS($AB$2:$AB$200,$G274)&gt;0,
    COUNTIFS($AC$2:$AC$200,$G274)&gt;0,
    COUNTIFS($AD$2:$AD$200,$G274)&gt;0,
    COUNTIFS($AE$2:$AE$200,$G274)&gt;0,
    COUNTIFS($AF$2:$AF$200,$G274)&gt;0,
    COUNTIFS($AG$2:$AG$200,$G274)&gt;0,
    COUNTIFS($AH$2:$AH$200,$G274)&gt;0,
    COUNTIFS($AI$2:$AI$200,$G274)&gt;0,
    COUNTIFS($AJ$2:$AJ$200,$G274)&gt;0,
    COUNTIFS($AK$2:$AK$200,$G274)&gt;0,
    COUNTIFS($AL$2:$AL$200,$G274)&gt;0,
    COUNTIFS($AM$2:$AM$200,$G274)&gt;0,
    COUNTIFS($AN$2:$AN$200,$G274)&gt;0,
    COUNTIFS($AO$2:$AO$200,$G274)&gt;0,
    COUNTIFS($AP$2:$AP$200,$G274)&gt;0,
    COUNTIFS($AQ$2:$AQ$200,$G274)&gt;0,
    COUNTIFS($AR$2:$AR$200,$G274)&gt;0,
    COUNTIFS($AS$2:$AS$200,$G274)&gt;0,
    COUNTIFS($AT$2:$AT$200,$G274)&gt;0,
    COUNTIFS($AU$2:$AU$200,$G274)&gt;0,
    COUNTIFS($AV$2:$AV$200,$G274)&gt;0,
    COUNTIFS($AW$2:$AW$200,$G274)&gt;0,
    COUNTIFS($AX$2:$AX$200,$G274)&gt;0,
    COUNTIFS($AY$2:$AY$200,$G274)&gt;0,
    COUNTIFS($AZ$2:$AZ$200,$G274)&gt;0,
    COUNTIFS($BA$2:$BA$200,$G274)&gt;0,
    COUNTIFS($BB$2:$BB$200,$G274)&gt;0,
    COUNTIFS($BC$2:$BC$200,$G274)&gt;0,
    COUNTIFS($BD$2:$BD$200,$G274)&gt;0,
    COUNTIFS($BE$2:$BE$200,$G274)&gt;0,
    COUNTIFS($BF$2:$BF$200,$G274)&gt;0,
    COUNTIFS($BG$2:$BG$200,$G274)&gt;0,
    COUNTIFS($BH$2:$BH$200,$G274)&gt;0,
    COUNTIFS($BI$2:$BI$200,$G274)&gt;0,
    COUNTIFS($BJ$2:$BJ$200,$G274)&gt;0,
    COUNTIFS($BK$2:$BK$200,$G274)&gt;0,
    COUNTIFS($BL$2:$BL$200,$G274)&gt;0,
    COUNTIFS($BM$2:$BM$200,$G274)&gt;0,
   ),
  0)
 ),
"")</f>
        <v>Piratas</v>
      </c>
      <c r="D274" s="2" t="str" cm="1">
        <f t="array" aca="1" ref="D274" ca="1">IFERROR(
 INDEX(
  _xlfn._xlws.FILTER($V$1:$AY$1,
   TRANSPOSE(
    CHOOSE({1;2;3;4;5;6;7;8;9;10;11;12;13;14;15;16;17;18;19;20;21;22;23;24;25;26;27;28;29;30},
     COUNTIFS($V$2:$V$200,$G274)&gt;0,
     COUNTIFS($W$2:$W$200,$G274)&gt;0,
     COUNTIFS($X$2:$X$200,$G274)&gt;0,
     COUNTIFS($Y$2:$Y$200,$G274)&gt;0,
     COUNTIFS($Z$2:$Z$200,$G274)&gt;0,
     COUNTIFS($AA$2:$AA$200,$G274)&gt;0,
     COUNTIFS($AB$2:$AB$200,$G274)&gt;0,
     COUNTIFS($AC$2:$AC$200,$G274)&gt;0,
     COUNTIFS($AD$2:$AD$200,$G274)&gt;0,
     COUNTIFS($AE$2:$AE$200,$G274)&gt;0,
     COUNTIFS($AF$2:$AF$200,$G274)&gt;0,
     COUNTIFS($AG$2:$AG$200,$G274)&gt;0,
     COUNTIFS($AH$2:$AH$200,$G274)&gt;0,
     COUNTIFS($AI$2:$AI$200,$G274)&gt;0,
     COUNTIFS($AJ$2:$AJ$200,$G274)&gt;0,
     COUNTIFS($AK$2:$AK$200,$G274)&gt;0,
     COUNTIFS($AL$2:$AL$200,$G274)&gt;0,
     COUNTIFS($AM$2:$AM$200,$G274)&gt;0,
     COUNTIFS($AN$2:$AN$200,$G274)&gt;0,
     COUNTIFS($AO$2:$AO$200,$G274)&gt;0,
     COUNTIFS($AP$2:$AP$200,$G274)&gt;0,
     COUNTIFS($AQ$2:$AQ$200,$G274)&gt;0,
     COUNTIFS($AR$2:$AR$200,$G274)&gt;0,
     COUNTIFS($AS$2:$AS$200,$G274)&gt;0,
     COUNTIFS($AT$2:$AT$200,$G274)&gt;0,
     COUNTIFS($AU$2:$AU$200,$G274)&gt;0,
     COUNTIFS($AV$2:$AV$200,$G274)&gt;0,
     COUNTIFS($AW$2:$AW$200,$G274)&gt;0,
     COUNTIFS($AX$2:$AX$200,$G274)&gt;0,
     COUNTIFS($AY$2:$AY$200,$G274)&gt;0
   )),
  ),
  2
 ),
"")</f>
        <v/>
      </c>
      <c r="E274" s="2" t="str" cm="1">
        <f t="array" aca="1" ref="E274" ca="1">IFERROR(
 INDEX(
  _xlfn._xlws.FILTER($V$1:$AY$1,
   TRANSPOSE(
    CHOOSE({1;2;3;4;5;6;7;8;9;10;11;12;13;14;15;16;17;18;19;20;21;22;23;24;25;26;27;28;29;30},
     COUNTIFS($V$2:$V$200,$G274)&gt;0,
     COUNTIFS($W$2:$W$200,$G274)&gt;0,
     COUNTIFS($X$2:$X$200,$G274)&gt;0,
     COUNTIFS($Y$2:$Y$200,$G274)&gt;0,
     COUNTIFS($Z$2:$Z$200,$G274)&gt;0,
     COUNTIFS($AA$2:$AA$200,$G274)&gt;0,
     COUNTIFS($AB$2:$AB$200,$G274)&gt;0,
     COUNTIFS($AC$2:$AC$200,$G274)&gt;0,
     COUNTIFS($AD$2:$AD$200,$G274)&gt;0,
     COUNTIFS($AE$2:$AE$200,$G274)&gt;0,
     COUNTIFS($AF$2:$AF$200,$G274)&gt;0,
     COUNTIFS($AG$2:$AG$200,$G274)&gt;0,
     COUNTIFS($AH$2:$AH$200,$G274)&gt;0,
     COUNTIFS($AI$2:$AI$200,$G274)&gt;0,
     COUNTIFS($AJ$2:$AJ$200,$G274)&gt;0,
     COUNTIFS($AK$2:$AK$200,$G274)&gt;0,
     COUNTIFS($AL$2:$AL$200,$G274)&gt;0,
     COUNTIFS($AM$2:$AM$200,$G274)&gt;0,
     COUNTIFS($AN$2:$AN$200,$G274)&gt;0,
     COUNTIFS($AO$2:$AO$200,$G274)&gt;0,
     COUNTIFS($AP$2:$AP$200,$G274)&gt;0,
     COUNTIFS($AQ$2:$AQ$200,$G274)&gt;0,
     COUNTIFS($AR$2:$AR$200,$G274)&gt;0,
     COUNTIFS($AS$2:$AS$200,$G274)&gt;0,
     COUNTIFS($AT$2:$AT$200,$G274)&gt;0,
     COUNTIFS($AU$2:$AU$200,$G274)&gt;0,
     COUNTIFS($AV$2:$AV$200,$G274)&gt;0,
     COUNTIFS($AW$2:$AW$200,$G274)&gt;0,
     COUNTIFS($AX$2:$AX$200,$G274)&gt;0,
     COUNTIFS($AY$2:$AY$200,$G274)&gt;0
   )),
  ),
  3
 ),
"")</f>
        <v/>
      </c>
      <c r="F274" s="2" t="str" cm="1">
        <f t="array" aca="1" ref="F274" ca="1">IFERROR(
 INDEX(
  _xlfn._xlws.FILTER($V$1:$AY$1,
   TRANSPOSE(
    CHOOSE({1;2;3;4;5;6;7;8;9;10;11;12;13;14;15;16;17;18;19;20;21;22;23;24;25;26;27;28;29;30},
     COUNTIFS($V$2:$V$200,$G274)&gt;0,
     COUNTIFS($W$2:$W$200,$G274)&gt;0,
     COUNTIFS($X$2:$X$200,$G274)&gt;0,
     COUNTIFS($Y$2:$Y$200,$G274)&gt;0,
     COUNTIFS($Z$2:$Z$200,$G274)&gt;0,
     COUNTIFS($AA$2:$AA$200,$G274)&gt;0,
     COUNTIFS($AB$2:$AB$200,$G274)&gt;0,
     COUNTIFS($AC$2:$AC$200,$G274)&gt;0,
     COUNTIFS($AD$2:$AD$200,$G274)&gt;0,
     COUNTIFS($AE$2:$AE$200,$G274)&gt;0,
     COUNTIFS($AF$2:$AF$200,$G274)&gt;0,
     COUNTIFS($AG$2:$AG$200,$G274)&gt;0,
     COUNTIFS($AH$2:$AH$200,$G274)&gt;0,
     COUNTIFS($AI$2:$AI$200,$G274)&gt;0,
     COUNTIFS($AJ$2:$AJ$200,$G274)&gt;0,
     COUNTIFS($AK$2:$AK$200,$G274)&gt;0,
     COUNTIFS($AL$2:$AL$200,$G274)&gt;0,
     COUNTIFS($AM$2:$AM$200,$G274)&gt;0,
     COUNTIFS($AN$2:$AN$200,$G274)&gt;0,
     COUNTIFS($AO$2:$AO$200,$G274)&gt;0,
     COUNTIFS($AP$2:$AP$200,$G274)&gt;0,
     COUNTIFS($AQ$2:$AQ$200,$G274)&gt;0,
     COUNTIFS($AR$2:$AR$200,$G274)&gt;0,
     COUNTIFS($AS$2:$AS$200,$G274)&gt;0,
     COUNTIFS($AT$2:$AT$200,$G274)&gt;0,
     COUNTIFS($AU$2:$AU$200,$G274)&gt;0,
     COUNTIFS($AV$2:$AV$200,$G274)&gt;0,
     COUNTIFS($AW$2:$AW$200,$G274)&gt;0,
     COUNTIFS($AX$2:$AX$200,$G274)&gt;0,
     COUNTIFS($AY$2:$AY$200,$G274)&gt;0
   )),
  ),
  4
 ),
"")</f>
        <v/>
      </c>
      <c r="G274" t="str">
        <f ca="1"/>
        <v>Mines of Moria</v>
      </c>
      <c r="EU274" t="str">
        <f ca="1"/>
        <v>Sliver Gravemother</v>
      </c>
      <c r="EX274" t="str">
        <f ca="1"/>
        <v>Mines of Moria</v>
      </c>
    </row>
    <row r="275" spans="1:154" x14ac:dyDescent="0.25">
      <c r="A275" s="2" t="str">
        <f t="shared" ca="1" si="14"/>
        <v>2</v>
      </c>
      <c r="B275" s="2">
        <f t="shared" ca="1" si="15"/>
        <v>1</v>
      </c>
      <c r="C275" s="2" t="str">
        <f ca="1">IFERROR(
 INDEX($V$1:$BL$1,
  MATCH(TRUE,
   CHOOSE({1;2;3;4;5;6;7;8;9;10;11;12;13;14;15;16;17;18;19;20;21;22;23;24;25;26;27;28;29;30;31;32;33;34;35;36;37;38;39;40;41;42;43},
    COUNTIFS($V$2:$V$200,$G275)&gt;0,
    COUNTIFS($W$2:$W$200,$G275)&gt;0,
    COUNTIFS($X$2:$X$200,$G275)&gt;0,
    COUNTIFS($Y$2:$Y$200,$G275)&gt;0,
    COUNTIFS($Z$2:$Z$200,$G275)&gt;0,
    COUNTIFS($AA$2:$AA$200,$G275)&gt;0,
    COUNTIFS($AB$2:$AB$200,$G275)&gt;0,
    COUNTIFS($AC$2:$AC$200,$G275)&gt;0,
    COUNTIFS($AD$2:$AD$200,$G275)&gt;0,
    COUNTIFS($AE$2:$AE$200,$G275)&gt;0,
    COUNTIFS($AF$2:$AF$200,$G275)&gt;0,
    COUNTIFS($AG$2:$AG$200,$G275)&gt;0,
    COUNTIFS($AH$2:$AH$200,$G275)&gt;0,
    COUNTIFS($AI$2:$AI$200,$G275)&gt;0,
    COUNTIFS($AJ$2:$AJ$200,$G275)&gt;0,
    COUNTIFS($AK$2:$AK$200,$G275)&gt;0,
    COUNTIFS($AL$2:$AL$200,$G275)&gt;0,
    COUNTIFS($AM$2:$AM$200,$G275)&gt;0,
    COUNTIFS($AN$2:$AN$200,$G275)&gt;0,
    COUNTIFS($AO$2:$AO$200,$G275)&gt;0,
    COUNTIFS($AP$2:$AP$200,$G275)&gt;0,
    COUNTIFS($AQ$2:$AQ$200,$G275)&gt;0,
    COUNTIFS($AR$2:$AR$200,$G275)&gt;0,
    COUNTIFS($AS$2:$AS$200,$G275)&gt;0,
    COUNTIFS($AT$2:$AT$200,$G275)&gt;0,
    COUNTIFS($AU$2:$AU$200,$G275)&gt;0,
    COUNTIFS($AV$2:$AV$200,$G275)&gt;0,
    COUNTIFS($AW$2:$AW$200,$G275)&gt;0,
    COUNTIFS($AX$2:$AX$200,$G275)&gt;0,
    COUNTIFS($AY$2:$AY$200,$G275)&gt;0,
    COUNTIFS($AZ$2:$AZ$200,$G275)&gt;0,
    COUNTIFS($BA$2:$BA$200,$G275)&gt;0,
    COUNTIFS($BB$2:$BB$200,$G275)&gt;0,
    COUNTIFS($BC$2:$BC$200,$G275)&gt;0,
    COUNTIFS($BD$2:$BD$200,$G275)&gt;0,
    COUNTIFS($BE$2:$BE$200,$G275)&gt;0,
    COUNTIFS($BF$2:$BF$200,$G275)&gt;0,
    COUNTIFS($BG$2:$BG$200,$G275)&gt;0,
    COUNTIFS($BH$2:$BH$200,$G275)&gt;0,
    COUNTIFS($BI$2:$BI$200,$G275)&gt;0,
    COUNTIFS($BJ$2:$BJ$200,$G275)&gt;0,
    COUNTIFS($BK$2:$BK$200,$G275)&gt;0,
    COUNTIFS($BL$2:$BL$200,$G275)&gt;0,
    COUNTIFS($BM$2:$BM$200,$G275)&gt;0,
   ),
  0)
 ),
"")</f>
        <v>Alela</v>
      </c>
      <c r="D275" s="2" t="str" cm="1">
        <f t="array" aca="1" ref="D275" ca="1">IFERROR(
 INDEX(
  _xlfn._xlws.FILTER($V$1:$AY$1,
   TRANSPOSE(
    CHOOSE({1;2;3;4;5;6;7;8;9;10;11;12;13;14;15;16;17;18;19;20;21;22;23;24;25;26;27;28;29;30},
     COUNTIFS($V$2:$V$200,$G275)&gt;0,
     COUNTIFS($W$2:$W$200,$G275)&gt;0,
     COUNTIFS($X$2:$X$200,$G275)&gt;0,
     COUNTIFS($Y$2:$Y$200,$G275)&gt;0,
     COUNTIFS($Z$2:$Z$200,$G275)&gt;0,
     COUNTIFS($AA$2:$AA$200,$G275)&gt;0,
     COUNTIFS($AB$2:$AB$200,$G275)&gt;0,
     COUNTIFS($AC$2:$AC$200,$G275)&gt;0,
     COUNTIFS($AD$2:$AD$200,$G275)&gt;0,
     COUNTIFS($AE$2:$AE$200,$G275)&gt;0,
     COUNTIFS($AF$2:$AF$200,$G275)&gt;0,
     COUNTIFS($AG$2:$AG$200,$G275)&gt;0,
     COUNTIFS($AH$2:$AH$200,$G275)&gt;0,
     COUNTIFS($AI$2:$AI$200,$G275)&gt;0,
     COUNTIFS($AJ$2:$AJ$200,$G275)&gt;0,
     COUNTIFS($AK$2:$AK$200,$G275)&gt;0,
     COUNTIFS($AL$2:$AL$200,$G275)&gt;0,
     COUNTIFS($AM$2:$AM$200,$G275)&gt;0,
     COUNTIFS($AN$2:$AN$200,$G275)&gt;0,
     COUNTIFS($AO$2:$AO$200,$G275)&gt;0,
     COUNTIFS($AP$2:$AP$200,$G275)&gt;0,
     COUNTIFS($AQ$2:$AQ$200,$G275)&gt;0,
     COUNTIFS($AR$2:$AR$200,$G275)&gt;0,
     COUNTIFS($AS$2:$AS$200,$G275)&gt;0,
     COUNTIFS($AT$2:$AT$200,$G275)&gt;0,
     COUNTIFS($AU$2:$AU$200,$G275)&gt;0,
     COUNTIFS($AV$2:$AV$200,$G275)&gt;0,
     COUNTIFS($AW$2:$AW$200,$G275)&gt;0,
     COUNTIFS($AX$2:$AX$200,$G275)&gt;0,
     COUNTIFS($AY$2:$AY$200,$G275)&gt;0
   )),
  ),
  2
 ),
"")</f>
        <v/>
      </c>
      <c r="E275" s="2" t="str" cm="1">
        <f t="array" aca="1" ref="E275" ca="1">IFERROR(
 INDEX(
  _xlfn._xlws.FILTER($V$1:$AY$1,
   TRANSPOSE(
    CHOOSE({1;2;3;4;5;6;7;8;9;10;11;12;13;14;15;16;17;18;19;20;21;22;23;24;25;26;27;28;29;30},
     COUNTIFS($V$2:$V$200,$G275)&gt;0,
     COUNTIFS($W$2:$W$200,$G275)&gt;0,
     COUNTIFS($X$2:$X$200,$G275)&gt;0,
     COUNTIFS($Y$2:$Y$200,$G275)&gt;0,
     COUNTIFS($Z$2:$Z$200,$G275)&gt;0,
     COUNTIFS($AA$2:$AA$200,$G275)&gt;0,
     COUNTIFS($AB$2:$AB$200,$G275)&gt;0,
     COUNTIFS($AC$2:$AC$200,$G275)&gt;0,
     COUNTIFS($AD$2:$AD$200,$G275)&gt;0,
     COUNTIFS($AE$2:$AE$200,$G275)&gt;0,
     COUNTIFS($AF$2:$AF$200,$G275)&gt;0,
     COUNTIFS($AG$2:$AG$200,$G275)&gt;0,
     COUNTIFS($AH$2:$AH$200,$G275)&gt;0,
     COUNTIFS($AI$2:$AI$200,$G275)&gt;0,
     COUNTIFS($AJ$2:$AJ$200,$G275)&gt;0,
     COUNTIFS($AK$2:$AK$200,$G275)&gt;0,
     COUNTIFS($AL$2:$AL$200,$G275)&gt;0,
     COUNTIFS($AM$2:$AM$200,$G275)&gt;0,
     COUNTIFS($AN$2:$AN$200,$G275)&gt;0,
     COUNTIFS($AO$2:$AO$200,$G275)&gt;0,
     COUNTIFS($AP$2:$AP$200,$G275)&gt;0,
     COUNTIFS($AQ$2:$AQ$200,$G275)&gt;0,
     COUNTIFS($AR$2:$AR$200,$G275)&gt;0,
     COUNTIFS($AS$2:$AS$200,$G275)&gt;0,
     COUNTIFS($AT$2:$AT$200,$G275)&gt;0,
     COUNTIFS($AU$2:$AU$200,$G275)&gt;0,
     COUNTIFS($AV$2:$AV$200,$G275)&gt;0,
     COUNTIFS($AW$2:$AW$200,$G275)&gt;0,
     COUNTIFS($AX$2:$AX$200,$G275)&gt;0,
     COUNTIFS($AY$2:$AY$200,$G275)&gt;0
   )),
  ),
  3
 ),
"")</f>
        <v/>
      </c>
      <c r="F275" s="2" t="str" cm="1">
        <f t="array" aca="1" ref="F275" ca="1">IFERROR(
 INDEX(
  _xlfn._xlws.FILTER($V$1:$AY$1,
   TRANSPOSE(
    CHOOSE({1;2;3;4;5;6;7;8;9;10;11;12;13;14;15;16;17;18;19;20;21;22;23;24;25;26;27;28;29;30},
     COUNTIFS($V$2:$V$200,$G275)&gt;0,
     COUNTIFS($W$2:$W$200,$G275)&gt;0,
     COUNTIFS($X$2:$X$200,$G275)&gt;0,
     COUNTIFS($Y$2:$Y$200,$G275)&gt;0,
     COUNTIFS($Z$2:$Z$200,$G275)&gt;0,
     COUNTIFS($AA$2:$AA$200,$G275)&gt;0,
     COUNTIFS($AB$2:$AB$200,$G275)&gt;0,
     COUNTIFS($AC$2:$AC$200,$G275)&gt;0,
     COUNTIFS($AD$2:$AD$200,$G275)&gt;0,
     COUNTIFS($AE$2:$AE$200,$G275)&gt;0,
     COUNTIFS($AF$2:$AF$200,$G275)&gt;0,
     COUNTIFS($AG$2:$AG$200,$G275)&gt;0,
     COUNTIFS($AH$2:$AH$200,$G275)&gt;0,
     COUNTIFS($AI$2:$AI$200,$G275)&gt;0,
     COUNTIFS($AJ$2:$AJ$200,$G275)&gt;0,
     COUNTIFS($AK$2:$AK$200,$G275)&gt;0,
     COUNTIFS($AL$2:$AL$200,$G275)&gt;0,
     COUNTIFS($AM$2:$AM$200,$G275)&gt;0,
     COUNTIFS($AN$2:$AN$200,$G275)&gt;0,
     COUNTIFS($AO$2:$AO$200,$G275)&gt;0,
     COUNTIFS($AP$2:$AP$200,$G275)&gt;0,
     COUNTIFS($AQ$2:$AQ$200,$G275)&gt;0,
     COUNTIFS($AR$2:$AR$200,$G275)&gt;0,
     COUNTIFS($AS$2:$AS$200,$G275)&gt;0,
     COUNTIFS($AT$2:$AT$200,$G275)&gt;0,
     COUNTIFS($AU$2:$AU$200,$G275)&gt;0,
     COUNTIFS($AV$2:$AV$200,$G275)&gt;0,
     COUNTIFS($AW$2:$AW$200,$G275)&gt;0,
     COUNTIFS($AX$2:$AX$200,$G275)&gt;0,
     COUNTIFS($AY$2:$AY$200,$G275)&gt;0
   )),
  ),
  4
 ),
"")</f>
        <v/>
      </c>
      <c r="G275" t="str">
        <f ca="1"/>
        <v>Mirror Pool</v>
      </c>
      <c r="EU275" t="str">
        <f ca="1"/>
        <v>Sliver Hive</v>
      </c>
      <c r="EX275" t="str">
        <f ca="1"/>
        <v>Mirror Pool</v>
      </c>
    </row>
    <row r="276" spans="1:154" x14ac:dyDescent="0.25">
      <c r="A276" s="2" t="str">
        <f t="shared" ca="1" si="14"/>
        <v>5</v>
      </c>
      <c r="B276" s="2">
        <f t="shared" ca="1" si="15"/>
        <v>1</v>
      </c>
      <c r="C276" s="2" t="str">
        <f ca="1">IFERROR(
 INDEX($V$1:$BL$1,
  MATCH(TRUE,
   CHOOSE({1;2;3;4;5;6;7;8;9;10;11;12;13;14;15;16;17;18;19;20;21;22;23;24;25;26;27;28;29;30;31;32;33;34;35;36;37;38;39;40;41;42;43},
    COUNTIFS($V$2:$V$200,$G276)&gt;0,
    COUNTIFS($W$2:$W$200,$G276)&gt;0,
    COUNTIFS($X$2:$X$200,$G276)&gt;0,
    COUNTIFS($Y$2:$Y$200,$G276)&gt;0,
    COUNTIFS($Z$2:$Z$200,$G276)&gt;0,
    COUNTIFS($AA$2:$AA$200,$G276)&gt;0,
    COUNTIFS($AB$2:$AB$200,$G276)&gt;0,
    COUNTIFS($AC$2:$AC$200,$G276)&gt;0,
    COUNTIFS($AD$2:$AD$200,$G276)&gt;0,
    COUNTIFS($AE$2:$AE$200,$G276)&gt;0,
    COUNTIFS($AF$2:$AF$200,$G276)&gt;0,
    COUNTIFS($AG$2:$AG$200,$G276)&gt;0,
    COUNTIFS($AH$2:$AH$200,$G276)&gt;0,
    COUNTIFS($AI$2:$AI$200,$G276)&gt;0,
    COUNTIFS($AJ$2:$AJ$200,$G276)&gt;0,
    COUNTIFS($AK$2:$AK$200,$G276)&gt;0,
    COUNTIFS($AL$2:$AL$200,$G276)&gt;0,
    COUNTIFS($AM$2:$AM$200,$G276)&gt;0,
    COUNTIFS($AN$2:$AN$200,$G276)&gt;0,
    COUNTIFS($AO$2:$AO$200,$G276)&gt;0,
    COUNTIFS($AP$2:$AP$200,$G276)&gt;0,
    COUNTIFS($AQ$2:$AQ$200,$G276)&gt;0,
    COUNTIFS($AR$2:$AR$200,$G276)&gt;0,
    COUNTIFS($AS$2:$AS$200,$G276)&gt;0,
    COUNTIFS($AT$2:$AT$200,$G276)&gt;0,
    COUNTIFS($AU$2:$AU$200,$G276)&gt;0,
    COUNTIFS($AV$2:$AV$200,$G276)&gt;0,
    COUNTIFS($AW$2:$AW$200,$G276)&gt;0,
    COUNTIFS($AX$2:$AX$200,$G276)&gt;0,
    COUNTIFS($AY$2:$AY$200,$G276)&gt;0,
    COUNTIFS($AZ$2:$AZ$200,$G276)&gt;0,
    COUNTIFS($BA$2:$BA$200,$G276)&gt;0,
    COUNTIFS($BB$2:$BB$200,$G276)&gt;0,
    COUNTIFS($BC$2:$BC$200,$G276)&gt;0,
    COUNTIFS($BD$2:$BD$200,$G276)&gt;0,
    COUNTIFS($BE$2:$BE$200,$G276)&gt;0,
    COUNTIFS($BF$2:$BF$200,$G276)&gt;0,
    COUNTIFS($BG$2:$BG$200,$G276)&gt;0,
    COUNTIFS($BH$2:$BH$200,$G276)&gt;0,
    COUNTIFS($BI$2:$BI$200,$G276)&gt;0,
    COUNTIFS($BJ$2:$BJ$200,$G276)&gt;0,
    COUNTIFS($BK$2:$BK$200,$G276)&gt;0,
    COUNTIFS($BL$2:$BL$200,$G276)&gt;0,
    COUNTIFS($BM$2:$BM$200,$G276)&gt;0,
   ),
  0)
 ),
"")</f>
        <v>Little</v>
      </c>
      <c r="D276" s="2" t="str" cm="1">
        <f t="array" aca="1" ref="D276" ca="1">IFERROR(
 INDEX(
  _xlfn._xlws.FILTER($V$1:$AY$1,
   TRANSPOSE(
    CHOOSE({1;2;3;4;5;6;7;8;9;10;11;12;13;14;15;16;17;18;19;20;21;22;23;24;25;26;27;28;29;30},
     COUNTIFS($V$2:$V$200,$G276)&gt;0,
     COUNTIFS($W$2:$W$200,$G276)&gt;0,
     COUNTIFS($X$2:$X$200,$G276)&gt;0,
     COUNTIFS($Y$2:$Y$200,$G276)&gt;0,
     COUNTIFS($Z$2:$Z$200,$G276)&gt;0,
     COUNTIFS($AA$2:$AA$200,$G276)&gt;0,
     COUNTIFS($AB$2:$AB$200,$G276)&gt;0,
     COUNTIFS($AC$2:$AC$200,$G276)&gt;0,
     COUNTIFS($AD$2:$AD$200,$G276)&gt;0,
     COUNTIFS($AE$2:$AE$200,$G276)&gt;0,
     COUNTIFS($AF$2:$AF$200,$G276)&gt;0,
     COUNTIFS($AG$2:$AG$200,$G276)&gt;0,
     COUNTIFS($AH$2:$AH$200,$G276)&gt;0,
     COUNTIFS($AI$2:$AI$200,$G276)&gt;0,
     COUNTIFS($AJ$2:$AJ$200,$G276)&gt;0,
     COUNTIFS($AK$2:$AK$200,$G276)&gt;0,
     COUNTIFS($AL$2:$AL$200,$G276)&gt;0,
     COUNTIFS($AM$2:$AM$200,$G276)&gt;0,
     COUNTIFS($AN$2:$AN$200,$G276)&gt;0,
     COUNTIFS($AO$2:$AO$200,$G276)&gt;0,
     COUNTIFS($AP$2:$AP$200,$G276)&gt;0,
     COUNTIFS($AQ$2:$AQ$200,$G276)&gt;0,
     COUNTIFS($AR$2:$AR$200,$G276)&gt;0,
     COUNTIFS($AS$2:$AS$200,$G276)&gt;0,
     COUNTIFS($AT$2:$AT$200,$G276)&gt;0,
     COUNTIFS($AU$2:$AU$200,$G276)&gt;0,
     COUNTIFS($AV$2:$AV$200,$G276)&gt;0,
     COUNTIFS($AW$2:$AW$200,$G276)&gt;0,
     COUNTIFS($AX$2:$AX$200,$G276)&gt;0,
     COUNTIFS($AY$2:$AY$200,$G276)&gt;0
   )),
  ),
  2
 ),
"")</f>
        <v/>
      </c>
      <c r="E276" s="2" t="str" cm="1">
        <f t="array" aca="1" ref="E276" ca="1">IFERROR(
 INDEX(
  _xlfn._xlws.FILTER($V$1:$AY$1,
   TRANSPOSE(
    CHOOSE({1;2;3;4;5;6;7;8;9;10;11;12;13;14;15;16;17;18;19;20;21;22;23;24;25;26;27;28;29;30},
     COUNTIFS($V$2:$V$200,$G276)&gt;0,
     COUNTIFS($W$2:$W$200,$G276)&gt;0,
     COUNTIFS($X$2:$X$200,$G276)&gt;0,
     COUNTIFS($Y$2:$Y$200,$G276)&gt;0,
     COUNTIFS($Z$2:$Z$200,$G276)&gt;0,
     COUNTIFS($AA$2:$AA$200,$G276)&gt;0,
     COUNTIFS($AB$2:$AB$200,$G276)&gt;0,
     COUNTIFS($AC$2:$AC$200,$G276)&gt;0,
     COUNTIFS($AD$2:$AD$200,$G276)&gt;0,
     COUNTIFS($AE$2:$AE$200,$G276)&gt;0,
     COUNTIFS($AF$2:$AF$200,$G276)&gt;0,
     COUNTIFS($AG$2:$AG$200,$G276)&gt;0,
     COUNTIFS($AH$2:$AH$200,$G276)&gt;0,
     COUNTIFS($AI$2:$AI$200,$G276)&gt;0,
     COUNTIFS($AJ$2:$AJ$200,$G276)&gt;0,
     COUNTIFS($AK$2:$AK$200,$G276)&gt;0,
     COUNTIFS($AL$2:$AL$200,$G276)&gt;0,
     COUNTIFS($AM$2:$AM$200,$G276)&gt;0,
     COUNTIFS($AN$2:$AN$200,$G276)&gt;0,
     COUNTIFS($AO$2:$AO$200,$G276)&gt;0,
     COUNTIFS($AP$2:$AP$200,$G276)&gt;0,
     COUNTIFS($AQ$2:$AQ$200,$G276)&gt;0,
     COUNTIFS($AR$2:$AR$200,$G276)&gt;0,
     COUNTIFS($AS$2:$AS$200,$G276)&gt;0,
     COUNTIFS($AT$2:$AT$200,$G276)&gt;0,
     COUNTIFS($AU$2:$AU$200,$G276)&gt;0,
     COUNTIFS($AV$2:$AV$200,$G276)&gt;0,
     COUNTIFS($AW$2:$AW$200,$G276)&gt;0,
     COUNTIFS($AX$2:$AX$200,$G276)&gt;0,
     COUNTIFS($AY$2:$AY$200,$G276)&gt;0
   )),
  ),
  3
 ),
"")</f>
        <v/>
      </c>
      <c r="F276" s="2" t="str" cm="1">
        <f t="array" aca="1" ref="F276" ca="1">IFERROR(
 INDEX(
  _xlfn._xlws.FILTER($V$1:$AY$1,
   TRANSPOSE(
    CHOOSE({1;2;3;4;5;6;7;8;9;10;11;12;13;14;15;16;17;18;19;20;21;22;23;24;25;26;27;28;29;30},
     COUNTIFS($V$2:$V$200,$G276)&gt;0,
     COUNTIFS($W$2:$W$200,$G276)&gt;0,
     COUNTIFS($X$2:$X$200,$G276)&gt;0,
     COUNTIFS($Y$2:$Y$200,$G276)&gt;0,
     COUNTIFS($Z$2:$Z$200,$G276)&gt;0,
     COUNTIFS($AA$2:$AA$200,$G276)&gt;0,
     COUNTIFS($AB$2:$AB$200,$G276)&gt;0,
     COUNTIFS($AC$2:$AC$200,$G276)&gt;0,
     COUNTIFS($AD$2:$AD$200,$G276)&gt;0,
     COUNTIFS($AE$2:$AE$200,$G276)&gt;0,
     COUNTIFS($AF$2:$AF$200,$G276)&gt;0,
     COUNTIFS($AG$2:$AG$200,$G276)&gt;0,
     COUNTIFS($AH$2:$AH$200,$G276)&gt;0,
     COUNTIFS($AI$2:$AI$200,$G276)&gt;0,
     COUNTIFS($AJ$2:$AJ$200,$G276)&gt;0,
     COUNTIFS($AK$2:$AK$200,$G276)&gt;0,
     COUNTIFS($AL$2:$AL$200,$G276)&gt;0,
     COUNTIFS($AM$2:$AM$200,$G276)&gt;0,
     COUNTIFS($AN$2:$AN$200,$G276)&gt;0,
     COUNTIFS($AO$2:$AO$200,$G276)&gt;0,
     COUNTIFS($AP$2:$AP$200,$G276)&gt;0,
     COUNTIFS($AQ$2:$AQ$200,$G276)&gt;0,
     COUNTIFS($AR$2:$AR$200,$G276)&gt;0,
     COUNTIFS($AS$2:$AS$200,$G276)&gt;0,
     COUNTIFS($AT$2:$AT$200,$G276)&gt;0,
     COUNTIFS($AU$2:$AU$200,$G276)&gt;0,
     COUNTIFS($AV$2:$AV$200,$G276)&gt;0,
     COUNTIFS($AW$2:$AW$200,$G276)&gt;0,
     COUNTIFS($AX$2:$AX$200,$G276)&gt;0,
     COUNTIFS($AY$2:$AY$200,$G276)&gt;0
   )),
  ),
  4
 ),
"")</f>
        <v/>
      </c>
      <c r="G276" t="str">
        <f ca="1"/>
        <v>Mishra, Claimed by Gix</v>
      </c>
      <c r="EU276" t="str">
        <f ca="1"/>
        <v>Sliver Hivelord</v>
      </c>
      <c r="EX276" t="str">
        <f ca="1"/>
        <v>Mishra, Claimed by Gix</v>
      </c>
    </row>
    <row r="277" spans="1:154" x14ac:dyDescent="0.25">
      <c r="A277" s="2" t="str">
        <f t="shared" ca="1" si="14"/>
        <v>3</v>
      </c>
      <c r="B277" s="2">
        <f t="shared" ca="1" si="15"/>
        <v>1</v>
      </c>
      <c r="C277" s="2" t="str">
        <f ca="1">IFERROR(
 INDEX($V$1:$BL$1,
  MATCH(TRUE,
   CHOOSE({1;2;3;4;5;6;7;8;9;10;11;12;13;14;15;16;17;18;19;20;21;22;23;24;25;26;27;28;29;30;31;32;33;34;35;36;37;38;39;40;41;42;43},
    COUNTIFS($V$2:$V$200,$G277)&gt;0,
    COUNTIFS($W$2:$W$200,$G277)&gt;0,
    COUNTIFS($X$2:$X$200,$G277)&gt;0,
    COUNTIFS($Y$2:$Y$200,$G277)&gt;0,
    COUNTIFS($Z$2:$Z$200,$G277)&gt;0,
    COUNTIFS($AA$2:$AA$200,$G277)&gt;0,
    COUNTIFS($AB$2:$AB$200,$G277)&gt;0,
    COUNTIFS($AC$2:$AC$200,$G277)&gt;0,
    COUNTIFS($AD$2:$AD$200,$G277)&gt;0,
    COUNTIFS($AE$2:$AE$200,$G277)&gt;0,
    COUNTIFS($AF$2:$AF$200,$G277)&gt;0,
    COUNTIFS($AG$2:$AG$200,$G277)&gt;0,
    COUNTIFS($AH$2:$AH$200,$G277)&gt;0,
    COUNTIFS($AI$2:$AI$200,$G277)&gt;0,
    COUNTIFS($AJ$2:$AJ$200,$G277)&gt;0,
    COUNTIFS($AK$2:$AK$200,$G277)&gt;0,
    COUNTIFS($AL$2:$AL$200,$G277)&gt;0,
    COUNTIFS($AM$2:$AM$200,$G277)&gt;0,
    COUNTIFS($AN$2:$AN$200,$G277)&gt;0,
    COUNTIFS($AO$2:$AO$200,$G277)&gt;0,
    COUNTIFS($AP$2:$AP$200,$G277)&gt;0,
    COUNTIFS($AQ$2:$AQ$200,$G277)&gt;0,
    COUNTIFS($AR$2:$AR$200,$G277)&gt;0,
    COUNTIFS($AS$2:$AS$200,$G277)&gt;0,
    COUNTIFS($AT$2:$AT$200,$G277)&gt;0,
    COUNTIFS($AU$2:$AU$200,$G277)&gt;0,
    COUNTIFS($AV$2:$AV$200,$G277)&gt;0,
    COUNTIFS($AW$2:$AW$200,$G277)&gt;0,
    COUNTIFS($AX$2:$AX$200,$G277)&gt;0,
    COUNTIFS($AY$2:$AY$200,$G277)&gt;0,
    COUNTIFS($AZ$2:$AZ$200,$G277)&gt;0,
    COUNTIFS($BA$2:$BA$200,$G277)&gt;0,
    COUNTIFS($BB$2:$BB$200,$G277)&gt;0,
    COUNTIFS($BC$2:$BC$200,$G277)&gt;0,
    COUNTIFS($BD$2:$BD$200,$G277)&gt;0,
    COUNTIFS($BE$2:$BE$200,$G277)&gt;0,
    COUNTIFS($BF$2:$BF$200,$G277)&gt;0,
    COUNTIFS($BG$2:$BG$200,$G277)&gt;0,
    COUNTIFS($BH$2:$BH$200,$G277)&gt;0,
    COUNTIFS($BI$2:$BI$200,$G277)&gt;0,
    COUNTIFS($BJ$2:$BJ$200,$G277)&gt;0,
    COUNTIFS($BK$2:$BK$200,$G277)&gt;0,
    COUNTIFS($BL$2:$BL$200,$G277)&gt;0,
    COUNTIFS($BM$2:$BM$200,$G277)&gt;0,
   ),
  0)
 ),
"")</f>
        <v>Inalla</v>
      </c>
      <c r="D277" s="2" t="str" cm="1">
        <f t="array" aca="1" ref="D277" ca="1">IFERROR(
 INDEX(
  _xlfn._xlws.FILTER($V$1:$AY$1,
   TRANSPOSE(
    CHOOSE({1;2;3;4;5;6;7;8;9;10;11;12;13;14;15;16;17;18;19;20;21;22;23;24;25;26;27;28;29;30},
     COUNTIFS($V$2:$V$200,$G277)&gt;0,
     COUNTIFS($W$2:$W$200,$G277)&gt;0,
     COUNTIFS($X$2:$X$200,$G277)&gt;0,
     COUNTIFS($Y$2:$Y$200,$G277)&gt;0,
     COUNTIFS($Z$2:$Z$200,$G277)&gt;0,
     COUNTIFS($AA$2:$AA$200,$G277)&gt;0,
     COUNTIFS($AB$2:$AB$200,$G277)&gt;0,
     COUNTIFS($AC$2:$AC$200,$G277)&gt;0,
     COUNTIFS($AD$2:$AD$200,$G277)&gt;0,
     COUNTIFS($AE$2:$AE$200,$G277)&gt;0,
     COUNTIFS($AF$2:$AF$200,$G277)&gt;0,
     COUNTIFS($AG$2:$AG$200,$G277)&gt;0,
     COUNTIFS($AH$2:$AH$200,$G277)&gt;0,
     COUNTIFS($AI$2:$AI$200,$G277)&gt;0,
     COUNTIFS($AJ$2:$AJ$200,$G277)&gt;0,
     COUNTIFS($AK$2:$AK$200,$G277)&gt;0,
     COUNTIFS($AL$2:$AL$200,$G277)&gt;0,
     COUNTIFS($AM$2:$AM$200,$G277)&gt;0,
     COUNTIFS($AN$2:$AN$200,$G277)&gt;0,
     COUNTIFS($AO$2:$AO$200,$G277)&gt;0,
     COUNTIFS($AP$2:$AP$200,$G277)&gt;0,
     COUNTIFS($AQ$2:$AQ$200,$G277)&gt;0,
     COUNTIFS($AR$2:$AR$200,$G277)&gt;0,
     COUNTIFS($AS$2:$AS$200,$G277)&gt;0,
     COUNTIFS($AT$2:$AT$200,$G277)&gt;0,
     COUNTIFS($AU$2:$AU$200,$G277)&gt;0,
     COUNTIFS($AV$2:$AV$200,$G277)&gt;0,
     COUNTIFS($AW$2:$AW$200,$G277)&gt;0,
     COUNTIFS($AX$2:$AX$200,$G277)&gt;0,
     COUNTIFS($AY$2:$AY$200,$G277)&gt;0
   )),
  ),
  2
 ),
"")</f>
        <v/>
      </c>
      <c r="E277" s="2" t="str" cm="1">
        <f t="array" aca="1" ref="E277" ca="1">IFERROR(
 INDEX(
  _xlfn._xlws.FILTER($V$1:$AY$1,
   TRANSPOSE(
    CHOOSE({1;2;3;4;5;6;7;8;9;10;11;12;13;14;15;16;17;18;19;20;21;22;23;24;25;26;27;28;29;30},
     COUNTIFS($V$2:$V$200,$G277)&gt;0,
     COUNTIFS($W$2:$W$200,$G277)&gt;0,
     COUNTIFS($X$2:$X$200,$G277)&gt;0,
     COUNTIFS($Y$2:$Y$200,$G277)&gt;0,
     COUNTIFS($Z$2:$Z$200,$G277)&gt;0,
     COUNTIFS($AA$2:$AA$200,$G277)&gt;0,
     COUNTIFS($AB$2:$AB$200,$G277)&gt;0,
     COUNTIFS($AC$2:$AC$200,$G277)&gt;0,
     COUNTIFS($AD$2:$AD$200,$G277)&gt;0,
     COUNTIFS($AE$2:$AE$200,$G277)&gt;0,
     COUNTIFS($AF$2:$AF$200,$G277)&gt;0,
     COUNTIFS($AG$2:$AG$200,$G277)&gt;0,
     COUNTIFS($AH$2:$AH$200,$G277)&gt;0,
     COUNTIFS($AI$2:$AI$200,$G277)&gt;0,
     COUNTIFS($AJ$2:$AJ$200,$G277)&gt;0,
     COUNTIFS($AK$2:$AK$200,$G277)&gt;0,
     COUNTIFS($AL$2:$AL$200,$G277)&gt;0,
     COUNTIFS($AM$2:$AM$200,$G277)&gt;0,
     COUNTIFS($AN$2:$AN$200,$G277)&gt;0,
     COUNTIFS($AO$2:$AO$200,$G277)&gt;0,
     COUNTIFS($AP$2:$AP$200,$G277)&gt;0,
     COUNTIFS($AQ$2:$AQ$200,$G277)&gt;0,
     COUNTIFS($AR$2:$AR$200,$G277)&gt;0,
     COUNTIFS($AS$2:$AS$200,$G277)&gt;0,
     COUNTIFS($AT$2:$AT$200,$G277)&gt;0,
     COUNTIFS($AU$2:$AU$200,$G277)&gt;0,
     COUNTIFS($AV$2:$AV$200,$G277)&gt;0,
     COUNTIFS($AW$2:$AW$200,$G277)&gt;0,
     COUNTIFS($AX$2:$AX$200,$G277)&gt;0,
     COUNTIFS($AY$2:$AY$200,$G277)&gt;0
   )),
  ),
  3
 ),
"")</f>
        <v/>
      </c>
      <c r="F277" s="2" t="str" cm="1">
        <f t="array" aca="1" ref="F277" ca="1">IFERROR(
 INDEX(
  _xlfn._xlws.FILTER($V$1:$AY$1,
   TRANSPOSE(
    CHOOSE({1;2;3;4;5;6;7;8;9;10;11;12;13;14;15;16;17;18;19;20;21;22;23;24;25;26;27;28;29;30},
     COUNTIFS($V$2:$V$200,$G277)&gt;0,
     COUNTIFS($W$2:$W$200,$G277)&gt;0,
     COUNTIFS($X$2:$X$200,$G277)&gt;0,
     COUNTIFS($Y$2:$Y$200,$G277)&gt;0,
     COUNTIFS($Z$2:$Z$200,$G277)&gt;0,
     COUNTIFS($AA$2:$AA$200,$G277)&gt;0,
     COUNTIFS($AB$2:$AB$200,$G277)&gt;0,
     COUNTIFS($AC$2:$AC$200,$G277)&gt;0,
     COUNTIFS($AD$2:$AD$200,$G277)&gt;0,
     COUNTIFS($AE$2:$AE$200,$G277)&gt;0,
     COUNTIFS($AF$2:$AF$200,$G277)&gt;0,
     COUNTIFS($AG$2:$AG$200,$G277)&gt;0,
     COUNTIFS($AH$2:$AH$200,$G277)&gt;0,
     COUNTIFS($AI$2:$AI$200,$G277)&gt;0,
     COUNTIFS($AJ$2:$AJ$200,$G277)&gt;0,
     COUNTIFS($AK$2:$AK$200,$G277)&gt;0,
     COUNTIFS($AL$2:$AL$200,$G277)&gt;0,
     COUNTIFS($AM$2:$AM$200,$G277)&gt;0,
     COUNTIFS($AN$2:$AN$200,$G277)&gt;0,
     COUNTIFS($AO$2:$AO$200,$G277)&gt;0,
     COUNTIFS($AP$2:$AP$200,$G277)&gt;0,
     COUNTIFS($AQ$2:$AQ$200,$G277)&gt;0,
     COUNTIFS($AR$2:$AR$200,$G277)&gt;0,
     COUNTIFS($AS$2:$AS$200,$G277)&gt;0,
     COUNTIFS($AT$2:$AT$200,$G277)&gt;0,
     COUNTIFS($AU$2:$AU$200,$G277)&gt;0,
     COUNTIFS($AV$2:$AV$200,$G277)&gt;0,
     COUNTIFS($AW$2:$AW$200,$G277)&gt;0,
     COUNTIFS($AX$2:$AX$200,$G277)&gt;0,
     COUNTIFS($AY$2:$AY$200,$G277)&gt;0
   )),
  ),
  4
 ),
"")</f>
        <v/>
      </c>
      <c r="G277" t="str">
        <f ca="1"/>
        <v>Mistbind Clique</v>
      </c>
      <c r="EU277" t="str">
        <f ca="1"/>
        <v>Sliver Legion</v>
      </c>
      <c r="EX277" t="str">
        <f ca="1"/>
        <v>Mistbind Clique</v>
      </c>
    </row>
    <row r="278" spans="1:154" x14ac:dyDescent="0.25">
      <c r="A278" s="2" t="str">
        <f t="shared" ca="1" si="14"/>
        <v>3</v>
      </c>
      <c r="B278" s="2">
        <f t="shared" ca="1" si="15"/>
        <v>2</v>
      </c>
      <c r="C278" s="2" t="str">
        <f ca="1">IFERROR(
 INDEX($V$1:$BL$1,
  MATCH(TRUE,
   CHOOSE({1;2;3;4;5;6;7;8;9;10;11;12;13;14;15;16;17;18;19;20;21;22;23;24;25;26;27;28;29;30;31;32;33;34;35;36;37;38;39;40;41;42;43},
    COUNTIFS($V$2:$V$200,$G278)&gt;0,
    COUNTIFS($W$2:$W$200,$G278)&gt;0,
    COUNTIFS($X$2:$X$200,$G278)&gt;0,
    COUNTIFS($Y$2:$Y$200,$G278)&gt;0,
    COUNTIFS($Z$2:$Z$200,$G278)&gt;0,
    COUNTIFS($AA$2:$AA$200,$G278)&gt;0,
    COUNTIFS($AB$2:$AB$200,$G278)&gt;0,
    COUNTIFS($AC$2:$AC$200,$G278)&gt;0,
    COUNTIFS($AD$2:$AD$200,$G278)&gt;0,
    COUNTIFS($AE$2:$AE$200,$G278)&gt;0,
    COUNTIFS($AF$2:$AF$200,$G278)&gt;0,
    COUNTIFS($AG$2:$AG$200,$G278)&gt;0,
    COUNTIFS($AH$2:$AH$200,$G278)&gt;0,
    COUNTIFS($AI$2:$AI$200,$G278)&gt;0,
    COUNTIFS($AJ$2:$AJ$200,$G278)&gt;0,
    COUNTIFS($AK$2:$AK$200,$G278)&gt;0,
    COUNTIFS($AL$2:$AL$200,$G278)&gt;0,
    COUNTIFS($AM$2:$AM$200,$G278)&gt;0,
    COUNTIFS($AN$2:$AN$200,$G278)&gt;0,
    COUNTIFS($AO$2:$AO$200,$G278)&gt;0,
    COUNTIFS($AP$2:$AP$200,$G278)&gt;0,
    COUNTIFS($AQ$2:$AQ$200,$G278)&gt;0,
    COUNTIFS($AR$2:$AR$200,$G278)&gt;0,
    COUNTIFS($AS$2:$AS$200,$G278)&gt;0,
    COUNTIFS($AT$2:$AT$200,$G278)&gt;0,
    COUNTIFS($AU$2:$AU$200,$G278)&gt;0,
    COUNTIFS($AV$2:$AV$200,$G278)&gt;0,
    COUNTIFS($AW$2:$AW$200,$G278)&gt;0,
    COUNTIFS($AX$2:$AX$200,$G278)&gt;0,
    COUNTIFS($AY$2:$AY$200,$G278)&gt;0,
    COUNTIFS($AZ$2:$AZ$200,$G278)&gt;0,
    COUNTIFS($BA$2:$BA$200,$G278)&gt;0,
    COUNTIFS($BB$2:$BB$200,$G278)&gt;0,
    COUNTIFS($BC$2:$BC$200,$G278)&gt;0,
    COUNTIFS($BD$2:$BD$200,$G278)&gt;0,
    COUNTIFS($BE$2:$BE$200,$G278)&gt;0,
    COUNTIFS($BF$2:$BF$200,$G278)&gt;0,
    COUNTIFS($BG$2:$BG$200,$G278)&gt;0,
    COUNTIFS($BH$2:$BH$200,$G278)&gt;0,
    COUNTIFS($BI$2:$BI$200,$G278)&gt;0,
    COUNTIFS($BJ$2:$BJ$200,$G278)&gt;0,
    COUNTIFS($BK$2:$BK$200,$G278)&gt;0,
    COUNTIFS($BL$2:$BL$200,$G278)&gt;0,
    COUNTIFS($BM$2:$BM$200,$G278)&gt;0,
   ),
  0)
 ),
"")</f>
        <v>JhoiraB</v>
      </c>
      <c r="D278" s="2" t="str" cm="1">
        <f t="array" aca="1" ref="D278" ca="1">IFERROR(
 INDEX(
  _xlfn._xlws.FILTER($V$1:$AY$1,
   TRANSPOSE(
    CHOOSE({1;2;3;4;5;6;7;8;9;10;11;12;13;14;15;16;17;18;19;20;21;22;23;24;25;26;27;28;29;30},
     COUNTIFS($V$2:$V$200,$G278)&gt;0,
     COUNTIFS($W$2:$W$200,$G278)&gt;0,
     COUNTIFS($X$2:$X$200,$G278)&gt;0,
     COUNTIFS($Y$2:$Y$200,$G278)&gt;0,
     COUNTIFS($Z$2:$Z$200,$G278)&gt;0,
     COUNTIFS($AA$2:$AA$200,$G278)&gt;0,
     COUNTIFS($AB$2:$AB$200,$G278)&gt;0,
     COUNTIFS($AC$2:$AC$200,$G278)&gt;0,
     COUNTIFS($AD$2:$AD$200,$G278)&gt;0,
     COUNTIFS($AE$2:$AE$200,$G278)&gt;0,
     COUNTIFS($AF$2:$AF$200,$G278)&gt;0,
     COUNTIFS($AG$2:$AG$200,$G278)&gt;0,
     COUNTIFS($AH$2:$AH$200,$G278)&gt;0,
     COUNTIFS($AI$2:$AI$200,$G278)&gt;0,
     COUNTIFS($AJ$2:$AJ$200,$G278)&gt;0,
     COUNTIFS($AK$2:$AK$200,$G278)&gt;0,
     COUNTIFS($AL$2:$AL$200,$G278)&gt;0,
     COUNTIFS($AM$2:$AM$200,$G278)&gt;0,
     COUNTIFS($AN$2:$AN$200,$G278)&gt;0,
     COUNTIFS($AO$2:$AO$200,$G278)&gt;0,
     COUNTIFS($AP$2:$AP$200,$G278)&gt;0,
     COUNTIFS($AQ$2:$AQ$200,$G278)&gt;0,
     COUNTIFS($AR$2:$AR$200,$G278)&gt;0,
     COUNTIFS($AS$2:$AS$200,$G278)&gt;0,
     COUNTIFS($AT$2:$AT$200,$G278)&gt;0,
     COUNTIFS($AU$2:$AU$200,$G278)&gt;0,
     COUNTIFS($AV$2:$AV$200,$G278)&gt;0,
     COUNTIFS($AW$2:$AW$200,$G278)&gt;0,
     COUNTIFS($AX$2:$AX$200,$G278)&gt;0,
     COUNTIFS($AY$2:$AY$200,$G278)&gt;0
   )),
  ),
  2
 ),
"")</f>
        <v>Jhoira</v>
      </c>
      <c r="E278" s="2" t="str" cm="1">
        <f t="array" aca="1" ref="E278" ca="1">IFERROR(
 INDEX(
  _xlfn._xlws.FILTER($V$1:$AY$1,
   TRANSPOSE(
    CHOOSE({1;2;3;4;5;6;7;8;9;10;11;12;13;14;15;16;17;18;19;20;21;22;23;24;25;26;27;28;29;30},
     COUNTIFS($V$2:$V$200,$G278)&gt;0,
     COUNTIFS($W$2:$W$200,$G278)&gt;0,
     COUNTIFS($X$2:$X$200,$G278)&gt;0,
     COUNTIFS($Y$2:$Y$200,$G278)&gt;0,
     COUNTIFS($Z$2:$Z$200,$G278)&gt;0,
     COUNTIFS($AA$2:$AA$200,$G278)&gt;0,
     COUNTIFS($AB$2:$AB$200,$G278)&gt;0,
     COUNTIFS($AC$2:$AC$200,$G278)&gt;0,
     COUNTIFS($AD$2:$AD$200,$G278)&gt;0,
     COUNTIFS($AE$2:$AE$200,$G278)&gt;0,
     COUNTIFS($AF$2:$AF$200,$G278)&gt;0,
     COUNTIFS($AG$2:$AG$200,$G278)&gt;0,
     COUNTIFS($AH$2:$AH$200,$G278)&gt;0,
     COUNTIFS($AI$2:$AI$200,$G278)&gt;0,
     COUNTIFS($AJ$2:$AJ$200,$G278)&gt;0,
     COUNTIFS($AK$2:$AK$200,$G278)&gt;0,
     COUNTIFS($AL$2:$AL$200,$G278)&gt;0,
     COUNTIFS($AM$2:$AM$200,$G278)&gt;0,
     COUNTIFS($AN$2:$AN$200,$G278)&gt;0,
     COUNTIFS($AO$2:$AO$200,$G278)&gt;0,
     COUNTIFS($AP$2:$AP$200,$G278)&gt;0,
     COUNTIFS($AQ$2:$AQ$200,$G278)&gt;0,
     COUNTIFS($AR$2:$AR$200,$G278)&gt;0,
     COUNTIFS($AS$2:$AS$200,$G278)&gt;0,
     COUNTIFS($AT$2:$AT$200,$G278)&gt;0,
     COUNTIFS($AU$2:$AU$200,$G278)&gt;0,
     COUNTIFS($AV$2:$AV$200,$G278)&gt;0,
     COUNTIFS($AW$2:$AW$200,$G278)&gt;0,
     COUNTIFS($AX$2:$AX$200,$G278)&gt;0,
     COUNTIFS($AY$2:$AY$200,$G278)&gt;0
   )),
  ),
  3
 ),
"")</f>
        <v/>
      </c>
      <c r="F278" s="2" t="str" cm="1">
        <f t="array" aca="1" ref="F278" ca="1">IFERROR(
 INDEX(
  _xlfn._xlws.FILTER($V$1:$AY$1,
   TRANSPOSE(
    CHOOSE({1;2;3;4;5;6;7;8;9;10;11;12;13;14;15;16;17;18;19;20;21;22;23;24;25;26;27;28;29;30},
     COUNTIFS($V$2:$V$200,$G278)&gt;0,
     COUNTIFS($W$2:$W$200,$G278)&gt;0,
     COUNTIFS($X$2:$X$200,$G278)&gt;0,
     COUNTIFS($Y$2:$Y$200,$G278)&gt;0,
     COUNTIFS($Z$2:$Z$200,$G278)&gt;0,
     COUNTIFS($AA$2:$AA$200,$G278)&gt;0,
     COUNTIFS($AB$2:$AB$200,$G278)&gt;0,
     COUNTIFS($AC$2:$AC$200,$G278)&gt;0,
     COUNTIFS($AD$2:$AD$200,$G278)&gt;0,
     COUNTIFS($AE$2:$AE$200,$G278)&gt;0,
     COUNTIFS($AF$2:$AF$200,$G278)&gt;0,
     COUNTIFS($AG$2:$AG$200,$G278)&gt;0,
     COUNTIFS($AH$2:$AH$200,$G278)&gt;0,
     COUNTIFS($AI$2:$AI$200,$G278)&gt;0,
     COUNTIFS($AJ$2:$AJ$200,$G278)&gt;0,
     COUNTIFS($AK$2:$AK$200,$G278)&gt;0,
     COUNTIFS($AL$2:$AL$200,$G278)&gt;0,
     COUNTIFS($AM$2:$AM$200,$G278)&gt;0,
     COUNTIFS($AN$2:$AN$200,$G278)&gt;0,
     COUNTIFS($AO$2:$AO$200,$G278)&gt;0,
     COUNTIFS($AP$2:$AP$200,$G278)&gt;0,
     COUNTIFS($AQ$2:$AQ$200,$G278)&gt;0,
     COUNTIFS($AR$2:$AR$200,$G278)&gt;0,
     COUNTIFS($AS$2:$AS$200,$G278)&gt;0,
     COUNTIFS($AT$2:$AT$200,$G278)&gt;0,
     COUNTIFS($AU$2:$AU$200,$G278)&gt;0,
     COUNTIFS($AV$2:$AV$200,$G278)&gt;0,
     COUNTIFS($AW$2:$AW$200,$G278)&gt;0,
     COUNTIFS($AX$2:$AX$200,$G278)&gt;0,
     COUNTIFS($AY$2:$AY$200,$G278)&gt;0
   )),
  ),
  4
 ),
"")</f>
        <v/>
      </c>
      <c r="G278" t="str">
        <f ca="1"/>
        <v>Mistrise Village</v>
      </c>
      <c r="EU278" t="str">
        <f ca="1"/>
        <v>Sliver Overlord</v>
      </c>
      <c r="EX278" t="str">
        <f ca="1"/>
        <v>Mistrise Village</v>
      </c>
    </row>
    <row r="279" spans="1:154" x14ac:dyDescent="0.25">
      <c r="A279" s="2" t="str">
        <f t="shared" ca="1" si="14"/>
        <v>2</v>
      </c>
      <c r="B279" s="2">
        <f t="shared" ca="1" si="15"/>
        <v>1</v>
      </c>
      <c r="C279" s="2" t="str">
        <f ca="1">IFERROR(
 INDEX($V$1:$BL$1,
  MATCH(TRUE,
   CHOOSE({1;2;3;4;5;6;7;8;9;10;11;12;13;14;15;16;17;18;19;20;21;22;23;24;25;26;27;28;29;30;31;32;33;34;35;36;37;38;39;40;41;42;43},
    COUNTIFS($V$2:$V$200,$G279)&gt;0,
    COUNTIFS($W$2:$W$200,$G279)&gt;0,
    COUNTIFS($X$2:$X$200,$G279)&gt;0,
    COUNTIFS($Y$2:$Y$200,$G279)&gt;0,
    COUNTIFS($Z$2:$Z$200,$G279)&gt;0,
    COUNTIFS($AA$2:$AA$200,$G279)&gt;0,
    COUNTIFS($AB$2:$AB$200,$G279)&gt;0,
    COUNTIFS($AC$2:$AC$200,$G279)&gt;0,
    COUNTIFS($AD$2:$AD$200,$G279)&gt;0,
    COUNTIFS($AE$2:$AE$200,$G279)&gt;0,
    COUNTIFS($AF$2:$AF$200,$G279)&gt;0,
    COUNTIFS($AG$2:$AG$200,$G279)&gt;0,
    COUNTIFS($AH$2:$AH$200,$G279)&gt;0,
    COUNTIFS($AI$2:$AI$200,$G279)&gt;0,
    COUNTIFS($AJ$2:$AJ$200,$G279)&gt;0,
    COUNTIFS($AK$2:$AK$200,$G279)&gt;0,
    COUNTIFS($AL$2:$AL$200,$G279)&gt;0,
    COUNTIFS($AM$2:$AM$200,$G279)&gt;0,
    COUNTIFS($AN$2:$AN$200,$G279)&gt;0,
    COUNTIFS($AO$2:$AO$200,$G279)&gt;0,
    COUNTIFS($AP$2:$AP$200,$G279)&gt;0,
    COUNTIFS($AQ$2:$AQ$200,$G279)&gt;0,
    COUNTIFS($AR$2:$AR$200,$G279)&gt;0,
    COUNTIFS($AS$2:$AS$200,$G279)&gt;0,
    COUNTIFS($AT$2:$AT$200,$G279)&gt;0,
    COUNTIFS($AU$2:$AU$200,$G279)&gt;0,
    COUNTIFS($AV$2:$AV$200,$G279)&gt;0,
    COUNTIFS($AW$2:$AW$200,$G279)&gt;0,
    COUNTIFS($AX$2:$AX$200,$G279)&gt;0,
    COUNTIFS($AY$2:$AY$200,$G279)&gt;0,
    COUNTIFS($AZ$2:$AZ$200,$G279)&gt;0,
    COUNTIFS($BA$2:$BA$200,$G279)&gt;0,
    COUNTIFS($BB$2:$BB$200,$G279)&gt;0,
    COUNTIFS($BC$2:$BC$200,$G279)&gt;0,
    COUNTIFS($BD$2:$BD$200,$G279)&gt;0,
    COUNTIFS($BE$2:$BE$200,$G279)&gt;0,
    COUNTIFS($BF$2:$BF$200,$G279)&gt;0,
    COUNTIFS($BG$2:$BG$200,$G279)&gt;0,
    COUNTIFS($BH$2:$BH$200,$G279)&gt;0,
    COUNTIFS($BI$2:$BI$200,$G279)&gt;0,
    COUNTIFS($BJ$2:$BJ$200,$G279)&gt;0,
    COUNTIFS($BK$2:$BK$200,$G279)&gt;0,
    COUNTIFS($BL$2:$BL$200,$G279)&gt;0,
    COUNTIFS($BM$2:$BM$200,$G279)&gt;0,
   ),
  0)
 ),
"")</f>
        <v>Zimone</v>
      </c>
      <c r="D279" s="2" t="str" cm="1">
        <f t="array" aca="1" ref="D279" ca="1">IFERROR(
 INDEX(
  _xlfn._xlws.FILTER($V$1:$AY$1,
   TRANSPOSE(
    CHOOSE({1;2;3;4;5;6;7;8;9;10;11;12;13;14;15;16;17;18;19;20;21;22;23;24;25;26;27;28;29;30},
     COUNTIFS($V$2:$V$200,$G279)&gt;0,
     COUNTIFS($W$2:$W$200,$G279)&gt;0,
     COUNTIFS($X$2:$X$200,$G279)&gt;0,
     COUNTIFS($Y$2:$Y$200,$G279)&gt;0,
     COUNTIFS($Z$2:$Z$200,$G279)&gt;0,
     COUNTIFS($AA$2:$AA$200,$G279)&gt;0,
     COUNTIFS($AB$2:$AB$200,$G279)&gt;0,
     COUNTIFS($AC$2:$AC$200,$G279)&gt;0,
     COUNTIFS($AD$2:$AD$200,$G279)&gt;0,
     COUNTIFS($AE$2:$AE$200,$G279)&gt;0,
     COUNTIFS($AF$2:$AF$200,$G279)&gt;0,
     COUNTIFS($AG$2:$AG$200,$G279)&gt;0,
     COUNTIFS($AH$2:$AH$200,$G279)&gt;0,
     COUNTIFS($AI$2:$AI$200,$G279)&gt;0,
     COUNTIFS($AJ$2:$AJ$200,$G279)&gt;0,
     COUNTIFS($AK$2:$AK$200,$G279)&gt;0,
     COUNTIFS($AL$2:$AL$200,$G279)&gt;0,
     COUNTIFS($AM$2:$AM$200,$G279)&gt;0,
     COUNTIFS($AN$2:$AN$200,$G279)&gt;0,
     COUNTIFS($AO$2:$AO$200,$G279)&gt;0,
     COUNTIFS($AP$2:$AP$200,$G279)&gt;0,
     COUNTIFS($AQ$2:$AQ$200,$G279)&gt;0,
     COUNTIFS($AR$2:$AR$200,$G279)&gt;0,
     COUNTIFS($AS$2:$AS$200,$G279)&gt;0,
     COUNTIFS($AT$2:$AT$200,$G279)&gt;0,
     COUNTIFS($AU$2:$AU$200,$G279)&gt;0,
     COUNTIFS($AV$2:$AV$200,$G279)&gt;0,
     COUNTIFS($AW$2:$AW$200,$G279)&gt;0,
     COUNTIFS($AX$2:$AX$200,$G279)&gt;0,
     COUNTIFS($AY$2:$AY$200,$G279)&gt;0
   )),
  ),
  2
 ),
"")</f>
        <v/>
      </c>
      <c r="E279" s="2" t="str" cm="1">
        <f t="array" aca="1" ref="E279" ca="1">IFERROR(
 INDEX(
  _xlfn._xlws.FILTER($V$1:$AY$1,
   TRANSPOSE(
    CHOOSE({1;2;3;4;5;6;7;8;9;10;11;12;13;14;15;16;17;18;19;20;21;22;23;24;25;26;27;28;29;30},
     COUNTIFS($V$2:$V$200,$G279)&gt;0,
     COUNTIFS($W$2:$W$200,$G279)&gt;0,
     COUNTIFS($X$2:$X$200,$G279)&gt;0,
     COUNTIFS($Y$2:$Y$200,$G279)&gt;0,
     COUNTIFS($Z$2:$Z$200,$G279)&gt;0,
     COUNTIFS($AA$2:$AA$200,$G279)&gt;0,
     COUNTIFS($AB$2:$AB$200,$G279)&gt;0,
     COUNTIFS($AC$2:$AC$200,$G279)&gt;0,
     COUNTIFS($AD$2:$AD$200,$G279)&gt;0,
     COUNTIFS($AE$2:$AE$200,$G279)&gt;0,
     COUNTIFS($AF$2:$AF$200,$G279)&gt;0,
     COUNTIFS($AG$2:$AG$200,$G279)&gt;0,
     COUNTIFS($AH$2:$AH$200,$G279)&gt;0,
     COUNTIFS($AI$2:$AI$200,$G279)&gt;0,
     COUNTIFS($AJ$2:$AJ$200,$G279)&gt;0,
     COUNTIFS($AK$2:$AK$200,$G279)&gt;0,
     COUNTIFS($AL$2:$AL$200,$G279)&gt;0,
     COUNTIFS($AM$2:$AM$200,$G279)&gt;0,
     COUNTIFS($AN$2:$AN$200,$G279)&gt;0,
     COUNTIFS($AO$2:$AO$200,$G279)&gt;0,
     COUNTIFS($AP$2:$AP$200,$G279)&gt;0,
     COUNTIFS($AQ$2:$AQ$200,$G279)&gt;0,
     COUNTIFS($AR$2:$AR$200,$G279)&gt;0,
     COUNTIFS($AS$2:$AS$200,$G279)&gt;0,
     COUNTIFS($AT$2:$AT$200,$G279)&gt;0,
     COUNTIFS($AU$2:$AU$200,$G279)&gt;0,
     COUNTIFS($AV$2:$AV$200,$G279)&gt;0,
     COUNTIFS($AW$2:$AW$200,$G279)&gt;0,
     COUNTIFS($AX$2:$AX$200,$G279)&gt;0,
     COUNTIFS($AY$2:$AY$200,$G279)&gt;0
   )),
  ),
  3
 ),
"")</f>
        <v/>
      </c>
      <c r="F279" s="2" t="str" cm="1">
        <f t="array" aca="1" ref="F279" ca="1">IFERROR(
 INDEX(
  _xlfn._xlws.FILTER($V$1:$AY$1,
   TRANSPOSE(
    CHOOSE({1;2;3;4;5;6;7;8;9;10;11;12;13;14;15;16;17;18;19;20;21;22;23;24;25;26;27;28;29;30},
     COUNTIFS($V$2:$V$200,$G279)&gt;0,
     COUNTIFS($W$2:$W$200,$G279)&gt;0,
     COUNTIFS($X$2:$X$200,$G279)&gt;0,
     COUNTIFS($Y$2:$Y$200,$G279)&gt;0,
     COUNTIFS($Z$2:$Z$200,$G279)&gt;0,
     COUNTIFS($AA$2:$AA$200,$G279)&gt;0,
     COUNTIFS($AB$2:$AB$200,$G279)&gt;0,
     COUNTIFS($AC$2:$AC$200,$G279)&gt;0,
     COUNTIFS($AD$2:$AD$200,$G279)&gt;0,
     COUNTIFS($AE$2:$AE$200,$G279)&gt;0,
     COUNTIFS($AF$2:$AF$200,$G279)&gt;0,
     COUNTIFS($AG$2:$AG$200,$G279)&gt;0,
     COUNTIFS($AH$2:$AH$200,$G279)&gt;0,
     COUNTIFS($AI$2:$AI$200,$G279)&gt;0,
     COUNTIFS($AJ$2:$AJ$200,$G279)&gt;0,
     COUNTIFS($AK$2:$AK$200,$G279)&gt;0,
     COUNTIFS($AL$2:$AL$200,$G279)&gt;0,
     COUNTIFS($AM$2:$AM$200,$G279)&gt;0,
     COUNTIFS($AN$2:$AN$200,$G279)&gt;0,
     COUNTIFS($AO$2:$AO$200,$G279)&gt;0,
     COUNTIFS($AP$2:$AP$200,$G279)&gt;0,
     COUNTIFS($AQ$2:$AQ$200,$G279)&gt;0,
     COUNTIFS($AR$2:$AR$200,$G279)&gt;0,
     COUNTIFS($AS$2:$AS$200,$G279)&gt;0,
     COUNTIFS($AT$2:$AT$200,$G279)&gt;0,
     COUNTIFS($AU$2:$AU$200,$G279)&gt;0,
     COUNTIFS($AV$2:$AV$200,$G279)&gt;0,
     COUNTIFS($AW$2:$AW$200,$G279)&gt;0,
     COUNTIFS($AX$2:$AX$200,$G279)&gt;0,
     COUNTIFS($AY$2:$AY$200,$G279)&gt;0
   )),
  ),
  4
 ),
"")</f>
        <v/>
      </c>
      <c r="G279" t="str">
        <f ca="1"/>
        <v>Misty Rainforest</v>
      </c>
      <c r="EU279" t="str">
        <f ca="1"/>
        <v>Sliver Queen</v>
      </c>
      <c r="EX279" t="str">
        <f ca="1"/>
        <v>Misty Rainforest</v>
      </c>
    </row>
    <row r="280" spans="1:154" x14ac:dyDescent="0.25">
      <c r="A280" s="2" t="str">
        <f t="shared" ca="1" si="14"/>
        <v>5</v>
      </c>
      <c r="B280" s="2">
        <f t="shared" ca="1" si="15"/>
        <v>1</v>
      </c>
      <c r="C280" s="2" t="str">
        <f ca="1">IFERROR(
 INDEX($V$1:$BL$1,
  MATCH(TRUE,
   CHOOSE({1;2;3;4;5;6;7;8;9;10;11;12;13;14;15;16;17;18;19;20;21;22;23;24;25;26;27;28;29;30;31;32;33;34;35;36;37;38;39;40;41;42;43},
    COUNTIFS($V$2:$V$200,$G280)&gt;0,
    COUNTIFS($W$2:$W$200,$G280)&gt;0,
    COUNTIFS($X$2:$X$200,$G280)&gt;0,
    COUNTIFS($Y$2:$Y$200,$G280)&gt;0,
    COUNTIFS($Z$2:$Z$200,$G280)&gt;0,
    COUNTIFS($AA$2:$AA$200,$G280)&gt;0,
    COUNTIFS($AB$2:$AB$200,$G280)&gt;0,
    COUNTIFS($AC$2:$AC$200,$G280)&gt;0,
    COUNTIFS($AD$2:$AD$200,$G280)&gt;0,
    COUNTIFS($AE$2:$AE$200,$G280)&gt;0,
    COUNTIFS($AF$2:$AF$200,$G280)&gt;0,
    COUNTIFS($AG$2:$AG$200,$G280)&gt;0,
    COUNTIFS($AH$2:$AH$200,$G280)&gt;0,
    COUNTIFS($AI$2:$AI$200,$G280)&gt;0,
    COUNTIFS($AJ$2:$AJ$200,$G280)&gt;0,
    COUNTIFS($AK$2:$AK$200,$G280)&gt;0,
    COUNTIFS($AL$2:$AL$200,$G280)&gt;0,
    COUNTIFS($AM$2:$AM$200,$G280)&gt;0,
    COUNTIFS($AN$2:$AN$200,$G280)&gt;0,
    COUNTIFS($AO$2:$AO$200,$G280)&gt;0,
    COUNTIFS($AP$2:$AP$200,$G280)&gt;0,
    COUNTIFS($AQ$2:$AQ$200,$G280)&gt;0,
    COUNTIFS($AR$2:$AR$200,$G280)&gt;0,
    COUNTIFS($AS$2:$AS$200,$G280)&gt;0,
    COUNTIFS($AT$2:$AT$200,$G280)&gt;0,
    COUNTIFS($AU$2:$AU$200,$G280)&gt;0,
    COUNTIFS($AV$2:$AV$200,$G280)&gt;0,
    COUNTIFS($AW$2:$AW$200,$G280)&gt;0,
    COUNTIFS($AX$2:$AX$200,$G280)&gt;0,
    COUNTIFS($AY$2:$AY$200,$G280)&gt;0,
    COUNTIFS($AZ$2:$AZ$200,$G280)&gt;0,
    COUNTIFS($BA$2:$BA$200,$G280)&gt;0,
    COUNTIFS($BB$2:$BB$200,$G280)&gt;0,
    COUNTIFS($BC$2:$BC$200,$G280)&gt;0,
    COUNTIFS($BD$2:$BD$200,$G280)&gt;0,
    COUNTIFS($BE$2:$BE$200,$G280)&gt;0,
    COUNTIFS($BF$2:$BF$200,$G280)&gt;0,
    COUNTIFS($BG$2:$BG$200,$G280)&gt;0,
    COUNTIFS($BH$2:$BH$200,$G280)&gt;0,
    COUNTIFS($BI$2:$BI$200,$G280)&gt;0,
    COUNTIFS($BJ$2:$BJ$200,$G280)&gt;0,
    COUNTIFS($BK$2:$BK$200,$G280)&gt;0,
    COUNTIFS($BL$2:$BL$200,$G280)&gt;0,
    COUNTIFS($BM$2:$BM$200,$G280)&gt;0,
   ),
  0)
 ),
"")</f>
        <v>Fractius</v>
      </c>
      <c r="D280" s="2" t="str" cm="1">
        <f t="array" aca="1" ref="D280" ca="1">IFERROR(
 INDEX(
  _xlfn._xlws.FILTER($V$1:$AY$1,
   TRANSPOSE(
    CHOOSE({1;2;3;4;5;6;7;8;9;10;11;12;13;14;15;16;17;18;19;20;21;22;23;24;25;26;27;28;29;30},
     COUNTIFS($V$2:$V$200,$G280)&gt;0,
     COUNTIFS($W$2:$W$200,$G280)&gt;0,
     COUNTIFS($X$2:$X$200,$G280)&gt;0,
     COUNTIFS($Y$2:$Y$200,$G280)&gt;0,
     COUNTIFS($Z$2:$Z$200,$G280)&gt;0,
     COUNTIFS($AA$2:$AA$200,$G280)&gt;0,
     COUNTIFS($AB$2:$AB$200,$G280)&gt;0,
     COUNTIFS($AC$2:$AC$200,$G280)&gt;0,
     COUNTIFS($AD$2:$AD$200,$G280)&gt;0,
     COUNTIFS($AE$2:$AE$200,$G280)&gt;0,
     COUNTIFS($AF$2:$AF$200,$G280)&gt;0,
     COUNTIFS($AG$2:$AG$200,$G280)&gt;0,
     COUNTIFS($AH$2:$AH$200,$G280)&gt;0,
     COUNTIFS($AI$2:$AI$200,$G280)&gt;0,
     COUNTIFS($AJ$2:$AJ$200,$G280)&gt;0,
     COUNTIFS($AK$2:$AK$200,$G280)&gt;0,
     COUNTIFS($AL$2:$AL$200,$G280)&gt;0,
     COUNTIFS($AM$2:$AM$200,$G280)&gt;0,
     COUNTIFS($AN$2:$AN$200,$G280)&gt;0,
     COUNTIFS($AO$2:$AO$200,$G280)&gt;0,
     COUNTIFS($AP$2:$AP$200,$G280)&gt;0,
     COUNTIFS($AQ$2:$AQ$200,$G280)&gt;0,
     COUNTIFS($AR$2:$AR$200,$G280)&gt;0,
     COUNTIFS($AS$2:$AS$200,$G280)&gt;0,
     COUNTIFS($AT$2:$AT$200,$G280)&gt;0,
     COUNTIFS($AU$2:$AU$200,$G280)&gt;0,
     COUNTIFS($AV$2:$AV$200,$G280)&gt;0,
     COUNTIFS($AW$2:$AW$200,$G280)&gt;0,
     COUNTIFS($AX$2:$AX$200,$G280)&gt;0,
     COUNTIFS($AY$2:$AY$200,$G280)&gt;0
   )),
  ),
  2
 ),
"")</f>
        <v/>
      </c>
      <c r="E280" s="2" t="str" cm="1">
        <f t="array" aca="1" ref="E280" ca="1">IFERROR(
 INDEX(
  _xlfn._xlws.FILTER($V$1:$AY$1,
   TRANSPOSE(
    CHOOSE({1;2;3;4;5;6;7;8;9;10;11;12;13;14;15;16;17;18;19;20;21;22;23;24;25;26;27;28;29;30},
     COUNTIFS($V$2:$V$200,$G280)&gt;0,
     COUNTIFS($W$2:$W$200,$G280)&gt;0,
     COUNTIFS($X$2:$X$200,$G280)&gt;0,
     COUNTIFS($Y$2:$Y$200,$G280)&gt;0,
     COUNTIFS($Z$2:$Z$200,$G280)&gt;0,
     COUNTIFS($AA$2:$AA$200,$G280)&gt;0,
     COUNTIFS($AB$2:$AB$200,$G280)&gt;0,
     COUNTIFS($AC$2:$AC$200,$G280)&gt;0,
     COUNTIFS($AD$2:$AD$200,$G280)&gt;0,
     COUNTIFS($AE$2:$AE$200,$G280)&gt;0,
     COUNTIFS($AF$2:$AF$200,$G280)&gt;0,
     COUNTIFS($AG$2:$AG$200,$G280)&gt;0,
     COUNTIFS($AH$2:$AH$200,$G280)&gt;0,
     COUNTIFS($AI$2:$AI$200,$G280)&gt;0,
     COUNTIFS($AJ$2:$AJ$200,$G280)&gt;0,
     COUNTIFS($AK$2:$AK$200,$G280)&gt;0,
     COUNTIFS($AL$2:$AL$200,$G280)&gt;0,
     COUNTIFS($AM$2:$AM$200,$G280)&gt;0,
     COUNTIFS($AN$2:$AN$200,$G280)&gt;0,
     COUNTIFS($AO$2:$AO$200,$G280)&gt;0,
     COUNTIFS($AP$2:$AP$200,$G280)&gt;0,
     COUNTIFS($AQ$2:$AQ$200,$G280)&gt;0,
     COUNTIFS($AR$2:$AR$200,$G280)&gt;0,
     COUNTIFS($AS$2:$AS$200,$G280)&gt;0,
     COUNTIFS($AT$2:$AT$200,$G280)&gt;0,
     COUNTIFS($AU$2:$AU$200,$G280)&gt;0,
     COUNTIFS($AV$2:$AV$200,$G280)&gt;0,
     COUNTIFS($AW$2:$AW$200,$G280)&gt;0,
     COUNTIFS($AX$2:$AX$200,$G280)&gt;0,
     COUNTIFS($AY$2:$AY$200,$G280)&gt;0
   )),
  ),
  3
 ),
"")</f>
        <v/>
      </c>
      <c r="F280" s="2" t="str" cm="1">
        <f t="array" aca="1" ref="F280" ca="1">IFERROR(
 INDEX(
  _xlfn._xlws.FILTER($V$1:$AY$1,
   TRANSPOSE(
    CHOOSE({1;2;3;4;5;6;7;8;9;10;11;12;13;14;15;16;17;18;19;20;21;22;23;24;25;26;27;28;29;30},
     COUNTIFS($V$2:$V$200,$G280)&gt;0,
     COUNTIFS($W$2:$W$200,$G280)&gt;0,
     COUNTIFS($X$2:$X$200,$G280)&gt;0,
     COUNTIFS($Y$2:$Y$200,$G280)&gt;0,
     COUNTIFS($Z$2:$Z$200,$G280)&gt;0,
     COUNTIFS($AA$2:$AA$200,$G280)&gt;0,
     COUNTIFS($AB$2:$AB$200,$G280)&gt;0,
     COUNTIFS($AC$2:$AC$200,$G280)&gt;0,
     COUNTIFS($AD$2:$AD$200,$G280)&gt;0,
     COUNTIFS($AE$2:$AE$200,$G280)&gt;0,
     COUNTIFS($AF$2:$AF$200,$G280)&gt;0,
     COUNTIFS($AG$2:$AG$200,$G280)&gt;0,
     COUNTIFS($AH$2:$AH$200,$G280)&gt;0,
     COUNTIFS($AI$2:$AI$200,$G280)&gt;0,
     COUNTIFS($AJ$2:$AJ$200,$G280)&gt;0,
     COUNTIFS($AK$2:$AK$200,$G280)&gt;0,
     COUNTIFS($AL$2:$AL$200,$G280)&gt;0,
     COUNTIFS($AM$2:$AM$200,$G280)&gt;0,
     COUNTIFS($AN$2:$AN$200,$G280)&gt;0,
     COUNTIFS($AO$2:$AO$200,$G280)&gt;0,
     COUNTIFS($AP$2:$AP$200,$G280)&gt;0,
     COUNTIFS($AQ$2:$AQ$200,$G280)&gt;0,
     COUNTIFS($AR$2:$AR$200,$G280)&gt;0,
     COUNTIFS($AS$2:$AS$200,$G280)&gt;0,
     COUNTIFS($AT$2:$AT$200,$G280)&gt;0,
     COUNTIFS($AU$2:$AU$200,$G280)&gt;0,
     COUNTIFS($AV$2:$AV$200,$G280)&gt;0,
     COUNTIFS($AW$2:$AW$200,$G280)&gt;0,
     COUNTIFS($AX$2:$AX$200,$G280)&gt;0,
     COUNTIFS($AY$2:$AY$200,$G280)&gt;0
   )),
  ),
  4
 ),
"")</f>
        <v/>
      </c>
      <c r="G280" t="str">
        <f ca="1"/>
        <v>Mnemonic Sliver</v>
      </c>
      <c r="EU280" t="str">
        <f ca="1"/>
        <v>Sokenzan, Crucible of Defiance</v>
      </c>
      <c r="EX280" t="str">
        <f ca="1"/>
        <v>Mnemonic Sliver</v>
      </c>
    </row>
    <row r="281" spans="1:154" x14ac:dyDescent="0.25">
      <c r="A281" s="2" t="str">
        <f t="shared" ca="1" si="14"/>
        <v>3</v>
      </c>
      <c r="B281" s="2">
        <f t="shared" ca="1" si="15"/>
        <v>1</v>
      </c>
      <c r="C281" s="2" t="str">
        <f ca="1">IFERROR(
 INDEX($V$1:$BL$1,
  MATCH(TRUE,
   CHOOSE({1;2;3;4;5;6;7;8;9;10;11;12;13;14;15;16;17;18;19;20;21;22;23;24;25;26;27;28;29;30;31;32;33;34;35;36;37;38;39;40;41;42;43},
    COUNTIFS($V$2:$V$200,$G281)&gt;0,
    COUNTIFS($W$2:$W$200,$G281)&gt;0,
    COUNTIFS($X$2:$X$200,$G281)&gt;0,
    COUNTIFS($Y$2:$Y$200,$G281)&gt;0,
    COUNTIFS($Z$2:$Z$200,$G281)&gt;0,
    COUNTIFS($AA$2:$AA$200,$G281)&gt;0,
    COUNTIFS($AB$2:$AB$200,$G281)&gt;0,
    COUNTIFS($AC$2:$AC$200,$G281)&gt;0,
    COUNTIFS($AD$2:$AD$200,$G281)&gt;0,
    COUNTIFS($AE$2:$AE$200,$G281)&gt;0,
    COUNTIFS($AF$2:$AF$200,$G281)&gt;0,
    COUNTIFS($AG$2:$AG$200,$G281)&gt;0,
    COUNTIFS($AH$2:$AH$200,$G281)&gt;0,
    COUNTIFS($AI$2:$AI$200,$G281)&gt;0,
    COUNTIFS($AJ$2:$AJ$200,$G281)&gt;0,
    COUNTIFS($AK$2:$AK$200,$G281)&gt;0,
    COUNTIFS($AL$2:$AL$200,$G281)&gt;0,
    COUNTIFS($AM$2:$AM$200,$G281)&gt;0,
    COUNTIFS($AN$2:$AN$200,$G281)&gt;0,
    COUNTIFS($AO$2:$AO$200,$G281)&gt;0,
    COUNTIFS($AP$2:$AP$200,$G281)&gt;0,
    COUNTIFS($AQ$2:$AQ$200,$G281)&gt;0,
    COUNTIFS($AR$2:$AR$200,$G281)&gt;0,
    COUNTIFS($AS$2:$AS$200,$G281)&gt;0,
    COUNTIFS($AT$2:$AT$200,$G281)&gt;0,
    COUNTIFS($AU$2:$AU$200,$G281)&gt;0,
    COUNTIFS($AV$2:$AV$200,$G281)&gt;0,
    COUNTIFS($AW$2:$AW$200,$G281)&gt;0,
    COUNTIFS($AX$2:$AX$200,$G281)&gt;0,
    COUNTIFS($AY$2:$AY$200,$G281)&gt;0,
    COUNTIFS($AZ$2:$AZ$200,$G281)&gt;0,
    COUNTIFS($BA$2:$BA$200,$G281)&gt;0,
    COUNTIFS($BB$2:$BB$200,$G281)&gt;0,
    COUNTIFS($BC$2:$BC$200,$G281)&gt;0,
    COUNTIFS($BD$2:$BD$200,$G281)&gt;0,
    COUNTIFS($BE$2:$BE$200,$G281)&gt;0,
    COUNTIFS($BF$2:$BF$200,$G281)&gt;0,
    COUNTIFS($BG$2:$BG$200,$G281)&gt;0,
    COUNTIFS($BH$2:$BH$200,$G281)&gt;0,
    COUNTIFS($BI$2:$BI$200,$G281)&gt;0,
    COUNTIFS($BJ$2:$BJ$200,$G281)&gt;0,
    COUNTIFS($BK$2:$BK$200,$G281)&gt;0,
    COUNTIFS($BL$2:$BL$200,$G281)&gt;0,
    COUNTIFS($BM$2:$BM$200,$G281)&gt;0,
   ),
  0)
 ),
"")</f>
        <v>Inalla</v>
      </c>
      <c r="D281" s="2" t="str" cm="1">
        <f t="array" aca="1" ref="D281" ca="1">IFERROR(
 INDEX(
  _xlfn._xlws.FILTER($V$1:$AY$1,
   TRANSPOSE(
    CHOOSE({1;2;3;4;5;6;7;8;9;10;11;12;13;14;15;16;17;18;19;20;21;22;23;24;25;26;27;28;29;30},
     COUNTIFS($V$2:$V$200,$G281)&gt;0,
     COUNTIFS($W$2:$W$200,$G281)&gt;0,
     COUNTIFS($X$2:$X$200,$G281)&gt;0,
     COUNTIFS($Y$2:$Y$200,$G281)&gt;0,
     COUNTIFS($Z$2:$Z$200,$G281)&gt;0,
     COUNTIFS($AA$2:$AA$200,$G281)&gt;0,
     COUNTIFS($AB$2:$AB$200,$G281)&gt;0,
     COUNTIFS($AC$2:$AC$200,$G281)&gt;0,
     COUNTIFS($AD$2:$AD$200,$G281)&gt;0,
     COUNTIFS($AE$2:$AE$200,$G281)&gt;0,
     COUNTIFS($AF$2:$AF$200,$G281)&gt;0,
     COUNTIFS($AG$2:$AG$200,$G281)&gt;0,
     COUNTIFS($AH$2:$AH$200,$G281)&gt;0,
     COUNTIFS($AI$2:$AI$200,$G281)&gt;0,
     COUNTIFS($AJ$2:$AJ$200,$G281)&gt;0,
     COUNTIFS($AK$2:$AK$200,$G281)&gt;0,
     COUNTIFS($AL$2:$AL$200,$G281)&gt;0,
     COUNTIFS($AM$2:$AM$200,$G281)&gt;0,
     COUNTIFS($AN$2:$AN$200,$G281)&gt;0,
     COUNTIFS($AO$2:$AO$200,$G281)&gt;0,
     COUNTIFS($AP$2:$AP$200,$G281)&gt;0,
     COUNTIFS($AQ$2:$AQ$200,$G281)&gt;0,
     COUNTIFS($AR$2:$AR$200,$G281)&gt;0,
     COUNTIFS($AS$2:$AS$200,$G281)&gt;0,
     COUNTIFS($AT$2:$AT$200,$G281)&gt;0,
     COUNTIFS($AU$2:$AU$200,$G281)&gt;0,
     COUNTIFS($AV$2:$AV$200,$G281)&gt;0,
     COUNTIFS($AW$2:$AW$200,$G281)&gt;0,
     COUNTIFS($AX$2:$AX$200,$G281)&gt;0,
     COUNTIFS($AY$2:$AY$200,$G281)&gt;0
   )),
  ),
  2
 ),
"")</f>
        <v/>
      </c>
      <c r="E281" s="2" t="str" cm="1">
        <f t="array" aca="1" ref="E281" ca="1">IFERROR(
 INDEX(
  _xlfn._xlws.FILTER($V$1:$AY$1,
   TRANSPOSE(
    CHOOSE({1;2;3;4;5;6;7;8;9;10;11;12;13;14;15;16;17;18;19;20;21;22;23;24;25;26;27;28;29;30},
     COUNTIFS($V$2:$V$200,$G281)&gt;0,
     COUNTIFS($W$2:$W$200,$G281)&gt;0,
     COUNTIFS($X$2:$X$200,$G281)&gt;0,
     COUNTIFS($Y$2:$Y$200,$G281)&gt;0,
     COUNTIFS($Z$2:$Z$200,$G281)&gt;0,
     COUNTIFS($AA$2:$AA$200,$G281)&gt;0,
     COUNTIFS($AB$2:$AB$200,$G281)&gt;0,
     COUNTIFS($AC$2:$AC$200,$G281)&gt;0,
     COUNTIFS($AD$2:$AD$200,$G281)&gt;0,
     COUNTIFS($AE$2:$AE$200,$G281)&gt;0,
     COUNTIFS($AF$2:$AF$200,$G281)&gt;0,
     COUNTIFS($AG$2:$AG$200,$G281)&gt;0,
     COUNTIFS($AH$2:$AH$200,$G281)&gt;0,
     COUNTIFS($AI$2:$AI$200,$G281)&gt;0,
     COUNTIFS($AJ$2:$AJ$200,$G281)&gt;0,
     COUNTIFS($AK$2:$AK$200,$G281)&gt;0,
     COUNTIFS($AL$2:$AL$200,$G281)&gt;0,
     COUNTIFS($AM$2:$AM$200,$G281)&gt;0,
     COUNTIFS($AN$2:$AN$200,$G281)&gt;0,
     COUNTIFS($AO$2:$AO$200,$G281)&gt;0,
     COUNTIFS($AP$2:$AP$200,$G281)&gt;0,
     COUNTIFS($AQ$2:$AQ$200,$G281)&gt;0,
     COUNTIFS($AR$2:$AR$200,$G281)&gt;0,
     COUNTIFS($AS$2:$AS$200,$G281)&gt;0,
     COUNTIFS($AT$2:$AT$200,$G281)&gt;0,
     COUNTIFS($AU$2:$AU$200,$G281)&gt;0,
     COUNTIFS($AV$2:$AV$200,$G281)&gt;0,
     COUNTIFS($AW$2:$AW$200,$G281)&gt;0,
     COUNTIFS($AX$2:$AX$200,$G281)&gt;0,
     COUNTIFS($AY$2:$AY$200,$G281)&gt;0
   )),
  ),
  3
 ),
"")</f>
        <v/>
      </c>
      <c r="F281" s="2" t="str" cm="1">
        <f t="array" aca="1" ref="F281" ca="1">IFERROR(
 INDEX(
  _xlfn._xlws.FILTER($V$1:$AY$1,
   TRANSPOSE(
    CHOOSE({1;2;3;4;5;6;7;8;9;10;11;12;13;14;15;16;17;18;19;20;21;22;23;24;25;26;27;28;29;30},
     COUNTIFS($V$2:$V$200,$G281)&gt;0,
     COUNTIFS($W$2:$W$200,$G281)&gt;0,
     COUNTIFS($X$2:$X$200,$G281)&gt;0,
     COUNTIFS($Y$2:$Y$200,$G281)&gt;0,
     COUNTIFS($Z$2:$Z$200,$G281)&gt;0,
     COUNTIFS($AA$2:$AA$200,$G281)&gt;0,
     COUNTIFS($AB$2:$AB$200,$G281)&gt;0,
     COUNTIFS($AC$2:$AC$200,$G281)&gt;0,
     COUNTIFS($AD$2:$AD$200,$G281)&gt;0,
     COUNTIFS($AE$2:$AE$200,$G281)&gt;0,
     COUNTIFS($AF$2:$AF$200,$G281)&gt;0,
     COUNTIFS($AG$2:$AG$200,$G281)&gt;0,
     COUNTIFS($AH$2:$AH$200,$G281)&gt;0,
     COUNTIFS($AI$2:$AI$200,$G281)&gt;0,
     COUNTIFS($AJ$2:$AJ$200,$G281)&gt;0,
     COUNTIFS($AK$2:$AK$200,$G281)&gt;0,
     COUNTIFS($AL$2:$AL$200,$G281)&gt;0,
     COUNTIFS($AM$2:$AM$200,$G281)&gt;0,
     COUNTIFS($AN$2:$AN$200,$G281)&gt;0,
     COUNTIFS($AO$2:$AO$200,$G281)&gt;0,
     COUNTIFS($AP$2:$AP$200,$G281)&gt;0,
     COUNTIFS($AQ$2:$AQ$200,$G281)&gt;0,
     COUNTIFS($AR$2:$AR$200,$G281)&gt;0,
     COUNTIFS($AS$2:$AS$200,$G281)&gt;0,
     COUNTIFS($AT$2:$AT$200,$G281)&gt;0,
     COUNTIFS($AU$2:$AU$200,$G281)&gt;0,
     COUNTIFS($AV$2:$AV$200,$G281)&gt;0,
     COUNTIFS($AW$2:$AW$200,$G281)&gt;0,
     COUNTIFS($AX$2:$AX$200,$G281)&gt;0,
     COUNTIFS($AY$2:$AY$200,$G281)&gt;0
   )),
  ),
  4
 ),
"")</f>
        <v/>
      </c>
      <c r="G281" t="str">
        <f ca="1"/>
        <v>Molten Echoes</v>
      </c>
      <c r="EU281" t="str">
        <f ca="1"/>
        <v>Sol Ring</v>
      </c>
      <c r="EX281" t="str">
        <f ca="1"/>
        <v>Molten Echoes</v>
      </c>
    </row>
    <row r="282" spans="1:154" x14ac:dyDescent="0.25">
      <c r="A282" s="2" t="str">
        <f t="shared" ca="1" si="14"/>
        <v>4</v>
      </c>
      <c r="B282" s="2">
        <f t="shared" ca="1" si="15"/>
        <v>1</v>
      </c>
      <c r="C282" s="2" t="str">
        <f ca="1">IFERROR(
 INDEX($V$1:$BL$1,
  MATCH(TRUE,
   CHOOSE({1;2;3;4;5;6;7;8;9;10;11;12;13;14;15;16;17;18;19;20;21;22;23;24;25;26;27;28;29;30;31;32;33;34;35;36;37;38;39;40;41;42;43},
    COUNTIFS($V$2:$V$200,$G282)&gt;0,
    COUNTIFS($W$2:$W$200,$G282)&gt;0,
    COUNTIFS($X$2:$X$200,$G282)&gt;0,
    COUNTIFS($Y$2:$Y$200,$G282)&gt;0,
    COUNTIFS($Z$2:$Z$200,$G282)&gt;0,
    COUNTIFS($AA$2:$AA$200,$G282)&gt;0,
    COUNTIFS($AB$2:$AB$200,$G282)&gt;0,
    COUNTIFS($AC$2:$AC$200,$G282)&gt;0,
    COUNTIFS($AD$2:$AD$200,$G282)&gt;0,
    COUNTIFS($AE$2:$AE$200,$G282)&gt;0,
    COUNTIFS($AF$2:$AF$200,$G282)&gt;0,
    COUNTIFS($AG$2:$AG$200,$G282)&gt;0,
    COUNTIFS($AH$2:$AH$200,$G282)&gt;0,
    COUNTIFS($AI$2:$AI$200,$G282)&gt;0,
    COUNTIFS($AJ$2:$AJ$200,$G282)&gt;0,
    COUNTIFS($AK$2:$AK$200,$G282)&gt;0,
    COUNTIFS($AL$2:$AL$200,$G282)&gt;0,
    COUNTIFS($AM$2:$AM$200,$G282)&gt;0,
    COUNTIFS($AN$2:$AN$200,$G282)&gt;0,
    COUNTIFS($AO$2:$AO$200,$G282)&gt;0,
    COUNTIFS($AP$2:$AP$200,$G282)&gt;0,
    COUNTIFS($AQ$2:$AQ$200,$G282)&gt;0,
    COUNTIFS($AR$2:$AR$200,$G282)&gt;0,
    COUNTIFS($AS$2:$AS$200,$G282)&gt;0,
    COUNTIFS($AT$2:$AT$200,$G282)&gt;0,
    COUNTIFS($AU$2:$AU$200,$G282)&gt;0,
    COUNTIFS($AV$2:$AV$200,$G282)&gt;0,
    COUNTIFS($AW$2:$AW$200,$G282)&gt;0,
    COUNTIFS($AX$2:$AX$200,$G282)&gt;0,
    COUNTIFS($AY$2:$AY$200,$G282)&gt;0,
    COUNTIFS($AZ$2:$AZ$200,$G282)&gt;0,
    COUNTIFS($BA$2:$BA$200,$G282)&gt;0,
    COUNTIFS($BB$2:$BB$200,$G282)&gt;0,
    COUNTIFS($BC$2:$BC$200,$G282)&gt;0,
    COUNTIFS($BD$2:$BD$200,$G282)&gt;0,
    COUNTIFS($BE$2:$BE$200,$G282)&gt;0,
    COUNTIFS($BF$2:$BF$200,$G282)&gt;0,
    COUNTIFS($BG$2:$BG$200,$G282)&gt;0,
    COUNTIFS($BH$2:$BH$200,$G282)&gt;0,
    COUNTIFS($BI$2:$BI$200,$G282)&gt;0,
    COUNTIFS($BJ$2:$BJ$200,$G282)&gt;0,
    COUNTIFS($BK$2:$BK$200,$G282)&gt;0,
    COUNTIFS($BL$2:$BL$200,$G282)&gt;0,
    COUNTIFS($BM$2:$BM$200,$G282)&gt;0,
   ),
  0)
 ),
"")</f>
        <v>Baylen</v>
      </c>
      <c r="D282" s="2" t="str" cm="1">
        <f t="array" aca="1" ref="D282" ca="1">IFERROR(
 INDEX(
  _xlfn._xlws.FILTER($V$1:$AY$1,
   TRANSPOSE(
    CHOOSE({1;2;3;4;5;6;7;8;9;10;11;12;13;14;15;16;17;18;19;20;21;22;23;24;25;26;27;28;29;30},
     COUNTIFS($V$2:$V$200,$G282)&gt;0,
     COUNTIFS($W$2:$W$200,$G282)&gt;0,
     COUNTIFS($X$2:$X$200,$G282)&gt;0,
     COUNTIFS($Y$2:$Y$200,$G282)&gt;0,
     COUNTIFS($Z$2:$Z$200,$G282)&gt;0,
     COUNTIFS($AA$2:$AA$200,$G282)&gt;0,
     COUNTIFS($AB$2:$AB$200,$G282)&gt;0,
     COUNTIFS($AC$2:$AC$200,$G282)&gt;0,
     COUNTIFS($AD$2:$AD$200,$G282)&gt;0,
     COUNTIFS($AE$2:$AE$200,$G282)&gt;0,
     COUNTIFS($AF$2:$AF$200,$G282)&gt;0,
     COUNTIFS($AG$2:$AG$200,$G282)&gt;0,
     COUNTIFS($AH$2:$AH$200,$G282)&gt;0,
     COUNTIFS($AI$2:$AI$200,$G282)&gt;0,
     COUNTIFS($AJ$2:$AJ$200,$G282)&gt;0,
     COUNTIFS($AK$2:$AK$200,$G282)&gt;0,
     COUNTIFS($AL$2:$AL$200,$G282)&gt;0,
     COUNTIFS($AM$2:$AM$200,$G282)&gt;0,
     COUNTIFS($AN$2:$AN$200,$G282)&gt;0,
     COUNTIFS($AO$2:$AO$200,$G282)&gt;0,
     COUNTIFS($AP$2:$AP$200,$G282)&gt;0,
     COUNTIFS($AQ$2:$AQ$200,$G282)&gt;0,
     COUNTIFS($AR$2:$AR$200,$G282)&gt;0,
     COUNTIFS($AS$2:$AS$200,$G282)&gt;0,
     COUNTIFS($AT$2:$AT$200,$G282)&gt;0,
     COUNTIFS($AU$2:$AU$200,$G282)&gt;0,
     COUNTIFS($AV$2:$AV$200,$G282)&gt;0,
     COUNTIFS($AW$2:$AW$200,$G282)&gt;0,
     COUNTIFS($AX$2:$AX$200,$G282)&gt;0,
     COUNTIFS($AY$2:$AY$200,$G282)&gt;0
   )),
  ),
  2
 ),
"")</f>
        <v/>
      </c>
      <c r="E282" s="2" t="str" cm="1">
        <f t="array" aca="1" ref="E282" ca="1">IFERROR(
 INDEX(
  _xlfn._xlws.FILTER($V$1:$AY$1,
   TRANSPOSE(
    CHOOSE({1;2;3;4;5;6;7;8;9;10;11;12;13;14;15;16;17;18;19;20;21;22;23;24;25;26;27;28;29;30},
     COUNTIFS($V$2:$V$200,$G282)&gt;0,
     COUNTIFS($W$2:$W$200,$G282)&gt;0,
     COUNTIFS($X$2:$X$200,$G282)&gt;0,
     COUNTIFS($Y$2:$Y$200,$G282)&gt;0,
     COUNTIFS($Z$2:$Z$200,$G282)&gt;0,
     COUNTIFS($AA$2:$AA$200,$G282)&gt;0,
     COUNTIFS($AB$2:$AB$200,$G282)&gt;0,
     COUNTIFS($AC$2:$AC$200,$G282)&gt;0,
     COUNTIFS($AD$2:$AD$200,$G282)&gt;0,
     COUNTIFS($AE$2:$AE$200,$G282)&gt;0,
     COUNTIFS($AF$2:$AF$200,$G282)&gt;0,
     COUNTIFS($AG$2:$AG$200,$G282)&gt;0,
     COUNTIFS($AH$2:$AH$200,$G282)&gt;0,
     COUNTIFS($AI$2:$AI$200,$G282)&gt;0,
     COUNTIFS($AJ$2:$AJ$200,$G282)&gt;0,
     COUNTIFS($AK$2:$AK$200,$G282)&gt;0,
     COUNTIFS($AL$2:$AL$200,$G282)&gt;0,
     COUNTIFS($AM$2:$AM$200,$G282)&gt;0,
     COUNTIFS($AN$2:$AN$200,$G282)&gt;0,
     COUNTIFS($AO$2:$AO$200,$G282)&gt;0,
     COUNTIFS($AP$2:$AP$200,$G282)&gt;0,
     COUNTIFS($AQ$2:$AQ$200,$G282)&gt;0,
     COUNTIFS($AR$2:$AR$200,$G282)&gt;0,
     COUNTIFS($AS$2:$AS$200,$G282)&gt;0,
     COUNTIFS($AT$2:$AT$200,$G282)&gt;0,
     COUNTIFS($AU$2:$AU$200,$G282)&gt;0,
     COUNTIFS($AV$2:$AV$200,$G282)&gt;0,
     COUNTIFS($AW$2:$AW$200,$G282)&gt;0,
     COUNTIFS($AX$2:$AX$200,$G282)&gt;0,
     COUNTIFS($AY$2:$AY$200,$G282)&gt;0
   )),
  ),
  3
 ),
"")</f>
        <v/>
      </c>
      <c r="F282" s="2" t="str" cm="1">
        <f t="array" aca="1" ref="F282" ca="1">IFERROR(
 INDEX(
  _xlfn._xlws.FILTER($V$1:$AY$1,
   TRANSPOSE(
    CHOOSE({1;2;3;4;5;6;7;8;9;10;11;12;13;14;15;16;17;18;19;20;21;22;23;24;25;26;27;28;29;30},
     COUNTIFS($V$2:$V$200,$G282)&gt;0,
     COUNTIFS($W$2:$W$200,$G282)&gt;0,
     COUNTIFS($X$2:$X$200,$G282)&gt;0,
     COUNTIFS($Y$2:$Y$200,$G282)&gt;0,
     COUNTIFS($Z$2:$Z$200,$G282)&gt;0,
     COUNTIFS($AA$2:$AA$200,$G282)&gt;0,
     COUNTIFS($AB$2:$AB$200,$G282)&gt;0,
     COUNTIFS($AC$2:$AC$200,$G282)&gt;0,
     COUNTIFS($AD$2:$AD$200,$G282)&gt;0,
     COUNTIFS($AE$2:$AE$200,$G282)&gt;0,
     COUNTIFS($AF$2:$AF$200,$G282)&gt;0,
     COUNTIFS($AG$2:$AG$200,$G282)&gt;0,
     COUNTIFS($AH$2:$AH$200,$G282)&gt;0,
     COUNTIFS($AI$2:$AI$200,$G282)&gt;0,
     COUNTIFS($AJ$2:$AJ$200,$G282)&gt;0,
     COUNTIFS($AK$2:$AK$200,$G282)&gt;0,
     COUNTIFS($AL$2:$AL$200,$G282)&gt;0,
     COUNTIFS($AM$2:$AM$200,$G282)&gt;0,
     COUNTIFS($AN$2:$AN$200,$G282)&gt;0,
     COUNTIFS($AO$2:$AO$200,$G282)&gt;0,
     COUNTIFS($AP$2:$AP$200,$G282)&gt;0,
     COUNTIFS($AQ$2:$AQ$200,$G282)&gt;0,
     COUNTIFS($AR$2:$AR$200,$G282)&gt;0,
     COUNTIFS($AS$2:$AS$200,$G282)&gt;0,
     COUNTIFS($AT$2:$AT$200,$G282)&gt;0,
     COUNTIFS($AU$2:$AU$200,$G282)&gt;0,
     COUNTIFS($AV$2:$AV$200,$G282)&gt;0,
     COUNTIFS($AW$2:$AW$200,$G282)&gt;0,
     COUNTIFS($AX$2:$AX$200,$G282)&gt;0,
     COUNTIFS($AY$2:$AY$200,$G282)&gt;0
   )),
  ),
  4
 ),
"")</f>
        <v/>
      </c>
      <c r="G282" t="str">
        <f ca="1"/>
        <v>Mondrak, Glory Dominus</v>
      </c>
      <c r="EU282" t="str">
        <f ca="1"/>
        <v>Solid Ground</v>
      </c>
      <c r="EX282" t="str">
        <f ca="1"/>
        <v>Mondrak, Glory Dominus</v>
      </c>
    </row>
    <row r="283" spans="1:154" x14ac:dyDescent="0.25">
      <c r="A283" s="2" t="str">
        <f t="shared" ca="1" si="14"/>
        <v>1</v>
      </c>
      <c r="B283" s="2">
        <f t="shared" ca="1" si="15"/>
        <v>3</v>
      </c>
      <c r="C283" s="2" t="str">
        <f ca="1">IFERROR(
 INDEX($V$1:$BL$1,
  MATCH(TRUE,
   CHOOSE({1;2;3;4;5;6;7;8;9;10;11;12;13;14;15;16;17;18;19;20;21;22;23;24;25;26;27;28;29;30;31;32;33;34;35;36;37;38;39;40;41;42;43},
    COUNTIFS($V$2:$V$200,$G283)&gt;0,
    COUNTIFS($W$2:$W$200,$G283)&gt;0,
    COUNTIFS($X$2:$X$200,$G283)&gt;0,
    COUNTIFS($Y$2:$Y$200,$G283)&gt;0,
    COUNTIFS($Z$2:$Z$200,$G283)&gt;0,
    COUNTIFS($AA$2:$AA$200,$G283)&gt;0,
    COUNTIFS($AB$2:$AB$200,$G283)&gt;0,
    COUNTIFS($AC$2:$AC$200,$G283)&gt;0,
    COUNTIFS($AD$2:$AD$200,$G283)&gt;0,
    COUNTIFS($AE$2:$AE$200,$G283)&gt;0,
    COUNTIFS($AF$2:$AF$200,$G283)&gt;0,
    COUNTIFS($AG$2:$AG$200,$G283)&gt;0,
    COUNTIFS($AH$2:$AH$200,$G283)&gt;0,
    COUNTIFS($AI$2:$AI$200,$G283)&gt;0,
    COUNTIFS($AJ$2:$AJ$200,$G283)&gt;0,
    COUNTIFS($AK$2:$AK$200,$G283)&gt;0,
    COUNTIFS($AL$2:$AL$200,$G283)&gt;0,
    COUNTIFS($AM$2:$AM$200,$G283)&gt;0,
    COUNTIFS($AN$2:$AN$200,$G283)&gt;0,
    COUNTIFS($AO$2:$AO$200,$G283)&gt;0,
    COUNTIFS($AP$2:$AP$200,$G283)&gt;0,
    COUNTIFS($AQ$2:$AQ$200,$G283)&gt;0,
    COUNTIFS($AR$2:$AR$200,$G283)&gt;0,
    COUNTIFS($AS$2:$AS$200,$G283)&gt;0,
    COUNTIFS($AT$2:$AT$200,$G283)&gt;0,
    COUNTIFS($AU$2:$AU$200,$G283)&gt;0,
    COUNTIFS($AV$2:$AV$200,$G283)&gt;0,
    COUNTIFS($AW$2:$AW$200,$G283)&gt;0,
    COUNTIFS($AX$2:$AX$200,$G283)&gt;0,
    COUNTIFS($AY$2:$AY$200,$G283)&gt;0,
    COUNTIFS($AZ$2:$AZ$200,$G283)&gt;0,
    COUNTIFS($BA$2:$BA$200,$G283)&gt;0,
    COUNTIFS($BB$2:$BB$200,$G283)&gt;0,
    COUNTIFS($BC$2:$BC$200,$G283)&gt;0,
    COUNTIFS($BD$2:$BD$200,$G283)&gt;0,
    COUNTIFS($BE$2:$BE$200,$G283)&gt;0,
    COUNTIFS($BF$2:$BF$200,$G283)&gt;0,
    COUNTIFS($BG$2:$BG$200,$G283)&gt;0,
    COUNTIFS($BH$2:$BH$200,$G283)&gt;0,
    COUNTIFS($BI$2:$BI$200,$G283)&gt;0,
    COUNTIFS($BJ$2:$BJ$200,$G283)&gt;0,
    COUNTIFS($BK$2:$BK$200,$G283)&gt;0,
    COUNTIFS($BL$2:$BL$200,$G283)&gt;0,
    COUNTIFS($BM$2:$BM$200,$G283)&gt;0,
   ),
  0)
 ),
"")</f>
        <v>Arcades</v>
      </c>
      <c r="D283" s="2" t="str" cm="1">
        <f t="array" aca="1" ref="D283" ca="1">IFERROR(
 INDEX(
  _xlfn._xlws.FILTER($V$1:$AY$1,
   TRANSPOSE(
    CHOOSE({1;2;3;4;5;6;7;8;9;10;11;12;13;14;15;16;17;18;19;20;21;22;23;24;25;26;27;28;29;30},
     COUNTIFS($V$2:$V$200,$G283)&gt;0,
     COUNTIFS($W$2:$W$200,$G283)&gt;0,
     COUNTIFS($X$2:$X$200,$G283)&gt;0,
     COUNTIFS($Y$2:$Y$200,$G283)&gt;0,
     COUNTIFS($Z$2:$Z$200,$G283)&gt;0,
     COUNTIFS($AA$2:$AA$200,$G283)&gt;0,
     COUNTIFS($AB$2:$AB$200,$G283)&gt;0,
     COUNTIFS($AC$2:$AC$200,$G283)&gt;0,
     COUNTIFS($AD$2:$AD$200,$G283)&gt;0,
     COUNTIFS($AE$2:$AE$200,$G283)&gt;0,
     COUNTIFS($AF$2:$AF$200,$G283)&gt;0,
     COUNTIFS($AG$2:$AG$200,$G283)&gt;0,
     COUNTIFS($AH$2:$AH$200,$G283)&gt;0,
     COUNTIFS($AI$2:$AI$200,$G283)&gt;0,
     COUNTIFS($AJ$2:$AJ$200,$G283)&gt;0,
     COUNTIFS($AK$2:$AK$200,$G283)&gt;0,
     COUNTIFS($AL$2:$AL$200,$G283)&gt;0,
     COUNTIFS($AM$2:$AM$200,$G283)&gt;0,
     COUNTIFS($AN$2:$AN$200,$G283)&gt;0,
     COUNTIFS($AO$2:$AO$200,$G283)&gt;0,
     COUNTIFS($AP$2:$AP$200,$G283)&gt;0,
     COUNTIFS($AQ$2:$AQ$200,$G283)&gt;0,
     COUNTIFS($AR$2:$AR$200,$G283)&gt;0,
     COUNTIFS($AS$2:$AS$200,$G283)&gt;0,
     COUNTIFS($AT$2:$AT$200,$G283)&gt;0,
     COUNTIFS($AU$2:$AU$200,$G283)&gt;0,
     COUNTIFS($AV$2:$AV$200,$G283)&gt;0,
     COUNTIFS($AW$2:$AW$200,$G283)&gt;0,
     COUNTIFS($AX$2:$AX$200,$G283)&gt;0,
     COUNTIFS($AY$2:$AY$200,$G283)&gt;0
   )),
  ),
  2
 ),
"")</f>
        <v/>
      </c>
      <c r="E283" s="2" t="str" cm="1">
        <f t="array" aca="1" ref="E283" ca="1">IFERROR(
 INDEX(
  _xlfn._xlws.FILTER($V$1:$AY$1,
   TRANSPOSE(
    CHOOSE({1;2;3;4;5;6;7;8;9;10;11;12;13;14;15;16;17;18;19;20;21;22;23;24;25;26;27;28;29;30},
     COUNTIFS($V$2:$V$200,$G283)&gt;0,
     COUNTIFS($W$2:$W$200,$G283)&gt;0,
     COUNTIFS($X$2:$X$200,$G283)&gt;0,
     COUNTIFS($Y$2:$Y$200,$G283)&gt;0,
     COUNTIFS($Z$2:$Z$200,$G283)&gt;0,
     COUNTIFS($AA$2:$AA$200,$G283)&gt;0,
     COUNTIFS($AB$2:$AB$200,$G283)&gt;0,
     COUNTIFS($AC$2:$AC$200,$G283)&gt;0,
     COUNTIFS($AD$2:$AD$200,$G283)&gt;0,
     COUNTIFS($AE$2:$AE$200,$G283)&gt;0,
     COUNTIFS($AF$2:$AF$200,$G283)&gt;0,
     COUNTIFS($AG$2:$AG$200,$G283)&gt;0,
     COUNTIFS($AH$2:$AH$200,$G283)&gt;0,
     COUNTIFS($AI$2:$AI$200,$G283)&gt;0,
     COUNTIFS($AJ$2:$AJ$200,$G283)&gt;0,
     COUNTIFS($AK$2:$AK$200,$G283)&gt;0,
     COUNTIFS($AL$2:$AL$200,$G283)&gt;0,
     COUNTIFS($AM$2:$AM$200,$G283)&gt;0,
     COUNTIFS($AN$2:$AN$200,$G283)&gt;0,
     COUNTIFS($AO$2:$AO$200,$G283)&gt;0,
     COUNTIFS($AP$2:$AP$200,$G283)&gt;0,
     COUNTIFS($AQ$2:$AQ$200,$G283)&gt;0,
     COUNTIFS($AR$2:$AR$200,$G283)&gt;0,
     COUNTIFS($AS$2:$AS$200,$G283)&gt;0,
     COUNTIFS($AT$2:$AT$200,$G283)&gt;0,
     COUNTIFS($AU$2:$AU$200,$G283)&gt;0,
     COUNTIFS($AV$2:$AV$200,$G283)&gt;0,
     COUNTIFS($AW$2:$AW$200,$G283)&gt;0,
     COUNTIFS($AX$2:$AX$200,$G283)&gt;0,
     COUNTIFS($AY$2:$AY$200,$G283)&gt;0
   )),
  ),
  3
 ),
"")</f>
        <v/>
      </c>
      <c r="F283" s="2" t="str" cm="1">
        <f t="array" aca="1" ref="F283" ca="1">IFERROR(
 INDEX(
  _xlfn._xlws.FILTER($V$1:$AY$1,
   TRANSPOSE(
    CHOOSE({1;2;3;4;5;6;7;8;9;10;11;12;13;14;15;16;17;18;19;20;21;22;23;24;25;26;27;28;29;30},
     COUNTIFS($V$2:$V$200,$G283)&gt;0,
     COUNTIFS($W$2:$W$200,$G283)&gt;0,
     COUNTIFS($X$2:$X$200,$G283)&gt;0,
     COUNTIFS($Y$2:$Y$200,$G283)&gt;0,
     COUNTIFS($Z$2:$Z$200,$G283)&gt;0,
     COUNTIFS($AA$2:$AA$200,$G283)&gt;0,
     COUNTIFS($AB$2:$AB$200,$G283)&gt;0,
     COUNTIFS($AC$2:$AC$200,$G283)&gt;0,
     COUNTIFS($AD$2:$AD$200,$G283)&gt;0,
     COUNTIFS($AE$2:$AE$200,$G283)&gt;0,
     COUNTIFS($AF$2:$AF$200,$G283)&gt;0,
     COUNTIFS($AG$2:$AG$200,$G283)&gt;0,
     COUNTIFS($AH$2:$AH$200,$G283)&gt;0,
     COUNTIFS($AI$2:$AI$200,$G283)&gt;0,
     COUNTIFS($AJ$2:$AJ$200,$G283)&gt;0,
     COUNTIFS($AK$2:$AK$200,$G283)&gt;0,
     COUNTIFS($AL$2:$AL$200,$G283)&gt;0,
     COUNTIFS($AM$2:$AM$200,$G283)&gt;0,
     COUNTIFS($AN$2:$AN$200,$G283)&gt;0,
     COUNTIFS($AO$2:$AO$200,$G283)&gt;0,
     COUNTIFS($AP$2:$AP$200,$G283)&gt;0,
     COUNTIFS($AQ$2:$AQ$200,$G283)&gt;0,
     COUNTIFS($AR$2:$AR$200,$G283)&gt;0,
     COUNTIFS($AS$2:$AS$200,$G283)&gt;0,
     COUNTIFS($AT$2:$AT$200,$G283)&gt;0,
     COUNTIFS($AU$2:$AU$200,$G283)&gt;0,
     COUNTIFS($AV$2:$AV$200,$G283)&gt;0,
     COUNTIFS($AW$2:$AW$200,$G283)&gt;0,
     COUNTIFS($AX$2:$AX$200,$G283)&gt;0,
     COUNTIFS($AY$2:$AY$200,$G283)&gt;0
   )),
  ),
  4
 ),
"")</f>
        <v/>
      </c>
      <c r="G283" t="str">
        <f ca="1"/>
        <v>Monk Gyatso</v>
      </c>
      <c r="EU283" t="str">
        <f ca="1"/>
        <v>Sonic Screwdriver</v>
      </c>
      <c r="EX283" t="str">
        <f ca="1"/>
        <v>Monk Gyatso</v>
      </c>
    </row>
    <row r="284" spans="1:154" x14ac:dyDescent="0.25">
      <c r="A284" s="2" t="str">
        <f t="shared" ca="1" si="14"/>
        <v>3</v>
      </c>
      <c r="B284" s="2">
        <f t="shared" ca="1" si="15"/>
        <v>1</v>
      </c>
      <c r="C284" s="2" t="str">
        <f ca="1">IFERROR(
 INDEX($V$1:$BL$1,
  MATCH(TRUE,
   CHOOSE({1;2;3;4;5;6;7;8;9;10;11;12;13;14;15;16;17;18;19;20;21;22;23;24;25;26;27;28;29;30;31;32;33;34;35;36;37;38;39;40;41;42;43},
    COUNTIFS($V$2:$V$200,$G284)&gt;0,
    COUNTIFS($W$2:$W$200,$G284)&gt;0,
    COUNTIFS($X$2:$X$200,$G284)&gt;0,
    COUNTIFS($Y$2:$Y$200,$G284)&gt;0,
    COUNTIFS($Z$2:$Z$200,$G284)&gt;0,
    COUNTIFS($AA$2:$AA$200,$G284)&gt;0,
    COUNTIFS($AB$2:$AB$200,$G284)&gt;0,
    COUNTIFS($AC$2:$AC$200,$G284)&gt;0,
    COUNTIFS($AD$2:$AD$200,$G284)&gt;0,
    COUNTIFS($AE$2:$AE$200,$G284)&gt;0,
    COUNTIFS($AF$2:$AF$200,$G284)&gt;0,
    COUNTIFS($AG$2:$AG$200,$G284)&gt;0,
    COUNTIFS($AH$2:$AH$200,$G284)&gt;0,
    COUNTIFS($AI$2:$AI$200,$G284)&gt;0,
    COUNTIFS($AJ$2:$AJ$200,$G284)&gt;0,
    COUNTIFS($AK$2:$AK$200,$G284)&gt;0,
    COUNTIFS($AL$2:$AL$200,$G284)&gt;0,
    COUNTIFS($AM$2:$AM$200,$G284)&gt;0,
    COUNTIFS($AN$2:$AN$200,$G284)&gt;0,
    COUNTIFS($AO$2:$AO$200,$G284)&gt;0,
    COUNTIFS($AP$2:$AP$200,$G284)&gt;0,
    COUNTIFS($AQ$2:$AQ$200,$G284)&gt;0,
    COUNTIFS($AR$2:$AR$200,$G284)&gt;0,
    COUNTIFS($AS$2:$AS$200,$G284)&gt;0,
    COUNTIFS($AT$2:$AT$200,$G284)&gt;0,
    COUNTIFS($AU$2:$AU$200,$G284)&gt;0,
    COUNTIFS($AV$2:$AV$200,$G284)&gt;0,
    COUNTIFS($AW$2:$AW$200,$G284)&gt;0,
    COUNTIFS($AX$2:$AX$200,$G284)&gt;0,
    COUNTIFS($AY$2:$AY$200,$G284)&gt;0,
    COUNTIFS($AZ$2:$AZ$200,$G284)&gt;0,
    COUNTIFS($BA$2:$BA$200,$G284)&gt;0,
    COUNTIFS($BB$2:$BB$200,$G284)&gt;0,
    COUNTIFS($BC$2:$BC$200,$G284)&gt;0,
    COUNTIFS($BD$2:$BD$200,$G284)&gt;0,
    COUNTIFS($BE$2:$BE$200,$G284)&gt;0,
    COUNTIFS($BF$2:$BF$200,$G284)&gt;0,
    COUNTIFS($BG$2:$BG$200,$G284)&gt;0,
    COUNTIFS($BH$2:$BH$200,$G284)&gt;0,
    COUNTIFS($BI$2:$BI$200,$G284)&gt;0,
    COUNTIFS($BJ$2:$BJ$200,$G284)&gt;0,
    COUNTIFS($BK$2:$BK$200,$G284)&gt;0,
    COUNTIFS($BL$2:$BL$200,$G284)&gt;0,
    COUNTIFS($BM$2:$BM$200,$G284)&gt;0,
   ),
  0)
 ),
"")</f>
        <v>Yuriko</v>
      </c>
      <c r="D284" s="2" t="str" cm="1">
        <f t="array" aca="1" ref="D284" ca="1">IFERROR(
 INDEX(
  _xlfn._xlws.FILTER($V$1:$AY$1,
   TRANSPOSE(
    CHOOSE({1;2;3;4;5;6;7;8;9;10;11;12;13;14;15;16;17;18;19;20;21;22;23;24;25;26;27;28;29;30},
     COUNTIFS($V$2:$V$200,$G284)&gt;0,
     COUNTIFS($W$2:$W$200,$G284)&gt;0,
     COUNTIFS($X$2:$X$200,$G284)&gt;0,
     COUNTIFS($Y$2:$Y$200,$G284)&gt;0,
     COUNTIFS($Z$2:$Z$200,$G284)&gt;0,
     COUNTIFS($AA$2:$AA$200,$G284)&gt;0,
     COUNTIFS($AB$2:$AB$200,$G284)&gt;0,
     COUNTIFS($AC$2:$AC$200,$G284)&gt;0,
     COUNTIFS($AD$2:$AD$200,$G284)&gt;0,
     COUNTIFS($AE$2:$AE$200,$G284)&gt;0,
     COUNTIFS($AF$2:$AF$200,$G284)&gt;0,
     COUNTIFS($AG$2:$AG$200,$G284)&gt;0,
     COUNTIFS($AH$2:$AH$200,$G284)&gt;0,
     COUNTIFS($AI$2:$AI$200,$G284)&gt;0,
     COUNTIFS($AJ$2:$AJ$200,$G284)&gt;0,
     COUNTIFS($AK$2:$AK$200,$G284)&gt;0,
     COUNTIFS($AL$2:$AL$200,$G284)&gt;0,
     COUNTIFS($AM$2:$AM$200,$G284)&gt;0,
     COUNTIFS($AN$2:$AN$200,$G284)&gt;0,
     COUNTIFS($AO$2:$AO$200,$G284)&gt;0,
     COUNTIFS($AP$2:$AP$200,$G284)&gt;0,
     COUNTIFS($AQ$2:$AQ$200,$G284)&gt;0,
     COUNTIFS($AR$2:$AR$200,$G284)&gt;0,
     COUNTIFS($AS$2:$AS$200,$G284)&gt;0,
     COUNTIFS($AT$2:$AT$200,$G284)&gt;0,
     COUNTIFS($AU$2:$AU$200,$G284)&gt;0,
     COUNTIFS($AV$2:$AV$200,$G284)&gt;0,
     COUNTIFS($AW$2:$AW$200,$G284)&gt;0,
     COUNTIFS($AX$2:$AX$200,$G284)&gt;0,
     COUNTIFS($AY$2:$AY$200,$G284)&gt;0
   )),
  ),
  2
 ),
"")</f>
        <v/>
      </c>
      <c r="E284" s="2" t="str" cm="1">
        <f t="array" aca="1" ref="E284" ca="1">IFERROR(
 INDEX(
  _xlfn._xlws.FILTER($V$1:$AY$1,
   TRANSPOSE(
    CHOOSE({1;2;3;4;5;6;7;8;9;10;11;12;13;14;15;16;17;18;19;20;21;22;23;24;25;26;27;28;29;30},
     COUNTIFS($V$2:$V$200,$G284)&gt;0,
     COUNTIFS($W$2:$W$200,$G284)&gt;0,
     COUNTIFS($X$2:$X$200,$G284)&gt;0,
     COUNTIFS($Y$2:$Y$200,$G284)&gt;0,
     COUNTIFS($Z$2:$Z$200,$G284)&gt;0,
     COUNTIFS($AA$2:$AA$200,$G284)&gt;0,
     COUNTIFS($AB$2:$AB$200,$G284)&gt;0,
     COUNTIFS($AC$2:$AC$200,$G284)&gt;0,
     COUNTIFS($AD$2:$AD$200,$G284)&gt;0,
     COUNTIFS($AE$2:$AE$200,$G284)&gt;0,
     COUNTIFS($AF$2:$AF$200,$G284)&gt;0,
     COUNTIFS($AG$2:$AG$200,$G284)&gt;0,
     COUNTIFS($AH$2:$AH$200,$G284)&gt;0,
     COUNTIFS($AI$2:$AI$200,$G284)&gt;0,
     COUNTIFS($AJ$2:$AJ$200,$G284)&gt;0,
     COUNTIFS($AK$2:$AK$200,$G284)&gt;0,
     COUNTIFS($AL$2:$AL$200,$G284)&gt;0,
     COUNTIFS($AM$2:$AM$200,$G284)&gt;0,
     COUNTIFS($AN$2:$AN$200,$G284)&gt;0,
     COUNTIFS($AO$2:$AO$200,$G284)&gt;0,
     COUNTIFS($AP$2:$AP$200,$G284)&gt;0,
     COUNTIFS($AQ$2:$AQ$200,$G284)&gt;0,
     COUNTIFS($AR$2:$AR$200,$G284)&gt;0,
     COUNTIFS($AS$2:$AS$200,$G284)&gt;0,
     COUNTIFS($AT$2:$AT$200,$G284)&gt;0,
     COUNTIFS($AU$2:$AU$200,$G284)&gt;0,
     COUNTIFS($AV$2:$AV$200,$G284)&gt;0,
     COUNTIFS($AW$2:$AW$200,$G284)&gt;0,
     COUNTIFS($AX$2:$AX$200,$G284)&gt;0,
     COUNTIFS($AY$2:$AY$200,$G284)&gt;0
   )),
  ),
  3
 ),
"")</f>
        <v/>
      </c>
      <c r="F284" s="2" t="str" cm="1">
        <f t="array" aca="1" ref="F284" ca="1">IFERROR(
 INDEX(
  _xlfn._xlws.FILTER($V$1:$AY$1,
   TRANSPOSE(
    CHOOSE({1;2;3;4;5;6;7;8;9;10;11;12;13;14;15;16;17;18;19;20;21;22;23;24;25;26;27;28;29;30},
     COUNTIFS($V$2:$V$200,$G284)&gt;0,
     COUNTIFS($W$2:$W$200,$G284)&gt;0,
     COUNTIFS($X$2:$X$200,$G284)&gt;0,
     COUNTIFS($Y$2:$Y$200,$G284)&gt;0,
     COUNTIFS($Z$2:$Z$200,$G284)&gt;0,
     COUNTIFS($AA$2:$AA$200,$G284)&gt;0,
     COUNTIFS($AB$2:$AB$200,$G284)&gt;0,
     COUNTIFS($AC$2:$AC$200,$G284)&gt;0,
     COUNTIFS($AD$2:$AD$200,$G284)&gt;0,
     COUNTIFS($AE$2:$AE$200,$G284)&gt;0,
     COUNTIFS($AF$2:$AF$200,$G284)&gt;0,
     COUNTIFS($AG$2:$AG$200,$G284)&gt;0,
     COUNTIFS($AH$2:$AH$200,$G284)&gt;0,
     COUNTIFS($AI$2:$AI$200,$G284)&gt;0,
     COUNTIFS($AJ$2:$AJ$200,$G284)&gt;0,
     COUNTIFS($AK$2:$AK$200,$G284)&gt;0,
     COUNTIFS($AL$2:$AL$200,$G284)&gt;0,
     COUNTIFS($AM$2:$AM$200,$G284)&gt;0,
     COUNTIFS($AN$2:$AN$200,$G284)&gt;0,
     COUNTIFS($AO$2:$AO$200,$G284)&gt;0,
     COUNTIFS($AP$2:$AP$200,$G284)&gt;0,
     COUNTIFS($AQ$2:$AQ$200,$G284)&gt;0,
     COUNTIFS($AR$2:$AR$200,$G284)&gt;0,
     COUNTIFS($AS$2:$AS$200,$G284)&gt;0,
     COUNTIFS($AT$2:$AT$200,$G284)&gt;0,
     COUNTIFS($AU$2:$AU$200,$G284)&gt;0,
     COUNTIFS($AV$2:$AV$200,$G284)&gt;0,
     COUNTIFS($AW$2:$AW$200,$G284)&gt;0,
     COUNTIFS($AX$2:$AX$200,$G284)&gt;0,
     COUNTIFS($AY$2:$AY$200,$G284)&gt;0
   )),
  ),
  4
 ),
"")</f>
        <v/>
      </c>
      <c r="G284" t="str">
        <f ca="1"/>
        <v>Morphic Pool</v>
      </c>
      <c r="EU284" t="str">
        <f ca="1"/>
        <v>Sothera, the Supervoid</v>
      </c>
      <c r="EX284" t="str">
        <f ca="1"/>
        <v>Morphic Pool</v>
      </c>
    </row>
    <row r="285" spans="1:154" x14ac:dyDescent="0.25">
      <c r="A285" s="2" t="str">
        <f t="shared" ca="1" si="14"/>
        <v>5</v>
      </c>
      <c r="B285" s="2">
        <f t="shared" ca="1" si="15"/>
        <v>20</v>
      </c>
      <c r="C285" s="2" t="str">
        <f ca="1">IFERROR(
 INDEX($V$1:$BL$1,
  MATCH(TRUE,
   CHOOSE({1;2;3;4;5;6;7;8;9;10;11;12;13;14;15;16;17;18;19;20;21;22;23;24;25;26;27;28;29;30;31;32;33;34;35;36;37;38;39;40;41;42;43},
    COUNTIFS($V$2:$V$200,$G285)&gt;0,
    COUNTIFS($W$2:$W$200,$G285)&gt;0,
    COUNTIFS($X$2:$X$200,$G285)&gt;0,
    COUNTIFS($Y$2:$Y$200,$G285)&gt;0,
    COUNTIFS($Z$2:$Z$200,$G285)&gt;0,
    COUNTIFS($AA$2:$AA$200,$G285)&gt;0,
    COUNTIFS($AB$2:$AB$200,$G285)&gt;0,
    COUNTIFS($AC$2:$AC$200,$G285)&gt;0,
    COUNTIFS($AD$2:$AD$200,$G285)&gt;0,
    COUNTIFS($AE$2:$AE$200,$G285)&gt;0,
    COUNTIFS($AF$2:$AF$200,$G285)&gt;0,
    COUNTIFS($AG$2:$AG$200,$G285)&gt;0,
    COUNTIFS($AH$2:$AH$200,$G285)&gt;0,
    COUNTIFS($AI$2:$AI$200,$G285)&gt;0,
    COUNTIFS($AJ$2:$AJ$200,$G285)&gt;0,
    COUNTIFS($AK$2:$AK$200,$G285)&gt;0,
    COUNTIFS($AL$2:$AL$200,$G285)&gt;0,
    COUNTIFS($AM$2:$AM$200,$G285)&gt;0,
    COUNTIFS($AN$2:$AN$200,$G285)&gt;0,
    COUNTIFS($AO$2:$AO$200,$G285)&gt;0,
    COUNTIFS($AP$2:$AP$200,$G285)&gt;0,
    COUNTIFS($AQ$2:$AQ$200,$G285)&gt;0,
    COUNTIFS($AR$2:$AR$200,$G285)&gt;0,
    COUNTIFS($AS$2:$AS$200,$G285)&gt;0,
    COUNTIFS($AT$2:$AT$200,$G285)&gt;0,
    COUNTIFS($AU$2:$AU$200,$G285)&gt;0,
    COUNTIFS($AV$2:$AV$200,$G285)&gt;0,
    COUNTIFS($AW$2:$AW$200,$G285)&gt;0,
    COUNTIFS($AX$2:$AX$200,$G285)&gt;0,
    COUNTIFS($AY$2:$AY$200,$G285)&gt;0,
    COUNTIFS($AZ$2:$AZ$200,$G285)&gt;0,
    COUNTIFS($BA$2:$BA$200,$G285)&gt;0,
    COUNTIFS($BB$2:$BB$200,$G285)&gt;0,
    COUNTIFS($BC$2:$BC$200,$G285)&gt;0,
    COUNTIFS($BD$2:$BD$200,$G285)&gt;0,
    COUNTIFS($BE$2:$BE$200,$G285)&gt;0,
    COUNTIFS($BF$2:$BF$200,$G285)&gt;0,
    COUNTIFS($BG$2:$BG$200,$G285)&gt;0,
    COUNTIFS($BH$2:$BH$200,$G285)&gt;0,
    COUNTIFS($BI$2:$BI$200,$G285)&gt;0,
    COUNTIFS($BJ$2:$BJ$200,$G285)&gt;0,
    COUNTIFS($BK$2:$BK$200,$G285)&gt;0,
    COUNTIFS($BL$2:$BL$200,$G285)&gt;0,
    COUNTIFS($BM$2:$BM$200,$G285)&gt;0,
   ),
  0)
 ),
"")</f>
        <v>Fractius</v>
      </c>
      <c r="D285" s="2" t="str" cm="1">
        <f t="array" aca="1" ref="D285" ca="1">IFERROR(
 INDEX(
  _xlfn._xlws.FILTER($V$1:$AY$1,
   TRANSPOSE(
    CHOOSE({1;2;3;4;5;6;7;8;9;10;11;12;13;14;15;16;17;18;19;20;21;22;23;24;25;26;27;28;29;30},
     COUNTIFS($V$2:$V$200,$G285)&gt;0,
     COUNTIFS($W$2:$W$200,$G285)&gt;0,
     COUNTIFS($X$2:$X$200,$G285)&gt;0,
     COUNTIFS($Y$2:$Y$200,$G285)&gt;0,
     COUNTIFS($Z$2:$Z$200,$G285)&gt;0,
     COUNTIFS($AA$2:$AA$200,$G285)&gt;0,
     COUNTIFS($AB$2:$AB$200,$G285)&gt;0,
     COUNTIFS($AC$2:$AC$200,$G285)&gt;0,
     COUNTIFS($AD$2:$AD$200,$G285)&gt;0,
     COUNTIFS($AE$2:$AE$200,$G285)&gt;0,
     COUNTIFS($AF$2:$AF$200,$G285)&gt;0,
     COUNTIFS($AG$2:$AG$200,$G285)&gt;0,
     COUNTIFS($AH$2:$AH$200,$G285)&gt;0,
     COUNTIFS($AI$2:$AI$200,$G285)&gt;0,
     COUNTIFS($AJ$2:$AJ$200,$G285)&gt;0,
     COUNTIFS($AK$2:$AK$200,$G285)&gt;0,
     COUNTIFS($AL$2:$AL$200,$G285)&gt;0,
     COUNTIFS($AM$2:$AM$200,$G285)&gt;0,
     COUNTIFS($AN$2:$AN$200,$G285)&gt;0,
     COUNTIFS($AO$2:$AO$200,$G285)&gt;0,
     COUNTIFS($AP$2:$AP$200,$G285)&gt;0,
     COUNTIFS($AQ$2:$AQ$200,$G285)&gt;0,
     COUNTIFS($AR$2:$AR$200,$G285)&gt;0,
     COUNTIFS($AS$2:$AS$200,$G285)&gt;0,
     COUNTIFS($AT$2:$AT$200,$G285)&gt;0,
     COUNTIFS($AU$2:$AU$200,$G285)&gt;0,
     COUNTIFS($AV$2:$AV$200,$G285)&gt;0,
     COUNTIFS($AW$2:$AW$200,$G285)&gt;0,
     COUNTIFS($AX$2:$AX$200,$G285)&gt;0,
     COUNTIFS($AY$2:$AY$200,$G285)&gt;0
   )),
  ),
  2
 ),
"")</f>
        <v>Ool</v>
      </c>
      <c r="E285" s="2" t="str" cm="1">
        <f t="array" aca="1" ref="E285" ca="1">IFERROR(
 INDEX(
  _xlfn._xlws.FILTER($V$1:$AY$1,
   TRANSPOSE(
    CHOOSE({1;2;3;4;5;6;7;8;9;10;11;12;13;14;15;16;17;18;19;20;21;22;23;24;25;26;27;28;29;30},
     COUNTIFS($V$2:$V$200,$G285)&gt;0,
     COUNTIFS($W$2:$W$200,$G285)&gt;0,
     COUNTIFS($X$2:$X$200,$G285)&gt;0,
     COUNTIFS($Y$2:$Y$200,$G285)&gt;0,
     COUNTIFS($Z$2:$Z$200,$G285)&gt;0,
     COUNTIFS($AA$2:$AA$200,$G285)&gt;0,
     COUNTIFS($AB$2:$AB$200,$G285)&gt;0,
     COUNTIFS($AC$2:$AC$200,$G285)&gt;0,
     COUNTIFS($AD$2:$AD$200,$G285)&gt;0,
     COUNTIFS($AE$2:$AE$200,$G285)&gt;0,
     COUNTIFS($AF$2:$AF$200,$G285)&gt;0,
     COUNTIFS($AG$2:$AG$200,$G285)&gt;0,
     COUNTIFS($AH$2:$AH$200,$G285)&gt;0,
     COUNTIFS($AI$2:$AI$200,$G285)&gt;0,
     COUNTIFS($AJ$2:$AJ$200,$G285)&gt;0,
     COUNTIFS($AK$2:$AK$200,$G285)&gt;0,
     COUNTIFS($AL$2:$AL$200,$G285)&gt;0,
     COUNTIFS($AM$2:$AM$200,$G285)&gt;0,
     COUNTIFS($AN$2:$AN$200,$G285)&gt;0,
     COUNTIFS($AO$2:$AO$200,$G285)&gt;0,
     COUNTIFS($AP$2:$AP$200,$G285)&gt;0,
     COUNTIFS($AQ$2:$AQ$200,$G285)&gt;0,
     COUNTIFS($AR$2:$AR$200,$G285)&gt;0,
     COUNTIFS($AS$2:$AS$200,$G285)&gt;0,
     COUNTIFS($AT$2:$AT$200,$G285)&gt;0,
     COUNTIFS($AU$2:$AU$200,$G285)&gt;0,
     COUNTIFS($AV$2:$AV$200,$G285)&gt;0,
     COUNTIFS($AW$2:$AW$200,$G285)&gt;0,
     COUNTIFS($AX$2:$AX$200,$G285)&gt;0,
     COUNTIFS($AY$2:$AY$200,$G285)&gt;0
   )),
  ),
  3
 ),
"")</f>
        <v/>
      </c>
      <c r="F285" s="2" t="str" cm="1">
        <f t="array" aca="1" ref="F285" ca="1">IFERROR(
 INDEX(
  _xlfn._xlws.FILTER($V$1:$AY$1,
   TRANSPOSE(
    CHOOSE({1;2;3;4;5;6;7;8;9;10;11;12;13;14;15;16;17;18;19;20;21;22;23;24;25;26;27;28;29;30},
     COUNTIFS($V$2:$V$200,$G285)&gt;0,
     COUNTIFS($W$2:$W$200,$G285)&gt;0,
     COUNTIFS($X$2:$X$200,$G285)&gt;0,
     COUNTIFS($Y$2:$Y$200,$G285)&gt;0,
     COUNTIFS($Z$2:$Z$200,$G285)&gt;0,
     COUNTIFS($AA$2:$AA$200,$G285)&gt;0,
     COUNTIFS($AB$2:$AB$200,$G285)&gt;0,
     COUNTIFS($AC$2:$AC$200,$G285)&gt;0,
     COUNTIFS($AD$2:$AD$200,$G285)&gt;0,
     COUNTIFS($AE$2:$AE$200,$G285)&gt;0,
     COUNTIFS($AF$2:$AF$200,$G285)&gt;0,
     COUNTIFS($AG$2:$AG$200,$G285)&gt;0,
     COUNTIFS($AH$2:$AH$200,$G285)&gt;0,
     COUNTIFS($AI$2:$AI$200,$G285)&gt;0,
     COUNTIFS($AJ$2:$AJ$200,$G285)&gt;0,
     COUNTIFS($AK$2:$AK$200,$G285)&gt;0,
     COUNTIFS($AL$2:$AL$200,$G285)&gt;0,
     COUNTIFS($AM$2:$AM$200,$G285)&gt;0,
     COUNTIFS($AN$2:$AN$200,$G285)&gt;0,
     COUNTIFS($AO$2:$AO$200,$G285)&gt;0,
     COUNTIFS($AP$2:$AP$200,$G285)&gt;0,
     COUNTIFS($AQ$2:$AQ$200,$G285)&gt;0,
     COUNTIFS($AR$2:$AR$200,$G285)&gt;0,
     COUNTIFS($AS$2:$AS$200,$G285)&gt;0,
     COUNTIFS($AT$2:$AT$200,$G285)&gt;0,
     COUNTIFS($AU$2:$AU$200,$G285)&gt;0,
     COUNTIFS($AV$2:$AV$200,$G285)&gt;0,
     COUNTIFS($AW$2:$AW$200,$G285)&gt;0,
     COUNTIFS($AX$2:$AX$200,$G285)&gt;0,
     COUNTIFS($AY$2:$AY$200,$G285)&gt;0
   )),
  ),
  4
 ),
"")</f>
        <v/>
      </c>
      <c r="G285" t="str">
        <f ca="1"/>
        <v>Mountain</v>
      </c>
      <c r="EU285" t="str">
        <f ca="1"/>
        <v>Soul Immolation</v>
      </c>
      <c r="EX285" t="str">
        <f ca="1"/>
        <v>Mountain</v>
      </c>
    </row>
    <row r="286" spans="1:154" x14ac:dyDescent="0.25">
      <c r="A286" s="2" t="str">
        <f t="shared" ca="1" si="14"/>
        <v>3</v>
      </c>
      <c r="B286" s="2">
        <f t="shared" ca="1" si="15"/>
        <v>1</v>
      </c>
      <c r="C286" s="2" t="str">
        <f ca="1">IFERROR(
 INDEX($V$1:$BL$1,
  MATCH(TRUE,
   CHOOSE({1;2;3;4;5;6;7;8;9;10;11;12;13;14;15;16;17;18;19;20;21;22;23;24;25;26;27;28;29;30;31;32;33;34;35;36;37;38;39;40;41;42;43},
    COUNTIFS($V$2:$V$200,$G286)&gt;0,
    COUNTIFS($W$2:$W$200,$G286)&gt;0,
    COUNTIFS($X$2:$X$200,$G286)&gt;0,
    COUNTIFS($Y$2:$Y$200,$G286)&gt;0,
    COUNTIFS($Z$2:$Z$200,$G286)&gt;0,
    COUNTIFS($AA$2:$AA$200,$G286)&gt;0,
    COUNTIFS($AB$2:$AB$200,$G286)&gt;0,
    COUNTIFS($AC$2:$AC$200,$G286)&gt;0,
    COUNTIFS($AD$2:$AD$200,$G286)&gt;0,
    COUNTIFS($AE$2:$AE$200,$G286)&gt;0,
    COUNTIFS($AF$2:$AF$200,$G286)&gt;0,
    COUNTIFS($AG$2:$AG$200,$G286)&gt;0,
    COUNTIFS($AH$2:$AH$200,$G286)&gt;0,
    COUNTIFS($AI$2:$AI$200,$G286)&gt;0,
    COUNTIFS($AJ$2:$AJ$200,$G286)&gt;0,
    COUNTIFS($AK$2:$AK$200,$G286)&gt;0,
    COUNTIFS($AL$2:$AL$200,$G286)&gt;0,
    COUNTIFS($AM$2:$AM$200,$G286)&gt;0,
    COUNTIFS($AN$2:$AN$200,$G286)&gt;0,
    COUNTIFS($AO$2:$AO$200,$G286)&gt;0,
    COUNTIFS($AP$2:$AP$200,$G286)&gt;0,
    COUNTIFS($AQ$2:$AQ$200,$G286)&gt;0,
    COUNTIFS($AR$2:$AR$200,$G286)&gt;0,
    COUNTIFS($AS$2:$AS$200,$G286)&gt;0,
    COUNTIFS($AT$2:$AT$200,$G286)&gt;0,
    COUNTIFS($AU$2:$AU$200,$G286)&gt;0,
    COUNTIFS($AV$2:$AV$200,$G286)&gt;0,
    COUNTIFS($AW$2:$AW$200,$G286)&gt;0,
    COUNTIFS($AX$2:$AX$200,$G286)&gt;0,
    COUNTIFS($AY$2:$AY$200,$G286)&gt;0,
    COUNTIFS($AZ$2:$AZ$200,$G286)&gt;0,
    COUNTIFS($BA$2:$BA$200,$G286)&gt;0,
    COUNTIFS($BB$2:$BB$200,$G286)&gt;0,
    COUNTIFS($BC$2:$BC$200,$G286)&gt;0,
    COUNTIFS($BD$2:$BD$200,$G286)&gt;0,
    COUNTIFS($BE$2:$BE$200,$G286)&gt;0,
    COUNTIFS($BF$2:$BF$200,$G286)&gt;0,
    COUNTIFS($BG$2:$BG$200,$G286)&gt;0,
    COUNTIFS($BH$2:$BH$200,$G286)&gt;0,
    COUNTIFS($BI$2:$BI$200,$G286)&gt;0,
    COUNTIFS($BJ$2:$BJ$200,$G286)&gt;0,
    COUNTIFS($BK$2:$BK$200,$G286)&gt;0,
    COUNTIFS($BL$2:$BL$200,$G286)&gt;0,
    COUNTIFS($BM$2:$BM$200,$G286)&gt;0,
   ),
  0)
 ),
"")</f>
        <v>JhoiraB</v>
      </c>
      <c r="D286" s="2" t="str" cm="1">
        <f t="array" aca="1" ref="D286" ca="1">IFERROR(
 INDEX(
  _xlfn._xlws.FILTER($V$1:$AY$1,
   TRANSPOSE(
    CHOOSE({1;2;3;4;5;6;7;8;9;10;11;12;13;14;15;16;17;18;19;20;21;22;23;24;25;26;27;28;29;30},
     COUNTIFS($V$2:$V$200,$G286)&gt;0,
     COUNTIFS($W$2:$W$200,$G286)&gt;0,
     COUNTIFS($X$2:$X$200,$G286)&gt;0,
     COUNTIFS($Y$2:$Y$200,$G286)&gt;0,
     COUNTIFS($Z$2:$Z$200,$G286)&gt;0,
     COUNTIFS($AA$2:$AA$200,$G286)&gt;0,
     COUNTIFS($AB$2:$AB$200,$G286)&gt;0,
     COUNTIFS($AC$2:$AC$200,$G286)&gt;0,
     COUNTIFS($AD$2:$AD$200,$G286)&gt;0,
     COUNTIFS($AE$2:$AE$200,$G286)&gt;0,
     COUNTIFS($AF$2:$AF$200,$G286)&gt;0,
     COUNTIFS($AG$2:$AG$200,$G286)&gt;0,
     COUNTIFS($AH$2:$AH$200,$G286)&gt;0,
     COUNTIFS($AI$2:$AI$200,$G286)&gt;0,
     COUNTIFS($AJ$2:$AJ$200,$G286)&gt;0,
     COUNTIFS($AK$2:$AK$200,$G286)&gt;0,
     COUNTIFS($AL$2:$AL$200,$G286)&gt;0,
     COUNTIFS($AM$2:$AM$200,$G286)&gt;0,
     COUNTIFS($AN$2:$AN$200,$G286)&gt;0,
     COUNTIFS($AO$2:$AO$200,$G286)&gt;0,
     COUNTIFS($AP$2:$AP$200,$G286)&gt;0,
     COUNTIFS($AQ$2:$AQ$200,$G286)&gt;0,
     COUNTIFS($AR$2:$AR$200,$G286)&gt;0,
     COUNTIFS($AS$2:$AS$200,$G286)&gt;0,
     COUNTIFS($AT$2:$AT$200,$G286)&gt;0,
     COUNTIFS($AU$2:$AU$200,$G286)&gt;0,
     COUNTIFS($AV$2:$AV$200,$G286)&gt;0,
     COUNTIFS($AW$2:$AW$200,$G286)&gt;0,
     COUNTIFS($AX$2:$AX$200,$G286)&gt;0,
     COUNTIFS($AY$2:$AY$200,$G286)&gt;0
   )),
  ),
  2
 ),
"")</f>
        <v/>
      </c>
      <c r="E286" s="2" t="str" cm="1">
        <f t="array" aca="1" ref="E286" ca="1">IFERROR(
 INDEX(
  _xlfn._xlws.FILTER($V$1:$AY$1,
   TRANSPOSE(
    CHOOSE({1;2;3;4;5;6;7;8;9;10;11;12;13;14;15;16;17;18;19;20;21;22;23;24;25;26;27;28;29;30},
     COUNTIFS($V$2:$V$200,$G286)&gt;0,
     COUNTIFS($W$2:$W$200,$G286)&gt;0,
     COUNTIFS($X$2:$X$200,$G286)&gt;0,
     COUNTIFS($Y$2:$Y$200,$G286)&gt;0,
     COUNTIFS($Z$2:$Z$200,$G286)&gt;0,
     COUNTIFS($AA$2:$AA$200,$G286)&gt;0,
     COUNTIFS($AB$2:$AB$200,$G286)&gt;0,
     COUNTIFS($AC$2:$AC$200,$G286)&gt;0,
     COUNTIFS($AD$2:$AD$200,$G286)&gt;0,
     COUNTIFS($AE$2:$AE$200,$G286)&gt;0,
     COUNTIFS($AF$2:$AF$200,$G286)&gt;0,
     COUNTIFS($AG$2:$AG$200,$G286)&gt;0,
     COUNTIFS($AH$2:$AH$200,$G286)&gt;0,
     COUNTIFS($AI$2:$AI$200,$G286)&gt;0,
     COUNTIFS($AJ$2:$AJ$200,$G286)&gt;0,
     COUNTIFS($AK$2:$AK$200,$G286)&gt;0,
     COUNTIFS($AL$2:$AL$200,$G286)&gt;0,
     COUNTIFS($AM$2:$AM$200,$G286)&gt;0,
     COUNTIFS($AN$2:$AN$200,$G286)&gt;0,
     COUNTIFS($AO$2:$AO$200,$G286)&gt;0,
     COUNTIFS($AP$2:$AP$200,$G286)&gt;0,
     COUNTIFS($AQ$2:$AQ$200,$G286)&gt;0,
     COUNTIFS($AR$2:$AR$200,$G286)&gt;0,
     COUNTIFS($AS$2:$AS$200,$G286)&gt;0,
     COUNTIFS($AT$2:$AT$200,$G286)&gt;0,
     COUNTIFS($AU$2:$AU$200,$G286)&gt;0,
     COUNTIFS($AV$2:$AV$200,$G286)&gt;0,
     COUNTIFS($AW$2:$AW$200,$G286)&gt;0,
     COUNTIFS($AX$2:$AX$200,$G286)&gt;0,
     COUNTIFS($AY$2:$AY$200,$G286)&gt;0
   )),
  ),
  3
 ),
"")</f>
        <v/>
      </c>
      <c r="F286" s="2" t="str" cm="1">
        <f t="array" aca="1" ref="F286" ca="1">IFERROR(
 INDEX(
  _xlfn._xlws.FILTER($V$1:$AY$1,
   TRANSPOSE(
    CHOOSE({1;2;3;4;5;6;7;8;9;10;11;12;13;14;15;16;17;18;19;20;21;22;23;24;25;26;27;28;29;30},
     COUNTIFS($V$2:$V$200,$G286)&gt;0,
     COUNTIFS($W$2:$W$200,$G286)&gt;0,
     COUNTIFS($X$2:$X$200,$G286)&gt;0,
     COUNTIFS($Y$2:$Y$200,$G286)&gt;0,
     COUNTIFS($Z$2:$Z$200,$G286)&gt;0,
     COUNTIFS($AA$2:$AA$200,$G286)&gt;0,
     COUNTIFS($AB$2:$AB$200,$G286)&gt;0,
     COUNTIFS($AC$2:$AC$200,$G286)&gt;0,
     COUNTIFS($AD$2:$AD$200,$G286)&gt;0,
     COUNTIFS($AE$2:$AE$200,$G286)&gt;0,
     COUNTIFS($AF$2:$AF$200,$G286)&gt;0,
     COUNTIFS($AG$2:$AG$200,$G286)&gt;0,
     COUNTIFS($AH$2:$AH$200,$G286)&gt;0,
     COUNTIFS($AI$2:$AI$200,$G286)&gt;0,
     COUNTIFS($AJ$2:$AJ$200,$G286)&gt;0,
     COUNTIFS($AK$2:$AK$200,$G286)&gt;0,
     COUNTIFS($AL$2:$AL$200,$G286)&gt;0,
     COUNTIFS($AM$2:$AM$200,$G286)&gt;0,
     COUNTIFS($AN$2:$AN$200,$G286)&gt;0,
     COUNTIFS($AO$2:$AO$200,$G286)&gt;0,
     COUNTIFS($AP$2:$AP$200,$G286)&gt;0,
     COUNTIFS($AQ$2:$AQ$200,$G286)&gt;0,
     COUNTIFS($AR$2:$AR$200,$G286)&gt;0,
     COUNTIFS($AS$2:$AS$200,$G286)&gt;0,
     COUNTIFS($AT$2:$AT$200,$G286)&gt;0,
     COUNTIFS($AU$2:$AU$200,$G286)&gt;0,
     COUNTIFS($AV$2:$AV$200,$G286)&gt;0,
     COUNTIFS($AW$2:$AW$200,$G286)&gt;0,
     COUNTIFS($AX$2:$AX$200,$G286)&gt;0,
     COUNTIFS($AY$2:$AY$200,$G286)&gt;0
   )),
  ),
  4
 ),
"")</f>
        <v/>
      </c>
      <c r="G286" t="str">
        <f ca="1"/>
        <v>Mox Tantalite</v>
      </c>
      <c r="EU286" t="str">
        <f ca="1"/>
        <v>Spara's Headquarters</v>
      </c>
      <c r="EX286" t="str">
        <f ca="1"/>
        <v>Mox Tantalite</v>
      </c>
    </row>
    <row r="287" spans="1:154" x14ac:dyDescent="0.25">
      <c r="A287" s="2" t="str">
        <f t="shared" ca="1" si="14"/>
        <v>5</v>
      </c>
      <c r="B287" s="2">
        <f t="shared" ca="1" si="15"/>
        <v>1</v>
      </c>
      <c r="C287" s="2" t="str">
        <f ca="1">IFERROR(
 INDEX($V$1:$BL$1,
  MATCH(TRUE,
   CHOOSE({1;2;3;4;5;6;7;8;9;10;11;12;13;14;15;16;17;18;19;20;21;22;23;24;25;26;27;28;29;30;31;32;33;34;35;36;37;38;39;40;41;42;43},
    COUNTIFS($V$2:$V$200,$G287)&gt;0,
    COUNTIFS($W$2:$W$200,$G287)&gt;0,
    COUNTIFS($X$2:$X$200,$G287)&gt;0,
    COUNTIFS($Y$2:$Y$200,$G287)&gt;0,
    COUNTIFS($Z$2:$Z$200,$G287)&gt;0,
    COUNTIFS($AA$2:$AA$200,$G287)&gt;0,
    COUNTIFS($AB$2:$AB$200,$G287)&gt;0,
    COUNTIFS($AC$2:$AC$200,$G287)&gt;0,
    COUNTIFS($AD$2:$AD$200,$G287)&gt;0,
    COUNTIFS($AE$2:$AE$200,$G287)&gt;0,
    COUNTIFS($AF$2:$AF$200,$G287)&gt;0,
    COUNTIFS($AG$2:$AG$200,$G287)&gt;0,
    COUNTIFS($AH$2:$AH$200,$G287)&gt;0,
    COUNTIFS($AI$2:$AI$200,$G287)&gt;0,
    COUNTIFS($AJ$2:$AJ$200,$G287)&gt;0,
    COUNTIFS($AK$2:$AK$200,$G287)&gt;0,
    COUNTIFS($AL$2:$AL$200,$G287)&gt;0,
    COUNTIFS($AM$2:$AM$200,$G287)&gt;0,
    COUNTIFS($AN$2:$AN$200,$G287)&gt;0,
    COUNTIFS($AO$2:$AO$200,$G287)&gt;0,
    COUNTIFS($AP$2:$AP$200,$G287)&gt;0,
    COUNTIFS($AQ$2:$AQ$200,$G287)&gt;0,
    COUNTIFS($AR$2:$AR$200,$G287)&gt;0,
    COUNTIFS($AS$2:$AS$200,$G287)&gt;0,
    COUNTIFS($AT$2:$AT$200,$G287)&gt;0,
    COUNTIFS($AU$2:$AU$200,$G287)&gt;0,
    COUNTIFS($AV$2:$AV$200,$G287)&gt;0,
    COUNTIFS($AW$2:$AW$200,$G287)&gt;0,
    COUNTIFS($AX$2:$AX$200,$G287)&gt;0,
    COUNTIFS($AY$2:$AY$200,$G287)&gt;0,
    COUNTIFS($AZ$2:$AZ$200,$G287)&gt;0,
    COUNTIFS($BA$2:$BA$200,$G287)&gt;0,
    COUNTIFS($BB$2:$BB$200,$G287)&gt;0,
    COUNTIFS($BC$2:$BC$200,$G287)&gt;0,
    COUNTIFS($BD$2:$BD$200,$G287)&gt;0,
    COUNTIFS($BE$2:$BE$200,$G287)&gt;0,
    COUNTIFS($BF$2:$BF$200,$G287)&gt;0,
    COUNTIFS($BG$2:$BG$200,$G287)&gt;0,
    COUNTIFS($BH$2:$BH$200,$G287)&gt;0,
    COUNTIFS($BI$2:$BI$200,$G287)&gt;0,
    COUNTIFS($BJ$2:$BJ$200,$G287)&gt;0,
    COUNTIFS($BK$2:$BK$200,$G287)&gt;0,
    COUNTIFS($BL$2:$BL$200,$G287)&gt;0,
    COUNTIFS($BM$2:$BM$200,$G287)&gt;0,
   ),
  0)
 ),
"")</f>
        <v>Fractius</v>
      </c>
      <c r="D287" s="2" t="str" cm="1">
        <f t="array" aca="1" ref="D287" ca="1">IFERROR(
 INDEX(
  _xlfn._xlws.FILTER($V$1:$AY$1,
   TRANSPOSE(
    CHOOSE({1;2;3;4;5;6;7;8;9;10;11;12;13;14;15;16;17;18;19;20;21;22;23;24;25;26;27;28;29;30},
     COUNTIFS($V$2:$V$200,$G287)&gt;0,
     COUNTIFS($W$2:$W$200,$G287)&gt;0,
     COUNTIFS($X$2:$X$200,$G287)&gt;0,
     COUNTIFS($Y$2:$Y$200,$G287)&gt;0,
     COUNTIFS($Z$2:$Z$200,$G287)&gt;0,
     COUNTIFS($AA$2:$AA$200,$G287)&gt;0,
     COUNTIFS($AB$2:$AB$200,$G287)&gt;0,
     COUNTIFS($AC$2:$AC$200,$G287)&gt;0,
     COUNTIFS($AD$2:$AD$200,$G287)&gt;0,
     COUNTIFS($AE$2:$AE$200,$G287)&gt;0,
     COUNTIFS($AF$2:$AF$200,$G287)&gt;0,
     COUNTIFS($AG$2:$AG$200,$G287)&gt;0,
     COUNTIFS($AH$2:$AH$200,$G287)&gt;0,
     COUNTIFS($AI$2:$AI$200,$G287)&gt;0,
     COUNTIFS($AJ$2:$AJ$200,$G287)&gt;0,
     COUNTIFS($AK$2:$AK$200,$G287)&gt;0,
     COUNTIFS($AL$2:$AL$200,$G287)&gt;0,
     COUNTIFS($AM$2:$AM$200,$G287)&gt;0,
     COUNTIFS($AN$2:$AN$200,$G287)&gt;0,
     COUNTIFS($AO$2:$AO$200,$G287)&gt;0,
     COUNTIFS($AP$2:$AP$200,$G287)&gt;0,
     COUNTIFS($AQ$2:$AQ$200,$G287)&gt;0,
     COUNTIFS($AR$2:$AR$200,$G287)&gt;0,
     COUNTIFS($AS$2:$AS$200,$G287)&gt;0,
     COUNTIFS($AT$2:$AT$200,$G287)&gt;0,
     COUNTIFS($AU$2:$AU$200,$G287)&gt;0,
     COUNTIFS($AV$2:$AV$200,$G287)&gt;0,
     COUNTIFS($AW$2:$AW$200,$G287)&gt;0,
     COUNTIFS($AX$2:$AX$200,$G287)&gt;0,
     COUNTIFS($AY$2:$AY$200,$G287)&gt;0
   )),
  ),
  2
 ),
"")</f>
        <v/>
      </c>
      <c r="E287" s="2" t="str" cm="1">
        <f t="array" aca="1" ref="E287" ca="1">IFERROR(
 INDEX(
  _xlfn._xlws.FILTER($V$1:$AY$1,
   TRANSPOSE(
    CHOOSE({1;2;3;4;5;6;7;8;9;10;11;12;13;14;15;16;17;18;19;20;21;22;23;24;25;26;27;28;29;30},
     COUNTIFS($V$2:$V$200,$G287)&gt;0,
     COUNTIFS($W$2:$W$200,$G287)&gt;0,
     COUNTIFS($X$2:$X$200,$G287)&gt;0,
     COUNTIFS($Y$2:$Y$200,$G287)&gt;0,
     COUNTIFS($Z$2:$Z$200,$G287)&gt;0,
     COUNTIFS($AA$2:$AA$200,$G287)&gt;0,
     COUNTIFS($AB$2:$AB$200,$G287)&gt;0,
     COUNTIFS($AC$2:$AC$200,$G287)&gt;0,
     COUNTIFS($AD$2:$AD$200,$G287)&gt;0,
     COUNTIFS($AE$2:$AE$200,$G287)&gt;0,
     COUNTIFS($AF$2:$AF$200,$G287)&gt;0,
     COUNTIFS($AG$2:$AG$200,$G287)&gt;0,
     COUNTIFS($AH$2:$AH$200,$G287)&gt;0,
     COUNTIFS($AI$2:$AI$200,$G287)&gt;0,
     COUNTIFS($AJ$2:$AJ$200,$G287)&gt;0,
     COUNTIFS($AK$2:$AK$200,$G287)&gt;0,
     COUNTIFS($AL$2:$AL$200,$G287)&gt;0,
     COUNTIFS($AM$2:$AM$200,$G287)&gt;0,
     COUNTIFS($AN$2:$AN$200,$G287)&gt;0,
     COUNTIFS($AO$2:$AO$200,$G287)&gt;0,
     COUNTIFS($AP$2:$AP$200,$G287)&gt;0,
     COUNTIFS($AQ$2:$AQ$200,$G287)&gt;0,
     COUNTIFS($AR$2:$AR$200,$G287)&gt;0,
     COUNTIFS($AS$2:$AS$200,$G287)&gt;0,
     COUNTIFS($AT$2:$AT$200,$G287)&gt;0,
     COUNTIFS($AU$2:$AU$200,$G287)&gt;0,
     COUNTIFS($AV$2:$AV$200,$G287)&gt;0,
     COUNTIFS($AW$2:$AW$200,$G287)&gt;0,
     COUNTIFS($AX$2:$AX$200,$G287)&gt;0,
     COUNTIFS($AY$2:$AY$200,$G287)&gt;0
   )),
  ),
  3
 ),
"")</f>
        <v/>
      </c>
      <c r="F287" s="2" t="str" cm="1">
        <f t="array" aca="1" ref="F287" ca="1">IFERROR(
 INDEX(
  _xlfn._xlws.FILTER($V$1:$AY$1,
   TRANSPOSE(
    CHOOSE({1;2;3;4;5;6;7;8;9;10;11;12;13;14;15;16;17;18;19;20;21;22;23;24;25;26;27;28;29;30},
     COUNTIFS($V$2:$V$200,$G287)&gt;0,
     COUNTIFS($W$2:$W$200,$G287)&gt;0,
     COUNTIFS($X$2:$X$200,$G287)&gt;0,
     COUNTIFS($Y$2:$Y$200,$G287)&gt;0,
     COUNTIFS($Z$2:$Z$200,$G287)&gt;0,
     COUNTIFS($AA$2:$AA$200,$G287)&gt;0,
     COUNTIFS($AB$2:$AB$200,$G287)&gt;0,
     COUNTIFS($AC$2:$AC$200,$G287)&gt;0,
     COUNTIFS($AD$2:$AD$200,$G287)&gt;0,
     COUNTIFS($AE$2:$AE$200,$G287)&gt;0,
     COUNTIFS($AF$2:$AF$200,$G287)&gt;0,
     COUNTIFS($AG$2:$AG$200,$G287)&gt;0,
     COUNTIFS($AH$2:$AH$200,$G287)&gt;0,
     COUNTIFS($AI$2:$AI$200,$G287)&gt;0,
     COUNTIFS($AJ$2:$AJ$200,$G287)&gt;0,
     COUNTIFS($AK$2:$AK$200,$G287)&gt;0,
     COUNTIFS($AL$2:$AL$200,$G287)&gt;0,
     COUNTIFS($AM$2:$AM$200,$G287)&gt;0,
     COUNTIFS($AN$2:$AN$200,$G287)&gt;0,
     COUNTIFS($AO$2:$AO$200,$G287)&gt;0,
     COUNTIFS($AP$2:$AP$200,$G287)&gt;0,
     COUNTIFS($AQ$2:$AQ$200,$G287)&gt;0,
     COUNTIFS($AR$2:$AR$200,$G287)&gt;0,
     COUNTIFS($AS$2:$AS$200,$G287)&gt;0,
     COUNTIFS($AT$2:$AT$200,$G287)&gt;0,
     COUNTIFS($AU$2:$AU$200,$G287)&gt;0,
     COUNTIFS($AV$2:$AV$200,$G287)&gt;0,
     COUNTIFS($AW$2:$AW$200,$G287)&gt;0,
     COUNTIFS($AX$2:$AX$200,$G287)&gt;0,
     COUNTIFS($AY$2:$AY$200,$G287)&gt;0
   )),
  ),
  4
 ),
"")</f>
        <v/>
      </c>
      <c r="G287" t="str">
        <f ca="1"/>
        <v>Muscle Sliver</v>
      </c>
      <c r="EU287" t="str">
        <f ca="1"/>
        <v>Spectacular Spider-Man</v>
      </c>
      <c r="EX287" t="str">
        <f ca="1"/>
        <v>Muscle Sliver</v>
      </c>
    </row>
    <row r="288" spans="1:154" x14ac:dyDescent="0.25">
      <c r="A288" s="2" t="str">
        <f t="shared" ca="1" si="14"/>
        <v>3</v>
      </c>
      <c r="B288" s="2">
        <f t="shared" ca="1" si="15"/>
        <v>1</v>
      </c>
      <c r="C288" s="2" t="str">
        <f ca="1">IFERROR(
 INDEX($V$1:$BL$1,
  MATCH(TRUE,
   CHOOSE({1;2;3;4;5;6;7;8;9;10;11;12;13;14;15;16;17;18;19;20;21;22;23;24;25;26;27;28;29;30;31;32;33;34;35;36;37;38;39;40;41;42;43},
    COUNTIFS($V$2:$V$200,$G288)&gt;0,
    COUNTIFS($W$2:$W$200,$G288)&gt;0,
    COUNTIFS($X$2:$X$200,$G288)&gt;0,
    COUNTIFS($Y$2:$Y$200,$G288)&gt;0,
    COUNTIFS($Z$2:$Z$200,$G288)&gt;0,
    COUNTIFS($AA$2:$AA$200,$G288)&gt;0,
    COUNTIFS($AB$2:$AB$200,$G288)&gt;0,
    COUNTIFS($AC$2:$AC$200,$G288)&gt;0,
    COUNTIFS($AD$2:$AD$200,$G288)&gt;0,
    COUNTIFS($AE$2:$AE$200,$G288)&gt;0,
    COUNTIFS($AF$2:$AF$200,$G288)&gt;0,
    COUNTIFS($AG$2:$AG$200,$G288)&gt;0,
    COUNTIFS($AH$2:$AH$200,$G288)&gt;0,
    COUNTIFS($AI$2:$AI$200,$G288)&gt;0,
    COUNTIFS($AJ$2:$AJ$200,$G288)&gt;0,
    COUNTIFS($AK$2:$AK$200,$G288)&gt;0,
    COUNTIFS($AL$2:$AL$200,$G288)&gt;0,
    COUNTIFS($AM$2:$AM$200,$G288)&gt;0,
    COUNTIFS($AN$2:$AN$200,$G288)&gt;0,
    COUNTIFS($AO$2:$AO$200,$G288)&gt;0,
    COUNTIFS($AP$2:$AP$200,$G288)&gt;0,
    COUNTIFS($AQ$2:$AQ$200,$G288)&gt;0,
    COUNTIFS($AR$2:$AR$200,$G288)&gt;0,
    COUNTIFS($AS$2:$AS$200,$G288)&gt;0,
    COUNTIFS($AT$2:$AT$200,$G288)&gt;0,
    COUNTIFS($AU$2:$AU$200,$G288)&gt;0,
    COUNTIFS($AV$2:$AV$200,$G288)&gt;0,
    COUNTIFS($AW$2:$AW$200,$G288)&gt;0,
    COUNTIFS($AX$2:$AX$200,$G288)&gt;0,
    COUNTIFS($AY$2:$AY$200,$G288)&gt;0,
    COUNTIFS($AZ$2:$AZ$200,$G288)&gt;0,
    COUNTIFS($BA$2:$BA$200,$G288)&gt;0,
    COUNTIFS($BB$2:$BB$200,$G288)&gt;0,
    COUNTIFS($BC$2:$BC$200,$G288)&gt;0,
    COUNTIFS($BD$2:$BD$200,$G288)&gt;0,
    COUNTIFS($BE$2:$BE$200,$G288)&gt;0,
    COUNTIFS($BF$2:$BF$200,$G288)&gt;0,
    COUNTIFS($BG$2:$BG$200,$G288)&gt;0,
    COUNTIFS($BH$2:$BH$200,$G288)&gt;0,
    COUNTIFS($BI$2:$BI$200,$G288)&gt;0,
    COUNTIFS($BJ$2:$BJ$200,$G288)&gt;0,
    COUNTIFS($BK$2:$BK$200,$G288)&gt;0,
    COUNTIFS($BL$2:$BL$200,$G288)&gt;0,
    COUNTIFS($BM$2:$BM$200,$G288)&gt;0,
   ),
  0)
 ),
"")</f>
        <v>Kumena</v>
      </c>
      <c r="D288" s="2" t="str" cm="1">
        <f t="array" aca="1" ref="D288" ca="1">IFERROR(
 INDEX(
  _xlfn._xlws.FILTER($V$1:$AY$1,
   TRANSPOSE(
    CHOOSE({1;2;3;4;5;6;7;8;9;10;11;12;13;14;15;16;17;18;19;20;21;22;23;24;25;26;27;28;29;30},
     COUNTIFS($V$2:$V$200,$G288)&gt;0,
     COUNTIFS($W$2:$W$200,$G288)&gt;0,
     COUNTIFS($X$2:$X$200,$G288)&gt;0,
     COUNTIFS($Y$2:$Y$200,$G288)&gt;0,
     COUNTIFS($Z$2:$Z$200,$G288)&gt;0,
     COUNTIFS($AA$2:$AA$200,$G288)&gt;0,
     COUNTIFS($AB$2:$AB$200,$G288)&gt;0,
     COUNTIFS($AC$2:$AC$200,$G288)&gt;0,
     COUNTIFS($AD$2:$AD$200,$G288)&gt;0,
     COUNTIFS($AE$2:$AE$200,$G288)&gt;0,
     COUNTIFS($AF$2:$AF$200,$G288)&gt;0,
     COUNTIFS($AG$2:$AG$200,$G288)&gt;0,
     COUNTIFS($AH$2:$AH$200,$G288)&gt;0,
     COUNTIFS($AI$2:$AI$200,$G288)&gt;0,
     COUNTIFS($AJ$2:$AJ$200,$G288)&gt;0,
     COUNTIFS($AK$2:$AK$200,$G288)&gt;0,
     COUNTIFS($AL$2:$AL$200,$G288)&gt;0,
     COUNTIFS($AM$2:$AM$200,$G288)&gt;0,
     COUNTIFS($AN$2:$AN$200,$G288)&gt;0,
     COUNTIFS($AO$2:$AO$200,$G288)&gt;0,
     COUNTIFS($AP$2:$AP$200,$G288)&gt;0,
     COUNTIFS($AQ$2:$AQ$200,$G288)&gt;0,
     COUNTIFS($AR$2:$AR$200,$G288)&gt;0,
     COUNTIFS($AS$2:$AS$200,$G288)&gt;0,
     COUNTIFS($AT$2:$AT$200,$G288)&gt;0,
     COUNTIFS($AU$2:$AU$200,$G288)&gt;0,
     COUNTIFS($AV$2:$AV$200,$G288)&gt;0,
     COUNTIFS($AW$2:$AW$200,$G288)&gt;0,
     COUNTIFS($AX$2:$AX$200,$G288)&gt;0,
     COUNTIFS($AY$2:$AY$200,$G288)&gt;0
   )),
  ),
  2
 ),
"")</f>
        <v/>
      </c>
      <c r="E288" s="2" t="str" cm="1">
        <f t="array" aca="1" ref="E288" ca="1">IFERROR(
 INDEX(
  _xlfn._xlws.FILTER($V$1:$AY$1,
   TRANSPOSE(
    CHOOSE({1;2;3;4;5;6;7;8;9;10;11;12;13;14;15;16;17;18;19;20;21;22;23;24;25;26;27;28;29;30},
     COUNTIFS($V$2:$V$200,$G288)&gt;0,
     COUNTIFS($W$2:$W$200,$G288)&gt;0,
     COUNTIFS($X$2:$X$200,$G288)&gt;0,
     COUNTIFS($Y$2:$Y$200,$G288)&gt;0,
     COUNTIFS($Z$2:$Z$200,$G288)&gt;0,
     COUNTIFS($AA$2:$AA$200,$G288)&gt;0,
     COUNTIFS($AB$2:$AB$200,$G288)&gt;0,
     COUNTIFS($AC$2:$AC$200,$G288)&gt;0,
     COUNTIFS($AD$2:$AD$200,$G288)&gt;0,
     COUNTIFS($AE$2:$AE$200,$G288)&gt;0,
     COUNTIFS($AF$2:$AF$200,$G288)&gt;0,
     COUNTIFS($AG$2:$AG$200,$G288)&gt;0,
     COUNTIFS($AH$2:$AH$200,$G288)&gt;0,
     COUNTIFS($AI$2:$AI$200,$G288)&gt;0,
     COUNTIFS($AJ$2:$AJ$200,$G288)&gt;0,
     COUNTIFS($AK$2:$AK$200,$G288)&gt;0,
     COUNTIFS($AL$2:$AL$200,$G288)&gt;0,
     COUNTIFS($AM$2:$AM$200,$G288)&gt;0,
     COUNTIFS($AN$2:$AN$200,$G288)&gt;0,
     COUNTIFS($AO$2:$AO$200,$G288)&gt;0,
     COUNTIFS($AP$2:$AP$200,$G288)&gt;0,
     COUNTIFS($AQ$2:$AQ$200,$G288)&gt;0,
     COUNTIFS($AR$2:$AR$200,$G288)&gt;0,
     COUNTIFS($AS$2:$AS$200,$G288)&gt;0,
     COUNTIFS($AT$2:$AT$200,$G288)&gt;0,
     COUNTIFS($AU$2:$AU$200,$G288)&gt;0,
     COUNTIFS($AV$2:$AV$200,$G288)&gt;0,
     COUNTIFS($AW$2:$AW$200,$G288)&gt;0,
     COUNTIFS($AX$2:$AX$200,$G288)&gt;0,
     COUNTIFS($AY$2:$AY$200,$G288)&gt;0
   )),
  ),
  3
 ),
"")</f>
        <v/>
      </c>
      <c r="F288" s="2" t="str" cm="1">
        <f t="array" aca="1" ref="F288" ca="1">IFERROR(
 INDEX(
  _xlfn._xlws.FILTER($V$1:$AY$1,
   TRANSPOSE(
    CHOOSE({1;2;3;4;5;6;7;8;9;10;11;12;13;14;15;16;17;18;19;20;21;22;23;24;25;26;27;28;29;30},
     COUNTIFS($V$2:$V$200,$G288)&gt;0,
     COUNTIFS($W$2:$W$200,$G288)&gt;0,
     COUNTIFS($X$2:$X$200,$G288)&gt;0,
     COUNTIFS($Y$2:$Y$200,$G288)&gt;0,
     COUNTIFS($Z$2:$Z$200,$G288)&gt;0,
     COUNTIFS($AA$2:$AA$200,$G288)&gt;0,
     COUNTIFS($AB$2:$AB$200,$G288)&gt;0,
     COUNTIFS($AC$2:$AC$200,$G288)&gt;0,
     COUNTIFS($AD$2:$AD$200,$G288)&gt;0,
     COUNTIFS($AE$2:$AE$200,$G288)&gt;0,
     COUNTIFS($AF$2:$AF$200,$G288)&gt;0,
     COUNTIFS($AG$2:$AG$200,$G288)&gt;0,
     COUNTIFS($AH$2:$AH$200,$G288)&gt;0,
     COUNTIFS($AI$2:$AI$200,$G288)&gt;0,
     COUNTIFS($AJ$2:$AJ$200,$G288)&gt;0,
     COUNTIFS($AK$2:$AK$200,$G288)&gt;0,
     COUNTIFS($AL$2:$AL$200,$G288)&gt;0,
     COUNTIFS($AM$2:$AM$200,$G288)&gt;0,
     COUNTIFS($AN$2:$AN$200,$G288)&gt;0,
     COUNTIFS($AO$2:$AO$200,$G288)&gt;0,
     COUNTIFS($AP$2:$AP$200,$G288)&gt;0,
     COUNTIFS($AQ$2:$AQ$200,$G288)&gt;0,
     COUNTIFS($AR$2:$AR$200,$G288)&gt;0,
     COUNTIFS($AS$2:$AS$200,$G288)&gt;0,
     COUNTIFS($AT$2:$AT$200,$G288)&gt;0,
     COUNTIFS($AU$2:$AU$200,$G288)&gt;0,
     COUNTIFS($AV$2:$AV$200,$G288)&gt;0,
     COUNTIFS($AW$2:$AW$200,$G288)&gt;0,
     COUNTIFS($AX$2:$AX$200,$G288)&gt;0,
     COUNTIFS($AY$2:$AY$200,$G288)&gt;0
   )),
  ),
  4
 ),
"")</f>
        <v/>
      </c>
      <c r="G288" t="str">
        <f ca="1"/>
        <v>Mutable Explorer</v>
      </c>
      <c r="EU288" t="str">
        <f ca="1"/>
        <v>Spectator Seating</v>
      </c>
      <c r="EX288" t="str">
        <f ca="1"/>
        <v>Mutable Explorer</v>
      </c>
    </row>
    <row r="289" spans="1:154" x14ac:dyDescent="0.25">
      <c r="A289" s="2" t="str">
        <f t="shared" ca="1" si="14"/>
        <v>5</v>
      </c>
      <c r="B289" s="2">
        <f t="shared" ca="1" si="15"/>
        <v>1</v>
      </c>
      <c r="C289" s="2" t="str">
        <f ca="1">IFERROR(
 INDEX($V$1:$BL$1,
  MATCH(TRUE,
   CHOOSE({1;2;3;4;5;6;7;8;9;10;11;12;13;14;15;16;17;18;19;20;21;22;23;24;25;26;27;28;29;30;31;32;33;34;35;36;37;38;39;40;41;42;43},
    COUNTIFS($V$2:$V$200,$G289)&gt;0,
    COUNTIFS($W$2:$W$200,$G289)&gt;0,
    COUNTIFS($X$2:$X$200,$G289)&gt;0,
    COUNTIFS($Y$2:$Y$200,$G289)&gt;0,
    COUNTIFS($Z$2:$Z$200,$G289)&gt;0,
    COUNTIFS($AA$2:$AA$200,$G289)&gt;0,
    COUNTIFS($AB$2:$AB$200,$G289)&gt;0,
    COUNTIFS($AC$2:$AC$200,$G289)&gt;0,
    COUNTIFS($AD$2:$AD$200,$G289)&gt;0,
    COUNTIFS($AE$2:$AE$200,$G289)&gt;0,
    COUNTIFS($AF$2:$AF$200,$G289)&gt;0,
    COUNTIFS($AG$2:$AG$200,$G289)&gt;0,
    COUNTIFS($AH$2:$AH$200,$G289)&gt;0,
    COUNTIFS($AI$2:$AI$200,$G289)&gt;0,
    COUNTIFS($AJ$2:$AJ$200,$G289)&gt;0,
    COUNTIFS($AK$2:$AK$200,$G289)&gt;0,
    COUNTIFS($AL$2:$AL$200,$G289)&gt;0,
    COUNTIFS($AM$2:$AM$200,$G289)&gt;0,
    COUNTIFS($AN$2:$AN$200,$G289)&gt;0,
    COUNTIFS($AO$2:$AO$200,$G289)&gt;0,
    COUNTIFS($AP$2:$AP$200,$G289)&gt;0,
    COUNTIFS($AQ$2:$AQ$200,$G289)&gt;0,
    COUNTIFS($AR$2:$AR$200,$G289)&gt;0,
    COUNTIFS($AS$2:$AS$200,$G289)&gt;0,
    COUNTIFS($AT$2:$AT$200,$G289)&gt;0,
    COUNTIFS($AU$2:$AU$200,$G289)&gt;0,
    COUNTIFS($AV$2:$AV$200,$G289)&gt;0,
    COUNTIFS($AW$2:$AW$200,$G289)&gt;0,
    COUNTIFS($AX$2:$AX$200,$G289)&gt;0,
    COUNTIFS($AY$2:$AY$200,$G289)&gt;0,
    COUNTIFS($AZ$2:$AZ$200,$G289)&gt;0,
    COUNTIFS($BA$2:$BA$200,$G289)&gt;0,
    COUNTIFS($BB$2:$BB$200,$G289)&gt;0,
    COUNTIFS($BC$2:$BC$200,$G289)&gt;0,
    COUNTIFS($BD$2:$BD$200,$G289)&gt;0,
    COUNTIFS($BE$2:$BE$200,$G289)&gt;0,
    COUNTIFS($BF$2:$BF$200,$G289)&gt;0,
    COUNTIFS($BG$2:$BG$200,$G289)&gt;0,
    COUNTIFS($BH$2:$BH$200,$G289)&gt;0,
    COUNTIFS($BI$2:$BI$200,$G289)&gt;0,
    COUNTIFS($BJ$2:$BJ$200,$G289)&gt;0,
    COUNTIFS($BK$2:$BK$200,$G289)&gt;0,
    COUNTIFS($BL$2:$BL$200,$G289)&gt;0,
    COUNTIFS($BM$2:$BM$200,$G289)&gt;0,
   ),
  0)
 ),
"")</f>
        <v>Little</v>
      </c>
      <c r="D289" s="2" t="str" cm="1">
        <f t="array" aca="1" ref="D289" ca="1">IFERROR(
 INDEX(
  _xlfn._xlws.FILTER($V$1:$AY$1,
   TRANSPOSE(
    CHOOSE({1;2;3;4;5;6;7;8;9;10;11;12;13;14;15;16;17;18;19;20;21;22;23;24;25;26;27;28;29;30},
     COUNTIFS($V$2:$V$200,$G289)&gt;0,
     COUNTIFS($W$2:$W$200,$G289)&gt;0,
     COUNTIFS($X$2:$X$200,$G289)&gt;0,
     COUNTIFS($Y$2:$Y$200,$G289)&gt;0,
     COUNTIFS($Z$2:$Z$200,$G289)&gt;0,
     COUNTIFS($AA$2:$AA$200,$G289)&gt;0,
     COUNTIFS($AB$2:$AB$200,$G289)&gt;0,
     COUNTIFS($AC$2:$AC$200,$G289)&gt;0,
     COUNTIFS($AD$2:$AD$200,$G289)&gt;0,
     COUNTIFS($AE$2:$AE$200,$G289)&gt;0,
     COUNTIFS($AF$2:$AF$200,$G289)&gt;0,
     COUNTIFS($AG$2:$AG$200,$G289)&gt;0,
     COUNTIFS($AH$2:$AH$200,$G289)&gt;0,
     COUNTIFS($AI$2:$AI$200,$G289)&gt;0,
     COUNTIFS($AJ$2:$AJ$200,$G289)&gt;0,
     COUNTIFS($AK$2:$AK$200,$G289)&gt;0,
     COUNTIFS($AL$2:$AL$200,$G289)&gt;0,
     COUNTIFS($AM$2:$AM$200,$G289)&gt;0,
     COUNTIFS($AN$2:$AN$200,$G289)&gt;0,
     COUNTIFS($AO$2:$AO$200,$G289)&gt;0,
     COUNTIFS($AP$2:$AP$200,$G289)&gt;0,
     COUNTIFS($AQ$2:$AQ$200,$G289)&gt;0,
     COUNTIFS($AR$2:$AR$200,$G289)&gt;0,
     COUNTIFS($AS$2:$AS$200,$G289)&gt;0,
     COUNTIFS($AT$2:$AT$200,$G289)&gt;0,
     COUNTIFS($AU$2:$AU$200,$G289)&gt;0,
     COUNTIFS($AV$2:$AV$200,$G289)&gt;0,
     COUNTIFS($AW$2:$AW$200,$G289)&gt;0,
     COUNTIFS($AX$2:$AX$200,$G289)&gt;0,
     COUNTIFS($AY$2:$AY$200,$G289)&gt;0
   )),
  ),
  2
 ),
"")</f>
        <v/>
      </c>
      <c r="E289" s="2" t="str" cm="1">
        <f t="array" aca="1" ref="E289" ca="1">IFERROR(
 INDEX(
  _xlfn._xlws.FILTER($V$1:$AY$1,
   TRANSPOSE(
    CHOOSE({1;2;3;4;5;6;7;8;9;10;11;12;13;14;15;16;17;18;19;20;21;22;23;24;25;26;27;28;29;30},
     COUNTIFS($V$2:$V$200,$G289)&gt;0,
     COUNTIFS($W$2:$W$200,$G289)&gt;0,
     COUNTIFS($X$2:$X$200,$G289)&gt;0,
     COUNTIFS($Y$2:$Y$200,$G289)&gt;0,
     COUNTIFS($Z$2:$Z$200,$G289)&gt;0,
     COUNTIFS($AA$2:$AA$200,$G289)&gt;0,
     COUNTIFS($AB$2:$AB$200,$G289)&gt;0,
     COUNTIFS($AC$2:$AC$200,$G289)&gt;0,
     COUNTIFS($AD$2:$AD$200,$G289)&gt;0,
     COUNTIFS($AE$2:$AE$200,$G289)&gt;0,
     COUNTIFS($AF$2:$AF$200,$G289)&gt;0,
     COUNTIFS($AG$2:$AG$200,$G289)&gt;0,
     COUNTIFS($AH$2:$AH$200,$G289)&gt;0,
     COUNTIFS($AI$2:$AI$200,$G289)&gt;0,
     COUNTIFS($AJ$2:$AJ$200,$G289)&gt;0,
     COUNTIFS($AK$2:$AK$200,$G289)&gt;0,
     COUNTIFS($AL$2:$AL$200,$G289)&gt;0,
     COUNTIFS($AM$2:$AM$200,$G289)&gt;0,
     COUNTIFS($AN$2:$AN$200,$G289)&gt;0,
     COUNTIFS($AO$2:$AO$200,$G289)&gt;0,
     COUNTIFS($AP$2:$AP$200,$G289)&gt;0,
     COUNTIFS($AQ$2:$AQ$200,$G289)&gt;0,
     COUNTIFS($AR$2:$AR$200,$G289)&gt;0,
     COUNTIFS($AS$2:$AS$200,$G289)&gt;0,
     COUNTIFS($AT$2:$AT$200,$G289)&gt;0,
     COUNTIFS($AU$2:$AU$200,$G289)&gt;0,
     COUNTIFS($AV$2:$AV$200,$G289)&gt;0,
     COUNTIFS($AW$2:$AW$200,$G289)&gt;0,
     COUNTIFS($AX$2:$AX$200,$G289)&gt;0,
     COUNTIFS($AY$2:$AY$200,$G289)&gt;0
   )),
  ),
  3
 ),
"")</f>
        <v/>
      </c>
      <c r="F289" s="2" t="str" cm="1">
        <f t="array" aca="1" ref="F289" ca="1">IFERROR(
 INDEX(
  _xlfn._xlws.FILTER($V$1:$AY$1,
   TRANSPOSE(
    CHOOSE({1;2;3;4;5;6;7;8;9;10;11;12;13;14;15;16;17;18;19;20;21;22;23;24;25;26;27;28;29;30},
     COUNTIFS($V$2:$V$200,$G289)&gt;0,
     COUNTIFS($W$2:$W$200,$G289)&gt;0,
     COUNTIFS($X$2:$X$200,$G289)&gt;0,
     COUNTIFS($Y$2:$Y$200,$G289)&gt;0,
     COUNTIFS($Z$2:$Z$200,$G289)&gt;0,
     COUNTIFS($AA$2:$AA$200,$G289)&gt;0,
     COUNTIFS($AB$2:$AB$200,$G289)&gt;0,
     COUNTIFS($AC$2:$AC$200,$G289)&gt;0,
     COUNTIFS($AD$2:$AD$200,$G289)&gt;0,
     COUNTIFS($AE$2:$AE$200,$G289)&gt;0,
     COUNTIFS($AF$2:$AF$200,$G289)&gt;0,
     COUNTIFS($AG$2:$AG$200,$G289)&gt;0,
     COUNTIFS($AH$2:$AH$200,$G289)&gt;0,
     COUNTIFS($AI$2:$AI$200,$G289)&gt;0,
     COUNTIFS($AJ$2:$AJ$200,$G289)&gt;0,
     COUNTIFS($AK$2:$AK$200,$G289)&gt;0,
     COUNTIFS($AL$2:$AL$200,$G289)&gt;0,
     COUNTIFS($AM$2:$AM$200,$G289)&gt;0,
     COUNTIFS($AN$2:$AN$200,$G289)&gt;0,
     COUNTIFS($AO$2:$AO$200,$G289)&gt;0,
     COUNTIFS($AP$2:$AP$200,$G289)&gt;0,
     COUNTIFS($AQ$2:$AQ$200,$G289)&gt;0,
     COUNTIFS($AR$2:$AR$200,$G289)&gt;0,
     COUNTIFS($AS$2:$AS$200,$G289)&gt;0,
     COUNTIFS($AT$2:$AT$200,$G289)&gt;0,
     COUNTIFS($AU$2:$AU$200,$G289)&gt;0,
     COUNTIFS($AV$2:$AV$200,$G289)&gt;0,
     COUNTIFS($AW$2:$AW$200,$G289)&gt;0,
     COUNTIFS($AX$2:$AX$200,$G289)&gt;0,
     COUNTIFS($AY$2:$AY$200,$G289)&gt;0
   )),
  ),
  4
 ),
"")</f>
        <v/>
      </c>
      <c r="G289" t="str">
        <f ca="1"/>
        <v>Myrel, Shield of Argive</v>
      </c>
      <c r="EU289" t="str">
        <f ca="1"/>
        <v>Sphere Grid</v>
      </c>
      <c r="EX289" t="str">
        <f ca="1"/>
        <v>Myrel, Shield of Argive</v>
      </c>
    </row>
    <row r="290" spans="1:154" x14ac:dyDescent="0.25">
      <c r="A290" s="2" t="str">
        <f t="shared" ca="1" si="14"/>
        <v>5</v>
      </c>
      <c r="B290" s="2">
        <f t="shared" ca="1" si="15"/>
        <v>1</v>
      </c>
      <c r="C290" s="2" t="str">
        <f ca="1">IFERROR(
 INDEX($V$1:$BL$1,
  MATCH(TRUE,
   CHOOSE({1;2;3;4;5;6;7;8;9;10;11;12;13;14;15;16;17;18;19;20;21;22;23;24;25;26;27;28;29;30;31;32;33;34;35;36;37;38;39;40;41;42;43},
    COUNTIFS($V$2:$V$200,$G290)&gt;0,
    COUNTIFS($W$2:$W$200,$G290)&gt;0,
    COUNTIFS($X$2:$X$200,$G290)&gt;0,
    COUNTIFS($Y$2:$Y$200,$G290)&gt;0,
    COUNTIFS($Z$2:$Z$200,$G290)&gt;0,
    COUNTIFS($AA$2:$AA$200,$G290)&gt;0,
    COUNTIFS($AB$2:$AB$200,$G290)&gt;0,
    COUNTIFS($AC$2:$AC$200,$G290)&gt;0,
    COUNTIFS($AD$2:$AD$200,$G290)&gt;0,
    COUNTIFS($AE$2:$AE$200,$G290)&gt;0,
    COUNTIFS($AF$2:$AF$200,$G290)&gt;0,
    COUNTIFS($AG$2:$AG$200,$G290)&gt;0,
    COUNTIFS($AH$2:$AH$200,$G290)&gt;0,
    COUNTIFS($AI$2:$AI$200,$G290)&gt;0,
    COUNTIFS($AJ$2:$AJ$200,$G290)&gt;0,
    COUNTIFS($AK$2:$AK$200,$G290)&gt;0,
    COUNTIFS($AL$2:$AL$200,$G290)&gt;0,
    COUNTIFS($AM$2:$AM$200,$G290)&gt;0,
    COUNTIFS($AN$2:$AN$200,$G290)&gt;0,
    COUNTIFS($AO$2:$AO$200,$G290)&gt;0,
    COUNTIFS($AP$2:$AP$200,$G290)&gt;0,
    COUNTIFS($AQ$2:$AQ$200,$G290)&gt;0,
    COUNTIFS($AR$2:$AR$200,$G290)&gt;0,
    COUNTIFS($AS$2:$AS$200,$G290)&gt;0,
    COUNTIFS($AT$2:$AT$200,$G290)&gt;0,
    COUNTIFS($AU$2:$AU$200,$G290)&gt;0,
    COUNTIFS($AV$2:$AV$200,$G290)&gt;0,
    COUNTIFS($AW$2:$AW$200,$G290)&gt;0,
    COUNTIFS($AX$2:$AX$200,$G290)&gt;0,
    COUNTIFS($AY$2:$AY$200,$G290)&gt;0,
    COUNTIFS($AZ$2:$AZ$200,$G290)&gt;0,
    COUNTIFS($BA$2:$BA$200,$G290)&gt;0,
    COUNTIFS($BB$2:$BB$200,$G290)&gt;0,
    COUNTIFS($BC$2:$BC$200,$G290)&gt;0,
    COUNTIFS($BD$2:$BD$200,$G290)&gt;0,
    COUNTIFS($BE$2:$BE$200,$G290)&gt;0,
    COUNTIFS($BF$2:$BF$200,$G290)&gt;0,
    COUNTIFS($BG$2:$BG$200,$G290)&gt;0,
    COUNTIFS($BH$2:$BH$200,$G290)&gt;0,
    COUNTIFS($BI$2:$BI$200,$G290)&gt;0,
    COUNTIFS($BJ$2:$BJ$200,$G290)&gt;0,
    COUNTIFS($BK$2:$BK$200,$G290)&gt;0,
    COUNTIFS($BL$2:$BL$200,$G290)&gt;0,
    COUNTIFS($BM$2:$BM$200,$G290)&gt;0,
   ),
  0)
 ),
"")</f>
        <v>4cRash</v>
      </c>
      <c r="D290" s="2" t="str" cm="1">
        <f t="array" aca="1" ref="D290" ca="1">IFERROR(
 INDEX(
  _xlfn._xlws.FILTER($V$1:$AY$1,
   TRANSPOSE(
    CHOOSE({1;2;3;4;5;6;7;8;9;10;11;12;13;14;15;16;17;18;19;20;21;22;23;24;25;26;27;28;29;30},
     COUNTIFS($V$2:$V$200,$G290)&gt;0,
     COUNTIFS($W$2:$W$200,$G290)&gt;0,
     COUNTIFS($X$2:$X$200,$G290)&gt;0,
     COUNTIFS($Y$2:$Y$200,$G290)&gt;0,
     COUNTIFS($Z$2:$Z$200,$G290)&gt;0,
     COUNTIFS($AA$2:$AA$200,$G290)&gt;0,
     COUNTIFS($AB$2:$AB$200,$G290)&gt;0,
     COUNTIFS($AC$2:$AC$200,$G290)&gt;0,
     COUNTIFS($AD$2:$AD$200,$G290)&gt;0,
     COUNTIFS($AE$2:$AE$200,$G290)&gt;0,
     COUNTIFS($AF$2:$AF$200,$G290)&gt;0,
     COUNTIFS($AG$2:$AG$200,$G290)&gt;0,
     COUNTIFS($AH$2:$AH$200,$G290)&gt;0,
     COUNTIFS($AI$2:$AI$200,$G290)&gt;0,
     COUNTIFS($AJ$2:$AJ$200,$G290)&gt;0,
     COUNTIFS($AK$2:$AK$200,$G290)&gt;0,
     COUNTIFS($AL$2:$AL$200,$G290)&gt;0,
     COUNTIFS($AM$2:$AM$200,$G290)&gt;0,
     COUNTIFS($AN$2:$AN$200,$G290)&gt;0,
     COUNTIFS($AO$2:$AO$200,$G290)&gt;0,
     COUNTIFS($AP$2:$AP$200,$G290)&gt;0,
     COUNTIFS($AQ$2:$AQ$200,$G290)&gt;0,
     COUNTIFS($AR$2:$AR$200,$G290)&gt;0,
     COUNTIFS($AS$2:$AS$200,$G290)&gt;0,
     COUNTIFS($AT$2:$AT$200,$G290)&gt;0,
     COUNTIFS($AU$2:$AU$200,$G290)&gt;0,
     COUNTIFS($AV$2:$AV$200,$G290)&gt;0,
     COUNTIFS($AW$2:$AW$200,$G290)&gt;0,
     COUNTIFS($AX$2:$AX$200,$G290)&gt;0,
     COUNTIFS($AY$2:$AY$200,$G290)&gt;0
   )),
  ),
  2
 ),
"")</f>
        <v/>
      </c>
      <c r="E290" s="2" t="str" cm="1">
        <f t="array" aca="1" ref="E290" ca="1">IFERROR(
 INDEX(
  _xlfn._xlws.FILTER($V$1:$AY$1,
   TRANSPOSE(
    CHOOSE({1;2;3;4;5;6;7;8;9;10;11;12;13;14;15;16;17;18;19;20;21;22;23;24;25;26;27;28;29;30},
     COUNTIFS($V$2:$V$200,$G290)&gt;0,
     COUNTIFS($W$2:$W$200,$G290)&gt;0,
     COUNTIFS($X$2:$X$200,$G290)&gt;0,
     COUNTIFS($Y$2:$Y$200,$G290)&gt;0,
     COUNTIFS($Z$2:$Z$200,$G290)&gt;0,
     COUNTIFS($AA$2:$AA$200,$G290)&gt;0,
     COUNTIFS($AB$2:$AB$200,$G290)&gt;0,
     COUNTIFS($AC$2:$AC$200,$G290)&gt;0,
     COUNTIFS($AD$2:$AD$200,$G290)&gt;0,
     COUNTIFS($AE$2:$AE$200,$G290)&gt;0,
     COUNTIFS($AF$2:$AF$200,$G290)&gt;0,
     COUNTIFS($AG$2:$AG$200,$G290)&gt;0,
     COUNTIFS($AH$2:$AH$200,$G290)&gt;0,
     COUNTIFS($AI$2:$AI$200,$G290)&gt;0,
     COUNTIFS($AJ$2:$AJ$200,$G290)&gt;0,
     COUNTIFS($AK$2:$AK$200,$G290)&gt;0,
     COUNTIFS($AL$2:$AL$200,$G290)&gt;0,
     COUNTIFS($AM$2:$AM$200,$G290)&gt;0,
     COUNTIFS($AN$2:$AN$200,$G290)&gt;0,
     COUNTIFS($AO$2:$AO$200,$G290)&gt;0,
     COUNTIFS($AP$2:$AP$200,$G290)&gt;0,
     COUNTIFS($AQ$2:$AQ$200,$G290)&gt;0,
     COUNTIFS($AR$2:$AR$200,$G290)&gt;0,
     COUNTIFS($AS$2:$AS$200,$G290)&gt;0,
     COUNTIFS($AT$2:$AT$200,$G290)&gt;0,
     COUNTIFS($AU$2:$AU$200,$G290)&gt;0,
     COUNTIFS($AV$2:$AV$200,$G290)&gt;0,
     COUNTIFS($AW$2:$AW$200,$G290)&gt;0,
     COUNTIFS($AX$2:$AX$200,$G290)&gt;0,
     COUNTIFS($AY$2:$AY$200,$G290)&gt;0
   )),
  ),
  3
 ),
"")</f>
        <v/>
      </c>
      <c r="F290" s="2" t="str" cm="1">
        <f t="array" aca="1" ref="F290" ca="1">IFERROR(
 INDEX(
  _xlfn._xlws.FILTER($V$1:$AY$1,
   TRANSPOSE(
    CHOOSE({1;2;3;4;5;6;7;8;9;10;11;12;13;14;15;16;17;18;19;20;21;22;23;24;25;26;27;28;29;30},
     COUNTIFS($V$2:$V$200,$G290)&gt;0,
     COUNTIFS($W$2:$W$200,$G290)&gt;0,
     COUNTIFS($X$2:$X$200,$G290)&gt;0,
     COUNTIFS($Y$2:$Y$200,$G290)&gt;0,
     COUNTIFS($Z$2:$Z$200,$G290)&gt;0,
     COUNTIFS($AA$2:$AA$200,$G290)&gt;0,
     COUNTIFS($AB$2:$AB$200,$G290)&gt;0,
     COUNTIFS($AC$2:$AC$200,$G290)&gt;0,
     COUNTIFS($AD$2:$AD$200,$G290)&gt;0,
     COUNTIFS($AE$2:$AE$200,$G290)&gt;0,
     COUNTIFS($AF$2:$AF$200,$G290)&gt;0,
     COUNTIFS($AG$2:$AG$200,$G290)&gt;0,
     COUNTIFS($AH$2:$AH$200,$G290)&gt;0,
     COUNTIFS($AI$2:$AI$200,$G290)&gt;0,
     COUNTIFS($AJ$2:$AJ$200,$G290)&gt;0,
     COUNTIFS($AK$2:$AK$200,$G290)&gt;0,
     COUNTIFS($AL$2:$AL$200,$G290)&gt;0,
     COUNTIFS($AM$2:$AM$200,$G290)&gt;0,
     COUNTIFS($AN$2:$AN$200,$G290)&gt;0,
     COUNTIFS($AO$2:$AO$200,$G290)&gt;0,
     COUNTIFS($AP$2:$AP$200,$G290)&gt;0,
     COUNTIFS($AQ$2:$AQ$200,$G290)&gt;0,
     COUNTIFS($AR$2:$AR$200,$G290)&gt;0,
     COUNTIFS($AS$2:$AS$200,$G290)&gt;0,
     COUNTIFS($AT$2:$AT$200,$G290)&gt;0,
     COUNTIFS($AU$2:$AU$200,$G290)&gt;0,
     COUNTIFS($AV$2:$AV$200,$G290)&gt;0,
     COUNTIFS($AW$2:$AW$200,$G290)&gt;0,
     COUNTIFS($AX$2:$AX$200,$G290)&gt;0,
     COUNTIFS($AY$2:$AY$200,$G290)&gt;0
   )),
  ),
  4
 ),
"")</f>
        <v/>
      </c>
      <c r="G290" t="str">
        <f ca="1"/>
        <v>Mystic Confluence</v>
      </c>
      <c r="EU290" t="str">
        <f ca="1"/>
        <v>Spirit Water Revival</v>
      </c>
      <c r="EX290" t="str">
        <f ca="1"/>
        <v>Mystic Confluence</v>
      </c>
    </row>
    <row r="291" spans="1:154" x14ac:dyDescent="0.25">
      <c r="A291" s="2" t="str">
        <f t="shared" ca="1" si="14"/>
        <v>5</v>
      </c>
      <c r="B291" s="2">
        <f t="shared" ca="1" si="15"/>
        <v>1</v>
      </c>
      <c r="C291" s="2" t="str">
        <f ca="1">IFERROR(
 INDEX($V$1:$BL$1,
  MATCH(TRUE,
   CHOOSE({1;2;3;4;5;6;7;8;9;10;11;12;13;14;15;16;17;18;19;20;21;22;23;24;25;26;27;28;29;30;31;32;33;34;35;36;37;38;39;40;41;42;43},
    COUNTIFS($V$2:$V$200,$G291)&gt;0,
    COUNTIFS($W$2:$W$200,$G291)&gt;0,
    COUNTIFS($X$2:$X$200,$G291)&gt;0,
    COUNTIFS($Y$2:$Y$200,$G291)&gt;0,
    COUNTIFS($Z$2:$Z$200,$G291)&gt;0,
    COUNTIFS($AA$2:$AA$200,$G291)&gt;0,
    COUNTIFS($AB$2:$AB$200,$G291)&gt;0,
    COUNTIFS($AC$2:$AC$200,$G291)&gt;0,
    COUNTIFS($AD$2:$AD$200,$G291)&gt;0,
    COUNTIFS($AE$2:$AE$200,$G291)&gt;0,
    COUNTIFS($AF$2:$AF$200,$G291)&gt;0,
    COUNTIFS($AG$2:$AG$200,$G291)&gt;0,
    COUNTIFS($AH$2:$AH$200,$G291)&gt;0,
    COUNTIFS($AI$2:$AI$200,$G291)&gt;0,
    COUNTIFS($AJ$2:$AJ$200,$G291)&gt;0,
    COUNTIFS($AK$2:$AK$200,$G291)&gt;0,
    COUNTIFS($AL$2:$AL$200,$G291)&gt;0,
    COUNTIFS($AM$2:$AM$200,$G291)&gt;0,
    COUNTIFS($AN$2:$AN$200,$G291)&gt;0,
    COUNTIFS($AO$2:$AO$200,$G291)&gt;0,
    COUNTIFS($AP$2:$AP$200,$G291)&gt;0,
    COUNTIFS($AQ$2:$AQ$200,$G291)&gt;0,
    COUNTIFS($AR$2:$AR$200,$G291)&gt;0,
    COUNTIFS($AS$2:$AS$200,$G291)&gt;0,
    COUNTIFS($AT$2:$AT$200,$G291)&gt;0,
    COUNTIFS($AU$2:$AU$200,$G291)&gt;0,
    COUNTIFS($AV$2:$AV$200,$G291)&gt;0,
    COUNTIFS($AW$2:$AW$200,$G291)&gt;0,
    COUNTIFS($AX$2:$AX$200,$G291)&gt;0,
    COUNTIFS($AY$2:$AY$200,$G291)&gt;0,
    COUNTIFS($AZ$2:$AZ$200,$G291)&gt;0,
    COUNTIFS($BA$2:$BA$200,$G291)&gt;0,
    COUNTIFS($BB$2:$BB$200,$G291)&gt;0,
    COUNTIFS($BC$2:$BC$200,$G291)&gt;0,
    COUNTIFS($BD$2:$BD$200,$G291)&gt;0,
    COUNTIFS($BE$2:$BE$200,$G291)&gt;0,
    COUNTIFS($BF$2:$BF$200,$G291)&gt;0,
    COUNTIFS($BG$2:$BG$200,$G291)&gt;0,
    COUNTIFS($BH$2:$BH$200,$G291)&gt;0,
    COUNTIFS($BI$2:$BI$200,$G291)&gt;0,
    COUNTIFS($BJ$2:$BJ$200,$G291)&gt;0,
    COUNTIFS($BK$2:$BK$200,$G291)&gt;0,
    COUNTIFS($BL$2:$BL$200,$G291)&gt;0,
    COUNTIFS($BM$2:$BM$200,$G291)&gt;0,
   ),
  0)
 ),
"")</f>
        <v>Yorion</v>
      </c>
      <c r="D291" s="2" t="str" cm="1">
        <f t="array" aca="1" ref="D291" ca="1">IFERROR(
 INDEX(
  _xlfn._xlws.FILTER($V$1:$AY$1,
   TRANSPOSE(
    CHOOSE({1;2;3;4;5;6;7;8;9;10;11;12;13;14;15;16;17;18;19;20;21;22;23;24;25;26;27;28;29;30},
     COUNTIFS($V$2:$V$200,$G291)&gt;0,
     COUNTIFS($W$2:$W$200,$G291)&gt;0,
     COUNTIFS($X$2:$X$200,$G291)&gt;0,
     COUNTIFS($Y$2:$Y$200,$G291)&gt;0,
     COUNTIFS($Z$2:$Z$200,$G291)&gt;0,
     COUNTIFS($AA$2:$AA$200,$G291)&gt;0,
     COUNTIFS($AB$2:$AB$200,$G291)&gt;0,
     COUNTIFS($AC$2:$AC$200,$G291)&gt;0,
     COUNTIFS($AD$2:$AD$200,$G291)&gt;0,
     COUNTIFS($AE$2:$AE$200,$G291)&gt;0,
     COUNTIFS($AF$2:$AF$200,$G291)&gt;0,
     COUNTIFS($AG$2:$AG$200,$G291)&gt;0,
     COUNTIFS($AH$2:$AH$200,$G291)&gt;0,
     COUNTIFS($AI$2:$AI$200,$G291)&gt;0,
     COUNTIFS($AJ$2:$AJ$200,$G291)&gt;0,
     COUNTIFS($AK$2:$AK$200,$G291)&gt;0,
     COUNTIFS($AL$2:$AL$200,$G291)&gt;0,
     COUNTIFS($AM$2:$AM$200,$G291)&gt;0,
     COUNTIFS($AN$2:$AN$200,$G291)&gt;0,
     COUNTIFS($AO$2:$AO$200,$G291)&gt;0,
     COUNTIFS($AP$2:$AP$200,$G291)&gt;0,
     COUNTIFS($AQ$2:$AQ$200,$G291)&gt;0,
     COUNTIFS($AR$2:$AR$200,$G291)&gt;0,
     COUNTIFS($AS$2:$AS$200,$G291)&gt;0,
     COUNTIFS($AT$2:$AT$200,$G291)&gt;0,
     COUNTIFS($AU$2:$AU$200,$G291)&gt;0,
     COUNTIFS($AV$2:$AV$200,$G291)&gt;0,
     COUNTIFS($AW$2:$AW$200,$G291)&gt;0,
     COUNTIFS($AX$2:$AX$200,$G291)&gt;0,
     COUNTIFS($AY$2:$AY$200,$G291)&gt;0
   )),
  ),
  2
 ),
"")</f>
        <v/>
      </c>
      <c r="E291" s="2" t="str" cm="1">
        <f t="array" aca="1" ref="E291" ca="1">IFERROR(
 INDEX(
  _xlfn._xlws.FILTER($V$1:$AY$1,
   TRANSPOSE(
    CHOOSE({1;2;3;4;5;6;7;8;9;10;11;12;13;14;15;16;17;18;19;20;21;22;23;24;25;26;27;28;29;30},
     COUNTIFS($V$2:$V$200,$G291)&gt;0,
     COUNTIFS($W$2:$W$200,$G291)&gt;0,
     COUNTIFS($X$2:$X$200,$G291)&gt;0,
     COUNTIFS($Y$2:$Y$200,$G291)&gt;0,
     COUNTIFS($Z$2:$Z$200,$G291)&gt;0,
     COUNTIFS($AA$2:$AA$200,$G291)&gt;0,
     COUNTIFS($AB$2:$AB$200,$G291)&gt;0,
     COUNTIFS($AC$2:$AC$200,$G291)&gt;0,
     COUNTIFS($AD$2:$AD$200,$G291)&gt;0,
     COUNTIFS($AE$2:$AE$200,$G291)&gt;0,
     COUNTIFS($AF$2:$AF$200,$G291)&gt;0,
     COUNTIFS($AG$2:$AG$200,$G291)&gt;0,
     COUNTIFS($AH$2:$AH$200,$G291)&gt;0,
     COUNTIFS($AI$2:$AI$200,$G291)&gt;0,
     COUNTIFS($AJ$2:$AJ$200,$G291)&gt;0,
     COUNTIFS($AK$2:$AK$200,$G291)&gt;0,
     COUNTIFS($AL$2:$AL$200,$G291)&gt;0,
     COUNTIFS($AM$2:$AM$200,$G291)&gt;0,
     COUNTIFS($AN$2:$AN$200,$G291)&gt;0,
     COUNTIFS($AO$2:$AO$200,$G291)&gt;0,
     COUNTIFS($AP$2:$AP$200,$G291)&gt;0,
     COUNTIFS($AQ$2:$AQ$200,$G291)&gt;0,
     COUNTIFS($AR$2:$AR$200,$G291)&gt;0,
     COUNTIFS($AS$2:$AS$200,$G291)&gt;0,
     COUNTIFS($AT$2:$AT$200,$G291)&gt;0,
     COUNTIFS($AU$2:$AU$200,$G291)&gt;0,
     COUNTIFS($AV$2:$AV$200,$G291)&gt;0,
     COUNTIFS($AW$2:$AW$200,$G291)&gt;0,
     COUNTIFS($AX$2:$AX$200,$G291)&gt;0,
     COUNTIFS($AY$2:$AY$200,$G291)&gt;0
   )),
  ),
  3
 ),
"")</f>
        <v/>
      </c>
      <c r="F291" s="2" t="str" cm="1">
        <f t="array" aca="1" ref="F291" ca="1">IFERROR(
 INDEX(
  _xlfn._xlws.FILTER($V$1:$AY$1,
   TRANSPOSE(
    CHOOSE({1;2;3;4;5;6;7;8;9;10;11;12;13;14;15;16;17;18;19;20;21;22;23;24;25;26;27;28;29;30},
     COUNTIFS($V$2:$V$200,$G291)&gt;0,
     COUNTIFS($W$2:$W$200,$G291)&gt;0,
     COUNTIFS($X$2:$X$200,$G291)&gt;0,
     COUNTIFS($Y$2:$Y$200,$G291)&gt;0,
     COUNTIFS($Z$2:$Z$200,$G291)&gt;0,
     COUNTIFS($AA$2:$AA$200,$G291)&gt;0,
     COUNTIFS($AB$2:$AB$200,$G291)&gt;0,
     COUNTIFS($AC$2:$AC$200,$G291)&gt;0,
     COUNTIFS($AD$2:$AD$200,$G291)&gt;0,
     COUNTIFS($AE$2:$AE$200,$G291)&gt;0,
     COUNTIFS($AF$2:$AF$200,$G291)&gt;0,
     COUNTIFS($AG$2:$AG$200,$G291)&gt;0,
     COUNTIFS($AH$2:$AH$200,$G291)&gt;0,
     COUNTIFS($AI$2:$AI$200,$G291)&gt;0,
     COUNTIFS($AJ$2:$AJ$200,$G291)&gt;0,
     COUNTIFS($AK$2:$AK$200,$G291)&gt;0,
     COUNTIFS($AL$2:$AL$200,$G291)&gt;0,
     COUNTIFS($AM$2:$AM$200,$G291)&gt;0,
     COUNTIFS($AN$2:$AN$200,$G291)&gt;0,
     COUNTIFS($AO$2:$AO$200,$G291)&gt;0,
     COUNTIFS($AP$2:$AP$200,$G291)&gt;0,
     COUNTIFS($AQ$2:$AQ$200,$G291)&gt;0,
     COUNTIFS($AR$2:$AR$200,$G291)&gt;0,
     COUNTIFS($AS$2:$AS$200,$G291)&gt;0,
     COUNTIFS($AT$2:$AT$200,$G291)&gt;0,
     COUNTIFS($AU$2:$AU$200,$G291)&gt;0,
     COUNTIFS($AV$2:$AV$200,$G291)&gt;0,
     COUNTIFS($AW$2:$AW$200,$G291)&gt;0,
     COUNTIFS($AX$2:$AX$200,$G291)&gt;0,
     COUNTIFS($AY$2:$AY$200,$G291)&gt;0
   )),
  ),
  4
 ),
"")</f>
        <v/>
      </c>
      <c r="G291" t="str">
        <f ca="1"/>
        <v>Mystic Sanctuary</v>
      </c>
      <c r="EU291" t="str">
        <f ca="1"/>
        <v>Spiteful Sliver</v>
      </c>
      <c r="EX291" t="str">
        <f ca="1"/>
        <v>Mystic Sanctuary</v>
      </c>
    </row>
    <row r="292" spans="1:154" x14ac:dyDescent="0.25">
      <c r="A292" s="2" t="str">
        <f t="shared" ca="1" si="14"/>
        <v>5</v>
      </c>
      <c r="B292" s="2">
        <f t="shared" ca="1" si="15"/>
        <v>1</v>
      </c>
      <c r="C292" s="2" t="str">
        <f ca="1">IFERROR(
 INDEX($V$1:$BL$1,
  MATCH(TRUE,
   CHOOSE({1;2;3;4;5;6;7;8;9;10;11;12;13;14;15;16;17;18;19;20;21;22;23;24;25;26;27;28;29;30;31;32;33;34;35;36;37;38;39;40;41;42;43},
    COUNTIFS($V$2:$V$200,$G292)&gt;0,
    COUNTIFS($W$2:$W$200,$G292)&gt;0,
    COUNTIFS($X$2:$X$200,$G292)&gt;0,
    COUNTIFS($Y$2:$Y$200,$G292)&gt;0,
    COUNTIFS($Z$2:$Z$200,$G292)&gt;0,
    COUNTIFS($AA$2:$AA$200,$G292)&gt;0,
    COUNTIFS($AB$2:$AB$200,$G292)&gt;0,
    COUNTIFS($AC$2:$AC$200,$G292)&gt;0,
    COUNTIFS($AD$2:$AD$200,$G292)&gt;0,
    COUNTIFS($AE$2:$AE$200,$G292)&gt;0,
    COUNTIFS($AF$2:$AF$200,$G292)&gt;0,
    COUNTIFS($AG$2:$AG$200,$G292)&gt;0,
    COUNTIFS($AH$2:$AH$200,$G292)&gt;0,
    COUNTIFS($AI$2:$AI$200,$G292)&gt;0,
    COUNTIFS($AJ$2:$AJ$200,$G292)&gt;0,
    COUNTIFS($AK$2:$AK$200,$G292)&gt;0,
    COUNTIFS($AL$2:$AL$200,$G292)&gt;0,
    COUNTIFS($AM$2:$AM$200,$G292)&gt;0,
    COUNTIFS($AN$2:$AN$200,$G292)&gt;0,
    COUNTIFS($AO$2:$AO$200,$G292)&gt;0,
    COUNTIFS($AP$2:$AP$200,$G292)&gt;0,
    COUNTIFS($AQ$2:$AQ$200,$G292)&gt;0,
    COUNTIFS($AR$2:$AR$200,$G292)&gt;0,
    COUNTIFS($AS$2:$AS$200,$G292)&gt;0,
    COUNTIFS($AT$2:$AT$200,$G292)&gt;0,
    COUNTIFS($AU$2:$AU$200,$G292)&gt;0,
    COUNTIFS($AV$2:$AV$200,$G292)&gt;0,
    COUNTIFS($AW$2:$AW$200,$G292)&gt;0,
    COUNTIFS($AX$2:$AX$200,$G292)&gt;0,
    COUNTIFS($AY$2:$AY$200,$G292)&gt;0,
    COUNTIFS($AZ$2:$AZ$200,$G292)&gt;0,
    COUNTIFS($BA$2:$BA$200,$G292)&gt;0,
    COUNTIFS($BB$2:$BB$200,$G292)&gt;0,
    COUNTIFS($BC$2:$BC$200,$G292)&gt;0,
    COUNTIFS($BD$2:$BD$200,$G292)&gt;0,
    COUNTIFS($BE$2:$BE$200,$G292)&gt;0,
    COUNTIFS($BF$2:$BF$200,$G292)&gt;0,
    COUNTIFS($BG$2:$BG$200,$G292)&gt;0,
    COUNTIFS($BH$2:$BH$200,$G292)&gt;0,
    COUNTIFS($BI$2:$BI$200,$G292)&gt;0,
    COUNTIFS($BJ$2:$BJ$200,$G292)&gt;0,
    COUNTIFS($BK$2:$BK$200,$G292)&gt;0,
    COUNTIFS($BL$2:$BL$200,$G292)&gt;0,
    COUNTIFS($BM$2:$BM$200,$G292)&gt;0,
   ),
  0)
 ),
"")</f>
        <v>4cRash</v>
      </c>
      <c r="D292" s="2" t="str" cm="1">
        <f t="array" aca="1" ref="D292" ca="1">IFERROR(
 INDEX(
  _xlfn._xlws.FILTER($V$1:$AY$1,
   TRANSPOSE(
    CHOOSE({1;2;3;4;5;6;7;8;9;10;11;12;13;14;15;16;17;18;19;20;21;22;23;24;25;26;27;28;29;30},
     COUNTIFS($V$2:$V$200,$G292)&gt;0,
     COUNTIFS($W$2:$W$200,$G292)&gt;0,
     COUNTIFS($X$2:$X$200,$G292)&gt;0,
     COUNTIFS($Y$2:$Y$200,$G292)&gt;0,
     COUNTIFS($Z$2:$Z$200,$G292)&gt;0,
     COUNTIFS($AA$2:$AA$200,$G292)&gt;0,
     COUNTIFS($AB$2:$AB$200,$G292)&gt;0,
     COUNTIFS($AC$2:$AC$200,$G292)&gt;0,
     COUNTIFS($AD$2:$AD$200,$G292)&gt;0,
     COUNTIFS($AE$2:$AE$200,$G292)&gt;0,
     COUNTIFS($AF$2:$AF$200,$G292)&gt;0,
     COUNTIFS($AG$2:$AG$200,$G292)&gt;0,
     COUNTIFS($AH$2:$AH$200,$G292)&gt;0,
     COUNTIFS($AI$2:$AI$200,$G292)&gt;0,
     COUNTIFS($AJ$2:$AJ$200,$G292)&gt;0,
     COUNTIFS($AK$2:$AK$200,$G292)&gt;0,
     COUNTIFS($AL$2:$AL$200,$G292)&gt;0,
     COUNTIFS($AM$2:$AM$200,$G292)&gt;0,
     COUNTIFS($AN$2:$AN$200,$G292)&gt;0,
     COUNTIFS($AO$2:$AO$200,$G292)&gt;0,
     COUNTIFS($AP$2:$AP$200,$G292)&gt;0,
     COUNTIFS($AQ$2:$AQ$200,$G292)&gt;0,
     COUNTIFS($AR$2:$AR$200,$G292)&gt;0,
     COUNTIFS($AS$2:$AS$200,$G292)&gt;0,
     COUNTIFS($AT$2:$AT$200,$G292)&gt;0,
     COUNTIFS($AU$2:$AU$200,$G292)&gt;0,
     COUNTIFS($AV$2:$AV$200,$G292)&gt;0,
     COUNTIFS($AW$2:$AW$200,$G292)&gt;0,
     COUNTIFS($AX$2:$AX$200,$G292)&gt;0,
     COUNTIFS($AY$2:$AY$200,$G292)&gt;0
   )),
  ),
  2
 ),
"")</f>
        <v/>
      </c>
      <c r="E292" s="2" t="str" cm="1">
        <f t="array" aca="1" ref="E292" ca="1">IFERROR(
 INDEX(
  _xlfn._xlws.FILTER($V$1:$AY$1,
   TRANSPOSE(
    CHOOSE({1;2;3;4;5;6;7;8;9;10;11;12;13;14;15;16;17;18;19;20;21;22;23;24;25;26;27;28;29;30},
     COUNTIFS($V$2:$V$200,$G292)&gt;0,
     COUNTIFS($W$2:$W$200,$G292)&gt;0,
     COUNTIFS($X$2:$X$200,$G292)&gt;0,
     COUNTIFS($Y$2:$Y$200,$G292)&gt;0,
     COUNTIFS($Z$2:$Z$200,$G292)&gt;0,
     COUNTIFS($AA$2:$AA$200,$G292)&gt;0,
     COUNTIFS($AB$2:$AB$200,$G292)&gt;0,
     COUNTIFS($AC$2:$AC$200,$G292)&gt;0,
     COUNTIFS($AD$2:$AD$200,$G292)&gt;0,
     COUNTIFS($AE$2:$AE$200,$G292)&gt;0,
     COUNTIFS($AF$2:$AF$200,$G292)&gt;0,
     COUNTIFS($AG$2:$AG$200,$G292)&gt;0,
     COUNTIFS($AH$2:$AH$200,$G292)&gt;0,
     COUNTIFS($AI$2:$AI$200,$G292)&gt;0,
     COUNTIFS($AJ$2:$AJ$200,$G292)&gt;0,
     COUNTIFS($AK$2:$AK$200,$G292)&gt;0,
     COUNTIFS($AL$2:$AL$200,$G292)&gt;0,
     COUNTIFS($AM$2:$AM$200,$G292)&gt;0,
     COUNTIFS($AN$2:$AN$200,$G292)&gt;0,
     COUNTIFS($AO$2:$AO$200,$G292)&gt;0,
     COUNTIFS($AP$2:$AP$200,$G292)&gt;0,
     COUNTIFS($AQ$2:$AQ$200,$G292)&gt;0,
     COUNTIFS($AR$2:$AR$200,$G292)&gt;0,
     COUNTIFS($AS$2:$AS$200,$G292)&gt;0,
     COUNTIFS($AT$2:$AT$200,$G292)&gt;0,
     COUNTIFS($AU$2:$AU$200,$G292)&gt;0,
     COUNTIFS($AV$2:$AV$200,$G292)&gt;0,
     COUNTIFS($AW$2:$AW$200,$G292)&gt;0,
     COUNTIFS($AX$2:$AX$200,$G292)&gt;0,
     COUNTIFS($AY$2:$AY$200,$G292)&gt;0
   )),
  ),
  3
 ),
"")</f>
        <v/>
      </c>
      <c r="F292" s="2" t="str" cm="1">
        <f t="array" aca="1" ref="F292" ca="1">IFERROR(
 INDEX(
  _xlfn._xlws.FILTER($V$1:$AY$1,
   TRANSPOSE(
    CHOOSE({1;2;3;4;5;6;7;8;9;10;11;12;13;14;15;16;17;18;19;20;21;22;23;24;25;26;27;28;29;30},
     COUNTIFS($V$2:$V$200,$G292)&gt;0,
     COUNTIFS($W$2:$W$200,$G292)&gt;0,
     COUNTIFS($X$2:$X$200,$G292)&gt;0,
     COUNTIFS($Y$2:$Y$200,$G292)&gt;0,
     COUNTIFS($Z$2:$Z$200,$G292)&gt;0,
     COUNTIFS($AA$2:$AA$200,$G292)&gt;0,
     COUNTIFS($AB$2:$AB$200,$G292)&gt;0,
     COUNTIFS($AC$2:$AC$200,$G292)&gt;0,
     COUNTIFS($AD$2:$AD$200,$G292)&gt;0,
     COUNTIFS($AE$2:$AE$200,$G292)&gt;0,
     COUNTIFS($AF$2:$AF$200,$G292)&gt;0,
     COUNTIFS($AG$2:$AG$200,$G292)&gt;0,
     COUNTIFS($AH$2:$AH$200,$G292)&gt;0,
     COUNTIFS($AI$2:$AI$200,$G292)&gt;0,
     COUNTIFS($AJ$2:$AJ$200,$G292)&gt;0,
     COUNTIFS($AK$2:$AK$200,$G292)&gt;0,
     COUNTIFS($AL$2:$AL$200,$G292)&gt;0,
     COUNTIFS($AM$2:$AM$200,$G292)&gt;0,
     COUNTIFS($AN$2:$AN$200,$G292)&gt;0,
     COUNTIFS($AO$2:$AO$200,$G292)&gt;0,
     COUNTIFS($AP$2:$AP$200,$G292)&gt;0,
     COUNTIFS($AQ$2:$AQ$200,$G292)&gt;0,
     COUNTIFS($AR$2:$AR$200,$G292)&gt;0,
     COUNTIFS($AS$2:$AS$200,$G292)&gt;0,
     COUNTIFS($AT$2:$AT$200,$G292)&gt;0,
     COUNTIFS($AU$2:$AU$200,$G292)&gt;0,
     COUNTIFS($AV$2:$AV$200,$G292)&gt;0,
     COUNTIFS($AW$2:$AW$200,$G292)&gt;0,
     COUNTIFS($AX$2:$AX$200,$G292)&gt;0,
     COUNTIFS($AY$2:$AY$200,$G292)&gt;0
   )),
  ),
  4
 ),
"")</f>
        <v/>
      </c>
      <c r="G292" t="str">
        <f ca="1"/>
        <v>Natural Connection</v>
      </c>
      <c r="EU292" t="str">
        <f ca="1"/>
        <v>Springleaf Parade</v>
      </c>
      <c r="EX292" t="str">
        <f ca="1"/>
        <v>Natural Connection</v>
      </c>
    </row>
    <row r="293" spans="1:154" x14ac:dyDescent="0.25">
      <c r="A293" s="2" t="str">
        <f t="shared" ca="1" si="14"/>
        <v>5</v>
      </c>
      <c r="B293" s="2">
        <f t="shared" ca="1" si="15"/>
        <v>1</v>
      </c>
      <c r="C293" s="2" t="str">
        <f ca="1">IFERROR(
 INDEX($V$1:$BL$1,
  MATCH(TRUE,
   CHOOSE({1;2;3;4;5;6;7;8;9;10;11;12;13;14;15;16;17;18;19;20;21;22;23;24;25;26;27;28;29;30;31;32;33;34;35;36;37;38;39;40;41;42;43},
    COUNTIFS($V$2:$V$200,$G293)&gt;0,
    COUNTIFS($W$2:$W$200,$G293)&gt;0,
    COUNTIFS($X$2:$X$200,$G293)&gt;0,
    COUNTIFS($Y$2:$Y$200,$G293)&gt;0,
    COUNTIFS($Z$2:$Z$200,$G293)&gt;0,
    COUNTIFS($AA$2:$AA$200,$G293)&gt;0,
    COUNTIFS($AB$2:$AB$200,$G293)&gt;0,
    COUNTIFS($AC$2:$AC$200,$G293)&gt;0,
    COUNTIFS($AD$2:$AD$200,$G293)&gt;0,
    COUNTIFS($AE$2:$AE$200,$G293)&gt;0,
    COUNTIFS($AF$2:$AF$200,$G293)&gt;0,
    COUNTIFS($AG$2:$AG$200,$G293)&gt;0,
    COUNTIFS($AH$2:$AH$200,$G293)&gt;0,
    COUNTIFS($AI$2:$AI$200,$G293)&gt;0,
    COUNTIFS($AJ$2:$AJ$200,$G293)&gt;0,
    COUNTIFS($AK$2:$AK$200,$G293)&gt;0,
    COUNTIFS($AL$2:$AL$200,$G293)&gt;0,
    COUNTIFS($AM$2:$AM$200,$G293)&gt;0,
    COUNTIFS($AN$2:$AN$200,$G293)&gt;0,
    COUNTIFS($AO$2:$AO$200,$G293)&gt;0,
    COUNTIFS($AP$2:$AP$200,$G293)&gt;0,
    COUNTIFS($AQ$2:$AQ$200,$G293)&gt;0,
    COUNTIFS($AR$2:$AR$200,$G293)&gt;0,
    COUNTIFS($AS$2:$AS$200,$G293)&gt;0,
    COUNTIFS($AT$2:$AT$200,$G293)&gt;0,
    COUNTIFS($AU$2:$AU$200,$G293)&gt;0,
    COUNTIFS($AV$2:$AV$200,$G293)&gt;0,
    COUNTIFS($AW$2:$AW$200,$G293)&gt;0,
    COUNTIFS($AX$2:$AX$200,$G293)&gt;0,
    COUNTIFS($AY$2:$AY$200,$G293)&gt;0,
    COUNTIFS($AZ$2:$AZ$200,$G293)&gt;0,
    COUNTIFS($BA$2:$BA$200,$G293)&gt;0,
    COUNTIFS($BB$2:$BB$200,$G293)&gt;0,
    COUNTIFS($BC$2:$BC$200,$G293)&gt;0,
    COUNTIFS($BD$2:$BD$200,$G293)&gt;0,
    COUNTIFS($BE$2:$BE$200,$G293)&gt;0,
    COUNTIFS($BF$2:$BF$200,$G293)&gt;0,
    COUNTIFS($BG$2:$BG$200,$G293)&gt;0,
    COUNTIFS($BH$2:$BH$200,$G293)&gt;0,
    COUNTIFS($BI$2:$BI$200,$G293)&gt;0,
    COUNTIFS($BJ$2:$BJ$200,$G293)&gt;0,
    COUNTIFS($BK$2:$BK$200,$G293)&gt;0,
    COUNTIFS($BL$2:$BL$200,$G293)&gt;0,
    COUNTIFS($BM$2:$BM$200,$G293)&gt;0,
   ),
  0)
 ),
"")</f>
        <v>Fractius</v>
      </c>
      <c r="D293" s="2" t="str" cm="1">
        <f t="array" aca="1" ref="D293" ca="1">IFERROR(
 INDEX(
  _xlfn._xlws.FILTER($V$1:$AY$1,
   TRANSPOSE(
    CHOOSE({1;2;3;4;5;6;7;8;9;10;11;12;13;14;15;16;17;18;19;20;21;22;23;24;25;26;27;28;29;30},
     COUNTIFS($V$2:$V$200,$G293)&gt;0,
     COUNTIFS($W$2:$W$200,$G293)&gt;0,
     COUNTIFS($X$2:$X$200,$G293)&gt;0,
     COUNTIFS($Y$2:$Y$200,$G293)&gt;0,
     COUNTIFS($Z$2:$Z$200,$G293)&gt;0,
     COUNTIFS($AA$2:$AA$200,$G293)&gt;0,
     COUNTIFS($AB$2:$AB$200,$G293)&gt;0,
     COUNTIFS($AC$2:$AC$200,$G293)&gt;0,
     COUNTIFS($AD$2:$AD$200,$G293)&gt;0,
     COUNTIFS($AE$2:$AE$200,$G293)&gt;0,
     COUNTIFS($AF$2:$AF$200,$G293)&gt;0,
     COUNTIFS($AG$2:$AG$200,$G293)&gt;0,
     COUNTIFS($AH$2:$AH$200,$G293)&gt;0,
     COUNTIFS($AI$2:$AI$200,$G293)&gt;0,
     COUNTIFS($AJ$2:$AJ$200,$G293)&gt;0,
     COUNTIFS($AK$2:$AK$200,$G293)&gt;0,
     COUNTIFS($AL$2:$AL$200,$G293)&gt;0,
     COUNTIFS($AM$2:$AM$200,$G293)&gt;0,
     COUNTIFS($AN$2:$AN$200,$G293)&gt;0,
     COUNTIFS($AO$2:$AO$200,$G293)&gt;0,
     COUNTIFS($AP$2:$AP$200,$G293)&gt;0,
     COUNTIFS($AQ$2:$AQ$200,$G293)&gt;0,
     COUNTIFS($AR$2:$AR$200,$G293)&gt;0,
     COUNTIFS($AS$2:$AS$200,$G293)&gt;0,
     COUNTIFS($AT$2:$AT$200,$G293)&gt;0,
     COUNTIFS($AU$2:$AU$200,$G293)&gt;0,
     COUNTIFS($AV$2:$AV$200,$G293)&gt;0,
     COUNTIFS($AW$2:$AW$200,$G293)&gt;0,
     COUNTIFS($AX$2:$AX$200,$G293)&gt;0,
     COUNTIFS($AY$2:$AY$200,$G293)&gt;0
   )),
  ),
  2
 ),
"")</f>
        <v/>
      </c>
      <c r="E293" s="2" t="str" cm="1">
        <f t="array" aca="1" ref="E293" ca="1">IFERROR(
 INDEX(
  _xlfn._xlws.FILTER($V$1:$AY$1,
   TRANSPOSE(
    CHOOSE({1;2;3;4;5;6;7;8;9;10;11;12;13;14;15;16;17;18;19;20;21;22;23;24;25;26;27;28;29;30},
     COUNTIFS($V$2:$V$200,$G293)&gt;0,
     COUNTIFS($W$2:$W$200,$G293)&gt;0,
     COUNTIFS($X$2:$X$200,$G293)&gt;0,
     COUNTIFS($Y$2:$Y$200,$G293)&gt;0,
     COUNTIFS($Z$2:$Z$200,$G293)&gt;0,
     COUNTIFS($AA$2:$AA$200,$G293)&gt;0,
     COUNTIFS($AB$2:$AB$200,$G293)&gt;0,
     COUNTIFS($AC$2:$AC$200,$G293)&gt;0,
     COUNTIFS($AD$2:$AD$200,$G293)&gt;0,
     COUNTIFS($AE$2:$AE$200,$G293)&gt;0,
     COUNTIFS($AF$2:$AF$200,$G293)&gt;0,
     COUNTIFS($AG$2:$AG$200,$G293)&gt;0,
     COUNTIFS($AH$2:$AH$200,$G293)&gt;0,
     COUNTIFS($AI$2:$AI$200,$G293)&gt;0,
     COUNTIFS($AJ$2:$AJ$200,$G293)&gt;0,
     COUNTIFS($AK$2:$AK$200,$G293)&gt;0,
     COUNTIFS($AL$2:$AL$200,$G293)&gt;0,
     COUNTIFS($AM$2:$AM$200,$G293)&gt;0,
     COUNTIFS($AN$2:$AN$200,$G293)&gt;0,
     COUNTIFS($AO$2:$AO$200,$G293)&gt;0,
     COUNTIFS($AP$2:$AP$200,$G293)&gt;0,
     COUNTIFS($AQ$2:$AQ$200,$G293)&gt;0,
     COUNTIFS($AR$2:$AR$200,$G293)&gt;0,
     COUNTIFS($AS$2:$AS$200,$G293)&gt;0,
     COUNTIFS($AT$2:$AT$200,$G293)&gt;0,
     COUNTIFS($AU$2:$AU$200,$G293)&gt;0,
     COUNTIFS($AV$2:$AV$200,$G293)&gt;0,
     COUNTIFS($AW$2:$AW$200,$G293)&gt;0,
     COUNTIFS($AX$2:$AX$200,$G293)&gt;0,
     COUNTIFS($AY$2:$AY$200,$G293)&gt;0
   )),
  ),
  3
 ),
"")</f>
        <v/>
      </c>
      <c r="F293" s="2" t="str" cm="1">
        <f t="array" aca="1" ref="F293" ca="1">IFERROR(
 INDEX(
  _xlfn._xlws.FILTER($V$1:$AY$1,
   TRANSPOSE(
    CHOOSE({1;2;3;4;5;6;7;8;9;10;11;12;13;14;15;16;17;18;19;20;21;22;23;24;25;26;27;28;29;30},
     COUNTIFS($V$2:$V$200,$G293)&gt;0,
     COUNTIFS($W$2:$W$200,$G293)&gt;0,
     COUNTIFS($X$2:$X$200,$G293)&gt;0,
     COUNTIFS($Y$2:$Y$200,$G293)&gt;0,
     COUNTIFS($Z$2:$Z$200,$G293)&gt;0,
     COUNTIFS($AA$2:$AA$200,$G293)&gt;0,
     COUNTIFS($AB$2:$AB$200,$G293)&gt;0,
     COUNTIFS($AC$2:$AC$200,$G293)&gt;0,
     COUNTIFS($AD$2:$AD$200,$G293)&gt;0,
     COUNTIFS($AE$2:$AE$200,$G293)&gt;0,
     COUNTIFS($AF$2:$AF$200,$G293)&gt;0,
     COUNTIFS($AG$2:$AG$200,$G293)&gt;0,
     COUNTIFS($AH$2:$AH$200,$G293)&gt;0,
     COUNTIFS($AI$2:$AI$200,$G293)&gt;0,
     COUNTIFS($AJ$2:$AJ$200,$G293)&gt;0,
     COUNTIFS($AK$2:$AK$200,$G293)&gt;0,
     COUNTIFS($AL$2:$AL$200,$G293)&gt;0,
     COUNTIFS($AM$2:$AM$200,$G293)&gt;0,
     COUNTIFS($AN$2:$AN$200,$G293)&gt;0,
     COUNTIFS($AO$2:$AO$200,$G293)&gt;0,
     COUNTIFS($AP$2:$AP$200,$G293)&gt;0,
     COUNTIFS($AQ$2:$AQ$200,$G293)&gt;0,
     COUNTIFS($AR$2:$AR$200,$G293)&gt;0,
     COUNTIFS($AS$2:$AS$200,$G293)&gt;0,
     COUNTIFS($AT$2:$AT$200,$G293)&gt;0,
     COUNTIFS($AU$2:$AU$200,$G293)&gt;0,
     COUNTIFS($AV$2:$AV$200,$G293)&gt;0,
     COUNTIFS($AW$2:$AW$200,$G293)&gt;0,
     COUNTIFS($AX$2:$AX$200,$G293)&gt;0,
     COUNTIFS($AY$2:$AY$200,$G293)&gt;0
   )),
  ),
  4
 ),
"")</f>
        <v/>
      </c>
      <c r="G293" t="str">
        <f ca="1"/>
        <v>Necrotic Sliver</v>
      </c>
      <c r="EU293" t="str">
        <f ca="1"/>
        <v>Steam Vents</v>
      </c>
      <c r="EX293" t="str">
        <f ca="1"/>
        <v>Necrotic Sliver</v>
      </c>
    </row>
    <row r="294" spans="1:154" x14ac:dyDescent="0.25">
      <c r="A294" s="2" t="str">
        <f t="shared" ca="1" si="14"/>
        <v>5</v>
      </c>
      <c r="B294" s="2">
        <f t="shared" ca="1" si="15"/>
        <v>1</v>
      </c>
      <c r="C294" s="2" t="str">
        <f ca="1">IFERROR(
 INDEX($V$1:$BL$1,
  MATCH(TRUE,
   CHOOSE({1;2;3;4;5;6;7;8;9;10;11;12;13;14;15;16;17;18;19;20;21;22;23;24;25;26;27;28;29;30;31;32;33;34;35;36;37;38;39;40;41;42;43},
    COUNTIFS($V$2:$V$200,$G294)&gt;0,
    COUNTIFS($W$2:$W$200,$G294)&gt;0,
    COUNTIFS($X$2:$X$200,$G294)&gt;0,
    COUNTIFS($Y$2:$Y$200,$G294)&gt;0,
    COUNTIFS($Z$2:$Z$200,$G294)&gt;0,
    COUNTIFS($AA$2:$AA$200,$G294)&gt;0,
    COUNTIFS($AB$2:$AB$200,$G294)&gt;0,
    COUNTIFS($AC$2:$AC$200,$G294)&gt;0,
    COUNTIFS($AD$2:$AD$200,$G294)&gt;0,
    COUNTIFS($AE$2:$AE$200,$G294)&gt;0,
    COUNTIFS($AF$2:$AF$200,$G294)&gt;0,
    COUNTIFS($AG$2:$AG$200,$G294)&gt;0,
    COUNTIFS($AH$2:$AH$200,$G294)&gt;0,
    COUNTIFS($AI$2:$AI$200,$G294)&gt;0,
    COUNTIFS($AJ$2:$AJ$200,$G294)&gt;0,
    COUNTIFS($AK$2:$AK$200,$G294)&gt;0,
    COUNTIFS($AL$2:$AL$200,$G294)&gt;0,
    COUNTIFS($AM$2:$AM$200,$G294)&gt;0,
    COUNTIFS($AN$2:$AN$200,$G294)&gt;0,
    COUNTIFS($AO$2:$AO$200,$G294)&gt;0,
    COUNTIFS($AP$2:$AP$200,$G294)&gt;0,
    COUNTIFS($AQ$2:$AQ$200,$G294)&gt;0,
    COUNTIFS($AR$2:$AR$200,$G294)&gt;0,
    COUNTIFS($AS$2:$AS$200,$G294)&gt;0,
    COUNTIFS($AT$2:$AT$200,$G294)&gt;0,
    COUNTIFS($AU$2:$AU$200,$G294)&gt;0,
    COUNTIFS($AV$2:$AV$200,$G294)&gt;0,
    COUNTIFS($AW$2:$AW$200,$G294)&gt;0,
    COUNTIFS($AX$2:$AX$200,$G294)&gt;0,
    COUNTIFS($AY$2:$AY$200,$G294)&gt;0,
    COUNTIFS($AZ$2:$AZ$200,$G294)&gt;0,
    COUNTIFS($BA$2:$BA$200,$G294)&gt;0,
    COUNTIFS($BB$2:$BB$200,$G294)&gt;0,
    COUNTIFS($BC$2:$BC$200,$G294)&gt;0,
    COUNTIFS($BD$2:$BD$200,$G294)&gt;0,
    COUNTIFS($BE$2:$BE$200,$G294)&gt;0,
    COUNTIFS($BF$2:$BF$200,$G294)&gt;0,
    COUNTIFS($BG$2:$BG$200,$G294)&gt;0,
    COUNTIFS($BH$2:$BH$200,$G294)&gt;0,
    COUNTIFS($BI$2:$BI$200,$G294)&gt;0,
    COUNTIFS($BJ$2:$BJ$200,$G294)&gt;0,
    COUNTIFS($BK$2:$BK$200,$G294)&gt;0,
    COUNTIFS($BL$2:$BL$200,$G294)&gt;0,
    COUNTIFS($BM$2:$BM$200,$G294)&gt;0,
   ),
  0)
 ),
"")</f>
        <v>4cRash</v>
      </c>
      <c r="D294" s="2" t="str" cm="1">
        <f t="array" aca="1" ref="D294" ca="1">IFERROR(
 INDEX(
  _xlfn._xlws.FILTER($V$1:$AY$1,
   TRANSPOSE(
    CHOOSE({1;2;3;4;5;6;7;8;9;10;11;12;13;14;15;16;17;18;19;20;21;22;23;24;25;26;27;28;29;30},
     COUNTIFS($V$2:$V$200,$G294)&gt;0,
     COUNTIFS($W$2:$W$200,$G294)&gt;0,
     COUNTIFS($X$2:$X$200,$G294)&gt;0,
     COUNTIFS($Y$2:$Y$200,$G294)&gt;0,
     COUNTIFS($Z$2:$Z$200,$G294)&gt;0,
     COUNTIFS($AA$2:$AA$200,$G294)&gt;0,
     COUNTIFS($AB$2:$AB$200,$G294)&gt;0,
     COUNTIFS($AC$2:$AC$200,$G294)&gt;0,
     COUNTIFS($AD$2:$AD$200,$G294)&gt;0,
     COUNTIFS($AE$2:$AE$200,$G294)&gt;0,
     COUNTIFS($AF$2:$AF$200,$G294)&gt;0,
     COUNTIFS($AG$2:$AG$200,$G294)&gt;0,
     COUNTIFS($AH$2:$AH$200,$G294)&gt;0,
     COUNTIFS($AI$2:$AI$200,$G294)&gt;0,
     COUNTIFS($AJ$2:$AJ$200,$G294)&gt;0,
     COUNTIFS($AK$2:$AK$200,$G294)&gt;0,
     COUNTIFS($AL$2:$AL$200,$G294)&gt;0,
     COUNTIFS($AM$2:$AM$200,$G294)&gt;0,
     COUNTIFS($AN$2:$AN$200,$G294)&gt;0,
     COUNTIFS($AO$2:$AO$200,$G294)&gt;0,
     COUNTIFS($AP$2:$AP$200,$G294)&gt;0,
     COUNTIFS($AQ$2:$AQ$200,$G294)&gt;0,
     COUNTIFS($AR$2:$AR$200,$G294)&gt;0,
     COUNTIFS($AS$2:$AS$200,$G294)&gt;0,
     COUNTIFS($AT$2:$AT$200,$G294)&gt;0,
     COUNTIFS($AU$2:$AU$200,$G294)&gt;0,
     COUNTIFS($AV$2:$AV$200,$G294)&gt;0,
     COUNTIFS($AW$2:$AW$200,$G294)&gt;0,
     COUNTIFS($AX$2:$AX$200,$G294)&gt;0,
     COUNTIFS($AY$2:$AY$200,$G294)&gt;0
   )),
  ),
  2
 ),
"")</f>
        <v/>
      </c>
      <c r="E294" s="2" t="str" cm="1">
        <f t="array" aca="1" ref="E294" ca="1">IFERROR(
 INDEX(
  _xlfn._xlws.FILTER($V$1:$AY$1,
   TRANSPOSE(
    CHOOSE({1;2;3;4;5;6;7;8;9;10;11;12;13;14;15;16;17;18;19;20;21;22;23;24;25;26;27;28;29;30},
     COUNTIFS($V$2:$V$200,$G294)&gt;0,
     COUNTIFS($W$2:$W$200,$G294)&gt;0,
     COUNTIFS($X$2:$X$200,$G294)&gt;0,
     COUNTIFS($Y$2:$Y$200,$G294)&gt;0,
     COUNTIFS($Z$2:$Z$200,$G294)&gt;0,
     COUNTIFS($AA$2:$AA$200,$G294)&gt;0,
     COUNTIFS($AB$2:$AB$200,$G294)&gt;0,
     COUNTIFS($AC$2:$AC$200,$G294)&gt;0,
     COUNTIFS($AD$2:$AD$200,$G294)&gt;0,
     COUNTIFS($AE$2:$AE$200,$G294)&gt;0,
     COUNTIFS($AF$2:$AF$200,$G294)&gt;0,
     COUNTIFS($AG$2:$AG$200,$G294)&gt;0,
     COUNTIFS($AH$2:$AH$200,$G294)&gt;0,
     COUNTIFS($AI$2:$AI$200,$G294)&gt;0,
     COUNTIFS($AJ$2:$AJ$200,$G294)&gt;0,
     COUNTIFS($AK$2:$AK$200,$G294)&gt;0,
     COUNTIFS($AL$2:$AL$200,$G294)&gt;0,
     COUNTIFS($AM$2:$AM$200,$G294)&gt;0,
     COUNTIFS($AN$2:$AN$200,$G294)&gt;0,
     COUNTIFS($AO$2:$AO$200,$G294)&gt;0,
     COUNTIFS($AP$2:$AP$200,$G294)&gt;0,
     COUNTIFS($AQ$2:$AQ$200,$G294)&gt;0,
     COUNTIFS($AR$2:$AR$200,$G294)&gt;0,
     COUNTIFS($AS$2:$AS$200,$G294)&gt;0,
     COUNTIFS($AT$2:$AT$200,$G294)&gt;0,
     COUNTIFS($AU$2:$AU$200,$G294)&gt;0,
     COUNTIFS($AV$2:$AV$200,$G294)&gt;0,
     COUNTIFS($AW$2:$AW$200,$G294)&gt;0,
     COUNTIFS($AX$2:$AX$200,$G294)&gt;0,
     COUNTIFS($AY$2:$AY$200,$G294)&gt;0
   )),
  ),
  3
 ),
"")</f>
        <v/>
      </c>
      <c r="F294" s="2" t="str" cm="1">
        <f t="array" aca="1" ref="F294" ca="1">IFERROR(
 INDEX(
  _xlfn._xlws.FILTER($V$1:$AY$1,
   TRANSPOSE(
    CHOOSE({1;2;3;4;5;6;7;8;9;10;11;12;13;14;15;16;17;18;19;20;21;22;23;24;25;26;27;28;29;30},
     COUNTIFS($V$2:$V$200,$G294)&gt;0,
     COUNTIFS($W$2:$W$200,$G294)&gt;0,
     COUNTIFS($X$2:$X$200,$G294)&gt;0,
     COUNTIFS($Y$2:$Y$200,$G294)&gt;0,
     COUNTIFS($Z$2:$Z$200,$G294)&gt;0,
     COUNTIFS($AA$2:$AA$200,$G294)&gt;0,
     COUNTIFS($AB$2:$AB$200,$G294)&gt;0,
     COUNTIFS($AC$2:$AC$200,$G294)&gt;0,
     COUNTIFS($AD$2:$AD$200,$G294)&gt;0,
     COUNTIFS($AE$2:$AE$200,$G294)&gt;0,
     COUNTIFS($AF$2:$AF$200,$G294)&gt;0,
     COUNTIFS($AG$2:$AG$200,$G294)&gt;0,
     COUNTIFS($AH$2:$AH$200,$G294)&gt;0,
     COUNTIFS($AI$2:$AI$200,$G294)&gt;0,
     COUNTIFS($AJ$2:$AJ$200,$G294)&gt;0,
     COUNTIFS($AK$2:$AK$200,$G294)&gt;0,
     COUNTIFS($AL$2:$AL$200,$G294)&gt;0,
     COUNTIFS($AM$2:$AM$200,$G294)&gt;0,
     COUNTIFS($AN$2:$AN$200,$G294)&gt;0,
     COUNTIFS($AO$2:$AO$200,$G294)&gt;0,
     COUNTIFS($AP$2:$AP$200,$G294)&gt;0,
     COUNTIFS($AQ$2:$AQ$200,$G294)&gt;0,
     COUNTIFS($AR$2:$AR$200,$G294)&gt;0,
     COUNTIFS($AS$2:$AS$200,$G294)&gt;0,
     COUNTIFS($AT$2:$AT$200,$G294)&gt;0,
     COUNTIFS($AU$2:$AU$200,$G294)&gt;0,
     COUNTIFS($AV$2:$AV$200,$G294)&gt;0,
     COUNTIFS($AW$2:$AW$200,$G294)&gt;0,
     COUNTIFS($AX$2:$AX$200,$G294)&gt;0,
     COUNTIFS($AY$2:$AY$200,$G294)&gt;0
   )),
  ),
  4
 ),
"")</f>
        <v/>
      </c>
      <c r="G294" t="str">
        <f ca="1"/>
        <v>Negate</v>
      </c>
      <c r="EU294" t="str">
        <f ca="1"/>
        <v>Sting-Slinger</v>
      </c>
      <c r="EX294" t="str">
        <f ca="1"/>
        <v>Negate</v>
      </c>
    </row>
    <row r="295" spans="1:154" x14ac:dyDescent="0.25">
      <c r="A295" s="2" t="str">
        <f t="shared" ca="1" si="14"/>
        <v>4</v>
      </c>
      <c r="B295" s="2">
        <f t="shared" ca="1" si="15"/>
        <v>1</v>
      </c>
      <c r="C295" s="2" t="str">
        <f ca="1">IFERROR(
 INDEX($V$1:$BL$1,
  MATCH(TRUE,
   CHOOSE({1;2;3;4;5;6;7;8;9;10;11;12;13;14;15;16;17;18;19;20;21;22;23;24;25;26;27;28;29;30;31;32;33;34;35;36;37;38;39;40;41;42;43},
    COUNTIFS($V$2:$V$200,$G295)&gt;0,
    COUNTIFS($W$2:$W$200,$G295)&gt;0,
    COUNTIFS($X$2:$X$200,$G295)&gt;0,
    COUNTIFS($Y$2:$Y$200,$G295)&gt;0,
    COUNTIFS($Z$2:$Z$200,$G295)&gt;0,
    COUNTIFS($AA$2:$AA$200,$G295)&gt;0,
    COUNTIFS($AB$2:$AB$200,$G295)&gt;0,
    COUNTIFS($AC$2:$AC$200,$G295)&gt;0,
    COUNTIFS($AD$2:$AD$200,$G295)&gt;0,
    COUNTIFS($AE$2:$AE$200,$G295)&gt;0,
    COUNTIFS($AF$2:$AF$200,$G295)&gt;0,
    COUNTIFS($AG$2:$AG$200,$G295)&gt;0,
    COUNTIFS($AH$2:$AH$200,$G295)&gt;0,
    COUNTIFS($AI$2:$AI$200,$G295)&gt;0,
    COUNTIFS($AJ$2:$AJ$200,$G295)&gt;0,
    COUNTIFS($AK$2:$AK$200,$G295)&gt;0,
    COUNTIFS($AL$2:$AL$200,$G295)&gt;0,
    COUNTIFS($AM$2:$AM$200,$G295)&gt;0,
    COUNTIFS($AN$2:$AN$200,$G295)&gt;0,
    COUNTIFS($AO$2:$AO$200,$G295)&gt;0,
    COUNTIFS($AP$2:$AP$200,$G295)&gt;0,
    COUNTIFS($AQ$2:$AQ$200,$G295)&gt;0,
    COUNTIFS($AR$2:$AR$200,$G295)&gt;0,
    COUNTIFS($AS$2:$AS$200,$G295)&gt;0,
    COUNTIFS($AT$2:$AT$200,$G295)&gt;0,
    COUNTIFS($AU$2:$AU$200,$G295)&gt;0,
    COUNTIFS($AV$2:$AV$200,$G295)&gt;0,
    COUNTIFS($AW$2:$AW$200,$G295)&gt;0,
    COUNTIFS($AX$2:$AX$200,$G295)&gt;0,
    COUNTIFS($AY$2:$AY$200,$G295)&gt;0,
    COUNTIFS($AZ$2:$AZ$200,$G295)&gt;0,
    COUNTIFS($BA$2:$BA$200,$G295)&gt;0,
    COUNTIFS($BB$2:$BB$200,$G295)&gt;0,
    COUNTIFS($BC$2:$BC$200,$G295)&gt;0,
    COUNTIFS($BD$2:$BD$200,$G295)&gt;0,
    COUNTIFS($BE$2:$BE$200,$G295)&gt;0,
    COUNTIFS($BF$2:$BF$200,$G295)&gt;0,
    COUNTIFS($BG$2:$BG$200,$G295)&gt;0,
    COUNTIFS($BH$2:$BH$200,$G295)&gt;0,
    COUNTIFS($BI$2:$BI$200,$G295)&gt;0,
    COUNTIFS($BJ$2:$BJ$200,$G295)&gt;0,
    COUNTIFS($BK$2:$BK$200,$G295)&gt;0,
    COUNTIFS($BL$2:$BL$200,$G295)&gt;0,
    COUNTIFS($BM$2:$BM$200,$G295)&gt;0,
   ),
  0)
 ),
"")</f>
        <v>Ool</v>
      </c>
      <c r="D295" s="2" t="str" cm="1">
        <f t="array" aca="1" ref="D295" ca="1">IFERROR(
 INDEX(
  _xlfn._xlws.FILTER($V$1:$AY$1,
   TRANSPOSE(
    CHOOSE({1;2;3;4;5;6;7;8;9;10;11;12;13;14;15;16;17;18;19;20;21;22;23;24;25;26;27;28;29;30},
     COUNTIFS($V$2:$V$200,$G295)&gt;0,
     COUNTIFS($W$2:$W$200,$G295)&gt;0,
     COUNTIFS($X$2:$X$200,$G295)&gt;0,
     COUNTIFS($Y$2:$Y$200,$G295)&gt;0,
     COUNTIFS($Z$2:$Z$200,$G295)&gt;0,
     COUNTIFS($AA$2:$AA$200,$G295)&gt;0,
     COUNTIFS($AB$2:$AB$200,$G295)&gt;0,
     COUNTIFS($AC$2:$AC$200,$G295)&gt;0,
     COUNTIFS($AD$2:$AD$200,$G295)&gt;0,
     COUNTIFS($AE$2:$AE$200,$G295)&gt;0,
     COUNTIFS($AF$2:$AF$200,$G295)&gt;0,
     COUNTIFS($AG$2:$AG$200,$G295)&gt;0,
     COUNTIFS($AH$2:$AH$200,$G295)&gt;0,
     COUNTIFS($AI$2:$AI$200,$G295)&gt;0,
     COUNTIFS($AJ$2:$AJ$200,$G295)&gt;0,
     COUNTIFS($AK$2:$AK$200,$G295)&gt;0,
     COUNTIFS($AL$2:$AL$200,$G295)&gt;0,
     COUNTIFS($AM$2:$AM$200,$G295)&gt;0,
     COUNTIFS($AN$2:$AN$200,$G295)&gt;0,
     COUNTIFS($AO$2:$AO$200,$G295)&gt;0,
     COUNTIFS($AP$2:$AP$200,$G295)&gt;0,
     COUNTIFS($AQ$2:$AQ$200,$G295)&gt;0,
     COUNTIFS($AR$2:$AR$200,$G295)&gt;0,
     COUNTIFS($AS$2:$AS$200,$G295)&gt;0,
     COUNTIFS($AT$2:$AT$200,$G295)&gt;0,
     COUNTIFS($AU$2:$AU$200,$G295)&gt;0,
     COUNTIFS($AV$2:$AV$200,$G295)&gt;0,
     COUNTIFS($AW$2:$AW$200,$G295)&gt;0,
     COUNTIFS($AX$2:$AX$200,$G295)&gt;0,
     COUNTIFS($AY$2:$AY$200,$G295)&gt;0
   )),
  ),
  2
 ),
"")</f>
        <v/>
      </c>
      <c r="E295" s="2" t="str" cm="1">
        <f t="array" aca="1" ref="E295" ca="1">IFERROR(
 INDEX(
  _xlfn._xlws.FILTER($V$1:$AY$1,
   TRANSPOSE(
    CHOOSE({1;2;3;4;5;6;7;8;9;10;11;12;13;14;15;16;17;18;19;20;21;22;23;24;25;26;27;28;29;30},
     COUNTIFS($V$2:$V$200,$G295)&gt;0,
     COUNTIFS($W$2:$W$200,$G295)&gt;0,
     COUNTIFS($X$2:$X$200,$G295)&gt;0,
     COUNTIFS($Y$2:$Y$200,$G295)&gt;0,
     COUNTIFS($Z$2:$Z$200,$G295)&gt;0,
     COUNTIFS($AA$2:$AA$200,$G295)&gt;0,
     COUNTIFS($AB$2:$AB$200,$G295)&gt;0,
     COUNTIFS($AC$2:$AC$200,$G295)&gt;0,
     COUNTIFS($AD$2:$AD$200,$G295)&gt;0,
     COUNTIFS($AE$2:$AE$200,$G295)&gt;0,
     COUNTIFS($AF$2:$AF$200,$G295)&gt;0,
     COUNTIFS($AG$2:$AG$200,$G295)&gt;0,
     COUNTIFS($AH$2:$AH$200,$G295)&gt;0,
     COUNTIFS($AI$2:$AI$200,$G295)&gt;0,
     COUNTIFS($AJ$2:$AJ$200,$G295)&gt;0,
     COUNTIFS($AK$2:$AK$200,$G295)&gt;0,
     COUNTIFS($AL$2:$AL$200,$G295)&gt;0,
     COUNTIFS($AM$2:$AM$200,$G295)&gt;0,
     COUNTIFS($AN$2:$AN$200,$G295)&gt;0,
     COUNTIFS($AO$2:$AO$200,$G295)&gt;0,
     COUNTIFS($AP$2:$AP$200,$G295)&gt;0,
     COUNTIFS($AQ$2:$AQ$200,$G295)&gt;0,
     COUNTIFS($AR$2:$AR$200,$G295)&gt;0,
     COUNTIFS($AS$2:$AS$200,$G295)&gt;0,
     COUNTIFS($AT$2:$AT$200,$G295)&gt;0,
     COUNTIFS($AU$2:$AU$200,$G295)&gt;0,
     COUNTIFS($AV$2:$AV$200,$G295)&gt;0,
     COUNTIFS($AW$2:$AW$200,$G295)&gt;0,
     COUNTIFS($AX$2:$AX$200,$G295)&gt;0,
     COUNTIFS($AY$2:$AY$200,$G295)&gt;0
   )),
  ),
  3
 ),
"")</f>
        <v/>
      </c>
      <c r="F295" s="2" t="str" cm="1">
        <f t="array" aca="1" ref="F295" ca="1">IFERROR(
 INDEX(
  _xlfn._xlws.FILTER($V$1:$AY$1,
   TRANSPOSE(
    CHOOSE({1;2;3;4;5;6;7;8;9;10;11;12;13;14;15;16;17;18;19;20;21;22;23;24;25;26;27;28;29;30},
     COUNTIFS($V$2:$V$200,$G295)&gt;0,
     COUNTIFS($W$2:$W$200,$G295)&gt;0,
     COUNTIFS($X$2:$X$200,$G295)&gt;0,
     COUNTIFS($Y$2:$Y$200,$G295)&gt;0,
     COUNTIFS($Z$2:$Z$200,$G295)&gt;0,
     COUNTIFS($AA$2:$AA$200,$G295)&gt;0,
     COUNTIFS($AB$2:$AB$200,$G295)&gt;0,
     COUNTIFS($AC$2:$AC$200,$G295)&gt;0,
     COUNTIFS($AD$2:$AD$200,$G295)&gt;0,
     COUNTIFS($AE$2:$AE$200,$G295)&gt;0,
     COUNTIFS($AF$2:$AF$200,$G295)&gt;0,
     COUNTIFS($AG$2:$AG$200,$G295)&gt;0,
     COUNTIFS($AH$2:$AH$200,$G295)&gt;0,
     COUNTIFS($AI$2:$AI$200,$G295)&gt;0,
     COUNTIFS($AJ$2:$AJ$200,$G295)&gt;0,
     COUNTIFS($AK$2:$AK$200,$G295)&gt;0,
     COUNTIFS($AL$2:$AL$200,$G295)&gt;0,
     COUNTIFS($AM$2:$AM$200,$G295)&gt;0,
     COUNTIFS($AN$2:$AN$200,$G295)&gt;0,
     COUNTIFS($AO$2:$AO$200,$G295)&gt;0,
     COUNTIFS($AP$2:$AP$200,$G295)&gt;0,
     COUNTIFS($AQ$2:$AQ$200,$G295)&gt;0,
     COUNTIFS($AR$2:$AR$200,$G295)&gt;0,
     COUNTIFS($AS$2:$AS$200,$G295)&gt;0,
     COUNTIFS($AT$2:$AT$200,$G295)&gt;0,
     COUNTIFS($AU$2:$AU$200,$G295)&gt;0,
     COUNTIFS($AV$2:$AV$200,$G295)&gt;0,
     COUNTIFS($AW$2:$AW$200,$G295)&gt;0,
     COUNTIFS($AX$2:$AX$200,$G295)&gt;0,
     COUNTIFS($AY$2:$AY$200,$G295)&gt;0
   )),
  ),
  4
 ),
"")</f>
        <v/>
      </c>
      <c r="G295" t="str">
        <f ca="1"/>
        <v>Nest of Scarabs</v>
      </c>
      <c r="EU295" t="str">
        <f ca="1"/>
        <v>Stomping Ground</v>
      </c>
      <c r="EX295" t="str">
        <f ca="1"/>
        <v>Nest of Scarabs</v>
      </c>
    </row>
    <row r="296" spans="1:154" x14ac:dyDescent="0.25">
      <c r="A296" s="2" t="str">
        <f t="shared" ca="1" si="14"/>
        <v>4</v>
      </c>
      <c r="B296" s="2">
        <f t="shared" ca="1" si="15"/>
        <v>1</v>
      </c>
      <c r="C296" s="2" t="str">
        <f ca="1">IFERROR(
 INDEX($V$1:$BL$1,
  MATCH(TRUE,
   CHOOSE({1;2;3;4;5;6;7;8;9;10;11;12;13;14;15;16;17;18;19;20;21;22;23;24;25;26;27;28;29;30;31;32;33;34;35;36;37;38;39;40;41;42;43},
    COUNTIFS($V$2:$V$200,$G296)&gt;0,
    COUNTIFS($W$2:$W$200,$G296)&gt;0,
    COUNTIFS($X$2:$X$200,$G296)&gt;0,
    COUNTIFS($Y$2:$Y$200,$G296)&gt;0,
    COUNTIFS($Z$2:$Z$200,$G296)&gt;0,
    COUNTIFS($AA$2:$AA$200,$G296)&gt;0,
    COUNTIFS($AB$2:$AB$200,$G296)&gt;0,
    COUNTIFS($AC$2:$AC$200,$G296)&gt;0,
    COUNTIFS($AD$2:$AD$200,$G296)&gt;0,
    COUNTIFS($AE$2:$AE$200,$G296)&gt;0,
    COUNTIFS($AF$2:$AF$200,$G296)&gt;0,
    COUNTIFS($AG$2:$AG$200,$G296)&gt;0,
    COUNTIFS($AH$2:$AH$200,$G296)&gt;0,
    COUNTIFS($AI$2:$AI$200,$G296)&gt;0,
    COUNTIFS($AJ$2:$AJ$200,$G296)&gt;0,
    COUNTIFS($AK$2:$AK$200,$G296)&gt;0,
    COUNTIFS($AL$2:$AL$200,$G296)&gt;0,
    COUNTIFS($AM$2:$AM$200,$G296)&gt;0,
    COUNTIFS($AN$2:$AN$200,$G296)&gt;0,
    COUNTIFS($AO$2:$AO$200,$G296)&gt;0,
    COUNTIFS($AP$2:$AP$200,$G296)&gt;0,
    COUNTIFS($AQ$2:$AQ$200,$G296)&gt;0,
    COUNTIFS($AR$2:$AR$200,$G296)&gt;0,
    COUNTIFS($AS$2:$AS$200,$G296)&gt;0,
    COUNTIFS($AT$2:$AT$200,$G296)&gt;0,
    COUNTIFS($AU$2:$AU$200,$G296)&gt;0,
    COUNTIFS($AV$2:$AV$200,$G296)&gt;0,
    COUNTIFS($AW$2:$AW$200,$G296)&gt;0,
    COUNTIFS($AX$2:$AX$200,$G296)&gt;0,
    COUNTIFS($AY$2:$AY$200,$G296)&gt;0,
    COUNTIFS($AZ$2:$AZ$200,$G296)&gt;0,
    COUNTIFS($BA$2:$BA$200,$G296)&gt;0,
    COUNTIFS($BB$2:$BB$200,$G296)&gt;0,
    COUNTIFS($BC$2:$BC$200,$G296)&gt;0,
    COUNTIFS($BD$2:$BD$200,$G296)&gt;0,
    COUNTIFS($BE$2:$BE$200,$G296)&gt;0,
    COUNTIFS($BF$2:$BF$200,$G296)&gt;0,
    COUNTIFS($BG$2:$BG$200,$G296)&gt;0,
    COUNTIFS($BH$2:$BH$200,$G296)&gt;0,
    COUNTIFS($BI$2:$BI$200,$G296)&gt;0,
    COUNTIFS($BJ$2:$BJ$200,$G296)&gt;0,
    COUNTIFS($BK$2:$BK$200,$G296)&gt;0,
    COUNTIFS($BL$2:$BL$200,$G296)&gt;0,
    COUNTIFS($BM$2:$BM$200,$G296)&gt;0,
   ),
  0)
 ),
"")</f>
        <v>Kresh</v>
      </c>
      <c r="D296" s="2" t="str" cm="1">
        <f t="array" aca="1" ref="D296" ca="1">IFERROR(
 INDEX(
  _xlfn._xlws.FILTER($V$1:$AY$1,
   TRANSPOSE(
    CHOOSE({1;2;3;4;5;6;7;8;9;10;11;12;13;14;15;16;17;18;19;20;21;22;23;24;25;26;27;28;29;30},
     COUNTIFS($V$2:$V$200,$G296)&gt;0,
     COUNTIFS($W$2:$W$200,$G296)&gt;0,
     COUNTIFS($X$2:$X$200,$G296)&gt;0,
     COUNTIFS($Y$2:$Y$200,$G296)&gt;0,
     COUNTIFS($Z$2:$Z$200,$G296)&gt;0,
     COUNTIFS($AA$2:$AA$200,$G296)&gt;0,
     COUNTIFS($AB$2:$AB$200,$G296)&gt;0,
     COUNTIFS($AC$2:$AC$200,$G296)&gt;0,
     COUNTIFS($AD$2:$AD$200,$G296)&gt;0,
     COUNTIFS($AE$2:$AE$200,$G296)&gt;0,
     COUNTIFS($AF$2:$AF$200,$G296)&gt;0,
     COUNTIFS($AG$2:$AG$200,$G296)&gt;0,
     COUNTIFS($AH$2:$AH$200,$G296)&gt;0,
     COUNTIFS($AI$2:$AI$200,$G296)&gt;0,
     COUNTIFS($AJ$2:$AJ$200,$G296)&gt;0,
     COUNTIFS($AK$2:$AK$200,$G296)&gt;0,
     COUNTIFS($AL$2:$AL$200,$G296)&gt;0,
     COUNTIFS($AM$2:$AM$200,$G296)&gt;0,
     COUNTIFS($AN$2:$AN$200,$G296)&gt;0,
     COUNTIFS($AO$2:$AO$200,$G296)&gt;0,
     COUNTIFS($AP$2:$AP$200,$G296)&gt;0,
     COUNTIFS($AQ$2:$AQ$200,$G296)&gt;0,
     COUNTIFS($AR$2:$AR$200,$G296)&gt;0,
     COUNTIFS($AS$2:$AS$200,$G296)&gt;0,
     COUNTIFS($AT$2:$AT$200,$G296)&gt;0,
     COUNTIFS($AU$2:$AU$200,$G296)&gt;0,
     COUNTIFS($AV$2:$AV$200,$G296)&gt;0,
     COUNTIFS($AW$2:$AW$200,$G296)&gt;0,
     COUNTIFS($AX$2:$AX$200,$G296)&gt;0,
     COUNTIFS($AY$2:$AY$200,$G296)&gt;0
   )),
  ),
  2
 ),
"")</f>
        <v/>
      </c>
      <c r="E296" s="2" t="str" cm="1">
        <f t="array" aca="1" ref="E296" ca="1">IFERROR(
 INDEX(
  _xlfn._xlws.FILTER($V$1:$AY$1,
   TRANSPOSE(
    CHOOSE({1;2;3;4;5;6;7;8;9;10;11;12;13;14;15;16;17;18;19;20;21;22;23;24;25;26;27;28;29;30},
     COUNTIFS($V$2:$V$200,$G296)&gt;0,
     COUNTIFS($W$2:$W$200,$G296)&gt;0,
     COUNTIFS($X$2:$X$200,$G296)&gt;0,
     COUNTIFS($Y$2:$Y$200,$G296)&gt;0,
     COUNTIFS($Z$2:$Z$200,$G296)&gt;0,
     COUNTIFS($AA$2:$AA$200,$G296)&gt;0,
     COUNTIFS($AB$2:$AB$200,$G296)&gt;0,
     COUNTIFS($AC$2:$AC$200,$G296)&gt;0,
     COUNTIFS($AD$2:$AD$200,$G296)&gt;0,
     COUNTIFS($AE$2:$AE$200,$G296)&gt;0,
     COUNTIFS($AF$2:$AF$200,$G296)&gt;0,
     COUNTIFS($AG$2:$AG$200,$G296)&gt;0,
     COUNTIFS($AH$2:$AH$200,$G296)&gt;0,
     COUNTIFS($AI$2:$AI$200,$G296)&gt;0,
     COUNTIFS($AJ$2:$AJ$200,$G296)&gt;0,
     COUNTIFS($AK$2:$AK$200,$G296)&gt;0,
     COUNTIFS($AL$2:$AL$200,$G296)&gt;0,
     COUNTIFS($AM$2:$AM$200,$G296)&gt;0,
     COUNTIFS($AN$2:$AN$200,$G296)&gt;0,
     COUNTIFS($AO$2:$AO$200,$G296)&gt;0,
     COUNTIFS($AP$2:$AP$200,$G296)&gt;0,
     COUNTIFS($AQ$2:$AQ$200,$G296)&gt;0,
     COUNTIFS($AR$2:$AR$200,$G296)&gt;0,
     COUNTIFS($AS$2:$AS$200,$G296)&gt;0,
     COUNTIFS($AT$2:$AT$200,$G296)&gt;0,
     COUNTIFS($AU$2:$AU$200,$G296)&gt;0,
     COUNTIFS($AV$2:$AV$200,$G296)&gt;0,
     COUNTIFS($AW$2:$AW$200,$G296)&gt;0,
     COUNTIFS($AX$2:$AX$200,$G296)&gt;0,
     COUNTIFS($AY$2:$AY$200,$G296)&gt;0
   )),
  ),
  3
 ),
"")</f>
        <v/>
      </c>
      <c r="F296" s="2" t="str" cm="1">
        <f t="array" aca="1" ref="F296" ca="1">IFERROR(
 INDEX(
  _xlfn._xlws.FILTER($V$1:$AY$1,
   TRANSPOSE(
    CHOOSE({1;2;3;4;5;6;7;8;9;10;11;12;13;14;15;16;17;18;19;20;21;22;23;24;25;26;27;28;29;30},
     COUNTIFS($V$2:$V$200,$G296)&gt;0,
     COUNTIFS($W$2:$W$200,$G296)&gt;0,
     COUNTIFS($X$2:$X$200,$G296)&gt;0,
     COUNTIFS($Y$2:$Y$200,$G296)&gt;0,
     COUNTIFS($Z$2:$Z$200,$G296)&gt;0,
     COUNTIFS($AA$2:$AA$200,$G296)&gt;0,
     COUNTIFS($AB$2:$AB$200,$G296)&gt;0,
     COUNTIFS($AC$2:$AC$200,$G296)&gt;0,
     COUNTIFS($AD$2:$AD$200,$G296)&gt;0,
     COUNTIFS($AE$2:$AE$200,$G296)&gt;0,
     COUNTIFS($AF$2:$AF$200,$G296)&gt;0,
     COUNTIFS($AG$2:$AG$200,$G296)&gt;0,
     COUNTIFS($AH$2:$AH$200,$G296)&gt;0,
     COUNTIFS($AI$2:$AI$200,$G296)&gt;0,
     COUNTIFS($AJ$2:$AJ$200,$G296)&gt;0,
     COUNTIFS($AK$2:$AK$200,$G296)&gt;0,
     COUNTIFS($AL$2:$AL$200,$G296)&gt;0,
     COUNTIFS($AM$2:$AM$200,$G296)&gt;0,
     COUNTIFS($AN$2:$AN$200,$G296)&gt;0,
     COUNTIFS($AO$2:$AO$200,$G296)&gt;0,
     COUNTIFS($AP$2:$AP$200,$G296)&gt;0,
     COUNTIFS($AQ$2:$AQ$200,$G296)&gt;0,
     COUNTIFS($AR$2:$AR$200,$G296)&gt;0,
     COUNTIFS($AS$2:$AS$200,$G296)&gt;0,
     COUNTIFS($AT$2:$AT$200,$G296)&gt;0,
     COUNTIFS($AU$2:$AU$200,$G296)&gt;0,
     COUNTIFS($AV$2:$AV$200,$G296)&gt;0,
     COUNTIFS($AW$2:$AW$200,$G296)&gt;0,
     COUNTIFS($AX$2:$AX$200,$G296)&gt;0,
     COUNTIFS($AY$2:$AY$200,$G296)&gt;0
   )),
  ),
  4
 ),
"")</f>
        <v/>
      </c>
      <c r="G296" t="str">
        <f ca="1"/>
        <v>Nibelheim Aflame</v>
      </c>
      <c r="EU296" t="str">
        <f ca="1"/>
        <v>Stoneforge Mystic</v>
      </c>
      <c r="EX296" t="str">
        <f ca="1"/>
        <v>Nibelheim Aflame</v>
      </c>
    </row>
    <row r="297" spans="1:154" x14ac:dyDescent="0.25">
      <c r="A297" s="2" t="str">
        <f t="shared" ca="1" si="14"/>
        <v>2</v>
      </c>
      <c r="B297" s="2">
        <f t="shared" ca="1" si="15"/>
        <v>1</v>
      </c>
      <c r="C297" s="2" t="str">
        <f ca="1">IFERROR(
 INDEX($V$1:$BL$1,
  MATCH(TRUE,
   CHOOSE({1;2;3;4;5;6;7;8;9;10;11;12;13;14;15;16;17;18;19;20;21;22;23;24;25;26;27;28;29;30;31;32;33;34;35;36;37;38;39;40;41;42;43},
    COUNTIFS($V$2:$V$200,$G297)&gt;0,
    COUNTIFS($W$2:$W$200,$G297)&gt;0,
    COUNTIFS($X$2:$X$200,$G297)&gt;0,
    COUNTIFS($Y$2:$Y$200,$G297)&gt;0,
    COUNTIFS($Z$2:$Z$200,$G297)&gt;0,
    COUNTIFS($AA$2:$AA$200,$G297)&gt;0,
    COUNTIFS($AB$2:$AB$200,$G297)&gt;0,
    COUNTIFS($AC$2:$AC$200,$G297)&gt;0,
    COUNTIFS($AD$2:$AD$200,$G297)&gt;0,
    COUNTIFS($AE$2:$AE$200,$G297)&gt;0,
    COUNTIFS($AF$2:$AF$200,$G297)&gt;0,
    COUNTIFS($AG$2:$AG$200,$G297)&gt;0,
    COUNTIFS($AH$2:$AH$200,$G297)&gt;0,
    COUNTIFS($AI$2:$AI$200,$G297)&gt;0,
    COUNTIFS($AJ$2:$AJ$200,$G297)&gt;0,
    COUNTIFS($AK$2:$AK$200,$G297)&gt;0,
    COUNTIFS($AL$2:$AL$200,$G297)&gt;0,
    COUNTIFS($AM$2:$AM$200,$G297)&gt;0,
    COUNTIFS($AN$2:$AN$200,$G297)&gt;0,
    COUNTIFS($AO$2:$AO$200,$G297)&gt;0,
    COUNTIFS($AP$2:$AP$200,$G297)&gt;0,
    COUNTIFS($AQ$2:$AQ$200,$G297)&gt;0,
    COUNTIFS($AR$2:$AR$200,$G297)&gt;0,
    COUNTIFS($AS$2:$AS$200,$G297)&gt;0,
    COUNTIFS($AT$2:$AT$200,$G297)&gt;0,
    COUNTIFS($AU$2:$AU$200,$G297)&gt;0,
    COUNTIFS($AV$2:$AV$200,$G297)&gt;0,
    COUNTIFS($AW$2:$AW$200,$G297)&gt;0,
    COUNTIFS($AX$2:$AX$200,$G297)&gt;0,
    COUNTIFS($AY$2:$AY$200,$G297)&gt;0,
    COUNTIFS($AZ$2:$AZ$200,$G297)&gt;0,
    COUNTIFS($BA$2:$BA$200,$G297)&gt;0,
    COUNTIFS($BB$2:$BB$200,$G297)&gt;0,
    COUNTIFS($BC$2:$BC$200,$G297)&gt;0,
    COUNTIFS($BD$2:$BD$200,$G297)&gt;0,
    COUNTIFS($BE$2:$BE$200,$G297)&gt;0,
    COUNTIFS($BF$2:$BF$200,$G297)&gt;0,
    COUNTIFS($BG$2:$BG$200,$G297)&gt;0,
    COUNTIFS($BH$2:$BH$200,$G297)&gt;0,
    COUNTIFS($BI$2:$BI$200,$G297)&gt;0,
    COUNTIFS($BJ$2:$BJ$200,$G297)&gt;0,
    COUNTIFS($BK$2:$BK$200,$G297)&gt;0,
    COUNTIFS($BL$2:$BL$200,$G297)&gt;0,
    COUNTIFS($BM$2:$BM$200,$G297)&gt;0,
   ),
  0)
 ),
"")</f>
        <v>Sisay</v>
      </c>
      <c r="D297" s="2" t="str" cm="1">
        <f t="array" aca="1" ref="D297" ca="1">IFERROR(
 INDEX(
  _xlfn._xlws.FILTER($V$1:$AY$1,
   TRANSPOSE(
    CHOOSE({1;2;3;4;5;6;7;8;9;10;11;12;13;14;15;16;17;18;19;20;21;22;23;24;25;26;27;28;29;30},
     COUNTIFS($V$2:$V$200,$G297)&gt;0,
     COUNTIFS($W$2:$W$200,$G297)&gt;0,
     COUNTIFS($X$2:$X$200,$G297)&gt;0,
     COUNTIFS($Y$2:$Y$200,$G297)&gt;0,
     COUNTIFS($Z$2:$Z$200,$G297)&gt;0,
     COUNTIFS($AA$2:$AA$200,$G297)&gt;0,
     COUNTIFS($AB$2:$AB$200,$G297)&gt;0,
     COUNTIFS($AC$2:$AC$200,$G297)&gt;0,
     COUNTIFS($AD$2:$AD$200,$G297)&gt;0,
     COUNTIFS($AE$2:$AE$200,$G297)&gt;0,
     COUNTIFS($AF$2:$AF$200,$G297)&gt;0,
     COUNTIFS($AG$2:$AG$200,$G297)&gt;0,
     COUNTIFS($AH$2:$AH$200,$G297)&gt;0,
     COUNTIFS($AI$2:$AI$200,$G297)&gt;0,
     COUNTIFS($AJ$2:$AJ$200,$G297)&gt;0,
     COUNTIFS($AK$2:$AK$200,$G297)&gt;0,
     COUNTIFS($AL$2:$AL$200,$G297)&gt;0,
     COUNTIFS($AM$2:$AM$200,$G297)&gt;0,
     COUNTIFS($AN$2:$AN$200,$G297)&gt;0,
     COUNTIFS($AO$2:$AO$200,$G297)&gt;0,
     COUNTIFS($AP$2:$AP$200,$G297)&gt;0,
     COUNTIFS($AQ$2:$AQ$200,$G297)&gt;0,
     COUNTIFS($AR$2:$AR$200,$G297)&gt;0,
     COUNTIFS($AS$2:$AS$200,$G297)&gt;0,
     COUNTIFS($AT$2:$AT$200,$G297)&gt;0,
     COUNTIFS($AU$2:$AU$200,$G297)&gt;0,
     COUNTIFS($AV$2:$AV$200,$G297)&gt;0,
     COUNTIFS($AW$2:$AW$200,$G297)&gt;0,
     COUNTIFS($AX$2:$AX$200,$G297)&gt;0,
     COUNTIFS($AY$2:$AY$200,$G297)&gt;0
   )),
  ),
  2
 ),
"")</f>
        <v/>
      </c>
      <c r="E297" s="2" t="str" cm="1">
        <f t="array" aca="1" ref="E297" ca="1">IFERROR(
 INDEX(
  _xlfn._xlws.FILTER($V$1:$AY$1,
   TRANSPOSE(
    CHOOSE({1;2;3;4;5;6;7;8;9;10;11;12;13;14;15;16;17;18;19;20;21;22;23;24;25;26;27;28;29;30},
     COUNTIFS($V$2:$V$200,$G297)&gt;0,
     COUNTIFS($W$2:$W$200,$G297)&gt;0,
     COUNTIFS($X$2:$X$200,$G297)&gt;0,
     COUNTIFS($Y$2:$Y$200,$G297)&gt;0,
     COUNTIFS($Z$2:$Z$200,$G297)&gt;0,
     COUNTIFS($AA$2:$AA$200,$G297)&gt;0,
     COUNTIFS($AB$2:$AB$200,$G297)&gt;0,
     COUNTIFS($AC$2:$AC$200,$G297)&gt;0,
     COUNTIFS($AD$2:$AD$200,$G297)&gt;0,
     COUNTIFS($AE$2:$AE$200,$G297)&gt;0,
     COUNTIFS($AF$2:$AF$200,$G297)&gt;0,
     COUNTIFS($AG$2:$AG$200,$G297)&gt;0,
     COUNTIFS($AH$2:$AH$200,$G297)&gt;0,
     COUNTIFS($AI$2:$AI$200,$G297)&gt;0,
     COUNTIFS($AJ$2:$AJ$200,$G297)&gt;0,
     COUNTIFS($AK$2:$AK$200,$G297)&gt;0,
     COUNTIFS($AL$2:$AL$200,$G297)&gt;0,
     COUNTIFS($AM$2:$AM$200,$G297)&gt;0,
     COUNTIFS($AN$2:$AN$200,$G297)&gt;0,
     COUNTIFS($AO$2:$AO$200,$G297)&gt;0,
     COUNTIFS($AP$2:$AP$200,$G297)&gt;0,
     COUNTIFS($AQ$2:$AQ$200,$G297)&gt;0,
     COUNTIFS($AR$2:$AR$200,$G297)&gt;0,
     COUNTIFS($AS$2:$AS$200,$G297)&gt;0,
     COUNTIFS($AT$2:$AT$200,$G297)&gt;0,
     COUNTIFS($AU$2:$AU$200,$G297)&gt;0,
     COUNTIFS($AV$2:$AV$200,$G297)&gt;0,
     COUNTIFS($AW$2:$AW$200,$G297)&gt;0,
     COUNTIFS($AX$2:$AX$200,$G297)&gt;0,
     COUNTIFS($AY$2:$AY$200,$G297)&gt;0
   )),
  ),
  3
 ),
"")</f>
        <v/>
      </c>
      <c r="F297" s="2" t="str" cm="1">
        <f t="array" aca="1" ref="F297" ca="1">IFERROR(
 INDEX(
  _xlfn._xlws.FILTER($V$1:$AY$1,
   TRANSPOSE(
    CHOOSE({1;2;3;4;5;6;7;8;9;10;11;12;13;14;15;16;17;18;19;20;21;22;23;24;25;26;27;28;29;30},
     COUNTIFS($V$2:$V$200,$G297)&gt;0,
     COUNTIFS($W$2:$W$200,$G297)&gt;0,
     COUNTIFS($X$2:$X$200,$G297)&gt;0,
     COUNTIFS($Y$2:$Y$200,$G297)&gt;0,
     COUNTIFS($Z$2:$Z$200,$G297)&gt;0,
     COUNTIFS($AA$2:$AA$200,$G297)&gt;0,
     COUNTIFS($AB$2:$AB$200,$G297)&gt;0,
     COUNTIFS($AC$2:$AC$200,$G297)&gt;0,
     COUNTIFS($AD$2:$AD$200,$G297)&gt;0,
     COUNTIFS($AE$2:$AE$200,$G297)&gt;0,
     COUNTIFS($AF$2:$AF$200,$G297)&gt;0,
     COUNTIFS($AG$2:$AG$200,$G297)&gt;0,
     COUNTIFS($AH$2:$AH$200,$G297)&gt;0,
     COUNTIFS($AI$2:$AI$200,$G297)&gt;0,
     COUNTIFS($AJ$2:$AJ$200,$G297)&gt;0,
     COUNTIFS($AK$2:$AK$200,$G297)&gt;0,
     COUNTIFS($AL$2:$AL$200,$G297)&gt;0,
     COUNTIFS($AM$2:$AM$200,$G297)&gt;0,
     COUNTIFS($AN$2:$AN$200,$G297)&gt;0,
     COUNTIFS($AO$2:$AO$200,$G297)&gt;0,
     COUNTIFS($AP$2:$AP$200,$G297)&gt;0,
     COUNTIFS($AQ$2:$AQ$200,$G297)&gt;0,
     COUNTIFS($AR$2:$AR$200,$G297)&gt;0,
     COUNTIFS($AS$2:$AS$200,$G297)&gt;0,
     COUNTIFS($AT$2:$AT$200,$G297)&gt;0,
     COUNTIFS($AU$2:$AU$200,$G297)&gt;0,
     COUNTIFS($AV$2:$AV$200,$G297)&gt;0,
     COUNTIFS($AW$2:$AW$200,$G297)&gt;0,
     COUNTIFS($AX$2:$AX$200,$G297)&gt;0,
     COUNTIFS($AY$2:$AY$200,$G297)&gt;0
   )),
  ),
  4
 ),
"")</f>
        <v/>
      </c>
      <c r="G297" t="str">
        <f ca="1"/>
        <v>Nicol Bolas, God-Pharaoh</v>
      </c>
      <c r="EU297" t="str">
        <f ca="1"/>
        <v>Stonybrook Banneret</v>
      </c>
      <c r="EX297" t="str">
        <f ca="1"/>
        <v>Nicol Bolas, God-Pharaoh</v>
      </c>
    </row>
    <row r="298" spans="1:154" x14ac:dyDescent="0.25">
      <c r="A298" s="2" t="str">
        <f t="shared" ca="1" si="14"/>
        <v>2</v>
      </c>
      <c r="B298" s="2">
        <f t="shared" ca="1" si="15"/>
        <v>1</v>
      </c>
      <c r="C298" s="2" t="str">
        <f ca="1">IFERROR(
 INDEX($V$1:$BL$1,
  MATCH(TRUE,
   CHOOSE({1;2;3;4;5;6;7;8;9;10;11;12;13;14;15;16;17;18;19;20;21;22;23;24;25;26;27;28;29;30;31;32;33;34;35;36;37;38;39;40;41;42;43},
    COUNTIFS($V$2:$V$200,$G298)&gt;0,
    COUNTIFS($W$2:$W$200,$G298)&gt;0,
    COUNTIFS($X$2:$X$200,$G298)&gt;0,
    COUNTIFS($Y$2:$Y$200,$G298)&gt;0,
    COUNTIFS($Z$2:$Z$200,$G298)&gt;0,
    COUNTIFS($AA$2:$AA$200,$G298)&gt;0,
    COUNTIFS($AB$2:$AB$200,$G298)&gt;0,
    COUNTIFS($AC$2:$AC$200,$G298)&gt;0,
    COUNTIFS($AD$2:$AD$200,$G298)&gt;0,
    COUNTIFS($AE$2:$AE$200,$G298)&gt;0,
    COUNTIFS($AF$2:$AF$200,$G298)&gt;0,
    COUNTIFS($AG$2:$AG$200,$G298)&gt;0,
    COUNTIFS($AH$2:$AH$200,$G298)&gt;0,
    COUNTIFS($AI$2:$AI$200,$G298)&gt;0,
    COUNTIFS($AJ$2:$AJ$200,$G298)&gt;0,
    COUNTIFS($AK$2:$AK$200,$G298)&gt;0,
    COUNTIFS($AL$2:$AL$200,$G298)&gt;0,
    COUNTIFS($AM$2:$AM$200,$G298)&gt;0,
    COUNTIFS($AN$2:$AN$200,$G298)&gt;0,
    COUNTIFS($AO$2:$AO$200,$G298)&gt;0,
    COUNTIFS($AP$2:$AP$200,$G298)&gt;0,
    COUNTIFS($AQ$2:$AQ$200,$G298)&gt;0,
    COUNTIFS($AR$2:$AR$200,$G298)&gt;0,
    COUNTIFS($AS$2:$AS$200,$G298)&gt;0,
    COUNTIFS($AT$2:$AT$200,$G298)&gt;0,
    COUNTIFS($AU$2:$AU$200,$G298)&gt;0,
    COUNTIFS($AV$2:$AV$200,$G298)&gt;0,
    COUNTIFS($AW$2:$AW$200,$G298)&gt;0,
    COUNTIFS($AX$2:$AX$200,$G298)&gt;0,
    COUNTIFS($AY$2:$AY$200,$G298)&gt;0,
    COUNTIFS($AZ$2:$AZ$200,$G298)&gt;0,
    COUNTIFS($BA$2:$BA$200,$G298)&gt;0,
    COUNTIFS($BB$2:$BB$200,$G298)&gt;0,
    COUNTIFS($BC$2:$BC$200,$G298)&gt;0,
    COUNTIFS($BD$2:$BD$200,$G298)&gt;0,
    COUNTIFS($BE$2:$BE$200,$G298)&gt;0,
    COUNTIFS($BF$2:$BF$200,$G298)&gt;0,
    COUNTIFS($BG$2:$BG$200,$G298)&gt;0,
    COUNTIFS($BH$2:$BH$200,$G298)&gt;0,
    COUNTIFS($BI$2:$BI$200,$G298)&gt;0,
    COUNTIFS($BJ$2:$BJ$200,$G298)&gt;0,
    COUNTIFS($BK$2:$BK$200,$G298)&gt;0,
    COUNTIFS($BL$2:$BL$200,$G298)&gt;0,
    COUNTIFS($BM$2:$BM$200,$G298)&gt;0,
   ),
  0)
 ),
"")</f>
        <v>Elfos</v>
      </c>
      <c r="D298" s="2" t="str" cm="1">
        <f t="array" aca="1" ref="D298" ca="1">IFERROR(
 INDEX(
  _xlfn._xlws.FILTER($V$1:$AY$1,
   TRANSPOSE(
    CHOOSE({1;2;3;4;5;6;7;8;9;10;11;12;13;14;15;16;17;18;19;20;21;22;23;24;25;26;27;28;29;30},
     COUNTIFS($V$2:$V$200,$G298)&gt;0,
     COUNTIFS($W$2:$W$200,$G298)&gt;0,
     COUNTIFS($X$2:$X$200,$G298)&gt;0,
     COUNTIFS($Y$2:$Y$200,$G298)&gt;0,
     COUNTIFS($Z$2:$Z$200,$G298)&gt;0,
     COUNTIFS($AA$2:$AA$200,$G298)&gt;0,
     COUNTIFS($AB$2:$AB$200,$G298)&gt;0,
     COUNTIFS($AC$2:$AC$200,$G298)&gt;0,
     COUNTIFS($AD$2:$AD$200,$G298)&gt;0,
     COUNTIFS($AE$2:$AE$200,$G298)&gt;0,
     COUNTIFS($AF$2:$AF$200,$G298)&gt;0,
     COUNTIFS($AG$2:$AG$200,$G298)&gt;0,
     COUNTIFS($AH$2:$AH$200,$G298)&gt;0,
     COUNTIFS($AI$2:$AI$200,$G298)&gt;0,
     COUNTIFS($AJ$2:$AJ$200,$G298)&gt;0,
     COUNTIFS($AK$2:$AK$200,$G298)&gt;0,
     COUNTIFS($AL$2:$AL$200,$G298)&gt;0,
     COUNTIFS($AM$2:$AM$200,$G298)&gt;0,
     COUNTIFS($AN$2:$AN$200,$G298)&gt;0,
     COUNTIFS($AO$2:$AO$200,$G298)&gt;0,
     COUNTIFS($AP$2:$AP$200,$G298)&gt;0,
     COUNTIFS($AQ$2:$AQ$200,$G298)&gt;0,
     COUNTIFS($AR$2:$AR$200,$G298)&gt;0,
     COUNTIFS($AS$2:$AS$200,$G298)&gt;0,
     COUNTIFS($AT$2:$AT$200,$G298)&gt;0,
     COUNTIFS($AU$2:$AU$200,$G298)&gt;0,
     COUNTIFS($AV$2:$AV$200,$G298)&gt;0,
     COUNTIFS($AW$2:$AW$200,$G298)&gt;0,
     COUNTIFS($AX$2:$AX$200,$G298)&gt;0,
     COUNTIFS($AY$2:$AY$200,$G298)&gt;0
   )),
  ),
  2
 ),
"")</f>
        <v/>
      </c>
      <c r="E298" s="2" t="str" cm="1">
        <f t="array" aca="1" ref="E298" ca="1">IFERROR(
 INDEX(
  _xlfn._xlws.FILTER($V$1:$AY$1,
   TRANSPOSE(
    CHOOSE({1;2;3;4;5;6;7;8;9;10;11;12;13;14;15;16;17;18;19;20;21;22;23;24;25;26;27;28;29;30},
     COUNTIFS($V$2:$V$200,$G298)&gt;0,
     COUNTIFS($W$2:$W$200,$G298)&gt;0,
     COUNTIFS($X$2:$X$200,$G298)&gt;0,
     COUNTIFS($Y$2:$Y$200,$G298)&gt;0,
     COUNTIFS($Z$2:$Z$200,$G298)&gt;0,
     COUNTIFS($AA$2:$AA$200,$G298)&gt;0,
     COUNTIFS($AB$2:$AB$200,$G298)&gt;0,
     COUNTIFS($AC$2:$AC$200,$G298)&gt;0,
     COUNTIFS($AD$2:$AD$200,$G298)&gt;0,
     COUNTIFS($AE$2:$AE$200,$G298)&gt;0,
     COUNTIFS($AF$2:$AF$200,$G298)&gt;0,
     COUNTIFS($AG$2:$AG$200,$G298)&gt;0,
     COUNTIFS($AH$2:$AH$200,$G298)&gt;0,
     COUNTIFS($AI$2:$AI$200,$G298)&gt;0,
     COUNTIFS($AJ$2:$AJ$200,$G298)&gt;0,
     COUNTIFS($AK$2:$AK$200,$G298)&gt;0,
     COUNTIFS($AL$2:$AL$200,$G298)&gt;0,
     COUNTIFS($AM$2:$AM$200,$G298)&gt;0,
     COUNTIFS($AN$2:$AN$200,$G298)&gt;0,
     COUNTIFS($AO$2:$AO$200,$G298)&gt;0,
     COUNTIFS($AP$2:$AP$200,$G298)&gt;0,
     COUNTIFS($AQ$2:$AQ$200,$G298)&gt;0,
     COUNTIFS($AR$2:$AR$200,$G298)&gt;0,
     COUNTIFS($AS$2:$AS$200,$G298)&gt;0,
     COUNTIFS($AT$2:$AT$200,$G298)&gt;0,
     COUNTIFS($AU$2:$AU$200,$G298)&gt;0,
     COUNTIFS($AV$2:$AV$200,$G298)&gt;0,
     COUNTIFS($AW$2:$AW$200,$G298)&gt;0,
     COUNTIFS($AX$2:$AX$200,$G298)&gt;0,
     COUNTIFS($AY$2:$AY$200,$G298)&gt;0
   )),
  ),
  3
 ),
"")</f>
        <v/>
      </c>
      <c r="F298" s="2" t="str" cm="1">
        <f t="array" aca="1" ref="F298" ca="1">IFERROR(
 INDEX(
  _xlfn._xlws.FILTER($V$1:$AY$1,
   TRANSPOSE(
    CHOOSE({1;2;3;4;5;6;7;8;9;10;11;12;13;14;15;16;17;18;19;20;21;22;23;24;25;26;27;28;29;30},
     COUNTIFS($V$2:$V$200,$G298)&gt;0,
     COUNTIFS($W$2:$W$200,$G298)&gt;0,
     COUNTIFS($X$2:$X$200,$G298)&gt;0,
     COUNTIFS($Y$2:$Y$200,$G298)&gt;0,
     COUNTIFS($Z$2:$Z$200,$G298)&gt;0,
     COUNTIFS($AA$2:$AA$200,$G298)&gt;0,
     COUNTIFS($AB$2:$AB$200,$G298)&gt;0,
     COUNTIFS($AC$2:$AC$200,$G298)&gt;0,
     COUNTIFS($AD$2:$AD$200,$G298)&gt;0,
     COUNTIFS($AE$2:$AE$200,$G298)&gt;0,
     COUNTIFS($AF$2:$AF$200,$G298)&gt;0,
     COUNTIFS($AG$2:$AG$200,$G298)&gt;0,
     COUNTIFS($AH$2:$AH$200,$G298)&gt;0,
     COUNTIFS($AI$2:$AI$200,$G298)&gt;0,
     COUNTIFS($AJ$2:$AJ$200,$G298)&gt;0,
     COUNTIFS($AK$2:$AK$200,$G298)&gt;0,
     COUNTIFS($AL$2:$AL$200,$G298)&gt;0,
     COUNTIFS($AM$2:$AM$200,$G298)&gt;0,
     COUNTIFS($AN$2:$AN$200,$G298)&gt;0,
     COUNTIFS($AO$2:$AO$200,$G298)&gt;0,
     COUNTIFS($AP$2:$AP$200,$G298)&gt;0,
     COUNTIFS($AQ$2:$AQ$200,$G298)&gt;0,
     COUNTIFS($AR$2:$AR$200,$G298)&gt;0,
     COUNTIFS($AS$2:$AS$200,$G298)&gt;0,
     COUNTIFS($AT$2:$AT$200,$G298)&gt;0,
     COUNTIFS($AU$2:$AU$200,$G298)&gt;0,
     COUNTIFS($AV$2:$AV$200,$G298)&gt;0,
     COUNTIFS($AW$2:$AW$200,$G298)&gt;0,
     COUNTIFS($AX$2:$AX$200,$G298)&gt;0,
     COUNTIFS($AY$2:$AY$200,$G298)&gt;0
   )),
  ),
  4
 ),
"")</f>
        <v/>
      </c>
      <c r="G298" t="str">
        <f ca="1"/>
        <v>Nissa, Resurgent Animist</v>
      </c>
      <c r="EU298" t="str">
        <f ca="1"/>
        <v>Striking Sliver</v>
      </c>
      <c r="EX298" t="str">
        <f ca="1"/>
        <v>Nissa, Resurgent Animist</v>
      </c>
    </row>
    <row r="299" spans="1:154" x14ac:dyDescent="0.25">
      <c r="A299" s="2" t="str">
        <f t="shared" ca="1" si="14"/>
        <v>5</v>
      </c>
      <c r="B299" s="2">
        <f t="shared" ca="1" si="15"/>
        <v>1</v>
      </c>
      <c r="C299" s="2" t="str">
        <f ca="1">IFERROR(
 INDEX($V$1:$BL$1,
  MATCH(TRUE,
   CHOOSE({1;2;3;4;5;6;7;8;9;10;11;12;13;14;15;16;17;18;19;20;21;22;23;24;25;26;27;28;29;30;31;32;33;34;35;36;37;38;39;40;41;42;43},
    COUNTIFS($V$2:$V$200,$G299)&gt;0,
    COUNTIFS($W$2:$W$200,$G299)&gt;0,
    COUNTIFS($X$2:$X$200,$G299)&gt;0,
    COUNTIFS($Y$2:$Y$200,$G299)&gt;0,
    COUNTIFS($Z$2:$Z$200,$G299)&gt;0,
    COUNTIFS($AA$2:$AA$200,$G299)&gt;0,
    COUNTIFS($AB$2:$AB$200,$G299)&gt;0,
    COUNTIFS($AC$2:$AC$200,$G299)&gt;0,
    COUNTIFS($AD$2:$AD$200,$G299)&gt;0,
    COUNTIFS($AE$2:$AE$200,$G299)&gt;0,
    COUNTIFS($AF$2:$AF$200,$G299)&gt;0,
    COUNTIFS($AG$2:$AG$200,$G299)&gt;0,
    COUNTIFS($AH$2:$AH$200,$G299)&gt;0,
    COUNTIFS($AI$2:$AI$200,$G299)&gt;0,
    COUNTIFS($AJ$2:$AJ$200,$G299)&gt;0,
    COUNTIFS($AK$2:$AK$200,$G299)&gt;0,
    COUNTIFS($AL$2:$AL$200,$G299)&gt;0,
    COUNTIFS($AM$2:$AM$200,$G299)&gt;0,
    COUNTIFS($AN$2:$AN$200,$G299)&gt;0,
    COUNTIFS($AO$2:$AO$200,$G299)&gt;0,
    COUNTIFS($AP$2:$AP$200,$G299)&gt;0,
    COUNTIFS($AQ$2:$AQ$200,$G299)&gt;0,
    COUNTIFS($AR$2:$AR$200,$G299)&gt;0,
    COUNTIFS($AS$2:$AS$200,$G299)&gt;0,
    COUNTIFS($AT$2:$AT$200,$G299)&gt;0,
    COUNTIFS($AU$2:$AU$200,$G299)&gt;0,
    COUNTIFS($AV$2:$AV$200,$G299)&gt;0,
    COUNTIFS($AW$2:$AW$200,$G299)&gt;0,
    COUNTIFS($AX$2:$AX$200,$G299)&gt;0,
    COUNTIFS($AY$2:$AY$200,$G299)&gt;0,
    COUNTIFS($AZ$2:$AZ$200,$G299)&gt;0,
    COUNTIFS($BA$2:$BA$200,$G299)&gt;0,
    COUNTIFS($BB$2:$BB$200,$G299)&gt;0,
    COUNTIFS($BC$2:$BC$200,$G299)&gt;0,
    COUNTIFS($BD$2:$BD$200,$G299)&gt;0,
    COUNTIFS($BE$2:$BE$200,$G299)&gt;0,
    COUNTIFS($BF$2:$BF$200,$G299)&gt;0,
    COUNTIFS($BG$2:$BG$200,$G299)&gt;0,
    COUNTIFS($BH$2:$BH$200,$G299)&gt;0,
    COUNTIFS($BI$2:$BI$200,$G299)&gt;0,
    COUNTIFS($BJ$2:$BJ$200,$G299)&gt;0,
    COUNTIFS($BK$2:$BK$200,$G299)&gt;0,
    COUNTIFS($BL$2:$BL$200,$G299)&gt;0,
    COUNTIFS($BM$2:$BM$200,$G299)&gt;0,
   ),
  0)
 ),
"")</f>
        <v>4cRash</v>
      </c>
      <c r="D299" s="2" t="str" cm="1">
        <f t="array" aca="1" ref="D299" ca="1">IFERROR(
 INDEX(
  _xlfn._xlws.FILTER($V$1:$AY$1,
   TRANSPOSE(
    CHOOSE({1;2;3;4;5;6;7;8;9;10;11;12;13;14;15;16;17;18;19;20;21;22;23;24;25;26;27;28;29;30},
     COUNTIFS($V$2:$V$200,$G299)&gt;0,
     COUNTIFS($W$2:$W$200,$G299)&gt;0,
     COUNTIFS($X$2:$X$200,$G299)&gt;0,
     COUNTIFS($Y$2:$Y$200,$G299)&gt;0,
     COUNTIFS($Z$2:$Z$200,$G299)&gt;0,
     COUNTIFS($AA$2:$AA$200,$G299)&gt;0,
     COUNTIFS($AB$2:$AB$200,$G299)&gt;0,
     COUNTIFS($AC$2:$AC$200,$G299)&gt;0,
     COUNTIFS($AD$2:$AD$200,$G299)&gt;0,
     COUNTIFS($AE$2:$AE$200,$G299)&gt;0,
     COUNTIFS($AF$2:$AF$200,$G299)&gt;0,
     COUNTIFS($AG$2:$AG$200,$G299)&gt;0,
     COUNTIFS($AH$2:$AH$200,$G299)&gt;0,
     COUNTIFS($AI$2:$AI$200,$G299)&gt;0,
     COUNTIFS($AJ$2:$AJ$200,$G299)&gt;0,
     COUNTIFS($AK$2:$AK$200,$G299)&gt;0,
     COUNTIFS($AL$2:$AL$200,$G299)&gt;0,
     COUNTIFS($AM$2:$AM$200,$G299)&gt;0,
     COUNTIFS($AN$2:$AN$200,$G299)&gt;0,
     COUNTIFS($AO$2:$AO$200,$G299)&gt;0,
     COUNTIFS($AP$2:$AP$200,$G299)&gt;0,
     COUNTIFS($AQ$2:$AQ$200,$G299)&gt;0,
     COUNTIFS($AR$2:$AR$200,$G299)&gt;0,
     COUNTIFS($AS$2:$AS$200,$G299)&gt;0,
     COUNTIFS($AT$2:$AT$200,$G299)&gt;0,
     COUNTIFS($AU$2:$AU$200,$G299)&gt;0,
     COUNTIFS($AV$2:$AV$200,$G299)&gt;0,
     COUNTIFS($AW$2:$AW$200,$G299)&gt;0,
     COUNTIFS($AX$2:$AX$200,$G299)&gt;0,
     COUNTIFS($AY$2:$AY$200,$G299)&gt;0
   )),
  ),
  2
 ),
"")</f>
        <v/>
      </c>
      <c r="E299" s="2" t="str" cm="1">
        <f t="array" aca="1" ref="E299" ca="1">IFERROR(
 INDEX(
  _xlfn._xlws.FILTER($V$1:$AY$1,
   TRANSPOSE(
    CHOOSE({1;2;3;4;5;6;7;8;9;10;11;12;13;14;15;16;17;18;19;20;21;22;23;24;25;26;27;28;29;30},
     COUNTIFS($V$2:$V$200,$G299)&gt;0,
     COUNTIFS($W$2:$W$200,$G299)&gt;0,
     COUNTIFS($X$2:$X$200,$G299)&gt;0,
     COUNTIFS($Y$2:$Y$200,$G299)&gt;0,
     COUNTIFS($Z$2:$Z$200,$G299)&gt;0,
     COUNTIFS($AA$2:$AA$200,$G299)&gt;0,
     COUNTIFS($AB$2:$AB$200,$G299)&gt;0,
     COUNTIFS($AC$2:$AC$200,$G299)&gt;0,
     COUNTIFS($AD$2:$AD$200,$G299)&gt;0,
     COUNTIFS($AE$2:$AE$200,$G299)&gt;0,
     COUNTIFS($AF$2:$AF$200,$G299)&gt;0,
     COUNTIFS($AG$2:$AG$200,$G299)&gt;0,
     COUNTIFS($AH$2:$AH$200,$G299)&gt;0,
     COUNTIFS($AI$2:$AI$200,$G299)&gt;0,
     COUNTIFS($AJ$2:$AJ$200,$G299)&gt;0,
     COUNTIFS($AK$2:$AK$200,$G299)&gt;0,
     COUNTIFS($AL$2:$AL$200,$G299)&gt;0,
     COUNTIFS($AM$2:$AM$200,$G299)&gt;0,
     COUNTIFS($AN$2:$AN$200,$G299)&gt;0,
     COUNTIFS($AO$2:$AO$200,$G299)&gt;0,
     COUNTIFS($AP$2:$AP$200,$G299)&gt;0,
     COUNTIFS($AQ$2:$AQ$200,$G299)&gt;0,
     COUNTIFS($AR$2:$AR$200,$G299)&gt;0,
     COUNTIFS($AS$2:$AS$200,$G299)&gt;0,
     COUNTIFS($AT$2:$AT$200,$G299)&gt;0,
     COUNTIFS($AU$2:$AU$200,$G299)&gt;0,
     COUNTIFS($AV$2:$AV$200,$G299)&gt;0,
     COUNTIFS($AW$2:$AW$200,$G299)&gt;0,
     COUNTIFS($AX$2:$AX$200,$G299)&gt;0,
     COUNTIFS($AY$2:$AY$200,$G299)&gt;0
   )),
  ),
  3
 ),
"")</f>
        <v/>
      </c>
      <c r="F299" s="2" t="str" cm="1">
        <f t="array" aca="1" ref="F299" ca="1">IFERROR(
 INDEX(
  _xlfn._xlws.FILTER($V$1:$AY$1,
   TRANSPOSE(
    CHOOSE({1;2;3;4;5;6;7;8;9;10;11;12;13;14;15;16;17;18;19;20;21;22;23;24;25;26;27;28;29;30},
     COUNTIFS($V$2:$V$200,$G299)&gt;0,
     COUNTIFS($W$2:$W$200,$G299)&gt;0,
     COUNTIFS($X$2:$X$200,$G299)&gt;0,
     COUNTIFS($Y$2:$Y$200,$G299)&gt;0,
     COUNTIFS($Z$2:$Z$200,$G299)&gt;0,
     COUNTIFS($AA$2:$AA$200,$G299)&gt;0,
     COUNTIFS($AB$2:$AB$200,$G299)&gt;0,
     COUNTIFS($AC$2:$AC$200,$G299)&gt;0,
     COUNTIFS($AD$2:$AD$200,$G299)&gt;0,
     COUNTIFS($AE$2:$AE$200,$G299)&gt;0,
     COUNTIFS($AF$2:$AF$200,$G299)&gt;0,
     COUNTIFS($AG$2:$AG$200,$G299)&gt;0,
     COUNTIFS($AH$2:$AH$200,$G299)&gt;0,
     COUNTIFS($AI$2:$AI$200,$G299)&gt;0,
     COUNTIFS($AJ$2:$AJ$200,$G299)&gt;0,
     COUNTIFS($AK$2:$AK$200,$G299)&gt;0,
     COUNTIFS($AL$2:$AL$200,$G299)&gt;0,
     COUNTIFS($AM$2:$AM$200,$G299)&gt;0,
     COUNTIFS($AN$2:$AN$200,$G299)&gt;0,
     COUNTIFS($AO$2:$AO$200,$G299)&gt;0,
     COUNTIFS($AP$2:$AP$200,$G299)&gt;0,
     COUNTIFS($AQ$2:$AQ$200,$G299)&gt;0,
     COUNTIFS($AR$2:$AR$200,$G299)&gt;0,
     COUNTIFS($AS$2:$AS$200,$G299)&gt;0,
     COUNTIFS($AT$2:$AT$200,$G299)&gt;0,
     COUNTIFS($AU$2:$AU$200,$G299)&gt;0,
     COUNTIFS($AV$2:$AV$200,$G299)&gt;0,
     COUNTIFS($AW$2:$AW$200,$G299)&gt;0,
     COUNTIFS($AX$2:$AX$200,$G299)&gt;0,
     COUNTIFS($AY$2:$AY$200,$G299)&gt;0
   )),
  ),
  4
 ),
"")</f>
        <v/>
      </c>
      <c r="G299" t="str">
        <f ca="1"/>
        <v>Niv-Mizzet, Parun</v>
      </c>
      <c r="EU299" t="str">
        <f ca="1"/>
        <v>Strix Serenade</v>
      </c>
      <c r="EX299" t="str">
        <f ca="1"/>
        <v>Niv-Mizzet, Parun</v>
      </c>
    </row>
    <row r="300" spans="1:154" x14ac:dyDescent="0.25">
      <c r="A300" s="2" t="str">
        <f t="shared" ca="1" si="14"/>
        <v>5</v>
      </c>
      <c r="B300" s="2">
        <f t="shared" ca="1" si="15"/>
        <v>1</v>
      </c>
      <c r="C300" s="2" t="str">
        <f ca="1">IFERROR(
 INDEX($V$1:$BL$1,
  MATCH(TRUE,
   CHOOSE({1;2;3;4;5;6;7;8;9;10;11;12;13;14;15;16;17;18;19;20;21;22;23;24;25;26;27;28;29;30;31;32;33;34;35;36;37;38;39;40;41;42;43},
    COUNTIFS($V$2:$V$200,$G300)&gt;0,
    COUNTIFS($W$2:$W$200,$G300)&gt;0,
    COUNTIFS($X$2:$X$200,$G300)&gt;0,
    COUNTIFS($Y$2:$Y$200,$G300)&gt;0,
    COUNTIFS($Z$2:$Z$200,$G300)&gt;0,
    COUNTIFS($AA$2:$AA$200,$G300)&gt;0,
    COUNTIFS($AB$2:$AB$200,$G300)&gt;0,
    COUNTIFS($AC$2:$AC$200,$G300)&gt;0,
    COUNTIFS($AD$2:$AD$200,$G300)&gt;0,
    COUNTIFS($AE$2:$AE$200,$G300)&gt;0,
    COUNTIFS($AF$2:$AF$200,$G300)&gt;0,
    COUNTIFS($AG$2:$AG$200,$G300)&gt;0,
    COUNTIFS($AH$2:$AH$200,$G300)&gt;0,
    COUNTIFS($AI$2:$AI$200,$G300)&gt;0,
    COUNTIFS($AJ$2:$AJ$200,$G300)&gt;0,
    COUNTIFS($AK$2:$AK$200,$G300)&gt;0,
    COUNTIFS($AL$2:$AL$200,$G300)&gt;0,
    COUNTIFS($AM$2:$AM$200,$G300)&gt;0,
    COUNTIFS($AN$2:$AN$200,$G300)&gt;0,
    COUNTIFS($AO$2:$AO$200,$G300)&gt;0,
    COUNTIFS($AP$2:$AP$200,$G300)&gt;0,
    COUNTIFS($AQ$2:$AQ$200,$G300)&gt;0,
    COUNTIFS($AR$2:$AR$200,$G300)&gt;0,
    COUNTIFS($AS$2:$AS$200,$G300)&gt;0,
    COUNTIFS($AT$2:$AT$200,$G300)&gt;0,
    COUNTIFS($AU$2:$AU$200,$G300)&gt;0,
    COUNTIFS($AV$2:$AV$200,$G300)&gt;0,
    COUNTIFS($AW$2:$AW$200,$G300)&gt;0,
    COUNTIFS($AX$2:$AX$200,$G300)&gt;0,
    COUNTIFS($AY$2:$AY$200,$G300)&gt;0,
    COUNTIFS($AZ$2:$AZ$200,$G300)&gt;0,
    COUNTIFS($BA$2:$BA$200,$G300)&gt;0,
    COUNTIFS($BB$2:$BB$200,$G300)&gt;0,
    COUNTIFS($BC$2:$BC$200,$G300)&gt;0,
    COUNTIFS($BD$2:$BD$200,$G300)&gt;0,
    COUNTIFS($BE$2:$BE$200,$G300)&gt;0,
    COUNTIFS($BF$2:$BF$200,$G300)&gt;0,
    COUNTIFS($BG$2:$BG$200,$G300)&gt;0,
    COUNTIFS($BH$2:$BH$200,$G300)&gt;0,
    COUNTIFS($BI$2:$BI$200,$G300)&gt;0,
    COUNTIFS($BJ$2:$BJ$200,$G300)&gt;0,
    COUNTIFS($BK$2:$BK$200,$G300)&gt;0,
    COUNTIFS($BL$2:$BL$200,$G300)&gt;0,
    COUNTIFS($BM$2:$BM$200,$G300)&gt;0,
   ),
  0)
 ),
"")</f>
        <v>Zuko</v>
      </c>
      <c r="D300" s="2" t="str" cm="1">
        <f t="array" aca="1" ref="D300" ca="1">IFERROR(
 INDEX(
  _xlfn._xlws.FILTER($V$1:$AY$1,
   TRANSPOSE(
    CHOOSE({1;2;3;4;5;6;7;8;9;10;11;12;13;14;15;16;17;18;19;20;21;22;23;24;25;26;27;28;29;30},
     COUNTIFS($V$2:$V$200,$G300)&gt;0,
     COUNTIFS($W$2:$W$200,$G300)&gt;0,
     COUNTIFS($X$2:$X$200,$G300)&gt;0,
     COUNTIFS($Y$2:$Y$200,$G300)&gt;0,
     COUNTIFS($Z$2:$Z$200,$G300)&gt;0,
     COUNTIFS($AA$2:$AA$200,$G300)&gt;0,
     COUNTIFS($AB$2:$AB$200,$G300)&gt;0,
     COUNTIFS($AC$2:$AC$200,$G300)&gt;0,
     COUNTIFS($AD$2:$AD$200,$G300)&gt;0,
     COUNTIFS($AE$2:$AE$200,$G300)&gt;0,
     COUNTIFS($AF$2:$AF$200,$G300)&gt;0,
     COUNTIFS($AG$2:$AG$200,$G300)&gt;0,
     COUNTIFS($AH$2:$AH$200,$G300)&gt;0,
     COUNTIFS($AI$2:$AI$200,$G300)&gt;0,
     COUNTIFS($AJ$2:$AJ$200,$G300)&gt;0,
     COUNTIFS($AK$2:$AK$200,$G300)&gt;0,
     COUNTIFS($AL$2:$AL$200,$G300)&gt;0,
     COUNTIFS($AM$2:$AM$200,$G300)&gt;0,
     COUNTIFS($AN$2:$AN$200,$G300)&gt;0,
     COUNTIFS($AO$2:$AO$200,$G300)&gt;0,
     COUNTIFS($AP$2:$AP$200,$G300)&gt;0,
     COUNTIFS($AQ$2:$AQ$200,$G300)&gt;0,
     COUNTIFS($AR$2:$AR$200,$G300)&gt;0,
     COUNTIFS($AS$2:$AS$200,$G300)&gt;0,
     COUNTIFS($AT$2:$AT$200,$G300)&gt;0,
     COUNTIFS($AU$2:$AU$200,$G300)&gt;0,
     COUNTIFS($AV$2:$AV$200,$G300)&gt;0,
     COUNTIFS($AW$2:$AW$200,$G300)&gt;0,
     COUNTIFS($AX$2:$AX$200,$G300)&gt;0,
     COUNTIFS($AY$2:$AY$200,$G300)&gt;0
   )),
  ),
  2
 ),
"")</f>
        <v/>
      </c>
      <c r="E300" s="2" t="str" cm="1">
        <f t="array" aca="1" ref="E300" ca="1">IFERROR(
 INDEX(
  _xlfn._xlws.FILTER($V$1:$AY$1,
   TRANSPOSE(
    CHOOSE({1;2;3;4;5;6;7;8;9;10;11;12;13;14;15;16;17;18;19;20;21;22;23;24;25;26;27;28;29;30},
     COUNTIFS($V$2:$V$200,$G300)&gt;0,
     COUNTIFS($W$2:$W$200,$G300)&gt;0,
     COUNTIFS($X$2:$X$200,$G300)&gt;0,
     COUNTIFS($Y$2:$Y$200,$G300)&gt;0,
     COUNTIFS($Z$2:$Z$200,$G300)&gt;0,
     COUNTIFS($AA$2:$AA$200,$G300)&gt;0,
     COUNTIFS($AB$2:$AB$200,$G300)&gt;0,
     COUNTIFS($AC$2:$AC$200,$G300)&gt;0,
     COUNTIFS($AD$2:$AD$200,$G300)&gt;0,
     COUNTIFS($AE$2:$AE$200,$G300)&gt;0,
     COUNTIFS($AF$2:$AF$200,$G300)&gt;0,
     COUNTIFS($AG$2:$AG$200,$G300)&gt;0,
     COUNTIFS($AH$2:$AH$200,$G300)&gt;0,
     COUNTIFS($AI$2:$AI$200,$G300)&gt;0,
     COUNTIFS($AJ$2:$AJ$200,$G300)&gt;0,
     COUNTIFS($AK$2:$AK$200,$G300)&gt;0,
     COUNTIFS($AL$2:$AL$200,$G300)&gt;0,
     COUNTIFS($AM$2:$AM$200,$G300)&gt;0,
     COUNTIFS($AN$2:$AN$200,$G300)&gt;0,
     COUNTIFS($AO$2:$AO$200,$G300)&gt;0,
     COUNTIFS($AP$2:$AP$200,$G300)&gt;0,
     COUNTIFS($AQ$2:$AQ$200,$G300)&gt;0,
     COUNTIFS($AR$2:$AR$200,$G300)&gt;0,
     COUNTIFS($AS$2:$AS$200,$G300)&gt;0,
     COUNTIFS($AT$2:$AT$200,$G300)&gt;0,
     COUNTIFS($AU$2:$AU$200,$G300)&gt;0,
     COUNTIFS($AV$2:$AV$200,$G300)&gt;0,
     COUNTIFS($AW$2:$AW$200,$G300)&gt;0,
     COUNTIFS($AX$2:$AX$200,$G300)&gt;0,
     COUNTIFS($AY$2:$AY$200,$G300)&gt;0
   )),
  ),
  3
 ),
"")</f>
        <v/>
      </c>
      <c r="F300" s="2" t="str" cm="1">
        <f t="array" aca="1" ref="F300" ca="1">IFERROR(
 INDEX(
  _xlfn._xlws.FILTER($V$1:$AY$1,
   TRANSPOSE(
    CHOOSE({1;2;3;4;5;6;7;8;9;10;11;12;13;14;15;16;17;18;19;20;21;22;23;24;25;26;27;28;29;30},
     COUNTIFS($V$2:$V$200,$G300)&gt;0,
     COUNTIFS($W$2:$W$200,$G300)&gt;0,
     COUNTIFS($X$2:$X$200,$G300)&gt;0,
     COUNTIFS($Y$2:$Y$200,$G300)&gt;0,
     COUNTIFS($Z$2:$Z$200,$G300)&gt;0,
     COUNTIFS($AA$2:$AA$200,$G300)&gt;0,
     COUNTIFS($AB$2:$AB$200,$G300)&gt;0,
     COUNTIFS($AC$2:$AC$200,$G300)&gt;0,
     COUNTIFS($AD$2:$AD$200,$G300)&gt;0,
     COUNTIFS($AE$2:$AE$200,$G300)&gt;0,
     COUNTIFS($AF$2:$AF$200,$G300)&gt;0,
     COUNTIFS($AG$2:$AG$200,$G300)&gt;0,
     COUNTIFS($AH$2:$AH$200,$G300)&gt;0,
     COUNTIFS($AI$2:$AI$200,$G300)&gt;0,
     COUNTIFS($AJ$2:$AJ$200,$G300)&gt;0,
     COUNTIFS($AK$2:$AK$200,$G300)&gt;0,
     COUNTIFS($AL$2:$AL$200,$G300)&gt;0,
     COUNTIFS($AM$2:$AM$200,$G300)&gt;0,
     COUNTIFS($AN$2:$AN$200,$G300)&gt;0,
     COUNTIFS($AO$2:$AO$200,$G300)&gt;0,
     COUNTIFS($AP$2:$AP$200,$G300)&gt;0,
     COUNTIFS($AQ$2:$AQ$200,$G300)&gt;0,
     COUNTIFS($AR$2:$AR$200,$G300)&gt;0,
     COUNTIFS($AS$2:$AS$200,$G300)&gt;0,
     COUNTIFS($AT$2:$AT$200,$G300)&gt;0,
     COUNTIFS($AU$2:$AU$200,$G300)&gt;0,
     COUNTIFS($AV$2:$AV$200,$G300)&gt;0,
     COUNTIFS($AW$2:$AW$200,$G300)&gt;0,
     COUNTIFS($AX$2:$AX$200,$G300)&gt;0,
     COUNTIFS($AY$2:$AY$200,$G300)&gt;0
   )),
  ),
  4
 ),
"")</f>
        <v/>
      </c>
      <c r="G300" t="str">
        <f ca="1"/>
        <v>Nomad Outpost</v>
      </c>
      <c r="EU300" t="str">
        <f ca="1"/>
        <v>Stump Stomp</v>
      </c>
      <c r="EX300" t="str">
        <f ca="1"/>
        <v>Nomad Outpost</v>
      </c>
    </row>
    <row r="301" spans="1:154" x14ac:dyDescent="0.25">
      <c r="A301" s="2" t="str">
        <f t="shared" ca="1" si="14"/>
        <v>5</v>
      </c>
      <c r="B301" s="2">
        <f t="shared" ca="1" si="15"/>
        <v>1</v>
      </c>
      <c r="C301" s="2" t="str">
        <f ca="1">IFERROR(
 INDEX($V$1:$BL$1,
  MATCH(TRUE,
   CHOOSE({1;2;3;4;5;6;7;8;9;10;11;12;13;14;15;16;17;18;19;20;21;22;23;24;25;26;27;28;29;30;31;32;33;34;35;36;37;38;39;40;41;42;43},
    COUNTIFS($V$2:$V$200,$G301)&gt;0,
    COUNTIFS($W$2:$W$200,$G301)&gt;0,
    COUNTIFS($X$2:$X$200,$G301)&gt;0,
    COUNTIFS($Y$2:$Y$200,$G301)&gt;0,
    COUNTIFS($Z$2:$Z$200,$G301)&gt;0,
    COUNTIFS($AA$2:$AA$200,$G301)&gt;0,
    COUNTIFS($AB$2:$AB$200,$G301)&gt;0,
    COUNTIFS($AC$2:$AC$200,$G301)&gt;0,
    COUNTIFS($AD$2:$AD$200,$G301)&gt;0,
    COUNTIFS($AE$2:$AE$200,$G301)&gt;0,
    COUNTIFS($AF$2:$AF$200,$G301)&gt;0,
    COUNTIFS($AG$2:$AG$200,$G301)&gt;0,
    COUNTIFS($AH$2:$AH$200,$G301)&gt;0,
    COUNTIFS($AI$2:$AI$200,$G301)&gt;0,
    COUNTIFS($AJ$2:$AJ$200,$G301)&gt;0,
    COUNTIFS($AK$2:$AK$200,$G301)&gt;0,
    COUNTIFS($AL$2:$AL$200,$G301)&gt;0,
    COUNTIFS($AM$2:$AM$200,$G301)&gt;0,
    COUNTIFS($AN$2:$AN$200,$G301)&gt;0,
    COUNTIFS($AO$2:$AO$200,$G301)&gt;0,
    COUNTIFS($AP$2:$AP$200,$G301)&gt;0,
    COUNTIFS($AQ$2:$AQ$200,$G301)&gt;0,
    COUNTIFS($AR$2:$AR$200,$G301)&gt;0,
    COUNTIFS($AS$2:$AS$200,$G301)&gt;0,
    COUNTIFS($AT$2:$AT$200,$G301)&gt;0,
    COUNTIFS($AU$2:$AU$200,$G301)&gt;0,
    COUNTIFS($AV$2:$AV$200,$G301)&gt;0,
    COUNTIFS($AW$2:$AW$200,$G301)&gt;0,
    COUNTIFS($AX$2:$AX$200,$G301)&gt;0,
    COUNTIFS($AY$2:$AY$200,$G301)&gt;0,
    COUNTIFS($AZ$2:$AZ$200,$G301)&gt;0,
    COUNTIFS($BA$2:$BA$200,$G301)&gt;0,
    COUNTIFS($BB$2:$BB$200,$G301)&gt;0,
    COUNTIFS($BC$2:$BC$200,$G301)&gt;0,
    COUNTIFS($BD$2:$BD$200,$G301)&gt;0,
    COUNTIFS($BE$2:$BE$200,$G301)&gt;0,
    COUNTIFS($BF$2:$BF$200,$G301)&gt;0,
    COUNTIFS($BG$2:$BG$200,$G301)&gt;0,
    COUNTIFS($BH$2:$BH$200,$G301)&gt;0,
    COUNTIFS($BI$2:$BI$200,$G301)&gt;0,
    COUNTIFS($BJ$2:$BJ$200,$G301)&gt;0,
    COUNTIFS($BK$2:$BK$200,$G301)&gt;0,
    COUNTIFS($BL$2:$BL$200,$G301)&gt;0,
    COUNTIFS($BM$2:$BM$200,$G301)&gt;0,
   ),
  0)
 ),
"")</f>
        <v>Zuko</v>
      </c>
      <c r="D301" s="2" t="str" cm="1">
        <f t="array" aca="1" ref="D301" ca="1">IFERROR(
 INDEX(
  _xlfn._xlws.FILTER($V$1:$AY$1,
   TRANSPOSE(
    CHOOSE({1;2;3;4;5;6;7;8;9;10;11;12;13;14;15;16;17;18;19;20;21;22;23;24;25;26;27;28;29;30},
     COUNTIFS($V$2:$V$200,$G301)&gt;0,
     COUNTIFS($W$2:$W$200,$G301)&gt;0,
     COUNTIFS($X$2:$X$200,$G301)&gt;0,
     COUNTIFS($Y$2:$Y$200,$G301)&gt;0,
     COUNTIFS($Z$2:$Z$200,$G301)&gt;0,
     COUNTIFS($AA$2:$AA$200,$G301)&gt;0,
     COUNTIFS($AB$2:$AB$200,$G301)&gt;0,
     COUNTIFS($AC$2:$AC$200,$G301)&gt;0,
     COUNTIFS($AD$2:$AD$200,$G301)&gt;0,
     COUNTIFS($AE$2:$AE$200,$G301)&gt;0,
     COUNTIFS($AF$2:$AF$200,$G301)&gt;0,
     COUNTIFS($AG$2:$AG$200,$G301)&gt;0,
     COUNTIFS($AH$2:$AH$200,$G301)&gt;0,
     COUNTIFS($AI$2:$AI$200,$G301)&gt;0,
     COUNTIFS($AJ$2:$AJ$200,$G301)&gt;0,
     COUNTIFS($AK$2:$AK$200,$G301)&gt;0,
     COUNTIFS($AL$2:$AL$200,$G301)&gt;0,
     COUNTIFS($AM$2:$AM$200,$G301)&gt;0,
     COUNTIFS($AN$2:$AN$200,$G301)&gt;0,
     COUNTIFS($AO$2:$AO$200,$G301)&gt;0,
     COUNTIFS($AP$2:$AP$200,$G301)&gt;0,
     COUNTIFS($AQ$2:$AQ$200,$G301)&gt;0,
     COUNTIFS($AR$2:$AR$200,$G301)&gt;0,
     COUNTIFS($AS$2:$AS$200,$G301)&gt;0,
     COUNTIFS($AT$2:$AT$200,$G301)&gt;0,
     COUNTIFS($AU$2:$AU$200,$G301)&gt;0,
     COUNTIFS($AV$2:$AV$200,$G301)&gt;0,
     COUNTIFS($AW$2:$AW$200,$G301)&gt;0,
     COUNTIFS($AX$2:$AX$200,$G301)&gt;0,
     COUNTIFS($AY$2:$AY$200,$G301)&gt;0
   )),
  ),
  2
 ),
"")</f>
        <v/>
      </c>
      <c r="E301" s="2" t="str" cm="1">
        <f t="array" aca="1" ref="E301" ca="1">IFERROR(
 INDEX(
  _xlfn._xlws.FILTER($V$1:$AY$1,
   TRANSPOSE(
    CHOOSE({1;2;3;4;5;6;7;8;9;10;11;12;13;14;15;16;17;18;19;20;21;22;23;24;25;26;27;28;29;30},
     COUNTIFS($V$2:$V$200,$G301)&gt;0,
     COUNTIFS($W$2:$W$200,$G301)&gt;0,
     COUNTIFS($X$2:$X$200,$G301)&gt;0,
     COUNTIFS($Y$2:$Y$200,$G301)&gt;0,
     COUNTIFS($Z$2:$Z$200,$G301)&gt;0,
     COUNTIFS($AA$2:$AA$200,$G301)&gt;0,
     COUNTIFS($AB$2:$AB$200,$G301)&gt;0,
     COUNTIFS($AC$2:$AC$200,$G301)&gt;0,
     COUNTIFS($AD$2:$AD$200,$G301)&gt;0,
     COUNTIFS($AE$2:$AE$200,$G301)&gt;0,
     COUNTIFS($AF$2:$AF$200,$G301)&gt;0,
     COUNTIFS($AG$2:$AG$200,$G301)&gt;0,
     COUNTIFS($AH$2:$AH$200,$G301)&gt;0,
     COUNTIFS($AI$2:$AI$200,$G301)&gt;0,
     COUNTIFS($AJ$2:$AJ$200,$G301)&gt;0,
     COUNTIFS($AK$2:$AK$200,$G301)&gt;0,
     COUNTIFS($AL$2:$AL$200,$G301)&gt;0,
     COUNTIFS($AM$2:$AM$200,$G301)&gt;0,
     COUNTIFS($AN$2:$AN$200,$G301)&gt;0,
     COUNTIFS($AO$2:$AO$200,$G301)&gt;0,
     COUNTIFS($AP$2:$AP$200,$G301)&gt;0,
     COUNTIFS($AQ$2:$AQ$200,$G301)&gt;0,
     COUNTIFS($AR$2:$AR$200,$G301)&gt;0,
     COUNTIFS($AS$2:$AS$200,$G301)&gt;0,
     COUNTIFS($AT$2:$AT$200,$G301)&gt;0,
     COUNTIFS($AU$2:$AU$200,$G301)&gt;0,
     COUNTIFS($AV$2:$AV$200,$G301)&gt;0,
     COUNTIFS($AW$2:$AW$200,$G301)&gt;0,
     COUNTIFS($AX$2:$AX$200,$G301)&gt;0,
     COUNTIFS($AY$2:$AY$200,$G301)&gt;0
   )),
  ),
  3
 ),
"")</f>
        <v/>
      </c>
      <c r="F301" s="2" t="str" cm="1">
        <f t="array" aca="1" ref="F301" ca="1">IFERROR(
 INDEX(
  _xlfn._xlws.FILTER($V$1:$AY$1,
   TRANSPOSE(
    CHOOSE({1;2;3;4;5;6;7;8;9;10;11;12;13;14;15;16;17;18;19;20;21;22;23;24;25;26;27;28;29;30},
     COUNTIFS($V$2:$V$200,$G301)&gt;0,
     COUNTIFS($W$2:$W$200,$G301)&gt;0,
     COUNTIFS($X$2:$X$200,$G301)&gt;0,
     COUNTIFS($Y$2:$Y$200,$G301)&gt;0,
     COUNTIFS($Z$2:$Z$200,$G301)&gt;0,
     COUNTIFS($AA$2:$AA$200,$G301)&gt;0,
     COUNTIFS($AB$2:$AB$200,$G301)&gt;0,
     COUNTIFS($AC$2:$AC$200,$G301)&gt;0,
     COUNTIFS($AD$2:$AD$200,$G301)&gt;0,
     COUNTIFS($AE$2:$AE$200,$G301)&gt;0,
     COUNTIFS($AF$2:$AF$200,$G301)&gt;0,
     COUNTIFS($AG$2:$AG$200,$G301)&gt;0,
     COUNTIFS($AH$2:$AH$200,$G301)&gt;0,
     COUNTIFS($AI$2:$AI$200,$G301)&gt;0,
     COUNTIFS($AJ$2:$AJ$200,$G301)&gt;0,
     COUNTIFS($AK$2:$AK$200,$G301)&gt;0,
     COUNTIFS($AL$2:$AL$200,$G301)&gt;0,
     COUNTIFS($AM$2:$AM$200,$G301)&gt;0,
     COUNTIFS($AN$2:$AN$200,$G301)&gt;0,
     COUNTIFS($AO$2:$AO$200,$G301)&gt;0,
     COUNTIFS($AP$2:$AP$200,$G301)&gt;0,
     COUNTIFS($AQ$2:$AQ$200,$G301)&gt;0,
     COUNTIFS($AR$2:$AR$200,$G301)&gt;0,
     COUNTIFS($AS$2:$AS$200,$G301)&gt;0,
     COUNTIFS($AT$2:$AT$200,$G301)&gt;0,
     COUNTIFS($AU$2:$AU$200,$G301)&gt;0,
     COUNTIFS($AV$2:$AV$200,$G301)&gt;0,
     COUNTIFS($AW$2:$AW$200,$G301)&gt;0,
     COUNTIFS($AX$2:$AX$200,$G301)&gt;0,
     COUNTIFS($AY$2:$AY$200,$G301)&gt;0
   )),
  ),
  4
 ),
"")</f>
        <v/>
      </c>
      <c r="G301" t="str">
        <f ca="1"/>
        <v>Norin the Wary</v>
      </c>
      <c r="EU301" t="str">
        <f ca="1"/>
        <v>Summon: Ixion</v>
      </c>
      <c r="EX301" t="str">
        <f ca="1"/>
        <v>Norin the Wary</v>
      </c>
    </row>
    <row r="302" spans="1:154" x14ac:dyDescent="0.25">
      <c r="A302" s="2" t="str">
        <f t="shared" ca="1" si="14"/>
        <v>4</v>
      </c>
      <c r="B302" s="2">
        <f t="shared" ca="1" si="15"/>
        <v>1</v>
      </c>
      <c r="C302" s="2" t="str">
        <f ca="1">IFERROR(
 INDEX($V$1:$BL$1,
  MATCH(TRUE,
   CHOOSE({1;2;3;4;5;6;7;8;9;10;11;12;13;14;15;16;17;18;19;20;21;22;23;24;25;26;27;28;29;30;31;32;33;34;35;36;37;38;39;40;41;42;43},
    COUNTIFS($V$2:$V$200,$G302)&gt;0,
    COUNTIFS($W$2:$W$200,$G302)&gt;0,
    COUNTIFS($X$2:$X$200,$G302)&gt;0,
    COUNTIFS($Y$2:$Y$200,$G302)&gt;0,
    COUNTIFS($Z$2:$Z$200,$G302)&gt;0,
    COUNTIFS($AA$2:$AA$200,$G302)&gt;0,
    COUNTIFS($AB$2:$AB$200,$G302)&gt;0,
    COUNTIFS($AC$2:$AC$200,$G302)&gt;0,
    COUNTIFS($AD$2:$AD$200,$G302)&gt;0,
    COUNTIFS($AE$2:$AE$200,$G302)&gt;0,
    COUNTIFS($AF$2:$AF$200,$G302)&gt;0,
    COUNTIFS($AG$2:$AG$200,$G302)&gt;0,
    COUNTIFS($AH$2:$AH$200,$G302)&gt;0,
    COUNTIFS($AI$2:$AI$200,$G302)&gt;0,
    COUNTIFS($AJ$2:$AJ$200,$G302)&gt;0,
    COUNTIFS($AK$2:$AK$200,$G302)&gt;0,
    COUNTIFS($AL$2:$AL$200,$G302)&gt;0,
    COUNTIFS($AM$2:$AM$200,$G302)&gt;0,
    COUNTIFS($AN$2:$AN$200,$G302)&gt;0,
    COUNTIFS($AO$2:$AO$200,$G302)&gt;0,
    COUNTIFS($AP$2:$AP$200,$G302)&gt;0,
    COUNTIFS($AQ$2:$AQ$200,$G302)&gt;0,
    COUNTIFS($AR$2:$AR$200,$G302)&gt;0,
    COUNTIFS($AS$2:$AS$200,$G302)&gt;0,
    COUNTIFS($AT$2:$AT$200,$G302)&gt;0,
    COUNTIFS($AU$2:$AU$200,$G302)&gt;0,
    COUNTIFS($AV$2:$AV$200,$G302)&gt;0,
    COUNTIFS($AW$2:$AW$200,$G302)&gt;0,
    COUNTIFS($AX$2:$AX$200,$G302)&gt;0,
    COUNTIFS($AY$2:$AY$200,$G302)&gt;0,
    COUNTIFS($AZ$2:$AZ$200,$G302)&gt;0,
    COUNTIFS($BA$2:$BA$200,$G302)&gt;0,
    COUNTIFS($BB$2:$BB$200,$G302)&gt;0,
    COUNTIFS($BC$2:$BC$200,$G302)&gt;0,
    COUNTIFS($BD$2:$BD$200,$G302)&gt;0,
    COUNTIFS($BE$2:$BE$200,$G302)&gt;0,
    COUNTIFS($BF$2:$BF$200,$G302)&gt;0,
    COUNTIFS($BG$2:$BG$200,$G302)&gt;0,
    COUNTIFS($BH$2:$BH$200,$G302)&gt;0,
    COUNTIFS($BI$2:$BI$200,$G302)&gt;0,
    COUNTIFS($BJ$2:$BJ$200,$G302)&gt;0,
    COUNTIFS($BK$2:$BK$200,$G302)&gt;0,
    COUNTIFS($BL$2:$BL$200,$G302)&gt;0,
    COUNTIFS($BM$2:$BM$200,$G302)&gt;0,
   ),
  0)
 ),
"")</f>
        <v>Ool</v>
      </c>
      <c r="D302" s="2" t="str" cm="1">
        <f t="array" aca="1" ref="D302" ca="1">IFERROR(
 INDEX(
  _xlfn._xlws.FILTER($V$1:$AY$1,
   TRANSPOSE(
    CHOOSE({1;2;3;4;5;6;7;8;9;10;11;12;13;14;15;16;17;18;19;20;21;22;23;24;25;26;27;28;29;30},
     COUNTIFS($V$2:$V$200,$G302)&gt;0,
     COUNTIFS($W$2:$W$200,$G302)&gt;0,
     COUNTIFS($X$2:$X$200,$G302)&gt;0,
     COUNTIFS($Y$2:$Y$200,$G302)&gt;0,
     COUNTIFS($Z$2:$Z$200,$G302)&gt;0,
     COUNTIFS($AA$2:$AA$200,$G302)&gt;0,
     COUNTIFS($AB$2:$AB$200,$G302)&gt;0,
     COUNTIFS($AC$2:$AC$200,$G302)&gt;0,
     COUNTIFS($AD$2:$AD$200,$G302)&gt;0,
     COUNTIFS($AE$2:$AE$200,$G302)&gt;0,
     COUNTIFS($AF$2:$AF$200,$G302)&gt;0,
     COUNTIFS($AG$2:$AG$200,$G302)&gt;0,
     COUNTIFS($AH$2:$AH$200,$G302)&gt;0,
     COUNTIFS($AI$2:$AI$200,$G302)&gt;0,
     COUNTIFS($AJ$2:$AJ$200,$G302)&gt;0,
     COUNTIFS($AK$2:$AK$200,$G302)&gt;0,
     COUNTIFS($AL$2:$AL$200,$G302)&gt;0,
     COUNTIFS($AM$2:$AM$200,$G302)&gt;0,
     COUNTIFS($AN$2:$AN$200,$G302)&gt;0,
     COUNTIFS($AO$2:$AO$200,$G302)&gt;0,
     COUNTIFS($AP$2:$AP$200,$G302)&gt;0,
     COUNTIFS($AQ$2:$AQ$200,$G302)&gt;0,
     COUNTIFS($AR$2:$AR$200,$G302)&gt;0,
     COUNTIFS($AS$2:$AS$200,$G302)&gt;0,
     COUNTIFS($AT$2:$AT$200,$G302)&gt;0,
     COUNTIFS($AU$2:$AU$200,$G302)&gt;0,
     COUNTIFS($AV$2:$AV$200,$G302)&gt;0,
     COUNTIFS($AW$2:$AW$200,$G302)&gt;0,
     COUNTIFS($AX$2:$AX$200,$G302)&gt;0,
     COUNTIFS($AY$2:$AY$200,$G302)&gt;0
   )),
  ),
  2
 ),
"")</f>
        <v/>
      </c>
      <c r="E302" s="2" t="str" cm="1">
        <f t="array" aca="1" ref="E302" ca="1">IFERROR(
 INDEX(
  _xlfn._xlws.FILTER($V$1:$AY$1,
   TRANSPOSE(
    CHOOSE({1;2;3;4;5;6;7;8;9;10;11;12;13;14;15;16;17;18;19;20;21;22;23;24;25;26;27;28;29;30},
     COUNTIFS($V$2:$V$200,$G302)&gt;0,
     COUNTIFS($W$2:$W$200,$G302)&gt;0,
     COUNTIFS($X$2:$X$200,$G302)&gt;0,
     COUNTIFS($Y$2:$Y$200,$G302)&gt;0,
     COUNTIFS($Z$2:$Z$200,$G302)&gt;0,
     COUNTIFS($AA$2:$AA$200,$G302)&gt;0,
     COUNTIFS($AB$2:$AB$200,$G302)&gt;0,
     COUNTIFS($AC$2:$AC$200,$G302)&gt;0,
     COUNTIFS($AD$2:$AD$200,$G302)&gt;0,
     COUNTIFS($AE$2:$AE$200,$G302)&gt;0,
     COUNTIFS($AF$2:$AF$200,$G302)&gt;0,
     COUNTIFS($AG$2:$AG$200,$G302)&gt;0,
     COUNTIFS($AH$2:$AH$200,$G302)&gt;0,
     COUNTIFS($AI$2:$AI$200,$G302)&gt;0,
     COUNTIFS($AJ$2:$AJ$200,$G302)&gt;0,
     COUNTIFS($AK$2:$AK$200,$G302)&gt;0,
     COUNTIFS($AL$2:$AL$200,$G302)&gt;0,
     COUNTIFS($AM$2:$AM$200,$G302)&gt;0,
     COUNTIFS($AN$2:$AN$200,$G302)&gt;0,
     COUNTIFS($AO$2:$AO$200,$G302)&gt;0,
     COUNTIFS($AP$2:$AP$200,$G302)&gt;0,
     COUNTIFS($AQ$2:$AQ$200,$G302)&gt;0,
     COUNTIFS($AR$2:$AR$200,$G302)&gt;0,
     COUNTIFS($AS$2:$AS$200,$G302)&gt;0,
     COUNTIFS($AT$2:$AT$200,$G302)&gt;0,
     COUNTIFS($AU$2:$AU$200,$G302)&gt;0,
     COUNTIFS($AV$2:$AV$200,$G302)&gt;0,
     COUNTIFS($AW$2:$AW$200,$G302)&gt;0,
     COUNTIFS($AX$2:$AX$200,$G302)&gt;0,
     COUNTIFS($AY$2:$AY$200,$G302)&gt;0
   )),
  ),
  3
 ),
"")</f>
        <v/>
      </c>
      <c r="F302" s="2" t="str" cm="1">
        <f t="array" aca="1" ref="F302" ca="1">IFERROR(
 INDEX(
  _xlfn._xlws.FILTER($V$1:$AY$1,
   TRANSPOSE(
    CHOOSE({1;2;3;4;5;6;7;8;9;10;11;12;13;14;15;16;17;18;19;20;21;22;23;24;25;26;27;28;29;30},
     COUNTIFS($V$2:$V$200,$G302)&gt;0,
     COUNTIFS($W$2:$W$200,$G302)&gt;0,
     COUNTIFS($X$2:$X$200,$G302)&gt;0,
     COUNTIFS($Y$2:$Y$200,$G302)&gt;0,
     COUNTIFS($Z$2:$Z$200,$G302)&gt;0,
     COUNTIFS($AA$2:$AA$200,$G302)&gt;0,
     COUNTIFS($AB$2:$AB$200,$G302)&gt;0,
     COUNTIFS($AC$2:$AC$200,$G302)&gt;0,
     COUNTIFS($AD$2:$AD$200,$G302)&gt;0,
     COUNTIFS($AE$2:$AE$200,$G302)&gt;0,
     COUNTIFS($AF$2:$AF$200,$G302)&gt;0,
     COUNTIFS($AG$2:$AG$200,$G302)&gt;0,
     COUNTIFS($AH$2:$AH$200,$G302)&gt;0,
     COUNTIFS($AI$2:$AI$200,$G302)&gt;0,
     COUNTIFS($AJ$2:$AJ$200,$G302)&gt;0,
     COUNTIFS($AK$2:$AK$200,$G302)&gt;0,
     COUNTIFS($AL$2:$AL$200,$G302)&gt;0,
     COUNTIFS($AM$2:$AM$200,$G302)&gt;0,
     COUNTIFS($AN$2:$AN$200,$G302)&gt;0,
     COUNTIFS($AO$2:$AO$200,$G302)&gt;0,
     COUNTIFS($AP$2:$AP$200,$G302)&gt;0,
     COUNTIFS($AQ$2:$AQ$200,$G302)&gt;0,
     COUNTIFS($AR$2:$AR$200,$G302)&gt;0,
     COUNTIFS($AS$2:$AS$200,$G302)&gt;0,
     COUNTIFS($AT$2:$AT$200,$G302)&gt;0,
     COUNTIFS($AU$2:$AU$200,$G302)&gt;0,
     COUNTIFS($AV$2:$AV$200,$G302)&gt;0,
     COUNTIFS($AW$2:$AW$200,$G302)&gt;0,
     COUNTIFS($AX$2:$AX$200,$G302)&gt;0,
     COUNTIFS($AY$2:$AY$200,$G302)&gt;0
   )),
  ),
  4
 ),
"")</f>
        <v/>
      </c>
      <c r="G302" t="str">
        <f ca="1"/>
        <v>Obelisk Spider</v>
      </c>
      <c r="EU302" t="str">
        <f ca="1"/>
        <v>Sunpetal Grove</v>
      </c>
      <c r="EX302" t="str">
        <f ca="1"/>
        <v>Obelisk Spider</v>
      </c>
    </row>
    <row r="303" spans="1:154" x14ac:dyDescent="0.25">
      <c r="A303" s="2" t="str">
        <f t="shared" ca="1" si="14"/>
        <v>2</v>
      </c>
      <c r="B303" s="2">
        <f t="shared" ca="1" si="15"/>
        <v>1</v>
      </c>
      <c r="C303" s="2" t="str">
        <f ca="1">IFERROR(
 INDEX($V$1:$BL$1,
  MATCH(TRUE,
   CHOOSE({1;2;3;4;5;6;7;8;9;10;11;12;13;14;15;16;17;18;19;20;21;22;23;24;25;26;27;28;29;30;31;32;33;34;35;36;37;38;39;40;41;42;43},
    COUNTIFS($V$2:$V$200,$G303)&gt;0,
    COUNTIFS($W$2:$W$200,$G303)&gt;0,
    COUNTIFS($X$2:$X$200,$G303)&gt;0,
    COUNTIFS($Y$2:$Y$200,$G303)&gt;0,
    COUNTIFS($Z$2:$Z$200,$G303)&gt;0,
    COUNTIFS($AA$2:$AA$200,$G303)&gt;0,
    COUNTIFS($AB$2:$AB$200,$G303)&gt;0,
    COUNTIFS($AC$2:$AC$200,$G303)&gt;0,
    COUNTIFS($AD$2:$AD$200,$G303)&gt;0,
    COUNTIFS($AE$2:$AE$200,$G303)&gt;0,
    COUNTIFS($AF$2:$AF$200,$G303)&gt;0,
    COUNTIFS($AG$2:$AG$200,$G303)&gt;0,
    COUNTIFS($AH$2:$AH$200,$G303)&gt;0,
    COUNTIFS($AI$2:$AI$200,$G303)&gt;0,
    COUNTIFS($AJ$2:$AJ$200,$G303)&gt;0,
    COUNTIFS($AK$2:$AK$200,$G303)&gt;0,
    COUNTIFS($AL$2:$AL$200,$G303)&gt;0,
    COUNTIFS($AM$2:$AM$200,$G303)&gt;0,
    COUNTIFS($AN$2:$AN$200,$G303)&gt;0,
    COUNTIFS($AO$2:$AO$200,$G303)&gt;0,
    COUNTIFS($AP$2:$AP$200,$G303)&gt;0,
    COUNTIFS($AQ$2:$AQ$200,$G303)&gt;0,
    COUNTIFS($AR$2:$AR$200,$G303)&gt;0,
    COUNTIFS($AS$2:$AS$200,$G303)&gt;0,
    COUNTIFS($AT$2:$AT$200,$G303)&gt;0,
    COUNTIFS($AU$2:$AU$200,$G303)&gt;0,
    COUNTIFS($AV$2:$AV$200,$G303)&gt;0,
    COUNTIFS($AW$2:$AW$200,$G303)&gt;0,
    COUNTIFS($AX$2:$AX$200,$G303)&gt;0,
    COUNTIFS($AY$2:$AY$200,$G303)&gt;0,
    COUNTIFS($AZ$2:$AZ$200,$G303)&gt;0,
    COUNTIFS($BA$2:$BA$200,$G303)&gt;0,
    COUNTIFS($BB$2:$BB$200,$G303)&gt;0,
    COUNTIFS($BC$2:$BC$200,$G303)&gt;0,
    COUNTIFS($BD$2:$BD$200,$G303)&gt;0,
    COUNTIFS($BE$2:$BE$200,$G303)&gt;0,
    COUNTIFS($BF$2:$BF$200,$G303)&gt;0,
    COUNTIFS($BG$2:$BG$200,$G303)&gt;0,
    COUNTIFS($BH$2:$BH$200,$G303)&gt;0,
    COUNTIFS($BI$2:$BI$200,$G303)&gt;0,
    COUNTIFS($BJ$2:$BJ$200,$G303)&gt;0,
    COUNTIFS($BK$2:$BK$200,$G303)&gt;0,
    COUNTIFS($BL$2:$BL$200,$G303)&gt;0,
    COUNTIFS($BM$2:$BM$200,$G303)&gt;0,
   ),
  0)
 ),
"")</f>
        <v>Rani</v>
      </c>
      <c r="D303" s="2" t="str" cm="1">
        <f t="array" aca="1" ref="D303" ca="1">IFERROR(
 INDEX(
  _xlfn._xlws.FILTER($V$1:$AY$1,
   TRANSPOSE(
    CHOOSE({1;2;3;4;5;6;7;8;9;10;11;12;13;14;15;16;17;18;19;20;21;22;23;24;25;26;27;28;29;30},
     COUNTIFS($V$2:$V$200,$G303)&gt;0,
     COUNTIFS($W$2:$W$200,$G303)&gt;0,
     COUNTIFS($X$2:$X$200,$G303)&gt;0,
     COUNTIFS($Y$2:$Y$200,$G303)&gt;0,
     COUNTIFS($Z$2:$Z$200,$G303)&gt;0,
     COUNTIFS($AA$2:$AA$200,$G303)&gt;0,
     COUNTIFS($AB$2:$AB$200,$G303)&gt;0,
     COUNTIFS($AC$2:$AC$200,$G303)&gt;0,
     COUNTIFS($AD$2:$AD$200,$G303)&gt;0,
     COUNTIFS($AE$2:$AE$200,$G303)&gt;0,
     COUNTIFS($AF$2:$AF$200,$G303)&gt;0,
     COUNTIFS($AG$2:$AG$200,$G303)&gt;0,
     COUNTIFS($AH$2:$AH$200,$G303)&gt;0,
     COUNTIFS($AI$2:$AI$200,$G303)&gt;0,
     COUNTIFS($AJ$2:$AJ$200,$G303)&gt;0,
     COUNTIFS($AK$2:$AK$200,$G303)&gt;0,
     COUNTIFS($AL$2:$AL$200,$G303)&gt;0,
     COUNTIFS($AM$2:$AM$200,$G303)&gt;0,
     COUNTIFS($AN$2:$AN$200,$G303)&gt;0,
     COUNTIFS($AO$2:$AO$200,$G303)&gt;0,
     COUNTIFS($AP$2:$AP$200,$G303)&gt;0,
     COUNTIFS($AQ$2:$AQ$200,$G303)&gt;0,
     COUNTIFS($AR$2:$AR$200,$G303)&gt;0,
     COUNTIFS($AS$2:$AS$200,$G303)&gt;0,
     COUNTIFS($AT$2:$AT$200,$G303)&gt;0,
     COUNTIFS($AU$2:$AU$200,$G303)&gt;0,
     COUNTIFS($AV$2:$AV$200,$G303)&gt;0,
     COUNTIFS($AW$2:$AW$200,$G303)&gt;0,
     COUNTIFS($AX$2:$AX$200,$G303)&gt;0,
     COUNTIFS($AY$2:$AY$200,$G303)&gt;0
   )),
  ),
  2
 ),
"")</f>
        <v/>
      </c>
      <c r="E303" s="2" t="str" cm="1">
        <f t="array" aca="1" ref="E303" ca="1">IFERROR(
 INDEX(
  _xlfn._xlws.FILTER($V$1:$AY$1,
   TRANSPOSE(
    CHOOSE({1;2;3;4;5;6;7;8;9;10;11;12;13;14;15;16;17;18;19;20;21;22;23;24;25;26;27;28;29;30},
     COUNTIFS($V$2:$V$200,$G303)&gt;0,
     COUNTIFS($W$2:$W$200,$G303)&gt;0,
     COUNTIFS($X$2:$X$200,$G303)&gt;0,
     COUNTIFS($Y$2:$Y$200,$G303)&gt;0,
     COUNTIFS($Z$2:$Z$200,$G303)&gt;0,
     COUNTIFS($AA$2:$AA$200,$G303)&gt;0,
     COUNTIFS($AB$2:$AB$200,$G303)&gt;0,
     COUNTIFS($AC$2:$AC$200,$G303)&gt;0,
     COUNTIFS($AD$2:$AD$200,$G303)&gt;0,
     COUNTIFS($AE$2:$AE$200,$G303)&gt;0,
     COUNTIFS($AF$2:$AF$200,$G303)&gt;0,
     COUNTIFS($AG$2:$AG$200,$G303)&gt;0,
     COUNTIFS($AH$2:$AH$200,$G303)&gt;0,
     COUNTIFS($AI$2:$AI$200,$G303)&gt;0,
     COUNTIFS($AJ$2:$AJ$200,$G303)&gt;0,
     COUNTIFS($AK$2:$AK$200,$G303)&gt;0,
     COUNTIFS($AL$2:$AL$200,$G303)&gt;0,
     COUNTIFS($AM$2:$AM$200,$G303)&gt;0,
     COUNTIFS($AN$2:$AN$200,$G303)&gt;0,
     COUNTIFS($AO$2:$AO$200,$G303)&gt;0,
     COUNTIFS($AP$2:$AP$200,$G303)&gt;0,
     COUNTIFS($AQ$2:$AQ$200,$G303)&gt;0,
     COUNTIFS($AR$2:$AR$200,$G303)&gt;0,
     COUNTIFS($AS$2:$AS$200,$G303)&gt;0,
     COUNTIFS($AT$2:$AT$200,$G303)&gt;0,
     COUNTIFS($AU$2:$AU$200,$G303)&gt;0,
     COUNTIFS($AV$2:$AV$200,$G303)&gt;0,
     COUNTIFS($AW$2:$AW$200,$G303)&gt;0,
     COUNTIFS($AX$2:$AX$200,$G303)&gt;0,
     COUNTIFS($AY$2:$AY$200,$G303)&gt;0
   )),
  ),
  3
 ),
"")</f>
        <v/>
      </c>
      <c r="F303" s="2" t="str" cm="1">
        <f t="array" aca="1" ref="F303" ca="1">IFERROR(
 INDEX(
  _xlfn._xlws.FILTER($V$1:$AY$1,
   TRANSPOSE(
    CHOOSE({1;2;3;4;5;6;7;8;9;10;11;12;13;14;15;16;17;18;19;20;21;22;23;24;25;26;27;28;29;30},
     COUNTIFS($V$2:$V$200,$G303)&gt;0,
     COUNTIFS($W$2:$W$200,$G303)&gt;0,
     COUNTIFS($X$2:$X$200,$G303)&gt;0,
     COUNTIFS($Y$2:$Y$200,$G303)&gt;0,
     COUNTIFS($Z$2:$Z$200,$G303)&gt;0,
     COUNTIFS($AA$2:$AA$200,$G303)&gt;0,
     COUNTIFS($AB$2:$AB$200,$G303)&gt;0,
     COUNTIFS($AC$2:$AC$200,$G303)&gt;0,
     COUNTIFS($AD$2:$AD$200,$G303)&gt;0,
     COUNTIFS($AE$2:$AE$200,$G303)&gt;0,
     COUNTIFS($AF$2:$AF$200,$G303)&gt;0,
     COUNTIFS($AG$2:$AG$200,$G303)&gt;0,
     COUNTIFS($AH$2:$AH$200,$G303)&gt;0,
     COUNTIFS($AI$2:$AI$200,$G303)&gt;0,
     COUNTIFS($AJ$2:$AJ$200,$G303)&gt;0,
     COUNTIFS($AK$2:$AK$200,$G303)&gt;0,
     COUNTIFS($AL$2:$AL$200,$G303)&gt;0,
     COUNTIFS($AM$2:$AM$200,$G303)&gt;0,
     COUNTIFS($AN$2:$AN$200,$G303)&gt;0,
     COUNTIFS($AO$2:$AO$200,$G303)&gt;0,
     COUNTIFS($AP$2:$AP$200,$G303)&gt;0,
     COUNTIFS($AQ$2:$AQ$200,$G303)&gt;0,
     COUNTIFS($AR$2:$AR$200,$G303)&gt;0,
     COUNTIFS($AS$2:$AS$200,$G303)&gt;0,
     COUNTIFS($AT$2:$AT$200,$G303)&gt;0,
     COUNTIFS($AU$2:$AU$200,$G303)&gt;0,
     COUNTIFS($AV$2:$AV$200,$G303)&gt;0,
     COUNTIFS($AW$2:$AW$200,$G303)&gt;0,
     COUNTIFS($AX$2:$AX$200,$G303)&gt;0,
     COUNTIFS($AY$2:$AY$200,$G303)&gt;0
   )),
  ),
  4
 ),
"")</f>
        <v/>
      </c>
      <c r="G303" t="str">
        <f ca="1"/>
        <v>Obsessive Pursuit</v>
      </c>
      <c r="EU303" t="str">
        <f ca="1"/>
        <v>Sunscorched Divide</v>
      </c>
      <c r="EX303" t="str">
        <f ca="1"/>
        <v>Obsessive Pursuit</v>
      </c>
    </row>
    <row r="304" spans="1:154" x14ac:dyDescent="0.25">
      <c r="A304" s="2" t="str">
        <f t="shared" ca="1" si="14"/>
        <v>1</v>
      </c>
      <c r="B304" s="2">
        <f t="shared" ca="1" si="15"/>
        <v>1</v>
      </c>
      <c r="C304" s="2" t="str">
        <f ca="1">IFERROR(
 INDEX($V$1:$BL$1,
  MATCH(TRUE,
   CHOOSE({1;2;3;4;5;6;7;8;9;10;11;12;13;14;15;16;17;18;19;20;21;22;23;24;25;26;27;28;29;30;31;32;33;34;35;36;37;38;39;40;41;42;43},
    COUNTIFS($V$2:$V$200,$G304)&gt;0,
    COUNTIFS($W$2:$W$200,$G304)&gt;0,
    COUNTIFS($X$2:$X$200,$G304)&gt;0,
    COUNTIFS($Y$2:$Y$200,$G304)&gt;0,
    COUNTIFS($Z$2:$Z$200,$G304)&gt;0,
    COUNTIFS($AA$2:$AA$200,$G304)&gt;0,
    COUNTIFS($AB$2:$AB$200,$G304)&gt;0,
    COUNTIFS($AC$2:$AC$200,$G304)&gt;0,
    COUNTIFS($AD$2:$AD$200,$G304)&gt;0,
    COUNTIFS($AE$2:$AE$200,$G304)&gt;0,
    COUNTIFS($AF$2:$AF$200,$G304)&gt;0,
    COUNTIFS($AG$2:$AG$200,$G304)&gt;0,
    COUNTIFS($AH$2:$AH$200,$G304)&gt;0,
    COUNTIFS($AI$2:$AI$200,$G304)&gt;0,
    COUNTIFS($AJ$2:$AJ$200,$G304)&gt;0,
    COUNTIFS($AK$2:$AK$200,$G304)&gt;0,
    COUNTIFS($AL$2:$AL$200,$G304)&gt;0,
    COUNTIFS($AM$2:$AM$200,$G304)&gt;0,
    COUNTIFS($AN$2:$AN$200,$G304)&gt;0,
    COUNTIFS($AO$2:$AO$200,$G304)&gt;0,
    COUNTIFS($AP$2:$AP$200,$G304)&gt;0,
    COUNTIFS($AQ$2:$AQ$200,$G304)&gt;0,
    COUNTIFS($AR$2:$AR$200,$G304)&gt;0,
    COUNTIFS($AS$2:$AS$200,$G304)&gt;0,
    COUNTIFS($AT$2:$AT$200,$G304)&gt;0,
    COUNTIFS($AU$2:$AU$200,$G304)&gt;0,
    COUNTIFS($AV$2:$AV$200,$G304)&gt;0,
    COUNTIFS($AW$2:$AW$200,$G304)&gt;0,
    COUNTIFS($AX$2:$AX$200,$G304)&gt;0,
    COUNTIFS($AY$2:$AY$200,$G304)&gt;0,
    COUNTIFS($AZ$2:$AZ$200,$G304)&gt;0,
    COUNTIFS($BA$2:$BA$200,$G304)&gt;0,
    COUNTIFS($BB$2:$BB$200,$G304)&gt;0,
    COUNTIFS($BC$2:$BC$200,$G304)&gt;0,
    COUNTIFS($BD$2:$BD$200,$G304)&gt;0,
    COUNTIFS($BE$2:$BE$200,$G304)&gt;0,
    COUNTIFS($BF$2:$BF$200,$G304)&gt;0,
    COUNTIFS($BG$2:$BG$200,$G304)&gt;0,
    COUNTIFS($BH$2:$BH$200,$G304)&gt;0,
    COUNTIFS($BI$2:$BI$200,$G304)&gt;0,
    COUNTIFS($BJ$2:$BJ$200,$G304)&gt;0,
    COUNTIFS($BK$2:$BK$200,$G304)&gt;0,
    COUNTIFS($BL$2:$BL$200,$G304)&gt;0,
    COUNTIFS($BM$2:$BM$200,$G304)&gt;0,
   ),
  0)
 ),
"")</f>
        <v>Thrakiri</v>
      </c>
      <c r="D304" s="2" t="str" cm="1">
        <f t="array" aca="1" ref="D304" ca="1">IFERROR(
 INDEX(
  _xlfn._xlws.FILTER($V$1:$AY$1,
   TRANSPOSE(
    CHOOSE({1;2;3;4;5;6;7;8;9;10;11;12;13;14;15;16;17;18;19;20;21;22;23;24;25;26;27;28;29;30},
     COUNTIFS($V$2:$V$200,$G304)&gt;0,
     COUNTIFS($W$2:$W$200,$G304)&gt;0,
     COUNTIFS($X$2:$X$200,$G304)&gt;0,
     COUNTIFS($Y$2:$Y$200,$G304)&gt;0,
     COUNTIFS($Z$2:$Z$200,$G304)&gt;0,
     COUNTIFS($AA$2:$AA$200,$G304)&gt;0,
     COUNTIFS($AB$2:$AB$200,$G304)&gt;0,
     COUNTIFS($AC$2:$AC$200,$G304)&gt;0,
     COUNTIFS($AD$2:$AD$200,$G304)&gt;0,
     COUNTIFS($AE$2:$AE$200,$G304)&gt;0,
     COUNTIFS($AF$2:$AF$200,$G304)&gt;0,
     COUNTIFS($AG$2:$AG$200,$G304)&gt;0,
     COUNTIFS($AH$2:$AH$200,$G304)&gt;0,
     COUNTIFS($AI$2:$AI$200,$G304)&gt;0,
     COUNTIFS($AJ$2:$AJ$200,$G304)&gt;0,
     COUNTIFS($AK$2:$AK$200,$G304)&gt;0,
     COUNTIFS($AL$2:$AL$200,$G304)&gt;0,
     COUNTIFS($AM$2:$AM$200,$G304)&gt;0,
     COUNTIFS($AN$2:$AN$200,$G304)&gt;0,
     COUNTIFS($AO$2:$AO$200,$G304)&gt;0,
     COUNTIFS($AP$2:$AP$200,$G304)&gt;0,
     COUNTIFS($AQ$2:$AQ$200,$G304)&gt;0,
     COUNTIFS($AR$2:$AR$200,$G304)&gt;0,
     COUNTIFS($AS$2:$AS$200,$G304)&gt;0,
     COUNTIFS($AT$2:$AT$200,$G304)&gt;0,
     COUNTIFS($AU$2:$AU$200,$G304)&gt;0,
     COUNTIFS($AV$2:$AV$200,$G304)&gt;0,
     COUNTIFS($AW$2:$AW$200,$G304)&gt;0,
     COUNTIFS($AX$2:$AX$200,$G304)&gt;0,
     COUNTIFS($AY$2:$AY$200,$G304)&gt;0
   )),
  ),
  2
 ),
"")</f>
        <v/>
      </c>
      <c r="E304" s="2" t="str" cm="1">
        <f t="array" aca="1" ref="E304" ca="1">IFERROR(
 INDEX(
  _xlfn._xlws.FILTER($V$1:$AY$1,
   TRANSPOSE(
    CHOOSE({1;2;3;4;5;6;7;8;9;10;11;12;13;14;15;16;17;18;19;20;21;22;23;24;25;26;27;28;29;30},
     COUNTIFS($V$2:$V$200,$G304)&gt;0,
     COUNTIFS($W$2:$W$200,$G304)&gt;0,
     COUNTIFS($X$2:$X$200,$G304)&gt;0,
     COUNTIFS($Y$2:$Y$200,$G304)&gt;0,
     COUNTIFS($Z$2:$Z$200,$G304)&gt;0,
     COUNTIFS($AA$2:$AA$200,$G304)&gt;0,
     COUNTIFS($AB$2:$AB$200,$G304)&gt;0,
     COUNTIFS($AC$2:$AC$200,$G304)&gt;0,
     COUNTIFS($AD$2:$AD$200,$G304)&gt;0,
     COUNTIFS($AE$2:$AE$200,$G304)&gt;0,
     COUNTIFS($AF$2:$AF$200,$G304)&gt;0,
     COUNTIFS($AG$2:$AG$200,$G304)&gt;0,
     COUNTIFS($AH$2:$AH$200,$G304)&gt;0,
     COUNTIFS($AI$2:$AI$200,$G304)&gt;0,
     COUNTIFS($AJ$2:$AJ$200,$G304)&gt;0,
     COUNTIFS($AK$2:$AK$200,$G304)&gt;0,
     COUNTIFS($AL$2:$AL$200,$G304)&gt;0,
     COUNTIFS($AM$2:$AM$200,$G304)&gt;0,
     COUNTIFS($AN$2:$AN$200,$G304)&gt;0,
     COUNTIFS($AO$2:$AO$200,$G304)&gt;0,
     COUNTIFS($AP$2:$AP$200,$G304)&gt;0,
     COUNTIFS($AQ$2:$AQ$200,$G304)&gt;0,
     COUNTIFS($AR$2:$AR$200,$G304)&gt;0,
     COUNTIFS($AS$2:$AS$200,$G304)&gt;0,
     COUNTIFS($AT$2:$AT$200,$G304)&gt;0,
     COUNTIFS($AU$2:$AU$200,$G304)&gt;0,
     COUNTIFS($AV$2:$AV$200,$G304)&gt;0,
     COUNTIFS($AW$2:$AW$200,$G304)&gt;0,
     COUNTIFS($AX$2:$AX$200,$G304)&gt;0,
     COUNTIFS($AY$2:$AY$200,$G304)&gt;0
   )),
  ),
  3
 ),
"")</f>
        <v/>
      </c>
      <c r="F304" s="2" t="str" cm="1">
        <f t="array" aca="1" ref="F304" ca="1">IFERROR(
 INDEX(
  _xlfn._xlws.FILTER($V$1:$AY$1,
   TRANSPOSE(
    CHOOSE({1;2;3;4;5;6;7;8;9;10;11;12;13;14;15;16;17;18;19;20;21;22;23;24;25;26;27;28;29;30},
     COUNTIFS($V$2:$V$200,$G304)&gt;0,
     COUNTIFS($W$2:$W$200,$G304)&gt;0,
     COUNTIFS($X$2:$X$200,$G304)&gt;0,
     COUNTIFS($Y$2:$Y$200,$G304)&gt;0,
     COUNTIFS($Z$2:$Z$200,$G304)&gt;0,
     COUNTIFS($AA$2:$AA$200,$G304)&gt;0,
     COUNTIFS($AB$2:$AB$200,$G304)&gt;0,
     COUNTIFS($AC$2:$AC$200,$G304)&gt;0,
     COUNTIFS($AD$2:$AD$200,$G304)&gt;0,
     COUNTIFS($AE$2:$AE$200,$G304)&gt;0,
     COUNTIFS($AF$2:$AF$200,$G304)&gt;0,
     COUNTIFS($AG$2:$AG$200,$G304)&gt;0,
     COUNTIFS($AH$2:$AH$200,$G304)&gt;0,
     COUNTIFS($AI$2:$AI$200,$G304)&gt;0,
     COUNTIFS($AJ$2:$AJ$200,$G304)&gt;0,
     COUNTIFS($AK$2:$AK$200,$G304)&gt;0,
     COUNTIFS($AL$2:$AL$200,$G304)&gt;0,
     COUNTIFS($AM$2:$AM$200,$G304)&gt;0,
     COUNTIFS($AN$2:$AN$200,$G304)&gt;0,
     COUNTIFS($AO$2:$AO$200,$G304)&gt;0,
     COUNTIFS($AP$2:$AP$200,$G304)&gt;0,
     COUNTIFS($AQ$2:$AQ$200,$G304)&gt;0,
     COUNTIFS($AR$2:$AR$200,$G304)&gt;0,
     COUNTIFS($AS$2:$AS$200,$G304)&gt;0,
     COUNTIFS($AT$2:$AT$200,$G304)&gt;0,
     COUNTIFS($AU$2:$AU$200,$G304)&gt;0,
     COUNTIFS($AV$2:$AV$200,$G304)&gt;0,
     COUNTIFS($AW$2:$AW$200,$G304)&gt;0,
     COUNTIFS($AX$2:$AX$200,$G304)&gt;0,
     COUNTIFS($AY$2:$AY$200,$G304)&gt;0
   )),
  ),
  4
 ),
"")</f>
        <v/>
      </c>
      <c r="G304" t="str">
        <f ca="1"/>
        <v>Obsidian Obelisk</v>
      </c>
      <c r="EU304" t="str">
        <f ca="1"/>
        <v>Susur Secundi, Void Altar</v>
      </c>
      <c r="EX304" t="str">
        <f ca="1"/>
        <v>Obsidian Obelisk</v>
      </c>
    </row>
    <row r="305" spans="1:154" x14ac:dyDescent="0.25">
      <c r="A305" s="2" t="str">
        <f t="shared" ca="1" si="14"/>
        <v>5</v>
      </c>
      <c r="B305" s="2">
        <f t="shared" ca="1" si="15"/>
        <v>1</v>
      </c>
      <c r="C305" s="2" t="str">
        <f ca="1">IFERROR(
 INDEX($V$1:$BL$1,
  MATCH(TRUE,
   CHOOSE({1;2;3;4;5;6;7;8;9;10;11;12;13;14;15;16;17;18;19;20;21;22;23;24;25;26;27;28;29;30;31;32;33;34;35;36;37;38;39;40;41;42;43},
    COUNTIFS($V$2:$V$200,$G305)&gt;0,
    COUNTIFS($W$2:$W$200,$G305)&gt;0,
    COUNTIFS($X$2:$X$200,$G305)&gt;0,
    COUNTIFS($Y$2:$Y$200,$G305)&gt;0,
    COUNTIFS($Z$2:$Z$200,$G305)&gt;0,
    COUNTIFS($AA$2:$AA$200,$G305)&gt;0,
    COUNTIFS($AB$2:$AB$200,$G305)&gt;0,
    COUNTIFS($AC$2:$AC$200,$G305)&gt;0,
    COUNTIFS($AD$2:$AD$200,$G305)&gt;0,
    COUNTIFS($AE$2:$AE$200,$G305)&gt;0,
    COUNTIFS($AF$2:$AF$200,$G305)&gt;0,
    COUNTIFS($AG$2:$AG$200,$G305)&gt;0,
    COUNTIFS($AH$2:$AH$200,$G305)&gt;0,
    COUNTIFS($AI$2:$AI$200,$G305)&gt;0,
    COUNTIFS($AJ$2:$AJ$200,$G305)&gt;0,
    COUNTIFS($AK$2:$AK$200,$G305)&gt;0,
    COUNTIFS($AL$2:$AL$200,$G305)&gt;0,
    COUNTIFS($AM$2:$AM$200,$G305)&gt;0,
    COUNTIFS($AN$2:$AN$200,$G305)&gt;0,
    COUNTIFS($AO$2:$AO$200,$G305)&gt;0,
    COUNTIFS($AP$2:$AP$200,$G305)&gt;0,
    COUNTIFS($AQ$2:$AQ$200,$G305)&gt;0,
    COUNTIFS($AR$2:$AR$200,$G305)&gt;0,
    COUNTIFS($AS$2:$AS$200,$G305)&gt;0,
    COUNTIFS($AT$2:$AT$200,$G305)&gt;0,
    COUNTIFS($AU$2:$AU$200,$G305)&gt;0,
    COUNTIFS($AV$2:$AV$200,$G305)&gt;0,
    COUNTIFS($AW$2:$AW$200,$G305)&gt;0,
    COUNTIFS($AX$2:$AX$200,$G305)&gt;0,
    COUNTIFS($AY$2:$AY$200,$G305)&gt;0,
    COUNTIFS($AZ$2:$AZ$200,$G305)&gt;0,
    COUNTIFS($BA$2:$BA$200,$G305)&gt;0,
    COUNTIFS($BB$2:$BB$200,$G305)&gt;0,
    COUNTIFS($BC$2:$BC$200,$G305)&gt;0,
    COUNTIFS($BD$2:$BD$200,$G305)&gt;0,
    COUNTIFS($BE$2:$BE$200,$G305)&gt;0,
    COUNTIFS($BF$2:$BF$200,$G305)&gt;0,
    COUNTIFS($BG$2:$BG$200,$G305)&gt;0,
    COUNTIFS($BH$2:$BH$200,$G305)&gt;0,
    COUNTIFS($BI$2:$BI$200,$G305)&gt;0,
    COUNTIFS($BJ$2:$BJ$200,$G305)&gt;0,
    COUNTIFS($BK$2:$BK$200,$G305)&gt;0,
    COUNTIFS($BL$2:$BL$200,$G305)&gt;0,
    COUNTIFS($BM$2:$BM$200,$G305)&gt;0,
   ),
  0)
 ),
"")</f>
        <v>Little</v>
      </c>
      <c r="D305" s="2" t="str" cm="1">
        <f t="array" aca="1" ref="D305" ca="1">IFERROR(
 INDEX(
  _xlfn._xlws.FILTER($V$1:$AY$1,
   TRANSPOSE(
    CHOOSE({1;2;3;4;5;6;7;8;9;10;11;12;13;14;15;16;17;18;19;20;21;22;23;24;25;26;27;28;29;30},
     COUNTIFS($V$2:$V$200,$G305)&gt;0,
     COUNTIFS($W$2:$W$200,$G305)&gt;0,
     COUNTIFS($X$2:$X$200,$G305)&gt;0,
     COUNTIFS($Y$2:$Y$200,$G305)&gt;0,
     COUNTIFS($Z$2:$Z$200,$G305)&gt;0,
     COUNTIFS($AA$2:$AA$200,$G305)&gt;0,
     COUNTIFS($AB$2:$AB$200,$G305)&gt;0,
     COUNTIFS($AC$2:$AC$200,$G305)&gt;0,
     COUNTIFS($AD$2:$AD$200,$G305)&gt;0,
     COUNTIFS($AE$2:$AE$200,$G305)&gt;0,
     COUNTIFS($AF$2:$AF$200,$G305)&gt;0,
     COUNTIFS($AG$2:$AG$200,$G305)&gt;0,
     COUNTIFS($AH$2:$AH$200,$G305)&gt;0,
     COUNTIFS($AI$2:$AI$200,$G305)&gt;0,
     COUNTIFS($AJ$2:$AJ$200,$G305)&gt;0,
     COUNTIFS($AK$2:$AK$200,$G305)&gt;0,
     COUNTIFS($AL$2:$AL$200,$G305)&gt;0,
     COUNTIFS($AM$2:$AM$200,$G305)&gt;0,
     COUNTIFS($AN$2:$AN$200,$G305)&gt;0,
     COUNTIFS($AO$2:$AO$200,$G305)&gt;0,
     COUNTIFS($AP$2:$AP$200,$G305)&gt;0,
     COUNTIFS($AQ$2:$AQ$200,$G305)&gt;0,
     COUNTIFS($AR$2:$AR$200,$G305)&gt;0,
     COUNTIFS($AS$2:$AS$200,$G305)&gt;0,
     COUNTIFS($AT$2:$AT$200,$G305)&gt;0,
     COUNTIFS($AU$2:$AU$200,$G305)&gt;0,
     COUNTIFS($AV$2:$AV$200,$G305)&gt;0,
     COUNTIFS($AW$2:$AW$200,$G305)&gt;0,
     COUNTIFS($AX$2:$AX$200,$G305)&gt;0,
     COUNTIFS($AY$2:$AY$200,$G305)&gt;0
   )),
  ),
  2
 ),
"")</f>
        <v/>
      </c>
      <c r="E305" s="2" t="str" cm="1">
        <f t="array" aca="1" ref="E305" ca="1">IFERROR(
 INDEX(
  _xlfn._xlws.FILTER($V$1:$AY$1,
   TRANSPOSE(
    CHOOSE({1;2;3;4;5;6;7;8;9;10;11;12;13;14;15;16;17;18;19;20;21;22;23;24;25;26;27;28;29;30},
     COUNTIFS($V$2:$V$200,$G305)&gt;0,
     COUNTIFS($W$2:$W$200,$G305)&gt;0,
     COUNTIFS($X$2:$X$200,$G305)&gt;0,
     COUNTIFS($Y$2:$Y$200,$G305)&gt;0,
     COUNTIFS($Z$2:$Z$200,$G305)&gt;0,
     COUNTIFS($AA$2:$AA$200,$G305)&gt;0,
     COUNTIFS($AB$2:$AB$200,$G305)&gt;0,
     COUNTIFS($AC$2:$AC$200,$G305)&gt;0,
     COUNTIFS($AD$2:$AD$200,$G305)&gt;0,
     COUNTIFS($AE$2:$AE$200,$G305)&gt;0,
     COUNTIFS($AF$2:$AF$200,$G305)&gt;0,
     COUNTIFS($AG$2:$AG$200,$G305)&gt;0,
     COUNTIFS($AH$2:$AH$200,$G305)&gt;0,
     COUNTIFS($AI$2:$AI$200,$G305)&gt;0,
     COUNTIFS($AJ$2:$AJ$200,$G305)&gt;0,
     COUNTIFS($AK$2:$AK$200,$G305)&gt;0,
     COUNTIFS($AL$2:$AL$200,$G305)&gt;0,
     COUNTIFS($AM$2:$AM$200,$G305)&gt;0,
     COUNTIFS($AN$2:$AN$200,$G305)&gt;0,
     COUNTIFS($AO$2:$AO$200,$G305)&gt;0,
     COUNTIFS($AP$2:$AP$200,$G305)&gt;0,
     COUNTIFS($AQ$2:$AQ$200,$G305)&gt;0,
     COUNTIFS($AR$2:$AR$200,$G305)&gt;0,
     COUNTIFS($AS$2:$AS$200,$G305)&gt;0,
     COUNTIFS($AT$2:$AT$200,$G305)&gt;0,
     COUNTIFS($AU$2:$AU$200,$G305)&gt;0,
     COUNTIFS($AV$2:$AV$200,$G305)&gt;0,
     COUNTIFS($AW$2:$AW$200,$G305)&gt;0,
     COUNTIFS($AX$2:$AX$200,$G305)&gt;0,
     COUNTIFS($AY$2:$AY$200,$G305)&gt;0
   )),
  ),
  3
 ),
"")</f>
        <v/>
      </c>
      <c r="F305" s="2" t="str" cm="1">
        <f t="array" aca="1" ref="F305" ca="1">IFERROR(
 INDEX(
  _xlfn._xlws.FILTER($V$1:$AY$1,
   TRANSPOSE(
    CHOOSE({1;2;3;4;5;6;7;8;9;10;11;12;13;14;15;16;17;18;19;20;21;22;23;24;25;26;27;28;29;30},
     COUNTIFS($V$2:$V$200,$G305)&gt;0,
     COUNTIFS($W$2:$W$200,$G305)&gt;0,
     COUNTIFS($X$2:$X$200,$G305)&gt;0,
     COUNTIFS($Y$2:$Y$200,$G305)&gt;0,
     COUNTIFS($Z$2:$Z$200,$G305)&gt;0,
     COUNTIFS($AA$2:$AA$200,$G305)&gt;0,
     COUNTIFS($AB$2:$AB$200,$G305)&gt;0,
     COUNTIFS($AC$2:$AC$200,$G305)&gt;0,
     COUNTIFS($AD$2:$AD$200,$G305)&gt;0,
     COUNTIFS($AE$2:$AE$200,$G305)&gt;0,
     COUNTIFS($AF$2:$AF$200,$G305)&gt;0,
     COUNTIFS($AG$2:$AG$200,$G305)&gt;0,
     COUNTIFS($AH$2:$AH$200,$G305)&gt;0,
     COUNTIFS($AI$2:$AI$200,$G305)&gt;0,
     COUNTIFS($AJ$2:$AJ$200,$G305)&gt;0,
     COUNTIFS($AK$2:$AK$200,$G305)&gt;0,
     COUNTIFS($AL$2:$AL$200,$G305)&gt;0,
     COUNTIFS($AM$2:$AM$200,$G305)&gt;0,
     COUNTIFS($AN$2:$AN$200,$G305)&gt;0,
     COUNTIFS($AO$2:$AO$200,$G305)&gt;0,
     COUNTIFS($AP$2:$AP$200,$G305)&gt;0,
     COUNTIFS($AQ$2:$AQ$200,$G305)&gt;0,
     COUNTIFS($AR$2:$AR$200,$G305)&gt;0,
     COUNTIFS($AS$2:$AS$200,$G305)&gt;0,
     COUNTIFS($AT$2:$AT$200,$G305)&gt;0,
     COUNTIFS($AU$2:$AU$200,$G305)&gt;0,
     COUNTIFS($AV$2:$AV$200,$G305)&gt;0,
     COUNTIFS($AW$2:$AW$200,$G305)&gt;0,
     COUNTIFS($AX$2:$AX$200,$G305)&gt;0,
     COUNTIFS($AY$2:$AY$200,$G305)&gt;0
   )),
  ),
  4
 ),
"")</f>
        <v/>
      </c>
      <c r="G305" t="str">
        <f ca="1"/>
        <v>Ohran Frostfang</v>
      </c>
      <c r="EU305" t="str">
        <f ca="1"/>
        <v>Swamp</v>
      </c>
      <c r="EX305" t="str">
        <f ca="1"/>
        <v>Ohran Frostfang</v>
      </c>
    </row>
    <row r="306" spans="1:154" x14ac:dyDescent="0.25">
      <c r="A306" s="2" t="str">
        <f t="shared" ca="1" si="14"/>
        <v>5</v>
      </c>
      <c r="B306" s="2">
        <f t="shared" ca="1" si="15"/>
        <v>1</v>
      </c>
      <c r="C306" s="2" t="str">
        <f ca="1">IFERROR(
 INDEX($V$1:$BL$1,
  MATCH(TRUE,
   CHOOSE({1;2;3;4;5;6;7;8;9;10;11;12;13;14;15;16;17;18;19;20;21;22;23;24;25;26;27;28;29;30;31;32;33;34;35;36;37;38;39;40;41;42;43},
    COUNTIFS($V$2:$V$200,$G306)&gt;0,
    COUNTIFS($W$2:$W$200,$G306)&gt;0,
    COUNTIFS($X$2:$X$200,$G306)&gt;0,
    COUNTIFS($Y$2:$Y$200,$G306)&gt;0,
    COUNTIFS($Z$2:$Z$200,$G306)&gt;0,
    COUNTIFS($AA$2:$AA$200,$G306)&gt;0,
    COUNTIFS($AB$2:$AB$200,$G306)&gt;0,
    COUNTIFS($AC$2:$AC$200,$G306)&gt;0,
    COUNTIFS($AD$2:$AD$200,$G306)&gt;0,
    COUNTIFS($AE$2:$AE$200,$G306)&gt;0,
    COUNTIFS($AF$2:$AF$200,$G306)&gt;0,
    COUNTIFS($AG$2:$AG$200,$G306)&gt;0,
    COUNTIFS($AH$2:$AH$200,$G306)&gt;0,
    COUNTIFS($AI$2:$AI$200,$G306)&gt;0,
    COUNTIFS($AJ$2:$AJ$200,$G306)&gt;0,
    COUNTIFS($AK$2:$AK$200,$G306)&gt;0,
    COUNTIFS($AL$2:$AL$200,$G306)&gt;0,
    COUNTIFS($AM$2:$AM$200,$G306)&gt;0,
    COUNTIFS($AN$2:$AN$200,$G306)&gt;0,
    COUNTIFS($AO$2:$AO$200,$G306)&gt;0,
    COUNTIFS($AP$2:$AP$200,$G306)&gt;0,
    COUNTIFS($AQ$2:$AQ$200,$G306)&gt;0,
    COUNTIFS($AR$2:$AR$200,$G306)&gt;0,
    COUNTIFS($AS$2:$AS$200,$G306)&gt;0,
    COUNTIFS($AT$2:$AT$200,$G306)&gt;0,
    COUNTIFS($AU$2:$AU$200,$G306)&gt;0,
    COUNTIFS($AV$2:$AV$200,$G306)&gt;0,
    COUNTIFS($AW$2:$AW$200,$G306)&gt;0,
    COUNTIFS($AX$2:$AX$200,$G306)&gt;0,
    COUNTIFS($AY$2:$AY$200,$G306)&gt;0,
    COUNTIFS($AZ$2:$AZ$200,$G306)&gt;0,
    COUNTIFS($BA$2:$BA$200,$G306)&gt;0,
    COUNTIFS($BB$2:$BB$200,$G306)&gt;0,
    COUNTIFS($BC$2:$BC$200,$G306)&gt;0,
    COUNTIFS($BD$2:$BD$200,$G306)&gt;0,
    COUNTIFS($BE$2:$BE$200,$G306)&gt;0,
    COUNTIFS($BF$2:$BF$200,$G306)&gt;0,
    COUNTIFS($BG$2:$BG$200,$G306)&gt;0,
    COUNTIFS($BH$2:$BH$200,$G306)&gt;0,
    COUNTIFS($BI$2:$BI$200,$G306)&gt;0,
    COUNTIFS($BJ$2:$BJ$200,$G306)&gt;0,
    COUNTIFS($BK$2:$BK$200,$G306)&gt;0,
    COUNTIFS($BL$2:$BL$200,$G306)&gt;0,
    COUNTIFS($BM$2:$BM$200,$G306)&gt;0,
   ),
  0)
 ),
"")</f>
        <v>Little</v>
      </c>
      <c r="D306" s="2" t="str" cm="1">
        <f t="array" aca="1" ref="D306" ca="1">IFERROR(
 INDEX(
  _xlfn._xlws.FILTER($V$1:$AY$1,
   TRANSPOSE(
    CHOOSE({1;2;3;4;5;6;7;8;9;10;11;12;13;14;15;16;17;18;19;20;21;22;23;24;25;26;27;28;29;30},
     COUNTIFS($V$2:$V$200,$G306)&gt;0,
     COUNTIFS($W$2:$W$200,$G306)&gt;0,
     COUNTIFS($X$2:$X$200,$G306)&gt;0,
     COUNTIFS($Y$2:$Y$200,$G306)&gt;0,
     COUNTIFS($Z$2:$Z$200,$G306)&gt;0,
     COUNTIFS($AA$2:$AA$200,$G306)&gt;0,
     COUNTIFS($AB$2:$AB$200,$G306)&gt;0,
     COUNTIFS($AC$2:$AC$200,$G306)&gt;0,
     COUNTIFS($AD$2:$AD$200,$G306)&gt;0,
     COUNTIFS($AE$2:$AE$200,$G306)&gt;0,
     COUNTIFS($AF$2:$AF$200,$G306)&gt;0,
     COUNTIFS($AG$2:$AG$200,$G306)&gt;0,
     COUNTIFS($AH$2:$AH$200,$G306)&gt;0,
     COUNTIFS($AI$2:$AI$200,$G306)&gt;0,
     COUNTIFS($AJ$2:$AJ$200,$G306)&gt;0,
     COUNTIFS($AK$2:$AK$200,$G306)&gt;0,
     COUNTIFS($AL$2:$AL$200,$G306)&gt;0,
     COUNTIFS($AM$2:$AM$200,$G306)&gt;0,
     COUNTIFS($AN$2:$AN$200,$G306)&gt;0,
     COUNTIFS($AO$2:$AO$200,$G306)&gt;0,
     COUNTIFS($AP$2:$AP$200,$G306)&gt;0,
     COUNTIFS($AQ$2:$AQ$200,$G306)&gt;0,
     COUNTIFS($AR$2:$AR$200,$G306)&gt;0,
     COUNTIFS($AS$2:$AS$200,$G306)&gt;0,
     COUNTIFS($AT$2:$AT$200,$G306)&gt;0,
     COUNTIFS($AU$2:$AU$200,$G306)&gt;0,
     COUNTIFS($AV$2:$AV$200,$G306)&gt;0,
     COUNTIFS($AW$2:$AW$200,$G306)&gt;0,
     COUNTIFS($AX$2:$AX$200,$G306)&gt;0,
     COUNTIFS($AY$2:$AY$200,$G306)&gt;0
   )),
  ),
  2
 ),
"")</f>
        <v/>
      </c>
      <c r="E306" s="2" t="str" cm="1">
        <f t="array" aca="1" ref="E306" ca="1">IFERROR(
 INDEX(
  _xlfn._xlws.FILTER($V$1:$AY$1,
   TRANSPOSE(
    CHOOSE({1;2;3;4;5;6;7;8;9;10;11;12;13;14;15;16;17;18;19;20;21;22;23;24;25;26;27;28;29;30},
     COUNTIFS($V$2:$V$200,$G306)&gt;0,
     COUNTIFS($W$2:$W$200,$G306)&gt;0,
     COUNTIFS($X$2:$X$200,$G306)&gt;0,
     COUNTIFS($Y$2:$Y$200,$G306)&gt;0,
     COUNTIFS($Z$2:$Z$200,$G306)&gt;0,
     COUNTIFS($AA$2:$AA$200,$G306)&gt;0,
     COUNTIFS($AB$2:$AB$200,$G306)&gt;0,
     COUNTIFS($AC$2:$AC$200,$G306)&gt;0,
     COUNTIFS($AD$2:$AD$200,$G306)&gt;0,
     COUNTIFS($AE$2:$AE$200,$G306)&gt;0,
     COUNTIFS($AF$2:$AF$200,$G306)&gt;0,
     COUNTIFS($AG$2:$AG$200,$G306)&gt;0,
     COUNTIFS($AH$2:$AH$200,$G306)&gt;0,
     COUNTIFS($AI$2:$AI$200,$G306)&gt;0,
     COUNTIFS($AJ$2:$AJ$200,$G306)&gt;0,
     COUNTIFS($AK$2:$AK$200,$G306)&gt;0,
     COUNTIFS($AL$2:$AL$200,$G306)&gt;0,
     COUNTIFS($AM$2:$AM$200,$G306)&gt;0,
     COUNTIFS($AN$2:$AN$200,$G306)&gt;0,
     COUNTIFS($AO$2:$AO$200,$G306)&gt;0,
     COUNTIFS($AP$2:$AP$200,$G306)&gt;0,
     COUNTIFS($AQ$2:$AQ$200,$G306)&gt;0,
     COUNTIFS($AR$2:$AR$200,$G306)&gt;0,
     COUNTIFS($AS$2:$AS$200,$G306)&gt;0,
     COUNTIFS($AT$2:$AT$200,$G306)&gt;0,
     COUNTIFS($AU$2:$AU$200,$G306)&gt;0,
     COUNTIFS($AV$2:$AV$200,$G306)&gt;0,
     COUNTIFS($AW$2:$AW$200,$G306)&gt;0,
     COUNTIFS($AX$2:$AX$200,$G306)&gt;0,
     COUNTIFS($AY$2:$AY$200,$G306)&gt;0
   )),
  ),
  3
 ),
"")</f>
        <v/>
      </c>
      <c r="F306" s="2" t="str" cm="1">
        <f t="array" aca="1" ref="F306" ca="1">IFERROR(
 INDEX(
  _xlfn._xlws.FILTER($V$1:$AY$1,
   TRANSPOSE(
    CHOOSE({1;2;3;4;5;6;7;8;9;10;11;12;13;14;15;16;17;18;19;20;21;22;23;24;25;26;27;28;29;30},
     COUNTIFS($V$2:$V$200,$G306)&gt;0,
     COUNTIFS($W$2:$W$200,$G306)&gt;0,
     COUNTIFS($X$2:$X$200,$G306)&gt;0,
     COUNTIFS($Y$2:$Y$200,$G306)&gt;0,
     COUNTIFS($Z$2:$Z$200,$G306)&gt;0,
     COUNTIFS($AA$2:$AA$200,$G306)&gt;0,
     COUNTIFS($AB$2:$AB$200,$G306)&gt;0,
     COUNTIFS($AC$2:$AC$200,$G306)&gt;0,
     COUNTIFS($AD$2:$AD$200,$G306)&gt;0,
     COUNTIFS($AE$2:$AE$200,$G306)&gt;0,
     COUNTIFS($AF$2:$AF$200,$G306)&gt;0,
     COUNTIFS($AG$2:$AG$200,$G306)&gt;0,
     COUNTIFS($AH$2:$AH$200,$G306)&gt;0,
     COUNTIFS($AI$2:$AI$200,$G306)&gt;0,
     COUNTIFS($AJ$2:$AJ$200,$G306)&gt;0,
     COUNTIFS($AK$2:$AK$200,$G306)&gt;0,
     COUNTIFS($AL$2:$AL$200,$G306)&gt;0,
     COUNTIFS($AM$2:$AM$200,$G306)&gt;0,
     COUNTIFS($AN$2:$AN$200,$G306)&gt;0,
     COUNTIFS($AO$2:$AO$200,$G306)&gt;0,
     COUNTIFS($AP$2:$AP$200,$G306)&gt;0,
     COUNTIFS($AQ$2:$AQ$200,$G306)&gt;0,
     COUNTIFS($AR$2:$AR$200,$G306)&gt;0,
     COUNTIFS($AS$2:$AS$200,$G306)&gt;0,
     COUNTIFS($AT$2:$AT$200,$G306)&gt;0,
     COUNTIFS($AU$2:$AU$200,$G306)&gt;0,
     COUNTIFS($AV$2:$AV$200,$G306)&gt;0,
     COUNTIFS($AW$2:$AW$200,$G306)&gt;0,
     COUNTIFS($AX$2:$AX$200,$G306)&gt;0,
     COUNTIFS($AY$2:$AY$200,$G306)&gt;0
   )),
  ),
  4
 ),
"")</f>
        <v/>
      </c>
      <c r="G306" t="str">
        <f ca="1"/>
        <v>Oketra's Monument</v>
      </c>
      <c r="EU306" t="str">
        <f ca="1"/>
        <v>Swan Song</v>
      </c>
      <c r="EX306" t="str">
        <f ca="1"/>
        <v>Oketra's Monument</v>
      </c>
    </row>
    <row r="307" spans="1:154" x14ac:dyDescent="0.25">
      <c r="A307" s="2" t="str">
        <f t="shared" ca="1" si="14"/>
        <v>2</v>
      </c>
      <c r="B307" s="2">
        <f t="shared" ca="1" si="15"/>
        <v>1</v>
      </c>
      <c r="C307" s="2" t="str">
        <f ca="1">IFERROR(
 INDEX($V$1:$BL$1,
  MATCH(TRUE,
   CHOOSE({1;2;3;4;5;6;7;8;9;10;11;12;13;14;15;16;17;18;19;20;21;22;23;24;25;26;27;28;29;30;31;32;33;34;35;36;37;38;39;40;41;42;43},
    COUNTIFS($V$2:$V$200,$G307)&gt;0,
    COUNTIFS($W$2:$W$200,$G307)&gt;0,
    COUNTIFS($X$2:$X$200,$G307)&gt;0,
    COUNTIFS($Y$2:$Y$200,$G307)&gt;0,
    COUNTIFS($Z$2:$Z$200,$G307)&gt;0,
    COUNTIFS($AA$2:$AA$200,$G307)&gt;0,
    COUNTIFS($AB$2:$AB$200,$G307)&gt;0,
    COUNTIFS($AC$2:$AC$200,$G307)&gt;0,
    COUNTIFS($AD$2:$AD$200,$G307)&gt;0,
    COUNTIFS($AE$2:$AE$200,$G307)&gt;0,
    COUNTIFS($AF$2:$AF$200,$G307)&gt;0,
    COUNTIFS($AG$2:$AG$200,$G307)&gt;0,
    COUNTIFS($AH$2:$AH$200,$G307)&gt;0,
    COUNTIFS($AI$2:$AI$200,$G307)&gt;0,
    COUNTIFS($AJ$2:$AJ$200,$G307)&gt;0,
    COUNTIFS($AK$2:$AK$200,$G307)&gt;0,
    COUNTIFS($AL$2:$AL$200,$G307)&gt;0,
    COUNTIFS($AM$2:$AM$200,$G307)&gt;0,
    COUNTIFS($AN$2:$AN$200,$G307)&gt;0,
    COUNTIFS($AO$2:$AO$200,$G307)&gt;0,
    COUNTIFS($AP$2:$AP$200,$G307)&gt;0,
    COUNTIFS($AQ$2:$AQ$200,$G307)&gt;0,
    COUNTIFS($AR$2:$AR$200,$G307)&gt;0,
    COUNTIFS($AS$2:$AS$200,$G307)&gt;0,
    COUNTIFS($AT$2:$AT$200,$G307)&gt;0,
    COUNTIFS($AU$2:$AU$200,$G307)&gt;0,
    COUNTIFS($AV$2:$AV$200,$G307)&gt;0,
    COUNTIFS($AW$2:$AW$200,$G307)&gt;0,
    COUNTIFS($AX$2:$AX$200,$G307)&gt;0,
    COUNTIFS($AY$2:$AY$200,$G307)&gt;0,
    COUNTIFS($AZ$2:$AZ$200,$G307)&gt;0,
    COUNTIFS($BA$2:$BA$200,$G307)&gt;0,
    COUNTIFS($BB$2:$BB$200,$G307)&gt;0,
    COUNTIFS($BC$2:$BC$200,$G307)&gt;0,
    COUNTIFS($BD$2:$BD$200,$G307)&gt;0,
    COUNTIFS($BE$2:$BE$200,$G307)&gt;0,
    COUNTIFS($BF$2:$BF$200,$G307)&gt;0,
    COUNTIFS($BG$2:$BG$200,$G307)&gt;0,
    COUNTIFS($BH$2:$BH$200,$G307)&gt;0,
    COUNTIFS($BI$2:$BI$200,$G307)&gt;0,
    COUNTIFS($BJ$2:$BJ$200,$G307)&gt;0,
    COUNTIFS($BK$2:$BK$200,$G307)&gt;0,
    COUNTIFS($BL$2:$BL$200,$G307)&gt;0,
    COUNTIFS($BM$2:$BM$200,$G307)&gt;0,
   ),
  0)
 ),
"")</f>
        <v>Sisay</v>
      </c>
      <c r="D307" s="2" t="str" cm="1">
        <f t="array" aca="1" ref="D307" ca="1">IFERROR(
 INDEX(
  _xlfn._xlws.FILTER($V$1:$AY$1,
   TRANSPOSE(
    CHOOSE({1;2;3;4;5;6;7;8;9;10;11;12;13;14;15;16;17;18;19;20;21;22;23;24;25;26;27;28;29;30},
     COUNTIFS($V$2:$V$200,$G307)&gt;0,
     COUNTIFS($W$2:$W$200,$G307)&gt;0,
     COUNTIFS($X$2:$X$200,$G307)&gt;0,
     COUNTIFS($Y$2:$Y$200,$G307)&gt;0,
     COUNTIFS($Z$2:$Z$200,$G307)&gt;0,
     COUNTIFS($AA$2:$AA$200,$G307)&gt;0,
     COUNTIFS($AB$2:$AB$200,$G307)&gt;0,
     COUNTIFS($AC$2:$AC$200,$G307)&gt;0,
     COUNTIFS($AD$2:$AD$200,$G307)&gt;0,
     COUNTIFS($AE$2:$AE$200,$G307)&gt;0,
     COUNTIFS($AF$2:$AF$200,$G307)&gt;0,
     COUNTIFS($AG$2:$AG$200,$G307)&gt;0,
     COUNTIFS($AH$2:$AH$200,$G307)&gt;0,
     COUNTIFS($AI$2:$AI$200,$G307)&gt;0,
     COUNTIFS($AJ$2:$AJ$200,$G307)&gt;0,
     COUNTIFS($AK$2:$AK$200,$G307)&gt;0,
     COUNTIFS($AL$2:$AL$200,$G307)&gt;0,
     COUNTIFS($AM$2:$AM$200,$G307)&gt;0,
     COUNTIFS($AN$2:$AN$200,$G307)&gt;0,
     COUNTIFS($AO$2:$AO$200,$G307)&gt;0,
     COUNTIFS($AP$2:$AP$200,$G307)&gt;0,
     COUNTIFS($AQ$2:$AQ$200,$G307)&gt;0,
     COUNTIFS($AR$2:$AR$200,$G307)&gt;0,
     COUNTIFS($AS$2:$AS$200,$G307)&gt;0,
     COUNTIFS($AT$2:$AT$200,$G307)&gt;0,
     COUNTIFS($AU$2:$AU$200,$G307)&gt;0,
     COUNTIFS($AV$2:$AV$200,$G307)&gt;0,
     COUNTIFS($AW$2:$AW$200,$G307)&gt;0,
     COUNTIFS($AX$2:$AX$200,$G307)&gt;0,
     COUNTIFS($AY$2:$AY$200,$G307)&gt;0
   )),
  ),
  2
 ),
"")</f>
        <v/>
      </c>
      <c r="E307" s="2" t="str" cm="1">
        <f t="array" aca="1" ref="E307" ca="1">IFERROR(
 INDEX(
  _xlfn._xlws.FILTER($V$1:$AY$1,
   TRANSPOSE(
    CHOOSE({1;2;3;4;5;6;7;8;9;10;11;12;13;14;15;16;17;18;19;20;21;22;23;24;25;26;27;28;29;30},
     COUNTIFS($V$2:$V$200,$G307)&gt;0,
     COUNTIFS($W$2:$W$200,$G307)&gt;0,
     COUNTIFS($X$2:$X$200,$G307)&gt;0,
     COUNTIFS($Y$2:$Y$200,$G307)&gt;0,
     COUNTIFS($Z$2:$Z$200,$G307)&gt;0,
     COUNTIFS($AA$2:$AA$200,$G307)&gt;0,
     COUNTIFS($AB$2:$AB$200,$G307)&gt;0,
     COUNTIFS($AC$2:$AC$200,$G307)&gt;0,
     COUNTIFS($AD$2:$AD$200,$G307)&gt;0,
     COUNTIFS($AE$2:$AE$200,$G307)&gt;0,
     COUNTIFS($AF$2:$AF$200,$G307)&gt;0,
     COUNTIFS($AG$2:$AG$200,$G307)&gt;0,
     COUNTIFS($AH$2:$AH$200,$G307)&gt;0,
     COUNTIFS($AI$2:$AI$200,$G307)&gt;0,
     COUNTIFS($AJ$2:$AJ$200,$G307)&gt;0,
     COUNTIFS($AK$2:$AK$200,$G307)&gt;0,
     COUNTIFS($AL$2:$AL$200,$G307)&gt;0,
     COUNTIFS($AM$2:$AM$200,$G307)&gt;0,
     COUNTIFS($AN$2:$AN$200,$G307)&gt;0,
     COUNTIFS($AO$2:$AO$200,$G307)&gt;0,
     COUNTIFS($AP$2:$AP$200,$G307)&gt;0,
     COUNTIFS($AQ$2:$AQ$200,$G307)&gt;0,
     COUNTIFS($AR$2:$AR$200,$G307)&gt;0,
     COUNTIFS($AS$2:$AS$200,$G307)&gt;0,
     COUNTIFS($AT$2:$AT$200,$G307)&gt;0,
     COUNTIFS($AU$2:$AU$200,$G307)&gt;0,
     COUNTIFS($AV$2:$AV$200,$G307)&gt;0,
     COUNTIFS($AW$2:$AW$200,$G307)&gt;0,
     COUNTIFS($AX$2:$AX$200,$G307)&gt;0,
     COUNTIFS($AY$2:$AY$200,$G307)&gt;0
   )),
  ),
  3
 ),
"")</f>
        <v/>
      </c>
      <c r="F307" s="2" t="str" cm="1">
        <f t="array" aca="1" ref="F307" ca="1">IFERROR(
 INDEX(
  _xlfn._xlws.FILTER($V$1:$AY$1,
   TRANSPOSE(
    CHOOSE({1;2;3;4;5;6;7;8;9;10;11;12;13;14;15;16;17;18;19;20;21;22;23;24;25;26;27;28;29;30},
     COUNTIFS($V$2:$V$200,$G307)&gt;0,
     COUNTIFS($W$2:$W$200,$G307)&gt;0,
     COUNTIFS($X$2:$X$200,$G307)&gt;0,
     COUNTIFS($Y$2:$Y$200,$G307)&gt;0,
     COUNTIFS($Z$2:$Z$200,$G307)&gt;0,
     COUNTIFS($AA$2:$AA$200,$G307)&gt;0,
     COUNTIFS($AB$2:$AB$200,$G307)&gt;0,
     COUNTIFS($AC$2:$AC$200,$G307)&gt;0,
     COUNTIFS($AD$2:$AD$200,$G307)&gt;0,
     COUNTIFS($AE$2:$AE$200,$G307)&gt;0,
     COUNTIFS($AF$2:$AF$200,$G307)&gt;0,
     COUNTIFS($AG$2:$AG$200,$G307)&gt;0,
     COUNTIFS($AH$2:$AH$200,$G307)&gt;0,
     COUNTIFS($AI$2:$AI$200,$G307)&gt;0,
     COUNTIFS($AJ$2:$AJ$200,$G307)&gt;0,
     COUNTIFS($AK$2:$AK$200,$G307)&gt;0,
     COUNTIFS($AL$2:$AL$200,$G307)&gt;0,
     COUNTIFS($AM$2:$AM$200,$G307)&gt;0,
     COUNTIFS($AN$2:$AN$200,$G307)&gt;0,
     COUNTIFS($AO$2:$AO$200,$G307)&gt;0,
     COUNTIFS($AP$2:$AP$200,$G307)&gt;0,
     COUNTIFS($AQ$2:$AQ$200,$G307)&gt;0,
     COUNTIFS($AR$2:$AR$200,$G307)&gt;0,
     COUNTIFS($AS$2:$AS$200,$G307)&gt;0,
     COUNTIFS($AT$2:$AT$200,$G307)&gt;0,
     COUNTIFS($AU$2:$AU$200,$G307)&gt;0,
     COUNTIFS($AV$2:$AV$200,$G307)&gt;0,
     COUNTIFS($AW$2:$AW$200,$G307)&gt;0,
     COUNTIFS($AX$2:$AX$200,$G307)&gt;0,
     COUNTIFS($AY$2:$AY$200,$G307)&gt;0
   )),
  ),
  4
 ),
"")</f>
        <v/>
      </c>
      <c r="G307" t="str">
        <f ca="1"/>
        <v>Oko, Thief of Crowns</v>
      </c>
      <c r="EU307" t="str">
        <f ca="1"/>
        <v>Sword of Feast and Famine</v>
      </c>
      <c r="EX307" t="str">
        <f ca="1"/>
        <v>Oko, Thief of Crowns</v>
      </c>
    </row>
    <row r="308" spans="1:154" x14ac:dyDescent="0.25">
      <c r="A308" s="2" t="str">
        <f t="shared" ca="1" si="14"/>
        <v>5</v>
      </c>
      <c r="B308" s="2">
        <f t="shared" ca="1" si="15"/>
        <v>1</v>
      </c>
      <c r="C308" s="2" t="str">
        <f ca="1">IFERROR(
 INDEX($V$1:$BL$1,
  MATCH(TRUE,
   CHOOSE({1;2;3;4;5;6;7;8;9;10;11;12;13;14;15;16;17;18;19;20;21;22;23;24;25;26;27;28;29;30;31;32;33;34;35;36;37;38;39;40;41;42;43},
    COUNTIFS($V$2:$V$200,$G308)&gt;0,
    COUNTIFS($W$2:$W$200,$G308)&gt;0,
    COUNTIFS($X$2:$X$200,$G308)&gt;0,
    COUNTIFS($Y$2:$Y$200,$G308)&gt;0,
    COUNTIFS($Z$2:$Z$200,$G308)&gt;0,
    COUNTIFS($AA$2:$AA$200,$G308)&gt;0,
    COUNTIFS($AB$2:$AB$200,$G308)&gt;0,
    COUNTIFS($AC$2:$AC$200,$G308)&gt;0,
    COUNTIFS($AD$2:$AD$200,$G308)&gt;0,
    COUNTIFS($AE$2:$AE$200,$G308)&gt;0,
    COUNTIFS($AF$2:$AF$200,$G308)&gt;0,
    COUNTIFS($AG$2:$AG$200,$G308)&gt;0,
    COUNTIFS($AH$2:$AH$200,$G308)&gt;0,
    COUNTIFS($AI$2:$AI$200,$G308)&gt;0,
    COUNTIFS($AJ$2:$AJ$200,$G308)&gt;0,
    COUNTIFS($AK$2:$AK$200,$G308)&gt;0,
    COUNTIFS($AL$2:$AL$200,$G308)&gt;0,
    COUNTIFS($AM$2:$AM$200,$G308)&gt;0,
    COUNTIFS($AN$2:$AN$200,$G308)&gt;0,
    COUNTIFS($AO$2:$AO$200,$G308)&gt;0,
    COUNTIFS($AP$2:$AP$200,$G308)&gt;0,
    COUNTIFS($AQ$2:$AQ$200,$G308)&gt;0,
    COUNTIFS($AR$2:$AR$200,$G308)&gt;0,
    COUNTIFS($AS$2:$AS$200,$G308)&gt;0,
    COUNTIFS($AT$2:$AT$200,$G308)&gt;0,
    COUNTIFS($AU$2:$AU$200,$G308)&gt;0,
    COUNTIFS($AV$2:$AV$200,$G308)&gt;0,
    COUNTIFS($AW$2:$AW$200,$G308)&gt;0,
    COUNTIFS($AX$2:$AX$200,$G308)&gt;0,
    COUNTIFS($AY$2:$AY$200,$G308)&gt;0,
    COUNTIFS($AZ$2:$AZ$200,$G308)&gt;0,
    COUNTIFS($BA$2:$BA$200,$G308)&gt;0,
    COUNTIFS($BB$2:$BB$200,$G308)&gt;0,
    COUNTIFS($BC$2:$BC$200,$G308)&gt;0,
    COUNTIFS($BD$2:$BD$200,$G308)&gt;0,
    COUNTIFS($BE$2:$BE$200,$G308)&gt;0,
    COUNTIFS($BF$2:$BF$200,$G308)&gt;0,
    COUNTIFS($BG$2:$BG$200,$G308)&gt;0,
    COUNTIFS($BH$2:$BH$200,$G308)&gt;0,
    COUNTIFS($BI$2:$BI$200,$G308)&gt;0,
    COUNTIFS($BJ$2:$BJ$200,$G308)&gt;0,
    COUNTIFS($BK$2:$BK$200,$G308)&gt;0,
    COUNTIFS($BL$2:$BL$200,$G308)&gt;0,
    COUNTIFS($BM$2:$BM$200,$G308)&gt;0,
   ),
  0)
 ),
"")</f>
        <v>4cRash</v>
      </c>
      <c r="D308" s="2" t="str" cm="1">
        <f t="array" aca="1" ref="D308" ca="1">IFERROR(
 INDEX(
  _xlfn._xlws.FILTER($V$1:$AY$1,
   TRANSPOSE(
    CHOOSE({1;2;3;4;5;6;7;8;9;10;11;12;13;14;15;16;17;18;19;20;21;22;23;24;25;26;27;28;29;30},
     COUNTIFS($V$2:$V$200,$G308)&gt;0,
     COUNTIFS($W$2:$W$200,$G308)&gt;0,
     COUNTIFS($X$2:$X$200,$G308)&gt;0,
     COUNTIFS($Y$2:$Y$200,$G308)&gt;0,
     COUNTIFS($Z$2:$Z$200,$G308)&gt;0,
     COUNTIFS($AA$2:$AA$200,$G308)&gt;0,
     COUNTIFS($AB$2:$AB$200,$G308)&gt;0,
     COUNTIFS($AC$2:$AC$200,$G308)&gt;0,
     COUNTIFS($AD$2:$AD$200,$G308)&gt;0,
     COUNTIFS($AE$2:$AE$200,$G308)&gt;0,
     COUNTIFS($AF$2:$AF$200,$G308)&gt;0,
     COUNTIFS($AG$2:$AG$200,$G308)&gt;0,
     COUNTIFS($AH$2:$AH$200,$G308)&gt;0,
     COUNTIFS($AI$2:$AI$200,$G308)&gt;0,
     COUNTIFS($AJ$2:$AJ$200,$G308)&gt;0,
     COUNTIFS($AK$2:$AK$200,$G308)&gt;0,
     COUNTIFS($AL$2:$AL$200,$G308)&gt;0,
     COUNTIFS($AM$2:$AM$200,$G308)&gt;0,
     COUNTIFS($AN$2:$AN$200,$G308)&gt;0,
     COUNTIFS($AO$2:$AO$200,$G308)&gt;0,
     COUNTIFS($AP$2:$AP$200,$G308)&gt;0,
     COUNTIFS($AQ$2:$AQ$200,$G308)&gt;0,
     COUNTIFS($AR$2:$AR$200,$G308)&gt;0,
     COUNTIFS($AS$2:$AS$200,$G308)&gt;0,
     COUNTIFS($AT$2:$AT$200,$G308)&gt;0,
     COUNTIFS($AU$2:$AU$200,$G308)&gt;0,
     COUNTIFS($AV$2:$AV$200,$G308)&gt;0,
     COUNTIFS($AW$2:$AW$200,$G308)&gt;0,
     COUNTIFS($AX$2:$AX$200,$G308)&gt;0,
     COUNTIFS($AY$2:$AY$200,$G308)&gt;0
   )),
  ),
  2
 ),
"")</f>
        <v/>
      </c>
      <c r="E308" s="2" t="str" cm="1">
        <f t="array" aca="1" ref="E308" ca="1">IFERROR(
 INDEX(
  _xlfn._xlws.FILTER($V$1:$AY$1,
   TRANSPOSE(
    CHOOSE({1;2;3;4;5;6;7;8;9;10;11;12;13;14;15;16;17;18;19;20;21;22;23;24;25;26;27;28;29;30},
     COUNTIFS($V$2:$V$200,$G308)&gt;0,
     COUNTIFS($W$2:$W$200,$G308)&gt;0,
     COUNTIFS($X$2:$X$200,$G308)&gt;0,
     COUNTIFS($Y$2:$Y$200,$G308)&gt;0,
     COUNTIFS($Z$2:$Z$200,$G308)&gt;0,
     COUNTIFS($AA$2:$AA$200,$G308)&gt;0,
     COUNTIFS($AB$2:$AB$200,$G308)&gt;0,
     COUNTIFS($AC$2:$AC$200,$G308)&gt;0,
     COUNTIFS($AD$2:$AD$200,$G308)&gt;0,
     COUNTIFS($AE$2:$AE$200,$G308)&gt;0,
     COUNTIFS($AF$2:$AF$200,$G308)&gt;0,
     COUNTIFS($AG$2:$AG$200,$G308)&gt;0,
     COUNTIFS($AH$2:$AH$200,$G308)&gt;0,
     COUNTIFS($AI$2:$AI$200,$G308)&gt;0,
     COUNTIFS($AJ$2:$AJ$200,$G308)&gt;0,
     COUNTIFS($AK$2:$AK$200,$G308)&gt;0,
     COUNTIFS($AL$2:$AL$200,$G308)&gt;0,
     COUNTIFS($AM$2:$AM$200,$G308)&gt;0,
     COUNTIFS($AN$2:$AN$200,$G308)&gt;0,
     COUNTIFS($AO$2:$AO$200,$G308)&gt;0,
     COUNTIFS($AP$2:$AP$200,$G308)&gt;0,
     COUNTIFS($AQ$2:$AQ$200,$G308)&gt;0,
     COUNTIFS($AR$2:$AR$200,$G308)&gt;0,
     COUNTIFS($AS$2:$AS$200,$G308)&gt;0,
     COUNTIFS($AT$2:$AT$200,$G308)&gt;0,
     COUNTIFS($AU$2:$AU$200,$G308)&gt;0,
     COUNTIFS($AV$2:$AV$200,$G308)&gt;0,
     COUNTIFS($AW$2:$AW$200,$G308)&gt;0,
     COUNTIFS($AX$2:$AX$200,$G308)&gt;0,
     COUNTIFS($AY$2:$AY$200,$G308)&gt;0
   )),
  ),
  3
 ),
"")</f>
        <v/>
      </c>
      <c r="F308" s="2" t="str" cm="1">
        <f t="array" aca="1" ref="F308" ca="1">IFERROR(
 INDEX(
  _xlfn._xlws.FILTER($V$1:$AY$1,
   TRANSPOSE(
    CHOOSE({1;2;3;4;5;6;7;8;9;10;11;12;13;14;15;16;17;18;19;20;21;22;23;24;25;26;27;28;29;30},
     COUNTIFS($V$2:$V$200,$G308)&gt;0,
     COUNTIFS($W$2:$W$200,$G308)&gt;0,
     COUNTIFS($X$2:$X$200,$G308)&gt;0,
     COUNTIFS($Y$2:$Y$200,$G308)&gt;0,
     COUNTIFS($Z$2:$Z$200,$G308)&gt;0,
     COUNTIFS($AA$2:$AA$200,$G308)&gt;0,
     COUNTIFS($AB$2:$AB$200,$G308)&gt;0,
     COUNTIFS($AC$2:$AC$200,$G308)&gt;0,
     COUNTIFS($AD$2:$AD$200,$G308)&gt;0,
     COUNTIFS($AE$2:$AE$200,$G308)&gt;0,
     COUNTIFS($AF$2:$AF$200,$G308)&gt;0,
     COUNTIFS($AG$2:$AG$200,$G308)&gt;0,
     COUNTIFS($AH$2:$AH$200,$G308)&gt;0,
     COUNTIFS($AI$2:$AI$200,$G308)&gt;0,
     COUNTIFS($AJ$2:$AJ$200,$G308)&gt;0,
     COUNTIFS($AK$2:$AK$200,$G308)&gt;0,
     COUNTIFS($AL$2:$AL$200,$G308)&gt;0,
     COUNTIFS($AM$2:$AM$200,$G308)&gt;0,
     COUNTIFS($AN$2:$AN$200,$G308)&gt;0,
     COUNTIFS($AO$2:$AO$200,$G308)&gt;0,
     COUNTIFS($AP$2:$AP$200,$G308)&gt;0,
     COUNTIFS($AQ$2:$AQ$200,$G308)&gt;0,
     COUNTIFS($AR$2:$AR$200,$G308)&gt;0,
     COUNTIFS($AS$2:$AS$200,$G308)&gt;0,
     COUNTIFS($AT$2:$AT$200,$G308)&gt;0,
     COUNTIFS($AU$2:$AU$200,$G308)&gt;0,
     COUNTIFS($AV$2:$AV$200,$G308)&gt;0,
     COUNTIFS($AW$2:$AW$200,$G308)&gt;0,
     COUNTIFS($AX$2:$AX$200,$G308)&gt;0,
     COUNTIFS($AY$2:$AY$200,$G308)&gt;0
   )),
  ),
  4
 ),
"")</f>
        <v/>
      </c>
      <c r="G308" t="str">
        <f ca="1"/>
        <v>Omen of the Hunt</v>
      </c>
      <c r="EU308" t="str">
        <f ca="1"/>
        <v>Sword of Fire and Ice</v>
      </c>
      <c r="EX308" t="str">
        <f ca="1"/>
        <v>Omen of the Hunt</v>
      </c>
    </row>
    <row r="309" spans="1:154" x14ac:dyDescent="0.25">
      <c r="A309" s="2" t="str">
        <f t="shared" ca="1" si="14"/>
        <v>4</v>
      </c>
      <c r="B309" s="2">
        <f t="shared" ca="1" si="15"/>
        <v>1</v>
      </c>
      <c r="C309" s="2" t="str">
        <f ca="1">IFERROR(
 INDEX($V$1:$BL$1,
  MATCH(TRUE,
   CHOOSE({1;2;3;4;5;6;7;8;9;10;11;12;13;14;15;16;17;18;19;20;21;22;23;24;25;26;27;28;29;30;31;32;33;34;35;36;37;38;39;40;41;42;43},
    COUNTIFS($V$2:$V$200,$G309)&gt;0,
    COUNTIFS($W$2:$W$200,$G309)&gt;0,
    COUNTIFS($X$2:$X$200,$G309)&gt;0,
    COUNTIFS($Y$2:$Y$200,$G309)&gt;0,
    COUNTIFS($Z$2:$Z$200,$G309)&gt;0,
    COUNTIFS($AA$2:$AA$200,$G309)&gt;0,
    COUNTIFS($AB$2:$AB$200,$G309)&gt;0,
    COUNTIFS($AC$2:$AC$200,$G309)&gt;0,
    COUNTIFS($AD$2:$AD$200,$G309)&gt;0,
    COUNTIFS($AE$2:$AE$200,$G309)&gt;0,
    COUNTIFS($AF$2:$AF$200,$G309)&gt;0,
    COUNTIFS($AG$2:$AG$200,$G309)&gt;0,
    COUNTIFS($AH$2:$AH$200,$G309)&gt;0,
    COUNTIFS($AI$2:$AI$200,$G309)&gt;0,
    COUNTIFS($AJ$2:$AJ$200,$G309)&gt;0,
    COUNTIFS($AK$2:$AK$200,$G309)&gt;0,
    COUNTIFS($AL$2:$AL$200,$G309)&gt;0,
    COUNTIFS($AM$2:$AM$200,$G309)&gt;0,
    COUNTIFS($AN$2:$AN$200,$G309)&gt;0,
    COUNTIFS($AO$2:$AO$200,$G309)&gt;0,
    COUNTIFS($AP$2:$AP$200,$G309)&gt;0,
    COUNTIFS($AQ$2:$AQ$200,$G309)&gt;0,
    COUNTIFS($AR$2:$AR$200,$G309)&gt;0,
    COUNTIFS($AS$2:$AS$200,$G309)&gt;0,
    COUNTIFS($AT$2:$AT$200,$G309)&gt;0,
    COUNTIFS($AU$2:$AU$200,$G309)&gt;0,
    COUNTIFS($AV$2:$AV$200,$G309)&gt;0,
    COUNTIFS($AW$2:$AW$200,$G309)&gt;0,
    COUNTIFS($AX$2:$AX$200,$G309)&gt;0,
    COUNTIFS($AY$2:$AY$200,$G309)&gt;0,
    COUNTIFS($AZ$2:$AZ$200,$G309)&gt;0,
    COUNTIFS($BA$2:$BA$200,$G309)&gt;0,
    COUNTIFS($BB$2:$BB$200,$G309)&gt;0,
    COUNTIFS($BC$2:$BC$200,$G309)&gt;0,
    COUNTIFS($BD$2:$BD$200,$G309)&gt;0,
    COUNTIFS($BE$2:$BE$200,$G309)&gt;0,
    COUNTIFS($BF$2:$BF$200,$G309)&gt;0,
    COUNTIFS($BG$2:$BG$200,$G309)&gt;0,
    COUNTIFS($BH$2:$BH$200,$G309)&gt;0,
    COUNTIFS($BI$2:$BI$200,$G309)&gt;0,
    COUNTIFS($BJ$2:$BJ$200,$G309)&gt;0,
    COUNTIFS($BK$2:$BK$200,$G309)&gt;0,
    COUNTIFS($BL$2:$BL$200,$G309)&gt;0,
    COUNTIFS($BM$2:$BM$200,$G309)&gt;0,
   ),
  0)
 ),
"")</f>
        <v>Modular</v>
      </c>
      <c r="D309" s="2" t="str" cm="1">
        <f t="array" aca="1" ref="D309" ca="1">IFERROR(
 INDEX(
  _xlfn._xlws.FILTER($V$1:$AY$1,
   TRANSPOSE(
    CHOOSE({1;2;3;4;5;6;7;8;9;10;11;12;13;14;15;16;17;18;19;20;21;22;23;24;25;26;27;28;29;30},
     COUNTIFS($V$2:$V$200,$G309)&gt;0,
     COUNTIFS($W$2:$W$200,$G309)&gt;0,
     COUNTIFS($X$2:$X$200,$G309)&gt;0,
     COUNTIFS($Y$2:$Y$200,$G309)&gt;0,
     COUNTIFS($Z$2:$Z$200,$G309)&gt;0,
     COUNTIFS($AA$2:$AA$200,$G309)&gt;0,
     COUNTIFS($AB$2:$AB$200,$G309)&gt;0,
     COUNTIFS($AC$2:$AC$200,$G309)&gt;0,
     COUNTIFS($AD$2:$AD$200,$G309)&gt;0,
     COUNTIFS($AE$2:$AE$200,$G309)&gt;0,
     COUNTIFS($AF$2:$AF$200,$G309)&gt;0,
     COUNTIFS($AG$2:$AG$200,$G309)&gt;0,
     COUNTIFS($AH$2:$AH$200,$G309)&gt;0,
     COUNTIFS($AI$2:$AI$200,$G309)&gt;0,
     COUNTIFS($AJ$2:$AJ$200,$G309)&gt;0,
     COUNTIFS($AK$2:$AK$200,$G309)&gt;0,
     COUNTIFS($AL$2:$AL$200,$G309)&gt;0,
     COUNTIFS($AM$2:$AM$200,$G309)&gt;0,
     COUNTIFS($AN$2:$AN$200,$G309)&gt;0,
     COUNTIFS($AO$2:$AO$200,$G309)&gt;0,
     COUNTIFS($AP$2:$AP$200,$G309)&gt;0,
     COUNTIFS($AQ$2:$AQ$200,$G309)&gt;0,
     COUNTIFS($AR$2:$AR$200,$G309)&gt;0,
     COUNTIFS($AS$2:$AS$200,$G309)&gt;0,
     COUNTIFS($AT$2:$AT$200,$G309)&gt;0,
     COUNTIFS($AU$2:$AU$200,$G309)&gt;0,
     COUNTIFS($AV$2:$AV$200,$G309)&gt;0,
     COUNTIFS($AW$2:$AW$200,$G309)&gt;0,
     COUNTIFS($AX$2:$AX$200,$G309)&gt;0,
     COUNTIFS($AY$2:$AY$200,$G309)&gt;0
   )),
  ),
  2
 ),
"")</f>
        <v/>
      </c>
      <c r="E309" s="2" t="str" cm="1">
        <f t="array" aca="1" ref="E309" ca="1">IFERROR(
 INDEX(
  _xlfn._xlws.FILTER($V$1:$AY$1,
   TRANSPOSE(
    CHOOSE({1;2;3;4;5;6;7;8;9;10;11;12;13;14;15;16;17;18;19;20;21;22;23;24;25;26;27;28;29;30},
     COUNTIFS($V$2:$V$200,$G309)&gt;0,
     COUNTIFS($W$2:$W$200,$G309)&gt;0,
     COUNTIFS($X$2:$X$200,$G309)&gt;0,
     COUNTIFS($Y$2:$Y$200,$G309)&gt;0,
     COUNTIFS($Z$2:$Z$200,$G309)&gt;0,
     COUNTIFS($AA$2:$AA$200,$G309)&gt;0,
     COUNTIFS($AB$2:$AB$200,$G309)&gt;0,
     COUNTIFS($AC$2:$AC$200,$G309)&gt;0,
     COUNTIFS($AD$2:$AD$200,$G309)&gt;0,
     COUNTIFS($AE$2:$AE$200,$G309)&gt;0,
     COUNTIFS($AF$2:$AF$200,$G309)&gt;0,
     COUNTIFS($AG$2:$AG$200,$G309)&gt;0,
     COUNTIFS($AH$2:$AH$200,$G309)&gt;0,
     COUNTIFS($AI$2:$AI$200,$G309)&gt;0,
     COUNTIFS($AJ$2:$AJ$200,$G309)&gt;0,
     COUNTIFS($AK$2:$AK$200,$G309)&gt;0,
     COUNTIFS($AL$2:$AL$200,$G309)&gt;0,
     COUNTIFS($AM$2:$AM$200,$G309)&gt;0,
     COUNTIFS($AN$2:$AN$200,$G309)&gt;0,
     COUNTIFS($AO$2:$AO$200,$G309)&gt;0,
     COUNTIFS($AP$2:$AP$200,$G309)&gt;0,
     COUNTIFS($AQ$2:$AQ$200,$G309)&gt;0,
     COUNTIFS($AR$2:$AR$200,$G309)&gt;0,
     COUNTIFS($AS$2:$AS$200,$G309)&gt;0,
     COUNTIFS($AT$2:$AT$200,$G309)&gt;0,
     COUNTIFS($AU$2:$AU$200,$G309)&gt;0,
     COUNTIFS($AV$2:$AV$200,$G309)&gt;0,
     COUNTIFS($AW$2:$AW$200,$G309)&gt;0,
     COUNTIFS($AX$2:$AX$200,$G309)&gt;0,
     COUNTIFS($AY$2:$AY$200,$G309)&gt;0
   )),
  ),
  3
 ),
"")</f>
        <v/>
      </c>
      <c r="F309" s="2" t="str" cm="1">
        <f t="array" aca="1" ref="F309" ca="1">IFERROR(
 INDEX(
  _xlfn._xlws.FILTER($V$1:$AY$1,
   TRANSPOSE(
    CHOOSE({1;2;3;4;5;6;7;8;9;10;11;12;13;14;15;16;17;18;19;20;21;22;23;24;25;26;27;28;29;30},
     COUNTIFS($V$2:$V$200,$G309)&gt;0,
     COUNTIFS($W$2:$W$200,$G309)&gt;0,
     COUNTIFS($X$2:$X$200,$G309)&gt;0,
     COUNTIFS($Y$2:$Y$200,$G309)&gt;0,
     COUNTIFS($Z$2:$Z$200,$G309)&gt;0,
     COUNTIFS($AA$2:$AA$200,$G309)&gt;0,
     COUNTIFS($AB$2:$AB$200,$G309)&gt;0,
     COUNTIFS($AC$2:$AC$200,$G309)&gt;0,
     COUNTIFS($AD$2:$AD$200,$G309)&gt;0,
     COUNTIFS($AE$2:$AE$200,$G309)&gt;0,
     COUNTIFS($AF$2:$AF$200,$G309)&gt;0,
     COUNTIFS($AG$2:$AG$200,$G309)&gt;0,
     COUNTIFS($AH$2:$AH$200,$G309)&gt;0,
     COUNTIFS($AI$2:$AI$200,$G309)&gt;0,
     COUNTIFS($AJ$2:$AJ$200,$G309)&gt;0,
     COUNTIFS($AK$2:$AK$200,$G309)&gt;0,
     COUNTIFS($AL$2:$AL$200,$G309)&gt;0,
     COUNTIFS($AM$2:$AM$200,$G309)&gt;0,
     COUNTIFS($AN$2:$AN$200,$G309)&gt;0,
     COUNTIFS($AO$2:$AO$200,$G309)&gt;0,
     COUNTIFS($AP$2:$AP$200,$G309)&gt;0,
     COUNTIFS($AQ$2:$AQ$200,$G309)&gt;0,
     COUNTIFS($AR$2:$AR$200,$G309)&gt;0,
     COUNTIFS($AS$2:$AS$200,$G309)&gt;0,
     COUNTIFS($AT$2:$AT$200,$G309)&gt;0,
     COUNTIFS($AU$2:$AU$200,$G309)&gt;0,
     COUNTIFS($AV$2:$AV$200,$G309)&gt;0,
     COUNTIFS($AW$2:$AW$200,$G309)&gt;0,
     COUNTIFS($AX$2:$AX$200,$G309)&gt;0,
     COUNTIFS($AY$2:$AY$200,$G309)&gt;0
   )),
  ),
  4
 ),
"")</f>
        <v/>
      </c>
      <c r="G309" t="str">
        <f ca="1"/>
        <v>Ondu Inversion</v>
      </c>
      <c r="EU309" t="str">
        <f ca="1"/>
        <v>Sword of Light and Shadow</v>
      </c>
      <c r="EX309" t="str">
        <f ca="1"/>
        <v>Ondu Inversion</v>
      </c>
    </row>
    <row r="310" spans="1:154" x14ac:dyDescent="0.25">
      <c r="A310" s="2" t="str">
        <f t="shared" ca="1" si="14"/>
        <v>5</v>
      </c>
      <c r="B310" s="2">
        <f t="shared" ca="1" si="15"/>
        <v>1</v>
      </c>
      <c r="C310" s="2" t="str">
        <f ca="1">IFERROR(
 INDEX($V$1:$BL$1,
  MATCH(TRUE,
   CHOOSE({1;2;3;4;5;6;7;8;9;10;11;12;13;14;15;16;17;18;19;20;21;22;23;24;25;26;27;28;29;30;31;32;33;34;35;36;37;38;39;40;41;42;43},
    COUNTIFS($V$2:$V$200,$G310)&gt;0,
    COUNTIFS($W$2:$W$200,$G310)&gt;0,
    COUNTIFS($X$2:$X$200,$G310)&gt;0,
    COUNTIFS($Y$2:$Y$200,$G310)&gt;0,
    COUNTIFS($Z$2:$Z$200,$G310)&gt;0,
    COUNTIFS($AA$2:$AA$200,$G310)&gt;0,
    COUNTIFS($AB$2:$AB$200,$G310)&gt;0,
    COUNTIFS($AC$2:$AC$200,$G310)&gt;0,
    COUNTIFS($AD$2:$AD$200,$G310)&gt;0,
    COUNTIFS($AE$2:$AE$200,$G310)&gt;0,
    COUNTIFS($AF$2:$AF$200,$G310)&gt;0,
    COUNTIFS($AG$2:$AG$200,$G310)&gt;0,
    COUNTIFS($AH$2:$AH$200,$G310)&gt;0,
    COUNTIFS($AI$2:$AI$200,$G310)&gt;0,
    COUNTIFS($AJ$2:$AJ$200,$G310)&gt;0,
    COUNTIFS($AK$2:$AK$200,$G310)&gt;0,
    COUNTIFS($AL$2:$AL$200,$G310)&gt;0,
    COUNTIFS($AM$2:$AM$200,$G310)&gt;0,
    COUNTIFS($AN$2:$AN$200,$G310)&gt;0,
    COUNTIFS($AO$2:$AO$200,$G310)&gt;0,
    COUNTIFS($AP$2:$AP$200,$G310)&gt;0,
    COUNTIFS($AQ$2:$AQ$200,$G310)&gt;0,
    COUNTIFS($AR$2:$AR$200,$G310)&gt;0,
    COUNTIFS($AS$2:$AS$200,$G310)&gt;0,
    COUNTIFS($AT$2:$AT$200,$G310)&gt;0,
    COUNTIFS($AU$2:$AU$200,$G310)&gt;0,
    COUNTIFS($AV$2:$AV$200,$G310)&gt;0,
    COUNTIFS($AW$2:$AW$200,$G310)&gt;0,
    COUNTIFS($AX$2:$AX$200,$G310)&gt;0,
    COUNTIFS($AY$2:$AY$200,$G310)&gt;0,
    COUNTIFS($AZ$2:$AZ$200,$G310)&gt;0,
    COUNTIFS($BA$2:$BA$200,$G310)&gt;0,
    COUNTIFS($BB$2:$BB$200,$G310)&gt;0,
    COUNTIFS($BC$2:$BC$200,$G310)&gt;0,
    COUNTIFS($BD$2:$BD$200,$G310)&gt;0,
    COUNTIFS($BE$2:$BE$200,$G310)&gt;0,
    COUNTIFS($BF$2:$BF$200,$G310)&gt;0,
    COUNTIFS($BG$2:$BG$200,$G310)&gt;0,
    COUNTIFS($BH$2:$BH$200,$G310)&gt;0,
    COUNTIFS($BI$2:$BI$200,$G310)&gt;0,
    COUNTIFS($BJ$2:$BJ$200,$G310)&gt;0,
    COUNTIFS($BK$2:$BK$200,$G310)&gt;0,
    COUNTIFS($BL$2:$BL$200,$G310)&gt;0,
    COUNTIFS($BM$2:$BM$200,$G310)&gt;0,
   ),
  0)
 ),
"")</f>
        <v>Fractius</v>
      </c>
      <c r="D310" s="2" t="str" cm="1">
        <f t="array" aca="1" ref="D310" ca="1">IFERROR(
 INDEX(
  _xlfn._xlws.FILTER($V$1:$AY$1,
   TRANSPOSE(
    CHOOSE({1;2;3;4;5;6;7;8;9;10;11;12;13;14;15;16;17;18;19;20;21;22;23;24;25;26;27;28;29;30},
     COUNTIFS($V$2:$V$200,$G310)&gt;0,
     COUNTIFS($W$2:$W$200,$G310)&gt;0,
     COUNTIFS($X$2:$X$200,$G310)&gt;0,
     COUNTIFS($Y$2:$Y$200,$G310)&gt;0,
     COUNTIFS($Z$2:$Z$200,$G310)&gt;0,
     COUNTIFS($AA$2:$AA$200,$G310)&gt;0,
     COUNTIFS($AB$2:$AB$200,$G310)&gt;0,
     COUNTIFS($AC$2:$AC$200,$G310)&gt;0,
     COUNTIFS($AD$2:$AD$200,$G310)&gt;0,
     COUNTIFS($AE$2:$AE$200,$G310)&gt;0,
     COUNTIFS($AF$2:$AF$200,$G310)&gt;0,
     COUNTIFS($AG$2:$AG$200,$G310)&gt;0,
     COUNTIFS($AH$2:$AH$200,$G310)&gt;0,
     COUNTIFS($AI$2:$AI$200,$G310)&gt;0,
     COUNTIFS($AJ$2:$AJ$200,$G310)&gt;0,
     COUNTIFS($AK$2:$AK$200,$G310)&gt;0,
     COUNTIFS($AL$2:$AL$200,$G310)&gt;0,
     COUNTIFS($AM$2:$AM$200,$G310)&gt;0,
     COUNTIFS($AN$2:$AN$200,$G310)&gt;0,
     COUNTIFS($AO$2:$AO$200,$G310)&gt;0,
     COUNTIFS($AP$2:$AP$200,$G310)&gt;0,
     COUNTIFS($AQ$2:$AQ$200,$G310)&gt;0,
     COUNTIFS($AR$2:$AR$200,$G310)&gt;0,
     COUNTIFS($AS$2:$AS$200,$G310)&gt;0,
     COUNTIFS($AT$2:$AT$200,$G310)&gt;0,
     COUNTIFS($AU$2:$AU$200,$G310)&gt;0,
     COUNTIFS($AV$2:$AV$200,$G310)&gt;0,
     COUNTIFS($AW$2:$AW$200,$G310)&gt;0,
     COUNTIFS($AX$2:$AX$200,$G310)&gt;0,
     COUNTIFS($AY$2:$AY$200,$G310)&gt;0
   )),
  ),
  2
 ),
"")</f>
        <v/>
      </c>
      <c r="E310" s="2" t="str" cm="1">
        <f t="array" aca="1" ref="E310" ca="1">IFERROR(
 INDEX(
  _xlfn._xlws.FILTER($V$1:$AY$1,
   TRANSPOSE(
    CHOOSE({1;2;3;4;5;6;7;8;9;10;11;12;13;14;15;16;17;18;19;20;21;22;23;24;25;26;27;28;29;30},
     COUNTIFS($V$2:$V$200,$G310)&gt;0,
     COUNTIFS($W$2:$W$200,$G310)&gt;0,
     COUNTIFS($X$2:$X$200,$G310)&gt;0,
     COUNTIFS($Y$2:$Y$200,$G310)&gt;0,
     COUNTIFS($Z$2:$Z$200,$G310)&gt;0,
     COUNTIFS($AA$2:$AA$200,$G310)&gt;0,
     COUNTIFS($AB$2:$AB$200,$G310)&gt;0,
     COUNTIFS($AC$2:$AC$200,$G310)&gt;0,
     COUNTIFS($AD$2:$AD$200,$G310)&gt;0,
     COUNTIFS($AE$2:$AE$200,$G310)&gt;0,
     COUNTIFS($AF$2:$AF$200,$G310)&gt;0,
     COUNTIFS($AG$2:$AG$200,$G310)&gt;0,
     COUNTIFS($AH$2:$AH$200,$G310)&gt;0,
     COUNTIFS($AI$2:$AI$200,$G310)&gt;0,
     COUNTIFS($AJ$2:$AJ$200,$G310)&gt;0,
     COUNTIFS($AK$2:$AK$200,$G310)&gt;0,
     COUNTIFS($AL$2:$AL$200,$G310)&gt;0,
     COUNTIFS($AM$2:$AM$200,$G310)&gt;0,
     COUNTIFS($AN$2:$AN$200,$G310)&gt;0,
     COUNTIFS($AO$2:$AO$200,$G310)&gt;0,
     COUNTIFS($AP$2:$AP$200,$G310)&gt;0,
     COUNTIFS($AQ$2:$AQ$200,$G310)&gt;0,
     COUNTIFS($AR$2:$AR$200,$G310)&gt;0,
     COUNTIFS($AS$2:$AS$200,$G310)&gt;0,
     COUNTIFS($AT$2:$AT$200,$G310)&gt;0,
     COUNTIFS($AU$2:$AU$200,$G310)&gt;0,
     COUNTIFS($AV$2:$AV$200,$G310)&gt;0,
     COUNTIFS($AW$2:$AW$200,$G310)&gt;0,
     COUNTIFS($AX$2:$AX$200,$G310)&gt;0,
     COUNTIFS($AY$2:$AY$200,$G310)&gt;0
   )),
  ),
  3
 ),
"")</f>
        <v/>
      </c>
      <c r="F310" s="2" t="str" cm="1">
        <f t="array" aca="1" ref="F310" ca="1">IFERROR(
 INDEX(
  _xlfn._xlws.FILTER($V$1:$AY$1,
   TRANSPOSE(
    CHOOSE({1;2;3;4;5;6;7;8;9;10;11;12;13;14;15;16;17;18;19;20;21;22;23;24;25;26;27;28;29;30},
     COUNTIFS($V$2:$V$200,$G310)&gt;0,
     COUNTIFS($W$2:$W$200,$G310)&gt;0,
     COUNTIFS($X$2:$X$200,$G310)&gt;0,
     COUNTIFS($Y$2:$Y$200,$G310)&gt;0,
     COUNTIFS($Z$2:$Z$200,$G310)&gt;0,
     COUNTIFS($AA$2:$AA$200,$G310)&gt;0,
     COUNTIFS($AB$2:$AB$200,$G310)&gt;0,
     COUNTIFS($AC$2:$AC$200,$G310)&gt;0,
     COUNTIFS($AD$2:$AD$200,$G310)&gt;0,
     COUNTIFS($AE$2:$AE$200,$G310)&gt;0,
     COUNTIFS($AF$2:$AF$200,$G310)&gt;0,
     COUNTIFS($AG$2:$AG$200,$G310)&gt;0,
     COUNTIFS($AH$2:$AH$200,$G310)&gt;0,
     COUNTIFS($AI$2:$AI$200,$G310)&gt;0,
     COUNTIFS($AJ$2:$AJ$200,$G310)&gt;0,
     COUNTIFS($AK$2:$AK$200,$G310)&gt;0,
     COUNTIFS($AL$2:$AL$200,$G310)&gt;0,
     COUNTIFS($AM$2:$AM$200,$G310)&gt;0,
     COUNTIFS($AN$2:$AN$200,$G310)&gt;0,
     COUNTIFS($AO$2:$AO$200,$G310)&gt;0,
     COUNTIFS($AP$2:$AP$200,$G310)&gt;0,
     COUNTIFS($AQ$2:$AQ$200,$G310)&gt;0,
     COUNTIFS($AR$2:$AR$200,$G310)&gt;0,
     COUNTIFS($AS$2:$AS$200,$G310)&gt;0,
     COUNTIFS($AT$2:$AT$200,$G310)&gt;0,
     COUNTIFS($AU$2:$AU$200,$G310)&gt;0,
     COUNTIFS($AV$2:$AV$200,$G310)&gt;0,
     COUNTIFS($AW$2:$AW$200,$G310)&gt;0,
     COUNTIFS($AX$2:$AX$200,$G310)&gt;0,
     COUNTIFS($AY$2:$AY$200,$G310)&gt;0
   )),
  ),
  4
 ),
"")</f>
        <v/>
      </c>
      <c r="G310" t="str">
        <f ca="1"/>
        <v>Opaline Sliver</v>
      </c>
      <c r="EU310" t="str">
        <f ca="1"/>
        <v>Sword of Truth and Justice</v>
      </c>
      <c r="EX310" t="str">
        <f ca="1"/>
        <v>Opaline Sliver</v>
      </c>
    </row>
    <row r="311" spans="1:154" x14ac:dyDescent="0.25">
      <c r="A311" s="2" t="str">
        <f t="shared" ca="1" si="14"/>
        <v>5</v>
      </c>
      <c r="B311" s="2">
        <f t="shared" ca="1" si="15"/>
        <v>1</v>
      </c>
      <c r="C311" s="2" t="str">
        <f ca="1">IFERROR(
 INDEX($V$1:$BL$1,
  MATCH(TRUE,
   CHOOSE({1;2;3;4;5;6;7;8;9;10;11;12;13;14;15;16;17;18;19;20;21;22;23;24;25;26;27;28;29;30;31;32;33;34;35;36;37;38;39;40;41;42;43},
    COUNTIFS($V$2:$V$200,$G311)&gt;0,
    COUNTIFS($W$2:$W$200,$G311)&gt;0,
    COUNTIFS($X$2:$X$200,$G311)&gt;0,
    COUNTIFS($Y$2:$Y$200,$G311)&gt;0,
    COUNTIFS($Z$2:$Z$200,$G311)&gt;0,
    COUNTIFS($AA$2:$AA$200,$G311)&gt;0,
    COUNTIFS($AB$2:$AB$200,$G311)&gt;0,
    COUNTIFS($AC$2:$AC$200,$G311)&gt;0,
    COUNTIFS($AD$2:$AD$200,$G311)&gt;0,
    COUNTIFS($AE$2:$AE$200,$G311)&gt;0,
    COUNTIFS($AF$2:$AF$200,$G311)&gt;0,
    COUNTIFS($AG$2:$AG$200,$G311)&gt;0,
    COUNTIFS($AH$2:$AH$200,$G311)&gt;0,
    COUNTIFS($AI$2:$AI$200,$G311)&gt;0,
    COUNTIFS($AJ$2:$AJ$200,$G311)&gt;0,
    COUNTIFS($AK$2:$AK$200,$G311)&gt;0,
    COUNTIFS($AL$2:$AL$200,$G311)&gt;0,
    COUNTIFS($AM$2:$AM$200,$G311)&gt;0,
    COUNTIFS($AN$2:$AN$200,$G311)&gt;0,
    COUNTIFS($AO$2:$AO$200,$G311)&gt;0,
    COUNTIFS($AP$2:$AP$200,$G311)&gt;0,
    COUNTIFS($AQ$2:$AQ$200,$G311)&gt;0,
    COUNTIFS($AR$2:$AR$200,$G311)&gt;0,
    COUNTIFS($AS$2:$AS$200,$G311)&gt;0,
    COUNTIFS($AT$2:$AT$200,$G311)&gt;0,
    COUNTIFS($AU$2:$AU$200,$G311)&gt;0,
    COUNTIFS($AV$2:$AV$200,$G311)&gt;0,
    COUNTIFS($AW$2:$AW$200,$G311)&gt;0,
    COUNTIFS($AX$2:$AX$200,$G311)&gt;0,
    COUNTIFS($AY$2:$AY$200,$G311)&gt;0,
    COUNTIFS($AZ$2:$AZ$200,$G311)&gt;0,
    COUNTIFS($BA$2:$BA$200,$G311)&gt;0,
    COUNTIFS($BB$2:$BB$200,$G311)&gt;0,
    COUNTIFS($BC$2:$BC$200,$G311)&gt;0,
    COUNTIFS($BD$2:$BD$200,$G311)&gt;0,
    COUNTIFS($BE$2:$BE$200,$G311)&gt;0,
    COUNTIFS($BF$2:$BF$200,$G311)&gt;0,
    COUNTIFS($BG$2:$BG$200,$G311)&gt;0,
    COUNTIFS($BH$2:$BH$200,$G311)&gt;0,
    COUNTIFS($BI$2:$BI$200,$G311)&gt;0,
    COUNTIFS($BJ$2:$BJ$200,$G311)&gt;0,
    COUNTIFS($BK$2:$BK$200,$G311)&gt;0,
    COUNTIFS($BL$2:$BL$200,$G311)&gt;0,
    COUNTIFS($BM$2:$BM$200,$G311)&gt;0,
   ),
  0)
 ),
"")</f>
        <v>Fractius</v>
      </c>
      <c r="D311" s="2" t="str" cm="1">
        <f t="array" aca="1" ref="D311" ca="1">IFERROR(
 INDEX(
  _xlfn._xlws.FILTER($V$1:$AY$1,
   TRANSPOSE(
    CHOOSE({1;2;3;4;5;6;7;8;9;10;11;12;13;14;15;16;17;18;19;20;21;22;23;24;25;26;27;28;29;30},
     COUNTIFS($V$2:$V$200,$G311)&gt;0,
     COUNTIFS($W$2:$W$200,$G311)&gt;0,
     COUNTIFS($X$2:$X$200,$G311)&gt;0,
     COUNTIFS($Y$2:$Y$200,$G311)&gt;0,
     COUNTIFS($Z$2:$Z$200,$G311)&gt;0,
     COUNTIFS($AA$2:$AA$200,$G311)&gt;0,
     COUNTIFS($AB$2:$AB$200,$G311)&gt;0,
     COUNTIFS($AC$2:$AC$200,$G311)&gt;0,
     COUNTIFS($AD$2:$AD$200,$G311)&gt;0,
     COUNTIFS($AE$2:$AE$200,$G311)&gt;0,
     COUNTIFS($AF$2:$AF$200,$G311)&gt;0,
     COUNTIFS($AG$2:$AG$200,$G311)&gt;0,
     COUNTIFS($AH$2:$AH$200,$G311)&gt;0,
     COUNTIFS($AI$2:$AI$200,$G311)&gt;0,
     COUNTIFS($AJ$2:$AJ$200,$G311)&gt;0,
     COUNTIFS($AK$2:$AK$200,$G311)&gt;0,
     COUNTIFS($AL$2:$AL$200,$G311)&gt;0,
     COUNTIFS($AM$2:$AM$200,$G311)&gt;0,
     COUNTIFS($AN$2:$AN$200,$G311)&gt;0,
     COUNTIFS($AO$2:$AO$200,$G311)&gt;0,
     COUNTIFS($AP$2:$AP$200,$G311)&gt;0,
     COUNTIFS($AQ$2:$AQ$200,$G311)&gt;0,
     COUNTIFS($AR$2:$AR$200,$G311)&gt;0,
     COUNTIFS($AS$2:$AS$200,$G311)&gt;0,
     COUNTIFS($AT$2:$AT$200,$G311)&gt;0,
     COUNTIFS($AU$2:$AU$200,$G311)&gt;0,
     COUNTIFS($AV$2:$AV$200,$G311)&gt;0,
     COUNTIFS($AW$2:$AW$200,$G311)&gt;0,
     COUNTIFS($AX$2:$AX$200,$G311)&gt;0,
     COUNTIFS($AY$2:$AY$200,$G311)&gt;0
   )),
  ),
  2
 ),
"")</f>
        <v/>
      </c>
      <c r="E311" s="2" t="str" cm="1">
        <f t="array" aca="1" ref="E311" ca="1">IFERROR(
 INDEX(
  _xlfn._xlws.FILTER($V$1:$AY$1,
   TRANSPOSE(
    CHOOSE({1;2;3;4;5;6;7;8;9;10;11;12;13;14;15;16;17;18;19;20;21;22;23;24;25;26;27;28;29;30},
     COUNTIFS($V$2:$V$200,$G311)&gt;0,
     COUNTIFS($W$2:$W$200,$G311)&gt;0,
     COUNTIFS($X$2:$X$200,$G311)&gt;0,
     COUNTIFS($Y$2:$Y$200,$G311)&gt;0,
     COUNTIFS($Z$2:$Z$200,$G311)&gt;0,
     COUNTIFS($AA$2:$AA$200,$G311)&gt;0,
     COUNTIFS($AB$2:$AB$200,$G311)&gt;0,
     COUNTIFS($AC$2:$AC$200,$G311)&gt;0,
     COUNTIFS($AD$2:$AD$200,$G311)&gt;0,
     COUNTIFS($AE$2:$AE$200,$G311)&gt;0,
     COUNTIFS($AF$2:$AF$200,$G311)&gt;0,
     COUNTIFS($AG$2:$AG$200,$G311)&gt;0,
     COUNTIFS($AH$2:$AH$200,$G311)&gt;0,
     COUNTIFS($AI$2:$AI$200,$G311)&gt;0,
     COUNTIFS($AJ$2:$AJ$200,$G311)&gt;0,
     COUNTIFS($AK$2:$AK$200,$G311)&gt;0,
     COUNTIFS($AL$2:$AL$200,$G311)&gt;0,
     COUNTIFS($AM$2:$AM$200,$G311)&gt;0,
     COUNTIFS($AN$2:$AN$200,$G311)&gt;0,
     COUNTIFS($AO$2:$AO$200,$G311)&gt;0,
     COUNTIFS($AP$2:$AP$200,$G311)&gt;0,
     COUNTIFS($AQ$2:$AQ$200,$G311)&gt;0,
     COUNTIFS($AR$2:$AR$200,$G311)&gt;0,
     COUNTIFS($AS$2:$AS$200,$G311)&gt;0,
     COUNTIFS($AT$2:$AT$200,$G311)&gt;0,
     COUNTIFS($AU$2:$AU$200,$G311)&gt;0,
     COUNTIFS($AV$2:$AV$200,$G311)&gt;0,
     COUNTIFS($AW$2:$AW$200,$G311)&gt;0,
     COUNTIFS($AX$2:$AX$200,$G311)&gt;0,
     COUNTIFS($AY$2:$AY$200,$G311)&gt;0
   )),
  ),
  3
 ),
"")</f>
        <v/>
      </c>
      <c r="F311" s="2" t="str" cm="1">
        <f t="array" aca="1" ref="F311" ca="1">IFERROR(
 INDEX(
  _xlfn._xlws.FILTER($V$1:$AY$1,
   TRANSPOSE(
    CHOOSE({1;2;3;4;5;6;7;8;9;10;11;12;13;14;15;16;17;18;19;20;21;22;23;24;25;26;27;28;29;30},
     COUNTIFS($V$2:$V$200,$G311)&gt;0,
     COUNTIFS($W$2:$W$200,$G311)&gt;0,
     COUNTIFS($X$2:$X$200,$G311)&gt;0,
     COUNTIFS($Y$2:$Y$200,$G311)&gt;0,
     COUNTIFS($Z$2:$Z$200,$G311)&gt;0,
     COUNTIFS($AA$2:$AA$200,$G311)&gt;0,
     COUNTIFS($AB$2:$AB$200,$G311)&gt;0,
     COUNTIFS($AC$2:$AC$200,$G311)&gt;0,
     COUNTIFS($AD$2:$AD$200,$G311)&gt;0,
     COUNTIFS($AE$2:$AE$200,$G311)&gt;0,
     COUNTIFS($AF$2:$AF$200,$G311)&gt;0,
     COUNTIFS($AG$2:$AG$200,$G311)&gt;0,
     COUNTIFS($AH$2:$AH$200,$G311)&gt;0,
     COUNTIFS($AI$2:$AI$200,$G311)&gt;0,
     COUNTIFS($AJ$2:$AJ$200,$G311)&gt;0,
     COUNTIFS($AK$2:$AK$200,$G311)&gt;0,
     COUNTIFS($AL$2:$AL$200,$G311)&gt;0,
     COUNTIFS($AM$2:$AM$200,$G311)&gt;0,
     COUNTIFS($AN$2:$AN$200,$G311)&gt;0,
     COUNTIFS($AO$2:$AO$200,$G311)&gt;0,
     COUNTIFS($AP$2:$AP$200,$G311)&gt;0,
     COUNTIFS($AQ$2:$AQ$200,$G311)&gt;0,
     COUNTIFS($AR$2:$AR$200,$G311)&gt;0,
     COUNTIFS($AS$2:$AS$200,$G311)&gt;0,
     COUNTIFS($AT$2:$AT$200,$G311)&gt;0,
     COUNTIFS($AU$2:$AU$200,$G311)&gt;0,
     COUNTIFS($AV$2:$AV$200,$G311)&gt;0,
     COUNTIFS($AW$2:$AW$200,$G311)&gt;0,
     COUNTIFS($AX$2:$AX$200,$G311)&gt;0,
     COUNTIFS($AY$2:$AY$200,$G311)&gt;0
   )),
  ),
  4
 ),
"")</f>
        <v/>
      </c>
      <c r="G311" t="str">
        <f ca="1"/>
        <v>Overgrown Tomb</v>
      </c>
      <c r="EU311" t="str">
        <f ca="1"/>
        <v>Sword of Wealth and Power</v>
      </c>
      <c r="EX311" t="str">
        <f ca="1"/>
        <v>Overgrown Tomb</v>
      </c>
    </row>
    <row r="312" spans="1:154" x14ac:dyDescent="0.25">
      <c r="A312" s="2" t="str">
        <f t="shared" ca="1" si="14"/>
        <v>5</v>
      </c>
      <c r="B312" s="2">
        <f t="shared" ca="1" si="15"/>
        <v>1</v>
      </c>
      <c r="C312" s="2" t="str">
        <f ca="1">IFERROR(
 INDEX($V$1:$BL$1,
  MATCH(TRUE,
   CHOOSE({1;2;3;4;5;6;7;8;9;10;11;12;13;14;15;16;17;18;19;20;21;22;23;24;25;26;27;28;29;30;31;32;33;34;35;36;37;38;39;40;41;42;43},
    COUNTIFS($V$2:$V$200,$G312)&gt;0,
    COUNTIFS($W$2:$W$200,$G312)&gt;0,
    COUNTIFS($X$2:$X$200,$G312)&gt;0,
    COUNTIFS($Y$2:$Y$200,$G312)&gt;0,
    COUNTIFS($Z$2:$Z$200,$G312)&gt;0,
    COUNTIFS($AA$2:$AA$200,$G312)&gt;0,
    COUNTIFS($AB$2:$AB$200,$G312)&gt;0,
    COUNTIFS($AC$2:$AC$200,$G312)&gt;0,
    COUNTIFS($AD$2:$AD$200,$G312)&gt;0,
    COUNTIFS($AE$2:$AE$200,$G312)&gt;0,
    COUNTIFS($AF$2:$AF$200,$G312)&gt;0,
    COUNTIFS($AG$2:$AG$200,$G312)&gt;0,
    COUNTIFS($AH$2:$AH$200,$G312)&gt;0,
    COUNTIFS($AI$2:$AI$200,$G312)&gt;0,
    COUNTIFS($AJ$2:$AJ$200,$G312)&gt;0,
    COUNTIFS($AK$2:$AK$200,$G312)&gt;0,
    COUNTIFS($AL$2:$AL$200,$G312)&gt;0,
    COUNTIFS($AM$2:$AM$200,$G312)&gt;0,
    COUNTIFS($AN$2:$AN$200,$G312)&gt;0,
    COUNTIFS($AO$2:$AO$200,$G312)&gt;0,
    COUNTIFS($AP$2:$AP$200,$G312)&gt;0,
    COUNTIFS($AQ$2:$AQ$200,$G312)&gt;0,
    COUNTIFS($AR$2:$AR$200,$G312)&gt;0,
    COUNTIFS($AS$2:$AS$200,$G312)&gt;0,
    COUNTIFS($AT$2:$AT$200,$G312)&gt;0,
    COUNTIFS($AU$2:$AU$200,$G312)&gt;0,
    COUNTIFS($AV$2:$AV$200,$G312)&gt;0,
    COUNTIFS($AW$2:$AW$200,$G312)&gt;0,
    COUNTIFS($AX$2:$AX$200,$G312)&gt;0,
    COUNTIFS($AY$2:$AY$200,$G312)&gt;0,
    COUNTIFS($AZ$2:$AZ$200,$G312)&gt;0,
    COUNTIFS($BA$2:$BA$200,$G312)&gt;0,
    COUNTIFS($BB$2:$BB$200,$G312)&gt;0,
    COUNTIFS($BC$2:$BC$200,$G312)&gt;0,
    COUNTIFS($BD$2:$BD$200,$G312)&gt;0,
    COUNTIFS($BE$2:$BE$200,$G312)&gt;0,
    COUNTIFS($BF$2:$BF$200,$G312)&gt;0,
    COUNTIFS($BG$2:$BG$200,$G312)&gt;0,
    COUNTIFS($BH$2:$BH$200,$G312)&gt;0,
    COUNTIFS($BI$2:$BI$200,$G312)&gt;0,
    COUNTIFS($BJ$2:$BJ$200,$G312)&gt;0,
    COUNTIFS($BK$2:$BK$200,$G312)&gt;0,
    COUNTIFS($BL$2:$BL$200,$G312)&gt;0,
    COUNTIFS($BM$2:$BM$200,$G312)&gt;0,
   ),
  0)
 ),
"")</f>
        <v>Zuko</v>
      </c>
      <c r="D312" s="2" t="str" cm="1">
        <f t="array" aca="1" ref="D312" ca="1">IFERROR(
 INDEX(
  _xlfn._xlws.FILTER($V$1:$AY$1,
   TRANSPOSE(
    CHOOSE({1;2;3;4;5;6;7;8;9;10;11;12;13;14;15;16;17;18;19;20;21;22;23;24;25;26;27;28;29;30},
     COUNTIFS($V$2:$V$200,$G312)&gt;0,
     COUNTIFS($W$2:$W$200,$G312)&gt;0,
     COUNTIFS($X$2:$X$200,$G312)&gt;0,
     COUNTIFS($Y$2:$Y$200,$G312)&gt;0,
     COUNTIFS($Z$2:$Z$200,$G312)&gt;0,
     COUNTIFS($AA$2:$AA$200,$G312)&gt;0,
     COUNTIFS($AB$2:$AB$200,$G312)&gt;0,
     COUNTIFS($AC$2:$AC$200,$G312)&gt;0,
     COUNTIFS($AD$2:$AD$200,$G312)&gt;0,
     COUNTIFS($AE$2:$AE$200,$G312)&gt;0,
     COUNTIFS($AF$2:$AF$200,$G312)&gt;0,
     COUNTIFS($AG$2:$AG$200,$G312)&gt;0,
     COUNTIFS($AH$2:$AH$200,$G312)&gt;0,
     COUNTIFS($AI$2:$AI$200,$G312)&gt;0,
     COUNTIFS($AJ$2:$AJ$200,$G312)&gt;0,
     COUNTIFS($AK$2:$AK$200,$G312)&gt;0,
     COUNTIFS($AL$2:$AL$200,$G312)&gt;0,
     COUNTIFS($AM$2:$AM$200,$G312)&gt;0,
     COUNTIFS($AN$2:$AN$200,$G312)&gt;0,
     COUNTIFS($AO$2:$AO$200,$G312)&gt;0,
     COUNTIFS($AP$2:$AP$200,$G312)&gt;0,
     COUNTIFS($AQ$2:$AQ$200,$G312)&gt;0,
     COUNTIFS($AR$2:$AR$200,$G312)&gt;0,
     COUNTIFS($AS$2:$AS$200,$G312)&gt;0,
     COUNTIFS($AT$2:$AT$200,$G312)&gt;0,
     COUNTIFS($AU$2:$AU$200,$G312)&gt;0,
     COUNTIFS($AV$2:$AV$200,$G312)&gt;0,
     COUNTIFS($AW$2:$AW$200,$G312)&gt;0,
     COUNTIFS($AX$2:$AX$200,$G312)&gt;0,
     COUNTIFS($AY$2:$AY$200,$G312)&gt;0
   )),
  ),
  2
 ),
"")</f>
        <v/>
      </c>
      <c r="E312" s="2" t="str" cm="1">
        <f t="array" aca="1" ref="E312" ca="1">IFERROR(
 INDEX(
  _xlfn._xlws.FILTER($V$1:$AY$1,
   TRANSPOSE(
    CHOOSE({1;2;3;4;5;6;7;8;9;10;11;12;13;14;15;16;17;18;19;20;21;22;23;24;25;26;27;28;29;30},
     COUNTIFS($V$2:$V$200,$G312)&gt;0,
     COUNTIFS($W$2:$W$200,$G312)&gt;0,
     COUNTIFS($X$2:$X$200,$G312)&gt;0,
     COUNTIFS($Y$2:$Y$200,$G312)&gt;0,
     COUNTIFS($Z$2:$Z$200,$G312)&gt;0,
     COUNTIFS($AA$2:$AA$200,$G312)&gt;0,
     COUNTIFS($AB$2:$AB$200,$G312)&gt;0,
     COUNTIFS($AC$2:$AC$200,$G312)&gt;0,
     COUNTIFS($AD$2:$AD$200,$G312)&gt;0,
     COUNTIFS($AE$2:$AE$200,$G312)&gt;0,
     COUNTIFS($AF$2:$AF$200,$G312)&gt;0,
     COUNTIFS($AG$2:$AG$200,$G312)&gt;0,
     COUNTIFS($AH$2:$AH$200,$G312)&gt;0,
     COUNTIFS($AI$2:$AI$200,$G312)&gt;0,
     COUNTIFS($AJ$2:$AJ$200,$G312)&gt;0,
     COUNTIFS($AK$2:$AK$200,$G312)&gt;0,
     COUNTIFS($AL$2:$AL$200,$G312)&gt;0,
     COUNTIFS($AM$2:$AM$200,$G312)&gt;0,
     COUNTIFS($AN$2:$AN$200,$G312)&gt;0,
     COUNTIFS($AO$2:$AO$200,$G312)&gt;0,
     COUNTIFS($AP$2:$AP$200,$G312)&gt;0,
     COUNTIFS($AQ$2:$AQ$200,$G312)&gt;0,
     COUNTIFS($AR$2:$AR$200,$G312)&gt;0,
     COUNTIFS($AS$2:$AS$200,$G312)&gt;0,
     COUNTIFS($AT$2:$AT$200,$G312)&gt;0,
     COUNTIFS($AU$2:$AU$200,$G312)&gt;0,
     COUNTIFS($AV$2:$AV$200,$G312)&gt;0,
     COUNTIFS($AW$2:$AW$200,$G312)&gt;0,
     COUNTIFS($AX$2:$AX$200,$G312)&gt;0,
     COUNTIFS($AY$2:$AY$200,$G312)&gt;0
   )),
  ),
  3
 ),
"")</f>
        <v/>
      </c>
      <c r="F312" s="2" t="str" cm="1">
        <f t="array" aca="1" ref="F312" ca="1">IFERROR(
 INDEX(
  _xlfn._xlws.FILTER($V$1:$AY$1,
   TRANSPOSE(
    CHOOSE({1;2;3;4;5;6;7;8;9;10;11;12;13;14;15;16;17;18;19;20;21;22;23;24;25;26;27;28;29;30},
     COUNTIFS($V$2:$V$200,$G312)&gt;0,
     COUNTIFS($W$2:$W$200,$G312)&gt;0,
     COUNTIFS($X$2:$X$200,$G312)&gt;0,
     COUNTIFS($Y$2:$Y$200,$G312)&gt;0,
     COUNTIFS($Z$2:$Z$200,$G312)&gt;0,
     COUNTIFS($AA$2:$AA$200,$G312)&gt;0,
     COUNTIFS($AB$2:$AB$200,$G312)&gt;0,
     COUNTIFS($AC$2:$AC$200,$G312)&gt;0,
     COUNTIFS($AD$2:$AD$200,$G312)&gt;0,
     COUNTIFS($AE$2:$AE$200,$G312)&gt;0,
     COUNTIFS($AF$2:$AF$200,$G312)&gt;0,
     COUNTIFS($AG$2:$AG$200,$G312)&gt;0,
     COUNTIFS($AH$2:$AH$200,$G312)&gt;0,
     COUNTIFS($AI$2:$AI$200,$G312)&gt;0,
     COUNTIFS($AJ$2:$AJ$200,$G312)&gt;0,
     COUNTIFS($AK$2:$AK$200,$G312)&gt;0,
     COUNTIFS($AL$2:$AL$200,$G312)&gt;0,
     COUNTIFS($AM$2:$AM$200,$G312)&gt;0,
     COUNTIFS($AN$2:$AN$200,$G312)&gt;0,
     COUNTIFS($AO$2:$AO$200,$G312)&gt;0,
     COUNTIFS($AP$2:$AP$200,$G312)&gt;0,
     COUNTIFS($AQ$2:$AQ$200,$G312)&gt;0,
     COUNTIFS($AR$2:$AR$200,$G312)&gt;0,
     COUNTIFS($AS$2:$AS$200,$G312)&gt;0,
     COUNTIFS($AT$2:$AT$200,$G312)&gt;0,
     COUNTIFS($AU$2:$AU$200,$G312)&gt;0,
     COUNTIFS($AV$2:$AV$200,$G312)&gt;0,
     COUNTIFS($AW$2:$AW$200,$G312)&gt;0,
     COUNTIFS($AX$2:$AX$200,$G312)&gt;0,
     COUNTIFS($AY$2:$AY$200,$G312)&gt;0
   )),
  ),
  4
 ),
"")</f>
        <v/>
      </c>
      <c r="G312" t="str">
        <f ca="1"/>
        <v>Party Thrasher</v>
      </c>
      <c r="EU312" t="str">
        <f ca="1"/>
        <v>Synapse Sliver</v>
      </c>
      <c r="EX312" t="str">
        <f ca="1"/>
        <v>Party Thrasher</v>
      </c>
    </row>
    <row r="313" spans="1:154" x14ac:dyDescent="0.25">
      <c r="A313" s="2" t="str">
        <f t="shared" ca="1" si="14"/>
        <v>4</v>
      </c>
      <c r="B313" s="2">
        <f t="shared" ca="1" si="15"/>
        <v>3</v>
      </c>
      <c r="C313" s="2" t="str">
        <f ca="1">IFERROR(
 INDEX($V$1:$BL$1,
  MATCH(TRUE,
   CHOOSE({1;2;3;4;5;6;7;8;9;10;11;12;13;14;15;16;17;18;19;20;21;22;23;24;25;26;27;28;29;30;31;32;33;34;35;36;37;38;39;40;41;42;43},
    COUNTIFS($V$2:$V$200,$G313)&gt;0,
    COUNTIFS($W$2:$W$200,$G313)&gt;0,
    COUNTIFS($X$2:$X$200,$G313)&gt;0,
    COUNTIFS($Y$2:$Y$200,$G313)&gt;0,
    COUNTIFS($Z$2:$Z$200,$G313)&gt;0,
    COUNTIFS($AA$2:$AA$200,$G313)&gt;0,
    COUNTIFS($AB$2:$AB$200,$G313)&gt;0,
    COUNTIFS($AC$2:$AC$200,$G313)&gt;0,
    COUNTIFS($AD$2:$AD$200,$G313)&gt;0,
    COUNTIFS($AE$2:$AE$200,$G313)&gt;0,
    COUNTIFS($AF$2:$AF$200,$G313)&gt;0,
    COUNTIFS($AG$2:$AG$200,$G313)&gt;0,
    COUNTIFS($AH$2:$AH$200,$G313)&gt;0,
    COUNTIFS($AI$2:$AI$200,$G313)&gt;0,
    COUNTIFS($AJ$2:$AJ$200,$G313)&gt;0,
    COUNTIFS($AK$2:$AK$200,$G313)&gt;0,
    COUNTIFS($AL$2:$AL$200,$G313)&gt;0,
    COUNTIFS($AM$2:$AM$200,$G313)&gt;0,
    COUNTIFS($AN$2:$AN$200,$G313)&gt;0,
    COUNTIFS($AO$2:$AO$200,$G313)&gt;0,
    COUNTIFS($AP$2:$AP$200,$G313)&gt;0,
    COUNTIFS($AQ$2:$AQ$200,$G313)&gt;0,
    COUNTIFS($AR$2:$AR$200,$G313)&gt;0,
    COUNTIFS($AS$2:$AS$200,$G313)&gt;0,
    COUNTIFS($AT$2:$AT$200,$G313)&gt;0,
    COUNTIFS($AU$2:$AU$200,$G313)&gt;0,
    COUNTIFS($AV$2:$AV$200,$G313)&gt;0,
    COUNTIFS($AW$2:$AW$200,$G313)&gt;0,
    COUNTIFS($AX$2:$AX$200,$G313)&gt;0,
    COUNTIFS($AY$2:$AY$200,$G313)&gt;0,
    COUNTIFS($AZ$2:$AZ$200,$G313)&gt;0,
    COUNTIFS($BA$2:$BA$200,$G313)&gt;0,
    COUNTIFS($BB$2:$BB$200,$G313)&gt;0,
    COUNTIFS($BC$2:$BC$200,$G313)&gt;0,
    COUNTIFS($BD$2:$BD$200,$G313)&gt;0,
    COUNTIFS($BE$2:$BE$200,$G313)&gt;0,
    COUNTIFS($BF$2:$BF$200,$G313)&gt;0,
    COUNTIFS($BG$2:$BG$200,$G313)&gt;0,
    COUNTIFS($BH$2:$BH$200,$G313)&gt;0,
    COUNTIFS($BI$2:$BI$200,$G313)&gt;0,
    COUNTIFS($BJ$2:$BJ$200,$G313)&gt;0,
    COUNTIFS($BK$2:$BK$200,$G313)&gt;0,
    COUNTIFS($BL$2:$BL$200,$G313)&gt;0,
    COUNTIFS($BM$2:$BM$200,$G313)&gt;0,
   ),
  0)
 ),
"")</f>
        <v>Baylen</v>
      </c>
      <c r="D313" s="2" t="str" cm="1">
        <f t="array" aca="1" ref="D313" ca="1">IFERROR(
 INDEX(
  _xlfn._xlws.FILTER($V$1:$AY$1,
   TRANSPOSE(
    CHOOSE({1;2;3;4;5;6;7;8;9;10;11;12;13;14;15;16;17;18;19;20;21;22;23;24;25;26;27;28;29;30},
     COUNTIFS($V$2:$V$200,$G313)&gt;0,
     COUNTIFS($W$2:$W$200,$G313)&gt;0,
     COUNTIFS($X$2:$X$200,$G313)&gt;0,
     COUNTIFS($Y$2:$Y$200,$G313)&gt;0,
     COUNTIFS($Z$2:$Z$200,$G313)&gt;0,
     COUNTIFS($AA$2:$AA$200,$G313)&gt;0,
     COUNTIFS($AB$2:$AB$200,$G313)&gt;0,
     COUNTIFS($AC$2:$AC$200,$G313)&gt;0,
     COUNTIFS($AD$2:$AD$200,$G313)&gt;0,
     COUNTIFS($AE$2:$AE$200,$G313)&gt;0,
     COUNTIFS($AF$2:$AF$200,$G313)&gt;0,
     COUNTIFS($AG$2:$AG$200,$G313)&gt;0,
     COUNTIFS($AH$2:$AH$200,$G313)&gt;0,
     COUNTIFS($AI$2:$AI$200,$G313)&gt;0,
     COUNTIFS($AJ$2:$AJ$200,$G313)&gt;0,
     COUNTIFS($AK$2:$AK$200,$G313)&gt;0,
     COUNTIFS($AL$2:$AL$200,$G313)&gt;0,
     COUNTIFS($AM$2:$AM$200,$G313)&gt;0,
     COUNTIFS($AN$2:$AN$200,$G313)&gt;0,
     COUNTIFS($AO$2:$AO$200,$G313)&gt;0,
     COUNTIFS($AP$2:$AP$200,$G313)&gt;0,
     COUNTIFS($AQ$2:$AQ$200,$G313)&gt;0,
     COUNTIFS($AR$2:$AR$200,$G313)&gt;0,
     COUNTIFS($AS$2:$AS$200,$G313)&gt;0,
     COUNTIFS($AT$2:$AT$200,$G313)&gt;0,
     COUNTIFS($AU$2:$AU$200,$G313)&gt;0,
     COUNTIFS($AV$2:$AV$200,$G313)&gt;0,
     COUNTIFS($AW$2:$AW$200,$G313)&gt;0,
     COUNTIFS($AX$2:$AX$200,$G313)&gt;0,
     COUNTIFS($AY$2:$AY$200,$G313)&gt;0
   )),
  ),
  2
 ),
"")</f>
        <v/>
      </c>
      <c r="E313" s="2" t="str" cm="1">
        <f t="array" aca="1" ref="E313" ca="1">IFERROR(
 INDEX(
  _xlfn._xlws.FILTER($V$1:$AY$1,
   TRANSPOSE(
    CHOOSE({1;2;3;4;5;6;7;8;9;10;11;12;13;14;15;16;17;18;19;20;21;22;23;24;25;26;27;28;29;30},
     COUNTIFS($V$2:$V$200,$G313)&gt;0,
     COUNTIFS($W$2:$W$200,$G313)&gt;0,
     COUNTIFS($X$2:$X$200,$G313)&gt;0,
     COUNTIFS($Y$2:$Y$200,$G313)&gt;0,
     COUNTIFS($Z$2:$Z$200,$G313)&gt;0,
     COUNTIFS($AA$2:$AA$200,$G313)&gt;0,
     COUNTIFS($AB$2:$AB$200,$G313)&gt;0,
     COUNTIFS($AC$2:$AC$200,$G313)&gt;0,
     COUNTIFS($AD$2:$AD$200,$G313)&gt;0,
     COUNTIFS($AE$2:$AE$200,$G313)&gt;0,
     COUNTIFS($AF$2:$AF$200,$G313)&gt;0,
     COUNTIFS($AG$2:$AG$200,$G313)&gt;0,
     COUNTIFS($AH$2:$AH$200,$G313)&gt;0,
     COUNTIFS($AI$2:$AI$200,$G313)&gt;0,
     COUNTIFS($AJ$2:$AJ$200,$G313)&gt;0,
     COUNTIFS($AK$2:$AK$200,$G313)&gt;0,
     COUNTIFS($AL$2:$AL$200,$G313)&gt;0,
     COUNTIFS($AM$2:$AM$200,$G313)&gt;0,
     COUNTIFS($AN$2:$AN$200,$G313)&gt;0,
     COUNTIFS($AO$2:$AO$200,$G313)&gt;0,
     COUNTIFS($AP$2:$AP$200,$G313)&gt;0,
     COUNTIFS($AQ$2:$AQ$200,$G313)&gt;0,
     COUNTIFS($AR$2:$AR$200,$G313)&gt;0,
     COUNTIFS($AS$2:$AS$200,$G313)&gt;0,
     COUNTIFS($AT$2:$AT$200,$G313)&gt;0,
     COUNTIFS($AU$2:$AU$200,$G313)&gt;0,
     COUNTIFS($AV$2:$AV$200,$G313)&gt;0,
     COUNTIFS($AW$2:$AW$200,$G313)&gt;0,
     COUNTIFS($AX$2:$AX$200,$G313)&gt;0,
     COUNTIFS($AY$2:$AY$200,$G313)&gt;0
   )),
  ),
  3
 ),
"")</f>
        <v/>
      </c>
      <c r="F313" s="2" t="str" cm="1">
        <f t="array" aca="1" ref="F313" ca="1">IFERROR(
 INDEX(
  _xlfn._xlws.FILTER($V$1:$AY$1,
   TRANSPOSE(
    CHOOSE({1;2;3;4;5;6;7;8;9;10;11;12;13;14;15;16;17;18;19;20;21;22;23;24;25;26;27;28;29;30},
     COUNTIFS($V$2:$V$200,$G313)&gt;0,
     COUNTIFS($W$2:$W$200,$G313)&gt;0,
     COUNTIFS($X$2:$X$200,$G313)&gt;0,
     COUNTIFS($Y$2:$Y$200,$G313)&gt;0,
     COUNTIFS($Z$2:$Z$200,$G313)&gt;0,
     COUNTIFS($AA$2:$AA$200,$G313)&gt;0,
     COUNTIFS($AB$2:$AB$200,$G313)&gt;0,
     COUNTIFS($AC$2:$AC$200,$G313)&gt;0,
     COUNTIFS($AD$2:$AD$200,$G313)&gt;0,
     COUNTIFS($AE$2:$AE$200,$G313)&gt;0,
     COUNTIFS($AF$2:$AF$200,$G313)&gt;0,
     COUNTIFS($AG$2:$AG$200,$G313)&gt;0,
     COUNTIFS($AH$2:$AH$200,$G313)&gt;0,
     COUNTIFS($AI$2:$AI$200,$G313)&gt;0,
     COUNTIFS($AJ$2:$AJ$200,$G313)&gt;0,
     COUNTIFS($AK$2:$AK$200,$G313)&gt;0,
     COUNTIFS($AL$2:$AL$200,$G313)&gt;0,
     COUNTIFS($AM$2:$AM$200,$G313)&gt;0,
     COUNTIFS($AN$2:$AN$200,$G313)&gt;0,
     COUNTIFS($AO$2:$AO$200,$G313)&gt;0,
     COUNTIFS($AP$2:$AP$200,$G313)&gt;0,
     COUNTIFS($AQ$2:$AQ$200,$G313)&gt;0,
     COUNTIFS($AR$2:$AR$200,$G313)&gt;0,
     COUNTIFS($AS$2:$AS$200,$G313)&gt;0,
     COUNTIFS($AT$2:$AT$200,$G313)&gt;0,
     COUNTIFS($AU$2:$AU$200,$G313)&gt;0,
     COUNTIFS($AV$2:$AV$200,$G313)&gt;0,
     COUNTIFS($AW$2:$AW$200,$G313)&gt;0,
     COUNTIFS($AX$2:$AX$200,$G313)&gt;0,
     COUNTIFS($AY$2:$AY$200,$G313)&gt;0
   )),
  ),
  4
 ),
"")</f>
        <v/>
      </c>
      <c r="G313" t="str">
        <f ca="1"/>
        <v>Path to Exile</v>
      </c>
      <c r="EU313" t="str">
        <f ca="1"/>
        <v>Syphon Sliver</v>
      </c>
      <c r="EX313" t="str">
        <f ca="1"/>
        <v>Path to Exile</v>
      </c>
    </row>
    <row r="314" spans="1:154" x14ac:dyDescent="0.25">
      <c r="A314" s="2" t="str">
        <f t="shared" ca="1" si="14"/>
        <v>5</v>
      </c>
      <c r="B314" s="2">
        <f t="shared" ca="1" si="15"/>
        <v>1</v>
      </c>
      <c r="C314" s="2" t="str">
        <f ca="1">IFERROR(
 INDEX($V$1:$BL$1,
  MATCH(TRUE,
   CHOOSE({1;2;3;4;5;6;7;8;9;10;11;12;13;14;15;16;17;18;19;20;21;22;23;24;25;26;27;28;29;30;31;32;33;34;35;36;37;38;39;40;41;42;43},
    COUNTIFS($V$2:$V$200,$G314)&gt;0,
    COUNTIFS($W$2:$W$200,$G314)&gt;0,
    COUNTIFS($X$2:$X$200,$G314)&gt;0,
    COUNTIFS($Y$2:$Y$200,$G314)&gt;0,
    COUNTIFS($Z$2:$Z$200,$G314)&gt;0,
    COUNTIFS($AA$2:$AA$200,$G314)&gt;0,
    COUNTIFS($AB$2:$AB$200,$G314)&gt;0,
    COUNTIFS($AC$2:$AC$200,$G314)&gt;0,
    COUNTIFS($AD$2:$AD$200,$G314)&gt;0,
    COUNTIFS($AE$2:$AE$200,$G314)&gt;0,
    COUNTIFS($AF$2:$AF$200,$G314)&gt;0,
    COUNTIFS($AG$2:$AG$200,$G314)&gt;0,
    COUNTIFS($AH$2:$AH$200,$G314)&gt;0,
    COUNTIFS($AI$2:$AI$200,$G314)&gt;0,
    COUNTIFS($AJ$2:$AJ$200,$G314)&gt;0,
    COUNTIFS($AK$2:$AK$200,$G314)&gt;0,
    COUNTIFS($AL$2:$AL$200,$G314)&gt;0,
    COUNTIFS($AM$2:$AM$200,$G314)&gt;0,
    COUNTIFS($AN$2:$AN$200,$G314)&gt;0,
    COUNTIFS($AO$2:$AO$200,$G314)&gt;0,
    COUNTIFS($AP$2:$AP$200,$G314)&gt;0,
    COUNTIFS($AQ$2:$AQ$200,$G314)&gt;0,
    COUNTIFS($AR$2:$AR$200,$G314)&gt;0,
    COUNTIFS($AS$2:$AS$200,$G314)&gt;0,
    COUNTIFS($AT$2:$AT$200,$G314)&gt;0,
    COUNTIFS($AU$2:$AU$200,$G314)&gt;0,
    COUNTIFS($AV$2:$AV$200,$G314)&gt;0,
    COUNTIFS($AW$2:$AW$200,$G314)&gt;0,
    COUNTIFS($AX$2:$AX$200,$G314)&gt;0,
    COUNTIFS($AY$2:$AY$200,$G314)&gt;0,
    COUNTIFS($AZ$2:$AZ$200,$G314)&gt;0,
    COUNTIFS($BA$2:$BA$200,$G314)&gt;0,
    COUNTIFS($BB$2:$BB$200,$G314)&gt;0,
    COUNTIFS($BC$2:$BC$200,$G314)&gt;0,
    COUNTIFS($BD$2:$BD$200,$G314)&gt;0,
    COUNTIFS($BE$2:$BE$200,$G314)&gt;0,
    COUNTIFS($BF$2:$BF$200,$G314)&gt;0,
    COUNTIFS($BG$2:$BG$200,$G314)&gt;0,
    COUNTIFS($BH$2:$BH$200,$G314)&gt;0,
    COUNTIFS($BI$2:$BI$200,$G314)&gt;0,
    COUNTIFS($BJ$2:$BJ$200,$G314)&gt;0,
    COUNTIFS($BK$2:$BK$200,$G314)&gt;0,
    COUNTIFS($BL$2:$BL$200,$G314)&gt;0,
    COUNTIFS($BM$2:$BM$200,$G314)&gt;0,
   ),
  0)
 ),
"")</f>
        <v>4cRash</v>
      </c>
      <c r="D314" s="2" t="str" cm="1">
        <f t="array" aca="1" ref="D314" ca="1">IFERROR(
 INDEX(
  _xlfn._xlws.FILTER($V$1:$AY$1,
   TRANSPOSE(
    CHOOSE({1;2;3;4;5;6;7;8;9;10;11;12;13;14;15;16;17;18;19;20;21;22;23;24;25;26;27;28;29;30},
     COUNTIFS($V$2:$V$200,$G314)&gt;0,
     COUNTIFS($W$2:$W$200,$G314)&gt;0,
     COUNTIFS($X$2:$X$200,$G314)&gt;0,
     COUNTIFS($Y$2:$Y$200,$G314)&gt;0,
     COUNTIFS($Z$2:$Z$200,$G314)&gt;0,
     COUNTIFS($AA$2:$AA$200,$G314)&gt;0,
     COUNTIFS($AB$2:$AB$200,$G314)&gt;0,
     COUNTIFS($AC$2:$AC$200,$G314)&gt;0,
     COUNTIFS($AD$2:$AD$200,$G314)&gt;0,
     COUNTIFS($AE$2:$AE$200,$G314)&gt;0,
     COUNTIFS($AF$2:$AF$200,$G314)&gt;0,
     COUNTIFS($AG$2:$AG$200,$G314)&gt;0,
     COUNTIFS($AH$2:$AH$200,$G314)&gt;0,
     COUNTIFS($AI$2:$AI$200,$G314)&gt;0,
     COUNTIFS($AJ$2:$AJ$200,$G314)&gt;0,
     COUNTIFS($AK$2:$AK$200,$G314)&gt;0,
     COUNTIFS($AL$2:$AL$200,$G314)&gt;0,
     COUNTIFS($AM$2:$AM$200,$G314)&gt;0,
     COUNTIFS($AN$2:$AN$200,$G314)&gt;0,
     COUNTIFS($AO$2:$AO$200,$G314)&gt;0,
     COUNTIFS($AP$2:$AP$200,$G314)&gt;0,
     COUNTIFS($AQ$2:$AQ$200,$G314)&gt;0,
     COUNTIFS($AR$2:$AR$200,$G314)&gt;0,
     COUNTIFS($AS$2:$AS$200,$G314)&gt;0,
     COUNTIFS($AT$2:$AT$200,$G314)&gt;0,
     COUNTIFS($AU$2:$AU$200,$G314)&gt;0,
     COUNTIFS($AV$2:$AV$200,$G314)&gt;0,
     COUNTIFS($AW$2:$AW$200,$G314)&gt;0,
     COUNTIFS($AX$2:$AX$200,$G314)&gt;0,
     COUNTIFS($AY$2:$AY$200,$G314)&gt;0
   )),
  ),
  2
 ),
"")</f>
        <v/>
      </c>
      <c r="E314" s="2" t="str" cm="1">
        <f t="array" aca="1" ref="E314" ca="1">IFERROR(
 INDEX(
  _xlfn._xlws.FILTER($V$1:$AY$1,
   TRANSPOSE(
    CHOOSE({1;2;3;4;5;6;7;8;9;10;11;12;13;14;15;16;17;18;19;20;21;22;23;24;25;26;27;28;29;30},
     COUNTIFS($V$2:$V$200,$G314)&gt;0,
     COUNTIFS($W$2:$W$200,$G314)&gt;0,
     COUNTIFS($X$2:$X$200,$G314)&gt;0,
     COUNTIFS($Y$2:$Y$200,$G314)&gt;0,
     COUNTIFS($Z$2:$Z$200,$G314)&gt;0,
     COUNTIFS($AA$2:$AA$200,$G314)&gt;0,
     COUNTIFS($AB$2:$AB$200,$G314)&gt;0,
     COUNTIFS($AC$2:$AC$200,$G314)&gt;0,
     COUNTIFS($AD$2:$AD$200,$G314)&gt;0,
     COUNTIFS($AE$2:$AE$200,$G314)&gt;0,
     COUNTIFS($AF$2:$AF$200,$G314)&gt;0,
     COUNTIFS($AG$2:$AG$200,$G314)&gt;0,
     COUNTIFS($AH$2:$AH$200,$G314)&gt;0,
     COUNTIFS($AI$2:$AI$200,$G314)&gt;0,
     COUNTIFS($AJ$2:$AJ$200,$G314)&gt;0,
     COUNTIFS($AK$2:$AK$200,$G314)&gt;0,
     COUNTIFS($AL$2:$AL$200,$G314)&gt;0,
     COUNTIFS($AM$2:$AM$200,$G314)&gt;0,
     COUNTIFS($AN$2:$AN$200,$G314)&gt;0,
     COUNTIFS($AO$2:$AO$200,$G314)&gt;0,
     COUNTIFS($AP$2:$AP$200,$G314)&gt;0,
     COUNTIFS($AQ$2:$AQ$200,$G314)&gt;0,
     COUNTIFS($AR$2:$AR$200,$G314)&gt;0,
     COUNTIFS($AS$2:$AS$200,$G314)&gt;0,
     COUNTIFS($AT$2:$AT$200,$G314)&gt;0,
     COUNTIFS($AU$2:$AU$200,$G314)&gt;0,
     COUNTIFS($AV$2:$AV$200,$G314)&gt;0,
     COUNTIFS($AW$2:$AW$200,$G314)&gt;0,
     COUNTIFS($AX$2:$AX$200,$G314)&gt;0,
     COUNTIFS($AY$2:$AY$200,$G314)&gt;0
   )),
  ),
  3
 ),
"")</f>
        <v/>
      </c>
      <c r="F314" s="2" t="str" cm="1">
        <f t="array" aca="1" ref="F314" ca="1">IFERROR(
 INDEX(
  _xlfn._xlws.FILTER($V$1:$AY$1,
   TRANSPOSE(
    CHOOSE({1;2;3;4;5;6;7;8;9;10;11;12;13;14;15;16;17;18;19;20;21;22;23;24;25;26;27;28;29;30},
     COUNTIFS($V$2:$V$200,$G314)&gt;0,
     COUNTIFS($W$2:$W$200,$G314)&gt;0,
     COUNTIFS($X$2:$X$200,$G314)&gt;0,
     COUNTIFS($Y$2:$Y$200,$G314)&gt;0,
     COUNTIFS($Z$2:$Z$200,$G314)&gt;0,
     COUNTIFS($AA$2:$AA$200,$G314)&gt;0,
     COUNTIFS($AB$2:$AB$200,$G314)&gt;0,
     COUNTIFS($AC$2:$AC$200,$G314)&gt;0,
     COUNTIFS($AD$2:$AD$200,$G314)&gt;0,
     COUNTIFS($AE$2:$AE$200,$G314)&gt;0,
     COUNTIFS($AF$2:$AF$200,$G314)&gt;0,
     COUNTIFS($AG$2:$AG$200,$G314)&gt;0,
     COUNTIFS($AH$2:$AH$200,$G314)&gt;0,
     COUNTIFS($AI$2:$AI$200,$G314)&gt;0,
     COUNTIFS($AJ$2:$AJ$200,$G314)&gt;0,
     COUNTIFS($AK$2:$AK$200,$G314)&gt;0,
     COUNTIFS($AL$2:$AL$200,$G314)&gt;0,
     COUNTIFS($AM$2:$AM$200,$G314)&gt;0,
     COUNTIFS($AN$2:$AN$200,$G314)&gt;0,
     COUNTIFS($AO$2:$AO$200,$G314)&gt;0,
     COUNTIFS($AP$2:$AP$200,$G314)&gt;0,
     COUNTIFS($AQ$2:$AQ$200,$G314)&gt;0,
     COUNTIFS($AR$2:$AR$200,$G314)&gt;0,
     COUNTIFS($AS$2:$AS$200,$G314)&gt;0,
     COUNTIFS($AT$2:$AT$200,$G314)&gt;0,
     COUNTIFS($AU$2:$AU$200,$G314)&gt;0,
     COUNTIFS($AV$2:$AV$200,$G314)&gt;0,
     COUNTIFS($AW$2:$AW$200,$G314)&gt;0,
     COUNTIFS($AX$2:$AX$200,$G314)&gt;0,
     COUNTIFS($AY$2:$AY$200,$G314)&gt;0
   )),
  ),
  4
 ),
"")</f>
        <v/>
      </c>
      <c r="G314" t="str">
        <f ca="1"/>
        <v>Perplexing Test</v>
      </c>
      <c r="EU314" t="str">
        <f ca="1"/>
        <v>Tainted Field</v>
      </c>
      <c r="EX314" t="str">
        <f ca="1"/>
        <v>Perplexing Test</v>
      </c>
    </row>
    <row r="315" spans="1:154" x14ac:dyDescent="0.25">
      <c r="A315" s="2" t="str">
        <f t="shared" ca="1" si="14"/>
        <v>4</v>
      </c>
      <c r="B315" s="2">
        <f t="shared" ca="1" si="15"/>
        <v>1</v>
      </c>
      <c r="C315" s="2" t="str">
        <f ca="1">IFERROR(
 INDEX($V$1:$BL$1,
  MATCH(TRUE,
   CHOOSE({1;2;3;4;5;6;7;8;9;10;11;12;13;14;15;16;17;18;19;20;21;22;23;24;25;26;27;28;29;30;31;32;33;34;35;36;37;38;39;40;41;42;43},
    COUNTIFS($V$2:$V$200,$G315)&gt;0,
    COUNTIFS($W$2:$W$200,$G315)&gt;0,
    COUNTIFS($X$2:$X$200,$G315)&gt;0,
    COUNTIFS($Y$2:$Y$200,$G315)&gt;0,
    COUNTIFS($Z$2:$Z$200,$G315)&gt;0,
    COUNTIFS($AA$2:$AA$200,$G315)&gt;0,
    COUNTIFS($AB$2:$AB$200,$G315)&gt;0,
    COUNTIFS($AC$2:$AC$200,$G315)&gt;0,
    COUNTIFS($AD$2:$AD$200,$G315)&gt;0,
    COUNTIFS($AE$2:$AE$200,$G315)&gt;0,
    COUNTIFS($AF$2:$AF$200,$G315)&gt;0,
    COUNTIFS($AG$2:$AG$200,$G315)&gt;0,
    COUNTIFS($AH$2:$AH$200,$G315)&gt;0,
    COUNTIFS($AI$2:$AI$200,$G315)&gt;0,
    COUNTIFS($AJ$2:$AJ$200,$G315)&gt;0,
    COUNTIFS($AK$2:$AK$200,$G315)&gt;0,
    COUNTIFS($AL$2:$AL$200,$G315)&gt;0,
    COUNTIFS($AM$2:$AM$200,$G315)&gt;0,
    COUNTIFS($AN$2:$AN$200,$G315)&gt;0,
    COUNTIFS($AO$2:$AO$200,$G315)&gt;0,
    COUNTIFS($AP$2:$AP$200,$G315)&gt;0,
    COUNTIFS($AQ$2:$AQ$200,$G315)&gt;0,
    COUNTIFS($AR$2:$AR$200,$G315)&gt;0,
    COUNTIFS($AS$2:$AS$200,$G315)&gt;0,
    COUNTIFS($AT$2:$AT$200,$G315)&gt;0,
    COUNTIFS($AU$2:$AU$200,$G315)&gt;0,
    COUNTIFS($AV$2:$AV$200,$G315)&gt;0,
    COUNTIFS($AW$2:$AW$200,$G315)&gt;0,
    COUNTIFS($AX$2:$AX$200,$G315)&gt;0,
    COUNTIFS($AY$2:$AY$200,$G315)&gt;0,
    COUNTIFS($AZ$2:$AZ$200,$G315)&gt;0,
    COUNTIFS($BA$2:$BA$200,$G315)&gt;0,
    COUNTIFS($BB$2:$BB$200,$G315)&gt;0,
    COUNTIFS($BC$2:$BC$200,$G315)&gt;0,
    COUNTIFS($BD$2:$BD$200,$G315)&gt;0,
    COUNTIFS($BE$2:$BE$200,$G315)&gt;0,
    COUNTIFS($BF$2:$BF$200,$G315)&gt;0,
    COUNTIFS($BG$2:$BG$200,$G315)&gt;0,
    COUNTIFS($BH$2:$BH$200,$G315)&gt;0,
    COUNTIFS($BI$2:$BI$200,$G315)&gt;0,
    COUNTIFS($BJ$2:$BJ$200,$G315)&gt;0,
    COUNTIFS($BK$2:$BK$200,$G315)&gt;0,
    COUNTIFS($BL$2:$BL$200,$G315)&gt;0,
    COUNTIFS($BM$2:$BM$200,$G315)&gt;0,
   ),
  0)
 ),
"")</f>
        <v>Ool</v>
      </c>
      <c r="D315" s="2" t="str" cm="1">
        <f t="array" aca="1" ref="D315" ca="1">IFERROR(
 INDEX(
  _xlfn._xlws.FILTER($V$1:$AY$1,
   TRANSPOSE(
    CHOOSE({1;2;3;4;5;6;7;8;9;10;11;12;13;14;15;16;17;18;19;20;21;22;23;24;25;26;27;28;29;30},
     COUNTIFS($V$2:$V$200,$G315)&gt;0,
     COUNTIFS($W$2:$W$200,$G315)&gt;0,
     COUNTIFS($X$2:$X$200,$G315)&gt;0,
     COUNTIFS($Y$2:$Y$200,$G315)&gt;0,
     COUNTIFS($Z$2:$Z$200,$G315)&gt;0,
     COUNTIFS($AA$2:$AA$200,$G315)&gt;0,
     COUNTIFS($AB$2:$AB$200,$G315)&gt;0,
     COUNTIFS($AC$2:$AC$200,$G315)&gt;0,
     COUNTIFS($AD$2:$AD$200,$G315)&gt;0,
     COUNTIFS($AE$2:$AE$200,$G315)&gt;0,
     COUNTIFS($AF$2:$AF$200,$G315)&gt;0,
     COUNTIFS($AG$2:$AG$200,$G315)&gt;0,
     COUNTIFS($AH$2:$AH$200,$G315)&gt;0,
     COUNTIFS($AI$2:$AI$200,$G315)&gt;0,
     COUNTIFS($AJ$2:$AJ$200,$G315)&gt;0,
     COUNTIFS($AK$2:$AK$200,$G315)&gt;0,
     COUNTIFS($AL$2:$AL$200,$G315)&gt;0,
     COUNTIFS($AM$2:$AM$200,$G315)&gt;0,
     COUNTIFS($AN$2:$AN$200,$G315)&gt;0,
     COUNTIFS($AO$2:$AO$200,$G315)&gt;0,
     COUNTIFS($AP$2:$AP$200,$G315)&gt;0,
     COUNTIFS($AQ$2:$AQ$200,$G315)&gt;0,
     COUNTIFS($AR$2:$AR$200,$G315)&gt;0,
     COUNTIFS($AS$2:$AS$200,$G315)&gt;0,
     COUNTIFS($AT$2:$AT$200,$G315)&gt;0,
     COUNTIFS($AU$2:$AU$200,$G315)&gt;0,
     COUNTIFS($AV$2:$AV$200,$G315)&gt;0,
     COUNTIFS($AW$2:$AW$200,$G315)&gt;0,
     COUNTIFS($AX$2:$AX$200,$G315)&gt;0,
     COUNTIFS($AY$2:$AY$200,$G315)&gt;0
   )),
  ),
  2
 ),
"")</f>
        <v/>
      </c>
      <c r="E315" s="2" t="str" cm="1">
        <f t="array" aca="1" ref="E315" ca="1">IFERROR(
 INDEX(
  _xlfn._xlws.FILTER($V$1:$AY$1,
   TRANSPOSE(
    CHOOSE({1;2;3;4;5;6;7;8;9;10;11;12;13;14;15;16;17;18;19;20;21;22;23;24;25;26;27;28;29;30},
     COUNTIFS($V$2:$V$200,$G315)&gt;0,
     COUNTIFS($W$2:$W$200,$G315)&gt;0,
     COUNTIFS($X$2:$X$200,$G315)&gt;0,
     COUNTIFS($Y$2:$Y$200,$G315)&gt;0,
     COUNTIFS($Z$2:$Z$200,$G315)&gt;0,
     COUNTIFS($AA$2:$AA$200,$G315)&gt;0,
     COUNTIFS($AB$2:$AB$200,$G315)&gt;0,
     COUNTIFS($AC$2:$AC$200,$G315)&gt;0,
     COUNTIFS($AD$2:$AD$200,$G315)&gt;0,
     COUNTIFS($AE$2:$AE$200,$G315)&gt;0,
     COUNTIFS($AF$2:$AF$200,$G315)&gt;0,
     COUNTIFS($AG$2:$AG$200,$G315)&gt;0,
     COUNTIFS($AH$2:$AH$200,$G315)&gt;0,
     COUNTIFS($AI$2:$AI$200,$G315)&gt;0,
     COUNTIFS($AJ$2:$AJ$200,$G315)&gt;0,
     COUNTIFS($AK$2:$AK$200,$G315)&gt;0,
     COUNTIFS($AL$2:$AL$200,$G315)&gt;0,
     COUNTIFS($AM$2:$AM$200,$G315)&gt;0,
     COUNTIFS($AN$2:$AN$200,$G315)&gt;0,
     COUNTIFS($AO$2:$AO$200,$G315)&gt;0,
     COUNTIFS($AP$2:$AP$200,$G315)&gt;0,
     COUNTIFS($AQ$2:$AQ$200,$G315)&gt;0,
     COUNTIFS($AR$2:$AR$200,$G315)&gt;0,
     COUNTIFS($AS$2:$AS$200,$G315)&gt;0,
     COUNTIFS($AT$2:$AT$200,$G315)&gt;0,
     COUNTIFS($AU$2:$AU$200,$G315)&gt;0,
     COUNTIFS($AV$2:$AV$200,$G315)&gt;0,
     COUNTIFS($AW$2:$AW$200,$G315)&gt;0,
     COUNTIFS($AX$2:$AX$200,$G315)&gt;0,
     COUNTIFS($AY$2:$AY$200,$G315)&gt;0
   )),
  ),
  3
 ),
"")</f>
        <v/>
      </c>
      <c r="F315" s="2" t="str" cm="1">
        <f t="array" aca="1" ref="F315" ca="1">IFERROR(
 INDEX(
  _xlfn._xlws.FILTER($V$1:$AY$1,
   TRANSPOSE(
    CHOOSE({1;2;3;4;5;6;7;8;9;10;11;12;13;14;15;16;17;18;19;20;21;22;23;24;25;26;27;28;29;30},
     COUNTIFS($V$2:$V$200,$G315)&gt;0,
     COUNTIFS($W$2:$W$200,$G315)&gt;0,
     COUNTIFS($X$2:$X$200,$G315)&gt;0,
     COUNTIFS($Y$2:$Y$200,$G315)&gt;0,
     COUNTIFS($Z$2:$Z$200,$G315)&gt;0,
     COUNTIFS($AA$2:$AA$200,$G315)&gt;0,
     COUNTIFS($AB$2:$AB$200,$G315)&gt;0,
     COUNTIFS($AC$2:$AC$200,$G315)&gt;0,
     COUNTIFS($AD$2:$AD$200,$G315)&gt;0,
     COUNTIFS($AE$2:$AE$200,$G315)&gt;0,
     COUNTIFS($AF$2:$AF$200,$G315)&gt;0,
     COUNTIFS($AG$2:$AG$200,$G315)&gt;0,
     COUNTIFS($AH$2:$AH$200,$G315)&gt;0,
     COUNTIFS($AI$2:$AI$200,$G315)&gt;0,
     COUNTIFS($AJ$2:$AJ$200,$G315)&gt;0,
     COUNTIFS($AK$2:$AK$200,$G315)&gt;0,
     COUNTIFS($AL$2:$AL$200,$G315)&gt;0,
     COUNTIFS($AM$2:$AM$200,$G315)&gt;0,
     COUNTIFS($AN$2:$AN$200,$G315)&gt;0,
     COUNTIFS($AO$2:$AO$200,$G315)&gt;0,
     COUNTIFS($AP$2:$AP$200,$G315)&gt;0,
     COUNTIFS($AQ$2:$AQ$200,$G315)&gt;0,
     COUNTIFS($AR$2:$AR$200,$G315)&gt;0,
     COUNTIFS($AS$2:$AS$200,$G315)&gt;0,
     COUNTIFS($AT$2:$AT$200,$G315)&gt;0,
     COUNTIFS($AU$2:$AU$200,$G315)&gt;0,
     COUNTIFS($AV$2:$AV$200,$G315)&gt;0,
     COUNTIFS($AW$2:$AW$200,$G315)&gt;0,
     COUNTIFS($AX$2:$AX$200,$G315)&gt;0,
     COUNTIFS($AY$2:$AY$200,$G315)&gt;0
   )),
  ),
  4
 ),
"")</f>
        <v/>
      </c>
      <c r="G315" t="str">
        <f ca="1"/>
        <v>Persistent Constrictor</v>
      </c>
      <c r="EU315" t="str">
        <f ca="1"/>
        <v>Takenuma, Abandoned Mire</v>
      </c>
      <c r="EX315" t="str">
        <f ca="1"/>
        <v>Persistent Constrictor</v>
      </c>
    </row>
    <row r="316" spans="1:154" x14ac:dyDescent="0.25">
      <c r="A316" s="2" t="str">
        <f t="shared" ca="1" si="14"/>
        <v>3</v>
      </c>
      <c r="B316" s="2">
        <f t="shared" ca="1" si="15"/>
        <v>1</v>
      </c>
      <c r="C316" s="2" t="str">
        <f ca="1">IFERROR(
 INDEX($V$1:$BL$1,
  MATCH(TRUE,
   CHOOSE({1;2;3;4;5;6;7;8;9;10;11;12;13;14;15;16;17;18;19;20;21;22;23;24;25;26;27;28;29;30;31;32;33;34;35;36;37;38;39;40;41;42;43},
    COUNTIFS($V$2:$V$200,$G316)&gt;0,
    COUNTIFS($W$2:$W$200,$G316)&gt;0,
    COUNTIFS($X$2:$X$200,$G316)&gt;0,
    COUNTIFS($Y$2:$Y$200,$G316)&gt;0,
    COUNTIFS($Z$2:$Z$200,$G316)&gt;0,
    COUNTIFS($AA$2:$AA$200,$G316)&gt;0,
    COUNTIFS($AB$2:$AB$200,$G316)&gt;0,
    COUNTIFS($AC$2:$AC$200,$G316)&gt;0,
    COUNTIFS($AD$2:$AD$200,$G316)&gt;0,
    COUNTIFS($AE$2:$AE$200,$G316)&gt;0,
    COUNTIFS($AF$2:$AF$200,$G316)&gt;0,
    COUNTIFS($AG$2:$AG$200,$G316)&gt;0,
    COUNTIFS($AH$2:$AH$200,$G316)&gt;0,
    COUNTIFS($AI$2:$AI$200,$G316)&gt;0,
    COUNTIFS($AJ$2:$AJ$200,$G316)&gt;0,
    COUNTIFS($AK$2:$AK$200,$G316)&gt;0,
    COUNTIFS($AL$2:$AL$200,$G316)&gt;0,
    COUNTIFS($AM$2:$AM$200,$G316)&gt;0,
    COUNTIFS($AN$2:$AN$200,$G316)&gt;0,
    COUNTIFS($AO$2:$AO$200,$G316)&gt;0,
    COUNTIFS($AP$2:$AP$200,$G316)&gt;0,
    COUNTIFS($AQ$2:$AQ$200,$G316)&gt;0,
    COUNTIFS($AR$2:$AR$200,$G316)&gt;0,
    COUNTIFS($AS$2:$AS$200,$G316)&gt;0,
    COUNTIFS($AT$2:$AT$200,$G316)&gt;0,
    COUNTIFS($AU$2:$AU$200,$G316)&gt;0,
    COUNTIFS($AV$2:$AV$200,$G316)&gt;0,
    COUNTIFS($AW$2:$AW$200,$G316)&gt;0,
    COUNTIFS($AX$2:$AX$200,$G316)&gt;0,
    COUNTIFS($AY$2:$AY$200,$G316)&gt;0,
    COUNTIFS($AZ$2:$AZ$200,$G316)&gt;0,
    COUNTIFS($BA$2:$BA$200,$G316)&gt;0,
    COUNTIFS($BB$2:$BB$200,$G316)&gt;0,
    COUNTIFS($BC$2:$BC$200,$G316)&gt;0,
    COUNTIFS($BD$2:$BD$200,$G316)&gt;0,
    COUNTIFS($BE$2:$BE$200,$G316)&gt;0,
    COUNTIFS($BF$2:$BF$200,$G316)&gt;0,
    COUNTIFS($BG$2:$BG$200,$G316)&gt;0,
    COUNTIFS($BH$2:$BH$200,$G316)&gt;0,
    COUNTIFS($BI$2:$BI$200,$G316)&gt;0,
    COUNTIFS($BJ$2:$BJ$200,$G316)&gt;0,
    COUNTIFS($BK$2:$BK$200,$G316)&gt;0,
    COUNTIFS($BL$2:$BL$200,$G316)&gt;0,
    COUNTIFS($BM$2:$BM$200,$G316)&gt;0,
   ),
  0)
 ),
"")</f>
        <v>Kumena</v>
      </c>
      <c r="D316" s="2" t="str" cm="1">
        <f t="array" aca="1" ref="D316" ca="1">IFERROR(
 INDEX(
  _xlfn._xlws.FILTER($V$1:$AY$1,
   TRANSPOSE(
    CHOOSE({1;2;3;4;5;6;7;8;9;10;11;12;13;14;15;16;17;18;19;20;21;22;23;24;25;26;27;28;29;30},
     COUNTIFS($V$2:$V$200,$G316)&gt;0,
     COUNTIFS($W$2:$W$200,$G316)&gt;0,
     COUNTIFS($X$2:$X$200,$G316)&gt;0,
     COUNTIFS($Y$2:$Y$200,$G316)&gt;0,
     COUNTIFS($Z$2:$Z$200,$G316)&gt;0,
     COUNTIFS($AA$2:$AA$200,$G316)&gt;0,
     COUNTIFS($AB$2:$AB$200,$G316)&gt;0,
     COUNTIFS($AC$2:$AC$200,$G316)&gt;0,
     COUNTIFS($AD$2:$AD$200,$G316)&gt;0,
     COUNTIFS($AE$2:$AE$200,$G316)&gt;0,
     COUNTIFS($AF$2:$AF$200,$G316)&gt;0,
     COUNTIFS($AG$2:$AG$200,$G316)&gt;0,
     COUNTIFS($AH$2:$AH$200,$G316)&gt;0,
     COUNTIFS($AI$2:$AI$200,$G316)&gt;0,
     COUNTIFS($AJ$2:$AJ$200,$G316)&gt;0,
     COUNTIFS($AK$2:$AK$200,$G316)&gt;0,
     COUNTIFS($AL$2:$AL$200,$G316)&gt;0,
     COUNTIFS($AM$2:$AM$200,$G316)&gt;0,
     COUNTIFS($AN$2:$AN$200,$G316)&gt;0,
     COUNTIFS($AO$2:$AO$200,$G316)&gt;0,
     COUNTIFS($AP$2:$AP$200,$G316)&gt;0,
     COUNTIFS($AQ$2:$AQ$200,$G316)&gt;0,
     COUNTIFS($AR$2:$AR$200,$G316)&gt;0,
     COUNTIFS($AS$2:$AS$200,$G316)&gt;0,
     COUNTIFS($AT$2:$AT$200,$G316)&gt;0,
     COUNTIFS($AU$2:$AU$200,$G316)&gt;0,
     COUNTIFS($AV$2:$AV$200,$G316)&gt;0,
     COUNTIFS($AW$2:$AW$200,$G316)&gt;0,
     COUNTIFS($AX$2:$AX$200,$G316)&gt;0,
     COUNTIFS($AY$2:$AY$200,$G316)&gt;0
   )),
  ),
  2
 ),
"")</f>
        <v/>
      </c>
      <c r="E316" s="2" t="str" cm="1">
        <f t="array" aca="1" ref="E316" ca="1">IFERROR(
 INDEX(
  _xlfn._xlws.FILTER($V$1:$AY$1,
   TRANSPOSE(
    CHOOSE({1;2;3;4;5;6;7;8;9;10;11;12;13;14;15;16;17;18;19;20;21;22;23;24;25;26;27;28;29;30},
     COUNTIFS($V$2:$V$200,$G316)&gt;0,
     COUNTIFS($W$2:$W$200,$G316)&gt;0,
     COUNTIFS($X$2:$X$200,$G316)&gt;0,
     COUNTIFS($Y$2:$Y$200,$G316)&gt;0,
     COUNTIFS($Z$2:$Z$200,$G316)&gt;0,
     COUNTIFS($AA$2:$AA$200,$G316)&gt;0,
     COUNTIFS($AB$2:$AB$200,$G316)&gt;0,
     COUNTIFS($AC$2:$AC$200,$G316)&gt;0,
     COUNTIFS($AD$2:$AD$200,$G316)&gt;0,
     COUNTIFS($AE$2:$AE$200,$G316)&gt;0,
     COUNTIFS($AF$2:$AF$200,$G316)&gt;0,
     COUNTIFS($AG$2:$AG$200,$G316)&gt;0,
     COUNTIFS($AH$2:$AH$200,$G316)&gt;0,
     COUNTIFS($AI$2:$AI$200,$G316)&gt;0,
     COUNTIFS($AJ$2:$AJ$200,$G316)&gt;0,
     COUNTIFS($AK$2:$AK$200,$G316)&gt;0,
     COUNTIFS($AL$2:$AL$200,$G316)&gt;0,
     COUNTIFS($AM$2:$AM$200,$G316)&gt;0,
     COUNTIFS($AN$2:$AN$200,$G316)&gt;0,
     COUNTIFS($AO$2:$AO$200,$G316)&gt;0,
     COUNTIFS($AP$2:$AP$200,$G316)&gt;0,
     COUNTIFS($AQ$2:$AQ$200,$G316)&gt;0,
     COUNTIFS($AR$2:$AR$200,$G316)&gt;0,
     COUNTIFS($AS$2:$AS$200,$G316)&gt;0,
     COUNTIFS($AT$2:$AT$200,$G316)&gt;0,
     COUNTIFS($AU$2:$AU$200,$G316)&gt;0,
     COUNTIFS($AV$2:$AV$200,$G316)&gt;0,
     COUNTIFS($AW$2:$AW$200,$G316)&gt;0,
     COUNTIFS($AX$2:$AX$200,$G316)&gt;0,
     COUNTIFS($AY$2:$AY$200,$G316)&gt;0
   )),
  ),
  3
 ),
"")</f>
        <v/>
      </c>
      <c r="F316" s="2" t="str" cm="1">
        <f t="array" aca="1" ref="F316" ca="1">IFERROR(
 INDEX(
  _xlfn._xlws.FILTER($V$1:$AY$1,
   TRANSPOSE(
    CHOOSE({1;2;3;4;5;6;7;8;9;10;11;12;13;14;15;16;17;18;19;20;21;22;23;24;25;26;27;28;29;30},
     COUNTIFS($V$2:$V$200,$G316)&gt;0,
     COUNTIFS($W$2:$W$200,$G316)&gt;0,
     COUNTIFS($X$2:$X$200,$G316)&gt;0,
     COUNTIFS($Y$2:$Y$200,$G316)&gt;0,
     COUNTIFS($Z$2:$Z$200,$G316)&gt;0,
     COUNTIFS($AA$2:$AA$200,$G316)&gt;0,
     COUNTIFS($AB$2:$AB$200,$G316)&gt;0,
     COUNTIFS($AC$2:$AC$200,$G316)&gt;0,
     COUNTIFS($AD$2:$AD$200,$G316)&gt;0,
     COUNTIFS($AE$2:$AE$200,$G316)&gt;0,
     COUNTIFS($AF$2:$AF$200,$G316)&gt;0,
     COUNTIFS($AG$2:$AG$200,$G316)&gt;0,
     COUNTIFS($AH$2:$AH$200,$G316)&gt;0,
     COUNTIFS($AI$2:$AI$200,$G316)&gt;0,
     COUNTIFS($AJ$2:$AJ$200,$G316)&gt;0,
     COUNTIFS($AK$2:$AK$200,$G316)&gt;0,
     COUNTIFS($AL$2:$AL$200,$G316)&gt;0,
     COUNTIFS($AM$2:$AM$200,$G316)&gt;0,
     COUNTIFS($AN$2:$AN$200,$G316)&gt;0,
     COUNTIFS($AO$2:$AO$200,$G316)&gt;0,
     COUNTIFS($AP$2:$AP$200,$G316)&gt;0,
     COUNTIFS($AQ$2:$AQ$200,$G316)&gt;0,
     COUNTIFS($AR$2:$AR$200,$G316)&gt;0,
     COUNTIFS($AS$2:$AS$200,$G316)&gt;0,
     COUNTIFS($AT$2:$AT$200,$G316)&gt;0,
     COUNTIFS($AU$2:$AU$200,$G316)&gt;0,
     COUNTIFS($AV$2:$AV$200,$G316)&gt;0,
     COUNTIFS($AW$2:$AW$200,$G316)&gt;0,
     COUNTIFS($AX$2:$AX$200,$G316)&gt;0,
     COUNTIFS($AY$2:$AY$200,$G316)&gt;0
   )),
  ),
  4
 ),
"")</f>
        <v/>
      </c>
      <c r="G316" t="str">
        <f ca="1"/>
        <v>Pestered Wellguard</v>
      </c>
      <c r="EU316" t="str">
        <f ca="1"/>
        <v>Tale of Katara and Toph</v>
      </c>
      <c r="EX316" t="str">
        <f ca="1"/>
        <v>Pestered Wellguard</v>
      </c>
    </row>
    <row r="317" spans="1:154" x14ac:dyDescent="0.25">
      <c r="A317" s="2" t="str">
        <f t="shared" ca="1" si="14"/>
        <v>2</v>
      </c>
      <c r="B317" s="2">
        <f t="shared" ca="1" si="15"/>
        <v>1</v>
      </c>
      <c r="C317" s="2" t="str">
        <f ca="1">IFERROR(
 INDEX($V$1:$BL$1,
  MATCH(TRUE,
   CHOOSE({1;2;3;4;5;6;7;8;9;10;11;12;13;14;15;16;17;18;19;20;21;22;23;24;25;26;27;28;29;30;31;32;33;34;35;36;37;38;39;40;41;42;43},
    COUNTIFS($V$2:$V$200,$G317)&gt;0,
    COUNTIFS($W$2:$W$200,$G317)&gt;0,
    COUNTIFS($X$2:$X$200,$G317)&gt;0,
    COUNTIFS($Y$2:$Y$200,$G317)&gt;0,
    COUNTIFS($Z$2:$Z$200,$G317)&gt;0,
    COUNTIFS($AA$2:$AA$200,$G317)&gt;0,
    COUNTIFS($AB$2:$AB$200,$G317)&gt;0,
    COUNTIFS($AC$2:$AC$200,$G317)&gt;0,
    COUNTIFS($AD$2:$AD$200,$G317)&gt;0,
    COUNTIFS($AE$2:$AE$200,$G317)&gt;0,
    COUNTIFS($AF$2:$AF$200,$G317)&gt;0,
    COUNTIFS($AG$2:$AG$200,$G317)&gt;0,
    COUNTIFS($AH$2:$AH$200,$G317)&gt;0,
    COUNTIFS($AI$2:$AI$200,$G317)&gt;0,
    COUNTIFS($AJ$2:$AJ$200,$G317)&gt;0,
    COUNTIFS($AK$2:$AK$200,$G317)&gt;0,
    COUNTIFS($AL$2:$AL$200,$G317)&gt;0,
    COUNTIFS($AM$2:$AM$200,$G317)&gt;0,
    COUNTIFS($AN$2:$AN$200,$G317)&gt;0,
    COUNTIFS($AO$2:$AO$200,$G317)&gt;0,
    COUNTIFS($AP$2:$AP$200,$G317)&gt;0,
    COUNTIFS($AQ$2:$AQ$200,$G317)&gt;0,
    COUNTIFS($AR$2:$AR$200,$G317)&gt;0,
    COUNTIFS($AS$2:$AS$200,$G317)&gt;0,
    COUNTIFS($AT$2:$AT$200,$G317)&gt;0,
    COUNTIFS($AU$2:$AU$200,$G317)&gt;0,
    COUNTIFS($AV$2:$AV$200,$G317)&gt;0,
    COUNTIFS($AW$2:$AW$200,$G317)&gt;0,
    COUNTIFS($AX$2:$AX$200,$G317)&gt;0,
    COUNTIFS($AY$2:$AY$200,$G317)&gt;0,
    COUNTIFS($AZ$2:$AZ$200,$G317)&gt;0,
    COUNTIFS($BA$2:$BA$200,$G317)&gt;0,
    COUNTIFS($BB$2:$BB$200,$G317)&gt;0,
    COUNTIFS($BC$2:$BC$200,$G317)&gt;0,
    COUNTIFS($BD$2:$BD$200,$G317)&gt;0,
    COUNTIFS($BE$2:$BE$200,$G317)&gt;0,
    COUNTIFS($BF$2:$BF$200,$G317)&gt;0,
    COUNTIFS($BG$2:$BG$200,$G317)&gt;0,
    COUNTIFS($BH$2:$BH$200,$G317)&gt;0,
    COUNTIFS($BI$2:$BI$200,$G317)&gt;0,
    COUNTIFS($BJ$2:$BJ$200,$G317)&gt;0,
    COUNTIFS($BK$2:$BK$200,$G317)&gt;0,
    COUNTIFS($BL$2:$BL$200,$G317)&gt;0,
    COUNTIFS($BM$2:$BM$200,$G317)&gt;0,
   ),
  0)
 ),
"")</f>
        <v>Gitrog</v>
      </c>
      <c r="D317" s="2" t="str" cm="1">
        <f t="array" aca="1" ref="D317" ca="1">IFERROR(
 INDEX(
  _xlfn._xlws.FILTER($V$1:$AY$1,
   TRANSPOSE(
    CHOOSE({1;2;3;4;5;6;7;8;9;10;11;12;13;14;15;16;17;18;19;20;21;22;23;24;25;26;27;28;29;30},
     COUNTIFS($V$2:$V$200,$G317)&gt;0,
     COUNTIFS($W$2:$W$200,$G317)&gt;0,
     COUNTIFS($X$2:$X$200,$G317)&gt;0,
     COUNTIFS($Y$2:$Y$200,$G317)&gt;0,
     COUNTIFS($Z$2:$Z$200,$G317)&gt;0,
     COUNTIFS($AA$2:$AA$200,$G317)&gt;0,
     COUNTIFS($AB$2:$AB$200,$G317)&gt;0,
     COUNTIFS($AC$2:$AC$200,$G317)&gt;0,
     COUNTIFS($AD$2:$AD$200,$G317)&gt;0,
     COUNTIFS($AE$2:$AE$200,$G317)&gt;0,
     COUNTIFS($AF$2:$AF$200,$G317)&gt;0,
     COUNTIFS($AG$2:$AG$200,$G317)&gt;0,
     COUNTIFS($AH$2:$AH$200,$G317)&gt;0,
     COUNTIFS($AI$2:$AI$200,$G317)&gt;0,
     COUNTIFS($AJ$2:$AJ$200,$G317)&gt;0,
     COUNTIFS($AK$2:$AK$200,$G317)&gt;0,
     COUNTIFS($AL$2:$AL$200,$G317)&gt;0,
     COUNTIFS($AM$2:$AM$200,$G317)&gt;0,
     COUNTIFS($AN$2:$AN$200,$G317)&gt;0,
     COUNTIFS($AO$2:$AO$200,$G317)&gt;0,
     COUNTIFS($AP$2:$AP$200,$G317)&gt;0,
     COUNTIFS($AQ$2:$AQ$200,$G317)&gt;0,
     COUNTIFS($AR$2:$AR$200,$G317)&gt;0,
     COUNTIFS($AS$2:$AS$200,$G317)&gt;0,
     COUNTIFS($AT$2:$AT$200,$G317)&gt;0,
     COUNTIFS($AU$2:$AU$200,$G317)&gt;0,
     COUNTIFS($AV$2:$AV$200,$G317)&gt;0,
     COUNTIFS($AW$2:$AW$200,$G317)&gt;0,
     COUNTIFS($AX$2:$AX$200,$G317)&gt;0,
     COUNTIFS($AY$2:$AY$200,$G317)&gt;0
   )),
  ),
  2
 ),
"")</f>
        <v/>
      </c>
      <c r="E317" s="2" t="str" cm="1">
        <f t="array" aca="1" ref="E317" ca="1">IFERROR(
 INDEX(
  _xlfn._xlws.FILTER($V$1:$AY$1,
   TRANSPOSE(
    CHOOSE({1;2;3;4;5;6;7;8;9;10;11;12;13;14;15;16;17;18;19;20;21;22;23;24;25;26;27;28;29;30},
     COUNTIFS($V$2:$V$200,$G317)&gt;0,
     COUNTIFS($W$2:$W$200,$G317)&gt;0,
     COUNTIFS($X$2:$X$200,$G317)&gt;0,
     COUNTIFS($Y$2:$Y$200,$G317)&gt;0,
     COUNTIFS($Z$2:$Z$200,$G317)&gt;0,
     COUNTIFS($AA$2:$AA$200,$G317)&gt;0,
     COUNTIFS($AB$2:$AB$200,$G317)&gt;0,
     COUNTIFS($AC$2:$AC$200,$G317)&gt;0,
     COUNTIFS($AD$2:$AD$200,$G317)&gt;0,
     COUNTIFS($AE$2:$AE$200,$G317)&gt;0,
     COUNTIFS($AF$2:$AF$200,$G317)&gt;0,
     COUNTIFS($AG$2:$AG$200,$G317)&gt;0,
     COUNTIFS($AH$2:$AH$200,$G317)&gt;0,
     COUNTIFS($AI$2:$AI$200,$G317)&gt;0,
     COUNTIFS($AJ$2:$AJ$200,$G317)&gt;0,
     COUNTIFS($AK$2:$AK$200,$G317)&gt;0,
     COUNTIFS($AL$2:$AL$200,$G317)&gt;0,
     COUNTIFS($AM$2:$AM$200,$G317)&gt;0,
     COUNTIFS($AN$2:$AN$200,$G317)&gt;0,
     COUNTIFS($AO$2:$AO$200,$G317)&gt;0,
     COUNTIFS($AP$2:$AP$200,$G317)&gt;0,
     COUNTIFS($AQ$2:$AQ$200,$G317)&gt;0,
     COUNTIFS($AR$2:$AR$200,$G317)&gt;0,
     COUNTIFS($AS$2:$AS$200,$G317)&gt;0,
     COUNTIFS($AT$2:$AT$200,$G317)&gt;0,
     COUNTIFS($AU$2:$AU$200,$G317)&gt;0,
     COUNTIFS($AV$2:$AV$200,$G317)&gt;0,
     COUNTIFS($AW$2:$AW$200,$G317)&gt;0,
     COUNTIFS($AX$2:$AX$200,$G317)&gt;0,
     COUNTIFS($AY$2:$AY$200,$G317)&gt;0
   )),
  ),
  3
 ),
"")</f>
        <v/>
      </c>
      <c r="F317" s="2" t="str" cm="1">
        <f t="array" aca="1" ref="F317" ca="1">IFERROR(
 INDEX(
  _xlfn._xlws.FILTER($V$1:$AY$1,
   TRANSPOSE(
    CHOOSE({1;2;3;4;5;6;7;8;9;10;11;12;13;14;15;16;17;18;19;20;21;22;23;24;25;26;27;28;29;30},
     COUNTIFS($V$2:$V$200,$G317)&gt;0,
     COUNTIFS($W$2:$W$200,$G317)&gt;0,
     COUNTIFS($X$2:$X$200,$G317)&gt;0,
     COUNTIFS($Y$2:$Y$200,$G317)&gt;0,
     COUNTIFS($Z$2:$Z$200,$G317)&gt;0,
     COUNTIFS($AA$2:$AA$200,$G317)&gt;0,
     COUNTIFS($AB$2:$AB$200,$G317)&gt;0,
     COUNTIFS($AC$2:$AC$200,$G317)&gt;0,
     COUNTIFS($AD$2:$AD$200,$G317)&gt;0,
     COUNTIFS($AE$2:$AE$200,$G317)&gt;0,
     COUNTIFS($AF$2:$AF$200,$G317)&gt;0,
     COUNTIFS($AG$2:$AG$200,$G317)&gt;0,
     COUNTIFS($AH$2:$AH$200,$G317)&gt;0,
     COUNTIFS($AI$2:$AI$200,$G317)&gt;0,
     COUNTIFS($AJ$2:$AJ$200,$G317)&gt;0,
     COUNTIFS($AK$2:$AK$200,$G317)&gt;0,
     COUNTIFS($AL$2:$AL$200,$G317)&gt;0,
     COUNTIFS($AM$2:$AM$200,$G317)&gt;0,
     COUNTIFS($AN$2:$AN$200,$G317)&gt;0,
     COUNTIFS($AO$2:$AO$200,$G317)&gt;0,
     COUNTIFS($AP$2:$AP$200,$G317)&gt;0,
     COUNTIFS($AQ$2:$AQ$200,$G317)&gt;0,
     COUNTIFS($AR$2:$AR$200,$G317)&gt;0,
     COUNTIFS($AS$2:$AS$200,$G317)&gt;0,
     COUNTIFS($AT$2:$AT$200,$G317)&gt;0,
     COUNTIFS($AU$2:$AU$200,$G317)&gt;0,
     COUNTIFS($AV$2:$AV$200,$G317)&gt;0,
     COUNTIFS($AW$2:$AW$200,$G317)&gt;0,
     COUNTIFS($AX$2:$AX$200,$G317)&gt;0,
     COUNTIFS($AY$2:$AY$200,$G317)&gt;0
   )),
  ),
  4
 ),
"")</f>
        <v/>
      </c>
      <c r="G317" t="str">
        <f ca="1"/>
        <v>Petrified Field</v>
      </c>
      <c r="EU317" t="str">
        <f ca="1"/>
        <v>Tarrian's Journal</v>
      </c>
      <c r="EX317" t="str">
        <f ca="1"/>
        <v>Petrified Field</v>
      </c>
    </row>
    <row r="318" spans="1:154" x14ac:dyDescent="0.25">
      <c r="A318" s="2" t="str">
        <f t="shared" ca="1" si="14"/>
        <v>4</v>
      </c>
      <c r="B318" s="2">
        <f t="shared" ca="1" si="15"/>
        <v>1</v>
      </c>
      <c r="C318" s="2" t="str">
        <f ca="1">IFERROR(
 INDEX($V$1:$BL$1,
  MATCH(TRUE,
   CHOOSE({1;2;3;4;5;6;7;8;9;10;11;12;13;14;15;16;17;18;19;20;21;22;23;24;25;26;27;28;29;30;31;32;33;34;35;36;37;38;39;40;41;42;43},
    COUNTIFS($V$2:$V$200,$G318)&gt;0,
    COUNTIFS($W$2:$W$200,$G318)&gt;0,
    COUNTIFS($X$2:$X$200,$G318)&gt;0,
    COUNTIFS($Y$2:$Y$200,$G318)&gt;0,
    COUNTIFS($Z$2:$Z$200,$G318)&gt;0,
    COUNTIFS($AA$2:$AA$200,$G318)&gt;0,
    COUNTIFS($AB$2:$AB$200,$G318)&gt;0,
    COUNTIFS($AC$2:$AC$200,$G318)&gt;0,
    COUNTIFS($AD$2:$AD$200,$G318)&gt;0,
    COUNTIFS($AE$2:$AE$200,$G318)&gt;0,
    COUNTIFS($AF$2:$AF$200,$G318)&gt;0,
    COUNTIFS($AG$2:$AG$200,$G318)&gt;0,
    COUNTIFS($AH$2:$AH$200,$G318)&gt;0,
    COUNTIFS($AI$2:$AI$200,$G318)&gt;0,
    COUNTIFS($AJ$2:$AJ$200,$G318)&gt;0,
    COUNTIFS($AK$2:$AK$200,$G318)&gt;0,
    COUNTIFS($AL$2:$AL$200,$G318)&gt;0,
    COUNTIFS($AM$2:$AM$200,$G318)&gt;0,
    COUNTIFS($AN$2:$AN$200,$G318)&gt;0,
    COUNTIFS($AO$2:$AO$200,$G318)&gt;0,
    COUNTIFS($AP$2:$AP$200,$G318)&gt;0,
    COUNTIFS($AQ$2:$AQ$200,$G318)&gt;0,
    COUNTIFS($AR$2:$AR$200,$G318)&gt;0,
    COUNTIFS($AS$2:$AS$200,$G318)&gt;0,
    COUNTIFS($AT$2:$AT$200,$G318)&gt;0,
    COUNTIFS($AU$2:$AU$200,$G318)&gt;0,
    COUNTIFS($AV$2:$AV$200,$G318)&gt;0,
    COUNTIFS($AW$2:$AW$200,$G318)&gt;0,
    COUNTIFS($AX$2:$AX$200,$G318)&gt;0,
    COUNTIFS($AY$2:$AY$200,$G318)&gt;0,
    COUNTIFS($AZ$2:$AZ$200,$G318)&gt;0,
    COUNTIFS($BA$2:$BA$200,$G318)&gt;0,
    COUNTIFS($BB$2:$BB$200,$G318)&gt;0,
    COUNTIFS($BC$2:$BC$200,$G318)&gt;0,
    COUNTIFS($BD$2:$BD$200,$G318)&gt;0,
    COUNTIFS($BE$2:$BE$200,$G318)&gt;0,
    COUNTIFS($BF$2:$BF$200,$G318)&gt;0,
    COUNTIFS($BG$2:$BG$200,$G318)&gt;0,
    COUNTIFS($BH$2:$BH$200,$G318)&gt;0,
    COUNTIFS($BI$2:$BI$200,$G318)&gt;0,
    COUNTIFS($BJ$2:$BJ$200,$G318)&gt;0,
    COUNTIFS($BK$2:$BK$200,$G318)&gt;0,
    COUNTIFS($BL$2:$BL$200,$G318)&gt;0,
    COUNTIFS($BM$2:$BM$200,$G318)&gt;0,
   ),
  0)
 ),
"")</f>
        <v>Kresh</v>
      </c>
      <c r="D318" s="2" t="str" cm="1">
        <f t="array" aca="1" ref="D318" ca="1">IFERROR(
 INDEX(
  _xlfn._xlws.FILTER($V$1:$AY$1,
   TRANSPOSE(
    CHOOSE({1;2;3;4;5;6;7;8;9;10;11;12;13;14;15;16;17;18;19;20;21;22;23;24;25;26;27;28;29;30},
     COUNTIFS($V$2:$V$200,$G318)&gt;0,
     COUNTIFS($W$2:$W$200,$G318)&gt;0,
     COUNTIFS($X$2:$X$200,$G318)&gt;0,
     COUNTIFS($Y$2:$Y$200,$G318)&gt;0,
     COUNTIFS($Z$2:$Z$200,$G318)&gt;0,
     COUNTIFS($AA$2:$AA$200,$G318)&gt;0,
     COUNTIFS($AB$2:$AB$200,$G318)&gt;0,
     COUNTIFS($AC$2:$AC$200,$G318)&gt;0,
     COUNTIFS($AD$2:$AD$200,$G318)&gt;0,
     COUNTIFS($AE$2:$AE$200,$G318)&gt;0,
     COUNTIFS($AF$2:$AF$200,$G318)&gt;0,
     COUNTIFS($AG$2:$AG$200,$G318)&gt;0,
     COUNTIFS($AH$2:$AH$200,$G318)&gt;0,
     COUNTIFS($AI$2:$AI$200,$G318)&gt;0,
     COUNTIFS($AJ$2:$AJ$200,$G318)&gt;0,
     COUNTIFS($AK$2:$AK$200,$G318)&gt;0,
     COUNTIFS($AL$2:$AL$200,$G318)&gt;0,
     COUNTIFS($AM$2:$AM$200,$G318)&gt;0,
     COUNTIFS($AN$2:$AN$200,$G318)&gt;0,
     COUNTIFS($AO$2:$AO$200,$G318)&gt;0,
     COUNTIFS($AP$2:$AP$200,$G318)&gt;0,
     COUNTIFS($AQ$2:$AQ$200,$G318)&gt;0,
     COUNTIFS($AR$2:$AR$200,$G318)&gt;0,
     COUNTIFS($AS$2:$AS$200,$G318)&gt;0,
     COUNTIFS($AT$2:$AT$200,$G318)&gt;0,
     COUNTIFS($AU$2:$AU$200,$G318)&gt;0,
     COUNTIFS($AV$2:$AV$200,$G318)&gt;0,
     COUNTIFS($AW$2:$AW$200,$G318)&gt;0,
     COUNTIFS($AX$2:$AX$200,$G318)&gt;0,
     COUNTIFS($AY$2:$AY$200,$G318)&gt;0
   )),
  ),
  2
 ),
"")</f>
        <v/>
      </c>
      <c r="E318" s="2" t="str" cm="1">
        <f t="array" aca="1" ref="E318" ca="1">IFERROR(
 INDEX(
  _xlfn._xlws.FILTER($V$1:$AY$1,
   TRANSPOSE(
    CHOOSE({1;2;3;4;5;6;7;8;9;10;11;12;13;14;15;16;17;18;19;20;21;22;23;24;25;26;27;28;29;30},
     COUNTIFS($V$2:$V$200,$G318)&gt;0,
     COUNTIFS($W$2:$W$200,$G318)&gt;0,
     COUNTIFS($X$2:$X$200,$G318)&gt;0,
     COUNTIFS($Y$2:$Y$200,$G318)&gt;0,
     COUNTIFS($Z$2:$Z$200,$G318)&gt;0,
     COUNTIFS($AA$2:$AA$200,$G318)&gt;0,
     COUNTIFS($AB$2:$AB$200,$G318)&gt;0,
     COUNTIFS($AC$2:$AC$200,$G318)&gt;0,
     COUNTIFS($AD$2:$AD$200,$G318)&gt;0,
     COUNTIFS($AE$2:$AE$200,$G318)&gt;0,
     COUNTIFS($AF$2:$AF$200,$G318)&gt;0,
     COUNTIFS($AG$2:$AG$200,$G318)&gt;0,
     COUNTIFS($AH$2:$AH$200,$G318)&gt;0,
     COUNTIFS($AI$2:$AI$200,$G318)&gt;0,
     COUNTIFS($AJ$2:$AJ$200,$G318)&gt;0,
     COUNTIFS($AK$2:$AK$200,$G318)&gt;0,
     COUNTIFS($AL$2:$AL$200,$G318)&gt;0,
     COUNTIFS($AM$2:$AM$200,$G318)&gt;0,
     COUNTIFS($AN$2:$AN$200,$G318)&gt;0,
     COUNTIFS($AO$2:$AO$200,$G318)&gt;0,
     COUNTIFS($AP$2:$AP$200,$G318)&gt;0,
     COUNTIFS($AQ$2:$AQ$200,$G318)&gt;0,
     COUNTIFS($AR$2:$AR$200,$G318)&gt;0,
     COUNTIFS($AS$2:$AS$200,$G318)&gt;0,
     COUNTIFS($AT$2:$AT$200,$G318)&gt;0,
     COUNTIFS($AU$2:$AU$200,$G318)&gt;0,
     COUNTIFS($AV$2:$AV$200,$G318)&gt;0,
     COUNTIFS($AW$2:$AW$200,$G318)&gt;0,
     COUNTIFS($AX$2:$AX$200,$G318)&gt;0,
     COUNTIFS($AY$2:$AY$200,$G318)&gt;0
   )),
  ),
  3
 ),
"")</f>
        <v/>
      </c>
      <c r="F318" s="2" t="str" cm="1">
        <f t="array" aca="1" ref="F318" ca="1">IFERROR(
 INDEX(
  _xlfn._xlws.FILTER($V$1:$AY$1,
   TRANSPOSE(
    CHOOSE({1;2;3;4;5;6;7;8;9;10;11;12;13;14;15;16;17;18;19;20;21;22;23;24;25;26;27;28;29;30},
     COUNTIFS($V$2:$V$200,$G318)&gt;0,
     COUNTIFS($W$2:$W$200,$G318)&gt;0,
     COUNTIFS($X$2:$X$200,$G318)&gt;0,
     COUNTIFS($Y$2:$Y$200,$G318)&gt;0,
     COUNTIFS($Z$2:$Z$200,$G318)&gt;0,
     COUNTIFS($AA$2:$AA$200,$G318)&gt;0,
     COUNTIFS($AB$2:$AB$200,$G318)&gt;0,
     COUNTIFS($AC$2:$AC$200,$G318)&gt;0,
     COUNTIFS($AD$2:$AD$200,$G318)&gt;0,
     COUNTIFS($AE$2:$AE$200,$G318)&gt;0,
     COUNTIFS($AF$2:$AF$200,$G318)&gt;0,
     COUNTIFS($AG$2:$AG$200,$G318)&gt;0,
     COUNTIFS($AH$2:$AH$200,$G318)&gt;0,
     COUNTIFS($AI$2:$AI$200,$G318)&gt;0,
     COUNTIFS($AJ$2:$AJ$200,$G318)&gt;0,
     COUNTIFS($AK$2:$AK$200,$G318)&gt;0,
     COUNTIFS($AL$2:$AL$200,$G318)&gt;0,
     COUNTIFS($AM$2:$AM$200,$G318)&gt;0,
     COUNTIFS($AN$2:$AN$200,$G318)&gt;0,
     COUNTIFS($AO$2:$AO$200,$G318)&gt;0,
     COUNTIFS($AP$2:$AP$200,$G318)&gt;0,
     COUNTIFS($AQ$2:$AQ$200,$G318)&gt;0,
     COUNTIFS($AR$2:$AR$200,$G318)&gt;0,
     COUNTIFS($AS$2:$AS$200,$G318)&gt;0,
     COUNTIFS($AT$2:$AT$200,$G318)&gt;0,
     COUNTIFS($AU$2:$AU$200,$G318)&gt;0,
     COUNTIFS($AV$2:$AV$200,$G318)&gt;0,
     COUNTIFS($AW$2:$AW$200,$G318)&gt;0,
     COUNTIFS($AX$2:$AX$200,$G318)&gt;0,
     COUNTIFS($AY$2:$AY$200,$G318)&gt;0
   )),
  ),
  4
 ),
"")</f>
        <v/>
      </c>
      <c r="G318" t="str">
        <f ca="1"/>
        <v>Phyrexian Arena</v>
      </c>
      <c r="EU318" t="str">
        <f ca="1"/>
        <v>Taunting Sliver</v>
      </c>
      <c r="EX318" t="str">
        <f ca="1"/>
        <v>Phyrexian Arena</v>
      </c>
    </row>
    <row r="319" spans="1:154" x14ac:dyDescent="0.25">
      <c r="A319" s="2" t="str">
        <f t="shared" ca="1" si="14"/>
        <v>5</v>
      </c>
      <c r="B319" s="2">
        <f t="shared" ca="1" si="15"/>
        <v>1</v>
      </c>
      <c r="C319" s="2" t="str">
        <f ca="1">IFERROR(
 INDEX($V$1:$BL$1,
  MATCH(TRUE,
   CHOOSE({1;2;3;4;5;6;7;8;9;10;11;12;13;14;15;16;17;18;19;20;21;22;23;24;25;26;27;28;29;30;31;32;33;34;35;36;37;38;39;40;41;42;43},
    COUNTIFS($V$2:$V$200,$G319)&gt;0,
    COUNTIFS($W$2:$W$200,$G319)&gt;0,
    COUNTIFS($X$2:$X$200,$G319)&gt;0,
    COUNTIFS($Y$2:$Y$200,$G319)&gt;0,
    COUNTIFS($Z$2:$Z$200,$G319)&gt;0,
    COUNTIFS($AA$2:$AA$200,$G319)&gt;0,
    COUNTIFS($AB$2:$AB$200,$G319)&gt;0,
    COUNTIFS($AC$2:$AC$200,$G319)&gt;0,
    COUNTIFS($AD$2:$AD$200,$G319)&gt;0,
    COUNTIFS($AE$2:$AE$200,$G319)&gt;0,
    COUNTIFS($AF$2:$AF$200,$G319)&gt;0,
    COUNTIFS($AG$2:$AG$200,$G319)&gt;0,
    COUNTIFS($AH$2:$AH$200,$G319)&gt;0,
    COUNTIFS($AI$2:$AI$200,$G319)&gt;0,
    COUNTIFS($AJ$2:$AJ$200,$G319)&gt;0,
    COUNTIFS($AK$2:$AK$200,$G319)&gt;0,
    COUNTIFS($AL$2:$AL$200,$G319)&gt;0,
    COUNTIFS($AM$2:$AM$200,$G319)&gt;0,
    COUNTIFS($AN$2:$AN$200,$G319)&gt;0,
    COUNTIFS($AO$2:$AO$200,$G319)&gt;0,
    COUNTIFS($AP$2:$AP$200,$G319)&gt;0,
    COUNTIFS($AQ$2:$AQ$200,$G319)&gt;0,
    COUNTIFS($AR$2:$AR$200,$G319)&gt;0,
    COUNTIFS($AS$2:$AS$200,$G319)&gt;0,
    COUNTIFS($AT$2:$AT$200,$G319)&gt;0,
    COUNTIFS($AU$2:$AU$200,$G319)&gt;0,
    COUNTIFS($AV$2:$AV$200,$G319)&gt;0,
    COUNTIFS($AW$2:$AW$200,$G319)&gt;0,
    COUNTIFS($AX$2:$AX$200,$G319)&gt;0,
    COUNTIFS($AY$2:$AY$200,$G319)&gt;0,
    COUNTIFS($AZ$2:$AZ$200,$G319)&gt;0,
    COUNTIFS($BA$2:$BA$200,$G319)&gt;0,
    COUNTIFS($BB$2:$BB$200,$G319)&gt;0,
    COUNTIFS($BC$2:$BC$200,$G319)&gt;0,
    COUNTIFS($BD$2:$BD$200,$G319)&gt;0,
    COUNTIFS($BE$2:$BE$200,$G319)&gt;0,
    COUNTIFS($BF$2:$BF$200,$G319)&gt;0,
    COUNTIFS($BG$2:$BG$200,$G319)&gt;0,
    COUNTIFS($BH$2:$BH$200,$G319)&gt;0,
    COUNTIFS($BI$2:$BI$200,$G319)&gt;0,
    COUNTIFS($BJ$2:$BJ$200,$G319)&gt;0,
    COUNTIFS($BK$2:$BK$200,$G319)&gt;0,
    COUNTIFS($BL$2:$BL$200,$G319)&gt;0,
    COUNTIFS($BM$2:$BM$200,$G319)&gt;0,
   ),
  0)
 ),
"")</f>
        <v>Little</v>
      </c>
      <c r="D319" s="2" t="str" cm="1">
        <f t="array" aca="1" ref="D319" ca="1">IFERROR(
 INDEX(
  _xlfn._xlws.FILTER($V$1:$AY$1,
   TRANSPOSE(
    CHOOSE({1;2;3;4;5;6;7;8;9;10;11;12;13;14;15;16;17;18;19;20;21;22;23;24;25;26;27;28;29;30},
     COUNTIFS($V$2:$V$200,$G319)&gt;0,
     COUNTIFS($W$2:$W$200,$G319)&gt;0,
     COUNTIFS($X$2:$X$200,$G319)&gt;0,
     COUNTIFS($Y$2:$Y$200,$G319)&gt;0,
     COUNTIFS($Z$2:$Z$200,$G319)&gt;0,
     COUNTIFS($AA$2:$AA$200,$G319)&gt;0,
     COUNTIFS($AB$2:$AB$200,$G319)&gt;0,
     COUNTIFS($AC$2:$AC$200,$G319)&gt;0,
     COUNTIFS($AD$2:$AD$200,$G319)&gt;0,
     COUNTIFS($AE$2:$AE$200,$G319)&gt;0,
     COUNTIFS($AF$2:$AF$200,$G319)&gt;0,
     COUNTIFS($AG$2:$AG$200,$G319)&gt;0,
     COUNTIFS($AH$2:$AH$200,$G319)&gt;0,
     COUNTIFS($AI$2:$AI$200,$G319)&gt;0,
     COUNTIFS($AJ$2:$AJ$200,$G319)&gt;0,
     COUNTIFS($AK$2:$AK$200,$G319)&gt;0,
     COUNTIFS($AL$2:$AL$200,$G319)&gt;0,
     COUNTIFS($AM$2:$AM$200,$G319)&gt;0,
     COUNTIFS($AN$2:$AN$200,$G319)&gt;0,
     COUNTIFS($AO$2:$AO$200,$G319)&gt;0,
     COUNTIFS($AP$2:$AP$200,$G319)&gt;0,
     COUNTIFS($AQ$2:$AQ$200,$G319)&gt;0,
     COUNTIFS($AR$2:$AR$200,$G319)&gt;0,
     COUNTIFS($AS$2:$AS$200,$G319)&gt;0,
     COUNTIFS($AT$2:$AT$200,$G319)&gt;0,
     COUNTIFS($AU$2:$AU$200,$G319)&gt;0,
     COUNTIFS($AV$2:$AV$200,$G319)&gt;0,
     COUNTIFS($AW$2:$AW$200,$G319)&gt;0,
     COUNTIFS($AX$2:$AX$200,$G319)&gt;0,
     COUNTIFS($AY$2:$AY$200,$G319)&gt;0
   )),
  ),
  2
 ),
"")</f>
        <v/>
      </c>
      <c r="E319" s="2" t="str" cm="1">
        <f t="array" aca="1" ref="E319" ca="1">IFERROR(
 INDEX(
  _xlfn._xlws.FILTER($V$1:$AY$1,
   TRANSPOSE(
    CHOOSE({1;2;3;4;5;6;7;8;9;10;11;12;13;14;15;16;17;18;19;20;21;22;23;24;25;26;27;28;29;30},
     COUNTIFS($V$2:$V$200,$G319)&gt;0,
     COUNTIFS($W$2:$W$200,$G319)&gt;0,
     COUNTIFS($X$2:$X$200,$G319)&gt;0,
     COUNTIFS($Y$2:$Y$200,$G319)&gt;0,
     COUNTIFS($Z$2:$Z$200,$G319)&gt;0,
     COUNTIFS($AA$2:$AA$200,$G319)&gt;0,
     COUNTIFS($AB$2:$AB$200,$G319)&gt;0,
     COUNTIFS($AC$2:$AC$200,$G319)&gt;0,
     COUNTIFS($AD$2:$AD$200,$G319)&gt;0,
     COUNTIFS($AE$2:$AE$200,$G319)&gt;0,
     COUNTIFS($AF$2:$AF$200,$G319)&gt;0,
     COUNTIFS($AG$2:$AG$200,$G319)&gt;0,
     COUNTIFS($AH$2:$AH$200,$G319)&gt;0,
     COUNTIFS($AI$2:$AI$200,$G319)&gt;0,
     COUNTIFS($AJ$2:$AJ$200,$G319)&gt;0,
     COUNTIFS($AK$2:$AK$200,$G319)&gt;0,
     COUNTIFS($AL$2:$AL$200,$G319)&gt;0,
     COUNTIFS($AM$2:$AM$200,$G319)&gt;0,
     COUNTIFS($AN$2:$AN$200,$G319)&gt;0,
     COUNTIFS($AO$2:$AO$200,$G319)&gt;0,
     COUNTIFS($AP$2:$AP$200,$G319)&gt;0,
     COUNTIFS($AQ$2:$AQ$200,$G319)&gt;0,
     COUNTIFS($AR$2:$AR$200,$G319)&gt;0,
     COUNTIFS($AS$2:$AS$200,$G319)&gt;0,
     COUNTIFS($AT$2:$AT$200,$G319)&gt;0,
     COUNTIFS($AU$2:$AU$200,$G319)&gt;0,
     COUNTIFS($AV$2:$AV$200,$G319)&gt;0,
     COUNTIFS($AW$2:$AW$200,$G319)&gt;0,
     COUNTIFS($AX$2:$AX$200,$G319)&gt;0,
     COUNTIFS($AY$2:$AY$200,$G319)&gt;0
   )),
  ),
  3
 ),
"")</f>
        <v/>
      </c>
      <c r="F319" s="2" t="str" cm="1">
        <f t="array" aca="1" ref="F319" ca="1">IFERROR(
 INDEX(
  _xlfn._xlws.FILTER($V$1:$AY$1,
   TRANSPOSE(
    CHOOSE({1;2;3;4;5;6;7;8;9;10;11;12;13;14;15;16;17;18;19;20;21;22;23;24;25;26;27;28;29;30},
     COUNTIFS($V$2:$V$200,$G319)&gt;0,
     COUNTIFS($W$2:$W$200,$G319)&gt;0,
     COUNTIFS($X$2:$X$200,$G319)&gt;0,
     COUNTIFS($Y$2:$Y$200,$G319)&gt;0,
     COUNTIFS($Z$2:$Z$200,$G319)&gt;0,
     COUNTIFS($AA$2:$AA$200,$G319)&gt;0,
     COUNTIFS($AB$2:$AB$200,$G319)&gt;0,
     COUNTIFS($AC$2:$AC$200,$G319)&gt;0,
     COUNTIFS($AD$2:$AD$200,$G319)&gt;0,
     COUNTIFS($AE$2:$AE$200,$G319)&gt;0,
     COUNTIFS($AF$2:$AF$200,$G319)&gt;0,
     COUNTIFS($AG$2:$AG$200,$G319)&gt;0,
     COUNTIFS($AH$2:$AH$200,$G319)&gt;0,
     COUNTIFS($AI$2:$AI$200,$G319)&gt;0,
     COUNTIFS($AJ$2:$AJ$200,$G319)&gt;0,
     COUNTIFS($AK$2:$AK$200,$G319)&gt;0,
     COUNTIFS($AL$2:$AL$200,$G319)&gt;0,
     COUNTIFS($AM$2:$AM$200,$G319)&gt;0,
     COUNTIFS($AN$2:$AN$200,$G319)&gt;0,
     COUNTIFS($AO$2:$AO$200,$G319)&gt;0,
     COUNTIFS($AP$2:$AP$200,$G319)&gt;0,
     COUNTIFS($AQ$2:$AQ$200,$G319)&gt;0,
     COUNTIFS($AR$2:$AR$200,$G319)&gt;0,
     COUNTIFS($AS$2:$AS$200,$G319)&gt;0,
     COUNTIFS($AT$2:$AT$200,$G319)&gt;0,
     COUNTIFS($AU$2:$AU$200,$G319)&gt;0,
     COUNTIFS($AV$2:$AV$200,$G319)&gt;0,
     COUNTIFS($AW$2:$AW$200,$G319)&gt;0,
     COUNTIFS($AX$2:$AX$200,$G319)&gt;0,
     COUNTIFS($AY$2:$AY$200,$G319)&gt;0
   )),
  ),
  4
 ),
"")</f>
        <v/>
      </c>
      <c r="G319" t="str">
        <f ca="1"/>
        <v>Phyrexian Dragon Engine</v>
      </c>
      <c r="EU319" t="str">
        <f ca="1"/>
        <v>Teferi's Ageless Insight</v>
      </c>
      <c r="EX319" t="str">
        <f ca="1"/>
        <v>Phyrexian Dragon Engine</v>
      </c>
    </row>
    <row r="320" spans="1:154" x14ac:dyDescent="0.25">
      <c r="A320" s="2" t="str">
        <f t="shared" ca="1" si="14"/>
        <v>2</v>
      </c>
      <c r="B320" s="2">
        <f t="shared" ca="1" si="15"/>
        <v>1</v>
      </c>
      <c r="C320" s="2" t="str">
        <f ca="1">IFERROR(
 INDEX($V$1:$BL$1,
  MATCH(TRUE,
   CHOOSE({1;2;3;4;5;6;7;8;9;10;11;12;13;14;15;16;17;18;19;20;21;22;23;24;25;26;27;28;29;30;31;32;33;34;35;36;37;38;39;40;41;42;43},
    COUNTIFS($V$2:$V$200,$G320)&gt;0,
    COUNTIFS($W$2:$W$200,$G320)&gt;0,
    COUNTIFS($X$2:$X$200,$G320)&gt;0,
    COUNTIFS($Y$2:$Y$200,$G320)&gt;0,
    COUNTIFS($Z$2:$Z$200,$G320)&gt;0,
    COUNTIFS($AA$2:$AA$200,$G320)&gt;0,
    COUNTIFS($AB$2:$AB$200,$G320)&gt;0,
    COUNTIFS($AC$2:$AC$200,$G320)&gt;0,
    COUNTIFS($AD$2:$AD$200,$G320)&gt;0,
    COUNTIFS($AE$2:$AE$200,$G320)&gt;0,
    COUNTIFS($AF$2:$AF$200,$G320)&gt;0,
    COUNTIFS($AG$2:$AG$200,$G320)&gt;0,
    COUNTIFS($AH$2:$AH$200,$G320)&gt;0,
    COUNTIFS($AI$2:$AI$200,$G320)&gt;0,
    COUNTIFS($AJ$2:$AJ$200,$G320)&gt;0,
    COUNTIFS($AK$2:$AK$200,$G320)&gt;0,
    COUNTIFS($AL$2:$AL$200,$G320)&gt;0,
    COUNTIFS($AM$2:$AM$200,$G320)&gt;0,
    COUNTIFS($AN$2:$AN$200,$G320)&gt;0,
    COUNTIFS($AO$2:$AO$200,$G320)&gt;0,
    COUNTIFS($AP$2:$AP$200,$G320)&gt;0,
    COUNTIFS($AQ$2:$AQ$200,$G320)&gt;0,
    COUNTIFS($AR$2:$AR$200,$G320)&gt;0,
    COUNTIFS($AS$2:$AS$200,$G320)&gt;0,
    COUNTIFS($AT$2:$AT$200,$G320)&gt;0,
    COUNTIFS($AU$2:$AU$200,$G320)&gt;0,
    COUNTIFS($AV$2:$AV$200,$G320)&gt;0,
    COUNTIFS($AW$2:$AW$200,$G320)&gt;0,
    COUNTIFS($AX$2:$AX$200,$G320)&gt;0,
    COUNTIFS($AY$2:$AY$200,$G320)&gt;0,
    COUNTIFS($AZ$2:$AZ$200,$G320)&gt;0,
    COUNTIFS($BA$2:$BA$200,$G320)&gt;0,
    COUNTIFS($BB$2:$BB$200,$G320)&gt;0,
    COUNTIFS($BC$2:$BC$200,$G320)&gt;0,
    COUNTIFS($BD$2:$BD$200,$G320)&gt;0,
    COUNTIFS($BE$2:$BE$200,$G320)&gt;0,
    COUNTIFS($BF$2:$BF$200,$G320)&gt;0,
    COUNTIFS($BG$2:$BG$200,$G320)&gt;0,
    COUNTIFS($BH$2:$BH$200,$G320)&gt;0,
    COUNTIFS($BI$2:$BI$200,$G320)&gt;0,
    COUNTIFS($BJ$2:$BJ$200,$G320)&gt;0,
    COUNTIFS($BK$2:$BK$200,$G320)&gt;0,
    COUNTIFS($BL$2:$BL$200,$G320)&gt;0,
    COUNTIFS($BM$2:$BM$200,$G320)&gt;0,
   ),
  0)
 ),
"")</f>
        <v>Gitrog</v>
      </c>
      <c r="D320" s="2" t="str" cm="1">
        <f t="array" aca="1" ref="D320" ca="1">IFERROR(
 INDEX(
  _xlfn._xlws.FILTER($V$1:$AY$1,
   TRANSPOSE(
    CHOOSE({1;2;3;4;5;6;7;8;9;10;11;12;13;14;15;16;17;18;19;20;21;22;23;24;25;26;27;28;29;30},
     COUNTIFS($V$2:$V$200,$G320)&gt;0,
     COUNTIFS($W$2:$W$200,$G320)&gt;0,
     COUNTIFS($X$2:$X$200,$G320)&gt;0,
     COUNTIFS($Y$2:$Y$200,$G320)&gt;0,
     COUNTIFS($Z$2:$Z$200,$G320)&gt;0,
     COUNTIFS($AA$2:$AA$200,$G320)&gt;0,
     COUNTIFS($AB$2:$AB$200,$G320)&gt;0,
     COUNTIFS($AC$2:$AC$200,$G320)&gt;0,
     COUNTIFS($AD$2:$AD$200,$G320)&gt;0,
     COUNTIFS($AE$2:$AE$200,$G320)&gt;0,
     COUNTIFS($AF$2:$AF$200,$G320)&gt;0,
     COUNTIFS($AG$2:$AG$200,$G320)&gt;0,
     COUNTIFS($AH$2:$AH$200,$G320)&gt;0,
     COUNTIFS($AI$2:$AI$200,$G320)&gt;0,
     COUNTIFS($AJ$2:$AJ$200,$G320)&gt;0,
     COUNTIFS($AK$2:$AK$200,$G320)&gt;0,
     COUNTIFS($AL$2:$AL$200,$G320)&gt;0,
     COUNTIFS($AM$2:$AM$200,$G320)&gt;0,
     COUNTIFS($AN$2:$AN$200,$G320)&gt;0,
     COUNTIFS($AO$2:$AO$200,$G320)&gt;0,
     COUNTIFS($AP$2:$AP$200,$G320)&gt;0,
     COUNTIFS($AQ$2:$AQ$200,$G320)&gt;0,
     COUNTIFS($AR$2:$AR$200,$G320)&gt;0,
     COUNTIFS($AS$2:$AS$200,$G320)&gt;0,
     COUNTIFS($AT$2:$AT$200,$G320)&gt;0,
     COUNTIFS($AU$2:$AU$200,$G320)&gt;0,
     COUNTIFS($AV$2:$AV$200,$G320)&gt;0,
     COUNTIFS($AW$2:$AW$200,$G320)&gt;0,
     COUNTIFS($AX$2:$AX$200,$G320)&gt;0,
     COUNTIFS($AY$2:$AY$200,$G320)&gt;0
   )),
  ),
  2
 ),
"")</f>
        <v/>
      </c>
      <c r="E320" s="2" t="str" cm="1">
        <f t="array" aca="1" ref="E320" ca="1">IFERROR(
 INDEX(
  _xlfn._xlws.FILTER($V$1:$AY$1,
   TRANSPOSE(
    CHOOSE({1;2;3;4;5;6;7;8;9;10;11;12;13;14;15;16;17;18;19;20;21;22;23;24;25;26;27;28;29;30},
     COUNTIFS($V$2:$V$200,$G320)&gt;0,
     COUNTIFS($W$2:$W$200,$G320)&gt;0,
     COUNTIFS($X$2:$X$200,$G320)&gt;0,
     COUNTIFS($Y$2:$Y$200,$G320)&gt;0,
     COUNTIFS($Z$2:$Z$200,$G320)&gt;0,
     COUNTIFS($AA$2:$AA$200,$G320)&gt;0,
     COUNTIFS($AB$2:$AB$200,$G320)&gt;0,
     COUNTIFS($AC$2:$AC$200,$G320)&gt;0,
     COUNTIFS($AD$2:$AD$200,$G320)&gt;0,
     COUNTIFS($AE$2:$AE$200,$G320)&gt;0,
     COUNTIFS($AF$2:$AF$200,$G320)&gt;0,
     COUNTIFS($AG$2:$AG$200,$G320)&gt;0,
     COUNTIFS($AH$2:$AH$200,$G320)&gt;0,
     COUNTIFS($AI$2:$AI$200,$G320)&gt;0,
     COUNTIFS($AJ$2:$AJ$200,$G320)&gt;0,
     COUNTIFS($AK$2:$AK$200,$G320)&gt;0,
     COUNTIFS($AL$2:$AL$200,$G320)&gt;0,
     COUNTIFS($AM$2:$AM$200,$G320)&gt;0,
     COUNTIFS($AN$2:$AN$200,$G320)&gt;0,
     COUNTIFS($AO$2:$AO$200,$G320)&gt;0,
     COUNTIFS($AP$2:$AP$200,$G320)&gt;0,
     COUNTIFS($AQ$2:$AQ$200,$G320)&gt;0,
     COUNTIFS($AR$2:$AR$200,$G320)&gt;0,
     COUNTIFS($AS$2:$AS$200,$G320)&gt;0,
     COUNTIFS($AT$2:$AT$200,$G320)&gt;0,
     COUNTIFS($AU$2:$AU$200,$G320)&gt;0,
     COUNTIFS($AV$2:$AV$200,$G320)&gt;0,
     COUNTIFS($AW$2:$AW$200,$G320)&gt;0,
     COUNTIFS($AX$2:$AX$200,$G320)&gt;0,
     COUNTIFS($AY$2:$AY$200,$G320)&gt;0
   )),
  ),
  3
 ),
"")</f>
        <v/>
      </c>
      <c r="F320" s="2" t="str" cm="1">
        <f t="array" aca="1" ref="F320" ca="1">IFERROR(
 INDEX(
  _xlfn._xlws.FILTER($V$1:$AY$1,
   TRANSPOSE(
    CHOOSE({1;2;3;4;5;6;7;8;9;10;11;12;13;14;15;16;17;18;19;20;21;22;23;24;25;26;27;28;29;30},
     COUNTIFS($V$2:$V$200,$G320)&gt;0,
     COUNTIFS($W$2:$W$200,$G320)&gt;0,
     COUNTIFS($X$2:$X$200,$G320)&gt;0,
     COUNTIFS($Y$2:$Y$200,$G320)&gt;0,
     COUNTIFS($Z$2:$Z$200,$G320)&gt;0,
     COUNTIFS($AA$2:$AA$200,$G320)&gt;0,
     COUNTIFS($AB$2:$AB$200,$G320)&gt;0,
     COUNTIFS($AC$2:$AC$200,$G320)&gt;0,
     COUNTIFS($AD$2:$AD$200,$G320)&gt;0,
     COUNTIFS($AE$2:$AE$200,$G320)&gt;0,
     COUNTIFS($AF$2:$AF$200,$G320)&gt;0,
     COUNTIFS($AG$2:$AG$200,$G320)&gt;0,
     COUNTIFS($AH$2:$AH$200,$G320)&gt;0,
     COUNTIFS($AI$2:$AI$200,$G320)&gt;0,
     COUNTIFS($AJ$2:$AJ$200,$G320)&gt;0,
     COUNTIFS($AK$2:$AK$200,$G320)&gt;0,
     COUNTIFS($AL$2:$AL$200,$G320)&gt;0,
     COUNTIFS($AM$2:$AM$200,$G320)&gt;0,
     COUNTIFS($AN$2:$AN$200,$G320)&gt;0,
     COUNTIFS($AO$2:$AO$200,$G320)&gt;0,
     COUNTIFS($AP$2:$AP$200,$G320)&gt;0,
     COUNTIFS($AQ$2:$AQ$200,$G320)&gt;0,
     COUNTIFS($AR$2:$AR$200,$G320)&gt;0,
     COUNTIFS($AS$2:$AS$200,$G320)&gt;0,
     COUNTIFS($AT$2:$AT$200,$G320)&gt;0,
     COUNTIFS($AU$2:$AU$200,$G320)&gt;0,
     COUNTIFS($AV$2:$AV$200,$G320)&gt;0,
     COUNTIFS($AW$2:$AW$200,$G320)&gt;0,
     COUNTIFS($AX$2:$AX$200,$G320)&gt;0,
     COUNTIFS($AY$2:$AY$200,$G320)&gt;0
   )),
  ),
  4
 ),
"")</f>
        <v/>
      </c>
      <c r="G320" t="str">
        <f ca="1"/>
        <v>Phyrexian Tower</v>
      </c>
      <c r="EU320" t="str">
        <f ca="1"/>
        <v>Telekinetic Sliver</v>
      </c>
      <c r="EX320" t="str">
        <f ca="1"/>
        <v>Phyrexian Tower</v>
      </c>
    </row>
    <row r="321" spans="1:154" x14ac:dyDescent="0.25">
      <c r="A321" s="2" t="str">
        <f t="shared" ca="1" si="14"/>
        <v>5</v>
      </c>
      <c r="B321" s="2">
        <f t="shared" ca="1" si="15"/>
        <v>29</v>
      </c>
      <c r="C321" s="2" t="str">
        <f ca="1">IFERROR(
 INDEX($V$1:$BL$1,
  MATCH(TRUE,
   CHOOSE({1;2;3;4;5;6;7;8;9;10;11;12;13;14;15;16;17;18;19;20;21;22;23;24;25;26;27;28;29;30;31;32;33;34;35;36;37;38;39;40;41;42;43},
    COUNTIFS($V$2:$V$200,$G321)&gt;0,
    COUNTIFS($W$2:$W$200,$G321)&gt;0,
    COUNTIFS($X$2:$X$200,$G321)&gt;0,
    COUNTIFS($Y$2:$Y$200,$G321)&gt;0,
    COUNTIFS($Z$2:$Z$200,$G321)&gt;0,
    COUNTIFS($AA$2:$AA$200,$G321)&gt;0,
    COUNTIFS($AB$2:$AB$200,$G321)&gt;0,
    COUNTIFS($AC$2:$AC$200,$G321)&gt;0,
    COUNTIFS($AD$2:$AD$200,$G321)&gt;0,
    COUNTIFS($AE$2:$AE$200,$G321)&gt;0,
    COUNTIFS($AF$2:$AF$200,$G321)&gt;0,
    COUNTIFS($AG$2:$AG$200,$G321)&gt;0,
    COUNTIFS($AH$2:$AH$200,$G321)&gt;0,
    COUNTIFS($AI$2:$AI$200,$G321)&gt;0,
    COUNTIFS($AJ$2:$AJ$200,$G321)&gt;0,
    COUNTIFS($AK$2:$AK$200,$G321)&gt;0,
    COUNTIFS($AL$2:$AL$200,$G321)&gt;0,
    COUNTIFS($AM$2:$AM$200,$G321)&gt;0,
    COUNTIFS($AN$2:$AN$200,$G321)&gt;0,
    COUNTIFS($AO$2:$AO$200,$G321)&gt;0,
    COUNTIFS($AP$2:$AP$200,$G321)&gt;0,
    COUNTIFS($AQ$2:$AQ$200,$G321)&gt;0,
    COUNTIFS($AR$2:$AR$200,$G321)&gt;0,
    COUNTIFS($AS$2:$AS$200,$G321)&gt;0,
    COUNTIFS($AT$2:$AT$200,$G321)&gt;0,
    COUNTIFS($AU$2:$AU$200,$G321)&gt;0,
    COUNTIFS($AV$2:$AV$200,$G321)&gt;0,
    COUNTIFS($AW$2:$AW$200,$G321)&gt;0,
    COUNTIFS($AX$2:$AX$200,$G321)&gt;0,
    COUNTIFS($AY$2:$AY$200,$G321)&gt;0,
    COUNTIFS($AZ$2:$AZ$200,$G321)&gt;0,
    COUNTIFS($BA$2:$BA$200,$G321)&gt;0,
    COUNTIFS($BB$2:$BB$200,$G321)&gt;0,
    COUNTIFS($BC$2:$BC$200,$G321)&gt;0,
    COUNTIFS($BD$2:$BD$200,$G321)&gt;0,
    COUNTIFS($BE$2:$BE$200,$G321)&gt;0,
    COUNTIFS($BF$2:$BF$200,$G321)&gt;0,
    COUNTIFS($BG$2:$BG$200,$G321)&gt;0,
    COUNTIFS($BH$2:$BH$200,$G321)&gt;0,
    COUNTIFS($BI$2:$BI$200,$G321)&gt;0,
    COUNTIFS($BJ$2:$BJ$200,$G321)&gt;0,
    COUNTIFS($BK$2:$BK$200,$G321)&gt;0,
    COUNTIFS($BL$2:$BL$200,$G321)&gt;0,
    COUNTIFS($BM$2:$BM$200,$G321)&gt;0,
   ),
  0)
 ),
"")</f>
        <v>Fractius</v>
      </c>
      <c r="D321" s="2" t="str" cm="1">
        <f t="array" aca="1" ref="D321" ca="1">IFERROR(
 INDEX(
  _xlfn._xlws.FILTER($V$1:$AY$1,
   TRANSPOSE(
    CHOOSE({1;2;3;4;5;6;7;8;9;10;11;12;13;14;15;16;17;18;19;20;21;22;23;24;25;26;27;28;29;30},
     COUNTIFS($V$2:$V$200,$G321)&gt;0,
     COUNTIFS($W$2:$W$200,$G321)&gt;0,
     COUNTIFS($X$2:$X$200,$G321)&gt;0,
     COUNTIFS($Y$2:$Y$200,$G321)&gt;0,
     COUNTIFS($Z$2:$Z$200,$G321)&gt;0,
     COUNTIFS($AA$2:$AA$200,$G321)&gt;0,
     COUNTIFS($AB$2:$AB$200,$G321)&gt;0,
     COUNTIFS($AC$2:$AC$200,$G321)&gt;0,
     COUNTIFS($AD$2:$AD$200,$G321)&gt;0,
     COUNTIFS($AE$2:$AE$200,$G321)&gt;0,
     COUNTIFS($AF$2:$AF$200,$G321)&gt;0,
     COUNTIFS($AG$2:$AG$200,$G321)&gt;0,
     COUNTIFS($AH$2:$AH$200,$G321)&gt;0,
     COUNTIFS($AI$2:$AI$200,$G321)&gt;0,
     COUNTIFS($AJ$2:$AJ$200,$G321)&gt;0,
     COUNTIFS($AK$2:$AK$200,$G321)&gt;0,
     COUNTIFS($AL$2:$AL$200,$G321)&gt;0,
     COUNTIFS($AM$2:$AM$200,$G321)&gt;0,
     COUNTIFS($AN$2:$AN$200,$G321)&gt;0,
     COUNTIFS($AO$2:$AO$200,$G321)&gt;0,
     COUNTIFS($AP$2:$AP$200,$G321)&gt;0,
     COUNTIFS($AQ$2:$AQ$200,$G321)&gt;0,
     COUNTIFS($AR$2:$AR$200,$G321)&gt;0,
     COUNTIFS($AS$2:$AS$200,$G321)&gt;0,
     COUNTIFS($AT$2:$AT$200,$G321)&gt;0,
     COUNTIFS($AU$2:$AU$200,$G321)&gt;0,
     COUNTIFS($AV$2:$AV$200,$G321)&gt;0,
     COUNTIFS($AW$2:$AW$200,$G321)&gt;0,
     COUNTIFS($AX$2:$AX$200,$G321)&gt;0,
     COUNTIFS($AY$2:$AY$200,$G321)&gt;0
   )),
  ),
  2
 ),
"")</f>
        <v/>
      </c>
      <c r="E321" s="2" t="str" cm="1">
        <f t="array" aca="1" ref="E321" ca="1">IFERROR(
 INDEX(
  _xlfn._xlws.FILTER($V$1:$AY$1,
   TRANSPOSE(
    CHOOSE({1;2;3;4;5;6;7;8;9;10;11;12;13;14;15;16;17;18;19;20;21;22;23;24;25;26;27;28;29;30},
     COUNTIFS($V$2:$V$200,$G321)&gt;0,
     COUNTIFS($W$2:$W$200,$G321)&gt;0,
     COUNTIFS($X$2:$X$200,$G321)&gt;0,
     COUNTIFS($Y$2:$Y$200,$G321)&gt;0,
     COUNTIFS($Z$2:$Z$200,$G321)&gt;0,
     COUNTIFS($AA$2:$AA$200,$G321)&gt;0,
     COUNTIFS($AB$2:$AB$200,$G321)&gt;0,
     COUNTIFS($AC$2:$AC$200,$G321)&gt;0,
     COUNTIFS($AD$2:$AD$200,$G321)&gt;0,
     COUNTIFS($AE$2:$AE$200,$G321)&gt;0,
     COUNTIFS($AF$2:$AF$200,$G321)&gt;0,
     COUNTIFS($AG$2:$AG$200,$G321)&gt;0,
     COUNTIFS($AH$2:$AH$200,$G321)&gt;0,
     COUNTIFS($AI$2:$AI$200,$G321)&gt;0,
     COUNTIFS($AJ$2:$AJ$200,$G321)&gt;0,
     COUNTIFS($AK$2:$AK$200,$G321)&gt;0,
     COUNTIFS($AL$2:$AL$200,$G321)&gt;0,
     COUNTIFS($AM$2:$AM$200,$G321)&gt;0,
     COUNTIFS($AN$2:$AN$200,$G321)&gt;0,
     COUNTIFS($AO$2:$AO$200,$G321)&gt;0,
     COUNTIFS($AP$2:$AP$200,$G321)&gt;0,
     COUNTIFS($AQ$2:$AQ$200,$G321)&gt;0,
     COUNTIFS($AR$2:$AR$200,$G321)&gt;0,
     COUNTIFS($AS$2:$AS$200,$G321)&gt;0,
     COUNTIFS($AT$2:$AT$200,$G321)&gt;0,
     COUNTIFS($AU$2:$AU$200,$G321)&gt;0,
     COUNTIFS($AV$2:$AV$200,$G321)&gt;0,
     COUNTIFS($AW$2:$AW$200,$G321)&gt;0,
     COUNTIFS($AX$2:$AX$200,$G321)&gt;0,
     COUNTIFS($AY$2:$AY$200,$G321)&gt;0
   )),
  ),
  3
 ),
"")</f>
        <v/>
      </c>
      <c r="F321" s="2" t="str" cm="1">
        <f t="array" aca="1" ref="F321" ca="1">IFERROR(
 INDEX(
  _xlfn._xlws.FILTER($V$1:$AY$1,
   TRANSPOSE(
    CHOOSE({1;2;3;4;5;6;7;8;9;10;11;12;13;14;15;16;17;18;19;20;21;22;23;24;25;26;27;28;29;30},
     COUNTIFS($V$2:$V$200,$G321)&gt;0,
     COUNTIFS($W$2:$W$200,$G321)&gt;0,
     COUNTIFS($X$2:$X$200,$G321)&gt;0,
     COUNTIFS($Y$2:$Y$200,$G321)&gt;0,
     COUNTIFS($Z$2:$Z$200,$G321)&gt;0,
     COUNTIFS($AA$2:$AA$200,$G321)&gt;0,
     COUNTIFS($AB$2:$AB$200,$G321)&gt;0,
     COUNTIFS($AC$2:$AC$200,$G321)&gt;0,
     COUNTIFS($AD$2:$AD$200,$G321)&gt;0,
     COUNTIFS($AE$2:$AE$200,$G321)&gt;0,
     COUNTIFS($AF$2:$AF$200,$G321)&gt;0,
     COUNTIFS($AG$2:$AG$200,$G321)&gt;0,
     COUNTIFS($AH$2:$AH$200,$G321)&gt;0,
     COUNTIFS($AI$2:$AI$200,$G321)&gt;0,
     COUNTIFS($AJ$2:$AJ$200,$G321)&gt;0,
     COUNTIFS($AK$2:$AK$200,$G321)&gt;0,
     COUNTIFS($AL$2:$AL$200,$G321)&gt;0,
     COUNTIFS($AM$2:$AM$200,$G321)&gt;0,
     COUNTIFS($AN$2:$AN$200,$G321)&gt;0,
     COUNTIFS($AO$2:$AO$200,$G321)&gt;0,
     COUNTIFS($AP$2:$AP$200,$G321)&gt;0,
     COUNTIFS($AQ$2:$AQ$200,$G321)&gt;0,
     COUNTIFS($AR$2:$AR$200,$G321)&gt;0,
     COUNTIFS($AS$2:$AS$200,$G321)&gt;0,
     COUNTIFS($AT$2:$AT$200,$G321)&gt;0,
     COUNTIFS($AU$2:$AU$200,$G321)&gt;0,
     COUNTIFS($AV$2:$AV$200,$G321)&gt;0,
     COUNTIFS($AW$2:$AW$200,$G321)&gt;0,
     COUNTIFS($AX$2:$AX$200,$G321)&gt;0,
     COUNTIFS($AY$2:$AY$200,$G321)&gt;0
   )),
  ),
  4
 ),
"")</f>
        <v/>
      </c>
      <c r="G321" t="str">
        <f ca="1"/>
        <v>Plains</v>
      </c>
      <c r="EU321" t="str">
        <f ca="1"/>
        <v>Temple Garden</v>
      </c>
      <c r="EX321" t="str">
        <f ca="1"/>
        <v>Plains</v>
      </c>
    </row>
    <row r="322" spans="1:154" x14ac:dyDescent="0.25">
      <c r="A322" s="2" t="str">
        <f t="shared" ca="1" si="14"/>
        <v>5</v>
      </c>
      <c r="B322" s="2">
        <f t="shared" ca="1" si="15"/>
        <v>1</v>
      </c>
      <c r="C322" s="2" t="str">
        <f ca="1">IFERROR(
 INDEX($V$1:$BL$1,
  MATCH(TRUE,
   CHOOSE({1;2;3;4;5;6;7;8;9;10;11;12;13;14;15;16;17;18;19;20;21;22;23;24;25;26;27;28;29;30;31;32;33;34;35;36;37;38;39;40;41;42;43},
    COUNTIFS($V$2:$V$200,$G322)&gt;0,
    COUNTIFS($W$2:$W$200,$G322)&gt;0,
    COUNTIFS($X$2:$X$200,$G322)&gt;0,
    COUNTIFS($Y$2:$Y$200,$G322)&gt;0,
    COUNTIFS($Z$2:$Z$200,$G322)&gt;0,
    COUNTIFS($AA$2:$AA$200,$G322)&gt;0,
    COUNTIFS($AB$2:$AB$200,$G322)&gt;0,
    COUNTIFS($AC$2:$AC$200,$G322)&gt;0,
    COUNTIFS($AD$2:$AD$200,$G322)&gt;0,
    COUNTIFS($AE$2:$AE$200,$G322)&gt;0,
    COUNTIFS($AF$2:$AF$200,$G322)&gt;0,
    COUNTIFS($AG$2:$AG$200,$G322)&gt;0,
    COUNTIFS($AH$2:$AH$200,$G322)&gt;0,
    COUNTIFS($AI$2:$AI$200,$G322)&gt;0,
    COUNTIFS($AJ$2:$AJ$200,$G322)&gt;0,
    COUNTIFS($AK$2:$AK$200,$G322)&gt;0,
    COUNTIFS($AL$2:$AL$200,$G322)&gt;0,
    COUNTIFS($AM$2:$AM$200,$G322)&gt;0,
    COUNTIFS($AN$2:$AN$200,$G322)&gt;0,
    COUNTIFS($AO$2:$AO$200,$G322)&gt;0,
    COUNTIFS($AP$2:$AP$200,$G322)&gt;0,
    COUNTIFS($AQ$2:$AQ$200,$G322)&gt;0,
    COUNTIFS($AR$2:$AR$200,$G322)&gt;0,
    COUNTIFS($AS$2:$AS$200,$G322)&gt;0,
    COUNTIFS($AT$2:$AT$200,$G322)&gt;0,
    COUNTIFS($AU$2:$AU$200,$G322)&gt;0,
    COUNTIFS($AV$2:$AV$200,$G322)&gt;0,
    COUNTIFS($AW$2:$AW$200,$G322)&gt;0,
    COUNTIFS($AX$2:$AX$200,$G322)&gt;0,
    COUNTIFS($AY$2:$AY$200,$G322)&gt;0,
    COUNTIFS($AZ$2:$AZ$200,$G322)&gt;0,
    COUNTIFS($BA$2:$BA$200,$G322)&gt;0,
    COUNTIFS($BB$2:$BB$200,$G322)&gt;0,
    COUNTIFS($BC$2:$BC$200,$G322)&gt;0,
    COUNTIFS($BD$2:$BD$200,$G322)&gt;0,
    COUNTIFS($BE$2:$BE$200,$G322)&gt;0,
    COUNTIFS($BF$2:$BF$200,$G322)&gt;0,
    COUNTIFS($BG$2:$BG$200,$G322)&gt;0,
    COUNTIFS($BH$2:$BH$200,$G322)&gt;0,
    COUNTIFS($BI$2:$BI$200,$G322)&gt;0,
    COUNTIFS($BJ$2:$BJ$200,$G322)&gt;0,
    COUNTIFS($BK$2:$BK$200,$G322)&gt;0,
    COUNTIFS($BL$2:$BL$200,$G322)&gt;0,
    COUNTIFS($BM$2:$BM$200,$G322)&gt;0,
   ),
  0)
 ),
"")</f>
        <v>4cRash</v>
      </c>
      <c r="D322" s="2" t="str" cm="1">
        <f t="array" aca="1" ref="D322" ca="1">IFERROR(
 INDEX(
  _xlfn._xlws.FILTER($V$1:$AY$1,
   TRANSPOSE(
    CHOOSE({1;2;3;4;5;6;7;8;9;10;11;12;13;14;15;16;17;18;19;20;21;22;23;24;25;26;27;28;29;30},
     COUNTIFS($V$2:$V$200,$G322)&gt;0,
     COUNTIFS($W$2:$W$200,$G322)&gt;0,
     COUNTIFS($X$2:$X$200,$G322)&gt;0,
     COUNTIFS($Y$2:$Y$200,$G322)&gt;0,
     COUNTIFS($Z$2:$Z$200,$G322)&gt;0,
     COUNTIFS($AA$2:$AA$200,$G322)&gt;0,
     COUNTIFS($AB$2:$AB$200,$G322)&gt;0,
     COUNTIFS($AC$2:$AC$200,$G322)&gt;0,
     COUNTIFS($AD$2:$AD$200,$G322)&gt;0,
     COUNTIFS($AE$2:$AE$200,$G322)&gt;0,
     COUNTIFS($AF$2:$AF$200,$G322)&gt;0,
     COUNTIFS($AG$2:$AG$200,$G322)&gt;0,
     COUNTIFS($AH$2:$AH$200,$G322)&gt;0,
     COUNTIFS($AI$2:$AI$200,$G322)&gt;0,
     COUNTIFS($AJ$2:$AJ$200,$G322)&gt;0,
     COUNTIFS($AK$2:$AK$200,$G322)&gt;0,
     COUNTIFS($AL$2:$AL$200,$G322)&gt;0,
     COUNTIFS($AM$2:$AM$200,$G322)&gt;0,
     COUNTIFS($AN$2:$AN$200,$G322)&gt;0,
     COUNTIFS($AO$2:$AO$200,$G322)&gt;0,
     COUNTIFS($AP$2:$AP$200,$G322)&gt;0,
     COUNTIFS($AQ$2:$AQ$200,$G322)&gt;0,
     COUNTIFS($AR$2:$AR$200,$G322)&gt;0,
     COUNTIFS($AS$2:$AS$200,$G322)&gt;0,
     COUNTIFS($AT$2:$AT$200,$G322)&gt;0,
     COUNTIFS($AU$2:$AU$200,$G322)&gt;0,
     COUNTIFS($AV$2:$AV$200,$G322)&gt;0,
     COUNTIFS($AW$2:$AW$200,$G322)&gt;0,
     COUNTIFS($AX$2:$AX$200,$G322)&gt;0,
     COUNTIFS($AY$2:$AY$200,$G322)&gt;0
   )),
  ),
  2
 ),
"")</f>
        <v/>
      </c>
      <c r="E322" s="2" t="str" cm="1">
        <f t="array" aca="1" ref="E322" ca="1">IFERROR(
 INDEX(
  _xlfn._xlws.FILTER($V$1:$AY$1,
   TRANSPOSE(
    CHOOSE({1;2;3;4;5;6;7;8;9;10;11;12;13;14;15;16;17;18;19;20;21;22;23;24;25;26;27;28;29;30},
     COUNTIFS($V$2:$V$200,$G322)&gt;0,
     COUNTIFS($W$2:$W$200,$G322)&gt;0,
     COUNTIFS($X$2:$X$200,$G322)&gt;0,
     COUNTIFS($Y$2:$Y$200,$G322)&gt;0,
     COUNTIFS($Z$2:$Z$200,$G322)&gt;0,
     COUNTIFS($AA$2:$AA$200,$G322)&gt;0,
     COUNTIFS($AB$2:$AB$200,$G322)&gt;0,
     COUNTIFS($AC$2:$AC$200,$G322)&gt;0,
     COUNTIFS($AD$2:$AD$200,$G322)&gt;0,
     COUNTIFS($AE$2:$AE$200,$G322)&gt;0,
     COUNTIFS($AF$2:$AF$200,$G322)&gt;0,
     COUNTIFS($AG$2:$AG$200,$G322)&gt;0,
     COUNTIFS($AH$2:$AH$200,$G322)&gt;0,
     COUNTIFS($AI$2:$AI$200,$G322)&gt;0,
     COUNTIFS($AJ$2:$AJ$200,$G322)&gt;0,
     COUNTIFS($AK$2:$AK$200,$G322)&gt;0,
     COUNTIFS($AL$2:$AL$200,$G322)&gt;0,
     COUNTIFS($AM$2:$AM$200,$G322)&gt;0,
     COUNTIFS($AN$2:$AN$200,$G322)&gt;0,
     COUNTIFS($AO$2:$AO$200,$G322)&gt;0,
     COUNTIFS($AP$2:$AP$200,$G322)&gt;0,
     COUNTIFS($AQ$2:$AQ$200,$G322)&gt;0,
     COUNTIFS($AR$2:$AR$200,$G322)&gt;0,
     COUNTIFS($AS$2:$AS$200,$G322)&gt;0,
     COUNTIFS($AT$2:$AT$200,$G322)&gt;0,
     COUNTIFS($AU$2:$AU$200,$G322)&gt;0,
     COUNTIFS($AV$2:$AV$200,$G322)&gt;0,
     COUNTIFS($AW$2:$AW$200,$G322)&gt;0,
     COUNTIFS($AX$2:$AX$200,$G322)&gt;0,
     COUNTIFS($AY$2:$AY$200,$G322)&gt;0
   )),
  ),
  3
 ),
"")</f>
        <v/>
      </c>
      <c r="F322" s="2" t="str" cm="1">
        <f t="array" aca="1" ref="F322" ca="1">IFERROR(
 INDEX(
  _xlfn._xlws.FILTER($V$1:$AY$1,
   TRANSPOSE(
    CHOOSE({1;2;3;4;5;6;7;8;9;10;11;12;13;14;15;16;17;18;19;20;21;22;23;24;25;26;27;28;29;30},
     COUNTIFS($V$2:$V$200,$G322)&gt;0,
     COUNTIFS($W$2:$W$200,$G322)&gt;0,
     COUNTIFS($X$2:$X$200,$G322)&gt;0,
     COUNTIFS($Y$2:$Y$200,$G322)&gt;0,
     COUNTIFS($Z$2:$Z$200,$G322)&gt;0,
     COUNTIFS($AA$2:$AA$200,$G322)&gt;0,
     COUNTIFS($AB$2:$AB$200,$G322)&gt;0,
     COUNTIFS($AC$2:$AC$200,$G322)&gt;0,
     COUNTIFS($AD$2:$AD$200,$G322)&gt;0,
     COUNTIFS($AE$2:$AE$200,$G322)&gt;0,
     COUNTIFS($AF$2:$AF$200,$G322)&gt;0,
     COUNTIFS($AG$2:$AG$200,$G322)&gt;0,
     COUNTIFS($AH$2:$AH$200,$G322)&gt;0,
     COUNTIFS($AI$2:$AI$200,$G322)&gt;0,
     COUNTIFS($AJ$2:$AJ$200,$G322)&gt;0,
     COUNTIFS($AK$2:$AK$200,$G322)&gt;0,
     COUNTIFS($AL$2:$AL$200,$G322)&gt;0,
     COUNTIFS($AM$2:$AM$200,$G322)&gt;0,
     COUNTIFS($AN$2:$AN$200,$G322)&gt;0,
     COUNTIFS($AO$2:$AO$200,$G322)&gt;0,
     COUNTIFS($AP$2:$AP$200,$G322)&gt;0,
     COUNTIFS($AQ$2:$AQ$200,$G322)&gt;0,
     COUNTIFS($AR$2:$AR$200,$G322)&gt;0,
     COUNTIFS($AS$2:$AS$200,$G322)&gt;0,
     COUNTIFS($AT$2:$AT$200,$G322)&gt;0,
     COUNTIFS($AU$2:$AU$200,$G322)&gt;0,
     COUNTIFS($AV$2:$AV$200,$G322)&gt;0,
     COUNTIFS($AW$2:$AW$200,$G322)&gt;0,
     COUNTIFS($AX$2:$AX$200,$G322)&gt;0,
     COUNTIFS($AY$2:$AY$200,$G322)&gt;0
   )),
  ),
  4
 ),
"")</f>
        <v/>
      </c>
      <c r="G322" t="str">
        <f ca="1"/>
        <v>Planar Genesis</v>
      </c>
      <c r="EU322" t="str">
        <f ca="1"/>
        <v>Temple of Malice</v>
      </c>
      <c r="EX322" t="str">
        <f ca="1"/>
        <v>Planar Genesis</v>
      </c>
    </row>
    <row r="323" spans="1:154" x14ac:dyDescent="0.25">
      <c r="A323" s="2" t="str">
        <f t="shared" ref="A323:A386" ca="1" si="16">IFERROR(INDEX($T$3:$T$200, MATCH($C323, $J$3:$J$200, 0)), "")</f>
        <v>2</v>
      </c>
      <c r="B323" s="2">
        <f t="shared" ref="B323:B386" ca="1" si="17">COUNTIF(V:CG,G323)</f>
        <v>1</v>
      </c>
      <c r="C323" s="2" t="str">
        <f ca="1">IFERROR(
 INDEX($V$1:$BL$1,
  MATCH(TRUE,
   CHOOSE({1;2;3;4;5;6;7;8;9;10;11;12;13;14;15;16;17;18;19;20;21;22;23;24;25;26;27;28;29;30;31;32;33;34;35;36;37;38;39;40;41;42;43},
    COUNTIFS($V$2:$V$200,$G323)&gt;0,
    COUNTIFS($W$2:$W$200,$G323)&gt;0,
    COUNTIFS($X$2:$X$200,$G323)&gt;0,
    COUNTIFS($Y$2:$Y$200,$G323)&gt;0,
    COUNTIFS($Z$2:$Z$200,$G323)&gt;0,
    COUNTIFS($AA$2:$AA$200,$G323)&gt;0,
    COUNTIFS($AB$2:$AB$200,$G323)&gt;0,
    COUNTIFS($AC$2:$AC$200,$G323)&gt;0,
    COUNTIFS($AD$2:$AD$200,$G323)&gt;0,
    COUNTIFS($AE$2:$AE$200,$G323)&gt;0,
    COUNTIFS($AF$2:$AF$200,$G323)&gt;0,
    COUNTIFS($AG$2:$AG$200,$G323)&gt;0,
    COUNTIFS($AH$2:$AH$200,$G323)&gt;0,
    COUNTIFS($AI$2:$AI$200,$G323)&gt;0,
    COUNTIFS($AJ$2:$AJ$200,$G323)&gt;0,
    COUNTIFS($AK$2:$AK$200,$G323)&gt;0,
    COUNTIFS($AL$2:$AL$200,$G323)&gt;0,
    COUNTIFS($AM$2:$AM$200,$G323)&gt;0,
    COUNTIFS($AN$2:$AN$200,$G323)&gt;0,
    COUNTIFS($AO$2:$AO$200,$G323)&gt;0,
    COUNTIFS($AP$2:$AP$200,$G323)&gt;0,
    COUNTIFS($AQ$2:$AQ$200,$G323)&gt;0,
    COUNTIFS($AR$2:$AR$200,$G323)&gt;0,
    COUNTIFS($AS$2:$AS$200,$G323)&gt;0,
    COUNTIFS($AT$2:$AT$200,$G323)&gt;0,
    COUNTIFS($AU$2:$AU$200,$G323)&gt;0,
    COUNTIFS($AV$2:$AV$200,$G323)&gt;0,
    COUNTIFS($AW$2:$AW$200,$G323)&gt;0,
    COUNTIFS($AX$2:$AX$200,$G323)&gt;0,
    COUNTIFS($AY$2:$AY$200,$G323)&gt;0,
    COUNTIFS($AZ$2:$AZ$200,$G323)&gt;0,
    COUNTIFS($BA$2:$BA$200,$G323)&gt;0,
    COUNTIFS($BB$2:$BB$200,$G323)&gt;0,
    COUNTIFS($BC$2:$BC$200,$G323)&gt;0,
    COUNTIFS($BD$2:$BD$200,$G323)&gt;0,
    COUNTIFS($BE$2:$BE$200,$G323)&gt;0,
    COUNTIFS($BF$2:$BF$200,$G323)&gt;0,
    COUNTIFS($BG$2:$BG$200,$G323)&gt;0,
    COUNTIFS($BH$2:$BH$200,$G323)&gt;0,
    COUNTIFS($BI$2:$BI$200,$G323)&gt;0,
    COUNTIFS($BJ$2:$BJ$200,$G323)&gt;0,
    COUNTIFS($BK$2:$BK$200,$G323)&gt;0,
    COUNTIFS($BL$2:$BL$200,$G323)&gt;0,
    COUNTIFS($BM$2:$BM$200,$G323)&gt;0,
   ),
  0)
 ),
"")</f>
        <v>VialIshai</v>
      </c>
      <c r="D323" s="2" t="str" cm="1">
        <f t="array" aca="1" ref="D323" ca="1">IFERROR(
 INDEX(
  _xlfn._xlws.FILTER($V$1:$AY$1,
   TRANSPOSE(
    CHOOSE({1;2;3;4;5;6;7;8;9;10;11;12;13;14;15;16;17;18;19;20;21;22;23;24;25;26;27;28;29;30},
     COUNTIFS($V$2:$V$200,$G323)&gt;0,
     COUNTIFS($W$2:$W$200,$G323)&gt;0,
     COUNTIFS($X$2:$X$200,$G323)&gt;0,
     COUNTIFS($Y$2:$Y$200,$G323)&gt;0,
     COUNTIFS($Z$2:$Z$200,$G323)&gt;0,
     COUNTIFS($AA$2:$AA$200,$G323)&gt;0,
     COUNTIFS($AB$2:$AB$200,$G323)&gt;0,
     COUNTIFS($AC$2:$AC$200,$G323)&gt;0,
     COUNTIFS($AD$2:$AD$200,$G323)&gt;0,
     COUNTIFS($AE$2:$AE$200,$G323)&gt;0,
     COUNTIFS($AF$2:$AF$200,$G323)&gt;0,
     COUNTIFS($AG$2:$AG$200,$G323)&gt;0,
     COUNTIFS($AH$2:$AH$200,$G323)&gt;0,
     COUNTIFS($AI$2:$AI$200,$G323)&gt;0,
     COUNTIFS($AJ$2:$AJ$200,$G323)&gt;0,
     COUNTIFS($AK$2:$AK$200,$G323)&gt;0,
     COUNTIFS($AL$2:$AL$200,$G323)&gt;0,
     COUNTIFS($AM$2:$AM$200,$G323)&gt;0,
     COUNTIFS($AN$2:$AN$200,$G323)&gt;0,
     COUNTIFS($AO$2:$AO$200,$G323)&gt;0,
     COUNTIFS($AP$2:$AP$200,$G323)&gt;0,
     COUNTIFS($AQ$2:$AQ$200,$G323)&gt;0,
     COUNTIFS($AR$2:$AR$200,$G323)&gt;0,
     COUNTIFS($AS$2:$AS$200,$G323)&gt;0,
     COUNTIFS($AT$2:$AT$200,$G323)&gt;0,
     COUNTIFS($AU$2:$AU$200,$G323)&gt;0,
     COUNTIFS($AV$2:$AV$200,$G323)&gt;0,
     COUNTIFS($AW$2:$AW$200,$G323)&gt;0,
     COUNTIFS($AX$2:$AX$200,$G323)&gt;0,
     COUNTIFS($AY$2:$AY$200,$G323)&gt;0
   )),
  ),
  2
 ),
"")</f>
        <v/>
      </c>
      <c r="E323" s="2" t="str" cm="1">
        <f t="array" aca="1" ref="E323" ca="1">IFERROR(
 INDEX(
  _xlfn._xlws.FILTER($V$1:$AY$1,
   TRANSPOSE(
    CHOOSE({1;2;3;4;5;6;7;8;9;10;11;12;13;14;15;16;17;18;19;20;21;22;23;24;25;26;27;28;29;30},
     COUNTIFS($V$2:$V$200,$G323)&gt;0,
     COUNTIFS($W$2:$W$200,$G323)&gt;0,
     COUNTIFS($X$2:$X$200,$G323)&gt;0,
     COUNTIFS($Y$2:$Y$200,$G323)&gt;0,
     COUNTIFS($Z$2:$Z$200,$G323)&gt;0,
     COUNTIFS($AA$2:$AA$200,$G323)&gt;0,
     COUNTIFS($AB$2:$AB$200,$G323)&gt;0,
     COUNTIFS($AC$2:$AC$200,$G323)&gt;0,
     COUNTIFS($AD$2:$AD$200,$G323)&gt;0,
     COUNTIFS($AE$2:$AE$200,$G323)&gt;0,
     COUNTIFS($AF$2:$AF$200,$G323)&gt;0,
     COUNTIFS($AG$2:$AG$200,$G323)&gt;0,
     COUNTIFS($AH$2:$AH$200,$G323)&gt;0,
     COUNTIFS($AI$2:$AI$200,$G323)&gt;0,
     COUNTIFS($AJ$2:$AJ$200,$G323)&gt;0,
     COUNTIFS($AK$2:$AK$200,$G323)&gt;0,
     COUNTIFS($AL$2:$AL$200,$G323)&gt;0,
     COUNTIFS($AM$2:$AM$200,$G323)&gt;0,
     COUNTIFS($AN$2:$AN$200,$G323)&gt;0,
     COUNTIFS($AO$2:$AO$200,$G323)&gt;0,
     COUNTIFS($AP$2:$AP$200,$G323)&gt;0,
     COUNTIFS($AQ$2:$AQ$200,$G323)&gt;0,
     COUNTIFS($AR$2:$AR$200,$G323)&gt;0,
     COUNTIFS($AS$2:$AS$200,$G323)&gt;0,
     COUNTIFS($AT$2:$AT$200,$G323)&gt;0,
     COUNTIFS($AU$2:$AU$200,$G323)&gt;0,
     COUNTIFS($AV$2:$AV$200,$G323)&gt;0,
     COUNTIFS($AW$2:$AW$200,$G323)&gt;0,
     COUNTIFS($AX$2:$AX$200,$G323)&gt;0,
     COUNTIFS($AY$2:$AY$200,$G323)&gt;0
   )),
  ),
  3
 ),
"")</f>
        <v/>
      </c>
      <c r="F323" s="2" t="str" cm="1">
        <f t="array" aca="1" ref="F323" ca="1">IFERROR(
 INDEX(
  _xlfn._xlws.FILTER($V$1:$AY$1,
   TRANSPOSE(
    CHOOSE({1;2;3;4;5;6;7;8;9;10;11;12;13;14;15;16;17;18;19;20;21;22;23;24;25;26;27;28;29;30},
     COUNTIFS($V$2:$V$200,$G323)&gt;0,
     COUNTIFS($W$2:$W$200,$G323)&gt;0,
     COUNTIFS($X$2:$X$200,$G323)&gt;0,
     COUNTIFS($Y$2:$Y$200,$G323)&gt;0,
     COUNTIFS($Z$2:$Z$200,$G323)&gt;0,
     COUNTIFS($AA$2:$AA$200,$G323)&gt;0,
     COUNTIFS($AB$2:$AB$200,$G323)&gt;0,
     COUNTIFS($AC$2:$AC$200,$G323)&gt;0,
     COUNTIFS($AD$2:$AD$200,$G323)&gt;0,
     COUNTIFS($AE$2:$AE$200,$G323)&gt;0,
     COUNTIFS($AF$2:$AF$200,$G323)&gt;0,
     COUNTIFS($AG$2:$AG$200,$G323)&gt;0,
     COUNTIFS($AH$2:$AH$200,$G323)&gt;0,
     COUNTIFS($AI$2:$AI$200,$G323)&gt;0,
     COUNTIFS($AJ$2:$AJ$200,$G323)&gt;0,
     COUNTIFS($AK$2:$AK$200,$G323)&gt;0,
     COUNTIFS($AL$2:$AL$200,$G323)&gt;0,
     COUNTIFS($AM$2:$AM$200,$G323)&gt;0,
     COUNTIFS($AN$2:$AN$200,$G323)&gt;0,
     COUNTIFS($AO$2:$AO$200,$G323)&gt;0,
     COUNTIFS($AP$2:$AP$200,$G323)&gt;0,
     COUNTIFS($AQ$2:$AQ$200,$G323)&gt;0,
     COUNTIFS($AR$2:$AR$200,$G323)&gt;0,
     COUNTIFS($AS$2:$AS$200,$G323)&gt;0,
     COUNTIFS($AT$2:$AT$200,$G323)&gt;0,
     COUNTIFS($AU$2:$AU$200,$G323)&gt;0,
     COUNTIFS($AV$2:$AV$200,$G323)&gt;0,
     COUNTIFS($AW$2:$AW$200,$G323)&gt;0,
     COUNTIFS($AX$2:$AX$200,$G323)&gt;0,
     COUNTIFS($AY$2:$AY$200,$G323)&gt;0
   )),
  ),
  4
 ),
"")</f>
        <v/>
      </c>
      <c r="G323" t="str">
        <f ca="1"/>
        <v>Polluted Delta</v>
      </c>
      <c r="EU323" t="str">
        <f ca="1"/>
        <v>Temporal Manipulation</v>
      </c>
      <c r="EX323" t="str">
        <f ca="1"/>
        <v>Polluted Delta</v>
      </c>
    </row>
    <row r="324" spans="1:154" x14ac:dyDescent="0.25">
      <c r="A324" s="2" t="str">
        <f t="shared" ca="1" si="16"/>
        <v>5</v>
      </c>
      <c r="B324" s="2">
        <f t="shared" ca="1" si="17"/>
        <v>1</v>
      </c>
      <c r="C324" s="2" t="str">
        <f ca="1">IFERROR(
 INDEX($V$1:$BL$1,
  MATCH(TRUE,
   CHOOSE({1;2;3;4;5;6;7;8;9;10;11;12;13;14;15;16;17;18;19;20;21;22;23;24;25;26;27;28;29;30;31;32;33;34;35;36;37;38;39;40;41;42;43},
    COUNTIFS($V$2:$V$200,$G324)&gt;0,
    COUNTIFS($W$2:$W$200,$G324)&gt;0,
    COUNTIFS($X$2:$X$200,$G324)&gt;0,
    COUNTIFS($Y$2:$Y$200,$G324)&gt;0,
    COUNTIFS($Z$2:$Z$200,$G324)&gt;0,
    COUNTIFS($AA$2:$AA$200,$G324)&gt;0,
    COUNTIFS($AB$2:$AB$200,$G324)&gt;0,
    COUNTIFS($AC$2:$AC$200,$G324)&gt;0,
    COUNTIFS($AD$2:$AD$200,$G324)&gt;0,
    COUNTIFS($AE$2:$AE$200,$G324)&gt;0,
    COUNTIFS($AF$2:$AF$200,$G324)&gt;0,
    COUNTIFS($AG$2:$AG$200,$G324)&gt;0,
    COUNTIFS($AH$2:$AH$200,$G324)&gt;0,
    COUNTIFS($AI$2:$AI$200,$G324)&gt;0,
    COUNTIFS($AJ$2:$AJ$200,$G324)&gt;0,
    COUNTIFS($AK$2:$AK$200,$G324)&gt;0,
    COUNTIFS($AL$2:$AL$200,$G324)&gt;0,
    COUNTIFS($AM$2:$AM$200,$G324)&gt;0,
    COUNTIFS($AN$2:$AN$200,$G324)&gt;0,
    COUNTIFS($AO$2:$AO$200,$G324)&gt;0,
    COUNTIFS($AP$2:$AP$200,$G324)&gt;0,
    COUNTIFS($AQ$2:$AQ$200,$G324)&gt;0,
    COUNTIFS($AR$2:$AR$200,$G324)&gt;0,
    COUNTIFS($AS$2:$AS$200,$G324)&gt;0,
    COUNTIFS($AT$2:$AT$200,$G324)&gt;0,
    COUNTIFS($AU$2:$AU$200,$G324)&gt;0,
    COUNTIFS($AV$2:$AV$200,$G324)&gt;0,
    COUNTIFS($AW$2:$AW$200,$G324)&gt;0,
    COUNTIFS($AX$2:$AX$200,$G324)&gt;0,
    COUNTIFS($AY$2:$AY$200,$G324)&gt;0,
    COUNTIFS($AZ$2:$AZ$200,$G324)&gt;0,
    COUNTIFS($BA$2:$BA$200,$G324)&gt;0,
    COUNTIFS($BB$2:$BB$200,$G324)&gt;0,
    COUNTIFS($BC$2:$BC$200,$G324)&gt;0,
    COUNTIFS($BD$2:$BD$200,$G324)&gt;0,
    COUNTIFS($BE$2:$BE$200,$G324)&gt;0,
    COUNTIFS($BF$2:$BF$200,$G324)&gt;0,
    COUNTIFS($BG$2:$BG$200,$G324)&gt;0,
    COUNTIFS($BH$2:$BH$200,$G324)&gt;0,
    COUNTIFS($BI$2:$BI$200,$G324)&gt;0,
    COUNTIFS($BJ$2:$BJ$200,$G324)&gt;0,
    COUNTIFS($BK$2:$BK$200,$G324)&gt;0,
    COUNTIFS($BL$2:$BL$200,$G324)&gt;0,
    COUNTIFS($BM$2:$BM$200,$G324)&gt;0,
   ),
  0)
 ),
"")</f>
        <v>4cRash</v>
      </c>
      <c r="D324" s="2" t="str" cm="1">
        <f t="array" aca="1" ref="D324" ca="1">IFERROR(
 INDEX(
  _xlfn._xlws.FILTER($V$1:$AY$1,
   TRANSPOSE(
    CHOOSE({1;2;3;4;5;6;7;8;9;10;11;12;13;14;15;16;17;18;19;20;21;22;23;24;25;26;27;28;29;30},
     COUNTIFS($V$2:$V$200,$G324)&gt;0,
     COUNTIFS($W$2:$W$200,$G324)&gt;0,
     COUNTIFS($X$2:$X$200,$G324)&gt;0,
     COUNTIFS($Y$2:$Y$200,$G324)&gt;0,
     COUNTIFS($Z$2:$Z$200,$G324)&gt;0,
     COUNTIFS($AA$2:$AA$200,$G324)&gt;0,
     COUNTIFS($AB$2:$AB$200,$G324)&gt;0,
     COUNTIFS($AC$2:$AC$200,$G324)&gt;0,
     COUNTIFS($AD$2:$AD$200,$G324)&gt;0,
     COUNTIFS($AE$2:$AE$200,$G324)&gt;0,
     COUNTIFS($AF$2:$AF$200,$G324)&gt;0,
     COUNTIFS($AG$2:$AG$200,$G324)&gt;0,
     COUNTIFS($AH$2:$AH$200,$G324)&gt;0,
     COUNTIFS($AI$2:$AI$200,$G324)&gt;0,
     COUNTIFS($AJ$2:$AJ$200,$G324)&gt;0,
     COUNTIFS($AK$2:$AK$200,$G324)&gt;0,
     COUNTIFS($AL$2:$AL$200,$G324)&gt;0,
     COUNTIFS($AM$2:$AM$200,$G324)&gt;0,
     COUNTIFS($AN$2:$AN$200,$G324)&gt;0,
     COUNTIFS($AO$2:$AO$200,$G324)&gt;0,
     COUNTIFS($AP$2:$AP$200,$G324)&gt;0,
     COUNTIFS($AQ$2:$AQ$200,$G324)&gt;0,
     COUNTIFS($AR$2:$AR$200,$G324)&gt;0,
     COUNTIFS($AS$2:$AS$200,$G324)&gt;0,
     COUNTIFS($AT$2:$AT$200,$G324)&gt;0,
     COUNTIFS($AU$2:$AU$200,$G324)&gt;0,
     COUNTIFS($AV$2:$AV$200,$G324)&gt;0,
     COUNTIFS($AW$2:$AW$200,$G324)&gt;0,
     COUNTIFS($AX$2:$AX$200,$G324)&gt;0,
     COUNTIFS($AY$2:$AY$200,$G324)&gt;0
   )),
  ),
  2
 ),
"")</f>
        <v/>
      </c>
      <c r="E324" s="2" t="str" cm="1">
        <f t="array" aca="1" ref="E324" ca="1">IFERROR(
 INDEX(
  _xlfn._xlws.FILTER($V$1:$AY$1,
   TRANSPOSE(
    CHOOSE({1;2;3;4;5;6;7;8;9;10;11;12;13;14;15;16;17;18;19;20;21;22;23;24;25;26;27;28;29;30},
     COUNTIFS($V$2:$V$200,$G324)&gt;0,
     COUNTIFS($W$2:$W$200,$G324)&gt;0,
     COUNTIFS($X$2:$X$200,$G324)&gt;0,
     COUNTIFS($Y$2:$Y$200,$G324)&gt;0,
     COUNTIFS($Z$2:$Z$200,$G324)&gt;0,
     COUNTIFS($AA$2:$AA$200,$G324)&gt;0,
     COUNTIFS($AB$2:$AB$200,$G324)&gt;0,
     COUNTIFS($AC$2:$AC$200,$G324)&gt;0,
     COUNTIFS($AD$2:$AD$200,$G324)&gt;0,
     COUNTIFS($AE$2:$AE$200,$G324)&gt;0,
     COUNTIFS($AF$2:$AF$200,$G324)&gt;0,
     COUNTIFS($AG$2:$AG$200,$G324)&gt;0,
     COUNTIFS($AH$2:$AH$200,$G324)&gt;0,
     COUNTIFS($AI$2:$AI$200,$G324)&gt;0,
     COUNTIFS($AJ$2:$AJ$200,$G324)&gt;0,
     COUNTIFS($AK$2:$AK$200,$G324)&gt;0,
     COUNTIFS($AL$2:$AL$200,$G324)&gt;0,
     COUNTIFS($AM$2:$AM$200,$G324)&gt;0,
     COUNTIFS($AN$2:$AN$200,$G324)&gt;0,
     COUNTIFS($AO$2:$AO$200,$G324)&gt;0,
     COUNTIFS($AP$2:$AP$200,$G324)&gt;0,
     COUNTIFS($AQ$2:$AQ$200,$G324)&gt;0,
     COUNTIFS($AR$2:$AR$200,$G324)&gt;0,
     COUNTIFS($AS$2:$AS$200,$G324)&gt;0,
     COUNTIFS($AT$2:$AT$200,$G324)&gt;0,
     COUNTIFS($AU$2:$AU$200,$G324)&gt;0,
     COUNTIFS($AV$2:$AV$200,$G324)&gt;0,
     COUNTIFS($AW$2:$AW$200,$G324)&gt;0,
     COUNTIFS($AX$2:$AX$200,$G324)&gt;0,
     COUNTIFS($AY$2:$AY$200,$G324)&gt;0
   )),
  ),
  3
 ),
"")</f>
        <v/>
      </c>
      <c r="F324" s="2" t="str" cm="1">
        <f t="array" aca="1" ref="F324" ca="1">IFERROR(
 INDEX(
  _xlfn._xlws.FILTER($V$1:$AY$1,
   TRANSPOSE(
    CHOOSE({1;2;3;4;5;6;7;8;9;10;11;12;13;14;15;16;17;18;19;20;21;22;23;24;25;26;27;28;29;30},
     COUNTIFS($V$2:$V$200,$G324)&gt;0,
     COUNTIFS($W$2:$W$200,$G324)&gt;0,
     COUNTIFS($X$2:$X$200,$G324)&gt;0,
     COUNTIFS($Y$2:$Y$200,$G324)&gt;0,
     COUNTIFS($Z$2:$Z$200,$G324)&gt;0,
     COUNTIFS($AA$2:$AA$200,$G324)&gt;0,
     COUNTIFS($AB$2:$AB$200,$G324)&gt;0,
     COUNTIFS($AC$2:$AC$200,$G324)&gt;0,
     COUNTIFS($AD$2:$AD$200,$G324)&gt;0,
     COUNTIFS($AE$2:$AE$200,$G324)&gt;0,
     COUNTIFS($AF$2:$AF$200,$G324)&gt;0,
     COUNTIFS($AG$2:$AG$200,$G324)&gt;0,
     COUNTIFS($AH$2:$AH$200,$G324)&gt;0,
     COUNTIFS($AI$2:$AI$200,$G324)&gt;0,
     COUNTIFS($AJ$2:$AJ$200,$G324)&gt;0,
     COUNTIFS($AK$2:$AK$200,$G324)&gt;0,
     COUNTIFS($AL$2:$AL$200,$G324)&gt;0,
     COUNTIFS($AM$2:$AM$200,$G324)&gt;0,
     COUNTIFS($AN$2:$AN$200,$G324)&gt;0,
     COUNTIFS($AO$2:$AO$200,$G324)&gt;0,
     COUNTIFS($AP$2:$AP$200,$G324)&gt;0,
     COUNTIFS($AQ$2:$AQ$200,$G324)&gt;0,
     COUNTIFS($AR$2:$AR$200,$G324)&gt;0,
     COUNTIFS($AS$2:$AS$200,$G324)&gt;0,
     COUNTIFS($AT$2:$AT$200,$G324)&gt;0,
     COUNTIFS($AU$2:$AU$200,$G324)&gt;0,
     COUNTIFS($AV$2:$AV$200,$G324)&gt;0,
     COUNTIFS($AW$2:$AW$200,$G324)&gt;0,
     COUNTIFS($AX$2:$AX$200,$G324)&gt;0,
     COUNTIFS($AY$2:$AY$200,$G324)&gt;0
   )),
  ),
  4
 ),
"")</f>
        <v/>
      </c>
      <c r="G324" t="str">
        <f ca="1"/>
        <v>Pongify</v>
      </c>
      <c r="EU324" t="str">
        <f ca="1"/>
        <v>Temporal Trespass</v>
      </c>
      <c r="EX324" t="str">
        <f ca="1"/>
        <v>Pongify</v>
      </c>
    </row>
    <row r="325" spans="1:154" x14ac:dyDescent="0.25">
      <c r="A325" s="2" t="str">
        <f t="shared" ca="1" si="16"/>
        <v>5</v>
      </c>
      <c r="B325" s="2">
        <f t="shared" ca="1" si="17"/>
        <v>1</v>
      </c>
      <c r="C325" s="2" t="str">
        <f ca="1">IFERROR(
 INDEX($V$1:$BL$1,
  MATCH(TRUE,
   CHOOSE({1;2;3;4;5;6;7;8;9;10;11;12;13;14;15;16;17;18;19;20;21;22;23;24;25;26;27;28;29;30;31;32;33;34;35;36;37;38;39;40;41;42;43},
    COUNTIFS($V$2:$V$200,$G325)&gt;0,
    COUNTIFS($W$2:$W$200,$G325)&gt;0,
    COUNTIFS($X$2:$X$200,$G325)&gt;0,
    COUNTIFS($Y$2:$Y$200,$G325)&gt;0,
    COUNTIFS($Z$2:$Z$200,$G325)&gt;0,
    COUNTIFS($AA$2:$AA$200,$G325)&gt;0,
    COUNTIFS($AB$2:$AB$200,$G325)&gt;0,
    COUNTIFS($AC$2:$AC$200,$G325)&gt;0,
    COUNTIFS($AD$2:$AD$200,$G325)&gt;0,
    COUNTIFS($AE$2:$AE$200,$G325)&gt;0,
    COUNTIFS($AF$2:$AF$200,$G325)&gt;0,
    COUNTIFS($AG$2:$AG$200,$G325)&gt;0,
    COUNTIFS($AH$2:$AH$200,$G325)&gt;0,
    COUNTIFS($AI$2:$AI$200,$G325)&gt;0,
    COUNTIFS($AJ$2:$AJ$200,$G325)&gt;0,
    COUNTIFS($AK$2:$AK$200,$G325)&gt;0,
    COUNTIFS($AL$2:$AL$200,$G325)&gt;0,
    COUNTIFS($AM$2:$AM$200,$G325)&gt;0,
    COUNTIFS($AN$2:$AN$200,$G325)&gt;0,
    COUNTIFS($AO$2:$AO$200,$G325)&gt;0,
    COUNTIFS($AP$2:$AP$200,$G325)&gt;0,
    COUNTIFS($AQ$2:$AQ$200,$G325)&gt;0,
    COUNTIFS($AR$2:$AR$200,$G325)&gt;0,
    COUNTIFS($AS$2:$AS$200,$G325)&gt;0,
    COUNTIFS($AT$2:$AT$200,$G325)&gt;0,
    COUNTIFS($AU$2:$AU$200,$G325)&gt;0,
    COUNTIFS($AV$2:$AV$200,$G325)&gt;0,
    COUNTIFS($AW$2:$AW$200,$G325)&gt;0,
    COUNTIFS($AX$2:$AX$200,$G325)&gt;0,
    COUNTIFS($AY$2:$AY$200,$G325)&gt;0,
    COUNTIFS($AZ$2:$AZ$200,$G325)&gt;0,
    COUNTIFS($BA$2:$BA$200,$G325)&gt;0,
    COUNTIFS($BB$2:$BB$200,$G325)&gt;0,
    COUNTIFS($BC$2:$BC$200,$G325)&gt;0,
    COUNTIFS($BD$2:$BD$200,$G325)&gt;0,
    COUNTIFS($BE$2:$BE$200,$G325)&gt;0,
    COUNTIFS($BF$2:$BF$200,$G325)&gt;0,
    COUNTIFS($BG$2:$BG$200,$G325)&gt;0,
    COUNTIFS($BH$2:$BH$200,$G325)&gt;0,
    COUNTIFS($BI$2:$BI$200,$G325)&gt;0,
    COUNTIFS($BJ$2:$BJ$200,$G325)&gt;0,
    COUNTIFS($BK$2:$BK$200,$G325)&gt;0,
    COUNTIFS($BL$2:$BL$200,$G325)&gt;0,
    COUNTIFS($BM$2:$BM$200,$G325)&gt;0,
   ),
  0)
 ),
"")</f>
        <v>Fractius</v>
      </c>
      <c r="D325" s="2" t="str" cm="1">
        <f t="array" aca="1" ref="D325" ca="1">IFERROR(
 INDEX(
  _xlfn._xlws.FILTER($V$1:$AY$1,
   TRANSPOSE(
    CHOOSE({1;2;3;4;5;6;7;8;9;10;11;12;13;14;15;16;17;18;19;20;21;22;23;24;25;26;27;28;29;30},
     COUNTIFS($V$2:$V$200,$G325)&gt;0,
     COUNTIFS($W$2:$W$200,$G325)&gt;0,
     COUNTIFS($X$2:$X$200,$G325)&gt;0,
     COUNTIFS($Y$2:$Y$200,$G325)&gt;0,
     COUNTIFS($Z$2:$Z$200,$G325)&gt;0,
     COUNTIFS($AA$2:$AA$200,$G325)&gt;0,
     COUNTIFS($AB$2:$AB$200,$G325)&gt;0,
     COUNTIFS($AC$2:$AC$200,$G325)&gt;0,
     COUNTIFS($AD$2:$AD$200,$G325)&gt;0,
     COUNTIFS($AE$2:$AE$200,$G325)&gt;0,
     COUNTIFS($AF$2:$AF$200,$G325)&gt;0,
     COUNTIFS($AG$2:$AG$200,$G325)&gt;0,
     COUNTIFS($AH$2:$AH$200,$G325)&gt;0,
     COUNTIFS($AI$2:$AI$200,$G325)&gt;0,
     COUNTIFS($AJ$2:$AJ$200,$G325)&gt;0,
     COUNTIFS($AK$2:$AK$200,$G325)&gt;0,
     COUNTIFS($AL$2:$AL$200,$G325)&gt;0,
     COUNTIFS($AM$2:$AM$200,$G325)&gt;0,
     COUNTIFS($AN$2:$AN$200,$G325)&gt;0,
     COUNTIFS($AO$2:$AO$200,$G325)&gt;0,
     COUNTIFS($AP$2:$AP$200,$G325)&gt;0,
     COUNTIFS($AQ$2:$AQ$200,$G325)&gt;0,
     COUNTIFS($AR$2:$AR$200,$G325)&gt;0,
     COUNTIFS($AS$2:$AS$200,$G325)&gt;0,
     COUNTIFS($AT$2:$AT$200,$G325)&gt;0,
     COUNTIFS($AU$2:$AU$200,$G325)&gt;0,
     COUNTIFS($AV$2:$AV$200,$G325)&gt;0,
     COUNTIFS($AW$2:$AW$200,$G325)&gt;0,
     COUNTIFS($AX$2:$AX$200,$G325)&gt;0,
     COUNTIFS($AY$2:$AY$200,$G325)&gt;0
   )),
  ),
  2
 ),
"")</f>
        <v/>
      </c>
      <c r="E325" s="2" t="str" cm="1">
        <f t="array" aca="1" ref="E325" ca="1">IFERROR(
 INDEX(
  _xlfn._xlws.FILTER($V$1:$AY$1,
   TRANSPOSE(
    CHOOSE({1;2;3;4;5;6;7;8;9;10;11;12;13;14;15;16;17;18;19;20;21;22;23;24;25;26;27;28;29;30},
     COUNTIFS($V$2:$V$200,$G325)&gt;0,
     COUNTIFS($W$2:$W$200,$G325)&gt;0,
     COUNTIFS($X$2:$X$200,$G325)&gt;0,
     COUNTIFS($Y$2:$Y$200,$G325)&gt;0,
     COUNTIFS($Z$2:$Z$200,$G325)&gt;0,
     COUNTIFS($AA$2:$AA$200,$G325)&gt;0,
     COUNTIFS($AB$2:$AB$200,$G325)&gt;0,
     COUNTIFS($AC$2:$AC$200,$G325)&gt;0,
     COUNTIFS($AD$2:$AD$200,$G325)&gt;0,
     COUNTIFS($AE$2:$AE$200,$G325)&gt;0,
     COUNTIFS($AF$2:$AF$200,$G325)&gt;0,
     COUNTIFS($AG$2:$AG$200,$G325)&gt;0,
     COUNTIFS($AH$2:$AH$200,$G325)&gt;0,
     COUNTIFS($AI$2:$AI$200,$G325)&gt;0,
     COUNTIFS($AJ$2:$AJ$200,$G325)&gt;0,
     COUNTIFS($AK$2:$AK$200,$G325)&gt;0,
     COUNTIFS($AL$2:$AL$200,$G325)&gt;0,
     COUNTIFS($AM$2:$AM$200,$G325)&gt;0,
     COUNTIFS($AN$2:$AN$200,$G325)&gt;0,
     COUNTIFS($AO$2:$AO$200,$G325)&gt;0,
     COUNTIFS($AP$2:$AP$200,$G325)&gt;0,
     COUNTIFS($AQ$2:$AQ$200,$G325)&gt;0,
     COUNTIFS($AR$2:$AR$200,$G325)&gt;0,
     COUNTIFS($AS$2:$AS$200,$G325)&gt;0,
     COUNTIFS($AT$2:$AT$200,$G325)&gt;0,
     COUNTIFS($AU$2:$AU$200,$G325)&gt;0,
     COUNTIFS($AV$2:$AV$200,$G325)&gt;0,
     COUNTIFS($AW$2:$AW$200,$G325)&gt;0,
     COUNTIFS($AX$2:$AX$200,$G325)&gt;0,
     COUNTIFS($AY$2:$AY$200,$G325)&gt;0
   )),
  ),
  3
 ),
"")</f>
        <v/>
      </c>
      <c r="F325" s="2" t="str" cm="1">
        <f t="array" aca="1" ref="F325" ca="1">IFERROR(
 INDEX(
  _xlfn._xlws.FILTER($V$1:$AY$1,
   TRANSPOSE(
    CHOOSE({1;2;3;4;5;6;7;8;9;10;11;12;13;14;15;16;17;18;19;20;21;22;23;24;25;26;27;28;29;30},
     COUNTIFS($V$2:$V$200,$G325)&gt;0,
     COUNTIFS($W$2:$W$200,$G325)&gt;0,
     COUNTIFS($X$2:$X$200,$G325)&gt;0,
     COUNTIFS($Y$2:$Y$200,$G325)&gt;0,
     COUNTIFS($Z$2:$Z$200,$G325)&gt;0,
     COUNTIFS($AA$2:$AA$200,$G325)&gt;0,
     COUNTIFS($AB$2:$AB$200,$G325)&gt;0,
     COUNTIFS($AC$2:$AC$200,$G325)&gt;0,
     COUNTIFS($AD$2:$AD$200,$G325)&gt;0,
     COUNTIFS($AE$2:$AE$200,$G325)&gt;0,
     COUNTIFS($AF$2:$AF$200,$G325)&gt;0,
     COUNTIFS($AG$2:$AG$200,$G325)&gt;0,
     COUNTIFS($AH$2:$AH$200,$G325)&gt;0,
     COUNTIFS($AI$2:$AI$200,$G325)&gt;0,
     COUNTIFS($AJ$2:$AJ$200,$G325)&gt;0,
     COUNTIFS($AK$2:$AK$200,$G325)&gt;0,
     COUNTIFS($AL$2:$AL$200,$G325)&gt;0,
     COUNTIFS($AM$2:$AM$200,$G325)&gt;0,
     COUNTIFS($AN$2:$AN$200,$G325)&gt;0,
     COUNTIFS($AO$2:$AO$200,$G325)&gt;0,
     COUNTIFS($AP$2:$AP$200,$G325)&gt;0,
     COUNTIFS($AQ$2:$AQ$200,$G325)&gt;0,
     COUNTIFS($AR$2:$AR$200,$G325)&gt;0,
     COUNTIFS($AS$2:$AS$200,$G325)&gt;0,
     COUNTIFS($AT$2:$AT$200,$G325)&gt;0,
     COUNTIFS($AU$2:$AU$200,$G325)&gt;0,
     COUNTIFS($AV$2:$AV$200,$G325)&gt;0,
     COUNTIFS($AW$2:$AW$200,$G325)&gt;0,
     COUNTIFS($AX$2:$AX$200,$G325)&gt;0,
     COUNTIFS($AY$2:$AY$200,$G325)&gt;0
   )),
  ),
  4
 ),
"")</f>
        <v/>
      </c>
      <c r="G325" t="str">
        <f ca="1"/>
        <v>Predatory Sliver</v>
      </c>
      <c r="EU325" t="str">
        <f ca="1"/>
        <v>Terra Eternal</v>
      </c>
      <c r="EX325" t="str">
        <f ca="1"/>
        <v>Predatory Sliver</v>
      </c>
    </row>
    <row r="326" spans="1:154" x14ac:dyDescent="0.25">
      <c r="A326" s="2" t="str">
        <f t="shared" ca="1" si="16"/>
        <v>5</v>
      </c>
      <c r="B326" s="2">
        <f t="shared" ca="1" si="17"/>
        <v>1</v>
      </c>
      <c r="C326" s="2" t="str">
        <f ca="1">IFERROR(
 INDEX($V$1:$BL$1,
  MATCH(TRUE,
   CHOOSE({1;2;3;4;5;6;7;8;9;10;11;12;13;14;15;16;17;18;19;20;21;22;23;24;25;26;27;28;29;30;31;32;33;34;35;36;37;38;39;40;41;42;43},
    COUNTIFS($V$2:$V$200,$G326)&gt;0,
    COUNTIFS($W$2:$W$200,$G326)&gt;0,
    COUNTIFS($X$2:$X$200,$G326)&gt;0,
    COUNTIFS($Y$2:$Y$200,$G326)&gt;0,
    COUNTIFS($Z$2:$Z$200,$G326)&gt;0,
    COUNTIFS($AA$2:$AA$200,$G326)&gt;0,
    COUNTIFS($AB$2:$AB$200,$G326)&gt;0,
    COUNTIFS($AC$2:$AC$200,$G326)&gt;0,
    COUNTIFS($AD$2:$AD$200,$G326)&gt;0,
    COUNTIFS($AE$2:$AE$200,$G326)&gt;0,
    COUNTIFS($AF$2:$AF$200,$G326)&gt;0,
    COUNTIFS($AG$2:$AG$200,$G326)&gt;0,
    COUNTIFS($AH$2:$AH$200,$G326)&gt;0,
    COUNTIFS($AI$2:$AI$200,$G326)&gt;0,
    COUNTIFS($AJ$2:$AJ$200,$G326)&gt;0,
    COUNTIFS($AK$2:$AK$200,$G326)&gt;0,
    COUNTIFS($AL$2:$AL$200,$G326)&gt;0,
    COUNTIFS($AM$2:$AM$200,$G326)&gt;0,
    COUNTIFS($AN$2:$AN$200,$G326)&gt;0,
    COUNTIFS($AO$2:$AO$200,$G326)&gt;0,
    COUNTIFS($AP$2:$AP$200,$G326)&gt;0,
    COUNTIFS($AQ$2:$AQ$200,$G326)&gt;0,
    COUNTIFS($AR$2:$AR$200,$G326)&gt;0,
    COUNTIFS($AS$2:$AS$200,$G326)&gt;0,
    COUNTIFS($AT$2:$AT$200,$G326)&gt;0,
    COUNTIFS($AU$2:$AU$200,$G326)&gt;0,
    COUNTIFS($AV$2:$AV$200,$G326)&gt;0,
    COUNTIFS($AW$2:$AW$200,$G326)&gt;0,
    COUNTIFS($AX$2:$AX$200,$G326)&gt;0,
    COUNTIFS($AY$2:$AY$200,$G326)&gt;0,
    COUNTIFS($AZ$2:$AZ$200,$G326)&gt;0,
    COUNTIFS($BA$2:$BA$200,$G326)&gt;0,
    COUNTIFS($BB$2:$BB$200,$G326)&gt;0,
    COUNTIFS($BC$2:$BC$200,$G326)&gt;0,
    COUNTIFS($BD$2:$BD$200,$G326)&gt;0,
    COUNTIFS($BE$2:$BE$200,$G326)&gt;0,
    COUNTIFS($BF$2:$BF$200,$G326)&gt;0,
    COUNTIFS($BG$2:$BG$200,$G326)&gt;0,
    COUNTIFS($BH$2:$BH$200,$G326)&gt;0,
    COUNTIFS($BI$2:$BI$200,$G326)&gt;0,
    COUNTIFS($BJ$2:$BJ$200,$G326)&gt;0,
    COUNTIFS($BK$2:$BK$200,$G326)&gt;0,
    COUNTIFS($BL$2:$BL$200,$G326)&gt;0,
    COUNTIFS($BM$2:$BM$200,$G326)&gt;0,
   ),
  0)
 ),
"")</f>
        <v>4cRash</v>
      </c>
      <c r="D326" s="2" t="str" cm="1">
        <f t="array" aca="1" ref="D326" ca="1">IFERROR(
 INDEX(
  _xlfn._xlws.FILTER($V$1:$AY$1,
   TRANSPOSE(
    CHOOSE({1;2;3;4;5;6;7;8;9;10;11;12;13;14;15;16;17;18;19;20;21;22;23;24;25;26;27;28;29;30},
     COUNTIFS($V$2:$V$200,$G326)&gt;0,
     COUNTIFS($W$2:$W$200,$G326)&gt;0,
     COUNTIFS($X$2:$X$200,$G326)&gt;0,
     COUNTIFS($Y$2:$Y$200,$G326)&gt;0,
     COUNTIFS($Z$2:$Z$200,$G326)&gt;0,
     COUNTIFS($AA$2:$AA$200,$G326)&gt;0,
     COUNTIFS($AB$2:$AB$200,$G326)&gt;0,
     COUNTIFS($AC$2:$AC$200,$G326)&gt;0,
     COUNTIFS($AD$2:$AD$200,$G326)&gt;0,
     COUNTIFS($AE$2:$AE$200,$G326)&gt;0,
     COUNTIFS($AF$2:$AF$200,$G326)&gt;0,
     COUNTIFS($AG$2:$AG$200,$G326)&gt;0,
     COUNTIFS($AH$2:$AH$200,$G326)&gt;0,
     COUNTIFS($AI$2:$AI$200,$G326)&gt;0,
     COUNTIFS($AJ$2:$AJ$200,$G326)&gt;0,
     COUNTIFS($AK$2:$AK$200,$G326)&gt;0,
     COUNTIFS($AL$2:$AL$200,$G326)&gt;0,
     COUNTIFS($AM$2:$AM$200,$G326)&gt;0,
     COUNTIFS($AN$2:$AN$200,$G326)&gt;0,
     COUNTIFS($AO$2:$AO$200,$G326)&gt;0,
     COUNTIFS($AP$2:$AP$200,$G326)&gt;0,
     COUNTIFS($AQ$2:$AQ$200,$G326)&gt;0,
     COUNTIFS($AR$2:$AR$200,$G326)&gt;0,
     COUNTIFS($AS$2:$AS$200,$G326)&gt;0,
     COUNTIFS($AT$2:$AT$200,$G326)&gt;0,
     COUNTIFS($AU$2:$AU$200,$G326)&gt;0,
     COUNTIFS($AV$2:$AV$200,$G326)&gt;0,
     COUNTIFS($AW$2:$AW$200,$G326)&gt;0,
     COUNTIFS($AX$2:$AX$200,$G326)&gt;0,
     COUNTIFS($AY$2:$AY$200,$G326)&gt;0
   )),
  ),
  2
 ),
"")</f>
        <v/>
      </c>
      <c r="E326" s="2" t="str" cm="1">
        <f t="array" aca="1" ref="E326" ca="1">IFERROR(
 INDEX(
  _xlfn._xlws.FILTER($V$1:$AY$1,
   TRANSPOSE(
    CHOOSE({1;2;3;4;5;6;7;8;9;10;11;12;13;14;15;16;17;18;19;20;21;22;23;24;25;26;27;28;29;30},
     COUNTIFS($V$2:$V$200,$G326)&gt;0,
     COUNTIFS($W$2:$W$200,$G326)&gt;0,
     COUNTIFS($X$2:$X$200,$G326)&gt;0,
     COUNTIFS($Y$2:$Y$200,$G326)&gt;0,
     COUNTIFS($Z$2:$Z$200,$G326)&gt;0,
     COUNTIFS($AA$2:$AA$200,$G326)&gt;0,
     COUNTIFS($AB$2:$AB$200,$G326)&gt;0,
     COUNTIFS($AC$2:$AC$200,$G326)&gt;0,
     COUNTIFS($AD$2:$AD$200,$G326)&gt;0,
     COUNTIFS($AE$2:$AE$200,$G326)&gt;0,
     COUNTIFS($AF$2:$AF$200,$G326)&gt;0,
     COUNTIFS($AG$2:$AG$200,$G326)&gt;0,
     COUNTIFS($AH$2:$AH$200,$G326)&gt;0,
     COUNTIFS($AI$2:$AI$200,$G326)&gt;0,
     COUNTIFS($AJ$2:$AJ$200,$G326)&gt;0,
     COUNTIFS($AK$2:$AK$200,$G326)&gt;0,
     COUNTIFS($AL$2:$AL$200,$G326)&gt;0,
     COUNTIFS($AM$2:$AM$200,$G326)&gt;0,
     COUNTIFS($AN$2:$AN$200,$G326)&gt;0,
     COUNTIFS($AO$2:$AO$200,$G326)&gt;0,
     COUNTIFS($AP$2:$AP$200,$G326)&gt;0,
     COUNTIFS($AQ$2:$AQ$200,$G326)&gt;0,
     COUNTIFS($AR$2:$AR$200,$G326)&gt;0,
     COUNTIFS($AS$2:$AS$200,$G326)&gt;0,
     COUNTIFS($AT$2:$AT$200,$G326)&gt;0,
     COUNTIFS($AU$2:$AU$200,$G326)&gt;0,
     COUNTIFS($AV$2:$AV$200,$G326)&gt;0,
     COUNTIFS($AW$2:$AW$200,$G326)&gt;0,
     COUNTIFS($AX$2:$AX$200,$G326)&gt;0,
     COUNTIFS($AY$2:$AY$200,$G326)&gt;0
   )),
  ),
  3
 ),
"")</f>
        <v/>
      </c>
      <c r="F326" s="2" t="str" cm="1">
        <f t="array" aca="1" ref="F326" ca="1">IFERROR(
 INDEX(
  _xlfn._xlws.FILTER($V$1:$AY$1,
   TRANSPOSE(
    CHOOSE({1;2;3;4;5;6;7;8;9;10;11;12;13;14;15;16;17;18;19;20;21;22;23;24;25;26;27;28;29;30},
     COUNTIFS($V$2:$V$200,$G326)&gt;0,
     COUNTIFS($W$2:$W$200,$G326)&gt;0,
     COUNTIFS($X$2:$X$200,$G326)&gt;0,
     COUNTIFS($Y$2:$Y$200,$G326)&gt;0,
     COUNTIFS($Z$2:$Z$200,$G326)&gt;0,
     COUNTIFS($AA$2:$AA$200,$G326)&gt;0,
     COUNTIFS($AB$2:$AB$200,$G326)&gt;0,
     COUNTIFS($AC$2:$AC$200,$G326)&gt;0,
     COUNTIFS($AD$2:$AD$200,$G326)&gt;0,
     COUNTIFS($AE$2:$AE$200,$G326)&gt;0,
     COUNTIFS($AF$2:$AF$200,$G326)&gt;0,
     COUNTIFS($AG$2:$AG$200,$G326)&gt;0,
     COUNTIFS($AH$2:$AH$200,$G326)&gt;0,
     COUNTIFS($AI$2:$AI$200,$G326)&gt;0,
     COUNTIFS($AJ$2:$AJ$200,$G326)&gt;0,
     COUNTIFS($AK$2:$AK$200,$G326)&gt;0,
     COUNTIFS($AL$2:$AL$200,$G326)&gt;0,
     COUNTIFS($AM$2:$AM$200,$G326)&gt;0,
     COUNTIFS($AN$2:$AN$200,$G326)&gt;0,
     COUNTIFS($AO$2:$AO$200,$G326)&gt;0,
     COUNTIFS($AP$2:$AP$200,$G326)&gt;0,
     COUNTIFS($AQ$2:$AQ$200,$G326)&gt;0,
     COUNTIFS($AR$2:$AR$200,$G326)&gt;0,
     COUNTIFS($AS$2:$AS$200,$G326)&gt;0,
     COUNTIFS($AT$2:$AT$200,$G326)&gt;0,
     COUNTIFS($AU$2:$AU$200,$G326)&gt;0,
     COUNTIFS($AV$2:$AV$200,$G326)&gt;0,
     COUNTIFS($AW$2:$AW$200,$G326)&gt;0,
     COUNTIFS($AX$2:$AX$200,$G326)&gt;0,
     COUNTIFS($AY$2:$AY$200,$G326)&gt;0
   )),
  ),
  4
 ),
"")</f>
        <v/>
      </c>
      <c r="G326" t="str">
        <f ca="1"/>
        <v>Prishe's Wanderings</v>
      </c>
      <c r="EU326" t="str">
        <f ca="1"/>
        <v>The Cabbage Merchant</v>
      </c>
      <c r="EX326" t="str">
        <f ca="1"/>
        <v>Prishe's Wanderings</v>
      </c>
    </row>
    <row r="327" spans="1:154" x14ac:dyDescent="0.25">
      <c r="A327" s="2" t="str">
        <f t="shared" ca="1" si="16"/>
        <v>5</v>
      </c>
      <c r="B327" s="2">
        <f t="shared" ca="1" si="17"/>
        <v>1</v>
      </c>
      <c r="C327" s="2" t="str">
        <f ca="1">IFERROR(
 INDEX($V$1:$BL$1,
  MATCH(TRUE,
   CHOOSE({1;2;3;4;5;6;7;8;9;10;11;12;13;14;15;16;17;18;19;20;21;22;23;24;25;26;27;28;29;30;31;32;33;34;35;36;37;38;39;40;41;42;43},
    COUNTIFS($V$2:$V$200,$G327)&gt;0,
    COUNTIFS($W$2:$W$200,$G327)&gt;0,
    COUNTIFS($X$2:$X$200,$G327)&gt;0,
    COUNTIFS($Y$2:$Y$200,$G327)&gt;0,
    COUNTIFS($Z$2:$Z$200,$G327)&gt;0,
    COUNTIFS($AA$2:$AA$200,$G327)&gt;0,
    COUNTIFS($AB$2:$AB$200,$G327)&gt;0,
    COUNTIFS($AC$2:$AC$200,$G327)&gt;0,
    COUNTIFS($AD$2:$AD$200,$G327)&gt;0,
    COUNTIFS($AE$2:$AE$200,$G327)&gt;0,
    COUNTIFS($AF$2:$AF$200,$G327)&gt;0,
    COUNTIFS($AG$2:$AG$200,$G327)&gt;0,
    COUNTIFS($AH$2:$AH$200,$G327)&gt;0,
    COUNTIFS($AI$2:$AI$200,$G327)&gt;0,
    COUNTIFS($AJ$2:$AJ$200,$G327)&gt;0,
    COUNTIFS($AK$2:$AK$200,$G327)&gt;0,
    COUNTIFS($AL$2:$AL$200,$G327)&gt;0,
    COUNTIFS($AM$2:$AM$200,$G327)&gt;0,
    COUNTIFS($AN$2:$AN$200,$G327)&gt;0,
    COUNTIFS($AO$2:$AO$200,$G327)&gt;0,
    COUNTIFS($AP$2:$AP$200,$G327)&gt;0,
    COUNTIFS($AQ$2:$AQ$200,$G327)&gt;0,
    COUNTIFS($AR$2:$AR$200,$G327)&gt;0,
    COUNTIFS($AS$2:$AS$200,$G327)&gt;0,
    COUNTIFS($AT$2:$AT$200,$G327)&gt;0,
    COUNTIFS($AU$2:$AU$200,$G327)&gt;0,
    COUNTIFS($AV$2:$AV$200,$G327)&gt;0,
    COUNTIFS($AW$2:$AW$200,$G327)&gt;0,
    COUNTIFS($AX$2:$AX$200,$G327)&gt;0,
    COUNTIFS($AY$2:$AY$200,$G327)&gt;0,
    COUNTIFS($AZ$2:$AZ$200,$G327)&gt;0,
    COUNTIFS($BA$2:$BA$200,$G327)&gt;0,
    COUNTIFS($BB$2:$BB$200,$G327)&gt;0,
    COUNTIFS($BC$2:$BC$200,$G327)&gt;0,
    COUNTIFS($BD$2:$BD$200,$G327)&gt;0,
    COUNTIFS($BE$2:$BE$200,$G327)&gt;0,
    COUNTIFS($BF$2:$BF$200,$G327)&gt;0,
    COUNTIFS($BG$2:$BG$200,$G327)&gt;0,
    COUNTIFS($BH$2:$BH$200,$G327)&gt;0,
    COUNTIFS($BI$2:$BI$200,$G327)&gt;0,
    COUNTIFS($BJ$2:$BJ$200,$G327)&gt;0,
    COUNTIFS($BK$2:$BK$200,$G327)&gt;0,
    COUNTIFS($BL$2:$BL$200,$G327)&gt;0,
    COUNTIFS($BM$2:$BM$200,$G327)&gt;0,
   ),
  0)
 ),
"")</f>
        <v>Yorion</v>
      </c>
      <c r="D327" s="2" t="str" cm="1">
        <f t="array" aca="1" ref="D327" ca="1">IFERROR(
 INDEX(
  _xlfn._xlws.FILTER($V$1:$AY$1,
   TRANSPOSE(
    CHOOSE({1;2;3;4;5;6;7;8;9;10;11;12;13;14;15;16;17;18;19;20;21;22;23;24;25;26;27;28;29;30},
     COUNTIFS($V$2:$V$200,$G327)&gt;0,
     COUNTIFS($W$2:$W$200,$G327)&gt;0,
     COUNTIFS($X$2:$X$200,$G327)&gt;0,
     COUNTIFS($Y$2:$Y$200,$G327)&gt;0,
     COUNTIFS($Z$2:$Z$200,$G327)&gt;0,
     COUNTIFS($AA$2:$AA$200,$G327)&gt;0,
     COUNTIFS($AB$2:$AB$200,$G327)&gt;0,
     COUNTIFS($AC$2:$AC$200,$G327)&gt;0,
     COUNTIFS($AD$2:$AD$200,$G327)&gt;0,
     COUNTIFS($AE$2:$AE$200,$G327)&gt;0,
     COUNTIFS($AF$2:$AF$200,$G327)&gt;0,
     COUNTIFS($AG$2:$AG$200,$G327)&gt;0,
     COUNTIFS($AH$2:$AH$200,$G327)&gt;0,
     COUNTIFS($AI$2:$AI$200,$G327)&gt;0,
     COUNTIFS($AJ$2:$AJ$200,$G327)&gt;0,
     COUNTIFS($AK$2:$AK$200,$G327)&gt;0,
     COUNTIFS($AL$2:$AL$200,$G327)&gt;0,
     COUNTIFS($AM$2:$AM$200,$G327)&gt;0,
     COUNTIFS($AN$2:$AN$200,$G327)&gt;0,
     COUNTIFS($AO$2:$AO$200,$G327)&gt;0,
     COUNTIFS($AP$2:$AP$200,$G327)&gt;0,
     COUNTIFS($AQ$2:$AQ$200,$G327)&gt;0,
     COUNTIFS($AR$2:$AR$200,$G327)&gt;0,
     COUNTIFS($AS$2:$AS$200,$G327)&gt;0,
     COUNTIFS($AT$2:$AT$200,$G327)&gt;0,
     COUNTIFS($AU$2:$AU$200,$G327)&gt;0,
     COUNTIFS($AV$2:$AV$200,$G327)&gt;0,
     COUNTIFS($AW$2:$AW$200,$G327)&gt;0,
     COUNTIFS($AX$2:$AX$200,$G327)&gt;0,
     COUNTIFS($AY$2:$AY$200,$G327)&gt;0
   )),
  ),
  2
 ),
"")</f>
        <v/>
      </c>
      <c r="E327" s="2" t="str" cm="1">
        <f t="array" aca="1" ref="E327" ca="1">IFERROR(
 INDEX(
  _xlfn._xlws.FILTER($V$1:$AY$1,
   TRANSPOSE(
    CHOOSE({1;2;3;4;5;6;7;8;9;10;11;12;13;14;15;16;17;18;19;20;21;22;23;24;25;26;27;28;29;30},
     COUNTIFS($V$2:$V$200,$G327)&gt;0,
     COUNTIFS($W$2:$W$200,$G327)&gt;0,
     COUNTIFS($X$2:$X$200,$G327)&gt;0,
     COUNTIFS($Y$2:$Y$200,$G327)&gt;0,
     COUNTIFS($Z$2:$Z$200,$G327)&gt;0,
     COUNTIFS($AA$2:$AA$200,$G327)&gt;0,
     COUNTIFS($AB$2:$AB$200,$G327)&gt;0,
     COUNTIFS($AC$2:$AC$200,$G327)&gt;0,
     COUNTIFS($AD$2:$AD$200,$G327)&gt;0,
     COUNTIFS($AE$2:$AE$200,$G327)&gt;0,
     COUNTIFS($AF$2:$AF$200,$G327)&gt;0,
     COUNTIFS($AG$2:$AG$200,$G327)&gt;0,
     COUNTIFS($AH$2:$AH$200,$G327)&gt;0,
     COUNTIFS($AI$2:$AI$200,$G327)&gt;0,
     COUNTIFS($AJ$2:$AJ$200,$G327)&gt;0,
     COUNTIFS($AK$2:$AK$200,$G327)&gt;0,
     COUNTIFS($AL$2:$AL$200,$G327)&gt;0,
     COUNTIFS($AM$2:$AM$200,$G327)&gt;0,
     COUNTIFS($AN$2:$AN$200,$G327)&gt;0,
     COUNTIFS($AO$2:$AO$200,$G327)&gt;0,
     COUNTIFS($AP$2:$AP$200,$G327)&gt;0,
     COUNTIFS($AQ$2:$AQ$200,$G327)&gt;0,
     COUNTIFS($AR$2:$AR$200,$G327)&gt;0,
     COUNTIFS($AS$2:$AS$200,$G327)&gt;0,
     COUNTIFS($AT$2:$AT$200,$G327)&gt;0,
     COUNTIFS($AU$2:$AU$200,$G327)&gt;0,
     COUNTIFS($AV$2:$AV$200,$G327)&gt;0,
     COUNTIFS($AW$2:$AW$200,$G327)&gt;0,
     COUNTIFS($AX$2:$AX$200,$G327)&gt;0,
     COUNTIFS($AY$2:$AY$200,$G327)&gt;0
   )),
  ),
  3
 ),
"")</f>
        <v/>
      </c>
      <c r="F327" s="2" t="str" cm="1">
        <f t="array" aca="1" ref="F327" ca="1">IFERROR(
 INDEX(
  _xlfn._xlws.FILTER($V$1:$AY$1,
   TRANSPOSE(
    CHOOSE({1;2;3;4;5;6;7;8;9;10;11;12;13;14;15;16;17;18;19;20;21;22;23;24;25;26;27;28;29;30},
     COUNTIFS($V$2:$V$200,$G327)&gt;0,
     COUNTIFS($W$2:$W$200,$G327)&gt;0,
     COUNTIFS($X$2:$X$200,$G327)&gt;0,
     COUNTIFS($Y$2:$Y$200,$G327)&gt;0,
     COUNTIFS($Z$2:$Z$200,$G327)&gt;0,
     COUNTIFS($AA$2:$AA$200,$G327)&gt;0,
     COUNTIFS($AB$2:$AB$200,$G327)&gt;0,
     COUNTIFS($AC$2:$AC$200,$G327)&gt;0,
     COUNTIFS($AD$2:$AD$200,$G327)&gt;0,
     COUNTIFS($AE$2:$AE$200,$G327)&gt;0,
     COUNTIFS($AF$2:$AF$200,$G327)&gt;0,
     COUNTIFS($AG$2:$AG$200,$G327)&gt;0,
     COUNTIFS($AH$2:$AH$200,$G327)&gt;0,
     COUNTIFS($AI$2:$AI$200,$G327)&gt;0,
     COUNTIFS($AJ$2:$AJ$200,$G327)&gt;0,
     COUNTIFS($AK$2:$AK$200,$G327)&gt;0,
     COUNTIFS($AL$2:$AL$200,$G327)&gt;0,
     COUNTIFS($AM$2:$AM$200,$G327)&gt;0,
     COUNTIFS($AN$2:$AN$200,$G327)&gt;0,
     COUNTIFS($AO$2:$AO$200,$G327)&gt;0,
     COUNTIFS($AP$2:$AP$200,$G327)&gt;0,
     COUNTIFS($AQ$2:$AQ$200,$G327)&gt;0,
     COUNTIFS($AR$2:$AR$200,$G327)&gt;0,
     COUNTIFS($AS$2:$AS$200,$G327)&gt;0,
     COUNTIFS($AT$2:$AT$200,$G327)&gt;0,
     COUNTIFS($AU$2:$AU$200,$G327)&gt;0,
     COUNTIFS($AV$2:$AV$200,$G327)&gt;0,
     COUNTIFS($AW$2:$AW$200,$G327)&gt;0,
     COUNTIFS($AX$2:$AX$200,$G327)&gt;0,
     COUNTIFS($AY$2:$AY$200,$G327)&gt;0
   )),
  ),
  4
 ),
"")</f>
        <v/>
      </c>
      <c r="G327" t="str">
        <f ca="1"/>
        <v>Prismatic Lens</v>
      </c>
      <c r="EU327" t="str">
        <f ca="1"/>
        <v>The Duke, Rebel Sentry</v>
      </c>
      <c r="EX327" t="str">
        <f ca="1"/>
        <v>Prismatic Lens</v>
      </c>
    </row>
    <row r="328" spans="1:154" x14ac:dyDescent="0.25">
      <c r="A328" s="2" t="str">
        <f t="shared" ca="1" si="16"/>
        <v>5</v>
      </c>
      <c r="B328" s="2">
        <f t="shared" ca="1" si="17"/>
        <v>1</v>
      </c>
      <c r="C328" s="2" t="str">
        <f ca="1">IFERROR(
 INDEX($V$1:$BL$1,
  MATCH(TRUE,
   CHOOSE({1;2;3;4;5;6;7;8;9;10;11;12;13;14;15;16;17;18;19;20;21;22;23;24;25;26;27;28;29;30;31;32;33;34;35;36;37;38;39;40;41;42;43},
    COUNTIFS($V$2:$V$200,$G328)&gt;0,
    COUNTIFS($W$2:$W$200,$G328)&gt;0,
    COUNTIFS($X$2:$X$200,$G328)&gt;0,
    COUNTIFS($Y$2:$Y$200,$G328)&gt;0,
    COUNTIFS($Z$2:$Z$200,$G328)&gt;0,
    COUNTIFS($AA$2:$AA$200,$G328)&gt;0,
    COUNTIFS($AB$2:$AB$200,$G328)&gt;0,
    COUNTIFS($AC$2:$AC$200,$G328)&gt;0,
    COUNTIFS($AD$2:$AD$200,$G328)&gt;0,
    COUNTIFS($AE$2:$AE$200,$G328)&gt;0,
    COUNTIFS($AF$2:$AF$200,$G328)&gt;0,
    COUNTIFS($AG$2:$AG$200,$G328)&gt;0,
    COUNTIFS($AH$2:$AH$200,$G328)&gt;0,
    COUNTIFS($AI$2:$AI$200,$G328)&gt;0,
    COUNTIFS($AJ$2:$AJ$200,$G328)&gt;0,
    COUNTIFS($AK$2:$AK$200,$G328)&gt;0,
    COUNTIFS($AL$2:$AL$200,$G328)&gt;0,
    COUNTIFS($AM$2:$AM$200,$G328)&gt;0,
    COUNTIFS($AN$2:$AN$200,$G328)&gt;0,
    COUNTIFS($AO$2:$AO$200,$G328)&gt;0,
    COUNTIFS($AP$2:$AP$200,$G328)&gt;0,
    COUNTIFS($AQ$2:$AQ$200,$G328)&gt;0,
    COUNTIFS($AR$2:$AR$200,$G328)&gt;0,
    COUNTIFS($AS$2:$AS$200,$G328)&gt;0,
    COUNTIFS($AT$2:$AT$200,$G328)&gt;0,
    COUNTIFS($AU$2:$AU$200,$G328)&gt;0,
    COUNTIFS($AV$2:$AV$200,$G328)&gt;0,
    COUNTIFS($AW$2:$AW$200,$G328)&gt;0,
    COUNTIFS($AX$2:$AX$200,$G328)&gt;0,
    COUNTIFS($AY$2:$AY$200,$G328)&gt;0,
    COUNTIFS($AZ$2:$AZ$200,$G328)&gt;0,
    COUNTIFS($BA$2:$BA$200,$G328)&gt;0,
    COUNTIFS($BB$2:$BB$200,$G328)&gt;0,
    COUNTIFS($BC$2:$BC$200,$G328)&gt;0,
    COUNTIFS($BD$2:$BD$200,$G328)&gt;0,
    COUNTIFS($BE$2:$BE$200,$G328)&gt;0,
    COUNTIFS($BF$2:$BF$200,$G328)&gt;0,
    COUNTIFS($BG$2:$BG$200,$G328)&gt;0,
    COUNTIFS($BH$2:$BH$200,$G328)&gt;0,
    COUNTIFS($BI$2:$BI$200,$G328)&gt;0,
    COUNTIFS($BJ$2:$BJ$200,$G328)&gt;0,
    COUNTIFS($BK$2:$BK$200,$G328)&gt;0,
    COUNTIFS($BL$2:$BL$200,$G328)&gt;0,
    COUNTIFS($BM$2:$BM$200,$G328)&gt;0,
   ),
  0)
 ),
"")</f>
        <v>4cRash</v>
      </c>
      <c r="D328" s="2" t="str" cm="1">
        <f t="array" aca="1" ref="D328" ca="1">IFERROR(
 INDEX(
  _xlfn._xlws.FILTER($V$1:$AY$1,
   TRANSPOSE(
    CHOOSE({1;2;3;4;5;6;7;8;9;10;11;12;13;14;15;16;17;18;19;20;21;22;23;24;25;26;27;28;29;30},
     COUNTIFS($V$2:$V$200,$G328)&gt;0,
     COUNTIFS($W$2:$W$200,$G328)&gt;0,
     COUNTIFS($X$2:$X$200,$G328)&gt;0,
     COUNTIFS($Y$2:$Y$200,$G328)&gt;0,
     COUNTIFS($Z$2:$Z$200,$G328)&gt;0,
     COUNTIFS($AA$2:$AA$200,$G328)&gt;0,
     COUNTIFS($AB$2:$AB$200,$G328)&gt;0,
     COUNTIFS($AC$2:$AC$200,$G328)&gt;0,
     COUNTIFS($AD$2:$AD$200,$G328)&gt;0,
     COUNTIFS($AE$2:$AE$200,$G328)&gt;0,
     COUNTIFS($AF$2:$AF$200,$G328)&gt;0,
     COUNTIFS($AG$2:$AG$200,$G328)&gt;0,
     COUNTIFS($AH$2:$AH$200,$G328)&gt;0,
     COUNTIFS($AI$2:$AI$200,$G328)&gt;0,
     COUNTIFS($AJ$2:$AJ$200,$G328)&gt;0,
     COUNTIFS($AK$2:$AK$200,$G328)&gt;0,
     COUNTIFS($AL$2:$AL$200,$G328)&gt;0,
     COUNTIFS($AM$2:$AM$200,$G328)&gt;0,
     COUNTIFS($AN$2:$AN$200,$G328)&gt;0,
     COUNTIFS($AO$2:$AO$200,$G328)&gt;0,
     COUNTIFS($AP$2:$AP$200,$G328)&gt;0,
     COUNTIFS($AQ$2:$AQ$200,$G328)&gt;0,
     COUNTIFS($AR$2:$AR$200,$G328)&gt;0,
     COUNTIFS($AS$2:$AS$200,$G328)&gt;0,
     COUNTIFS($AT$2:$AT$200,$G328)&gt;0,
     COUNTIFS($AU$2:$AU$200,$G328)&gt;0,
     COUNTIFS($AV$2:$AV$200,$G328)&gt;0,
     COUNTIFS($AW$2:$AW$200,$G328)&gt;0,
     COUNTIFS($AX$2:$AX$200,$G328)&gt;0,
     COUNTIFS($AY$2:$AY$200,$G328)&gt;0
   )),
  ),
  2
 ),
"")</f>
        <v/>
      </c>
      <c r="E328" s="2" t="str" cm="1">
        <f t="array" aca="1" ref="E328" ca="1">IFERROR(
 INDEX(
  _xlfn._xlws.FILTER($V$1:$AY$1,
   TRANSPOSE(
    CHOOSE({1;2;3;4;5;6;7;8;9;10;11;12;13;14;15;16;17;18;19;20;21;22;23;24;25;26;27;28;29;30},
     COUNTIFS($V$2:$V$200,$G328)&gt;0,
     COUNTIFS($W$2:$W$200,$G328)&gt;0,
     COUNTIFS($X$2:$X$200,$G328)&gt;0,
     COUNTIFS($Y$2:$Y$200,$G328)&gt;0,
     COUNTIFS($Z$2:$Z$200,$G328)&gt;0,
     COUNTIFS($AA$2:$AA$200,$G328)&gt;0,
     COUNTIFS($AB$2:$AB$200,$G328)&gt;0,
     COUNTIFS($AC$2:$AC$200,$G328)&gt;0,
     COUNTIFS($AD$2:$AD$200,$G328)&gt;0,
     COUNTIFS($AE$2:$AE$200,$G328)&gt;0,
     COUNTIFS($AF$2:$AF$200,$G328)&gt;0,
     COUNTIFS($AG$2:$AG$200,$G328)&gt;0,
     COUNTIFS($AH$2:$AH$200,$G328)&gt;0,
     COUNTIFS($AI$2:$AI$200,$G328)&gt;0,
     COUNTIFS($AJ$2:$AJ$200,$G328)&gt;0,
     COUNTIFS($AK$2:$AK$200,$G328)&gt;0,
     COUNTIFS($AL$2:$AL$200,$G328)&gt;0,
     COUNTIFS($AM$2:$AM$200,$G328)&gt;0,
     COUNTIFS($AN$2:$AN$200,$G328)&gt;0,
     COUNTIFS($AO$2:$AO$200,$G328)&gt;0,
     COUNTIFS($AP$2:$AP$200,$G328)&gt;0,
     COUNTIFS($AQ$2:$AQ$200,$G328)&gt;0,
     COUNTIFS($AR$2:$AR$200,$G328)&gt;0,
     COUNTIFS($AS$2:$AS$200,$G328)&gt;0,
     COUNTIFS($AT$2:$AT$200,$G328)&gt;0,
     COUNTIFS($AU$2:$AU$200,$G328)&gt;0,
     COUNTIFS($AV$2:$AV$200,$G328)&gt;0,
     COUNTIFS($AW$2:$AW$200,$G328)&gt;0,
     COUNTIFS($AX$2:$AX$200,$G328)&gt;0,
     COUNTIFS($AY$2:$AY$200,$G328)&gt;0
   )),
  ),
  3
 ),
"")</f>
        <v/>
      </c>
      <c r="F328" s="2" t="str" cm="1">
        <f t="array" aca="1" ref="F328" ca="1">IFERROR(
 INDEX(
  _xlfn._xlws.FILTER($V$1:$AY$1,
   TRANSPOSE(
    CHOOSE({1;2;3;4;5;6;7;8;9;10;11;12;13;14;15;16;17;18;19;20;21;22;23;24;25;26;27;28;29;30},
     COUNTIFS($V$2:$V$200,$G328)&gt;0,
     COUNTIFS($W$2:$W$200,$G328)&gt;0,
     COUNTIFS($X$2:$X$200,$G328)&gt;0,
     COUNTIFS($Y$2:$Y$200,$G328)&gt;0,
     COUNTIFS($Z$2:$Z$200,$G328)&gt;0,
     COUNTIFS($AA$2:$AA$200,$G328)&gt;0,
     COUNTIFS($AB$2:$AB$200,$G328)&gt;0,
     COUNTIFS($AC$2:$AC$200,$G328)&gt;0,
     COUNTIFS($AD$2:$AD$200,$G328)&gt;0,
     COUNTIFS($AE$2:$AE$200,$G328)&gt;0,
     COUNTIFS($AF$2:$AF$200,$G328)&gt;0,
     COUNTIFS($AG$2:$AG$200,$G328)&gt;0,
     COUNTIFS($AH$2:$AH$200,$G328)&gt;0,
     COUNTIFS($AI$2:$AI$200,$G328)&gt;0,
     COUNTIFS($AJ$2:$AJ$200,$G328)&gt;0,
     COUNTIFS($AK$2:$AK$200,$G328)&gt;0,
     COUNTIFS($AL$2:$AL$200,$G328)&gt;0,
     COUNTIFS($AM$2:$AM$200,$G328)&gt;0,
     COUNTIFS($AN$2:$AN$200,$G328)&gt;0,
     COUNTIFS($AO$2:$AO$200,$G328)&gt;0,
     COUNTIFS($AP$2:$AP$200,$G328)&gt;0,
     COUNTIFS($AQ$2:$AQ$200,$G328)&gt;0,
     COUNTIFS($AR$2:$AR$200,$G328)&gt;0,
     COUNTIFS($AS$2:$AS$200,$G328)&gt;0,
     COUNTIFS($AT$2:$AT$200,$G328)&gt;0,
     COUNTIFS($AU$2:$AU$200,$G328)&gt;0,
     COUNTIFS($AV$2:$AV$200,$G328)&gt;0,
     COUNTIFS($AW$2:$AW$200,$G328)&gt;0,
     COUNTIFS($AX$2:$AX$200,$G328)&gt;0,
     COUNTIFS($AY$2:$AY$200,$G328)&gt;0
   )),
  ),
  4
 ),
"")</f>
        <v/>
      </c>
      <c r="G328" t="str">
        <f ca="1"/>
        <v>Propaganda</v>
      </c>
      <c r="EU328" t="str">
        <f ca="1"/>
        <v>The Enigma Jewel</v>
      </c>
      <c r="EX328" t="str">
        <f ca="1"/>
        <v>Propaganda</v>
      </c>
    </row>
    <row r="329" spans="1:154" x14ac:dyDescent="0.25">
      <c r="A329" s="2" t="str">
        <f t="shared" ca="1" si="16"/>
        <v>5</v>
      </c>
      <c r="B329" s="2">
        <f t="shared" ca="1" si="17"/>
        <v>1</v>
      </c>
      <c r="C329" s="2" t="str">
        <f ca="1">IFERROR(
 INDEX($V$1:$BL$1,
  MATCH(TRUE,
   CHOOSE({1;2;3;4;5;6;7;8;9;10;11;12;13;14;15;16;17;18;19;20;21;22;23;24;25;26;27;28;29;30;31;32;33;34;35;36;37;38;39;40;41;42;43},
    COUNTIFS($V$2:$V$200,$G329)&gt;0,
    COUNTIFS($W$2:$W$200,$G329)&gt;0,
    COUNTIFS($X$2:$X$200,$G329)&gt;0,
    COUNTIFS($Y$2:$Y$200,$G329)&gt;0,
    COUNTIFS($Z$2:$Z$200,$G329)&gt;0,
    COUNTIFS($AA$2:$AA$200,$G329)&gt;0,
    COUNTIFS($AB$2:$AB$200,$G329)&gt;0,
    COUNTIFS($AC$2:$AC$200,$G329)&gt;0,
    COUNTIFS($AD$2:$AD$200,$G329)&gt;0,
    COUNTIFS($AE$2:$AE$200,$G329)&gt;0,
    COUNTIFS($AF$2:$AF$200,$G329)&gt;0,
    COUNTIFS($AG$2:$AG$200,$G329)&gt;0,
    COUNTIFS($AH$2:$AH$200,$G329)&gt;0,
    COUNTIFS($AI$2:$AI$200,$G329)&gt;0,
    COUNTIFS($AJ$2:$AJ$200,$G329)&gt;0,
    COUNTIFS($AK$2:$AK$200,$G329)&gt;0,
    COUNTIFS($AL$2:$AL$200,$G329)&gt;0,
    COUNTIFS($AM$2:$AM$200,$G329)&gt;0,
    COUNTIFS($AN$2:$AN$200,$G329)&gt;0,
    COUNTIFS($AO$2:$AO$200,$G329)&gt;0,
    COUNTIFS($AP$2:$AP$200,$G329)&gt;0,
    COUNTIFS($AQ$2:$AQ$200,$G329)&gt;0,
    COUNTIFS($AR$2:$AR$200,$G329)&gt;0,
    COUNTIFS($AS$2:$AS$200,$G329)&gt;0,
    COUNTIFS($AT$2:$AT$200,$G329)&gt;0,
    COUNTIFS($AU$2:$AU$200,$G329)&gt;0,
    COUNTIFS($AV$2:$AV$200,$G329)&gt;0,
    COUNTIFS($AW$2:$AW$200,$G329)&gt;0,
    COUNTIFS($AX$2:$AX$200,$G329)&gt;0,
    COUNTIFS($AY$2:$AY$200,$G329)&gt;0,
    COUNTIFS($AZ$2:$AZ$200,$G329)&gt;0,
    COUNTIFS($BA$2:$BA$200,$G329)&gt;0,
    COUNTIFS($BB$2:$BB$200,$G329)&gt;0,
    COUNTIFS($BC$2:$BC$200,$G329)&gt;0,
    COUNTIFS($BD$2:$BD$200,$G329)&gt;0,
    COUNTIFS($BE$2:$BE$200,$G329)&gt;0,
    COUNTIFS($BF$2:$BF$200,$G329)&gt;0,
    COUNTIFS($BG$2:$BG$200,$G329)&gt;0,
    COUNTIFS($BH$2:$BH$200,$G329)&gt;0,
    COUNTIFS($BI$2:$BI$200,$G329)&gt;0,
    COUNTIFS($BJ$2:$BJ$200,$G329)&gt;0,
    COUNTIFS($BK$2:$BK$200,$G329)&gt;0,
    COUNTIFS($BL$2:$BL$200,$G329)&gt;0,
    COUNTIFS($BM$2:$BM$200,$G329)&gt;0,
   ),
  0)
 ),
"")</f>
        <v>Zuko</v>
      </c>
      <c r="D329" s="2" t="str" cm="1">
        <f t="array" aca="1" ref="D329" ca="1">IFERROR(
 INDEX(
  _xlfn._xlws.FILTER($V$1:$AY$1,
   TRANSPOSE(
    CHOOSE({1;2;3;4;5;6;7;8;9;10;11;12;13;14;15;16;17;18;19;20;21;22;23;24;25;26;27;28;29;30},
     COUNTIFS($V$2:$V$200,$G329)&gt;0,
     COUNTIFS($W$2:$W$200,$G329)&gt;0,
     COUNTIFS($X$2:$X$200,$G329)&gt;0,
     COUNTIFS($Y$2:$Y$200,$G329)&gt;0,
     COUNTIFS($Z$2:$Z$200,$G329)&gt;0,
     COUNTIFS($AA$2:$AA$200,$G329)&gt;0,
     COUNTIFS($AB$2:$AB$200,$G329)&gt;0,
     COUNTIFS($AC$2:$AC$200,$G329)&gt;0,
     COUNTIFS($AD$2:$AD$200,$G329)&gt;0,
     COUNTIFS($AE$2:$AE$200,$G329)&gt;0,
     COUNTIFS($AF$2:$AF$200,$G329)&gt;0,
     COUNTIFS($AG$2:$AG$200,$G329)&gt;0,
     COUNTIFS($AH$2:$AH$200,$G329)&gt;0,
     COUNTIFS($AI$2:$AI$200,$G329)&gt;0,
     COUNTIFS($AJ$2:$AJ$200,$G329)&gt;0,
     COUNTIFS($AK$2:$AK$200,$G329)&gt;0,
     COUNTIFS($AL$2:$AL$200,$G329)&gt;0,
     COUNTIFS($AM$2:$AM$200,$G329)&gt;0,
     COUNTIFS($AN$2:$AN$200,$G329)&gt;0,
     COUNTIFS($AO$2:$AO$200,$G329)&gt;0,
     COUNTIFS($AP$2:$AP$200,$G329)&gt;0,
     COUNTIFS($AQ$2:$AQ$200,$G329)&gt;0,
     COUNTIFS($AR$2:$AR$200,$G329)&gt;0,
     COUNTIFS($AS$2:$AS$200,$G329)&gt;0,
     COUNTIFS($AT$2:$AT$200,$G329)&gt;0,
     COUNTIFS($AU$2:$AU$200,$G329)&gt;0,
     COUNTIFS($AV$2:$AV$200,$G329)&gt;0,
     COUNTIFS($AW$2:$AW$200,$G329)&gt;0,
     COUNTIFS($AX$2:$AX$200,$G329)&gt;0,
     COUNTIFS($AY$2:$AY$200,$G329)&gt;0
   )),
  ),
  2
 ),
"")</f>
        <v/>
      </c>
      <c r="E329" s="2" t="str" cm="1">
        <f t="array" aca="1" ref="E329" ca="1">IFERROR(
 INDEX(
  _xlfn._xlws.FILTER($V$1:$AY$1,
   TRANSPOSE(
    CHOOSE({1;2;3;4;5;6;7;8;9;10;11;12;13;14;15;16;17;18;19;20;21;22;23;24;25;26;27;28;29;30},
     COUNTIFS($V$2:$V$200,$G329)&gt;0,
     COUNTIFS($W$2:$W$200,$G329)&gt;0,
     COUNTIFS($X$2:$X$200,$G329)&gt;0,
     COUNTIFS($Y$2:$Y$200,$G329)&gt;0,
     COUNTIFS($Z$2:$Z$200,$G329)&gt;0,
     COUNTIFS($AA$2:$AA$200,$G329)&gt;0,
     COUNTIFS($AB$2:$AB$200,$G329)&gt;0,
     COUNTIFS($AC$2:$AC$200,$G329)&gt;0,
     COUNTIFS($AD$2:$AD$200,$G329)&gt;0,
     COUNTIFS($AE$2:$AE$200,$G329)&gt;0,
     COUNTIFS($AF$2:$AF$200,$G329)&gt;0,
     COUNTIFS($AG$2:$AG$200,$G329)&gt;0,
     COUNTIFS($AH$2:$AH$200,$G329)&gt;0,
     COUNTIFS($AI$2:$AI$200,$G329)&gt;0,
     COUNTIFS($AJ$2:$AJ$200,$G329)&gt;0,
     COUNTIFS($AK$2:$AK$200,$G329)&gt;0,
     COUNTIFS($AL$2:$AL$200,$G329)&gt;0,
     COUNTIFS($AM$2:$AM$200,$G329)&gt;0,
     COUNTIFS($AN$2:$AN$200,$G329)&gt;0,
     COUNTIFS($AO$2:$AO$200,$G329)&gt;0,
     COUNTIFS($AP$2:$AP$200,$G329)&gt;0,
     COUNTIFS($AQ$2:$AQ$200,$G329)&gt;0,
     COUNTIFS($AR$2:$AR$200,$G329)&gt;0,
     COUNTIFS($AS$2:$AS$200,$G329)&gt;0,
     COUNTIFS($AT$2:$AT$200,$G329)&gt;0,
     COUNTIFS($AU$2:$AU$200,$G329)&gt;0,
     COUNTIFS($AV$2:$AV$200,$G329)&gt;0,
     COUNTIFS($AW$2:$AW$200,$G329)&gt;0,
     COUNTIFS($AX$2:$AX$200,$G329)&gt;0,
     COUNTIFS($AY$2:$AY$200,$G329)&gt;0
   )),
  ),
  3
 ),
"")</f>
        <v/>
      </c>
      <c r="F329" s="2" t="str" cm="1">
        <f t="array" aca="1" ref="F329" ca="1">IFERROR(
 INDEX(
  _xlfn._xlws.FILTER($V$1:$AY$1,
   TRANSPOSE(
    CHOOSE({1;2;3;4;5;6;7;8;9;10;11;12;13;14;15;16;17;18;19;20;21;22;23;24;25;26;27;28;29;30},
     COUNTIFS($V$2:$V$200,$G329)&gt;0,
     COUNTIFS($W$2:$W$200,$G329)&gt;0,
     COUNTIFS($X$2:$X$200,$G329)&gt;0,
     COUNTIFS($Y$2:$Y$200,$G329)&gt;0,
     COUNTIFS($Z$2:$Z$200,$G329)&gt;0,
     COUNTIFS($AA$2:$AA$200,$G329)&gt;0,
     COUNTIFS($AB$2:$AB$200,$G329)&gt;0,
     COUNTIFS($AC$2:$AC$200,$G329)&gt;0,
     COUNTIFS($AD$2:$AD$200,$G329)&gt;0,
     COUNTIFS($AE$2:$AE$200,$G329)&gt;0,
     COUNTIFS($AF$2:$AF$200,$G329)&gt;0,
     COUNTIFS($AG$2:$AG$200,$G329)&gt;0,
     COUNTIFS($AH$2:$AH$200,$G329)&gt;0,
     COUNTIFS($AI$2:$AI$200,$G329)&gt;0,
     COUNTIFS($AJ$2:$AJ$200,$G329)&gt;0,
     COUNTIFS($AK$2:$AK$200,$G329)&gt;0,
     COUNTIFS($AL$2:$AL$200,$G329)&gt;0,
     COUNTIFS($AM$2:$AM$200,$G329)&gt;0,
     COUNTIFS($AN$2:$AN$200,$G329)&gt;0,
     COUNTIFS($AO$2:$AO$200,$G329)&gt;0,
     COUNTIFS($AP$2:$AP$200,$G329)&gt;0,
     COUNTIFS($AQ$2:$AQ$200,$G329)&gt;0,
     COUNTIFS($AR$2:$AR$200,$G329)&gt;0,
     COUNTIFS($AS$2:$AS$200,$G329)&gt;0,
     COUNTIFS($AT$2:$AT$200,$G329)&gt;0,
     COUNTIFS($AU$2:$AU$200,$G329)&gt;0,
     COUNTIFS($AV$2:$AV$200,$G329)&gt;0,
     COUNTIFS($AW$2:$AW$200,$G329)&gt;0,
     COUNTIFS($AX$2:$AX$200,$G329)&gt;0,
     COUNTIFS($AY$2:$AY$200,$G329)&gt;0
   )),
  ),
  4
 ),
"")</f>
        <v/>
      </c>
      <c r="G329" t="str">
        <f ca="1"/>
        <v>Prosper, Tome-Bound</v>
      </c>
      <c r="EU329" t="str">
        <f ca="1"/>
        <v>The First Sliver</v>
      </c>
      <c r="EX329" t="str">
        <f ca="1"/>
        <v>Prosper, Tome-Bound</v>
      </c>
    </row>
    <row r="330" spans="1:154" x14ac:dyDescent="0.25">
      <c r="A330" s="2" t="str">
        <f t="shared" ca="1" si="16"/>
        <v>4</v>
      </c>
      <c r="B330" s="2">
        <f t="shared" ca="1" si="17"/>
        <v>1</v>
      </c>
      <c r="C330" s="2" t="str">
        <f ca="1">IFERROR(
 INDEX($V$1:$BL$1,
  MATCH(TRUE,
   CHOOSE({1;2;3;4;5;6;7;8;9;10;11;12;13;14;15;16;17;18;19;20;21;22;23;24;25;26;27;28;29;30;31;32;33;34;35;36;37;38;39;40;41;42;43},
    COUNTIFS($V$2:$V$200,$G330)&gt;0,
    COUNTIFS($W$2:$W$200,$G330)&gt;0,
    COUNTIFS($X$2:$X$200,$G330)&gt;0,
    COUNTIFS($Y$2:$Y$200,$G330)&gt;0,
    COUNTIFS($Z$2:$Z$200,$G330)&gt;0,
    COUNTIFS($AA$2:$AA$200,$G330)&gt;0,
    COUNTIFS($AB$2:$AB$200,$G330)&gt;0,
    COUNTIFS($AC$2:$AC$200,$G330)&gt;0,
    COUNTIFS($AD$2:$AD$200,$G330)&gt;0,
    COUNTIFS($AE$2:$AE$200,$G330)&gt;0,
    COUNTIFS($AF$2:$AF$200,$G330)&gt;0,
    COUNTIFS($AG$2:$AG$200,$G330)&gt;0,
    COUNTIFS($AH$2:$AH$200,$G330)&gt;0,
    COUNTIFS($AI$2:$AI$200,$G330)&gt;0,
    COUNTIFS($AJ$2:$AJ$200,$G330)&gt;0,
    COUNTIFS($AK$2:$AK$200,$G330)&gt;0,
    COUNTIFS($AL$2:$AL$200,$G330)&gt;0,
    COUNTIFS($AM$2:$AM$200,$G330)&gt;0,
    COUNTIFS($AN$2:$AN$200,$G330)&gt;0,
    COUNTIFS($AO$2:$AO$200,$G330)&gt;0,
    COUNTIFS($AP$2:$AP$200,$G330)&gt;0,
    COUNTIFS($AQ$2:$AQ$200,$G330)&gt;0,
    COUNTIFS($AR$2:$AR$200,$G330)&gt;0,
    COUNTIFS($AS$2:$AS$200,$G330)&gt;0,
    COUNTIFS($AT$2:$AT$200,$G330)&gt;0,
    COUNTIFS($AU$2:$AU$200,$G330)&gt;0,
    COUNTIFS($AV$2:$AV$200,$G330)&gt;0,
    COUNTIFS($AW$2:$AW$200,$G330)&gt;0,
    COUNTIFS($AX$2:$AX$200,$G330)&gt;0,
    COUNTIFS($AY$2:$AY$200,$G330)&gt;0,
    COUNTIFS($AZ$2:$AZ$200,$G330)&gt;0,
    COUNTIFS($BA$2:$BA$200,$G330)&gt;0,
    COUNTIFS($BB$2:$BB$200,$G330)&gt;0,
    COUNTIFS($BC$2:$BC$200,$G330)&gt;0,
    COUNTIFS($BD$2:$BD$200,$G330)&gt;0,
    COUNTIFS($BE$2:$BE$200,$G330)&gt;0,
    COUNTIFS($BF$2:$BF$200,$G330)&gt;0,
    COUNTIFS($BG$2:$BG$200,$G330)&gt;0,
    COUNTIFS($BH$2:$BH$200,$G330)&gt;0,
    COUNTIFS($BI$2:$BI$200,$G330)&gt;0,
    COUNTIFS($BJ$2:$BJ$200,$G330)&gt;0,
    COUNTIFS($BK$2:$BK$200,$G330)&gt;0,
    COUNTIFS($BL$2:$BL$200,$G330)&gt;0,
    COUNTIFS($BM$2:$BM$200,$G330)&gt;0,
   ),
  0)
 ),
"")</f>
        <v>Baylen</v>
      </c>
      <c r="D330" s="2" t="str" cm="1">
        <f t="array" aca="1" ref="D330" ca="1">IFERROR(
 INDEX(
  _xlfn._xlws.FILTER($V$1:$AY$1,
   TRANSPOSE(
    CHOOSE({1;2;3;4;5;6;7;8;9;10;11;12;13;14;15;16;17;18;19;20;21;22;23;24;25;26;27;28;29;30},
     COUNTIFS($V$2:$V$200,$G330)&gt;0,
     COUNTIFS($W$2:$W$200,$G330)&gt;0,
     COUNTIFS($X$2:$X$200,$G330)&gt;0,
     COUNTIFS($Y$2:$Y$200,$G330)&gt;0,
     COUNTIFS($Z$2:$Z$200,$G330)&gt;0,
     COUNTIFS($AA$2:$AA$200,$G330)&gt;0,
     COUNTIFS($AB$2:$AB$200,$G330)&gt;0,
     COUNTIFS($AC$2:$AC$200,$G330)&gt;0,
     COUNTIFS($AD$2:$AD$200,$G330)&gt;0,
     COUNTIFS($AE$2:$AE$200,$G330)&gt;0,
     COUNTIFS($AF$2:$AF$200,$G330)&gt;0,
     COUNTIFS($AG$2:$AG$200,$G330)&gt;0,
     COUNTIFS($AH$2:$AH$200,$G330)&gt;0,
     COUNTIFS($AI$2:$AI$200,$G330)&gt;0,
     COUNTIFS($AJ$2:$AJ$200,$G330)&gt;0,
     COUNTIFS($AK$2:$AK$200,$G330)&gt;0,
     COUNTIFS($AL$2:$AL$200,$G330)&gt;0,
     COUNTIFS($AM$2:$AM$200,$G330)&gt;0,
     COUNTIFS($AN$2:$AN$200,$G330)&gt;0,
     COUNTIFS($AO$2:$AO$200,$G330)&gt;0,
     COUNTIFS($AP$2:$AP$200,$G330)&gt;0,
     COUNTIFS($AQ$2:$AQ$200,$G330)&gt;0,
     COUNTIFS($AR$2:$AR$200,$G330)&gt;0,
     COUNTIFS($AS$2:$AS$200,$G330)&gt;0,
     COUNTIFS($AT$2:$AT$200,$G330)&gt;0,
     COUNTIFS($AU$2:$AU$200,$G330)&gt;0,
     COUNTIFS($AV$2:$AV$200,$G330)&gt;0,
     COUNTIFS($AW$2:$AW$200,$G330)&gt;0,
     COUNTIFS($AX$2:$AX$200,$G330)&gt;0,
     COUNTIFS($AY$2:$AY$200,$G330)&gt;0
   )),
  ),
  2
 ),
"")</f>
        <v/>
      </c>
      <c r="E330" s="2" t="str" cm="1">
        <f t="array" aca="1" ref="E330" ca="1">IFERROR(
 INDEX(
  _xlfn._xlws.FILTER($V$1:$AY$1,
   TRANSPOSE(
    CHOOSE({1;2;3;4;5;6;7;8;9;10;11;12;13;14;15;16;17;18;19;20;21;22;23;24;25;26;27;28;29;30},
     COUNTIFS($V$2:$V$200,$G330)&gt;0,
     COUNTIFS($W$2:$W$200,$G330)&gt;0,
     COUNTIFS($X$2:$X$200,$G330)&gt;0,
     COUNTIFS($Y$2:$Y$200,$G330)&gt;0,
     COUNTIFS($Z$2:$Z$200,$G330)&gt;0,
     COUNTIFS($AA$2:$AA$200,$G330)&gt;0,
     COUNTIFS($AB$2:$AB$200,$G330)&gt;0,
     COUNTIFS($AC$2:$AC$200,$G330)&gt;0,
     COUNTIFS($AD$2:$AD$200,$G330)&gt;0,
     COUNTIFS($AE$2:$AE$200,$G330)&gt;0,
     COUNTIFS($AF$2:$AF$200,$G330)&gt;0,
     COUNTIFS($AG$2:$AG$200,$G330)&gt;0,
     COUNTIFS($AH$2:$AH$200,$G330)&gt;0,
     COUNTIFS($AI$2:$AI$200,$G330)&gt;0,
     COUNTIFS($AJ$2:$AJ$200,$G330)&gt;0,
     COUNTIFS($AK$2:$AK$200,$G330)&gt;0,
     COUNTIFS($AL$2:$AL$200,$G330)&gt;0,
     COUNTIFS($AM$2:$AM$200,$G330)&gt;0,
     COUNTIFS($AN$2:$AN$200,$G330)&gt;0,
     COUNTIFS($AO$2:$AO$200,$G330)&gt;0,
     COUNTIFS($AP$2:$AP$200,$G330)&gt;0,
     COUNTIFS($AQ$2:$AQ$200,$G330)&gt;0,
     COUNTIFS($AR$2:$AR$200,$G330)&gt;0,
     COUNTIFS($AS$2:$AS$200,$G330)&gt;0,
     COUNTIFS($AT$2:$AT$200,$G330)&gt;0,
     COUNTIFS($AU$2:$AU$200,$G330)&gt;0,
     COUNTIFS($AV$2:$AV$200,$G330)&gt;0,
     COUNTIFS($AW$2:$AW$200,$G330)&gt;0,
     COUNTIFS($AX$2:$AX$200,$G330)&gt;0,
     COUNTIFS($AY$2:$AY$200,$G330)&gt;0
   )),
  ),
  3
 ),
"")</f>
        <v/>
      </c>
      <c r="F330" s="2" t="str" cm="1">
        <f t="array" aca="1" ref="F330" ca="1">IFERROR(
 INDEX(
  _xlfn._xlws.FILTER($V$1:$AY$1,
   TRANSPOSE(
    CHOOSE({1;2;3;4;5;6;7;8;9;10;11;12;13;14;15;16;17;18;19;20;21;22;23;24;25;26;27;28;29;30},
     COUNTIFS($V$2:$V$200,$G330)&gt;0,
     COUNTIFS($W$2:$W$200,$G330)&gt;0,
     COUNTIFS($X$2:$X$200,$G330)&gt;0,
     COUNTIFS($Y$2:$Y$200,$G330)&gt;0,
     COUNTIFS($Z$2:$Z$200,$G330)&gt;0,
     COUNTIFS($AA$2:$AA$200,$G330)&gt;0,
     COUNTIFS($AB$2:$AB$200,$G330)&gt;0,
     COUNTIFS($AC$2:$AC$200,$G330)&gt;0,
     COUNTIFS($AD$2:$AD$200,$G330)&gt;0,
     COUNTIFS($AE$2:$AE$200,$G330)&gt;0,
     COUNTIFS($AF$2:$AF$200,$G330)&gt;0,
     COUNTIFS($AG$2:$AG$200,$G330)&gt;0,
     COUNTIFS($AH$2:$AH$200,$G330)&gt;0,
     COUNTIFS($AI$2:$AI$200,$G330)&gt;0,
     COUNTIFS($AJ$2:$AJ$200,$G330)&gt;0,
     COUNTIFS($AK$2:$AK$200,$G330)&gt;0,
     COUNTIFS($AL$2:$AL$200,$G330)&gt;0,
     COUNTIFS($AM$2:$AM$200,$G330)&gt;0,
     COUNTIFS($AN$2:$AN$200,$G330)&gt;0,
     COUNTIFS($AO$2:$AO$200,$G330)&gt;0,
     COUNTIFS($AP$2:$AP$200,$G330)&gt;0,
     COUNTIFS($AQ$2:$AQ$200,$G330)&gt;0,
     COUNTIFS($AR$2:$AR$200,$G330)&gt;0,
     COUNTIFS($AS$2:$AS$200,$G330)&gt;0,
     COUNTIFS($AT$2:$AT$200,$G330)&gt;0,
     COUNTIFS($AU$2:$AU$200,$G330)&gt;0,
     COUNTIFS($AV$2:$AV$200,$G330)&gt;0,
     COUNTIFS($AW$2:$AW$200,$G330)&gt;0,
     COUNTIFS($AX$2:$AX$200,$G330)&gt;0,
     COUNTIFS($AY$2:$AY$200,$G330)&gt;0
   )),
  ),
  4
 ),
"")</f>
        <v/>
      </c>
      <c r="G330" t="str">
        <f ca="1"/>
        <v>Prosperous Partnership</v>
      </c>
      <c r="EU330" t="str">
        <f ca="1"/>
        <v>The Gold Saucer</v>
      </c>
      <c r="EX330" t="str">
        <f ca="1"/>
        <v>Prosperous Partnership</v>
      </c>
    </row>
    <row r="331" spans="1:154" x14ac:dyDescent="0.25">
      <c r="A331" s="2" t="str">
        <f t="shared" ca="1" si="16"/>
        <v>5</v>
      </c>
      <c r="B331" s="2">
        <f t="shared" ca="1" si="17"/>
        <v>1</v>
      </c>
      <c r="C331" s="2" t="str">
        <f ca="1">IFERROR(
 INDEX($V$1:$BL$1,
  MATCH(TRUE,
   CHOOSE({1;2;3;4;5;6;7;8;9;10;11;12;13;14;15;16;17;18;19;20;21;22;23;24;25;26;27;28;29;30;31;32;33;34;35;36;37;38;39;40;41;42;43},
    COUNTIFS($V$2:$V$200,$G331)&gt;0,
    COUNTIFS($W$2:$W$200,$G331)&gt;0,
    COUNTIFS($X$2:$X$200,$G331)&gt;0,
    COUNTIFS($Y$2:$Y$200,$G331)&gt;0,
    COUNTIFS($Z$2:$Z$200,$G331)&gt;0,
    COUNTIFS($AA$2:$AA$200,$G331)&gt;0,
    COUNTIFS($AB$2:$AB$200,$G331)&gt;0,
    COUNTIFS($AC$2:$AC$200,$G331)&gt;0,
    COUNTIFS($AD$2:$AD$200,$G331)&gt;0,
    COUNTIFS($AE$2:$AE$200,$G331)&gt;0,
    COUNTIFS($AF$2:$AF$200,$G331)&gt;0,
    COUNTIFS($AG$2:$AG$200,$G331)&gt;0,
    COUNTIFS($AH$2:$AH$200,$G331)&gt;0,
    COUNTIFS($AI$2:$AI$200,$G331)&gt;0,
    COUNTIFS($AJ$2:$AJ$200,$G331)&gt;0,
    COUNTIFS($AK$2:$AK$200,$G331)&gt;0,
    COUNTIFS($AL$2:$AL$200,$G331)&gt;0,
    COUNTIFS($AM$2:$AM$200,$G331)&gt;0,
    COUNTIFS($AN$2:$AN$200,$G331)&gt;0,
    COUNTIFS($AO$2:$AO$200,$G331)&gt;0,
    COUNTIFS($AP$2:$AP$200,$G331)&gt;0,
    COUNTIFS($AQ$2:$AQ$200,$G331)&gt;0,
    COUNTIFS($AR$2:$AR$200,$G331)&gt;0,
    COUNTIFS($AS$2:$AS$200,$G331)&gt;0,
    COUNTIFS($AT$2:$AT$200,$G331)&gt;0,
    COUNTIFS($AU$2:$AU$200,$G331)&gt;0,
    COUNTIFS($AV$2:$AV$200,$G331)&gt;0,
    COUNTIFS($AW$2:$AW$200,$G331)&gt;0,
    COUNTIFS($AX$2:$AX$200,$G331)&gt;0,
    COUNTIFS($AY$2:$AY$200,$G331)&gt;0,
    COUNTIFS($AZ$2:$AZ$200,$G331)&gt;0,
    COUNTIFS($BA$2:$BA$200,$G331)&gt;0,
    COUNTIFS($BB$2:$BB$200,$G331)&gt;0,
    COUNTIFS($BC$2:$BC$200,$G331)&gt;0,
    COUNTIFS($BD$2:$BD$200,$G331)&gt;0,
    COUNTIFS($BE$2:$BE$200,$G331)&gt;0,
    COUNTIFS($BF$2:$BF$200,$G331)&gt;0,
    COUNTIFS($BG$2:$BG$200,$G331)&gt;0,
    COUNTIFS($BH$2:$BH$200,$G331)&gt;0,
    COUNTIFS($BI$2:$BI$200,$G331)&gt;0,
    COUNTIFS($BJ$2:$BJ$200,$G331)&gt;0,
    COUNTIFS($BK$2:$BK$200,$G331)&gt;0,
    COUNTIFS($BL$2:$BL$200,$G331)&gt;0,
    COUNTIFS($BM$2:$BM$200,$G331)&gt;0,
   ),
  0)
 ),
"")</f>
        <v>Fractius</v>
      </c>
      <c r="D331" s="2" t="str" cm="1">
        <f t="array" aca="1" ref="D331" ca="1">IFERROR(
 INDEX(
  _xlfn._xlws.FILTER($V$1:$AY$1,
   TRANSPOSE(
    CHOOSE({1;2;3;4;5;6;7;8;9;10;11;12;13;14;15;16;17;18;19;20;21;22;23;24;25;26;27;28;29;30},
     COUNTIFS($V$2:$V$200,$G331)&gt;0,
     COUNTIFS($W$2:$W$200,$G331)&gt;0,
     COUNTIFS($X$2:$X$200,$G331)&gt;0,
     COUNTIFS($Y$2:$Y$200,$G331)&gt;0,
     COUNTIFS($Z$2:$Z$200,$G331)&gt;0,
     COUNTIFS($AA$2:$AA$200,$G331)&gt;0,
     COUNTIFS($AB$2:$AB$200,$G331)&gt;0,
     COUNTIFS($AC$2:$AC$200,$G331)&gt;0,
     COUNTIFS($AD$2:$AD$200,$G331)&gt;0,
     COUNTIFS($AE$2:$AE$200,$G331)&gt;0,
     COUNTIFS($AF$2:$AF$200,$G331)&gt;0,
     COUNTIFS($AG$2:$AG$200,$G331)&gt;0,
     COUNTIFS($AH$2:$AH$200,$G331)&gt;0,
     COUNTIFS($AI$2:$AI$200,$G331)&gt;0,
     COUNTIFS($AJ$2:$AJ$200,$G331)&gt;0,
     COUNTIFS($AK$2:$AK$200,$G331)&gt;0,
     COUNTIFS($AL$2:$AL$200,$G331)&gt;0,
     COUNTIFS($AM$2:$AM$200,$G331)&gt;0,
     COUNTIFS($AN$2:$AN$200,$G331)&gt;0,
     COUNTIFS($AO$2:$AO$200,$G331)&gt;0,
     COUNTIFS($AP$2:$AP$200,$G331)&gt;0,
     COUNTIFS($AQ$2:$AQ$200,$G331)&gt;0,
     COUNTIFS($AR$2:$AR$200,$G331)&gt;0,
     COUNTIFS($AS$2:$AS$200,$G331)&gt;0,
     COUNTIFS($AT$2:$AT$200,$G331)&gt;0,
     COUNTIFS($AU$2:$AU$200,$G331)&gt;0,
     COUNTIFS($AV$2:$AV$200,$G331)&gt;0,
     COUNTIFS($AW$2:$AW$200,$G331)&gt;0,
     COUNTIFS($AX$2:$AX$200,$G331)&gt;0,
     COUNTIFS($AY$2:$AY$200,$G331)&gt;0
   )),
  ),
  2
 ),
"")</f>
        <v/>
      </c>
      <c r="E331" s="2" t="str" cm="1">
        <f t="array" aca="1" ref="E331" ca="1">IFERROR(
 INDEX(
  _xlfn._xlws.FILTER($V$1:$AY$1,
   TRANSPOSE(
    CHOOSE({1;2;3;4;5;6;7;8;9;10;11;12;13;14;15;16;17;18;19;20;21;22;23;24;25;26;27;28;29;30},
     COUNTIFS($V$2:$V$200,$G331)&gt;0,
     COUNTIFS($W$2:$W$200,$G331)&gt;0,
     COUNTIFS($X$2:$X$200,$G331)&gt;0,
     COUNTIFS($Y$2:$Y$200,$G331)&gt;0,
     COUNTIFS($Z$2:$Z$200,$G331)&gt;0,
     COUNTIFS($AA$2:$AA$200,$G331)&gt;0,
     COUNTIFS($AB$2:$AB$200,$G331)&gt;0,
     COUNTIFS($AC$2:$AC$200,$G331)&gt;0,
     COUNTIFS($AD$2:$AD$200,$G331)&gt;0,
     COUNTIFS($AE$2:$AE$200,$G331)&gt;0,
     COUNTIFS($AF$2:$AF$200,$G331)&gt;0,
     COUNTIFS($AG$2:$AG$200,$G331)&gt;0,
     COUNTIFS($AH$2:$AH$200,$G331)&gt;0,
     COUNTIFS($AI$2:$AI$200,$G331)&gt;0,
     COUNTIFS($AJ$2:$AJ$200,$G331)&gt;0,
     COUNTIFS($AK$2:$AK$200,$G331)&gt;0,
     COUNTIFS($AL$2:$AL$200,$G331)&gt;0,
     COUNTIFS($AM$2:$AM$200,$G331)&gt;0,
     COUNTIFS($AN$2:$AN$200,$G331)&gt;0,
     COUNTIFS($AO$2:$AO$200,$G331)&gt;0,
     COUNTIFS($AP$2:$AP$200,$G331)&gt;0,
     COUNTIFS($AQ$2:$AQ$200,$G331)&gt;0,
     COUNTIFS($AR$2:$AR$200,$G331)&gt;0,
     COUNTIFS($AS$2:$AS$200,$G331)&gt;0,
     COUNTIFS($AT$2:$AT$200,$G331)&gt;0,
     COUNTIFS($AU$2:$AU$200,$G331)&gt;0,
     COUNTIFS($AV$2:$AV$200,$G331)&gt;0,
     COUNTIFS($AW$2:$AW$200,$G331)&gt;0,
     COUNTIFS($AX$2:$AX$200,$G331)&gt;0,
     COUNTIFS($AY$2:$AY$200,$G331)&gt;0
   )),
  ),
  3
 ),
"")</f>
        <v/>
      </c>
      <c r="F331" s="2" t="str" cm="1">
        <f t="array" aca="1" ref="F331" ca="1">IFERROR(
 INDEX(
  _xlfn._xlws.FILTER($V$1:$AY$1,
   TRANSPOSE(
    CHOOSE({1;2;3;4;5;6;7;8;9;10;11;12;13;14;15;16;17;18;19;20;21;22;23;24;25;26;27;28;29;30},
     COUNTIFS($V$2:$V$200,$G331)&gt;0,
     COUNTIFS($W$2:$W$200,$G331)&gt;0,
     COUNTIFS($X$2:$X$200,$G331)&gt;0,
     COUNTIFS($Y$2:$Y$200,$G331)&gt;0,
     COUNTIFS($Z$2:$Z$200,$G331)&gt;0,
     COUNTIFS($AA$2:$AA$200,$G331)&gt;0,
     COUNTIFS($AB$2:$AB$200,$G331)&gt;0,
     COUNTIFS($AC$2:$AC$200,$G331)&gt;0,
     COUNTIFS($AD$2:$AD$200,$G331)&gt;0,
     COUNTIFS($AE$2:$AE$200,$G331)&gt;0,
     COUNTIFS($AF$2:$AF$200,$G331)&gt;0,
     COUNTIFS($AG$2:$AG$200,$G331)&gt;0,
     COUNTIFS($AH$2:$AH$200,$G331)&gt;0,
     COUNTIFS($AI$2:$AI$200,$G331)&gt;0,
     COUNTIFS($AJ$2:$AJ$200,$G331)&gt;0,
     COUNTIFS($AK$2:$AK$200,$G331)&gt;0,
     COUNTIFS($AL$2:$AL$200,$G331)&gt;0,
     COUNTIFS($AM$2:$AM$200,$G331)&gt;0,
     COUNTIFS($AN$2:$AN$200,$G331)&gt;0,
     COUNTIFS($AO$2:$AO$200,$G331)&gt;0,
     COUNTIFS($AP$2:$AP$200,$G331)&gt;0,
     COUNTIFS($AQ$2:$AQ$200,$G331)&gt;0,
     COUNTIFS($AR$2:$AR$200,$G331)&gt;0,
     COUNTIFS($AS$2:$AS$200,$G331)&gt;0,
     COUNTIFS($AT$2:$AT$200,$G331)&gt;0,
     COUNTIFS($AU$2:$AU$200,$G331)&gt;0,
     COUNTIFS($AV$2:$AV$200,$G331)&gt;0,
     COUNTIFS($AW$2:$AW$200,$G331)&gt;0,
     COUNTIFS($AX$2:$AX$200,$G331)&gt;0,
     COUNTIFS($AY$2:$AY$200,$G331)&gt;0
   )),
  ),
  4
 ),
"")</f>
        <v/>
      </c>
      <c r="G331" t="str">
        <f ca="1"/>
        <v>Psionic Sliver</v>
      </c>
      <c r="EU331" t="str">
        <f ca="1"/>
        <v>The Great Henge</v>
      </c>
      <c r="EX331" t="str">
        <f ca="1"/>
        <v>Psionic Sliver</v>
      </c>
    </row>
    <row r="332" spans="1:154" x14ac:dyDescent="0.25">
      <c r="A332" s="2" t="str">
        <f t="shared" ca="1" si="16"/>
        <v>4</v>
      </c>
      <c r="B332" s="2">
        <f t="shared" ca="1" si="17"/>
        <v>1</v>
      </c>
      <c r="C332" s="2" t="str">
        <f ca="1">IFERROR(
 INDEX($V$1:$BL$1,
  MATCH(TRUE,
   CHOOSE({1;2;3;4;5;6;7;8;9;10;11;12;13;14;15;16;17;18;19;20;21;22;23;24;25;26;27;28;29;30;31;32;33;34;35;36;37;38;39;40;41;42;43},
    COUNTIFS($V$2:$V$200,$G332)&gt;0,
    COUNTIFS($W$2:$W$200,$G332)&gt;0,
    COUNTIFS($X$2:$X$200,$G332)&gt;0,
    COUNTIFS($Y$2:$Y$200,$G332)&gt;0,
    COUNTIFS($Z$2:$Z$200,$G332)&gt;0,
    COUNTIFS($AA$2:$AA$200,$G332)&gt;0,
    COUNTIFS($AB$2:$AB$200,$G332)&gt;0,
    COUNTIFS($AC$2:$AC$200,$G332)&gt;0,
    COUNTIFS($AD$2:$AD$200,$G332)&gt;0,
    COUNTIFS($AE$2:$AE$200,$G332)&gt;0,
    COUNTIFS($AF$2:$AF$200,$G332)&gt;0,
    COUNTIFS($AG$2:$AG$200,$G332)&gt;0,
    COUNTIFS($AH$2:$AH$200,$G332)&gt;0,
    COUNTIFS($AI$2:$AI$200,$G332)&gt;0,
    COUNTIFS($AJ$2:$AJ$200,$G332)&gt;0,
    COUNTIFS($AK$2:$AK$200,$G332)&gt;0,
    COUNTIFS($AL$2:$AL$200,$G332)&gt;0,
    COUNTIFS($AM$2:$AM$200,$G332)&gt;0,
    COUNTIFS($AN$2:$AN$200,$G332)&gt;0,
    COUNTIFS($AO$2:$AO$200,$G332)&gt;0,
    COUNTIFS($AP$2:$AP$200,$G332)&gt;0,
    COUNTIFS($AQ$2:$AQ$200,$G332)&gt;0,
    COUNTIFS($AR$2:$AR$200,$G332)&gt;0,
    COUNTIFS($AS$2:$AS$200,$G332)&gt;0,
    COUNTIFS($AT$2:$AT$200,$G332)&gt;0,
    COUNTIFS($AU$2:$AU$200,$G332)&gt;0,
    COUNTIFS($AV$2:$AV$200,$G332)&gt;0,
    COUNTIFS($AW$2:$AW$200,$G332)&gt;0,
    COUNTIFS($AX$2:$AX$200,$G332)&gt;0,
    COUNTIFS($AY$2:$AY$200,$G332)&gt;0,
    COUNTIFS($AZ$2:$AZ$200,$G332)&gt;0,
    COUNTIFS($BA$2:$BA$200,$G332)&gt;0,
    COUNTIFS($BB$2:$BB$200,$G332)&gt;0,
    COUNTIFS($BC$2:$BC$200,$G332)&gt;0,
    COUNTIFS($BD$2:$BD$200,$G332)&gt;0,
    COUNTIFS($BE$2:$BE$200,$G332)&gt;0,
    COUNTIFS($BF$2:$BF$200,$G332)&gt;0,
    COUNTIFS($BG$2:$BG$200,$G332)&gt;0,
    COUNTIFS($BH$2:$BH$200,$G332)&gt;0,
    COUNTIFS($BI$2:$BI$200,$G332)&gt;0,
    COUNTIFS($BJ$2:$BJ$200,$G332)&gt;0,
    COUNTIFS($BK$2:$BK$200,$G332)&gt;0,
    COUNTIFS($BL$2:$BL$200,$G332)&gt;0,
    COUNTIFS($BM$2:$BM$200,$G332)&gt;0,
   ),
  0)
 ),
"")</f>
        <v>Narset</v>
      </c>
      <c r="D332" s="2" t="str" cm="1">
        <f t="array" aca="1" ref="D332" ca="1">IFERROR(
 INDEX(
  _xlfn._xlws.FILTER($V$1:$AY$1,
   TRANSPOSE(
    CHOOSE({1;2;3;4;5;6;7;8;9;10;11;12;13;14;15;16;17;18;19;20;21;22;23;24;25;26;27;28;29;30},
     COUNTIFS($V$2:$V$200,$G332)&gt;0,
     COUNTIFS($W$2:$W$200,$G332)&gt;0,
     COUNTIFS($X$2:$X$200,$G332)&gt;0,
     COUNTIFS($Y$2:$Y$200,$G332)&gt;0,
     COUNTIFS($Z$2:$Z$200,$G332)&gt;0,
     COUNTIFS($AA$2:$AA$200,$G332)&gt;0,
     COUNTIFS($AB$2:$AB$200,$G332)&gt;0,
     COUNTIFS($AC$2:$AC$200,$G332)&gt;0,
     COUNTIFS($AD$2:$AD$200,$G332)&gt;0,
     COUNTIFS($AE$2:$AE$200,$G332)&gt;0,
     COUNTIFS($AF$2:$AF$200,$G332)&gt;0,
     COUNTIFS($AG$2:$AG$200,$G332)&gt;0,
     COUNTIFS($AH$2:$AH$200,$G332)&gt;0,
     COUNTIFS($AI$2:$AI$200,$G332)&gt;0,
     COUNTIFS($AJ$2:$AJ$200,$G332)&gt;0,
     COUNTIFS($AK$2:$AK$200,$G332)&gt;0,
     COUNTIFS($AL$2:$AL$200,$G332)&gt;0,
     COUNTIFS($AM$2:$AM$200,$G332)&gt;0,
     COUNTIFS($AN$2:$AN$200,$G332)&gt;0,
     COUNTIFS($AO$2:$AO$200,$G332)&gt;0,
     COUNTIFS($AP$2:$AP$200,$G332)&gt;0,
     COUNTIFS($AQ$2:$AQ$200,$G332)&gt;0,
     COUNTIFS($AR$2:$AR$200,$G332)&gt;0,
     COUNTIFS($AS$2:$AS$200,$G332)&gt;0,
     COUNTIFS($AT$2:$AT$200,$G332)&gt;0,
     COUNTIFS($AU$2:$AU$200,$G332)&gt;0,
     COUNTIFS($AV$2:$AV$200,$G332)&gt;0,
     COUNTIFS($AW$2:$AW$200,$G332)&gt;0,
     COUNTIFS($AX$2:$AX$200,$G332)&gt;0,
     COUNTIFS($AY$2:$AY$200,$G332)&gt;0
   )),
  ),
  2
 ),
"")</f>
        <v/>
      </c>
      <c r="E332" s="2" t="str" cm="1">
        <f t="array" aca="1" ref="E332" ca="1">IFERROR(
 INDEX(
  _xlfn._xlws.FILTER($V$1:$AY$1,
   TRANSPOSE(
    CHOOSE({1;2;3;4;5;6;7;8;9;10;11;12;13;14;15;16;17;18;19;20;21;22;23;24;25;26;27;28;29;30},
     COUNTIFS($V$2:$V$200,$G332)&gt;0,
     COUNTIFS($W$2:$W$200,$G332)&gt;0,
     COUNTIFS($X$2:$X$200,$G332)&gt;0,
     COUNTIFS($Y$2:$Y$200,$G332)&gt;0,
     COUNTIFS($Z$2:$Z$200,$G332)&gt;0,
     COUNTIFS($AA$2:$AA$200,$G332)&gt;0,
     COUNTIFS($AB$2:$AB$200,$G332)&gt;0,
     COUNTIFS($AC$2:$AC$200,$G332)&gt;0,
     COUNTIFS($AD$2:$AD$200,$G332)&gt;0,
     COUNTIFS($AE$2:$AE$200,$G332)&gt;0,
     COUNTIFS($AF$2:$AF$200,$G332)&gt;0,
     COUNTIFS($AG$2:$AG$200,$G332)&gt;0,
     COUNTIFS($AH$2:$AH$200,$G332)&gt;0,
     COUNTIFS($AI$2:$AI$200,$G332)&gt;0,
     COUNTIFS($AJ$2:$AJ$200,$G332)&gt;0,
     COUNTIFS($AK$2:$AK$200,$G332)&gt;0,
     COUNTIFS($AL$2:$AL$200,$G332)&gt;0,
     COUNTIFS($AM$2:$AM$200,$G332)&gt;0,
     COUNTIFS($AN$2:$AN$200,$G332)&gt;0,
     COUNTIFS($AO$2:$AO$200,$G332)&gt;0,
     COUNTIFS($AP$2:$AP$200,$G332)&gt;0,
     COUNTIFS($AQ$2:$AQ$200,$G332)&gt;0,
     COUNTIFS($AR$2:$AR$200,$G332)&gt;0,
     COUNTIFS($AS$2:$AS$200,$G332)&gt;0,
     COUNTIFS($AT$2:$AT$200,$G332)&gt;0,
     COUNTIFS($AU$2:$AU$200,$G332)&gt;0,
     COUNTIFS($AV$2:$AV$200,$G332)&gt;0,
     COUNTIFS($AW$2:$AW$200,$G332)&gt;0,
     COUNTIFS($AX$2:$AX$200,$G332)&gt;0,
     COUNTIFS($AY$2:$AY$200,$G332)&gt;0
   )),
  ),
  3
 ),
"")</f>
        <v/>
      </c>
      <c r="F332" s="2" t="str" cm="1">
        <f t="array" aca="1" ref="F332" ca="1">IFERROR(
 INDEX(
  _xlfn._xlws.FILTER($V$1:$AY$1,
   TRANSPOSE(
    CHOOSE({1;2;3;4;5;6;7;8;9;10;11;12;13;14;15;16;17;18;19;20;21;22;23;24;25;26;27;28;29;30},
     COUNTIFS($V$2:$V$200,$G332)&gt;0,
     COUNTIFS($W$2:$W$200,$G332)&gt;0,
     COUNTIFS($X$2:$X$200,$G332)&gt;0,
     COUNTIFS($Y$2:$Y$200,$G332)&gt;0,
     COUNTIFS($Z$2:$Z$200,$G332)&gt;0,
     COUNTIFS($AA$2:$AA$200,$G332)&gt;0,
     COUNTIFS($AB$2:$AB$200,$G332)&gt;0,
     COUNTIFS($AC$2:$AC$200,$G332)&gt;0,
     COUNTIFS($AD$2:$AD$200,$G332)&gt;0,
     COUNTIFS($AE$2:$AE$200,$G332)&gt;0,
     COUNTIFS($AF$2:$AF$200,$G332)&gt;0,
     COUNTIFS($AG$2:$AG$200,$G332)&gt;0,
     COUNTIFS($AH$2:$AH$200,$G332)&gt;0,
     COUNTIFS($AI$2:$AI$200,$G332)&gt;0,
     COUNTIFS($AJ$2:$AJ$200,$G332)&gt;0,
     COUNTIFS($AK$2:$AK$200,$G332)&gt;0,
     COUNTIFS($AL$2:$AL$200,$G332)&gt;0,
     COUNTIFS($AM$2:$AM$200,$G332)&gt;0,
     COUNTIFS($AN$2:$AN$200,$G332)&gt;0,
     COUNTIFS($AO$2:$AO$200,$G332)&gt;0,
     COUNTIFS($AP$2:$AP$200,$G332)&gt;0,
     COUNTIFS($AQ$2:$AQ$200,$G332)&gt;0,
     COUNTIFS($AR$2:$AR$200,$G332)&gt;0,
     COUNTIFS($AS$2:$AS$200,$G332)&gt;0,
     COUNTIFS($AT$2:$AT$200,$G332)&gt;0,
     COUNTIFS($AU$2:$AU$200,$G332)&gt;0,
     COUNTIFS($AV$2:$AV$200,$G332)&gt;0,
     COUNTIFS($AW$2:$AW$200,$G332)&gt;0,
     COUNTIFS($AX$2:$AX$200,$G332)&gt;0,
     COUNTIFS($AY$2:$AY$200,$G332)&gt;0
   )),
  ),
  4
 ),
"")</f>
        <v/>
      </c>
      <c r="G332" t="str">
        <f ca="1"/>
        <v>Psychic Corrosion</v>
      </c>
      <c r="EU332" t="str">
        <f ca="1"/>
        <v>The Mycosynth Gardens</v>
      </c>
      <c r="EX332" t="str">
        <f ca="1"/>
        <v>Psychic Corrosion</v>
      </c>
    </row>
    <row r="333" spans="1:154" x14ac:dyDescent="0.25">
      <c r="A333" s="2" t="str">
        <f t="shared" ca="1" si="16"/>
        <v>3</v>
      </c>
      <c r="B333" s="2">
        <f t="shared" ca="1" si="17"/>
        <v>1</v>
      </c>
      <c r="C333" s="2" t="str">
        <f ca="1">IFERROR(
 INDEX($V$1:$BL$1,
  MATCH(TRUE,
   CHOOSE({1;2;3;4;5;6;7;8;9;10;11;12;13;14;15;16;17;18;19;20;21;22;23;24;25;26;27;28;29;30;31;32;33;34;35;36;37;38;39;40;41;42;43},
    COUNTIFS($V$2:$V$200,$G333)&gt;0,
    COUNTIFS($W$2:$W$200,$G333)&gt;0,
    COUNTIFS($X$2:$X$200,$G333)&gt;0,
    COUNTIFS($Y$2:$Y$200,$G333)&gt;0,
    COUNTIFS($Z$2:$Z$200,$G333)&gt;0,
    COUNTIFS($AA$2:$AA$200,$G333)&gt;0,
    COUNTIFS($AB$2:$AB$200,$G333)&gt;0,
    COUNTIFS($AC$2:$AC$200,$G333)&gt;0,
    COUNTIFS($AD$2:$AD$200,$G333)&gt;0,
    COUNTIFS($AE$2:$AE$200,$G333)&gt;0,
    COUNTIFS($AF$2:$AF$200,$G333)&gt;0,
    COUNTIFS($AG$2:$AG$200,$G333)&gt;0,
    COUNTIFS($AH$2:$AH$200,$G333)&gt;0,
    COUNTIFS($AI$2:$AI$200,$G333)&gt;0,
    COUNTIFS($AJ$2:$AJ$200,$G333)&gt;0,
    COUNTIFS($AK$2:$AK$200,$G333)&gt;0,
    COUNTIFS($AL$2:$AL$200,$G333)&gt;0,
    COUNTIFS($AM$2:$AM$200,$G333)&gt;0,
    COUNTIFS($AN$2:$AN$200,$G333)&gt;0,
    COUNTIFS($AO$2:$AO$200,$G333)&gt;0,
    COUNTIFS($AP$2:$AP$200,$G333)&gt;0,
    COUNTIFS($AQ$2:$AQ$200,$G333)&gt;0,
    COUNTIFS($AR$2:$AR$200,$G333)&gt;0,
    COUNTIFS($AS$2:$AS$200,$G333)&gt;0,
    COUNTIFS($AT$2:$AT$200,$G333)&gt;0,
    COUNTIFS($AU$2:$AU$200,$G333)&gt;0,
    COUNTIFS($AV$2:$AV$200,$G333)&gt;0,
    COUNTIFS($AW$2:$AW$200,$G333)&gt;0,
    COUNTIFS($AX$2:$AX$200,$G333)&gt;0,
    COUNTIFS($AY$2:$AY$200,$G333)&gt;0,
    COUNTIFS($AZ$2:$AZ$200,$G333)&gt;0,
    COUNTIFS($BA$2:$BA$200,$G333)&gt;0,
    COUNTIFS($BB$2:$BB$200,$G333)&gt;0,
    COUNTIFS($BC$2:$BC$200,$G333)&gt;0,
    COUNTIFS($BD$2:$BD$200,$G333)&gt;0,
    COUNTIFS($BE$2:$BE$200,$G333)&gt;0,
    COUNTIFS($BF$2:$BF$200,$G333)&gt;0,
    COUNTIFS($BG$2:$BG$200,$G333)&gt;0,
    COUNTIFS($BH$2:$BH$200,$G333)&gt;0,
    COUNTIFS($BI$2:$BI$200,$G333)&gt;0,
    COUNTIFS($BJ$2:$BJ$200,$G333)&gt;0,
    COUNTIFS($BK$2:$BK$200,$G333)&gt;0,
    COUNTIFS($BL$2:$BL$200,$G333)&gt;0,
    COUNTIFS($BM$2:$BM$200,$G333)&gt;0,
   ),
  0)
 ),
"")</f>
        <v>Yuriko</v>
      </c>
      <c r="D333" s="2" t="str" cm="1">
        <f t="array" aca="1" ref="D333" ca="1">IFERROR(
 INDEX(
  _xlfn._xlws.FILTER($V$1:$AY$1,
   TRANSPOSE(
    CHOOSE({1;2;3;4;5;6;7;8;9;10;11;12;13;14;15;16;17;18;19;20;21;22;23;24;25;26;27;28;29;30},
     COUNTIFS($V$2:$V$200,$G333)&gt;0,
     COUNTIFS($W$2:$W$200,$G333)&gt;0,
     COUNTIFS($X$2:$X$200,$G333)&gt;0,
     COUNTIFS($Y$2:$Y$200,$G333)&gt;0,
     COUNTIFS($Z$2:$Z$200,$G333)&gt;0,
     COUNTIFS($AA$2:$AA$200,$G333)&gt;0,
     COUNTIFS($AB$2:$AB$200,$G333)&gt;0,
     COUNTIFS($AC$2:$AC$200,$G333)&gt;0,
     COUNTIFS($AD$2:$AD$200,$G333)&gt;0,
     COUNTIFS($AE$2:$AE$200,$G333)&gt;0,
     COUNTIFS($AF$2:$AF$200,$G333)&gt;0,
     COUNTIFS($AG$2:$AG$200,$G333)&gt;0,
     COUNTIFS($AH$2:$AH$200,$G333)&gt;0,
     COUNTIFS($AI$2:$AI$200,$G333)&gt;0,
     COUNTIFS($AJ$2:$AJ$200,$G333)&gt;0,
     COUNTIFS($AK$2:$AK$200,$G333)&gt;0,
     COUNTIFS($AL$2:$AL$200,$G333)&gt;0,
     COUNTIFS($AM$2:$AM$200,$G333)&gt;0,
     COUNTIFS($AN$2:$AN$200,$G333)&gt;0,
     COUNTIFS($AO$2:$AO$200,$G333)&gt;0,
     COUNTIFS($AP$2:$AP$200,$G333)&gt;0,
     COUNTIFS($AQ$2:$AQ$200,$G333)&gt;0,
     COUNTIFS($AR$2:$AR$200,$G333)&gt;0,
     COUNTIFS($AS$2:$AS$200,$G333)&gt;0,
     COUNTIFS($AT$2:$AT$200,$G333)&gt;0,
     COUNTIFS($AU$2:$AU$200,$G333)&gt;0,
     COUNTIFS($AV$2:$AV$200,$G333)&gt;0,
     COUNTIFS($AW$2:$AW$200,$G333)&gt;0,
     COUNTIFS($AX$2:$AX$200,$G333)&gt;0,
     COUNTIFS($AY$2:$AY$200,$G333)&gt;0
   )),
  ),
  2
 ),
"")</f>
        <v/>
      </c>
      <c r="E333" s="2" t="str" cm="1">
        <f t="array" aca="1" ref="E333" ca="1">IFERROR(
 INDEX(
  _xlfn._xlws.FILTER($V$1:$AY$1,
   TRANSPOSE(
    CHOOSE({1;2;3;4;5;6;7;8;9;10;11;12;13;14;15;16;17;18;19;20;21;22;23;24;25;26;27;28;29;30},
     COUNTIFS($V$2:$V$200,$G333)&gt;0,
     COUNTIFS($W$2:$W$200,$G333)&gt;0,
     COUNTIFS($X$2:$X$200,$G333)&gt;0,
     COUNTIFS($Y$2:$Y$200,$G333)&gt;0,
     COUNTIFS($Z$2:$Z$200,$G333)&gt;0,
     COUNTIFS($AA$2:$AA$200,$G333)&gt;0,
     COUNTIFS($AB$2:$AB$200,$G333)&gt;0,
     COUNTIFS($AC$2:$AC$200,$G333)&gt;0,
     COUNTIFS($AD$2:$AD$200,$G333)&gt;0,
     COUNTIFS($AE$2:$AE$200,$G333)&gt;0,
     COUNTIFS($AF$2:$AF$200,$G333)&gt;0,
     COUNTIFS($AG$2:$AG$200,$G333)&gt;0,
     COUNTIFS($AH$2:$AH$200,$G333)&gt;0,
     COUNTIFS($AI$2:$AI$200,$G333)&gt;0,
     COUNTIFS($AJ$2:$AJ$200,$G333)&gt;0,
     COUNTIFS($AK$2:$AK$200,$G333)&gt;0,
     COUNTIFS($AL$2:$AL$200,$G333)&gt;0,
     COUNTIFS($AM$2:$AM$200,$G333)&gt;0,
     COUNTIFS($AN$2:$AN$200,$G333)&gt;0,
     COUNTIFS($AO$2:$AO$200,$G333)&gt;0,
     COUNTIFS($AP$2:$AP$200,$G333)&gt;0,
     COUNTIFS($AQ$2:$AQ$200,$G333)&gt;0,
     COUNTIFS($AR$2:$AR$200,$G333)&gt;0,
     COUNTIFS($AS$2:$AS$200,$G333)&gt;0,
     COUNTIFS($AT$2:$AT$200,$G333)&gt;0,
     COUNTIFS($AU$2:$AU$200,$G333)&gt;0,
     COUNTIFS($AV$2:$AV$200,$G333)&gt;0,
     COUNTIFS($AW$2:$AW$200,$G333)&gt;0,
     COUNTIFS($AX$2:$AX$200,$G333)&gt;0,
     COUNTIFS($AY$2:$AY$200,$G333)&gt;0
   )),
  ),
  3
 ),
"")</f>
        <v/>
      </c>
      <c r="F333" s="2" t="str" cm="1">
        <f t="array" aca="1" ref="F333" ca="1">IFERROR(
 INDEX(
  _xlfn._xlws.FILTER($V$1:$AY$1,
   TRANSPOSE(
    CHOOSE({1;2;3;4;5;6;7;8;9;10;11;12;13;14;15;16;17;18;19;20;21;22;23;24;25;26;27;28;29;30},
     COUNTIFS($V$2:$V$200,$G333)&gt;0,
     COUNTIFS($W$2:$W$200,$G333)&gt;0,
     COUNTIFS($X$2:$X$200,$G333)&gt;0,
     COUNTIFS($Y$2:$Y$200,$G333)&gt;0,
     COUNTIFS($Z$2:$Z$200,$G333)&gt;0,
     COUNTIFS($AA$2:$AA$200,$G333)&gt;0,
     COUNTIFS($AB$2:$AB$200,$G333)&gt;0,
     COUNTIFS($AC$2:$AC$200,$G333)&gt;0,
     COUNTIFS($AD$2:$AD$200,$G333)&gt;0,
     COUNTIFS($AE$2:$AE$200,$G333)&gt;0,
     COUNTIFS($AF$2:$AF$200,$G333)&gt;0,
     COUNTIFS($AG$2:$AG$200,$G333)&gt;0,
     COUNTIFS($AH$2:$AH$200,$G333)&gt;0,
     COUNTIFS($AI$2:$AI$200,$G333)&gt;0,
     COUNTIFS($AJ$2:$AJ$200,$G333)&gt;0,
     COUNTIFS($AK$2:$AK$200,$G333)&gt;0,
     COUNTIFS($AL$2:$AL$200,$G333)&gt;0,
     COUNTIFS($AM$2:$AM$200,$G333)&gt;0,
     COUNTIFS($AN$2:$AN$200,$G333)&gt;0,
     COUNTIFS($AO$2:$AO$200,$G333)&gt;0,
     COUNTIFS($AP$2:$AP$200,$G333)&gt;0,
     COUNTIFS($AQ$2:$AQ$200,$G333)&gt;0,
     COUNTIFS($AR$2:$AR$200,$G333)&gt;0,
     COUNTIFS($AS$2:$AS$200,$G333)&gt;0,
     COUNTIFS($AT$2:$AT$200,$G333)&gt;0,
     COUNTIFS($AU$2:$AU$200,$G333)&gt;0,
     COUNTIFS($AV$2:$AV$200,$G333)&gt;0,
     COUNTIFS($AW$2:$AW$200,$G333)&gt;0,
     COUNTIFS($AX$2:$AX$200,$G333)&gt;0,
     COUNTIFS($AY$2:$AY$200,$G333)&gt;0
   )),
  ),
  4
 ),
"")</f>
        <v/>
      </c>
      <c r="G333" t="str">
        <f ca="1"/>
        <v>Psychic Paper</v>
      </c>
      <c r="EU333" t="str">
        <f ca="1"/>
        <v>The Peregrine Dynamo</v>
      </c>
      <c r="EX333" t="str">
        <f ca="1"/>
        <v>Psychic Paper</v>
      </c>
    </row>
    <row r="334" spans="1:154" x14ac:dyDescent="0.25">
      <c r="A334" s="2" t="str">
        <f t="shared" ca="1" si="16"/>
        <v>5</v>
      </c>
      <c r="B334" s="2">
        <f t="shared" ca="1" si="17"/>
        <v>1</v>
      </c>
      <c r="C334" s="2" t="str">
        <f ca="1">IFERROR(
 INDEX($V$1:$BL$1,
  MATCH(TRUE,
   CHOOSE({1;2;3;4;5;6;7;8;9;10;11;12;13;14;15;16;17;18;19;20;21;22;23;24;25;26;27;28;29;30;31;32;33;34;35;36;37;38;39;40;41;42;43},
    COUNTIFS($V$2:$V$200,$G334)&gt;0,
    COUNTIFS($W$2:$W$200,$G334)&gt;0,
    COUNTIFS($X$2:$X$200,$G334)&gt;0,
    COUNTIFS($Y$2:$Y$200,$G334)&gt;0,
    COUNTIFS($Z$2:$Z$200,$G334)&gt;0,
    COUNTIFS($AA$2:$AA$200,$G334)&gt;0,
    COUNTIFS($AB$2:$AB$200,$G334)&gt;0,
    COUNTIFS($AC$2:$AC$200,$G334)&gt;0,
    COUNTIFS($AD$2:$AD$200,$G334)&gt;0,
    COUNTIFS($AE$2:$AE$200,$G334)&gt;0,
    COUNTIFS($AF$2:$AF$200,$G334)&gt;0,
    COUNTIFS($AG$2:$AG$200,$G334)&gt;0,
    COUNTIFS($AH$2:$AH$200,$G334)&gt;0,
    COUNTIFS($AI$2:$AI$200,$G334)&gt;0,
    COUNTIFS($AJ$2:$AJ$200,$G334)&gt;0,
    COUNTIFS($AK$2:$AK$200,$G334)&gt;0,
    COUNTIFS($AL$2:$AL$200,$G334)&gt;0,
    COUNTIFS($AM$2:$AM$200,$G334)&gt;0,
    COUNTIFS($AN$2:$AN$200,$G334)&gt;0,
    COUNTIFS($AO$2:$AO$200,$G334)&gt;0,
    COUNTIFS($AP$2:$AP$200,$G334)&gt;0,
    COUNTIFS($AQ$2:$AQ$200,$G334)&gt;0,
    COUNTIFS($AR$2:$AR$200,$G334)&gt;0,
    COUNTIFS($AS$2:$AS$200,$G334)&gt;0,
    COUNTIFS($AT$2:$AT$200,$G334)&gt;0,
    COUNTIFS($AU$2:$AU$200,$G334)&gt;0,
    COUNTIFS($AV$2:$AV$200,$G334)&gt;0,
    COUNTIFS($AW$2:$AW$200,$G334)&gt;0,
    COUNTIFS($AX$2:$AX$200,$G334)&gt;0,
    COUNTIFS($AY$2:$AY$200,$G334)&gt;0,
    COUNTIFS($AZ$2:$AZ$200,$G334)&gt;0,
    COUNTIFS($BA$2:$BA$200,$G334)&gt;0,
    COUNTIFS($BB$2:$BB$200,$G334)&gt;0,
    COUNTIFS($BC$2:$BC$200,$G334)&gt;0,
    COUNTIFS($BD$2:$BD$200,$G334)&gt;0,
    COUNTIFS($BE$2:$BE$200,$G334)&gt;0,
    COUNTIFS($BF$2:$BF$200,$G334)&gt;0,
    COUNTIFS($BG$2:$BG$200,$G334)&gt;0,
    COUNTIFS($BH$2:$BH$200,$G334)&gt;0,
    COUNTIFS($BI$2:$BI$200,$G334)&gt;0,
    COUNTIFS($BJ$2:$BJ$200,$G334)&gt;0,
    COUNTIFS($BK$2:$BK$200,$G334)&gt;0,
    COUNTIFS($BL$2:$BL$200,$G334)&gt;0,
    COUNTIFS($BM$2:$BM$200,$G334)&gt;0,
   ),
  0)
 ),
"")</f>
        <v>Fractius</v>
      </c>
      <c r="D334" s="2" t="str" cm="1">
        <f t="array" aca="1" ref="D334" ca="1">IFERROR(
 INDEX(
  _xlfn._xlws.FILTER($V$1:$AY$1,
   TRANSPOSE(
    CHOOSE({1;2;3;4;5;6;7;8;9;10;11;12;13;14;15;16;17;18;19;20;21;22;23;24;25;26;27;28;29;30},
     COUNTIFS($V$2:$V$200,$G334)&gt;0,
     COUNTIFS($W$2:$W$200,$G334)&gt;0,
     COUNTIFS($X$2:$X$200,$G334)&gt;0,
     COUNTIFS($Y$2:$Y$200,$G334)&gt;0,
     COUNTIFS($Z$2:$Z$200,$G334)&gt;0,
     COUNTIFS($AA$2:$AA$200,$G334)&gt;0,
     COUNTIFS($AB$2:$AB$200,$G334)&gt;0,
     COUNTIFS($AC$2:$AC$200,$G334)&gt;0,
     COUNTIFS($AD$2:$AD$200,$G334)&gt;0,
     COUNTIFS($AE$2:$AE$200,$G334)&gt;0,
     COUNTIFS($AF$2:$AF$200,$G334)&gt;0,
     COUNTIFS($AG$2:$AG$200,$G334)&gt;0,
     COUNTIFS($AH$2:$AH$200,$G334)&gt;0,
     COUNTIFS($AI$2:$AI$200,$G334)&gt;0,
     COUNTIFS($AJ$2:$AJ$200,$G334)&gt;0,
     COUNTIFS($AK$2:$AK$200,$G334)&gt;0,
     COUNTIFS($AL$2:$AL$200,$G334)&gt;0,
     COUNTIFS($AM$2:$AM$200,$G334)&gt;0,
     COUNTIFS($AN$2:$AN$200,$G334)&gt;0,
     COUNTIFS($AO$2:$AO$200,$G334)&gt;0,
     COUNTIFS($AP$2:$AP$200,$G334)&gt;0,
     COUNTIFS($AQ$2:$AQ$200,$G334)&gt;0,
     COUNTIFS($AR$2:$AR$200,$G334)&gt;0,
     COUNTIFS($AS$2:$AS$200,$G334)&gt;0,
     COUNTIFS($AT$2:$AT$200,$G334)&gt;0,
     COUNTIFS($AU$2:$AU$200,$G334)&gt;0,
     COUNTIFS($AV$2:$AV$200,$G334)&gt;0,
     COUNTIFS($AW$2:$AW$200,$G334)&gt;0,
     COUNTIFS($AX$2:$AX$200,$G334)&gt;0,
     COUNTIFS($AY$2:$AY$200,$G334)&gt;0
   )),
  ),
  2
 ),
"")</f>
        <v/>
      </c>
      <c r="E334" s="2" t="str" cm="1">
        <f t="array" aca="1" ref="E334" ca="1">IFERROR(
 INDEX(
  _xlfn._xlws.FILTER($V$1:$AY$1,
   TRANSPOSE(
    CHOOSE({1;2;3;4;5;6;7;8;9;10;11;12;13;14;15;16;17;18;19;20;21;22;23;24;25;26;27;28;29;30},
     COUNTIFS($V$2:$V$200,$G334)&gt;0,
     COUNTIFS($W$2:$W$200,$G334)&gt;0,
     COUNTIFS($X$2:$X$200,$G334)&gt;0,
     COUNTIFS($Y$2:$Y$200,$G334)&gt;0,
     COUNTIFS($Z$2:$Z$200,$G334)&gt;0,
     COUNTIFS($AA$2:$AA$200,$G334)&gt;0,
     COUNTIFS($AB$2:$AB$200,$G334)&gt;0,
     COUNTIFS($AC$2:$AC$200,$G334)&gt;0,
     COUNTIFS($AD$2:$AD$200,$G334)&gt;0,
     COUNTIFS($AE$2:$AE$200,$G334)&gt;0,
     COUNTIFS($AF$2:$AF$200,$G334)&gt;0,
     COUNTIFS($AG$2:$AG$200,$G334)&gt;0,
     COUNTIFS($AH$2:$AH$200,$G334)&gt;0,
     COUNTIFS($AI$2:$AI$200,$G334)&gt;0,
     COUNTIFS($AJ$2:$AJ$200,$G334)&gt;0,
     COUNTIFS($AK$2:$AK$200,$G334)&gt;0,
     COUNTIFS($AL$2:$AL$200,$G334)&gt;0,
     COUNTIFS($AM$2:$AM$200,$G334)&gt;0,
     COUNTIFS($AN$2:$AN$200,$G334)&gt;0,
     COUNTIFS($AO$2:$AO$200,$G334)&gt;0,
     COUNTIFS($AP$2:$AP$200,$G334)&gt;0,
     COUNTIFS($AQ$2:$AQ$200,$G334)&gt;0,
     COUNTIFS($AR$2:$AR$200,$G334)&gt;0,
     COUNTIFS($AS$2:$AS$200,$G334)&gt;0,
     COUNTIFS($AT$2:$AT$200,$G334)&gt;0,
     COUNTIFS($AU$2:$AU$200,$G334)&gt;0,
     COUNTIFS($AV$2:$AV$200,$G334)&gt;0,
     COUNTIFS($AW$2:$AW$200,$G334)&gt;0,
     COUNTIFS($AX$2:$AX$200,$G334)&gt;0,
     COUNTIFS($AY$2:$AY$200,$G334)&gt;0
   )),
  ),
  3
 ),
"")</f>
        <v/>
      </c>
      <c r="F334" s="2" t="str" cm="1">
        <f t="array" aca="1" ref="F334" ca="1">IFERROR(
 INDEX(
  _xlfn._xlws.FILTER($V$1:$AY$1,
   TRANSPOSE(
    CHOOSE({1;2;3;4;5;6;7;8;9;10;11;12;13;14;15;16;17;18;19;20;21;22;23;24;25;26;27;28;29;30},
     COUNTIFS($V$2:$V$200,$G334)&gt;0,
     COUNTIFS($W$2:$W$200,$G334)&gt;0,
     COUNTIFS($X$2:$X$200,$G334)&gt;0,
     COUNTIFS($Y$2:$Y$200,$G334)&gt;0,
     COUNTIFS($Z$2:$Z$200,$G334)&gt;0,
     COUNTIFS($AA$2:$AA$200,$G334)&gt;0,
     COUNTIFS($AB$2:$AB$200,$G334)&gt;0,
     COUNTIFS($AC$2:$AC$200,$G334)&gt;0,
     COUNTIFS($AD$2:$AD$200,$G334)&gt;0,
     COUNTIFS($AE$2:$AE$200,$G334)&gt;0,
     COUNTIFS($AF$2:$AF$200,$G334)&gt;0,
     COUNTIFS($AG$2:$AG$200,$G334)&gt;0,
     COUNTIFS($AH$2:$AH$200,$G334)&gt;0,
     COUNTIFS($AI$2:$AI$200,$G334)&gt;0,
     COUNTIFS($AJ$2:$AJ$200,$G334)&gt;0,
     COUNTIFS($AK$2:$AK$200,$G334)&gt;0,
     COUNTIFS($AL$2:$AL$200,$G334)&gt;0,
     COUNTIFS($AM$2:$AM$200,$G334)&gt;0,
     COUNTIFS($AN$2:$AN$200,$G334)&gt;0,
     COUNTIFS($AO$2:$AO$200,$G334)&gt;0,
     COUNTIFS($AP$2:$AP$200,$G334)&gt;0,
     COUNTIFS($AQ$2:$AQ$200,$G334)&gt;0,
     COUNTIFS($AR$2:$AR$200,$G334)&gt;0,
     COUNTIFS($AS$2:$AS$200,$G334)&gt;0,
     COUNTIFS($AT$2:$AT$200,$G334)&gt;0,
     COUNTIFS($AU$2:$AU$200,$G334)&gt;0,
     COUNTIFS($AV$2:$AV$200,$G334)&gt;0,
     COUNTIFS($AW$2:$AW$200,$G334)&gt;0,
     COUNTIFS($AX$2:$AX$200,$G334)&gt;0,
     COUNTIFS($AY$2:$AY$200,$G334)&gt;0
   )),
  ),
  4
 ),
"")</f>
        <v/>
      </c>
      <c r="G334" t="str">
        <f ca="1"/>
        <v>Pulmonic Sliver</v>
      </c>
      <c r="EU334" t="str">
        <f ca="1"/>
        <v>The Shire</v>
      </c>
      <c r="EX334" t="str">
        <f ca="1"/>
        <v>Pulmonic Sliver</v>
      </c>
    </row>
    <row r="335" spans="1:154" x14ac:dyDescent="0.25">
      <c r="A335" s="2" t="str">
        <f t="shared" ca="1" si="16"/>
        <v>4</v>
      </c>
      <c r="B335" s="2">
        <f t="shared" ca="1" si="17"/>
        <v>1</v>
      </c>
      <c r="C335" s="2" t="str">
        <f ca="1">IFERROR(
 INDEX($V$1:$BL$1,
  MATCH(TRUE,
   CHOOSE({1;2;3;4;5;6;7;8;9;10;11;12;13;14;15;16;17;18;19;20;21;22;23;24;25;26;27;28;29;30;31;32;33;34;35;36;37;38;39;40;41;42;43},
    COUNTIFS($V$2:$V$200,$G335)&gt;0,
    COUNTIFS($W$2:$W$200,$G335)&gt;0,
    COUNTIFS($X$2:$X$200,$G335)&gt;0,
    COUNTIFS($Y$2:$Y$200,$G335)&gt;0,
    COUNTIFS($Z$2:$Z$200,$G335)&gt;0,
    COUNTIFS($AA$2:$AA$200,$G335)&gt;0,
    COUNTIFS($AB$2:$AB$200,$G335)&gt;0,
    COUNTIFS($AC$2:$AC$200,$G335)&gt;0,
    COUNTIFS($AD$2:$AD$200,$G335)&gt;0,
    COUNTIFS($AE$2:$AE$200,$G335)&gt;0,
    COUNTIFS($AF$2:$AF$200,$G335)&gt;0,
    COUNTIFS($AG$2:$AG$200,$G335)&gt;0,
    COUNTIFS($AH$2:$AH$200,$G335)&gt;0,
    COUNTIFS($AI$2:$AI$200,$G335)&gt;0,
    COUNTIFS($AJ$2:$AJ$200,$G335)&gt;0,
    COUNTIFS($AK$2:$AK$200,$G335)&gt;0,
    COUNTIFS($AL$2:$AL$200,$G335)&gt;0,
    COUNTIFS($AM$2:$AM$200,$G335)&gt;0,
    COUNTIFS($AN$2:$AN$200,$G335)&gt;0,
    COUNTIFS($AO$2:$AO$200,$G335)&gt;0,
    COUNTIFS($AP$2:$AP$200,$G335)&gt;0,
    COUNTIFS($AQ$2:$AQ$200,$G335)&gt;0,
    COUNTIFS($AR$2:$AR$200,$G335)&gt;0,
    COUNTIFS($AS$2:$AS$200,$G335)&gt;0,
    COUNTIFS($AT$2:$AT$200,$G335)&gt;0,
    COUNTIFS($AU$2:$AU$200,$G335)&gt;0,
    COUNTIFS($AV$2:$AV$200,$G335)&gt;0,
    COUNTIFS($AW$2:$AW$200,$G335)&gt;0,
    COUNTIFS($AX$2:$AX$200,$G335)&gt;0,
    COUNTIFS($AY$2:$AY$200,$G335)&gt;0,
    COUNTIFS($AZ$2:$AZ$200,$G335)&gt;0,
    COUNTIFS($BA$2:$BA$200,$G335)&gt;0,
    COUNTIFS($BB$2:$BB$200,$G335)&gt;0,
    COUNTIFS($BC$2:$BC$200,$G335)&gt;0,
    COUNTIFS($BD$2:$BD$200,$G335)&gt;0,
    COUNTIFS($BE$2:$BE$200,$G335)&gt;0,
    COUNTIFS($BF$2:$BF$200,$G335)&gt;0,
    COUNTIFS($BG$2:$BG$200,$G335)&gt;0,
    COUNTIFS($BH$2:$BH$200,$G335)&gt;0,
    COUNTIFS($BI$2:$BI$200,$G335)&gt;0,
    COUNTIFS($BJ$2:$BJ$200,$G335)&gt;0,
    COUNTIFS($BK$2:$BK$200,$G335)&gt;0,
    COUNTIFS($BL$2:$BL$200,$G335)&gt;0,
    COUNTIFS($BM$2:$BM$200,$G335)&gt;0,
   ),
  0)
 ),
"")</f>
        <v>Ool</v>
      </c>
      <c r="D335" s="2" t="str" cm="1">
        <f t="array" aca="1" ref="D335" ca="1">IFERROR(
 INDEX(
  _xlfn._xlws.FILTER($V$1:$AY$1,
   TRANSPOSE(
    CHOOSE({1;2;3;4;5;6;7;8;9;10;11;12;13;14;15;16;17;18;19;20;21;22;23;24;25;26;27;28;29;30},
     COUNTIFS($V$2:$V$200,$G335)&gt;0,
     COUNTIFS($W$2:$W$200,$G335)&gt;0,
     COUNTIFS($X$2:$X$200,$G335)&gt;0,
     COUNTIFS($Y$2:$Y$200,$G335)&gt;0,
     COUNTIFS($Z$2:$Z$200,$G335)&gt;0,
     COUNTIFS($AA$2:$AA$200,$G335)&gt;0,
     COUNTIFS($AB$2:$AB$200,$G335)&gt;0,
     COUNTIFS($AC$2:$AC$200,$G335)&gt;0,
     COUNTIFS($AD$2:$AD$200,$G335)&gt;0,
     COUNTIFS($AE$2:$AE$200,$G335)&gt;0,
     COUNTIFS($AF$2:$AF$200,$G335)&gt;0,
     COUNTIFS($AG$2:$AG$200,$G335)&gt;0,
     COUNTIFS($AH$2:$AH$200,$G335)&gt;0,
     COUNTIFS($AI$2:$AI$200,$G335)&gt;0,
     COUNTIFS($AJ$2:$AJ$200,$G335)&gt;0,
     COUNTIFS($AK$2:$AK$200,$G335)&gt;0,
     COUNTIFS($AL$2:$AL$200,$G335)&gt;0,
     COUNTIFS($AM$2:$AM$200,$G335)&gt;0,
     COUNTIFS($AN$2:$AN$200,$G335)&gt;0,
     COUNTIFS($AO$2:$AO$200,$G335)&gt;0,
     COUNTIFS($AP$2:$AP$200,$G335)&gt;0,
     COUNTIFS($AQ$2:$AQ$200,$G335)&gt;0,
     COUNTIFS($AR$2:$AR$200,$G335)&gt;0,
     COUNTIFS($AS$2:$AS$200,$G335)&gt;0,
     COUNTIFS($AT$2:$AT$200,$G335)&gt;0,
     COUNTIFS($AU$2:$AU$200,$G335)&gt;0,
     COUNTIFS($AV$2:$AV$200,$G335)&gt;0,
     COUNTIFS($AW$2:$AW$200,$G335)&gt;0,
     COUNTIFS($AX$2:$AX$200,$G335)&gt;0,
     COUNTIFS($AY$2:$AY$200,$G335)&gt;0
   )),
  ),
  2
 ),
"")</f>
        <v/>
      </c>
      <c r="E335" s="2" t="str" cm="1">
        <f t="array" aca="1" ref="E335" ca="1">IFERROR(
 INDEX(
  _xlfn._xlws.FILTER($V$1:$AY$1,
   TRANSPOSE(
    CHOOSE({1;2;3;4;5;6;7;8;9;10;11;12;13;14;15;16;17;18;19;20;21;22;23;24;25;26;27;28;29;30},
     COUNTIFS($V$2:$V$200,$G335)&gt;0,
     COUNTIFS($W$2:$W$200,$G335)&gt;0,
     COUNTIFS($X$2:$X$200,$G335)&gt;0,
     COUNTIFS($Y$2:$Y$200,$G335)&gt;0,
     COUNTIFS($Z$2:$Z$200,$G335)&gt;0,
     COUNTIFS($AA$2:$AA$200,$G335)&gt;0,
     COUNTIFS($AB$2:$AB$200,$G335)&gt;0,
     COUNTIFS($AC$2:$AC$200,$G335)&gt;0,
     COUNTIFS($AD$2:$AD$200,$G335)&gt;0,
     COUNTIFS($AE$2:$AE$200,$G335)&gt;0,
     COUNTIFS($AF$2:$AF$200,$G335)&gt;0,
     COUNTIFS($AG$2:$AG$200,$G335)&gt;0,
     COUNTIFS($AH$2:$AH$200,$G335)&gt;0,
     COUNTIFS($AI$2:$AI$200,$G335)&gt;0,
     COUNTIFS($AJ$2:$AJ$200,$G335)&gt;0,
     COUNTIFS($AK$2:$AK$200,$G335)&gt;0,
     COUNTIFS($AL$2:$AL$200,$G335)&gt;0,
     COUNTIFS($AM$2:$AM$200,$G335)&gt;0,
     COUNTIFS($AN$2:$AN$200,$G335)&gt;0,
     COUNTIFS($AO$2:$AO$200,$G335)&gt;0,
     COUNTIFS($AP$2:$AP$200,$G335)&gt;0,
     COUNTIFS($AQ$2:$AQ$200,$G335)&gt;0,
     COUNTIFS($AR$2:$AR$200,$G335)&gt;0,
     COUNTIFS($AS$2:$AS$200,$G335)&gt;0,
     COUNTIFS($AT$2:$AT$200,$G335)&gt;0,
     COUNTIFS($AU$2:$AU$200,$G335)&gt;0,
     COUNTIFS($AV$2:$AV$200,$G335)&gt;0,
     COUNTIFS($AW$2:$AW$200,$G335)&gt;0,
     COUNTIFS($AX$2:$AX$200,$G335)&gt;0,
     COUNTIFS($AY$2:$AY$200,$G335)&gt;0
   )),
  ),
  3
 ),
"")</f>
        <v/>
      </c>
      <c r="F335" s="2" t="str" cm="1">
        <f t="array" aca="1" ref="F335" ca="1">IFERROR(
 INDEX(
  _xlfn._xlws.FILTER($V$1:$AY$1,
   TRANSPOSE(
    CHOOSE({1;2;3;4;5;6;7;8;9;10;11;12;13;14;15;16;17;18;19;20;21;22;23;24;25;26;27;28;29;30},
     COUNTIFS($V$2:$V$200,$G335)&gt;0,
     COUNTIFS($W$2:$W$200,$G335)&gt;0,
     COUNTIFS($X$2:$X$200,$G335)&gt;0,
     COUNTIFS($Y$2:$Y$200,$G335)&gt;0,
     COUNTIFS($Z$2:$Z$200,$G335)&gt;0,
     COUNTIFS($AA$2:$AA$200,$G335)&gt;0,
     COUNTIFS($AB$2:$AB$200,$G335)&gt;0,
     COUNTIFS($AC$2:$AC$200,$G335)&gt;0,
     COUNTIFS($AD$2:$AD$200,$G335)&gt;0,
     COUNTIFS($AE$2:$AE$200,$G335)&gt;0,
     COUNTIFS($AF$2:$AF$200,$G335)&gt;0,
     COUNTIFS($AG$2:$AG$200,$G335)&gt;0,
     COUNTIFS($AH$2:$AH$200,$G335)&gt;0,
     COUNTIFS($AI$2:$AI$200,$G335)&gt;0,
     COUNTIFS($AJ$2:$AJ$200,$G335)&gt;0,
     COUNTIFS($AK$2:$AK$200,$G335)&gt;0,
     COUNTIFS($AL$2:$AL$200,$G335)&gt;0,
     COUNTIFS($AM$2:$AM$200,$G335)&gt;0,
     COUNTIFS($AN$2:$AN$200,$G335)&gt;0,
     COUNTIFS($AO$2:$AO$200,$G335)&gt;0,
     COUNTIFS($AP$2:$AP$200,$G335)&gt;0,
     COUNTIFS($AQ$2:$AQ$200,$G335)&gt;0,
     COUNTIFS($AR$2:$AR$200,$G335)&gt;0,
     COUNTIFS($AS$2:$AS$200,$G335)&gt;0,
     COUNTIFS($AT$2:$AT$200,$G335)&gt;0,
     COUNTIFS($AU$2:$AU$200,$G335)&gt;0,
     COUNTIFS($AV$2:$AV$200,$G335)&gt;0,
     COUNTIFS($AW$2:$AW$200,$G335)&gt;0,
     COUNTIFS($AX$2:$AX$200,$G335)&gt;0,
     COUNTIFS($AY$2:$AY$200,$G335)&gt;0
   )),
  ),
  4
 ),
"")</f>
        <v/>
      </c>
      <c r="G335" t="str">
        <f ca="1"/>
        <v>Puncture Blast</v>
      </c>
      <c r="EU335" t="str">
        <f ca="1"/>
        <v>The Soul Stone</v>
      </c>
      <c r="EX335" t="str">
        <f ca="1"/>
        <v>Puncture Blast</v>
      </c>
    </row>
    <row r="336" spans="1:154" x14ac:dyDescent="0.25">
      <c r="A336" s="2" t="str">
        <f t="shared" ca="1" si="16"/>
        <v>4</v>
      </c>
      <c r="B336" s="2">
        <f t="shared" ca="1" si="17"/>
        <v>1</v>
      </c>
      <c r="C336" s="2" t="str">
        <f ca="1">IFERROR(
 INDEX($V$1:$BL$1,
  MATCH(TRUE,
   CHOOSE({1;2;3;4;5;6;7;8;9;10;11;12;13;14;15;16;17;18;19;20;21;22;23;24;25;26;27;28;29;30;31;32;33;34;35;36;37;38;39;40;41;42;43},
    COUNTIFS($V$2:$V$200,$G336)&gt;0,
    COUNTIFS($W$2:$W$200,$G336)&gt;0,
    COUNTIFS($X$2:$X$200,$G336)&gt;0,
    COUNTIFS($Y$2:$Y$200,$G336)&gt;0,
    COUNTIFS($Z$2:$Z$200,$G336)&gt;0,
    COUNTIFS($AA$2:$AA$200,$G336)&gt;0,
    COUNTIFS($AB$2:$AB$200,$G336)&gt;0,
    COUNTIFS($AC$2:$AC$200,$G336)&gt;0,
    COUNTIFS($AD$2:$AD$200,$G336)&gt;0,
    COUNTIFS($AE$2:$AE$200,$G336)&gt;0,
    COUNTIFS($AF$2:$AF$200,$G336)&gt;0,
    COUNTIFS($AG$2:$AG$200,$G336)&gt;0,
    COUNTIFS($AH$2:$AH$200,$G336)&gt;0,
    COUNTIFS($AI$2:$AI$200,$G336)&gt;0,
    COUNTIFS($AJ$2:$AJ$200,$G336)&gt;0,
    COUNTIFS($AK$2:$AK$200,$G336)&gt;0,
    COUNTIFS($AL$2:$AL$200,$G336)&gt;0,
    COUNTIFS($AM$2:$AM$200,$G336)&gt;0,
    COUNTIFS($AN$2:$AN$200,$G336)&gt;0,
    COUNTIFS($AO$2:$AO$200,$G336)&gt;0,
    COUNTIFS($AP$2:$AP$200,$G336)&gt;0,
    COUNTIFS($AQ$2:$AQ$200,$G336)&gt;0,
    COUNTIFS($AR$2:$AR$200,$G336)&gt;0,
    COUNTIFS($AS$2:$AS$200,$G336)&gt;0,
    COUNTIFS($AT$2:$AT$200,$G336)&gt;0,
    COUNTIFS($AU$2:$AU$200,$G336)&gt;0,
    COUNTIFS($AV$2:$AV$200,$G336)&gt;0,
    COUNTIFS($AW$2:$AW$200,$G336)&gt;0,
    COUNTIFS($AX$2:$AX$200,$G336)&gt;0,
    COUNTIFS($AY$2:$AY$200,$G336)&gt;0,
    COUNTIFS($AZ$2:$AZ$200,$G336)&gt;0,
    COUNTIFS($BA$2:$BA$200,$G336)&gt;0,
    COUNTIFS($BB$2:$BB$200,$G336)&gt;0,
    COUNTIFS($BC$2:$BC$200,$G336)&gt;0,
    COUNTIFS($BD$2:$BD$200,$G336)&gt;0,
    COUNTIFS($BE$2:$BE$200,$G336)&gt;0,
    COUNTIFS($BF$2:$BF$200,$G336)&gt;0,
    COUNTIFS($BG$2:$BG$200,$G336)&gt;0,
    COUNTIFS($BH$2:$BH$200,$G336)&gt;0,
    COUNTIFS($BI$2:$BI$200,$G336)&gt;0,
    COUNTIFS($BJ$2:$BJ$200,$G336)&gt;0,
    COUNTIFS($BK$2:$BK$200,$G336)&gt;0,
    COUNTIFS($BL$2:$BL$200,$G336)&gt;0,
    COUNTIFS($BM$2:$BM$200,$G336)&gt;0,
   ),
  0)
 ),
"")</f>
        <v>Baylen</v>
      </c>
      <c r="D336" s="2" t="str" cm="1">
        <f t="array" aca="1" ref="D336" ca="1">IFERROR(
 INDEX(
  _xlfn._xlws.FILTER($V$1:$AY$1,
   TRANSPOSE(
    CHOOSE({1;2;3;4;5;6;7;8;9;10;11;12;13;14;15;16;17;18;19;20;21;22;23;24;25;26;27;28;29;30},
     COUNTIFS($V$2:$V$200,$G336)&gt;0,
     COUNTIFS($W$2:$W$200,$G336)&gt;0,
     COUNTIFS($X$2:$X$200,$G336)&gt;0,
     COUNTIFS($Y$2:$Y$200,$G336)&gt;0,
     COUNTIFS($Z$2:$Z$200,$G336)&gt;0,
     COUNTIFS($AA$2:$AA$200,$G336)&gt;0,
     COUNTIFS($AB$2:$AB$200,$G336)&gt;0,
     COUNTIFS($AC$2:$AC$200,$G336)&gt;0,
     COUNTIFS($AD$2:$AD$200,$G336)&gt;0,
     COUNTIFS($AE$2:$AE$200,$G336)&gt;0,
     COUNTIFS($AF$2:$AF$200,$G336)&gt;0,
     COUNTIFS($AG$2:$AG$200,$G336)&gt;0,
     COUNTIFS($AH$2:$AH$200,$G336)&gt;0,
     COUNTIFS($AI$2:$AI$200,$G336)&gt;0,
     COUNTIFS($AJ$2:$AJ$200,$G336)&gt;0,
     COUNTIFS($AK$2:$AK$200,$G336)&gt;0,
     COUNTIFS($AL$2:$AL$200,$G336)&gt;0,
     COUNTIFS($AM$2:$AM$200,$G336)&gt;0,
     COUNTIFS($AN$2:$AN$200,$G336)&gt;0,
     COUNTIFS($AO$2:$AO$200,$G336)&gt;0,
     COUNTIFS($AP$2:$AP$200,$G336)&gt;0,
     COUNTIFS($AQ$2:$AQ$200,$G336)&gt;0,
     COUNTIFS($AR$2:$AR$200,$G336)&gt;0,
     COUNTIFS($AS$2:$AS$200,$G336)&gt;0,
     COUNTIFS($AT$2:$AT$200,$G336)&gt;0,
     COUNTIFS($AU$2:$AU$200,$G336)&gt;0,
     COUNTIFS($AV$2:$AV$200,$G336)&gt;0,
     COUNTIFS($AW$2:$AW$200,$G336)&gt;0,
     COUNTIFS($AX$2:$AX$200,$G336)&gt;0,
     COUNTIFS($AY$2:$AY$200,$G336)&gt;0
   )),
  ),
  2
 ),
"")</f>
        <v/>
      </c>
      <c r="E336" s="2" t="str" cm="1">
        <f t="array" aca="1" ref="E336" ca="1">IFERROR(
 INDEX(
  _xlfn._xlws.FILTER($V$1:$AY$1,
   TRANSPOSE(
    CHOOSE({1;2;3;4;5;6;7;8;9;10;11;12;13;14;15;16;17;18;19;20;21;22;23;24;25;26;27;28;29;30},
     COUNTIFS($V$2:$V$200,$G336)&gt;0,
     COUNTIFS($W$2:$W$200,$G336)&gt;0,
     COUNTIFS($X$2:$X$200,$G336)&gt;0,
     COUNTIFS($Y$2:$Y$200,$G336)&gt;0,
     COUNTIFS($Z$2:$Z$200,$G336)&gt;0,
     COUNTIFS($AA$2:$AA$200,$G336)&gt;0,
     COUNTIFS($AB$2:$AB$200,$G336)&gt;0,
     COUNTIFS($AC$2:$AC$200,$G336)&gt;0,
     COUNTIFS($AD$2:$AD$200,$G336)&gt;0,
     COUNTIFS($AE$2:$AE$200,$G336)&gt;0,
     COUNTIFS($AF$2:$AF$200,$G336)&gt;0,
     COUNTIFS($AG$2:$AG$200,$G336)&gt;0,
     COUNTIFS($AH$2:$AH$200,$G336)&gt;0,
     COUNTIFS($AI$2:$AI$200,$G336)&gt;0,
     COUNTIFS($AJ$2:$AJ$200,$G336)&gt;0,
     COUNTIFS($AK$2:$AK$200,$G336)&gt;0,
     COUNTIFS($AL$2:$AL$200,$G336)&gt;0,
     COUNTIFS($AM$2:$AM$200,$G336)&gt;0,
     COUNTIFS($AN$2:$AN$200,$G336)&gt;0,
     COUNTIFS($AO$2:$AO$200,$G336)&gt;0,
     COUNTIFS($AP$2:$AP$200,$G336)&gt;0,
     COUNTIFS($AQ$2:$AQ$200,$G336)&gt;0,
     COUNTIFS($AR$2:$AR$200,$G336)&gt;0,
     COUNTIFS($AS$2:$AS$200,$G336)&gt;0,
     COUNTIFS($AT$2:$AT$200,$G336)&gt;0,
     COUNTIFS($AU$2:$AU$200,$G336)&gt;0,
     COUNTIFS($AV$2:$AV$200,$G336)&gt;0,
     COUNTIFS($AW$2:$AW$200,$G336)&gt;0,
     COUNTIFS($AX$2:$AX$200,$G336)&gt;0,
     COUNTIFS($AY$2:$AY$200,$G336)&gt;0
   )),
  ),
  3
 ),
"")</f>
        <v/>
      </c>
      <c r="F336" s="2" t="str" cm="1">
        <f t="array" aca="1" ref="F336" ca="1">IFERROR(
 INDEX(
  _xlfn._xlws.FILTER($V$1:$AY$1,
   TRANSPOSE(
    CHOOSE({1;2;3;4;5;6;7;8;9;10;11;12;13;14;15;16;17;18;19;20;21;22;23;24;25;26;27;28;29;30},
     COUNTIFS($V$2:$V$200,$G336)&gt;0,
     COUNTIFS($W$2:$W$200,$G336)&gt;0,
     COUNTIFS($X$2:$X$200,$G336)&gt;0,
     COUNTIFS($Y$2:$Y$200,$G336)&gt;0,
     COUNTIFS($Z$2:$Z$200,$G336)&gt;0,
     COUNTIFS($AA$2:$AA$200,$G336)&gt;0,
     COUNTIFS($AB$2:$AB$200,$G336)&gt;0,
     COUNTIFS($AC$2:$AC$200,$G336)&gt;0,
     COUNTIFS($AD$2:$AD$200,$G336)&gt;0,
     COUNTIFS($AE$2:$AE$200,$G336)&gt;0,
     COUNTIFS($AF$2:$AF$200,$G336)&gt;0,
     COUNTIFS($AG$2:$AG$200,$G336)&gt;0,
     COUNTIFS($AH$2:$AH$200,$G336)&gt;0,
     COUNTIFS($AI$2:$AI$200,$G336)&gt;0,
     COUNTIFS($AJ$2:$AJ$200,$G336)&gt;0,
     COUNTIFS($AK$2:$AK$200,$G336)&gt;0,
     COUNTIFS($AL$2:$AL$200,$G336)&gt;0,
     COUNTIFS($AM$2:$AM$200,$G336)&gt;0,
     COUNTIFS($AN$2:$AN$200,$G336)&gt;0,
     COUNTIFS($AO$2:$AO$200,$G336)&gt;0,
     COUNTIFS($AP$2:$AP$200,$G336)&gt;0,
     COUNTIFS($AQ$2:$AQ$200,$G336)&gt;0,
     COUNTIFS($AR$2:$AR$200,$G336)&gt;0,
     COUNTIFS($AS$2:$AS$200,$G336)&gt;0,
     COUNTIFS($AT$2:$AT$200,$G336)&gt;0,
     COUNTIFS($AU$2:$AU$200,$G336)&gt;0,
     COUNTIFS($AV$2:$AV$200,$G336)&gt;0,
     COUNTIFS($AW$2:$AW$200,$G336)&gt;0,
     COUNTIFS($AX$2:$AX$200,$G336)&gt;0,
     COUNTIFS($AY$2:$AY$200,$G336)&gt;0
   )),
  ),
  4
 ),
"")</f>
        <v/>
      </c>
      <c r="G336" t="str">
        <f ca="1"/>
        <v>Purphoros, God of the Forge</v>
      </c>
      <c r="EU336" t="str">
        <f ca="1"/>
        <v>The Tenth Doctor</v>
      </c>
      <c r="EX336" t="str">
        <f ca="1"/>
        <v>Purphoros, God of the Forge</v>
      </c>
    </row>
    <row r="337" spans="1:154" x14ac:dyDescent="0.25">
      <c r="A337" s="2" t="str">
        <f t="shared" ca="1" si="16"/>
        <v>5</v>
      </c>
      <c r="B337" s="2">
        <f t="shared" ca="1" si="17"/>
        <v>1</v>
      </c>
      <c r="C337" s="2" t="str">
        <f ca="1">IFERROR(
 INDEX($V$1:$BL$1,
  MATCH(TRUE,
   CHOOSE({1;2;3;4;5;6;7;8;9;10;11;12;13;14;15;16;17;18;19;20;21;22;23;24;25;26;27;28;29;30;31;32;33;34;35;36;37;38;39;40;41;42;43},
    COUNTIFS($V$2:$V$200,$G337)&gt;0,
    COUNTIFS($W$2:$W$200,$G337)&gt;0,
    COUNTIFS($X$2:$X$200,$G337)&gt;0,
    COUNTIFS($Y$2:$Y$200,$G337)&gt;0,
    COUNTIFS($Z$2:$Z$200,$G337)&gt;0,
    COUNTIFS($AA$2:$AA$200,$G337)&gt;0,
    COUNTIFS($AB$2:$AB$200,$G337)&gt;0,
    COUNTIFS($AC$2:$AC$200,$G337)&gt;0,
    COUNTIFS($AD$2:$AD$200,$G337)&gt;0,
    COUNTIFS($AE$2:$AE$200,$G337)&gt;0,
    COUNTIFS($AF$2:$AF$200,$G337)&gt;0,
    COUNTIFS($AG$2:$AG$200,$G337)&gt;0,
    COUNTIFS($AH$2:$AH$200,$G337)&gt;0,
    COUNTIFS($AI$2:$AI$200,$G337)&gt;0,
    COUNTIFS($AJ$2:$AJ$200,$G337)&gt;0,
    COUNTIFS($AK$2:$AK$200,$G337)&gt;0,
    COUNTIFS($AL$2:$AL$200,$G337)&gt;0,
    COUNTIFS($AM$2:$AM$200,$G337)&gt;0,
    COUNTIFS($AN$2:$AN$200,$G337)&gt;0,
    COUNTIFS($AO$2:$AO$200,$G337)&gt;0,
    COUNTIFS($AP$2:$AP$200,$G337)&gt;0,
    COUNTIFS($AQ$2:$AQ$200,$G337)&gt;0,
    COUNTIFS($AR$2:$AR$200,$G337)&gt;0,
    COUNTIFS($AS$2:$AS$200,$G337)&gt;0,
    COUNTIFS($AT$2:$AT$200,$G337)&gt;0,
    COUNTIFS($AU$2:$AU$200,$G337)&gt;0,
    COUNTIFS($AV$2:$AV$200,$G337)&gt;0,
    COUNTIFS($AW$2:$AW$200,$G337)&gt;0,
    COUNTIFS($AX$2:$AX$200,$G337)&gt;0,
    COUNTIFS($AY$2:$AY$200,$G337)&gt;0,
    COUNTIFS($AZ$2:$AZ$200,$G337)&gt;0,
    COUNTIFS($BA$2:$BA$200,$G337)&gt;0,
    COUNTIFS($BB$2:$BB$200,$G337)&gt;0,
    COUNTIFS($BC$2:$BC$200,$G337)&gt;0,
    COUNTIFS($BD$2:$BD$200,$G337)&gt;0,
    COUNTIFS($BE$2:$BE$200,$G337)&gt;0,
    COUNTIFS($BF$2:$BF$200,$G337)&gt;0,
    COUNTIFS($BG$2:$BG$200,$G337)&gt;0,
    COUNTIFS($BH$2:$BH$200,$G337)&gt;0,
    COUNTIFS($BI$2:$BI$200,$G337)&gt;0,
    COUNTIFS($BJ$2:$BJ$200,$G337)&gt;0,
    COUNTIFS($BK$2:$BK$200,$G337)&gt;0,
    COUNTIFS($BL$2:$BL$200,$G337)&gt;0,
    COUNTIFS($BM$2:$BM$200,$G337)&gt;0,
   ),
  0)
 ),
"")</f>
        <v>Zuko</v>
      </c>
      <c r="D337" s="2" t="str" cm="1">
        <f t="array" aca="1" ref="D337" ca="1">IFERROR(
 INDEX(
  _xlfn._xlws.FILTER($V$1:$AY$1,
   TRANSPOSE(
    CHOOSE({1;2;3;4;5;6;7;8;9;10;11;12;13;14;15;16;17;18;19;20;21;22;23;24;25;26;27;28;29;30},
     COUNTIFS($V$2:$V$200,$G337)&gt;0,
     COUNTIFS($W$2:$W$200,$G337)&gt;0,
     COUNTIFS($X$2:$X$200,$G337)&gt;0,
     COUNTIFS($Y$2:$Y$200,$G337)&gt;0,
     COUNTIFS($Z$2:$Z$200,$G337)&gt;0,
     COUNTIFS($AA$2:$AA$200,$G337)&gt;0,
     COUNTIFS($AB$2:$AB$200,$G337)&gt;0,
     COUNTIFS($AC$2:$AC$200,$G337)&gt;0,
     COUNTIFS($AD$2:$AD$200,$G337)&gt;0,
     COUNTIFS($AE$2:$AE$200,$G337)&gt;0,
     COUNTIFS($AF$2:$AF$200,$G337)&gt;0,
     COUNTIFS($AG$2:$AG$200,$G337)&gt;0,
     COUNTIFS($AH$2:$AH$200,$G337)&gt;0,
     COUNTIFS($AI$2:$AI$200,$G337)&gt;0,
     COUNTIFS($AJ$2:$AJ$200,$G337)&gt;0,
     COUNTIFS($AK$2:$AK$200,$G337)&gt;0,
     COUNTIFS($AL$2:$AL$200,$G337)&gt;0,
     COUNTIFS($AM$2:$AM$200,$G337)&gt;0,
     COUNTIFS($AN$2:$AN$200,$G337)&gt;0,
     COUNTIFS($AO$2:$AO$200,$G337)&gt;0,
     COUNTIFS($AP$2:$AP$200,$G337)&gt;0,
     COUNTIFS($AQ$2:$AQ$200,$G337)&gt;0,
     COUNTIFS($AR$2:$AR$200,$G337)&gt;0,
     COUNTIFS($AS$2:$AS$200,$G337)&gt;0,
     COUNTIFS($AT$2:$AT$200,$G337)&gt;0,
     COUNTIFS($AU$2:$AU$200,$G337)&gt;0,
     COUNTIFS($AV$2:$AV$200,$G337)&gt;0,
     COUNTIFS($AW$2:$AW$200,$G337)&gt;0,
     COUNTIFS($AX$2:$AX$200,$G337)&gt;0,
     COUNTIFS($AY$2:$AY$200,$G337)&gt;0
   )),
  ),
  2
 ),
"")</f>
        <v/>
      </c>
      <c r="E337" s="2" t="str" cm="1">
        <f t="array" aca="1" ref="E337" ca="1">IFERROR(
 INDEX(
  _xlfn._xlws.FILTER($V$1:$AY$1,
   TRANSPOSE(
    CHOOSE({1;2;3;4;5;6;7;8;9;10;11;12;13;14;15;16;17;18;19;20;21;22;23;24;25;26;27;28;29;30},
     COUNTIFS($V$2:$V$200,$G337)&gt;0,
     COUNTIFS($W$2:$W$200,$G337)&gt;0,
     COUNTIFS($X$2:$X$200,$G337)&gt;0,
     COUNTIFS($Y$2:$Y$200,$G337)&gt;0,
     COUNTIFS($Z$2:$Z$200,$G337)&gt;0,
     COUNTIFS($AA$2:$AA$200,$G337)&gt;0,
     COUNTIFS($AB$2:$AB$200,$G337)&gt;0,
     COUNTIFS($AC$2:$AC$200,$G337)&gt;0,
     COUNTIFS($AD$2:$AD$200,$G337)&gt;0,
     COUNTIFS($AE$2:$AE$200,$G337)&gt;0,
     COUNTIFS($AF$2:$AF$200,$G337)&gt;0,
     COUNTIFS($AG$2:$AG$200,$G337)&gt;0,
     COUNTIFS($AH$2:$AH$200,$G337)&gt;0,
     COUNTIFS($AI$2:$AI$200,$G337)&gt;0,
     COUNTIFS($AJ$2:$AJ$200,$G337)&gt;0,
     COUNTIFS($AK$2:$AK$200,$G337)&gt;0,
     COUNTIFS($AL$2:$AL$200,$G337)&gt;0,
     COUNTIFS($AM$2:$AM$200,$G337)&gt;0,
     COUNTIFS($AN$2:$AN$200,$G337)&gt;0,
     COUNTIFS($AO$2:$AO$200,$G337)&gt;0,
     COUNTIFS($AP$2:$AP$200,$G337)&gt;0,
     COUNTIFS($AQ$2:$AQ$200,$G337)&gt;0,
     COUNTIFS($AR$2:$AR$200,$G337)&gt;0,
     COUNTIFS($AS$2:$AS$200,$G337)&gt;0,
     COUNTIFS($AT$2:$AT$200,$G337)&gt;0,
     COUNTIFS($AU$2:$AU$200,$G337)&gt;0,
     COUNTIFS($AV$2:$AV$200,$G337)&gt;0,
     COUNTIFS($AW$2:$AW$200,$G337)&gt;0,
     COUNTIFS($AX$2:$AX$200,$G337)&gt;0,
     COUNTIFS($AY$2:$AY$200,$G337)&gt;0
   )),
  ),
  3
 ),
"")</f>
        <v/>
      </c>
      <c r="F337" s="2" t="str" cm="1">
        <f t="array" aca="1" ref="F337" ca="1">IFERROR(
 INDEX(
  _xlfn._xlws.FILTER($V$1:$AY$1,
   TRANSPOSE(
    CHOOSE({1;2;3;4;5;6;7;8;9;10;11;12;13;14;15;16;17;18;19;20;21;22;23;24;25;26;27;28;29;30},
     COUNTIFS($V$2:$V$200,$G337)&gt;0,
     COUNTIFS($W$2:$W$200,$G337)&gt;0,
     COUNTIFS($X$2:$X$200,$G337)&gt;0,
     COUNTIFS($Y$2:$Y$200,$G337)&gt;0,
     COUNTIFS($Z$2:$Z$200,$G337)&gt;0,
     COUNTIFS($AA$2:$AA$200,$G337)&gt;0,
     COUNTIFS($AB$2:$AB$200,$G337)&gt;0,
     COUNTIFS($AC$2:$AC$200,$G337)&gt;0,
     COUNTIFS($AD$2:$AD$200,$G337)&gt;0,
     COUNTIFS($AE$2:$AE$200,$G337)&gt;0,
     COUNTIFS($AF$2:$AF$200,$G337)&gt;0,
     COUNTIFS($AG$2:$AG$200,$G337)&gt;0,
     COUNTIFS($AH$2:$AH$200,$G337)&gt;0,
     COUNTIFS($AI$2:$AI$200,$G337)&gt;0,
     COUNTIFS($AJ$2:$AJ$200,$G337)&gt;0,
     COUNTIFS($AK$2:$AK$200,$G337)&gt;0,
     COUNTIFS($AL$2:$AL$200,$G337)&gt;0,
     COUNTIFS($AM$2:$AM$200,$G337)&gt;0,
     COUNTIFS($AN$2:$AN$200,$G337)&gt;0,
     COUNTIFS($AO$2:$AO$200,$G337)&gt;0,
     COUNTIFS($AP$2:$AP$200,$G337)&gt;0,
     COUNTIFS($AQ$2:$AQ$200,$G337)&gt;0,
     COUNTIFS($AR$2:$AR$200,$G337)&gt;0,
     COUNTIFS($AS$2:$AS$200,$G337)&gt;0,
     COUNTIFS($AT$2:$AT$200,$G337)&gt;0,
     COUNTIFS($AU$2:$AU$200,$G337)&gt;0,
     COUNTIFS($AV$2:$AV$200,$G337)&gt;0,
     COUNTIFS($AW$2:$AW$200,$G337)&gt;0,
     COUNTIFS($AX$2:$AX$200,$G337)&gt;0,
     COUNTIFS($AY$2:$AY$200,$G337)&gt;0
   )),
  ),
  4
 ),
"")</f>
        <v/>
      </c>
      <c r="G337" t="str">
        <f ca="1"/>
        <v>Pyrohemia</v>
      </c>
      <c r="EU337" t="str">
        <f ca="1"/>
        <v>The Water Crystal</v>
      </c>
      <c r="EX337" t="str">
        <f ca="1"/>
        <v>Pyrohemia</v>
      </c>
    </row>
    <row r="338" spans="1:154" x14ac:dyDescent="0.25">
      <c r="A338" s="2" t="str">
        <f t="shared" ca="1" si="16"/>
        <v>5</v>
      </c>
      <c r="B338" s="2">
        <f t="shared" ca="1" si="17"/>
        <v>1</v>
      </c>
      <c r="C338" s="2" t="str">
        <f ca="1">IFERROR(
 INDEX($V$1:$BL$1,
  MATCH(TRUE,
   CHOOSE({1;2;3;4;5;6;7;8;9;10;11;12;13;14;15;16;17;18;19;20;21;22;23;24;25;26;27;28;29;30;31;32;33;34;35;36;37;38;39;40;41;42;43},
    COUNTIFS($V$2:$V$200,$G338)&gt;0,
    COUNTIFS($W$2:$W$200,$G338)&gt;0,
    COUNTIFS($X$2:$X$200,$G338)&gt;0,
    COUNTIFS($Y$2:$Y$200,$G338)&gt;0,
    COUNTIFS($Z$2:$Z$200,$G338)&gt;0,
    COUNTIFS($AA$2:$AA$200,$G338)&gt;0,
    COUNTIFS($AB$2:$AB$200,$G338)&gt;0,
    COUNTIFS($AC$2:$AC$200,$G338)&gt;0,
    COUNTIFS($AD$2:$AD$200,$G338)&gt;0,
    COUNTIFS($AE$2:$AE$200,$G338)&gt;0,
    COUNTIFS($AF$2:$AF$200,$G338)&gt;0,
    COUNTIFS($AG$2:$AG$200,$G338)&gt;0,
    COUNTIFS($AH$2:$AH$200,$G338)&gt;0,
    COUNTIFS($AI$2:$AI$200,$G338)&gt;0,
    COUNTIFS($AJ$2:$AJ$200,$G338)&gt;0,
    COUNTIFS($AK$2:$AK$200,$G338)&gt;0,
    COUNTIFS($AL$2:$AL$200,$G338)&gt;0,
    COUNTIFS($AM$2:$AM$200,$G338)&gt;0,
    COUNTIFS($AN$2:$AN$200,$G338)&gt;0,
    COUNTIFS($AO$2:$AO$200,$G338)&gt;0,
    COUNTIFS($AP$2:$AP$200,$G338)&gt;0,
    COUNTIFS($AQ$2:$AQ$200,$G338)&gt;0,
    COUNTIFS($AR$2:$AR$200,$G338)&gt;0,
    COUNTIFS($AS$2:$AS$200,$G338)&gt;0,
    COUNTIFS($AT$2:$AT$200,$G338)&gt;0,
    COUNTIFS($AU$2:$AU$200,$G338)&gt;0,
    COUNTIFS($AV$2:$AV$200,$G338)&gt;0,
    COUNTIFS($AW$2:$AW$200,$G338)&gt;0,
    COUNTIFS($AX$2:$AX$200,$G338)&gt;0,
    COUNTIFS($AY$2:$AY$200,$G338)&gt;0,
    COUNTIFS($AZ$2:$AZ$200,$G338)&gt;0,
    COUNTIFS($BA$2:$BA$200,$G338)&gt;0,
    COUNTIFS($BB$2:$BB$200,$G338)&gt;0,
    COUNTIFS($BC$2:$BC$200,$G338)&gt;0,
    COUNTIFS($BD$2:$BD$200,$G338)&gt;0,
    COUNTIFS($BE$2:$BE$200,$G338)&gt;0,
    COUNTIFS($BF$2:$BF$200,$G338)&gt;0,
    COUNTIFS($BG$2:$BG$200,$G338)&gt;0,
    COUNTIFS($BH$2:$BH$200,$G338)&gt;0,
    COUNTIFS($BI$2:$BI$200,$G338)&gt;0,
    COUNTIFS($BJ$2:$BJ$200,$G338)&gt;0,
    COUNTIFS($BK$2:$BK$200,$G338)&gt;0,
    COUNTIFS($BL$2:$BL$200,$G338)&gt;0,
    COUNTIFS($BM$2:$BM$200,$G338)&gt;0,
   ),
  0)
 ),
"")</f>
        <v>Fractius</v>
      </c>
      <c r="D338" s="2" t="str" cm="1">
        <f t="array" aca="1" ref="D338" ca="1">IFERROR(
 INDEX(
  _xlfn._xlws.FILTER($V$1:$AY$1,
   TRANSPOSE(
    CHOOSE({1;2;3;4;5;6;7;8;9;10;11;12;13;14;15;16;17;18;19;20;21;22;23;24;25;26;27;28;29;30},
     COUNTIFS($V$2:$V$200,$G338)&gt;0,
     COUNTIFS($W$2:$W$200,$G338)&gt;0,
     COUNTIFS($X$2:$X$200,$G338)&gt;0,
     COUNTIFS($Y$2:$Y$200,$G338)&gt;0,
     COUNTIFS($Z$2:$Z$200,$G338)&gt;0,
     COUNTIFS($AA$2:$AA$200,$G338)&gt;0,
     COUNTIFS($AB$2:$AB$200,$G338)&gt;0,
     COUNTIFS($AC$2:$AC$200,$G338)&gt;0,
     COUNTIFS($AD$2:$AD$200,$G338)&gt;0,
     COUNTIFS($AE$2:$AE$200,$G338)&gt;0,
     COUNTIFS($AF$2:$AF$200,$G338)&gt;0,
     COUNTIFS($AG$2:$AG$200,$G338)&gt;0,
     COUNTIFS($AH$2:$AH$200,$G338)&gt;0,
     COUNTIFS($AI$2:$AI$200,$G338)&gt;0,
     COUNTIFS($AJ$2:$AJ$200,$G338)&gt;0,
     COUNTIFS($AK$2:$AK$200,$G338)&gt;0,
     COUNTIFS($AL$2:$AL$200,$G338)&gt;0,
     COUNTIFS($AM$2:$AM$200,$G338)&gt;0,
     COUNTIFS($AN$2:$AN$200,$G338)&gt;0,
     COUNTIFS($AO$2:$AO$200,$G338)&gt;0,
     COUNTIFS($AP$2:$AP$200,$G338)&gt;0,
     COUNTIFS($AQ$2:$AQ$200,$G338)&gt;0,
     COUNTIFS($AR$2:$AR$200,$G338)&gt;0,
     COUNTIFS($AS$2:$AS$200,$G338)&gt;0,
     COUNTIFS($AT$2:$AT$200,$G338)&gt;0,
     COUNTIFS($AU$2:$AU$200,$G338)&gt;0,
     COUNTIFS($AV$2:$AV$200,$G338)&gt;0,
     COUNTIFS($AW$2:$AW$200,$G338)&gt;0,
     COUNTIFS($AX$2:$AX$200,$G338)&gt;0,
     COUNTIFS($AY$2:$AY$200,$G338)&gt;0
   )),
  ),
  2
 ),
"")</f>
        <v/>
      </c>
      <c r="E338" s="2" t="str" cm="1">
        <f t="array" aca="1" ref="E338" ca="1">IFERROR(
 INDEX(
  _xlfn._xlws.FILTER($V$1:$AY$1,
   TRANSPOSE(
    CHOOSE({1;2;3;4;5;6;7;8;9;10;11;12;13;14;15;16;17;18;19;20;21;22;23;24;25;26;27;28;29;30},
     COUNTIFS($V$2:$V$200,$G338)&gt;0,
     COUNTIFS($W$2:$W$200,$G338)&gt;0,
     COUNTIFS($X$2:$X$200,$G338)&gt;0,
     COUNTIFS($Y$2:$Y$200,$G338)&gt;0,
     COUNTIFS($Z$2:$Z$200,$G338)&gt;0,
     COUNTIFS($AA$2:$AA$200,$G338)&gt;0,
     COUNTIFS($AB$2:$AB$200,$G338)&gt;0,
     COUNTIFS($AC$2:$AC$200,$G338)&gt;0,
     COUNTIFS($AD$2:$AD$200,$G338)&gt;0,
     COUNTIFS($AE$2:$AE$200,$G338)&gt;0,
     COUNTIFS($AF$2:$AF$200,$G338)&gt;0,
     COUNTIFS($AG$2:$AG$200,$G338)&gt;0,
     COUNTIFS($AH$2:$AH$200,$G338)&gt;0,
     COUNTIFS($AI$2:$AI$200,$G338)&gt;0,
     COUNTIFS($AJ$2:$AJ$200,$G338)&gt;0,
     COUNTIFS($AK$2:$AK$200,$G338)&gt;0,
     COUNTIFS($AL$2:$AL$200,$G338)&gt;0,
     COUNTIFS($AM$2:$AM$200,$G338)&gt;0,
     COUNTIFS($AN$2:$AN$200,$G338)&gt;0,
     COUNTIFS($AO$2:$AO$200,$G338)&gt;0,
     COUNTIFS($AP$2:$AP$200,$G338)&gt;0,
     COUNTIFS($AQ$2:$AQ$200,$G338)&gt;0,
     COUNTIFS($AR$2:$AR$200,$G338)&gt;0,
     COUNTIFS($AS$2:$AS$200,$G338)&gt;0,
     COUNTIFS($AT$2:$AT$200,$G338)&gt;0,
     COUNTIFS($AU$2:$AU$200,$G338)&gt;0,
     COUNTIFS($AV$2:$AV$200,$G338)&gt;0,
     COUNTIFS($AW$2:$AW$200,$G338)&gt;0,
     COUNTIFS($AX$2:$AX$200,$G338)&gt;0,
     COUNTIFS($AY$2:$AY$200,$G338)&gt;0
   )),
  ),
  3
 ),
"")</f>
        <v/>
      </c>
      <c r="F338" s="2" t="str" cm="1">
        <f t="array" aca="1" ref="F338" ca="1">IFERROR(
 INDEX(
  _xlfn._xlws.FILTER($V$1:$AY$1,
   TRANSPOSE(
    CHOOSE({1;2;3;4;5;6;7;8;9;10;11;12;13;14;15;16;17;18;19;20;21;22;23;24;25;26;27;28;29;30},
     COUNTIFS($V$2:$V$200,$G338)&gt;0,
     COUNTIFS($W$2:$W$200,$G338)&gt;0,
     COUNTIFS($X$2:$X$200,$G338)&gt;0,
     COUNTIFS($Y$2:$Y$200,$G338)&gt;0,
     COUNTIFS($Z$2:$Z$200,$G338)&gt;0,
     COUNTIFS($AA$2:$AA$200,$G338)&gt;0,
     COUNTIFS($AB$2:$AB$200,$G338)&gt;0,
     COUNTIFS($AC$2:$AC$200,$G338)&gt;0,
     COUNTIFS($AD$2:$AD$200,$G338)&gt;0,
     COUNTIFS($AE$2:$AE$200,$G338)&gt;0,
     COUNTIFS($AF$2:$AF$200,$G338)&gt;0,
     COUNTIFS($AG$2:$AG$200,$G338)&gt;0,
     COUNTIFS($AH$2:$AH$200,$G338)&gt;0,
     COUNTIFS($AI$2:$AI$200,$G338)&gt;0,
     COUNTIFS($AJ$2:$AJ$200,$G338)&gt;0,
     COUNTIFS($AK$2:$AK$200,$G338)&gt;0,
     COUNTIFS($AL$2:$AL$200,$G338)&gt;0,
     COUNTIFS($AM$2:$AM$200,$G338)&gt;0,
     COUNTIFS($AN$2:$AN$200,$G338)&gt;0,
     COUNTIFS($AO$2:$AO$200,$G338)&gt;0,
     COUNTIFS($AP$2:$AP$200,$G338)&gt;0,
     COUNTIFS($AQ$2:$AQ$200,$G338)&gt;0,
     COUNTIFS($AR$2:$AR$200,$G338)&gt;0,
     COUNTIFS($AS$2:$AS$200,$G338)&gt;0,
     COUNTIFS($AT$2:$AT$200,$G338)&gt;0,
     COUNTIFS($AU$2:$AU$200,$G338)&gt;0,
     COUNTIFS($AV$2:$AV$200,$G338)&gt;0,
     COUNTIFS($AW$2:$AW$200,$G338)&gt;0,
     COUNTIFS($AX$2:$AX$200,$G338)&gt;0,
     COUNTIFS($AY$2:$AY$200,$G338)&gt;0
   )),
  ),
  4
 ),
"")</f>
        <v/>
      </c>
      <c r="G338" t="str">
        <f ca="1"/>
        <v>Quick Sliver</v>
      </c>
      <c r="EU338" t="str">
        <f ca="1"/>
        <v>Thopter Shop</v>
      </c>
      <c r="EX338" t="str">
        <f ca="1"/>
        <v>Quick Sliver</v>
      </c>
    </row>
    <row r="339" spans="1:154" x14ac:dyDescent="0.25">
      <c r="A339" s="2" t="str">
        <f t="shared" ca="1" si="16"/>
        <v>5</v>
      </c>
      <c r="B339" s="2">
        <f t="shared" ca="1" si="17"/>
        <v>1</v>
      </c>
      <c r="C339" s="2" t="str">
        <f ca="1">IFERROR(
 INDEX($V$1:$BL$1,
  MATCH(TRUE,
   CHOOSE({1;2;3;4;5;6;7;8;9;10;11;12;13;14;15;16;17;18;19;20;21;22;23;24;25;26;27;28;29;30;31;32;33;34;35;36;37;38;39;40;41;42;43},
    COUNTIFS($V$2:$V$200,$G339)&gt;0,
    COUNTIFS($W$2:$W$200,$G339)&gt;0,
    COUNTIFS($X$2:$X$200,$G339)&gt;0,
    COUNTIFS($Y$2:$Y$200,$G339)&gt;0,
    COUNTIFS($Z$2:$Z$200,$G339)&gt;0,
    COUNTIFS($AA$2:$AA$200,$G339)&gt;0,
    COUNTIFS($AB$2:$AB$200,$G339)&gt;0,
    COUNTIFS($AC$2:$AC$200,$G339)&gt;0,
    COUNTIFS($AD$2:$AD$200,$G339)&gt;0,
    COUNTIFS($AE$2:$AE$200,$G339)&gt;0,
    COUNTIFS($AF$2:$AF$200,$G339)&gt;0,
    COUNTIFS($AG$2:$AG$200,$G339)&gt;0,
    COUNTIFS($AH$2:$AH$200,$G339)&gt;0,
    COUNTIFS($AI$2:$AI$200,$G339)&gt;0,
    COUNTIFS($AJ$2:$AJ$200,$G339)&gt;0,
    COUNTIFS($AK$2:$AK$200,$G339)&gt;0,
    COUNTIFS($AL$2:$AL$200,$G339)&gt;0,
    COUNTIFS($AM$2:$AM$200,$G339)&gt;0,
    COUNTIFS($AN$2:$AN$200,$G339)&gt;0,
    COUNTIFS($AO$2:$AO$200,$G339)&gt;0,
    COUNTIFS($AP$2:$AP$200,$G339)&gt;0,
    COUNTIFS($AQ$2:$AQ$200,$G339)&gt;0,
    COUNTIFS($AR$2:$AR$200,$G339)&gt;0,
    COUNTIFS($AS$2:$AS$200,$G339)&gt;0,
    COUNTIFS($AT$2:$AT$200,$G339)&gt;0,
    COUNTIFS($AU$2:$AU$200,$G339)&gt;0,
    COUNTIFS($AV$2:$AV$200,$G339)&gt;0,
    COUNTIFS($AW$2:$AW$200,$G339)&gt;0,
    COUNTIFS($AX$2:$AX$200,$G339)&gt;0,
    COUNTIFS($AY$2:$AY$200,$G339)&gt;0,
    COUNTIFS($AZ$2:$AZ$200,$G339)&gt;0,
    COUNTIFS($BA$2:$BA$200,$G339)&gt;0,
    COUNTIFS($BB$2:$BB$200,$G339)&gt;0,
    COUNTIFS($BC$2:$BC$200,$G339)&gt;0,
    COUNTIFS($BD$2:$BD$200,$G339)&gt;0,
    COUNTIFS($BE$2:$BE$200,$G339)&gt;0,
    COUNTIFS($BF$2:$BF$200,$G339)&gt;0,
    COUNTIFS($BG$2:$BG$200,$G339)&gt;0,
    COUNTIFS($BH$2:$BH$200,$G339)&gt;0,
    COUNTIFS($BI$2:$BI$200,$G339)&gt;0,
    COUNTIFS($BJ$2:$BJ$200,$G339)&gt;0,
    COUNTIFS($BK$2:$BK$200,$G339)&gt;0,
    COUNTIFS($BL$2:$BL$200,$G339)&gt;0,
    COUNTIFS($BM$2:$BM$200,$G339)&gt;0,
   ),
  0)
 ),
"")</f>
        <v>Fractius</v>
      </c>
      <c r="D339" s="2" t="str" cm="1">
        <f t="array" aca="1" ref="D339" ca="1">IFERROR(
 INDEX(
  _xlfn._xlws.FILTER($V$1:$AY$1,
   TRANSPOSE(
    CHOOSE({1;2;3;4;5;6;7;8;9;10;11;12;13;14;15;16;17;18;19;20;21;22;23;24;25;26;27;28;29;30},
     COUNTIFS($V$2:$V$200,$G339)&gt;0,
     COUNTIFS($W$2:$W$200,$G339)&gt;0,
     COUNTIFS($X$2:$X$200,$G339)&gt;0,
     COUNTIFS($Y$2:$Y$200,$G339)&gt;0,
     COUNTIFS($Z$2:$Z$200,$G339)&gt;0,
     COUNTIFS($AA$2:$AA$200,$G339)&gt;0,
     COUNTIFS($AB$2:$AB$200,$G339)&gt;0,
     COUNTIFS($AC$2:$AC$200,$G339)&gt;0,
     COUNTIFS($AD$2:$AD$200,$G339)&gt;0,
     COUNTIFS($AE$2:$AE$200,$G339)&gt;0,
     COUNTIFS($AF$2:$AF$200,$G339)&gt;0,
     COUNTIFS($AG$2:$AG$200,$G339)&gt;0,
     COUNTIFS($AH$2:$AH$200,$G339)&gt;0,
     COUNTIFS($AI$2:$AI$200,$G339)&gt;0,
     COUNTIFS($AJ$2:$AJ$200,$G339)&gt;0,
     COUNTIFS($AK$2:$AK$200,$G339)&gt;0,
     COUNTIFS($AL$2:$AL$200,$G339)&gt;0,
     COUNTIFS($AM$2:$AM$200,$G339)&gt;0,
     COUNTIFS($AN$2:$AN$200,$G339)&gt;0,
     COUNTIFS($AO$2:$AO$200,$G339)&gt;0,
     COUNTIFS($AP$2:$AP$200,$G339)&gt;0,
     COUNTIFS($AQ$2:$AQ$200,$G339)&gt;0,
     COUNTIFS($AR$2:$AR$200,$G339)&gt;0,
     COUNTIFS($AS$2:$AS$200,$G339)&gt;0,
     COUNTIFS($AT$2:$AT$200,$G339)&gt;0,
     COUNTIFS($AU$2:$AU$200,$G339)&gt;0,
     COUNTIFS($AV$2:$AV$200,$G339)&gt;0,
     COUNTIFS($AW$2:$AW$200,$G339)&gt;0,
     COUNTIFS($AX$2:$AX$200,$G339)&gt;0,
     COUNTIFS($AY$2:$AY$200,$G339)&gt;0
   )),
  ),
  2
 ),
"")</f>
        <v/>
      </c>
      <c r="E339" s="2" t="str" cm="1">
        <f t="array" aca="1" ref="E339" ca="1">IFERROR(
 INDEX(
  _xlfn._xlws.FILTER($V$1:$AY$1,
   TRANSPOSE(
    CHOOSE({1;2;3;4;5;6;7;8;9;10;11;12;13;14;15;16;17;18;19;20;21;22;23;24;25;26;27;28;29;30},
     COUNTIFS($V$2:$V$200,$G339)&gt;0,
     COUNTIFS($W$2:$W$200,$G339)&gt;0,
     COUNTIFS($X$2:$X$200,$G339)&gt;0,
     COUNTIFS($Y$2:$Y$200,$G339)&gt;0,
     COUNTIFS($Z$2:$Z$200,$G339)&gt;0,
     COUNTIFS($AA$2:$AA$200,$G339)&gt;0,
     COUNTIFS($AB$2:$AB$200,$G339)&gt;0,
     COUNTIFS($AC$2:$AC$200,$G339)&gt;0,
     COUNTIFS($AD$2:$AD$200,$G339)&gt;0,
     COUNTIFS($AE$2:$AE$200,$G339)&gt;0,
     COUNTIFS($AF$2:$AF$200,$G339)&gt;0,
     COUNTIFS($AG$2:$AG$200,$G339)&gt;0,
     COUNTIFS($AH$2:$AH$200,$G339)&gt;0,
     COUNTIFS($AI$2:$AI$200,$G339)&gt;0,
     COUNTIFS($AJ$2:$AJ$200,$G339)&gt;0,
     COUNTIFS($AK$2:$AK$200,$G339)&gt;0,
     COUNTIFS($AL$2:$AL$200,$G339)&gt;0,
     COUNTIFS($AM$2:$AM$200,$G339)&gt;0,
     COUNTIFS($AN$2:$AN$200,$G339)&gt;0,
     COUNTIFS($AO$2:$AO$200,$G339)&gt;0,
     COUNTIFS($AP$2:$AP$200,$G339)&gt;0,
     COUNTIFS($AQ$2:$AQ$200,$G339)&gt;0,
     COUNTIFS($AR$2:$AR$200,$G339)&gt;0,
     COUNTIFS($AS$2:$AS$200,$G339)&gt;0,
     COUNTIFS($AT$2:$AT$200,$G339)&gt;0,
     COUNTIFS($AU$2:$AU$200,$G339)&gt;0,
     COUNTIFS($AV$2:$AV$200,$G339)&gt;0,
     COUNTIFS($AW$2:$AW$200,$G339)&gt;0,
     COUNTIFS($AX$2:$AX$200,$G339)&gt;0,
     COUNTIFS($AY$2:$AY$200,$G339)&gt;0
   )),
  ),
  3
 ),
"")</f>
        <v/>
      </c>
      <c r="F339" s="2" t="str" cm="1">
        <f t="array" aca="1" ref="F339" ca="1">IFERROR(
 INDEX(
  _xlfn._xlws.FILTER($V$1:$AY$1,
   TRANSPOSE(
    CHOOSE({1;2;3;4;5;6;7;8;9;10;11;12;13;14;15;16;17;18;19;20;21;22;23;24;25;26;27;28;29;30},
     COUNTIFS($V$2:$V$200,$G339)&gt;0,
     COUNTIFS($W$2:$W$200,$G339)&gt;0,
     COUNTIFS($X$2:$X$200,$G339)&gt;0,
     COUNTIFS($Y$2:$Y$200,$G339)&gt;0,
     COUNTIFS($Z$2:$Z$200,$G339)&gt;0,
     COUNTIFS($AA$2:$AA$200,$G339)&gt;0,
     COUNTIFS($AB$2:$AB$200,$G339)&gt;0,
     COUNTIFS($AC$2:$AC$200,$G339)&gt;0,
     COUNTIFS($AD$2:$AD$200,$G339)&gt;0,
     COUNTIFS($AE$2:$AE$200,$G339)&gt;0,
     COUNTIFS($AF$2:$AF$200,$G339)&gt;0,
     COUNTIFS($AG$2:$AG$200,$G339)&gt;0,
     COUNTIFS($AH$2:$AH$200,$G339)&gt;0,
     COUNTIFS($AI$2:$AI$200,$G339)&gt;0,
     COUNTIFS($AJ$2:$AJ$200,$G339)&gt;0,
     COUNTIFS($AK$2:$AK$200,$G339)&gt;0,
     COUNTIFS($AL$2:$AL$200,$G339)&gt;0,
     COUNTIFS($AM$2:$AM$200,$G339)&gt;0,
     COUNTIFS($AN$2:$AN$200,$G339)&gt;0,
     COUNTIFS($AO$2:$AO$200,$G339)&gt;0,
     COUNTIFS($AP$2:$AP$200,$G339)&gt;0,
     COUNTIFS($AQ$2:$AQ$200,$G339)&gt;0,
     COUNTIFS($AR$2:$AR$200,$G339)&gt;0,
     COUNTIFS($AS$2:$AS$200,$G339)&gt;0,
     COUNTIFS($AT$2:$AT$200,$G339)&gt;0,
     COUNTIFS($AU$2:$AU$200,$G339)&gt;0,
     COUNTIFS($AV$2:$AV$200,$G339)&gt;0,
     COUNTIFS($AW$2:$AW$200,$G339)&gt;0,
     COUNTIFS($AX$2:$AX$200,$G339)&gt;0,
     COUNTIFS($AY$2:$AY$200,$G339)&gt;0
   )),
  ),
  4
 ),
"")</f>
        <v/>
      </c>
      <c r="G339" t="str">
        <f ca="1"/>
        <v>Quilled Sliver</v>
      </c>
      <c r="EU339" t="str">
        <f ca="1"/>
        <v>Thorncaster Sliver</v>
      </c>
      <c r="EX339" t="str">
        <f ca="1"/>
        <v>Quilled Sliver</v>
      </c>
    </row>
    <row r="340" spans="1:154" x14ac:dyDescent="0.25">
      <c r="A340" s="2" t="str">
        <f t="shared" ca="1" si="16"/>
        <v>5</v>
      </c>
      <c r="B340" s="2">
        <f t="shared" ca="1" si="17"/>
        <v>1</v>
      </c>
      <c r="C340" s="2" t="str">
        <f ca="1">IFERROR(
 INDEX($V$1:$BL$1,
  MATCH(TRUE,
   CHOOSE({1;2;3;4;5;6;7;8;9;10;11;12;13;14;15;16;17;18;19;20;21;22;23;24;25;26;27;28;29;30;31;32;33;34;35;36;37;38;39;40;41;42;43},
    COUNTIFS($V$2:$V$200,$G340)&gt;0,
    COUNTIFS($W$2:$W$200,$G340)&gt;0,
    COUNTIFS($X$2:$X$200,$G340)&gt;0,
    COUNTIFS($Y$2:$Y$200,$G340)&gt;0,
    COUNTIFS($Z$2:$Z$200,$G340)&gt;0,
    COUNTIFS($AA$2:$AA$200,$G340)&gt;0,
    COUNTIFS($AB$2:$AB$200,$G340)&gt;0,
    COUNTIFS($AC$2:$AC$200,$G340)&gt;0,
    COUNTIFS($AD$2:$AD$200,$G340)&gt;0,
    COUNTIFS($AE$2:$AE$200,$G340)&gt;0,
    COUNTIFS($AF$2:$AF$200,$G340)&gt;0,
    COUNTIFS($AG$2:$AG$200,$G340)&gt;0,
    COUNTIFS($AH$2:$AH$200,$G340)&gt;0,
    COUNTIFS($AI$2:$AI$200,$G340)&gt;0,
    COUNTIFS($AJ$2:$AJ$200,$G340)&gt;0,
    COUNTIFS($AK$2:$AK$200,$G340)&gt;0,
    COUNTIFS($AL$2:$AL$200,$G340)&gt;0,
    COUNTIFS($AM$2:$AM$200,$G340)&gt;0,
    COUNTIFS($AN$2:$AN$200,$G340)&gt;0,
    COUNTIFS($AO$2:$AO$200,$G340)&gt;0,
    COUNTIFS($AP$2:$AP$200,$G340)&gt;0,
    COUNTIFS($AQ$2:$AQ$200,$G340)&gt;0,
    COUNTIFS($AR$2:$AR$200,$G340)&gt;0,
    COUNTIFS($AS$2:$AS$200,$G340)&gt;0,
    COUNTIFS($AT$2:$AT$200,$G340)&gt;0,
    COUNTIFS($AU$2:$AU$200,$G340)&gt;0,
    COUNTIFS($AV$2:$AV$200,$G340)&gt;0,
    COUNTIFS($AW$2:$AW$200,$G340)&gt;0,
    COUNTIFS($AX$2:$AX$200,$G340)&gt;0,
    COUNTIFS($AY$2:$AY$200,$G340)&gt;0,
    COUNTIFS($AZ$2:$AZ$200,$G340)&gt;0,
    COUNTIFS($BA$2:$BA$200,$G340)&gt;0,
    COUNTIFS($BB$2:$BB$200,$G340)&gt;0,
    COUNTIFS($BC$2:$BC$200,$G340)&gt;0,
    COUNTIFS($BD$2:$BD$200,$G340)&gt;0,
    COUNTIFS($BE$2:$BE$200,$G340)&gt;0,
    COUNTIFS($BF$2:$BF$200,$G340)&gt;0,
    COUNTIFS($BG$2:$BG$200,$G340)&gt;0,
    COUNTIFS($BH$2:$BH$200,$G340)&gt;0,
    COUNTIFS($BI$2:$BI$200,$G340)&gt;0,
    COUNTIFS($BJ$2:$BJ$200,$G340)&gt;0,
    COUNTIFS($BK$2:$BK$200,$G340)&gt;0,
    COUNTIFS($BL$2:$BL$200,$G340)&gt;0,
    COUNTIFS($BM$2:$BM$200,$G340)&gt;0,
   ),
  0)
 ),
"")</f>
        <v>Little</v>
      </c>
      <c r="D340" s="2" t="str" cm="1">
        <f t="array" aca="1" ref="D340" ca="1">IFERROR(
 INDEX(
  _xlfn._xlws.FILTER($V$1:$AY$1,
   TRANSPOSE(
    CHOOSE({1;2;3;4;5;6;7;8;9;10;11;12;13;14;15;16;17;18;19;20;21;22;23;24;25;26;27;28;29;30},
     COUNTIFS($V$2:$V$200,$G340)&gt;0,
     COUNTIFS($W$2:$W$200,$G340)&gt;0,
     COUNTIFS($X$2:$X$200,$G340)&gt;0,
     COUNTIFS($Y$2:$Y$200,$G340)&gt;0,
     COUNTIFS($Z$2:$Z$200,$G340)&gt;0,
     COUNTIFS($AA$2:$AA$200,$G340)&gt;0,
     COUNTIFS($AB$2:$AB$200,$G340)&gt;0,
     COUNTIFS($AC$2:$AC$200,$G340)&gt;0,
     COUNTIFS($AD$2:$AD$200,$G340)&gt;0,
     COUNTIFS($AE$2:$AE$200,$G340)&gt;0,
     COUNTIFS($AF$2:$AF$200,$G340)&gt;0,
     COUNTIFS($AG$2:$AG$200,$G340)&gt;0,
     COUNTIFS($AH$2:$AH$200,$G340)&gt;0,
     COUNTIFS($AI$2:$AI$200,$G340)&gt;0,
     COUNTIFS($AJ$2:$AJ$200,$G340)&gt;0,
     COUNTIFS($AK$2:$AK$200,$G340)&gt;0,
     COUNTIFS($AL$2:$AL$200,$G340)&gt;0,
     COUNTIFS($AM$2:$AM$200,$G340)&gt;0,
     COUNTIFS($AN$2:$AN$200,$G340)&gt;0,
     COUNTIFS($AO$2:$AO$200,$G340)&gt;0,
     COUNTIFS($AP$2:$AP$200,$G340)&gt;0,
     COUNTIFS($AQ$2:$AQ$200,$G340)&gt;0,
     COUNTIFS($AR$2:$AR$200,$G340)&gt;0,
     COUNTIFS($AS$2:$AS$200,$G340)&gt;0,
     COUNTIFS($AT$2:$AT$200,$G340)&gt;0,
     COUNTIFS($AU$2:$AU$200,$G340)&gt;0,
     COUNTIFS($AV$2:$AV$200,$G340)&gt;0,
     COUNTIFS($AW$2:$AW$200,$G340)&gt;0,
     COUNTIFS($AX$2:$AX$200,$G340)&gt;0,
     COUNTIFS($AY$2:$AY$200,$G340)&gt;0
   )),
  ),
  2
 ),
"")</f>
        <v/>
      </c>
      <c r="E340" s="2" t="str" cm="1">
        <f t="array" aca="1" ref="E340" ca="1">IFERROR(
 INDEX(
  _xlfn._xlws.FILTER($V$1:$AY$1,
   TRANSPOSE(
    CHOOSE({1;2;3;4;5;6;7;8;9;10;11;12;13;14;15;16;17;18;19;20;21;22;23;24;25;26;27;28;29;30},
     COUNTIFS($V$2:$V$200,$G340)&gt;0,
     COUNTIFS($W$2:$W$200,$G340)&gt;0,
     COUNTIFS($X$2:$X$200,$G340)&gt;0,
     COUNTIFS($Y$2:$Y$200,$G340)&gt;0,
     COUNTIFS($Z$2:$Z$200,$G340)&gt;0,
     COUNTIFS($AA$2:$AA$200,$G340)&gt;0,
     COUNTIFS($AB$2:$AB$200,$G340)&gt;0,
     COUNTIFS($AC$2:$AC$200,$G340)&gt;0,
     COUNTIFS($AD$2:$AD$200,$G340)&gt;0,
     COUNTIFS($AE$2:$AE$200,$G340)&gt;0,
     COUNTIFS($AF$2:$AF$200,$G340)&gt;0,
     COUNTIFS($AG$2:$AG$200,$G340)&gt;0,
     COUNTIFS($AH$2:$AH$200,$G340)&gt;0,
     COUNTIFS($AI$2:$AI$200,$G340)&gt;0,
     COUNTIFS($AJ$2:$AJ$200,$G340)&gt;0,
     COUNTIFS($AK$2:$AK$200,$G340)&gt;0,
     COUNTIFS($AL$2:$AL$200,$G340)&gt;0,
     COUNTIFS($AM$2:$AM$200,$G340)&gt;0,
     COUNTIFS($AN$2:$AN$200,$G340)&gt;0,
     COUNTIFS($AO$2:$AO$200,$G340)&gt;0,
     COUNTIFS($AP$2:$AP$200,$G340)&gt;0,
     COUNTIFS($AQ$2:$AQ$200,$G340)&gt;0,
     COUNTIFS($AR$2:$AR$200,$G340)&gt;0,
     COUNTIFS($AS$2:$AS$200,$G340)&gt;0,
     COUNTIFS($AT$2:$AT$200,$G340)&gt;0,
     COUNTIFS($AU$2:$AU$200,$G340)&gt;0,
     COUNTIFS($AV$2:$AV$200,$G340)&gt;0,
     COUNTIFS($AW$2:$AW$200,$G340)&gt;0,
     COUNTIFS($AX$2:$AX$200,$G340)&gt;0,
     COUNTIFS($AY$2:$AY$200,$G340)&gt;0
   )),
  ),
  3
 ),
"")</f>
        <v/>
      </c>
      <c r="F340" s="2" t="str" cm="1">
        <f t="array" aca="1" ref="F340" ca="1">IFERROR(
 INDEX(
  _xlfn._xlws.FILTER($V$1:$AY$1,
   TRANSPOSE(
    CHOOSE({1;2;3;4;5;6;7;8;9;10;11;12;13;14;15;16;17;18;19;20;21;22;23;24;25;26;27;28;29;30},
     COUNTIFS($V$2:$V$200,$G340)&gt;0,
     COUNTIFS($W$2:$W$200,$G340)&gt;0,
     COUNTIFS($X$2:$X$200,$G340)&gt;0,
     COUNTIFS($Y$2:$Y$200,$G340)&gt;0,
     COUNTIFS($Z$2:$Z$200,$G340)&gt;0,
     COUNTIFS($AA$2:$AA$200,$G340)&gt;0,
     COUNTIFS($AB$2:$AB$200,$G340)&gt;0,
     COUNTIFS($AC$2:$AC$200,$G340)&gt;0,
     COUNTIFS($AD$2:$AD$200,$G340)&gt;0,
     COUNTIFS($AE$2:$AE$200,$G340)&gt;0,
     COUNTIFS($AF$2:$AF$200,$G340)&gt;0,
     COUNTIFS($AG$2:$AG$200,$G340)&gt;0,
     COUNTIFS($AH$2:$AH$200,$G340)&gt;0,
     COUNTIFS($AI$2:$AI$200,$G340)&gt;0,
     COUNTIFS($AJ$2:$AJ$200,$G340)&gt;0,
     COUNTIFS($AK$2:$AK$200,$G340)&gt;0,
     COUNTIFS($AL$2:$AL$200,$G340)&gt;0,
     COUNTIFS($AM$2:$AM$200,$G340)&gt;0,
     COUNTIFS($AN$2:$AN$200,$G340)&gt;0,
     COUNTIFS($AO$2:$AO$200,$G340)&gt;0,
     COUNTIFS($AP$2:$AP$200,$G340)&gt;0,
     COUNTIFS($AQ$2:$AQ$200,$G340)&gt;0,
     COUNTIFS($AR$2:$AR$200,$G340)&gt;0,
     COUNTIFS($AS$2:$AS$200,$G340)&gt;0,
     COUNTIFS($AT$2:$AT$200,$G340)&gt;0,
     COUNTIFS($AU$2:$AU$200,$G340)&gt;0,
     COUNTIFS($AV$2:$AV$200,$G340)&gt;0,
     COUNTIFS($AW$2:$AW$200,$G340)&gt;0,
     COUNTIFS($AX$2:$AX$200,$G340)&gt;0,
     COUNTIFS($AY$2:$AY$200,$G340)&gt;0
   )),
  ),
  4
 ),
"")</f>
        <v/>
      </c>
      <c r="G340" t="str">
        <f ca="1"/>
        <v>Rabble Rousing</v>
      </c>
      <c r="EU340" t="str">
        <f ca="1"/>
        <v>Thousand-Year Elixir</v>
      </c>
      <c r="EX340" t="str">
        <f ca="1"/>
        <v>Rabble Rousing</v>
      </c>
    </row>
    <row r="341" spans="1:154" x14ac:dyDescent="0.25">
      <c r="A341" s="2" t="str">
        <f t="shared" ca="1" si="16"/>
        <v>5</v>
      </c>
      <c r="B341" s="2">
        <f t="shared" ca="1" si="17"/>
        <v>1</v>
      </c>
      <c r="C341" s="2" t="str">
        <f ca="1">IFERROR(
 INDEX($V$1:$BL$1,
  MATCH(TRUE,
   CHOOSE({1;2;3;4;5;6;7;8;9;10;11;12;13;14;15;16;17;18;19;20;21;22;23;24;25;26;27;28;29;30;31;32;33;34;35;36;37;38;39;40;41;42;43},
    COUNTIFS($V$2:$V$200,$G341)&gt;0,
    COUNTIFS($W$2:$W$200,$G341)&gt;0,
    COUNTIFS($X$2:$X$200,$G341)&gt;0,
    COUNTIFS($Y$2:$Y$200,$G341)&gt;0,
    COUNTIFS($Z$2:$Z$200,$G341)&gt;0,
    COUNTIFS($AA$2:$AA$200,$G341)&gt;0,
    COUNTIFS($AB$2:$AB$200,$G341)&gt;0,
    COUNTIFS($AC$2:$AC$200,$G341)&gt;0,
    COUNTIFS($AD$2:$AD$200,$G341)&gt;0,
    COUNTIFS($AE$2:$AE$200,$G341)&gt;0,
    COUNTIFS($AF$2:$AF$200,$G341)&gt;0,
    COUNTIFS($AG$2:$AG$200,$G341)&gt;0,
    COUNTIFS($AH$2:$AH$200,$G341)&gt;0,
    COUNTIFS($AI$2:$AI$200,$G341)&gt;0,
    COUNTIFS($AJ$2:$AJ$200,$G341)&gt;0,
    COUNTIFS($AK$2:$AK$200,$G341)&gt;0,
    COUNTIFS($AL$2:$AL$200,$G341)&gt;0,
    COUNTIFS($AM$2:$AM$200,$G341)&gt;0,
    COUNTIFS($AN$2:$AN$200,$G341)&gt;0,
    COUNTIFS($AO$2:$AO$200,$G341)&gt;0,
    COUNTIFS($AP$2:$AP$200,$G341)&gt;0,
    COUNTIFS($AQ$2:$AQ$200,$G341)&gt;0,
    COUNTIFS($AR$2:$AR$200,$G341)&gt;0,
    COUNTIFS($AS$2:$AS$200,$G341)&gt;0,
    COUNTIFS($AT$2:$AT$200,$G341)&gt;0,
    COUNTIFS($AU$2:$AU$200,$G341)&gt;0,
    COUNTIFS($AV$2:$AV$200,$G341)&gt;0,
    COUNTIFS($AW$2:$AW$200,$G341)&gt;0,
    COUNTIFS($AX$2:$AX$200,$G341)&gt;0,
    COUNTIFS($AY$2:$AY$200,$G341)&gt;0,
    COUNTIFS($AZ$2:$AZ$200,$G341)&gt;0,
    COUNTIFS($BA$2:$BA$200,$G341)&gt;0,
    COUNTIFS($BB$2:$BB$200,$G341)&gt;0,
    COUNTIFS($BC$2:$BC$200,$G341)&gt;0,
    COUNTIFS($BD$2:$BD$200,$G341)&gt;0,
    COUNTIFS($BE$2:$BE$200,$G341)&gt;0,
    COUNTIFS($BF$2:$BF$200,$G341)&gt;0,
    COUNTIFS($BG$2:$BG$200,$G341)&gt;0,
    COUNTIFS($BH$2:$BH$200,$G341)&gt;0,
    COUNTIFS($BI$2:$BI$200,$G341)&gt;0,
    COUNTIFS($BJ$2:$BJ$200,$G341)&gt;0,
    COUNTIFS($BK$2:$BK$200,$G341)&gt;0,
    COUNTIFS($BL$2:$BL$200,$G341)&gt;0,
    COUNTIFS($BM$2:$BM$200,$G341)&gt;0,
   ),
  0)
 ),
"")</f>
        <v>Little</v>
      </c>
      <c r="D341" s="2" t="str" cm="1">
        <f t="array" aca="1" ref="D341" ca="1">IFERROR(
 INDEX(
  _xlfn._xlws.FILTER($V$1:$AY$1,
   TRANSPOSE(
    CHOOSE({1;2;3;4;5;6;7;8;9;10;11;12;13;14;15;16;17;18;19;20;21;22;23;24;25;26;27;28;29;30},
     COUNTIFS($V$2:$V$200,$G341)&gt;0,
     COUNTIFS($W$2:$W$200,$G341)&gt;0,
     COUNTIFS($X$2:$X$200,$G341)&gt;0,
     COUNTIFS($Y$2:$Y$200,$G341)&gt;0,
     COUNTIFS($Z$2:$Z$200,$G341)&gt;0,
     COUNTIFS($AA$2:$AA$200,$G341)&gt;0,
     COUNTIFS($AB$2:$AB$200,$G341)&gt;0,
     COUNTIFS($AC$2:$AC$200,$G341)&gt;0,
     COUNTIFS($AD$2:$AD$200,$G341)&gt;0,
     COUNTIFS($AE$2:$AE$200,$G341)&gt;0,
     COUNTIFS($AF$2:$AF$200,$G341)&gt;0,
     COUNTIFS($AG$2:$AG$200,$G341)&gt;0,
     COUNTIFS($AH$2:$AH$200,$G341)&gt;0,
     COUNTIFS($AI$2:$AI$200,$G341)&gt;0,
     COUNTIFS($AJ$2:$AJ$200,$G341)&gt;0,
     COUNTIFS($AK$2:$AK$200,$G341)&gt;0,
     COUNTIFS($AL$2:$AL$200,$G341)&gt;0,
     COUNTIFS($AM$2:$AM$200,$G341)&gt;0,
     COUNTIFS($AN$2:$AN$200,$G341)&gt;0,
     COUNTIFS($AO$2:$AO$200,$G341)&gt;0,
     COUNTIFS($AP$2:$AP$200,$G341)&gt;0,
     COUNTIFS($AQ$2:$AQ$200,$G341)&gt;0,
     COUNTIFS($AR$2:$AR$200,$G341)&gt;0,
     COUNTIFS($AS$2:$AS$200,$G341)&gt;0,
     COUNTIFS($AT$2:$AT$200,$G341)&gt;0,
     COUNTIFS($AU$2:$AU$200,$G341)&gt;0,
     COUNTIFS($AV$2:$AV$200,$G341)&gt;0,
     COUNTIFS($AW$2:$AW$200,$G341)&gt;0,
     COUNTIFS($AX$2:$AX$200,$G341)&gt;0,
     COUNTIFS($AY$2:$AY$200,$G341)&gt;0
   )),
  ),
  2
 ),
"")</f>
        <v/>
      </c>
      <c r="E341" s="2" t="str" cm="1">
        <f t="array" aca="1" ref="E341" ca="1">IFERROR(
 INDEX(
  _xlfn._xlws.FILTER($V$1:$AY$1,
   TRANSPOSE(
    CHOOSE({1;2;3;4;5;6;7;8;9;10;11;12;13;14;15;16;17;18;19;20;21;22;23;24;25;26;27;28;29;30},
     COUNTIFS($V$2:$V$200,$G341)&gt;0,
     COUNTIFS($W$2:$W$200,$G341)&gt;0,
     COUNTIFS($X$2:$X$200,$G341)&gt;0,
     COUNTIFS($Y$2:$Y$200,$G341)&gt;0,
     COUNTIFS($Z$2:$Z$200,$G341)&gt;0,
     COUNTIFS($AA$2:$AA$200,$G341)&gt;0,
     COUNTIFS($AB$2:$AB$200,$G341)&gt;0,
     COUNTIFS($AC$2:$AC$200,$G341)&gt;0,
     COUNTIFS($AD$2:$AD$200,$G341)&gt;0,
     COUNTIFS($AE$2:$AE$200,$G341)&gt;0,
     COUNTIFS($AF$2:$AF$200,$G341)&gt;0,
     COUNTIFS($AG$2:$AG$200,$G341)&gt;0,
     COUNTIFS($AH$2:$AH$200,$G341)&gt;0,
     COUNTIFS($AI$2:$AI$200,$G341)&gt;0,
     COUNTIFS($AJ$2:$AJ$200,$G341)&gt;0,
     COUNTIFS($AK$2:$AK$200,$G341)&gt;0,
     COUNTIFS($AL$2:$AL$200,$G341)&gt;0,
     COUNTIFS($AM$2:$AM$200,$G341)&gt;0,
     COUNTIFS($AN$2:$AN$200,$G341)&gt;0,
     COUNTIFS($AO$2:$AO$200,$G341)&gt;0,
     COUNTIFS($AP$2:$AP$200,$G341)&gt;0,
     COUNTIFS($AQ$2:$AQ$200,$G341)&gt;0,
     COUNTIFS($AR$2:$AR$200,$G341)&gt;0,
     COUNTIFS($AS$2:$AS$200,$G341)&gt;0,
     COUNTIFS($AT$2:$AT$200,$G341)&gt;0,
     COUNTIFS($AU$2:$AU$200,$G341)&gt;0,
     COUNTIFS($AV$2:$AV$200,$G341)&gt;0,
     COUNTIFS($AW$2:$AW$200,$G341)&gt;0,
     COUNTIFS($AX$2:$AX$200,$G341)&gt;0,
     COUNTIFS($AY$2:$AY$200,$G341)&gt;0
   )),
  ),
  3
 ),
"")</f>
        <v/>
      </c>
      <c r="F341" s="2" t="str" cm="1">
        <f t="array" aca="1" ref="F341" ca="1">IFERROR(
 INDEX(
  _xlfn._xlws.FILTER($V$1:$AY$1,
   TRANSPOSE(
    CHOOSE({1;2;3;4;5;6;7;8;9;10;11;12;13;14;15;16;17;18;19;20;21;22;23;24;25;26;27;28;29;30},
     COUNTIFS($V$2:$V$200,$G341)&gt;0,
     COUNTIFS($W$2:$W$200,$G341)&gt;0,
     COUNTIFS($X$2:$X$200,$G341)&gt;0,
     COUNTIFS($Y$2:$Y$200,$G341)&gt;0,
     COUNTIFS($Z$2:$Z$200,$G341)&gt;0,
     COUNTIFS($AA$2:$AA$200,$G341)&gt;0,
     COUNTIFS($AB$2:$AB$200,$G341)&gt;0,
     COUNTIFS($AC$2:$AC$200,$G341)&gt;0,
     COUNTIFS($AD$2:$AD$200,$G341)&gt;0,
     COUNTIFS($AE$2:$AE$200,$G341)&gt;0,
     COUNTIFS($AF$2:$AF$200,$G341)&gt;0,
     COUNTIFS($AG$2:$AG$200,$G341)&gt;0,
     COUNTIFS($AH$2:$AH$200,$G341)&gt;0,
     COUNTIFS($AI$2:$AI$200,$G341)&gt;0,
     COUNTIFS($AJ$2:$AJ$200,$G341)&gt;0,
     COUNTIFS($AK$2:$AK$200,$G341)&gt;0,
     COUNTIFS($AL$2:$AL$200,$G341)&gt;0,
     COUNTIFS($AM$2:$AM$200,$G341)&gt;0,
     COUNTIFS($AN$2:$AN$200,$G341)&gt;0,
     COUNTIFS($AO$2:$AO$200,$G341)&gt;0,
     COUNTIFS($AP$2:$AP$200,$G341)&gt;0,
     COUNTIFS($AQ$2:$AQ$200,$G341)&gt;0,
     COUNTIFS($AR$2:$AR$200,$G341)&gt;0,
     COUNTIFS($AS$2:$AS$200,$G341)&gt;0,
     COUNTIFS($AT$2:$AT$200,$G341)&gt;0,
     COUNTIFS($AU$2:$AU$200,$G341)&gt;0,
     COUNTIFS($AV$2:$AV$200,$G341)&gt;0,
     COUNTIFS($AW$2:$AW$200,$G341)&gt;0,
     COUNTIFS($AX$2:$AX$200,$G341)&gt;0,
     COUNTIFS($AY$2:$AY$200,$G341)&gt;0
   )),
  ),
  4
 ),
"")</f>
        <v/>
      </c>
      <c r="G341" t="str">
        <f ca="1"/>
        <v>Radiant Summit</v>
      </c>
      <c r="EU341" t="str">
        <f ca="1"/>
        <v>Thran Dynamo</v>
      </c>
      <c r="EX341" t="str">
        <f ca="1"/>
        <v>Radiant Summit</v>
      </c>
    </row>
    <row r="342" spans="1:154" x14ac:dyDescent="0.25">
      <c r="A342" s="2" t="str">
        <f t="shared" ca="1" si="16"/>
        <v>5</v>
      </c>
      <c r="B342" s="2">
        <f t="shared" ca="1" si="17"/>
        <v>1</v>
      </c>
      <c r="C342" s="2" t="str">
        <f ca="1">IFERROR(
 INDEX($V$1:$BL$1,
  MATCH(TRUE,
   CHOOSE({1;2;3;4;5;6;7;8;9;10;11;12;13;14;15;16;17;18;19;20;21;22;23;24;25;26;27;28;29;30;31;32;33;34;35;36;37;38;39;40;41;42;43},
    COUNTIFS($V$2:$V$200,$G342)&gt;0,
    COUNTIFS($W$2:$W$200,$G342)&gt;0,
    COUNTIFS($X$2:$X$200,$G342)&gt;0,
    COUNTIFS($Y$2:$Y$200,$G342)&gt;0,
    COUNTIFS($Z$2:$Z$200,$G342)&gt;0,
    COUNTIFS($AA$2:$AA$200,$G342)&gt;0,
    COUNTIFS($AB$2:$AB$200,$G342)&gt;0,
    COUNTIFS($AC$2:$AC$200,$G342)&gt;0,
    COUNTIFS($AD$2:$AD$200,$G342)&gt;0,
    COUNTIFS($AE$2:$AE$200,$G342)&gt;0,
    COUNTIFS($AF$2:$AF$200,$G342)&gt;0,
    COUNTIFS($AG$2:$AG$200,$G342)&gt;0,
    COUNTIFS($AH$2:$AH$200,$G342)&gt;0,
    COUNTIFS($AI$2:$AI$200,$G342)&gt;0,
    COUNTIFS($AJ$2:$AJ$200,$G342)&gt;0,
    COUNTIFS($AK$2:$AK$200,$G342)&gt;0,
    COUNTIFS($AL$2:$AL$200,$G342)&gt;0,
    COUNTIFS($AM$2:$AM$200,$G342)&gt;0,
    COUNTIFS($AN$2:$AN$200,$G342)&gt;0,
    COUNTIFS($AO$2:$AO$200,$G342)&gt;0,
    COUNTIFS($AP$2:$AP$200,$G342)&gt;0,
    COUNTIFS($AQ$2:$AQ$200,$G342)&gt;0,
    COUNTIFS($AR$2:$AR$200,$G342)&gt;0,
    COUNTIFS($AS$2:$AS$200,$G342)&gt;0,
    COUNTIFS($AT$2:$AT$200,$G342)&gt;0,
    COUNTIFS($AU$2:$AU$200,$G342)&gt;0,
    COUNTIFS($AV$2:$AV$200,$G342)&gt;0,
    COUNTIFS($AW$2:$AW$200,$G342)&gt;0,
    COUNTIFS($AX$2:$AX$200,$G342)&gt;0,
    COUNTIFS($AY$2:$AY$200,$G342)&gt;0,
    COUNTIFS($AZ$2:$AZ$200,$G342)&gt;0,
    COUNTIFS($BA$2:$BA$200,$G342)&gt;0,
    COUNTIFS($BB$2:$BB$200,$G342)&gt;0,
    COUNTIFS($BC$2:$BC$200,$G342)&gt;0,
    COUNTIFS($BD$2:$BD$200,$G342)&gt;0,
    COUNTIFS($BE$2:$BE$200,$G342)&gt;0,
    COUNTIFS($BF$2:$BF$200,$G342)&gt;0,
    COUNTIFS($BG$2:$BG$200,$G342)&gt;0,
    COUNTIFS($BH$2:$BH$200,$G342)&gt;0,
    COUNTIFS($BI$2:$BI$200,$G342)&gt;0,
    COUNTIFS($BJ$2:$BJ$200,$G342)&gt;0,
    COUNTIFS($BK$2:$BK$200,$G342)&gt;0,
    COUNTIFS($BL$2:$BL$200,$G342)&gt;0,
    COUNTIFS($BM$2:$BM$200,$G342)&gt;0,
   ),
  0)
 ),
"")</f>
        <v>Fractius</v>
      </c>
      <c r="D342" s="2" t="str" cm="1">
        <f t="array" aca="1" ref="D342" ca="1">IFERROR(
 INDEX(
  _xlfn._xlws.FILTER($V$1:$AY$1,
   TRANSPOSE(
    CHOOSE({1;2;3;4;5;6;7;8;9;10;11;12;13;14;15;16;17;18;19;20;21;22;23;24;25;26;27;28;29;30},
     COUNTIFS($V$2:$V$200,$G342)&gt;0,
     COUNTIFS($W$2:$W$200,$G342)&gt;0,
     COUNTIFS($X$2:$X$200,$G342)&gt;0,
     COUNTIFS($Y$2:$Y$200,$G342)&gt;0,
     COUNTIFS($Z$2:$Z$200,$G342)&gt;0,
     COUNTIFS($AA$2:$AA$200,$G342)&gt;0,
     COUNTIFS($AB$2:$AB$200,$G342)&gt;0,
     COUNTIFS($AC$2:$AC$200,$G342)&gt;0,
     COUNTIFS($AD$2:$AD$200,$G342)&gt;0,
     COUNTIFS($AE$2:$AE$200,$G342)&gt;0,
     COUNTIFS($AF$2:$AF$200,$G342)&gt;0,
     COUNTIFS($AG$2:$AG$200,$G342)&gt;0,
     COUNTIFS($AH$2:$AH$200,$G342)&gt;0,
     COUNTIFS($AI$2:$AI$200,$G342)&gt;0,
     COUNTIFS($AJ$2:$AJ$200,$G342)&gt;0,
     COUNTIFS($AK$2:$AK$200,$G342)&gt;0,
     COUNTIFS($AL$2:$AL$200,$G342)&gt;0,
     COUNTIFS($AM$2:$AM$200,$G342)&gt;0,
     COUNTIFS($AN$2:$AN$200,$G342)&gt;0,
     COUNTIFS($AO$2:$AO$200,$G342)&gt;0,
     COUNTIFS($AP$2:$AP$200,$G342)&gt;0,
     COUNTIFS($AQ$2:$AQ$200,$G342)&gt;0,
     COUNTIFS($AR$2:$AR$200,$G342)&gt;0,
     COUNTIFS($AS$2:$AS$200,$G342)&gt;0,
     COUNTIFS($AT$2:$AT$200,$G342)&gt;0,
     COUNTIFS($AU$2:$AU$200,$G342)&gt;0,
     COUNTIFS($AV$2:$AV$200,$G342)&gt;0,
     COUNTIFS($AW$2:$AW$200,$G342)&gt;0,
     COUNTIFS($AX$2:$AX$200,$G342)&gt;0,
     COUNTIFS($AY$2:$AY$200,$G342)&gt;0
   )),
  ),
  2
 ),
"")</f>
        <v/>
      </c>
      <c r="E342" s="2" t="str" cm="1">
        <f t="array" aca="1" ref="E342" ca="1">IFERROR(
 INDEX(
  _xlfn._xlws.FILTER($V$1:$AY$1,
   TRANSPOSE(
    CHOOSE({1;2;3;4;5;6;7;8;9;10;11;12;13;14;15;16;17;18;19;20;21;22;23;24;25;26;27;28;29;30},
     COUNTIFS($V$2:$V$200,$G342)&gt;0,
     COUNTIFS($W$2:$W$200,$G342)&gt;0,
     COUNTIFS($X$2:$X$200,$G342)&gt;0,
     COUNTIFS($Y$2:$Y$200,$G342)&gt;0,
     COUNTIFS($Z$2:$Z$200,$G342)&gt;0,
     COUNTIFS($AA$2:$AA$200,$G342)&gt;0,
     COUNTIFS($AB$2:$AB$200,$G342)&gt;0,
     COUNTIFS($AC$2:$AC$200,$G342)&gt;0,
     COUNTIFS($AD$2:$AD$200,$G342)&gt;0,
     COUNTIFS($AE$2:$AE$200,$G342)&gt;0,
     COUNTIFS($AF$2:$AF$200,$G342)&gt;0,
     COUNTIFS($AG$2:$AG$200,$G342)&gt;0,
     COUNTIFS($AH$2:$AH$200,$G342)&gt;0,
     COUNTIFS($AI$2:$AI$200,$G342)&gt;0,
     COUNTIFS($AJ$2:$AJ$200,$G342)&gt;0,
     COUNTIFS($AK$2:$AK$200,$G342)&gt;0,
     COUNTIFS($AL$2:$AL$200,$G342)&gt;0,
     COUNTIFS($AM$2:$AM$200,$G342)&gt;0,
     COUNTIFS($AN$2:$AN$200,$G342)&gt;0,
     COUNTIFS($AO$2:$AO$200,$G342)&gt;0,
     COUNTIFS($AP$2:$AP$200,$G342)&gt;0,
     COUNTIFS($AQ$2:$AQ$200,$G342)&gt;0,
     COUNTIFS($AR$2:$AR$200,$G342)&gt;0,
     COUNTIFS($AS$2:$AS$200,$G342)&gt;0,
     COUNTIFS($AT$2:$AT$200,$G342)&gt;0,
     COUNTIFS($AU$2:$AU$200,$G342)&gt;0,
     COUNTIFS($AV$2:$AV$200,$G342)&gt;0,
     COUNTIFS($AW$2:$AW$200,$G342)&gt;0,
     COUNTIFS($AX$2:$AX$200,$G342)&gt;0,
     COUNTIFS($AY$2:$AY$200,$G342)&gt;0
   )),
  ),
  3
 ),
"")</f>
        <v/>
      </c>
      <c r="F342" s="2" t="str" cm="1">
        <f t="array" aca="1" ref="F342" ca="1">IFERROR(
 INDEX(
  _xlfn._xlws.FILTER($V$1:$AY$1,
   TRANSPOSE(
    CHOOSE({1;2;3;4;5;6;7;8;9;10;11;12;13;14;15;16;17;18;19;20;21;22;23;24;25;26;27;28;29;30},
     COUNTIFS($V$2:$V$200,$G342)&gt;0,
     COUNTIFS($W$2:$W$200,$G342)&gt;0,
     COUNTIFS($X$2:$X$200,$G342)&gt;0,
     COUNTIFS($Y$2:$Y$200,$G342)&gt;0,
     COUNTIFS($Z$2:$Z$200,$G342)&gt;0,
     COUNTIFS($AA$2:$AA$200,$G342)&gt;0,
     COUNTIFS($AB$2:$AB$200,$G342)&gt;0,
     COUNTIFS($AC$2:$AC$200,$G342)&gt;0,
     COUNTIFS($AD$2:$AD$200,$G342)&gt;0,
     COUNTIFS($AE$2:$AE$200,$G342)&gt;0,
     COUNTIFS($AF$2:$AF$200,$G342)&gt;0,
     COUNTIFS($AG$2:$AG$200,$G342)&gt;0,
     COUNTIFS($AH$2:$AH$200,$G342)&gt;0,
     COUNTIFS($AI$2:$AI$200,$G342)&gt;0,
     COUNTIFS($AJ$2:$AJ$200,$G342)&gt;0,
     COUNTIFS($AK$2:$AK$200,$G342)&gt;0,
     COUNTIFS($AL$2:$AL$200,$G342)&gt;0,
     COUNTIFS($AM$2:$AM$200,$G342)&gt;0,
     COUNTIFS($AN$2:$AN$200,$G342)&gt;0,
     COUNTIFS($AO$2:$AO$200,$G342)&gt;0,
     COUNTIFS($AP$2:$AP$200,$G342)&gt;0,
     COUNTIFS($AQ$2:$AQ$200,$G342)&gt;0,
     COUNTIFS($AR$2:$AR$200,$G342)&gt;0,
     COUNTIFS($AS$2:$AS$200,$G342)&gt;0,
     COUNTIFS($AT$2:$AT$200,$G342)&gt;0,
     COUNTIFS($AU$2:$AU$200,$G342)&gt;0,
     COUNTIFS($AV$2:$AV$200,$G342)&gt;0,
     COUNTIFS($AW$2:$AW$200,$G342)&gt;0,
     COUNTIFS($AX$2:$AX$200,$G342)&gt;0,
     COUNTIFS($AY$2:$AY$200,$G342)&gt;0
   )),
  ),
  4
 ),
"")</f>
        <v/>
      </c>
      <c r="G342" t="str">
        <f ca="1"/>
        <v>Raffine's Tower</v>
      </c>
      <c r="EU342" t="str">
        <f ca="1"/>
        <v>Three Steps Ahead</v>
      </c>
      <c r="EX342" t="str">
        <f ca="1"/>
        <v>Raffine's Tower</v>
      </c>
    </row>
    <row r="343" spans="1:154" x14ac:dyDescent="0.25">
      <c r="A343" s="2" t="str">
        <f t="shared" ca="1" si="16"/>
        <v>5</v>
      </c>
      <c r="B343" s="2">
        <f t="shared" ca="1" si="17"/>
        <v>2</v>
      </c>
      <c r="C343" s="2" t="str">
        <f ca="1">IFERROR(
 INDEX($V$1:$BL$1,
  MATCH(TRUE,
   CHOOSE({1;2;3;4;5;6;7;8;9;10;11;12;13;14;15;16;17;18;19;20;21;22;23;24;25;26;27;28;29;30;31;32;33;34;35;36;37;38;39;40;41;42;43},
    COUNTIFS($V$2:$V$200,$G343)&gt;0,
    COUNTIFS($W$2:$W$200,$G343)&gt;0,
    COUNTIFS($X$2:$X$200,$G343)&gt;0,
    COUNTIFS($Y$2:$Y$200,$G343)&gt;0,
    COUNTIFS($Z$2:$Z$200,$G343)&gt;0,
    COUNTIFS($AA$2:$AA$200,$G343)&gt;0,
    COUNTIFS($AB$2:$AB$200,$G343)&gt;0,
    COUNTIFS($AC$2:$AC$200,$G343)&gt;0,
    COUNTIFS($AD$2:$AD$200,$G343)&gt;0,
    COUNTIFS($AE$2:$AE$200,$G343)&gt;0,
    COUNTIFS($AF$2:$AF$200,$G343)&gt;0,
    COUNTIFS($AG$2:$AG$200,$G343)&gt;0,
    COUNTIFS($AH$2:$AH$200,$G343)&gt;0,
    COUNTIFS($AI$2:$AI$200,$G343)&gt;0,
    COUNTIFS($AJ$2:$AJ$200,$G343)&gt;0,
    COUNTIFS($AK$2:$AK$200,$G343)&gt;0,
    COUNTIFS($AL$2:$AL$200,$G343)&gt;0,
    COUNTIFS($AM$2:$AM$200,$G343)&gt;0,
    COUNTIFS($AN$2:$AN$200,$G343)&gt;0,
    COUNTIFS($AO$2:$AO$200,$G343)&gt;0,
    COUNTIFS($AP$2:$AP$200,$G343)&gt;0,
    COUNTIFS($AQ$2:$AQ$200,$G343)&gt;0,
    COUNTIFS($AR$2:$AR$200,$G343)&gt;0,
    COUNTIFS($AS$2:$AS$200,$G343)&gt;0,
    COUNTIFS($AT$2:$AT$200,$G343)&gt;0,
    COUNTIFS($AU$2:$AU$200,$G343)&gt;0,
    COUNTIFS($AV$2:$AV$200,$G343)&gt;0,
    COUNTIFS($AW$2:$AW$200,$G343)&gt;0,
    COUNTIFS($AX$2:$AX$200,$G343)&gt;0,
    COUNTIFS($AY$2:$AY$200,$G343)&gt;0,
    COUNTIFS($AZ$2:$AZ$200,$G343)&gt;0,
    COUNTIFS($BA$2:$BA$200,$G343)&gt;0,
    COUNTIFS($BB$2:$BB$200,$G343)&gt;0,
    COUNTIFS($BC$2:$BC$200,$G343)&gt;0,
    COUNTIFS($BD$2:$BD$200,$G343)&gt;0,
    COUNTIFS($BE$2:$BE$200,$G343)&gt;0,
    COUNTIFS($BF$2:$BF$200,$G343)&gt;0,
    COUNTIFS($BG$2:$BG$200,$G343)&gt;0,
    COUNTIFS($BH$2:$BH$200,$G343)&gt;0,
    COUNTIFS($BI$2:$BI$200,$G343)&gt;0,
    COUNTIFS($BJ$2:$BJ$200,$G343)&gt;0,
    COUNTIFS($BK$2:$BK$200,$G343)&gt;0,
    COUNTIFS($BL$2:$BL$200,$G343)&gt;0,
    COUNTIFS($BM$2:$BM$200,$G343)&gt;0,
   ),
  0)
 ),
"")</f>
        <v>Zuko</v>
      </c>
      <c r="D343" s="2" t="str" cm="1">
        <f t="array" aca="1" ref="D343" ca="1">IFERROR(
 INDEX(
  _xlfn._xlws.FILTER($V$1:$AY$1,
   TRANSPOSE(
    CHOOSE({1;2;3;4;5;6;7;8;9;10;11;12;13;14;15;16;17;18;19;20;21;22;23;24;25;26;27;28;29;30},
     COUNTIFS($V$2:$V$200,$G343)&gt;0,
     COUNTIFS($W$2:$W$200,$G343)&gt;0,
     COUNTIFS($X$2:$X$200,$G343)&gt;0,
     COUNTIFS($Y$2:$Y$200,$G343)&gt;0,
     COUNTIFS($Z$2:$Z$200,$G343)&gt;0,
     COUNTIFS($AA$2:$AA$200,$G343)&gt;0,
     COUNTIFS($AB$2:$AB$200,$G343)&gt;0,
     COUNTIFS($AC$2:$AC$200,$G343)&gt;0,
     COUNTIFS($AD$2:$AD$200,$G343)&gt;0,
     COUNTIFS($AE$2:$AE$200,$G343)&gt;0,
     COUNTIFS($AF$2:$AF$200,$G343)&gt;0,
     COUNTIFS($AG$2:$AG$200,$G343)&gt;0,
     COUNTIFS($AH$2:$AH$200,$G343)&gt;0,
     COUNTIFS($AI$2:$AI$200,$G343)&gt;0,
     COUNTIFS($AJ$2:$AJ$200,$G343)&gt;0,
     COUNTIFS($AK$2:$AK$200,$G343)&gt;0,
     COUNTIFS($AL$2:$AL$200,$G343)&gt;0,
     COUNTIFS($AM$2:$AM$200,$G343)&gt;0,
     COUNTIFS($AN$2:$AN$200,$G343)&gt;0,
     COUNTIFS($AO$2:$AO$200,$G343)&gt;0,
     COUNTIFS($AP$2:$AP$200,$G343)&gt;0,
     COUNTIFS($AQ$2:$AQ$200,$G343)&gt;0,
     COUNTIFS($AR$2:$AR$200,$G343)&gt;0,
     COUNTIFS($AS$2:$AS$200,$G343)&gt;0,
     COUNTIFS($AT$2:$AT$200,$G343)&gt;0,
     COUNTIFS($AU$2:$AU$200,$G343)&gt;0,
     COUNTIFS($AV$2:$AV$200,$G343)&gt;0,
     COUNTIFS($AW$2:$AW$200,$G343)&gt;0,
     COUNTIFS($AX$2:$AX$200,$G343)&gt;0,
     COUNTIFS($AY$2:$AY$200,$G343)&gt;0
   )),
  ),
  2
 ),
"")</f>
        <v/>
      </c>
      <c r="E343" s="2" t="str" cm="1">
        <f t="array" aca="1" ref="E343" ca="1">IFERROR(
 INDEX(
  _xlfn._xlws.FILTER($V$1:$AY$1,
   TRANSPOSE(
    CHOOSE({1;2;3;4;5;6;7;8;9;10;11;12;13;14;15;16;17;18;19;20;21;22;23;24;25;26;27;28;29;30},
     COUNTIFS($V$2:$V$200,$G343)&gt;0,
     COUNTIFS($W$2:$W$200,$G343)&gt;0,
     COUNTIFS($X$2:$X$200,$G343)&gt;0,
     COUNTIFS($Y$2:$Y$200,$G343)&gt;0,
     COUNTIFS($Z$2:$Z$200,$G343)&gt;0,
     COUNTIFS($AA$2:$AA$200,$G343)&gt;0,
     COUNTIFS($AB$2:$AB$200,$G343)&gt;0,
     COUNTIFS($AC$2:$AC$200,$G343)&gt;0,
     COUNTIFS($AD$2:$AD$200,$G343)&gt;0,
     COUNTIFS($AE$2:$AE$200,$G343)&gt;0,
     COUNTIFS($AF$2:$AF$200,$G343)&gt;0,
     COUNTIFS($AG$2:$AG$200,$G343)&gt;0,
     COUNTIFS($AH$2:$AH$200,$G343)&gt;0,
     COUNTIFS($AI$2:$AI$200,$G343)&gt;0,
     COUNTIFS($AJ$2:$AJ$200,$G343)&gt;0,
     COUNTIFS($AK$2:$AK$200,$G343)&gt;0,
     COUNTIFS($AL$2:$AL$200,$G343)&gt;0,
     COUNTIFS($AM$2:$AM$200,$G343)&gt;0,
     COUNTIFS($AN$2:$AN$200,$G343)&gt;0,
     COUNTIFS($AO$2:$AO$200,$G343)&gt;0,
     COUNTIFS($AP$2:$AP$200,$G343)&gt;0,
     COUNTIFS($AQ$2:$AQ$200,$G343)&gt;0,
     COUNTIFS($AR$2:$AR$200,$G343)&gt;0,
     COUNTIFS($AS$2:$AS$200,$G343)&gt;0,
     COUNTIFS($AT$2:$AT$200,$G343)&gt;0,
     COUNTIFS($AU$2:$AU$200,$G343)&gt;0,
     COUNTIFS($AV$2:$AV$200,$G343)&gt;0,
     COUNTIFS($AW$2:$AW$200,$G343)&gt;0,
     COUNTIFS($AX$2:$AX$200,$G343)&gt;0,
     COUNTIFS($AY$2:$AY$200,$G343)&gt;0
   )),
  ),
  3
 ),
"")</f>
        <v/>
      </c>
      <c r="F343" s="2" t="str" cm="1">
        <f t="array" aca="1" ref="F343" ca="1">IFERROR(
 INDEX(
  _xlfn._xlws.FILTER($V$1:$AY$1,
   TRANSPOSE(
    CHOOSE({1;2;3;4;5;6;7;8;9;10;11;12;13;14;15;16;17;18;19;20;21;22;23;24;25;26;27;28;29;30},
     COUNTIFS($V$2:$V$200,$G343)&gt;0,
     COUNTIFS($W$2:$W$200,$G343)&gt;0,
     COUNTIFS($X$2:$X$200,$G343)&gt;0,
     COUNTIFS($Y$2:$Y$200,$G343)&gt;0,
     COUNTIFS($Z$2:$Z$200,$G343)&gt;0,
     COUNTIFS($AA$2:$AA$200,$G343)&gt;0,
     COUNTIFS($AB$2:$AB$200,$G343)&gt;0,
     COUNTIFS($AC$2:$AC$200,$G343)&gt;0,
     COUNTIFS($AD$2:$AD$200,$G343)&gt;0,
     COUNTIFS($AE$2:$AE$200,$G343)&gt;0,
     COUNTIFS($AF$2:$AF$200,$G343)&gt;0,
     COUNTIFS($AG$2:$AG$200,$G343)&gt;0,
     COUNTIFS($AH$2:$AH$200,$G343)&gt;0,
     COUNTIFS($AI$2:$AI$200,$G343)&gt;0,
     COUNTIFS($AJ$2:$AJ$200,$G343)&gt;0,
     COUNTIFS($AK$2:$AK$200,$G343)&gt;0,
     COUNTIFS($AL$2:$AL$200,$G343)&gt;0,
     COUNTIFS($AM$2:$AM$200,$G343)&gt;0,
     COUNTIFS($AN$2:$AN$200,$G343)&gt;0,
     COUNTIFS($AO$2:$AO$200,$G343)&gt;0,
     COUNTIFS($AP$2:$AP$200,$G343)&gt;0,
     COUNTIFS($AQ$2:$AQ$200,$G343)&gt;0,
     COUNTIFS($AR$2:$AR$200,$G343)&gt;0,
     COUNTIFS($AS$2:$AS$200,$G343)&gt;0,
     COUNTIFS($AT$2:$AT$200,$G343)&gt;0,
     COUNTIFS($AU$2:$AU$200,$G343)&gt;0,
     COUNTIFS($AV$2:$AV$200,$G343)&gt;0,
     COUNTIFS($AW$2:$AW$200,$G343)&gt;0,
     COUNTIFS($AX$2:$AX$200,$G343)&gt;0,
     COUNTIFS($AY$2:$AY$200,$G343)&gt;0
   )),
  ),
  4
 ),
"")</f>
        <v/>
      </c>
      <c r="G343" t="str">
        <f ca="1"/>
        <v>Rakdos Charm</v>
      </c>
      <c r="EU343" t="str">
        <f ca="1"/>
        <v>Three Tree City</v>
      </c>
      <c r="EX343" t="str">
        <f ca="1"/>
        <v>Rakdos Charm</v>
      </c>
    </row>
    <row r="344" spans="1:154" x14ac:dyDescent="0.25">
      <c r="A344" s="2" t="str">
        <f t="shared" ca="1" si="16"/>
        <v>5</v>
      </c>
      <c r="B344" s="2">
        <f t="shared" ca="1" si="17"/>
        <v>1</v>
      </c>
      <c r="C344" s="2" t="str">
        <f ca="1">IFERROR(
 INDEX($V$1:$BL$1,
  MATCH(TRUE,
   CHOOSE({1;2;3;4;5;6;7;8;9;10;11;12;13;14;15;16;17;18;19;20;21;22;23;24;25;26;27;28;29;30;31;32;33;34;35;36;37;38;39;40;41;42;43},
    COUNTIFS($V$2:$V$200,$G344)&gt;0,
    COUNTIFS($W$2:$W$200,$G344)&gt;0,
    COUNTIFS($X$2:$X$200,$G344)&gt;0,
    COUNTIFS($Y$2:$Y$200,$G344)&gt;0,
    COUNTIFS($Z$2:$Z$200,$G344)&gt;0,
    COUNTIFS($AA$2:$AA$200,$G344)&gt;0,
    COUNTIFS($AB$2:$AB$200,$G344)&gt;0,
    COUNTIFS($AC$2:$AC$200,$G344)&gt;0,
    COUNTIFS($AD$2:$AD$200,$G344)&gt;0,
    COUNTIFS($AE$2:$AE$200,$G344)&gt;0,
    COUNTIFS($AF$2:$AF$200,$G344)&gt;0,
    COUNTIFS($AG$2:$AG$200,$G344)&gt;0,
    COUNTIFS($AH$2:$AH$200,$G344)&gt;0,
    COUNTIFS($AI$2:$AI$200,$G344)&gt;0,
    COUNTIFS($AJ$2:$AJ$200,$G344)&gt;0,
    COUNTIFS($AK$2:$AK$200,$G344)&gt;0,
    COUNTIFS($AL$2:$AL$200,$G344)&gt;0,
    COUNTIFS($AM$2:$AM$200,$G344)&gt;0,
    COUNTIFS($AN$2:$AN$200,$G344)&gt;0,
    COUNTIFS($AO$2:$AO$200,$G344)&gt;0,
    COUNTIFS($AP$2:$AP$200,$G344)&gt;0,
    COUNTIFS($AQ$2:$AQ$200,$G344)&gt;0,
    COUNTIFS($AR$2:$AR$200,$G344)&gt;0,
    COUNTIFS($AS$2:$AS$200,$G344)&gt;0,
    COUNTIFS($AT$2:$AT$200,$G344)&gt;0,
    COUNTIFS($AU$2:$AU$200,$G344)&gt;0,
    COUNTIFS($AV$2:$AV$200,$G344)&gt;0,
    COUNTIFS($AW$2:$AW$200,$G344)&gt;0,
    COUNTIFS($AX$2:$AX$200,$G344)&gt;0,
    COUNTIFS($AY$2:$AY$200,$G344)&gt;0,
    COUNTIFS($AZ$2:$AZ$200,$G344)&gt;0,
    COUNTIFS($BA$2:$BA$200,$G344)&gt;0,
    COUNTIFS($BB$2:$BB$200,$G344)&gt;0,
    COUNTIFS($BC$2:$BC$200,$G344)&gt;0,
    COUNTIFS($BD$2:$BD$200,$G344)&gt;0,
    COUNTIFS($BE$2:$BE$200,$G344)&gt;0,
    COUNTIFS($BF$2:$BF$200,$G344)&gt;0,
    COUNTIFS($BG$2:$BG$200,$G344)&gt;0,
    COUNTIFS($BH$2:$BH$200,$G344)&gt;0,
    COUNTIFS($BI$2:$BI$200,$G344)&gt;0,
    COUNTIFS($BJ$2:$BJ$200,$G344)&gt;0,
    COUNTIFS($BK$2:$BK$200,$G344)&gt;0,
    COUNTIFS($BL$2:$BL$200,$G344)&gt;0,
    COUNTIFS($BM$2:$BM$200,$G344)&gt;0,
   ),
  0)
 ),
"")</f>
        <v>4cRash</v>
      </c>
      <c r="D344" s="2" t="str" cm="1">
        <f t="array" aca="1" ref="D344" ca="1">IFERROR(
 INDEX(
  _xlfn._xlws.FILTER($V$1:$AY$1,
   TRANSPOSE(
    CHOOSE({1;2;3;4;5;6;7;8;9;10;11;12;13;14;15;16;17;18;19;20;21;22;23;24;25;26;27;28;29;30},
     COUNTIFS($V$2:$V$200,$G344)&gt;0,
     COUNTIFS($W$2:$W$200,$G344)&gt;0,
     COUNTIFS($X$2:$X$200,$G344)&gt;0,
     COUNTIFS($Y$2:$Y$200,$G344)&gt;0,
     COUNTIFS($Z$2:$Z$200,$G344)&gt;0,
     COUNTIFS($AA$2:$AA$200,$G344)&gt;0,
     COUNTIFS($AB$2:$AB$200,$G344)&gt;0,
     COUNTIFS($AC$2:$AC$200,$G344)&gt;0,
     COUNTIFS($AD$2:$AD$200,$G344)&gt;0,
     COUNTIFS($AE$2:$AE$200,$G344)&gt;0,
     COUNTIFS($AF$2:$AF$200,$G344)&gt;0,
     COUNTIFS($AG$2:$AG$200,$G344)&gt;0,
     COUNTIFS($AH$2:$AH$200,$G344)&gt;0,
     COUNTIFS($AI$2:$AI$200,$G344)&gt;0,
     COUNTIFS($AJ$2:$AJ$200,$G344)&gt;0,
     COUNTIFS($AK$2:$AK$200,$G344)&gt;0,
     COUNTIFS($AL$2:$AL$200,$G344)&gt;0,
     COUNTIFS($AM$2:$AM$200,$G344)&gt;0,
     COUNTIFS($AN$2:$AN$200,$G344)&gt;0,
     COUNTIFS($AO$2:$AO$200,$G344)&gt;0,
     COUNTIFS($AP$2:$AP$200,$G344)&gt;0,
     COUNTIFS($AQ$2:$AQ$200,$G344)&gt;0,
     COUNTIFS($AR$2:$AR$200,$G344)&gt;0,
     COUNTIFS($AS$2:$AS$200,$G344)&gt;0,
     COUNTIFS($AT$2:$AT$200,$G344)&gt;0,
     COUNTIFS($AU$2:$AU$200,$G344)&gt;0,
     COUNTIFS($AV$2:$AV$200,$G344)&gt;0,
     COUNTIFS($AW$2:$AW$200,$G344)&gt;0,
     COUNTIFS($AX$2:$AX$200,$G344)&gt;0,
     COUNTIFS($AY$2:$AY$200,$G344)&gt;0
   )),
  ),
  2
 ),
"")</f>
        <v/>
      </c>
      <c r="E344" s="2" t="str" cm="1">
        <f t="array" aca="1" ref="E344" ca="1">IFERROR(
 INDEX(
  _xlfn._xlws.FILTER($V$1:$AY$1,
   TRANSPOSE(
    CHOOSE({1;2;3;4;5;6;7;8;9;10;11;12;13;14;15;16;17;18;19;20;21;22;23;24;25;26;27;28;29;30},
     COUNTIFS($V$2:$V$200,$G344)&gt;0,
     COUNTIFS($W$2:$W$200,$G344)&gt;0,
     COUNTIFS($X$2:$X$200,$G344)&gt;0,
     COUNTIFS($Y$2:$Y$200,$G344)&gt;0,
     COUNTIFS($Z$2:$Z$200,$G344)&gt;0,
     COUNTIFS($AA$2:$AA$200,$G344)&gt;0,
     COUNTIFS($AB$2:$AB$200,$G344)&gt;0,
     COUNTIFS($AC$2:$AC$200,$G344)&gt;0,
     COUNTIFS($AD$2:$AD$200,$G344)&gt;0,
     COUNTIFS($AE$2:$AE$200,$G344)&gt;0,
     COUNTIFS($AF$2:$AF$200,$G344)&gt;0,
     COUNTIFS($AG$2:$AG$200,$G344)&gt;0,
     COUNTIFS($AH$2:$AH$200,$G344)&gt;0,
     COUNTIFS($AI$2:$AI$200,$G344)&gt;0,
     COUNTIFS($AJ$2:$AJ$200,$G344)&gt;0,
     COUNTIFS($AK$2:$AK$200,$G344)&gt;0,
     COUNTIFS($AL$2:$AL$200,$G344)&gt;0,
     COUNTIFS($AM$2:$AM$200,$G344)&gt;0,
     COUNTIFS($AN$2:$AN$200,$G344)&gt;0,
     COUNTIFS($AO$2:$AO$200,$G344)&gt;0,
     COUNTIFS($AP$2:$AP$200,$G344)&gt;0,
     COUNTIFS($AQ$2:$AQ$200,$G344)&gt;0,
     COUNTIFS($AR$2:$AR$200,$G344)&gt;0,
     COUNTIFS($AS$2:$AS$200,$G344)&gt;0,
     COUNTIFS($AT$2:$AT$200,$G344)&gt;0,
     COUNTIFS($AU$2:$AU$200,$G344)&gt;0,
     COUNTIFS($AV$2:$AV$200,$G344)&gt;0,
     COUNTIFS($AW$2:$AW$200,$G344)&gt;0,
     COUNTIFS($AX$2:$AX$200,$G344)&gt;0,
     COUNTIFS($AY$2:$AY$200,$G344)&gt;0
   )),
  ),
  3
 ),
"")</f>
        <v/>
      </c>
      <c r="F344" s="2" t="str" cm="1">
        <f t="array" aca="1" ref="F344" ca="1">IFERROR(
 INDEX(
  _xlfn._xlws.FILTER($V$1:$AY$1,
   TRANSPOSE(
    CHOOSE({1;2;3;4;5;6;7;8;9;10;11;12;13;14;15;16;17;18;19;20;21;22;23;24;25;26;27;28;29;30},
     COUNTIFS($V$2:$V$200,$G344)&gt;0,
     COUNTIFS($W$2:$W$200,$G344)&gt;0,
     COUNTIFS($X$2:$X$200,$G344)&gt;0,
     COUNTIFS($Y$2:$Y$200,$G344)&gt;0,
     COUNTIFS($Z$2:$Z$200,$G344)&gt;0,
     COUNTIFS($AA$2:$AA$200,$G344)&gt;0,
     COUNTIFS($AB$2:$AB$200,$G344)&gt;0,
     COUNTIFS($AC$2:$AC$200,$G344)&gt;0,
     COUNTIFS($AD$2:$AD$200,$G344)&gt;0,
     COUNTIFS($AE$2:$AE$200,$G344)&gt;0,
     COUNTIFS($AF$2:$AF$200,$G344)&gt;0,
     COUNTIFS($AG$2:$AG$200,$G344)&gt;0,
     COUNTIFS($AH$2:$AH$200,$G344)&gt;0,
     COUNTIFS($AI$2:$AI$200,$G344)&gt;0,
     COUNTIFS($AJ$2:$AJ$200,$G344)&gt;0,
     COUNTIFS($AK$2:$AK$200,$G344)&gt;0,
     COUNTIFS($AL$2:$AL$200,$G344)&gt;0,
     COUNTIFS($AM$2:$AM$200,$G344)&gt;0,
     COUNTIFS($AN$2:$AN$200,$G344)&gt;0,
     COUNTIFS($AO$2:$AO$200,$G344)&gt;0,
     COUNTIFS($AP$2:$AP$200,$G344)&gt;0,
     COUNTIFS($AQ$2:$AQ$200,$G344)&gt;0,
     COUNTIFS($AR$2:$AR$200,$G344)&gt;0,
     COUNTIFS($AS$2:$AS$200,$G344)&gt;0,
     COUNTIFS($AT$2:$AT$200,$G344)&gt;0,
     COUNTIFS($AU$2:$AU$200,$G344)&gt;0,
     COUNTIFS($AV$2:$AV$200,$G344)&gt;0,
     COUNTIFS($AW$2:$AW$200,$G344)&gt;0,
     COUNTIFS($AX$2:$AX$200,$G344)&gt;0,
     COUNTIFS($AY$2:$AY$200,$G344)&gt;0
   )),
  ),
  4
 ),
"")</f>
        <v/>
      </c>
      <c r="G344" t="str">
        <f ca="1"/>
        <v>Rampant Growth</v>
      </c>
      <c r="EU344" t="str">
        <f ca="1"/>
        <v>Thrumming Hivepool</v>
      </c>
      <c r="EX344" t="str">
        <f ca="1"/>
        <v>Rampant Growth</v>
      </c>
    </row>
    <row r="345" spans="1:154" x14ac:dyDescent="0.25">
      <c r="A345" s="2" t="str">
        <f t="shared" ca="1" si="16"/>
        <v>5</v>
      </c>
      <c r="B345" s="2">
        <f t="shared" ca="1" si="17"/>
        <v>1</v>
      </c>
      <c r="C345" s="2" t="str">
        <f ca="1">IFERROR(
 INDEX($V$1:$BL$1,
  MATCH(TRUE,
   CHOOSE({1;2;3;4;5;6;7;8;9;10;11;12;13;14;15;16;17;18;19;20;21;22;23;24;25;26;27;28;29;30;31;32;33;34;35;36;37;38;39;40;41;42;43},
    COUNTIFS($V$2:$V$200,$G345)&gt;0,
    COUNTIFS($W$2:$W$200,$G345)&gt;0,
    COUNTIFS($X$2:$X$200,$G345)&gt;0,
    COUNTIFS($Y$2:$Y$200,$G345)&gt;0,
    COUNTIFS($Z$2:$Z$200,$G345)&gt;0,
    COUNTIFS($AA$2:$AA$200,$G345)&gt;0,
    COUNTIFS($AB$2:$AB$200,$G345)&gt;0,
    COUNTIFS($AC$2:$AC$200,$G345)&gt;0,
    COUNTIFS($AD$2:$AD$200,$G345)&gt;0,
    COUNTIFS($AE$2:$AE$200,$G345)&gt;0,
    COUNTIFS($AF$2:$AF$200,$G345)&gt;0,
    COUNTIFS($AG$2:$AG$200,$G345)&gt;0,
    COUNTIFS($AH$2:$AH$200,$G345)&gt;0,
    COUNTIFS($AI$2:$AI$200,$G345)&gt;0,
    COUNTIFS($AJ$2:$AJ$200,$G345)&gt;0,
    COUNTIFS($AK$2:$AK$200,$G345)&gt;0,
    COUNTIFS($AL$2:$AL$200,$G345)&gt;0,
    COUNTIFS($AM$2:$AM$200,$G345)&gt;0,
    COUNTIFS($AN$2:$AN$200,$G345)&gt;0,
    COUNTIFS($AO$2:$AO$200,$G345)&gt;0,
    COUNTIFS($AP$2:$AP$200,$G345)&gt;0,
    COUNTIFS($AQ$2:$AQ$200,$G345)&gt;0,
    COUNTIFS($AR$2:$AR$200,$G345)&gt;0,
    COUNTIFS($AS$2:$AS$200,$G345)&gt;0,
    COUNTIFS($AT$2:$AT$200,$G345)&gt;0,
    COUNTIFS($AU$2:$AU$200,$G345)&gt;0,
    COUNTIFS($AV$2:$AV$200,$G345)&gt;0,
    COUNTIFS($AW$2:$AW$200,$G345)&gt;0,
    COUNTIFS($AX$2:$AX$200,$G345)&gt;0,
    COUNTIFS($AY$2:$AY$200,$G345)&gt;0,
    COUNTIFS($AZ$2:$AZ$200,$G345)&gt;0,
    COUNTIFS($BA$2:$BA$200,$G345)&gt;0,
    COUNTIFS($BB$2:$BB$200,$G345)&gt;0,
    COUNTIFS($BC$2:$BC$200,$G345)&gt;0,
    COUNTIFS($BD$2:$BD$200,$G345)&gt;0,
    COUNTIFS($BE$2:$BE$200,$G345)&gt;0,
    COUNTIFS($BF$2:$BF$200,$G345)&gt;0,
    COUNTIFS($BG$2:$BG$200,$G345)&gt;0,
    COUNTIFS($BH$2:$BH$200,$G345)&gt;0,
    COUNTIFS($BI$2:$BI$200,$G345)&gt;0,
    COUNTIFS($BJ$2:$BJ$200,$G345)&gt;0,
    COUNTIFS($BK$2:$BK$200,$G345)&gt;0,
    COUNTIFS($BL$2:$BL$200,$G345)&gt;0,
    COUNTIFS($BM$2:$BM$200,$G345)&gt;0,
   ),
  0)
 ),
"")</f>
        <v>4cRash</v>
      </c>
      <c r="D345" s="2" t="str" cm="1">
        <f t="array" aca="1" ref="D345" ca="1">IFERROR(
 INDEX(
  _xlfn._xlws.FILTER($V$1:$AY$1,
   TRANSPOSE(
    CHOOSE({1;2;3;4;5;6;7;8;9;10;11;12;13;14;15;16;17;18;19;20;21;22;23;24;25;26;27;28;29;30},
     COUNTIFS($V$2:$V$200,$G345)&gt;0,
     COUNTIFS($W$2:$W$200,$G345)&gt;0,
     COUNTIFS($X$2:$X$200,$G345)&gt;0,
     COUNTIFS($Y$2:$Y$200,$G345)&gt;0,
     COUNTIFS($Z$2:$Z$200,$G345)&gt;0,
     COUNTIFS($AA$2:$AA$200,$G345)&gt;0,
     COUNTIFS($AB$2:$AB$200,$G345)&gt;0,
     COUNTIFS($AC$2:$AC$200,$G345)&gt;0,
     COUNTIFS($AD$2:$AD$200,$G345)&gt;0,
     COUNTIFS($AE$2:$AE$200,$G345)&gt;0,
     COUNTIFS($AF$2:$AF$200,$G345)&gt;0,
     COUNTIFS($AG$2:$AG$200,$G345)&gt;0,
     COUNTIFS($AH$2:$AH$200,$G345)&gt;0,
     COUNTIFS($AI$2:$AI$200,$G345)&gt;0,
     COUNTIFS($AJ$2:$AJ$200,$G345)&gt;0,
     COUNTIFS($AK$2:$AK$200,$G345)&gt;0,
     COUNTIFS($AL$2:$AL$200,$G345)&gt;0,
     COUNTIFS($AM$2:$AM$200,$G345)&gt;0,
     COUNTIFS($AN$2:$AN$200,$G345)&gt;0,
     COUNTIFS($AO$2:$AO$200,$G345)&gt;0,
     COUNTIFS($AP$2:$AP$200,$G345)&gt;0,
     COUNTIFS($AQ$2:$AQ$200,$G345)&gt;0,
     COUNTIFS($AR$2:$AR$200,$G345)&gt;0,
     COUNTIFS($AS$2:$AS$200,$G345)&gt;0,
     COUNTIFS($AT$2:$AT$200,$G345)&gt;0,
     COUNTIFS($AU$2:$AU$200,$G345)&gt;0,
     COUNTIFS($AV$2:$AV$200,$G345)&gt;0,
     COUNTIFS($AW$2:$AW$200,$G345)&gt;0,
     COUNTIFS($AX$2:$AX$200,$G345)&gt;0,
     COUNTIFS($AY$2:$AY$200,$G345)&gt;0
   )),
  ),
  2
 ),
"")</f>
        <v/>
      </c>
      <c r="E345" s="2" t="str" cm="1">
        <f t="array" aca="1" ref="E345" ca="1">IFERROR(
 INDEX(
  _xlfn._xlws.FILTER($V$1:$AY$1,
   TRANSPOSE(
    CHOOSE({1;2;3;4;5;6;7;8;9;10;11;12;13;14;15;16;17;18;19;20;21;22;23;24;25;26;27;28;29;30},
     COUNTIFS($V$2:$V$200,$G345)&gt;0,
     COUNTIFS($W$2:$W$200,$G345)&gt;0,
     COUNTIFS($X$2:$X$200,$G345)&gt;0,
     COUNTIFS($Y$2:$Y$200,$G345)&gt;0,
     COUNTIFS($Z$2:$Z$200,$G345)&gt;0,
     COUNTIFS($AA$2:$AA$200,$G345)&gt;0,
     COUNTIFS($AB$2:$AB$200,$G345)&gt;0,
     COUNTIFS($AC$2:$AC$200,$G345)&gt;0,
     COUNTIFS($AD$2:$AD$200,$G345)&gt;0,
     COUNTIFS($AE$2:$AE$200,$G345)&gt;0,
     COUNTIFS($AF$2:$AF$200,$G345)&gt;0,
     COUNTIFS($AG$2:$AG$200,$G345)&gt;0,
     COUNTIFS($AH$2:$AH$200,$G345)&gt;0,
     COUNTIFS($AI$2:$AI$200,$G345)&gt;0,
     COUNTIFS($AJ$2:$AJ$200,$G345)&gt;0,
     COUNTIFS($AK$2:$AK$200,$G345)&gt;0,
     COUNTIFS($AL$2:$AL$200,$G345)&gt;0,
     COUNTIFS($AM$2:$AM$200,$G345)&gt;0,
     COUNTIFS($AN$2:$AN$200,$G345)&gt;0,
     COUNTIFS($AO$2:$AO$200,$G345)&gt;0,
     COUNTIFS($AP$2:$AP$200,$G345)&gt;0,
     COUNTIFS($AQ$2:$AQ$200,$G345)&gt;0,
     COUNTIFS($AR$2:$AR$200,$G345)&gt;0,
     COUNTIFS($AS$2:$AS$200,$G345)&gt;0,
     COUNTIFS($AT$2:$AT$200,$G345)&gt;0,
     COUNTIFS($AU$2:$AU$200,$G345)&gt;0,
     COUNTIFS($AV$2:$AV$200,$G345)&gt;0,
     COUNTIFS($AW$2:$AW$200,$G345)&gt;0,
     COUNTIFS($AX$2:$AX$200,$G345)&gt;0,
     COUNTIFS($AY$2:$AY$200,$G345)&gt;0
   )),
  ),
  3
 ),
"")</f>
        <v/>
      </c>
      <c r="F345" s="2" t="str" cm="1">
        <f t="array" aca="1" ref="F345" ca="1">IFERROR(
 INDEX(
  _xlfn._xlws.FILTER($V$1:$AY$1,
   TRANSPOSE(
    CHOOSE({1;2;3;4;5;6;7;8;9;10;11;12;13;14;15;16;17;18;19;20;21;22;23;24;25;26;27;28;29;30},
     COUNTIFS($V$2:$V$200,$G345)&gt;0,
     COUNTIFS($W$2:$W$200,$G345)&gt;0,
     COUNTIFS($X$2:$X$200,$G345)&gt;0,
     COUNTIFS($Y$2:$Y$200,$G345)&gt;0,
     COUNTIFS($Z$2:$Z$200,$G345)&gt;0,
     COUNTIFS($AA$2:$AA$200,$G345)&gt;0,
     COUNTIFS($AB$2:$AB$200,$G345)&gt;0,
     COUNTIFS($AC$2:$AC$200,$G345)&gt;0,
     COUNTIFS($AD$2:$AD$200,$G345)&gt;0,
     COUNTIFS($AE$2:$AE$200,$G345)&gt;0,
     COUNTIFS($AF$2:$AF$200,$G345)&gt;0,
     COUNTIFS($AG$2:$AG$200,$G345)&gt;0,
     COUNTIFS($AH$2:$AH$200,$G345)&gt;0,
     COUNTIFS($AI$2:$AI$200,$G345)&gt;0,
     COUNTIFS($AJ$2:$AJ$200,$G345)&gt;0,
     COUNTIFS($AK$2:$AK$200,$G345)&gt;0,
     COUNTIFS($AL$2:$AL$200,$G345)&gt;0,
     COUNTIFS($AM$2:$AM$200,$G345)&gt;0,
     COUNTIFS($AN$2:$AN$200,$G345)&gt;0,
     COUNTIFS($AO$2:$AO$200,$G345)&gt;0,
     COUNTIFS($AP$2:$AP$200,$G345)&gt;0,
     COUNTIFS($AQ$2:$AQ$200,$G345)&gt;0,
     COUNTIFS($AR$2:$AR$200,$G345)&gt;0,
     COUNTIFS($AS$2:$AS$200,$G345)&gt;0,
     COUNTIFS($AT$2:$AT$200,$G345)&gt;0,
     COUNTIFS($AU$2:$AU$200,$G345)&gt;0,
     COUNTIFS($AV$2:$AV$200,$G345)&gt;0,
     COUNTIFS($AW$2:$AW$200,$G345)&gt;0,
     COUNTIFS($AX$2:$AX$200,$G345)&gt;0,
     COUNTIFS($AY$2:$AY$200,$G345)&gt;0
   )),
  ),
  4
 ),
"")</f>
        <v/>
      </c>
      <c r="G345" t="str">
        <f ca="1"/>
        <v>Rashmi, Eternities Crafter</v>
      </c>
      <c r="EU345" t="str">
        <f ca="1"/>
        <v>Titania, Voice of Gaea</v>
      </c>
      <c r="EX345" t="str">
        <f ca="1"/>
        <v>Rashmi, Eternities Crafter</v>
      </c>
    </row>
    <row r="346" spans="1:154" x14ac:dyDescent="0.25">
      <c r="A346" s="2" t="str">
        <f t="shared" ca="1" si="16"/>
        <v>5</v>
      </c>
      <c r="B346" s="2">
        <f t="shared" ca="1" si="17"/>
        <v>1</v>
      </c>
      <c r="C346" s="2" t="str">
        <f ca="1">IFERROR(
 INDEX($V$1:$BL$1,
  MATCH(TRUE,
   CHOOSE({1;2;3;4;5;6;7;8;9;10;11;12;13;14;15;16;17;18;19;20;21;22;23;24;25;26;27;28;29;30;31;32;33;34;35;36;37;38;39;40;41;42;43},
    COUNTIFS($V$2:$V$200,$G346)&gt;0,
    COUNTIFS($W$2:$W$200,$G346)&gt;0,
    COUNTIFS($X$2:$X$200,$G346)&gt;0,
    COUNTIFS($Y$2:$Y$200,$G346)&gt;0,
    COUNTIFS($Z$2:$Z$200,$G346)&gt;0,
    COUNTIFS($AA$2:$AA$200,$G346)&gt;0,
    COUNTIFS($AB$2:$AB$200,$G346)&gt;0,
    COUNTIFS($AC$2:$AC$200,$G346)&gt;0,
    COUNTIFS($AD$2:$AD$200,$G346)&gt;0,
    COUNTIFS($AE$2:$AE$200,$G346)&gt;0,
    COUNTIFS($AF$2:$AF$200,$G346)&gt;0,
    COUNTIFS($AG$2:$AG$200,$G346)&gt;0,
    COUNTIFS($AH$2:$AH$200,$G346)&gt;0,
    COUNTIFS($AI$2:$AI$200,$G346)&gt;0,
    COUNTIFS($AJ$2:$AJ$200,$G346)&gt;0,
    COUNTIFS($AK$2:$AK$200,$G346)&gt;0,
    COUNTIFS($AL$2:$AL$200,$G346)&gt;0,
    COUNTIFS($AM$2:$AM$200,$G346)&gt;0,
    COUNTIFS($AN$2:$AN$200,$G346)&gt;0,
    COUNTIFS($AO$2:$AO$200,$G346)&gt;0,
    COUNTIFS($AP$2:$AP$200,$G346)&gt;0,
    COUNTIFS($AQ$2:$AQ$200,$G346)&gt;0,
    COUNTIFS($AR$2:$AR$200,$G346)&gt;0,
    COUNTIFS($AS$2:$AS$200,$G346)&gt;0,
    COUNTIFS($AT$2:$AT$200,$G346)&gt;0,
    COUNTIFS($AU$2:$AU$200,$G346)&gt;0,
    COUNTIFS($AV$2:$AV$200,$G346)&gt;0,
    COUNTIFS($AW$2:$AW$200,$G346)&gt;0,
    COUNTIFS($AX$2:$AX$200,$G346)&gt;0,
    COUNTIFS($AY$2:$AY$200,$G346)&gt;0,
    COUNTIFS($AZ$2:$AZ$200,$G346)&gt;0,
    COUNTIFS($BA$2:$BA$200,$G346)&gt;0,
    COUNTIFS($BB$2:$BB$200,$G346)&gt;0,
    COUNTIFS($BC$2:$BC$200,$G346)&gt;0,
    COUNTIFS($BD$2:$BD$200,$G346)&gt;0,
    COUNTIFS($BE$2:$BE$200,$G346)&gt;0,
    COUNTIFS($BF$2:$BF$200,$G346)&gt;0,
    COUNTIFS($BG$2:$BG$200,$G346)&gt;0,
    COUNTIFS($BH$2:$BH$200,$G346)&gt;0,
    COUNTIFS($BI$2:$BI$200,$G346)&gt;0,
    COUNTIFS($BJ$2:$BJ$200,$G346)&gt;0,
    COUNTIFS($BK$2:$BK$200,$G346)&gt;0,
    COUNTIFS($BL$2:$BL$200,$G346)&gt;0,
    COUNTIFS($BM$2:$BM$200,$G346)&gt;0,
   ),
  0)
 ),
"")</f>
        <v>Fractius</v>
      </c>
      <c r="D346" s="2" t="str" cm="1">
        <f t="array" aca="1" ref="D346" ca="1">IFERROR(
 INDEX(
  _xlfn._xlws.FILTER($V$1:$AY$1,
   TRANSPOSE(
    CHOOSE({1;2;3;4;5;6;7;8;9;10;11;12;13;14;15;16;17;18;19;20;21;22;23;24;25;26;27;28;29;30},
     COUNTIFS($V$2:$V$200,$G346)&gt;0,
     COUNTIFS($W$2:$W$200,$G346)&gt;0,
     COUNTIFS($X$2:$X$200,$G346)&gt;0,
     COUNTIFS($Y$2:$Y$200,$G346)&gt;0,
     COUNTIFS($Z$2:$Z$200,$G346)&gt;0,
     COUNTIFS($AA$2:$AA$200,$G346)&gt;0,
     COUNTIFS($AB$2:$AB$200,$G346)&gt;0,
     COUNTIFS($AC$2:$AC$200,$G346)&gt;0,
     COUNTIFS($AD$2:$AD$200,$G346)&gt;0,
     COUNTIFS($AE$2:$AE$200,$G346)&gt;0,
     COUNTIFS($AF$2:$AF$200,$G346)&gt;0,
     COUNTIFS($AG$2:$AG$200,$G346)&gt;0,
     COUNTIFS($AH$2:$AH$200,$G346)&gt;0,
     COUNTIFS($AI$2:$AI$200,$G346)&gt;0,
     COUNTIFS($AJ$2:$AJ$200,$G346)&gt;0,
     COUNTIFS($AK$2:$AK$200,$G346)&gt;0,
     COUNTIFS($AL$2:$AL$200,$G346)&gt;0,
     COUNTIFS($AM$2:$AM$200,$G346)&gt;0,
     COUNTIFS($AN$2:$AN$200,$G346)&gt;0,
     COUNTIFS($AO$2:$AO$200,$G346)&gt;0,
     COUNTIFS($AP$2:$AP$200,$G346)&gt;0,
     COUNTIFS($AQ$2:$AQ$200,$G346)&gt;0,
     COUNTIFS($AR$2:$AR$200,$G346)&gt;0,
     COUNTIFS($AS$2:$AS$200,$G346)&gt;0,
     COUNTIFS($AT$2:$AT$200,$G346)&gt;0,
     COUNTIFS($AU$2:$AU$200,$G346)&gt;0,
     COUNTIFS($AV$2:$AV$200,$G346)&gt;0,
     COUNTIFS($AW$2:$AW$200,$G346)&gt;0,
     COUNTIFS($AX$2:$AX$200,$G346)&gt;0,
     COUNTIFS($AY$2:$AY$200,$G346)&gt;0
   )),
  ),
  2
 ),
"")</f>
        <v/>
      </c>
      <c r="E346" s="2" t="str" cm="1">
        <f t="array" aca="1" ref="E346" ca="1">IFERROR(
 INDEX(
  _xlfn._xlws.FILTER($V$1:$AY$1,
   TRANSPOSE(
    CHOOSE({1;2;3;4;5;6;7;8;9;10;11;12;13;14;15;16;17;18;19;20;21;22;23;24;25;26;27;28;29;30},
     COUNTIFS($V$2:$V$200,$G346)&gt;0,
     COUNTIFS($W$2:$W$200,$G346)&gt;0,
     COUNTIFS($X$2:$X$200,$G346)&gt;0,
     COUNTIFS($Y$2:$Y$200,$G346)&gt;0,
     COUNTIFS($Z$2:$Z$200,$G346)&gt;0,
     COUNTIFS($AA$2:$AA$200,$G346)&gt;0,
     COUNTIFS($AB$2:$AB$200,$G346)&gt;0,
     COUNTIFS($AC$2:$AC$200,$G346)&gt;0,
     COUNTIFS($AD$2:$AD$200,$G346)&gt;0,
     COUNTIFS($AE$2:$AE$200,$G346)&gt;0,
     COUNTIFS($AF$2:$AF$200,$G346)&gt;0,
     COUNTIFS($AG$2:$AG$200,$G346)&gt;0,
     COUNTIFS($AH$2:$AH$200,$G346)&gt;0,
     COUNTIFS($AI$2:$AI$200,$G346)&gt;0,
     COUNTIFS($AJ$2:$AJ$200,$G346)&gt;0,
     COUNTIFS($AK$2:$AK$200,$G346)&gt;0,
     COUNTIFS($AL$2:$AL$200,$G346)&gt;0,
     COUNTIFS($AM$2:$AM$200,$G346)&gt;0,
     COUNTIFS($AN$2:$AN$200,$G346)&gt;0,
     COUNTIFS($AO$2:$AO$200,$G346)&gt;0,
     COUNTIFS($AP$2:$AP$200,$G346)&gt;0,
     COUNTIFS($AQ$2:$AQ$200,$G346)&gt;0,
     COUNTIFS($AR$2:$AR$200,$G346)&gt;0,
     COUNTIFS($AS$2:$AS$200,$G346)&gt;0,
     COUNTIFS($AT$2:$AT$200,$G346)&gt;0,
     COUNTIFS($AU$2:$AU$200,$G346)&gt;0,
     COUNTIFS($AV$2:$AV$200,$G346)&gt;0,
     COUNTIFS($AW$2:$AW$200,$G346)&gt;0,
     COUNTIFS($AX$2:$AX$200,$G346)&gt;0,
     COUNTIFS($AY$2:$AY$200,$G346)&gt;0
   )),
  ),
  3
 ),
"")</f>
        <v/>
      </c>
      <c r="F346" s="2" t="str" cm="1">
        <f t="array" aca="1" ref="F346" ca="1">IFERROR(
 INDEX(
  _xlfn._xlws.FILTER($V$1:$AY$1,
   TRANSPOSE(
    CHOOSE({1;2;3;4;5;6;7;8;9;10;11;12;13;14;15;16;17;18;19;20;21;22;23;24;25;26;27;28;29;30},
     COUNTIFS($V$2:$V$200,$G346)&gt;0,
     COUNTIFS($W$2:$W$200,$G346)&gt;0,
     COUNTIFS($X$2:$X$200,$G346)&gt;0,
     COUNTIFS($Y$2:$Y$200,$G346)&gt;0,
     COUNTIFS($Z$2:$Z$200,$G346)&gt;0,
     COUNTIFS($AA$2:$AA$200,$G346)&gt;0,
     COUNTIFS($AB$2:$AB$200,$G346)&gt;0,
     COUNTIFS($AC$2:$AC$200,$G346)&gt;0,
     COUNTIFS($AD$2:$AD$200,$G346)&gt;0,
     COUNTIFS($AE$2:$AE$200,$G346)&gt;0,
     COUNTIFS($AF$2:$AF$200,$G346)&gt;0,
     COUNTIFS($AG$2:$AG$200,$G346)&gt;0,
     COUNTIFS($AH$2:$AH$200,$G346)&gt;0,
     COUNTIFS($AI$2:$AI$200,$G346)&gt;0,
     COUNTIFS($AJ$2:$AJ$200,$G346)&gt;0,
     COUNTIFS($AK$2:$AK$200,$G346)&gt;0,
     COUNTIFS($AL$2:$AL$200,$G346)&gt;0,
     COUNTIFS($AM$2:$AM$200,$G346)&gt;0,
     COUNTIFS($AN$2:$AN$200,$G346)&gt;0,
     COUNTIFS($AO$2:$AO$200,$G346)&gt;0,
     COUNTIFS($AP$2:$AP$200,$G346)&gt;0,
     COUNTIFS($AQ$2:$AQ$200,$G346)&gt;0,
     COUNTIFS($AR$2:$AR$200,$G346)&gt;0,
     COUNTIFS($AS$2:$AS$200,$G346)&gt;0,
     COUNTIFS($AT$2:$AT$200,$G346)&gt;0,
     COUNTIFS($AU$2:$AU$200,$G346)&gt;0,
     COUNTIFS($AV$2:$AV$200,$G346)&gt;0,
     COUNTIFS($AW$2:$AW$200,$G346)&gt;0,
     COUNTIFS($AX$2:$AX$200,$G346)&gt;0,
     COUNTIFS($AY$2:$AY$200,$G346)&gt;0
   )),
  ),
  4
 ),
"")</f>
        <v/>
      </c>
      <c r="G346" t="str">
        <f ca="1"/>
        <v>Raugrin Triome</v>
      </c>
      <c r="EU346" t="str">
        <f ca="1"/>
        <v>Treasure Vault</v>
      </c>
      <c r="EX346" t="str">
        <f ca="1"/>
        <v>Raugrin Triome</v>
      </c>
    </row>
    <row r="347" spans="1:154" x14ac:dyDescent="0.25">
      <c r="A347" s="2" t="str">
        <f t="shared" ca="1" si="16"/>
        <v>2</v>
      </c>
      <c r="B347" s="2">
        <f t="shared" ca="1" si="17"/>
        <v>3</v>
      </c>
      <c r="C347" s="2" t="str">
        <f ca="1">IFERROR(
 INDEX($V$1:$BL$1,
  MATCH(TRUE,
   CHOOSE({1;2;3;4;5;6;7;8;9;10;11;12;13;14;15;16;17;18;19;20;21;22;23;24;25;26;27;28;29;30;31;32;33;34;35;36;37;38;39;40;41;42;43},
    COUNTIFS($V$2:$V$200,$G347)&gt;0,
    COUNTIFS($W$2:$W$200,$G347)&gt;0,
    COUNTIFS($X$2:$X$200,$G347)&gt;0,
    COUNTIFS($Y$2:$Y$200,$G347)&gt;0,
    COUNTIFS($Z$2:$Z$200,$G347)&gt;0,
    COUNTIFS($AA$2:$AA$200,$G347)&gt;0,
    COUNTIFS($AB$2:$AB$200,$G347)&gt;0,
    COUNTIFS($AC$2:$AC$200,$G347)&gt;0,
    COUNTIFS($AD$2:$AD$200,$G347)&gt;0,
    COUNTIFS($AE$2:$AE$200,$G347)&gt;0,
    COUNTIFS($AF$2:$AF$200,$G347)&gt;0,
    COUNTIFS($AG$2:$AG$200,$G347)&gt;0,
    COUNTIFS($AH$2:$AH$200,$G347)&gt;0,
    COUNTIFS($AI$2:$AI$200,$G347)&gt;0,
    COUNTIFS($AJ$2:$AJ$200,$G347)&gt;0,
    COUNTIFS($AK$2:$AK$200,$G347)&gt;0,
    COUNTIFS($AL$2:$AL$200,$G347)&gt;0,
    COUNTIFS($AM$2:$AM$200,$G347)&gt;0,
    COUNTIFS($AN$2:$AN$200,$G347)&gt;0,
    COUNTIFS($AO$2:$AO$200,$G347)&gt;0,
    COUNTIFS($AP$2:$AP$200,$G347)&gt;0,
    COUNTIFS($AQ$2:$AQ$200,$G347)&gt;0,
    COUNTIFS($AR$2:$AR$200,$G347)&gt;0,
    COUNTIFS($AS$2:$AS$200,$G347)&gt;0,
    COUNTIFS($AT$2:$AT$200,$G347)&gt;0,
    COUNTIFS($AU$2:$AU$200,$G347)&gt;0,
    COUNTIFS($AV$2:$AV$200,$G347)&gt;0,
    COUNTIFS($AW$2:$AW$200,$G347)&gt;0,
    COUNTIFS($AX$2:$AX$200,$G347)&gt;0,
    COUNTIFS($AY$2:$AY$200,$G347)&gt;0,
    COUNTIFS($AZ$2:$AZ$200,$G347)&gt;0,
    COUNTIFS($BA$2:$BA$200,$G347)&gt;0,
    COUNTIFS($BB$2:$BB$200,$G347)&gt;0,
    COUNTIFS($BC$2:$BC$200,$G347)&gt;0,
    COUNTIFS($BD$2:$BD$200,$G347)&gt;0,
    COUNTIFS($BE$2:$BE$200,$G347)&gt;0,
    COUNTIFS($BF$2:$BF$200,$G347)&gt;0,
    COUNTIFS($BG$2:$BG$200,$G347)&gt;0,
    COUNTIFS($BH$2:$BH$200,$G347)&gt;0,
    COUNTIFS($BI$2:$BI$200,$G347)&gt;0,
    COUNTIFS($BJ$2:$BJ$200,$G347)&gt;0,
    COUNTIFS($BK$2:$BK$200,$G347)&gt;0,
    COUNTIFS($BL$2:$BL$200,$G347)&gt;0,
    COUNTIFS($BM$2:$BM$200,$G347)&gt;0,
   ),
  0)
 ),
"")</f>
        <v>Rani</v>
      </c>
      <c r="D347" s="2" t="str" cm="1">
        <f t="array" aca="1" ref="D347" ca="1">IFERROR(
 INDEX(
  _xlfn._xlws.FILTER($V$1:$AY$1,
   TRANSPOSE(
    CHOOSE({1;2;3;4;5;6;7;8;9;10;11;12;13;14;15;16;17;18;19;20;21;22;23;24;25;26;27;28;29;30},
     COUNTIFS($V$2:$V$200,$G347)&gt;0,
     COUNTIFS($W$2:$W$200,$G347)&gt;0,
     COUNTIFS($X$2:$X$200,$G347)&gt;0,
     COUNTIFS($Y$2:$Y$200,$G347)&gt;0,
     COUNTIFS($Z$2:$Z$200,$G347)&gt;0,
     COUNTIFS($AA$2:$AA$200,$G347)&gt;0,
     COUNTIFS($AB$2:$AB$200,$G347)&gt;0,
     COUNTIFS($AC$2:$AC$200,$G347)&gt;0,
     COUNTIFS($AD$2:$AD$200,$G347)&gt;0,
     COUNTIFS($AE$2:$AE$200,$G347)&gt;0,
     COUNTIFS($AF$2:$AF$200,$G347)&gt;0,
     COUNTIFS($AG$2:$AG$200,$G347)&gt;0,
     COUNTIFS($AH$2:$AH$200,$G347)&gt;0,
     COUNTIFS($AI$2:$AI$200,$G347)&gt;0,
     COUNTIFS($AJ$2:$AJ$200,$G347)&gt;0,
     COUNTIFS($AK$2:$AK$200,$G347)&gt;0,
     COUNTIFS($AL$2:$AL$200,$G347)&gt;0,
     COUNTIFS($AM$2:$AM$200,$G347)&gt;0,
     COUNTIFS($AN$2:$AN$200,$G347)&gt;0,
     COUNTIFS($AO$2:$AO$200,$G347)&gt;0,
     COUNTIFS($AP$2:$AP$200,$G347)&gt;0,
     COUNTIFS($AQ$2:$AQ$200,$G347)&gt;0,
     COUNTIFS($AR$2:$AR$200,$G347)&gt;0,
     COUNTIFS($AS$2:$AS$200,$G347)&gt;0,
     COUNTIFS($AT$2:$AT$200,$G347)&gt;0,
     COUNTIFS($AU$2:$AU$200,$G347)&gt;0,
     COUNTIFS($AV$2:$AV$200,$G347)&gt;0,
     COUNTIFS($AW$2:$AW$200,$G347)&gt;0,
     COUNTIFS($AX$2:$AX$200,$G347)&gt;0,
     COUNTIFS($AY$2:$AY$200,$G347)&gt;0
   )),
  ),
  2
 ),
"")</f>
        <v/>
      </c>
      <c r="E347" s="2" t="str" cm="1">
        <f t="array" aca="1" ref="E347" ca="1">IFERROR(
 INDEX(
  _xlfn._xlws.FILTER($V$1:$AY$1,
   TRANSPOSE(
    CHOOSE({1;2;3;4;5;6;7;8;9;10;11;12;13;14;15;16;17;18;19;20;21;22;23;24;25;26;27;28;29;30},
     COUNTIFS($V$2:$V$200,$G347)&gt;0,
     COUNTIFS($W$2:$W$200,$G347)&gt;0,
     COUNTIFS($X$2:$X$200,$G347)&gt;0,
     COUNTIFS($Y$2:$Y$200,$G347)&gt;0,
     COUNTIFS($Z$2:$Z$200,$G347)&gt;0,
     COUNTIFS($AA$2:$AA$200,$G347)&gt;0,
     COUNTIFS($AB$2:$AB$200,$G347)&gt;0,
     COUNTIFS($AC$2:$AC$200,$G347)&gt;0,
     COUNTIFS($AD$2:$AD$200,$G347)&gt;0,
     COUNTIFS($AE$2:$AE$200,$G347)&gt;0,
     COUNTIFS($AF$2:$AF$200,$G347)&gt;0,
     COUNTIFS($AG$2:$AG$200,$G347)&gt;0,
     COUNTIFS($AH$2:$AH$200,$G347)&gt;0,
     COUNTIFS($AI$2:$AI$200,$G347)&gt;0,
     COUNTIFS($AJ$2:$AJ$200,$G347)&gt;0,
     COUNTIFS($AK$2:$AK$200,$G347)&gt;0,
     COUNTIFS($AL$2:$AL$200,$G347)&gt;0,
     COUNTIFS($AM$2:$AM$200,$G347)&gt;0,
     COUNTIFS($AN$2:$AN$200,$G347)&gt;0,
     COUNTIFS($AO$2:$AO$200,$G347)&gt;0,
     COUNTIFS($AP$2:$AP$200,$G347)&gt;0,
     COUNTIFS($AQ$2:$AQ$200,$G347)&gt;0,
     COUNTIFS($AR$2:$AR$200,$G347)&gt;0,
     COUNTIFS($AS$2:$AS$200,$G347)&gt;0,
     COUNTIFS($AT$2:$AT$200,$G347)&gt;0,
     COUNTIFS($AU$2:$AU$200,$G347)&gt;0,
     COUNTIFS($AV$2:$AV$200,$G347)&gt;0,
     COUNTIFS($AW$2:$AW$200,$G347)&gt;0,
     COUNTIFS($AX$2:$AX$200,$G347)&gt;0,
     COUNTIFS($AY$2:$AY$200,$G347)&gt;0
   )),
  ),
  3
 ),
"")</f>
        <v/>
      </c>
      <c r="F347" s="2" t="str" cm="1">
        <f t="array" aca="1" ref="F347" ca="1">IFERROR(
 INDEX(
  _xlfn._xlws.FILTER($V$1:$AY$1,
   TRANSPOSE(
    CHOOSE({1;2;3;4;5;6;7;8;9;10;11;12;13;14;15;16;17;18;19;20;21;22;23;24;25;26;27;28;29;30},
     COUNTIFS($V$2:$V$200,$G347)&gt;0,
     COUNTIFS($W$2:$W$200,$G347)&gt;0,
     COUNTIFS($X$2:$X$200,$G347)&gt;0,
     COUNTIFS($Y$2:$Y$200,$G347)&gt;0,
     COUNTIFS($Z$2:$Z$200,$G347)&gt;0,
     COUNTIFS($AA$2:$AA$200,$G347)&gt;0,
     COUNTIFS($AB$2:$AB$200,$G347)&gt;0,
     COUNTIFS($AC$2:$AC$200,$G347)&gt;0,
     COUNTIFS($AD$2:$AD$200,$G347)&gt;0,
     COUNTIFS($AE$2:$AE$200,$G347)&gt;0,
     COUNTIFS($AF$2:$AF$200,$G347)&gt;0,
     COUNTIFS($AG$2:$AG$200,$G347)&gt;0,
     COUNTIFS($AH$2:$AH$200,$G347)&gt;0,
     COUNTIFS($AI$2:$AI$200,$G347)&gt;0,
     COUNTIFS($AJ$2:$AJ$200,$G347)&gt;0,
     COUNTIFS($AK$2:$AK$200,$G347)&gt;0,
     COUNTIFS($AL$2:$AL$200,$G347)&gt;0,
     COUNTIFS($AM$2:$AM$200,$G347)&gt;0,
     COUNTIFS($AN$2:$AN$200,$G347)&gt;0,
     COUNTIFS($AO$2:$AO$200,$G347)&gt;0,
     COUNTIFS($AP$2:$AP$200,$G347)&gt;0,
     COUNTIFS($AQ$2:$AQ$200,$G347)&gt;0,
     COUNTIFS($AR$2:$AR$200,$G347)&gt;0,
     COUNTIFS($AS$2:$AS$200,$G347)&gt;0,
     COUNTIFS($AT$2:$AT$200,$G347)&gt;0,
     COUNTIFS($AU$2:$AU$200,$G347)&gt;0,
     COUNTIFS($AV$2:$AV$200,$G347)&gt;0,
     COUNTIFS($AW$2:$AW$200,$G347)&gt;0,
     COUNTIFS($AX$2:$AX$200,$G347)&gt;0,
     COUNTIFS($AY$2:$AY$200,$G347)&gt;0
   )),
  ),
  4
 ),
"")</f>
        <v/>
      </c>
      <c r="G347" t="str">
        <f ca="1"/>
        <v>Raven Eagle</v>
      </c>
      <c r="EU347" t="str">
        <f ca="1"/>
        <v>Tree of Tales</v>
      </c>
      <c r="EX347" t="str">
        <f ca="1"/>
        <v>Raven Eagle</v>
      </c>
    </row>
    <row r="348" spans="1:154" x14ac:dyDescent="0.25">
      <c r="A348" s="2" t="str">
        <f t="shared" ca="1" si="16"/>
        <v>5</v>
      </c>
      <c r="B348" s="2">
        <f t="shared" ca="1" si="17"/>
        <v>1</v>
      </c>
      <c r="C348" s="2" t="str">
        <f ca="1">IFERROR(
 INDEX($V$1:$BL$1,
  MATCH(TRUE,
   CHOOSE({1;2;3;4;5;6;7;8;9;10;11;12;13;14;15;16;17;18;19;20;21;22;23;24;25;26;27;28;29;30;31;32;33;34;35;36;37;38;39;40;41;42;43},
    COUNTIFS($V$2:$V$200,$G348)&gt;0,
    COUNTIFS($W$2:$W$200,$G348)&gt;0,
    COUNTIFS($X$2:$X$200,$G348)&gt;0,
    COUNTIFS($Y$2:$Y$200,$G348)&gt;0,
    COUNTIFS($Z$2:$Z$200,$G348)&gt;0,
    COUNTIFS($AA$2:$AA$200,$G348)&gt;0,
    COUNTIFS($AB$2:$AB$200,$G348)&gt;0,
    COUNTIFS($AC$2:$AC$200,$G348)&gt;0,
    COUNTIFS($AD$2:$AD$200,$G348)&gt;0,
    COUNTIFS($AE$2:$AE$200,$G348)&gt;0,
    COUNTIFS($AF$2:$AF$200,$G348)&gt;0,
    COUNTIFS($AG$2:$AG$200,$G348)&gt;0,
    COUNTIFS($AH$2:$AH$200,$G348)&gt;0,
    COUNTIFS($AI$2:$AI$200,$G348)&gt;0,
    COUNTIFS($AJ$2:$AJ$200,$G348)&gt;0,
    COUNTIFS($AK$2:$AK$200,$G348)&gt;0,
    COUNTIFS($AL$2:$AL$200,$G348)&gt;0,
    COUNTIFS($AM$2:$AM$200,$G348)&gt;0,
    COUNTIFS($AN$2:$AN$200,$G348)&gt;0,
    COUNTIFS($AO$2:$AO$200,$G348)&gt;0,
    COUNTIFS($AP$2:$AP$200,$G348)&gt;0,
    COUNTIFS($AQ$2:$AQ$200,$G348)&gt;0,
    COUNTIFS($AR$2:$AR$200,$G348)&gt;0,
    COUNTIFS($AS$2:$AS$200,$G348)&gt;0,
    COUNTIFS($AT$2:$AT$200,$G348)&gt;0,
    COUNTIFS($AU$2:$AU$200,$G348)&gt;0,
    COUNTIFS($AV$2:$AV$200,$G348)&gt;0,
    COUNTIFS($AW$2:$AW$200,$G348)&gt;0,
    COUNTIFS($AX$2:$AX$200,$G348)&gt;0,
    COUNTIFS($AY$2:$AY$200,$G348)&gt;0,
    COUNTIFS($AZ$2:$AZ$200,$G348)&gt;0,
    COUNTIFS($BA$2:$BA$200,$G348)&gt;0,
    COUNTIFS($BB$2:$BB$200,$G348)&gt;0,
    COUNTIFS($BC$2:$BC$200,$G348)&gt;0,
    COUNTIFS($BD$2:$BD$200,$G348)&gt;0,
    COUNTIFS($BE$2:$BE$200,$G348)&gt;0,
    COUNTIFS($BF$2:$BF$200,$G348)&gt;0,
    COUNTIFS($BG$2:$BG$200,$G348)&gt;0,
    COUNTIFS($BH$2:$BH$200,$G348)&gt;0,
    COUNTIFS($BI$2:$BI$200,$G348)&gt;0,
    COUNTIFS($BJ$2:$BJ$200,$G348)&gt;0,
    COUNTIFS($BK$2:$BK$200,$G348)&gt;0,
    COUNTIFS($BL$2:$BL$200,$G348)&gt;0,
    COUNTIFS($BM$2:$BM$200,$G348)&gt;0,
   ),
  0)
 ),
"")</f>
        <v>4cRash</v>
      </c>
      <c r="D348" s="2" t="str" cm="1">
        <f t="array" aca="1" ref="D348" ca="1">IFERROR(
 INDEX(
  _xlfn._xlws.FILTER($V$1:$AY$1,
   TRANSPOSE(
    CHOOSE({1;2;3;4;5;6;7;8;9;10;11;12;13;14;15;16;17;18;19;20;21;22;23;24;25;26;27;28;29;30},
     COUNTIFS($V$2:$V$200,$G348)&gt;0,
     COUNTIFS($W$2:$W$200,$G348)&gt;0,
     COUNTIFS($X$2:$X$200,$G348)&gt;0,
     COUNTIFS($Y$2:$Y$200,$G348)&gt;0,
     COUNTIFS($Z$2:$Z$200,$G348)&gt;0,
     COUNTIFS($AA$2:$AA$200,$G348)&gt;0,
     COUNTIFS($AB$2:$AB$200,$G348)&gt;0,
     COUNTIFS($AC$2:$AC$200,$G348)&gt;0,
     COUNTIFS($AD$2:$AD$200,$G348)&gt;0,
     COUNTIFS($AE$2:$AE$200,$G348)&gt;0,
     COUNTIFS($AF$2:$AF$200,$G348)&gt;0,
     COUNTIFS($AG$2:$AG$200,$G348)&gt;0,
     COUNTIFS($AH$2:$AH$200,$G348)&gt;0,
     COUNTIFS($AI$2:$AI$200,$G348)&gt;0,
     COUNTIFS($AJ$2:$AJ$200,$G348)&gt;0,
     COUNTIFS($AK$2:$AK$200,$G348)&gt;0,
     COUNTIFS($AL$2:$AL$200,$G348)&gt;0,
     COUNTIFS($AM$2:$AM$200,$G348)&gt;0,
     COUNTIFS($AN$2:$AN$200,$G348)&gt;0,
     COUNTIFS($AO$2:$AO$200,$G348)&gt;0,
     COUNTIFS($AP$2:$AP$200,$G348)&gt;0,
     COUNTIFS($AQ$2:$AQ$200,$G348)&gt;0,
     COUNTIFS($AR$2:$AR$200,$G348)&gt;0,
     COUNTIFS($AS$2:$AS$200,$G348)&gt;0,
     COUNTIFS($AT$2:$AT$200,$G348)&gt;0,
     COUNTIFS($AU$2:$AU$200,$G348)&gt;0,
     COUNTIFS($AV$2:$AV$200,$G348)&gt;0,
     COUNTIFS($AW$2:$AW$200,$G348)&gt;0,
     COUNTIFS($AX$2:$AX$200,$G348)&gt;0,
     COUNTIFS($AY$2:$AY$200,$G348)&gt;0
   )),
  ),
  2
 ),
"")</f>
        <v/>
      </c>
      <c r="E348" s="2" t="str" cm="1">
        <f t="array" aca="1" ref="E348" ca="1">IFERROR(
 INDEX(
  _xlfn._xlws.FILTER($V$1:$AY$1,
   TRANSPOSE(
    CHOOSE({1;2;3;4;5;6;7;8;9;10;11;12;13;14;15;16;17;18;19;20;21;22;23;24;25;26;27;28;29;30},
     COUNTIFS($V$2:$V$200,$G348)&gt;0,
     COUNTIFS($W$2:$W$200,$G348)&gt;0,
     COUNTIFS($X$2:$X$200,$G348)&gt;0,
     COUNTIFS($Y$2:$Y$200,$G348)&gt;0,
     COUNTIFS($Z$2:$Z$200,$G348)&gt;0,
     COUNTIFS($AA$2:$AA$200,$G348)&gt;0,
     COUNTIFS($AB$2:$AB$200,$G348)&gt;0,
     COUNTIFS($AC$2:$AC$200,$G348)&gt;0,
     COUNTIFS($AD$2:$AD$200,$G348)&gt;0,
     COUNTIFS($AE$2:$AE$200,$G348)&gt;0,
     COUNTIFS($AF$2:$AF$200,$G348)&gt;0,
     COUNTIFS($AG$2:$AG$200,$G348)&gt;0,
     COUNTIFS($AH$2:$AH$200,$G348)&gt;0,
     COUNTIFS($AI$2:$AI$200,$G348)&gt;0,
     COUNTIFS($AJ$2:$AJ$200,$G348)&gt;0,
     COUNTIFS($AK$2:$AK$200,$G348)&gt;0,
     COUNTIFS($AL$2:$AL$200,$G348)&gt;0,
     COUNTIFS($AM$2:$AM$200,$G348)&gt;0,
     COUNTIFS($AN$2:$AN$200,$G348)&gt;0,
     COUNTIFS($AO$2:$AO$200,$G348)&gt;0,
     COUNTIFS($AP$2:$AP$200,$G348)&gt;0,
     COUNTIFS($AQ$2:$AQ$200,$G348)&gt;0,
     COUNTIFS($AR$2:$AR$200,$G348)&gt;0,
     COUNTIFS($AS$2:$AS$200,$G348)&gt;0,
     COUNTIFS($AT$2:$AT$200,$G348)&gt;0,
     COUNTIFS($AU$2:$AU$200,$G348)&gt;0,
     COUNTIFS($AV$2:$AV$200,$G348)&gt;0,
     COUNTIFS($AW$2:$AW$200,$G348)&gt;0,
     COUNTIFS($AX$2:$AX$200,$G348)&gt;0,
     COUNTIFS($AY$2:$AY$200,$G348)&gt;0
   )),
  ),
  3
 ),
"")</f>
        <v/>
      </c>
      <c r="F348" s="2" t="str" cm="1">
        <f t="array" aca="1" ref="F348" ca="1">IFERROR(
 INDEX(
  _xlfn._xlws.FILTER($V$1:$AY$1,
   TRANSPOSE(
    CHOOSE({1;2;3;4;5;6;7;8;9;10;11;12;13;14;15;16;17;18;19;20;21;22;23;24;25;26;27;28;29;30},
     COUNTIFS($V$2:$V$200,$G348)&gt;0,
     COUNTIFS($W$2:$W$200,$G348)&gt;0,
     COUNTIFS($X$2:$X$200,$G348)&gt;0,
     COUNTIFS($Y$2:$Y$200,$G348)&gt;0,
     COUNTIFS($Z$2:$Z$200,$G348)&gt;0,
     COUNTIFS($AA$2:$AA$200,$G348)&gt;0,
     COUNTIFS($AB$2:$AB$200,$G348)&gt;0,
     COUNTIFS($AC$2:$AC$200,$G348)&gt;0,
     COUNTIFS($AD$2:$AD$200,$G348)&gt;0,
     COUNTIFS($AE$2:$AE$200,$G348)&gt;0,
     COUNTIFS($AF$2:$AF$200,$G348)&gt;0,
     COUNTIFS($AG$2:$AG$200,$G348)&gt;0,
     COUNTIFS($AH$2:$AH$200,$G348)&gt;0,
     COUNTIFS($AI$2:$AI$200,$G348)&gt;0,
     COUNTIFS($AJ$2:$AJ$200,$G348)&gt;0,
     COUNTIFS($AK$2:$AK$200,$G348)&gt;0,
     COUNTIFS($AL$2:$AL$200,$G348)&gt;0,
     COUNTIFS($AM$2:$AM$200,$G348)&gt;0,
     COUNTIFS($AN$2:$AN$200,$G348)&gt;0,
     COUNTIFS($AO$2:$AO$200,$G348)&gt;0,
     COUNTIFS($AP$2:$AP$200,$G348)&gt;0,
     COUNTIFS($AQ$2:$AQ$200,$G348)&gt;0,
     COUNTIFS($AR$2:$AR$200,$G348)&gt;0,
     COUNTIFS($AS$2:$AS$200,$G348)&gt;0,
     COUNTIFS($AT$2:$AT$200,$G348)&gt;0,
     COUNTIFS($AU$2:$AU$200,$G348)&gt;0,
     COUNTIFS($AV$2:$AV$200,$G348)&gt;0,
     COUNTIFS($AW$2:$AW$200,$G348)&gt;0,
     COUNTIFS($AX$2:$AX$200,$G348)&gt;0,
     COUNTIFS($AY$2:$AY$200,$G348)&gt;0
   )),
  ),
  4
 ),
"")</f>
        <v/>
      </c>
      <c r="G348" t="str">
        <f ca="1"/>
        <v>Reality Shift</v>
      </c>
      <c r="EU348" t="str">
        <f ca="1"/>
        <v>Ulamog, the Defiler</v>
      </c>
      <c r="EX348" t="str">
        <f ca="1"/>
        <v>Reality Shift</v>
      </c>
    </row>
    <row r="349" spans="1:154" x14ac:dyDescent="0.25">
      <c r="A349" s="2" t="str">
        <f t="shared" ca="1" si="16"/>
        <v>5</v>
      </c>
      <c r="B349" s="2">
        <f t="shared" ca="1" si="17"/>
        <v>1</v>
      </c>
      <c r="C349" s="2" t="str">
        <f ca="1">IFERROR(
 INDEX($V$1:$BL$1,
  MATCH(TRUE,
   CHOOSE({1;2;3;4;5;6;7;8;9;10;11;12;13;14;15;16;17;18;19;20;21;22;23;24;25;26;27;28;29;30;31;32;33;34;35;36;37;38;39;40;41;42;43},
    COUNTIFS($V$2:$V$200,$G349)&gt;0,
    COUNTIFS($W$2:$W$200,$G349)&gt;0,
    COUNTIFS($X$2:$X$200,$G349)&gt;0,
    COUNTIFS($Y$2:$Y$200,$G349)&gt;0,
    COUNTIFS($Z$2:$Z$200,$G349)&gt;0,
    COUNTIFS($AA$2:$AA$200,$G349)&gt;0,
    COUNTIFS($AB$2:$AB$200,$G349)&gt;0,
    COUNTIFS($AC$2:$AC$200,$G349)&gt;0,
    COUNTIFS($AD$2:$AD$200,$G349)&gt;0,
    COUNTIFS($AE$2:$AE$200,$G349)&gt;0,
    COUNTIFS($AF$2:$AF$200,$G349)&gt;0,
    COUNTIFS($AG$2:$AG$200,$G349)&gt;0,
    COUNTIFS($AH$2:$AH$200,$G349)&gt;0,
    COUNTIFS($AI$2:$AI$200,$G349)&gt;0,
    COUNTIFS($AJ$2:$AJ$200,$G349)&gt;0,
    COUNTIFS($AK$2:$AK$200,$G349)&gt;0,
    COUNTIFS($AL$2:$AL$200,$G349)&gt;0,
    COUNTIFS($AM$2:$AM$200,$G349)&gt;0,
    COUNTIFS($AN$2:$AN$200,$G349)&gt;0,
    COUNTIFS($AO$2:$AO$200,$G349)&gt;0,
    COUNTIFS($AP$2:$AP$200,$G349)&gt;0,
    COUNTIFS($AQ$2:$AQ$200,$G349)&gt;0,
    COUNTIFS($AR$2:$AR$200,$G349)&gt;0,
    COUNTIFS($AS$2:$AS$200,$G349)&gt;0,
    COUNTIFS($AT$2:$AT$200,$G349)&gt;0,
    COUNTIFS($AU$2:$AU$200,$G349)&gt;0,
    COUNTIFS($AV$2:$AV$200,$G349)&gt;0,
    COUNTIFS($AW$2:$AW$200,$G349)&gt;0,
    COUNTIFS($AX$2:$AX$200,$G349)&gt;0,
    COUNTIFS($AY$2:$AY$200,$G349)&gt;0,
    COUNTIFS($AZ$2:$AZ$200,$G349)&gt;0,
    COUNTIFS($BA$2:$BA$200,$G349)&gt;0,
    COUNTIFS($BB$2:$BB$200,$G349)&gt;0,
    COUNTIFS($BC$2:$BC$200,$G349)&gt;0,
    COUNTIFS($BD$2:$BD$200,$G349)&gt;0,
    COUNTIFS($BE$2:$BE$200,$G349)&gt;0,
    COUNTIFS($BF$2:$BF$200,$G349)&gt;0,
    COUNTIFS($BG$2:$BG$200,$G349)&gt;0,
    COUNTIFS($BH$2:$BH$200,$G349)&gt;0,
    COUNTIFS($BI$2:$BI$200,$G349)&gt;0,
    COUNTIFS($BJ$2:$BJ$200,$G349)&gt;0,
    COUNTIFS($BK$2:$BK$200,$G349)&gt;0,
    COUNTIFS($BL$2:$BL$200,$G349)&gt;0,
    COUNTIFS($BM$2:$BM$200,$G349)&gt;0,
   ),
  0)
 ),
"")</f>
        <v>Fractius</v>
      </c>
      <c r="D349" s="2" t="str" cm="1">
        <f t="array" aca="1" ref="D349" ca="1">IFERROR(
 INDEX(
  _xlfn._xlws.FILTER($V$1:$AY$1,
   TRANSPOSE(
    CHOOSE({1;2;3;4;5;6;7;8;9;10;11;12;13;14;15;16;17;18;19;20;21;22;23;24;25;26;27;28;29;30},
     COUNTIFS($V$2:$V$200,$G349)&gt;0,
     COUNTIFS($W$2:$W$200,$G349)&gt;0,
     COUNTIFS($X$2:$X$200,$G349)&gt;0,
     COUNTIFS($Y$2:$Y$200,$G349)&gt;0,
     COUNTIFS($Z$2:$Z$200,$G349)&gt;0,
     COUNTIFS($AA$2:$AA$200,$G349)&gt;0,
     COUNTIFS($AB$2:$AB$200,$G349)&gt;0,
     COUNTIFS($AC$2:$AC$200,$G349)&gt;0,
     COUNTIFS($AD$2:$AD$200,$G349)&gt;0,
     COUNTIFS($AE$2:$AE$200,$G349)&gt;0,
     COUNTIFS($AF$2:$AF$200,$G349)&gt;0,
     COUNTIFS($AG$2:$AG$200,$G349)&gt;0,
     COUNTIFS($AH$2:$AH$200,$G349)&gt;0,
     COUNTIFS($AI$2:$AI$200,$G349)&gt;0,
     COUNTIFS($AJ$2:$AJ$200,$G349)&gt;0,
     COUNTIFS($AK$2:$AK$200,$G349)&gt;0,
     COUNTIFS($AL$2:$AL$200,$G349)&gt;0,
     COUNTIFS($AM$2:$AM$200,$G349)&gt;0,
     COUNTIFS($AN$2:$AN$200,$G349)&gt;0,
     COUNTIFS($AO$2:$AO$200,$G349)&gt;0,
     COUNTIFS($AP$2:$AP$200,$G349)&gt;0,
     COUNTIFS($AQ$2:$AQ$200,$G349)&gt;0,
     COUNTIFS($AR$2:$AR$200,$G349)&gt;0,
     COUNTIFS($AS$2:$AS$200,$G349)&gt;0,
     COUNTIFS($AT$2:$AT$200,$G349)&gt;0,
     COUNTIFS($AU$2:$AU$200,$G349)&gt;0,
     COUNTIFS($AV$2:$AV$200,$G349)&gt;0,
     COUNTIFS($AW$2:$AW$200,$G349)&gt;0,
     COUNTIFS($AX$2:$AX$200,$G349)&gt;0,
     COUNTIFS($AY$2:$AY$200,$G349)&gt;0
   )),
  ),
  2
 ),
"")</f>
        <v/>
      </c>
      <c r="E349" s="2" t="str" cm="1">
        <f t="array" aca="1" ref="E349" ca="1">IFERROR(
 INDEX(
  _xlfn._xlws.FILTER($V$1:$AY$1,
   TRANSPOSE(
    CHOOSE({1;2;3;4;5;6;7;8;9;10;11;12;13;14;15;16;17;18;19;20;21;22;23;24;25;26;27;28;29;30},
     COUNTIFS($V$2:$V$200,$G349)&gt;0,
     COUNTIFS($W$2:$W$200,$G349)&gt;0,
     COUNTIFS($X$2:$X$200,$G349)&gt;0,
     COUNTIFS($Y$2:$Y$200,$G349)&gt;0,
     COUNTIFS($Z$2:$Z$200,$G349)&gt;0,
     COUNTIFS($AA$2:$AA$200,$G349)&gt;0,
     COUNTIFS($AB$2:$AB$200,$G349)&gt;0,
     COUNTIFS($AC$2:$AC$200,$G349)&gt;0,
     COUNTIFS($AD$2:$AD$200,$G349)&gt;0,
     COUNTIFS($AE$2:$AE$200,$G349)&gt;0,
     COUNTIFS($AF$2:$AF$200,$G349)&gt;0,
     COUNTIFS($AG$2:$AG$200,$G349)&gt;0,
     COUNTIFS($AH$2:$AH$200,$G349)&gt;0,
     COUNTIFS($AI$2:$AI$200,$G349)&gt;0,
     COUNTIFS($AJ$2:$AJ$200,$G349)&gt;0,
     COUNTIFS($AK$2:$AK$200,$G349)&gt;0,
     COUNTIFS($AL$2:$AL$200,$G349)&gt;0,
     COUNTIFS($AM$2:$AM$200,$G349)&gt;0,
     COUNTIFS($AN$2:$AN$200,$G349)&gt;0,
     COUNTIFS($AO$2:$AO$200,$G349)&gt;0,
     COUNTIFS($AP$2:$AP$200,$G349)&gt;0,
     COUNTIFS($AQ$2:$AQ$200,$G349)&gt;0,
     COUNTIFS($AR$2:$AR$200,$G349)&gt;0,
     COUNTIFS($AS$2:$AS$200,$G349)&gt;0,
     COUNTIFS($AT$2:$AT$200,$G349)&gt;0,
     COUNTIFS($AU$2:$AU$200,$G349)&gt;0,
     COUNTIFS($AV$2:$AV$200,$G349)&gt;0,
     COUNTIFS($AW$2:$AW$200,$G349)&gt;0,
     COUNTIFS($AX$2:$AX$200,$G349)&gt;0,
     COUNTIFS($AY$2:$AY$200,$G349)&gt;0
   )),
  ),
  3
 ),
"")</f>
        <v/>
      </c>
      <c r="F349" s="2" t="str" cm="1">
        <f t="array" aca="1" ref="F349" ca="1">IFERROR(
 INDEX(
  _xlfn._xlws.FILTER($V$1:$AY$1,
   TRANSPOSE(
    CHOOSE({1;2;3;4;5;6;7;8;9;10;11;12;13;14;15;16;17;18;19;20;21;22;23;24;25;26;27;28;29;30},
     COUNTIFS($V$2:$V$200,$G349)&gt;0,
     COUNTIFS($W$2:$W$200,$G349)&gt;0,
     COUNTIFS($X$2:$X$200,$G349)&gt;0,
     COUNTIFS($Y$2:$Y$200,$G349)&gt;0,
     COUNTIFS($Z$2:$Z$200,$G349)&gt;0,
     COUNTIFS($AA$2:$AA$200,$G349)&gt;0,
     COUNTIFS($AB$2:$AB$200,$G349)&gt;0,
     COUNTIFS($AC$2:$AC$200,$G349)&gt;0,
     COUNTIFS($AD$2:$AD$200,$G349)&gt;0,
     COUNTIFS($AE$2:$AE$200,$G349)&gt;0,
     COUNTIFS($AF$2:$AF$200,$G349)&gt;0,
     COUNTIFS($AG$2:$AG$200,$G349)&gt;0,
     COUNTIFS($AH$2:$AH$200,$G349)&gt;0,
     COUNTIFS($AI$2:$AI$200,$G349)&gt;0,
     COUNTIFS($AJ$2:$AJ$200,$G349)&gt;0,
     COUNTIFS($AK$2:$AK$200,$G349)&gt;0,
     COUNTIFS($AL$2:$AL$200,$G349)&gt;0,
     COUNTIFS($AM$2:$AM$200,$G349)&gt;0,
     COUNTIFS($AN$2:$AN$200,$G349)&gt;0,
     COUNTIFS($AO$2:$AO$200,$G349)&gt;0,
     COUNTIFS($AP$2:$AP$200,$G349)&gt;0,
     COUNTIFS($AQ$2:$AQ$200,$G349)&gt;0,
     COUNTIFS($AR$2:$AR$200,$G349)&gt;0,
     COUNTIFS($AS$2:$AS$200,$G349)&gt;0,
     COUNTIFS($AT$2:$AT$200,$G349)&gt;0,
     COUNTIFS($AU$2:$AU$200,$G349)&gt;0,
     COUNTIFS($AV$2:$AV$200,$G349)&gt;0,
     COUNTIFS($AW$2:$AW$200,$G349)&gt;0,
     COUNTIFS($AX$2:$AX$200,$G349)&gt;0,
     COUNTIFS($AY$2:$AY$200,$G349)&gt;0
   )),
  ),
  4
 ),
"")</f>
        <v/>
      </c>
      <c r="G349" t="str">
        <f ca="1"/>
        <v>Realmwalker</v>
      </c>
      <c r="EU349" t="str">
        <f ca="1"/>
        <v>Ulamog, the Infinite Gyre</v>
      </c>
      <c r="EX349" t="str">
        <f ca="1"/>
        <v>Realmwalker</v>
      </c>
    </row>
    <row r="350" spans="1:154" x14ac:dyDescent="0.25">
      <c r="A350" s="2" t="str">
        <f t="shared" ca="1" si="16"/>
        <v>4</v>
      </c>
      <c r="B350" s="2">
        <f t="shared" ca="1" si="17"/>
        <v>1</v>
      </c>
      <c r="C350" s="2" t="str">
        <f ca="1">IFERROR(
 INDEX($V$1:$BL$1,
  MATCH(TRUE,
   CHOOSE({1;2;3;4;5;6;7;8;9;10;11;12;13;14;15;16;17;18;19;20;21;22;23;24;25;26;27;28;29;30;31;32;33;34;35;36;37;38;39;40;41;42;43},
    COUNTIFS($V$2:$V$200,$G350)&gt;0,
    COUNTIFS($W$2:$W$200,$G350)&gt;0,
    COUNTIFS($X$2:$X$200,$G350)&gt;0,
    COUNTIFS($Y$2:$Y$200,$G350)&gt;0,
    COUNTIFS($Z$2:$Z$200,$G350)&gt;0,
    COUNTIFS($AA$2:$AA$200,$G350)&gt;0,
    COUNTIFS($AB$2:$AB$200,$G350)&gt;0,
    COUNTIFS($AC$2:$AC$200,$G350)&gt;0,
    COUNTIFS($AD$2:$AD$200,$G350)&gt;0,
    COUNTIFS($AE$2:$AE$200,$G350)&gt;0,
    COUNTIFS($AF$2:$AF$200,$G350)&gt;0,
    COUNTIFS($AG$2:$AG$200,$G350)&gt;0,
    COUNTIFS($AH$2:$AH$200,$G350)&gt;0,
    COUNTIFS($AI$2:$AI$200,$G350)&gt;0,
    COUNTIFS($AJ$2:$AJ$200,$G350)&gt;0,
    COUNTIFS($AK$2:$AK$200,$G350)&gt;0,
    COUNTIFS($AL$2:$AL$200,$G350)&gt;0,
    COUNTIFS($AM$2:$AM$200,$G350)&gt;0,
    COUNTIFS($AN$2:$AN$200,$G350)&gt;0,
    COUNTIFS($AO$2:$AO$200,$G350)&gt;0,
    COUNTIFS($AP$2:$AP$200,$G350)&gt;0,
    COUNTIFS($AQ$2:$AQ$200,$G350)&gt;0,
    COUNTIFS($AR$2:$AR$200,$G350)&gt;0,
    COUNTIFS($AS$2:$AS$200,$G350)&gt;0,
    COUNTIFS($AT$2:$AT$200,$G350)&gt;0,
    COUNTIFS($AU$2:$AU$200,$G350)&gt;0,
    COUNTIFS($AV$2:$AV$200,$G350)&gt;0,
    COUNTIFS($AW$2:$AW$200,$G350)&gt;0,
    COUNTIFS($AX$2:$AX$200,$G350)&gt;0,
    COUNTIFS($AY$2:$AY$200,$G350)&gt;0,
    COUNTIFS($AZ$2:$AZ$200,$G350)&gt;0,
    COUNTIFS($BA$2:$BA$200,$G350)&gt;0,
    COUNTIFS($BB$2:$BB$200,$G350)&gt;0,
    COUNTIFS($BC$2:$BC$200,$G350)&gt;0,
    COUNTIFS($BD$2:$BD$200,$G350)&gt;0,
    COUNTIFS($BE$2:$BE$200,$G350)&gt;0,
    COUNTIFS($BF$2:$BF$200,$G350)&gt;0,
    COUNTIFS($BG$2:$BG$200,$G350)&gt;0,
    COUNTIFS($BH$2:$BH$200,$G350)&gt;0,
    COUNTIFS($BI$2:$BI$200,$G350)&gt;0,
    COUNTIFS($BJ$2:$BJ$200,$G350)&gt;0,
    COUNTIFS($BK$2:$BK$200,$G350)&gt;0,
    COUNTIFS($BL$2:$BL$200,$G350)&gt;0,
    COUNTIFS($BM$2:$BM$200,$G350)&gt;0,
   ),
  0)
 ),
"")</f>
        <v>Kresh</v>
      </c>
      <c r="D350" s="2" t="str" cm="1">
        <f t="array" aca="1" ref="D350" ca="1">IFERROR(
 INDEX(
  _xlfn._xlws.FILTER($V$1:$AW$1,
   TRANSPOSE(
    CHOOSE({1;2;3;4;5;6;7;8;9;10;11;12;13;14;15;16;17;18;19;20;21;22;23;24;25;26;27;28},
     COUNTIFS($V$2:$V$200,$G350)&gt;0,
     COUNTIFS($W$2:$W$200,$G350)&gt;0,
     COUNTIFS($X$2:$X$200,$G350)&gt;0,
     COUNTIFS($Y$2:$Y$200,$G350)&gt;0,
     COUNTIFS($Z$2:$Z$200,$G350)&gt;0,
     COUNTIFS($AA$2:$AA$200,$G350)&gt;0,
     COUNTIFS($AB$2:$AB$200,$G350)&gt;0,
     COUNTIFS($AC$2:$AC$200,$G350)&gt;0,
     COUNTIFS($AD$2:$AD$200,$G350)&gt;0,
     COUNTIFS($AE$2:$AE$200,$G350)&gt;0,
     COUNTIFS($AF$2:$AF$200,$G350)&gt;0,
     COUNTIFS($AG$2:$AG$200,$G350)&gt;0,
     COUNTIFS($AH$2:$AH$200,$G350)&gt;0,
     COUNTIFS($AI$2:$AI$200,$G350)&gt;0,
     COUNTIFS($AJ$2:$AJ$200,$G350)&gt;0,
     COUNTIFS($AK$2:$AK$200,$G350)&gt;0,
     COUNTIFS($AL$2:$AL$200,$G350)&gt;0,
     COUNTIFS($AM$2:$AM$200,$G350)&gt;0,
     COUNTIFS($AN$2:$AN$200,$G350)&gt;0,
     COUNTIFS($AO$2:$AO$200,$G350)&gt;0,
     COUNTIFS($AP$2:$AP$200,$G350)&gt;0,
     COUNTIFS($AQ$2:$AQ$200,$G350)&gt;0,
     COUNTIFS($AR$2:$AR$200,$G350)&gt;0,
     COUNTIFS($AS$2:$AS$200,$G350)&gt;0,
     COUNTIFS($AT$2:$AT$200,$G350)&gt;0,
     COUNTIFS($AU$2:$AU$200,$G350)&gt;0,
     COUNTIFS($AV$2:$AV$200,$G350)&gt;0,
     COUNTIFS($AW$2:$AW$200,$G350)&gt;0
   )),
  ),
  2
 ),
"")</f>
        <v/>
      </c>
      <c r="E350" s="2" t="str" cm="1">
        <f t="array" aca="1" ref="E350" ca="1">IFERROR(
 INDEX($V$1:$AW$1,
  _xlfn.AGGREGATE(15,6,
   (COLUMN($V$1:$AW$1)-COLUMN($V$1)+1)/
   TRANSPOSE(
    CHOOSE({1;2;3;4;5;6;7;8;9;10;11;12;13;14;15;16;17;18;19;20;21;22;23;24;25;26;27;28},
     COUNTIFS($V$2:$V$200,$G350)&gt;0,
     COUNTIFS($W$2:$W$200,$G350)&gt;0,
     COUNTIFS($X$2:$X$200,$G350)&gt;0,
     COUNTIFS($Y$2:$Y$200,$G350)&gt;0,
     COUNTIFS($Z$2:$Z$200,$G350)&gt;0,
     COUNTIFS($AA$2:$AA$200,$G350)&gt;0,
     COUNTIFS($AB$2:$AB$200,$G350)&gt;0,
     COUNTIFS($AC$2:$AC$200,$G350)&gt;0,
     COUNTIFS($AD$2:$AD$200,$G350)&gt;0,
     COUNTIFS($AE$2:$AE$200,$G350)&gt;0,
     COUNTIFS($AF$2:$AF$200,$G350)&gt;0,
     COUNTIFS($AG$2:$AG$200,$G350)&gt;0,
     COUNTIFS($AH$2:$AH$200,$G350)&gt;0,
     COUNTIFS($AI$2:$AI$200,$G350)&gt;0,
     COUNTIFS($AJ$2:$AJ$200,$G350)&gt;0,
     COUNTIFS($AK$2:$AK$200,$G350)&gt;0,
     COUNTIFS($AL$2:$AL$200,$G350)&gt;0,
     COUNTIFS($AM$2:$AM$200,$G350)&gt;0,
     COUNTIFS($AN$2:$AN$200,$G350)&gt;0,
     COUNTIFS($AO$2:$AO$200,$G350)&gt;0,
     COUNTIFS($AP$2:$AP$200,$G350)&gt;0,
     COUNTIFS($AQ$2:$AQ$200,$G350)&gt;0,
     COUNTIFS($AR$2:$AR$200,$G350)&gt;0,
     COUNTIFS($AS$2:$AS$200,$G350)&gt;0,
     COUNTIFS($AT$2:$AT$200,$G350)&gt;0,
     COUNTIFS($AU$2:$AU$200,$G350)&gt;0,
     COUNTIFS($AV$2:$AV$200,$G350)&gt;0,
     COUNTIFS($AW$2:$AW$200,$G350)&gt;0
   )),
  3)
 ),
"")</f>
        <v/>
      </c>
      <c r="F350" s="2" t="str" cm="1">
        <f t="array" aca="1" ref="F350" ca="1">IFERROR(
 INDEX($V$1:$AW$1,
  _xlfn.AGGREGATE(15,6,
   (COLUMN($V$1:$AW$1)-COLUMN($V$1)+1)/
   TRANSPOSE(
    CHOOSE({1;2;3;4;5;6;7;8;9;10;11;12;13;14;15;16;17;18;19;20;21;22;23;24;25;26;27;28},
     COUNTIFS($V$2:$V$200,$G350)&gt;0,
     COUNTIFS($W$2:$W$200,$G350)&gt;0,
     COUNTIFS($X$2:$X$200,$G350)&gt;0,
     COUNTIFS($Y$2:$Y$200,$G350)&gt;0,
     COUNTIFS($Z$2:$Z$200,$G350)&gt;0,
     COUNTIFS($AA$2:$AA$200,$G350)&gt;0,
     COUNTIFS($AB$2:$AB$200,$G350)&gt;0,
     COUNTIFS($AC$2:$AC$200,$G350)&gt;0,
     COUNTIFS($AD$2:$AD$200,$G350)&gt;0,
     COUNTIFS($AE$2:$AE$200,$G350)&gt;0,
     COUNTIFS($AF$2:$AF$200,$G350)&gt;0,
     COUNTIFS($AG$2:$AG$200,$G350)&gt;0,
     COUNTIFS($AH$2:$AH$200,$G350)&gt;0,
     COUNTIFS($AI$2:$AI$200,$G350)&gt;0,
     COUNTIFS($AJ$2:$AJ$200,$G350)&gt;0,
     COUNTIFS($AK$2:$AK$200,$G350)&gt;0,
     COUNTIFS($AL$2:$AL$200,$G350)&gt;0,
     COUNTIFS($AM$2:$AM$200,$G350)&gt;0,
     COUNTIFS($AN$2:$AN$200,$G350)&gt;0,
     COUNTIFS($AO$2:$AO$200,$G350)&gt;0,
     COUNTIFS($AP$2:$AP$200,$G350)&gt;0,
     COUNTIFS($AQ$2:$AQ$200,$G350)&gt;0,
     COUNTIFS($AR$2:$AR$200,$G350)&gt;0,
     COUNTIFS($AS$2:$AS$200,$G350)&gt;0,
     COUNTIFS($AT$2:$AT$200,$G350)&gt;0,
     COUNTIFS($AU$2:$AU$200,$G350)&gt;0,
     COUNTIFS($AV$2:$AV$200,$G350)&gt;0,
     COUNTIFS($AW$2:$AW$200,$G350)&gt;0
   )),
  4)
 ),
"")</f>
        <v/>
      </c>
      <c r="G350" t="str">
        <f ca="1"/>
        <v>Red XIII, Proud Warrior</v>
      </c>
      <c r="EU350" t="str">
        <f ca="1"/>
        <v>Ulamog's Dreadsire</v>
      </c>
      <c r="EX350" t="str">
        <f ca="1"/>
        <v>Red XIII, Proud Warrior</v>
      </c>
    </row>
    <row r="351" spans="1:154" x14ac:dyDescent="0.25">
      <c r="A351" s="2" t="str">
        <f t="shared" ca="1" si="16"/>
        <v>1</v>
      </c>
      <c r="B351" s="2">
        <f t="shared" ca="1" si="17"/>
        <v>1</v>
      </c>
      <c r="C351" s="2" t="str">
        <f ca="1">IFERROR(
 INDEX($V$1:$BL$1,
  MATCH(TRUE,
   CHOOSE({1;2;3;4;5;6;7;8;9;10;11;12;13;14;15;16;17;18;19;20;21;22;23;24;25;26;27;28;29;30;31;32;33;34;35;36;37;38;39;40;41;42;43},
    COUNTIFS($V$2:$V$200,$G351)&gt;0,
    COUNTIFS($W$2:$W$200,$G351)&gt;0,
    COUNTIFS($X$2:$X$200,$G351)&gt;0,
    COUNTIFS($Y$2:$Y$200,$G351)&gt;0,
    COUNTIFS($Z$2:$Z$200,$G351)&gt;0,
    COUNTIFS($AA$2:$AA$200,$G351)&gt;0,
    COUNTIFS($AB$2:$AB$200,$G351)&gt;0,
    COUNTIFS($AC$2:$AC$200,$G351)&gt;0,
    COUNTIFS($AD$2:$AD$200,$G351)&gt;0,
    COUNTIFS($AE$2:$AE$200,$G351)&gt;0,
    COUNTIFS($AF$2:$AF$200,$G351)&gt;0,
    COUNTIFS($AG$2:$AG$200,$G351)&gt;0,
    COUNTIFS($AH$2:$AH$200,$G351)&gt;0,
    COUNTIFS($AI$2:$AI$200,$G351)&gt;0,
    COUNTIFS($AJ$2:$AJ$200,$G351)&gt;0,
    COUNTIFS($AK$2:$AK$200,$G351)&gt;0,
    COUNTIFS($AL$2:$AL$200,$G351)&gt;0,
    COUNTIFS($AM$2:$AM$200,$G351)&gt;0,
    COUNTIFS($AN$2:$AN$200,$G351)&gt;0,
    COUNTIFS($AO$2:$AO$200,$G351)&gt;0,
    COUNTIFS($AP$2:$AP$200,$G351)&gt;0,
    COUNTIFS($AQ$2:$AQ$200,$G351)&gt;0,
    COUNTIFS($AR$2:$AR$200,$G351)&gt;0,
    COUNTIFS($AS$2:$AS$200,$G351)&gt;0,
    COUNTIFS($AT$2:$AT$200,$G351)&gt;0,
    COUNTIFS($AU$2:$AU$200,$G351)&gt;0,
    COUNTIFS($AV$2:$AV$200,$G351)&gt;0,
    COUNTIFS($AW$2:$AW$200,$G351)&gt;0,
    COUNTIFS($AX$2:$AX$200,$G351)&gt;0,
    COUNTIFS($AY$2:$AY$200,$G351)&gt;0,
    COUNTIFS($AZ$2:$AZ$200,$G351)&gt;0,
    COUNTIFS($BA$2:$BA$200,$G351)&gt;0,
    COUNTIFS($BB$2:$BB$200,$G351)&gt;0,
    COUNTIFS($BC$2:$BC$200,$G351)&gt;0,
    COUNTIFS($BD$2:$BD$200,$G351)&gt;0,
    COUNTIFS($BE$2:$BE$200,$G351)&gt;0,
    COUNTIFS($BF$2:$BF$200,$G351)&gt;0,
    COUNTIFS($BG$2:$BG$200,$G351)&gt;0,
    COUNTIFS($BH$2:$BH$200,$G351)&gt;0,
    COUNTIFS($BI$2:$BI$200,$G351)&gt;0,
    COUNTIFS($BJ$2:$BJ$200,$G351)&gt;0,
    COUNTIFS($BK$2:$BK$200,$G351)&gt;0,
    COUNTIFS($BL$2:$BL$200,$G351)&gt;0,
    COUNTIFS($BM$2:$BM$200,$G351)&gt;0,
   ),
  0)
 ),
"")</f>
        <v>Breya</v>
      </c>
      <c r="D351" s="2" t="str" cm="1">
        <f t="array" aca="1" ref="D351" ca="1">IFERROR(
 INDEX(
  _xlfn._xlws.FILTER($V$1:$AW$1,
   TRANSPOSE(
    CHOOSE({1;2;3;4;5;6;7;8;9;10;11;12;13;14;15;16;17;18;19;20;21;22;23;24;25;26;27;28},
     COUNTIFS($V$2:$V$200,$G351)&gt;0,
     COUNTIFS($W$2:$W$200,$G351)&gt;0,
     COUNTIFS($X$2:$X$200,$G351)&gt;0,
     COUNTIFS($Y$2:$Y$200,$G351)&gt;0,
     COUNTIFS($Z$2:$Z$200,$G351)&gt;0,
     COUNTIFS($AA$2:$AA$200,$G351)&gt;0,
     COUNTIFS($AB$2:$AB$200,$G351)&gt;0,
     COUNTIFS($AC$2:$AC$200,$G351)&gt;0,
     COUNTIFS($AD$2:$AD$200,$G351)&gt;0,
     COUNTIFS($AE$2:$AE$200,$G351)&gt;0,
     COUNTIFS($AF$2:$AF$200,$G351)&gt;0,
     COUNTIFS($AG$2:$AG$200,$G351)&gt;0,
     COUNTIFS($AH$2:$AH$200,$G351)&gt;0,
     COUNTIFS($AI$2:$AI$200,$G351)&gt;0,
     COUNTIFS($AJ$2:$AJ$200,$G351)&gt;0,
     COUNTIFS($AK$2:$AK$200,$G351)&gt;0,
     COUNTIFS($AL$2:$AL$200,$G351)&gt;0,
     COUNTIFS($AM$2:$AM$200,$G351)&gt;0,
     COUNTIFS($AN$2:$AN$200,$G351)&gt;0,
     COUNTIFS($AO$2:$AO$200,$G351)&gt;0,
     COUNTIFS($AP$2:$AP$200,$G351)&gt;0,
     COUNTIFS($AQ$2:$AQ$200,$G351)&gt;0,
     COUNTIFS($AR$2:$AR$200,$G351)&gt;0,
     COUNTIFS($AS$2:$AS$200,$G351)&gt;0,
     COUNTIFS($AT$2:$AT$200,$G351)&gt;0,
     COUNTIFS($AU$2:$AU$200,$G351)&gt;0,
     COUNTIFS($AV$2:$AV$200,$G351)&gt;0,
     COUNTIFS($AW$2:$AW$200,$G351)&gt;0
   )),
  ),
  2
 ),
"")</f>
        <v/>
      </c>
      <c r="E351" s="2" t="str" cm="1">
        <f t="array" aca="1" ref="E351" ca="1">IFERROR(
 INDEX($V$1:$AW$1,
  _xlfn.AGGREGATE(15,6,
   (COLUMN($V$1:$AW$1)-COLUMN($V$1)+1)/
   TRANSPOSE(
    CHOOSE({1;2;3;4;5;6;7;8;9;10;11;12;13;14;15;16;17;18;19;20;21;22;23;24;25;26;27;28},
     COUNTIFS($V$2:$V$200,$G351)&gt;0,
     COUNTIFS($W$2:$W$200,$G351)&gt;0,
     COUNTIFS($X$2:$X$200,$G351)&gt;0,
     COUNTIFS($Y$2:$Y$200,$G351)&gt;0,
     COUNTIFS($Z$2:$Z$200,$G351)&gt;0,
     COUNTIFS($AA$2:$AA$200,$G351)&gt;0,
     COUNTIFS($AB$2:$AB$200,$G351)&gt;0,
     COUNTIFS($AC$2:$AC$200,$G351)&gt;0,
     COUNTIFS($AD$2:$AD$200,$G351)&gt;0,
     COUNTIFS($AE$2:$AE$200,$G351)&gt;0,
     COUNTIFS($AF$2:$AF$200,$G351)&gt;0,
     COUNTIFS($AG$2:$AG$200,$G351)&gt;0,
     COUNTIFS($AH$2:$AH$200,$G351)&gt;0,
     COUNTIFS($AI$2:$AI$200,$G351)&gt;0,
     COUNTIFS($AJ$2:$AJ$200,$G351)&gt;0,
     COUNTIFS($AK$2:$AK$200,$G351)&gt;0,
     COUNTIFS($AL$2:$AL$200,$G351)&gt;0,
     COUNTIFS($AM$2:$AM$200,$G351)&gt;0,
     COUNTIFS($AN$2:$AN$200,$G351)&gt;0,
     COUNTIFS($AO$2:$AO$200,$G351)&gt;0,
     COUNTIFS($AP$2:$AP$200,$G351)&gt;0,
     COUNTIFS($AQ$2:$AQ$200,$G351)&gt;0,
     COUNTIFS($AR$2:$AR$200,$G351)&gt;0,
     COUNTIFS($AS$2:$AS$200,$G351)&gt;0,
     COUNTIFS($AT$2:$AT$200,$G351)&gt;0,
     COUNTIFS($AU$2:$AU$200,$G351)&gt;0,
     COUNTIFS($AV$2:$AV$200,$G351)&gt;0,
     COUNTIFS($AW$2:$AW$200,$G351)&gt;0
   )),
  3)
 ),
"")</f>
        <v/>
      </c>
      <c r="F351" s="2" t="str" cm="1">
        <f t="array" aca="1" ref="F351" ca="1">IFERROR(
 INDEX($V$1:$AW$1,
  _xlfn.AGGREGATE(15,6,
   (COLUMN($V$1:$AW$1)-COLUMN($V$1)+1)/
   TRANSPOSE(
    CHOOSE({1;2;3;4;5;6;7;8;9;10;11;12;13;14;15;16;17;18;19;20;21;22;23;24;25;26;27;28},
     COUNTIFS($V$2:$V$200,$G351)&gt;0,
     COUNTIFS($W$2:$W$200,$G351)&gt;0,
     COUNTIFS($X$2:$X$200,$G351)&gt;0,
     COUNTIFS($Y$2:$Y$200,$G351)&gt;0,
     COUNTIFS($Z$2:$Z$200,$G351)&gt;0,
     COUNTIFS($AA$2:$AA$200,$G351)&gt;0,
     COUNTIFS($AB$2:$AB$200,$G351)&gt;0,
     COUNTIFS($AC$2:$AC$200,$G351)&gt;0,
     COUNTIFS($AD$2:$AD$200,$G351)&gt;0,
     COUNTIFS($AE$2:$AE$200,$G351)&gt;0,
     COUNTIFS($AF$2:$AF$200,$G351)&gt;0,
     COUNTIFS($AG$2:$AG$200,$G351)&gt;0,
     COUNTIFS($AH$2:$AH$200,$G351)&gt;0,
     COUNTIFS($AI$2:$AI$200,$G351)&gt;0,
     COUNTIFS($AJ$2:$AJ$200,$G351)&gt;0,
     COUNTIFS($AK$2:$AK$200,$G351)&gt;0,
     COUNTIFS($AL$2:$AL$200,$G351)&gt;0,
     COUNTIFS($AM$2:$AM$200,$G351)&gt;0,
     COUNTIFS($AN$2:$AN$200,$G351)&gt;0,
     COUNTIFS($AO$2:$AO$200,$G351)&gt;0,
     COUNTIFS($AP$2:$AP$200,$G351)&gt;0,
     COUNTIFS($AQ$2:$AQ$200,$G351)&gt;0,
     COUNTIFS($AR$2:$AR$200,$G351)&gt;0,
     COUNTIFS($AS$2:$AS$200,$G351)&gt;0,
     COUNTIFS($AT$2:$AT$200,$G351)&gt;0,
     COUNTIFS($AU$2:$AU$200,$G351)&gt;0,
     COUNTIFS($AV$2:$AV$200,$G351)&gt;0,
     COUNTIFS($AW$2:$AW$200,$G351)&gt;0
   )),
  4)
 ),
"")</f>
        <v/>
      </c>
      <c r="G351" t="str">
        <f ca="1"/>
        <v>Reflecting Pool</v>
      </c>
      <c r="EU351" t="str">
        <f ca="1"/>
        <v>Unbreakable Formation</v>
      </c>
      <c r="EX351" t="str">
        <f ca="1"/>
        <v>Reflecting Pool</v>
      </c>
    </row>
    <row r="352" spans="1:154" x14ac:dyDescent="0.25">
      <c r="A352" s="2" t="str">
        <f t="shared" ca="1" si="16"/>
        <v>4</v>
      </c>
      <c r="B352" s="2">
        <f t="shared" ca="1" si="17"/>
        <v>1</v>
      </c>
      <c r="C352" s="2" t="str">
        <f ca="1">IFERROR(
 INDEX($V$1:$BL$1,
  MATCH(TRUE,
   CHOOSE({1;2;3;4;5;6;7;8;9;10;11;12;13;14;15;16;17;18;19;20;21;22;23;24;25;26;27;28;29;30;31;32;33;34;35;36;37;38;39;40;41;42;43},
    COUNTIFS($V$2:$V$200,$G352)&gt;0,
    COUNTIFS($W$2:$W$200,$G352)&gt;0,
    COUNTIFS($X$2:$X$200,$G352)&gt;0,
    COUNTIFS($Y$2:$Y$200,$G352)&gt;0,
    COUNTIFS($Z$2:$Z$200,$G352)&gt;0,
    COUNTIFS($AA$2:$AA$200,$G352)&gt;0,
    COUNTIFS($AB$2:$AB$200,$G352)&gt;0,
    COUNTIFS($AC$2:$AC$200,$G352)&gt;0,
    COUNTIFS($AD$2:$AD$200,$G352)&gt;0,
    COUNTIFS($AE$2:$AE$200,$G352)&gt;0,
    COUNTIFS($AF$2:$AF$200,$G352)&gt;0,
    COUNTIFS($AG$2:$AG$200,$G352)&gt;0,
    COUNTIFS($AH$2:$AH$200,$G352)&gt;0,
    COUNTIFS($AI$2:$AI$200,$G352)&gt;0,
    COUNTIFS($AJ$2:$AJ$200,$G352)&gt;0,
    COUNTIFS($AK$2:$AK$200,$G352)&gt;0,
    COUNTIFS($AL$2:$AL$200,$G352)&gt;0,
    COUNTIFS($AM$2:$AM$200,$G352)&gt;0,
    COUNTIFS($AN$2:$AN$200,$G352)&gt;0,
    COUNTIFS($AO$2:$AO$200,$G352)&gt;0,
    COUNTIFS($AP$2:$AP$200,$G352)&gt;0,
    COUNTIFS($AQ$2:$AQ$200,$G352)&gt;0,
    COUNTIFS($AR$2:$AR$200,$G352)&gt;0,
    COUNTIFS($AS$2:$AS$200,$G352)&gt;0,
    COUNTIFS($AT$2:$AT$200,$G352)&gt;0,
    COUNTIFS($AU$2:$AU$200,$G352)&gt;0,
    COUNTIFS($AV$2:$AV$200,$G352)&gt;0,
    COUNTIFS($AW$2:$AW$200,$G352)&gt;0,
    COUNTIFS($AX$2:$AX$200,$G352)&gt;0,
    COUNTIFS($AY$2:$AY$200,$G352)&gt;0,
    COUNTIFS($AZ$2:$AZ$200,$G352)&gt;0,
    COUNTIFS($BA$2:$BA$200,$G352)&gt;0,
    COUNTIFS($BB$2:$BB$200,$G352)&gt;0,
    COUNTIFS($BC$2:$BC$200,$G352)&gt;0,
    COUNTIFS($BD$2:$BD$200,$G352)&gt;0,
    COUNTIFS($BE$2:$BE$200,$G352)&gt;0,
    COUNTIFS($BF$2:$BF$200,$G352)&gt;0,
    COUNTIFS($BG$2:$BG$200,$G352)&gt;0,
    COUNTIFS($BH$2:$BH$200,$G352)&gt;0,
    COUNTIFS($BI$2:$BI$200,$G352)&gt;0,
    COUNTIFS($BJ$2:$BJ$200,$G352)&gt;0,
    COUNTIFS($BK$2:$BK$200,$G352)&gt;0,
    COUNTIFS($BL$2:$BL$200,$G352)&gt;0,
    COUNTIFS($BM$2:$BM$200,$G352)&gt;0,
   ),
  0)
 ),
"")</f>
        <v>Narset</v>
      </c>
      <c r="D352" s="2" t="str" cm="1">
        <f t="array" aca="1" ref="D352" ca="1">IFERROR(
 INDEX(
  _xlfn._xlws.FILTER($V$1:$AW$1,
   TRANSPOSE(
    CHOOSE({1;2;3;4;5;6;7;8;9;10;11;12;13;14;15;16;17;18;19;20;21;22;23;24;25;26;27;28},
     COUNTIFS($V$2:$V$200,$G352)&gt;0,
     COUNTIFS($W$2:$W$200,$G352)&gt;0,
     COUNTIFS($X$2:$X$200,$G352)&gt;0,
     COUNTIFS($Y$2:$Y$200,$G352)&gt;0,
     COUNTIFS($Z$2:$Z$200,$G352)&gt;0,
     COUNTIFS($AA$2:$AA$200,$G352)&gt;0,
     COUNTIFS($AB$2:$AB$200,$G352)&gt;0,
     COUNTIFS($AC$2:$AC$200,$G352)&gt;0,
     COUNTIFS($AD$2:$AD$200,$G352)&gt;0,
     COUNTIFS($AE$2:$AE$200,$G352)&gt;0,
     COUNTIFS($AF$2:$AF$200,$G352)&gt;0,
     COUNTIFS($AG$2:$AG$200,$G352)&gt;0,
     COUNTIFS($AH$2:$AH$200,$G352)&gt;0,
     COUNTIFS($AI$2:$AI$200,$G352)&gt;0,
     COUNTIFS($AJ$2:$AJ$200,$G352)&gt;0,
     COUNTIFS($AK$2:$AK$200,$G352)&gt;0,
     COUNTIFS($AL$2:$AL$200,$G352)&gt;0,
     COUNTIFS($AM$2:$AM$200,$G352)&gt;0,
     COUNTIFS($AN$2:$AN$200,$G352)&gt;0,
     COUNTIFS($AO$2:$AO$200,$G352)&gt;0,
     COUNTIFS($AP$2:$AP$200,$G352)&gt;0,
     COUNTIFS($AQ$2:$AQ$200,$G352)&gt;0,
     COUNTIFS($AR$2:$AR$200,$G352)&gt;0,
     COUNTIFS($AS$2:$AS$200,$G352)&gt;0,
     COUNTIFS($AT$2:$AT$200,$G352)&gt;0,
     COUNTIFS($AU$2:$AU$200,$G352)&gt;0,
     COUNTIFS($AV$2:$AV$200,$G352)&gt;0,
     COUNTIFS($AW$2:$AW$200,$G352)&gt;0
   )),
  ),
  2
 ),
"")</f>
        <v/>
      </c>
      <c r="E352" s="2" t="str" cm="1">
        <f t="array" aca="1" ref="E352" ca="1">IFERROR(
 INDEX($V$1:$AW$1,
  _xlfn.AGGREGATE(15,6,
   (COLUMN($V$1:$AW$1)-COLUMN($V$1)+1)/
   TRANSPOSE(
    CHOOSE({1;2;3;4;5;6;7;8;9;10;11;12;13;14;15;16;17;18;19;20;21;22;23;24;25;26;27;28},
     COUNTIFS($V$2:$V$200,$G352)&gt;0,
     COUNTIFS($W$2:$W$200,$G352)&gt;0,
     COUNTIFS($X$2:$X$200,$G352)&gt;0,
     COUNTIFS($Y$2:$Y$200,$G352)&gt;0,
     COUNTIFS($Z$2:$Z$200,$G352)&gt;0,
     COUNTIFS($AA$2:$AA$200,$G352)&gt;0,
     COUNTIFS($AB$2:$AB$200,$G352)&gt;0,
     COUNTIFS($AC$2:$AC$200,$G352)&gt;0,
     COUNTIFS($AD$2:$AD$200,$G352)&gt;0,
     COUNTIFS($AE$2:$AE$200,$G352)&gt;0,
     COUNTIFS($AF$2:$AF$200,$G352)&gt;0,
     COUNTIFS($AG$2:$AG$200,$G352)&gt;0,
     COUNTIFS($AH$2:$AH$200,$G352)&gt;0,
     COUNTIFS($AI$2:$AI$200,$G352)&gt;0,
     COUNTIFS($AJ$2:$AJ$200,$G352)&gt;0,
     COUNTIFS($AK$2:$AK$200,$G352)&gt;0,
     COUNTIFS($AL$2:$AL$200,$G352)&gt;0,
     COUNTIFS($AM$2:$AM$200,$G352)&gt;0,
     COUNTIFS($AN$2:$AN$200,$G352)&gt;0,
     COUNTIFS($AO$2:$AO$200,$G352)&gt;0,
     COUNTIFS($AP$2:$AP$200,$G352)&gt;0,
     COUNTIFS($AQ$2:$AQ$200,$G352)&gt;0,
     COUNTIFS($AR$2:$AR$200,$G352)&gt;0,
     COUNTIFS($AS$2:$AS$200,$G352)&gt;0,
     COUNTIFS($AT$2:$AT$200,$G352)&gt;0,
     COUNTIFS($AU$2:$AU$200,$G352)&gt;0,
     COUNTIFS($AV$2:$AV$200,$G352)&gt;0,
     COUNTIFS($AW$2:$AW$200,$G352)&gt;0
   )),
  3)
 ),
"")</f>
        <v/>
      </c>
      <c r="F352" s="2" t="str" cm="1">
        <f t="array" aca="1" ref="F352" ca="1">IFERROR(
 INDEX($V$1:$AW$1,
  _xlfn.AGGREGATE(15,6,
   (COLUMN($V$1:$AW$1)-COLUMN($V$1)+1)/
   TRANSPOSE(
    CHOOSE({1;2;3;4;5;6;7;8;9;10;11;12;13;14;15;16;17;18;19;20;21;22;23;24;25;26;27;28},
     COUNTIFS($V$2:$V$200,$G352)&gt;0,
     COUNTIFS($W$2:$W$200,$G352)&gt;0,
     COUNTIFS($X$2:$X$200,$G352)&gt;0,
     COUNTIFS($Y$2:$Y$200,$G352)&gt;0,
     COUNTIFS($Z$2:$Z$200,$G352)&gt;0,
     COUNTIFS($AA$2:$AA$200,$G352)&gt;0,
     COUNTIFS($AB$2:$AB$200,$G352)&gt;0,
     COUNTIFS($AC$2:$AC$200,$G352)&gt;0,
     COUNTIFS($AD$2:$AD$200,$G352)&gt;0,
     COUNTIFS($AE$2:$AE$200,$G352)&gt;0,
     COUNTIFS($AF$2:$AF$200,$G352)&gt;0,
     COUNTIFS($AG$2:$AG$200,$G352)&gt;0,
     COUNTIFS($AH$2:$AH$200,$G352)&gt;0,
     COUNTIFS($AI$2:$AI$200,$G352)&gt;0,
     COUNTIFS($AJ$2:$AJ$200,$G352)&gt;0,
     COUNTIFS($AK$2:$AK$200,$G352)&gt;0,
     COUNTIFS($AL$2:$AL$200,$G352)&gt;0,
     COUNTIFS($AM$2:$AM$200,$G352)&gt;0,
     COUNTIFS($AN$2:$AN$200,$G352)&gt;0,
     COUNTIFS($AO$2:$AO$200,$G352)&gt;0,
     COUNTIFS($AP$2:$AP$200,$G352)&gt;0,
     COUNTIFS($AQ$2:$AQ$200,$G352)&gt;0,
     COUNTIFS($AR$2:$AR$200,$G352)&gt;0,
     COUNTIFS($AS$2:$AS$200,$G352)&gt;0,
     COUNTIFS($AT$2:$AT$200,$G352)&gt;0,
     COUNTIFS($AU$2:$AU$200,$G352)&gt;0,
     COUNTIFS($AV$2:$AV$200,$G352)&gt;0,
     COUNTIFS($AW$2:$AW$200,$G352)&gt;0
   )),
  4)
 ),
"")</f>
        <v/>
      </c>
      <c r="G352" t="str">
        <f ca="1"/>
        <v>Reforge the Soul</v>
      </c>
      <c r="EU352" t="str">
        <f ca="1"/>
        <v>Unholy Annex // Ritual Chamber</v>
      </c>
      <c r="EX352" t="str">
        <f ca="1"/>
        <v>Reforge the Soul</v>
      </c>
    </row>
    <row r="353" spans="1:154" x14ac:dyDescent="0.25">
      <c r="A353" s="2" t="str">
        <f t="shared" ca="1" si="16"/>
        <v>5</v>
      </c>
      <c r="B353" s="2">
        <f t="shared" ca="1" si="17"/>
        <v>1</v>
      </c>
      <c r="C353" s="2" t="str">
        <f ca="1">IFERROR(
 INDEX($V$1:$BL$1,
  MATCH(TRUE,
   CHOOSE({1;2;3;4;5;6;7;8;9;10;11;12;13;14;15;16;17;18;19;20;21;22;23;24;25;26;27;28;29;30;31;32;33;34;35;36;37;38;39;40;41;42;43},
    COUNTIFS($V$2:$V$200,$G353)&gt;0,
    COUNTIFS($W$2:$W$200,$G353)&gt;0,
    COUNTIFS($X$2:$X$200,$G353)&gt;0,
    COUNTIFS($Y$2:$Y$200,$G353)&gt;0,
    COUNTIFS($Z$2:$Z$200,$G353)&gt;0,
    COUNTIFS($AA$2:$AA$200,$G353)&gt;0,
    COUNTIFS($AB$2:$AB$200,$G353)&gt;0,
    COUNTIFS($AC$2:$AC$200,$G353)&gt;0,
    COUNTIFS($AD$2:$AD$200,$G353)&gt;0,
    COUNTIFS($AE$2:$AE$200,$G353)&gt;0,
    COUNTIFS($AF$2:$AF$200,$G353)&gt;0,
    COUNTIFS($AG$2:$AG$200,$G353)&gt;0,
    COUNTIFS($AH$2:$AH$200,$G353)&gt;0,
    COUNTIFS($AI$2:$AI$200,$G353)&gt;0,
    COUNTIFS($AJ$2:$AJ$200,$G353)&gt;0,
    COUNTIFS($AK$2:$AK$200,$G353)&gt;0,
    COUNTIFS($AL$2:$AL$200,$G353)&gt;0,
    COUNTIFS($AM$2:$AM$200,$G353)&gt;0,
    COUNTIFS($AN$2:$AN$200,$G353)&gt;0,
    COUNTIFS($AO$2:$AO$200,$G353)&gt;0,
    COUNTIFS($AP$2:$AP$200,$G353)&gt;0,
    COUNTIFS($AQ$2:$AQ$200,$G353)&gt;0,
    COUNTIFS($AR$2:$AR$200,$G353)&gt;0,
    COUNTIFS($AS$2:$AS$200,$G353)&gt;0,
    COUNTIFS($AT$2:$AT$200,$G353)&gt;0,
    COUNTIFS($AU$2:$AU$200,$G353)&gt;0,
    COUNTIFS($AV$2:$AV$200,$G353)&gt;0,
    COUNTIFS($AW$2:$AW$200,$G353)&gt;0,
    COUNTIFS($AX$2:$AX$200,$G353)&gt;0,
    COUNTIFS($AY$2:$AY$200,$G353)&gt;0,
    COUNTIFS($AZ$2:$AZ$200,$G353)&gt;0,
    COUNTIFS($BA$2:$BA$200,$G353)&gt;0,
    COUNTIFS($BB$2:$BB$200,$G353)&gt;0,
    COUNTIFS($BC$2:$BC$200,$G353)&gt;0,
    COUNTIFS($BD$2:$BD$200,$G353)&gt;0,
    COUNTIFS($BE$2:$BE$200,$G353)&gt;0,
    COUNTIFS($BF$2:$BF$200,$G353)&gt;0,
    COUNTIFS($BG$2:$BG$200,$G353)&gt;0,
    COUNTIFS($BH$2:$BH$200,$G353)&gt;0,
    COUNTIFS($BI$2:$BI$200,$G353)&gt;0,
    COUNTIFS($BJ$2:$BJ$200,$G353)&gt;0,
    COUNTIFS($BK$2:$BK$200,$G353)&gt;0,
    COUNTIFS($BL$2:$BL$200,$G353)&gt;0,
    COUNTIFS($BM$2:$BM$200,$G353)&gt;0,
   ),
  0)
 ),
"")</f>
        <v>Fractius</v>
      </c>
      <c r="D353" s="2" t="str" cm="1">
        <f t="array" aca="1" ref="D353" ca="1">IFERROR(
 INDEX(
  _xlfn._xlws.FILTER($V$1:$AW$1,
   TRANSPOSE(
    CHOOSE({1;2;3;4;5;6;7;8;9;10;11;12;13;14;15;16;17;18;19;20;21;22;23;24;25;26;27;28},
     COUNTIFS($V$2:$V$200,$G353)&gt;0,
     COUNTIFS($W$2:$W$200,$G353)&gt;0,
     COUNTIFS($X$2:$X$200,$G353)&gt;0,
     COUNTIFS($Y$2:$Y$200,$G353)&gt;0,
     COUNTIFS($Z$2:$Z$200,$G353)&gt;0,
     COUNTIFS($AA$2:$AA$200,$G353)&gt;0,
     COUNTIFS($AB$2:$AB$200,$G353)&gt;0,
     COUNTIFS($AC$2:$AC$200,$G353)&gt;0,
     COUNTIFS($AD$2:$AD$200,$G353)&gt;0,
     COUNTIFS($AE$2:$AE$200,$G353)&gt;0,
     COUNTIFS($AF$2:$AF$200,$G353)&gt;0,
     COUNTIFS($AG$2:$AG$200,$G353)&gt;0,
     COUNTIFS($AH$2:$AH$200,$G353)&gt;0,
     COUNTIFS($AI$2:$AI$200,$G353)&gt;0,
     COUNTIFS($AJ$2:$AJ$200,$G353)&gt;0,
     COUNTIFS($AK$2:$AK$200,$G353)&gt;0,
     COUNTIFS($AL$2:$AL$200,$G353)&gt;0,
     COUNTIFS($AM$2:$AM$200,$G353)&gt;0,
     COUNTIFS($AN$2:$AN$200,$G353)&gt;0,
     COUNTIFS($AO$2:$AO$200,$G353)&gt;0,
     COUNTIFS($AP$2:$AP$200,$G353)&gt;0,
     COUNTIFS($AQ$2:$AQ$200,$G353)&gt;0,
     COUNTIFS($AR$2:$AR$200,$G353)&gt;0,
     COUNTIFS($AS$2:$AS$200,$G353)&gt;0,
     COUNTIFS($AT$2:$AT$200,$G353)&gt;0,
     COUNTIFS($AU$2:$AU$200,$G353)&gt;0,
     COUNTIFS($AV$2:$AV$200,$G353)&gt;0,
     COUNTIFS($AW$2:$AW$200,$G353)&gt;0
   )),
  ),
  2
 ),
"")</f>
        <v/>
      </c>
      <c r="E353" s="2" t="str" cm="1">
        <f t="array" aca="1" ref="E353" ca="1">IFERROR(
 INDEX($V$1:$AW$1,
  _xlfn.AGGREGATE(15,6,
   (COLUMN($V$1:$AW$1)-COLUMN($V$1)+1)/
   TRANSPOSE(
    CHOOSE({1;2;3;4;5;6;7;8;9;10;11;12;13;14;15;16;17;18;19;20;21;22;23;24;25;26;27;28},
     COUNTIFS($V$2:$V$200,$G353)&gt;0,
     COUNTIFS($W$2:$W$200,$G353)&gt;0,
     COUNTIFS($X$2:$X$200,$G353)&gt;0,
     COUNTIFS($Y$2:$Y$200,$G353)&gt;0,
     COUNTIFS($Z$2:$Z$200,$G353)&gt;0,
     COUNTIFS($AA$2:$AA$200,$G353)&gt;0,
     COUNTIFS($AB$2:$AB$200,$G353)&gt;0,
     COUNTIFS($AC$2:$AC$200,$G353)&gt;0,
     COUNTIFS($AD$2:$AD$200,$G353)&gt;0,
     COUNTIFS($AE$2:$AE$200,$G353)&gt;0,
     COUNTIFS($AF$2:$AF$200,$G353)&gt;0,
     COUNTIFS($AG$2:$AG$200,$G353)&gt;0,
     COUNTIFS($AH$2:$AH$200,$G353)&gt;0,
     COUNTIFS($AI$2:$AI$200,$G353)&gt;0,
     COUNTIFS($AJ$2:$AJ$200,$G353)&gt;0,
     COUNTIFS($AK$2:$AK$200,$G353)&gt;0,
     COUNTIFS($AL$2:$AL$200,$G353)&gt;0,
     COUNTIFS($AM$2:$AM$200,$G353)&gt;0,
     COUNTIFS($AN$2:$AN$200,$G353)&gt;0,
     COUNTIFS($AO$2:$AO$200,$G353)&gt;0,
     COUNTIFS($AP$2:$AP$200,$G353)&gt;0,
     COUNTIFS($AQ$2:$AQ$200,$G353)&gt;0,
     COUNTIFS($AR$2:$AR$200,$G353)&gt;0,
     COUNTIFS($AS$2:$AS$200,$G353)&gt;0,
     COUNTIFS($AT$2:$AT$200,$G353)&gt;0,
     COUNTIFS($AU$2:$AU$200,$G353)&gt;0,
     COUNTIFS($AV$2:$AV$200,$G353)&gt;0,
     COUNTIFS($AW$2:$AW$200,$G353)&gt;0
   )),
  3)
 ),
"")</f>
        <v/>
      </c>
      <c r="F353" s="2" t="str" cm="1">
        <f t="array" aca="1" ref="F353" ca="1">IFERROR(
 INDEX($V$1:$AW$1,
  _xlfn.AGGREGATE(15,6,
   (COLUMN($V$1:$AW$1)-COLUMN($V$1)+1)/
   TRANSPOSE(
    CHOOSE({1;2;3;4;5;6;7;8;9;10;11;12;13;14;15;16;17;18;19;20;21;22;23;24;25;26;27;28},
     COUNTIFS($V$2:$V$200,$G353)&gt;0,
     COUNTIFS($W$2:$W$200,$G353)&gt;0,
     COUNTIFS($X$2:$X$200,$G353)&gt;0,
     COUNTIFS($Y$2:$Y$200,$G353)&gt;0,
     COUNTIFS($Z$2:$Z$200,$G353)&gt;0,
     COUNTIFS($AA$2:$AA$200,$G353)&gt;0,
     COUNTIFS($AB$2:$AB$200,$G353)&gt;0,
     COUNTIFS($AC$2:$AC$200,$G353)&gt;0,
     COUNTIFS($AD$2:$AD$200,$G353)&gt;0,
     COUNTIFS($AE$2:$AE$200,$G353)&gt;0,
     COUNTIFS($AF$2:$AF$200,$G353)&gt;0,
     COUNTIFS($AG$2:$AG$200,$G353)&gt;0,
     COUNTIFS($AH$2:$AH$200,$G353)&gt;0,
     COUNTIFS($AI$2:$AI$200,$G353)&gt;0,
     COUNTIFS($AJ$2:$AJ$200,$G353)&gt;0,
     COUNTIFS($AK$2:$AK$200,$G353)&gt;0,
     COUNTIFS($AL$2:$AL$200,$G353)&gt;0,
     COUNTIFS($AM$2:$AM$200,$G353)&gt;0,
     COUNTIFS($AN$2:$AN$200,$G353)&gt;0,
     COUNTIFS($AO$2:$AO$200,$G353)&gt;0,
     COUNTIFS($AP$2:$AP$200,$G353)&gt;0,
     COUNTIFS($AQ$2:$AQ$200,$G353)&gt;0,
     COUNTIFS($AR$2:$AR$200,$G353)&gt;0,
     COUNTIFS($AS$2:$AS$200,$G353)&gt;0,
     COUNTIFS($AT$2:$AT$200,$G353)&gt;0,
     COUNTIFS($AU$2:$AU$200,$G353)&gt;0,
     COUNTIFS($AV$2:$AV$200,$G353)&gt;0,
     COUNTIFS($AW$2:$AW$200,$G353)&gt;0
   )),
  4)
 ),
"")</f>
        <v/>
      </c>
      <c r="G353" t="str">
        <f ca="1"/>
        <v>Regal Sliver</v>
      </c>
      <c r="EU353" t="str">
        <f ca="1"/>
        <v>Unsettled Mariner</v>
      </c>
      <c r="EX353" t="str">
        <f ca="1"/>
        <v>Regal Sliver</v>
      </c>
    </row>
    <row r="354" spans="1:154" x14ac:dyDescent="0.25">
      <c r="A354" s="2" t="str">
        <f t="shared" ca="1" si="16"/>
        <v>2</v>
      </c>
      <c r="B354" s="2">
        <f t="shared" ca="1" si="17"/>
        <v>6</v>
      </c>
      <c r="C354" s="2" t="str">
        <f ca="1">IFERROR(
 INDEX($V$1:$BL$1,
  MATCH(TRUE,
   CHOOSE({1;2;3;4;5;6;7;8;9;10;11;12;13;14;15;16;17;18;19;20;21;22;23;24;25;26;27;28;29;30;31;32;33;34;35;36;37;38;39;40;41;42;43},
    COUNTIFS($V$2:$V$200,$G354)&gt;0,
    COUNTIFS($W$2:$W$200,$G354)&gt;0,
    COUNTIFS($X$2:$X$200,$G354)&gt;0,
    COUNTIFS($Y$2:$Y$200,$G354)&gt;0,
    COUNTIFS($Z$2:$Z$200,$G354)&gt;0,
    COUNTIFS($AA$2:$AA$200,$G354)&gt;0,
    COUNTIFS($AB$2:$AB$200,$G354)&gt;0,
    COUNTIFS($AC$2:$AC$200,$G354)&gt;0,
    COUNTIFS($AD$2:$AD$200,$G354)&gt;0,
    COUNTIFS($AE$2:$AE$200,$G354)&gt;0,
    COUNTIFS($AF$2:$AF$200,$G354)&gt;0,
    COUNTIFS($AG$2:$AG$200,$G354)&gt;0,
    COUNTIFS($AH$2:$AH$200,$G354)&gt;0,
    COUNTIFS($AI$2:$AI$200,$G354)&gt;0,
    COUNTIFS($AJ$2:$AJ$200,$G354)&gt;0,
    COUNTIFS($AK$2:$AK$200,$G354)&gt;0,
    COUNTIFS($AL$2:$AL$200,$G354)&gt;0,
    COUNTIFS($AM$2:$AM$200,$G354)&gt;0,
    COUNTIFS($AN$2:$AN$200,$G354)&gt;0,
    COUNTIFS($AO$2:$AO$200,$G354)&gt;0,
    COUNTIFS($AP$2:$AP$200,$G354)&gt;0,
    COUNTIFS($AQ$2:$AQ$200,$G354)&gt;0,
    COUNTIFS($AR$2:$AR$200,$G354)&gt;0,
    COUNTIFS($AS$2:$AS$200,$G354)&gt;0,
    COUNTIFS($AT$2:$AT$200,$G354)&gt;0,
    COUNTIFS($AU$2:$AU$200,$G354)&gt;0,
    COUNTIFS($AV$2:$AV$200,$G354)&gt;0,
    COUNTIFS($AW$2:$AW$200,$G354)&gt;0,
    COUNTIFS($AX$2:$AX$200,$G354)&gt;0,
    COUNTIFS($AY$2:$AY$200,$G354)&gt;0,
    COUNTIFS($AZ$2:$AZ$200,$G354)&gt;0,
    COUNTIFS($BA$2:$BA$200,$G354)&gt;0,
    COUNTIFS($BB$2:$BB$200,$G354)&gt;0,
    COUNTIFS($BC$2:$BC$200,$G354)&gt;0,
    COUNTIFS($BD$2:$BD$200,$G354)&gt;0,
    COUNTIFS($BE$2:$BE$200,$G354)&gt;0,
    COUNTIFS($BF$2:$BF$200,$G354)&gt;0,
    COUNTIFS($BG$2:$BG$200,$G354)&gt;0,
    COUNTIFS($BH$2:$BH$200,$G354)&gt;0,
    COUNTIFS($BI$2:$BI$200,$G354)&gt;0,
    COUNTIFS($BJ$2:$BJ$200,$G354)&gt;0,
    COUNTIFS($BK$2:$BK$200,$G354)&gt;0,
    COUNTIFS($BL$2:$BL$200,$G354)&gt;0,
    COUNTIFS($BM$2:$BM$200,$G354)&gt;0,
   ),
  0)
 ),
"")</f>
        <v>Piratas</v>
      </c>
      <c r="D354" s="2" t="str" cm="1">
        <f t="array" aca="1" ref="D354" ca="1">IFERROR(
 INDEX(
  _xlfn._xlws.FILTER($V$1:$AW$1,
   TRANSPOSE(
    CHOOSE({1;2;3;4;5;6;7;8;9;10;11;12;13;14;15;16;17;18;19;20;21;22;23;24;25;26;27;28},
     COUNTIFS($V$2:$V$200,$G354)&gt;0,
     COUNTIFS($W$2:$W$200,$G354)&gt;0,
     COUNTIFS($X$2:$X$200,$G354)&gt;0,
     COUNTIFS($Y$2:$Y$200,$G354)&gt;0,
     COUNTIFS($Z$2:$Z$200,$G354)&gt;0,
     COUNTIFS($AA$2:$AA$200,$G354)&gt;0,
     COUNTIFS($AB$2:$AB$200,$G354)&gt;0,
     COUNTIFS($AC$2:$AC$200,$G354)&gt;0,
     COUNTIFS($AD$2:$AD$200,$G354)&gt;0,
     COUNTIFS($AE$2:$AE$200,$G354)&gt;0,
     COUNTIFS($AF$2:$AF$200,$G354)&gt;0,
     COUNTIFS($AG$2:$AG$200,$G354)&gt;0,
     COUNTIFS($AH$2:$AH$200,$G354)&gt;0,
     COUNTIFS($AI$2:$AI$200,$G354)&gt;0,
     COUNTIFS($AJ$2:$AJ$200,$G354)&gt;0,
     COUNTIFS($AK$2:$AK$200,$G354)&gt;0,
     COUNTIFS($AL$2:$AL$200,$G354)&gt;0,
     COUNTIFS($AM$2:$AM$200,$G354)&gt;0,
     COUNTIFS($AN$2:$AN$200,$G354)&gt;0,
     COUNTIFS($AO$2:$AO$200,$G354)&gt;0,
     COUNTIFS($AP$2:$AP$200,$G354)&gt;0,
     COUNTIFS($AQ$2:$AQ$200,$G354)&gt;0,
     COUNTIFS($AR$2:$AR$200,$G354)&gt;0,
     COUNTIFS($AS$2:$AS$200,$G354)&gt;0,
     COUNTIFS($AT$2:$AT$200,$G354)&gt;0,
     COUNTIFS($AU$2:$AU$200,$G354)&gt;0,
     COUNTIFS($AV$2:$AV$200,$G354)&gt;0,
     COUNTIFS($AW$2:$AW$200,$G354)&gt;0
   )),
  ),
  2
 ),
"")</f>
        <v>Rani</v>
      </c>
      <c r="E354" s="2" t="str" cm="1">
        <f t="array" aca="1" ref="E354" ca="1">IFERROR(
 INDEX($V$1:$AW$1,
  _xlfn.AGGREGATE(15,6,
   (COLUMN($V$1:$AW$1)-COLUMN($V$1)+1)/
   TRANSPOSE(
    CHOOSE({1;2;3;4;5;6;7;8;9;10;11;12;13;14;15;16;17;18;19;20;21;22;23;24;25;26;27;28},
     COUNTIFS($V$2:$V$200,$G354)&gt;0,
     COUNTIFS($W$2:$W$200,$G354)&gt;0,
     COUNTIFS($X$2:$X$200,$G354)&gt;0,
     COUNTIFS($Y$2:$Y$200,$G354)&gt;0,
     COUNTIFS($Z$2:$Z$200,$G354)&gt;0,
     COUNTIFS($AA$2:$AA$200,$G354)&gt;0,
     COUNTIFS($AB$2:$AB$200,$G354)&gt;0,
     COUNTIFS($AC$2:$AC$200,$G354)&gt;0,
     COUNTIFS($AD$2:$AD$200,$G354)&gt;0,
     COUNTIFS($AE$2:$AE$200,$G354)&gt;0,
     COUNTIFS($AF$2:$AF$200,$G354)&gt;0,
     COUNTIFS($AG$2:$AG$200,$G354)&gt;0,
     COUNTIFS($AH$2:$AH$200,$G354)&gt;0,
     COUNTIFS($AI$2:$AI$200,$G354)&gt;0,
     COUNTIFS($AJ$2:$AJ$200,$G354)&gt;0,
     COUNTIFS($AK$2:$AK$200,$G354)&gt;0,
     COUNTIFS($AL$2:$AL$200,$G354)&gt;0,
     COUNTIFS($AM$2:$AM$200,$G354)&gt;0,
     COUNTIFS($AN$2:$AN$200,$G354)&gt;0,
     COUNTIFS($AO$2:$AO$200,$G354)&gt;0,
     COUNTIFS($AP$2:$AP$200,$G354)&gt;0,
     COUNTIFS($AQ$2:$AQ$200,$G354)&gt;0,
     COUNTIFS($AR$2:$AR$200,$G354)&gt;0,
     COUNTIFS($AS$2:$AS$200,$G354)&gt;0,
     COUNTIFS($AT$2:$AT$200,$G354)&gt;0,
     COUNTIFS($AU$2:$AU$200,$G354)&gt;0,
     COUNTIFS($AV$2:$AV$200,$G354)&gt;0,
     COUNTIFS($AW$2:$AW$200,$G354)&gt;0
   )),
  3)
 ),
"")</f>
        <v>Kumena</v>
      </c>
      <c r="F354" s="2" t="str" cm="1">
        <f t="array" aca="1" ref="F354" ca="1">IFERROR(
 INDEX($V$1:$AW$1,
  _xlfn.AGGREGATE(15,6,
   (COLUMN($V$1:$AW$1)-COLUMN($V$1)+1)/
   TRANSPOSE(
    CHOOSE({1;2;3;4;5;6;7;8;9;10;11;12;13;14;15;16;17;18;19;20;21;22;23;24;25;26;27;28},
     COUNTIFS($V$2:$V$200,$G354)&gt;0,
     COUNTIFS($W$2:$W$200,$G354)&gt;0,
     COUNTIFS($X$2:$X$200,$G354)&gt;0,
     COUNTIFS($Y$2:$Y$200,$G354)&gt;0,
     COUNTIFS($Z$2:$Z$200,$G354)&gt;0,
     COUNTIFS($AA$2:$AA$200,$G354)&gt;0,
     COUNTIFS($AB$2:$AB$200,$G354)&gt;0,
     COUNTIFS($AC$2:$AC$200,$G354)&gt;0,
     COUNTIFS($AD$2:$AD$200,$G354)&gt;0,
     COUNTIFS($AE$2:$AE$200,$G354)&gt;0,
     COUNTIFS($AF$2:$AF$200,$G354)&gt;0,
     COUNTIFS($AG$2:$AG$200,$G354)&gt;0,
     COUNTIFS($AH$2:$AH$200,$G354)&gt;0,
     COUNTIFS($AI$2:$AI$200,$G354)&gt;0,
     COUNTIFS($AJ$2:$AJ$200,$G354)&gt;0,
     COUNTIFS($AK$2:$AK$200,$G354)&gt;0,
     COUNTIFS($AL$2:$AL$200,$G354)&gt;0,
     COUNTIFS($AM$2:$AM$200,$G354)&gt;0,
     COUNTIFS($AN$2:$AN$200,$G354)&gt;0,
     COUNTIFS($AO$2:$AO$200,$G354)&gt;0,
     COUNTIFS($AP$2:$AP$200,$G354)&gt;0,
     COUNTIFS($AQ$2:$AQ$200,$G354)&gt;0,
     COUNTIFS($AR$2:$AR$200,$G354)&gt;0,
     COUNTIFS($AS$2:$AS$200,$G354)&gt;0,
     COUNTIFS($AT$2:$AT$200,$G354)&gt;0,
     COUNTIFS($AU$2:$AU$200,$G354)&gt;0,
     COUNTIFS($AV$2:$AV$200,$G354)&gt;0,
     COUNTIFS($AW$2:$AW$200,$G354)&gt;0
   )),
  4)
 ),
"")</f>
        <v>Inalla</v>
      </c>
      <c r="G354" t="str">
        <f ca="1"/>
        <v>Reliquary Tower</v>
      </c>
      <c r="EU354" t="str">
        <f ca="1"/>
        <v>Valfenda</v>
      </c>
      <c r="EX354" t="str">
        <f ca="1"/>
        <v>Reliquary Tower</v>
      </c>
    </row>
    <row r="355" spans="1:154" x14ac:dyDescent="0.25">
      <c r="A355" s="2" t="str">
        <f t="shared" ca="1" si="16"/>
        <v>2</v>
      </c>
      <c r="B355" s="2">
        <f t="shared" ca="1" si="17"/>
        <v>1</v>
      </c>
      <c r="C355" s="2" t="str">
        <f ca="1">IFERROR(
 INDEX($V$1:$BL$1,
  MATCH(TRUE,
   CHOOSE({1;2;3;4;5;6;7;8;9;10;11;12;13;14;15;16;17;18;19;20;21;22;23;24;25;26;27;28;29;30;31;32;33;34;35;36;37;38;39;40;41;42;43},
    COUNTIFS($V$2:$V$200,$G355)&gt;0,
    COUNTIFS($W$2:$W$200,$G355)&gt;0,
    COUNTIFS($X$2:$X$200,$G355)&gt;0,
    COUNTIFS($Y$2:$Y$200,$G355)&gt;0,
    COUNTIFS($Z$2:$Z$200,$G355)&gt;0,
    COUNTIFS($AA$2:$AA$200,$G355)&gt;0,
    COUNTIFS($AB$2:$AB$200,$G355)&gt;0,
    COUNTIFS($AC$2:$AC$200,$G355)&gt;0,
    COUNTIFS($AD$2:$AD$200,$G355)&gt;0,
    COUNTIFS($AE$2:$AE$200,$G355)&gt;0,
    COUNTIFS($AF$2:$AF$200,$G355)&gt;0,
    COUNTIFS($AG$2:$AG$200,$G355)&gt;0,
    COUNTIFS($AH$2:$AH$200,$G355)&gt;0,
    COUNTIFS($AI$2:$AI$200,$G355)&gt;0,
    COUNTIFS($AJ$2:$AJ$200,$G355)&gt;0,
    COUNTIFS($AK$2:$AK$200,$G355)&gt;0,
    COUNTIFS($AL$2:$AL$200,$G355)&gt;0,
    COUNTIFS($AM$2:$AM$200,$G355)&gt;0,
    COUNTIFS($AN$2:$AN$200,$G355)&gt;0,
    COUNTIFS($AO$2:$AO$200,$G355)&gt;0,
    COUNTIFS($AP$2:$AP$200,$G355)&gt;0,
    COUNTIFS($AQ$2:$AQ$200,$G355)&gt;0,
    COUNTIFS($AR$2:$AR$200,$G355)&gt;0,
    COUNTIFS($AS$2:$AS$200,$G355)&gt;0,
    COUNTIFS($AT$2:$AT$200,$G355)&gt;0,
    COUNTIFS($AU$2:$AU$200,$G355)&gt;0,
    COUNTIFS($AV$2:$AV$200,$G355)&gt;0,
    COUNTIFS($AW$2:$AW$200,$G355)&gt;0,
    COUNTIFS($AX$2:$AX$200,$G355)&gt;0,
    COUNTIFS($AY$2:$AY$200,$G355)&gt;0,
    COUNTIFS($AZ$2:$AZ$200,$G355)&gt;0,
    COUNTIFS($BA$2:$BA$200,$G355)&gt;0,
    COUNTIFS($BB$2:$BB$200,$G355)&gt;0,
    COUNTIFS($BC$2:$BC$200,$G355)&gt;0,
    COUNTIFS($BD$2:$BD$200,$G355)&gt;0,
    COUNTIFS($BE$2:$BE$200,$G355)&gt;0,
    COUNTIFS($BF$2:$BF$200,$G355)&gt;0,
    COUNTIFS($BG$2:$BG$200,$G355)&gt;0,
    COUNTIFS($BH$2:$BH$200,$G355)&gt;0,
    COUNTIFS($BI$2:$BI$200,$G355)&gt;0,
    COUNTIFS($BJ$2:$BJ$200,$G355)&gt;0,
    COUNTIFS($BK$2:$BK$200,$G355)&gt;0,
    COUNTIFS($BL$2:$BL$200,$G355)&gt;0,
    COUNTIFS($BM$2:$BM$200,$G355)&gt;0,
   ),
  0)
 ),
"")</f>
        <v>Alela</v>
      </c>
      <c r="D355" s="2" t="str" cm="1">
        <f t="array" aca="1" ref="D355" ca="1">IFERROR(
 INDEX(
  _xlfn._xlws.FILTER($V$1:$AW$1,
   TRANSPOSE(
    CHOOSE({1;2;3;4;5;6;7;8;9;10;11;12;13;14;15;16;17;18;19;20;21;22;23;24;25;26;27;28},
     COUNTIFS($V$2:$V$200,$G355)&gt;0,
     COUNTIFS($W$2:$W$200,$G355)&gt;0,
     COUNTIFS($X$2:$X$200,$G355)&gt;0,
     COUNTIFS($Y$2:$Y$200,$G355)&gt;0,
     COUNTIFS($Z$2:$Z$200,$G355)&gt;0,
     COUNTIFS($AA$2:$AA$200,$G355)&gt;0,
     COUNTIFS($AB$2:$AB$200,$G355)&gt;0,
     COUNTIFS($AC$2:$AC$200,$G355)&gt;0,
     COUNTIFS($AD$2:$AD$200,$G355)&gt;0,
     COUNTIFS($AE$2:$AE$200,$G355)&gt;0,
     COUNTIFS($AF$2:$AF$200,$G355)&gt;0,
     COUNTIFS($AG$2:$AG$200,$G355)&gt;0,
     COUNTIFS($AH$2:$AH$200,$G355)&gt;0,
     COUNTIFS($AI$2:$AI$200,$G355)&gt;0,
     COUNTIFS($AJ$2:$AJ$200,$G355)&gt;0,
     COUNTIFS($AK$2:$AK$200,$G355)&gt;0,
     COUNTIFS($AL$2:$AL$200,$G355)&gt;0,
     COUNTIFS($AM$2:$AM$200,$G355)&gt;0,
     COUNTIFS($AN$2:$AN$200,$G355)&gt;0,
     COUNTIFS($AO$2:$AO$200,$G355)&gt;0,
     COUNTIFS($AP$2:$AP$200,$G355)&gt;0,
     COUNTIFS($AQ$2:$AQ$200,$G355)&gt;0,
     COUNTIFS($AR$2:$AR$200,$G355)&gt;0,
     COUNTIFS($AS$2:$AS$200,$G355)&gt;0,
     COUNTIFS($AT$2:$AT$200,$G355)&gt;0,
     COUNTIFS($AU$2:$AU$200,$G355)&gt;0,
     COUNTIFS($AV$2:$AV$200,$G355)&gt;0,
     COUNTIFS($AW$2:$AW$200,$G355)&gt;0
   )),
  ),
  2
 ),
"")</f>
        <v/>
      </c>
      <c r="E355" s="2" t="str" cm="1">
        <f t="array" aca="1" ref="E355" ca="1">IFERROR(
 INDEX($V$1:$AW$1,
  _xlfn.AGGREGATE(15,6,
   (COLUMN($V$1:$AW$1)-COLUMN($V$1)+1)/
   TRANSPOSE(
    CHOOSE({1;2;3;4;5;6;7;8;9;10;11;12;13;14;15;16;17;18;19;20;21;22;23;24;25;26;27;28},
     COUNTIFS($V$2:$V$200,$G355)&gt;0,
     COUNTIFS($W$2:$W$200,$G355)&gt;0,
     COUNTIFS($X$2:$X$200,$G355)&gt;0,
     COUNTIFS($Y$2:$Y$200,$G355)&gt;0,
     COUNTIFS($Z$2:$Z$200,$G355)&gt;0,
     COUNTIFS($AA$2:$AA$200,$G355)&gt;0,
     COUNTIFS($AB$2:$AB$200,$G355)&gt;0,
     COUNTIFS($AC$2:$AC$200,$G355)&gt;0,
     COUNTIFS($AD$2:$AD$200,$G355)&gt;0,
     COUNTIFS($AE$2:$AE$200,$G355)&gt;0,
     COUNTIFS($AF$2:$AF$200,$G355)&gt;0,
     COUNTIFS($AG$2:$AG$200,$G355)&gt;0,
     COUNTIFS($AH$2:$AH$200,$G355)&gt;0,
     COUNTIFS($AI$2:$AI$200,$G355)&gt;0,
     COUNTIFS($AJ$2:$AJ$200,$G355)&gt;0,
     COUNTIFS($AK$2:$AK$200,$G355)&gt;0,
     COUNTIFS($AL$2:$AL$200,$G355)&gt;0,
     COUNTIFS($AM$2:$AM$200,$G355)&gt;0,
     COUNTIFS($AN$2:$AN$200,$G355)&gt;0,
     COUNTIFS($AO$2:$AO$200,$G355)&gt;0,
     COUNTIFS($AP$2:$AP$200,$G355)&gt;0,
     COUNTIFS($AQ$2:$AQ$200,$G355)&gt;0,
     COUNTIFS($AR$2:$AR$200,$G355)&gt;0,
     COUNTIFS($AS$2:$AS$200,$G355)&gt;0,
     COUNTIFS($AT$2:$AT$200,$G355)&gt;0,
     COUNTIFS($AU$2:$AU$200,$G355)&gt;0,
     COUNTIFS($AV$2:$AV$200,$G355)&gt;0,
     COUNTIFS($AW$2:$AW$200,$G355)&gt;0
   )),
  3)
 ),
"")</f>
        <v/>
      </c>
      <c r="F355" s="2" t="str" cm="1">
        <f t="array" aca="1" ref="F355" ca="1">IFERROR(
 INDEX($V$1:$AW$1,
  _xlfn.AGGREGATE(15,6,
   (COLUMN($V$1:$AW$1)-COLUMN($V$1)+1)/
   TRANSPOSE(
    CHOOSE({1;2;3;4;5;6;7;8;9;10;11;12;13;14;15;16;17;18;19;20;21;22;23;24;25;26;27;28},
     COUNTIFS($V$2:$V$200,$G355)&gt;0,
     COUNTIFS($W$2:$W$200,$G355)&gt;0,
     COUNTIFS($X$2:$X$200,$G355)&gt;0,
     COUNTIFS($Y$2:$Y$200,$G355)&gt;0,
     COUNTIFS($Z$2:$Z$200,$G355)&gt;0,
     COUNTIFS($AA$2:$AA$200,$G355)&gt;0,
     COUNTIFS($AB$2:$AB$200,$G355)&gt;0,
     COUNTIFS($AC$2:$AC$200,$G355)&gt;0,
     COUNTIFS($AD$2:$AD$200,$G355)&gt;0,
     COUNTIFS($AE$2:$AE$200,$G355)&gt;0,
     COUNTIFS($AF$2:$AF$200,$G355)&gt;0,
     COUNTIFS($AG$2:$AG$200,$G355)&gt;0,
     COUNTIFS($AH$2:$AH$200,$G355)&gt;0,
     COUNTIFS($AI$2:$AI$200,$G355)&gt;0,
     COUNTIFS($AJ$2:$AJ$200,$G355)&gt;0,
     COUNTIFS($AK$2:$AK$200,$G355)&gt;0,
     COUNTIFS($AL$2:$AL$200,$G355)&gt;0,
     COUNTIFS($AM$2:$AM$200,$G355)&gt;0,
     COUNTIFS($AN$2:$AN$200,$G355)&gt;0,
     COUNTIFS($AO$2:$AO$200,$G355)&gt;0,
     COUNTIFS($AP$2:$AP$200,$G355)&gt;0,
     COUNTIFS($AQ$2:$AQ$200,$G355)&gt;0,
     COUNTIFS($AR$2:$AR$200,$G355)&gt;0,
     COUNTIFS($AS$2:$AS$200,$G355)&gt;0,
     COUNTIFS($AT$2:$AT$200,$G355)&gt;0,
     COUNTIFS($AU$2:$AU$200,$G355)&gt;0,
     COUNTIFS($AV$2:$AV$200,$G355)&gt;0,
     COUNTIFS($AW$2:$AW$200,$G355)&gt;0
   )),
  4)
 ),
"")</f>
        <v/>
      </c>
      <c r="G355" t="str">
        <f ca="1"/>
        <v>Renewed Solidarity</v>
      </c>
      <c r="EU355" t="str">
        <f ca="1"/>
        <v>Vault of Champions</v>
      </c>
      <c r="EX355" t="str">
        <f ca="1"/>
        <v>Renewed Solidarity</v>
      </c>
    </row>
    <row r="356" spans="1:154" x14ac:dyDescent="0.25">
      <c r="A356" s="2" t="str">
        <f t="shared" ca="1" si="16"/>
        <v>5</v>
      </c>
      <c r="B356" s="2">
        <f t="shared" ca="1" si="17"/>
        <v>1</v>
      </c>
      <c r="C356" s="2" t="str">
        <f ca="1">IFERROR(
 INDEX($V$1:$BL$1,
  MATCH(TRUE,
   CHOOSE({1;2;3;4;5;6;7;8;9;10;11;12;13;14;15;16;17;18;19;20;21;22;23;24;25;26;27;28;29;30;31;32;33;34;35;36;37;38;39;40;41;42;43},
    COUNTIFS($V$2:$V$200,$G356)&gt;0,
    COUNTIFS($W$2:$W$200,$G356)&gt;0,
    COUNTIFS($X$2:$X$200,$G356)&gt;0,
    COUNTIFS($Y$2:$Y$200,$G356)&gt;0,
    COUNTIFS($Z$2:$Z$200,$G356)&gt;0,
    COUNTIFS($AA$2:$AA$200,$G356)&gt;0,
    COUNTIFS($AB$2:$AB$200,$G356)&gt;0,
    COUNTIFS($AC$2:$AC$200,$G356)&gt;0,
    COUNTIFS($AD$2:$AD$200,$G356)&gt;0,
    COUNTIFS($AE$2:$AE$200,$G356)&gt;0,
    COUNTIFS($AF$2:$AF$200,$G356)&gt;0,
    COUNTIFS($AG$2:$AG$200,$G356)&gt;0,
    COUNTIFS($AH$2:$AH$200,$G356)&gt;0,
    COUNTIFS($AI$2:$AI$200,$G356)&gt;0,
    COUNTIFS($AJ$2:$AJ$200,$G356)&gt;0,
    COUNTIFS($AK$2:$AK$200,$G356)&gt;0,
    COUNTIFS($AL$2:$AL$200,$G356)&gt;0,
    COUNTIFS($AM$2:$AM$200,$G356)&gt;0,
    COUNTIFS($AN$2:$AN$200,$G356)&gt;0,
    COUNTIFS($AO$2:$AO$200,$G356)&gt;0,
    COUNTIFS($AP$2:$AP$200,$G356)&gt;0,
    COUNTIFS($AQ$2:$AQ$200,$G356)&gt;0,
    COUNTIFS($AR$2:$AR$200,$G356)&gt;0,
    COUNTIFS($AS$2:$AS$200,$G356)&gt;0,
    COUNTIFS($AT$2:$AT$200,$G356)&gt;0,
    COUNTIFS($AU$2:$AU$200,$G356)&gt;0,
    COUNTIFS($AV$2:$AV$200,$G356)&gt;0,
    COUNTIFS($AW$2:$AW$200,$G356)&gt;0,
    COUNTIFS($AX$2:$AX$200,$G356)&gt;0,
    COUNTIFS($AY$2:$AY$200,$G356)&gt;0,
    COUNTIFS($AZ$2:$AZ$200,$G356)&gt;0,
    COUNTIFS($BA$2:$BA$200,$G356)&gt;0,
    COUNTIFS($BB$2:$BB$200,$G356)&gt;0,
    COUNTIFS($BC$2:$BC$200,$G356)&gt;0,
    COUNTIFS($BD$2:$BD$200,$G356)&gt;0,
    COUNTIFS($BE$2:$BE$200,$G356)&gt;0,
    COUNTIFS($BF$2:$BF$200,$G356)&gt;0,
    COUNTIFS($BG$2:$BG$200,$G356)&gt;0,
    COUNTIFS($BH$2:$BH$200,$G356)&gt;0,
    COUNTIFS($BI$2:$BI$200,$G356)&gt;0,
    COUNTIFS($BJ$2:$BJ$200,$G356)&gt;0,
    COUNTIFS($BK$2:$BK$200,$G356)&gt;0,
    COUNTIFS($BL$2:$BL$200,$G356)&gt;0,
    COUNTIFS($BM$2:$BM$200,$G356)&gt;0,
   ),
  0)
 ),
"")</f>
        <v>4cRash</v>
      </c>
      <c r="D356" s="2" t="str" cm="1">
        <f t="array" aca="1" ref="D356" ca="1">IFERROR(
 INDEX(
  _xlfn._xlws.FILTER($V$1:$AW$1,
   TRANSPOSE(
    CHOOSE({1;2;3;4;5;6;7;8;9;10;11;12;13;14;15;16;17;18;19;20;21;22;23;24;25;26;27;28},
     COUNTIFS($V$2:$V$200,$G356)&gt;0,
     COUNTIFS($W$2:$W$200,$G356)&gt;0,
     COUNTIFS($X$2:$X$200,$G356)&gt;0,
     COUNTIFS($Y$2:$Y$200,$G356)&gt;0,
     COUNTIFS($Z$2:$Z$200,$G356)&gt;0,
     COUNTIFS($AA$2:$AA$200,$G356)&gt;0,
     COUNTIFS($AB$2:$AB$200,$G356)&gt;0,
     COUNTIFS($AC$2:$AC$200,$G356)&gt;0,
     COUNTIFS($AD$2:$AD$200,$G356)&gt;0,
     COUNTIFS($AE$2:$AE$200,$G356)&gt;0,
     COUNTIFS($AF$2:$AF$200,$G356)&gt;0,
     COUNTIFS($AG$2:$AG$200,$G356)&gt;0,
     COUNTIFS($AH$2:$AH$200,$G356)&gt;0,
     COUNTIFS($AI$2:$AI$200,$G356)&gt;0,
     COUNTIFS($AJ$2:$AJ$200,$G356)&gt;0,
     COUNTIFS($AK$2:$AK$200,$G356)&gt;0,
     COUNTIFS($AL$2:$AL$200,$G356)&gt;0,
     COUNTIFS($AM$2:$AM$200,$G356)&gt;0,
     COUNTIFS($AN$2:$AN$200,$G356)&gt;0,
     COUNTIFS($AO$2:$AO$200,$G356)&gt;0,
     COUNTIFS($AP$2:$AP$200,$G356)&gt;0,
     COUNTIFS($AQ$2:$AQ$200,$G356)&gt;0,
     COUNTIFS($AR$2:$AR$200,$G356)&gt;0,
     COUNTIFS($AS$2:$AS$200,$G356)&gt;0,
     COUNTIFS($AT$2:$AT$200,$G356)&gt;0,
     COUNTIFS($AU$2:$AU$200,$G356)&gt;0,
     COUNTIFS($AV$2:$AV$200,$G356)&gt;0,
     COUNTIFS($AW$2:$AW$200,$G356)&gt;0
   )),
  ),
  2
 ),
"")</f>
        <v/>
      </c>
      <c r="E356" s="2" t="str" cm="1">
        <f t="array" aca="1" ref="E356" ca="1">IFERROR(
 INDEX($V$1:$AW$1,
  _xlfn.AGGREGATE(15,6,
   (COLUMN($V$1:$AW$1)-COLUMN($V$1)+1)/
   TRANSPOSE(
    CHOOSE({1;2;3;4;5;6;7;8;9;10;11;12;13;14;15;16;17;18;19;20;21;22;23;24;25;26;27;28},
     COUNTIFS($V$2:$V$200,$G356)&gt;0,
     COUNTIFS($W$2:$W$200,$G356)&gt;0,
     COUNTIFS($X$2:$X$200,$G356)&gt;0,
     COUNTIFS($Y$2:$Y$200,$G356)&gt;0,
     COUNTIFS($Z$2:$Z$200,$G356)&gt;0,
     COUNTIFS($AA$2:$AA$200,$G356)&gt;0,
     COUNTIFS($AB$2:$AB$200,$G356)&gt;0,
     COUNTIFS($AC$2:$AC$200,$G356)&gt;0,
     COUNTIFS($AD$2:$AD$200,$G356)&gt;0,
     COUNTIFS($AE$2:$AE$200,$G356)&gt;0,
     COUNTIFS($AF$2:$AF$200,$G356)&gt;0,
     COUNTIFS($AG$2:$AG$200,$G356)&gt;0,
     COUNTIFS($AH$2:$AH$200,$G356)&gt;0,
     COUNTIFS($AI$2:$AI$200,$G356)&gt;0,
     COUNTIFS($AJ$2:$AJ$200,$G356)&gt;0,
     COUNTIFS($AK$2:$AK$200,$G356)&gt;0,
     COUNTIFS($AL$2:$AL$200,$G356)&gt;0,
     COUNTIFS($AM$2:$AM$200,$G356)&gt;0,
     COUNTIFS($AN$2:$AN$200,$G356)&gt;0,
     COUNTIFS($AO$2:$AO$200,$G356)&gt;0,
     COUNTIFS($AP$2:$AP$200,$G356)&gt;0,
     COUNTIFS($AQ$2:$AQ$200,$G356)&gt;0,
     COUNTIFS($AR$2:$AR$200,$G356)&gt;0,
     COUNTIFS($AS$2:$AS$200,$G356)&gt;0,
     COUNTIFS($AT$2:$AT$200,$G356)&gt;0,
     COUNTIFS($AU$2:$AU$200,$G356)&gt;0,
     COUNTIFS($AV$2:$AV$200,$G356)&gt;0,
     COUNTIFS($AW$2:$AW$200,$G356)&gt;0
   )),
  3)
 ),
"")</f>
        <v/>
      </c>
      <c r="F356" s="2" t="str" cm="1">
        <f t="array" aca="1" ref="F356" ca="1">IFERROR(
 INDEX($V$1:$AW$1,
  _xlfn.AGGREGATE(15,6,
   (COLUMN($V$1:$AW$1)-COLUMN($V$1)+1)/
   TRANSPOSE(
    CHOOSE({1;2;3;4;5;6;7;8;9;10;11;12;13;14;15;16;17;18;19;20;21;22;23;24;25;26;27;28},
     COUNTIFS($V$2:$V$200,$G356)&gt;0,
     COUNTIFS($W$2:$W$200,$G356)&gt;0,
     COUNTIFS($X$2:$X$200,$G356)&gt;0,
     COUNTIFS($Y$2:$Y$200,$G356)&gt;0,
     COUNTIFS($Z$2:$Z$200,$G356)&gt;0,
     COUNTIFS($AA$2:$AA$200,$G356)&gt;0,
     COUNTIFS($AB$2:$AB$200,$G356)&gt;0,
     COUNTIFS($AC$2:$AC$200,$G356)&gt;0,
     COUNTIFS($AD$2:$AD$200,$G356)&gt;0,
     COUNTIFS($AE$2:$AE$200,$G356)&gt;0,
     COUNTIFS($AF$2:$AF$200,$G356)&gt;0,
     COUNTIFS($AG$2:$AG$200,$G356)&gt;0,
     COUNTIFS($AH$2:$AH$200,$G356)&gt;0,
     COUNTIFS($AI$2:$AI$200,$G356)&gt;0,
     COUNTIFS($AJ$2:$AJ$200,$G356)&gt;0,
     COUNTIFS($AK$2:$AK$200,$G356)&gt;0,
     COUNTIFS($AL$2:$AL$200,$G356)&gt;0,
     COUNTIFS($AM$2:$AM$200,$G356)&gt;0,
     COUNTIFS($AN$2:$AN$200,$G356)&gt;0,
     COUNTIFS($AO$2:$AO$200,$G356)&gt;0,
     COUNTIFS($AP$2:$AP$200,$G356)&gt;0,
     COUNTIFS($AQ$2:$AQ$200,$G356)&gt;0,
     COUNTIFS($AR$2:$AR$200,$G356)&gt;0,
     COUNTIFS($AS$2:$AS$200,$G356)&gt;0,
     COUNTIFS($AT$2:$AT$200,$G356)&gt;0,
     COUNTIFS($AU$2:$AU$200,$G356)&gt;0,
     COUNTIFS($AV$2:$AV$200,$G356)&gt;0,
     COUNTIFS($AW$2:$AW$200,$G356)&gt;0
   )),
  4)
 ),
"")</f>
        <v/>
      </c>
      <c r="G356" t="str">
        <f ca="1"/>
        <v>Respite</v>
      </c>
      <c r="EU356" t="str">
        <f ca="1"/>
        <v>Vault of the Archangel</v>
      </c>
      <c r="EX356" t="str">
        <f ca="1"/>
        <v>Respite</v>
      </c>
    </row>
    <row r="357" spans="1:154" x14ac:dyDescent="0.25">
      <c r="A357" s="2" t="str">
        <f t="shared" ca="1" si="16"/>
        <v>5</v>
      </c>
      <c r="B357" s="2">
        <f t="shared" ca="1" si="17"/>
        <v>1</v>
      </c>
      <c r="C357" s="2" t="str">
        <f ca="1">IFERROR(
 INDEX($V$1:$BL$1,
  MATCH(TRUE,
   CHOOSE({1;2;3;4;5;6;7;8;9;10;11;12;13;14;15;16;17;18;19;20;21;22;23;24;25;26;27;28;29;30;31;32;33;34;35;36;37;38;39;40;41;42;43},
    COUNTIFS($V$2:$V$200,$G357)&gt;0,
    COUNTIFS($W$2:$W$200,$G357)&gt;0,
    COUNTIFS($X$2:$X$200,$G357)&gt;0,
    COUNTIFS($Y$2:$Y$200,$G357)&gt;0,
    COUNTIFS($Z$2:$Z$200,$G357)&gt;0,
    COUNTIFS($AA$2:$AA$200,$G357)&gt;0,
    COUNTIFS($AB$2:$AB$200,$G357)&gt;0,
    COUNTIFS($AC$2:$AC$200,$G357)&gt;0,
    COUNTIFS($AD$2:$AD$200,$G357)&gt;0,
    COUNTIFS($AE$2:$AE$200,$G357)&gt;0,
    COUNTIFS($AF$2:$AF$200,$G357)&gt;0,
    COUNTIFS($AG$2:$AG$200,$G357)&gt;0,
    COUNTIFS($AH$2:$AH$200,$G357)&gt;0,
    COUNTIFS($AI$2:$AI$200,$G357)&gt;0,
    COUNTIFS($AJ$2:$AJ$200,$G357)&gt;0,
    COUNTIFS($AK$2:$AK$200,$G357)&gt;0,
    COUNTIFS($AL$2:$AL$200,$G357)&gt;0,
    COUNTIFS($AM$2:$AM$200,$G357)&gt;0,
    COUNTIFS($AN$2:$AN$200,$G357)&gt;0,
    COUNTIFS($AO$2:$AO$200,$G357)&gt;0,
    COUNTIFS($AP$2:$AP$200,$G357)&gt;0,
    COUNTIFS($AQ$2:$AQ$200,$G357)&gt;0,
    COUNTIFS($AR$2:$AR$200,$G357)&gt;0,
    COUNTIFS($AS$2:$AS$200,$G357)&gt;0,
    COUNTIFS($AT$2:$AT$200,$G357)&gt;0,
    COUNTIFS($AU$2:$AU$200,$G357)&gt;0,
    COUNTIFS($AV$2:$AV$200,$G357)&gt;0,
    COUNTIFS($AW$2:$AW$200,$G357)&gt;0,
    COUNTIFS($AX$2:$AX$200,$G357)&gt;0,
    COUNTIFS($AY$2:$AY$200,$G357)&gt;0,
    COUNTIFS($AZ$2:$AZ$200,$G357)&gt;0,
    COUNTIFS($BA$2:$BA$200,$G357)&gt;0,
    COUNTIFS($BB$2:$BB$200,$G357)&gt;0,
    COUNTIFS($BC$2:$BC$200,$G357)&gt;0,
    COUNTIFS($BD$2:$BD$200,$G357)&gt;0,
    COUNTIFS($BE$2:$BE$200,$G357)&gt;0,
    COUNTIFS($BF$2:$BF$200,$G357)&gt;0,
    COUNTIFS($BG$2:$BG$200,$G357)&gt;0,
    COUNTIFS($BH$2:$BH$200,$G357)&gt;0,
    COUNTIFS($BI$2:$BI$200,$G357)&gt;0,
    COUNTIFS($BJ$2:$BJ$200,$G357)&gt;0,
    COUNTIFS($BK$2:$BK$200,$G357)&gt;0,
    COUNTIFS($BL$2:$BL$200,$G357)&gt;0,
    COUNTIFS($BM$2:$BM$200,$G357)&gt;0,
   ),
  0)
 ),
"")</f>
        <v>Yorion</v>
      </c>
      <c r="D357" s="2" t="str" cm="1">
        <f t="array" aca="1" ref="D357" ca="1">IFERROR(
 INDEX(
  _xlfn._xlws.FILTER($V$1:$AW$1,
   TRANSPOSE(
    CHOOSE({1;2;3;4;5;6;7;8;9;10;11;12;13;14;15;16;17;18;19;20;21;22;23;24;25;26;27;28},
     COUNTIFS($V$2:$V$200,$G357)&gt;0,
     COUNTIFS($W$2:$W$200,$G357)&gt;0,
     COUNTIFS($X$2:$X$200,$G357)&gt;0,
     COUNTIFS($Y$2:$Y$200,$G357)&gt;0,
     COUNTIFS($Z$2:$Z$200,$G357)&gt;0,
     COUNTIFS($AA$2:$AA$200,$G357)&gt;0,
     COUNTIFS($AB$2:$AB$200,$G357)&gt;0,
     COUNTIFS($AC$2:$AC$200,$G357)&gt;0,
     COUNTIFS($AD$2:$AD$200,$G357)&gt;0,
     COUNTIFS($AE$2:$AE$200,$G357)&gt;0,
     COUNTIFS($AF$2:$AF$200,$G357)&gt;0,
     COUNTIFS($AG$2:$AG$200,$G357)&gt;0,
     COUNTIFS($AH$2:$AH$200,$G357)&gt;0,
     COUNTIFS($AI$2:$AI$200,$G357)&gt;0,
     COUNTIFS($AJ$2:$AJ$200,$G357)&gt;0,
     COUNTIFS($AK$2:$AK$200,$G357)&gt;0,
     COUNTIFS($AL$2:$AL$200,$G357)&gt;0,
     COUNTIFS($AM$2:$AM$200,$G357)&gt;0,
     COUNTIFS($AN$2:$AN$200,$G357)&gt;0,
     COUNTIFS($AO$2:$AO$200,$G357)&gt;0,
     COUNTIFS($AP$2:$AP$200,$G357)&gt;0,
     COUNTIFS($AQ$2:$AQ$200,$G357)&gt;0,
     COUNTIFS($AR$2:$AR$200,$G357)&gt;0,
     COUNTIFS($AS$2:$AS$200,$G357)&gt;0,
     COUNTIFS($AT$2:$AT$200,$G357)&gt;0,
     COUNTIFS($AU$2:$AU$200,$G357)&gt;0,
     COUNTIFS($AV$2:$AV$200,$G357)&gt;0,
     COUNTIFS($AW$2:$AW$200,$G357)&gt;0
   )),
  ),
  2
 ),
"")</f>
        <v/>
      </c>
      <c r="E357" s="2" t="str" cm="1">
        <f t="array" aca="1" ref="E357" ca="1">IFERROR(
 INDEX($V$1:$AW$1,
  _xlfn.AGGREGATE(15,6,
   (COLUMN($V$1:$AW$1)-COLUMN($V$1)+1)/
   TRANSPOSE(
    CHOOSE({1;2;3;4;5;6;7;8;9;10;11;12;13;14;15;16;17;18;19;20;21;22;23;24;25;26;27;28},
     COUNTIFS($V$2:$V$200,$G357)&gt;0,
     COUNTIFS($W$2:$W$200,$G357)&gt;0,
     COUNTIFS($X$2:$X$200,$G357)&gt;0,
     COUNTIFS($Y$2:$Y$200,$G357)&gt;0,
     COUNTIFS($Z$2:$Z$200,$G357)&gt;0,
     COUNTIFS($AA$2:$AA$200,$G357)&gt;0,
     COUNTIFS($AB$2:$AB$200,$G357)&gt;0,
     COUNTIFS($AC$2:$AC$200,$G357)&gt;0,
     COUNTIFS($AD$2:$AD$200,$G357)&gt;0,
     COUNTIFS($AE$2:$AE$200,$G357)&gt;0,
     COUNTIFS($AF$2:$AF$200,$G357)&gt;0,
     COUNTIFS($AG$2:$AG$200,$G357)&gt;0,
     COUNTIFS($AH$2:$AH$200,$G357)&gt;0,
     COUNTIFS($AI$2:$AI$200,$G357)&gt;0,
     COUNTIFS($AJ$2:$AJ$200,$G357)&gt;0,
     COUNTIFS($AK$2:$AK$200,$G357)&gt;0,
     COUNTIFS($AL$2:$AL$200,$G357)&gt;0,
     COUNTIFS($AM$2:$AM$200,$G357)&gt;0,
     COUNTIFS($AN$2:$AN$200,$G357)&gt;0,
     COUNTIFS($AO$2:$AO$200,$G357)&gt;0,
     COUNTIFS($AP$2:$AP$200,$G357)&gt;0,
     COUNTIFS($AQ$2:$AQ$200,$G357)&gt;0,
     COUNTIFS($AR$2:$AR$200,$G357)&gt;0,
     COUNTIFS($AS$2:$AS$200,$G357)&gt;0,
     COUNTIFS($AT$2:$AT$200,$G357)&gt;0,
     COUNTIFS($AU$2:$AU$200,$G357)&gt;0,
     COUNTIFS($AV$2:$AV$200,$G357)&gt;0,
     COUNTIFS($AW$2:$AW$200,$G357)&gt;0
   )),
  3)
 ),
"")</f>
        <v/>
      </c>
      <c r="F357" s="2" t="str" cm="1">
        <f t="array" aca="1" ref="F357" ca="1">IFERROR(
 INDEX($V$1:$AW$1,
  _xlfn.AGGREGATE(15,6,
   (COLUMN($V$1:$AW$1)-COLUMN($V$1)+1)/
   TRANSPOSE(
    CHOOSE({1;2;3;4;5;6;7;8;9;10;11;12;13;14;15;16;17;18;19;20;21;22;23;24;25;26;27;28},
     COUNTIFS($V$2:$V$200,$G357)&gt;0,
     COUNTIFS($W$2:$W$200,$G357)&gt;0,
     COUNTIFS($X$2:$X$200,$G357)&gt;0,
     COUNTIFS($Y$2:$Y$200,$G357)&gt;0,
     COUNTIFS($Z$2:$Z$200,$G357)&gt;0,
     COUNTIFS($AA$2:$AA$200,$G357)&gt;0,
     COUNTIFS($AB$2:$AB$200,$G357)&gt;0,
     COUNTIFS($AC$2:$AC$200,$G357)&gt;0,
     COUNTIFS($AD$2:$AD$200,$G357)&gt;0,
     COUNTIFS($AE$2:$AE$200,$G357)&gt;0,
     COUNTIFS($AF$2:$AF$200,$G357)&gt;0,
     COUNTIFS($AG$2:$AG$200,$G357)&gt;0,
     COUNTIFS($AH$2:$AH$200,$G357)&gt;0,
     COUNTIFS($AI$2:$AI$200,$G357)&gt;0,
     COUNTIFS($AJ$2:$AJ$200,$G357)&gt;0,
     COUNTIFS($AK$2:$AK$200,$G357)&gt;0,
     COUNTIFS($AL$2:$AL$200,$G357)&gt;0,
     COUNTIFS($AM$2:$AM$200,$G357)&gt;0,
     COUNTIFS($AN$2:$AN$200,$G357)&gt;0,
     COUNTIFS($AO$2:$AO$200,$G357)&gt;0,
     COUNTIFS($AP$2:$AP$200,$G357)&gt;0,
     COUNTIFS($AQ$2:$AQ$200,$G357)&gt;0,
     COUNTIFS($AR$2:$AR$200,$G357)&gt;0,
     COUNTIFS($AS$2:$AS$200,$G357)&gt;0,
     COUNTIFS($AT$2:$AT$200,$G357)&gt;0,
     COUNTIFS($AU$2:$AU$200,$G357)&gt;0,
     COUNTIFS($AV$2:$AV$200,$G357)&gt;0,
     COUNTIFS($AW$2:$AW$200,$G357)&gt;0
   )),
  4)
 ),
"")</f>
        <v/>
      </c>
      <c r="G357" t="str">
        <f ca="1"/>
        <v>Restoration Angel</v>
      </c>
      <c r="EU357" t="str">
        <f ca="1"/>
        <v>Venom Sliver</v>
      </c>
      <c r="EX357" t="str">
        <f ca="1"/>
        <v>Restoration Angel</v>
      </c>
    </row>
    <row r="358" spans="1:154" x14ac:dyDescent="0.25">
      <c r="A358" s="2" t="str">
        <f t="shared" ca="1" si="16"/>
        <v>4</v>
      </c>
      <c r="B358" s="2">
        <f t="shared" ca="1" si="17"/>
        <v>1</v>
      </c>
      <c r="C358" s="2" t="str">
        <f ca="1">IFERROR(
 INDEX($V$1:$BL$1,
  MATCH(TRUE,
   CHOOSE({1;2;3;4;5;6;7;8;9;10;11;12;13;14;15;16;17;18;19;20;21;22;23;24;25;26;27;28;29;30;31;32;33;34;35;36;37;38;39;40;41;42;43},
    COUNTIFS($V$2:$V$200,$G358)&gt;0,
    COUNTIFS($W$2:$W$200,$G358)&gt;0,
    COUNTIFS($X$2:$X$200,$G358)&gt;0,
    COUNTIFS($Y$2:$Y$200,$G358)&gt;0,
    COUNTIFS($Z$2:$Z$200,$G358)&gt;0,
    COUNTIFS($AA$2:$AA$200,$G358)&gt;0,
    COUNTIFS($AB$2:$AB$200,$G358)&gt;0,
    COUNTIFS($AC$2:$AC$200,$G358)&gt;0,
    COUNTIFS($AD$2:$AD$200,$G358)&gt;0,
    COUNTIFS($AE$2:$AE$200,$G358)&gt;0,
    COUNTIFS($AF$2:$AF$200,$G358)&gt;0,
    COUNTIFS($AG$2:$AG$200,$G358)&gt;0,
    COUNTIFS($AH$2:$AH$200,$G358)&gt;0,
    COUNTIFS($AI$2:$AI$200,$G358)&gt;0,
    COUNTIFS($AJ$2:$AJ$200,$G358)&gt;0,
    COUNTIFS($AK$2:$AK$200,$G358)&gt;0,
    COUNTIFS($AL$2:$AL$200,$G358)&gt;0,
    COUNTIFS($AM$2:$AM$200,$G358)&gt;0,
    COUNTIFS($AN$2:$AN$200,$G358)&gt;0,
    COUNTIFS($AO$2:$AO$200,$G358)&gt;0,
    COUNTIFS($AP$2:$AP$200,$G358)&gt;0,
    COUNTIFS($AQ$2:$AQ$200,$G358)&gt;0,
    COUNTIFS($AR$2:$AR$200,$G358)&gt;0,
    COUNTIFS($AS$2:$AS$200,$G358)&gt;0,
    COUNTIFS($AT$2:$AT$200,$G358)&gt;0,
    COUNTIFS($AU$2:$AU$200,$G358)&gt;0,
    COUNTIFS($AV$2:$AV$200,$G358)&gt;0,
    COUNTIFS($AW$2:$AW$200,$G358)&gt;0,
    COUNTIFS($AX$2:$AX$200,$G358)&gt;0,
    COUNTIFS($AY$2:$AY$200,$G358)&gt;0,
    COUNTIFS($AZ$2:$AZ$200,$G358)&gt;0,
    COUNTIFS($BA$2:$BA$200,$G358)&gt;0,
    COUNTIFS($BB$2:$BB$200,$G358)&gt;0,
    COUNTIFS($BC$2:$BC$200,$G358)&gt;0,
    COUNTIFS($BD$2:$BD$200,$G358)&gt;0,
    COUNTIFS($BE$2:$BE$200,$G358)&gt;0,
    COUNTIFS($BF$2:$BF$200,$G358)&gt;0,
    COUNTIFS($BG$2:$BG$200,$G358)&gt;0,
    COUNTIFS($BH$2:$BH$200,$G358)&gt;0,
    COUNTIFS($BI$2:$BI$200,$G358)&gt;0,
    COUNTIFS($BJ$2:$BJ$200,$G358)&gt;0,
    COUNTIFS($BK$2:$BK$200,$G358)&gt;0,
    COUNTIFS($BL$2:$BL$200,$G358)&gt;0,
    COUNTIFS($BM$2:$BM$200,$G358)&gt;0,
   ),
  0)
 ),
"")</f>
        <v>Baylen</v>
      </c>
      <c r="D358" s="2" t="str" cm="1">
        <f t="array" aca="1" ref="D358" ca="1">IFERROR(
 INDEX(
  _xlfn._xlws.FILTER($V$1:$AW$1,
   TRANSPOSE(
    CHOOSE({1;2;3;4;5;6;7;8;9;10;11;12;13;14;15;16;17;18;19;20;21;22;23;24;25;26;27;28},
     COUNTIFS($V$2:$V$200,$G358)&gt;0,
     COUNTIFS($W$2:$W$200,$G358)&gt;0,
     COUNTIFS($X$2:$X$200,$G358)&gt;0,
     COUNTIFS($Y$2:$Y$200,$G358)&gt;0,
     COUNTIFS($Z$2:$Z$200,$G358)&gt;0,
     COUNTIFS($AA$2:$AA$200,$G358)&gt;0,
     COUNTIFS($AB$2:$AB$200,$G358)&gt;0,
     COUNTIFS($AC$2:$AC$200,$G358)&gt;0,
     COUNTIFS($AD$2:$AD$200,$G358)&gt;0,
     COUNTIFS($AE$2:$AE$200,$G358)&gt;0,
     COUNTIFS($AF$2:$AF$200,$G358)&gt;0,
     COUNTIFS($AG$2:$AG$200,$G358)&gt;0,
     COUNTIFS($AH$2:$AH$200,$G358)&gt;0,
     COUNTIFS($AI$2:$AI$200,$G358)&gt;0,
     COUNTIFS($AJ$2:$AJ$200,$G358)&gt;0,
     COUNTIFS($AK$2:$AK$200,$G358)&gt;0,
     COUNTIFS($AL$2:$AL$200,$G358)&gt;0,
     COUNTIFS($AM$2:$AM$200,$G358)&gt;0,
     COUNTIFS($AN$2:$AN$200,$G358)&gt;0,
     COUNTIFS($AO$2:$AO$200,$G358)&gt;0,
     COUNTIFS($AP$2:$AP$200,$G358)&gt;0,
     COUNTIFS($AQ$2:$AQ$200,$G358)&gt;0,
     COUNTIFS($AR$2:$AR$200,$G358)&gt;0,
     COUNTIFS($AS$2:$AS$200,$G358)&gt;0,
     COUNTIFS($AT$2:$AT$200,$G358)&gt;0,
     COUNTIFS($AU$2:$AU$200,$G358)&gt;0,
     COUNTIFS($AV$2:$AV$200,$G358)&gt;0,
     COUNTIFS($AW$2:$AW$200,$G358)&gt;0
   )),
  ),
  2
 ),
"")</f>
        <v/>
      </c>
      <c r="E358" s="2" t="str" cm="1">
        <f t="array" aca="1" ref="E358" ca="1">IFERROR(
 INDEX($V$1:$AW$1,
  _xlfn.AGGREGATE(15,6,
   (COLUMN($V$1:$AW$1)-COLUMN($V$1)+1)/
   TRANSPOSE(
    CHOOSE({1;2;3;4;5;6;7;8;9;10;11;12;13;14;15;16;17;18;19;20;21;22;23;24;25;26;27;28},
     COUNTIFS($V$2:$V$200,$G358)&gt;0,
     COUNTIFS($W$2:$W$200,$G358)&gt;0,
     COUNTIFS($X$2:$X$200,$G358)&gt;0,
     COUNTIFS($Y$2:$Y$200,$G358)&gt;0,
     COUNTIFS($Z$2:$Z$200,$G358)&gt;0,
     COUNTIFS($AA$2:$AA$200,$G358)&gt;0,
     COUNTIFS($AB$2:$AB$200,$G358)&gt;0,
     COUNTIFS($AC$2:$AC$200,$G358)&gt;0,
     COUNTIFS($AD$2:$AD$200,$G358)&gt;0,
     COUNTIFS($AE$2:$AE$200,$G358)&gt;0,
     COUNTIFS($AF$2:$AF$200,$G358)&gt;0,
     COUNTIFS($AG$2:$AG$200,$G358)&gt;0,
     COUNTIFS($AH$2:$AH$200,$G358)&gt;0,
     COUNTIFS($AI$2:$AI$200,$G358)&gt;0,
     COUNTIFS($AJ$2:$AJ$200,$G358)&gt;0,
     COUNTIFS($AK$2:$AK$200,$G358)&gt;0,
     COUNTIFS($AL$2:$AL$200,$G358)&gt;0,
     COUNTIFS($AM$2:$AM$200,$G358)&gt;0,
     COUNTIFS($AN$2:$AN$200,$G358)&gt;0,
     COUNTIFS($AO$2:$AO$200,$G358)&gt;0,
     COUNTIFS($AP$2:$AP$200,$G358)&gt;0,
     COUNTIFS($AQ$2:$AQ$200,$G358)&gt;0,
     COUNTIFS($AR$2:$AR$200,$G358)&gt;0,
     COUNTIFS($AS$2:$AS$200,$G358)&gt;0,
     COUNTIFS($AT$2:$AT$200,$G358)&gt;0,
     COUNTIFS($AU$2:$AU$200,$G358)&gt;0,
     COUNTIFS($AV$2:$AV$200,$G358)&gt;0,
     COUNTIFS($AW$2:$AW$200,$G358)&gt;0
   )),
  3)
 ),
"")</f>
        <v/>
      </c>
      <c r="F358" s="2" t="str" cm="1">
        <f t="array" aca="1" ref="F358" ca="1">IFERROR(
 INDEX($V$1:$AW$1,
  _xlfn.AGGREGATE(15,6,
   (COLUMN($V$1:$AW$1)-COLUMN($V$1)+1)/
   TRANSPOSE(
    CHOOSE({1;2;3;4;5;6;7;8;9;10;11;12;13;14;15;16;17;18;19;20;21;22;23;24;25;26;27;28},
     COUNTIFS($V$2:$V$200,$G358)&gt;0,
     COUNTIFS($W$2:$W$200,$G358)&gt;0,
     COUNTIFS($X$2:$X$200,$G358)&gt;0,
     COUNTIFS($Y$2:$Y$200,$G358)&gt;0,
     COUNTIFS($Z$2:$Z$200,$G358)&gt;0,
     COUNTIFS($AA$2:$AA$200,$G358)&gt;0,
     COUNTIFS($AB$2:$AB$200,$G358)&gt;0,
     COUNTIFS($AC$2:$AC$200,$G358)&gt;0,
     COUNTIFS($AD$2:$AD$200,$G358)&gt;0,
     COUNTIFS($AE$2:$AE$200,$G358)&gt;0,
     COUNTIFS($AF$2:$AF$200,$G358)&gt;0,
     COUNTIFS($AG$2:$AG$200,$G358)&gt;0,
     COUNTIFS($AH$2:$AH$200,$G358)&gt;0,
     COUNTIFS($AI$2:$AI$200,$G358)&gt;0,
     COUNTIFS($AJ$2:$AJ$200,$G358)&gt;0,
     COUNTIFS($AK$2:$AK$200,$G358)&gt;0,
     COUNTIFS($AL$2:$AL$200,$G358)&gt;0,
     COUNTIFS($AM$2:$AM$200,$G358)&gt;0,
     COUNTIFS($AN$2:$AN$200,$G358)&gt;0,
     COUNTIFS($AO$2:$AO$200,$G358)&gt;0,
     COUNTIFS($AP$2:$AP$200,$G358)&gt;0,
     COUNTIFS($AQ$2:$AQ$200,$G358)&gt;0,
     COUNTIFS($AR$2:$AR$200,$G358)&gt;0,
     COUNTIFS($AS$2:$AS$200,$G358)&gt;0,
     COUNTIFS($AT$2:$AT$200,$G358)&gt;0,
     COUNTIFS($AU$2:$AU$200,$G358)&gt;0,
     COUNTIFS($AV$2:$AV$200,$G358)&gt;0,
     COUNTIFS($AW$2:$AW$200,$G358)&gt;0
   )),
  4)
 ),
"")</f>
        <v/>
      </c>
      <c r="G358" t="str">
        <f ca="1"/>
        <v>Return from the Wilds</v>
      </c>
      <c r="EU358" t="str">
        <f ca="1"/>
        <v>Vexing Puzzlebox</v>
      </c>
      <c r="EX358" t="str">
        <f ca="1"/>
        <v>Return from the Wilds</v>
      </c>
    </row>
    <row r="359" spans="1:154" x14ac:dyDescent="0.25">
      <c r="A359" s="2" t="str">
        <f t="shared" ca="1" si="16"/>
        <v>5</v>
      </c>
      <c r="B359" s="2">
        <f t="shared" ca="1" si="17"/>
        <v>1</v>
      </c>
      <c r="C359" s="2" t="str">
        <f ca="1">IFERROR(
 INDEX($V$1:$BL$1,
  MATCH(TRUE,
   CHOOSE({1;2;3;4;5;6;7;8;9;10;11;12;13;14;15;16;17;18;19;20;21;22;23;24;25;26;27;28;29;30;31;32;33;34;35;36;37;38;39;40;41;42;43},
    COUNTIFS($V$2:$V$200,$G359)&gt;0,
    COUNTIFS($W$2:$W$200,$G359)&gt;0,
    COUNTIFS($X$2:$X$200,$G359)&gt;0,
    COUNTIFS($Y$2:$Y$200,$G359)&gt;0,
    COUNTIFS($Z$2:$Z$200,$G359)&gt;0,
    COUNTIFS($AA$2:$AA$200,$G359)&gt;0,
    COUNTIFS($AB$2:$AB$200,$G359)&gt;0,
    COUNTIFS($AC$2:$AC$200,$G359)&gt;0,
    COUNTIFS($AD$2:$AD$200,$G359)&gt;0,
    COUNTIFS($AE$2:$AE$200,$G359)&gt;0,
    COUNTIFS($AF$2:$AF$200,$G359)&gt;0,
    COUNTIFS($AG$2:$AG$200,$G359)&gt;0,
    COUNTIFS($AH$2:$AH$200,$G359)&gt;0,
    COUNTIFS($AI$2:$AI$200,$G359)&gt;0,
    COUNTIFS($AJ$2:$AJ$200,$G359)&gt;0,
    COUNTIFS($AK$2:$AK$200,$G359)&gt;0,
    COUNTIFS($AL$2:$AL$200,$G359)&gt;0,
    COUNTIFS($AM$2:$AM$200,$G359)&gt;0,
    COUNTIFS($AN$2:$AN$200,$G359)&gt;0,
    COUNTIFS($AO$2:$AO$200,$G359)&gt;0,
    COUNTIFS($AP$2:$AP$200,$G359)&gt;0,
    COUNTIFS($AQ$2:$AQ$200,$G359)&gt;0,
    COUNTIFS($AR$2:$AR$200,$G359)&gt;0,
    COUNTIFS($AS$2:$AS$200,$G359)&gt;0,
    COUNTIFS($AT$2:$AT$200,$G359)&gt;0,
    COUNTIFS($AU$2:$AU$200,$G359)&gt;0,
    COUNTIFS($AV$2:$AV$200,$G359)&gt;0,
    COUNTIFS($AW$2:$AW$200,$G359)&gt;0,
    COUNTIFS($AX$2:$AX$200,$G359)&gt;0,
    COUNTIFS($AY$2:$AY$200,$G359)&gt;0,
    COUNTIFS($AZ$2:$AZ$200,$G359)&gt;0,
    COUNTIFS($BA$2:$BA$200,$G359)&gt;0,
    COUNTIFS($BB$2:$BB$200,$G359)&gt;0,
    COUNTIFS($BC$2:$BC$200,$G359)&gt;0,
    COUNTIFS($BD$2:$BD$200,$G359)&gt;0,
    COUNTIFS($BE$2:$BE$200,$G359)&gt;0,
    COUNTIFS($BF$2:$BF$200,$G359)&gt;0,
    COUNTIFS($BG$2:$BG$200,$G359)&gt;0,
    COUNTIFS($BH$2:$BH$200,$G359)&gt;0,
    COUNTIFS($BI$2:$BI$200,$G359)&gt;0,
    COUNTIFS($BJ$2:$BJ$200,$G359)&gt;0,
    COUNTIFS($BK$2:$BK$200,$G359)&gt;0,
    COUNTIFS($BL$2:$BL$200,$G359)&gt;0,
    COUNTIFS($BM$2:$BM$200,$G359)&gt;0,
   ),
  0)
 ),
"")</f>
        <v>4cRash</v>
      </c>
      <c r="D359" s="2" t="str" cm="1">
        <f t="array" aca="1" ref="D359" ca="1">IFERROR(
 INDEX(
  _xlfn._xlws.FILTER($V$1:$AW$1,
   TRANSPOSE(
    CHOOSE({1;2;3;4;5;6;7;8;9;10;11;12;13;14;15;16;17;18;19;20;21;22;23;24;25;26;27;28},
     COUNTIFS($V$2:$V$200,$G359)&gt;0,
     COUNTIFS($W$2:$W$200,$G359)&gt;0,
     COUNTIFS($X$2:$X$200,$G359)&gt;0,
     COUNTIFS($Y$2:$Y$200,$G359)&gt;0,
     COUNTIFS($Z$2:$Z$200,$G359)&gt;0,
     COUNTIFS($AA$2:$AA$200,$G359)&gt;0,
     COUNTIFS($AB$2:$AB$200,$G359)&gt;0,
     COUNTIFS($AC$2:$AC$200,$G359)&gt;0,
     COUNTIFS($AD$2:$AD$200,$G359)&gt;0,
     COUNTIFS($AE$2:$AE$200,$G359)&gt;0,
     COUNTIFS($AF$2:$AF$200,$G359)&gt;0,
     COUNTIFS($AG$2:$AG$200,$G359)&gt;0,
     COUNTIFS($AH$2:$AH$200,$G359)&gt;0,
     COUNTIFS($AI$2:$AI$200,$G359)&gt;0,
     COUNTIFS($AJ$2:$AJ$200,$G359)&gt;0,
     COUNTIFS($AK$2:$AK$200,$G359)&gt;0,
     COUNTIFS($AL$2:$AL$200,$G359)&gt;0,
     COUNTIFS($AM$2:$AM$200,$G359)&gt;0,
     COUNTIFS($AN$2:$AN$200,$G359)&gt;0,
     COUNTIFS($AO$2:$AO$200,$G359)&gt;0,
     COUNTIFS($AP$2:$AP$200,$G359)&gt;0,
     COUNTIFS($AQ$2:$AQ$200,$G359)&gt;0,
     COUNTIFS($AR$2:$AR$200,$G359)&gt;0,
     COUNTIFS($AS$2:$AS$200,$G359)&gt;0,
     COUNTIFS($AT$2:$AT$200,$G359)&gt;0,
     COUNTIFS($AU$2:$AU$200,$G359)&gt;0,
     COUNTIFS($AV$2:$AV$200,$G359)&gt;0,
     COUNTIFS($AW$2:$AW$200,$G359)&gt;0
   )),
  ),
  2
 ),
"")</f>
        <v/>
      </c>
      <c r="E359" s="2" t="str" cm="1">
        <f t="array" aca="1" ref="E359" ca="1">IFERROR(
 INDEX($V$1:$AW$1,
  _xlfn.AGGREGATE(15,6,
   (COLUMN($V$1:$AW$1)-COLUMN($V$1)+1)/
   TRANSPOSE(
    CHOOSE({1;2;3;4;5;6;7;8;9;10;11;12;13;14;15;16;17;18;19;20;21;22;23;24;25;26;27;28},
     COUNTIFS($V$2:$V$200,$G359)&gt;0,
     COUNTIFS($W$2:$W$200,$G359)&gt;0,
     COUNTIFS($X$2:$X$200,$G359)&gt;0,
     COUNTIFS($Y$2:$Y$200,$G359)&gt;0,
     COUNTIFS($Z$2:$Z$200,$G359)&gt;0,
     COUNTIFS($AA$2:$AA$200,$G359)&gt;0,
     COUNTIFS($AB$2:$AB$200,$G359)&gt;0,
     COUNTIFS($AC$2:$AC$200,$G359)&gt;0,
     COUNTIFS($AD$2:$AD$200,$G359)&gt;0,
     COUNTIFS($AE$2:$AE$200,$G359)&gt;0,
     COUNTIFS($AF$2:$AF$200,$G359)&gt;0,
     COUNTIFS($AG$2:$AG$200,$G359)&gt;0,
     COUNTIFS($AH$2:$AH$200,$G359)&gt;0,
     COUNTIFS($AI$2:$AI$200,$G359)&gt;0,
     COUNTIFS($AJ$2:$AJ$200,$G359)&gt;0,
     COUNTIFS($AK$2:$AK$200,$G359)&gt;0,
     COUNTIFS($AL$2:$AL$200,$G359)&gt;0,
     COUNTIFS($AM$2:$AM$200,$G359)&gt;0,
     COUNTIFS($AN$2:$AN$200,$G359)&gt;0,
     COUNTIFS($AO$2:$AO$200,$G359)&gt;0,
     COUNTIFS($AP$2:$AP$200,$G359)&gt;0,
     COUNTIFS($AQ$2:$AQ$200,$G359)&gt;0,
     COUNTIFS($AR$2:$AR$200,$G359)&gt;0,
     COUNTIFS($AS$2:$AS$200,$G359)&gt;0,
     COUNTIFS($AT$2:$AT$200,$G359)&gt;0,
     COUNTIFS($AU$2:$AU$200,$G359)&gt;0,
     COUNTIFS($AV$2:$AV$200,$G359)&gt;0,
     COUNTIFS($AW$2:$AW$200,$G359)&gt;0
   )),
  3)
 ),
"")</f>
        <v/>
      </c>
      <c r="F359" s="2" t="str" cm="1">
        <f t="array" aca="1" ref="F359" ca="1">IFERROR(
 INDEX($V$1:$AW$1,
  _xlfn.AGGREGATE(15,6,
   (COLUMN($V$1:$AW$1)-COLUMN($V$1)+1)/
   TRANSPOSE(
    CHOOSE({1;2;3;4;5;6;7;8;9;10;11;12;13;14;15;16;17;18;19;20;21;22;23;24;25;26;27;28},
     COUNTIFS($V$2:$V$200,$G359)&gt;0,
     COUNTIFS($W$2:$W$200,$G359)&gt;0,
     COUNTIFS($X$2:$X$200,$G359)&gt;0,
     COUNTIFS($Y$2:$Y$200,$G359)&gt;0,
     COUNTIFS($Z$2:$Z$200,$G359)&gt;0,
     COUNTIFS($AA$2:$AA$200,$G359)&gt;0,
     COUNTIFS($AB$2:$AB$200,$G359)&gt;0,
     COUNTIFS($AC$2:$AC$200,$G359)&gt;0,
     COUNTIFS($AD$2:$AD$200,$G359)&gt;0,
     COUNTIFS($AE$2:$AE$200,$G359)&gt;0,
     COUNTIFS($AF$2:$AF$200,$G359)&gt;0,
     COUNTIFS($AG$2:$AG$200,$G359)&gt;0,
     COUNTIFS($AH$2:$AH$200,$G359)&gt;0,
     COUNTIFS($AI$2:$AI$200,$G359)&gt;0,
     COUNTIFS($AJ$2:$AJ$200,$G359)&gt;0,
     COUNTIFS($AK$2:$AK$200,$G359)&gt;0,
     COUNTIFS($AL$2:$AL$200,$G359)&gt;0,
     COUNTIFS($AM$2:$AM$200,$G359)&gt;0,
     COUNTIFS($AN$2:$AN$200,$G359)&gt;0,
     COUNTIFS($AO$2:$AO$200,$G359)&gt;0,
     COUNTIFS($AP$2:$AP$200,$G359)&gt;0,
     COUNTIFS($AQ$2:$AQ$200,$G359)&gt;0,
     COUNTIFS($AR$2:$AR$200,$G359)&gt;0,
     COUNTIFS($AS$2:$AS$200,$G359)&gt;0,
     COUNTIFS($AT$2:$AT$200,$G359)&gt;0,
     COUNTIFS($AU$2:$AU$200,$G359)&gt;0,
     COUNTIFS($AV$2:$AV$200,$G359)&gt;0,
     COUNTIFS($AW$2:$AW$200,$G359)&gt;0
   )),
  4)
 ),
"")</f>
        <v/>
      </c>
      <c r="G359" t="str">
        <f ca="1"/>
        <v>Rewind</v>
      </c>
      <c r="EU359" t="str">
        <f ca="1"/>
        <v>Virtue of Loyalty // Ardenvale Fealty</v>
      </c>
      <c r="EX359" t="str">
        <f ca="1"/>
        <v>Rewind</v>
      </c>
    </row>
    <row r="360" spans="1:154" x14ac:dyDescent="0.25">
      <c r="A360" s="2" t="str">
        <f t="shared" ca="1" si="16"/>
        <v>4</v>
      </c>
      <c r="B360" s="2">
        <f t="shared" ca="1" si="17"/>
        <v>1</v>
      </c>
      <c r="C360" s="2" t="str">
        <f ca="1">IFERROR(
 INDEX($V$1:$BL$1,
  MATCH(TRUE,
   CHOOSE({1;2;3;4;5;6;7;8;9;10;11;12;13;14;15;16;17;18;19;20;21;22;23;24;25;26;27;28;29;30;31;32;33;34;35;36;37;38;39;40;41;42;43},
    COUNTIFS($V$2:$V$200,$G360)&gt;0,
    COUNTIFS($W$2:$W$200,$G360)&gt;0,
    COUNTIFS($X$2:$X$200,$G360)&gt;0,
    COUNTIFS($Y$2:$Y$200,$G360)&gt;0,
    COUNTIFS($Z$2:$Z$200,$G360)&gt;0,
    COUNTIFS($AA$2:$AA$200,$G360)&gt;0,
    COUNTIFS($AB$2:$AB$200,$G360)&gt;0,
    COUNTIFS($AC$2:$AC$200,$G360)&gt;0,
    COUNTIFS($AD$2:$AD$200,$G360)&gt;0,
    COUNTIFS($AE$2:$AE$200,$G360)&gt;0,
    COUNTIFS($AF$2:$AF$200,$G360)&gt;0,
    COUNTIFS($AG$2:$AG$200,$G360)&gt;0,
    COUNTIFS($AH$2:$AH$200,$G360)&gt;0,
    COUNTIFS($AI$2:$AI$200,$G360)&gt;0,
    COUNTIFS($AJ$2:$AJ$200,$G360)&gt;0,
    COUNTIFS($AK$2:$AK$200,$G360)&gt;0,
    COUNTIFS($AL$2:$AL$200,$G360)&gt;0,
    COUNTIFS($AM$2:$AM$200,$G360)&gt;0,
    COUNTIFS($AN$2:$AN$200,$G360)&gt;0,
    COUNTIFS($AO$2:$AO$200,$G360)&gt;0,
    COUNTIFS($AP$2:$AP$200,$G360)&gt;0,
    COUNTIFS($AQ$2:$AQ$200,$G360)&gt;0,
    COUNTIFS($AR$2:$AR$200,$G360)&gt;0,
    COUNTIFS($AS$2:$AS$200,$G360)&gt;0,
    COUNTIFS($AT$2:$AT$200,$G360)&gt;0,
    COUNTIFS($AU$2:$AU$200,$G360)&gt;0,
    COUNTIFS($AV$2:$AV$200,$G360)&gt;0,
    COUNTIFS($AW$2:$AW$200,$G360)&gt;0,
    COUNTIFS($AX$2:$AX$200,$G360)&gt;0,
    COUNTIFS($AY$2:$AY$200,$G360)&gt;0,
    COUNTIFS($AZ$2:$AZ$200,$G360)&gt;0,
    COUNTIFS($BA$2:$BA$200,$G360)&gt;0,
    COUNTIFS($BB$2:$BB$200,$G360)&gt;0,
    COUNTIFS($BC$2:$BC$200,$G360)&gt;0,
    COUNTIFS($BD$2:$BD$200,$G360)&gt;0,
    COUNTIFS($BE$2:$BE$200,$G360)&gt;0,
    COUNTIFS($BF$2:$BF$200,$G360)&gt;0,
    COUNTIFS($BG$2:$BG$200,$G360)&gt;0,
    COUNTIFS($BH$2:$BH$200,$G360)&gt;0,
    COUNTIFS($BI$2:$BI$200,$G360)&gt;0,
    COUNTIFS($BJ$2:$BJ$200,$G360)&gt;0,
    COUNTIFS($BK$2:$BK$200,$G360)&gt;0,
    COUNTIFS($BL$2:$BL$200,$G360)&gt;0,
    COUNTIFS($BM$2:$BM$200,$G360)&gt;0,
   ),
  0)
 ),
"")</f>
        <v>Tayam</v>
      </c>
      <c r="D360" s="2" t="str" cm="1">
        <f t="array" aca="1" ref="D360" ca="1">IFERROR(
 INDEX(
  _xlfn._xlws.FILTER($V$1:$AW$1,
   TRANSPOSE(
    CHOOSE({1;2;3;4;5;6;7;8;9;10;11;12;13;14;15;16;17;18;19;20;21;22;23;24;25;26;27;28},
     COUNTIFS($V$2:$V$200,$G360)&gt;0,
     COUNTIFS($W$2:$W$200,$G360)&gt;0,
     COUNTIFS($X$2:$X$200,$G360)&gt;0,
     COUNTIFS($Y$2:$Y$200,$G360)&gt;0,
     COUNTIFS($Z$2:$Z$200,$G360)&gt;0,
     COUNTIFS($AA$2:$AA$200,$G360)&gt;0,
     COUNTIFS($AB$2:$AB$200,$G360)&gt;0,
     COUNTIFS($AC$2:$AC$200,$G360)&gt;0,
     COUNTIFS($AD$2:$AD$200,$G360)&gt;0,
     COUNTIFS($AE$2:$AE$200,$G360)&gt;0,
     COUNTIFS($AF$2:$AF$200,$G360)&gt;0,
     COUNTIFS($AG$2:$AG$200,$G360)&gt;0,
     COUNTIFS($AH$2:$AH$200,$G360)&gt;0,
     COUNTIFS($AI$2:$AI$200,$G360)&gt;0,
     COUNTIFS($AJ$2:$AJ$200,$G360)&gt;0,
     COUNTIFS($AK$2:$AK$200,$G360)&gt;0,
     COUNTIFS($AL$2:$AL$200,$G360)&gt;0,
     COUNTIFS($AM$2:$AM$200,$G360)&gt;0,
     COUNTIFS($AN$2:$AN$200,$G360)&gt;0,
     COUNTIFS($AO$2:$AO$200,$G360)&gt;0,
     COUNTIFS($AP$2:$AP$200,$G360)&gt;0,
     COUNTIFS($AQ$2:$AQ$200,$G360)&gt;0,
     COUNTIFS($AR$2:$AR$200,$G360)&gt;0,
     COUNTIFS($AS$2:$AS$200,$G360)&gt;0,
     COUNTIFS($AT$2:$AT$200,$G360)&gt;0,
     COUNTIFS($AU$2:$AU$200,$G360)&gt;0,
     COUNTIFS($AV$2:$AV$200,$G360)&gt;0,
     COUNTIFS($AW$2:$AW$200,$G360)&gt;0
   )),
  ),
  2
 ),
"")</f>
        <v/>
      </c>
      <c r="E360" s="2" t="str" cm="1">
        <f t="array" aca="1" ref="E360" ca="1">IFERROR(
 INDEX($V$1:$AW$1,
  _xlfn.AGGREGATE(15,6,
   (COLUMN($V$1:$AW$1)-COLUMN($V$1)+1)/
   TRANSPOSE(
    CHOOSE({1;2;3;4;5;6;7;8;9;10;11;12;13;14;15;16;17;18;19;20;21;22;23;24;25;26;27;28},
     COUNTIFS($V$2:$V$200,$G360)&gt;0,
     COUNTIFS($W$2:$W$200,$G360)&gt;0,
     COUNTIFS($X$2:$X$200,$G360)&gt;0,
     COUNTIFS($Y$2:$Y$200,$G360)&gt;0,
     COUNTIFS($Z$2:$Z$200,$G360)&gt;0,
     COUNTIFS($AA$2:$AA$200,$G360)&gt;0,
     COUNTIFS($AB$2:$AB$200,$G360)&gt;0,
     COUNTIFS($AC$2:$AC$200,$G360)&gt;0,
     COUNTIFS($AD$2:$AD$200,$G360)&gt;0,
     COUNTIFS($AE$2:$AE$200,$G360)&gt;0,
     COUNTIFS($AF$2:$AF$200,$G360)&gt;0,
     COUNTIFS($AG$2:$AG$200,$G360)&gt;0,
     COUNTIFS($AH$2:$AH$200,$G360)&gt;0,
     COUNTIFS($AI$2:$AI$200,$G360)&gt;0,
     COUNTIFS($AJ$2:$AJ$200,$G360)&gt;0,
     COUNTIFS($AK$2:$AK$200,$G360)&gt;0,
     COUNTIFS($AL$2:$AL$200,$G360)&gt;0,
     COUNTIFS($AM$2:$AM$200,$G360)&gt;0,
     COUNTIFS($AN$2:$AN$200,$G360)&gt;0,
     COUNTIFS($AO$2:$AO$200,$G360)&gt;0,
     COUNTIFS($AP$2:$AP$200,$G360)&gt;0,
     COUNTIFS($AQ$2:$AQ$200,$G360)&gt;0,
     COUNTIFS($AR$2:$AR$200,$G360)&gt;0,
     COUNTIFS($AS$2:$AS$200,$G360)&gt;0,
     COUNTIFS($AT$2:$AT$200,$G360)&gt;0,
     COUNTIFS($AU$2:$AU$200,$G360)&gt;0,
     COUNTIFS($AV$2:$AV$200,$G360)&gt;0,
     COUNTIFS($AW$2:$AW$200,$G360)&gt;0
   )),
  3)
 ),
"")</f>
        <v/>
      </c>
      <c r="F360" s="2" t="str" cm="1">
        <f t="array" aca="1" ref="F360" ca="1">IFERROR(
 INDEX($V$1:$AW$1,
  _xlfn.AGGREGATE(15,6,
   (COLUMN($V$1:$AW$1)-COLUMN($V$1)+1)/
   TRANSPOSE(
    CHOOSE({1;2;3;4;5;6;7;8;9;10;11;12;13;14;15;16;17;18;19;20;21;22;23;24;25;26;27;28},
     COUNTIFS($V$2:$V$200,$G360)&gt;0,
     COUNTIFS($W$2:$W$200,$G360)&gt;0,
     COUNTIFS($X$2:$X$200,$G360)&gt;0,
     COUNTIFS($Y$2:$Y$200,$G360)&gt;0,
     COUNTIFS($Z$2:$Z$200,$G360)&gt;0,
     COUNTIFS($AA$2:$AA$200,$G360)&gt;0,
     COUNTIFS($AB$2:$AB$200,$G360)&gt;0,
     COUNTIFS($AC$2:$AC$200,$G360)&gt;0,
     COUNTIFS($AD$2:$AD$200,$G360)&gt;0,
     COUNTIFS($AE$2:$AE$200,$G360)&gt;0,
     COUNTIFS($AF$2:$AF$200,$G360)&gt;0,
     COUNTIFS($AG$2:$AG$200,$G360)&gt;0,
     COUNTIFS($AH$2:$AH$200,$G360)&gt;0,
     COUNTIFS($AI$2:$AI$200,$G360)&gt;0,
     COUNTIFS($AJ$2:$AJ$200,$G360)&gt;0,
     COUNTIFS($AK$2:$AK$200,$G360)&gt;0,
     COUNTIFS($AL$2:$AL$200,$G360)&gt;0,
     COUNTIFS($AM$2:$AM$200,$G360)&gt;0,
     COUNTIFS($AN$2:$AN$200,$G360)&gt;0,
     COUNTIFS($AO$2:$AO$200,$G360)&gt;0,
     COUNTIFS($AP$2:$AP$200,$G360)&gt;0,
     COUNTIFS($AQ$2:$AQ$200,$G360)&gt;0,
     COUNTIFS($AR$2:$AR$200,$G360)&gt;0,
     COUNTIFS($AS$2:$AS$200,$G360)&gt;0,
     COUNTIFS($AT$2:$AT$200,$G360)&gt;0,
     COUNTIFS($AU$2:$AU$200,$G360)&gt;0,
     COUNTIFS($AV$2:$AV$200,$G360)&gt;0,
     COUNTIFS($AW$2:$AW$200,$G360)&gt;0
   )),
  4)
 ),
"")</f>
        <v/>
      </c>
      <c r="G360" t="str">
        <f ca="1"/>
        <v>Reyhan, Last of the Abzan</v>
      </c>
      <c r="EU360" t="str">
        <f ca="1"/>
        <v>Vona's Hunger</v>
      </c>
      <c r="EX360" t="str">
        <f ca="1"/>
        <v>Reyhan, Last of the Abzan</v>
      </c>
    </row>
    <row r="361" spans="1:154" x14ac:dyDescent="0.25">
      <c r="A361" s="2" t="str">
        <f t="shared" ca="1" si="16"/>
        <v>3</v>
      </c>
      <c r="B361" s="2">
        <f t="shared" ca="1" si="17"/>
        <v>1</v>
      </c>
      <c r="C361" s="2" t="str">
        <f ca="1">IFERROR(
 INDEX($V$1:$BL$1,
  MATCH(TRUE,
   CHOOSE({1;2;3;4;5;6;7;8;9;10;11;12;13;14;15;16;17;18;19;20;21;22;23;24;25;26;27;28;29;30;31;32;33;34;35;36;37;38;39;40;41;42;43},
    COUNTIFS($V$2:$V$200,$G361)&gt;0,
    COUNTIFS($W$2:$W$200,$G361)&gt;0,
    COUNTIFS($X$2:$X$200,$G361)&gt;0,
    COUNTIFS($Y$2:$Y$200,$G361)&gt;0,
    COUNTIFS($Z$2:$Z$200,$G361)&gt;0,
    COUNTIFS($AA$2:$AA$200,$G361)&gt;0,
    COUNTIFS($AB$2:$AB$200,$G361)&gt;0,
    COUNTIFS($AC$2:$AC$200,$G361)&gt;0,
    COUNTIFS($AD$2:$AD$200,$G361)&gt;0,
    COUNTIFS($AE$2:$AE$200,$G361)&gt;0,
    COUNTIFS($AF$2:$AF$200,$G361)&gt;0,
    COUNTIFS($AG$2:$AG$200,$G361)&gt;0,
    COUNTIFS($AH$2:$AH$200,$G361)&gt;0,
    COUNTIFS($AI$2:$AI$200,$G361)&gt;0,
    COUNTIFS($AJ$2:$AJ$200,$G361)&gt;0,
    COUNTIFS($AK$2:$AK$200,$G361)&gt;0,
    COUNTIFS($AL$2:$AL$200,$G361)&gt;0,
    COUNTIFS($AM$2:$AM$200,$G361)&gt;0,
    COUNTIFS($AN$2:$AN$200,$G361)&gt;0,
    COUNTIFS($AO$2:$AO$200,$G361)&gt;0,
    COUNTIFS($AP$2:$AP$200,$G361)&gt;0,
    COUNTIFS($AQ$2:$AQ$200,$G361)&gt;0,
    COUNTIFS($AR$2:$AR$200,$G361)&gt;0,
    COUNTIFS($AS$2:$AS$200,$G361)&gt;0,
    COUNTIFS($AT$2:$AT$200,$G361)&gt;0,
    COUNTIFS($AU$2:$AU$200,$G361)&gt;0,
    COUNTIFS($AV$2:$AV$200,$G361)&gt;0,
    COUNTIFS($AW$2:$AW$200,$G361)&gt;0,
    COUNTIFS($AX$2:$AX$200,$G361)&gt;0,
    COUNTIFS($AY$2:$AY$200,$G361)&gt;0,
    COUNTIFS($AZ$2:$AZ$200,$G361)&gt;0,
    COUNTIFS($BA$2:$BA$200,$G361)&gt;0,
    COUNTIFS($BB$2:$BB$200,$G361)&gt;0,
    COUNTIFS($BC$2:$BC$200,$G361)&gt;0,
    COUNTIFS($BD$2:$BD$200,$G361)&gt;0,
    COUNTIFS($BE$2:$BE$200,$G361)&gt;0,
    COUNTIFS($BF$2:$BF$200,$G361)&gt;0,
    COUNTIFS($BG$2:$BG$200,$G361)&gt;0,
    COUNTIFS($BH$2:$BH$200,$G361)&gt;0,
    COUNTIFS($BI$2:$BI$200,$G361)&gt;0,
    COUNTIFS($BJ$2:$BJ$200,$G361)&gt;0,
    COUNTIFS($BK$2:$BK$200,$G361)&gt;0,
    COUNTIFS($BL$2:$BL$200,$G361)&gt;0,
    COUNTIFS($BM$2:$BM$200,$G361)&gt;0,
   ),
  0)
 ),
"")</f>
        <v>Inalla</v>
      </c>
      <c r="D361" s="2" t="str" cm="1">
        <f t="array" aca="1" ref="D361" ca="1">IFERROR(
 INDEX(
  _xlfn._xlws.FILTER($V$1:$AW$1,
   TRANSPOSE(
    CHOOSE({1;2;3;4;5;6;7;8;9;10;11;12;13;14;15;16;17;18;19;20;21;22;23;24;25;26;27;28},
     COUNTIFS($V$2:$V$200,$G361)&gt;0,
     COUNTIFS($W$2:$W$200,$G361)&gt;0,
     COUNTIFS($X$2:$X$200,$G361)&gt;0,
     COUNTIFS($Y$2:$Y$200,$G361)&gt;0,
     COUNTIFS($Z$2:$Z$200,$G361)&gt;0,
     COUNTIFS($AA$2:$AA$200,$G361)&gt;0,
     COUNTIFS($AB$2:$AB$200,$G361)&gt;0,
     COUNTIFS($AC$2:$AC$200,$G361)&gt;0,
     COUNTIFS($AD$2:$AD$200,$G361)&gt;0,
     COUNTIFS($AE$2:$AE$200,$G361)&gt;0,
     COUNTIFS($AF$2:$AF$200,$G361)&gt;0,
     COUNTIFS($AG$2:$AG$200,$G361)&gt;0,
     COUNTIFS($AH$2:$AH$200,$G361)&gt;0,
     COUNTIFS($AI$2:$AI$200,$G361)&gt;0,
     COUNTIFS($AJ$2:$AJ$200,$G361)&gt;0,
     COUNTIFS($AK$2:$AK$200,$G361)&gt;0,
     COUNTIFS($AL$2:$AL$200,$G361)&gt;0,
     COUNTIFS($AM$2:$AM$200,$G361)&gt;0,
     COUNTIFS($AN$2:$AN$200,$G361)&gt;0,
     COUNTIFS($AO$2:$AO$200,$G361)&gt;0,
     COUNTIFS($AP$2:$AP$200,$G361)&gt;0,
     COUNTIFS($AQ$2:$AQ$200,$G361)&gt;0,
     COUNTIFS($AR$2:$AR$200,$G361)&gt;0,
     COUNTIFS($AS$2:$AS$200,$G361)&gt;0,
     COUNTIFS($AT$2:$AT$200,$G361)&gt;0,
     COUNTIFS($AU$2:$AU$200,$G361)&gt;0,
     COUNTIFS($AV$2:$AV$200,$G361)&gt;0,
     COUNTIFS($AW$2:$AW$200,$G361)&gt;0
   )),
  ),
  2
 ),
"")</f>
        <v/>
      </c>
      <c r="E361" s="2" t="str" cm="1">
        <f t="array" aca="1" ref="E361" ca="1">IFERROR(
 INDEX($V$1:$AW$1,
  _xlfn.AGGREGATE(15,6,
   (COLUMN($V$1:$AW$1)-COLUMN($V$1)+1)/
   TRANSPOSE(
    CHOOSE({1;2;3;4;5;6;7;8;9;10;11;12;13;14;15;16;17;18;19;20;21;22;23;24;25;26;27;28},
     COUNTIFS($V$2:$V$200,$G361)&gt;0,
     COUNTIFS($W$2:$W$200,$G361)&gt;0,
     COUNTIFS($X$2:$X$200,$G361)&gt;0,
     COUNTIFS($Y$2:$Y$200,$G361)&gt;0,
     COUNTIFS($Z$2:$Z$200,$G361)&gt;0,
     COUNTIFS($AA$2:$AA$200,$G361)&gt;0,
     COUNTIFS($AB$2:$AB$200,$G361)&gt;0,
     COUNTIFS($AC$2:$AC$200,$G361)&gt;0,
     COUNTIFS($AD$2:$AD$200,$G361)&gt;0,
     COUNTIFS($AE$2:$AE$200,$G361)&gt;0,
     COUNTIFS($AF$2:$AF$200,$G361)&gt;0,
     COUNTIFS($AG$2:$AG$200,$G361)&gt;0,
     COUNTIFS($AH$2:$AH$200,$G361)&gt;0,
     COUNTIFS($AI$2:$AI$200,$G361)&gt;0,
     COUNTIFS($AJ$2:$AJ$200,$G361)&gt;0,
     COUNTIFS($AK$2:$AK$200,$G361)&gt;0,
     COUNTIFS($AL$2:$AL$200,$G361)&gt;0,
     COUNTIFS($AM$2:$AM$200,$G361)&gt;0,
     COUNTIFS($AN$2:$AN$200,$G361)&gt;0,
     COUNTIFS($AO$2:$AO$200,$G361)&gt;0,
     COUNTIFS($AP$2:$AP$200,$G361)&gt;0,
     COUNTIFS($AQ$2:$AQ$200,$G361)&gt;0,
     COUNTIFS($AR$2:$AR$200,$G361)&gt;0,
     COUNTIFS($AS$2:$AS$200,$G361)&gt;0,
     COUNTIFS($AT$2:$AT$200,$G361)&gt;0,
     COUNTIFS($AU$2:$AU$200,$G361)&gt;0,
     COUNTIFS($AV$2:$AV$200,$G361)&gt;0,
     COUNTIFS($AW$2:$AW$200,$G361)&gt;0
   )),
  3)
 ),
"")</f>
        <v/>
      </c>
      <c r="F361" s="2" t="str" cm="1">
        <f t="array" aca="1" ref="F361" ca="1">IFERROR(
 INDEX($V$1:$AW$1,
  _xlfn.AGGREGATE(15,6,
   (COLUMN($V$1:$AW$1)-COLUMN($V$1)+1)/
   TRANSPOSE(
    CHOOSE({1;2;3;4;5;6;7;8;9;10;11;12;13;14;15;16;17;18;19;20;21;22;23;24;25;26;27;28},
     COUNTIFS($V$2:$V$200,$G361)&gt;0,
     COUNTIFS($W$2:$W$200,$G361)&gt;0,
     COUNTIFS($X$2:$X$200,$G361)&gt;0,
     COUNTIFS($Y$2:$Y$200,$G361)&gt;0,
     COUNTIFS($Z$2:$Z$200,$G361)&gt;0,
     COUNTIFS($AA$2:$AA$200,$G361)&gt;0,
     COUNTIFS($AB$2:$AB$200,$G361)&gt;0,
     COUNTIFS($AC$2:$AC$200,$G361)&gt;0,
     COUNTIFS($AD$2:$AD$200,$G361)&gt;0,
     COUNTIFS($AE$2:$AE$200,$G361)&gt;0,
     COUNTIFS($AF$2:$AF$200,$G361)&gt;0,
     COUNTIFS($AG$2:$AG$200,$G361)&gt;0,
     COUNTIFS($AH$2:$AH$200,$G361)&gt;0,
     COUNTIFS($AI$2:$AI$200,$G361)&gt;0,
     COUNTIFS($AJ$2:$AJ$200,$G361)&gt;0,
     COUNTIFS($AK$2:$AK$200,$G361)&gt;0,
     COUNTIFS($AL$2:$AL$200,$G361)&gt;0,
     COUNTIFS($AM$2:$AM$200,$G361)&gt;0,
     COUNTIFS($AN$2:$AN$200,$G361)&gt;0,
     COUNTIFS($AO$2:$AO$200,$G361)&gt;0,
     COUNTIFS($AP$2:$AP$200,$G361)&gt;0,
     COUNTIFS($AQ$2:$AQ$200,$G361)&gt;0,
     COUNTIFS($AR$2:$AR$200,$G361)&gt;0,
     COUNTIFS($AS$2:$AS$200,$G361)&gt;0,
     COUNTIFS($AT$2:$AT$200,$G361)&gt;0,
     COUNTIFS($AU$2:$AU$200,$G361)&gt;0,
     COUNTIFS($AV$2:$AV$200,$G361)&gt;0,
     COUNTIFS($AW$2:$AW$200,$G361)&gt;0
   )),
  4)
 ),
"")</f>
        <v/>
      </c>
      <c r="G361" t="str">
        <f ca="1"/>
        <v>Rimekin Recluse</v>
      </c>
      <c r="EU361" t="str">
        <f ca="1"/>
        <v>Vronos, Masked Inquisitor</v>
      </c>
      <c r="EX361" t="str">
        <f ca="1"/>
        <v>Rimekin Recluse</v>
      </c>
    </row>
    <row r="362" spans="1:154" x14ac:dyDescent="0.25">
      <c r="A362" s="2" t="str">
        <f t="shared" ca="1" si="16"/>
        <v>2</v>
      </c>
      <c r="B362" s="2">
        <f t="shared" ca="1" si="17"/>
        <v>1</v>
      </c>
      <c r="C362" s="2" t="str">
        <f ca="1">IFERROR(
 INDEX($V$1:$BL$1,
  MATCH(TRUE,
   CHOOSE({1;2;3;4;5;6;7;8;9;10;11;12;13;14;15;16;17;18;19;20;21;22;23;24;25;26;27;28;29;30;31;32;33;34;35;36;37;38;39;40;41;42;43},
    COUNTIFS($V$2:$V$200,$G362)&gt;0,
    COUNTIFS($W$2:$W$200,$G362)&gt;0,
    COUNTIFS($X$2:$X$200,$G362)&gt;0,
    COUNTIFS($Y$2:$Y$200,$G362)&gt;0,
    COUNTIFS($Z$2:$Z$200,$G362)&gt;0,
    COUNTIFS($AA$2:$AA$200,$G362)&gt;0,
    COUNTIFS($AB$2:$AB$200,$G362)&gt;0,
    COUNTIFS($AC$2:$AC$200,$G362)&gt;0,
    COUNTIFS($AD$2:$AD$200,$G362)&gt;0,
    COUNTIFS($AE$2:$AE$200,$G362)&gt;0,
    COUNTIFS($AF$2:$AF$200,$G362)&gt;0,
    COUNTIFS($AG$2:$AG$200,$G362)&gt;0,
    COUNTIFS($AH$2:$AH$200,$G362)&gt;0,
    COUNTIFS($AI$2:$AI$200,$G362)&gt;0,
    COUNTIFS($AJ$2:$AJ$200,$G362)&gt;0,
    COUNTIFS($AK$2:$AK$200,$G362)&gt;0,
    COUNTIFS($AL$2:$AL$200,$G362)&gt;0,
    COUNTIFS($AM$2:$AM$200,$G362)&gt;0,
    COUNTIFS($AN$2:$AN$200,$G362)&gt;0,
    COUNTIFS($AO$2:$AO$200,$G362)&gt;0,
    COUNTIFS($AP$2:$AP$200,$G362)&gt;0,
    COUNTIFS($AQ$2:$AQ$200,$G362)&gt;0,
    COUNTIFS($AR$2:$AR$200,$G362)&gt;0,
    COUNTIFS($AS$2:$AS$200,$G362)&gt;0,
    COUNTIFS($AT$2:$AT$200,$G362)&gt;0,
    COUNTIFS($AU$2:$AU$200,$G362)&gt;0,
    COUNTIFS($AV$2:$AV$200,$G362)&gt;0,
    COUNTIFS($AW$2:$AW$200,$G362)&gt;0,
    COUNTIFS($AX$2:$AX$200,$G362)&gt;0,
    COUNTIFS($AY$2:$AY$200,$G362)&gt;0,
    COUNTIFS($AZ$2:$AZ$200,$G362)&gt;0,
    COUNTIFS($BA$2:$BA$200,$G362)&gt;0,
    COUNTIFS($BB$2:$BB$200,$G362)&gt;0,
    COUNTIFS($BC$2:$BC$200,$G362)&gt;0,
    COUNTIFS($BD$2:$BD$200,$G362)&gt;0,
    COUNTIFS($BE$2:$BE$200,$G362)&gt;0,
    COUNTIFS($BF$2:$BF$200,$G362)&gt;0,
    COUNTIFS($BG$2:$BG$200,$G362)&gt;0,
    COUNTIFS($BH$2:$BH$200,$G362)&gt;0,
    COUNTIFS($BI$2:$BI$200,$G362)&gt;0,
    COUNTIFS($BJ$2:$BJ$200,$G362)&gt;0,
    COUNTIFS($BK$2:$BK$200,$G362)&gt;0,
    COUNTIFS($BL$2:$BL$200,$G362)&gt;0,
    COUNTIFS($BM$2:$BM$200,$G362)&gt;0,
   ),
  0)
 ),
"")</f>
        <v>Muzzio</v>
      </c>
      <c r="D362" s="2" t="str" cm="1">
        <f t="array" aca="1" ref="D362" ca="1">IFERROR(
 INDEX(
  _xlfn._xlws.FILTER($V$1:$AW$1,
   TRANSPOSE(
    CHOOSE({1;2;3;4;5;6;7;8;9;10;11;12;13;14;15;16;17;18;19;20;21;22;23;24;25;26;27;28},
     COUNTIFS($V$2:$V$200,$G362)&gt;0,
     COUNTIFS($W$2:$W$200,$G362)&gt;0,
     COUNTIFS($X$2:$X$200,$G362)&gt;0,
     COUNTIFS($Y$2:$Y$200,$G362)&gt;0,
     COUNTIFS($Z$2:$Z$200,$G362)&gt;0,
     COUNTIFS($AA$2:$AA$200,$G362)&gt;0,
     COUNTIFS($AB$2:$AB$200,$G362)&gt;0,
     COUNTIFS($AC$2:$AC$200,$G362)&gt;0,
     COUNTIFS($AD$2:$AD$200,$G362)&gt;0,
     COUNTIFS($AE$2:$AE$200,$G362)&gt;0,
     COUNTIFS($AF$2:$AF$200,$G362)&gt;0,
     COUNTIFS($AG$2:$AG$200,$G362)&gt;0,
     COUNTIFS($AH$2:$AH$200,$G362)&gt;0,
     COUNTIFS($AI$2:$AI$200,$G362)&gt;0,
     COUNTIFS($AJ$2:$AJ$200,$G362)&gt;0,
     COUNTIFS($AK$2:$AK$200,$G362)&gt;0,
     COUNTIFS($AL$2:$AL$200,$G362)&gt;0,
     COUNTIFS($AM$2:$AM$200,$G362)&gt;0,
     COUNTIFS($AN$2:$AN$200,$G362)&gt;0,
     COUNTIFS($AO$2:$AO$200,$G362)&gt;0,
     COUNTIFS($AP$2:$AP$200,$G362)&gt;0,
     COUNTIFS($AQ$2:$AQ$200,$G362)&gt;0,
     COUNTIFS($AR$2:$AR$200,$G362)&gt;0,
     COUNTIFS($AS$2:$AS$200,$G362)&gt;0,
     COUNTIFS($AT$2:$AT$200,$G362)&gt;0,
     COUNTIFS($AU$2:$AU$200,$G362)&gt;0,
     COUNTIFS($AV$2:$AV$200,$G362)&gt;0,
     COUNTIFS($AW$2:$AW$200,$G362)&gt;0
   )),
  ),
  2
 ),
"")</f>
        <v/>
      </c>
      <c r="E362" s="2" t="str" cm="1">
        <f t="array" aca="1" ref="E362" ca="1">IFERROR(
 INDEX($V$1:$AW$1,
  _xlfn.AGGREGATE(15,6,
   (COLUMN($V$1:$AW$1)-COLUMN($V$1)+1)/
   TRANSPOSE(
    CHOOSE({1;2;3;4;5;6;7;8;9;10;11;12;13;14;15;16;17;18;19;20;21;22;23;24;25;26;27;28},
     COUNTIFS($V$2:$V$200,$G362)&gt;0,
     COUNTIFS($W$2:$W$200,$G362)&gt;0,
     COUNTIFS($X$2:$X$200,$G362)&gt;0,
     COUNTIFS($Y$2:$Y$200,$G362)&gt;0,
     COUNTIFS($Z$2:$Z$200,$G362)&gt;0,
     COUNTIFS($AA$2:$AA$200,$G362)&gt;0,
     COUNTIFS($AB$2:$AB$200,$G362)&gt;0,
     COUNTIFS($AC$2:$AC$200,$G362)&gt;0,
     COUNTIFS($AD$2:$AD$200,$G362)&gt;0,
     COUNTIFS($AE$2:$AE$200,$G362)&gt;0,
     COUNTIFS($AF$2:$AF$200,$G362)&gt;0,
     COUNTIFS($AG$2:$AG$200,$G362)&gt;0,
     COUNTIFS($AH$2:$AH$200,$G362)&gt;0,
     COUNTIFS($AI$2:$AI$200,$G362)&gt;0,
     COUNTIFS($AJ$2:$AJ$200,$G362)&gt;0,
     COUNTIFS($AK$2:$AK$200,$G362)&gt;0,
     COUNTIFS($AL$2:$AL$200,$G362)&gt;0,
     COUNTIFS($AM$2:$AM$200,$G362)&gt;0,
     COUNTIFS($AN$2:$AN$200,$G362)&gt;0,
     COUNTIFS($AO$2:$AO$200,$G362)&gt;0,
     COUNTIFS($AP$2:$AP$200,$G362)&gt;0,
     COUNTIFS($AQ$2:$AQ$200,$G362)&gt;0,
     COUNTIFS($AR$2:$AR$200,$G362)&gt;0,
     COUNTIFS($AS$2:$AS$200,$G362)&gt;0,
     COUNTIFS($AT$2:$AT$200,$G362)&gt;0,
     COUNTIFS($AU$2:$AU$200,$G362)&gt;0,
     COUNTIFS($AV$2:$AV$200,$G362)&gt;0,
     COUNTIFS($AW$2:$AW$200,$G362)&gt;0
   )),
  3)
 ),
"")</f>
        <v/>
      </c>
      <c r="F362" s="2" t="str" cm="1">
        <f t="array" aca="1" ref="F362" ca="1">IFERROR(
 INDEX($V$1:$AW$1,
  _xlfn.AGGREGATE(15,6,
   (COLUMN($V$1:$AW$1)-COLUMN($V$1)+1)/
   TRANSPOSE(
    CHOOSE({1;2;3;4;5;6;7;8;9;10;11;12;13;14;15;16;17;18;19;20;21;22;23;24;25;26;27;28},
     COUNTIFS($V$2:$V$200,$G362)&gt;0,
     COUNTIFS($W$2:$W$200,$G362)&gt;0,
     COUNTIFS($X$2:$X$200,$G362)&gt;0,
     COUNTIFS($Y$2:$Y$200,$G362)&gt;0,
     COUNTIFS($Z$2:$Z$200,$G362)&gt;0,
     COUNTIFS($AA$2:$AA$200,$G362)&gt;0,
     COUNTIFS($AB$2:$AB$200,$G362)&gt;0,
     COUNTIFS($AC$2:$AC$200,$G362)&gt;0,
     COUNTIFS($AD$2:$AD$200,$G362)&gt;0,
     COUNTIFS($AE$2:$AE$200,$G362)&gt;0,
     COUNTIFS($AF$2:$AF$200,$G362)&gt;0,
     COUNTIFS($AG$2:$AG$200,$G362)&gt;0,
     COUNTIFS($AH$2:$AH$200,$G362)&gt;0,
     COUNTIFS($AI$2:$AI$200,$G362)&gt;0,
     COUNTIFS($AJ$2:$AJ$200,$G362)&gt;0,
     COUNTIFS($AK$2:$AK$200,$G362)&gt;0,
     COUNTIFS($AL$2:$AL$200,$G362)&gt;0,
     COUNTIFS($AM$2:$AM$200,$G362)&gt;0,
     COUNTIFS($AN$2:$AN$200,$G362)&gt;0,
     COUNTIFS($AO$2:$AO$200,$G362)&gt;0,
     COUNTIFS($AP$2:$AP$200,$G362)&gt;0,
     COUNTIFS($AQ$2:$AQ$200,$G362)&gt;0,
     COUNTIFS($AR$2:$AR$200,$G362)&gt;0,
     COUNTIFS($AS$2:$AS$200,$G362)&gt;0,
     COUNTIFS($AT$2:$AT$200,$G362)&gt;0,
     COUNTIFS($AU$2:$AU$200,$G362)&gt;0,
     COUNTIFS($AV$2:$AV$200,$G362)&gt;0,
     COUNTIFS($AW$2:$AW$200,$G362)&gt;0
   )),
  4)
 ),
"")</f>
        <v/>
      </c>
      <c r="G362" t="str">
        <f ca="1"/>
        <v>Rings of Brighthearth</v>
      </c>
      <c r="EU362" t="str">
        <f ca="1"/>
        <v>Wan Shi Tong, Librarian</v>
      </c>
      <c r="EX362" t="str">
        <f ca="1"/>
        <v>Rings of Brighthearth</v>
      </c>
    </row>
    <row r="363" spans="1:154" x14ac:dyDescent="0.25">
      <c r="A363" s="2" t="str">
        <f t="shared" ca="1" si="16"/>
        <v>2</v>
      </c>
      <c r="B363" s="2">
        <f t="shared" ca="1" si="17"/>
        <v>1</v>
      </c>
      <c r="C363" s="2" t="str">
        <f ca="1">IFERROR(
 INDEX($V$1:$BL$1,
  MATCH(TRUE,
   CHOOSE({1;2;3;4;5;6;7;8;9;10;11;12;13;14;15;16;17;18;19;20;21;22;23;24;25;26;27;28;29;30;31;32;33;34;35;36;37;38;39;40;41;42;43},
    COUNTIFS($V$2:$V$200,$G363)&gt;0,
    COUNTIFS($W$2:$W$200,$G363)&gt;0,
    COUNTIFS($X$2:$X$200,$G363)&gt;0,
    COUNTIFS($Y$2:$Y$200,$G363)&gt;0,
    COUNTIFS($Z$2:$Z$200,$G363)&gt;0,
    COUNTIFS($AA$2:$AA$200,$G363)&gt;0,
    COUNTIFS($AB$2:$AB$200,$G363)&gt;0,
    COUNTIFS($AC$2:$AC$200,$G363)&gt;0,
    COUNTIFS($AD$2:$AD$200,$G363)&gt;0,
    COUNTIFS($AE$2:$AE$200,$G363)&gt;0,
    COUNTIFS($AF$2:$AF$200,$G363)&gt;0,
    COUNTIFS($AG$2:$AG$200,$G363)&gt;0,
    COUNTIFS($AH$2:$AH$200,$G363)&gt;0,
    COUNTIFS($AI$2:$AI$200,$G363)&gt;0,
    COUNTIFS($AJ$2:$AJ$200,$G363)&gt;0,
    COUNTIFS($AK$2:$AK$200,$G363)&gt;0,
    COUNTIFS($AL$2:$AL$200,$G363)&gt;0,
    COUNTIFS($AM$2:$AM$200,$G363)&gt;0,
    COUNTIFS($AN$2:$AN$200,$G363)&gt;0,
    COUNTIFS($AO$2:$AO$200,$G363)&gt;0,
    COUNTIFS($AP$2:$AP$200,$G363)&gt;0,
    COUNTIFS($AQ$2:$AQ$200,$G363)&gt;0,
    COUNTIFS($AR$2:$AR$200,$G363)&gt;0,
    COUNTIFS($AS$2:$AS$200,$G363)&gt;0,
    COUNTIFS($AT$2:$AT$200,$G363)&gt;0,
    COUNTIFS($AU$2:$AU$200,$G363)&gt;0,
    COUNTIFS($AV$2:$AV$200,$G363)&gt;0,
    COUNTIFS($AW$2:$AW$200,$G363)&gt;0,
    COUNTIFS($AX$2:$AX$200,$G363)&gt;0,
    COUNTIFS($AY$2:$AY$200,$G363)&gt;0,
    COUNTIFS($AZ$2:$AZ$200,$G363)&gt;0,
    COUNTIFS($BA$2:$BA$200,$G363)&gt;0,
    COUNTIFS($BB$2:$BB$200,$G363)&gt;0,
    COUNTIFS($BC$2:$BC$200,$G363)&gt;0,
    COUNTIFS($BD$2:$BD$200,$G363)&gt;0,
    COUNTIFS($BE$2:$BE$200,$G363)&gt;0,
    COUNTIFS($BF$2:$BF$200,$G363)&gt;0,
    COUNTIFS($BG$2:$BG$200,$G363)&gt;0,
    COUNTIFS($BH$2:$BH$200,$G363)&gt;0,
    COUNTIFS($BI$2:$BI$200,$G363)&gt;0,
    COUNTIFS($BJ$2:$BJ$200,$G363)&gt;0,
    COUNTIFS($BK$2:$BK$200,$G363)&gt;0,
    COUNTIFS($BL$2:$BL$200,$G363)&gt;0,
    COUNTIFS($BM$2:$BM$200,$G363)&gt;0,
   ),
  0)
 ),
"")</f>
        <v>Sisay</v>
      </c>
      <c r="D363" s="2" t="str" cm="1">
        <f t="array" aca="1" ref="D363" ca="1">IFERROR(
 INDEX(
  _xlfn._xlws.FILTER($V$1:$AW$1,
   TRANSPOSE(
    CHOOSE({1;2;3;4;5;6;7;8;9;10;11;12;13;14;15;16;17;18;19;20;21;22;23;24;25;26;27;28},
     COUNTIFS($V$2:$V$200,$G363)&gt;0,
     COUNTIFS($W$2:$W$200,$G363)&gt;0,
     COUNTIFS($X$2:$X$200,$G363)&gt;0,
     COUNTIFS($Y$2:$Y$200,$G363)&gt;0,
     COUNTIFS($Z$2:$Z$200,$G363)&gt;0,
     COUNTIFS($AA$2:$AA$200,$G363)&gt;0,
     COUNTIFS($AB$2:$AB$200,$G363)&gt;0,
     COUNTIFS($AC$2:$AC$200,$G363)&gt;0,
     COUNTIFS($AD$2:$AD$200,$G363)&gt;0,
     COUNTIFS($AE$2:$AE$200,$G363)&gt;0,
     COUNTIFS($AF$2:$AF$200,$G363)&gt;0,
     COUNTIFS($AG$2:$AG$200,$G363)&gt;0,
     COUNTIFS($AH$2:$AH$200,$G363)&gt;0,
     COUNTIFS($AI$2:$AI$200,$G363)&gt;0,
     COUNTIFS($AJ$2:$AJ$200,$G363)&gt;0,
     COUNTIFS($AK$2:$AK$200,$G363)&gt;0,
     COUNTIFS($AL$2:$AL$200,$G363)&gt;0,
     COUNTIFS($AM$2:$AM$200,$G363)&gt;0,
     COUNTIFS($AN$2:$AN$200,$G363)&gt;0,
     COUNTIFS($AO$2:$AO$200,$G363)&gt;0,
     COUNTIFS($AP$2:$AP$200,$G363)&gt;0,
     COUNTIFS($AQ$2:$AQ$200,$G363)&gt;0,
     COUNTIFS($AR$2:$AR$200,$G363)&gt;0,
     COUNTIFS($AS$2:$AS$200,$G363)&gt;0,
     COUNTIFS($AT$2:$AT$200,$G363)&gt;0,
     COUNTIFS($AU$2:$AU$200,$G363)&gt;0,
     COUNTIFS($AV$2:$AV$200,$G363)&gt;0,
     COUNTIFS($AW$2:$AW$200,$G363)&gt;0
   )),
  ),
  2
 ),
"")</f>
        <v/>
      </c>
      <c r="E363" s="2" t="str" cm="1">
        <f t="array" aca="1" ref="E363" ca="1">IFERROR(
 INDEX($V$1:$AW$1,
  _xlfn.AGGREGATE(15,6,
   (COLUMN($V$1:$AW$1)-COLUMN($V$1)+1)/
   TRANSPOSE(
    CHOOSE({1;2;3;4;5;6;7;8;9;10;11;12;13;14;15;16;17;18;19;20;21;22;23;24;25;26;27;28},
     COUNTIFS($V$2:$V$200,$G363)&gt;0,
     COUNTIFS($W$2:$W$200,$G363)&gt;0,
     COUNTIFS($X$2:$X$200,$G363)&gt;0,
     COUNTIFS($Y$2:$Y$200,$G363)&gt;0,
     COUNTIFS($Z$2:$Z$200,$G363)&gt;0,
     COUNTIFS($AA$2:$AA$200,$G363)&gt;0,
     COUNTIFS($AB$2:$AB$200,$G363)&gt;0,
     COUNTIFS($AC$2:$AC$200,$G363)&gt;0,
     COUNTIFS($AD$2:$AD$200,$G363)&gt;0,
     COUNTIFS($AE$2:$AE$200,$G363)&gt;0,
     COUNTIFS($AF$2:$AF$200,$G363)&gt;0,
     COUNTIFS($AG$2:$AG$200,$G363)&gt;0,
     COUNTIFS($AH$2:$AH$200,$G363)&gt;0,
     COUNTIFS($AI$2:$AI$200,$G363)&gt;0,
     COUNTIFS($AJ$2:$AJ$200,$G363)&gt;0,
     COUNTIFS($AK$2:$AK$200,$G363)&gt;0,
     COUNTIFS($AL$2:$AL$200,$G363)&gt;0,
     COUNTIFS($AM$2:$AM$200,$G363)&gt;0,
     COUNTIFS($AN$2:$AN$200,$G363)&gt;0,
     COUNTIFS($AO$2:$AO$200,$G363)&gt;0,
     COUNTIFS($AP$2:$AP$200,$G363)&gt;0,
     COUNTIFS($AQ$2:$AQ$200,$G363)&gt;0,
     COUNTIFS($AR$2:$AR$200,$G363)&gt;0,
     COUNTIFS($AS$2:$AS$200,$G363)&gt;0,
     COUNTIFS($AT$2:$AT$200,$G363)&gt;0,
     COUNTIFS($AU$2:$AU$200,$G363)&gt;0,
     COUNTIFS($AV$2:$AV$200,$G363)&gt;0,
     COUNTIFS($AW$2:$AW$200,$G363)&gt;0
   )),
  3)
 ),
"")</f>
        <v/>
      </c>
      <c r="F363" s="2" t="str" cm="1">
        <f t="array" aca="1" ref="F363" ca="1">IFERROR(
 INDEX($V$1:$AW$1,
  _xlfn.AGGREGATE(15,6,
   (COLUMN($V$1:$AW$1)-COLUMN($V$1)+1)/
   TRANSPOSE(
    CHOOSE({1;2;3;4;5;6;7;8;9;10;11;12;13;14;15;16;17;18;19;20;21;22;23;24;25;26;27;28},
     COUNTIFS($V$2:$V$200,$G363)&gt;0,
     COUNTIFS($W$2:$W$200,$G363)&gt;0,
     COUNTIFS($X$2:$X$200,$G363)&gt;0,
     COUNTIFS($Y$2:$Y$200,$G363)&gt;0,
     COUNTIFS($Z$2:$Z$200,$G363)&gt;0,
     COUNTIFS($AA$2:$AA$200,$G363)&gt;0,
     COUNTIFS($AB$2:$AB$200,$G363)&gt;0,
     COUNTIFS($AC$2:$AC$200,$G363)&gt;0,
     COUNTIFS($AD$2:$AD$200,$G363)&gt;0,
     COUNTIFS($AE$2:$AE$200,$G363)&gt;0,
     COUNTIFS($AF$2:$AF$200,$G363)&gt;0,
     COUNTIFS($AG$2:$AG$200,$G363)&gt;0,
     COUNTIFS($AH$2:$AH$200,$G363)&gt;0,
     COUNTIFS($AI$2:$AI$200,$G363)&gt;0,
     COUNTIFS($AJ$2:$AJ$200,$G363)&gt;0,
     COUNTIFS($AK$2:$AK$200,$G363)&gt;0,
     COUNTIFS($AL$2:$AL$200,$G363)&gt;0,
     COUNTIFS($AM$2:$AM$200,$G363)&gt;0,
     COUNTIFS($AN$2:$AN$200,$G363)&gt;0,
     COUNTIFS($AO$2:$AO$200,$G363)&gt;0,
     COUNTIFS($AP$2:$AP$200,$G363)&gt;0,
     COUNTIFS($AQ$2:$AQ$200,$G363)&gt;0,
     COUNTIFS($AR$2:$AR$200,$G363)&gt;0,
     COUNTIFS($AS$2:$AS$200,$G363)&gt;0,
     COUNTIFS($AT$2:$AT$200,$G363)&gt;0,
     COUNTIFS($AU$2:$AU$200,$G363)&gt;0,
     COUNTIFS($AV$2:$AV$200,$G363)&gt;0,
     COUNTIFS($AW$2:$AW$200,$G363)&gt;0
   )),
  4)
 ),
"")</f>
        <v/>
      </c>
      <c r="G363" t="str">
        <f ca="1"/>
        <v>Ripples of Potential</v>
      </c>
      <c r="EU363" t="str">
        <f ca="1"/>
        <v>Ward Sliver</v>
      </c>
      <c r="EX363" t="str">
        <f ca="1"/>
        <v>Ripples of Potential</v>
      </c>
    </row>
    <row r="364" spans="1:154" x14ac:dyDescent="0.25">
      <c r="A364" s="2" t="str">
        <f t="shared" ca="1" si="16"/>
        <v>2</v>
      </c>
      <c r="B364" s="2">
        <f t="shared" ca="1" si="17"/>
        <v>1</v>
      </c>
      <c r="C364" s="2" t="str">
        <f ca="1">IFERROR(
 INDEX($V$1:$BL$1,
  MATCH(TRUE,
   CHOOSE({1;2;3;4;5;6;7;8;9;10;11;12;13;14;15;16;17;18;19;20;21;22;23;24;25;26;27;28;29;30;31;32;33;34;35;36;37;38;39;40;41;42;43},
    COUNTIFS($V$2:$V$200,$G364)&gt;0,
    COUNTIFS($W$2:$W$200,$G364)&gt;0,
    COUNTIFS($X$2:$X$200,$G364)&gt;0,
    COUNTIFS($Y$2:$Y$200,$G364)&gt;0,
    COUNTIFS($Z$2:$Z$200,$G364)&gt;0,
    COUNTIFS($AA$2:$AA$200,$G364)&gt;0,
    COUNTIFS($AB$2:$AB$200,$G364)&gt;0,
    COUNTIFS($AC$2:$AC$200,$G364)&gt;0,
    COUNTIFS($AD$2:$AD$200,$G364)&gt;0,
    COUNTIFS($AE$2:$AE$200,$G364)&gt;0,
    COUNTIFS($AF$2:$AF$200,$G364)&gt;0,
    COUNTIFS($AG$2:$AG$200,$G364)&gt;0,
    COUNTIFS($AH$2:$AH$200,$G364)&gt;0,
    COUNTIFS($AI$2:$AI$200,$G364)&gt;0,
    COUNTIFS($AJ$2:$AJ$200,$G364)&gt;0,
    COUNTIFS($AK$2:$AK$200,$G364)&gt;0,
    COUNTIFS($AL$2:$AL$200,$G364)&gt;0,
    COUNTIFS($AM$2:$AM$200,$G364)&gt;0,
    COUNTIFS($AN$2:$AN$200,$G364)&gt;0,
    COUNTIFS($AO$2:$AO$200,$G364)&gt;0,
    COUNTIFS($AP$2:$AP$200,$G364)&gt;0,
    COUNTIFS($AQ$2:$AQ$200,$G364)&gt;0,
    COUNTIFS($AR$2:$AR$200,$G364)&gt;0,
    COUNTIFS($AS$2:$AS$200,$G364)&gt;0,
    COUNTIFS($AT$2:$AT$200,$G364)&gt;0,
    COUNTIFS($AU$2:$AU$200,$G364)&gt;0,
    COUNTIFS($AV$2:$AV$200,$G364)&gt;0,
    COUNTIFS($AW$2:$AW$200,$G364)&gt;0,
    COUNTIFS($AX$2:$AX$200,$G364)&gt;0,
    COUNTIFS($AY$2:$AY$200,$G364)&gt;0,
    COUNTIFS($AZ$2:$AZ$200,$G364)&gt;0,
    COUNTIFS($BA$2:$BA$200,$G364)&gt;0,
    COUNTIFS($BB$2:$BB$200,$G364)&gt;0,
    COUNTIFS($BC$2:$BC$200,$G364)&gt;0,
    COUNTIFS($BD$2:$BD$200,$G364)&gt;0,
    COUNTIFS($BE$2:$BE$200,$G364)&gt;0,
    COUNTIFS($BF$2:$BF$200,$G364)&gt;0,
    COUNTIFS($BG$2:$BG$200,$G364)&gt;0,
    COUNTIFS($BH$2:$BH$200,$G364)&gt;0,
    COUNTIFS($BI$2:$BI$200,$G364)&gt;0,
    COUNTIFS($BJ$2:$BJ$200,$G364)&gt;0,
    COUNTIFS($BK$2:$BK$200,$G364)&gt;0,
    COUNTIFS($BL$2:$BL$200,$G364)&gt;0,
    COUNTIFS($BM$2:$BM$200,$G364)&gt;0,
   ),
  0)
 ),
"")</f>
        <v>Gitrog</v>
      </c>
      <c r="D364" s="2" t="str" cm="1">
        <f t="array" aca="1" ref="D364" ca="1">IFERROR(
 INDEX(
  _xlfn._xlws.FILTER($V$1:$AW$1,
   TRANSPOSE(
    CHOOSE({1;2;3;4;5;6;7;8;9;10;11;12;13;14;15;16;17;18;19;20;21;22;23;24;25;26;27;28},
     COUNTIFS($V$2:$V$200,$G364)&gt;0,
     COUNTIFS($W$2:$W$200,$G364)&gt;0,
     COUNTIFS($X$2:$X$200,$G364)&gt;0,
     COUNTIFS($Y$2:$Y$200,$G364)&gt;0,
     COUNTIFS($Z$2:$Z$200,$G364)&gt;0,
     COUNTIFS($AA$2:$AA$200,$G364)&gt;0,
     COUNTIFS($AB$2:$AB$200,$G364)&gt;0,
     COUNTIFS($AC$2:$AC$200,$G364)&gt;0,
     COUNTIFS($AD$2:$AD$200,$G364)&gt;0,
     COUNTIFS($AE$2:$AE$200,$G364)&gt;0,
     COUNTIFS($AF$2:$AF$200,$G364)&gt;0,
     COUNTIFS($AG$2:$AG$200,$G364)&gt;0,
     COUNTIFS($AH$2:$AH$200,$G364)&gt;0,
     COUNTIFS($AI$2:$AI$200,$G364)&gt;0,
     COUNTIFS($AJ$2:$AJ$200,$G364)&gt;0,
     COUNTIFS($AK$2:$AK$200,$G364)&gt;0,
     COUNTIFS($AL$2:$AL$200,$G364)&gt;0,
     COUNTIFS($AM$2:$AM$200,$G364)&gt;0,
     COUNTIFS($AN$2:$AN$200,$G364)&gt;0,
     COUNTIFS($AO$2:$AO$200,$G364)&gt;0,
     COUNTIFS($AP$2:$AP$200,$G364)&gt;0,
     COUNTIFS($AQ$2:$AQ$200,$G364)&gt;0,
     COUNTIFS($AR$2:$AR$200,$G364)&gt;0,
     COUNTIFS($AS$2:$AS$200,$G364)&gt;0,
     COUNTIFS($AT$2:$AT$200,$G364)&gt;0,
     COUNTIFS($AU$2:$AU$200,$G364)&gt;0,
     COUNTIFS($AV$2:$AV$200,$G364)&gt;0,
     COUNTIFS($AW$2:$AW$200,$G364)&gt;0
   )),
  ),
  2
 ),
"")</f>
        <v/>
      </c>
      <c r="E364" s="2" t="str" cm="1">
        <f t="array" aca="1" ref="E364" ca="1">IFERROR(
 INDEX($V$1:$AW$1,
  _xlfn.AGGREGATE(15,6,
   (COLUMN($V$1:$AW$1)-COLUMN($V$1)+1)/
   TRANSPOSE(
    CHOOSE({1;2;3;4;5;6;7;8;9;10;11;12;13;14;15;16;17;18;19;20;21;22;23;24;25;26;27;28},
     COUNTIFS($V$2:$V$200,$G364)&gt;0,
     COUNTIFS($W$2:$W$200,$G364)&gt;0,
     COUNTIFS($X$2:$X$200,$G364)&gt;0,
     COUNTIFS($Y$2:$Y$200,$G364)&gt;0,
     COUNTIFS($Z$2:$Z$200,$G364)&gt;0,
     COUNTIFS($AA$2:$AA$200,$G364)&gt;0,
     COUNTIFS($AB$2:$AB$200,$G364)&gt;0,
     COUNTIFS($AC$2:$AC$200,$G364)&gt;0,
     COUNTIFS($AD$2:$AD$200,$G364)&gt;0,
     COUNTIFS($AE$2:$AE$200,$G364)&gt;0,
     COUNTIFS($AF$2:$AF$200,$G364)&gt;0,
     COUNTIFS($AG$2:$AG$200,$G364)&gt;0,
     COUNTIFS($AH$2:$AH$200,$G364)&gt;0,
     COUNTIFS($AI$2:$AI$200,$G364)&gt;0,
     COUNTIFS($AJ$2:$AJ$200,$G364)&gt;0,
     COUNTIFS($AK$2:$AK$200,$G364)&gt;0,
     COUNTIFS($AL$2:$AL$200,$G364)&gt;0,
     COUNTIFS($AM$2:$AM$200,$G364)&gt;0,
     COUNTIFS($AN$2:$AN$200,$G364)&gt;0,
     COUNTIFS($AO$2:$AO$200,$G364)&gt;0,
     COUNTIFS($AP$2:$AP$200,$G364)&gt;0,
     COUNTIFS($AQ$2:$AQ$200,$G364)&gt;0,
     COUNTIFS($AR$2:$AR$200,$G364)&gt;0,
     COUNTIFS($AS$2:$AS$200,$G364)&gt;0,
     COUNTIFS($AT$2:$AT$200,$G364)&gt;0,
     COUNTIFS($AU$2:$AU$200,$G364)&gt;0,
     COUNTIFS($AV$2:$AV$200,$G364)&gt;0,
     COUNTIFS($AW$2:$AW$200,$G364)&gt;0
   )),
  3)
 ),
"")</f>
        <v/>
      </c>
      <c r="F364" s="2" t="str" cm="1">
        <f t="array" aca="1" ref="F364" ca="1">IFERROR(
 INDEX($V$1:$AW$1,
  _xlfn.AGGREGATE(15,6,
   (COLUMN($V$1:$AW$1)-COLUMN($V$1)+1)/
   TRANSPOSE(
    CHOOSE({1;2;3;4;5;6;7;8;9;10;11;12;13;14;15;16;17;18;19;20;21;22;23;24;25;26;27;28},
     COUNTIFS($V$2:$V$200,$G364)&gt;0,
     COUNTIFS($W$2:$W$200,$G364)&gt;0,
     COUNTIFS($X$2:$X$200,$G364)&gt;0,
     COUNTIFS($Y$2:$Y$200,$G364)&gt;0,
     COUNTIFS($Z$2:$Z$200,$G364)&gt;0,
     COUNTIFS($AA$2:$AA$200,$G364)&gt;0,
     COUNTIFS($AB$2:$AB$200,$G364)&gt;0,
     COUNTIFS($AC$2:$AC$200,$G364)&gt;0,
     COUNTIFS($AD$2:$AD$200,$G364)&gt;0,
     COUNTIFS($AE$2:$AE$200,$G364)&gt;0,
     COUNTIFS($AF$2:$AF$200,$G364)&gt;0,
     COUNTIFS($AG$2:$AG$200,$G364)&gt;0,
     COUNTIFS($AH$2:$AH$200,$G364)&gt;0,
     COUNTIFS($AI$2:$AI$200,$G364)&gt;0,
     COUNTIFS($AJ$2:$AJ$200,$G364)&gt;0,
     COUNTIFS($AK$2:$AK$200,$G364)&gt;0,
     COUNTIFS($AL$2:$AL$200,$G364)&gt;0,
     COUNTIFS($AM$2:$AM$200,$G364)&gt;0,
     COUNTIFS($AN$2:$AN$200,$G364)&gt;0,
     COUNTIFS($AO$2:$AO$200,$G364)&gt;0,
     COUNTIFS($AP$2:$AP$200,$G364)&gt;0,
     COUNTIFS($AQ$2:$AQ$200,$G364)&gt;0,
     COUNTIFS($AR$2:$AR$200,$G364)&gt;0,
     COUNTIFS($AS$2:$AS$200,$G364)&gt;0,
     COUNTIFS($AT$2:$AT$200,$G364)&gt;0,
     COUNTIFS($AU$2:$AU$200,$G364)&gt;0,
     COUNTIFS($AV$2:$AV$200,$G364)&gt;0,
     COUNTIFS($AW$2:$AW$200,$G364)&gt;0
   )),
  4)
 ),
"")</f>
        <v/>
      </c>
      <c r="G364" t="str">
        <f ca="1"/>
        <v>Ripples of Undeath</v>
      </c>
      <c r="EU364" t="str">
        <f ca="1"/>
        <v>Warleader's Call</v>
      </c>
      <c r="EX364" t="str">
        <f ca="1"/>
        <v>Ripples of Undeath</v>
      </c>
    </row>
    <row r="365" spans="1:154" x14ac:dyDescent="0.25">
      <c r="A365" s="2" t="str">
        <f t="shared" ca="1" si="16"/>
        <v>3</v>
      </c>
      <c r="B365" s="2">
        <f t="shared" ca="1" si="17"/>
        <v>1</v>
      </c>
      <c r="C365" s="2" t="str">
        <f ca="1">IFERROR(
 INDEX($V$1:$BL$1,
  MATCH(TRUE,
   CHOOSE({1;2;3;4;5;6;7;8;9;10;11;12;13;14;15;16;17;18;19;20;21;22;23;24;25;26;27;28;29;30;31;32;33;34;35;36;37;38;39;40;41;42;43},
    COUNTIFS($V$2:$V$200,$G365)&gt;0,
    COUNTIFS($W$2:$W$200,$G365)&gt;0,
    COUNTIFS($X$2:$X$200,$G365)&gt;0,
    COUNTIFS($Y$2:$Y$200,$G365)&gt;0,
    COUNTIFS($Z$2:$Z$200,$G365)&gt;0,
    COUNTIFS($AA$2:$AA$200,$G365)&gt;0,
    COUNTIFS($AB$2:$AB$200,$G365)&gt;0,
    COUNTIFS($AC$2:$AC$200,$G365)&gt;0,
    COUNTIFS($AD$2:$AD$200,$G365)&gt;0,
    COUNTIFS($AE$2:$AE$200,$G365)&gt;0,
    COUNTIFS($AF$2:$AF$200,$G365)&gt;0,
    COUNTIFS($AG$2:$AG$200,$G365)&gt;0,
    COUNTIFS($AH$2:$AH$200,$G365)&gt;0,
    COUNTIFS($AI$2:$AI$200,$G365)&gt;0,
    COUNTIFS($AJ$2:$AJ$200,$G365)&gt;0,
    COUNTIFS($AK$2:$AK$200,$G365)&gt;0,
    COUNTIFS($AL$2:$AL$200,$G365)&gt;0,
    COUNTIFS($AM$2:$AM$200,$G365)&gt;0,
    COUNTIFS($AN$2:$AN$200,$G365)&gt;0,
    COUNTIFS($AO$2:$AO$200,$G365)&gt;0,
    COUNTIFS($AP$2:$AP$200,$G365)&gt;0,
    COUNTIFS($AQ$2:$AQ$200,$G365)&gt;0,
    COUNTIFS($AR$2:$AR$200,$G365)&gt;0,
    COUNTIFS($AS$2:$AS$200,$G365)&gt;0,
    COUNTIFS($AT$2:$AT$200,$G365)&gt;0,
    COUNTIFS($AU$2:$AU$200,$G365)&gt;0,
    COUNTIFS($AV$2:$AV$200,$G365)&gt;0,
    COUNTIFS($AW$2:$AW$200,$G365)&gt;0,
    COUNTIFS($AX$2:$AX$200,$G365)&gt;0,
    COUNTIFS($AY$2:$AY$200,$G365)&gt;0,
    COUNTIFS($AZ$2:$AZ$200,$G365)&gt;0,
    COUNTIFS($BA$2:$BA$200,$G365)&gt;0,
    COUNTIFS($BB$2:$BB$200,$G365)&gt;0,
    COUNTIFS($BC$2:$BC$200,$G365)&gt;0,
    COUNTIFS($BD$2:$BD$200,$G365)&gt;0,
    COUNTIFS($BE$2:$BE$200,$G365)&gt;0,
    COUNTIFS($BF$2:$BF$200,$G365)&gt;0,
    COUNTIFS($BG$2:$BG$200,$G365)&gt;0,
    COUNTIFS($BH$2:$BH$200,$G365)&gt;0,
    COUNTIFS($BI$2:$BI$200,$G365)&gt;0,
    COUNTIFS($BJ$2:$BJ$200,$G365)&gt;0,
    COUNTIFS($BK$2:$BK$200,$G365)&gt;0,
    COUNTIFS($BL$2:$BL$200,$G365)&gt;0,
    COUNTIFS($BM$2:$BM$200,$G365)&gt;0,
   ),
  0)
 ),
"")</f>
        <v>JhoiraB</v>
      </c>
      <c r="D365" s="2" t="str" cm="1">
        <f t="array" aca="1" ref="D365" ca="1">IFERROR(
 INDEX(
  _xlfn._xlws.FILTER($V$1:$AW$1,
   TRANSPOSE(
    CHOOSE({1;2;3;4;5;6;7;8;9;10;11;12;13;14;15;16;17;18;19;20;21;22;23;24;25;26;27;28},
     COUNTIFS($V$2:$V$200,$G365)&gt;0,
     COUNTIFS($W$2:$W$200,$G365)&gt;0,
     COUNTIFS($X$2:$X$200,$G365)&gt;0,
     COUNTIFS($Y$2:$Y$200,$G365)&gt;0,
     COUNTIFS($Z$2:$Z$200,$G365)&gt;0,
     COUNTIFS($AA$2:$AA$200,$G365)&gt;0,
     COUNTIFS($AB$2:$AB$200,$G365)&gt;0,
     COUNTIFS($AC$2:$AC$200,$G365)&gt;0,
     COUNTIFS($AD$2:$AD$200,$G365)&gt;0,
     COUNTIFS($AE$2:$AE$200,$G365)&gt;0,
     COUNTIFS($AF$2:$AF$200,$G365)&gt;0,
     COUNTIFS($AG$2:$AG$200,$G365)&gt;0,
     COUNTIFS($AH$2:$AH$200,$G365)&gt;0,
     COUNTIFS($AI$2:$AI$200,$G365)&gt;0,
     COUNTIFS($AJ$2:$AJ$200,$G365)&gt;0,
     COUNTIFS($AK$2:$AK$200,$G365)&gt;0,
     COUNTIFS($AL$2:$AL$200,$G365)&gt;0,
     COUNTIFS($AM$2:$AM$200,$G365)&gt;0,
     COUNTIFS($AN$2:$AN$200,$G365)&gt;0,
     COUNTIFS($AO$2:$AO$200,$G365)&gt;0,
     COUNTIFS($AP$2:$AP$200,$G365)&gt;0,
     COUNTIFS($AQ$2:$AQ$200,$G365)&gt;0,
     COUNTIFS($AR$2:$AR$200,$G365)&gt;0,
     COUNTIFS($AS$2:$AS$200,$G365)&gt;0,
     COUNTIFS($AT$2:$AT$200,$G365)&gt;0,
     COUNTIFS($AU$2:$AU$200,$G365)&gt;0,
     COUNTIFS($AV$2:$AV$200,$G365)&gt;0,
     COUNTIFS($AW$2:$AW$200,$G365)&gt;0
   )),
  ),
  2
 ),
"")</f>
        <v/>
      </c>
      <c r="E365" s="2" t="str" cm="1">
        <f t="array" aca="1" ref="E365" ca="1">IFERROR(
 INDEX($V$1:$AW$1,
  _xlfn.AGGREGATE(15,6,
   (COLUMN($V$1:$AW$1)-COLUMN($V$1)+1)/
   TRANSPOSE(
    CHOOSE({1;2;3;4;5;6;7;8;9;10;11;12;13;14;15;16;17;18;19;20;21;22;23;24;25;26;27;28},
     COUNTIFS($V$2:$V$200,$G365)&gt;0,
     COUNTIFS($W$2:$W$200,$G365)&gt;0,
     COUNTIFS($X$2:$X$200,$G365)&gt;0,
     COUNTIFS($Y$2:$Y$200,$G365)&gt;0,
     COUNTIFS($Z$2:$Z$200,$G365)&gt;0,
     COUNTIFS($AA$2:$AA$200,$G365)&gt;0,
     COUNTIFS($AB$2:$AB$200,$G365)&gt;0,
     COUNTIFS($AC$2:$AC$200,$G365)&gt;0,
     COUNTIFS($AD$2:$AD$200,$G365)&gt;0,
     COUNTIFS($AE$2:$AE$200,$G365)&gt;0,
     COUNTIFS($AF$2:$AF$200,$G365)&gt;0,
     COUNTIFS($AG$2:$AG$200,$G365)&gt;0,
     COUNTIFS($AH$2:$AH$200,$G365)&gt;0,
     COUNTIFS($AI$2:$AI$200,$G365)&gt;0,
     COUNTIFS($AJ$2:$AJ$200,$G365)&gt;0,
     COUNTIFS($AK$2:$AK$200,$G365)&gt;0,
     COUNTIFS($AL$2:$AL$200,$G365)&gt;0,
     COUNTIFS($AM$2:$AM$200,$G365)&gt;0,
     COUNTIFS($AN$2:$AN$200,$G365)&gt;0,
     COUNTIFS($AO$2:$AO$200,$G365)&gt;0,
     COUNTIFS($AP$2:$AP$200,$G365)&gt;0,
     COUNTIFS($AQ$2:$AQ$200,$G365)&gt;0,
     COUNTIFS($AR$2:$AR$200,$G365)&gt;0,
     COUNTIFS($AS$2:$AS$200,$G365)&gt;0,
     COUNTIFS($AT$2:$AT$200,$G365)&gt;0,
     COUNTIFS($AU$2:$AU$200,$G365)&gt;0,
     COUNTIFS($AV$2:$AV$200,$G365)&gt;0,
     COUNTIFS($AW$2:$AW$200,$G365)&gt;0
   )),
  3)
 ),
"")</f>
        <v/>
      </c>
      <c r="F365" s="2" t="str" cm="1">
        <f t="array" aca="1" ref="F365" ca="1">IFERROR(
 INDEX($V$1:$AW$1,
  _xlfn.AGGREGATE(15,6,
   (COLUMN($V$1:$AW$1)-COLUMN($V$1)+1)/
   TRANSPOSE(
    CHOOSE({1;2;3;4;5;6;7;8;9;10;11;12;13;14;15;16;17;18;19;20;21;22;23;24;25;26;27;28},
     COUNTIFS($V$2:$V$200,$G365)&gt;0,
     COUNTIFS($W$2:$W$200,$G365)&gt;0,
     COUNTIFS($X$2:$X$200,$G365)&gt;0,
     COUNTIFS($Y$2:$Y$200,$G365)&gt;0,
     COUNTIFS($Z$2:$Z$200,$G365)&gt;0,
     COUNTIFS($AA$2:$AA$200,$G365)&gt;0,
     COUNTIFS($AB$2:$AB$200,$G365)&gt;0,
     COUNTIFS($AC$2:$AC$200,$G365)&gt;0,
     COUNTIFS($AD$2:$AD$200,$G365)&gt;0,
     COUNTIFS($AE$2:$AE$200,$G365)&gt;0,
     COUNTIFS($AF$2:$AF$200,$G365)&gt;0,
     COUNTIFS($AG$2:$AG$200,$G365)&gt;0,
     COUNTIFS($AH$2:$AH$200,$G365)&gt;0,
     COUNTIFS($AI$2:$AI$200,$G365)&gt;0,
     COUNTIFS($AJ$2:$AJ$200,$G365)&gt;0,
     COUNTIFS($AK$2:$AK$200,$G365)&gt;0,
     COUNTIFS($AL$2:$AL$200,$G365)&gt;0,
     COUNTIFS($AM$2:$AM$200,$G365)&gt;0,
     COUNTIFS($AN$2:$AN$200,$G365)&gt;0,
     COUNTIFS($AO$2:$AO$200,$G365)&gt;0,
     COUNTIFS($AP$2:$AP$200,$G365)&gt;0,
     COUNTIFS($AQ$2:$AQ$200,$G365)&gt;0,
     COUNTIFS($AR$2:$AR$200,$G365)&gt;0,
     COUNTIFS($AS$2:$AS$200,$G365)&gt;0,
     COUNTIFS($AT$2:$AT$200,$G365)&gt;0,
     COUNTIFS($AU$2:$AU$200,$G365)&gt;0,
     COUNTIFS($AV$2:$AV$200,$G365)&gt;0,
     COUNTIFS($AW$2:$AW$200,$G365)&gt;0
   )),
  4)
 ),
"")</f>
        <v/>
      </c>
      <c r="G365" t="str">
        <f ca="1"/>
        <v>Rise of the Eldrazi</v>
      </c>
      <c r="EU365" t="str">
        <f ca="1"/>
        <v>Warren Soultrader</v>
      </c>
      <c r="EX365" t="str">
        <f ca="1"/>
        <v>Rise of the Eldrazi</v>
      </c>
    </row>
    <row r="366" spans="1:154" x14ac:dyDescent="0.25">
      <c r="A366" s="2" t="str">
        <f t="shared" ca="1" si="16"/>
        <v>3</v>
      </c>
      <c r="B366" s="2">
        <f t="shared" ca="1" si="17"/>
        <v>2</v>
      </c>
      <c r="C366" s="2" t="str">
        <f ca="1">IFERROR(
 INDEX($V$1:$BL$1,
  MATCH(TRUE,
   CHOOSE({1;2;3;4;5;6;7;8;9;10;11;12;13;14;15;16;17;18;19;20;21;22;23;24;25;26;27;28;29;30;31;32;33;34;35;36;37;38;39;40;41;42;43},
    COUNTIFS($V$2:$V$200,$G366)&gt;0,
    COUNTIFS($W$2:$W$200,$G366)&gt;0,
    COUNTIFS($X$2:$X$200,$G366)&gt;0,
    COUNTIFS($Y$2:$Y$200,$G366)&gt;0,
    COUNTIFS($Z$2:$Z$200,$G366)&gt;0,
    COUNTIFS($AA$2:$AA$200,$G366)&gt;0,
    COUNTIFS($AB$2:$AB$200,$G366)&gt;0,
    COUNTIFS($AC$2:$AC$200,$G366)&gt;0,
    COUNTIFS($AD$2:$AD$200,$G366)&gt;0,
    COUNTIFS($AE$2:$AE$200,$G366)&gt;0,
    COUNTIFS($AF$2:$AF$200,$G366)&gt;0,
    COUNTIFS($AG$2:$AG$200,$G366)&gt;0,
    COUNTIFS($AH$2:$AH$200,$G366)&gt;0,
    COUNTIFS($AI$2:$AI$200,$G366)&gt;0,
    COUNTIFS($AJ$2:$AJ$200,$G366)&gt;0,
    COUNTIFS($AK$2:$AK$200,$G366)&gt;0,
    COUNTIFS($AL$2:$AL$200,$G366)&gt;0,
    COUNTIFS($AM$2:$AM$200,$G366)&gt;0,
    COUNTIFS($AN$2:$AN$200,$G366)&gt;0,
    COUNTIFS($AO$2:$AO$200,$G366)&gt;0,
    COUNTIFS($AP$2:$AP$200,$G366)&gt;0,
    COUNTIFS($AQ$2:$AQ$200,$G366)&gt;0,
    COUNTIFS($AR$2:$AR$200,$G366)&gt;0,
    COUNTIFS($AS$2:$AS$200,$G366)&gt;0,
    COUNTIFS($AT$2:$AT$200,$G366)&gt;0,
    COUNTIFS($AU$2:$AU$200,$G366)&gt;0,
    COUNTIFS($AV$2:$AV$200,$G366)&gt;0,
    COUNTIFS($AW$2:$AW$200,$G366)&gt;0,
    COUNTIFS($AX$2:$AX$200,$G366)&gt;0,
    COUNTIFS($AY$2:$AY$200,$G366)&gt;0,
    COUNTIFS($AZ$2:$AZ$200,$G366)&gt;0,
    COUNTIFS($BA$2:$BA$200,$G366)&gt;0,
    COUNTIFS($BB$2:$BB$200,$G366)&gt;0,
    COUNTIFS($BC$2:$BC$200,$G366)&gt;0,
    COUNTIFS($BD$2:$BD$200,$G366)&gt;0,
    COUNTIFS($BE$2:$BE$200,$G366)&gt;0,
    COUNTIFS($BF$2:$BF$200,$G366)&gt;0,
    COUNTIFS($BG$2:$BG$200,$G366)&gt;0,
    COUNTIFS($BH$2:$BH$200,$G366)&gt;0,
    COUNTIFS($BI$2:$BI$200,$G366)&gt;0,
    COUNTIFS($BJ$2:$BJ$200,$G366)&gt;0,
    COUNTIFS($BK$2:$BK$200,$G366)&gt;0,
    COUNTIFS($BL$2:$BL$200,$G366)&gt;0,
    COUNTIFS($BM$2:$BM$200,$G366)&gt;0,
   ),
  0)
 ),
"")</f>
        <v>JhoiraB</v>
      </c>
      <c r="D366" s="2" t="str" cm="1">
        <f t="array" aca="1" ref="D366" ca="1">IFERROR(
 INDEX(
  _xlfn._xlws.FILTER($V$1:$AW$1,
   TRANSPOSE(
    CHOOSE({1;2;3;4;5;6;7;8;9;10;11;12;13;14;15;16;17;18;19;20;21;22;23;24;25;26;27;28},
     COUNTIFS($V$2:$V$200,$G366)&gt;0,
     COUNTIFS($W$2:$W$200,$G366)&gt;0,
     COUNTIFS($X$2:$X$200,$G366)&gt;0,
     COUNTIFS($Y$2:$Y$200,$G366)&gt;0,
     COUNTIFS($Z$2:$Z$200,$G366)&gt;0,
     COUNTIFS($AA$2:$AA$200,$G366)&gt;0,
     COUNTIFS($AB$2:$AB$200,$G366)&gt;0,
     COUNTIFS($AC$2:$AC$200,$G366)&gt;0,
     COUNTIFS($AD$2:$AD$200,$G366)&gt;0,
     COUNTIFS($AE$2:$AE$200,$G366)&gt;0,
     COUNTIFS($AF$2:$AF$200,$G366)&gt;0,
     COUNTIFS($AG$2:$AG$200,$G366)&gt;0,
     COUNTIFS($AH$2:$AH$200,$G366)&gt;0,
     COUNTIFS($AI$2:$AI$200,$G366)&gt;0,
     COUNTIFS($AJ$2:$AJ$200,$G366)&gt;0,
     COUNTIFS($AK$2:$AK$200,$G366)&gt;0,
     COUNTIFS($AL$2:$AL$200,$G366)&gt;0,
     COUNTIFS($AM$2:$AM$200,$G366)&gt;0,
     COUNTIFS($AN$2:$AN$200,$G366)&gt;0,
     COUNTIFS($AO$2:$AO$200,$G366)&gt;0,
     COUNTIFS($AP$2:$AP$200,$G366)&gt;0,
     COUNTIFS($AQ$2:$AQ$200,$G366)&gt;0,
     COUNTIFS($AR$2:$AR$200,$G366)&gt;0,
     COUNTIFS($AS$2:$AS$200,$G366)&gt;0,
     COUNTIFS($AT$2:$AT$200,$G366)&gt;0,
     COUNTIFS($AU$2:$AU$200,$G366)&gt;0,
     COUNTIFS($AV$2:$AV$200,$G366)&gt;0,
     COUNTIFS($AW$2:$AW$200,$G366)&gt;0
   )),
  ),
  2
 ),
"")</f>
        <v>Yuriko</v>
      </c>
      <c r="E366" s="2" t="str" cm="1">
        <f t="array" aca="1" ref="E366" ca="1">IFERROR(
 INDEX($V$1:$AW$1,
  _xlfn.AGGREGATE(15,6,
   (COLUMN($V$1:$AW$1)-COLUMN($V$1)+1)/
   TRANSPOSE(
    CHOOSE({1;2;3;4;5;6;7;8;9;10;11;12;13;14;15;16;17;18;19;20;21;22;23;24;25;26;27;28},
     COUNTIFS($V$2:$V$200,$G366)&gt;0,
     COUNTIFS($W$2:$W$200,$G366)&gt;0,
     COUNTIFS($X$2:$X$200,$G366)&gt;0,
     COUNTIFS($Y$2:$Y$200,$G366)&gt;0,
     COUNTIFS($Z$2:$Z$200,$G366)&gt;0,
     COUNTIFS($AA$2:$AA$200,$G366)&gt;0,
     COUNTIFS($AB$2:$AB$200,$G366)&gt;0,
     COUNTIFS($AC$2:$AC$200,$G366)&gt;0,
     COUNTIFS($AD$2:$AD$200,$G366)&gt;0,
     COUNTIFS($AE$2:$AE$200,$G366)&gt;0,
     COUNTIFS($AF$2:$AF$200,$G366)&gt;0,
     COUNTIFS($AG$2:$AG$200,$G366)&gt;0,
     COUNTIFS($AH$2:$AH$200,$G366)&gt;0,
     COUNTIFS($AI$2:$AI$200,$G366)&gt;0,
     COUNTIFS($AJ$2:$AJ$200,$G366)&gt;0,
     COUNTIFS($AK$2:$AK$200,$G366)&gt;0,
     COUNTIFS($AL$2:$AL$200,$G366)&gt;0,
     COUNTIFS($AM$2:$AM$200,$G366)&gt;0,
     COUNTIFS($AN$2:$AN$200,$G366)&gt;0,
     COUNTIFS($AO$2:$AO$200,$G366)&gt;0,
     COUNTIFS($AP$2:$AP$200,$G366)&gt;0,
     COUNTIFS($AQ$2:$AQ$200,$G366)&gt;0,
     COUNTIFS($AR$2:$AR$200,$G366)&gt;0,
     COUNTIFS($AS$2:$AS$200,$G366)&gt;0,
     COUNTIFS($AT$2:$AT$200,$G366)&gt;0,
     COUNTIFS($AU$2:$AU$200,$G366)&gt;0,
     COUNTIFS($AV$2:$AV$200,$G366)&gt;0,
     COUNTIFS($AW$2:$AW$200,$G366)&gt;0
   )),
  3)
 ),
"")</f>
        <v/>
      </c>
      <c r="F366" s="2" t="str" cm="1">
        <f t="array" aca="1" ref="F366" ca="1">IFERROR(
 INDEX($V$1:$AW$1,
  _xlfn.AGGREGATE(15,6,
   (COLUMN($V$1:$AW$1)-COLUMN($V$1)+1)/
   TRANSPOSE(
    CHOOSE({1;2;3;4;5;6;7;8;9;10;11;12;13;14;15;16;17;18;19;20;21;22;23;24;25;26;27;28},
     COUNTIFS($V$2:$V$200,$G366)&gt;0,
     COUNTIFS($W$2:$W$200,$G366)&gt;0,
     COUNTIFS($X$2:$X$200,$G366)&gt;0,
     COUNTIFS($Y$2:$Y$200,$G366)&gt;0,
     COUNTIFS($Z$2:$Z$200,$G366)&gt;0,
     COUNTIFS($AA$2:$AA$200,$G366)&gt;0,
     COUNTIFS($AB$2:$AB$200,$G366)&gt;0,
     COUNTIFS($AC$2:$AC$200,$G366)&gt;0,
     COUNTIFS($AD$2:$AD$200,$G366)&gt;0,
     COUNTIFS($AE$2:$AE$200,$G366)&gt;0,
     COUNTIFS($AF$2:$AF$200,$G366)&gt;0,
     COUNTIFS($AG$2:$AG$200,$G366)&gt;0,
     COUNTIFS($AH$2:$AH$200,$G366)&gt;0,
     COUNTIFS($AI$2:$AI$200,$G366)&gt;0,
     COUNTIFS($AJ$2:$AJ$200,$G366)&gt;0,
     COUNTIFS($AK$2:$AK$200,$G366)&gt;0,
     COUNTIFS($AL$2:$AL$200,$G366)&gt;0,
     COUNTIFS($AM$2:$AM$200,$G366)&gt;0,
     COUNTIFS($AN$2:$AN$200,$G366)&gt;0,
     COUNTIFS($AO$2:$AO$200,$G366)&gt;0,
     COUNTIFS($AP$2:$AP$200,$G366)&gt;0,
     COUNTIFS($AQ$2:$AQ$200,$G366)&gt;0,
     COUNTIFS($AR$2:$AR$200,$G366)&gt;0,
     COUNTIFS($AS$2:$AS$200,$G366)&gt;0,
     COUNTIFS($AT$2:$AT$200,$G366)&gt;0,
     COUNTIFS($AU$2:$AU$200,$G366)&gt;0,
     COUNTIFS($AV$2:$AV$200,$G366)&gt;0,
     COUNTIFS($AW$2:$AW$200,$G366)&gt;0
   )),
  4)
 ),
"")</f>
        <v/>
      </c>
      <c r="G366" t="str">
        <f ca="1"/>
        <v>Rivendell</v>
      </c>
      <c r="EU366" t="str">
        <f ca="1"/>
        <v>Warren Torchmaster</v>
      </c>
      <c r="EX366" t="str">
        <f ca="1"/>
        <v>Rivendell</v>
      </c>
    </row>
    <row r="367" spans="1:154" x14ac:dyDescent="0.25">
      <c r="A367" s="2" t="str">
        <f t="shared" ca="1" si="16"/>
        <v>4</v>
      </c>
      <c r="B367" s="2">
        <f t="shared" ca="1" si="17"/>
        <v>1</v>
      </c>
      <c r="C367" s="2" t="str">
        <f ca="1">IFERROR(
 INDEX($V$1:$BL$1,
  MATCH(TRUE,
   CHOOSE({1;2;3;4;5;6;7;8;9;10;11;12;13;14;15;16;17;18;19;20;21;22;23;24;25;26;27;28;29;30;31;32;33;34;35;36;37;38;39;40;41;42;43},
    COUNTIFS($V$2:$V$200,$G367)&gt;0,
    COUNTIFS($W$2:$W$200,$G367)&gt;0,
    COUNTIFS($X$2:$X$200,$G367)&gt;0,
    COUNTIFS($Y$2:$Y$200,$G367)&gt;0,
    COUNTIFS($Z$2:$Z$200,$G367)&gt;0,
    COUNTIFS($AA$2:$AA$200,$G367)&gt;0,
    COUNTIFS($AB$2:$AB$200,$G367)&gt;0,
    COUNTIFS($AC$2:$AC$200,$G367)&gt;0,
    COUNTIFS($AD$2:$AD$200,$G367)&gt;0,
    COUNTIFS($AE$2:$AE$200,$G367)&gt;0,
    COUNTIFS($AF$2:$AF$200,$G367)&gt;0,
    COUNTIFS($AG$2:$AG$200,$G367)&gt;0,
    COUNTIFS($AH$2:$AH$200,$G367)&gt;0,
    COUNTIFS($AI$2:$AI$200,$G367)&gt;0,
    COUNTIFS($AJ$2:$AJ$200,$G367)&gt;0,
    COUNTIFS($AK$2:$AK$200,$G367)&gt;0,
    COUNTIFS($AL$2:$AL$200,$G367)&gt;0,
    COUNTIFS($AM$2:$AM$200,$G367)&gt;0,
    COUNTIFS($AN$2:$AN$200,$G367)&gt;0,
    COUNTIFS($AO$2:$AO$200,$G367)&gt;0,
    COUNTIFS($AP$2:$AP$200,$G367)&gt;0,
    COUNTIFS($AQ$2:$AQ$200,$G367)&gt;0,
    COUNTIFS($AR$2:$AR$200,$G367)&gt;0,
    COUNTIFS($AS$2:$AS$200,$G367)&gt;0,
    COUNTIFS($AT$2:$AT$200,$G367)&gt;0,
    COUNTIFS($AU$2:$AU$200,$G367)&gt;0,
    COUNTIFS($AV$2:$AV$200,$G367)&gt;0,
    COUNTIFS($AW$2:$AW$200,$G367)&gt;0,
    COUNTIFS($AX$2:$AX$200,$G367)&gt;0,
    COUNTIFS($AY$2:$AY$200,$G367)&gt;0,
    COUNTIFS($AZ$2:$AZ$200,$G367)&gt;0,
    COUNTIFS($BA$2:$BA$200,$G367)&gt;0,
    COUNTIFS($BB$2:$BB$200,$G367)&gt;0,
    COUNTIFS($BC$2:$BC$200,$G367)&gt;0,
    COUNTIFS($BD$2:$BD$200,$G367)&gt;0,
    COUNTIFS($BE$2:$BE$200,$G367)&gt;0,
    COUNTIFS($BF$2:$BF$200,$G367)&gt;0,
    COUNTIFS($BG$2:$BG$200,$G367)&gt;0,
    COUNTIFS($BH$2:$BH$200,$G367)&gt;0,
    COUNTIFS($BI$2:$BI$200,$G367)&gt;0,
    COUNTIFS($BJ$2:$BJ$200,$G367)&gt;0,
    COUNTIFS($BK$2:$BK$200,$G367)&gt;0,
    COUNTIFS($BL$2:$BL$200,$G367)&gt;0,
    COUNTIFS($BM$2:$BM$200,$G367)&gt;0,
   ),
  0)
 ),
"")</f>
        <v>Kresh</v>
      </c>
      <c r="D367" s="2" t="str" cm="1">
        <f t="array" aca="1" ref="D367" ca="1">IFERROR(
 INDEX(
  _xlfn._xlws.FILTER($V$1:$AW$1,
   TRANSPOSE(
    CHOOSE({1;2;3;4;5;6;7;8;9;10;11;12;13;14;15;16;17;18;19;20;21;22;23;24;25;26;27;28},
     COUNTIFS($V$2:$V$200,$G367)&gt;0,
     COUNTIFS($W$2:$W$200,$G367)&gt;0,
     COUNTIFS($X$2:$X$200,$G367)&gt;0,
     COUNTIFS($Y$2:$Y$200,$G367)&gt;0,
     COUNTIFS($Z$2:$Z$200,$G367)&gt;0,
     COUNTIFS($AA$2:$AA$200,$G367)&gt;0,
     COUNTIFS($AB$2:$AB$200,$G367)&gt;0,
     COUNTIFS($AC$2:$AC$200,$G367)&gt;0,
     COUNTIFS($AD$2:$AD$200,$G367)&gt;0,
     COUNTIFS($AE$2:$AE$200,$G367)&gt;0,
     COUNTIFS($AF$2:$AF$200,$G367)&gt;0,
     COUNTIFS($AG$2:$AG$200,$G367)&gt;0,
     COUNTIFS($AH$2:$AH$200,$G367)&gt;0,
     COUNTIFS($AI$2:$AI$200,$G367)&gt;0,
     COUNTIFS($AJ$2:$AJ$200,$G367)&gt;0,
     COUNTIFS($AK$2:$AK$200,$G367)&gt;0,
     COUNTIFS($AL$2:$AL$200,$G367)&gt;0,
     COUNTIFS($AM$2:$AM$200,$G367)&gt;0,
     COUNTIFS($AN$2:$AN$200,$G367)&gt;0,
     COUNTIFS($AO$2:$AO$200,$G367)&gt;0,
     COUNTIFS($AP$2:$AP$200,$G367)&gt;0,
     COUNTIFS($AQ$2:$AQ$200,$G367)&gt;0,
     COUNTIFS($AR$2:$AR$200,$G367)&gt;0,
     COUNTIFS($AS$2:$AS$200,$G367)&gt;0,
     COUNTIFS($AT$2:$AT$200,$G367)&gt;0,
     COUNTIFS($AU$2:$AU$200,$G367)&gt;0,
     COUNTIFS($AV$2:$AV$200,$G367)&gt;0,
     COUNTIFS($AW$2:$AW$200,$G367)&gt;0
   )),
  ),
  2
 ),
"")</f>
        <v/>
      </c>
      <c r="E367" s="2" t="str" cm="1">
        <f t="array" aca="1" ref="E367" ca="1">IFERROR(
 INDEX($V$1:$AW$1,
  _xlfn.AGGREGATE(15,6,
   (COLUMN($V$1:$AW$1)-COLUMN($V$1)+1)/
   TRANSPOSE(
    CHOOSE({1;2;3;4;5;6;7;8;9;10;11;12;13;14;15;16;17;18;19;20;21;22;23;24;25;26;27;28},
     COUNTIFS($V$2:$V$200,$G367)&gt;0,
     COUNTIFS($W$2:$W$200,$G367)&gt;0,
     COUNTIFS($X$2:$X$200,$G367)&gt;0,
     COUNTIFS($Y$2:$Y$200,$G367)&gt;0,
     COUNTIFS($Z$2:$Z$200,$G367)&gt;0,
     COUNTIFS($AA$2:$AA$200,$G367)&gt;0,
     COUNTIFS($AB$2:$AB$200,$G367)&gt;0,
     COUNTIFS($AC$2:$AC$200,$G367)&gt;0,
     COUNTIFS($AD$2:$AD$200,$G367)&gt;0,
     COUNTIFS($AE$2:$AE$200,$G367)&gt;0,
     COUNTIFS($AF$2:$AF$200,$G367)&gt;0,
     COUNTIFS($AG$2:$AG$200,$G367)&gt;0,
     COUNTIFS($AH$2:$AH$200,$G367)&gt;0,
     COUNTIFS($AI$2:$AI$200,$G367)&gt;0,
     COUNTIFS($AJ$2:$AJ$200,$G367)&gt;0,
     COUNTIFS($AK$2:$AK$200,$G367)&gt;0,
     COUNTIFS($AL$2:$AL$200,$G367)&gt;0,
     COUNTIFS($AM$2:$AM$200,$G367)&gt;0,
     COUNTIFS($AN$2:$AN$200,$G367)&gt;0,
     COUNTIFS($AO$2:$AO$200,$G367)&gt;0,
     COUNTIFS($AP$2:$AP$200,$G367)&gt;0,
     COUNTIFS($AQ$2:$AQ$200,$G367)&gt;0,
     COUNTIFS($AR$2:$AR$200,$G367)&gt;0,
     COUNTIFS($AS$2:$AS$200,$G367)&gt;0,
     COUNTIFS($AT$2:$AT$200,$G367)&gt;0,
     COUNTIFS($AU$2:$AU$200,$G367)&gt;0,
     COUNTIFS($AV$2:$AV$200,$G367)&gt;0,
     COUNTIFS($AW$2:$AW$200,$G367)&gt;0
   )),
  3)
 ),
"")</f>
        <v/>
      </c>
      <c r="F367" s="2" t="str" cm="1">
        <f t="array" aca="1" ref="F367" ca="1">IFERROR(
 INDEX($V$1:$AW$1,
  _xlfn.AGGREGATE(15,6,
   (COLUMN($V$1:$AW$1)-COLUMN($V$1)+1)/
   TRANSPOSE(
    CHOOSE({1;2;3;4;5;6;7;8;9;10;11;12;13;14;15;16;17;18;19;20;21;22;23;24;25;26;27;28},
     COUNTIFS($V$2:$V$200,$G367)&gt;0,
     COUNTIFS($W$2:$W$200,$G367)&gt;0,
     COUNTIFS($X$2:$X$200,$G367)&gt;0,
     COUNTIFS($Y$2:$Y$200,$G367)&gt;0,
     COUNTIFS($Z$2:$Z$200,$G367)&gt;0,
     COUNTIFS($AA$2:$AA$200,$G367)&gt;0,
     COUNTIFS($AB$2:$AB$200,$G367)&gt;0,
     COUNTIFS($AC$2:$AC$200,$G367)&gt;0,
     COUNTIFS($AD$2:$AD$200,$G367)&gt;0,
     COUNTIFS($AE$2:$AE$200,$G367)&gt;0,
     COUNTIFS($AF$2:$AF$200,$G367)&gt;0,
     COUNTIFS($AG$2:$AG$200,$G367)&gt;0,
     COUNTIFS($AH$2:$AH$200,$G367)&gt;0,
     COUNTIFS($AI$2:$AI$200,$G367)&gt;0,
     COUNTIFS($AJ$2:$AJ$200,$G367)&gt;0,
     COUNTIFS($AK$2:$AK$200,$G367)&gt;0,
     COUNTIFS($AL$2:$AL$200,$G367)&gt;0,
     COUNTIFS($AM$2:$AM$200,$G367)&gt;0,
     COUNTIFS($AN$2:$AN$200,$G367)&gt;0,
     COUNTIFS($AO$2:$AO$200,$G367)&gt;0,
     COUNTIFS($AP$2:$AP$200,$G367)&gt;0,
     COUNTIFS($AQ$2:$AQ$200,$G367)&gt;0,
     COUNTIFS($AR$2:$AR$200,$G367)&gt;0,
     COUNTIFS($AS$2:$AS$200,$G367)&gt;0,
     COUNTIFS($AT$2:$AT$200,$G367)&gt;0,
     COUNTIFS($AU$2:$AU$200,$G367)&gt;0,
     COUNTIFS($AV$2:$AV$200,$G367)&gt;0,
     COUNTIFS($AW$2:$AW$200,$G367)&gt;0
   )),
  4)
 ),
"")</f>
        <v/>
      </c>
      <c r="G367" t="str">
        <f ca="1"/>
        <v>Riveteers Charm</v>
      </c>
      <c r="EU367" t="str">
        <f ca="1"/>
        <v>Waterbender's Restoration</v>
      </c>
      <c r="EX367" t="str">
        <f ca="1"/>
        <v>Riveteers Charm</v>
      </c>
    </row>
    <row r="368" spans="1:154" x14ac:dyDescent="0.25">
      <c r="A368" s="2" t="str">
        <f t="shared" ca="1" si="16"/>
        <v>5</v>
      </c>
      <c r="B368" s="2">
        <f t="shared" ca="1" si="17"/>
        <v>1</v>
      </c>
      <c r="C368" s="2" t="str">
        <f ca="1">IFERROR(
 INDEX($V$1:$BL$1,
  MATCH(TRUE,
   CHOOSE({1;2;3;4;5;6;7;8;9;10;11;12;13;14;15;16;17;18;19;20;21;22;23;24;25;26;27;28;29;30;31;32;33;34;35;36;37;38;39;40;41;42;43},
    COUNTIFS($V$2:$V$200,$G368)&gt;0,
    COUNTIFS($W$2:$W$200,$G368)&gt;0,
    COUNTIFS($X$2:$X$200,$G368)&gt;0,
    COUNTIFS($Y$2:$Y$200,$G368)&gt;0,
    COUNTIFS($Z$2:$Z$200,$G368)&gt;0,
    COUNTIFS($AA$2:$AA$200,$G368)&gt;0,
    COUNTIFS($AB$2:$AB$200,$G368)&gt;0,
    COUNTIFS($AC$2:$AC$200,$G368)&gt;0,
    COUNTIFS($AD$2:$AD$200,$G368)&gt;0,
    COUNTIFS($AE$2:$AE$200,$G368)&gt;0,
    COUNTIFS($AF$2:$AF$200,$G368)&gt;0,
    COUNTIFS($AG$2:$AG$200,$G368)&gt;0,
    COUNTIFS($AH$2:$AH$200,$G368)&gt;0,
    COUNTIFS($AI$2:$AI$200,$G368)&gt;0,
    COUNTIFS($AJ$2:$AJ$200,$G368)&gt;0,
    COUNTIFS($AK$2:$AK$200,$G368)&gt;0,
    COUNTIFS($AL$2:$AL$200,$G368)&gt;0,
    COUNTIFS($AM$2:$AM$200,$G368)&gt;0,
    COUNTIFS($AN$2:$AN$200,$G368)&gt;0,
    COUNTIFS($AO$2:$AO$200,$G368)&gt;0,
    COUNTIFS($AP$2:$AP$200,$G368)&gt;0,
    COUNTIFS($AQ$2:$AQ$200,$G368)&gt;0,
    COUNTIFS($AR$2:$AR$200,$G368)&gt;0,
    COUNTIFS($AS$2:$AS$200,$G368)&gt;0,
    COUNTIFS($AT$2:$AT$200,$G368)&gt;0,
    COUNTIFS($AU$2:$AU$200,$G368)&gt;0,
    COUNTIFS($AV$2:$AV$200,$G368)&gt;0,
    COUNTIFS($AW$2:$AW$200,$G368)&gt;0,
    COUNTIFS($AX$2:$AX$200,$G368)&gt;0,
    COUNTIFS($AY$2:$AY$200,$G368)&gt;0,
    COUNTIFS($AZ$2:$AZ$200,$G368)&gt;0,
    COUNTIFS($BA$2:$BA$200,$G368)&gt;0,
    COUNTIFS($BB$2:$BB$200,$G368)&gt;0,
    COUNTIFS($BC$2:$BC$200,$G368)&gt;0,
    COUNTIFS($BD$2:$BD$200,$G368)&gt;0,
    COUNTIFS($BE$2:$BE$200,$G368)&gt;0,
    COUNTIFS($BF$2:$BF$200,$G368)&gt;0,
    COUNTIFS($BG$2:$BG$200,$G368)&gt;0,
    COUNTIFS($BH$2:$BH$200,$G368)&gt;0,
    COUNTIFS($BI$2:$BI$200,$G368)&gt;0,
    COUNTIFS($BJ$2:$BJ$200,$G368)&gt;0,
    COUNTIFS($BK$2:$BK$200,$G368)&gt;0,
    COUNTIFS($BL$2:$BL$200,$G368)&gt;0,
    COUNTIFS($BM$2:$BM$200,$G368)&gt;0,
   ),
  0)
 ),
"")</f>
        <v>Fractius</v>
      </c>
      <c r="D368" s="2" t="str" cm="1">
        <f t="array" aca="1" ref="D368" ca="1">IFERROR(
 INDEX(
  _xlfn._xlws.FILTER($V$1:$AW$1,
   TRANSPOSE(
    CHOOSE({1;2;3;4;5;6;7;8;9;10;11;12;13;14;15;16;17;18;19;20;21;22;23;24;25;26;27;28},
     COUNTIFS($V$2:$V$200,$G368)&gt;0,
     COUNTIFS($W$2:$W$200,$G368)&gt;0,
     COUNTIFS($X$2:$X$200,$G368)&gt;0,
     COUNTIFS($Y$2:$Y$200,$G368)&gt;0,
     COUNTIFS($Z$2:$Z$200,$G368)&gt;0,
     COUNTIFS($AA$2:$AA$200,$G368)&gt;0,
     COUNTIFS($AB$2:$AB$200,$G368)&gt;0,
     COUNTIFS($AC$2:$AC$200,$G368)&gt;0,
     COUNTIFS($AD$2:$AD$200,$G368)&gt;0,
     COUNTIFS($AE$2:$AE$200,$G368)&gt;0,
     COUNTIFS($AF$2:$AF$200,$G368)&gt;0,
     COUNTIFS($AG$2:$AG$200,$G368)&gt;0,
     COUNTIFS($AH$2:$AH$200,$G368)&gt;0,
     COUNTIFS($AI$2:$AI$200,$G368)&gt;0,
     COUNTIFS($AJ$2:$AJ$200,$G368)&gt;0,
     COUNTIFS($AK$2:$AK$200,$G368)&gt;0,
     COUNTIFS($AL$2:$AL$200,$G368)&gt;0,
     COUNTIFS($AM$2:$AM$200,$G368)&gt;0,
     COUNTIFS($AN$2:$AN$200,$G368)&gt;0,
     COUNTIFS($AO$2:$AO$200,$G368)&gt;0,
     COUNTIFS($AP$2:$AP$200,$G368)&gt;0,
     COUNTIFS($AQ$2:$AQ$200,$G368)&gt;0,
     COUNTIFS($AR$2:$AR$200,$G368)&gt;0,
     COUNTIFS($AS$2:$AS$200,$G368)&gt;0,
     COUNTIFS($AT$2:$AT$200,$G368)&gt;0,
     COUNTIFS($AU$2:$AU$200,$G368)&gt;0,
     COUNTIFS($AV$2:$AV$200,$G368)&gt;0,
     COUNTIFS($AW$2:$AW$200,$G368)&gt;0
   )),
  ),
  2
 ),
"")</f>
        <v/>
      </c>
      <c r="E368" s="2" t="str" cm="1">
        <f t="array" aca="1" ref="E368" ca="1">IFERROR(
 INDEX($V$1:$AW$1,
  _xlfn.AGGREGATE(15,6,
   (COLUMN($V$1:$AW$1)-COLUMN($V$1)+1)/
   TRANSPOSE(
    CHOOSE({1;2;3;4;5;6;7;8;9;10;11;12;13;14;15;16;17;18;19;20;21;22;23;24;25;26;27;28},
     COUNTIFS($V$2:$V$200,$G368)&gt;0,
     COUNTIFS($W$2:$W$200,$G368)&gt;0,
     COUNTIFS($X$2:$X$200,$G368)&gt;0,
     COUNTIFS($Y$2:$Y$200,$G368)&gt;0,
     COUNTIFS($Z$2:$Z$200,$G368)&gt;0,
     COUNTIFS($AA$2:$AA$200,$G368)&gt;0,
     COUNTIFS($AB$2:$AB$200,$G368)&gt;0,
     COUNTIFS($AC$2:$AC$200,$G368)&gt;0,
     COUNTIFS($AD$2:$AD$200,$G368)&gt;0,
     COUNTIFS($AE$2:$AE$200,$G368)&gt;0,
     COUNTIFS($AF$2:$AF$200,$G368)&gt;0,
     COUNTIFS($AG$2:$AG$200,$G368)&gt;0,
     COUNTIFS($AH$2:$AH$200,$G368)&gt;0,
     COUNTIFS($AI$2:$AI$200,$G368)&gt;0,
     COUNTIFS($AJ$2:$AJ$200,$G368)&gt;0,
     COUNTIFS($AK$2:$AK$200,$G368)&gt;0,
     COUNTIFS($AL$2:$AL$200,$G368)&gt;0,
     COUNTIFS($AM$2:$AM$200,$G368)&gt;0,
     COUNTIFS($AN$2:$AN$200,$G368)&gt;0,
     COUNTIFS($AO$2:$AO$200,$G368)&gt;0,
     COUNTIFS($AP$2:$AP$200,$G368)&gt;0,
     COUNTIFS($AQ$2:$AQ$200,$G368)&gt;0,
     COUNTIFS($AR$2:$AR$200,$G368)&gt;0,
     COUNTIFS($AS$2:$AS$200,$G368)&gt;0,
     COUNTIFS($AT$2:$AT$200,$G368)&gt;0,
     COUNTIFS($AU$2:$AU$200,$G368)&gt;0,
     COUNTIFS($AV$2:$AV$200,$G368)&gt;0,
     COUNTIFS($AW$2:$AW$200,$G368)&gt;0
   )),
  3)
 ),
"")</f>
        <v/>
      </c>
      <c r="F368" s="2" t="str" cm="1">
        <f t="array" aca="1" ref="F368" ca="1">IFERROR(
 INDEX($V$1:$AW$1,
  _xlfn.AGGREGATE(15,6,
   (COLUMN($V$1:$AW$1)-COLUMN($V$1)+1)/
   TRANSPOSE(
    CHOOSE({1;2;3;4;5;6;7;8;9;10;11;12;13;14;15;16;17;18;19;20;21;22;23;24;25;26;27;28},
     COUNTIFS($V$2:$V$200,$G368)&gt;0,
     COUNTIFS($W$2:$W$200,$G368)&gt;0,
     COUNTIFS($X$2:$X$200,$G368)&gt;0,
     COUNTIFS($Y$2:$Y$200,$G368)&gt;0,
     COUNTIFS($Z$2:$Z$200,$G368)&gt;0,
     COUNTIFS($AA$2:$AA$200,$G368)&gt;0,
     COUNTIFS($AB$2:$AB$200,$G368)&gt;0,
     COUNTIFS($AC$2:$AC$200,$G368)&gt;0,
     COUNTIFS($AD$2:$AD$200,$G368)&gt;0,
     COUNTIFS($AE$2:$AE$200,$G368)&gt;0,
     COUNTIFS($AF$2:$AF$200,$G368)&gt;0,
     COUNTIFS($AG$2:$AG$200,$G368)&gt;0,
     COUNTIFS($AH$2:$AH$200,$G368)&gt;0,
     COUNTIFS($AI$2:$AI$200,$G368)&gt;0,
     COUNTIFS($AJ$2:$AJ$200,$G368)&gt;0,
     COUNTIFS($AK$2:$AK$200,$G368)&gt;0,
     COUNTIFS($AL$2:$AL$200,$G368)&gt;0,
     COUNTIFS($AM$2:$AM$200,$G368)&gt;0,
     COUNTIFS($AN$2:$AN$200,$G368)&gt;0,
     COUNTIFS($AO$2:$AO$200,$G368)&gt;0,
     COUNTIFS($AP$2:$AP$200,$G368)&gt;0,
     COUNTIFS($AQ$2:$AQ$200,$G368)&gt;0,
     COUNTIFS($AR$2:$AR$200,$G368)&gt;0,
     COUNTIFS($AS$2:$AS$200,$G368)&gt;0,
     COUNTIFS($AT$2:$AT$200,$G368)&gt;0,
     COUNTIFS($AU$2:$AU$200,$G368)&gt;0,
     COUNTIFS($AV$2:$AV$200,$G368)&gt;0,
     COUNTIFS($AW$2:$AW$200,$G368)&gt;0
   )),
  4)
 ),
"")</f>
        <v/>
      </c>
      <c r="G368" t="str">
        <f ca="1"/>
        <v>Rogues' Gallery</v>
      </c>
      <c r="EU368" t="str">
        <f ca="1"/>
        <v>Watery Grave</v>
      </c>
      <c r="EX368" t="str">
        <f ca="1"/>
        <v>Rogues' Gallery</v>
      </c>
    </row>
    <row r="369" spans="1:154" x14ac:dyDescent="0.25">
      <c r="A369" s="2" t="str">
        <f t="shared" ca="1" si="16"/>
        <v>2</v>
      </c>
      <c r="B369" s="2">
        <f t="shared" ca="1" si="17"/>
        <v>1</v>
      </c>
      <c r="C369" s="2" t="str">
        <f ca="1">IFERROR(
 INDEX($V$1:$BL$1,
  MATCH(TRUE,
   CHOOSE({1;2;3;4;5;6;7;8;9;10;11;12;13;14;15;16;17;18;19;20;21;22;23;24;25;26;27;28;29;30;31;32;33;34;35;36;37;38;39;40;41;42;43},
    COUNTIFS($V$2:$V$200,$G369)&gt;0,
    COUNTIFS($W$2:$W$200,$G369)&gt;0,
    COUNTIFS($X$2:$X$200,$G369)&gt;0,
    COUNTIFS($Y$2:$Y$200,$G369)&gt;0,
    COUNTIFS($Z$2:$Z$200,$G369)&gt;0,
    COUNTIFS($AA$2:$AA$200,$G369)&gt;0,
    COUNTIFS($AB$2:$AB$200,$G369)&gt;0,
    COUNTIFS($AC$2:$AC$200,$G369)&gt;0,
    COUNTIFS($AD$2:$AD$200,$G369)&gt;0,
    COUNTIFS($AE$2:$AE$200,$G369)&gt;0,
    COUNTIFS($AF$2:$AF$200,$G369)&gt;0,
    COUNTIFS($AG$2:$AG$200,$G369)&gt;0,
    COUNTIFS($AH$2:$AH$200,$G369)&gt;0,
    COUNTIFS($AI$2:$AI$200,$G369)&gt;0,
    COUNTIFS($AJ$2:$AJ$200,$G369)&gt;0,
    COUNTIFS($AK$2:$AK$200,$G369)&gt;0,
    COUNTIFS($AL$2:$AL$200,$G369)&gt;0,
    COUNTIFS($AM$2:$AM$200,$G369)&gt;0,
    COUNTIFS($AN$2:$AN$200,$G369)&gt;0,
    COUNTIFS($AO$2:$AO$200,$G369)&gt;0,
    COUNTIFS($AP$2:$AP$200,$G369)&gt;0,
    COUNTIFS($AQ$2:$AQ$200,$G369)&gt;0,
    COUNTIFS($AR$2:$AR$200,$G369)&gt;0,
    COUNTIFS($AS$2:$AS$200,$G369)&gt;0,
    COUNTIFS($AT$2:$AT$200,$G369)&gt;0,
    COUNTIFS($AU$2:$AU$200,$G369)&gt;0,
    COUNTIFS($AV$2:$AV$200,$G369)&gt;0,
    COUNTIFS($AW$2:$AW$200,$G369)&gt;0,
    COUNTIFS($AX$2:$AX$200,$G369)&gt;0,
    COUNTIFS($AY$2:$AY$200,$G369)&gt;0,
    COUNTIFS($AZ$2:$AZ$200,$G369)&gt;0,
    COUNTIFS($BA$2:$BA$200,$G369)&gt;0,
    COUNTIFS($BB$2:$BB$200,$G369)&gt;0,
    COUNTIFS($BC$2:$BC$200,$G369)&gt;0,
    COUNTIFS($BD$2:$BD$200,$G369)&gt;0,
    COUNTIFS($BE$2:$BE$200,$G369)&gt;0,
    COUNTIFS($BF$2:$BF$200,$G369)&gt;0,
    COUNTIFS($BG$2:$BG$200,$G369)&gt;0,
    COUNTIFS($BH$2:$BH$200,$G369)&gt;0,
    COUNTIFS($BI$2:$BI$200,$G369)&gt;0,
    COUNTIFS($BJ$2:$BJ$200,$G369)&gt;0,
    COUNTIFS($BK$2:$BK$200,$G369)&gt;0,
    COUNTIFS($BL$2:$BL$200,$G369)&gt;0,
    COUNTIFS($BM$2:$BM$200,$G369)&gt;0,
   ),
  0)
 ),
"")</f>
        <v>Rani</v>
      </c>
      <c r="D369" s="2" t="str" cm="1">
        <f t="array" aca="1" ref="D369" ca="1">IFERROR(
 INDEX(
  _xlfn._xlws.FILTER($V$1:$AW$1,
   TRANSPOSE(
    CHOOSE({1;2;3;4;5;6;7;8;9;10;11;12;13;14;15;16;17;18;19;20;21;22;23;24;25;26;27;28},
     COUNTIFS($V$2:$V$200,$G369)&gt;0,
     COUNTIFS($W$2:$W$200,$G369)&gt;0,
     COUNTIFS($X$2:$X$200,$G369)&gt;0,
     COUNTIFS($Y$2:$Y$200,$G369)&gt;0,
     COUNTIFS($Z$2:$Z$200,$G369)&gt;0,
     COUNTIFS($AA$2:$AA$200,$G369)&gt;0,
     COUNTIFS($AB$2:$AB$200,$G369)&gt;0,
     COUNTIFS($AC$2:$AC$200,$G369)&gt;0,
     COUNTIFS($AD$2:$AD$200,$G369)&gt;0,
     COUNTIFS($AE$2:$AE$200,$G369)&gt;0,
     COUNTIFS($AF$2:$AF$200,$G369)&gt;0,
     COUNTIFS($AG$2:$AG$200,$G369)&gt;0,
     COUNTIFS($AH$2:$AH$200,$G369)&gt;0,
     COUNTIFS($AI$2:$AI$200,$G369)&gt;0,
     COUNTIFS($AJ$2:$AJ$200,$G369)&gt;0,
     COUNTIFS($AK$2:$AK$200,$G369)&gt;0,
     COUNTIFS($AL$2:$AL$200,$G369)&gt;0,
     COUNTIFS($AM$2:$AM$200,$G369)&gt;0,
     COUNTIFS($AN$2:$AN$200,$G369)&gt;0,
     COUNTIFS($AO$2:$AO$200,$G369)&gt;0,
     COUNTIFS($AP$2:$AP$200,$G369)&gt;0,
     COUNTIFS($AQ$2:$AQ$200,$G369)&gt;0,
     COUNTIFS($AR$2:$AR$200,$G369)&gt;0,
     COUNTIFS($AS$2:$AS$200,$G369)&gt;0,
     COUNTIFS($AT$2:$AT$200,$G369)&gt;0,
     COUNTIFS($AU$2:$AU$200,$G369)&gt;0,
     COUNTIFS($AV$2:$AV$200,$G369)&gt;0,
     COUNTIFS($AW$2:$AW$200,$G369)&gt;0
   )),
  ),
  2
 ),
"")</f>
        <v/>
      </c>
      <c r="E369" s="2" t="str" cm="1">
        <f t="array" aca="1" ref="E369" ca="1">IFERROR(
 INDEX($V$1:$AW$1,
  _xlfn.AGGREGATE(15,6,
   (COLUMN($V$1:$AW$1)-COLUMN($V$1)+1)/
   TRANSPOSE(
    CHOOSE({1;2;3;4;5;6;7;8;9;10;11;12;13;14;15;16;17;18;19;20;21;22;23;24;25;26;27;28},
     COUNTIFS($V$2:$V$200,$G369)&gt;0,
     COUNTIFS($W$2:$W$200,$G369)&gt;0,
     COUNTIFS($X$2:$X$200,$G369)&gt;0,
     COUNTIFS($Y$2:$Y$200,$G369)&gt;0,
     COUNTIFS($Z$2:$Z$200,$G369)&gt;0,
     COUNTIFS($AA$2:$AA$200,$G369)&gt;0,
     COUNTIFS($AB$2:$AB$200,$G369)&gt;0,
     COUNTIFS($AC$2:$AC$200,$G369)&gt;0,
     COUNTIFS($AD$2:$AD$200,$G369)&gt;0,
     COUNTIFS($AE$2:$AE$200,$G369)&gt;0,
     COUNTIFS($AF$2:$AF$200,$G369)&gt;0,
     COUNTIFS($AG$2:$AG$200,$G369)&gt;0,
     COUNTIFS($AH$2:$AH$200,$G369)&gt;0,
     COUNTIFS($AI$2:$AI$200,$G369)&gt;0,
     COUNTIFS($AJ$2:$AJ$200,$G369)&gt;0,
     COUNTIFS($AK$2:$AK$200,$G369)&gt;0,
     COUNTIFS($AL$2:$AL$200,$G369)&gt;0,
     COUNTIFS($AM$2:$AM$200,$G369)&gt;0,
     COUNTIFS($AN$2:$AN$200,$G369)&gt;0,
     COUNTIFS($AO$2:$AO$200,$G369)&gt;0,
     COUNTIFS($AP$2:$AP$200,$G369)&gt;0,
     COUNTIFS($AQ$2:$AQ$200,$G369)&gt;0,
     COUNTIFS($AR$2:$AR$200,$G369)&gt;0,
     COUNTIFS($AS$2:$AS$200,$G369)&gt;0,
     COUNTIFS($AT$2:$AT$200,$G369)&gt;0,
     COUNTIFS($AU$2:$AU$200,$G369)&gt;0,
     COUNTIFS($AV$2:$AV$200,$G369)&gt;0,
     COUNTIFS($AW$2:$AW$200,$G369)&gt;0
   )),
  3)
 ),
"")</f>
        <v/>
      </c>
      <c r="F369" s="2" t="str" cm="1">
        <f t="array" aca="1" ref="F369" ca="1">IFERROR(
 INDEX($V$1:$AW$1,
  _xlfn.AGGREGATE(15,6,
   (COLUMN($V$1:$AW$1)-COLUMN($V$1)+1)/
   TRANSPOSE(
    CHOOSE({1;2;3;4;5;6;7;8;9;10;11;12;13;14;15;16;17;18;19;20;21;22;23;24;25;26;27;28},
     COUNTIFS($V$2:$V$200,$G369)&gt;0,
     COUNTIFS($W$2:$W$200,$G369)&gt;0,
     COUNTIFS($X$2:$X$200,$G369)&gt;0,
     COUNTIFS($Y$2:$Y$200,$G369)&gt;0,
     COUNTIFS($Z$2:$Z$200,$G369)&gt;0,
     COUNTIFS($AA$2:$AA$200,$G369)&gt;0,
     COUNTIFS($AB$2:$AB$200,$G369)&gt;0,
     COUNTIFS($AC$2:$AC$200,$G369)&gt;0,
     COUNTIFS($AD$2:$AD$200,$G369)&gt;0,
     COUNTIFS($AE$2:$AE$200,$G369)&gt;0,
     COUNTIFS($AF$2:$AF$200,$G369)&gt;0,
     COUNTIFS($AG$2:$AG$200,$G369)&gt;0,
     COUNTIFS($AH$2:$AH$200,$G369)&gt;0,
     COUNTIFS($AI$2:$AI$200,$G369)&gt;0,
     COUNTIFS($AJ$2:$AJ$200,$G369)&gt;0,
     COUNTIFS($AK$2:$AK$200,$G369)&gt;0,
     COUNTIFS($AL$2:$AL$200,$G369)&gt;0,
     COUNTIFS($AM$2:$AM$200,$G369)&gt;0,
     COUNTIFS($AN$2:$AN$200,$G369)&gt;0,
     COUNTIFS($AO$2:$AO$200,$G369)&gt;0,
     COUNTIFS($AP$2:$AP$200,$G369)&gt;0,
     COUNTIFS($AQ$2:$AQ$200,$G369)&gt;0,
     COUNTIFS($AR$2:$AR$200,$G369)&gt;0,
     COUNTIFS($AS$2:$AS$200,$G369)&gt;0,
     COUNTIFS($AT$2:$AT$200,$G369)&gt;0,
     COUNTIFS($AU$2:$AU$200,$G369)&gt;0,
     COUNTIFS($AV$2:$AV$200,$G369)&gt;0,
     COUNTIFS($AW$2:$AW$200,$G369)&gt;0
   )),
  4)
 ),
"")</f>
        <v/>
      </c>
      <c r="G369" t="str">
        <f ca="1"/>
        <v>Rogue's Passage</v>
      </c>
      <c r="EU369" t="str">
        <f ca="1"/>
        <v>Winged Sliver</v>
      </c>
      <c r="EX369" t="str">
        <f ca="1"/>
        <v>Rogue's Passage</v>
      </c>
    </row>
    <row r="370" spans="1:154" x14ac:dyDescent="0.25">
      <c r="A370" s="2" t="str">
        <f t="shared" ca="1" si="16"/>
        <v>5</v>
      </c>
      <c r="B370" s="2">
        <f t="shared" ca="1" si="17"/>
        <v>1</v>
      </c>
      <c r="C370" s="2" t="str">
        <f ca="1">IFERROR(
 INDEX($V$1:$BL$1,
  MATCH(TRUE,
   CHOOSE({1;2;3;4;5;6;7;8;9;10;11;12;13;14;15;16;17;18;19;20;21;22;23;24;25;26;27;28;29;30;31;32;33;34;35;36;37;38;39;40;41;42;43},
    COUNTIFS($V$2:$V$200,$G370)&gt;0,
    COUNTIFS($W$2:$W$200,$G370)&gt;0,
    COUNTIFS($X$2:$X$200,$G370)&gt;0,
    COUNTIFS($Y$2:$Y$200,$G370)&gt;0,
    COUNTIFS($Z$2:$Z$200,$G370)&gt;0,
    COUNTIFS($AA$2:$AA$200,$G370)&gt;0,
    COUNTIFS($AB$2:$AB$200,$G370)&gt;0,
    COUNTIFS($AC$2:$AC$200,$G370)&gt;0,
    COUNTIFS($AD$2:$AD$200,$G370)&gt;0,
    COUNTIFS($AE$2:$AE$200,$G370)&gt;0,
    COUNTIFS($AF$2:$AF$200,$G370)&gt;0,
    COUNTIFS($AG$2:$AG$200,$G370)&gt;0,
    COUNTIFS($AH$2:$AH$200,$G370)&gt;0,
    COUNTIFS($AI$2:$AI$200,$G370)&gt;0,
    COUNTIFS($AJ$2:$AJ$200,$G370)&gt;0,
    COUNTIFS($AK$2:$AK$200,$G370)&gt;0,
    COUNTIFS($AL$2:$AL$200,$G370)&gt;0,
    COUNTIFS($AM$2:$AM$200,$G370)&gt;0,
    COUNTIFS($AN$2:$AN$200,$G370)&gt;0,
    COUNTIFS($AO$2:$AO$200,$G370)&gt;0,
    COUNTIFS($AP$2:$AP$200,$G370)&gt;0,
    COUNTIFS($AQ$2:$AQ$200,$G370)&gt;0,
    COUNTIFS($AR$2:$AR$200,$G370)&gt;0,
    COUNTIFS($AS$2:$AS$200,$G370)&gt;0,
    COUNTIFS($AT$2:$AT$200,$G370)&gt;0,
    COUNTIFS($AU$2:$AU$200,$G370)&gt;0,
    COUNTIFS($AV$2:$AV$200,$G370)&gt;0,
    COUNTIFS($AW$2:$AW$200,$G370)&gt;0,
    COUNTIFS($AX$2:$AX$200,$G370)&gt;0,
    COUNTIFS($AY$2:$AY$200,$G370)&gt;0,
    COUNTIFS($AZ$2:$AZ$200,$G370)&gt;0,
    COUNTIFS($BA$2:$BA$200,$G370)&gt;0,
    COUNTIFS($BB$2:$BB$200,$G370)&gt;0,
    COUNTIFS($BC$2:$BC$200,$G370)&gt;0,
    COUNTIFS($BD$2:$BD$200,$G370)&gt;0,
    COUNTIFS($BE$2:$BE$200,$G370)&gt;0,
    COUNTIFS($BF$2:$BF$200,$G370)&gt;0,
    COUNTIFS($BG$2:$BG$200,$G370)&gt;0,
    COUNTIFS($BH$2:$BH$200,$G370)&gt;0,
    COUNTIFS($BI$2:$BI$200,$G370)&gt;0,
    COUNTIFS($BJ$2:$BJ$200,$G370)&gt;0,
    COUNTIFS($BK$2:$BK$200,$G370)&gt;0,
    COUNTIFS($BL$2:$BL$200,$G370)&gt;0,
    COUNTIFS($BM$2:$BM$200,$G370)&gt;0,
   ),
  0)
 ),
"")</f>
        <v>4cRash</v>
      </c>
      <c r="D370" s="2" t="str" cm="1">
        <f t="array" aca="1" ref="D370" ca="1">IFERROR(
 INDEX(
  _xlfn._xlws.FILTER($V$1:$AW$1,
   TRANSPOSE(
    CHOOSE({1;2;3;4;5;6;7;8;9;10;11;12;13;14;15;16;17;18;19;20;21;22;23;24;25;26;27;28},
     COUNTIFS($V$2:$V$200,$G370)&gt;0,
     COUNTIFS($W$2:$W$200,$G370)&gt;0,
     COUNTIFS($X$2:$X$200,$G370)&gt;0,
     COUNTIFS($Y$2:$Y$200,$G370)&gt;0,
     COUNTIFS($Z$2:$Z$200,$G370)&gt;0,
     COUNTIFS($AA$2:$AA$200,$G370)&gt;0,
     COUNTIFS($AB$2:$AB$200,$G370)&gt;0,
     COUNTIFS($AC$2:$AC$200,$G370)&gt;0,
     COUNTIFS($AD$2:$AD$200,$G370)&gt;0,
     COUNTIFS($AE$2:$AE$200,$G370)&gt;0,
     COUNTIFS($AF$2:$AF$200,$G370)&gt;0,
     COUNTIFS($AG$2:$AG$200,$G370)&gt;0,
     COUNTIFS($AH$2:$AH$200,$G370)&gt;0,
     COUNTIFS($AI$2:$AI$200,$G370)&gt;0,
     COUNTIFS($AJ$2:$AJ$200,$G370)&gt;0,
     COUNTIFS($AK$2:$AK$200,$G370)&gt;0,
     COUNTIFS($AL$2:$AL$200,$G370)&gt;0,
     COUNTIFS($AM$2:$AM$200,$G370)&gt;0,
     COUNTIFS($AN$2:$AN$200,$G370)&gt;0,
     COUNTIFS($AO$2:$AO$200,$G370)&gt;0,
     COUNTIFS($AP$2:$AP$200,$G370)&gt;0,
     COUNTIFS($AQ$2:$AQ$200,$G370)&gt;0,
     COUNTIFS($AR$2:$AR$200,$G370)&gt;0,
     COUNTIFS($AS$2:$AS$200,$G370)&gt;0,
     COUNTIFS($AT$2:$AT$200,$G370)&gt;0,
     COUNTIFS($AU$2:$AU$200,$G370)&gt;0,
     COUNTIFS($AV$2:$AV$200,$G370)&gt;0,
     COUNTIFS($AW$2:$AW$200,$G370)&gt;0
   )),
  ),
  2
 ),
"")</f>
        <v/>
      </c>
      <c r="E370" s="2" t="str" cm="1">
        <f t="array" aca="1" ref="E370" ca="1">IFERROR(
 INDEX($V$1:$AW$1,
  _xlfn.AGGREGATE(15,6,
   (COLUMN($V$1:$AW$1)-COLUMN($V$1)+1)/
   TRANSPOSE(
    CHOOSE({1;2;3;4;5;6;7;8;9;10;11;12;13;14;15;16;17;18;19;20;21;22;23;24;25;26;27;28},
     COUNTIFS($V$2:$V$200,$G370)&gt;0,
     COUNTIFS($W$2:$W$200,$G370)&gt;0,
     COUNTIFS($X$2:$X$200,$G370)&gt;0,
     COUNTIFS($Y$2:$Y$200,$G370)&gt;0,
     COUNTIFS($Z$2:$Z$200,$G370)&gt;0,
     COUNTIFS($AA$2:$AA$200,$G370)&gt;0,
     COUNTIFS($AB$2:$AB$200,$G370)&gt;0,
     COUNTIFS($AC$2:$AC$200,$G370)&gt;0,
     COUNTIFS($AD$2:$AD$200,$G370)&gt;0,
     COUNTIFS($AE$2:$AE$200,$G370)&gt;0,
     COUNTIFS($AF$2:$AF$200,$G370)&gt;0,
     COUNTIFS($AG$2:$AG$200,$G370)&gt;0,
     COUNTIFS($AH$2:$AH$200,$G370)&gt;0,
     COUNTIFS($AI$2:$AI$200,$G370)&gt;0,
     COUNTIFS($AJ$2:$AJ$200,$G370)&gt;0,
     COUNTIFS($AK$2:$AK$200,$G370)&gt;0,
     COUNTIFS($AL$2:$AL$200,$G370)&gt;0,
     COUNTIFS($AM$2:$AM$200,$G370)&gt;0,
     COUNTIFS($AN$2:$AN$200,$G370)&gt;0,
     COUNTIFS($AO$2:$AO$200,$G370)&gt;0,
     COUNTIFS($AP$2:$AP$200,$G370)&gt;0,
     COUNTIFS($AQ$2:$AQ$200,$G370)&gt;0,
     COUNTIFS($AR$2:$AR$200,$G370)&gt;0,
     COUNTIFS($AS$2:$AS$200,$G370)&gt;0,
     COUNTIFS($AT$2:$AT$200,$G370)&gt;0,
     COUNTIFS($AU$2:$AU$200,$G370)&gt;0,
     COUNTIFS($AV$2:$AV$200,$G370)&gt;0,
     COUNTIFS($AW$2:$AW$200,$G370)&gt;0
   )),
  3)
 ),
"")</f>
        <v/>
      </c>
      <c r="F370" s="2" t="str" cm="1">
        <f t="array" aca="1" ref="F370" ca="1">IFERROR(
 INDEX($V$1:$AW$1,
  _xlfn.AGGREGATE(15,6,
   (COLUMN($V$1:$AW$1)-COLUMN($V$1)+1)/
   TRANSPOSE(
    CHOOSE({1;2;3;4;5;6;7;8;9;10;11;12;13;14;15;16;17;18;19;20;21;22;23;24;25;26;27;28},
     COUNTIFS($V$2:$V$200,$G370)&gt;0,
     COUNTIFS($W$2:$W$200,$G370)&gt;0,
     COUNTIFS($X$2:$X$200,$G370)&gt;0,
     COUNTIFS($Y$2:$Y$200,$G370)&gt;0,
     COUNTIFS($Z$2:$Z$200,$G370)&gt;0,
     COUNTIFS($AA$2:$AA$200,$G370)&gt;0,
     COUNTIFS($AB$2:$AB$200,$G370)&gt;0,
     COUNTIFS($AC$2:$AC$200,$G370)&gt;0,
     COUNTIFS($AD$2:$AD$200,$G370)&gt;0,
     COUNTIFS($AE$2:$AE$200,$G370)&gt;0,
     COUNTIFS($AF$2:$AF$200,$G370)&gt;0,
     COUNTIFS($AG$2:$AG$200,$G370)&gt;0,
     COUNTIFS($AH$2:$AH$200,$G370)&gt;0,
     COUNTIFS($AI$2:$AI$200,$G370)&gt;0,
     COUNTIFS($AJ$2:$AJ$200,$G370)&gt;0,
     COUNTIFS($AK$2:$AK$200,$G370)&gt;0,
     COUNTIFS($AL$2:$AL$200,$G370)&gt;0,
     COUNTIFS($AM$2:$AM$200,$G370)&gt;0,
     COUNTIFS($AN$2:$AN$200,$G370)&gt;0,
     COUNTIFS($AO$2:$AO$200,$G370)&gt;0,
     COUNTIFS($AP$2:$AP$200,$G370)&gt;0,
     COUNTIFS($AQ$2:$AQ$200,$G370)&gt;0,
     COUNTIFS($AR$2:$AR$200,$G370)&gt;0,
     COUNTIFS($AS$2:$AS$200,$G370)&gt;0,
     COUNTIFS($AT$2:$AT$200,$G370)&gt;0,
     COUNTIFS($AU$2:$AU$200,$G370)&gt;0,
     COUNTIFS($AV$2:$AV$200,$G370)&gt;0,
     COUNTIFS($AW$2:$AW$200,$G370)&gt;0
   )),
  4)
 ),
"")</f>
        <v/>
      </c>
      <c r="G370" t="str">
        <f ca="1"/>
        <v>Roiling Regrowth</v>
      </c>
      <c r="EU370" t="str">
        <f ca="1"/>
        <v>Woodland Cemetery</v>
      </c>
      <c r="EX370" t="str">
        <f ca="1"/>
        <v>Roiling Regrowth</v>
      </c>
    </row>
    <row r="371" spans="1:154" x14ac:dyDescent="0.25">
      <c r="A371" s="2" t="str">
        <f t="shared" ca="1" si="16"/>
        <v>5</v>
      </c>
      <c r="B371" s="2">
        <f t="shared" ca="1" si="17"/>
        <v>1</v>
      </c>
      <c r="C371" s="2" t="str">
        <f ca="1">IFERROR(
 INDEX($V$1:$BL$1,
  MATCH(TRUE,
   CHOOSE({1;2;3;4;5;6;7;8;9;10;11;12;13;14;15;16;17;18;19;20;21;22;23;24;25;26;27;28;29;30;31;32;33;34;35;36;37;38;39;40;41;42;43},
    COUNTIFS($V$2:$V$200,$G371)&gt;0,
    COUNTIFS($W$2:$W$200,$G371)&gt;0,
    COUNTIFS($X$2:$X$200,$G371)&gt;0,
    COUNTIFS($Y$2:$Y$200,$G371)&gt;0,
    COUNTIFS($Z$2:$Z$200,$G371)&gt;0,
    COUNTIFS($AA$2:$AA$200,$G371)&gt;0,
    COUNTIFS($AB$2:$AB$200,$G371)&gt;0,
    COUNTIFS($AC$2:$AC$200,$G371)&gt;0,
    COUNTIFS($AD$2:$AD$200,$G371)&gt;0,
    COUNTIFS($AE$2:$AE$200,$G371)&gt;0,
    COUNTIFS($AF$2:$AF$200,$G371)&gt;0,
    COUNTIFS($AG$2:$AG$200,$G371)&gt;0,
    COUNTIFS($AH$2:$AH$200,$G371)&gt;0,
    COUNTIFS($AI$2:$AI$200,$G371)&gt;0,
    COUNTIFS($AJ$2:$AJ$200,$G371)&gt;0,
    COUNTIFS($AK$2:$AK$200,$G371)&gt;0,
    COUNTIFS($AL$2:$AL$200,$G371)&gt;0,
    COUNTIFS($AM$2:$AM$200,$G371)&gt;0,
    COUNTIFS($AN$2:$AN$200,$G371)&gt;0,
    COUNTIFS($AO$2:$AO$200,$G371)&gt;0,
    COUNTIFS($AP$2:$AP$200,$G371)&gt;0,
    COUNTIFS($AQ$2:$AQ$200,$G371)&gt;0,
    COUNTIFS($AR$2:$AR$200,$G371)&gt;0,
    COUNTIFS($AS$2:$AS$200,$G371)&gt;0,
    COUNTIFS($AT$2:$AT$200,$G371)&gt;0,
    COUNTIFS($AU$2:$AU$200,$G371)&gt;0,
    COUNTIFS($AV$2:$AV$200,$G371)&gt;0,
    COUNTIFS($AW$2:$AW$200,$G371)&gt;0,
    COUNTIFS($AX$2:$AX$200,$G371)&gt;0,
    COUNTIFS($AY$2:$AY$200,$G371)&gt;0,
    COUNTIFS($AZ$2:$AZ$200,$G371)&gt;0,
    COUNTIFS($BA$2:$BA$200,$G371)&gt;0,
    COUNTIFS($BB$2:$BB$200,$G371)&gt;0,
    COUNTIFS($BC$2:$BC$200,$G371)&gt;0,
    COUNTIFS($BD$2:$BD$200,$G371)&gt;0,
    COUNTIFS($BE$2:$BE$200,$G371)&gt;0,
    COUNTIFS($BF$2:$BF$200,$G371)&gt;0,
    COUNTIFS($BG$2:$BG$200,$G371)&gt;0,
    COUNTIFS($BH$2:$BH$200,$G371)&gt;0,
    COUNTIFS($BI$2:$BI$200,$G371)&gt;0,
    COUNTIFS($BJ$2:$BJ$200,$G371)&gt;0,
    COUNTIFS($BK$2:$BK$200,$G371)&gt;0,
    COUNTIFS($BL$2:$BL$200,$G371)&gt;0,
    COUNTIFS($BM$2:$BM$200,$G371)&gt;0,
   ),
  0)
 ),
"")</f>
        <v>Fractius</v>
      </c>
      <c r="D371" s="2" t="str" cm="1">
        <f t="array" aca="1" ref="D371" ca="1">IFERROR(
 INDEX(
  _xlfn._xlws.FILTER($V$1:$AW$1,
   TRANSPOSE(
    CHOOSE({1;2;3;4;5;6;7;8;9;10;11;12;13;14;15;16;17;18;19;20;21;22;23;24;25;26;27;28},
     COUNTIFS($V$2:$V$200,$G371)&gt;0,
     COUNTIFS($W$2:$W$200,$G371)&gt;0,
     COUNTIFS($X$2:$X$200,$G371)&gt;0,
     COUNTIFS($Y$2:$Y$200,$G371)&gt;0,
     COUNTIFS($Z$2:$Z$200,$G371)&gt;0,
     COUNTIFS($AA$2:$AA$200,$G371)&gt;0,
     COUNTIFS($AB$2:$AB$200,$G371)&gt;0,
     COUNTIFS($AC$2:$AC$200,$G371)&gt;0,
     COUNTIFS($AD$2:$AD$200,$G371)&gt;0,
     COUNTIFS($AE$2:$AE$200,$G371)&gt;0,
     COUNTIFS($AF$2:$AF$200,$G371)&gt;0,
     COUNTIFS($AG$2:$AG$200,$G371)&gt;0,
     COUNTIFS($AH$2:$AH$200,$G371)&gt;0,
     COUNTIFS($AI$2:$AI$200,$G371)&gt;0,
     COUNTIFS($AJ$2:$AJ$200,$G371)&gt;0,
     COUNTIFS($AK$2:$AK$200,$G371)&gt;0,
     COUNTIFS($AL$2:$AL$200,$G371)&gt;0,
     COUNTIFS($AM$2:$AM$200,$G371)&gt;0,
     COUNTIFS($AN$2:$AN$200,$G371)&gt;0,
     COUNTIFS($AO$2:$AO$200,$G371)&gt;0,
     COUNTIFS($AP$2:$AP$200,$G371)&gt;0,
     COUNTIFS($AQ$2:$AQ$200,$G371)&gt;0,
     COUNTIFS($AR$2:$AR$200,$G371)&gt;0,
     COUNTIFS($AS$2:$AS$200,$G371)&gt;0,
     COUNTIFS($AT$2:$AT$200,$G371)&gt;0,
     COUNTIFS($AU$2:$AU$200,$G371)&gt;0,
     COUNTIFS($AV$2:$AV$200,$G371)&gt;0,
     COUNTIFS($AW$2:$AW$200,$G371)&gt;0
   )),
  ),
  2
 ),
"")</f>
        <v/>
      </c>
      <c r="E371" s="2" t="str" cm="1">
        <f t="array" aca="1" ref="E371" ca="1">IFERROR(
 INDEX($V$1:$AW$1,
  _xlfn.AGGREGATE(15,6,
   (COLUMN($V$1:$AW$1)-COLUMN($V$1)+1)/
   TRANSPOSE(
    CHOOSE({1;2;3;4;5;6;7;8;9;10;11;12;13;14;15;16;17;18;19;20;21;22;23;24;25;26;27;28},
     COUNTIFS($V$2:$V$200,$G371)&gt;0,
     COUNTIFS($W$2:$W$200,$G371)&gt;0,
     COUNTIFS($X$2:$X$200,$G371)&gt;0,
     COUNTIFS($Y$2:$Y$200,$G371)&gt;0,
     COUNTIFS($Z$2:$Z$200,$G371)&gt;0,
     COUNTIFS($AA$2:$AA$200,$G371)&gt;0,
     COUNTIFS($AB$2:$AB$200,$G371)&gt;0,
     COUNTIFS($AC$2:$AC$200,$G371)&gt;0,
     COUNTIFS($AD$2:$AD$200,$G371)&gt;0,
     COUNTIFS($AE$2:$AE$200,$G371)&gt;0,
     COUNTIFS($AF$2:$AF$200,$G371)&gt;0,
     COUNTIFS($AG$2:$AG$200,$G371)&gt;0,
     COUNTIFS($AH$2:$AH$200,$G371)&gt;0,
     COUNTIFS($AI$2:$AI$200,$G371)&gt;0,
     COUNTIFS($AJ$2:$AJ$200,$G371)&gt;0,
     COUNTIFS($AK$2:$AK$200,$G371)&gt;0,
     COUNTIFS($AL$2:$AL$200,$G371)&gt;0,
     COUNTIFS($AM$2:$AM$200,$G371)&gt;0,
     COUNTIFS($AN$2:$AN$200,$G371)&gt;0,
     COUNTIFS($AO$2:$AO$200,$G371)&gt;0,
     COUNTIFS($AP$2:$AP$200,$G371)&gt;0,
     COUNTIFS($AQ$2:$AQ$200,$G371)&gt;0,
     COUNTIFS($AR$2:$AR$200,$G371)&gt;0,
     COUNTIFS($AS$2:$AS$200,$G371)&gt;0,
     COUNTIFS($AT$2:$AT$200,$G371)&gt;0,
     COUNTIFS($AU$2:$AU$200,$G371)&gt;0,
     COUNTIFS($AV$2:$AV$200,$G371)&gt;0,
     COUNTIFS($AW$2:$AW$200,$G371)&gt;0
   )),
  3)
 ),
"")</f>
        <v/>
      </c>
      <c r="F371" s="2" t="str" cm="1">
        <f t="array" aca="1" ref="F371" ca="1">IFERROR(
 INDEX($V$1:$AW$1,
  _xlfn.AGGREGATE(15,6,
   (COLUMN($V$1:$AW$1)-COLUMN($V$1)+1)/
   TRANSPOSE(
    CHOOSE({1;2;3;4;5;6;7;8;9;10;11;12;13;14;15;16;17;18;19;20;21;22;23;24;25;26;27;28},
     COUNTIFS($V$2:$V$200,$G371)&gt;0,
     COUNTIFS($W$2:$W$200,$G371)&gt;0,
     COUNTIFS($X$2:$X$200,$G371)&gt;0,
     COUNTIFS($Y$2:$Y$200,$G371)&gt;0,
     COUNTIFS($Z$2:$Z$200,$G371)&gt;0,
     COUNTIFS($AA$2:$AA$200,$G371)&gt;0,
     COUNTIFS($AB$2:$AB$200,$G371)&gt;0,
     COUNTIFS($AC$2:$AC$200,$G371)&gt;0,
     COUNTIFS($AD$2:$AD$200,$G371)&gt;0,
     COUNTIFS($AE$2:$AE$200,$G371)&gt;0,
     COUNTIFS($AF$2:$AF$200,$G371)&gt;0,
     COUNTIFS($AG$2:$AG$200,$G371)&gt;0,
     COUNTIFS($AH$2:$AH$200,$G371)&gt;0,
     COUNTIFS($AI$2:$AI$200,$G371)&gt;0,
     COUNTIFS($AJ$2:$AJ$200,$G371)&gt;0,
     COUNTIFS($AK$2:$AK$200,$G371)&gt;0,
     COUNTIFS($AL$2:$AL$200,$G371)&gt;0,
     COUNTIFS($AM$2:$AM$200,$G371)&gt;0,
     COUNTIFS($AN$2:$AN$200,$G371)&gt;0,
     COUNTIFS($AO$2:$AO$200,$G371)&gt;0,
     COUNTIFS($AP$2:$AP$200,$G371)&gt;0,
     COUNTIFS($AQ$2:$AQ$200,$G371)&gt;0,
     COUNTIFS($AR$2:$AR$200,$G371)&gt;0,
     COUNTIFS($AS$2:$AS$200,$G371)&gt;0,
     COUNTIFS($AT$2:$AT$200,$G371)&gt;0,
     COUNTIFS($AU$2:$AU$200,$G371)&gt;0,
     COUNTIFS($AV$2:$AV$200,$G371)&gt;0,
     COUNTIFS($AW$2:$AW$200,$G371)&gt;0
   )),
  4)
 ),
"")</f>
        <v/>
      </c>
      <c r="G371" t="str">
        <f ca="1"/>
        <v>Root Sliver</v>
      </c>
      <c r="EU371" t="str">
        <f ca="1"/>
        <v>World at War</v>
      </c>
      <c r="EX371" t="str">
        <f ca="1"/>
        <v>Root Sliver</v>
      </c>
    </row>
    <row r="372" spans="1:154" x14ac:dyDescent="0.25">
      <c r="A372" s="2" t="str">
        <f t="shared" ca="1" si="16"/>
        <v>5</v>
      </c>
      <c r="B372" s="2">
        <f t="shared" ca="1" si="17"/>
        <v>1</v>
      </c>
      <c r="C372" s="2" t="str">
        <f ca="1">IFERROR(
 INDEX($V$1:$BL$1,
  MATCH(TRUE,
   CHOOSE({1;2;3;4;5;6;7;8;9;10;11;12;13;14;15;16;17;18;19;20;21;22;23;24;25;26;27;28;29;30;31;32;33;34;35;36;37;38;39;40;41;42;43},
    COUNTIFS($V$2:$V$200,$G372)&gt;0,
    COUNTIFS($W$2:$W$200,$G372)&gt;0,
    COUNTIFS($X$2:$X$200,$G372)&gt;0,
    COUNTIFS($Y$2:$Y$200,$G372)&gt;0,
    COUNTIFS($Z$2:$Z$200,$G372)&gt;0,
    COUNTIFS($AA$2:$AA$200,$G372)&gt;0,
    COUNTIFS($AB$2:$AB$200,$G372)&gt;0,
    COUNTIFS($AC$2:$AC$200,$G372)&gt;0,
    COUNTIFS($AD$2:$AD$200,$G372)&gt;0,
    COUNTIFS($AE$2:$AE$200,$G372)&gt;0,
    COUNTIFS($AF$2:$AF$200,$G372)&gt;0,
    COUNTIFS($AG$2:$AG$200,$G372)&gt;0,
    COUNTIFS($AH$2:$AH$200,$G372)&gt;0,
    COUNTIFS($AI$2:$AI$200,$G372)&gt;0,
    COUNTIFS($AJ$2:$AJ$200,$G372)&gt;0,
    COUNTIFS($AK$2:$AK$200,$G372)&gt;0,
    COUNTIFS($AL$2:$AL$200,$G372)&gt;0,
    COUNTIFS($AM$2:$AM$200,$G372)&gt;0,
    COUNTIFS($AN$2:$AN$200,$G372)&gt;0,
    COUNTIFS($AO$2:$AO$200,$G372)&gt;0,
    COUNTIFS($AP$2:$AP$200,$G372)&gt;0,
    COUNTIFS($AQ$2:$AQ$200,$G372)&gt;0,
    COUNTIFS($AR$2:$AR$200,$G372)&gt;0,
    COUNTIFS($AS$2:$AS$200,$G372)&gt;0,
    COUNTIFS($AT$2:$AT$200,$G372)&gt;0,
    COUNTIFS($AU$2:$AU$200,$G372)&gt;0,
    COUNTIFS($AV$2:$AV$200,$G372)&gt;0,
    COUNTIFS($AW$2:$AW$200,$G372)&gt;0,
    COUNTIFS($AX$2:$AX$200,$G372)&gt;0,
    COUNTIFS($AY$2:$AY$200,$G372)&gt;0,
    COUNTIFS($AZ$2:$AZ$200,$G372)&gt;0,
    COUNTIFS($BA$2:$BA$200,$G372)&gt;0,
    COUNTIFS($BB$2:$BB$200,$G372)&gt;0,
    COUNTIFS($BC$2:$BC$200,$G372)&gt;0,
    COUNTIFS($BD$2:$BD$200,$G372)&gt;0,
    COUNTIFS($BE$2:$BE$200,$G372)&gt;0,
    COUNTIFS($BF$2:$BF$200,$G372)&gt;0,
    COUNTIFS($BG$2:$BG$200,$G372)&gt;0,
    COUNTIFS($BH$2:$BH$200,$G372)&gt;0,
    COUNTIFS($BI$2:$BI$200,$G372)&gt;0,
    COUNTIFS($BJ$2:$BJ$200,$G372)&gt;0,
    COUNTIFS($BK$2:$BK$200,$G372)&gt;0,
    COUNTIFS($BL$2:$BL$200,$G372)&gt;0,
    COUNTIFS($BM$2:$BM$200,$G372)&gt;0,
   ),
  0)
 ),
"")</f>
        <v>Zuko</v>
      </c>
      <c r="D372" s="2" t="str" cm="1">
        <f t="array" aca="1" ref="D372" ca="1">IFERROR(
 INDEX(
  _xlfn._xlws.FILTER($V$1:$AW$1,
   TRANSPOSE(
    CHOOSE({1;2;3;4;5;6;7;8;9;10;11;12;13;14;15;16;17;18;19;20;21;22;23;24;25;26;27;28},
     COUNTIFS($V$2:$V$200,$G372)&gt;0,
     COUNTIFS($W$2:$W$200,$G372)&gt;0,
     COUNTIFS($X$2:$X$200,$G372)&gt;0,
     COUNTIFS($Y$2:$Y$200,$G372)&gt;0,
     COUNTIFS($Z$2:$Z$200,$G372)&gt;0,
     COUNTIFS($AA$2:$AA$200,$G372)&gt;0,
     COUNTIFS($AB$2:$AB$200,$G372)&gt;0,
     COUNTIFS($AC$2:$AC$200,$G372)&gt;0,
     COUNTIFS($AD$2:$AD$200,$G372)&gt;0,
     COUNTIFS($AE$2:$AE$200,$G372)&gt;0,
     COUNTIFS($AF$2:$AF$200,$G372)&gt;0,
     COUNTIFS($AG$2:$AG$200,$G372)&gt;0,
     COUNTIFS($AH$2:$AH$200,$G372)&gt;0,
     COUNTIFS($AI$2:$AI$200,$G372)&gt;0,
     COUNTIFS($AJ$2:$AJ$200,$G372)&gt;0,
     COUNTIFS($AK$2:$AK$200,$G372)&gt;0,
     COUNTIFS($AL$2:$AL$200,$G372)&gt;0,
     COUNTIFS($AM$2:$AM$200,$G372)&gt;0,
     COUNTIFS($AN$2:$AN$200,$G372)&gt;0,
     COUNTIFS($AO$2:$AO$200,$G372)&gt;0,
     COUNTIFS($AP$2:$AP$200,$G372)&gt;0,
     COUNTIFS($AQ$2:$AQ$200,$G372)&gt;0,
     COUNTIFS($AR$2:$AR$200,$G372)&gt;0,
     COUNTIFS($AS$2:$AS$200,$G372)&gt;0,
     COUNTIFS($AT$2:$AT$200,$G372)&gt;0,
     COUNTIFS($AU$2:$AU$200,$G372)&gt;0,
     COUNTIFS($AV$2:$AV$200,$G372)&gt;0,
     COUNTIFS($AW$2:$AW$200,$G372)&gt;0
   )),
  ),
  2
 ),
"")</f>
        <v/>
      </c>
      <c r="E372" s="2" t="str" cm="1">
        <f t="array" aca="1" ref="E372" ca="1">IFERROR(
 INDEX($V$1:$AW$1,
  _xlfn.AGGREGATE(15,6,
   (COLUMN($V$1:$AW$1)-COLUMN($V$1)+1)/
   TRANSPOSE(
    CHOOSE({1;2;3;4;5;6;7;8;9;10;11;12;13;14;15;16;17;18;19;20;21;22;23;24;25;26;27;28},
     COUNTIFS($V$2:$V$200,$G372)&gt;0,
     COUNTIFS($W$2:$W$200,$G372)&gt;0,
     COUNTIFS($X$2:$X$200,$G372)&gt;0,
     COUNTIFS($Y$2:$Y$200,$G372)&gt;0,
     COUNTIFS($Z$2:$Z$200,$G372)&gt;0,
     COUNTIFS($AA$2:$AA$200,$G372)&gt;0,
     COUNTIFS($AB$2:$AB$200,$G372)&gt;0,
     COUNTIFS($AC$2:$AC$200,$G372)&gt;0,
     COUNTIFS($AD$2:$AD$200,$G372)&gt;0,
     COUNTIFS($AE$2:$AE$200,$G372)&gt;0,
     COUNTIFS($AF$2:$AF$200,$G372)&gt;0,
     COUNTIFS($AG$2:$AG$200,$G372)&gt;0,
     COUNTIFS($AH$2:$AH$200,$G372)&gt;0,
     COUNTIFS($AI$2:$AI$200,$G372)&gt;0,
     COUNTIFS($AJ$2:$AJ$200,$G372)&gt;0,
     COUNTIFS($AK$2:$AK$200,$G372)&gt;0,
     COUNTIFS($AL$2:$AL$200,$G372)&gt;0,
     COUNTIFS($AM$2:$AM$200,$G372)&gt;0,
     COUNTIFS($AN$2:$AN$200,$G372)&gt;0,
     COUNTIFS($AO$2:$AO$200,$G372)&gt;0,
     COUNTIFS($AP$2:$AP$200,$G372)&gt;0,
     COUNTIFS($AQ$2:$AQ$200,$G372)&gt;0,
     COUNTIFS($AR$2:$AR$200,$G372)&gt;0,
     COUNTIFS($AS$2:$AS$200,$G372)&gt;0,
     COUNTIFS($AT$2:$AT$200,$G372)&gt;0,
     COUNTIFS($AU$2:$AU$200,$G372)&gt;0,
     COUNTIFS($AV$2:$AV$200,$G372)&gt;0,
     COUNTIFS($AW$2:$AW$200,$G372)&gt;0
   )),
  3)
 ),
"")</f>
        <v/>
      </c>
      <c r="F372" s="2" t="str" cm="1">
        <f t="array" aca="1" ref="F372" ca="1">IFERROR(
 INDEX($V$1:$AW$1,
  _xlfn.AGGREGATE(15,6,
   (COLUMN($V$1:$AW$1)-COLUMN($V$1)+1)/
   TRANSPOSE(
    CHOOSE({1;2;3;4;5;6;7;8;9;10;11;12;13;14;15;16;17;18;19;20;21;22;23;24;25;26;27;28},
     COUNTIFS($V$2:$V$200,$G372)&gt;0,
     COUNTIFS($W$2:$W$200,$G372)&gt;0,
     COUNTIFS($X$2:$X$200,$G372)&gt;0,
     COUNTIFS($Y$2:$Y$200,$G372)&gt;0,
     COUNTIFS($Z$2:$Z$200,$G372)&gt;0,
     COUNTIFS($AA$2:$AA$200,$G372)&gt;0,
     COUNTIFS($AB$2:$AB$200,$G372)&gt;0,
     COUNTIFS($AC$2:$AC$200,$G372)&gt;0,
     COUNTIFS($AD$2:$AD$200,$G372)&gt;0,
     COUNTIFS($AE$2:$AE$200,$G372)&gt;0,
     COUNTIFS($AF$2:$AF$200,$G372)&gt;0,
     COUNTIFS($AG$2:$AG$200,$G372)&gt;0,
     COUNTIFS($AH$2:$AH$200,$G372)&gt;0,
     COUNTIFS($AI$2:$AI$200,$G372)&gt;0,
     COUNTIFS($AJ$2:$AJ$200,$G372)&gt;0,
     COUNTIFS($AK$2:$AK$200,$G372)&gt;0,
     COUNTIFS($AL$2:$AL$200,$G372)&gt;0,
     COUNTIFS($AM$2:$AM$200,$G372)&gt;0,
     COUNTIFS($AN$2:$AN$200,$G372)&gt;0,
     COUNTIFS($AO$2:$AO$200,$G372)&gt;0,
     COUNTIFS($AP$2:$AP$200,$G372)&gt;0,
     COUNTIFS($AQ$2:$AQ$200,$G372)&gt;0,
     COUNTIFS($AR$2:$AR$200,$G372)&gt;0,
     COUNTIFS($AS$2:$AS$200,$G372)&gt;0,
     COUNTIFS($AT$2:$AT$200,$G372)&gt;0,
     COUNTIFS($AU$2:$AU$200,$G372)&gt;0,
     COUNTIFS($AV$2:$AV$200,$G372)&gt;0,
     COUNTIFS($AW$2:$AW$200,$G372)&gt;0
   )),
  4)
 ),
"")</f>
        <v/>
      </c>
      <c r="G372" t="str">
        <f ca="1"/>
        <v>Rose, Cutthroat Raider</v>
      </c>
      <c r="EU372" t="str">
        <f ca="1"/>
        <v>Xander's Lounge</v>
      </c>
      <c r="EX372" t="str">
        <f ca="1"/>
        <v>Rose, Cutthroat Raider</v>
      </c>
    </row>
    <row r="373" spans="1:154" x14ac:dyDescent="0.25">
      <c r="A373" s="2" t="str">
        <f t="shared" ca="1" si="16"/>
        <v>3</v>
      </c>
      <c r="B373" s="2">
        <f t="shared" ca="1" si="17"/>
        <v>1</v>
      </c>
      <c r="C373" s="2" t="str">
        <f ca="1">IFERROR(
 INDEX($V$1:$BL$1,
  MATCH(TRUE,
   CHOOSE({1;2;3;4;5;6;7;8;9;10;11;12;13;14;15;16;17;18;19;20;21;22;23;24;25;26;27;28;29;30;31;32;33;34;35;36;37;38;39;40;41;42;43},
    COUNTIFS($V$2:$V$200,$G373)&gt;0,
    COUNTIFS($W$2:$W$200,$G373)&gt;0,
    COUNTIFS($X$2:$X$200,$G373)&gt;0,
    COUNTIFS($Y$2:$Y$200,$G373)&gt;0,
    COUNTIFS($Z$2:$Z$200,$G373)&gt;0,
    COUNTIFS($AA$2:$AA$200,$G373)&gt;0,
    COUNTIFS($AB$2:$AB$200,$G373)&gt;0,
    COUNTIFS($AC$2:$AC$200,$G373)&gt;0,
    COUNTIFS($AD$2:$AD$200,$G373)&gt;0,
    COUNTIFS($AE$2:$AE$200,$G373)&gt;0,
    COUNTIFS($AF$2:$AF$200,$G373)&gt;0,
    COUNTIFS($AG$2:$AG$200,$G373)&gt;0,
    COUNTIFS($AH$2:$AH$200,$G373)&gt;0,
    COUNTIFS($AI$2:$AI$200,$G373)&gt;0,
    COUNTIFS($AJ$2:$AJ$200,$G373)&gt;0,
    COUNTIFS($AK$2:$AK$200,$G373)&gt;0,
    COUNTIFS($AL$2:$AL$200,$G373)&gt;0,
    COUNTIFS($AM$2:$AM$200,$G373)&gt;0,
    COUNTIFS($AN$2:$AN$200,$G373)&gt;0,
    COUNTIFS($AO$2:$AO$200,$G373)&gt;0,
    COUNTIFS($AP$2:$AP$200,$G373)&gt;0,
    COUNTIFS($AQ$2:$AQ$200,$G373)&gt;0,
    COUNTIFS($AR$2:$AR$200,$G373)&gt;0,
    COUNTIFS($AS$2:$AS$200,$G373)&gt;0,
    COUNTIFS($AT$2:$AT$200,$G373)&gt;0,
    COUNTIFS($AU$2:$AU$200,$G373)&gt;0,
    COUNTIFS($AV$2:$AV$200,$G373)&gt;0,
    COUNTIFS($AW$2:$AW$200,$G373)&gt;0,
    COUNTIFS($AX$2:$AX$200,$G373)&gt;0,
    COUNTIFS($AY$2:$AY$200,$G373)&gt;0,
    COUNTIFS($AZ$2:$AZ$200,$G373)&gt;0,
    COUNTIFS($BA$2:$BA$200,$G373)&gt;0,
    COUNTIFS($BB$2:$BB$200,$G373)&gt;0,
    COUNTIFS($BC$2:$BC$200,$G373)&gt;0,
    COUNTIFS($BD$2:$BD$200,$G373)&gt;0,
    COUNTIFS($BE$2:$BE$200,$G373)&gt;0,
    COUNTIFS($BF$2:$BF$200,$G373)&gt;0,
    COUNTIFS($BG$2:$BG$200,$G373)&gt;0,
    COUNTIFS($BH$2:$BH$200,$G373)&gt;0,
    COUNTIFS($BI$2:$BI$200,$G373)&gt;0,
    COUNTIFS($BJ$2:$BJ$200,$G373)&gt;0,
    COUNTIFS($BK$2:$BK$200,$G373)&gt;0,
    COUNTIFS($BL$2:$BL$200,$G373)&gt;0,
    COUNTIFS($BM$2:$BM$200,$G373)&gt;0,
   ),
  0)
 ),
"")</f>
        <v>JhoiraB</v>
      </c>
      <c r="D373" s="2" t="str" cm="1">
        <f t="array" aca="1" ref="D373" ca="1">IFERROR(
 INDEX(
  _xlfn._xlws.FILTER($V$1:$AW$1,
   TRANSPOSE(
    CHOOSE({1;2;3;4;5;6;7;8;9;10;11;12;13;14;15;16;17;18;19;20;21;22;23;24;25;26;27;28},
     COUNTIFS($V$2:$V$200,$G373)&gt;0,
     COUNTIFS($W$2:$W$200,$G373)&gt;0,
     COUNTIFS($X$2:$X$200,$G373)&gt;0,
     COUNTIFS($Y$2:$Y$200,$G373)&gt;0,
     COUNTIFS($Z$2:$Z$200,$G373)&gt;0,
     COUNTIFS($AA$2:$AA$200,$G373)&gt;0,
     COUNTIFS($AB$2:$AB$200,$G373)&gt;0,
     COUNTIFS($AC$2:$AC$200,$G373)&gt;0,
     COUNTIFS($AD$2:$AD$200,$G373)&gt;0,
     COUNTIFS($AE$2:$AE$200,$G373)&gt;0,
     COUNTIFS($AF$2:$AF$200,$G373)&gt;0,
     COUNTIFS($AG$2:$AG$200,$G373)&gt;0,
     COUNTIFS($AH$2:$AH$200,$G373)&gt;0,
     COUNTIFS($AI$2:$AI$200,$G373)&gt;0,
     COUNTIFS($AJ$2:$AJ$200,$G373)&gt;0,
     COUNTIFS($AK$2:$AK$200,$G373)&gt;0,
     COUNTIFS($AL$2:$AL$200,$G373)&gt;0,
     COUNTIFS($AM$2:$AM$200,$G373)&gt;0,
     COUNTIFS($AN$2:$AN$200,$G373)&gt;0,
     COUNTIFS($AO$2:$AO$200,$G373)&gt;0,
     COUNTIFS($AP$2:$AP$200,$G373)&gt;0,
     COUNTIFS($AQ$2:$AQ$200,$G373)&gt;0,
     COUNTIFS($AR$2:$AR$200,$G373)&gt;0,
     COUNTIFS($AS$2:$AS$200,$G373)&gt;0,
     COUNTIFS($AT$2:$AT$200,$G373)&gt;0,
     COUNTIFS($AU$2:$AU$200,$G373)&gt;0,
     COUNTIFS($AV$2:$AV$200,$G373)&gt;0,
     COUNTIFS($AW$2:$AW$200,$G373)&gt;0
   )),
  ),
  2
 ),
"")</f>
        <v/>
      </c>
      <c r="E373" s="2" t="str" cm="1">
        <f t="array" aca="1" ref="E373" ca="1">IFERROR(
 INDEX($V$1:$AW$1,
  _xlfn.AGGREGATE(15,6,
   (COLUMN($V$1:$AW$1)-COLUMN($V$1)+1)/
   TRANSPOSE(
    CHOOSE({1;2;3;4;5;6;7;8;9;10;11;12;13;14;15;16;17;18;19;20;21;22;23;24;25;26;27;28},
     COUNTIFS($V$2:$V$200,$G373)&gt;0,
     COUNTIFS($W$2:$W$200,$G373)&gt;0,
     COUNTIFS($X$2:$X$200,$G373)&gt;0,
     COUNTIFS($Y$2:$Y$200,$G373)&gt;0,
     COUNTIFS($Z$2:$Z$200,$G373)&gt;0,
     COUNTIFS($AA$2:$AA$200,$G373)&gt;0,
     COUNTIFS($AB$2:$AB$200,$G373)&gt;0,
     COUNTIFS($AC$2:$AC$200,$G373)&gt;0,
     COUNTIFS($AD$2:$AD$200,$G373)&gt;0,
     COUNTIFS($AE$2:$AE$200,$G373)&gt;0,
     COUNTIFS($AF$2:$AF$200,$G373)&gt;0,
     COUNTIFS($AG$2:$AG$200,$G373)&gt;0,
     COUNTIFS($AH$2:$AH$200,$G373)&gt;0,
     COUNTIFS($AI$2:$AI$200,$G373)&gt;0,
     COUNTIFS($AJ$2:$AJ$200,$G373)&gt;0,
     COUNTIFS($AK$2:$AK$200,$G373)&gt;0,
     COUNTIFS($AL$2:$AL$200,$G373)&gt;0,
     COUNTIFS($AM$2:$AM$200,$G373)&gt;0,
     COUNTIFS($AN$2:$AN$200,$G373)&gt;0,
     COUNTIFS($AO$2:$AO$200,$G373)&gt;0,
     COUNTIFS($AP$2:$AP$200,$G373)&gt;0,
     COUNTIFS($AQ$2:$AQ$200,$G373)&gt;0,
     COUNTIFS($AR$2:$AR$200,$G373)&gt;0,
     COUNTIFS($AS$2:$AS$200,$G373)&gt;0,
     COUNTIFS($AT$2:$AT$200,$G373)&gt;0,
     COUNTIFS($AU$2:$AU$200,$G373)&gt;0,
     COUNTIFS($AV$2:$AV$200,$G373)&gt;0,
     COUNTIFS($AW$2:$AW$200,$G373)&gt;0
   )),
  3)
 ),
"")</f>
        <v/>
      </c>
      <c r="F373" s="2" t="str" cm="1">
        <f t="array" aca="1" ref="F373" ca="1">IFERROR(
 INDEX($V$1:$AW$1,
  _xlfn.AGGREGATE(15,6,
   (COLUMN($V$1:$AW$1)-COLUMN($V$1)+1)/
   TRANSPOSE(
    CHOOSE({1;2;3;4;5;6;7;8;9;10;11;12;13;14;15;16;17;18;19;20;21;22;23;24;25;26;27;28},
     COUNTIFS($V$2:$V$200,$G373)&gt;0,
     COUNTIFS($W$2:$W$200,$G373)&gt;0,
     COUNTIFS($X$2:$X$200,$G373)&gt;0,
     COUNTIFS($Y$2:$Y$200,$G373)&gt;0,
     COUNTIFS($Z$2:$Z$200,$G373)&gt;0,
     COUNTIFS($AA$2:$AA$200,$G373)&gt;0,
     COUNTIFS($AB$2:$AB$200,$G373)&gt;0,
     COUNTIFS($AC$2:$AC$200,$G373)&gt;0,
     COUNTIFS($AD$2:$AD$200,$G373)&gt;0,
     COUNTIFS($AE$2:$AE$200,$G373)&gt;0,
     COUNTIFS($AF$2:$AF$200,$G373)&gt;0,
     COUNTIFS($AG$2:$AG$200,$G373)&gt;0,
     COUNTIFS($AH$2:$AH$200,$G373)&gt;0,
     COUNTIFS($AI$2:$AI$200,$G373)&gt;0,
     COUNTIFS($AJ$2:$AJ$200,$G373)&gt;0,
     COUNTIFS($AK$2:$AK$200,$G373)&gt;0,
     COUNTIFS($AL$2:$AL$200,$G373)&gt;0,
     COUNTIFS($AM$2:$AM$200,$G373)&gt;0,
     COUNTIFS($AN$2:$AN$200,$G373)&gt;0,
     COUNTIFS($AO$2:$AO$200,$G373)&gt;0,
     COUNTIFS($AP$2:$AP$200,$G373)&gt;0,
     COUNTIFS($AQ$2:$AQ$200,$G373)&gt;0,
     COUNTIFS($AR$2:$AR$200,$G373)&gt;0,
     COUNTIFS($AS$2:$AS$200,$G373)&gt;0,
     COUNTIFS($AT$2:$AT$200,$G373)&gt;0,
     COUNTIFS($AU$2:$AU$200,$G373)&gt;0,
     COUNTIFS($AV$2:$AV$200,$G373)&gt;0,
     COUNTIFS($AW$2:$AW$200,$G373)&gt;0
   )),
  4)
 ),
"")</f>
        <v/>
      </c>
      <c r="G373" t="str">
        <f ca="1"/>
        <v>Rotating Fireplace</v>
      </c>
      <c r="EU373" t="str">
        <f ca="1"/>
        <v>Yavimaya, Cradle of Growth</v>
      </c>
      <c r="EX373" t="str">
        <f ca="1"/>
        <v>Rotating Fireplace</v>
      </c>
    </row>
    <row r="374" spans="1:154" x14ac:dyDescent="0.25">
      <c r="A374" s="2" t="str">
        <f t="shared" ca="1" si="16"/>
        <v>5</v>
      </c>
      <c r="B374" s="2">
        <f t="shared" ca="1" si="17"/>
        <v>1</v>
      </c>
      <c r="C374" s="2" t="str">
        <f ca="1">IFERROR(
 INDEX($V$1:$BL$1,
  MATCH(TRUE,
   CHOOSE({1;2;3;4;5;6;7;8;9;10;11;12;13;14;15;16;17;18;19;20;21;22;23;24;25;26;27;28;29;30;31;32;33;34;35;36;37;38;39;40;41;42;43},
    COUNTIFS($V$2:$V$200,$G374)&gt;0,
    COUNTIFS($W$2:$W$200,$G374)&gt;0,
    COUNTIFS($X$2:$X$200,$G374)&gt;0,
    COUNTIFS($Y$2:$Y$200,$G374)&gt;0,
    COUNTIFS($Z$2:$Z$200,$G374)&gt;0,
    COUNTIFS($AA$2:$AA$200,$G374)&gt;0,
    COUNTIFS($AB$2:$AB$200,$G374)&gt;0,
    COUNTIFS($AC$2:$AC$200,$G374)&gt;0,
    COUNTIFS($AD$2:$AD$200,$G374)&gt;0,
    COUNTIFS($AE$2:$AE$200,$G374)&gt;0,
    COUNTIFS($AF$2:$AF$200,$G374)&gt;0,
    COUNTIFS($AG$2:$AG$200,$G374)&gt;0,
    COUNTIFS($AH$2:$AH$200,$G374)&gt;0,
    COUNTIFS($AI$2:$AI$200,$G374)&gt;0,
    COUNTIFS($AJ$2:$AJ$200,$G374)&gt;0,
    COUNTIFS($AK$2:$AK$200,$G374)&gt;0,
    COUNTIFS($AL$2:$AL$200,$G374)&gt;0,
    COUNTIFS($AM$2:$AM$200,$G374)&gt;0,
    COUNTIFS($AN$2:$AN$200,$G374)&gt;0,
    COUNTIFS($AO$2:$AO$200,$G374)&gt;0,
    COUNTIFS($AP$2:$AP$200,$G374)&gt;0,
    COUNTIFS($AQ$2:$AQ$200,$G374)&gt;0,
    COUNTIFS($AR$2:$AR$200,$G374)&gt;0,
    COUNTIFS($AS$2:$AS$200,$G374)&gt;0,
    COUNTIFS($AT$2:$AT$200,$G374)&gt;0,
    COUNTIFS($AU$2:$AU$200,$G374)&gt;0,
    COUNTIFS($AV$2:$AV$200,$G374)&gt;0,
    COUNTIFS($AW$2:$AW$200,$G374)&gt;0,
    COUNTIFS($AX$2:$AX$200,$G374)&gt;0,
    COUNTIFS($AY$2:$AY$200,$G374)&gt;0,
    COUNTIFS($AZ$2:$AZ$200,$G374)&gt;0,
    COUNTIFS($BA$2:$BA$200,$G374)&gt;0,
    COUNTIFS($BB$2:$BB$200,$G374)&gt;0,
    COUNTIFS($BC$2:$BC$200,$G374)&gt;0,
    COUNTIFS($BD$2:$BD$200,$G374)&gt;0,
    COUNTIFS($BE$2:$BE$200,$G374)&gt;0,
    COUNTIFS($BF$2:$BF$200,$G374)&gt;0,
    COUNTIFS($BG$2:$BG$200,$G374)&gt;0,
    COUNTIFS($BH$2:$BH$200,$G374)&gt;0,
    COUNTIFS($BI$2:$BI$200,$G374)&gt;0,
    COUNTIFS($BJ$2:$BJ$200,$G374)&gt;0,
    COUNTIFS($BK$2:$BK$200,$G374)&gt;0,
    COUNTIFS($BL$2:$BL$200,$G374)&gt;0,
    COUNTIFS($BM$2:$BM$200,$G374)&gt;0,
   ),
  0)
 ),
"")</f>
        <v>Fractius</v>
      </c>
      <c r="D374" s="2" t="str" cm="1">
        <f t="array" aca="1" ref="D374" ca="1">IFERROR(
 INDEX(
  _xlfn._xlws.FILTER($V$1:$AW$1,
   TRANSPOSE(
    CHOOSE({1;2;3;4;5;6;7;8;9;10;11;12;13;14;15;16;17;18;19;20;21;22;23;24;25;26;27;28},
     COUNTIFS($V$2:$V$200,$G374)&gt;0,
     COUNTIFS($W$2:$W$200,$G374)&gt;0,
     COUNTIFS($X$2:$X$200,$G374)&gt;0,
     COUNTIFS($Y$2:$Y$200,$G374)&gt;0,
     COUNTIFS($Z$2:$Z$200,$G374)&gt;0,
     COUNTIFS($AA$2:$AA$200,$G374)&gt;0,
     COUNTIFS($AB$2:$AB$200,$G374)&gt;0,
     COUNTIFS($AC$2:$AC$200,$G374)&gt;0,
     COUNTIFS($AD$2:$AD$200,$G374)&gt;0,
     COUNTIFS($AE$2:$AE$200,$G374)&gt;0,
     COUNTIFS($AF$2:$AF$200,$G374)&gt;0,
     COUNTIFS($AG$2:$AG$200,$G374)&gt;0,
     COUNTIFS($AH$2:$AH$200,$G374)&gt;0,
     COUNTIFS($AI$2:$AI$200,$G374)&gt;0,
     COUNTIFS($AJ$2:$AJ$200,$G374)&gt;0,
     COUNTIFS($AK$2:$AK$200,$G374)&gt;0,
     COUNTIFS($AL$2:$AL$200,$G374)&gt;0,
     COUNTIFS($AM$2:$AM$200,$G374)&gt;0,
     COUNTIFS($AN$2:$AN$200,$G374)&gt;0,
     COUNTIFS($AO$2:$AO$200,$G374)&gt;0,
     COUNTIFS($AP$2:$AP$200,$G374)&gt;0,
     COUNTIFS($AQ$2:$AQ$200,$G374)&gt;0,
     COUNTIFS($AR$2:$AR$200,$G374)&gt;0,
     COUNTIFS($AS$2:$AS$200,$G374)&gt;0,
     COUNTIFS($AT$2:$AT$200,$G374)&gt;0,
     COUNTIFS($AU$2:$AU$200,$G374)&gt;0,
     COUNTIFS($AV$2:$AV$200,$G374)&gt;0,
     COUNTIFS($AW$2:$AW$200,$G374)&gt;0
   )),
  ),
  2
 ),
"")</f>
        <v/>
      </c>
      <c r="E374" s="2" t="str" cm="1">
        <f t="array" aca="1" ref="E374" ca="1">IFERROR(
 INDEX($V$1:$AW$1,
  _xlfn.AGGREGATE(15,6,
   (COLUMN($V$1:$AW$1)-COLUMN($V$1)+1)/
   TRANSPOSE(
    CHOOSE({1;2;3;4;5;6;7;8;9;10;11;12;13;14;15;16;17;18;19;20;21;22;23;24;25;26;27;28},
     COUNTIFS($V$2:$V$200,$G374)&gt;0,
     COUNTIFS($W$2:$W$200,$G374)&gt;0,
     COUNTIFS($X$2:$X$200,$G374)&gt;0,
     COUNTIFS($Y$2:$Y$200,$G374)&gt;0,
     COUNTIFS($Z$2:$Z$200,$G374)&gt;0,
     COUNTIFS($AA$2:$AA$200,$G374)&gt;0,
     COUNTIFS($AB$2:$AB$200,$G374)&gt;0,
     COUNTIFS($AC$2:$AC$200,$G374)&gt;0,
     COUNTIFS($AD$2:$AD$200,$G374)&gt;0,
     COUNTIFS($AE$2:$AE$200,$G374)&gt;0,
     COUNTIFS($AF$2:$AF$200,$G374)&gt;0,
     COUNTIFS($AG$2:$AG$200,$G374)&gt;0,
     COUNTIFS($AH$2:$AH$200,$G374)&gt;0,
     COUNTIFS($AI$2:$AI$200,$G374)&gt;0,
     COUNTIFS($AJ$2:$AJ$200,$G374)&gt;0,
     COUNTIFS($AK$2:$AK$200,$G374)&gt;0,
     COUNTIFS($AL$2:$AL$200,$G374)&gt;0,
     COUNTIFS($AM$2:$AM$200,$G374)&gt;0,
     COUNTIFS($AN$2:$AN$200,$G374)&gt;0,
     COUNTIFS($AO$2:$AO$200,$G374)&gt;0,
     COUNTIFS($AP$2:$AP$200,$G374)&gt;0,
     COUNTIFS($AQ$2:$AQ$200,$G374)&gt;0,
     COUNTIFS($AR$2:$AR$200,$G374)&gt;0,
     COUNTIFS($AS$2:$AS$200,$G374)&gt;0,
     COUNTIFS($AT$2:$AT$200,$G374)&gt;0,
     COUNTIFS($AU$2:$AU$200,$G374)&gt;0,
     COUNTIFS($AV$2:$AV$200,$G374)&gt;0,
     COUNTIFS($AW$2:$AW$200,$G374)&gt;0
   )),
  3)
 ),
"")</f>
        <v/>
      </c>
      <c r="F374" s="2" t="str" cm="1">
        <f t="array" aca="1" ref="F374" ca="1">IFERROR(
 INDEX($V$1:$AW$1,
  _xlfn.AGGREGATE(15,6,
   (COLUMN($V$1:$AW$1)-COLUMN($V$1)+1)/
   TRANSPOSE(
    CHOOSE({1;2;3;4;5;6;7;8;9;10;11;12;13;14;15;16;17;18;19;20;21;22;23;24;25;26;27;28},
     COUNTIFS($V$2:$V$200,$G374)&gt;0,
     COUNTIFS($W$2:$W$200,$G374)&gt;0,
     COUNTIFS($X$2:$X$200,$G374)&gt;0,
     COUNTIFS($Y$2:$Y$200,$G374)&gt;0,
     COUNTIFS($Z$2:$Z$200,$G374)&gt;0,
     COUNTIFS($AA$2:$AA$200,$G374)&gt;0,
     COUNTIFS($AB$2:$AB$200,$G374)&gt;0,
     COUNTIFS($AC$2:$AC$200,$G374)&gt;0,
     COUNTIFS($AD$2:$AD$200,$G374)&gt;0,
     COUNTIFS($AE$2:$AE$200,$G374)&gt;0,
     COUNTIFS($AF$2:$AF$200,$G374)&gt;0,
     COUNTIFS($AG$2:$AG$200,$G374)&gt;0,
     COUNTIFS($AH$2:$AH$200,$G374)&gt;0,
     COUNTIFS($AI$2:$AI$200,$G374)&gt;0,
     COUNTIFS($AJ$2:$AJ$200,$G374)&gt;0,
     COUNTIFS($AK$2:$AK$200,$G374)&gt;0,
     COUNTIFS($AL$2:$AL$200,$G374)&gt;0,
     COUNTIFS($AM$2:$AM$200,$G374)&gt;0,
     COUNTIFS($AN$2:$AN$200,$G374)&gt;0,
     COUNTIFS($AO$2:$AO$200,$G374)&gt;0,
     COUNTIFS($AP$2:$AP$200,$G374)&gt;0,
     COUNTIFS($AQ$2:$AQ$200,$G374)&gt;0,
     COUNTIFS($AR$2:$AR$200,$G374)&gt;0,
     COUNTIFS($AS$2:$AS$200,$G374)&gt;0,
     COUNTIFS($AT$2:$AT$200,$G374)&gt;0,
     COUNTIFS($AU$2:$AU$200,$G374)&gt;0,
     COUNTIFS($AV$2:$AV$200,$G374)&gt;0,
     COUNTIFS($AW$2:$AW$200,$G374)&gt;0
   )),
  4)
 ),
"")</f>
        <v/>
      </c>
      <c r="G374" t="str">
        <f ca="1"/>
        <v>Sacred Foundry</v>
      </c>
      <c r="EU374" t="str">
        <f ca="1"/>
        <v>Yawgmoth, Thran Physician</v>
      </c>
      <c r="EX374" t="str">
        <f ca="1"/>
        <v>Sacred Foundry</v>
      </c>
    </row>
    <row r="375" spans="1:154" x14ac:dyDescent="0.25">
      <c r="A375" s="2" t="str">
        <f t="shared" ca="1" si="16"/>
        <v>3</v>
      </c>
      <c r="B375" s="2">
        <f t="shared" ca="1" si="17"/>
        <v>1</v>
      </c>
      <c r="C375" s="2" t="str">
        <f ca="1">IFERROR(
 INDEX($V$1:$BL$1,
  MATCH(TRUE,
   CHOOSE({1;2;3;4;5;6;7;8;9;10;11;12;13;14;15;16;17;18;19;20;21;22;23;24;25;26;27;28;29;30;31;32;33;34;35;36;37;38;39;40;41;42;43},
    COUNTIFS($V$2:$V$200,$G375)&gt;0,
    COUNTIFS($W$2:$W$200,$G375)&gt;0,
    COUNTIFS($X$2:$X$200,$G375)&gt;0,
    COUNTIFS($Y$2:$Y$200,$G375)&gt;0,
    COUNTIFS($Z$2:$Z$200,$G375)&gt;0,
    COUNTIFS($AA$2:$AA$200,$G375)&gt;0,
    COUNTIFS($AB$2:$AB$200,$G375)&gt;0,
    COUNTIFS($AC$2:$AC$200,$G375)&gt;0,
    COUNTIFS($AD$2:$AD$200,$G375)&gt;0,
    COUNTIFS($AE$2:$AE$200,$G375)&gt;0,
    COUNTIFS($AF$2:$AF$200,$G375)&gt;0,
    COUNTIFS($AG$2:$AG$200,$G375)&gt;0,
    COUNTIFS($AH$2:$AH$200,$G375)&gt;0,
    COUNTIFS($AI$2:$AI$200,$G375)&gt;0,
    COUNTIFS($AJ$2:$AJ$200,$G375)&gt;0,
    COUNTIFS($AK$2:$AK$200,$G375)&gt;0,
    COUNTIFS($AL$2:$AL$200,$G375)&gt;0,
    COUNTIFS($AM$2:$AM$200,$G375)&gt;0,
    COUNTIFS($AN$2:$AN$200,$G375)&gt;0,
    COUNTIFS($AO$2:$AO$200,$G375)&gt;0,
    COUNTIFS($AP$2:$AP$200,$G375)&gt;0,
    COUNTIFS($AQ$2:$AQ$200,$G375)&gt;0,
    COUNTIFS($AR$2:$AR$200,$G375)&gt;0,
    COUNTIFS($AS$2:$AS$200,$G375)&gt;0,
    COUNTIFS($AT$2:$AT$200,$G375)&gt;0,
    COUNTIFS($AU$2:$AU$200,$G375)&gt;0,
    COUNTIFS($AV$2:$AV$200,$G375)&gt;0,
    COUNTIFS($AW$2:$AW$200,$G375)&gt;0,
    COUNTIFS($AX$2:$AX$200,$G375)&gt;0,
    COUNTIFS($AY$2:$AY$200,$G375)&gt;0,
    COUNTIFS($AZ$2:$AZ$200,$G375)&gt;0,
    COUNTIFS($BA$2:$BA$200,$G375)&gt;0,
    COUNTIFS($BB$2:$BB$200,$G375)&gt;0,
    COUNTIFS($BC$2:$BC$200,$G375)&gt;0,
    COUNTIFS($BD$2:$BD$200,$G375)&gt;0,
    COUNTIFS($BE$2:$BE$200,$G375)&gt;0,
    COUNTIFS($BF$2:$BF$200,$G375)&gt;0,
    COUNTIFS($BG$2:$BG$200,$G375)&gt;0,
    COUNTIFS($BH$2:$BH$200,$G375)&gt;0,
    COUNTIFS($BI$2:$BI$200,$G375)&gt;0,
    COUNTIFS($BJ$2:$BJ$200,$G375)&gt;0,
    COUNTIFS($BK$2:$BK$200,$G375)&gt;0,
    COUNTIFS($BL$2:$BL$200,$G375)&gt;0,
    COUNTIFS($BM$2:$BM$200,$G375)&gt;0,
   ),
  0)
 ),
"")</f>
        <v>Yuriko</v>
      </c>
      <c r="D375" s="2" t="str" cm="1">
        <f t="array" aca="1" ref="D375" ca="1">IFERROR(
 INDEX(
  _xlfn._xlws.FILTER($V$1:$AW$1,
   TRANSPOSE(
    CHOOSE({1;2;3;4;5;6;7;8;9;10;11;12;13;14;15;16;17;18;19;20;21;22;23;24;25;26;27;28},
     COUNTIFS($V$2:$V$200,$G375)&gt;0,
     COUNTIFS($W$2:$W$200,$G375)&gt;0,
     COUNTIFS($X$2:$X$200,$G375)&gt;0,
     COUNTIFS($Y$2:$Y$200,$G375)&gt;0,
     COUNTIFS($Z$2:$Z$200,$G375)&gt;0,
     COUNTIFS($AA$2:$AA$200,$G375)&gt;0,
     COUNTIFS($AB$2:$AB$200,$G375)&gt;0,
     COUNTIFS($AC$2:$AC$200,$G375)&gt;0,
     COUNTIFS($AD$2:$AD$200,$G375)&gt;0,
     COUNTIFS($AE$2:$AE$200,$G375)&gt;0,
     COUNTIFS($AF$2:$AF$200,$G375)&gt;0,
     COUNTIFS($AG$2:$AG$200,$G375)&gt;0,
     COUNTIFS($AH$2:$AH$200,$G375)&gt;0,
     COUNTIFS($AI$2:$AI$200,$G375)&gt;0,
     COUNTIFS($AJ$2:$AJ$200,$G375)&gt;0,
     COUNTIFS($AK$2:$AK$200,$G375)&gt;0,
     COUNTIFS($AL$2:$AL$200,$G375)&gt;0,
     COUNTIFS($AM$2:$AM$200,$G375)&gt;0,
     COUNTIFS($AN$2:$AN$200,$G375)&gt;0,
     COUNTIFS($AO$2:$AO$200,$G375)&gt;0,
     COUNTIFS($AP$2:$AP$200,$G375)&gt;0,
     COUNTIFS($AQ$2:$AQ$200,$G375)&gt;0,
     COUNTIFS($AR$2:$AR$200,$G375)&gt;0,
     COUNTIFS($AS$2:$AS$200,$G375)&gt;0,
     COUNTIFS($AT$2:$AT$200,$G375)&gt;0,
     COUNTIFS($AU$2:$AU$200,$G375)&gt;0,
     COUNTIFS($AV$2:$AV$200,$G375)&gt;0,
     COUNTIFS($AW$2:$AW$200,$G375)&gt;0
   )),
  ),
  2
 ),
"")</f>
        <v/>
      </c>
      <c r="E375" s="2" t="str" cm="1">
        <f t="array" aca="1" ref="E375" ca="1">IFERROR(
 INDEX($V$1:$AW$1,
  _xlfn.AGGREGATE(15,6,
   (COLUMN($V$1:$AW$1)-COLUMN($V$1)+1)/
   TRANSPOSE(
    CHOOSE({1;2;3;4;5;6;7;8;9;10;11;12;13;14;15;16;17;18;19;20;21;22;23;24;25;26;27;28},
     COUNTIFS($V$2:$V$200,$G375)&gt;0,
     COUNTIFS($W$2:$W$200,$G375)&gt;0,
     COUNTIFS($X$2:$X$200,$G375)&gt;0,
     COUNTIFS($Y$2:$Y$200,$G375)&gt;0,
     COUNTIFS($Z$2:$Z$200,$G375)&gt;0,
     COUNTIFS($AA$2:$AA$200,$G375)&gt;0,
     COUNTIFS($AB$2:$AB$200,$G375)&gt;0,
     COUNTIFS($AC$2:$AC$200,$G375)&gt;0,
     COUNTIFS($AD$2:$AD$200,$G375)&gt;0,
     COUNTIFS($AE$2:$AE$200,$G375)&gt;0,
     COUNTIFS($AF$2:$AF$200,$G375)&gt;0,
     COUNTIFS($AG$2:$AG$200,$G375)&gt;0,
     COUNTIFS($AH$2:$AH$200,$G375)&gt;0,
     COUNTIFS($AI$2:$AI$200,$G375)&gt;0,
     COUNTIFS($AJ$2:$AJ$200,$G375)&gt;0,
     COUNTIFS($AK$2:$AK$200,$G375)&gt;0,
     COUNTIFS($AL$2:$AL$200,$G375)&gt;0,
     COUNTIFS($AM$2:$AM$200,$G375)&gt;0,
     COUNTIFS($AN$2:$AN$200,$G375)&gt;0,
     COUNTIFS($AO$2:$AO$200,$G375)&gt;0,
     COUNTIFS($AP$2:$AP$200,$G375)&gt;0,
     COUNTIFS($AQ$2:$AQ$200,$G375)&gt;0,
     COUNTIFS($AR$2:$AR$200,$G375)&gt;0,
     COUNTIFS($AS$2:$AS$200,$G375)&gt;0,
     COUNTIFS($AT$2:$AT$200,$G375)&gt;0,
     COUNTIFS($AU$2:$AU$200,$G375)&gt;0,
     COUNTIFS($AV$2:$AV$200,$G375)&gt;0,
     COUNTIFS($AW$2:$AW$200,$G375)&gt;0
   )),
  3)
 ),
"")</f>
        <v/>
      </c>
      <c r="F375" s="2" t="str" cm="1">
        <f t="array" aca="1" ref="F375" ca="1">IFERROR(
 INDEX($V$1:$AW$1,
  _xlfn.AGGREGATE(15,6,
   (COLUMN($V$1:$AW$1)-COLUMN($V$1)+1)/
   TRANSPOSE(
    CHOOSE({1;2;3;4;5;6;7;8;9;10;11;12;13;14;15;16;17;18;19;20;21;22;23;24;25;26;27;28},
     COUNTIFS($V$2:$V$200,$G375)&gt;0,
     COUNTIFS($W$2:$W$200,$G375)&gt;0,
     COUNTIFS($X$2:$X$200,$G375)&gt;0,
     COUNTIFS($Y$2:$Y$200,$G375)&gt;0,
     COUNTIFS($Z$2:$Z$200,$G375)&gt;0,
     COUNTIFS($AA$2:$AA$200,$G375)&gt;0,
     COUNTIFS($AB$2:$AB$200,$G375)&gt;0,
     COUNTIFS($AC$2:$AC$200,$G375)&gt;0,
     COUNTIFS($AD$2:$AD$200,$G375)&gt;0,
     COUNTIFS($AE$2:$AE$200,$G375)&gt;0,
     COUNTIFS($AF$2:$AF$200,$G375)&gt;0,
     COUNTIFS($AG$2:$AG$200,$G375)&gt;0,
     COUNTIFS($AH$2:$AH$200,$G375)&gt;0,
     COUNTIFS($AI$2:$AI$200,$G375)&gt;0,
     COUNTIFS($AJ$2:$AJ$200,$G375)&gt;0,
     COUNTIFS($AK$2:$AK$200,$G375)&gt;0,
     COUNTIFS($AL$2:$AL$200,$G375)&gt;0,
     COUNTIFS($AM$2:$AM$200,$G375)&gt;0,
     COUNTIFS($AN$2:$AN$200,$G375)&gt;0,
     COUNTIFS($AO$2:$AO$200,$G375)&gt;0,
     COUNTIFS($AP$2:$AP$200,$G375)&gt;0,
     COUNTIFS($AQ$2:$AQ$200,$G375)&gt;0,
     COUNTIFS($AR$2:$AR$200,$G375)&gt;0,
     COUNTIFS($AS$2:$AS$200,$G375)&gt;0,
     COUNTIFS($AT$2:$AT$200,$G375)&gt;0,
     COUNTIFS($AU$2:$AU$200,$G375)&gt;0,
     COUNTIFS($AV$2:$AV$200,$G375)&gt;0,
     COUNTIFS($AW$2:$AW$200,$G375)&gt;0
   )),
  4)
 ),
"")</f>
        <v/>
      </c>
      <c r="G375" t="str">
        <f ca="1"/>
        <v>Satoru, the Infiltrator</v>
      </c>
      <c r="EU375" t="str">
        <f ca="1"/>
        <v>Zagoth Triome</v>
      </c>
      <c r="EX375" t="str">
        <f ca="1"/>
        <v>Satoru, the Infiltrator</v>
      </c>
    </row>
    <row r="376" spans="1:154" x14ac:dyDescent="0.25">
      <c r="A376" s="2" t="str">
        <f t="shared" ca="1" si="16"/>
        <v>5</v>
      </c>
      <c r="B376" s="2">
        <f t="shared" ca="1" si="17"/>
        <v>1</v>
      </c>
      <c r="C376" s="2" t="str">
        <f ca="1">IFERROR(
 INDEX($V$1:$BL$1,
  MATCH(TRUE,
   CHOOSE({1;2;3;4;5;6;7;8;9;10;11;12;13;14;15;16;17;18;19;20;21;22;23;24;25;26;27;28;29;30;31;32;33;34;35;36;37;38;39;40;41;42;43},
    COUNTIFS($V$2:$V$200,$G376)&gt;0,
    COUNTIFS($W$2:$W$200,$G376)&gt;0,
    COUNTIFS($X$2:$X$200,$G376)&gt;0,
    COUNTIFS($Y$2:$Y$200,$G376)&gt;0,
    COUNTIFS($Z$2:$Z$200,$G376)&gt;0,
    COUNTIFS($AA$2:$AA$200,$G376)&gt;0,
    COUNTIFS($AB$2:$AB$200,$G376)&gt;0,
    COUNTIFS($AC$2:$AC$200,$G376)&gt;0,
    COUNTIFS($AD$2:$AD$200,$G376)&gt;0,
    COUNTIFS($AE$2:$AE$200,$G376)&gt;0,
    COUNTIFS($AF$2:$AF$200,$G376)&gt;0,
    COUNTIFS($AG$2:$AG$200,$G376)&gt;0,
    COUNTIFS($AH$2:$AH$200,$G376)&gt;0,
    COUNTIFS($AI$2:$AI$200,$G376)&gt;0,
    COUNTIFS($AJ$2:$AJ$200,$G376)&gt;0,
    COUNTIFS($AK$2:$AK$200,$G376)&gt;0,
    COUNTIFS($AL$2:$AL$200,$G376)&gt;0,
    COUNTIFS($AM$2:$AM$200,$G376)&gt;0,
    COUNTIFS($AN$2:$AN$200,$G376)&gt;0,
    COUNTIFS($AO$2:$AO$200,$G376)&gt;0,
    COUNTIFS($AP$2:$AP$200,$G376)&gt;0,
    COUNTIFS($AQ$2:$AQ$200,$G376)&gt;0,
    COUNTIFS($AR$2:$AR$200,$G376)&gt;0,
    COUNTIFS($AS$2:$AS$200,$G376)&gt;0,
    COUNTIFS($AT$2:$AT$200,$G376)&gt;0,
    COUNTIFS($AU$2:$AU$200,$G376)&gt;0,
    COUNTIFS($AV$2:$AV$200,$G376)&gt;0,
    COUNTIFS($AW$2:$AW$200,$G376)&gt;0,
    COUNTIFS($AX$2:$AX$200,$G376)&gt;0,
    COUNTIFS($AY$2:$AY$200,$G376)&gt;0,
    COUNTIFS($AZ$2:$AZ$200,$G376)&gt;0,
    COUNTIFS($BA$2:$BA$200,$G376)&gt;0,
    COUNTIFS($BB$2:$BB$200,$G376)&gt;0,
    COUNTIFS($BC$2:$BC$200,$G376)&gt;0,
    COUNTIFS($BD$2:$BD$200,$G376)&gt;0,
    COUNTIFS($BE$2:$BE$200,$G376)&gt;0,
    COUNTIFS($BF$2:$BF$200,$G376)&gt;0,
    COUNTIFS($BG$2:$BG$200,$G376)&gt;0,
    COUNTIFS($BH$2:$BH$200,$G376)&gt;0,
    COUNTIFS($BI$2:$BI$200,$G376)&gt;0,
    COUNTIFS($BJ$2:$BJ$200,$G376)&gt;0,
    COUNTIFS($BK$2:$BK$200,$G376)&gt;0,
    COUNTIFS($BL$2:$BL$200,$G376)&gt;0,
    COUNTIFS($BM$2:$BM$200,$G376)&gt;0,
   ),
  0)
 ),
"")</f>
        <v>Fractius</v>
      </c>
      <c r="D376" s="2" t="str" cm="1">
        <f t="array" aca="1" ref="D376" ca="1">IFERROR(
 INDEX(
  _xlfn._xlws.FILTER($V$1:$AW$1,
   TRANSPOSE(
    CHOOSE({1;2;3;4;5;6;7;8;9;10;11;12;13;14;15;16;17;18;19;20;21;22;23;24;25;26;27;28},
     COUNTIFS($V$2:$V$200,$G376)&gt;0,
     COUNTIFS($W$2:$W$200,$G376)&gt;0,
     COUNTIFS($X$2:$X$200,$G376)&gt;0,
     COUNTIFS($Y$2:$Y$200,$G376)&gt;0,
     COUNTIFS($Z$2:$Z$200,$G376)&gt;0,
     COUNTIFS($AA$2:$AA$200,$G376)&gt;0,
     COUNTIFS($AB$2:$AB$200,$G376)&gt;0,
     COUNTIFS($AC$2:$AC$200,$G376)&gt;0,
     COUNTIFS($AD$2:$AD$200,$G376)&gt;0,
     COUNTIFS($AE$2:$AE$200,$G376)&gt;0,
     COUNTIFS($AF$2:$AF$200,$G376)&gt;0,
     COUNTIFS($AG$2:$AG$200,$G376)&gt;0,
     COUNTIFS($AH$2:$AH$200,$G376)&gt;0,
     COUNTIFS($AI$2:$AI$200,$G376)&gt;0,
     COUNTIFS($AJ$2:$AJ$200,$G376)&gt;0,
     COUNTIFS($AK$2:$AK$200,$G376)&gt;0,
     COUNTIFS($AL$2:$AL$200,$G376)&gt;0,
     COUNTIFS($AM$2:$AM$200,$G376)&gt;0,
     COUNTIFS($AN$2:$AN$200,$G376)&gt;0,
     COUNTIFS($AO$2:$AO$200,$G376)&gt;0,
     COUNTIFS($AP$2:$AP$200,$G376)&gt;0,
     COUNTIFS($AQ$2:$AQ$200,$G376)&gt;0,
     COUNTIFS($AR$2:$AR$200,$G376)&gt;0,
     COUNTIFS($AS$2:$AS$200,$G376)&gt;0,
     COUNTIFS($AT$2:$AT$200,$G376)&gt;0,
     COUNTIFS($AU$2:$AU$200,$G376)&gt;0,
     COUNTIFS($AV$2:$AV$200,$G376)&gt;0,
     COUNTIFS($AW$2:$AW$200,$G376)&gt;0
   )),
  ),
  2
 ),
"")</f>
        <v/>
      </c>
      <c r="E376" s="2" t="str" cm="1">
        <f t="array" aca="1" ref="E376" ca="1">IFERROR(
 INDEX($V$1:$AW$1,
  _xlfn.AGGREGATE(15,6,
   (COLUMN($V$1:$AW$1)-COLUMN($V$1)+1)/
   TRANSPOSE(
    CHOOSE({1;2;3;4;5;6;7;8;9;10;11;12;13;14;15;16;17;18;19;20;21;22;23;24;25;26;27;28},
     COUNTIFS($V$2:$V$200,$G376)&gt;0,
     COUNTIFS($W$2:$W$200,$G376)&gt;0,
     COUNTIFS($X$2:$X$200,$G376)&gt;0,
     COUNTIFS($Y$2:$Y$200,$G376)&gt;0,
     COUNTIFS($Z$2:$Z$200,$G376)&gt;0,
     COUNTIFS($AA$2:$AA$200,$G376)&gt;0,
     COUNTIFS($AB$2:$AB$200,$G376)&gt;0,
     COUNTIFS($AC$2:$AC$200,$G376)&gt;0,
     COUNTIFS($AD$2:$AD$200,$G376)&gt;0,
     COUNTIFS($AE$2:$AE$200,$G376)&gt;0,
     COUNTIFS($AF$2:$AF$200,$G376)&gt;0,
     COUNTIFS($AG$2:$AG$200,$G376)&gt;0,
     COUNTIFS($AH$2:$AH$200,$G376)&gt;0,
     COUNTIFS($AI$2:$AI$200,$G376)&gt;0,
     COUNTIFS($AJ$2:$AJ$200,$G376)&gt;0,
     COUNTIFS($AK$2:$AK$200,$G376)&gt;0,
     COUNTIFS($AL$2:$AL$200,$G376)&gt;0,
     COUNTIFS($AM$2:$AM$200,$G376)&gt;0,
     COUNTIFS($AN$2:$AN$200,$G376)&gt;0,
     COUNTIFS($AO$2:$AO$200,$G376)&gt;0,
     COUNTIFS($AP$2:$AP$200,$G376)&gt;0,
     COUNTIFS($AQ$2:$AQ$200,$G376)&gt;0,
     COUNTIFS($AR$2:$AR$200,$G376)&gt;0,
     COUNTIFS($AS$2:$AS$200,$G376)&gt;0,
     COUNTIFS($AT$2:$AT$200,$G376)&gt;0,
     COUNTIFS($AU$2:$AU$200,$G376)&gt;0,
     COUNTIFS($AV$2:$AV$200,$G376)&gt;0,
     COUNTIFS($AW$2:$AW$200,$G376)&gt;0
   )),
  3)
 ),
"")</f>
        <v/>
      </c>
      <c r="F376" s="2" t="str" cm="1">
        <f t="array" aca="1" ref="F376" ca="1">IFERROR(
 INDEX($V$1:$AW$1,
  _xlfn.AGGREGATE(15,6,
   (COLUMN($V$1:$AW$1)-COLUMN($V$1)+1)/
   TRANSPOSE(
    CHOOSE({1;2;3;4;5;6;7;8;9;10;11;12;13;14;15;16;17;18;19;20;21;22;23;24;25;26;27;28},
     COUNTIFS($V$2:$V$200,$G376)&gt;0,
     COUNTIFS($W$2:$W$200,$G376)&gt;0,
     COUNTIFS($X$2:$X$200,$G376)&gt;0,
     COUNTIFS($Y$2:$Y$200,$G376)&gt;0,
     COUNTIFS($Z$2:$Z$200,$G376)&gt;0,
     COUNTIFS($AA$2:$AA$200,$G376)&gt;0,
     COUNTIFS($AB$2:$AB$200,$G376)&gt;0,
     COUNTIFS($AC$2:$AC$200,$G376)&gt;0,
     COUNTIFS($AD$2:$AD$200,$G376)&gt;0,
     COUNTIFS($AE$2:$AE$200,$G376)&gt;0,
     COUNTIFS($AF$2:$AF$200,$G376)&gt;0,
     COUNTIFS($AG$2:$AG$200,$G376)&gt;0,
     COUNTIFS($AH$2:$AH$200,$G376)&gt;0,
     COUNTIFS($AI$2:$AI$200,$G376)&gt;0,
     COUNTIFS($AJ$2:$AJ$200,$G376)&gt;0,
     COUNTIFS($AK$2:$AK$200,$G376)&gt;0,
     COUNTIFS($AL$2:$AL$200,$G376)&gt;0,
     COUNTIFS($AM$2:$AM$200,$G376)&gt;0,
     COUNTIFS($AN$2:$AN$200,$G376)&gt;0,
     COUNTIFS($AO$2:$AO$200,$G376)&gt;0,
     COUNTIFS($AP$2:$AP$200,$G376)&gt;0,
     COUNTIFS($AQ$2:$AQ$200,$G376)&gt;0,
     COUNTIFS($AR$2:$AR$200,$G376)&gt;0,
     COUNTIFS($AS$2:$AS$200,$G376)&gt;0,
     COUNTIFS($AT$2:$AT$200,$G376)&gt;0,
     COUNTIFS($AU$2:$AU$200,$G376)&gt;0,
     COUNTIFS($AV$2:$AV$200,$G376)&gt;0,
     COUNTIFS($AW$2:$AW$200,$G376)&gt;0
   )),
  4)
 ),
"")</f>
        <v/>
      </c>
      <c r="G376" t="str">
        <f ca="1"/>
        <v>Savai Triome</v>
      </c>
      <c r="EU376" t="str">
        <f ca="1"/>
        <v>Zellix, Sanity Flayer</v>
      </c>
      <c r="EX376" t="str">
        <f ca="1"/>
        <v>Savai Triome</v>
      </c>
    </row>
    <row r="377" spans="1:154" x14ac:dyDescent="0.25">
      <c r="A377" s="2" t="str">
        <f t="shared" ca="1" si="16"/>
        <v>2</v>
      </c>
      <c r="B377" s="2">
        <f t="shared" ca="1" si="17"/>
        <v>1</v>
      </c>
      <c r="C377" s="2" t="str">
        <f ca="1">IFERROR(
 INDEX($V$1:$BL$1,
  MATCH(TRUE,
   CHOOSE({1;2;3;4;5;6;7;8;9;10;11;12;13;14;15;16;17;18;19;20;21;22;23;24;25;26;27;28;29;30;31;32;33;34;35;36;37;38;39;40;41;42;43},
    COUNTIFS($V$2:$V$200,$G377)&gt;0,
    COUNTIFS($W$2:$W$200,$G377)&gt;0,
    COUNTIFS($X$2:$X$200,$G377)&gt;0,
    COUNTIFS($Y$2:$Y$200,$G377)&gt;0,
    COUNTIFS($Z$2:$Z$200,$G377)&gt;0,
    COUNTIFS($AA$2:$AA$200,$G377)&gt;0,
    COUNTIFS($AB$2:$AB$200,$G377)&gt;0,
    COUNTIFS($AC$2:$AC$200,$G377)&gt;0,
    COUNTIFS($AD$2:$AD$200,$G377)&gt;0,
    COUNTIFS($AE$2:$AE$200,$G377)&gt;0,
    COUNTIFS($AF$2:$AF$200,$G377)&gt;0,
    COUNTIFS($AG$2:$AG$200,$G377)&gt;0,
    COUNTIFS($AH$2:$AH$200,$G377)&gt;0,
    COUNTIFS($AI$2:$AI$200,$G377)&gt;0,
    COUNTIFS($AJ$2:$AJ$200,$G377)&gt;0,
    COUNTIFS($AK$2:$AK$200,$G377)&gt;0,
    COUNTIFS($AL$2:$AL$200,$G377)&gt;0,
    COUNTIFS($AM$2:$AM$200,$G377)&gt;0,
    COUNTIFS($AN$2:$AN$200,$G377)&gt;0,
    COUNTIFS($AO$2:$AO$200,$G377)&gt;0,
    COUNTIFS($AP$2:$AP$200,$G377)&gt;0,
    COUNTIFS($AQ$2:$AQ$200,$G377)&gt;0,
    COUNTIFS($AR$2:$AR$200,$G377)&gt;0,
    COUNTIFS($AS$2:$AS$200,$G377)&gt;0,
    COUNTIFS($AT$2:$AT$200,$G377)&gt;0,
    COUNTIFS($AU$2:$AU$200,$G377)&gt;0,
    COUNTIFS($AV$2:$AV$200,$G377)&gt;0,
    COUNTIFS($AW$2:$AW$200,$G377)&gt;0,
    COUNTIFS($AX$2:$AX$200,$G377)&gt;0,
    COUNTIFS($AY$2:$AY$200,$G377)&gt;0,
    COUNTIFS($AZ$2:$AZ$200,$G377)&gt;0,
    COUNTIFS($BA$2:$BA$200,$G377)&gt;0,
    COUNTIFS($BB$2:$BB$200,$G377)&gt;0,
    COUNTIFS($BC$2:$BC$200,$G377)&gt;0,
    COUNTIFS($BD$2:$BD$200,$G377)&gt;0,
    COUNTIFS($BE$2:$BE$200,$G377)&gt;0,
    COUNTIFS($BF$2:$BF$200,$G377)&gt;0,
    COUNTIFS($BG$2:$BG$200,$G377)&gt;0,
    COUNTIFS($BH$2:$BH$200,$G377)&gt;0,
    COUNTIFS($BI$2:$BI$200,$G377)&gt;0,
    COUNTIFS($BJ$2:$BJ$200,$G377)&gt;0,
    COUNTIFS($BK$2:$BK$200,$G377)&gt;0,
    COUNTIFS($BL$2:$BL$200,$G377)&gt;0,
    COUNTIFS($BM$2:$BM$200,$G377)&gt;0,
   ),
  0)
 ),
"")</f>
        <v>Zimone</v>
      </c>
      <c r="D377" s="2" t="str" cm="1">
        <f t="array" aca="1" ref="D377" ca="1">IFERROR(
 INDEX(
  _xlfn._xlws.FILTER($V$1:$AW$1,
   TRANSPOSE(
    CHOOSE({1;2;3;4;5;6;7;8;9;10;11;12;13;14;15;16;17;18;19;20;21;22;23;24;25;26;27;28},
     COUNTIFS($V$2:$V$200,$G377)&gt;0,
     COUNTIFS($W$2:$W$200,$G377)&gt;0,
     COUNTIFS($X$2:$X$200,$G377)&gt;0,
     COUNTIFS($Y$2:$Y$200,$G377)&gt;0,
     COUNTIFS($Z$2:$Z$200,$G377)&gt;0,
     COUNTIFS($AA$2:$AA$200,$G377)&gt;0,
     COUNTIFS($AB$2:$AB$200,$G377)&gt;0,
     COUNTIFS($AC$2:$AC$200,$G377)&gt;0,
     COUNTIFS($AD$2:$AD$200,$G377)&gt;0,
     COUNTIFS($AE$2:$AE$200,$G377)&gt;0,
     COUNTIFS($AF$2:$AF$200,$G377)&gt;0,
     COUNTIFS($AG$2:$AG$200,$G377)&gt;0,
     COUNTIFS($AH$2:$AH$200,$G377)&gt;0,
     COUNTIFS($AI$2:$AI$200,$G377)&gt;0,
     COUNTIFS($AJ$2:$AJ$200,$G377)&gt;0,
     COUNTIFS($AK$2:$AK$200,$G377)&gt;0,
     COUNTIFS($AL$2:$AL$200,$G377)&gt;0,
     COUNTIFS($AM$2:$AM$200,$G377)&gt;0,
     COUNTIFS($AN$2:$AN$200,$G377)&gt;0,
     COUNTIFS($AO$2:$AO$200,$G377)&gt;0,
     COUNTIFS($AP$2:$AP$200,$G377)&gt;0,
     COUNTIFS($AQ$2:$AQ$200,$G377)&gt;0,
     COUNTIFS($AR$2:$AR$200,$G377)&gt;0,
     COUNTIFS($AS$2:$AS$200,$G377)&gt;0,
     COUNTIFS($AT$2:$AT$200,$G377)&gt;0,
     COUNTIFS($AU$2:$AU$200,$G377)&gt;0,
     COUNTIFS($AV$2:$AV$200,$G377)&gt;0,
     COUNTIFS($AW$2:$AW$200,$G377)&gt;0
   )),
  ),
  2
 ),
"")</f>
        <v/>
      </c>
      <c r="E377" s="2" t="str" cm="1">
        <f t="array" aca="1" ref="E377" ca="1">IFERROR(
 INDEX($V$1:$AW$1,
  _xlfn.AGGREGATE(15,6,
   (COLUMN($V$1:$AW$1)-COLUMN($V$1)+1)/
   TRANSPOSE(
    CHOOSE({1;2;3;4;5;6;7;8;9;10;11;12;13;14;15;16;17;18;19;20;21;22;23;24;25;26;27;28},
     COUNTIFS($V$2:$V$200,$G377)&gt;0,
     COUNTIFS($W$2:$W$200,$G377)&gt;0,
     COUNTIFS($X$2:$X$200,$G377)&gt;0,
     COUNTIFS($Y$2:$Y$200,$G377)&gt;0,
     COUNTIFS($Z$2:$Z$200,$G377)&gt;0,
     COUNTIFS($AA$2:$AA$200,$G377)&gt;0,
     COUNTIFS($AB$2:$AB$200,$G377)&gt;0,
     COUNTIFS($AC$2:$AC$200,$G377)&gt;0,
     COUNTIFS($AD$2:$AD$200,$G377)&gt;0,
     COUNTIFS($AE$2:$AE$200,$G377)&gt;0,
     COUNTIFS($AF$2:$AF$200,$G377)&gt;0,
     COUNTIFS($AG$2:$AG$200,$G377)&gt;0,
     COUNTIFS($AH$2:$AH$200,$G377)&gt;0,
     COUNTIFS($AI$2:$AI$200,$G377)&gt;0,
     COUNTIFS($AJ$2:$AJ$200,$G377)&gt;0,
     COUNTIFS($AK$2:$AK$200,$G377)&gt;0,
     COUNTIFS($AL$2:$AL$200,$G377)&gt;0,
     COUNTIFS($AM$2:$AM$200,$G377)&gt;0,
     COUNTIFS($AN$2:$AN$200,$G377)&gt;0,
     COUNTIFS($AO$2:$AO$200,$G377)&gt;0,
     COUNTIFS($AP$2:$AP$200,$G377)&gt;0,
     COUNTIFS($AQ$2:$AQ$200,$G377)&gt;0,
     COUNTIFS($AR$2:$AR$200,$G377)&gt;0,
     COUNTIFS($AS$2:$AS$200,$G377)&gt;0,
     COUNTIFS($AT$2:$AT$200,$G377)&gt;0,
     COUNTIFS($AU$2:$AU$200,$G377)&gt;0,
     COUNTIFS($AV$2:$AV$200,$G377)&gt;0,
     COUNTIFS($AW$2:$AW$200,$G377)&gt;0
   )),
  3)
 ),
"")</f>
        <v/>
      </c>
      <c r="F377" s="2" t="str" cm="1">
        <f t="array" aca="1" ref="F377" ca="1">IFERROR(
 INDEX($V$1:$AW$1,
  _xlfn.AGGREGATE(15,6,
   (COLUMN($V$1:$AW$1)-COLUMN($V$1)+1)/
   TRANSPOSE(
    CHOOSE({1;2;3;4;5;6;7;8;9;10;11;12;13;14;15;16;17;18;19;20;21;22;23;24;25;26;27;28},
     COUNTIFS($V$2:$V$200,$G377)&gt;0,
     COUNTIFS($W$2:$W$200,$G377)&gt;0,
     COUNTIFS($X$2:$X$200,$G377)&gt;0,
     COUNTIFS($Y$2:$Y$200,$G377)&gt;0,
     COUNTIFS($Z$2:$Z$200,$G377)&gt;0,
     COUNTIFS($AA$2:$AA$200,$G377)&gt;0,
     COUNTIFS($AB$2:$AB$200,$G377)&gt;0,
     COUNTIFS($AC$2:$AC$200,$G377)&gt;0,
     COUNTIFS($AD$2:$AD$200,$G377)&gt;0,
     COUNTIFS($AE$2:$AE$200,$G377)&gt;0,
     COUNTIFS($AF$2:$AF$200,$G377)&gt;0,
     COUNTIFS($AG$2:$AG$200,$G377)&gt;0,
     COUNTIFS($AH$2:$AH$200,$G377)&gt;0,
     COUNTIFS($AI$2:$AI$200,$G377)&gt;0,
     COUNTIFS($AJ$2:$AJ$200,$G377)&gt;0,
     COUNTIFS($AK$2:$AK$200,$G377)&gt;0,
     COUNTIFS($AL$2:$AL$200,$G377)&gt;0,
     COUNTIFS($AM$2:$AM$200,$G377)&gt;0,
     COUNTIFS($AN$2:$AN$200,$G377)&gt;0,
     COUNTIFS($AO$2:$AO$200,$G377)&gt;0,
     COUNTIFS($AP$2:$AP$200,$G377)&gt;0,
     COUNTIFS($AQ$2:$AQ$200,$G377)&gt;0,
     COUNTIFS($AR$2:$AR$200,$G377)&gt;0,
     COUNTIFS($AS$2:$AS$200,$G377)&gt;0,
     COUNTIFS($AT$2:$AT$200,$G377)&gt;0,
     COUNTIFS($AU$2:$AU$200,$G377)&gt;0,
     COUNTIFS($AV$2:$AV$200,$G377)&gt;0,
     COUNTIFS($AW$2:$AW$200,$G377)&gt;0
   )),
  4)
 ),
"")</f>
        <v/>
      </c>
      <c r="G377" t="str">
        <f ca="1"/>
        <v>Scalding Tarn</v>
      </c>
      <c r="EU377" t="str">
        <f ca="1"/>
        <v>Ziatora's Proving Ground</v>
      </c>
      <c r="EX377" t="str">
        <f ca="1"/>
        <v>Scalding Tarn</v>
      </c>
    </row>
    <row r="378" spans="1:154" x14ac:dyDescent="0.25">
      <c r="A378" s="2" t="str">
        <f t="shared" ca="1" si="16"/>
        <v>2</v>
      </c>
      <c r="B378" s="2">
        <f t="shared" ca="1" si="17"/>
        <v>1</v>
      </c>
      <c r="C378" s="2" t="str">
        <f ca="1">IFERROR(
 INDEX($V$1:$BL$1,
  MATCH(TRUE,
   CHOOSE({1;2;3;4;5;6;7;8;9;10;11;12;13;14;15;16;17;18;19;20;21;22;23;24;25;26;27;28;29;30;31;32;33;34;35;36;37;38;39;40;41;42;43},
    COUNTIFS($V$2:$V$200,$G378)&gt;0,
    COUNTIFS($W$2:$W$200,$G378)&gt;0,
    COUNTIFS($X$2:$X$200,$G378)&gt;0,
    COUNTIFS($Y$2:$Y$200,$G378)&gt;0,
    COUNTIFS($Z$2:$Z$200,$G378)&gt;0,
    COUNTIFS($AA$2:$AA$200,$G378)&gt;0,
    COUNTIFS($AB$2:$AB$200,$G378)&gt;0,
    COUNTIFS($AC$2:$AC$200,$G378)&gt;0,
    COUNTIFS($AD$2:$AD$200,$G378)&gt;0,
    COUNTIFS($AE$2:$AE$200,$G378)&gt;0,
    COUNTIFS($AF$2:$AF$200,$G378)&gt;0,
    COUNTIFS($AG$2:$AG$200,$G378)&gt;0,
    COUNTIFS($AH$2:$AH$200,$G378)&gt;0,
    COUNTIFS($AI$2:$AI$200,$G378)&gt;0,
    COUNTIFS($AJ$2:$AJ$200,$G378)&gt;0,
    COUNTIFS($AK$2:$AK$200,$G378)&gt;0,
    COUNTIFS($AL$2:$AL$200,$G378)&gt;0,
    COUNTIFS($AM$2:$AM$200,$G378)&gt;0,
    COUNTIFS($AN$2:$AN$200,$G378)&gt;0,
    COUNTIFS($AO$2:$AO$200,$G378)&gt;0,
    COUNTIFS($AP$2:$AP$200,$G378)&gt;0,
    COUNTIFS($AQ$2:$AQ$200,$G378)&gt;0,
    COUNTIFS($AR$2:$AR$200,$G378)&gt;0,
    COUNTIFS($AS$2:$AS$200,$G378)&gt;0,
    COUNTIFS($AT$2:$AT$200,$G378)&gt;0,
    COUNTIFS($AU$2:$AU$200,$G378)&gt;0,
    COUNTIFS($AV$2:$AV$200,$G378)&gt;0,
    COUNTIFS($AW$2:$AW$200,$G378)&gt;0,
    COUNTIFS($AX$2:$AX$200,$G378)&gt;0,
    COUNTIFS($AY$2:$AY$200,$G378)&gt;0,
    COUNTIFS($AZ$2:$AZ$200,$G378)&gt;0,
    COUNTIFS($BA$2:$BA$200,$G378)&gt;0,
    COUNTIFS($BB$2:$BB$200,$G378)&gt;0,
    COUNTIFS($BC$2:$BC$200,$G378)&gt;0,
    COUNTIFS($BD$2:$BD$200,$G378)&gt;0,
    COUNTIFS($BE$2:$BE$200,$G378)&gt;0,
    COUNTIFS($BF$2:$BF$200,$G378)&gt;0,
    COUNTIFS($BG$2:$BG$200,$G378)&gt;0,
    COUNTIFS($BH$2:$BH$200,$G378)&gt;0,
    COUNTIFS($BI$2:$BI$200,$G378)&gt;0,
    COUNTIFS($BJ$2:$BJ$200,$G378)&gt;0,
    COUNTIFS($BK$2:$BK$200,$G378)&gt;0,
    COUNTIFS($BL$2:$BL$200,$G378)&gt;0,
    COUNTIFS($BM$2:$BM$200,$G378)&gt;0,
   ),
  0)
 ),
"")</f>
        <v>OWA</v>
      </c>
      <c r="D378" s="2" t="str" cm="1">
        <f t="array" aca="1" ref="D378" ca="1">IFERROR(
 INDEX(
  _xlfn._xlws.FILTER($V$1:$AW$1,
   TRANSPOSE(
    CHOOSE({1;2;3;4;5;6;7;8;9;10;11;12;13;14;15;16;17;18;19;20;21;22;23;24;25;26;27;28},
     COUNTIFS($V$2:$V$200,$G378)&gt;0,
     COUNTIFS($W$2:$W$200,$G378)&gt;0,
     COUNTIFS($X$2:$X$200,$G378)&gt;0,
     COUNTIFS($Y$2:$Y$200,$G378)&gt;0,
     COUNTIFS($Z$2:$Z$200,$G378)&gt;0,
     COUNTIFS($AA$2:$AA$200,$G378)&gt;0,
     COUNTIFS($AB$2:$AB$200,$G378)&gt;0,
     COUNTIFS($AC$2:$AC$200,$G378)&gt;0,
     COUNTIFS($AD$2:$AD$200,$G378)&gt;0,
     COUNTIFS($AE$2:$AE$200,$G378)&gt;0,
     COUNTIFS($AF$2:$AF$200,$G378)&gt;0,
     COUNTIFS($AG$2:$AG$200,$G378)&gt;0,
     COUNTIFS($AH$2:$AH$200,$G378)&gt;0,
     COUNTIFS($AI$2:$AI$200,$G378)&gt;0,
     COUNTIFS($AJ$2:$AJ$200,$G378)&gt;0,
     COUNTIFS($AK$2:$AK$200,$G378)&gt;0,
     COUNTIFS($AL$2:$AL$200,$G378)&gt;0,
     COUNTIFS($AM$2:$AM$200,$G378)&gt;0,
     COUNTIFS($AN$2:$AN$200,$G378)&gt;0,
     COUNTIFS($AO$2:$AO$200,$G378)&gt;0,
     COUNTIFS($AP$2:$AP$200,$G378)&gt;0,
     COUNTIFS($AQ$2:$AQ$200,$G378)&gt;0,
     COUNTIFS($AR$2:$AR$200,$G378)&gt;0,
     COUNTIFS($AS$2:$AS$200,$G378)&gt;0,
     COUNTIFS($AT$2:$AT$200,$G378)&gt;0,
     COUNTIFS($AU$2:$AU$200,$G378)&gt;0,
     COUNTIFS($AV$2:$AV$200,$G378)&gt;0,
     COUNTIFS($AW$2:$AW$200,$G378)&gt;0
   )),
  ),
  2
 ),
"")</f>
        <v/>
      </c>
      <c r="E378" s="2" t="str" cm="1">
        <f t="array" aca="1" ref="E378" ca="1">IFERROR(
 INDEX($V$1:$AW$1,
  _xlfn.AGGREGATE(15,6,
   (COLUMN($V$1:$AW$1)-COLUMN($V$1)+1)/
   TRANSPOSE(
    CHOOSE({1;2;3;4;5;6;7;8;9;10;11;12;13;14;15;16;17;18;19;20;21;22;23;24;25;26;27;28},
     COUNTIFS($V$2:$V$200,$G378)&gt;0,
     COUNTIFS($W$2:$W$200,$G378)&gt;0,
     COUNTIFS($X$2:$X$200,$G378)&gt;0,
     COUNTIFS($Y$2:$Y$200,$G378)&gt;0,
     COUNTIFS($Z$2:$Z$200,$G378)&gt;0,
     COUNTIFS($AA$2:$AA$200,$G378)&gt;0,
     COUNTIFS($AB$2:$AB$200,$G378)&gt;0,
     COUNTIFS($AC$2:$AC$200,$G378)&gt;0,
     COUNTIFS($AD$2:$AD$200,$G378)&gt;0,
     COUNTIFS($AE$2:$AE$200,$G378)&gt;0,
     COUNTIFS($AF$2:$AF$200,$G378)&gt;0,
     COUNTIFS($AG$2:$AG$200,$G378)&gt;0,
     COUNTIFS($AH$2:$AH$200,$G378)&gt;0,
     COUNTIFS($AI$2:$AI$200,$G378)&gt;0,
     COUNTIFS($AJ$2:$AJ$200,$G378)&gt;0,
     COUNTIFS($AK$2:$AK$200,$G378)&gt;0,
     COUNTIFS($AL$2:$AL$200,$G378)&gt;0,
     COUNTIFS($AM$2:$AM$200,$G378)&gt;0,
     COUNTIFS($AN$2:$AN$200,$G378)&gt;0,
     COUNTIFS($AO$2:$AO$200,$G378)&gt;0,
     COUNTIFS($AP$2:$AP$200,$G378)&gt;0,
     COUNTIFS($AQ$2:$AQ$200,$G378)&gt;0,
     COUNTIFS($AR$2:$AR$200,$G378)&gt;0,
     COUNTIFS($AS$2:$AS$200,$G378)&gt;0,
     COUNTIFS($AT$2:$AT$200,$G378)&gt;0,
     COUNTIFS($AU$2:$AU$200,$G378)&gt;0,
     COUNTIFS($AV$2:$AV$200,$G378)&gt;0,
     COUNTIFS($AW$2:$AW$200,$G378)&gt;0
   )),
  3)
 ),
"")</f>
        <v/>
      </c>
      <c r="F378" s="2" t="str" cm="1">
        <f t="array" aca="1" ref="F378" ca="1">IFERROR(
 INDEX($V$1:$AW$1,
  _xlfn.AGGREGATE(15,6,
   (COLUMN($V$1:$AW$1)-COLUMN($V$1)+1)/
   TRANSPOSE(
    CHOOSE({1;2;3;4;5;6;7;8;9;10;11;12;13;14;15;16;17;18;19;20;21;22;23;24;25;26;27;28},
     COUNTIFS($V$2:$V$200,$G378)&gt;0,
     COUNTIFS($W$2:$W$200,$G378)&gt;0,
     COUNTIFS($X$2:$X$200,$G378)&gt;0,
     COUNTIFS($Y$2:$Y$200,$G378)&gt;0,
     COUNTIFS($Z$2:$Z$200,$G378)&gt;0,
     COUNTIFS($AA$2:$AA$200,$G378)&gt;0,
     COUNTIFS($AB$2:$AB$200,$G378)&gt;0,
     COUNTIFS($AC$2:$AC$200,$G378)&gt;0,
     COUNTIFS($AD$2:$AD$200,$G378)&gt;0,
     COUNTIFS($AE$2:$AE$200,$G378)&gt;0,
     COUNTIFS($AF$2:$AF$200,$G378)&gt;0,
     COUNTIFS($AG$2:$AG$200,$G378)&gt;0,
     COUNTIFS($AH$2:$AH$200,$G378)&gt;0,
     COUNTIFS($AI$2:$AI$200,$G378)&gt;0,
     COUNTIFS($AJ$2:$AJ$200,$G378)&gt;0,
     COUNTIFS($AK$2:$AK$200,$G378)&gt;0,
     COUNTIFS($AL$2:$AL$200,$G378)&gt;0,
     COUNTIFS($AM$2:$AM$200,$G378)&gt;0,
     COUNTIFS($AN$2:$AN$200,$G378)&gt;0,
     COUNTIFS($AO$2:$AO$200,$G378)&gt;0,
     COUNTIFS($AP$2:$AP$200,$G378)&gt;0,
     COUNTIFS($AQ$2:$AQ$200,$G378)&gt;0,
     COUNTIFS($AR$2:$AR$200,$G378)&gt;0,
     COUNTIFS($AS$2:$AS$200,$G378)&gt;0,
     COUNTIFS($AT$2:$AT$200,$G378)&gt;0,
     COUNTIFS($AU$2:$AU$200,$G378)&gt;0,
     COUNTIFS($AV$2:$AV$200,$G378)&gt;0,
     COUNTIFS($AW$2:$AW$200,$G378)&gt;0
   )),
  4)
 ),
"")</f>
        <v/>
      </c>
      <c r="G378" t="str">
        <f ca="1"/>
        <v>Scattered Groves</v>
      </c>
      <c r="EU378" t="e">
        <f ca="1"/>
        <v>#REF!</v>
      </c>
      <c r="EX378" t="str">
        <f ca="1"/>
        <v>Scattered Groves</v>
      </c>
    </row>
    <row r="379" spans="1:154" x14ac:dyDescent="0.25">
      <c r="A379" s="2" t="str">
        <f t="shared" ca="1" si="16"/>
        <v>4</v>
      </c>
      <c r="B379" s="2">
        <f t="shared" ca="1" si="17"/>
        <v>1</v>
      </c>
      <c r="C379" s="2" t="str">
        <f ca="1">IFERROR(
 INDEX($V$1:$BL$1,
  MATCH(TRUE,
   CHOOSE({1;2;3;4;5;6;7;8;9;10;11;12;13;14;15;16;17;18;19;20;21;22;23;24;25;26;27;28;29;30;31;32;33;34;35;36;37;38;39;40;41;42;43},
    COUNTIFS($V$2:$V$200,$G379)&gt;0,
    COUNTIFS($W$2:$W$200,$G379)&gt;0,
    COUNTIFS($X$2:$X$200,$G379)&gt;0,
    COUNTIFS($Y$2:$Y$200,$G379)&gt;0,
    COUNTIFS($Z$2:$Z$200,$G379)&gt;0,
    COUNTIFS($AA$2:$AA$200,$G379)&gt;0,
    COUNTIFS($AB$2:$AB$200,$G379)&gt;0,
    COUNTIFS($AC$2:$AC$200,$G379)&gt;0,
    COUNTIFS($AD$2:$AD$200,$G379)&gt;0,
    COUNTIFS($AE$2:$AE$200,$G379)&gt;0,
    COUNTIFS($AF$2:$AF$200,$G379)&gt;0,
    COUNTIFS($AG$2:$AG$200,$G379)&gt;0,
    COUNTIFS($AH$2:$AH$200,$G379)&gt;0,
    COUNTIFS($AI$2:$AI$200,$G379)&gt;0,
    COUNTIFS($AJ$2:$AJ$200,$G379)&gt;0,
    COUNTIFS($AK$2:$AK$200,$G379)&gt;0,
    COUNTIFS($AL$2:$AL$200,$G379)&gt;0,
    COUNTIFS($AM$2:$AM$200,$G379)&gt;0,
    COUNTIFS($AN$2:$AN$200,$G379)&gt;0,
    COUNTIFS($AO$2:$AO$200,$G379)&gt;0,
    COUNTIFS($AP$2:$AP$200,$G379)&gt;0,
    COUNTIFS($AQ$2:$AQ$200,$G379)&gt;0,
    COUNTIFS($AR$2:$AR$200,$G379)&gt;0,
    COUNTIFS($AS$2:$AS$200,$G379)&gt;0,
    COUNTIFS($AT$2:$AT$200,$G379)&gt;0,
    COUNTIFS($AU$2:$AU$200,$G379)&gt;0,
    COUNTIFS($AV$2:$AV$200,$G379)&gt;0,
    COUNTIFS($AW$2:$AW$200,$G379)&gt;0,
    COUNTIFS($AX$2:$AX$200,$G379)&gt;0,
    COUNTIFS($AY$2:$AY$200,$G379)&gt;0,
    COUNTIFS($AZ$2:$AZ$200,$G379)&gt;0,
    COUNTIFS($BA$2:$BA$200,$G379)&gt;0,
    COUNTIFS($BB$2:$BB$200,$G379)&gt;0,
    COUNTIFS($BC$2:$BC$200,$G379)&gt;0,
    COUNTIFS($BD$2:$BD$200,$G379)&gt;0,
    COUNTIFS($BE$2:$BE$200,$G379)&gt;0,
    COUNTIFS($BF$2:$BF$200,$G379)&gt;0,
    COUNTIFS($BG$2:$BG$200,$G379)&gt;0,
    COUNTIFS($BH$2:$BH$200,$G379)&gt;0,
    COUNTIFS($BI$2:$BI$200,$G379)&gt;0,
    COUNTIFS($BJ$2:$BJ$200,$G379)&gt;0,
    COUNTIFS($BK$2:$BK$200,$G379)&gt;0,
    COUNTIFS($BL$2:$BL$200,$G379)&gt;0,
    COUNTIFS($BM$2:$BM$200,$G379)&gt;0,
   ),
  0)
 ),
"")</f>
        <v>Ool</v>
      </c>
      <c r="G379" t="str">
        <f ca="1"/>
        <v>Scuzzback Scrounger</v>
      </c>
      <c r="EX379" t="str">
        <f ca="1"/>
        <v>Scuzzback Scrounger</v>
      </c>
    </row>
    <row r="380" spans="1:154" x14ac:dyDescent="0.25">
      <c r="A380" s="2" t="str">
        <f t="shared" ca="1" si="16"/>
        <v>3</v>
      </c>
      <c r="B380" s="2">
        <f t="shared" ca="1" si="17"/>
        <v>1</v>
      </c>
      <c r="C380" s="2" t="str">
        <f ca="1">IFERROR(
 INDEX($V$1:$BL$1,
  MATCH(TRUE,
   CHOOSE({1;2;3;4;5;6;7;8;9;10;11;12;13;14;15;16;17;18;19;20;21;22;23;24;25;26;27;28;29;30;31;32;33;34;35;36;37;38;39;40;41;42;43},
    COUNTIFS($V$2:$V$200,$G380)&gt;0,
    COUNTIFS($W$2:$W$200,$G380)&gt;0,
    COUNTIFS($X$2:$X$200,$G380)&gt;0,
    COUNTIFS($Y$2:$Y$200,$G380)&gt;0,
    COUNTIFS($Z$2:$Z$200,$G380)&gt;0,
    COUNTIFS($AA$2:$AA$200,$G380)&gt;0,
    COUNTIFS($AB$2:$AB$200,$G380)&gt;0,
    COUNTIFS($AC$2:$AC$200,$G380)&gt;0,
    COUNTIFS($AD$2:$AD$200,$G380)&gt;0,
    COUNTIFS($AE$2:$AE$200,$G380)&gt;0,
    COUNTIFS($AF$2:$AF$200,$G380)&gt;0,
    COUNTIFS($AG$2:$AG$200,$G380)&gt;0,
    COUNTIFS($AH$2:$AH$200,$G380)&gt;0,
    COUNTIFS($AI$2:$AI$200,$G380)&gt;0,
    COUNTIFS($AJ$2:$AJ$200,$G380)&gt;0,
    COUNTIFS($AK$2:$AK$200,$G380)&gt;0,
    COUNTIFS($AL$2:$AL$200,$G380)&gt;0,
    COUNTIFS($AM$2:$AM$200,$G380)&gt;0,
    COUNTIFS($AN$2:$AN$200,$G380)&gt;0,
    COUNTIFS($AO$2:$AO$200,$G380)&gt;0,
    COUNTIFS($AP$2:$AP$200,$G380)&gt;0,
    COUNTIFS($AQ$2:$AQ$200,$G380)&gt;0,
    COUNTIFS($AR$2:$AR$200,$G380)&gt;0,
    COUNTIFS($AS$2:$AS$200,$G380)&gt;0,
    COUNTIFS($AT$2:$AT$200,$G380)&gt;0,
    COUNTIFS($AU$2:$AU$200,$G380)&gt;0,
    COUNTIFS($AV$2:$AV$200,$G380)&gt;0,
    COUNTIFS($AW$2:$AW$200,$G380)&gt;0,
    COUNTIFS($AX$2:$AX$200,$G380)&gt;0,
    COUNTIFS($AY$2:$AY$200,$G380)&gt;0,
    COUNTIFS($AZ$2:$AZ$200,$G380)&gt;0,
    COUNTIFS($BA$2:$BA$200,$G380)&gt;0,
    COUNTIFS($BB$2:$BB$200,$G380)&gt;0,
    COUNTIFS($BC$2:$BC$200,$G380)&gt;0,
    COUNTIFS($BD$2:$BD$200,$G380)&gt;0,
    COUNTIFS($BE$2:$BE$200,$G380)&gt;0,
    COUNTIFS($BF$2:$BF$200,$G380)&gt;0,
    COUNTIFS($BG$2:$BG$200,$G380)&gt;0,
    COUNTIFS($BH$2:$BH$200,$G380)&gt;0,
    COUNTIFS($BI$2:$BI$200,$G380)&gt;0,
    COUNTIFS($BJ$2:$BJ$200,$G380)&gt;0,
    COUNTIFS($BK$2:$BK$200,$G380)&gt;0,
    COUNTIFS($BL$2:$BL$200,$G380)&gt;0,
    COUNTIFS($BM$2:$BM$200,$G380)&gt;0,
   ),
  0)
 ),
"")</f>
        <v>Yuriko</v>
      </c>
      <c r="G380" t="str">
        <f ca="1"/>
        <v>Sea Gate Restoration</v>
      </c>
      <c r="EX380" t="str">
        <f ca="1"/>
        <v>Sea Gate Restoration</v>
      </c>
    </row>
    <row r="381" spans="1:154" x14ac:dyDescent="0.25">
      <c r="A381" s="2" t="str">
        <f t="shared" ca="1" si="16"/>
        <v>3</v>
      </c>
      <c r="B381" s="2">
        <f t="shared" ca="1" si="17"/>
        <v>1</v>
      </c>
      <c r="C381" s="2" t="str">
        <f ca="1">IFERROR(
 INDEX($V$1:$BL$1,
  MATCH(TRUE,
   CHOOSE({1;2;3;4;5;6;7;8;9;10;11;12;13;14;15;16;17;18;19;20;21;22;23;24;25;26;27;28;29;30;31;32;33;34;35;36;37;38;39;40;41;42;43},
    COUNTIFS($V$2:$V$200,$G381)&gt;0,
    COUNTIFS($W$2:$W$200,$G381)&gt;0,
    COUNTIFS($X$2:$X$200,$G381)&gt;0,
    COUNTIFS($Y$2:$Y$200,$G381)&gt;0,
    COUNTIFS($Z$2:$Z$200,$G381)&gt;0,
    COUNTIFS($AA$2:$AA$200,$G381)&gt;0,
    COUNTIFS($AB$2:$AB$200,$G381)&gt;0,
    COUNTIFS($AC$2:$AC$200,$G381)&gt;0,
    COUNTIFS($AD$2:$AD$200,$G381)&gt;0,
    COUNTIFS($AE$2:$AE$200,$G381)&gt;0,
    COUNTIFS($AF$2:$AF$200,$G381)&gt;0,
    COUNTIFS($AG$2:$AG$200,$G381)&gt;0,
    COUNTIFS($AH$2:$AH$200,$G381)&gt;0,
    COUNTIFS($AI$2:$AI$200,$G381)&gt;0,
    COUNTIFS($AJ$2:$AJ$200,$G381)&gt;0,
    COUNTIFS($AK$2:$AK$200,$G381)&gt;0,
    COUNTIFS($AL$2:$AL$200,$G381)&gt;0,
    COUNTIFS($AM$2:$AM$200,$G381)&gt;0,
    COUNTIFS($AN$2:$AN$200,$G381)&gt;0,
    COUNTIFS($AO$2:$AO$200,$G381)&gt;0,
    COUNTIFS($AP$2:$AP$200,$G381)&gt;0,
    COUNTIFS($AQ$2:$AQ$200,$G381)&gt;0,
    COUNTIFS($AR$2:$AR$200,$G381)&gt;0,
    COUNTIFS($AS$2:$AS$200,$G381)&gt;0,
    COUNTIFS($AT$2:$AT$200,$G381)&gt;0,
    COUNTIFS($AU$2:$AU$200,$G381)&gt;0,
    COUNTIFS($AV$2:$AV$200,$G381)&gt;0,
    COUNTIFS($AW$2:$AW$200,$G381)&gt;0,
    COUNTIFS($AX$2:$AX$200,$G381)&gt;0,
    COUNTIFS($AY$2:$AY$200,$G381)&gt;0,
    COUNTIFS($AZ$2:$AZ$200,$G381)&gt;0,
    COUNTIFS($BA$2:$BA$200,$G381)&gt;0,
    COUNTIFS($BB$2:$BB$200,$G381)&gt;0,
    COUNTIFS($BC$2:$BC$200,$G381)&gt;0,
    COUNTIFS($BD$2:$BD$200,$G381)&gt;0,
    COUNTIFS($BE$2:$BE$200,$G381)&gt;0,
    COUNTIFS($BF$2:$BF$200,$G381)&gt;0,
    COUNTIFS($BG$2:$BG$200,$G381)&gt;0,
    COUNTIFS($BH$2:$BH$200,$G381)&gt;0,
    COUNTIFS($BI$2:$BI$200,$G381)&gt;0,
    COUNTIFS($BJ$2:$BJ$200,$G381)&gt;0,
    COUNTIFS($BK$2:$BK$200,$G381)&gt;0,
    COUNTIFS($BL$2:$BL$200,$G381)&gt;0,
    COUNTIFS($BM$2:$BM$200,$G381)&gt;0,
   ),
  0)
 ),
"")</f>
        <v>Kumena</v>
      </c>
      <c r="G381" t="str">
        <f ca="1"/>
        <v>Seahunter</v>
      </c>
      <c r="EX381" t="str">
        <f ca="1"/>
        <v>Seahunter</v>
      </c>
    </row>
    <row r="382" spans="1:154" x14ac:dyDescent="0.25">
      <c r="A382" s="2" t="str">
        <f t="shared" ca="1" si="16"/>
        <v>5</v>
      </c>
      <c r="B382" s="2">
        <f t="shared" ca="1" si="17"/>
        <v>1</v>
      </c>
      <c r="C382" s="2" t="str">
        <f ca="1">IFERROR(
 INDEX($V$1:$BL$1,
  MATCH(TRUE,
   CHOOSE({1;2;3;4;5;6;7;8;9;10;11;12;13;14;15;16;17;18;19;20;21;22;23;24;25;26;27;28;29;30;31;32;33;34;35;36;37;38;39;40;41;42;43},
    COUNTIFS($V$2:$V$200,$G382)&gt;0,
    COUNTIFS($W$2:$W$200,$G382)&gt;0,
    COUNTIFS($X$2:$X$200,$G382)&gt;0,
    COUNTIFS($Y$2:$Y$200,$G382)&gt;0,
    COUNTIFS($Z$2:$Z$200,$G382)&gt;0,
    COUNTIFS($AA$2:$AA$200,$G382)&gt;0,
    COUNTIFS($AB$2:$AB$200,$G382)&gt;0,
    COUNTIFS($AC$2:$AC$200,$G382)&gt;0,
    COUNTIFS($AD$2:$AD$200,$G382)&gt;0,
    COUNTIFS($AE$2:$AE$200,$G382)&gt;0,
    COUNTIFS($AF$2:$AF$200,$G382)&gt;0,
    COUNTIFS($AG$2:$AG$200,$G382)&gt;0,
    COUNTIFS($AH$2:$AH$200,$G382)&gt;0,
    COUNTIFS($AI$2:$AI$200,$G382)&gt;0,
    COUNTIFS($AJ$2:$AJ$200,$G382)&gt;0,
    COUNTIFS($AK$2:$AK$200,$G382)&gt;0,
    COUNTIFS($AL$2:$AL$200,$G382)&gt;0,
    COUNTIFS($AM$2:$AM$200,$G382)&gt;0,
    COUNTIFS($AN$2:$AN$200,$G382)&gt;0,
    COUNTIFS($AO$2:$AO$200,$G382)&gt;0,
    COUNTIFS($AP$2:$AP$200,$G382)&gt;0,
    COUNTIFS($AQ$2:$AQ$200,$G382)&gt;0,
    COUNTIFS($AR$2:$AR$200,$G382)&gt;0,
    COUNTIFS($AS$2:$AS$200,$G382)&gt;0,
    COUNTIFS($AT$2:$AT$200,$G382)&gt;0,
    COUNTIFS($AU$2:$AU$200,$G382)&gt;0,
    COUNTIFS($AV$2:$AV$200,$G382)&gt;0,
    COUNTIFS($AW$2:$AW$200,$G382)&gt;0,
    COUNTIFS($AX$2:$AX$200,$G382)&gt;0,
    COUNTIFS($AY$2:$AY$200,$G382)&gt;0,
    COUNTIFS($AZ$2:$AZ$200,$G382)&gt;0,
    COUNTIFS($BA$2:$BA$200,$G382)&gt;0,
    COUNTIFS($BB$2:$BB$200,$G382)&gt;0,
    COUNTIFS($BC$2:$BC$200,$G382)&gt;0,
    COUNTIFS($BD$2:$BD$200,$G382)&gt;0,
    COUNTIFS($BE$2:$BE$200,$G382)&gt;0,
    COUNTIFS($BF$2:$BF$200,$G382)&gt;0,
    COUNTIFS($BG$2:$BG$200,$G382)&gt;0,
    COUNTIFS($BH$2:$BH$200,$G382)&gt;0,
    COUNTIFS($BI$2:$BI$200,$G382)&gt;0,
    COUNTIFS($BJ$2:$BJ$200,$G382)&gt;0,
    COUNTIFS($BK$2:$BK$200,$G382)&gt;0,
    COUNTIFS($BL$2:$BL$200,$G382)&gt;0,
    COUNTIFS($BM$2:$BM$200,$G382)&gt;0,
   ),
  0)
 ),
"")</f>
        <v>Little</v>
      </c>
      <c r="G382" t="str">
        <f ca="1"/>
        <v>Searslicer Goblin</v>
      </c>
      <c r="EX382" t="str">
        <f ca="1"/>
        <v>Searslicer Goblin</v>
      </c>
    </row>
    <row r="383" spans="1:154" x14ac:dyDescent="0.25">
      <c r="A383" s="2" t="str">
        <f t="shared" ca="1" si="16"/>
        <v>2</v>
      </c>
      <c r="B383" s="2">
        <f t="shared" ca="1" si="17"/>
        <v>1</v>
      </c>
      <c r="C383" s="2" t="str">
        <f ca="1">IFERROR(
 INDEX($V$1:$BL$1,
  MATCH(TRUE,
   CHOOSE({1;2;3;4;5;6;7;8;9;10;11;12;13;14;15;16;17;18;19;20;21;22;23;24;25;26;27;28;29;30;31;32;33;34;35;36;37;38;39;40;41;42;43},
    COUNTIFS($V$2:$V$200,$G383)&gt;0,
    COUNTIFS($W$2:$W$200,$G383)&gt;0,
    COUNTIFS($X$2:$X$200,$G383)&gt;0,
    COUNTIFS($Y$2:$Y$200,$G383)&gt;0,
    COUNTIFS($Z$2:$Z$200,$G383)&gt;0,
    COUNTIFS($AA$2:$AA$200,$G383)&gt;0,
    COUNTIFS($AB$2:$AB$200,$G383)&gt;0,
    COUNTIFS($AC$2:$AC$200,$G383)&gt;0,
    COUNTIFS($AD$2:$AD$200,$G383)&gt;0,
    COUNTIFS($AE$2:$AE$200,$G383)&gt;0,
    COUNTIFS($AF$2:$AF$200,$G383)&gt;0,
    COUNTIFS($AG$2:$AG$200,$G383)&gt;0,
    COUNTIFS($AH$2:$AH$200,$G383)&gt;0,
    COUNTIFS($AI$2:$AI$200,$G383)&gt;0,
    COUNTIFS($AJ$2:$AJ$200,$G383)&gt;0,
    COUNTIFS($AK$2:$AK$200,$G383)&gt;0,
    COUNTIFS($AL$2:$AL$200,$G383)&gt;0,
    COUNTIFS($AM$2:$AM$200,$G383)&gt;0,
    COUNTIFS($AN$2:$AN$200,$G383)&gt;0,
    COUNTIFS($AO$2:$AO$200,$G383)&gt;0,
    COUNTIFS($AP$2:$AP$200,$G383)&gt;0,
    COUNTIFS($AQ$2:$AQ$200,$G383)&gt;0,
    COUNTIFS($AR$2:$AR$200,$G383)&gt;0,
    COUNTIFS($AS$2:$AS$200,$G383)&gt;0,
    COUNTIFS($AT$2:$AT$200,$G383)&gt;0,
    COUNTIFS($AU$2:$AU$200,$G383)&gt;0,
    COUNTIFS($AV$2:$AV$200,$G383)&gt;0,
    COUNTIFS($AW$2:$AW$200,$G383)&gt;0,
    COUNTIFS($AX$2:$AX$200,$G383)&gt;0,
    COUNTIFS($AY$2:$AY$200,$G383)&gt;0,
    COUNTIFS($AZ$2:$AZ$200,$G383)&gt;0,
    COUNTIFS($BA$2:$BA$200,$G383)&gt;0,
    COUNTIFS($BB$2:$BB$200,$G383)&gt;0,
    COUNTIFS($BC$2:$BC$200,$G383)&gt;0,
    COUNTIFS($BD$2:$BD$200,$G383)&gt;0,
    COUNTIFS($BE$2:$BE$200,$G383)&gt;0,
    COUNTIFS($BF$2:$BF$200,$G383)&gt;0,
    COUNTIFS($BG$2:$BG$200,$G383)&gt;0,
    COUNTIFS($BH$2:$BH$200,$G383)&gt;0,
    COUNTIFS($BI$2:$BI$200,$G383)&gt;0,
    COUNTIFS($BJ$2:$BJ$200,$G383)&gt;0,
    COUNTIFS($BK$2:$BK$200,$G383)&gt;0,
    COUNTIFS($BL$2:$BL$200,$G383)&gt;0,
    COUNTIFS($BM$2:$BM$200,$G383)&gt;0,
   ),
  0)
 ),
"")</f>
        <v>Piratas</v>
      </c>
      <c r="G383" t="str">
        <f ca="1"/>
        <v>Secret Tunnel</v>
      </c>
      <c r="EX383" t="str">
        <f ca="1"/>
        <v>Secret Tunnel</v>
      </c>
    </row>
    <row r="384" spans="1:154" x14ac:dyDescent="0.25">
      <c r="A384" s="2" t="str">
        <f t="shared" ca="1" si="16"/>
        <v>5</v>
      </c>
      <c r="B384" s="2">
        <f t="shared" ca="1" si="17"/>
        <v>1</v>
      </c>
      <c r="C384" s="2" t="str">
        <f ca="1">IFERROR(
 INDEX($V$1:$BL$1,
  MATCH(TRUE,
   CHOOSE({1;2;3;4;5;6;7;8;9;10;11;12;13;14;15;16;17;18;19;20;21;22;23;24;25;26;27;28;29;30;31;32;33;34;35;36;37;38;39;40;41;42;43},
    COUNTIFS($V$2:$V$200,$G384)&gt;0,
    COUNTIFS($W$2:$W$200,$G384)&gt;0,
    COUNTIFS($X$2:$X$200,$G384)&gt;0,
    COUNTIFS($Y$2:$Y$200,$G384)&gt;0,
    COUNTIFS($Z$2:$Z$200,$G384)&gt;0,
    COUNTIFS($AA$2:$AA$200,$G384)&gt;0,
    COUNTIFS($AB$2:$AB$200,$G384)&gt;0,
    COUNTIFS($AC$2:$AC$200,$G384)&gt;0,
    COUNTIFS($AD$2:$AD$200,$G384)&gt;0,
    COUNTIFS($AE$2:$AE$200,$G384)&gt;0,
    COUNTIFS($AF$2:$AF$200,$G384)&gt;0,
    COUNTIFS($AG$2:$AG$200,$G384)&gt;0,
    COUNTIFS($AH$2:$AH$200,$G384)&gt;0,
    COUNTIFS($AI$2:$AI$200,$G384)&gt;0,
    COUNTIFS($AJ$2:$AJ$200,$G384)&gt;0,
    COUNTIFS($AK$2:$AK$200,$G384)&gt;0,
    COUNTIFS($AL$2:$AL$200,$G384)&gt;0,
    COUNTIFS($AM$2:$AM$200,$G384)&gt;0,
    COUNTIFS($AN$2:$AN$200,$G384)&gt;0,
    COUNTIFS($AO$2:$AO$200,$G384)&gt;0,
    COUNTIFS($AP$2:$AP$200,$G384)&gt;0,
    COUNTIFS($AQ$2:$AQ$200,$G384)&gt;0,
    COUNTIFS($AR$2:$AR$200,$G384)&gt;0,
    COUNTIFS($AS$2:$AS$200,$G384)&gt;0,
    COUNTIFS($AT$2:$AT$200,$G384)&gt;0,
    COUNTIFS($AU$2:$AU$200,$G384)&gt;0,
    COUNTIFS($AV$2:$AV$200,$G384)&gt;0,
    COUNTIFS($AW$2:$AW$200,$G384)&gt;0,
    COUNTIFS($AX$2:$AX$200,$G384)&gt;0,
    COUNTIFS($AY$2:$AY$200,$G384)&gt;0,
    COUNTIFS($AZ$2:$AZ$200,$G384)&gt;0,
    COUNTIFS($BA$2:$BA$200,$G384)&gt;0,
    COUNTIFS($BB$2:$BB$200,$G384)&gt;0,
    COUNTIFS($BC$2:$BC$200,$G384)&gt;0,
    COUNTIFS($BD$2:$BD$200,$G384)&gt;0,
    COUNTIFS($BE$2:$BE$200,$G384)&gt;0,
    COUNTIFS($BF$2:$BF$200,$G384)&gt;0,
    COUNTIFS($BG$2:$BG$200,$G384)&gt;0,
    COUNTIFS($BH$2:$BH$200,$G384)&gt;0,
    COUNTIFS($BI$2:$BI$200,$G384)&gt;0,
    COUNTIFS($BJ$2:$BJ$200,$G384)&gt;0,
    COUNTIFS($BK$2:$BK$200,$G384)&gt;0,
    COUNTIFS($BL$2:$BL$200,$G384)&gt;0,
    COUNTIFS($BM$2:$BM$200,$G384)&gt;0,
   ),
  0)
 ),
"")</f>
        <v>Fractius</v>
      </c>
      <c r="G384" t="str">
        <f ca="1"/>
        <v>Sedge Sliver</v>
      </c>
      <c r="EX384" t="str">
        <f ca="1"/>
        <v>Sedge Sliver</v>
      </c>
    </row>
    <row r="385" spans="1:154" x14ac:dyDescent="0.25">
      <c r="A385" s="2" t="str">
        <f t="shared" ca="1" si="16"/>
        <v>4</v>
      </c>
      <c r="B385" s="2">
        <f t="shared" ca="1" si="17"/>
        <v>1</v>
      </c>
      <c r="C385" s="2" t="str">
        <f ca="1">IFERROR(
 INDEX($V$1:$BL$1,
  MATCH(TRUE,
   CHOOSE({1;2;3;4;5;6;7;8;9;10;11;12;13;14;15;16;17;18;19;20;21;22;23;24;25;26;27;28;29;30;31;32;33;34;35;36;37;38;39;40;41;42;43},
    COUNTIFS($V$2:$V$200,$G385)&gt;0,
    COUNTIFS($W$2:$W$200,$G385)&gt;0,
    COUNTIFS($X$2:$X$200,$G385)&gt;0,
    COUNTIFS($Y$2:$Y$200,$G385)&gt;0,
    COUNTIFS($Z$2:$Z$200,$G385)&gt;0,
    COUNTIFS($AA$2:$AA$200,$G385)&gt;0,
    COUNTIFS($AB$2:$AB$200,$G385)&gt;0,
    COUNTIFS($AC$2:$AC$200,$G385)&gt;0,
    COUNTIFS($AD$2:$AD$200,$G385)&gt;0,
    COUNTIFS($AE$2:$AE$200,$G385)&gt;0,
    COUNTIFS($AF$2:$AF$200,$G385)&gt;0,
    COUNTIFS($AG$2:$AG$200,$G385)&gt;0,
    COUNTIFS($AH$2:$AH$200,$G385)&gt;0,
    COUNTIFS($AI$2:$AI$200,$G385)&gt;0,
    COUNTIFS($AJ$2:$AJ$200,$G385)&gt;0,
    COUNTIFS($AK$2:$AK$200,$G385)&gt;0,
    COUNTIFS($AL$2:$AL$200,$G385)&gt;0,
    COUNTIFS($AM$2:$AM$200,$G385)&gt;0,
    COUNTIFS($AN$2:$AN$200,$G385)&gt;0,
    COUNTIFS($AO$2:$AO$200,$G385)&gt;0,
    COUNTIFS($AP$2:$AP$200,$G385)&gt;0,
    COUNTIFS($AQ$2:$AQ$200,$G385)&gt;0,
    COUNTIFS($AR$2:$AR$200,$G385)&gt;0,
    COUNTIFS($AS$2:$AS$200,$G385)&gt;0,
    COUNTIFS($AT$2:$AT$200,$G385)&gt;0,
    COUNTIFS($AU$2:$AU$200,$G385)&gt;0,
    COUNTIFS($AV$2:$AV$200,$G385)&gt;0,
    COUNTIFS($AW$2:$AW$200,$G385)&gt;0,
    COUNTIFS($AX$2:$AX$200,$G385)&gt;0,
    COUNTIFS($AY$2:$AY$200,$G385)&gt;0,
    COUNTIFS($AZ$2:$AZ$200,$G385)&gt;0,
    COUNTIFS($BA$2:$BA$200,$G385)&gt;0,
    COUNTIFS($BB$2:$BB$200,$G385)&gt;0,
    COUNTIFS($BC$2:$BC$200,$G385)&gt;0,
    COUNTIFS($BD$2:$BD$200,$G385)&gt;0,
    COUNTIFS($BE$2:$BE$200,$G385)&gt;0,
    COUNTIFS($BF$2:$BF$200,$G385)&gt;0,
    COUNTIFS($BG$2:$BG$200,$G385)&gt;0,
    COUNTIFS($BH$2:$BH$200,$G385)&gt;0,
    COUNTIFS($BI$2:$BI$200,$G385)&gt;0,
    COUNTIFS($BJ$2:$BJ$200,$G385)&gt;0,
    COUNTIFS($BK$2:$BK$200,$G385)&gt;0,
    COUNTIFS($BL$2:$BL$200,$G385)&gt;0,
    COUNTIFS($BM$2:$BM$200,$G385)&gt;0,
   ),
  0)
 ),
"")</f>
        <v>Baylen</v>
      </c>
      <c r="G385" t="str">
        <f ca="1"/>
        <v>Seedborn Muse</v>
      </c>
      <c r="EX385" t="str">
        <f ca="1"/>
        <v>Seedborn Muse</v>
      </c>
    </row>
    <row r="386" spans="1:154" x14ac:dyDescent="0.25">
      <c r="A386" s="2" t="str">
        <f t="shared" ca="1" si="16"/>
        <v>5</v>
      </c>
      <c r="B386" s="2">
        <f t="shared" ca="1" si="17"/>
        <v>1</v>
      </c>
      <c r="C386" s="2" t="str">
        <f ca="1">IFERROR(
 INDEX($V$1:$BL$1,
  MATCH(TRUE,
   CHOOSE({1;2;3;4;5;6;7;8;9;10;11;12;13;14;15;16;17;18;19;20;21;22;23;24;25;26;27;28;29;30;31;32;33;34;35;36;37;38;39;40;41;42;43},
    COUNTIFS($V$2:$V$200,$G386)&gt;0,
    COUNTIFS($W$2:$W$200,$G386)&gt;0,
    COUNTIFS($X$2:$X$200,$G386)&gt;0,
    COUNTIFS($Y$2:$Y$200,$G386)&gt;0,
    COUNTIFS($Z$2:$Z$200,$G386)&gt;0,
    COUNTIFS($AA$2:$AA$200,$G386)&gt;0,
    COUNTIFS($AB$2:$AB$200,$G386)&gt;0,
    COUNTIFS($AC$2:$AC$200,$G386)&gt;0,
    COUNTIFS($AD$2:$AD$200,$G386)&gt;0,
    COUNTIFS($AE$2:$AE$200,$G386)&gt;0,
    COUNTIFS($AF$2:$AF$200,$G386)&gt;0,
    COUNTIFS($AG$2:$AG$200,$G386)&gt;0,
    COUNTIFS($AH$2:$AH$200,$G386)&gt;0,
    COUNTIFS($AI$2:$AI$200,$G386)&gt;0,
    COUNTIFS($AJ$2:$AJ$200,$G386)&gt;0,
    COUNTIFS($AK$2:$AK$200,$G386)&gt;0,
    COUNTIFS($AL$2:$AL$200,$G386)&gt;0,
    COUNTIFS($AM$2:$AM$200,$G386)&gt;0,
    COUNTIFS($AN$2:$AN$200,$G386)&gt;0,
    COUNTIFS($AO$2:$AO$200,$G386)&gt;0,
    COUNTIFS($AP$2:$AP$200,$G386)&gt;0,
    COUNTIFS($AQ$2:$AQ$200,$G386)&gt;0,
    COUNTIFS($AR$2:$AR$200,$G386)&gt;0,
    COUNTIFS($AS$2:$AS$200,$G386)&gt;0,
    COUNTIFS($AT$2:$AT$200,$G386)&gt;0,
    COUNTIFS($AU$2:$AU$200,$G386)&gt;0,
    COUNTIFS($AV$2:$AV$200,$G386)&gt;0,
    COUNTIFS($AW$2:$AW$200,$G386)&gt;0,
    COUNTIFS($AX$2:$AX$200,$G386)&gt;0,
    COUNTIFS($AY$2:$AY$200,$G386)&gt;0,
    COUNTIFS($AZ$2:$AZ$200,$G386)&gt;0,
    COUNTIFS($BA$2:$BA$200,$G386)&gt;0,
    COUNTIFS($BB$2:$BB$200,$G386)&gt;0,
    COUNTIFS($BC$2:$BC$200,$G386)&gt;0,
    COUNTIFS($BD$2:$BD$200,$G386)&gt;0,
    COUNTIFS($BE$2:$BE$200,$G386)&gt;0,
    COUNTIFS($BF$2:$BF$200,$G386)&gt;0,
    COUNTIFS($BG$2:$BG$200,$G386)&gt;0,
    COUNTIFS($BH$2:$BH$200,$G386)&gt;0,
    COUNTIFS($BI$2:$BI$200,$G386)&gt;0,
    COUNTIFS($BJ$2:$BJ$200,$G386)&gt;0,
    COUNTIFS($BK$2:$BK$200,$G386)&gt;0,
    COUNTIFS($BL$2:$BL$200,$G386)&gt;0,
    COUNTIFS($BM$2:$BM$200,$G386)&gt;0,
   ),
  0)
 ),
"")</f>
        <v>Fractius</v>
      </c>
      <c r="G386" t="str">
        <f ca="1"/>
        <v>Sentinel Sliver</v>
      </c>
      <c r="EX386" t="str">
        <f ca="1"/>
        <v>Sentinel Sliver</v>
      </c>
    </row>
    <row r="387" spans="1:154" x14ac:dyDescent="0.25">
      <c r="A387" s="2" t="str">
        <f t="shared" ref="A387:A450" ca="1" si="18">IFERROR(INDEX($T$3:$T$200, MATCH($C387, $J$3:$J$200, 0)), "")</f>
        <v>4</v>
      </c>
      <c r="B387" s="2">
        <f t="shared" ref="B387:B450" ca="1" si="19">COUNTIF(V:CG,G387)</f>
        <v>1</v>
      </c>
      <c r="C387" s="2" t="str">
        <f ca="1">IFERROR(
 INDEX($V$1:$BL$1,
  MATCH(TRUE,
   CHOOSE({1;2;3;4;5;6;7;8;9;10;11;12;13;14;15;16;17;18;19;20;21;22;23;24;25;26;27;28;29;30;31;32;33;34;35;36;37;38;39;40;41;42;43},
    COUNTIFS($V$2:$V$200,$G387)&gt;0,
    COUNTIFS($W$2:$W$200,$G387)&gt;0,
    COUNTIFS($X$2:$X$200,$G387)&gt;0,
    COUNTIFS($Y$2:$Y$200,$G387)&gt;0,
    COUNTIFS($Z$2:$Z$200,$G387)&gt;0,
    COUNTIFS($AA$2:$AA$200,$G387)&gt;0,
    COUNTIFS($AB$2:$AB$200,$G387)&gt;0,
    COUNTIFS($AC$2:$AC$200,$G387)&gt;0,
    COUNTIFS($AD$2:$AD$200,$G387)&gt;0,
    COUNTIFS($AE$2:$AE$200,$G387)&gt;0,
    COUNTIFS($AF$2:$AF$200,$G387)&gt;0,
    COUNTIFS($AG$2:$AG$200,$G387)&gt;0,
    COUNTIFS($AH$2:$AH$200,$G387)&gt;0,
    COUNTIFS($AI$2:$AI$200,$G387)&gt;0,
    COUNTIFS($AJ$2:$AJ$200,$G387)&gt;0,
    COUNTIFS($AK$2:$AK$200,$G387)&gt;0,
    COUNTIFS($AL$2:$AL$200,$G387)&gt;0,
    COUNTIFS($AM$2:$AM$200,$G387)&gt;0,
    COUNTIFS($AN$2:$AN$200,$G387)&gt;0,
    COUNTIFS($AO$2:$AO$200,$G387)&gt;0,
    COUNTIFS($AP$2:$AP$200,$G387)&gt;0,
    COUNTIFS($AQ$2:$AQ$200,$G387)&gt;0,
    COUNTIFS($AR$2:$AR$200,$G387)&gt;0,
    COUNTIFS($AS$2:$AS$200,$G387)&gt;0,
    COUNTIFS($AT$2:$AT$200,$G387)&gt;0,
    COUNTIFS($AU$2:$AU$200,$G387)&gt;0,
    COUNTIFS($AV$2:$AV$200,$G387)&gt;0,
    COUNTIFS($AW$2:$AW$200,$G387)&gt;0,
    COUNTIFS($AX$2:$AX$200,$G387)&gt;0,
    COUNTIFS($AY$2:$AY$200,$G387)&gt;0,
    COUNTIFS($AZ$2:$AZ$200,$G387)&gt;0,
    COUNTIFS($BA$2:$BA$200,$G387)&gt;0,
    COUNTIFS($BB$2:$BB$200,$G387)&gt;0,
    COUNTIFS($BC$2:$BC$200,$G387)&gt;0,
    COUNTIFS($BD$2:$BD$200,$G387)&gt;0,
    COUNTIFS($BE$2:$BE$200,$G387)&gt;0,
    COUNTIFS($BF$2:$BF$200,$G387)&gt;0,
    COUNTIFS($BG$2:$BG$200,$G387)&gt;0,
    COUNTIFS($BH$2:$BH$200,$G387)&gt;0,
    COUNTIFS($BI$2:$BI$200,$G387)&gt;0,
    COUNTIFS($BJ$2:$BJ$200,$G387)&gt;0,
    COUNTIFS($BK$2:$BK$200,$G387)&gt;0,
    COUNTIFS($BL$2:$BL$200,$G387)&gt;0,
    COUNTIFS($BM$2:$BM$200,$G387)&gt;0,
   ),
  0)
 ),
"")</f>
        <v>Ool</v>
      </c>
      <c r="G387" t="str">
        <f ca="1"/>
        <v>Serrated Biskelion</v>
      </c>
      <c r="EX387" t="str">
        <f ca="1"/>
        <v>Serrated Biskelion</v>
      </c>
    </row>
    <row r="388" spans="1:154" x14ac:dyDescent="0.25">
      <c r="A388" s="2" t="str">
        <f t="shared" ca="1" si="18"/>
        <v>5</v>
      </c>
      <c r="B388" s="2">
        <f t="shared" ca="1" si="19"/>
        <v>1</v>
      </c>
      <c r="C388" s="2" t="str">
        <f ca="1">IFERROR(
 INDEX($V$1:$BL$1,
  MATCH(TRUE,
   CHOOSE({1;2;3;4;5;6;7;8;9;10;11;12;13;14;15;16;17;18;19;20;21;22;23;24;25;26;27;28;29;30;31;32;33;34;35;36;37;38;39;40;41;42;43},
    COUNTIFS($V$2:$V$200,$G388)&gt;0,
    COUNTIFS($W$2:$W$200,$G388)&gt;0,
    COUNTIFS($X$2:$X$200,$G388)&gt;0,
    COUNTIFS($Y$2:$Y$200,$G388)&gt;0,
    COUNTIFS($Z$2:$Z$200,$G388)&gt;0,
    COUNTIFS($AA$2:$AA$200,$G388)&gt;0,
    COUNTIFS($AB$2:$AB$200,$G388)&gt;0,
    COUNTIFS($AC$2:$AC$200,$G388)&gt;0,
    COUNTIFS($AD$2:$AD$200,$G388)&gt;0,
    COUNTIFS($AE$2:$AE$200,$G388)&gt;0,
    COUNTIFS($AF$2:$AF$200,$G388)&gt;0,
    COUNTIFS($AG$2:$AG$200,$G388)&gt;0,
    COUNTIFS($AH$2:$AH$200,$G388)&gt;0,
    COUNTIFS($AI$2:$AI$200,$G388)&gt;0,
    COUNTIFS($AJ$2:$AJ$200,$G388)&gt;0,
    COUNTIFS($AK$2:$AK$200,$G388)&gt;0,
    COUNTIFS($AL$2:$AL$200,$G388)&gt;0,
    COUNTIFS($AM$2:$AM$200,$G388)&gt;0,
    COUNTIFS($AN$2:$AN$200,$G388)&gt;0,
    COUNTIFS($AO$2:$AO$200,$G388)&gt;0,
    COUNTIFS($AP$2:$AP$200,$G388)&gt;0,
    COUNTIFS($AQ$2:$AQ$200,$G388)&gt;0,
    COUNTIFS($AR$2:$AR$200,$G388)&gt;0,
    COUNTIFS($AS$2:$AS$200,$G388)&gt;0,
    COUNTIFS($AT$2:$AT$200,$G388)&gt;0,
    COUNTIFS($AU$2:$AU$200,$G388)&gt;0,
    COUNTIFS($AV$2:$AV$200,$G388)&gt;0,
    COUNTIFS($AW$2:$AW$200,$G388)&gt;0,
    COUNTIFS($AX$2:$AX$200,$G388)&gt;0,
    COUNTIFS($AY$2:$AY$200,$G388)&gt;0,
    COUNTIFS($AZ$2:$AZ$200,$G388)&gt;0,
    COUNTIFS($BA$2:$BA$200,$G388)&gt;0,
    COUNTIFS($BB$2:$BB$200,$G388)&gt;0,
    COUNTIFS($BC$2:$BC$200,$G388)&gt;0,
    COUNTIFS($BD$2:$BD$200,$G388)&gt;0,
    COUNTIFS($BE$2:$BE$200,$G388)&gt;0,
    COUNTIFS($BF$2:$BF$200,$G388)&gt;0,
    COUNTIFS($BG$2:$BG$200,$G388)&gt;0,
    COUNTIFS($BH$2:$BH$200,$G388)&gt;0,
    COUNTIFS($BI$2:$BI$200,$G388)&gt;0,
    COUNTIFS($BJ$2:$BJ$200,$G388)&gt;0,
    COUNTIFS($BK$2:$BK$200,$G388)&gt;0,
    COUNTIFS($BL$2:$BL$200,$G388)&gt;0,
    COUNTIFS($BM$2:$BM$200,$G388)&gt;0,
   ),
  0)
 ),
"")</f>
        <v>Zuko</v>
      </c>
      <c r="G388" t="str">
        <f ca="1"/>
        <v>Shelter</v>
      </c>
      <c r="EX388" t="str">
        <f ca="1"/>
        <v>Shelter</v>
      </c>
    </row>
    <row r="389" spans="1:154" x14ac:dyDescent="0.25">
      <c r="A389" s="2" t="str">
        <f t="shared" ca="1" si="18"/>
        <v>5</v>
      </c>
      <c r="B389" s="2">
        <f t="shared" ca="1" si="19"/>
        <v>1</v>
      </c>
      <c r="C389" s="2" t="str">
        <f ca="1">IFERROR(
 INDEX($V$1:$BL$1,
  MATCH(TRUE,
   CHOOSE({1;2;3;4;5;6;7;8;9;10;11;12;13;14;15;16;17;18;19;20;21;22;23;24;25;26;27;28;29;30;31;32;33;34;35;36;37;38;39;40;41;42;43},
    COUNTIFS($V$2:$V$200,$G389)&gt;0,
    COUNTIFS($W$2:$W$200,$G389)&gt;0,
    COUNTIFS($X$2:$X$200,$G389)&gt;0,
    COUNTIFS($Y$2:$Y$200,$G389)&gt;0,
    COUNTIFS($Z$2:$Z$200,$G389)&gt;0,
    COUNTIFS($AA$2:$AA$200,$G389)&gt;0,
    COUNTIFS($AB$2:$AB$200,$G389)&gt;0,
    COUNTIFS($AC$2:$AC$200,$G389)&gt;0,
    COUNTIFS($AD$2:$AD$200,$G389)&gt;0,
    COUNTIFS($AE$2:$AE$200,$G389)&gt;0,
    COUNTIFS($AF$2:$AF$200,$G389)&gt;0,
    COUNTIFS($AG$2:$AG$200,$G389)&gt;0,
    COUNTIFS($AH$2:$AH$200,$G389)&gt;0,
    COUNTIFS($AI$2:$AI$200,$G389)&gt;0,
    COUNTIFS($AJ$2:$AJ$200,$G389)&gt;0,
    COUNTIFS($AK$2:$AK$200,$G389)&gt;0,
    COUNTIFS($AL$2:$AL$200,$G389)&gt;0,
    COUNTIFS($AM$2:$AM$200,$G389)&gt;0,
    COUNTIFS($AN$2:$AN$200,$G389)&gt;0,
    COUNTIFS($AO$2:$AO$200,$G389)&gt;0,
    COUNTIFS($AP$2:$AP$200,$G389)&gt;0,
    COUNTIFS($AQ$2:$AQ$200,$G389)&gt;0,
    COUNTIFS($AR$2:$AR$200,$G389)&gt;0,
    COUNTIFS($AS$2:$AS$200,$G389)&gt;0,
    COUNTIFS($AT$2:$AT$200,$G389)&gt;0,
    COUNTIFS($AU$2:$AU$200,$G389)&gt;0,
    COUNTIFS($AV$2:$AV$200,$G389)&gt;0,
    COUNTIFS($AW$2:$AW$200,$G389)&gt;0,
    COUNTIFS($AX$2:$AX$200,$G389)&gt;0,
    COUNTIFS($AY$2:$AY$200,$G389)&gt;0,
    COUNTIFS($AZ$2:$AZ$200,$G389)&gt;0,
    COUNTIFS($BA$2:$BA$200,$G389)&gt;0,
    COUNTIFS($BB$2:$BB$200,$G389)&gt;0,
    COUNTIFS($BC$2:$BC$200,$G389)&gt;0,
    COUNTIFS($BD$2:$BD$200,$G389)&gt;0,
    COUNTIFS($BE$2:$BE$200,$G389)&gt;0,
    COUNTIFS($BF$2:$BF$200,$G389)&gt;0,
    COUNTIFS($BG$2:$BG$200,$G389)&gt;0,
    COUNTIFS($BH$2:$BH$200,$G389)&gt;0,
    COUNTIFS($BI$2:$BI$200,$G389)&gt;0,
    COUNTIFS($BJ$2:$BJ$200,$G389)&gt;0,
    COUNTIFS($BK$2:$BK$200,$G389)&gt;0,
    COUNTIFS($BL$2:$BL$200,$G389)&gt;0,
    COUNTIFS($BM$2:$BM$200,$G389)&gt;0,
   ),
  0)
 ),
"")</f>
        <v>Fractius</v>
      </c>
      <c r="G389" t="str">
        <f ca="1"/>
        <v>Shifting Sliver</v>
      </c>
      <c r="EX389" t="str">
        <f ca="1"/>
        <v>Shifting Sliver</v>
      </c>
    </row>
    <row r="390" spans="1:154" x14ac:dyDescent="0.25">
      <c r="A390" s="2" t="str">
        <f t="shared" ca="1" si="18"/>
        <v>3</v>
      </c>
      <c r="B390" s="2">
        <f t="shared" ca="1" si="19"/>
        <v>1</v>
      </c>
      <c r="C390" s="2" t="str">
        <f ca="1">IFERROR(
 INDEX($V$1:$BL$1,
  MATCH(TRUE,
   CHOOSE({1;2;3;4;5;6;7;8;9;10;11;12;13;14;15;16;17;18;19;20;21;22;23;24;25;26;27;28;29;30;31;32;33;34;35;36;37;38;39;40;41;42;43},
    COUNTIFS($V$2:$V$200,$G390)&gt;0,
    COUNTIFS($W$2:$W$200,$G390)&gt;0,
    COUNTIFS($X$2:$X$200,$G390)&gt;0,
    COUNTIFS($Y$2:$Y$200,$G390)&gt;0,
    COUNTIFS($Z$2:$Z$200,$G390)&gt;0,
    COUNTIFS($AA$2:$AA$200,$G390)&gt;0,
    COUNTIFS($AB$2:$AB$200,$G390)&gt;0,
    COUNTIFS($AC$2:$AC$200,$G390)&gt;0,
    COUNTIFS($AD$2:$AD$200,$G390)&gt;0,
    COUNTIFS($AE$2:$AE$200,$G390)&gt;0,
    COUNTIFS($AF$2:$AF$200,$G390)&gt;0,
    COUNTIFS($AG$2:$AG$200,$G390)&gt;0,
    COUNTIFS($AH$2:$AH$200,$G390)&gt;0,
    COUNTIFS($AI$2:$AI$200,$G390)&gt;0,
    COUNTIFS($AJ$2:$AJ$200,$G390)&gt;0,
    COUNTIFS($AK$2:$AK$200,$G390)&gt;0,
    COUNTIFS($AL$2:$AL$200,$G390)&gt;0,
    COUNTIFS($AM$2:$AM$200,$G390)&gt;0,
    COUNTIFS($AN$2:$AN$200,$G390)&gt;0,
    COUNTIFS($AO$2:$AO$200,$G390)&gt;0,
    COUNTIFS($AP$2:$AP$200,$G390)&gt;0,
    COUNTIFS($AQ$2:$AQ$200,$G390)&gt;0,
    COUNTIFS($AR$2:$AR$200,$G390)&gt;0,
    COUNTIFS($AS$2:$AS$200,$G390)&gt;0,
    COUNTIFS($AT$2:$AT$200,$G390)&gt;0,
    COUNTIFS($AU$2:$AU$200,$G390)&gt;0,
    COUNTIFS($AV$2:$AV$200,$G390)&gt;0,
    COUNTIFS($AW$2:$AW$200,$G390)&gt;0,
    COUNTIFS($AX$2:$AX$200,$G390)&gt;0,
    COUNTIFS($AY$2:$AY$200,$G390)&gt;0,
    COUNTIFS($AZ$2:$AZ$200,$G390)&gt;0,
    COUNTIFS($BA$2:$BA$200,$G390)&gt;0,
    COUNTIFS($BB$2:$BB$200,$G390)&gt;0,
    COUNTIFS($BC$2:$BC$200,$G390)&gt;0,
    COUNTIFS($BD$2:$BD$200,$G390)&gt;0,
    COUNTIFS($BE$2:$BE$200,$G390)&gt;0,
    COUNTIFS($BF$2:$BF$200,$G390)&gt;0,
    COUNTIFS($BG$2:$BG$200,$G390)&gt;0,
    COUNTIFS($BH$2:$BH$200,$G390)&gt;0,
    COUNTIFS($BI$2:$BI$200,$G390)&gt;0,
    COUNTIFS($BJ$2:$BJ$200,$G390)&gt;0,
    COUNTIFS($BK$2:$BK$200,$G390)&gt;0,
    COUNTIFS($BL$2:$BL$200,$G390)&gt;0,
    COUNTIFS($BM$2:$BM$200,$G390)&gt;0,
   ),
  0)
 ),
"")</f>
        <v>Yuriko</v>
      </c>
      <c r="G390" t="str">
        <f ca="1"/>
        <v>Shizo, Death's Storehouse</v>
      </c>
      <c r="EX390" t="str">
        <f ca="1"/>
        <v>Shizo, Death's Storehouse</v>
      </c>
    </row>
    <row r="391" spans="1:154" x14ac:dyDescent="0.25">
      <c r="A391" s="2" t="str">
        <f t="shared" ca="1" si="18"/>
        <v>2</v>
      </c>
      <c r="B391" s="2">
        <f t="shared" ca="1" si="19"/>
        <v>1</v>
      </c>
      <c r="C391" s="2" t="str">
        <f ca="1">IFERROR(
 INDEX($V$1:$BL$1,
  MATCH(TRUE,
   CHOOSE({1;2;3;4;5;6;7;8;9;10;11;12;13;14;15;16;17;18;19;20;21;22;23;24;25;26;27;28;29;30;31;32;33;34;35;36;37;38;39;40;41;42;43},
    COUNTIFS($V$2:$V$200,$G391)&gt;0,
    COUNTIFS($W$2:$W$200,$G391)&gt;0,
    COUNTIFS($X$2:$X$200,$G391)&gt;0,
    COUNTIFS($Y$2:$Y$200,$G391)&gt;0,
    COUNTIFS($Z$2:$Z$200,$G391)&gt;0,
    COUNTIFS($AA$2:$AA$200,$G391)&gt;0,
    COUNTIFS($AB$2:$AB$200,$G391)&gt;0,
    COUNTIFS($AC$2:$AC$200,$G391)&gt;0,
    COUNTIFS($AD$2:$AD$200,$G391)&gt;0,
    COUNTIFS($AE$2:$AE$200,$G391)&gt;0,
    COUNTIFS($AF$2:$AF$200,$G391)&gt;0,
    COUNTIFS($AG$2:$AG$200,$G391)&gt;0,
    COUNTIFS($AH$2:$AH$200,$G391)&gt;0,
    COUNTIFS($AI$2:$AI$200,$G391)&gt;0,
    COUNTIFS($AJ$2:$AJ$200,$G391)&gt;0,
    COUNTIFS($AK$2:$AK$200,$G391)&gt;0,
    COUNTIFS($AL$2:$AL$200,$G391)&gt;0,
    COUNTIFS($AM$2:$AM$200,$G391)&gt;0,
    COUNTIFS($AN$2:$AN$200,$G391)&gt;0,
    COUNTIFS($AO$2:$AO$200,$G391)&gt;0,
    COUNTIFS($AP$2:$AP$200,$G391)&gt;0,
    COUNTIFS($AQ$2:$AQ$200,$G391)&gt;0,
    COUNTIFS($AR$2:$AR$200,$G391)&gt;0,
    COUNTIFS($AS$2:$AS$200,$G391)&gt;0,
    COUNTIFS($AT$2:$AT$200,$G391)&gt;0,
    COUNTIFS($AU$2:$AU$200,$G391)&gt;0,
    COUNTIFS($AV$2:$AV$200,$G391)&gt;0,
    COUNTIFS($AW$2:$AW$200,$G391)&gt;0,
    COUNTIFS($AX$2:$AX$200,$G391)&gt;0,
    COUNTIFS($AY$2:$AY$200,$G391)&gt;0,
    COUNTIFS($AZ$2:$AZ$200,$G391)&gt;0,
    COUNTIFS($BA$2:$BA$200,$G391)&gt;0,
    COUNTIFS($BB$2:$BB$200,$G391)&gt;0,
    COUNTIFS($BC$2:$BC$200,$G391)&gt;0,
    COUNTIFS($BD$2:$BD$200,$G391)&gt;0,
    COUNTIFS($BE$2:$BE$200,$G391)&gt;0,
    COUNTIFS($BF$2:$BF$200,$G391)&gt;0,
    COUNTIFS($BG$2:$BG$200,$G391)&gt;0,
    COUNTIFS($BH$2:$BH$200,$G391)&gt;0,
    COUNTIFS($BI$2:$BI$200,$G391)&gt;0,
    COUNTIFS($BJ$2:$BJ$200,$G391)&gt;0,
    COUNTIFS($BK$2:$BK$200,$G391)&gt;0,
    COUNTIFS($BL$2:$BL$200,$G391)&gt;0,
    COUNTIFS($BM$2:$BM$200,$G391)&gt;0,
   ),
  0)
 ),
"")</f>
        <v>Piratas</v>
      </c>
      <c r="G391" t="str">
        <f ca="1"/>
        <v>Shoot the Sheriff</v>
      </c>
      <c r="EX391" t="str">
        <f ca="1"/>
        <v>Shoot the Sheriff</v>
      </c>
    </row>
    <row r="392" spans="1:154" x14ac:dyDescent="0.25">
      <c r="A392" s="2" t="str">
        <f t="shared" ca="1" si="18"/>
        <v>5</v>
      </c>
      <c r="B392" s="2">
        <f t="shared" ca="1" si="19"/>
        <v>1</v>
      </c>
      <c r="C392" s="2" t="str">
        <f ca="1">IFERROR(
 INDEX($V$1:$BL$1,
  MATCH(TRUE,
   CHOOSE({1;2;3;4;5;6;7;8;9;10;11;12;13;14;15;16;17;18;19;20;21;22;23;24;25;26;27;28;29;30;31;32;33;34;35;36;37;38;39;40;41;42;43},
    COUNTIFS($V$2:$V$200,$G392)&gt;0,
    COUNTIFS($W$2:$W$200,$G392)&gt;0,
    COUNTIFS($X$2:$X$200,$G392)&gt;0,
    COUNTIFS($Y$2:$Y$200,$G392)&gt;0,
    COUNTIFS($Z$2:$Z$200,$G392)&gt;0,
    COUNTIFS($AA$2:$AA$200,$G392)&gt;0,
    COUNTIFS($AB$2:$AB$200,$G392)&gt;0,
    COUNTIFS($AC$2:$AC$200,$G392)&gt;0,
    COUNTIFS($AD$2:$AD$200,$G392)&gt;0,
    COUNTIFS($AE$2:$AE$200,$G392)&gt;0,
    COUNTIFS($AF$2:$AF$200,$G392)&gt;0,
    COUNTIFS($AG$2:$AG$200,$G392)&gt;0,
    COUNTIFS($AH$2:$AH$200,$G392)&gt;0,
    COUNTIFS($AI$2:$AI$200,$G392)&gt;0,
    COUNTIFS($AJ$2:$AJ$200,$G392)&gt;0,
    COUNTIFS($AK$2:$AK$200,$G392)&gt;0,
    COUNTIFS($AL$2:$AL$200,$G392)&gt;0,
    COUNTIFS($AM$2:$AM$200,$G392)&gt;0,
    COUNTIFS($AN$2:$AN$200,$G392)&gt;0,
    COUNTIFS($AO$2:$AO$200,$G392)&gt;0,
    COUNTIFS($AP$2:$AP$200,$G392)&gt;0,
    COUNTIFS($AQ$2:$AQ$200,$G392)&gt;0,
    COUNTIFS($AR$2:$AR$200,$G392)&gt;0,
    COUNTIFS($AS$2:$AS$200,$G392)&gt;0,
    COUNTIFS($AT$2:$AT$200,$G392)&gt;0,
    COUNTIFS($AU$2:$AU$200,$G392)&gt;0,
    COUNTIFS($AV$2:$AV$200,$G392)&gt;0,
    COUNTIFS($AW$2:$AW$200,$G392)&gt;0,
    COUNTIFS($AX$2:$AX$200,$G392)&gt;0,
    COUNTIFS($AY$2:$AY$200,$G392)&gt;0,
    COUNTIFS($AZ$2:$AZ$200,$G392)&gt;0,
    COUNTIFS($BA$2:$BA$200,$G392)&gt;0,
    COUNTIFS($BB$2:$BB$200,$G392)&gt;0,
    COUNTIFS($BC$2:$BC$200,$G392)&gt;0,
    COUNTIFS($BD$2:$BD$200,$G392)&gt;0,
    COUNTIFS($BE$2:$BE$200,$G392)&gt;0,
    COUNTIFS($BF$2:$BF$200,$G392)&gt;0,
    COUNTIFS($BG$2:$BG$200,$G392)&gt;0,
    COUNTIFS($BH$2:$BH$200,$G392)&gt;0,
    COUNTIFS($BI$2:$BI$200,$G392)&gt;0,
    COUNTIFS($BJ$2:$BJ$200,$G392)&gt;0,
    COUNTIFS($BK$2:$BK$200,$G392)&gt;0,
    COUNTIFS($BL$2:$BL$200,$G392)&gt;0,
    COUNTIFS($BM$2:$BM$200,$G392)&gt;0,
   ),
  0)
 ),
"")</f>
        <v>Fractius</v>
      </c>
      <c r="G392" t="str">
        <f ca="1"/>
        <v>Signal the Clans</v>
      </c>
      <c r="EX392" t="str">
        <f ca="1"/>
        <v>Signal the Clans</v>
      </c>
    </row>
    <row r="393" spans="1:154" x14ac:dyDescent="0.25">
      <c r="A393" s="2" t="str">
        <f t="shared" ca="1" si="18"/>
        <v>5</v>
      </c>
      <c r="B393" s="2">
        <f t="shared" ca="1" si="19"/>
        <v>1</v>
      </c>
      <c r="C393" s="2" t="str">
        <f ca="1">IFERROR(
 INDEX($V$1:$BL$1,
  MATCH(TRUE,
   CHOOSE({1;2;3;4;5;6;7;8;9;10;11;12;13;14;15;16;17;18;19;20;21;22;23;24;25;26;27;28;29;30;31;32;33;34;35;36;37;38;39;40;41;42;43},
    COUNTIFS($V$2:$V$200,$G393)&gt;0,
    COUNTIFS($W$2:$W$200,$G393)&gt;0,
    COUNTIFS($X$2:$X$200,$G393)&gt;0,
    COUNTIFS($Y$2:$Y$200,$G393)&gt;0,
    COUNTIFS($Z$2:$Z$200,$G393)&gt;0,
    COUNTIFS($AA$2:$AA$200,$G393)&gt;0,
    COUNTIFS($AB$2:$AB$200,$G393)&gt;0,
    COUNTIFS($AC$2:$AC$200,$G393)&gt;0,
    COUNTIFS($AD$2:$AD$200,$G393)&gt;0,
    COUNTIFS($AE$2:$AE$200,$G393)&gt;0,
    COUNTIFS($AF$2:$AF$200,$G393)&gt;0,
    COUNTIFS($AG$2:$AG$200,$G393)&gt;0,
    COUNTIFS($AH$2:$AH$200,$G393)&gt;0,
    COUNTIFS($AI$2:$AI$200,$G393)&gt;0,
    COUNTIFS($AJ$2:$AJ$200,$G393)&gt;0,
    COUNTIFS($AK$2:$AK$200,$G393)&gt;0,
    COUNTIFS($AL$2:$AL$200,$G393)&gt;0,
    COUNTIFS($AM$2:$AM$200,$G393)&gt;0,
    COUNTIFS($AN$2:$AN$200,$G393)&gt;0,
    COUNTIFS($AO$2:$AO$200,$G393)&gt;0,
    COUNTIFS($AP$2:$AP$200,$G393)&gt;0,
    COUNTIFS($AQ$2:$AQ$200,$G393)&gt;0,
    COUNTIFS($AR$2:$AR$200,$G393)&gt;0,
    COUNTIFS($AS$2:$AS$200,$G393)&gt;0,
    COUNTIFS($AT$2:$AT$200,$G393)&gt;0,
    COUNTIFS($AU$2:$AU$200,$G393)&gt;0,
    COUNTIFS($AV$2:$AV$200,$G393)&gt;0,
    COUNTIFS($AW$2:$AW$200,$G393)&gt;0,
    COUNTIFS($AX$2:$AX$200,$G393)&gt;0,
    COUNTIFS($AY$2:$AY$200,$G393)&gt;0,
    COUNTIFS($AZ$2:$AZ$200,$G393)&gt;0,
    COUNTIFS($BA$2:$BA$200,$G393)&gt;0,
    COUNTIFS($BB$2:$BB$200,$G393)&gt;0,
    COUNTIFS($BC$2:$BC$200,$G393)&gt;0,
    COUNTIFS($BD$2:$BD$200,$G393)&gt;0,
    COUNTIFS($BE$2:$BE$200,$G393)&gt;0,
    COUNTIFS($BF$2:$BF$200,$G393)&gt;0,
    COUNTIFS($BG$2:$BG$200,$G393)&gt;0,
    COUNTIFS($BH$2:$BH$200,$G393)&gt;0,
    COUNTIFS($BI$2:$BI$200,$G393)&gt;0,
    COUNTIFS($BJ$2:$BJ$200,$G393)&gt;0,
    COUNTIFS($BK$2:$BK$200,$G393)&gt;0,
    COUNTIFS($BL$2:$BL$200,$G393)&gt;0,
    COUNTIFS($BM$2:$BM$200,$G393)&gt;0,
   ),
  0)
 ),
"")</f>
        <v>Fractius</v>
      </c>
      <c r="G393" t="str">
        <f ca="1"/>
        <v>Sinew Sliver</v>
      </c>
      <c r="EX393" t="str">
        <f ca="1"/>
        <v>Sinew Sliver</v>
      </c>
    </row>
    <row r="394" spans="1:154" x14ac:dyDescent="0.25">
      <c r="A394" s="2" t="str">
        <f t="shared" ca="1" si="18"/>
        <v>2</v>
      </c>
      <c r="B394" s="2">
        <f t="shared" ca="1" si="19"/>
        <v>1</v>
      </c>
      <c r="C394" s="2" t="str">
        <f ca="1">IFERROR(
 INDEX($V$1:$BL$1,
  MATCH(TRUE,
   CHOOSE({1;2;3;4;5;6;7;8;9;10;11;12;13;14;15;16;17;18;19;20;21;22;23;24;25;26;27;28;29;30;31;32;33;34;35;36;37;38;39;40;41;42;43},
    COUNTIFS($V$2:$V$200,$G394)&gt;0,
    COUNTIFS($W$2:$W$200,$G394)&gt;0,
    COUNTIFS($X$2:$X$200,$G394)&gt;0,
    COUNTIFS($Y$2:$Y$200,$G394)&gt;0,
    COUNTIFS($Z$2:$Z$200,$G394)&gt;0,
    COUNTIFS($AA$2:$AA$200,$G394)&gt;0,
    COUNTIFS($AB$2:$AB$200,$G394)&gt;0,
    COUNTIFS($AC$2:$AC$200,$G394)&gt;0,
    COUNTIFS($AD$2:$AD$200,$G394)&gt;0,
    COUNTIFS($AE$2:$AE$200,$G394)&gt;0,
    COUNTIFS($AF$2:$AF$200,$G394)&gt;0,
    COUNTIFS($AG$2:$AG$200,$G394)&gt;0,
    COUNTIFS($AH$2:$AH$200,$G394)&gt;0,
    COUNTIFS($AI$2:$AI$200,$G394)&gt;0,
    COUNTIFS($AJ$2:$AJ$200,$G394)&gt;0,
    COUNTIFS($AK$2:$AK$200,$G394)&gt;0,
    COUNTIFS($AL$2:$AL$200,$G394)&gt;0,
    COUNTIFS($AM$2:$AM$200,$G394)&gt;0,
    COUNTIFS($AN$2:$AN$200,$G394)&gt;0,
    COUNTIFS($AO$2:$AO$200,$G394)&gt;0,
    COUNTIFS($AP$2:$AP$200,$G394)&gt;0,
    COUNTIFS($AQ$2:$AQ$200,$G394)&gt;0,
    COUNTIFS($AR$2:$AR$200,$G394)&gt;0,
    COUNTIFS($AS$2:$AS$200,$G394)&gt;0,
    COUNTIFS($AT$2:$AT$200,$G394)&gt;0,
    COUNTIFS($AU$2:$AU$200,$G394)&gt;0,
    COUNTIFS($AV$2:$AV$200,$G394)&gt;0,
    COUNTIFS($AW$2:$AW$200,$G394)&gt;0,
    COUNTIFS($AX$2:$AX$200,$G394)&gt;0,
    COUNTIFS($AY$2:$AY$200,$G394)&gt;0,
    COUNTIFS($AZ$2:$AZ$200,$G394)&gt;0,
    COUNTIFS($BA$2:$BA$200,$G394)&gt;0,
    COUNTIFS($BB$2:$BB$200,$G394)&gt;0,
    COUNTIFS($BC$2:$BC$200,$G394)&gt;0,
    COUNTIFS($BD$2:$BD$200,$G394)&gt;0,
    COUNTIFS($BE$2:$BE$200,$G394)&gt;0,
    COUNTIFS($BF$2:$BF$200,$G394)&gt;0,
    COUNTIFS($BG$2:$BG$200,$G394)&gt;0,
    COUNTIFS($BH$2:$BH$200,$G394)&gt;0,
    COUNTIFS($BI$2:$BI$200,$G394)&gt;0,
    COUNTIFS($BJ$2:$BJ$200,$G394)&gt;0,
    COUNTIFS($BK$2:$BK$200,$G394)&gt;0,
    COUNTIFS($BL$2:$BL$200,$G394)&gt;0,
    COUNTIFS($BM$2:$BM$200,$G394)&gt;0,
   ),
  0)
 ),
"")</f>
        <v>Rielle</v>
      </c>
      <c r="G394" t="str">
        <f ca="1"/>
        <v>Sink into Stupor</v>
      </c>
      <c r="EX394" t="str">
        <f ca="1"/>
        <v>Sink into Stupor</v>
      </c>
    </row>
    <row r="395" spans="1:154" x14ac:dyDescent="0.25">
      <c r="A395" s="2" t="str">
        <f t="shared" ca="1" si="18"/>
        <v>5</v>
      </c>
      <c r="B395" s="2">
        <f t="shared" ca="1" si="19"/>
        <v>1</v>
      </c>
      <c r="C395" s="2" t="str">
        <f ca="1">IFERROR(
 INDEX($V$1:$BL$1,
  MATCH(TRUE,
   CHOOSE({1;2;3;4;5;6;7;8;9;10;11;12;13;14;15;16;17;18;19;20;21;22;23;24;25;26;27;28;29;30;31;32;33;34;35;36;37;38;39;40;41;42;43},
    COUNTIFS($V$2:$V$200,$G395)&gt;0,
    COUNTIFS($W$2:$W$200,$G395)&gt;0,
    COUNTIFS($X$2:$X$200,$G395)&gt;0,
    COUNTIFS($Y$2:$Y$200,$G395)&gt;0,
    COUNTIFS($Z$2:$Z$200,$G395)&gt;0,
    COUNTIFS($AA$2:$AA$200,$G395)&gt;0,
    COUNTIFS($AB$2:$AB$200,$G395)&gt;0,
    COUNTIFS($AC$2:$AC$200,$G395)&gt;0,
    COUNTIFS($AD$2:$AD$200,$G395)&gt;0,
    COUNTIFS($AE$2:$AE$200,$G395)&gt;0,
    COUNTIFS($AF$2:$AF$200,$G395)&gt;0,
    COUNTIFS($AG$2:$AG$200,$G395)&gt;0,
    COUNTIFS($AH$2:$AH$200,$G395)&gt;0,
    COUNTIFS($AI$2:$AI$200,$G395)&gt;0,
    COUNTIFS($AJ$2:$AJ$200,$G395)&gt;0,
    COUNTIFS($AK$2:$AK$200,$G395)&gt;0,
    COUNTIFS($AL$2:$AL$200,$G395)&gt;0,
    COUNTIFS($AM$2:$AM$200,$G395)&gt;0,
    COUNTIFS($AN$2:$AN$200,$G395)&gt;0,
    COUNTIFS($AO$2:$AO$200,$G395)&gt;0,
    COUNTIFS($AP$2:$AP$200,$G395)&gt;0,
    COUNTIFS($AQ$2:$AQ$200,$G395)&gt;0,
    COUNTIFS($AR$2:$AR$200,$G395)&gt;0,
    COUNTIFS($AS$2:$AS$200,$G395)&gt;0,
    COUNTIFS($AT$2:$AT$200,$G395)&gt;0,
    COUNTIFS($AU$2:$AU$200,$G395)&gt;0,
    COUNTIFS($AV$2:$AV$200,$G395)&gt;0,
    COUNTIFS($AW$2:$AW$200,$G395)&gt;0,
    COUNTIFS($AX$2:$AX$200,$G395)&gt;0,
    COUNTIFS($AY$2:$AY$200,$G395)&gt;0,
    COUNTIFS($AZ$2:$AZ$200,$G395)&gt;0,
    COUNTIFS($BA$2:$BA$200,$G395)&gt;0,
    COUNTIFS($BB$2:$BB$200,$G395)&gt;0,
    COUNTIFS($BC$2:$BC$200,$G395)&gt;0,
    COUNTIFS($BD$2:$BD$200,$G395)&gt;0,
    COUNTIFS($BE$2:$BE$200,$G395)&gt;0,
    COUNTIFS($BF$2:$BF$200,$G395)&gt;0,
    COUNTIFS($BG$2:$BG$200,$G395)&gt;0,
    COUNTIFS($BH$2:$BH$200,$G395)&gt;0,
    COUNTIFS($BI$2:$BI$200,$G395)&gt;0,
    COUNTIFS($BJ$2:$BJ$200,$G395)&gt;0,
    COUNTIFS($BK$2:$BK$200,$G395)&gt;0,
    COUNTIFS($BL$2:$BL$200,$G395)&gt;0,
    COUNTIFS($BM$2:$BM$200,$G395)&gt;0,
   ),
  0)
 ),
"")</f>
        <v>Little</v>
      </c>
      <c r="G395" t="str">
        <f ca="1"/>
        <v>Sinkhole Surveyor</v>
      </c>
      <c r="EX395" t="str">
        <f ca="1"/>
        <v>Sinkhole Surveyor</v>
      </c>
    </row>
    <row r="396" spans="1:154" x14ac:dyDescent="0.25">
      <c r="A396" s="2" t="str">
        <f t="shared" ca="1" si="18"/>
        <v>5</v>
      </c>
      <c r="B396" s="2">
        <f t="shared" ca="1" si="19"/>
        <v>1</v>
      </c>
      <c r="C396" s="2" t="str">
        <f ca="1">IFERROR(
 INDEX($V$1:$BL$1,
  MATCH(TRUE,
   CHOOSE({1;2;3;4;5;6;7;8;9;10;11;12;13;14;15;16;17;18;19;20;21;22;23;24;25;26;27;28;29;30;31;32;33;34;35;36;37;38;39;40;41;42;43},
    COUNTIFS($V$2:$V$200,$G396)&gt;0,
    COUNTIFS($W$2:$W$200,$G396)&gt;0,
    COUNTIFS($X$2:$X$200,$G396)&gt;0,
    COUNTIFS($Y$2:$Y$200,$G396)&gt;0,
    COUNTIFS($Z$2:$Z$200,$G396)&gt;0,
    COUNTIFS($AA$2:$AA$200,$G396)&gt;0,
    COUNTIFS($AB$2:$AB$200,$G396)&gt;0,
    COUNTIFS($AC$2:$AC$200,$G396)&gt;0,
    COUNTIFS($AD$2:$AD$200,$G396)&gt;0,
    COUNTIFS($AE$2:$AE$200,$G396)&gt;0,
    COUNTIFS($AF$2:$AF$200,$G396)&gt;0,
    COUNTIFS($AG$2:$AG$200,$G396)&gt;0,
    COUNTIFS($AH$2:$AH$200,$G396)&gt;0,
    COUNTIFS($AI$2:$AI$200,$G396)&gt;0,
    COUNTIFS($AJ$2:$AJ$200,$G396)&gt;0,
    COUNTIFS($AK$2:$AK$200,$G396)&gt;0,
    COUNTIFS($AL$2:$AL$200,$G396)&gt;0,
    COUNTIFS($AM$2:$AM$200,$G396)&gt;0,
    COUNTIFS($AN$2:$AN$200,$G396)&gt;0,
    COUNTIFS($AO$2:$AO$200,$G396)&gt;0,
    COUNTIFS($AP$2:$AP$200,$G396)&gt;0,
    COUNTIFS($AQ$2:$AQ$200,$G396)&gt;0,
    COUNTIFS($AR$2:$AR$200,$G396)&gt;0,
    COUNTIFS($AS$2:$AS$200,$G396)&gt;0,
    COUNTIFS($AT$2:$AT$200,$G396)&gt;0,
    COUNTIFS($AU$2:$AU$200,$G396)&gt;0,
    COUNTIFS($AV$2:$AV$200,$G396)&gt;0,
    COUNTIFS($AW$2:$AW$200,$G396)&gt;0,
    COUNTIFS($AX$2:$AX$200,$G396)&gt;0,
    COUNTIFS($AY$2:$AY$200,$G396)&gt;0,
    COUNTIFS($AZ$2:$AZ$200,$G396)&gt;0,
    COUNTIFS($BA$2:$BA$200,$G396)&gt;0,
    COUNTIFS($BB$2:$BB$200,$G396)&gt;0,
    COUNTIFS($BC$2:$BC$200,$G396)&gt;0,
    COUNTIFS($BD$2:$BD$200,$G396)&gt;0,
    COUNTIFS($BE$2:$BE$200,$G396)&gt;0,
    COUNTIFS($BF$2:$BF$200,$G396)&gt;0,
    COUNTIFS($BG$2:$BG$200,$G396)&gt;0,
    COUNTIFS($BH$2:$BH$200,$G396)&gt;0,
    COUNTIFS($BI$2:$BI$200,$G396)&gt;0,
    COUNTIFS($BJ$2:$BJ$200,$G396)&gt;0,
    COUNTIFS($BK$2:$BK$200,$G396)&gt;0,
    COUNTIFS($BL$2:$BL$200,$G396)&gt;0,
    COUNTIFS($BM$2:$BM$200,$G396)&gt;0,
   ),
  0)
 ),
"")</f>
        <v>Little</v>
      </c>
      <c r="G396" t="str">
        <f ca="1"/>
        <v>Skyknight Vanguard</v>
      </c>
      <c r="EX396" t="str">
        <f ca="1"/>
        <v>Skyknight Vanguard</v>
      </c>
    </row>
    <row r="397" spans="1:154" x14ac:dyDescent="0.25">
      <c r="A397" s="2" t="str">
        <f t="shared" ca="1" si="18"/>
        <v>4</v>
      </c>
      <c r="B397" s="2">
        <f t="shared" ca="1" si="19"/>
        <v>1</v>
      </c>
      <c r="C397" s="2" t="str">
        <f ca="1">IFERROR(
 INDEX($V$1:$BL$1,
  MATCH(TRUE,
   CHOOSE({1;2;3;4;5;6;7;8;9;10;11;12;13;14;15;16;17;18;19;20;21;22;23;24;25;26;27;28;29;30;31;32;33;34;35;36;37;38;39;40;41;42;43},
    COUNTIFS($V$2:$V$200,$G397)&gt;0,
    COUNTIFS($W$2:$W$200,$G397)&gt;0,
    COUNTIFS($X$2:$X$200,$G397)&gt;0,
    COUNTIFS($Y$2:$Y$200,$G397)&gt;0,
    COUNTIFS($Z$2:$Z$200,$G397)&gt;0,
    COUNTIFS($AA$2:$AA$200,$G397)&gt;0,
    COUNTIFS($AB$2:$AB$200,$G397)&gt;0,
    COUNTIFS($AC$2:$AC$200,$G397)&gt;0,
    COUNTIFS($AD$2:$AD$200,$G397)&gt;0,
    COUNTIFS($AE$2:$AE$200,$G397)&gt;0,
    COUNTIFS($AF$2:$AF$200,$G397)&gt;0,
    COUNTIFS($AG$2:$AG$200,$G397)&gt;0,
    COUNTIFS($AH$2:$AH$200,$G397)&gt;0,
    COUNTIFS($AI$2:$AI$200,$G397)&gt;0,
    COUNTIFS($AJ$2:$AJ$200,$G397)&gt;0,
    COUNTIFS($AK$2:$AK$200,$G397)&gt;0,
    COUNTIFS($AL$2:$AL$200,$G397)&gt;0,
    COUNTIFS($AM$2:$AM$200,$G397)&gt;0,
    COUNTIFS($AN$2:$AN$200,$G397)&gt;0,
    COUNTIFS($AO$2:$AO$200,$G397)&gt;0,
    COUNTIFS($AP$2:$AP$200,$G397)&gt;0,
    COUNTIFS($AQ$2:$AQ$200,$G397)&gt;0,
    COUNTIFS($AR$2:$AR$200,$G397)&gt;0,
    COUNTIFS($AS$2:$AS$200,$G397)&gt;0,
    COUNTIFS($AT$2:$AT$200,$G397)&gt;0,
    COUNTIFS($AU$2:$AU$200,$G397)&gt;0,
    COUNTIFS($AV$2:$AV$200,$G397)&gt;0,
    COUNTIFS($AW$2:$AW$200,$G397)&gt;0,
    COUNTIFS($AX$2:$AX$200,$G397)&gt;0,
    COUNTIFS($AY$2:$AY$200,$G397)&gt;0,
    COUNTIFS($AZ$2:$AZ$200,$G397)&gt;0,
    COUNTIFS($BA$2:$BA$200,$G397)&gt;0,
    COUNTIFS($BB$2:$BB$200,$G397)&gt;0,
    COUNTIFS($BC$2:$BC$200,$G397)&gt;0,
    COUNTIFS($BD$2:$BD$200,$G397)&gt;0,
    COUNTIFS($BE$2:$BE$200,$G397)&gt;0,
    COUNTIFS($BF$2:$BF$200,$G397)&gt;0,
    COUNTIFS($BG$2:$BG$200,$G397)&gt;0,
    COUNTIFS($BH$2:$BH$200,$G397)&gt;0,
    COUNTIFS($BI$2:$BI$200,$G397)&gt;0,
    COUNTIFS($BJ$2:$BJ$200,$G397)&gt;0,
    COUNTIFS($BK$2:$BK$200,$G397)&gt;0,
    COUNTIFS($BL$2:$BL$200,$G397)&gt;0,
    COUNTIFS($BM$2:$BM$200,$G397)&gt;0,
   ),
  0)
 ),
"")</f>
        <v>Narset</v>
      </c>
      <c r="G397" t="str">
        <f ca="1"/>
        <v>Slash the Ranks</v>
      </c>
      <c r="EX397" t="str">
        <f ca="1"/>
        <v>Slash the Ranks</v>
      </c>
    </row>
    <row r="398" spans="1:154" x14ac:dyDescent="0.25">
      <c r="A398" s="2" t="str">
        <f t="shared" ca="1" si="18"/>
        <v>4</v>
      </c>
      <c r="B398" s="2">
        <f t="shared" ca="1" si="19"/>
        <v>1</v>
      </c>
      <c r="C398" s="2" t="str">
        <f ca="1">IFERROR(
 INDEX($V$1:$BL$1,
  MATCH(TRUE,
   CHOOSE({1;2;3;4;5;6;7;8;9;10;11;12;13;14;15;16;17;18;19;20;21;22;23;24;25;26;27;28;29;30;31;32;33;34;35;36;37;38;39;40;41;42;43},
    COUNTIFS($V$2:$V$200,$G398)&gt;0,
    COUNTIFS($W$2:$W$200,$G398)&gt;0,
    COUNTIFS($X$2:$X$200,$G398)&gt;0,
    COUNTIFS($Y$2:$Y$200,$G398)&gt;0,
    COUNTIFS($Z$2:$Z$200,$G398)&gt;0,
    COUNTIFS($AA$2:$AA$200,$G398)&gt;0,
    COUNTIFS($AB$2:$AB$200,$G398)&gt;0,
    COUNTIFS($AC$2:$AC$200,$G398)&gt;0,
    COUNTIFS($AD$2:$AD$200,$G398)&gt;0,
    COUNTIFS($AE$2:$AE$200,$G398)&gt;0,
    COUNTIFS($AF$2:$AF$200,$G398)&gt;0,
    COUNTIFS($AG$2:$AG$200,$G398)&gt;0,
    COUNTIFS($AH$2:$AH$200,$G398)&gt;0,
    COUNTIFS($AI$2:$AI$200,$G398)&gt;0,
    COUNTIFS($AJ$2:$AJ$200,$G398)&gt;0,
    COUNTIFS($AK$2:$AK$200,$G398)&gt;0,
    COUNTIFS($AL$2:$AL$200,$G398)&gt;0,
    COUNTIFS($AM$2:$AM$200,$G398)&gt;0,
    COUNTIFS($AN$2:$AN$200,$G398)&gt;0,
    COUNTIFS($AO$2:$AO$200,$G398)&gt;0,
    COUNTIFS($AP$2:$AP$200,$G398)&gt;0,
    COUNTIFS($AQ$2:$AQ$200,$G398)&gt;0,
    COUNTIFS($AR$2:$AR$200,$G398)&gt;0,
    COUNTIFS($AS$2:$AS$200,$G398)&gt;0,
    COUNTIFS($AT$2:$AT$200,$G398)&gt;0,
    COUNTIFS($AU$2:$AU$200,$G398)&gt;0,
    COUNTIFS($AV$2:$AV$200,$G398)&gt;0,
    COUNTIFS($AW$2:$AW$200,$G398)&gt;0,
    COUNTIFS($AX$2:$AX$200,$G398)&gt;0,
    COUNTIFS($AY$2:$AY$200,$G398)&gt;0,
    COUNTIFS($AZ$2:$AZ$200,$G398)&gt;0,
    COUNTIFS($BA$2:$BA$200,$G398)&gt;0,
    COUNTIFS($BB$2:$BB$200,$G398)&gt;0,
    COUNTIFS($BC$2:$BC$200,$G398)&gt;0,
    COUNTIFS($BD$2:$BD$200,$G398)&gt;0,
    COUNTIFS($BE$2:$BE$200,$G398)&gt;0,
    COUNTIFS($BF$2:$BF$200,$G398)&gt;0,
    COUNTIFS($BG$2:$BG$200,$G398)&gt;0,
    COUNTIFS($BH$2:$BH$200,$G398)&gt;0,
    COUNTIFS($BI$2:$BI$200,$G398)&gt;0,
    COUNTIFS($BJ$2:$BJ$200,$G398)&gt;0,
    COUNTIFS($BK$2:$BK$200,$G398)&gt;0,
    COUNTIFS($BL$2:$BL$200,$G398)&gt;0,
    COUNTIFS($BM$2:$BM$200,$G398)&gt;0,
   ),
  0)
 ),
"")</f>
        <v>Narset</v>
      </c>
      <c r="G398" t="str">
        <f ca="1"/>
        <v>Slayers' Stronghold</v>
      </c>
      <c r="EX398" t="str">
        <f ca="1"/>
        <v>Slayers' Stronghold</v>
      </c>
    </row>
    <row r="399" spans="1:154" x14ac:dyDescent="0.25">
      <c r="A399" s="2" t="str">
        <f t="shared" ca="1" si="18"/>
        <v>5</v>
      </c>
      <c r="B399" s="2">
        <f t="shared" ca="1" si="19"/>
        <v>1</v>
      </c>
      <c r="C399" s="2" t="str">
        <f ca="1">IFERROR(
 INDEX($V$1:$BL$1,
  MATCH(TRUE,
   CHOOSE({1;2;3;4;5;6;7;8;9;10;11;12;13;14;15;16;17;18;19;20;21;22;23;24;25;26;27;28;29;30;31;32;33;34;35;36;37;38;39;40;41;42;43},
    COUNTIFS($V$2:$V$200,$G399)&gt;0,
    COUNTIFS($W$2:$W$200,$G399)&gt;0,
    COUNTIFS($X$2:$X$200,$G399)&gt;0,
    COUNTIFS($Y$2:$Y$200,$G399)&gt;0,
    COUNTIFS($Z$2:$Z$200,$G399)&gt;0,
    COUNTIFS($AA$2:$AA$200,$G399)&gt;0,
    COUNTIFS($AB$2:$AB$200,$G399)&gt;0,
    COUNTIFS($AC$2:$AC$200,$G399)&gt;0,
    COUNTIFS($AD$2:$AD$200,$G399)&gt;0,
    COUNTIFS($AE$2:$AE$200,$G399)&gt;0,
    COUNTIFS($AF$2:$AF$200,$G399)&gt;0,
    COUNTIFS($AG$2:$AG$200,$G399)&gt;0,
    COUNTIFS($AH$2:$AH$200,$G399)&gt;0,
    COUNTIFS($AI$2:$AI$200,$G399)&gt;0,
    COUNTIFS($AJ$2:$AJ$200,$G399)&gt;0,
    COUNTIFS($AK$2:$AK$200,$G399)&gt;0,
    COUNTIFS($AL$2:$AL$200,$G399)&gt;0,
    COUNTIFS($AM$2:$AM$200,$G399)&gt;0,
    COUNTIFS($AN$2:$AN$200,$G399)&gt;0,
    COUNTIFS($AO$2:$AO$200,$G399)&gt;0,
    COUNTIFS($AP$2:$AP$200,$G399)&gt;0,
    COUNTIFS($AQ$2:$AQ$200,$G399)&gt;0,
    COUNTIFS($AR$2:$AR$200,$G399)&gt;0,
    COUNTIFS($AS$2:$AS$200,$G399)&gt;0,
    COUNTIFS($AT$2:$AT$200,$G399)&gt;0,
    COUNTIFS($AU$2:$AU$200,$G399)&gt;0,
    COUNTIFS($AV$2:$AV$200,$G399)&gt;0,
    COUNTIFS($AW$2:$AW$200,$G399)&gt;0,
    COUNTIFS($AX$2:$AX$200,$G399)&gt;0,
    COUNTIFS($AY$2:$AY$200,$G399)&gt;0,
    COUNTIFS($AZ$2:$AZ$200,$G399)&gt;0,
    COUNTIFS($BA$2:$BA$200,$G399)&gt;0,
    COUNTIFS($BB$2:$BB$200,$G399)&gt;0,
    COUNTIFS($BC$2:$BC$200,$G399)&gt;0,
    COUNTIFS($BD$2:$BD$200,$G399)&gt;0,
    COUNTIFS($BE$2:$BE$200,$G399)&gt;0,
    COUNTIFS($BF$2:$BF$200,$G399)&gt;0,
    COUNTIFS($BG$2:$BG$200,$G399)&gt;0,
    COUNTIFS($BH$2:$BH$200,$G399)&gt;0,
    COUNTIFS($BI$2:$BI$200,$G399)&gt;0,
    COUNTIFS($BJ$2:$BJ$200,$G399)&gt;0,
    COUNTIFS($BK$2:$BK$200,$G399)&gt;0,
    COUNTIFS($BL$2:$BL$200,$G399)&gt;0,
    COUNTIFS($BM$2:$BM$200,$G399)&gt;0,
   ),
  0)
 ),
"")</f>
        <v>Fractius</v>
      </c>
      <c r="G399" t="str">
        <f ca="1"/>
        <v>Sliver Gravemother</v>
      </c>
      <c r="EX399" t="str">
        <f ca="1"/>
        <v>Sliver Gravemother</v>
      </c>
    </row>
    <row r="400" spans="1:154" x14ac:dyDescent="0.25">
      <c r="A400" s="2" t="str">
        <f t="shared" ca="1" si="18"/>
        <v>5</v>
      </c>
      <c r="B400" s="2">
        <f t="shared" ca="1" si="19"/>
        <v>1</v>
      </c>
      <c r="C400" s="2" t="str">
        <f ca="1">IFERROR(
 INDEX($V$1:$BL$1,
  MATCH(TRUE,
   CHOOSE({1;2;3;4;5;6;7;8;9;10;11;12;13;14;15;16;17;18;19;20;21;22;23;24;25;26;27;28;29;30;31;32;33;34;35;36;37;38;39;40;41;42;43},
    COUNTIFS($V$2:$V$200,$G400)&gt;0,
    COUNTIFS($W$2:$W$200,$G400)&gt;0,
    COUNTIFS($X$2:$X$200,$G400)&gt;0,
    COUNTIFS($Y$2:$Y$200,$G400)&gt;0,
    COUNTIFS($Z$2:$Z$200,$G400)&gt;0,
    COUNTIFS($AA$2:$AA$200,$G400)&gt;0,
    COUNTIFS($AB$2:$AB$200,$G400)&gt;0,
    COUNTIFS($AC$2:$AC$200,$G400)&gt;0,
    COUNTIFS($AD$2:$AD$200,$G400)&gt;0,
    COUNTIFS($AE$2:$AE$200,$G400)&gt;0,
    COUNTIFS($AF$2:$AF$200,$G400)&gt;0,
    COUNTIFS($AG$2:$AG$200,$G400)&gt;0,
    COUNTIFS($AH$2:$AH$200,$G400)&gt;0,
    COUNTIFS($AI$2:$AI$200,$G400)&gt;0,
    COUNTIFS($AJ$2:$AJ$200,$G400)&gt;0,
    COUNTIFS($AK$2:$AK$200,$G400)&gt;0,
    COUNTIFS($AL$2:$AL$200,$G400)&gt;0,
    COUNTIFS($AM$2:$AM$200,$G400)&gt;0,
    COUNTIFS($AN$2:$AN$200,$G400)&gt;0,
    COUNTIFS($AO$2:$AO$200,$G400)&gt;0,
    COUNTIFS($AP$2:$AP$200,$G400)&gt;0,
    COUNTIFS($AQ$2:$AQ$200,$G400)&gt;0,
    COUNTIFS($AR$2:$AR$200,$G400)&gt;0,
    COUNTIFS($AS$2:$AS$200,$G400)&gt;0,
    COUNTIFS($AT$2:$AT$200,$G400)&gt;0,
    COUNTIFS($AU$2:$AU$200,$G400)&gt;0,
    COUNTIFS($AV$2:$AV$200,$G400)&gt;0,
    COUNTIFS($AW$2:$AW$200,$G400)&gt;0,
    COUNTIFS($AX$2:$AX$200,$G400)&gt;0,
    COUNTIFS($AY$2:$AY$200,$G400)&gt;0,
    COUNTIFS($AZ$2:$AZ$200,$G400)&gt;0,
    COUNTIFS($BA$2:$BA$200,$G400)&gt;0,
    COUNTIFS($BB$2:$BB$200,$G400)&gt;0,
    COUNTIFS($BC$2:$BC$200,$G400)&gt;0,
    COUNTIFS($BD$2:$BD$200,$G400)&gt;0,
    COUNTIFS($BE$2:$BE$200,$G400)&gt;0,
    COUNTIFS($BF$2:$BF$200,$G400)&gt;0,
    COUNTIFS($BG$2:$BG$200,$G400)&gt;0,
    COUNTIFS($BH$2:$BH$200,$G400)&gt;0,
    COUNTIFS($BI$2:$BI$200,$G400)&gt;0,
    COUNTIFS($BJ$2:$BJ$200,$G400)&gt;0,
    COUNTIFS($BK$2:$BK$200,$G400)&gt;0,
    COUNTIFS($BL$2:$BL$200,$G400)&gt;0,
    COUNTIFS($BM$2:$BM$200,$G400)&gt;0,
   ),
  0)
 ),
"")</f>
        <v>Fractius</v>
      </c>
      <c r="G400" t="str">
        <f ca="1"/>
        <v>Sliver Hive</v>
      </c>
      <c r="EX400" t="str">
        <f ca="1"/>
        <v>Sliver Hive</v>
      </c>
    </row>
    <row r="401" spans="1:154" x14ac:dyDescent="0.25">
      <c r="A401" s="2" t="str">
        <f t="shared" ca="1" si="18"/>
        <v>5</v>
      </c>
      <c r="B401" s="2">
        <f t="shared" ca="1" si="19"/>
        <v>1</v>
      </c>
      <c r="C401" s="2" t="str">
        <f ca="1">IFERROR(
 INDEX($V$1:$BL$1,
  MATCH(TRUE,
   CHOOSE({1;2;3;4;5;6;7;8;9;10;11;12;13;14;15;16;17;18;19;20;21;22;23;24;25;26;27;28;29;30;31;32;33;34;35;36;37;38;39;40;41;42;43},
    COUNTIFS($V$2:$V$200,$G401)&gt;0,
    COUNTIFS($W$2:$W$200,$G401)&gt;0,
    COUNTIFS($X$2:$X$200,$G401)&gt;0,
    COUNTIFS($Y$2:$Y$200,$G401)&gt;0,
    COUNTIFS($Z$2:$Z$200,$G401)&gt;0,
    COUNTIFS($AA$2:$AA$200,$G401)&gt;0,
    COUNTIFS($AB$2:$AB$200,$G401)&gt;0,
    COUNTIFS($AC$2:$AC$200,$G401)&gt;0,
    COUNTIFS($AD$2:$AD$200,$G401)&gt;0,
    COUNTIFS($AE$2:$AE$200,$G401)&gt;0,
    COUNTIFS($AF$2:$AF$200,$G401)&gt;0,
    COUNTIFS($AG$2:$AG$200,$G401)&gt;0,
    COUNTIFS($AH$2:$AH$200,$G401)&gt;0,
    COUNTIFS($AI$2:$AI$200,$G401)&gt;0,
    COUNTIFS($AJ$2:$AJ$200,$G401)&gt;0,
    COUNTIFS($AK$2:$AK$200,$G401)&gt;0,
    COUNTIFS($AL$2:$AL$200,$G401)&gt;0,
    COUNTIFS($AM$2:$AM$200,$G401)&gt;0,
    COUNTIFS($AN$2:$AN$200,$G401)&gt;0,
    COUNTIFS($AO$2:$AO$200,$G401)&gt;0,
    COUNTIFS($AP$2:$AP$200,$G401)&gt;0,
    COUNTIFS($AQ$2:$AQ$200,$G401)&gt;0,
    COUNTIFS($AR$2:$AR$200,$G401)&gt;0,
    COUNTIFS($AS$2:$AS$200,$G401)&gt;0,
    COUNTIFS($AT$2:$AT$200,$G401)&gt;0,
    COUNTIFS($AU$2:$AU$200,$G401)&gt;0,
    COUNTIFS($AV$2:$AV$200,$G401)&gt;0,
    COUNTIFS($AW$2:$AW$200,$G401)&gt;0,
    COUNTIFS($AX$2:$AX$200,$G401)&gt;0,
    COUNTIFS($AY$2:$AY$200,$G401)&gt;0,
    COUNTIFS($AZ$2:$AZ$200,$G401)&gt;0,
    COUNTIFS($BA$2:$BA$200,$G401)&gt;0,
    COUNTIFS($BB$2:$BB$200,$G401)&gt;0,
    COUNTIFS($BC$2:$BC$200,$G401)&gt;0,
    COUNTIFS($BD$2:$BD$200,$G401)&gt;0,
    COUNTIFS($BE$2:$BE$200,$G401)&gt;0,
    COUNTIFS($BF$2:$BF$200,$G401)&gt;0,
    COUNTIFS($BG$2:$BG$200,$G401)&gt;0,
    COUNTIFS($BH$2:$BH$200,$G401)&gt;0,
    COUNTIFS($BI$2:$BI$200,$G401)&gt;0,
    COUNTIFS($BJ$2:$BJ$200,$G401)&gt;0,
    COUNTIFS($BK$2:$BK$200,$G401)&gt;0,
    COUNTIFS($BL$2:$BL$200,$G401)&gt;0,
    COUNTIFS($BM$2:$BM$200,$G401)&gt;0,
   ),
  0)
 ),
"")</f>
        <v>Fractius</v>
      </c>
      <c r="G401" t="str">
        <f ca="1"/>
        <v>Sliver Hivelord</v>
      </c>
      <c r="EX401" t="str">
        <f ca="1"/>
        <v>Sliver Hivelord</v>
      </c>
    </row>
    <row r="402" spans="1:154" x14ac:dyDescent="0.25">
      <c r="A402" s="2" t="str">
        <f t="shared" ca="1" si="18"/>
        <v>5</v>
      </c>
      <c r="B402" s="2">
        <f t="shared" ca="1" si="19"/>
        <v>1</v>
      </c>
      <c r="C402" s="2" t="str">
        <f ca="1">IFERROR(
 INDEX($V$1:$BL$1,
  MATCH(TRUE,
   CHOOSE({1;2;3;4;5;6;7;8;9;10;11;12;13;14;15;16;17;18;19;20;21;22;23;24;25;26;27;28;29;30;31;32;33;34;35;36;37;38;39;40;41;42;43},
    COUNTIFS($V$2:$V$200,$G402)&gt;0,
    COUNTIFS($W$2:$W$200,$G402)&gt;0,
    COUNTIFS($X$2:$X$200,$G402)&gt;0,
    COUNTIFS($Y$2:$Y$200,$G402)&gt;0,
    COUNTIFS($Z$2:$Z$200,$G402)&gt;0,
    COUNTIFS($AA$2:$AA$200,$G402)&gt;0,
    COUNTIFS($AB$2:$AB$200,$G402)&gt;0,
    COUNTIFS($AC$2:$AC$200,$G402)&gt;0,
    COUNTIFS($AD$2:$AD$200,$G402)&gt;0,
    COUNTIFS($AE$2:$AE$200,$G402)&gt;0,
    COUNTIFS($AF$2:$AF$200,$G402)&gt;0,
    COUNTIFS($AG$2:$AG$200,$G402)&gt;0,
    COUNTIFS($AH$2:$AH$200,$G402)&gt;0,
    COUNTIFS($AI$2:$AI$200,$G402)&gt;0,
    COUNTIFS($AJ$2:$AJ$200,$G402)&gt;0,
    COUNTIFS($AK$2:$AK$200,$G402)&gt;0,
    COUNTIFS($AL$2:$AL$200,$G402)&gt;0,
    COUNTIFS($AM$2:$AM$200,$G402)&gt;0,
    COUNTIFS($AN$2:$AN$200,$G402)&gt;0,
    COUNTIFS($AO$2:$AO$200,$G402)&gt;0,
    COUNTIFS($AP$2:$AP$200,$G402)&gt;0,
    COUNTIFS($AQ$2:$AQ$200,$G402)&gt;0,
    COUNTIFS($AR$2:$AR$200,$G402)&gt;0,
    COUNTIFS($AS$2:$AS$200,$G402)&gt;0,
    COUNTIFS($AT$2:$AT$200,$G402)&gt;0,
    COUNTIFS($AU$2:$AU$200,$G402)&gt;0,
    COUNTIFS($AV$2:$AV$200,$G402)&gt;0,
    COUNTIFS($AW$2:$AW$200,$G402)&gt;0,
    COUNTIFS($AX$2:$AX$200,$G402)&gt;0,
    COUNTIFS($AY$2:$AY$200,$G402)&gt;0,
    COUNTIFS($AZ$2:$AZ$200,$G402)&gt;0,
    COUNTIFS($BA$2:$BA$200,$G402)&gt;0,
    COUNTIFS($BB$2:$BB$200,$G402)&gt;0,
    COUNTIFS($BC$2:$BC$200,$G402)&gt;0,
    COUNTIFS($BD$2:$BD$200,$G402)&gt;0,
    COUNTIFS($BE$2:$BE$200,$G402)&gt;0,
    COUNTIFS($BF$2:$BF$200,$G402)&gt;0,
    COUNTIFS($BG$2:$BG$200,$G402)&gt;0,
    COUNTIFS($BH$2:$BH$200,$G402)&gt;0,
    COUNTIFS($BI$2:$BI$200,$G402)&gt;0,
    COUNTIFS($BJ$2:$BJ$200,$G402)&gt;0,
    COUNTIFS($BK$2:$BK$200,$G402)&gt;0,
    COUNTIFS($BL$2:$BL$200,$G402)&gt;0,
    COUNTIFS($BM$2:$BM$200,$G402)&gt;0,
   ),
  0)
 ),
"")</f>
        <v>Fractius</v>
      </c>
      <c r="G402" t="str">
        <f ca="1"/>
        <v>Sliver Legion</v>
      </c>
      <c r="EX402" t="str">
        <f ca="1"/>
        <v>Sliver Legion</v>
      </c>
    </row>
    <row r="403" spans="1:154" x14ac:dyDescent="0.25">
      <c r="A403" s="2" t="str">
        <f t="shared" ca="1" si="18"/>
        <v>5</v>
      </c>
      <c r="B403" s="2">
        <f t="shared" ca="1" si="19"/>
        <v>1</v>
      </c>
      <c r="C403" s="2" t="str">
        <f ca="1">IFERROR(
 INDEX($V$1:$BL$1,
  MATCH(TRUE,
   CHOOSE({1;2;3;4;5;6;7;8;9;10;11;12;13;14;15;16;17;18;19;20;21;22;23;24;25;26;27;28;29;30;31;32;33;34;35;36;37;38;39;40;41;42;43},
    COUNTIFS($V$2:$V$200,$G403)&gt;0,
    COUNTIFS($W$2:$W$200,$G403)&gt;0,
    COUNTIFS($X$2:$X$200,$G403)&gt;0,
    COUNTIFS($Y$2:$Y$200,$G403)&gt;0,
    COUNTIFS($Z$2:$Z$200,$G403)&gt;0,
    COUNTIFS($AA$2:$AA$200,$G403)&gt;0,
    COUNTIFS($AB$2:$AB$200,$G403)&gt;0,
    COUNTIFS($AC$2:$AC$200,$G403)&gt;0,
    COUNTIFS($AD$2:$AD$200,$G403)&gt;0,
    COUNTIFS($AE$2:$AE$200,$G403)&gt;0,
    COUNTIFS($AF$2:$AF$200,$G403)&gt;0,
    COUNTIFS($AG$2:$AG$200,$G403)&gt;0,
    COUNTIFS($AH$2:$AH$200,$G403)&gt;0,
    COUNTIFS($AI$2:$AI$200,$G403)&gt;0,
    COUNTIFS($AJ$2:$AJ$200,$G403)&gt;0,
    COUNTIFS($AK$2:$AK$200,$G403)&gt;0,
    COUNTIFS($AL$2:$AL$200,$G403)&gt;0,
    COUNTIFS($AM$2:$AM$200,$G403)&gt;0,
    COUNTIFS($AN$2:$AN$200,$G403)&gt;0,
    COUNTIFS($AO$2:$AO$200,$G403)&gt;0,
    COUNTIFS($AP$2:$AP$200,$G403)&gt;0,
    COUNTIFS($AQ$2:$AQ$200,$G403)&gt;0,
    COUNTIFS($AR$2:$AR$200,$G403)&gt;0,
    COUNTIFS($AS$2:$AS$200,$G403)&gt;0,
    COUNTIFS($AT$2:$AT$200,$G403)&gt;0,
    COUNTIFS($AU$2:$AU$200,$G403)&gt;0,
    COUNTIFS($AV$2:$AV$200,$G403)&gt;0,
    COUNTIFS($AW$2:$AW$200,$G403)&gt;0,
    COUNTIFS($AX$2:$AX$200,$G403)&gt;0,
    COUNTIFS($AY$2:$AY$200,$G403)&gt;0,
    COUNTIFS($AZ$2:$AZ$200,$G403)&gt;0,
    COUNTIFS($BA$2:$BA$200,$G403)&gt;0,
    COUNTIFS($BB$2:$BB$200,$G403)&gt;0,
    COUNTIFS($BC$2:$BC$200,$G403)&gt;0,
    COUNTIFS($BD$2:$BD$200,$G403)&gt;0,
    COUNTIFS($BE$2:$BE$200,$G403)&gt;0,
    COUNTIFS($BF$2:$BF$200,$G403)&gt;0,
    COUNTIFS($BG$2:$BG$200,$G403)&gt;0,
    COUNTIFS($BH$2:$BH$200,$G403)&gt;0,
    COUNTIFS($BI$2:$BI$200,$G403)&gt;0,
    COUNTIFS($BJ$2:$BJ$200,$G403)&gt;0,
    COUNTIFS($BK$2:$BK$200,$G403)&gt;0,
    COUNTIFS($BL$2:$BL$200,$G403)&gt;0,
    COUNTIFS($BM$2:$BM$200,$G403)&gt;0,
   ),
  0)
 ),
"")</f>
        <v>Fractius</v>
      </c>
      <c r="G403" t="str">
        <f ca="1"/>
        <v>Sliver Overlord</v>
      </c>
      <c r="EX403" t="str">
        <f ca="1"/>
        <v>Sliver Overlord</v>
      </c>
    </row>
    <row r="404" spans="1:154" x14ac:dyDescent="0.25">
      <c r="A404" s="2" t="str">
        <f t="shared" ca="1" si="18"/>
        <v>5</v>
      </c>
      <c r="B404" s="2">
        <f t="shared" ca="1" si="19"/>
        <v>1</v>
      </c>
      <c r="C404" s="2" t="str">
        <f ca="1">IFERROR(
 INDEX($V$1:$BL$1,
  MATCH(TRUE,
   CHOOSE({1;2;3;4;5;6;7;8;9;10;11;12;13;14;15;16;17;18;19;20;21;22;23;24;25;26;27;28;29;30;31;32;33;34;35;36;37;38;39;40;41;42;43},
    COUNTIFS($V$2:$V$200,$G404)&gt;0,
    COUNTIFS($W$2:$W$200,$G404)&gt;0,
    COUNTIFS($X$2:$X$200,$G404)&gt;0,
    COUNTIFS($Y$2:$Y$200,$G404)&gt;0,
    COUNTIFS($Z$2:$Z$200,$G404)&gt;0,
    COUNTIFS($AA$2:$AA$200,$G404)&gt;0,
    COUNTIFS($AB$2:$AB$200,$G404)&gt;0,
    COUNTIFS($AC$2:$AC$200,$G404)&gt;0,
    COUNTIFS($AD$2:$AD$200,$G404)&gt;0,
    COUNTIFS($AE$2:$AE$200,$G404)&gt;0,
    COUNTIFS($AF$2:$AF$200,$G404)&gt;0,
    COUNTIFS($AG$2:$AG$200,$G404)&gt;0,
    COUNTIFS($AH$2:$AH$200,$G404)&gt;0,
    COUNTIFS($AI$2:$AI$200,$G404)&gt;0,
    COUNTIFS($AJ$2:$AJ$200,$G404)&gt;0,
    COUNTIFS($AK$2:$AK$200,$G404)&gt;0,
    COUNTIFS($AL$2:$AL$200,$G404)&gt;0,
    COUNTIFS($AM$2:$AM$200,$G404)&gt;0,
    COUNTIFS($AN$2:$AN$200,$G404)&gt;0,
    COUNTIFS($AO$2:$AO$200,$G404)&gt;0,
    COUNTIFS($AP$2:$AP$200,$G404)&gt;0,
    COUNTIFS($AQ$2:$AQ$200,$G404)&gt;0,
    COUNTIFS($AR$2:$AR$200,$G404)&gt;0,
    COUNTIFS($AS$2:$AS$200,$G404)&gt;0,
    COUNTIFS($AT$2:$AT$200,$G404)&gt;0,
    COUNTIFS($AU$2:$AU$200,$G404)&gt;0,
    COUNTIFS($AV$2:$AV$200,$G404)&gt;0,
    COUNTIFS($AW$2:$AW$200,$G404)&gt;0,
    COUNTIFS($AX$2:$AX$200,$G404)&gt;0,
    COUNTIFS($AY$2:$AY$200,$G404)&gt;0,
    COUNTIFS($AZ$2:$AZ$200,$G404)&gt;0,
    COUNTIFS($BA$2:$BA$200,$G404)&gt;0,
    COUNTIFS($BB$2:$BB$200,$G404)&gt;0,
    COUNTIFS($BC$2:$BC$200,$G404)&gt;0,
    COUNTIFS($BD$2:$BD$200,$G404)&gt;0,
    COUNTIFS($BE$2:$BE$200,$G404)&gt;0,
    COUNTIFS($BF$2:$BF$200,$G404)&gt;0,
    COUNTIFS($BG$2:$BG$200,$G404)&gt;0,
    COUNTIFS($BH$2:$BH$200,$G404)&gt;0,
    COUNTIFS($BI$2:$BI$200,$G404)&gt;0,
    COUNTIFS($BJ$2:$BJ$200,$G404)&gt;0,
    COUNTIFS($BK$2:$BK$200,$G404)&gt;0,
    COUNTIFS($BL$2:$BL$200,$G404)&gt;0,
    COUNTIFS($BM$2:$BM$200,$G404)&gt;0,
   ),
  0)
 ),
"")</f>
        <v>Fractius</v>
      </c>
      <c r="G404" t="str">
        <f ca="1"/>
        <v>Sliver Queen</v>
      </c>
      <c r="EX404" t="str">
        <f ca="1"/>
        <v>Sliver Queen</v>
      </c>
    </row>
    <row r="405" spans="1:154" x14ac:dyDescent="0.25">
      <c r="A405" s="2" t="str">
        <f t="shared" ca="1" si="18"/>
        <v>5</v>
      </c>
      <c r="B405" s="2">
        <f t="shared" ca="1" si="19"/>
        <v>2</v>
      </c>
      <c r="C405" s="2" t="str">
        <f ca="1">IFERROR(
 INDEX($V$1:$BL$1,
  MATCH(TRUE,
   CHOOSE({1;2;3;4;5;6;7;8;9;10;11;12;13;14;15;16;17;18;19;20;21;22;23;24;25;26;27;28;29;30;31;32;33;34;35;36;37;38;39;40;41;42;43},
    COUNTIFS($V$2:$V$200,$G405)&gt;0,
    COUNTIFS($W$2:$W$200,$G405)&gt;0,
    COUNTIFS($X$2:$X$200,$G405)&gt;0,
    COUNTIFS($Y$2:$Y$200,$G405)&gt;0,
    COUNTIFS($Z$2:$Z$200,$G405)&gt;0,
    COUNTIFS($AA$2:$AA$200,$G405)&gt;0,
    COUNTIFS($AB$2:$AB$200,$G405)&gt;0,
    COUNTIFS($AC$2:$AC$200,$G405)&gt;0,
    COUNTIFS($AD$2:$AD$200,$G405)&gt;0,
    COUNTIFS($AE$2:$AE$200,$G405)&gt;0,
    COUNTIFS($AF$2:$AF$200,$G405)&gt;0,
    COUNTIFS($AG$2:$AG$200,$G405)&gt;0,
    COUNTIFS($AH$2:$AH$200,$G405)&gt;0,
    COUNTIFS($AI$2:$AI$200,$G405)&gt;0,
    COUNTIFS($AJ$2:$AJ$200,$G405)&gt;0,
    COUNTIFS($AK$2:$AK$200,$G405)&gt;0,
    COUNTIFS($AL$2:$AL$200,$G405)&gt;0,
    COUNTIFS($AM$2:$AM$200,$G405)&gt;0,
    COUNTIFS($AN$2:$AN$200,$G405)&gt;0,
    COUNTIFS($AO$2:$AO$200,$G405)&gt;0,
    COUNTIFS($AP$2:$AP$200,$G405)&gt;0,
    COUNTIFS($AQ$2:$AQ$200,$G405)&gt;0,
    COUNTIFS($AR$2:$AR$200,$G405)&gt;0,
    COUNTIFS($AS$2:$AS$200,$G405)&gt;0,
    COUNTIFS($AT$2:$AT$200,$G405)&gt;0,
    COUNTIFS($AU$2:$AU$200,$G405)&gt;0,
    COUNTIFS($AV$2:$AV$200,$G405)&gt;0,
    COUNTIFS($AW$2:$AW$200,$G405)&gt;0,
    COUNTIFS($AX$2:$AX$200,$G405)&gt;0,
    COUNTIFS($AY$2:$AY$200,$G405)&gt;0,
    COUNTIFS($AZ$2:$AZ$200,$G405)&gt;0,
    COUNTIFS($BA$2:$BA$200,$G405)&gt;0,
    COUNTIFS($BB$2:$BB$200,$G405)&gt;0,
    COUNTIFS($BC$2:$BC$200,$G405)&gt;0,
    COUNTIFS($BD$2:$BD$200,$G405)&gt;0,
    COUNTIFS($BE$2:$BE$200,$G405)&gt;0,
    COUNTIFS($BF$2:$BF$200,$G405)&gt;0,
    COUNTIFS($BG$2:$BG$200,$G405)&gt;0,
    COUNTIFS($BH$2:$BH$200,$G405)&gt;0,
    COUNTIFS($BI$2:$BI$200,$G405)&gt;0,
    COUNTIFS($BJ$2:$BJ$200,$G405)&gt;0,
    COUNTIFS($BK$2:$BK$200,$G405)&gt;0,
    COUNTIFS($BL$2:$BL$200,$G405)&gt;0,
    COUNTIFS($BM$2:$BM$200,$G405)&gt;0,
   ),
  0)
 ),
"")</f>
        <v>Zuko</v>
      </c>
      <c r="G405" t="str">
        <f ca="1"/>
        <v>Smoldering Marsh</v>
      </c>
      <c r="EX405" t="str">
        <f ca="1"/>
        <v>Smoldering Marsh</v>
      </c>
    </row>
    <row r="406" spans="1:154" x14ac:dyDescent="0.25">
      <c r="A406" s="2" t="str">
        <f t="shared" ca="1" si="18"/>
        <v>4</v>
      </c>
      <c r="B406" s="2">
        <f t="shared" ca="1" si="19"/>
        <v>2</v>
      </c>
      <c r="C406" s="2" t="str">
        <f ca="1">IFERROR(
 INDEX($V$1:$BL$1,
  MATCH(TRUE,
   CHOOSE({1;2;3;4;5;6;7;8;9;10;11;12;13;14;15;16;17;18;19;20;21;22;23;24;25;26;27;28;29;30;31;32;33;34;35;36;37;38;39;40;41;42;43},
    COUNTIFS($V$2:$V$200,$G406)&gt;0,
    COUNTIFS($W$2:$W$200,$G406)&gt;0,
    COUNTIFS($X$2:$X$200,$G406)&gt;0,
    COUNTIFS($Y$2:$Y$200,$G406)&gt;0,
    COUNTIFS($Z$2:$Z$200,$G406)&gt;0,
    COUNTIFS($AA$2:$AA$200,$G406)&gt;0,
    COUNTIFS($AB$2:$AB$200,$G406)&gt;0,
    COUNTIFS($AC$2:$AC$200,$G406)&gt;0,
    COUNTIFS($AD$2:$AD$200,$G406)&gt;0,
    COUNTIFS($AE$2:$AE$200,$G406)&gt;0,
    COUNTIFS($AF$2:$AF$200,$G406)&gt;0,
    COUNTIFS($AG$2:$AG$200,$G406)&gt;0,
    COUNTIFS($AH$2:$AH$200,$G406)&gt;0,
    COUNTIFS($AI$2:$AI$200,$G406)&gt;0,
    COUNTIFS($AJ$2:$AJ$200,$G406)&gt;0,
    COUNTIFS($AK$2:$AK$200,$G406)&gt;0,
    COUNTIFS($AL$2:$AL$200,$G406)&gt;0,
    COUNTIFS($AM$2:$AM$200,$G406)&gt;0,
    COUNTIFS($AN$2:$AN$200,$G406)&gt;0,
    COUNTIFS($AO$2:$AO$200,$G406)&gt;0,
    COUNTIFS($AP$2:$AP$200,$G406)&gt;0,
    COUNTIFS($AQ$2:$AQ$200,$G406)&gt;0,
    COUNTIFS($AR$2:$AR$200,$G406)&gt;0,
    COUNTIFS($AS$2:$AS$200,$G406)&gt;0,
    COUNTIFS($AT$2:$AT$200,$G406)&gt;0,
    COUNTIFS($AU$2:$AU$200,$G406)&gt;0,
    COUNTIFS($AV$2:$AV$200,$G406)&gt;0,
    COUNTIFS($AW$2:$AW$200,$G406)&gt;0,
    COUNTIFS($AX$2:$AX$200,$G406)&gt;0,
    COUNTIFS($AY$2:$AY$200,$G406)&gt;0,
    COUNTIFS($AZ$2:$AZ$200,$G406)&gt;0,
    COUNTIFS($BA$2:$BA$200,$G406)&gt;0,
    COUNTIFS($BB$2:$BB$200,$G406)&gt;0,
    COUNTIFS($BC$2:$BC$200,$G406)&gt;0,
    COUNTIFS($BD$2:$BD$200,$G406)&gt;0,
    COUNTIFS($BE$2:$BE$200,$G406)&gt;0,
    COUNTIFS($BF$2:$BF$200,$G406)&gt;0,
    COUNTIFS($BG$2:$BG$200,$G406)&gt;0,
    COUNTIFS($BH$2:$BH$200,$G406)&gt;0,
    COUNTIFS($BI$2:$BI$200,$G406)&gt;0,
    COUNTIFS($BJ$2:$BJ$200,$G406)&gt;0,
    COUNTIFS($BK$2:$BK$200,$G406)&gt;0,
    COUNTIFS($BL$2:$BL$200,$G406)&gt;0,
    COUNTIFS($BM$2:$BM$200,$G406)&gt;0,
   ),
  0)
 ),
"")</f>
        <v>Narset</v>
      </c>
      <c r="G406" t="str">
        <f ca="1"/>
        <v>Sokenzan, Crucible of Defiance</v>
      </c>
      <c r="EX406" t="str">
        <f ca="1"/>
        <v>Sokenzan, Crucible of Defiance</v>
      </c>
    </row>
    <row r="407" spans="1:154" x14ac:dyDescent="0.25">
      <c r="A407" s="2" t="str">
        <f t="shared" ca="1" si="18"/>
        <v>4</v>
      </c>
      <c r="B407" s="2">
        <f t="shared" ca="1" si="19"/>
        <v>2</v>
      </c>
      <c r="C407" s="2" t="str">
        <f ca="1">IFERROR(
 INDEX($V$1:$BL$1,
  MATCH(TRUE,
   CHOOSE({1;2;3;4;5;6;7;8;9;10;11;12;13;14;15;16;17;18;19;20;21;22;23;24;25;26;27;28;29;30;31;32;33;34;35;36;37;38;39;40;41;42;43},
    COUNTIFS($V$2:$V$200,$G407)&gt;0,
    COUNTIFS($W$2:$W$200,$G407)&gt;0,
    COUNTIFS($X$2:$X$200,$G407)&gt;0,
    COUNTIFS($Y$2:$Y$200,$G407)&gt;0,
    COUNTIFS($Z$2:$Z$200,$G407)&gt;0,
    COUNTIFS($AA$2:$AA$200,$G407)&gt;0,
    COUNTIFS($AB$2:$AB$200,$G407)&gt;0,
    COUNTIFS($AC$2:$AC$200,$G407)&gt;0,
    COUNTIFS($AD$2:$AD$200,$G407)&gt;0,
    COUNTIFS($AE$2:$AE$200,$G407)&gt;0,
    COUNTIFS($AF$2:$AF$200,$G407)&gt;0,
    COUNTIFS($AG$2:$AG$200,$G407)&gt;0,
    COUNTIFS($AH$2:$AH$200,$G407)&gt;0,
    COUNTIFS($AI$2:$AI$200,$G407)&gt;0,
    COUNTIFS($AJ$2:$AJ$200,$G407)&gt;0,
    COUNTIFS($AK$2:$AK$200,$G407)&gt;0,
    COUNTIFS($AL$2:$AL$200,$G407)&gt;0,
    COUNTIFS($AM$2:$AM$200,$G407)&gt;0,
    COUNTIFS($AN$2:$AN$200,$G407)&gt;0,
    COUNTIFS($AO$2:$AO$200,$G407)&gt;0,
    COUNTIFS($AP$2:$AP$200,$G407)&gt;0,
    COUNTIFS($AQ$2:$AQ$200,$G407)&gt;0,
    COUNTIFS($AR$2:$AR$200,$G407)&gt;0,
    COUNTIFS($AS$2:$AS$200,$G407)&gt;0,
    COUNTIFS($AT$2:$AT$200,$G407)&gt;0,
    COUNTIFS($AU$2:$AU$200,$G407)&gt;0,
    COUNTIFS($AV$2:$AV$200,$G407)&gt;0,
    COUNTIFS($AW$2:$AW$200,$G407)&gt;0,
    COUNTIFS($AX$2:$AX$200,$G407)&gt;0,
    COUNTIFS($AY$2:$AY$200,$G407)&gt;0,
    COUNTIFS($AZ$2:$AZ$200,$G407)&gt;0,
    COUNTIFS($BA$2:$BA$200,$G407)&gt;0,
    COUNTIFS($BB$2:$BB$200,$G407)&gt;0,
    COUNTIFS($BC$2:$BC$200,$G407)&gt;0,
    COUNTIFS($BD$2:$BD$200,$G407)&gt;0,
    COUNTIFS($BE$2:$BE$200,$G407)&gt;0,
    COUNTIFS($BF$2:$BF$200,$G407)&gt;0,
    COUNTIFS($BG$2:$BG$200,$G407)&gt;0,
    COUNTIFS($BH$2:$BH$200,$G407)&gt;0,
    COUNTIFS($BI$2:$BI$200,$G407)&gt;0,
    COUNTIFS($BJ$2:$BJ$200,$G407)&gt;0,
    COUNTIFS($BK$2:$BK$200,$G407)&gt;0,
    COUNTIFS($BL$2:$BL$200,$G407)&gt;0,
    COUNTIFS($BM$2:$BM$200,$G407)&gt;0,
   ),
  0)
 ),
"")</f>
        <v>Modular</v>
      </c>
      <c r="G407" t="str">
        <f ca="1"/>
        <v>Sol Ring</v>
      </c>
      <c r="EX407" t="str">
        <f ca="1"/>
        <v>Sol Ring</v>
      </c>
    </row>
    <row r="408" spans="1:154" x14ac:dyDescent="0.25">
      <c r="A408" s="2" t="str">
        <f t="shared" ca="1" si="18"/>
        <v>4</v>
      </c>
      <c r="B408" s="2">
        <f t="shared" ca="1" si="19"/>
        <v>1</v>
      </c>
      <c r="C408" s="2" t="str">
        <f ca="1">IFERROR(
 INDEX($V$1:$BL$1,
  MATCH(TRUE,
   CHOOSE({1;2;3;4;5;6;7;8;9;10;11;12;13;14;15;16;17;18;19;20;21;22;23;24;25;26;27;28;29;30;31;32;33;34;35;36;37;38;39;40;41;42;43},
    COUNTIFS($V$2:$V$200,$G408)&gt;0,
    COUNTIFS($W$2:$W$200,$G408)&gt;0,
    COUNTIFS($X$2:$X$200,$G408)&gt;0,
    COUNTIFS($Y$2:$Y$200,$G408)&gt;0,
    COUNTIFS($Z$2:$Z$200,$G408)&gt;0,
    COUNTIFS($AA$2:$AA$200,$G408)&gt;0,
    COUNTIFS($AB$2:$AB$200,$G408)&gt;0,
    COUNTIFS($AC$2:$AC$200,$G408)&gt;0,
    COUNTIFS($AD$2:$AD$200,$G408)&gt;0,
    COUNTIFS($AE$2:$AE$200,$G408)&gt;0,
    COUNTIFS($AF$2:$AF$200,$G408)&gt;0,
    COUNTIFS($AG$2:$AG$200,$G408)&gt;0,
    COUNTIFS($AH$2:$AH$200,$G408)&gt;0,
    COUNTIFS($AI$2:$AI$200,$G408)&gt;0,
    COUNTIFS($AJ$2:$AJ$200,$G408)&gt;0,
    COUNTIFS($AK$2:$AK$200,$G408)&gt;0,
    COUNTIFS($AL$2:$AL$200,$G408)&gt;0,
    COUNTIFS($AM$2:$AM$200,$G408)&gt;0,
    COUNTIFS($AN$2:$AN$200,$G408)&gt;0,
    COUNTIFS($AO$2:$AO$200,$G408)&gt;0,
    COUNTIFS($AP$2:$AP$200,$G408)&gt;0,
    COUNTIFS($AQ$2:$AQ$200,$G408)&gt;0,
    COUNTIFS($AR$2:$AR$200,$G408)&gt;0,
    COUNTIFS($AS$2:$AS$200,$G408)&gt;0,
    COUNTIFS($AT$2:$AT$200,$G408)&gt;0,
    COUNTIFS($AU$2:$AU$200,$G408)&gt;0,
    COUNTIFS($AV$2:$AV$200,$G408)&gt;0,
    COUNTIFS($AW$2:$AW$200,$G408)&gt;0,
    COUNTIFS($AX$2:$AX$200,$G408)&gt;0,
    COUNTIFS($AY$2:$AY$200,$G408)&gt;0,
    COUNTIFS($AZ$2:$AZ$200,$G408)&gt;0,
    COUNTIFS($BA$2:$BA$200,$G408)&gt;0,
    COUNTIFS($BB$2:$BB$200,$G408)&gt;0,
    COUNTIFS($BC$2:$BC$200,$G408)&gt;0,
    COUNTIFS($BD$2:$BD$200,$G408)&gt;0,
    COUNTIFS($BE$2:$BE$200,$G408)&gt;0,
    COUNTIFS($BF$2:$BF$200,$G408)&gt;0,
    COUNTIFS($BG$2:$BG$200,$G408)&gt;0,
    COUNTIFS($BH$2:$BH$200,$G408)&gt;0,
    COUNTIFS($BI$2:$BI$200,$G408)&gt;0,
    COUNTIFS($BJ$2:$BJ$200,$G408)&gt;0,
    COUNTIFS($BK$2:$BK$200,$G408)&gt;0,
    COUNTIFS($BL$2:$BL$200,$G408)&gt;0,
    COUNTIFS($BM$2:$BM$200,$G408)&gt;0,
   ),
  0)
 ),
"")</f>
        <v>Modular</v>
      </c>
      <c r="G408" t="str">
        <f ca="1"/>
        <v>Solid Ground</v>
      </c>
      <c r="EX408" t="str">
        <f ca="1"/>
        <v>Solid Ground</v>
      </c>
    </row>
    <row r="409" spans="1:154" x14ac:dyDescent="0.25">
      <c r="A409" s="2" t="str">
        <f t="shared" ca="1" si="18"/>
        <v>2</v>
      </c>
      <c r="B409" s="2">
        <f t="shared" ca="1" si="19"/>
        <v>2</v>
      </c>
      <c r="C409" s="2" t="str">
        <f ca="1">IFERROR(
 INDEX($V$1:$BL$1,
  MATCH(TRUE,
   CHOOSE({1;2;3;4;5;6;7;8;9;10;11;12;13;14;15;16;17;18;19;20;21;22;23;24;25;26;27;28;29;30;31;32;33;34;35;36;37;38;39;40;41;42;43},
    COUNTIFS($V$2:$V$200,$G409)&gt;0,
    COUNTIFS($W$2:$W$200,$G409)&gt;0,
    COUNTIFS($X$2:$X$200,$G409)&gt;0,
    COUNTIFS($Y$2:$Y$200,$G409)&gt;0,
    COUNTIFS($Z$2:$Z$200,$G409)&gt;0,
    COUNTIFS($AA$2:$AA$200,$G409)&gt;0,
    COUNTIFS($AB$2:$AB$200,$G409)&gt;0,
    COUNTIFS($AC$2:$AC$200,$G409)&gt;0,
    COUNTIFS($AD$2:$AD$200,$G409)&gt;0,
    COUNTIFS($AE$2:$AE$200,$G409)&gt;0,
    COUNTIFS($AF$2:$AF$200,$G409)&gt;0,
    COUNTIFS($AG$2:$AG$200,$G409)&gt;0,
    COUNTIFS($AH$2:$AH$200,$G409)&gt;0,
    COUNTIFS($AI$2:$AI$200,$G409)&gt;0,
    COUNTIFS($AJ$2:$AJ$200,$G409)&gt;0,
    COUNTIFS($AK$2:$AK$200,$G409)&gt;0,
    COUNTIFS($AL$2:$AL$200,$G409)&gt;0,
    COUNTIFS($AM$2:$AM$200,$G409)&gt;0,
    COUNTIFS($AN$2:$AN$200,$G409)&gt;0,
    COUNTIFS($AO$2:$AO$200,$G409)&gt;0,
    COUNTIFS($AP$2:$AP$200,$G409)&gt;0,
    COUNTIFS($AQ$2:$AQ$200,$G409)&gt;0,
    COUNTIFS($AR$2:$AR$200,$G409)&gt;0,
    COUNTIFS($AS$2:$AS$200,$G409)&gt;0,
    COUNTIFS($AT$2:$AT$200,$G409)&gt;0,
    COUNTIFS($AU$2:$AU$200,$G409)&gt;0,
    COUNTIFS($AV$2:$AV$200,$G409)&gt;0,
    COUNTIFS($AW$2:$AW$200,$G409)&gt;0,
    COUNTIFS($AX$2:$AX$200,$G409)&gt;0,
    COUNTIFS($AY$2:$AY$200,$G409)&gt;0,
    COUNTIFS($AZ$2:$AZ$200,$G409)&gt;0,
    COUNTIFS($BA$2:$BA$200,$G409)&gt;0,
    COUNTIFS($BB$2:$BB$200,$G409)&gt;0,
    COUNTIFS($BC$2:$BC$200,$G409)&gt;0,
    COUNTIFS($BD$2:$BD$200,$G409)&gt;0,
    COUNTIFS($BE$2:$BE$200,$G409)&gt;0,
    COUNTIFS($BF$2:$BF$200,$G409)&gt;0,
    COUNTIFS($BG$2:$BG$200,$G409)&gt;0,
    COUNTIFS($BH$2:$BH$200,$G409)&gt;0,
    COUNTIFS($BI$2:$BI$200,$G409)&gt;0,
    COUNTIFS($BJ$2:$BJ$200,$G409)&gt;0,
    COUNTIFS($BK$2:$BK$200,$G409)&gt;0,
    COUNTIFS($BL$2:$BL$200,$G409)&gt;0,
    COUNTIFS($BM$2:$BM$200,$G409)&gt;0,
   ),
  0)
 ),
"")</f>
        <v>Muzzio</v>
      </c>
      <c r="G409" t="str">
        <f ca="1"/>
        <v>Sonic Screwdriver</v>
      </c>
      <c r="EX409" t="str">
        <f ca="1"/>
        <v>Sonic Screwdriver</v>
      </c>
    </row>
    <row r="410" spans="1:154" x14ac:dyDescent="0.25">
      <c r="A410" s="2" t="str">
        <f t="shared" ca="1" si="18"/>
        <v>5</v>
      </c>
      <c r="B410" s="2">
        <f t="shared" ca="1" si="19"/>
        <v>1</v>
      </c>
      <c r="C410" s="2" t="str">
        <f ca="1">IFERROR(
 INDEX($V$1:$BL$1,
  MATCH(TRUE,
   CHOOSE({1;2;3;4;5;6;7;8;9;10;11;12;13;14;15;16;17;18;19;20;21;22;23;24;25;26;27;28;29;30;31;32;33;34;35;36;37;38;39;40;41;42;43},
    COUNTIFS($V$2:$V$200,$G410)&gt;0,
    COUNTIFS($W$2:$W$200,$G410)&gt;0,
    COUNTIFS($X$2:$X$200,$G410)&gt;0,
    COUNTIFS($Y$2:$Y$200,$G410)&gt;0,
    COUNTIFS($Z$2:$Z$200,$G410)&gt;0,
    COUNTIFS($AA$2:$AA$200,$G410)&gt;0,
    COUNTIFS($AB$2:$AB$200,$G410)&gt;0,
    COUNTIFS($AC$2:$AC$200,$G410)&gt;0,
    COUNTIFS($AD$2:$AD$200,$G410)&gt;0,
    COUNTIFS($AE$2:$AE$200,$G410)&gt;0,
    COUNTIFS($AF$2:$AF$200,$G410)&gt;0,
    COUNTIFS($AG$2:$AG$200,$G410)&gt;0,
    COUNTIFS($AH$2:$AH$200,$G410)&gt;0,
    COUNTIFS($AI$2:$AI$200,$G410)&gt;0,
    COUNTIFS($AJ$2:$AJ$200,$G410)&gt;0,
    COUNTIFS($AK$2:$AK$200,$G410)&gt;0,
    COUNTIFS($AL$2:$AL$200,$G410)&gt;0,
    COUNTIFS($AM$2:$AM$200,$G410)&gt;0,
    COUNTIFS($AN$2:$AN$200,$G410)&gt;0,
    COUNTIFS($AO$2:$AO$200,$G410)&gt;0,
    COUNTIFS($AP$2:$AP$200,$G410)&gt;0,
    COUNTIFS($AQ$2:$AQ$200,$G410)&gt;0,
    COUNTIFS($AR$2:$AR$200,$G410)&gt;0,
    COUNTIFS($AS$2:$AS$200,$G410)&gt;0,
    COUNTIFS($AT$2:$AT$200,$G410)&gt;0,
    COUNTIFS($AU$2:$AU$200,$G410)&gt;0,
    COUNTIFS($AV$2:$AV$200,$G410)&gt;0,
    COUNTIFS($AW$2:$AW$200,$G410)&gt;0,
    COUNTIFS($AX$2:$AX$200,$G410)&gt;0,
    COUNTIFS($AY$2:$AY$200,$G410)&gt;0,
    COUNTIFS($AZ$2:$AZ$200,$G410)&gt;0,
    COUNTIFS($BA$2:$BA$200,$G410)&gt;0,
    COUNTIFS($BB$2:$BB$200,$G410)&gt;0,
    COUNTIFS($BC$2:$BC$200,$G410)&gt;0,
    COUNTIFS($BD$2:$BD$200,$G410)&gt;0,
    COUNTIFS($BE$2:$BE$200,$G410)&gt;0,
    COUNTIFS($BF$2:$BF$200,$G410)&gt;0,
    COUNTIFS($BG$2:$BG$200,$G410)&gt;0,
    COUNTIFS($BH$2:$BH$200,$G410)&gt;0,
    COUNTIFS($BI$2:$BI$200,$G410)&gt;0,
    COUNTIFS($BJ$2:$BJ$200,$G410)&gt;0,
    COUNTIFS($BK$2:$BK$200,$G410)&gt;0,
    COUNTIFS($BL$2:$BL$200,$G410)&gt;0,
    COUNTIFS($BM$2:$BM$200,$G410)&gt;0,
   ),
  0)
 ),
"")</f>
        <v>Zuko</v>
      </c>
      <c r="G410" t="str">
        <f ca="1"/>
        <v>Sophina, Spearsage Deserter</v>
      </c>
      <c r="EX410" t="str">
        <f ca="1"/>
        <v>Sophina, Spearsage Deserter</v>
      </c>
    </row>
    <row r="411" spans="1:154" x14ac:dyDescent="0.25">
      <c r="A411" s="2" t="str">
        <f t="shared" ca="1" si="18"/>
        <v>2</v>
      </c>
      <c r="B411" s="2">
        <f t="shared" ca="1" si="19"/>
        <v>1</v>
      </c>
      <c r="C411" s="2" t="str">
        <f ca="1">IFERROR(
 INDEX($V$1:$BL$1,
  MATCH(TRUE,
   CHOOSE({1;2;3;4;5;6;7;8;9;10;11;12;13;14;15;16;17;18;19;20;21;22;23;24;25;26;27;28;29;30;31;32;33;34;35;36;37;38;39;40;41;42;43},
    COUNTIFS($V$2:$V$200,$G411)&gt;0,
    COUNTIFS($W$2:$W$200,$G411)&gt;0,
    COUNTIFS($X$2:$X$200,$G411)&gt;0,
    COUNTIFS($Y$2:$Y$200,$G411)&gt;0,
    COUNTIFS($Z$2:$Z$200,$G411)&gt;0,
    COUNTIFS($AA$2:$AA$200,$G411)&gt;0,
    COUNTIFS($AB$2:$AB$200,$G411)&gt;0,
    COUNTIFS($AC$2:$AC$200,$G411)&gt;0,
    COUNTIFS($AD$2:$AD$200,$G411)&gt;0,
    COUNTIFS($AE$2:$AE$200,$G411)&gt;0,
    COUNTIFS($AF$2:$AF$200,$G411)&gt;0,
    COUNTIFS($AG$2:$AG$200,$G411)&gt;0,
    COUNTIFS($AH$2:$AH$200,$G411)&gt;0,
    COUNTIFS($AI$2:$AI$200,$G411)&gt;0,
    COUNTIFS($AJ$2:$AJ$200,$G411)&gt;0,
    COUNTIFS($AK$2:$AK$200,$G411)&gt;0,
    COUNTIFS($AL$2:$AL$200,$G411)&gt;0,
    COUNTIFS($AM$2:$AM$200,$G411)&gt;0,
    COUNTIFS($AN$2:$AN$200,$G411)&gt;0,
    COUNTIFS($AO$2:$AO$200,$G411)&gt;0,
    COUNTIFS($AP$2:$AP$200,$G411)&gt;0,
    COUNTIFS($AQ$2:$AQ$200,$G411)&gt;0,
    COUNTIFS($AR$2:$AR$200,$G411)&gt;0,
    COUNTIFS($AS$2:$AS$200,$G411)&gt;0,
    COUNTIFS($AT$2:$AT$200,$G411)&gt;0,
    COUNTIFS($AU$2:$AU$200,$G411)&gt;0,
    COUNTIFS($AV$2:$AV$200,$G411)&gt;0,
    COUNTIFS($AW$2:$AW$200,$G411)&gt;0,
    COUNTIFS($AX$2:$AX$200,$G411)&gt;0,
    COUNTIFS($AY$2:$AY$200,$G411)&gt;0,
    COUNTIFS($AZ$2:$AZ$200,$G411)&gt;0,
    COUNTIFS($BA$2:$BA$200,$G411)&gt;0,
    COUNTIFS($BB$2:$BB$200,$G411)&gt;0,
    COUNTIFS($BC$2:$BC$200,$G411)&gt;0,
    COUNTIFS($BD$2:$BD$200,$G411)&gt;0,
    COUNTIFS($BE$2:$BE$200,$G411)&gt;0,
    COUNTIFS($BF$2:$BF$200,$G411)&gt;0,
    COUNTIFS($BG$2:$BG$200,$G411)&gt;0,
    COUNTIFS($BH$2:$BH$200,$G411)&gt;0,
    COUNTIFS($BI$2:$BI$200,$G411)&gt;0,
    COUNTIFS($BJ$2:$BJ$200,$G411)&gt;0,
    COUNTIFS($BK$2:$BK$200,$G411)&gt;0,
    COUNTIFS($BL$2:$BL$200,$G411)&gt;0,
    COUNTIFS($BM$2:$BM$200,$G411)&gt;0,
   ),
  0)
 ),
"")</f>
        <v>Zimone</v>
      </c>
      <c r="G411" t="str">
        <f ca="1"/>
        <v>Sothera, the Supervoid</v>
      </c>
      <c r="EX411" t="str">
        <f ca="1"/>
        <v>Sothera, the Supervoid</v>
      </c>
    </row>
    <row r="412" spans="1:154" x14ac:dyDescent="0.25">
      <c r="A412" s="2" t="str">
        <f t="shared" ca="1" si="18"/>
        <v>4</v>
      </c>
      <c r="B412" s="2">
        <f t="shared" ca="1" si="19"/>
        <v>1</v>
      </c>
      <c r="C412" s="2" t="str">
        <f ca="1">IFERROR(
 INDEX($V$1:$BL$1,
  MATCH(TRUE,
   CHOOSE({1;2;3;4;5;6;7;8;9;10;11;12;13;14;15;16;17;18;19;20;21;22;23;24;25;26;27;28;29;30;31;32;33;34;35;36;37;38;39;40;41;42;43},
    COUNTIFS($V$2:$V$200,$G412)&gt;0,
    COUNTIFS($W$2:$W$200,$G412)&gt;0,
    COUNTIFS($X$2:$X$200,$G412)&gt;0,
    COUNTIFS($Y$2:$Y$200,$G412)&gt;0,
    COUNTIFS($Z$2:$Z$200,$G412)&gt;0,
    COUNTIFS($AA$2:$AA$200,$G412)&gt;0,
    COUNTIFS($AB$2:$AB$200,$G412)&gt;0,
    COUNTIFS($AC$2:$AC$200,$G412)&gt;0,
    COUNTIFS($AD$2:$AD$200,$G412)&gt;0,
    COUNTIFS($AE$2:$AE$200,$G412)&gt;0,
    COUNTIFS($AF$2:$AF$200,$G412)&gt;0,
    COUNTIFS($AG$2:$AG$200,$G412)&gt;0,
    COUNTIFS($AH$2:$AH$200,$G412)&gt;0,
    COUNTIFS($AI$2:$AI$200,$G412)&gt;0,
    COUNTIFS($AJ$2:$AJ$200,$G412)&gt;0,
    COUNTIFS($AK$2:$AK$200,$G412)&gt;0,
    COUNTIFS($AL$2:$AL$200,$G412)&gt;0,
    COUNTIFS($AM$2:$AM$200,$G412)&gt;0,
    COUNTIFS($AN$2:$AN$200,$G412)&gt;0,
    COUNTIFS($AO$2:$AO$200,$G412)&gt;0,
    COUNTIFS($AP$2:$AP$200,$G412)&gt;0,
    COUNTIFS($AQ$2:$AQ$200,$G412)&gt;0,
    COUNTIFS($AR$2:$AR$200,$G412)&gt;0,
    COUNTIFS($AS$2:$AS$200,$G412)&gt;0,
    COUNTIFS($AT$2:$AT$200,$G412)&gt;0,
    COUNTIFS($AU$2:$AU$200,$G412)&gt;0,
    COUNTIFS($AV$2:$AV$200,$G412)&gt;0,
    COUNTIFS($AW$2:$AW$200,$G412)&gt;0,
    COUNTIFS($AX$2:$AX$200,$G412)&gt;0,
    COUNTIFS($AY$2:$AY$200,$G412)&gt;0,
    COUNTIFS($AZ$2:$AZ$200,$G412)&gt;0,
    COUNTIFS($BA$2:$BA$200,$G412)&gt;0,
    COUNTIFS($BB$2:$BB$200,$G412)&gt;0,
    COUNTIFS($BC$2:$BC$200,$G412)&gt;0,
    COUNTIFS($BD$2:$BD$200,$G412)&gt;0,
    COUNTIFS($BE$2:$BE$200,$G412)&gt;0,
    COUNTIFS($BF$2:$BF$200,$G412)&gt;0,
    COUNTIFS($BG$2:$BG$200,$G412)&gt;0,
    COUNTIFS($BH$2:$BH$200,$G412)&gt;0,
    COUNTIFS($BI$2:$BI$200,$G412)&gt;0,
    COUNTIFS($BJ$2:$BJ$200,$G412)&gt;0,
    COUNTIFS($BK$2:$BK$200,$G412)&gt;0,
    COUNTIFS($BL$2:$BL$200,$G412)&gt;0,
    COUNTIFS($BM$2:$BM$200,$G412)&gt;0,
   ),
  0)
 ),
"")</f>
        <v>Kresh</v>
      </c>
      <c r="G412" t="str">
        <f ca="1"/>
        <v>Soul Immolation</v>
      </c>
      <c r="EX412" t="str">
        <f ca="1"/>
        <v>Soul Immolation</v>
      </c>
    </row>
    <row r="413" spans="1:154" x14ac:dyDescent="0.25">
      <c r="A413" s="2" t="str">
        <f t="shared" ca="1" si="18"/>
        <v>5</v>
      </c>
      <c r="B413" s="2">
        <f t="shared" ca="1" si="19"/>
        <v>1</v>
      </c>
      <c r="C413" s="2" t="str">
        <f ca="1">IFERROR(
 INDEX($V$1:$BL$1,
  MATCH(TRUE,
   CHOOSE({1;2;3;4;5;6;7;8;9;10;11;12;13;14;15;16;17;18;19;20;21;22;23;24;25;26;27;28;29;30;31;32;33;34;35;36;37;38;39;40;41;42;43},
    COUNTIFS($V$2:$V$200,$G413)&gt;0,
    COUNTIFS($W$2:$W$200,$G413)&gt;0,
    COUNTIFS($X$2:$X$200,$G413)&gt;0,
    COUNTIFS($Y$2:$Y$200,$G413)&gt;0,
    COUNTIFS($Z$2:$Z$200,$G413)&gt;0,
    COUNTIFS($AA$2:$AA$200,$G413)&gt;0,
    COUNTIFS($AB$2:$AB$200,$G413)&gt;0,
    COUNTIFS($AC$2:$AC$200,$G413)&gt;0,
    COUNTIFS($AD$2:$AD$200,$G413)&gt;0,
    COUNTIFS($AE$2:$AE$200,$G413)&gt;0,
    COUNTIFS($AF$2:$AF$200,$G413)&gt;0,
    COUNTIFS($AG$2:$AG$200,$G413)&gt;0,
    COUNTIFS($AH$2:$AH$200,$G413)&gt;0,
    COUNTIFS($AI$2:$AI$200,$G413)&gt;0,
    COUNTIFS($AJ$2:$AJ$200,$G413)&gt;0,
    COUNTIFS($AK$2:$AK$200,$G413)&gt;0,
    COUNTIFS($AL$2:$AL$200,$G413)&gt;0,
    COUNTIFS($AM$2:$AM$200,$G413)&gt;0,
    COUNTIFS($AN$2:$AN$200,$G413)&gt;0,
    COUNTIFS($AO$2:$AO$200,$G413)&gt;0,
    COUNTIFS($AP$2:$AP$200,$G413)&gt;0,
    COUNTIFS($AQ$2:$AQ$200,$G413)&gt;0,
    COUNTIFS($AR$2:$AR$200,$G413)&gt;0,
    COUNTIFS($AS$2:$AS$200,$G413)&gt;0,
    COUNTIFS($AT$2:$AT$200,$G413)&gt;0,
    COUNTIFS($AU$2:$AU$200,$G413)&gt;0,
    COUNTIFS($AV$2:$AV$200,$G413)&gt;0,
    COUNTIFS($AW$2:$AW$200,$G413)&gt;0,
    COUNTIFS($AX$2:$AX$200,$G413)&gt;0,
    COUNTIFS($AY$2:$AY$200,$G413)&gt;0,
    COUNTIFS($AZ$2:$AZ$200,$G413)&gt;0,
    COUNTIFS($BA$2:$BA$200,$G413)&gt;0,
    COUNTIFS($BB$2:$BB$200,$G413)&gt;0,
    COUNTIFS($BC$2:$BC$200,$G413)&gt;0,
    COUNTIFS($BD$2:$BD$200,$G413)&gt;0,
    COUNTIFS($BE$2:$BE$200,$G413)&gt;0,
    COUNTIFS($BF$2:$BF$200,$G413)&gt;0,
    COUNTIFS($BG$2:$BG$200,$G413)&gt;0,
    COUNTIFS($BH$2:$BH$200,$G413)&gt;0,
    COUNTIFS($BI$2:$BI$200,$G413)&gt;0,
    COUNTIFS($BJ$2:$BJ$200,$G413)&gt;0,
    COUNTIFS($BK$2:$BK$200,$G413)&gt;0,
    COUNTIFS($BL$2:$BL$200,$G413)&gt;0,
    COUNTIFS($BM$2:$BM$200,$G413)&gt;0,
   ),
  0)
 ),
"")</f>
        <v>Fractius</v>
      </c>
      <c r="G413" t="str">
        <f ca="1"/>
        <v>Spara's Headquarters</v>
      </c>
      <c r="EX413" t="str">
        <f ca="1"/>
        <v>Spara's Headquarters</v>
      </c>
    </row>
    <row r="414" spans="1:154" x14ac:dyDescent="0.25">
      <c r="A414" s="2" t="str">
        <f t="shared" ca="1" si="18"/>
        <v>4</v>
      </c>
      <c r="B414" s="2">
        <f t="shared" ca="1" si="19"/>
        <v>1</v>
      </c>
      <c r="C414" s="2" t="str">
        <f ca="1">IFERROR(
 INDEX($V$1:$BL$1,
  MATCH(TRUE,
   CHOOSE({1;2;3;4;5;6;7;8;9;10;11;12;13;14;15;16;17;18;19;20;21;22;23;24;25;26;27;28;29;30;31;32;33;34;35;36;37;38;39;40;41;42;43},
    COUNTIFS($V$2:$V$200,$G414)&gt;0,
    COUNTIFS($W$2:$W$200,$G414)&gt;0,
    COUNTIFS($X$2:$X$200,$G414)&gt;0,
    COUNTIFS($Y$2:$Y$200,$G414)&gt;0,
    COUNTIFS($Z$2:$Z$200,$G414)&gt;0,
    COUNTIFS($AA$2:$AA$200,$G414)&gt;0,
    COUNTIFS($AB$2:$AB$200,$G414)&gt;0,
    COUNTIFS($AC$2:$AC$200,$G414)&gt;0,
    COUNTIFS($AD$2:$AD$200,$G414)&gt;0,
    COUNTIFS($AE$2:$AE$200,$G414)&gt;0,
    COUNTIFS($AF$2:$AF$200,$G414)&gt;0,
    COUNTIFS($AG$2:$AG$200,$G414)&gt;0,
    COUNTIFS($AH$2:$AH$200,$G414)&gt;0,
    COUNTIFS($AI$2:$AI$200,$G414)&gt;0,
    COUNTIFS($AJ$2:$AJ$200,$G414)&gt;0,
    COUNTIFS($AK$2:$AK$200,$G414)&gt;0,
    COUNTIFS($AL$2:$AL$200,$G414)&gt;0,
    COUNTIFS($AM$2:$AM$200,$G414)&gt;0,
    COUNTIFS($AN$2:$AN$200,$G414)&gt;0,
    COUNTIFS($AO$2:$AO$200,$G414)&gt;0,
    COUNTIFS($AP$2:$AP$200,$G414)&gt;0,
    COUNTIFS($AQ$2:$AQ$200,$G414)&gt;0,
    COUNTIFS($AR$2:$AR$200,$G414)&gt;0,
    COUNTIFS($AS$2:$AS$200,$G414)&gt;0,
    COUNTIFS($AT$2:$AT$200,$G414)&gt;0,
    COUNTIFS($AU$2:$AU$200,$G414)&gt;0,
    COUNTIFS($AV$2:$AV$200,$G414)&gt;0,
    COUNTIFS($AW$2:$AW$200,$G414)&gt;0,
    COUNTIFS($AX$2:$AX$200,$G414)&gt;0,
    COUNTIFS($AY$2:$AY$200,$G414)&gt;0,
    COUNTIFS($AZ$2:$AZ$200,$G414)&gt;0,
    COUNTIFS($BA$2:$BA$200,$G414)&gt;0,
    COUNTIFS($BB$2:$BB$200,$G414)&gt;0,
    COUNTIFS($BC$2:$BC$200,$G414)&gt;0,
    COUNTIFS($BD$2:$BD$200,$G414)&gt;0,
    COUNTIFS($BE$2:$BE$200,$G414)&gt;0,
    COUNTIFS($BF$2:$BF$200,$G414)&gt;0,
    COUNTIFS($BG$2:$BG$200,$G414)&gt;0,
    COUNTIFS($BH$2:$BH$200,$G414)&gt;0,
    COUNTIFS($BI$2:$BI$200,$G414)&gt;0,
    COUNTIFS($BJ$2:$BJ$200,$G414)&gt;0,
    COUNTIFS($BK$2:$BK$200,$G414)&gt;0,
    COUNTIFS($BL$2:$BL$200,$G414)&gt;0,
    COUNTIFS($BM$2:$BM$200,$G414)&gt;0,
   ),
  0)
 ),
"")</f>
        <v>Tayam</v>
      </c>
      <c r="G414" t="str">
        <f ca="1"/>
        <v>Spectacular Spider-Man</v>
      </c>
      <c r="EX414" t="str">
        <f ca="1"/>
        <v>Spectacular Spider-Man</v>
      </c>
    </row>
    <row r="415" spans="1:154" x14ac:dyDescent="0.25">
      <c r="A415" s="2" t="str">
        <f t="shared" ca="1" si="18"/>
        <v>2</v>
      </c>
      <c r="B415" s="2">
        <f t="shared" ca="1" si="19"/>
        <v>1</v>
      </c>
      <c r="C415" s="2" t="str">
        <f ca="1">IFERROR(
 INDEX($V$1:$BL$1,
  MATCH(TRUE,
   CHOOSE({1;2;3;4;5;6;7;8;9;10;11;12;13;14;15;16;17;18;19;20;21;22;23;24;25;26;27;28;29;30;31;32;33;34;35;36;37;38;39;40;41;42;43},
    COUNTIFS($V$2:$V$200,$G415)&gt;0,
    COUNTIFS($W$2:$W$200,$G415)&gt;0,
    COUNTIFS($X$2:$X$200,$G415)&gt;0,
    COUNTIFS($Y$2:$Y$200,$G415)&gt;0,
    COUNTIFS($Z$2:$Z$200,$G415)&gt;0,
    COUNTIFS($AA$2:$AA$200,$G415)&gt;0,
    COUNTIFS($AB$2:$AB$200,$G415)&gt;0,
    COUNTIFS($AC$2:$AC$200,$G415)&gt;0,
    COUNTIFS($AD$2:$AD$200,$G415)&gt;0,
    COUNTIFS($AE$2:$AE$200,$G415)&gt;0,
    COUNTIFS($AF$2:$AF$200,$G415)&gt;0,
    COUNTIFS($AG$2:$AG$200,$G415)&gt;0,
    COUNTIFS($AH$2:$AH$200,$G415)&gt;0,
    COUNTIFS($AI$2:$AI$200,$G415)&gt;0,
    COUNTIFS($AJ$2:$AJ$200,$G415)&gt;0,
    COUNTIFS($AK$2:$AK$200,$G415)&gt;0,
    COUNTIFS($AL$2:$AL$200,$G415)&gt;0,
    COUNTIFS($AM$2:$AM$200,$G415)&gt;0,
    COUNTIFS($AN$2:$AN$200,$G415)&gt;0,
    COUNTIFS($AO$2:$AO$200,$G415)&gt;0,
    COUNTIFS($AP$2:$AP$200,$G415)&gt;0,
    COUNTIFS($AQ$2:$AQ$200,$G415)&gt;0,
    COUNTIFS($AR$2:$AR$200,$G415)&gt;0,
    COUNTIFS($AS$2:$AS$200,$G415)&gt;0,
    COUNTIFS($AT$2:$AT$200,$G415)&gt;0,
    COUNTIFS($AU$2:$AU$200,$G415)&gt;0,
    COUNTIFS($AV$2:$AV$200,$G415)&gt;0,
    COUNTIFS($AW$2:$AW$200,$G415)&gt;0,
    COUNTIFS($AX$2:$AX$200,$G415)&gt;0,
    COUNTIFS($AY$2:$AY$200,$G415)&gt;0,
    COUNTIFS($AZ$2:$AZ$200,$G415)&gt;0,
    COUNTIFS($BA$2:$BA$200,$G415)&gt;0,
    COUNTIFS($BB$2:$BB$200,$G415)&gt;0,
    COUNTIFS($BC$2:$BC$200,$G415)&gt;0,
    COUNTIFS($BD$2:$BD$200,$G415)&gt;0,
    COUNTIFS($BE$2:$BE$200,$G415)&gt;0,
    COUNTIFS($BF$2:$BF$200,$G415)&gt;0,
    COUNTIFS($BG$2:$BG$200,$G415)&gt;0,
    COUNTIFS($BH$2:$BH$200,$G415)&gt;0,
    COUNTIFS($BI$2:$BI$200,$G415)&gt;0,
    COUNTIFS($BJ$2:$BJ$200,$G415)&gt;0,
    COUNTIFS($BK$2:$BK$200,$G415)&gt;0,
    COUNTIFS($BL$2:$BL$200,$G415)&gt;0,
    COUNTIFS($BM$2:$BM$200,$G415)&gt;0,
   ),
  0)
 ),
"")</f>
        <v>VialIshai</v>
      </c>
      <c r="G415" t="str">
        <f ca="1"/>
        <v>Spectator Seating</v>
      </c>
      <c r="EX415" t="str">
        <f ca="1"/>
        <v>Spectator Seating</v>
      </c>
    </row>
    <row r="416" spans="1:154" x14ac:dyDescent="0.25">
      <c r="A416" s="2" t="str">
        <f t="shared" ca="1" si="18"/>
        <v>4</v>
      </c>
      <c r="B416" s="2">
        <f t="shared" ca="1" si="19"/>
        <v>1</v>
      </c>
      <c r="C416" s="2" t="str">
        <f ca="1">IFERROR(
 INDEX($V$1:$BL$1,
  MATCH(TRUE,
   CHOOSE({1;2;3;4;5;6;7;8;9;10;11;12;13;14;15;16;17;18;19;20;21;22;23;24;25;26;27;28;29;30;31;32;33;34;35;36;37;38;39;40;41;42;43},
    COUNTIFS($V$2:$V$200,$G416)&gt;0,
    COUNTIFS($W$2:$W$200,$G416)&gt;0,
    COUNTIFS($X$2:$X$200,$G416)&gt;0,
    COUNTIFS($Y$2:$Y$200,$G416)&gt;0,
    COUNTIFS($Z$2:$Z$200,$G416)&gt;0,
    COUNTIFS($AA$2:$AA$200,$G416)&gt;0,
    COUNTIFS($AB$2:$AB$200,$G416)&gt;0,
    COUNTIFS($AC$2:$AC$200,$G416)&gt;0,
    COUNTIFS($AD$2:$AD$200,$G416)&gt;0,
    COUNTIFS($AE$2:$AE$200,$G416)&gt;0,
    COUNTIFS($AF$2:$AF$200,$G416)&gt;0,
    COUNTIFS($AG$2:$AG$200,$G416)&gt;0,
    COUNTIFS($AH$2:$AH$200,$G416)&gt;0,
    COUNTIFS($AI$2:$AI$200,$G416)&gt;0,
    COUNTIFS($AJ$2:$AJ$200,$G416)&gt;0,
    COUNTIFS($AK$2:$AK$200,$G416)&gt;0,
    COUNTIFS($AL$2:$AL$200,$G416)&gt;0,
    COUNTIFS($AM$2:$AM$200,$G416)&gt;0,
    COUNTIFS($AN$2:$AN$200,$G416)&gt;0,
    COUNTIFS($AO$2:$AO$200,$G416)&gt;0,
    COUNTIFS($AP$2:$AP$200,$G416)&gt;0,
    COUNTIFS($AQ$2:$AQ$200,$G416)&gt;0,
    COUNTIFS($AR$2:$AR$200,$G416)&gt;0,
    COUNTIFS($AS$2:$AS$200,$G416)&gt;0,
    COUNTIFS($AT$2:$AT$200,$G416)&gt;0,
    COUNTIFS($AU$2:$AU$200,$G416)&gt;0,
    COUNTIFS($AV$2:$AV$200,$G416)&gt;0,
    COUNTIFS($AW$2:$AW$200,$G416)&gt;0,
    COUNTIFS($AX$2:$AX$200,$G416)&gt;0,
    COUNTIFS($AY$2:$AY$200,$G416)&gt;0,
    COUNTIFS($AZ$2:$AZ$200,$G416)&gt;0,
    COUNTIFS($BA$2:$BA$200,$G416)&gt;0,
    COUNTIFS($BB$2:$BB$200,$G416)&gt;0,
    COUNTIFS($BC$2:$BC$200,$G416)&gt;0,
    COUNTIFS($BD$2:$BD$200,$G416)&gt;0,
    COUNTIFS($BE$2:$BE$200,$G416)&gt;0,
    COUNTIFS($BF$2:$BF$200,$G416)&gt;0,
    COUNTIFS($BG$2:$BG$200,$G416)&gt;0,
    COUNTIFS($BH$2:$BH$200,$G416)&gt;0,
    COUNTIFS($BI$2:$BI$200,$G416)&gt;0,
    COUNTIFS($BJ$2:$BJ$200,$G416)&gt;0,
    COUNTIFS($BK$2:$BK$200,$G416)&gt;0,
    COUNTIFS($BL$2:$BL$200,$G416)&gt;0,
    COUNTIFS($BM$2:$BM$200,$G416)&gt;0,
   ),
  0)
 ),
"")</f>
        <v>Tayam</v>
      </c>
      <c r="G416" t="str">
        <f ca="1"/>
        <v>Sphere Grid</v>
      </c>
      <c r="EX416" t="str">
        <f ca="1"/>
        <v>Sphere Grid</v>
      </c>
    </row>
    <row r="417" spans="1:154" x14ac:dyDescent="0.25">
      <c r="A417" s="2" t="str">
        <f t="shared" ca="1" si="18"/>
        <v>5</v>
      </c>
      <c r="B417" s="2">
        <f t="shared" ca="1" si="19"/>
        <v>1</v>
      </c>
      <c r="C417" s="2" t="str">
        <f ca="1">IFERROR(
 INDEX($V$1:$BL$1,
  MATCH(TRUE,
   CHOOSE({1;2;3;4;5;6;7;8;9;10;11;12;13;14;15;16;17;18;19;20;21;22;23;24;25;26;27;28;29;30;31;32;33;34;35;36;37;38;39;40;41;42;43},
    COUNTIFS($V$2:$V$200,$G417)&gt;0,
    COUNTIFS($W$2:$W$200,$G417)&gt;0,
    COUNTIFS($X$2:$X$200,$G417)&gt;0,
    COUNTIFS($Y$2:$Y$200,$G417)&gt;0,
    COUNTIFS($Z$2:$Z$200,$G417)&gt;0,
    COUNTIFS($AA$2:$AA$200,$G417)&gt;0,
    COUNTIFS($AB$2:$AB$200,$G417)&gt;0,
    COUNTIFS($AC$2:$AC$200,$G417)&gt;0,
    COUNTIFS($AD$2:$AD$200,$G417)&gt;0,
    COUNTIFS($AE$2:$AE$200,$G417)&gt;0,
    COUNTIFS($AF$2:$AF$200,$G417)&gt;0,
    COUNTIFS($AG$2:$AG$200,$G417)&gt;0,
    COUNTIFS($AH$2:$AH$200,$G417)&gt;0,
    COUNTIFS($AI$2:$AI$200,$G417)&gt;0,
    COUNTIFS($AJ$2:$AJ$200,$G417)&gt;0,
    COUNTIFS($AK$2:$AK$200,$G417)&gt;0,
    COUNTIFS($AL$2:$AL$200,$G417)&gt;0,
    COUNTIFS($AM$2:$AM$200,$G417)&gt;0,
    COUNTIFS($AN$2:$AN$200,$G417)&gt;0,
    COUNTIFS($AO$2:$AO$200,$G417)&gt;0,
    COUNTIFS($AP$2:$AP$200,$G417)&gt;0,
    COUNTIFS($AQ$2:$AQ$200,$G417)&gt;0,
    COUNTIFS($AR$2:$AR$200,$G417)&gt;0,
    COUNTIFS($AS$2:$AS$200,$G417)&gt;0,
    COUNTIFS($AT$2:$AT$200,$G417)&gt;0,
    COUNTIFS($AU$2:$AU$200,$G417)&gt;0,
    COUNTIFS($AV$2:$AV$200,$G417)&gt;0,
    COUNTIFS($AW$2:$AW$200,$G417)&gt;0,
    COUNTIFS($AX$2:$AX$200,$G417)&gt;0,
    COUNTIFS($AY$2:$AY$200,$G417)&gt;0,
    COUNTIFS($AZ$2:$AZ$200,$G417)&gt;0,
    COUNTIFS($BA$2:$BA$200,$G417)&gt;0,
    COUNTIFS($BB$2:$BB$200,$G417)&gt;0,
    COUNTIFS($BC$2:$BC$200,$G417)&gt;0,
    COUNTIFS($BD$2:$BD$200,$G417)&gt;0,
    COUNTIFS($BE$2:$BE$200,$G417)&gt;0,
    COUNTIFS($BF$2:$BF$200,$G417)&gt;0,
    COUNTIFS($BG$2:$BG$200,$G417)&gt;0,
    COUNTIFS($BH$2:$BH$200,$G417)&gt;0,
    COUNTIFS($BI$2:$BI$200,$G417)&gt;0,
    COUNTIFS($BJ$2:$BJ$200,$G417)&gt;0,
    COUNTIFS($BK$2:$BK$200,$G417)&gt;0,
    COUNTIFS($BL$2:$BL$200,$G417)&gt;0,
    COUNTIFS($BM$2:$BM$200,$G417)&gt;0,
   ),
  0)
 ),
"")</f>
        <v>Zuko</v>
      </c>
      <c r="G417" t="str">
        <f ca="1"/>
        <v>Spinerock Knoll</v>
      </c>
      <c r="EX417" t="str">
        <f ca="1"/>
        <v>Spinerock Knoll</v>
      </c>
    </row>
    <row r="418" spans="1:154" x14ac:dyDescent="0.25">
      <c r="A418" s="2" t="str">
        <f t="shared" ca="1" si="18"/>
        <v>1</v>
      </c>
      <c r="B418" s="2">
        <f t="shared" ca="1" si="19"/>
        <v>2</v>
      </c>
      <c r="C418" s="2" t="str">
        <f ca="1">IFERROR(
 INDEX($V$1:$BL$1,
  MATCH(TRUE,
   CHOOSE({1;2;3;4;5;6;7;8;9;10;11;12;13;14;15;16;17;18;19;20;21;22;23;24;25;26;27;28;29;30;31;32;33;34;35;36;37;38;39;40;41;42;43},
    COUNTIFS($V$2:$V$200,$G418)&gt;0,
    COUNTIFS($W$2:$W$200,$G418)&gt;0,
    COUNTIFS($X$2:$X$200,$G418)&gt;0,
    COUNTIFS($Y$2:$Y$200,$G418)&gt;0,
    COUNTIFS($Z$2:$Z$200,$G418)&gt;0,
    COUNTIFS($AA$2:$AA$200,$G418)&gt;0,
    COUNTIFS($AB$2:$AB$200,$G418)&gt;0,
    COUNTIFS($AC$2:$AC$200,$G418)&gt;0,
    COUNTIFS($AD$2:$AD$200,$G418)&gt;0,
    COUNTIFS($AE$2:$AE$200,$G418)&gt;0,
    COUNTIFS($AF$2:$AF$200,$G418)&gt;0,
    COUNTIFS($AG$2:$AG$200,$G418)&gt;0,
    COUNTIFS($AH$2:$AH$200,$G418)&gt;0,
    COUNTIFS($AI$2:$AI$200,$G418)&gt;0,
    COUNTIFS($AJ$2:$AJ$200,$G418)&gt;0,
    COUNTIFS($AK$2:$AK$200,$G418)&gt;0,
    COUNTIFS($AL$2:$AL$200,$G418)&gt;0,
    COUNTIFS($AM$2:$AM$200,$G418)&gt;0,
    COUNTIFS($AN$2:$AN$200,$G418)&gt;0,
    COUNTIFS($AO$2:$AO$200,$G418)&gt;0,
    COUNTIFS($AP$2:$AP$200,$G418)&gt;0,
    COUNTIFS($AQ$2:$AQ$200,$G418)&gt;0,
    COUNTIFS($AR$2:$AR$200,$G418)&gt;0,
    COUNTIFS($AS$2:$AS$200,$G418)&gt;0,
    COUNTIFS($AT$2:$AT$200,$G418)&gt;0,
    COUNTIFS($AU$2:$AU$200,$G418)&gt;0,
    COUNTIFS($AV$2:$AV$200,$G418)&gt;0,
    COUNTIFS($AW$2:$AW$200,$G418)&gt;0,
    COUNTIFS($AX$2:$AX$200,$G418)&gt;0,
    COUNTIFS($AY$2:$AY$200,$G418)&gt;0,
    COUNTIFS($AZ$2:$AZ$200,$G418)&gt;0,
    COUNTIFS($BA$2:$BA$200,$G418)&gt;0,
    COUNTIFS($BB$2:$BB$200,$G418)&gt;0,
    COUNTIFS($BC$2:$BC$200,$G418)&gt;0,
    COUNTIFS($BD$2:$BD$200,$G418)&gt;0,
    COUNTIFS($BE$2:$BE$200,$G418)&gt;0,
    COUNTIFS($BF$2:$BF$200,$G418)&gt;0,
    COUNTIFS($BG$2:$BG$200,$G418)&gt;0,
    COUNTIFS($BH$2:$BH$200,$G418)&gt;0,
    COUNTIFS($BI$2:$BI$200,$G418)&gt;0,
    COUNTIFS($BJ$2:$BJ$200,$G418)&gt;0,
    COUNTIFS($BK$2:$BK$200,$G418)&gt;0,
    COUNTIFS($BL$2:$BL$200,$G418)&gt;0,
    COUNTIFS($BM$2:$BM$200,$G418)&gt;0,
   ),
  0)
 ),
"")</f>
        <v>Oona</v>
      </c>
      <c r="G418" t="str">
        <f ca="1"/>
        <v>Spirit Water Revival</v>
      </c>
      <c r="EX418" t="str">
        <f ca="1"/>
        <v>Spirit Water Revival</v>
      </c>
    </row>
    <row r="419" spans="1:154" x14ac:dyDescent="0.25">
      <c r="A419" s="2" t="str">
        <f t="shared" ca="1" si="18"/>
        <v>5</v>
      </c>
      <c r="B419" s="2">
        <f t="shared" ca="1" si="19"/>
        <v>1</v>
      </c>
      <c r="C419" s="2" t="str">
        <f ca="1">IFERROR(
 INDEX($V$1:$BL$1,
  MATCH(TRUE,
   CHOOSE({1;2;3;4;5;6;7;8;9;10;11;12;13;14;15;16;17;18;19;20;21;22;23;24;25;26;27;28;29;30;31;32;33;34;35;36;37;38;39;40;41;42;43},
    COUNTIFS($V$2:$V$200,$G419)&gt;0,
    COUNTIFS($W$2:$W$200,$G419)&gt;0,
    COUNTIFS($X$2:$X$200,$G419)&gt;0,
    COUNTIFS($Y$2:$Y$200,$G419)&gt;0,
    COUNTIFS($Z$2:$Z$200,$G419)&gt;0,
    COUNTIFS($AA$2:$AA$200,$G419)&gt;0,
    COUNTIFS($AB$2:$AB$200,$G419)&gt;0,
    COUNTIFS($AC$2:$AC$200,$G419)&gt;0,
    COUNTIFS($AD$2:$AD$200,$G419)&gt;0,
    COUNTIFS($AE$2:$AE$200,$G419)&gt;0,
    COUNTIFS($AF$2:$AF$200,$G419)&gt;0,
    COUNTIFS($AG$2:$AG$200,$G419)&gt;0,
    COUNTIFS($AH$2:$AH$200,$G419)&gt;0,
    COUNTIFS($AI$2:$AI$200,$G419)&gt;0,
    COUNTIFS($AJ$2:$AJ$200,$G419)&gt;0,
    COUNTIFS($AK$2:$AK$200,$G419)&gt;0,
    COUNTIFS($AL$2:$AL$200,$G419)&gt;0,
    COUNTIFS($AM$2:$AM$200,$G419)&gt;0,
    COUNTIFS($AN$2:$AN$200,$G419)&gt;0,
    COUNTIFS($AO$2:$AO$200,$G419)&gt;0,
    COUNTIFS($AP$2:$AP$200,$G419)&gt;0,
    COUNTIFS($AQ$2:$AQ$200,$G419)&gt;0,
    COUNTIFS($AR$2:$AR$200,$G419)&gt;0,
    COUNTIFS($AS$2:$AS$200,$G419)&gt;0,
    COUNTIFS($AT$2:$AT$200,$G419)&gt;0,
    COUNTIFS($AU$2:$AU$200,$G419)&gt;0,
    COUNTIFS($AV$2:$AV$200,$G419)&gt;0,
    COUNTIFS($AW$2:$AW$200,$G419)&gt;0,
    COUNTIFS($AX$2:$AX$200,$G419)&gt;0,
    COUNTIFS($AY$2:$AY$200,$G419)&gt;0,
    COUNTIFS($AZ$2:$AZ$200,$G419)&gt;0,
    COUNTIFS($BA$2:$BA$200,$G419)&gt;0,
    COUNTIFS($BB$2:$BB$200,$G419)&gt;0,
    COUNTIFS($BC$2:$BC$200,$G419)&gt;0,
    COUNTIFS($BD$2:$BD$200,$G419)&gt;0,
    COUNTIFS($BE$2:$BE$200,$G419)&gt;0,
    COUNTIFS($BF$2:$BF$200,$G419)&gt;0,
    COUNTIFS($BG$2:$BG$200,$G419)&gt;0,
    COUNTIFS($BH$2:$BH$200,$G419)&gt;0,
    COUNTIFS($BI$2:$BI$200,$G419)&gt;0,
    COUNTIFS($BJ$2:$BJ$200,$G419)&gt;0,
    COUNTIFS($BK$2:$BK$200,$G419)&gt;0,
    COUNTIFS($BL$2:$BL$200,$G419)&gt;0,
    COUNTIFS($BM$2:$BM$200,$G419)&gt;0,
   ),
  0)
 ),
"")</f>
        <v>Fractius</v>
      </c>
      <c r="G419" t="str">
        <f ca="1"/>
        <v>Spiteful Sliver</v>
      </c>
      <c r="EX419" t="str">
        <f ca="1"/>
        <v>Spiteful Sliver</v>
      </c>
    </row>
    <row r="420" spans="1:154" x14ac:dyDescent="0.25">
      <c r="A420" s="2" t="str">
        <f t="shared" ca="1" si="18"/>
        <v>5</v>
      </c>
      <c r="B420" s="2">
        <f t="shared" ca="1" si="19"/>
        <v>1</v>
      </c>
      <c r="C420" s="2" t="str">
        <f ca="1">IFERROR(
 INDEX($V$1:$BL$1,
  MATCH(TRUE,
   CHOOSE({1;2;3;4;5;6;7;8;9;10;11;12;13;14;15;16;17;18;19;20;21;22;23;24;25;26;27;28;29;30;31;32;33;34;35;36;37;38;39;40;41;42;43},
    COUNTIFS($V$2:$V$200,$G420)&gt;0,
    COUNTIFS($W$2:$W$200,$G420)&gt;0,
    COUNTIFS($X$2:$X$200,$G420)&gt;0,
    COUNTIFS($Y$2:$Y$200,$G420)&gt;0,
    COUNTIFS($Z$2:$Z$200,$G420)&gt;0,
    COUNTIFS($AA$2:$AA$200,$G420)&gt;0,
    COUNTIFS($AB$2:$AB$200,$G420)&gt;0,
    COUNTIFS($AC$2:$AC$200,$G420)&gt;0,
    COUNTIFS($AD$2:$AD$200,$G420)&gt;0,
    COUNTIFS($AE$2:$AE$200,$G420)&gt;0,
    COUNTIFS($AF$2:$AF$200,$G420)&gt;0,
    COUNTIFS($AG$2:$AG$200,$G420)&gt;0,
    COUNTIFS($AH$2:$AH$200,$G420)&gt;0,
    COUNTIFS($AI$2:$AI$200,$G420)&gt;0,
    COUNTIFS($AJ$2:$AJ$200,$G420)&gt;0,
    COUNTIFS($AK$2:$AK$200,$G420)&gt;0,
    COUNTIFS($AL$2:$AL$200,$G420)&gt;0,
    COUNTIFS($AM$2:$AM$200,$G420)&gt;0,
    COUNTIFS($AN$2:$AN$200,$G420)&gt;0,
    COUNTIFS($AO$2:$AO$200,$G420)&gt;0,
    COUNTIFS($AP$2:$AP$200,$G420)&gt;0,
    COUNTIFS($AQ$2:$AQ$200,$G420)&gt;0,
    COUNTIFS($AR$2:$AR$200,$G420)&gt;0,
    COUNTIFS($AS$2:$AS$200,$G420)&gt;0,
    COUNTIFS($AT$2:$AT$200,$G420)&gt;0,
    COUNTIFS($AU$2:$AU$200,$G420)&gt;0,
    COUNTIFS($AV$2:$AV$200,$G420)&gt;0,
    COUNTIFS($AW$2:$AW$200,$G420)&gt;0,
    COUNTIFS($AX$2:$AX$200,$G420)&gt;0,
    COUNTIFS($AY$2:$AY$200,$G420)&gt;0,
    COUNTIFS($AZ$2:$AZ$200,$G420)&gt;0,
    COUNTIFS($BA$2:$BA$200,$G420)&gt;0,
    COUNTIFS($BB$2:$BB$200,$G420)&gt;0,
    COUNTIFS($BC$2:$BC$200,$G420)&gt;0,
    COUNTIFS($BD$2:$BD$200,$G420)&gt;0,
    COUNTIFS($BE$2:$BE$200,$G420)&gt;0,
    COUNTIFS($BF$2:$BF$200,$G420)&gt;0,
    COUNTIFS($BG$2:$BG$200,$G420)&gt;0,
    COUNTIFS($BH$2:$BH$200,$G420)&gt;0,
    COUNTIFS($BI$2:$BI$200,$G420)&gt;0,
    COUNTIFS($BJ$2:$BJ$200,$G420)&gt;0,
    COUNTIFS($BK$2:$BK$200,$G420)&gt;0,
    COUNTIFS($BL$2:$BL$200,$G420)&gt;0,
    COUNTIFS($BM$2:$BM$200,$G420)&gt;0,
   ),
  0)
 ),
"")</f>
        <v>Yorion</v>
      </c>
      <c r="G420" t="str">
        <f ca="1"/>
        <v>Splash Portal</v>
      </c>
      <c r="EX420" t="str">
        <f ca="1"/>
        <v>Splash Portal</v>
      </c>
    </row>
    <row r="421" spans="1:154" x14ac:dyDescent="0.25">
      <c r="A421" s="2" t="str">
        <f t="shared" ca="1" si="18"/>
        <v>4</v>
      </c>
      <c r="B421" s="2">
        <f t="shared" ca="1" si="19"/>
        <v>2</v>
      </c>
      <c r="C421" s="2" t="str">
        <f ca="1">IFERROR(
 INDEX($V$1:$BL$1,
  MATCH(TRUE,
   CHOOSE({1;2;3;4;5;6;7;8;9;10;11;12;13;14;15;16;17;18;19;20;21;22;23;24;25;26;27;28;29;30;31;32;33;34;35;36;37;38;39;40;41;42;43},
    COUNTIFS($V$2:$V$200,$G421)&gt;0,
    COUNTIFS($W$2:$W$200,$G421)&gt;0,
    COUNTIFS($X$2:$X$200,$G421)&gt;0,
    COUNTIFS($Y$2:$Y$200,$G421)&gt;0,
    COUNTIFS($Z$2:$Z$200,$G421)&gt;0,
    COUNTIFS($AA$2:$AA$200,$G421)&gt;0,
    COUNTIFS($AB$2:$AB$200,$G421)&gt;0,
    COUNTIFS($AC$2:$AC$200,$G421)&gt;0,
    COUNTIFS($AD$2:$AD$200,$G421)&gt;0,
    COUNTIFS($AE$2:$AE$200,$G421)&gt;0,
    COUNTIFS($AF$2:$AF$200,$G421)&gt;0,
    COUNTIFS($AG$2:$AG$200,$G421)&gt;0,
    COUNTIFS($AH$2:$AH$200,$G421)&gt;0,
    COUNTIFS($AI$2:$AI$200,$G421)&gt;0,
    COUNTIFS($AJ$2:$AJ$200,$G421)&gt;0,
    COUNTIFS($AK$2:$AK$200,$G421)&gt;0,
    COUNTIFS($AL$2:$AL$200,$G421)&gt;0,
    COUNTIFS($AM$2:$AM$200,$G421)&gt;0,
    COUNTIFS($AN$2:$AN$200,$G421)&gt;0,
    COUNTIFS($AO$2:$AO$200,$G421)&gt;0,
    COUNTIFS($AP$2:$AP$200,$G421)&gt;0,
    COUNTIFS($AQ$2:$AQ$200,$G421)&gt;0,
    COUNTIFS($AR$2:$AR$200,$G421)&gt;0,
    COUNTIFS($AS$2:$AS$200,$G421)&gt;0,
    COUNTIFS($AT$2:$AT$200,$G421)&gt;0,
    COUNTIFS($AU$2:$AU$200,$G421)&gt;0,
    COUNTIFS($AV$2:$AV$200,$G421)&gt;0,
    COUNTIFS($AW$2:$AW$200,$G421)&gt;0,
    COUNTIFS($AX$2:$AX$200,$G421)&gt;0,
    COUNTIFS($AY$2:$AY$200,$G421)&gt;0,
    COUNTIFS($AZ$2:$AZ$200,$G421)&gt;0,
    COUNTIFS($BA$2:$BA$200,$G421)&gt;0,
    COUNTIFS($BB$2:$BB$200,$G421)&gt;0,
    COUNTIFS($BC$2:$BC$200,$G421)&gt;0,
    COUNTIFS($BD$2:$BD$200,$G421)&gt;0,
    COUNTIFS($BE$2:$BE$200,$G421)&gt;0,
    COUNTIFS($BF$2:$BF$200,$G421)&gt;0,
    COUNTIFS($BG$2:$BG$200,$G421)&gt;0,
    COUNTIFS($BH$2:$BH$200,$G421)&gt;0,
    COUNTIFS($BI$2:$BI$200,$G421)&gt;0,
    COUNTIFS($BJ$2:$BJ$200,$G421)&gt;0,
    COUNTIFS($BK$2:$BK$200,$G421)&gt;0,
    COUNTIFS($BL$2:$BL$200,$G421)&gt;0,
    COUNTIFS($BM$2:$BM$200,$G421)&gt;0,
   ),
  0)
 ),
"")</f>
        <v>Baylen</v>
      </c>
      <c r="G421" t="str">
        <f ca="1"/>
        <v>Springleaf Parade</v>
      </c>
      <c r="EX421" t="str">
        <f ca="1"/>
        <v>Springleaf Parade</v>
      </c>
    </row>
    <row r="422" spans="1:154" x14ac:dyDescent="0.25">
      <c r="A422" s="2" t="str">
        <f t="shared" ca="1" si="18"/>
        <v>5</v>
      </c>
      <c r="B422" s="2">
        <f t="shared" ca="1" si="19"/>
        <v>1</v>
      </c>
      <c r="C422" s="2" t="str">
        <f ca="1">IFERROR(
 INDEX($V$1:$BL$1,
  MATCH(TRUE,
   CHOOSE({1;2;3;4;5;6;7;8;9;10;11;12;13;14;15;16;17;18;19;20;21;22;23;24;25;26;27;28;29;30;31;32;33;34;35;36;37;38;39;40;41;42;43},
    COUNTIFS($V$2:$V$200,$G422)&gt;0,
    COUNTIFS($W$2:$W$200,$G422)&gt;0,
    COUNTIFS($X$2:$X$200,$G422)&gt;0,
    COUNTIFS($Y$2:$Y$200,$G422)&gt;0,
    COUNTIFS($Z$2:$Z$200,$G422)&gt;0,
    COUNTIFS($AA$2:$AA$200,$G422)&gt;0,
    COUNTIFS($AB$2:$AB$200,$G422)&gt;0,
    COUNTIFS($AC$2:$AC$200,$G422)&gt;0,
    COUNTIFS($AD$2:$AD$200,$G422)&gt;0,
    COUNTIFS($AE$2:$AE$200,$G422)&gt;0,
    COUNTIFS($AF$2:$AF$200,$G422)&gt;0,
    COUNTIFS($AG$2:$AG$200,$G422)&gt;0,
    COUNTIFS($AH$2:$AH$200,$G422)&gt;0,
    COUNTIFS($AI$2:$AI$200,$G422)&gt;0,
    COUNTIFS($AJ$2:$AJ$200,$G422)&gt;0,
    COUNTIFS($AK$2:$AK$200,$G422)&gt;0,
    COUNTIFS($AL$2:$AL$200,$G422)&gt;0,
    COUNTIFS($AM$2:$AM$200,$G422)&gt;0,
    COUNTIFS($AN$2:$AN$200,$G422)&gt;0,
    COUNTIFS($AO$2:$AO$200,$G422)&gt;0,
    COUNTIFS($AP$2:$AP$200,$G422)&gt;0,
    COUNTIFS($AQ$2:$AQ$200,$G422)&gt;0,
    COUNTIFS($AR$2:$AR$200,$G422)&gt;0,
    COUNTIFS($AS$2:$AS$200,$G422)&gt;0,
    COUNTIFS($AT$2:$AT$200,$G422)&gt;0,
    COUNTIFS($AU$2:$AU$200,$G422)&gt;0,
    COUNTIFS($AV$2:$AV$200,$G422)&gt;0,
    COUNTIFS($AW$2:$AW$200,$G422)&gt;0,
    COUNTIFS($AX$2:$AX$200,$G422)&gt;0,
    COUNTIFS($AY$2:$AY$200,$G422)&gt;0,
    COUNTIFS($AZ$2:$AZ$200,$G422)&gt;0,
    COUNTIFS($BA$2:$BA$200,$G422)&gt;0,
    COUNTIFS($BB$2:$BB$200,$G422)&gt;0,
    COUNTIFS($BC$2:$BC$200,$G422)&gt;0,
    COUNTIFS($BD$2:$BD$200,$G422)&gt;0,
    COUNTIFS($BE$2:$BE$200,$G422)&gt;0,
    COUNTIFS($BF$2:$BF$200,$G422)&gt;0,
    COUNTIFS($BG$2:$BG$200,$G422)&gt;0,
    COUNTIFS($BH$2:$BH$200,$G422)&gt;0,
    COUNTIFS($BI$2:$BI$200,$G422)&gt;0,
    COUNTIFS($BJ$2:$BJ$200,$G422)&gt;0,
    COUNTIFS($BK$2:$BK$200,$G422)&gt;0,
    COUNTIFS($BL$2:$BL$200,$G422)&gt;0,
    COUNTIFS($BM$2:$BM$200,$G422)&gt;0,
   ),
  0)
 ),
"")</f>
        <v>Yorion</v>
      </c>
      <c r="G422" t="str">
        <f ca="1"/>
        <v>Starfield Vocalist</v>
      </c>
      <c r="EX422" t="str">
        <f ca="1"/>
        <v>Starfield Vocalist</v>
      </c>
    </row>
    <row r="423" spans="1:154" x14ac:dyDescent="0.25">
      <c r="A423" s="2" t="str">
        <f t="shared" ca="1" si="18"/>
        <v>5</v>
      </c>
      <c r="B423" s="2">
        <f t="shared" ca="1" si="19"/>
        <v>1</v>
      </c>
      <c r="C423" s="2" t="str">
        <f ca="1">IFERROR(
 INDEX($V$1:$BL$1,
  MATCH(TRUE,
   CHOOSE({1;2;3;4;5;6;7;8;9;10;11;12;13;14;15;16;17;18;19;20;21;22;23;24;25;26;27;28;29;30;31;32;33;34;35;36;37;38;39;40;41;42;43},
    COUNTIFS($V$2:$V$200,$G423)&gt;0,
    COUNTIFS($W$2:$W$200,$G423)&gt;0,
    COUNTIFS($X$2:$X$200,$G423)&gt;0,
    COUNTIFS($Y$2:$Y$200,$G423)&gt;0,
    COUNTIFS($Z$2:$Z$200,$G423)&gt;0,
    COUNTIFS($AA$2:$AA$200,$G423)&gt;0,
    COUNTIFS($AB$2:$AB$200,$G423)&gt;0,
    COUNTIFS($AC$2:$AC$200,$G423)&gt;0,
    COUNTIFS($AD$2:$AD$200,$G423)&gt;0,
    COUNTIFS($AE$2:$AE$200,$G423)&gt;0,
    COUNTIFS($AF$2:$AF$200,$G423)&gt;0,
    COUNTIFS($AG$2:$AG$200,$G423)&gt;0,
    COUNTIFS($AH$2:$AH$200,$G423)&gt;0,
    COUNTIFS($AI$2:$AI$200,$G423)&gt;0,
    COUNTIFS($AJ$2:$AJ$200,$G423)&gt;0,
    COUNTIFS($AK$2:$AK$200,$G423)&gt;0,
    COUNTIFS($AL$2:$AL$200,$G423)&gt;0,
    COUNTIFS($AM$2:$AM$200,$G423)&gt;0,
    COUNTIFS($AN$2:$AN$200,$G423)&gt;0,
    COUNTIFS($AO$2:$AO$200,$G423)&gt;0,
    COUNTIFS($AP$2:$AP$200,$G423)&gt;0,
    COUNTIFS($AQ$2:$AQ$200,$G423)&gt;0,
    COUNTIFS($AR$2:$AR$200,$G423)&gt;0,
    COUNTIFS($AS$2:$AS$200,$G423)&gt;0,
    COUNTIFS($AT$2:$AT$200,$G423)&gt;0,
    COUNTIFS($AU$2:$AU$200,$G423)&gt;0,
    COUNTIFS($AV$2:$AV$200,$G423)&gt;0,
    COUNTIFS($AW$2:$AW$200,$G423)&gt;0,
    COUNTIFS($AX$2:$AX$200,$G423)&gt;0,
    COUNTIFS($AY$2:$AY$200,$G423)&gt;0,
    COUNTIFS($AZ$2:$AZ$200,$G423)&gt;0,
    COUNTIFS($BA$2:$BA$200,$G423)&gt;0,
    COUNTIFS($BB$2:$BB$200,$G423)&gt;0,
    COUNTIFS($BC$2:$BC$200,$G423)&gt;0,
    COUNTIFS($BD$2:$BD$200,$G423)&gt;0,
    COUNTIFS($BE$2:$BE$200,$G423)&gt;0,
    COUNTIFS($BF$2:$BF$200,$G423)&gt;0,
    COUNTIFS($BG$2:$BG$200,$G423)&gt;0,
    COUNTIFS($BH$2:$BH$200,$G423)&gt;0,
    COUNTIFS($BI$2:$BI$200,$G423)&gt;0,
    COUNTIFS($BJ$2:$BJ$200,$G423)&gt;0,
    COUNTIFS($BK$2:$BK$200,$G423)&gt;0,
    COUNTIFS($BL$2:$BL$200,$G423)&gt;0,
    COUNTIFS($BM$2:$BM$200,$G423)&gt;0,
   ),
  0)
 ),
"")</f>
        <v>Fractius</v>
      </c>
      <c r="G423" t="str">
        <f ca="1"/>
        <v>Steam Vents</v>
      </c>
      <c r="EX423" t="str">
        <f ca="1"/>
        <v>Steam Vents</v>
      </c>
    </row>
    <row r="424" spans="1:154" x14ac:dyDescent="0.25">
      <c r="A424" s="2" t="str">
        <f t="shared" ca="1" si="18"/>
        <v>4</v>
      </c>
      <c r="B424" s="2">
        <f t="shared" ca="1" si="19"/>
        <v>1</v>
      </c>
      <c r="C424" s="2" t="str">
        <f ca="1">IFERROR(
 INDEX($V$1:$BL$1,
  MATCH(TRUE,
   CHOOSE({1;2;3;4;5;6;7;8;9;10;11;12;13;14;15;16;17;18;19;20;21;22;23;24;25;26;27;28;29;30;31;32;33;34;35;36;37;38;39;40;41;42;43},
    COUNTIFS($V$2:$V$200,$G424)&gt;0,
    COUNTIFS($W$2:$W$200,$G424)&gt;0,
    COUNTIFS($X$2:$X$200,$G424)&gt;0,
    COUNTIFS($Y$2:$Y$200,$G424)&gt;0,
    COUNTIFS($Z$2:$Z$200,$G424)&gt;0,
    COUNTIFS($AA$2:$AA$200,$G424)&gt;0,
    COUNTIFS($AB$2:$AB$200,$G424)&gt;0,
    COUNTIFS($AC$2:$AC$200,$G424)&gt;0,
    COUNTIFS($AD$2:$AD$200,$G424)&gt;0,
    COUNTIFS($AE$2:$AE$200,$G424)&gt;0,
    COUNTIFS($AF$2:$AF$200,$G424)&gt;0,
    COUNTIFS($AG$2:$AG$200,$G424)&gt;0,
    COUNTIFS($AH$2:$AH$200,$G424)&gt;0,
    COUNTIFS($AI$2:$AI$200,$G424)&gt;0,
    COUNTIFS($AJ$2:$AJ$200,$G424)&gt;0,
    COUNTIFS($AK$2:$AK$200,$G424)&gt;0,
    COUNTIFS($AL$2:$AL$200,$G424)&gt;0,
    COUNTIFS($AM$2:$AM$200,$G424)&gt;0,
    COUNTIFS($AN$2:$AN$200,$G424)&gt;0,
    COUNTIFS($AO$2:$AO$200,$G424)&gt;0,
    COUNTIFS($AP$2:$AP$200,$G424)&gt;0,
    COUNTIFS($AQ$2:$AQ$200,$G424)&gt;0,
    COUNTIFS($AR$2:$AR$200,$G424)&gt;0,
    COUNTIFS($AS$2:$AS$200,$G424)&gt;0,
    COUNTIFS($AT$2:$AT$200,$G424)&gt;0,
    COUNTIFS($AU$2:$AU$200,$G424)&gt;0,
    COUNTIFS($AV$2:$AV$200,$G424)&gt;0,
    COUNTIFS($AW$2:$AW$200,$G424)&gt;0,
    COUNTIFS($AX$2:$AX$200,$G424)&gt;0,
    COUNTIFS($AY$2:$AY$200,$G424)&gt;0,
    COUNTIFS($AZ$2:$AZ$200,$G424)&gt;0,
    COUNTIFS($BA$2:$BA$200,$G424)&gt;0,
    COUNTIFS($BB$2:$BB$200,$G424)&gt;0,
    COUNTIFS($BC$2:$BC$200,$G424)&gt;0,
    COUNTIFS($BD$2:$BD$200,$G424)&gt;0,
    COUNTIFS($BE$2:$BE$200,$G424)&gt;0,
    COUNTIFS($BF$2:$BF$200,$G424)&gt;0,
    COUNTIFS($BG$2:$BG$200,$G424)&gt;0,
    COUNTIFS($BH$2:$BH$200,$G424)&gt;0,
    COUNTIFS($BI$2:$BI$200,$G424)&gt;0,
    COUNTIFS($BJ$2:$BJ$200,$G424)&gt;0,
    COUNTIFS($BK$2:$BK$200,$G424)&gt;0,
    COUNTIFS($BL$2:$BL$200,$G424)&gt;0,
    COUNTIFS($BM$2:$BM$200,$G424)&gt;0,
   ),
  0)
 ),
"")</f>
        <v>Ool</v>
      </c>
      <c r="G424" t="str">
        <f ca="1"/>
        <v>Sting-Slinger</v>
      </c>
      <c r="EX424" t="str">
        <f ca="1"/>
        <v>Sting-Slinger</v>
      </c>
    </row>
    <row r="425" spans="1:154" x14ac:dyDescent="0.25">
      <c r="A425" s="2" t="str">
        <f t="shared" ca="1" si="18"/>
        <v>5</v>
      </c>
      <c r="B425" s="2">
        <f t="shared" ca="1" si="19"/>
        <v>1</v>
      </c>
      <c r="C425" s="2" t="str">
        <f ca="1">IFERROR(
 INDEX($V$1:$BL$1,
  MATCH(TRUE,
   CHOOSE({1;2;3;4;5;6;7;8;9;10;11;12;13;14;15;16;17;18;19;20;21;22;23;24;25;26;27;28;29;30;31;32;33;34;35;36;37;38;39;40;41;42;43},
    COUNTIFS($V$2:$V$200,$G425)&gt;0,
    COUNTIFS($W$2:$W$200,$G425)&gt;0,
    COUNTIFS($X$2:$X$200,$G425)&gt;0,
    COUNTIFS($Y$2:$Y$200,$G425)&gt;0,
    COUNTIFS($Z$2:$Z$200,$G425)&gt;0,
    COUNTIFS($AA$2:$AA$200,$G425)&gt;0,
    COUNTIFS($AB$2:$AB$200,$G425)&gt;0,
    COUNTIFS($AC$2:$AC$200,$G425)&gt;0,
    COUNTIFS($AD$2:$AD$200,$G425)&gt;0,
    COUNTIFS($AE$2:$AE$200,$G425)&gt;0,
    COUNTIFS($AF$2:$AF$200,$G425)&gt;0,
    COUNTIFS($AG$2:$AG$200,$G425)&gt;0,
    COUNTIFS($AH$2:$AH$200,$G425)&gt;0,
    COUNTIFS($AI$2:$AI$200,$G425)&gt;0,
    COUNTIFS($AJ$2:$AJ$200,$G425)&gt;0,
    COUNTIFS($AK$2:$AK$200,$G425)&gt;0,
    COUNTIFS($AL$2:$AL$200,$G425)&gt;0,
    COUNTIFS($AM$2:$AM$200,$G425)&gt;0,
    COUNTIFS($AN$2:$AN$200,$G425)&gt;0,
    COUNTIFS($AO$2:$AO$200,$G425)&gt;0,
    COUNTIFS($AP$2:$AP$200,$G425)&gt;0,
    COUNTIFS($AQ$2:$AQ$200,$G425)&gt;0,
    COUNTIFS($AR$2:$AR$200,$G425)&gt;0,
    COUNTIFS($AS$2:$AS$200,$G425)&gt;0,
    COUNTIFS($AT$2:$AT$200,$G425)&gt;0,
    COUNTIFS($AU$2:$AU$200,$G425)&gt;0,
    COUNTIFS($AV$2:$AV$200,$G425)&gt;0,
    COUNTIFS($AW$2:$AW$200,$G425)&gt;0,
    COUNTIFS($AX$2:$AX$200,$G425)&gt;0,
    COUNTIFS($AY$2:$AY$200,$G425)&gt;0,
    COUNTIFS($AZ$2:$AZ$200,$G425)&gt;0,
    COUNTIFS($BA$2:$BA$200,$G425)&gt;0,
    COUNTIFS($BB$2:$BB$200,$G425)&gt;0,
    COUNTIFS($BC$2:$BC$200,$G425)&gt;0,
    COUNTIFS($BD$2:$BD$200,$G425)&gt;0,
    COUNTIFS($BE$2:$BE$200,$G425)&gt;0,
    COUNTIFS($BF$2:$BF$200,$G425)&gt;0,
    COUNTIFS($BG$2:$BG$200,$G425)&gt;0,
    COUNTIFS($BH$2:$BH$200,$G425)&gt;0,
    COUNTIFS($BI$2:$BI$200,$G425)&gt;0,
    COUNTIFS($BJ$2:$BJ$200,$G425)&gt;0,
    COUNTIFS($BK$2:$BK$200,$G425)&gt;0,
    COUNTIFS($BL$2:$BL$200,$G425)&gt;0,
    COUNTIFS($BM$2:$BM$200,$G425)&gt;0,
   ),
  0)
 ),
"")</f>
        <v>Fractius</v>
      </c>
      <c r="G425" t="str">
        <f ca="1"/>
        <v>Stomping Ground</v>
      </c>
      <c r="EX425" t="str">
        <f ca="1"/>
        <v>Stomping Ground</v>
      </c>
    </row>
    <row r="426" spans="1:154" x14ac:dyDescent="0.25">
      <c r="A426" s="2" t="str">
        <f t="shared" ca="1" si="18"/>
        <v>3</v>
      </c>
      <c r="B426" s="2">
        <f t="shared" ca="1" si="19"/>
        <v>1</v>
      </c>
      <c r="C426" s="2" t="str">
        <f ca="1">IFERROR(
 INDEX($V$1:$BL$1,
  MATCH(TRUE,
   CHOOSE({1;2;3;4;5;6;7;8;9;10;11;12;13;14;15;16;17;18;19;20;21;22;23;24;25;26;27;28;29;30;31;32;33;34;35;36;37;38;39;40;41;42;43},
    COUNTIFS($V$2:$V$200,$G426)&gt;0,
    COUNTIFS($W$2:$W$200,$G426)&gt;0,
    COUNTIFS($X$2:$X$200,$G426)&gt;0,
    COUNTIFS($Y$2:$Y$200,$G426)&gt;0,
    COUNTIFS($Z$2:$Z$200,$G426)&gt;0,
    COUNTIFS($AA$2:$AA$200,$G426)&gt;0,
    COUNTIFS($AB$2:$AB$200,$G426)&gt;0,
    COUNTIFS($AC$2:$AC$200,$G426)&gt;0,
    COUNTIFS($AD$2:$AD$200,$G426)&gt;0,
    COUNTIFS($AE$2:$AE$200,$G426)&gt;0,
    COUNTIFS($AF$2:$AF$200,$G426)&gt;0,
    COUNTIFS($AG$2:$AG$200,$G426)&gt;0,
    COUNTIFS($AH$2:$AH$200,$G426)&gt;0,
    COUNTIFS($AI$2:$AI$200,$G426)&gt;0,
    COUNTIFS($AJ$2:$AJ$200,$G426)&gt;0,
    COUNTIFS($AK$2:$AK$200,$G426)&gt;0,
    COUNTIFS($AL$2:$AL$200,$G426)&gt;0,
    COUNTIFS($AM$2:$AM$200,$G426)&gt;0,
    COUNTIFS($AN$2:$AN$200,$G426)&gt;0,
    COUNTIFS($AO$2:$AO$200,$G426)&gt;0,
    COUNTIFS($AP$2:$AP$200,$G426)&gt;0,
    COUNTIFS($AQ$2:$AQ$200,$G426)&gt;0,
    COUNTIFS($AR$2:$AR$200,$G426)&gt;0,
    COUNTIFS($AS$2:$AS$200,$G426)&gt;0,
    COUNTIFS($AT$2:$AT$200,$G426)&gt;0,
    COUNTIFS($AU$2:$AU$200,$G426)&gt;0,
    COUNTIFS($AV$2:$AV$200,$G426)&gt;0,
    COUNTIFS($AW$2:$AW$200,$G426)&gt;0,
    COUNTIFS($AX$2:$AX$200,$G426)&gt;0,
    COUNTIFS($AY$2:$AY$200,$G426)&gt;0,
    COUNTIFS($AZ$2:$AZ$200,$G426)&gt;0,
    COUNTIFS($BA$2:$BA$200,$G426)&gt;0,
    COUNTIFS($BB$2:$BB$200,$G426)&gt;0,
    COUNTIFS($BC$2:$BC$200,$G426)&gt;0,
    COUNTIFS($BD$2:$BD$200,$G426)&gt;0,
    COUNTIFS($BE$2:$BE$200,$G426)&gt;0,
    COUNTIFS($BF$2:$BF$200,$G426)&gt;0,
    COUNTIFS($BG$2:$BG$200,$G426)&gt;0,
    COUNTIFS($BH$2:$BH$200,$G426)&gt;0,
    COUNTIFS($BI$2:$BI$200,$G426)&gt;0,
    COUNTIFS($BJ$2:$BJ$200,$G426)&gt;0,
    COUNTIFS($BK$2:$BK$200,$G426)&gt;0,
    COUNTIFS($BL$2:$BL$200,$G426)&gt;0,
    COUNTIFS($BM$2:$BM$200,$G426)&gt;0,
   ),
  0)
 ),
"")</f>
        <v>Akiri</v>
      </c>
      <c r="G426" t="str">
        <f ca="1"/>
        <v>Stoneforge Mystic</v>
      </c>
      <c r="EX426" t="str">
        <f ca="1"/>
        <v>Stoneforge Mystic</v>
      </c>
    </row>
    <row r="427" spans="1:154" x14ac:dyDescent="0.25">
      <c r="A427" s="2" t="str">
        <f t="shared" ca="1" si="18"/>
        <v>3</v>
      </c>
      <c r="B427" s="2">
        <f t="shared" ca="1" si="19"/>
        <v>1</v>
      </c>
      <c r="C427" s="2" t="str">
        <f ca="1">IFERROR(
 INDEX($V$1:$BL$1,
  MATCH(TRUE,
   CHOOSE({1;2;3;4;5;6;7;8;9;10;11;12;13;14;15;16;17;18;19;20;21;22;23;24;25;26;27;28;29;30;31;32;33;34;35;36;37;38;39;40;41;42;43},
    COUNTIFS($V$2:$V$200,$G427)&gt;0,
    COUNTIFS($W$2:$W$200,$G427)&gt;0,
    COUNTIFS($X$2:$X$200,$G427)&gt;0,
    COUNTIFS($Y$2:$Y$200,$G427)&gt;0,
    COUNTIFS($Z$2:$Z$200,$G427)&gt;0,
    COUNTIFS($AA$2:$AA$200,$G427)&gt;0,
    COUNTIFS($AB$2:$AB$200,$G427)&gt;0,
    COUNTIFS($AC$2:$AC$200,$G427)&gt;0,
    COUNTIFS($AD$2:$AD$200,$G427)&gt;0,
    COUNTIFS($AE$2:$AE$200,$G427)&gt;0,
    COUNTIFS($AF$2:$AF$200,$G427)&gt;0,
    COUNTIFS($AG$2:$AG$200,$G427)&gt;0,
    COUNTIFS($AH$2:$AH$200,$G427)&gt;0,
    COUNTIFS($AI$2:$AI$200,$G427)&gt;0,
    COUNTIFS($AJ$2:$AJ$200,$G427)&gt;0,
    COUNTIFS($AK$2:$AK$200,$G427)&gt;0,
    COUNTIFS($AL$2:$AL$200,$G427)&gt;0,
    COUNTIFS($AM$2:$AM$200,$G427)&gt;0,
    COUNTIFS($AN$2:$AN$200,$G427)&gt;0,
    COUNTIFS($AO$2:$AO$200,$G427)&gt;0,
    COUNTIFS($AP$2:$AP$200,$G427)&gt;0,
    COUNTIFS($AQ$2:$AQ$200,$G427)&gt;0,
    COUNTIFS($AR$2:$AR$200,$G427)&gt;0,
    COUNTIFS($AS$2:$AS$200,$G427)&gt;0,
    COUNTIFS($AT$2:$AT$200,$G427)&gt;0,
    COUNTIFS($AU$2:$AU$200,$G427)&gt;0,
    COUNTIFS($AV$2:$AV$200,$G427)&gt;0,
    COUNTIFS($AW$2:$AW$200,$G427)&gt;0,
    COUNTIFS($AX$2:$AX$200,$G427)&gt;0,
    COUNTIFS($AY$2:$AY$200,$G427)&gt;0,
    COUNTIFS($AZ$2:$AZ$200,$G427)&gt;0,
    COUNTIFS($BA$2:$BA$200,$G427)&gt;0,
    COUNTIFS($BB$2:$BB$200,$G427)&gt;0,
    COUNTIFS($BC$2:$BC$200,$G427)&gt;0,
    COUNTIFS($BD$2:$BD$200,$G427)&gt;0,
    COUNTIFS($BE$2:$BE$200,$G427)&gt;0,
    COUNTIFS($BF$2:$BF$200,$G427)&gt;0,
    COUNTIFS($BG$2:$BG$200,$G427)&gt;0,
    COUNTIFS($BH$2:$BH$200,$G427)&gt;0,
    COUNTIFS($BI$2:$BI$200,$G427)&gt;0,
    COUNTIFS($BJ$2:$BJ$200,$G427)&gt;0,
    COUNTIFS($BK$2:$BK$200,$G427)&gt;0,
    COUNTIFS($BL$2:$BL$200,$G427)&gt;0,
    COUNTIFS($BM$2:$BM$200,$G427)&gt;0,
   ),
  0)
 ),
"")</f>
        <v>Kumena</v>
      </c>
      <c r="G427" t="str">
        <f ca="1"/>
        <v>Stonybrook Banneret</v>
      </c>
      <c r="EX427" t="str">
        <f ca="1"/>
        <v>Stonybrook Banneret</v>
      </c>
    </row>
    <row r="428" spans="1:154" x14ac:dyDescent="0.25">
      <c r="A428" s="2" t="str">
        <f t="shared" ca="1" si="18"/>
        <v>5</v>
      </c>
      <c r="B428" s="2">
        <f t="shared" ca="1" si="19"/>
        <v>2</v>
      </c>
      <c r="C428" s="2" t="str">
        <f ca="1">IFERROR(
 INDEX($V$1:$BL$1,
  MATCH(TRUE,
   CHOOSE({1;2;3;4;5;6;7;8;9;10;11;12;13;14;15;16;17;18;19;20;21;22;23;24;25;26;27;28;29;30;31;32;33;34;35;36;37;38;39;40;41;42;43},
    COUNTIFS($V$2:$V$200,$G428)&gt;0,
    COUNTIFS($W$2:$W$200,$G428)&gt;0,
    COUNTIFS($X$2:$X$200,$G428)&gt;0,
    COUNTIFS($Y$2:$Y$200,$G428)&gt;0,
    COUNTIFS($Z$2:$Z$200,$G428)&gt;0,
    COUNTIFS($AA$2:$AA$200,$G428)&gt;0,
    COUNTIFS($AB$2:$AB$200,$G428)&gt;0,
    COUNTIFS($AC$2:$AC$200,$G428)&gt;0,
    COUNTIFS($AD$2:$AD$200,$G428)&gt;0,
    COUNTIFS($AE$2:$AE$200,$G428)&gt;0,
    COUNTIFS($AF$2:$AF$200,$G428)&gt;0,
    COUNTIFS($AG$2:$AG$200,$G428)&gt;0,
    COUNTIFS($AH$2:$AH$200,$G428)&gt;0,
    COUNTIFS($AI$2:$AI$200,$G428)&gt;0,
    COUNTIFS($AJ$2:$AJ$200,$G428)&gt;0,
    COUNTIFS($AK$2:$AK$200,$G428)&gt;0,
    COUNTIFS($AL$2:$AL$200,$G428)&gt;0,
    COUNTIFS($AM$2:$AM$200,$G428)&gt;0,
    COUNTIFS($AN$2:$AN$200,$G428)&gt;0,
    COUNTIFS($AO$2:$AO$200,$G428)&gt;0,
    COUNTIFS($AP$2:$AP$200,$G428)&gt;0,
    COUNTIFS($AQ$2:$AQ$200,$G428)&gt;0,
    COUNTIFS($AR$2:$AR$200,$G428)&gt;0,
    COUNTIFS($AS$2:$AS$200,$G428)&gt;0,
    COUNTIFS($AT$2:$AT$200,$G428)&gt;0,
    COUNTIFS($AU$2:$AU$200,$G428)&gt;0,
    COUNTIFS($AV$2:$AV$200,$G428)&gt;0,
    COUNTIFS($AW$2:$AW$200,$G428)&gt;0,
    COUNTIFS($AX$2:$AX$200,$G428)&gt;0,
    COUNTIFS($AY$2:$AY$200,$G428)&gt;0,
    COUNTIFS($AZ$2:$AZ$200,$G428)&gt;0,
    COUNTIFS($BA$2:$BA$200,$G428)&gt;0,
    COUNTIFS($BB$2:$BB$200,$G428)&gt;0,
    COUNTIFS($BC$2:$BC$200,$G428)&gt;0,
    COUNTIFS($BD$2:$BD$200,$G428)&gt;0,
    COUNTIFS($BE$2:$BE$200,$G428)&gt;0,
    COUNTIFS($BF$2:$BF$200,$G428)&gt;0,
    COUNTIFS($BG$2:$BG$200,$G428)&gt;0,
    COUNTIFS($BH$2:$BH$200,$G428)&gt;0,
    COUNTIFS($BI$2:$BI$200,$G428)&gt;0,
    COUNTIFS($BJ$2:$BJ$200,$G428)&gt;0,
    COUNTIFS($BK$2:$BK$200,$G428)&gt;0,
    COUNTIFS($BL$2:$BL$200,$G428)&gt;0,
    COUNTIFS($BM$2:$BM$200,$G428)&gt;0,
   ),
  0)
 ),
"")</f>
        <v>Fractius</v>
      </c>
      <c r="G428" t="str">
        <f ca="1"/>
        <v>Striking Sliver</v>
      </c>
      <c r="EX428" t="str">
        <f ca="1"/>
        <v>Striking Sliver</v>
      </c>
    </row>
    <row r="429" spans="1:154" x14ac:dyDescent="0.25">
      <c r="A429" s="2" t="str">
        <f t="shared" ca="1" si="18"/>
        <v>2</v>
      </c>
      <c r="B429" s="2">
        <f t="shared" ca="1" si="19"/>
        <v>1</v>
      </c>
      <c r="C429" s="2" t="str">
        <f ca="1">IFERROR(
 INDEX($V$1:$BL$1,
  MATCH(TRUE,
   CHOOSE({1;2;3;4;5;6;7;8;9;10;11;12;13;14;15;16;17;18;19;20;21;22;23;24;25;26;27;28;29;30;31;32;33;34;35;36;37;38;39;40;41;42;43},
    COUNTIFS($V$2:$V$200,$G429)&gt;0,
    COUNTIFS($W$2:$W$200,$G429)&gt;0,
    COUNTIFS($X$2:$X$200,$G429)&gt;0,
    COUNTIFS($Y$2:$Y$200,$G429)&gt;0,
    COUNTIFS($Z$2:$Z$200,$G429)&gt;0,
    COUNTIFS($AA$2:$AA$200,$G429)&gt;0,
    COUNTIFS($AB$2:$AB$200,$G429)&gt;0,
    COUNTIFS($AC$2:$AC$200,$G429)&gt;0,
    COUNTIFS($AD$2:$AD$200,$G429)&gt;0,
    COUNTIFS($AE$2:$AE$200,$G429)&gt;0,
    COUNTIFS($AF$2:$AF$200,$G429)&gt;0,
    COUNTIFS($AG$2:$AG$200,$G429)&gt;0,
    COUNTIFS($AH$2:$AH$200,$G429)&gt;0,
    COUNTIFS($AI$2:$AI$200,$G429)&gt;0,
    COUNTIFS($AJ$2:$AJ$200,$G429)&gt;0,
    COUNTIFS($AK$2:$AK$200,$G429)&gt;0,
    COUNTIFS($AL$2:$AL$200,$G429)&gt;0,
    COUNTIFS($AM$2:$AM$200,$G429)&gt;0,
    COUNTIFS($AN$2:$AN$200,$G429)&gt;0,
    COUNTIFS($AO$2:$AO$200,$G429)&gt;0,
    COUNTIFS($AP$2:$AP$200,$G429)&gt;0,
    COUNTIFS($AQ$2:$AQ$200,$G429)&gt;0,
    COUNTIFS($AR$2:$AR$200,$G429)&gt;0,
    COUNTIFS($AS$2:$AS$200,$G429)&gt;0,
    COUNTIFS($AT$2:$AT$200,$G429)&gt;0,
    COUNTIFS($AU$2:$AU$200,$G429)&gt;0,
    COUNTIFS($AV$2:$AV$200,$G429)&gt;0,
    COUNTIFS($AW$2:$AW$200,$G429)&gt;0,
    COUNTIFS($AX$2:$AX$200,$G429)&gt;0,
    COUNTIFS($AY$2:$AY$200,$G429)&gt;0,
    COUNTIFS($AZ$2:$AZ$200,$G429)&gt;0,
    COUNTIFS($BA$2:$BA$200,$G429)&gt;0,
    COUNTIFS($BB$2:$BB$200,$G429)&gt;0,
    COUNTIFS($BC$2:$BC$200,$G429)&gt;0,
    COUNTIFS($BD$2:$BD$200,$G429)&gt;0,
    COUNTIFS($BE$2:$BE$200,$G429)&gt;0,
    COUNTIFS($BF$2:$BF$200,$G429)&gt;0,
    COUNTIFS($BG$2:$BG$200,$G429)&gt;0,
    COUNTIFS($BH$2:$BH$200,$G429)&gt;0,
    COUNTIFS($BI$2:$BI$200,$G429)&gt;0,
    COUNTIFS($BJ$2:$BJ$200,$G429)&gt;0,
    COUNTIFS($BK$2:$BK$200,$G429)&gt;0,
    COUNTIFS($BL$2:$BL$200,$G429)&gt;0,
    COUNTIFS($BM$2:$BM$200,$G429)&gt;0,
   ),
  0)
 ),
"")</f>
        <v>Rielle</v>
      </c>
      <c r="G429" t="str">
        <f ca="1"/>
        <v>Strix Serenade</v>
      </c>
      <c r="EX429" t="str">
        <f ca="1"/>
        <v>Strix Serenade</v>
      </c>
    </row>
    <row r="430" spans="1:154" x14ac:dyDescent="0.25">
      <c r="A430" s="2" t="str">
        <f t="shared" ca="1" si="18"/>
        <v>5</v>
      </c>
      <c r="B430" s="2">
        <f t="shared" ca="1" si="19"/>
        <v>1</v>
      </c>
      <c r="C430" s="2" t="str">
        <f ca="1">IFERROR(
 INDEX($V$1:$BL$1,
  MATCH(TRUE,
   CHOOSE({1;2;3;4;5;6;7;8;9;10;11;12;13;14;15;16;17;18;19;20;21;22;23;24;25;26;27;28;29;30;31;32;33;34;35;36;37;38;39;40;41;42;43},
    COUNTIFS($V$2:$V$200,$G430)&gt;0,
    COUNTIFS($W$2:$W$200,$G430)&gt;0,
    COUNTIFS($X$2:$X$200,$G430)&gt;0,
    COUNTIFS($Y$2:$Y$200,$G430)&gt;0,
    COUNTIFS($Z$2:$Z$200,$G430)&gt;0,
    COUNTIFS($AA$2:$AA$200,$G430)&gt;0,
    COUNTIFS($AB$2:$AB$200,$G430)&gt;0,
    COUNTIFS($AC$2:$AC$200,$G430)&gt;0,
    COUNTIFS($AD$2:$AD$200,$G430)&gt;0,
    COUNTIFS($AE$2:$AE$200,$G430)&gt;0,
    COUNTIFS($AF$2:$AF$200,$G430)&gt;0,
    COUNTIFS($AG$2:$AG$200,$G430)&gt;0,
    COUNTIFS($AH$2:$AH$200,$G430)&gt;0,
    COUNTIFS($AI$2:$AI$200,$G430)&gt;0,
    COUNTIFS($AJ$2:$AJ$200,$G430)&gt;0,
    COUNTIFS($AK$2:$AK$200,$G430)&gt;0,
    COUNTIFS($AL$2:$AL$200,$G430)&gt;0,
    COUNTIFS($AM$2:$AM$200,$G430)&gt;0,
    COUNTIFS($AN$2:$AN$200,$G430)&gt;0,
    COUNTIFS($AO$2:$AO$200,$G430)&gt;0,
    COUNTIFS($AP$2:$AP$200,$G430)&gt;0,
    COUNTIFS($AQ$2:$AQ$200,$G430)&gt;0,
    COUNTIFS($AR$2:$AR$200,$G430)&gt;0,
    COUNTIFS($AS$2:$AS$200,$G430)&gt;0,
    COUNTIFS($AT$2:$AT$200,$G430)&gt;0,
    COUNTIFS($AU$2:$AU$200,$G430)&gt;0,
    COUNTIFS($AV$2:$AV$200,$G430)&gt;0,
    COUNTIFS($AW$2:$AW$200,$G430)&gt;0,
    COUNTIFS($AX$2:$AX$200,$G430)&gt;0,
    COUNTIFS($AY$2:$AY$200,$G430)&gt;0,
    COUNTIFS($AZ$2:$AZ$200,$G430)&gt;0,
    COUNTIFS($BA$2:$BA$200,$G430)&gt;0,
    COUNTIFS($BB$2:$BB$200,$G430)&gt;0,
    COUNTIFS($BC$2:$BC$200,$G430)&gt;0,
    COUNTIFS($BD$2:$BD$200,$G430)&gt;0,
    COUNTIFS($BE$2:$BE$200,$G430)&gt;0,
    COUNTIFS($BF$2:$BF$200,$G430)&gt;0,
    COUNTIFS($BG$2:$BG$200,$G430)&gt;0,
    COUNTIFS($BH$2:$BH$200,$G430)&gt;0,
    COUNTIFS($BI$2:$BI$200,$G430)&gt;0,
    COUNTIFS($BJ$2:$BJ$200,$G430)&gt;0,
    COUNTIFS($BK$2:$BK$200,$G430)&gt;0,
    COUNTIFS($BL$2:$BL$200,$G430)&gt;0,
    COUNTIFS($BM$2:$BM$200,$G430)&gt;0,
   ),
  0)
 ),
"")</f>
        <v>Zuko</v>
      </c>
      <c r="G430" t="str">
        <f ca="1"/>
        <v>Stroke of Midnight</v>
      </c>
      <c r="EX430" t="str">
        <f ca="1"/>
        <v>Stroke of Midnight</v>
      </c>
    </row>
    <row r="431" spans="1:154" x14ac:dyDescent="0.25">
      <c r="A431" s="2" t="str">
        <f t="shared" ca="1" si="18"/>
        <v>4</v>
      </c>
      <c r="B431" s="2">
        <f t="shared" ca="1" si="19"/>
        <v>1</v>
      </c>
      <c r="C431" s="2" t="str">
        <f ca="1">IFERROR(
 INDEX($V$1:$BL$1,
  MATCH(TRUE,
   CHOOSE({1;2;3;4;5;6;7;8;9;10;11;12;13;14;15;16;17;18;19;20;21;22;23;24;25;26;27;28;29;30;31;32;33;34;35;36;37;38;39;40;41;42;43},
    COUNTIFS($V$2:$V$200,$G431)&gt;0,
    COUNTIFS($W$2:$W$200,$G431)&gt;0,
    COUNTIFS($X$2:$X$200,$G431)&gt;0,
    COUNTIFS($Y$2:$Y$200,$G431)&gt;0,
    COUNTIFS($Z$2:$Z$200,$G431)&gt;0,
    COUNTIFS($AA$2:$AA$200,$G431)&gt;0,
    COUNTIFS($AB$2:$AB$200,$G431)&gt;0,
    COUNTIFS($AC$2:$AC$200,$G431)&gt;0,
    COUNTIFS($AD$2:$AD$200,$G431)&gt;0,
    COUNTIFS($AE$2:$AE$200,$G431)&gt;0,
    COUNTIFS($AF$2:$AF$200,$G431)&gt;0,
    COUNTIFS($AG$2:$AG$200,$G431)&gt;0,
    COUNTIFS($AH$2:$AH$200,$G431)&gt;0,
    COUNTIFS($AI$2:$AI$200,$G431)&gt;0,
    COUNTIFS($AJ$2:$AJ$200,$G431)&gt;0,
    COUNTIFS($AK$2:$AK$200,$G431)&gt;0,
    COUNTIFS($AL$2:$AL$200,$G431)&gt;0,
    COUNTIFS($AM$2:$AM$200,$G431)&gt;0,
    COUNTIFS($AN$2:$AN$200,$G431)&gt;0,
    COUNTIFS($AO$2:$AO$200,$G431)&gt;0,
    COUNTIFS($AP$2:$AP$200,$G431)&gt;0,
    COUNTIFS($AQ$2:$AQ$200,$G431)&gt;0,
    COUNTIFS($AR$2:$AR$200,$G431)&gt;0,
    COUNTIFS($AS$2:$AS$200,$G431)&gt;0,
    COUNTIFS($AT$2:$AT$200,$G431)&gt;0,
    COUNTIFS($AU$2:$AU$200,$G431)&gt;0,
    COUNTIFS($AV$2:$AV$200,$G431)&gt;0,
    COUNTIFS($AW$2:$AW$200,$G431)&gt;0,
    COUNTIFS($AX$2:$AX$200,$G431)&gt;0,
    COUNTIFS($AY$2:$AY$200,$G431)&gt;0,
    COUNTIFS($AZ$2:$AZ$200,$G431)&gt;0,
    COUNTIFS($BA$2:$BA$200,$G431)&gt;0,
    COUNTIFS($BB$2:$BB$200,$G431)&gt;0,
    COUNTIFS($BC$2:$BC$200,$G431)&gt;0,
    COUNTIFS($BD$2:$BD$200,$G431)&gt;0,
    COUNTIFS($BE$2:$BE$200,$G431)&gt;0,
    COUNTIFS($BF$2:$BF$200,$G431)&gt;0,
    COUNTIFS($BG$2:$BG$200,$G431)&gt;0,
    COUNTIFS($BH$2:$BH$200,$G431)&gt;0,
    COUNTIFS($BI$2:$BI$200,$G431)&gt;0,
    COUNTIFS($BJ$2:$BJ$200,$G431)&gt;0,
    COUNTIFS($BK$2:$BK$200,$G431)&gt;0,
    COUNTIFS($BL$2:$BL$200,$G431)&gt;0,
    COUNTIFS($BM$2:$BM$200,$G431)&gt;0,
   ),
  0)
 ),
"")</f>
        <v>Kresh</v>
      </c>
      <c r="G431" t="str">
        <f ca="1"/>
        <v>Stump Stomp</v>
      </c>
      <c r="EX431" t="str">
        <f ca="1"/>
        <v>Stump Stomp</v>
      </c>
    </row>
    <row r="432" spans="1:154" x14ac:dyDescent="0.25">
      <c r="A432" s="2" t="str">
        <f t="shared" ca="1" si="18"/>
        <v>4</v>
      </c>
      <c r="B432" s="2">
        <f t="shared" ca="1" si="19"/>
        <v>1</v>
      </c>
      <c r="C432" s="2" t="str">
        <f ca="1">IFERROR(
 INDEX($V$1:$BL$1,
  MATCH(TRUE,
   CHOOSE({1;2;3;4;5;6;7;8;9;10;11;12;13;14;15;16;17;18;19;20;21;22;23;24;25;26;27;28;29;30;31;32;33;34;35;36;37;38;39;40;41;42;43},
    COUNTIFS($V$2:$V$200,$G432)&gt;0,
    COUNTIFS($W$2:$W$200,$G432)&gt;0,
    COUNTIFS($X$2:$X$200,$G432)&gt;0,
    COUNTIFS($Y$2:$Y$200,$G432)&gt;0,
    COUNTIFS($Z$2:$Z$200,$G432)&gt;0,
    COUNTIFS($AA$2:$AA$200,$G432)&gt;0,
    COUNTIFS($AB$2:$AB$200,$G432)&gt;0,
    COUNTIFS($AC$2:$AC$200,$G432)&gt;0,
    COUNTIFS($AD$2:$AD$200,$G432)&gt;0,
    COUNTIFS($AE$2:$AE$200,$G432)&gt;0,
    COUNTIFS($AF$2:$AF$200,$G432)&gt;0,
    COUNTIFS($AG$2:$AG$200,$G432)&gt;0,
    COUNTIFS($AH$2:$AH$200,$G432)&gt;0,
    COUNTIFS($AI$2:$AI$200,$G432)&gt;0,
    COUNTIFS($AJ$2:$AJ$200,$G432)&gt;0,
    COUNTIFS($AK$2:$AK$200,$G432)&gt;0,
    COUNTIFS($AL$2:$AL$200,$G432)&gt;0,
    COUNTIFS($AM$2:$AM$200,$G432)&gt;0,
    COUNTIFS($AN$2:$AN$200,$G432)&gt;0,
    COUNTIFS($AO$2:$AO$200,$G432)&gt;0,
    COUNTIFS($AP$2:$AP$200,$G432)&gt;0,
    COUNTIFS($AQ$2:$AQ$200,$G432)&gt;0,
    COUNTIFS($AR$2:$AR$200,$G432)&gt;0,
    COUNTIFS($AS$2:$AS$200,$G432)&gt;0,
    COUNTIFS($AT$2:$AT$200,$G432)&gt;0,
    COUNTIFS($AU$2:$AU$200,$G432)&gt;0,
    COUNTIFS($AV$2:$AV$200,$G432)&gt;0,
    COUNTIFS($AW$2:$AW$200,$G432)&gt;0,
    COUNTIFS($AX$2:$AX$200,$G432)&gt;0,
    COUNTIFS($AY$2:$AY$200,$G432)&gt;0,
    COUNTIFS($AZ$2:$AZ$200,$G432)&gt;0,
    COUNTIFS($BA$2:$BA$200,$G432)&gt;0,
    COUNTIFS($BB$2:$BB$200,$G432)&gt;0,
    COUNTIFS($BC$2:$BC$200,$G432)&gt;0,
    COUNTIFS($BD$2:$BD$200,$G432)&gt;0,
    COUNTIFS($BE$2:$BE$200,$G432)&gt;0,
    COUNTIFS($BF$2:$BF$200,$G432)&gt;0,
    COUNTIFS($BG$2:$BG$200,$G432)&gt;0,
    COUNTIFS($BH$2:$BH$200,$G432)&gt;0,
    COUNTIFS($BI$2:$BI$200,$G432)&gt;0,
    COUNTIFS($BJ$2:$BJ$200,$G432)&gt;0,
    COUNTIFS($BK$2:$BK$200,$G432)&gt;0,
    COUNTIFS($BL$2:$BL$200,$G432)&gt;0,
    COUNTIFS($BM$2:$BM$200,$G432)&gt;0,
   ),
  0)
 ),
"")</f>
        <v>Tayam</v>
      </c>
      <c r="G432" t="str">
        <f ca="1"/>
        <v>Summon: Ixion</v>
      </c>
      <c r="EX432" t="str">
        <f ca="1"/>
        <v>Summon: Ixion</v>
      </c>
    </row>
    <row r="433" spans="1:154" x14ac:dyDescent="0.25">
      <c r="A433" s="2" t="str">
        <f t="shared" ca="1" si="18"/>
        <v>5</v>
      </c>
      <c r="B433" s="2">
        <f t="shared" ca="1" si="19"/>
        <v>1</v>
      </c>
      <c r="C433" s="2" t="str">
        <f ca="1">IFERROR(
 INDEX($V$1:$BL$1,
  MATCH(TRUE,
   CHOOSE({1;2;3;4;5;6;7;8;9;10;11;12;13;14;15;16;17;18;19;20;21;22;23;24;25;26;27;28;29;30;31;32;33;34;35;36;37;38;39;40;41;42;43},
    COUNTIFS($V$2:$V$200,$G433)&gt;0,
    COUNTIFS($W$2:$W$200,$G433)&gt;0,
    COUNTIFS($X$2:$X$200,$G433)&gt;0,
    COUNTIFS($Y$2:$Y$200,$G433)&gt;0,
    COUNTIFS($Z$2:$Z$200,$G433)&gt;0,
    COUNTIFS($AA$2:$AA$200,$G433)&gt;0,
    COUNTIFS($AB$2:$AB$200,$G433)&gt;0,
    COUNTIFS($AC$2:$AC$200,$G433)&gt;0,
    COUNTIFS($AD$2:$AD$200,$G433)&gt;0,
    COUNTIFS($AE$2:$AE$200,$G433)&gt;0,
    COUNTIFS($AF$2:$AF$200,$G433)&gt;0,
    COUNTIFS($AG$2:$AG$200,$G433)&gt;0,
    COUNTIFS($AH$2:$AH$200,$G433)&gt;0,
    COUNTIFS($AI$2:$AI$200,$G433)&gt;0,
    COUNTIFS($AJ$2:$AJ$200,$G433)&gt;0,
    COUNTIFS($AK$2:$AK$200,$G433)&gt;0,
    COUNTIFS($AL$2:$AL$200,$G433)&gt;0,
    COUNTIFS($AM$2:$AM$200,$G433)&gt;0,
    COUNTIFS($AN$2:$AN$200,$G433)&gt;0,
    COUNTIFS($AO$2:$AO$200,$G433)&gt;0,
    COUNTIFS($AP$2:$AP$200,$G433)&gt;0,
    COUNTIFS($AQ$2:$AQ$200,$G433)&gt;0,
    COUNTIFS($AR$2:$AR$200,$G433)&gt;0,
    COUNTIFS($AS$2:$AS$200,$G433)&gt;0,
    COUNTIFS($AT$2:$AT$200,$G433)&gt;0,
    COUNTIFS($AU$2:$AU$200,$G433)&gt;0,
    COUNTIFS($AV$2:$AV$200,$G433)&gt;0,
    COUNTIFS($AW$2:$AW$200,$G433)&gt;0,
    COUNTIFS($AX$2:$AX$200,$G433)&gt;0,
    COUNTIFS($AY$2:$AY$200,$G433)&gt;0,
    COUNTIFS($AZ$2:$AZ$200,$G433)&gt;0,
    COUNTIFS($BA$2:$BA$200,$G433)&gt;0,
    COUNTIFS($BB$2:$BB$200,$G433)&gt;0,
    COUNTIFS($BC$2:$BC$200,$G433)&gt;0,
    COUNTIFS($BD$2:$BD$200,$G433)&gt;0,
    COUNTIFS($BE$2:$BE$200,$G433)&gt;0,
    COUNTIFS($BF$2:$BF$200,$G433)&gt;0,
    COUNTIFS($BG$2:$BG$200,$G433)&gt;0,
    COUNTIFS($BH$2:$BH$200,$G433)&gt;0,
    COUNTIFS($BI$2:$BI$200,$G433)&gt;0,
    COUNTIFS($BJ$2:$BJ$200,$G433)&gt;0,
    COUNTIFS($BK$2:$BK$200,$G433)&gt;0,
    COUNTIFS($BL$2:$BL$200,$G433)&gt;0,
    COUNTIFS($BM$2:$BM$200,$G433)&gt;0,
   ),
  0)
 ),
"")</f>
        <v>Little</v>
      </c>
      <c r="G433" t="str">
        <f ca="1"/>
        <v>Sundering Eruption</v>
      </c>
      <c r="EX433" t="str">
        <f ca="1"/>
        <v>Sundering Eruption</v>
      </c>
    </row>
    <row r="434" spans="1:154" x14ac:dyDescent="0.25">
      <c r="A434" s="2" t="str">
        <f t="shared" ca="1" si="18"/>
        <v>4</v>
      </c>
      <c r="B434" s="2">
        <f t="shared" ca="1" si="19"/>
        <v>2</v>
      </c>
      <c r="C434" s="2" t="str">
        <f ca="1">IFERROR(
 INDEX($V$1:$BL$1,
  MATCH(TRUE,
   CHOOSE({1;2;3;4;5;6;7;8;9;10;11;12;13;14;15;16;17;18;19;20;21;22;23;24;25;26;27;28;29;30;31;32;33;34;35;36;37;38;39;40;41;42;43},
    COUNTIFS($V$2:$V$200,$G434)&gt;0,
    COUNTIFS($W$2:$W$200,$G434)&gt;0,
    COUNTIFS($X$2:$X$200,$G434)&gt;0,
    COUNTIFS($Y$2:$Y$200,$G434)&gt;0,
    COUNTIFS($Z$2:$Z$200,$G434)&gt;0,
    COUNTIFS($AA$2:$AA$200,$G434)&gt;0,
    COUNTIFS($AB$2:$AB$200,$G434)&gt;0,
    COUNTIFS($AC$2:$AC$200,$G434)&gt;0,
    COUNTIFS($AD$2:$AD$200,$G434)&gt;0,
    COUNTIFS($AE$2:$AE$200,$G434)&gt;0,
    COUNTIFS($AF$2:$AF$200,$G434)&gt;0,
    COUNTIFS($AG$2:$AG$200,$G434)&gt;0,
    COUNTIFS($AH$2:$AH$200,$G434)&gt;0,
    COUNTIFS($AI$2:$AI$200,$G434)&gt;0,
    COUNTIFS($AJ$2:$AJ$200,$G434)&gt;0,
    COUNTIFS($AK$2:$AK$200,$G434)&gt;0,
    COUNTIFS($AL$2:$AL$200,$G434)&gt;0,
    COUNTIFS($AM$2:$AM$200,$G434)&gt;0,
    COUNTIFS($AN$2:$AN$200,$G434)&gt;0,
    COUNTIFS($AO$2:$AO$200,$G434)&gt;0,
    COUNTIFS($AP$2:$AP$200,$G434)&gt;0,
    COUNTIFS($AQ$2:$AQ$200,$G434)&gt;0,
    COUNTIFS($AR$2:$AR$200,$G434)&gt;0,
    COUNTIFS($AS$2:$AS$200,$G434)&gt;0,
    COUNTIFS($AT$2:$AT$200,$G434)&gt;0,
    COUNTIFS($AU$2:$AU$200,$G434)&gt;0,
    COUNTIFS($AV$2:$AV$200,$G434)&gt;0,
    COUNTIFS($AW$2:$AW$200,$G434)&gt;0,
    COUNTIFS($AX$2:$AX$200,$G434)&gt;0,
    COUNTIFS($AY$2:$AY$200,$G434)&gt;0,
    COUNTIFS($AZ$2:$AZ$200,$G434)&gt;0,
    COUNTIFS($BA$2:$BA$200,$G434)&gt;0,
    COUNTIFS($BB$2:$BB$200,$G434)&gt;0,
    COUNTIFS($BC$2:$BC$200,$G434)&gt;0,
    COUNTIFS($BD$2:$BD$200,$G434)&gt;0,
    COUNTIFS($BE$2:$BE$200,$G434)&gt;0,
    COUNTIFS($BF$2:$BF$200,$G434)&gt;0,
    COUNTIFS($BG$2:$BG$200,$G434)&gt;0,
    COUNTIFS($BH$2:$BH$200,$G434)&gt;0,
    COUNTIFS($BI$2:$BI$200,$G434)&gt;0,
    COUNTIFS($BJ$2:$BJ$200,$G434)&gt;0,
    COUNTIFS($BK$2:$BK$200,$G434)&gt;0,
    COUNTIFS($BL$2:$BL$200,$G434)&gt;0,
    COUNTIFS($BM$2:$BM$200,$G434)&gt;0,
   ),
  0)
 ),
"")</f>
        <v>Tayam</v>
      </c>
      <c r="G434" t="str">
        <f ca="1"/>
        <v>Sunpetal Grove</v>
      </c>
      <c r="EX434" t="str">
        <f ca="1"/>
        <v>Sunpetal Grove</v>
      </c>
    </row>
    <row r="435" spans="1:154" x14ac:dyDescent="0.25">
      <c r="A435" s="2" t="str">
        <f t="shared" ca="1" si="18"/>
        <v>4</v>
      </c>
      <c r="B435" s="2">
        <f t="shared" ca="1" si="19"/>
        <v>1</v>
      </c>
      <c r="C435" s="2" t="str">
        <f ca="1">IFERROR(
 INDEX($V$1:$BL$1,
  MATCH(TRUE,
   CHOOSE({1;2;3;4;5;6;7;8;9;10;11;12;13;14;15;16;17;18;19;20;21;22;23;24;25;26;27;28;29;30;31;32;33;34;35;36;37;38;39;40;41;42;43},
    COUNTIFS($V$2:$V$200,$G435)&gt;0,
    COUNTIFS($W$2:$W$200,$G435)&gt;0,
    COUNTIFS($X$2:$X$200,$G435)&gt;0,
    COUNTIFS($Y$2:$Y$200,$G435)&gt;0,
    COUNTIFS($Z$2:$Z$200,$G435)&gt;0,
    COUNTIFS($AA$2:$AA$200,$G435)&gt;0,
    COUNTIFS($AB$2:$AB$200,$G435)&gt;0,
    COUNTIFS($AC$2:$AC$200,$G435)&gt;0,
    COUNTIFS($AD$2:$AD$200,$G435)&gt;0,
    COUNTIFS($AE$2:$AE$200,$G435)&gt;0,
    COUNTIFS($AF$2:$AF$200,$G435)&gt;0,
    COUNTIFS($AG$2:$AG$200,$G435)&gt;0,
    COUNTIFS($AH$2:$AH$200,$G435)&gt;0,
    COUNTIFS($AI$2:$AI$200,$G435)&gt;0,
    COUNTIFS($AJ$2:$AJ$200,$G435)&gt;0,
    COUNTIFS($AK$2:$AK$200,$G435)&gt;0,
    COUNTIFS($AL$2:$AL$200,$G435)&gt;0,
    COUNTIFS($AM$2:$AM$200,$G435)&gt;0,
    COUNTIFS($AN$2:$AN$200,$G435)&gt;0,
    COUNTIFS($AO$2:$AO$200,$G435)&gt;0,
    COUNTIFS($AP$2:$AP$200,$G435)&gt;0,
    COUNTIFS($AQ$2:$AQ$200,$G435)&gt;0,
    COUNTIFS($AR$2:$AR$200,$G435)&gt;0,
    COUNTIFS($AS$2:$AS$200,$G435)&gt;0,
    COUNTIFS($AT$2:$AT$200,$G435)&gt;0,
    COUNTIFS($AU$2:$AU$200,$G435)&gt;0,
    COUNTIFS($AV$2:$AV$200,$G435)&gt;0,
    COUNTIFS($AW$2:$AW$200,$G435)&gt;0,
    COUNTIFS($AX$2:$AX$200,$G435)&gt;0,
    COUNTIFS($AY$2:$AY$200,$G435)&gt;0,
    COUNTIFS($AZ$2:$AZ$200,$G435)&gt;0,
    COUNTIFS($BA$2:$BA$200,$G435)&gt;0,
    COUNTIFS($BB$2:$BB$200,$G435)&gt;0,
    COUNTIFS($BC$2:$BC$200,$G435)&gt;0,
    COUNTIFS($BD$2:$BD$200,$G435)&gt;0,
    COUNTIFS($BE$2:$BE$200,$G435)&gt;0,
    COUNTIFS($BF$2:$BF$200,$G435)&gt;0,
    COUNTIFS($BG$2:$BG$200,$G435)&gt;0,
    COUNTIFS($BH$2:$BH$200,$G435)&gt;0,
    COUNTIFS($BI$2:$BI$200,$G435)&gt;0,
    COUNTIFS($BJ$2:$BJ$200,$G435)&gt;0,
    COUNTIFS($BK$2:$BK$200,$G435)&gt;0,
    COUNTIFS($BL$2:$BL$200,$G435)&gt;0,
    COUNTIFS($BM$2:$BM$200,$G435)&gt;0,
   ),
  0)
 ),
"")</f>
        <v>Baylen</v>
      </c>
      <c r="G435" t="str">
        <f ca="1"/>
        <v>Sunscorched Divide</v>
      </c>
      <c r="EX435" t="str">
        <f ca="1"/>
        <v>Sunscorched Divide</v>
      </c>
    </row>
    <row r="436" spans="1:154" x14ac:dyDescent="0.25">
      <c r="A436" s="2" t="str">
        <f t="shared" ca="1" si="18"/>
        <v>2</v>
      </c>
      <c r="B436" s="2">
        <f t="shared" ca="1" si="19"/>
        <v>1</v>
      </c>
      <c r="C436" s="2" t="str">
        <f ca="1">IFERROR(
 INDEX($V$1:$BL$1,
  MATCH(TRUE,
   CHOOSE({1;2;3;4;5;6;7;8;9;10;11;12;13;14;15;16;17;18;19;20;21;22;23;24;25;26;27;28;29;30;31;32;33;34;35;36;37;38;39;40;41;42;43},
    COUNTIFS($V$2:$V$200,$G436)&gt;0,
    COUNTIFS($W$2:$W$200,$G436)&gt;0,
    COUNTIFS($X$2:$X$200,$G436)&gt;0,
    COUNTIFS($Y$2:$Y$200,$G436)&gt;0,
    COUNTIFS($Z$2:$Z$200,$G436)&gt;0,
    COUNTIFS($AA$2:$AA$200,$G436)&gt;0,
    COUNTIFS($AB$2:$AB$200,$G436)&gt;0,
    COUNTIFS($AC$2:$AC$200,$G436)&gt;0,
    COUNTIFS($AD$2:$AD$200,$G436)&gt;0,
    COUNTIFS($AE$2:$AE$200,$G436)&gt;0,
    COUNTIFS($AF$2:$AF$200,$G436)&gt;0,
    COUNTIFS($AG$2:$AG$200,$G436)&gt;0,
    COUNTIFS($AH$2:$AH$200,$G436)&gt;0,
    COUNTIFS($AI$2:$AI$200,$G436)&gt;0,
    COUNTIFS($AJ$2:$AJ$200,$G436)&gt;0,
    COUNTIFS($AK$2:$AK$200,$G436)&gt;0,
    COUNTIFS($AL$2:$AL$200,$G436)&gt;0,
    COUNTIFS($AM$2:$AM$200,$G436)&gt;0,
    COUNTIFS($AN$2:$AN$200,$G436)&gt;0,
    COUNTIFS($AO$2:$AO$200,$G436)&gt;0,
    COUNTIFS($AP$2:$AP$200,$G436)&gt;0,
    COUNTIFS($AQ$2:$AQ$200,$G436)&gt;0,
    COUNTIFS($AR$2:$AR$200,$G436)&gt;0,
    COUNTIFS($AS$2:$AS$200,$G436)&gt;0,
    COUNTIFS($AT$2:$AT$200,$G436)&gt;0,
    COUNTIFS($AU$2:$AU$200,$G436)&gt;0,
    COUNTIFS($AV$2:$AV$200,$G436)&gt;0,
    COUNTIFS($AW$2:$AW$200,$G436)&gt;0,
    COUNTIFS($AX$2:$AX$200,$G436)&gt;0,
    COUNTIFS($AY$2:$AY$200,$G436)&gt;0,
    COUNTIFS($AZ$2:$AZ$200,$G436)&gt;0,
    COUNTIFS($BA$2:$BA$200,$G436)&gt;0,
    COUNTIFS($BB$2:$BB$200,$G436)&gt;0,
    COUNTIFS($BC$2:$BC$200,$G436)&gt;0,
    COUNTIFS($BD$2:$BD$200,$G436)&gt;0,
    COUNTIFS($BE$2:$BE$200,$G436)&gt;0,
    COUNTIFS($BF$2:$BF$200,$G436)&gt;0,
    COUNTIFS($BG$2:$BG$200,$G436)&gt;0,
    COUNTIFS($BH$2:$BH$200,$G436)&gt;0,
    COUNTIFS($BI$2:$BI$200,$G436)&gt;0,
    COUNTIFS($BJ$2:$BJ$200,$G436)&gt;0,
    COUNTIFS($BK$2:$BK$200,$G436)&gt;0,
    COUNTIFS($BL$2:$BL$200,$G436)&gt;0,
    COUNTIFS($BM$2:$BM$200,$G436)&gt;0,
   ),
  0)
 ),
"")</f>
        <v>OWA</v>
      </c>
      <c r="G436" t="str">
        <f ca="1"/>
        <v>Susur Secundi, Void Altar</v>
      </c>
      <c r="EX436" t="str">
        <f ca="1"/>
        <v>Susur Secundi, Void Altar</v>
      </c>
    </row>
    <row r="437" spans="1:154" x14ac:dyDescent="0.25">
      <c r="A437" s="2" t="str">
        <f t="shared" ca="1" si="18"/>
        <v>5</v>
      </c>
      <c r="B437" s="2">
        <f t="shared" ca="1" si="19"/>
        <v>18</v>
      </c>
      <c r="C437" s="2" t="str">
        <f ca="1">IFERROR(
 INDEX($V$1:$BL$1,
  MATCH(TRUE,
   CHOOSE({1;2;3;4;5;6;7;8;9;10;11;12;13;14;15;16;17;18;19;20;21;22;23;24;25;26;27;28;29;30;31;32;33;34;35;36;37;38;39;40;41;42;43},
    COUNTIFS($V$2:$V$200,$G437)&gt;0,
    COUNTIFS($W$2:$W$200,$G437)&gt;0,
    COUNTIFS($X$2:$X$200,$G437)&gt;0,
    COUNTIFS($Y$2:$Y$200,$G437)&gt;0,
    COUNTIFS($Z$2:$Z$200,$G437)&gt;0,
    COUNTIFS($AA$2:$AA$200,$G437)&gt;0,
    COUNTIFS($AB$2:$AB$200,$G437)&gt;0,
    COUNTIFS($AC$2:$AC$200,$G437)&gt;0,
    COUNTIFS($AD$2:$AD$200,$G437)&gt;0,
    COUNTIFS($AE$2:$AE$200,$G437)&gt;0,
    COUNTIFS($AF$2:$AF$200,$G437)&gt;0,
    COUNTIFS($AG$2:$AG$200,$G437)&gt;0,
    COUNTIFS($AH$2:$AH$200,$G437)&gt;0,
    COUNTIFS($AI$2:$AI$200,$G437)&gt;0,
    COUNTIFS($AJ$2:$AJ$200,$G437)&gt;0,
    COUNTIFS($AK$2:$AK$200,$G437)&gt;0,
    COUNTIFS($AL$2:$AL$200,$G437)&gt;0,
    COUNTIFS($AM$2:$AM$200,$G437)&gt;0,
    COUNTIFS($AN$2:$AN$200,$G437)&gt;0,
    COUNTIFS($AO$2:$AO$200,$G437)&gt;0,
    COUNTIFS($AP$2:$AP$200,$G437)&gt;0,
    COUNTIFS($AQ$2:$AQ$200,$G437)&gt;0,
    COUNTIFS($AR$2:$AR$200,$G437)&gt;0,
    COUNTIFS($AS$2:$AS$200,$G437)&gt;0,
    COUNTIFS($AT$2:$AT$200,$G437)&gt;0,
    COUNTIFS($AU$2:$AU$200,$G437)&gt;0,
    COUNTIFS($AV$2:$AV$200,$G437)&gt;0,
    COUNTIFS($AW$2:$AW$200,$G437)&gt;0,
    COUNTIFS($AX$2:$AX$200,$G437)&gt;0,
    COUNTIFS($AY$2:$AY$200,$G437)&gt;0,
    COUNTIFS($AZ$2:$AZ$200,$G437)&gt;0,
    COUNTIFS($BA$2:$BA$200,$G437)&gt;0,
    COUNTIFS($BB$2:$BB$200,$G437)&gt;0,
    COUNTIFS($BC$2:$BC$200,$G437)&gt;0,
    COUNTIFS($BD$2:$BD$200,$G437)&gt;0,
    COUNTIFS($BE$2:$BE$200,$G437)&gt;0,
    COUNTIFS($BF$2:$BF$200,$G437)&gt;0,
    COUNTIFS($BG$2:$BG$200,$G437)&gt;0,
    COUNTIFS($BH$2:$BH$200,$G437)&gt;0,
    COUNTIFS($BI$2:$BI$200,$G437)&gt;0,
    COUNTIFS($BJ$2:$BJ$200,$G437)&gt;0,
    COUNTIFS($BK$2:$BK$200,$G437)&gt;0,
    COUNTIFS($BL$2:$BL$200,$G437)&gt;0,
    COUNTIFS($BM$2:$BM$200,$G437)&gt;0,
   ),
  0)
 ),
"")</f>
        <v>Fractius</v>
      </c>
      <c r="G437" t="str">
        <f ca="1"/>
        <v>Swamp</v>
      </c>
      <c r="EX437" t="str">
        <f ca="1"/>
        <v>Swamp</v>
      </c>
    </row>
    <row r="438" spans="1:154" x14ac:dyDescent="0.25">
      <c r="A438" s="2" t="str">
        <f t="shared" ca="1" si="18"/>
        <v>2</v>
      </c>
      <c r="B438" s="2">
        <f t="shared" ca="1" si="19"/>
        <v>1</v>
      </c>
      <c r="C438" s="2" t="str">
        <f ca="1">IFERROR(
 INDEX($V$1:$BL$1,
  MATCH(TRUE,
   CHOOSE({1;2;3;4;5;6;7;8;9;10;11;12;13;14;15;16;17;18;19;20;21;22;23;24;25;26;27;28;29;30;31;32;33;34;35;36;37;38;39;40;41;42;43},
    COUNTIFS($V$2:$V$200,$G438)&gt;0,
    COUNTIFS($W$2:$W$200,$G438)&gt;0,
    COUNTIFS($X$2:$X$200,$G438)&gt;0,
    COUNTIFS($Y$2:$Y$200,$G438)&gt;0,
    COUNTIFS($Z$2:$Z$200,$G438)&gt;0,
    COUNTIFS($AA$2:$AA$200,$G438)&gt;0,
    COUNTIFS($AB$2:$AB$200,$G438)&gt;0,
    COUNTIFS($AC$2:$AC$200,$G438)&gt;0,
    COUNTIFS($AD$2:$AD$200,$G438)&gt;0,
    COUNTIFS($AE$2:$AE$200,$G438)&gt;0,
    COUNTIFS($AF$2:$AF$200,$G438)&gt;0,
    COUNTIFS($AG$2:$AG$200,$G438)&gt;0,
    COUNTIFS($AH$2:$AH$200,$G438)&gt;0,
    COUNTIFS($AI$2:$AI$200,$G438)&gt;0,
    COUNTIFS($AJ$2:$AJ$200,$G438)&gt;0,
    COUNTIFS($AK$2:$AK$200,$G438)&gt;0,
    COUNTIFS($AL$2:$AL$200,$G438)&gt;0,
    COUNTIFS($AM$2:$AM$200,$G438)&gt;0,
    COUNTIFS($AN$2:$AN$200,$G438)&gt;0,
    COUNTIFS($AO$2:$AO$200,$G438)&gt;0,
    COUNTIFS($AP$2:$AP$200,$G438)&gt;0,
    COUNTIFS($AQ$2:$AQ$200,$G438)&gt;0,
    COUNTIFS($AR$2:$AR$200,$G438)&gt;0,
    COUNTIFS($AS$2:$AS$200,$G438)&gt;0,
    COUNTIFS($AT$2:$AT$200,$G438)&gt;0,
    COUNTIFS($AU$2:$AU$200,$G438)&gt;0,
    COUNTIFS($AV$2:$AV$200,$G438)&gt;0,
    COUNTIFS($AW$2:$AW$200,$G438)&gt;0,
    COUNTIFS($AX$2:$AX$200,$G438)&gt;0,
    COUNTIFS($AY$2:$AY$200,$G438)&gt;0,
    COUNTIFS($AZ$2:$AZ$200,$G438)&gt;0,
    COUNTIFS($BA$2:$BA$200,$G438)&gt;0,
    COUNTIFS($BB$2:$BB$200,$G438)&gt;0,
    COUNTIFS($BC$2:$BC$200,$G438)&gt;0,
    COUNTIFS($BD$2:$BD$200,$G438)&gt;0,
    COUNTIFS($BE$2:$BE$200,$G438)&gt;0,
    COUNTIFS($BF$2:$BF$200,$G438)&gt;0,
    COUNTIFS($BG$2:$BG$200,$G438)&gt;0,
    COUNTIFS($BH$2:$BH$200,$G438)&gt;0,
    COUNTIFS($BI$2:$BI$200,$G438)&gt;0,
    COUNTIFS($BJ$2:$BJ$200,$G438)&gt;0,
    COUNTIFS($BK$2:$BK$200,$G438)&gt;0,
    COUNTIFS($BL$2:$BL$200,$G438)&gt;0,
    COUNTIFS($BM$2:$BM$200,$G438)&gt;0,
   ),
  0)
 ),
"")</f>
        <v>Rielle</v>
      </c>
      <c r="G438" t="str">
        <f ca="1"/>
        <v>Swan Song</v>
      </c>
      <c r="EX438" t="str">
        <f ca="1"/>
        <v>Swan Song</v>
      </c>
    </row>
    <row r="439" spans="1:154" x14ac:dyDescent="0.25">
      <c r="A439" s="2" t="str">
        <f t="shared" ca="1" si="18"/>
        <v>3</v>
      </c>
      <c r="B439" s="2">
        <f t="shared" ca="1" si="19"/>
        <v>1</v>
      </c>
      <c r="C439" s="2" t="str">
        <f ca="1">IFERROR(
 INDEX($V$1:$BL$1,
  MATCH(TRUE,
   CHOOSE({1;2;3;4;5;6;7;8;9;10;11;12;13;14;15;16;17;18;19;20;21;22;23;24;25;26;27;28;29;30;31;32;33;34;35;36;37;38;39;40;41;42;43},
    COUNTIFS($V$2:$V$200,$G439)&gt;0,
    COUNTIFS($W$2:$W$200,$G439)&gt;0,
    COUNTIFS($X$2:$X$200,$G439)&gt;0,
    COUNTIFS($Y$2:$Y$200,$G439)&gt;0,
    COUNTIFS($Z$2:$Z$200,$G439)&gt;0,
    COUNTIFS($AA$2:$AA$200,$G439)&gt;0,
    COUNTIFS($AB$2:$AB$200,$G439)&gt;0,
    COUNTIFS($AC$2:$AC$200,$G439)&gt;0,
    COUNTIFS($AD$2:$AD$200,$G439)&gt;0,
    COUNTIFS($AE$2:$AE$200,$G439)&gt;0,
    COUNTIFS($AF$2:$AF$200,$G439)&gt;0,
    COUNTIFS($AG$2:$AG$200,$G439)&gt;0,
    COUNTIFS($AH$2:$AH$200,$G439)&gt;0,
    COUNTIFS($AI$2:$AI$200,$G439)&gt;0,
    COUNTIFS($AJ$2:$AJ$200,$G439)&gt;0,
    COUNTIFS($AK$2:$AK$200,$G439)&gt;0,
    COUNTIFS($AL$2:$AL$200,$G439)&gt;0,
    COUNTIFS($AM$2:$AM$200,$G439)&gt;0,
    COUNTIFS($AN$2:$AN$200,$G439)&gt;0,
    COUNTIFS($AO$2:$AO$200,$G439)&gt;0,
    COUNTIFS($AP$2:$AP$200,$G439)&gt;0,
    COUNTIFS($AQ$2:$AQ$200,$G439)&gt;0,
    COUNTIFS($AR$2:$AR$200,$G439)&gt;0,
    COUNTIFS($AS$2:$AS$200,$G439)&gt;0,
    COUNTIFS($AT$2:$AT$200,$G439)&gt;0,
    COUNTIFS($AU$2:$AU$200,$G439)&gt;0,
    COUNTIFS($AV$2:$AV$200,$G439)&gt;0,
    COUNTIFS($AW$2:$AW$200,$G439)&gt;0,
    COUNTIFS($AX$2:$AX$200,$G439)&gt;0,
    COUNTIFS($AY$2:$AY$200,$G439)&gt;0,
    COUNTIFS($AZ$2:$AZ$200,$G439)&gt;0,
    COUNTIFS($BA$2:$BA$200,$G439)&gt;0,
    COUNTIFS($BB$2:$BB$200,$G439)&gt;0,
    COUNTIFS($BC$2:$BC$200,$G439)&gt;0,
    COUNTIFS($BD$2:$BD$200,$G439)&gt;0,
    COUNTIFS($BE$2:$BE$200,$G439)&gt;0,
    COUNTIFS($BF$2:$BF$200,$G439)&gt;0,
    COUNTIFS($BG$2:$BG$200,$G439)&gt;0,
    COUNTIFS($BH$2:$BH$200,$G439)&gt;0,
    COUNTIFS($BI$2:$BI$200,$G439)&gt;0,
    COUNTIFS($BJ$2:$BJ$200,$G439)&gt;0,
    COUNTIFS($BK$2:$BK$200,$G439)&gt;0,
    COUNTIFS($BL$2:$BL$200,$G439)&gt;0,
    COUNTIFS($BM$2:$BM$200,$G439)&gt;0,
   ),
  0)
 ),
"")</f>
        <v>Akiri</v>
      </c>
      <c r="G439" t="str">
        <f ca="1"/>
        <v>Sword of Feast and Famine</v>
      </c>
      <c r="EX439" t="str">
        <f ca="1"/>
        <v>Sword of Feast and Famine</v>
      </c>
    </row>
    <row r="440" spans="1:154" x14ac:dyDescent="0.25">
      <c r="A440" s="2" t="str">
        <f t="shared" ca="1" si="18"/>
        <v>3</v>
      </c>
      <c r="B440" s="2">
        <f t="shared" ca="1" si="19"/>
        <v>1</v>
      </c>
      <c r="C440" s="2" t="str">
        <f ca="1">IFERROR(
 INDEX($V$1:$BL$1,
  MATCH(TRUE,
   CHOOSE({1;2;3;4;5;6;7;8;9;10;11;12;13;14;15;16;17;18;19;20;21;22;23;24;25;26;27;28;29;30;31;32;33;34;35;36;37;38;39;40;41;42;43},
    COUNTIFS($V$2:$V$200,$G440)&gt;0,
    COUNTIFS($W$2:$W$200,$G440)&gt;0,
    COUNTIFS($X$2:$X$200,$G440)&gt;0,
    COUNTIFS($Y$2:$Y$200,$G440)&gt;0,
    COUNTIFS($Z$2:$Z$200,$G440)&gt;0,
    COUNTIFS($AA$2:$AA$200,$G440)&gt;0,
    COUNTIFS($AB$2:$AB$200,$G440)&gt;0,
    COUNTIFS($AC$2:$AC$200,$G440)&gt;0,
    COUNTIFS($AD$2:$AD$200,$G440)&gt;0,
    COUNTIFS($AE$2:$AE$200,$G440)&gt;0,
    COUNTIFS($AF$2:$AF$200,$G440)&gt;0,
    COUNTIFS($AG$2:$AG$200,$G440)&gt;0,
    COUNTIFS($AH$2:$AH$200,$G440)&gt;0,
    COUNTIFS($AI$2:$AI$200,$G440)&gt;0,
    COUNTIFS($AJ$2:$AJ$200,$G440)&gt;0,
    COUNTIFS($AK$2:$AK$200,$G440)&gt;0,
    COUNTIFS($AL$2:$AL$200,$G440)&gt;0,
    COUNTIFS($AM$2:$AM$200,$G440)&gt;0,
    COUNTIFS($AN$2:$AN$200,$G440)&gt;0,
    COUNTIFS($AO$2:$AO$200,$G440)&gt;0,
    COUNTIFS($AP$2:$AP$200,$G440)&gt;0,
    COUNTIFS($AQ$2:$AQ$200,$G440)&gt;0,
    COUNTIFS($AR$2:$AR$200,$G440)&gt;0,
    COUNTIFS($AS$2:$AS$200,$G440)&gt;0,
    COUNTIFS($AT$2:$AT$200,$G440)&gt;0,
    COUNTIFS($AU$2:$AU$200,$G440)&gt;0,
    COUNTIFS($AV$2:$AV$200,$G440)&gt;0,
    COUNTIFS($AW$2:$AW$200,$G440)&gt;0,
    COUNTIFS($AX$2:$AX$200,$G440)&gt;0,
    COUNTIFS($AY$2:$AY$200,$G440)&gt;0,
    COUNTIFS($AZ$2:$AZ$200,$G440)&gt;0,
    COUNTIFS($BA$2:$BA$200,$G440)&gt;0,
    COUNTIFS($BB$2:$BB$200,$G440)&gt;0,
    COUNTIFS($BC$2:$BC$200,$G440)&gt;0,
    COUNTIFS($BD$2:$BD$200,$G440)&gt;0,
    COUNTIFS($BE$2:$BE$200,$G440)&gt;0,
    COUNTIFS($BF$2:$BF$200,$G440)&gt;0,
    COUNTIFS($BG$2:$BG$200,$G440)&gt;0,
    COUNTIFS($BH$2:$BH$200,$G440)&gt;0,
    COUNTIFS($BI$2:$BI$200,$G440)&gt;0,
    COUNTIFS($BJ$2:$BJ$200,$G440)&gt;0,
    COUNTIFS($BK$2:$BK$200,$G440)&gt;0,
    COUNTIFS($BL$2:$BL$200,$G440)&gt;0,
    COUNTIFS($BM$2:$BM$200,$G440)&gt;0,
   ),
  0)
 ),
"")</f>
        <v>Akiri</v>
      </c>
      <c r="G440" t="str">
        <f ca="1"/>
        <v>Sword of Fire and Ice</v>
      </c>
      <c r="EX440" t="str">
        <f ca="1"/>
        <v>Sword of Fire and Ice</v>
      </c>
    </row>
    <row r="441" spans="1:154" x14ac:dyDescent="0.25">
      <c r="A441" s="2" t="str">
        <f t="shared" ca="1" si="18"/>
        <v>3</v>
      </c>
      <c r="B441" s="2">
        <f t="shared" ca="1" si="19"/>
        <v>1</v>
      </c>
      <c r="C441" s="2" t="str">
        <f ca="1">IFERROR(
 INDEX($V$1:$BL$1,
  MATCH(TRUE,
   CHOOSE({1;2;3;4;5;6;7;8;9;10;11;12;13;14;15;16;17;18;19;20;21;22;23;24;25;26;27;28;29;30;31;32;33;34;35;36;37;38;39;40;41;42;43},
    COUNTIFS($V$2:$V$200,$G441)&gt;0,
    COUNTIFS($W$2:$W$200,$G441)&gt;0,
    COUNTIFS($X$2:$X$200,$G441)&gt;0,
    COUNTIFS($Y$2:$Y$200,$G441)&gt;0,
    COUNTIFS($Z$2:$Z$200,$G441)&gt;0,
    COUNTIFS($AA$2:$AA$200,$G441)&gt;0,
    COUNTIFS($AB$2:$AB$200,$G441)&gt;0,
    COUNTIFS($AC$2:$AC$200,$G441)&gt;0,
    COUNTIFS($AD$2:$AD$200,$G441)&gt;0,
    COUNTIFS($AE$2:$AE$200,$G441)&gt;0,
    COUNTIFS($AF$2:$AF$200,$G441)&gt;0,
    COUNTIFS($AG$2:$AG$200,$G441)&gt;0,
    COUNTIFS($AH$2:$AH$200,$G441)&gt;0,
    COUNTIFS($AI$2:$AI$200,$G441)&gt;0,
    COUNTIFS($AJ$2:$AJ$200,$G441)&gt;0,
    COUNTIFS($AK$2:$AK$200,$G441)&gt;0,
    COUNTIFS($AL$2:$AL$200,$G441)&gt;0,
    COUNTIFS($AM$2:$AM$200,$G441)&gt;0,
    COUNTIFS($AN$2:$AN$200,$G441)&gt;0,
    COUNTIFS($AO$2:$AO$200,$G441)&gt;0,
    COUNTIFS($AP$2:$AP$200,$G441)&gt;0,
    COUNTIFS($AQ$2:$AQ$200,$G441)&gt;0,
    COUNTIFS($AR$2:$AR$200,$G441)&gt;0,
    COUNTIFS($AS$2:$AS$200,$G441)&gt;0,
    COUNTIFS($AT$2:$AT$200,$G441)&gt;0,
    COUNTIFS($AU$2:$AU$200,$G441)&gt;0,
    COUNTIFS($AV$2:$AV$200,$G441)&gt;0,
    COUNTIFS($AW$2:$AW$200,$G441)&gt;0,
    COUNTIFS($AX$2:$AX$200,$G441)&gt;0,
    COUNTIFS($AY$2:$AY$200,$G441)&gt;0,
    COUNTIFS($AZ$2:$AZ$200,$G441)&gt;0,
    COUNTIFS($BA$2:$BA$200,$G441)&gt;0,
    COUNTIFS($BB$2:$BB$200,$G441)&gt;0,
    COUNTIFS($BC$2:$BC$200,$G441)&gt;0,
    COUNTIFS($BD$2:$BD$200,$G441)&gt;0,
    COUNTIFS($BE$2:$BE$200,$G441)&gt;0,
    COUNTIFS($BF$2:$BF$200,$G441)&gt;0,
    COUNTIFS($BG$2:$BG$200,$G441)&gt;0,
    COUNTIFS($BH$2:$BH$200,$G441)&gt;0,
    COUNTIFS($BI$2:$BI$200,$G441)&gt;0,
    COUNTIFS($BJ$2:$BJ$200,$G441)&gt;0,
    COUNTIFS($BK$2:$BK$200,$G441)&gt;0,
    COUNTIFS($BL$2:$BL$200,$G441)&gt;0,
    COUNTIFS($BM$2:$BM$200,$G441)&gt;0,
   ),
  0)
 ),
"")</f>
        <v>Akiri</v>
      </c>
      <c r="G441" t="str">
        <f ca="1"/>
        <v>Sword of Light and Shadow</v>
      </c>
      <c r="EX441" t="str">
        <f ca="1"/>
        <v>Sword of Light and Shadow</v>
      </c>
    </row>
    <row r="442" spans="1:154" x14ac:dyDescent="0.25">
      <c r="A442" s="2" t="str">
        <f t="shared" ca="1" si="18"/>
        <v>3</v>
      </c>
      <c r="B442" s="2">
        <f t="shared" ca="1" si="19"/>
        <v>1</v>
      </c>
      <c r="C442" s="2" t="str">
        <f ca="1">IFERROR(
 INDEX($V$1:$BL$1,
  MATCH(TRUE,
   CHOOSE({1;2;3;4;5;6;7;8;9;10;11;12;13;14;15;16;17;18;19;20;21;22;23;24;25;26;27;28;29;30;31;32;33;34;35;36;37;38;39;40;41;42;43},
    COUNTIFS($V$2:$V$200,$G442)&gt;0,
    COUNTIFS($W$2:$W$200,$G442)&gt;0,
    COUNTIFS($X$2:$X$200,$G442)&gt;0,
    COUNTIFS($Y$2:$Y$200,$G442)&gt;0,
    COUNTIFS($Z$2:$Z$200,$G442)&gt;0,
    COUNTIFS($AA$2:$AA$200,$G442)&gt;0,
    COUNTIFS($AB$2:$AB$200,$G442)&gt;0,
    COUNTIFS($AC$2:$AC$200,$G442)&gt;0,
    COUNTIFS($AD$2:$AD$200,$G442)&gt;0,
    COUNTIFS($AE$2:$AE$200,$G442)&gt;0,
    COUNTIFS($AF$2:$AF$200,$G442)&gt;0,
    COUNTIFS($AG$2:$AG$200,$G442)&gt;0,
    COUNTIFS($AH$2:$AH$200,$G442)&gt;0,
    COUNTIFS($AI$2:$AI$200,$G442)&gt;0,
    COUNTIFS($AJ$2:$AJ$200,$G442)&gt;0,
    COUNTIFS($AK$2:$AK$200,$G442)&gt;0,
    COUNTIFS($AL$2:$AL$200,$G442)&gt;0,
    COUNTIFS($AM$2:$AM$200,$G442)&gt;0,
    COUNTIFS($AN$2:$AN$200,$G442)&gt;0,
    COUNTIFS($AO$2:$AO$200,$G442)&gt;0,
    COUNTIFS($AP$2:$AP$200,$G442)&gt;0,
    COUNTIFS($AQ$2:$AQ$200,$G442)&gt;0,
    COUNTIFS($AR$2:$AR$200,$G442)&gt;0,
    COUNTIFS($AS$2:$AS$200,$G442)&gt;0,
    COUNTIFS($AT$2:$AT$200,$G442)&gt;0,
    COUNTIFS($AU$2:$AU$200,$G442)&gt;0,
    COUNTIFS($AV$2:$AV$200,$G442)&gt;0,
    COUNTIFS($AW$2:$AW$200,$G442)&gt;0,
    COUNTIFS($AX$2:$AX$200,$G442)&gt;0,
    COUNTIFS($AY$2:$AY$200,$G442)&gt;0,
    COUNTIFS($AZ$2:$AZ$200,$G442)&gt;0,
    COUNTIFS($BA$2:$BA$200,$G442)&gt;0,
    COUNTIFS($BB$2:$BB$200,$G442)&gt;0,
    COUNTIFS($BC$2:$BC$200,$G442)&gt;0,
    COUNTIFS($BD$2:$BD$200,$G442)&gt;0,
    COUNTIFS($BE$2:$BE$200,$G442)&gt;0,
    COUNTIFS($BF$2:$BF$200,$G442)&gt;0,
    COUNTIFS($BG$2:$BG$200,$G442)&gt;0,
    COUNTIFS($BH$2:$BH$200,$G442)&gt;0,
    COUNTIFS($BI$2:$BI$200,$G442)&gt;0,
    COUNTIFS($BJ$2:$BJ$200,$G442)&gt;0,
    COUNTIFS($BK$2:$BK$200,$G442)&gt;0,
    COUNTIFS($BL$2:$BL$200,$G442)&gt;0,
    COUNTIFS($BM$2:$BM$200,$G442)&gt;0,
   ),
  0)
 ),
"")</f>
        <v>Akiri</v>
      </c>
      <c r="G442" t="str">
        <f ca="1"/>
        <v>Sword of Truth and Justice</v>
      </c>
      <c r="EX442" t="str">
        <f ca="1"/>
        <v>Sword of Truth and Justice</v>
      </c>
    </row>
    <row r="443" spans="1:154" x14ac:dyDescent="0.25">
      <c r="A443" s="2" t="str">
        <f t="shared" ca="1" si="18"/>
        <v>3</v>
      </c>
      <c r="B443" s="2">
        <f t="shared" ca="1" si="19"/>
        <v>1</v>
      </c>
      <c r="C443" s="2" t="str">
        <f ca="1">IFERROR(
 INDEX($V$1:$BL$1,
  MATCH(TRUE,
   CHOOSE({1;2;3;4;5;6;7;8;9;10;11;12;13;14;15;16;17;18;19;20;21;22;23;24;25;26;27;28;29;30;31;32;33;34;35;36;37;38;39;40;41;42;43},
    COUNTIFS($V$2:$V$200,$G443)&gt;0,
    COUNTIFS($W$2:$W$200,$G443)&gt;0,
    COUNTIFS($X$2:$X$200,$G443)&gt;0,
    COUNTIFS($Y$2:$Y$200,$G443)&gt;0,
    COUNTIFS($Z$2:$Z$200,$G443)&gt;0,
    COUNTIFS($AA$2:$AA$200,$G443)&gt;0,
    COUNTIFS($AB$2:$AB$200,$G443)&gt;0,
    COUNTIFS($AC$2:$AC$200,$G443)&gt;0,
    COUNTIFS($AD$2:$AD$200,$G443)&gt;0,
    COUNTIFS($AE$2:$AE$200,$G443)&gt;0,
    COUNTIFS($AF$2:$AF$200,$G443)&gt;0,
    COUNTIFS($AG$2:$AG$200,$G443)&gt;0,
    COUNTIFS($AH$2:$AH$200,$G443)&gt;0,
    COUNTIFS($AI$2:$AI$200,$G443)&gt;0,
    COUNTIFS($AJ$2:$AJ$200,$G443)&gt;0,
    COUNTIFS($AK$2:$AK$200,$G443)&gt;0,
    COUNTIFS($AL$2:$AL$200,$G443)&gt;0,
    COUNTIFS($AM$2:$AM$200,$G443)&gt;0,
    COUNTIFS($AN$2:$AN$200,$G443)&gt;0,
    COUNTIFS($AO$2:$AO$200,$G443)&gt;0,
    COUNTIFS($AP$2:$AP$200,$G443)&gt;0,
    COUNTIFS($AQ$2:$AQ$200,$G443)&gt;0,
    COUNTIFS($AR$2:$AR$200,$G443)&gt;0,
    COUNTIFS($AS$2:$AS$200,$G443)&gt;0,
    COUNTIFS($AT$2:$AT$200,$G443)&gt;0,
    COUNTIFS($AU$2:$AU$200,$G443)&gt;0,
    COUNTIFS($AV$2:$AV$200,$G443)&gt;0,
    COUNTIFS($AW$2:$AW$200,$G443)&gt;0,
    COUNTIFS($AX$2:$AX$200,$G443)&gt;0,
    COUNTIFS($AY$2:$AY$200,$G443)&gt;0,
    COUNTIFS($AZ$2:$AZ$200,$G443)&gt;0,
    COUNTIFS($BA$2:$BA$200,$G443)&gt;0,
    COUNTIFS($BB$2:$BB$200,$G443)&gt;0,
    COUNTIFS($BC$2:$BC$200,$G443)&gt;0,
    COUNTIFS($BD$2:$BD$200,$G443)&gt;0,
    COUNTIFS($BE$2:$BE$200,$G443)&gt;0,
    COUNTIFS($BF$2:$BF$200,$G443)&gt;0,
    COUNTIFS($BG$2:$BG$200,$G443)&gt;0,
    COUNTIFS($BH$2:$BH$200,$G443)&gt;0,
    COUNTIFS($BI$2:$BI$200,$G443)&gt;0,
    COUNTIFS($BJ$2:$BJ$200,$G443)&gt;0,
    COUNTIFS($BK$2:$BK$200,$G443)&gt;0,
    COUNTIFS($BL$2:$BL$200,$G443)&gt;0,
    COUNTIFS($BM$2:$BM$200,$G443)&gt;0,
   ),
  0)
 ),
"")</f>
        <v>Akiri</v>
      </c>
      <c r="G443" t="str">
        <f ca="1"/>
        <v>Sword of Wealth and Power</v>
      </c>
      <c r="EX443" t="str">
        <f ca="1"/>
        <v>Sword of Wealth and Power</v>
      </c>
    </row>
    <row r="444" spans="1:154" x14ac:dyDescent="0.25">
      <c r="A444" s="2" t="str">
        <f t="shared" ca="1" si="18"/>
        <v>5</v>
      </c>
      <c r="B444" s="2">
        <f t="shared" ca="1" si="19"/>
        <v>1</v>
      </c>
      <c r="C444" s="2" t="str">
        <f ca="1">IFERROR(
 INDEX($V$1:$BL$1,
  MATCH(TRUE,
   CHOOSE({1;2;3;4;5;6;7;8;9;10;11;12;13;14;15;16;17;18;19;20;21;22;23;24;25;26;27;28;29;30;31;32;33;34;35;36;37;38;39;40;41;42;43},
    COUNTIFS($V$2:$V$200,$G444)&gt;0,
    COUNTIFS($W$2:$W$200,$G444)&gt;0,
    COUNTIFS($X$2:$X$200,$G444)&gt;0,
    COUNTIFS($Y$2:$Y$200,$G444)&gt;0,
    COUNTIFS($Z$2:$Z$200,$G444)&gt;0,
    COUNTIFS($AA$2:$AA$200,$G444)&gt;0,
    COUNTIFS($AB$2:$AB$200,$G444)&gt;0,
    COUNTIFS($AC$2:$AC$200,$G444)&gt;0,
    COUNTIFS($AD$2:$AD$200,$G444)&gt;0,
    COUNTIFS($AE$2:$AE$200,$G444)&gt;0,
    COUNTIFS($AF$2:$AF$200,$G444)&gt;0,
    COUNTIFS($AG$2:$AG$200,$G444)&gt;0,
    COUNTIFS($AH$2:$AH$200,$G444)&gt;0,
    COUNTIFS($AI$2:$AI$200,$G444)&gt;0,
    COUNTIFS($AJ$2:$AJ$200,$G444)&gt;0,
    COUNTIFS($AK$2:$AK$200,$G444)&gt;0,
    COUNTIFS($AL$2:$AL$200,$G444)&gt;0,
    COUNTIFS($AM$2:$AM$200,$G444)&gt;0,
    COUNTIFS($AN$2:$AN$200,$G444)&gt;0,
    COUNTIFS($AO$2:$AO$200,$G444)&gt;0,
    COUNTIFS($AP$2:$AP$200,$G444)&gt;0,
    COUNTIFS($AQ$2:$AQ$200,$G444)&gt;0,
    COUNTIFS($AR$2:$AR$200,$G444)&gt;0,
    COUNTIFS($AS$2:$AS$200,$G444)&gt;0,
    COUNTIFS($AT$2:$AT$200,$G444)&gt;0,
    COUNTIFS($AU$2:$AU$200,$G444)&gt;0,
    COUNTIFS($AV$2:$AV$200,$G444)&gt;0,
    COUNTIFS($AW$2:$AW$200,$G444)&gt;0,
    COUNTIFS($AX$2:$AX$200,$G444)&gt;0,
    COUNTIFS($AY$2:$AY$200,$G444)&gt;0,
    COUNTIFS($AZ$2:$AZ$200,$G444)&gt;0,
    COUNTIFS($BA$2:$BA$200,$G444)&gt;0,
    COUNTIFS($BB$2:$BB$200,$G444)&gt;0,
    COUNTIFS($BC$2:$BC$200,$G444)&gt;0,
    COUNTIFS($BD$2:$BD$200,$G444)&gt;0,
    COUNTIFS($BE$2:$BE$200,$G444)&gt;0,
    COUNTIFS($BF$2:$BF$200,$G444)&gt;0,
    COUNTIFS($BG$2:$BG$200,$G444)&gt;0,
    COUNTIFS($BH$2:$BH$200,$G444)&gt;0,
    COUNTIFS($BI$2:$BI$200,$G444)&gt;0,
    COUNTIFS($BJ$2:$BJ$200,$G444)&gt;0,
    COUNTIFS($BK$2:$BK$200,$G444)&gt;0,
    COUNTIFS($BL$2:$BL$200,$G444)&gt;0,
    COUNTIFS($BM$2:$BM$200,$G444)&gt;0,
   ),
  0)
 ),
"")</f>
        <v>Zuko</v>
      </c>
      <c r="G444" t="str">
        <f ca="1"/>
        <v>Swords to Plowshares</v>
      </c>
      <c r="EX444" t="str">
        <f ca="1"/>
        <v>Swords to Plowshares</v>
      </c>
    </row>
    <row r="445" spans="1:154" x14ac:dyDescent="0.25">
      <c r="A445" s="2" t="str">
        <f t="shared" ca="1" si="18"/>
        <v>5</v>
      </c>
      <c r="B445" s="2">
        <f t="shared" ca="1" si="19"/>
        <v>1</v>
      </c>
      <c r="C445" s="2" t="str">
        <f ca="1">IFERROR(
 INDEX($V$1:$BL$1,
  MATCH(TRUE,
   CHOOSE({1;2;3;4;5;6;7;8;9;10;11;12;13;14;15;16;17;18;19;20;21;22;23;24;25;26;27;28;29;30;31;32;33;34;35;36;37;38;39;40;41;42;43},
    COUNTIFS($V$2:$V$200,$G445)&gt;0,
    COUNTIFS($W$2:$W$200,$G445)&gt;0,
    COUNTIFS($X$2:$X$200,$G445)&gt;0,
    COUNTIFS($Y$2:$Y$200,$G445)&gt;0,
    COUNTIFS($Z$2:$Z$200,$G445)&gt;0,
    COUNTIFS($AA$2:$AA$200,$G445)&gt;0,
    COUNTIFS($AB$2:$AB$200,$G445)&gt;0,
    COUNTIFS($AC$2:$AC$200,$G445)&gt;0,
    COUNTIFS($AD$2:$AD$200,$G445)&gt;0,
    COUNTIFS($AE$2:$AE$200,$G445)&gt;0,
    COUNTIFS($AF$2:$AF$200,$G445)&gt;0,
    COUNTIFS($AG$2:$AG$200,$G445)&gt;0,
    COUNTIFS($AH$2:$AH$200,$G445)&gt;0,
    COUNTIFS($AI$2:$AI$200,$G445)&gt;0,
    COUNTIFS($AJ$2:$AJ$200,$G445)&gt;0,
    COUNTIFS($AK$2:$AK$200,$G445)&gt;0,
    COUNTIFS($AL$2:$AL$200,$G445)&gt;0,
    COUNTIFS($AM$2:$AM$200,$G445)&gt;0,
    COUNTIFS($AN$2:$AN$200,$G445)&gt;0,
    COUNTIFS($AO$2:$AO$200,$G445)&gt;0,
    COUNTIFS($AP$2:$AP$200,$G445)&gt;0,
    COUNTIFS($AQ$2:$AQ$200,$G445)&gt;0,
    COUNTIFS($AR$2:$AR$200,$G445)&gt;0,
    COUNTIFS($AS$2:$AS$200,$G445)&gt;0,
    COUNTIFS($AT$2:$AT$200,$G445)&gt;0,
    COUNTIFS($AU$2:$AU$200,$G445)&gt;0,
    COUNTIFS($AV$2:$AV$200,$G445)&gt;0,
    COUNTIFS($AW$2:$AW$200,$G445)&gt;0,
    COUNTIFS($AX$2:$AX$200,$G445)&gt;0,
    COUNTIFS($AY$2:$AY$200,$G445)&gt;0,
    COUNTIFS($AZ$2:$AZ$200,$G445)&gt;0,
    COUNTIFS($BA$2:$BA$200,$G445)&gt;0,
    COUNTIFS($BB$2:$BB$200,$G445)&gt;0,
    COUNTIFS($BC$2:$BC$200,$G445)&gt;0,
    COUNTIFS($BD$2:$BD$200,$G445)&gt;0,
    COUNTIFS($BE$2:$BE$200,$G445)&gt;0,
    COUNTIFS($BF$2:$BF$200,$G445)&gt;0,
    COUNTIFS($BG$2:$BG$200,$G445)&gt;0,
    COUNTIFS($BH$2:$BH$200,$G445)&gt;0,
    COUNTIFS($BI$2:$BI$200,$G445)&gt;0,
    COUNTIFS($BJ$2:$BJ$200,$G445)&gt;0,
    COUNTIFS($BK$2:$BK$200,$G445)&gt;0,
    COUNTIFS($BL$2:$BL$200,$G445)&gt;0,
    COUNTIFS($BM$2:$BM$200,$G445)&gt;0,
   ),
  0)
 ),
"")</f>
        <v>Fractius</v>
      </c>
      <c r="G445" t="str">
        <f ca="1"/>
        <v>Synapse Sliver</v>
      </c>
      <c r="EX445" t="str">
        <f ca="1"/>
        <v>Synapse Sliver</v>
      </c>
    </row>
    <row r="446" spans="1:154" x14ac:dyDescent="0.25">
      <c r="A446" s="2" t="str">
        <f t="shared" ca="1" si="18"/>
        <v>5</v>
      </c>
      <c r="B446" s="2">
        <f t="shared" ca="1" si="19"/>
        <v>1</v>
      </c>
      <c r="C446" s="2" t="str">
        <f ca="1">IFERROR(
 INDEX($V$1:$BL$1,
  MATCH(TRUE,
   CHOOSE({1;2;3;4;5;6;7;8;9;10;11;12;13;14;15;16;17;18;19;20;21;22;23;24;25;26;27;28;29;30;31;32;33;34;35;36;37;38;39;40;41;42;43},
    COUNTIFS($V$2:$V$200,$G446)&gt;0,
    COUNTIFS($W$2:$W$200,$G446)&gt;0,
    COUNTIFS($X$2:$X$200,$G446)&gt;0,
    COUNTIFS($Y$2:$Y$200,$G446)&gt;0,
    COUNTIFS($Z$2:$Z$200,$G446)&gt;0,
    COUNTIFS($AA$2:$AA$200,$G446)&gt;0,
    COUNTIFS($AB$2:$AB$200,$G446)&gt;0,
    COUNTIFS($AC$2:$AC$200,$G446)&gt;0,
    COUNTIFS($AD$2:$AD$200,$G446)&gt;0,
    COUNTIFS($AE$2:$AE$200,$G446)&gt;0,
    COUNTIFS($AF$2:$AF$200,$G446)&gt;0,
    COUNTIFS($AG$2:$AG$200,$G446)&gt;0,
    COUNTIFS($AH$2:$AH$200,$G446)&gt;0,
    COUNTIFS($AI$2:$AI$200,$G446)&gt;0,
    COUNTIFS($AJ$2:$AJ$200,$G446)&gt;0,
    COUNTIFS($AK$2:$AK$200,$G446)&gt;0,
    COUNTIFS($AL$2:$AL$200,$G446)&gt;0,
    COUNTIFS($AM$2:$AM$200,$G446)&gt;0,
    COUNTIFS($AN$2:$AN$200,$G446)&gt;0,
    COUNTIFS($AO$2:$AO$200,$G446)&gt;0,
    COUNTIFS($AP$2:$AP$200,$G446)&gt;0,
    COUNTIFS($AQ$2:$AQ$200,$G446)&gt;0,
    COUNTIFS($AR$2:$AR$200,$G446)&gt;0,
    COUNTIFS($AS$2:$AS$200,$G446)&gt;0,
    COUNTIFS($AT$2:$AT$200,$G446)&gt;0,
    COUNTIFS($AU$2:$AU$200,$G446)&gt;0,
    COUNTIFS($AV$2:$AV$200,$G446)&gt;0,
    COUNTIFS($AW$2:$AW$200,$G446)&gt;0,
    COUNTIFS($AX$2:$AX$200,$G446)&gt;0,
    COUNTIFS($AY$2:$AY$200,$G446)&gt;0,
    COUNTIFS($AZ$2:$AZ$200,$G446)&gt;0,
    COUNTIFS($BA$2:$BA$200,$G446)&gt;0,
    COUNTIFS($BB$2:$BB$200,$G446)&gt;0,
    COUNTIFS($BC$2:$BC$200,$G446)&gt;0,
    COUNTIFS($BD$2:$BD$200,$G446)&gt;0,
    COUNTIFS($BE$2:$BE$200,$G446)&gt;0,
    COUNTIFS($BF$2:$BF$200,$G446)&gt;0,
    COUNTIFS($BG$2:$BG$200,$G446)&gt;0,
    COUNTIFS($BH$2:$BH$200,$G446)&gt;0,
    COUNTIFS($BI$2:$BI$200,$G446)&gt;0,
    COUNTIFS($BJ$2:$BJ$200,$G446)&gt;0,
    COUNTIFS($BK$2:$BK$200,$G446)&gt;0,
    COUNTIFS($BL$2:$BL$200,$G446)&gt;0,
    COUNTIFS($BM$2:$BM$200,$G446)&gt;0,
   ),
  0)
 ),
"")</f>
        <v>Fractius</v>
      </c>
      <c r="G446" t="str">
        <f ca="1"/>
        <v>Syphon Sliver</v>
      </c>
      <c r="EX446" t="str">
        <f ca="1"/>
        <v>Syphon Sliver</v>
      </c>
    </row>
    <row r="447" spans="1:154" x14ac:dyDescent="0.25">
      <c r="A447" s="2" t="str">
        <f t="shared" ca="1" si="18"/>
        <v>2</v>
      </c>
      <c r="B447" s="2">
        <f t="shared" ca="1" si="19"/>
        <v>1</v>
      </c>
      <c r="C447" s="2" t="str">
        <f ca="1">IFERROR(
 INDEX($V$1:$BL$1,
  MATCH(TRUE,
   CHOOSE({1;2;3;4;5;6;7;8;9;10;11;12;13;14;15;16;17;18;19;20;21;22;23;24;25;26;27;28;29;30;31;32;33;34;35;36;37;38;39;40;41;42;43},
    COUNTIFS($V$2:$V$200,$G447)&gt;0,
    COUNTIFS($W$2:$W$200,$G447)&gt;0,
    COUNTIFS($X$2:$X$200,$G447)&gt;0,
    COUNTIFS($Y$2:$Y$200,$G447)&gt;0,
    COUNTIFS($Z$2:$Z$200,$G447)&gt;0,
    COUNTIFS($AA$2:$AA$200,$G447)&gt;0,
    COUNTIFS($AB$2:$AB$200,$G447)&gt;0,
    COUNTIFS($AC$2:$AC$200,$G447)&gt;0,
    COUNTIFS($AD$2:$AD$200,$G447)&gt;0,
    COUNTIFS($AE$2:$AE$200,$G447)&gt;0,
    COUNTIFS($AF$2:$AF$200,$G447)&gt;0,
    COUNTIFS($AG$2:$AG$200,$G447)&gt;0,
    COUNTIFS($AH$2:$AH$200,$G447)&gt;0,
    COUNTIFS($AI$2:$AI$200,$G447)&gt;0,
    COUNTIFS($AJ$2:$AJ$200,$G447)&gt;0,
    COUNTIFS($AK$2:$AK$200,$G447)&gt;0,
    COUNTIFS($AL$2:$AL$200,$G447)&gt;0,
    COUNTIFS($AM$2:$AM$200,$G447)&gt;0,
    COUNTIFS($AN$2:$AN$200,$G447)&gt;0,
    COUNTIFS($AO$2:$AO$200,$G447)&gt;0,
    COUNTIFS($AP$2:$AP$200,$G447)&gt;0,
    COUNTIFS($AQ$2:$AQ$200,$G447)&gt;0,
    COUNTIFS($AR$2:$AR$200,$G447)&gt;0,
    COUNTIFS($AS$2:$AS$200,$G447)&gt;0,
    COUNTIFS($AT$2:$AT$200,$G447)&gt;0,
    COUNTIFS($AU$2:$AU$200,$G447)&gt;0,
    COUNTIFS($AV$2:$AV$200,$G447)&gt;0,
    COUNTIFS($AW$2:$AW$200,$G447)&gt;0,
    COUNTIFS($AX$2:$AX$200,$G447)&gt;0,
    COUNTIFS($AY$2:$AY$200,$G447)&gt;0,
    COUNTIFS($AZ$2:$AZ$200,$G447)&gt;0,
    COUNTIFS($BA$2:$BA$200,$G447)&gt;0,
    COUNTIFS($BB$2:$BB$200,$G447)&gt;0,
    COUNTIFS($BC$2:$BC$200,$G447)&gt;0,
    COUNTIFS($BD$2:$BD$200,$G447)&gt;0,
    COUNTIFS($BE$2:$BE$200,$G447)&gt;0,
    COUNTIFS($BF$2:$BF$200,$G447)&gt;0,
    COUNTIFS($BG$2:$BG$200,$G447)&gt;0,
    COUNTIFS($BH$2:$BH$200,$G447)&gt;0,
    COUNTIFS($BI$2:$BI$200,$G447)&gt;0,
    COUNTIFS($BJ$2:$BJ$200,$G447)&gt;0,
    COUNTIFS($BK$2:$BK$200,$G447)&gt;0,
    COUNTIFS($BL$2:$BL$200,$G447)&gt;0,
    COUNTIFS($BM$2:$BM$200,$G447)&gt;0,
   ),
  0)
 ),
"")</f>
        <v>Carlos</v>
      </c>
      <c r="G447" t="str">
        <f ca="1"/>
        <v>Tainted Field</v>
      </c>
      <c r="EX447" t="str">
        <f ca="1"/>
        <v>Tainted Field</v>
      </c>
    </row>
    <row r="448" spans="1:154" x14ac:dyDescent="0.25">
      <c r="A448" s="2" t="str">
        <f t="shared" ca="1" si="18"/>
        <v>2</v>
      </c>
      <c r="B448" s="2">
        <f t="shared" ca="1" si="19"/>
        <v>2</v>
      </c>
      <c r="C448" s="2" t="str">
        <f ca="1">IFERROR(
 INDEX($V$1:$BL$1,
  MATCH(TRUE,
   CHOOSE({1;2;3;4;5;6;7;8;9;10;11;12;13;14;15;16;17;18;19;20;21;22;23;24;25;26;27;28;29;30;31;32;33;34;35;36;37;38;39;40;41;42;43},
    COUNTIFS($V$2:$V$200,$G448)&gt;0,
    COUNTIFS($W$2:$W$200,$G448)&gt;0,
    COUNTIFS($X$2:$X$200,$G448)&gt;0,
    COUNTIFS($Y$2:$Y$200,$G448)&gt;0,
    COUNTIFS($Z$2:$Z$200,$G448)&gt;0,
    COUNTIFS($AA$2:$AA$200,$G448)&gt;0,
    COUNTIFS($AB$2:$AB$200,$G448)&gt;0,
    COUNTIFS($AC$2:$AC$200,$G448)&gt;0,
    COUNTIFS($AD$2:$AD$200,$G448)&gt;0,
    COUNTIFS($AE$2:$AE$200,$G448)&gt;0,
    COUNTIFS($AF$2:$AF$200,$G448)&gt;0,
    COUNTIFS($AG$2:$AG$200,$G448)&gt;0,
    COUNTIFS($AH$2:$AH$200,$G448)&gt;0,
    COUNTIFS($AI$2:$AI$200,$G448)&gt;0,
    COUNTIFS($AJ$2:$AJ$200,$G448)&gt;0,
    COUNTIFS($AK$2:$AK$200,$G448)&gt;0,
    COUNTIFS($AL$2:$AL$200,$G448)&gt;0,
    COUNTIFS($AM$2:$AM$200,$G448)&gt;0,
    COUNTIFS($AN$2:$AN$200,$G448)&gt;0,
    COUNTIFS($AO$2:$AO$200,$G448)&gt;0,
    COUNTIFS($AP$2:$AP$200,$G448)&gt;0,
    COUNTIFS($AQ$2:$AQ$200,$G448)&gt;0,
    COUNTIFS($AR$2:$AR$200,$G448)&gt;0,
    COUNTIFS($AS$2:$AS$200,$G448)&gt;0,
    COUNTIFS($AT$2:$AT$200,$G448)&gt;0,
    COUNTIFS($AU$2:$AU$200,$G448)&gt;0,
    COUNTIFS($AV$2:$AV$200,$G448)&gt;0,
    COUNTIFS($AW$2:$AW$200,$G448)&gt;0,
    COUNTIFS($AX$2:$AX$200,$G448)&gt;0,
    COUNTIFS($AY$2:$AY$200,$G448)&gt;0,
    COUNTIFS($AZ$2:$AZ$200,$G448)&gt;0,
    COUNTIFS($BA$2:$BA$200,$G448)&gt;0,
    COUNTIFS($BB$2:$BB$200,$G448)&gt;0,
    COUNTIFS($BC$2:$BC$200,$G448)&gt;0,
    COUNTIFS($BD$2:$BD$200,$G448)&gt;0,
    COUNTIFS($BE$2:$BE$200,$G448)&gt;0,
    COUNTIFS($BF$2:$BF$200,$G448)&gt;0,
    COUNTIFS($BG$2:$BG$200,$G448)&gt;0,
    COUNTIFS($BH$2:$BH$200,$G448)&gt;0,
    COUNTIFS($BI$2:$BI$200,$G448)&gt;0,
    COUNTIFS($BJ$2:$BJ$200,$G448)&gt;0,
    COUNTIFS($BK$2:$BK$200,$G448)&gt;0,
    COUNTIFS($BL$2:$BL$200,$G448)&gt;0,
    COUNTIFS($BM$2:$BM$200,$G448)&gt;0,
   ),
  0)
 ),
"")</f>
        <v>Carlos</v>
      </c>
      <c r="G448" t="str">
        <f ca="1"/>
        <v>Takenuma, Abandoned Mire</v>
      </c>
      <c r="EX448" t="str">
        <f ca="1"/>
        <v>Takenuma, Abandoned Mire</v>
      </c>
    </row>
    <row r="449" spans="1:154" x14ac:dyDescent="0.25">
      <c r="A449" s="2" t="str">
        <f t="shared" ca="1" si="18"/>
        <v>4</v>
      </c>
      <c r="B449" s="2">
        <f t="shared" ca="1" si="19"/>
        <v>1</v>
      </c>
      <c r="C449" s="2" t="str">
        <f ca="1">IFERROR(
 INDEX($V$1:$BL$1,
  MATCH(TRUE,
   CHOOSE({1;2;3;4;5;6;7;8;9;10;11;12;13;14;15;16;17;18;19;20;21;22;23;24;25;26;27;28;29;30;31;32;33;34;35;36;37;38;39;40;41;42;43},
    COUNTIFS($V$2:$V$200,$G449)&gt;0,
    COUNTIFS($W$2:$W$200,$G449)&gt;0,
    COUNTIFS($X$2:$X$200,$G449)&gt;0,
    COUNTIFS($Y$2:$Y$200,$G449)&gt;0,
    COUNTIFS($Z$2:$Z$200,$G449)&gt;0,
    COUNTIFS($AA$2:$AA$200,$G449)&gt;0,
    COUNTIFS($AB$2:$AB$200,$G449)&gt;0,
    COUNTIFS($AC$2:$AC$200,$G449)&gt;0,
    COUNTIFS($AD$2:$AD$200,$G449)&gt;0,
    COUNTIFS($AE$2:$AE$200,$G449)&gt;0,
    COUNTIFS($AF$2:$AF$200,$G449)&gt;0,
    COUNTIFS($AG$2:$AG$200,$G449)&gt;0,
    COUNTIFS($AH$2:$AH$200,$G449)&gt;0,
    COUNTIFS($AI$2:$AI$200,$G449)&gt;0,
    COUNTIFS($AJ$2:$AJ$200,$G449)&gt;0,
    COUNTIFS($AK$2:$AK$200,$G449)&gt;0,
    COUNTIFS($AL$2:$AL$200,$G449)&gt;0,
    COUNTIFS($AM$2:$AM$200,$G449)&gt;0,
    COUNTIFS($AN$2:$AN$200,$G449)&gt;0,
    COUNTIFS($AO$2:$AO$200,$G449)&gt;0,
    COUNTIFS($AP$2:$AP$200,$G449)&gt;0,
    COUNTIFS($AQ$2:$AQ$200,$G449)&gt;0,
    COUNTIFS($AR$2:$AR$200,$G449)&gt;0,
    COUNTIFS($AS$2:$AS$200,$G449)&gt;0,
    COUNTIFS($AT$2:$AT$200,$G449)&gt;0,
    COUNTIFS($AU$2:$AU$200,$G449)&gt;0,
    COUNTIFS($AV$2:$AV$200,$G449)&gt;0,
    COUNTIFS($AW$2:$AW$200,$G449)&gt;0,
    COUNTIFS($AX$2:$AX$200,$G449)&gt;0,
    COUNTIFS($AY$2:$AY$200,$G449)&gt;0,
    COUNTIFS($AZ$2:$AZ$200,$G449)&gt;0,
    COUNTIFS($BA$2:$BA$200,$G449)&gt;0,
    COUNTIFS($BB$2:$BB$200,$G449)&gt;0,
    COUNTIFS($BC$2:$BC$200,$G449)&gt;0,
    COUNTIFS($BD$2:$BD$200,$G449)&gt;0,
    COUNTIFS($BE$2:$BE$200,$G449)&gt;0,
    COUNTIFS($BF$2:$BF$200,$G449)&gt;0,
    COUNTIFS($BG$2:$BG$200,$G449)&gt;0,
    COUNTIFS($BH$2:$BH$200,$G449)&gt;0,
    COUNTIFS($BI$2:$BI$200,$G449)&gt;0,
    COUNTIFS($BJ$2:$BJ$200,$G449)&gt;0,
    COUNTIFS($BK$2:$BK$200,$G449)&gt;0,
    COUNTIFS($BL$2:$BL$200,$G449)&gt;0,
    COUNTIFS($BM$2:$BM$200,$G449)&gt;0,
   ),
  0)
 ),
"")</f>
        <v>Tayam</v>
      </c>
      <c r="G449" t="str">
        <f ca="1"/>
        <v>Tale of Katara and Toph</v>
      </c>
      <c r="EX449" t="str">
        <f ca="1"/>
        <v>Tale of Katara and Toph</v>
      </c>
    </row>
    <row r="450" spans="1:154" x14ac:dyDescent="0.25">
      <c r="A450" s="2" t="str">
        <f t="shared" ca="1" si="18"/>
        <v>5</v>
      </c>
      <c r="B450" s="2">
        <f t="shared" ca="1" si="19"/>
        <v>1</v>
      </c>
      <c r="C450" s="2" t="str">
        <f ca="1">IFERROR(
 INDEX($V$1:$BL$1,
  MATCH(TRUE,
   CHOOSE({1;2;3;4;5;6;7;8;9;10;11;12;13;14;15;16;17;18;19;20;21;22;23;24;25;26;27;28;29;30;31;32;33;34;35;36;37;38;39;40;41;42;43},
    COUNTIFS($V$2:$V$200,$G450)&gt;0,
    COUNTIFS($W$2:$W$200,$G450)&gt;0,
    COUNTIFS($X$2:$X$200,$G450)&gt;0,
    COUNTIFS($Y$2:$Y$200,$G450)&gt;0,
    COUNTIFS($Z$2:$Z$200,$G450)&gt;0,
    COUNTIFS($AA$2:$AA$200,$G450)&gt;0,
    COUNTIFS($AB$2:$AB$200,$G450)&gt;0,
    COUNTIFS($AC$2:$AC$200,$G450)&gt;0,
    COUNTIFS($AD$2:$AD$200,$G450)&gt;0,
    COUNTIFS($AE$2:$AE$200,$G450)&gt;0,
    COUNTIFS($AF$2:$AF$200,$G450)&gt;0,
    COUNTIFS($AG$2:$AG$200,$G450)&gt;0,
    COUNTIFS($AH$2:$AH$200,$G450)&gt;0,
    COUNTIFS($AI$2:$AI$200,$G450)&gt;0,
    COUNTIFS($AJ$2:$AJ$200,$G450)&gt;0,
    COUNTIFS($AK$2:$AK$200,$G450)&gt;0,
    COUNTIFS($AL$2:$AL$200,$G450)&gt;0,
    COUNTIFS($AM$2:$AM$200,$G450)&gt;0,
    COUNTIFS($AN$2:$AN$200,$G450)&gt;0,
    COUNTIFS($AO$2:$AO$200,$G450)&gt;0,
    COUNTIFS($AP$2:$AP$200,$G450)&gt;0,
    COUNTIFS($AQ$2:$AQ$200,$G450)&gt;0,
    COUNTIFS($AR$2:$AR$200,$G450)&gt;0,
    COUNTIFS($AS$2:$AS$200,$G450)&gt;0,
    COUNTIFS($AT$2:$AT$200,$G450)&gt;0,
    COUNTIFS($AU$2:$AU$200,$G450)&gt;0,
    COUNTIFS($AV$2:$AV$200,$G450)&gt;0,
    COUNTIFS($AW$2:$AW$200,$G450)&gt;0,
    COUNTIFS($AX$2:$AX$200,$G450)&gt;0,
    COUNTIFS($AY$2:$AY$200,$G450)&gt;0,
    COUNTIFS($AZ$2:$AZ$200,$G450)&gt;0,
    COUNTIFS($BA$2:$BA$200,$G450)&gt;0,
    COUNTIFS($BB$2:$BB$200,$G450)&gt;0,
    COUNTIFS($BC$2:$BC$200,$G450)&gt;0,
    COUNTIFS($BD$2:$BD$200,$G450)&gt;0,
    COUNTIFS($BE$2:$BE$200,$G450)&gt;0,
    COUNTIFS($BF$2:$BF$200,$G450)&gt;0,
    COUNTIFS($BG$2:$BG$200,$G450)&gt;0,
    COUNTIFS($BH$2:$BH$200,$G450)&gt;0,
    COUNTIFS($BI$2:$BI$200,$G450)&gt;0,
    COUNTIFS($BJ$2:$BJ$200,$G450)&gt;0,
    COUNTIFS($BK$2:$BK$200,$G450)&gt;0,
    COUNTIFS($BL$2:$BL$200,$G450)&gt;0,
    COUNTIFS($BM$2:$BM$200,$G450)&gt;0,
   ),
  0)
 ),
"")</f>
        <v>Little</v>
      </c>
      <c r="G450" t="str">
        <f ca="1"/>
        <v>Tana, the Bloodsower</v>
      </c>
      <c r="EX450" t="str">
        <f ca="1"/>
        <v>Tana, the Bloodsower</v>
      </c>
    </row>
    <row r="451" spans="1:154" x14ac:dyDescent="0.25">
      <c r="A451" s="2" t="str">
        <f t="shared" ref="A451:A514" ca="1" si="20">IFERROR(INDEX($T$3:$T$200, MATCH($C451, $J$3:$J$200, 0)), "")</f>
        <v>3</v>
      </c>
      <c r="B451" s="2">
        <f t="shared" ref="B451:B514" ca="1" si="21">COUNTIF(V:CG,G451)</f>
        <v>1</v>
      </c>
      <c r="C451" s="2" t="str">
        <f ca="1">IFERROR(
 INDEX($V$1:$BL$1,
  MATCH(TRUE,
   CHOOSE({1;2;3;4;5;6;7;8;9;10;11;12;13;14;15;16;17;18;19;20;21;22;23;24;25;26;27;28;29;30;31;32;33;34;35;36;37;38;39;40;41;42;43},
    COUNTIFS($V$2:$V$200,$G451)&gt;0,
    COUNTIFS($W$2:$W$200,$G451)&gt;0,
    COUNTIFS($X$2:$X$200,$G451)&gt;0,
    COUNTIFS($Y$2:$Y$200,$G451)&gt;0,
    COUNTIFS($Z$2:$Z$200,$G451)&gt;0,
    COUNTIFS($AA$2:$AA$200,$G451)&gt;0,
    COUNTIFS($AB$2:$AB$200,$G451)&gt;0,
    COUNTIFS($AC$2:$AC$200,$G451)&gt;0,
    COUNTIFS($AD$2:$AD$200,$G451)&gt;0,
    COUNTIFS($AE$2:$AE$200,$G451)&gt;0,
    COUNTIFS($AF$2:$AF$200,$G451)&gt;0,
    COUNTIFS($AG$2:$AG$200,$G451)&gt;0,
    COUNTIFS($AH$2:$AH$200,$G451)&gt;0,
    COUNTIFS($AI$2:$AI$200,$G451)&gt;0,
    COUNTIFS($AJ$2:$AJ$200,$G451)&gt;0,
    COUNTIFS($AK$2:$AK$200,$G451)&gt;0,
    COUNTIFS($AL$2:$AL$200,$G451)&gt;0,
    COUNTIFS($AM$2:$AM$200,$G451)&gt;0,
    COUNTIFS($AN$2:$AN$200,$G451)&gt;0,
    COUNTIFS($AO$2:$AO$200,$G451)&gt;0,
    COUNTIFS($AP$2:$AP$200,$G451)&gt;0,
    COUNTIFS($AQ$2:$AQ$200,$G451)&gt;0,
    COUNTIFS($AR$2:$AR$200,$G451)&gt;0,
    COUNTIFS($AS$2:$AS$200,$G451)&gt;0,
    COUNTIFS($AT$2:$AT$200,$G451)&gt;0,
    COUNTIFS($AU$2:$AU$200,$G451)&gt;0,
    COUNTIFS($AV$2:$AV$200,$G451)&gt;0,
    COUNTIFS($AW$2:$AW$200,$G451)&gt;0,
    COUNTIFS($AX$2:$AX$200,$G451)&gt;0,
    COUNTIFS($AY$2:$AY$200,$G451)&gt;0,
    COUNTIFS($AZ$2:$AZ$200,$G451)&gt;0,
    COUNTIFS($BA$2:$BA$200,$G451)&gt;0,
    COUNTIFS($BB$2:$BB$200,$G451)&gt;0,
    COUNTIFS($BC$2:$BC$200,$G451)&gt;0,
    COUNTIFS($BD$2:$BD$200,$G451)&gt;0,
    COUNTIFS($BE$2:$BE$200,$G451)&gt;0,
    COUNTIFS($BF$2:$BF$200,$G451)&gt;0,
    COUNTIFS($BG$2:$BG$200,$G451)&gt;0,
    COUNTIFS($BH$2:$BH$200,$G451)&gt;0,
    COUNTIFS($BI$2:$BI$200,$G451)&gt;0,
    COUNTIFS($BJ$2:$BJ$200,$G451)&gt;0,
    COUNTIFS($BK$2:$BK$200,$G451)&gt;0,
    COUNTIFS($BL$2:$BL$200,$G451)&gt;0,
    COUNTIFS($BM$2:$BM$200,$G451)&gt;0,
   ),
  0)
 ),
"")</f>
        <v>Inalla</v>
      </c>
      <c r="G451" t="str">
        <f ca="1"/>
        <v>Tarrian's Journal</v>
      </c>
      <c r="EX451" t="str">
        <f ca="1"/>
        <v>Tarrian's Journal</v>
      </c>
    </row>
    <row r="452" spans="1:154" x14ac:dyDescent="0.25">
      <c r="A452" s="2" t="str">
        <f t="shared" ca="1" si="20"/>
        <v>5</v>
      </c>
      <c r="B452" s="2">
        <f t="shared" ca="1" si="21"/>
        <v>1</v>
      </c>
      <c r="C452" s="2" t="str">
        <f ca="1">IFERROR(
 INDEX($V$1:$BL$1,
  MATCH(TRUE,
   CHOOSE({1;2;3;4;5;6;7;8;9;10;11;12;13;14;15;16;17;18;19;20;21;22;23;24;25;26;27;28;29;30;31;32;33;34;35;36;37;38;39;40;41;42;43},
    COUNTIFS($V$2:$V$200,$G452)&gt;0,
    COUNTIFS($W$2:$W$200,$G452)&gt;0,
    COUNTIFS($X$2:$X$200,$G452)&gt;0,
    COUNTIFS($Y$2:$Y$200,$G452)&gt;0,
    COUNTIFS($Z$2:$Z$200,$G452)&gt;0,
    COUNTIFS($AA$2:$AA$200,$G452)&gt;0,
    COUNTIFS($AB$2:$AB$200,$G452)&gt;0,
    COUNTIFS($AC$2:$AC$200,$G452)&gt;0,
    COUNTIFS($AD$2:$AD$200,$G452)&gt;0,
    COUNTIFS($AE$2:$AE$200,$G452)&gt;0,
    COUNTIFS($AF$2:$AF$200,$G452)&gt;0,
    COUNTIFS($AG$2:$AG$200,$G452)&gt;0,
    COUNTIFS($AH$2:$AH$200,$G452)&gt;0,
    COUNTIFS($AI$2:$AI$200,$G452)&gt;0,
    COUNTIFS($AJ$2:$AJ$200,$G452)&gt;0,
    COUNTIFS($AK$2:$AK$200,$G452)&gt;0,
    COUNTIFS($AL$2:$AL$200,$G452)&gt;0,
    COUNTIFS($AM$2:$AM$200,$G452)&gt;0,
    COUNTIFS($AN$2:$AN$200,$G452)&gt;0,
    COUNTIFS($AO$2:$AO$200,$G452)&gt;0,
    COUNTIFS($AP$2:$AP$200,$G452)&gt;0,
    COUNTIFS($AQ$2:$AQ$200,$G452)&gt;0,
    COUNTIFS($AR$2:$AR$200,$G452)&gt;0,
    COUNTIFS($AS$2:$AS$200,$G452)&gt;0,
    COUNTIFS($AT$2:$AT$200,$G452)&gt;0,
    COUNTIFS($AU$2:$AU$200,$G452)&gt;0,
    COUNTIFS($AV$2:$AV$200,$G452)&gt;0,
    COUNTIFS($AW$2:$AW$200,$G452)&gt;0,
    COUNTIFS($AX$2:$AX$200,$G452)&gt;0,
    COUNTIFS($AY$2:$AY$200,$G452)&gt;0,
    COUNTIFS($AZ$2:$AZ$200,$G452)&gt;0,
    COUNTIFS($BA$2:$BA$200,$G452)&gt;0,
    COUNTIFS($BB$2:$BB$200,$G452)&gt;0,
    COUNTIFS($BC$2:$BC$200,$G452)&gt;0,
    COUNTIFS($BD$2:$BD$200,$G452)&gt;0,
    COUNTIFS($BE$2:$BE$200,$G452)&gt;0,
    COUNTIFS($BF$2:$BF$200,$G452)&gt;0,
    COUNTIFS($BG$2:$BG$200,$G452)&gt;0,
    COUNTIFS($BH$2:$BH$200,$G452)&gt;0,
    COUNTIFS($BI$2:$BI$200,$G452)&gt;0,
    COUNTIFS($BJ$2:$BJ$200,$G452)&gt;0,
    COUNTIFS($BK$2:$BK$200,$G452)&gt;0,
    COUNTIFS($BL$2:$BL$200,$G452)&gt;0,
    COUNTIFS($BM$2:$BM$200,$G452)&gt;0,
   ),
  0)
 ),
"")</f>
        <v>Fractius</v>
      </c>
      <c r="G452" t="str">
        <f ca="1"/>
        <v>Taunting Sliver</v>
      </c>
      <c r="EX452" t="str">
        <f ca="1"/>
        <v>Taunting Sliver</v>
      </c>
    </row>
    <row r="453" spans="1:154" x14ac:dyDescent="0.25">
      <c r="A453" s="2" t="str">
        <f t="shared" ca="1" si="20"/>
        <v>5</v>
      </c>
      <c r="B453" s="2">
        <f t="shared" ca="1" si="21"/>
        <v>1</v>
      </c>
      <c r="C453" s="2" t="str">
        <f ca="1">IFERROR(
 INDEX($V$1:$BL$1,
  MATCH(TRUE,
   CHOOSE({1;2;3;4;5;6;7;8;9;10;11;12;13;14;15;16;17;18;19;20;21;22;23;24;25;26;27;28;29;30;31;32;33;34;35;36;37;38;39;40;41;42;43},
    COUNTIFS($V$2:$V$200,$G453)&gt;0,
    COUNTIFS($W$2:$W$200,$G453)&gt;0,
    COUNTIFS($X$2:$X$200,$G453)&gt;0,
    COUNTIFS($Y$2:$Y$200,$G453)&gt;0,
    COUNTIFS($Z$2:$Z$200,$G453)&gt;0,
    COUNTIFS($AA$2:$AA$200,$G453)&gt;0,
    COUNTIFS($AB$2:$AB$200,$G453)&gt;0,
    COUNTIFS($AC$2:$AC$200,$G453)&gt;0,
    COUNTIFS($AD$2:$AD$200,$G453)&gt;0,
    COUNTIFS($AE$2:$AE$200,$G453)&gt;0,
    COUNTIFS($AF$2:$AF$200,$G453)&gt;0,
    COUNTIFS($AG$2:$AG$200,$G453)&gt;0,
    COUNTIFS($AH$2:$AH$200,$G453)&gt;0,
    COUNTIFS($AI$2:$AI$200,$G453)&gt;0,
    COUNTIFS($AJ$2:$AJ$200,$G453)&gt;0,
    COUNTIFS($AK$2:$AK$200,$G453)&gt;0,
    COUNTIFS($AL$2:$AL$200,$G453)&gt;0,
    COUNTIFS($AM$2:$AM$200,$G453)&gt;0,
    COUNTIFS($AN$2:$AN$200,$G453)&gt;0,
    COUNTIFS($AO$2:$AO$200,$G453)&gt;0,
    COUNTIFS($AP$2:$AP$200,$G453)&gt;0,
    COUNTIFS($AQ$2:$AQ$200,$G453)&gt;0,
    COUNTIFS($AR$2:$AR$200,$G453)&gt;0,
    COUNTIFS($AS$2:$AS$200,$G453)&gt;0,
    COUNTIFS($AT$2:$AT$200,$G453)&gt;0,
    COUNTIFS($AU$2:$AU$200,$G453)&gt;0,
    COUNTIFS($AV$2:$AV$200,$G453)&gt;0,
    COUNTIFS($AW$2:$AW$200,$G453)&gt;0,
    COUNTIFS($AX$2:$AX$200,$G453)&gt;0,
    COUNTIFS($AY$2:$AY$200,$G453)&gt;0,
    COUNTIFS($AZ$2:$AZ$200,$G453)&gt;0,
    COUNTIFS($BA$2:$BA$200,$G453)&gt;0,
    COUNTIFS($BB$2:$BB$200,$G453)&gt;0,
    COUNTIFS($BC$2:$BC$200,$G453)&gt;0,
    COUNTIFS($BD$2:$BD$200,$G453)&gt;0,
    COUNTIFS($BE$2:$BE$200,$G453)&gt;0,
    COUNTIFS($BF$2:$BF$200,$G453)&gt;0,
    COUNTIFS($BG$2:$BG$200,$G453)&gt;0,
    COUNTIFS($BH$2:$BH$200,$G453)&gt;0,
    COUNTIFS($BI$2:$BI$200,$G453)&gt;0,
    COUNTIFS($BJ$2:$BJ$200,$G453)&gt;0,
    COUNTIFS($BK$2:$BK$200,$G453)&gt;0,
    COUNTIFS($BL$2:$BL$200,$G453)&gt;0,
    COUNTIFS($BM$2:$BM$200,$G453)&gt;0,
   ),
  0)
 ),
"")</f>
        <v>4cRash</v>
      </c>
      <c r="G453" t="str">
        <f ca="1"/>
        <v>Tear Asunder</v>
      </c>
      <c r="EX453" t="str">
        <f ca="1"/>
        <v>Tear Asunder</v>
      </c>
    </row>
    <row r="454" spans="1:154" x14ac:dyDescent="0.25">
      <c r="A454" s="2" t="str">
        <f t="shared" ca="1" si="20"/>
        <v>2</v>
      </c>
      <c r="B454" s="2">
        <f t="shared" ca="1" si="21"/>
        <v>1</v>
      </c>
      <c r="C454" s="2" t="str">
        <f ca="1">IFERROR(
 INDEX($V$1:$BL$1,
  MATCH(TRUE,
   CHOOSE({1;2;3;4;5;6;7;8;9;10;11;12;13;14;15;16;17;18;19;20;21;22;23;24;25;26;27;28;29;30;31;32;33;34;35;36;37;38;39;40;41;42;43},
    COUNTIFS($V$2:$V$200,$G454)&gt;0,
    COUNTIFS($W$2:$W$200,$G454)&gt;0,
    COUNTIFS($X$2:$X$200,$G454)&gt;0,
    COUNTIFS($Y$2:$Y$200,$G454)&gt;0,
    COUNTIFS($Z$2:$Z$200,$G454)&gt;0,
    COUNTIFS($AA$2:$AA$200,$G454)&gt;0,
    COUNTIFS($AB$2:$AB$200,$G454)&gt;0,
    COUNTIFS($AC$2:$AC$200,$G454)&gt;0,
    COUNTIFS($AD$2:$AD$200,$G454)&gt;0,
    COUNTIFS($AE$2:$AE$200,$G454)&gt;0,
    COUNTIFS($AF$2:$AF$200,$G454)&gt;0,
    COUNTIFS($AG$2:$AG$200,$G454)&gt;0,
    COUNTIFS($AH$2:$AH$200,$G454)&gt;0,
    COUNTIFS($AI$2:$AI$200,$G454)&gt;0,
    COUNTIFS($AJ$2:$AJ$200,$G454)&gt;0,
    COUNTIFS($AK$2:$AK$200,$G454)&gt;0,
    COUNTIFS($AL$2:$AL$200,$G454)&gt;0,
    COUNTIFS($AM$2:$AM$200,$G454)&gt;0,
    COUNTIFS($AN$2:$AN$200,$G454)&gt;0,
    COUNTIFS($AO$2:$AO$200,$G454)&gt;0,
    COUNTIFS($AP$2:$AP$200,$G454)&gt;0,
    COUNTIFS($AQ$2:$AQ$200,$G454)&gt;0,
    COUNTIFS($AR$2:$AR$200,$G454)&gt;0,
    COUNTIFS($AS$2:$AS$200,$G454)&gt;0,
    COUNTIFS($AT$2:$AT$200,$G454)&gt;0,
    COUNTIFS($AU$2:$AU$200,$G454)&gt;0,
    COUNTIFS($AV$2:$AV$200,$G454)&gt;0,
    COUNTIFS($AW$2:$AW$200,$G454)&gt;0,
    COUNTIFS($AX$2:$AX$200,$G454)&gt;0,
    COUNTIFS($AY$2:$AY$200,$G454)&gt;0,
    COUNTIFS($AZ$2:$AZ$200,$G454)&gt;0,
    COUNTIFS($BA$2:$BA$200,$G454)&gt;0,
    COUNTIFS($BB$2:$BB$200,$G454)&gt;0,
    COUNTIFS($BC$2:$BC$200,$G454)&gt;0,
    COUNTIFS($BD$2:$BD$200,$G454)&gt;0,
    COUNTIFS($BE$2:$BE$200,$G454)&gt;0,
    COUNTIFS($BF$2:$BF$200,$G454)&gt;0,
    COUNTIFS($BG$2:$BG$200,$G454)&gt;0,
    COUNTIFS($BH$2:$BH$200,$G454)&gt;0,
    COUNTIFS($BI$2:$BI$200,$G454)&gt;0,
    COUNTIFS($BJ$2:$BJ$200,$G454)&gt;0,
    COUNTIFS($BK$2:$BK$200,$G454)&gt;0,
    COUNTIFS($BL$2:$BL$200,$G454)&gt;0,
    COUNTIFS($BM$2:$BM$200,$G454)&gt;0,
   ),
  0)
 ),
"")</f>
        <v>Zimone</v>
      </c>
      <c r="G454" t="str">
        <f ca="1"/>
        <v>Teferi's Ageless Insight</v>
      </c>
      <c r="EX454" t="str">
        <f ca="1"/>
        <v>Teferi's Ageless Insight</v>
      </c>
    </row>
    <row r="455" spans="1:154" x14ac:dyDescent="0.25">
      <c r="A455" s="2" t="str">
        <f t="shared" ca="1" si="20"/>
        <v>5</v>
      </c>
      <c r="B455" s="2">
        <f t="shared" ca="1" si="21"/>
        <v>1</v>
      </c>
      <c r="C455" s="2" t="str">
        <f ca="1">IFERROR(
 INDEX($V$1:$BL$1,
  MATCH(TRUE,
   CHOOSE({1;2;3;4;5;6;7;8;9;10;11;12;13;14;15;16;17;18;19;20;21;22;23;24;25;26;27;28;29;30;31;32;33;34;35;36;37;38;39;40;41;42;43},
    COUNTIFS($V$2:$V$200,$G455)&gt;0,
    COUNTIFS($W$2:$W$200,$G455)&gt;0,
    COUNTIFS($X$2:$X$200,$G455)&gt;0,
    COUNTIFS($Y$2:$Y$200,$G455)&gt;0,
    COUNTIFS($Z$2:$Z$200,$G455)&gt;0,
    COUNTIFS($AA$2:$AA$200,$G455)&gt;0,
    COUNTIFS($AB$2:$AB$200,$G455)&gt;0,
    COUNTIFS($AC$2:$AC$200,$G455)&gt;0,
    COUNTIFS($AD$2:$AD$200,$G455)&gt;0,
    COUNTIFS($AE$2:$AE$200,$G455)&gt;0,
    COUNTIFS($AF$2:$AF$200,$G455)&gt;0,
    COUNTIFS($AG$2:$AG$200,$G455)&gt;0,
    COUNTIFS($AH$2:$AH$200,$G455)&gt;0,
    COUNTIFS($AI$2:$AI$200,$G455)&gt;0,
    COUNTIFS($AJ$2:$AJ$200,$G455)&gt;0,
    COUNTIFS($AK$2:$AK$200,$G455)&gt;0,
    COUNTIFS($AL$2:$AL$200,$G455)&gt;0,
    COUNTIFS($AM$2:$AM$200,$G455)&gt;0,
    COUNTIFS($AN$2:$AN$200,$G455)&gt;0,
    COUNTIFS($AO$2:$AO$200,$G455)&gt;0,
    COUNTIFS($AP$2:$AP$200,$G455)&gt;0,
    COUNTIFS($AQ$2:$AQ$200,$G455)&gt;0,
    COUNTIFS($AR$2:$AR$200,$G455)&gt;0,
    COUNTIFS($AS$2:$AS$200,$G455)&gt;0,
    COUNTIFS($AT$2:$AT$200,$G455)&gt;0,
    COUNTIFS($AU$2:$AU$200,$G455)&gt;0,
    COUNTIFS($AV$2:$AV$200,$G455)&gt;0,
    COUNTIFS($AW$2:$AW$200,$G455)&gt;0,
    COUNTIFS($AX$2:$AX$200,$G455)&gt;0,
    COUNTIFS($AY$2:$AY$200,$G455)&gt;0,
    COUNTIFS($AZ$2:$AZ$200,$G455)&gt;0,
    COUNTIFS($BA$2:$BA$200,$G455)&gt;0,
    COUNTIFS($BB$2:$BB$200,$G455)&gt;0,
    COUNTIFS($BC$2:$BC$200,$G455)&gt;0,
    COUNTIFS($BD$2:$BD$200,$G455)&gt;0,
    COUNTIFS($BE$2:$BE$200,$G455)&gt;0,
    COUNTIFS($BF$2:$BF$200,$G455)&gt;0,
    COUNTIFS($BG$2:$BG$200,$G455)&gt;0,
    COUNTIFS($BH$2:$BH$200,$G455)&gt;0,
    COUNTIFS($BI$2:$BI$200,$G455)&gt;0,
    COUNTIFS($BJ$2:$BJ$200,$G455)&gt;0,
    COUNTIFS($BK$2:$BK$200,$G455)&gt;0,
    COUNTIFS($BL$2:$BL$200,$G455)&gt;0,
    COUNTIFS($BM$2:$BM$200,$G455)&gt;0,
   ),
  0)
 ),
"")</f>
        <v>Fractius</v>
      </c>
      <c r="G455" t="str">
        <f ca="1"/>
        <v>Telekinetic Sliver</v>
      </c>
      <c r="EX455" t="str">
        <f ca="1"/>
        <v>Telekinetic Sliver</v>
      </c>
    </row>
    <row r="456" spans="1:154" x14ac:dyDescent="0.25">
      <c r="A456" s="2" t="str">
        <f t="shared" ca="1" si="20"/>
        <v>5</v>
      </c>
      <c r="B456" s="2">
        <f t="shared" ca="1" si="21"/>
        <v>1</v>
      </c>
      <c r="C456" s="2" t="str">
        <f ca="1">IFERROR(
 INDEX($V$1:$BL$1,
  MATCH(TRUE,
   CHOOSE({1;2;3;4;5;6;7;8;9;10;11;12;13;14;15;16;17;18;19;20;21;22;23;24;25;26;27;28;29;30;31;32;33;34;35;36;37;38;39;40;41;42;43},
    COUNTIFS($V$2:$V$200,$G456)&gt;0,
    COUNTIFS($W$2:$W$200,$G456)&gt;0,
    COUNTIFS($X$2:$X$200,$G456)&gt;0,
    COUNTIFS($Y$2:$Y$200,$G456)&gt;0,
    COUNTIFS($Z$2:$Z$200,$G456)&gt;0,
    COUNTIFS($AA$2:$AA$200,$G456)&gt;0,
    COUNTIFS($AB$2:$AB$200,$G456)&gt;0,
    COUNTIFS($AC$2:$AC$200,$G456)&gt;0,
    COUNTIFS($AD$2:$AD$200,$G456)&gt;0,
    COUNTIFS($AE$2:$AE$200,$G456)&gt;0,
    COUNTIFS($AF$2:$AF$200,$G456)&gt;0,
    COUNTIFS($AG$2:$AG$200,$G456)&gt;0,
    COUNTIFS($AH$2:$AH$200,$G456)&gt;0,
    COUNTIFS($AI$2:$AI$200,$G456)&gt;0,
    COUNTIFS($AJ$2:$AJ$200,$G456)&gt;0,
    COUNTIFS($AK$2:$AK$200,$G456)&gt;0,
    COUNTIFS($AL$2:$AL$200,$G456)&gt;0,
    COUNTIFS($AM$2:$AM$200,$G456)&gt;0,
    COUNTIFS($AN$2:$AN$200,$G456)&gt;0,
    COUNTIFS($AO$2:$AO$200,$G456)&gt;0,
    COUNTIFS($AP$2:$AP$200,$G456)&gt;0,
    COUNTIFS($AQ$2:$AQ$200,$G456)&gt;0,
    COUNTIFS($AR$2:$AR$200,$G456)&gt;0,
    COUNTIFS($AS$2:$AS$200,$G456)&gt;0,
    COUNTIFS($AT$2:$AT$200,$G456)&gt;0,
    COUNTIFS($AU$2:$AU$200,$G456)&gt;0,
    COUNTIFS($AV$2:$AV$200,$G456)&gt;0,
    COUNTIFS($AW$2:$AW$200,$G456)&gt;0,
    COUNTIFS($AX$2:$AX$200,$G456)&gt;0,
    COUNTIFS($AY$2:$AY$200,$G456)&gt;0,
    COUNTIFS($AZ$2:$AZ$200,$G456)&gt;0,
    COUNTIFS($BA$2:$BA$200,$G456)&gt;0,
    COUNTIFS($BB$2:$BB$200,$G456)&gt;0,
    COUNTIFS($BC$2:$BC$200,$G456)&gt;0,
    COUNTIFS($BD$2:$BD$200,$G456)&gt;0,
    COUNTIFS($BE$2:$BE$200,$G456)&gt;0,
    COUNTIFS($BF$2:$BF$200,$G456)&gt;0,
    COUNTIFS($BG$2:$BG$200,$G456)&gt;0,
    COUNTIFS($BH$2:$BH$200,$G456)&gt;0,
    COUNTIFS($BI$2:$BI$200,$G456)&gt;0,
    COUNTIFS($BJ$2:$BJ$200,$G456)&gt;0,
    COUNTIFS($BK$2:$BK$200,$G456)&gt;0,
    COUNTIFS($BL$2:$BL$200,$G456)&gt;0,
    COUNTIFS($BM$2:$BM$200,$G456)&gt;0,
   ),
  0)
 ),
"")</f>
        <v>Fractius</v>
      </c>
      <c r="G456" t="str">
        <f ca="1"/>
        <v>Temple Garden</v>
      </c>
      <c r="EX456" t="str">
        <f ca="1"/>
        <v>Temple Garden</v>
      </c>
    </row>
    <row r="457" spans="1:154" x14ac:dyDescent="0.25">
      <c r="A457" s="2" t="str">
        <f t="shared" ca="1" si="20"/>
        <v>2</v>
      </c>
      <c r="B457" s="2">
        <f t="shared" ca="1" si="21"/>
        <v>1</v>
      </c>
      <c r="C457" s="2" t="str">
        <f ca="1">IFERROR(
 INDEX($V$1:$BL$1,
  MATCH(TRUE,
   CHOOSE({1;2;3;4;5;6;7;8;9;10;11;12;13;14;15;16;17;18;19;20;21;22;23;24;25;26;27;28;29;30;31;32;33;34;35;36;37;38;39;40;41;42;43},
    COUNTIFS($V$2:$V$200,$G457)&gt;0,
    COUNTIFS($W$2:$W$200,$G457)&gt;0,
    COUNTIFS($X$2:$X$200,$G457)&gt;0,
    COUNTIFS($Y$2:$Y$200,$G457)&gt;0,
    COUNTIFS($Z$2:$Z$200,$G457)&gt;0,
    COUNTIFS($AA$2:$AA$200,$G457)&gt;0,
    COUNTIFS($AB$2:$AB$200,$G457)&gt;0,
    COUNTIFS($AC$2:$AC$200,$G457)&gt;0,
    COUNTIFS($AD$2:$AD$200,$G457)&gt;0,
    COUNTIFS($AE$2:$AE$200,$G457)&gt;0,
    COUNTIFS($AF$2:$AF$200,$G457)&gt;0,
    COUNTIFS($AG$2:$AG$200,$G457)&gt;0,
    COUNTIFS($AH$2:$AH$200,$G457)&gt;0,
    COUNTIFS($AI$2:$AI$200,$G457)&gt;0,
    COUNTIFS($AJ$2:$AJ$200,$G457)&gt;0,
    COUNTIFS($AK$2:$AK$200,$G457)&gt;0,
    COUNTIFS($AL$2:$AL$200,$G457)&gt;0,
    COUNTIFS($AM$2:$AM$200,$G457)&gt;0,
    COUNTIFS($AN$2:$AN$200,$G457)&gt;0,
    COUNTIFS($AO$2:$AO$200,$G457)&gt;0,
    COUNTIFS($AP$2:$AP$200,$G457)&gt;0,
    COUNTIFS($AQ$2:$AQ$200,$G457)&gt;0,
    COUNTIFS($AR$2:$AR$200,$G457)&gt;0,
    COUNTIFS($AS$2:$AS$200,$G457)&gt;0,
    COUNTIFS($AT$2:$AT$200,$G457)&gt;0,
    COUNTIFS($AU$2:$AU$200,$G457)&gt;0,
    COUNTIFS($AV$2:$AV$200,$G457)&gt;0,
    COUNTIFS($AW$2:$AW$200,$G457)&gt;0,
    COUNTIFS($AX$2:$AX$200,$G457)&gt;0,
    COUNTIFS($AY$2:$AY$200,$G457)&gt;0,
    COUNTIFS($AZ$2:$AZ$200,$G457)&gt;0,
    COUNTIFS($BA$2:$BA$200,$G457)&gt;0,
    COUNTIFS($BB$2:$BB$200,$G457)&gt;0,
    COUNTIFS($BC$2:$BC$200,$G457)&gt;0,
    COUNTIFS($BD$2:$BD$200,$G457)&gt;0,
    COUNTIFS($BE$2:$BE$200,$G457)&gt;0,
    COUNTIFS($BF$2:$BF$200,$G457)&gt;0,
    COUNTIFS($BG$2:$BG$200,$G457)&gt;0,
    COUNTIFS($BH$2:$BH$200,$G457)&gt;0,
    COUNTIFS($BI$2:$BI$200,$G457)&gt;0,
    COUNTIFS($BJ$2:$BJ$200,$G457)&gt;0,
    COUNTIFS($BK$2:$BK$200,$G457)&gt;0,
    COUNTIFS($BL$2:$BL$200,$G457)&gt;0,
    COUNTIFS($BM$2:$BM$200,$G457)&gt;0,
   ),
  0)
 ),
"")</f>
        <v>Piratas</v>
      </c>
      <c r="G457" t="str">
        <f ca="1"/>
        <v>Temple of Malice</v>
      </c>
      <c r="EX457" t="str">
        <f ca="1"/>
        <v>Temple of Malice</v>
      </c>
    </row>
    <row r="458" spans="1:154" x14ac:dyDescent="0.25">
      <c r="A458" s="2" t="str">
        <f t="shared" ca="1" si="20"/>
        <v>5</v>
      </c>
      <c r="B458" s="2">
        <f t="shared" ca="1" si="21"/>
        <v>1</v>
      </c>
      <c r="C458" s="2" t="str">
        <f ca="1">IFERROR(
 INDEX($V$1:$BL$1,
  MATCH(TRUE,
   CHOOSE({1;2;3;4;5;6;7;8;9;10;11;12;13;14;15;16;17;18;19;20;21;22;23;24;25;26;27;28;29;30;31;32;33;34;35;36;37;38;39;40;41;42;43},
    COUNTIFS($V$2:$V$200,$G458)&gt;0,
    COUNTIFS($W$2:$W$200,$G458)&gt;0,
    COUNTIFS($X$2:$X$200,$G458)&gt;0,
    COUNTIFS($Y$2:$Y$200,$G458)&gt;0,
    COUNTIFS($Z$2:$Z$200,$G458)&gt;0,
    COUNTIFS($AA$2:$AA$200,$G458)&gt;0,
    COUNTIFS($AB$2:$AB$200,$G458)&gt;0,
    COUNTIFS($AC$2:$AC$200,$G458)&gt;0,
    COUNTIFS($AD$2:$AD$200,$G458)&gt;0,
    COUNTIFS($AE$2:$AE$200,$G458)&gt;0,
    COUNTIFS($AF$2:$AF$200,$G458)&gt;0,
    COUNTIFS($AG$2:$AG$200,$G458)&gt;0,
    COUNTIFS($AH$2:$AH$200,$G458)&gt;0,
    COUNTIFS($AI$2:$AI$200,$G458)&gt;0,
    COUNTIFS($AJ$2:$AJ$200,$G458)&gt;0,
    COUNTIFS($AK$2:$AK$200,$G458)&gt;0,
    COUNTIFS($AL$2:$AL$200,$G458)&gt;0,
    COUNTIFS($AM$2:$AM$200,$G458)&gt;0,
    COUNTIFS($AN$2:$AN$200,$G458)&gt;0,
    COUNTIFS($AO$2:$AO$200,$G458)&gt;0,
    COUNTIFS($AP$2:$AP$200,$G458)&gt;0,
    COUNTIFS($AQ$2:$AQ$200,$G458)&gt;0,
    COUNTIFS($AR$2:$AR$200,$G458)&gt;0,
    COUNTIFS($AS$2:$AS$200,$G458)&gt;0,
    COUNTIFS($AT$2:$AT$200,$G458)&gt;0,
    COUNTIFS($AU$2:$AU$200,$G458)&gt;0,
    COUNTIFS($AV$2:$AV$200,$G458)&gt;0,
    COUNTIFS($AW$2:$AW$200,$G458)&gt;0,
    COUNTIFS($AX$2:$AX$200,$G458)&gt;0,
    COUNTIFS($AY$2:$AY$200,$G458)&gt;0,
    COUNTIFS($AZ$2:$AZ$200,$G458)&gt;0,
    COUNTIFS($BA$2:$BA$200,$G458)&gt;0,
    COUNTIFS($BB$2:$BB$200,$G458)&gt;0,
    COUNTIFS($BC$2:$BC$200,$G458)&gt;0,
    COUNTIFS($BD$2:$BD$200,$G458)&gt;0,
    COUNTIFS($BE$2:$BE$200,$G458)&gt;0,
    COUNTIFS($BF$2:$BF$200,$G458)&gt;0,
    COUNTIFS($BG$2:$BG$200,$G458)&gt;0,
    COUNTIFS($BH$2:$BH$200,$G458)&gt;0,
    COUNTIFS($BI$2:$BI$200,$G458)&gt;0,
    COUNTIFS($BJ$2:$BJ$200,$G458)&gt;0,
    COUNTIFS($BK$2:$BK$200,$G458)&gt;0,
    COUNTIFS($BL$2:$BL$200,$G458)&gt;0,
    COUNTIFS($BM$2:$BM$200,$G458)&gt;0,
   ),
  0)
 ),
"")</f>
        <v>4cRash</v>
      </c>
      <c r="G458" t="str">
        <f ca="1"/>
        <v>Temple of the False God</v>
      </c>
      <c r="EX458" t="str">
        <f ca="1"/>
        <v>Temple of the False God</v>
      </c>
    </row>
    <row r="459" spans="1:154" x14ac:dyDescent="0.25">
      <c r="A459" s="2" t="str">
        <f t="shared" ca="1" si="20"/>
        <v>3</v>
      </c>
      <c r="B459" s="2">
        <f t="shared" ca="1" si="21"/>
        <v>1</v>
      </c>
      <c r="C459" s="2" t="str">
        <f ca="1">IFERROR(
 INDEX($V$1:$BL$1,
  MATCH(TRUE,
   CHOOSE({1;2;3;4;5;6;7;8;9;10;11;12;13;14;15;16;17;18;19;20;21;22;23;24;25;26;27;28;29;30;31;32;33;34;35;36;37;38;39;40;41;42;43},
    COUNTIFS($V$2:$V$200,$G459)&gt;0,
    COUNTIFS($W$2:$W$200,$G459)&gt;0,
    COUNTIFS($X$2:$X$200,$G459)&gt;0,
    COUNTIFS($Y$2:$Y$200,$G459)&gt;0,
    COUNTIFS($Z$2:$Z$200,$G459)&gt;0,
    COUNTIFS($AA$2:$AA$200,$G459)&gt;0,
    COUNTIFS($AB$2:$AB$200,$G459)&gt;0,
    COUNTIFS($AC$2:$AC$200,$G459)&gt;0,
    COUNTIFS($AD$2:$AD$200,$G459)&gt;0,
    COUNTIFS($AE$2:$AE$200,$G459)&gt;0,
    COUNTIFS($AF$2:$AF$200,$G459)&gt;0,
    COUNTIFS($AG$2:$AG$200,$G459)&gt;0,
    COUNTIFS($AH$2:$AH$200,$G459)&gt;0,
    COUNTIFS($AI$2:$AI$200,$G459)&gt;0,
    COUNTIFS($AJ$2:$AJ$200,$G459)&gt;0,
    COUNTIFS($AK$2:$AK$200,$G459)&gt;0,
    COUNTIFS($AL$2:$AL$200,$G459)&gt;0,
    COUNTIFS($AM$2:$AM$200,$G459)&gt;0,
    COUNTIFS($AN$2:$AN$200,$G459)&gt;0,
    COUNTIFS($AO$2:$AO$200,$G459)&gt;0,
    COUNTIFS($AP$2:$AP$200,$G459)&gt;0,
    COUNTIFS($AQ$2:$AQ$200,$G459)&gt;0,
    COUNTIFS($AR$2:$AR$200,$G459)&gt;0,
    COUNTIFS($AS$2:$AS$200,$G459)&gt;0,
    COUNTIFS($AT$2:$AT$200,$G459)&gt;0,
    COUNTIFS($AU$2:$AU$200,$G459)&gt;0,
    COUNTIFS($AV$2:$AV$200,$G459)&gt;0,
    COUNTIFS($AW$2:$AW$200,$G459)&gt;0,
    COUNTIFS($AX$2:$AX$200,$G459)&gt;0,
    COUNTIFS($AY$2:$AY$200,$G459)&gt;0,
    COUNTIFS($AZ$2:$AZ$200,$G459)&gt;0,
    COUNTIFS($BA$2:$BA$200,$G459)&gt;0,
    COUNTIFS($BB$2:$BB$200,$G459)&gt;0,
    COUNTIFS($BC$2:$BC$200,$G459)&gt;0,
    COUNTIFS($BD$2:$BD$200,$G459)&gt;0,
    COUNTIFS($BE$2:$BE$200,$G459)&gt;0,
    COUNTIFS($BF$2:$BF$200,$G459)&gt;0,
    COUNTIFS($BG$2:$BG$200,$G459)&gt;0,
    COUNTIFS($BH$2:$BH$200,$G459)&gt;0,
    COUNTIFS($BI$2:$BI$200,$G459)&gt;0,
    COUNTIFS($BJ$2:$BJ$200,$G459)&gt;0,
    COUNTIFS($BK$2:$BK$200,$G459)&gt;0,
    COUNTIFS($BL$2:$BL$200,$G459)&gt;0,
    COUNTIFS($BM$2:$BM$200,$G459)&gt;0,
   ),
  0)
 ),
"")</f>
        <v>Yuriko</v>
      </c>
      <c r="G459" t="str">
        <f ca="1"/>
        <v>Temporal Manipulation</v>
      </c>
      <c r="EX459" t="str">
        <f ca="1"/>
        <v>Temporal Manipulation</v>
      </c>
    </row>
    <row r="460" spans="1:154" x14ac:dyDescent="0.25">
      <c r="A460" s="2" t="str">
        <f t="shared" ca="1" si="20"/>
        <v>3</v>
      </c>
      <c r="B460" s="2">
        <f t="shared" ca="1" si="21"/>
        <v>1</v>
      </c>
      <c r="C460" s="2" t="str">
        <f ca="1">IFERROR(
 INDEX($V$1:$BL$1,
  MATCH(TRUE,
   CHOOSE({1;2;3;4;5;6;7;8;9;10;11;12;13;14;15;16;17;18;19;20;21;22;23;24;25;26;27;28;29;30;31;32;33;34;35;36;37;38;39;40;41;42;43},
    COUNTIFS($V$2:$V$200,$G460)&gt;0,
    COUNTIFS($W$2:$W$200,$G460)&gt;0,
    COUNTIFS($X$2:$X$200,$G460)&gt;0,
    COUNTIFS($Y$2:$Y$200,$G460)&gt;0,
    COUNTIFS($Z$2:$Z$200,$G460)&gt;0,
    COUNTIFS($AA$2:$AA$200,$G460)&gt;0,
    COUNTIFS($AB$2:$AB$200,$G460)&gt;0,
    COUNTIFS($AC$2:$AC$200,$G460)&gt;0,
    COUNTIFS($AD$2:$AD$200,$G460)&gt;0,
    COUNTIFS($AE$2:$AE$200,$G460)&gt;0,
    COUNTIFS($AF$2:$AF$200,$G460)&gt;0,
    COUNTIFS($AG$2:$AG$200,$G460)&gt;0,
    COUNTIFS($AH$2:$AH$200,$G460)&gt;0,
    COUNTIFS($AI$2:$AI$200,$G460)&gt;0,
    COUNTIFS($AJ$2:$AJ$200,$G460)&gt;0,
    COUNTIFS($AK$2:$AK$200,$G460)&gt;0,
    COUNTIFS($AL$2:$AL$200,$G460)&gt;0,
    COUNTIFS($AM$2:$AM$200,$G460)&gt;0,
    COUNTIFS($AN$2:$AN$200,$G460)&gt;0,
    COUNTIFS($AO$2:$AO$200,$G460)&gt;0,
    COUNTIFS($AP$2:$AP$200,$G460)&gt;0,
    COUNTIFS($AQ$2:$AQ$200,$G460)&gt;0,
    COUNTIFS($AR$2:$AR$200,$G460)&gt;0,
    COUNTIFS($AS$2:$AS$200,$G460)&gt;0,
    COUNTIFS($AT$2:$AT$200,$G460)&gt;0,
    COUNTIFS($AU$2:$AU$200,$G460)&gt;0,
    COUNTIFS($AV$2:$AV$200,$G460)&gt;0,
    COUNTIFS($AW$2:$AW$200,$G460)&gt;0,
    COUNTIFS($AX$2:$AX$200,$G460)&gt;0,
    COUNTIFS($AY$2:$AY$200,$G460)&gt;0,
    COUNTIFS($AZ$2:$AZ$200,$G460)&gt;0,
    COUNTIFS($BA$2:$BA$200,$G460)&gt;0,
    COUNTIFS($BB$2:$BB$200,$G460)&gt;0,
    COUNTIFS($BC$2:$BC$200,$G460)&gt;0,
    COUNTIFS($BD$2:$BD$200,$G460)&gt;0,
    COUNTIFS($BE$2:$BE$200,$G460)&gt;0,
    COUNTIFS($BF$2:$BF$200,$G460)&gt;0,
    COUNTIFS($BG$2:$BG$200,$G460)&gt;0,
    COUNTIFS($BH$2:$BH$200,$G460)&gt;0,
    COUNTIFS($BI$2:$BI$200,$G460)&gt;0,
    COUNTIFS($BJ$2:$BJ$200,$G460)&gt;0,
    COUNTIFS($BK$2:$BK$200,$G460)&gt;0,
    COUNTIFS($BL$2:$BL$200,$G460)&gt;0,
    COUNTIFS($BM$2:$BM$200,$G460)&gt;0,
   ),
  0)
 ),
"")</f>
        <v>Yuriko</v>
      </c>
      <c r="G460" t="str">
        <f ca="1"/>
        <v>Temporal Trespass</v>
      </c>
      <c r="EX460" t="str">
        <f ca="1"/>
        <v>Temporal Trespass</v>
      </c>
    </row>
    <row r="461" spans="1:154" x14ac:dyDescent="0.25">
      <c r="A461" s="2" t="str">
        <f t="shared" ca="1" si="20"/>
        <v>5</v>
      </c>
      <c r="B461" s="2">
        <f t="shared" ca="1" si="21"/>
        <v>1</v>
      </c>
      <c r="C461" s="2" t="str">
        <f ca="1">IFERROR(
 INDEX($V$1:$BL$1,
  MATCH(TRUE,
   CHOOSE({1;2;3;4;5;6;7;8;9;10;11;12;13;14;15;16;17;18;19;20;21;22;23;24;25;26;27;28;29;30;31;32;33;34;35;36;37;38;39;40;41;42;43},
    COUNTIFS($V$2:$V$200,$G461)&gt;0,
    COUNTIFS($W$2:$W$200,$G461)&gt;0,
    COUNTIFS($X$2:$X$200,$G461)&gt;0,
    COUNTIFS($Y$2:$Y$200,$G461)&gt;0,
    COUNTIFS($Z$2:$Z$200,$G461)&gt;0,
    COUNTIFS($AA$2:$AA$200,$G461)&gt;0,
    COUNTIFS($AB$2:$AB$200,$G461)&gt;0,
    COUNTIFS($AC$2:$AC$200,$G461)&gt;0,
    COUNTIFS($AD$2:$AD$200,$G461)&gt;0,
    COUNTIFS($AE$2:$AE$200,$G461)&gt;0,
    COUNTIFS($AF$2:$AF$200,$G461)&gt;0,
    COUNTIFS($AG$2:$AG$200,$G461)&gt;0,
    COUNTIFS($AH$2:$AH$200,$G461)&gt;0,
    COUNTIFS($AI$2:$AI$200,$G461)&gt;0,
    COUNTIFS($AJ$2:$AJ$200,$G461)&gt;0,
    COUNTIFS($AK$2:$AK$200,$G461)&gt;0,
    COUNTIFS($AL$2:$AL$200,$G461)&gt;0,
    COUNTIFS($AM$2:$AM$200,$G461)&gt;0,
    COUNTIFS($AN$2:$AN$200,$G461)&gt;0,
    COUNTIFS($AO$2:$AO$200,$G461)&gt;0,
    COUNTIFS($AP$2:$AP$200,$G461)&gt;0,
    COUNTIFS($AQ$2:$AQ$200,$G461)&gt;0,
    COUNTIFS($AR$2:$AR$200,$G461)&gt;0,
    COUNTIFS($AS$2:$AS$200,$G461)&gt;0,
    COUNTIFS($AT$2:$AT$200,$G461)&gt;0,
    COUNTIFS($AU$2:$AU$200,$G461)&gt;0,
    COUNTIFS($AV$2:$AV$200,$G461)&gt;0,
    COUNTIFS($AW$2:$AW$200,$G461)&gt;0,
    COUNTIFS($AX$2:$AX$200,$G461)&gt;0,
    COUNTIFS($AY$2:$AY$200,$G461)&gt;0,
    COUNTIFS($AZ$2:$AZ$200,$G461)&gt;0,
    COUNTIFS($BA$2:$BA$200,$G461)&gt;0,
    COUNTIFS($BB$2:$BB$200,$G461)&gt;0,
    COUNTIFS($BC$2:$BC$200,$G461)&gt;0,
    COUNTIFS($BD$2:$BD$200,$G461)&gt;0,
    COUNTIFS($BE$2:$BE$200,$G461)&gt;0,
    COUNTIFS($BF$2:$BF$200,$G461)&gt;0,
    COUNTIFS($BG$2:$BG$200,$G461)&gt;0,
    COUNTIFS($BH$2:$BH$200,$G461)&gt;0,
    COUNTIFS($BI$2:$BI$200,$G461)&gt;0,
    COUNTIFS($BJ$2:$BJ$200,$G461)&gt;0,
    COUNTIFS($BK$2:$BK$200,$G461)&gt;0,
    COUNTIFS($BL$2:$BL$200,$G461)&gt;0,
    COUNTIFS($BM$2:$BM$200,$G461)&gt;0,
   ),
  0)
 ),
"")</f>
        <v>4cRash</v>
      </c>
      <c r="G461" t="str">
        <f ca="1"/>
        <v>Terminate</v>
      </c>
      <c r="EX461" t="str">
        <f ca="1"/>
        <v>Terminate</v>
      </c>
    </row>
    <row r="462" spans="1:154" x14ac:dyDescent="0.25">
      <c r="A462" s="2" t="str">
        <f t="shared" ca="1" si="20"/>
        <v>4</v>
      </c>
      <c r="B462" s="2">
        <f t="shared" ca="1" si="21"/>
        <v>1</v>
      </c>
      <c r="C462" s="2" t="str">
        <f ca="1">IFERROR(
 INDEX($V$1:$BL$1,
  MATCH(TRUE,
   CHOOSE({1;2;3;4;5;6;7;8;9;10;11;12;13;14;15;16;17;18;19;20;21;22;23;24;25;26;27;28;29;30;31;32;33;34;35;36;37;38;39;40;41;42;43},
    COUNTIFS($V$2:$V$200,$G462)&gt;0,
    COUNTIFS($W$2:$W$200,$G462)&gt;0,
    COUNTIFS($X$2:$X$200,$G462)&gt;0,
    COUNTIFS($Y$2:$Y$200,$G462)&gt;0,
    COUNTIFS($Z$2:$Z$200,$G462)&gt;0,
    COUNTIFS($AA$2:$AA$200,$G462)&gt;0,
    COUNTIFS($AB$2:$AB$200,$G462)&gt;0,
    COUNTIFS($AC$2:$AC$200,$G462)&gt;0,
    COUNTIFS($AD$2:$AD$200,$G462)&gt;0,
    COUNTIFS($AE$2:$AE$200,$G462)&gt;0,
    COUNTIFS($AF$2:$AF$200,$G462)&gt;0,
    COUNTIFS($AG$2:$AG$200,$G462)&gt;0,
    COUNTIFS($AH$2:$AH$200,$G462)&gt;0,
    COUNTIFS($AI$2:$AI$200,$G462)&gt;0,
    COUNTIFS($AJ$2:$AJ$200,$G462)&gt;0,
    COUNTIFS($AK$2:$AK$200,$G462)&gt;0,
    COUNTIFS($AL$2:$AL$200,$G462)&gt;0,
    COUNTIFS($AM$2:$AM$200,$G462)&gt;0,
    COUNTIFS($AN$2:$AN$200,$G462)&gt;0,
    COUNTIFS($AO$2:$AO$200,$G462)&gt;0,
    COUNTIFS($AP$2:$AP$200,$G462)&gt;0,
    COUNTIFS($AQ$2:$AQ$200,$G462)&gt;0,
    COUNTIFS($AR$2:$AR$200,$G462)&gt;0,
    COUNTIFS($AS$2:$AS$200,$G462)&gt;0,
    COUNTIFS($AT$2:$AT$200,$G462)&gt;0,
    COUNTIFS($AU$2:$AU$200,$G462)&gt;0,
    COUNTIFS($AV$2:$AV$200,$G462)&gt;0,
    COUNTIFS($AW$2:$AW$200,$G462)&gt;0,
    COUNTIFS($AX$2:$AX$200,$G462)&gt;0,
    COUNTIFS($AY$2:$AY$200,$G462)&gt;0,
    COUNTIFS($AZ$2:$AZ$200,$G462)&gt;0,
    COUNTIFS($BA$2:$BA$200,$G462)&gt;0,
    COUNTIFS($BB$2:$BB$200,$G462)&gt;0,
    COUNTIFS($BC$2:$BC$200,$G462)&gt;0,
    COUNTIFS($BD$2:$BD$200,$G462)&gt;0,
    COUNTIFS($BE$2:$BE$200,$G462)&gt;0,
    COUNTIFS($BF$2:$BF$200,$G462)&gt;0,
    COUNTIFS($BG$2:$BG$200,$G462)&gt;0,
    COUNTIFS($BH$2:$BH$200,$G462)&gt;0,
    COUNTIFS($BI$2:$BI$200,$G462)&gt;0,
    COUNTIFS($BJ$2:$BJ$200,$G462)&gt;0,
    COUNTIFS($BK$2:$BK$200,$G462)&gt;0,
    COUNTIFS($BL$2:$BL$200,$G462)&gt;0,
    COUNTIFS($BM$2:$BM$200,$G462)&gt;0,
   ),
  0)
 ),
"")</f>
        <v>Modular</v>
      </c>
      <c r="G462" t="str">
        <f ca="1"/>
        <v>Terra Eternal</v>
      </c>
      <c r="EX462" t="str">
        <f ca="1"/>
        <v>Terra Eternal</v>
      </c>
    </row>
    <row r="463" spans="1:154" x14ac:dyDescent="0.25">
      <c r="A463" s="2" t="str">
        <f t="shared" ca="1" si="20"/>
        <v>5</v>
      </c>
      <c r="B463" s="2">
        <f t="shared" ca="1" si="21"/>
        <v>1</v>
      </c>
      <c r="C463" s="2" t="str">
        <f ca="1">IFERROR(
 INDEX($V$1:$BL$1,
  MATCH(TRUE,
   CHOOSE({1;2;3;4;5;6;7;8;9;10;11;12;13;14;15;16;17;18;19;20;21;22;23;24;25;26;27;28;29;30;31;32;33;34;35;36;37;38;39;40;41;42;43},
    COUNTIFS($V$2:$V$200,$G463)&gt;0,
    COUNTIFS($W$2:$W$200,$G463)&gt;0,
    COUNTIFS($X$2:$X$200,$G463)&gt;0,
    COUNTIFS($Y$2:$Y$200,$G463)&gt;0,
    COUNTIFS($Z$2:$Z$200,$G463)&gt;0,
    COUNTIFS($AA$2:$AA$200,$G463)&gt;0,
    COUNTIFS($AB$2:$AB$200,$G463)&gt;0,
    COUNTIFS($AC$2:$AC$200,$G463)&gt;0,
    COUNTIFS($AD$2:$AD$200,$G463)&gt;0,
    COUNTIFS($AE$2:$AE$200,$G463)&gt;0,
    COUNTIFS($AF$2:$AF$200,$G463)&gt;0,
    COUNTIFS($AG$2:$AG$200,$G463)&gt;0,
    COUNTIFS($AH$2:$AH$200,$G463)&gt;0,
    COUNTIFS($AI$2:$AI$200,$G463)&gt;0,
    COUNTIFS($AJ$2:$AJ$200,$G463)&gt;0,
    COUNTIFS($AK$2:$AK$200,$G463)&gt;0,
    COUNTIFS($AL$2:$AL$200,$G463)&gt;0,
    COUNTIFS($AM$2:$AM$200,$G463)&gt;0,
    COUNTIFS($AN$2:$AN$200,$G463)&gt;0,
    COUNTIFS($AO$2:$AO$200,$G463)&gt;0,
    COUNTIFS($AP$2:$AP$200,$G463)&gt;0,
    COUNTIFS($AQ$2:$AQ$200,$G463)&gt;0,
    COUNTIFS($AR$2:$AR$200,$G463)&gt;0,
    COUNTIFS($AS$2:$AS$200,$G463)&gt;0,
    COUNTIFS($AT$2:$AT$200,$G463)&gt;0,
    COUNTIFS($AU$2:$AU$200,$G463)&gt;0,
    COUNTIFS($AV$2:$AV$200,$G463)&gt;0,
    COUNTIFS($AW$2:$AW$200,$G463)&gt;0,
    COUNTIFS($AX$2:$AX$200,$G463)&gt;0,
    COUNTIFS($AY$2:$AY$200,$G463)&gt;0,
    COUNTIFS($AZ$2:$AZ$200,$G463)&gt;0,
    COUNTIFS($BA$2:$BA$200,$G463)&gt;0,
    COUNTIFS($BB$2:$BB$200,$G463)&gt;0,
    COUNTIFS($BC$2:$BC$200,$G463)&gt;0,
    COUNTIFS($BD$2:$BD$200,$G463)&gt;0,
    COUNTIFS($BE$2:$BE$200,$G463)&gt;0,
    COUNTIFS($BF$2:$BF$200,$G463)&gt;0,
    COUNTIFS($BG$2:$BG$200,$G463)&gt;0,
    COUNTIFS($BH$2:$BH$200,$G463)&gt;0,
    COUNTIFS($BI$2:$BI$200,$G463)&gt;0,
    COUNTIFS($BJ$2:$BJ$200,$G463)&gt;0,
    COUNTIFS($BK$2:$BK$200,$G463)&gt;0,
    COUNTIFS($BL$2:$BL$200,$G463)&gt;0,
    COUNTIFS($BM$2:$BM$200,$G463)&gt;0,
   ),
  0)
 ),
"")</f>
        <v>Little</v>
      </c>
      <c r="G463" t="str">
        <f ca="1"/>
        <v>Teysa Karlov</v>
      </c>
      <c r="EX463" t="str">
        <f ca="1"/>
        <v>Teysa Karlov</v>
      </c>
    </row>
    <row r="464" spans="1:154" x14ac:dyDescent="0.25">
      <c r="A464" s="2" t="str">
        <f t="shared" ca="1" si="20"/>
        <v>5</v>
      </c>
      <c r="B464" s="2">
        <f t="shared" ca="1" si="21"/>
        <v>1</v>
      </c>
      <c r="C464" s="2" t="str">
        <f ca="1">IFERROR(
 INDEX($V$1:$BL$1,
  MATCH(TRUE,
   CHOOSE({1;2;3;4;5;6;7;8;9;10;11;12;13;14;15;16;17;18;19;20;21;22;23;24;25;26;27;28;29;30;31;32;33;34;35;36;37;38;39;40;41;42;43},
    COUNTIFS($V$2:$V$200,$G464)&gt;0,
    COUNTIFS($W$2:$W$200,$G464)&gt;0,
    COUNTIFS($X$2:$X$200,$G464)&gt;0,
    COUNTIFS($Y$2:$Y$200,$G464)&gt;0,
    COUNTIFS($Z$2:$Z$200,$G464)&gt;0,
    COUNTIFS($AA$2:$AA$200,$G464)&gt;0,
    COUNTIFS($AB$2:$AB$200,$G464)&gt;0,
    COUNTIFS($AC$2:$AC$200,$G464)&gt;0,
    COUNTIFS($AD$2:$AD$200,$G464)&gt;0,
    COUNTIFS($AE$2:$AE$200,$G464)&gt;0,
    COUNTIFS($AF$2:$AF$200,$G464)&gt;0,
    COUNTIFS($AG$2:$AG$200,$G464)&gt;0,
    COUNTIFS($AH$2:$AH$200,$G464)&gt;0,
    COUNTIFS($AI$2:$AI$200,$G464)&gt;0,
    COUNTIFS($AJ$2:$AJ$200,$G464)&gt;0,
    COUNTIFS($AK$2:$AK$200,$G464)&gt;0,
    COUNTIFS($AL$2:$AL$200,$G464)&gt;0,
    COUNTIFS($AM$2:$AM$200,$G464)&gt;0,
    COUNTIFS($AN$2:$AN$200,$G464)&gt;0,
    COUNTIFS($AO$2:$AO$200,$G464)&gt;0,
    COUNTIFS($AP$2:$AP$200,$G464)&gt;0,
    COUNTIFS($AQ$2:$AQ$200,$G464)&gt;0,
    COUNTIFS($AR$2:$AR$200,$G464)&gt;0,
    COUNTIFS($AS$2:$AS$200,$G464)&gt;0,
    COUNTIFS($AT$2:$AT$200,$G464)&gt;0,
    COUNTIFS($AU$2:$AU$200,$G464)&gt;0,
    COUNTIFS($AV$2:$AV$200,$G464)&gt;0,
    COUNTIFS($AW$2:$AW$200,$G464)&gt;0,
    COUNTIFS($AX$2:$AX$200,$G464)&gt;0,
    COUNTIFS($AY$2:$AY$200,$G464)&gt;0,
    COUNTIFS($AZ$2:$AZ$200,$G464)&gt;0,
    COUNTIFS($BA$2:$BA$200,$G464)&gt;0,
    COUNTIFS($BB$2:$BB$200,$G464)&gt;0,
    COUNTIFS($BC$2:$BC$200,$G464)&gt;0,
    COUNTIFS($BD$2:$BD$200,$G464)&gt;0,
    COUNTIFS($BE$2:$BE$200,$G464)&gt;0,
    COUNTIFS($BF$2:$BF$200,$G464)&gt;0,
    COUNTIFS($BG$2:$BG$200,$G464)&gt;0,
    COUNTIFS($BH$2:$BH$200,$G464)&gt;0,
    COUNTIFS($BI$2:$BI$200,$G464)&gt;0,
    COUNTIFS($BJ$2:$BJ$200,$G464)&gt;0,
    COUNTIFS($BK$2:$BK$200,$G464)&gt;0,
    COUNTIFS($BL$2:$BL$200,$G464)&gt;0,
    COUNTIFS($BM$2:$BM$200,$G464)&gt;0,
   ),
  0)
 ),
"")</f>
        <v>Little</v>
      </c>
      <c r="G464" t="str">
        <f ca="1"/>
        <v>Teysa, Opulent Oligarch</v>
      </c>
      <c r="EX464" t="str">
        <f ca="1"/>
        <v>Teysa, Opulent Oligarch</v>
      </c>
    </row>
    <row r="465" spans="1:154" x14ac:dyDescent="0.25">
      <c r="A465" s="2" t="str">
        <f t="shared" ca="1" si="20"/>
        <v>5</v>
      </c>
      <c r="B465" s="2">
        <f t="shared" ca="1" si="21"/>
        <v>1</v>
      </c>
      <c r="C465" s="2" t="str">
        <f ca="1">IFERROR(
 INDEX($V$1:$BL$1,
  MATCH(TRUE,
   CHOOSE({1;2;3;4;5;6;7;8;9;10;11;12;13;14;15;16;17;18;19;20;21;22;23;24;25;26;27;28;29;30;31;32;33;34;35;36;37;38;39;40;41;42;43},
    COUNTIFS($V$2:$V$200,$G465)&gt;0,
    COUNTIFS($W$2:$W$200,$G465)&gt;0,
    COUNTIFS($X$2:$X$200,$G465)&gt;0,
    COUNTIFS($Y$2:$Y$200,$G465)&gt;0,
    COUNTIFS($Z$2:$Z$200,$G465)&gt;0,
    COUNTIFS($AA$2:$AA$200,$G465)&gt;0,
    COUNTIFS($AB$2:$AB$200,$G465)&gt;0,
    COUNTIFS($AC$2:$AC$200,$G465)&gt;0,
    COUNTIFS($AD$2:$AD$200,$G465)&gt;0,
    COUNTIFS($AE$2:$AE$200,$G465)&gt;0,
    COUNTIFS($AF$2:$AF$200,$G465)&gt;0,
    COUNTIFS($AG$2:$AG$200,$G465)&gt;0,
    COUNTIFS($AH$2:$AH$200,$G465)&gt;0,
    COUNTIFS($AI$2:$AI$200,$G465)&gt;0,
    COUNTIFS($AJ$2:$AJ$200,$G465)&gt;0,
    COUNTIFS($AK$2:$AK$200,$G465)&gt;0,
    COUNTIFS($AL$2:$AL$200,$G465)&gt;0,
    COUNTIFS($AM$2:$AM$200,$G465)&gt;0,
    COUNTIFS($AN$2:$AN$200,$G465)&gt;0,
    COUNTIFS($AO$2:$AO$200,$G465)&gt;0,
    COUNTIFS($AP$2:$AP$200,$G465)&gt;0,
    COUNTIFS($AQ$2:$AQ$200,$G465)&gt;0,
    COUNTIFS($AR$2:$AR$200,$G465)&gt;0,
    COUNTIFS($AS$2:$AS$200,$G465)&gt;0,
    COUNTIFS($AT$2:$AT$200,$G465)&gt;0,
    COUNTIFS($AU$2:$AU$200,$G465)&gt;0,
    COUNTIFS($AV$2:$AV$200,$G465)&gt;0,
    COUNTIFS($AW$2:$AW$200,$G465)&gt;0,
    COUNTIFS($AX$2:$AX$200,$G465)&gt;0,
    COUNTIFS($AY$2:$AY$200,$G465)&gt;0,
    COUNTIFS($AZ$2:$AZ$200,$G465)&gt;0,
    COUNTIFS($BA$2:$BA$200,$G465)&gt;0,
    COUNTIFS($BB$2:$BB$200,$G465)&gt;0,
    COUNTIFS($BC$2:$BC$200,$G465)&gt;0,
    COUNTIFS($BD$2:$BD$200,$G465)&gt;0,
    COUNTIFS($BE$2:$BE$200,$G465)&gt;0,
    COUNTIFS($BF$2:$BF$200,$G465)&gt;0,
    COUNTIFS($BG$2:$BG$200,$G465)&gt;0,
    COUNTIFS($BH$2:$BH$200,$G465)&gt;0,
    COUNTIFS($BI$2:$BI$200,$G465)&gt;0,
    COUNTIFS($BJ$2:$BJ$200,$G465)&gt;0,
    COUNTIFS($BK$2:$BK$200,$G465)&gt;0,
    COUNTIFS($BL$2:$BL$200,$G465)&gt;0,
    COUNTIFS($BM$2:$BM$200,$G465)&gt;0,
   ),
  0)
 ),
"")</f>
        <v>Little</v>
      </c>
      <c r="G465" t="str">
        <f ca="1"/>
        <v>Teysa, Orzhov Scion</v>
      </c>
      <c r="EX465" t="str">
        <f ca="1"/>
        <v>Teysa, Orzhov Scion</v>
      </c>
    </row>
    <row r="466" spans="1:154" x14ac:dyDescent="0.25">
      <c r="A466" s="2" t="str">
        <f t="shared" ca="1" si="20"/>
        <v>5</v>
      </c>
      <c r="B466" s="2">
        <f t="shared" ca="1" si="21"/>
        <v>1</v>
      </c>
      <c r="C466" s="2" t="str">
        <f ca="1">IFERROR(
 INDEX($V$1:$BL$1,
  MATCH(TRUE,
   CHOOSE({1;2;3;4;5;6;7;8;9;10;11;12;13;14;15;16;17;18;19;20;21;22;23;24;25;26;27;28;29;30;31;32;33;34;35;36;37;38;39;40;41;42;43},
    COUNTIFS($V$2:$V$200,$G466)&gt;0,
    COUNTIFS($W$2:$W$200,$G466)&gt;0,
    COUNTIFS($X$2:$X$200,$G466)&gt;0,
    COUNTIFS($Y$2:$Y$200,$G466)&gt;0,
    COUNTIFS($Z$2:$Z$200,$G466)&gt;0,
    COUNTIFS($AA$2:$AA$200,$G466)&gt;0,
    COUNTIFS($AB$2:$AB$200,$G466)&gt;0,
    COUNTIFS($AC$2:$AC$200,$G466)&gt;0,
    COUNTIFS($AD$2:$AD$200,$G466)&gt;0,
    COUNTIFS($AE$2:$AE$200,$G466)&gt;0,
    COUNTIFS($AF$2:$AF$200,$G466)&gt;0,
    COUNTIFS($AG$2:$AG$200,$G466)&gt;0,
    COUNTIFS($AH$2:$AH$200,$G466)&gt;0,
    COUNTIFS($AI$2:$AI$200,$G466)&gt;0,
    COUNTIFS($AJ$2:$AJ$200,$G466)&gt;0,
    COUNTIFS($AK$2:$AK$200,$G466)&gt;0,
    COUNTIFS($AL$2:$AL$200,$G466)&gt;0,
    COUNTIFS($AM$2:$AM$200,$G466)&gt;0,
    COUNTIFS($AN$2:$AN$200,$G466)&gt;0,
    COUNTIFS($AO$2:$AO$200,$G466)&gt;0,
    COUNTIFS($AP$2:$AP$200,$G466)&gt;0,
    COUNTIFS($AQ$2:$AQ$200,$G466)&gt;0,
    COUNTIFS($AR$2:$AR$200,$G466)&gt;0,
    COUNTIFS($AS$2:$AS$200,$G466)&gt;0,
    COUNTIFS($AT$2:$AT$200,$G466)&gt;0,
    COUNTIFS($AU$2:$AU$200,$G466)&gt;0,
    COUNTIFS($AV$2:$AV$200,$G466)&gt;0,
    COUNTIFS($AW$2:$AW$200,$G466)&gt;0,
    COUNTIFS($AX$2:$AX$200,$G466)&gt;0,
    COUNTIFS($AY$2:$AY$200,$G466)&gt;0,
    COUNTIFS($AZ$2:$AZ$200,$G466)&gt;0,
    COUNTIFS($BA$2:$BA$200,$G466)&gt;0,
    COUNTIFS($BB$2:$BB$200,$G466)&gt;0,
    COUNTIFS($BC$2:$BC$200,$G466)&gt;0,
    COUNTIFS($BD$2:$BD$200,$G466)&gt;0,
    COUNTIFS($BE$2:$BE$200,$G466)&gt;0,
    COUNTIFS($BF$2:$BF$200,$G466)&gt;0,
    COUNTIFS($BG$2:$BG$200,$G466)&gt;0,
    COUNTIFS($BH$2:$BH$200,$G466)&gt;0,
    COUNTIFS($BI$2:$BI$200,$G466)&gt;0,
    COUNTIFS($BJ$2:$BJ$200,$G466)&gt;0,
    COUNTIFS($BK$2:$BK$200,$G466)&gt;0,
    COUNTIFS($BL$2:$BL$200,$G466)&gt;0,
    COUNTIFS($BM$2:$BM$200,$G466)&gt;0,
   ),
  0)
 ),
"")</f>
        <v>Little</v>
      </c>
      <c r="G466" t="str">
        <f ca="1"/>
        <v>The Battle of Bywater</v>
      </c>
      <c r="EX466" t="str">
        <f ca="1"/>
        <v>The Battle of Bywater</v>
      </c>
    </row>
    <row r="467" spans="1:154" x14ac:dyDescent="0.25">
      <c r="A467" s="2" t="str">
        <f t="shared" ca="1" si="20"/>
        <v>2</v>
      </c>
      <c r="B467" s="2">
        <f t="shared" ca="1" si="21"/>
        <v>1</v>
      </c>
      <c r="C467" s="2" t="str">
        <f ca="1">IFERROR(
 INDEX($V$1:$BL$1,
  MATCH(TRUE,
   CHOOSE({1;2;3;4;5;6;7;8;9;10;11;12;13;14;15;16;17;18;19;20;21;22;23;24;25;26;27;28;29;30;31;32;33;34;35;36;37;38;39;40;41;42;43},
    COUNTIFS($V$2:$V$200,$G467)&gt;0,
    COUNTIFS($W$2:$W$200,$G467)&gt;0,
    COUNTIFS($X$2:$X$200,$G467)&gt;0,
    COUNTIFS($Y$2:$Y$200,$G467)&gt;0,
    COUNTIFS($Z$2:$Z$200,$G467)&gt;0,
    COUNTIFS($AA$2:$AA$200,$G467)&gt;0,
    COUNTIFS($AB$2:$AB$200,$G467)&gt;0,
    COUNTIFS($AC$2:$AC$200,$G467)&gt;0,
    COUNTIFS($AD$2:$AD$200,$G467)&gt;0,
    COUNTIFS($AE$2:$AE$200,$G467)&gt;0,
    COUNTIFS($AF$2:$AF$200,$G467)&gt;0,
    COUNTIFS($AG$2:$AG$200,$G467)&gt;0,
    COUNTIFS($AH$2:$AH$200,$G467)&gt;0,
    COUNTIFS($AI$2:$AI$200,$G467)&gt;0,
    COUNTIFS($AJ$2:$AJ$200,$G467)&gt;0,
    COUNTIFS($AK$2:$AK$200,$G467)&gt;0,
    COUNTIFS($AL$2:$AL$200,$G467)&gt;0,
    COUNTIFS($AM$2:$AM$200,$G467)&gt;0,
    COUNTIFS($AN$2:$AN$200,$G467)&gt;0,
    COUNTIFS($AO$2:$AO$200,$G467)&gt;0,
    COUNTIFS($AP$2:$AP$200,$G467)&gt;0,
    COUNTIFS($AQ$2:$AQ$200,$G467)&gt;0,
    COUNTIFS($AR$2:$AR$200,$G467)&gt;0,
    COUNTIFS($AS$2:$AS$200,$G467)&gt;0,
    COUNTIFS($AT$2:$AT$200,$G467)&gt;0,
    COUNTIFS($AU$2:$AU$200,$G467)&gt;0,
    COUNTIFS($AV$2:$AV$200,$G467)&gt;0,
    COUNTIFS($AW$2:$AW$200,$G467)&gt;0,
    COUNTIFS($AX$2:$AX$200,$G467)&gt;0,
    COUNTIFS($AY$2:$AY$200,$G467)&gt;0,
    COUNTIFS($AZ$2:$AZ$200,$G467)&gt;0,
    COUNTIFS($BA$2:$BA$200,$G467)&gt;0,
    COUNTIFS($BB$2:$BB$200,$G467)&gt;0,
    COUNTIFS($BC$2:$BC$200,$G467)&gt;0,
    COUNTIFS($BD$2:$BD$200,$G467)&gt;0,
    COUNTIFS($BE$2:$BE$200,$G467)&gt;0,
    COUNTIFS($BF$2:$BF$200,$G467)&gt;0,
    COUNTIFS($BG$2:$BG$200,$G467)&gt;0,
    COUNTIFS($BH$2:$BH$200,$G467)&gt;0,
    COUNTIFS($BI$2:$BI$200,$G467)&gt;0,
    COUNTIFS($BJ$2:$BJ$200,$G467)&gt;0,
    COUNTIFS($BK$2:$BK$200,$G467)&gt;0,
    COUNTIFS($BL$2:$BL$200,$G467)&gt;0,
    COUNTIFS($BM$2:$BM$200,$G467)&gt;0,
   ),
  0)
 ),
"")</f>
        <v>OWA</v>
      </c>
      <c r="G467" t="str">
        <f ca="1"/>
        <v>The Cabbage Merchant</v>
      </c>
      <c r="EX467" t="str">
        <f ca="1"/>
        <v>The Cabbage Merchant</v>
      </c>
    </row>
    <row r="468" spans="1:154" x14ac:dyDescent="0.25">
      <c r="A468" s="2" t="str">
        <f t="shared" ca="1" si="20"/>
        <v>4</v>
      </c>
      <c r="B468" s="2">
        <f t="shared" ca="1" si="21"/>
        <v>1</v>
      </c>
      <c r="C468" s="2" t="str">
        <f ca="1">IFERROR(
 INDEX($V$1:$BL$1,
  MATCH(TRUE,
   CHOOSE({1;2;3;4;5;6;7;8;9;10;11;12;13;14;15;16;17;18;19;20;21;22;23;24;25;26;27;28;29;30;31;32;33;34;35;36;37;38;39;40;41;42;43},
    COUNTIFS($V$2:$V$200,$G468)&gt;0,
    COUNTIFS($W$2:$W$200,$G468)&gt;0,
    COUNTIFS($X$2:$X$200,$G468)&gt;0,
    COUNTIFS($Y$2:$Y$200,$G468)&gt;0,
    COUNTIFS($Z$2:$Z$200,$G468)&gt;0,
    COUNTIFS($AA$2:$AA$200,$G468)&gt;0,
    COUNTIFS($AB$2:$AB$200,$G468)&gt;0,
    COUNTIFS($AC$2:$AC$200,$G468)&gt;0,
    COUNTIFS($AD$2:$AD$200,$G468)&gt;0,
    COUNTIFS($AE$2:$AE$200,$G468)&gt;0,
    COUNTIFS($AF$2:$AF$200,$G468)&gt;0,
    COUNTIFS($AG$2:$AG$200,$G468)&gt;0,
    COUNTIFS($AH$2:$AH$200,$G468)&gt;0,
    COUNTIFS($AI$2:$AI$200,$G468)&gt;0,
    COUNTIFS($AJ$2:$AJ$200,$G468)&gt;0,
    COUNTIFS($AK$2:$AK$200,$G468)&gt;0,
    COUNTIFS($AL$2:$AL$200,$G468)&gt;0,
    COUNTIFS($AM$2:$AM$200,$G468)&gt;0,
    COUNTIFS($AN$2:$AN$200,$G468)&gt;0,
    COUNTIFS($AO$2:$AO$200,$G468)&gt;0,
    COUNTIFS($AP$2:$AP$200,$G468)&gt;0,
    COUNTIFS($AQ$2:$AQ$200,$G468)&gt;0,
    COUNTIFS($AR$2:$AR$200,$G468)&gt;0,
    COUNTIFS($AS$2:$AS$200,$G468)&gt;0,
    COUNTIFS($AT$2:$AT$200,$G468)&gt;0,
    COUNTIFS($AU$2:$AU$200,$G468)&gt;0,
    COUNTIFS($AV$2:$AV$200,$G468)&gt;0,
    COUNTIFS($AW$2:$AW$200,$G468)&gt;0,
    COUNTIFS($AX$2:$AX$200,$G468)&gt;0,
    COUNTIFS($AY$2:$AY$200,$G468)&gt;0,
    COUNTIFS($AZ$2:$AZ$200,$G468)&gt;0,
    COUNTIFS($BA$2:$BA$200,$G468)&gt;0,
    COUNTIFS($BB$2:$BB$200,$G468)&gt;0,
    COUNTIFS($BC$2:$BC$200,$G468)&gt;0,
    COUNTIFS($BD$2:$BD$200,$G468)&gt;0,
    COUNTIFS($BE$2:$BE$200,$G468)&gt;0,
    COUNTIFS($BF$2:$BF$200,$G468)&gt;0,
    COUNTIFS($BG$2:$BG$200,$G468)&gt;0,
    COUNTIFS($BH$2:$BH$200,$G468)&gt;0,
    COUNTIFS($BI$2:$BI$200,$G468)&gt;0,
    COUNTIFS($BJ$2:$BJ$200,$G468)&gt;0,
    COUNTIFS($BK$2:$BK$200,$G468)&gt;0,
    COUNTIFS($BL$2:$BL$200,$G468)&gt;0,
    COUNTIFS($BM$2:$BM$200,$G468)&gt;0,
   ),
  0)
 ),
"")</f>
        <v>Tayam</v>
      </c>
      <c r="G468" t="str">
        <f ca="1"/>
        <v>The Duke, Rebel Sentry</v>
      </c>
      <c r="EX468" t="str">
        <f ca="1"/>
        <v>The Duke, Rebel Sentry</v>
      </c>
    </row>
    <row r="469" spans="1:154" x14ac:dyDescent="0.25">
      <c r="A469" s="2" t="str">
        <f t="shared" ca="1" si="20"/>
        <v>5</v>
      </c>
      <c r="B469" s="2">
        <f t="shared" ca="1" si="21"/>
        <v>1</v>
      </c>
      <c r="C469" s="2" t="str">
        <f ca="1">IFERROR(
 INDEX($V$1:$BL$1,
  MATCH(TRUE,
   CHOOSE({1;2;3;4;5;6;7;8;9;10;11;12;13;14;15;16;17;18;19;20;21;22;23;24;25;26;27;28;29;30;31;32;33;34;35;36;37;38;39;40;41;42;43},
    COUNTIFS($V$2:$V$200,$G469)&gt;0,
    COUNTIFS($W$2:$W$200,$G469)&gt;0,
    COUNTIFS($X$2:$X$200,$G469)&gt;0,
    COUNTIFS($Y$2:$Y$200,$G469)&gt;0,
    COUNTIFS($Z$2:$Z$200,$G469)&gt;0,
    COUNTIFS($AA$2:$AA$200,$G469)&gt;0,
    COUNTIFS($AB$2:$AB$200,$G469)&gt;0,
    COUNTIFS($AC$2:$AC$200,$G469)&gt;0,
    COUNTIFS($AD$2:$AD$200,$G469)&gt;0,
    COUNTIFS($AE$2:$AE$200,$G469)&gt;0,
    COUNTIFS($AF$2:$AF$200,$G469)&gt;0,
    COUNTIFS($AG$2:$AG$200,$G469)&gt;0,
    COUNTIFS($AH$2:$AH$200,$G469)&gt;0,
    COUNTIFS($AI$2:$AI$200,$G469)&gt;0,
    COUNTIFS($AJ$2:$AJ$200,$G469)&gt;0,
    COUNTIFS($AK$2:$AK$200,$G469)&gt;0,
    COUNTIFS($AL$2:$AL$200,$G469)&gt;0,
    COUNTIFS($AM$2:$AM$200,$G469)&gt;0,
    COUNTIFS($AN$2:$AN$200,$G469)&gt;0,
    COUNTIFS($AO$2:$AO$200,$G469)&gt;0,
    COUNTIFS($AP$2:$AP$200,$G469)&gt;0,
    COUNTIFS($AQ$2:$AQ$200,$G469)&gt;0,
    COUNTIFS($AR$2:$AR$200,$G469)&gt;0,
    COUNTIFS($AS$2:$AS$200,$G469)&gt;0,
    COUNTIFS($AT$2:$AT$200,$G469)&gt;0,
    COUNTIFS($AU$2:$AU$200,$G469)&gt;0,
    COUNTIFS($AV$2:$AV$200,$G469)&gt;0,
    COUNTIFS($AW$2:$AW$200,$G469)&gt;0,
    COUNTIFS($AX$2:$AX$200,$G469)&gt;0,
    COUNTIFS($AY$2:$AY$200,$G469)&gt;0,
    COUNTIFS($AZ$2:$AZ$200,$G469)&gt;0,
    COUNTIFS($BA$2:$BA$200,$G469)&gt;0,
    COUNTIFS($BB$2:$BB$200,$G469)&gt;0,
    COUNTIFS($BC$2:$BC$200,$G469)&gt;0,
    COUNTIFS($BD$2:$BD$200,$G469)&gt;0,
    COUNTIFS($BE$2:$BE$200,$G469)&gt;0,
    COUNTIFS($BF$2:$BF$200,$G469)&gt;0,
    COUNTIFS($BG$2:$BG$200,$G469)&gt;0,
    COUNTIFS($BH$2:$BH$200,$G469)&gt;0,
    COUNTIFS($BI$2:$BI$200,$G469)&gt;0,
    COUNTIFS($BJ$2:$BJ$200,$G469)&gt;0,
    COUNTIFS($BK$2:$BK$200,$G469)&gt;0,
    COUNTIFS($BL$2:$BL$200,$G469)&gt;0,
    COUNTIFS($BM$2:$BM$200,$G469)&gt;0,
   ),
  0)
 ),
"")</f>
        <v>4cRash</v>
      </c>
      <c r="G469" t="str">
        <f ca="1"/>
        <v>The Emperor of Palamecia</v>
      </c>
      <c r="EX469" t="str">
        <f ca="1"/>
        <v>The Emperor of Palamecia</v>
      </c>
    </row>
    <row r="470" spans="1:154" x14ac:dyDescent="0.25">
      <c r="A470" s="2" t="str">
        <f t="shared" ca="1" si="20"/>
        <v>2</v>
      </c>
      <c r="B470" s="2">
        <f t="shared" ca="1" si="21"/>
        <v>1</v>
      </c>
      <c r="C470" s="2" t="str">
        <f ca="1">IFERROR(
 INDEX($V$1:$BL$1,
  MATCH(TRUE,
   CHOOSE({1;2;3;4;5;6;7;8;9;10;11;12;13;14;15;16;17;18;19;20;21;22;23;24;25;26;27;28;29;30;31;32;33;34;35;36;37;38;39;40;41;42;43},
    COUNTIFS($V$2:$V$200,$G470)&gt;0,
    COUNTIFS($W$2:$W$200,$G470)&gt;0,
    COUNTIFS($X$2:$X$200,$G470)&gt;0,
    COUNTIFS($Y$2:$Y$200,$G470)&gt;0,
    COUNTIFS($Z$2:$Z$200,$G470)&gt;0,
    COUNTIFS($AA$2:$AA$200,$G470)&gt;0,
    COUNTIFS($AB$2:$AB$200,$G470)&gt;0,
    COUNTIFS($AC$2:$AC$200,$G470)&gt;0,
    COUNTIFS($AD$2:$AD$200,$G470)&gt;0,
    COUNTIFS($AE$2:$AE$200,$G470)&gt;0,
    COUNTIFS($AF$2:$AF$200,$G470)&gt;0,
    COUNTIFS($AG$2:$AG$200,$G470)&gt;0,
    COUNTIFS($AH$2:$AH$200,$G470)&gt;0,
    COUNTIFS($AI$2:$AI$200,$G470)&gt;0,
    COUNTIFS($AJ$2:$AJ$200,$G470)&gt;0,
    COUNTIFS($AK$2:$AK$200,$G470)&gt;0,
    COUNTIFS($AL$2:$AL$200,$G470)&gt;0,
    COUNTIFS($AM$2:$AM$200,$G470)&gt;0,
    COUNTIFS($AN$2:$AN$200,$G470)&gt;0,
    COUNTIFS($AO$2:$AO$200,$G470)&gt;0,
    COUNTIFS($AP$2:$AP$200,$G470)&gt;0,
    COUNTIFS($AQ$2:$AQ$200,$G470)&gt;0,
    COUNTIFS($AR$2:$AR$200,$G470)&gt;0,
    COUNTIFS($AS$2:$AS$200,$G470)&gt;0,
    COUNTIFS($AT$2:$AT$200,$G470)&gt;0,
    COUNTIFS($AU$2:$AU$200,$G470)&gt;0,
    COUNTIFS($AV$2:$AV$200,$G470)&gt;0,
    COUNTIFS($AW$2:$AW$200,$G470)&gt;0,
    COUNTIFS($AX$2:$AX$200,$G470)&gt;0,
    COUNTIFS($AY$2:$AY$200,$G470)&gt;0,
    COUNTIFS($AZ$2:$AZ$200,$G470)&gt;0,
    COUNTIFS($BA$2:$BA$200,$G470)&gt;0,
    COUNTIFS($BB$2:$BB$200,$G470)&gt;0,
    COUNTIFS($BC$2:$BC$200,$G470)&gt;0,
    COUNTIFS($BD$2:$BD$200,$G470)&gt;0,
    COUNTIFS($BE$2:$BE$200,$G470)&gt;0,
    COUNTIFS($BF$2:$BF$200,$G470)&gt;0,
    COUNTIFS($BG$2:$BG$200,$G470)&gt;0,
    COUNTIFS($BH$2:$BH$200,$G470)&gt;0,
    COUNTIFS($BI$2:$BI$200,$G470)&gt;0,
    COUNTIFS($BJ$2:$BJ$200,$G470)&gt;0,
    COUNTIFS($BK$2:$BK$200,$G470)&gt;0,
    COUNTIFS($BL$2:$BL$200,$G470)&gt;0,
    COUNTIFS($BM$2:$BM$200,$G470)&gt;0,
   ),
  0)
 ),
"")</f>
        <v>Muzzio</v>
      </c>
      <c r="G470" t="str">
        <f ca="1"/>
        <v>The Enigma Jewel</v>
      </c>
      <c r="EX470" t="str">
        <f ca="1"/>
        <v>The Enigma Jewel</v>
      </c>
    </row>
    <row r="471" spans="1:154" x14ac:dyDescent="0.25">
      <c r="A471" s="2" t="str">
        <f t="shared" ca="1" si="20"/>
        <v>5</v>
      </c>
      <c r="B471" s="2">
        <f t="shared" ca="1" si="21"/>
        <v>1</v>
      </c>
      <c r="C471" s="2" t="str">
        <f ca="1">IFERROR(
 INDEX($V$1:$BL$1,
  MATCH(TRUE,
   CHOOSE({1;2;3;4;5;6;7;8;9;10;11;12;13;14;15;16;17;18;19;20;21;22;23;24;25;26;27;28;29;30;31;32;33;34;35;36;37;38;39;40;41;42;43},
    COUNTIFS($V$2:$V$200,$G471)&gt;0,
    COUNTIFS($W$2:$W$200,$G471)&gt;0,
    COUNTIFS($X$2:$X$200,$G471)&gt;0,
    COUNTIFS($Y$2:$Y$200,$G471)&gt;0,
    COUNTIFS($Z$2:$Z$200,$G471)&gt;0,
    COUNTIFS($AA$2:$AA$200,$G471)&gt;0,
    COUNTIFS($AB$2:$AB$200,$G471)&gt;0,
    COUNTIFS($AC$2:$AC$200,$G471)&gt;0,
    COUNTIFS($AD$2:$AD$200,$G471)&gt;0,
    COUNTIFS($AE$2:$AE$200,$G471)&gt;0,
    COUNTIFS($AF$2:$AF$200,$G471)&gt;0,
    COUNTIFS($AG$2:$AG$200,$G471)&gt;0,
    COUNTIFS($AH$2:$AH$200,$G471)&gt;0,
    COUNTIFS($AI$2:$AI$200,$G471)&gt;0,
    COUNTIFS($AJ$2:$AJ$200,$G471)&gt;0,
    COUNTIFS($AK$2:$AK$200,$G471)&gt;0,
    COUNTIFS($AL$2:$AL$200,$G471)&gt;0,
    COUNTIFS($AM$2:$AM$200,$G471)&gt;0,
    COUNTIFS($AN$2:$AN$200,$G471)&gt;0,
    COUNTIFS($AO$2:$AO$200,$G471)&gt;0,
    COUNTIFS($AP$2:$AP$200,$G471)&gt;0,
    COUNTIFS($AQ$2:$AQ$200,$G471)&gt;0,
    COUNTIFS($AR$2:$AR$200,$G471)&gt;0,
    COUNTIFS($AS$2:$AS$200,$G471)&gt;0,
    COUNTIFS($AT$2:$AT$200,$G471)&gt;0,
    COUNTIFS($AU$2:$AU$200,$G471)&gt;0,
    COUNTIFS($AV$2:$AV$200,$G471)&gt;0,
    COUNTIFS($AW$2:$AW$200,$G471)&gt;0,
    COUNTIFS($AX$2:$AX$200,$G471)&gt;0,
    COUNTIFS($AY$2:$AY$200,$G471)&gt;0,
    COUNTIFS($AZ$2:$AZ$200,$G471)&gt;0,
    COUNTIFS($BA$2:$BA$200,$G471)&gt;0,
    COUNTIFS($BB$2:$BB$200,$G471)&gt;0,
    COUNTIFS($BC$2:$BC$200,$G471)&gt;0,
    COUNTIFS($BD$2:$BD$200,$G471)&gt;0,
    COUNTIFS($BE$2:$BE$200,$G471)&gt;0,
    COUNTIFS($BF$2:$BF$200,$G471)&gt;0,
    COUNTIFS($BG$2:$BG$200,$G471)&gt;0,
    COUNTIFS($BH$2:$BH$200,$G471)&gt;0,
    COUNTIFS($BI$2:$BI$200,$G471)&gt;0,
    COUNTIFS($BJ$2:$BJ$200,$G471)&gt;0,
    COUNTIFS($BK$2:$BK$200,$G471)&gt;0,
    COUNTIFS($BL$2:$BL$200,$G471)&gt;0,
    COUNTIFS($BM$2:$BM$200,$G471)&gt;0,
   ),
  0)
 ),
"")</f>
        <v>Fractius</v>
      </c>
      <c r="G471" t="str">
        <f ca="1"/>
        <v>The First Sliver</v>
      </c>
      <c r="EX471" t="str">
        <f ca="1"/>
        <v>The First Sliver</v>
      </c>
    </row>
    <row r="472" spans="1:154" x14ac:dyDescent="0.25">
      <c r="A472" s="2" t="str">
        <f t="shared" ca="1" si="20"/>
        <v>4</v>
      </c>
      <c r="B472" s="2">
        <f t="shared" ca="1" si="21"/>
        <v>1</v>
      </c>
      <c r="C472" s="2" t="str">
        <f ca="1">IFERROR(
 INDEX($V$1:$BL$1,
  MATCH(TRUE,
   CHOOSE({1;2;3;4;5;6;7;8;9;10;11;12;13;14;15;16;17;18;19;20;21;22;23;24;25;26;27;28;29;30;31;32;33;34;35;36;37;38;39;40;41;42;43},
    COUNTIFS($V$2:$V$200,$G472)&gt;0,
    COUNTIFS($W$2:$W$200,$G472)&gt;0,
    COUNTIFS($X$2:$X$200,$G472)&gt;0,
    COUNTIFS($Y$2:$Y$200,$G472)&gt;0,
    COUNTIFS($Z$2:$Z$200,$G472)&gt;0,
    COUNTIFS($AA$2:$AA$200,$G472)&gt;0,
    COUNTIFS($AB$2:$AB$200,$G472)&gt;0,
    COUNTIFS($AC$2:$AC$200,$G472)&gt;0,
    COUNTIFS($AD$2:$AD$200,$G472)&gt;0,
    COUNTIFS($AE$2:$AE$200,$G472)&gt;0,
    COUNTIFS($AF$2:$AF$200,$G472)&gt;0,
    COUNTIFS($AG$2:$AG$200,$G472)&gt;0,
    COUNTIFS($AH$2:$AH$200,$G472)&gt;0,
    COUNTIFS($AI$2:$AI$200,$G472)&gt;0,
    COUNTIFS($AJ$2:$AJ$200,$G472)&gt;0,
    COUNTIFS($AK$2:$AK$200,$G472)&gt;0,
    COUNTIFS($AL$2:$AL$200,$G472)&gt;0,
    COUNTIFS($AM$2:$AM$200,$G472)&gt;0,
    COUNTIFS($AN$2:$AN$200,$G472)&gt;0,
    COUNTIFS($AO$2:$AO$200,$G472)&gt;0,
    COUNTIFS($AP$2:$AP$200,$G472)&gt;0,
    COUNTIFS($AQ$2:$AQ$200,$G472)&gt;0,
    COUNTIFS($AR$2:$AR$200,$G472)&gt;0,
    COUNTIFS($AS$2:$AS$200,$G472)&gt;0,
    COUNTIFS($AT$2:$AT$200,$G472)&gt;0,
    COUNTIFS($AU$2:$AU$200,$G472)&gt;0,
    COUNTIFS($AV$2:$AV$200,$G472)&gt;0,
    COUNTIFS($AW$2:$AW$200,$G472)&gt;0,
    COUNTIFS($AX$2:$AX$200,$G472)&gt;0,
    COUNTIFS($AY$2:$AY$200,$G472)&gt;0,
    COUNTIFS($AZ$2:$AZ$200,$G472)&gt;0,
    COUNTIFS($BA$2:$BA$200,$G472)&gt;0,
    COUNTIFS($BB$2:$BB$200,$G472)&gt;0,
    COUNTIFS($BC$2:$BC$200,$G472)&gt;0,
    COUNTIFS($BD$2:$BD$200,$G472)&gt;0,
    COUNTIFS($BE$2:$BE$200,$G472)&gt;0,
    COUNTIFS($BF$2:$BF$200,$G472)&gt;0,
    COUNTIFS($BG$2:$BG$200,$G472)&gt;0,
    COUNTIFS($BH$2:$BH$200,$G472)&gt;0,
    COUNTIFS($BI$2:$BI$200,$G472)&gt;0,
    COUNTIFS($BJ$2:$BJ$200,$G472)&gt;0,
    COUNTIFS($BK$2:$BK$200,$G472)&gt;0,
    COUNTIFS($BL$2:$BL$200,$G472)&gt;0,
    COUNTIFS($BM$2:$BM$200,$G472)&gt;0,
   ),
  0)
 ),
"")</f>
        <v>Modular</v>
      </c>
      <c r="G472" t="str">
        <f ca="1"/>
        <v>The Gold Saucer</v>
      </c>
      <c r="EX472" t="str">
        <f ca="1"/>
        <v>The Gold Saucer</v>
      </c>
    </row>
    <row r="473" spans="1:154" x14ac:dyDescent="0.25">
      <c r="A473" s="2" t="str">
        <f t="shared" ca="1" si="20"/>
        <v>4</v>
      </c>
      <c r="B473" s="2">
        <f t="shared" ca="1" si="21"/>
        <v>1</v>
      </c>
      <c r="C473" s="2" t="str">
        <f ca="1">IFERROR(
 INDEX($V$1:$BL$1,
  MATCH(TRUE,
   CHOOSE({1;2;3;4;5;6;7;8;9;10;11;12;13;14;15;16;17;18;19;20;21;22;23;24;25;26;27;28;29;30;31;32;33;34;35;36;37;38;39;40;41;42;43},
    COUNTIFS($V$2:$V$200,$G473)&gt;0,
    COUNTIFS($W$2:$W$200,$G473)&gt;0,
    COUNTIFS($X$2:$X$200,$G473)&gt;0,
    COUNTIFS($Y$2:$Y$200,$G473)&gt;0,
    COUNTIFS($Z$2:$Z$200,$G473)&gt;0,
    COUNTIFS($AA$2:$AA$200,$G473)&gt;0,
    COUNTIFS($AB$2:$AB$200,$G473)&gt;0,
    COUNTIFS($AC$2:$AC$200,$G473)&gt;0,
    COUNTIFS($AD$2:$AD$200,$G473)&gt;0,
    COUNTIFS($AE$2:$AE$200,$G473)&gt;0,
    COUNTIFS($AF$2:$AF$200,$G473)&gt;0,
    COUNTIFS($AG$2:$AG$200,$G473)&gt;0,
    COUNTIFS($AH$2:$AH$200,$G473)&gt;0,
    COUNTIFS($AI$2:$AI$200,$G473)&gt;0,
    COUNTIFS($AJ$2:$AJ$200,$G473)&gt;0,
    COUNTIFS($AK$2:$AK$200,$G473)&gt;0,
    COUNTIFS($AL$2:$AL$200,$G473)&gt;0,
    COUNTIFS($AM$2:$AM$200,$G473)&gt;0,
    COUNTIFS($AN$2:$AN$200,$G473)&gt;0,
    COUNTIFS($AO$2:$AO$200,$G473)&gt;0,
    COUNTIFS($AP$2:$AP$200,$G473)&gt;0,
    COUNTIFS($AQ$2:$AQ$200,$G473)&gt;0,
    COUNTIFS($AR$2:$AR$200,$G473)&gt;0,
    COUNTIFS($AS$2:$AS$200,$G473)&gt;0,
    COUNTIFS($AT$2:$AT$200,$G473)&gt;0,
    COUNTIFS($AU$2:$AU$200,$G473)&gt;0,
    COUNTIFS($AV$2:$AV$200,$G473)&gt;0,
    COUNTIFS($AW$2:$AW$200,$G473)&gt;0,
    COUNTIFS($AX$2:$AX$200,$G473)&gt;0,
    COUNTIFS($AY$2:$AY$200,$G473)&gt;0,
    COUNTIFS($AZ$2:$AZ$200,$G473)&gt;0,
    COUNTIFS($BA$2:$BA$200,$G473)&gt;0,
    COUNTIFS($BB$2:$BB$200,$G473)&gt;0,
    COUNTIFS($BC$2:$BC$200,$G473)&gt;0,
    COUNTIFS($BD$2:$BD$200,$G473)&gt;0,
    COUNTIFS($BE$2:$BE$200,$G473)&gt;0,
    COUNTIFS($BF$2:$BF$200,$G473)&gt;0,
    COUNTIFS($BG$2:$BG$200,$G473)&gt;0,
    COUNTIFS($BH$2:$BH$200,$G473)&gt;0,
    COUNTIFS($BI$2:$BI$200,$G473)&gt;0,
    COUNTIFS($BJ$2:$BJ$200,$G473)&gt;0,
    COUNTIFS($BK$2:$BK$200,$G473)&gt;0,
    COUNTIFS($BL$2:$BL$200,$G473)&gt;0,
    COUNTIFS($BM$2:$BM$200,$G473)&gt;0,
   ),
  0)
 ),
"")</f>
        <v>Modular</v>
      </c>
      <c r="G473" t="str">
        <f ca="1"/>
        <v>The Great Henge</v>
      </c>
      <c r="EX473" t="str">
        <f ca="1"/>
        <v>The Great Henge</v>
      </c>
    </row>
    <row r="474" spans="1:154" x14ac:dyDescent="0.25">
      <c r="A474" s="2" t="str">
        <f t="shared" ca="1" si="20"/>
        <v>5</v>
      </c>
      <c r="B474" s="2">
        <f t="shared" ca="1" si="21"/>
        <v>1</v>
      </c>
      <c r="C474" s="2" t="str">
        <f ca="1">IFERROR(
 INDEX($V$1:$BL$1,
  MATCH(TRUE,
   CHOOSE({1;2;3;4;5;6;7;8;9;10;11;12;13;14;15;16;17;18;19;20;21;22;23;24;25;26;27;28;29;30;31;32;33;34;35;36;37;38;39;40;41;42;43},
    COUNTIFS($V$2:$V$200,$G474)&gt;0,
    COUNTIFS($W$2:$W$200,$G474)&gt;0,
    COUNTIFS($X$2:$X$200,$G474)&gt;0,
    COUNTIFS($Y$2:$Y$200,$G474)&gt;0,
    COUNTIFS($Z$2:$Z$200,$G474)&gt;0,
    COUNTIFS($AA$2:$AA$200,$G474)&gt;0,
    COUNTIFS($AB$2:$AB$200,$G474)&gt;0,
    COUNTIFS($AC$2:$AC$200,$G474)&gt;0,
    COUNTIFS($AD$2:$AD$200,$G474)&gt;0,
    COUNTIFS($AE$2:$AE$200,$G474)&gt;0,
    COUNTIFS($AF$2:$AF$200,$G474)&gt;0,
    COUNTIFS($AG$2:$AG$200,$G474)&gt;0,
    COUNTIFS($AH$2:$AH$200,$G474)&gt;0,
    COUNTIFS($AI$2:$AI$200,$G474)&gt;0,
    COUNTIFS($AJ$2:$AJ$200,$G474)&gt;0,
    COUNTIFS($AK$2:$AK$200,$G474)&gt;0,
    COUNTIFS($AL$2:$AL$200,$G474)&gt;0,
    COUNTIFS($AM$2:$AM$200,$G474)&gt;0,
    COUNTIFS($AN$2:$AN$200,$G474)&gt;0,
    COUNTIFS($AO$2:$AO$200,$G474)&gt;0,
    COUNTIFS($AP$2:$AP$200,$G474)&gt;0,
    COUNTIFS($AQ$2:$AQ$200,$G474)&gt;0,
    COUNTIFS($AR$2:$AR$200,$G474)&gt;0,
    COUNTIFS($AS$2:$AS$200,$G474)&gt;0,
    COUNTIFS($AT$2:$AT$200,$G474)&gt;0,
    COUNTIFS($AU$2:$AU$200,$G474)&gt;0,
    COUNTIFS($AV$2:$AV$200,$G474)&gt;0,
    COUNTIFS($AW$2:$AW$200,$G474)&gt;0,
    COUNTIFS($AX$2:$AX$200,$G474)&gt;0,
    COUNTIFS($AY$2:$AY$200,$G474)&gt;0,
    COUNTIFS($AZ$2:$AZ$200,$G474)&gt;0,
    COUNTIFS($BA$2:$BA$200,$G474)&gt;0,
    COUNTIFS($BB$2:$BB$200,$G474)&gt;0,
    COUNTIFS($BC$2:$BC$200,$G474)&gt;0,
    COUNTIFS($BD$2:$BD$200,$G474)&gt;0,
    COUNTIFS($BE$2:$BE$200,$G474)&gt;0,
    COUNTIFS($BF$2:$BF$200,$G474)&gt;0,
    COUNTIFS($BG$2:$BG$200,$G474)&gt;0,
    COUNTIFS($BH$2:$BH$200,$G474)&gt;0,
    COUNTIFS($BI$2:$BI$200,$G474)&gt;0,
    COUNTIFS($BJ$2:$BJ$200,$G474)&gt;0,
    COUNTIFS($BK$2:$BK$200,$G474)&gt;0,
    COUNTIFS($BL$2:$BL$200,$G474)&gt;0,
    COUNTIFS($BM$2:$BM$200,$G474)&gt;0,
   ),
  0)
 ),
"")</f>
        <v>Zuko</v>
      </c>
      <c r="G474" t="str">
        <f ca="1"/>
        <v>The Legend of Roku</v>
      </c>
      <c r="EX474" t="str">
        <f ca="1"/>
        <v>The Legend of Roku</v>
      </c>
    </row>
    <row r="475" spans="1:154" x14ac:dyDescent="0.25">
      <c r="A475" s="2" t="str">
        <f t="shared" ca="1" si="20"/>
        <v>5</v>
      </c>
      <c r="B475" s="2">
        <f t="shared" ca="1" si="21"/>
        <v>1</v>
      </c>
      <c r="C475" s="2" t="str">
        <f ca="1">IFERROR(
 INDEX($V$1:$BL$1,
  MATCH(TRUE,
   CHOOSE({1;2;3;4;5;6;7;8;9;10;11;12;13;14;15;16;17;18;19;20;21;22;23;24;25;26;27;28;29;30;31;32;33;34;35;36;37;38;39;40;41;42;43},
    COUNTIFS($V$2:$V$200,$G475)&gt;0,
    COUNTIFS($W$2:$W$200,$G475)&gt;0,
    COUNTIFS($X$2:$X$200,$G475)&gt;0,
    COUNTIFS($Y$2:$Y$200,$G475)&gt;0,
    COUNTIFS($Z$2:$Z$200,$G475)&gt;0,
    COUNTIFS($AA$2:$AA$200,$G475)&gt;0,
    COUNTIFS($AB$2:$AB$200,$G475)&gt;0,
    COUNTIFS($AC$2:$AC$200,$G475)&gt;0,
    COUNTIFS($AD$2:$AD$200,$G475)&gt;0,
    COUNTIFS($AE$2:$AE$200,$G475)&gt;0,
    COUNTIFS($AF$2:$AF$200,$G475)&gt;0,
    COUNTIFS($AG$2:$AG$200,$G475)&gt;0,
    COUNTIFS($AH$2:$AH$200,$G475)&gt;0,
    COUNTIFS($AI$2:$AI$200,$G475)&gt;0,
    COUNTIFS($AJ$2:$AJ$200,$G475)&gt;0,
    COUNTIFS($AK$2:$AK$200,$G475)&gt;0,
    COUNTIFS($AL$2:$AL$200,$G475)&gt;0,
    COUNTIFS($AM$2:$AM$200,$G475)&gt;0,
    COUNTIFS($AN$2:$AN$200,$G475)&gt;0,
    COUNTIFS($AO$2:$AO$200,$G475)&gt;0,
    COUNTIFS($AP$2:$AP$200,$G475)&gt;0,
    COUNTIFS($AQ$2:$AQ$200,$G475)&gt;0,
    COUNTIFS($AR$2:$AR$200,$G475)&gt;0,
    COUNTIFS($AS$2:$AS$200,$G475)&gt;0,
    COUNTIFS($AT$2:$AT$200,$G475)&gt;0,
    COUNTIFS($AU$2:$AU$200,$G475)&gt;0,
    COUNTIFS($AV$2:$AV$200,$G475)&gt;0,
    COUNTIFS($AW$2:$AW$200,$G475)&gt;0,
    COUNTIFS($AX$2:$AX$200,$G475)&gt;0,
    COUNTIFS($AY$2:$AY$200,$G475)&gt;0,
    COUNTIFS($AZ$2:$AZ$200,$G475)&gt;0,
    COUNTIFS($BA$2:$BA$200,$G475)&gt;0,
    COUNTIFS($BB$2:$BB$200,$G475)&gt;0,
    COUNTIFS($BC$2:$BC$200,$G475)&gt;0,
    COUNTIFS($BD$2:$BD$200,$G475)&gt;0,
    COUNTIFS($BE$2:$BE$200,$G475)&gt;0,
    COUNTIFS($BF$2:$BF$200,$G475)&gt;0,
    COUNTIFS($BG$2:$BG$200,$G475)&gt;0,
    COUNTIFS($BH$2:$BH$200,$G475)&gt;0,
    COUNTIFS($BI$2:$BI$200,$G475)&gt;0,
    COUNTIFS($BJ$2:$BJ$200,$G475)&gt;0,
    COUNTIFS($BK$2:$BK$200,$G475)&gt;0,
    COUNTIFS($BL$2:$BL$200,$G475)&gt;0,
    COUNTIFS($BM$2:$BM$200,$G475)&gt;0,
   ),
  0)
 ),
"")</f>
        <v>4cRash</v>
      </c>
      <c r="G475" t="str">
        <f ca="1"/>
        <v>The Lord of Pain</v>
      </c>
      <c r="EX475" t="str">
        <f ca="1"/>
        <v>The Lord of Pain</v>
      </c>
    </row>
    <row r="476" spans="1:154" x14ac:dyDescent="0.25">
      <c r="A476" s="2" t="str">
        <f t="shared" ca="1" si="20"/>
        <v>2</v>
      </c>
      <c r="B476" s="2">
        <f t="shared" ca="1" si="21"/>
        <v>1</v>
      </c>
      <c r="C476" s="2" t="str">
        <f ca="1">IFERROR(
 INDEX($V$1:$BL$1,
  MATCH(TRUE,
   CHOOSE({1;2;3;4;5;6;7;8;9;10;11;12;13;14;15;16;17;18;19;20;21;22;23;24;25;26;27;28;29;30;31;32;33;34;35;36;37;38;39;40;41;42;43},
    COUNTIFS($V$2:$V$200,$G476)&gt;0,
    COUNTIFS($W$2:$W$200,$G476)&gt;0,
    COUNTIFS($X$2:$X$200,$G476)&gt;0,
    COUNTIFS($Y$2:$Y$200,$G476)&gt;0,
    COUNTIFS($Z$2:$Z$200,$G476)&gt;0,
    COUNTIFS($AA$2:$AA$200,$G476)&gt;0,
    COUNTIFS($AB$2:$AB$200,$G476)&gt;0,
    COUNTIFS($AC$2:$AC$200,$G476)&gt;0,
    COUNTIFS($AD$2:$AD$200,$G476)&gt;0,
    COUNTIFS($AE$2:$AE$200,$G476)&gt;0,
    COUNTIFS($AF$2:$AF$200,$G476)&gt;0,
    COUNTIFS($AG$2:$AG$200,$G476)&gt;0,
    COUNTIFS($AH$2:$AH$200,$G476)&gt;0,
    COUNTIFS($AI$2:$AI$200,$G476)&gt;0,
    COUNTIFS($AJ$2:$AJ$200,$G476)&gt;0,
    COUNTIFS($AK$2:$AK$200,$G476)&gt;0,
    COUNTIFS($AL$2:$AL$200,$G476)&gt;0,
    COUNTIFS($AM$2:$AM$200,$G476)&gt;0,
    COUNTIFS($AN$2:$AN$200,$G476)&gt;0,
    COUNTIFS($AO$2:$AO$200,$G476)&gt;0,
    COUNTIFS($AP$2:$AP$200,$G476)&gt;0,
    COUNTIFS($AQ$2:$AQ$200,$G476)&gt;0,
    COUNTIFS($AR$2:$AR$200,$G476)&gt;0,
    COUNTIFS($AS$2:$AS$200,$G476)&gt;0,
    COUNTIFS($AT$2:$AT$200,$G476)&gt;0,
    COUNTIFS($AU$2:$AU$200,$G476)&gt;0,
    COUNTIFS($AV$2:$AV$200,$G476)&gt;0,
    COUNTIFS($AW$2:$AW$200,$G476)&gt;0,
    COUNTIFS($AX$2:$AX$200,$G476)&gt;0,
    COUNTIFS($AY$2:$AY$200,$G476)&gt;0,
    COUNTIFS($AZ$2:$AZ$200,$G476)&gt;0,
    COUNTIFS($BA$2:$BA$200,$G476)&gt;0,
    COUNTIFS($BB$2:$BB$200,$G476)&gt;0,
    COUNTIFS($BC$2:$BC$200,$G476)&gt;0,
    COUNTIFS($BD$2:$BD$200,$G476)&gt;0,
    COUNTIFS($BE$2:$BE$200,$G476)&gt;0,
    COUNTIFS($BF$2:$BF$200,$G476)&gt;0,
    COUNTIFS($BG$2:$BG$200,$G476)&gt;0,
    COUNTIFS($BH$2:$BH$200,$G476)&gt;0,
    COUNTIFS($BI$2:$BI$200,$G476)&gt;0,
    COUNTIFS($BJ$2:$BJ$200,$G476)&gt;0,
    COUNTIFS($BK$2:$BK$200,$G476)&gt;0,
    COUNTIFS($BL$2:$BL$200,$G476)&gt;0,
    COUNTIFS($BM$2:$BM$200,$G476)&gt;0,
   ),
  0)
 ),
"")</f>
        <v>Muzzio</v>
      </c>
      <c r="G476" t="str">
        <f ca="1"/>
        <v>The Mycosynth Gardens</v>
      </c>
      <c r="EX476" t="str">
        <f ca="1"/>
        <v>The Mycosynth Gardens</v>
      </c>
    </row>
    <row r="477" spans="1:154" x14ac:dyDescent="0.25">
      <c r="A477" s="2" t="str">
        <f t="shared" ca="1" si="20"/>
        <v>2</v>
      </c>
      <c r="B477" s="2">
        <f t="shared" ca="1" si="21"/>
        <v>1</v>
      </c>
      <c r="C477" s="2" t="str">
        <f ca="1">IFERROR(
 INDEX($V$1:$BL$1,
  MATCH(TRUE,
   CHOOSE({1;2;3;4;5;6;7;8;9;10;11;12;13;14;15;16;17;18;19;20;21;22;23;24;25;26;27;28;29;30;31;32;33;34;35;36;37;38;39;40;41;42;43},
    COUNTIFS($V$2:$V$200,$G477)&gt;0,
    COUNTIFS($W$2:$W$200,$G477)&gt;0,
    COUNTIFS($X$2:$X$200,$G477)&gt;0,
    COUNTIFS($Y$2:$Y$200,$G477)&gt;0,
    COUNTIFS($Z$2:$Z$200,$G477)&gt;0,
    COUNTIFS($AA$2:$AA$200,$G477)&gt;0,
    COUNTIFS($AB$2:$AB$200,$G477)&gt;0,
    COUNTIFS($AC$2:$AC$200,$G477)&gt;0,
    COUNTIFS($AD$2:$AD$200,$G477)&gt;0,
    COUNTIFS($AE$2:$AE$200,$G477)&gt;0,
    COUNTIFS($AF$2:$AF$200,$G477)&gt;0,
    COUNTIFS($AG$2:$AG$200,$G477)&gt;0,
    COUNTIFS($AH$2:$AH$200,$G477)&gt;0,
    COUNTIFS($AI$2:$AI$200,$G477)&gt;0,
    COUNTIFS($AJ$2:$AJ$200,$G477)&gt;0,
    COUNTIFS($AK$2:$AK$200,$G477)&gt;0,
    COUNTIFS($AL$2:$AL$200,$G477)&gt;0,
    COUNTIFS($AM$2:$AM$200,$G477)&gt;0,
    COUNTIFS($AN$2:$AN$200,$G477)&gt;0,
    COUNTIFS($AO$2:$AO$200,$G477)&gt;0,
    COUNTIFS($AP$2:$AP$200,$G477)&gt;0,
    COUNTIFS($AQ$2:$AQ$200,$G477)&gt;0,
    COUNTIFS($AR$2:$AR$200,$G477)&gt;0,
    COUNTIFS($AS$2:$AS$200,$G477)&gt;0,
    COUNTIFS($AT$2:$AT$200,$G477)&gt;0,
    COUNTIFS($AU$2:$AU$200,$G477)&gt;0,
    COUNTIFS($AV$2:$AV$200,$G477)&gt;0,
    COUNTIFS($AW$2:$AW$200,$G477)&gt;0,
    COUNTIFS($AX$2:$AX$200,$G477)&gt;0,
    COUNTIFS($AY$2:$AY$200,$G477)&gt;0,
    COUNTIFS($AZ$2:$AZ$200,$G477)&gt;0,
    COUNTIFS($BA$2:$BA$200,$G477)&gt;0,
    COUNTIFS($BB$2:$BB$200,$G477)&gt;0,
    COUNTIFS($BC$2:$BC$200,$G477)&gt;0,
    COUNTIFS($BD$2:$BD$200,$G477)&gt;0,
    COUNTIFS($BE$2:$BE$200,$G477)&gt;0,
    COUNTIFS($BF$2:$BF$200,$G477)&gt;0,
    COUNTIFS($BG$2:$BG$200,$G477)&gt;0,
    COUNTIFS($BH$2:$BH$200,$G477)&gt;0,
    COUNTIFS($BI$2:$BI$200,$G477)&gt;0,
    COUNTIFS($BJ$2:$BJ$200,$G477)&gt;0,
    COUNTIFS($BK$2:$BK$200,$G477)&gt;0,
    COUNTIFS($BL$2:$BL$200,$G477)&gt;0,
    COUNTIFS($BM$2:$BM$200,$G477)&gt;0,
   ),
  0)
 ),
"")</f>
        <v>Sisay</v>
      </c>
      <c r="G477" t="str">
        <f ca="1"/>
        <v>The Peregrine Dynamo</v>
      </c>
      <c r="EX477" t="str">
        <f ca="1"/>
        <v>The Peregrine Dynamo</v>
      </c>
    </row>
    <row r="478" spans="1:154" x14ac:dyDescent="0.25">
      <c r="A478" s="2" t="str">
        <f t="shared" ca="1" si="20"/>
        <v>4</v>
      </c>
      <c r="B478" s="2">
        <f t="shared" ca="1" si="21"/>
        <v>1</v>
      </c>
      <c r="C478" s="2" t="str">
        <f ca="1">IFERROR(
 INDEX($V$1:$BL$1,
  MATCH(TRUE,
   CHOOSE({1;2;3;4;5;6;7;8;9;10;11;12;13;14;15;16;17;18;19;20;21;22;23;24;25;26;27;28;29;30;31;32;33;34;35;36;37;38;39;40;41;42;43},
    COUNTIFS($V$2:$V$200,$G478)&gt;0,
    COUNTIFS($W$2:$W$200,$G478)&gt;0,
    COUNTIFS($X$2:$X$200,$G478)&gt;0,
    COUNTIFS($Y$2:$Y$200,$G478)&gt;0,
    COUNTIFS($Z$2:$Z$200,$G478)&gt;0,
    COUNTIFS($AA$2:$AA$200,$G478)&gt;0,
    COUNTIFS($AB$2:$AB$200,$G478)&gt;0,
    COUNTIFS($AC$2:$AC$200,$G478)&gt;0,
    COUNTIFS($AD$2:$AD$200,$G478)&gt;0,
    COUNTIFS($AE$2:$AE$200,$G478)&gt;0,
    COUNTIFS($AF$2:$AF$200,$G478)&gt;0,
    COUNTIFS($AG$2:$AG$200,$G478)&gt;0,
    COUNTIFS($AH$2:$AH$200,$G478)&gt;0,
    COUNTIFS($AI$2:$AI$200,$G478)&gt;0,
    COUNTIFS($AJ$2:$AJ$200,$G478)&gt;0,
    COUNTIFS($AK$2:$AK$200,$G478)&gt;0,
    COUNTIFS($AL$2:$AL$200,$G478)&gt;0,
    COUNTIFS($AM$2:$AM$200,$G478)&gt;0,
    COUNTIFS($AN$2:$AN$200,$G478)&gt;0,
    COUNTIFS($AO$2:$AO$200,$G478)&gt;0,
    COUNTIFS($AP$2:$AP$200,$G478)&gt;0,
    COUNTIFS($AQ$2:$AQ$200,$G478)&gt;0,
    COUNTIFS($AR$2:$AR$200,$G478)&gt;0,
    COUNTIFS($AS$2:$AS$200,$G478)&gt;0,
    COUNTIFS($AT$2:$AT$200,$G478)&gt;0,
    COUNTIFS($AU$2:$AU$200,$G478)&gt;0,
    COUNTIFS($AV$2:$AV$200,$G478)&gt;0,
    COUNTIFS($AW$2:$AW$200,$G478)&gt;0,
    COUNTIFS($AX$2:$AX$200,$G478)&gt;0,
    COUNTIFS($AY$2:$AY$200,$G478)&gt;0,
    COUNTIFS($AZ$2:$AZ$200,$G478)&gt;0,
    COUNTIFS($BA$2:$BA$200,$G478)&gt;0,
    COUNTIFS($BB$2:$BB$200,$G478)&gt;0,
    COUNTIFS($BC$2:$BC$200,$G478)&gt;0,
    COUNTIFS($BD$2:$BD$200,$G478)&gt;0,
    COUNTIFS($BE$2:$BE$200,$G478)&gt;0,
    COUNTIFS($BF$2:$BF$200,$G478)&gt;0,
    COUNTIFS($BG$2:$BG$200,$G478)&gt;0,
    COUNTIFS($BH$2:$BH$200,$G478)&gt;0,
    COUNTIFS($BI$2:$BI$200,$G478)&gt;0,
    COUNTIFS($BJ$2:$BJ$200,$G478)&gt;0,
    COUNTIFS($BK$2:$BK$200,$G478)&gt;0,
    COUNTIFS($BL$2:$BL$200,$G478)&gt;0,
    COUNTIFS($BM$2:$BM$200,$G478)&gt;0,
   ),
  0)
 ),
"")</f>
        <v>Baylen</v>
      </c>
      <c r="G478" t="str">
        <f ca="1"/>
        <v>The Shire</v>
      </c>
      <c r="EX478" t="str">
        <f ca="1"/>
        <v>The Shire</v>
      </c>
    </row>
    <row r="479" spans="1:154" x14ac:dyDescent="0.25">
      <c r="A479" s="2" t="str">
        <f t="shared" ca="1" si="20"/>
        <v>2</v>
      </c>
      <c r="B479" s="2">
        <f t="shared" ca="1" si="21"/>
        <v>1</v>
      </c>
      <c r="C479" s="2" t="str">
        <f ca="1">IFERROR(
 INDEX($V$1:$BL$1,
  MATCH(TRUE,
   CHOOSE({1;2;3;4;5;6;7;8;9;10;11;12;13;14;15;16;17;18;19;20;21;22;23;24;25;26;27;28;29;30;31;32;33;34;35;36;37;38;39;40;41;42;43},
    COUNTIFS($V$2:$V$200,$G479)&gt;0,
    COUNTIFS($W$2:$W$200,$G479)&gt;0,
    COUNTIFS($X$2:$X$200,$G479)&gt;0,
    COUNTIFS($Y$2:$Y$200,$G479)&gt;0,
    COUNTIFS($Z$2:$Z$200,$G479)&gt;0,
    COUNTIFS($AA$2:$AA$200,$G479)&gt;0,
    COUNTIFS($AB$2:$AB$200,$G479)&gt;0,
    COUNTIFS($AC$2:$AC$200,$G479)&gt;0,
    COUNTIFS($AD$2:$AD$200,$G479)&gt;0,
    COUNTIFS($AE$2:$AE$200,$G479)&gt;0,
    COUNTIFS($AF$2:$AF$200,$G479)&gt;0,
    COUNTIFS($AG$2:$AG$200,$G479)&gt;0,
    COUNTIFS($AH$2:$AH$200,$G479)&gt;0,
    COUNTIFS($AI$2:$AI$200,$G479)&gt;0,
    COUNTIFS($AJ$2:$AJ$200,$G479)&gt;0,
    COUNTIFS($AK$2:$AK$200,$G479)&gt;0,
    COUNTIFS($AL$2:$AL$200,$G479)&gt;0,
    COUNTIFS($AM$2:$AM$200,$G479)&gt;0,
    COUNTIFS($AN$2:$AN$200,$G479)&gt;0,
    COUNTIFS($AO$2:$AO$200,$G479)&gt;0,
    COUNTIFS($AP$2:$AP$200,$G479)&gt;0,
    COUNTIFS($AQ$2:$AQ$200,$G479)&gt;0,
    COUNTIFS($AR$2:$AR$200,$G479)&gt;0,
    COUNTIFS($AS$2:$AS$200,$G479)&gt;0,
    COUNTIFS($AT$2:$AT$200,$G479)&gt;0,
    COUNTIFS($AU$2:$AU$200,$G479)&gt;0,
    COUNTIFS($AV$2:$AV$200,$G479)&gt;0,
    COUNTIFS($AW$2:$AW$200,$G479)&gt;0,
    COUNTIFS($AX$2:$AX$200,$G479)&gt;0,
    COUNTIFS($AY$2:$AY$200,$G479)&gt;0,
    COUNTIFS($AZ$2:$AZ$200,$G479)&gt;0,
    COUNTIFS($BA$2:$BA$200,$G479)&gt;0,
    COUNTIFS($BB$2:$BB$200,$G479)&gt;0,
    COUNTIFS($BC$2:$BC$200,$G479)&gt;0,
    COUNTIFS($BD$2:$BD$200,$G479)&gt;0,
    COUNTIFS($BE$2:$BE$200,$G479)&gt;0,
    COUNTIFS($BF$2:$BF$200,$G479)&gt;0,
    COUNTIFS($BG$2:$BG$200,$G479)&gt;0,
    COUNTIFS($BH$2:$BH$200,$G479)&gt;0,
    COUNTIFS($BI$2:$BI$200,$G479)&gt;0,
    COUNTIFS($BJ$2:$BJ$200,$G479)&gt;0,
    COUNTIFS($BK$2:$BK$200,$G479)&gt;0,
    COUNTIFS($BL$2:$BL$200,$G479)&gt;0,
    COUNTIFS($BM$2:$BM$200,$G479)&gt;0,
   ),
  0)
 ),
"")</f>
        <v>OWA</v>
      </c>
      <c r="G479" t="str">
        <f ca="1"/>
        <v>The Soul Stone</v>
      </c>
      <c r="EX479" t="str">
        <f ca="1"/>
        <v>The Soul Stone</v>
      </c>
    </row>
    <row r="480" spans="1:154" x14ac:dyDescent="0.25">
      <c r="A480" s="2" t="str">
        <f t="shared" ca="1" si="20"/>
        <v>3</v>
      </c>
      <c r="B480" s="2">
        <f t="shared" ca="1" si="21"/>
        <v>1</v>
      </c>
      <c r="C480" s="2" t="str">
        <f ca="1">IFERROR(
 INDEX($V$1:$BL$1,
  MATCH(TRUE,
   CHOOSE({1;2;3;4;5;6;7;8;9;10;11;12;13;14;15;16;17;18;19;20;21;22;23;24;25;26;27;28;29;30;31;32;33;34;35;36;37;38;39;40;41;42;43},
    COUNTIFS($V$2:$V$200,$G480)&gt;0,
    COUNTIFS($W$2:$W$200,$G480)&gt;0,
    COUNTIFS($X$2:$X$200,$G480)&gt;0,
    COUNTIFS($Y$2:$Y$200,$G480)&gt;0,
    COUNTIFS($Z$2:$Z$200,$G480)&gt;0,
    COUNTIFS($AA$2:$AA$200,$G480)&gt;0,
    COUNTIFS($AB$2:$AB$200,$G480)&gt;0,
    COUNTIFS($AC$2:$AC$200,$G480)&gt;0,
    COUNTIFS($AD$2:$AD$200,$G480)&gt;0,
    COUNTIFS($AE$2:$AE$200,$G480)&gt;0,
    COUNTIFS($AF$2:$AF$200,$G480)&gt;0,
    COUNTIFS($AG$2:$AG$200,$G480)&gt;0,
    COUNTIFS($AH$2:$AH$200,$G480)&gt;0,
    COUNTIFS($AI$2:$AI$200,$G480)&gt;0,
    COUNTIFS($AJ$2:$AJ$200,$G480)&gt;0,
    COUNTIFS($AK$2:$AK$200,$G480)&gt;0,
    COUNTIFS($AL$2:$AL$200,$G480)&gt;0,
    COUNTIFS($AM$2:$AM$200,$G480)&gt;0,
    COUNTIFS($AN$2:$AN$200,$G480)&gt;0,
    COUNTIFS($AO$2:$AO$200,$G480)&gt;0,
    COUNTIFS($AP$2:$AP$200,$G480)&gt;0,
    COUNTIFS($AQ$2:$AQ$200,$G480)&gt;0,
    COUNTIFS($AR$2:$AR$200,$G480)&gt;0,
    COUNTIFS($AS$2:$AS$200,$G480)&gt;0,
    COUNTIFS($AT$2:$AT$200,$G480)&gt;0,
    COUNTIFS($AU$2:$AU$200,$G480)&gt;0,
    COUNTIFS($AV$2:$AV$200,$G480)&gt;0,
    COUNTIFS($AW$2:$AW$200,$G480)&gt;0,
    COUNTIFS($AX$2:$AX$200,$G480)&gt;0,
    COUNTIFS($AY$2:$AY$200,$G480)&gt;0,
    COUNTIFS($AZ$2:$AZ$200,$G480)&gt;0,
    COUNTIFS($BA$2:$BA$200,$G480)&gt;0,
    COUNTIFS($BB$2:$BB$200,$G480)&gt;0,
    COUNTIFS($BC$2:$BC$200,$G480)&gt;0,
    COUNTIFS($BD$2:$BD$200,$G480)&gt;0,
    COUNTIFS($BE$2:$BE$200,$G480)&gt;0,
    COUNTIFS($BF$2:$BF$200,$G480)&gt;0,
    COUNTIFS($BG$2:$BG$200,$G480)&gt;0,
    COUNTIFS($BH$2:$BH$200,$G480)&gt;0,
    COUNTIFS($BI$2:$BI$200,$G480)&gt;0,
    COUNTIFS($BJ$2:$BJ$200,$G480)&gt;0,
    COUNTIFS($BK$2:$BK$200,$G480)&gt;0,
    COUNTIFS($BL$2:$BL$200,$G480)&gt;0,
    COUNTIFS($BM$2:$BM$200,$G480)&gt;0,
   ),
  0)
 ),
"")</f>
        <v>JhoiraB</v>
      </c>
      <c r="G480" t="str">
        <f ca="1"/>
        <v>The Tenth Doctor</v>
      </c>
      <c r="EX480" t="str">
        <f ca="1"/>
        <v>The Tenth Doctor</v>
      </c>
    </row>
    <row r="481" spans="1:154" x14ac:dyDescent="0.25">
      <c r="A481" s="2" t="str">
        <f t="shared" ca="1" si="20"/>
        <v>4</v>
      </c>
      <c r="B481" s="2">
        <f t="shared" ca="1" si="21"/>
        <v>1</v>
      </c>
      <c r="C481" s="2" t="str">
        <f ca="1">IFERROR(
 INDEX($V$1:$BL$1,
  MATCH(TRUE,
   CHOOSE({1;2;3;4;5;6;7;8;9;10;11;12;13;14;15;16;17;18;19;20;21;22;23;24;25;26;27;28;29;30;31;32;33;34;35;36;37;38;39;40;41;42;43},
    COUNTIFS($V$2:$V$200,$G481)&gt;0,
    COUNTIFS($W$2:$W$200,$G481)&gt;0,
    COUNTIFS($X$2:$X$200,$G481)&gt;0,
    COUNTIFS($Y$2:$Y$200,$G481)&gt;0,
    COUNTIFS($Z$2:$Z$200,$G481)&gt;0,
    COUNTIFS($AA$2:$AA$200,$G481)&gt;0,
    COUNTIFS($AB$2:$AB$200,$G481)&gt;0,
    COUNTIFS($AC$2:$AC$200,$G481)&gt;0,
    COUNTIFS($AD$2:$AD$200,$G481)&gt;0,
    COUNTIFS($AE$2:$AE$200,$G481)&gt;0,
    COUNTIFS($AF$2:$AF$200,$G481)&gt;0,
    COUNTIFS($AG$2:$AG$200,$G481)&gt;0,
    COUNTIFS($AH$2:$AH$200,$G481)&gt;0,
    COUNTIFS($AI$2:$AI$200,$G481)&gt;0,
    COUNTIFS($AJ$2:$AJ$200,$G481)&gt;0,
    COUNTIFS($AK$2:$AK$200,$G481)&gt;0,
    COUNTIFS($AL$2:$AL$200,$G481)&gt;0,
    COUNTIFS($AM$2:$AM$200,$G481)&gt;0,
    COUNTIFS($AN$2:$AN$200,$G481)&gt;0,
    COUNTIFS($AO$2:$AO$200,$G481)&gt;0,
    COUNTIFS($AP$2:$AP$200,$G481)&gt;0,
    COUNTIFS($AQ$2:$AQ$200,$G481)&gt;0,
    COUNTIFS($AR$2:$AR$200,$G481)&gt;0,
    COUNTIFS($AS$2:$AS$200,$G481)&gt;0,
    COUNTIFS($AT$2:$AT$200,$G481)&gt;0,
    COUNTIFS($AU$2:$AU$200,$G481)&gt;0,
    COUNTIFS($AV$2:$AV$200,$G481)&gt;0,
    COUNTIFS($AW$2:$AW$200,$G481)&gt;0,
    COUNTIFS($AX$2:$AX$200,$G481)&gt;0,
    COUNTIFS($AY$2:$AY$200,$G481)&gt;0,
    COUNTIFS($AZ$2:$AZ$200,$G481)&gt;0,
    COUNTIFS($BA$2:$BA$200,$G481)&gt;0,
    COUNTIFS($BB$2:$BB$200,$G481)&gt;0,
    COUNTIFS($BC$2:$BC$200,$G481)&gt;0,
    COUNTIFS($BD$2:$BD$200,$G481)&gt;0,
    COUNTIFS($BE$2:$BE$200,$G481)&gt;0,
    COUNTIFS($BF$2:$BF$200,$G481)&gt;0,
    COUNTIFS($BG$2:$BG$200,$G481)&gt;0,
    COUNTIFS($BH$2:$BH$200,$G481)&gt;0,
    COUNTIFS($BI$2:$BI$200,$G481)&gt;0,
    COUNTIFS($BJ$2:$BJ$200,$G481)&gt;0,
    COUNTIFS($BK$2:$BK$200,$G481)&gt;0,
    COUNTIFS($BL$2:$BL$200,$G481)&gt;0,
    COUNTIFS($BM$2:$BM$200,$G481)&gt;0,
   ),
  0)
 ),
"")</f>
        <v>Narset</v>
      </c>
      <c r="G481" t="str">
        <f ca="1"/>
        <v>The Water Crystal</v>
      </c>
      <c r="EX481" t="str">
        <f ca="1"/>
        <v>The Water Crystal</v>
      </c>
    </row>
    <row r="482" spans="1:154" x14ac:dyDescent="0.25">
      <c r="A482" s="2" t="str">
        <f t="shared" ca="1" si="20"/>
        <v>4</v>
      </c>
      <c r="B482" s="2">
        <f t="shared" ca="1" si="21"/>
        <v>1</v>
      </c>
      <c r="C482" s="2" t="str">
        <f ca="1">IFERROR(
 INDEX($V$1:$BL$1,
  MATCH(TRUE,
   CHOOSE({1;2;3;4;5;6;7;8;9;10;11;12;13;14;15;16;17;18;19;20;21;22;23;24;25;26;27;28;29;30;31;32;33;34;35;36;37;38;39;40;41;42;43},
    COUNTIFS($V$2:$V$200,$G482)&gt;0,
    COUNTIFS($W$2:$W$200,$G482)&gt;0,
    COUNTIFS($X$2:$X$200,$G482)&gt;0,
    COUNTIFS($Y$2:$Y$200,$G482)&gt;0,
    COUNTIFS($Z$2:$Z$200,$G482)&gt;0,
    COUNTIFS($AA$2:$AA$200,$G482)&gt;0,
    COUNTIFS($AB$2:$AB$200,$G482)&gt;0,
    COUNTIFS($AC$2:$AC$200,$G482)&gt;0,
    COUNTIFS($AD$2:$AD$200,$G482)&gt;0,
    COUNTIFS($AE$2:$AE$200,$G482)&gt;0,
    COUNTIFS($AF$2:$AF$200,$G482)&gt;0,
    COUNTIFS($AG$2:$AG$200,$G482)&gt;0,
    COUNTIFS($AH$2:$AH$200,$G482)&gt;0,
    COUNTIFS($AI$2:$AI$200,$G482)&gt;0,
    COUNTIFS($AJ$2:$AJ$200,$G482)&gt;0,
    COUNTIFS($AK$2:$AK$200,$G482)&gt;0,
    COUNTIFS($AL$2:$AL$200,$G482)&gt;0,
    COUNTIFS($AM$2:$AM$200,$G482)&gt;0,
    COUNTIFS($AN$2:$AN$200,$G482)&gt;0,
    COUNTIFS($AO$2:$AO$200,$G482)&gt;0,
    COUNTIFS($AP$2:$AP$200,$G482)&gt;0,
    COUNTIFS($AQ$2:$AQ$200,$G482)&gt;0,
    COUNTIFS($AR$2:$AR$200,$G482)&gt;0,
    COUNTIFS($AS$2:$AS$200,$G482)&gt;0,
    COUNTIFS($AT$2:$AT$200,$G482)&gt;0,
    COUNTIFS($AU$2:$AU$200,$G482)&gt;0,
    COUNTIFS($AV$2:$AV$200,$G482)&gt;0,
    COUNTIFS($AW$2:$AW$200,$G482)&gt;0,
    COUNTIFS($AX$2:$AX$200,$G482)&gt;0,
    COUNTIFS($AY$2:$AY$200,$G482)&gt;0,
    COUNTIFS($AZ$2:$AZ$200,$G482)&gt;0,
    COUNTIFS($BA$2:$BA$200,$G482)&gt;0,
    COUNTIFS($BB$2:$BB$200,$G482)&gt;0,
    COUNTIFS($BC$2:$BC$200,$G482)&gt;0,
    COUNTIFS($BD$2:$BD$200,$G482)&gt;0,
    COUNTIFS($BE$2:$BE$200,$G482)&gt;0,
    COUNTIFS($BF$2:$BF$200,$G482)&gt;0,
    COUNTIFS($BG$2:$BG$200,$G482)&gt;0,
    COUNTIFS($BH$2:$BH$200,$G482)&gt;0,
    COUNTIFS($BI$2:$BI$200,$G482)&gt;0,
    COUNTIFS($BJ$2:$BJ$200,$G482)&gt;0,
    COUNTIFS($BK$2:$BK$200,$G482)&gt;0,
    COUNTIFS($BL$2:$BL$200,$G482)&gt;0,
    COUNTIFS($BM$2:$BM$200,$G482)&gt;0,
   ),
  0)
 ),
"")</f>
        <v>Modular</v>
      </c>
      <c r="G482" t="str">
        <f ca="1"/>
        <v>Thopter Shop</v>
      </c>
      <c r="EX482" t="str">
        <f ca="1"/>
        <v>Thopter Shop</v>
      </c>
    </row>
    <row r="483" spans="1:154" x14ac:dyDescent="0.25">
      <c r="A483" s="2" t="str">
        <f t="shared" ca="1" si="20"/>
        <v>5</v>
      </c>
      <c r="B483" s="2">
        <f t="shared" ca="1" si="21"/>
        <v>1</v>
      </c>
      <c r="C483" s="2" t="str">
        <f ca="1">IFERROR(
 INDEX($V$1:$BL$1,
  MATCH(TRUE,
   CHOOSE({1;2;3;4;5;6;7;8;9;10;11;12;13;14;15;16;17;18;19;20;21;22;23;24;25;26;27;28;29;30;31;32;33;34;35;36;37;38;39;40;41;42;43},
    COUNTIFS($V$2:$V$200,$G483)&gt;0,
    COUNTIFS($W$2:$W$200,$G483)&gt;0,
    COUNTIFS($X$2:$X$200,$G483)&gt;0,
    COUNTIFS($Y$2:$Y$200,$G483)&gt;0,
    COUNTIFS($Z$2:$Z$200,$G483)&gt;0,
    COUNTIFS($AA$2:$AA$200,$G483)&gt;0,
    COUNTIFS($AB$2:$AB$200,$G483)&gt;0,
    COUNTIFS($AC$2:$AC$200,$G483)&gt;0,
    COUNTIFS($AD$2:$AD$200,$G483)&gt;0,
    COUNTIFS($AE$2:$AE$200,$G483)&gt;0,
    COUNTIFS($AF$2:$AF$200,$G483)&gt;0,
    COUNTIFS($AG$2:$AG$200,$G483)&gt;0,
    COUNTIFS($AH$2:$AH$200,$G483)&gt;0,
    COUNTIFS($AI$2:$AI$200,$G483)&gt;0,
    COUNTIFS($AJ$2:$AJ$200,$G483)&gt;0,
    COUNTIFS($AK$2:$AK$200,$G483)&gt;0,
    COUNTIFS($AL$2:$AL$200,$G483)&gt;0,
    COUNTIFS($AM$2:$AM$200,$G483)&gt;0,
    COUNTIFS($AN$2:$AN$200,$G483)&gt;0,
    COUNTIFS($AO$2:$AO$200,$G483)&gt;0,
    COUNTIFS($AP$2:$AP$200,$G483)&gt;0,
    COUNTIFS($AQ$2:$AQ$200,$G483)&gt;0,
    COUNTIFS($AR$2:$AR$200,$G483)&gt;0,
    COUNTIFS($AS$2:$AS$200,$G483)&gt;0,
    COUNTIFS($AT$2:$AT$200,$G483)&gt;0,
    COUNTIFS($AU$2:$AU$200,$G483)&gt;0,
    COUNTIFS($AV$2:$AV$200,$G483)&gt;0,
    COUNTIFS($AW$2:$AW$200,$G483)&gt;0,
    COUNTIFS($AX$2:$AX$200,$G483)&gt;0,
    COUNTIFS($AY$2:$AY$200,$G483)&gt;0,
    COUNTIFS($AZ$2:$AZ$200,$G483)&gt;0,
    COUNTIFS($BA$2:$BA$200,$G483)&gt;0,
    COUNTIFS($BB$2:$BB$200,$G483)&gt;0,
    COUNTIFS($BC$2:$BC$200,$G483)&gt;0,
    COUNTIFS($BD$2:$BD$200,$G483)&gt;0,
    COUNTIFS($BE$2:$BE$200,$G483)&gt;0,
    COUNTIFS($BF$2:$BF$200,$G483)&gt;0,
    COUNTIFS($BG$2:$BG$200,$G483)&gt;0,
    COUNTIFS($BH$2:$BH$200,$G483)&gt;0,
    COUNTIFS($BI$2:$BI$200,$G483)&gt;0,
    COUNTIFS($BJ$2:$BJ$200,$G483)&gt;0,
    COUNTIFS($BK$2:$BK$200,$G483)&gt;0,
    COUNTIFS($BL$2:$BL$200,$G483)&gt;0,
    COUNTIFS($BM$2:$BM$200,$G483)&gt;0,
   ),
  0)
 ),
"")</f>
        <v>Fractius</v>
      </c>
      <c r="G483" t="str">
        <f ca="1"/>
        <v>Thorncaster Sliver</v>
      </c>
      <c r="EX483" t="str">
        <f ca="1"/>
        <v>Thorncaster Sliver</v>
      </c>
    </row>
    <row r="484" spans="1:154" x14ac:dyDescent="0.25">
      <c r="A484" s="2" t="str">
        <f t="shared" ca="1" si="20"/>
        <v>5</v>
      </c>
      <c r="B484" s="2">
        <f t="shared" ca="1" si="21"/>
        <v>1</v>
      </c>
      <c r="C484" s="2" t="str">
        <f ca="1">IFERROR(
 INDEX($V$1:$BL$1,
  MATCH(TRUE,
   CHOOSE({1;2;3;4;5;6;7;8;9;10;11;12;13;14;15;16;17;18;19;20;21;22;23;24;25;26;27;28;29;30;31;32;33;34;35;36;37;38;39;40;41;42;43},
    COUNTIFS($V$2:$V$200,$G484)&gt;0,
    COUNTIFS($W$2:$W$200,$G484)&gt;0,
    COUNTIFS($X$2:$X$200,$G484)&gt;0,
    COUNTIFS($Y$2:$Y$200,$G484)&gt;0,
    COUNTIFS($Z$2:$Z$200,$G484)&gt;0,
    COUNTIFS($AA$2:$AA$200,$G484)&gt;0,
    COUNTIFS($AB$2:$AB$200,$G484)&gt;0,
    COUNTIFS($AC$2:$AC$200,$G484)&gt;0,
    COUNTIFS($AD$2:$AD$200,$G484)&gt;0,
    COUNTIFS($AE$2:$AE$200,$G484)&gt;0,
    COUNTIFS($AF$2:$AF$200,$G484)&gt;0,
    COUNTIFS($AG$2:$AG$200,$G484)&gt;0,
    COUNTIFS($AH$2:$AH$200,$G484)&gt;0,
    COUNTIFS($AI$2:$AI$200,$G484)&gt;0,
    COUNTIFS($AJ$2:$AJ$200,$G484)&gt;0,
    COUNTIFS($AK$2:$AK$200,$G484)&gt;0,
    COUNTIFS($AL$2:$AL$200,$G484)&gt;0,
    COUNTIFS($AM$2:$AM$200,$G484)&gt;0,
    COUNTIFS($AN$2:$AN$200,$G484)&gt;0,
    COUNTIFS($AO$2:$AO$200,$G484)&gt;0,
    COUNTIFS($AP$2:$AP$200,$G484)&gt;0,
    COUNTIFS($AQ$2:$AQ$200,$G484)&gt;0,
    COUNTIFS($AR$2:$AR$200,$G484)&gt;0,
    COUNTIFS($AS$2:$AS$200,$G484)&gt;0,
    COUNTIFS($AT$2:$AT$200,$G484)&gt;0,
    COUNTIFS($AU$2:$AU$200,$G484)&gt;0,
    COUNTIFS($AV$2:$AV$200,$G484)&gt;0,
    COUNTIFS($AW$2:$AW$200,$G484)&gt;0,
    COUNTIFS($AX$2:$AX$200,$G484)&gt;0,
    COUNTIFS($AY$2:$AY$200,$G484)&gt;0,
    COUNTIFS($AZ$2:$AZ$200,$G484)&gt;0,
    COUNTIFS($BA$2:$BA$200,$G484)&gt;0,
    COUNTIFS($BB$2:$BB$200,$G484)&gt;0,
    COUNTIFS($BC$2:$BC$200,$G484)&gt;0,
    COUNTIFS($BD$2:$BD$200,$G484)&gt;0,
    COUNTIFS($BE$2:$BE$200,$G484)&gt;0,
    COUNTIFS($BF$2:$BF$200,$G484)&gt;0,
    COUNTIFS($BG$2:$BG$200,$G484)&gt;0,
    COUNTIFS($BH$2:$BH$200,$G484)&gt;0,
    COUNTIFS($BI$2:$BI$200,$G484)&gt;0,
    COUNTIFS($BJ$2:$BJ$200,$G484)&gt;0,
    COUNTIFS($BK$2:$BK$200,$G484)&gt;0,
    COUNTIFS($BL$2:$BL$200,$G484)&gt;0,
    COUNTIFS($BM$2:$BM$200,$G484)&gt;0,
   ),
  0)
 ),
"")</f>
        <v>Yorion</v>
      </c>
      <c r="G484" t="str">
        <f ca="1"/>
        <v>Thought Vessel</v>
      </c>
      <c r="EX484" t="str">
        <f ca="1"/>
        <v>Thought Vessel</v>
      </c>
    </row>
    <row r="485" spans="1:154" x14ac:dyDescent="0.25">
      <c r="A485" s="2" t="str">
        <f t="shared" ca="1" si="20"/>
        <v>2</v>
      </c>
      <c r="B485" s="2">
        <f t="shared" ca="1" si="21"/>
        <v>1</v>
      </c>
      <c r="C485" s="2" t="str">
        <f ca="1">IFERROR(
 INDEX($V$1:$BL$1,
  MATCH(TRUE,
   CHOOSE({1;2;3;4;5;6;7;8;9;10;11;12;13;14;15;16;17;18;19;20;21;22;23;24;25;26;27;28;29;30;31;32;33;34;35;36;37;38;39;40;41;42;43},
    COUNTIFS($V$2:$V$200,$G485)&gt;0,
    COUNTIFS($W$2:$W$200,$G485)&gt;0,
    COUNTIFS($X$2:$X$200,$G485)&gt;0,
    COUNTIFS($Y$2:$Y$200,$G485)&gt;0,
    COUNTIFS($Z$2:$Z$200,$G485)&gt;0,
    COUNTIFS($AA$2:$AA$200,$G485)&gt;0,
    COUNTIFS($AB$2:$AB$200,$G485)&gt;0,
    COUNTIFS($AC$2:$AC$200,$G485)&gt;0,
    COUNTIFS($AD$2:$AD$200,$G485)&gt;0,
    COUNTIFS($AE$2:$AE$200,$G485)&gt;0,
    COUNTIFS($AF$2:$AF$200,$G485)&gt;0,
    COUNTIFS($AG$2:$AG$200,$G485)&gt;0,
    COUNTIFS($AH$2:$AH$200,$G485)&gt;0,
    COUNTIFS($AI$2:$AI$200,$G485)&gt;0,
    COUNTIFS($AJ$2:$AJ$200,$G485)&gt;0,
    COUNTIFS($AK$2:$AK$200,$G485)&gt;0,
    COUNTIFS($AL$2:$AL$200,$G485)&gt;0,
    COUNTIFS($AM$2:$AM$200,$G485)&gt;0,
    COUNTIFS($AN$2:$AN$200,$G485)&gt;0,
    COUNTIFS($AO$2:$AO$200,$G485)&gt;0,
    COUNTIFS($AP$2:$AP$200,$G485)&gt;0,
    COUNTIFS($AQ$2:$AQ$200,$G485)&gt;0,
    COUNTIFS($AR$2:$AR$200,$G485)&gt;0,
    COUNTIFS($AS$2:$AS$200,$G485)&gt;0,
    COUNTIFS($AT$2:$AT$200,$G485)&gt;0,
    COUNTIFS($AU$2:$AU$200,$G485)&gt;0,
    COUNTIFS($AV$2:$AV$200,$G485)&gt;0,
    COUNTIFS($AW$2:$AW$200,$G485)&gt;0,
    COUNTIFS($AX$2:$AX$200,$G485)&gt;0,
    COUNTIFS($AY$2:$AY$200,$G485)&gt;0,
    COUNTIFS($AZ$2:$AZ$200,$G485)&gt;0,
    COUNTIFS($BA$2:$BA$200,$G485)&gt;0,
    COUNTIFS($BB$2:$BB$200,$G485)&gt;0,
    COUNTIFS($BC$2:$BC$200,$G485)&gt;0,
    COUNTIFS($BD$2:$BD$200,$G485)&gt;0,
    COUNTIFS($BE$2:$BE$200,$G485)&gt;0,
    COUNTIFS($BF$2:$BF$200,$G485)&gt;0,
    COUNTIFS($BG$2:$BG$200,$G485)&gt;0,
    COUNTIFS($BH$2:$BH$200,$G485)&gt;0,
    COUNTIFS($BI$2:$BI$200,$G485)&gt;0,
    COUNTIFS($BJ$2:$BJ$200,$G485)&gt;0,
    COUNTIFS($BK$2:$BK$200,$G485)&gt;0,
    COUNTIFS($BL$2:$BL$200,$G485)&gt;0,
    COUNTIFS($BM$2:$BM$200,$G485)&gt;0,
   ),
  0)
 ),
"")</f>
        <v>Zimone</v>
      </c>
      <c r="G485" t="str">
        <f ca="1"/>
        <v>Thousand-Year Elixir</v>
      </c>
      <c r="EX485" t="str">
        <f ca="1"/>
        <v>Thousand-Year Elixir</v>
      </c>
    </row>
    <row r="486" spans="1:154" x14ac:dyDescent="0.25">
      <c r="A486" s="2" t="str">
        <f t="shared" ca="1" si="20"/>
        <v>3</v>
      </c>
      <c r="B486" s="2">
        <f t="shared" ca="1" si="21"/>
        <v>1</v>
      </c>
      <c r="C486" s="2" t="str">
        <f ca="1">IFERROR(
 INDEX($V$1:$BL$1,
  MATCH(TRUE,
   CHOOSE({1;2;3;4;5;6;7;8;9;10;11;12;13;14;15;16;17;18;19;20;21;22;23;24;25;26;27;28;29;30;31;32;33;34;35;36;37;38;39;40;41;42;43},
    COUNTIFS($V$2:$V$200,$G486)&gt;0,
    COUNTIFS($W$2:$W$200,$G486)&gt;0,
    COUNTIFS($X$2:$X$200,$G486)&gt;0,
    COUNTIFS($Y$2:$Y$200,$G486)&gt;0,
    COUNTIFS($Z$2:$Z$200,$G486)&gt;0,
    COUNTIFS($AA$2:$AA$200,$G486)&gt;0,
    COUNTIFS($AB$2:$AB$200,$G486)&gt;0,
    COUNTIFS($AC$2:$AC$200,$G486)&gt;0,
    COUNTIFS($AD$2:$AD$200,$G486)&gt;0,
    COUNTIFS($AE$2:$AE$200,$G486)&gt;0,
    COUNTIFS($AF$2:$AF$200,$G486)&gt;0,
    COUNTIFS($AG$2:$AG$200,$G486)&gt;0,
    COUNTIFS($AH$2:$AH$200,$G486)&gt;0,
    COUNTIFS($AI$2:$AI$200,$G486)&gt;0,
    COUNTIFS($AJ$2:$AJ$200,$G486)&gt;0,
    COUNTIFS($AK$2:$AK$200,$G486)&gt;0,
    COUNTIFS($AL$2:$AL$200,$G486)&gt;0,
    COUNTIFS($AM$2:$AM$200,$G486)&gt;0,
    COUNTIFS($AN$2:$AN$200,$G486)&gt;0,
    COUNTIFS($AO$2:$AO$200,$G486)&gt;0,
    COUNTIFS($AP$2:$AP$200,$G486)&gt;0,
    COUNTIFS($AQ$2:$AQ$200,$G486)&gt;0,
    COUNTIFS($AR$2:$AR$200,$G486)&gt;0,
    COUNTIFS($AS$2:$AS$200,$G486)&gt;0,
    COUNTIFS($AT$2:$AT$200,$G486)&gt;0,
    COUNTIFS($AU$2:$AU$200,$G486)&gt;0,
    COUNTIFS($AV$2:$AV$200,$G486)&gt;0,
    COUNTIFS($AW$2:$AW$200,$G486)&gt;0,
    COUNTIFS($AX$2:$AX$200,$G486)&gt;0,
    COUNTIFS($AY$2:$AY$200,$G486)&gt;0,
    COUNTIFS($AZ$2:$AZ$200,$G486)&gt;0,
    COUNTIFS($BA$2:$BA$200,$G486)&gt;0,
    COUNTIFS($BB$2:$BB$200,$G486)&gt;0,
    COUNTIFS($BC$2:$BC$200,$G486)&gt;0,
    COUNTIFS($BD$2:$BD$200,$G486)&gt;0,
    COUNTIFS($BE$2:$BE$200,$G486)&gt;0,
    COUNTIFS($BF$2:$BF$200,$G486)&gt;0,
    COUNTIFS($BG$2:$BG$200,$G486)&gt;0,
    COUNTIFS($BH$2:$BH$200,$G486)&gt;0,
    COUNTIFS($BI$2:$BI$200,$G486)&gt;0,
    COUNTIFS($BJ$2:$BJ$200,$G486)&gt;0,
    COUNTIFS($BK$2:$BK$200,$G486)&gt;0,
    COUNTIFS($BL$2:$BL$200,$G486)&gt;0,
    COUNTIFS($BM$2:$BM$200,$G486)&gt;0,
   ),
  0)
 ),
"")</f>
        <v>JhoiraB</v>
      </c>
      <c r="G486" t="str">
        <f ca="1"/>
        <v>Thran Dynamo</v>
      </c>
      <c r="EX486" t="str">
        <f ca="1"/>
        <v>Thran Dynamo</v>
      </c>
    </row>
    <row r="487" spans="1:154" x14ac:dyDescent="0.25">
      <c r="A487" s="2" t="str">
        <f t="shared" ca="1" si="20"/>
        <v>1</v>
      </c>
      <c r="B487" s="2">
        <f t="shared" ca="1" si="21"/>
        <v>1</v>
      </c>
      <c r="C487" s="2" t="str">
        <f ca="1">IFERROR(
 INDEX($V$1:$BL$1,
  MATCH(TRUE,
   CHOOSE({1;2;3;4;5;6;7;8;9;10;11;12;13;14;15;16;17;18;19;20;21;22;23;24;25;26;27;28;29;30;31;32;33;34;35;36;37;38;39;40;41;42;43},
    COUNTIFS($V$2:$V$200,$G487)&gt;0,
    COUNTIFS($W$2:$W$200,$G487)&gt;0,
    COUNTIFS($X$2:$X$200,$G487)&gt;0,
    COUNTIFS($Y$2:$Y$200,$G487)&gt;0,
    COUNTIFS($Z$2:$Z$200,$G487)&gt;0,
    COUNTIFS($AA$2:$AA$200,$G487)&gt;0,
    COUNTIFS($AB$2:$AB$200,$G487)&gt;0,
    COUNTIFS($AC$2:$AC$200,$G487)&gt;0,
    COUNTIFS($AD$2:$AD$200,$G487)&gt;0,
    COUNTIFS($AE$2:$AE$200,$G487)&gt;0,
    COUNTIFS($AF$2:$AF$200,$G487)&gt;0,
    COUNTIFS($AG$2:$AG$200,$G487)&gt;0,
    COUNTIFS($AH$2:$AH$200,$G487)&gt;0,
    COUNTIFS($AI$2:$AI$200,$G487)&gt;0,
    COUNTIFS($AJ$2:$AJ$200,$G487)&gt;0,
    COUNTIFS($AK$2:$AK$200,$G487)&gt;0,
    COUNTIFS($AL$2:$AL$200,$G487)&gt;0,
    COUNTIFS($AM$2:$AM$200,$G487)&gt;0,
    COUNTIFS($AN$2:$AN$200,$G487)&gt;0,
    COUNTIFS($AO$2:$AO$200,$G487)&gt;0,
    COUNTIFS($AP$2:$AP$200,$G487)&gt;0,
    COUNTIFS($AQ$2:$AQ$200,$G487)&gt;0,
    COUNTIFS($AR$2:$AR$200,$G487)&gt;0,
    COUNTIFS($AS$2:$AS$200,$G487)&gt;0,
    COUNTIFS($AT$2:$AT$200,$G487)&gt;0,
    COUNTIFS($AU$2:$AU$200,$G487)&gt;0,
    COUNTIFS($AV$2:$AV$200,$G487)&gt;0,
    COUNTIFS($AW$2:$AW$200,$G487)&gt;0,
    COUNTIFS($AX$2:$AX$200,$G487)&gt;0,
    COUNTIFS($AY$2:$AY$200,$G487)&gt;0,
    COUNTIFS($AZ$2:$AZ$200,$G487)&gt;0,
    COUNTIFS($BA$2:$BA$200,$G487)&gt;0,
    COUNTIFS($BB$2:$BB$200,$G487)&gt;0,
    COUNTIFS($BC$2:$BC$200,$G487)&gt;0,
    COUNTIFS($BD$2:$BD$200,$G487)&gt;0,
    COUNTIFS($BE$2:$BE$200,$G487)&gt;0,
    COUNTIFS($BF$2:$BF$200,$G487)&gt;0,
    COUNTIFS($BG$2:$BG$200,$G487)&gt;0,
    COUNTIFS($BH$2:$BH$200,$G487)&gt;0,
    COUNTIFS($BI$2:$BI$200,$G487)&gt;0,
    COUNTIFS($BJ$2:$BJ$200,$G487)&gt;0,
    COUNTIFS($BK$2:$BK$200,$G487)&gt;0,
    COUNTIFS($BL$2:$BL$200,$G487)&gt;0,
    COUNTIFS($BM$2:$BM$200,$G487)&gt;0,
   ),
  0)
 ),
"")</f>
        <v>Oona</v>
      </c>
      <c r="G487" t="str">
        <f ca="1"/>
        <v>Three Steps Ahead</v>
      </c>
      <c r="EX487" t="str">
        <f ca="1"/>
        <v>Three Steps Ahead</v>
      </c>
    </row>
    <row r="488" spans="1:154" x14ac:dyDescent="0.25">
      <c r="A488" s="2" t="str">
        <f t="shared" ca="1" si="20"/>
        <v>2</v>
      </c>
      <c r="B488" s="2">
        <f t="shared" ca="1" si="21"/>
        <v>1</v>
      </c>
      <c r="C488" s="2" t="str">
        <f ca="1">IFERROR(
 INDEX($V$1:$BL$1,
  MATCH(TRUE,
   CHOOSE({1;2;3;4;5;6;7;8;9;10;11;12;13;14;15;16;17;18;19;20;21;22;23;24;25;26;27;28;29;30;31;32;33;34;35;36;37;38;39;40;41;42;43},
    COUNTIFS($V$2:$V$200,$G488)&gt;0,
    COUNTIFS($W$2:$W$200,$G488)&gt;0,
    COUNTIFS($X$2:$X$200,$G488)&gt;0,
    COUNTIFS($Y$2:$Y$200,$G488)&gt;0,
    COUNTIFS($Z$2:$Z$200,$G488)&gt;0,
    COUNTIFS($AA$2:$AA$200,$G488)&gt;0,
    COUNTIFS($AB$2:$AB$200,$G488)&gt;0,
    COUNTIFS($AC$2:$AC$200,$G488)&gt;0,
    COUNTIFS($AD$2:$AD$200,$G488)&gt;0,
    COUNTIFS($AE$2:$AE$200,$G488)&gt;0,
    COUNTIFS($AF$2:$AF$200,$G488)&gt;0,
    COUNTIFS($AG$2:$AG$200,$G488)&gt;0,
    COUNTIFS($AH$2:$AH$200,$G488)&gt;0,
    COUNTIFS($AI$2:$AI$200,$G488)&gt;0,
    COUNTIFS($AJ$2:$AJ$200,$G488)&gt;0,
    COUNTIFS($AK$2:$AK$200,$G488)&gt;0,
    COUNTIFS($AL$2:$AL$200,$G488)&gt;0,
    COUNTIFS($AM$2:$AM$200,$G488)&gt;0,
    COUNTIFS($AN$2:$AN$200,$G488)&gt;0,
    COUNTIFS($AO$2:$AO$200,$G488)&gt;0,
    COUNTIFS($AP$2:$AP$200,$G488)&gt;0,
    COUNTIFS($AQ$2:$AQ$200,$G488)&gt;0,
    COUNTIFS($AR$2:$AR$200,$G488)&gt;0,
    COUNTIFS($AS$2:$AS$200,$G488)&gt;0,
    COUNTIFS($AT$2:$AT$200,$G488)&gt;0,
    COUNTIFS($AU$2:$AU$200,$G488)&gt;0,
    COUNTIFS($AV$2:$AV$200,$G488)&gt;0,
    COUNTIFS($AW$2:$AW$200,$G488)&gt;0,
    COUNTIFS($AX$2:$AX$200,$G488)&gt;0,
    COUNTIFS($AY$2:$AY$200,$G488)&gt;0,
    COUNTIFS($AZ$2:$AZ$200,$G488)&gt;0,
    COUNTIFS($BA$2:$BA$200,$G488)&gt;0,
    COUNTIFS($BB$2:$BB$200,$G488)&gt;0,
    COUNTIFS($BC$2:$BC$200,$G488)&gt;0,
    COUNTIFS($BD$2:$BD$200,$G488)&gt;0,
    COUNTIFS($BE$2:$BE$200,$G488)&gt;0,
    COUNTIFS($BF$2:$BF$200,$G488)&gt;0,
    COUNTIFS($BG$2:$BG$200,$G488)&gt;0,
    COUNTIFS($BH$2:$BH$200,$G488)&gt;0,
    COUNTIFS($BI$2:$BI$200,$G488)&gt;0,
    COUNTIFS($BJ$2:$BJ$200,$G488)&gt;0,
    COUNTIFS($BK$2:$BK$200,$G488)&gt;0,
    COUNTIFS($BL$2:$BL$200,$G488)&gt;0,
    COUNTIFS($BM$2:$BM$200,$G488)&gt;0,
   ),
  0)
 ),
"")</f>
        <v>Elfos</v>
      </c>
      <c r="G488" t="str">
        <f ca="1"/>
        <v>Three Tree City</v>
      </c>
      <c r="EX488" t="str">
        <f ca="1"/>
        <v>Three Tree City</v>
      </c>
    </row>
    <row r="489" spans="1:154" x14ac:dyDescent="0.25">
      <c r="A489" s="2" t="str">
        <f t="shared" ca="1" si="20"/>
        <v>5</v>
      </c>
      <c r="B489" s="2">
        <f t="shared" ca="1" si="21"/>
        <v>1</v>
      </c>
      <c r="C489" s="2" t="str">
        <f ca="1">IFERROR(
 INDEX($V$1:$BL$1,
  MATCH(TRUE,
   CHOOSE({1;2;3;4;5;6;7;8;9;10;11;12;13;14;15;16;17;18;19;20;21;22;23;24;25;26;27;28;29;30;31;32;33;34;35;36;37;38;39;40;41;42;43},
    COUNTIFS($V$2:$V$200,$G489)&gt;0,
    COUNTIFS($W$2:$W$200,$G489)&gt;0,
    COUNTIFS($X$2:$X$200,$G489)&gt;0,
    COUNTIFS($Y$2:$Y$200,$G489)&gt;0,
    COUNTIFS($Z$2:$Z$200,$G489)&gt;0,
    COUNTIFS($AA$2:$AA$200,$G489)&gt;0,
    COUNTIFS($AB$2:$AB$200,$G489)&gt;0,
    COUNTIFS($AC$2:$AC$200,$G489)&gt;0,
    COUNTIFS($AD$2:$AD$200,$G489)&gt;0,
    COUNTIFS($AE$2:$AE$200,$G489)&gt;0,
    COUNTIFS($AF$2:$AF$200,$G489)&gt;0,
    COUNTIFS($AG$2:$AG$200,$G489)&gt;0,
    COUNTIFS($AH$2:$AH$200,$G489)&gt;0,
    COUNTIFS($AI$2:$AI$200,$G489)&gt;0,
    COUNTIFS($AJ$2:$AJ$200,$G489)&gt;0,
    COUNTIFS($AK$2:$AK$200,$G489)&gt;0,
    COUNTIFS($AL$2:$AL$200,$G489)&gt;0,
    COUNTIFS($AM$2:$AM$200,$G489)&gt;0,
    COUNTIFS($AN$2:$AN$200,$G489)&gt;0,
    COUNTIFS($AO$2:$AO$200,$G489)&gt;0,
    COUNTIFS($AP$2:$AP$200,$G489)&gt;0,
    COUNTIFS($AQ$2:$AQ$200,$G489)&gt;0,
    COUNTIFS($AR$2:$AR$200,$G489)&gt;0,
    COUNTIFS($AS$2:$AS$200,$G489)&gt;0,
    COUNTIFS($AT$2:$AT$200,$G489)&gt;0,
    COUNTIFS($AU$2:$AU$200,$G489)&gt;0,
    COUNTIFS($AV$2:$AV$200,$G489)&gt;0,
    COUNTIFS($AW$2:$AW$200,$G489)&gt;0,
    COUNTIFS($AX$2:$AX$200,$G489)&gt;0,
    COUNTIFS($AY$2:$AY$200,$G489)&gt;0,
    COUNTIFS($AZ$2:$AZ$200,$G489)&gt;0,
    COUNTIFS($BA$2:$BA$200,$G489)&gt;0,
    COUNTIFS($BB$2:$BB$200,$G489)&gt;0,
    COUNTIFS($BC$2:$BC$200,$G489)&gt;0,
    COUNTIFS($BD$2:$BD$200,$G489)&gt;0,
    COUNTIFS($BE$2:$BE$200,$G489)&gt;0,
    COUNTIFS($BF$2:$BF$200,$G489)&gt;0,
    COUNTIFS($BG$2:$BG$200,$G489)&gt;0,
    COUNTIFS($BH$2:$BH$200,$G489)&gt;0,
    COUNTIFS($BI$2:$BI$200,$G489)&gt;0,
    COUNTIFS($BJ$2:$BJ$200,$G489)&gt;0,
    COUNTIFS($BK$2:$BK$200,$G489)&gt;0,
    COUNTIFS($BL$2:$BL$200,$G489)&gt;0,
    COUNTIFS($BM$2:$BM$200,$G489)&gt;0,
   ),
  0)
 ),
"")</f>
        <v>Fractius</v>
      </c>
      <c r="G489" t="str">
        <f ca="1"/>
        <v>Thrumming Hivepool</v>
      </c>
      <c r="EX489" t="str">
        <f ca="1"/>
        <v>Thrumming Hivepool</v>
      </c>
    </row>
    <row r="490" spans="1:154" x14ac:dyDescent="0.25">
      <c r="A490" s="2" t="str">
        <f t="shared" ca="1" si="20"/>
        <v>2</v>
      </c>
      <c r="B490" s="2">
        <f t="shared" ca="1" si="21"/>
        <v>1</v>
      </c>
      <c r="C490" s="2" t="str">
        <f ca="1">IFERROR(
 INDEX($V$1:$BL$1,
  MATCH(TRUE,
   CHOOSE({1;2;3;4;5;6;7;8;9;10;11;12;13;14;15;16;17;18;19;20;21;22;23;24;25;26;27;28;29;30;31;32;33;34;35;36;37;38;39;40;41;42;43},
    COUNTIFS($V$2:$V$200,$G490)&gt;0,
    COUNTIFS($W$2:$W$200,$G490)&gt;0,
    COUNTIFS($X$2:$X$200,$G490)&gt;0,
    COUNTIFS($Y$2:$Y$200,$G490)&gt;0,
    COUNTIFS($Z$2:$Z$200,$G490)&gt;0,
    COUNTIFS($AA$2:$AA$200,$G490)&gt;0,
    COUNTIFS($AB$2:$AB$200,$G490)&gt;0,
    COUNTIFS($AC$2:$AC$200,$G490)&gt;0,
    COUNTIFS($AD$2:$AD$200,$G490)&gt;0,
    COUNTIFS($AE$2:$AE$200,$G490)&gt;0,
    COUNTIFS($AF$2:$AF$200,$G490)&gt;0,
    COUNTIFS($AG$2:$AG$200,$G490)&gt;0,
    COUNTIFS($AH$2:$AH$200,$G490)&gt;0,
    COUNTIFS($AI$2:$AI$200,$G490)&gt;0,
    COUNTIFS($AJ$2:$AJ$200,$G490)&gt;0,
    COUNTIFS($AK$2:$AK$200,$G490)&gt;0,
    COUNTIFS($AL$2:$AL$200,$G490)&gt;0,
    COUNTIFS($AM$2:$AM$200,$G490)&gt;0,
    COUNTIFS($AN$2:$AN$200,$G490)&gt;0,
    COUNTIFS($AO$2:$AO$200,$G490)&gt;0,
    COUNTIFS($AP$2:$AP$200,$G490)&gt;0,
    COUNTIFS($AQ$2:$AQ$200,$G490)&gt;0,
    COUNTIFS($AR$2:$AR$200,$G490)&gt;0,
    COUNTIFS($AS$2:$AS$200,$G490)&gt;0,
    COUNTIFS($AT$2:$AT$200,$G490)&gt;0,
    COUNTIFS($AU$2:$AU$200,$G490)&gt;0,
    COUNTIFS($AV$2:$AV$200,$G490)&gt;0,
    COUNTIFS($AW$2:$AW$200,$G490)&gt;0,
    COUNTIFS($AX$2:$AX$200,$G490)&gt;0,
    COUNTIFS($AY$2:$AY$200,$G490)&gt;0,
    COUNTIFS($AZ$2:$AZ$200,$G490)&gt;0,
    COUNTIFS($BA$2:$BA$200,$G490)&gt;0,
    COUNTIFS($BB$2:$BB$200,$G490)&gt;0,
    COUNTIFS($BC$2:$BC$200,$G490)&gt;0,
    COUNTIFS($BD$2:$BD$200,$G490)&gt;0,
    COUNTIFS($BE$2:$BE$200,$G490)&gt;0,
    COUNTIFS($BF$2:$BF$200,$G490)&gt;0,
    COUNTIFS($BG$2:$BG$200,$G490)&gt;0,
    COUNTIFS($BH$2:$BH$200,$G490)&gt;0,
    COUNTIFS($BI$2:$BI$200,$G490)&gt;0,
    COUNTIFS($BJ$2:$BJ$200,$G490)&gt;0,
    COUNTIFS($BK$2:$BK$200,$G490)&gt;0,
    COUNTIFS($BL$2:$BL$200,$G490)&gt;0,
    COUNTIFS($BM$2:$BM$200,$G490)&gt;0,
   ),
  0)
 ),
"")</f>
        <v>Gitrog</v>
      </c>
      <c r="G490" t="str">
        <f ca="1"/>
        <v>Titania, Voice of Gaea</v>
      </c>
      <c r="EX490" t="str">
        <f ca="1"/>
        <v>Titania, Voice of Gaea</v>
      </c>
    </row>
    <row r="491" spans="1:154" x14ac:dyDescent="0.25">
      <c r="A491" s="2" t="str">
        <f t="shared" ca="1" si="20"/>
        <v>5</v>
      </c>
      <c r="B491" s="2">
        <f t="shared" ca="1" si="21"/>
        <v>1</v>
      </c>
      <c r="C491" s="2" t="str">
        <f ca="1">IFERROR(
 INDEX($V$1:$BL$1,
  MATCH(TRUE,
   CHOOSE({1;2;3;4;5;6;7;8;9;10;11;12;13;14;15;16;17;18;19;20;21;22;23;24;25;26;27;28;29;30;31;32;33;34;35;36;37;38;39;40;41;42;43},
    COUNTIFS($V$2:$V$200,$G491)&gt;0,
    COUNTIFS($W$2:$W$200,$G491)&gt;0,
    COUNTIFS($X$2:$X$200,$G491)&gt;0,
    COUNTIFS($Y$2:$Y$200,$G491)&gt;0,
    COUNTIFS($Z$2:$Z$200,$G491)&gt;0,
    COUNTIFS($AA$2:$AA$200,$G491)&gt;0,
    COUNTIFS($AB$2:$AB$200,$G491)&gt;0,
    COUNTIFS($AC$2:$AC$200,$G491)&gt;0,
    COUNTIFS($AD$2:$AD$200,$G491)&gt;0,
    COUNTIFS($AE$2:$AE$200,$G491)&gt;0,
    COUNTIFS($AF$2:$AF$200,$G491)&gt;0,
    COUNTIFS($AG$2:$AG$200,$G491)&gt;0,
    COUNTIFS($AH$2:$AH$200,$G491)&gt;0,
    COUNTIFS($AI$2:$AI$200,$G491)&gt;0,
    COUNTIFS($AJ$2:$AJ$200,$G491)&gt;0,
    COUNTIFS($AK$2:$AK$200,$G491)&gt;0,
    COUNTIFS($AL$2:$AL$200,$G491)&gt;0,
    COUNTIFS($AM$2:$AM$200,$G491)&gt;0,
    COUNTIFS($AN$2:$AN$200,$G491)&gt;0,
    COUNTIFS($AO$2:$AO$200,$G491)&gt;0,
    COUNTIFS($AP$2:$AP$200,$G491)&gt;0,
    COUNTIFS($AQ$2:$AQ$200,$G491)&gt;0,
    COUNTIFS($AR$2:$AR$200,$G491)&gt;0,
    COUNTIFS($AS$2:$AS$200,$G491)&gt;0,
    COUNTIFS($AT$2:$AT$200,$G491)&gt;0,
    COUNTIFS($AU$2:$AU$200,$G491)&gt;0,
    COUNTIFS($AV$2:$AV$200,$G491)&gt;0,
    COUNTIFS($AW$2:$AW$200,$G491)&gt;0,
    COUNTIFS($AX$2:$AX$200,$G491)&gt;0,
    COUNTIFS($AY$2:$AY$200,$G491)&gt;0,
    COUNTIFS($AZ$2:$AZ$200,$G491)&gt;0,
    COUNTIFS($BA$2:$BA$200,$G491)&gt;0,
    COUNTIFS($BB$2:$BB$200,$G491)&gt;0,
    COUNTIFS($BC$2:$BC$200,$G491)&gt;0,
    COUNTIFS($BD$2:$BD$200,$G491)&gt;0,
    COUNTIFS($BE$2:$BE$200,$G491)&gt;0,
    COUNTIFS($BF$2:$BF$200,$G491)&gt;0,
    COUNTIFS($BG$2:$BG$200,$G491)&gt;0,
    COUNTIFS($BH$2:$BH$200,$G491)&gt;0,
    COUNTIFS($BI$2:$BI$200,$G491)&gt;0,
    COUNTIFS($BJ$2:$BJ$200,$G491)&gt;0,
    COUNTIFS($BK$2:$BK$200,$G491)&gt;0,
    COUNTIFS($BL$2:$BL$200,$G491)&gt;0,
    COUNTIFS($BM$2:$BM$200,$G491)&gt;0,
   ),
  0)
 ),
"")</f>
        <v>Yorion</v>
      </c>
      <c r="G491" t="str">
        <f ca="1"/>
        <v>Tocasia's Welcome</v>
      </c>
      <c r="EX491" t="str">
        <f ca="1"/>
        <v>Tocasia's Welcome</v>
      </c>
    </row>
    <row r="492" spans="1:154" x14ac:dyDescent="0.25">
      <c r="A492" s="2" t="str">
        <f t="shared" ca="1" si="20"/>
        <v>5</v>
      </c>
      <c r="B492" s="2">
        <f t="shared" ca="1" si="21"/>
        <v>1</v>
      </c>
      <c r="C492" s="2" t="str">
        <f ca="1">IFERROR(
 INDEX($V$1:$BL$1,
  MATCH(TRUE,
   CHOOSE({1;2;3;4;5;6;7;8;9;10;11;12;13;14;15;16;17;18;19;20;21;22;23;24;25;26;27;28;29;30;31;32;33;34;35;36;37;38;39;40;41;42;43},
    COUNTIFS($V$2:$V$200,$G492)&gt;0,
    COUNTIFS($W$2:$W$200,$G492)&gt;0,
    COUNTIFS($X$2:$X$200,$G492)&gt;0,
    COUNTIFS($Y$2:$Y$200,$G492)&gt;0,
    COUNTIFS($Z$2:$Z$200,$G492)&gt;0,
    COUNTIFS($AA$2:$AA$200,$G492)&gt;0,
    COUNTIFS($AB$2:$AB$200,$G492)&gt;0,
    COUNTIFS($AC$2:$AC$200,$G492)&gt;0,
    COUNTIFS($AD$2:$AD$200,$G492)&gt;0,
    COUNTIFS($AE$2:$AE$200,$G492)&gt;0,
    COUNTIFS($AF$2:$AF$200,$G492)&gt;0,
    COUNTIFS($AG$2:$AG$200,$G492)&gt;0,
    COUNTIFS($AH$2:$AH$200,$G492)&gt;0,
    COUNTIFS($AI$2:$AI$200,$G492)&gt;0,
    COUNTIFS($AJ$2:$AJ$200,$G492)&gt;0,
    COUNTIFS($AK$2:$AK$200,$G492)&gt;0,
    COUNTIFS($AL$2:$AL$200,$G492)&gt;0,
    COUNTIFS($AM$2:$AM$200,$G492)&gt;0,
    COUNTIFS($AN$2:$AN$200,$G492)&gt;0,
    COUNTIFS($AO$2:$AO$200,$G492)&gt;0,
    COUNTIFS($AP$2:$AP$200,$G492)&gt;0,
    COUNTIFS($AQ$2:$AQ$200,$G492)&gt;0,
    COUNTIFS($AR$2:$AR$200,$G492)&gt;0,
    COUNTIFS($AS$2:$AS$200,$G492)&gt;0,
    COUNTIFS($AT$2:$AT$200,$G492)&gt;0,
    COUNTIFS($AU$2:$AU$200,$G492)&gt;0,
    COUNTIFS($AV$2:$AV$200,$G492)&gt;0,
    COUNTIFS($AW$2:$AW$200,$G492)&gt;0,
    COUNTIFS($AX$2:$AX$200,$G492)&gt;0,
    COUNTIFS($AY$2:$AY$200,$G492)&gt;0,
    COUNTIFS($AZ$2:$AZ$200,$G492)&gt;0,
    COUNTIFS($BA$2:$BA$200,$G492)&gt;0,
    COUNTIFS($BB$2:$BB$200,$G492)&gt;0,
    COUNTIFS($BC$2:$BC$200,$G492)&gt;0,
    COUNTIFS($BD$2:$BD$200,$G492)&gt;0,
    COUNTIFS($BE$2:$BE$200,$G492)&gt;0,
    COUNTIFS($BF$2:$BF$200,$G492)&gt;0,
    COUNTIFS($BG$2:$BG$200,$G492)&gt;0,
    COUNTIFS($BH$2:$BH$200,$G492)&gt;0,
    COUNTIFS($BI$2:$BI$200,$G492)&gt;0,
    COUNTIFS($BJ$2:$BJ$200,$G492)&gt;0,
    COUNTIFS($BK$2:$BK$200,$G492)&gt;0,
    COUNTIFS($BL$2:$BL$200,$G492)&gt;0,
    COUNTIFS($BM$2:$BM$200,$G492)&gt;0,
   ),
  0)
 ),
"")</f>
        <v>Little</v>
      </c>
      <c r="G492" t="str">
        <f ca="1"/>
        <v>Toski, Bearer of Secrets</v>
      </c>
      <c r="EX492" t="str">
        <f ca="1"/>
        <v>Toski, Bearer of Secrets</v>
      </c>
    </row>
    <row r="493" spans="1:154" x14ac:dyDescent="0.25">
      <c r="A493" s="2" t="str">
        <f t="shared" ca="1" si="20"/>
        <v>5</v>
      </c>
      <c r="B493" s="2">
        <f t="shared" ca="1" si="21"/>
        <v>1</v>
      </c>
      <c r="C493" s="2" t="str">
        <f ca="1">IFERROR(
 INDEX($V$1:$BL$1,
  MATCH(TRUE,
   CHOOSE({1;2;3;4;5;6;7;8;9;10;11;12;13;14;15;16;17;18;19;20;21;22;23;24;25;26;27;28;29;30;31;32;33;34;35;36;37;38;39;40;41;42;43},
    COUNTIFS($V$2:$V$200,$G493)&gt;0,
    COUNTIFS($W$2:$W$200,$G493)&gt;0,
    COUNTIFS($X$2:$X$200,$G493)&gt;0,
    COUNTIFS($Y$2:$Y$200,$G493)&gt;0,
    COUNTIFS($Z$2:$Z$200,$G493)&gt;0,
    COUNTIFS($AA$2:$AA$200,$G493)&gt;0,
    COUNTIFS($AB$2:$AB$200,$G493)&gt;0,
    COUNTIFS($AC$2:$AC$200,$G493)&gt;0,
    COUNTIFS($AD$2:$AD$200,$G493)&gt;0,
    COUNTIFS($AE$2:$AE$200,$G493)&gt;0,
    COUNTIFS($AF$2:$AF$200,$G493)&gt;0,
    COUNTIFS($AG$2:$AG$200,$G493)&gt;0,
    COUNTIFS($AH$2:$AH$200,$G493)&gt;0,
    COUNTIFS($AI$2:$AI$200,$G493)&gt;0,
    COUNTIFS($AJ$2:$AJ$200,$G493)&gt;0,
    COUNTIFS($AK$2:$AK$200,$G493)&gt;0,
    COUNTIFS($AL$2:$AL$200,$G493)&gt;0,
    COUNTIFS($AM$2:$AM$200,$G493)&gt;0,
    COUNTIFS($AN$2:$AN$200,$G493)&gt;0,
    COUNTIFS($AO$2:$AO$200,$G493)&gt;0,
    COUNTIFS($AP$2:$AP$200,$G493)&gt;0,
    COUNTIFS($AQ$2:$AQ$200,$G493)&gt;0,
    COUNTIFS($AR$2:$AR$200,$G493)&gt;0,
    COUNTIFS($AS$2:$AS$200,$G493)&gt;0,
    COUNTIFS($AT$2:$AT$200,$G493)&gt;0,
    COUNTIFS($AU$2:$AU$200,$G493)&gt;0,
    COUNTIFS($AV$2:$AV$200,$G493)&gt;0,
    COUNTIFS($AW$2:$AW$200,$G493)&gt;0,
    COUNTIFS($AX$2:$AX$200,$G493)&gt;0,
    COUNTIFS($AY$2:$AY$200,$G493)&gt;0,
    COUNTIFS($AZ$2:$AZ$200,$G493)&gt;0,
    COUNTIFS($BA$2:$BA$200,$G493)&gt;0,
    COUNTIFS($BB$2:$BB$200,$G493)&gt;0,
    COUNTIFS($BC$2:$BC$200,$G493)&gt;0,
    COUNTIFS($BD$2:$BD$200,$G493)&gt;0,
    COUNTIFS($BE$2:$BE$200,$G493)&gt;0,
    COUNTIFS($BF$2:$BF$200,$G493)&gt;0,
    COUNTIFS($BG$2:$BG$200,$G493)&gt;0,
    COUNTIFS($BH$2:$BH$200,$G493)&gt;0,
    COUNTIFS($BI$2:$BI$200,$G493)&gt;0,
    COUNTIFS($BJ$2:$BJ$200,$G493)&gt;0,
    COUNTIFS($BK$2:$BK$200,$G493)&gt;0,
    COUNTIFS($BL$2:$BL$200,$G493)&gt;0,
    COUNTIFS($BM$2:$BM$200,$G493)&gt;0,
   ),
  0)
 ),
"")</f>
        <v>4cRash</v>
      </c>
      <c r="G493" t="str">
        <f ca="1"/>
        <v>Toxic Deluge</v>
      </c>
      <c r="EX493" t="str">
        <f ca="1"/>
        <v>Toxic Deluge</v>
      </c>
    </row>
    <row r="494" spans="1:154" x14ac:dyDescent="0.25">
      <c r="A494" s="2" t="str">
        <f t="shared" ca="1" si="20"/>
        <v>2</v>
      </c>
      <c r="B494" s="2">
        <f t="shared" ca="1" si="21"/>
        <v>1</v>
      </c>
      <c r="C494" s="2" t="str">
        <f ca="1">IFERROR(
 INDEX($V$1:$BL$1,
  MATCH(TRUE,
   CHOOSE({1;2;3;4;5;6;7;8;9;10;11;12;13;14;15;16;17;18;19;20;21;22;23;24;25;26;27;28;29;30;31;32;33;34;35;36;37;38;39;40;41;42;43},
    COUNTIFS($V$2:$V$200,$G494)&gt;0,
    COUNTIFS($W$2:$W$200,$G494)&gt;0,
    COUNTIFS($X$2:$X$200,$G494)&gt;0,
    COUNTIFS($Y$2:$Y$200,$G494)&gt;0,
    COUNTIFS($Z$2:$Z$200,$G494)&gt;0,
    COUNTIFS($AA$2:$AA$200,$G494)&gt;0,
    COUNTIFS($AB$2:$AB$200,$G494)&gt;0,
    COUNTIFS($AC$2:$AC$200,$G494)&gt;0,
    COUNTIFS($AD$2:$AD$200,$G494)&gt;0,
    COUNTIFS($AE$2:$AE$200,$G494)&gt;0,
    COUNTIFS($AF$2:$AF$200,$G494)&gt;0,
    COUNTIFS($AG$2:$AG$200,$G494)&gt;0,
    COUNTIFS($AH$2:$AH$200,$G494)&gt;0,
    COUNTIFS($AI$2:$AI$200,$G494)&gt;0,
    COUNTIFS($AJ$2:$AJ$200,$G494)&gt;0,
    COUNTIFS($AK$2:$AK$200,$G494)&gt;0,
    COUNTIFS($AL$2:$AL$200,$G494)&gt;0,
    COUNTIFS($AM$2:$AM$200,$G494)&gt;0,
    COUNTIFS($AN$2:$AN$200,$G494)&gt;0,
    COUNTIFS($AO$2:$AO$200,$G494)&gt;0,
    COUNTIFS($AP$2:$AP$200,$G494)&gt;0,
    COUNTIFS($AQ$2:$AQ$200,$G494)&gt;0,
    COUNTIFS($AR$2:$AR$200,$G494)&gt;0,
    COUNTIFS($AS$2:$AS$200,$G494)&gt;0,
    COUNTIFS($AT$2:$AT$200,$G494)&gt;0,
    COUNTIFS($AU$2:$AU$200,$G494)&gt;0,
    COUNTIFS($AV$2:$AV$200,$G494)&gt;0,
    COUNTIFS($AW$2:$AW$200,$G494)&gt;0,
    COUNTIFS($AX$2:$AX$200,$G494)&gt;0,
    COUNTIFS($AY$2:$AY$200,$G494)&gt;0,
    COUNTIFS($AZ$2:$AZ$200,$G494)&gt;0,
    COUNTIFS($BA$2:$BA$200,$G494)&gt;0,
    COUNTIFS($BB$2:$BB$200,$G494)&gt;0,
    COUNTIFS($BC$2:$BC$200,$G494)&gt;0,
    COUNTIFS($BD$2:$BD$200,$G494)&gt;0,
    COUNTIFS($BE$2:$BE$200,$G494)&gt;0,
    COUNTIFS($BF$2:$BF$200,$G494)&gt;0,
    COUNTIFS($BG$2:$BG$200,$G494)&gt;0,
    COUNTIFS($BH$2:$BH$200,$G494)&gt;0,
    COUNTIFS($BI$2:$BI$200,$G494)&gt;0,
    COUNTIFS($BJ$2:$BJ$200,$G494)&gt;0,
    COUNTIFS($BK$2:$BK$200,$G494)&gt;0,
    COUNTIFS($BL$2:$BL$200,$G494)&gt;0,
    COUNTIFS($BM$2:$BM$200,$G494)&gt;0,
   ),
  0)
 ),
"")</f>
        <v>Piratas</v>
      </c>
      <c r="G494" t="str">
        <f ca="1"/>
        <v>Treasure Vault</v>
      </c>
      <c r="EX494" t="str">
        <f ca="1"/>
        <v>Treasure Vault</v>
      </c>
    </row>
    <row r="495" spans="1:154" x14ac:dyDescent="0.25">
      <c r="A495" s="2" t="str">
        <f t="shared" ca="1" si="20"/>
        <v>4</v>
      </c>
      <c r="B495" s="2">
        <f t="shared" ca="1" si="21"/>
        <v>1</v>
      </c>
      <c r="C495" s="2" t="str">
        <f ca="1">IFERROR(
 INDEX($V$1:$BL$1,
  MATCH(TRUE,
   CHOOSE({1;2;3;4;5;6;7;8;9;10;11;12;13;14;15;16;17;18;19;20;21;22;23;24;25;26;27;28;29;30;31;32;33;34;35;36;37;38;39;40;41;42;43},
    COUNTIFS($V$2:$V$200,$G495)&gt;0,
    COUNTIFS($W$2:$W$200,$G495)&gt;0,
    COUNTIFS($X$2:$X$200,$G495)&gt;0,
    COUNTIFS($Y$2:$Y$200,$G495)&gt;0,
    COUNTIFS($Z$2:$Z$200,$G495)&gt;0,
    COUNTIFS($AA$2:$AA$200,$G495)&gt;0,
    COUNTIFS($AB$2:$AB$200,$G495)&gt;0,
    COUNTIFS($AC$2:$AC$200,$G495)&gt;0,
    COUNTIFS($AD$2:$AD$200,$G495)&gt;0,
    COUNTIFS($AE$2:$AE$200,$G495)&gt;0,
    COUNTIFS($AF$2:$AF$200,$G495)&gt;0,
    COUNTIFS($AG$2:$AG$200,$G495)&gt;0,
    COUNTIFS($AH$2:$AH$200,$G495)&gt;0,
    COUNTIFS($AI$2:$AI$200,$G495)&gt;0,
    COUNTIFS($AJ$2:$AJ$200,$G495)&gt;0,
    COUNTIFS($AK$2:$AK$200,$G495)&gt;0,
    COUNTIFS($AL$2:$AL$200,$G495)&gt;0,
    COUNTIFS($AM$2:$AM$200,$G495)&gt;0,
    COUNTIFS($AN$2:$AN$200,$G495)&gt;0,
    COUNTIFS($AO$2:$AO$200,$G495)&gt;0,
    COUNTIFS($AP$2:$AP$200,$G495)&gt;0,
    COUNTIFS($AQ$2:$AQ$200,$G495)&gt;0,
    COUNTIFS($AR$2:$AR$200,$G495)&gt;0,
    COUNTIFS($AS$2:$AS$200,$G495)&gt;0,
    COUNTIFS($AT$2:$AT$200,$G495)&gt;0,
    COUNTIFS($AU$2:$AU$200,$G495)&gt;0,
    COUNTIFS($AV$2:$AV$200,$G495)&gt;0,
    COUNTIFS($AW$2:$AW$200,$G495)&gt;0,
    COUNTIFS($AX$2:$AX$200,$G495)&gt;0,
    COUNTIFS($AY$2:$AY$200,$G495)&gt;0,
    COUNTIFS($AZ$2:$AZ$200,$G495)&gt;0,
    COUNTIFS($BA$2:$BA$200,$G495)&gt;0,
    COUNTIFS($BB$2:$BB$200,$G495)&gt;0,
    COUNTIFS($BC$2:$BC$200,$G495)&gt;0,
    COUNTIFS($BD$2:$BD$200,$G495)&gt;0,
    COUNTIFS($BE$2:$BE$200,$G495)&gt;0,
    COUNTIFS($BF$2:$BF$200,$G495)&gt;0,
    COUNTIFS($BG$2:$BG$200,$G495)&gt;0,
    COUNTIFS($BH$2:$BH$200,$G495)&gt;0,
    COUNTIFS($BI$2:$BI$200,$G495)&gt;0,
    COUNTIFS($BJ$2:$BJ$200,$G495)&gt;0,
    COUNTIFS($BK$2:$BK$200,$G495)&gt;0,
    COUNTIFS($BL$2:$BL$200,$G495)&gt;0,
    COUNTIFS($BM$2:$BM$200,$G495)&gt;0,
   ),
  0)
 ),
"")</f>
        <v>Modular</v>
      </c>
      <c r="G495" t="str">
        <f ca="1"/>
        <v>Tree of Tales</v>
      </c>
      <c r="EX495" t="str">
        <f ca="1"/>
        <v>Tree of Tales</v>
      </c>
    </row>
    <row r="496" spans="1:154" x14ac:dyDescent="0.25">
      <c r="A496" s="2" t="str">
        <f t="shared" ca="1" si="20"/>
        <v>5</v>
      </c>
      <c r="B496" s="2">
        <f t="shared" ca="1" si="21"/>
        <v>1</v>
      </c>
      <c r="C496" s="2" t="str">
        <f ca="1">IFERROR(
 INDEX($V$1:$BL$1,
  MATCH(TRUE,
   CHOOSE({1;2;3;4;5;6;7;8;9;10;11;12;13;14;15;16;17;18;19;20;21;22;23;24;25;26;27;28;29;30;31;32;33;34;35;36;37;38;39;40;41;42;43},
    COUNTIFS($V$2:$V$200,$G496)&gt;0,
    COUNTIFS($W$2:$W$200,$G496)&gt;0,
    COUNTIFS($X$2:$X$200,$G496)&gt;0,
    COUNTIFS($Y$2:$Y$200,$G496)&gt;0,
    COUNTIFS($Z$2:$Z$200,$G496)&gt;0,
    COUNTIFS($AA$2:$AA$200,$G496)&gt;0,
    COUNTIFS($AB$2:$AB$200,$G496)&gt;0,
    COUNTIFS($AC$2:$AC$200,$G496)&gt;0,
    COUNTIFS($AD$2:$AD$200,$G496)&gt;0,
    COUNTIFS($AE$2:$AE$200,$G496)&gt;0,
    COUNTIFS($AF$2:$AF$200,$G496)&gt;0,
    COUNTIFS($AG$2:$AG$200,$G496)&gt;0,
    COUNTIFS($AH$2:$AH$200,$G496)&gt;0,
    COUNTIFS($AI$2:$AI$200,$G496)&gt;0,
    COUNTIFS($AJ$2:$AJ$200,$G496)&gt;0,
    COUNTIFS($AK$2:$AK$200,$G496)&gt;0,
    COUNTIFS($AL$2:$AL$200,$G496)&gt;0,
    COUNTIFS($AM$2:$AM$200,$G496)&gt;0,
    COUNTIFS($AN$2:$AN$200,$G496)&gt;0,
    COUNTIFS($AO$2:$AO$200,$G496)&gt;0,
    COUNTIFS($AP$2:$AP$200,$G496)&gt;0,
    COUNTIFS($AQ$2:$AQ$200,$G496)&gt;0,
    COUNTIFS($AR$2:$AR$200,$G496)&gt;0,
    COUNTIFS($AS$2:$AS$200,$G496)&gt;0,
    COUNTIFS($AT$2:$AT$200,$G496)&gt;0,
    COUNTIFS($AU$2:$AU$200,$G496)&gt;0,
    COUNTIFS($AV$2:$AV$200,$G496)&gt;0,
    COUNTIFS($AW$2:$AW$200,$G496)&gt;0,
    COUNTIFS($AX$2:$AX$200,$G496)&gt;0,
    COUNTIFS($AY$2:$AY$200,$G496)&gt;0,
    COUNTIFS($AZ$2:$AZ$200,$G496)&gt;0,
    COUNTIFS($BA$2:$BA$200,$G496)&gt;0,
    COUNTIFS($BB$2:$BB$200,$G496)&gt;0,
    COUNTIFS($BC$2:$BC$200,$G496)&gt;0,
    COUNTIFS($BD$2:$BD$200,$G496)&gt;0,
    COUNTIFS($BE$2:$BE$200,$G496)&gt;0,
    COUNTIFS($BF$2:$BF$200,$G496)&gt;0,
    COUNTIFS($BG$2:$BG$200,$G496)&gt;0,
    COUNTIFS($BH$2:$BH$200,$G496)&gt;0,
    COUNTIFS($BI$2:$BI$200,$G496)&gt;0,
    COUNTIFS($BJ$2:$BJ$200,$G496)&gt;0,
    COUNTIFS($BK$2:$BK$200,$G496)&gt;0,
    COUNTIFS($BL$2:$BL$200,$G496)&gt;0,
    COUNTIFS($BM$2:$BM$200,$G496)&gt;0,
   ),
  0)
 ),
"")</f>
        <v>Little</v>
      </c>
      <c r="G496" t="str">
        <f ca="1"/>
        <v>Tymna the Weaver</v>
      </c>
      <c r="EX496" t="str">
        <f ca="1"/>
        <v>Tymna the Weaver</v>
      </c>
    </row>
    <row r="497" spans="1:154" x14ac:dyDescent="0.25">
      <c r="A497" s="2" t="str">
        <f t="shared" ca="1" si="20"/>
        <v>3</v>
      </c>
      <c r="B497" s="2">
        <f t="shared" ca="1" si="21"/>
        <v>2</v>
      </c>
      <c r="C497" s="2" t="str">
        <f ca="1">IFERROR(
 INDEX($V$1:$BL$1,
  MATCH(TRUE,
   CHOOSE({1;2;3;4;5;6;7;8;9;10;11;12;13;14;15;16;17;18;19;20;21;22;23;24;25;26;27;28;29;30;31;32;33;34;35;36;37;38;39;40;41;42;43},
    COUNTIFS($V$2:$V$200,$G497)&gt;0,
    COUNTIFS($W$2:$W$200,$G497)&gt;0,
    COUNTIFS($X$2:$X$200,$G497)&gt;0,
    COUNTIFS($Y$2:$Y$200,$G497)&gt;0,
    COUNTIFS($Z$2:$Z$200,$G497)&gt;0,
    COUNTIFS($AA$2:$AA$200,$G497)&gt;0,
    COUNTIFS($AB$2:$AB$200,$G497)&gt;0,
    COUNTIFS($AC$2:$AC$200,$G497)&gt;0,
    COUNTIFS($AD$2:$AD$200,$G497)&gt;0,
    COUNTIFS($AE$2:$AE$200,$G497)&gt;0,
    COUNTIFS($AF$2:$AF$200,$G497)&gt;0,
    COUNTIFS($AG$2:$AG$200,$G497)&gt;0,
    COUNTIFS($AH$2:$AH$200,$G497)&gt;0,
    COUNTIFS($AI$2:$AI$200,$G497)&gt;0,
    COUNTIFS($AJ$2:$AJ$200,$G497)&gt;0,
    COUNTIFS($AK$2:$AK$200,$G497)&gt;0,
    COUNTIFS($AL$2:$AL$200,$G497)&gt;0,
    COUNTIFS($AM$2:$AM$200,$G497)&gt;0,
    COUNTIFS($AN$2:$AN$200,$G497)&gt;0,
    COUNTIFS($AO$2:$AO$200,$G497)&gt;0,
    COUNTIFS($AP$2:$AP$200,$G497)&gt;0,
    COUNTIFS($AQ$2:$AQ$200,$G497)&gt;0,
    COUNTIFS($AR$2:$AR$200,$G497)&gt;0,
    COUNTIFS($AS$2:$AS$200,$G497)&gt;0,
    COUNTIFS($AT$2:$AT$200,$G497)&gt;0,
    COUNTIFS($AU$2:$AU$200,$G497)&gt;0,
    COUNTIFS($AV$2:$AV$200,$G497)&gt;0,
    COUNTIFS($AW$2:$AW$200,$G497)&gt;0,
    COUNTIFS($AX$2:$AX$200,$G497)&gt;0,
    COUNTIFS($AY$2:$AY$200,$G497)&gt;0,
    COUNTIFS($AZ$2:$AZ$200,$G497)&gt;0,
    COUNTIFS($BA$2:$BA$200,$G497)&gt;0,
    COUNTIFS($BB$2:$BB$200,$G497)&gt;0,
    COUNTIFS($BC$2:$BC$200,$G497)&gt;0,
    COUNTIFS($BD$2:$BD$200,$G497)&gt;0,
    COUNTIFS($BE$2:$BE$200,$G497)&gt;0,
    COUNTIFS($BF$2:$BF$200,$G497)&gt;0,
    COUNTIFS($BG$2:$BG$200,$G497)&gt;0,
    COUNTIFS($BH$2:$BH$200,$G497)&gt;0,
    COUNTIFS($BI$2:$BI$200,$G497)&gt;0,
    COUNTIFS($BJ$2:$BJ$200,$G497)&gt;0,
    COUNTIFS($BK$2:$BK$200,$G497)&gt;0,
    COUNTIFS($BL$2:$BL$200,$G497)&gt;0,
    COUNTIFS($BM$2:$BM$200,$G497)&gt;0,
   ),
  0)
 ),
"")</f>
        <v>JhoiraB</v>
      </c>
      <c r="G497" t="str">
        <f ca="1"/>
        <v>Ulamog, the Defiler</v>
      </c>
      <c r="EX497" t="str">
        <f ca="1"/>
        <v>Ulamog, the Defiler</v>
      </c>
    </row>
    <row r="498" spans="1:154" x14ac:dyDescent="0.25">
      <c r="A498" s="2" t="str">
        <f t="shared" ca="1" si="20"/>
        <v>2</v>
      </c>
      <c r="B498" s="2">
        <f t="shared" ca="1" si="21"/>
        <v>1</v>
      </c>
      <c r="C498" s="2" t="str">
        <f ca="1">IFERROR(
 INDEX($V$1:$BL$1,
  MATCH(TRUE,
   CHOOSE({1;2;3;4;5;6;7;8;9;10;11;12;13;14;15;16;17;18;19;20;21;22;23;24;25;26;27;28;29;30;31;32;33;34;35;36;37;38;39;40;41;42;43},
    COUNTIFS($V$2:$V$200,$G498)&gt;0,
    COUNTIFS($W$2:$W$200,$G498)&gt;0,
    COUNTIFS($X$2:$X$200,$G498)&gt;0,
    COUNTIFS($Y$2:$Y$200,$G498)&gt;0,
    COUNTIFS($Z$2:$Z$200,$G498)&gt;0,
    COUNTIFS($AA$2:$AA$200,$G498)&gt;0,
    COUNTIFS($AB$2:$AB$200,$G498)&gt;0,
    COUNTIFS($AC$2:$AC$200,$G498)&gt;0,
    COUNTIFS($AD$2:$AD$200,$G498)&gt;0,
    COUNTIFS($AE$2:$AE$200,$G498)&gt;0,
    COUNTIFS($AF$2:$AF$200,$G498)&gt;0,
    COUNTIFS($AG$2:$AG$200,$G498)&gt;0,
    COUNTIFS($AH$2:$AH$200,$G498)&gt;0,
    COUNTIFS($AI$2:$AI$200,$G498)&gt;0,
    COUNTIFS($AJ$2:$AJ$200,$G498)&gt;0,
    COUNTIFS($AK$2:$AK$200,$G498)&gt;0,
    COUNTIFS($AL$2:$AL$200,$G498)&gt;0,
    COUNTIFS($AM$2:$AM$200,$G498)&gt;0,
    COUNTIFS($AN$2:$AN$200,$G498)&gt;0,
    COUNTIFS($AO$2:$AO$200,$G498)&gt;0,
    COUNTIFS($AP$2:$AP$200,$G498)&gt;0,
    COUNTIFS($AQ$2:$AQ$200,$G498)&gt;0,
    COUNTIFS($AR$2:$AR$200,$G498)&gt;0,
    COUNTIFS($AS$2:$AS$200,$G498)&gt;0,
    COUNTIFS($AT$2:$AT$200,$G498)&gt;0,
    COUNTIFS($AU$2:$AU$200,$G498)&gt;0,
    COUNTIFS($AV$2:$AV$200,$G498)&gt;0,
    COUNTIFS($AW$2:$AW$200,$G498)&gt;0,
    COUNTIFS($AX$2:$AX$200,$G498)&gt;0,
    COUNTIFS($AY$2:$AY$200,$G498)&gt;0,
    COUNTIFS($AZ$2:$AZ$200,$G498)&gt;0,
    COUNTIFS($BA$2:$BA$200,$G498)&gt;0,
    COUNTIFS($BB$2:$BB$200,$G498)&gt;0,
    COUNTIFS($BC$2:$BC$200,$G498)&gt;0,
    COUNTIFS($BD$2:$BD$200,$G498)&gt;0,
    COUNTIFS($BE$2:$BE$200,$G498)&gt;0,
    COUNTIFS($BF$2:$BF$200,$G498)&gt;0,
    COUNTIFS($BG$2:$BG$200,$G498)&gt;0,
    COUNTIFS($BH$2:$BH$200,$G498)&gt;0,
    COUNTIFS($BI$2:$BI$200,$G498)&gt;0,
    COUNTIFS($BJ$2:$BJ$200,$G498)&gt;0,
    COUNTIFS($BK$2:$BK$200,$G498)&gt;0,
    COUNTIFS($BL$2:$BL$200,$G498)&gt;0,
    COUNTIFS($BM$2:$BM$200,$G498)&gt;0,
   ),
  0)
 ),
"")</f>
        <v>Gitrog</v>
      </c>
      <c r="G498" t="str">
        <f ca="1"/>
        <v>Ulamog, the Infinite Gyre</v>
      </c>
      <c r="EX498" t="str">
        <f ca="1"/>
        <v>Ulamog, the Infinite Gyre</v>
      </c>
    </row>
    <row r="499" spans="1:154" x14ac:dyDescent="0.25">
      <c r="A499" s="2" t="str">
        <f t="shared" ca="1" si="20"/>
        <v>3</v>
      </c>
      <c r="B499" s="2">
        <f t="shared" ca="1" si="21"/>
        <v>1</v>
      </c>
      <c r="C499" s="2" t="str">
        <f ca="1">IFERROR(
 INDEX($V$1:$BL$1,
  MATCH(TRUE,
   CHOOSE({1;2;3;4;5;6;7;8;9;10;11;12;13;14;15;16;17;18;19;20;21;22;23;24;25;26;27;28;29;30;31;32;33;34;35;36;37;38;39;40;41;42;43},
    COUNTIFS($V$2:$V$200,$G499)&gt;0,
    COUNTIFS($W$2:$W$200,$G499)&gt;0,
    COUNTIFS($X$2:$X$200,$G499)&gt;0,
    COUNTIFS($Y$2:$Y$200,$G499)&gt;0,
    COUNTIFS($Z$2:$Z$200,$G499)&gt;0,
    COUNTIFS($AA$2:$AA$200,$G499)&gt;0,
    COUNTIFS($AB$2:$AB$200,$G499)&gt;0,
    COUNTIFS($AC$2:$AC$200,$G499)&gt;0,
    COUNTIFS($AD$2:$AD$200,$G499)&gt;0,
    COUNTIFS($AE$2:$AE$200,$G499)&gt;0,
    COUNTIFS($AF$2:$AF$200,$G499)&gt;0,
    COUNTIFS($AG$2:$AG$200,$G499)&gt;0,
    COUNTIFS($AH$2:$AH$200,$G499)&gt;0,
    COUNTIFS($AI$2:$AI$200,$G499)&gt;0,
    COUNTIFS($AJ$2:$AJ$200,$G499)&gt;0,
    COUNTIFS($AK$2:$AK$200,$G499)&gt;0,
    COUNTIFS($AL$2:$AL$200,$G499)&gt;0,
    COUNTIFS($AM$2:$AM$200,$G499)&gt;0,
    COUNTIFS($AN$2:$AN$200,$G499)&gt;0,
    COUNTIFS($AO$2:$AO$200,$G499)&gt;0,
    COUNTIFS($AP$2:$AP$200,$G499)&gt;0,
    COUNTIFS($AQ$2:$AQ$200,$G499)&gt;0,
    COUNTIFS($AR$2:$AR$200,$G499)&gt;0,
    COUNTIFS($AS$2:$AS$200,$G499)&gt;0,
    COUNTIFS($AT$2:$AT$200,$G499)&gt;0,
    COUNTIFS($AU$2:$AU$200,$G499)&gt;0,
    COUNTIFS($AV$2:$AV$200,$G499)&gt;0,
    COUNTIFS($AW$2:$AW$200,$G499)&gt;0,
    COUNTIFS($AX$2:$AX$200,$G499)&gt;0,
    COUNTIFS($AY$2:$AY$200,$G499)&gt;0,
    COUNTIFS($AZ$2:$AZ$200,$G499)&gt;0,
    COUNTIFS($BA$2:$BA$200,$G499)&gt;0,
    COUNTIFS($BB$2:$BB$200,$G499)&gt;0,
    COUNTIFS($BC$2:$BC$200,$G499)&gt;0,
    COUNTIFS($BD$2:$BD$200,$G499)&gt;0,
    COUNTIFS($BE$2:$BE$200,$G499)&gt;0,
    COUNTIFS($BF$2:$BF$200,$G499)&gt;0,
    COUNTIFS($BG$2:$BG$200,$G499)&gt;0,
    COUNTIFS($BH$2:$BH$200,$G499)&gt;0,
    COUNTIFS($BI$2:$BI$200,$G499)&gt;0,
    COUNTIFS($BJ$2:$BJ$200,$G499)&gt;0,
    COUNTIFS($BK$2:$BK$200,$G499)&gt;0,
    COUNTIFS($BL$2:$BL$200,$G499)&gt;0,
    COUNTIFS($BM$2:$BM$200,$G499)&gt;0,
   ),
  0)
 ),
"")</f>
        <v>JhoiraB</v>
      </c>
      <c r="G499" t="str">
        <f ca="1"/>
        <v>Ulamog's Dreadsire</v>
      </c>
      <c r="EX499" t="str">
        <f ca="1"/>
        <v>Ulamog's Dreadsire</v>
      </c>
    </row>
    <row r="500" spans="1:154" x14ac:dyDescent="0.25">
      <c r="A500" s="2" t="str">
        <f t="shared" ca="1" si="20"/>
        <v>5</v>
      </c>
      <c r="B500" s="2">
        <f t="shared" ca="1" si="21"/>
        <v>1</v>
      </c>
      <c r="C500" s="2" t="str">
        <f ca="1">IFERROR(
 INDEX($V$1:$BL$1,
  MATCH(TRUE,
   CHOOSE({1;2;3;4;5;6;7;8;9;10;11;12;13;14;15;16;17;18;19;20;21;22;23;24;25;26;27;28;29;30;31;32;33;34;35;36;37;38;39;40;41;42;43},
    COUNTIFS($V$2:$V$200,$G500)&gt;0,
    COUNTIFS($W$2:$W$200,$G500)&gt;0,
    COUNTIFS($X$2:$X$200,$G500)&gt;0,
    COUNTIFS($Y$2:$Y$200,$G500)&gt;0,
    COUNTIFS($Z$2:$Z$200,$G500)&gt;0,
    COUNTIFS($AA$2:$AA$200,$G500)&gt;0,
    COUNTIFS($AB$2:$AB$200,$G500)&gt;0,
    COUNTIFS($AC$2:$AC$200,$G500)&gt;0,
    COUNTIFS($AD$2:$AD$200,$G500)&gt;0,
    COUNTIFS($AE$2:$AE$200,$G500)&gt;0,
    COUNTIFS($AF$2:$AF$200,$G500)&gt;0,
    COUNTIFS($AG$2:$AG$200,$G500)&gt;0,
    COUNTIFS($AH$2:$AH$200,$G500)&gt;0,
    COUNTIFS($AI$2:$AI$200,$G500)&gt;0,
    COUNTIFS($AJ$2:$AJ$200,$G500)&gt;0,
    COUNTIFS($AK$2:$AK$200,$G500)&gt;0,
    COUNTIFS($AL$2:$AL$200,$G500)&gt;0,
    COUNTIFS($AM$2:$AM$200,$G500)&gt;0,
    COUNTIFS($AN$2:$AN$200,$G500)&gt;0,
    COUNTIFS($AO$2:$AO$200,$G500)&gt;0,
    COUNTIFS($AP$2:$AP$200,$G500)&gt;0,
    COUNTIFS($AQ$2:$AQ$200,$G500)&gt;0,
    COUNTIFS($AR$2:$AR$200,$G500)&gt;0,
    COUNTIFS($AS$2:$AS$200,$G500)&gt;0,
    COUNTIFS($AT$2:$AT$200,$G500)&gt;0,
    COUNTIFS($AU$2:$AU$200,$G500)&gt;0,
    COUNTIFS($AV$2:$AV$200,$G500)&gt;0,
    COUNTIFS($AW$2:$AW$200,$G500)&gt;0,
    COUNTIFS($AX$2:$AX$200,$G500)&gt;0,
    COUNTIFS($AY$2:$AY$200,$G500)&gt;0,
    COUNTIFS($AZ$2:$AZ$200,$G500)&gt;0,
    COUNTIFS($BA$2:$BA$200,$G500)&gt;0,
    COUNTIFS($BB$2:$BB$200,$G500)&gt;0,
    COUNTIFS($BC$2:$BC$200,$G500)&gt;0,
    COUNTIFS($BD$2:$BD$200,$G500)&gt;0,
    COUNTIFS($BE$2:$BE$200,$G500)&gt;0,
    COUNTIFS($BF$2:$BF$200,$G500)&gt;0,
    COUNTIFS($BG$2:$BG$200,$G500)&gt;0,
    COUNTIFS($BH$2:$BH$200,$G500)&gt;0,
    COUNTIFS($BI$2:$BI$200,$G500)&gt;0,
    COUNTIFS($BJ$2:$BJ$200,$G500)&gt;0,
    COUNTIFS($BK$2:$BK$200,$G500)&gt;0,
    COUNTIFS($BL$2:$BL$200,$G500)&gt;0,
    COUNTIFS($BM$2:$BM$200,$G500)&gt;0,
   ),
  0)
 ),
"")</f>
        <v>Zuko</v>
      </c>
      <c r="G500" t="str">
        <f ca="1"/>
        <v>Ultimate Magic: Holy</v>
      </c>
      <c r="EX500" t="str">
        <f ca="1"/>
        <v>Ultimate Magic: Holy</v>
      </c>
    </row>
    <row r="501" spans="1:154" x14ac:dyDescent="0.25">
      <c r="A501" s="2" t="str">
        <f t="shared" ca="1" si="20"/>
        <v>4</v>
      </c>
      <c r="B501" s="2">
        <f t="shared" ca="1" si="21"/>
        <v>1</v>
      </c>
      <c r="C501" s="2" t="str">
        <f ca="1">IFERROR(
 INDEX($V$1:$BL$1,
  MATCH(TRUE,
   CHOOSE({1;2;3;4;5;6;7;8;9;10;11;12;13;14;15;16;17;18;19;20;21;22;23;24;25;26;27;28;29;30;31;32;33;34;35;36;37;38;39;40;41;42;43},
    COUNTIFS($V$2:$V$200,$G501)&gt;0,
    COUNTIFS($W$2:$W$200,$G501)&gt;0,
    COUNTIFS($X$2:$X$200,$G501)&gt;0,
    COUNTIFS($Y$2:$Y$200,$G501)&gt;0,
    COUNTIFS($Z$2:$Z$200,$G501)&gt;0,
    COUNTIFS($AA$2:$AA$200,$G501)&gt;0,
    COUNTIFS($AB$2:$AB$200,$G501)&gt;0,
    COUNTIFS($AC$2:$AC$200,$G501)&gt;0,
    COUNTIFS($AD$2:$AD$200,$G501)&gt;0,
    COUNTIFS($AE$2:$AE$200,$G501)&gt;0,
    COUNTIFS($AF$2:$AF$200,$G501)&gt;0,
    COUNTIFS($AG$2:$AG$200,$G501)&gt;0,
    COUNTIFS($AH$2:$AH$200,$G501)&gt;0,
    COUNTIFS($AI$2:$AI$200,$G501)&gt;0,
    COUNTIFS($AJ$2:$AJ$200,$G501)&gt;0,
    COUNTIFS($AK$2:$AK$200,$G501)&gt;0,
    COUNTIFS($AL$2:$AL$200,$G501)&gt;0,
    COUNTIFS($AM$2:$AM$200,$G501)&gt;0,
    COUNTIFS($AN$2:$AN$200,$G501)&gt;0,
    COUNTIFS($AO$2:$AO$200,$G501)&gt;0,
    COUNTIFS($AP$2:$AP$200,$G501)&gt;0,
    COUNTIFS($AQ$2:$AQ$200,$G501)&gt;0,
    COUNTIFS($AR$2:$AR$200,$G501)&gt;0,
    COUNTIFS($AS$2:$AS$200,$G501)&gt;0,
    COUNTIFS($AT$2:$AT$200,$G501)&gt;0,
    COUNTIFS($AU$2:$AU$200,$G501)&gt;0,
    COUNTIFS($AV$2:$AV$200,$G501)&gt;0,
    COUNTIFS($AW$2:$AW$200,$G501)&gt;0,
    COUNTIFS($AX$2:$AX$200,$G501)&gt;0,
    COUNTIFS($AY$2:$AY$200,$G501)&gt;0,
    COUNTIFS($AZ$2:$AZ$200,$G501)&gt;0,
    COUNTIFS($BA$2:$BA$200,$G501)&gt;0,
    COUNTIFS($BB$2:$BB$200,$G501)&gt;0,
    COUNTIFS($BC$2:$BC$200,$G501)&gt;0,
    COUNTIFS($BD$2:$BD$200,$G501)&gt;0,
    COUNTIFS($BE$2:$BE$200,$G501)&gt;0,
    COUNTIFS($BF$2:$BF$200,$G501)&gt;0,
    COUNTIFS($BG$2:$BG$200,$G501)&gt;0,
    COUNTIFS($BH$2:$BH$200,$G501)&gt;0,
    COUNTIFS($BI$2:$BI$200,$G501)&gt;0,
    COUNTIFS($BJ$2:$BJ$200,$G501)&gt;0,
    COUNTIFS($BK$2:$BK$200,$G501)&gt;0,
    COUNTIFS($BL$2:$BL$200,$G501)&gt;0,
    COUNTIFS($BM$2:$BM$200,$G501)&gt;0,
   ),
  0)
 ),
"")</f>
        <v>Tayam</v>
      </c>
      <c r="G501" t="str">
        <f ca="1"/>
        <v>Unbreakable Formation</v>
      </c>
      <c r="EX501" t="str">
        <f ca="1"/>
        <v>Unbreakable Formation</v>
      </c>
    </row>
    <row r="502" spans="1:154" x14ac:dyDescent="0.25">
      <c r="A502" s="2" t="str">
        <f t="shared" ca="1" si="20"/>
        <v>2</v>
      </c>
      <c r="B502" s="2">
        <f t="shared" ca="1" si="21"/>
        <v>1</v>
      </c>
      <c r="C502" s="2" t="str">
        <f ca="1">IFERROR(
 INDEX($V$1:$BL$1,
  MATCH(TRUE,
   CHOOSE({1;2;3;4;5;6;7;8;9;10;11;12;13;14;15;16;17;18;19;20;21;22;23;24;25;26;27;28;29;30;31;32;33;34;35;36;37;38;39;40;41;42;43},
    COUNTIFS($V$2:$V$200,$G502)&gt;0,
    COUNTIFS($W$2:$W$200,$G502)&gt;0,
    COUNTIFS($X$2:$X$200,$G502)&gt;0,
    COUNTIFS($Y$2:$Y$200,$G502)&gt;0,
    COUNTIFS($Z$2:$Z$200,$G502)&gt;0,
    COUNTIFS($AA$2:$AA$200,$G502)&gt;0,
    COUNTIFS($AB$2:$AB$200,$G502)&gt;0,
    COUNTIFS($AC$2:$AC$200,$G502)&gt;0,
    COUNTIFS($AD$2:$AD$200,$G502)&gt;0,
    COUNTIFS($AE$2:$AE$200,$G502)&gt;0,
    COUNTIFS($AF$2:$AF$200,$G502)&gt;0,
    COUNTIFS($AG$2:$AG$200,$G502)&gt;0,
    COUNTIFS($AH$2:$AH$200,$G502)&gt;0,
    COUNTIFS($AI$2:$AI$200,$G502)&gt;0,
    COUNTIFS($AJ$2:$AJ$200,$G502)&gt;0,
    COUNTIFS($AK$2:$AK$200,$G502)&gt;0,
    COUNTIFS($AL$2:$AL$200,$G502)&gt;0,
    COUNTIFS($AM$2:$AM$200,$G502)&gt;0,
    COUNTIFS($AN$2:$AN$200,$G502)&gt;0,
    COUNTIFS($AO$2:$AO$200,$G502)&gt;0,
    COUNTIFS($AP$2:$AP$200,$G502)&gt;0,
    COUNTIFS($AQ$2:$AQ$200,$G502)&gt;0,
    COUNTIFS($AR$2:$AR$200,$G502)&gt;0,
    COUNTIFS($AS$2:$AS$200,$G502)&gt;0,
    COUNTIFS($AT$2:$AT$200,$G502)&gt;0,
    COUNTIFS($AU$2:$AU$200,$G502)&gt;0,
    COUNTIFS($AV$2:$AV$200,$G502)&gt;0,
    COUNTIFS($AW$2:$AW$200,$G502)&gt;0,
    COUNTIFS($AX$2:$AX$200,$G502)&gt;0,
    COUNTIFS($AY$2:$AY$200,$G502)&gt;0,
    COUNTIFS($AZ$2:$AZ$200,$G502)&gt;0,
    COUNTIFS($BA$2:$BA$200,$G502)&gt;0,
    COUNTIFS($BB$2:$BB$200,$G502)&gt;0,
    COUNTIFS($BC$2:$BC$200,$G502)&gt;0,
    COUNTIFS($BD$2:$BD$200,$G502)&gt;0,
    COUNTIFS($BE$2:$BE$200,$G502)&gt;0,
    COUNTIFS($BF$2:$BF$200,$G502)&gt;0,
    COUNTIFS($BG$2:$BG$200,$G502)&gt;0,
    COUNTIFS($BH$2:$BH$200,$G502)&gt;0,
    COUNTIFS($BI$2:$BI$200,$G502)&gt;0,
    COUNTIFS($BJ$2:$BJ$200,$G502)&gt;0,
    COUNTIFS($BK$2:$BK$200,$G502)&gt;0,
    COUNTIFS($BL$2:$BL$200,$G502)&gt;0,
    COUNTIFS($BM$2:$BM$200,$G502)&gt;0,
   ),
  0)
 ),
"")</f>
        <v>Carlos</v>
      </c>
      <c r="G502" t="str">
        <f ca="1"/>
        <v>Unholy Annex // Ritual Chamber</v>
      </c>
      <c r="EX502" t="str">
        <f ca="1"/>
        <v>Unholy Annex // Ritual Chamber</v>
      </c>
    </row>
    <row r="503" spans="1:154" x14ac:dyDescent="0.25">
      <c r="A503" s="2" t="str">
        <f t="shared" ca="1" si="20"/>
        <v>5</v>
      </c>
      <c r="B503" s="2">
        <f t="shared" ca="1" si="21"/>
        <v>1</v>
      </c>
      <c r="C503" s="2" t="str">
        <f ca="1">IFERROR(
 INDEX($V$1:$BL$1,
  MATCH(TRUE,
   CHOOSE({1;2;3;4;5;6;7;8;9;10;11;12;13;14;15;16;17;18;19;20;21;22;23;24;25;26;27;28;29;30;31;32;33;34;35;36;37;38;39;40;41;42;43},
    COUNTIFS($V$2:$V$200,$G503)&gt;0,
    COUNTIFS($W$2:$W$200,$G503)&gt;0,
    COUNTIFS($X$2:$X$200,$G503)&gt;0,
    COUNTIFS($Y$2:$Y$200,$G503)&gt;0,
    COUNTIFS($Z$2:$Z$200,$G503)&gt;0,
    COUNTIFS($AA$2:$AA$200,$G503)&gt;0,
    COUNTIFS($AB$2:$AB$200,$G503)&gt;0,
    COUNTIFS($AC$2:$AC$200,$G503)&gt;0,
    COUNTIFS($AD$2:$AD$200,$G503)&gt;0,
    COUNTIFS($AE$2:$AE$200,$G503)&gt;0,
    COUNTIFS($AF$2:$AF$200,$G503)&gt;0,
    COUNTIFS($AG$2:$AG$200,$G503)&gt;0,
    COUNTIFS($AH$2:$AH$200,$G503)&gt;0,
    COUNTIFS($AI$2:$AI$200,$G503)&gt;0,
    COUNTIFS($AJ$2:$AJ$200,$G503)&gt;0,
    COUNTIFS($AK$2:$AK$200,$G503)&gt;0,
    COUNTIFS($AL$2:$AL$200,$G503)&gt;0,
    COUNTIFS($AM$2:$AM$200,$G503)&gt;0,
    COUNTIFS($AN$2:$AN$200,$G503)&gt;0,
    COUNTIFS($AO$2:$AO$200,$G503)&gt;0,
    COUNTIFS($AP$2:$AP$200,$G503)&gt;0,
    COUNTIFS($AQ$2:$AQ$200,$G503)&gt;0,
    COUNTIFS($AR$2:$AR$200,$G503)&gt;0,
    COUNTIFS($AS$2:$AS$200,$G503)&gt;0,
    COUNTIFS($AT$2:$AT$200,$G503)&gt;0,
    COUNTIFS($AU$2:$AU$200,$G503)&gt;0,
    COUNTIFS($AV$2:$AV$200,$G503)&gt;0,
    COUNTIFS($AW$2:$AW$200,$G503)&gt;0,
    COUNTIFS($AX$2:$AX$200,$G503)&gt;0,
    COUNTIFS($AY$2:$AY$200,$G503)&gt;0,
    COUNTIFS($AZ$2:$AZ$200,$G503)&gt;0,
    COUNTIFS($BA$2:$BA$200,$G503)&gt;0,
    COUNTIFS($BB$2:$BB$200,$G503)&gt;0,
    COUNTIFS($BC$2:$BC$200,$G503)&gt;0,
    COUNTIFS($BD$2:$BD$200,$G503)&gt;0,
    COUNTIFS($BE$2:$BE$200,$G503)&gt;0,
    COUNTIFS($BF$2:$BF$200,$G503)&gt;0,
    COUNTIFS($BG$2:$BG$200,$G503)&gt;0,
    COUNTIFS($BH$2:$BH$200,$G503)&gt;0,
    COUNTIFS($BI$2:$BI$200,$G503)&gt;0,
    COUNTIFS($BJ$2:$BJ$200,$G503)&gt;0,
    COUNTIFS($BK$2:$BK$200,$G503)&gt;0,
    COUNTIFS($BL$2:$BL$200,$G503)&gt;0,
    COUNTIFS($BM$2:$BM$200,$G503)&gt;0,
   ),
  0)
 ),
"")</f>
        <v>Fractius</v>
      </c>
      <c r="G503" t="str">
        <f ca="1"/>
        <v>Unsettled Mariner</v>
      </c>
      <c r="EX503" t="str">
        <f ca="1"/>
        <v>Unsettled Mariner</v>
      </c>
    </row>
    <row r="504" spans="1:154" x14ac:dyDescent="0.25">
      <c r="A504" s="2" t="str">
        <f t="shared" ca="1" si="20"/>
        <v>5</v>
      </c>
      <c r="B504" s="2">
        <f t="shared" ca="1" si="21"/>
        <v>1</v>
      </c>
      <c r="C504" s="2" t="str">
        <f ca="1">IFERROR(
 INDEX($V$1:$BL$1,
  MATCH(TRUE,
   CHOOSE({1;2;3;4;5;6;7;8;9;10;11;12;13;14;15;16;17;18;19;20;21;22;23;24;25;26;27;28;29;30;31;32;33;34;35;36;37;38;39;40;41;42;43},
    COUNTIFS($V$2:$V$200,$G504)&gt;0,
    COUNTIFS($W$2:$W$200,$G504)&gt;0,
    COUNTIFS($X$2:$X$200,$G504)&gt;0,
    COUNTIFS($Y$2:$Y$200,$G504)&gt;0,
    COUNTIFS($Z$2:$Z$200,$G504)&gt;0,
    COUNTIFS($AA$2:$AA$200,$G504)&gt;0,
    COUNTIFS($AB$2:$AB$200,$G504)&gt;0,
    COUNTIFS($AC$2:$AC$200,$G504)&gt;0,
    COUNTIFS($AD$2:$AD$200,$G504)&gt;0,
    COUNTIFS($AE$2:$AE$200,$G504)&gt;0,
    COUNTIFS($AF$2:$AF$200,$G504)&gt;0,
    COUNTIFS($AG$2:$AG$200,$G504)&gt;0,
    COUNTIFS($AH$2:$AH$200,$G504)&gt;0,
    COUNTIFS($AI$2:$AI$200,$G504)&gt;0,
    COUNTIFS($AJ$2:$AJ$200,$G504)&gt;0,
    COUNTIFS($AK$2:$AK$200,$G504)&gt;0,
    COUNTIFS($AL$2:$AL$200,$G504)&gt;0,
    COUNTIFS($AM$2:$AM$200,$G504)&gt;0,
    COUNTIFS($AN$2:$AN$200,$G504)&gt;0,
    COUNTIFS($AO$2:$AO$200,$G504)&gt;0,
    COUNTIFS($AP$2:$AP$200,$G504)&gt;0,
    COUNTIFS($AQ$2:$AQ$200,$G504)&gt;0,
    COUNTIFS($AR$2:$AR$200,$G504)&gt;0,
    COUNTIFS($AS$2:$AS$200,$G504)&gt;0,
    COUNTIFS($AT$2:$AT$200,$G504)&gt;0,
    COUNTIFS($AU$2:$AU$200,$G504)&gt;0,
    COUNTIFS($AV$2:$AV$200,$G504)&gt;0,
    COUNTIFS($AW$2:$AW$200,$G504)&gt;0,
    COUNTIFS($AX$2:$AX$200,$G504)&gt;0,
    COUNTIFS($AY$2:$AY$200,$G504)&gt;0,
    COUNTIFS($AZ$2:$AZ$200,$G504)&gt;0,
    COUNTIFS($BA$2:$BA$200,$G504)&gt;0,
    COUNTIFS($BB$2:$BB$200,$G504)&gt;0,
    COUNTIFS($BC$2:$BC$200,$G504)&gt;0,
    COUNTIFS($BD$2:$BD$200,$G504)&gt;0,
    COUNTIFS($BE$2:$BE$200,$G504)&gt;0,
    COUNTIFS($BF$2:$BF$200,$G504)&gt;0,
    COUNTIFS($BG$2:$BG$200,$G504)&gt;0,
    COUNTIFS($BH$2:$BH$200,$G504)&gt;0,
    COUNTIFS($BI$2:$BI$200,$G504)&gt;0,
    COUNTIFS($BJ$2:$BJ$200,$G504)&gt;0,
    COUNTIFS($BK$2:$BK$200,$G504)&gt;0,
    COUNTIFS($BL$2:$BL$200,$G504)&gt;0,
    COUNTIFS($BM$2:$BM$200,$G504)&gt;0,
   ),
  0)
 ),
"")</f>
        <v>4cRash</v>
      </c>
      <c r="G504" t="str">
        <f ca="1"/>
        <v>Unwind</v>
      </c>
      <c r="EX504" t="str">
        <f ca="1"/>
        <v>Unwind</v>
      </c>
    </row>
    <row r="505" spans="1:154" x14ac:dyDescent="0.25">
      <c r="A505" s="2" t="str">
        <f t="shared" ca="1" si="20"/>
        <v>1</v>
      </c>
      <c r="B505" s="2">
        <f t="shared" ca="1" si="21"/>
        <v>1</v>
      </c>
      <c r="C505" s="2" t="str">
        <f ca="1">IFERROR(
 INDEX($V$1:$BL$1,
  MATCH(TRUE,
   CHOOSE({1;2;3;4;5;6;7;8;9;10;11;12;13;14;15;16;17;18;19;20;21;22;23;24;25;26;27;28;29;30;31;32;33;34;35;36;37;38;39;40;41;42;43},
    COUNTIFS($V$2:$V$200,$G505)&gt;0,
    COUNTIFS($W$2:$W$200,$G505)&gt;0,
    COUNTIFS($X$2:$X$200,$G505)&gt;0,
    COUNTIFS($Y$2:$Y$200,$G505)&gt;0,
    COUNTIFS($Z$2:$Z$200,$G505)&gt;0,
    COUNTIFS($AA$2:$AA$200,$G505)&gt;0,
    COUNTIFS($AB$2:$AB$200,$G505)&gt;0,
    COUNTIFS($AC$2:$AC$200,$G505)&gt;0,
    COUNTIFS($AD$2:$AD$200,$G505)&gt;0,
    COUNTIFS($AE$2:$AE$200,$G505)&gt;0,
    COUNTIFS($AF$2:$AF$200,$G505)&gt;0,
    COUNTIFS($AG$2:$AG$200,$G505)&gt;0,
    COUNTIFS($AH$2:$AH$200,$G505)&gt;0,
    COUNTIFS($AI$2:$AI$200,$G505)&gt;0,
    COUNTIFS($AJ$2:$AJ$200,$G505)&gt;0,
    COUNTIFS($AK$2:$AK$200,$G505)&gt;0,
    COUNTIFS($AL$2:$AL$200,$G505)&gt;0,
    COUNTIFS($AM$2:$AM$200,$G505)&gt;0,
    COUNTIFS($AN$2:$AN$200,$G505)&gt;0,
    COUNTIFS($AO$2:$AO$200,$G505)&gt;0,
    COUNTIFS($AP$2:$AP$200,$G505)&gt;0,
    COUNTIFS($AQ$2:$AQ$200,$G505)&gt;0,
    COUNTIFS($AR$2:$AR$200,$G505)&gt;0,
    COUNTIFS($AS$2:$AS$200,$G505)&gt;0,
    COUNTIFS($AT$2:$AT$200,$G505)&gt;0,
    COUNTIFS($AU$2:$AU$200,$G505)&gt;0,
    COUNTIFS($AV$2:$AV$200,$G505)&gt;0,
    COUNTIFS($AW$2:$AW$200,$G505)&gt;0,
    COUNTIFS($AX$2:$AX$200,$G505)&gt;0,
    COUNTIFS($AY$2:$AY$200,$G505)&gt;0,
    COUNTIFS($AZ$2:$AZ$200,$G505)&gt;0,
    COUNTIFS($BA$2:$BA$200,$G505)&gt;0,
    COUNTIFS($BB$2:$BB$200,$G505)&gt;0,
    COUNTIFS($BC$2:$BC$200,$G505)&gt;0,
    COUNTIFS($BD$2:$BD$200,$G505)&gt;0,
    COUNTIFS($BE$2:$BE$200,$G505)&gt;0,
    COUNTIFS($BF$2:$BF$200,$G505)&gt;0,
    COUNTIFS($BG$2:$BG$200,$G505)&gt;0,
    COUNTIFS($BH$2:$BH$200,$G505)&gt;0,
    COUNTIFS($BI$2:$BI$200,$G505)&gt;0,
    COUNTIFS($BJ$2:$BJ$200,$G505)&gt;0,
    COUNTIFS($BK$2:$BK$200,$G505)&gt;0,
    COUNTIFS($BL$2:$BL$200,$G505)&gt;0,
    COUNTIFS($BM$2:$BM$200,$G505)&gt;0,
   ),
  0)
 ),
"")</f>
        <v>Jhoira</v>
      </c>
      <c r="G505" t="str">
        <f ca="1"/>
        <v>Valfenda</v>
      </c>
      <c r="EX505" t="str">
        <f ca="1"/>
        <v>Valfenda</v>
      </c>
    </row>
    <row r="506" spans="1:154" x14ac:dyDescent="0.25">
      <c r="A506" s="2" t="str">
        <f t="shared" ca="1" si="20"/>
        <v>2</v>
      </c>
      <c r="B506" s="2">
        <f t="shared" ca="1" si="21"/>
        <v>1</v>
      </c>
      <c r="C506" s="2" t="str">
        <f ca="1">IFERROR(
 INDEX($V$1:$BL$1,
  MATCH(TRUE,
   CHOOSE({1;2;3;4;5;6;7;8;9;10;11;12;13;14;15;16;17;18;19;20;21;22;23;24;25;26;27;28;29;30;31;32;33;34;35;36;37;38;39;40;41;42;43},
    COUNTIFS($V$2:$V$200,$G506)&gt;0,
    COUNTIFS($W$2:$W$200,$G506)&gt;0,
    COUNTIFS($X$2:$X$200,$G506)&gt;0,
    COUNTIFS($Y$2:$Y$200,$G506)&gt;0,
    COUNTIFS($Z$2:$Z$200,$G506)&gt;0,
    COUNTIFS($AA$2:$AA$200,$G506)&gt;0,
    COUNTIFS($AB$2:$AB$200,$G506)&gt;0,
    COUNTIFS($AC$2:$AC$200,$G506)&gt;0,
    COUNTIFS($AD$2:$AD$200,$G506)&gt;0,
    COUNTIFS($AE$2:$AE$200,$G506)&gt;0,
    COUNTIFS($AF$2:$AF$200,$G506)&gt;0,
    COUNTIFS($AG$2:$AG$200,$G506)&gt;0,
    COUNTIFS($AH$2:$AH$200,$G506)&gt;0,
    COUNTIFS($AI$2:$AI$200,$G506)&gt;0,
    COUNTIFS($AJ$2:$AJ$200,$G506)&gt;0,
    COUNTIFS($AK$2:$AK$200,$G506)&gt;0,
    COUNTIFS($AL$2:$AL$200,$G506)&gt;0,
    COUNTIFS($AM$2:$AM$200,$G506)&gt;0,
    COUNTIFS($AN$2:$AN$200,$G506)&gt;0,
    COUNTIFS($AO$2:$AO$200,$G506)&gt;0,
    COUNTIFS($AP$2:$AP$200,$G506)&gt;0,
    COUNTIFS($AQ$2:$AQ$200,$G506)&gt;0,
    COUNTIFS($AR$2:$AR$200,$G506)&gt;0,
    COUNTIFS($AS$2:$AS$200,$G506)&gt;0,
    COUNTIFS($AT$2:$AT$200,$G506)&gt;0,
    COUNTIFS($AU$2:$AU$200,$G506)&gt;0,
    COUNTIFS($AV$2:$AV$200,$G506)&gt;0,
    COUNTIFS($AW$2:$AW$200,$G506)&gt;0,
    COUNTIFS($AX$2:$AX$200,$G506)&gt;0,
    COUNTIFS($AY$2:$AY$200,$G506)&gt;0,
    COUNTIFS($AZ$2:$AZ$200,$G506)&gt;0,
    COUNTIFS($BA$2:$BA$200,$G506)&gt;0,
    COUNTIFS($BB$2:$BB$200,$G506)&gt;0,
    COUNTIFS($BC$2:$BC$200,$G506)&gt;0,
    COUNTIFS($BD$2:$BD$200,$G506)&gt;0,
    COUNTIFS($BE$2:$BE$200,$G506)&gt;0,
    COUNTIFS($BF$2:$BF$200,$G506)&gt;0,
    COUNTIFS($BG$2:$BG$200,$G506)&gt;0,
    COUNTIFS($BH$2:$BH$200,$G506)&gt;0,
    COUNTIFS($BI$2:$BI$200,$G506)&gt;0,
    COUNTIFS($BJ$2:$BJ$200,$G506)&gt;0,
    COUNTIFS($BK$2:$BK$200,$G506)&gt;0,
    COUNTIFS($BL$2:$BL$200,$G506)&gt;0,
    COUNTIFS($BM$2:$BM$200,$G506)&gt;0,
   ),
  0)
 ),
"")</f>
        <v>VialIshai</v>
      </c>
      <c r="G506" t="str">
        <f ca="1"/>
        <v>Vault of Champions</v>
      </c>
      <c r="EX506" t="str">
        <f ca="1"/>
        <v>Vault of Champions</v>
      </c>
    </row>
    <row r="507" spans="1:154" x14ac:dyDescent="0.25">
      <c r="A507" s="2" t="str">
        <f t="shared" ca="1" si="20"/>
        <v>2</v>
      </c>
      <c r="B507" s="2">
        <f t="shared" ca="1" si="21"/>
        <v>3</v>
      </c>
      <c r="C507" s="2" t="str">
        <f ca="1">IFERROR(
 INDEX($V$1:$BL$1,
  MATCH(TRUE,
   CHOOSE({1;2;3;4;5;6;7;8;9;10;11;12;13;14;15;16;17;18;19;20;21;22;23;24;25;26;27;28;29;30;31;32;33;34;35;36;37;38;39;40;41;42;43},
    COUNTIFS($V$2:$V$200,$G507)&gt;0,
    COUNTIFS($W$2:$W$200,$G507)&gt;0,
    COUNTIFS($X$2:$X$200,$G507)&gt;0,
    COUNTIFS($Y$2:$Y$200,$G507)&gt;0,
    COUNTIFS($Z$2:$Z$200,$G507)&gt;0,
    COUNTIFS($AA$2:$AA$200,$G507)&gt;0,
    COUNTIFS($AB$2:$AB$200,$G507)&gt;0,
    COUNTIFS($AC$2:$AC$200,$G507)&gt;0,
    COUNTIFS($AD$2:$AD$200,$G507)&gt;0,
    COUNTIFS($AE$2:$AE$200,$G507)&gt;0,
    COUNTIFS($AF$2:$AF$200,$G507)&gt;0,
    COUNTIFS($AG$2:$AG$200,$G507)&gt;0,
    COUNTIFS($AH$2:$AH$200,$G507)&gt;0,
    COUNTIFS($AI$2:$AI$200,$G507)&gt;0,
    COUNTIFS($AJ$2:$AJ$200,$G507)&gt;0,
    COUNTIFS($AK$2:$AK$200,$G507)&gt;0,
    COUNTIFS($AL$2:$AL$200,$G507)&gt;0,
    COUNTIFS($AM$2:$AM$200,$G507)&gt;0,
    COUNTIFS($AN$2:$AN$200,$G507)&gt;0,
    COUNTIFS($AO$2:$AO$200,$G507)&gt;0,
    COUNTIFS($AP$2:$AP$200,$G507)&gt;0,
    COUNTIFS($AQ$2:$AQ$200,$G507)&gt;0,
    COUNTIFS($AR$2:$AR$200,$G507)&gt;0,
    COUNTIFS($AS$2:$AS$200,$G507)&gt;0,
    COUNTIFS($AT$2:$AT$200,$G507)&gt;0,
    COUNTIFS($AU$2:$AU$200,$G507)&gt;0,
    COUNTIFS($AV$2:$AV$200,$G507)&gt;0,
    COUNTIFS($AW$2:$AW$200,$G507)&gt;0,
    COUNTIFS($AX$2:$AX$200,$G507)&gt;0,
    COUNTIFS($AY$2:$AY$200,$G507)&gt;0,
    COUNTIFS($AZ$2:$AZ$200,$G507)&gt;0,
    COUNTIFS($BA$2:$BA$200,$G507)&gt;0,
    COUNTIFS($BB$2:$BB$200,$G507)&gt;0,
    COUNTIFS($BC$2:$BC$200,$G507)&gt;0,
    COUNTIFS($BD$2:$BD$200,$G507)&gt;0,
    COUNTIFS($BE$2:$BE$200,$G507)&gt;0,
    COUNTIFS($BF$2:$BF$200,$G507)&gt;0,
    COUNTIFS($BG$2:$BG$200,$G507)&gt;0,
    COUNTIFS($BH$2:$BH$200,$G507)&gt;0,
    COUNTIFS($BI$2:$BI$200,$G507)&gt;0,
    COUNTIFS($BJ$2:$BJ$200,$G507)&gt;0,
    COUNTIFS($BK$2:$BK$200,$G507)&gt;0,
    COUNTIFS($BL$2:$BL$200,$G507)&gt;0,
    COUNTIFS($BM$2:$BM$200,$G507)&gt;0,
   ),
  0)
 ),
"")</f>
        <v>Carlos</v>
      </c>
      <c r="G507" t="str">
        <f ca="1"/>
        <v>Vault of the Archangel</v>
      </c>
      <c r="EX507" t="str">
        <f ca="1"/>
        <v>Vault of the Archangel</v>
      </c>
    </row>
    <row r="508" spans="1:154" x14ac:dyDescent="0.25">
      <c r="A508" s="2" t="str">
        <f t="shared" ca="1" si="20"/>
        <v>5</v>
      </c>
      <c r="B508" s="2">
        <f t="shared" ca="1" si="21"/>
        <v>1</v>
      </c>
      <c r="C508" s="2" t="str">
        <f ca="1">IFERROR(
 INDEX($V$1:$BL$1,
  MATCH(TRUE,
   CHOOSE({1;2;3;4;5;6;7;8;9;10;11;12;13;14;15;16;17;18;19;20;21;22;23;24;25;26;27;28;29;30;31;32;33;34;35;36;37;38;39;40;41;42;43},
    COUNTIFS($V$2:$V$200,$G508)&gt;0,
    COUNTIFS($W$2:$W$200,$G508)&gt;0,
    COUNTIFS($X$2:$X$200,$G508)&gt;0,
    COUNTIFS($Y$2:$Y$200,$G508)&gt;0,
    COUNTIFS($Z$2:$Z$200,$G508)&gt;0,
    COUNTIFS($AA$2:$AA$200,$G508)&gt;0,
    COUNTIFS($AB$2:$AB$200,$G508)&gt;0,
    COUNTIFS($AC$2:$AC$200,$G508)&gt;0,
    COUNTIFS($AD$2:$AD$200,$G508)&gt;0,
    COUNTIFS($AE$2:$AE$200,$G508)&gt;0,
    COUNTIFS($AF$2:$AF$200,$G508)&gt;0,
    COUNTIFS($AG$2:$AG$200,$G508)&gt;0,
    COUNTIFS($AH$2:$AH$200,$G508)&gt;0,
    COUNTIFS($AI$2:$AI$200,$G508)&gt;0,
    COUNTIFS($AJ$2:$AJ$200,$G508)&gt;0,
    COUNTIFS($AK$2:$AK$200,$G508)&gt;0,
    COUNTIFS($AL$2:$AL$200,$G508)&gt;0,
    COUNTIFS($AM$2:$AM$200,$G508)&gt;0,
    COUNTIFS($AN$2:$AN$200,$G508)&gt;0,
    COUNTIFS($AO$2:$AO$200,$G508)&gt;0,
    COUNTIFS($AP$2:$AP$200,$G508)&gt;0,
    COUNTIFS($AQ$2:$AQ$200,$G508)&gt;0,
    COUNTIFS($AR$2:$AR$200,$G508)&gt;0,
    COUNTIFS($AS$2:$AS$200,$G508)&gt;0,
    COUNTIFS($AT$2:$AT$200,$G508)&gt;0,
    COUNTIFS($AU$2:$AU$200,$G508)&gt;0,
    COUNTIFS($AV$2:$AV$200,$G508)&gt;0,
    COUNTIFS($AW$2:$AW$200,$G508)&gt;0,
    COUNTIFS($AX$2:$AX$200,$G508)&gt;0,
    COUNTIFS($AY$2:$AY$200,$G508)&gt;0,
    COUNTIFS($AZ$2:$AZ$200,$G508)&gt;0,
    COUNTIFS($BA$2:$BA$200,$G508)&gt;0,
    COUNTIFS($BB$2:$BB$200,$G508)&gt;0,
    COUNTIFS($BC$2:$BC$200,$G508)&gt;0,
    COUNTIFS($BD$2:$BD$200,$G508)&gt;0,
    COUNTIFS($BE$2:$BE$200,$G508)&gt;0,
    COUNTIFS($BF$2:$BF$200,$G508)&gt;0,
    COUNTIFS($BG$2:$BG$200,$G508)&gt;0,
    COUNTIFS($BH$2:$BH$200,$G508)&gt;0,
    COUNTIFS($BI$2:$BI$200,$G508)&gt;0,
    COUNTIFS($BJ$2:$BJ$200,$G508)&gt;0,
    COUNTIFS($BK$2:$BK$200,$G508)&gt;0,
    COUNTIFS($BL$2:$BL$200,$G508)&gt;0,
    COUNTIFS($BM$2:$BM$200,$G508)&gt;0,
   ),
  0)
 ),
"")</f>
        <v>Yorion</v>
      </c>
      <c r="G508" t="str">
        <f ca="1"/>
        <v>Vedalken Mastermind</v>
      </c>
      <c r="EX508" t="str">
        <f ca="1"/>
        <v>Vedalken Mastermind</v>
      </c>
    </row>
    <row r="509" spans="1:154" x14ac:dyDescent="0.25">
      <c r="A509" s="2" t="str">
        <f t="shared" ca="1" si="20"/>
        <v>5</v>
      </c>
      <c r="B509" s="2">
        <f t="shared" ca="1" si="21"/>
        <v>1</v>
      </c>
      <c r="C509" s="2" t="str">
        <f ca="1">IFERROR(
 INDEX($V$1:$BL$1,
  MATCH(TRUE,
   CHOOSE({1;2;3;4;5;6;7;8;9;10;11;12;13;14;15;16;17;18;19;20;21;22;23;24;25;26;27;28;29;30;31;32;33;34;35;36;37;38;39;40;41;42;43},
    COUNTIFS($V$2:$V$200,$G509)&gt;0,
    COUNTIFS($W$2:$W$200,$G509)&gt;0,
    COUNTIFS($X$2:$X$200,$G509)&gt;0,
    COUNTIFS($Y$2:$Y$200,$G509)&gt;0,
    COUNTIFS($Z$2:$Z$200,$G509)&gt;0,
    COUNTIFS($AA$2:$AA$200,$G509)&gt;0,
    COUNTIFS($AB$2:$AB$200,$G509)&gt;0,
    COUNTIFS($AC$2:$AC$200,$G509)&gt;0,
    COUNTIFS($AD$2:$AD$200,$G509)&gt;0,
    COUNTIFS($AE$2:$AE$200,$G509)&gt;0,
    COUNTIFS($AF$2:$AF$200,$G509)&gt;0,
    COUNTIFS($AG$2:$AG$200,$G509)&gt;0,
    COUNTIFS($AH$2:$AH$200,$G509)&gt;0,
    COUNTIFS($AI$2:$AI$200,$G509)&gt;0,
    COUNTIFS($AJ$2:$AJ$200,$G509)&gt;0,
    COUNTIFS($AK$2:$AK$200,$G509)&gt;0,
    COUNTIFS($AL$2:$AL$200,$G509)&gt;0,
    COUNTIFS($AM$2:$AM$200,$G509)&gt;0,
    COUNTIFS($AN$2:$AN$200,$G509)&gt;0,
    COUNTIFS($AO$2:$AO$200,$G509)&gt;0,
    COUNTIFS($AP$2:$AP$200,$G509)&gt;0,
    COUNTIFS($AQ$2:$AQ$200,$G509)&gt;0,
    COUNTIFS($AR$2:$AR$200,$G509)&gt;0,
    COUNTIFS($AS$2:$AS$200,$G509)&gt;0,
    COUNTIFS($AT$2:$AT$200,$G509)&gt;0,
    COUNTIFS($AU$2:$AU$200,$G509)&gt;0,
    COUNTIFS($AV$2:$AV$200,$G509)&gt;0,
    COUNTIFS($AW$2:$AW$200,$G509)&gt;0,
    COUNTIFS($AX$2:$AX$200,$G509)&gt;0,
    COUNTIFS($AY$2:$AY$200,$G509)&gt;0,
    COUNTIFS($AZ$2:$AZ$200,$G509)&gt;0,
    COUNTIFS($BA$2:$BA$200,$G509)&gt;0,
    COUNTIFS($BB$2:$BB$200,$G509)&gt;0,
    COUNTIFS($BC$2:$BC$200,$G509)&gt;0,
    COUNTIFS($BD$2:$BD$200,$G509)&gt;0,
    COUNTIFS($BE$2:$BE$200,$G509)&gt;0,
    COUNTIFS($BF$2:$BF$200,$G509)&gt;0,
    COUNTIFS($BG$2:$BG$200,$G509)&gt;0,
    COUNTIFS($BH$2:$BH$200,$G509)&gt;0,
    COUNTIFS($BI$2:$BI$200,$G509)&gt;0,
    COUNTIFS($BJ$2:$BJ$200,$G509)&gt;0,
    COUNTIFS($BK$2:$BK$200,$G509)&gt;0,
    COUNTIFS($BL$2:$BL$200,$G509)&gt;0,
    COUNTIFS($BM$2:$BM$200,$G509)&gt;0,
   ),
  0)
 ),
"")</f>
        <v>Zuko</v>
      </c>
      <c r="G509" t="str">
        <f ca="1"/>
        <v>Vedalken Orrery</v>
      </c>
      <c r="EX509" t="str">
        <f ca="1"/>
        <v>Vedalken Orrery</v>
      </c>
    </row>
    <row r="510" spans="1:154" x14ac:dyDescent="0.25">
      <c r="A510" s="2" t="str">
        <f t="shared" ca="1" si="20"/>
        <v>5</v>
      </c>
      <c r="B510" s="2">
        <f t="shared" ca="1" si="21"/>
        <v>1</v>
      </c>
      <c r="C510" s="2" t="str">
        <f ca="1">IFERROR(
 INDEX($V$1:$BL$1,
  MATCH(TRUE,
   CHOOSE({1;2;3;4;5;6;7;8;9;10;11;12;13;14;15;16;17;18;19;20;21;22;23;24;25;26;27;28;29;30;31;32;33;34;35;36;37;38;39;40;41;42;43},
    COUNTIFS($V$2:$V$200,$G510)&gt;0,
    COUNTIFS($W$2:$W$200,$G510)&gt;0,
    COUNTIFS($X$2:$X$200,$G510)&gt;0,
    COUNTIFS($Y$2:$Y$200,$G510)&gt;0,
    COUNTIFS($Z$2:$Z$200,$G510)&gt;0,
    COUNTIFS($AA$2:$AA$200,$G510)&gt;0,
    COUNTIFS($AB$2:$AB$200,$G510)&gt;0,
    COUNTIFS($AC$2:$AC$200,$G510)&gt;0,
    COUNTIFS($AD$2:$AD$200,$G510)&gt;0,
    COUNTIFS($AE$2:$AE$200,$G510)&gt;0,
    COUNTIFS($AF$2:$AF$200,$G510)&gt;0,
    COUNTIFS($AG$2:$AG$200,$G510)&gt;0,
    COUNTIFS($AH$2:$AH$200,$G510)&gt;0,
    COUNTIFS($AI$2:$AI$200,$G510)&gt;0,
    COUNTIFS($AJ$2:$AJ$200,$G510)&gt;0,
    COUNTIFS($AK$2:$AK$200,$G510)&gt;0,
    COUNTIFS($AL$2:$AL$200,$G510)&gt;0,
    COUNTIFS($AM$2:$AM$200,$G510)&gt;0,
    COUNTIFS($AN$2:$AN$200,$G510)&gt;0,
    COUNTIFS($AO$2:$AO$200,$G510)&gt;0,
    COUNTIFS($AP$2:$AP$200,$G510)&gt;0,
    COUNTIFS($AQ$2:$AQ$200,$G510)&gt;0,
    COUNTIFS($AR$2:$AR$200,$G510)&gt;0,
    COUNTIFS($AS$2:$AS$200,$G510)&gt;0,
    COUNTIFS($AT$2:$AT$200,$G510)&gt;0,
    COUNTIFS($AU$2:$AU$200,$G510)&gt;0,
    COUNTIFS($AV$2:$AV$200,$G510)&gt;0,
    COUNTIFS($AW$2:$AW$200,$G510)&gt;0,
    COUNTIFS($AX$2:$AX$200,$G510)&gt;0,
    COUNTIFS($AY$2:$AY$200,$G510)&gt;0,
    COUNTIFS($AZ$2:$AZ$200,$G510)&gt;0,
    COUNTIFS($BA$2:$BA$200,$G510)&gt;0,
    COUNTIFS($BB$2:$BB$200,$G510)&gt;0,
    COUNTIFS($BC$2:$BC$200,$G510)&gt;0,
    COUNTIFS($BD$2:$BD$200,$G510)&gt;0,
    COUNTIFS($BE$2:$BE$200,$G510)&gt;0,
    COUNTIFS($BF$2:$BF$200,$G510)&gt;0,
    COUNTIFS($BG$2:$BG$200,$G510)&gt;0,
    COUNTIFS($BH$2:$BH$200,$G510)&gt;0,
    COUNTIFS($BI$2:$BI$200,$G510)&gt;0,
    COUNTIFS($BJ$2:$BJ$200,$G510)&gt;0,
    COUNTIFS($BK$2:$BK$200,$G510)&gt;0,
    COUNTIFS($BL$2:$BL$200,$G510)&gt;0,
    COUNTIFS($BM$2:$BM$200,$G510)&gt;0,
   ),
  0)
 ),
"")</f>
        <v>Fractius</v>
      </c>
      <c r="G510" t="str">
        <f ca="1"/>
        <v>Venom Sliver</v>
      </c>
      <c r="EX510" t="str">
        <f ca="1"/>
        <v>Venom Sliver</v>
      </c>
    </row>
    <row r="511" spans="1:154" x14ac:dyDescent="0.25">
      <c r="A511" s="2" t="str">
        <f t="shared" ca="1" si="20"/>
        <v>5</v>
      </c>
      <c r="B511" s="2">
        <f t="shared" ca="1" si="21"/>
        <v>1</v>
      </c>
      <c r="C511" s="2" t="str">
        <f ca="1">IFERROR(
 INDEX($V$1:$BL$1,
  MATCH(TRUE,
   CHOOSE({1;2;3;4;5;6;7;8;9;10;11;12;13;14;15;16;17;18;19;20;21;22;23;24;25;26;27;28;29;30;31;32;33;34;35;36;37;38;39;40;41;42;43},
    COUNTIFS($V$2:$V$200,$G511)&gt;0,
    COUNTIFS($W$2:$W$200,$G511)&gt;0,
    COUNTIFS($X$2:$X$200,$G511)&gt;0,
    COUNTIFS($Y$2:$Y$200,$G511)&gt;0,
    COUNTIFS($Z$2:$Z$200,$G511)&gt;0,
    COUNTIFS($AA$2:$AA$200,$G511)&gt;0,
    COUNTIFS($AB$2:$AB$200,$G511)&gt;0,
    COUNTIFS($AC$2:$AC$200,$G511)&gt;0,
    COUNTIFS($AD$2:$AD$200,$G511)&gt;0,
    COUNTIFS($AE$2:$AE$200,$G511)&gt;0,
    COUNTIFS($AF$2:$AF$200,$G511)&gt;0,
    COUNTIFS($AG$2:$AG$200,$G511)&gt;0,
    COUNTIFS($AH$2:$AH$200,$G511)&gt;0,
    COUNTIFS($AI$2:$AI$200,$G511)&gt;0,
    COUNTIFS($AJ$2:$AJ$200,$G511)&gt;0,
    COUNTIFS($AK$2:$AK$200,$G511)&gt;0,
    COUNTIFS($AL$2:$AL$200,$G511)&gt;0,
    COUNTIFS($AM$2:$AM$200,$G511)&gt;0,
    COUNTIFS($AN$2:$AN$200,$G511)&gt;0,
    COUNTIFS($AO$2:$AO$200,$G511)&gt;0,
    COUNTIFS($AP$2:$AP$200,$G511)&gt;0,
    COUNTIFS($AQ$2:$AQ$200,$G511)&gt;0,
    COUNTIFS($AR$2:$AR$200,$G511)&gt;0,
    COUNTIFS($AS$2:$AS$200,$G511)&gt;0,
    COUNTIFS($AT$2:$AT$200,$G511)&gt;0,
    COUNTIFS($AU$2:$AU$200,$G511)&gt;0,
    COUNTIFS($AV$2:$AV$200,$G511)&gt;0,
    COUNTIFS($AW$2:$AW$200,$G511)&gt;0,
    COUNTIFS($AX$2:$AX$200,$G511)&gt;0,
    COUNTIFS($AY$2:$AY$200,$G511)&gt;0,
    COUNTIFS($AZ$2:$AZ$200,$G511)&gt;0,
    COUNTIFS($BA$2:$BA$200,$G511)&gt;0,
    COUNTIFS($BB$2:$BB$200,$G511)&gt;0,
    COUNTIFS($BC$2:$BC$200,$G511)&gt;0,
    COUNTIFS($BD$2:$BD$200,$G511)&gt;0,
    COUNTIFS($BE$2:$BE$200,$G511)&gt;0,
    COUNTIFS($BF$2:$BF$200,$G511)&gt;0,
    COUNTIFS($BG$2:$BG$200,$G511)&gt;0,
    COUNTIFS($BH$2:$BH$200,$G511)&gt;0,
    COUNTIFS($BI$2:$BI$200,$G511)&gt;0,
    COUNTIFS($BJ$2:$BJ$200,$G511)&gt;0,
    COUNTIFS($BK$2:$BK$200,$G511)&gt;0,
    COUNTIFS($BL$2:$BL$200,$G511)&gt;0,
    COUNTIFS($BM$2:$BM$200,$G511)&gt;0,
   ),
  0)
 ),
"")</f>
        <v>Little</v>
      </c>
      <c r="G511" t="str">
        <f ca="1"/>
        <v>Veteran Soldier</v>
      </c>
      <c r="EX511" t="str">
        <f ca="1"/>
        <v>Veteran Soldier</v>
      </c>
    </row>
    <row r="512" spans="1:154" x14ac:dyDescent="0.25">
      <c r="A512" s="2" t="str">
        <f t="shared" ca="1" si="20"/>
        <v>2</v>
      </c>
      <c r="B512" s="2">
        <f t="shared" ca="1" si="21"/>
        <v>1</v>
      </c>
      <c r="C512" s="2" t="str">
        <f ca="1">IFERROR(
 INDEX($V$1:$BL$1,
  MATCH(TRUE,
   CHOOSE({1;2;3;4;5;6;7;8;9;10;11;12;13;14;15;16;17;18;19;20;21;22;23;24;25;26;27;28;29;30;31;32;33;34;35;36;37;38;39;40;41;42;43},
    COUNTIFS($V$2:$V$200,$G512)&gt;0,
    COUNTIFS($W$2:$W$200,$G512)&gt;0,
    COUNTIFS($X$2:$X$200,$G512)&gt;0,
    COUNTIFS($Y$2:$Y$200,$G512)&gt;0,
    COUNTIFS($Z$2:$Z$200,$G512)&gt;0,
    COUNTIFS($AA$2:$AA$200,$G512)&gt;0,
    COUNTIFS($AB$2:$AB$200,$G512)&gt;0,
    COUNTIFS($AC$2:$AC$200,$G512)&gt;0,
    COUNTIFS($AD$2:$AD$200,$G512)&gt;0,
    COUNTIFS($AE$2:$AE$200,$G512)&gt;0,
    COUNTIFS($AF$2:$AF$200,$G512)&gt;0,
    COUNTIFS($AG$2:$AG$200,$G512)&gt;0,
    COUNTIFS($AH$2:$AH$200,$G512)&gt;0,
    COUNTIFS($AI$2:$AI$200,$G512)&gt;0,
    COUNTIFS($AJ$2:$AJ$200,$G512)&gt;0,
    COUNTIFS($AK$2:$AK$200,$G512)&gt;0,
    COUNTIFS($AL$2:$AL$200,$G512)&gt;0,
    COUNTIFS($AM$2:$AM$200,$G512)&gt;0,
    COUNTIFS($AN$2:$AN$200,$G512)&gt;0,
    COUNTIFS($AO$2:$AO$200,$G512)&gt;0,
    COUNTIFS($AP$2:$AP$200,$G512)&gt;0,
    COUNTIFS($AQ$2:$AQ$200,$G512)&gt;0,
    COUNTIFS($AR$2:$AR$200,$G512)&gt;0,
    COUNTIFS($AS$2:$AS$200,$G512)&gt;0,
    COUNTIFS($AT$2:$AT$200,$G512)&gt;0,
    COUNTIFS($AU$2:$AU$200,$G512)&gt;0,
    COUNTIFS($AV$2:$AV$200,$G512)&gt;0,
    COUNTIFS($AW$2:$AW$200,$G512)&gt;0,
    COUNTIFS($AX$2:$AX$200,$G512)&gt;0,
    COUNTIFS($AY$2:$AY$200,$G512)&gt;0,
    COUNTIFS($AZ$2:$AZ$200,$G512)&gt;0,
    COUNTIFS($BA$2:$BA$200,$G512)&gt;0,
    COUNTIFS($BB$2:$BB$200,$G512)&gt;0,
    COUNTIFS($BC$2:$BC$200,$G512)&gt;0,
    COUNTIFS($BD$2:$BD$200,$G512)&gt;0,
    COUNTIFS($BE$2:$BE$200,$G512)&gt;0,
    COUNTIFS($BF$2:$BF$200,$G512)&gt;0,
    COUNTIFS($BG$2:$BG$200,$G512)&gt;0,
    COUNTIFS($BH$2:$BH$200,$G512)&gt;0,
    COUNTIFS($BI$2:$BI$200,$G512)&gt;0,
    COUNTIFS($BJ$2:$BJ$200,$G512)&gt;0,
    COUNTIFS($BK$2:$BK$200,$G512)&gt;0,
    COUNTIFS($BL$2:$BL$200,$G512)&gt;0,
    COUNTIFS($BM$2:$BM$200,$G512)&gt;0,
   ),
  0)
 ),
"")</f>
        <v>Muzzio</v>
      </c>
      <c r="G512" t="str">
        <f ca="1"/>
        <v>Vexing Puzzlebox</v>
      </c>
      <c r="EX512" t="str">
        <f ca="1"/>
        <v>Vexing Puzzlebox</v>
      </c>
    </row>
    <row r="513" spans="1:154" x14ac:dyDescent="0.25">
      <c r="A513" s="2" t="str">
        <f t="shared" ca="1" si="20"/>
        <v>5</v>
      </c>
      <c r="B513" s="2">
        <f t="shared" ca="1" si="21"/>
        <v>1</v>
      </c>
      <c r="C513" s="2" t="str">
        <f ca="1">IFERROR(
 INDEX($V$1:$BL$1,
  MATCH(TRUE,
   CHOOSE({1;2;3;4;5;6;7;8;9;10;11;12;13;14;15;16;17;18;19;20;21;22;23;24;25;26;27;28;29;30;31;32;33;34;35;36;37;38;39;40;41;42;43},
    COUNTIFS($V$2:$V$200,$G513)&gt;0,
    COUNTIFS($W$2:$W$200,$G513)&gt;0,
    COUNTIFS($X$2:$X$200,$G513)&gt;0,
    COUNTIFS($Y$2:$Y$200,$G513)&gt;0,
    COUNTIFS($Z$2:$Z$200,$G513)&gt;0,
    COUNTIFS($AA$2:$AA$200,$G513)&gt;0,
    COUNTIFS($AB$2:$AB$200,$G513)&gt;0,
    COUNTIFS($AC$2:$AC$200,$G513)&gt;0,
    COUNTIFS($AD$2:$AD$200,$G513)&gt;0,
    COUNTIFS($AE$2:$AE$200,$G513)&gt;0,
    COUNTIFS($AF$2:$AF$200,$G513)&gt;0,
    COUNTIFS($AG$2:$AG$200,$G513)&gt;0,
    COUNTIFS($AH$2:$AH$200,$G513)&gt;0,
    COUNTIFS($AI$2:$AI$200,$G513)&gt;0,
    COUNTIFS($AJ$2:$AJ$200,$G513)&gt;0,
    COUNTIFS($AK$2:$AK$200,$G513)&gt;0,
    COUNTIFS($AL$2:$AL$200,$G513)&gt;0,
    COUNTIFS($AM$2:$AM$200,$G513)&gt;0,
    COUNTIFS($AN$2:$AN$200,$G513)&gt;0,
    COUNTIFS($AO$2:$AO$200,$G513)&gt;0,
    COUNTIFS($AP$2:$AP$200,$G513)&gt;0,
    COUNTIFS($AQ$2:$AQ$200,$G513)&gt;0,
    COUNTIFS($AR$2:$AR$200,$G513)&gt;0,
    COUNTIFS($AS$2:$AS$200,$G513)&gt;0,
    COUNTIFS($AT$2:$AT$200,$G513)&gt;0,
    COUNTIFS($AU$2:$AU$200,$G513)&gt;0,
    COUNTIFS($AV$2:$AV$200,$G513)&gt;0,
    COUNTIFS($AW$2:$AW$200,$G513)&gt;0,
    COUNTIFS($AX$2:$AX$200,$G513)&gt;0,
    COUNTIFS($AY$2:$AY$200,$G513)&gt;0,
    COUNTIFS($AZ$2:$AZ$200,$G513)&gt;0,
    COUNTIFS($BA$2:$BA$200,$G513)&gt;0,
    COUNTIFS($BB$2:$BB$200,$G513)&gt;0,
    COUNTIFS($BC$2:$BC$200,$G513)&gt;0,
    COUNTIFS($BD$2:$BD$200,$G513)&gt;0,
    COUNTIFS($BE$2:$BE$200,$G513)&gt;0,
    COUNTIFS($BF$2:$BF$200,$G513)&gt;0,
    COUNTIFS($BG$2:$BG$200,$G513)&gt;0,
    COUNTIFS($BH$2:$BH$200,$G513)&gt;0,
    COUNTIFS($BI$2:$BI$200,$G513)&gt;0,
    COUNTIFS($BJ$2:$BJ$200,$G513)&gt;0,
    COUNTIFS($BK$2:$BK$200,$G513)&gt;0,
    COUNTIFS($BL$2:$BL$200,$G513)&gt;0,
    COUNTIFS($BM$2:$BM$200,$G513)&gt;0,
   ),
  0)
 ),
"")</f>
        <v>Yorion</v>
      </c>
      <c r="G513" t="str">
        <f ca="1"/>
        <v>Virtue of Knowledge // Vantress Visions</v>
      </c>
      <c r="EX513" t="str">
        <f ca="1"/>
        <v>Virtue of Knowledge // Vantress Visions</v>
      </c>
    </row>
    <row r="514" spans="1:154" x14ac:dyDescent="0.25">
      <c r="A514" s="2" t="str">
        <f t="shared" ca="1" si="20"/>
        <v>4</v>
      </c>
      <c r="B514" s="2">
        <f t="shared" ca="1" si="21"/>
        <v>1</v>
      </c>
      <c r="C514" s="2" t="str">
        <f ca="1">IFERROR(
 INDEX($V$1:$BL$1,
  MATCH(TRUE,
   CHOOSE({1;2;3;4;5;6;7;8;9;10;11;12;13;14;15;16;17;18;19;20;21;22;23;24;25;26;27;28;29;30;31;32;33;34;35;36;37;38;39;40;41;42;43},
    COUNTIFS($V$2:$V$200,$G514)&gt;0,
    COUNTIFS($W$2:$W$200,$G514)&gt;0,
    COUNTIFS($X$2:$X$200,$G514)&gt;0,
    COUNTIFS($Y$2:$Y$200,$G514)&gt;0,
    COUNTIFS($Z$2:$Z$200,$G514)&gt;0,
    COUNTIFS($AA$2:$AA$200,$G514)&gt;0,
    COUNTIFS($AB$2:$AB$200,$G514)&gt;0,
    COUNTIFS($AC$2:$AC$200,$G514)&gt;0,
    COUNTIFS($AD$2:$AD$200,$G514)&gt;0,
    COUNTIFS($AE$2:$AE$200,$G514)&gt;0,
    COUNTIFS($AF$2:$AF$200,$G514)&gt;0,
    COUNTIFS($AG$2:$AG$200,$G514)&gt;0,
    COUNTIFS($AH$2:$AH$200,$G514)&gt;0,
    COUNTIFS($AI$2:$AI$200,$G514)&gt;0,
    COUNTIFS($AJ$2:$AJ$200,$G514)&gt;0,
    COUNTIFS($AK$2:$AK$200,$G514)&gt;0,
    COUNTIFS($AL$2:$AL$200,$G514)&gt;0,
    COUNTIFS($AM$2:$AM$200,$G514)&gt;0,
    COUNTIFS($AN$2:$AN$200,$G514)&gt;0,
    COUNTIFS($AO$2:$AO$200,$G514)&gt;0,
    COUNTIFS($AP$2:$AP$200,$G514)&gt;0,
    COUNTIFS($AQ$2:$AQ$200,$G514)&gt;0,
    COUNTIFS($AR$2:$AR$200,$G514)&gt;0,
    COUNTIFS($AS$2:$AS$200,$G514)&gt;0,
    COUNTIFS($AT$2:$AT$200,$G514)&gt;0,
    COUNTIFS($AU$2:$AU$200,$G514)&gt;0,
    COUNTIFS($AV$2:$AV$200,$G514)&gt;0,
    COUNTIFS($AW$2:$AW$200,$G514)&gt;0,
    COUNTIFS($AX$2:$AX$200,$G514)&gt;0,
    COUNTIFS($AY$2:$AY$200,$G514)&gt;0,
    COUNTIFS($AZ$2:$AZ$200,$G514)&gt;0,
    COUNTIFS($BA$2:$BA$200,$G514)&gt;0,
    COUNTIFS($BB$2:$BB$200,$G514)&gt;0,
    COUNTIFS($BC$2:$BC$200,$G514)&gt;0,
    COUNTIFS($BD$2:$BD$200,$G514)&gt;0,
    COUNTIFS($BE$2:$BE$200,$G514)&gt;0,
    COUNTIFS($BF$2:$BF$200,$G514)&gt;0,
    COUNTIFS($BG$2:$BG$200,$G514)&gt;0,
    COUNTIFS($BH$2:$BH$200,$G514)&gt;0,
    COUNTIFS($BI$2:$BI$200,$G514)&gt;0,
    COUNTIFS($BJ$2:$BJ$200,$G514)&gt;0,
    COUNTIFS($BK$2:$BK$200,$G514)&gt;0,
    COUNTIFS($BL$2:$BL$200,$G514)&gt;0,
    COUNTIFS($BM$2:$BM$200,$G514)&gt;0,
   ),
  0)
 ),
"")</f>
        <v>Baylen</v>
      </c>
      <c r="G514" t="str">
        <f ca="1"/>
        <v>Virtue of Loyalty // Ardenvale Fealty</v>
      </c>
      <c r="EX514" t="str">
        <f ca="1"/>
        <v>Virtue of Loyalty // Ardenvale Fealty</v>
      </c>
    </row>
    <row r="515" spans="1:154" x14ac:dyDescent="0.25">
      <c r="A515" s="2" t="str">
        <f t="shared" ref="A515:A542" ca="1" si="22">IFERROR(INDEX($T$3:$T$200, MATCH($C515, $J$3:$J$200, 0)), "")</f>
        <v>4</v>
      </c>
      <c r="B515" s="2">
        <f t="shared" ref="B515:B542" ca="1" si="23">COUNTIF(V:CG,G515)</f>
        <v>1</v>
      </c>
      <c r="C515" s="2" t="str">
        <f ca="1">IFERROR(
 INDEX($V$1:$BL$1,
  MATCH(TRUE,
   CHOOSE({1;2;3;4;5;6;7;8;9;10;11;12;13;14;15;16;17;18;19;20;21;22;23;24;25;26;27;28;29;30;31;32;33;34;35;36;37;38;39;40;41;42;43},
    COUNTIFS($V$2:$V$200,$G515)&gt;0,
    COUNTIFS($W$2:$W$200,$G515)&gt;0,
    COUNTIFS($X$2:$X$200,$G515)&gt;0,
    COUNTIFS($Y$2:$Y$200,$G515)&gt;0,
    COUNTIFS($Z$2:$Z$200,$G515)&gt;0,
    COUNTIFS($AA$2:$AA$200,$G515)&gt;0,
    COUNTIFS($AB$2:$AB$200,$G515)&gt;0,
    COUNTIFS($AC$2:$AC$200,$G515)&gt;0,
    COUNTIFS($AD$2:$AD$200,$G515)&gt;0,
    COUNTIFS($AE$2:$AE$200,$G515)&gt;0,
    COUNTIFS($AF$2:$AF$200,$G515)&gt;0,
    COUNTIFS($AG$2:$AG$200,$G515)&gt;0,
    COUNTIFS($AH$2:$AH$200,$G515)&gt;0,
    COUNTIFS($AI$2:$AI$200,$G515)&gt;0,
    COUNTIFS($AJ$2:$AJ$200,$G515)&gt;0,
    COUNTIFS($AK$2:$AK$200,$G515)&gt;0,
    COUNTIFS($AL$2:$AL$200,$G515)&gt;0,
    COUNTIFS($AM$2:$AM$200,$G515)&gt;0,
    COUNTIFS($AN$2:$AN$200,$G515)&gt;0,
    COUNTIFS($AO$2:$AO$200,$G515)&gt;0,
    COUNTIFS($AP$2:$AP$200,$G515)&gt;0,
    COUNTIFS($AQ$2:$AQ$200,$G515)&gt;0,
    COUNTIFS($AR$2:$AR$200,$G515)&gt;0,
    COUNTIFS($AS$2:$AS$200,$G515)&gt;0,
    COUNTIFS($AT$2:$AT$200,$G515)&gt;0,
    COUNTIFS($AU$2:$AU$200,$G515)&gt;0,
    COUNTIFS($AV$2:$AV$200,$G515)&gt;0,
    COUNTIFS($AW$2:$AW$200,$G515)&gt;0,
    COUNTIFS($AX$2:$AX$200,$G515)&gt;0,
    COUNTIFS($AY$2:$AY$200,$G515)&gt;0,
    COUNTIFS($AZ$2:$AZ$200,$G515)&gt;0,
    COUNTIFS($BA$2:$BA$200,$G515)&gt;0,
    COUNTIFS($BB$2:$BB$200,$G515)&gt;0,
    COUNTIFS($BC$2:$BC$200,$G515)&gt;0,
    COUNTIFS($BD$2:$BD$200,$G515)&gt;0,
    COUNTIFS($BE$2:$BE$200,$G515)&gt;0,
    COUNTIFS($BF$2:$BF$200,$G515)&gt;0,
    COUNTIFS($BG$2:$BG$200,$G515)&gt;0,
    COUNTIFS($BH$2:$BH$200,$G515)&gt;0,
    COUNTIFS($BI$2:$BI$200,$G515)&gt;0,
    COUNTIFS($BJ$2:$BJ$200,$G515)&gt;0,
    COUNTIFS($BK$2:$BK$200,$G515)&gt;0,
    COUNTIFS($BL$2:$BL$200,$G515)&gt;0,
    COUNTIFS($BM$2:$BM$200,$G515)&gt;0,
   ),
  0)
 ),
"")</f>
        <v>Kresh</v>
      </c>
      <c r="G515" t="str">
        <f ca="1"/>
        <v>Vona's Hunger</v>
      </c>
      <c r="EX515" t="str">
        <f ca="1"/>
        <v>Vona's Hunger</v>
      </c>
    </row>
    <row r="516" spans="1:154" x14ac:dyDescent="0.25">
      <c r="A516" s="2" t="str">
        <f t="shared" ca="1" si="22"/>
        <v>2</v>
      </c>
      <c r="B516" s="2">
        <f t="shared" ca="1" si="23"/>
        <v>1</v>
      </c>
      <c r="C516" s="2" t="str">
        <f ca="1">IFERROR(
 INDEX($V$1:$BL$1,
  MATCH(TRUE,
   CHOOSE({1;2;3;4;5;6;7;8;9;10;11;12;13;14;15;16;17;18;19;20;21;22;23;24;25;26;27;28;29;30;31;32;33;34;35;36;37;38;39;40;41;42;43},
    COUNTIFS($V$2:$V$200,$G516)&gt;0,
    COUNTIFS($W$2:$W$200,$G516)&gt;0,
    COUNTIFS($X$2:$X$200,$G516)&gt;0,
    COUNTIFS($Y$2:$Y$200,$G516)&gt;0,
    COUNTIFS($Z$2:$Z$200,$G516)&gt;0,
    COUNTIFS($AA$2:$AA$200,$G516)&gt;0,
    COUNTIFS($AB$2:$AB$200,$G516)&gt;0,
    COUNTIFS($AC$2:$AC$200,$G516)&gt;0,
    COUNTIFS($AD$2:$AD$200,$G516)&gt;0,
    COUNTIFS($AE$2:$AE$200,$G516)&gt;0,
    COUNTIFS($AF$2:$AF$200,$G516)&gt;0,
    COUNTIFS($AG$2:$AG$200,$G516)&gt;0,
    COUNTIFS($AH$2:$AH$200,$G516)&gt;0,
    COUNTIFS($AI$2:$AI$200,$G516)&gt;0,
    COUNTIFS($AJ$2:$AJ$200,$G516)&gt;0,
    COUNTIFS($AK$2:$AK$200,$G516)&gt;0,
    COUNTIFS($AL$2:$AL$200,$G516)&gt;0,
    COUNTIFS($AM$2:$AM$200,$G516)&gt;0,
    COUNTIFS($AN$2:$AN$200,$G516)&gt;0,
    COUNTIFS($AO$2:$AO$200,$G516)&gt;0,
    COUNTIFS($AP$2:$AP$200,$G516)&gt;0,
    COUNTIFS($AQ$2:$AQ$200,$G516)&gt;0,
    COUNTIFS($AR$2:$AR$200,$G516)&gt;0,
    COUNTIFS($AS$2:$AS$200,$G516)&gt;0,
    COUNTIFS($AT$2:$AT$200,$G516)&gt;0,
    COUNTIFS($AU$2:$AU$200,$G516)&gt;0,
    COUNTIFS($AV$2:$AV$200,$G516)&gt;0,
    COUNTIFS($AW$2:$AW$200,$G516)&gt;0,
    COUNTIFS($AX$2:$AX$200,$G516)&gt;0,
    COUNTIFS($AY$2:$AY$200,$G516)&gt;0,
    COUNTIFS($AZ$2:$AZ$200,$G516)&gt;0,
    COUNTIFS($BA$2:$BA$200,$G516)&gt;0,
    COUNTIFS($BB$2:$BB$200,$G516)&gt;0,
    COUNTIFS($BC$2:$BC$200,$G516)&gt;0,
    COUNTIFS($BD$2:$BD$200,$G516)&gt;0,
    COUNTIFS($BE$2:$BE$200,$G516)&gt;0,
    COUNTIFS($BF$2:$BF$200,$G516)&gt;0,
    COUNTIFS($BG$2:$BG$200,$G516)&gt;0,
    COUNTIFS($BH$2:$BH$200,$G516)&gt;0,
    COUNTIFS($BI$2:$BI$200,$G516)&gt;0,
    COUNTIFS($BJ$2:$BJ$200,$G516)&gt;0,
    COUNTIFS($BK$2:$BK$200,$G516)&gt;0,
    COUNTIFS($BL$2:$BL$200,$G516)&gt;0,
    COUNTIFS($BM$2:$BM$200,$G516)&gt;0,
   ),
  0)
 ),
"")</f>
        <v>Sisay</v>
      </c>
      <c r="G516" t="str">
        <f ca="1"/>
        <v>Vronos, Masked Inquisitor</v>
      </c>
      <c r="EX516" t="str">
        <f ca="1"/>
        <v>Vronos, Masked Inquisitor</v>
      </c>
    </row>
    <row r="517" spans="1:154" x14ac:dyDescent="0.25">
      <c r="A517" s="2" t="str">
        <f t="shared" ca="1" si="22"/>
        <v>2</v>
      </c>
      <c r="B517" s="2">
        <f t="shared" ca="1" si="23"/>
        <v>1</v>
      </c>
      <c r="C517" s="2" t="str">
        <f ca="1">IFERROR(
 INDEX($V$1:$BL$1,
  MATCH(TRUE,
   CHOOSE({1;2;3;4;5;6;7;8;9;10;11;12;13;14;15;16;17;18;19;20;21;22;23;24;25;26;27;28;29;30;31;32;33;34;35;36;37;38;39;40;41;42;43},
    COUNTIFS($V$2:$V$200,$G517)&gt;0,
    COUNTIFS($W$2:$W$200,$G517)&gt;0,
    COUNTIFS($X$2:$X$200,$G517)&gt;0,
    COUNTIFS($Y$2:$Y$200,$G517)&gt;0,
    COUNTIFS($Z$2:$Z$200,$G517)&gt;0,
    COUNTIFS($AA$2:$AA$200,$G517)&gt;0,
    COUNTIFS($AB$2:$AB$200,$G517)&gt;0,
    COUNTIFS($AC$2:$AC$200,$G517)&gt;0,
    COUNTIFS($AD$2:$AD$200,$G517)&gt;0,
    COUNTIFS($AE$2:$AE$200,$G517)&gt;0,
    COUNTIFS($AF$2:$AF$200,$G517)&gt;0,
    COUNTIFS($AG$2:$AG$200,$G517)&gt;0,
    COUNTIFS($AH$2:$AH$200,$G517)&gt;0,
    COUNTIFS($AI$2:$AI$200,$G517)&gt;0,
    COUNTIFS($AJ$2:$AJ$200,$G517)&gt;0,
    COUNTIFS($AK$2:$AK$200,$G517)&gt;0,
    COUNTIFS($AL$2:$AL$200,$G517)&gt;0,
    COUNTIFS($AM$2:$AM$200,$G517)&gt;0,
    COUNTIFS($AN$2:$AN$200,$G517)&gt;0,
    COUNTIFS($AO$2:$AO$200,$G517)&gt;0,
    COUNTIFS($AP$2:$AP$200,$G517)&gt;0,
    COUNTIFS($AQ$2:$AQ$200,$G517)&gt;0,
    COUNTIFS($AR$2:$AR$200,$G517)&gt;0,
    COUNTIFS($AS$2:$AS$200,$G517)&gt;0,
    COUNTIFS($AT$2:$AT$200,$G517)&gt;0,
    COUNTIFS($AU$2:$AU$200,$G517)&gt;0,
    COUNTIFS($AV$2:$AV$200,$G517)&gt;0,
    COUNTIFS($AW$2:$AW$200,$G517)&gt;0,
    COUNTIFS($AX$2:$AX$200,$G517)&gt;0,
    COUNTIFS($AY$2:$AY$200,$G517)&gt;0,
    COUNTIFS($AZ$2:$AZ$200,$G517)&gt;0,
    COUNTIFS($BA$2:$BA$200,$G517)&gt;0,
    COUNTIFS($BB$2:$BB$200,$G517)&gt;0,
    COUNTIFS($BC$2:$BC$200,$G517)&gt;0,
    COUNTIFS($BD$2:$BD$200,$G517)&gt;0,
    COUNTIFS($BE$2:$BE$200,$G517)&gt;0,
    COUNTIFS($BF$2:$BF$200,$G517)&gt;0,
    COUNTIFS($BG$2:$BG$200,$G517)&gt;0,
    COUNTIFS($BH$2:$BH$200,$G517)&gt;0,
    COUNTIFS($BI$2:$BI$200,$G517)&gt;0,
    COUNTIFS($BJ$2:$BJ$200,$G517)&gt;0,
    COUNTIFS($BK$2:$BK$200,$G517)&gt;0,
    COUNTIFS($BL$2:$BL$200,$G517)&gt;0,
    COUNTIFS($BM$2:$BM$200,$G517)&gt;0,
   ),
  0)
 ),
"")</f>
        <v>VialIshai</v>
      </c>
      <c r="G517" t="str">
        <f ca="1"/>
        <v>Wan Shi Tong, Librarian</v>
      </c>
      <c r="EX517" t="str">
        <f ca="1"/>
        <v>Wan Shi Tong, Librarian</v>
      </c>
    </row>
    <row r="518" spans="1:154" x14ac:dyDescent="0.25">
      <c r="A518" s="2" t="str">
        <f t="shared" ca="1" si="22"/>
        <v>5</v>
      </c>
      <c r="B518" s="2">
        <f t="shared" ca="1" si="23"/>
        <v>1</v>
      </c>
      <c r="C518" s="2" t="str">
        <f ca="1">IFERROR(
 INDEX($V$1:$BL$1,
  MATCH(TRUE,
   CHOOSE({1;2;3;4;5;6;7;8;9;10;11;12;13;14;15;16;17;18;19;20;21;22;23;24;25;26;27;28;29;30;31;32;33;34;35;36;37;38;39;40;41;42;43},
    COUNTIFS($V$2:$V$200,$G518)&gt;0,
    COUNTIFS($W$2:$W$200,$G518)&gt;0,
    COUNTIFS($X$2:$X$200,$G518)&gt;0,
    COUNTIFS($Y$2:$Y$200,$G518)&gt;0,
    COUNTIFS($Z$2:$Z$200,$G518)&gt;0,
    COUNTIFS($AA$2:$AA$200,$G518)&gt;0,
    COUNTIFS($AB$2:$AB$200,$G518)&gt;0,
    COUNTIFS($AC$2:$AC$200,$G518)&gt;0,
    COUNTIFS($AD$2:$AD$200,$G518)&gt;0,
    COUNTIFS($AE$2:$AE$200,$G518)&gt;0,
    COUNTIFS($AF$2:$AF$200,$G518)&gt;0,
    COUNTIFS($AG$2:$AG$200,$G518)&gt;0,
    COUNTIFS($AH$2:$AH$200,$G518)&gt;0,
    COUNTIFS($AI$2:$AI$200,$G518)&gt;0,
    COUNTIFS($AJ$2:$AJ$200,$G518)&gt;0,
    COUNTIFS($AK$2:$AK$200,$G518)&gt;0,
    COUNTIFS($AL$2:$AL$200,$G518)&gt;0,
    COUNTIFS($AM$2:$AM$200,$G518)&gt;0,
    COUNTIFS($AN$2:$AN$200,$G518)&gt;0,
    COUNTIFS($AO$2:$AO$200,$G518)&gt;0,
    COUNTIFS($AP$2:$AP$200,$G518)&gt;0,
    COUNTIFS($AQ$2:$AQ$200,$G518)&gt;0,
    COUNTIFS($AR$2:$AR$200,$G518)&gt;0,
    COUNTIFS($AS$2:$AS$200,$G518)&gt;0,
    COUNTIFS($AT$2:$AT$200,$G518)&gt;0,
    COUNTIFS($AU$2:$AU$200,$G518)&gt;0,
    COUNTIFS($AV$2:$AV$200,$G518)&gt;0,
    COUNTIFS($AW$2:$AW$200,$G518)&gt;0,
    COUNTIFS($AX$2:$AX$200,$G518)&gt;0,
    COUNTIFS($AY$2:$AY$200,$G518)&gt;0,
    COUNTIFS($AZ$2:$AZ$200,$G518)&gt;0,
    COUNTIFS($BA$2:$BA$200,$G518)&gt;0,
    COUNTIFS($BB$2:$BB$200,$G518)&gt;0,
    COUNTIFS($BC$2:$BC$200,$G518)&gt;0,
    COUNTIFS($BD$2:$BD$200,$G518)&gt;0,
    COUNTIFS($BE$2:$BE$200,$G518)&gt;0,
    COUNTIFS($BF$2:$BF$200,$G518)&gt;0,
    COUNTIFS($BG$2:$BG$200,$G518)&gt;0,
    COUNTIFS($BH$2:$BH$200,$G518)&gt;0,
    COUNTIFS($BI$2:$BI$200,$G518)&gt;0,
    COUNTIFS($BJ$2:$BJ$200,$G518)&gt;0,
    COUNTIFS($BK$2:$BK$200,$G518)&gt;0,
    COUNTIFS($BL$2:$BL$200,$G518)&gt;0,
    COUNTIFS($BM$2:$BM$200,$G518)&gt;0,
   ),
  0)
 ),
"")</f>
        <v>Fractius</v>
      </c>
      <c r="G518" t="str">
        <f ca="1"/>
        <v>Ward Sliver</v>
      </c>
      <c r="EX518" t="str">
        <f ca="1"/>
        <v>Ward Sliver</v>
      </c>
    </row>
    <row r="519" spans="1:154" x14ac:dyDescent="0.25">
      <c r="A519" s="2" t="str">
        <f t="shared" ca="1" si="22"/>
        <v>4</v>
      </c>
      <c r="B519" s="2">
        <f t="shared" ca="1" si="23"/>
        <v>1</v>
      </c>
      <c r="C519" s="2" t="str">
        <f ca="1">IFERROR(
 INDEX($V$1:$BL$1,
  MATCH(TRUE,
   CHOOSE({1;2;3;4;5;6;7;8;9;10;11;12;13;14;15;16;17;18;19;20;21;22;23;24;25;26;27;28;29;30;31;32;33;34;35;36;37;38;39;40;41;42;43},
    COUNTIFS($V$2:$V$200,$G519)&gt;0,
    COUNTIFS($W$2:$W$200,$G519)&gt;0,
    COUNTIFS($X$2:$X$200,$G519)&gt;0,
    COUNTIFS($Y$2:$Y$200,$G519)&gt;0,
    COUNTIFS($Z$2:$Z$200,$G519)&gt;0,
    COUNTIFS($AA$2:$AA$200,$G519)&gt;0,
    COUNTIFS($AB$2:$AB$200,$G519)&gt;0,
    COUNTIFS($AC$2:$AC$200,$G519)&gt;0,
    COUNTIFS($AD$2:$AD$200,$G519)&gt;0,
    COUNTIFS($AE$2:$AE$200,$G519)&gt;0,
    COUNTIFS($AF$2:$AF$200,$G519)&gt;0,
    COUNTIFS($AG$2:$AG$200,$G519)&gt;0,
    COUNTIFS($AH$2:$AH$200,$G519)&gt;0,
    COUNTIFS($AI$2:$AI$200,$G519)&gt;0,
    COUNTIFS($AJ$2:$AJ$200,$G519)&gt;0,
    COUNTIFS($AK$2:$AK$200,$G519)&gt;0,
    COUNTIFS($AL$2:$AL$200,$G519)&gt;0,
    COUNTIFS($AM$2:$AM$200,$G519)&gt;0,
    COUNTIFS($AN$2:$AN$200,$G519)&gt;0,
    COUNTIFS($AO$2:$AO$200,$G519)&gt;0,
    COUNTIFS($AP$2:$AP$200,$G519)&gt;0,
    COUNTIFS($AQ$2:$AQ$200,$G519)&gt;0,
    COUNTIFS($AR$2:$AR$200,$G519)&gt;0,
    COUNTIFS($AS$2:$AS$200,$G519)&gt;0,
    COUNTIFS($AT$2:$AT$200,$G519)&gt;0,
    COUNTIFS($AU$2:$AU$200,$G519)&gt;0,
    COUNTIFS($AV$2:$AV$200,$G519)&gt;0,
    COUNTIFS($AW$2:$AW$200,$G519)&gt;0,
    COUNTIFS($AX$2:$AX$200,$G519)&gt;0,
    COUNTIFS($AY$2:$AY$200,$G519)&gt;0,
    COUNTIFS($AZ$2:$AZ$200,$G519)&gt;0,
    COUNTIFS($BA$2:$BA$200,$G519)&gt;0,
    COUNTIFS($BB$2:$BB$200,$G519)&gt;0,
    COUNTIFS($BC$2:$BC$200,$G519)&gt;0,
    COUNTIFS($BD$2:$BD$200,$G519)&gt;0,
    COUNTIFS($BE$2:$BE$200,$G519)&gt;0,
    COUNTIFS($BF$2:$BF$200,$G519)&gt;0,
    COUNTIFS($BG$2:$BG$200,$G519)&gt;0,
    COUNTIFS($BH$2:$BH$200,$G519)&gt;0,
    COUNTIFS($BI$2:$BI$200,$G519)&gt;0,
    COUNTIFS($BJ$2:$BJ$200,$G519)&gt;0,
    COUNTIFS($BK$2:$BK$200,$G519)&gt;0,
    COUNTIFS($BL$2:$BL$200,$G519)&gt;0,
    COUNTIFS($BM$2:$BM$200,$G519)&gt;0,
   ),
  0)
 ),
"")</f>
        <v>Baylen</v>
      </c>
      <c r="G519" t="str">
        <f ca="1"/>
        <v>Warleader's Call</v>
      </c>
      <c r="EX519" t="str">
        <f ca="1"/>
        <v>Warleader's Call</v>
      </c>
    </row>
    <row r="520" spans="1:154" x14ac:dyDescent="0.25">
      <c r="A520" s="2" t="str">
        <f t="shared" ca="1" si="22"/>
        <v>3</v>
      </c>
      <c r="B520" s="2">
        <f t="shared" ca="1" si="23"/>
        <v>1</v>
      </c>
      <c r="C520" s="2" t="str">
        <f ca="1">IFERROR(
 INDEX($V$1:$BL$1,
  MATCH(TRUE,
   CHOOSE({1;2;3;4;5;6;7;8;9;10;11;12;13;14;15;16;17;18;19;20;21;22;23;24;25;26;27;28;29;30;31;32;33;34;35;36;37;38;39;40;41;42;43},
    COUNTIFS($V$2:$V$200,$G520)&gt;0,
    COUNTIFS($W$2:$W$200,$G520)&gt;0,
    COUNTIFS($X$2:$X$200,$G520)&gt;0,
    COUNTIFS($Y$2:$Y$200,$G520)&gt;0,
    COUNTIFS($Z$2:$Z$200,$G520)&gt;0,
    COUNTIFS($AA$2:$AA$200,$G520)&gt;0,
    COUNTIFS($AB$2:$AB$200,$G520)&gt;0,
    COUNTIFS($AC$2:$AC$200,$G520)&gt;0,
    COUNTIFS($AD$2:$AD$200,$G520)&gt;0,
    COUNTIFS($AE$2:$AE$200,$G520)&gt;0,
    COUNTIFS($AF$2:$AF$200,$G520)&gt;0,
    COUNTIFS($AG$2:$AG$200,$G520)&gt;0,
    COUNTIFS($AH$2:$AH$200,$G520)&gt;0,
    COUNTIFS($AI$2:$AI$200,$G520)&gt;0,
    COUNTIFS($AJ$2:$AJ$200,$G520)&gt;0,
    COUNTIFS($AK$2:$AK$200,$G520)&gt;0,
    COUNTIFS($AL$2:$AL$200,$G520)&gt;0,
    COUNTIFS($AM$2:$AM$200,$G520)&gt;0,
    COUNTIFS($AN$2:$AN$200,$G520)&gt;0,
    COUNTIFS($AO$2:$AO$200,$G520)&gt;0,
    COUNTIFS($AP$2:$AP$200,$G520)&gt;0,
    COUNTIFS($AQ$2:$AQ$200,$G520)&gt;0,
    COUNTIFS($AR$2:$AR$200,$G520)&gt;0,
    COUNTIFS($AS$2:$AS$200,$G520)&gt;0,
    COUNTIFS($AT$2:$AT$200,$G520)&gt;0,
    COUNTIFS($AU$2:$AU$200,$G520)&gt;0,
    COUNTIFS($AV$2:$AV$200,$G520)&gt;0,
    COUNTIFS($AW$2:$AW$200,$G520)&gt;0,
    COUNTIFS($AX$2:$AX$200,$G520)&gt;0,
    COUNTIFS($AY$2:$AY$200,$G520)&gt;0,
    COUNTIFS($AZ$2:$AZ$200,$G520)&gt;0,
    COUNTIFS($BA$2:$BA$200,$G520)&gt;0,
    COUNTIFS($BB$2:$BB$200,$G520)&gt;0,
    COUNTIFS($BC$2:$BC$200,$G520)&gt;0,
    COUNTIFS($BD$2:$BD$200,$G520)&gt;0,
    COUNTIFS($BE$2:$BE$200,$G520)&gt;0,
    COUNTIFS($BF$2:$BF$200,$G520)&gt;0,
    COUNTIFS($BG$2:$BG$200,$G520)&gt;0,
    COUNTIFS($BH$2:$BH$200,$G520)&gt;0,
    COUNTIFS($BI$2:$BI$200,$G520)&gt;0,
    COUNTIFS($BJ$2:$BJ$200,$G520)&gt;0,
    COUNTIFS($BK$2:$BK$200,$G520)&gt;0,
    COUNTIFS($BL$2:$BL$200,$G520)&gt;0,
    COUNTIFS($BM$2:$BM$200,$G520)&gt;0,
   ),
  0)
 ),
"")</f>
        <v>Inalla</v>
      </c>
      <c r="G520" t="str">
        <f ca="1"/>
        <v>Warren Soultrader</v>
      </c>
      <c r="EX520" t="str">
        <f ca="1"/>
        <v>Warren Soultrader</v>
      </c>
    </row>
    <row r="521" spans="1:154" x14ac:dyDescent="0.25">
      <c r="A521" s="2" t="str">
        <f t="shared" ca="1" si="22"/>
        <v>4</v>
      </c>
      <c r="B521" s="2">
        <f t="shared" ca="1" si="23"/>
        <v>1</v>
      </c>
      <c r="C521" s="2" t="str">
        <f ca="1">IFERROR(
 INDEX($V$1:$BL$1,
  MATCH(TRUE,
   CHOOSE({1;2;3;4;5;6;7;8;9;10;11;12;13;14;15;16;17;18;19;20;21;22;23;24;25;26;27;28;29;30;31;32;33;34;35;36;37;38;39;40;41;42;43},
    COUNTIFS($V$2:$V$200,$G521)&gt;0,
    COUNTIFS($W$2:$W$200,$G521)&gt;0,
    COUNTIFS($X$2:$X$200,$G521)&gt;0,
    COUNTIFS($Y$2:$Y$200,$G521)&gt;0,
    COUNTIFS($Z$2:$Z$200,$G521)&gt;0,
    COUNTIFS($AA$2:$AA$200,$G521)&gt;0,
    COUNTIFS($AB$2:$AB$200,$G521)&gt;0,
    COUNTIFS($AC$2:$AC$200,$G521)&gt;0,
    COUNTIFS($AD$2:$AD$200,$G521)&gt;0,
    COUNTIFS($AE$2:$AE$200,$G521)&gt;0,
    COUNTIFS($AF$2:$AF$200,$G521)&gt;0,
    COUNTIFS($AG$2:$AG$200,$G521)&gt;0,
    COUNTIFS($AH$2:$AH$200,$G521)&gt;0,
    COUNTIFS($AI$2:$AI$200,$G521)&gt;0,
    COUNTIFS($AJ$2:$AJ$200,$G521)&gt;0,
    COUNTIFS($AK$2:$AK$200,$G521)&gt;0,
    COUNTIFS($AL$2:$AL$200,$G521)&gt;0,
    COUNTIFS($AM$2:$AM$200,$G521)&gt;0,
    COUNTIFS($AN$2:$AN$200,$G521)&gt;0,
    COUNTIFS($AO$2:$AO$200,$G521)&gt;0,
    COUNTIFS($AP$2:$AP$200,$G521)&gt;0,
    COUNTIFS($AQ$2:$AQ$200,$G521)&gt;0,
    COUNTIFS($AR$2:$AR$200,$G521)&gt;0,
    COUNTIFS($AS$2:$AS$200,$G521)&gt;0,
    COUNTIFS($AT$2:$AT$200,$G521)&gt;0,
    COUNTIFS($AU$2:$AU$200,$G521)&gt;0,
    COUNTIFS($AV$2:$AV$200,$G521)&gt;0,
    COUNTIFS($AW$2:$AW$200,$G521)&gt;0,
    COUNTIFS($AX$2:$AX$200,$G521)&gt;0,
    COUNTIFS($AY$2:$AY$200,$G521)&gt;0,
    COUNTIFS($AZ$2:$AZ$200,$G521)&gt;0,
    COUNTIFS($BA$2:$BA$200,$G521)&gt;0,
    COUNTIFS($BB$2:$BB$200,$G521)&gt;0,
    COUNTIFS($BC$2:$BC$200,$G521)&gt;0,
    COUNTIFS($BD$2:$BD$200,$G521)&gt;0,
    COUNTIFS($BE$2:$BE$200,$G521)&gt;0,
    COUNTIFS($BF$2:$BF$200,$G521)&gt;0,
    COUNTIFS($BG$2:$BG$200,$G521)&gt;0,
    COUNTIFS($BH$2:$BH$200,$G521)&gt;0,
    COUNTIFS($BI$2:$BI$200,$G521)&gt;0,
    COUNTIFS($BJ$2:$BJ$200,$G521)&gt;0,
    COUNTIFS($BK$2:$BK$200,$G521)&gt;0,
    COUNTIFS($BL$2:$BL$200,$G521)&gt;0,
    COUNTIFS($BM$2:$BM$200,$G521)&gt;0,
   ),
  0)
 ),
"")</f>
        <v>Ool</v>
      </c>
      <c r="G521" t="str">
        <f ca="1"/>
        <v>Warren Torchmaster</v>
      </c>
      <c r="EX521" t="str">
        <f ca="1"/>
        <v>Warren Torchmaster</v>
      </c>
    </row>
    <row r="522" spans="1:154" x14ac:dyDescent="0.25">
      <c r="A522" s="2" t="str">
        <f t="shared" ca="1" si="22"/>
        <v>5</v>
      </c>
      <c r="B522" s="2">
        <f t="shared" ca="1" si="23"/>
        <v>2</v>
      </c>
      <c r="C522" s="2" t="str">
        <f ca="1">IFERROR(
 INDEX($V$1:$BL$1,
  MATCH(TRUE,
   CHOOSE({1;2;3;4;5;6;7;8;9;10;11;12;13;14;15;16;17;18;19;20;21;22;23;24;25;26;27;28;29;30;31;32;33;34;35;36;37;38;39;40;41;42;43},
    COUNTIFS($V$2:$V$200,$G522)&gt;0,
    COUNTIFS($W$2:$W$200,$G522)&gt;0,
    COUNTIFS($X$2:$X$200,$G522)&gt;0,
    COUNTIFS($Y$2:$Y$200,$G522)&gt;0,
    COUNTIFS($Z$2:$Z$200,$G522)&gt;0,
    COUNTIFS($AA$2:$AA$200,$G522)&gt;0,
    COUNTIFS($AB$2:$AB$200,$G522)&gt;0,
    COUNTIFS($AC$2:$AC$200,$G522)&gt;0,
    COUNTIFS($AD$2:$AD$200,$G522)&gt;0,
    COUNTIFS($AE$2:$AE$200,$G522)&gt;0,
    COUNTIFS($AF$2:$AF$200,$G522)&gt;0,
    COUNTIFS($AG$2:$AG$200,$G522)&gt;0,
    COUNTIFS($AH$2:$AH$200,$G522)&gt;0,
    COUNTIFS($AI$2:$AI$200,$G522)&gt;0,
    COUNTIFS($AJ$2:$AJ$200,$G522)&gt;0,
    COUNTIFS($AK$2:$AK$200,$G522)&gt;0,
    COUNTIFS($AL$2:$AL$200,$G522)&gt;0,
    COUNTIFS($AM$2:$AM$200,$G522)&gt;0,
    COUNTIFS($AN$2:$AN$200,$G522)&gt;0,
    COUNTIFS($AO$2:$AO$200,$G522)&gt;0,
    COUNTIFS($AP$2:$AP$200,$G522)&gt;0,
    COUNTIFS($AQ$2:$AQ$200,$G522)&gt;0,
    COUNTIFS($AR$2:$AR$200,$G522)&gt;0,
    COUNTIFS($AS$2:$AS$200,$G522)&gt;0,
    COUNTIFS($AT$2:$AT$200,$G522)&gt;0,
    COUNTIFS($AU$2:$AU$200,$G522)&gt;0,
    COUNTIFS($AV$2:$AV$200,$G522)&gt;0,
    COUNTIFS($AW$2:$AW$200,$G522)&gt;0,
    COUNTIFS($AX$2:$AX$200,$G522)&gt;0,
    COUNTIFS($AY$2:$AY$200,$G522)&gt;0,
    COUNTIFS($AZ$2:$AZ$200,$G522)&gt;0,
    COUNTIFS($BA$2:$BA$200,$G522)&gt;0,
    COUNTIFS($BB$2:$BB$200,$G522)&gt;0,
    COUNTIFS($BC$2:$BC$200,$G522)&gt;0,
    COUNTIFS($BD$2:$BD$200,$G522)&gt;0,
    COUNTIFS($BE$2:$BE$200,$G522)&gt;0,
    COUNTIFS($BF$2:$BF$200,$G522)&gt;0,
    COUNTIFS($BG$2:$BG$200,$G522)&gt;0,
    COUNTIFS($BH$2:$BH$200,$G522)&gt;0,
    COUNTIFS($BI$2:$BI$200,$G522)&gt;0,
    COUNTIFS($BJ$2:$BJ$200,$G522)&gt;0,
    COUNTIFS($BK$2:$BK$200,$G522)&gt;0,
    COUNTIFS($BL$2:$BL$200,$G522)&gt;0,
    COUNTIFS($BM$2:$BM$200,$G522)&gt;0,
   ),
  0)
 ),
"")</f>
        <v>Yorion</v>
      </c>
      <c r="G522" t="str">
        <f ca="1"/>
        <v>Water Tribe Rallier</v>
      </c>
      <c r="EX522" t="str">
        <f ca="1"/>
        <v>Water Tribe Rallier</v>
      </c>
    </row>
    <row r="523" spans="1:154" x14ac:dyDescent="0.25">
      <c r="A523" s="2" t="str">
        <f t="shared" ca="1" si="22"/>
        <v>2</v>
      </c>
      <c r="B523" s="2">
        <f t="shared" ca="1" si="23"/>
        <v>3</v>
      </c>
      <c r="C523" s="2" t="str">
        <f ca="1">IFERROR(
 INDEX($V$1:$BL$1,
  MATCH(TRUE,
   CHOOSE({1;2;3;4;5;6;7;8;9;10;11;12;13;14;15;16;17;18;19;20;21;22;23;24;25;26;27;28;29;30;31;32;33;34;35;36;37;38;39;40;41;42;43},
    COUNTIFS($V$2:$V$200,$G523)&gt;0,
    COUNTIFS($W$2:$W$200,$G523)&gt;0,
    COUNTIFS($X$2:$X$200,$G523)&gt;0,
    COUNTIFS($Y$2:$Y$200,$G523)&gt;0,
    COUNTIFS($Z$2:$Z$200,$G523)&gt;0,
    COUNTIFS($AA$2:$AA$200,$G523)&gt;0,
    COUNTIFS($AB$2:$AB$200,$G523)&gt;0,
    COUNTIFS($AC$2:$AC$200,$G523)&gt;0,
    COUNTIFS($AD$2:$AD$200,$G523)&gt;0,
    COUNTIFS($AE$2:$AE$200,$G523)&gt;0,
    COUNTIFS($AF$2:$AF$200,$G523)&gt;0,
    COUNTIFS($AG$2:$AG$200,$G523)&gt;0,
    COUNTIFS($AH$2:$AH$200,$G523)&gt;0,
    COUNTIFS($AI$2:$AI$200,$G523)&gt;0,
    COUNTIFS($AJ$2:$AJ$200,$G523)&gt;0,
    COUNTIFS($AK$2:$AK$200,$G523)&gt;0,
    COUNTIFS($AL$2:$AL$200,$G523)&gt;0,
    COUNTIFS($AM$2:$AM$200,$G523)&gt;0,
    COUNTIFS($AN$2:$AN$200,$G523)&gt;0,
    COUNTIFS($AO$2:$AO$200,$G523)&gt;0,
    COUNTIFS($AP$2:$AP$200,$G523)&gt;0,
    COUNTIFS($AQ$2:$AQ$200,$G523)&gt;0,
    COUNTIFS($AR$2:$AR$200,$G523)&gt;0,
    COUNTIFS($AS$2:$AS$200,$G523)&gt;0,
    COUNTIFS($AT$2:$AT$200,$G523)&gt;0,
    COUNTIFS($AU$2:$AU$200,$G523)&gt;0,
    COUNTIFS($AV$2:$AV$200,$G523)&gt;0,
    COUNTIFS($AW$2:$AW$200,$G523)&gt;0,
    COUNTIFS($AX$2:$AX$200,$G523)&gt;0,
    COUNTIFS($AY$2:$AY$200,$G523)&gt;0,
    COUNTIFS($AZ$2:$AZ$200,$G523)&gt;0,
    COUNTIFS($BA$2:$BA$200,$G523)&gt;0,
    COUNTIFS($BB$2:$BB$200,$G523)&gt;0,
    COUNTIFS($BC$2:$BC$200,$G523)&gt;0,
    COUNTIFS($BD$2:$BD$200,$G523)&gt;0,
    COUNTIFS($BE$2:$BE$200,$G523)&gt;0,
    COUNTIFS($BF$2:$BF$200,$G523)&gt;0,
    COUNTIFS($BG$2:$BG$200,$G523)&gt;0,
    COUNTIFS($BH$2:$BH$200,$G523)&gt;0,
    COUNTIFS($BI$2:$BI$200,$G523)&gt;0,
    COUNTIFS($BJ$2:$BJ$200,$G523)&gt;0,
    COUNTIFS($BK$2:$BK$200,$G523)&gt;0,
    COUNTIFS($BL$2:$BL$200,$G523)&gt;0,
    COUNTIFS($BM$2:$BM$200,$G523)&gt;0,
   ),
  0)
 ),
"")</f>
        <v>Rani</v>
      </c>
      <c r="G523" t="str">
        <f ca="1"/>
        <v>Waterbender's Restoration</v>
      </c>
      <c r="EX523" t="str">
        <f ca="1"/>
        <v>Waterbender's Restoration</v>
      </c>
    </row>
    <row r="524" spans="1:154" x14ac:dyDescent="0.25">
      <c r="A524" s="2" t="str">
        <f t="shared" ca="1" si="22"/>
        <v>2</v>
      </c>
      <c r="B524" s="2">
        <f t="shared" ca="1" si="23"/>
        <v>4</v>
      </c>
      <c r="C524" s="2" t="str">
        <f ca="1">IFERROR(
 INDEX($V$1:$BL$1,
  MATCH(TRUE,
   CHOOSE({1;2;3;4;5;6;7;8;9;10;11;12;13;14;15;16;17;18;19;20;21;22;23;24;25;26;27;28;29;30;31;32;33;34;35;36;37;38;39;40;41;42;43},
    COUNTIFS($V$2:$V$200,$G524)&gt;0,
    COUNTIFS($W$2:$W$200,$G524)&gt;0,
    COUNTIFS($X$2:$X$200,$G524)&gt;0,
    COUNTIFS($Y$2:$Y$200,$G524)&gt;0,
    COUNTIFS($Z$2:$Z$200,$G524)&gt;0,
    COUNTIFS($AA$2:$AA$200,$G524)&gt;0,
    COUNTIFS($AB$2:$AB$200,$G524)&gt;0,
    COUNTIFS($AC$2:$AC$200,$G524)&gt;0,
    COUNTIFS($AD$2:$AD$200,$G524)&gt;0,
    COUNTIFS($AE$2:$AE$200,$G524)&gt;0,
    COUNTIFS($AF$2:$AF$200,$G524)&gt;0,
    COUNTIFS($AG$2:$AG$200,$G524)&gt;0,
    COUNTIFS($AH$2:$AH$200,$G524)&gt;0,
    COUNTIFS($AI$2:$AI$200,$G524)&gt;0,
    COUNTIFS($AJ$2:$AJ$200,$G524)&gt;0,
    COUNTIFS($AK$2:$AK$200,$G524)&gt;0,
    COUNTIFS($AL$2:$AL$200,$G524)&gt;0,
    COUNTIFS($AM$2:$AM$200,$G524)&gt;0,
    COUNTIFS($AN$2:$AN$200,$G524)&gt;0,
    COUNTIFS($AO$2:$AO$200,$G524)&gt;0,
    COUNTIFS($AP$2:$AP$200,$G524)&gt;0,
    COUNTIFS($AQ$2:$AQ$200,$G524)&gt;0,
    COUNTIFS($AR$2:$AR$200,$G524)&gt;0,
    COUNTIFS($AS$2:$AS$200,$G524)&gt;0,
    COUNTIFS($AT$2:$AT$200,$G524)&gt;0,
    COUNTIFS($AU$2:$AU$200,$G524)&gt;0,
    COUNTIFS($AV$2:$AV$200,$G524)&gt;0,
    COUNTIFS($AW$2:$AW$200,$G524)&gt;0,
    COUNTIFS($AX$2:$AX$200,$G524)&gt;0,
    COUNTIFS($AY$2:$AY$200,$G524)&gt;0,
    COUNTIFS($AZ$2:$AZ$200,$G524)&gt;0,
    COUNTIFS($BA$2:$BA$200,$G524)&gt;0,
    COUNTIFS($BB$2:$BB$200,$G524)&gt;0,
    COUNTIFS($BC$2:$BC$200,$G524)&gt;0,
    COUNTIFS($BD$2:$BD$200,$G524)&gt;0,
    COUNTIFS($BE$2:$BE$200,$G524)&gt;0,
    COUNTIFS($BF$2:$BF$200,$G524)&gt;0,
    COUNTIFS($BG$2:$BG$200,$G524)&gt;0,
    COUNTIFS($BH$2:$BH$200,$G524)&gt;0,
    COUNTIFS($BI$2:$BI$200,$G524)&gt;0,
    COUNTIFS($BJ$2:$BJ$200,$G524)&gt;0,
    COUNTIFS($BK$2:$BK$200,$G524)&gt;0,
    COUNTIFS($BL$2:$BL$200,$G524)&gt;0,
    COUNTIFS($BM$2:$BM$200,$G524)&gt;0,
   ),
  0)
 ),
"")</f>
        <v>VialIshai</v>
      </c>
      <c r="G524" t="str">
        <f ca="1"/>
        <v>Watery Grave</v>
      </c>
      <c r="EX524" t="str">
        <f ca="1"/>
        <v>Watery Grave</v>
      </c>
    </row>
    <row r="525" spans="1:154" x14ac:dyDescent="0.25">
      <c r="A525" s="2" t="str">
        <f t="shared" ca="1" si="22"/>
        <v>5</v>
      </c>
      <c r="B525" s="2">
        <f t="shared" ca="1" si="23"/>
        <v>1</v>
      </c>
      <c r="C525" s="2" t="str">
        <f ca="1">IFERROR(
 INDEX($V$1:$BL$1,
  MATCH(TRUE,
   CHOOSE({1;2;3;4;5;6;7;8;9;10;11;12;13;14;15;16;17;18;19;20;21;22;23;24;25;26;27;28;29;30;31;32;33;34;35;36;37;38;39;40;41;42;43},
    COUNTIFS($V$2:$V$200,$G525)&gt;0,
    COUNTIFS($W$2:$W$200,$G525)&gt;0,
    COUNTIFS($X$2:$X$200,$G525)&gt;0,
    COUNTIFS($Y$2:$Y$200,$G525)&gt;0,
    COUNTIFS($Z$2:$Z$200,$G525)&gt;0,
    COUNTIFS($AA$2:$AA$200,$G525)&gt;0,
    COUNTIFS($AB$2:$AB$200,$G525)&gt;0,
    COUNTIFS($AC$2:$AC$200,$G525)&gt;0,
    COUNTIFS($AD$2:$AD$200,$G525)&gt;0,
    COUNTIFS($AE$2:$AE$200,$G525)&gt;0,
    COUNTIFS($AF$2:$AF$200,$G525)&gt;0,
    COUNTIFS($AG$2:$AG$200,$G525)&gt;0,
    COUNTIFS($AH$2:$AH$200,$G525)&gt;0,
    COUNTIFS($AI$2:$AI$200,$G525)&gt;0,
    COUNTIFS($AJ$2:$AJ$200,$G525)&gt;0,
    COUNTIFS($AK$2:$AK$200,$G525)&gt;0,
    COUNTIFS($AL$2:$AL$200,$G525)&gt;0,
    COUNTIFS($AM$2:$AM$200,$G525)&gt;0,
    COUNTIFS($AN$2:$AN$200,$G525)&gt;0,
    COUNTIFS($AO$2:$AO$200,$G525)&gt;0,
    COUNTIFS($AP$2:$AP$200,$G525)&gt;0,
    COUNTIFS($AQ$2:$AQ$200,$G525)&gt;0,
    COUNTIFS($AR$2:$AR$200,$G525)&gt;0,
    COUNTIFS($AS$2:$AS$200,$G525)&gt;0,
    COUNTIFS($AT$2:$AT$200,$G525)&gt;0,
    COUNTIFS($AU$2:$AU$200,$G525)&gt;0,
    COUNTIFS($AV$2:$AV$200,$G525)&gt;0,
    COUNTIFS($AW$2:$AW$200,$G525)&gt;0,
    COUNTIFS($AX$2:$AX$200,$G525)&gt;0,
    COUNTIFS($AY$2:$AY$200,$G525)&gt;0,
    COUNTIFS($AZ$2:$AZ$200,$G525)&gt;0,
    COUNTIFS($BA$2:$BA$200,$G525)&gt;0,
    COUNTIFS($BB$2:$BB$200,$G525)&gt;0,
    COUNTIFS($BC$2:$BC$200,$G525)&gt;0,
    COUNTIFS($BD$2:$BD$200,$G525)&gt;0,
    COUNTIFS($BE$2:$BE$200,$G525)&gt;0,
    COUNTIFS($BF$2:$BF$200,$G525)&gt;0,
    COUNTIFS($BG$2:$BG$200,$G525)&gt;0,
    COUNTIFS($BH$2:$BH$200,$G525)&gt;0,
    COUNTIFS($BI$2:$BI$200,$G525)&gt;0,
    COUNTIFS($BJ$2:$BJ$200,$G525)&gt;0,
    COUNTIFS($BK$2:$BK$200,$G525)&gt;0,
    COUNTIFS($BL$2:$BL$200,$G525)&gt;0,
    COUNTIFS($BM$2:$BM$200,$G525)&gt;0,
   ),
  0)
 ),
"")</f>
        <v>Zuko</v>
      </c>
      <c r="G525" t="str">
        <f ca="1"/>
        <v>Windbrisk Heights</v>
      </c>
      <c r="EX525" t="str">
        <f ca="1"/>
        <v>Windbrisk Heights</v>
      </c>
    </row>
    <row r="526" spans="1:154" x14ac:dyDescent="0.25">
      <c r="A526" s="2" t="str">
        <f t="shared" ca="1" si="22"/>
        <v>5</v>
      </c>
      <c r="B526" s="2">
        <f t="shared" ca="1" si="23"/>
        <v>2</v>
      </c>
      <c r="C526" s="2" t="str">
        <f ca="1">IFERROR(
 INDEX($V$1:$BL$1,
  MATCH(TRUE,
   CHOOSE({1;2;3;4;5;6;7;8;9;10;11;12;13;14;15;16;17;18;19;20;21;22;23;24;25;26;27;28;29;30;31;32;33;34;35;36;37;38;39;40;41;42;43},
    COUNTIFS($V$2:$V$200,$G526)&gt;0,
    COUNTIFS($W$2:$W$200,$G526)&gt;0,
    COUNTIFS($X$2:$X$200,$G526)&gt;0,
    COUNTIFS($Y$2:$Y$200,$G526)&gt;0,
    COUNTIFS($Z$2:$Z$200,$G526)&gt;0,
    COUNTIFS($AA$2:$AA$200,$G526)&gt;0,
    COUNTIFS($AB$2:$AB$200,$G526)&gt;0,
    COUNTIFS($AC$2:$AC$200,$G526)&gt;0,
    COUNTIFS($AD$2:$AD$200,$G526)&gt;0,
    COUNTIFS($AE$2:$AE$200,$G526)&gt;0,
    COUNTIFS($AF$2:$AF$200,$G526)&gt;0,
    COUNTIFS($AG$2:$AG$200,$G526)&gt;0,
    COUNTIFS($AH$2:$AH$200,$G526)&gt;0,
    COUNTIFS($AI$2:$AI$200,$G526)&gt;0,
    COUNTIFS($AJ$2:$AJ$200,$G526)&gt;0,
    COUNTIFS($AK$2:$AK$200,$G526)&gt;0,
    COUNTIFS($AL$2:$AL$200,$G526)&gt;0,
    COUNTIFS($AM$2:$AM$200,$G526)&gt;0,
    COUNTIFS($AN$2:$AN$200,$G526)&gt;0,
    COUNTIFS($AO$2:$AO$200,$G526)&gt;0,
    COUNTIFS($AP$2:$AP$200,$G526)&gt;0,
    COUNTIFS($AQ$2:$AQ$200,$G526)&gt;0,
    COUNTIFS($AR$2:$AR$200,$G526)&gt;0,
    COUNTIFS($AS$2:$AS$200,$G526)&gt;0,
    COUNTIFS($AT$2:$AT$200,$G526)&gt;0,
    COUNTIFS($AU$2:$AU$200,$G526)&gt;0,
    COUNTIFS($AV$2:$AV$200,$G526)&gt;0,
    COUNTIFS($AW$2:$AW$200,$G526)&gt;0,
    COUNTIFS($AX$2:$AX$200,$G526)&gt;0,
    COUNTIFS($AY$2:$AY$200,$G526)&gt;0,
    COUNTIFS($AZ$2:$AZ$200,$G526)&gt;0,
    COUNTIFS($BA$2:$BA$200,$G526)&gt;0,
    COUNTIFS($BB$2:$BB$200,$G526)&gt;0,
    COUNTIFS($BC$2:$BC$200,$G526)&gt;0,
    COUNTIFS($BD$2:$BD$200,$G526)&gt;0,
    COUNTIFS($BE$2:$BE$200,$G526)&gt;0,
    COUNTIFS($BF$2:$BF$200,$G526)&gt;0,
    COUNTIFS($BG$2:$BG$200,$G526)&gt;0,
    COUNTIFS($BH$2:$BH$200,$G526)&gt;0,
    COUNTIFS($BI$2:$BI$200,$G526)&gt;0,
    COUNTIFS($BJ$2:$BJ$200,$G526)&gt;0,
    COUNTIFS($BK$2:$BK$200,$G526)&gt;0,
    COUNTIFS($BL$2:$BL$200,$G526)&gt;0,
    COUNTIFS($BM$2:$BM$200,$G526)&gt;0,
   ),
  0)
 ),
"")</f>
        <v>Zuko</v>
      </c>
      <c r="G526" t="str">
        <f ca="1"/>
        <v>Windcrag Siege</v>
      </c>
      <c r="EX526" t="str">
        <f ca="1"/>
        <v>Windcrag Siege</v>
      </c>
    </row>
    <row r="527" spans="1:154" x14ac:dyDescent="0.25">
      <c r="A527" s="2" t="str">
        <f t="shared" ca="1" si="22"/>
        <v>5</v>
      </c>
      <c r="B527" s="2">
        <f t="shared" ca="1" si="23"/>
        <v>1</v>
      </c>
      <c r="C527" s="2" t="str">
        <f ca="1">IFERROR(
 INDEX($V$1:$BL$1,
  MATCH(TRUE,
   CHOOSE({1;2;3;4;5;6;7;8;9;10;11;12;13;14;15;16;17;18;19;20;21;22;23;24;25;26;27;28;29;30;31;32;33;34;35;36;37;38;39;40;41;42;43},
    COUNTIFS($V$2:$V$200,$G527)&gt;0,
    COUNTIFS($W$2:$W$200,$G527)&gt;0,
    COUNTIFS($X$2:$X$200,$G527)&gt;0,
    COUNTIFS($Y$2:$Y$200,$G527)&gt;0,
    COUNTIFS($Z$2:$Z$200,$G527)&gt;0,
    COUNTIFS($AA$2:$AA$200,$G527)&gt;0,
    COUNTIFS($AB$2:$AB$200,$G527)&gt;0,
    COUNTIFS($AC$2:$AC$200,$G527)&gt;0,
    COUNTIFS($AD$2:$AD$200,$G527)&gt;0,
    COUNTIFS($AE$2:$AE$200,$G527)&gt;0,
    COUNTIFS($AF$2:$AF$200,$G527)&gt;0,
    COUNTIFS($AG$2:$AG$200,$G527)&gt;0,
    COUNTIFS($AH$2:$AH$200,$G527)&gt;0,
    COUNTIFS($AI$2:$AI$200,$G527)&gt;0,
    COUNTIFS($AJ$2:$AJ$200,$G527)&gt;0,
    COUNTIFS($AK$2:$AK$200,$G527)&gt;0,
    COUNTIFS($AL$2:$AL$200,$G527)&gt;0,
    COUNTIFS($AM$2:$AM$200,$G527)&gt;0,
    COUNTIFS($AN$2:$AN$200,$G527)&gt;0,
    COUNTIFS($AO$2:$AO$200,$G527)&gt;0,
    COUNTIFS($AP$2:$AP$200,$G527)&gt;0,
    COUNTIFS($AQ$2:$AQ$200,$G527)&gt;0,
    COUNTIFS($AR$2:$AR$200,$G527)&gt;0,
    COUNTIFS($AS$2:$AS$200,$G527)&gt;0,
    COUNTIFS($AT$2:$AT$200,$G527)&gt;0,
    COUNTIFS($AU$2:$AU$200,$G527)&gt;0,
    COUNTIFS($AV$2:$AV$200,$G527)&gt;0,
    COUNTIFS($AW$2:$AW$200,$G527)&gt;0,
    COUNTIFS($AX$2:$AX$200,$G527)&gt;0,
    COUNTIFS($AY$2:$AY$200,$G527)&gt;0,
    COUNTIFS($AZ$2:$AZ$200,$G527)&gt;0,
    COUNTIFS($BA$2:$BA$200,$G527)&gt;0,
    COUNTIFS($BB$2:$BB$200,$G527)&gt;0,
    COUNTIFS($BC$2:$BC$200,$G527)&gt;0,
    COUNTIFS($BD$2:$BD$200,$G527)&gt;0,
    COUNTIFS($BE$2:$BE$200,$G527)&gt;0,
    COUNTIFS($BF$2:$BF$200,$G527)&gt;0,
    COUNTIFS($BG$2:$BG$200,$G527)&gt;0,
    COUNTIFS($BH$2:$BH$200,$G527)&gt;0,
    COUNTIFS($BI$2:$BI$200,$G527)&gt;0,
    COUNTIFS($BJ$2:$BJ$200,$G527)&gt;0,
    COUNTIFS($BK$2:$BK$200,$G527)&gt;0,
    COUNTIFS($BL$2:$BL$200,$G527)&gt;0,
    COUNTIFS($BM$2:$BM$200,$G527)&gt;0,
   ),
  0)
 ),
"")</f>
        <v>4cRash</v>
      </c>
      <c r="G527" t="str">
        <f ca="1"/>
        <v>Windgrace's Judgment</v>
      </c>
      <c r="EX527" t="str">
        <f ca="1"/>
        <v>Windgrace's Judgment</v>
      </c>
    </row>
    <row r="528" spans="1:154" x14ac:dyDescent="0.25">
      <c r="A528" s="2" t="str">
        <f t="shared" ca="1" si="22"/>
        <v>5</v>
      </c>
      <c r="B528" s="2">
        <f t="shared" ca="1" si="23"/>
        <v>1</v>
      </c>
      <c r="C528" s="2" t="str">
        <f ca="1">IFERROR(
 INDEX($V$1:$BL$1,
  MATCH(TRUE,
   CHOOSE({1;2;3;4;5;6;7;8;9;10;11;12;13;14;15;16;17;18;19;20;21;22;23;24;25;26;27;28;29;30;31;32;33;34;35;36;37;38;39;40;41;42;43},
    COUNTIFS($V$2:$V$200,$G528)&gt;0,
    COUNTIFS($W$2:$W$200,$G528)&gt;0,
    COUNTIFS($X$2:$X$200,$G528)&gt;0,
    COUNTIFS($Y$2:$Y$200,$G528)&gt;0,
    COUNTIFS($Z$2:$Z$200,$G528)&gt;0,
    COUNTIFS($AA$2:$AA$200,$G528)&gt;0,
    COUNTIFS($AB$2:$AB$200,$G528)&gt;0,
    COUNTIFS($AC$2:$AC$200,$G528)&gt;0,
    COUNTIFS($AD$2:$AD$200,$G528)&gt;0,
    COUNTIFS($AE$2:$AE$200,$G528)&gt;0,
    COUNTIFS($AF$2:$AF$200,$G528)&gt;0,
    COUNTIFS($AG$2:$AG$200,$G528)&gt;0,
    COUNTIFS($AH$2:$AH$200,$G528)&gt;0,
    COUNTIFS($AI$2:$AI$200,$G528)&gt;0,
    COUNTIFS($AJ$2:$AJ$200,$G528)&gt;0,
    COUNTIFS($AK$2:$AK$200,$G528)&gt;0,
    COUNTIFS($AL$2:$AL$200,$G528)&gt;0,
    COUNTIFS($AM$2:$AM$200,$G528)&gt;0,
    COUNTIFS($AN$2:$AN$200,$G528)&gt;0,
    COUNTIFS($AO$2:$AO$200,$G528)&gt;0,
    COUNTIFS($AP$2:$AP$200,$G528)&gt;0,
    COUNTIFS($AQ$2:$AQ$200,$G528)&gt;0,
    COUNTIFS($AR$2:$AR$200,$G528)&gt;0,
    COUNTIFS($AS$2:$AS$200,$G528)&gt;0,
    COUNTIFS($AT$2:$AT$200,$G528)&gt;0,
    COUNTIFS($AU$2:$AU$200,$G528)&gt;0,
    COUNTIFS($AV$2:$AV$200,$G528)&gt;0,
    COUNTIFS($AW$2:$AW$200,$G528)&gt;0,
    COUNTIFS($AX$2:$AX$200,$G528)&gt;0,
    COUNTIFS($AY$2:$AY$200,$G528)&gt;0,
    COUNTIFS($AZ$2:$AZ$200,$G528)&gt;0,
    COUNTIFS($BA$2:$BA$200,$G528)&gt;0,
    COUNTIFS($BB$2:$BB$200,$G528)&gt;0,
    COUNTIFS($BC$2:$BC$200,$G528)&gt;0,
    COUNTIFS($BD$2:$BD$200,$G528)&gt;0,
    COUNTIFS($BE$2:$BE$200,$G528)&gt;0,
    COUNTIFS($BF$2:$BF$200,$G528)&gt;0,
    COUNTIFS($BG$2:$BG$200,$G528)&gt;0,
    COUNTIFS($BH$2:$BH$200,$G528)&gt;0,
    COUNTIFS($BI$2:$BI$200,$G528)&gt;0,
    COUNTIFS($BJ$2:$BJ$200,$G528)&gt;0,
    COUNTIFS($BK$2:$BK$200,$G528)&gt;0,
    COUNTIFS($BL$2:$BL$200,$G528)&gt;0,
    COUNTIFS($BM$2:$BM$200,$G528)&gt;0,
   ),
  0)
 ),
"")</f>
        <v>Fractius</v>
      </c>
      <c r="G528" t="str">
        <f ca="1"/>
        <v>Winged Sliver</v>
      </c>
      <c r="EX528" t="str">
        <f ca="1"/>
        <v>Winged Sliver</v>
      </c>
    </row>
    <row r="529" spans="1:154" x14ac:dyDescent="0.25">
      <c r="A529" s="2" t="str">
        <f t="shared" ca="1" si="22"/>
        <v>5</v>
      </c>
      <c r="B529" s="2">
        <f t="shared" ca="1" si="23"/>
        <v>1</v>
      </c>
      <c r="C529" s="2" t="str">
        <f ca="1">IFERROR(
 INDEX($V$1:$BL$1,
  MATCH(TRUE,
   CHOOSE({1;2;3;4;5;6;7;8;9;10;11;12;13;14;15;16;17;18;19;20;21;22;23;24;25;26;27;28;29;30;31;32;33;34;35;36;37;38;39;40;41;42;43},
    COUNTIFS($V$2:$V$200,$G529)&gt;0,
    COUNTIFS($W$2:$W$200,$G529)&gt;0,
    COUNTIFS($X$2:$X$200,$G529)&gt;0,
    COUNTIFS($Y$2:$Y$200,$G529)&gt;0,
    COUNTIFS($Z$2:$Z$200,$G529)&gt;0,
    COUNTIFS($AA$2:$AA$200,$G529)&gt;0,
    COUNTIFS($AB$2:$AB$200,$G529)&gt;0,
    COUNTIFS($AC$2:$AC$200,$G529)&gt;0,
    COUNTIFS($AD$2:$AD$200,$G529)&gt;0,
    COUNTIFS($AE$2:$AE$200,$G529)&gt;0,
    COUNTIFS($AF$2:$AF$200,$G529)&gt;0,
    COUNTIFS($AG$2:$AG$200,$G529)&gt;0,
    COUNTIFS($AH$2:$AH$200,$G529)&gt;0,
    COUNTIFS($AI$2:$AI$200,$G529)&gt;0,
    COUNTIFS($AJ$2:$AJ$200,$G529)&gt;0,
    COUNTIFS($AK$2:$AK$200,$G529)&gt;0,
    COUNTIFS($AL$2:$AL$200,$G529)&gt;0,
    COUNTIFS($AM$2:$AM$200,$G529)&gt;0,
    COUNTIFS($AN$2:$AN$200,$G529)&gt;0,
    COUNTIFS($AO$2:$AO$200,$G529)&gt;0,
    COUNTIFS($AP$2:$AP$200,$G529)&gt;0,
    COUNTIFS($AQ$2:$AQ$200,$G529)&gt;0,
    COUNTIFS($AR$2:$AR$200,$G529)&gt;0,
    COUNTIFS($AS$2:$AS$200,$G529)&gt;0,
    COUNTIFS($AT$2:$AT$200,$G529)&gt;0,
    COUNTIFS($AU$2:$AU$200,$G529)&gt;0,
    COUNTIFS($AV$2:$AV$200,$G529)&gt;0,
    COUNTIFS($AW$2:$AW$200,$G529)&gt;0,
    COUNTIFS($AX$2:$AX$200,$G529)&gt;0,
    COUNTIFS($AY$2:$AY$200,$G529)&gt;0,
    COUNTIFS($AZ$2:$AZ$200,$G529)&gt;0,
    COUNTIFS($BA$2:$BA$200,$G529)&gt;0,
    COUNTIFS($BB$2:$BB$200,$G529)&gt;0,
    COUNTIFS($BC$2:$BC$200,$G529)&gt;0,
    COUNTIFS($BD$2:$BD$200,$G529)&gt;0,
    COUNTIFS($BE$2:$BE$200,$G529)&gt;0,
    COUNTIFS($BF$2:$BF$200,$G529)&gt;0,
    COUNTIFS($BG$2:$BG$200,$G529)&gt;0,
    COUNTIFS($BH$2:$BH$200,$G529)&gt;0,
    COUNTIFS($BI$2:$BI$200,$G529)&gt;0,
    COUNTIFS($BJ$2:$BJ$200,$G529)&gt;0,
    COUNTIFS($BK$2:$BK$200,$G529)&gt;0,
    COUNTIFS($BL$2:$BL$200,$G529)&gt;0,
    COUNTIFS($BM$2:$BM$200,$G529)&gt;0,
   ),
  0)
 ),
"")</f>
        <v>Little</v>
      </c>
      <c r="G529" t="str">
        <f ca="1"/>
        <v>Wispdrinker Vampire</v>
      </c>
      <c r="EX529" t="str">
        <f ca="1"/>
        <v>Wispdrinker Vampire</v>
      </c>
    </row>
    <row r="530" spans="1:154" x14ac:dyDescent="0.25">
      <c r="A530" s="2" t="str">
        <f t="shared" ca="1" si="22"/>
        <v>5</v>
      </c>
      <c r="B530" s="2">
        <f t="shared" ca="1" si="23"/>
        <v>1</v>
      </c>
      <c r="C530" s="2" t="str">
        <f ca="1">IFERROR(
 INDEX($V$1:$BL$1,
  MATCH(TRUE,
   CHOOSE({1;2;3;4;5;6;7;8;9;10;11;12;13;14;15;16;17;18;19;20;21;22;23;24;25;26;27;28;29;30;31;32;33;34;35;36;37;38;39;40;41;42;43},
    COUNTIFS($V$2:$V$200,$G530)&gt;0,
    COUNTIFS($W$2:$W$200,$G530)&gt;0,
    COUNTIFS($X$2:$X$200,$G530)&gt;0,
    COUNTIFS($Y$2:$Y$200,$G530)&gt;0,
    COUNTIFS($Z$2:$Z$200,$G530)&gt;0,
    COUNTIFS($AA$2:$AA$200,$G530)&gt;0,
    COUNTIFS($AB$2:$AB$200,$G530)&gt;0,
    COUNTIFS($AC$2:$AC$200,$G530)&gt;0,
    COUNTIFS($AD$2:$AD$200,$G530)&gt;0,
    COUNTIFS($AE$2:$AE$200,$G530)&gt;0,
    COUNTIFS($AF$2:$AF$200,$G530)&gt;0,
    COUNTIFS($AG$2:$AG$200,$G530)&gt;0,
    COUNTIFS($AH$2:$AH$200,$G530)&gt;0,
    COUNTIFS($AI$2:$AI$200,$G530)&gt;0,
    COUNTIFS($AJ$2:$AJ$200,$G530)&gt;0,
    COUNTIFS($AK$2:$AK$200,$G530)&gt;0,
    COUNTIFS($AL$2:$AL$200,$G530)&gt;0,
    COUNTIFS($AM$2:$AM$200,$G530)&gt;0,
    COUNTIFS($AN$2:$AN$200,$G530)&gt;0,
    COUNTIFS($AO$2:$AO$200,$G530)&gt;0,
    COUNTIFS($AP$2:$AP$200,$G530)&gt;0,
    COUNTIFS($AQ$2:$AQ$200,$G530)&gt;0,
    COUNTIFS($AR$2:$AR$200,$G530)&gt;0,
    COUNTIFS($AS$2:$AS$200,$G530)&gt;0,
    COUNTIFS($AT$2:$AT$200,$G530)&gt;0,
    COUNTIFS($AU$2:$AU$200,$G530)&gt;0,
    COUNTIFS($AV$2:$AV$200,$G530)&gt;0,
    COUNTIFS($AW$2:$AW$200,$G530)&gt;0,
    COUNTIFS($AX$2:$AX$200,$G530)&gt;0,
    COUNTIFS($AY$2:$AY$200,$G530)&gt;0,
    COUNTIFS($AZ$2:$AZ$200,$G530)&gt;0,
    COUNTIFS($BA$2:$BA$200,$G530)&gt;0,
    COUNTIFS($BB$2:$BB$200,$G530)&gt;0,
    COUNTIFS($BC$2:$BC$200,$G530)&gt;0,
    COUNTIFS($BD$2:$BD$200,$G530)&gt;0,
    COUNTIFS($BE$2:$BE$200,$G530)&gt;0,
    COUNTIFS($BF$2:$BF$200,$G530)&gt;0,
    COUNTIFS($BG$2:$BG$200,$G530)&gt;0,
    COUNTIFS($BH$2:$BH$200,$G530)&gt;0,
    COUNTIFS($BI$2:$BI$200,$G530)&gt;0,
    COUNTIFS($BJ$2:$BJ$200,$G530)&gt;0,
    COUNTIFS($BK$2:$BK$200,$G530)&gt;0,
    COUNTIFS($BL$2:$BL$200,$G530)&gt;0,
    COUNTIFS($BM$2:$BM$200,$G530)&gt;0,
   ),
  0)
 ),
"")</f>
        <v>4cRash</v>
      </c>
      <c r="G530" t="str">
        <f ca="1"/>
        <v>Witherbloom Apprentice</v>
      </c>
      <c r="EX530" t="str">
        <f ca="1"/>
        <v>Witherbloom Apprentice</v>
      </c>
    </row>
    <row r="531" spans="1:154" x14ac:dyDescent="0.25">
      <c r="A531" s="2" t="str">
        <f t="shared" ca="1" si="22"/>
        <v>5</v>
      </c>
      <c r="B531" s="2">
        <f t="shared" ca="1" si="23"/>
        <v>1</v>
      </c>
      <c r="C531" s="2" t="str">
        <f ca="1">IFERROR(
 INDEX($V$1:$BL$1,
  MATCH(TRUE,
   CHOOSE({1;2;3;4;5;6;7;8;9;10;11;12;13;14;15;16;17;18;19;20;21;22;23;24;25;26;27;28;29;30;31;32;33;34;35;36;37;38;39;40;41;42;43},
    COUNTIFS($V$2:$V$200,$G531)&gt;0,
    COUNTIFS($W$2:$W$200,$G531)&gt;0,
    COUNTIFS($X$2:$X$200,$G531)&gt;0,
    COUNTIFS($Y$2:$Y$200,$G531)&gt;0,
    COUNTIFS($Z$2:$Z$200,$G531)&gt;0,
    COUNTIFS($AA$2:$AA$200,$G531)&gt;0,
    COUNTIFS($AB$2:$AB$200,$G531)&gt;0,
    COUNTIFS($AC$2:$AC$200,$G531)&gt;0,
    COUNTIFS($AD$2:$AD$200,$G531)&gt;0,
    COUNTIFS($AE$2:$AE$200,$G531)&gt;0,
    COUNTIFS($AF$2:$AF$200,$G531)&gt;0,
    COUNTIFS($AG$2:$AG$200,$G531)&gt;0,
    COUNTIFS($AH$2:$AH$200,$G531)&gt;0,
    COUNTIFS($AI$2:$AI$200,$G531)&gt;0,
    COUNTIFS($AJ$2:$AJ$200,$G531)&gt;0,
    COUNTIFS($AK$2:$AK$200,$G531)&gt;0,
    COUNTIFS($AL$2:$AL$200,$G531)&gt;0,
    COUNTIFS($AM$2:$AM$200,$G531)&gt;0,
    COUNTIFS($AN$2:$AN$200,$G531)&gt;0,
    COUNTIFS($AO$2:$AO$200,$G531)&gt;0,
    COUNTIFS($AP$2:$AP$200,$G531)&gt;0,
    COUNTIFS($AQ$2:$AQ$200,$G531)&gt;0,
    COUNTIFS($AR$2:$AR$200,$G531)&gt;0,
    COUNTIFS($AS$2:$AS$200,$G531)&gt;0,
    COUNTIFS($AT$2:$AT$200,$G531)&gt;0,
    COUNTIFS($AU$2:$AU$200,$G531)&gt;0,
    COUNTIFS($AV$2:$AV$200,$G531)&gt;0,
    COUNTIFS($AW$2:$AW$200,$G531)&gt;0,
    COUNTIFS($AX$2:$AX$200,$G531)&gt;0,
    COUNTIFS($AY$2:$AY$200,$G531)&gt;0,
    COUNTIFS($AZ$2:$AZ$200,$G531)&gt;0,
    COUNTIFS($BA$2:$BA$200,$G531)&gt;0,
    COUNTIFS($BB$2:$BB$200,$G531)&gt;0,
    COUNTIFS($BC$2:$BC$200,$G531)&gt;0,
    COUNTIFS($BD$2:$BD$200,$G531)&gt;0,
    COUNTIFS($BE$2:$BE$200,$G531)&gt;0,
    COUNTIFS($BF$2:$BF$200,$G531)&gt;0,
    COUNTIFS($BG$2:$BG$200,$G531)&gt;0,
    COUNTIFS($BH$2:$BH$200,$G531)&gt;0,
    COUNTIFS($BI$2:$BI$200,$G531)&gt;0,
    COUNTIFS($BJ$2:$BJ$200,$G531)&gt;0,
    COUNTIFS($BK$2:$BK$200,$G531)&gt;0,
    COUNTIFS($BL$2:$BL$200,$G531)&gt;0,
    COUNTIFS($BM$2:$BM$200,$G531)&gt;0,
   ),
  0)
 ),
"")</f>
        <v>Little</v>
      </c>
      <c r="G531" t="str">
        <f ca="1"/>
        <v>Within Range</v>
      </c>
      <c r="EX531" t="str">
        <f ca="1"/>
        <v>Within Range</v>
      </c>
    </row>
    <row r="532" spans="1:154" x14ac:dyDescent="0.25">
      <c r="A532" s="2" t="str">
        <f t="shared" ca="1" si="22"/>
        <v>4</v>
      </c>
      <c r="B532" s="2">
        <f t="shared" ca="1" si="23"/>
        <v>2</v>
      </c>
      <c r="C532" s="2" t="str">
        <f ca="1">IFERROR(
 INDEX($V$1:$BL$1,
  MATCH(TRUE,
   CHOOSE({1;2;3;4;5;6;7;8;9;10;11;12;13;14;15;16;17;18;19;20;21;22;23;24;25;26;27;28;29;30;31;32;33;34;35;36;37;38;39;40;41;42;43},
    COUNTIFS($V$2:$V$200,$G532)&gt;0,
    COUNTIFS($W$2:$W$200,$G532)&gt;0,
    COUNTIFS($X$2:$X$200,$G532)&gt;0,
    COUNTIFS($Y$2:$Y$200,$G532)&gt;0,
    COUNTIFS($Z$2:$Z$200,$G532)&gt;0,
    COUNTIFS($AA$2:$AA$200,$G532)&gt;0,
    COUNTIFS($AB$2:$AB$200,$G532)&gt;0,
    COUNTIFS($AC$2:$AC$200,$G532)&gt;0,
    COUNTIFS($AD$2:$AD$200,$G532)&gt;0,
    COUNTIFS($AE$2:$AE$200,$G532)&gt;0,
    COUNTIFS($AF$2:$AF$200,$G532)&gt;0,
    COUNTIFS($AG$2:$AG$200,$G532)&gt;0,
    COUNTIFS($AH$2:$AH$200,$G532)&gt;0,
    COUNTIFS($AI$2:$AI$200,$G532)&gt;0,
    COUNTIFS($AJ$2:$AJ$200,$G532)&gt;0,
    COUNTIFS($AK$2:$AK$200,$G532)&gt;0,
    COUNTIFS($AL$2:$AL$200,$G532)&gt;0,
    COUNTIFS($AM$2:$AM$200,$G532)&gt;0,
    COUNTIFS($AN$2:$AN$200,$G532)&gt;0,
    COUNTIFS($AO$2:$AO$200,$G532)&gt;0,
    COUNTIFS($AP$2:$AP$200,$G532)&gt;0,
    COUNTIFS($AQ$2:$AQ$200,$G532)&gt;0,
    COUNTIFS($AR$2:$AR$200,$G532)&gt;0,
    COUNTIFS($AS$2:$AS$200,$G532)&gt;0,
    COUNTIFS($AT$2:$AT$200,$G532)&gt;0,
    COUNTIFS($AU$2:$AU$200,$G532)&gt;0,
    COUNTIFS($AV$2:$AV$200,$G532)&gt;0,
    COUNTIFS($AW$2:$AW$200,$G532)&gt;0,
    COUNTIFS($AX$2:$AX$200,$G532)&gt;0,
    COUNTIFS($AY$2:$AY$200,$G532)&gt;0,
    COUNTIFS($AZ$2:$AZ$200,$G532)&gt;0,
    COUNTIFS($BA$2:$BA$200,$G532)&gt;0,
    COUNTIFS($BB$2:$BB$200,$G532)&gt;0,
    COUNTIFS($BC$2:$BC$200,$G532)&gt;0,
    COUNTIFS($BD$2:$BD$200,$G532)&gt;0,
    COUNTIFS($BE$2:$BE$200,$G532)&gt;0,
    COUNTIFS($BF$2:$BF$200,$G532)&gt;0,
    COUNTIFS($BG$2:$BG$200,$G532)&gt;0,
    COUNTIFS($BH$2:$BH$200,$G532)&gt;0,
    COUNTIFS($BI$2:$BI$200,$G532)&gt;0,
    COUNTIFS($BJ$2:$BJ$200,$G532)&gt;0,
    COUNTIFS($BK$2:$BK$200,$G532)&gt;0,
    COUNTIFS($BL$2:$BL$200,$G532)&gt;0,
    COUNTIFS($BM$2:$BM$200,$G532)&gt;0,
   ),
  0)
 ),
"")</f>
        <v>Tayam</v>
      </c>
      <c r="G532" t="str">
        <f ca="1"/>
        <v>Woodland Cemetery</v>
      </c>
      <c r="EX532" t="str">
        <f ca="1"/>
        <v>Woodland Cemetery</v>
      </c>
    </row>
    <row r="533" spans="1:154" x14ac:dyDescent="0.25">
      <c r="A533" s="2" t="str">
        <f t="shared" ca="1" si="22"/>
        <v>4</v>
      </c>
      <c r="B533" s="2">
        <f t="shared" ca="1" si="23"/>
        <v>1</v>
      </c>
      <c r="C533" s="2" t="str">
        <f ca="1">IFERROR(
 INDEX($V$1:$BL$1,
  MATCH(TRUE,
   CHOOSE({1;2;3;4;5;6;7;8;9;10;11;12;13;14;15;16;17;18;19;20;21;22;23;24;25;26;27;28;29;30;31;32;33;34;35;36;37;38;39;40;41;42;43},
    COUNTIFS($V$2:$V$200,$G533)&gt;0,
    COUNTIFS($W$2:$W$200,$G533)&gt;0,
    COUNTIFS($X$2:$X$200,$G533)&gt;0,
    COUNTIFS($Y$2:$Y$200,$G533)&gt;0,
    COUNTIFS($Z$2:$Z$200,$G533)&gt;0,
    COUNTIFS($AA$2:$AA$200,$G533)&gt;0,
    COUNTIFS($AB$2:$AB$200,$G533)&gt;0,
    COUNTIFS($AC$2:$AC$200,$G533)&gt;0,
    COUNTIFS($AD$2:$AD$200,$G533)&gt;0,
    COUNTIFS($AE$2:$AE$200,$G533)&gt;0,
    COUNTIFS($AF$2:$AF$200,$G533)&gt;0,
    COUNTIFS($AG$2:$AG$200,$G533)&gt;0,
    COUNTIFS($AH$2:$AH$200,$G533)&gt;0,
    COUNTIFS($AI$2:$AI$200,$G533)&gt;0,
    COUNTIFS($AJ$2:$AJ$200,$G533)&gt;0,
    COUNTIFS($AK$2:$AK$200,$G533)&gt;0,
    COUNTIFS($AL$2:$AL$200,$G533)&gt;0,
    COUNTIFS($AM$2:$AM$200,$G533)&gt;0,
    COUNTIFS($AN$2:$AN$200,$G533)&gt;0,
    COUNTIFS($AO$2:$AO$200,$G533)&gt;0,
    COUNTIFS($AP$2:$AP$200,$G533)&gt;0,
    COUNTIFS($AQ$2:$AQ$200,$G533)&gt;0,
    COUNTIFS($AR$2:$AR$200,$G533)&gt;0,
    COUNTIFS($AS$2:$AS$200,$G533)&gt;0,
    COUNTIFS($AT$2:$AT$200,$G533)&gt;0,
    COUNTIFS($AU$2:$AU$200,$G533)&gt;0,
    COUNTIFS($AV$2:$AV$200,$G533)&gt;0,
    COUNTIFS($AW$2:$AW$200,$G533)&gt;0,
    COUNTIFS($AX$2:$AX$200,$G533)&gt;0,
    COUNTIFS($AY$2:$AY$200,$G533)&gt;0,
    COUNTIFS($AZ$2:$AZ$200,$G533)&gt;0,
    COUNTIFS($BA$2:$BA$200,$G533)&gt;0,
    COUNTIFS($BB$2:$BB$200,$G533)&gt;0,
    COUNTIFS($BC$2:$BC$200,$G533)&gt;0,
    COUNTIFS($BD$2:$BD$200,$G533)&gt;0,
    COUNTIFS($BE$2:$BE$200,$G533)&gt;0,
    COUNTIFS($BF$2:$BF$200,$G533)&gt;0,
    COUNTIFS($BG$2:$BG$200,$G533)&gt;0,
    COUNTIFS($BH$2:$BH$200,$G533)&gt;0,
    COUNTIFS($BI$2:$BI$200,$G533)&gt;0,
    COUNTIFS($BJ$2:$BJ$200,$G533)&gt;0,
    COUNTIFS($BK$2:$BK$200,$G533)&gt;0,
    COUNTIFS($BL$2:$BL$200,$G533)&gt;0,
    COUNTIFS($BM$2:$BM$200,$G533)&gt;0,
   ),
  0)
 ),
"")</f>
        <v>Narset</v>
      </c>
      <c r="G533" t="str">
        <f ca="1"/>
        <v>World at War</v>
      </c>
      <c r="EX533" t="str">
        <f ca="1"/>
        <v>World at War</v>
      </c>
    </row>
    <row r="534" spans="1:154" x14ac:dyDescent="0.25">
      <c r="A534" s="2" t="str">
        <f t="shared" ca="1" si="22"/>
        <v>5</v>
      </c>
      <c r="B534" s="2">
        <f t="shared" ca="1" si="23"/>
        <v>1</v>
      </c>
      <c r="C534" s="2" t="str">
        <f ca="1">IFERROR(
 INDEX($V$1:$BL$1,
  MATCH(TRUE,
   CHOOSE({1;2;3;4;5;6;7;8;9;10;11;12;13;14;15;16;17;18;19;20;21;22;23;24;25;26;27;28;29;30;31;32;33;34;35;36;37;38;39;40;41;42;43},
    COUNTIFS($V$2:$V$200,$G534)&gt;0,
    COUNTIFS($W$2:$W$200,$G534)&gt;0,
    COUNTIFS($X$2:$X$200,$G534)&gt;0,
    COUNTIFS($Y$2:$Y$200,$G534)&gt;0,
    COUNTIFS($Z$2:$Z$200,$G534)&gt;0,
    COUNTIFS($AA$2:$AA$200,$G534)&gt;0,
    COUNTIFS($AB$2:$AB$200,$G534)&gt;0,
    COUNTIFS($AC$2:$AC$200,$G534)&gt;0,
    COUNTIFS($AD$2:$AD$200,$G534)&gt;0,
    COUNTIFS($AE$2:$AE$200,$G534)&gt;0,
    COUNTIFS($AF$2:$AF$200,$G534)&gt;0,
    COUNTIFS($AG$2:$AG$200,$G534)&gt;0,
    COUNTIFS($AH$2:$AH$200,$G534)&gt;0,
    COUNTIFS($AI$2:$AI$200,$G534)&gt;0,
    COUNTIFS($AJ$2:$AJ$200,$G534)&gt;0,
    COUNTIFS($AK$2:$AK$200,$G534)&gt;0,
    COUNTIFS($AL$2:$AL$200,$G534)&gt;0,
    COUNTIFS($AM$2:$AM$200,$G534)&gt;0,
    COUNTIFS($AN$2:$AN$200,$G534)&gt;0,
    COUNTIFS($AO$2:$AO$200,$G534)&gt;0,
    COUNTIFS($AP$2:$AP$200,$G534)&gt;0,
    COUNTIFS($AQ$2:$AQ$200,$G534)&gt;0,
    COUNTIFS($AR$2:$AR$200,$G534)&gt;0,
    COUNTIFS($AS$2:$AS$200,$G534)&gt;0,
    COUNTIFS($AT$2:$AT$200,$G534)&gt;0,
    COUNTIFS($AU$2:$AU$200,$G534)&gt;0,
    COUNTIFS($AV$2:$AV$200,$G534)&gt;0,
    COUNTIFS($AW$2:$AW$200,$G534)&gt;0,
    COUNTIFS($AX$2:$AX$200,$G534)&gt;0,
    COUNTIFS($AY$2:$AY$200,$G534)&gt;0,
    COUNTIFS($AZ$2:$AZ$200,$G534)&gt;0,
    COUNTIFS($BA$2:$BA$200,$G534)&gt;0,
    COUNTIFS($BB$2:$BB$200,$G534)&gt;0,
    COUNTIFS($BC$2:$BC$200,$G534)&gt;0,
    COUNTIFS($BD$2:$BD$200,$G534)&gt;0,
    COUNTIFS($BE$2:$BE$200,$G534)&gt;0,
    COUNTIFS($BF$2:$BF$200,$G534)&gt;0,
    COUNTIFS($BG$2:$BG$200,$G534)&gt;0,
    COUNTIFS($BH$2:$BH$200,$G534)&gt;0,
    COUNTIFS($BI$2:$BI$200,$G534)&gt;0,
    COUNTIFS($BJ$2:$BJ$200,$G534)&gt;0,
    COUNTIFS($BK$2:$BK$200,$G534)&gt;0,
    COUNTIFS($BL$2:$BL$200,$G534)&gt;0,
    COUNTIFS($BM$2:$BM$200,$G534)&gt;0,
   ),
  0)
 ),
"")</f>
        <v>Fractius</v>
      </c>
      <c r="G534" t="str">
        <f ca="1"/>
        <v>Xander's Lounge</v>
      </c>
      <c r="EX534" t="str">
        <f ca="1"/>
        <v>Xander's Lounge</v>
      </c>
    </row>
    <row r="535" spans="1:154" x14ac:dyDescent="0.25">
      <c r="A535" s="2" t="str">
        <f t="shared" ca="1" si="22"/>
        <v>4</v>
      </c>
      <c r="B535" s="2">
        <f t="shared" ca="1" si="23"/>
        <v>1</v>
      </c>
      <c r="C535" s="2" t="str">
        <f ca="1">IFERROR(
 INDEX($V$1:$BL$1,
  MATCH(TRUE,
   CHOOSE({1;2;3;4;5;6;7;8;9;10;11;12;13;14;15;16;17;18;19;20;21;22;23;24;25;26;27;28;29;30;31;32;33;34;35;36;37;38;39;40;41;42;43},
    COUNTIFS($V$2:$V$200,$G535)&gt;0,
    COUNTIFS($W$2:$W$200,$G535)&gt;0,
    COUNTIFS($X$2:$X$200,$G535)&gt;0,
    COUNTIFS($Y$2:$Y$200,$G535)&gt;0,
    COUNTIFS($Z$2:$Z$200,$G535)&gt;0,
    COUNTIFS($AA$2:$AA$200,$G535)&gt;0,
    COUNTIFS($AB$2:$AB$200,$G535)&gt;0,
    COUNTIFS($AC$2:$AC$200,$G535)&gt;0,
    COUNTIFS($AD$2:$AD$200,$G535)&gt;0,
    COUNTIFS($AE$2:$AE$200,$G535)&gt;0,
    COUNTIFS($AF$2:$AF$200,$G535)&gt;0,
    COUNTIFS($AG$2:$AG$200,$G535)&gt;0,
    COUNTIFS($AH$2:$AH$200,$G535)&gt;0,
    COUNTIFS($AI$2:$AI$200,$G535)&gt;0,
    COUNTIFS($AJ$2:$AJ$200,$G535)&gt;0,
    COUNTIFS($AK$2:$AK$200,$G535)&gt;0,
    COUNTIFS($AL$2:$AL$200,$G535)&gt;0,
    COUNTIFS($AM$2:$AM$200,$G535)&gt;0,
    COUNTIFS($AN$2:$AN$200,$G535)&gt;0,
    COUNTIFS($AO$2:$AO$200,$G535)&gt;0,
    COUNTIFS($AP$2:$AP$200,$G535)&gt;0,
    COUNTIFS($AQ$2:$AQ$200,$G535)&gt;0,
    COUNTIFS($AR$2:$AR$200,$G535)&gt;0,
    COUNTIFS($AS$2:$AS$200,$G535)&gt;0,
    COUNTIFS($AT$2:$AT$200,$G535)&gt;0,
    COUNTIFS($AU$2:$AU$200,$G535)&gt;0,
    COUNTIFS($AV$2:$AV$200,$G535)&gt;0,
    COUNTIFS($AW$2:$AW$200,$G535)&gt;0,
    COUNTIFS($AX$2:$AX$200,$G535)&gt;0,
    COUNTIFS($AY$2:$AY$200,$G535)&gt;0,
    COUNTIFS($AZ$2:$AZ$200,$G535)&gt;0,
    COUNTIFS($BA$2:$BA$200,$G535)&gt;0,
    COUNTIFS($BB$2:$BB$200,$G535)&gt;0,
    COUNTIFS($BC$2:$BC$200,$G535)&gt;0,
    COUNTIFS($BD$2:$BD$200,$G535)&gt;0,
    COUNTIFS($BE$2:$BE$200,$G535)&gt;0,
    COUNTIFS($BF$2:$BF$200,$G535)&gt;0,
    COUNTIFS($BG$2:$BG$200,$G535)&gt;0,
    COUNTIFS($BH$2:$BH$200,$G535)&gt;0,
    COUNTIFS($BI$2:$BI$200,$G535)&gt;0,
    COUNTIFS($BJ$2:$BJ$200,$G535)&gt;0,
    COUNTIFS($BK$2:$BK$200,$G535)&gt;0,
    COUNTIFS($BL$2:$BL$200,$G535)&gt;0,
    COUNTIFS($BM$2:$BM$200,$G535)&gt;0,
   ),
  0)
 ),
"")</f>
        <v>Modular</v>
      </c>
      <c r="G535" t="str">
        <f ca="1"/>
        <v>Yavimaya, Cradle of Growth</v>
      </c>
      <c r="EX535" t="str">
        <f ca="1"/>
        <v>Yavimaya, Cradle of Growth</v>
      </c>
    </row>
    <row r="536" spans="1:154" x14ac:dyDescent="0.25">
      <c r="A536" s="2" t="str">
        <f t="shared" ca="1" si="22"/>
        <v>4</v>
      </c>
      <c r="B536" s="2">
        <f t="shared" ca="1" si="23"/>
        <v>1</v>
      </c>
      <c r="C536" s="2" t="str">
        <f ca="1">IFERROR(
 INDEX($V$1:$BL$1,
  MATCH(TRUE,
   CHOOSE({1;2;3;4;5;6;7;8;9;10;11;12;13;14;15;16;17;18;19;20;21;22;23;24;25;26;27;28;29;30;31;32;33;34;35;36;37;38;39;40;41;42;43},
    COUNTIFS($V$2:$V$200,$G536)&gt;0,
    COUNTIFS($W$2:$W$200,$G536)&gt;0,
    COUNTIFS($X$2:$X$200,$G536)&gt;0,
    COUNTIFS($Y$2:$Y$200,$G536)&gt;0,
    COUNTIFS($Z$2:$Z$200,$G536)&gt;0,
    COUNTIFS($AA$2:$AA$200,$G536)&gt;0,
    COUNTIFS($AB$2:$AB$200,$G536)&gt;0,
    COUNTIFS($AC$2:$AC$200,$G536)&gt;0,
    COUNTIFS($AD$2:$AD$200,$G536)&gt;0,
    COUNTIFS($AE$2:$AE$200,$G536)&gt;0,
    COUNTIFS($AF$2:$AF$200,$G536)&gt;0,
    COUNTIFS($AG$2:$AG$200,$G536)&gt;0,
    COUNTIFS($AH$2:$AH$200,$G536)&gt;0,
    COUNTIFS($AI$2:$AI$200,$G536)&gt;0,
    COUNTIFS($AJ$2:$AJ$200,$G536)&gt;0,
    COUNTIFS($AK$2:$AK$200,$G536)&gt;0,
    COUNTIFS($AL$2:$AL$200,$G536)&gt;0,
    COUNTIFS($AM$2:$AM$200,$G536)&gt;0,
    COUNTIFS($AN$2:$AN$200,$G536)&gt;0,
    COUNTIFS($AO$2:$AO$200,$G536)&gt;0,
    COUNTIFS($AP$2:$AP$200,$G536)&gt;0,
    COUNTIFS($AQ$2:$AQ$200,$G536)&gt;0,
    COUNTIFS($AR$2:$AR$200,$G536)&gt;0,
    COUNTIFS($AS$2:$AS$200,$G536)&gt;0,
    COUNTIFS($AT$2:$AT$200,$G536)&gt;0,
    COUNTIFS($AU$2:$AU$200,$G536)&gt;0,
    COUNTIFS($AV$2:$AV$200,$G536)&gt;0,
    COUNTIFS($AW$2:$AW$200,$G536)&gt;0,
    COUNTIFS($AX$2:$AX$200,$G536)&gt;0,
    COUNTIFS($AY$2:$AY$200,$G536)&gt;0,
    COUNTIFS($AZ$2:$AZ$200,$G536)&gt;0,
    COUNTIFS($BA$2:$BA$200,$G536)&gt;0,
    COUNTIFS($BB$2:$BB$200,$G536)&gt;0,
    COUNTIFS($BC$2:$BC$200,$G536)&gt;0,
    COUNTIFS($BD$2:$BD$200,$G536)&gt;0,
    COUNTIFS($BE$2:$BE$200,$G536)&gt;0,
    COUNTIFS($BF$2:$BF$200,$G536)&gt;0,
    COUNTIFS($BG$2:$BG$200,$G536)&gt;0,
    COUNTIFS($BH$2:$BH$200,$G536)&gt;0,
    COUNTIFS($BI$2:$BI$200,$G536)&gt;0,
    COUNTIFS($BJ$2:$BJ$200,$G536)&gt;0,
    COUNTIFS($BK$2:$BK$200,$G536)&gt;0,
    COUNTIFS($BL$2:$BL$200,$G536)&gt;0,
    COUNTIFS($BM$2:$BM$200,$G536)&gt;0,
   ),
  0)
 ),
"")</f>
        <v>Ool</v>
      </c>
      <c r="G536" t="str">
        <f ca="1"/>
        <v>Yawgmoth, Thran Physician</v>
      </c>
      <c r="EX536" t="str">
        <f ca="1"/>
        <v>Yawgmoth, Thran Physician</v>
      </c>
    </row>
    <row r="537" spans="1:154" x14ac:dyDescent="0.25">
      <c r="A537" s="2" t="str">
        <f t="shared" ca="1" si="22"/>
        <v>2</v>
      </c>
      <c r="B537" s="2">
        <f t="shared" ca="1" si="23"/>
        <v>2</v>
      </c>
      <c r="C537" s="2" t="str">
        <f ca="1">IFERROR(
 INDEX($V$1:$BL$1,
  MATCH(TRUE,
   CHOOSE({1;2;3;4;5;6;7;8;9;10;11;12;13;14;15;16;17;18;19;20;21;22;23;24;25;26;27;28;29;30;31;32;33;34;35;36;37;38;39;40;41;42;43},
    COUNTIFS($V$2:$V$200,$G537)&gt;0,
    COUNTIFS($W$2:$W$200,$G537)&gt;0,
    COUNTIFS($X$2:$X$200,$G537)&gt;0,
    COUNTIFS($Y$2:$Y$200,$G537)&gt;0,
    COUNTIFS($Z$2:$Z$200,$G537)&gt;0,
    COUNTIFS($AA$2:$AA$200,$G537)&gt;0,
    COUNTIFS($AB$2:$AB$200,$G537)&gt;0,
    COUNTIFS($AC$2:$AC$200,$G537)&gt;0,
    COUNTIFS($AD$2:$AD$200,$G537)&gt;0,
    COUNTIFS($AE$2:$AE$200,$G537)&gt;0,
    COUNTIFS($AF$2:$AF$200,$G537)&gt;0,
    COUNTIFS($AG$2:$AG$200,$G537)&gt;0,
    COUNTIFS($AH$2:$AH$200,$G537)&gt;0,
    COUNTIFS($AI$2:$AI$200,$G537)&gt;0,
    COUNTIFS($AJ$2:$AJ$200,$G537)&gt;0,
    COUNTIFS($AK$2:$AK$200,$G537)&gt;0,
    COUNTIFS($AL$2:$AL$200,$G537)&gt;0,
    COUNTIFS($AM$2:$AM$200,$G537)&gt;0,
    COUNTIFS($AN$2:$AN$200,$G537)&gt;0,
    COUNTIFS($AO$2:$AO$200,$G537)&gt;0,
    COUNTIFS($AP$2:$AP$200,$G537)&gt;0,
    COUNTIFS($AQ$2:$AQ$200,$G537)&gt;0,
    COUNTIFS($AR$2:$AR$200,$G537)&gt;0,
    COUNTIFS($AS$2:$AS$200,$G537)&gt;0,
    COUNTIFS($AT$2:$AT$200,$G537)&gt;0,
    COUNTIFS($AU$2:$AU$200,$G537)&gt;0,
    COUNTIFS($AV$2:$AV$200,$G537)&gt;0,
    COUNTIFS($AW$2:$AW$200,$G537)&gt;0,
    COUNTIFS($AX$2:$AX$200,$G537)&gt;0,
    COUNTIFS($AY$2:$AY$200,$G537)&gt;0,
    COUNTIFS($AZ$2:$AZ$200,$G537)&gt;0,
    COUNTIFS($BA$2:$BA$200,$G537)&gt;0,
    COUNTIFS($BB$2:$BB$200,$G537)&gt;0,
    COUNTIFS($BC$2:$BC$200,$G537)&gt;0,
    COUNTIFS($BD$2:$BD$200,$G537)&gt;0,
    COUNTIFS($BE$2:$BE$200,$G537)&gt;0,
    COUNTIFS($BF$2:$BF$200,$G537)&gt;0,
    COUNTIFS($BG$2:$BG$200,$G537)&gt;0,
    COUNTIFS($BH$2:$BH$200,$G537)&gt;0,
    COUNTIFS($BI$2:$BI$200,$G537)&gt;0,
    COUNTIFS($BJ$2:$BJ$200,$G537)&gt;0,
    COUNTIFS($BK$2:$BK$200,$G537)&gt;0,
    COUNTIFS($BL$2:$BL$200,$G537)&gt;0,
    COUNTIFS($BM$2:$BM$200,$G537)&gt;0,
   ),
  0)
 ),
"")</f>
        <v>Elfos</v>
      </c>
      <c r="G537" t="str">
        <f ca="1"/>
        <v>Zagoth Triome</v>
      </c>
      <c r="EX537" t="str">
        <f ca="1"/>
        <v>Zagoth Triome</v>
      </c>
    </row>
    <row r="538" spans="1:154" x14ac:dyDescent="0.25">
      <c r="A538" s="2" t="str">
        <f t="shared" ca="1" si="22"/>
        <v>4</v>
      </c>
      <c r="B538" s="2">
        <f t="shared" ca="1" si="23"/>
        <v>1</v>
      </c>
      <c r="C538" s="2" t="str">
        <f ca="1">IFERROR(
 INDEX($V$1:$BL$1,
  MATCH(TRUE,
   CHOOSE({1;2;3;4;5;6;7;8;9;10;11;12;13;14;15;16;17;18;19;20;21;22;23;24;25;26;27;28;29;30;31;32;33;34;35;36;37;38;39;40;41;42;43},
    COUNTIFS($V$2:$V$200,$G538)&gt;0,
    COUNTIFS($W$2:$W$200,$G538)&gt;0,
    COUNTIFS($X$2:$X$200,$G538)&gt;0,
    COUNTIFS($Y$2:$Y$200,$G538)&gt;0,
    COUNTIFS($Z$2:$Z$200,$G538)&gt;0,
    COUNTIFS($AA$2:$AA$200,$G538)&gt;0,
    COUNTIFS($AB$2:$AB$200,$G538)&gt;0,
    COUNTIFS($AC$2:$AC$200,$G538)&gt;0,
    COUNTIFS($AD$2:$AD$200,$G538)&gt;0,
    COUNTIFS($AE$2:$AE$200,$G538)&gt;0,
    COUNTIFS($AF$2:$AF$200,$G538)&gt;0,
    COUNTIFS($AG$2:$AG$200,$G538)&gt;0,
    COUNTIFS($AH$2:$AH$200,$G538)&gt;0,
    COUNTIFS($AI$2:$AI$200,$G538)&gt;0,
    COUNTIFS($AJ$2:$AJ$200,$G538)&gt;0,
    COUNTIFS($AK$2:$AK$200,$G538)&gt;0,
    COUNTIFS($AL$2:$AL$200,$G538)&gt;0,
    COUNTIFS($AM$2:$AM$200,$G538)&gt;0,
    COUNTIFS($AN$2:$AN$200,$G538)&gt;0,
    COUNTIFS($AO$2:$AO$200,$G538)&gt;0,
    COUNTIFS($AP$2:$AP$200,$G538)&gt;0,
    COUNTIFS($AQ$2:$AQ$200,$G538)&gt;0,
    COUNTIFS($AR$2:$AR$200,$G538)&gt;0,
    COUNTIFS($AS$2:$AS$200,$G538)&gt;0,
    COUNTIFS($AT$2:$AT$200,$G538)&gt;0,
    COUNTIFS($AU$2:$AU$200,$G538)&gt;0,
    COUNTIFS($AV$2:$AV$200,$G538)&gt;0,
    COUNTIFS($AW$2:$AW$200,$G538)&gt;0,
    COUNTIFS($AX$2:$AX$200,$G538)&gt;0,
    COUNTIFS($AY$2:$AY$200,$G538)&gt;0,
    COUNTIFS($AZ$2:$AZ$200,$G538)&gt;0,
    COUNTIFS($BA$2:$BA$200,$G538)&gt;0,
    COUNTIFS($BB$2:$BB$200,$G538)&gt;0,
    COUNTIFS($BC$2:$BC$200,$G538)&gt;0,
    COUNTIFS($BD$2:$BD$200,$G538)&gt;0,
    COUNTIFS($BE$2:$BE$200,$G538)&gt;0,
    COUNTIFS($BF$2:$BF$200,$G538)&gt;0,
    COUNTIFS($BG$2:$BG$200,$G538)&gt;0,
    COUNTIFS($BH$2:$BH$200,$G538)&gt;0,
    COUNTIFS($BI$2:$BI$200,$G538)&gt;0,
    COUNTIFS($BJ$2:$BJ$200,$G538)&gt;0,
    COUNTIFS($BK$2:$BK$200,$G538)&gt;0,
    COUNTIFS($BL$2:$BL$200,$G538)&gt;0,
    COUNTIFS($BM$2:$BM$200,$G538)&gt;0,
   ),
  0)
 ),
"")</f>
        <v>Narset</v>
      </c>
      <c r="G538" t="str">
        <f ca="1"/>
        <v>Zellix, Sanity Flayer</v>
      </c>
      <c r="EX538" t="str">
        <f ca="1"/>
        <v>Zellix, Sanity Flayer</v>
      </c>
    </row>
    <row r="539" spans="1:154" x14ac:dyDescent="0.25">
      <c r="A539" s="2" t="str">
        <f t="shared" ca="1" si="22"/>
        <v>5</v>
      </c>
      <c r="B539" s="2">
        <f t="shared" ca="1" si="23"/>
        <v>1</v>
      </c>
      <c r="C539" s="2" t="str">
        <f ca="1">IFERROR(
 INDEX($V$1:$BL$1,
  MATCH(TRUE,
   CHOOSE({1;2;3;4;5;6;7;8;9;10;11;12;13;14;15;16;17;18;19;20;21;22;23;24;25;26;27;28;29;30;31;32;33;34;35;36;37;38;39;40;41;42;43},
    COUNTIFS($V$2:$V$200,$G539)&gt;0,
    COUNTIFS($W$2:$W$200,$G539)&gt;0,
    COUNTIFS($X$2:$X$200,$G539)&gt;0,
    COUNTIFS($Y$2:$Y$200,$G539)&gt;0,
    COUNTIFS($Z$2:$Z$200,$G539)&gt;0,
    COUNTIFS($AA$2:$AA$200,$G539)&gt;0,
    COUNTIFS($AB$2:$AB$200,$G539)&gt;0,
    COUNTIFS($AC$2:$AC$200,$G539)&gt;0,
    COUNTIFS($AD$2:$AD$200,$G539)&gt;0,
    COUNTIFS($AE$2:$AE$200,$G539)&gt;0,
    COUNTIFS($AF$2:$AF$200,$G539)&gt;0,
    COUNTIFS($AG$2:$AG$200,$G539)&gt;0,
    COUNTIFS($AH$2:$AH$200,$G539)&gt;0,
    COUNTIFS($AI$2:$AI$200,$G539)&gt;0,
    COUNTIFS($AJ$2:$AJ$200,$G539)&gt;0,
    COUNTIFS($AK$2:$AK$200,$G539)&gt;0,
    COUNTIFS($AL$2:$AL$200,$G539)&gt;0,
    COUNTIFS($AM$2:$AM$200,$G539)&gt;0,
    COUNTIFS($AN$2:$AN$200,$G539)&gt;0,
    COUNTIFS($AO$2:$AO$200,$G539)&gt;0,
    COUNTIFS($AP$2:$AP$200,$G539)&gt;0,
    COUNTIFS($AQ$2:$AQ$200,$G539)&gt;0,
    COUNTIFS($AR$2:$AR$200,$G539)&gt;0,
    COUNTIFS($AS$2:$AS$200,$G539)&gt;0,
    COUNTIFS($AT$2:$AT$200,$G539)&gt;0,
    COUNTIFS($AU$2:$AU$200,$G539)&gt;0,
    COUNTIFS($AV$2:$AV$200,$G539)&gt;0,
    COUNTIFS($AW$2:$AW$200,$G539)&gt;0,
    COUNTIFS($AX$2:$AX$200,$G539)&gt;0,
    COUNTIFS($AY$2:$AY$200,$G539)&gt;0,
    COUNTIFS($AZ$2:$AZ$200,$G539)&gt;0,
    COUNTIFS($BA$2:$BA$200,$G539)&gt;0,
    COUNTIFS($BB$2:$BB$200,$G539)&gt;0,
    COUNTIFS($BC$2:$BC$200,$G539)&gt;0,
    COUNTIFS($BD$2:$BD$200,$G539)&gt;0,
    COUNTIFS($BE$2:$BE$200,$G539)&gt;0,
    COUNTIFS($BF$2:$BF$200,$G539)&gt;0,
    COUNTIFS($BG$2:$BG$200,$G539)&gt;0,
    COUNTIFS($BH$2:$BH$200,$G539)&gt;0,
    COUNTIFS($BI$2:$BI$200,$G539)&gt;0,
    COUNTIFS($BJ$2:$BJ$200,$G539)&gt;0,
    COUNTIFS($BK$2:$BK$200,$G539)&gt;0,
    COUNTIFS($BL$2:$BL$200,$G539)&gt;0,
    COUNTIFS($BM$2:$BM$200,$G539)&gt;0,
   ),
  0)
 ),
"")</f>
        <v>Fractius</v>
      </c>
      <c r="G539" t="str">
        <f ca="1"/>
        <v>Ziatora's Proving Ground</v>
      </c>
      <c r="EX539" t="str">
        <f ca="1"/>
        <v>Ziatora's Proving Ground</v>
      </c>
    </row>
    <row r="540" spans="1:154" x14ac:dyDescent="0.25">
      <c r="A540" s="2" t="str">
        <f t="shared" ca="1" si="22"/>
        <v>5</v>
      </c>
      <c r="B540" s="2">
        <f t="shared" ca="1" si="23"/>
        <v>1</v>
      </c>
      <c r="C540" s="2" t="str">
        <f ca="1">IFERROR(
 INDEX($V$1:$BL$1,
  MATCH(TRUE,
   CHOOSE({1;2;3;4;5;6;7;8;9;10;11;12;13;14;15;16;17;18;19;20;21;22;23;24;25;26;27;28;29;30;31;32;33;34;35;36;37;38;39;40;41;42;43},
    COUNTIFS($V$2:$V$200,$G540)&gt;0,
    COUNTIFS($W$2:$W$200,$G540)&gt;0,
    COUNTIFS($X$2:$X$200,$G540)&gt;0,
    COUNTIFS($Y$2:$Y$200,$G540)&gt;0,
    COUNTIFS($Z$2:$Z$200,$G540)&gt;0,
    COUNTIFS($AA$2:$AA$200,$G540)&gt;0,
    COUNTIFS($AB$2:$AB$200,$G540)&gt;0,
    COUNTIFS($AC$2:$AC$200,$G540)&gt;0,
    COUNTIFS($AD$2:$AD$200,$G540)&gt;0,
    COUNTIFS($AE$2:$AE$200,$G540)&gt;0,
    COUNTIFS($AF$2:$AF$200,$G540)&gt;0,
    COUNTIFS($AG$2:$AG$200,$G540)&gt;0,
    COUNTIFS($AH$2:$AH$200,$G540)&gt;0,
    COUNTIFS($AI$2:$AI$200,$G540)&gt;0,
    COUNTIFS($AJ$2:$AJ$200,$G540)&gt;0,
    COUNTIFS($AK$2:$AK$200,$G540)&gt;0,
    COUNTIFS($AL$2:$AL$200,$G540)&gt;0,
    COUNTIFS($AM$2:$AM$200,$G540)&gt;0,
    COUNTIFS($AN$2:$AN$200,$G540)&gt;0,
    COUNTIFS($AO$2:$AO$200,$G540)&gt;0,
    COUNTIFS($AP$2:$AP$200,$G540)&gt;0,
    COUNTIFS($AQ$2:$AQ$200,$G540)&gt;0,
    COUNTIFS($AR$2:$AR$200,$G540)&gt;0,
    COUNTIFS($AS$2:$AS$200,$G540)&gt;0,
    COUNTIFS($AT$2:$AT$200,$G540)&gt;0,
    COUNTIFS($AU$2:$AU$200,$G540)&gt;0,
    COUNTIFS($AV$2:$AV$200,$G540)&gt;0,
    COUNTIFS($AW$2:$AW$200,$G540)&gt;0,
    COUNTIFS($AX$2:$AX$200,$G540)&gt;0,
    COUNTIFS($AY$2:$AY$200,$G540)&gt;0,
    COUNTIFS($AZ$2:$AZ$200,$G540)&gt;0,
    COUNTIFS($BA$2:$BA$200,$G540)&gt;0,
    COUNTIFS($BB$2:$BB$200,$G540)&gt;0,
    COUNTIFS($BC$2:$BC$200,$G540)&gt;0,
    COUNTIFS($BD$2:$BD$200,$G540)&gt;0,
    COUNTIFS($BE$2:$BE$200,$G540)&gt;0,
    COUNTIFS($BF$2:$BF$200,$G540)&gt;0,
    COUNTIFS($BG$2:$BG$200,$G540)&gt;0,
    COUNTIFS($BH$2:$BH$200,$G540)&gt;0,
    COUNTIFS($BI$2:$BI$200,$G540)&gt;0,
    COUNTIFS($BJ$2:$BJ$200,$G540)&gt;0,
    COUNTIFS($BK$2:$BK$200,$G540)&gt;0,
    COUNTIFS($BL$2:$BL$200,$G540)&gt;0,
    COUNTIFS($BM$2:$BM$200,$G540)&gt;0,
   ),
  0)
 ),
"")</f>
        <v>Little</v>
      </c>
      <c r="G540" t="str">
        <f ca="1"/>
        <v>Zurgo Stormrender</v>
      </c>
      <c r="EX540" t="str">
        <f ca="1"/>
        <v>Zurgo Stormrender</v>
      </c>
    </row>
    <row r="541" spans="1:154" x14ac:dyDescent="0.25">
      <c r="A541" s="2" t="str">
        <f t="shared" ca="1" si="22"/>
        <v>5</v>
      </c>
      <c r="B541" s="2">
        <f t="shared" ca="1" si="23"/>
        <v>1</v>
      </c>
      <c r="C541" s="2" t="str">
        <f ca="1">IFERROR(
 INDEX($V$1:$BL$1,
  MATCH(TRUE,
   CHOOSE({1;2;3;4;5;6;7;8;9;10;11;12;13;14;15;16;17;18;19;20;21;22;23;24;25;26;27;28;29;30;31;32;33;34;35;36;37;38;39;40;41;42;43},
    COUNTIFS($V$2:$V$200,$G541)&gt;0,
    COUNTIFS($W$2:$W$200,$G541)&gt;0,
    COUNTIFS($X$2:$X$200,$G541)&gt;0,
    COUNTIFS($Y$2:$Y$200,$G541)&gt;0,
    COUNTIFS($Z$2:$Z$200,$G541)&gt;0,
    COUNTIFS($AA$2:$AA$200,$G541)&gt;0,
    COUNTIFS($AB$2:$AB$200,$G541)&gt;0,
    COUNTIFS($AC$2:$AC$200,$G541)&gt;0,
    COUNTIFS($AD$2:$AD$200,$G541)&gt;0,
    COUNTIFS($AE$2:$AE$200,$G541)&gt;0,
    COUNTIFS($AF$2:$AF$200,$G541)&gt;0,
    COUNTIFS($AG$2:$AG$200,$G541)&gt;0,
    COUNTIFS($AH$2:$AH$200,$G541)&gt;0,
    COUNTIFS($AI$2:$AI$200,$G541)&gt;0,
    COUNTIFS($AJ$2:$AJ$200,$G541)&gt;0,
    COUNTIFS($AK$2:$AK$200,$G541)&gt;0,
    COUNTIFS($AL$2:$AL$200,$G541)&gt;0,
    COUNTIFS($AM$2:$AM$200,$G541)&gt;0,
    COUNTIFS($AN$2:$AN$200,$G541)&gt;0,
    COUNTIFS($AO$2:$AO$200,$G541)&gt;0,
    COUNTIFS($AP$2:$AP$200,$G541)&gt;0,
    COUNTIFS($AQ$2:$AQ$200,$G541)&gt;0,
    COUNTIFS($AR$2:$AR$200,$G541)&gt;0,
    COUNTIFS($AS$2:$AS$200,$G541)&gt;0,
    COUNTIFS($AT$2:$AT$200,$G541)&gt;0,
    COUNTIFS($AU$2:$AU$200,$G541)&gt;0,
    COUNTIFS($AV$2:$AV$200,$G541)&gt;0,
    COUNTIFS($AW$2:$AW$200,$G541)&gt;0,
    COUNTIFS($AX$2:$AX$200,$G541)&gt;0,
    COUNTIFS($AY$2:$AY$200,$G541)&gt;0,
    COUNTIFS($AZ$2:$AZ$200,$G541)&gt;0,
    COUNTIFS($BA$2:$BA$200,$G541)&gt;0,
    COUNTIFS($BB$2:$BB$200,$G541)&gt;0,
    COUNTIFS($BC$2:$BC$200,$G541)&gt;0,
    COUNTIFS($BD$2:$BD$200,$G541)&gt;0,
    COUNTIFS($BE$2:$BE$200,$G541)&gt;0,
    COUNTIFS($BF$2:$BF$200,$G541)&gt;0,
    COUNTIFS($BG$2:$BG$200,$G541)&gt;0,
    COUNTIFS($BH$2:$BH$200,$G541)&gt;0,
    COUNTIFS($BI$2:$BI$200,$G541)&gt;0,
    COUNTIFS($BJ$2:$BJ$200,$G541)&gt;0,
    COUNTIFS($BK$2:$BK$200,$G541)&gt;0,
    COUNTIFS($BL$2:$BL$200,$G541)&gt;0,
    COUNTIFS($BM$2:$BM$200,$G541)&gt;0,
   ),
  0)
 ),
"")</f>
        <v>Little</v>
      </c>
      <c r="G541" t="str">
        <f ca="1"/>
        <v>Zurgo, Thunder's Decree</v>
      </c>
      <c r="EX541" t="str">
        <f ca="1"/>
        <v>Zurgo, Thunder's Decree</v>
      </c>
    </row>
    <row r="542" spans="1:154" x14ac:dyDescent="0.25">
      <c r="A542" s="2" t="str">
        <f t="shared" ca="1" si="22"/>
        <v/>
      </c>
      <c r="B542" s="2">
        <f t="shared" ca="1" si="23"/>
        <v>0</v>
      </c>
      <c r="C542" s="2" t="str">
        <f ca="1">IFERROR(
 INDEX($V$1:$BL$1,
  MATCH(TRUE,
   CHOOSE({1;2;3;4;5;6;7;8;9;10;11;12;13;14;15;16;17;18;19;20;21;22;23;24;25;26;27;28;29;30;31;32;33;34;35;36;37;38;39;40;41;42;43},
    COUNTIFS($V$2:$V$200,$G542)&gt;0,
    COUNTIFS($W$2:$W$200,$G542)&gt;0,
    COUNTIFS($X$2:$X$200,$G542)&gt;0,
    COUNTIFS($Y$2:$Y$200,$G542)&gt;0,
    COUNTIFS($Z$2:$Z$200,$G542)&gt;0,
    COUNTIFS($AA$2:$AA$200,$G542)&gt;0,
    COUNTIFS($AB$2:$AB$200,$G542)&gt;0,
    COUNTIFS($AC$2:$AC$200,$G542)&gt;0,
    COUNTIFS($AD$2:$AD$200,$G542)&gt;0,
    COUNTIFS($AE$2:$AE$200,$G542)&gt;0,
    COUNTIFS($AF$2:$AF$200,$G542)&gt;0,
    COUNTIFS($AG$2:$AG$200,$G542)&gt;0,
    COUNTIFS($AH$2:$AH$200,$G542)&gt;0,
    COUNTIFS($AI$2:$AI$200,$G542)&gt;0,
    COUNTIFS($AJ$2:$AJ$200,$G542)&gt;0,
    COUNTIFS($AK$2:$AK$200,$G542)&gt;0,
    COUNTIFS($AL$2:$AL$200,$G542)&gt;0,
    COUNTIFS($AM$2:$AM$200,$G542)&gt;0,
    COUNTIFS($AN$2:$AN$200,$G542)&gt;0,
    COUNTIFS($AO$2:$AO$200,$G542)&gt;0,
    COUNTIFS($AP$2:$AP$200,$G542)&gt;0,
    COUNTIFS($AQ$2:$AQ$200,$G542)&gt;0,
    COUNTIFS($AR$2:$AR$200,$G542)&gt;0,
    COUNTIFS($AS$2:$AS$200,$G542)&gt;0,
    COUNTIFS($AT$2:$AT$200,$G542)&gt;0,
    COUNTIFS($AU$2:$AU$200,$G542)&gt;0,
    COUNTIFS($AV$2:$AV$200,$G542)&gt;0,
    COUNTIFS($AW$2:$AW$200,$G542)&gt;0,
    COUNTIFS($AX$2:$AX$200,$G542)&gt;0,
    COUNTIFS($AY$2:$AY$200,$G542)&gt;0,
    COUNTIFS($AZ$2:$AZ$200,$G542)&gt;0,
    COUNTIFS($BA$2:$BA$200,$G542)&gt;0,
    COUNTIFS($BB$2:$BB$200,$G542)&gt;0,
    COUNTIFS($BC$2:$BC$200,$G542)&gt;0,
    COUNTIFS($BD$2:$BD$200,$G542)&gt;0,
    COUNTIFS($BE$2:$BE$200,$G542)&gt;0,
    COUNTIFS($BF$2:$BF$200,$G542)&gt;0,
    COUNTIFS($BG$2:$BG$200,$G542)&gt;0,
    COUNTIFS($BH$2:$BH$200,$G542)&gt;0,
    COUNTIFS($BI$2:$BI$200,$G542)&gt;0,
    COUNTIFS($BJ$2:$BJ$200,$G542)&gt;0,
    COUNTIFS($BK$2:$BK$200,$G542)&gt;0,
    COUNTIFS($BL$2:$BL$200,$G542)&gt;0,
    COUNTIFS($BM$2:$BM$200,$G542)&gt;0,
   ),
  0)
 ),
"")</f>
        <v/>
      </c>
      <c r="G542" t="e">
        <f ca="1"/>
        <v>#REF!</v>
      </c>
      <c r="EX542" t="e">
        <f ca="1"/>
        <v>#REF!</v>
      </c>
    </row>
  </sheetData>
  <autoFilter ref="A1:H1" xr:uid="{8C596960-5547-4D6C-A85E-35AEC762F54E}"/>
  <mergeCells count="1">
    <mergeCell ref="L1:P1"/>
  </mergeCells>
  <conditionalFormatting sqref="L66:L1048576 L1:L46 M2:P2">
    <cfRule type="containsText" dxfId="12" priority="10" operator="containsText" text="Sim">
      <formula>NOT(ISERROR(SEARCH("Sim",L1)))</formula>
    </cfRule>
  </conditionalFormatting>
  <conditionalFormatting sqref="L66:P1048576 L39:P46 L1:P37">
    <cfRule type="containsText" dxfId="11" priority="5" operator="containsText" text="Não">
      <formula>NOT(ISERROR(SEARCH("Não",L1)))</formula>
    </cfRule>
  </conditionalFormatting>
  <conditionalFormatting sqref="M66:M1048576 M1:M46">
    <cfRule type="containsText" dxfId="10" priority="9" operator="containsText" text="Sim">
      <formula>NOT(ISERROR(SEARCH("Sim",M1)))</formula>
    </cfRule>
  </conditionalFormatting>
  <conditionalFormatting sqref="N66:N1048576 N1:N46">
    <cfRule type="containsText" dxfId="9" priority="6" operator="containsText" text="Sim">
      <formula>NOT(ISERROR(SEARCH("Sim",N1)))</formula>
    </cfRule>
  </conditionalFormatting>
  <conditionalFormatting sqref="O66:O1048576 O1:O46">
    <cfRule type="containsText" dxfId="8" priority="7" operator="containsText" text="Sim">
      <formula>NOT(ISERROR(SEARCH("Sim",O1)))</formula>
    </cfRule>
  </conditionalFormatting>
  <conditionalFormatting sqref="P66:P1048576 P1:P46">
    <cfRule type="containsText" dxfId="7" priority="8" operator="containsText" text="Sim">
      <formula>NOT(ISERROR(SEARCH("Sim",P1)))</formula>
    </cfRule>
  </conditionalFormatting>
  <conditionalFormatting sqref="K45:R46 K21:R21 S33 K23:R25 K5:R5 K12:S13 K35:R37 K39:R41 K14:R18 K10:R11 K4:S4 K6:S9 K19:S20 K22:S22 K26:S26 K34:S34 L3:P3 K27:R33 K42:S44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8:P38">
    <cfRule type="containsText" dxfId="6" priority="1" operator="containsText" text="Não">
      <formula>NOT(ISERROR(SEARCH("Não",L38)))</formula>
    </cfRule>
  </conditionalFormatting>
  <conditionalFormatting sqref="K38:R3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15B14-1536-4277-960A-D11029F8CB99}">
  <sheetPr codeName="Planilha3"/>
  <dimension ref="A1:EW600"/>
  <sheetViews>
    <sheetView workbookViewId="0">
      <selection activeCell="A8" sqref="A8"/>
    </sheetView>
  </sheetViews>
  <sheetFormatPr defaultColWidth="9.140625" defaultRowHeight="15" x14ac:dyDescent="0.25"/>
  <cols>
    <col min="1" max="1" width="39.28515625" bestFit="1" customWidth="1"/>
    <col min="2" max="2" width="9.140625" style="2"/>
    <col min="3" max="3" width="10.42578125" style="2" bestFit="1" customWidth="1"/>
    <col min="4" max="4" width="4.140625" style="1" customWidth="1"/>
    <col min="5" max="5" width="43.7109375" customWidth="1"/>
    <col min="6" max="7" width="9.140625" style="2" customWidth="1"/>
    <col min="8" max="8" width="4.140625" style="1" customWidth="1"/>
    <col min="9" max="9" width="34.85546875" customWidth="1"/>
    <col min="10" max="10" width="11.42578125" customWidth="1"/>
    <col min="11" max="11" width="9.140625" style="2" customWidth="1"/>
    <col min="12" max="12" width="4.140625" style="1" customWidth="1"/>
    <col min="13" max="13" width="39.28515625" customWidth="1"/>
    <col min="14" max="14" width="8.5703125" style="2" customWidth="1"/>
    <col min="15" max="17" width="11.7109375" style="2" customWidth="1"/>
    <col min="18" max="20" width="4.140625" style="1" customWidth="1"/>
    <col min="21" max="84" width="9.140625" customWidth="1"/>
    <col min="85" max="85" width="4.140625" style="1" customWidth="1"/>
    <col min="99" max="99" width="8.7109375" customWidth="1"/>
    <col min="118" max="118" width="4.140625" style="1" customWidth="1"/>
    <col min="135" max="135" width="4.140625" style="1" customWidth="1"/>
    <col min="144" max="144" width="4.140625" style="1" customWidth="1"/>
    <col min="149" max="149" width="4.140625" style="1" customWidth="1"/>
    <col min="152" max="152" width="4.140625" style="1" customWidth="1"/>
  </cols>
  <sheetData>
    <row r="1" spans="1:153" s="6" customFormat="1" x14ac:dyDescent="0.25">
      <c r="A1" s="22" t="s">
        <v>85</v>
      </c>
      <c r="B1" s="22"/>
      <c r="C1" s="22"/>
      <c r="D1" s="7"/>
      <c r="E1" s="22" t="s">
        <v>84</v>
      </c>
      <c r="F1" s="22"/>
      <c r="G1" s="22"/>
      <c r="H1" s="7"/>
      <c r="I1" s="22" t="s">
        <v>83</v>
      </c>
      <c r="J1" s="22"/>
      <c r="K1" s="22"/>
      <c r="L1" s="7"/>
      <c r="M1" s="22" t="s">
        <v>82</v>
      </c>
      <c r="N1" s="22"/>
      <c r="O1" s="22"/>
      <c r="P1" s="4"/>
      <c r="Q1" s="4"/>
      <c r="R1" s="7"/>
      <c r="S1" s="7"/>
      <c r="T1" s="7"/>
      <c r="CG1" s="5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5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5"/>
      <c r="EF1" s="4"/>
      <c r="EG1" s="4"/>
      <c r="EH1" s="4"/>
      <c r="EI1" s="4"/>
      <c r="EJ1" s="4"/>
      <c r="EK1" s="4"/>
      <c r="EL1" s="4"/>
      <c r="EM1" s="4"/>
      <c r="EN1" s="5"/>
      <c r="EO1" s="4"/>
      <c r="EP1" s="4"/>
      <c r="EQ1" s="4"/>
      <c r="ER1" s="4"/>
      <c r="ES1" s="5"/>
      <c r="ET1" s="4"/>
      <c r="EU1" s="4"/>
      <c r="EV1" s="5"/>
      <c r="EW1" s="4"/>
    </row>
    <row r="2" spans="1:153" s="4" customFormat="1" x14ac:dyDescent="0.25">
      <c r="A2" s="4" t="s">
        <v>81</v>
      </c>
      <c r="B2" s="4" t="s">
        <v>80</v>
      </c>
      <c r="C2" s="4" t="s">
        <v>79</v>
      </c>
      <c r="D2" s="5"/>
      <c r="E2" s="4" t="s">
        <v>70</v>
      </c>
      <c r="F2" s="4" t="s">
        <v>76</v>
      </c>
      <c r="G2" s="4" t="s">
        <v>78</v>
      </c>
      <c r="H2" s="5"/>
      <c r="I2" s="4" t="s">
        <v>70</v>
      </c>
      <c r="J2" s="4" t="s">
        <v>77</v>
      </c>
      <c r="K2" s="4" t="s">
        <v>76</v>
      </c>
      <c r="L2" s="5"/>
      <c r="M2" s="4" t="s">
        <v>70</v>
      </c>
      <c r="N2" s="4" t="s">
        <v>76</v>
      </c>
      <c r="O2" s="4" t="s">
        <v>74</v>
      </c>
      <c r="P2" s="4" t="s">
        <v>73</v>
      </c>
      <c r="Q2" s="4" t="s">
        <v>72</v>
      </c>
      <c r="R2" s="5"/>
      <c r="S2" s="5"/>
      <c r="T2" s="5"/>
      <c r="U2" s="6" t="s">
        <v>57</v>
      </c>
      <c r="V2" s="6" t="s">
        <v>61</v>
      </c>
      <c r="W2" s="6" t="s">
        <v>62</v>
      </c>
      <c r="X2" s="6" t="s">
        <v>59</v>
      </c>
      <c r="Y2" s="6" t="s">
        <v>55</v>
      </c>
      <c r="Z2" s="6" t="s">
        <v>53</v>
      </c>
      <c r="AA2" s="6" t="s">
        <v>51</v>
      </c>
      <c r="AB2" s="6" t="s">
        <v>49</v>
      </c>
      <c r="AC2" s="6" t="s">
        <v>47</v>
      </c>
      <c r="AD2" s="6" t="s">
        <v>45</v>
      </c>
      <c r="AE2" s="6" t="s">
        <v>43</v>
      </c>
      <c r="AF2" s="6" t="s">
        <v>42</v>
      </c>
      <c r="AG2" s="6" t="s">
        <v>40</v>
      </c>
      <c r="AH2" s="6" t="s">
        <v>36</v>
      </c>
      <c r="AI2" s="6" t="s">
        <v>34</v>
      </c>
      <c r="AJ2" s="6" t="s">
        <v>32</v>
      </c>
      <c r="AK2" s="6" t="s">
        <v>30</v>
      </c>
      <c r="AL2" s="6" t="s">
        <v>28</v>
      </c>
      <c r="AM2" s="6" t="s">
        <v>26</v>
      </c>
      <c r="AN2" s="6" t="s">
        <v>24</v>
      </c>
      <c r="AO2" s="6" t="s">
        <v>22</v>
      </c>
      <c r="AP2" s="6" t="s">
        <v>21</v>
      </c>
      <c r="AQ2" s="6" t="s">
        <v>18</v>
      </c>
      <c r="AR2" s="6" t="s">
        <v>16</v>
      </c>
      <c r="AS2" s="6" t="s">
        <v>14</v>
      </c>
      <c r="AT2" s="6" t="s">
        <v>12</v>
      </c>
      <c r="AU2" s="6" t="s">
        <v>10</v>
      </c>
      <c r="AV2" s="6" t="s">
        <v>8</v>
      </c>
      <c r="AW2" s="6" t="s">
        <v>179</v>
      </c>
      <c r="AX2" s="6" t="s">
        <v>5</v>
      </c>
      <c r="AY2" s="6" t="s">
        <v>179</v>
      </c>
      <c r="AZ2" s="6" t="s">
        <v>179</v>
      </c>
      <c r="BA2" s="6" t="s">
        <v>179</v>
      </c>
      <c r="BB2" s="6" t="s">
        <v>179</v>
      </c>
      <c r="BC2" s="6" t="s">
        <v>179</v>
      </c>
      <c r="BD2" s="6" t="s">
        <v>182</v>
      </c>
      <c r="BE2" s="6" t="s">
        <v>179</v>
      </c>
      <c r="BF2" s="6" t="s">
        <v>179</v>
      </c>
      <c r="BG2" s="6" t="s">
        <v>179</v>
      </c>
      <c r="BH2" s="6" t="s">
        <v>186</v>
      </c>
      <c r="BI2" s="6" t="s">
        <v>179</v>
      </c>
      <c r="BJ2" s="6" t="s">
        <v>179</v>
      </c>
      <c r="BK2" s="6" t="s">
        <v>179</v>
      </c>
      <c r="BL2" s="6" t="s">
        <v>179</v>
      </c>
      <c r="BM2" s="6" t="s">
        <v>179</v>
      </c>
      <c r="BN2" s="6" t="s">
        <v>179</v>
      </c>
      <c r="BO2" s="6" t="s">
        <v>179</v>
      </c>
      <c r="BP2" s="6" t="s">
        <v>179</v>
      </c>
      <c r="BQ2" s="6" t="s">
        <v>179</v>
      </c>
      <c r="BR2" s="6" t="s">
        <v>179</v>
      </c>
      <c r="BS2" s="6" t="s">
        <v>179</v>
      </c>
      <c r="BT2" s="6" t="s">
        <v>179</v>
      </c>
      <c r="BU2" s="6" t="s">
        <v>179</v>
      </c>
      <c r="BV2" s="6" t="s">
        <v>179</v>
      </c>
      <c r="BW2" s="6" t="s">
        <v>179</v>
      </c>
      <c r="BX2" s="6" t="s">
        <v>179</v>
      </c>
      <c r="BY2" s="6" t="s">
        <v>179</v>
      </c>
      <c r="BZ2" s="6" t="s">
        <v>179</v>
      </c>
      <c r="CA2" s="6" t="s">
        <v>179</v>
      </c>
      <c r="CB2" s="6" t="s">
        <v>179</v>
      </c>
      <c r="CC2" s="6" t="s">
        <v>179</v>
      </c>
      <c r="CD2" s="6" t="s">
        <v>179</v>
      </c>
      <c r="CE2" s="6" t="s">
        <v>179</v>
      </c>
      <c r="CF2" s="6" t="s">
        <v>179</v>
      </c>
      <c r="CG2" s="1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 s="1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 s="1"/>
      <c r="EF2"/>
      <c r="EG2"/>
      <c r="EH2"/>
      <c r="EI2"/>
      <c r="EJ2"/>
      <c r="EK2"/>
      <c r="EL2"/>
      <c r="EM2"/>
      <c r="EN2" s="1"/>
      <c r="EO2"/>
      <c r="EP2"/>
      <c r="EQ2"/>
      <c r="ER2"/>
      <c r="ES2" s="1"/>
      <c r="ET2"/>
      <c r="EU2"/>
      <c r="EV2" s="1"/>
      <c r="EW2"/>
    </row>
    <row r="3" spans="1:153" x14ac:dyDescent="0.25">
      <c r="A3" t="str" cm="1">
        <f t="array" aca="1" ref="A3:A543" ca="1">_xlfn.ANCHORARRAY(RESUMO!G2)</f>
        <v>Abandoned Air Temple</v>
      </c>
      <c r="B3" s="2" t="str" cm="1">
        <f t="array" aca="1" ref="B3" ca="1">_xlfn.ANCHORARRAY(RESUMO!C2)</f>
        <v>Narset</v>
      </c>
      <c r="C3" s="2" t="str">
        <f t="shared" ref="C3:C66" ca="1" si="0">IFERROR(_xlfn.XLOOKUP($A3,$E:$E,$G:$G),"")</f>
        <v/>
      </c>
      <c r="E3" t="str" cm="1">
        <f t="array" aca="1" ref="E3:E242" ca="1">IF(COUNTA($I$3:$I$5000)+COUNTA(_xlfn.ANCHORARRAY($M$3))=0,"",_xlfn._xlws.SORT(_xlfn.UNIQUE(IF(ROW(INDIRECT("1:"&amp;(COUNTA($I$3:$I$5000)+COUNTA(_xlfn.ANCHORARRAY($M$3)))))&lt;=COUNTA($I$3:$I$5000),INDEX($I$3:$I$5000,ROW(INDIRECT("1:"&amp;(COUNTA($I$3:$I$5000)+COUNTA(_xlfn.ANCHORARRAY($M$3)))))),INDEX(_xlfn.ANCHORARRAY($M$3),ROW(INDIRECT("1:"&amp;(COUNTA($I$3:$I$5000)+COUNTA(_xlfn.ANCHORARRAY($M$3)))))-COUNTA($I$3:$I$5000)))),1,1))</f>
        <v>Aeon Chronicler</v>
      </c>
      <c r="F3" s="2">
        <f ca="1">COUNTIF(U:CF,E3)+COUNTIF(K:K,E3)</f>
        <v>1</v>
      </c>
      <c r="G3" s="2" t="str">
        <f t="shared" ref="G3:G66" ca="1" si="1">_xlfn.XLOOKUP($E3,$M:$M,$O:$O,"Guardado")</f>
        <v>JhoiraB</v>
      </c>
      <c r="I3" s="18"/>
      <c r="J3" t="s">
        <v>180</v>
      </c>
      <c r="K3" s="2">
        <v>1</v>
      </c>
      <c r="M3" t="str" cm="1">
        <f t="array" aca="1" ref="M3:M242" ca="1">IF(COUNTA(_xlfn.ANCHORARRAY(EW3))=0,"",_xlfn._xlws.SORT(_xlfn.UNIQUE(_xlfn.ANCHORARRAY(EW3)),1,1))</f>
        <v>Aeon Chronicler</v>
      </c>
      <c r="N3" s="2">
        <f t="shared" ref="N3:N66" ca="1" si="2">COUNTIF(U:AX,M3)</f>
        <v>1</v>
      </c>
      <c r="O3" s="2" t="str">
        <f ca="1">IFERROR(
 INDEX($U$2:$AX$2,
  MATCH(TRUE,
   CHOOSE({1;2;3;4;5;6;7;8;9;10;11;12;13;14;15;16;17;18;19;20;21;22;23;24;25;26;27;28;29;30;31;32},
    COUNTIFS($U$3:$U$201,$M3)&gt;0,
    COUNTIFS($V$3:$V$201,$M3)&gt;0,
    COUNTIFS($W$3:$W$201,$M3)&gt;0,
    COUNTIFS($X$3:$X$201,$M3)&gt;0,
    COUNTIFS($Y$3:$Y$201,$M3)&gt;0,
    COUNTIFS($Z$3:$Z$201,$M3)&gt;0,
    COUNTIFS($AA$3:$AA$201,$M3)&gt;0,
    COUNTIFS($AB$3:$AB$201,$M3)&gt;0,
    COUNTIFS($AC$3:$AC$201,$M3)&gt;0,
    COUNTIFS($AD$3:$AD$201,$M3)&gt;0,
    COUNTIFS($AE$3:$AE$201,$M3)&gt;0,
    COUNTIFS($AF$3:$AF$201,$M3)&gt;0,
    COUNTIFS($AG$3:$AG$201,$M3)&gt;0,
    COUNTIFS($AH$3:$AH$201,$M3)&gt;0,
    COUNTIFS($AI$3:$AI$201,$M3)&gt;0,
    COUNTIFS($AJ$3:$AJ$201,$M3)&gt;0,
    COUNTIFS($AK$3:$AK$201,$M3)&gt;0,
    COUNTIFS($AL$3:$AL$201,$M3)&gt;0,
    COUNTIFS($AM$3:$AM$201,$M3)&gt;0,
    COUNTIFS($AN$3:$AN$201,$M3)&gt;0,
    COUNTIFS($AO$3:$AO$201,$M3)&gt;0,
    COUNTIFS($AP$3:$AP$201,$M3)&gt;0,
    COUNTIFS($AQ$3:$AQ$201,$M3)&gt;0,
    COUNTIFS($AR$3:$AR$201,$M3)&gt;0,
    COUNTIFS($AS$3:$AS$201,$M3)&gt;0,
    COUNTIFS($AT$3:$AT$201,$M3)&gt;0,
    COUNTIFS($AU$3:$AU$201,$M3)&gt;0,
    COUNTIFS($AV$3:$AV$201,$M3)&gt;0,
    COUNTIFS($AW$3:$AW$201,$M3)&gt;0,
    COUNTIFS($AX$3:$AX$201,$M3)&gt;0
   ),
  0)
 ),
"")</f>
        <v>JhoiraB</v>
      </c>
      <c r="P3" s="2" t="str" cm="1">
        <f t="array" aca="1" ref="P3" ca="1">IFERROR(
 INDEX(
  _xlfn._xlws.FILTER($U$2:$AX$2,
   TRANSPOSE(
    CHOOSE({1;2;3;4;5;6;7;8;9;10;11;12;13;14;15;16;17;18;19;20;21;22;23;24;25;26;27;28;29;30},
     COUNTIFS($U$3:$U$201,$M3)&gt;0,
     COUNTIFS($V$3:$V$201,$M3)&gt;0,
     COUNTIFS($W$3:$W$201,$M3)&gt;0,
     COUNTIFS($X$3:$X$201,$M3)&gt;0,
     COUNTIFS($Y$3:$Y$201,$M3)&gt;0,
     COUNTIFS($Z$3:$Z$201,$M3)&gt;0,
     COUNTIFS($AA$3:$AA$201,$M3)&gt;0,
     COUNTIFS($AB$3:$AB$201,$M3)&gt;0,
     COUNTIFS($AC$3:$AC$201,$M3)&gt;0,
     COUNTIFS($AD$3:$AD$201,$M3)&gt;0,
     COUNTIFS($AE$3:$AE$201,$M3)&gt;0,
     COUNTIFS($AF$3:$AF$201,$M3)&gt;0,
     COUNTIFS($AG$3:$AG$201,$M3)&gt;0,
     COUNTIFS($AH$3:$AH$201,$M3)&gt;0,
     COUNTIFS($AI$3:$AI$201,$M3)&gt;0,
     COUNTIFS($AJ$3:$AJ$201,$M3)&gt;0,
     COUNTIFS($AK$3:$AK$201,$M3)&gt;0,
     COUNTIFS($AL$3:$AL$201,$M3)&gt;0,
     COUNTIFS($AM$3:$AM$201,$M3)&gt;0,
     COUNTIFS($AN$3:$AN$201,$M3)&gt;0,
     COUNTIFS($AO$3:$AO$201,$M3)&gt;0,
     COUNTIFS($AP$3:$AP$201,$M3)&gt;0,
     COUNTIFS($AQ$3:$AQ$201,$M3)&gt;0,
     COUNTIFS($AR$3:$AR$201,$M3)&gt;0,
     COUNTIFS($AS$3:$AS$201,$M3)&gt;0,
     COUNTIFS($AT$3:$AT$201,$M3)&gt;0,
     COUNTIFS($AU$3:$AU$201,$M3)&gt;0,
     COUNTIFS($AV$3:$AV$201,$M3)&gt;0,
     COUNTIFS($AW$3:$AW$201,$M3)&gt;0,
     COUNTIFS($AX$3:$AX$201,$M3)&gt;0
   )),
  ),
  2
 ),
"")</f>
        <v/>
      </c>
      <c r="Q3" s="2" t="str" cm="1">
        <f t="array" aca="1" ref="Q3" ca="1">IFERROR(
 INDEX(
  _xlfn._xlws.FILTER($U$2:$AX$2,
   TRANSPOSE(
    CHOOSE({1;2;3;4;5;6;7;8;9;10;11;12;13;14;15;16;17;18;19;20;21;22;23;24;25;26;27;28;29;30},
     COUNTIFS($U$3:$U$201,$M3)&gt;0,
     COUNTIFS($V$3:$V$201,$M3)&gt;0,
     COUNTIFS($W$3:$W$201,$M3)&gt;0,
     COUNTIFS($X$3:$X$201,$M3)&gt;0,
     COUNTIFS($Y$3:$Y$201,$M3)&gt;0,
     COUNTIFS($Z$3:$Z$201,$M3)&gt;0,
     COUNTIFS($AA$3:$AA$201,$M3)&gt;0,
     COUNTIFS($AB$3:$AB$201,$M3)&gt;0,
     COUNTIFS($AC$3:$AC$201,$M3)&gt;0,
     COUNTIFS($AD$3:$AD$201,$M3)&gt;0,
     COUNTIFS($AE$3:$AE$201,$M3)&gt;0,
     COUNTIFS($AF$3:$AF$201,$M3)&gt;0,
     COUNTIFS($AG$3:$AG$201,$M3)&gt;0,
     COUNTIFS($AH$3:$AH$201,$M3)&gt;0,
     COUNTIFS($AI$3:$AI$201,$M3)&gt;0,
     COUNTIFS($AJ$3:$AJ$201,$M3)&gt;0,
     COUNTIFS($AK$3:$AK$201,$M3)&gt;0,
     COUNTIFS($AL$3:$AL$201,$M3)&gt;0,
     COUNTIFS($AM$3:$AM$201,$M3)&gt;0,
     COUNTIFS($AN$3:$AN$201,$M3)&gt;0,
     COUNTIFS($AO$3:$AO$201,$M3)&gt;0,
     COUNTIFS($AP$3:$AP$201,$M3)&gt;0,
     COUNTIFS($AQ$3:$AQ$201,$M3)&gt;0,
     COUNTIFS($AR$3:$AR$201,$M3)&gt;0,
     COUNTIFS($AS$3:$AS$201,$M3)&gt;0,
     COUNTIFS($AT$3:$AT$201,$M3)&gt;0,
     COUNTIFS($AU$3:$AU$201,$M3)&gt;0,
     COUNTIFS($AV$3:$AV$201,$M3)&gt;0,
     COUNTIFS($AW$3:$AW$201,$M3)&gt;0,
     COUNTIFS($AX$3:$AX$201,$M3)&gt;0
   )),
  ),
  3
 ),
"")</f>
        <v/>
      </c>
      <c r="U3" t="str" cm="1">
        <f t="array" ref="U3:U11">IF(COUNTA(_xlfn._xlws.FILTER([1]Piratas!B3:B200,([1]Piratas!C3:C200&lt;&gt;[1]Piratas!B3:B200)*([1]Piratas!B3:B200&lt;&gt;"")))=0,"",_xlfn._xlws.SORT(_xlfn._xlws.FILTER([1]Piratas!B3:B200,([1]Piratas!C3:C200&lt;&gt;[1]Piratas!B3:B200)*([1]Piratas!B3:B200&lt;&gt;"")),1,1))</f>
        <v>Captain Lannery Storm</v>
      </c>
      <c r="V3" t="str" cm="1">
        <f t="array" ref="V3:V28">IF(COUNTA(_xlfn._xlws.FILTER([1]Baylen!B3:B200,([1]Baylen!C3:C200&lt;&gt;[1]Baylen!B3:B200)*([1]Baylen!B3:B200&lt;&gt;"")))=0,"",_xlfn._xlws.SORT(_xlfn._xlws.FILTER([1]Baylen!B3:B200,([1]Baylen!C3:C200&lt;&gt;[1]Baylen!B3:B200)*([1]Baylen!B3:B200&lt;&gt;"")),1,1))</f>
        <v>Chatterstorm</v>
      </c>
      <c r="W3" t="str" cm="1">
        <f t="array" ref="W3:W20">IF(COUNTA(_xlfn._xlws.FILTER([1]Narset!B3:B200,([1]Narset!C3:C200&lt;&gt;[1]Narset!B3:B200)*([1]Narset!B3:B200&lt;&gt;"")))=0,"",_xlfn._xlws.SORT(_xlfn._xlws.FILTER([1]Narset!B3:B200,([1]Narset!C3:C200&lt;&gt;[1]Narset!B3:B200)*([1]Narset!B3:B200&lt;&gt;"")),1,1))</f>
        <v>Antecipar</v>
      </c>
      <c r="X3" t="str" cm="1">
        <f t="array" ref="X3:X25">IF(COUNTA(_xlfn._xlws.FILTER([1]Tayam!B3:B200,([1]Tayam!C3:C200&lt;&gt;[1]Tayam!B3:B200)*([1]Tayam!B3:B200&lt;&gt;"")))=0,"",_xlfn._xlws.SORT(_xlfn._xlws.FILTER([1]Tayam!B3:B200,([1]Tayam!C3:C200&lt;&gt;[1]Tayam!B3:B200)*([1]Tayam!B3:B200&lt;&gt;"")),1,1))</f>
        <v>Animate Dead</v>
      </c>
      <c r="Y3" t="str" cm="1">
        <f t="array" ref="Y3:Y11">IF(COUNTA(_xlfn._xlws.FILTER([1]Carlos!B3:B200,([1]Carlos!C3:C200&lt;&gt;[1]Carlos!B3:B200)*([1]Carlos!B3:B200&lt;&gt;"")))=0,"",_xlfn._xlws.SORT(_xlfn._xlws.FILTER([1]Carlos!B3:B200,([1]Carlos!C3:C200&lt;&gt;[1]Carlos!B3:B200)*([1]Carlos!B3:B200&lt;&gt;"")),1,1))</f>
        <v>Campo Contaminado</v>
      </c>
      <c r="Z3" t="str" cm="1">
        <f t="array" ref="Z3:Z12">IF(COUNTA(_xlfn._xlws.FILTER([1]Rani!B3:B200,([1]Rani!C3:C200&lt;&gt;[1]Rani!B3:B200)*([1]Rani!B3:B200&lt;&gt;"")))=0,"",_xlfn._xlws.SORT(_xlfn._xlws.FILTER([1]Rani!B3:B200,([1]Rani!C3:C200&lt;&gt;[1]Rani!B3:B200)*([1]Rani!B3:B200&lt;&gt;"")),1,1))</f>
        <v>Coronation of Chaos</v>
      </c>
      <c r="AA3" t="str" cm="1">
        <f t="array" ref="AA3:AA13">IF(COUNTA(_xlfn._xlws.FILTER([1]Kumena!B3:B200,([1]Kumena!C3:C200&lt;&gt;[1]Kumena!B3:B200)*([1]Kumena!B3:B200&lt;&gt;"")))=0,"",_xlfn._xlws.SORT(_xlfn._xlws.FILTER([1]Kumena!B3:B200,([1]Kumena!C3:C200&lt;&gt;[1]Kumena!B3:B200)*([1]Kumena!B3:B200&lt;&gt;"")),1,1))</f>
        <v>Aquatic Incursion</v>
      </c>
      <c r="AB3" t="str" cm="1">
        <f t="array" ref="AB3:AB11">IF(COUNTA(_xlfn._xlws.FILTER([1]Zimone!B3:B200,([1]Zimone!C3:C200&lt;&gt;[1]Zimone!B3:B200)*([1]Zimone!B3:B200&lt;&gt;"")))=0,"",_xlfn._xlws.SORT(_xlfn._xlws.FILTER([1]Zimone!B3:B200,([1]Zimone!C3:C200&lt;&gt;[1]Zimone!B3:B200)*([1]Zimone!B3:B200&lt;&gt;"")),1,1))</f>
        <v>Ghoulish Procession</v>
      </c>
      <c r="AC3" t="str" cm="1">
        <f t="array" ref="AC3:AC14">IF(COUNTA(_xlfn._xlws.FILTER([1]JhoiraB!B3:B200,([1]JhoiraB!C3:C200&lt;&gt;[1]JhoiraB!B3:B200)*([1]JhoiraB!B3:B200&lt;&gt;"")))=0,"",_xlfn._xlws.SORT(_xlfn._xlws.FILTER([1]JhoiraB!B3:B200,([1]JhoiraB!C3:C200&lt;&gt;[1]JhoiraB!B3:B200)*([1]JhoiraB!B3:B200&lt;&gt;"")),1,1))</f>
        <v>Aeon Chronicler</v>
      </c>
      <c r="AD3" t="str" cm="1">
        <f t="array" ref="AD3:AD12">IF(COUNTA(_xlfn._xlws.FILTER([1]Gitrog!B3:B200,([1]Gitrog!C3:C200&lt;&gt;[1]Gitrog!B3:B200)*([1]Gitrog!B3:B200&lt;&gt;"")))=0,"",_xlfn._xlws.SORT(_xlfn._xlws.FILTER([1]Gitrog!B3:B200,([1]Gitrog!C3:C200&lt;&gt;[1]Gitrog!B3:B200)*([1]Gitrog!B3:B200&lt;&gt;"")),1,1))</f>
        <v>Buried Alive</v>
      </c>
      <c r="AE3" t="str" cm="1">
        <f t="array" ref="AE3:AE9">IF(COUNTA(_xlfn._xlws.FILTER([1]Muzzio!B3:B200,([1]Muzzio!C3:C200&lt;&gt;[1]Muzzio!B3:B200)*([1]Muzzio!B3:B200&lt;&gt;"")))=0,"",_xlfn._xlws.SORT(_xlfn._xlws.FILTER([1]Muzzio!B3:B200,([1]Muzzio!C3:C200&lt;&gt;[1]Muzzio!B3:B200)*([1]Muzzio!B3:B200&lt;&gt;"")),1,1))</f>
        <v>Blinkmoth Urn</v>
      </c>
      <c r="AF3" t="str" cm="1">
        <f t="array" ref="AF3:AF12">IF(COUNTA(_xlfn._xlws.FILTER([1]VialIshai!B3:B200,([1]VialIshai!C3:C200&lt;&gt;[1]VialIshai!B3:B200)*([1]VialIshai!B3:B200&lt;&gt;"")))=0,"",_xlfn._xlws.SORT(_xlfn._xlws.FILTER([1]VialIshai!B3:B200,([1]VialIshai!C3:C200&lt;&gt;[1]VialIshai!B3:B200)*([1]VialIshai!B3:B200&lt;&gt;"")),1,1))</f>
        <v>Bruma Etérea</v>
      </c>
      <c r="AG3" t="str" cm="1">
        <f t="array" ref="AG3:AG15">IF(COUNTA(_xlfn._xlws.FILTER([1]Yuriko!B3:B200,([1]Yuriko!C3:C200&lt;&gt;[1]Yuriko!B3:B200)*([1]Yuriko!B3:B200&lt;&gt;"")))=0,"",_xlfn._xlws.SORT(_xlfn._xlws.FILTER([1]Yuriko!B3:B200,([1]Yuriko!C3:C200&lt;&gt;[1]Yuriko!B3:B200)*([1]Yuriko!B3:B200&lt;&gt;"")),1,1))</f>
        <v>Death Rattle</v>
      </c>
      <c r="AH3" t="str" cm="1">
        <f t="array" ref="AH3:AH14">IF(COUNTA(_xlfn._xlws.FILTER([1]Inalla!B3:B200,([1]Inalla!C3:C200&lt;&gt;[1]Inalla!B3:B200)*([1]Inalla!B3:B200&lt;&gt;"")))=0,"",_xlfn._xlws.SORT(_xlfn._xlws.FILTER([1]Inalla!B3:B200,([1]Inalla!C3:C200&lt;&gt;[1]Inalla!B3:B200)*([1]Inalla!B3:B200&lt;&gt;"")),1,1))</f>
        <v>Aether Adept</v>
      </c>
      <c r="AI3" t="str" cm="1">
        <f t="array" ref="AI3:AI16">IF(COUNTA(_xlfn._xlws.FILTER([1]Akiri!B3:B200,([1]Akiri!C3:C200&lt;&gt;[1]Akiri!B3:B200)*([1]Akiri!B3:B200&lt;&gt;"")))=0,"",_xlfn._xlws.SORT(_xlfn._xlws.FILTER([1]Akiri!B3:B200,([1]Akiri!C3:C200&lt;&gt;[1]Akiri!B3:B200)*([1]Akiri!B3:B200&lt;&gt;"")),1,1))</f>
        <v>Barbed Spike</v>
      </c>
      <c r="AJ3" t="str" cm="1">
        <f t="array" ref="AJ3:AJ12">IF(COUNTA(_xlfn._xlws.FILTER([1]Sisay!B3:B200,([1]Sisay!C3:C200&lt;&gt;[1]Sisay!B3:B200)*([1]Sisay!B3:B200&lt;&gt;"")))=0,"",_xlfn._xlws.SORT(_xlfn._xlws.FILTER([1]Sisay!B3:B200,([1]Sisay!C3:C200&lt;&gt;[1]Sisay!B3:B200)*([1]Sisay!B3:B200&lt;&gt;"")),1,1))</f>
        <v>Bant Charm</v>
      </c>
      <c r="AK3" t="str" cm="1">
        <f t="array" ref="AK3:AK4">IF(COUNTA(_xlfn._xlws.FILTER([1]Thrakiri!B3:B200,([1]Thrakiri!C3:C200&lt;&gt;[1]Thrakiri!B3:B200)*([1]Thrakiri!B3:B200&lt;&gt;"")))=0,"",_xlfn._xlws.SORT(_xlfn._xlws.FILTER([1]Thrakiri!B3:B200,([1]Thrakiri!C3:C200&lt;&gt;[1]Thrakiri!B3:B200)*([1]Thrakiri!B3:B200&lt;&gt;"")),1,1))</f>
        <v>Anciã de Toca das Fadas</v>
      </c>
      <c r="AL3" t="str" cm="1">
        <f t="array" ref="AL3:AL9">IF(COUNTA(_xlfn._xlws.FILTER([1]Elfos!B3:B200,([1]Elfos!C3:C200&lt;&gt;[1]Elfos!B3:B200)*([1]Elfos!B3:B200&lt;&gt;"")))=0,"",_xlfn._xlws.SORT(_xlfn._xlws.FILTER([1]Elfos!B3:B200,([1]Elfos!C3:C200&lt;&gt;[1]Elfos!B3:B200)*([1]Elfos!B3:B200&lt;&gt;"")),1,1))</f>
        <v>Evolving Wilds</v>
      </c>
      <c r="AM3" t="str" cm="1">
        <f t="array" ref="AM3:AM7">IF(COUNTA(_xlfn._xlws.FILTER([1]Jhoira!B3:B200,([1]Jhoira!C3:C200&lt;&gt;[1]Jhoira!B3:B200)*([1]Jhoira!B3:B200&lt;&gt;"")))=0,"",_xlfn._xlws.SORT(_xlfn._xlws.FILTER([1]Jhoira!B3:B200,([1]Jhoira!C3:C200&lt;&gt;[1]Jhoira!B3:B200)*([1]Jhoira!B3:B200&lt;&gt;"")),1,1))</f>
        <v>Consecrated Sphinx</v>
      </c>
      <c r="AN3" t="e" cm="1" vm="1">
        <f t="array" ref="AN3">IF(COUNTA(_xlfn._xlws.FILTER([1]Fractius!B3:B200,([1]Fractius!C3:C200&lt;&gt;[1]Fractius!B3:B200)*([1]Fractius!B3:B200&lt;&gt;"")))=0,"",_xlfn._xlws.SORT(_xlfn._xlws.FILTER([1]Fractius!B3:B200,([1]Fractius!C3:C200&lt;&gt;[1]Fractius!B3:B200)*([1]Fractius!B3:B200&lt;&gt;"")),1,1))</f>
        <v>#VALUE!</v>
      </c>
      <c r="AO3" t="str" cm="1">
        <f t="array" ref="AO3:AO10">IF(COUNTA(_xlfn._xlws.FILTER([1]Rielle!B3:B200,([1]Rielle!C3:C200&lt;&gt;[1]Rielle!B3:B200)*([1]Rielle!B3:B200&lt;&gt;"")))=0,"",_xlfn._xlws.SORT(_xlfn._xlws.FILTER([1]Rielle!B3:B200,([1]Rielle!C3:C200&lt;&gt;[1]Rielle!B3:B200)*([1]Rielle!B3:B200&lt;&gt;"")),1,1))</f>
        <v>Island</v>
      </c>
      <c r="AP3" t="str" cm="1">
        <f t="array" ref="AP3:AP9">IF(COUNTA(_xlfn._xlws.FILTER([1]Oona!B3:B200,([1]Oona!C3:C200&lt;&gt;[1]Oona!B3:B200)*([1]Oona!B3:B200&lt;&gt;"")))=0,"",_xlfn._xlws.SORT(_xlfn._xlws.FILTER([1]Oona!B3:B200,([1]Oona!C3:C200&lt;&gt;[1]Oona!B3:B200)*([1]Oona!B3:B200&lt;&gt;"")),1,1))</f>
        <v>Blink of an Eye</v>
      </c>
      <c r="AQ3" t="str" cm="1">
        <f t="array" ref="AQ3:AQ21">IF(COUNTA(_xlfn._xlws.FILTER([1]Kresh!B3:B200,([1]Kresh!C3:C200&lt;&gt;[1]Kresh!B3:B200)*([1]Kresh!B3:B200&lt;&gt;"")))=0,"",_xlfn._xlws.SORT(_xlfn._xlws.FILTER([1]Kresh!B3:B200,([1]Kresh!C3:C200&lt;&gt;[1]Kresh!B3:B200)*([1]Kresh!B3:B200&lt;&gt;"")),1,1))</f>
        <v>Arcbond</v>
      </c>
      <c r="AR3" t="str" cm="1">
        <f t="array" ref="AR3:AR5">IF(COUNTA(_xlfn._xlws.FILTER([1]Breya!B3:B200,([1]Breya!C3:C200&lt;&gt;[1]Breya!B3:B200)*([1]Breya!B3:B200&lt;&gt;"")))=0,"",_xlfn._xlws.SORT(_xlfn._xlws.FILTER([1]Breya!B3:B200,([1]Breya!C3:C200&lt;&gt;[1]Breya!B3:B200)*([1]Breya!B3:B200&lt;&gt;"")),1,1))</f>
        <v>Detective's Satchel</v>
      </c>
      <c r="AS3" t="str" cm="1">
        <f t="array" ref="AS3:AS10">IF(COUNTA(_xlfn._xlws.FILTER([1]OWA!B3:B200,([1]OWA!C3:C200&lt;&gt;[1]OWA!B3:B200)*([1]OWA!B3:B200&lt;&gt;"")))=0,"",_xlfn._xlws.SORT(_xlfn._xlws.FILTER([1]OWA!B3:B200,([1]OWA!C3:C200&lt;&gt;[1]OWA!B3:B200)*([1]OWA!B3:B200&lt;&gt;"")),1,1))</f>
        <v>Angelic Renewal</v>
      </c>
      <c r="AT3" t="str" cm="1">
        <f t="array" ref="AT3:AT8">IF(COUNTA(_xlfn._xlws.FILTER([1]Alela!B3:B200,([1]Alela!C3:C200&lt;&gt;[1]Alela!B3:B200)*([1]Alela!B3:B200&lt;&gt;"")))=0,"",_xlfn._xlws.SORT(_xlfn._xlws.FILTER([1]Alela!B3:B200,([1]Alela!C3:C200&lt;&gt;[1]Alela!B3:B200)*([1]Alela!B3:B200&lt;&gt;"")),1,1))</f>
        <v>Aminatou, Veil Piercer</v>
      </c>
      <c r="AU3" t="str" cm="1">
        <f t="array" ref="AU3:AU4">IF(COUNTA(_xlfn._xlws.FILTER([1]Arcades!B3:B200,([1]Arcades!C3:C200&lt;&gt;[1]Arcades!B3:B200)*([1]Arcades!B3:B200&lt;&gt;"")))=0,"",_xlfn._xlws.SORT(_xlfn._xlws.FILTER([1]Arcades!B3:B200,([1]Arcades!C3:C200&lt;&gt;[1]Arcades!B3:B200)*([1]Arcades!B3:B200&lt;&gt;"")),1,1))</f>
        <v>Aura Shards</v>
      </c>
      <c r="AV3" t="str" cm="1">
        <f t="array" ref="AV3">IF(COUNTA(_xlfn._xlws.FILTER([1]Zedruu!B3:B200,([1]Zedruu!C3:C200&lt;&gt;[1]Zedruu!B3:B200)*([1]Zedruu!B3:B200&lt;&gt;"")))=0,"",_xlfn._xlws.SORT(_xlfn._xlws.FILTER([1]Zedruu!B3:B200,([1]Zedruu!C3:C200&lt;&gt;[1]Zedruu!B3:B200)*([1]Zedruu!B3:B200&lt;&gt;"")),1,1))</f>
        <v>Mountain</v>
      </c>
      <c r="AX3" t="str" cm="1">
        <f t="array" ref="AX3:AX23">IF(COUNTA(_xlfn._xlws.FILTER([1]Modular!B3:B200,([1]Modular!C3:C200&lt;&gt;[1]Modular!B3:B200)*([1]Modular!B3:B200&lt;&gt;"")))=0,"",_xlfn._xlws.SORT(_xlfn._xlws.FILTER([1]Modular!B3:B200,([1]Modular!C3:C200&lt;&gt;[1]Modular!B3:B200)*([1]Modular!B3:B200&lt;&gt;"")),1,1))</f>
        <v>Duty Beyond Death</v>
      </c>
      <c r="BD3" t="e" cm="1" vm="1">
        <f t="array" ref="BD3">IF(COUNTA(_xlfn._xlws.FILTER([1]Yorion!B3:B200,([1]Yorion!C3:C200&lt;&gt;[1]Yorion!B3:B200)*([1]Yorion!B3:B200&lt;&gt;"")))=0,"",_xlfn._xlws.SORT(_xlfn._xlws.FILTER([1]Yorion!B3:B200,([1]Yorion!C3:C200&lt;&gt;[1]Yorion!B3:B200)*([1]Yorion!B3:B200&lt;&gt;"")),1,1))</f>
        <v>#VALUE!</v>
      </c>
      <c r="BH3" t="str" cm="1">
        <f t="array" ref="BH3:BH10">IF(COUNTA(_xlfn._xlws.FILTER([1]Zuko!B3:B200,([1]Zuko!C3:C200&lt;&gt;[1]Zuko!B3:B200)*([1]Zuko!B3:B200&lt;&gt;"")))=0,"",_xlfn._xlws.SORT(_xlfn._xlws.FILTER([1]Zuko!B3:B200,([1]Zuko!C3:C200&lt;&gt;[1]Zuko!B3:B200)*([1]Zuko!B3:B200&lt;&gt;"")),1,1))</f>
        <v>Barkform Harvester</v>
      </c>
      <c r="CH3" t="str" cm="1">
        <f t="array" aca="1" ref="CH3:CH34" ca="1">IF(COUNTA(_xlfn.ANCHORARRAY($U$3))+COUNTA(_xlfn.ANCHORARRAY($V$3))=0,"",_xlfn._xlws.SORT(_xlfn.UNIQUE(IF(ROW(INDIRECT("1:"&amp;(COUNTA(_xlfn.ANCHORARRAY($U$3))+COUNTA(_xlfn.ANCHORARRAY($V$3)))))&lt;=COUNTA(_xlfn.ANCHORARRAY($U$3)),INDEX(_xlfn.ANCHORARRAY($U$3),ROW(INDIRECT("1:"&amp;(COUNTA(_xlfn.ANCHORARRAY($U$3))+COUNTA(_xlfn.ANCHORARRAY($V$3)))))),INDEX(_xlfn.ANCHORARRAY($V$3),ROW(INDIRECT("1:"&amp;(COUNTA(_xlfn.ANCHORARRAY($U$3))+COUNTA(_xlfn.ANCHORARRAY($V$3)))))-COUNTA(_xlfn.ANCHORARRAY($U$3))))),1,1))</f>
        <v>Captain Lannery Storm</v>
      </c>
      <c r="CI3" t="str" cm="1">
        <f t="array" aca="1" ref="CI3:CI36" ca="1">IF(COUNTA(_xlfn.ANCHORARRAY($W$3))+COUNTA(_xlfn.ANCHORARRAY($X$3))=0,"",_xlfn._xlws.SORT(_xlfn.UNIQUE(IF(ROW(INDIRECT("1:"&amp;(COUNTA(_xlfn.ANCHORARRAY($W$3))+COUNTA(_xlfn.ANCHORARRAY($X$3)))))&lt;=COUNTA(_xlfn.ANCHORARRAY($W$3)),INDEX(_xlfn.ANCHORARRAY($W$3),ROW(INDIRECT("1:"&amp;(COUNTA(_xlfn.ANCHORARRAY($W$3))+COUNTA(_xlfn.ANCHORARRAY($X$3)))))),INDEX(_xlfn.ANCHORARRAY($X$3),ROW(INDIRECT("1:"&amp;(COUNTA(_xlfn.ANCHORARRAY($W$3))+COUNTA(_xlfn.ANCHORARRAY($X$3)))))-COUNTA(_xlfn.ANCHORARRAY($W$3))))),1,1))</f>
        <v>Animate Dead</v>
      </c>
      <c r="CJ3" t="str" cm="1">
        <f t="array" aca="1" ref="CJ3:CJ21" ca="1">IF(COUNTA(_xlfn.ANCHORARRAY($Y$3))+COUNTA(_xlfn.ANCHORARRAY($Z$3))=0,"",_xlfn._xlws.SORT(_xlfn.UNIQUE(IF(ROW(INDIRECT("1:"&amp;(COUNTA(_xlfn.ANCHORARRAY($Y$3))+COUNTA(_xlfn.ANCHORARRAY($Z$3)))))&lt;=COUNTA(_xlfn.ANCHORARRAY($Y$3)),INDEX(_xlfn.ANCHORARRAY($Y$3),ROW(INDIRECT("1:"&amp;(COUNTA(_xlfn.ANCHORARRAY($Y$3))+COUNTA(_xlfn.ANCHORARRAY($Z$3)))))),INDEX(_xlfn.ANCHORARRAY($Z$3),ROW(INDIRECT("1:"&amp;(COUNTA(_xlfn.ANCHORARRAY($Y$3))+COUNTA(_xlfn.ANCHORARRAY($Z$3)))))-COUNTA(_xlfn.ANCHORARRAY($Y$3))))),1,1))</f>
        <v>Campo Contaminado</v>
      </c>
      <c r="CK3" t="str" cm="1">
        <f t="array" aca="1" ref="CK3:CK22" ca="1">IF(COUNTA(_xlfn.ANCHORARRAY($AA$3))+COUNTA(_xlfn.ANCHORARRAY($AB$3))=0,"",_xlfn._xlws.SORT(_xlfn.UNIQUE(IF(ROW(INDIRECT("1:"&amp;(COUNTA(_xlfn.ANCHORARRAY($AA$3))+COUNTA(_xlfn.ANCHORARRAY($AB$3)))))&lt;=COUNTA(_xlfn.ANCHORARRAY($AA$3)),INDEX(_xlfn.ANCHORARRAY($AA$3),ROW(INDIRECT("1:"&amp;(COUNTA(_xlfn.ANCHORARRAY($AA$3))+COUNTA(_xlfn.ANCHORARRAY($AB$3)))))),INDEX(_xlfn.ANCHORARRAY($AB$3),ROW(INDIRECT("1:"&amp;(COUNTA(_xlfn.ANCHORARRAY($AA$3))+COUNTA(_xlfn.ANCHORARRAY($AB$3)))))-COUNTA(_xlfn.ANCHORARRAY($AA$3))))),1,1))</f>
        <v>Aquatic Incursion</v>
      </c>
      <c r="CL3" t="str" cm="1">
        <f t="array" aca="1" ref="CL3:CL21" ca="1">IF(COUNTA(_xlfn.ANCHORARRAY($AC$3))+COUNTA(_xlfn.ANCHORARRAY($AD$3))=0,"",_xlfn._xlws.SORT(_xlfn.UNIQUE(IF(ROW(INDIRECT("1:"&amp;(COUNTA(_xlfn.ANCHORARRAY($AC$3))+COUNTA(_xlfn.ANCHORARRAY($AD$3)))))&lt;=COUNTA(_xlfn.ANCHORARRAY($AC$3)),INDEX(_xlfn.ANCHORARRAY($AC$3),ROW(INDIRECT("1:"&amp;(COUNTA(_xlfn.ANCHORARRAY($AC$3))+COUNTA(_xlfn.ANCHORARRAY($AD$3)))))),INDEX(_xlfn.ANCHORARRAY($AD$3),ROW(INDIRECT("1:"&amp;(COUNTA(_xlfn.ANCHORARRAY($AC$3))+COUNTA(_xlfn.ANCHORARRAY($AD$3)))))-COUNTA(_xlfn.ANCHORARRAY($AC$3))))),1,1))</f>
        <v>Aeon Chronicler</v>
      </c>
      <c r="CM3" t="str" cm="1">
        <f t="array" aca="1" ref="CM3:CM15" ca="1">IF(COUNTA(_xlfn.ANCHORARRAY($AE$3))+COUNTA(_xlfn.ANCHORARRAY($AF$3))=0,"",_xlfn._xlws.SORT(_xlfn.UNIQUE(IF(ROW(INDIRECT("1:"&amp;(COUNTA(_xlfn.ANCHORARRAY($AE$3))+COUNTA(_xlfn.ANCHORARRAY($AF$3)))))&lt;=COUNTA(_xlfn.ANCHORARRAY($AE$3)),INDEX(_xlfn.ANCHORARRAY($AE$3),ROW(INDIRECT("1:"&amp;(COUNTA(_xlfn.ANCHORARRAY($AE$3))+COUNTA(_xlfn.ANCHORARRAY($AF$3)))))),INDEX(_xlfn.ANCHORARRAY($AF$3),ROW(INDIRECT("1:"&amp;(COUNTA(_xlfn.ANCHORARRAY($AE$3))+COUNTA(_xlfn.ANCHORARRAY($AF$3)))))-COUNTA(_xlfn.ANCHORARRAY($AE$3))))),1,1))</f>
        <v>Blinkmoth Urn</v>
      </c>
      <c r="CN3" t="str" cm="1">
        <f t="array" aca="1" ref="CN3:CN20" ca="1">IF(COUNTA(_xlfn.ANCHORARRAY($AG$3))+COUNTA(_xlfn.ANCHORARRAY($AH$3))=0,"",_xlfn._xlws.SORT(_xlfn.UNIQUE(IF(ROW(INDIRECT("1:"&amp;(COUNTA(_xlfn.ANCHORARRAY($AG$3))+COUNTA(_xlfn.ANCHORARRAY($AH$3)))))&lt;=COUNTA(_xlfn.ANCHORARRAY($AG$3)),INDEX(_xlfn.ANCHORARRAY($AG$3),ROW(INDIRECT("1:"&amp;(COUNTA(_xlfn.ANCHORARRAY($AG$3))+COUNTA(_xlfn.ANCHORARRAY($AH$3)))))),INDEX(_xlfn.ANCHORARRAY($AH$3),ROW(INDIRECT("1:"&amp;(COUNTA(_xlfn.ANCHORARRAY($AG$3))+COUNTA(_xlfn.ANCHORARRAY($AH$3)))))-COUNTA(_xlfn.ANCHORARRAY($AG$3))))),1,1))</f>
        <v>Aether Adept</v>
      </c>
      <c r="CO3" t="str" cm="1">
        <f t="array" aca="1" ref="CO3:CO26" ca="1">IF(COUNTA(_xlfn.ANCHORARRAY($AI$3))+COUNTA(_xlfn.ANCHORARRAY($AJ$3))=0,"",_xlfn._xlws.SORT(_xlfn.UNIQUE(IF(ROW(INDIRECT("1:"&amp;(COUNTA(_xlfn.ANCHORARRAY($AI$3))+COUNTA(_xlfn.ANCHORARRAY($AJ$3)))))&lt;=COUNTA(_xlfn.ANCHORARRAY($AI$3)),INDEX(_xlfn.ANCHORARRAY($AI$3),ROW(INDIRECT("1:"&amp;(COUNTA(_xlfn.ANCHORARRAY($AI$3))+COUNTA(_xlfn.ANCHORARRAY($AJ$3)))))),INDEX(_xlfn.ANCHORARRAY($AJ$3),ROW(INDIRECT("1:"&amp;(COUNTA(_xlfn.ANCHORARRAY($AI$3))+COUNTA(_xlfn.ANCHORARRAY($AJ$3)))))-COUNTA(_xlfn.ANCHORARRAY($AI$3))))),1,1))</f>
        <v>Bant Charm</v>
      </c>
      <c r="CP3" t="str" cm="1">
        <f t="array" aca="1" ref="CP3:CP9" ca="1">IF(COUNTA(_xlfn.ANCHORARRAY($AK$3))+COUNTA(_xlfn.ANCHORARRAY($AL$3))=0,"",_xlfn._xlws.SORT(_xlfn.UNIQUE(IF(ROW(INDIRECT("1:"&amp;(COUNTA(_xlfn.ANCHORARRAY($AK$3))+COUNTA(_xlfn.ANCHORARRAY($AL$3)))))&lt;=COUNTA(_xlfn.ANCHORARRAY($AK$3)),INDEX(_xlfn.ANCHORARRAY($AK$3),ROW(INDIRECT("1:"&amp;(COUNTA(_xlfn.ANCHORARRAY($AK$3))+COUNTA(_xlfn.ANCHORARRAY($AL$3)))))),INDEX(_xlfn.ANCHORARRAY($AL$3),ROW(INDIRECT("1:"&amp;(COUNTA(_xlfn.ANCHORARRAY($AK$3))+COUNTA(_xlfn.ANCHORARRAY($AL$3)))))-COUNTA(_xlfn.ANCHORARRAY($AK$3))))),1,1))</f>
        <v>Anciã de Toca das Fadas</v>
      </c>
      <c r="CQ3" t="str" cm="1">
        <f t="array" aca="1" ref="CQ3:CQ6" ca="1">IF(COUNTA(_xlfn.ANCHORARRAY($AM$3))+COUNTA(_xlfn.ANCHORARRAY($AN$3))=0,"",_xlfn._xlws.SORT(_xlfn.UNIQUE(IF(ROW(INDIRECT("1:"&amp;(COUNTA(_xlfn.ANCHORARRAY($AM$3))+COUNTA(_xlfn.ANCHORARRAY($AN$3)))))&lt;=COUNTA(_xlfn.ANCHORARRAY($AM$3)),INDEX(_xlfn.ANCHORARRAY($AM$3),ROW(INDIRECT("1:"&amp;(COUNTA(_xlfn.ANCHORARRAY($AM$3))+COUNTA(_xlfn.ANCHORARRAY($AN$3)))))),INDEX(_xlfn.ANCHORARRAY($AN$3),ROW(INDIRECT("1:"&amp;(COUNTA(_xlfn.ANCHORARRAY($AM$3))+COUNTA(_xlfn.ANCHORARRAY($AN$3)))))-COUNTA(_xlfn.ANCHORARRAY($AM$3))))),1,1))</f>
        <v>Consecrated Sphinx</v>
      </c>
      <c r="CR3" t="str" cm="1">
        <f t="array" aca="1" ref="CR3:CR14" ca="1">IF(COUNTA(_xlfn.ANCHORARRAY($AO$3))+COUNTA(_xlfn.ANCHORARRAY($AP$3))=0,"",_xlfn._xlws.SORT(_xlfn.UNIQUE(IF(ROW(INDIRECT("1:"&amp;(COUNTA(_xlfn.ANCHORARRAY($AO$3))+COUNTA(_xlfn.ANCHORARRAY($AP$3)))))&lt;=COUNTA(_xlfn.ANCHORARRAY($AO$3)),INDEX(_xlfn.ANCHORARRAY($AO$3),ROW(INDIRECT("1:"&amp;(COUNTA(_xlfn.ANCHORARRAY($AO$3))+COUNTA(_xlfn.ANCHORARRAY($AP$3)))))),INDEX(_xlfn.ANCHORARRAY($AP$3),ROW(INDIRECT("1:"&amp;(COUNTA(_xlfn.ANCHORARRAY($AO$3))+COUNTA(_xlfn.ANCHORARRAY($AP$3)))))-COUNTA(_xlfn.ANCHORARRAY($AO$3))))),1,1))</f>
        <v>Blink of an Eye</v>
      </c>
      <c r="CS3" t="str" cm="1">
        <f t="array" aca="1" ref="CS3:CS24" ca="1">IF(COUNTA(_xlfn.ANCHORARRAY($AQ$3))+COUNTA(_xlfn.ANCHORARRAY($AR$3))=0,"",_xlfn._xlws.SORT(_xlfn.UNIQUE(IF(ROW(INDIRECT("1:"&amp;(COUNTA(_xlfn.ANCHORARRAY($AQ$3))+COUNTA(_xlfn.ANCHORARRAY($AR$3)))))&lt;=COUNTA(_xlfn.ANCHORARRAY($AQ$3)),INDEX(_xlfn.ANCHORARRAY($AQ$3),ROW(INDIRECT("1:"&amp;(COUNTA(_xlfn.ANCHORARRAY($AQ$3))+COUNTA(_xlfn.ANCHORARRAY($AR$3)))))),INDEX(_xlfn.ANCHORARRAY($AR$3),ROW(INDIRECT("1:"&amp;(COUNTA(_xlfn.ANCHORARRAY($AQ$3))+COUNTA(_xlfn.ANCHORARRAY($AR$3)))))-COUNTA(_xlfn.ANCHORARRAY($AQ$3))))),1,1))</f>
        <v>Arcbond</v>
      </c>
      <c r="CT3" t="str" cm="1">
        <f t="array" aca="1" ref="CT3:CT15" ca="1">IF(COUNTA(_xlfn.ANCHORARRAY($AS$3))+COUNTA(_xlfn.ANCHORARRAY($AT$3))=0,"",_xlfn._xlws.SORT(_xlfn.UNIQUE(IF(ROW(INDIRECT("1:"&amp;(COUNTA(_xlfn.ANCHORARRAY($AS$3))+COUNTA(_xlfn.ANCHORARRAY($AT$3)))))&lt;=COUNTA(_xlfn.ANCHORARRAY($AS$3)),INDEX(_xlfn.ANCHORARRAY($AS$3),ROW(INDIRECT("1:"&amp;(COUNTA(_xlfn.ANCHORARRAY($AS$3))+COUNTA(_xlfn.ANCHORARRAY($AT$3)))))),INDEX(_xlfn.ANCHORARRAY($AT$3),ROW(INDIRECT("1:"&amp;(COUNTA(_xlfn.ANCHORARRAY($AS$3))+COUNTA(_xlfn.ANCHORARRAY($AT$3)))))-COUNTA(_xlfn.ANCHORARRAY($AS$3))))),1,1))</f>
        <v>Aminatou, Veil Piercer</v>
      </c>
      <c r="CU3" t="str" cm="1">
        <f t="array" aca="1" ref="CU3:CU5" ca="1">IF(COUNTA(_xlfn.ANCHORARRAY($AU$3))+COUNTA(_xlfn.ANCHORARRAY($AV$3))=0,"",_xlfn._xlws.SORT(_xlfn.UNIQUE(IF(ROW(INDIRECT("1:"&amp;(COUNTA(_xlfn.ANCHORARRAY($AU$3))+COUNTA(_xlfn.ANCHORARRAY($AV$3)))))&lt;=COUNTA(_xlfn.ANCHORARRAY($AU$3)),INDEX(_xlfn.ANCHORARRAY($AU$3),ROW(INDIRECT("1:"&amp;(COUNTA(_xlfn.ANCHORARRAY($AU$3))+COUNTA(_xlfn.ANCHORARRAY($AV$3)))))),INDEX(_xlfn.ANCHORARRAY($AV$3),ROW(INDIRECT("1:"&amp;(COUNTA(_xlfn.ANCHORARRAY($AU$3))+COUNTA(_xlfn.ANCHORARRAY($AV$3)))))-COUNTA(_xlfn.ANCHORARRAY($AU$3))))),1,1))</f>
        <v>Aura Shards</v>
      </c>
      <c r="CV3" t="str" cm="1">
        <f t="array" aca="1" ref="CV3:CV24" ca="1">IF(COUNTA(_xlfn.ANCHORARRAY($AW$3))+COUNTA(_xlfn.ANCHORARRAY($AX$3))=0,"",_xlfn._xlws.SORT(_xlfn.UNIQUE(IF(ROW(INDIRECT("1:"&amp;(COUNTA(_xlfn.ANCHORARRAY($AW$3))+COUNTA(_xlfn.ANCHORARRAY($AX$3)))))&lt;=COUNTA(_xlfn.ANCHORARRAY($AW$3)),INDEX(_xlfn.ANCHORARRAY($AW$3),ROW(INDIRECT("1:"&amp;(COUNTA(_xlfn.ANCHORARRAY($AW$3))+COUNTA(_xlfn.ANCHORARRAY($AX$3)))))),INDEX(_xlfn.ANCHORARRAY($AX$3),ROW(INDIRECT("1:"&amp;(COUNTA(_xlfn.ANCHORARRAY($AW$3))+COUNTA(_xlfn.ANCHORARRAY($AX$3)))))-COUNTA(_xlfn.ANCHORARRAY($AW$3))))),1,1))</f>
        <v>Duty Beyond Death</v>
      </c>
      <c r="CW3" t="e" cm="1">
        <f t="array" aca="1" ref="CW3" ca="1">IF(COUNTA(_xlfn.ANCHORARRAY($AY$3))+COUNTA(_xlfn.ANCHORARRAY($AZ$3))=0,"",_xlfn._xlws.SORT(_xlfn.UNIQUE(IF(ROW(INDIRECT("1:"&amp;(COUNTA(_xlfn.ANCHORARRAY($AY$3))+COUNTA(_xlfn.ANCHORARRAY($AZ$3)))))&lt;=COUNTA(_xlfn.ANCHORARRAY($AY$3)),INDEX(_xlfn.ANCHORARRAY($AY$3),ROW(INDIRECT("1:"&amp;(COUNTA(_xlfn.ANCHORARRAY($AY$3))+COUNTA(_xlfn.ANCHORARRAY($AZ$3)))))),INDEX(_xlfn.ANCHORARRAY($AZ$3),ROW(INDIRECT("1:"&amp;(COUNTA(_xlfn.ANCHORARRAY($AY$3))+COUNTA(_xlfn.ANCHORARRAY($AZ$3)))))-COUNTA(_xlfn.ANCHORARRAY($AY$3))))),1,1))</f>
        <v>#REF!</v>
      </c>
      <c r="CX3" t="e" cm="1">
        <f t="array" aca="1" ref="CX3" ca="1">IF(COUNTA(_xlfn.ANCHORARRAY($BA$3))+COUNTA(_xlfn.ANCHORARRAY($BB$3))=0,"",_xlfn._xlws.SORT(_xlfn.UNIQUE(IF(ROW(INDIRECT("1:"&amp;(COUNTA(_xlfn.ANCHORARRAY($BA$3))+COUNTA(_xlfn.ANCHORARRAY($BB$3)))))&lt;=COUNTA(_xlfn.ANCHORARRAY($BA$3)),INDEX(_xlfn.ANCHORARRAY($BA$3),ROW(INDIRECT("1:"&amp;(COUNTA(_xlfn.ANCHORARRAY($BA$3))+COUNTA(_xlfn.ANCHORARRAY($BB$3)))))),INDEX(_xlfn.ANCHORARRAY($BB$3),ROW(INDIRECT("1:"&amp;(COUNTA(_xlfn.ANCHORARRAY($BA$3))+COUNTA(_xlfn.ANCHORARRAY($BB$3)))))-COUNTA(_xlfn.ANCHORARRAY($BA$3))))),1,1))</f>
        <v>#REF!</v>
      </c>
      <c r="CY3" t="e" cm="1">
        <f t="array" aca="1" ref="CY3:CY4" ca="1">IF(COUNTA(_xlfn.ANCHORARRAY($BC$3))+COUNTA(_xlfn.ANCHORARRAY($BD$3))=0,"",_xlfn._xlws.SORT(_xlfn.UNIQUE(IF(ROW(INDIRECT("1:"&amp;(COUNTA(_xlfn.ANCHORARRAY($BC$3))+COUNTA(_xlfn.ANCHORARRAY($BD$3)))))&lt;=COUNTA(_xlfn.ANCHORARRAY($BC$3)),INDEX(_xlfn.ANCHORARRAY($BC$3),ROW(INDIRECT("1:"&amp;(COUNTA(_xlfn.ANCHORARRAY($BC$3))+COUNTA(_xlfn.ANCHORARRAY($BD$3)))))),INDEX(_xlfn.ANCHORARRAY($BD$3),ROW(INDIRECT("1:"&amp;(COUNTA(_xlfn.ANCHORARRAY($BC$3))+COUNTA(_xlfn.ANCHORARRAY($BD$3)))))-COUNTA(_xlfn.ANCHORARRAY($BC$3))))),1,1))</f>
        <v>#REF!</v>
      </c>
      <c r="CZ3" t="e" cm="1">
        <f t="array" aca="1" ref="CZ3" ca="1">IF(COUNTA(_xlfn.ANCHORARRAY($BE$3))+COUNTA(_xlfn.ANCHORARRAY($BF$3))=0,"",_xlfn._xlws.SORT(_xlfn.UNIQUE(IF(ROW(INDIRECT("1:"&amp;(COUNTA(_xlfn.ANCHORARRAY($BE$3))+COUNTA(_xlfn.ANCHORARRAY($BF$3)))))&lt;=COUNTA(_xlfn.ANCHORARRAY($BE$3)),INDEX(_xlfn.ANCHORARRAY($BE$3),ROW(INDIRECT("1:"&amp;(COUNTA(_xlfn.ANCHORARRAY($BE$3))+COUNTA(_xlfn.ANCHORARRAY($BF$3)))))),INDEX(_xlfn.ANCHORARRAY($BF$3),ROW(INDIRECT("1:"&amp;(COUNTA(_xlfn.ANCHORARRAY($BE$3))+COUNTA(_xlfn.ANCHORARRAY($BF$3)))))-COUNTA(_xlfn.ANCHORARRAY($BE$3))))),1,1))</f>
        <v>#REF!</v>
      </c>
      <c r="DA3" t="str" cm="1">
        <f t="array" aca="1" ref="DA3:DA11" ca="1">IF(COUNTA(_xlfn.ANCHORARRAY($BG$3))+COUNTA(_xlfn.ANCHORARRAY($BH$3))=0,"",_xlfn._xlws.SORT(_xlfn.UNIQUE(IF(ROW(INDIRECT("1:"&amp;(COUNTA(_xlfn.ANCHORARRAY($BG$3))+COUNTA(_xlfn.ANCHORARRAY($BH$3)))))&lt;=COUNTA(_xlfn.ANCHORARRAY($BG$3)),INDEX(_xlfn.ANCHORARRAY($BG$3),ROW(INDIRECT("1:"&amp;(COUNTA(_xlfn.ANCHORARRAY($BG$3))+COUNTA(_xlfn.ANCHORARRAY($BH$3)))))),INDEX(_xlfn.ANCHORARRAY($BH$3),ROW(INDIRECT("1:"&amp;(COUNTA(_xlfn.ANCHORARRAY($BG$3))+COUNTA(_xlfn.ANCHORARRAY($BH$3)))))-COUNTA(_xlfn.ANCHORARRAY($BG$3))))),1,1))</f>
        <v>Barkform Harvester</v>
      </c>
      <c r="DB3" t="e" cm="1">
        <f t="array" aca="1" ref="DB3" ca="1">IF(COUNTA(_xlfn.ANCHORARRAY($BI$3))+COUNTA(_xlfn.ANCHORARRAY($BJ$3))=0,"",_xlfn._xlws.SORT(_xlfn.UNIQUE(IF(ROW(INDIRECT("1:"&amp;(COUNTA(_xlfn.ANCHORARRAY($BI$3))+COUNTA(_xlfn.ANCHORARRAY($BJ$3)))))&lt;=COUNTA(_xlfn.ANCHORARRAY($BI$3)),INDEX(_xlfn.ANCHORARRAY($BI$3),ROW(INDIRECT("1:"&amp;(COUNTA(_xlfn.ANCHORARRAY($BI$3))+COUNTA(_xlfn.ANCHORARRAY($BJ$3)))))),INDEX(_xlfn.ANCHORARRAY($BJ$3),ROW(INDIRECT("1:"&amp;(COUNTA(_xlfn.ANCHORARRAY($BI$3))+COUNTA(_xlfn.ANCHORARRAY($BJ$3)))))-COUNTA(_xlfn.ANCHORARRAY($BI$3))))),1,1))</f>
        <v>#REF!</v>
      </c>
      <c r="DC3" t="e" cm="1">
        <f t="array" aca="1" ref="DC3" ca="1">IF(COUNTA(_xlfn.ANCHORARRAY($BK$3))+COUNTA(_xlfn.ANCHORARRAY($CD$3))=0,"",_xlfn._xlws.SORT(_xlfn.UNIQUE(IF(ROW(INDIRECT("1:"&amp;(COUNTA(_xlfn.ANCHORARRAY($BK$3))+COUNTA(_xlfn.ANCHORARRAY($CD$3)))))&lt;=COUNTA(_xlfn.ANCHORARRAY($BK$3)),INDEX(_xlfn.ANCHORARRAY($BK$3),ROW(INDIRECT("1:"&amp;(COUNTA(_xlfn.ANCHORARRAY($BK$3))+COUNTA(_xlfn.ANCHORARRAY($CD$3)))))),INDEX(_xlfn.ANCHORARRAY($CD$3),ROW(INDIRECT("1:"&amp;(COUNTA(_xlfn.ANCHORARRAY($BK$3))+COUNTA(_xlfn.ANCHORARRAY($CD$3)))))-COUNTA(_xlfn.ANCHORARRAY($BK$3))))),1,1))</f>
        <v>#REF!</v>
      </c>
      <c r="DD3" t="e" cm="1">
        <f t="array" aca="1" ref="DD3" ca="1">IF(COUNTA(_xlfn.ANCHORARRAY($BM$3))+COUNTA(_xlfn.ANCHORARRAY($BN$3))=0,"",_xlfn._xlws.SORT(_xlfn.UNIQUE(IF(ROW(INDIRECT("1:"&amp;(COUNTA(_xlfn.ANCHORARRAY($BM$3))+COUNTA(_xlfn.ANCHORARRAY($BN$3)))))&lt;=COUNTA(_xlfn.ANCHORARRAY($BM$3)),INDEX(_xlfn.ANCHORARRAY($BM$3),ROW(INDIRECT("1:"&amp;(COUNTA(_xlfn.ANCHORARRAY($BM$3))+COUNTA(_xlfn.ANCHORARRAY($BN$3)))))),INDEX(_xlfn.ANCHORARRAY($BN$3),ROW(INDIRECT("1:"&amp;(COUNTA(_xlfn.ANCHORARRAY($BM$3))+COUNTA(_xlfn.ANCHORARRAY($BN$3)))))-COUNTA(_xlfn.ANCHORARRAY($BM$3))))),1,1))</f>
        <v>#REF!</v>
      </c>
      <c r="DE3" t="e" cm="1">
        <f t="array" aca="1" ref="DE3" ca="1">IF(COUNTA(_xlfn.ANCHORARRAY($BO$3))+COUNTA(_xlfn.ANCHORARRAY($BP$3))=0,"",_xlfn._xlws.SORT(_xlfn.UNIQUE(IF(ROW(INDIRECT("1:"&amp;(COUNTA(_xlfn.ANCHORARRAY($BO$3))+COUNTA(_xlfn.ANCHORARRAY($BP$3)))))&lt;=COUNTA(_xlfn.ANCHORARRAY($BO$3)),INDEX(_xlfn.ANCHORARRAY($BO$3),ROW(INDIRECT("1:"&amp;(COUNTA(_xlfn.ANCHORARRAY($BO$3))+COUNTA(_xlfn.ANCHORARRAY($BP$3)))))),INDEX(_xlfn.ANCHORARRAY($BP$3),ROW(INDIRECT("1:"&amp;(COUNTA(_xlfn.ANCHORARRAY($BO$3))+COUNTA(_xlfn.ANCHORARRAY($BP$3)))))-COUNTA(_xlfn.ANCHORARRAY($BO$3))))),1,1))</f>
        <v>#REF!</v>
      </c>
      <c r="DF3" t="e" cm="1">
        <f t="array" aca="1" ref="DF3" ca="1">IF(COUNTA(_xlfn.ANCHORARRAY($BQ$3))+COUNTA(_xlfn.ANCHORARRAY($BR$3))=0,"",_xlfn._xlws.SORT(_xlfn.UNIQUE(IF(ROW(INDIRECT("1:"&amp;(COUNTA(_xlfn.ANCHORARRAY($BQ$3))+COUNTA(_xlfn.ANCHORARRAY($BR$3)))))&lt;=COUNTA(_xlfn.ANCHORARRAY($BQ$3)),INDEX(_xlfn.ANCHORARRAY($BQ$3),ROW(INDIRECT("1:"&amp;(COUNTA(_xlfn.ANCHORARRAY($BQ$3))+COUNTA(_xlfn.ANCHORARRAY($BR$3)))))),INDEX(_xlfn.ANCHORARRAY($BR$3),ROW(INDIRECT("1:"&amp;(COUNTA(_xlfn.ANCHORARRAY($BQ$3))+COUNTA(_xlfn.ANCHORARRAY($BR$3)))))-COUNTA(_xlfn.ANCHORARRAY($BQ$3))))),1,1))</f>
        <v>#REF!</v>
      </c>
      <c r="DG3" t="e" cm="1">
        <f t="array" aca="1" ref="DG3" ca="1">IF(COUNTA(_xlfn.ANCHORARRAY($BS$3))+COUNTA(_xlfn.ANCHORARRAY($BT$3))=0,"",_xlfn._xlws.SORT(_xlfn.UNIQUE(IF(ROW(INDIRECT("1:"&amp;(COUNTA(_xlfn.ANCHORARRAY($BS$3))+COUNTA(_xlfn.ANCHORARRAY($BT$3)))))&lt;=COUNTA(_xlfn.ANCHORARRAY($BS$3)),INDEX(_xlfn.ANCHORARRAY($BS$3),ROW(INDIRECT("1:"&amp;(COUNTA(_xlfn.ANCHORARRAY($BS$3))+COUNTA(_xlfn.ANCHORARRAY($BT$3)))))),INDEX(_xlfn.ANCHORARRAY($BT$3),ROW(INDIRECT("1:"&amp;(COUNTA(_xlfn.ANCHORARRAY($BS$3))+COUNTA(_xlfn.ANCHORARRAY($BT$3)))))-COUNTA(_xlfn.ANCHORARRAY($BS$3))))),1,1))</f>
        <v>#REF!</v>
      </c>
      <c r="DH3" t="e" cm="1">
        <f t="array" aca="1" ref="DH3" ca="1">IF(COUNTA(_xlfn.ANCHORARRAY($BU$3))+COUNTA(_xlfn.ANCHORARRAY($BV$3))=0,"",_xlfn._xlws.SORT(_xlfn.UNIQUE(IF(ROW(INDIRECT("1:"&amp;(COUNTA(_xlfn.ANCHORARRAY($BU$3))+COUNTA(_xlfn.ANCHORARRAY($BV$3)))))&lt;=COUNTA(_xlfn.ANCHORARRAY($BU$3)),INDEX(_xlfn.ANCHORARRAY($BU$3),ROW(INDIRECT("1:"&amp;(COUNTA(_xlfn.ANCHORARRAY($BU$3))+COUNTA(_xlfn.ANCHORARRAY($BV$3)))))),INDEX(_xlfn.ANCHORARRAY($BV$3),ROW(INDIRECT("1:"&amp;(COUNTA(_xlfn.ANCHORARRAY($BU$3))+COUNTA(_xlfn.ANCHORARRAY($BV$3)))))-COUNTA(_xlfn.ANCHORARRAY($BU$3))))),1,1))</f>
        <v>#REF!</v>
      </c>
      <c r="DI3" t="e" cm="1">
        <f t="array" aca="1" ref="DI3" ca="1">IF(COUNTA(_xlfn.ANCHORARRAY($BW$3))+COUNTA(_xlfn.ANCHORARRAY($BX$3))=0,"",_xlfn._xlws.SORT(_xlfn.UNIQUE(IF(ROW(INDIRECT("1:"&amp;(COUNTA(_xlfn.ANCHORARRAY($BW$3))+COUNTA(_xlfn.ANCHORARRAY($BX$3)))))&lt;=COUNTA(_xlfn.ANCHORARRAY($BW$3)),INDEX(_xlfn.ANCHORARRAY($BW$3),ROW(INDIRECT("1:"&amp;(COUNTA(_xlfn.ANCHORARRAY($BW$3))+COUNTA(_xlfn.ANCHORARRAY($BX$3)))))),INDEX(_xlfn.ANCHORARRAY($BX$3),ROW(INDIRECT("1:"&amp;(COUNTA(_xlfn.ANCHORARRAY($BW$3))+COUNTA(_xlfn.ANCHORARRAY($BX$3)))))-COUNTA(_xlfn.ANCHORARRAY($BW$3))))),1,1))</f>
        <v>#REF!</v>
      </c>
      <c r="DJ3" t="e" cm="1">
        <f t="array" aca="1" ref="DJ3" ca="1">IF(COUNTA(_xlfn.ANCHORARRAY($BY$3))+COUNTA(_xlfn.ANCHORARRAY($BZ$3))=0,"",_xlfn._xlws.SORT(_xlfn.UNIQUE(IF(ROW(INDIRECT("1:"&amp;(COUNTA(_xlfn.ANCHORARRAY($BY$3))+COUNTA(_xlfn.ANCHORARRAY($BZ$3)))))&lt;=COUNTA(_xlfn.ANCHORARRAY($BY$3)),INDEX(_xlfn.ANCHORARRAY($BY$3),ROW(INDIRECT("1:"&amp;(COUNTA(_xlfn.ANCHORARRAY($BY$3))+COUNTA(_xlfn.ANCHORARRAY($BZ$3)))))),INDEX(_xlfn.ANCHORARRAY($BZ$3),ROW(INDIRECT("1:"&amp;(COUNTA(_xlfn.ANCHORARRAY($BY$3))+COUNTA(_xlfn.ANCHORARRAY($BZ$3)))))-COUNTA(_xlfn.ANCHORARRAY($BY$3))))),1,1))</f>
        <v>#REF!</v>
      </c>
      <c r="DK3" t="e" cm="1">
        <f t="array" aca="1" ref="DK3" ca="1">IF(COUNTA(_xlfn.ANCHORARRAY($CA$3))+COUNTA(_xlfn.ANCHORARRAY($CB$3))=0,"",_xlfn._xlws.SORT(_xlfn.UNIQUE(IF(ROW(INDIRECT("1:"&amp;(COUNTA(_xlfn.ANCHORARRAY($CA$3))+COUNTA(_xlfn.ANCHORARRAY($CB$3)))))&lt;=COUNTA(_xlfn.ANCHORARRAY($CA$3)),INDEX(_xlfn.ANCHORARRAY($CA$3),ROW(INDIRECT("1:"&amp;(COUNTA(_xlfn.ANCHORARRAY($CA$3))+COUNTA(_xlfn.ANCHORARRAY($CB$3)))))),INDEX(_xlfn.ANCHORARRAY($CB$3),ROW(INDIRECT("1:"&amp;(COUNTA(_xlfn.ANCHORARRAY($CA$3))+COUNTA(_xlfn.ANCHORARRAY($CB$3)))))-COUNTA(_xlfn.ANCHORARRAY($CA$3))))),1,1))</f>
        <v>#REF!</v>
      </c>
      <c r="DL3" t="e" cm="1">
        <f t="array" aca="1" ref="DL3" ca="1">IF(COUNTA(_xlfn.ANCHORARRAY($CC$3))+COUNTA(_xlfn.ANCHORARRAY($CD$3))=0,"",_xlfn._xlws.SORT(_xlfn.UNIQUE(IF(ROW(INDIRECT("1:"&amp;(COUNTA(_xlfn.ANCHORARRAY($CC$3))+COUNTA(_xlfn.ANCHORARRAY($CD$3)))))&lt;=COUNTA(_xlfn.ANCHORARRAY($CC$3)),INDEX(_xlfn.ANCHORARRAY($CC$3),ROW(INDIRECT("1:"&amp;(COUNTA(_xlfn.ANCHORARRAY($CC$3))+COUNTA(_xlfn.ANCHORARRAY($CD$3)))))),INDEX(_xlfn.ANCHORARRAY($CD$3),ROW(INDIRECT("1:"&amp;(COUNTA(_xlfn.ANCHORARRAY($CC$3))+COUNTA(_xlfn.ANCHORARRAY($CD$3)))))-COUNTA(_xlfn.ANCHORARRAY($CC$3))))),1,1))</f>
        <v>#REF!</v>
      </c>
      <c r="DM3" t="e" cm="1">
        <f t="array" aca="1" ref="DM3" ca="1">IF(COUNTA(_xlfn.ANCHORARRAY($CE$3))+COUNTA(_xlfn.ANCHORARRAY($CF$3))=0,"",_xlfn._xlws.SORT(_xlfn.UNIQUE(IF(ROW(INDIRECT("1:"&amp;(COUNTA(_xlfn.ANCHORARRAY($CE$3))+COUNTA(_xlfn.ANCHORARRAY($CF$3)))))&lt;=COUNTA(_xlfn.ANCHORARRAY($CE$3)),INDEX(_xlfn.ANCHORARRAY($CE$3),ROW(INDIRECT("1:"&amp;(COUNTA(_xlfn.ANCHORARRAY($CE$3))+COUNTA(_xlfn.ANCHORARRAY($CF$3)))))),INDEX(_xlfn.ANCHORARRAY($CF$3),ROW(INDIRECT("1:"&amp;(COUNTA(_xlfn.ANCHORARRAY($CE$3))+COUNTA(_xlfn.ANCHORARRAY($CF$3)))))-COUNTA(_xlfn.ANCHORARRAY($CE$3))))),1,1))</f>
        <v>#REF!</v>
      </c>
      <c r="DO3" t="str" cm="1">
        <f t="array" aca="1" ref="DO3:DO64" ca="1">IF(COUNTA(_xlfn.ANCHORARRAY($CH$3))+COUNTA(_xlfn.ANCHORARRAY($CI$3))=0,"",_xlfn._xlws.SORT(_xlfn.UNIQUE(IF(ROW(INDIRECT("1:"&amp;(COUNTA(_xlfn.ANCHORARRAY($CH$3))+COUNTA(_xlfn.ANCHORARRAY($CI$3)))))&lt;=COUNTA(_xlfn.ANCHORARRAY($CH$3)),INDEX(_xlfn.ANCHORARRAY($CH$3),ROW(INDIRECT("1:"&amp;(COUNTA(_xlfn.ANCHORARRAY($CH$3))+COUNTA(_xlfn.ANCHORARRAY($CI$3)))))),INDEX(_xlfn.ANCHORARRAY($CI$3),ROW(INDIRECT("1:"&amp;(COUNTA(_xlfn.ANCHORARRAY($CH$3))+COUNTA(_xlfn.ANCHORARRAY($CI$3)))))-COUNTA(_xlfn.ANCHORARRAY($CH$3))))),1,1))</f>
        <v>Animate Dead</v>
      </c>
      <c r="DP3" t="str" cm="1">
        <f t="array" aca="1" ref="DP3:DP41" ca="1">IF(COUNTA(_xlfn.ANCHORARRAY($CJ$3))+COUNTA(_xlfn.ANCHORARRAY($CK$3))=0,"",_xlfn._xlws.SORT(_xlfn.UNIQUE(IF(ROW(INDIRECT("1:"&amp;(COUNTA(_xlfn.ANCHORARRAY($CJ$3))+COUNTA(_xlfn.ANCHORARRAY($CK$3)))))&lt;=COUNTA(_xlfn.ANCHORARRAY($CJ$3)),INDEX(_xlfn.ANCHORARRAY($CJ$3),ROW(INDIRECT("1:"&amp;(COUNTA(_xlfn.ANCHORARRAY($CJ$3))+COUNTA(_xlfn.ANCHORARRAY($CK$3)))))),INDEX(_xlfn.ANCHORARRAY($CK$3),ROW(INDIRECT("1:"&amp;(COUNTA(_xlfn.ANCHORARRAY($CJ$3))+COUNTA(_xlfn.ANCHORARRAY($CK$3)))))-COUNTA(_xlfn.ANCHORARRAY($CJ$3))))),1,1))</f>
        <v>Aquatic Incursion</v>
      </c>
      <c r="DQ3" t="str" cm="1">
        <f t="array" aca="1" ref="DQ3:DQ32" ca="1">IF(COUNTA(_xlfn.ANCHORARRAY($CL$3))+COUNTA(_xlfn.ANCHORARRAY($CM$3))=0,"",_xlfn._xlws.SORT(_xlfn.UNIQUE(IF(ROW(INDIRECT("1:"&amp;(COUNTA(_xlfn.ANCHORARRAY($CL$3))+COUNTA(_xlfn.ANCHORARRAY($CM$3)))))&lt;=COUNTA(_xlfn.ANCHORARRAY($CL$3)),INDEX(_xlfn.ANCHORARRAY($CL$3),ROW(INDIRECT("1:"&amp;(COUNTA(_xlfn.ANCHORARRAY($CL$3))+COUNTA(_xlfn.ANCHORARRAY($CM$3)))))),INDEX(_xlfn.ANCHORARRAY($CM$3),ROW(INDIRECT("1:"&amp;(COUNTA(_xlfn.ANCHORARRAY($CL$3))+COUNTA(_xlfn.ANCHORARRAY($CM$3)))))-COUNTA(_xlfn.ANCHORARRAY($CL$3))))),1,1))</f>
        <v>Aeon Chronicler</v>
      </c>
      <c r="DR3" t="str" cm="1">
        <f t="array" aca="1" ref="DR3:DR44" ca="1">IF(COUNTA(_xlfn.ANCHORARRAY($CN$3))+COUNTA(_xlfn.ANCHORARRAY($CO$3))=0,"",_xlfn._xlws.SORT(_xlfn.UNIQUE(IF(ROW(INDIRECT("1:"&amp;(COUNTA(_xlfn.ANCHORARRAY($CN$3))+COUNTA(_xlfn.ANCHORARRAY($CO$3)))))&lt;=COUNTA(_xlfn.ANCHORARRAY($CN$3)),INDEX(_xlfn.ANCHORARRAY($CN$3),ROW(INDIRECT("1:"&amp;(COUNTA(_xlfn.ANCHORARRAY($CN$3))+COUNTA(_xlfn.ANCHORARRAY($CO$3)))))),INDEX(_xlfn.ANCHORARRAY($CO$3),ROW(INDIRECT("1:"&amp;(COUNTA(_xlfn.ANCHORARRAY($CN$3))+COUNTA(_xlfn.ANCHORARRAY($CO$3)))))-COUNTA(_xlfn.ANCHORARRAY($CN$3))))),1,1))</f>
        <v>Aether Adept</v>
      </c>
      <c r="DS3" t="str" cm="1">
        <f t="array" aca="1" ref="DS3:DS13" ca="1">IF(COUNTA(_xlfn.ANCHORARRAY($CP$3))+COUNTA(_xlfn.ANCHORARRAY($CQ$3))=0,"",_xlfn._xlws.SORT(_xlfn.UNIQUE(IF(ROW(INDIRECT("1:"&amp;(COUNTA(_xlfn.ANCHORARRAY($CP$3))+COUNTA(_xlfn.ANCHORARRAY($CQ$3)))))&lt;=COUNTA(_xlfn.ANCHORARRAY($CP$3)),INDEX(_xlfn.ANCHORARRAY($CP$3),ROW(INDIRECT("1:"&amp;(COUNTA(_xlfn.ANCHORARRAY($CP$3))+COUNTA(_xlfn.ANCHORARRAY($CQ$3)))))),INDEX(_xlfn.ANCHORARRAY($CQ$3),ROW(INDIRECT("1:"&amp;(COUNTA(_xlfn.ANCHORARRAY($CP$3))+COUNTA(_xlfn.ANCHORARRAY($CQ$3)))))-COUNTA(_xlfn.ANCHORARRAY($CP$3))))),1,1))</f>
        <v>Anciã de Toca das Fadas</v>
      </c>
      <c r="DT3" t="str" cm="1">
        <f t="array" aca="1" ref="DT3:DT36" ca="1">IF(COUNTA(_xlfn.ANCHORARRAY($CR$3))+COUNTA(_xlfn.ANCHORARRAY($CS$3))=0,"",_xlfn._xlws.SORT(_xlfn.UNIQUE(IF(ROW(INDIRECT("1:"&amp;(COUNTA(_xlfn.ANCHORARRAY($CR$3))+COUNTA(_xlfn.ANCHORARRAY($CS$3)))))&lt;=COUNTA(_xlfn.ANCHORARRAY($CR$3)),INDEX(_xlfn.ANCHORARRAY($CR$3),ROW(INDIRECT("1:"&amp;(COUNTA(_xlfn.ANCHORARRAY($CR$3))+COUNTA(_xlfn.ANCHORARRAY($CS$3)))))),INDEX(_xlfn.ANCHORARRAY($CS$3),ROW(INDIRECT("1:"&amp;(COUNTA(_xlfn.ANCHORARRAY($CR$3))+COUNTA(_xlfn.ANCHORARRAY($CS$3)))))-COUNTA(_xlfn.ANCHORARRAY($CR$3))))),1,1))</f>
        <v>Arcbond</v>
      </c>
      <c r="DU3" t="str" cm="1">
        <f t="array" aca="1" ref="DU3:DU18" ca="1">IF(COUNTA(_xlfn.ANCHORARRAY($CT$3))+COUNTA(_xlfn.ANCHORARRAY($CU$3))=0,"",_xlfn._xlws.SORT(_xlfn.UNIQUE(IF(ROW(INDIRECT("1:"&amp;(COUNTA(_xlfn.ANCHORARRAY($CT$3))+COUNTA(_xlfn.ANCHORARRAY($CU$3)))))&lt;=COUNTA(_xlfn.ANCHORARRAY($CT$3)),INDEX(_xlfn.ANCHORARRAY($CT$3),ROW(INDIRECT("1:"&amp;(COUNTA(_xlfn.ANCHORARRAY($CT$3))+COUNTA(_xlfn.ANCHORARRAY($CU$3)))))),INDEX(_xlfn.ANCHORARRAY($CU$3),ROW(INDIRECT("1:"&amp;(COUNTA(_xlfn.ANCHORARRAY($CT$3))+COUNTA(_xlfn.ANCHORARRAY($CU$3)))))-COUNTA(_xlfn.ANCHORARRAY($CT$3))))),1,1))</f>
        <v>Aminatou, Veil Piercer</v>
      </c>
      <c r="DV3" t="str" cm="1">
        <f t="array" aca="1" ref="DV3:DV24" ca="1">IF(COUNTA(_xlfn.ANCHORARRAY($CV$3))+COUNTA(_xlfn.ANCHORARRAY($CW$3))=0,"",_xlfn._xlws.SORT(_xlfn.UNIQUE(IF(ROW(INDIRECT("1:"&amp;(COUNTA(_xlfn.ANCHORARRAY($CV$3))+COUNTA(_xlfn.ANCHORARRAY($CW$3)))))&lt;=COUNTA(_xlfn.ANCHORARRAY($CV$3)),INDEX(_xlfn.ANCHORARRAY($CV$3),ROW(INDIRECT("1:"&amp;(COUNTA(_xlfn.ANCHORARRAY($CV$3))+COUNTA(_xlfn.ANCHORARRAY($CW$3)))))),INDEX(_xlfn.ANCHORARRAY($CW$3),ROW(INDIRECT("1:"&amp;(COUNTA(_xlfn.ANCHORARRAY($CV$3))+COUNTA(_xlfn.ANCHORARRAY($CW$3)))))-COUNTA(_xlfn.ANCHORARRAY($CV$3))))),1,1))</f>
        <v>Duty Beyond Death</v>
      </c>
      <c r="DW3" t="e" cm="1">
        <f t="array" aca="1" ref="DW3:DW4" ca="1">IF(COUNTA(_xlfn.ANCHORARRAY($CX$3))+COUNTA(_xlfn.ANCHORARRAY($CY$3))=0,"",_xlfn._xlws.SORT(_xlfn.UNIQUE(IF(ROW(INDIRECT("1:"&amp;(COUNTA(_xlfn.ANCHORARRAY($CX$3))+COUNTA(_xlfn.ANCHORARRAY($CY$3)))))&lt;=COUNTA(_xlfn.ANCHORARRAY($CX$3)),INDEX(_xlfn.ANCHORARRAY($CX$3),ROW(INDIRECT("1:"&amp;(COUNTA(_xlfn.ANCHORARRAY($CX$3))+COUNTA(_xlfn.ANCHORARRAY($CY$3)))))),INDEX(_xlfn.ANCHORARRAY($CY$3),ROW(INDIRECT("1:"&amp;(COUNTA(_xlfn.ANCHORARRAY($CX$3))+COUNTA(_xlfn.ANCHORARRAY($CY$3)))))-COUNTA(_xlfn.ANCHORARRAY($CX$3))))),1,1))</f>
        <v>#REF!</v>
      </c>
      <c r="DX3" t="str" cm="1">
        <f t="array" aca="1" ref="DX3:DX11" ca="1">IF(COUNTA(_xlfn.ANCHORARRAY($CZ$3))+COUNTA(_xlfn.ANCHORARRAY($DA$3))=0,"",_xlfn._xlws.SORT(_xlfn.UNIQUE(IF(ROW(INDIRECT("1:"&amp;(COUNTA(_xlfn.ANCHORARRAY($CZ$3))+COUNTA(_xlfn.ANCHORARRAY($DA$3)))))&lt;=COUNTA(_xlfn.ANCHORARRAY($CZ$3)),INDEX(_xlfn.ANCHORARRAY($CZ$3),ROW(INDIRECT("1:"&amp;(COUNTA(_xlfn.ANCHORARRAY($CZ$3))+COUNTA(_xlfn.ANCHORARRAY($DA$3)))))),INDEX(_xlfn.ANCHORARRAY($DA$3),ROW(INDIRECT("1:"&amp;(COUNTA(_xlfn.ANCHORARRAY($CZ$3))+COUNTA(_xlfn.ANCHORARRAY($DA$3)))))-COUNTA(_xlfn.ANCHORARRAY($CZ$3))))),1,1))</f>
        <v>Barkform Harvester</v>
      </c>
      <c r="DY3" t="e" cm="1">
        <f t="array" aca="1" ref="DY3" ca="1">IF(COUNTA(_xlfn.ANCHORARRAY($DB$3))+COUNTA(_xlfn.ANCHORARRAY($DC$3))=0,"",_xlfn._xlws.SORT(_xlfn.UNIQUE(IF(ROW(INDIRECT("1:"&amp;(COUNTA(_xlfn.ANCHORARRAY($DB$3))+COUNTA(_xlfn.ANCHORARRAY($DC$3)))))&lt;=COUNTA(_xlfn.ANCHORARRAY($DB$3)),INDEX(_xlfn.ANCHORARRAY($DB$3),ROW(INDIRECT("1:"&amp;(COUNTA(_xlfn.ANCHORARRAY($DB$3))+COUNTA(_xlfn.ANCHORARRAY($DC$3)))))),INDEX(_xlfn.ANCHORARRAY($DC$3),ROW(INDIRECT("1:"&amp;(COUNTA(_xlfn.ANCHORARRAY($DB$3))+COUNTA(_xlfn.ANCHORARRAY($DC$3)))))-COUNTA(_xlfn.ANCHORARRAY($DB$3))))),1,1))</f>
        <v>#REF!</v>
      </c>
      <c r="DZ3" t="e" cm="1">
        <f t="array" aca="1" ref="DZ3" ca="1">IF(COUNTA(_xlfn.ANCHORARRAY($DD$3))+COUNTA(_xlfn.ANCHORARRAY($DE$3))=0,"",_xlfn._xlws.SORT(_xlfn.UNIQUE(IF(ROW(INDIRECT("1:"&amp;(COUNTA(_xlfn.ANCHORARRAY($DD$3))+COUNTA(_xlfn.ANCHORARRAY($DE$3)))))&lt;=COUNTA(_xlfn.ANCHORARRAY($DD$3)),INDEX(_xlfn.ANCHORARRAY($DD$3),ROW(INDIRECT("1:"&amp;(COUNTA(_xlfn.ANCHORARRAY($DD$3))+COUNTA(_xlfn.ANCHORARRAY($DE$3)))))),INDEX(_xlfn.ANCHORARRAY($DE$3),ROW(INDIRECT("1:"&amp;(COUNTA(_xlfn.ANCHORARRAY($DD$3))+COUNTA(_xlfn.ANCHORARRAY($DE$3)))))-COUNTA(_xlfn.ANCHORARRAY($DD$3))))),1,1))</f>
        <v>#REF!</v>
      </c>
      <c r="EA3" t="e" cm="1">
        <f t="array" aca="1" ref="EA3" ca="1">IF(COUNTA(_xlfn.ANCHORARRAY($DF$3))+COUNTA(_xlfn.ANCHORARRAY($DG$3))=0,"",_xlfn._xlws.SORT(_xlfn.UNIQUE(IF(ROW(INDIRECT("1:"&amp;(COUNTA(_xlfn.ANCHORARRAY($DF$3))+COUNTA(_xlfn.ANCHORARRAY($DG$3)))))&lt;=COUNTA(_xlfn.ANCHORARRAY($DF$3)),INDEX(_xlfn.ANCHORARRAY($DF$3),ROW(INDIRECT("1:"&amp;(COUNTA(_xlfn.ANCHORARRAY($DF$3))+COUNTA(_xlfn.ANCHORARRAY($DG$3)))))),INDEX(_xlfn.ANCHORARRAY($DG$3),ROW(INDIRECT("1:"&amp;(COUNTA(_xlfn.ANCHORARRAY($DF$3))+COUNTA(_xlfn.ANCHORARRAY($DG$3)))))-COUNTA(_xlfn.ANCHORARRAY($DF$3))))),1,1))</f>
        <v>#REF!</v>
      </c>
      <c r="EB3" t="e" cm="1">
        <f t="array" aca="1" ref="EB3" ca="1">IF(COUNTA(_xlfn.ANCHORARRAY($DH$3))+COUNTA(_xlfn.ANCHORARRAY($DI$3))=0,"",_xlfn._xlws.SORT(_xlfn.UNIQUE(IF(ROW(INDIRECT("1:"&amp;(COUNTA(_xlfn.ANCHORARRAY($DH$3))+COUNTA(_xlfn.ANCHORARRAY($DI$3)))))&lt;=COUNTA(_xlfn.ANCHORARRAY($DH$3)),INDEX(_xlfn.ANCHORARRAY($DH$3),ROW(INDIRECT("1:"&amp;(COUNTA(_xlfn.ANCHORARRAY($DH$3))+COUNTA(_xlfn.ANCHORARRAY($DI$3)))))),INDEX(_xlfn.ANCHORARRAY($DI$3),ROW(INDIRECT("1:"&amp;(COUNTA(_xlfn.ANCHORARRAY($DH$3))+COUNTA(_xlfn.ANCHORARRAY($DI$3)))))-COUNTA(_xlfn.ANCHORARRAY($DH$3))))),1,1))</f>
        <v>#REF!</v>
      </c>
      <c r="EC3" t="e" cm="1">
        <f t="array" aca="1" ref="EC3" ca="1">IF(COUNTA(_xlfn.ANCHORARRAY($DJ$3))+COUNTA(_xlfn.ANCHORARRAY($DK$3))=0,"",_xlfn._xlws.SORT(_xlfn.UNIQUE(IF(ROW(INDIRECT("1:"&amp;(COUNTA(_xlfn.ANCHORARRAY($DJ$3))+COUNTA(_xlfn.ANCHORARRAY($DK$3)))))&lt;=COUNTA(_xlfn.ANCHORARRAY($DJ$3)),INDEX(_xlfn.ANCHORARRAY($DJ$3),ROW(INDIRECT("1:"&amp;(COUNTA(_xlfn.ANCHORARRAY($DJ$3))+COUNTA(_xlfn.ANCHORARRAY($DK$3)))))),INDEX(_xlfn.ANCHORARRAY($DK$3),ROW(INDIRECT("1:"&amp;(COUNTA(_xlfn.ANCHORARRAY($DJ$3))+COUNTA(_xlfn.ANCHORARRAY($DK$3)))))-COUNTA(_xlfn.ANCHORARRAY($DJ$3))))),1,1))</f>
        <v>#REF!</v>
      </c>
      <c r="ED3" t="e" cm="1">
        <f t="array" aca="1" ref="ED3" ca="1">IF(COUNTA(_xlfn.ANCHORARRAY($DL$3))+COUNTA(_xlfn.ANCHORARRAY($DM$3))=0,"",_xlfn._xlws.SORT(_xlfn.UNIQUE(IF(ROW(INDIRECT("1:"&amp;(COUNTA(_xlfn.ANCHORARRAY($DL$3))+COUNTA(_xlfn.ANCHORARRAY($DM$3)))))&lt;=COUNTA(_xlfn.ANCHORARRAY($DL$3)),INDEX(_xlfn.ANCHORARRAY($DL$3),ROW(INDIRECT("1:"&amp;(COUNTA(_xlfn.ANCHORARRAY($DL$3))+COUNTA(_xlfn.ANCHORARRAY($DM$3)))))),INDEX(_xlfn.ANCHORARRAY($DM$3),ROW(INDIRECT("1:"&amp;(COUNTA(_xlfn.ANCHORARRAY($DL$3))+COUNTA(_xlfn.ANCHORARRAY($DM$3)))))-COUNTA(_xlfn.ANCHORARRAY($DL$3))))),1,1))</f>
        <v>#REF!</v>
      </c>
      <c r="EF3" t="str" cm="1">
        <f t="array" aca="1" ref="EF3:EF99" ca="1">IF(COUNTA(_xlfn.ANCHORARRAY($DO$3))+COUNTA(_xlfn.ANCHORARRAY($DP$3))=0,"",_xlfn._xlws.SORT(_xlfn.UNIQUE(IF(ROW(INDIRECT("1:"&amp;(COUNTA(_xlfn.ANCHORARRAY($DO$3))+COUNTA(_xlfn.ANCHORARRAY($DP$3)))))&lt;=COUNTA(_xlfn.ANCHORARRAY($DO$3)),INDEX(_xlfn.ANCHORARRAY($DO$3),ROW(INDIRECT("1:"&amp;(COUNTA(_xlfn.ANCHORARRAY($DO$3))+COUNTA(_xlfn.ANCHORARRAY($DP$3)))))),INDEX(_xlfn.ANCHORARRAY($DP$3),ROW(INDIRECT("1:"&amp;(COUNTA(_xlfn.ANCHORARRAY($DO$3))+COUNTA(_xlfn.ANCHORARRAY($DP$3)))))-COUNTA(_xlfn.ANCHORARRAY($DO$3))))),1,1))</f>
        <v>Animate Dead</v>
      </c>
      <c r="EG3" t="str" cm="1">
        <f t="array" aca="1" ref="EG3:EG72" ca="1">IF(COUNTA(_xlfn.ANCHORARRAY($DQ$3))+COUNTA(_xlfn.ANCHORARRAY($DR$3))=0,"",_xlfn._xlws.SORT(_xlfn.UNIQUE(IF(ROW(INDIRECT("1:"&amp;(COUNTA(_xlfn.ANCHORARRAY($DQ$3))+COUNTA(_xlfn.ANCHORARRAY($DR$3)))))&lt;=COUNTA(_xlfn.ANCHORARRAY($DQ$3)),INDEX(_xlfn.ANCHORARRAY($DQ$3),ROW(INDIRECT("1:"&amp;(COUNTA(_xlfn.ANCHORARRAY($DQ$3))+COUNTA(_xlfn.ANCHORARRAY($DR$3)))))),INDEX(_xlfn.ANCHORARRAY($DR$3),ROW(INDIRECT("1:"&amp;(COUNTA(_xlfn.ANCHORARRAY($DQ$3))+COUNTA(_xlfn.ANCHORARRAY($DR$3)))))-COUNTA(_xlfn.ANCHORARRAY($DQ$3))))),1,1))</f>
        <v>Aeon Chronicler</v>
      </c>
      <c r="EH3" t="str" cm="1">
        <f t="array" aca="1" ref="EH3:EH46" ca="1">IF(COUNTA(_xlfn.ANCHORARRAY($DS$3))+COUNTA(_xlfn.ANCHORARRAY($DT$3))=0,"",_xlfn._xlws.SORT(_xlfn.UNIQUE(IF(ROW(INDIRECT("1:"&amp;(COUNTA(_xlfn.ANCHORARRAY($DS$3))+COUNTA(_xlfn.ANCHORARRAY($DT$3)))))&lt;=COUNTA(_xlfn.ANCHORARRAY($DS$3)),INDEX(_xlfn.ANCHORARRAY($DS$3),ROW(INDIRECT("1:"&amp;(COUNTA(_xlfn.ANCHORARRAY($DS$3))+COUNTA(_xlfn.ANCHORARRAY($DT$3)))))),INDEX(_xlfn.ANCHORARRAY($DT$3),ROW(INDIRECT("1:"&amp;(COUNTA(_xlfn.ANCHORARRAY($DS$3))+COUNTA(_xlfn.ANCHORARRAY($DT$3)))))-COUNTA(_xlfn.ANCHORARRAY($DS$3))))),1,1))</f>
        <v>Anciã de Toca das Fadas</v>
      </c>
      <c r="EI3" t="str" cm="1">
        <f t="array" aca="1" ref="EI3:EI38" ca="1">IF(COUNTA(_xlfn.ANCHORARRAY($DU$3))+COUNTA(_xlfn.ANCHORARRAY($DV$3))=0,"",_xlfn._xlws.SORT(_xlfn.UNIQUE(IF(ROW(INDIRECT("1:"&amp;(COUNTA(_xlfn.ANCHORARRAY($DU$3))+COUNTA(_xlfn.ANCHORARRAY($DV$3)))))&lt;=COUNTA(_xlfn.ANCHORARRAY($DU$3)),INDEX(_xlfn.ANCHORARRAY($DU$3),ROW(INDIRECT("1:"&amp;(COUNTA(_xlfn.ANCHORARRAY($DU$3))+COUNTA(_xlfn.ANCHORARRAY($DV$3)))))),INDEX(_xlfn.ANCHORARRAY($DV$3),ROW(INDIRECT("1:"&amp;(COUNTA(_xlfn.ANCHORARRAY($DU$3))+COUNTA(_xlfn.ANCHORARRAY($DV$3)))))-COUNTA(_xlfn.ANCHORARRAY($DU$3))))),1,1))</f>
        <v>Aminatou, Veil Piercer</v>
      </c>
      <c r="EJ3" t="str" cm="1">
        <f t="array" aca="1" ref="EJ3:EJ12" ca="1">IF(COUNTA(_xlfn.ANCHORARRAY($DW$3))+COUNTA(_xlfn.ANCHORARRAY($DX$3))=0,"",_xlfn._xlws.SORT(_xlfn.UNIQUE(IF(ROW(INDIRECT("1:"&amp;(COUNTA(_xlfn.ANCHORARRAY($DW$3))+COUNTA(_xlfn.ANCHORARRAY($DX$3)))))&lt;=COUNTA(_xlfn.ANCHORARRAY($DW$3)),INDEX(_xlfn.ANCHORARRAY($DW$3),ROW(INDIRECT("1:"&amp;(COUNTA(_xlfn.ANCHORARRAY($DW$3))+COUNTA(_xlfn.ANCHORARRAY($DX$3)))))),INDEX(_xlfn.ANCHORARRAY($DX$3),ROW(INDIRECT("1:"&amp;(COUNTA(_xlfn.ANCHORARRAY($DW$3))+COUNTA(_xlfn.ANCHORARRAY($DX$3)))))-COUNTA(_xlfn.ANCHORARRAY($DW$3))))),1,1))</f>
        <v>Barkform Harvester</v>
      </c>
      <c r="EK3" t="e" cm="1">
        <f t="array" aca="1" ref="EK3" ca="1">IF(COUNTA(_xlfn.ANCHORARRAY($DY$3))+COUNTA(_xlfn.ANCHORARRAY($DZ$3))=0,"",_xlfn._xlws.SORT(_xlfn.UNIQUE(IF(ROW(INDIRECT("1:"&amp;(COUNTA(_xlfn.ANCHORARRAY($DY$3))+COUNTA(_xlfn.ANCHORARRAY($DZ$3)))))&lt;=COUNTA(_xlfn.ANCHORARRAY($DY$3)),INDEX(_xlfn.ANCHORARRAY($DY$3),ROW(INDIRECT("1:"&amp;(COUNTA(_xlfn.ANCHORARRAY($DY$3))+COUNTA(_xlfn.ANCHORARRAY($DZ$3)))))),INDEX(_xlfn.ANCHORARRAY($DZ$3),ROW(INDIRECT("1:"&amp;(COUNTA(_xlfn.ANCHORARRAY($DY$3))+COUNTA(_xlfn.ANCHORARRAY($DZ$3)))))-COUNTA(_xlfn.ANCHORARRAY($DY$3))))),1,1))</f>
        <v>#REF!</v>
      </c>
      <c r="EL3" t="e" cm="1">
        <f t="array" aca="1" ref="EL3" ca="1">IF(COUNTA(_xlfn.ANCHORARRAY($EA$3))+COUNTA(_xlfn.ANCHORARRAY($EB$3))=0,"",_xlfn._xlws.SORT(_xlfn.UNIQUE(IF(ROW(INDIRECT("1:"&amp;(COUNTA(_xlfn.ANCHORARRAY($EA$3))+COUNTA(_xlfn.ANCHORARRAY($EB$3)))))&lt;=COUNTA(_xlfn.ANCHORARRAY($EA$3)),INDEX(_xlfn.ANCHORARRAY($EA$3),ROW(INDIRECT("1:"&amp;(COUNTA(_xlfn.ANCHORARRAY($EA$3))+COUNTA(_xlfn.ANCHORARRAY($EB$3)))))),INDEX(_xlfn.ANCHORARRAY($EB$3),ROW(INDIRECT("1:"&amp;(COUNTA(_xlfn.ANCHORARRAY($EA$3))+COUNTA(_xlfn.ANCHORARRAY($EB$3)))))-COUNTA(_xlfn.ANCHORARRAY($EA$3))))),1,1))</f>
        <v>#REF!</v>
      </c>
      <c r="EM3" t="e" cm="1">
        <f t="array" aca="1" ref="EM3" ca="1">IF(COUNTA(_xlfn.ANCHORARRAY($EC$3))+COUNTA(_xlfn.ANCHORARRAY($ED$3))=0,"",_xlfn._xlws.SORT(_xlfn.UNIQUE(IF(ROW(INDIRECT("1:"&amp;(COUNTA(_xlfn.ANCHORARRAY($EC$3))+COUNTA(_xlfn.ANCHORARRAY($ED$3)))))&lt;=COUNTA(_xlfn.ANCHORARRAY($EC$3)),INDEX(_xlfn.ANCHORARRAY($EC$3),ROW(INDIRECT("1:"&amp;(COUNTA(_xlfn.ANCHORARRAY($EC$3))+COUNTA(_xlfn.ANCHORARRAY($ED$3)))))),INDEX(_xlfn.ANCHORARRAY($ED$3),ROW(INDIRECT("1:"&amp;(COUNTA(_xlfn.ANCHORARRAY($EC$3))+COUNTA(_xlfn.ANCHORARRAY($ED$3)))))-COUNTA(_xlfn.ANCHORARRAY($EC$3))))),1,1))</f>
        <v>#REF!</v>
      </c>
      <c r="EO3" t="str" cm="1">
        <f t="array" aca="1" ref="EO3:EO164" ca="1">IF(COUNTA(_xlfn.ANCHORARRAY($EF$3))+COUNTA(_xlfn.ANCHORARRAY($EG$3))=0,"",_xlfn._xlws.SORT(_xlfn.UNIQUE(IF(ROW(INDIRECT("1:"&amp;(COUNTA(_xlfn.ANCHORARRAY($EF$3))+COUNTA(_xlfn.ANCHORARRAY($EG$3)))))&lt;=COUNTA(_xlfn.ANCHORARRAY($EF$3)),INDEX(_xlfn.ANCHORARRAY($EF$3),ROW(INDIRECT("1:"&amp;(COUNTA(_xlfn.ANCHORARRAY($EF$3))+COUNTA(_xlfn.ANCHORARRAY($EG$3)))))),INDEX(_xlfn.ANCHORARRAY($EG$3),ROW(INDIRECT("1:"&amp;(COUNTA(_xlfn.ANCHORARRAY($EF$3))+COUNTA(_xlfn.ANCHORARRAY($EG$3)))))-COUNTA(_xlfn.ANCHORARRAY($EF$3))))),1,1))</f>
        <v>Aeon Chronicler</v>
      </c>
      <c r="EP3" t="str" cm="1">
        <f t="array" aca="1" ref="EP3:EP80" ca="1">IF(COUNTA(_xlfn.ANCHORARRAY($EH$3))+COUNTA(_xlfn.ANCHORARRAY($EI$3))=0,"",_xlfn._xlws.SORT(_xlfn.UNIQUE(IF(ROW(INDIRECT("1:"&amp;(COUNTA(_xlfn.ANCHORARRAY($EH$3))+COUNTA(_xlfn.ANCHORARRAY($EI$3)))))&lt;=COUNTA(_xlfn.ANCHORARRAY($EH$3)),INDEX(_xlfn.ANCHORARRAY($EH$3),ROW(INDIRECT("1:"&amp;(COUNTA(_xlfn.ANCHORARRAY($EH$3))+COUNTA(_xlfn.ANCHORARRAY($EI$3)))))),INDEX(_xlfn.ANCHORARRAY($EI$3),ROW(INDIRECT("1:"&amp;(COUNTA(_xlfn.ANCHORARRAY($EH$3))+COUNTA(_xlfn.ANCHORARRAY($EI$3)))))-COUNTA(_xlfn.ANCHORARRAY($EH$3))))),1,1))</f>
        <v>Aminatou, Veil Piercer</v>
      </c>
      <c r="EQ3" t="str" cm="1">
        <f t="array" aca="1" ref="EQ3:EQ12" ca="1">IF(COUNTA(_xlfn.ANCHORARRAY($EJ$3))+COUNTA(_xlfn.ANCHORARRAY($EK$3))=0,"",_xlfn._xlws.SORT(_xlfn.UNIQUE(IF(ROW(INDIRECT("1:"&amp;(COUNTA(_xlfn.ANCHORARRAY($EJ$3))+COUNTA(_xlfn.ANCHORARRAY($EK$3)))))&lt;=COUNTA(_xlfn.ANCHORARRAY($EJ$3)),INDEX(_xlfn.ANCHORARRAY($EJ$3),ROW(INDIRECT("1:"&amp;(COUNTA(_xlfn.ANCHORARRAY($EJ$3))+COUNTA(_xlfn.ANCHORARRAY($EK$3)))))),INDEX(_xlfn.ANCHORARRAY($EK$3),ROW(INDIRECT("1:"&amp;(COUNTA(_xlfn.ANCHORARRAY($EJ$3))+COUNTA(_xlfn.ANCHORARRAY($EK$3)))))-COUNTA(_xlfn.ANCHORARRAY($EJ$3))))),1,1))</f>
        <v>Barkform Harvester</v>
      </c>
      <c r="ER3" t="e" cm="1">
        <f t="array" aca="1" ref="ER3" ca="1">IF(COUNTA(_xlfn.ANCHORARRAY($EL$3))+COUNTA(_xlfn.ANCHORARRAY($EM$3))=0,"",_xlfn._xlws.SORT(_xlfn.UNIQUE(IF(ROW(INDIRECT("1:"&amp;(COUNTA(_xlfn.ANCHORARRAY($EL$3))+COUNTA(_xlfn.ANCHORARRAY($EM$3)))))&lt;=COUNTA(_xlfn.ANCHORARRAY($EL$3)),INDEX(_xlfn.ANCHORARRAY($EL$3),ROW(INDIRECT("1:"&amp;(COUNTA(_xlfn.ANCHORARRAY($EL$3))+COUNTA(_xlfn.ANCHORARRAY($EM$3)))))),INDEX(_xlfn.ANCHORARRAY($EM$3),ROW(INDIRECT("1:"&amp;(COUNTA(_xlfn.ANCHORARRAY($EL$3))+COUNTA(_xlfn.ANCHORARRAY($EM$3)))))-COUNTA(_xlfn.ANCHORARRAY($EL$3))))),1,1))</f>
        <v>#REF!</v>
      </c>
      <c r="ET3" t="str" cm="1">
        <f t="array" aca="1" ref="ET3:ET234" ca="1">IF(COUNTA(_xlfn.ANCHORARRAY($EO$3))+COUNTA(_xlfn.ANCHORARRAY($EP$3))=0,"",_xlfn._xlws.SORT(_xlfn.UNIQUE(IF(ROW(INDIRECT("1:"&amp;(COUNTA(_xlfn.ANCHORARRAY($EO$3))+COUNTA(_xlfn.ANCHORARRAY($EP$3)))))&lt;=COUNTA(_xlfn.ANCHORARRAY($EO$3)),INDEX(_xlfn.ANCHORARRAY($EO$3),ROW(INDIRECT("1:"&amp;(COUNTA(_xlfn.ANCHORARRAY($EO$3))+COUNTA(_xlfn.ANCHORARRAY($EP$3)))))),INDEX(_xlfn.ANCHORARRAY($EP$3),ROW(INDIRECT("1:"&amp;(COUNTA(_xlfn.ANCHORARRAY($EO$3))+COUNTA(_xlfn.ANCHORARRAY($EP$3)))))-COUNTA(_xlfn.ANCHORARRAY($EO$3))))),1,1))</f>
        <v>Aeon Chronicler</v>
      </c>
      <c r="EU3" t="str" cm="1">
        <f t="array" aca="1" ref="EU3:EU12" ca="1">IF(COUNTA(_xlfn.ANCHORARRAY($EQ$3))+COUNTA(_xlfn.ANCHORARRAY($ER$3))=0,"",_xlfn._xlws.SORT(_xlfn.UNIQUE(IF(ROW(INDIRECT("1:"&amp;(COUNTA(_xlfn.ANCHORARRAY($EQ$3))+COUNTA(_xlfn.ANCHORARRAY($ER$3)))))&lt;=COUNTA(_xlfn.ANCHORARRAY($EQ$3)),INDEX(_xlfn.ANCHORARRAY($EQ$3),ROW(INDIRECT("1:"&amp;(COUNTA(_xlfn.ANCHORARRAY($EQ$3))+COUNTA(_xlfn.ANCHORARRAY($ER$3)))))),INDEX(_xlfn.ANCHORARRAY($ER$3),ROW(INDIRECT("1:"&amp;(COUNTA(_xlfn.ANCHORARRAY($EQ$3))+COUNTA(_xlfn.ANCHORARRAY($ER$3)))))-COUNTA(_xlfn.ANCHORARRAY($EQ$3))))),1,1))</f>
        <v>Barkform Harvester</v>
      </c>
      <c r="EW3" t="str" cm="1">
        <f t="array" aca="1" ref="EW3:EW242" ca="1">IF(COUNTA(_xlfn.ANCHORARRAY($ET$3))+COUNTA(_xlfn.ANCHORARRAY($EU$3))=0,"",_xlfn._xlws.SORT(_xlfn.UNIQUE(IF(ROW(INDIRECT("1:"&amp;(COUNTA(_xlfn.ANCHORARRAY($ET$3))+COUNTA(_xlfn.ANCHORARRAY($EU$3)))))&lt;=COUNTA(_xlfn.ANCHORARRAY($ET$3)),INDEX(_xlfn.ANCHORARRAY($ET$3),ROW(INDIRECT("1:"&amp;(COUNTA(_xlfn.ANCHORARRAY($ET$3))+COUNTA(_xlfn.ANCHORARRAY($EU$3)))))),INDEX(_xlfn.ANCHORARRAY($EU$3),ROW(INDIRECT("1:"&amp;(COUNTA(_xlfn.ANCHORARRAY($ET$3))+COUNTA(_xlfn.ANCHORARRAY($EU$3)))))-COUNTA(_xlfn.ANCHORARRAY($ET$3))))),1,1))</f>
        <v>Aeon Chronicler</v>
      </c>
    </row>
    <row r="4" spans="1:153" x14ac:dyDescent="0.25">
      <c r="A4" t="str">
        <f ca="1"/>
        <v>Abrupt Decay</v>
      </c>
      <c r="B4" s="2" t="str" cm="1">
        <f t="array" aca="1" ref="B4" ca="1">_xlfn.ANCHORARRAY(RESUMO!C3)</f>
        <v>4cRash</v>
      </c>
      <c r="C4" s="2" t="str">
        <f t="shared" ca="1" si="0"/>
        <v/>
      </c>
      <c r="E4" t="str">
        <f ca="1"/>
        <v>Aether Adept</v>
      </c>
      <c r="F4" s="2">
        <f t="shared" ref="F4:F67" ca="1" si="3">COUNTIF(U:CF,E4)+COUNTIF(K:K,E4)</f>
        <v>1</v>
      </c>
      <c r="G4" s="2" t="str">
        <f t="shared" ca="1" si="1"/>
        <v>Inalla</v>
      </c>
      <c r="I4" s="18"/>
      <c r="J4" t="s">
        <v>180</v>
      </c>
      <c r="K4" s="2">
        <v>1</v>
      </c>
      <c r="M4" t="str">
        <f ca="1"/>
        <v>Aether Adept</v>
      </c>
      <c r="N4" s="2">
        <f t="shared" ca="1" si="2"/>
        <v>1</v>
      </c>
      <c r="O4" s="2" t="str">
        <f ca="1">IFERROR(
 INDEX($U$2:$AX$2,
  MATCH(TRUE,
   CHOOSE({1;2;3;4;5;6;7;8;9;10;11;12;13;14;15;16;17;18;19;20;21;22;23;24;25;26;27;28;29;30;31;32},
    COUNTIFS($U$3:$U$201,$M4)&gt;0,
    COUNTIFS($V$3:$V$201,$M4)&gt;0,
    COUNTIFS($W$3:$W$201,$M4)&gt;0,
    COUNTIFS($X$3:$X$201,$M4)&gt;0,
    COUNTIFS($Y$3:$Y$201,$M4)&gt;0,
    COUNTIFS($Z$3:$Z$201,$M4)&gt;0,
    COUNTIFS($AA$3:$AA$201,$M4)&gt;0,
    COUNTIFS($AB$3:$AB$201,$M4)&gt;0,
    COUNTIFS($AC$3:$AC$201,$M4)&gt;0,
    COUNTIFS($AD$3:$AD$201,$M4)&gt;0,
    COUNTIFS($AE$3:$AE$201,$M4)&gt;0,
    COUNTIFS($AF$3:$AF$201,$M4)&gt;0,
    COUNTIFS($AG$3:$AG$201,$M4)&gt;0,
    COUNTIFS($AH$3:$AH$201,$M4)&gt;0,
    COUNTIFS($AI$3:$AI$201,$M4)&gt;0,
    COUNTIFS($AJ$3:$AJ$201,$M4)&gt;0,
    COUNTIFS($AK$3:$AK$201,$M4)&gt;0,
    COUNTIFS($AL$3:$AL$201,$M4)&gt;0,
    COUNTIFS($AM$3:$AM$201,$M4)&gt;0,
    COUNTIFS($AN$3:$AN$201,$M4)&gt;0,
    COUNTIFS($AO$3:$AO$201,$M4)&gt;0,
    COUNTIFS($AP$3:$AP$201,$M4)&gt;0,
    COUNTIFS($AQ$3:$AQ$201,$M4)&gt;0,
    COUNTIFS($AR$3:$AR$201,$M4)&gt;0,
    COUNTIFS($AS$3:$AS$201,$M4)&gt;0,
    COUNTIFS($AT$3:$AT$201,$M4)&gt;0,
    COUNTIFS($AU$3:$AU$201,$M4)&gt;0,
    COUNTIFS($AV$3:$AV$201,$M4)&gt;0,
    COUNTIFS($AW$3:$AW$201,$M4)&gt;0,
    COUNTIFS($AX$3:$AX$201,$M4)&gt;0
   ),
  0)
 ),
"")</f>
        <v>Inalla</v>
      </c>
      <c r="P4" s="2" t="str" cm="1">
        <f t="array" aca="1" ref="P4" ca="1">IFERROR(
 INDEX(
  _xlfn._xlws.FILTER($U$2:$AX$2,
   TRANSPOSE(
    CHOOSE({1;2;3;4;5;6;7;8;9;10;11;12;13;14;15;16;17;18;19;20;21;22;23;24;25;26;27;28;29;30},
     COUNTIFS($U$3:$U$201,$M4)&gt;0,
     COUNTIFS($V$3:$V$201,$M4)&gt;0,
     COUNTIFS($W$3:$W$201,$M4)&gt;0,
     COUNTIFS($X$3:$X$201,$M4)&gt;0,
     COUNTIFS($Y$3:$Y$201,$M4)&gt;0,
     COUNTIFS($Z$3:$Z$201,$M4)&gt;0,
     COUNTIFS($AA$3:$AA$201,$M4)&gt;0,
     COUNTIFS($AB$3:$AB$201,$M4)&gt;0,
     COUNTIFS($AC$3:$AC$201,$M4)&gt;0,
     COUNTIFS($AD$3:$AD$201,$M4)&gt;0,
     COUNTIFS($AE$3:$AE$201,$M4)&gt;0,
     COUNTIFS($AF$3:$AF$201,$M4)&gt;0,
     COUNTIFS($AG$3:$AG$201,$M4)&gt;0,
     COUNTIFS($AH$3:$AH$201,$M4)&gt;0,
     COUNTIFS($AI$3:$AI$201,$M4)&gt;0,
     COUNTIFS($AJ$3:$AJ$201,$M4)&gt;0,
     COUNTIFS($AK$3:$AK$201,$M4)&gt;0,
     COUNTIFS($AL$3:$AL$201,$M4)&gt;0,
     COUNTIFS($AM$3:$AM$201,$M4)&gt;0,
     COUNTIFS($AN$3:$AN$201,$M4)&gt;0,
     COUNTIFS($AO$3:$AO$201,$M4)&gt;0,
     COUNTIFS($AP$3:$AP$201,$M4)&gt;0,
     COUNTIFS($AQ$3:$AQ$201,$M4)&gt;0,
     COUNTIFS($AR$3:$AR$201,$M4)&gt;0,
     COUNTIFS($AS$3:$AS$201,$M4)&gt;0,
     COUNTIFS($AT$3:$AT$201,$M4)&gt;0,
     COUNTIFS($AU$3:$AU$201,$M4)&gt;0,
     COUNTIFS($AV$3:$AV$201,$M4)&gt;0,
     COUNTIFS($AW$3:$AW$201,$M4)&gt;0,
     COUNTIFS($AX$3:$AX$201,$M4)&gt;0
   )),
  ),
  2
 ),
"")</f>
        <v/>
      </c>
      <c r="Q4" s="2" t="str" cm="1">
        <f t="array" aca="1" ref="Q4" ca="1">IFERROR(
 INDEX(
  _xlfn._xlws.FILTER($U$2:$AX$2,
   TRANSPOSE(
    CHOOSE({1;2;3;4;5;6;7;8;9;10;11;12;13;14;15;16;17;18;19;20;21;22;23;24;25;26;27;28;29;30},
     COUNTIFS($U$3:$U$201,$M4)&gt;0,
     COUNTIFS($V$3:$V$201,$M4)&gt;0,
     COUNTIFS($W$3:$W$201,$M4)&gt;0,
     COUNTIFS($X$3:$X$201,$M4)&gt;0,
     COUNTIFS($Y$3:$Y$201,$M4)&gt;0,
     COUNTIFS($Z$3:$Z$201,$M4)&gt;0,
     COUNTIFS($AA$3:$AA$201,$M4)&gt;0,
     COUNTIFS($AB$3:$AB$201,$M4)&gt;0,
     COUNTIFS($AC$3:$AC$201,$M4)&gt;0,
     COUNTIFS($AD$3:$AD$201,$M4)&gt;0,
     COUNTIFS($AE$3:$AE$201,$M4)&gt;0,
     COUNTIFS($AF$3:$AF$201,$M4)&gt;0,
     COUNTIFS($AG$3:$AG$201,$M4)&gt;0,
     COUNTIFS($AH$3:$AH$201,$M4)&gt;0,
     COUNTIFS($AI$3:$AI$201,$M4)&gt;0,
     COUNTIFS($AJ$3:$AJ$201,$M4)&gt;0,
     COUNTIFS($AK$3:$AK$201,$M4)&gt;0,
     COUNTIFS($AL$3:$AL$201,$M4)&gt;0,
     COUNTIFS($AM$3:$AM$201,$M4)&gt;0,
     COUNTIFS($AN$3:$AN$201,$M4)&gt;0,
     COUNTIFS($AO$3:$AO$201,$M4)&gt;0,
     COUNTIFS($AP$3:$AP$201,$M4)&gt;0,
     COUNTIFS($AQ$3:$AQ$201,$M4)&gt;0,
     COUNTIFS($AR$3:$AR$201,$M4)&gt;0,
     COUNTIFS($AS$3:$AS$201,$M4)&gt;0,
     COUNTIFS($AT$3:$AT$201,$M4)&gt;0,
     COUNTIFS($AU$3:$AU$201,$M4)&gt;0,
     COUNTIFS($AV$3:$AV$201,$M4)&gt;0,
     COUNTIFS($AW$3:$AW$201,$M4)&gt;0,
     COUNTIFS($AX$3:$AX$201,$M4)&gt;0
   )),
  ),
  3
 ),
"")</f>
        <v/>
      </c>
      <c r="U4" t="str">
        <v>Dire Fleet Poisoner</v>
      </c>
      <c r="V4" t="str">
        <v>Elesh Norn</v>
      </c>
      <c r="W4" t="str">
        <v>Crashing Drawbridge</v>
      </c>
      <c r="X4" t="str">
        <v>Cemetery Tampering</v>
      </c>
      <c r="Y4" t="str">
        <v>Gavony Dawnguard</v>
      </c>
      <c r="Z4" t="str">
        <v>Dreadship Reef</v>
      </c>
      <c r="AA4" t="str">
        <v>Decanter of Endless Water</v>
      </c>
      <c r="AB4" t="str">
        <v>Harrow</v>
      </c>
      <c r="AC4" t="str">
        <v>Deep-Sea Kraken</v>
      </c>
      <c r="AD4" t="str">
        <v>Crawling Infestation</v>
      </c>
      <c r="AE4" t="str">
        <v>Duplicant</v>
      </c>
      <c r="AF4" t="str">
        <v>Dissipation Field</v>
      </c>
      <c r="AG4" t="str">
        <v>Eaten Alive</v>
      </c>
      <c r="AH4" t="str">
        <v>Chromatic Lantern</v>
      </c>
      <c r="AI4" t="str">
        <v>Danitha Capashen, Paragon</v>
      </c>
      <c r="AJ4" t="str">
        <v>Chaos Warp</v>
      </c>
      <c r="AK4" t="str">
        <v>Sarinth Greatwurm</v>
      </c>
      <c r="AL4" t="str">
        <v>Island</v>
      </c>
      <c r="AM4" t="str">
        <v>Ilha</v>
      </c>
      <c r="AO4" t="str">
        <v>Island</v>
      </c>
      <c r="AP4" t="str">
        <v>Dramatical Reversal</v>
      </c>
      <c r="AQ4" t="str">
        <v>Brawn</v>
      </c>
      <c r="AR4" t="str">
        <v>Fundição dos Cônsules</v>
      </c>
      <c r="AS4" t="str">
        <v>Commissar Severina Raine</v>
      </c>
      <c r="AT4" t="str">
        <v>Dispeller's Capsule</v>
      </c>
      <c r="AU4" t="str">
        <v>Forest</v>
      </c>
      <c r="AX4" t="str">
        <v>Earth Kingdom General</v>
      </c>
      <c r="BH4" t="str">
        <v>Brazen Cannonade</v>
      </c>
      <c r="CH4" t="str">
        <f ca="1"/>
        <v>Chatterstorm</v>
      </c>
      <c r="CI4" t="str">
        <f ca="1"/>
        <v>Antecipar</v>
      </c>
      <c r="CJ4" t="str">
        <f ca="1"/>
        <v>Coronation of Chaos</v>
      </c>
      <c r="CK4" t="str">
        <f ca="1"/>
        <v>Decanter of Endless Water</v>
      </c>
      <c r="CL4" t="str">
        <f ca="1"/>
        <v>Buried Alive</v>
      </c>
      <c r="CM4" t="str">
        <f ca="1"/>
        <v>Bruma Etérea</v>
      </c>
      <c r="CN4" t="str">
        <f ca="1"/>
        <v>Chromatic Lantern</v>
      </c>
      <c r="CO4" t="str">
        <f ca="1"/>
        <v>Barbed Spike</v>
      </c>
      <c r="CP4" t="str">
        <f ca="1"/>
        <v>Evolving Wilds</v>
      </c>
      <c r="CQ4" t="str">
        <f ca="1"/>
        <v>Ilha</v>
      </c>
      <c r="CR4" t="str">
        <f ca="1"/>
        <v>Dramatical Reversal</v>
      </c>
      <c r="CS4" t="str">
        <f ca="1"/>
        <v>Brawn</v>
      </c>
      <c r="CT4" t="str">
        <f ca="1"/>
        <v>Angelic Renewal</v>
      </c>
      <c r="CU4" t="str">
        <f ca="1"/>
        <v>Forest</v>
      </c>
      <c r="CV4" t="str">
        <f ca="1"/>
        <v>Earth Kingdom General</v>
      </c>
      <c r="CY4" t="e" vm="2">
        <f ca="1"/>
        <v>#VALUE!</v>
      </c>
      <c r="DA4" t="str">
        <f ca="1"/>
        <v>Brazen Cannonade</v>
      </c>
      <c r="DO4" t="str">
        <f ca="1"/>
        <v>Antecipar</v>
      </c>
      <c r="DP4" t="str">
        <f ca="1"/>
        <v>Campo Contaminado</v>
      </c>
      <c r="DQ4" t="str">
        <f ca="1"/>
        <v>Blinkmoth Urn</v>
      </c>
      <c r="DR4" t="str">
        <f ca="1"/>
        <v>Bant Charm</v>
      </c>
      <c r="DS4" t="str">
        <f ca="1"/>
        <v>Consecrated Sphinx</v>
      </c>
      <c r="DT4" t="str">
        <f ca="1"/>
        <v>Blink of an Eye</v>
      </c>
      <c r="DU4" t="str">
        <f ca="1"/>
        <v>Angelic Renewal</v>
      </c>
      <c r="DV4" t="str">
        <f ca="1"/>
        <v>Earth Kingdom General</v>
      </c>
      <c r="DW4" t="e" vm="2">
        <f ca="1"/>
        <v>#VALUE!</v>
      </c>
      <c r="DX4" t="str">
        <f ca="1"/>
        <v>Brazen Cannonade</v>
      </c>
      <c r="EF4" t="str">
        <f ca="1"/>
        <v>Antecipar</v>
      </c>
      <c r="EG4" t="str">
        <f ca="1"/>
        <v>Aether Adept</v>
      </c>
      <c r="EH4" t="str">
        <f ca="1"/>
        <v>Arcbond</v>
      </c>
      <c r="EI4" t="str">
        <f ca="1"/>
        <v>Angelic Renewal</v>
      </c>
      <c r="EJ4" t="str">
        <f ca="1"/>
        <v>Brazen Cannonade</v>
      </c>
      <c r="EO4" t="str">
        <f ca="1"/>
        <v>Aether Adept</v>
      </c>
      <c r="EP4" t="str">
        <f ca="1"/>
        <v>Anciã de Toca das Fadas</v>
      </c>
      <c r="EQ4" t="str">
        <f ca="1"/>
        <v>Brazen Cannonade</v>
      </c>
      <c r="ET4" t="str">
        <f ca="1"/>
        <v>Aether Adept</v>
      </c>
      <c r="EU4" t="str">
        <f ca="1"/>
        <v>Brazen Cannonade</v>
      </c>
      <c r="EW4" t="str">
        <f ca="1"/>
        <v>Aether Adept</v>
      </c>
    </row>
    <row r="5" spans="1:153" x14ac:dyDescent="0.25">
      <c r="A5" t="str">
        <f ca="1"/>
        <v>Abundant Countryside</v>
      </c>
      <c r="B5" s="2" t="str" cm="1">
        <f t="array" aca="1" ref="B5" ca="1">_xlfn.ANCHORARRAY(RESUMO!C4)</f>
        <v>Fractius</v>
      </c>
      <c r="C5" s="2" t="str">
        <f t="shared" ca="1" si="0"/>
        <v/>
      </c>
      <c r="E5" t="str">
        <f ca="1"/>
        <v>Aminatou, Veil Piercer</v>
      </c>
      <c r="F5" s="2">
        <f t="shared" ca="1" si="3"/>
        <v>1</v>
      </c>
      <c r="G5" s="2" t="str">
        <f t="shared" ca="1" si="1"/>
        <v>Alela</v>
      </c>
      <c r="I5" s="18"/>
      <c r="J5" t="s">
        <v>180</v>
      </c>
      <c r="K5" s="2">
        <v>1</v>
      </c>
      <c r="M5" t="str">
        <f ca="1"/>
        <v>Aminatou, Veil Piercer</v>
      </c>
      <c r="N5" s="2">
        <f t="shared" ca="1" si="2"/>
        <v>1</v>
      </c>
      <c r="O5" s="2" t="str">
        <f ca="1">IFERROR(
 INDEX($U$2:$AX$2,
  MATCH(TRUE,
   CHOOSE({1;2;3;4;5;6;7;8;9;10;11;12;13;14;15;16;17;18;19;20;21;22;23;24;25;26;27;28;29;30;31;32},
    COUNTIFS($U$3:$U$201,$M5)&gt;0,
    COUNTIFS($V$3:$V$201,$M5)&gt;0,
    COUNTIFS($W$3:$W$201,$M5)&gt;0,
    COUNTIFS($X$3:$X$201,$M5)&gt;0,
    COUNTIFS($Y$3:$Y$201,$M5)&gt;0,
    COUNTIFS($Z$3:$Z$201,$M5)&gt;0,
    COUNTIFS($AA$3:$AA$201,$M5)&gt;0,
    COUNTIFS($AB$3:$AB$201,$M5)&gt;0,
    COUNTIFS($AC$3:$AC$201,$M5)&gt;0,
    COUNTIFS($AD$3:$AD$201,$M5)&gt;0,
    COUNTIFS($AE$3:$AE$201,$M5)&gt;0,
    COUNTIFS($AF$3:$AF$201,$M5)&gt;0,
    COUNTIFS($AG$3:$AG$201,$M5)&gt;0,
    COUNTIFS($AH$3:$AH$201,$M5)&gt;0,
    COUNTIFS($AI$3:$AI$201,$M5)&gt;0,
    COUNTIFS($AJ$3:$AJ$201,$M5)&gt;0,
    COUNTIFS($AK$3:$AK$201,$M5)&gt;0,
    COUNTIFS($AL$3:$AL$201,$M5)&gt;0,
    COUNTIFS($AM$3:$AM$201,$M5)&gt;0,
    COUNTIFS($AN$3:$AN$201,$M5)&gt;0,
    COUNTIFS($AO$3:$AO$201,$M5)&gt;0,
    COUNTIFS($AP$3:$AP$201,$M5)&gt;0,
    COUNTIFS($AQ$3:$AQ$201,$M5)&gt;0,
    COUNTIFS($AR$3:$AR$201,$M5)&gt;0,
    COUNTIFS($AS$3:$AS$201,$M5)&gt;0,
    COUNTIFS($AT$3:$AT$201,$M5)&gt;0,
    COUNTIFS($AU$3:$AU$201,$M5)&gt;0,
    COUNTIFS($AV$3:$AV$201,$M5)&gt;0,
    COUNTIFS($AW$3:$AW$201,$M5)&gt;0,
    COUNTIFS($AX$3:$AX$201,$M5)&gt;0
   ),
  0)
 ),
"")</f>
        <v>Alela</v>
      </c>
      <c r="P5" s="2" t="str" cm="1">
        <f t="array" aca="1" ref="P5" ca="1">IFERROR(
 INDEX(
  _xlfn._xlws.FILTER($U$2:$AX$2,
   TRANSPOSE(
    CHOOSE({1;2;3;4;5;6;7;8;9;10;11;12;13;14;15;16;17;18;19;20;21;22;23;24;25;26;27;28;29;30},
     COUNTIFS($U$3:$U$201,$M5)&gt;0,
     COUNTIFS($V$3:$V$201,$M5)&gt;0,
     COUNTIFS($W$3:$W$201,$M5)&gt;0,
     COUNTIFS($X$3:$X$201,$M5)&gt;0,
     COUNTIFS($Y$3:$Y$201,$M5)&gt;0,
     COUNTIFS($Z$3:$Z$201,$M5)&gt;0,
     COUNTIFS($AA$3:$AA$201,$M5)&gt;0,
     COUNTIFS($AB$3:$AB$201,$M5)&gt;0,
     COUNTIFS($AC$3:$AC$201,$M5)&gt;0,
     COUNTIFS($AD$3:$AD$201,$M5)&gt;0,
     COUNTIFS($AE$3:$AE$201,$M5)&gt;0,
     COUNTIFS($AF$3:$AF$201,$M5)&gt;0,
     COUNTIFS($AG$3:$AG$201,$M5)&gt;0,
     COUNTIFS($AH$3:$AH$201,$M5)&gt;0,
     COUNTIFS($AI$3:$AI$201,$M5)&gt;0,
     COUNTIFS($AJ$3:$AJ$201,$M5)&gt;0,
     COUNTIFS($AK$3:$AK$201,$M5)&gt;0,
     COUNTIFS($AL$3:$AL$201,$M5)&gt;0,
     COUNTIFS($AM$3:$AM$201,$M5)&gt;0,
     COUNTIFS($AN$3:$AN$201,$M5)&gt;0,
     COUNTIFS($AO$3:$AO$201,$M5)&gt;0,
     COUNTIFS($AP$3:$AP$201,$M5)&gt;0,
     COUNTIFS($AQ$3:$AQ$201,$M5)&gt;0,
     COUNTIFS($AR$3:$AR$201,$M5)&gt;0,
     COUNTIFS($AS$3:$AS$201,$M5)&gt;0,
     COUNTIFS($AT$3:$AT$201,$M5)&gt;0,
     COUNTIFS($AU$3:$AU$201,$M5)&gt;0,
     COUNTIFS($AV$3:$AV$201,$M5)&gt;0,
     COUNTIFS($AW$3:$AW$201,$M5)&gt;0,
     COUNTIFS($AX$3:$AX$201,$M5)&gt;0
   )),
  ),
  2
 ),
"")</f>
        <v/>
      </c>
      <c r="Q5" s="2" t="str" cm="1">
        <f t="array" aca="1" ref="Q5" ca="1">IFERROR(
 INDEX(
  _xlfn._xlws.FILTER($U$2:$AX$2,
   TRANSPOSE(
    CHOOSE({1;2;3;4;5;6;7;8;9;10;11;12;13;14;15;16;17;18;19;20;21;22;23;24;25;26;27;28;29;30},
     COUNTIFS($U$3:$U$201,$M5)&gt;0,
     COUNTIFS($V$3:$V$201,$M5)&gt;0,
     COUNTIFS($W$3:$W$201,$M5)&gt;0,
     COUNTIFS($X$3:$X$201,$M5)&gt;0,
     COUNTIFS($Y$3:$Y$201,$M5)&gt;0,
     COUNTIFS($Z$3:$Z$201,$M5)&gt;0,
     COUNTIFS($AA$3:$AA$201,$M5)&gt;0,
     COUNTIFS($AB$3:$AB$201,$M5)&gt;0,
     COUNTIFS($AC$3:$AC$201,$M5)&gt;0,
     COUNTIFS($AD$3:$AD$201,$M5)&gt;0,
     COUNTIFS($AE$3:$AE$201,$M5)&gt;0,
     COUNTIFS($AF$3:$AF$201,$M5)&gt;0,
     COUNTIFS($AG$3:$AG$201,$M5)&gt;0,
     COUNTIFS($AH$3:$AH$201,$M5)&gt;0,
     COUNTIFS($AI$3:$AI$201,$M5)&gt;0,
     COUNTIFS($AJ$3:$AJ$201,$M5)&gt;0,
     COUNTIFS($AK$3:$AK$201,$M5)&gt;0,
     COUNTIFS($AL$3:$AL$201,$M5)&gt;0,
     COUNTIFS($AM$3:$AM$201,$M5)&gt;0,
     COUNTIFS($AN$3:$AN$201,$M5)&gt;0,
     COUNTIFS($AO$3:$AO$201,$M5)&gt;0,
     COUNTIFS($AP$3:$AP$201,$M5)&gt;0,
     COUNTIFS($AQ$3:$AQ$201,$M5)&gt;0,
     COUNTIFS($AR$3:$AR$201,$M5)&gt;0,
     COUNTIFS($AS$3:$AS$201,$M5)&gt;0,
     COUNTIFS($AT$3:$AT$201,$M5)&gt;0,
     COUNTIFS($AU$3:$AU$201,$M5)&gt;0,
     COUNTIFS($AV$3:$AV$201,$M5)&gt;0,
     COUNTIFS($AW$3:$AW$201,$M5)&gt;0,
     COUNTIFS($AX$3:$AX$201,$M5)&gt;0
   )),
  ),
  3
 ),
"")</f>
        <v/>
      </c>
      <c r="U5" t="str">
        <v>Island</v>
      </c>
      <c r="V5" t="str">
        <v>Evolving Wilds</v>
      </c>
      <c r="W5" t="str">
        <v>Cut your Losses</v>
      </c>
      <c r="X5" t="str">
        <v>Eternal Witness</v>
      </c>
      <c r="Y5" t="str">
        <v>High Priest of Penance</v>
      </c>
      <c r="Z5" t="str">
        <v>Emergency Zone</v>
      </c>
      <c r="AA5" t="str">
        <v>Deeprooot Wayfinder</v>
      </c>
      <c r="AB5" t="str">
        <v>Jolrael, Mwonvuli Recluse</v>
      </c>
      <c r="AC5" t="str">
        <v>Divergent Transformations</v>
      </c>
      <c r="AD5" t="str">
        <v>Forest</v>
      </c>
      <c r="AE5" t="str">
        <v>Island</v>
      </c>
      <c r="AF5" t="str">
        <v>Inspiring Refrain</v>
      </c>
      <c r="AG5" t="str">
        <v>Island</v>
      </c>
      <c r="AH5" t="str">
        <v>Drown in the Loch</v>
      </c>
      <c r="AI5" t="str">
        <v>Digsite Engineer</v>
      </c>
      <c r="AJ5" t="str">
        <v>Flux Channeler</v>
      </c>
      <c r="AL5" t="str">
        <v>Island</v>
      </c>
      <c r="AM5" t="str">
        <v>Ilha</v>
      </c>
      <c r="AO5" t="str">
        <v>Island</v>
      </c>
      <c r="AP5" t="str">
        <v>Island</v>
      </c>
      <c r="AQ5" t="str">
        <v>Caustic Caterpillar</v>
      </c>
      <c r="AR5" t="str">
        <v>Saheeli, Filigree Master</v>
      </c>
      <c r="AS5" t="str">
        <v>Elves of Deep Shadow</v>
      </c>
      <c r="AT5" t="str">
        <v>Divine Visitation</v>
      </c>
      <c r="AX5" t="str">
        <v>Evolving Wilds</v>
      </c>
      <c r="BH5" t="str">
        <v>Dragonhawk, Fate's Tempest</v>
      </c>
      <c r="CH5" t="str">
        <f ca="1"/>
        <v>Dire Fleet Poisoner</v>
      </c>
      <c r="CI5" t="str">
        <f ca="1"/>
        <v>Cemetery Tampering</v>
      </c>
      <c r="CJ5" t="str">
        <f ca="1"/>
        <v>Dreadship Reef</v>
      </c>
      <c r="CK5" t="str">
        <f ca="1"/>
        <v>Deeprooot Wayfinder</v>
      </c>
      <c r="CL5" t="str">
        <f ca="1"/>
        <v>Crawling Infestation</v>
      </c>
      <c r="CM5" t="str">
        <f ca="1"/>
        <v>Dissipation Field</v>
      </c>
      <c r="CN5" t="str">
        <f ca="1"/>
        <v>Death Rattle</v>
      </c>
      <c r="CO5" t="str">
        <f ca="1"/>
        <v>Chaos Warp</v>
      </c>
      <c r="CP5" t="str">
        <f ca="1"/>
        <v>Island</v>
      </c>
      <c r="CQ5" t="str">
        <f ca="1"/>
        <v>Nezahal, Primal Tide</v>
      </c>
      <c r="CR5" t="str">
        <f ca="1"/>
        <v>Island</v>
      </c>
      <c r="CS5" t="str">
        <f ca="1"/>
        <v>Caustic Caterpillar</v>
      </c>
      <c r="CT5" t="str">
        <f ca="1"/>
        <v>Commissar Severina Raine</v>
      </c>
      <c r="CU5" t="str">
        <f ca="1"/>
        <v>Mountain</v>
      </c>
      <c r="CV5" t="str">
        <f ca="1"/>
        <v>Evolving Wilds</v>
      </c>
      <c r="DA5" t="str">
        <f ca="1"/>
        <v>Dragonhawk, Fate's Tempest</v>
      </c>
      <c r="DO5" t="str">
        <f ca="1"/>
        <v>Captain Lannery Storm</v>
      </c>
      <c r="DP5" t="str">
        <f ca="1"/>
        <v>Coronation of Chaos</v>
      </c>
      <c r="DQ5" t="str">
        <f ca="1"/>
        <v>Bruma Etérea</v>
      </c>
      <c r="DR5" t="str">
        <f ca="1"/>
        <v>Barbed Spike</v>
      </c>
      <c r="DS5" t="str">
        <f ca="1"/>
        <v>Evolving Wilds</v>
      </c>
      <c r="DT5" t="str">
        <f ca="1"/>
        <v>Brawn</v>
      </c>
      <c r="DU5" t="str">
        <f ca="1"/>
        <v>Aura Shards</v>
      </c>
      <c r="DV5" t="str">
        <f ca="1"/>
        <v>Evolving Wilds</v>
      </c>
      <c r="DX5" t="str">
        <f ca="1"/>
        <v>Dragonhawk, Fate's Tempest</v>
      </c>
      <c r="EF5" t="str">
        <f ca="1"/>
        <v>Aquatic Incursion</v>
      </c>
      <c r="EG5" t="str">
        <f ca="1"/>
        <v>Bant Charm</v>
      </c>
      <c r="EH5" t="str">
        <f ca="1"/>
        <v>Blink of an Eye</v>
      </c>
      <c r="EI5" t="str">
        <f ca="1"/>
        <v>Aura Shards</v>
      </c>
      <c r="EJ5" t="str">
        <f ca="1"/>
        <v>Dragonhawk, Fate's Tempest</v>
      </c>
      <c r="EO5" t="str">
        <f ca="1"/>
        <v>Animate Dead</v>
      </c>
      <c r="EP5" t="str">
        <f ca="1"/>
        <v>Angelic Renewal</v>
      </c>
      <c r="EQ5" t="str">
        <f ca="1"/>
        <v>Dragonhawk, Fate's Tempest</v>
      </c>
      <c r="ET5" t="str">
        <f ca="1"/>
        <v>Aminatou, Veil Piercer</v>
      </c>
      <c r="EU5" t="str">
        <f ca="1"/>
        <v>Dragonhawk, Fate's Tempest</v>
      </c>
      <c r="EW5" t="str">
        <f ca="1"/>
        <v>Aminatou, Veil Piercer</v>
      </c>
    </row>
    <row r="6" spans="1:153" x14ac:dyDescent="0.25">
      <c r="A6" t="str">
        <f ca="1"/>
        <v>Access Tunnel</v>
      </c>
      <c r="B6" s="2" t="str" cm="1">
        <f t="array" aca="1" ref="B6" ca="1">_xlfn.ANCHORARRAY(RESUMO!C5)</f>
        <v>Rani</v>
      </c>
      <c r="C6" s="2" t="str">
        <f t="shared" ca="1" si="0"/>
        <v/>
      </c>
      <c r="E6" t="str">
        <f ca="1"/>
        <v>Anciã de Toca das Fadas</v>
      </c>
      <c r="F6" s="2">
        <f t="shared" ca="1" si="3"/>
        <v>1</v>
      </c>
      <c r="G6" s="2" t="str">
        <f t="shared" ca="1" si="1"/>
        <v>Thrakiri</v>
      </c>
      <c r="I6" s="18"/>
      <c r="J6" t="s">
        <v>180</v>
      </c>
      <c r="K6" s="2">
        <v>1</v>
      </c>
      <c r="M6" t="str">
        <f ca="1"/>
        <v>Anciã de Toca das Fadas</v>
      </c>
      <c r="N6" s="2">
        <f t="shared" ca="1" si="2"/>
        <v>1</v>
      </c>
      <c r="O6" s="2" t="str">
        <f ca="1">IFERROR(
 INDEX($U$2:$AX$2,
  MATCH(TRUE,
   CHOOSE({1;2;3;4;5;6;7;8;9;10;11;12;13;14;15;16;17;18;19;20;21;22;23;24;25;26;27;28;29;30;31;32},
    COUNTIFS($U$3:$U$201,$M6)&gt;0,
    COUNTIFS($V$3:$V$201,$M6)&gt;0,
    COUNTIFS($W$3:$W$201,$M6)&gt;0,
    COUNTIFS($X$3:$X$201,$M6)&gt;0,
    COUNTIFS($Y$3:$Y$201,$M6)&gt;0,
    COUNTIFS($Z$3:$Z$201,$M6)&gt;0,
    COUNTIFS($AA$3:$AA$201,$M6)&gt;0,
    COUNTIFS($AB$3:$AB$201,$M6)&gt;0,
    COUNTIFS($AC$3:$AC$201,$M6)&gt;0,
    COUNTIFS($AD$3:$AD$201,$M6)&gt;0,
    COUNTIFS($AE$3:$AE$201,$M6)&gt;0,
    COUNTIFS($AF$3:$AF$201,$M6)&gt;0,
    COUNTIFS($AG$3:$AG$201,$M6)&gt;0,
    COUNTIFS($AH$3:$AH$201,$M6)&gt;0,
    COUNTIFS($AI$3:$AI$201,$M6)&gt;0,
    COUNTIFS($AJ$3:$AJ$201,$M6)&gt;0,
    COUNTIFS($AK$3:$AK$201,$M6)&gt;0,
    COUNTIFS($AL$3:$AL$201,$M6)&gt;0,
    COUNTIFS($AM$3:$AM$201,$M6)&gt;0,
    COUNTIFS($AN$3:$AN$201,$M6)&gt;0,
    COUNTIFS($AO$3:$AO$201,$M6)&gt;0,
    COUNTIFS($AP$3:$AP$201,$M6)&gt;0,
    COUNTIFS($AQ$3:$AQ$201,$M6)&gt;0,
    COUNTIFS($AR$3:$AR$201,$M6)&gt;0,
    COUNTIFS($AS$3:$AS$201,$M6)&gt;0,
    COUNTIFS($AT$3:$AT$201,$M6)&gt;0,
    COUNTIFS($AU$3:$AU$201,$M6)&gt;0,
    COUNTIFS($AV$3:$AV$201,$M6)&gt;0,
    COUNTIFS($AW$3:$AW$201,$M6)&gt;0,
    COUNTIFS($AX$3:$AX$201,$M6)&gt;0
   ),
  0)
 ),
"")</f>
        <v>Thrakiri</v>
      </c>
      <c r="P6" s="2" t="str" cm="1">
        <f t="array" aca="1" ref="P6" ca="1">IFERROR(
 INDEX(
  _xlfn._xlws.FILTER($U$2:$AX$2,
   TRANSPOSE(
    CHOOSE({1;2;3;4;5;6;7;8;9;10;11;12;13;14;15;16;17;18;19;20;21;22;23;24;25;26;27;28;29;30},
     COUNTIFS($U$3:$U$201,$M6)&gt;0,
     COUNTIFS($V$3:$V$201,$M6)&gt;0,
     COUNTIFS($W$3:$W$201,$M6)&gt;0,
     COUNTIFS($X$3:$X$201,$M6)&gt;0,
     COUNTIFS($Y$3:$Y$201,$M6)&gt;0,
     COUNTIFS($Z$3:$Z$201,$M6)&gt;0,
     COUNTIFS($AA$3:$AA$201,$M6)&gt;0,
     COUNTIFS($AB$3:$AB$201,$M6)&gt;0,
     COUNTIFS($AC$3:$AC$201,$M6)&gt;0,
     COUNTIFS($AD$3:$AD$201,$M6)&gt;0,
     COUNTIFS($AE$3:$AE$201,$M6)&gt;0,
     COUNTIFS($AF$3:$AF$201,$M6)&gt;0,
     COUNTIFS($AG$3:$AG$201,$M6)&gt;0,
     COUNTIFS($AH$3:$AH$201,$M6)&gt;0,
     COUNTIFS($AI$3:$AI$201,$M6)&gt;0,
     COUNTIFS($AJ$3:$AJ$201,$M6)&gt;0,
     COUNTIFS($AK$3:$AK$201,$M6)&gt;0,
     COUNTIFS($AL$3:$AL$201,$M6)&gt;0,
     COUNTIFS($AM$3:$AM$201,$M6)&gt;0,
     COUNTIFS($AN$3:$AN$201,$M6)&gt;0,
     COUNTIFS($AO$3:$AO$201,$M6)&gt;0,
     COUNTIFS($AP$3:$AP$201,$M6)&gt;0,
     COUNTIFS($AQ$3:$AQ$201,$M6)&gt;0,
     COUNTIFS($AR$3:$AR$201,$M6)&gt;0,
     COUNTIFS($AS$3:$AS$201,$M6)&gt;0,
     COUNTIFS($AT$3:$AT$201,$M6)&gt;0,
     COUNTIFS($AU$3:$AU$201,$M6)&gt;0,
     COUNTIFS($AV$3:$AV$201,$M6)&gt;0,
     COUNTIFS($AW$3:$AW$201,$M6)&gt;0,
     COUNTIFS($AX$3:$AX$201,$M6)&gt;0
   )),
  ),
  2
 ),
"")</f>
        <v/>
      </c>
      <c r="Q6" s="2" t="str" cm="1">
        <f t="array" aca="1" ref="Q6" ca="1">IFERROR(
 INDEX(
  _xlfn._xlws.FILTER($U$2:$AX$2,
   TRANSPOSE(
    CHOOSE({1;2;3;4;5;6;7;8;9;10;11;12;13;14;15;16;17;18;19;20;21;22;23;24;25;26;27;28;29;30},
     COUNTIFS($U$3:$U$201,$M6)&gt;0,
     COUNTIFS($V$3:$V$201,$M6)&gt;0,
     COUNTIFS($W$3:$W$201,$M6)&gt;0,
     COUNTIFS($X$3:$X$201,$M6)&gt;0,
     COUNTIFS($Y$3:$Y$201,$M6)&gt;0,
     COUNTIFS($Z$3:$Z$201,$M6)&gt;0,
     COUNTIFS($AA$3:$AA$201,$M6)&gt;0,
     COUNTIFS($AB$3:$AB$201,$M6)&gt;0,
     COUNTIFS($AC$3:$AC$201,$M6)&gt;0,
     COUNTIFS($AD$3:$AD$201,$M6)&gt;0,
     COUNTIFS($AE$3:$AE$201,$M6)&gt;0,
     COUNTIFS($AF$3:$AF$201,$M6)&gt;0,
     COUNTIFS($AG$3:$AG$201,$M6)&gt;0,
     COUNTIFS($AH$3:$AH$201,$M6)&gt;0,
     COUNTIFS($AI$3:$AI$201,$M6)&gt;0,
     COUNTIFS($AJ$3:$AJ$201,$M6)&gt;0,
     COUNTIFS($AK$3:$AK$201,$M6)&gt;0,
     COUNTIFS($AL$3:$AL$201,$M6)&gt;0,
     COUNTIFS($AM$3:$AM$201,$M6)&gt;0,
     COUNTIFS($AN$3:$AN$201,$M6)&gt;0,
     COUNTIFS($AO$3:$AO$201,$M6)&gt;0,
     COUNTIFS($AP$3:$AP$201,$M6)&gt;0,
     COUNTIFS($AQ$3:$AQ$201,$M6)&gt;0,
     COUNTIFS($AR$3:$AR$201,$M6)&gt;0,
     COUNTIFS($AS$3:$AS$201,$M6)&gt;0,
     COUNTIFS($AT$3:$AT$201,$M6)&gt;0,
     COUNTIFS($AU$3:$AU$201,$M6)&gt;0,
     COUNTIFS($AV$3:$AV$201,$M6)&gt;0,
     COUNTIFS($AW$3:$AW$201,$M6)&gt;0,
     COUNTIFS($AX$3:$AX$201,$M6)&gt;0
   )),
  ),
  3
 ),
"")</f>
        <v/>
      </c>
      <c r="U6" t="str">
        <v>Mountain</v>
      </c>
      <c r="V6" t="str">
        <v>Goblin Bombardment</v>
      </c>
      <c r="W6" t="str">
        <v>Fraying Sanity</v>
      </c>
      <c r="X6" t="str">
        <v>Fiend Artisan</v>
      </c>
      <c r="Y6" t="str">
        <v>Immortal Servitude</v>
      </c>
      <c r="Z6" t="str">
        <v>Evolving Wilds</v>
      </c>
      <c r="AA6" t="str">
        <v>Forest</v>
      </c>
      <c r="AB6" t="str">
        <v>Muldrotha, the Gravetide</v>
      </c>
      <c r="AC6" t="str">
        <v>Fire Diamond</v>
      </c>
      <c r="AD6" t="str">
        <v>Forest</v>
      </c>
      <c r="AE6" t="str">
        <v>Island</v>
      </c>
      <c r="AF6" t="str">
        <v>Island</v>
      </c>
      <c r="AG6" t="str">
        <v>Island</v>
      </c>
      <c r="AH6" t="str">
        <v>Exclusion Mage</v>
      </c>
      <c r="AI6" t="str">
        <v>Fell the Mighty</v>
      </c>
      <c r="AJ6" t="str">
        <v>Kasmina, Enigma Sage</v>
      </c>
      <c r="AL6" t="str">
        <v>Kiora's Follower</v>
      </c>
      <c r="AM6" t="str">
        <v>Ilha</v>
      </c>
      <c r="AO6" t="str">
        <v>Nimble Obstructionist</v>
      </c>
      <c r="AP6" t="str">
        <v>Metallic Rebuke</v>
      </c>
      <c r="AQ6" t="str">
        <v>Dawntreader Elk</v>
      </c>
      <c r="AS6" t="str">
        <v>Inspiring Statuary</v>
      </c>
      <c r="AT6" t="str">
        <v>Plains</v>
      </c>
      <c r="AX6" t="str">
        <v>Forest</v>
      </c>
      <c r="BH6" t="str">
        <v>Fire Nation Attacks</v>
      </c>
      <c r="CH6" t="str">
        <f ca="1"/>
        <v>Elesh Norn</v>
      </c>
      <c r="CI6" t="str">
        <f ca="1"/>
        <v>Crashing Drawbridge</v>
      </c>
      <c r="CJ6" t="str">
        <f ca="1"/>
        <v>Emergency Zone</v>
      </c>
      <c r="CK6" t="str">
        <f ca="1"/>
        <v>Forest</v>
      </c>
      <c r="CL6" t="str">
        <f ca="1"/>
        <v>Deep-Sea Kraken</v>
      </c>
      <c r="CM6" t="str">
        <f ca="1"/>
        <v>Duplicant</v>
      </c>
      <c r="CN6" t="str">
        <f ca="1"/>
        <v>Drown in the Loch</v>
      </c>
      <c r="CO6" t="str">
        <f ca="1"/>
        <v>Danitha Capashen, Paragon</v>
      </c>
      <c r="CP6" t="str">
        <f ca="1"/>
        <v>Kiora's Follower</v>
      </c>
      <c r="CQ6" t="e" vm="2">
        <f ca="1"/>
        <v>#VALUE!</v>
      </c>
      <c r="CR6" t="str">
        <f ca="1"/>
        <v>Metallic Rebuke</v>
      </c>
      <c r="CS6" t="str">
        <f ca="1"/>
        <v>Dawntreader Elk</v>
      </c>
      <c r="CT6" t="str">
        <f ca="1"/>
        <v>Dispeller's Capsule</v>
      </c>
      <c r="CV6" t="str">
        <f ca="1"/>
        <v>Forest</v>
      </c>
      <c r="DA6" t="str">
        <f ca="1"/>
        <v>Fire Nation Attacks</v>
      </c>
      <c r="DO6" t="str">
        <f ca="1"/>
        <v>Cemetery Tampering</v>
      </c>
      <c r="DP6" t="str">
        <f ca="1"/>
        <v>Decanter of Endless Water</v>
      </c>
      <c r="DQ6" t="str">
        <f ca="1"/>
        <v>Buried Alive</v>
      </c>
      <c r="DR6" t="str">
        <f ca="1"/>
        <v>Chaos Warp</v>
      </c>
      <c r="DS6" t="str">
        <f ca="1"/>
        <v>Ilha</v>
      </c>
      <c r="DT6" t="str">
        <f ca="1"/>
        <v>Caustic Caterpillar</v>
      </c>
      <c r="DU6" t="str">
        <f ca="1"/>
        <v>Commissar Severina Raine</v>
      </c>
      <c r="DV6" t="str">
        <f ca="1"/>
        <v>Forest</v>
      </c>
      <c r="DX6" t="str">
        <f ca="1"/>
        <v>Fire Nation Attacks</v>
      </c>
      <c r="EF6" t="str">
        <f ca="1"/>
        <v>Campo Contaminado</v>
      </c>
      <c r="EG6" t="str">
        <f ca="1"/>
        <v>Barbed Spike</v>
      </c>
      <c r="EH6" t="str">
        <f ca="1"/>
        <v>Brawn</v>
      </c>
      <c r="EI6" t="str">
        <f ca="1"/>
        <v>Commissar Severina Raine</v>
      </c>
      <c r="EJ6" t="str">
        <f ca="1"/>
        <v>Fire Nation Attacks</v>
      </c>
      <c r="EO6" t="str">
        <f ca="1"/>
        <v>Antecipar</v>
      </c>
      <c r="EP6" t="str">
        <f ca="1"/>
        <v>Arcbond</v>
      </c>
      <c r="EQ6" t="str">
        <f ca="1"/>
        <v>Fire Nation Attacks</v>
      </c>
      <c r="ET6" t="str">
        <f ca="1"/>
        <v>Anciã de Toca das Fadas</v>
      </c>
      <c r="EU6" t="str">
        <f ca="1"/>
        <v>Fire Nation Attacks</v>
      </c>
      <c r="EW6" t="str">
        <f ca="1"/>
        <v>Anciã de Toca das Fadas</v>
      </c>
    </row>
    <row r="7" spans="1:153" x14ac:dyDescent="0.25">
      <c r="A7" t="str">
        <f ca="1"/>
        <v>Accursed Marauder</v>
      </c>
      <c r="B7" s="2" t="str" cm="1">
        <f t="array" aca="1" ref="B7" ca="1">_xlfn.ANCHORARRAY(RESUMO!C6)</f>
        <v>Kresh</v>
      </c>
      <c r="C7" s="2" t="str">
        <f t="shared" ca="1" si="0"/>
        <v/>
      </c>
      <c r="E7" t="str">
        <f ca="1"/>
        <v>Angelic Renewal</v>
      </c>
      <c r="F7" s="2">
        <f t="shared" ca="1" si="3"/>
        <v>1</v>
      </c>
      <c r="G7" s="2" t="str">
        <f t="shared" ca="1" si="1"/>
        <v>OWA</v>
      </c>
      <c r="I7" s="18"/>
      <c r="J7" t="s">
        <v>180</v>
      </c>
      <c r="K7" s="2">
        <v>1</v>
      </c>
      <c r="M7" t="str">
        <f ca="1"/>
        <v>Angelic Renewal</v>
      </c>
      <c r="N7" s="2">
        <f t="shared" ca="1" si="2"/>
        <v>1</v>
      </c>
      <c r="O7" s="2" t="str">
        <f ca="1">IFERROR(
 INDEX($U$2:$AX$2,
  MATCH(TRUE,
   CHOOSE({1;2;3;4;5;6;7;8;9;10;11;12;13;14;15;16;17;18;19;20;21;22;23;24;25;26;27;28;29;30;31;32},
    COUNTIFS($U$3:$U$201,$M7)&gt;0,
    COUNTIFS($V$3:$V$201,$M7)&gt;0,
    COUNTIFS($W$3:$W$201,$M7)&gt;0,
    COUNTIFS($X$3:$X$201,$M7)&gt;0,
    COUNTIFS($Y$3:$Y$201,$M7)&gt;0,
    COUNTIFS($Z$3:$Z$201,$M7)&gt;0,
    COUNTIFS($AA$3:$AA$201,$M7)&gt;0,
    COUNTIFS($AB$3:$AB$201,$M7)&gt;0,
    COUNTIFS($AC$3:$AC$201,$M7)&gt;0,
    COUNTIFS($AD$3:$AD$201,$M7)&gt;0,
    COUNTIFS($AE$3:$AE$201,$M7)&gt;0,
    COUNTIFS($AF$3:$AF$201,$M7)&gt;0,
    COUNTIFS($AG$3:$AG$201,$M7)&gt;0,
    COUNTIFS($AH$3:$AH$201,$M7)&gt;0,
    COUNTIFS($AI$3:$AI$201,$M7)&gt;0,
    COUNTIFS($AJ$3:$AJ$201,$M7)&gt;0,
    COUNTIFS($AK$3:$AK$201,$M7)&gt;0,
    COUNTIFS($AL$3:$AL$201,$M7)&gt;0,
    COUNTIFS($AM$3:$AM$201,$M7)&gt;0,
    COUNTIFS($AN$3:$AN$201,$M7)&gt;0,
    COUNTIFS($AO$3:$AO$201,$M7)&gt;0,
    COUNTIFS($AP$3:$AP$201,$M7)&gt;0,
    COUNTIFS($AQ$3:$AQ$201,$M7)&gt;0,
    COUNTIFS($AR$3:$AR$201,$M7)&gt;0,
    COUNTIFS($AS$3:$AS$201,$M7)&gt;0,
    COUNTIFS($AT$3:$AT$201,$M7)&gt;0,
    COUNTIFS($AU$3:$AU$201,$M7)&gt;0,
    COUNTIFS($AV$3:$AV$201,$M7)&gt;0,
    COUNTIFS($AW$3:$AW$201,$M7)&gt;0,
    COUNTIFS($AX$3:$AX$201,$M7)&gt;0
   ),
  0)
 ),
"")</f>
        <v>OWA</v>
      </c>
      <c r="P7" s="2" t="str" cm="1">
        <f t="array" aca="1" ref="P7" ca="1">IFERROR(
 INDEX(
  _xlfn._xlws.FILTER($U$2:$AX$2,
   TRANSPOSE(
    CHOOSE({1;2;3;4;5;6;7;8;9;10;11;12;13;14;15;16;17;18;19;20;21;22;23;24;25;26;27;28;29;30},
     COUNTIFS($U$3:$U$201,$M7)&gt;0,
     COUNTIFS($V$3:$V$201,$M7)&gt;0,
     COUNTIFS($W$3:$W$201,$M7)&gt;0,
     COUNTIFS($X$3:$X$201,$M7)&gt;0,
     COUNTIFS($Y$3:$Y$201,$M7)&gt;0,
     COUNTIFS($Z$3:$Z$201,$M7)&gt;0,
     COUNTIFS($AA$3:$AA$201,$M7)&gt;0,
     COUNTIFS($AB$3:$AB$201,$M7)&gt;0,
     COUNTIFS($AC$3:$AC$201,$M7)&gt;0,
     COUNTIFS($AD$3:$AD$201,$M7)&gt;0,
     COUNTIFS($AE$3:$AE$201,$M7)&gt;0,
     COUNTIFS($AF$3:$AF$201,$M7)&gt;0,
     COUNTIFS($AG$3:$AG$201,$M7)&gt;0,
     COUNTIFS($AH$3:$AH$201,$M7)&gt;0,
     COUNTIFS($AI$3:$AI$201,$M7)&gt;0,
     COUNTIFS($AJ$3:$AJ$201,$M7)&gt;0,
     COUNTIFS($AK$3:$AK$201,$M7)&gt;0,
     COUNTIFS($AL$3:$AL$201,$M7)&gt;0,
     COUNTIFS($AM$3:$AM$201,$M7)&gt;0,
     COUNTIFS($AN$3:$AN$201,$M7)&gt;0,
     COUNTIFS($AO$3:$AO$201,$M7)&gt;0,
     COUNTIFS($AP$3:$AP$201,$M7)&gt;0,
     COUNTIFS($AQ$3:$AQ$201,$M7)&gt;0,
     COUNTIFS($AR$3:$AR$201,$M7)&gt;0,
     COUNTIFS($AS$3:$AS$201,$M7)&gt;0,
     COUNTIFS($AT$3:$AT$201,$M7)&gt;0,
     COUNTIFS($AU$3:$AU$201,$M7)&gt;0,
     COUNTIFS($AV$3:$AV$201,$M7)&gt;0,
     COUNTIFS($AW$3:$AW$201,$M7)&gt;0,
     COUNTIFS($AX$3:$AX$201,$M7)&gt;0
   )),
  ),
  2
 ),
"")</f>
        <v/>
      </c>
      <c r="Q7" s="2" t="str" cm="1">
        <f t="array" aca="1" ref="Q7" ca="1">IFERROR(
 INDEX(
  _xlfn._xlws.FILTER($U$2:$AX$2,
   TRANSPOSE(
    CHOOSE({1;2;3;4;5;6;7;8;9;10;11;12;13;14;15;16;17;18;19;20;21;22;23;24;25;26;27;28;29;30},
     COUNTIFS($U$3:$U$201,$M7)&gt;0,
     COUNTIFS($V$3:$V$201,$M7)&gt;0,
     COUNTIFS($W$3:$W$201,$M7)&gt;0,
     COUNTIFS($X$3:$X$201,$M7)&gt;0,
     COUNTIFS($Y$3:$Y$201,$M7)&gt;0,
     COUNTIFS($Z$3:$Z$201,$M7)&gt;0,
     COUNTIFS($AA$3:$AA$201,$M7)&gt;0,
     COUNTIFS($AB$3:$AB$201,$M7)&gt;0,
     COUNTIFS($AC$3:$AC$201,$M7)&gt;0,
     COUNTIFS($AD$3:$AD$201,$M7)&gt;0,
     COUNTIFS($AE$3:$AE$201,$M7)&gt;0,
     COUNTIFS($AF$3:$AF$201,$M7)&gt;0,
     COUNTIFS($AG$3:$AG$201,$M7)&gt;0,
     COUNTIFS($AH$3:$AH$201,$M7)&gt;0,
     COUNTIFS($AI$3:$AI$201,$M7)&gt;0,
     COUNTIFS($AJ$3:$AJ$201,$M7)&gt;0,
     COUNTIFS($AK$3:$AK$201,$M7)&gt;0,
     COUNTIFS($AL$3:$AL$201,$M7)&gt;0,
     COUNTIFS($AM$3:$AM$201,$M7)&gt;0,
     COUNTIFS($AN$3:$AN$201,$M7)&gt;0,
     COUNTIFS($AO$3:$AO$201,$M7)&gt;0,
     COUNTIFS($AP$3:$AP$201,$M7)&gt;0,
     COUNTIFS($AQ$3:$AQ$201,$M7)&gt;0,
     COUNTIFS($AR$3:$AR$201,$M7)&gt;0,
     COUNTIFS($AS$3:$AS$201,$M7)&gt;0,
     COUNTIFS($AT$3:$AT$201,$M7)&gt;0,
     COUNTIFS($AU$3:$AU$201,$M7)&gt;0,
     COUNTIFS($AV$3:$AV$201,$M7)&gt;0,
     COUNTIFS($AW$3:$AW$201,$M7)&gt;0,
     COUNTIFS($AX$3:$AX$201,$M7)&gt;0
   )),
  ),
  3
 ),
"")</f>
        <v/>
      </c>
      <c r="U7" t="str">
        <v>Swamp</v>
      </c>
      <c r="V7" t="str">
        <v>Gruul Turf</v>
      </c>
      <c r="W7" t="str">
        <v>Island</v>
      </c>
      <c r="X7" t="str">
        <v>Forest</v>
      </c>
      <c r="Y7" t="str">
        <v>Japaland</v>
      </c>
      <c r="Z7" t="str">
        <v>Goblin Spymaster</v>
      </c>
      <c r="AA7" t="str">
        <v>Hadana's Climb</v>
      </c>
      <c r="AB7" t="str">
        <v>Piranha Marsh</v>
      </c>
      <c r="AC7" t="str">
        <v>Hedron Archive</v>
      </c>
      <c r="AD7" t="str">
        <v>Golgari Signet</v>
      </c>
      <c r="AE7" t="str">
        <v>Pentavus</v>
      </c>
      <c r="AF7" t="str">
        <v>Island</v>
      </c>
      <c r="AG7" t="str">
        <v>Island</v>
      </c>
      <c r="AH7" t="str">
        <v>Island</v>
      </c>
      <c r="AI7" t="str">
        <v>Glimmer Lens</v>
      </c>
      <c r="AJ7" t="str">
        <v>Life Insurance</v>
      </c>
      <c r="AL7" t="str">
        <v>Reclamation Sage</v>
      </c>
      <c r="AM7" t="str">
        <v>Nezahal, Primal Tide</v>
      </c>
      <c r="AO7" t="str">
        <v>Pensamento Sombrio</v>
      </c>
      <c r="AP7" t="str">
        <v>Mystic Forge</v>
      </c>
      <c r="AQ7" t="str">
        <v>Feldon of the Third Path</v>
      </c>
      <c r="AS7" t="str">
        <v>Lotho, Corrupt Shirriff</v>
      </c>
      <c r="AT7" t="str">
        <v>Plains</v>
      </c>
      <c r="AX7" t="str">
        <v>Harrow</v>
      </c>
      <c r="BH7" t="str">
        <v>Sin Prodder</v>
      </c>
      <c r="CH7" t="str">
        <f ca="1"/>
        <v>Evolving Wilds</v>
      </c>
      <c r="CI7" t="str">
        <f ca="1"/>
        <v>Cut your Losses</v>
      </c>
      <c r="CJ7" t="str">
        <f ca="1"/>
        <v>Evolving Wilds</v>
      </c>
      <c r="CK7" t="str">
        <f ca="1"/>
        <v>Ghoulish Procession</v>
      </c>
      <c r="CL7" t="str">
        <f ca="1"/>
        <v>Divergent Transformations</v>
      </c>
      <c r="CM7" t="str">
        <f ca="1"/>
        <v>Inspiring Refrain</v>
      </c>
      <c r="CN7" t="str">
        <f ca="1"/>
        <v>Eaten Alive</v>
      </c>
      <c r="CO7" t="str">
        <f ca="1"/>
        <v>Digsite Engineer</v>
      </c>
      <c r="CP7" t="str">
        <f ca="1"/>
        <v>Reclamation Sage</v>
      </c>
      <c r="CR7" t="str">
        <f ca="1"/>
        <v>Mystic Forge</v>
      </c>
      <c r="CS7" t="str">
        <f ca="1"/>
        <v>Detective's Satchel</v>
      </c>
      <c r="CT7" t="str">
        <f ca="1"/>
        <v>Divine Visitation</v>
      </c>
      <c r="CV7" t="str">
        <f ca="1"/>
        <v>Harrow</v>
      </c>
      <c r="DA7" t="str">
        <f ca="1"/>
        <v>Sin Prodder</v>
      </c>
      <c r="DO7" t="str">
        <f ca="1"/>
        <v>Chatterstorm</v>
      </c>
      <c r="DP7" t="str">
        <f ca="1"/>
        <v>Deeprooot Wayfinder</v>
      </c>
      <c r="DQ7" t="str">
        <f ca="1"/>
        <v>Crawling Infestation</v>
      </c>
      <c r="DR7" t="str">
        <f ca="1"/>
        <v>Chromatic Lantern</v>
      </c>
      <c r="DS7" t="str">
        <f ca="1"/>
        <v>Island</v>
      </c>
      <c r="DT7" t="str">
        <f ca="1"/>
        <v>Dawntreader Elk</v>
      </c>
      <c r="DU7" t="str">
        <f ca="1"/>
        <v>Dispeller's Capsule</v>
      </c>
      <c r="DV7" t="str">
        <f ca="1"/>
        <v>Harrow</v>
      </c>
      <c r="DX7" t="str">
        <f ca="1"/>
        <v>Sin Prodder</v>
      </c>
      <c r="EF7" t="str">
        <f ca="1"/>
        <v>Captain Lannery Storm</v>
      </c>
      <c r="EG7" t="str">
        <f ca="1"/>
        <v>Blinkmoth Urn</v>
      </c>
      <c r="EH7" t="str">
        <f ca="1"/>
        <v>Caustic Caterpillar</v>
      </c>
      <c r="EI7" t="str">
        <f ca="1"/>
        <v>Dispeller's Capsule</v>
      </c>
      <c r="EJ7" t="str">
        <f ca="1"/>
        <v>Sin Prodder</v>
      </c>
      <c r="EO7" t="str">
        <f ca="1"/>
        <v>Aquatic Incursion</v>
      </c>
      <c r="EP7" t="str">
        <f ca="1"/>
        <v>Aura Shards</v>
      </c>
      <c r="EQ7" t="str">
        <f ca="1"/>
        <v>Sin Prodder</v>
      </c>
      <c r="ET7" t="str">
        <f ca="1"/>
        <v>Angelic Renewal</v>
      </c>
      <c r="EU7" t="str">
        <f ca="1"/>
        <v>Sin Prodder</v>
      </c>
      <c r="EW7" t="str">
        <f ca="1"/>
        <v>Angelic Renewal</v>
      </c>
    </row>
    <row r="8" spans="1:153" x14ac:dyDescent="0.25">
      <c r="A8" t="str">
        <f ca="1"/>
        <v>Adagia, Windswept Bastion</v>
      </c>
      <c r="B8" s="2" t="str" cm="1">
        <f t="array" aca="1" ref="B8" ca="1">_xlfn.ANCHORARRAY(RESUMO!C7)</f>
        <v>Alela</v>
      </c>
      <c r="C8" s="2" t="str">
        <f t="shared" ca="1" si="0"/>
        <v/>
      </c>
      <c r="E8" t="str">
        <f ca="1"/>
        <v>Animate Dead</v>
      </c>
      <c r="F8" s="2">
        <f t="shared" ca="1" si="3"/>
        <v>1</v>
      </c>
      <c r="G8" s="2" t="str">
        <f t="shared" ca="1" si="1"/>
        <v>Tayam</v>
      </c>
      <c r="I8" s="18"/>
      <c r="J8" t="s">
        <v>180</v>
      </c>
      <c r="K8" s="2">
        <v>1</v>
      </c>
      <c r="M8" t="str">
        <f ca="1"/>
        <v>Animate Dead</v>
      </c>
      <c r="N8" s="2">
        <f t="shared" ca="1" si="2"/>
        <v>1</v>
      </c>
      <c r="O8" s="2" t="str">
        <f ca="1">IFERROR(
 INDEX($U$2:$AX$2,
  MATCH(TRUE,
   CHOOSE({1;2;3;4;5;6;7;8;9;10;11;12;13;14;15;16;17;18;19;20;21;22;23;24;25;26;27;28;29;30;31;32},
    COUNTIFS($U$3:$U$201,$M8)&gt;0,
    COUNTIFS($V$3:$V$201,$M8)&gt;0,
    COUNTIFS($W$3:$W$201,$M8)&gt;0,
    COUNTIFS($X$3:$X$201,$M8)&gt;0,
    COUNTIFS($Y$3:$Y$201,$M8)&gt;0,
    COUNTIFS($Z$3:$Z$201,$M8)&gt;0,
    COUNTIFS($AA$3:$AA$201,$M8)&gt;0,
    COUNTIFS($AB$3:$AB$201,$M8)&gt;0,
    COUNTIFS($AC$3:$AC$201,$M8)&gt;0,
    COUNTIFS($AD$3:$AD$201,$M8)&gt;0,
    COUNTIFS($AE$3:$AE$201,$M8)&gt;0,
    COUNTIFS($AF$3:$AF$201,$M8)&gt;0,
    COUNTIFS($AG$3:$AG$201,$M8)&gt;0,
    COUNTIFS($AH$3:$AH$201,$M8)&gt;0,
    COUNTIFS($AI$3:$AI$201,$M8)&gt;0,
    COUNTIFS($AJ$3:$AJ$201,$M8)&gt;0,
    COUNTIFS($AK$3:$AK$201,$M8)&gt;0,
    COUNTIFS($AL$3:$AL$201,$M8)&gt;0,
    COUNTIFS($AM$3:$AM$201,$M8)&gt;0,
    COUNTIFS($AN$3:$AN$201,$M8)&gt;0,
    COUNTIFS($AO$3:$AO$201,$M8)&gt;0,
    COUNTIFS($AP$3:$AP$201,$M8)&gt;0,
    COUNTIFS($AQ$3:$AQ$201,$M8)&gt;0,
    COUNTIFS($AR$3:$AR$201,$M8)&gt;0,
    COUNTIFS($AS$3:$AS$201,$M8)&gt;0,
    COUNTIFS($AT$3:$AT$201,$M8)&gt;0,
    COUNTIFS($AU$3:$AU$201,$M8)&gt;0,
    COUNTIFS($AV$3:$AV$201,$M8)&gt;0,
    COUNTIFS($AW$3:$AW$201,$M8)&gt;0,
    COUNTIFS($AX$3:$AX$201,$M8)&gt;0
   ),
  0)
 ),
"")</f>
        <v>Tayam</v>
      </c>
      <c r="P8" s="2" t="str" cm="1">
        <f t="array" aca="1" ref="P8" ca="1">IFERROR(
 INDEX(
  _xlfn._xlws.FILTER($U$2:$AX$2,
   TRANSPOSE(
    CHOOSE({1;2;3;4;5;6;7;8;9;10;11;12;13;14;15;16;17;18;19;20;21;22;23;24;25;26;27;28;29;30},
     COUNTIFS($U$3:$U$201,$M8)&gt;0,
     COUNTIFS($V$3:$V$201,$M8)&gt;0,
     COUNTIFS($W$3:$W$201,$M8)&gt;0,
     COUNTIFS($X$3:$X$201,$M8)&gt;0,
     COUNTIFS($Y$3:$Y$201,$M8)&gt;0,
     COUNTIFS($Z$3:$Z$201,$M8)&gt;0,
     COUNTIFS($AA$3:$AA$201,$M8)&gt;0,
     COUNTIFS($AB$3:$AB$201,$M8)&gt;0,
     COUNTIFS($AC$3:$AC$201,$M8)&gt;0,
     COUNTIFS($AD$3:$AD$201,$M8)&gt;0,
     COUNTIFS($AE$3:$AE$201,$M8)&gt;0,
     COUNTIFS($AF$3:$AF$201,$M8)&gt;0,
     COUNTIFS($AG$3:$AG$201,$M8)&gt;0,
     COUNTIFS($AH$3:$AH$201,$M8)&gt;0,
     COUNTIFS($AI$3:$AI$201,$M8)&gt;0,
     COUNTIFS($AJ$3:$AJ$201,$M8)&gt;0,
     COUNTIFS($AK$3:$AK$201,$M8)&gt;0,
     COUNTIFS($AL$3:$AL$201,$M8)&gt;0,
     COUNTIFS($AM$3:$AM$201,$M8)&gt;0,
     COUNTIFS($AN$3:$AN$201,$M8)&gt;0,
     COUNTIFS($AO$3:$AO$201,$M8)&gt;0,
     COUNTIFS($AP$3:$AP$201,$M8)&gt;0,
     COUNTIFS($AQ$3:$AQ$201,$M8)&gt;0,
     COUNTIFS($AR$3:$AR$201,$M8)&gt;0,
     COUNTIFS($AS$3:$AS$201,$M8)&gt;0,
     COUNTIFS($AT$3:$AT$201,$M8)&gt;0,
     COUNTIFS($AU$3:$AU$201,$M8)&gt;0,
     COUNTIFS($AV$3:$AV$201,$M8)&gt;0,
     COUNTIFS($AW$3:$AW$201,$M8)&gt;0,
     COUNTIFS($AX$3:$AX$201,$M8)&gt;0
   )),
  ),
  2
 ),
"")</f>
        <v/>
      </c>
      <c r="Q8" s="2" t="str" cm="1">
        <f t="array" aca="1" ref="Q8" ca="1">IFERROR(
 INDEX(
  _xlfn._xlws.FILTER($U$2:$AX$2,
   TRANSPOSE(
    CHOOSE({1;2;3;4;5;6;7;8;9;10;11;12;13;14;15;16;17;18;19;20;21;22;23;24;25;26;27;28;29;30},
     COUNTIFS($U$3:$U$201,$M8)&gt;0,
     COUNTIFS($V$3:$V$201,$M8)&gt;0,
     COUNTIFS($W$3:$W$201,$M8)&gt;0,
     COUNTIFS($X$3:$X$201,$M8)&gt;0,
     COUNTIFS($Y$3:$Y$201,$M8)&gt;0,
     COUNTIFS($Z$3:$Z$201,$M8)&gt;0,
     COUNTIFS($AA$3:$AA$201,$M8)&gt;0,
     COUNTIFS($AB$3:$AB$201,$M8)&gt;0,
     COUNTIFS($AC$3:$AC$201,$M8)&gt;0,
     COUNTIFS($AD$3:$AD$201,$M8)&gt;0,
     COUNTIFS($AE$3:$AE$201,$M8)&gt;0,
     COUNTIFS($AF$3:$AF$201,$M8)&gt;0,
     COUNTIFS($AG$3:$AG$201,$M8)&gt;0,
     COUNTIFS($AH$3:$AH$201,$M8)&gt;0,
     COUNTIFS($AI$3:$AI$201,$M8)&gt;0,
     COUNTIFS($AJ$3:$AJ$201,$M8)&gt;0,
     COUNTIFS($AK$3:$AK$201,$M8)&gt;0,
     COUNTIFS($AL$3:$AL$201,$M8)&gt;0,
     COUNTIFS($AM$3:$AM$201,$M8)&gt;0,
     COUNTIFS($AN$3:$AN$201,$M8)&gt;0,
     COUNTIFS($AO$3:$AO$201,$M8)&gt;0,
     COUNTIFS($AP$3:$AP$201,$M8)&gt;0,
     COUNTIFS($AQ$3:$AQ$201,$M8)&gt;0,
     COUNTIFS($AR$3:$AR$201,$M8)&gt;0,
     COUNTIFS($AS$3:$AS$201,$M8)&gt;0,
     COUNTIFS($AT$3:$AT$201,$M8)&gt;0,
     COUNTIFS($AU$3:$AU$201,$M8)&gt;0,
     COUNTIFS($AV$3:$AV$201,$M8)&gt;0,
     COUNTIFS($AW$3:$AW$201,$M8)&gt;0,
     COUNTIFS($AX$3:$AX$201,$M8)&gt;0
   )),
  ),
  3
 ),
"")</f>
        <v/>
      </c>
      <c r="U8" t="str">
        <v>Swamp</v>
      </c>
      <c r="V8" t="str">
        <v>Horda Germinal</v>
      </c>
      <c r="W8" t="str">
        <v>Jeskai Ascendancy</v>
      </c>
      <c r="X8" t="str">
        <v>Forest</v>
      </c>
      <c r="Y8" t="str">
        <v>Lifecreed Duo</v>
      </c>
      <c r="Z8" t="str">
        <v>Kazuul, Tyrant of the Cliffs</v>
      </c>
      <c r="AA8" t="str">
        <v>Island</v>
      </c>
      <c r="AB8" t="str">
        <v>Retreat to Hagra</v>
      </c>
      <c r="AC8" t="str">
        <v>Island</v>
      </c>
      <c r="AD8" t="str">
        <v>Grisly Salvage</v>
      </c>
      <c r="AE8" t="str">
        <v>Stoic Rebuttal</v>
      </c>
      <c r="AF8" t="str">
        <v>Mountain</v>
      </c>
      <c r="AG8" t="str">
        <v>Karn's Temporal Sundering</v>
      </c>
      <c r="AH8" t="str">
        <v>Master of Death</v>
      </c>
      <c r="AI8" t="str">
        <v>Goblin Morningstar</v>
      </c>
      <c r="AJ8" t="str">
        <v>Nicol Bolas, Dragon-God</v>
      </c>
      <c r="AL8" t="str">
        <v>Swamp</v>
      </c>
      <c r="AO8" t="str">
        <v>Shire Terrace</v>
      </c>
      <c r="AP8" t="str">
        <v>Sisay's Ring</v>
      </c>
      <c r="AQ8" t="str">
        <v>Gravelighter</v>
      </c>
      <c r="AS8" t="str">
        <v>Mondrak, Glory Dominus</v>
      </c>
      <c r="AT8" t="str">
        <v>The Immortal Sun</v>
      </c>
      <c r="AX8" t="str">
        <v>Hidden Courtyard</v>
      </c>
      <c r="BH8" t="str">
        <v>Solstice Revelations</v>
      </c>
      <c r="CH8" t="str">
        <f ca="1"/>
        <v>Goblin Bombardment</v>
      </c>
      <c r="CI8" t="str">
        <f ca="1"/>
        <v>Eternal Witness</v>
      </c>
      <c r="CJ8" t="str">
        <f ca="1"/>
        <v>Gavony Dawnguard</v>
      </c>
      <c r="CK8" t="str">
        <f ca="1"/>
        <v>Hadana's Climb</v>
      </c>
      <c r="CL8" t="str">
        <f ca="1"/>
        <v>Fire Diamond</v>
      </c>
      <c r="CM8" t="str">
        <f ca="1"/>
        <v>Island</v>
      </c>
      <c r="CN8" t="str">
        <f ca="1"/>
        <v>Exclusion Mage</v>
      </c>
      <c r="CO8" t="str">
        <f ca="1"/>
        <v>Fell the Mighty</v>
      </c>
      <c r="CP8" t="str">
        <f ca="1"/>
        <v>Sarinth Greatwurm</v>
      </c>
      <c r="CR8" t="str">
        <f ca="1"/>
        <v>Nimble Obstructionist</v>
      </c>
      <c r="CS8" t="str">
        <f ca="1"/>
        <v>Feldon of the Third Path</v>
      </c>
      <c r="CT8" t="str">
        <f ca="1"/>
        <v>Elves of Deep Shadow</v>
      </c>
      <c r="CV8" t="str">
        <f ca="1"/>
        <v>Hidden Courtyard</v>
      </c>
      <c r="DA8" t="str">
        <f ca="1"/>
        <v>Solstice Revelations</v>
      </c>
      <c r="DO8" t="str">
        <f ca="1"/>
        <v>Crashing Drawbridge</v>
      </c>
      <c r="DP8" t="str">
        <f ca="1"/>
        <v>Dreadship Reef</v>
      </c>
      <c r="DQ8" t="str">
        <f ca="1"/>
        <v>Deep-Sea Kraken</v>
      </c>
      <c r="DR8" t="str">
        <f ca="1"/>
        <v>Danitha Capashen, Paragon</v>
      </c>
      <c r="DS8" t="str">
        <f ca="1"/>
        <v>Kiora's Follower</v>
      </c>
      <c r="DT8" t="str">
        <f ca="1"/>
        <v>Detective's Satchel</v>
      </c>
      <c r="DU8" t="str">
        <f ca="1"/>
        <v>Divine Visitation</v>
      </c>
      <c r="DV8" t="str">
        <f ca="1"/>
        <v>Hidden Courtyard</v>
      </c>
      <c r="DX8" t="str">
        <f ca="1"/>
        <v>Solstice Revelations</v>
      </c>
      <c r="EF8" t="str">
        <f ca="1"/>
        <v>Cemetery Tampering</v>
      </c>
      <c r="EG8" t="str">
        <f ca="1"/>
        <v>Bruma Etérea</v>
      </c>
      <c r="EH8" t="str">
        <f ca="1"/>
        <v>Consecrated Sphinx</v>
      </c>
      <c r="EI8" t="str">
        <f ca="1"/>
        <v>Divine Visitation</v>
      </c>
      <c r="EJ8" t="str">
        <f ca="1"/>
        <v>Solstice Revelations</v>
      </c>
      <c r="EO8" t="str">
        <f ca="1"/>
        <v>Bant Charm</v>
      </c>
      <c r="EP8" t="str">
        <f ca="1"/>
        <v>Blink of an Eye</v>
      </c>
      <c r="EQ8" t="str">
        <f ca="1"/>
        <v>Solstice Revelations</v>
      </c>
      <c r="ET8" t="str">
        <f ca="1"/>
        <v>Animate Dead</v>
      </c>
      <c r="EU8" t="str">
        <f ca="1"/>
        <v>Solstice Revelations</v>
      </c>
      <c r="EW8" t="str">
        <f ca="1"/>
        <v>Animate Dead</v>
      </c>
    </row>
    <row r="9" spans="1:153" x14ac:dyDescent="0.25">
      <c r="A9" t="str">
        <f ca="1"/>
        <v>Adarkar Wastes</v>
      </c>
      <c r="B9" s="2" t="str" cm="1">
        <f t="array" aca="1" ref="B9" ca="1">_xlfn.ANCHORARRAY(RESUMO!C8)</f>
        <v>Narset</v>
      </c>
      <c r="C9" s="2" t="str">
        <f t="shared" ca="1" si="0"/>
        <v/>
      </c>
      <c r="E9" t="str">
        <f ca="1"/>
        <v>Antecipar</v>
      </c>
      <c r="F9" s="2">
        <f t="shared" ca="1" si="3"/>
        <v>1</v>
      </c>
      <c r="G9" s="2" t="str">
        <f t="shared" ca="1" si="1"/>
        <v>Narset</v>
      </c>
      <c r="I9" s="18"/>
      <c r="J9" t="s">
        <v>180</v>
      </c>
      <c r="K9" s="2">
        <v>1</v>
      </c>
      <c r="M9" t="str">
        <f ca="1"/>
        <v>Antecipar</v>
      </c>
      <c r="N9" s="2">
        <f t="shared" ca="1" si="2"/>
        <v>1</v>
      </c>
      <c r="O9" s="2" t="str">
        <f ca="1">IFERROR(
 INDEX($U$2:$AX$2,
  MATCH(TRUE,
   CHOOSE({1;2;3;4;5;6;7;8;9;10;11;12;13;14;15;16;17;18;19;20;21;22;23;24;25;26;27;28;29;30;31;32},
    COUNTIFS($U$3:$U$201,$M9)&gt;0,
    COUNTIFS($V$3:$V$201,$M9)&gt;0,
    COUNTIFS($W$3:$W$201,$M9)&gt;0,
    COUNTIFS($X$3:$X$201,$M9)&gt;0,
    COUNTIFS($Y$3:$Y$201,$M9)&gt;0,
    COUNTIFS($Z$3:$Z$201,$M9)&gt;0,
    COUNTIFS($AA$3:$AA$201,$M9)&gt;0,
    COUNTIFS($AB$3:$AB$201,$M9)&gt;0,
    COUNTIFS($AC$3:$AC$201,$M9)&gt;0,
    COUNTIFS($AD$3:$AD$201,$M9)&gt;0,
    COUNTIFS($AE$3:$AE$201,$M9)&gt;0,
    COUNTIFS($AF$3:$AF$201,$M9)&gt;0,
    COUNTIFS($AG$3:$AG$201,$M9)&gt;0,
    COUNTIFS($AH$3:$AH$201,$M9)&gt;0,
    COUNTIFS($AI$3:$AI$201,$M9)&gt;0,
    COUNTIFS($AJ$3:$AJ$201,$M9)&gt;0,
    COUNTIFS($AK$3:$AK$201,$M9)&gt;0,
    COUNTIFS($AL$3:$AL$201,$M9)&gt;0,
    COUNTIFS($AM$3:$AM$201,$M9)&gt;0,
    COUNTIFS($AN$3:$AN$201,$M9)&gt;0,
    COUNTIFS($AO$3:$AO$201,$M9)&gt;0,
    COUNTIFS($AP$3:$AP$201,$M9)&gt;0,
    COUNTIFS($AQ$3:$AQ$201,$M9)&gt;0,
    COUNTIFS($AR$3:$AR$201,$M9)&gt;0,
    COUNTIFS($AS$3:$AS$201,$M9)&gt;0,
    COUNTIFS($AT$3:$AT$201,$M9)&gt;0,
    COUNTIFS($AU$3:$AU$201,$M9)&gt;0,
    COUNTIFS($AV$3:$AV$201,$M9)&gt;0,
    COUNTIFS($AW$3:$AW$201,$M9)&gt;0,
    COUNTIFS($AX$3:$AX$201,$M9)&gt;0
   ),
  0)
 ),
"")</f>
        <v>Narset</v>
      </c>
      <c r="P9" s="2" t="str" cm="1">
        <f t="array" aca="1" ref="P9" ca="1">IFERROR(
 INDEX(
  _xlfn._xlws.FILTER($U$2:$AX$2,
   TRANSPOSE(
    CHOOSE({1;2;3;4;5;6;7;8;9;10;11;12;13;14;15;16;17;18;19;20;21;22;23;24;25;26;27;28;29;30},
     COUNTIFS($U$3:$U$201,$M9)&gt;0,
     COUNTIFS($V$3:$V$201,$M9)&gt;0,
     COUNTIFS($W$3:$W$201,$M9)&gt;0,
     COUNTIFS($X$3:$X$201,$M9)&gt;0,
     COUNTIFS($Y$3:$Y$201,$M9)&gt;0,
     COUNTIFS($Z$3:$Z$201,$M9)&gt;0,
     COUNTIFS($AA$3:$AA$201,$M9)&gt;0,
     COUNTIFS($AB$3:$AB$201,$M9)&gt;0,
     COUNTIFS($AC$3:$AC$201,$M9)&gt;0,
     COUNTIFS($AD$3:$AD$201,$M9)&gt;0,
     COUNTIFS($AE$3:$AE$201,$M9)&gt;0,
     COUNTIFS($AF$3:$AF$201,$M9)&gt;0,
     COUNTIFS($AG$3:$AG$201,$M9)&gt;0,
     COUNTIFS($AH$3:$AH$201,$M9)&gt;0,
     COUNTIFS($AI$3:$AI$201,$M9)&gt;0,
     COUNTIFS($AJ$3:$AJ$201,$M9)&gt;0,
     COUNTIFS($AK$3:$AK$201,$M9)&gt;0,
     COUNTIFS($AL$3:$AL$201,$M9)&gt;0,
     COUNTIFS($AM$3:$AM$201,$M9)&gt;0,
     COUNTIFS($AN$3:$AN$201,$M9)&gt;0,
     COUNTIFS($AO$3:$AO$201,$M9)&gt;0,
     COUNTIFS($AP$3:$AP$201,$M9)&gt;0,
     COUNTIFS($AQ$3:$AQ$201,$M9)&gt;0,
     COUNTIFS($AR$3:$AR$201,$M9)&gt;0,
     COUNTIFS($AS$3:$AS$201,$M9)&gt;0,
     COUNTIFS($AT$3:$AT$201,$M9)&gt;0,
     COUNTIFS($AU$3:$AU$201,$M9)&gt;0,
     COUNTIFS($AV$3:$AV$201,$M9)&gt;0,
     COUNTIFS($AW$3:$AW$201,$M9)&gt;0,
     COUNTIFS($AX$3:$AX$201,$M9)&gt;0
   )),
  ),
  2
 ),
"")</f>
        <v/>
      </c>
      <c r="Q9" s="2" t="str" cm="1">
        <f t="array" aca="1" ref="Q9" ca="1">IFERROR(
 INDEX(
  _xlfn._xlws.FILTER($U$2:$AX$2,
   TRANSPOSE(
    CHOOSE({1;2;3;4;5;6;7;8;9;10;11;12;13;14;15;16;17;18;19;20;21;22;23;24;25;26;27;28;29;30},
     COUNTIFS($U$3:$U$201,$M9)&gt;0,
     COUNTIFS($V$3:$V$201,$M9)&gt;0,
     COUNTIFS($W$3:$W$201,$M9)&gt;0,
     COUNTIFS($X$3:$X$201,$M9)&gt;0,
     COUNTIFS($Y$3:$Y$201,$M9)&gt;0,
     COUNTIFS($Z$3:$Z$201,$M9)&gt;0,
     COUNTIFS($AA$3:$AA$201,$M9)&gt;0,
     COUNTIFS($AB$3:$AB$201,$M9)&gt;0,
     COUNTIFS($AC$3:$AC$201,$M9)&gt;0,
     COUNTIFS($AD$3:$AD$201,$M9)&gt;0,
     COUNTIFS($AE$3:$AE$201,$M9)&gt;0,
     COUNTIFS($AF$3:$AF$201,$M9)&gt;0,
     COUNTIFS($AG$3:$AG$201,$M9)&gt;0,
     COUNTIFS($AH$3:$AH$201,$M9)&gt;0,
     COUNTIFS($AI$3:$AI$201,$M9)&gt;0,
     COUNTIFS($AJ$3:$AJ$201,$M9)&gt;0,
     COUNTIFS($AK$3:$AK$201,$M9)&gt;0,
     COUNTIFS($AL$3:$AL$201,$M9)&gt;0,
     COUNTIFS($AM$3:$AM$201,$M9)&gt;0,
     COUNTIFS($AN$3:$AN$201,$M9)&gt;0,
     COUNTIFS($AO$3:$AO$201,$M9)&gt;0,
     COUNTIFS($AP$3:$AP$201,$M9)&gt;0,
     COUNTIFS($AQ$3:$AQ$201,$M9)&gt;0,
     COUNTIFS($AR$3:$AR$201,$M9)&gt;0,
     COUNTIFS($AS$3:$AS$201,$M9)&gt;0,
     COUNTIFS($AT$3:$AT$201,$M9)&gt;0,
     COUNTIFS($AU$3:$AU$201,$M9)&gt;0,
     COUNTIFS($AV$3:$AV$201,$M9)&gt;0,
     COUNTIFS($AW$3:$AW$201,$M9)&gt;0,
     COUNTIFS($AX$3:$AX$201,$M9)&gt;0
   )),
  ),
  3
 ),
"")</f>
        <v/>
      </c>
      <c r="U9" t="str">
        <v>Swamp</v>
      </c>
      <c r="V9" t="str">
        <v>Indulge // Excess</v>
      </c>
      <c r="W9" t="str">
        <v>Mountain</v>
      </c>
      <c r="X9" t="str">
        <v>Forest</v>
      </c>
      <c r="Y9" t="str">
        <v>Plains</v>
      </c>
      <c r="Z9" t="str">
        <v>Molten Slagheap</v>
      </c>
      <c r="AA9" t="str">
        <v>Lifecrafter's Bestiary</v>
      </c>
      <c r="AB9" t="str">
        <v>Spelunking</v>
      </c>
      <c r="AC9" t="str">
        <v>Island</v>
      </c>
      <c r="AD9" t="str">
        <v>Reclaim</v>
      </c>
      <c r="AE9" t="str">
        <v>Worn Powerstone</v>
      </c>
      <c r="AF9" t="str">
        <v>Mythos of Snapdax</v>
      </c>
      <c r="AG9" t="str">
        <v>Part the Waterveil</v>
      </c>
      <c r="AH9" t="str">
        <v>Oversold Cemetery</v>
      </c>
      <c r="AI9" t="str">
        <v>Horn of Valhalla // Ysgard's Call</v>
      </c>
      <c r="AJ9" t="str">
        <v>Supreme Verdict</v>
      </c>
      <c r="AL9" t="str">
        <v>Swamp</v>
      </c>
      <c r="AO9" t="str">
        <v>Thirst for Knowledge</v>
      </c>
      <c r="AP9" t="str">
        <v>Spell Stutter</v>
      </c>
      <c r="AQ9" t="str">
        <v>Incite Rebellion</v>
      </c>
      <c r="AS9" t="str">
        <v>Portão da Guilda Orzhov</v>
      </c>
      <c r="AX9" t="str">
        <v>Hidden Nursery</v>
      </c>
      <c r="BH9" t="str">
        <v>Vindictive Warden</v>
      </c>
      <c r="CH9" t="str">
        <f ca="1"/>
        <v>Gruul Turf</v>
      </c>
      <c r="CI9" t="str">
        <f ca="1"/>
        <v>Fiend Artisan</v>
      </c>
      <c r="CJ9" t="str">
        <f ca="1"/>
        <v>Goblin Spymaster</v>
      </c>
      <c r="CK9" t="str">
        <f ca="1"/>
        <v>Harrow</v>
      </c>
      <c r="CL9" t="str">
        <f ca="1"/>
        <v>Forest</v>
      </c>
      <c r="CM9" t="str">
        <f ca="1"/>
        <v>Mountain</v>
      </c>
      <c r="CN9" t="str">
        <f ca="1"/>
        <v>Island</v>
      </c>
      <c r="CO9" t="str">
        <f ca="1"/>
        <v>Flux Channeler</v>
      </c>
      <c r="CP9" t="str">
        <f ca="1"/>
        <v>Swamp</v>
      </c>
      <c r="CR9" t="str">
        <f ca="1"/>
        <v>Pensamento Sombrio</v>
      </c>
      <c r="CS9" t="str">
        <f ca="1"/>
        <v>Fundição dos Cônsules</v>
      </c>
      <c r="CT9" t="str">
        <f ca="1"/>
        <v>Inspiring Statuary</v>
      </c>
      <c r="CV9" t="str">
        <f ca="1"/>
        <v>Hidden Nursery</v>
      </c>
      <c r="DA9" t="str">
        <f ca="1"/>
        <v>Vindictive Warden</v>
      </c>
      <c r="DO9" t="str">
        <f ca="1"/>
        <v>Cut your Losses</v>
      </c>
      <c r="DP9" t="str">
        <f ca="1"/>
        <v>Emergency Zone</v>
      </c>
      <c r="DQ9" t="str">
        <f ca="1"/>
        <v>Dissipation Field</v>
      </c>
      <c r="DR9" t="str">
        <f ca="1"/>
        <v>Death Rattle</v>
      </c>
      <c r="DS9" t="str">
        <f ca="1"/>
        <v>Nezahal, Primal Tide</v>
      </c>
      <c r="DT9" t="str">
        <f ca="1"/>
        <v>Dramatical Reversal</v>
      </c>
      <c r="DU9" t="str">
        <f ca="1"/>
        <v>Elves of Deep Shadow</v>
      </c>
      <c r="DV9" t="str">
        <f ca="1"/>
        <v>Hidden Nursery</v>
      </c>
      <c r="DX9" t="str">
        <f ca="1"/>
        <v>Vindictive Warden</v>
      </c>
      <c r="EF9" t="str">
        <f ca="1"/>
        <v>Chatterstorm</v>
      </c>
      <c r="EG9" t="str">
        <f ca="1"/>
        <v>Buried Alive</v>
      </c>
      <c r="EH9" t="str">
        <f ca="1"/>
        <v>Dawntreader Elk</v>
      </c>
      <c r="EI9" t="str">
        <f ca="1"/>
        <v>Duty Beyond Death</v>
      </c>
      <c r="EJ9" t="str">
        <f ca="1"/>
        <v>Vindictive Warden</v>
      </c>
      <c r="EO9" t="str">
        <f ca="1"/>
        <v>Barbed Spike</v>
      </c>
      <c r="EP9" t="str">
        <f ca="1"/>
        <v>Brawn</v>
      </c>
      <c r="EQ9" t="str">
        <f ca="1"/>
        <v>Vindictive Warden</v>
      </c>
      <c r="ET9" t="str">
        <f ca="1"/>
        <v>Antecipar</v>
      </c>
      <c r="EU9" t="str">
        <f ca="1"/>
        <v>Vindictive Warden</v>
      </c>
      <c r="EW9" t="str">
        <f ca="1"/>
        <v>Antecipar</v>
      </c>
    </row>
    <row r="10" spans="1:153" x14ac:dyDescent="0.25">
      <c r="A10" t="str">
        <f ca="1"/>
        <v>Adeline, Resplendent Cathar</v>
      </c>
      <c r="B10" s="2" t="str" cm="1">
        <f t="array" aca="1" ref="B10" ca="1">_xlfn.ANCHORARRAY(RESUMO!C9)</f>
        <v>Little</v>
      </c>
      <c r="C10" s="2" t="str">
        <f t="shared" ca="1" si="0"/>
        <v/>
      </c>
      <c r="E10" t="str">
        <f ca="1"/>
        <v>Aquatic Incursion</v>
      </c>
      <c r="F10" s="2">
        <f t="shared" ca="1" si="3"/>
        <v>1</v>
      </c>
      <c r="G10" s="2" t="str">
        <f t="shared" ca="1" si="1"/>
        <v>Kumena</v>
      </c>
      <c r="I10" s="18"/>
      <c r="J10" t="s">
        <v>180</v>
      </c>
      <c r="K10" s="2">
        <v>1</v>
      </c>
      <c r="M10" t="str">
        <f ca="1"/>
        <v>Aquatic Incursion</v>
      </c>
      <c r="N10" s="2">
        <f t="shared" ca="1" si="2"/>
        <v>1</v>
      </c>
      <c r="O10" s="2" t="str">
        <f ca="1">IFERROR(
 INDEX($U$2:$AX$2,
  MATCH(TRUE,
   CHOOSE({1;2;3;4;5;6;7;8;9;10;11;12;13;14;15;16;17;18;19;20;21;22;23;24;25;26;27;28;29;30;31;32},
    COUNTIFS($U$3:$U$201,$M10)&gt;0,
    COUNTIFS($V$3:$V$201,$M10)&gt;0,
    COUNTIFS($W$3:$W$201,$M10)&gt;0,
    COUNTIFS($X$3:$X$201,$M10)&gt;0,
    COUNTIFS($Y$3:$Y$201,$M10)&gt;0,
    COUNTIFS($Z$3:$Z$201,$M10)&gt;0,
    COUNTIFS($AA$3:$AA$201,$M10)&gt;0,
    COUNTIFS($AB$3:$AB$201,$M10)&gt;0,
    COUNTIFS($AC$3:$AC$201,$M10)&gt;0,
    COUNTIFS($AD$3:$AD$201,$M10)&gt;0,
    COUNTIFS($AE$3:$AE$201,$M10)&gt;0,
    COUNTIFS($AF$3:$AF$201,$M10)&gt;0,
    COUNTIFS($AG$3:$AG$201,$M10)&gt;0,
    COUNTIFS($AH$3:$AH$201,$M10)&gt;0,
    COUNTIFS($AI$3:$AI$201,$M10)&gt;0,
    COUNTIFS($AJ$3:$AJ$201,$M10)&gt;0,
    COUNTIFS($AK$3:$AK$201,$M10)&gt;0,
    COUNTIFS($AL$3:$AL$201,$M10)&gt;0,
    COUNTIFS($AM$3:$AM$201,$M10)&gt;0,
    COUNTIFS($AN$3:$AN$201,$M10)&gt;0,
    COUNTIFS($AO$3:$AO$201,$M10)&gt;0,
    COUNTIFS($AP$3:$AP$201,$M10)&gt;0,
    COUNTIFS($AQ$3:$AQ$201,$M10)&gt;0,
    COUNTIFS($AR$3:$AR$201,$M10)&gt;0,
    COUNTIFS($AS$3:$AS$201,$M10)&gt;0,
    COUNTIFS($AT$3:$AT$201,$M10)&gt;0,
    COUNTIFS($AU$3:$AU$201,$M10)&gt;0,
    COUNTIFS($AV$3:$AV$201,$M10)&gt;0,
    COUNTIFS($AW$3:$AW$201,$M10)&gt;0,
    COUNTIFS($AX$3:$AX$201,$M10)&gt;0
   ),
  0)
 ),
"")</f>
        <v>Kumena</v>
      </c>
      <c r="P10" s="2" t="str" cm="1">
        <f t="array" aca="1" ref="P10" ca="1">IFERROR(
 INDEX(
  _xlfn._xlws.FILTER($U$2:$AX$2,
   TRANSPOSE(
    CHOOSE({1;2;3;4;5;6;7;8;9;10;11;12;13;14;15;16;17;18;19;20;21;22;23;24;25;26;27;28;29;30},
     COUNTIFS($U$3:$U$201,$M10)&gt;0,
     COUNTIFS($V$3:$V$201,$M10)&gt;0,
     COUNTIFS($W$3:$W$201,$M10)&gt;0,
     COUNTIFS($X$3:$X$201,$M10)&gt;0,
     COUNTIFS($Y$3:$Y$201,$M10)&gt;0,
     COUNTIFS($Z$3:$Z$201,$M10)&gt;0,
     COUNTIFS($AA$3:$AA$201,$M10)&gt;0,
     COUNTIFS($AB$3:$AB$201,$M10)&gt;0,
     COUNTIFS($AC$3:$AC$201,$M10)&gt;0,
     COUNTIFS($AD$3:$AD$201,$M10)&gt;0,
     COUNTIFS($AE$3:$AE$201,$M10)&gt;0,
     COUNTIFS($AF$3:$AF$201,$M10)&gt;0,
     COUNTIFS($AG$3:$AG$201,$M10)&gt;0,
     COUNTIFS($AH$3:$AH$201,$M10)&gt;0,
     COUNTIFS($AI$3:$AI$201,$M10)&gt;0,
     COUNTIFS($AJ$3:$AJ$201,$M10)&gt;0,
     COUNTIFS($AK$3:$AK$201,$M10)&gt;0,
     COUNTIFS($AL$3:$AL$201,$M10)&gt;0,
     COUNTIFS($AM$3:$AM$201,$M10)&gt;0,
     COUNTIFS($AN$3:$AN$201,$M10)&gt;0,
     COUNTIFS($AO$3:$AO$201,$M10)&gt;0,
     COUNTIFS($AP$3:$AP$201,$M10)&gt;0,
     COUNTIFS($AQ$3:$AQ$201,$M10)&gt;0,
     COUNTIFS($AR$3:$AR$201,$M10)&gt;0,
     COUNTIFS($AS$3:$AS$201,$M10)&gt;0,
     COUNTIFS($AT$3:$AT$201,$M10)&gt;0,
     COUNTIFS($AU$3:$AU$201,$M10)&gt;0,
     COUNTIFS($AV$3:$AV$201,$M10)&gt;0,
     COUNTIFS($AW$3:$AW$201,$M10)&gt;0,
     COUNTIFS($AX$3:$AX$201,$M10)&gt;0
   )),
  ),
  2
 ),
"")</f>
        <v/>
      </c>
      <c r="Q10" s="2" t="str" cm="1">
        <f t="array" aca="1" ref="Q10" ca="1">IFERROR(
 INDEX(
  _xlfn._xlws.FILTER($U$2:$AX$2,
   TRANSPOSE(
    CHOOSE({1;2;3;4;5;6;7;8;9;10;11;12;13;14;15;16;17;18;19;20;21;22;23;24;25;26;27;28;29;30},
     COUNTIFS($U$3:$U$201,$M10)&gt;0,
     COUNTIFS($V$3:$V$201,$M10)&gt;0,
     COUNTIFS($W$3:$W$201,$M10)&gt;0,
     COUNTIFS($X$3:$X$201,$M10)&gt;0,
     COUNTIFS($Y$3:$Y$201,$M10)&gt;0,
     COUNTIFS($Z$3:$Z$201,$M10)&gt;0,
     COUNTIFS($AA$3:$AA$201,$M10)&gt;0,
     COUNTIFS($AB$3:$AB$201,$M10)&gt;0,
     COUNTIFS($AC$3:$AC$201,$M10)&gt;0,
     COUNTIFS($AD$3:$AD$201,$M10)&gt;0,
     COUNTIFS($AE$3:$AE$201,$M10)&gt;0,
     COUNTIFS($AF$3:$AF$201,$M10)&gt;0,
     COUNTIFS($AG$3:$AG$201,$M10)&gt;0,
     COUNTIFS($AH$3:$AH$201,$M10)&gt;0,
     COUNTIFS($AI$3:$AI$201,$M10)&gt;0,
     COUNTIFS($AJ$3:$AJ$201,$M10)&gt;0,
     COUNTIFS($AK$3:$AK$201,$M10)&gt;0,
     COUNTIFS($AL$3:$AL$201,$M10)&gt;0,
     COUNTIFS($AM$3:$AM$201,$M10)&gt;0,
     COUNTIFS($AN$3:$AN$201,$M10)&gt;0,
     COUNTIFS($AO$3:$AO$201,$M10)&gt;0,
     COUNTIFS($AP$3:$AP$201,$M10)&gt;0,
     COUNTIFS($AQ$3:$AQ$201,$M10)&gt;0,
     COUNTIFS($AR$3:$AR$201,$M10)&gt;0,
     COUNTIFS($AS$3:$AS$201,$M10)&gt;0,
     COUNTIFS($AT$3:$AT$201,$M10)&gt;0,
     COUNTIFS($AU$3:$AU$201,$M10)&gt;0,
     COUNTIFS($AV$3:$AV$201,$M10)&gt;0,
     COUNTIFS($AW$3:$AW$201,$M10)&gt;0,
     COUNTIFS($AX$3:$AX$201,$M10)&gt;0
   )),
  ),
  3
 ),
"")</f>
        <v/>
      </c>
      <c r="U10" t="str">
        <v>Wand of Wonder</v>
      </c>
      <c r="V10" t="str">
        <v>Kayla's Command</v>
      </c>
      <c r="W10" t="str">
        <v>Mountain</v>
      </c>
      <c r="X10" t="str">
        <v>Forest</v>
      </c>
      <c r="Y10" t="str">
        <v>Ranger of Eos</v>
      </c>
      <c r="Z10" t="str">
        <v>Royalty Assassin</v>
      </c>
      <c r="AA10" t="str">
        <v>Lonis, Cryptozoologist</v>
      </c>
      <c r="AB10" t="str">
        <v>The Hunger Tide Rises</v>
      </c>
      <c r="AC10" t="str">
        <v>Island</v>
      </c>
      <c r="AD10" t="str">
        <v>Swamp</v>
      </c>
      <c r="AF10" t="str">
        <v>Silundi Vision</v>
      </c>
      <c r="AG10" t="str">
        <v>Smoke Shroud</v>
      </c>
      <c r="AH10" t="str">
        <v>Patriarch's Bidding</v>
      </c>
      <c r="AI10" t="str">
        <v>Infiltration Lens</v>
      </c>
      <c r="AJ10" t="str">
        <v>The Eldest Reborn</v>
      </c>
      <c r="AO10" t="str">
        <v>Wizard's Retort</v>
      </c>
      <c r="AQ10" t="str">
        <v>Ingot Chewer</v>
      </c>
      <c r="AS10" t="str">
        <v>Swamp</v>
      </c>
      <c r="AX10" t="str">
        <v>Hidden Volcano</v>
      </c>
      <c r="BH10" t="str">
        <v>Visions of Phyrexia</v>
      </c>
      <c r="CH10" t="str">
        <f ca="1"/>
        <v>Horda Germinal</v>
      </c>
      <c r="CI10" t="str">
        <f ca="1"/>
        <v>Forest</v>
      </c>
      <c r="CJ10" t="str">
        <f ca="1"/>
        <v>High Priest of Penance</v>
      </c>
      <c r="CK10" t="str">
        <f ca="1"/>
        <v>Island</v>
      </c>
      <c r="CL10" t="str">
        <f ca="1"/>
        <v>Golgari Signet</v>
      </c>
      <c r="CM10" t="str">
        <f ca="1"/>
        <v>Mythos of Snapdax</v>
      </c>
      <c r="CN10" t="str">
        <f ca="1"/>
        <v>Karn's Temporal Sundering</v>
      </c>
      <c r="CO10" t="str">
        <f ca="1"/>
        <v>Glimmer Lens</v>
      </c>
      <c r="CR10" t="str">
        <f ca="1"/>
        <v>Shire Terrace</v>
      </c>
      <c r="CS10" t="str">
        <f ca="1"/>
        <v>Gravelighter</v>
      </c>
      <c r="CT10" t="str">
        <f ca="1"/>
        <v>Lotho, Corrupt Shirriff</v>
      </c>
      <c r="CV10" t="str">
        <f ca="1"/>
        <v>Hidden Volcano</v>
      </c>
      <c r="DA10" t="str">
        <f ca="1"/>
        <v>Visions of Phyrexia</v>
      </c>
      <c r="DO10" t="str">
        <f ca="1"/>
        <v>Dire Fleet Poisoner</v>
      </c>
      <c r="DP10" t="str">
        <f ca="1"/>
        <v>Evolving Wilds</v>
      </c>
      <c r="DQ10" t="str">
        <f ca="1"/>
        <v>Divergent Transformations</v>
      </c>
      <c r="DR10" t="str">
        <f ca="1"/>
        <v>Digsite Engineer</v>
      </c>
      <c r="DS10" t="str">
        <f ca="1"/>
        <v>Reclamation Sage</v>
      </c>
      <c r="DT10" t="str">
        <f ca="1"/>
        <v>Feldon of the Third Path</v>
      </c>
      <c r="DU10" t="str">
        <f ca="1"/>
        <v>Forest</v>
      </c>
      <c r="DV10" t="str">
        <f ca="1"/>
        <v>Hidden Volcano</v>
      </c>
      <c r="DX10" t="str">
        <f ca="1"/>
        <v>Visions of Phyrexia</v>
      </c>
      <c r="EF10" t="str">
        <f ca="1"/>
        <v>Coronation of Chaos</v>
      </c>
      <c r="EG10" t="str">
        <f ca="1"/>
        <v>Chaos Warp</v>
      </c>
      <c r="EH10" t="str">
        <f ca="1"/>
        <v>Detective's Satchel</v>
      </c>
      <c r="EI10" t="str">
        <f ca="1"/>
        <v>Earth Kingdom General</v>
      </c>
      <c r="EJ10" t="str">
        <f ca="1"/>
        <v>Visions of Phyrexia</v>
      </c>
      <c r="EO10" t="str">
        <f ca="1"/>
        <v>Blinkmoth Urn</v>
      </c>
      <c r="EP10" t="str">
        <f ca="1"/>
        <v>Caustic Caterpillar</v>
      </c>
      <c r="EQ10" t="str">
        <f ca="1"/>
        <v>Visions of Phyrexia</v>
      </c>
      <c r="ET10" t="str">
        <f ca="1"/>
        <v>Aquatic Incursion</v>
      </c>
      <c r="EU10" t="str">
        <f ca="1"/>
        <v>Visions of Phyrexia</v>
      </c>
      <c r="EW10" t="str">
        <f ca="1"/>
        <v>Aquatic Incursion</v>
      </c>
    </row>
    <row r="11" spans="1:153" x14ac:dyDescent="0.25">
      <c r="A11" t="str">
        <f ca="1"/>
        <v>Aetherize</v>
      </c>
      <c r="B11" s="2" t="str" cm="1">
        <f t="array" aca="1" ref="B11" ca="1">_xlfn.ANCHORARRAY(RESUMO!C10)</f>
        <v>4cRash</v>
      </c>
      <c r="C11" s="2" t="str">
        <f t="shared" ca="1" si="0"/>
        <v/>
      </c>
      <c r="E11" t="str">
        <f ca="1"/>
        <v>Arcbond</v>
      </c>
      <c r="F11" s="2">
        <f t="shared" ca="1" si="3"/>
        <v>1</v>
      </c>
      <c r="G11" s="2" t="str">
        <f t="shared" ca="1" si="1"/>
        <v>Kresh</v>
      </c>
      <c r="I11" s="18"/>
      <c r="J11" t="s">
        <v>180</v>
      </c>
      <c r="K11" s="2">
        <v>1</v>
      </c>
      <c r="M11" t="str">
        <f ca="1"/>
        <v>Arcbond</v>
      </c>
      <c r="N11" s="2">
        <f t="shared" ca="1" si="2"/>
        <v>1</v>
      </c>
      <c r="O11" s="2" t="str">
        <f ca="1">IFERROR(
 INDEX($U$2:$AX$2,
  MATCH(TRUE,
   CHOOSE({1;2;3;4;5;6;7;8;9;10;11;12;13;14;15;16;17;18;19;20;21;22;23;24;25;26;27;28;29;30;31;32},
    COUNTIFS($U$3:$U$201,$M11)&gt;0,
    COUNTIFS($V$3:$V$201,$M11)&gt;0,
    COUNTIFS($W$3:$W$201,$M11)&gt;0,
    COUNTIFS($X$3:$X$201,$M11)&gt;0,
    COUNTIFS($Y$3:$Y$201,$M11)&gt;0,
    COUNTIFS($Z$3:$Z$201,$M11)&gt;0,
    COUNTIFS($AA$3:$AA$201,$M11)&gt;0,
    COUNTIFS($AB$3:$AB$201,$M11)&gt;0,
    COUNTIFS($AC$3:$AC$201,$M11)&gt;0,
    COUNTIFS($AD$3:$AD$201,$M11)&gt;0,
    COUNTIFS($AE$3:$AE$201,$M11)&gt;0,
    COUNTIFS($AF$3:$AF$201,$M11)&gt;0,
    COUNTIFS($AG$3:$AG$201,$M11)&gt;0,
    COUNTIFS($AH$3:$AH$201,$M11)&gt;0,
    COUNTIFS($AI$3:$AI$201,$M11)&gt;0,
    COUNTIFS($AJ$3:$AJ$201,$M11)&gt;0,
    COUNTIFS($AK$3:$AK$201,$M11)&gt;0,
    COUNTIFS($AL$3:$AL$201,$M11)&gt;0,
    COUNTIFS($AM$3:$AM$201,$M11)&gt;0,
    COUNTIFS($AN$3:$AN$201,$M11)&gt;0,
    COUNTIFS($AO$3:$AO$201,$M11)&gt;0,
    COUNTIFS($AP$3:$AP$201,$M11)&gt;0,
    COUNTIFS($AQ$3:$AQ$201,$M11)&gt;0,
    COUNTIFS($AR$3:$AR$201,$M11)&gt;0,
    COUNTIFS($AS$3:$AS$201,$M11)&gt;0,
    COUNTIFS($AT$3:$AT$201,$M11)&gt;0,
    COUNTIFS($AU$3:$AU$201,$M11)&gt;0,
    COUNTIFS($AV$3:$AV$201,$M11)&gt;0,
    COUNTIFS($AW$3:$AW$201,$M11)&gt;0,
    COUNTIFS($AX$3:$AX$201,$M11)&gt;0
   ),
  0)
 ),
"")</f>
        <v>Kresh</v>
      </c>
      <c r="P11" s="2" t="str" cm="1">
        <f t="array" aca="1" ref="P11" ca="1">IFERROR(
 INDEX(
  _xlfn._xlws.FILTER($U$2:$AX$2,
   TRANSPOSE(
    CHOOSE({1;2;3;4;5;6;7;8;9;10;11;12;13;14;15;16;17;18;19;20;21;22;23;24;25;26;27;28;29;30},
     COUNTIFS($U$3:$U$201,$M11)&gt;0,
     COUNTIFS($V$3:$V$201,$M11)&gt;0,
     COUNTIFS($W$3:$W$201,$M11)&gt;0,
     COUNTIFS($X$3:$X$201,$M11)&gt;0,
     COUNTIFS($Y$3:$Y$201,$M11)&gt;0,
     COUNTIFS($Z$3:$Z$201,$M11)&gt;0,
     COUNTIFS($AA$3:$AA$201,$M11)&gt;0,
     COUNTIFS($AB$3:$AB$201,$M11)&gt;0,
     COUNTIFS($AC$3:$AC$201,$M11)&gt;0,
     COUNTIFS($AD$3:$AD$201,$M11)&gt;0,
     COUNTIFS($AE$3:$AE$201,$M11)&gt;0,
     COUNTIFS($AF$3:$AF$201,$M11)&gt;0,
     COUNTIFS($AG$3:$AG$201,$M11)&gt;0,
     COUNTIFS($AH$3:$AH$201,$M11)&gt;0,
     COUNTIFS($AI$3:$AI$201,$M11)&gt;0,
     COUNTIFS($AJ$3:$AJ$201,$M11)&gt;0,
     COUNTIFS($AK$3:$AK$201,$M11)&gt;0,
     COUNTIFS($AL$3:$AL$201,$M11)&gt;0,
     COUNTIFS($AM$3:$AM$201,$M11)&gt;0,
     COUNTIFS($AN$3:$AN$201,$M11)&gt;0,
     COUNTIFS($AO$3:$AO$201,$M11)&gt;0,
     COUNTIFS($AP$3:$AP$201,$M11)&gt;0,
     COUNTIFS($AQ$3:$AQ$201,$M11)&gt;0,
     COUNTIFS($AR$3:$AR$201,$M11)&gt;0,
     COUNTIFS($AS$3:$AS$201,$M11)&gt;0,
     COUNTIFS($AT$3:$AT$201,$M11)&gt;0,
     COUNTIFS($AU$3:$AU$201,$M11)&gt;0,
     COUNTIFS($AV$3:$AV$201,$M11)&gt;0,
     COUNTIFS($AW$3:$AW$201,$M11)&gt;0,
     COUNTIFS($AX$3:$AX$201,$M11)&gt;0
   )),
  ),
  2
 ),
"")</f>
        <v/>
      </c>
      <c r="Q11" s="2" t="str" cm="1">
        <f t="array" aca="1" ref="Q11" ca="1">IFERROR(
 INDEX(
  _xlfn._xlws.FILTER($U$2:$AX$2,
   TRANSPOSE(
    CHOOSE({1;2;3;4;5;6;7;8;9;10;11;12;13;14;15;16;17;18;19;20;21;22;23;24;25;26;27;28;29;30},
     COUNTIFS($U$3:$U$201,$M11)&gt;0,
     COUNTIFS($V$3:$V$201,$M11)&gt;0,
     COUNTIFS($W$3:$W$201,$M11)&gt;0,
     COUNTIFS($X$3:$X$201,$M11)&gt;0,
     COUNTIFS($Y$3:$Y$201,$M11)&gt;0,
     COUNTIFS($Z$3:$Z$201,$M11)&gt;0,
     COUNTIFS($AA$3:$AA$201,$M11)&gt;0,
     COUNTIFS($AB$3:$AB$201,$M11)&gt;0,
     COUNTIFS($AC$3:$AC$201,$M11)&gt;0,
     COUNTIFS($AD$3:$AD$201,$M11)&gt;0,
     COUNTIFS($AE$3:$AE$201,$M11)&gt;0,
     COUNTIFS($AF$3:$AF$201,$M11)&gt;0,
     COUNTIFS($AG$3:$AG$201,$M11)&gt;0,
     COUNTIFS($AH$3:$AH$201,$M11)&gt;0,
     COUNTIFS($AI$3:$AI$201,$M11)&gt;0,
     COUNTIFS($AJ$3:$AJ$201,$M11)&gt;0,
     COUNTIFS($AK$3:$AK$201,$M11)&gt;0,
     COUNTIFS($AL$3:$AL$201,$M11)&gt;0,
     COUNTIFS($AM$3:$AM$201,$M11)&gt;0,
     COUNTIFS($AN$3:$AN$201,$M11)&gt;0,
     COUNTIFS($AO$3:$AO$201,$M11)&gt;0,
     COUNTIFS($AP$3:$AP$201,$M11)&gt;0,
     COUNTIFS($AQ$3:$AQ$201,$M11)&gt;0,
     COUNTIFS($AR$3:$AR$201,$M11)&gt;0,
     COUNTIFS($AS$3:$AS$201,$M11)&gt;0,
     COUNTIFS($AT$3:$AT$201,$M11)&gt;0,
     COUNTIFS($AU$3:$AU$201,$M11)&gt;0,
     COUNTIFS($AV$3:$AV$201,$M11)&gt;0,
     COUNTIFS($AW$3:$AW$201,$M11)&gt;0,
     COUNTIFS($AX$3:$AX$201,$M11)&gt;0
   )),
  ),
  3
 ),
"")</f>
        <v/>
      </c>
      <c r="U11" t="str">
        <v>Wyll's Reversal</v>
      </c>
      <c r="V11" t="str">
        <v>Krosan Grip</v>
      </c>
      <c r="W11" t="str">
        <v>Opt</v>
      </c>
      <c r="X11" t="str">
        <v>Grismold, the Dreadsower</v>
      </c>
      <c r="Y11" t="str">
        <v>Reaper's Talisman</v>
      </c>
      <c r="Z11" t="str">
        <v>Shiny Impetus</v>
      </c>
      <c r="AA11" t="str">
        <v>Repudiate // Replicate</v>
      </c>
      <c r="AB11" t="str">
        <v>Vale Afundado</v>
      </c>
      <c r="AC11" t="str">
        <v>Kederekt Leviathan</v>
      </c>
      <c r="AD11" t="str">
        <v>Wall of Roots</v>
      </c>
      <c r="AF11" t="str">
        <v>Swamp</v>
      </c>
      <c r="AG11" t="str">
        <v>Swamp</v>
      </c>
      <c r="AH11" t="str">
        <v>Quasiduplicate</v>
      </c>
      <c r="AI11" t="str">
        <v>Kusari-Gama</v>
      </c>
      <c r="AJ11" t="str">
        <v>Urza Assembles the Titans</v>
      </c>
      <c r="AQ11" t="str">
        <v>Jarad, Golgari Lich Lord</v>
      </c>
      <c r="AX11" t="str">
        <v>Inspiring Call</v>
      </c>
      <c r="CH11" t="str">
        <f ca="1"/>
        <v>Indulge // Excess</v>
      </c>
      <c r="CI11" t="str">
        <f ca="1"/>
        <v>Fraying Sanity</v>
      </c>
      <c r="CJ11" t="str">
        <f ca="1"/>
        <v>Immortal Servitude</v>
      </c>
      <c r="CK11" t="str">
        <f ca="1"/>
        <v>Jolrael, Mwonvuli Recluse</v>
      </c>
      <c r="CL11" t="str">
        <f ca="1"/>
        <v>Grisly Salvage</v>
      </c>
      <c r="CM11" t="str">
        <f ca="1"/>
        <v>Pentavus</v>
      </c>
      <c r="CN11" t="str">
        <f ca="1"/>
        <v>Master of Death</v>
      </c>
      <c r="CO11" t="str">
        <f ca="1"/>
        <v>Goblin Morningstar</v>
      </c>
      <c r="CR11" t="str">
        <f ca="1"/>
        <v>Sisay's Ring</v>
      </c>
      <c r="CS11" t="str">
        <f ca="1"/>
        <v>Incite Rebellion</v>
      </c>
      <c r="CT11" t="str">
        <f ca="1"/>
        <v>Mondrak, Glory Dominus</v>
      </c>
      <c r="CV11" t="str">
        <f ca="1"/>
        <v>Inspiring Call</v>
      </c>
      <c r="DA11" t="e">
        <f ca="1"/>
        <v>#REF!</v>
      </c>
      <c r="DO11" t="str">
        <f ca="1"/>
        <v>Elesh Norn</v>
      </c>
      <c r="DP11" t="str">
        <f ca="1"/>
        <v>Forest</v>
      </c>
      <c r="DQ11" t="str">
        <f ca="1"/>
        <v>Duplicant</v>
      </c>
      <c r="DR11" t="str">
        <f ca="1"/>
        <v>Drown in the Loch</v>
      </c>
      <c r="DS11" t="str">
        <f ca="1"/>
        <v>Sarinth Greatwurm</v>
      </c>
      <c r="DT11" t="str">
        <f ca="1"/>
        <v>Fundição dos Cônsules</v>
      </c>
      <c r="DU11" t="str">
        <f ca="1"/>
        <v>Inspiring Statuary</v>
      </c>
      <c r="DV11" t="str">
        <f ca="1"/>
        <v>Inspiring Call</v>
      </c>
      <c r="DX11" t="e">
        <f ca="1"/>
        <v>#REF!</v>
      </c>
      <c r="EF11" t="str">
        <f ca="1"/>
        <v>Crashing Drawbridge</v>
      </c>
      <c r="EG11" t="str">
        <f ca="1"/>
        <v>Chromatic Lantern</v>
      </c>
      <c r="EH11" t="str">
        <f ca="1"/>
        <v>Dramatical Reversal</v>
      </c>
      <c r="EI11" t="str">
        <f ca="1"/>
        <v>Elves of Deep Shadow</v>
      </c>
      <c r="EJ11" t="e">
        <f ca="1"/>
        <v>#REF!</v>
      </c>
      <c r="EO11" t="str">
        <f ca="1"/>
        <v>Bruma Etérea</v>
      </c>
      <c r="EP11" t="str">
        <f ca="1"/>
        <v>Commissar Severina Raine</v>
      </c>
      <c r="EQ11" t="e">
        <f ca="1"/>
        <v>#REF!</v>
      </c>
      <c r="ET11" t="str">
        <f ca="1"/>
        <v>Arcbond</v>
      </c>
      <c r="EU11" t="e">
        <f ca="1"/>
        <v>#REF!</v>
      </c>
      <c r="EW11" t="str">
        <f ca="1"/>
        <v>Arcbond</v>
      </c>
    </row>
    <row r="12" spans="1:153" x14ac:dyDescent="0.25">
      <c r="A12" t="str">
        <f ca="1"/>
        <v>Agna Qel'a</v>
      </c>
      <c r="B12" s="2" t="str" cm="1">
        <f t="array" aca="1" ref="B12" ca="1">_xlfn.ANCHORARRAY(RESUMO!C11)</f>
        <v>JhoiraB</v>
      </c>
      <c r="C12" s="2" t="str">
        <f t="shared" ca="1" si="0"/>
        <v/>
      </c>
      <c r="E12" t="str">
        <f ca="1"/>
        <v>Aura Shards</v>
      </c>
      <c r="F12" s="2">
        <f t="shared" ca="1" si="3"/>
        <v>1</v>
      </c>
      <c r="G12" s="2" t="str">
        <f t="shared" ca="1" si="1"/>
        <v>Arcades</v>
      </c>
      <c r="I12" s="18"/>
      <c r="J12" t="s">
        <v>180</v>
      </c>
      <c r="K12" s="2">
        <v>1</v>
      </c>
      <c r="M12" t="str">
        <f ca="1"/>
        <v>Aura Shards</v>
      </c>
      <c r="N12" s="2">
        <f t="shared" ca="1" si="2"/>
        <v>1</v>
      </c>
      <c r="O12" s="2" t="str">
        <f ca="1">IFERROR(
 INDEX($U$2:$AX$2,
  MATCH(TRUE,
   CHOOSE({1;2;3;4;5;6;7;8;9;10;11;12;13;14;15;16;17;18;19;20;21;22;23;24;25;26;27;28;29;30;31;32},
    COUNTIFS($U$3:$U$201,$M12)&gt;0,
    COUNTIFS($V$3:$V$201,$M12)&gt;0,
    COUNTIFS($W$3:$W$201,$M12)&gt;0,
    COUNTIFS($X$3:$X$201,$M12)&gt;0,
    COUNTIFS($Y$3:$Y$201,$M12)&gt;0,
    COUNTIFS($Z$3:$Z$201,$M12)&gt;0,
    COUNTIFS($AA$3:$AA$201,$M12)&gt;0,
    COUNTIFS($AB$3:$AB$201,$M12)&gt;0,
    COUNTIFS($AC$3:$AC$201,$M12)&gt;0,
    COUNTIFS($AD$3:$AD$201,$M12)&gt;0,
    COUNTIFS($AE$3:$AE$201,$M12)&gt;0,
    COUNTIFS($AF$3:$AF$201,$M12)&gt;0,
    COUNTIFS($AG$3:$AG$201,$M12)&gt;0,
    COUNTIFS($AH$3:$AH$201,$M12)&gt;0,
    COUNTIFS($AI$3:$AI$201,$M12)&gt;0,
    COUNTIFS($AJ$3:$AJ$201,$M12)&gt;0,
    COUNTIFS($AK$3:$AK$201,$M12)&gt;0,
    COUNTIFS($AL$3:$AL$201,$M12)&gt;0,
    COUNTIFS($AM$3:$AM$201,$M12)&gt;0,
    COUNTIFS($AN$3:$AN$201,$M12)&gt;0,
    COUNTIFS($AO$3:$AO$201,$M12)&gt;0,
    COUNTIFS($AP$3:$AP$201,$M12)&gt;0,
    COUNTIFS($AQ$3:$AQ$201,$M12)&gt;0,
    COUNTIFS($AR$3:$AR$201,$M12)&gt;0,
    COUNTIFS($AS$3:$AS$201,$M12)&gt;0,
    COUNTIFS($AT$3:$AT$201,$M12)&gt;0,
    COUNTIFS($AU$3:$AU$201,$M12)&gt;0,
    COUNTIFS($AV$3:$AV$201,$M12)&gt;0,
    COUNTIFS($AW$3:$AW$201,$M12)&gt;0,
    COUNTIFS($AX$3:$AX$201,$M12)&gt;0
   ),
  0)
 ),
"")</f>
        <v>Arcades</v>
      </c>
      <c r="P12" s="2" t="str" cm="1">
        <f t="array" aca="1" ref="P12" ca="1">IFERROR(
 INDEX(
  _xlfn._xlws.FILTER($U$2:$AX$2,
   TRANSPOSE(
    CHOOSE({1;2;3;4;5;6;7;8;9;10;11;12;13;14;15;16;17;18;19;20;21;22;23;24;25;26;27;28;29;30},
     COUNTIFS($U$3:$U$201,$M12)&gt;0,
     COUNTIFS($V$3:$V$201,$M12)&gt;0,
     COUNTIFS($W$3:$W$201,$M12)&gt;0,
     COUNTIFS($X$3:$X$201,$M12)&gt;0,
     COUNTIFS($Y$3:$Y$201,$M12)&gt;0,
     COUNTIFS($Z$3:$Z$201,$M12)&gt;0,
     COUNTIFS($AA$3:$AA$201,$M12)&gt;0,
     COUNTIFS($AB$3:$AB$201,$M12)&gt;0,
     COUNTIFS($AC$3:$AC$201,$M12)&gt;0,
     COUNTIFS($AD$3:$AD$201,$M12)&gt;0,
     COUNTIFS($AE$3:$AE$201,$M12)&gt;0,
     COUNTIFS($AF$3:$AF$201,$M12)&gt;0,
     COUNTIFS($AG$3:$AG$201,$M12)&gt;0,
     COUNTIFS($AH$3:$AH$201,$M12)&gt;0,
     COUNTIFS($AI$3:$AI$201,$M12)&gt;0,
     COUNTIFS($AJ$3:$AJ$201,$M12)&gt;0,
     COUNTIFS($AK$3:$AK$201,$M12)&gt;0,
     COUNTIFS($AL$3:$AL$201,$M12)&gt;0,
     COUNTIFS($AM$3:$AM$201,$M12)&gt;0,
     COUNTIFS($AN$3:$AN$201,$M12)&gt;0,
     COUNTIFS($AO$3:$AO$201,$M12)&gt;0,
     COUNTIFS($AP$3:$AP$201,$M12)&gt;0,
     COUNTIFS($AQ$3:$AQ$201,$M12)&gt;0,
     COUNTIFS($AR$3:$AR$201,$M12)&gt;0,
     COUNTIFS($AS$3:$AS$201,$M12)&gt;0,
     COUNTIFS($AT$3:$AT$201,$M12)&gt;0,
     COUNTIFS($AU$3:$AU$201,$M12)&gt;0,
     COUNTIFS($AV$3:$AV$201,$M12)&gt;0,
     COUNTIFS($AW$3:$AW$201,$M12)&gt;0,
     COUNTIFS($AX$3:$AX$201,$M12)&gt;0
   )),
  ),
  2
 ),
"")</f>
        <v/>
      </c>
      <c r="Q12" s="2" t="str" cm="1">
        <f t="array" aca="1" ref="Q12" ca="1">IFERROR(
 INDEX(
  _xlfn._xlws.FILTER($U$2:$AX$2,
   TRANSPOSE(
    CHOOSE({1;2;3;4;5;6;7;8;9;10;11;12;13;14;15;16;17;18;19;20;21;22;23;24;25;26;27;28;29;30},
     COUNTIFS($U$3:$U$201,$M12)&gt;0,
     COUNTIFS($V$3:$V$201,$M12)&gt;0,
     COUNTIFS($W$3:$W$201,$M12)&gt;0,
     COUNTIFS($X$3:$X$201,$M12)&gt;0,
     COUNTIFS($Y$3:$Y$201,$M12)&gt;0,
     COUNTIFS($Z$3:$Z$201,$M12)&gt;0,
     COUNTIFS($AA$3:$AA$201,$M12)&gt;0,
     COUNTIFS($AB$3:$AB$201,$M12)&gt;0,
     COUNTIFS($AC$3:$AC$201,$M12)&gt;0,
     COUNTIFS($AD$3:$AD$201,$M12)&gt;0,
     COUNTIFS($AE$3:$AE$201,$M12)&gt;0,
     COUNTIFS($AF$3:$AF$201,$M12)&gt;0,
     COUNTIFS($AG$3:$AG$201,$M12)&gt;0,
     COUNTIFS($AH$3:$AH$201,$M12)&gt;0,
     COUNTIFS($AI$3:$AI$201,$M12)&gt;0,
     COUNTIFS($AJ$3:$AJ$201,$M12)&gt;0,
     COUNTIFS($AK$3:$AK$201,$M12)&gt;0,
     COUNTIFS($AL$3:$AL$201,$M12)&gt;0,
     COUNTIFS($AM$3:$AM$201,$M12)&gt;0,
     COUNTIFS($AN$3:$AN$201,$M12)&gt;0,
     COUNTIFS($AO$3:$AO$201,$M12)&gt;0,
     COUNTIFS($AP$3:$AP$201,$M12)&gt;0,
     COUNTIFS($AQ$3:$AQ$201,$M12)&gt;0,
     COUNTIFS($AR$3:$AR$201,$M12)&gt;0,
     COUNTIFS($AS$3:$AS$201,$M12)&gt;0,
     COUNTIFS($AT$3:$AT$201,$M12)&gt;0,
     COUNTIFS($AU$3:$AU$201,$M12)&gt;0,
     COUNTIFS($AV$3:$AV$201,$M12)&gt;0,
     COUNTIFS($AW$3:$AW$201,$M12)&gt;0,
     COUNTIFS($AX$3:$AX$201,$M12)&gt;0
   )),
  ),
  3
 ),
"")</f>
        <v/>
      </c>
      <c r="V12" t="str">
        <v>Midnight Guard</v>
      </c>
      <c r="W12" t="str">
        <v>Plains</v>
      </c>
      <c r="X12" t="str">
        <v>Mind Stone</v>
      </c>
      <c r="Z12" t="str">
        <v>Sontaran General</v>
      </c>
      <c r="AA12" t="str">
        <v>Thieving Skydiver</v>
      </c>
      <c r="AC12" t="str">
        <v>Scourge of Fleets</v>
      </c>
      <c r="AD12" t="str">
        <v>World Shaper</v>
      </c>
      <c r="AF12" t="str">
        <v>Swamp</v>
      </c>
      <c r="AG12" t="str">
        <v>Swamp</v>
      </c>
      <c r="AH12" t="str">
        <v>Shire Terrace</v>
      </c>
      <c r="AI12" t="str">
        <v>Lightning Spear</v>
      </c>
      <c r="AJ12" t="str">
        <v>Urza's Ruinous Blast</v>
      </c>
      <c r="AQ12" t="str">
        <v>Mage Slayer</v>
      </c>
      <c r="AX12" t="str">
        <v>Mountain</v>
      </c>
      <c r="CH12" t="str">
        <f ca="1"/>
        <v>Island</v>
      </c>
      <c r="CI12" t="str">
        <f ca="1"/>
        <v>Grismold, the Dreadsower</v>
      </c>
      <c r="CJ12" t="str">
        <f ca="1"/>
        <v>Japaland</v>
      </c>
      <c r="CK12" t="str">
        <f ca="1"/>
        <v>Lifecrafter's Bestiary</v>
      </c>
      <c r="CL12" t="str">
        <f ca="1"/>
        <v>Hedron Archive</v>
      </c>
      <c r="CM12" t="str">
        <f ca="1"/>
        <v>Silundi Vision</v>
      </c>
      <c r="CN12" t="str">
        <f ca="1"/>
        <v>Oversold Cemetery</v>
      </c>
      <c r="CO12" t="str">
        <f ca="1"/>
        <v>Horn of Valhalla // Ysgard's Call</v>
      </c>
      <c r="CR12" t="str">
        <f ca="1"/>
        <v>Spell Stutter</v>
      </c>
      <c r="CS12" t="str">
        <f ca="1"/>
        <v>Ingot Chewer</v>
      </c>
      <c r="CT12" t="str">
        <f ca="1"/>
        <v>Plains</v>
      </c>
      <c r="CV12" t="str">
        <f ca="1"/>
        <v>Mountain</v>
      </c>
      <c r="DO12" t="str">
        <f ca="1"/>
        <v>Eternal Witness</v>
      </c>
      <c r="DP12" t="str">
        <f ca="1"/>
        <v>Gavony Dawnguard</v>
      </c>
      <c r="DQ12" t="str">
        <f ca="1"/>
        <v>Fire Diamond</v>
      </c>
      <c r="DR12" t="str">
        <f ca="1"/>
        <v>Eaten Alive</v>
      </c>
      <c r="DS12" t="str">
        <f ca="1"/>
        <v>Swamp</v>
      </c>
      <c r="DT12" t="str">
        <f ca="1"/>
        <v>Gravelighter</v>
      </c>
      <c r="DU12" t="str">
        <f ca="1"/>
        <v>Lotho, Corrupt Shirriff</v>
      </c>
      <c r="DV12" t="str">
        <f ca="1"/>
        <v>Mountain</v>
      </c>
      <c r="EF12" t="str">
        <f ca="1"/>
        <v>Cut your Losses</v>
      </c>
      <c r="EG12" t="str">
        <f ca="1"/>
        <v>Crawling Infestation</v>
      </c>
      <c r="EH12" t="str">
        <f ca="1"/>
        <v>Evolving Wilds</v>
      </c>
      <c r="EI12" t="str">
        <f ca="1"/>
        <v>Evolving Wilds</v>
      </c>
      <c r="EJ12" t="e" vm="2">
        <f ca="1"/>
        <v>#VALUE!</v>
      </c>
      <c r="EO12" t="str">
        <f ca="1"/>
        <v>Buried Alive</v>
      </c>
      <c r="EP12" t="str">
        <f ca="1"/>
        <v>Consecrated Sphinx</v>
      </c>
      <c r="EQ12" t="e" vm="2">
        <f ca="1"/>
        <v>#VALUE!</v>
      </c>
      <c r="ET12" t="str">
        <f ca="1"/>
        <v>Aura Shards</v>
      </c>
      <c r="EU12" t="e" vm="2">
        <f ca="1"/>
        <v>#VALUE!</v>
      </c>
      <c r="EW12" t="str">
        <f ca="1"/>
        <v>Aura Shards</v>
      </c>
    </row>
    <row r="13" spans="1:153" x14ac:dyDescent="0.25">
      <c r="A13" t="str">
        <f ca="1"/>
        <v>Ainok Strike Leader</v>
      </c>
      <c r="B13" s="2" t="str" cm="1">
        <f t="array" aca="1" ref="B13" ca="1">_xlfn.ANCHORARRAY(RESUMO!C12)</f>
        <v>Little</v>
      </c>
      <c r="C13" s="2" t="str">
        <f t="shared" ca="1" si="0"/>
        <v/>
      </c>
      <c r="E13" t="str">
        <f ca="1"/>
        <v>Bant Charm</v>
      </c>
      <c r="F13" s="2">
        <f t="shared" ca="1" si="3"/>
        <v>1</v>
      </c>
      <c r="G13" s="2" t="str">
        <f t="shared" ca="1" si="1"/>
        <v>Sisay</v>
      </c>
      <c r="I13" s="18"/>
      <c r="J13" t="s">
        <v>180</v>
      </c>
      <c r="K13" s="2">
        <v>1</v>
      </c>
      <c r="M13" t="str">
        <f ca="1"/>
        <v>Bant Charm</v>
      </c>
      <c r="N13" s="2">
        <f t="shared" ca="1" si="2"/>
        <v>1</v>
      </c>
      <c r="O13" s="2" t="str">
        <f ca="1">IFERROR(
 INDEX($U$2:$AX$2,
  MATCH(TRUE,
   CHOOSE({1;2;3;4;5;6;7;8;9;10;11;12;13;14;15;16;17;18;19;20;21;22;23;24;25;26;27;28;29;30;31;32},
    COUNTIFS($U$3:$U$201,$M13)&gt;0,
    COUNTIFS($V$3:$V$201,$M13)&gt;0,
    COUNTIFS($W$3:$W$201,$M13)&gt;0,
    COUNTIFS($X$3:$X$201,$M13)&gt;0,
    COUNTIFS($Y$3:$Y$201,$M13)&gt;0,
    COUNTIFS($Z$3:$Z$201,$M13)&gt;0,
    COUNTIFS($AA$3:$AA$201,$M13)&gt;0,
    COUNTIFS($AB$3:$AB$201,$M13)&gt;0,
    COUNTIFS($AC$3:$AC$201,$M13)&gt;0,
    COUNTIFS($AD$3:$AD$201,$M13)&gt;0,
    COUNTIFS($AE$3:$AE$201,$M13)&gt;0,
    COUNTIFS($AF$3:$AF$201,$M13)&gt;0,
    COUNTIFS($AG$3:$AG$201,$M13)&gt;0,
    COUNTIFS($AH$3:$AH$201,$M13)&gt;0,
    COUNTIFS($AI$3:$AI$201,$M13)&gt;0,
    COUNTIFS($AJ$3:$AJ$201,$M13)&gt;0,
    COUNTIFS($AK$3:$AK$201,$M13)&gt;0,
    COUNTIFS($AL$3:$AL$201,$M13)&gt;0,
    COUNTIFS($AM$3:$AM$201,$M13)&gt;0,
    COUNTIFS($AN$3:$AN$201,$M13)&gt;0,
    COUNTIFS($AO$3:$AO$201,$M13)&gt;0,
    COUNTIFS($AP$3:$AP$201,$M13)&gt;0,
    COUNTIFS($AQ$3:$AQ$201,$M13)&gt;0,
    COUNTIFS($AR$3:$AR$201,$M13)&gt;0,
    COUNTIFS($AS$3:$AS$201,$M13)&gt;0,
    COUNTIFS($AT$3:$AT$201,$M13)&gt;0,
    COUNTIFS($AU$3:$AU$201,$M13)&gt;0,
    COUNTIFS($AV$3:$AV$201,$M13)&gt;0,
    COUNTIFS($AW$3:$AW$201,$M13)&gt;0,
    COUNTIFS($AX$3:$AX$201,$M13)&gt;0
   ),
  0)
 ),
"")</f>
        <v>Sisay</v>
      </c>
      <c r="P13" s="2" t="str" cm="1">
        <f t="array" aca="1" ref="P13" ca="1">IFERROR(
 INDEX(
  _xlfn._xlws.FILTER($U$2:$AX$2,
   TRANSPOSE(
    CHOOSE({1;2;3;4;5;6;7;8;9;10;11;12;13;14;15;16;17;18;19;20;21;22;23;24;25;26;27;28;29;30},
     COUNTIFS($U$3:$U$201,$M13)&gt;0,
     COUNTIFS($V$3:$V$201,$M13)&gt;0,
     COUNTIFS($W$3:$W$201,$M13)&gt;0,
     COUNTIFS($X$3:$X$201,$M13)&gt;0,
     COUNTIFS($Y$3:$Y$201,$M13)&gt;0,
     COUNTIFS($Z$3:$Z$201,$M13)&gt;0,
     COUNTIFS($AA$3:$AA$201,$M13)&gt;0,
     COUNTIFS($AB$3:$AB$201,$M13)&gt;0,
     COUNTIFS($AC$3:$AC$201,$M13)&gt;0,
     COUNTIFS($AD$3:$AD$201,$M13)&gt;0,
     COUNTIFS($AE$3:$AE$201,$M13)&gt;0,
     COUNTIFS($AF$3:$AF$201,$M13)&gt;0,
     COUNTIFS($AG$3:$AG$201,$M13)&gt;0,
     COUNTIFS($AH$3:$AH$201,$M13)&gt;0,
     COUNTIFS($AI$3:$AI$201,$M13)&gt;0,
     COUNTIFS($AJ$3:$AJ$201,$M13)&gt;0,
     COUNTIFS($AK$3:$AK$201,$M13)&gt;0,
     COUNTIFS($AL$3:$AL$201,$M13)&gt;0,
     COUNTIFS($AM$3:$AM$201,$M13)&gt;0,
     COUNTIFS($AN$3:$AN$201,$M13)&gt;0,
     COUNTIFS($AO$3:$AO$201,$M13)&gt;0,
     COUNTIFS($AP$3:$AP$201,$M13)&gt;0,
     COUNTIFS($AQ$3:$AQ$201,$M13)&gt;0,
     COUNTIFS($AR$3:$AR$201,$M13)&gt;0,
     COUNTIFS($AS$3:$AS$201,$M13)&gt;0,
     COUNTIFS($AT$3:$AT$201,$M13)&gt;0,
     COUNTIFS($AU$3:$AU$201,$M13)&gt;0,
     COUNTIFS($AV$3:$AV$201,$M13)&gt;0,
     COUNTIFS($AW$3:$AW$201,$M13)&gt;0,
     COUNTIFS($AX$3:$AX$201,$M13)&gt;0
   )),
  ),
  2
 ),
"")</f>
        <v/>
      </c>
      <c r="Q13" s="2" t="str" cm="1">
        <f t="array" aca="1" ref="Q13" ca="1">IFERROR(
 INDEX(
  _xlfn._xlws.FILTER($U$2:$AX$2,
   TRANSPOSE(
    CHOOSE({1;2;3;4;5;6;7;8;9;10;11;12;13;14;15;16;17;18;19;20;21;22;23;24;25;26;27;28;29;30},
     COUNTIFS($U$3:$U$201,$M13)&gt;0,
     COUNTIFS($V$3:$V$201,$M13)&gt;0,
     COUNTIFS($W$3:$W$201,$M13)&gt;0,
     COUNTIFS($X$3:$X$201,$M13)&gt;0,
     COUNTIFS($Y$3:$Y$201,$M13)&gt;0,
     COUNTIFS($Z$3:$Z$201,$M13)&gt;0,
     COUNTIFS($AA$3:$AA$201,$M13)&gt;0,
     COUNTIFS($AB$3:$AB$201,$M13)&gt;0,
     COUNTIFS($AC$3:$AC$201,$M13)&gt;0,
     COUNTIFS($AD$3:$AD$201,$M13)&gt;0,
     COUNTIFS($AE$3:$AE$201,$M13)&gt;0,
     COUNTIFS($AF$3:$AF$201,$M13)&gt;0,
     COUNTIFS($AG$3:$AG$201,$M13)&gt;0,
     COUNTIFS($AH$3:$AH$201,$M13)&gt;0,
     COUNTIFS($AI$3:$AI$201,$M13)&gt;0,
     COUNTIFS($AJ$3:$AJ$201,$M13)&gt;0,
     COUNTIFS($AK$3:$AK$201,$M13)&gt;0,
     COUNTIFS($AL$3:$AL$201,$M13)&gt;0,
     COUNTIFS($AM$3:$AM$201,$M13)&gt;0,
     COUNTIFS($AN$3:$AN$201,$M13)&gt;0,
     COUNTIFS($AO$3:$AO$201,$M13)&gt;0,
     COUNTIFS($AP$3:$AP$201,$M13)&gt;0,
     COUNTIFS($AQ$3:$AQ$201,$M13)&gt;0,
     COUNTIFS($AR$3:$AR$201,$M13)&gt;0,
     COUNTIFS($AS$3:$AS$201,$M13)&gt;0,
     COUNTIFS($AT$3:$AT$201,$M13)&gt;0,
     COUNTIFS($AU$3:$AU$201,$M13)&gt;0,
     COUNTIFS($AV$3:$AV$201,$M13)&gt;0,
     COUNTIFS($AW$3:$AW$201,$M13)&gt;0,
     COUNTIFS($AX$3:$AX$201,$M13)&gt;0
   )),
  ),
  3
 ),
"")</f>
        <v/>
      </c>
      <c r="V13" t="str">
        <v>Mountain</v>
      </c>
      <c r="W13" t="str">
        <v>Plains</v>
      </c>
      <c r="X13" t="str">
        <v>Morbid Opportunist</v>
      </c>
      <c r="AA13" t="str">
        <v>Watertrap Weaver</v>
      </c>
      <c r="AC13" t="str">
        <v>Stormtide Leviathan</v>
      </c>
      <c r="AG13" t="str">
        <v>Swamp</v>
      </c>
      <c r="AH13" t="str">
        <v>Swamp</v>
      </c>
      <c r="AI13" t="str">
        <v>Mask of Memory</v>
      </c>
      <c r="AQ13" t="str">
        <v>Mogis, God of Slaughter</v>
      </c>
      <c r="AX13" t="str">
        <v>Roilling Regrowth</v>
      </c>
      <c r="CH13" t="str">
        <f ca="1"/>
        <v>Kayla's Command</v>
      </c>
      <c r="CI13" t="str">
        <f ca="1"/>
        <v>Island</v>
      </c>
      <c r="CJ13" t="str">
        <f ca="1"/>
        <v>Kazuul, Tyrant of the Cliffs</v>
      </c>
      <c r="CK13" t="str">
        <f ca="1"/>
        <v>Lonis, Cryptozoologist</v>
      </c>
      <c r="CL13" t="str">
        <f ca="1"/>
        <v>Island</v>
      </c>
      <c r="CM13" t="str">
        <f ca="1"/>
        <v>Stoic Rebuttal</v>
      </c>
      <c r="CN13" t="str">
        <f ca="1"/>
        <v>Part the Waterveil</v>
      </c>
      <c r="CO13" t="str">
        <f ca="1"/>
        <v>Infiltration Lens</v>
      </c>
      <c r="CR13" t="str">
        <f ca="1"/>
        <v>Thirst for Knowledge</v>
      </c>
      <c r="CS13" t="str">
        <f ca="1"/>
        <v>Jarad, Golgari Lich Lord</v>
      </c>
      <c r="CT13" t="str">
        <f ca="1"/>
        <v>Portão da Guilda Orzhov</v>
      </c>
      <c r="CV13" t="str">
        <f ca="1"/>
        <v>Roilling Regrowth</v>
      </c>
      <c r="DO13" t="str">
        <f ca="1"/>
        <v>Evolving Wilds</v>
      </c>
      <c r="DP13" t="str">
        <f ca="1"/>
        <v>Ghoulish Procession</v>
      </c>
      <c r="DQ13" t="str">
        <f ca="1"/>
        <v>Forest</v>
      </c>
      <c r="DR13" t="str">
        <f ca="1"/>
        <v>Exclusion Mage</v>
      </c>
      <c r="DS13" t="e" vm="2">
        <f ca="1"/>
        <v>#VALUE!</v>
      </c>
      <c r="DT13" t="str">
        <f ca="1"/>
        <v>Incite Rebellion</v>
      </c>
      <c r="DU13" t="str">
        <f ca="1"/>
        <v>Mondrak, Glory Dominus</v>
      </c>
      <c r="DV13" t="str">
        <f ca="1"/>
        <v>Roilling Regrowth</v>
      </c>
      <c r="EF13" t="str">
        <f ca="1"/>
        <v>Decanter of Endless Water</v>
      </c>
      <c r="EG13" t="str">
        <f ca="1"/>
        <v>Danitha Capashen, Paragon</v>
      </c>
      <c r="EH13" t="str">
        <f ca="1"/>
        <v>Feldon of the Third Path</v>
      </c>
      <c r="EI13" t="str">
        <f ca="1"/>
        <v>Forest</v>
      </c>
      <c r="EO13" t="str">
        <f ca="1"/>
        <v>Campo Contaminado</v>
      </c>
      <c r="EP13" t="str">
        <f ca="1"/>
        <v>Dawntreader Elk</v>
      </c>
      <c r="ET13" t="str">
        <f ca="1"/>
        <v>Bant Charm</v>
      </c>
      <c r="EW13" t="str">
        <f ca="1"/>
        <v>Bant Charm</v>
      </c>
    </row>
    <row r="14" spans="1:153" x14ac:dyDescent="0.25">
      <c r="A14" t="str">
        <f ca="1"/>
        <v>Alchemist's Refuge</v>
      </c>
      <c r="B14" s="2" t="str" cm="1">
        <f t="array" aca="1" ref="B14" ca="1">_xlfn.ANCHORARRAY(RESUMO!C13)</f>
        <v>Elfos</v>
      </c>
      <c r="C14" s="2" t="str">
        <f t="shared" ca="1" si="0"/>
        <v/>
      </c>
      <c r="E14" t="str">
        <f ca="1"/>
        <v>Barbed Spike</v>
      </c>
      <c r="F14" s="2">
        <f t="shared" ca="1" si="3"/>
        <v>1</v>
      </c>
      <c r="G14" s="2" t="str">
        <f t="shared" ca="1" si="1"/>
        <v>Akiri</v>
      </c>
      <c r="I14" s="18"/>
      <c r="J14" t="s">
        <v>180</v>
      </c>
      <c r="K14" s="2">
        <v>1</v>
      </c>
      <c r="M14" t="str">
        <f ca="1"/>
        <v>Barbed Spike</v>
      </c>
      <c r="N14" s="2">
        <f t="shared" ca="1" si="2"/>
        <v>1</v>
      </c>
      <c r="O14" s="2" t="str">
        <f ca="1">IFERROR(
 INDEX($U$2:$AX$2,
  MATCH(TRUE,
   CHOOSE({1;2;3;4;5;6;7;8;9;10;11;12;13;14;15;16;17;18;19;20;21;22;23;24;25;26;27;28;29;30;31;32},
    COUNTIFS($U$3:$U$201,$M14)&gt;0,
    COUNTIFS($V$3:$V$201,$M14)&gt;0,
    COUNTIFS($W$3:$W$201,$M14)&gt;0,
    COUNTIFS($X$3:$X$201,$M14)&gt;0,
    COUNTIFS($Y$3:$Y$201,$M14)&gt;0,
    COUNTIFS($Z$3:$Z$201,$M14)&gt;0,
    COUNTIFS($AA$3:$AA$201,$M14)&gt;0,
    COUNTIFS($AB$3:$AB$201,$M14)&gt;0,
    COUNTIFS($AC$3:$AC$201,$M14)&gt;0,
    COUNTIFS($AD$3:$AD$201,$M14)&gt;0,
    COUNTIFS($AE$3:$AE$201,$M14)&gt;0,
    COUNTIFS($AF$3:$AF$201,$M14)&gt;0,
    COUNTIFS($AG$3:$AG$201,$M14)&gt;0,
    COUNTIFS($AH$3:$AH$201,$M14)&gt;0,
    COUNTIFS($AI$3:$AI$201,$M14)&gt;0,
    COUNTIFS($AJ$3:$AJ$201,$M14)&gt;0,
    COUNTIFS($AK$3:$AK$201,$M14)&gt;0,
    COUNTIFS($AL$3:$AL$201,$M14)&gt;0,
    COUNTIFS($AM$3:$AM$201,$M14)&gt;0,
    COUNTIFS($AN$3:$AN$201,$M14)&gt;0,
    COUNTIFS($AO$3:$AO$201,$M14)&gt;0,
    COUNTIFS($AP$3:$AP$201,$M14)&gt;0,
    COUNTIFS($AQ$3:$AQ$201,$M14)&gt;0,
    COUNTIFS($AR$3:$AR$201,$M14)&gt;0,
    COUNTIFS($AS$3:$AS$201,$M14)&gt;0,
    COUNTIFS($AT$3:$AT$201,$M14)&gt;0,
    COUNTIFS($AU$3:$AU$201,$M14)&gt;0,
    COUNTIFS($AV$3:$AV$201,$M14)&gt;0,
    COUNTIFS($AW$3:$AW$201,$M14)&gt;0,
    COUNTIFS($AX$3:$AX$201,$M14)&gt;0
   ),
  0)
 ),
"")</f>
        <v>Akiri</v>
      </c>
      <c r="P14" s="2" t="str" cm="1">
        <f t="array" aca="1" ref="P14" ca="1">IFERROR(
 INDEX(
  _xlfn._xlws.FILTER($U$2:$AX$2,
   TRANSPOSE(
    CHOOSE({1;2;3;4;5;6;7;8;9;10;11;12;13;14;15;16;17;18;19;20;21;22;23;24;25;26;27;28;29;30},
     COUNTIFS($U$3:$U$201,$M14)&gt;0,
     COUNTIFS($V$3:$V$201,$M14)&gt;0,
     COUNTIFS($W$3:$W$201,$M14)&gt;0,
     COUNTIFS($X$3:$X$201,$M14)&gt;0,
     COUNTIFS($Y$3:$Y$201,$M14)&gt;0,
     COUNTIFS($Z$3:$Z$201,$M14)&gt;0,
     COUNTIFS($AA$3:$AA$201,$M14)&gt;0,
     COUNTIFS($AB$3:$AB$201,$M14)&gt;0,
     COUNTIFS($AC$3:$AC$201,$M14)&gt;0,
     COUNTIFS($AD$3:$AD$201,$M14)&gt;0,
     COUNTIFS($AE$3:$AE$201,$M14)&gt;0,
     COUNTIFS($AF$3:$AF$201,$M14)&gt;0,
     COUNTIFS($AG$3:$AG$201,$M14)&gt;0,
     COUNTIFS($AH$3:$AH$201,$M14)&gt;0,
     COUNTIFS($AI$3:$AI$201,$M14)&gt;0,
     COUNTIFS($AJ$3:$AJ$201,$M14)&gt;0,
     COUNTIFS($AK$3:$AK$201,$M14)&gt;0,
     COUNTIFS($AL$3:$AL$201,$M14)&gt;0,
     COUNTIFS($AM$3:$AM$201,$M14)&gt;0,
     COUNTIFS($AN$3:$AN$201,$M14)&gt;0,
     COUNTIFS($AO$3:$AO$201,$M14)&gt;0,
     COUNTIFS($AP$3:$AP$201,$M14)&gt;0,
     COUNTIFS($AQ$3:$AQ$201,$M14)&gt;0,
     COUNTIFS($AR$3:$AR$201,$M14)&gt;0,
     COUNTIFS($AS$3:$AS$201,$M14)&gt;0,
     COUNTIFS($AT$3:$AT$201,$M14)&gt;0,
     COUNTIFS($AU$3:$AU$201,$M14)&gt;0,
     COUNTIFS($AV$3:$AV$201,$M14)&gt;0,
     COUNTIFS($AW$3:$AW$201,$M14)&gt;0,
     COUNTIFS($AX$3:$AX$201,$M14)&gt;0
   )),
  ),
  2
 ),
"")</f>
        <v/>
      </c>
      <c r="Q14" s="2" t="str" cm="1">
        <f t="array" aca="1" ref="Q14" ca="1">IFERROR(
 INDEX(
  _xlfn._xlws.FILTER($U$2:$AX$2,
   TRANSPOSE(
    CHOOSE({1;2;3;4;5;6;7;8;9;10;11;12;13;14;15;16;17;18;19;20;21;22;23;24;25;26;27;28;29;30},
     COUNTIFS($U$3:$U$201,$M14)&gt;0,
     COUNTIFS($V$3:$V$201,$M14)&gt;0,
     COUNTIFS($W$3:$W$201,$M14)&gt;0,
     COUNTIFS($X$3:$X$201,$M14)&gt;0,
     COUNTIFS($Y$3:$Y$201,$M14)&gt;0,
     COUNTIFS($Z$3:$Z$201,$M14)&gt;0,
     COUNTIFS($AA$3:$AA$201,$M14)&gt;0,
     COUNTIFS($AB$3:$AB$201,$M14)&gt;0,
     COUNTIFS($AC$3:$AC$201,$M14)&gt;0,
     COUNTIFS($AD$3:$AD$201,$M14)&gt;0,
     COUNTIFS($AE$3:$AE$201,$M14)&gt;0,
     COUNTIFS($AF$3:$AF$201,$M14)&gt;0,
     COUNTIFS($AG$3:$AG$201,$M14)&gt;0,
     COUNTIFS($AH$3:$AH$201,$M14)&gt;0,
     COUNTIFS($AI$3:$AI$201,$M14)&gt;0,
     COUNTIFS($AJ$3:$AJ$201,$M14)&gt;0,
     COUNTIFS($AK$3:$AK$201,$M14)&gt;0,
     COUNTIFS($AL$3:$AL$201,$M14)&gt;0,
     COUNTIFS($AM$3:$AM$201,$M14)&gt;0,
     COUNTIFS($AN$3:$AN$201,$M14)&gt;0,
     COUNTIFS($AO$3:$AO$201,$M14)&gt;0,
     COUNTIFS($AP$3:$AP$201,$M14)&gt;0,
     COUNTIFS($AQ$3:$AQ$201,$M14)&gt;0,
     COUNTIFS($AR$3:$AR$201,$M14)&gt;0,
     COUNTIFS($AS$3:$AS$201,$M14)&gt;0,
     COUNTIFS($AT$3:$AT$201,$M14)&gt;0,
     COUNTIFS($AU$3:$AU$201,$M14)&gt;0,
     COUNTIFS($AV$3:$AV$201,$M14)&gt;0,
     COUNTIFS($AW$3:$AW$201,$M14)&gt;0,
     COUNTIFS($AX$3:$AX$201,$M14)&gt;0
   )),
  ),
  3
 ),
"")</f>
        <v/>
      </c>
      <c r="V14" t="str">
        <v>Naya Charm</v>
      </c>
      <c r="W14" t="str">
        <v>Realmbreaker, the Invasion Tree</v>
      </c>
      <c r="X14" t="str">
        <v>Nyx Weaver</v>
      </c>
      <c r="AC14" t="str">
        <v>Wayfarrer's Bauble</v>
      </c>
      <c r="AG14" t="str">
        <v>Swamp</v>
      </c>
      <c r="AH14" t="str">
        <v>Vivid Marsh</v>
      </c>
      <c r="AI14" t="str">
        <v>Plate Armor</v>
      </c>
      <c r="AQ14" t="str">
        <v>Murderous Rider // Swift End</v>
      </c>
      <c r="AX14" t="str">
        <v>Rumble Arena</v>
      </c>
      <c r="CH14" t="str">
        <f ca="1"/>
        <v>Krosan Grip</v>
      </c>
      <c r="CI14" t="str">
        <f ca="1"/>
        <v>Jeskai Ascendancy</v>
      </c>
      <c r="CJ14" t="str">
        <f ca="1"/>
        <v>Lifecreed Duo</v>
      </c>
      <c r="CK14" t="str">
        <f ca="1"/>
        <v>Muldrotha, the Gravetide</v>
      </c>
      <c r="CL14" t="str">
        <f ca="1"/>
        <v>Kederekt Leviathan</v>
      </c>
      <c r="CM14" t="str">
        <f ca="1"/>
        <v>Swamp</v>
      </c>
      <c r="CN14" t="str">
        <f ca="1"/>
        <v>Patriarch's Bidding</v>
      </c>
      <c r="CO14" t="str">
        <f ca="1"/>
        <v>Kasmina, Enigma Sage</v>
      </c>
      <c r="CR14" t="str">
        <f ca="1"/>
        <v>Wizard's Retort</v>
      </c>
      <c r="CS14" t="str">
        <f ca="1"/>
        <v>Mage Slayer</v>
      </c>
      <c r="CT14" t="str">
        <f ca="1"/>
        <v>Swamp</v>
      </c>
      <c r="CV14" t="str">
        <f ca="1"/>
        <v>Rumble Arena</v>
      </c>
      <c r="DO14" t="str">
        <f ca="1"/>
        <v>Fiend Artisan</v>
      </c>
      <c r="DP14" t="str">
        <f ca="1"/>
        <v>Goblin Spymaster</v>
      </c>
      <c r="DQ14" t="str">
        <f ca="1"/>
        <v>Golgari Signet</v>
      </c>
      <c r="DR14" t="str">
        <f ca="1"/>
        <v>Fell the Mighty</v>
      </c>
      <c r="DT14" t="str">
        <f ca="1"/>
        <v>Ingot Chewer</v>
      </c>
      <c r="DU14" t="str">
        <f ca="1"/>
        <v>Mountain</v>
      </c>
      <c r="DV14" t="str">
        <f ca="1"/>
        <v>Rumble Arena</v>
      </c>
      <c r="EF14" t="str">
        <f ca="1"/>
        <v>Deeprooot Wayfinder</v>
      </c>
      <c r="EG14" t="str">
        <f ca="1"/>
        <v>Death Rattle</v>
      </c>
      <c r="EH14" t="str">
        <f ca="1"/>
        <v>Fundição dos Cônsules</v>
      </c>
      <c r="EI14" t="str">
        <f ca="1"/>
        <v>Harrow</v>
      </c>
      <c r="EO14" t="str">
        <f ca="1"/>
        <v>Captain Lannery Storm</v>
      </c>
      <c r="EP14" t="str">
        <f ca="1"/>
        <v>Detective's Satchel</v>
      </c>
      <c r="ET14" t="str">
        <f ca="1"/>
        <v>Barbed Spike</v>
      </c>
      <c r="EW14" t="str">
        <f ca="1"/>
        <v>Barbed Spike</v>
      </c>
    </row>
    <row r="15" spans="1:153" x14ac:dyDescent="0.25">
      <c r="A15" t="str">
        <f ca="1"/>
        <v>Alesha, Who Smiles at Death</v>
      </c>
      <c r="B15" s="2" t="str" cm="1">
        <f t="array" aca="1" ref="B15" ca="1">_xlfn.ANCHORARRAY(RESUMO!C14)</f>
        <v>Little</v>
      </c>
      <c r="C15" s="2" t="str">
        <f t="shared" ca="1" si="0"/>
        <v/>
      </c>
      <c r="E15" t="str">
        <f ca="1"/>
        <v>Barkform Harvester</v>
      </c>
      <c r="F15" s="2">
        <f t="shared" ca="1" si="3"/>
        <v>1</v>
      </c>
      <c r="G15" s="2" t="str">
        <f t="shared" ca="1" si="1"/>
        <v/>
      </c>
      <c r="I15" s="18"/>
      <c r="J15" t="s">
        <v>180</v>
      </c>
      <c r="K15" s="2">
        <v>1</v>
      </c>
      <c r="M15" t="str">
        <f ca="1"/>
        <v>Barkform Harvester</v>
      </c>
      <c r="N15" s="2">
        <f t="shared" ca="1" si="2"/>
        <v>0</v>
      </c>
      <c r="O15" s="2" t="str">
        <f ca="1">IFERROR(
 INDEX($U$2:$AX$2,
  MATCH(TRUE,
   CHOOSE({1;2;3;4;5;6;7;8;9;10;11;12;13;14;15;16;17;18;19;20;21;22;23;24;25;26;27;28;29;30;31;32},
    COUNTIFS($U$3:$U$201,$M15)&gt;0,
    COUNTIFS($V$3:$V$201,$M15)&gt;0,
    COUNTIFS($W$3:$W$201,$M15)&gt;0,
    COUNTIFS($X$3:$X$201,$M15)&gt;0,
    COUNTIFS($Y$3:$Y$201,$M15)&gt;0,
    COUNTIFS($Z$3:$Z$201,$M15)&gt;0,
    COUNTIFS($AA$3:$AA$201,$M15)&gt;0,
    COUNTIFS($AB$3:$AB$201,$M15)&gt;0,
    COUNTIFS($AC$3:$AC$201,$M15)&gt;0,
    COUNTIFS($AD$3:$AD$201,$M15)&gt;0,
    COUNTIFS($AE$3:$AE$201,$M15)&gt;0,
    COUNTIFS($AF$3:$AF$201,$M15)&gt;0,
    COUNTIFS($AG$3:$AG$201,$M15)&gt;0,
    COUNTIFS($AH$3:$AH$201,$M15)&gt;0,
    COUNTIFS($AI$3:$AI$201,$M15)&gt;0,
    COUNTIFS($AJ$3:$AJ$201,$M15)&gt;0,
    COUNTIFS($AK$3:$AK$201,$M15)&gt;0,
    COUNTIFS($AL$3:$AL$201,$M15)&gt;0,
    COUNTIFS($AM$3:$AM$201,$M15)&gt;0,
    COUNTIFS($AN$3:$AN$201,$M15)&gt;0,
    COUNTIFS($AO$3:$AO$201,$M15)&gt;0,
    COUNTIFS($AP$3:$AP$201,$M15)&gt;0,
    COUNTIFS($AQ$3:$AQ$201,$M15)&gt;0,
    COUNTIFS($AR$3:$AR$201,$M15)&gt;0,
    COUNTIFS($AS$3:$AS$201,$M15)&gt;0,
    COUNTIFS($AT$3:$AT$201,$M15)&gt;0,
    COUNTIFS($AU$3:$AU$201,$M15)&gt;0,
    COUNTIFS($AV$3:$AV$201,$M15)&gt;0,
    COUNTIFS($AW$3:$AW$201,$M15)&gt;0,
    COUNTIFS($AX$3:$AX$201,$M15)&gt;0
   ),
  0)
 ),
"")</f>
        <v/>
      </c>
      <c r="P15" s="2" t="str" cm="1">
        <f t="array" aca="1" ref="P15" ca="1">IFERROR(
 INDEX(
  _xlfn._xlws.FILTER($U$2:$AX$2,
   TRANSPOSE(
    CHOOSE({1;2;3;4;5;6;7;8;9;10;11;12;13;14;15;16;17;18;19;20;21;22;23;24;25;26;27;28;29;30},
     COUNTIFS($U$3:$U$201,$M15)&gt;0,
     COUNTIFS($V$3:$V$201,$M15)&gt;0,
     COUNTIFS($W$3:$W$201,$M15)&gt;0,
     COUNTIFS($X$3:$X$201,$M15)&gt;0,
     COUNTIFS($Y$3:$Y$201,$M15)&gt;0,
     COUNTIFS($Z$3:$Z$201,$M15)&gt;0,
     COUNTIFS($AA$3:$AA$201,$M15)&gt;0,
     COUNTIFS($AB$3:$AB$201,$M15)&gt;0,
     COUNTIFS($AC$3:$AC$201,$M15)&gt;0,
     COUNTIFS($AD$3:$AD$201,$M15)&gt;0,
     COUNTIFS($AE$3:$AE$201,$M15)&gt;0,
     COUNTIFS($AF$3:$AF$201,$M15)&gt;0,
     COUNTIFS($AG$3:$AG$201,$M15)&gt;0,
     COUNTIFS($AH$3:$AH$201,$M15)&gt;0,
     COUNTIFS($AI$3:$AI$201,$M15)&gt;0,
     COUNTIFS($AJ$3:$AJ$201,$M15)&gt;0,
     COUNTIFS($AK$3:$AK$201,$M15)&gt;0,
     COUNTIFS($AL$3:$AL$201,$M15)&gt;0,
     COUNTIFS($AM$3:$AM$201,$M15)&gt;0,
     COUNTIFS($AN$3:$AN$201,$M15)&gt;0,
     COUNTIFS($AO$3:$AO$201,$M15)&gt;0,
     COUNTIFS($AP$3:$AP$201,$M15)&gt;0,
     COUNTIFS($AQ$3:$AQ$201,$M15)&gt;0,
     COUNTIFS($AR$3:$AR$201,$M15)&gt;0,
     COUNTIFS($AS$3:$AS$201,$M15)&gt;0,
     COUNTIFS($AT$3:$AT$201,$M15)&gt;0,
     COUNTIFS($AU$3:$AU$201,$M15)&gt;0,
     COUNTIFS($AV$3:$AV$201,$M15)&gt;0,
     COUNTIFS($AW$3:$AW$201,$M15)&gt;0,
     COUNTIFS($AX$3:$AX$201,$M15)&gt;0
   )),
  ),
  2
 ),
"")</f>
        <v/>
      </c>
      <c r="Q15" s="2" t="str" cm="1">
        <f t="array" aca="1" ref="Q15" ca="1">IFERROR(
 INDEX(
  _xlfn._xlws.FILTER($U$2:$AX$2,
   TRANSPOSE(
    CHOOSE({1;2;3;4;5;6;7;8;9;10;11;12;13;14;15;16;17;18;19;20;21;22;23;24;25;26;27;28;29;30},
     COUNTIFS($U$3:$U$201,$M15)&gt;0,
     COUNTIFS($V$3:$V$201,$M15)&gt;0,
     COUNTIFS($W$3:$W$201,$M15)&gt;0,
     COUNTIFS($X$3:$X$201,$M15)&gt;0,
     COUNTIFS($Y$3:$Y$201,$M15)&gt;0,
     COUNTIFS($Z$3:$Z$201,$M15)&gt;0,
     COUNTIFS($AA$3:$AA$201,$M15)&gt;0,
     COUNTIFS($AB$3:$AB$201,$M15)&gt;0,
     COUNTIFS($AC$3:$AC$201,$M15)&gt;0,
     COUNTIFS($AD$3:$AD$201,$M15)&gt;0,
     COUNTIFS($AE$3:$AE$201,$M15)&gt;0,
     COUNTIFS($AF$3:$AF$201,$M15)&gt;0,
     COUNTIFS($AG$3:$AG$201,$M15)&gt;0,
     COUNTIFS($AH$3:$AH$201,$M15)&gt;0,
     COUNTIFS($AI$3:$AI$201,$M15)&gt;0,
     COUNTIFS($AJ$3:$AJ$201,$M15)&gt;0,
     COUNTIFS($AK$3:$AK$201,$M15)&gt;0,
     COUNTIFS($AL$3:$AL$201,$M15)&gt;0,
     COUNTIFS($AM$3:$AM$201,$M15)&gt;0,
     COUNTIFS($AN$3:$AN$201,$M15)&gt;0,
     COUNTIFS($AO$3:$AO$201,$M15)&gt;0,
     COUNTIFS($AP$3:$AP$201,$M15)&gt;0,
     COUNTIFS($AQ$3:$AQ$201,$M15)&gt;0,
     COUNTIFS($AR$3:$AR$201,$M15)&gt;0,
     COUNTIFS($AS$3:$AS$201,$M15)&gt;0,
     COUNTIFS($AT$3:$AT$201,$M15)&gt;0,
     COUNTIFS($AU$3:$AU$201,$M15)&gt;0,
     COUNTIFS($AV$3:$AV$201,$M15)&gt;0,
     COUNTIFS($AW$3:$AW$201,$M15)&gt;0,
     COUNTIFS($AX$3:$AX$201,$M15)&gt;0
   )),
  ),
  3
 ),
"")</f>
        <v/>
      </c>
      <c r="V15" t="str">
        <v>Night of the Sweets' Revenge</v>
      </c>
      <c r="W15" t="str">
        <v>Saheeli, Sublime Artificer</v>
      </c>
      <c r="X15" t="str">
        <v>Oversold Cemetery</v>
      </c>
      <c r="AG15" t="str">
        <v>Whelming Wave</v>
      </c>
      <c r="AI15" t="str">
        <v>Rebbec, Architect of Ascension</v>
      </c>
      <c r="AQ15" t="str">
        <v>Outland Liberator</v>
      </c>
      <c r="AX15" t="str">
        <v>Sacred Ground</v>
      </c>
      <c r="CH15" t="str">
        <f ca="1"/>
        <v>Midnight Guard</v>
      </c>
      <c r="CI15" t="str">
        <f ca="1"/>
        <v>Mind Stone</v>
      </c>
      <c r="CJ15" t="str">
        <f ca="1"/>
        <v>Molten Slagheap</v>
      </c>
      <c r="CK15" t="str">
        <f ca="1"/>
        <v>Piranha Marsh</v>
      </c>
      <c r="CL15" t="str">
        <f ca="1"/>
        <v>Reclaim</v>
      </c>
      <c r="CM15" t="str">
        <f ca="1"/>
        <v>Worn Powerstone</v>
      </c>
      <c r="CN15" t="str">
        <f ca="1"/>
        <v>Quasiduplicate</v>
      </c>
      <c r="CO15" t="str">
        <f ca="1"/>
        <v>Kusari-Gama</v>
      </c>
      <c r="CS15" t="str">
        <f ca="1"/>
        <v>Mogis, God of Slaughter</v>
      </c>
      <c r="CT15" t="str">
        <f ca="1"/>
        <v>The Immortal Sun</v>
      </c>
      <c r="CV15" t="str">
        <f ca="1"/>
        <v>Sacred Ground</v>
      </c>
      <c r="DO15" t="str">
        <f ca="1"/>
        <v>Forest</v>
      </c>
      <c r="DP15" t="str">
        <f ca="1"/>
        <v>Hadana's Climb</v>
      </c>
      <c r="DQ15" t="str">
        <f ca="1"/>
        <v>Grisly Salvage</v>
      </c>
      <c r="DR15" t="str">
        <f ca="1"/>
        <v>Flux Channeler</v>
      </c>
      <c r="DT15" t="str">
        <f ca="1"/>
        <v>Island</v>
      </c>
      <c r="DU15" t="str">
        <f ca="1"/>
        <v>Plains</v>
      </c>
      <c r="DV15" t="str">
        <f ca="1"/>
        <v>Sacred Ground</v>
      </c>
      <c r="EF15" t="str">
        <f ca="1"/>
        <v>Dire Fleet Poisoner</v>
      </c>
      <c r="EG15" t="str">
        <f ca="1"/>
        <v>Deep-Sea Kraken</v>
      </c>
      <c r="EH15" t="str">
        <f ca="1"/>
        <v>Gravelighter</v>
      </c>
      <c r="EI15" t="str">
        <f ca="1"/>
        <v>Hidden Courtyard</v>
      </c>
      <c r="EO15" t="str">
        <f ca="1"/>
        <v>Cemetery Tampering</v>
      </c>
      <c r="EP15" t="str">
        <f ca="1"/>
        <v>Dispeller's Capsule</v>
      </c>
      <c r="ET15" t="str">
        <f ca="1"/>
        <v>Blink of an Eye</v>
      </c>
      <c r="EW15" t="str">
        <f ca="1"/>
        <v>Barkform Harvester</v>
      </c>
    </row>
    <row r="16" spans="1:153" x14ac:dyDescent="0.25">
      <c r="A16" t="str">
        <f ca="1"/>
        <v>Aligned Heart</v>
      </c>
      <c r="B16" s="2" t="str" cm="1">
        <f t="array" aca="1" ref="B16" ca="1">_xlfn.ANCHORARRAY(RESUMO!C15)</f>
        <v>Narset</v>
      </c>
      <c r="C16" s="2" t="str">
        <f t="shared" ca="1" si="0"/>
        <v/>
      </c>
      <c r="E16" t="str">
        <f ca="1"/>
        <v>Blink of an Eye</v>
      </c>
      <c r="F16" s="2">
        <f t="shared" ca="1" si="3"/>
        <v>1</v>
      </c>
      <c r="G16" s="2" t="str">
        <f t="shared" ca="1" si="1"/>
        <v>Oona</v>
      </c>
      <c r="I16" s="18"/>
      <c r="J16" t="s">
        <v>180</v>
      </c>
      <c r="K16" s="2">
        <v>1</v>
      </c>
      <c r="M16" t="str">
        <f ca="1"/>
        <v>Blink of an Eye</v>
      </c>
      <c r="N16" s="2">
        <f t="shared" ca="1" si="2"/>
        <v>1</v>
      </c>
      <c r="O16" s="2" t="str">
        <f ca="1">IFERROR(
 INDEX($U$2:$AX$2,
  MATCH(TRUE,
   CHOOSE({1;2;3;4;5;6;7;8;9;10;11;12;13;14;15;16;17;18;19;20;21;22;23;24;25;26;27;28;29;30;31;32},
    COUNTIFS($U$3:$U$201,$M16)&gt;0,
    COUNTIFS($V$3:$V$201,$M16)&gt;0,
    COUNTIFS($W$3:$W$201,$M16)&gt;0,
    COUNTIFS($X$3:$X$201,$M16)&gt;0,
    COUNTIFS($Y$3:$Y$201,$M16)&gt;0,
    COUNTIFS($Z$3:$Z$201,$M16)&gt;0,
    COUNTIFS($AA$3:$AA$201,$M16)&gt;0,
    COUNTIFS($AB$3:$AB$201,$M16)&gt;0,
    COUNTIFS($AC$3:$AC$201,$M16)&gt;0,
    COUNTIFS($AD$3:$AD$201,$M16)&gt;0,
    COUNTIFS($AE$3:$AE$201,$M16)&gt;0,
    COUNTIFS($AF$3:$AF$201,$M16)&gt;0,
    COUNTIFS($AG$3:$AG$201,$M16)&gt;0,
    COUNTIFS($AH$3:$AH$201,$M16)&gt;0,
    COUNTIFS($AI$3:$AI$201,$M16)&gt;0,
    COUNTIFS($AJ$3:$AJ$201,$M16)&gt;0,
    COUNTIFS($AK$3:$AK$201,$M16)&gt;0,
    COUNTIFS($AL$3:$AL$201,$M16)&gt;0,
    COUNTIFS($AM$3:$AM$201,$M16)&gt;0,
    COUNTIFS($AN$3:$AN$201,$M16)&gt;0,
    COUNTIFS($AO$3:$AO$201,$M16)&gt;0,
    COUNTIFS($AP$3:$AP$201,$M16)&gt;0,
    COUNTIFS($AQ$3:$AQ$201,$M16)&gt;0,
    COUNTIFS($AR$3:$AR$201,$M16)&gt;0,
    COUNTIFS($AS$3:$AS$201,$M16)&gt;0,
    COUNTIFS($AT$3:$AT$201,$M16)&gt;0,
    COUNTIFS($AU$3:$AU$201,$M16)&gt;0,
    COUNTIFS($AV$3:$AV$201,$M16)&gt;0,
    COUNTIFS($AW$3:$AW$201,$M16)&gt;0,
    COUNTIFS($AX$3:$AX$201,$M16)&gt;0
   ),
  0)
 ),
"")</f>
        <v>Oona</v>
      </c>
      <c r="P16" s="2" t="str" cm="1">
        <f t="array" aca="1" ref="P16" ca="1">IFERROR(
 INDEX(
  _xlfn._xlws.FILTER($U$2:$AX$2,
   TRANSPOSE(
    CHOOSE({1;2;3;4;5;6;7;8;9;10;11;12;13;14;15;16;17;18;19;20;21;22;23;24;25;26;27;28;29;30},
     COUNTIFS($U$3:$U$201,$M16)&gt;0,
     COUNTIFS($V$3:$V$201,$M16)&gt;0,
     COUNTIFS($W$3:$W$201,$M16)&gt;0,
     COUNTIFS($X$3:$X$201,$M16)&gt;0,
     COUNTIFS($Y$3:$Y$201,$M16)&gt;0,
     COUNTIFS($Z$3:$Z$201,$M16)&gt;0,
     COUNTIFS($AA$3:$AA$201,$M16)&gt;0,
     COUNTIFS($AB$3:$AB$201,$M16)&gt;0,
     COUNTIFS($AC$3:$AC$201,$M16)&gt;0,
     COUNTIFS($AD$3:$AD$201,$M16)&gt;0,
     COUNTIFS($AE$3:$AE$201,$M16)&gt;0,
     COUNTIFS($AF$3:$AF$201,$M16)&gt;0,
     COUNTIFS($AG$3:$AG$201,$M16)&gt;0,
     COUNTIFS($AH$3:$AH$201,$M16)&gt;0,
     COUNTIFS($AI$3:$AI$201,$M16)&gt;0,
     COUNTIFS($AJ$3:$AJ$201,$M16)&gt;0,
     COUNTIFS($AK$3:$AK$201,$M16)&gt;0,
     COUNTIFS($AL$3:$AL$201,$M16)&gt;0,
     COUNTIFS($AM$3:$AM$201,$M16)&gt;0,
     COUNTIFS($AN$3:$AN$201,$M16)&gt;0,
     COUNTIFS($AO$3:$AO$201,$M16)&gt;0,
     COUNTIFS($AP$3:$AP$201,$M16)&gt;0,
     COUNTIFS($AQ$3:$AQ$201,$M16)&gt;0,
     COUNTIFS($AR$3:$AR$201,$M16)&gt;0,
     COUNTIFS($AS$3:$AS$201,$M16)&gt;0,
     COUNTIFS($AT$3:$AT$201,$M16)&gt;0,
     COUNTIFS($AU$3:$AU$201,$M16)&gt;0,
     COUNTIFS($AV$3:$AV$201,$M16)&gt;0,
     COUNTIFS($AW$3:$AW$201,$M16)&gt;0,
     COUNTIFS($AX$3:$AX$201,$M16)&gt;0
   )),
  ),
  2
 ),
"")</f>
        <v/>
      </c>
      <c r="Q16" s="2" t="str" cm="1">
        <f t="array" aca="1" ref="Q16" ca="1">IFERROR(
 INDEX(
  _xlfn._xlws.FILTER($U$2:$AX$2,
   TRANSPOSE(
    CHOOSE({1;2;3;4;5;6;7;8;9;10;11;12;13;14;15;16;17;18;19;20;21;22;23;24;25;26;27;28;29;30},
     COUNTIFS($U$3:$U$201,$M16)&gt;0,
     COUNTIFS($V$3:$V$201,$M16)&gt;0,
     COUNTIFS($W$3:$W$201,$M16)&gt;0,
     COUNTIFS($X$3:$X$201,$M16)&gt;0,
     COUNTIFS($Y$3:$Y$201,$M16)&gt;0,
     COUNTIFS($Z$3:$Z$201,$M16)&gt;0,
     COUNTIFS($AA$3:$AA$201,$M16)&gt;0,
     COUNTIFS($AB$3:$AB$201,$M16)&gt;0,
     COUNTIFS($AC$3:$AC$201,$M16)&gt;0,
     COUNTIFS($AD$3:$AD$201,$M16)&gt;0,
     COUNTIFS($AE$3:$AE$201,$M16)&gt;0,
     COUNTIFS($AF$3:$AF$201,$M16)&gt;0,
     COUNTIFS($AG$3:$AG$201,$M16)&gt;0,
     COUNTIFS($AH$3:$AH$201,$M16)&gt;0,
     COUNTIFS($AI$3:$AI$201,$M16)&gt;0,
     COUNTIFS($AJ$3:$AJ$201,$M16)&gt;0,
     COUNTIFS($AK$3:$AK$201,$M16)&gt;0,
     COUNTIFS($AL$3:$AL$201,$M16)&gt;0,
     COUNTIFS($AM$3:$AM$201,$M16)&gt;0,
     COUNTIFS($AN$3:$AN$201,$M16)&gt;0,
     COUNTIFS($AO$3:$AO$201,$M16)&gt;0,
     COUNTIFS($AP$3:$AP$201,$M16)&gt;0,
     COUNTIFS($AQ$3:$AQ$201,$M16)&gt;0,
     COUNTIFS($AR$3:$AR$201,$M16)&gt;0,
     COUNTIFS($AS$3:$AS$201,$M16)&gt;0,
     COUNTIFS($AT$3:$AT$201,$M16)&gt;0,
     COUNTIFS($AU$3:$AU$201,$M16)&gt;0,
     COUNTIFS($AV$3:$AV$201,$M16)&gt;0,
     COUNTIFS($AW$3:$AW$201,$M16)&gt;0,
     COUNTIFS($AX$3:$AX$201,$M16)&gt;0
   )),
  ),
  3
 ),
"")</f>
        <v/>
      </c>
      <c r="V16" t="str">
        <v>Noble's Purse</v>
      </c>
      <c r="W16" t="str">
        <v>Sanctum of Calm Waters</v>
      </c>
      <c r="X16" t="str">
        <v>Plains</v>
      </c>
      <c r="AI16" t="str">
        <v>Shifting Shadow</v>
      </c>
      <c r="AQ16" t="str">
        <v>Pestilence</v>
      </c>
      <c r="AX16" t="str">
        <v>Skarrg, the Rage Pits</v>
      </c>
      <c r="CH16" t="str">
        <f ca="1"/>
        <v>Mountain</v>
      </c>
      <c r="CI16" t="str">
        <f ca="1"/>
        <v>Morbid Opportunist</v>
      </c>
      <c r="CJ16" t="str">
        <f ca="1"/>
        <v>Plains</v>
      </c>
      <c r="CK16" t="str">
        <f ca="1"/>
        <v>Repudiate // Replicate</v>
      </c>
      <c r="CL16" t="str">
        <f ca="1"/>
        <v>Scourge of Fleets</v>
      </c>
      <c r="CN16" t="str">
        <f ca="1"/>
        <v>Shire Terrace</v>
      </c>
      <c r="CO16" t="str">
        <f ca="1"/>
        <v>Life Insurance</v>
      </c>
      <c r="CS16" t="str">
        <f ca="1"/>
        <v>Murderous Rider // Swift End</v>
      </c>
      <c r="CV16" t="str">
        <f ca="1"/>
        <v>Skarrg, the Rage Pits</v>
      </c>
      <c r="DO16" t="str">
        <f ca="1"/>
        <v>Fraying Sanity</v>
      </c>
      <c r="DP16" t="str">
        <f ca="1"/>
        <v>Harrow</v>
      </c>
      <c r="DQ16" t="str">
        <f ca="1"/>
        <v>Hedron Archive</v>
      </c>
      <c r="DR16" t="str">
        <f ca="1"/>
        <v>Glimmer Lens</v>
      </c>
      <c r="DT16" t="str">
        <f ca="1"/>
        <v>Jarad, Golgari Lich Lord</v>
      </c>
      <c r="DU16" t="str">
        <f ca="1"/>
        <v>Portão da Guilda Orzhov</v>
      </c>
      <c r="DV16" t="str">
        <f ca="1"/>
        <v>Skarrg, the Rage Pits</v>
      </c>
      <c r="EF16" t="str">
        <f ca="1"/>
        <v>Dreadship Reef</v>
      </c>
      <c r="EG16" t="str">
        <f ca="1"/>
        <v>Digsite Engineer</v>
      </c>
      <c r="EH16" t="str">
        <f ca="1"/>
        <v>Ilha</v>
      </c>
      <c r="EI16" t="str">
        <f ca="1"/>
        <v>Hidden Nursery</v>
      </c>
      <c r="EO16" t="str">
        <f ca="1"/>
        <v>Chaos Warp</v>
      </c>
      <c r="EP16" t="str">
        <f ca="1"/>
        <v>Divine Visitation</v>
      </c>
      <c r="ET16" t="str">
        <f ca="1"/>
        <v>Blinkmoth Urn</v>
      </c>
      <c r="EW16" t="str">
        <f ca="1"/>
        <v>Blink of an Eye</v>
      </c>
    </row>
    <row r="17" spans="1:153" x14ac:dyDescent="0.25">
      <c r="A17" t="str">
        <f ca="1"/>
        <v>Ammit Eternal</v>
      </c>
      <c r="B17" s="2" t="str" cm="1">
        <f t="array" aca="1" ref="B17" ca="1">_xlfn.ANCHORARRAY(RESUMO!C16)</f>
        <v>Ool</v>
      </c>
      <c r="C17" s="2" t="str">
        <f t="shared" ca="1" si="0"/>
        <v/>
      </c>
      <c r="E17" t="str">
        <f ca="1"/>
        <v>Blinkmoth Urn</v>
      </c>
      <c r="F17" s="2">
        <f t="shared" ca="1" si="3"/>
        <v>1</v>
      </c>
      <c r="G17" s="2" t="str">
        <f t="shared" ca="1" si="1"/>
        <v>Muzzio</v>
      </c>
      <c r="I17" s="18"/>
      <c r="J17" t="s">
        <v>180</v>
      </c>
      <c r="K17" s="2">
        <v>1</v>
      </c>
      <c r="M17" t="str">
        <f ca="1"/>
        <v>Blinkmoth Urn</v>
      </c>
      <c r="N17" s="2">
        <f t="shared" ca="1" si="2"/>
        <v>1</v>
      </c>
      <c r="O17" s="2" t="str">
        <f ca="1">IFERROR(
 INDEX($U$2:$AX$2,
  MATCH(TRUE,
   CHOOSE({1;2;3;4;5;6;7;8;9;10;11;12;13;14;15;16;17;18;19;20;21;22;23;24;25;26;27;28;29;30;31;32},
    COUNTIFS($U$3:$U$201,$M17)&gt;0,
    COUNTIFS($V$3:$V$201,$M17)&gt;0,
    COUNTIFS($W$3:$W$201,$M17)&gt;0,
    COUNTIFS($X$3:$X$201,$M17)&gt;0,
    COUNTIFS($Y$3:$Y$201,$M17)&gt;0,
    COUNTIFS($Z$3:$Z$201,$M17)&gt;0,
    COUNTIFS($AA$3:$AA$201,$M17)&gt;0,
    COUNTIFS($AB$3:$AB$201,$M17)&gt;0,
    COUNTIFS($AC$3:$AC$201,$M17)&gt;0,
    COUNTIFS($AD$3:$AD$201,$M17)&gt;0,
    COUNTIFS($AE$3:$AE$201,$M17)&gt;0,
    COUNTIFS($AF$3:$AF$201,$M17)&gt;0,
    COUNTIFS($AG$3:$AG$201,$M17)&gt;0,
    COUNTIFS($AH$3:$AH$201,$M17)&gt;0,
    COUNTIFS($AI$3:$AI$201,$M17)&gt;0,
    COUNTIFS($AJ$3:$AJ$201,$M17)&gt;0,
    COUNTIFS($AK$3:$AK$201,$M17)&gt;0,
    COUNTIFS($AL$3:$AL$201,$M17)&gt;0,
    COUNTIFS($AM$3:$AM$201,$M17)&gt;0,
    COUNTIFS($AN$3:$AN$201,$M17)&gt;0,
    COUNTIFS($AO$3:$AO$201,$M17)&gt;0,
    COUNTIFS($AP$3:$AP$201,$M17)&gt;0,
    COUNTIFS($AQ$3:$AQ$201,$M17)&gt;0,
    COUNTIFS($AR$3:$AR$201,$M17)&gt;0,
    COUNTIFS($AS$3:$AS$201,$M17)&gt;0,
    COUNTIFS($AT$3:$AT$201,$M17)&gt;0,
    COUNTIFS($AU$3:$AU$201,$M17)&gt;0,
    COUNTIFS($AV$3:$AV$201,$M17)&gt;0,
    COUNTIFS($AW$3:$AW$201,$M17)&gt;0,
    COUNTIFS($AX$3:$AX$201,$M17)&gt;0
   ),
  0)
 ),
"")</f>
        <v>Muzzio</v>
      </c>
      <c r="P17" s="2" t="str" cm="1">
        <f t="array" aca="1" ref="P17" ca="1">IFERROR(
 INDEX(
  _xlfn._xlws.FILTER($U$2:$AX$2,
   TRANSPOSE(
    CHOOSE({1;2;3;4;5;6;7;8;9;10;11;12;13;14;15;16;17;18;19;20;21;22;23;24;25;26;27;28;29;30},
     COUNTIFS($U$3:$U$201,$M17)&gt;0,
     COUNTIFS($V$3:$V$201,$M17)&gt;0,
     COUNTIFS($W$3:$W$201,$M17)&gt;0,
     COUNTIFS($X$3:$X$201,$M17)&gt;0,
     COUNTIFS($Y$3:$Y$201,$M17)&gt;0,
     COUNTIFS($Z$3:$Z$201,$M17)&gt;0,
     COUNTIFS($AA$3:$AA$201,$M17)&gt;0,
     COUNTIFS($AB$3:$AB$201,$M17)&gt;0,
     COUNTIFS($AC$3:$AC$201,$M17)&gt;0,
     COUNTIFS($AD$3:$AD$201,$M17)&gt;0,
     COUNTIFS($AE$3:$AE$201,$M17)&gt;0,
     COUNTIFS($AF$3:$AF$201,$M17)&gt;0,
     COUNTIFS($AG$3:$AG$201,$M17)&gt;0,
     COUNTIFS($AH$3:$AH$201,$M17)&gt;0,
     COUNTIFS($AI$3:$AI$201,$M17)&gt;0,
     COUNTIFS($AJ$3:$AJ$201,$M17)&gt;0,
     COUNTIFS($AK$3:$AK$201,$M17)&gt;0,
     COUNTIFS($AL$3:$AL$201,$M17)&gt;0,
     COUNTIFS($AM$3:$AM$201,$M17)&gt;0,
     COUNTIFS($AN$3:$AN$201,$M17)&gt;0,
     COUNTIFS($AO$3:$AO$201,$M17)&gt;0,
     COUNTIFS($AP$3:$AP$201,$M17)&gt;0,
     COUNTIFS($AQ$3:$AQ$201,$M17)&gt;0,
     COUNTIFS($AR$3:$AR$201,$M17)&gt;0,
     COUNTIFS($AS$3:$AS$201,$M17)&gt;0,
     COUNTIFS($AT$3:$AT$201,$M17)&gt;0,
     COUNTIFS($AU$3:$AU$201,$M17)&gt;0,
     COUNTIFS($AV$3:$AV$201,$M17)&gt;0,
     COUNTIFS($AW$3:$AW$201,$M17)&gt;0,
     COUNTIFS($AX$3:$AX$201,$M17)&gt;0
   )),
  ),
  2
 ),
"")</f>
        <v/>
      </c>
      <c r="Q17" s="2" t="str" cm="1">
        <f t="array" aca="1" ref="Q17" ca="1">IFERROR(
 INDEX(
  _xlfn._xlws.FILTER($U$2:$AX$2,
   TRANSPOSE(
    CHOOSE({1;2;3;4;5;6;7;8;9;10;11;12;13;14;15;16;17;18;19;20;21;22;23;24;25;26;27;28;29;30},
     COUNTIFS($U$3:$U$201,$M17)&gt;0,
     COUNTIFS($V$3:$V$201,$M17)&gt;0,
     COUNTIFS($W$3:$W$201,$M17)&gt;0,
     COUNTIFS($X$3:$X$201,$M17)&gt;0,
     COUNTIFS($Y$3:$Y$201,$M17)&gt;0,
     COUNTIFS($Z$3:$Z$201,$M17)&gt;0,
     COUNTIFS($AA$3:$AA$201,$M17)&gt;0,
     COUNTIFS($AB$3:$AB$201,$M17)&gt;0,
     COUNTIFS($AC$3:$AC$201,$M17)&gt;0,
     COUNTIFS($AD$3:$AD$201,$M17)&gt;0,
     COUNTIFS($AE$3:$AE$201,$M17)&gt;0,
     COUNTIFS($AF$3:$AF$201,$M17)&gt;0,
     COUNTIFS($AG$3:$AG$201,$M17)&gt;0,
     COUNTIFS($AH$3:$AH$201,$M17)&gt;0,
     COUNTIFS($AI$3:$AI$201,$M17)&gt;0,
     COUNTIFS($AJ$3:$AJ$201,$M17)&gt;0,
     COUNTIFS($AK$3:$AK$201,$M17)&gt;0,
     COUNTIFS($AL$3:$AL$201,$M17)&gt;0,
     COUNTIFS($AM$3:$AM$201,$M17)&gt;0,
     COUNTIFS($AN$3:$AN$201,$M17)&gt;0,
     COUNTIFS($AO$3:$AO$201,$M17)&gt;0,
     COUNTIFS($AP$3:$AP$201,$M17)&gt;0,
     COUNTIFS($AQ$3:$AQ$201,$M17)&gt;0,
     COUNTIFS($AR$3:$AR$201,$M17)&gt;0,
     COUNTIFS($AS$3:$AS$201,$M17)&gt;0,
     COUNTIFS($AT$3:$AT$201,$M17)&gt;0,
     COUNTIFS($AU$3:$AU$201,$M17)&gt;0,
     COUNTIFS($AV$3:$AV$201,$M17)&gt;0,
     COUNTIFS($AW$3:$AW$201,$M17)&gt;0,
     COUNTIFS($AX$3:$AX$201,$M17)&gt;0
   )),
  ),
  3
 ),
"")</f>
        <v/>
      </c>
      <c r="V17" t="str">
        <v>Panorama de Naya</v>
      </c>
      <c r="W17" t="str">
        <v>Surge of Salvation</v>
      </c>
      <c r="X17" t="str">
        <v>Scourge of Skola Vale</v>
      </c>
      <c r="AQ17" t="str">
        <v>Ravenous Chupacabra</v>
      </c>
      <c r="AX17" t="str">
        <v>Slagdrill Scrapper</v>
      </c>
      <c r="CH17" t="str">
        <f ca="1"/>
        <v>Naya Charm</v>
      </c>
      <c r="CI17" t="str">
        <f ca="1"/>
        <v>Mountain</v>
      </c>
      <c r="CJ17" t="str">
        <f ca="1"/>
        <v>Ranger of Eos</v>
      </c>
      <c r="CK17" t="str">
        <f ca="1"/>
        <v>Retreat to Hagra</v>
      </c>
      <c r="CL17" t="str">
        <f ca="1"/>
        <v>Stormtide Leviathan</v>
      </c>
      <c r="CN17" t="str">
        <f ca="1"/>
        <v>Smoke Shroud</v>
      </c>
      <c r="CO17" t="str">
        <f ca="1"/>
        <v>Lightning Spear</v>
      </c>
      <c r="CS17" t="str">
        <f ca="1"/>
        <v>Outland Liberator</v>
      </c>
      <c r="CV17" t="str">
        <f ca="1"/>
        <v>Slagdrill Scrapper</v>
      </c>
      <c r="DO17" t="str">
        <f ca="1"/>
        <v>Goblin Bombardment</v>
      </c>
      <c r="DP17" t="str">
        <f ca="1"/>
        <v>High Priest of Penance</v>
      </c>
      <c r="DQ17" t="str">
        <f ca="1"/>
        <v>Inspiring Refrain</v>
      </c>
      <c r="DR17" t="str">
        <f ca="1"/>
        <v>Goblin Morningstar</v>
      </c>
      <c r="DT17" t="str">
        <f ca="1"/>
        <v>Mage Slayer</v>
      </c>
      <c r="DU17" t="str">
        <f ca="1"/>
        <v>Swamp</v>
      </c>
      <c r="DV17" t="str">
        <f ca="1"/>
        <v>Slagdrill Scrapper</v>
      </c>
      <c r="EF17" t="str">
        <f ca="1"/>
        <v>Elesh Norn</v>
      </c>
      <c r="EG17" t="str">
        <f ca="1"/>
        <v>Dissipation Field</v>
      </c>
      <c r="EH17" t="str">
        <f ca="1"/>
        <v>Incite Rebellion</v>
      </c>
      <c r="EI17" t="str">
        <f ca="1"/>
        <v>Hidden Volcano</v>
      </c>
      <c r="EO17" t="str">
        <f ca="1"/>
        <v>Chatterstorm</v>
      </c>
      <c r="EP17" t="str">
        <f ca="1"/>
        <v>Dramatical Reversal</v>
      </c>
      <c r="ET17" t="str">
        <f ca="1"/>
        <v>Brawn</v>
      </c>
      <c r="EW17" t="str">
        <f ca="1"/>
        <v>Blinkmoth Urn</v>
      </c>
    </row>
    <row r="18" spans="1:153" x14ac:dyDescent="0.25">
      <c r="A18" t="str">
        <f ca="1"/>
        <v>Amphibian Downpour</v>
      </c>
      <c r="B18" s="2" t="str" cm="1">
        <f t="array" aca="1" ref="B18" ca="1">_xlfn.ANCHORARRAY(RESUMO!C17)</f>
        <v>VialIshai</v>
      </c>
      <c r="C18" s="2" t="str">
        <f t="shared" ca="1" si="0"/>
        <v/>
      </c>
      <c r="E18" t="str">
        <f ca="1"/>
        <v>Brawn</v>
      </c>
      <c r="F18" s="2">
        <f t="shared" ca="1" si="3"/>
        <v>1</v>
      </c>
      <c r="G18" s="2" t="str">
        <f t="shared" ca="1" si="1"/>
        <v>Kresh</v>
      </c>
      <c r="I18" s="18"/>
      <c r="J18" t="s">
        <v>180</v>
      </c>
      <c r="K18" s="2">
        <v>1</v>
      </c>
      <c r="M18" t="str">
        <f ca="1"/>
        <v>Brawn</v>
      </c>
      <c r="N18" s="2">
        <f t="shared" ca="1" si="2"/>
        <v>1</v>
      </c>
      <c r="O18" s="2" t="str">
        <f ca="1">IFERROR(
 INDEX($U$2:$AX$2,
  MATCH(TRUE,
   CHOOSE({1;2;3;4;5;6;7;8;9;10;11;12;13;14;15;16;17;18;19;20;21;22;23;24;25;26;27;28;29;30;31;32},
    COUNTIFS($U$3:$U$201,$M18)&gt;0,
    COUNTIFS($V$3:$V$201,$M18)&gt;0,
    COUNTIFS($W$3:$W$201,$M18)&gt;0,
    COUNTIFS($X$3:$X$201,$M18)&gt;0,
    COUNTIFS($Y$3:$Y$201,$M18)&gt;0,
    COUNTIFS($Z$3:$Z$201,$M18)&gt;0,
    COUNTIFS($AA$3:$AA$201,$M18)&gt;0,
    COUNTIFS($AB$3:$AB$201,$M18)&gt;0,
    COUNTIFS($AC$3:$AC$201,$M18)&gt;0,
    COUNTIFS($AD$3:$AD$201,$M18)&gt;0,
    COUNTIFS($AE$3:$AE$201,$M18)&gt;0,
    COUNTIFS($AF$3:$AF$201,$M18)&gt;0,
    COUNTIFS($AG$3:$AG$201,$M18)&gt;0,
    COUNTIFS($AH$3:$AH$201,$M18)&gt;0,
    COUNTIFS($AI$3:$AI$201,$M18)&gt;0,
    COUNTIFS($AJ$3:$AJ$201,$M18)&gt;0,
    COUNTIFS($AK$3:$AK$201,$M18)&gt;0,
    COUNTIFS($AL$3:$AL$201,$M18)&gt;0,
    COUNTIFS($AM$3:$AM$201,$M18)&gt;0,
    COUNTIFS($AN$3:$AN$201,$M18)&gt;0,
    COUNTIFS($AO$3:$AO$201,$M18)&gt;0,
    COUNTIFS($AP$3:$AP$201,$M18)&gt;0,
    COUNTIFS($AQ$3:$AQ$201,$M18)&gt;0,
    COUNTIFS($AR$3:$AR$201,$M18)&gt;0,
    COUNTIFS($AS$3:$AS$201,$M18)&gt;0,
    COUNTIFS($AT$3:$AT$201,$M18)&gt;0,
    COUNTIFS($AU$3:$AU$201,$M18)&gt;0,
    COUNTIFS($AV$3:$AV$201,$M18)&gt;0,
    COUNTIFS($AW$3:$AW$201,$M18)&gt;0,
    COUNTIFS($AX$3:$AX$201,$M18)&gt;0
   ),
  0)
 ),
"")</f>
        <v>Kresh</v>
      </c>
      <c r="P18" s="2" t="str" cm="1">
        <f t="array" aca="1" ref="P18" ca="1">IFERROR(
 INDEX(
  _xlfn._xlws.FILTER($U$2:$AX$2,
   TRANSPOSE(
    CHOOSE({1;2;3;4;5;6;7;8;9;10;11;12;13;14;15;16;17;18;19;20;21;22;23;24;25;26;27;28;29;30},
     COUNTIFS($U$3:$U$201,$M18)&gt;0,
     COUNTIFS($V$3:$V$201,$M18)&gt;0,
     COUNTIFS($W$3:$W$201,$M18)&gt;0,
     COUNTIFS($X$3:$X$201,$M18)&gt;0,
     COUNTIFS($Y$3:$Y$201,$M18)&gt;0,
     COUNTIFS($Z$3:$Z$201,$M18)&gt;0,
     COUNTIFS($AA$3:$AA$201,$M18)&gt;0,
     COUNTIFS($AB$3:$AB$201,$M18)&gt;0,
     COUNTIFS($AC$3:$AC$201,$M18)&gt;0,
     COUNTIFS($AD$3:$AD$201,$M18)&gt;0,
     COUNTIFS($AE$3:$AE$201,$M18)&gt;0,
     COUNTIFS($AF$3:$AF$201,$M18)&gt;0,
     COUNTIFS($AG$3:$AG$201,$M18)&gt;0,
     COUNTIFS($AH$3:$AH$201,$M18)&gt;0,
     COUNTIFS($AI$3:$AI$201,$M18)&gt;0,
     COUNTIFS($AJ$3:$AJ$201,$M18)&gt;0,
     COUNTIFS($AK$3:$AK$201,$M18)&gt;0,
     COUNTIFS($AL$3:$AL$201,$M18)&gt;0,
     COUNTIFS($AM$3:$AM$201,$M18)&gt;0,
     COUNTIFS($AN$3:$AN$201,$M18)&gt;0,
     COUNTIFS($AO$3:$AO$201,$M18)&gt;0,
     COUNTIFS($AP$3:$AP$201,$M18)&gt;0,
     COUNTIFS($AQ$3:$AQ$201,$M18)&gt;0,
     COUNTIFS($AR$3:$AR$201,$M18)&gt;0,
     COUNTIFS($AS$3:$AS$201,$M18)&gt;0,
     COUNTIFS($AT$3:$AT$201,$M18)&gt;0,
     COUNTIFS($AU$3:$AU$201,$M18)&gt;0,
     COUNTIFS($AV$3:$AV$201,$M18)&gt;0,
     COUNTIFS($AW$3:$AW$201,$M18)&gt;0,
     COUNTIFS($AX$3:$AX$201,$M18)&gt;0
   )),
  ),
  2
 ),
"")</f>
        <v/>
      </c>
      <c r="Q18" s="2" t="str" cm="1">
        <f t="array" aca="1" ref="Q18" ca="1">IFERROR(
 INDEX(
  _xlfn._xlws.FILTER($U$2:$AX$2,
   TRANSPOSE(
    CHOOSE({1;2;3;4;5;6;7;8;9;10;11;12;13;14;15;16;17;18;19;20;21;22;23;24;25;26;27;28;29;30},
     COUNTIFS($U$3:$U$201,$M18)&gt;0,
     COUNTIFS($V$3:$V$201,$M18)&gt;0,
     COUNTIFS($W$3:$W$201,$M18)&gt;0,
     COUNTIFS($X$3:$X$201,$M18)&gt;0,
     COUNTIFS($Y$3:$Y$201,$M18)&gt;0,
     COUNTIFS($Z$3:$Z$201,$M18)&gt;0,
     COUNTIFS($AA$3:$AA$201,$M18)&gt;0,
     COUNTIFS($AB$3:$AB$201,$M18)&gt;0,
     COUNTIFS($AC$3:$AC$201,$M18)&gt;0,
     COUNTIFS($AD$3:$AD$201,$M18)&gt;0,
     COUNTIFS($AE$3:$AE$201,$M18)&gt;0,
     COUNTIFS($AF$3:$AF$201,$M18)&gt;0,
     COUNTIFS($AG$3:$AG$201,$M18)&gt;0,
     COUNTIFS($AH$3:$AH$201,$M18)&gt;0,
     COUNTIFS($AI$3:$AI$201,$M18)&gt;0,
     COUNTIFS($AJ$3:$AJ$201,$M18)&gt;0,
     COUNTIFS($AK$3:$AK$201,$M18)&gt;0,
     COUNTIFS($AL$3:$AL$201,$M18)&gt;0,
     COUNTIFS($AM$3:$AM$201,$M18)&gt;0,
     COUNTIFS($AN$3:$AN$201,$M18)&gt;0,
     COUNTIFS($AO$3:$AO$201,$M18)&gt;0,
     COUNTIFS($AP$3:$AP$201,$M18)&gt;0,
     COUNTIFS($AQ$3:$AQ$201,$M18)&gt;0,
     COUNTIFS($AR$3:$AR$201,$M18)&gt;0,
     COUNTIFS($AS$3:$AS$201,$M18)&gt;0,
     COUNTIFS($AT$3:$AT$201,$M18)&gt;0,
     COUNTIFS($AU$3:$AU$201,$M18)&gt;0,
     COUNTIFS($AV$3:$AV$201,$M18)&gt;0,
     COUNTIFS($AW$3:$AW$201,$M18)&gt;0,
     COUNTIFS($AX$3:$AX$201,$M18)&gt;0
   )),
  ),
  3
 ),
"")</f>
        <v/>
      </c>
      <c r="V18" t="str">
        <v>Plains</v>
      </c>
      <c r="W18" t="str">
        <v>Trailblazer's Boots</v>
      </c>
      <c r="X18" t="str">
        <v>Shortcut to Mushrooms</v>
      </c>
      <c r="AQ18" t="str">
        <v>Ritual of Soot</v>
      </c>
      <c r="AX18" t="str">
        <v>Solemn Simulacrun</v>
      </c>
      <c r="CH18" t="str">
        <f ca="1"/>
        <v>Night of the Sweets' Revenge</v>
      </c>
      <c r="CI18" t="str">
        <f ca="1"/>
        <v>Nyx Weaver</v>
      </c>
      <c r="CJ18" t="str">
        <f ca="1"/>
        <v>Reaper's Talisman</v>
      </c>
      <c r="CK18" t="str">
        <f ca="1"/>
        <v>Spelunking</v>
      </c>
      <c r="CL18" t="str">
        <f ca="1"/>
        <v>Swamp</v>
      </c>
      <c r="CN18" t="str">
        <f ca="1"/>
        <v>Swamp</v>
      </c>
      <c r="CO18" t="str">
        <f ca="1"/>
        <v>Mask of Memory</v>
      </c>
      <c r="CS18" t="str">
        <f ca="1"/>
        <v>Pestilence</v>
      </c>
      <c r="CV18" t="str">
        <f ca="1"/>
        <v>Solemn Simulacrun</v>
      </c>
      <c r="DO18" t="str">
        <f ca="1"/>
        <v>Grismold, the Dreadsower</v>
      </c>
      <c r="DP18" t="str">
        <f ca="1"/>
        <v>Immortal Servitude</v>
      </c>
      <c r="DQ18" t="str">
        <f ca="1"/>
        <v>Island</v>
      </c>
      <c r="DR18" t="str">
        <f ca="1"/>
        <v>Horn of Valhalla // Ysgard's Call</v>
      </c>
      <c r="DT18" t="str">
        <f ca="1"/>
        <v>Metallic Rebuke</v>
      </c>
      <c r="DU18" t="str">
        <f ca="1"/>
        <v>The Immortal Sun</v>
      </c>
      <c r="DV18" t="str">
        <f ca="1"/>
        <v>Solemn Simulacrun</v>
      </c>
      <c r="EF18" t="str">
        <f ca="1"/>
        <v>Emergency Zone</v>
      </c>
      <c r="EG18" t="str">
        <f ca="1"/>
        <v>Divergent Transformations</v>
      </c>
      <c r="EH18" t="str">
        <f ca="1"/>
        <v>Ingot Chewer</v>
      </c>
      <c r="EI18" t="str">
        <f ca="1"/>
        <v>Inspiring Call</v>
      </c>
      <c r="EO18" t="str">
        <f ca="1"/>
        <v>Chromatic Lantern</v>
      </c>
      <c r="EP18" t="str">
        <f ca="1"/>
        <v>Duty Beyond Death</v>
      </c>
      <c r="ET18" t="str">
        <f ca="1"/>
        <v>Bruma Etérea</v>
      </c>
      <c r="EW18" t="str">
        <f ca="1"/>
        <v>Brawn</v>
      </c>
    </row>
    <row r="19" spans="1:153" x14ac:dyDescent="0.25">
      <c r="A19" t="str">
        <f ca="1"/>
        <v>An Offer You Can't Refuse</v>
      </c>
      <c r="B19" s="2" t="str" cm="1">
        <f t="array" aca="1" ref="B19" ca="1">_xlfn.ANCHORARRAY(RESUMO!C18)</f>
        <v>Yorion</v>
      </c>
      <c r="C19" s="2" t="str">
        <f t="shared" ca="1" si="0"/>
        <v/>
      </c>
      <c r="E19" t="str">
        <f ca="1"/>
        <v>Brazen Cannonade</v>
      </c>
      <c r="F19" s="2">
        <f t="shared" ca="1" si="3"/>
        <v>1</v>
      </c>
      <c r="G19" s="2" t="str">
        <f t="shared" ca="1" si="1"/>
        <v/>
      </c>
      <c r="I19" s="18"/>
      <c r="J19" t="s">
        <v>180</v>
      </c>
      <c r="K19" s="2">
        <v>1</v>
      </c>
      <c r="M19" t="str">
        <f ca="1"/>
        <v>Brazen Cannonade</v>
      </c>
      <c r="N19" s="2">
        <f t="shared" ca="1" si="2"/>
        <v>0</v>
      </c>
      <c r="O19" s="2" t="str">
        <f ca="1">IFERROR(
 INDEX($U$2:$AX$2,
  MATCH(TRUE,
   CHOOSE({1;2;3;4;5;6;7;8;9;10;11;12;13;14;15;16;17;18;19;20;21;22;23;24;25;26;27;28;29;30;31;32},
    COUNTIFS($U$3:$U$201,$M19)&gt;0,
    COUNTIFS($V$3:$V$201,$M19)&gt;0,
    COUNTIFS($W$3:$W$201,$M19)&gt;0,
    COUNTIFS($X$3:$X$201,$M19)&gt;0,
    COUNTIFS($Y$3:$Y$201,$M19)&gt;0,
    COUNTIFS($Z$3:$Z$201,$M19)&gt;0,
    COUNTIFS($AA$3:$AA$201,$M19)&gt;0,
    COUNTIFS($AB$3:$AB$201,$M19)&gt;0,
    COUNTIFS($AC$3:$AC$201,$M19)&gt;0,
    COUNTIFS($AD$3:$AD$201,$M19)&gt;0,
    COUNTIFS($AE$3:$AE$201,$M19)&gt;0,
    COUNTIFS($AF$3:$AF$201,$M19)&gt;0,
    COUNTIFS($AG$3:$AG$201,$M19)&gt;0,
    COUNTIFS($AH$3:$AH$201,$M19)&gt;0,
    COUNTIFS($AI$3:$AI$201,$M19)&gt;0,
    COUNTIFS($AJ$3:$AJ$201,$M19)&gt;0,
    COUNTIFS($AK$3:$AK$201,$M19)&gt;0,
    COUNTIFS($AL$3:$AL$201,$M19)&gt;0,
    COUNTIFS($AM$3:$AM$201,$M19)&gt;0,
    COUNTIFS($AN$3:$AN$201,$M19)&gt;0,
    COUNTIFS($AO$3:$AO$201,$M19)&gt;0,
    COUNTIFS($AP$3:$AP$201,$M19)&gt;0,
    COUNTIFS($AQ$3:$AQ$201,$M19)&gt;0,
    COUNTIFS($AR$3:$AR$201,$M19)&gt;0,
    COUNTIFS($AS$3:$AS$201,$M19)&gt;0,
    COUNTIFS($AT$3:$AT$201,$M19)&gt;0,
    COUNTIFS($AU$3:$AU$201,$M19)&gt;0,
    COUNTIFS($AV$3:$AV$201,$M19)&gt;0,
    COUNTIFS($AW$3:$AW$201,$M19)&gt;0,
    COUNTIFS($AX$3:$AX$201,$M19)&gt;0
   ),
  0)
 ),
"")</f>
        <v/>
      </c>
      <c r="P19" s="2" t="str" cm="1">
        <f t="array" aca="1" ref="P19" ca="1">IFERROR(
 INDEX(
  _xlfn._xlws.FILTER($U$2:$AX$2,
   TRANSPOSE(
    CHOOSE({1;2;3;4;5;6;7;8;9;10;11;12;13;14;15;16;17;18;19;20;21;22;23;24;25;26;27;28;29;30},
     COUNTIFS($U$3:$U$201,$M19)&gt;0,
     COUNTIFS($V$3:$V$201,$M19)&gt;0,
     COUNTIFS($W$3:$W$201,$M19)&gt;0,
     COUNTIFS($X$3:$X$201,$M19)&gt;0,
     COUNTIFS($Y$3:$Y$201,$M19)&gt;0,
     COUNTIFS($Z$3:$Z$201,$M19)&gt;0,
     COUNTIFS($AA$3:$AA$201,$M19)&gt;0,
     COUNTIFS($AB$3:$AB$201,$M19)&gt;0,
     COUNTIFS($AC$3:$AC$201,$M19)&gt;0,
     COUNTIFS($AD$3:$AD$201,$M19)&gt;0,
     COUNTIFS($AE$3:$AE$201,$M19)&gt;0,
     COUNTIFS($AF$3:$AF$201,$M19)&gt;0,
     COUNTIFS($AG$3:$AG$201,$M19)&gt;0,
     COUNTIFS($AH$3:$AH$201,$M19)&gt;0,
     COUNTIFS($AI$3:$AI$201,$M19)&gt;0,
     COUNTIFS($AJ$3:$AJ$201,$M19)&gt;0,
     COUNTIFS($AK$3:$AK$201,$M19)&gt;0,
     COUNTIFS($AL$3:$AL$201,$M19)&gt;0,
     COUNTIFS($AM$3:$AM$201,$M19)&gt;0,
     COUNTIFS($AN$3:$AN$201,$M19)&gt;0,
     COUNTIFS($AO$3:$AO$201,$M19)&gt;0,
     COUNTIFS($AP$3:$AP$201,$M19)&gt;0,
     COUNTIFS($AQ$3:$AQ$201,$M19)&gt;0,
     COUNTIFS($AR$3:$AR$201,$M19)&gt;0,
     COUNTIFS($AS$3:$AS$201,$M19)&gt;0,
     COUNTIFS($AT$3:$AT$201,$M19)&gt;0,
     COUNTIFS($AU$3:$AU$201,$M19)&gt;0,
     COUNTIFS($AV$3:$AV$201,$M19)&gt;0,
     COUNTIFS($AW$3:$AW$201,$M19)&gt;0,
     COUNTIFS($AX$3:$AX$201,$M19)&gt;0
   )),
  ),
  2
 ),
"")</f>
        <v/>
      </c>
      <c r="Q19" s="2" t="str" cm="1">
        <f t="array" aca="1" ref="Q19" ca="1">IFERROR(
 INDEX(
  _xlfn._xlws.FILTER($U$2:$AX$2,
   TRANSPOSE(
    CHOOSE({1;2;3;4;5;6;7;8;9;10;11;12;13;14;15;16;17;18;19;20;21;22;23;24;25;26;27;28;29;30},
     COUNTIFS($U$3:$U$201,$M19)&gt;0,
     COUNTIFS($V$3:$V$201,$M19)&gt;0,
     COUNTIFS($W$3:$W$201,$M19)&gt;0,
     COUNTIFS($X$3:$X$201,$M19)&gt;0,
     COUNTIFS($Y$3:$Y$201,$M19)&gt;0,
     COUNTIFS($Z$3:$Z$201,$M19)&gt;0,
     COUNTIFS($AA$3:$AA$201,$M19)&gt;0,
     COUNTIFS($AB$3:$AB$201,$M19)&gt;0,
     COUNTIFS($AC$3:$AC$201,$M19)&gt;0,
     COUNTIFS($AD$3:$AD$201,$M19)&gt;0,
     COUNTIFS($AE$3:$AE$201,$M19)&gt;0,
     COUNTIFS($AF$3:$AF$201,$M19)&gt;0,
     COUNTIFS($AG$3:$AG$201,$M19)&gt;0,
     COUNTIFS($AH$3:$AH$201,$M19)&gt;0,
     COUNTIFS($AI$3:$AI$201,$M19)&gt;0,
     COUNTIFS($AJ$3:$AJ$201,$M19)&gt;0,
     COUNTIFS($AK$3:$AK$201,$M19)&gt;0,
     COUNTIFS($AL$3:$AL$201,$M19)&gt;0,
     COUNTIFS($AM$3:$AM$201,$M19)&gt;0,
     COUNTIFS($AN$3:$AN$201,$M19)&gt;0,
     COUNTIFS($AO$3:$AO$201,$M19)&gt;0,
     COUNTIFS($AP$3:$AP$201,$M19)&gt;0,
     COUNTIFS($AQ$3:$AQ$201,$M19)&gt;0,
     COUNTIFS($AR$3:$AR$201,$M19)&gt;0,
     COUNTIFS($AS$3:$AS$201,$M19)&gt;0,
     COUNTIFS($AT$3:$AT$201,$M19)&gt;0,
     COUNTIFS($AU$3:$AU$201,$M19)&gt;0,
     COUNTIFS($AV$3:$AV$201,$M19)&gt;0,
     COUNTIFS($AW$3:$AW$201,$M19)&gt;0,
     COUNTIFS($AX$3:$AX$201,$M19)&gt;0
   )),
  ),
  3
 ),
"")</f>
        <v/>
      </c>
      <c r="V19" t="str">
        <v>Presence of Gond</v>
      </c>
      <c r="W19" t="str">
        <v>Traumatize</v>
      </c>
      <c r="X19" t="str">
        <v>Simian Simulacrum</v>
      </c>
      <c r="AQ19" t="str">
        <v>Savage Twister</v>
      </c>
      <c r="AX19" t="str">
        <v>Staged Fight</v>
      </c>
      <c r="CH19" t="str">
        <f ca="1"/>
        <v>Noble's Purse</v>
      </c>
      <c r="CI19" t="str">
        <f ca="1"/>
        <v>Opt</v>
      </c>
      <c r="CJ19" t="str">
        <f ca="1"/>
        <v>Royalty Assassin</v>
      </c>
      <c r="CK19" t="str">
        <f ca="1"/>
        <v>The Hunger Tide Rises</v>
      </c>
      <c r="CL19" t="str">
        <f ca="1"/>
        <v>Wall of Roots</v>
      </c>
      <c r="CN19" t="str">
        <f ca="1"/>
        <v>Vivid Marsh</v>
      </c>
      <c r="CO19" t="str">
        <f ca="1"/>
        <v>Nicol Bolas, Dragon-God</v>
      </c>
      <c r="CS19" t="str">
        <f ca="1"/>
        <v>Ravenous Chupacabra</v>
      </c>
      <c r="CV19" t="str">
        <f ca="1"/>
        <v>Staged Fight</v>
      </c>
      <c r="DO19" t="str">
        <f ca="1"/>
        <v>Gruul Turf</v>
      </c>
      <c r="DP19" t="str">
        <f ca="1"/>
        <v>Island</v>
      </c>
      <c r="DQ19" t="str">
        <f ca="1"/>
        <v>Kederekt Leviathan</v>
      </c>
      <c r="DR19" t="str">
        <f ca="1"/>
        <v>Infiltration Lens</v>
      </c>
      <c r="DT19" t="str">
        <f ca="1"/>
        <v>Mogis, God of Slaughter</v>
      </c>
      <c r="DV19" t="str">
        <f ca="1"/>
        <v>Staged Fight</v>
      </c>
      <c r="EF19" t="str">
        <f ca="1"/>
        <v>Eternal Witness</v>
      </c>
      <c r="EG19" t="str">
        <f ca="1"/>
        <v>Drown in the Loch</v>
      </c>
      <c r="EH19" t="str">
        <f ca="1"/>
        <v>Island</v>
      </c>
      <c r="EI19" t="str">
        <f ca="1"/>
        <v>Inspiring Statuary</v>
      </c>
      <c r="EO19" t="str">
        <f ca="1"/>
        <v>Coronation of Chaos</v>
      </c>
      <c r="EP19" t="str">
        <f ca="1"/>
        <v>Earth Kingdom General</v>
      </c>
      <c r="ET19" t="str">
        <f ca="1"/>
        <v>Buried Alive</v>
      </c>
      <c r="EW19" t="str">
        <f ca="1"/>
        <v>Brazen Cannonade</v>
      </c>
    </row>
    <row r="20" spans="1:153" x14ac:dyDescent="0.25">
      <c r="A20" t="str">
        <f ca="1"/>
        <v>Ancient Greenwarden</v>
      </c>
      <c r="B20" s="2" t="str" cm="1">
        <f t="array" aca="1" ref="B20" ca="1">_xlfn.ANCHORARRAY(RESUMO!C19)</f>
        <v>Zimone</v>
      </c>
      <c r="C20" s="2" t="str">
        <f t="shared" ca="1" si="0"/>
        <v/>
      </c>
      <c r="E20" t="str">
        <f ca="1"/>
        <v>Bruma Etérea</v>
      </c>
      <c r="F20" s="2">
        <f t="shared" ca="1" si="3"/>
        <v>1</v>
      </c>
      <c r="G20" s="2" t="str">
        <f t="shared" ca="1" si="1"/>
        <v>VialIshai</v>
      </c>
      <c r="I20" s="18"/>
      <c r="J20" t="s">
        <v>180</v>
      </c>
      <c r="K20" s="2">
        <v>1</v>
      </c>
      <c r="M20" t="str">
        <f ca="1"/>
        <v>Bruma Etérea</v>
      </c>
      <c r="N20" s="2">
        <f t="shared" ca="1" si="2"/>
        <v>1</v>
      </c>
      <c r="O20" s="2" t="str">
        <f ca="1">IFERROR(
 INDEX($U$2:$AX$2,
  MATCH(TRUE,
   CHOOSE({1;2;3;4;5;6;7;8;9;10;11;12;13;14;15;16;17;18;19;20;21;22;23;24;25;26;27;28;29;30;31;32},
    COUNTIFS($U$3:$U$201,$M20)&gt;0,
    COUNTIFS($V$3:$V$201,$M20)&gt;0,
    COUNTIFS($W$3:$W$201,$M20)&gt;0,
    COUNTIFS($X$3:$X$201,$M20)&gt;0,
    COUNTIFS($Y$3:$Y$201,$M20)&gt;0,
    COUNTIFS($Z$3:$Z$201,$M20)&gt;0,
    COUNTIFS($AA$3:$AA$201,$M20)&gt;0,
    COUNTIFS($AB$3:$AB$201,$M20)&gt;0,
    COUNTIFS($AC$3:$AC$201,$M20)&gt;0,
    COUNTIFS($AD$3:$AD$201,$M20)&gt;0,
    COUNTIFS($AE$3:$AE$201,$M20)&gt;0,
    COUNTIFS($AF$3:$AF$201,$M20)&gt;0,
    COUNTIFS($AG$3:$AG$201,$M20)&gt;0,
    COUNTIFS($AH$3:$AH$201,$M20)&gt;0,
    COUNTIFS($AI$3:$AI$201,$M20)&gt;0,
    COUNTIFS($AJ$3:$AJ$201,$M20)&gt;0,
    COUNTIFS($AK$3:$AK$201,$M20)&gt;0,
    COUNTIFS($AL$3:$AL$201,$M20)&gt;0,
    COUNTIFS($AM$3:$AM$201,$M20)&gt;0,
    COUNTIFS($AN$3:$AN$201,$M20)&gt;0,
    COUNTIFS($AO$3:$AO$201,$M20)&gt;0,
    COUNTIFS($AP$3:$AP$201,$M20)&gt;0,
    COUNTIFS($AQ$3:$AQ$201,$M20)&gt;0,
    COUNTIFS($AR$3:$AR$201,$M20)&gt;0,
    COUNTIFS($AS$3:$AS$201,$M20)&gt;0,
    COUNTIFS($AT$3:$AT$201,$M20)&gt;0,
    COUNTIFS($AU$3:$AU$201,$M20)&gt;0,
    COUNTIFS($AV$3:$AV$201,$M20)&gt;0,
    COUNTIFS($AW$3:$AW$201,$M20)&gt;0,
    COUNTIFS($AX$3:$AX$201,$M20)&gt;0
   ),
  0)
 ),
"")</f>
        <v>VialIshai</v>
      </c>
      <c r="P20" s="2" t="str" cm="1">
        <f t="array" aca="1" ref="P20" ca="1">IFERROR(
 INDEX(
  _xlfn._xlws.FILTER($U$2:$AX$2,
   TRANSPOSE(
    CHOOSE({1;2;3;4;5;6;7;8;9;10;11;12;13;14;15;16;17;18;19;20;21;22;23;24;25;26;27;28;29;30},
     COUNTIFS($U$3:$U$201,$M20)&gt;0,
     COUNTIFS($V$3:$V$201,$M20)&gt;0,
     COUNTIFS($W$3:$W$201,$M20)&gt;0,
     COUNTIFS($X$3:$X$201,$M20)&gt;0,
     COUNTIFS($Y$3:$Y$201,$M20)&gt;0,
     COUNTIFS($Z$3:$Z$201,$M20)&gt;0,
     COUNTIFS($AA$3:$AA$201,$M20)&gt;0,
     COUNTIFS($AB$3:$AB$201,$M20)&gt;0,
     COUNTIFS($AC$3:$AC$201,$M20)&gt;0,
     COUNTIFS($AD$3:$AD$201,$M20)&gt;0,
     COUNTIFS($AE$3:$AE$201,$M20)&gt;0,
     COUNTIFS($AF$3:$AF$201,$M20)&gt;0,
     COUNTIFS($AG$3:$AG$201,$M20)&gt;0,
     COUNTIFS($AH$3:$AH$201,$M20)&gt;0,
     COUNTIFS($AI$3:$AI$201,$M20)&gt;0,
     COUNTIFS($AJ$3:$AJ$201,$M20)&gt;0,
     COUNTIFS($AK$3:$AK$201,$M20)&gt;0,
     COUNTIFS($AL$3:$AL$201,$M20)&gt;0,
     COUNTIFS($AM$3:$AM$201,$M20)&gt;0,
     COUNTIFS($AN$3:$AN$201,$M20)&gt;0,
     COUNTIFS($AO$3:$AO$201,$M20)&gt;0,
     COUNTIFS($AP$3:$AP$201,$M20)&gt;0,
     COUNTIFS($AQ$3:$AQ$201,$M20)&gt;0,
     COUNTIFS($AR$3:$AR$201,$M20)&gt;0,
     COUNTIFS($AS$3:$AS$201,$M20)&gt;0,
     COUNTIFS($AT$3:$AT$201,$M20)&gt;0,
     COUNTIFS($AU$3:$AU$201,$M20)&gt;0,
     COUNTIFS($AV$3:$AV$201,$M20)&gt;0,
     COUNTIFS($AW$3:$AW$201,$M20)&gt;0,
     COUNTIFS($AX$3:$AX$201,$M20)&gt;0
   )),
  ),
  2
 ),
"")</f>
        <v/>
      </c>
      <c r="Q20" s="2" t="str" cm="1">
        <f t="array" aca="1" ref="Q20" ca="1">IFERROR(
 INDEX(
  _xlfn._xlws.FILTER($U$2:$AX$2,
   TRANSPOSE(
    CHOOSE({1;2;3;4;5;6;7;8;9;10;11;12;13;14;15;16;17;18;19;20;21;22;23;24;25;26;27;28;29;30},
     COUNTIFS($U$3:$U$201,$M20)&gt;0,
     COUNTIFS($V$3:$V$201,$M20)&gt;0,
     COUNTIFS($W$3:$W$201,$M20)&gt;0,
     COUNTIFS($X$3:$X$201,$M20)&gt;0,
     COUNTIFS($Y$3:$Y$201,$M20)&gt;0,
     COUNTIFS($Z$3:$Z$201,$M20)&gt;0,
     COUNTIFS($AA$3:$AA$201,$M20)&gt;0,
     COUNTIFS($AB$3:$AB$201,$M20)&gt;0,
     COUNTIFS($AC$3:$AC$201,$M20)&gt;0,
     COUNTIFS($AD$3:$AD$201,$M20)&gt;0,
     COUNTIFS($AE$3:$AE$201,$M20)&gt;0,
     COUNTIFS($AF$3:$AF$201,$M20)&gt;0,
     COUNTIFS($AG$3:$AG$201,$M20)&gt;0,
     COUNTIFS($AH$3:$AH$201,$M20)&gt;0,
     COUNTIFS($AI$3:$AI$201,$M20)&gt;0,
     COUNTIFS($AJ$3:$AJ$201,$M20)&gt;0,
     COUNTIFS($AK$3:$AK$201,$M20)&gt;0,
     COUNTIFS($AL$3:$AL$201,$M20)&gt;0,
     COUNTIFS($AM$3:$AM$201,$M20)&gt;0,
     COUNTIFS($AN$3:$AN$201,$M20)&gt;0,
     COUNTIFS($AO$3:$AO$201,$M20)&gt;0,
     COUNTIFS($AP$3:$AP$201,$M20)&gt;0,
     COUNTIFS($AQ$3:$AQ$201,$M20)&gt;0,
     COUNTIFS($AR$3:$AR$201,$M20)&gt;0,
     COUNTIFS($AS$3:$AS$201,$M20)&gt;0,
     COUNTIFS($AT$3:$AT$201,$M20)&gt;0,
     COUNTIFS($AU$3:$AU$201,$M20)&gt;0,
     COUNTIFS($AV$3:$AV$201,$M20)&gt;0,
     COUNTIFS($AW$3:$AW$201,$M20)&gt;0,
     COUNTIFS($AX$3:$AX$201,$M20)&gt;0
   )),
  ),
  3
 ),
"")</f>
        <v/>
      </c>
      <c r="V20" t="str">
        <v>Prosperous Innkeeper</v>
      </c>
      <c r="W20" t="str">
        <v>Twinferno</v>
      </c>
      <c r="X20" t="str">
        <v>Solidarity of Heroes</v>
      </c>
      <c r="AQ20" t="str">
        <v>Soul's Majesty</v>
      </c>
      <c r="AX20" t="str">
        <v>Syr Ginger, the Meal Ender</v>
      </c>
      <c r="CH20" t="str">
        <f ca="1"/>
        <v>Panorama de Naya</v>
      </c>
      <c r="CI20" t="str">
        <f ca="1"/>
        <v>Oversold Cemetery</v>
      </c>
      <c r="CJ20" t="str">
        <f ca="1"/>
        <v>Shiny Impetus</v>
      </c>
      <c r="CK20" t="str">
        <f ca="1"/>
        <v>Thieving Skydiver</v>
      </c>
      <c r="CL20" t="str">
        <f ca="1"/>
        <v>Wayfarrer's Bauble</v>
      </c>
      <c r="CN20" t="str">
        <f ca="1"/>
        <v>Whelming Wave</v>
      </c>
      <c r="CO20" t="str">
        <f ca="1"/>
        <v>Plate Armor</v>
      </c>
      <c r="CS20" t="str">
        <f ca="1"/>
        <v>Ritual of Soot</v>
      </c>
      <c r="CV20" t="str">
        <f ca="1"/>
        <v>Syr Ginger, the Meal Ender</v>
      </c>
      <c r="DO20" t="str">
        <f ca="1"/>
        <v>Horda Germinal</v>
      </c>
      <c r="DP20" t="str">
        <f ca="1"/>
        <v>Japaland</v>
      </c>
      <c r="DQ20" t="str">
        <f ca="1"/>
        <v>Mountain</v>
      </c>
      <c r="DR20" t="str">
        <f ca="1"/>
        <v>Island</v>
      </c>
      <c r="DT20" t="str">
        <f ca="1"/>
        <v>Murderous Rider // Swift End</v>
      </c>
      <c r="DV20" t="str">
        <f ca="1"/>
        <v>Syr Ginger, the Meal Ender</v>
      </c>
      <c r="EF20" t="str">
        <f ca="1"/>
        <v>Evolving Wilds</v>
      </c>
      <c r="EG20" t="str">
        <f ca="1"/>
        <v>Duplicant</v>
      </c>
      <c r="EH20" t="str">
        <f ca="1"/>
        <v>Jarad, Golgari Lich Lord</v>
      </c>
      <c r="EI20" t="str">
        <f ca="1"/>
        <v>Lotho, Corrupt Shirriff</v>
      </c>
      <c r="EO20" t="str">
        <f ca="1"/>
        <v>Crashing Drawbridge</v>
      </c>
      <c r="EP20" t="str">
        <f ca="1"/>
        <v>Elves of Deep Shadow</v>
      </c>
      <c r="ET20" t="str">
        <f ca="1"/>
        <v>Campo Contaminado</v>
      </c>
      <c r="EW20" t="str">
        <f ca="1"/>
        <v>Bruma Etérea</v>
      </c>
    </row>
    <row r="21" spans="1:153" x14ac:dyDescent="0.25">
      <c r="A21" t="str">
        <f ca="1"/>
        <v>Ancient Tomb</v>
      </c>
      <c r="B21" s="2" t="str" cm="1">
        <f t="array" aca="1" ref="B21" ca="1">_xlfn.ANCHORARRAY(RESUMO!C20)</f>
        <v>Gitrog</v>
      </c>
      <c r="C21" s="2" t="str">
        <f t="shared" ca="1" si="0"/>
        <v/>
      </c>
      <c r="E21" t="str">
        <f ca="1"/>
        <v>Buried Alive</v>
      </c>
      <c r="F21" s="2">
        <f t="shared" ca="1" si="3"/>
        <v>1</v>
      </c>
      <c r="G21" s="2" t="str">
        <f t="shared" ca="1" si="1"/>
        <v>Gritrog</v>
      </c>
      <c r="I21" s="18"/>
      <c r="J21" t="s">
        <v>180</v>
      </c>
      <c r="K21" s="2">
        <v>1</v>
      </c>
      <c r="M21" t="str">
        <f ca="1"/>
        <v>Buried Alive</v>
      </c>
      <c r="N21" s="2">
        <f t="shared" ca="1" si="2"/>
        <v>1</v>
      </c>
      <c r="O21" s="2" t="str">
        <f ca="1">IFERROR(
 INDEX($U$2:$AX$2,
  MATCH(TRUE,
   CHOOSE({1;2;3;4;5;6;7;8;9;10;11;12;13;14;15;16;17;18;19;20;21;22;23;24;25;26;27;28;29;30;31;32},
    COUNTIFS($U$3:$U$201,$M21)&gt;0,
    COUNTIFS($V$3:$V$201,$M21)&gt;0,
    COUNTIFS($W$3:$W$201,$M21)&gt;0,
    COUNTIFS($X$3:$X$201,$M21)&gt;0,
    COUNTIFS($Y$3:$Y$201,$M21)&gt;0,
    COUNTIFS($Z$3:$Z$201,$M21)&gt;0,
    COUNTIFS($AA$3:$AA$201,$M21)&gt;0,
    COUNTIFS($AB$3:$AB$201,$M21)&gt;0,
    COUNTIFS($AC$3:$AC$201,$M21)&gt;0,
    COUNTIFS($AD$3:$AD$201,$M21)&gt;0,
    COUNTIFS($AE$3:$AE$201,$M21)&gt;0,
    COUNTIFS($AF$3:$AF$201,$M21)&gt;0,
    COUNTIFS($AG$3:$AG$201,$M21)&gt;0,
    COUNTIFS($AH$3:$AH$201,$M21)&gt;0,
    COUNTIFS($AI$3:$AI$201,$M21)&gt;0,
    COUNTIFS($AJ$3:$AJ$201,$M21)&gt;0,
    COUNTIFS($AK$3:$AK$201,$M21)&gt;0,
    COUNTIFS($AL$3:$AL$201,$M21)&gt;0,
    COUNTIFS($AM$3:$AM$201,$M21)&gt;0,
    COUNTIFS($AN$3:$AN$201,$M21)&gt;0,
    COUNTIFS($AO$3:$AO$201,$M21)&gt;0,
    COUNTIFS($AP$3:$AP$201,$M21)&gt;0,
    COUNTIFS($AQ$3:$AQ$201,$M21)&gt;0,
    COUNTIFS($AR$3:$AR$201,$M21)&gt;0,
    COUNTIFS($AS$3:$AS$201,$M21)&gt;0,
    COUNTIFS($AT$3:$AT$201,$M21)&gt;0,
    COUNTIFS($AU$3:$AU$201,$M21)&gt;0,
    COUNTIFS($AV$3:$AV$201,$M21)&gt;0,
    COUNTIFS($AW$3:$AW$201,$M21)&gt;0,
    COUNTIFS($AX$3:$AX$201,$M21)&gt;0
   ),
  0)
 ),
"")</f>
        <v>Gritrog</v>
      </c>
      <c r="P21" s="2" t="str" cm="1">
        <f t="array" aca="1" ref="P21" ca="1">IFERROR(
 INDEX(
  _xlfn._xlws.FILTER($U$2:$AX$2,
   TRANSPOSE(
    CHOOSE({1;2;3;4;5;6;7;8;9;10;11;12;13;14;15;16;17;18;19;20;21;22;23;24;25;26;27;28;29;30},
     COUNTIFS($U$3:$U$201,$M21)&gt;0,
     COUNTIFS($V$3:$V$201,$M21)&gt;0,
     COUNTIFS($W$3:$W$201,$M21)&gt;0,
     COUNTIFS($X$3:$X$201,$M21)&gt;0,
     COUNTIFS($Y$3:$Y$201,$M21)&gt;0,
     COUNTIFS($Z$3:$Z$201,$M21)&gt;0,
     COUNTIFS($AA$3:$AA$201,$M21)&gt;0,
     COUNTIFS($AB$3:$AB$201,$M21)&gt;0,
     COUNTIFS($AC$3:$AC$201,$M21)&gt;0,
     COUNTIFS($AD$3:$AD$201,$M21)&gt;0,
     COUNTIFS($AE$3:$AE$201,$M21)&gt;0,
     COUNTIFS($AF$3:$AF$201,$M21)&gt;0,
     COUNTIFS($AG$3:$AG$201,$M21)&gt;0,
     COUNTIFS($AH$3:$AH$201,$M21)&gt;0,
     COUNTIFS($AI$3:$AI$201,$M21)&gt;0,
     COUNTIFS($AJ$3:$AJ$201,$M21)&gt;0,
     COUNTIFS($AK$3:$AK$201,$M21)&gt;0,
     COUNTIFS($AL$3:$AL$201,$M21)&gt;0,
     COUNTIFS($AM$3:$AM$201,$M21)&gt;0,
     COUNTIFS($AN$3:$AN$201,$M21)&gt;0,
     COUNTIFS($AO$3:$AO$201,$M21)&gt;0,
     COUNTIFS($AP$3:$AP$201,$M21)&gt;0,
     COUNTIFS($AQ$3:$AQ$201,$M21)&gt;0,
     COUNTIFS($AR$3:$AR$201,$M21)&gt;0,
     COUNTIFS($AS$3:$AS$201,$M21)&gt;0,
     COUNTIFS($AT$3:$AT$201,$M21)&gt;0,
     COUNTIFS($AU$3:$AU$201,$M21)&gt;0,
     COUNTIFS($AV$3:$AV$201,$M21)&gt;0,
     COUNTIFS($AW$3:$AW$201,$M21)&gt;0,
     COUNTIFS($AX$3:$AX$201,$M21)&gt;0
   )),
  ),
  2
 ),
"")</f>
        <v/>
      </c>
      <c r="Q21" s="2" t="str" cm="1">
        <f t="array" aca="1" ref="Q21" ca="1">IFERROR(
 INDEX(
  _xlfn._xlws.FILTER($U$2:$AX$2,
   TRANSPOSE(
    CHOOSE({1;2;3;4;5;6;7;8;9;10;11;12;13;14;15;16;17;18;19;20;21;22;23;24;25;26;27;28;29;30},
     COUNTIFS($U$3:$U$201,$M21)&gt;0,
     COUNTIFS($V$3:$V$201,$M21)&gt;0,
     COUNTIFS($W$3:$W$201,$M21)&gt;0,
     COUNTIFS($X$3:$X$201,$M21)&gt;0,
     COUNTIFS($Y$3:$Y$201,$M21)&gt;0,
     COUNTIFS($Z$3:$Z$201,$M21)&gt;0,
     COUNTIFS($AA$3:$AA$201,$M21)&gt;0,
     COUNTIFS($AB$3:$AB$201,$M21)&gt;0,
     COUNTIFS($AC$3:$AC$201,$M21)&gt;0,
     COUNTIFS($AD$3:$AD$201,$M21)&gt;0,
     COUNTIFS($AE$3:$AE$201,$M21)&gt;0,
     COUNTIFS($AF$3:$AF$201,$M21)&gt;0,
     COUNTIFS($AG$3:$AG$201,$M21)&gt;0,
     COUNTIFS($AH$3:$AH$201,$M21)&gt;0,
     COUNTIFS($AI$3:$AI$201,$M21)&gt;0,
     COUNTIFS($AJ$3:$AJ$201,$M21)&gt;0,
     COUNTIFS($AK$3:$AK$201,$M21)&gt;0,
     COUNTIFS($AL$3:$AL$201,$M21)&gt;0,
     COUNTIFS($AM$3:$AM$201,$M21)&gt;0,
     COUNTIFS($AN$3:$AN$201,$M21)&gt;0,
     COUNTIFS($AO$3:$AO$201,$M21)&gt;0,
     COUNTIFS($AP$3:$AP$201,$M21)&gt;0,
     COUNTIFS($AQ$3:$AQ$201,$M21)&gt;0,
     COUNTIFS($AR$3:$AR$201,$M21)&gt;0,
     COUNTIFS($AS$3:$AS$201,$M21)&gt;0,
     COUNTIFS($AT$3:$AT$201,$M21)&gt;0,
     COUNTIFS($AU$3:$AU$201,$M21)&gt;0,
     COUNTIFS($AV$3:$AV$201,$M21)&gt;0,
     COUNTIFS($AW$3:$AW$201,$M21)&gt;0,
     COUNTIFS($AX$3:$AX$201,$M21)&gt;0
   )),
  ),
  3
 ),
"")</f>
        <v/>
      </c>
      <c r="V21" t="str">
        <v>Rosie Cotton of South Lane</v>
      </c>
      <c r="X21" t="str">
        <v>Swamp</v>
      </c>
      <c r="AQ21" t="str">
        <v>Storm's Wrath</v>
      </c>
      <c r="AX21" t="str">
        <v>Terramorphic Expanse</v>
      </c>
      <c r="CH21" t="str">
        <f ca="1"/>
        <v>Plains</v>
      </c>
      <c r="CI21" t="str">
        <f ca="1"/>
        <v>Plains</v>
      </c>
      <c r="CJ21" t="str">
        <f ca="1"/>
        <v>Sontaran General</v>
      </c>
      <c r="CK21" t="str">
        <f ca="1"/>
        <v>Vale Afundado</v>
      </c>
      <c r="CL21" t="str">
        <f ca="1"/>
        <v>World Shaper</v>
      </c>
      <c r="CO21" t="str">
        <f ca="1"/>
        <v>Rebbec, Architect of Ascension</v>
      </c>
      <c r="CS21" t="str">
        <f ca="1"/>
        <v>Saheeli, Filigree Master</v>
      </c>
      <c r="CV21" t="str">
        <f ca="1"/>
        <v>Terramorphic Expanse</v>
      </c>
      <c r="DO21" t="str">
        <f ca="1"/>
        <v>Indulge // Excess</v>
      </c>
      <c r="DP21" t="str">
        <f ca="1"/>
        <v>Jolrael, Mwonvuli Recluse</v>
      </c>
      <c r="DQ21" t="str">
        <f ca="1"/>
        <v>Mythos of Snapdax</v>
      </c>
      <c r="DR21" t="str">
        <f ca="1"/>
        <v>Karn's Temporal Sundering</v>
      </c>
      <c r="DT21" t="str">
        <f ca="1"/>
        <v>Mystic Forge</v>
      </c>
      <c r="DV21" t="str">
        <f ca="1"/>
        <v>Terramorphic Expanse</v>
      </c>
      <c r="EF21" t="str">
        <f ca="1"/>
        <v>Fiend Artisan</v>
      </c>
      <c r="EG21" t="str">
        <f ca="1"/>
        <v>Eaten Alive</v>
      </c>
      <c r="EH21" t="str">
        <f ca="1"/>
        <v>Kiora's Follower</v>
      </c>
      <c r="EI21" t="str">
        <f ca="1"/>
        <v>Mondrak, Glory Dominus</v>
      </c>
      <c r="EO21" t="str">
        <f ca="1"/>
        <v>Crawling Infestation</v>
      </c>
      <c r="EP21" t="str">
        <f ca="1"/>
        <v>Evolving Wilds</v>
      </c>
      <c r="ET21" t="str">
        <f ca="1"/>
        <v>Captain Lannery Storm</v>
      </c>
      <c r="EW21" t="str">
        <f ca="1"/>
        <v>Buried Alive</v>
      </c>
    </row>
    <row r="22" spans="1:153" x14ac:dyDescent="0.25">
      <c r="A22" t="str">
        <f ca="1"/>
        <v>Anguished Unmaking</v>
      </c>
      <c r="B22" s="2" t="str" cm="1">
        <f t="array" aca="1" ref="B22" ca="1">_xlfn.ANCHORARRAY(RESUMO!C21)</f>
        <v>Zuko</v>
      </c>
      <c r="C22" s="2" t="str">
        <f t="shared" ca="1" si="0"/>
        <v/>
      </c>
      <c r="E22" t="str">
        <f ca="1"/>
        <v>Campo Contaminado</v>
      </c>
      <c r="F22" s="2">
        <f t="shared" ca="1" si="3"/>
        <v>1</v>
      </c>
      <c r="G22" s="2" t="str">
        <f t="shared" ca="1" si="1"/>
        <v>Carlos</v>
      </c>
      <c r="I22" s="18"/>
      <c r="J22" t="s">
        <v>180</v>
      </c>
      <c r="K22" s="2">
        <v>1</v>
      </c>
      <c r="M22" t="str">
        <f ca="1"/>
        <v>Campo Contaminado</v>
      </c>
      <c r="N22" s="2">
        <f t="shared" ca="1" si="2"/>
        <v>1</v>
      </c>
      <c r="O22" s="2" t="str">
        <f ca="1">IFERROR(
 INDEX($U$2:$AX$2,
  MATCH(TRUE,
   CHOOSE({1;2;3;4;5;6;7;8;9;10;11;12;13;14;15;16;17;18;19;20;21;22;23;24;25;26;27;28;29;30;31;32},
    COUNTIFS($U$3:$U$201,$M22)&gt;0,
    COUNTIFS($V$3:$V$201,$M22)&gt;0,
    COUNTIFS($W$3:$W$201,$M22)&gt;0,
    COUNTIFS($X$3:$X$201,$M22)&gt;0,
    COUNTIFS($Y$3:$Y$201,$M22)&gt;0,
    COUNTIFS($Z$3:$Z$201,$M22)&gt;0,
    COUNTIFS($AA$3:$AA$201,$M22)&gt;0,
    COUNTIFS($AB$3:$AB$201,$M22)&gt;0,
    COUNTIFS($AC$3:$AC$201,$M22)&gt;0,
    COUNTIFS($AD$3:$AD$201,$M22)&gt;0,
    COUNTIFS($AE$3:$AE$201,$M22)&gt;0,
    COUNTIFS($AF$3:$AF$201,$M22)&gt;0,
    COUNTIFS($AG$3:$AG$201,$M22)&gt;0,
    COUNTIFS($AH$3:$AH$201,$M22)&gt;0,
    COUNTIFS($AI$3:$AI$201,$M22)&gt;0,
    COUNTIFS($AJ$3:$AJ$201,$M22)&gt;0,
    COUNTIFS($AK$3:$AK$201,$M22)&gt;0,
    COUNTIFS($AL$3:$AL$201,$M22)&gt;0,
    COUNTIFS($AM$3:$AM$201,$M22)&gt;0,
    COUNTIFS($AN$3:$AN$201,$M22)&gt;0,
    COUNTIFS($AO$3:$AO$201,$M22)&gt;0,
    COUNTIFS($AP$3:$AP$201,$M22)&gt;0,
    COUNTIFS($AQ$3:$AQ$201,$M22)&gt;0,
    COUNTIFS($AR$3:$AR$201,$M22)&gt;0,
    COUNTIFS($AS$3:$AS$201,$M22)&gt;0,
    COUNTIFS($AT$3:$AT$201,$M22)&gt;0,
    COUNTIFS($AU$3:$AU$201,$M22)&gt;0,
    COUNTIFS($AV$3:$AV$201,$M22)&gt;0,
    COUNTIFS($AW$3:$AW$201,$M22)&gt;0,
    COUNTIFS($AX$3:$AX$201,$M22)&gt;0
   ),
  0)
 ),
"")</f>
        <v>Carlos</v>
      </c>
      <c r="P22" s="2" t="str" cm="1">
        <f t="array" aca="1" ref="P22" ca="1">IFERROR(
 INDEX(
  _xlfn._xlws.FILTER($U$2:$AX$2,
   TRANSPOSE(
    CHOOSE({1;2;3;4;5;6;7;8;9;10;11;12;13;14;15;16;17;18;19;20;21;22;23;24;25;26;27;28;29;30},
     COUNTIFS($U$3:$U$201,$M22)&gt;0,
     COUNTIFS($V$3:$V$201,$M22)&gt;0,
     COUNTIFS($W$3:$W$201,$M22)&gt;0,
     COUNTIFS($X$3:$X$201,$M22)&gt;0,
     COUNTIFS($Y$3:$Y$201,$M22)&gt;0,
     COUNTIFS($Z$3:$Z$201,$M22)&gt;0,
     COUNTIFS($AA$3:$AA$201,$M22)&gt;0,
     COUNTIFS($AB$3:$AB$201,$M22)&gt;0,
     COUNTIFS($AC$3:$AC$201,$M22)&gt;0,
     COUNTIFS($AD$3:$AD$201,$M22)&gt;0,
     COUNTIFS($AE$3:$AE$201,$M22)&gt;0,
     COUNTIFS($AF$3:$AF$201,$M22)&gt;0,
     COUNTIFS($AG$3:$AG$201,$M22)&gt;0,
     COUNTIFS($AH$3:$AH$201,$M22)&gt;0,
     COUNTIFS($AI$3:$AI$201,$M22)&gt;0,
     COUNTIFS($AJ$3:$AJ$201,$M22)&gt;0,
     COUNTIFS($AK$3:$AK$201,$M22)&gt;0,
     COUNTIFS($AL$3:$AL$201,$M22)&gt;0,
     COUNTIFS($AM$3:$AM$201,$M22)&gt;0,
     COUNTIFS($AN$3:$AN$201,$M22)&gt;0,
     COUNTIFS($AO$3:$AO$201,$M22)&gt;0,
     COUNTIFS($AP$3:$AP$201,$M22)&gt;0,
     COUNTIFS($AQ$3:$AQ$201,$M22)&gt;0,
     COUNTIFS($AR$3:$AR$201,$M22)&gt;0,
     COUNTIFS($AS$3:$AS$201,$M22)&gt;0,
     COUNTIFS($AT$3:$AT$201,$M22)&gt;0,
     COUNTIFS($AU$3:$AU$201,$M22)&gt;0,
     COUNTIFS($AV$3:$AV$201,$M22)&gt;0,
     COUNTIFS($AW$3:$AW$201,$M22)&gt;0,
     COUNTIFS($AX$3:$AX$201,$M22)&gt;0
   )),
  ),
  2
 ),
"")</f>
        <v/>
      </c>
      <c r="Q22" s="2" t="str" cm="1">
        <f t="array" aca="1" ref="Q22" ca="1">IFERROR(
 INDEX(
  _xlfn._xlws.FILTER($U$2:$AX$2,
   TRANSPOSE(
    CHOOSE({1;2;3;4;5;6;7;8;9;10;11;12;13;14;15;16;17;18;19;20;21;22;23;24;25;26;27;28;29;30},
     COUNTIFS($U$3:$U$201,$M22)&gt;0,
     COUNTIFS($V$3:$V$201,$M22)&gt;0,
     COUNTIFS($W$3:$W$201,$M22)&gt;0,
     COUNTIFS($X$3:$X$201,$M22)&gt;0,
     COUNTIFS($Y$3:$Y$201,$M22)&gt;0,
     COUNTIFS($Z$3:$Z$201,$M22)&gt;0,
     COUNTIFS($AA$3:$AA$201,$M22)&gt;0,
     COUNTIFS($AB$3:$AB$201,$M22)&gt;0,
     COUNTIFS($AC$3:$AC$201,$M22)&gt;0,
     COUNTIFS($AD$3:$AD$201,$M22)&gt;0,
     COUNTIFS($AE$3:$AE$201,$M22)&gt;0,
     COUNTIFS($AF$3:$AF$201,$M22)&gt;0,
     COUNTIFS($AG$3:$AG$201,$M22)&gt;0,
     COUNTIFS($AH$3:$AH$201,$M22)&gt;0,
     COUNTIFS($AI$3:$AI$201,$M22)&gt;0,
     COUNTIFS($AJ$3:$AJ$201,$M22)&gt;0,
     COUNTIFS($AK$3:$AK$201,$M22)&gt;0,
     COUNTIFS($AL$3:$AL$201,$M22)&gt;0,
     COUNTIFS($AM$3:$AM$201,$M22)&gt;0,
     COUNTIFS($AN$3:$AN$201,$M22)&gt;0,
     COUNTIFS($AO$3:$AO$201,$M22)&gt;0,
     COUNTIFS($AP$3:$AP$201,$M22)&gt;0,
     COUNTIFS($AQ$3:$AQ$201,$M22)&gt;0,
     COUNTIFS($AR$3:$AR$201,$M22)&gt;0,
     COUNTIFS($AS$3:$AS$201,$M22)&gt;0,
     COUNTIFS($AT$3:$AT$201,$M22)&gt;0,
     COUNTIFS($AU$3:$AU$201,$M22)&gt;0,
     COUNTIFS($AV$3:$AV$201,$M22)&gt;0,
     COUNTIFS($AW$3:$AW$201,$M22)&gt;0,
     COUNTIFS($AX$3:$AX$201,$M22)&gt;0
   )),
  ),
  3
 ),
"")</f>
        <v/>
      </c>
      <c r="V22" t="str">
        <v>Scavenging Ooze</v>
      </c>
      <c r="X22" t="str">
        <v>Swamp</v>
      </c>
      <c r="AX22" t="str">
        <v>The Jolly Baloon Man</v>
      </c>
      <c r="CH22" t="str">
        <f ca="1"/>
        <v>Presence of Gond</v>
      </c>
      <c r="CI22" t="str">
        <f ca="1"/>
        <v>Realmbreaker, the Invasion Tree</v>
      </c>
      <c r="CK22" t="str">
        <f ca="1"/>
        <v>Watertrap Weaver</v>
      </c>
      <c r="CO22" t="str">
        <f ca="1"/>
        <v>Shifting Shadow</v>
      </c>
      <c r="CS22" t="str">
        <f ca="1"/>
        <v>Savage Twister</v>
      </c>
      <c r="CV22" t="str">
        <f ca="1"/>
        <v>The Jolly Baloon Man</v>
      </c>
      <c r="DO22" t="str">
        <f ca="1"/>
        <v>Island</v>
      </c>
      <c r="DP22" t="str">
        <f ca="1"/>
        <v>Kazuul, Tyrant of the Cliffs</v>
      </c>
      <c r="DQ22" t="str">
        <f ca="1"/>
        <v>Pentavus</v>
      </c>
      <c r="DR22" t="str">
        <f ca="1"/>
        <v>Kasmina, Enigma Sage</v>
      </c>
      <c r="DT22" t="str">
        <f ca="1"/>
        <v>Nimble Obstructionist</v>
      </c>
      <c r="DV22" t="str">
        <f ca="1"/>
        <v>The Jolly Baloon Man</v>
      </c>
      <c r="EF22" t="str">
        <f ca="1"/>
        <v>Forest</v>
      </c>
      <c r="EG22" t="str">
        <f ca="1"/>
        <v>Exclusion Mage</v>
      </c>
      <c r="EH22" t="str">
        <f ca="1"/>
        <v>Mage Slayer</v>
      </c>
      <c r="EI22" t="str">
        <f ca="1"/>
        <v>Mountain</v>
      </c>
      <c r="EO22" t="str">
        <f ca="1"/>
        <v>Cut your Losses</v>
      </c>
      <c r="EP22" t="str">
        <f ca="1"/>
        <v>Feldon of the Third Path</v>
      </c>
      <c r="ET22" t="str">
        <f ca="1"/>
        <v>Caustic Caterpillar</v>
      </c>
      <c r="EW22" t="str">
        <f ca="1"/>
        <v>Campo Contaminado</v>
      </c>
    </row>
    <row r="23" spans="1:153" x14ac:dyDescent="0.25">
      <c r="A23" t="str">
        <f ca="1"/>
        <v>Anim Pakal, Thousandth Moon</v>
      </c>
      <c r="B23" s="2" t="str" cm="1">
        <f t="array" aca="1" ref="B23" ca="1">_xlfn.ANCHORARRAY(RESUMO!C22)</f>
        <v>Zuko</v>
      </c>
      <c r="C23" s="2" t="str">
        <f t="shared" ca="1" si="0"/>
        <v/>
      </c>
      <c r="E23" t="str">
        <f ca="1"/>
        <v>Captain Lannery Storm</v>
      </c>
      <c r="F23" s="2">
        <f t="shared" ca="1" si="3"/>
        <v>1</v>
      </c>
      <c r="G23" s="2" t="str">
        <f t="shared" ca="1" si="1"/>
        <v>Piratas</v>
      </c>
      <c r="I23" s="18"/>
      <c r="J23" t="s">
        <v>180</v>
      </c>
      <c r="K23" s="2">
        <v>1</v>
      </c>
      <c r="M23" t="str">
        <f ca="1"/>
        <v>Captain Lannery Storm</v>
      </c>
      <c r="N23" s="2">
        <f t="shared" ca="1" si="2"/>
        <v>1</v>
      </c>
      <c r="O23" s="2" t="str">
        <f ca="1">IFERROR(
 INDEX($U$2:$AX$2,
  MATCH(TRUE,
   CHOOSE({1;2;3;4;5;6;7;8;9;10;11;12;13;14;15;16;17;18;19;20;21;22;23;24;25;26;27;28;29;30;31;32},
    COUNTIFS($U$3:$U$201,$M23)&gt;0,
    COUNTIFS($V$3:$V$201,$M23)&gt;0,
    COUNTIFS($W$3:$W$201,$M23)&gt;0,
    COUNTIFS($X$3:$X$201,$M23)&gt;0,
    COUNTIFS($Y$3:$Y$201,$M23)&gt;0,
    COUNTIFS($Z$3:$Z$201,$M23)&gt;0,
    COUNTIFS($AA$3:$AA$201,$M23)&gt;0,
    COUNTIFS($AB$3:$AB$201,$M23)&gt;0,
    COUNTIFS($AC$3:$AC$201,$M23)&gt;0,
    COUNTIFS($AD$3:$AD$201,$M23)&gt;0,
    COUNTIFS($AE$3:$AE$201,$M23)&gt;0,
    COUNTIFS($AF$3:$AF$201,$M23)&gt;0,
    COUNTIFS($AG$3:$AG$201,$M23)&gt;0,
    COUNTIFS($AH$3:$AH$201,$M23)&gt;0,
    COUNTIFS($AI$3:$AI$201,$M23)&gt;0,
    COUNTIFS($AJ$3:$AJ$201,$M23)&gt;0,
    COUNTIFS($AK$3:$AK$201,$M23)&gt;0,
    COUNTIFS($AL$3:$AL$201,$M23)&gt;0,
    COUNTIFS($AM$3:$AM$201,$M23)&gt;0,
    COUNTIFS($AN$3:$AN$201,$M23)&gt;0,
    COUNTIFS($AO$3:$AO$201,$M23)&gt;0,
    COUNTIFS($AP$3:$AP$201,$M23)&gt;0,
    COUNTIFS($AQ$3:$AQ$201,$M23)&gt;0,
    COUNTIFS($AR$3:$AR$201,$M23)&gt;0,
    COUNTIFS($AS$3:$AS$201,$M23)&gt;0,
    COUNTIFS($AT$3:$AT$201,$M23)&gt;0,
    COUNTIFS($AU$3:$AU$201,$M23)&gt;0,
    COUNTIFS($AV$3:$AV$201,$M23)&gt;0,
    COUNTIFS($AW$3:$AW$201,$M23)&gt;0,
    COUNTIFS($AX$3:$AX$201,$M23)&gt;0
   ),
  0)
 ),
"")</f>
        <v>Piratas</v>
      </c>
      <c r="P23" s="2" t="str" cm="1">
        <f t="array" aca="1" ref="P23" ca="1">IFERROR(
 INDEX(
  _xlfn._xlws.FILTER($U$2:$AX$2,
   TRANSPOSE(
    CHOOSE({1;2;3;4;5;6;7;8;9;10;11;12;13;14;15;16;17;18;19;20;21;22;23;24;25;26;27;28;29;30},
     COUNTIFS($U$3:$U$201,$M23)&gt;0,
     COUNTIFS($V$3:$V$201,$M23)&gt;0,
     COUNTIFS($W$3:$W$201,$M23)&gt;0,
     COUNTIFS($X$3:$X$201,$M23)&gt;0,
     COUNTIFS($Y$3:$Y$201,$M23)&gt;0,
     COUNTIFS($Z$3:$Z$201,$M23)&gt;0,
     COUNTIFS($AA$3:$AA$201,$M23)&gt;0,
     COUNTIFS($AB$3:$AB$201,$M23)&gt;0,
     COUNTIFS($AC$3:$AC$201,$M23)&gt;0,
     COUNTIFS($AD$3:$AD$201,$M23)&gt;0,
     COUNTIFS($AE$3:$AE$201,$M23)&gt;0,
     COUNTIFS($AF$3:$AF$201,$M23)&gt;0,
     COUNTIFS($AG$3:$AG$201,$M23)&gt;0,
     COUNTIFS($AH$3:$AH$201,$M23)&gt;0,
     COUNTIFS($AI$3:$AI$201,$M23)&gt;0,
     COUNTIFS($AJ$3:$AJ$201,$M23)&gt;0,
     COUNTIFS($AK$3:$AK$201,$M23)&gt;0,
     COUNTIFS($AL$3:$AL$201,$M23)&gt;0,
     COUNTIFS($AM$3:$AM$201,$M23)&gt;0,
     COUNTIFS($AN$3:$AN$201,$M23)&gt;0,
     COUNTIFS($AO$3:$AO$201,$M23)&gt;0,
     COUNTIFS($AP$3:$AP$201,$M23)&gt;0,
     COUNTIFS($AQ$3:$AQ$201,$M23)&gt;0,
     COUNTIFS($AR$3:$AR$201,$M23)&gt;0,
     COUNTIFS($AS$3:$AS$201,$M23)&gt;0,
     COUNTIFS($AT$3:$AT$201,$M23)&gt;0,
     COUNTIFS($AU$3:$AU$201,$M23)&gt;0,
     COUNTIFS($AV$3:$AV$201,$M23)&gt;0,
     COUNTIFS($AW$3:$AW$201,$M23)&gt;0,
     COUNTIFS($AX$3:$AX$201,$M23)&gt;0
   )),
  ),
  2
 ),
"")</f>
        <v/>
      </c>
      <c r="Q23" s="2" t="str" cm="1">
        <f t="array" aca="1" ref="Q23" ca="1">IFERROR(
 INDEX(
  _xlfn._xlws.FILTER($U$2:$AX$2,
   TRANSPOSE(
    CHOOSE({1;2;3;4;5;6;7;8;9;10;11;12;13;14;15;16;17;18;19;20;21;22;23;24;25;26;27;28;29;30},
     COUNTIFS($U$3:$U$201,$M23)&gt;0,
     COUNTIFS($V$3:$V$201,$M23)&gt;0,
     COUNTIFS($W$3:$W$201,$M23)&gt;0,
     COUNTIFS($X$3:$X$201,$M23)&gt;0,
     COUNTIFS($Y$3:$Y$201,$M23)&gt;0,
     COUNTIFS($Z$3:$Z$201,$M23)&gt;0,
     COUNTIFS($AA$3:$AA$201,$M23)&gt;0,
     COUNTIFS($AB$3:$AB$201,$M23)&gt;0,
     COUNTIFS($AC$3:$AC$201,$M23)&gt;0,
     COUNTIFS($AD$3:$AD$201,$M23)&gt;0,
     COUNTIFS($AE$3:$AE$201,$M23)&gt;0,
     COUNTIFS($AF$3:$AF$201,$M23)&gt;0,
     COUNTIFS($AG$3:$AG$201,$M23)&gt;0,
     COUNTIFS($AH$3:$AH$201,$M23)&gt;0,
     COUNTIFS($AI$3:$AI$201,$M23)&gt;0,
     COUNTIFS($AJ$3:$AJ$201,$M23)&gt;0,
     COUNTIFS($AK$3:$AK$201,$M23)&gt;0,
     COUNTIFS($AL$3:$AL$201,$M23)&gt;0,
     COUNTIFS($AM$3:$AM$201,$M23)&gt;0,
     COUNTIFS($AN$3:$AN$201,$M23)&gt;0,
     COUNTIFS($AO$3:$AO$201,$M23)&gt;0,
     COUNTIFS($AP$3:$AP$201,$M23)&gt;0,
     COUNTIFS($AQ$3:$AQ$201,$M23)&gt;0,
     COUNTIFS($AR$3:$AR$201,$M23)&gt;0,
     COUNTIFS($AS$3:$AS$201,$M23)&gt;0,
     COUNTIFS($AT$3:$AT$201,$M23)&gt;0,
     COUNTIFS($AU$3:$AU$201,$M23)&gt;0,
     COUNTIFS($AV$3:$AV$201,$M23)&gt;0,
     COUNTIFS($AW$3:$AW$201,$M23)&gt;0,
     COUNTIFS($AX$3:$AX$201,$M23)&gt;0
   )),
  ),
  3
 ),
"")</f>
        <v/>
      </c>
      <c r="V23" t="str">
        <v>Scurry Oak</v>
      </c>
      <c r="X23" t="str">
        <v>Tocasia's Welcome</v>
      </c>
      <c r="AX23" t="str">
        <v>Walking Ballista</v>
      </c>
      <c r="CH23" t="str">
        <f ca="1"/>
        <v>Prosperous Innkeeper</v>
      </c>
      <c r="CI23" t="str">
        <f ca="1"/>
        <v>Saheeli, Sublime Artificer</v>
      </c>
      <c r="CO23" t="str">
        <f ca="1"/>
        <v>Supreme Verdict</v>
      </c>
      <c r="CS23" t="str">
        <f ca="1"/>
        <v>Soul's Majesty</v>
      </c>
      <c r="CV23" t="str">
        <f ca="1"/>
        <v>Walking Ballista</v>
      </c>
      <c r="DO23" t="str">
        <f ca="1"/>
        <v>Jeskai Ascendancy</v>
      </c>
      <c r="DP23" t="str">
        <f ca="1"/>
        <v>Lifecrafter's Bestiary</v>
      </c>
      <c r="DQ23" t="str">
        <f ca="1"/>
        <v>Reclaim</v>
      </c>
      <c r="DR23" t="str">
        <f ca="1"/>
        <v>Kusari-Gama</v>
      </c>
      <c r="DT23" t="str">
        <f ca="1"/>
        <v>Outland Liberator</v>
      </c>
      <c r="DV23" t="str">
        <f ca="1"/>
        <v>Walking Ballista</v>
      </c>
      <c r="EF23" t="str">
        <f ca="1"/>
        <v>Fraying Sanity</v>
      </c>
      <c r="EG23" t="str">
        <f ca="1"/>
        <v>Fell the Mighty</v>
      </c>
      <c r="EH23" t="str">
        <f ca="1"/>
        <v>Metallic Rebuke</v>
      </c>
      <c r="EI23" t="str">
        <f ca="1"/>
        <v>Plains</v>
      </c>
      <c r="EO23" t="str">
        <f ca="1"/>
        <v>Danitha Capashen, Paragon</v>
      </c>
      <c r="EP23" t="str">
        <f ca="1"/>
        <v>Forest</v>
      </c>
      <c r="ET23" t="str">
        <f ca="1"/>
        <v>Cemetery Tampering</v>
      </c>
      <c r="EW23" t="str">
        <f ca="1"/>
        <v>Captain Lannery Storm</v>
      </c>
    </row>
    <row r="24" spans="1:153" x14ac:dyDescent="0.25">
      <c r="A24" t="str">
        <f ca="1"/>
        <v>Annie Joins Up</v>
      </c>
      <c r="B24" s="2" t="str" cm="1">
        <f t="array" aca="1" ref="B24" ca="1">_xlfn.ANCHORARRAY(RESUMO!C23)</f>
        <v>Little</v>
      </c>
      <c r="C24" s="2" t="str">
        <f t="shared" ca="1" si="0"/>
        <v/>
      </c>
      <c r="E24" t="str">
        <f ca="1"/>
        <v>Caustic Caterpillar</v>
      </c>
      <c r="F24" s="2">
        <f t="shared" ca="1" si="3"/>
        <v>1</v>
      </c>
      <c r="G24" s="2" t="str">
        <f t="shared" ca="1" si="1"/>
        <v>Kresh</v>
      </c>
      <c r="I24" s="18"/>
      <c r="J24" t="s">
        <v>180</v>
      </c>
      <c r="K24" s="2">
        <v>1</v>
      </c>
      <c r="M24" t="str">
        <f ca="1"/>
        <v>Caustic Caterpillar</v>
      </c>
      <c r="N24" s="2">
        <f t="shared" ca="1" si="2"/>
        <v>1</v>
      </c>
      <c r="O24" s="2" t="str">
        <f ca="1">IFERROR(
 INDEX($U$2:$AX$2,
  MATCH(TRUE,
   CHOOSE({1;2;3;4;5;6;7;8;9;10;11;12;13;14;15;16;17;18;19;20;21;22;23;24;25;26;27;28;29;30;31;32},
    COUNTIFS($U$3:$U$201,$M24)&gt;0,
    COUNTIFS($V$3:$V$201,$M24)&gt;0,
    COUNTIFS($W$3:$W$201,$M24)&gt;0,
    COUNTIFS($X$3:$X$201,$M24)&gt;0,
    COUNTIFS($Y$3:$Y$201,$M24)&gt;0,
    COUNTIFS($Z$3:$Z$201,$M24)&gt;0,
    COUNTIFS($AA$3:$AA$201,$M24)&gt;0,
    COUNTIFS($AB$3:$AB$201,$M24)&gt;0,
    COUNTIFS($AC$3:$AC$201,$M24)&gt;0,
    COUNTIFS($AD$3:$AD$201,$M24)&gt;0,
    COUNTIFS($AE$3:$AE$201,$M24)&gt;0,
    COUNTIFS($AF$3:$AF$201,$M24)&gt;0,
    COUNTIFS($AG$3:$AG$201,$M24)&gt;0,
    COUNTIFS($AH$3:$AH$201,$M24)&gt;0,
    COUNTIFS($AI$3:$AI$201,$M24)&gt;0,
    COUNTIFS($AJ$3:$AJ$201,$M24)&gt;0,
    COUNTIFS($AK$3:$AK$201,$M24)&gt;0,
    COUNTIFS($AL$3:$AL$201,$M24)&gt;0,
    COUNTIFS($AM$3:$AM$201,$M24)&gt;0,
    COUNTIFS($AN$3:$AN$201,$M24)&gt;0,
    COUNTIFS($AO$3:$AO$201,$M24)&gt;0,
    COUNTIFS($AP$3:$AP$201,$M24)&gt;0,
    COUNTIFS($AQ$3:$AQ$201,$M24)&gt;0,
    COUNTIFS($AR$3:$AR$201,$M24)&gt;0,
    COUNTIFS($AS$3:$AS$201,$M24)&gt;0,
    COUNTIFS($AT$3:$AT$201,$M24)&gt;0,
    COUNTIFS($AU$3:$AU$201,$M24)&gt;0,
    COUNTIFS($AV$3:$AV$201,$M24)&gt;0,
    COUNTIFS($AW$3:$AW$201,$M24)&gt;0,
    COUNTIFS($AX$3:$AX$201,$M24)&gt;0
   ),
  0)
 ),
"")</f>
        <v>Kresh</v>
      </c>
      <c r="P24" s="2" t="str" cm="1">
        <f t="array" aca="1" ref="P24" ca="1">IFERROR(
 INDEX(
  _xlfn._xlws.FILTER($U$2:$AX$2,
   TRANSPOSE(
    CHOOSE({1;2;3;4;5;6;7;8;9;10;11;12;13;14;15;16;17;18;19;20;21;22;23;24;25;26;27;28;29;30},
     COUNTIFS($U$3:$U$201,$M24)&gt;0,
     COUNTIFS($V$3:$V$201,$M24)&gt;0,
     COUNTIFS($W$3:$W$201,$M24)&gt;0,
     COUNTIFS($X$3:$X$201,$M24)&gt;0,
     COUNTIFS($Y$3:$Y$201,$M24)&gt;0,
     COUNTIFS($Z$3:$Z$201,$M24)&gt;0,
     COUNTIFS($AA$3:$AA$201,$M24)&gt;0,
     COUNTIFS($AB$3:$AB$201,$M24)&gt;0,
     COUNTIFS($AC$3:$AC$201,$M24)&gt;0,
     COUNTIFS($AD$3:$AD$201,$M24)&gt;0,
     COUNTIFS($AE$3:$AE$201,$M24)&gt;0,
     COUNTIFS($AF$3:$AF$201,$M24)&gt;0,
     COUNTIFS($AG$3:$AG$201,$M24)&gt;0,
     COUNTIFS($AH$3:$AH$201,$M24)&gt;0,
     COUNTIFS($AI$3:$AI$201,$M24)&gt;0,
     COUNTIFS($AJ$3:$AJ$201,$M24)&gt;0,
     COUNTIFS($AK$3:$AK$201,$M24)&gt;0,
     COUNTIFS($AL$3:$AL$201,$M24)&gt;0,
     COUNTIFS($AM$3:$AM$201,$M24)&gt;0,
     COUNTIFS($AN$3:$AN$201,$M24)&gt;0,
     COUNTIFS($AO$3:$AO$201,$M24)&gt;0,
     COUNTIFS($AP$3:$AP$201,$M24)&gt;0,
     COUNTIFS($AQ$3:$AQ$201,$M24)&gt;0,
     COUNTIFS($AR$3:$AR$201,$M24)&gt;0,
     COUNTIFS($AS$3:$AS$201,$M24)&gt;0,
     COUNTIFS($AT$3:$AT$201,$M24)&gt;0,
     COUNTIFS($AU$3:$AU$201,$M24)&gt;0,
     COUNTIFS($AV$3:$AV$201,$M24)&gt;0,
     COUNTIFS($AW$3:$AW$201,$M24)&gt;0,
     COUNTIFS($AX$3:$AX$201,$M24)&gt;0
   )),
  ),
  2
 ),
"")</f>
        <v/>
      </c>
      <c r="Q24" s="2" t="str" cm="1">
        <f t="array" aca="1" ref="Q24" ca="1">IFERROR(
 INDEX(
  _xlfn._xlws.FILTER($U$2:$AX$2,
   TRANSPOSE(
    CHOOSE({1;2;3;4;5;6;7;8;9;10;11;12;13;14;15;16;17;18;19;20;21;22;23;24;25;26;27;28;29;30},
     COUNTIFS($U$3:$U$201,$M24)&gt;0,
     COUNTIFS($V$3:$V$201,$M24)&gt;0,
     COUNTIFS($W$3:$W$201,$M24)&gt;0,
     COUNTIFS($X$3:$X$201,$M24)&gt;0,
     COUNTIFS($Y$3:$Y$201,$M24)&gt;0,
     COUNTIFS($Z$3:$Z$201,$M24)&gt;0,
     COUNTIFS($AA$3:$AA$201,$M24)&gt;0,
     COUNTIFS($AB$3:$AB$201,$M24)&gt;0,
     COUNTIFS($AC$3:$AC$201,$M24)&gt;0,
     COUNTIFS($AD$3:$AD$201,$M24)&gt;0,
     COUNTIFS($AE$3:$AE$201,$M24)&gt;0,
     COUNTIFS($AF$3:$AF$201,$M24)&gt;0,
     COUNTIFS($AG$3:$AG$201,$M24)&gt;0,
     COUNTIFS($AH$3:$AH$201,$M24)&gt;0,
     COUNTIFS($AI$3:$AI$201,$M24)&gt;0,
     COUNTIFS($AJ$3:$AJ$201,$M24)&gt;0,
     COUNTIFS($AK$3:$AK$201,$M24)&gt;0,
     COUNTIFS($AL$3:$AL$201,$M24)&gt;0,
     COUNTIFS($AM$3:$AM$201,$M24)&gt;0,
     COUNTIFS($AN$3:$AN$201,$M24)&gt;0,
     COUNTIFS($AO$3:$AO$201,$M24)&gt;0,
     COUNTIFS($AP$3:$AP$201,$M24)&gt;0,
     COUNTIFS($AQ$3:$AQ$201,$M24)&gt;0,
     COUNTIFS($AR$3:$AR$201,$M24)&gt;0,
     COUNTIFS($AS$3:$AS$201,$M24)&gt;0,
     COUNTIFS($AT$3:$AT$201,$M24)&gt;0,
     COUNTIFS($AU$3:$AU$201,$M24)&gt;0,
     COUNTIFS($AV$3:$AV$201,$M24)&gt;0,
     COUNTIFS($AW$3:$AW$201,$M24)&gt;0,
     COUNTIFS($AX$3:$AX$201,$M24)&gt;0
   )),
  ),
  3
 ),
"")</f>
        <v/>
      </c>
      <c r="V24" t="str">
        <v>Selesnya Sanctuary</v>
      </c>
      <c r="X24" t="str">
        <v>Together Forever</v>
      </c>
      <c r="CH24" t="str">
        <f ca="1"/>
        <v>Rosie Cotton of South Lane</v>
      </c>
      <c r="CI24" t="str">
        <f ca="1"/>
        <v>Sanctum of Calm Waters</v>
      </c>
      <c r="CO24" t="str">
        <f ca="1"/>
        <v>The Eldest Reborn</v>
      </c>
      <c r="CS24" t="str">
        <f ca="1"/>
        <v>Storm's Wrath</v>
      </c>
      <c r="CV24" t="e">
        <f ca="1"/>
        <v>#REF!</v>
      </c>
      <c r="DO24" t="str">
        <f ca="1"/>
        <v>Kayla's Command</v>
      </c>
      <c r="DP24" t="str">
        <f ca="1"/>
        <v>Lifecreed Duo</v>
      </c>
      <c r="DQ24" t="str">
        <f ca="1"/>
        <v>Scourge of Fleets</v>
      </c>
      <c r="DR24" t="str">
        <f ca="1"/>
        <v>Life Insurance</v>
      </c>
      <c r="DT24" t="str">
        <f ca="1"/>
        <v>Pensamento Sombrio</v>
      </c>
      <c r="DV24" t="e">
        <f ca="1"/>
        <v>#REF!</v>
      </c>
      <c r="EF24" t="str">
        <f ca="1"/>
        <v>Gavony Dawnguard</v>
      </c>
      <c r="EG24" t="str">
        <f ca="1"/>
        <v>Fire Diamond</v>
      </c>
      <c r="EH24" t="str">
        <f ca="1"/>
        <v>Mogis, God of Slaughter</v>
      </c>
      <c r="EI24" t="str">
        <f ca="1"/>
        <v>Portão da Guilda Orzhov</v>
      </c>
      <c r="EO24" t="str">
        <f ca="1"/>
        <v>Death Rattle</v>
      </c>
      <c r="EP24" t="str">
        <f ca="1"/>
        <v>Fundição dos Cônsules</v>
      </c>
      <c r="ET24" t="str">
        <f ca="1"/>
        <v>Chaos Warp</v>
      </c>
      <c r="EW24" t="str">
        <f ca="1"/>
        <v>Caustic Caterpillar</v>
      </c>
    </row>
    <row r="25" spans="1:153" x14ac:dyDescent="0.25">
      <c r="A25" t="str">
        <f ca="1"/>
        <v>Arabella, Abandoned Doll</v>
      </c>
      <c r="B25" s="2" t="str" cm="1">
        <f t="array" aca="1" ref="B25" ca="1">_xlfn.ANCHORARRAY(RESUMO!C24)</f>
        <v>Little</v>
      </c>
      <c r="C25" s="2" t="str">
        <f t="shared" ca="1" si="0"/>
        <v/>
      </c>
      <c r="E25" t="str">
        <f ca="1"/>
        <v>Cemetery Tampering</v>
      </c>
      <c r="F25" s="2">
        <f t="shared" ca="1" si="3"/>
        <v>1</v>
      </c>
      <c r="G25" s="2" t="str">
        <f t="shared" ca="1" si="1"/>
        <v>Tayam</v>
      </c>
      <c r="I25" s="18"/>
      <c r="J25" t="s">
        <v>180</v>
      </c>
      <c r="K25" s="2">
        <v>1</v>
      </c>
      <c r="M25" t="str">
        <f ca="1"/>
        <v>Cemetery Tampering</v>
      </c>
      <c r="N25" s="2">
        <f t="shared" ca="1" si="2"/>
        <v>1</v>
      </c>
      <c r="O25" s="2" t="str">
        <f ca="1">IFERROR(
 INDEX($U$2:$AX$2,
  MATCH(TRUE,
   CHOOSE({1;2;3;4;5;6;7;8;9;10;11;12;13;14;15;16;17;18;19;20;21;22;23;24;25;26;27;28;29;30;31;32},
    COUNTIFS($U$3:$U$201,$M25)&gt;0,
    COUNTIFS($V$3:$V$201,$M25)&gt;0,
    COUNTIFS($W$3:$W$201,$M25)&gt;0,
    COUNTIFS($X$3:$X$201,$M25)&gt;0,
    COUNTIFS($Y$3:$Y$201,$M25)&gt;0,
    COUNTIFS($Z$3:$Z$201,$M25)&gt;0,
    COUNTIFS($AA$3:$AA$201,$M25)&gt;0,
    COUNTIFS($AB$3:$AB$201,$M25)&gt;0,
    COUNTIFS($AC$3:$AC$201,$M25)&gt;0,
    COUNTIFS($AD$3:$AD$201,$M25)&gt;0,
    COUNTIFS($AE$3:$AE$201,$M25)&gt;0,
    COUNTIFS($AF$3:$AF$201,$M25)&gt;0,
    COUNTIFS($AG$3:$AG$201,$M25)&gt;0,
    COUNTIFS($AH$3:$AH$201,$M25)&gt;0,
    COUNTIFS($AI$3:$AI$201,$M25)&gt;0,
    COUNTIFS($AJ$3:$AJ$201,$M25)&gt;0,
    COUNTIFS($AK$3:$AK$201,$M25)&gt;0,
    COUNTIFS($AL$3:$AL$201,$M25)&gt;0,
    COUNTIFS($AM$3:$AM$201,$M25)&gt;0,
    COUNTIFS($AN$3:$AN$201,$M25)&gt;0,
    COUNTIFS($AO$3:$AO$201,$M25)&gt;0,
    COUNTIFS($AP$3:$AP$201,$M25)&gt;0,
    COUNTIFS($AQ$3:$AQ$201,$M25)&gt;0,
    COUNTIFS($AR$3:$AR$201,$M25)&gt;0,
    COUNTIFS($AS$3:$AS$201,$M25)&gt;0,
    COUNTIFS($AT$3:$AT$201,$M25)&gt;0,
    COUNTIFS($AU$3:$AU$201,$M25)&gt;0,
    COUNTIFS($AV$3:$AV$201,$M25)&gt;0,
    COUNTIFS($AW$3:$AW$201,$M25)&gt;0,
    COUNTIFS($AX$3:$AX$201,$M25)&gt;0
   ),
  0)
 ),
"")</f>
        <v>Tayam</v>
      </c>
      <c r="P25" s="2" t="str" cm="1">
        <f t="array" aca="1" ref="P25" ca="1">IFERROR(
 INDEX(
  _xlfn._xlws.FILTER($U$2:$AX$2,
   TRANSPOSE(
    CHOOSE({1;2;3;4;5;6;7;8;9;10;11;12;13;14;15;16;17;18;19;20;21;22;23;24;25;26;27;28;29;30},
     COUNTIFS($U$3:$U$201,$M25)&gt;0,
     COUNTIFS($V$3:$V$201,$M25)&gt;0,
     COUNTIFS($W$3:$W$201,$M25)&gt;0,
     COUNTIFS($X$3:$X$201,$M25)&gt;0,
     COUNTIFS($Y$3:$Y$201,$M25)&gt;0,
     COUNTIFS($Z$3:$Z$201,$M25)&gt;0,
     COUNTIFS($AA$3:$AA$201,$M25)&gt;0,
     COUNTIFS($AB$3:$AB$201,$M25)&gt;0,
     COUNTIFS($AC$3:$AC$201,$M25)&gt;0,
     COUNTIFS($AD$3:$AD$201,$M25)&gt;0,
     COUNTIFS($AE$3:$AE$201,$M25)&gt;0,
     COUNTIFS($AF$3:$AF$201,$M25)&gt;0,
     COUNTIFS($AG$3:$AG$201,$M25)&gt;0,
     COUNTIFS($AH$3:$AH$201,$M25)&gt;0,
     COUNTIFS($AI$3:$AI$201,$M25)&gt;0,
     COUNTIFS($AJ$3:$AJ$201,$M25)&gt;0,
     COUNTIFS($AK$3:$AK$201,$M25)&gt;0,
     COUNTIFS($AL$3:$AL$201,$M25)&gt;0,
     COUNTIFS($AM$3:$AM$201,$M25)&gt;0,
     COUNTIFS($AN$3:$AN$201,$M25)&gt;0,
     COUNTIFS($AO$3:$AO$201,$M25)&gt;0,
     COUNTIFS($AP$3:$AP$201,$M25)&gt;0,
     COUNTIFS($AQ$3:$AQ$201,$M25)&gt;0,
     COUNTIFS($AR$3:$AR$201,$M25)&gt;0,
     COUNTIFS($AS$3:$AS$201,$M25)&gt;0,
     COUNTIFS($AT$3:$AT$201,$M25)&gt;0,
     COUNTIFS($AU$3:$AU$201,$M25)&gt;0,
     COUNTIFS($AV$3:$AV$201,$M25)&gt;0,
     COUNTIFS($AW$3:$AW$201,$M25)&gt;0,
     COUNTIFS($AX$3:$AX$201,$M25)&gt;0
   )),
  ),
  2
 ),
"")</f>
        <v/>
      </c>
      <c r="Q25" s="2" t="str" cm="1">
        <f t="array" aca="1" ref="Q25" ca="1">IFERROR(
 INDEX(
  _xlfn._xlws.FILTER($U$2:$AX$2,
   TRANSPOSE(
    CHOOSE({1;2;3;4;5;6;7;8;9;10;11;12;13;14;15;16;17;18;19;20;21;22;23;24;25;26;27;28;29;30},
     COUNTIFS($U$3:$U$201,$M25)&gt;0,
     COUNTIFS($V$3:$V$201,$M25)&gt;0,
     COUNTIFS($W$3:$W$201,$M25)&gt;0,
     COUNTIFS($X$3:$X$201,$M25)&gt;0,
     COUNTIFS($Y$3:$Y$201,$M25)&gt;0,
     COUNTIFS($Z$3:$Z$201,$M25)&gt;0,
     COUNTIFS($AA$3:$AA$201,$M25)&gt;0,
     COUNTIFS($AB$3:$AB$201,$M25)&gt;0,
     COUNTIFS($AC$3:$AC$201,$M25)&gt;0,
     COUNTIFS($AD$3:$AD$201,$M25)&gt;0,
     COUNTIFS($AE$3:$AE$201,$M25)&gt;0,
     COUNTIFS($AF$3:$AF$201,$M25)&gt;0,
     COUNTIFS($AG$3:$AG$201,$M25)&gt;0,
     COUNTIFS($AH$3:$AH$201,$M25)&gt;0,
     COUNTIFS($AI$3:$AI$201,$M25)&gt;0,
     COUNTIFS($AJ$3:$AJ$201,$M25)&gt;0,
     COUNTIFS($AK$3:$AK$201,$M25)&gt;0,
     COUNTIFS($AL$3:$AL$201,$M25)&gt;0,
     COUNTIFS($AM$3:$AM$201,$M25)&gt;0,
     COUNTIFS($AN$3:$AN$201,$M25)&gt;0,
     COUNTIFS($AO$3:$AO$201,$M25)&gt;0,
     COUNTIFS($AP$3:$AP$201,$M25)&gt;0,
     COUNTIFS($AQ$3:$AQ$201,$M25)&gt;0,
     COUNTIFS($AR$3:$AR$201,$M25)&gt;0,
     COUNTIFS($AS$3:$AS$201,$M25)&gt;0,
     COUNTIFS($AT$3:$AT$201,$M25)&gt;0,
     COUNTIFS($AU$3:$AU$201,$M25)&gt;0,
     COUNTIFS($AV$3:$AV$201,$M25)&gt;0,
     COUNTIFS($AW$3:$AW$201,$M25)&gt;0,
     COUNTIFS($AX$3:$AX$201,$M25)&gt;0
   )),
  ),
  3
 ),
"")</f>
        <v/>
      </c>
      <c r="V25" t="str">
        <v>Thorough Investigation</v>
      </c>
      <c r="X25" t="str">
        <v>Tuskguard Captain</v>
      </c>
      <c r="CH25" t="str">
        <f ca="1"/>
        <v>Scavenging Ooze</v>
      </c>
      <c r="CI25" t="str">
        <f ca="1"/>
        <v>Scourge of Skola Vale</v>
      </c>
      <c r="CO25" t="str">
        <f ca="1"/>
        <v>Urza Assembles the Titans</v>
      </c>
      <c r="DO25" t="str">
        <f ca="1"/>
        <v>Krosan Grip</v>
      </c>
      <c r="DP25" t="str">
        <f ca="1"/>
        <v>Lonis, Cryptozoologist</v>
      </c>
      <c r="DQ25" t="str">
        <f ca="1"/>
        <v>Silundi Vision</v>
      </c>
      <c r="DR25" t="str">
        <f ca="1"/>
        <v>Lightning Spear</v>
      </c>
      <c r="DT25" t="str">
        <f ca="1"/>
        <v>Pestilence</v>
      </c>
      <c r="EF25" t="str">
        <f ca="1"/>
        <v>Ghoulish Procession</v>
      </c>
      <c r="EG25" t="str">
        <f ca="1"/>
        <v>Flux Channeler</v>
      </c>
      <c r="EH25" t="str">
        <f ca="1"/>
        <v>Murderous Rider // Swift End</v>
      </c>
      <c r="EI25" t="str">
        <f ca="1"/>
        <v>Roilling Regrowth</v>
      </c>
      <c r="EO25" t="str">
        <f ca="1"/>
        <v>Decanter of Endless Water</v>
      </c>
      <c r="EP25" t="str">
        <f ca="1"/>
        <v>Gravelighter</v>
      </c>
      <c r="ET25" t="str">
        <f ca="1"/>
        <v>Chatterstorm</v>
      </c>
      <c r="EW25" t="str">
        <f ca="1"/>
        <v>Cemetery Tampering</v>
      </c>
    </row>
    <row r="26" spans="1:153" x14ac:dyDescent="0.25">
      <c r="A26" t="str">
        <f ca="1"/>
        <v>Arcane Lighthouse</v>
      </c>
      <c r="B26" s="2" t="str" cm="1">
        <f t="array" aca="1" ref="B26" ca="1">_xlfn.ANCHORARRAY(RESUMO!C25)</f>
        <v>Inalla</v>
      </c>
      <c r="C26" s="2" t="str">
        <f t="shared" ca="1" si="0"/>
        <v/>
      </c>
      <c r="E26" t="str">
        <f ca="1"/>
        <v>Chaos Warp</v>
      </c>
      <c r="F26" s="2">
        <f t="shared" ca="1" si="3"/>
        <v>1</v>
      </c>
      <c r="G26" s="2" t="str">
        <f t="shared" ca="1" si="1"/>
        <v>Sisay</v>
      </c>
      <c r="I26" s="18"/>
      <c r="J26" t="s">
        <v>180</v>
      </c>
      <c r="K26" s="2">
        <v>1</v>
      </c>
      <c r="M26" t="str">
        <f ca="1"/>
        <v>Chaos Warp</v>
      </c>
      <c r="N26" s="2">
        <f t="shared" ca="1" si="2"/>
        <v>1</v>
      </c>
      <c r="O26" s="2" t="str">
        <f ca="1">IFERROR(
 INDEX($U$2:$AX$2,
  MATCH(TRUE,
   CHOOSE({1;2;3;4;5;6;7;8;9;10;11;12;13;14;15;16;17;18;19;20;21;22;23;24;25;26;27;28;29;30;31;32},
    COUNTIFS($U$3:$U$201,$M26)&gt;0,
    COUNTIFS($V$3:$V$201,$M26)&gt;0,
    COUNTIFS($W$3:$W$201,$M26)&gt;0,
    COUNTIFS($X$3:$X$201,$M26)&gt;0,
    COUNTIFS($Y$3:$Y$201,$M26)&gt;0,
    COUNTIFS($Z$3:$Z$201,$M26)&gt;0,
    COUNTIFS($AA$3:$AA$201,$M26)&gt;0,
    COUNTIFS($AB$3:$AB$201,$M26)&gt;0,
    COUNTIFS($AC$3:$AC$201,$M26)&gt;0,
    COUNTIFS($AD$3:$AD$201,$M26)&gt;0,
    COUNTIFS($AE$3:$AE$201,$M26)&gt;0,
    COUNTIFS($AF$3:$AF$201,$M26)&gt;0,
    COUNTIFS($AG$3:$AG$201,$M26)&gt;0,
    COUNTIFS($AH$3:$AH$201,$M26)&gt;0,
    COUNTIFS($AI$3:$AI$201,$M26)&gt;0,
    COUNTIFS($AJ$3:$AJ$201,$M26)&gt;0,
    COUNTIFS($AK$3:$AK$201,$M26)&gt;0,
    COUNTIFS($AL$3:$AL$201,$M26)&gt;0,
    COUNTIFS($AM$3:$AM$201,$M26)&gt;0,
    COUNTIFS($AN$3:$AN$201,$M26)&gt;0,
    COUNTIFS($AO$3:$AO$201,$M26)&gt;0,
    COUNTIFS($AP$3:$AP$201,$M26)&gt;0,
    COUNTIFS($AQ$3:$AQ$201,$M26)&gt;0,
    COUNTIFS($AR$3:$AR$201,$M26)&gt;0,
    COUNTIFS($AS$3:$AS$201,$M26)&gt;0,
    COUNTIFS($AT$3:$AT$201,$M26)&gt;0,
    COUNTIFS($AU$3:$AU$201,$M26)&gt;0,
    COUNTIFS($AV$3:$AV$201,$M26)&gt;0,
    COUNTIFS($AW$3:$AW$201,$M26)&gt;0,
    COUNTIFS($AX$3:$AX$201,$M26)&gt;0
   ),
  0)
 ),
"")</f>
        <v>Sisay</v>
      </c>
      <c r="P26" s="2" t="str" cm="1">
        <f t="array" aca="1" ref="P26" ca="1">IFERROR(
 INDEX(
  _xlfn._xlws.FILTER($U$2:$AX$2,
   TRANSPOSE(
    CHOOSE({1;2;3;4;5;6;7;8;9;10;11;12;13;14;15;16;17;18;19;20;21;22;23;24;25;26;27;28;29;30},
     COUNTIFS($U$3:$U$201,$M26)&gt;0,
     COUNTIFS($V$3:$V$201,$M26)&gt;0,
     COUNTIFS($W$3:$W$201,$M26)&gt;0,
     COUNTIFS($X$3:$X$201,$M26)&gt;0,
     COUNTIFS($Y$3:$Y$201,$M26)&gt;0,
     COUNTIFS($Z$3:$Z$201,$M26)&gt;0,
     COUNTIFS($AA$3:$AA$201,$M26)&gt;0,
     COUNTIFS($AB$3:$AB$201,$M26)&gt;0,
     COUNTIFS($AC$3:$AC$201,$M26)&gt;0,
     COUNTIFS($AD$3:$AD$201,$M26)&gt;0,
     COUNTIFS($AE$3:$AE$201,$M26)&gt;0,
     COUNTIFS($AF$3:$AF$201,$M26)&gt;0,
     COUNTIFS($AG$3:$AG$201,$M26)&gt;0,
     COUNTIFS($AH$3:$AH$201,$M26)&gt;0,
     COUNTIFS($AI$3:$AI$201,$M26)&gt;0,
     COUNTIFS($AJ$3:$AJ$201,$M26)&gt;0,
     COUNTIFS($AK$3:$AK$201,$M26)&gt;0,
     COUNTIFS($AL$3:$AL$201,$M26)&gt;0,
     COUNTIFS($AM$3:$AM$201,$M26)&gt;0,
     COUNTIFS($AN$3:$AN$201,$M26)&gt;0,
     COUNTIFS($AO$3:$AO$201,$M26)&gt;0,
     COUNTIFS($AP$3:$AP$201,$M26)&gt;0,
     COUNTIFS($AQ$3:$AQ$201,$M26)&gt;0,
     COUNTIFS($AR$3:$AR$201,$M26)&gt;0,
     COUNTIFS($AS$3:$AS$201,$M26)&gt;0,
     COUNTIFS($AT$3:$AT$201,$M26)&gt;0,
     COUNTIFS($AU$3:$AU$201,$M26)&gt;0,
     COUNTIFS($AV$3:$AV$201,$M26)&gt;0,
     COUNTIFS($AW$3:$AW$201,$M26)&gt;0,
     COUNTIFS($AX$3:$AX$201,$M26)&gt;0
   )),
  ),
  2
 ),
"")</f>
        <v/>
      </c>
      <c r="Q26" s="2" t="str" cm="1">
        <f t="array" aca="1" ref="Q26" ca="1">IFERROR(
 INDEX(
  _xlfn._xlws.FILTER($U$2:$AX$2,
   TRANSPOSE(
    CHOOSE({1;2;3;4;5;6;7;8;9;10;11;12;13;14;15;16;17;18;19;20;21;22;23;24;25;26;27;28;29;30},
     COUNTIFS($U$3:$U$201,$M26)&gt;0,
     COUNTIFS($V$3:$V$201,$M26)&gt;0,
     COUNTIFS($W$3:$W$201,$M26)&gt;0,
     COUNTIFS($X$3:$X$201,$M26)&gt;0,
     COUNTIFS($Y$3:$Y$201,$M26)&gt;0,
     COUNTIFS($Z$3:$Z$201,$M26)&gt;0,
     COUNTIFS($AA$3:$AA$201,$M26)&gt;0,
     COUNTIFS($AB$3:$AB$201,$M26)&gt;0,
     COUNTIFS($AC$3:$AC$201,$M26)&gt;0,
     COUNTIFS($AD$3:$AD$201,$M26)&gt;0,
     COUNTIFS($AE$3:$AE$201,$M26)&gt;0,
     COUNTIFS($AF$3:$AF$201,$M26)&gt;0,
     COUNTIFS($AG$3:$AG$201,$M26)&gt;0,
     COUNTIFS($AH$3:$AH$201,$M26)&gt;0,
     COUNTIFS($AI$3:$AI$201,$M26)&gt;0,
     COUNTIFS($AJ$3:$AJ$201,$M26)&gt;0,
     COUNTIFS($AK$3:$AK$201,$M26)&gt;0,
     COUNTIFS($AL$3:$AL$201,$M26)&gt;0,
     COUNTIFS($AM$3:$AM$201,$M26)&gt;0,
     COUNTIFS($AN$3:$AN$201,$M26)&gt;0,
     COUNTIFS($AO$3:$AO$201,$M26)&gt;0,
     COUNTIFS($AP$3:$AP$201,$M26)&gt;0,
     COUNTIFS($AQ$3:$AQ$201,$M26)&gt;0,
     COUNTIFS($AR$3:$AR$201,$M26)&gt;0,
     COUNTIFS($AS$3:$AS$201,$M26)&gt;0,
     COUNTIFS($AT$3:$AT$201,$M26)&gt;0,
     COUNTIFS($AU$3:$AU$201,$M26)&gt;0,
     COUNTIFS($AV$3:$AV$201,$M26)&gt;0,
     COUNTIFS($AW$3:$AW$201,$M26)&gt;0,
     COUNTIFS($AX$3:$AX$201,$M26)&gt;0
   )),
  ),
  3
 ),
"")</f>
        <v/>
      </c>
      <c r="V26" t="str">
        <v>Titanic Ultimatum</v>
      </c>
      <c r="CH26" t="str">
        <f ca="1"/>
        <v>Scurry Oak</v>
      </c>
      <c r="CI26" t="str">
        <f ca="1"/>
        <v>Shortcut to Mushrooms</v>
      </c>
      <c r="CO26" t="str">
        <f ca="1"/>
        <v>Urza's Ruinous Blast</v>
      </c>
      <c r="DO26" t="str">
        <f ca="1"/>
        <v>Midnight Guard</v>
      </c>
      <c r="DP26" t="str">
        <f ca="1"/>
        <v>Molten Slagheap</v>
      </c>
      <c r="DQ26" t="str">
        <f ca="1"/>
        <v>Stoic Rebuttal</v>
      </c>
      <c r="DR26" t="str">
        <f ca="1"/>
        <v>Mask of Memory</v>
      </c>
      <c r="DT26" t="str">
        <f ca="1"/>
        <v>Ravenous Chupacabra</v>
      </c>
      <c r="EF26" t="str">
        <f ca="1"/>
        <v>Goblin Bombardment</v>
      </c>
      <c r="EG26" t="str">
        <f ca="1"/>
        <v>Forest</v>
      </c>
      <c r="EH26" t="str">
        <f ca="1"/>
        <v>Mystic Forge</v>
      </c>
      <c r="EI26" t="str">
        <f ca="1"/>
        <v>Rumble Arena</v>
      </c>
      <c r="EO26" t="str">
        <f ca="1"/>
        <v>Deeprooot Wayfinder</v>
      </c>
      <c r="EP26" t="str">
        <f ca="1"/>
        <v>Harrow</v>
      </c>
      <c r="ET26" t="str">
        <f ca="1"/>
        <v>Chromatic Lantern</v>
      </c>
      <c r="EW26" t="str">
        <f ca="1"/>
        <v>Chaos Warp</v>
      </c>
    </row>
    <row r="27" spans="1:153" x14ac:dyDescent="0.25">
      <c r="A27" t="str">
        <f ca="1"/>
        <v>Archaeomancer</v>
      </c>
      <c r="B27" s="2" t="str" cm="1">
        <f t="array" aca="1" ref="B27" ca="1">_xlfn.ANCHORARRAY(RESUMO!C26)</f>
        <v>Yorion</v>
      </c>
      <c r="C27" s="2" t="str">
        <f t="shared" ca="1" si="0"/>
        <v/>
      </c>
      <c r="E27" t="str">
        <f ca="1"/>
        <v>Chatterstorm</v>
      </c>
      <c r="F27" s="2">
        <f t="shared" ca="1" si="3"/>
        <v>1</v>
      </c>
      <c r="G27" s="2" t="str">
        <f t="shared" ca="1" si="1"/>
        <v>Baylen</v>
      </c>
      <c r="I27" s="18"/>
      <c r="J27" t="s">
        <v>180</v>
      </c>
      <c r="K27" s="2">
        <v>1</v>
      </c>
      <c r="M27" t="str">
        <f ca="1"/>
        <v>Chatterstorm</v>
      </c>
      <c r="N27" s="2">
        <f t="shared" ca="1" si="2"/>
        <v>1</v>
      </c>
      <c r="O27" s="2" t="str">
        <f ca="1">IFERROR(
 INDEX($U$2:$AX$2,
  MATCH(TRUE,
   CHOOSE({1;2;3;4;5;6;7;8;9;10;11;12;13;14;15;16;17;18;19;20;21;22;23;24;25;26;27;28;29;30;31;32},
    COUNTIFS($U$3:$U$201,$M27)&gt;0,
    COUNTIFS($V$3:$V$201,$M27)&gt;0,
    COUNTIFS($W$3:$W$201,$M27)&gt;0,
    COUNTIFS($X$3:$X$201,$M27)&gt;0,
    COUNTIFS($Y$3:$Y$201,$M27)&gt;0,
    COUNTIFS($Z$3:$Z$201,$M27)&gt;0,
    COUNTIFS($AA$3:$AA$201,$M27)&gt;0,
    COUNTIFS($AB$3:$AB$201,$M27)&gt;0,
    COUNTIFS($AC$3:$AC$201,$M27)&gt;0,
    COUNTIFS($AD$3:$AD$201,$M27)&gt;0,
    COUNTIFS($AE$3:$AE$201,$M27)&gt;0,
    COUNTIFS($AF$3:$AF$201,$M27)&gt;0,
    COUNTIFS($AG$3:$AG$201,$M27)&gt;0,
    COUNTIFS($AH$3:$AH$201,$M27)&gt;0,
    COUNTIFS($AI$3:$AI$201,$M27)&gt;0,
    COUNTIFS($AJ$3:$AJ$201,$M27)&gt;0,
    COUNTIFS($AK$3:$AK$201,$M27)&gt;0,
    COUNTIFS($AL$3:$AL$201,$M27)&gt;0,
    COUNTIFS($AM$3:$AM$201,$M27)&gt;0,
    COUNTIFS($AN$3:$AN$201,$M27)&gt;0,
    COUNTIFS($AO$3:$AO$201,$M27)&gt;0,
    COUNTIFS($AP$3:$AP$201,$M27)&gt;0,
    COUNTIFS($AQ$3:$AQ$201,$M27)&gt;0,
    COUNTIFS($AR$3:$AR$201,$M27)&gt;0,
    COUNTIFS($AS$3:$AS$201,$M27)&gt;0,
    COUNTIFS($AT$3:$AT$201,$M27)&gt;0,
    COUNTIFS($AU$3:$AU$201,$M27)&gt;0,
    COUNTIFS($AV$3:$AV$201,$M27)&gt;0,
    COUNTIFS($AW$3:$AW$201,$M27)&gt;0,
    COUNTIFS($AX$3:$AX$201,$M27)&gt;0
   ),
  0)
 ),
"")</f>
        <v>Baylen</v>
      </c>
      <c r="P27" s="2" t="str" cm="1">
        <f t="array" aca="1" ref="P27" ca="1">IFERROR(
 INDEX(
  _xlfn._xlws.FILTER($U$2:$AX$2,
   TRANSPOSE(
    CHOOSE({1;2;3;4;5;6;7;8;9;10;11;12;13;14;15;16;17;18;19;20;21;22;23;24;25;26;27;28;29;30},
     COUNTIFS($U$3:$U$201,$M27)&gt;0,
     COUNTIFS($V$3:$V$201,$M27)&gt;0,
     COUNTIFS($W$3:$W$201,$M27)&gt;0,
     COUNTIFS($X$3:$X$201,$M27)&gt;0,
     COUNTIFS($Y$3:$Y$201,$M27)&gt;0,
     COUNTIFS($Z$3:$Z$201,$M27)&gt;0,
     COUNTIFS($AA$3:$AA$201,$M27)&gt;0,
     COUNTIFS($AB$3:$AB$201,$M27)&gt;0,
     COUNTIFS($AC$3:$AC$201,$M27)&gt;0,
     COUNTIFS($AD$3:$AD$201,$M27)&gt;0,
     COUNTIFS($AE$3:$AE$201,$M27)&gt;0,
     COUNTIFS($AF$3:$AF$201,$M27)&gt;0,
     COUNTIFS($AG$3:$AG$201,$M27)&gt;0,
     COUNTIFS($AH$3:$AH$201,$M27)&gt;0,
     COUNTIFS($AI$3:$AI$201,$M27)&gt;0,
     COUNTIFS($AJ$3:$AJ$201,$M27)&gt;0,
     COUNTIFS($AK$3:$AK$201,$M27)&gt;0,
     COUNTIFS($AL$3:$AL$201,$M27)&gt;0,
     COUNTIFS($AM$3:$AM$201,$M27)&gt;0,
     COUNTIFS($AN$3:$AN$201,$M27)&gt;0,
     COUNTIFS($AO$3:$AO$201,$M27)&gt;0,
     COUNTIFS($AP$3:$AP$201,$M27)&gt;0,
     COUNTIFS($AQ$3:$AQ$201,$M27)&gt;0,
     COUNTIFS($AR$3:$AR$201,$M27)&gt;0,
     COUNTIFS($AS$3:$AS$201,$M27)&gt;0,
     COUNTIFS($AT$3:$AT$201,$M27)&gt;0,
     COUNTIFS($AU$3:$AU$201,$M27)&gt;0,
     COUNTIFS($AV$3:$AV$201,$M27)&gt;0,
     COUNTIFS($AW$3:$AW$201,$M27)&gt;0,
     COUNTIFS($AX$3:$AX$201,$M27)&gt;0
   )),
  ),
  2
 ),
"")</f>
        <v/>
      </c>
      <c r="Q27" s="2" t="str" cm="1">
        <f t="array" aca="1" ref="Q27" ca="1">IFERROR(
 INDEX(
  _xlfn._xlws.FILTER($U$2:$AX$2,
   TRANSPOSE(
    CHOOSE({1;2;3;4;5;6;7;8;9;10;11;12;13;14;15;16;17;18;19;20;21;22;23;24;25;26;27;28;29;30},
     COUNTIFS($U$3:$U$201,$M27)&gt;0,
     COUNTIFS($V$3:$V$201,$M27)&gt;0,
     COUNTIFS($W$3:$W$201,$M27)&gt;0,
     COUNTIFS($X$3:$X$201,$M27)&gt;0,
     COUNTIFS($Y$3:$Y$201,$M27)&gt;0,
     COUNTIFS($Z$3:$Z$201,$M27)&gt;0,
     COUNTIFS($AA$3:$AA$201,$M27)&gt;0,
     COUNTIFS($AB$3:$AB$201,$M27)&gt;0,
     COUNTIFS($AC$3:$AC$201,$M27)&gt;0,
     COUNTIFS($AD$3:$AD$201,$M27)&gt;0,
     COUNTIFS($AE$3:$AE$201,$M27)&gt;0,
     COUNTIFS($AF$3:$AF$201,$M27)&gt;0,
     COUNTIFS($AG$3:$AG$201,$M27)&gt;0,
     COUNTIFS($AH$3:$AH$201,$M27)&gt;0,
     COUNTIFS($AI$3:$AI$201,$M27)&gt;0,
     COUNTIFS($AJ$3:$AJ$201,$M27)&gt;0,
     COUNTIFS($AK$3:$AK$201,$M27)&gt;0,
     COUNTIFS($AL$3:$AL$201,$M27)&gt;0,
     COUNTIFS($AM$3:$AM$201,$M27)&gt;0,
     COUNTIFS($AN$3:$AN$201,$M27)&gt;0,
     COUNTIFS($AO$3:$AO$201,$M27)&gt;0,
     COUNTIFS($AP$3:$AP$201,$M27)&gt;0,
     COUNTIFS($AQ$3:$AQ$201,$M27)&gt;0,
     COUNTIFS($AR$3:$AR$201,$M27)&gt;0,
     COUNTIFS($AS$3:$AS$201,$M27)&gt;0,
     COUNTIFS($AT$3:$AT$201,$M27)&gt;0,
     COUNTIFS($AU$3:$AU$201,$M27)&gt;0,
     COUNTIFS($AV$3:$AV$201,$M27)&gt;0,
     COUNTIFS($AW$3:$AW$201,$M27)&gt;0,
     COUNTIFS($AX$3:$AX$201,$M27)&gt;0
   )),
  ),
  3
 ),
"")</f>
        <v/>
      </c>
      <c r="V27" t="str">
        <v>Trail of Crumbs</v>
      </c>
      <c r="CH27" t="str">
        <f ca="1"/>
        <v>Selesnya Sanctuary</v>
      </c>
      <c r="CI27" t="str">
        <f ca="1"/>
        <v>Simian Simulacrum</v>
      </c>
      <c r="DO27" t="str">
        <f ca="1"/>
        <v>Mind Stone</v>
      </c>
      <c r="DP27" t="str">
        <f ca="1"/>
        <v>Muldrotha, the Gravetide</v>
      </c>
      <c r="DQ27" t="str">
        <f ca="1"/>
        <v>Stormtide Leviathan</v>
      </c>
      <c r="DR27" t="str">
        <f ca="1"/>
        <v>Master of Death</v>
      </c>
      <c r="DT27" t="str">
        <f ca="1"/>
        <v>Ritual of Soot</v>
      </c>
      <c r="EF27" t="str">
        <f ca="1"/>
        <v>Goblin Spymaster</v>
      </c>
      <c r="EG27" t="str">
        <f ca="1"/>
        <v>Glimmer Lens</v>
      </c>
      <c r="EH27" t="str">
        <f ca="1"/>
        <v>Nezahal, Primal Tide</v>
      </c>
      <c r="EI27" t="str">
        <f ca="1"/>
        <v>Sacred Ground</v>
      </c>
      <c r="EO27" t="str">
        <f ca="1"/>
        <v>Deep-Sea Kraken</v>
      </c>
      <c r="EP27" t="str">
        <f ca="1"/>
        <v>Hidden Courtyard</v>
      </c>
      <c r="ET27" t="str">
        <f ca="1"/>
        <v>Commissar Severina Raine</v>
      </c>
      <c r="EW27" t="str">
        <f ca="1"/>
        <v>Chatterstorm</v>
      </c>
    </row>
    <row r="28" spans="1:153" x14ac:dyDescent="0.25">
      <c r="A28" t="str">
        <f ca="1"/>
        <v>Archdruid's Charm</v>
      </c>
      <c r="B28" s="2" t="str" cm="1">
        <f t="array" aca="1" ref="B28" ca="1">_xlfn.ANCHORARRAY(RESUMO!C27)</f>
        <v>4cRash</v>
      </c>
      <c r="C28" s="2" t="str">
        <f t="shared" ca="1" si="0"/>
        <v/>
      </c>
      <c r="E28" t="str">
        <f ca="1"/>
        <v>Chromatic Lantern</v>
      </c>
      <c r="F28" s="2">
        <f t="shared" ca="1" si="3"/>
        <v>1</v>
      </c>
      <c r="G28" s="2" t="str">
        <f t="shared" ca="1" si="1"/>
        <v>Inalla</v>
      </c>
      <c r="I28" s="18"/>
      <c r="J28" t="s">
        <v>180</v>
      </c>
      <c r="K28" s="2">
        <v>1</v>
      </c>
      <c r="M28" t="str">
        <f ca="1"/>
        <v>Chromatic Lantern</v>
      </c>
      <c r="N28" s="2">
        <f t="shared" ca="1" si="2"/>
        <v>1</v>
      </c>
      <c r="O28" s="2" t="str">
        <f ca="1">IFERROR(
 INDEX($U$2:$AX$2,
  MATCH(TRUE,
   CHOOSE({1;2;3;4;5;6;7;8;9;10;11;12;13;14;15;16;17;18;19;20;21;22;23;24;25;26;27;28;29;30;31;32},
    COUNTIFS($U$3:$U$201,$M28)&gt;0,
    COUNTIFS($V$3:$V$201,$M28)&gt;0,
    COUNTIFS($W$3:$W$201,$M28)&gt;0,
    COUNTIFS($X$3:$X$201,$M28)&gt;0,
    COUNTIFS($Y$3:$Y$201,$M28)&gt;0,
    COUNTIFS($Z$3:$Z$201,$M28)&gt;0,
    COUNTIFS($AA$3:$AA$201,$M28)&gt;0,
    COUNTIFS($AB$3:$AB$201,$M28)&gt;0,
    COUNTIFS($AC$3:$AC$201,$M28)&gt;0,
    COUNTIFS($AD$3:$AD$201,$M28)&gt;0,
    COUNTIFS($AE$3:$AE$201,$M28)&gt;0,
    COUNTIFS($AF$3:$AF$201,$M28)&gt;0,
    COUNTIFS($AG$3:$AG$201,$M28)&gt;0,
    COUNTIFS($AH$3:$AH$201,$M28)&gt;0,
    COUNTIFS($AI$3:$AI$201,$M28)&gt;0,
    COUNTIFS($AJ$3:$AJ$201,$M28)&gt;0,
    COUNTIFS($AK$3:$AK$201,$M28)&gt;0,
    COUNTIFS($AL$3:$AL$201,$M28)&gt;0,
    COUNTIFS($AM$3:$AM$201,$M28)&gt;0,
    COUNTIFS($AN$3:$AN$201,$M28)&gt;0,
    COUNTIFS($AO$3:$AO$201,$M28)&gt;0,
    COUNTIFS($AP$3:$AP$201,$M28)&gt;0,
    COUNTIFS($AQ$3:$AQ$201,$M28)&gt;0,
    COUNTIFS($AR$3:$AR$201,$M28)&gt;0,
    COUNTIFS($AS$3:$AS$201,$M28)&gt;0,
    COUNTIFS($AT$3:$AT$201,$M28)&gt;0,
    COUNTIFS($AU$3:$AU$201,$M28)&gt;0,
    COUNTIFS($AV$3:$AV$201,$M28)&gt;0,
    COUNTIFS($AW$3:$AW$201,$M28)&gt;0,
    COUNTIFS($AX$3:$AX$201,$M28)&gt;0
   ),
  0)
 ),
"")</f>
        <v>Inalla</v>
      </c>
      <c r="P28" s="2" t="str" cm="1">
        <f t="array" aca="1" ref="P28" ca="1">IFERROR(
 INDEX(
  _xlfn._xlws.FILTER($U$2:$AX$2,
   TRANSPOSE(
    CHOOSE({1;2;3;4;5;6;7;8;9;10;11;12;13;14;15;16;17;18;19;20;21;22;23;24;25;26;27;28;29;30},
     COUNTIFS($U$3:$U$201,$M28)&gt;0,
     COUNTIFS($V$3:$V$201,$M28)&gt;0,
     COUNTIFS($W$3:$W$201,$M28)&gt;0,
     COUNTIFS($X$3:$X$201,$M28)&gt;0,
     COUNTIFS($Y$3:$Y$201,$M28)&gt;0,
     COUNTIFS($Z$3:$Z$201,$M28)&gt;0,
     COUNTIFS($AA$3:$AA$201,$M28)&gt;0,
     COUNTIFS($AB$3:$AB$201,$M28)&gt;0,
     COUNTIFS($AC$3:$AC$201,$M28)&gt;0,
     COUNTIFS($AD$3:$AD$201,$M28)&gt;0,
     COUNTIFS($AE$3:$AE$201,$M28)&gt;0,
     COUNTIFS($AF$3:$AF$201,$M28)&gt;0,
     COUNTIFS($AG$3:$AG$201,$M28)&gt;0,
     COUNTIFS($AH$3:$AH$201,$M28)&gt;0,
     COUNTIFS($AI$3:$AI$201,$M28)&gt;0,
     COUNTIFS($AJ$3:$AJ$201,$M28)&gt;0,
     COUNTIFS($AK$3:$AK$201,$M28)&gt;0,
     COUNTIFS($AL$3:$AL$201,$M28)&gt;0,
     COUNTIFS($AM$3:$AM$201,$M28)&gt;0,
     COUNTIFS($AN$3:$AN$201,$M28)&gt;0,
     COUNTIFS($AO$3:$AO$201,$M28)&gt;0,
     COUNTIFS($AP$3:$AP$201,$M28)&gt;0,
     COUNTIFS($AQ$3:$AQ$201,$M28)&gt;0,
     COUNTIFS($AR$3:$AR$201,$M28)&gt;0,
     COUNTIFS($AS$3:$AS$201,$M28)&gt;0,
     COUNTIFS($AT$3:$AT$201,$M28)&gt;0,
     COUNTIFS($AU$3:$AU$201,$M28)&gt;0,
     COUNTIFS($AV$3:$AV$201,$M28)&gt;0,
     COUNTIFS($AW$3:$AW$201,$M28)&gt;0,
     COUNTIFS($AX$3:$AX$201,$M28)&gt;0
   )),
  ),
  2
 ),
"")</f>
        <v/>
      </c>
      <c r="Q28" s="2" t="str" cm="1">
        <f t="array" aca="1" ref="Q28" ca="1">IFERROR(
 INDEX(
  _xlfn._xlws.FILTER($U$2:$AX$2,
   TRANSPOSE(
    CHOOSE({1;2;3;4;5;6;7;8;9;10;11;12;13;14;15;16;17;18;19;20;21;22;23;24;25;26;27;28;29;30},
     COUNTIFS($U$3:$U$201,$M28)&gt;0,
     COUNTIFS($V$3:$V$201,$M28)&gt;0,
     COUNTIFS($W$3:$W$201,$M28)&gt;0,
     COUNTIFS($X$3:$X$201,$M28)&gt;0,
     COUNTIFS($Y$3:$Y$201,$M28)&gt;0,
     COUNTIFS($Z$3:$Z$201,$M28)&gt;0,
     COUNTIFS($AA$3:$AA$201,$M28)&gt;0,
     COUNTIFS($AB$3:$AB$201,$M28)&gt;0,
     COUNTIFS($AC$3:$AC$201,$M28)&gt;0,
     COUNTIFS($AD$3:$AD$201,$M28)&gt;0,
     COUNTIFS($AE$3:$AE$201,$M28)&gt;0,
     COUNTIFS($AF$3:$AF$201,$M28)&gt;0,
     COUNTIFS($AG$3:$AG$201,$M28)&gt;0,
     COUNTIFS($AH$3:$AH$201,$M28)&gt;0,
     COUNTIFS($AI$3:$AI$201,$M28)&gt;0,
     COUNTIFS($AJ$3:$AJ$201,$M28)&gt;0,
     COUNTIFS($AK$3:$AK$201,$M28)&gt;0,
     COUNTIFS($AL$3:$AL$201,$M28)&gt;0,
     COUNTIFS($AM$3:$AM$201,$M28)&gt;0,
     COUNTIFS($AN$3:$AN$201,$M28)&gt;0,
     COUNTIFS($AO$3:$AO$201,$M28)&gt;0,
     COUNTIFS($AP$3:$AP$201,$M28)&gt;0,
     COUNTIFS($AQ$3:$AQ$201,$M28)&gt;0,
     COUNTIFS($AR$3:$AR$201,$M28)&gt;0,
     COUNTIFS($AS$3:$AS$201,$M28)&gt;0,
     COUNTIFS($AT$3:$AT$201,$M28)&gt;0,
     COUNTIFS($AU$3:$AU$201,$M28)&gt;0,
     COUNTIFS($AV$3:$AV$201,$M28)&gt;0,
     COUNTIFS($AW$3:$AW$201,$M28)&gt;0,
     COUNTIFS($AX$3:$AX$201,$M28)&gt;0
   )),
  ),
  3
 ),
"")</f>
        <v/>
      </c>
      <c r="V28" t="str">
        <v>True Ancestry</v>
      </c>
      <c r="CH28" t="str">
        <f ca="1"/>
        <v>Swamp</v>
      </c>
      <c r="CI28" t="str">
        <f ca="1"/>
        <v>Solidarity of Heroes</v>
      </c>
      <c r="DO28" t="str">
        <f ca="1"/>
        <v>Morbid Opportunist</v>
      </c>
      <c r="DP28" t="str">
        <f ca="1"/>
        <v>Piranha Marsh</v>
      </c>
      <c r="DQ28" t="str">
        <f ca="1"/>
        <v>Swamp</v>
      </c>
      <c r="DR28" t="str">
        <f ca="1"/>
        <v>Nicol Bolas, Dragon-God</v>
      </c>
      <c r="DT28" t="str">
        <f ca="1"/>
        <v>Saheeli, Filigree Master</v>
      </c>
      <c r="EF28" t="str">
        <f ca="1"/>
        <v>Grismold, the Dreadsower</v>
      </c>
      <c r="EG28" t="str">
        <f ca="1"/>
        <v>Goblin Morningstar</v>
      </c>
      <c r="EH28" t="str">
        <f ca="1"/>
        <v>Nimble Obstructionist</v>
      </c>
      <c r="EI28" t="str">
        <f ca="1"/>
        <v>Skarrg, the Rage Pits</v>
      </c>
      <c r="EO28" t="str">
        <f ca="1"/>
        <v>Digsite Engineer</v>
      </c>
      <c r="EP28" t="str">
        <f ca="1"/>
        <v>Hidden Nursery</v>
      </c>
      <c r="ET28" t="str">
        <f ca="1"/>
        <v>Consecrated Sphinx</v>
      </c>
      <c r="EW28" t="str">
        <f ca="1"/>
        <v>Chromatic Lantern</v>
      </c>
    </row>
    <row r="29" spans="1:153" x14ac:dyDescent="0.25">
      <c r="A29" t="str">
        <f ca="1"/>
        <v>Arid Mesa</v>
      </c>
      <c r="B29" s="2" t="str" cm="1">
        <f t="array" aca="1" ref="B29" ca="1">_xlfn.ANCHORARRAY(RESUMO!C28)</f>
        <v>VialIshai</v>
      </c>
      <c r="C29" s="2" t="str">
        <f t="shared" ca="1" si="0"/>
        <v/>
      </c>
      <c r="E29" t="str">
        <f ca="1"/>
        <v>Commissar Severina Raine</v>
      </c>
      <c r="F29" s="2">
        <f t="shared" ca="1" si="3"/>
        <v>1</v>
      </c>
      <c r="G29" s="2" t="str">
        <f t="shared" ca="1" si="1"/>
        <v>OWA</v>
      </c>
      <c r="I29" s="18"/>
      <c r="J29" t="s">
        <v>180</v>
      </c>
      <c r="K29" s="2">
        <v>1</v>
      </c>
      <c r="M29" t="str">
        <f ca="1"/>
        <v>Commissar Severina Raine</v>
      </c>
      <c r="N29" s="2">
        <f t="shared" ca="1" si="2"/>
        <v>1</v>
      </c>
      <c r="O29" s="2" t="str">
        <f ca="1">IFERROR(
 INDEX($U$2:$AX$2,
  MATCH(TRUE,
   CHOOSE({1;2;3;4;5;6;7;8;9;10;11;12;13;14;15;16;17;18;19;20;21;22;23;24;25;26;27;28;29;30;31;32},
    COUNTIFS($U$3:$U$201,$M29)&gt;0,
    COUNTIFS($V$3:$V$201,$M29)&gt;0,
    COUNTIFS($W$3:$W$201,$M29)&gt;0,
    COUNTIFS($X$3:$X$201,$M29)&gt;0,
    COUNTIFS($Y$3:$Y$201,$M29)&gt;0,
    COUNTIFS($Z$3:$Z$201,$M29)&gt;0,
    COUNTIFS($AA$3:$AA$201,$M29)&gt;0,
    COUNTIFS($AB$3:$AB$201,$M29)&gt;0,
    COUNTIFS($AC$3:$AC$201,$M29)&gt;0,
    COUNTIFS($AD$3:$AD$201,$M29)&gt;0,
    COUNTIFS($AE$3:$AE$201,$M29)&gt;0,
    COUNTIFS($AF$3:$AF$201,$M29)&gt;0,
    COUNTIFS($AG$3:$AG$201,$M29)&gt;0,
    COUNTIFS($AH$3:$AH$201,$M29)&gt;0,
    COUNTIFS($AI$3:$AI$201,$M29)&gt;0,
    COUNTIFS($AJ$3:$AJ$201,$M29)&gt;0,
    COUNTIFS($AK$3:$AK$201,$M29)&gt;0,
    COUNTIFS($AL$3:$AL$201,$M29)&gt;0,
    COUNTIFS($AM$3:$AM$201,$M29)&gt;0,
    COUNTIFS($AN$3:$AN$201,$M29)&gt;0,
    COUNTIFS($AO$3:$AO$201,$M29)&gt;0,
    COUNTIFS($AP$3:$AP$201,$M29)&gt;0,
    COUNTIFS($AQ$3:$AQ$201,$M29)&gt;0,
    COUNTIFS($AR$3:$AR$201,$M29)&gt;0,
    COUNTIFS($AS$3:$AS$201,$M29)&gt;0,
    COUNTIFS($AT$3:$AT$201,$M29)&gt;0,
    COUNTIFS($AU$3:$AU$201,$M29)&gt;0,
    COUNTIFS($AV$3:$AV$201,$M29)&gt;0,
    COUNTIFS($AW$3:$AW$201,$M29)&gt;0,
    COUNTIFS($AX$3:$AX$201,$M29)&gt;0
   ),
  0)
 ),
"")</f>
        <v>OWA</v>
      </c>
      <c r="P29" s="2" t="str" cm="1">
        <f t="array" aca="1" ref="P29" ca="1">IFERROR(
 INDEX(
  _xlfn._xlws.FILTER($U$2:$AX$2,
   TRANSPOSE(
    CHOOSE({1;2;3;4;5;6;7;8;9;10;11;12;13;14;15;16;17;18;19;20;21;22;23;24;25;26;27;28;29;30},
     COUNTIFS($U$3:$U$201,$M29)&gt;0,
     COUNTIFS($V$3:$V$201,$M29)&gt;0,
     COUNTIFS($W$3:$W$201,$M29)&gt;0,
     COUNTIFS($X$3:$X$201,$M29)&gt;0,
     COUNTIFS($Y$3:$Y$201,$M29)&gt;0,
     COUNTIFS($Z$3:$Z$201,$M29)&gt;0,
     COUNTIFS($AA$3:$AA$201,$M29)&gt;0,
     COUNTIFS($AB$3:$AB$201,$M29)&gt;0,
     COUNTIFS($AC$3:$AC$201,$M29)&gt;0,
     COUNTIFS($AD$3:$AD$201,$M29)&gt;0,
     COUNTIFS($AE$3:$AE$201,$M29)&gt;0,
     COUNTIFS($AF$3:$AF$201,$M29)&gt;0,
     COUNTIFS($AG$3:$AG$201,$M29)&gt;0,
     COUNTIFS($AH$3:$AH$201,$M29)&gt;0,
     COUNTIFS($AI$3:$AI$201,$M29)&gt;0,
     COUNTIFS($AJ$3:$AJ$201,$M29)&gt;0,
     COUNTIFS($AK$3:$AK$201,$M29)&gt;0,
     COUNTIFS($AL$3:$AL$201,$M29)&gt;0,
     COUNTIFS($AM$3:$AM$201,$M29)&gt;0,
     COUNTIFS($AN$3:$AN$201,$M29)&gt;0,
     COUNTIFS($AO$3:$AO$201,$M29)&gt;0,
     COUNTIFS($AP$3:$AP$201,$M29)&gt;0,
     COUNTIFS($AQ$3:$AQ$201,$M29)&gt;0,
     COUNTIFS($AR$3:$AR$201,$M29)&gt;0,
     COUNTIFS($AS$3:$AS$201,$M29)&gt;0,
     COUNTIFS($AT$3:$AT$201,$M29)&gt;0,
     COUNTIFS($AU$3:$AU$201,$M29)&gt;0,
     COUNTIFS($AV$3:$AV$201,$M29)&gt;0,
     COUNTIFS($AW$3:$AW$201,$M29)&gt;0,
     COUNTIFS($AX$3:$AX$201,$M29)&gt;0
   )),
  ),
  2
 ),
"")</f>
        <v/>
      </c>
      <c r="Q29" s="2" t="str" cm="1">
        <f t="array" aca="1" ref="Q29" ca="1">IFERROR(
 INDEX(
  _xlfn._xlws.FILTER($U$2:$AX$2,
   TRANSPOSE(
    CHOOSE({1;2;3;4;5;6;7;8;9;10;11;12;13;14;15;16;17;18;19;20;21;22;23;24;25;26;27;28;29;30},
     COUNTIFS($U$3:$U$201,$M29)&gt;0,
     COUNTIFS($V$3:$V$201,$M29)&gt;0,
     COUNTIFS($W$3:$W$201,$M29)&gt;0,
     COUNTIFS($X$3:$X$201,$M29)&gt;0,
     COUNTIFS($Y$3:$Y$201,$M29)&gt;0,
     COUNTIFS($Z$3:$Z$201,$M29)&gt;0,
     COUNTIFS($AA$3:$AA$201,$M29)&gt;0,
     COUNTIFS($AB$3:$AB$201,$M29)&gt;0,
     COUNTIFS($AC$3:$AC$201,$M29)&gt;0,
     COUNTIFS($AD$3:$AD$201,$M29)&gt;0,
     COUNTIFS($AE$3:$AE$201,$M29)&gt;0,
     COUNTIFS($AF$3:$AF$201,$M29)&gt;0,
     COUNTIFS($AG$3:$AG$201,$M29)&gt;0,
     COUNTIFS($AH$3:$AH$201,$M29)&gt;0,
     COUNTIFS($AI$3:$AI$201,$M29)&gt;0,
     COUNTIFS($AJ$3:$AJ$201,$M29)&gt;0,
     COUNTIFS($AK$3:$AK$201,$M29)&gt;0,
     COUNTIFS($AL$3:$AL$201,$M29)&gt;0,
     COUNTIFS($AM$3:$AM$201,$M29)&gt;0,
     COUNTIFS($AN$3:$AN$201,$M29)&gt;0,
     COUNTIFS($AO$3:$AO$201,$M29)&gt;0,
     COUNTIFS($AP$3:$AP$201,$M29)&gt;0,
     COUNTIFS($AQ$3:$AQ$201,$M29)&gt;0,
     COUNTIFS($AR$3:$AR$201,$M29)&gt;0,
     COUNTIFS($AS$3:$AS$201,$M29)&gt;0,
     COUNTIFS($AT$3:$AT$201,$M29)&gt;0,
     COUNTIFS($AU$3:$AU$201,$M29)&gt;0,
     COUNTIFS($AV$3:$AV$201,$M29)&gt;0,
     COUNTIFS($AW$3:$AW$201,$M29)&gt;0,
     COUNTIFS($AX$3:$AX$201,$M29)&gt;0
   )),
  ),
  3
 ),
"")</f>
        <v/>
      </c>
      <c r="CH29" t="str">
        <f ca="1"/>
        <v>Thorough Investigation</v>
      </c>
      <c r="CI29" t="str">
        <f ca="1"/>
        <v>Surge of Salvation</v>
      </c>
      <c r="DO29" t="str">
        <f ca="1"/>
        <v>Mountain</v>
      </c>
      <c r="DP29" t="str">
        <f ca="1"/>
        <v>Plains</v>
      </c>
      <c r="DQ29" t="str">
        <f ca="1"/>
        <v>Wall of Roots</v>
      </c>
      <c r="DR29" t="str">
        <f ca="1"/>
        <v>Oversold Cemetery</v>
      </c>
      <c r="DT29" t="str">
        <f ca="1"/>
        <v>Savage Twister</v>
      </c>
      <c r="EF29" t="str">
        <f ca="1"/>
        <v>Gruul Turf</v>
      </c>
      <c r="EG29" t="str">
        <f ca="1"/>
        <v>Golgari Signet</v>
      </c>
      <c r="EH29" t="str">
        <f ca="1"/>
        <v>Outland Liberator</v>
      </c>
      <c r="EI29" t="str">
        <f ca="1"/>
        <v>Slagdrill Scrapper</v>
      </c>
      <c r="EO29" t="str">
        <f ca="1"/>
        <v>Dire Fleet Poisoner</v>
      </c>
      <c r="EP29" t="str">
        <f ca="1"/>
        <v>Hidden Volcano</v>
      </c>
      <c r="ET29" t="str">
        <f ca="1"/>
        <v>Coronation of Chaos</v>
      </c>
      <c r="EW29" t="str">
        <f ca="1"/>
        <v>Commissar Severina Raine</v>
      </c>
    </row>
    <row r="30" spans="1:153" x14ac:dyDescent="0.25">
      <c r="A30" t="str">
        <f ca="1"/>
        <v>Artifact Mutation</v>
      </c>
      <c r="B30" s="2" t="str" cm="1">
        <f t="array" aca="1" ref="B30" ca="1">_xlfn.ANCHORARRAY(RESUMO!C29)</f>
        <v>Baylen</v>
      </c>
      <c r="C30" s="2" t="str">
        <f t="shared" ca="1" si="0"/>
        <v/>
      </c>
      <c r="E30" t="str">
        <f ca="1"/>
        <v>Consecrated Sphinx</v>
      </c>
      <c r="F30" s="2">
        <f t="shared" ca="1" si="3"/>
        <v>1</v>
      </c>
      <c r="G30" s="2" t="str">
        <f t="shared" ca="1" si="1"/>
        <v>Jhoira</v>
      </c>
      <c r="I30" s="18"/>
      <c r="J30" t="s">
        <v>180</v>
      </c>
      <c r="K30" s="2">
        <v>1</v>
      </c>
      <c r="M30" t="str">
        <f ca="1"/>
        <v>Consecrated Sphinx</v>
      </c>
      <c r="N30" s="2">
        <f t="shared" ca="1" si="2"/>
        <v>1</v>
      </c>
      <c r="O30" s="2" t="str">
        <f ca="1">IFERROR(
 INDEX($U$2:$AX$2,
  MATCH(TRUE,
   CHOOSE({1;2;3;4;5;6;7;8;9;10;11;12;13;14;15;16;17;18;19;20;21;22;23;24;25;26;27;28;29;30;31;32},
    COUNTIFS($U$3:$U$201,$M30)&gt;0,
    COUNTIFS($V$3:$V$201,$M30)&gt;0,
    COUNTIFS($W$3:$W$201,$M30)&gt;0,
    COUNTIFS($X$3:$X$201,$M30)&gt;0,
    COUNTIFS($Y$3:$Y$201,$M30)&gt;0,
    COUNTIFS($Z$3:$Z$201,$M30)&gt;0,
    COUNTIFS($AA$3:$AA$201,$M30)&gt;0,
    COUNTIFS($AB$3:$AB$201,$M30)&gt;0,
    COUNTIFS($AC$3:$AC$201,$M30)&gt;0,
    COUNTIFS($AD$3:$AD$201,$M30)&gt;0,
    COUNTIFS($AE$3:$AE$201,$M30)&gt;0,
    COUNTIFS($AF$3:$AF$201,$M30)&gt;0,
    COUNTIFS($AG$3:$AG$201,$M30)&gt;0,
    COUNTIFS($AH$3:$AH$201,$M30)&gt;0,
    COUNTIFS($AI$3:$AI$201,$M30)&gt;0,
    COUNTIFS($AJ$3:$AJ$201,$M30)&gt;0,
    COUNTIFS($AK$3:$AK$201,$M30)&gt;0,
    COUNTIFS($AL$3:$AL$201,$M30)&gt;0,
    COUNTIFS($AM$3:$AM$201,$M30)&gt;0,
    COUNTIFS($AN$3:$AN$201,$M30)&gt;0,
    COUNTIFS($AO$3:$AO$201,$M30)&gt;0,
    COUNTIFS($AP$3:$AP$201,$M30)&gt;0,
    COUNTIFS($AQ$3:$AQ$201,$M30)&gt;0,
    COUNTIFS($AR$3:$AR$201,$M30)&gt;0,
    COUNTIFS($AS$3:$AS$201,$M30)&gt;0,
    COUNTIFS($AT$3:$AT$201,$M30)&gt;0,
    COUNTIFS($AU$3:$AU$201,$M30)&gt;0,
    COUNTIFS($AV$3:$AV$201,$M30)&gt;0,
    COUNTIFS($AW$3:$AW$201,$M30)&gt;0,
    COUNTIFS($AX$3:$AX$201,$M30)&gt;0
   ),
  0)
 ),
"")</f>
        <v>Jhoira</v>
      </c>
      <c r="P30" s="2" t="str" cm="1">
        <f t="array" aca="1" ref="P30" ca="1">IFERROR(
 INDEX(
  _xlfn._xlws.FILTER($U$2:$AX$2,
   TRANSPOSE(
    CHOOSE({1;2;3;4;5;6;7;8;9;10;11;12;13;14;15;16;17;18;19;20;21;22;23;24;25;26;27;28;29;30},
     COUNTIFS($U$3:$U$201,$M30)&gt;0,
     COUNTIFS($V$3:$V$201,$M30)&gt;0,
     COUNTIFS($W$3:$W$201,$M30)&gt;0,
     COUNTIFS($X$3:$X$201,$M30)&gt;0,
     COUNTIFS($Y$3:$Y$201,$M30)&gt;0,
     COUNTIFS($Z$3:$Z$201,$M30)&gt;0,
     COUNTIFS($AA$3:$AA$201,$M30)&gt;0,
     COUNTIFS($AB$3:$AB$201,$M30)&gt;0,
     COUNTIFS($AC$3:$AC$201,$M30)&gt;0,
     COUNTIFS($AD$3:$AD$201,$M30)&gt;0,
     COUNTIFS($AE$3:$AE$201,$M30)&gt;0,
     COUNTIFS($AF$3:$AF$201,$M30)&gt;0,
     COUNTIFS($AG$3:$AG$201,$M30)&gt;0,
     COUNTIFS($AH$3:$AH$201,$M30)&gt;0,
     COUNTIFS($AI$3:$AI$201,$M30)&gt;0,
     COUNTIFS($AJ$3:$AJ$201,$M30)&gt;0,
     COUNTIFS($AK$3:$AK$201,$M30)&gt;0,
     COUNTIFS($AL$3:$AL$201,$M30)&gt;0,
     COUNTIFS($AM$3:$AM$201,$M30)&gt;0,
     COUNTIFS($AN$3:$AN$201,$M30)&gt;0,
     COUNTIFS($AO$3:$AO$201,$M30)&gt;0,
     COUNTIFS($AP$3:$AP$201,$M30)&gt;0,
     COUNTIFS($AQ$3:$AQ$201,$M30)&gt;0,
     COUNTIFS($AR$3:$AR$201,$M30)&gt;0,
     COUNTIFS($AS$3:$AS$201,$M30)&gt;0,
     COUNTIFS($AT$3:$AT$201,$M30)&gt;0,
     COUNTIFS($AU$3:$AU$201,$M30)&gt;0,
     COUNTIFS($AV$3:$AV$201,$M30)&gt;0,
     COUNTIFS($AW$3:$AW$201,$M30)&gt;0,
     COUNTIFS($AX$3:$AX$201,$M30)&gt;0
   )),
  ),
  2
 ),
"")</f>
        <v/>
      </c>
      <c r="Q30" s="2" t="str" cm="1">
        <f t="array" aca="1" ref="Q30" ca="1">IFERROR(
 INDEX(
  _xlfn._xlws.FILTER($U$2:$AX$2,
   TRANSPOSE(
    CHOOSE({1;2;3;4;5;6;7;8;9;10;11;12;13;14;15;16;17;18;19;20;21;22;23;24;25;26;27;28;29;30},
     COUNTIFS($U$3:$U$201,$M30)&gt;0,
     COUNTIFS($V$3:$V$201,$M30)&gt;0,
     COUNTIFS($W$3:$W$201,$M30)&gt;0,
     COUNTIFS($X$3:$X$201,$M30)&gt;0,
     COUNTIFS($Y$3:$Y$201,$M30)&gt;0,
     COUNTIFS($Z$3:$Z$201,$M30)&gt;0,
     COUNTIFS($AA$3:$AA$201,$M30)&gt;0,
     COUNTIFS($AB$3:$AB$201,$M30)&gt;0,
     COUNTIFS($AC$3:$AC$201,$M30)&gt;0,
     COUNTIFS($AD$3:$AD$201,$M30)&gt;0,
     COUNTIFS($AE$3:$AE$201,$M30)&gt;0,
     COUNTIFS($AF$3:$AF$201,$M30)&gt;0,
     COUNTIFS($AG$3:$AG$201,$M30)&gt;0,
     COUNTIFS($AH$3:$AH$201,$M30)&gt;0,
     COUNTIFS($AI$3:$AI$201,$M30)&gt;0,
     COUNTIFS($AJ$3:$AJ$201,$M30)&gt;0,
     COUNTIFS($AK$3:$AK$201,$M30)&gt;0,
     COUNTIFS($AL$3:$AL$201,$M30)&gt;0,
     COUNTIFS($AM$3:$AM$201,$M30)&gt;0,
     COUNTIFS($AN$3:$AN$201,$M30)&gt;0,
     COUNTIFS($AO$3:$AO$201,$M30)&gt;0,
     COUNTIFS($AP$3:$AP$201,$M30)&gt;0,
     COUNTIFS($AQ$3:$AQ$201,$M30)&gt;0,
     COUNTIFS($AR$3:$AR$201,$M30)&gt;0,
     COUNTIFS($AS$3:$AS$201,$M30)&gt;0,
     COUNTIFS($AT$3:$AT$201,$M30)&gt;0,
     COUNTIFS($AU$3:$AU$201,$M30)&gt;0,
     COUNTIFS($AV$3:$AV$201,$M30)&gt;0,
     COUNTIFS($AW$3:$AW$201,$M30)&gt;0,
     COUNTIFS($AX$3:$AX$201,$M30)&gt;0
   )),
  ),
  3
 ),
"")</f>
        <v/>
      </c>
      <c r="CH30" t="str">
        <f ca="1"/>
        <v>Titanic Ultimatum</v>
      </c>
      <c r="CI30" t="str">
        <f ca="1"/>
        <v>Swamp</v>
      </c>
      <c r="DO30" t="str">
        <f ca="1"/>
        <v>Naya Charm</v>
      </c>
      <c r="DP30" t="str">
        <f ca="1"/>
        <v>Ranger of Eos</v>
      </c>
      <c r="DQ30" t="str">
        <f ca="1"/>
        <v>Wayfarrer's Bauble</v>
      </c>
      <c r="DR30" t="str">
        <f ca="1"/>
        <v>Part the Waterveil</v>
      </c>
      <c r="DT30" t="str">
        <f ca="1"/>
        <v>Shire Terrace</v>
      </c>
      <c r="EF30" t="str">
        <f ca="1"/>
        <v>Hadana's Climb</v>
      </c>
      <c r="EG30" t="str">
        <f ca="1"/>
        <v>Grisly Salvage</v>
      </c>
      <c r="EH30" t="str">
        <f ca="1"/>
        <v>Pensamento Sombrio</v>
      </c>
      <c r="EI30" t="str">
        <f ca="1"/>
        <v>Solemn Simulacrun</v>
      </c>
      <c r="EO30" t="str">
        <f ca="1"/>
        <v>Dissipation Field</v>
      </c>
      <c r="EP30" t="str">
        <f ca="1"/>
        <v>Ilha</v>
      </c>
      <c r="ET30" t="str">
        <f ca="1"/>
        <v>Crashing Drawbridge</v>
      </c>
      <c r="EW30" t="str">
        <f ca="1"/>
        <v>Consecrated Sphinx</v>
      </c>
    </row>
    <row r="31" spans="1:153" x14ac:dyDescent="0.25">
      <c r="A31" t="str">
        <f ca="1"/>
        <v>Arwen, Weaver of Hope</v>
      </c>
      <c r="B31" s="2" t="str" cm="1">
        <f t="array" aca="1" ref="B31" ca="1">_xlfn.ANCHORARRAY(RESUMO!C30)</f>
        <v>Tayam</v>
      </c>
      <c r="C31" s="2" t="str">
        <f t="shared" ca="1" si="0"/>
        <v/>
      </c>
      <c r="E31" t="str">
        <f ca="1"/>
        <v>Coronation of Chaos</v>
      </c>
      <c r="F31" s="2">
        <f t="shared" ca="1" si="3"/>
        <v>1</v>
      </c>
      <c r="G31" s="2" t="str">
        <f t="shared" ca="1" si="1"/>
        <v>Rani</v>
      </c>
      <c r="I31" s="18"/>
      <c r="J31" t="s">
        <v>180</v>
      </c>
      <c r="K31" s="2">
        <v>1</v>
      </c>
      <c r="M31" t="str">
        <f ca="1"/>
        <v>Coronation of Chaos</v>
      </c>
      <c r="N31" s="2">
        <f t="shared" ca="1" si="2"/>
        <v>1</v>
      </c>
      <c r="O31" s="2" t="str">
        <f ca="1">IFERROR(
 INDEX($U$2:$AX$2,
  MATCH(TRUE,
   CHOOSE({1;2;3;4;5;6;7;8;9;10;11;12;13;14;15;16;17;18;19;20;21;22;23;24;25;26;27;28;29;30;31;32},
    COUNTIFS($U$3:$U$201,$M31)&gt;0,
    COUNTIFS($V$3:$V$201,$M31)&gt;0,
    COUNTIFS($W$3:$W$201,$M31)&gt;0,
    COUNTIFS($X$3:$X$201,$M31)&gt;0,
    COUNTIFS($Y$3:$Y$201,$M31)&gt;0,
    COUNTIFS($Z$3:$Z$201,$M31)&gt;0,
    COUNTIFS($AA$3:$AA$201,$M31)&gt;0,
    COUNTIFS($AB$3:$AB$201,$M31)&gt;0,
    COUNTIFS($AC$3:$AC$201,$M31)&gt;0,
    COUNTIFS($AD$3:$AD$201,$M31)&gt;0,
    COUNTIFS($AE$3:$AE$201,$M31)&gt;0,
    COUNTIFS($AF$3:$AF$201,$M31)&gt;0,
    COUNTIFS($AG$3:$AG$201,$M31)&gt;0,
    COUNTIFS($AH$3:$AH$201,$M31)&gt;0,
    COUNTIFS($AI$3:$AI$201,$M31)&gt;0,
    COUNTIFS($AJ$3:$AJ$201,$M31)&gt;0,
    COUNTIFS($AK$3:$AK$201,$M31)&gt;0,
    COUNTIFS($AL$3:$AL$201,$M31)&gt;0,
    COUNTIFS($AM$3:$AM$201,$M31)&gt;0,
    COUNTIFS($AN$3:$AN$201,$M31)&gt;0,
    COUNTIFS($AO$3:$AO$201,$M31)&gt;0,
    COUNTIFS($AP$3:$AP$201,$M31)&gt;0,
    COUNTIFS($AQ$3:$AQ$201,$M31)&gt;0,
    COUNTIFS($AR$3:$AR$201,$M31)&gt;0,
    COUNTIFS($AS$3:$AS$201,$M31)&gt;0,
    COUNTIFS($AT$3:$AT$201,$M31)&gt;0,
    COUNTIFS($AU$3:$AU$201,$M31)&gt;0,
    COUNTIFS($AV$3:$AV$201,$M31)&gt;0,
    COUNTIFS($AW$3:$AW$201,$M31)&gt;0,
    COUNTIFS($AX$3:$AX$201,$M31)&gt;0
   ),
  0)
 ),
"")</f>
        <v>Rani</v>
      </c>
      <c r="P31" s="2" t="str" cm="1">
        <f t="array" aca="1" ref="P31" ca="1">IFERROR(
 INDEX(
  _xlfn._xlws.FILTER($U$2:$AX$2,
   TRANSPOSE(
    CHOOSE({1;2;3;4;5;6;7;8;9;10;11;12;13;14;15;16;17;18;19;20;21;22;23;24;25;26;27;28;29;30},
     COUNTIFS($U$3:$U$201,$M31)&gt;0,
     COUNTIFS($V$3:$V$201,$M31)&gt;0,
     COUNTIFS($W$3:$W$201,$M31)&gt;0,
     COUNTIFS($X$3:$X$201,$M31)&gt;0,
     COUNTIFS($Y$3:$Y$201,$M31)&gt;0,
     COUNTIFS($Z$3:$Z$201,$M31)&gt;0,
     COUNTIFS($AA$3:$AA$201,$M31)&gt;0,
     COUNTIFS($AB$3:$AB$201,$M31)&gt;0,
     COUNTIFS($AC$3:$AC$201,$M31)&gt;0,
     COUNTIFS($AD$3:$AD$201,$M31)&gt;0,
     COUNTIFS($AE$3:$AE$201,$M31)&gt;0,
     COUNTIFS($AF$3:$AF$201,$M31)&gt;0,
     COUNTIFS($AG$3:$AG$201,$M31)&gt;0,
     COUNTIFS($AH$3:$AH$201,$M31)&gt;0,
     COUNTIFS($AI$3:$AI$201,$M31)&gt;0,
     COUNTIFS($AJ$3:$AJ$201,$M31)&gt;0,
     COUNTIFS($AK$3:$AK$201,$M31)&gt;0,
     COUNTIFS($AL$3:$AL$201,$M31)&gt;0,
     COUNTIFS($AM$3:$AM$201,$M31)&gt;0,
     COUNTIFS($AN$3:$AN$201,$M31)&gt;0,
     COUNTIFS($AO$3:$AO$201,$M31)&gt;0,
     COUNTIFS($AP$3:$AP$201,$M31)&gt;0,
     COUNTIFS($AQ$3:$AQ$201,$M31)&gt;0,
     COUNTIFS($AR$3:$AR$201,$M31)&gt;0,
     COUNTIFS($AS$3:$AS$201,$M31)&gt;0,
     COUNTIFS($AT$3:$AT$201,$M31)&gt;0,
     COUNTIFS($AU$3:$AU$201,$M31)&gt;0,
     COUNTIFS($AV$3:$AV$201,$M31)&gt;0,
     COUNTIFS($AW$3:$AW$201,$M31)&gt;0,
     COUNTIFS($AX$3:$AX$201,$M31)&gt;0
   )),
  ),
  2
 ),
"")</f>
        <v/>
      </c>
      <c r="Q31" s="2" t="str" cm="1">
        <f t="array" aca="1" ref="Q31" ca="1">IFERROR(
 INDEX(
  _xlfn._xlws.FILTER($U$2:$AX$2,
   TRANSPOSE(
    CHOOSE({1;2;3;4;5;6;7;8;9;10;11;12;13;14;15;16;17;18;19;20;21;22;23;24;25;26;27;28;29;30},
     COUNTIFS($U$3:$U$201,$M31)&gt;0,
     COUNTIFS($V$3:$V$201,$M31)&gt;0,
     COUNTIFS($W$3:$W$201,$M31)&gt;0,
     COUNTIFS($X$3:$X$201,$M31)&gt;0,
     COUNTIFS($Y$3:$Y$201,$M31)&gt;0,
     COUNTIFS($Z$3:$Z$201,$M31)&gt;0,
     COUNTIFS($AA$3:$AA$201,$M31)&gt;0,
     COUNTIFS($AB$3:$AB$201,$M31)&gt;0,
     COUNTIFS($AC$3:$AC$201,$M31)&gt;0,
     COUNTIFS($AD$3:$AD$201,$M31)&gt;0,
     COUNTIFS($AE$3:$AE$201,$M31)&gt;0,
     COUNTIFS($AF$3:$AF$201,$M31)&gt;0,
     COUNTIFS($AG$3:$AG$201,$M31)&gt;0,
     COUNTIFS($AH$3:$AH$201,$M31)&gt;0,
     COUNTIFS($AI$3:$AI$201,$M31)&gt;0,
     COUNTIFS($AJ$3:$AJ$201,$M31)&gt;0,
     COUNTIFS($AK$3:$AK$201,$M31)&gt;0,
     COUNTIFS($AL$3:$AL$201,$M31)&gt;0,
     COUNTIFS($AM$3:$AM$201,$M31)&gt;0,
     COUNTIFS($AN$3:$AN$201,$M31)&gt;0,
     COUNTIFS($AO$3:$AO$201,$M31)&gt;0,
     COUNTIFS($AP$3:$AP$201,$M31)&gt;0,
     COUNTIFS($AQ$3:$AQ$201,$M31)&gt;0,
     COUNTIFS($AR$3:$AR$201,$M31)&gt;0,
     COUNTIFS($AS$3:$AS$201,$M31)&gt;0,
     COUNTIFS($AT$3:$AT$201,$M31)&gt;0,
     COUNTIFS($AU$3:$AU$201,$M31)&gt;0,
     COUNTIFS($AV$3:$AV$201,$M31)&gt;0,
     COUNTIFS($AW$3:$AW$201,$M31)&gt;0,
     COUNTIFS($AX$3:$AX$201,$M31)&gt;0
   )),
  ),
  3
 ),
"")</f>
        <v/>
      </c>
      <c r="CH31" t="str">
        <f ca="1"/>
        <v>Trail of Crumbs</v>
      </c>
      <c r="CI31" t="str">
        <f ca="1"/>
        <v>Tocasia's Welcome</v>
      </c>
      <c r="DO31" t="str">
        <f ca="1"/>
        <v>Night of the Sweets' Revenge</v>
      </c>
      <c r="DP31" t="str">
        <f ca="1"/>
        <v>Reaper's Talisman</v>
      </c>
      <c r="DQ31" t="str">
        <f ca="1"/>
        <v>World Shaper</v>
      </c>
      <c r="DR31" t="str">
        <f ca="1"/>
        <v>Patriarch's Bidding</v>
      </c>
      <c r="DT31" t="str">
        <f ca="1"/>
        <v>Sisay's Ring</v>
      </c>
      <c r="EF31" t="str">
        <f ca="1"/>
        <v>Harrow</v>
      </c>
      <c r="EG31" t="str">
        <f ca="1"/>
        <v>Hedron Archive</v>
      </c>
      <c r="EH31" t="str">
        <f ca="1"/>
        <v>Pestilence</v>
      </c>
      <c r="EI31" t="str">
        <f ca="1"/>
        <v>Staged Fight</v>
      </c>
      <c r="EO31" t="str">
        <f ca="1"/>
        <v>Divergent Transformations</v>
      </c>
      <c r="EP31" t="str">
        <f ca="1"/>
        <v>Incite Rebellion</v>
      </c>
      <c r="ET31" t="str">
        <f ca="1"/>
        <v>Crawling Infestation</v>
      </c>
      <c r="EW31" t="str">
        <f ca="1"/>
        <v>Coronation of Chaos</v>
      </c>
    </row>
    <row r="32" spans="1:153" x14ac:dyDescent="0.25">
      <c r="A32" t="str">
        <f ca="1"/>
        <v>Ascend from Avernus</v>
      </c>
      <c r="B32" s="2" t="str" cm="1">
        <f t="array" aca="1" ref="B32" ca="1">_xlfn.ANCHORARRAY(RESUMO!C31)</f>
        <v>Carlos</v>
      </c>
      <c r="C32" s="2" t="str">
        <f t="shared" ca="1" si="0"/>
        <v/>
      </c>
      <c r="E32" t="str">
        <f ca="1"/>
        <v>Crashing Drawbridge</v>
      </c>
      <c r="F32" s="2">
        <f t="shared" ca="1" si="3"/>
        <v>1</v>
      </c>
      <c r="G32" s="2" t="str">
        <f t="shared" ca="1" si="1"/>
        <v>Narset</v>
      </c>
      <c r="I32" s="18"/>
      <c r="J32" t="s">
        <v>180</v>
      </c>
      <c r="K32" s="2">
        <v>1</v>
      </c>
      <c r="M32" t="str">
        <f ca="1"/>
        <v>Crashing Drawbridge</v>
      </c>
      <c r="N32" s="2">
        <f t="shared" ca="1" si="2"/>
        <v>1</v>
      </c>
      <c r="O32" s="2" t="str">
        <f ca="1">IFERROR(
 INDEX($U$2:$AX$2,
  MATCH(TRUE,
   CHOOSE({1;2;3;4;5;6;7;8;9;10;11;12;13;14;15;16;17;18;19;20;21;22;23;24;25;26;27;28;29;30;31;32},
    COUNTIFS($U$3:$U$201,$M32)&gt;0,
    COUNTIFS($V$3:$V$201,$M32)&gt;0,
    COUNTIFS($W$3:$W$201,$M32)&gt;0,
    COUNTIFS($X$3:$X$201,$M32)&gt;0,
    COUNTIFS($Y$3:$Y$201,$M32)&gt;0,
    COUNTIFS($Z$3:$Z$201,$M32)&gt;0,
    COUNTIFS($AA$3:$AA$201,$M32)&gt;0,
    COUNTIFS($AB$3:$AB$201,$M32)&gt;0,
    COUNTIFS($AC$3:$AC$201,$M32)&gt;0,
    COUNTIFS($AD$3:$AD$201,$M32)&gt;0,
    COUNTIFS($AE$3:$AE$201,$M32)&gt;0,
    COUNTIFS($AF$3:$AF$201,$M32)&gt;0,
    COUNTIFS($AG$3:$AG$201,$M32)&gt;0,
    COUNTIFS($AH$3:$AH$201,$M32)&gt;0,
    COUNTIFS($AI$3:$AI$201,$M32)&gt;0,
    COUNTIFS($AJ$3:$AJ$201,$M32)&gt;0,
    COUNTIFS($AK$3:$AK$201,$M32)&gt;0,
    COUNTIFS($AL$3:$AL$201,$M32)&gt;0,
    COUNTIFS($AM$3:$AM$201,$M32)&gt;0,
    COUNTIFS($AN$3:$AN$201,$M32)&gt;0,
    COUNTIFS($AO$3:$AO$201,$M32)&gt;0,
    COUNTIFS($AP$3:$AP$201,$M32)&gt;0,
    COUNTIFS($AQ$3:$AQ$201,$M32)&gt;0,
    COUNTIFS($AR$3:$AR$201,$M32)&gt;0,
    COUNTIFS($AS$3:$AS$201,$M32)&gt;0,
    COUNTIFS($AT$3:$AT$201,$M32)&gt;0,
    COUNTIFS($AU$3:$AU$201,$M32)&gt;0,
    COUNTIFS($AV$3:$AV$201,$M32)&gt;0,
    COUNTIFS($AW$3:$AW$201,$M32)&gt;0,
    COUNTIFS($AX$3:$AX$201,$M32)&gt;0
   ),
  0)
 ),
"")</f>
        <v>Narset</v>
      </c>
      <c r="P32" s="2" t="str" cm="1">
        <f t="array" aca="1" ref="P32" ca="1">IFERROR(
 INDEX(
  _xlfn._xlws.FILTER($U$2:$AX$2,
   TRANSPOSE(
    CHOOSE({1;2;3;4;5;6;7;8;9;10;11;12;13;14;15;16;17;18;19;20;21;22;23;24;25;26;27;28;29;30},
     COUNTIFS($U$3:$U$201,$M32)&gt;0,
     COUNTIFS($V$3:$V$201,$M32)&gt;0,
     COUNTIFS($W$3:$W$201,$M32)&gt;0,
     COUNTIFS($X$3:$X$201,$M32)&gt;0,
     COUNTIFS($Y$3:$Y$201,$M32)&gt;0,
     COUNTIFS($Z$3:$Z$201,$M32)&gt;0,
     COUNTIFS($AA$3:$AA$201,$M32)&gt;0,
     COUNTIFS($AB$3:$AB$201,$M32)&gt;0,
     COUNTIFS($AC$3:$AC$201,$M32)&gt;0,
     COUNTIFS($AD$3:$AD$201,$M32)&gt;0,
     COUNTIFS($AE$3:$AE$201,$M32)&gt;0,
     COUNTIFS($AF$3:$AF$201,$M32)&gt;0,
     COUNTIFS($AG$3:$AG$201,$M32)&gt;0,
     COUNTIFS($AH$3:$AH$201,$M32)&gt;0,
     COUNTIFS($AI$3:$AI$201,$M32)&gt;0,
     COUNTIFS($AJ$3:$AJ$201,$M32)&gt;0,
     COUNTIFS($AK$3:$AK$201,$M32)&gt;0,
     COUNTIFS($AL$3:$AL$201,$M32)&gt;0,
     COUNTIFS($AM$3:$AM$201,$M32)&gt;0,
     COUNTIFS($AN$3:$AN$201,$M32)&gt;0,
     COUNTIFS($AO$3:$AO$201,$M32)&gt;0,
     COUNTIFS($AP$3:$AP$201,$M32)&gt;0,
     COUNTIFS($AQ$3:$AQ$201,$M32)&gt;0,
     COUNTIFS($AR$3:$AR$201,$M32)&gt;0,
     COUNTIFS($AS$3:$AS$201,$M32)&gt;0,
     COUNTIFS($AT$3:$AT$201,$M32)&gt;0,
     COUNTIFS($AU$3:$AU$201,$M32)&gt;0,
     COUNTIFS($AV$3:$AV$201,$M32)&gt;0,
     COUNTIFS($AW$3:$AW$201,$M32)&gt;0,
     COUNTIFS($AX$3:$AX$201,$M32)&gt;0
   )),
  ),
  2
 ),
"")</f>
        <v/>
      </c>
      <c r="Q32" s="2" t="str" cm="1">
        <f t="array" aca="1" ref="Q32" ca="1">IFERROR(
 INDEX(
  _xlfn._xlws.FILTER($U$2:$AX$2,
   TRANSPOSE(
    CHOOSE({1;2;3;4;5;6;7;8;9;10;11;12;13;14;15;16;17;18;19;20;21;22;23;24;25;26;27;28;29;30},
     COUNTIFS($U$3:$U$201,$M32)&gt;0,
     COUNTIFS($V$3:$V$201,$M32)&gt;0,
     COUNTIFS($W$3:$W$201,$M32)&gt;0,
     COUNTIFS($X$3:$X$201,$M32)&gt;0,
     COUNTIFS($Y$3:$Y$201,$M32)&gt;0,
     COUNTIFS($Z$3:$Z$201,$M32)&gt;0,
     COUNTIFS($AA$3:$AA$201,$M32)&gt;0,
     COUNTIFS($AB$3:$AB$201,$M32)&gt;0,
     COUNTIFS($AC$3:$AC$201,$M32)&gt;0,
     COUNTIFS($AD$3:$AD$201,$M32)&gt;0,
     COUNTIFS($AE$3:$AE$201,$M32)&gt;0,
     COUNTIFS($AF$3:$AF$201,$M32)&gt;0,
     COUNTIFS($AG$3:$AG$201,$M32)&gt;0,
     COUNTIFS($AH$3:$AH$201,$M32)&gt;0,
     COUNTIFS($AI$3:$AI$201,$M32)&gt;0,
     COUNTIFS($AJ$3:$AJ$201,$M32)&gt;0,
     COUNTIFS($AK$3:$AK$201,$M32)&gt;0,
     COUNTIFS($AL$3:$AL$201,$M32)&gt;0,
     COUNTIFS($AM$3:$AM$201,$M32)&gt;0,
     COUNTIFS($AN$3:$AN$201,$M32)&gt;0,
     COUNTIFS($AO$3:$AO$201,$M32)&gt;0,
     COUNTIFS($AP$3:$AP$201,$M32)&gt;0,
     COUNTIFS($AQ$3:$AQ$201,$M32)&gt;0,
     COUNTIFS($AR$3:$AR$201,$M32)&gt;0,
     COUNTIFS($AS$3:$AS$201,$M32)&gt;0,
     COUNTIFS($AT$3:$AT$201,$M32)&gt;0,
     COUNTIFS($AU$3:$AU$201,$M32)&gt;0,
     COUNTIFS($AV$3:$AV$201,$M32)&gt;0,
     COUNTIFS($AW$3:$AW$201,$M32)&gt;0,
     COUNTIFS($AX$3:$AX$201,$M32)&gt;0
   )),
  ),
  3
 ),
"")</f>
        <v/>
      </c>
      <c r="CH32" t="str">
        <f ca="1"/>
        <v>True Ancestry</v>
      </c>
      <c r="CI32" t="str">
        <f ca="1"/>
        <v>Together Forever</v>
      </c>
      <c r="DO32" t="str">
        <f ca="1"/>
        <v>Noble's Purse</v>
      </c>
      <c r="DP32" t="str">
        <f ca="1"/>
        <v>Repudiate // Replicate</v>
      </c>
      <c r="DQ32" t="str">
        <f ca="1"/>
        <v>Worn Powerstone</v>
      </c>
      <c r="DR32" t="str">
        <f ca="1"/>
        <v>Plate Armor</v>
      </c>
      <c r="DT32" t="str">
        <f ca="1"/>
        <v>Soul's Majesty</v>
      </c>
      <c r="EF32" t="str">
        <f ca="1"/>
        <v>High Priest of Penance</v>
      </c>
      <c r="EG32" t="str">
        <f ca="1"/>
        <v>Horn of Valhalla // Ysgard's Call</v>
      </c>
      <c r="EH32" t="str">
        <f ca="1"/>
        <v>Ravenous Chupacabra</v>
      </c>
      <c r="EI32" t="str">
        <f ca="1"/>
        <v>Swamp</v>
      </c>
      <c r="EO32" t="str">
        <f ca="1"/>
        <v>Dreadship Reef</v>
      </c>
      <c r="EP32" t="str">
        <f ca="1"/>
        <v>Ingot Chewer</v>
      </c>
      <c r="ET32" t="str">
        <f ca="1"/>
        <v>Cut your Losses</v>
      </c>
      <c r="EW32" t="str">
        <f ca="1"/>
        <v>Crashing Drawbridge</v>
      </c>
    </row>
    <row r="33" spans="1:153" x14ac:dyDescent="0.25">
      <c r="A33" t="str">
        <f ca="1"/>
        <v>Assassin's Trophy</v>
      </c>
      <c r="B33" s="2" t="str" cm="1">
        <f t="array" aca="1" ref="B33" ca="1">_xlfn.ANCHORARRAY(RESUMO!C32)</f>
        <v>Kresh</v>
      </c>
      <c r="C33" s="2" t="str">
        <f t="shared" ca="1" si="0"/>
        <v/>
      </c>
      <c r="E33" t="str">
        <f ca="1"/>
        <v>Crawling Infestation</v>
      </c>
      <c r="F33" s="2">
        <f t="shared" ca="1" si="3"/>
        <v>1</v>
      </c>
      <c r="G33" s="2" t="str">
        <f t="shared" ca="1" si="1"/>
        <v>Gritrog</v>
      </c>
      <c r="I33" s="18"/>
      <c r="J33" t="s">
        <v>180</v>
      </c>
      <c r="K33" s="2">
        <v>1</v>
      </c>
      <c r="M33" t="str">
        <f ca="1"/>
        <v>Crawling Infestation</v>
      </c>
      <c r="N33" s="2">
        <f t="shared" ca="1" si="2"/>
        <v>1</v>
      </c>
      <c r="O33" s="2" t="str">
        <f ca="1">IFERROR(
 INDEX($U$2:$AX$2,
  MATCH(TRUE,
   CHOOSE({1;2;3;4;5;6;7;8;9;10;11;12;13;14;15;16;17;18;19;20;21;22;23;24;25;26;27;28;29;30;31;32},
    COUNTIFS($U$3:$U$201,$M33)&gt;0,
    COUNTIFS($V$3:$V$201,$M33)&gt;0,
    COUNTIFS($W$3:$W$201,$M33)&gt;0,
    COUNTIFS($X$3:$X$201,$M33)&gt;0,
    COUNTIFS($Y$3:$Y$201,$M33)&gt;0,
    COUNTIFS($Z$3:$Z$201,$M33)&gt;0,
    COUNTIFS($AA$3:$AA$201,$M33)&gt;0,
    COUNTIFS($AB$3:$AB$201,$M33)&gt;0,
    COUNTIFS($AC$3:$AC$201,$M33)&gt;0,
    COUNTIFS($AD$3:$AD$201,$M33)&gt;0,
    COUNTIFS($AE$3:$AE$201,$M33)&gt;0,
    COUNTIFS($AF$3:$AF$201,$M33)&gt;0,
    COUNTIFS($AG$3:$AG$201,$M33)&gt;0,
    COUNTIFS($AH$3:$AH$201,$M33)&gt;0,
    COUNTIFS($AI$3:$AI$201,$M33)&gt;0,
    COUNTIFS($AJ$3:$AJ$201,$M33)&gt;0,
    COUNTIFS($AK$3:$AK$201,$M33)&gt;0,
    COUNTIFS($AL$3:$AL$201,$M33)&gt;0,
    COUNTIFS($AM$3:$AM$201,$M33)&gt;0,
    COUNTIFS($AN$3:$AN$201,$M33)&gt;0,
    COUNTIFS($AO$3:$AO$201,$M33)&gt;0,
    COUNTIFS($AP$3:$AP$201,$M33)&gt;0,
    COUNTIFS($AQ$3:$AQ$201,$M33)&gt;0,
    COUNTIFS($AR$3:$AR$201,$M33)&gt;0,
    COUNTIFS($AS$3:$AS$201,$M33)&gt;0,
    COUNTIFS($AT$3:$AT$201,$M33)&gt;0,
    COUNTIFS($AU$3:$AU$201,$M33)&gt;0,
    COUNTIFS($AV$3:$AV$201,$M33)&gt;0,
    COUNTIFS($AW$3:$AW$201,$M33)&gt;0,
    COUNTIFS($AX$3:$AX$201,$M33)&gt;0
   ),
  0)
 ),
"")</f>
        <v>Gritrog</v>
      </c>
      <c r="P33" s="2" t="str" cm="1">
        <f t="array" aca="1" ref="P33" ca="1">IFERROR(
 INDEX(
  _xlfn._xlws.FILTER($U$2:$AX$2,
   TRANSPOSE(
    CHOOSE({1;2;3;4;5;6;7;8;9;10;11;12;13;14;15;16;17;18;19;20;21;22;23;24;25;26;27;28;29;30},
     COUNTIFS($U$3:$U$201,$M33)&gt;0,
     COUNTIFS($V$3:$V$201,$M33)&gt;0,
     COUNTIFS($W$3:$W$201,$M33)&gt;0,
     COUNTIFS($X$3:$X$201,$M33)&gt;0,
     COUNTIFS($Y$3:$Y$201,$M33)&gt;0,
     COUNTIFS($Z$3:$Z$201,$M33)&gt;0,
     COUNTIFS($AA$3:$AA$201,$M33)&gt;0,
     COUNTIFS($AB$3:$AB$201,$M33)&gt;0,
     COUNTIFS($AC$3:$AC$201,$M33)&gt;0,
     COUNTIFS($AD$3:$AD$201,$M33)&gt;0,
     COUNTIFS($AE$3:$AE$201,$M33)&gt;0,
     COUNTIFS($AF$3:$AF$201,$M33)&gt;0,
     COUNTIFS($AG$3:$AG$201,$M33)&gt;0,
     COUNTIFS($AH$3:$AH$201,$M33)&gt;0,
     COUNTIFS($AI$3:$AI$201,$M33)&gt;0,
     COUNTIFS($AJ$3:$AJ$201,$M33)&gt;0,
     COUNTIFS($AK$3:$AK$201,$M33)&gt;0,
     COUNTIFS($AL$3:$AL$201,$M33)&gt;0,
     COUNTIFS($AM$3:$AM$201,$M33)&gt;0,
     COUNTIFS($AN$3:$AN$201,$M33)&gt;0,
     COUNTIFS($AO$3:$AO$201,$M33)&gt;0,
     COUNTIFS($AP$3:$AP$201,$M33)&gt;0,
     COUNTIFS($AQ$3:$AQ$201,$M33)&gt;0,
     COUNTIFS($AR$3:$AR$201,$M33)&gt;0,
     COUNTIFS($AS$3:$AS$201,$M33)&gt;0,
     COUNTIFS($AT$3:$AT$201,$M33)&gt;0,
     COUNTIFS($AU$3:$AU$201,$M33)&gt;0,
     COUNTIFS($AV$3:$AV$201,$M33)&gt;0,
     COUNTIFS($AW$3:$AW$201,$M33)&gt;0,
     COUNTIFS($AX$3:$AX$201,$M33)&gt;0
   )),
  ),
  2
 ),
"")</f>
        <v/>
      </c>
      <c r="Q33" s="2" t="str" cm="1">
        <f t="array" aca="1" ref="Q33" ca="1">IFERROR(
 INDEX(
  _xlfn._xlws.FILTER($U$2:$AX$2,
   TRANSPOSE(
    CHOOSE({1;2;3;4;5;6;7;8;9;10;11;12;13;14;15;16;17;18;19;20;21;22;23;24;25;26;27;28;29;30},
     COUNTIFS($U$3:$U$201,$M33)&gt;0,
     COUNTIFS($V$3:$V$201,$M33)&gt;0,
     COUNTIFS($W$3:$W$201,$M33)&gt;0,
     COUNTIFS($X$3:$X$201,$M33)&gt;0,
     COUNTIFS($Y$3:$Y$201,$M33)&gt;0,
     COUNTIFS($Z$3:$Z$201,$M33)&gt;0,
     COUNTIFS($AA$3:$AA$201,$M33)&gt;0,
     COUNTIFS($AB$3:$AB$201,$M33)&gt;0,
     COUNTIFS($AC$3:$AC$201,$M33)&gt;0,
     COUNTIFS($AD$3:$AD$201,$M33)&gt;0,
     COUNTIFS($AE$3:$AE$201,$M33)&gt;0,
     COUNTIFS($AF$3:$AF$201,$M33)&gt;0,
     COUNTIFS($AG$3:$AG$201,$M33)&gt;0,
     COUNTIFS($AH$3:$AH$201,$M33)&gt;0,
     COUNTIFS($AI$3:$AI$201,$M33)&gt;0,
     COUNTIFS($AJ$3:$AJ$201,$M33)&gt;0,
     COUNTIFS($AK$3:$AK$201,$M33)&gt;0,
     COUNTIFS($AL$3:$AL$201,$M33)&gt;0,
     COUNTIFS($AM$3:$AM$201,$M33)&gt;0,
     COUNTIFS($AN$3:$AN$201,$M33)&gt;0,
     COUNTIFS($AO$3:$AO$201,$M33)&gt;0,
     COUNTIFS($AP$3:$AP$201,$M33)&gt;0,
     COUNTIFS($AQ$3:$AQ$201,$M33)&gt;0,
     COUNTIFS($AR$3:$AR$201,$M33)&gt;0,
     COUNTIFS($AS$3:$AS$201,$M33)&gt;0,
     COUNTIFS($AT$3:$AT$201,$M33)&gt;0,
     COUNTIFS($AU$3:$AU$201,$M33)&gt;0,
     COUNTIFS($AV$3:$AV$201,$M33)&gt;0,
     COUNTIFS($AW$3:$AW$201,$M33)&gt;0,
     COUNTIFS($AX$3:$AX$201,$M33)&gt;0
   )),
  ),
  3
 ),
"")</f>
        <v/>
      </c>
      <c r="CH33" t="str">
        <f ca="1"/>
        <v>Wand of Wonder</v>
      </c>
      <c r="CI33" t="str">
        <f ca="1"/>
        <v>Trailblazer's Boots</v>
      </c>
      <c r="DO33" t="str">
        <f ca="1"/>
        <v>Nyx Weaver</v>
      </c>
      <c r="DP33" t="str">
        <f ca="1"/>
        <v>Retreat to Hagra</v>
      </c>
      <c r="DR33" t="str">
        <f ca="1"/>
        <v>Quasiduplicate</v>
      </c>
      <c r="DT33" t="str">
        <f ca="1"/>
        <v>Spell Stutter</v>
      </c>
      <c r="EF33" t="str">
        <f ca="1"/>
        <v>Horda Germinal</v>
      </c>
      <c r="EG33" t="str">
        <f ca="1"/>
        <v>Infiltration Lens</v>
      </c>
      <c r="EH33" t="str">
        <f ca="1"/>
        <v>Reclamation Sage</v>
      </c>
      <c r="EI33" t="str">
        <f ca="1"/>
        <v>Syr Ginger, the Meal Ender</v>
      </c>
      <c r="EO33" t="str">
        <f ca="1"/>
        <v>Drown in the Loch</v>
      </c>
      <c r="EP33" t="str">
        <f ca="1"/>
        <v>Inspiring Call</v>
      </c>
      <c r="ET33" t="str">
        <f ca="1"/>
        <v>Danitha Capashen, Paragon</v>
      </c>
      <c r="EW33" t="str">
        <f ca="1"/>
        <v>Crawling Infestation</v>
      </c>
    </row>
    <row r="34" spans="1:153" x14ac:dyDescent="0.25">
      <c r="A34" t="str">
        <f ca="1"/>
        <v>Atarka's Command</v>
      </c>
      <c r="B34" s="2" t="str" cm="1">
        <f t="array" aca="1" ref="B34" ca="1">_xlfn.ANCHORARRAY(RESUMO!C33)</f>
        <v>4cRash</v>
      </c>
      <c r="C34" s="2" t="str">
        <f t="shared" ca="1" si="0"/>
        <v/>
      </c>
      <c r="E34" t="str">
        <f ca="1"/>
        <v>Cut your Losses</v>
      </c>
      <c r="F34" s="2">
        <f t="shared" ca="1" si="3"/>
        <v>1</v>
      </c>
      <c r="G34" s="2" t="str">
        <f t="shared" ca="1" si="1"/>
        <v>Narset</v>
      </c>
      <c r="I34" s="18"/>
      <c r="J34" t="s">
        <v>180</v>
      </c>
      <c r="K34" s="2">
        <v>1</v>
      </c>
      <c r="M34" t="str">
        <f ca="1"/>
        <v>Cut your Losses</v>
      </c>
      <c r="N34" s="2">
        <f t="shared" ca="1" si="2"/>
        <v>1</v>
      </c>
      <c r="O34" s="2" t="str">
        <f ca="1">IFERROR(
 INDEX($U$2:$AX$2,
  MATCH(TRUE,
   CHOOSE({1;2;3;4;5;6;7;8;9;10;11;12;13;14;15;16;17;18;19;20;21;22;23;24;25;26;27;28;29;30;31;32},
    COUNTIFS($U$3:$U$201,$M34)&gt;0,
    COUNTIFS($V$3:$V$201,$M34)&gt;0,
    COUNTIFS($W$3:$W$201,$M34)&gt;0,
    COUNTIFS($X$3:$X$201,$M34)&gt;0,
    COUNTIFS($Y$3:$Y$201,$M34)&gt;0,
    COUNTIFS($Z$3:$Z$201,$M34)&gt;0,
    COUNTIFS($AA$3:$AA$201,$M34)&gt;0,
    COUNTIFS($AB$3:$AB$201,$M34)&gt;0,
    COUNTIFS($AC$3:$AC$201,$M34)&gt;0,
    COUNTIFS($AD$3:$AD$201,$M34)&gt;0,
    COUNTIFS($AE$3:$AE$201,$M34)&gt;0,
    COUNTIFS($AF$3:$AF$201,$M34)&gt;0,
    COUNTIFS($AG$3:$AG$201,$M34)&gt;0,
    COUNTIFS($AH$3:$AH$201,$M34)&gt;0,
    COUNTIFS($AI$3:$AI$201,$M34)&gt;0,
    COUNTIFS($AJ$3:$AJ$201,$M34)&gt;0,
    COUNTIFS($AK$3:$AK$201,$M34)&gt;0,
    COUNTIFS($AL$3:$AL$201,$M34)&gt;0,
    COUNTIFS($AM$3:$AM$201,$M34)&gt;0,
    COUNTIFS($AN$3:$AN$201,$M34)&gt;0,
    COUNTIFS($AO$3:$AO$201,$M34)&gt;0,
    COUNTIFS($AP$3:$AP$201,$M34)&gt;0,
    COUNTIFS($AQ$3:$AQ$201,$M34)&gt;0,
    COUNTIFS($AR$3:$AR$201,$M34)&gt;0,
    COUNTIFS($AS$3:$AS$201,$M34)&gt;0,
    COUNTIFS($AT$3:$AT$201,$M34)&gt;0,
    COUNTIFS($AU$3:$AU$201,$M34)&gt;0,
    COUNTIFS($AV$3:$AV$201,$M34)&gt;0,
    COUNTIFS($AW$3:$AW$201,$M34)&gt;0,
    COUNTIFS($AX$3:$AX$201,$M34)&gt;0
   ),
  0)
 ),
"")</f>
        <v>Narset</v>
      </c>
      <c r="P34" s="2" t="str" cm="1">
        <f t="array" aca="1" ref="P34" ca="1">IFERROR(
 INDEX(
  _xlfn._xlws.FILTER($U$2:$AX$2,
   TRANSPOSE(
    CHOOSE({1;2;3;4;5;6;7;8;9;10;11;12;13;14;15;16;17;18;19;20;21;22;23;24;25;26;27;28;29;30},
     COUNTIFS($U$3:$U$201,$M34)&gt;0,
     COUNTIFS($V$3:$V$201,$M34)&gt;0,
     COUNTIFS($W$3:$W$201,$M34)&gt;0,
     COUNTIFS($X$3:$X$201,$M34)&gt;0,
     COUNTIFS($Y$3:$Y$201,$M34)&gt;0,
     COUNTIFS($Z$3:$Z$201,$M34)&gt;0,
     COUNTIFS($AA$3:$AA$201,$M34)&gt;0,
     COUNTIFS($AB$3:$AB$201,$M34)&gt;0,
     COUNTIFS($AC$3:$AC$201,$M34)&gt;0,
     COUNTIFS($AD$3:$AD$201,$M34)&gt;0,
     COUNTIFS($AE$3:$AE$201,$M34)&gt;0,
     COUNTIFS($AF$3:$AF$201,$M34)&gt;0,
     COUNTIFS($AG$3:$AG$201,$M34)&gt;0,
     COUNTIFS($AH$3:$AH$201,$M34)&gt;0,
     COUNTIFS($AI$3:$AI$201,$M34)&gt;0,
     COUNTIFS($AJ$3:$AJ$201,$M34)&gt;0,
     COUNTIFS($AK$3:$AK$201,$M34)&gt;0,
     COUNTIFS($AL$3:$AL$201,$M34)&gt;0,
     COUNTIFS($AM$3:$AM$201,$M34)&gt;0,
     COUNTIFS($AN$3:$AN$201,$M34)&gt;0,
     COUNTIFS($AO$3:$AO$201,$M34)&gt;0,
     COUNTIFS($AP$3:$AP$201,$M34)&gt;0,
     COUNTIFS($AQ$3:$AQ$201,$M34)&gt;0,
     COUNTIFS($AR$3:$AR$201,$M34)&gt;0,
     COUNTIFS($AS$3:$AS$201,$M34)&gt;0,
     COUNTIFS($AT$3:$AT$201,$M34)&gt;0,
     COUNTIFS($AU$3:$AU$201,$M34)&gt;0,
     COUNTIFS($AV$3:$AV$201,$M34)&gt;0,
     COUNTIFS($AW$3:$AW$201,$M34)&gt;0,
     COUNTIFS($AX$3:$AX$201,$M34)&gt;0
   )),
  ),
  2
 ),
"")</f>
        <v/>
      </c>
      <c r="Q34" s="2" t="str" cm="1">
        <f t="array" aca="1" ref="Q34" ca="1">IFERROR(
 INDEX(
  _xlfn._xlws.FILTER($U$2:$AX$2,
   TRANSPOSE(
    CHOOSE({1;2;3;4;5;6;7;8;9;10;11;12;13;14;15;16;17;18;19;20;21;22;23;24;25;26;27;28;29;30},
     COUNTIFS($U$3:$U$201,$M34)&gt;0,
     COUNTIFS($V$3:$V$201,$M34)&gt;0,
     COUNTIFS($W$3:$W$201,$M34)&gt;0,
     COUNTIFS($X$3:$X$201,$M34)&gt;0,
     COUNTIFS($Y$3:$Y$201,$M34)&gt;0,
     COUNTIFS($Z$3:$Z$201,$M34)&gt;0,
     COUNTIFS($AA$3:$AA$201,$M34)&gt;0,
     COUNTIFS($AB$3:$AB$201,$M34)&gt;0,
     COUNTIFS($AC$3:$AC$201,$M34)&gt;0,
     COUNTIFS($AD$3:$AD$201,$M34)&gt;0,
     COUNTIFS($AE$3:$AE$201,$M34)&gt;0,
     COUNTIFS($AF$3:$AF$201,$M34)&gt;0,
     COUNTIFS($AG$3:$AG$201,$M34)&gt;0,
     COUNTIFS($AH$3:$AH$201,$M34)&gt;0,
     COUNTIFS($AI$3:$AI$201,$M34)&gt;0,
     COUNTIFS($AJ$3:$AJ$201,$M34)&gt;0,
     COUNTIFS($AK$3:$AK$201,$M34)&gt;0,
     COUNTIFS($AL$3:$AL$201,$M34)&gt;0,
     COUNTIFS($AM$3:$AM$201,$M34)&gt;0,
     COUNTIFS($AN$3:$AN$201,$M34)&gt;0,
     COUNTIFS($AO$3:$AO$201,$M34)&gt;0,
     COUNTIFS($AP$3:$AP$201,$M34)&gt;0,
     COUNTIFS($AQ$3:$AQ$201,$M34)&gt;0,
     COUNTIFS($AR$3:$AR$201,$M34)&gt;0,
     COUNTIFS($AS$3:$AS$201,$M34)&gt;0,
     COUNTIFS($AT$3:$AT$201,$M34)&gt;0,
     COUNTIFS($AU$3:$AU$201,$M34)&gt;0,
     COUNTIFS($AV$3:$AV$201,$M34)&gt;0,
     COUNTIFS($AW$3:$AW$201,$M34)&gt;0,
     COUNTIFS($AX$3:$AX$201,$M34)&gt;0
   )),
  ),
  3
 ),
"")</f>
        <v/>
      </c>
      <c r="CH34" t="str">
        <f ca="1"/>
        <v>Wyll's Reversal</v>
      </c>
      <c r="CI34" t="str">
        <f ca="1"/>
        <v>Traumatize</v>
      </c>
      <c r="DO34" t="str">
        <f ca="1"/>
        <v>Opt</v>
      </c>
      <c r="DP34" t="str">
        <f ca="1"/>
        <v>Royalty Assassin</v>
      </c>
      <c r="DR34" t="str">
        <f ca="1"/>
        <v>Rebbec, Architect of Ascension</v>
      </c>
      <c r="DT34" t="str">
        <f ca="1"/>
        <v>Storm's Wrath</v>
      </c>
      <c r="EF34" t="str">
        <f ca="1"/>
        <v>Immortal Servitude</v>
      </c>
      <c r="EG34" t="str">
        <f ca="1"/>
        <v>Inspiring Refrain</v>
      </c>
      <c r="EH34" t="str">
        <f ca="1"/>
        <v>Ritual of Soot</v>
      </c>
      <c r="EI34" t="str">
        <f ca="1"/>
        <v>Terramorphic Expanse</v>
      </c>
      <c r="EO34" t="str">
        <f ca="1"/>
        <v>Duplicant</v>
      </c>
      <c r="EP34" t="str">
        <f ca="1"/>
        <v>Inspiring Statuary</v>
      </c>
      <c r="ET34" t="str">
        <f ca="1"/>
        <v>Dawntreader Elk</v>
      </c>
      <c r="EW34" t="str">
        <f ca="1"/>
        <v>Cut your Losses</v>
      </c>
    </row>
    <row r="35" spans="1:153" x14ac:dyDescent="0.25">
      <c r="A35" t="str">
        <f ca="1"/>
        <v>Aura Mutation</v>
      </c>
      <c r="B35" s="2" t="str" cm="1">
        <f t="array" aca="1" ref="B35" ca="1">_xlfn.ANCHORARRAY(RESUMO!C34)</f>
        <v>Baylen</v>
      </c>
      <c r="C35" s="2" t="str">
        <f t="shared" ca="1" si="0"/>
        <v/>
      </c>
      <c r="E35" t="str">
        <f ca="1"/>
        <v>Danitha Capashen, Paragon</v>
      </c>
      <c r="F35" s="2">
        <f t="shared" ca="1" si="3"/>
        <v>1</v>
      </c>
      <c r="G35" s="2" t="str">
        <f t="shared" ca="1" si="1"/>
        <v>Akiri</v>
      </c>
      <c r="I35" s="18"/>
      <c r="J35" t="s">
        <v>180</v>
      </c>
      <c r="K35" s="2">
        <v>1</v>
      </c>
      <c r="M35" t="str">
        <f ca="1"/>
        <v>Danitha Capashen, Paragon</v>
      </c>
      <c r="N35" s="2">
        <f t="shared" ca="1" si="2"/>
        <v>1</v>
      </c>
      <c r="O35" s="2" t="str">
        <f ca="1">IFERROR(
 INDEX($U$2:$AX$2,
  MATCH(TRUE,
   CHOOSE({1;2;3;4;5;6;7;8;9;10;11;12;13;14;15;16;17;18;19;20;21;22;23;24;25;26;27;28;29;30;31;32},
    COUNTIFS($U$3:$U$201,$M35)&gt;0,
    COUNTIFS($V$3:$V$201,$M35)&gt;0,
    COUNTIFS($W$3:$W$201,$M35)&gt;0,
    COUNTIFS($X$3:$X$201,$M35)&gt;0,
    COUNTIFS($Y$3:$Y$201,$M35)&gt;0,
    COUNTIFS($Z$3:$Z$201,$M35)&gt;0,
    COUNTIFS($AA$3:$AA$201,$M35)&gt;0,
    COUNTIFS($AB$3:$AB$201,$M35)&gt;0,
    COUNTIFS($AC$3:$AC$201,$M35)&gt;0,
    COUNTIFS($AD$3:$AD$201,$M35)&gt;0,
    COUNTIFS($AE$3:$AE$201,$M35)&gt;0,
    COUNTIFS($AF$3:$AF$201,$M35)&gt;0,
    COUNTIFS($AG$3:$AG$201,$M35)&gt;0,
    COUNTIFS($AH$3:$AH$201,$M35)&gt;0,
    COUNTIFS($AI$3:$AI$201,$M35)&gt;0,
    COUNTIFS($AJ$3:$AJ$201,$M35)&gt;0,
    COUNTIFS($AK$3:$AK$201,$M35)&gt;0,
    COUNTIFS($AL$3:$AL$201,$M35)&gt;0,
    COUNTIFS($AM$3:$AM$201,$M35)&gt;0,
    COUNTIFS($AN$3:$AN$201,$M35)&gt;0,
    COUNTIFS($AO$3:$AO$201,$M35)&gt;0,
    COUNTIFS($AP$3:$AP$201,$M35)&gt;0,
    COUNTIFS($AQ$3:$AQ$201,$M35)&gt;0,
    COUNTIFS($AR$3:$AR$201,$M35)&gt;0,
    COUNTIFS($AS$3:$AS$201,$M35)&gt;0,
    COUNTIFS($AT$3:$AT$201,$M35)&gt;0,
    COUNTIFS($AU$3:$AU$201,$M35)&gt;0,
    COUNTIFS($AV$3:$AV$201,$M35)&gt;0,
    COUNTIFS($AW$3:$AW$201,$M35)&gt;0,
    COUNTIFS($AX$3:$AX$201,$M35)&gt;0
   ),
  0)
 ),
"")</f>
        <v>Akiri</v>
      </c>
      <c r="P35" s="2" t="str" cm="1">
        <f t="array" aca="1" ref="P35" ca="1">IFERROR(
 INDEX(
  _xlfn._xlws.FILTER($U$2:$AX$2,
   TRANSPOSE(
    CHOOSE({1;2;3;4;5;6;7;8;9;10;11;12;13;14;15;16;17;18;19;20;21;22;23;24;25;26;27;28;29;30},
     COUNTIFS($U$3:$U$201,$M35)&gt;0,
     COUNTIFS($V$3:$V$201,$M35)&gt;0,
     COUNTIFS($W$3:$W$201,$M35)&gt;0,
     COUNTIFS($X$3:$X$201,$M35)&gt;0,
     COUNTIFS($Y$3:$Y$201,$M35)&gt;0,
     COUNTIFS($Z$3:$Z$201,$M35)&gt;0,
     COUNTIFS($AA$3:$AA$201,$M35)&gt;0,
     COUNTIFS($AB$3:$AB$201,$M35)&gt;0,
     COUNTIFS($AC$3:$AC$201,$M35)&gt;0,
     COUNTIFS($AD$3:$AD$201,$M35)&gt;0,
     COUNTIFS($AE$3:$AE$201,$M35)&gt;0,
     COUNTIFS($AF$3:$AF$201,$M35)&gt;0,
     COUNTIFS($AG$3:$AG$201,$M35)&gt;0,
     COUNTIFS($AH$3:$AH$201,$M35)&gt;0,
     COUNTIFS($AI$3:$AI$201,$M35)&gt;0,
     COUNTIFS($AJ$3:$AJ$201,$M35)&gt;0,
     COUNTIFS($AK$3:$AK$201,$M35)&gt;0,
     COUNTIFS($AL$3:$AL$201,$M35)&gt;0,
     COUNTIFS($AM$3:$AM$201,$M35)&gt;0,
     COUNTIFS($AN$3:$AN$201,$M35)&gt;0,
     COUNTIFS($AO$3:$AO$201,$M35)&gt;0,
     COUNTIFS($AP$3:$AP$201,$M35)&gt;0,
     COUNTIFS($AQ$3:$AQ$201,$M35)&gt;0,
     COUNTIFS($AR$3:$AR$201,$M35)&gt;0,
     COUNTIFS($AS$3:$AS$201,$M35)&gt;0,
     COUNTIFS($AT$3:$AT$201,$M35)&gt;0,
     COUNTIFS($AU$3:$AU$201,$M35)&gt;0,
     COUNTIFS($AV$3:$AV$201,$M35)&gt;0,
     COUNTIFS($AW$3:$AW$201,$M35)&gt;0,
     COUNTIFS($AX$3:$AX$201,$M35)&gt;0
   )),
  ),
  2
 ),
"")</f>
        <v/>
      </c>
      <c r="Q35" s="2" t="str" cm="1">
        <f t="array" aca="1" ref="Q35" ca="1">IFERROR(
 INDEX(
  _xlfn._xlws.FILTER($U$2:$AX$2,
   TRANSPOSE(
    CHOOSE({1;2;3;4;5;6;7;8;9;10;11;12;13;14;15;16;17;18;19;20;21;22;23;24;25;26;27;28;29;30},
     COUNTIFS($U$3:$U$201,$M35)&gt;0,
     COUNTIFS($V$3:$V$201,$M35)&gt;0,
     COUNTIFS($W$3:$W$201,$M35)&gt;0,
     COUNTIFS($X$3:$X$201,$M35)&gt;0,
     COUNTIFS($Y$3:$Y$201,$M35)&gt;0,
     COUNTIFS($Z$3:$Z$201,$M35)&gt;0,
     COUNTIFS($AA$3:$AA$201,$M35)&gt;0,
     COUNTIFS($AB$3:$AB$201,$M35)&gt;0,
     COUNTIFS($AC$3:$AC$201,$M35)&gt;0,
     COUNTIFS($AD$3:$AD$201,$M35)&gt;0,
     COUNTIFS($AE$3:$AE$201,$M35)&gt;0,
     COUNTIFS($AF$3:$AF$201,$M35)&gt;0,
     COUNTIFS($AG$3:$AG$201,$M35)&gt;0,
     COUNTIFS($AH$3:$AH$201,$M35)&gt;0,
     COUNTIFS($AI$3:$AI$201,$M35)&gt;0,
     COUNTIFS($AJ$3:$AJ$201,$M35)&gt;0,
     COUNTIFS($AK$3:$AK$201,$M35)&gt;0,
     COUNTIFS($AL$3:$AL$201,$M35)&gt;0,
     COUNTIFS($AM$3:$AM$201,$M35)&gt;0,
     COUNTIFS($AN$3:$AN$201,$M35)&gt;0,
     COUNTIFS($AO$3:$AO$201,$M35)&gt;0,
     COUNTIFS($AP$3:$AP$201,$M35)&gt;0,
     COUNTIFS($AQ$3:$AQ$201,$M35)&gt;0,
     COUNTIFS($AR$3:$AR$201,$M35)&gt;0,
     COUNTIFS($AS$3:$AS$201,$M35)&gt;0,
     COUNTIFS($AT$3:$AT$201,$M35)&gt;0,
     COUNTIFS($AU$3:$AU$201,$M35)&gt;0,
     COUNTIFS($AV$3:$AV$201,$M35)&gt;0,
     COUNTIFS($AW$3:$AW$201,$M35)&gt;0,
     COUNTIFS($AX$3:$AX$201,$M35)&gt;0
   )),
  ),
  3
 ),
"")</f>
        <v/>
      </c>
      <c r="CI35" t="str">
        <f ca="1"/>
        <v>Tuskguard Captain</v>
      </c>
      <c r="DO35" t="str">
        <f ca="1"/>
        <v>Oversold Cemetery</v>
      </c>
      <c r="DP35" t="str">
        <f ca="1"/>
        <v>Shiny Impetus</v>
      </c>
      <c r="DR35" t="str">
        <f ca="1"/>
        <v>Shifting Shadow</v>
      </c>
      <c r="DT35" t="str">
        <f ca="1"/>
        <v>Thirst for Knowledge</v>
      </c>
      <c r="EF35" t="str">
        <f ca="1"/>
        <v>Indulge // Excess</v>
      </c>
      <c r="EG35" t="str">
        <f ca="1"/>
        <v>Island</v>
      </c>
      <c r="EH35" t="str">
        <f ca="1"/>
        <v>Saheeli, Filigree Master</v>
      </c>
      <c r="EI35" t="str">
        <f ca="1"/>
        <v>The Immortal Sun</v>
      </c>
      <c r="EO35" t="str">
        <f ca="1"/>
        <v>Eaten Alive</v>
      </c>
      <c r="EP35" t="str">
        <f ca="1"/>
        <v>Island</v>
      </c>
      <c r="ET35" t="str">
        <f ca="1"/>
        <v>Death Rattle</v>
      </c>
      <c r="EW35" t="str">
        <f ca="1"/>
        <v>Danitha Capashen, Paragon</v>
      </c>
    </row>
    <row r="36" spans="1:153" x14ac:dyDescent="0.25">
      <c r="A36" t="str">
        <f ca="1"/>
        <v>Aurelia, the Law Above</v>
      </c>
      <c r="B36" s="2" t="str" cm="1">
        <f t="array" aca="1" ref="B36" ca="1">_xlfn.ANCHORARRAY(RESUMO!C35)</f>
        <v>Little</v>
      </c>
      <c r="C36" s="2" t="str">
        <f t="shared" ca="1" si="0"/>
        <v/>
      </c>
      <c r="E36" t="str">
        <f ca="1"/>
        <v>Dawntreader Elk</v>
      </c>
      <c r="F36" s="2">
        <f t="shared" ca="1" si="3"/>
        <v>1</v>
      </c>
      <c r="G36" s="2" t="str">
        <f t="shared" ca="1" si="1"/>
        <v>Kresh</v>
      </c>
      <c r="I36" s="18"/>
      <c r="J36" t="s">
        <v>180</v>
      </c>
      <c r="K36" s="2">
        <v>1</v>
      </c>
      <c r="M36" t="str">
        <f ca="1"/>
        <v>Dawntreader Elk</v>
      </c>
      <c r="N36" s="2">
        <f t="shared" ca="1" si="2"/>
        <v>1</v>
      </c>
      <c r="O36" s="2" t="str">
        <f ca="1">IFERROR(
 INDEX($U$2:$AX$2,
  MATCH(TRUE,
   CHOOSE({1;2;3;4;5;6;7;8;9;10;11;12;13;14;15;16;17;18;19;20;21;22;23;24;25;26;27;28;29;30;31;32},
    COUNTIFS($U$3:$U$201,$M36)&gt;0,
    COUNTIFS($V$3:$V$201,$M36)&gt;0,
    COUNTIFS($W$3:$W$201,$M36)&gt;0,
    COUNTIFS($X$3:$X$201,$M36)&gt;0,
    COUNTIFS($Y$3:$Y$201,$M36)&gt;0,
    COUNTIFS($Z$3:$Z$201,$M36)&gt;0,
    COUNTIFS($AA$3:$AA$201,$M36)&gt;0,
    COUNTIFS($AB$3:$AB$201,$M36)&gt;0,
    COUNTIFS($AC$3:$AC$201,$M36)&gt;0,
    COUNTIFS($AD$3:$AD$201,$M36)&gt;0,
    COUNTIFS($AE$3:$AE$201,$M36)&gt;0,
    COUNTIFS($AF$3:$AF$201,$M36)&gt;0,
    COUNTIFS($AG$3:$AG$201,$M36)&gt;0,
    COUNTIFS($AH$3:$AH$201,$M36)&gt;0,
    COUNTIFS($AI$3:$AI$201,$M36)&gt;0,
    COUNTIFS($AJ$3:$AJ$201,$M36)&gt;0,
    COUNTIFS($AK$3:$AK$201,$M36)&gt;0,
    COUNTIFS($AL$3:$AL$201,$M36)&gt;0,
    COUNTIFS($AM$3:$AM$201,$M36)&gt;0,
    COUNTIFS($AN$3:$AN$201,$M36)&gt;0,
    COUNTIFS($AO$3:$AO$201,$M36)&gt;0,
    COUNTIFS($AP$3:$AP$201,$M36)&gt;0,
    COUNTIFS($AQ$3:$AQ$201,$M36)&gt;0,
    COUNTIFS($AR$3:$AR$201,$M36)&gt;0,
    COUNTIFS($AS$3:$AS$201,$M36)&gt;0,
    COUNTIFS($AT$3:$AT$201,$M36)&gt;0,
    COUNTIFS($AU$3:$AU$201,$M36)&gt;0,
    COUNTIFS($AV$3:$AV$201,$M36)&gt;0,
    COUNTIFS($AW$3:$AW$201,$M36)&gt;0,
    COUNTIFS($AX$3:$AX$201,$M36)&gt;0
   ),
  0)
 ),
"")</f>
        <v>Kresh</v>
      </c>
      <c r="P36" s="2" t="str" cm="1">
        <f t="array" aca="1" ref="P36" ca="1">IFERROR(
 INDEX(
  _xlfn._xlws.FILTER($U$2:$AX$2,
   TRANSPOSE(
    CHOOSE({1;2;3;4;5;6;7;8;9;10;11;12;13;14;15;16;17;18;19;20;21;22;23;24;25;26;27;28;29;30},
     COUNTIFS($U$3:$U$201,$M36)&gt;0,
     COUNTIFS($V$3:$V$201,$M36)&gt;0,
     COUNTIFS($W$3:$W$201,$M36)&gt;0,
     COUNTIFS($X$3:$X$201,$M36)&gt;0,
     COUNTIFS($Y$3:$Y$201,$M36)&gt;0,
     COUNTIFS($Z$3:$Z$201,$M36)&gt;0,
     COUNTIFS($AA$3:$AA$201,$M36)&gt;0,
     COUNTIFS($AB$3:$AB$201,$M36)&gt;0,
     COUNTIFS($AC$3:$AC$201,$M36)&gt;0,
     COUNTIFS($AD$3:$AD$201,$M36)&gt;0,
     COUNTIFS($AE$3:$AE$201,$M36)&gt;0,
     COUNTIFS($AF$3:$AF$201,$M36)&gt;0,
     COUNTIFS($AG$3:$AG$201,$M36)&gt;0,
     COUNTIFS($AH$3:$AH$201,$M36)&gt;0,
     COUNTIFS($AI$3:$AI$201,$M36)&gt;0,
     COUNTIFS($AJ$3:$AJ$201,$M36)&gt;0,
     COUNTIFS($AK$3:$AK$201,$M36)&gt;0,
     COUNTIFS($AL$3:$AL$201,$M36)&gt;0,
     COUNTIFS($AM$3:$AM$201,$M36)&gt;0,
     COUNTIFS($AN$3:$AN$201,$M36)&gt;0,
     COUNTIFS($AO$3:$AO$201,$M36)&gt;0,
     COUNTIFS($AP$3:$AP$201,$M36)&gt;0,
     COUNTIFS($AQ$3:$AQ$201,$M36)&gt;0,
     COUNTIFS($AR$3:$AR$201,$M36)&gt;0,
     COUNTIFS($AS$3:$AS$201,$M36)&gt;0,
     COUNTIFS($AT$3:$AT$201,$M36)&gt;0,
     COUNTIFS($AU$3:$AU$201,$M36)&gt;0,
     COUNTIFS($AV$3:$AV$201,$M36)&gt;0,
     COUNTIFS($AW$3:$AW$201,$M36)&gt;0,
     COUNTIFS($AX$3:$AX$201,$M36)&gt;0
   )),
  ),
  2
 ),
"")</f>
        <v/>
      </c>
      <c r="Q36" s="2" t="str" cm="1">
        <f t="array" aca="1" ref="Q36" ca="1">IFERROR(
 INDEX(
  _xlfn._xlws.FILTER($U$2:$AX$2,
   TRANSPOSE(
    CHOOSE({1;2;3;4;5;6;7;8;9;10;11;12;13;14;15;16;17;18;19;20;21;22;23;24;25;26;27;28;29;30},
     COUNTIFS($U$3:$U$201,$M36)&gt;0,
     COUNTIFS($V$3:$V$201,$M36)&gt;0,
     COUNTIFS($W$3:$W$201,$M36)&gt;0,
     COUNTIFS($X$3:$X$201,$M36)&gt;0,
     COUNTIFS($Y$3:$Y$201,$M36)&gt;0,
     COUNTIFS($Z$3:$Z$201,$M36)&gt;0,
     COUNTIFS($AA$3:$AA$201,$M36)&gt;0,
     COUNTIFS($AB$3:$AB$201,$M36)&gt;0,
     COUNTIFS($AC$3:$AC$201,$M36)&gt;0,
     COUNTIFS($AD$3:$AD$201,$M36)&gt;0,
     COUNTIFS($AE$3:$AE$201,$M36)&gt;0,
     COUNTIFS($AF$3:$AF$201,$M36)&gt;0,
     COUNTIFS($AG$3:$AG$201,$M36)&gt;0,
     COUNTIFS($AH$3:$AH$201,$M36)&gt;0,
     COUNTIFS($AI$3:$AI$201,$M36)&gt;0,
     COUNTIFS($AJ$3:$AJ$201,$M36)&gt;0,
     COUNTIFS($AK$3:$AK$201,$M36)&gt;0,
     COUNTIFS($AL$3:$AL$201,$M36)&gt;0,
     COUNTIFS($AM$3:$AM$201,$M36)&gt;0,
     COUNTIFS($AN$3:$AN$201,$M36)&gt;0,
     COUNTIFS($AO$3:$AO$201,$M36)&gt;0,
     COUNTIFS($AP$3:$AP$201,$M36)&gt;0,
     COUNTIFS($AQ$3:$AQ$201,$M36)&gt;0,
     COUNTIFS($AR$3:$AR$201,$M36)&gt;0,
     COUNTIFS($AS$3:$AS$201,$M36)&gt;0,
     COUNTIFS($AT$3:$AT$201,$M36)&gt;0,
     COUNTIFS($AU$3:$AU$201,$M36)&gt;0,
     COUNTIFS($AV$3:$AV$201,$M36)&gt;0,
     COUNTIFS($AW$3:$AW$201,$M36)&gt;0,
     COUNTIFS($AX$3:$AX$201,$M36)&gt;0
   )),
  ),
  3
 ),
"")</f>
        <v/>
      </c>
      <c r="CI36" t="str">
        <f ca="1"/>
        <v>Twinferno</v>
      </c>
      <c r="DO36" t="str">
        <f ca="1"/>
        <v>Panorama de Naya</v>
      </c>
      <c r="DP36" t="str">
        <f ca="1"/>
        <v>Sontaran General</v>
      </c>
      <c r="DR36" t="str">
        <f ca="1"/>
        <v>Shire Terrace</v>
      </c>
      <c r="DT36" t="str">
        <f ca="1"/>
        <v>Wizard's Retort</v>
      </c>
      <c r="EF36" t="str">
        <f ca="1"/>
        <v>Island</v>
      </c>
      <c r="EG36" t="str">
        <f ca="1"/>
        <v>Karn's Temporal Sundering</v>
      </c>
      <c r="EH36" t="str">
        <f ca="1"/>
        <v>Sarinth Greatwurm</v>
      </c>
      <c r="EI36" t="str">
        <f ca="1"/>
        <v>The Jolly Baloon Man</v>
      </c>
      <c r="EO36" t="str">
        <f ca="1"/>
        <v>Elesh Norn</v>
      </c>
      <c r="EP36" t="str">
        <f ca="1"/>
        <v>Jarad, Golgari Lich Lord</v>
      </c>
      <c r="ET36" t="str">
        <f ca="1"/>
        <v>Decanter of Endless Water</v>
      </c>
      <c r="EW36" t="str">
        <f ca="1"/>
        <v>Dawntreader Elk</v>
      </c>
    </row>
    <row r="37" spans="1:153" x14ac:dyDescent="0.25">
      <c r="A37" t="str">
        <f ca="1"/>
        <v>Authority of the Consuls</v>
      </c>
      <c r="B37" s="2" t="str" cm="1">
        <f t="array" aca="1" ref="B37" ca="1">_xlfn.ANCHORARRAY(RESUMO!C36)</f>
        <v>Carlos</v>
      </c>
      <c r="C37" s="2" t="str">
        <f t="shared" ca="1" si="0"/>
        <v/>
      </c>
      <c r="E37" t="str">
        <f ca="1"/>
        <v>Death Rattle</v>
      </c>
      <c r="F37" s="2">
        <f t="shared" ca="1" si="3"/>
        <v>1</v>
      </c>
      <c r="G37" s="2" t="str">
        <f t="shared" ca="1" si="1"/>
        <v>Yuriko</v>
      </c>
      <c r="I37" s="18"/>
      <c r="J37" t="s">
        <v>180</v>
      </c>
      <c r="K37" s="2">
        <v>1</v>
      </c>
      <c r="M37" t="str">
        <f ca="1"/>
        <v>Death Rattle</v>
      </c>
      <c r="N37" s="2">
        <f t="shared" ca="1" si="2"/>
        <v>1</v>
      </c>
      <c r="O37" s="2" t="str">
        <f ca="1">IFERROR(
 INDEX($U$2:$AX$2,
  MATCH(TRUE,
   CHOOSE({1;2;3;4;5;6;7;8;9;10;11;12;13;14;15;16;17;18;19;20;21;22;23;24;25;26;27;28;29;30;31;32},
    COUNTIFS($U$3:$U$201,$M37)&gt;0,
    COUNTIFS($V$3:$V$201,$M37)&gt;0,
    COUNTIFS($W$3:$W$201,$M37)&gt;0,
    COUNTIFS($X$3:$X$201,$M37)&gt;0,
    COUNTIFS($Y$3:$Y$201,$M37)&gt;0,
    COUNTIFS($Z$3:$Z$201,$M37)&gt;0,
    COUNTIFS($AA$3:$AA$201,$M37)&gt;0,
    COUNTIFS($AB$3:$AB$201,$M37)&gt;0,
    COUNTIFS($AC$3:$AC$201,$M37)&gt;0,
    COUNTIFS($AD$3:$AD$201,$M37)&gt;0,
    COUNTIFS($AE$3:$AE$201,$M37)&gt;0,
    COUNTIFS($AF$3:$AF$201,$M37)&gt;0,
    COUNTIFS($AG$3:$AG$201,$M37)&gt;0,
    COUNTIFS($AH$3:$AH$201,$M37)&gt;0,
    COUNTIFS($AI$3:$AI$201,$M37)&gt;0,
    COUNTIFS($AJ$3:$AJ$201,$M37)&gt;0,
    COUNTIFS($AK$3:$AK$201,$M37)&gt;0,
    COUNTIFS($AL$3:$AL$201,$M37)&gt;0,
    COUNTIFS($AM$3:$AM$201,$M37)&gt;0,
    COUNTIFS($AN$3:$AN$201,$M37)&gt;0,
    COUNTIFS($AO$3:$AO$201,$M37)&gt;0,
    COUNTIFS($AP$3:$AP$201,$M37)&gt;0,
    COUNTIFS($AQ$3:$AQ$201,$M37)&gt;0,
    COUNTIFS($AR$3:$AR$201,$M37)&gt;0,
    COUNTIFS($AS$3:$AS$201,$M37)&gt;0,
    COUNTIFS($AT$3:$AT$201,$M37)&gt;0,
    COUNTIFS($AU$3:$AU$201,$M37)&gt;0,
    COUNTIFS($AV$3:$AV$201,$M37)&gt;0,
    COUNTIFS($AW$3:$AW$201,$M37)&gt;0,
    COUNTIFS($AX$3:$AX$201,$M37)&gt;0
   ),
  0)
 ),
"")</f>
        <v>Yuriko</v>
      </c>
      <c r="P37" s="2" t="str" cm="1">
        <f t="array" aca="1" ref="P37" ca="1">IFERROR(
 INDEX(
  _xlfn._xlws.FILTER($U$2:$AX$2,
   TRANSPOSE(
    CHOOSE({1;2;3;4;5;6;7;8;9;10;11;12;13;14;15;16;17;18;19;20;21;22;23;24;25;26;27;28;29;30},
     COUNTIFS($U$3:$U$201,$M37)&gt;0,
     COUNTIFS($V$3:$V$201,$M37)&gt;0,
     COUNTIFS($W$3:$W$201,$M37)&gt;0,
     COUNTIFS($X$3:$X$201,$M37)&gt;0,
     COUNTIFS($Y$3:$Y$201,$M37)&gt;0,
     COUNTIFS($Z$3:$Z$201,$M37)&gt;0,
     COUNTIFS($AA$3:$AA$201,$M37)&gt;0,
     COUNTIFS($AB$3:$AB$201,$M37)&gt;0,
     COUNTIFS($AC$3:$AC$201,$M37)&gt;0,
     COUNTIFS($AD$3:$AD$201,$M37)&gt;0,
     COUNTIFS($AE$3:$AE$201,$M37)&gt;0,
     COUNTIFS($AF$3:$AF$201,$M37)&gt;0,
     COUNTIFS($AG$3:$AG$201,$M37)&gt;0,
     COUNTIFS($AH$3:$AH$201,$M37)&gt;0,
     COUNTIFS($AI$3:$AI$201,$M37)&gt;0,
     COUNTIFS($AJ$3:$AJ$201,$M37)&gt;0,
     COUNTIFS($AK$3:$AK$201,$M37)&gt;0,
     COUNTIFS($AL$3:$AL$201,$M37)&gt;0,
     COUNTIFS($AM$3:$AM$201,$M37)&gt;0,
     COUNTIFS($AN$3:$AN$201,$M37)&gt;0,
     COUNTIFS($AO$3:$AO$201,$M37)&gt;0,
     COUNTIFS($AP$3:$AP$201,$M37)&gt;0,
     COUNTIFS($AQ$3:$AQ$201,$M37)&gt;0,
     COUNTIFS($AR$3:$AR$201,$M37)&gt;0,
     COUNTIFS($AS$3:$AS$201,$M37)&gt;0,
     COUNTIFS($AT$3:$AT$201,$M37)&gt;0,
     COUNTIFS($AU$3:$AU$201,$M37)&gt;0,
     COUNTIFS($AV$3:$AV$201,$M37)&gt;0,
     COUNTIFS($AW$3:$AW$201,$M37)&gt;0,
     COUNTIFS($AX$3:$AX$201,$M37)&gt;0
   )),
  ),
  2
 ),
"")</f>
        <v/>
      </c>
      <c r="Q37" s="2" t="str" cm="1">
        <f t="array" aca="1" ref="Q37" ca="1">IFERROR(
 INDEX(
  _xlfn._xlws.FILTER($U$2:$AX$2,
   TRANSPOSE(
    CHOOSE({1;2;3;4;5;6;7;8;9;10;11;12;13;14;15;16;17;18;19;20;21;22;23;24;25;26;27;28;29;30},
     COUNTIFS($U$3:$U$201,$M37)&gt;0,
     COUNTIFS($V$3:$V$201,$M37)&gt;0,
     COUNTIFS($W$3:$W$201,$M37)&gt;0,
     COUNTIFS($X$3:$X$201,$M37)&gt;0,
     COUNTIFS($Y$3:$Y$201,$M37)&gt;0,
     COUNTIFS($Z$3:$Z$201,$M37)&gt;0,
     COUNTIFS($AA$3:$AA$201,$M37)&gt;0,
     COUNTIFS($AB$3:$AB$201,$M37)&gt;0,
     COUNTIFS($AC$3:$AC$201,$M37)&gt;0,
     COUNTIFS($AD$3:$AD$201,$M37)&gt;0,
     COUNTIFS($AE$3:$AE$201,$M37)&gt;0,
     COUNTIFS($AF$3:$AF$201,$M37)&gt;0,
     COUNTIFS($AG$3:$AG$201,$M37)&gt;0,
     COUNTIFS($AH$3:$AH$201,$M37)&gt;0,
     COUNTIFS($AI$3:$AI$201,$M37)&gt;0,
     COUNTIFS($AJ$3:$AJ$201,$M37)&gt;0,
     COUNTIFS($AK$3:$AK$201,$M37)&gt;0,
     COUNTIFS($AL$3:$AL$201,$M37)&gt;0,
     COUNTIFS($AM$3:$AM$201,$M37)&gt;0,
     COUNTIFS($AN$3:$AN$201,$M37)&gt;0,
     COUNTIFS($AO$3:$AO$201,$M37)&gt;0,
     COUNTIFS($AP$3:$AP$201,$M37)&gt;0,
     COUNTIFS($AQ$3:$AQ$201,$M37)&gt;0,
     COUNTIFS($AR$3:$AR$201,$M37)&gt;0,
     COUNTIFS($AS$3:$AS$201,$M37)&gt;0,
     COUNTIFS($AT$3:$AT$201,$M37)&gt;0,
     COUNTIFS($AU$3:$AU$201,$M37)&gt;0,
     COUNTIFS($AV$3:$AV$201,$M37)&gt;0,
     COUNTIFS($AW$3:$AW$201,$M37)&gt;0,
     COUNTIFS($AX$3:$AX$201,$M37)&gt;0
   )),
  ),
  3
 ),
"")</f>
        <v/>
      </c>
      <c r="DO37" t="str">
        <f ca="1"/>
        <v>Plains</v>
      </c>
      <c r="DP37" t="str">
        <f ca="1"/>
        <v>Spelunking</v>
      </c>
      <c r="DR37" t="str">
        <f ca="1"/>
        <v>Smoke Shroud</v>
      </c>
      <c r="EF37" t="str">
        <f ca="1"/>
        <v>Japaland</v>
      </c>
      <c r="EG37" t="str">
        <f ca="1"/>
        <v>Kasmina, Enigma Sage</v>
      </c>
      <c r="EH37" t="str">
        <f ca="1"/>
        <v>Savage Twister</v>
      </c>
      <c r="EI37" t="str">
        <f ca="1"/>
        <v>Walking Ballista</v>
      </c>
      <c r="EO37" t="str">
        <f ca="1"/>
        <v>Emergency Zone</v>
      </c>
      <c r="EP37" t="str">
        <f ca="1"/>
        <v>Kiora's Follower</v>
      </c>
      <c r="ET37" t="str">
        <f ca="1"/>
        <v>Deeprooot Wayfinder</v>
      </c>
      <c r="EW37" t="str">
        <f ca="1"/>
        <v>Death Rattle</v>
      </c>
    </row>
    <row r="38" spans="1:153" x14ac:dyDescent="0.25">
      <c r="A38" t="str">
        <f ca="1"/>
        <v>Avatar's Wrath</v>
      </c>
      <c r="B38" s="2" t="str" cm="1">
        <f t="array" aca="1" ref="B38" ca="1">_xlfn.ANCHORARRAY(RESUMO!C37)</f>
        <v>VialIshai</v>
      </c>
      <c r="C38" s="2" t="str">
        <f t="shared" ca="1" si="0"/>
        <v/>
      </c>
      <c r="E38" t="str">
        <f ca="1"/>
        <v>Decanter of Endless Water</v>
      </c>
      <c r="F38" s="2">
        <f t="shared" ca="1" si="3"/>
        <v>1</v>
      </c>
      <c r="G38" s="2" t="str">
        <f t="shared" ca="1" si="1"/>
        <v>Kumena</v>
      </c>
      <c r="I38" s="18"/>
      <c r="J38" t="s">
        <v>180</v>
      </c>
      <c r="K38" s="2">
        <v>1</v>
      </c>
      <c r="M38" t="str">
        <f ca="1"/>
        <v>Decanter of Endless Water</v>
      </c>
      <c r="N38" s="2">
        <f t="shared" ca="1" si="2"/>
        <v>1</v>
      </c>
      <c r="O38" s="2" t="str">
        <f ca="1">IFERROR(
 INDEX($U$2:$AX$2,
  MATCH(TRUE,
   CHOOSE({1;2;3;4;5;6;7;8;9;10;11;12;13;14;15;16;17;18;19;20;21;22;23;24;25;26;27;28;29;30;31;32},
    COUNTIFS($U$3:$U$201,$M38)&gt;0,
    COUNTIFS($V$3:$V$201,$M38)&gt;0,
    COUNTIFS($W$3:$W$201,$M38)&gt;0,
    COUNTIFS($X$3:$X$201,$M38)&gt;0,
    COUNTIFS($Y$3:$Y$201,$M38)&gt;0,
    COUNTIFS($Z$3:$Z$201,$M38)&gt;0,
    COUNTIFS($AA$3:$AA$201,$M38)&gt;0,
    COUNTIFS($AB$3:$AB$201,$M38)&gt;0,
    COUNTIFS($AC$3:$AC$201,$M38)&gt;0,
    COUNTIFS($AD$3:$AD$201,$M38)&gt;0,
    COUNTIFS($AE$3:$AE$201,$M38)&gt;0,
    COUNTIFS($AF$3:$AF$201,$M38)&gt;0,
    COUNTIFS($AG$3:$AG$201,$M38)&gt;0,
    COUNTIFS($AH$3:$AH$201,$M38)&gt;0,
    COUNTIFS($AI$3:$AI$201,$M38)&gt;0,
    COUNTIFS($AJ$3:$AJ$201,$M38)&gt;0,
    COUNTIFS($AK$3:$AK$201,$M38)&gt;0,
    COUNTIFS($AL$3:$AL$201,$M38)&gt;0,
    COUNTIFS($AM$3:$AM$201,$M38)&gt;0,
    COUNTIFS($AN$3:$AN$201,$M38)&gt;0,
    COUNTIFS($AO$3:$AO$201,$M38)&gt;0,
    COUNTIFS($AP$3:$AP$201,$M38)&gt;0,
    COUNTIFS($AQ$3:$AQ$201,$M38)&gt;0,
    COUNTIFS($AR$3:$AR$201,$M38)&gt;0,
    COUNTIFS($AS$3:$AS$201,$M38)&gt;0,
    COUNTIFS($AT$3:$AT$201,$M38)&gt;0,
    COUNTIFS($AU$3:$AU$201,$M38)&gt;0,
    COUNTIFS($AV$3:$AV$201,$M38)&gt;0,
    COUNTIFS($AW$3:$AW$201,$M38)&gt;0,
    COUNTIFS($AX$3:$AX$201,$M38)&gt;0
   ),
  0)
 ),
"")</f>
        <v>Kumena</v>
      </c>
      <c r="P38" s="2" t="str" cm="1">
        <f t="array" aca="1" ref="P38" ca="1">IFERROR(
 INDEX(
  _xlfn._xlws.FILTER($U$2:$AX$2,
   TRANSPOSE(
    CHOOSE({1;2;3;4;5;6;7;8;9;10;11;12;13;14;15;16;17;18;19;20;21;22;23;24;25;26;27;28;29;30},
     COUNTIFS($U$3:$U$201,$M38)&gt;0,
     COUNTIFS($V$3:$V$201,$M38)&gt;0,
     COUNTIFS($W$3:$W$201,$M38)&gt;0,
     COUNTIFS($X$3:$X$201,$M38)&gt;0,
     COUNTIFS($Y$3:$Y$201,$M38)&gt;0,
     COUNTIFS($Z$3:$Z$201,$M38)&gt;0,
     COUNTIFS($AA$3:$AA$201,$M38)&gt;0,
     COUNTIFS($AB$3:$AB$201,$M38)&gt;0,
     COUNTIFS($AC$3:$AC$201,$M38)&gt;0,
     COUNTIFS($AD$3:$AD$201,$M38)&gt;0,
     COUNTIFS($AE$3:$AE$201,$M38)&gt;0,
     COUNTIFS($AF$3:$AF$201,$M38)&gt;0,
     COUNTIFS($AG$3:$AG$201,$M38)&gt;0,
     COUNTIFS($AH$3:$AH$201,$M38)&gt;0,
     COUNTIFS($AI$3:$AI$201,$M38)&gt;0,
     COUNTIFS($AJ$3:$AJ$201,$M38)&gt;0,
     COUNTIFS($AK$3:$AK$201,$M38)&gt;0,
     COUNTIFS($AL$3:$AL$201,$M38)&gt;0,
     COUNTIFS($AM$3:$AM$201,$M38)&gt;0,
     COUNTIFS($AN$3:$AN$201,$M38)&gt;0,
     COUNTIFS($AO$3:$AO$201,$M38)&gt;0,
     COUNTIFS($AP$3:$AP$201,$M38)&gt;0,
     COUNTIFS($AQ$3:$AQ$201,$M38)&gt;0,
     COUNTIFS($AR$3:$AR$201,$M38)&gt;0,
     COUNTIFS($AS$3:$AS$201,$M38)&gt;0,
     COUNTIFS($AT$3:$AT$201,$M38)&gt;0,
     COUNTIFS($AU$3:$AU$201,$M38)&gt;0,
     COUNTIFS($AV$3:$AV$201,$M38)&gt;0,
     COUNTIFS($AW$3:$AW$201,$M38)&gt;0,
     COUNTIFS($AX$3:$AX$201,$M38)&gt;0
   )),
  ),
  2
 ),
"")</f>
        <v/>
      </c>
      <c r="Q38" s="2" t="str" cm="1">
        <f t="array" aca="1" ref="Q38" ca="1">IFERROR(
 INDEX(
  _xlfn._xlws.FILTER($U$2:$AX$2,
   TRANSPOSE(
    CHOOSE({1;2;3;4;5;6;7;8;9;10;11;12;13;14;15;16;17;18;19;20;21;22;23;24;25;26;27;28;29;30},
     COUNTIFS($U$3:$U$201,$M38)&gt;0,
     COUNTIFS($V$3:$V$201,$M38)&gt;0,
     COUNTIFS($W$3:$W$201,$M38)&gt;0,
     COUNTIFS($X$3:$X$201,$M38)&gt;0,
     COUNTIFS($Y$3:$Y$201,$M38)&gt;0,
     COUNTIFS($Z$3:$Z$201,$M38)&gt;0,
     COUNTIFS($AA$3:$AA$201,$M38)&gt;0,
     COUNTIFS($AB$3:$AB$201,$M38)&gt;0,
     COUNTIFS($AC$3:$AC$201,$M38)&gt;0,
     COUNTIFS($AD$3:$AD$201,$M38)&gt;0,
     COUNTIFS($AE$3:$AE$201,$M38)&gt;0,
     COUNTIFS($AF$3:$AF$201,$M38)&gt;0,
     COUNTIFS($AG$3:$AG$201,$M38)&gt;0,
     COUNTIFS($AH$3:$AH$201,$M38)&gt;0,
     COUNTIFS($AI$3:$AI$201,$M38)&gt;0,
     COUNTIFS($AJ$3:$AJ$201,$M38)&gt;0,
     COUNTIFS($AK$3:$AK$201,$M38)&gt;0,
     COUNTIFS($AL$3:$AL$201,$M38)&gt;0,
     COUNTIFS($AM$3:$AM$201,$M38)&gt;0,
     COUNTIFS($AN$3:$AN$201,$M38)&gt;0,
     COUNTIFS($AO$3:$AO$201,$M38)&gt;0,
     COUNTIFS($AP$3:$AP$201,$M38)&gt;0,
     COUNTIFS($AQ$3:$AQ$201,$M38)&gt;0,
     COUNTIFS($AR$3:$AR$201,$M38)&gt;0,
     COUNTIFS($AS$3:$AS$201,$M38)&gt;0,
     COUNTIFS($AT$3:$AT$201,$M38)&gt;0,
     COUNTIFS($AU$3:$AU$201,$M38)&gt;0,
     COUNTIFS($AV$3:$AV$201,$M38)&gt;0,
     COUNTIFS($AW$3:$AW$201,$M38)&gt;0,
     COUNTIFS($AX$3:$AX$201,$M38)&gt;0
   )),
  ),
  3
 ),
"")</f>
        <v/>
      </c>
      <c r="DO38" t="str">
        <f ca="1"/>
        <v>Presence of Gond</v>
      </c>
      <c r="DP38" t="str">
        <f ca="1"/>
        <v>The Hunger Tide Rises</v>
      </c>
      <c r="DR38" t="str">
        <f ca="1"/>
        <v>Supreme Verdict</v>
      </c>
      <c r="EF38" t="str">
        <f ca="1"/>
        <v>Jeskai Ascendancy</v>
      </c>
      <c r="EG38" t="str">
        <f ca="1"/>
        <v>Kederekt Leviathan</v>
      </c>
      <c r="EH38" t="str">
        <f ca="1"/>
        <v>Shire Terrace</v>
      </c>
      <c r="EI38" t="e">
        <f ca="1"/>
        <v>#REF!</v>
      </c>
      <c r="EO38" t="str">
        <f ca="1"/>
        <v>Eternal Witness</v>
      </c>
      <c r="EP38" t="str">
        <f ca="1"/>
        <v>Lotho, Corrupt Shirriff</v>
      </c>
      <c r="ET38" t="str">
        <f ca="1"/>
        <v>Deep-Sea Kraken</v>
      </c>
      <c r="EW38" t="str">
        <f ca="1"/>
        <v>Decanter of Endless Water</v>
      </c>
    </row>
    <row r="39" spans="1:153" x14ac:dyDescent="0.25">
      <c r="A39" t="str">
        <f ca="1"/>
        <v>Ba Sing Se</v>
      </c>
      <c r="B39" s="2" t="str" cm="1">
        <f t="array" aca="1" ref="B39" ca="1">_xlfn.ANCHORARRAY(RESUMO!C38)</f>
        <v>Tayam</v>
      </c>
      <c r="C39" s="2" t="str">
        <f t="shared" ca="1" si="0"/>
        <v/>
      </c>
      <c r="E39" t="str">
        <f ca="1"/>
        <v>Deeprooot Wayfinder</v>
      </c>
      <c r="F39" s="2">
        <f t="shared" ca="1" si="3"/>
        <v>1</v>
      </c>
      <c r="G39" s="2" t="str">
        <f t="shared" ca="1" si="1"/>
        <v>Kumena</v>
      </c>
      <c r="I39" s="18"/>
      <c r="J39" t="s">
        <v>180</v>
      </c>
      <c r="K39" s="2">
        <v>1</v>
      </c>
      <c r="M39" t="str">
        <f ca="1"/>
        <v>Deeprooot Wayfinder</v>
      </c>
      <c r="N39" s="2">
        <f t="shared" ca="1" si="2"/>
        <v>1</v>
      </c>
      <c r="O39" s="2" t="str">
        <f ca="1">IFERROR(
 INDEX($U$2:$AX$2,
  MATCH(TRUE,
   CHOOSE({1;2;3;4;5;6;7;8;9;10;11;12;13;14;15;16;17;18;19;20;21;22;23;24;25;26;27;28;29;30;31;32},
    COUNTIFS($U$3:$U$201,$M39)&gt;0,
    COUNTIFS($V$3:$V$201,$M39)&gt;0,
    COUNTIFS($W$3:$W$201,$M39)&gt;0,
    COUNTIFS($X$3:$X$201,$M39)&gt;0,
    COUNTIFS($Y$3:$Y$201,$M39)&gt;0,
    COUNTIFS($Z$3:$Z$201,$M39)&gt;0,
    COUNTIFS($AA$3:$AA$201,$M39)&gt;0,
    COUNTIFS($AB$3:$AB$201,$M39)&gt;0,
    COUNTIFS($AC$3:$AC$201,$M39)&gt;0,
    COUNTIFS($AD$3:$AD$201,$M39)&gt;0,
    COUNTIFS($AE$3:$AE$201,$M39)&gt;0,
    COUNTIFS($AF$3:$AF$201,$M39)&gt;0,
    COUNTIFS($AG$3:$AG$201,$M39)&gt;0,
    COUNTIFS($AH$3:$AH$201,$M39)&gt;0,
    COUNTIFS($AI$3:$AI$201,$M39)&gt;0,
    COUNTIFS($AJ$3:$AJ$201,$M39)&gt;0,
    COUNTIFS($AK$3:$AK$201,$M39)&gt;0,
    COUNTIFS($AL$3:$AL$201,$M39)&gt;0,
    COUNTIFS($AM$3:$AM$201,$M39)&gt;0,
    COUNTIFS($AN$3:$AN$201,$M39)&gt;0,
    COUNTIFS($AO$3:$AO$201,$M39)&gt;0,
    COUNTIFS($AP$3:$AP$201,$M39)&gt;0,
    COUNTIFS($AQ$3:$AQ$201,$M39)&gt;0,
    COUNTIFS($AR$3:$AR$201,$M39)&gt;0,
    COUNTIFS($AS$3:$AS$201,$M39)&gt;0,
    COUNTIFS($AT$3:$AT$201,$M39)&gt;0,
    COUNTIFS($AU$3:$AU$201,$M39)&gt;0,
    COUNTIFS($AV$3:$AV$201,$M39)&gt;0,
    COUNTIFS($AW$3:$AW$201,$M39)&gt;0,
    COUNTIFS($AX$3:$AX$201,$M39)&gt;0
   ),
  0)
 ),
"")</f>
        <v>Kumena</v>
      </c>
      <c r="P39" s="2" t="str" cm="1">
        <f t="array" aca="1" ref="P39" ca="1">IFERROR(
 INDEX(
  _xlfn._xlws.FILTER($U$2:$AX$2,
   TRANSPOSE(
    CHOOSE({1;2;3;4;5;6;7;8;9;10;11;12;13;14;15;16;17;18;19;20;21;22;23;24;25;26;27;28;29;30},
     COUNTIFS($U$3:$U$201,$M39)&gt;0,
     COUNTIFS($V$3:$V$201,$M39)&gt;0,
     COUNTIFS($W$3:$W$201,$M39)&gt;0,
     COUNTIFS($X$3:$X$201,$M39)&gt;0,
     COUNTIFS($Y$3:$Y$201,$M39)&gt;0,
     COUNTIFS($Z$3:$Z$201,$M39)&gt;0,
     COUNTIFS($AA$3:$AA$201,$M39)&gt;0,
     COUNTIFS($AB$3:$AB$201,$M39)&gt;0,
     COUNTIFS($AC$3:$AC$201,$M39)&gt;0,
     COUNTIFS($AD$3:$AD$201,$M39)&gt;0,
     COUNTIFS($AE$3:$AE$201,$M39)&gt;0,
     COUNTIFS($AF$3:$AF$201,$M39)&gt;0,
     COUNTIFS($AG$3:$AG$201,$M39)&gt;0,
     COUNTIFS($AH$3:$AH$201,$M39)&gt;0,
     COUNTIFS($AI$3:$AI$201,$M39)&gt;0,
     COUNTIFS($AJ$3:$AJ$201,$M39)&gt;0,
     COUNTIFS($AK$3:$AK$201,$M39)&gt;0,
     COUNTIFS($AL$3:$AL$201,$M39)&gt;0,
     COUNTIFS($AM$3:$AM$201,$M39)&gt;0,
     COUNTIFS($AN$3:$AN$201,$M39)&gt;0,
     COUNTIFS($AO$3:$AO$201,$M39)&gt;0,
     COUNTIFS($AP$3:$AP$201,$M39)&gt;0,
     COUNTIFS($AQ$3:$AQ$201,$M39)&gt;0,
     COUNTIFS($AR$3:$AR$201,$M39)&gt;0,
     COUNTIFS($AS$3:$AS$201,$M39)&gt;0,
     COUNTIFS($AT$3:$AT$201,$M39)&gt;0,
     COUNTIFS($AU$3:$AU$201,$M39)&gt;0,
     COUNTIFS($AV$3:$AV$201,$M39)&gt;0,
     COUNTIFS($AW$3:$AW$201,$M39)&gt;0,
     COUNTIFS($AX$3:$AX$201,$M39)&gt;0
   )),
  ),
  2
 ),
"")</f>
        <v/>
      </c>
      <c r="Q39" s="2" t="str" cm="1">
        <f t="array" aca="1" ref="Q39" ca="1">IFERROR(
 INDEX(
  _xlfn._xlws.FILTER($U$2:$AX$2,
   TRANSPOSE(
    CHOOSE({1;2;3;4;5;6;7;8;9;10;11;12;13;14;15;16;17;18;19;20;21;22;23;24;25;26;27;28;29;30},
     COUNTIFS($U$3:$U$201,$M39)&gt;0,
     COUNTIFS($V$3:$V$201,$M39)&gt;0,
     COUNTIFS($W$3:$W$201,$M39)&gt;0,
     COUNTIFS($X$3:$X$201,$M39)&gt;0,
     COUNTIFS($Y$3:$Y$201,$M39)&gt;0,
     COUNTIFS($Z$3:$Z$201,$M39)&gt;0,
     COUNTIFS($AA$3:$AA$201,$M39)&gt;0,
     COUNTIFS($AB$3:$AB$201,$M39)&gt;0,
     COUNTIFS($AC$3:$AC$201,$M39)&gt;0,
     COUNTIFS($AD$3:$AD$201,$M39)&gt;0,
     COUNTIFS($AE$3:$AE$201,$M39)&gt;0,
     COUNTIFS($AF$3:$AF$201,$M39)&gt;0,
     COUNTIFS($AG$3:$AG$201,$M39)&gt;0,
     COUNTIFS($AH$3:$AH$201,$M39)&gt;0,
     COUNTIFS($AI$3:$AI$201,$M39)&gt;0,
     COUNTIFS($AJ$3:$AJ$201,$M39)&gt;0,
     COUNTIFS($AK$3:$AK$201,$M39)&gt;0,
     COUNTIFS($AL$3:$AL$201,$M39)&gt;0,
     COUNTIFS($AM$3:$AM$201,$M39)&gt;0,
     COUNTIFS($AN$3:$AN$201,$M39)&gt;0,
     COUNTIFS($AO$3:$AO$201,$M39)&gt;0,
     COUNTIFS($AP$3:$AP$201,$M39)&gt;0,
     COUNTIFS($AQ$3:$AQ$201,$M39)&gt;0,
     COUNTIFS($AR$3:$AR$201,$M39)&gt;0,
     COUNTIFS($AS$3:$AS$201,$M39)&gt;0,
     COUNTIFS($AT$3:$AT$201,$M39)&gt;0,
     COUNTIFS($AU$3:$AU$201,$M39)&gt;0,
     COUNTIFS($AV$3:$AV$201,$M39)&gt;0,
     COUNTIFS($AW$3:$AW$201,$M39)&gt;0,
     COUNTIFS($AX$3:$AX$201,$M39)&gt;0
   )),
  ),
  3
 ),
"")</f>
        <v/>
      </c>
      <c r="DO39" t="str">
        <f ca="1"/>
        <v>Prosperous Innkeeper</v>
      </c>
      <c r="DP39" t="str">
        <f ca="1"/>
        <v>Thieving Skydiver</v>
      </c>
      <c r="DR39" t="str">
        <f ca="1"/>
        <v>Swamp</v>
      </c>
      <c r="EF39" t="str">
        <f ca="1"/>
        <v>Jolrael, Mwonvuli Recluse</v>
      </c>
      <c r="EG39" t="str">
        <f ca="1"/>
        <v>Kusari-Gama</v>
      </c>
      <c r="EH39" t="str">
        <f ca="1"/>
        <v>Sisay's Ring</v>
      </c>
      <c r="EO39" t="str">
        <f ca="1"/>
        <v>Evolving Wilds</v>
      </c>
      <c r="EP39" t="str">
        <f ca="1"/>
        <v>Mage Slayer</v>
      </c>
      <c r="ET39" t="str">
        <f ca="1"/>
        <v>Detective's Satchel</v>
      </c>
      <c r="EW39" t="str">
        <f ca="1"/>
        <v>Deeprooot Wayfinder</v>
      </c>
    </row>
    <row r="40" spans="1:153" x14ac:dyDescent="0.25">
      <c r="A40" t="str">
        <f ca="1"/>
        <v>Back in Town</v>
      </c>
      <c r="B40" s="2" t="str" cm="1">
        <f t="array" aca="1" ref="B40" ca="1">_xlfn.ANCHORARRAY(RESUMO!C39)</f>
        <v>Piratas</v>
      </c>
      <c r="C40" s="2" t="str">
        <f t="shared" ca="1" si="0"/>
        <v/>
      </c>
      <c r="E40" t="str">
        <f ca="1"/>
        <v>Deep-Sea Kraken</v>
      </c>
      <c r="F40" s="2">
        <f t="shared" ca="1" si="3"/>
        <v>1</v>
      </c>
      <c r="G40" s="2" t="str">
        <f t="shared" ca="1" si="1"/>
        <v>JhoiraB</v>
      </c>
      <c r="I40" s="18"/>
      <c r="J40" t="s">
        <v>180</v>
      </c>
      <c r="K40" s="2">
        <v>1</v>
      </c>
      <c r="M40" t="str">
        <f ca="1"/>
        <v>Deep-Sea Kraken</v>
      </c>
      <c r="N40" s="2">
        <f t="shared" ca="1" si="2"/>
        <v>1</v>
      </c>
      <c r="O40" s="2" t="str">
        <f ca="1">IFERROR(
 INDEX($U$2:$AX$2,
  MATCH(TRUE,
   CHOOSE({1;2;3;4;5;6;7;8;9;10;11;12;13;14;15;16;17;18;19;20;21;22;23;24;25;26;27;28;29;30;31;32},
    COUNTIFS($U$3:$U$201,$M40)&gt;0,
    COUNTIFS($V$3:$V$201,$M40)&gt;0,
    COUNTIFS($W$3:$W$201,$M40)&gt;0,
    COUNTIFS($X$3:$X$201,$M40)&gt;0,
    COUNTIFS($Y$3:$Y$201,$M40)&gt;0,
    COUNTIFS($Z$3:$Z$201,$M40)&gt;0,
    COUNTIFS($AA$3:$AA$201,$M40)&gt;0,
    COUNTIFS($AB$3:$AB$201,$M40)&gt;0,
    COUNTIFS($AC$3:$AC$201,$M40)&gt;0,
    COUNTIFS($AD$3:$AD$201,$M40)&gt;0,
    COUNTIFS($AE$3:$AE$201,$M40)&gt;0,
    COUNTIFS($AF$3:$AF$201,$M40)&gt;0,
    COUNTIFS($AG$3:$AG$201,$M40)&gt;0,
    COUNTIFS($AH$3:$AH$201,$M40)&gt;0,
    COUNTIFS($AI$3:$AI$201,$M40)&gt;0,
    COUNTIFS($AJ$3:$AJ$201,$M40)&gt;0,
    COUNTIFS($AK$3:$AK$201,$M40)&gt;0,
    COUNTIFS($AL$3:$AL$201,$M40)&gt;0,
    COUNTIFS($AM$3:$AM$201,$M40)&gt;0,
    COUNTIFS($AN$3:$AN$201,$M40)&gt;0,
    COUNTIFS($AO$3:$AO$201,$M40)&gt;0,
    COUNTIFS($AP$3:$AP$201,$M40)&gt;0,
    COUNTIFS($AQ$3:$AQ$201,$M40)&gt;0,
    COUNTIFS($AR$3:$AR$201,$M40)&gt;0,
    COUNTIFS($AS$3:$AS$201,$M40)&gt;0,
    COUNTIFS($AT$3:$AT$201,$M40)&gt;0,
    COUNTIFS($AU$3:$AU$201,$M40)&gt;0,
    COUNTIFS($AV$3:$AV$201,$M40)&gt;0,
    COUNTIFS($AW$3:$AW$201,$M40)&gt;0,
    COUNTIFS($AX$3:$AX$201,$M40)&gt;0
   ),
  0)
 ),
"")</f>
        <v>JhoiraB</v>
      </c>
      <c r="P40" s="2" t="str" cm="1">
        <f t="array" aca="1" ref="P40" ca="1">IFERROR(
 INDEX(
  _xlfn._xlws.FILTER($U$2:$AX$2,
   TRANSPOSE(
    CHOOSE({1;2;3;4;5;6;7;8;9;10;11;12;13;14;15;16;17;18;19;20;21;22;23;24;25;26;27;28;29;30},
     COUNTIFS($U$3:$U$201,$M40)&gt;0,
     COUNTIFS($V$3:$V$201,$M40)&gt;0,
     COUNTIFS($W$3:$W$201,$M40)&gt;0,
     COUNTIFS($X$3:$X$201,$M40)&gt;0,
     COUNTIFS($Y$3:$Y$201,$M40)&gt;0,
     COUNTIFS($Z$3:$Z$201,$M40)&gt;0,
     COUNTIFS($AA$3:$AA$201,$M40)&gt;0,
     COUNTIFS($AB$3:$AB$201,$M40)&gt;0,
     COUNTIFS($AC$3:$AC$201,$M40)&gt;0,
     COUNTIFS($AD$3:$AD$201,$M40)&gt;0,
     COUNTIFS($AE$3:$AE$201,$M40)&gt;0,
     COUNTIFS($AF$3:$AF$201,$M40)&gt;0,
     COUNTIFS($AG$3:$AG$201,$M40)&gt;0,
     COUNTIFS($AH$3:$AH$201,$M40)&gt;0,
     COUNTIFS($AI$3:$AI$201,$M40)&gt;0,
     COUNTIFS($AJ$3:$AJ$201,$M40)&gt;0,
     COUNTIFS($AK$3:$AK$201,$M40)&gt;0,
     COUNTIFS($AL$3:$AL$201,$M40)&gt;0,
     COUNTIFS($AM$3:$AM$201,$M40)&gt;0,
     COUNTIFS($AN$3:$AN$201,$M40)&gt;0,
     COUNTIFS($AO$3:$AO$201,$M40)&gt;0,
     COUNTIFS($AP$3:$AP$201,$M40)&gt;0,
     COUNTIFS($AQ$3:$AQ$201,$M40)&gt;0,
     COUNTIFS($AR$3:$AR$201,$M40)&gt;0,
     COUNTIFS($AS$3:$AS$201,$M40)&gt;0,
     COUNTIFS($AT$3:$AT$201,$M40)&gt;0,
     COUNTIFS($AU$3:$AU$201,$M40)&gt;0,
     COUNTIFS($AV$3:$AV$201,$M40)&gt;0,
     COUNTIFS($AW$3:$AW$201,$M40)&gt;0,
     COUNTIFS($AX$3:$AX$201,$M40)&gt;0
   )),
  ),
  2
 ),
"")</f>
        <v/>
      </c>
      <c r="Q40" s="2" t="str" cm="1">
        <f t="array" aca="1" ref="Q40" ca="1">IFERROR(
 INDEX(
  _xlfn._xlws.FILTER($U$2:$AX$2,
   TRANSPOSE(
    CHOOSE({1;2;3;4;5;6;7;8;9;10;11;12;13;14;15;16;17;18;19;20;21;22;23;24;25;26;27;28;29;30},
     COUNTIFS($U$3:$U$201,$M40)&gt;0,
     COUNTIFS($V$3:$V$201,$M40)&gt;0,
     COUNTIFS($W$3:$W$201,$M40)&gt;0,
     COUNTIFS($X$3:$X$201,$M40)&gt;0,
     COUNTIFS($Y$3:$Y$201,$M40)&gt;0,
     COUNTIFS($Z$3:$Z$201,$M40)&gt;0,
     COUNTIFS($AA$3:$AA$201,$M40)&gt;0,
     COUNTIFS($AB$3:$AB$201,$M40)&gt;0,
     COUNTIFS($AC$3:$AC$201,$M40)&gt;0,
     COUNTIFS($AD$3:$AD$201,$M40)&gt;0,
     COUNTIFS($AE$3:$AE$201,$M40)&gt;0,
     COUNTIFS($AF$3:$AF$201,$M40)&gt;0,
     COUNTIFS($AG$3:$AG$201,$M40)&gt;0,
     COUNTIFS($AH$3:$AH$201,$M40)&gt;0,
     COUNTIFS($AI$3:$AI$201,$M40)&gt;0,
     COUNTIFS($AJ$3:$AJ$201,$M40)&gt;0,
     COUNTIFS($AK$3:$AK$201,$M40)&gt;0,
     COUNTIFS($AL$3:$AL$201,$M40)&gt;0,
     COUNTIFS($AM$3:$AM$201,$M40)&gt;0,
     COUNTIFS($AN$3:$AN$201,$M40)&gt;0,
     COUNTIFS($AO$3:$AO$201,$M40)&gt;0,
     COUNTIFS($AP$3:$AP$201,$M40)&gt;0,
     COUNTIFS($AQ$3:$AQ$201,$M40)&gt;0,
     COUNTIFS($AR$3:$AR$201,$M40)&gt;0,
     COUNTIFS($AS$3:$AS$201,$M40)&gt;0,
     COUNTIFS($AT$3:$AT$201,$M40)&gt;0,
     COUNTIFS($AU$3:$AU$201,$M40)&gt;0,
     COUNTIFS($AV$3:$AV$201,$M40)&gt;0,
     COUNTIFS($AW$3:$AW$201,$M40)&gt;0,
     COUNTIFS($AX$3:$AX$201,$M40)&gt;0
   )),
  ),
  3
 ),
"")</f>
        <v/>
      </c>
      <c r="DO40" t="str">
        <f ca="1"/>
        <v>Realmbreaker, the Invasion Tree</v>
      </c>
      <c r="DP40" t="str">
        <f ca="1"/>
        <v>Vale Afundado</v>
      </c>
      <c r="DR40" t="str">
        <f ca="1"/>
        <v>The Eldest Reborn</v>
      </c>
      <c r="EF40" t="str">
        <f ca="1"/>
        <v>Kayla's Command</v>
      </c>
      <c r="EG40" t="str">
        <f ca="1"/>
        <v>Life Insurance</v>
      </c>
      <c r="EH40" t="str">
        <f ca="1"/>
        <v>Soul's Majesty</v>
      </c>
      <c r="EO40" t="str">
        <f ca="1"/>
        <v>Exclusion Mage</v>
      </c>
      <c r="EP40" t="str">
        <f ca="1"/>
        <v>Metallic Rebuke</v>
      </c>
      <c r="ET40" t="str">
        <f ca="1"/>
        <v>Digsite Engineer</v>
      </c>
      <c r="EW40" t="str">
        <f ca="1"/>
        <v>Deep-Sea Kraken</v>
      </c>
    </row>
    <row r="41" spans="1:153" x14ac:dyDescent="0.25">
      <c r="A41" t="str">
        <f ca="1"/>
        <v>Baral, Chief of Compliance</v>
      </c>
      <c r="B41" s="2" t="str" cm="1">
        <f t="array" aca="1" ref="B41" ca="1">_xlfn.ANCHORARRAY(RESUMO!C40)</f>
        <v>Rielle</v>
      </c>
      <c r="C41" s="2" t="str">
        <f t="shared" ca="1" si="0"/>
        <v/>
      </c>
      <c r="E41" t="str">
        <f ca="1"/>
        <v>Detective's Satchel</v>
      </c>
      <c r="F41" s="2">
        <f t="shared" ca="1" si="3"/>
        <v>1</v>
      </c>
      <c r="G41" s="2" t="str">
        <f t="shared" ca="1" si="1"/>
        <v>Breya</v>
      </c>
      <c r="I41" s="18"/>
      <c r="J41" t="s">
        <v>180</v>
      </c>
      <c r="K41" s="2">
        <v>1</v>
      </c>
      <c r="M41" t="str">
        <f ca="1"/>
        <v>Detective's Satchel</v>
      </c>
      <c r="N41" s="2">
        <f t="shared" ca="1" si="2"/>
        <v>1</v>
      </c>
      <c r="O41" s="2" t="str">
        <f ca="1">IFERROR(
 INDEX($U$2:$AX$2,
  MATCH(TRUE,
   CHOOSE({1;2;3;4;5;6;7;8;9;10;11;12;13;14;15;16;17;18;19;20;21;22;23;24;25;26;27;28;29;30;31;32},
    COUNTIFS($U$3:$U$201,$M41)&gt;0,
    COUNTIFS($V$3:$V$201,$M41)&gt;0,
    COUNTIFS($W$3:$W$201,$M41)&gt;0,
    COUNTIFS($X$3:$X$201,$M41)&gt;0,
    COUNTIFS($Y$3:$Y$201,$M41)&gt;0,
    COUNTIFS($Z$3:$Z$201,$M41)&gt;0,
    COUNTIFS($AA$3:$AA$201,$M41)&gt;0,
    COUNTIFS($AB$3:$AB$201,$M41)&gt;0,
    COUNTIFS($AC$3:$AC$201,$M41)&gt;0,
    COUNTIFS($AD$3:$AD$201,$M41)&gt;0,
    COUNTIFS($AE$3:$AE$201,$M41)&gt;0,
    COUNTIFS($AF$3:$AF$201,$M41)&gt;0,
    COUNTIFS($AG$3:$AG$201,$M41)&gt;0,
    COUNTIFS($AH$3:$AH$201,$M41)&gt;0,
    COUNTIFS($AI$3:$AI$201,$M41)&gt;0,
    COUNTIFS($AJ$3:$AJ$201,$M41)&gt;0,
    COUNTIFS($AK$3:$AK$201,$M41)&gt;0,
    COUNTIFS($AL$3:$AL$201,$M41)&gt;0,
    COUNTIFS($AM$3:$AM$201,$M41)&gt;0,
    COUNTIFS($AN$3:$AN$201,$M41)&gt;0,
    COUNTIFS($AO$3:$AO$201,$M41)&gt;0,
    COUNTIFS($AP$3:$AP$201,$M41)&gt;0,
    COUNTIFS($AQ$3:$AQ$201,$M41)&gt;0,
    COUNTIFS($AR$3:$AR$201,$M41)&gt;0,
    COUNTIFS($AS$3:$AS$201,$M41)&gt;0,
    COUNTIFS($AT$3:$AT$201,$M41)&gt;0,
    COUNTIFS($AU$3:$AU$201,$M41)&gt;0,
    COUNTIFS($AV$3:$AV$201,$M41)&gt;0,
    COUNTIFS($AW$3:$AW$201,$M41)&gt;0,
    COUNTIFS($AX$3:$AX$201,$M41)&gt;0
   ),
  0)
 ),
"")</f>
        <v>Breya</v>
      </c>
      <c r="P41" s="2" t="str" cm="1">
        <f t="array" aca="1" ref="P41" ca="1">IFERROR(
 INDEX(
  _xlfn._xlws.FILTER($U$2:$AX$2,
   TRANSPOSE(
    CHOOSE({1;2;3;4;5;6;7;8;9;10;11;12;13;14;15;16;17;18;19;20;21;22;23;24;25;26;27;28;29;30},
     COUNTIFS($U$3:$U$201,$M41)&gt;0,
     COUNTIFS($V$3:$V$201,$M41)&gt;0,
     COUNTIFS($W$3:$W$201,$M41)&gt;0,
     COUNTIFS($X$3:$X$201,$M41)&gt;0,
     COUNTIFS($Y$3:$Y$201,$M41)&gt;0,
     COUNTIFS($Z$3:$Z$201,$M41)&gt;0,
     COUNTIFS($AA$3:$AA$201,$M41)&gt;0,
     COUNTIFS($AB$3:$AB$201,$M41)&gt;0,
     COUNTIFS($AC$3:$AC$201,$M41)&gt;0,
     COUNTIFS($AD$3:$AD$201,$M41)&gt;0,
     COUNTIFS($AE$3:$AE$201,$M41)&gt;0,
     COUNTIFS($AF$3:$AF$201,$M41)&gt;0,
     COUNTIFS($AG$3:$AG$201,$M41)&gt;0,
     COUNTIFS($AH$3:$AH$201,$M41)&gt;0,
     COUNTIFS($AI$3:$AI$201,$M41)&gt;0,
     COUNTIFS($AJ$3:$AJ$201,$M41)&gt;0,
     COUNTIFS($AK$3:$AK$201,$M41)&gt;0,
     COUNTIFS($AL$3:$AL$201,$M41)&gt;0,
     COUNTIFS($AM$3:$AM$201,$M41)&gt;0,
     COUNTIFS($AN$3:$AN$201,$M41)&gt;0,
     COUNTIFS($AO$3:$AO$201,$M41)&gt;0,
     COUNTIFS($AP$3:$AP$201,$M41)&gt;0,
     COUNTIFS($AQ$3:$AQ$201,$M41)&gt;0,
     COUNTIFS($AR$3:$AR$201,$M41)&gt;0,
     COUNTIFS($AS$3:$AS$201,$M41)&gt;0,
     COUNTIFS($AT$3:$AT$201,$M41)&gt;0,
     COUNTIFS($AU$3:$AU$201,$M41)&gt;0,
     COUNTIFS($AV$3:$AV$201,$M41)&gt;0,
     COUNTIFS($AW$3:$AW$201,$M41)&gt;0,
     COUNTIFS($AX$3:$AX$201,$M41)&gt;0
   )),
  ),
  2
 ),
"")</f>
        <v/>
      </c>
      <c r="Q41" s="2" t="str" cm="1">
        <f t="array" aca="1" ref="Q41" ca="1">IFERROR(
 INDEX(
  _xlfn._xlws.FILTER($U$2:$AX$2,
   TRANSPOSE(
    CHOOSE({1;2;3;4;5;6;7;8;9;10;11;12;13;14;15;16;17;18;19;20;21;22;23;24;25;26;27;28;29;30},
     COUNTIFS($U$3:$U$201,$M41)&gt;0,
     COUNTIFS($V$3:$V$201,$M41)&gt;0,
     COUNTIFS($W$3:$W$201,$M41)&gt;0,
     COUNTIFS($X$3:$X$201,$M41)&gt;0,
     COUNTIFS($Y$3:$Y$201,$M41)&gt;0,
     COUNTIFS($Z$3:$Z$201,$M41)&gt;0,
     COUNTIFS($AA$3:$AA$201,$M41)&gt;0,
     COUNTIFS($AB$3:$AB$201,$M41)&gt;0,
     COUNTIFS($AC$3:$AC$201,$M41)&gt;0,
     COUNTIFS($AD$3:$AD$201,$M41)&gt;0,
     COUNTIFS($AE$3:$AE$201,$M41)&gt;0,
     COUNTIFS($AF$3:$AF$201,$M41)&gt;0,
     COUNTIFS($AG$3:$AG$201,$M41)&gt;0,
     COUNTIFS($AH$3:$AH$201,$M41)&gt;0,
     COUNTIFS($AI$3:$AI$201,$M41)&gt;0,
     COUNTIFS($AJ$3:$AJ$201,$M41)&gt;0,
     COUNTIFS($AK$3:$AK$201,$M41)&gt;0,
     COUNTIFS($AL$3:$AL$201,$M41)&gt;0,
     COUNTIFS($AM$3:$AM$201,$M41)&gt;0,
     COUNTIFS($AN$3:$AN$201,$M41)&gt;0,
     COUNTIFS($AO$3:$AO$201,$M41)&gt;0,
     COUNTIFS($AP$3:$AP$201,$M41)&gt;0,
     COUNTIFS($AQ$3:$AQ$201,$M41)&gt;0,
     COUNTIFS($AR$3:$AR$201,$M41)&gt;0,
     COUNTIFS($AS$3:$AS$201,$M41)&gt;0,
     COUNTIFS($AT$3:$AT$201,$M41)&gt;0,
     COUNTIFS($AU$3:$AU$201,$M41)&gt;0,
     COUNTIFS($AV$3:$AV$201,$M41)&gt;0,
     COUNTIFS($AW$3:$AW$201,$M41)&gt;0,
     COUNTIFS($AX$3:$AX$201,$M41)&gt;0
   )),
  ),
  3
 ),
"")</f>
        <v/>
      </c>
      <c r="DO41" t="str">
        <f ca="1"/>
        <v>Rosie Cotton of South Lane</v>
      </c>
      <c r="DP41" t="str">
        <f ca="1"/>
        <v>Watertrap Weaver</v>
      </c>
      <c r="DR41" t="str">
        <f ca="1"/>
        <v>Urza Assembles the Titans</v>
      </c>
      <c r="EF41" t="str">
        <f ca="1"/>
        <v>Kazuul, Tyrant of the Cliffs</v>
      </c>
      <c r="EG41" t="str">
        <f ca="1"/>
        <v>Lightning Spear</v>
      </c>
      <c r="EH41" t="str">
        <f ca="1"/>
        <v>Spell Stutter</v>
      </c>
      <c r="EO41" t="str">
        <f ca="1"/>
        <v>Fell the Mighty</v>
      </c>
      <c r="EP41" t="str">
        <f ca="1"/>
        <v>Mogis, God of Slaughter</v>
      </c>
      <c r="ET41" t="str">
        <f ca="1"/>
        <v>Dire Fleet Poisoner</v>
      </c>
      <c r="EW41" t="str">
        <f ca="1"/>
        <v>Detective's Satchel</v>
      </c>
    </row>
    <row r="42" spans="1:153" x14ac:dyDescent="0.25">
      <c r="A42" t="str">
        <f ca="1"/>
        <v>Basal Sliver</v>
      </c>
      <c r="B42" s="2" t="str" cm="1">
        <f t="array" aca="1" ref="B42" ca="1">_xlfn.ANCHORARRAY(RESUMO!C41)</f>
        <v>Fractius</v>
      </c>
      <c r="C42" s="2" t="str">
        <f t="shared" ca="1" si="0"/>
        <v/>
      </c>
      <c r="E42" t="str">
        <f ca="1"/>
        <v>Digsite Engineer</v>
      </c>
      <c r="F42" s="2">
        <f t="shared" ca="1" si="3"/>
        <v>1</v>
      </c>
      <c r="G42" s="2" t="str">
        <f t="shared" ca="1" si="1"/>
        <v>Akiri</v>
      </c>
      <c r="I42" s="18"/>
      <c r="J42" t="s">
        <v>180</v>
      </c>
      <c r="K42" s="2">
        <v>1</v>
      </c>
      <c r="M42" t="str">
        <f ca="1"/>
        <v>Digsite Engineer</v>
      </c>
      <c r="N42" s="2">
        <f t="shared" ca="1" si="2"/>
        <v>1</v>
      </c>
      <c r="O42" s="2" t="str">
        <f ca="1">IFERROR(
 INDEX($U$2:$AX$2,
  MATCH(TRUE,
   CHOOSE({1;2;3;4;5;6;7;8;9;10;11;12;13;14;15;16;17;18;19;20;21;22;23;24;25;26;27;28;29;30;31;32},
    COUNTIFS($U$3:$U$201,$M42)&gt;0,
    COUNTIFS($V$3:$V$201,$M42)&gt;0,
    COUNTIFS($W$3:$W$201,$M42)&gt;0,
    COUNTIFS($X$3:$X$201,$M42)&gt;0,
    COUNTIFS($Y$3:$Y$201,$M42)&gt;0,
    COUNTIFS($Z$3:$Z$201,$M42)&gt;0,
    COUNTIFS($AA$3:$AA$201,$M42)&gt;0,
    COUNTIFS($AB$3:$AB$201,$M42)&gt;0,
    COUNTIFS($AC$3:$AC$201,$M42)&gt;0,
    COUNTIFS($AD$3:$AD$201,$M42)&gt;0,
    COUNTIFS($AE$3:$AE$201,$M42)&gt;0,
    COUNTIFS($AF$3:$AF$201,$M42)&gt;0,
    COUNTIFS($AG$3:$AG$201,$M42)&gt;0,
    COUNTIFS($AH$3:$AH$201,$M42)&gt;0,
    COUNTIFS($AI$3:$AI$201,$M42)&gt;0,
    COUNTIFS($AJ$3:$AJ$201,$M42)&gt;0,
    COUNTIFS($AK$3:$AK$201,$M42)&gt;0,
    COUNTIFS($AL$3:$AL$201,$M42)&gt;0,
    COUNTIFS($AM$3:$AM$201,$M42)&gt;0,
    COUNTIFS($AN$3:$AN$201,$M42)&gt;0,
    COUNTIFS($AO$3:$AO$201,$M42)&gt;0,
    COUNTIFS($AP$3:$AP$201,$M42)&gt;0,
    COUNTIFS($AQ$3:$AQ$201,$M42)&gt;0,
    COUNTIFS($AR$3:$AR$201,$M42)&gt;0,
    COUNTIFS($AS$3:$AS$201,$M42)&gt;0,
    COUNTIFS($AT$3:$AT$201,$M42)&gt;0,
    COUNTIFS($AU$3:$AU$201,$M42)&gt;0,
    COUNTIFS($AV$3:$AV$201,$M42)&gt;0,
    COUNTIFS($AW$3:$AW$201,$M42)&gt;0,
    COUNTIFS($AX$3:$AX$201,$M42)&gt;0
   ),
  0)
 ),
"")</f>
        <v>Akiri</v>
      </c>
      <c r="P42" s="2" t="str" cm="1">
        <f t="array" aca="1" ref="P42" ca="1">IFERROR(
 INDEX(
  _xlfn._xlws.FILTER($U$2:$AX$2,
   TRANSPOSE(
    CHOOSE({1;2;3;4;5;6;7;8;9;10;11;12;13;14;15;16;17;18;19;20;21;22;23;24;25;26;27;28;29;30},
     COUNTIFS($U$3:$U$201,$M42)&gt;0,
     COUNTIFS($V$3:$V$201,$M42)&gt;0,
     COUNTIFS($W$3:$W$201,$M42)&gt;0,
     COUNTIFS($X$3:$X$201,$M42)&gt;0,
     COUNTIFS($Y$3:$Y$201,$M42)&gt;0,
     COUNTIFS($Z$3:$Z$201,$M42)&gt;0,
     COUNTIFS($AA$3:$AA$201,$M42)&gt;0,
     COUNTIFS($AB$3:$AB$201,$M42)&gt;0,
     COUNTIFS($AC$3:$AC$201,$M42)&gt;0,
     COUNTIFS($AD$3:$AD$201,$M42)&gt;0,
     COUNTIFS($AE$3:$AE$201,$M42)&gt;0,
     COUNTIFS($AF$3:$AF$201,$M42)&gt;0,
     COUNTIFS($AG$3:$AG$201,$M42)&gt;0,
     COUNTIFS($AH$3:$AH$201,$M42)&gt;0,
     COUNTIFS($AI$3:$AI$201,$M42)&gt;0,
     COUNTIFS($AJ$3:$AJ$201,$M42)&gt;0,
     COUNTIFS($AK$3:$AK$201,$M42)&gt;0,
     COUNTIFS($AL$3:$AL$201,$M42)&gt;0,
     COUNTIFS($AM$3:$AM$201,$M42)&gt;0,
     COUNTIFS($AN$3:$AN$201,$M42)&gt;0,
     COUNTIFS($AO$3:$AO$201,$M42)&gt;0,
     COUNTIFS($AP$3:$AP$201,$M42)&gt;0,
     COUNTIFS($AQ$3:$AQ$201,$M42)&gt;0,
     COUNTIFS($AR$3:$AR$201,$M42)&gt;0,
     COUNTIFS($AS$3:$AS$201,$M42)&gt;0,
     COUNTIFS($AT$3:$AT$201,$M42)&gt;0,
     COUNTIFS($AU$3:$AU$201,$M42)&gt;0,
     COUNTIFS($AV$3:$AV$201,$M42)&gt;0,
     COUNTIFS($AW$3:$AW$201,$M42)&gt;0,
     COUNTIFS($AX$3:$AX$201,$M42)&gt;0
   )),
  ),
  2
 ),
"")</f>
        <v/>
      </c>
      <c r="Q42" s="2" t="str" cm="1">
        <f t="array" aca="1" ref="Q42" ca="1">IFERROR(
 INDEX(
  _xlfn._xlws.FILTER($U$2:$AX$2,
   TRANSPOSE(
    CHOOSE({1;2;3;4;5;6;7;8;9;10;11;12;13;14;15;16;17;18;19;20;21;22;23;24;25;26;27;28;29;30},
     COUNTIFS($U$3:$U$201,$M42)&gt;0,
     COUNTIFS($V$3:$V$201,$M42)&gt;0,
     COUNTIFS($W$3:$W$201,$M42)&gt;0,
     COUNTIFS($X$3:$X$201,$M42)&gt;0,
     COUNTIFS($Y$3:$Y$201,$M42)&gt;0,
     COUNTIFS($Z$3:$Z$201,$M42)&gt;0,
     COUNTIFS($AA$3:$AA$201,$M42)&gt;0,
     COUNTIFS($AB$3:$AB$201,$M42)&gt;0,
     COUNTIFS($AC$3:$AC$201,$M42)&gt;0,
     COUNTIFS($AD$3:$AD$201,$M42)&gt;0,
     COUNTIFS($AE$3:$AE$201,$M42)&gt;0,
     COUNTIFS($AF$3:$AF$201,$M42)&gt;0,
     COUNTIFS($AG$3:$AG$201,$M42)&gt;0,
     COUNTIFS($AH$3:$AH$201,$M42)&gt;0,
     COUNTIFS($AI$3:$AI$201,$M42)&gt;0,
     COUNTIFS($AJ$3:$AJ$201,$M42)&gt;0,
     COUNTIFS($AK$3:$AK$201,$M42)&gt;0,
     COUNTIFS($AL$3:$AL$201,$M42)&gt;0,
     COUNTIFS($AM$3:$AM$201,$M42)&gt;0,
     COUNTIFS($AN$3:$AN$201,$M42)&gt;0,
     COUNTIFS($AO$3:$AO$201,$M42)&gt;0,
     COUNTIFS($AP$3:$AP$201,$M42)&gt;0,
     COUNTIFS($AQ$3:$AQ$201,$M42)&gt;0,
     COUNTIFS($AR$3:$AR$201,$M42)&gt;0,
     COUNTIFS($AS$3:$AS$201,$M42)&gt;0,
     COUNTIFS($AT$3:$AT$201,$M42)&gt;0,
     COUNTIFS($AU$3:$AU$201,$M42)&gt;0,
     COUNTIFS($AV$3:$AV$201,$M42)&gt;0,
     COUNTIFS($AW$3:$AW$201,$M42)&gt;0,
     COUNTIFS($AX$3:$AX$201,$M42)&gt;0
   )),
  ),
  3
 ),
"")</f>
        <v/>
      </c>
      <c r="DO42" t="str">
        <f ca="1"/>
        <v>Saheeli, Sublime Artificer</v>
      </c>
      <c r="DR42" t="str">
        <f ca="1"/>
        <v>Urza's Ruinous Blast</v>
      </c>
      <c r="EF42" t="str">
        <f ca="1"/>
        <v>Krosan Grip</v>
      </c>
      <c r="EG42" t="str">
        <f ca="1"/>
        <v>Mask of Memory</v>
      </c>
      <c r="EH42" t="str">
        <f ca="1"/>
        <v>Storm's Wrath</v>
      </c>
      <c r="EO42" t="str">
        <f ca="1"/>
        <v>Fiend Artisan</v>
      </c>
      <c r="EP42" t="str">
        <f ca="1"/>
        <v>Mondrak, Glory Dominus</v>
      </c>
      <c r="ET42" t="str">
        <f ca="1"/>
        <v>Dispeller's Capsule</v>
      </c>
      <c r="EW42" t="str">
        <f ca="1"/>
        <v>Digsite Engineer</v>
      </c>
    </row>
    <row r="43" spans="1:153" x14ac:dyDescent="0.25">
      <c r="A43" t="str">
        <f ca="1"/>
        <v>Battlefield Forge</v>
      </c>
      <c r="B43" s="2" t="str" cm="1">
        <f t="array" aca="1" ref="B43" ca="1">_xlfn.ANCHORARRAY(RESUMO!C42)</f>
        <v>Little</v>
      </c>
      <c r="C43" s="2" t="str">
        <f t="shared" ca="1" si="0"/>
        <v/>
      </c>
      <c r="E43" t="str">
        <f ca="1"/>
        <v>Dire Fleet Poisoner</v>
      </c>
      <c r="F43" s="2">
        <f t="shared" ca="1" si="3"/>
        <v>1</v>
      </c>
      <c r="G43" s="2" t="str">
        <f t="shared" ca="1" si="1"/>
        <v>Piratas</v>
      </c>
      <c r="I43" s="18"/>
      <c r="J43" t="s">
        <v>180</v>
      </c>
      <c r="K43" s="2">
        <v>1</v>
      </c>
      <c r="M43" t="str">
        <f ca="1"/>
        <v>Dire Fleet Poisoner</v>
      </c>
      <c r="N43" s="2">
        <f t="shared" ca="1" si="2"/>
        <v>1</v>
      </c>
      <c r="O43" s="2" t="str">
        <f ca="1">IFERROR(
 INDEX($U$2:$AX$2,
  MATCH(TRUE,
   CHOOSE({1;2;3;4;5;6;7;8;9;10;11;12;13;14;15;16;17;18;19;20;21;22;23;24;25;26;27;28;29;30;31;32},
    COUNTIFS($U$3:$U$201,$M43)&gt;0,
    COUNTIFS($V$3:$V$201,$M43)&gt;0,
    COUNTIFS($W$3:$W$201,$M43)&gt;0,
    COUNTIFS($X$3:$X$201,$M43)&gt;0,
    COUNTIFS($Y$3:$Y$201,$M43)&gt;0,
    COUNTIFS($Z$3:$Z$201,$M43)&gt;0,
    COUNTIFS($AA$3:$AA$201,$M43)&gt;0,
    COUNTIFS($AB$3:$AB$201,$M43)&gt;0,
    COUNTIFS($AC$3:$AC$201,$M43)&gt;0,
    COUNTIFS($AD$3:$AD$201,$M43)&gt;0,
    COUNTIFS($AE$3:$AE$201,$M43)&gt;0,
    COUNTIFS($AF$3:$AF$201,$M43)&gt;0,
    COUNTIFS($AG$3:$AG$201,$M43)&gt;0,
    COUNTIFS($AH$3:$AH$201,$M43)&gt;0,
    COUNTIFS($AI$3:$AI$201,$M43)&gt;0,
    COUNTIFS($AJ$3:$AJ$201,$M43)&gt;0,
    COUNTIFS($AK$3:$AK$201,$M43)&gt;0,
    COUNTIFS($AL$3:$AL$201,$M43)&gt;0,
    COUNTIFS($AM$3:$AM$201,$M43)&gt;0,
    COUNTIFS($AN$3:$AN$201,$M43)&gt;0,
    COUNTIFS($AO$3:$AO$201,$M43)&gt;0,
    COUNTIFS($AP$3:$AP$201,$M43)&gt;0,
    COUNTIFS($AQ$3:$AQ$201,$M43)&gt;0,
    COUNTIFS($AR$3:$AR$201,$M43)&gt;0,
    COUNTIFS($AS$3:$AS$201,$M43)&gt;0,
    COUNTIFS($AT$3:$AT$201,$M43)&gt;0,
    COUNTIFS($AU$3:$AU$201,$M43)&gt;0,
    COUNTIFS($AV$3:$AV$201,$M43)&gt;0,
    COUNTIFS($AW$3:$AW$201,$M43)&gt;0,
    COUNTIFS($AX$3:$AX$201,$M43)&gt;0
   ),
  0)
 ),
"")</f>
        <v>Piratas</v>
      </c>
      <c r="P43" s="2" t="str" cm="1">
        <f t="array" aca="1" ref="P43" ca="1">IFERROR(
 INDEX(
  _xlfn._xlws.FILTER($U$2:$AX$2,
   TRANSPOSE(
    CHOOSE({1;2;3;4;5;6;7;8;9;10;11;12;13;14;15;16;17;18;19;20;21;22;23;24;25;26;27;28;29;30},
     COUNTIFS($U$3:$U$201,$M43)&gt;0,
     COUNTIFS($V$3:$V$201,$M43)&gt;0,
     COUNTIFS($W$3:$W$201,$M43)&gt;0,
     COUNTIFS($X$3:$X$201,$M43)&gt;0,
     COUNTIFS($Y$3:$Y$201,$M43)&gt;0,
     COUNTIFS($Z$3:$Z$201,$M43)&gt;0,
     COUNTIFS($AA$3:$AA$201,$M43)&gt;0,
     COUNTIFS($AB$3:$AB$201,$M43)&gt;0,
     COUNTIFS($AC$3:$AC$201,$M43)&gt;0,
     COUNTIFS($AD$3:$AD$201,$M43)&gt;0,
     COUNTIFS($AE$3:$AE$201,$M43)&gt;0,
     COUNTIFS($AF$3:$AF$201,$M43)&gt;0,
     COUNTIFS($AG$3:$AG$201,$M43)&gt;0,
     COUNTIFS($AH$3:$AH$201,$M43)&gt;0,
     COUNTIFS($AI$3:$AI$201,$M43)&gt;0,
     COUNTIFS($AJ$3:$AJ$201,$M43)&gt;0,
     COUNTIFS($AK$3:$AK$201,$M43)&gt;0,
     COUNTIFS($AL$3:$AL$201,$M43)&gt;0,
     COUNTIFS($AM$3:$AM$201,$M43)&gt;0,
     COUNTIFS($AN$3:$AN$201,$M43)&gt;0,
     COUNTIFS($AO$3:$AO$201,$M43)&gt;0,
     COUNTIFS($AP$3:$AP$201,$M43)&gt;0,
     COUNTIFS($AQ$3:$AQ$201,$M43)&gt;0,
     COUNTIFS($AR$3:$AR$201,$M43)&gt;0,
     COUNTIFS($AS$3:$AS$201,$M43)&gt;0,
     COUNTIFS($AT$3:$AT$201,$M43)&gt;0,
     COUNTIFS($AU$3:$AU$201,$M43)&gt;0,
     COUNTIFS($AV$3:$AV$201,$M43)&gt;0,
     COUNTIFS($AW$3:$AW$201,$M43)&gt;0,
     COUNTIFS($AX$3:$AX$201,$M43)&gt;0
   )),
  ),
  2
 ),
"")</f>
        <v/>
      </c>
      <c r="Q43" s="2" t="str" cm="1">
        <f t="array" aca="1" ref="Q43" ca="1">IFERROR(
 INDEX(
  _xlfn._xlws.FILTER($U$2:$AX$2,
   TRANSPOSE(
    CHOOSE({1;2;3;4;5;6;7;8;9;10;11;12;13;14;15;16;17;18;19;20;21;22;23;24;25;26;27;28;29;30},
     COUNTIFS($U$3:$U$201,$M43)&gt;0,
     COUNTIFS($V$3:$V$201,$M43)&gt;0,
     COUNTIFS($W$3:$W$201,$M43)&gt;0,
     COUNTIFS($X$3:$X$201,$M43)&gt;0,
     COUNTIFS($Y$3:$Y$201,$M43)&gt;0,
     COUNTIFS($Z$3:$Z$201,$M43)&gt;0,
     COUNTIFS($AA$3:$AA$201,$M43)&gt;0,
     COUNTIFS($AB$3:$AB$201,$M43)&gt;0,
     COUNTIFS($AC$3:$AC$201,$M43)&gt;0,
     COUNTIFS($AD$3:$AD$201,$M43)&gt;0,
     COUNTIFS($AE$3:$AE$201,$M43)&gt;0,
     COUNTIFS($AF$3:$AF$201,$M43)&gt;0,
     COUNTIFS($AG$3:$AG$201,$M43)&gt;0,
     COUNTIFS($AH$3:$AH$201,$M43)&gt;0,
     COUNTIFS($AI$3:$AI$201,$M43)&gt;0,
     COUNTIFS($AJ$3:$AJ$201,$M43)&gt;0,
     COUNTIFS($AK$3:$AK$201,$M43)&gt;0,
     COUNTIFS($AL$3:$AL$201,$M43)&gt;0,
     COUNTIFS($AM$3:$AM$201,$M43)&gt;0,
     COUNTIFS($AN$3:$AN$201,$M43)&gt;0,
     COUNTIFS($AO$3:$AO$201,$M43)&gt;0,
     COUNTIFS($AP$3:$AP$201,$M43)&gt;0,
     COUNTIFS($AQ$3:$AQ$201,$M43)&gt;0,
     COUNTIFS($AR$3:$AR$201,$M43)&gt;0,
     COUNTIFS($AS$3:$AS$201,$M43)&gt;0,
     COUNTIFS($AT$3:$AT$201,$M43)&gt;0,
     COUNTIFS($AU$3:$AU$201,$M43)&gt;0,
     COUNTIFS($AV$3:$AV$201,$M43)&gt;0,
     COUNTIFS($AW$3:$AW$201,$M43)&gt;0,
     COUNTIFS($AX$3:$AX$201,$M43)&gt;0
   )),
  ),
  3
 ),
"")</f>
        <v/>
      </c>
      <c r="DO43" t="str">
        <f ca="1"/>
        <v>Sanctum of Calm Waters</v>
      </c>
      <c r="DR43" t="str">
        <f ca="1"/>
        <v>Vivid Marsh</v>
      </c>
      <c r="EF43" t="str">
        <f ca="1"/>
        <v>Lifecrafter's Bestiary</v>
      </c>
      <c r="EG43" t="str">
        <f ca="1"/>
        <v>Master of Death</v>
      </c>
      <c r="EH43" t="str">
        <f ca="1"/>
        <v>Swamp</v>
      </c>
      <c r="EO43" t="str">
        <f ca="1"/>
        <v>Fire Diamond</v>
      </c>
      <c r="EP43" t="str">
        <f ca="1"/>
        <v>Mountain</v>
      </c>
      <c r="ET43" t="str">
        <f ca="1"/>
        <v>Dissipation Field</v>
      </c>
      <c r="EW43" t="str">
        <f ca="1"/>
        <v>Dire Fleet Poisoner</v>
      </c>
    </row>
    <row r="44" spans="1:153" x14ac:dyDescent="0.25">
      <c r="A44" t="str">
        <f ca="1"/>
        <v>Beast Within</v>
      </c>
      <c r="B44" s="2" t="str" cm="1">
        <f t="array" aca="1" ref="B44" ca="1">_xlfn.ANCHORARRAY(RESUMO!C43)</f>
        <v>Kresh</v>
      </c>
      <c r="C44" s="2" t="str">
        <f t="shared" ca="1" si="0"/>
        <v/>
      </c>
      <c r="E44" t="str">
        <f ca="1"/>
        <v>Dispeller's Capsule</v>
      </c>
      <c r="F44" s="2">
        <f t="shared" ca="1" si="3"/>
        <v>1</v>
      </c>
      <c r="G44" s="2" t="str">
        <f t="shared" ca="1" si="1"/>
        <v>Alela</v>
      </c>
      <c r="I44" s="18"/>
      <c r="J44" t="s">
        <v>180</v>
      </c>
      <c r="K44" s="2">
        <v>1</v>
      </c>
      <c r="M44" t="str">
        <f ca="1"/>
        <v>Dispeller's Capsule</v>
      </c>
      <c r="N44" s="2">
        <f t="shared" ca="1" si="2"/>
        <v>1</v>
      </c>
      <c r="O44" s="2" t="str">
        <f ca="1">IFERROR(
 INDEX($U$2:$AX$2,
  MATCH(TRUE,
   CHOOSE({1;2;3;4;5;6;7;8;9;10;11;12;13;14;15;16;17;18;19;20;21;22;23;24;25;26;27;28;29;30;31;32},
    COUNTIFS($U$3:$U$201,$M44)&gt;0,
    COUNTIFS($V$3:$V$201,$M44)&gt;0,
    COUNTIFS($W$3:$W$201,$M44)&gt;0,
    COUNTIFS($X$3:$X$201,$M44)&gt;0,
    COUNTIFS($Y$3:$Y$201,$M44)&gt;0,
    COUNTIFS($Z$3:$Z$201,$M44)&gt;0,
    COUNTIFS($AA$3:$AA$201,$M44)&gt;0,
    COUNTIFS($AB$3:$AB$201,$M44)&gt;0,
    COUNTIFS($AC$3:$AC$201,$M44)&gt;0,
    COUNTIFS($AD$3:$AD$201,$M44)&gt;0,
    COUNTIFS($AE$3:$AE$201,$M44)&gt;0,
    COUNTIFS($AF$3:$AF$201,$M44)&gt;0,
    COUNTIFS($AG$3:$AG$201,$M44)&gt;0,
    COUNTIFS($AH$3:$AH$201,$M44)&gt;0,
    COUNTIFS($AI$3:$AI$201,$M44)&gt;0,
    COUNTIFS($AJ$3:$AJ$201,$M44)&gt;0,
    COUNTIFS($AK$3:$AK$201,$M44)&gt;0,
    COUNTIFS($AL$3:$AL$201,$M44)&gt;0,
    COUNTIFS($AM$3:$AM$201,$M44)&gt;0,
    COUNTIFS($AN$3:$AN$201,$M44)&gt;0,
    COUNTIFS($AO$3:$AO$201,$M44)&gt;0,
    COUNTIFS($AP$3:$AP$201,$M44)&gt;0,
    COUNTIFS($AQ$3:$AQ$201,$M44)&gt;0,
    COUNTIFS($AR$3:$AR$201,$M44)&gt;0,
    COUNTIFS($AS$3:$AS$201,$M44)&gt;0,
    COUNTIFS($AT$3:$AT$201,$M44)&gt;0,
    COUNTIFS($AU$3:$AU$201,$M44)&gt;0,
    COUNTIFS($AV$3:$AV$201,$M44)&gt;0,
    COUNTIFS($AW$3:$AW$201,$M44)&gt;0,
    COUNTIFS($AX$3:$AX$201,$M44)&gt;0
   ),
  0)
 ),
"")</f>
        <v>Alela</v>
      </c>
      <c r="P44" s="2" t="str" cm="1">
        <f t="array" aca="1" ref="P44" ca="1">IFERROR(
 INDEX(
  _xlfn._xlws.FILTER($U$2:$AX$2,
   TRANSPOSE(
    CHOOSE({1;2;3;4;5;6;7;8;9;10;11;12;13;14;15;16;17;18;19;20;21;22;23;24;25;26;27;28;29;30},
     COUNTIFS($U$3:$U$201,$M44)&gt;0,
     COUNTIFS($V$3:$V$201,$M44)&gt;0,
     COUNTIFS($W$3:$W$201,$M44)&gt;0,
     COUNTIFS($X$3:$X$201,$M44)&gt;0,
     COUNTIFS($Y$3:$Y$201,$M44)&gt;0,
     COUNTIFS($Z$3:$Z$201,$M44)&gt;0,
     COUNTIFS($AA$3:$AA$201,$M44)&gt;0,
     COUNTIFS($AB$3:$AB$201,$M44)&gt;0,
     COUNTIFS($AC$3:$AC$201,$M44)&gt;0,
     COUNTIFS($AD$3:$AD$201,$M44)&gt;0,
     COUNTIFS($AE$3:$AE$201,$M44)&gt;0,
     COUNTIFS($AF$3:$AF$201,$M44)&gt;0,
     COUNTIFS($AG$3:$AG$201,$M44)&gt;0,
     COUNTIFS($AH$3:$AH$201,$M44)&gt;0,
     COUNTIFS($AI$3:$AI$201,$M44)&gt;0,
     COUNTIFS($AJ$3:$AJ$201,$M44)&gt;0,
     COUNTIFS($AK$3:$AK$201,$M44)&gt;0,
     COUNTIFS($AL$3:$AL$201,$M44)&gt;0,
     COUNTIFS($AM$3:$AM$201,$M44)&gt;0,
     COUNTIFS($AN$3:$AN$201,$M44)&gt;0,
     COUNTIFS($AO$3:$AO$201,$M44)&gt;0,
     COUNTIFS($AP$3:$AP$201,$M44)&gt;0,
     COUNTIFS($AQ$3:$AQ$201,$M44)&gt;0,
     COUNTIFS($AR$3:$AR$201,$M44)&gt;0,
     COUNTIFS($AS$3:$AS$201,$M44)&gt;0,
     COUNTIFS($AT$3:$AT$201,$M44)&gt;0,
     COUNTIFS($AU$3:$AU$201,$M44)&gt;0,
     COUNTIFS($AV$3:$AV$201,$M44)&gt;0,
     COUNTIFS($AW$3:$AW$201,$M44)&gt;0,
     COUNTIFS($AX$3:$AX$201,$M44)&gt;0
   )),
  ),
  2
 ),
"")</f>
        <v/>
      </c>
      <c r="Q44" s="2" t="str" cm="1">
        <f t="array" aca="1" ref="Q44" ca="1">IFERROR(
 INDEX(
  _xlfn._xlws.FILTER($U$2:$AX$2,
   TRANSPOSE(
    CHOOSE({1;2;3;4;5;6;7;8;9;10;11;12;13;14;15;16;17;18;19;20;21;22;23;24;25;26;27;28;29;30},
     COUNTIFS($U$3:$U$201,$M44)&gt;0,
     COUNTIFS($V$3:$V$201,$M44)&gt;0,
     COUNTIFS($W$3:$W$201,$M44)&gt;0,
     COUNTIFS($X$3:$X$201,$M44)&gt;0,
     COUNTIFS($Y$3:$Y$201,$M44)&gt;0,
     COUNTIFS($Z$3:$Z$201,$M44)&gt;0,
     COUNTIFS($AA$3:$AA$201,$M44)&gt;0,
     COUNTIFS($AB$3:$AB$201,$M44)&gt;0,
     COUNTIFS($AC$3:$AC$201,$M44)&gt;0,
     COUNTIFS($AD$3:$AD$201,$M44)&gt;0,
     COUNTIFS($AE$3:$AE$201,$M44)&gt;0,
     COUNTIFS($AF$3:$AF$201,$M44)&gt;0,
     COUNTIFS($AG$3:$AG$201,$M44)&gt;0,
     COUNTIFS($AH$3:$AH$201,$M44)&gt;0,
     COUNTIFS($AI$3:$AI$201,$M44)&gt;0,
     COUNTIFS($AJ$3:$AJ$201,$M44)&gt;0,
     COUNTIFS($AK$3:$AK$201,$M44)&gt;0,
     COUNTIFS($AL$3:$AL$201,$M44)&gt;0,
     COUNTIFS($AM$3:$AM$201,$M44)&gt;0,
     COUNTIFS($AN$3:$AN$201,$M44)&gt;0,
     COUNTIFS($AO$3:$AO$201,$M44)&gt;0,
     COUNTIFS($AP$3:$AP$201,$M44)&gt;0,
     COUNTIFS($AQ$3:$AQ$201,$M44)&gt;0,
     COUNTIFS($AR$3:$AR$201,$M44)&gt;0,
     COUNTIFS($AS$3:$AS$201,$M44)&gt;0,
     COUNTIFS($AT$3:$AT$201,$M44)&gt;0,
     COUNTIFS($AU$3:$AU$201,$M44)&gt;0,
     COUNTIFS($AV$3:$AV$201,$M44)&gt;0,
     COUNTIFS($AW$3:$AW$201,$M44)&gt;0,
     COUNTIFS($AX$3:$AX$201,$M44)&gt;0
   )),
  ),
  3
 ),
"")</f>
        <v/>
      </c>
      <c r="DO44" t="str">
        <f ca="1"/>
        <v>Scavenging Ooze</v>
      </c>
      <c r="DR44" t="str">
        <f ca="1"/>
        <v>Whelming Wave</v>
      </c>
      <c r="EF44" t="str">
        <f ca="1"/>
        <v>Lifecreed Duo</v>
      </c>
      <c r="EG44" t="str">
        <f ca="1"/>
        <v>Mountain</v>
      </c>
      <c r="EH44" t="str">
        <f ca="1"/>
        <v>Thirst for Knowledge</v>
      </c>
      <c r="EO44" t="str">
        <f ca="1"/>
        <v>Flux Channeler</v>
      </c>
      <c r="EP44" t="str">
        <f ca="1"/>
        <v>Murderous Rider // Swift End</v>
      </c>
      <c r="ET44" t="str">
        <f ca="1"/>
        <v>Divergent Transformations</v>
      </c>
      <c r="EW44" t="str">
        <f ca="1"/>
        <v>Dispeller's Capsule</v>
      </c>
    </row>
    <row r="45" spans="1:153" x14ac:dyDescent="0.25">
      <c r="A45" t="str">
        <f ca="1"/>
        <v>Bedevil</v>
      </c>
      <c r="B45" s="2" t="str" cm="1">
        <f t="array" aca="1" ref="B45" ca="1">_xlfn.ANCHORARRAY(RESUMO!C44)</f>
        <v>4cRash</v>
      </c>
      <c r="C45" s="2" t="str">
        <f t="shared" ca="1" si="0"/>
        <v/>
      </c>
      <c r="E45" t="str">
        <f ca="1"/>
        <v>Dissipation Field</v>
      </c>
      <c r="F45" s="2">
        <f t="shared" ca="1" si="3"/>
        <v>1</v>
      </c>
      <c r="G45" s="2" t="str">
        <f t="shared" ca="1" si="1"/>
        <v>VialIshai</v>
      </c>
      <c r="I45" s="18"/>
      <c r="J45" t="s">
        <v>180</v>
      </c>
      <c r="K45" s="2">
        <v>1</v>
      </c>
      <c r="M45" t="str">
        <f ca="1"/>
        <v>Dissipation Field</v>
      </c>
      <c r="N45" s="2">
        <f t="shared" ca="1" si="2"/>
        <v>1</v>
      </c>
      <c r="O45" s="2" t="str">
        <f ca="1">IFERROR(
 INDEX($U$2:$AX$2,
  MATCH(TRUE,
   CHOOSE({1;2;3;4;5;6;7;8;9;10;11;12;13;14;15;16;17;18;19;20;21;22;23;24;25;26;27;28;29;30;31;32},
    COUNTIFS($U$3:$U$201,$M45)&gt;0,
    COUNTIFS($V$3:$V$201,$M45)&gt;0,
    COUNTIFS($W$3:$W$201,$M45)&gt;0,
    COUNTIFS($X$3:$X$201,$M45)&gt;0,
    COUNTIFS($Y$3:$Y$201,$M45)&gt;0,
    COUNTIFS($Z$3:$Z$201,$M45)&gt;0,
    COUNTIFS($AA$3:$AA$201,$M45)&gt;0,
    COUNTIFS($AB$3:$AB$201,$M45)&gt;0,
    COUNTIFS($AC$3:$AC$201,$M45)&gt;0,
    COUNTIFS($AD$3:$AD$201,$M45)&gt;0,
    COUNTIFS($AE$3:$AE$201,$M45)&gt;0,
    COUNTIFS($AF$3:$AF$201,$M45)&gt;0,
    COUNTIFS($AG$3:$AG$201,$M45)&gt;0,
    COUNTIFS($AH$3:$AH$201,$M45)&gt;0,
    COUNTIFS($AI$3:$AI$201,$M45)&gt;0,
    COUNTIFS($AJ$3:$AJ$201,$M45)&gt;0,
    COUNTIFS($AK$3:$AK$201,$M45)&gt;0,
    COUNTIFS($AL$3:$AL$201,$M45)&gt;0,
    COUNTIFS($AM$3:$AM$201,$M45)&gt;0,
    COUNTIFS($AN$3:$AN$201,$M45)&gt;0,
    COUNTIFS($AO$3:$AO$201,$M45)&gt;0,
    COUNTIFS($AP$3:$AP$201,$M45)&gt;0,
    COUNTIFS($AQ$3:$AQ$201,$M45)&gt;0,
    COUNTIFS($AR$3:$AR$201,$M45)&gt;0,
    COUNTIFS($AS$3:$AS$201,$M45)&gt;0,
    COUNTIFS($AT$3:$AT$201,$M45)&gt;0,
    COUNTIFS($AU$3:$AU$201,$M45)&gt;0,
    COUNTIFS($AV$3:$AV$201,$M45)&gt;0,
    COUNTIFS($AW$3:$AW$201,$M45)&gt;0,
    COUNTIFS($AX$3:$AX$201,$M45)&gt;0
   ),
  0)
 ),
"")</f>
        <v>VialIshai</v>
      </c>
      <c r="P45" s="2" t="str" cm="1">
        <f t="array" aca="1" ref="P45" ca="1">IFERROR(
 INDEX(
  _xlfn._xlws.FILTER($U$2:$AX$2,
   TRANSPOSE(
    CHOOSE({1;2;3;4;5;6;7;8;9;10;11;12;13;14;15;16;17;18;19;20;21;22;23;24;25;26;27;28;29;30},
     COUNTIFS($U$3:$U$201,$M45)&gt;0,
     COUNTIFS($V$3:$V$201,$M45)&gt;0,
     COUNTIFS($W$3:$W$201,$M45)&gt;0,
     COUNTIFS($X$3:$X$201,$M45)&gt;0,
     COUNTIFS($Y$3:$Y$201,$M45)&gt;0,
     COUNTIFS($Z$3:$Z$201,$M45)&gt;0,
     COUNTIFS($AA$3:$AA$201,$M45)&gt;0,
     COUNTIFS($AB$3:$AB$201,$M45)&gt;0,
     COUNTIFS($AC$3:$AC$201,$M45)&gt;0,
     COUNTIFS($AD$3:$AD$201,$M45)&gt;0,
     COUNTIFS($AE$3:$AE$201,$M45)&gt;0,
     COUNTIFS($AF$3:$AF$201,$M45)&gt;0,
     COUNTIFS($AG$3:$AG$201,$M45)&gt;0,
     COUNTIFS($AH$3:$AH$201,$M45)&gt;0,
     COUNTIFS($AI$3:$AI$201,$M45)&gt;0,
     COUNTIFS($AJ$3:$AJ$201,$M45)&gt;0,
     COUNTIFS($AK$3:$AK$201,$M45)&gt;0,
     COUNTIFS($AL$3:$AL$201,$M45)&gt;0,
     COUNTIFS($AM$3:$AM$201,$M45)&gt;0,
     COUNTIFS($AN$3:$AN$201,$M45)&gt;0,
     COUNTIFS($AO$3:$AO$201,$M45)&gt;0,
     COUNTIFS($AP$3:$AP$201,$M45)&gt;0,
     COUNTIFS($AQ$3:$AQ$201,$M45)&gt;0,
     COUNTIFS($AR$3:$AR$201,$M45)&gt;0,
     COUNTIFS($AS$3:$AS$201,$M45)&gt;0,
     COUNTIFS($AT$3:$AT$201,$M45)&gt;0,
     COUNTIFS($AU$3:$AU$201,$M45)&gt;0,
     COUNTIFS($AV$3:$AV$201,$M45)&gt;0,
     COUNTIFS($AW$3:$AW$201,$M45)&gt;0,
     COUNTIFS($AX$3:$AX$201,$M45)&gt;0
   )),
  ),
  2
 ),
"")</f>
        <v/>
      </c>
      <c r="Q45" s="2" t="str" cm="1">
        <f t="array" aca="1" ref="Q45" ca="1">IFERROR(
 INDEX(
  _xlfn._xlws.FILTER($U$2:$AX$2,
   TRANSPOSE(
    CHOOSE({1;2;3;4;5;6;7;8;9;10;11;12;13;14;15;16;17;18;19;20;21;22;23;24;25;26;27;28;29;30},
     COUNTIFS($U$3:$U$201,$M45)&gt;0,
     COUNTIFS($V$3:$V$201,$M45)&gt;0,
     COUNTIFS($W$3:$W$201,$M45)&gt;0,
     COUNTIFS($X$3:$X$201,$M45)&gt;0,
     COUNTIFS($Y$3:$Y$201,$M45)&gt;0,
     COUNTIFS($Z$3:$Z$201,$M45)&gt;0,
     COUNTIFS($AA$3:$AA$201,$M45)&gt;0,
     COUNTIFS($AB$3:$AB$201,$M45)&gt;0,
     COUNTIFS($AC$3:$AC$201,$M45)&gt;0,
     COUNTIFS($AD$3:$AD$201,$M45)&gt;0,
     COUNTIFS($AE$3:$AE$201,$M45)&gt;0,
     COUNTIFS($AF$3:$AF$201,$M45)&gt;0,
     COUNTIFS($AG$3:$AG$201,$M45)&gt;0,
     COUNTIFS($AH$3:$AH$201,$M45)&gt;0,
     COUNTIFS($AI$3:$AI$201,$M45)&gt;0,
     COUNTIFS($AJ$3:$AJ$201,$M45)&gt;0,
     COUNTIFS($AK$3:$AK$201,$M45)&gt;0,
     COUNTIFS($AL$3:$AL$201,$M45)&gt;0,
     COUNTIFS($AM$3:$AM$201,$M45)&gt;0,
     COUNTIFS($AN$3:$AN$201,$M45)&gt;0,
     COUNTIFS($AO$3:$AO$201,$M45)&gt;0,
     COUNTIFS($AP$3:$AP$201,$M45)&gt;0,
     COUNTIFS($AQ$3:$AQ$201,$M45)&gt;0,
     COUNTIFS($AR$3:$AR$201,$M45)&gt;0,
     COUNTIFS($AS$3:$AS$201,$M45)&gt;0,
     COUNTIFS($AT$3:$AT$201,$M45)&gt;0,
     COUNTIFS($AU$3:$AU$201,$M45)&gt;0,
     COUNTIFS($AV$3:$AV$201,$M45)&gt;0,
     COUNTIFS($AW$3:$AW$201,$M45)&gt;0,
     COUNTIFS($AX$3:$AX$201,$M45)&gt;0
   )),
  ),
  3
 ),
"")</f>
        <v/>
      </c>
      <c r="DO45" t="str">
        <f ca="1"/>
        <v>Scourge of Skola Vale</v>
      </c>
      <c r="EF45" t="str">
        <f ca="1"/>
        <v>Lonis, Cryptozoologist</v>
      </c>
      <c r="EG45" t="str">
        <f ca="1"/>
        <v>Mythos of Snapdax</v>
      </c>
      <c r="EH45" t="str">
        <f ca="1"/>
        <v>Wizard's Retort</v>
      </c>
      <c r="EO45" t="str">
        <f ca="1"/>
        <v>Forest</v>
      </c>
      <c r="EP45" t="str">
        <f ca="1"/>
        <v>Mystic Forge</v>
      </c>
      <c r="ET45" t="str">
        <f ca="1"/>
        <v>Divine Visitation</v>
      </c>
      <c r="EW45" t="str">
        <f ca="1"/>
        <v>Dissipation Field</v>
      </c>
    </row>
    <row r="46" spans="1:153" x14ac:dyDescent="0.25">
      <c r="A46" t="str">
        <f ca="1"/>
        <v>Bedlam</v>
      </c>
      <c r="B46" s="2" t="str" cm="1">
        <f t="array" aca="1" ref="B46" ca="1">_xlfn.ANCHORARRAY(RESUMO!C45)</f>
        <v>Little</v>
      </c>
      <c r="C46" s="2" t="str">
        <f t="shared" ca="1" si="0"/>
        <v/>
      </c>
      <c r="E46" t="str">
        <f ca="1"/>
        <v>Divergent Transformations</v>
      </c>
      <c r="F46" s="2">
        <f t="shared" ca="1" si="3"/>
        <v>1</v>
      </c>
      <c r="G46" s="2" t="str">
        <f t="shared" ca="1" si="1"/>
        <v>JhoiraB</v>
      </c>
      <c r="I46" s="18"/>
      <c r="J46" t="s">
        <v>180</v>
      </c>
      <c r="K46" s="2">
        <v>1</v>
      </c>
      <c r="M46" t="str">
        <f ca="1"/>
        <v>Divergent Transformations</v>
      </c>
      <c r="N46" s="2">
        <f t="shared" ca="1" si="2"/>
        <v>1</v>
      </c>
      <c r="O46" s="2" t="str">
        <f ca="1">IFERROR(
 INDEX($U$2:$AX$2,
  MATCH(TRUE,
   CHOOSE({1;2;3;4;5;6;7;8;9;10;11;12;13;14;15;16;17;18;19;20;21;22;23;24;25;26;27;28;29;30;31;32},
    COUNTIFS($U$3:$U$201,$M46)&gt;0,
    COUNTIFS($V$3:$V$201,$M46)&gt;0,
    COUNTIFS($W$3:$W$201,$M46)&gt;0,
    COUNTIFS($X$3:$X$201,$M46)&gt;0,
    COUNTIFS($Y$3:$Y$201,$M46)&gt;0,
    COUNTIFS($Z$3:$Z$201,$M46)&gt;0,
    COUNTIFS($AA$3:$AA$201,$M46)&gt;0,
    COUNTIFS($AB$3:$AB$201,$M46)&gt;0,
    COUNTIFS($AC$3:$AC$201,$M46)&gt;0,
    COUNTIFS($AD$3:$AD$201,$M46)&gt;0,
    COUNTIFS($AE$3:$AE$201,$M46)&gt;0,
    COUNTIFS($AF$3:$AF$201,$M46)&gt;0,
    COUNTIFS($AG$3:$AG$201,$M46)&gt;0,
    COUNTIFS($AH$3:$AH$201,$M46)&gt;0,
    COUNTIFS($AI$3:$AI$201,$M46)&gt;0,
    COUNTIFS($AJ$3:$AJ$201,$M46)&gt;0,
    COUNTIFS($AK$3:$AK$201,$M46)&gt;0,
    COUNTIFS($AL$3:$AL$201,$M46)&gt;0,
    COUNTIFS($AM$3:$AM$201,$M46)&gt;0,
    COUNTIFS($AN$3:$AN$201,$M46)&gt;0,
    COUNTIFS($AO$3:$AO$201,$M46)&gt;0,
    COUNTIFS($AP$3:$AP$201,$M46)&gt;0,
    COUNTIFS($AQ$3:$AQ$201,$M46)&gt;0,
    COUNTIFS($AR$3:$AR$201,$M46)&gt;0,
    COUNTIFS($AS$3:$AS$201,$M46)&gt;0,
    COUNTIFS($AT$3:$AT$201,$M46)&gt;0,
    COUNTIFS($AU$3:$AU$201,$M46)&gt;0,
    COUNTIFS($AV$3:$AV$201,$M46)&gt;0,
    COUNTIFS($AW$3:$AW$201,$M46)&gt;0,
    COUNTIFS($AX$3:$AX$201,$M46)&gt;0
   ),
  0)
 ),
"")</f>
        <v>JhoiraB</v>
      </c>
      <c r="P46" s="2" t="str" cm="1">
        <f t="array" aca="1" ref="P46" ca="1">IFERROR(
 INDEX(
  _xlfn._xlws.FILTER($U$2:$AX$2,
   TRANSPOSE(
    CHOOSE({1;2;3;4;5;6;7;8;9;10;11;12;13;14;15;16;17;18;19;20;21;22;23;24;25;26;27;28;29;30},
     COUNTIFS($U$3:$U$201,$M46)&gt;0,
     COUNTIFS($V$3:$V$201,$M46)&gt;0,
     COUNTIFS($W$3:$W$201,$M46)&gt;0,
     COUNTIFS($X$3:$X$201,$M46)&gt;0,
     COUNTIFS($Y$3:$Y$201,$M46)&gt;0,
     COUNTIFS($Z$3:$Z$201,$M46)&gt;0,
     COUNTIFS($AA$3:$AA$201,$M46)&gt;0,
     COUNTIFS($AB$3:$AB$201,$M46)&gt;0,
     COUNTIFS($AC$3:$AC$201,$M46)&gt;0,
     COUNTIFS($AD$3:$AD$201,$M46)&gt;0,
     COUNTIFS($AE$3:$AE$201,$M46)&gt;0,
     COUNTIFS($AF$3:$AF$201,$M46)&gt;0,
     COUNTIFS($AG$3:$AG$201,$M46)&gt;0,
     COUNTIFS($AH$3:$AH$201,$M46)&gt;0,
     COUNTIFS($AI$3:$AI$201,$M46)&gt;0,
     COUNTIFS($AJ$3:$AJ$201,$M46)&gt;0,
     COUNTIFS($AK$3:$AK$201,$M46)&gt;0,
     COUNTIFS($AL$3:$AL$201,$M46)&gt;0,
     COUNTIFS($AM$3:$AM$201,$M46)&gt;0,
     COUNTIFS($AN$3:$AN$201,$M46)&gt;0,
     COUNTIFS($AO$3:$AO$201,$M46)&gt;0,
     COUNTIFS($AP$3:$AP$201,$M46)&gt;0,
     COUNTIFS($AQ$3:$AQ$201,$M46)&gt;0,
     COUNTIFS($AR$3:$AR$201,$M46)&gt;0,
     COUNTIFS($AS$3:$AS$201,$M46)&gt;0,
     COUNTIFS($AT$3:$AT$201,$M46)&gt;0,
     COUNTIFS($AU$3:$AU$201,$M46)&gt;0,
     COUNTIFS($AV$3:$AV$201,$M46)&gt;0,
     COUNTIFS($AW$3:$AW$201,$M46)&gt;0,
     COUNTIFS($AX$3:$AX$201,$M46)&gt;0
   )),
  ),
  2
 ),
"")</f>
        <v/>
      </c>
      <c r="Q46" s="2" t="str" cm="1">
        <f t="array" aca="1" ref="Q46" ca="1">IFERROR(
 INDEX(
  _xlfn._xlws.FILTER($U$2:$AX$2,
   TRANSPOSE(
    CHOOSE({1;2;3;4;5;6;7;8;9;10;11;12;13;14;15;16;17;18;19;20;21;22;23;24;25;26;27;28;29;30},
     COUNTIFS($U$3:$U$201,$M46)&gt;0,
     COUNTIFS($V$3:$V$201,$M46)&gt;0,
     COUNTIFS($W$3:$W$201,$M46)&gt;0,
     COUNTIFS($X$3:$X$201,$M46)&gt;0,
     COUNTIFS($Y$3:$Y$201,$M46)&gt;0,
     COUNTIFS($Z$3:$Z$201,$M46)&gt;0,
     COUNTIFS($AA$3:$AA$201,$M46)&gt;0,
     COUNTIFS($AB$3:$AB$201,$M46)&gt;0,
     COUNTIFS($AC$3:$AC$201,$M46)&gt;0,
     COUNTIFS($AD$3:$AD$201,$M46)&gt;0,
     COUNTIFS($AE$3:$AE$201,$M46)&gt;0,
     COUNTIFS($AF$3:$AF$201,$M46)&gt;0,
     COUNTIFS($AG$3:$AG$201,$M46)&gt;0,
     COUNTIFS($AH$3:$AH$201,$M46)&gt;0,
     COUNTIFS($AI$3:$AI$201,$M46)&gt;0,
     COUNTIFS($AJ$3:$AJ$201,$M46)&gt;0,
     COUNTIFS($AK$3:$AK$201,$M46)&gt;0,
     COUNTIFS($AL$3:$AL$201,$M46)&gt;0,
     COUNTIFS($AM$3:$AM$201,$M46)&gt;0,
     COUNTIFS($AN$3:$AN$201,$M46)&gt;0,
     COUNTIFS($AO$3:$AO$201,$M46)&gt;0,
     COUNTIFS($AP$3:$AP$201,$M46)&gt;0,
     COUNTIFS($AQ$3:$AQ$201,$M46)&gt;0,
     COUNTIFS($AR$3:$AR$201,$M46)&gt;0,
     COUNTIFS($AS$3:$AS$201,$M46)&gt;0,
     COUNTIFS($AT$3:$AT$201,$M46)&gt;0,
     COUNTIFS($AU$3:$AU$201,$M46)&gt;0,
     COUNTIFS($AV$3:$AV$201,$M46)&gt;0,
     COUNTIFS($AW$3:$AW$201,$M46)&gt;0,
     COUNTIFS($AX$3:$AX$201,$M46)&gt;0
   )),
  ),
  3
 ),
"")</f>
        <v/>
      </c>
      <c r="DO46" t="str">
        <f ca="1"/>
        <v>Scurry Oak</v>
      </c>
      <c r="EF46" t="str">
        <f ca="1"/>
        <v>Midnight Guard</v>
      </c>
      <c r="EG46" t="str">
        <f ca="1"/>
        <v>Nicol Bolas, Dragon-God</v>
      </c>
      <c r="EH46" t="e" vm="2">
        <f ca="1"/>
        <v>#VALUE!</v>
      </c>
      <c r="EO46" t="str">
        <f ca="1"/>
        <v>Fraying Sanity</v>
      </c>
      <c r="EP46" t="str">
        <f ca="1"/>
        <v>Nezahal, Primal Tide</v>
      </c>
      <c r="ET46" t="str">
        <f ca="1"/>
        <v>Dramatical Reversal</v>
      </c>
      <c r="EW46" t="str">
        <f ca="1"/>
        <v>Divergent Transformations</v>
      </c>
    </row>
    <row r="47" spans="1:153" x14ac:dyDescent="0.25">
      <c r="A47" t="str">
        <f ca="1"/>
        <v>Behind the Scenes</v>
      </c>
      <c r="B47" s="2" t="str" cm="1">
        <f t="array" aca="1" ref="B47" ca="1">_xlfn.ANCHORARRAY(RESUMO!C46)</f>
        <v>Little</v>
      </c>
      <c r="C47" s="2" t="str">
        <f t="shared" ca="1" si="0"/>
        <v/>
      </c>
      <c r="E47" t="str">
        <f ca="1"/>
        <v>Divine Visitation</v>
      </c>
      <c r="F47" s="2">
        <f t="shared" ca="1" si="3"/>
        <v>1</v>
      </c>
      <c r="G47" s="2" t="str">
        <f t="shared" ca="1" si="1"/>
        <v>Alela</v>
      </c>
      <c r="I47" s="18"/>
      <c r="J47" t="s">
        <v>180</v>
      </c>
      <c r="K47" s="2">
        <v>1</v>
      </c>
      <c r="M47" t="str">
        <f ca="1"/>
        <v>Divine Visitation</v>
      </c>
      <c r="N47" s="2">
        <f t="shared" ca="1" si="2"/>
        <v>1</v>
      </c>
      <c r="O47" s="2" t="str">
        <f ca="1">IFERROR(
 INDEX($U$2:$AX$2,
  MATCH(TRUE,
   CHOOSE({1;2;3;4;5;6;7;8;9;10;11;12;13;14;15;16;17;18;19;20;21;22;23;24;25;26;27;28;29;30;31;32},
    COUNTIFS($U$3:$U$201,$M47)&gt;0,
    COUNTIFS($V$3:$V$201,$M47)&gt;0,
    COUNTIFS($W$3:$W$201,$M47)&gt;0,
    COUNTIFS($X$3:$X$201,$M47)&gt;0,
    COUNTIFS($Y$3:$Y$201,$M47)&gt;0,
    COUNTIFS($Z$3:$Z$201,$M47)&gt;0,
    COUNTIFS($AA$3:$AA$201,$M47)&gt;0,
    COUNTIFS($AB$3:$AB$201,$M47)&gt;0,
    COUNTIFS($AC$3:$AC$201,$M47)&gt;0,
    COUNTIFS($AD$3:$AD$201,$M47)&gt;0,
    COUNTIFS($AE$3:$AE$201,$M47)&gt;0,
    COUNTIFS($AF$3:$AF$201,$M47)&gt;0,
    COUNTIFS($AG$3:$AG$201,$M47)&gt;0,
    COUNTIFS($AH$3:$AH$201,$M47)&gt;0,
    COUNTIFS($AI$3:$AI$201,$M47)&gt;0,
    COUNTIFS($AJ$3:$AJ$201,$M47)&gt;0,
    COUNTIFS($AK$3:$AK$201,$M47)&gt;0,
    COUNTIFS($AL$3:$AL$201,$M47)&gt;0,
    COUNTIFS($AM$3:$AM$201,$M47)&gt;0,
    COUNTIFS($AN$3:$AN$201,$M47)&gt;0,
    COUNTIFS($AO$3:$AO$201,$M47)&gt;0,
    COUNTIFS($AP$3:$AP$201,$M47)&gt;0,
    COUNTIFS($AQ$3:$AQ$201,$M47)&gt;0,
    COUNTIFS($AR$3:$AR$201,$M47)&gt;0,
    COUNTIFS($AS$3:$AS$201,$M47)&gt;0,
    COUNTIFS($AT$3:$AT$201,$M47)&gt;0,
    COUNTIFS($AU$3:$AU$201,$M47)&gt;0,
    COUNTIFS($AV$3:$AV$201,$M47)&gt;0,
    COUNTIFS($AW$3:$AW$201,$M47)&gt;0,
    COUNTIFS($AX$3:$AX$201,$M47)&gt;0
   ),
  0)
 ),
"")</f>
        <v>Alela</v>
      </c>
      <c r="P47" s="2" t="str" cm="1">
        <f t="array" aca="1" ref="P47" ca="1">IFERROR(
 INDEX(
  _xlfn._xlws.FILTER($U$2:$AX$2,
   TRANSPOSE(
    CHOOSE({1;2;3;4;5;6;7;8;9;10;11;12;13;14;15;16;17;18;19;20;21;22;23;24;25;26;27;28;29;30},
     COUNTIFS($U$3:$U$201,$M47)&gt;0,
     COUNTIFS($V$3:$V$201,$M47)&gt;0,
     COUNTIFS($W$3:$W$201,$M47)&gt;0,
     COUNTIFS($X$3:$X$201,$M47)&gt;0,
     COUNTIFS($Y$3:$Y$201,$M47)&gt;0,
     COUNTIFS($Z$3:$Z$201,$M47)&gt;0,
     COUNTIFS($AA$3:$AA$201,$M47)&gt;0,
     COUNTIFS($AB$3:$AB$201,$M47)&gt;0,
     COUNTIFS($AC$3:$AC$201,$M47)&gt;0,
     COUNTIFS($AD$3:$AD$201,$M47)&gt;0,
     COUNTIFS($AE$3:$AE$201,$M47)&gt;0,
     COUNTIFS($AF$3:$AF$201,$M47)&gt;0,
     COUNTIFS($AG$3:$AG$201,$M47)&gt;0,
     COUNTIFS($AH$3:$AH$201,$M47)&gt;0,
     COUNTIFS($AI$3:$AI$201,$M47)&gt;0,
     COUNTIFS($AJ$3:$AJ$201,$M47)&gt;0,
     COUNTIFS($AK$3:$AK$201,$M47)&gt;0,
     COUNTIFS($AL$3:$AL$201,$M47)&gt;0,
     COUNTIFS($AM$3:$AM$201,$M47)&gt;0,
     COUNTIFS($AN$3:$AN$201,$M47)&gt;0,
     COUNTIFS($AO$3:$AO$201,$M47)&gt;0,
     COUNTIFS($AP$3:$AP$201,$M47)&gt;0,
     COUNTIFS($AQ$3:$AQ$201,$M47)&gt;0,
     COUNTIFS($AR$3:$AR$201,$M47)&gt;0,
     COUNTIFS($AS$3:$AS$201,$M47)&gt;0,
     COUNTIFS($AT$3:$AT$201,$M47)&gt;0,
     COUNTIFS($AU$3:$AU$201,$M47)&gt;0,
     COUNTIFS($AV$3:$AV$201,$M47)&gt;0,
     COUNTIFS($AW$3:$AW$201,$M47)&gt;0,
     COUNTIFS($AX$3:$AX$201,$M47)&gt;0
   )),
  ),
  2
 ),
"")</f>
        <v/>
      </c>
      <c r="Q47" s="2" t="str" cm="1">
        <f t="array" aca="1" ref="Q47" ca="1">IFERROR(
 INDEX(
  _xlfn._xlws.FILTER($U$2:$AX$2,
   TRANSPOSE(
    CHOOSE({1;2;3;4;5;6;7;8;9;10;11;12;13;14;15;16;17;18;19;20;21;22;23;24;25;26;27;28;29;30},
     COUNTIFS($U$3:$U$201,$M47)&gt;0,
     COUNTIFS($V$3:$V$201,$M47)&gt;0,
     COUNTIFS($W$3:$W$201,$M47)&gt;0,
     COUNTIFS($X$3:$X$201,$M47)&gt;0,
     COUNTIFS($Y$3:$Y$201,$M47)&gt;0,
     COUNTIFS($Z$3:$Z$201,$M47)&gt;0,
     COUNTIFS($AA$3:$AA$201,$M47)&gt;0,
     COUNTIFS($AB$3:$AB$201,$M47)&gt;0,
     COUNTIFS($AC$3:$AC$201,$M47)&gt;0,
     COUNTIFS($AD$3:$AD$201,$M47)&gt;0,
     COUNTIFS($AE$3:$AE$201,$M47)&gt;0,
     COUNTIFS($AF$3:$AF$201,$M47)&gt;0,
     COUNTIFS($AG$3:$AG$201,$M47)&gt;0,
     COUNTIFS($AH$3:$AH$201,$M47)&gt;0,
     COUNTIFS($AI$3:$AI$201,$M47)&gt;0,
     COUNTIFS($AJ$3:$AJ$201,$M47)&gt;0,
     COUNTIFS($AK$3:$AK$201,$M47)&gt;0,
     COUNTIFS($AL$3:$AL$201,$M47)&gt;0,
     COUNTIFS($AM$3:$AM$201,$M47)&gt;0,
     COUNTIFS($AN$3:$AN$201,$M47)&gt;0,
     COUNTIFS($AO$3:$AO$201,$M47)&gt;0,
     COUNTIFS($AP$3:$AP$201,$M47)&gt;0,
     COUNTIFS($AQ$3:$AQ$201,$M47)&gt;0,
     COUNTIFS($AR$3:$AR$201,$M47)&gt;0,
     COUNTIFS($AS$3:$AS$201,$M47)&gt;0,
     COUNTIFS($AT$3:$AT$201,$M47)&gt;0,
     COUNTIFS($AU$3:$AU$201,$M47)&gt;0,
     COUNTIFS($AV$3:$AV$201,$M47)&gt;0,
     COUNTIFS($AW$3:$AW$201,$M47)&gt;0,
     COUNTIFS($AX$3:$AX$201,$M47)&gt;0
   )),
  ),
  3
 ),
"")</f>
        <v/>
      </c>
      <c r="DO47" t="str">
        <f ca="1"/>
        <v>Selesnya Sanctuary</v>
      </c>
      <c r="EF47" t="str">
        <f ca="1"/>
        <v>Mind Stone</v>
      </c>
      <c r="EG47" t="str">
        <f ca="1"/>
        <v>Oversold Cemetery</v>
      </c>
      <c r="EO47" t="str">
        <f ca="1"/>
        <v>Gavony Dawnguard</v>
      </c>
      <c r="EP47" t="str">
        <f ca="1"/>
        <v>Nimble Obstructionist</v>
      </c>
      <c r="ET47" t="str">
        <f ca="1"/>
        <v>Dreadship Reef</v>
      </c>
      <c r="EW47" t="str">
        <f ca="1"/>
        <v>Divine Visitation</v>
      </c>
    </row>
    <row r="48" spans="1:153" x14ac:dyDescent="0.25">
      <c r="A48" t="str">
        <f ca="1"/>
        <v>Beifong's Bounty Hunters</v>
      </c>
      <c r="B48" s="2" t="str" cm="1">
        <f t="array" aca="1" ref="B48" ca="1">_xlfn.ANCHORARRAY(RESUMO!C47)</f>
        <v>Kresh</v>
      </c>
      <c r="C48" s="2" t="str">
        <f t="shared" ca="1" si="0"/>
        <v/>
      </c>
      <c r="E48" t="str">
        <f ca="1"/>
        <v>Dragonhawk, Fate's Tempest</v>
      </c>
      <c r="F48" s="2">
        <f t="shared" ca="1" si="3"/>
        <v>1</v>
      </c>
      <c r="G48" s="2" t="str">
        <f t="shared" ca="1" si="1"/>
        <v/>
      </c>
      <c r="I48" s="18"/>
      <c r="J48" t="s">
        <v>180</v>
      </c>
      <c r="K48" s="2">
        <v>1</v>
      </c>
      <c r="M48" t="str">
        <f ca="1"/>
        <v>Dragonhawk, Fate's Tempest</v>
      </c>
      <c r="N48" s="2">
        <f t="shared" ca="1" si="2"/>
        <v>0</v>
      </c>
      <c r="O48" s="2" t="str">
        <f ca="1">IFERROR(
 INDEX($U$2:$AX$2,
  MATCH(TRUE,
   CHOOSE({1;2;3;4;5;6;7;8;9;10;11;12;13;14;15;16;17;18;19;20;21;22;23;24;25;26;27;28;29;30;31;32},
    COUNTIFS($U$3:$U$201,$M48)&gt;0,
    COUNTIFS($V$3:$V$201,$M48)&gt;0,
    COUNTIFS($W$3:$W$201,$M48)&gt;0,
    COUNTIFS($X$3:$X$201,$M48)&gt;0,
    COUNTIFS($Y$3:$Y$201,$M48)&gt;0,
    COUNTIFS($Z$3:$Z$201,$M48)&gt;0,
    COUNTIFS($AA$3:$AA$201,$M48)&gt;0,
    COUNTIFS($AB$3:$AB$201,$M48)&gt;0,
    COUNTIFS($AC$3:$AC$201,$M48)&gt;0,
    COUNTIFS($AD$3:$AD$201,$M48)&gt;0,
    COUNTIFS($AE$3:$AE$201,$M48)&gt;0,
    COUNTIFS($AF$3:$AF$201,$M48)&gt;0,
    COUNTIFS($AG$3:$AG$201,$M48)&gt;0,
    COUNTIFS($AH$3:$AH$201,$M48)&gt;0,
    COUNTIFS($AI$3:$AI$201,$M48)&gt;0,
    COUNTIFS($AJ$3:$AJ$201,$M48)&gt;0,
    COUNTIFS($AK$3:$AK$201,$M48)&gt;0,
    COUNTIFS($AL$3:$AL$201,$M48)&gt;0,
    COUNTIFS($AM$3:$AM$201,$M48)&gt;0,
    COUNTIFS($AN$3:$AN$201,$M48)&gt;0,
    COUNTIFS($AO$3:$AO$201,$M48)&gt;0,
    COUNTIFS($AP$3:$AP$201,$M48)&gt;0,
    COUNTIFS($AQ$3:$AQ$201,$M48)&gt;0,
    COUNTIFS($AR$3:$AR$201,$M48)&gt;0,
    COUNTIFS($AS$3:$AS$201,$M48)&gt;0,
    COUNTIFS($AT$3:$AT$201,$M48)&gt;0,
    COUNTIFS($AU$3:$AU$201,$M48)&gt;0,
    COUNTIFS($AV$3:$AV$201,$M48)&gt;0,
    COUNTIFS($AW$3:$AW$201,$M48)&gt;0,
    COUNTIFS($AX$3:$AX$201,$M48)&gt;0
   ),
  0)
 ),
"")</f>
        <v/>
      </c>
      <c r="P48" s="2" t="str" cm="1">
        <f t="array" aca="1" ref="P48" ca="1">IFERROR(
 INDEX(
  _xlfn._xlws.FILTER($U$2:$AX$2,
   TRANSPOSE(
    CHOOSE({1;2;3;4;5;6;7;8;9;10;11;12;13;14;15;16;17;18;19;20;21;22;23;24;25;26;27;28;29;30},
     COUNTIFS($U$3:$U$201,$M48)&gt;0,
     COUNTIFS($V$3:$V$201,$M48)&gt;0,
     COUNTIFS($W$3:$W$201,$M48)&gt;0,
     COUNTIFS($X$3:$X$201,$M48)&gt;0,
     COUNTIFS($Y$3:$Y$201,$M48)&gt;0,
     COUNTIFS($Z$3:$Z$201,$M48)&gt;0,
     COUNTIFS($AA$3:$AA$201,$M48)&gt;0,
     COUNTIFS($AB$3:$AB$201,$M48)&gt;0,
     COUNTIFS($AC$3:$AC$201,$M48)&gt;0,
     COUNTIFS($AD$3:$AD$201,$M48)&gt;0,
     COUNTIFS($AE$3:$AE$201,$M48)&gt;0,
     COUNTIFS($AF$3:$AF$201,$M48)&gt;0,
     COUNTIFS($AG$3:$AG$201,$M48)&gt;0,
     COUNTIFS($AH$3:$AH$201,$M48)&gt;0,
     COUNTIFS($AI$3:$AI$201,$M48)&gt;0,
     COUNTIFS($AJ$3:$AJ$201,$M48)&gt;0,
     COUNTIFS($AK$3:$AK$201,$M48)&gt;0,
     COUNTIFS($AL$3:$AL$201,$M48)&gt;0,
     COUNTIFS($AM$3:$AM$201,$M48)&gt;0,
     COUNTIFS($AN$3:$AN$201,$M48)&gt;0,
     COUNTIFS($AO$3:$AO$201,$M48)&gt;0,
     COUNTIFS($AP$3:$AP$201,$M48)&gt;0,
     COUNTIFS($AQ$3:$AQ$201,$M48)&gt;0,
     COUNTIFS($AR$3:$AR$201,$M48)&gt;0,
     COUNTIFS($AS$3:$AS$201,$M48)&gt;0,
     COUNTIFS($AT$3:$AT$201,$M48)&gt;0,
     COUNTIFS($AU$3:$AU$201,$M48)&gt;0,
     COUNTIFS($AV$3:$AV$201,$M48)&gt;0,
     COUNTIFS($AW$3:$AW$201,$M48)&gt;0,
     COUNTIFS($AX$3:$AX$201,$M48)&gt;0
   )),
  ),
  2
 ),
"")</f>
        <v/>
      </c>
      <c r="Q48" s="2" t="str" cm="1">
        <f t="array" aca="1" ref="Q48" ca="1">IFERROR(
 INDEX(
  _xlfn._xlws.FILTER($U$2:$AX$2,
   TRANSPOSE(
    CHOOSE({1;2;3;4;5;6;7;8;9;10;11;12;13;14;15;16;17;18;19;20;21;22;23;24;25;26;27;28;29;30},
     COUNTIFS($U$3:$U$201,$M48)&gt;0,
     COUNTIFS($V$3:$V$201,$M48)&gt;0,
     COUNTIFS($W$3:$W$201,$M48)&gt;0,
     COUNTIFS($X$3:$X$201,$M48)&gt;0,
     COUNTIFS($Y$3:$Y$201,$M48)&gt;0,
     COUNTIFS($Z$3:$Z$201,$M48)&gt;0,
     COUNTIFS($AA$3:$AA$201,$M48)&gt;0,
     COUNTIFS($AB$3:$AB$201,$M48)&gt;0,
     COUNTIFS($AC$3:$AC$201,$M48)&gt;0,
     COUNTIFS($AD$3:$AD$201,$M48)&gt;0,
     COUNTIFS($AE$3:$AE$201,$M48)&gt;0,
     COUNTIFS($AF$3:$AF$201,$M48)&gt;0,
     COUNTIFS($AG$3:$AG$201,$M48)&gt;0,
     COUNTIFS($AH$3:$AH$201,$M48)&gt;0,
     COUNTIFS($AI$3:$AI$201,$M48)&gt;0,
     COUNTIFS($AJ$3:$AJ$201,$M48)&gt;0,
     COUNTIFS($AK$3:$AK$201,$M48)&gt;0,
     COUNTIFS($AL$3:$AL$201,$M48)&gt;0,
     COUNTIFS($AM$3:$AM$201,$M48)&gt;0,
     COUNTIFS($AN$3:$AN$201,$M48)&gt;0,
     COUNTIFS($AO$3:$AO$201,$M48)&gt;0,
     COUNTIFS($AP$3:$AP$201,$M48)&gt;0,
     COUNTIFS($AQ$3:$AQ$201,$M48)&gt;0,
     COUNTIFS($AR$3:$AR$201,$M48)&gt;0,
     COUNTIFS($AS$3:$AS$201,$M48)&gt;0,
     COUNTIFS($AT$3:$AT$201,$M48)&gt;0,
     COUNTIFS($AU$3:$AU$201,$M48)&gt;0,
     COUNTIFS($AV$3:$AV$201,$M48)&gt;0,
     COUNTIFS($AW$3:$AW$201,$M48)&gt;0,
     COUNTIFS($AX$3:$AX$201,$M48)&gt;0
   )),
  ),
  3
 ),
"")</f>
        <v/>
      </c>
      <c r="DO48" t="str">
        <f ca="1"/>
        <v>Shortcut to Mushrooms</v>
      </c>
      <c r="EF48" t="str">
        <f ca="1"/>
        <v>Molten Slagheap</v>
      </c>
      <c r="EG48" t="str">
        <f ca="1"/>
        <v>Part the Waterveil</v>
      </c>
      <c r="EO48" t="str">
        <f ca="1"/>
        <v>Ghoulish Procession</v>
      </c>
      <c r="EP48" t="str">
        <f ca="1"/>
        <v>Outland Liberator</v>
      </c>
      <c r="ET48" t="str">
        <f ca="1"/>
        <v>Drown in the Loch</v>
      </c>
      <c r="EW48" t="str">
        <f ca="1"/>
        <v>Dragonhawk, Fate's Tempest</v>
      </c>
    </row>
    <row r="49" spans="1:153" x14ac:dyDescent="0.25">
      <c r="A49" t="str">
        <f ca="1"/>
        <v>Billiard Room</v>
      </c>
      <c r="B49" s="2" t="str" cm="1">
        <f t="array" aca="1" ref="B49" ca="1">_xlfn.ANCHORARRAY(RESUMO!C48)</f>
        <v>Zuko</v>
      </c>
      <c r="C49" s="2" t="str">
        <f t="shared" ca="1" si="0"/>
        <v/>
      </c>
      <c r="E49" t="str">
        <f ca="1"/>
        <v>Dramatical Reversal</v>
      </c>
      <c r="F49" s="2">
        <f t="shared" ca="1" si="3"/>
        <v>1</v>
      </c>
      <c r="G49" s="2" t="str">
        <f t="shared" ca="1" si="1"/>
        <v>Oona</v>
      </c>
      <c r="I49" s="18"/>
      <c r="J49" t="s">
        <v>180</v>
      </c>
      <c r="K49" s="2">
        <v>1</v>
      </c>
      <c r="M49" t="str">
        <f ca="1"/>
        <v>Dramatical Reversal</v>
      </c>
      <c r="N49" s="2">
        <f t="shared" ca="1" si="2"/>
        <v>1</v>
      </c>
      <c r="O49" s="2" t="str">
        <f ca="1">IFERROR(
 INDEX($U$2:$AX$2,
  MATCH(TRUE,
   CHOOSE({1;2;3;4;5;6;7;8;9;10;11;12;13;14;15;16;17;18;19;20;21;22;23;24;25;26;27;28;29;30;31;32},
    COUNTIFS($U$3:$U$201,$M49)&gt;0,
    COUNTIFS($V$3:$V$201,$M49)&gt;0,
    COUNTIFS($W$3:$W$201,$M49)&gt;0,
    COUNTIFS($X$3:$X$201,$M49)&gt;0,
    COUNTIFS($Y$3:$Y$201,$M49)&gt;0,
    COUNTIFS($Z$3:$Z$201,$M49)&gt;0,
    COUNTIFS($AA$3:$AA$201,$M49)&gt;0,
    COUNTIFS($AB$3:$AB$201,$M49)&gt;0,
    COUNTIFS($AC$3:$AC$201,$M49)&gt;0,
    COUNTIFS($AD$3:$AD$201,$M49)&gt;0,
    COUNTIFS($AE$3:$AE$201,$M49)&gt;0,
    COUNTIFS($AF$3:$AF$201,$M49)&gt;0,
    COUNTIFS($AG$3:$AG$201,$M49)&gt;0,
    COUNTIFS($AH$3:$AH$201,$M49)&gt;0,
    COUNTIFS($AI$3:$AI$201,$M49)&gt;0,
    COUNTIFS($AJ$3:$AJ$201,$M49)&gt;0,
    COUNTIFS($AK$3:$AK$201,$M49)&gt;0,
    COUNTIFS($AL$3:$AL$201,$M49)&gt;0,
    COUNTIFS($AM$3:$AM$201,$M49)&gt;0,
    COUNTIFS($AN$3:$AN$201,$M49)&gt;0,
    COUNTIFS($AO$3:$AO$201,$M49)&gt;0,
    COUNTIFS($AP$3:$AP$201,$M49)&gt;0,
    COUNTIFS($AQ$3:$AQ$201,$M49)&gt;0,
    COUNTIFS($AR$3:$AR$201,$M49)&gt;0,
    COUNTIFS($AS$3:$AS$201,$M49)&gt;0,
    COUNTIFS($AT$3:$AT$201,$M49)&gt;0,
    COUNTIFS($AU$3:$AU$201,$M49)&gt;0,
    COUNTIFS($AV$3:$AV$201,$M49)&gt;0,
    COUNTIFS($AW$3:$AW$201,$M49)&gt;0,
    COUNTIFS($AX$3:$AX$201,$M49)&gt;0
   ),
  0)
 ),
"")</f>
        <v>Oona</v>
      </c>
      <c r="P49" s="2" t="str" cm="1">
        <f t="array" aca="1" ref="P49" ca="1">IFERROR(
 INDEX(
  _xlfn._xlws.FILTER($U$2:$AX$2,
   TRANSPOSE(
    CHOOSE({1;2;3;4;5;6;7;8;9;10;11;12;13;14;15;16;17;18;19;20;21;22;23;24;25;26;27;28;29;30},
     COUNTIFS($U$3:$U$201,$M49)&gt;0,
     COUNTIFS($V$3:$V$201,$M49)&gt;0,
     COUNTIFS($W$3:$W$201,$M49)&gt;0,
     COUNTIFS($X$3:$X$201,$M49)&gt;0,
     COUNTIFS($Y$3:$Y$201,$M49)&gt;0,
     COUNTIFS($Z$3:$Z$201,$M49)&gt;0,
     COUNTIFS($AA$3:$AA$201,$M49)&gt;0,
     COUNTIFS($AB$3:$AB$201,$M49)&gt;0,
     COUNTIFS($AC$3:$AC$201,$M49)&gt;0,
     COUNTIFS($AD$3:$AD$201,$M49)&gt;0,
     COUNTIFS($AE$3:$AE$201,$M49)&gt;0,
     COUNTIFS($AF$3:$AF$201,$M49)&gt;0,
     COUNTIFS($AG$3:$AG$201,$M49)&gt;0,
     COUNTIFS($AH$3:$AH$201,$M49)&gt;0,
     COUNTIFS($AI$3:$AI$201,$M49)&gt;0,
     COUNTIFS($AJ$3:$AJ$201,$M49)&gt;0,
     COUNTIFS($AK$3:$AK$201,$M49)&gt;0,
     COUNTIFS($AL$3:$AL$201,$M49)&gt;0,
     COUNTIFS($AM$3:$AM$201,$M49)&gt;0,
     COUNTIFS($AN$3:$AN$201,$M49)&gt;0,
     COUNTIFS($AO$3:$AO$201,$M49)&gt;0,
     COUNTIFS($AP$3:$AP$201,$M49)&gt;0,
     COUNTIFS($AQ$3:$AQ$201,$M49)&gt;0,
     COUNTIFS($AR$3:$AR$201,$M49)&gt;0,
     COUNTIFS($AS$3:$AS$201,$M49)&gt;0,
     COUNTIFS($AT$3:$AT$201,$M49)&gt;0,
     COUNTIFS($AU$3:$AU$201,$M49)&gt;0,
     COUNTIFS($AV$3:$AV$201,$M49)&gt;0,
     COUNTIFS($AW$3:$AW$201,$M49)&gt;0,
     COUNTIFS($AX$3:$AX$201,$M49)&gt;0
   )),
  ),
  2
 ),
"")</f>
        <v/>
      </c>
      <c r="Q49" s="2" t="str" cm="1">
        <f t="array" aca="1" ref="Q49" ca="1">IFERROR(
 INDEX(
  _xlfn._xlws.FILTER($U$2:$AX$2,
   TRANSPOSE(
    CHOOSE({1;2;3;4;5;6;7;8;9;10;11;12;13;14;15;16;17;18;19;20;21;22;23;24;25;26;27;28;29;30},
     COUNTIFS($U$3:$U$201,$M49)&gt;0,
     COUNTIFS($V$3:$V$201,$M49)&gt;0,
     COUNTIFS($W$3:$W$201,$M49)&gt;0,
     COUNTIFS($X$3:$X$201,$M49)&gt;0,
     COUNTIFS($Y$3:$Y$201,$M49)&gt;0,
     COUNTIFS($Z$3:$Z$201,$M49)&gt;0,
     COUNTIFS($AA$3:$AA$201,$M49)&gt;0,
     COUNTIFS($AB$3:$AB$201,$M49)&gt;0,
     COUNTIFS($AC$3:$AC$201,$M49)&gt;0,
     COUNTIFS($AD$3:$AD$201,$M49)&gt;0,
     COUNTIFS($AE$3:$AE$201,$M49)&gt;0,
     COUNTIFS($AF$3:$AF$201,$M49)&gt;0,
     COUNTIFS($AG$3:$AG$201,$M49)&gt;0,
     COUNTIFS($AH$3:$AH$201,$M49)&gt;0,
     COUNTIFS($AI$3:$AI$201,$M49)&gt;0,
     COUNTIFS($AJ$3:$AJ$201,$M49)&gt;0,
     COUNTIFS($AK$3:$AK$201,$M49)&gt;0,
     COUNTIFS($AL$3:$AL$201,$M49)&gt;0,
     COUNTIFS($AM$3:$AM$201,$M49)&gt;0,
     COUNTIFS($AN$3:$AN$201,$M49)&gt;0,
     COUNTIFS($AO$3:$AO$201,$M49)&gt;0,
     COUNTIFS($AP$3:$AP$201,$M49)&gt;0,
     COUNTIFS($AQ$3:$AQ$201,$M49)&gt;0,
     COUNTIFS($AR$3:$AR$201,$M49)&gt;0,
     COUNTIFS($AS$3:$AS$201,$M49)&gt;0,
     COUNTIFS($AT$3:$AT$201,$M49)&gt;0,
     COUNTIFS($AU$3:$AU$201,$M49)&gt;0,
     COUNTIFS($AV$3:$AV$201,$M49)&gt;0,
     COUNTIFS($AW$3:$AW$201,$M49)&gt;0,
     COUNTIFS($AX$3:$AX$201,$M49)&gt;0
   )),
  ),
  3
 ),
"")</f>
        <v/>
      </c>
      <c r="DO49" t="str">
        <f ca="1"/>
        <v>Simian Simulacrum</v>
      </c>
      <c r="EF49" t="str">
        <f ca="1"/>
        <v>Morbid Opportunist</v>
      </c>
      <c r="EG49" t="str">
        <f ca="1"/>
        <v>Patriarch's Bidding</v>
      </c>
      <c r="EO49" t="str">
        <f ca="1"/>
        <v>Glimmer Lens</v>
      </c>
      <c r="EP49" t="str">
        <f ca="1"/>
        <v>Pensamento Sombrio</v>
      </c>
      <c r="ET49" t="str">
        <f ca="1"/>
        <v>Duplicant</v>
      </c>
      <c r="EW49" t="str">
        <f ca="1"/>
        <v>Dramatical Reversal</v>
      </c>
    </row>
    <row r="50" spans="1:153" x14ac:dyDescent="0.25">
      <c r="A50" t="str">
        <f ca="1"/>
        <v>Birds of Paradise</v>
      </c>
      <c r="B50" s="2" t="str" cm="1">
        <f t="array" aca="1" ref="B50" ca="1">_xlfn.ANCHORARRAY(RESUMO!C49)</f>
        <v>Ool</v>
      </c>
      <c r="C50" s="2" t="str">
        <f t="shared" ca="1" si="0"/>
        <v/>
      </c>
      <c r="E50" t="str">
        <f ca="1"/>
        <v>Dreadship Reef</v>
      </c>
      <c r="F50" s="2">
        <f t="shared" ca="1" si="3"/>
        <v>1</v>
      </c>
      <c r="G50" s="2" t="str">
        <f t="shared" ca="1" si="1"/>
        <v>Rani</v>
      </c>
      <c r="I50" s="18"/>
      <c r="J50" t="s">
        <v>180</v>
      </c>
      <c r="K50" s="2">
        <v>1</v>
      </c>
      <c r="M50" t="str">
        <f ca="1"/>
        <v>Dreadship Reef</v>
      </c>
      <c r="N50" s="2">
        <f t="shared" ca="1" si="2"/>
        <v>1</v>
      </c>
      <c r="O50" s="2" t="str">
        <f ca="1">IFERROR(
 INDEX($U$2:$AX$2,
  MATCH(TRUE,
   CHOOSE({1;2;3;4;5;6;7;8;9;10;11;12;13;14;15;16;17;18;19;20;21;22;23;24;25;26;27;28;29;30;31;32},
    COUNTIFS($U$3:$U$201,$M50)&gt;0,
    COUNTIFS($V$3:$V$201,$M50)&gt;0,
    COUNTIFS($W$3:$W$201,$M50)&gt;0,
    COUNTIFS($X$3:$X$201,$M50)&gt;0,
    COUNTIFS($Y$3:$Y$201,$M50)&gt;0,
    COUNTIFS($Z$3:$Z$201,$M50)&gt;0,
    COUNTIFS($AA$3:$AA$201,$M50)&gt;0,
    COUNTIFS($AB$3:$AB$201,$M50)&gt;0,
    COUNTIFS($AC$3:$AC$201,$M50)&gt;0,
    COUNTIFS($AD$3:$AD$201,$M50)&gt;0,
    COUNTIFS($AE$3:$AE$201,$M50)&gt;0,
    COUNTIFS($AF$3:$AF$201,$M50)&gt;0,
    COUNTIFS($AG$3:$AG$201,$M50)&gt;0,
    COUNTIFS($AH$3:$AH$201,$M50)&gt;0,
    COUNTIFS($AI$3:$AI$201,$M50)&gt;0,
    COUNTIFS($AJ$3:$AJ$201,$M50)&gt;0,
    COUNTIFS($AK$3:$AK$201,$M50)&gt;0,
    COUNTIFS($AL$3:$AL$201,$M50)&gt;0,
    COUNTIFS($AM$3:$AM$201,$M50)&gt;0,
    COUNTIFS($AN$3:$AN$201,$M50)&gt;0,
    COUNTIFS($AO$3:$AO$201,$M50)&gt;0,
    COUNTIFS($AP$3:$AP$201,$M50)&gt;0,
    COUNTIFS($AQ$3:$AQ$201,$M50)&gt;0,
    COUNTIFS($AR$3:$AR$201,$M50)&gt;0,
    COUNTIFS($AS$3:$AS$201,$M50)&gt;0,
    COUNTIFS($AT$3:$AT$201,$M50)&gt;0,
    COUNTIFS($AU$3:$AU$201,$M50)&gt;0,
    COUNTIFS($AV$3:$AV$201,$M50)&gt;0,
    COUNTIFS($AW$3:$AW$201,$M50)&gt;0,
    COUNTIFS($AX$3:$AX$201,$M50)&gt;0
   ),
  0)
 ),
"")</f>
        <v>Rani</v>
      </c>
      <c r="P50" s="2" t="str" cm="1">
        <f t="array" aca="1" ref="P50" ca="1">IFERROR(
 INDEX(
  _xlfn._xlws.FILTER($U$2:$AX$2,
   TRANSPOSE(
    CHOOSE({1;2;3;4;5;6;7;8;9;10;11;12;13;14;15;16;17;18;19;20;21;22;23;24;25;26;27;28;29;30},
     COUNTIFS($U$3:$U$201,$M50)&gt;0,
     COUNTIFS($V$3:$V$201,$M50)&gt;0,
     COUNTIFS($W$3:$W$201,$M50)&gt;0,
     COUNTIFS($X$3:$X$201,$M50)&gt;0,
     COUNTIFS($Y$3:$Y$201,$M50)&gt;0,
     COUNTIFS($Z$3:$Z$201,$M50)&gt;0,
     COUNTIFS($AA$3:$AA$201,$M50)&gt;0,
     COUNTIFS($AB$3:$AB$201,$M50)&gt;0,
     COUNTIFS($AC$3:$AC$201,$M50)&gt;0,
     COUNTIFS($AD$3:$AD$201,$M50)&gt;0,
     COUNTIFS($AE$3:$AE$201,$M50)&gt;0,
     COUNTIFS($AF$3:$AF$201,$M50)&gt;0,
     COUNTIFS($AG$3:$AG$201,$M50)&gt;0,
     COUNTIFS($AH$3:$AH$201,$M50)&gt;0,
     COUNTIFS($AI$3:$AI$201,$M50)&gt;0,
     COUNTIFS($AJ$3:$AJ$201,$M50)&gt;0,
     COUNTIFS($AK$3:$AK$201,$M50)&gt;0,
     COUNTIFS($AL$3:$AL$201,$M50)&gt;0,
     COUNTIFS($AM$3:$AM$201,$M50)&gt;0,
     COUNTIFS($AN$3:$AN$201,$M50)&gt;0,
     COUNTIFS($AO$3:$AO$201,$M50)&gt;0,
     COUNTIFS($AP$3:$AP$201,$M50)&gt;0,
     COUNTIFS($AQ$3:$AQ$201,$M50)&gt;0,
     COUNTIFS($AR$3:$AR$201,$M50)&gt;0,
     COUNTIFS($AS$3:$AS$201,$M50)&gt;0,
     COUNTIFS($AT$3:$AT$201,$M50)&gt;0,
     COUNTIFS($AU$3:$AU$201,$M50)&gt;0,
     COUNTIFS($AV$3:$AV$201,$M50)&gt;0,
     COUNTIFS($AW$3:$AW$201,$M50)&gt;0,
     COUNTIFS($AX$3:$AX$201,$M50)&gt;0
   )),
  ),
  2
 ),
"")</f>
        <v/>
      </c>
      <c r="Q50" s="2" t="str" cm="1">
        <f t="array" aca="1" ref="Q50" ca="1">IFERROR(
 INDEX(
  _xlfn._xlws.FILTER($U$2:$AX$2,
   TRANSPOSE(
    CHOOSE({1;2;3;4;5;6;7;8;9;10;11;12;13;14;15;16;17;18;19;20;21;22;23;24;25;26;27;28;29;30},
     COUNTIFS($U$3:$U$201,$M50)&gt;0,
     COUNTIFS($V$3:$V$201,$M50)&gt;0,
     COUNTIFS($W$3:$W$201,$M50)&gt;0,
     COUNTIFS($X$3:$X$201,$M50)&gt;0,
     COUNTIFS($Y$3:$Y$201,$M50)&gt;0,
     COUNTIFS($Z$3:$Z$201,$M50)&gt;0,
     COUNTIFS($AA$3:$AA$201,$M50)&gt;0,
     COUNTIFS($AB$3:$AB$201,$M50)&gt;0,
     COUNTIFS($AC$3:$AC$201,$M50)&gt;0,
     COUNTIFS($AD$3:$AD$201,$M50)&gt;0,
     COUNTIFS($AE$3:$AE$201,$M50)&gt;0,
     COUNTIFS($AF$3:$AF$201,$M50)&gt;0,
     COUNTIFS($AG$3:$AG$201,$M50)&gt;0,
     COUNTIFS($AH$3:$AH$201,$M50)&gt;0,
     COUNTIFS($AI$3:$AI$201,$M50)&gt;0,
     COUNTIFS($AJ$3:$AJ$201,$M50)&gt;0,
     COUNTIFS($AK$3:$AK$201,$M50)&gt;0,
     COUNTIFS($AL$3:$AL$201,$M50)&gt;0,
     COUNTIFS($AM$3:$AM$201,$M50)&gt;0,
     COUNTIFS($AN$3:$AN$201,$M50)&gt;0,
     COUNTIFS($AO$3:$AO$201,$M50)&gt;0,
     COUNTIFS($AP$3:$AP$201,$M50)&gt;0,
     COUNTIFS($AQ$3:$AQ$201,$M50)&gt;0,
     COUNTIFS($AR$3:$AR$201,$M50)&gt;0,
     COUNTIFS($AS$3:$AS$201,$M50)&gt;0,
     COUNTIFS($AT$3:$AT$201,$M50)&gt;0,
     COUNTIFS($AU$3:$AU$201,$M50)&gt;0,
     COUNTIFS($AV$3:$AV$201,$M50)&gt;0,
     COUNTIFS($AW$3:$AW$201,$M50)&gt;0,
     COUNTIFS($AX$3:$AX$201,$M50)&gt;0
   )),
  ),
  3
 ),
"")</f>
        <v/>
      </c>
      <c r="DO50" t="str">
        <f ca="1"/>
        <v>Solidarity of Heroes</v>
      </c>
      <c r="EF50" t="str">
        <f ca="1"/>
        <v>Mountain</v>
      </c>
      <c r="EG50" t="str">
        <f ca="1"/>
        <v>Pentavus</v>
      </c>
      <c r="EO50" t="str">
        <f ca="1"/>
        <v>Goblin Bombardment</v>
      </c>
      <c r="EP50" t="str">
        <f ca="1"/>
        <v>Pestilence</v>
      </c>
      <c r="ET50" t="str">
        <f ca="1"/>
        <v>Duty Beyond Death</v>
      </c>
      <c r="EW50" t="str">
        <f ca="1"/>
        <v>Dreadship Reef</v>
      </c>
    </row>
    <row r="51" spans="1:153" x14ac:dyDescent="0.25">
      <c r="A51" t="str">
        <f ca="1"/>
        <v>Bitterbloom Bearer</v>
      </c>
      <c r="B51" s="2" t="str" cm="1">
        <f t="array" aca="1" ref="B51" ca="1">_xlfn.ANCHORARRAY(RESUMO!C50)</f>
        <v>Zimone</v>
      </c>
      <c r="C51" s="2" t="str">
        <f t="shared" ca="1" si="0"/>
        <v/>
      </c>
      <c r="E51" t="str">
        <f ca="1"/>
        <v>Drown in the Loch</v>
      </c>
      <c r="F51" s="2">
        <f t="shared" ca="1" si="3"/>
        <v>1</v>
      </c>
      <c r="G51" s="2" t="str">
        <f t="shared" ca="1" si="1"/>
        <v>Inalla</v>
      </c>
      <c r="I51" s="18"/>
      <c r="J51" t="s">
        <v>180</v>
      </c>
      <c r="K51" s="2">
        <v>1</v>
      </c>
      <c r="M51" t="str">
        <f ca="1"/>
        <v>Drown in the Loch</v>
      </c>
      <c r="N51" s="2">
        <f t="shared" ca="1" si="2"/>
        <v>1</v>
      </c>
      <c r="O51" s="2" t="str">
        <f ca="1">IFERROR(
 INDEX($U$2:$AX$2,
  MATCH(TRUE,
   CHOOSE({1;2;3;4;5;6;7;8;9;10;11;12;13;14;15;16;17;18;19;20;21;22;23;24;25;26;27;28;29;30;31;32},
    COUNTIFS($U$3:$U$201,$M51)&gt;0,
    COUNTIFS($V$3:$V$201,$M51)&gt;0,
    COUNTIFS($W$3:$W$201,$M51)&gt;0,
    COUNTIFS($X$3:$X$201,$M51)&gt;0,
    COUNTIFS($Y$3:$Y$201,$M51)&gt;0,
    COUNTIFS($Z$3:$Z$201,$M51)&gt;0,
    COUNTIFS($AA$3:$AA$201,$M51)&gt;0,
    COUNTIFS($AB$3:$AB$201,$M51)&gt;0,
    COUNTIFS($AC$3:$AC$201,$M51)&gt;0,
    COUNTIFS($AD$3:$AD$201,$M51)&gt;0,
    COUNTIFS($AE$3:$AE$201,$M51)&gt;0,
    COUNTIFS($AF$3:$AF$201,$M51)&gt;0,
    COUNTIFS($AG$3:$AG$201,$M51)&gt;0,
    COUNTIFS($AH$3:$AH$201,$M51)&gt;0,
    COUNTIFS($AI$3:$AI$201,$M51)&gt;0,
    COUNTIFS($AJ$3:$AJ$201,$M51)&gt;0,
    COUNTIFS($AK$3:$AK$201,$M51)&gt;0,
    COUNTIFS($AL$3:$AL$201,$M51)&gt;0,
    COUNTIFS($AM$3:$AM$201,$M51)&gt;0,
    COUNTIFS($AN$3:$AN$201,$M51)&gt;0,
    COUNTIFS($AO$3:$AO$201,$M51)&gt;0,
    COUNTIFS($AP$3:$AP$201,$M51)&gt;0,
    COUNTIFS($AQ$3:$AQ$201,$M51)&gt;0,
    COUNTIFS($AR$3:$AR$201,$M51)&gt;0,
    COUNTIFS($AS$3:$AS$201,$M51)&gt;0,
    COUNTIFS($AT$3:$AT$201,$M51)&gt;0,
    COUNTIFS($AU$3:$AU$201,$M51)&gt;0,
    COUNTIFS($AV$3:$AV$201,$M51)&gt;0,
    COUNTIFS($AW$3:$AW$201,$M51)&gt;0,
    COUNTIFS($AX$3:$AX$201,$M51)&gt;0
   ),
  0)
 ),
"")</f>
        <v>Inalla</v>
      </c>
      <c r="P51" s="2" t="str" cm="1">
        <f t="array" aca="1" ref="P51" ca="1">IFERROR(
 INDEX(
  _xlfn._xlws.FILTER($U$2:$AX$2,
   TRANSPOSE(
    CHOOSE({1;2;3;4;5;6;7;8;9;10;11;12;13;14;15;16;17;18;19;20;21;22;23;24;25;26;27;28;29;30},
     COUNTIFS($U$3:$U$201,$M51)&gt;0,
     COUNTIFS($V$3:$V$201,$M51)&gt;0,
     COUNTIFS($W$3:$W$201,$M51)&gt;0,
     COUNTIFS($X$3:$X$201,$M51)&gt;0,
     COUNTIFS($Y$3:$Y$201,$M51)&gt;0,
     COUNTIFS($Z$3:$Z$201,$M51)&gt;0,
     COUNTIFS($AA$3:$AA$201,$M51)&gt;0,
     COUNTIFS($AB$3:$AB$201,$M51)&gt;0,
     COUNTIFS($AC$3:$AC$201,$M51)&gt;0,
     COUNTIFS($AD$3:$AD$201,$M51)&gt;0,
     COUNTIFS($AE$3:$AE$201,$M51)&gt;0,
     COUNTIFS($AF$3:$AF$201,$M51)&gt;0,
     COUNTIFS($AG$3:$AG$201,$M51)&gt;0,
     COUNTIFS($AH$3:$AH$201,$M51)&gt;0,
     COUNTIFS($AI$3:$AI$201,$M51)&gt;0,
     COUNTIFS($AJ$3:$AJ$201,$M51)&gt;0,
     COUNTIFS($AK$3:$AK$201,$M51)&gt;0,
     COUNTIFS($AL$3:$AL$201,$M51)&gt;0,
     COUNTIFS($AM$3:$AM$201,$M51)&gt;0,
     COUNTIFS($AN$3:$AN$201,$M51)&gt;0,
     COUNTIFS($AO$3:$AO$201,$M51)&gt;0,
     COUNTIFS($AP$3:$AP$201,$M51)&gt;0,
     COUNTIFS($AQ$3:$AQ$201,$M51)&gt;0,
     COUNTIFS($AR$3:$AR$201,$M51)&gt;0,
     COUNTIFS($AS$3:$AS$201,$M51)&gt;0,
     COUNTIFS($AT$3:$AT$201,$M51)&gt;0,
     COUNTIFS($AU$3:$AU$201,$M51)&gt;0,
     COUNTIFS($AV$3:$AV$201,$M51)&gt;0,
     COUNTIFS($AW$3:$AW$201,$M51)&gt;0,
     COUNTIFS($AX$3:$AX$201,$M51)&gt;0
   )),
  ),
  2
 ),
"")</f>
        <v/>
      </c>
      <c r="Q51" s="2" t="str" cm="1">
        <f t="array" aca="1" ref="Q51" ca="1">IFERROR(
 INDEX(
  _xlfn._xlws.FILTER($U$2:$AX$2,
   TRANSPOSE(
    CHOOSE({1;2;3;4;5;6;7;8;9;10;11;12;13;14;15;16;17;18;19;20;21;22;23;24;25;26;27;28;29;30},
     COUNTIFS($U$3:$U$201,$M51)&gt;0,
     COUNTIFS($V$3:$V$201,$M51)&gt;0,
     COUNTIFS($W$3:$W$201,$M51)&gt;0,
     COUNTIFS($X$3:$X$201,$M51)&gt;0,
     COUNTIFS($Y$3:$Y$201,$M51)&gt;0,
     COUNTIFS($Z$3:$Z$201,$M51)&gt;0,
     COUNTIFS($AA$3:$AA$201,$M51)&gt;0,
     COUNTIFS($AB$3:$AB$201,$M51)&gt;0,
     COUNTIFS($AC$3:$AC$201,$M51)&gt;0,
     COUNTIFS($AD$3:$AD$201,$M51)&gt;0,
     COUNTIFS($AE$3:$AE$201,$M51)&gt;0,
     COUNTIFS($AF$3:$AF$201,$M51)&gt;0,
     COUNTIFS($AG$3:$AG$201,$M51)&gt;0,
     COUNTIFS($AH$3:$AH$201,$M51)&gt;0,
     COUNTIFS($AI$3:$AI$201,$M51)&gt;0,
     COUNTIFS($AJ$3:$AJ$201,$M51)&gt;0,
     COUNTIFS($AK$3:$AK$201,$M51)&gt;0,
     COUNTIFS($AL$3:$AL$201,$M51)&gt;0,
     COUNTIFS($AM$3:$AM$201,$M51)&gt;0,
     COUNTIFS($AN$3:$AN$201,$M51)&gt;0,
     COUNTIFS($AO$3:$AO$201,$M51)&gt;0,
     COUNTIFS($AP$3:$AP$201,$M51)&gt;0,
     COUNTIFS($AQ$3:$AQ$201,$M51)&gt;0,
     COUNTIFS($AR$3:$AR$201,$M51)&gt;0,
     COUNTIFS($AS$3:$AS$201,$M51)&gt;0,
     COUNTIFS($AT$3:$AT$201,$M51)&gt;0,
     COUNTIFS($AU$3:$AU$201,$M51)&gt;0,
     COUNTIFS($AV$3:$AV$201,$M51)&gt;0,
     COUNTIFS($AW$3:$AW$201,$M51)&gt;0,
     COUNTIFS($AX$3:$AX$201,$M51)&gt;0
   )),
  ),
  3
 ),
"")</f>
        <v/>
      </c>
      <c r="DO51" t="str">
        <f ca="1"/>
        <v>Surge of Salvation</v>
      </c>
      <c r="EF51" t="str">
        <f ca="1"/>
        <v>Muldrotha, the Gravetide</v>
      </c>
      <c r="EG51" t="str">
        <f ca="1"/>
        <v>Plate Armor</v>
      </c>
      <c r="EO51" t="str">
        <f ca="1"/>
        <v>Goblin Morningstar</v>
      </c>
      <c r="EP51" t="str">
        <f ca="1"/>
        <v>Plains</v>
      </c>
      <c r="ET51" t="str">
        <f ca="1"/>
        <v>Earth Kingdom General</v>
      </c>
      <c r="EW51" t="str">
        <f ca="1"/>
        <v>Drown in the Loch</v>
      </c>
    </row>
    <row r="52" spans="1:153" x14ac:dyDescent="0.25">
      <c r="A52" t="str">
        <f ca="1"/>
        <v>Bitterblossom</v>
      </c>
      <c r="B52" s="2" t="str" cm="1">
        <f t="array" aca="1" ref="B52" ca="1">_xlfn.ANCHORARRAY(RESUMO!C51)</f>
        <v>Alela</v>
      </c>
      <c r="C52" s="2" t="str">
        <f t="shared" ca="1" si="0"/>
        <v/>
      </c>
      <c r="E52" t="str">
        <f ca="1"/>
        <v>Duplicant</v>
      </c>
      <c r="F52" s="2">
        <f t="shared" ca="1" si="3"/>
        <v>1</v>
      </c>
      <c r="G52" s="2" t="str">
        <f t="shared" ca="1" si="1"/>
        <v>Muzzio</v>
      </c>
      <c r="I52" s="18"/>
      <c r="J52" t="s">
        <v>180</v>
      </c>
      <c r="K52" s="2">
        <v>1</v>
      </c>
      <c r="M52" t="str">
        <f ca="1"/>
        <v>Duplicant</v>
      </c>
      <c r="N52" s="2">
        <f t="shared" ca="1" si="2"/>
        <v>1</v>
      </c>
      <c r="O52" s="2" t="str">
        <f ca="1">IFERROR(
 INDEX($U$2:$AX$2,
  MATCH(TRUE,
   CHOOSE({1;2;3;4;5;6;7;8;9;10;11;12;13;14;15;16;17;18;19;20;21;22;23;24;25;26;27;28;29;30;31;32},
    COUNTIFS($U$3:$U$201,$M52)&gt;0,
    COUNTIFS($V$3:$V$201,$M52)&gt;0,
    COUNTIFS($W$3:$W$201,$M52)&gt;0,
    COUNTIFS($X$3:$X$201,$M52)&gt;0,
    COUNTIFS($Y$3:$Y$201,$M52)&gt;0,
    COUNTIFS($Z$3:$Z$201,$M52)&gt;0,
    COUNTIFS($AA$3:$AA$201,$M52)&gt;0,
    COUNTIFS($AB$3:$AB$201,$M52)&gt;0,
    COUNTIFS($AC$3:$AC$201,$M52)&gt;0,
    COUNTIFS($AD$3:$AD$201,$M52)&gt;0,
    COUNTIFS($AE$3:$AE$201,$M52)&gt;0,
    COUNTIFS($AF$3:$AF$201,$M52)&gt;0,
    COUNTIFS($AG$3:$AG$201,$M52)&gt;0,
    COUNTIFS($AH$3:$AH$201,$M52)&gt;0,
    COUNTIFS($AI$3:$AI$201,$M52)&gt;0,
    COUNTIFS($AJ$3:$AJ$201,$M52)&gt;0,
    COUNTIFS($AK$3:$AK$201,$M52)&gt;0,
    COUNTIFS($AL$3:$AL$201,$M52)&gt;0,
    COUNTIFS($AM$3:$AM$201,$M52)&gt;0,
    COUNTIFS($AN$3:$AN$201,$M52)&gt;0,
    COUNTIFS($AO$3:$AO$201,$M52)&gt;0,
    COUNTIFS($AP$3:$AP$201,$M52)&gt;0,
    COUNTIFS($AQ$3:$AQ$201,$M52)&gt;0,
    COUNTIFS($AR$3:$AR$201,$M52)&gt;0,
    COUNTIFS($AS$3:$AS$201,$M52)&gt;0,
    COUNTIFS($AT$3:$AT$201,$M52)&gt;0,
    COUNTIFS($AU$3:$AU$201,$M52)&gt;0,
    COUNTIFS($AV$3:$AV$201,$M52)&gt;0,
    COUNTIFS($AW$3:$AW$201,$M52)&gt;0,
    COUNTIFS($AX$3:$AX$201,$M52)&gt;0
   ),
  0)
 ),
"")</f>
        <v>Muzzio</v>
      </c>
      <c r="P52" s="2" t="str" cm="1">
        <f t="array" aca="1" ref="P52" ca="1">IFERROR(
 INDEX(
  _xlfn._xlws.FILTER($U$2:$AX$2,
   TRANSPOSE(
    CHOOSE({1;2;3;4;5;6;7;8;9;10;11;12;13;14;15;16;17;18;19;20;21;22;23;24;25;26;27;28;29;30},
     COUNTIFS($U$3:$U$201,$M52)&gt;0,
     COUNTIFS($V$3:$V$201,$M52)&gt;0,
     COUNTIFS($W$3:$W$201,$M52)&gt;0,
     COUNTIFS($X$3:$X$201,$M52)&gt;0,
     COUNTIFS($Y$3:$Y$201,$M52)&gt;0,
     COUNTIFS($Z$3:$Z$201,$M52)&gt;0,
     COUNTIFS($AA$3:$AA$201,$M52)&gt;0,
     COUNTIFS($AB$3:$AB$201,$M52)&gt;0,
     COUNTIFS($AC$3:$AC$201,$M52)&gt;0,
     COUNTIFS($AD$3:$AD$201,$M52)&gt;0,
     COUNTIFS($AE$3:$AE$201,$M52)&gt;0,
     COUNTIFS($AF$3:$AF$201,$M52)&gt;0,
     COUNTIFS($AG$3:$AG$201,$M52)&gt;0,
     COUNTIFS($AH$3:$AH$201,$M52)&gt;0,
     COUNTIFS($AI$3:$AI$201,$M52)&gt;0,
     COUNTIFS($AJ$3:$AJ$201,$M52)&gt;0,
     COUNTIFS($AK$3:$AK$201,$M52)&gt;0,
     COUNTIFS($AL$3:$AL$201,$M52)&gt;0,
     COUNTIFS($AM$3:$AM$201,$M52)&gt;0,
     COUNTIFS($AN$3:$AN$201,$M52)&gt;0,
     COUNTIFS($AO$3:$AO$201,$M52)&gt;0,
     COUNTIFS($AP$3:$AP$201,$M52)&gt;0,
     COUNTIFS($AQ$3:$AQ$201,$M52)&gt;0,
     COUNTIFS($AR$3:$AR$201,$M52)&gt;0,
     COUNTIFS($AS$3:$AS$201,$M52)&gt;0,
     COUNTIFS($AT$3:$AT$201,$M52)&gt;0,
     COUNTIFS($AU$3:$AU$201,$M52)&gt;0,
     COUNTIFS($AV$3:$AV$201,$M52)&gt;0,
     COUNTIFS($AW$3:$AW$201,$M52)&gt;0,
     COUNTIFS($AX$3:$AX$201,$M52)&gt;0
   )),
  ),
  2
 ),
"")</f>
        <v/>
      </c>
      <c r="Q52" s="2" t="str" cm="1">
        <f t="array" aca="1" ref="Q52" ca="1">IFERROR(
 INDEX(
  _xlfn._xlws.FILTER($U$2:$AX$2,
   TRANSPOSE(
    CHOOSE({1;2;3;4;5;6;7;8;9;10;11;12;13;14;15;16;17;18;19;20;21;22;23;24;25;26;27;28;29;30},
     COUNTIFS($U$3:$U$201,$M52)&gt;0,
     COUNTIFS($V$3:$V$201,$M52)&gt;0,
     COUNTIFS($W$3:$W$201,$M52)&gt;0,
     COUNTIFS($X$3:$X$201,$M52)&gt;0,
     COUNTIFS($Y$3:$Y$201,$M52)&gt;0,
     COUNTIFS($Z$3:$Z$201,$M52)&gt;0,
     COUNTIFS($AA$3:$AA$201,$M52)&gt;0,
     COUNTIFS($AB$3:$AB$201,$M52)&gt;0,
     COUNTIFS($AC$3:$AC$201,$M52)&gt;0,
     COUNTIFS($AD$3:$AD$201,$M52)&gt;0,
     COUNTIFS($AE$3:$AE$201,$M52)&gt;0,
     COUNTIFS($AF$3:$AF$201,$M52)&gt;0,
     COUNTIFS($AG$3:$AG$201,$M52)&gt;0,
     COUNTIFS($AH$3:$AH$201,$M52)&gt;0,
     COUNTIFS($AI$3:$AI$201,$M52)&gt;0,
     COUNTIFS($AJ$3:$AJ$201,$M52)&gt;0,
     COUNTIFS($AK$3:$AK$201,$M52)&gt;0,
     COUNTIFS($AL$3:$AL$201,$M52)&gt;0,
     COUNTIFS($AM$3:$AM$201,$M52)&gt;0,
     COUNTIFS($AN$3:$AN$201,$M52)&gt;0,
     COUNTIFS($AO$3:$AO$201,$M52)&gt;0,
     COUNTIFS($AP$3:$AP$201,$M52)&gt;0,
     COUNTIFS($AQ$3:$AQ$201,$M52)&gt;0,
     COUNTIFS($AR$3:$AR$201,$M52)&gt;0,
     COUNTIFS($AS$3:$AS$201,$M52)&gt;0,
     COUNTIFS($AT$3:$AT$201,$M52)&gt;0,
     COUNTIFS($AU$3:$AU$201,$M52)&gt;0,
     COUNTIFS($AV$3:$AV$201,$M52)&gt;0,
     COUNTIFS($AW$3:$AW$201,$M52)&gt;0,
     COUNTIFS($AX$3:$AX$201,$M52)&gt;0
   )),
  ),
  3
 ),
"")</f>
        <v/>
      </c>
      <c r="DO52" t="str">
        <f ca="1"/>
        <v>Swamp</v>
      </c>
      <c r="EF52" t="str">
        <f ca="1"/>
        <v>Naya Charm</v>
      </c>
      <c r="EG52" t="str">
        <f ca="1"/>
        <v>Quasiduplicate</v>
      </c>
      <c r="EO52" t="str">
        <f ca="1"/>
        <v>Goblin Spymaster</v>
      </c>
      <c r="EP52" t="str">
        <f ca="1"/>
        <v>Portão da Guilda Orzhov</v>
      </c>
      <c r="ET52" t="str">
        <f ca="1"/>
        <v>Eaten Alive</v>
      </c>
      <c r="EW52" t="str">
        <f ca="1"/>
        <v>Duplicant</v>
      </c>
    </row>
    <row r="53" spans="1:153" x14ac:dyDescent="0.25">
      <c r="A53" t="str">
        <f ca="1"/>
        <v>Black Waltz No. 3</v>
      </c>
      <c r="B53" s="2" t="str" cm="1">
        <f t="array" aca="1" ref="B53" ca="1">_xlfn.ANCHORARRAY(RESUMO!C52)</f>
        <v>4cRash</v>
      </c>
      <c r="C53" s="2" t="str">
        <f t="shared" ca="1" si="0"/>
        <v/>
      </c>
      <c r="E53" t="str">
        <f ca="1"/>
        <v>Duty Beyond Death</v>
      </c>
      <c r="F53" s="2">
        <f t="shared" ca="1" si="3"/>
        <v>1</v>
      </c>
      <c r="G53" s="2" t="str">
        <f t="shared" ca="1" si="1"/>
        <v>Modular</v>
      </c>
      <c r="I53" s="18"/>
      <c r="J53" t="s">
        <v>180</v>
      </c>
      <c r="K53" s="2">
        <v>1</v>
      </c>
      <c r="M53" t="str">
        <f ca="1"/>
        <v>Duty Beyond Death</v>
      </c>
      <c r="N53" s="2">
        <f t="shared" ca="1" si="2"/>
        <v>1</v>
      </c>
      <c r="O53" s="2" t="str">
        <f ca="1">IFERROR(
 INDEX($U$2:$AX$2,
  MATCH(TRUE,
   CHOOSE({1;2;3;4;5;6;7;8;9;10;11;12;13;14;15;16;17;18;19;20;21;22;23;24;25;26;27;28;29;30;31;32},
    COUNTIFS($U$3:$U$201,$M53)&gt;0,
    COUNTIFS($V$3:$V$201,$M53)&gt;0,
    COUNTIFS($W$3:$W$201,$M53)&gt;0,
    COUNTIFS($X$3:$X$201,$M53)&gt;0,
    COUNTIFS($Y$3:$Y$201,$M53)&gt;0,
    COUNTIFS($Z$3:$Z$201,$M53)&gt;0,
    COUNTIFS($AA$3:$AA$201,$M53)&gt;0,
    COUNTIFS($AB$3:$AB$201,$M53)&gt;0,
    COUNTIFS($AC$3:$AC$201,$M53)&gt;0,
    COUNTIFS($AD$3:$AD$201,$M53)&gt;0,
    COUNTIFS($AE$3:$AE$201,$M53)&gt;0,
    COUNTIFS($AF$3:$AF$201,$M53)&gt;0,
    COUNTIFS($AG$3:$AG$201,$M53)&gt;0,
    COUNTIFS($AH$3:$AH$201,$M53)&gt;0,
    COUNTIFS($AI$3:$AI$201,$M53)&gt;0,
    COUNTIFS($AJ$3:$AJ$201,$M53)&gt;0,
    COUNTIFS($AK$3:$AK$201,$M53)&gt;0,
    COUNTIFS($AL$3:$AL$201,$M53)&gt;0,
    COUNTIFS($AM$3:$AM$201,$M53)&gt;0,
    COUNTIFS($AN$3:$AN$201,$M53)&gt;0,
    COUNTIFS($AO$3:$AO$201,$M53)&gt;0,
    COUNTIFS($AP$3:$AP$201,$M53)&gt;0,
    COUNTIFS($AQ$3:$AQ$201,$M53)&gt;0,
    COUNTIFS($AR$3:$AR$201,$M53)&gt;0,
    COUNTIFS($AS$3:$AS$201,$M53)&gt;0,
    COUNTIFS($AT$3:$AT$201,$M53)&gt;0,
    COUNTIFS($AU$3:$AU$201,$M53)&gt;0,
    COUNTIFS($AV$3:$AV$201,$M53)&gt;0,
    COUNTIFS($AW$3:$AW$201,$M53)&gt;0,
    COUNTIFS($AX$3:$AX$201,$M53)&gt;0
   ),
  0)
 ),
"")</f>
        <v>Modular</v>
      </c>
      <c r="P53" s="2" t="str" cm="1">
        <f t="array" aca="1" ref="P53" ca="1">IFERROR(
 INDEX(
  _xlfn._xlws.FILTER($U$2:$AX$2,
   TRANSPOSE(
    CHOOSE({1;2;3;4;5;6;7;8;9;10;11;12;13;14;15;16;17;18;19;20;21;22;23;24;25;26;27;28;29;30},
     COUNTIFS($U$3:$U$201,$M53)&gt;0,
     COUNTIFS($V$3:$V$201,$M53)&gt;0,
     COUNTIFS($W$3:$W$201,$M53)&gt;0,
     COUNTIFS($X$3:$X$201,$M53)&gt;0,
     COUNTIFS($Y$3:$Y$201,$M53)&gt;0,
     COUNTIFS($Z$3:$Z$201,$M53)&gt;0,
     COUNTIFS($AA$3:$AA$201,$M53)&gt;0,
     COUNTIFS($AB$3:$AB$201,$M53)&gt;0,
     COUNTIFS($AC$3:$AC$201,$M53)&gt;0,
     COUNTIFS($AD$3:$AD$201,$M53)&gt;0,
     COUNTIFS($AE$3:$AE$201,$M53)&gt;0,
     COUNTIFS($AF$3:$AF$201,$M53)&gt;0,
     COUNTIFS($AG$3:$AG$201,$M53)&gt;0,
     COUNTIFS($AH$3:$AH$201,$M53)&gt;0,
     COUNTIFS($AI$3:$AI$201,$M53)&gt;0,
     COUNTIFS($AJ$3:$AJ$201,$M53)&gt;0,
     COUNTIFS($AK$3:$AK$201,$M53)&gt;0,
     COUNTIFS($AL$3:$AL$201,$M53)&gt;0,
     COUNTIFS($AM$3:$AM$201,$M53)&gt;0,
     COUNTIFS($AN$3:$AN$201,$M53)&gt;0,
     COUNTIFS($AO$3:$AO$201,$M53)&gt;0,
     COUNTIFS($AP$3:$AP$201,$M53)&gt;0,
     COUNTIFS($AQ$3:$AQ$201,$M53)&gt;0,
     COUNTIFS($AR$3:$AR$201,$M53)&gt;0,
     COUNTIFS($AS$3:$AS$201,$M53)&gt;0,
     COUNTIFS($AT$3:$AT$201,$M53)&gt;0,
     COUNTIFS($AU$3:$AU$201,$M53)&gt;0,
     COUNTIFS($AV$3:$AV$201,$M53)&gt;0,
     COUNTIFS($AW$3:$AW$201,$M53)&gt;0,
     COUNTIFS($AX$3:$AX$201,$M53)&gt;0
   )),
  ),
  2
 ),
"")</f>
        <v/>
      </c>
      <c r="Q53" s="2" t="str" cm="1">
        <f t="array" aca="1" ref="Q53" ca="1">IFERROR(
 INDEX(
  _xlfn._xlws.FILTER($U$2:$AX$2,
   TRANSPOSE(
    CHOOSE({1;2;3;4;5;6;7;8;9;10;11;12;13;14;15;16;17;18;19;20;21;22;23;24;25;26;27;28;29;30},
     COUNTIFS($U$3:$U$201,$M53)&gt;0,
     COUNTIFS($V$3:$V$201,$M53)&gt;0,
     COUNTIFS($W$3:$W$201,$M53)&gt;0,
     COUNTIFS($X$3:$X$201,$M53)&gt;0,
     COUNTIFS($Y$3:$Y$201,$M53)&gt;0,
     COUNTIFS($Z$3:$Z$201,$M53)&gt;0,
     COUNTIFS($AA$3:$AA$201,$M53)&gt;0,
     COUNTIFS($AB$3:$AB$201,$M53)&gt;0,
     COUNTIFS($AC$3:$AC$201,$M53)&gt;0,
     COUNTIFS($AD$3:$AD$201,$M53)&gt;0,
     COUNTIFS($AE$3:$AE$201,$M53)&gt;0,
     COUNTIFS($AF$3:$AF$201,$M53)&gt;0,
     COUNTIFS($AG$3:$AG$201,$M53)&gt;0,
     COUNTIFS($AH$3:$AH$201,$M53)&gt;0,
     COUNTIFS($AI$3:$AI$201,$M53)&gt;0,
     COUNTIFS($AJ$3:$AJ$201,$M53)&gt;0,
     COUNTIFS($AK$3:$AK$201,$M53)&gt;0,
     COUNTIFS($AL$3:$AL$201,$M53)&gt;0,
     COUNTIFS($AM$3:$AM$201,$M53)&gt;0,
     COUNTIFS($AN$3:$AN$201,$M53)&gt;0,
     COUNTIFS($AO$3:$AO$201,$M53)&gt;0,
     COUNTIFS($AP$3:$AP$201,$M53)&gt;0,
     COUNTIFS($AQ$3:$AQ$201,$M53)&gt;0,
     COUNTIFS($AR$3:$AR$201,$M53)&gt;0,
     COUNTIFS($AS$3:$AS$201,$M53)&gt;0,
     COUNTIFS($AT$3:$AT$201,$M53)&gt;0,
     COUNTIFS($AU$3:$AU$201,$M53)&gt;0,
     COUNTIFS($AV$3:$AV$201,$M53)&gt;0,
     COUNTIFS($AW$3:$AW$201,$M53)&gt;0,
     COUNTIFS($AX$3:$AX$201,$M53)&gt;0
   )),
  ),
  3
 ),
"")</f>
        <v/>
      </c>
      <c r="DO53" t="str">
        <f ca="1"/>
        <v>Thorough Investigation</v>
      </c>
      <c r="EF53" t="str">
        <f ca="1"/>
        <v>Night of the Sweets' Revenge</v>
      </c>
      <c r="EG53" t="str">
        <f ca="1"/>
        <v>Rebbec, Architect of Ascension</v>
      </c>
      <c r="EO53" t="str">
        <f ca="1"/>
        <v>Golgari Signet</v>
      </c>
      <c r="EP53" t="str">
        <f ca="1"/>
        <v>Ravenous Chupacabra</v>
      </c>
      <c r="ET53" t="str">
        <f ca="1"/>
        <v>Elesh Norn</v>
      </c>
      <c r="EW53" t="str">
        <f ca="1"/>
        <v>Duty Beyond Death</v>
      </c>
    </row>
    <row r="54" spans="1:153" x14ac:dyDescent="0.25">
      <c r="A54" t="str">
        <f ca="1"/>
        <v>Blasphemous Act</v>
      </c>
      <c r="B54" s="2" t="str" cm="1">
        <f t="array" aca="1" ref="B54" ca="1">_xlfn.ANCHORARRAY(RESUMO!C53)</f>
        <v>Kresh</v>
      </c>
      <c r="C54" s="2" t="str">
        <f t="shared" ca="1" si="0"/>
        <v/>
      </c>
      <c r="E54" t="str">
        <f ca="1"/>
        <v>Earth Kingdom General</v>
      </c>
      <c r="F54" s="2">
        <f t="shared" ca="1" si="3"/>
        <v>1</v>
      </c>
      <c r="G54" s="2" t="str">
        <f t="shared" ca="1" si="1"/>
        <v>Modular</v>
      </c>
      <c r="I54" s="18"/>
      <c r="J54" t="s">
        <v>180</v>
      </c>
      <c r="K54" s="2">
        <v>1</v>
      </c>
      <c r="M54" t="str">
        <f ca="1"/>
        <v>Earth Kingdom General</v>
      </c>
      <c r="N54" s="2">
        <f t="shared" ca="1" si="2"/>
        <v>1</v>
      </c>
      <c r="O54" s="2" t="str">
        <f ca="1">IFERROR(
 INDEX($U$2:$AX$2,
  MATCH(TRUE,
   CHOOSE({1;2;3;4;5;6;7;8;9;10;11;12;13;14;15;16;17;18;19;20;21;22;23;24;25;26;27;28;29;30;31;32},
    COUNTIFS($U$3:$U$201,$M54)&gt;0,
    COUNTIFS($V$3:$V$201,$M54)&gt;0,
    COUNTIFS($W$3:$W$201,$M54)&gt;0,
    COUNTIFS($X$3:$X$201,$M54)&gt;0,
    COUNTIFS($Y$3:$Y$201,$M54)&gt;0,
    COUNTIFS($Z$3:$Z$201,$M54)&gt;0,
    COUNTIFS($AA$3:$AA$201,$M54)&gt;0,
    COUNTIFS($AB$3:$AB$201,$M54)&gt;0,
    COUNTIFS($AC$3:$AC$201,$M54)&gt;0,
    COUNTIFS($AD$3:$AD$201,$M54)&gt;0,
    COUNTIFS($AE$3:$AE$201,$M54)&gt;0,
    COUNTIFS($AF$3:$AF$201,$M54)&gt;0,
    COUNTIFS($AG$3:$AG$201,$M54)&gt;0,
    COUNTIFS($AH$3:$AH$201,$M54)&gt;0,
    COUNTIFS($AI$3:$AI$201,$M54)&gt;0,
    COUNTIFS($AJ$3:$AJ$201,$M54)&gt;0,
    COUNTIFS($AK$3:$AK$201,$M54)&gt;0,
    COUNTIFS($AL$3:$AL$201,$M54)&gt;0,
    COUNTIFS($AM$3:$AM$201,$M54)&gt;0,
    COUNTIFS($AN$3:$AN$201,$M54)&gt;0,
    COUNTIFS($AO$3:$AO$201,$M54)&gt;0,
    COUNTIFS($AP$3:$AP$201,$M54)&gt;0,
    COUNTIFS($AQ$3:$AQ$201,$M54)&gt;0,
    COUNTIFS($AR$3:$AR$201,$M54)&gt;0,
    COUNTIFS($AS$3:$AS$201,$M54)&gt;0,
    COUNTIFS($AT$3:$AT$201,$M54)&gt;0,
    COUNTIFS($AU$3:$AU$201,$M54)&gt;0,
    COUNTIFS($AV$3:$AV$201,$M54)&gt;0,
    COUNTIFS($AW$3:$AW$201,$M54)&gt;0,
    COUNTIFS($AX$3:$AX$201,$M54)&gt;0
   ),
  0)
 ),
"")</f>
        <v>Modular</v>
      </c>
      <c r="P54" s="2" t="str" cm="1">
        <f t="array" aca="1" ref="P54" ca="1">IFERROR(
 INDEX(
  _xlfn._xlws.FILTER($U$2:$AX$2,
   TRANSPOSE(
    CHOOSE({1;2;3;4;5;6;7;8;9;10;11;12;13;14;15;16;17;18;19;20;21;22;23;24;25;26;27;28;29;30},
     COUNTIFS($U$3:$U$201,$M54)&gt;0,
     COUNTIFS($V$3:$V$201,$M54)&gt;0,
     COUNTIFS($W$3:$W$201,$M54)&gt;0,
     COUNTIFS($X$3:$X$201,$M54)&gt;0,
     COUNTIFS($Y$3:$Y$201,$M54)&gt;0,
     COUNTIFS($Z$3:$Z$201,$M54)&gt;0,
     COUNTIFS($AA$3:$AA$201,$M54)&gt;0,
     COUNTIFS($AB$3:$AB$201,$M54)&gt;0,
     COUNTIFS($AC$3:$AC$201,$M54)&gt;0,
     COUNTIFS($AD$3:$AD$201,$M54)&gt;0,
     COUNTIFS($AE$3:$AE$201,$M54)&gt;0,
     COUNTIFS($AF$3:$AF$201,$M54)&gt;0,
     COUNTIFS($AG$3:$AG$201,$M54)&gt;0,
     COUNTIFS($AH$3:$AH$201,$M54)&gt;0,
     COUNTIFS($AI$3:$AI$201,$M54)&gt;0,
     COUNTIFS($AJ$3:$AJ$201,$M54)&gt;0,
     COUNTIFS($AK$3:$AK$201,$M54)&gt;0,
     COUNTIFS($AL$3:$AL$201,$M54)&gt;0,
     COUNTIFS($AM$3:$AM$201,$M54)&gt;0,
     COUNTIFS($AN$3:$AN$201,$M54)&gt;0,
     COUNTIFS($AO$3:$AO$201,$M54)&gt;0,
     COUNTIFS($AP$3:$AP$201,$M54)&gt;0,
     COUNTIFS($AQ$3:$AQ$201,$M54)&gt;0,
     COUNTIFS($AR$3:$AR$201,$M54)&gt;0,
     COUNTIFS($AS$3:$AS$201,$M54)&gt;0,
     COUNTIFS($AT$3:$AT$201,$M54)&gt;0,
     COUNTIFS($AU$3:$AU$201,$M54)&gt;0,
     COUNTIFS($AV$3:$AV$201,$M54)&gt;0,
     COUNTIFS($AW$3:$AW$201,$M54)&gt;0,
     COUNTIFS($AX$3:$AX$201,$M54)&gt;0
   )),
  ),
  2
 ),
"")</f>
        <v/>
      </c>
      <c r="Q54" s="2" t="str" cm="1">
        <f t="array" aca="1" ref="Q54" ca="1">IFERROR(
 INDEX(
  _xlfn._xlws.FILTER($U$2:$AX$2,
   TRANSPOSE(
    CHOOSE({1;2;3;4;5;6;7;8;9;10;11;12;13;14;15;16;17;18;19;20;21;22;23;24;25;26;27;28;29;30},
     COUNTIFS($U$3:$U$201,$M54)&gt;0,
     COUNTIFS($V$3:$V$201,$M54)&gt;0,
     COUNTIFS($W$3:$W$201,$M54)&gt;0,
     COUNTIFS($X$3:$X$201,$M54)&gt;0,
     COUNTIFS($Y$3:$Y$201,$M54)&gt;0,
     COUNTIFS($Z$3:$Z$201,$M54)&gt;0,
     COUNTIFS($AA$3:$AA$201,$M54)&gt;0,
     COUNTIFS($AB$3:$AB$201,$M54)&gt;0,
     COUNTIFS($AC$3:$AC$201,$M54)&gt;0,
     COUNTIFS($AD$3:$AD$201,$M54)&gt;0,
     COUNTIFS($AE$3:$AE$201,$M54)&gt;0,
     COUNTIFS($AF$3:$AF$201,$M54)&gt;0,
     COUNTIFS($AG$3:$AG$201,$M54)&gt;0,
     COUNTIFS($AH$3:$AH$201,$M54)&gt;0,
     COUNTIFS($AI$3:$AI$201,$M54)&gt;0,
     COUNTIFS($AJ$3:$AJ$201,$M54)&gt;0,
     COUNTIFS($AK$3:$AK$201,$M54)&gt;0,
     COUNTIFS($AL$3:$AL$201,$M54)&gt;0,
     COUNTIFS($AM$3:$AM$201,$M54)&gt;0,
     COUNTIFS($AN$3:$AN$201,$M54)&gt;0,
     COUNTIFS($AO$3:$AO$201,$M54)&gt;0,
     COUNTIFS($AP$3:$AP$201,$M54)&gt;0,
     COUNTIFS($AQ$3:$AQ$201,$M54)&gt;0,
     COUNTIFS($AR$3:$AR$201,$M54)&gt;0,
     COUNTIFS($AS$3:$AS$201,$M54)&gt;0,
     COUNTIFS($AT$3:$AT$201,$M54)&gt;0,
     COUNTIFS($AU$3:$AU$201,$M54)&gt;0,
     COUNTIFS($AV$3:$AV$201,$M54)&gt;0,
     COUNTIFS($AW$3:$AW$201,$M54)&gt;0,
     COUNTIFS($AX$3:$AX$201,$M54)&gt;0
   )),
  ),
  3
 ),
"")</f>
        <v/>
      </c>
      <c r="DO54" t="str">
        <f ca="1"/>
        <v>Titanic Ultimatum</v>
      </c>
      <c r="EF54" t="str">
        <f ca="1"/>
        <v>Noble's Purse</v>
      </c>
      <c r="EG54" t="str">
        <f ca="1"/>
        <v>Reclaim</v>
      </c>
      <c r="EO54" t="str">
        <f ca="1"/>
        <v>Grisly Salvage</v>
      </c>
      <c r="EP54" t="str">
        <f ca="1"/>
        <v>Reclamation Sage</v>
      </c>
      <c r="ET54" t="str">
        <f ca="1"/>
        <v>Elves of Deep Shadow</v>
      </c>
      <c r="EW54" t="str">
        <f ca="1"/>
        <v>Earth Kingdom General</v>
      </c>
    </row>
    <row r="55" spans="1:153" x14ac:dyDescent="0.25">
      <c r="A55" t="str">
        <f ca="1"/>
        <v>Bojuka Bog</v>
      </c>
      <c r="B55" s="2" t="str" cm="1">
        <f t="array" aca="1" ref="B55" ca="1">_xlfn.ANCHORARRAY(RESUMO!C54)</f>
        <v>Inalla</v>
      </c>
      <c r="C55" s="2" t="str">
        <f t="shared" ca="1" si="0"/>
        <v/>
      </c>
      <c r="E55" t="str">
        <f ca="1"/>
        <v>Eaten Alive</v>
      </c>
      <c r="F55" s="2">
        <f t="shared" ca="1" si="3"/>
        <v>1</v>
      </c>
      <c r="G55" s="2" t="str">
        <f t="shared" ca="1" si="1"/>
        <v>Yuriko</v>
      </c>
      <c r="I55" s="18"/>
      <c r="J55" t="s">
        <v>180</v>
      </c>
      <c r="K55" s="2">
        <v>1</v>
      </c>
      <c r="M55" t="str">
        <f ca="1"/>
        <v>Eaten Alive</v>
      </c>
      <c r="N55" s="2">
        <f t="shared" ca="1" si="2"/>
        <v>1</v>
      </c>
      <c r="O55" s="2" t="str">
        <f ca="1">IFERROR(
 INDEX($U$2:$AX$2,
  MATCH(TRUE,
   CHOOSE({1;2;3;4;5;6;7;8;9;10;11;12;13;14;15;16;17;18;19;20;21;22;23;24;25;26;27;28;29;30;31;32},
    COUNTIFS($U$3:$U$201,$M55)&gt;0,
    COUNTIFS($V$3:$V$201,$M55)&gt;0,
    COUNTIFS($W$3:$W$201,$M55)&gt;0,
    COUNTIFS($X$3:$X$201,$M55)&gt;0,
    COUNTIFS($Y$3:$Y$201,$M55)&gt;0,
    COUNTIFS($Z$3:$Z$201,$M55)&gt;0,
    COUNTIFS($AA$3:$AA$201,$M55)&gt;0,
    COUNTIFS($AB$3:$AB$201,$M55)&gt;0,
    COUNTIFS($AC$3:$AC$201,$M55)&gt;0,
    COUNTIFS($AD$3:$AD$201,$M55)&gt;0,
    COUNTIFS($AE$3:$AE$201,$M55)&gt;0,
    COUNTIFS($AF$3:$AF$201,$M55)&gt;0,
    COUNTIFS($AG$3:$AG$201,$M55)&gt;0,
    COUNTIFS($AH$3:$AH$201,$M55)&gt;0,
    COUNTIFS($AI$3:$AI$201,$M55)&gt;0,
    COUNTIFS($AJ$3:$AJ$201,$M55)&gt;0,
    COUNTIFS($AK$3:$AK$201,$M55)&gt;0,
    COUNTIFS($AL$3:$AL$201,$M55)&gt;0,
    COUNTIFS($AM$3:$AM$201,$M55)&gt;0,
    COUNTIFS($AN$3:$AN$201,$M55)&gt;0,
    COUNTIFS($AO$3:$AO$201,$M55)&gt;0,
    COUNTIFS($AP$3:$AP$201,$M55)&gt;0,
    COUNTIFS($AQ$3:$AQ$201,$M55)&gt;0,
    COUNTIFS($AR$3:$AR$201,$M55)&gt;0,
    COUNTIFS($AS$3:$AS$201,$M55)&gt;0,
    COUNTIFS($AT$3:$AT$201,$M55)&gt;0,
    COUNTIFS($AU$3:$AU$201,$M55)&gt;0,
    COUNTIFS($AV$3:$AV$201,$M55)&gt;0,
    COUNTIFS($AW$3:$AW$201,$M55)&gt;0,
    COUNTIFS($AX$3:$AX$201,$M55)&gt;0
   ),
  0)
 ),
"")</f>
        <v>Yuriko</v>
      </c>
      <c r="P55" s="2" t="str" cm="1">
        <f t="array" aca="1" ref="P55" ca="1">IFERROR(
 INDEX(
  _xlfn._xlws.FILTER($U$2:$AX$2,
   TRANSPOSE(
    CHOOSE({1;2;3;4;5;6;7;8;9;10;11;12;13;14;15;16;17;18;19;20;21;22;23;24;25;26;27;28;29;30},
     COUNTIFS($U$3:$U$201,$M55)&gt;0,
     COUNTIFS($V$3:$V$201,$M55)&gt;0,
     COUNTIFS($W$3:$W$201,$M55)&gt;0,
     COUNTIFS($X$3:$X$201,$M55)&gt;0,
     COUNTIFS($Y$3:$Y$201,$M55)&gt;0,
     COUNTIFS($Z$3:$Z$201,$M55)&gt;0,
     COUNTIFS($AA$3:$AA$201,$M55)&gt;0,
     COUNTIFS($AB$3:$AB$201,$M55)&gt;0,
     COUNTIFS($AC$3:$AC$201,$M55)&gt;0,
     COUNTIFS($AD$3:$AD$201,$M55)&gt;0,
     COUNTIFS($AE$3:$AE$201,$M55)&gt;0,
     COUNTIFS($AF$3:$AF$201,$M55)&gt;0,
     COUNTIFS($AG$3:$AG$201,$M55)&gt;0,
     COUNTIFS($AH$3:$AH$201,$M55)&gt;0,
     COUNTIFS($AI$3:$AI$201,$M55)&gt;0,
     COUNTIFS($AJ$3:$AJ$201,$M55)&gt;0,
     COUNTIFS($AK$3:$AK$201,$M55)&gt;0,
     COUNTIFS($AL$3:$AL$201,$M55)&gt;0,
     COUNTIFS($AM$3:$AM$201,$M55)&gt;0,
     COUNTIFS($AN$3:$AN$201,$M55)&gt;0,
     COUNTIFS($AO$3:$AO$201,$M55)&gt;0,
     COUNTIFS($AP$3:$AP$201,$M55)&gt;0,
     COUNTIFS($AQ$3:$AQ$201,$M55)&gt;0,
     COUNTIFS($AR$3:$AR$201,$M55)&gt;0,
     COUNTIFS($AS$3:$AS$201,$M55)&gt;0,
     COUNTIFS($AT$3:$AT$201,$M55)&gt;0,
     COUNTIFS($AU$3:$AU$201,$M55)&gt;0,
     COUNTIFS($AV$3:$AV$201,$M55)&gt;0,
     COUNTIFS($AW$3:$AW$201,$M55)&gt;0,
     COUNTIFS($AX$3:$AX$201,$M55)&gt;0
   )),
  ),
  2
 ),
"")</f>
        <v/>
      </c>
      <c r="Q55" s="2" t="str" cm="1">
        <f t="array" aca="1" ref="Q55" ca="1">IFERROR(
 INDEX(
  _xlfn._xlws.FILTER($U$2:$AX$2,
   TRANSPOSE(
    CHOOSE({1;2;3;4;5;6;7;8;9;10;11;12;13;14;15;16;17;18;19;20;21;22;23;24;25;26;27;28;29;30},
     COUNTIFS($U$3:$U$201,$M55)&gt;0,
     COUNTIFS($V$3:$V$201,$M55)&gt;0,
     COUNTIFS($W$3:$W$201,$M55)&gt;0,
     COUNTIFS($X$3:$X$201,$M55)&gt;0,
     COUNTIFS($Y$3:$Y$201,$M55)&gt;0,
     COUNTIFS($Z$3:$Z$201,$M55)&gt;0,
     COUNTIFS($AA$3:$AA$201,$M55)&gt;0,
     COUNTIFS($AB$3:$AB$201,$M55)&gt;0,
     COUNTIFS($AC$3:$AC$201,$M55)&gt;0,
     COUNTIFS($AD$3:$AD$201,$M55)&gt;0,
     COUNTIFS($AE$3:$AE$201,$M55)&gt;0,
     COUNTIFS($AF$3:$AF$201,$M55)&gt;0,
     COUNTIFS($AG$3:$AG$201,$M55)&gt;0,
     COUNTIFS($AH$3:$AH$201,$M55)&gt;0,
     COUNTIFS($AI$3:$AI$201,$M55)&gt;0,
     COUNTIFS($AJ$3:$AJ$201,$M55)&gt;0,
     COUNTIFS($AK$3:$AK$201,$M55)&gt;0,
     COUNTIFS($AL$3:$AL$201,$M55)&gt;0,
     COUNTIFS($AM$3:$AM$201,$M55)&gt;0,
     COUNTIFS($AN$3:$AN$201,$M55)&gt;0,
     COUNTIFS($AO$3:$AO$201,$M55)&gt;0,
     COUNTIFS($AP$3:$AP$201,$M55)&gt;0,
     COUNTIFS($AQ$3:$AQ$201,$M55)&gt;0,
     COUNTIFS($AR$3:$AR$201,$M55)&gt;0,
     COUNTIFS($AS$3:$AS$201,$M55)&gt;0,
     COUNTIFS($AT$3:$AT$201,$M55)&gt;0,
     COUNTIFS($AU$3:$AU$201,$M55)&gt;0,
     COUNTIFS($AV$3:$AV$201,$M55)&gt;0,
     COUNTIFS($AW$3:$AW$201,$M55)&gt;0,
     COUNTIFS($AX$3:$AX$201,$M55)&gt;0
   )),
  ),
  3
 ),
"")</f>
        <v/>
      </c>
      <c r="DO55" t="str">
        <f ca="1"/>
        <v>Tocasia's Welcome</v>
      </c>
      <c r="EF55" t="str">
        <f ca="1"/>
        <v>Nyx Weaver</v>
      </c>
      <c r="EG55" t="str">
        <f ca="1"/>
        <v>Scourge of Fleets</v>
      </c>
      <c r="EO55" t="str">
        <f ca="1"/>
        <v>Grismold, the Dreadsower</v>
      </c>
      <c r="EP55" t="str">
        <f ca="1"/>
        <v>Ritual of Soot</v>
      </c>
      <c r="ET55" t="str">
        <f ca="1"/>
        <v>Emergency Zone</v>
      </c>
      <c r="EW55" t="str">
        <f ca="1"/>
        <v>Eaten Alive</v>
      </c>
    </row>
    <row r="56" spans="1:153" x14ac:dyDescent="0.25">
      <c r="A56" t="str">
        <f ca="1"/>
        <v>Bonehoard Dracosaur</v>
      </c>
      <c r="B56" s="2" t="str" cm="1">
        <f t="array" aca="1" ref="B56" ca="1">_xlfn.ANCHORARRAY(RESUMO!C55)</f>
        <v>Zuko</v>
      </c>
      <c r="C56" s="2" t="str">
        <f t="shared" ca="1" si="0"/>
        <v/>
      </c>
      <c r="E56" t="str">
        <f ca="1"/>
        <v>Elesh Norn</v>
      </c>
      <c r="F56" s="2">
        <f t="shared" ca="1" si="3"/>
        <v>1</v>
      </c>
      <c r="G56" s="2" t="str">
        <f t="shared" ca="1" si="1"/>
        <v>Baylen</v>
      </c>
      <c r="I56" s="18"/>
      <c r="J56" t="s">
        <v>180</v>
      </c>
      <c r="K56" s="2">
        <v>1</v>
      </c>
      <c r="M56" t="str">
        <f ca="1"/>
        <v>Elesh Norn</v>
      </c>
      <c r="N56" s="2">
        <f t="shared" ca="1" si="2"/>
        <v>1</v>
      </c>
      <c r="O56" s="2" t="str">
        <f ca="1">IFERROR(
 INDEX($U$2:$AX$2,
  MATCH(TRUE,
   CHOOSE({1;2;3;4;5;6;7;8;9;10;11;12;13;14;15;16;17;18;19;20;21;22;23;24;25;26;27;28;29;30;31;32},
    COUNTIFS($U$3:$U$201,$M56)&gt;0,
    COUNTIFS($V$3:$V$201,$M56)&gt;0,
    COUNTIFS($W$3:$W$201,$M56)&gt;0,
    COUNTIFS($X$3:$X$201,$M56)&gt;0,
    COUNTIFS($Y$3:$Y$201,$M56)&gt;0,
    COUNTIFS($Z$3:$Z$201,$M56)&gt;0,
    COUNTIFS($AA$3:$AA$201,$M56)&gt;0,
    COUNTIFS($AB$3:$AB$201,$M56)&gt;0,
    COUNTIFS($AC$3:$AC$201,$M56)&gt;0,
    COUNTIFS($AD$3:$AD$201,$M56)&gt;0,
    COUNTIFS($AE$3:$AE$201,$M56)&gt;0,
    COUNTIFS($AF$3:$AF$201,$M56)&gt;0,
    COUNTIFS($AG$3:$AG$201,$M56)&gt;0,
    COUNTIFS($AH$3:$AH$201,$M56)&gt;0,
    COUNTIFS($AI$3:$AI$201,$M56)&gt;0,
    COUNTIFS($AJ$3:$AJ$201,$M56)&gt;0,
    COUNTIFS($AK$3:$AK$201,$M56)&gt;0,
    COUNTIFS($AL$3:$AL$201,$M56)&gt;0,
    COUNTIFS($AM$3:$AM$201,$M56)&gt;0,
    COUNTIFS($AN$3:$AN$201,$M56)&gt;0,
    COUNTIFS($AO$3:$AO$201,$M56)&gt;0,
    COUNTIFS($AP$3:$AP$201,$M56)&gt;0,
    COUNTIFS($AQ$3:$AQ$201,$M56)&gt;0,
    COUNTIFS($AR$3:$AR$201,$M56)&gt;0,
    COUNTIFS($AS$3:$AS$201,$M56)&gt;0,
    COUNTIFS($AT$3:$AT$201,$M56)&gt;0,
    COUNTIFS($AU$3:$AU$201,$M56)&gt;0,
    COUNTIFS($AV$3:$AV$201,$M56)&gt;0,
    COUNTIFS($AW$3:$AW$201,$M56)&gt;0,
    COUNTIFS($AX$3:$AX$201,$M56)&gt;0
   ),
  0)
 ),
"")</f>
        <v>Baylen</v>
      </c>
      <c r="P56" s="2" t="str" cm="1">
        <f t="array" aca="1" ref="P56" ca="1">IFERROR(
 INDEX(
  _xlfn._xlws.FILTER($U$2:$AX$2,
   TRANSPOSE(
    CHOOSE({1;2;3;4;5;6;7;8;9;10;11;12;13;14;15;16;17;18;19;20;21;22;23;24;25;26;27;28;29;30},
     COUNTIFS($U$3:$U$201,$M56)&gt;0,
     COUNTIFS($V$3:$V$201,$M56)&gt;0,
     COUNTIFS($W$3:$W$201,$M56)&gt;0,
     COUNTIFS($X$3:$X$201,$M56)&gt;0,
     COUNTIFS($Y$3:$Y$201,$M56)&gt;0,
     COUNTIFS($Z$3:$Z$201,$M56)&gt;0,
     COUNTIFS($AA$3:$AA$201,$M56)&gt;0,
     COUNTIFS($AB$3:$AB$201,$M56)&gt;0,
     COUNTIFS($AC$3:$AC$201,$M56)&gt;0,
     COUNTIFS($AD$3:$AD$201,$M56)&gt;0,
     COUNTIFS($AE$3:$AE$201,$M56)&gt;0,
     COUNTIFS($AF$3:$AF$201,$M56)&gt;0,
     COUNTIFS($AG$3:$AG$201,$M56)&gt;0,
     COUNTIFS($AH$3:$AH$201,$M56)&gt;0,
     COUNTIFS($AI$3:$AI$201,$M56)&gt;0,
     COUNTIFS($AJ$3:$AJ$201,$M56)&gt;0,
     COUNTIFS($AK$3:$AK$201,$M56)&gt;0,
     COUNTIFS($AL$3:$AL$201,$M56)&gt;0,
     COUNTIFS($AM$3:$AM$201,$M56)&gt;0,
     COUNTIFS($AN$3:$AN$201,$M56)&gt;0,
     COUNTIFS($AO$3:$AO$201,$M56)&gt;0,
     COUNTIFS($AP$3:$AP$201,$M56)&gt;0,
     COUNTIFS($AQ$3:$AQ$201,$M56)&gt;0,
     COUNTIFS($AR$3:$AR$201,$M56)&gt;0,
     COUNTIFS($AS$3:$AS$201,$M56)&gt;0,
     COUNTIFS($AT$3:$AT$201,$M56)&gt;0,
     COUNTIFS($AU$3:$AU$201,$M56)&gt;0,
     COUNTIFS($AV$3:$AV$201,$M56)&gt;0,
     COUNTIFS($AW$3:$AW$201,$M56)&gt;0,
     COUNTIFS($AX$3:$AX$201,$M56)&gt;0
   )),
  ),
  2
 ),
"")</f>
        <v/>
      </c>
      <c r="Q56" s="2" t="str" cm="1">
        <f t="array" aca="1" ref="Q56" ca="1">IFERROR(
 INDEX(
  _xlfn._xlws.FILTER($U$2:$AX$2,
   TRANSPOSE(
    CHOOSE({1;2;3;4;5;6;7;8;9;10;11;12;13;14;15;16;17;18;19;20;21;22;23;24;25;26;27;28;29;30},
     COUNTIFS($U$3:$U$201,$M56)&gt;0,
     COUNTIFS($V$3:$V$201,$M56)&gt;0,
     COUNTIFS($W$3:$W$201,$M56)&gt;0,
     COUNTIFS($X$3:$X$201,$M56)&gt;0,
     COUNTIFS($Y$3:$Y$201,$M56)&gt;0,
     COUNTIFS($Z$3:$Z$201,$M56)&gt;0,
     COUNTIFS($AA$3:$AA$201,$M56)&gt;0,
     COUNTIFS($AB$3:$AB$201,$M56)&gt;0,
     COUNTIFS($AC$3:$AC$201,$M56)&gt;0,
     COUNTIFS($AD$3:$AD$201,$M56)&gt;0,
     COUNTIFS($AE$3:$AE$201,$M56)&gt;0,
     COUNTIFS($AF$3:$AF$201,$M56)&gt;0,
     COUNTIFS($AG$3:$AG$201,$M56)&gt;0,
     COUNTIFS($AH$3:$AH$201,$M56)&gt;0,
     COUNTIFS($AI$3:$AI$201,$M56)&gt;0,
     COUNTIFS($AJ$3:$AJ$201,$M56)&gt;0,
     COUNTIFS($AK$3:$AK$201,$M56)&gt;0,
     COUNTIFS($AL$3:$AL$201,$M56)&gt;0,
     COUNTIFS($AM$3:$AM$201,$M56)&gt;0,
     COUNTIFS($AN$3:$AN$201,$M56)&gt;0,
     COUNTIFS($AO$3:$AO$201,$M56)&gt;0,
     COUNTIFS($AP$3:$AP$201,$M56)&gt;0,
     COUNTIFS($AQ$3:$AQ$201,$M56)&gt;0,
     COUNTIFS($AR$3:$AR$201,$M56)&gt;0,
     COUNTIFS($AS$3:$AS$201,$M56)&gt;0,
     COUNTIFS($AT$3:$AT$201,$M56)&gt;0,
     COUNTIFS($AU$3:$AU$201,$M56)&gt;0,
     COUNTIFS($AV$3:$AV$201,$M56)&gt;0,
     COUNTIFS($AW$3:$AW$201,$M56)&gt;0,
     COUNTIFS($AX$3:$AX$201,$M56)&gt;0
   )),
  ),
  3
 ),
"")</f>
        <v/>
      </c>
      <c r="DO56" t="str">
        <f ca="1"/>
        <v>Together Forever</v>
      </c>
      <c r="EF56" t="str">
        <f ca="1"/>
        <v>Opt</v>
      </c>
      <c r="EG56" t="str">
        <f ca="1"/>
        <v>Shifting Shadow</v>
      </c>
      <c r="EO56" t="str">
        <f ca="1"/>
        <v>Gruul Turf</v>
      </c>
      <c r="EP56" t="str">
        <f ca="1"/>
        <v>Roilling Regrowth</v>
      </c>
      <c r="ET56" t="str">
        <f ca="1"/>
        <v>Eternal Witness</v>
      </c>
      <c r="EW56" t="str">
        <f ca="1"/>
        <v>Elesh Norn</v>
      </c>
    </row>
    <row r="57" spans="1:153" x14ac:dyDescent="0.25">
      <c r="A57" t="str">
        <f ca="1"/>
        <v>Bonescythe Sliver</v>
      </c>
      <c r="B57" s="2" t="str" cm="1">
        <f t="array" aca="1" ref="B57" ca="1">_xlfn.ANCHORARRAY(RESUMO!C56)</f>
        <v>Fractius</v>
      </c>
      <c r="C57" s="2" t="str">
        <f t="shared" ca="1" si="0"/>
        <v/>
      </c>
      <c r="E57" t="str">
        <f ca="1"/>
        <v>Elves of Deep Shadow</v>
      </c>
      <c r="F57" s="2">
        <f t="shared" ca="1" si="3"/>
        <v>1</v>
      </c>
      <c r="G57" s="2" t="str">
        <f t="shared" ca="1" si="1"/>
        <v>OWA</v>
      </c>
      <c r="I57" s="18"/>
      <c r="J57" t="s">
        <v>180</v>
      </c>
      <c r="K57" s="2">
        <v>1</v>
      </c>
      <c r="M57" t="str">
        <f ca="1"/>
        <v>Elves of Deep Shadow</v>
      </c>
      <c r="N57" s="2">
        <f t="shared" ca="1" si="2"/>
        <v>1</v>
      </c>
      <c r="O57" s="2" t="str">
        <f ca="1">IFERROR(
 INDEX($U$2:$AX$2,
  MATCH(TRUE,
   CHOOSE({1;2;3;4;5;6;7;8;9;10;11;12;13;14;15;16;17;18;19;20;21;22;23;24;25;26;27;28;29;30;31;32},
    COUNTIFS($U$3:$U$201,$M57)&gt;0,
    COUNTIFS($V$3:$V$201,$M57)&gt;0,
    COUNTIFS($W$3:$W$201,$M57)&gt;0,
    COUNTIFS($X$3:$X$201,$M57)&gt;0,
    COUNTIFS($Y$3:$Y$201,$M57)&gt;0,
    COUNTIFS($Z$3:$Z$201,$M57)&gt;0,
    COUNTIFS($AA$3:$AA$201,$M57)&gt;0,
    COUNTIFS($AB$3:$AB$201,$M57)&gt;0,
    COUNTIFS($AC$3:$AC$201,$M57)&gt;0,
    COUNTIFS($AD$3:$AD$201,$M57)&gt;0,
    COUNTIFS($AE$3:$AE$201,$M57)&gt;0,
    COUNTIFS($AF$3:$AF$201,$M57)&gt;0,
    COUNTIFS($AG$3:$AG$201,$M57)&gt;0,
    COUNTIFS($AH$3:$AH$201,$M57)&gt;0,
    COUNTIFS($AI$3:$AI$201,$M57)&gt;0,
    COUNTIFS($AJ$3:$AJ$201,$M57)&gt;0,
    COUNTIFS($AK$3:$AK$201,$M57)&gt;0,
    COUNTIFS($AL$3:$AL$201,$M57)&gt;0,
    COUNTIFS($AM$3:$AM$201,$M57)&gt;0,
    COUNTIFS($AN$3:$AN$201,$M57)&gt;0,
    COUNTIFS($AO$3:$AO$201,$M57)&gt;0,
    COUNTIFS($AP$3:$AP$201,$M57)&gt;0,
    COUNTIFS($AQ$3:$AQ$201,$M57)&gt;0,
    COUNTIFS($AR$3:$AR$201,$M57)&gt;0,
    COUNTIFS($AS$3:$AS$201,$M57)&gt;0,
    COUNTIFS($AT$3:$AT$201,$M57)&gt;0,
    COUNTIFS($AU$3:$AU$201,$M57)&gt;0,
    COUNTIFS($AV$3:$AV$201,$M57)&gt;0,
    COUNTIFS($AW$3:$AW$201,$M57)&gt;0,
    COUNTIFS($AX$3:$AX$201,$M57)&gt;0
   ),
  0)
 ),
"")</f>
        <v>OWA</v>
      </c>
      <c r="P57" s="2" t="str" cm="1">
        <f t="array" aca="1" ref="P57" ca="1">IFERROR(
 INDEX(
  _xlfn._xlws.FILTER($U$2:$AX$2,
   TRANSPOSE(
    CHOOSE({1;2;3;4;5;6;7;8;9;10;11;12;13;14;15;16;17;18;19;20;21;22;23;24;25;26;27;28;29;30},
     COUNTIFS($U$3:$U$201,$M57)&gt;0,
     COUNTIFS($V$3:$V$201,$M57)&gt;0,
     COUNTIFS($W$3:$W$201,$M57)&gt;0,
     COUNTIFS($X$3:$X$201,$M57)&gt;0,
     COUNTIFS($Y$3:$Y$201,$M57)&gt;0,
     COUNTIFS($Z$3:$Z$201,$M57)&gt;0,
     COUNTIFS($AA$3:$AA$201,$M57)&gt;0,
     COUNTIFS($AB$3:$AB$201,$M57)&gt;0,
     COUNTIFS($AC$3:$AC$201,$M57)&gt;0,
     COUNTIFS($AD$3:$AD$201,$M57)&gt;0,
     COUNTIFS($AE$3:$AE$201,$M57)&gt;0,
     COUNTIFS($AF$3:$AF$201,$M57)&gt;0,
     COUNTIFS($AG$3:$AG$201,$M57)&gt;0,
     COUNTIFS($AH$3:$AH$201,$M57)&gt;0,
     COUNTIFS($AI$3:$AI$201,$M57)&gt;0,
     COUNTIFS($AJ$3:$AJ$201,$M57)&gt;0,
     COUNTIFS($AK$3:$AK$201,$M57)&gt;0,
     COUNTIFS($AL$3:$AL$201,$M57)&gt;0,
     COUNTIFS($AM$3:$AM$201,$M57)&gt;0,
     COUNTIFS($AN$3:$AN$201,$M57)&gt;0,
     COUNTIFS($AO$3:$AO$201,$M57)&gt;0,
     COUNTIFS($AP$3:$AP$201,$M57)&gt;0,
     COUNTIFS($AQ$3:$AQ$201,$M57)&gt;0,
     COUNTIFS($AR$3:$AR$201,$M57)&gt;0,
     COUNTIFS($AS$3:$AS$201,$M57)&gt;0,
     COUNTIFS($AT$3:$AT$201,$M57)&gt;0,
     COUNTIFS($AU$3:$AU$201,$M57)&gt;0,
     COUNTIFS($AV$3:$AV$201,$M57)&gt;0,
     COUNTIFS($AW$3:$AW$201,$M57)&gt;0,
     COUNTIFS($AX$3:$AX$201,$M57)&gt;0
   )),
  ),
  2
 ),
"")</f>
        <v/>
      </c>
      <c r="Q57" s="2" t="str" cm="1">
        <f t="array" aca="1" ref="Q57" ca="1">IFERROR(
 INDEX(
  _xlfn._xlws.FILTER($U$2:$AX$2,
   TRANSPOSE(
    CHOOSE({1;2;3;4;5;6;7;8;9;10;11;12;13;14;15;16;17;18;19;20;21;22;23;24;25;26;27;28;29;30},
     COUNTIFS($U$3:$U$201,$M57)&gt;0,
     COUNTIFS($V$3:$V$201,$M57)&gt;0,
     COUNTIFS($W$3:$W$201,$M57)&gt;0,
     COUNTIFS($X$3:$X$201,$M57)&gt;0,
     COUNTIFS($Y$3:$Y$201,$M57)&gt;0,
     COUNTIFS($Z$3:$Z$201,$M57)&gt;0,
     COUNTIFS($AA$3:$AA$201,$M57)&gt;0,
     COUNTIFS($AB$3:$AB$201,$M57)&gt;0,
     COUNTIFS($AC$3:$AC$201,$M57)&gt;0,
     COUNTIFS($AD$3:$AD$201,$M57)&gt;0,
     COUNTIFS($AE$3:$AE$201,$M57)&gt;0,
     COUNTIFS($AF$3:$AF$201,$M57)&gt;0,
     COUNTIFS($AG$3:$AG$201,$M57)&gt;0,
     COUNTIFS($AH$3:$AH$201,$M57)&gt;0,
     COUNTIFS($AI$3:$AI$201,$M57)&gt;0,
     COUNTIFS($AJ$3:$AJ$201,$M57)&gt;0,
     COUNTIFS($AK$3:$AK$201,$M57)&gt;0,
     COUNTIFS($AL$3:$AL$201,$M57)&gt;0,
     COUNTIFS($AM$3:$AM$201,$M57)&gt;0,
     COUNTIFS($AN$3:$AN$201,$M57)&gt;0,
     COUNTIFS($AO$3:$AO$201,$M57)&gt;0,
     COUNTIFS($AP$3:$AP$201,$M57)&gt;0,
     COUNTIFS($AQ$3:$AQ$201,$M57)&gt;0,
     COUNTIFS($AR$3:$AR$201,$M57)&gt;0,
     COUNTIFS($AS$3:$AS$201,$M57)&gt;0,
     COUNTIFS($AT$3:$AT$201,$M57)&gt;0,
     COUNTIFS($AU$3:$AU$201,$M57)&gt;0,
     COUNTIFS($AV$3:$AV$201,$M57)&gt;0,
     COUNTIFS($AW$3:$AW$201,$M57)&gt;0,
     COUNTIFS($AX$3:$AX$201,$M57)&gt;0
   )),
  ),
  3
 ),
"")</f>
        <v/>
      </c>
      <c r="DO57" t="str">
        <f ca="1"/>
        <v>Trail of Crumbs</v>
      </c>
      <c r="EF57" t="str">
        <f ca="1"/>
        <v>Oversold Cemetery</v>
      </c>
      <c r="EG57" t="str">
        <f ca="1"/>
        <v>Shire Terrace</v>
      </c>
      <c r="EO57" t="str">
        <f ca="1"/>
        <v>Hadana's Climb</v>
      </c>
      <c r="EP57" t="str">
        <f ca="1"/>
        <v>Rumble Arena</v>
      </c>
      <c r="ET57" t="str">
        <f ca="1"/>
        <v>Evolving Wilds</v>
      </c>
      <c r="EW57" t="str">
        <f ca="1"/>
        <v>Elves of Deep Shadow</v>
      </c>
    </row>
    <row r="58" spans="1:153" x14ac:dyDescent="0.25">
      <c r="A58" t="str">
        <f ca="1"/>
        <v>Boros Charm</v>
      </c>
      <c r="B58" s="2" t="str" cm="1">
        <f t="array" aca="1" ref="B58" ca="1">_xlfn.ANCHORARRAY(RESUMO!C57)</f>
        <v>Baylen</v>
      </c>
      <c r="C58" s="2" t="str">
        <f t="shared" ca="1" si="0"/>
        <v/>
      </c>
      <c r="E58" t="str">
        <f ca="1"/>
        <v>Emergency Zone</v>
      </c>
      <c r="F58" s="2">
        <f t="shared" ca="1" si="3"/>
        <v>1</v>
      </c>
      <c r="G58" s="2" t="str">
        <f t="shared" ca="1" si="1"/>
        <v>Rani</v>
      </c>
      <c r="I58" s="18"/>
      <c r="J58" t="s">
        <v>180</v>
      </c>
      <c r="K58" s="2">
        <v>1</v>
      </c>
      <c r="M58" t="str">
        <f ca="1"/>
        <v>Emergency Zone</v>
      </c>
      <c r="N58" s="2">
        <f t="shared" ca="1" si="2"/>
        <v>1</v>
      </c>
      <c r="O58" s="2" t="str">
        <f ca="1">IFERROR(
 INDEX($U$2:$AX$2,
  MATCH(TRUE,
   CHOOSE({1;2;3;4;5;6;7;8;9;10;11;12;13;14;15;16;17;18;19;20;21;22;23;24;25;26;27;28;29;30;31;32},
    COUNTIFS($U$3:$U$201,$M58)&gt;0,
    COUNTIFS($V$3:$V$201,$M58)&gt;0,
    COUNTIFS($W$3:$W$201,$M58)&gt;0,
    COUNTIFS($X$3:$X$201,$M58)&gt;0,
    COUNTIFS($Y$3:$Y$201,$M58)&gt;0,
    COUNTIFS($Z$3:$Z$201,$M58)&gt;0,
    COUNTIFS($AA$3:$AA$201,$M58)&gt;0,
    COUNTIFS($AB$3:$AB$201,$M58)&gt;0,
    COUNTIFS($AC$3:$AC$201,$M58)&gt;0,
    COUNTIFS($AD$3:$AD$201,$M58)&gt;0,
    COUNTIFS($AE$3:$AE$201,$M58)&gt;0,
    COUNTIFS($AF$3:$AF$201,$M58)&gt;0,
    COUNTIFS($AG$3:$AG$201,$M58)&gt;0,
    COUNTIFS($AH$3:$AH$201,$M58)&gt;0,
    COUNTIFS($AI$3:$AI$201,$M58)&gt;0,
    COUNTIFS($AJ$3:$AJ$201,$M58)&gt;0,
    COUNTIFS($AK$3:$AK$201,$M58)&gt;0,
    COUNTIFS($AL$3:$AL$201,$M58)&gt;0,
    COUNTIFS($AM$3:$AM$201,$M58)&gt;0,
    COUNTIFS($AN$3:$AN$201,$M58)&gt;0,
    COUNTIFS($AO$3:$AO$201,$M58)&gt;0,
    COUNTIFS($AP$3:$AP$201,$M58)&gt;0,
    COUNTIFS($AQ$3:$AQ$201,$M58)&gt;0,
    COUNTIFS($AR$3:$AR$201,$M58)&gt;0,
    COUNTIFS($AS$3:$AS$201,$M58)&gt;0,
    COUNTIFS($AT$3:$AT$201,$M58)&gt;0,
    COUNTIFS($AU$3:$AU$201,$M58)&gt;0,
    COUNTIFS($AV$3:$AV$201,$M58)&gt;0,
    COUNTIFS($AW$3:$AW$201,$M58)&gt;0,
    COUNTIFS($AX$3:$AX$201,$M58)&gt;0
   ),
  0)
 ),
"")</f>
        <v>Rani</v>
      </c>
      <c r="P58" s="2" t="str" cm="1">
        <f t="array" aca="1" ref="P58" ca="1">IFERROR(
 INDEX(
  _xlfn._xlws.FILTER($U$2:$AX$2,
   TRANSPOSE(
    CHOOSE({1;2;3;4;5;6;7;8;9;10;11;12;13;14;15;16;17;18;19;20;21;22;23;24;25;26;27;28;29;30},
     COUNTIFS($U$3:$U$201,$M58)&gt;0,
     COUNTIFS($V$3:$V$201,$M58)&gt;0,
     COUNTIFS($W$3:$W$201,$M58)&gt;0,
     COUNTIFS($X$3:$X$201,$M58)&gt;0,
     COUNTIFS($Y$3:$Y$201,$M58)&gt;0,
     COUNTIFS($Z$3:$Z$201,$M58)&gt;0,
     COUNTIFS($AA$3:$AA$201,$M58)&gt;0,
     COUNTIFS($AB$3:$AB$201,$M58)&gt;0,
     COUNTIFS($AC$3:$AC$201,$M58)&gt;0,
     COUNTIFS($AD$3:$AD$201,$M58)&gt;0,
     COUNTIFS($AE$3:$AE$201,$M58)&gt;0,
     COUNTIFS($AF$3:$AF$201,$M58)&gt;0,
     COUNTIFS($AG$3:$AG$201,$M58)&gt;0,
     COUNTIFS($AH$3:$AH$201,$M58)&gt;0,
     COUNTIFS($AI$3:$AI$201,$M58)&gt;0,
     COUNTIFS($AJ$3:$AJ$201,$M58)&gt;0,
     COUNTIFS($AK$3:$AK$201,$M58)&gt;0,
     COUNTIFS($AL$3:$AL$201,$M58)&gt;0,
     COUNTIFS($AM$3:$AM$201,$M58)&gt;0,
     COUNTIFS($AN$3:$AN$201,$M58)&gt;0,
     COUNTIFS($AO$3:$AO$201,$M58)&gt;0,
     COUNTIFS($AP$3:$AP$201,$M58)&gt;0,
     COUNTIFS($AQ$3:$AQ$201,$M58)&gt;0,
     COUNTIFS($AR$3:$AR$201,$M58)&gt;0,
     COUNTIFS($AS$3:$AS$201,$M58)&gt;0,
     COUNTIFS($AT$3:$AT$201,$M58)&gt;0,
     COUNTIFS($AU$3:$AU$201,$M58)&gt;0,
     COUNTIFS($AV$3:$AV$201,$M58)&gt;0,
     COUNTIFS($AW$3:$AW$201,$M58)&gt;0,
     COUNTIFS($AX$3:$AX$201,$M58)&gt;0
   )),
  ),
  2
 ),
"")</f>
        <v/>
      </c>
      <c r="Q58" s="2" t="str" cm="1">
        <f t="array" aca="1" ref="Q58" ca="1">IFERROR(
 INDEX(
  _xlfn._xlws.FILTER($U$2:$AX$2,
   TRANSPOSE(
    CHOOSE({1;2;3;4;5;6;7;8;9;10;11;12;13;14;15;16;17;18;19;20;21;22;23;24;25;26;27;28;29;30},
     COUNTIFS($U$3:$U$201,$M58)&gt;0,
     COUNTIFS($V$3:$V$201,$M58)&gt;0,
     COUNTIFS($W$3:$W$201,$M58)&gt;0,
     COUNTIFS($X$3:$X$201,$M58)&gt;0,
     COUNTIFS($Y$3:$Y$201,$M58)&gt;0,
     COUNTIFS($Z$3:$Z$201,$M58)&gt;0,
     COUNTIFS($AA$3:$AA$201,$M58)&gt;0,
     COUNTIFS($AB$3:$AB$201,$M58)&gt;0,
     COUNTIFS($AC$3:$AC$201,$M58)&gt;0,
     COUNTIFS($AD$3:$AD$201,$M58)&gt;0,
     COUNTIFS($AE$3:$AE$201,$M58)&gt;0,
     COUNTIFS($AF$3:$AF$201,$M58)&gt;0,
     COUNTIFS($AG$3:$AG$201,$M58)&gt;0,
     COUNTIFS($AH$3:$AH$201,$M58)&gt;0,
     COUNTIFS($AI$3:$AI$201,$M58)&gt;0,
     COUNTIFS($AJ$3:$AJ$201,$M58)&gt;0,
     COUNTIFS($AK$3:$AK$201,$M58)&gt;0,
     COUNTIFS($AL$3:$AL$201,$M58)&gt;0,
     COUNTIFS($AM$3:$AM$201,$M58)&gt;0,
     COUNTIFS($AN$3:$AN$201,$M58)&gt;0,
     COUNTIFS($AO$3:$AO$201,$M58)&gt;0,
     COUNTIFS($AP$3:$AP$201,$M58)&gt;0,
     COUNTIFS($AQ$3:$AQ$201,$M58)&gt;0,
     COUNTIFS($AR$3:$AR$201,$M58)&gt;0,
     COUNTIFS($AS$3:$AS$201,$M58)&gt;0,
     COUNTIFS($AT$3:$AT$201,$M58)&gt;0,
     COUNTIFS($AU$3:$AU$201,$M58)&gt;0,
     COUNTIFS($AV$3:$AV$201,$M58)&gt;0,
     COUNTIFS($AW$3:$AW$201,$M58)&gt;0,
     COUNTIFS($AX$3:$AX$201,$M58)&gt;0
   )),
  ),
  3
 ),
"")</f>
        <v/>
      </c>
      <c r="DO58" t="str">
        <f ca="1"/>
        <v>Trailblazer's Boots</v>
      </c>
      <c r="EF58" t="str">
        <f ca="1"/>
        <v>Panorama de Naya</v>
      </c>
      <c r="EG58" t="str">
        <f ca="1"/>
        <v>Silundi Vision</v>
      </c>
      <c r="EO58" t="str">
        <f ca="1"/>
        <v>Harrow</v>
      </c>
      <c r="EP58" t="str">
        <f ca="1"/>
        <v>Sacred Ground</v>
      </c>
      <c r="ET58" t="str">
        <f ca="1"/>
        <v>Exclusion Mage</v>
      </c>
      <c r="EW58" t="str">
        <f ca="1"/>
        <v>Emergency Zone</v>
      </c>
    </row>
    <row r="59" spans="1:153" x14ac:dyDescent="0.25">
      <c r="A59" t="str">
        <f ca="1"/>
        <v>Bothersome Quasit</v>
      </c>
      <c r="B59" s="2" t="str" cm="1">
        <f t="array" aca="1" ref="B59" ca="1">_xlfn.ANCHORARRAY(RESUMO!C58)</f>
        <v>Rani</v>
      </c>
      <c r="C59" s="2" t="str">
        <f t="shared" ca="1" si="0"/>
        <v/>
      </c>
      <c r="E59" t="str">
        <f ca="1"/>
        <v>Eternal Witness</v>
      </c>
      <c r="F59" s="2">
        <f t="shared" ca="1" si="3"/>
        <v>1</v>
      </c>
      <c r="G59" s="2" t="str">
        <f t="shared" ca="1" si="1"/>
        <v>Tayam</v>
      </c>
      <c r="I59" s="18"/>
      <c r="J59" t="s">
        <v>180</v>
      </c>
      <c r="K59" s="2">
        <v>1</v>
      </c>
      <c r="M59" t="str">
        <f ca="1"/>
        <v>Eternal Witness</v>
      </c>
      <c r="N59" s="2">
        <f t="shared" ca="1" si="2"/>
        <v>1</v>
      </c>
      <c r="O59" s="2" t="str">
        <f ca="1">IFERROR(
 INDEX($U$2:$AX$2,
  MATCH(TRUE,
   CHOOSE({1;2;3;4;5;6;7;8;9;10;11;12;13;14;15;16;17;18;19;20;21;22;23;24;25;26;27;28;29;30;31;32},
    COUNTIFS($U$3:$U$201,$M59)&gt;0,
    COUNTIFS($V$3:$V$201,$M59)&gt;0,
    COUNTIFS($W$3:$W$201,$M59)&gt;0,
    COUNTIFS($X$3:$X$201,$M59)&gt;0,
    COUNTIFS($Y$3:$Y$201,$M59)&gt;0,
    COUNTIFS($Z$3:$Z$201,$M59)&gt;0,
    COUNTIFS($AA$3:$AA$201,$M59)&gt;0,
    COUNTIFS($AB$3:$AB$201,$M59)&gt;0,
    COUNTIFS($AC$3:$AC$201,$M59)&gt;0,
    COUNTIFS($AD$3:$AD$201,$M59)&gt;0,
    COUNTIFS($AE$3:$AE$201,$M59)&gt;0,
    COUNTIFS($AF$3:$AF$201,$M59)&gt;0,
    COUNTIFS($AG$3:$AG$201,$M59)&gt;0,
    COUNTIFS($AH$3:$AH$201,$M59)&gt;0,
    COUNTIFS($AI$3:$AI$201,$M59)&gt;0,
    COUNTIFS($AJ$3:$AJ$201,$M59)&gt;0,
    COUNTIFS($AK$3:$AK$201,$M59)&gt;0,
    COUNTIFS($AL$3:$AL$201,$M59)&gt;0,
    COUNTIFS($AM$3:$AM$201,$M59)&gt;0,
    COUNTIFS($AN$3:$AN$201,$M59)&gt;0,
    COUNTIFS($AO$3:$AO$201,$M59)&gt;0,
    COUNTIFS($AP$3:$AP$201,$M59)&gt;0,
    COUNTIFS($AQ$3:$AQ$201,$M59)&gt;0,
    COUNTIFS($AR$3:$AR$201,$M59)&gt;0,
    COUNTIFS($AS$3:$AS$201,$M59)&gt;0,
    COUNTIFS($AT$3:$AT$201,$M59)&gt;0,
    COUNTIFS($AU$3:$AU$201,$M59)&gt;0,
    COUNTIFS($AV$3:$AV$201,$M59)&gt;0,
    COUNTIFS($AW$3:$AW$201,$M59)&gt;0,
    COUNTIFS($AX$3:$AX$201,$M59)&gt;0
   ),
  0)
 ),
"")</f>
        <v>Tayam</v>
      </c>
      <c r="P59" s="2" t="str" cm="1">
        <f t="array" aca="1" ref="P59" ca="1">IFERROR(
 INDEX(
  _xlfn._xlws.FILTER($U$2:$AX$2,
   TRANSPOSE(
    CHOOSE({1;2;3;4;5;6;7;8;9;10;11;12;13;14;15;16;17;18;19;20;21;22;23;24;25;26;27;28;29;30},
     COUNTIFS($U$3:$U$201,$M59)&gt;0,
     COUNTIFS($V$3:$V$201,$M59)&gt;0,
     COUNTIFS($W$3:$W$201,$M59)&gt;0,
     COUNTIFS($X$3:$X$201,$M59)&gt;0,
     COUNTIFS($Y$3:$Y$201,$M59)&gt;0,
     COUNTIFS($Z$3:$Z$201,$M59)&gt;0,
     COUNTIFS($AA$3:$AA$201,$M59)&gt;0,
     COUNTIFS($AB$3:$AB$201,$M59)&gt;0,
     COUNTIFS($AC$3:$AC$201,$M59)&gt;0,
     COUNTIFS($AD$3:$AD$201,$M59)&gt;0,
     COUNTIFS($AE$3:$AE$201,$M59)&gt;0,
     COUNTIFS($AF$3:$AF$201,$M59)&gt;0,
     COUNTIFS($AG$3:$AG$201,$M59)&gt;0,
     COUNTIFS($AH$3:$AH$201,$M59)&gt;0,
     COUNTIFS($AI$3:$AI$201,$M59)&gt;0,
     COUNTIFS($AJ$3:$AJ$201,$M59)&gt;0,
     COUNTIFS($AK$3:$AK$201,$M59)&gt;0,
     COUNTIFS($AL$3:$AL$201,$M59)&gt;0,
     COUNTIFS($AM$3:$AM$201,$M59)&gt;0,
     COUNTIFS($AN$3:$AN$201,$M59)&gt;0,
     COUNTIFS($AO$3:$AO$201,$M59)&gt;0,
     COUNTIFS($AP$3:$AP$201,$M59)&gt;0,
     COUNTIFS($AQ$3:$AQ$201,$M59)&gt;0,
     COUNTIFS($AR$3:$AR$201,$M59)&gt;0,
     COUNTIFS($AS$3:$AS$201,$M59)&gt;0,
     COUNTIFS($AT$3:$AT$201,$M59)&gt;0,
     COUNTIFS($AU$3:$AU$201,$M59)&gt;0,
     COUNTIFS($AV$3:$AV$201,$M59)&gt;0,
     COUNTIFS($AW$3:$AW$201,$M59)&gt;0,
     COUNTIFS($AX$3:$AX$201,$M59)&gt;0
   )),
  ),
  2
 ),
"")</f>
        <v/>
      </c>
      <c r="Q59" s="2" t="str" cm="1">
        <f t="array" aca="1" ref="Q59" ca="1">IFERROR(
 INDEX(
  _xlfn._xlws.FILTER($U$2:$AX$2,
   TRANSPOSE(
    CHOOSE({1;2;3;4;5;6;7;8;9;10;11;12;13;14;15;16;17;18;19;20;21;22;23;24;25;26;27;28;29;30},
     COUNTIFS($U$3:$U$201,$M59)&gt;0,
     COUNTIFS($V$3:$V$201,$M59)&gt;0,
     COUNTIFS($W$3:$W$201,$M59)&gt;0,
     COUNTIFS($X$3:$X$201,$M59)&gt;0,
     COUNTIFS($Y$3:$Y$201,$M59)&gt;0,
     COUNTIFS($Z$3:$Z$201,$M59)&gt;0,
     COUNTIFS($AA$3:$AA$201,$M59)&gt;0,
     COUNTIFS($AB$3:$AB$201,$M59)&gt;0,
     COUNTIFS($AC$3:$AC$201,$M59)&gt;0,
     COUNTIFS($AD$3:$AD$201,$M59)&gt;0,
     COUNTIFS($AE$3:$AE$201,$M59)&gt;0,
     COUNTIFS($AF$3:$AF$201,$M59)&gt;0,
     COUNTIFS($AG$3:$AG$201,$M59)&gt;0,
     COUNTIFS($AH$3:$AH$201,$M59)&gt;0,
     COUNTIFS($AI$3:$AI$201,$M59)&gt;0,
     COUNTIFS($AJ$3:$AJ$201,$M59)&gt;0,
     COUNTIFS($AK$3:$AK$201,$M59)&gt;0,
     COUNTIFS($AL$3:$AL$201,$M59)&gt;0,
     COUNTIFS($AM$3:$AM$201,$M59)&gt;0,
     COUNTIFS($AN$3:$AN$201,$M59)&gt;0,
     COUNTIFS($AO$3:$AO$201,$M59)&gt;0,
     COUNTIFS($AP$3:$AP$201,$M59)&gt;0,
     COUNTIFS($AQ$3:$AQ$201,$M59)&gt;0,
     COUNTIFS($AR$3:$AR$201,$M59)&gt;0,
     COUNTIFS($AS$3:$AS$201,$M59)&gt;0,
     COUNTIFS($AT$3:$AT$201,$M59)&gt;0,
     COUNTIFS($AU$3:$AU$201,$M59)&gt;0,
     COUNTIFS($AV$3:$AV$201,$M59)&gt;0,
     COUNTIFS($AW$3:$AW$201,$M59)&gt;0,
     COUNTIFS($AX$3:$AX$201,$M59)&gt;0
   )),
  ),
  3
 ),
"")</f>
        <v/>
      </c>
      <c r="DO59" t="str">
        <f ca="1"/>
        <v>Traumatize</v>
      </c>
      <c r="EF59" t="str">
        <f ca="1"/>
        <v>Piranha Marsh</v>
      </c>
      <c r="EG59" t="str">
        <f ca="1"/>
        <v>Smoke Shroud</v>
      </c>
      <c r="EO59" t="str">
        <f ca="1"/>
        <v>Hedron Archive</v>
      </c>
      <c r="EP59" t="str">
        <f ca="1"/>
        <v>Saheeli, Filigree Master</v>
      </c>
      <c r="ET59" t="str">
        <f ca="1"/>
        <v>Feldon of the Third Path</v>
      </c>
      <c r="EW59" t="str">
        <f ca="1"/>
        <v>Eternal Witness</v>
      </c>
    </row>
    <row r="60" spans="1:153" x14ac:dyDescent="0.25">
      <c r="A60" t="str">
        <f ca="1"/>
        <v>Brass's Tunnel-Grinder</v>
      </c>
      <c r="B60" s="2" t="str" cm="1">
        <f t="array" aca="1" ref="B60" ca="1">_xlfn.ANCHORARRAY(RESUMO!C59)</f>
        <v>Narset</v>
      </c>
      <c r="C60" s="2" t="str">
        <f t="shared" ca="1" si="0"/>
        <v/>
      </c>
      <c r="E60" t="str">
        <f ca="1"/>
        <v>Evolving Wilds</v>
      </c>
      <c r="F60" s="2">
        <f t="shared" ca="1" si="3"/>
        <v>4</v>
      </c>
      <c r="G60" s="2" t="str">
        <f t="shared" ca="1" si="1"/>
        <v>Baylen</v>
      </c>
      <c r="I60" s="18"/>
      <c r="J60" t="s">
        <v>180</v>
      </c>
      <c r="K60" s="2">
        <v>1</v>
      </c>
      <c r="M60" t="str">
        <f ca="1"/>
        <v>Evolving Wilds</v>
      </c>
      <c r="N60" s="2">
        <f t="shared" ca="1" si="2"/>
        <v>4</v>
      </c>
      <c r="O60" s="2" t="str">
        <f ca="1">IFERROR(
 INDEX($U$2:$AX$2,
  MATCH(TRUE,
   CHOOSE({1;2;3;4;5;6;7;8;9;10;11;12;13;14;15;16;17;18;19;20;21;22;23;24;25;26;27;28;29;30;31;32},
    COUNTIFS($U$3:$U$201,$M60)&gt;0,
    COUNTIFS($V$3:$V$201,$M60)&gt;0,
    COUNTIFS($W$3:$W$201,$M60)&gt;0,
    COUNTIFS($X$3:$X$201,$M60)&gt;0,
    COUNTIFS($Y$3:$Y$201,$M60)&gt;0,
    COUNTIFS($Z$3:$Z$201,$M60)&gt;0,
    COUNTIFS($AA$3:$AA$201,$M60)&gt;0,
    COUNTIFS($AB$3:$AB$201,$M60)&gt;0,
    COUNTIFS($AC$3:$AC$201,$M60)&gt;0,
    COUNTIFS($AD$3:$AD$201,$M60)&gt;0,
    COUNTIFS($AE$3:$AE$201,$M60)&gt;0,
    COUNTIFS($AF$3:$AF$201,$M60)&gt;0,
    COUNTIFS($AG$3:$AG$201,$M60)&gt;0,
    COUNTIFS($AH$3:$AH$201,$M60)&gt;0,
    COUNTIFS($AI$3:$AI$201,$M60)&gt;0,
    COUNTIFS($AJ$3:$AJ$201,$M60)&gt;0,
    COUNTIFS($AK$3:$AK$201,$M60)&gt;0,
    COUNTIFS($AL$3:$AL$201,$M60)&gt;0,
    COUNTIFS($AM$3:$AM$201,$M60)&gt;0,
    COUNTIFS($AN$3:$AN$201,$M60)&gt;0,
    COUNTIFS($AO$3:$AO$201,$M60)&gt;0,
    COUNTIFS($AP$3:$AP$201,$M60)&gt;0,
    COUNTIFS($AQ$3:$AQ$201,$M60)&gt;0,
    COUNTIFS($AR$3:$AR$201,$M60)&gt;0,
    COUNTIFS($AS$3:$AS$201,$M60)&gt;0,
    COUNTIFS($AT$3:$AT$201,$M60)&gt;0,
    COUNTIFS($AU$3:$AU$201,$M60)&gt;0,
    COUNTIFS($AV$3:$AV$201,$M60)&gt;0,
    COUNTIFS($AW$3:$AW$201,$M60)&gt;0,
    COUNTIFS($AX$3:$AX$201,$M60)&gt;0
   ),
  0)
 ),
"")</f>
        <v>Baylen</v>
      </c>
      <c r="P60" s="2" t="str" cm="1">
        <f t="array" aca="1" ref="P60" ca="1">IFERROR(
 INDEX(
  _xlfn._xlws.FILTER($U$2:$AX$2,
   TRANSPOSE(
    CHOOSE({1;2;3;4;5;6;7;8;9;10;11;12;13;14;15;16;17;18;19;20;21;22;23;24;25;26;27;28;29;30},
     COUNTIFS($U$3:$U$201,$M60)&gt;0,
     COUNTIFS($V$3:$V$201,$M60)&gt;0,
     COUNTIFS($W$3:$W$201,$M60)&gt;0,
     COUNTIFS($X$3:$X$201,$M60)&gt;0,
     COUNTIFS($Y$3:$Y$201,$M60)&gt;0,
     COUNTIFS($Z$3:$Z$201,$M60)&gt;0,
     COUNTIFS($AA$3:$AA$201,$M60)&gt;0,
     COUNTIFS($AB$3:$AB$201,$M60)&gt;0,
     COUNTIFS($AC$3:$AC$201,$M60)&gt;0,
     COUNTIFS($AD$3:$AD$201,$M60)&gt;0,
     COUNTIFS($AE$3:$AE$201,$M60)&gt;0,
     COUNTIFS($AF$3:$AF$201,$M60)&gt;0,
     COUNTIFS($AG$3:$AG$201,$M60)&gt;0,
     COUNTIFS($AH$3:$AH$201,$M60)&gt;0,
     COUNTIFS($AI$3:$AI$201,$M60)&gt;0,
     COUNTIFS($AJ$3:$AJ$201,$M60)&gt;0,
     COUNTIFS($AK$3:$AK$201,$M60)&gt;0,
     COUNTIFS($AL$3:$AL$201,$M60)&gt;0,
     COUNTIFS($AM$3:$AM$201,$M60)&gt;0,
     COUNTIFS($AN$3:$AN$201,$M60)&gt;0,
     COUNTIFS($AO$3:$AO$201,$M60)&gt;0,
     COUNTIFS($AP$3:$AP$201,$M60)&gt;0,
     COUNTIFS($AQ$3:$AQ$201,$M60)&gt;0,
     COUNTIFS($AR$3:$AR$201,$M60)&gt;0,
     COUNTIFS($AS$3:$AS$201,$M60)&gt;0,
     COUNTIFS($AT$3:$AT$201,$M60)&gt;0,
     COUNTIFS($AU$3:$AU$201,$M60)&gt;0,
     COUNTIFS($AV$3:$AV$201,$M60)&gt;0,
     COUNTIFS($AW$3:$AW$201,$M60)&gt;0,
     COUNTIFS($AX$3:$AX$201,$M60)&gt;0
   )),
  ),
  2
 ),
"")</f>
        <v>Rani</v>
      </c>
      <c r="Q60" s="2" t="str" cm="1">
        <f t="array" aca="1" ref="Q60" ca="1">IFERROR(
 INDEX(
  _xlfn._xlws.FILTER($U$2:$AX$2,
   TRANSPOSE(
    CHOOSE({1;2;3;4;5;6;7;8;9;10;11;12;13;14;15;16;17;18;19;20;21;22;23;24;25;26;27;28;29;30},
     COUNTIFS($U$3:$U$201,$M60)&gt;0,
     COUNTIFS($V$3:$V$201,$M60)&gt;0,
     COUNTIFS($W$3:$W$201,$M60)&gt;0,
     COUNTIFS($X$3:$X$201,$M60)&gt;0,
     COUNTIFS($Y$3:$Y$201,$M60)&gt;0,
     COUNTIFS($Z$3:$Z$201,$M60)&gt;0,
     COUNTIFS($AA$3:$AA$201,$M60)&gt;0,
     COUNTIFS($AB$3:$AB$201,$M60)&gt;0,
     COUNTIFS($AC$3:$AC$201,$M60)&gt;0,
     COUNTIFS($AD$3:$AD$201,$M60)&gt;0,
     COUNTIFS($AE$3:$AE$201,$M60)&gt;0,
     COUNTIFS($AF$3:$AF$201,$M60)&gt;0,
     COUNTIFS($AG$3:$AG$201,$M60)&gt;0,
     COUNTIFS($AH$3:$AH$201,$M60)&gt;0,
     COUNTIFS($AI$3:$AI$201,$M60)&gt;0,
     COUNTIFS($AJ$3:$AJ$201,$M60)&gt;0,
     COUNTIFS($AK$3:$AK$201,$M60)&gt;0,
     COUNTIFS($AL$3:$AL$201,$M60)&gt;0,
     COUNTIFS($AM$3:$AM$201,$M60)&gt;0,
     COUNTIFS($AN$3:$AN$201,$M60)&gt;0,
     COUNTIFS($AO$3:$AO$201,$M60)&gt;0,
     COUNTIFS($AP$3:$AP$201,$M60)&gt;0,
     COUNTIFS($AQ$3:$AQ$201,$M60)&gt;0,
     COUNTIFS($AR$3:$AR$201,$M60)&gt;0,
     COUNTIFS($AS$3:$AS$201,$M60)&gt;0,
     COUNTIFS($AT$3:$AT$201,$M60)&gt;0,
     COUNTIFS($AU$3:$AU$201,$M60)&gt;0,
     COUNTIFS($AV$3:$AV$201,$M60)&gt;0,
     COUNTIFS($AW$3:$AW$201,$M60)&gt;0,
     COUNTIFS($AX$3:$AX$201,$M60)&gt;0
   )),
  ),
  3
 ),
"")</f>
        <v>Elfos</v>
      </c>
      <c r="DO60" t="str">
        <f ca="1"/>
        <v>True Ancestry</v>
      </c>
      <c r="EF60" t="str">
        <f ca="1"/>
        <v>Plains</v>
      </c>
      <c r="EG60" t="str">
        <f ca="1"/>
        <v>Stoic Rebuttal</v>
      </c>
      <c r="EO60" t="str">
        <f ca="1"/>
        <v>High Priest of Penance</v>
      </c>
      <c r="EP60" t="str">
        <f ca="1"/>
        <v>Sarinth Greatwurm</v>
      </c>
      <c r="ET60" t="str">
        <f ca="1"/>
        <v>Fell the Mighty</v>
      </c>
      <c r="EW60" t="str">
        <f ca="1"/>
        <v>Evolving Wilds</v>
      </c>
    </row>
    <row r="61" spans="1:153" x14ac:dyDescent="0.25">
      <c r="A61" t="str">
        <f ca="1"/>
        <v>Bre of Clan Stoutarm</v>
      </c>
      <c r="B61" s="2" t="str" cm="1">
        <f t="array" aca="1" ref="B61" ca="1">_xlfn.ANCHORARRAY(RESUMO!C60)</f>
        <v>Little</v>
      </c>
      <c r="C61" s="2" t="str">
        <f t="shared" ca="1" si="0"/>
        <v/>
      </c>
      <c r="E61" t="str">
        <f ca="1"/>
        <v>Exclusion Mage</v>
      </c>
      <c r="F61" s="2">
        <f t="shared" ca="1" si="3"/>
        <v>1</v>
      </c>
      <c r="G61" s="2" t="str">
        <f t="shared" ca="1" si="1"/>
        <v>Inalla</v>
      </c>
      <c r="I61" s="18"/>
      <c r="J61" t="s">
        <v>180</v>
      </c>
      <c r="K61" s="2">
        <v>1</v>
      </c>
      <c r="M61" t="str">
        <f ca="1"/>
        <v>Exclusion Mage</v>
      </c>
      <c r="N61" s="2">
        <f t="shared" ca="1" si="2"/>
        <v>1</v>
      </c>
      <c r="O61" s="2" t="str">
        <f ca="1">IFERROR(
 INDEX($U$2:$AX$2,
  MATCH(TRUE,
   CHOOSE({1;2;3;4;5;6;7;8;9;10;11;12;13;14;15;16;17;18;19;20;21;22;23;24;25;26;27;28;29;30;31;32},
    COUNTIFS($U$3:$U$201,$M61)&gt;0,
    COUNTIFS($V$3:$V$201,$M61)&gt;0,
    COUNTIFS($W$3:$W$201,$M61)&gt;0,
    COUNTIFS($X$3:$X$201,$M61)&gt;0,
    COUNTIFS($Y$3:$Y$201,$M61)&gt;0,
    COUNTIFS($Z$3:$Z$201,$M61)&gt;0,
    COUNTIFS($AA$3:$AA$201,$M61)&gt;0,
    COUNTIFS($AB$3:$AB$201,$M61)&gt;0,
    COUNTIFS($AC$3:$AC$201,$M61)&gt;0,
    COUNTIFS($AD$3:$AD$201,$M61)&gt;0,
    COUNTIFS($AE$3:$AE$201,$M61)&gt;0,
    COUNTIFS($AF$3:$AF$201,$M61)&gt;0,
    COUNTIFS($AG$3:$AG$201,$M61)&gt;0,
    COUNTIFS($AH$3:$AH$201,$M61)&gt;0,
    COUNTIFS($AI$3:$AI$201,$M61)&gt;0,
    COUNTIFS($AJ$3:$AJ$201,$M61)&gt;0,
    COUNTIFS($AK$3:$AK$201,$M61)&gt;0,
    COUNTIFS($AL$3:$AL$201,$M61)&gt;0,
    COUNTIFS($AM$3:$AM$201,$M61)&gt;0,
    COUNTIFS($AN$3:$AN$201,$M61)&gt;0,
    COUNTIFS($AO$3:$AO$201,$M61)&gt;0,
    COUNTIFS($AP$3:$AP$201,$M61)&gt;0,
    COUNTIFS($AQ$3:$AQ$201,$M61)&gt;0,
    COUNTIFS($AR$3:$AR$201,$M61)&gt;0,
    COUNTIFS($AS$3:$AS$201,$M61)&gt;0,
    COUNTIFS($AT$3:$AT$201,$M61)&gt;0,
    COUNTIFS($AU$3:$AU$201,$M61)&gt;0,
    COUNTIFS($AV$3:$AV$201,$M61)&gt;0,
    COUNTIFS($AW$3:$AW$201,$M61)&gt;0,
    COUNTIFS($AX$3:$AX$201,$M61)&gt;0
   ),
  0)
 ),
"")</f>
        <v>Inalla</v>
      </c>
      <c r="P61" s="2" t="str" cm="1">
        <f t="array" aca="1" ref="P61" ca="1">IFERROR(
 INDEX(
  _xlfn._xlws.FILTER($U$2:$AX$2,
   TRANSPOSE(
    CHOOSE({1;2;3;4;5;6;7;8;9;10;11;12;13;14;15;16;17;18;19;20;21;22;23;24;25;26;27;28;29;30},
     COUNTIFS($U$3:$U$201,$M61)&gt;0,
     COUNTIFS($V$3:$V$201,$M61)&gt;0,
     COUNTIFS($W$3:$W$201,$M61)&gt;0,
     COUNTIFS($X$3:$X$201,$M61)&gt;0,
     COUNTIFS($Y$3:$Y$201,$M61)&gt;0,
     COUNTIFS($Z$3:$Z$201,$M61)&gt;0,
     COUNTIFS($AA$3:$AA$201,$M61)&gt;0,
     COUNTIFS($AB$3:$AB$201,$M61)&gt;0,
     COUNTIFS($AC$3:$AC$201,$M61)&gt;0,
     COUNTIFS($AD$3:$AD$201,$M61)&gt;0,
     COUNTIFS($AE$3:$AE$201,$M61)&gt;0,
     COUNTIFS($AF$3:$AF$201,$M61)&gt;0,
     COUNTIFS($AG$3:$AG$201,$M61)&gt;0,
     COUNTIFS($AH$3:$AH$201,$M61)&gt;0,
     COUNTIFS($AI$3:$AI$201,$M61)&gt;0,
     COUNTIFS($AJ$3:$AJ$201,$M61)&gt;0,
     COUNTIFS($AK$3:$AK$201,$M61)&gt;0,
     COUNTIFS($AL$3:$AL$201,$M61)&gt;0,
     COUNTIFS($AM$3:$AM$201,$M61)&gt;0,
     COUNTIFS($AN$3:$AN$201,$M61)&gt;0,
     COUNTIFS($AO$3:$AO$201,$M61)&gt;0,
     COUNTIFS($AP$3:$AP$201,$M61)&gt;0,
     COUNTIFS($AQ$3:$AQ$201,$M61)&gt;0,
     COUNTIFS($AR$3:$AR$201,$M61)&gt;0,
     COUNTIFS($AS$3:$AS$201,$M61)&gt;0,
     COUNTIFS($AT$3:$AT$201,$M61)&gt;0,
     COUNTIFS($AU$3:$AU$201,$M61)&gt;0,
     COUNTIFS($AV$3:$AV$201,$M61)&gt;0,
     COUNTIFS($AW$3:$AW$201,$M61)&gt;0,
     COUNTIFS($AX$3:$AX$201,$M61)&gt;0
   )),
  ),
  2
 ),
"")</f>
        <v/>
      </c>
      <c r="Q61" s="2" t="str" cm="1">
        <f t="array" aca="1" ref="Q61" ca="1">IFERROR(
 INDEX(
  _xlfn._xlws.FILTER($U$2:$AX$2,
   TRANSPOSE(
    CHOOSE({1;2;3;4;5;6;7;8;9;10;11;12;13;14;15;16;17;18;19;20;21;22;23;24;25;26;27;28;29;30},
     COUNTIFS($U$3:$U$201,$M61)&gt;0,
     COUNTIFS($V$3:$V$201,$M61)&gt;0,
     COUNTIFS($W$3:$W$201,$M61)&gt;0,
     COUNTIFS($X$3:$X$201,$M61)&gt;0,
     COUNTIFS($Y$3:$Y$201,$M61)&gt;0,
     COUNTIFS($Z$3:$Z$201,$M61)&gt;0,
     COUNTIFS($AA$3:$AA$201,$M61)&gt;0,
     COUNTIFS($AB$3:$AB$201,$M61)&gt;0,
     COUNTIFS($AC$3:$AC$201,$M61)&gt;0,
     COUNTIFS($AD$3:$AD$201,$M61)&gt;0,
     COUNTIFS($AE$3:$AE$201,$M61)&gt;0,
     COUNTIFS($AF$3:$AF$201,$M61)&gt;0,
     COUNTIFS($AG$3:$AG$201,$M61)&gt;0,
     COUNTIFS($AH$3:$AH$201,$M61)&gt;0,
     COUNTIFS($AI$3:$AI$201,$M61)&gt;0,
     COUNTIFS($AJ$3:$AJ$201,$M61)&gt;0,
     COUNTIFS($AK$3:$AK$201,$M61)&gt;0,
     COUNTIFS($AL$3:$AL$201,$M61)&gt;0,
     COUNTIFS($AM$3:$AM$201,$M61)&gt;0,
     COUNTIFS($AN$3:$AN$201,$M61)&gt;0,
     COUNTIFS($AO$3:$AO$201,$M61)&gt;0,
     COUNTIFS($AP$3:$AP$201,$M61)&gt;0,
     COUNTIFS($AQ$3:$AQ$201,$M61)&gt;0,
     COUNTIFS($AR$3:$AR$201,$M61)&gt;0,
     COUNTIFS($AS$3:$AS$201,$M61)&gt;0,
     COUNTIFS($AT$3:$AT$201,$M61)&gt;0,
     COUNTIFS($AU$3:$AU$201,$M61)&gt;0,
     COUNTIFS($AV$3:$AV$201,$M61)&gt;0,
     COUNTIFS($AW$3:$AW$201,$M61)&gt;0,
     COUNTIFS($AX$3:$AX$201,$M61)&gt;0
   )),
  ),
  3
 ),
"")</f>
        <v/>
      </c>
      <c r="DO61" t="str">
        <f ca="1"/>
        <v>Tuskguard Captain</v>
      </c>
      <c r="EF61" t="str">
        <f ca="1"/>
        <v>Presence of Gond</v>
      </c>
      <c r="EG61" t="str">
        <f ca="1"/>
        <v>Stormtide Leviathan</v>
      </c>
      <c r="EO61" t="str">
        <f ca="1"/>
        <v>Horda Germinal</v>
      </c>
      <c r="EP61" t="str">
        <f ca="1"/>
        <v>Savage Twister</v>
      </c>
      <c r="ET61" t="str">
        <f ca="1"/>
        <v>Fiend Artisan</v>
      </c>
      <c r="EW61" t="str">
        <f ca="1"/>
        <v>Exclusion Mage</v>
      </c>
    </row>
    <row r="62" spans="1:153" x14ac:dyDescent="0.25">
      <c r="A62" t="str">
        <f ca="1"/>
        <v>Breeding Pool</v>
      </c>
      <c r="B62" s="2" t="str" cm="1">
        <f t="array" aca="1" ref="B62" ca="1">_xlfn.ANCHORARRAY(RESUMO!C61)</f>
        <v>Fractius</v>
      </c>
      <c r="C62" s="2" t="str">
        <f t="shared" ca="1" si="0"/>
        <v/>
      </c>
      <c r="E62" t="str">
        <f ca="1"/>
        <v>Feldon of the Third Path</v>
      </c>
      <c r="F62" s="2">
        <f t="shared" ca="1" si="3"/>
        <v>1</v>
      </c>
      <c r="G62" s="2" t="str">
        <f t="shared" ca="1" si="1"/>
        <v>Kresh</v>
      </c>
      <c r="I62" s="18"/>
      <c r="J62" t="s">
        <v>180</v>
      </c>
      <c r="K62" s="2">
        <v>1</v>
      </c>
      <c r="M62" t="str">
        <f ca="1"/>
        <v>Feldon of the Third Path</v>
      </c>
      <c r="N62" s="2">
        <f t="shared" ca="1" si="2"/>
        <v>1</v>
      </c>
      <c r="O62" s="2" t="str">
        <f ca="1">IFERROR(
 INDEX($U$2:$AX$2,
  MATCH(TRUE,
   CHOOSE({1;2;3;4;5;6;7;8;9;10;11;12;13;14;15;16;17;18;19;20;21;22;23;24;25;26;27;28;29;30;31;32},
    COUNTIFS($U$3:$U$201,$M62)&gt;0,
    COUNTIFS($V$3:$V$201,$M62)&gt;0,
    COUNTIFS($W$3:$W$201,$M62)&gt;0,
    COUNTIFS($X$3:$X$201,$M62)&gt;0,
    COUNTIFS($Y$3:$Y$201,$M62)&gt;0,
    COUNTIFS($Z$3:$Z$201,$M62)&gt;0,
    COUNTIFS($AA$3:$AA$201,$M62)&gt;0,
    COUNTIFS($AB$3:$AB$201,$M62)&gt;0,
    COUNTIFS($AC$3:$AC$201,$M62)&gt;0,
    COUNTIFS($AD$3:$AD$201,$M62)&gt;0,
    COUNTIFS($AE$3:$AE$201,$M62)&gt;0,
    COUNTIFS($AF$3:$AF$201,$M62)&gt;0,
    COUNTIFS($AG$3:$AG$201,$M62)&gt;0,
    COUNTIFS($AH$3:$AH$201,$M62)&gt;0,
    COUNTIFS($AI$3:$AI$201,$M62)&gt;0,
    COUNTIFS($AJ$3:$AJ$201,$M62)&gt;0,
    COUNTIFS($AK$3:$AK$201,$M62)&gt;0,
    COUNTIFS($AL$3:$AL$201,$M62)&gt;0,
    COUNTIFS($AM$3:$AM$201,$M62)&gt;0,
    COUNTIFS($AN$3:$AN$201,$M62)&gt;0,
    COUNTIFS($AO$3:$AO$201,$M62)&gt;0,
    COUNTIFS($AP$3:$AP$201,$M62)&gt;0,
    COUNTIFS($AQ$3:$AQ$201,$M62)&gt;0,
    COUNTIFS($AR$3:$AR$201,$M62)&gt;0,
    COUNTIFS($AS$3:$AS$201,$M62)&gt;0,
    COUNTIFS($AT$3:$AT$201,$M62)&gt;0,
    COUNTIFS($AU$3:$AU$201,$M62)&gt;0,
    COUNTIFS($AV$3:$AV$201,$M62)&gt;0,
    COUNTIFS($AW$3:$AW$201,$M62)&gt;0,
    COUNTIFS($AX$3:$AX$201,$M62)&gt;0
   ),
  0)
 ),
"")</f>
        <v>Kresh</v>
      </c>
      <c r="P62" s="2" t="str" cm="1">
        <f t="array" aca="1" ref="P62" ca="1">IFERROR(
 INDEX(
  _xlfn._xlws.FILTER($U$2:$AX$2,
   TRANSPOSE(
    CHOOSE({1;2;3;4;5;6;7;8;9;10;11;12;13;14;15;16;17;18;19;20;21;22;23;24;25;26;27;28;29;30},
     COUNTIFS($U$3:$U$201,$M62)&gt;0,
     COUNTIFS($V$3:$V$201,$M62)&gt;0,
     COUNTIFS($W$3:$W$201,$M62)&gt;0,
     COUNTIFS($X$3:$X$201,$M62)&gt;0,
     COUNTIFS($Y$3:$Y$201,$M62)&gt;0,
     COUNTIFS($Z$3:$Z$201,$M62)&gt;0,
     COUNTIFS($AA$3:$AA$201,$M62)&gt;0,
     COUNTIFS($AB$3:$AB$201,$M62)&gt;0,
     COUNTIFS($AC$3:$AC$201,$M62)&gt;0,
     COUNTIFS($AD$3:$AD$201,$M62)&gt;0,
     COUNTIFS($AE$3:$AE$201,$M62)&gt;0,
     COUNTIFS($AF$3:$AF$201,$M62)&gt;0,
     COUNTIFS($AG$3:$AG$201,$M62)&gt;0,
     COUNTIFS($AH$3:$AH$201,$M62)&gt;0,
     COUNTIFS($AI$3:$AI$201,$M62)&gt;0,
     COUNTIFS($AJ$3:$AJ$201,$M62)&gt;0,
     COUNTIFS($AK$3:$AK$201,$M62)&gt;0,
     COUNTIFS($AL$3:$AL$201,$M62)&gt;0,
     COUNTIFS($AM$3:$AM$201,$M62)&gt;0,
     COUNTIFS($AN$3:$AN$201,$M62)&gt;0,
     COUNTIFS($AO$3:$AO$201,$M62)&gt;0,
     COUNTIFS($AP$3:$AP$201,$M62)&gt;0,
     COUNTIFS($AQ$3:$AQ$201,$M62)&gt;0,
     COUNTIFS($AR$3:$AR$201,$M62)&gt;0,
     COUNTIFS($AS$3:$AS$201,$M62)&gt;0,
     COUNTIFS($AT$3:$AT$201,$M62)&gt;0,
     COUNTIFS($AU$3:$AU$201,$M62)&gt;0,
     COUNTIFS($AV$3:$AV$201,$M62)&gt;0,
     COUNTIFS($AW$3:$AW$201,$M62)&gt;0,
     COUNTIFS($AX$3:$AX$201,$M62)&gt;0
   )),
  ),
  2
 ),
"")</f>
        <v/>
      </c>
      <c r="Q62" s="2" t="str" cm="1">
        <f t="array" aca="1" ref="Q62" ca="1">IFERROR(
 INDEX(
  _xlfn._xlws.FILTER($U$2:$AX$2,
   TRANSPOSE(
    CHOOSE({1;2;3;4;5;6;7;8;9;10;11;12;13;14;15;16;17;18;19;20;21;22;23;24;25;26;27;28;29;30},
     COUNTIFS($U$3:$U$201,$M62)&gt;0,
     COUNTIFS($V$3:$V$201,$M62)&gt;0,
     COUNTIFS($W$3:$W$201,$M62)&gt;0,
     COUNTIFS($X$3:$X$201,$M62)&gt;0,
     COUNTIFS($Y$3:$Y$201,$M62)&gt;0,
     COUNTIFS($Z$3:$Z$201,$M62)&gt;0,
     COUNTIFS($AA$3:$AA$201,$M62)&gt;0,
     COUNTIFS($AB$3:$AB$201,$M62)&gt;0,
     COUNTIFS($AC$3:$AC$201,$M62)&gt;0,
     COUNTIFS($AD$3:$AD$201,$M62)&gt;0,
     COUNTIFS($AE$3:$AE$201,$M62)&gt;0,
     COUNTIFS($AF$3:$AF$201,$M62)&gt;0,
     COUNTIFS($AG$3:$AG$201,$M62)&gt;0,
     COUNTIFS($AH$3:$AH$201,$M62)&gt;0,
     COUNTIFS($AI$3:$AI$201,$M62)&gt;0,
     COUNTIFS($AJ$3:$AJ$201,$M62)&gt;0,
     COUNTIFS($AK$3:$AK$201,$M62)&gt;0,
     COUNTIFS($AL$3:$AL$201,$M62)&gt;0,
     COUNTIFS($AM$3:$AM$201,$M62)&gt;0,
     COUNTIFS($AN$3:$AN$201,$M62)&gt;0,
     COUNTIFS($AO$3:$AO$201,$M62)&gt;0,
     COUNTIFS($AP$3:$AP$201,$M62)&gt;0,
     COUNTIFS($AQ$3:$AQ$201,$M62)&gt;0,
     COUNTIFS($AR$3:$AR$201,$M62)&gt;0,
     COUNTIFS($AS$3:$AS$201,$M62)&gt;0,
     COUNTIFS($AT$3:$AT$201,$M62)&gt;0,
     COUNTIFS($AU$3:$AU$201,$M62)&gt;0,
     COUNTIFS($AV$3:$AV$201,$M62)&gt;0,
     COUNTIFS($AW$3:$AW$201,$M62)&gt;0,
     COUNTIFS($AX$3:$AX$201,$M62)&gt;0
   )),
  ),
  3
 ),
"")</f>
        <v/>
      </c>
      <c r="DO62" t="str">
        <f ca="1"/>
        <v>Twinferno</v>
      </c>
      <c r="EF62" t="str">
        <f ca="1"/>
        <v>Prosperous Innkeeper</v>
      </c>
      <c r="EG62" t="str">
        <f ca="1"/>
        <v>Supreme Verdict</v>
      </c>
      <c r="EO62" t="str">
        <f ca="1"/>
        <v>Horn of Valhalla // Ysgard's Call</v>
      </c>
      <c r="EP62" t="str">
        <f ca="1"/>
        <v>Shire Terrace</v>
      </c>
      <c r="ET62" t="str">
        <f ca="1"/>
        <v>Fire Diamond</v>
      </c>
      <c r="EW62" t="str">
        <f ca="1"/>
        <v>Feldon of the Third Path</v>
      </c>
    </row>
    <row r="63" spans="1:153" x14ac:dyDescent="0.25">
      <c r="A63" t="str">
        <f ca="1"/>
        <v>Brigid, Clachan's Heart</v>
      </c>
      <c r="B63" s="2" t="str" cm="1">
        <f t="array" aca="1" ref="B63" ca="1">_xlfn.ANCHORARRAY(RESUMO!C62)</f>
        <v>OWA</v>
      </c>
      <c r="C63" s="2" t="str">
        <f t="shared" ca="1" si="0"/>
        <v/>
      </c>
      <c r="E63" t="str">
        <f ca="1"/>
        <v>Fell the Mighty</v>
      </c>
      <c r="F63" s="2">
        <f t="shared" ca="1" si="3"/>
        <v>1</v>
      </c>
      <c r="G63" s="2" t="str">
        <f t="shared" ca="1" si="1"/>
        <v>Akiri</v>
      </c>
      <c r="I63" s="18"/>
      <c r="J63" t="s">
        <v>180</v>
      </c>
      <c r="K63" s="2">
        <v>1</v>
      </c>
      <c r="M63" t="str">
        <f ca="1"/>
        <v>Fell the Mighty</v>
      </c>
      <c r="N63" s="2">
        <f t="shared" ca="1" si="2"/>
        <v>1</v>
      </c>
      <c r="O63" s="2" t="str">
        <f ca="1">IFERROR(
 INDEX($U$2:$AX$2,
  MATCH(TRUE,
   CHOOSE({1;2;3;4;5;6;7;8;9;10;11;12;13;14;15;16;17;18;19;20;21;22;23;24;25;26;27;28;29;30;31;32},
    COUNTIFS($U$3:$U$201,$M63)&gt;0,
    COUNTIFS($V$3:$V$201,$M63)&gt;0,
    COUNTIFS($W$3:$W$201,$M63)&gt;0,
    COUNTIFS($X$3:$X$201,$M63)&gt;0,
    COUNTIFS($Y$3:$Y$201,$M63)&gt;0,
    COUNTIFS($Z$3:$Z$201,$M63)&gt;0,
    COUNTIFS($AA$3:$AA$201,$M63)&gt;0,
    COUNTIFS($AB$3:$AB$201,$M63)&gt;0,
    COUNTIFS($AC$3:$AC$201,$M63)&gt;0,
    COUNTIFS($AD$3:$AD$201,$M63)&gt;0,
    COUNTIFS($AE$3:$AE$201,$M63)&gt;0,
    COUNTIFS($AF$3:$AF$201,$M63)&gt;0,
    COUNTIFS($AG$3:$AG$201,$M63)&gt;0,
    COUNTIFS($AH$3:$AH$201,$M63)&gt;0,
    COUNTIFS($AI$3:$AI$201,$M63)&gt;0,
    COUNTIFS($AJ$3:$AJ$201,$M63)&gt;0,
    COUNTIFS($AK$3:$AK$201,$M63)&gt;0,
    COUNTIFS($AL$3:$AL$201,$M63)&gt;0,
    COUNTIFS($AM$3:$AM$201,$M63)&gt;0,
    COUNTIFS($AN$3:$AN$201,$M63)&gt;0,
    COUNTIFS($AO$3:$AO$201,$M63)&gt;0,
    COUNTIFS($AP$3:$AP$201,$M63)&gt;0,
    COUNTIFS($AQ$3:$AQ$201,$M63)&gt;0,
    COUNTIFS($AR$3:$AR$201,$M63)&gt;0,
    COUNTIFS($AS$3:$AS$201,$M63)&gt;0,
    COUNTIFS($AT$3:$AT$201,$M63)&gt;0,
    COUNTIFS($AU$3:$AU$201,$M63)&gt;0,
    COUNTIFS($AV$3:$AV$201,$M63)&gt;0,
    COUNTIFS($AW$3:$AW$201,$M63)&gt;0,
    COUNTIFS($AX$3:$AX$201,$M63)&gt;0
   ),
  0)
 ),
"")</f>
        <v>Akiri</v>
      </c>
      <c r="P63" s="2" t="str" cm="1">
        <f t="array" aca="1" ref="P63" ca="1">IFERROR(
 INDEX(
  _xlfn._xlws.FILTER($U$2:$AX$2,
   TRANSPOSE(
    CHOOSE({1;2;3;4;5;6;7;8;9;10;11;12;13;14;15;16;17;18;19;20;21;22;23;24;25;26;27;28;29;30},
     COUNTIFS($U$3:$U$201,$M63)&gt;0,
     COUNTIFS($V$3:$V$201,$M63)&gt;0,
     COUNTIFS($W$3:$W$201,$M63)&gt;0,
     COUNTIFS($X$3:$X$201,$M63)&gt;0,
     COUNTIFS($Y$3:$Y$201,$M63)&gt;0,
     COUNTIFS($Z$3:$Z$201,$M63)&gt;0,
     COUNTIFS($AA$3:$AA$201,$M63)&gt;0,
     COUNTIFS($AB$3:$AB$201,$M63)&gt;0,
     COUNTIFS($AC$3:$AC$201,$M63)&gt;0,
     COUNTIFS($AD$3:$AD$201,$M63)&gt;0,
     COUNTIFS($AE$3:$AE$201,$M63)&gt;0,
     COUNTIFS($AF$3:$AF$201,$M63)&gt;0,
     COUNTIFS($AG$3:$AG$201,$M63)&gt;0,
     COUNTIFS($AH$3:$AH$201,$M63)&gt;0,
     COUNTIFS($AI$3:$AI$201,$M63)&gt;0,
     COUNTIFS($AJ$3:$AJ$201,$M63)&gt;0,
     COUNTIFS($AK$3:$AK$201,$M63)&gt;0,
     COUNTIFS($AL$3:$AL$201,$M63)&gt;0,
     COUNTIFS($AM$3:$AM$201,$M63)&gt;0,
     COUNTIFS($AN$3:$AN$201,$M63)&gt;0,
     COUNTIFS($AO$3:$AO$201,$M63)&gt;0,
     COUNTIFS($AP$3:$AP$201,$M63)&gt;0,
     COUNTIFS($AQ$3:$AQ$201,$M63)&gt;0,
     COUNTIFS($AR$3:$AR$201,$M63)&gt;0,
     COUNTIFS($AS$3:$AS$201,$M63)&gt;0,
     COUNTIFS($AT$3:$AT$201,$M63)&gt;0,
     COUNTIFS($AU$3:$AU$201,$M63)&gt;0,
     COUNTIFS($AV$3:$AV$201,$M63)&gt;0,
     COUNTIFS($AW$3:$AW$201,$M63)&gt;0,
     COUNTIFS($AX$3:$AX$201,$M63)&gt;0
   )),
  ),
  2
 ),
"")</f>
        <v/>
      </c>
      <c r="Q63" s="2" t="str" cm="1">
        <f t="array" aca="1" ref="Q63" ca="1">IFERROR(
 INDEX(
  _xlfn._xlws.FILTER($U$2:$AX$2,
   TRANSPOSE(
    CHOOSE({1;2;3;4;5;6;7;8;9;10;11;12;13;14;15;16;17;18;19;20;21;22;23;24;25;26;27;28;29;30},
     COUNTIFS($U$3:$U$201,$M63)&gt;0,
     COUNTIFS($V$3:$V$201,$M63)&gt;0,
     COUNTIFS($W$3:$W$201,$M63)&gt;0,
     COUNTIFS($X$3:$X$201,$M63)&gt;0,
     COUNTIFS($Y$3:$Y$201,$M63)&gt;0,
     COUNTIFS($Z$3:$Z$201,$M63)&gt;0,
     COUNTIFS($AA$3:$AA$201,$M63)&gt;0,
     COUNTIFS($AB$3:$AB$201,$M63)&gt;0,
     COUNTIFS($AC$3:$AC$201,$M63)&gt;0,
     COUNTIFS($AD$3:$AD$201,$M63)&gt;0,
     COUNTIFS($AE$3:$AE$201,$M63)&gt;0,
     COUNTIFS($AF$3:$AF$201,$M63)&gt;0,
     COUNTIFS($AG$3:$AG$201,$M63)&gt;0,
     COUNTIFS($AH$3:$AH$201,$M63)&gt;0,
     COUNTIFS($AI$3:$AI$201,$M63)&gt;0,
     COUNTIFS($AJ$3:$AJ$201,$M63)&gt;0,
     COUNTIFS($AK$3:$AK$201,$M63)&gt;0,
     COUNTIFS($AL$3:$AL$201,$M63)&gt;0,
     COUNTIFS($AM$3:$AM$201,$M63)&gt;0,
     COUNTIFS($AN$3:$AN$201,$M63)&gt;0,
     COUNTIFS($AO$3:$AO$201,$M63)&gt;0,
     COUNTIFS($AP$3:$AP$201,$M63)&gt;0,
     COUNTIFS($AQ$3:$AQ$201,$M63)&gt;0,
     COUNTIFS($AR$3:$AR$201,$M63)&gt;0,
     COUNTIFS($AS$3:$AS$201,$M63)&gt;0,
     COUNTIFS($AT$3:$AT$201,$M63)&gt;0,
     COUNTIFS($AU$3:$AU$201,$M63)&gt;0,
     COUNTIFS($AV$3:$AV$201,$M63)&gt;0,
     COUNTIFS($AW$3:$AW$201,$M63)&gt;0,
     COUNTIFS($AX$3:$AX$201,$M63)&gt;0
   )),
  ),
  3
 ),
"")</f>
        <v/>
      </c>
      <c r="DO63" t="str">
        <f ca="1"/>
        <v>Wand of Wonder</v>
      </c>
      <c r="EF63" t="str">
        <f ca="1"/>
        <v>Ranger of Eos</v>
      </c>
      <c r="EG63" t="str">
        <f ca="1"/>
        <v>Swamp</v>
      </c>
      <c r="EO63" t="str">
        <f ca="1"/>
        <v>Immortal Servitude</v>
      </c>
      <c r="EP63" t="str">
        <f ca="1"/>
        <v>Sisay's Ring</v>
      </c>
      <c r="ET63" t="str">
        <f ca="1"/>
        <v>Flux Channeler</v>
      </c>
      <c r="EW63" t="str">
        <f ca="1"/>
        <v>Fell the Mighty</v>
      </c>
    </row>
    <row r="64" spans="1:153" x14ac:dyDescent="0.25">
      <c r="A64" t="str">
        <f ca="1"/>
        <v>Broadside Bombardiers</v>
      </c>
      <c r="B64" s="2" t="str" cm="1">
        <f t="array" aca="1" ref="B64" ca="1">_xlfn.ANCHORARRAY(RESUMO!C63)</f>
        <v>Piratas</v>
      </c>
      <c r="C64" s="2" t="str">
        <f t="shared" ca="1" si="0"/>
        <v/>
      </c>
      <c r="E64" t="str">
        <f ca="1"/>
        <v>Fiend Artisan</v>
      </c>
      <c r="F64" s="2">
        <f t="shared" ca="1" si="3"/>
        <v>1</v>
      </c>
      <c r="G64" s="2" t="str">
        <f t="shared" ca="1" si="1"/>
        <v>Tayam</v>
      </c>
      <c r="I64" s="18"/>
      <c r="J64" t="s">
        <v>180</v>
      </c>
      <c r="K64" s="2">
        <v>1</v>
      </c>
      <c r="M64" t="str">
        <f ca="1"/>
        <v>Fiend Artisan</v>
      </c>
      <c r="N64" s="2">
        <f t="shared" ca="1" si="2"/>
        <v>1</v>
      </c>
      <c r="O64" s="2" t="str">
        <f ca="1">IFERROR(
 INDEX($U$2:$AX$2,
  MATCH(TRUE,
   CHOOSE({1;2;3;4;5;6;7;8;9;10;11;12;13;14;15;16;17;18;19;20;21;22;23;24;25;26;27;28;29;30;31;32},
    COUNTIFS($U$3:$U$201,$M64)&gt;0,
    COUNTIFS($V$3:$V$201,$M64)&gt;0,
    COUNTIFS($W$3:$W$201,$M64)&gt;0,
    COUNTIFS($X$3:$X$201,$M64)&gt;0,
    COUNTIFS($Y$3:$Y$201,$M64)&gt;0,
    COUNTIFS($Z$3:$Z$201,$M64)&gt;0,
    COUNTIFS($AA$3:$AA$201,$M64)&gt;0,
    COUNTIFS($AB$3:$AB$201,$M64)&gt;0,
    COUNTIFS($AC$3:$AC$201,$M64)&gt;0,
    COUNTIFS($AD$3:$AD$201,$M64)&gt;0,
    COUNTIFS($AE$3:$AE$201,$M64)&gt;0,
    COUNTIFS($AF$3:$AF$201,$M64)&gt;0,
    COUNTIFS($AG$3:$AG$201,$M64)&gt;0,
    COUNTIFS($AH$3:$AH$201,$M64)&gt;0,
    COUNTIFS($AI$3:$AI$201,$M64)&gt;0,
    COUNTIFS($AJ$3:$AJ$201,$M64)&gt;0,
    COUNTIFS($AK$3:$AK$201,$M64)&gt;0,
    COUNTIFS($AL$3:$AL$201,$M64)&gt;0,
    COUNTIFS($AM$3:$AM$201,$M64)&gt;0,
    COUNTIFS($AN$3:$AN$201,$M64)&gt;0,
    COUNTIFS($AO$3:$AO$201,$M64)&gt;0,
    COUNTIFS($AP$3:$AP$201,$M64)&gt;0,
    COUNTIFS($AQ$3:$AQ$201,$M64)&gt;0,
    COUNTIFS($AR$3:$AR$201,$M64)&gt;0,
    COUNTIFS($AS$3:$AS$201,$M64)&gt;0,
    COUNTIFS($AT$3:$AT$201,$M64)&gt;0,
    COUNTIFS($AU$3:$AU$201,$M64)&gt;0,
    COUNTIFS($AV$3:$AV$201,$M64)&gt;0,
    COUNTIFS($AW$3:$AW$201,$M64)&gt;0,
    COUNTIFS($AX$3:$AX$201,$M64)&gt;0
   ),
  0)
 ),
"")</f>
        <v>Tayam</v>
      </c>
      <c r="P64" s="2" t="str" cm="1">
        <f t="array" aca="1" ref="P64" ca="1">IFERROR(
 INDEX(
  _xlfn._xlws.FILTER($U$2:$AX$2,
   TRANSPOSE(
    CHOOSE({1;2;3;4;5;6;7;8;9;10;11;12;13;14;15;16;17;18;19;20;21;22;23;24;25;26;27;28;29;30},
     COUNTIFS($U$3:$U$201,$M64)&gt;0,
     COUNTIFS($V$3:$V$201,$M64)&gt;0,
     COUNTIFS($W$3:$W$201,$M64)&gt;0,
     COUNTIFS($X$3:$X$201,$M64)&gt;0,
     COUNTIFS($Y$3:$Y$201,$M64)&gt;0,
     COUNTIFS($Z$3:$Z$201,$M64)&gt;0,
     COUNTIFS($AA$3:$AA$201,$M64)&gt;0,
     COUNTIFS($AB$3:$AB$201,$M64)&gt;0,
     COUNTIFS($AC$3:$AC$201,$M64)&gt;0,
     COUNTIFS($AD$3:$AD$201,$M64)&gt;0,
     COUNTIFS($AE$3:$AE$201,$M64)&gt;0,
     COUNTIFS($AF$3:$AF$201,$M64)&gt;0,
     COUNTIFS($AG$3:$AG$201,$M64)&gt;0,
     COUNTIFS($AH$3:$AH$201,$M64)&gt;0,
     COUNTIFS($AI$3:$AI$201,$M64)&gt;0,
     COUNTIFS($AJ$3:$AJ$201,$M64)&gt;0,
     COUNTIFS($AK$3:$AK$201,$M64)&gt;0,
     COUNTIFS($AL$3:$AL$201,$M64)&gt;0,
     COUNTIFS($AM$3:$AM$201,$M64)&gt;0,
     COUNTIFS($AN$3:$AN$201,$M64)&gt;0,
     COUNTIFS($AO$3:$AO$201,$M64)&gt;0,
     COUNTIFS($AP$3:$AP$201,$M64)&gt;0,
     COUNTIFS($AQ$3:$AQ$201,$M64)&gt;0,
     COUNTIFS($AR$3:$AR$201,$M64)&gt;0,
     COUNTIFS($AS$3:$AS$201,$M64)&gt;0,
     COUNTIFS($AT$3:$AT$201,$M64)&gt;0,
     COUNTIFS($AU$3:$AU$201,$M64)&gt;0,
     COUNTIFS($AV$3:$AV$201,$M64)&gt;0,
     COUNTIFS($AW$3:$AW$201,$M64)&gt;0,
     COUNTIFS($AX$3:$AX$201,$M64)&gt;0
   )),
  ),
  2
 ),
"")</f>
        <v/>
      </c>
      <c r="Q64" s="2" t="str" cm="1">
        <f t="array" aca="1" ref="Q64" ca="1">IFERROR(
 INDEX(
  _xlfn._xlws.FILTER($U$2:$AX$2,
   TRANSPOSE(
    CHOOSE({1;2;3;4;5;6;7;8;9;10;11;12;13;14;15;16;17;18;19;20;21;22;23;24;25;26;27;28;29;30},
     COUNTIFS($U$3:$U$201,$M64)&gt;0,
     COUNTIFS($V$3:$V$201,$M64)&gt;0,
     COUNTIFS($W$3:$W$201,$M64)&gt;0,
     COUNTIFS($X$3:$X$201,$M64)&gt;0,
     COUNTIFS($Y$3:$Y$201,$M64)&gt;0,
     COUNTIFS($Z$3:$Z$201,$M64)&gt;0,
     COUNTIFS($AA$3:$AA$201,$M64)&gt;0,
     COUNTIFS($AB$3:$AB$201,$M64)&gt;0,
     COUNTIFS($AC$3:$AC$201,$M64)&gt;0,
     COUNTIFS($AD$3:$AD$201,$M64)&gt;0,
     COUNTIFS($AE$3:$AE$201,$M64)&gt;0,
     COUNTIFS($AF$3:$AF$201,$M64)&gt;0,
     COUNTIFS($AG$3:$AG$201,$M64)&gt;0,
     COUNTIFS($AH$3:$AH$201,$M64)&gt;0,
     COUNTIFS($AI$3:$AI$201,$M64)&gt;0,
     COUNTIFS($AJ$3:$AJ$201,$M64)&gt;0,
     COUNTIFS($AK$3:$AK$201,$M64)&gt;0,
     COUNTIFS($AL$3:$AL$201,$M64)&gt;0,
     COUNTIFS($AM$3:$AM$201,$M64)&gt;0,
     COUNTIFS($AN$3:$AN$201,$M64)&gt;0,
     COUNTIFS($AO$3:$AO$201,$M64)&gt;0,
     COUNTIFS($AP$3:$AP$201,$M64)&gt;0,
     COUNTIFS($AQ$3:$AQ$201,$M64)&gt;0,
     COUNTIFS($AR$3:$AR$201,$M64)&gt;0,
     COUNTIFS($AS$3:$AS$201,$M64)&gt;0,
     COUNTIFS($AT$3:$AT$201,$M64)&gt;0,
     COUNTIFS($AU$3:$AU$201,$M64)&gt;0,
     COUNTIFS($AV$3:$AV$201,$M64)&gt;0,
     COUNTIFS($AW$3:$AW$201,$M64)&gt;0,
     COUNTIFS($AX$3:$AX$201,$M64)&gt;0
   )),
  ),
  3
 ),
"")</f>
        <v/>
      </c>
      <c r="DO64" t="str">
        <f ca="1"/>
        <v>Wyll's Reversal</v>
      </c>
      <c r="EF64" t="str">
        <f ca="1"/>
        <v>Realmbreaker, the Invasion Tree</v>
      </c>
      <c r="EG64" t="str">
        <f ca="1"/>
        <v>The Eldest Reborn</v>
      </c>
      <c r="EO64" t="str">
        <f ca="1"/>
        <v>Indulge // Excess</v>
      </c>
      <c r="EP64" t="str">
        <f ca="1"/>
        <v>Skarrg, the Rage Pits</v>
      </c>
      <c r="ET64" t="str">
        <f ca="1"/>
        <v>Forest</v>
      </c>
      <c r="EW64" t="str">
        <f ca="1"/>
        <v>Fiend Artisan</v>
      </c>
    </row>
    <row r="65" spans="1:153" x14ac:dyDescent="0.25">
      <c r="A65" t="str">
        <f ca="1"/>
        <v>Brood Sliver</v>
      </c>
      <c r="B65" s="2" t="str" cm="1">
        <f t="array" aca="1" ref="B65" ca="1">_xlfn.ANCHORARRAY(RESUMO!C64)</f>
        <v>Fractius</v>
      </c>
      <c r="C65" s="2" t="str">
        <f t="shared" ca="1" si="0"/>
        <v/>
      </c>
      <c r="E65" t="str">
        <f ca="1"/>
        <v>Fire Diamond</v>
      </c>
      <c r="F65" s="2">
        <f t="shared" ca="1" si="3"/>
        <v>1</v>
      </c>
      <c r="G65" s="2" t="str">
        <f t="shared" ca="1" si="1"/>
        <v>JhoiraB</v>
      </c>
      <c r="I65" s="18"/>
      <c r="J65" t="s">
        <v>180</v>
      </c>
      <c r="K65" s="2">
        <v>1</v>
      </c>
      <c r="M65" t="str">
        <f ca="1"/>
        <v>Fire Diamond</v>
      </c>
      <c r="N65" s="2">
        <f t="shared" ca="1" si="2"/>
        <v>1</v>
      </c>
      <c r="O65" s="2" t="str">
        <f ca="1">IFERROR(
 INDEX($U$2:$AX$2,
  MATCH(TRUE,
   CHOOSE({1;2;3;4;5;6;7;8;9;10;11;12;13;14;15;16;17;18;19;20;21;22;23;24;25;26;27;28;29;30;31;32},
    COUNTIFS($U$3:$U$201,$M65)&gt;0,
    COUNTIFS($V$3:$V$201,$M65)&gt;0,
    COUNTIFS($W$3:$W$201,$M65)&gt;0,
    COUNTIFS($X$3:$X$201,$M65)&gt;0,
    COUNTIFS($Y$3:$Y$201,$M65)&gt;0,
    COUNTIFS($Z$3:$Z$201,$M65)&gt;0,
    COUNTIFS($AA$3:$AA$201,$M65)&gt;0,
    COUNTIFS($AB$3:$AB$201,$M65)&gt;0,
    COUNTIFS($AC$3:$AC$201,$M65)&gt;0,
    COUNTIFS($AD$3:$AD$201,$M65)&gt;0,
    COUNTIFS($AE$3:$AE$201,$M65)&gt;0,
    COUNTIFS($AF$3:$AF$201,$M65)&gt;0,
    COUNTIFS($AG$3:$AG$201,$M65)&gt;0,
    COUNTIFS($AH$3:$AH$201,$M65)&gt;0,
    COUNTIFS($AI$3:$AI$201,$M65)&gt;0,
    COUNTIFS($AJ$3:$AJ$201,$M65)&gt;0,
    COUNTIFS($AK$3:$AK$201,$M65)&gt;0,
    COUNTIFS($AL$3:$AL$201,$M65)&gt;0,
    COUNTIFS($AM$3:$AM$201,$M65)&gt;0,
    COUNTIFS($AN$3:$AN$201,$M65)&gt;0,
    COUNTIFS($AO$3:$AO$201,$M65)&gt;0,
    COUNTIFS($AP$3:$AP$201,$M65)&gt;0,
    COUNTIFS($AQ$3:$AQ$201,$M65)&gt;0,
    COUNTIFS($AR$3:$AR$201,$M65)&gt;0,
    COUNTIFS($AS$3:$AS$201,$M65)&gt;0,
    COUNTIFS($AT$3:$AT$201,$M65)&gt;0,
    COUNTIFS($AU$3:$AU$201,$M65)&gt;0,
    COUNTIFS($AV$3:$AV$201,$M65)&gt;0,
    COUNTIFS($AW$3:$AW$201,$M65)&gt;0,
    COUNTIFS($AX$3:$AX$201,$M65)&gt;0
   ),
  0)
 ),
"")</f>
        <v>JhoiraB</v>
      </c>
      <c r="P65" s="2" t="str" cm="1">
        <f t="array" aca="1" ref="P65" ca="1">IFERROR(
 INDEX(
  _xlfn._xlws.FILTER($U$2:$AX$2,
   TRANSPOSE(
    CHOOSE({1;2;3;4;5;6;7;8;9;10;11;12;13;14;15;16;17;18;19;20;21;22;23;24;25;26;27;28;29;30},
     COUNTIFS($U$3:$U$201,$M65)&gt;0,
     COUNTIFS($V$3:$V$201,$M65)&gt;0,
     COUNTIFS($W$3:$W$201,$M65)&gt;0,
     COUNTIFS($X$3:$X$201,$M65)&gt;0,
     COUNTIFS($Y$3:$Y$201,$M65)&gt;0,
     COUNTIFS($Z$3:$Z$201,$M65)&gt;0,
     COUNTIFS($AA$3:$AA$201,$M65)&gt;0,
     COUNTIFS($AB$3:$AB$201,$M65)&gt;0,
     COUNTIFS($AC$3:$AC$201,$M65)&gt;0,
     COUNTIFS($AD$3:$AD$201,$M65)&gt;0,
     COUNTIFS($AE$3:$AE$201,$M65)&gt;0,
     COUNTIFS($AF$3:$AF$201,$M65)&gt;0,
     COUNTIFS($AG$3:$AG$201,$M65)&gt;0,
     COUNTIFS($AH$3:$AH$201,$M65)&gt;0,
     COUNTIFS($AI$3:$AI$201,$M65)&gt;0,
     COUNTIFS($AJ$3:$AJ$201,$M65)&gt;0,
     COUNTIFS($AK$3:$AK$201,$M65)&gt;0,
     COUNTIFS($AL$3:$AL$201,$M65)&gt;0,
     COUNTIFS($AM$3:$AM$201,$M65)&gt;0,
     COUNTIFS($AN$3:$AN$201,$M65)&gt;0,
     COUNTIFS($AO$3:$AO$201,$M65)&gt;0,
     COUNTIFS($AP$3:$AP$201,$M65)&gt;0,
     COUNTIFS($AQ$3:$AQ$201,$M65)&gt;0,
     COUNTIFS($AR$3:$AR$201,$M65)&gt;0,
     COUNTIFS($AS$3:$AS$201,$M65)&gt;0,
     COUNTIFS($AT$3:$AT$201,$M65)&gt;0,
     COUNTIFS($AU$3:$AU$201,$M65)&gt;0,
     COUNTIFS($AV$3:$AV$201,$M65)&gt;0,
     COUNTIFS($AW$3:$AW$201,$M65)&gt;0,
     COUNTIFS($AX$3:$AX$201,$M65)&gt;0
   )),
  ),
  2
 ),
"")</f>
        <v/>
      </c>
      <c r="Q65" s="2" t="str" cm="1">
        <f t="array" aca="1" ref="Q65" ca="1">IFERROR(
 INDEX(
  _xlfn._xlws.FILTER($U$2:$AX$2,
   TRANSPOSE(
    CHOOSE({1;2;3;4;5;6;7;8;9;10;11;12;13;14;15;16;17;18;19;20;21;22;23;24;25;26;27;28;29;30},
     COUNTIFS($U$3:$U$201,$M65)&gt;0,
     COUNTIFS($V$3:$V$201,$M65)&gt;0,
     COUNTIFS($W$3:$W$201,$M65)&gt;0,
     COUNTIFS($X$3:$X$201,$M65)&gt;0,
     COUNTIFS($Y$3:$Y$201,$M65)&gt;0,
     COUNTIFS($Z$3:$Z$201,$M65)&gt;0,
     COUNTIFS($AA$3:$AA$201,$M65)&gt;0,
     COUNTIFS($AB$3:$AB$201,$M65)&gt;0,
     COUNTIFS($AC$3:$AC$201,$M65)&gt;0,
     COUNTIFS($AD$3:$AD$201,$M65)&gt;0,
     COUNTIFS($AE$3:$AE$201,$M65)&gt;0,
     COUNTIFS($AF$3:$AF$201,$M65)&gt;0,
     COUNTIFS($AG$3:$AG$201,$M65)&gt;0,
     COUNTIFS($AH$3:$AH$201,$M65)&gt;0,
     COUNTIFS($AI$3:$AI$201,$M65)&gt;0,
     COUNTIFS($AJ$3:$AJ$201,$M65)&gt;0,
     COUNTIFS($AK$3:$AK$201,$M65)&gt;0,
     COUNTIFS($AL$3:$AL$201,$M65)&gt;0,
     COUNTIFS($AM$3:$AM$201,$M65)&gt;0,
     COUNTIFS($AN$3:$AN$201,$M65)&gt;0,
     COUNTIFS($AO$3:$AO$201,$M65)&gt;0,
     COUNTIFS($AP$3:$AP$201,$M65)&gt;0,
     COUNTIFS($AQ$3:$AQ$201,$M65)&gt;0,
     COUNTIFS($AR$3:$AR$201,$M65)&gt;0,
     COUNTIFS($AS$3:$AS$201,$M65)&gt;0,
     COUNTIFS($AT$3:$AT$201,$M65)&gt;0,
     COUNTIFS($AU$3:$AU$201,$M65)&gt;0,
     COUNTIFS($AV$3:$AV$201,$M65)&gt;0,
     COUNTIFS($AW$3:$AW$201,$M65)&gt;0,
     COUNTIFS($AX$3:$AX$201,$M65)&gt;0
   )),
  ),
  3
 ),
"")</f>
        <v/>
      </c>
      <c r="EF65" t="str">
        <f ca="1"/>
        <v>Reaper's Talisman</v>
      </c>
      <c r="EG65" t="str">
        <f ca="1"/>
        <v>Urza Assembles the Titans</v>
      </c>
      <c r="EO65" t="str">
        <f ca="1"/>
        <v>Infiltration Lens</v>
      </c>
      <c r="EP65" t="str">
        <f ca="1"/>
        <v>Slagdrill Scrapper</v>
      </c>
      <c r="ET65" t="str">
        <f ca="1"/>
        <v>Fraying Sanity</v>
      </c>
      <c r="EW65" t="str">
        <f ca="1"/>
        <v>Fire Diamond</v>
      </c>
    </row>
    <row r="66" spans="1:153" x14ac:dyDescent="0.25">
      <c r="A66" t="str">
        <f ca="1"/>
        <v>Brushland</v>
      </c>
      <c r="B66" s="2" t="str" cm="1">
        <f t="array" aca="1" ref="B66" ca="1">_xlfn.ANCHORARRAY(RESUMO!C65)</f>
        <v>Baylen</v>
      </c>
      <c r="C66" s="2" t="str">
        <f t="shared" ca="1" si="0"/>
        <v/>
      </c>
      <c r="E66" t="str">
        <f ca="1"/>
        <v>Fire Nation Attacks</v>
      </c>
      <c r="F66" s="2">
        <f t="shared" ca="1" si="3"/>
        <v>1</v>
      </c>
      <c r="G66" s="2" t="str">
        <f t="shared" ca="1" si="1"/>
        <v/>
      </c>
      <c r="I66" s="18"/>
      <c r="J66" t="s">
        <v>180</v>
      </c>
      <c r="K66" s="2">
        <v>1</v>
      </c>
      <c r="M66" t="str">
        <f ca="1"/>
        <v>Fire Nation Attacks</v>
      </c>
      <c r="N66" s="2">
        <f t="shared" ca="1" si="2"/>
        <v>0</v>
      </c>
      <c r="O66" s="2" t="str">
        <f ca="1">IFERROR(
 INDEX($U$2:$AX$2,
  MATCH(TRUE,
   CHOOSE({1;2;3;4;5;6;7;8;9;10;11;12;13;14;15;16;17;18;19;20;21;22;23;24;25;26;27;28;29;30;31;32},
    COUNTIFS($U$3:$U$201,$M66)&gt;0,
    COUNTIFS($V$3:$V$201,$M66)&gt;0,
    COUNTIFS($W$3:$W$201,$M66)&gt;0,
    COUNTIFS($X$3:$X$201,$M66)&gt;0,
    COUNTIFS($Y$3:$Y$201,$M66)&gt;0,
    COUNTIFS($Z$3:$Z$201,$M66)&gt;0,
    COUNTIFS($AA$3:$AA$201,$M66)&gt;0,
    COUNTIFS($AB$3:$AB$201,$M66)&gt;0,
    COUNTIFS($AC$3:$AC$201,$M66)&gt;0,
    COUNTIFS($AD$3:$AD$201,$M66)&gt;0,
    COUNTIFS($AE$3:$AE$201,$M66)&gt;0,
    COUNTIFS($AF$3:$AF$201,$M66)&gt;0,
    COUNTIFS($AG$3:$AG$201,$M66)&gt;0,
    COUNTIFS($AH$3:$AH$201,$M66)&gt;0,
    COUNTIFS($AI$3:$AI$201,$M66)&gt;0,
    COUNTIFS($AJ$3:$AJ$201,$M66)&gt;0,
    COUNTIFS($AK$3:$AK$201,$M66)&gt;0,
    COUNTIFS($AL$3:$AL$201,$M66)&gt;0,
    COUNTIFS($AM$3:$AM$201,$M66)&gt;0,
    COUNTIFS($AN$3:$AN$201,$M66)&gt;0,
    COUNTIFS($AO$3:$AO$201,$M66)&gt;0,
    COUNTIFS($AP$3:$AP$201,$M66)&gt;0,
    COUNTIFS($AQ$3:$AQ$201,$M66)&gt;0,
    COUNTIFS($AR$3:$AR$201,$M66)&gt;0,
    COUNTIFS($AS$3:$AS$201,$M66)&gt;0,
    COUNTIFS($AT$3:$AT$201,$M66)&gt;0,
    COUNTIFS($AU$3:$AU$201,$M66)&gt;0,
    COUNTIFS($AV$3:$AV$201,$M66)&gt;0,
    COUNTIFS($AW$3:$AW$201,$M66)&gt;0,
    COUNTIFS($AX$3:$AX$201,$M66)&gt;0
   ),
  0)
 ),
"")</f>
        <v/>
      </c>
      <c r="P66" s="2" t="str" cm="1">
        <f t="array" aca="1" ref="P66" ca="1">IFERROR(
 INDEX(
  _xlfn._xlws.FILTER($U$2:$AX$2,
   TRANSPOSE(
    CHOOSE({1;2;3;4;5;6;7;8;9;10;11;12;13;14;15;16;17;18;19;20;21;22;23;24;25;26;27;28;29;30},
     COUNTIFS($U$3:$U$201,$M66)&gt;0,
     COUNTIFS($V$3:$V$201,$M66)&gt;0,
     COUNTIFS($W$3:$W$201,$M66)&gt;0,
     COUNTIFS($X$3:$X$201,$M66)&gt;0,
     COUNTIFS($Y$3:$Y$201,$M66)&gt;0,
     COUNTIFS($Z$3:$Z$201,$M66)&gt;0,
     COUNTIFS($AA$3:$AA$201,$M66)&gt;0,
     COUNTIFS($AB$3:$AB$201,$M66)&gt;0,
     COUNTIFS($AC$3:$AC$201,$M66)&gt;0,
     COUNTIFS($AD$3:$AD$201,$M66)&gt;0,
     COUNTIFS($AE$3:$AE$201,$M66)&gt;0,
     COUNTIFS($AF$3:$AF$201,$M66)&gt;0,
     COUNTIFS($AG$3:$AG$201,$M66)&gt;0,
     COUNTIFS($AH$3:$AH$201,$M66)&gt;0,
     COUNTIFS($AI$3:$AI$201,$M66)&gt;0,
     COUNTIFS($AJ$3:$AJ$201,$M66)&gt;0,
     COUNTIFS($AK$3:$AK$201,$M66)&gt;0,
     COUNTIFS($AL$3:$AL$201,$M66)&gt;0,
     COUNTIFS($AM$3:$AM$201,$M66)&gt;0,
     COUNTIFS($AN$3:$AN$201,$M66)&gt;0,
     COUNTIFS($AO$3:$AO$201,$M66)&gt;0,
     COUNTIFS($AP$3:$AP$201,$M66)&gt;0,
     COUNTIFS($AQ$3:$AQ$201,$M66)&gt;0,
     COUNTIFS($AR$3:$AR$201,$M66)&gt;0,
     COUNTIFS($AS$3:$AS$201,$M66)&gt;0,
     COUNTIFS($AT$3:$AT$201,$M66)&gt;0,
     COUNTIFS($AU$3:$AU$201,$M66)&gt;0,
     COUNTIFS($AV$3:$AV$201,$M66)&gt;0,
     COUNTIFS($AW$3:$AW$201,$M66)&gt;0,
     COUNTIFS($AX$3:$AX$201,$M66)&gt;0
   )),
  ),
  2
 ),
"")</f>
        <v/>
      </c>
      <c r="Q66" s="2" t="str" cm="1">
        <f t="array" aca="1" ref="Q66" ca="1">IFERROR(
 INDEX(
  _xlfn._xlws.FILTER($U$2:$AX$2,
   TRANSPOSE(
    CHOOSE({1;2;3;4;5;6;7;8;9;10;11;12;13;14;15;16;17;18;19;20;21;22;23;24;25;26;27;28;29;30},
     COUNTIFS($U$3:$U$201,$M66)&gt;0,
     COUNTIFS($V$3:$V$201,$M66)&gt;0,
     COUNTIFS($W$3:$W$201,$M66)&gt;0,
     COUNTIFS($X$3:$X$201,$M66)&gt;0,
     COUNTIFS($Y$3:$Y$201,$M66)&gt;0,
     COUNTIFS($Z$3:$Z$201,$M66)&gt;0,
     COUNTIFS($AA$3:$AA$201,$M66)&gt;0,
     COUNTIFS($AB$3:$AB$201,$M66)&gt;0,
     COUNTIFS($AC$3:$AC$201,$M66)&gt;0,
     COUNTIFS($AD$3:$AD$201,$M66)&gt;0,
     COUNTIFS($AE$3:$AE$201,$M66)&gt;0,
     COUNTIFS($AF$3:$AF$201,$M66)&gt;0,
     COUNTIFS($AG$3:$AG$201,$M66)&gt;0,
     COUNTIFS($AH$3:$AH$201,$M66)&gt;0,
     COUNTIFS($AI$3:$AI$201,$M66)&gt;0,
     COUNTIFS($AJ$3:$AJ$201,$M66)&gt;0,
     COUNTIFS($AK$3:$AK$201,$M66)&gt;0,
     COUNTIFS($AL$3:$AL$201,$M66)&gt;0,
     COUNTIFS($AM$3:$AM$201,$M66)&gt;0,
     COUNTIFS($AN$3:$AN$201,$M66)&gt;0,
     COUNTIFS($AO$3:$AO$201,$M66)&gt;0,
     COUNTIFS($AP$3:$AP$201,$M66)&gt;0,
     COUNTIFS($AQ$3:$AQ$201,$M66)&gt;0,
     COUNTIFS($AR$3:$AR$201,$M66)&gt;0,
     COUNTIFS($AS$3:$AS$201,$M66)&gt;0,
     COUNTIFS($AT$3:$AT$201,$M66)&gt;0,
     COUNTIFS($AU$3:$AU$201,$M66)&gt;0,
     COUNTIFS($AV$3:$AV$201,$M66)&gt;0,
     COUNTIFS($AW$3:$AW$201,$M66)&gt;0,
     COUNTIFS($AX$3:$AX$201,$M66)&gt;0
   )),
  ),
  3
 ),
"")</f>
        <v/>
      </c>
      <c r="EF66" t="str">
        <f ca="1"/>
        <v>Repudiate // Replicate</v>
      </c>
      <c r="EG66" t="str">
        <f ca="1"/>
        <v>Urza's Ruinous Blast</v>
      </c>
      <c r="EO66" t="str">
        <f ca="1"/>
        <v>Inspiring Refrain</v>
      </c>
      <c r="EP66" t="str">
        <f ca="1"/>
        <v>Solemn Simulacrun</v>
      </c>
      <c r="ET66" t="str">
        <f ca="1"/>
        <v>Fundição dos Cônsules</v>
      </c>
      <c r="EW66" t="str">
        <f ca="1"/>
        <v>Fire Nation Attacks</v>
      </c>
    </row>
    <row r="67" spans="1:153" x14ac:dyDescent="0.25">
      <c r="A67" t="str">
        <f ca="1"/>
        <v>Brutal Hordechief</v>
      </c>
      <c r="B67" s="2" t="str" cm="1">
        <f t="array" aca="1" ref="B67" ca="1">_xlfn.ANCHORARRAY(RESUMO!C66)</f>
        <v>Little</v>
      </c>
      <c r="C67" s="2" t="str">
        <f t="shared" ref="C67:C130" ca="1" si="4">IFERROR(_xlfn.XLOOKUP($A67,$E:$E,$G:$G),"")</f>
        <v/>
      </c>
      <c r="E67" t="str">
        <f ca="1"/>
        <v>Flux Channeler</v>
      </c>
      <c r="F67" s="2">
        <f t="shared" ca="1" si="3"/>
        <v>1</v>
      </c>
      <c r="G67" s="2" t="str">
        <f t="shared" ref="G67:G130" ca="1" si="5">_xlfn.XLOOKUP($E67,$M:$M,$O:$O,"Guardado")</f>
        <v>Sisay</v>
      </c>
      <c r="I67" s="18"/>
      <c r="J67" t="s">
        <v>180</v>
      </c>
      <c r="K67" s="2">
        <v>1</v>
      </c>
      <c r="M67" t="str">
        <f ca="1"/>
        <v>Flux Channeler</v>
      </c>
      <c r="N67" s="2">
        <f t="shared" ref="N67:N130" ca="1" si="6">COUNTIF(U:AX,M67)</f>
        <v>1</v>
      </c>
      <c r="O67" s="2" t="str">
        <f ca="1">IFERROR(
 INDEX($U$2:$AX$2,
  MATCH(TRUE,
   CHOOSE({1;2;3;4;5;6;7;8;9;10;11;12;13;14;15;16;17;18;19;20;21;22;23;24;25;26;27;28;29;30;31;32},
    COUNTIFS($U$3:$U$201,$M67)&gt;0,
    COUNTIFS($V$3:$V$201,$M67)&gt;0,
    COUNTIFS($W$3:$W$201,$M67)&gt;0,
    COUNTIFS($X$3:$X$201,$M67)&gt;0,
    COUNTIFS($Y$3:$Y$201,$M67)&gt;0,
    COUNTIFS($Z$3:$Z$201,$M67)&gt;0,
    COUNTIFS($AA$3:$AA$201,$M67)&gt;0,
    COUNTIFS($AB$3:$AB$201,$M67)&gt;0,
    COUNTIFS($AC$3:$AC$201,$M67)&gt;0,
    COUNTIFS($AD$3:$AD$201,$M67)&gt;0,
    COUNTIFS($AE$3:$AE$201,$M67)&gt;0,
    COUNTIFS($AF$3:$AF$201,$M67)&gt;0,
    COUNTIFS($AG$3:$AG$201,$M67)&gt;0,
    COUNTIFS($AH$3:$AH$201,$M67)&gt;0,
    COUNTIFS($AI$3:$AI$201,$M67)&gt;0,
    COUNTIFS($AJ$3:$AJ$201,$M67)&gt;0,
    COUNTIFS($AK$3:$AK$201,$M67)&gt;0,
    COUNTIFS($AL$3:$AL$201,$M67)&gt;0,
    COUNTIFS($AM$3:$AM$201,$M67)&gt;0,
    COUNTIFS($AN$3:$AN$201,$M67)&gt;0,
    COUNTIFS($AO$3:$AO$201,$M67)&gt;0,
    COUNTIFS($AP$3:$AP$201,$M67)&gt;0,
    COUNTIFS($AQ$3:$AQ$201,$M67)&gt;0,
    COUNTIFS($AR$3:$AR$201,$M67)&gt;0,
    COUNTIFS($AS$3:$AS$201,$M67)&gt;0,
    COUNTIFS($AT$3:$AT$201,$M67)&gt;0,
    COUNTIFS($AU$3:$AU$201,$M67)&gt;0,
    COUNTIFS($AV$3:$AV$201,$M67)&gt;0,
    COUNTIFS($AW$3:$AW$201,$M67)&gt;0,
    COUNTIFS($AX$3:$AX$201,$M67)&gt;0
   ),
  0)
 ),
"")</f>
        <v>Sisay</v>
      </c>
      <c r="P67" s="2" t="str" cm="1">
        <f t="array" aca="1" ref="P67" ca="1">IFERROR(
 INDEX(
  _xlfn._xlws.FILTER($U$2:$AX$2,
   TRANSPOSE(
    CHOOSE({1;2;3;4;5;6;7;8;9;10;11;12;13;14;15;16;17;18;19;20;21;22;23;24;25;26;27;28;29;30},
     COUNTIFS($U$3:$U$201,$M67)&gt;0,
     COUNTIFS($V$3:$V$201,$M67)&gt;0,
     COUNTIFS($W$3:$W$201,$M67)&gt;0,
     COUNTIFS($X$3:$X$201,$M67)&gt;0,
     COUNTIFS($Y$3:$Y$201,$M67)&gt;0,
     COUNTIFS($Z$3:$Z$201,$M67)&gt;0,
     COUNTIFS($AA$3:$AA$201,$M67)&gt;0,
     COUNTIFS($AB$3:$AB$201,$M67)&gt;0,
     COUNTIFS($AC$3:$AC$201,$M67)&gt;0,
     COUNTIFS($AD$3:$AD$201,$M67)&gt;0,
     COUNTIFS($AE$3:$AE$201,$M67)&gt;0,
     COUNTIFS($AF$3:$AF$201,$M67)&gt;0,
     COUNTIFS($AG$3:$AG$201,$M67)&gt;0,
     COUNTIFS($AH$3:$AH$201,$M67)&gt;0,
     COUNTIFS($AI$3:$AI$201,$M67)&gt;0,
     COUNTIFS($AJ$3:$AJ$201,$M67)&gt;0,
     COUNTIFS($AK$3:$AK$201,$M67)&gt;0,
     COUNTIFS($AL$3:$AL$201,$M67)&gt;0,
     COUNTIFS($AM$3:$AM$201,$M67)&gt;0,
     COUNTIFS($AN$3:$AN$201,$M67)&gt;0,
     COUNTIFS($AO$3:$AO$201,$M67)&gt;0,
     COUNTIFS($AP$3:$AP$201,$M67)&gt;0,
     COUNTIFS($AQ$3:$AQ$201,$M67)&gt;0,
     COUNTIFS($AR$3:$AR$201,$M67)&gt;0,
     COUNTIFS($AS$3:$AS$201,$M67)&gt;0,
     COUNTIFS($AT$3:$AT$201,$M67)&gt;0,
     COUNTIFS($AU$3:$AU$201,$M67)&gt;0,
     COUNTIFS($AV$3:$AV$201,$M67)&gt;0,
     COUNTIFS($AW$3:$AW$201,$M67)&gt;0,
     COUNTIFS($AX$3:$AX$201,$M67)&gt;0
   )),
  ),
  2
 ),
"")</f>
        <v/>
      </c>
      <c r="Q67" s="2" t="str" cm="1">
        <f t="array" aca="1" ref="Q67" ca="1">IFERROR(
 INDEX(
  _xlfn._xlws.FILTER($U$2:$AX$2,
   TRANSPOSE(
    CHOOSE({1;2;3;4;5;6;7;8;9;10;11;12;13;14;15;16;17;18;19;20;21;22;23;24;25;26;27;28;29;30},
     COUNTIFS($U$3:$U$201,$M67)&gt;0,
     COUNTIFS($V$3:$V$201,$M67)&gt;0,
     COUNTIFS($W$3:$W$201,$M67)&gt;0,
     COUNTIFS($X$3:$X$201,$M67)&gt;0,
     COUNTIFS($Y$3:$Y$201,$M67)&gt;0,
     COUNTIFS($Z$3:$Z$201,$M67)&gt;0,
     COUNTIFS($AA$3:$AA$201,$M67)&gt;0,
     COUNTIFS($AB$3:$AB$201,$M67)&gt;0,
     COUNTIFS($AC$3:$AC$201,$M67)&gt;0,
     COUNTIFS($AD$3:$AD$201,$M67)&gt;0,
     COUNTIFS($AE$3:$AE$201,$M67)&gt;0,
     COUNTIFS($AF$3:$AF$201,$M67)&gt;0,
     COUNTIFS($AG$3:$AG$201,$M67)&gt;0,
     COUNTIFS($AH$3:$AH$201,$M67)&gt;0,
     COUNTIFS($AI$3:$AI$201,$M67)&gt;0,
     COUNTIFS($AJ$3:$AJ$201,$M67)&gt;0,
     COUNTIFS($AK$3:$AK$201,$M67)&gt;0,
     COUNTIFS($AL$3:$AL$201,$M67)&gt;0,
     COUNTIFS($AM$3:$AM$201,$M67)&gt;0,
     COUNTIFS($AN$3:$AN$201,$M67)&gt;0,
     COUNTIFS($AO$3:$AO$201,$M67)&gt;0,
     COUNTIFS($AP$3:$AP$201,$M67)&gt;0,
     COUNTIFS($AQ$3:$AQ$201,$M67)&gt;0,
     COUNTIFS($AR$3:$AR$201,$M67)&gt;0,
     COUNTIFS($AS$3:$AS$201,$M67)&gt;0,
     COUNTIFS($AT$3:$AT$201,$M67)&gt;0,
     COUNTIFS($AU$3:$AU$201,$M67)&gt;0,
     COUNTIFS($AV$3:$AV$201,$M67)&gt;0,
     COUNTIFS($AW$3:$AW$201,$M67)&gt;0,
     COUNTIFS($AX$3:$AX$201,$M67)&gt;0
   )),
  ),
  3
 ),
"")</f>
        <v/>
      </c>
      <c r="EF67" t="str">
        <f ca="1"/>
        <v>Retreat to Hagra</v>
      </c>
      <c r="EG67" t="str">
        <f ca="1"/>
        <v>Vivid Marsh</v>
      </c>
      <c r="EO67" t="str">
        <f ca="1"/>
        <v>Island</v>
      </c>
      <c r="EP67" t="str">
        <f ca="1"/>
        <v>Soul's Majesty</v>
      </c>
      <c r="ET67" t="str">
        <f ca="1"/>
        <v>Gavony Dawnguard</v>
      </c>
      <c r="EW67" t="str">
        <f ca="1"/>
        <v>Flux Channeler</v>
      </c>
    </row>
    <row r="68" spans="1:153" x14ac:dyDescent="0.25">
      <c r="A68" t="str">
        <f ca="1"/>
        <v>Bugenhagen, Wise Elder</v>
      </c>
      <c r="B68" s="2" t="str" cm="1">
        <f t="array" aca="1" ref="B68" ca="1">_xlfn.ANCHORARRAY(RESUMO!C67)</f>
        <v>Kresh</v>
      </c>
      <c r="C68" s="2" t="str">
        <f t="shared" ca="1" si="4"/>
        <v/>
      </c>
      <c r="E68" t="str">
        <f ca="1"/>
        <v>Forest</v>
      </c>
      <c r="F68" s="2">
        <f t="shared" ref="F68:F131" ca="1" si="7">COUNTIF(U:CF,E68)+COUNTIF(K:K,E68)</f>
        <v>9</v>
      </c>
      <c r="G68" s="2" t="str">
        <f t="shared" ca="1" si="5"/>
        <v>Tayam</v>
      </c>
      <c r="I68" s="18"/>
      <c r="J68" t="s">
        <v>180</v>
      </c>
      <c r="K68" s="2">
        <v>1</v>
      </c>
      <c r="M68" t="str">
        <f ca="1"/>
        <v>Forest</v>
      </c>
      <c r="N68" s="2">
        <f t="shared" ca="1" si="6"/>
        <v>9</v>
      </c>
      <c r="O68" s="2" t="str">
        <f ca="1">IFERROR(
 INDEX($U$2:$AX$2,
  MATCH(TRUE,
   CHOOSE({1;2;3;4;5;6;7;8;9;10;11;12;13;14;15;16;17;18;19;20;21;22;23;24;25;26;27;28;29;30;31;32},
    COUNTIFS($U$3:$U$201,$M68)&gt;0,
    COUNTIFS($V$3:$V$201,$M68)&gt;0,
    COUNTIFS($W$3:$W$201,$M68)&gt;0,
    COUNTIFS($X$3:$X$201,$M68)&gt;0,
    COUNTIFS($Y$3:$Y$201,$M68)&gt;0,
    COUNTIFS($Z$3:$Z$201,$M68)&gt;0,
    COUNTIFS($AA$3:$AA$201,$M68)&gt;0,
    COUNTIFS($AB$3:$AB$201,$M68)&gt;0,
    COUNTIFS($AC$3:$AC$201,$M68)&gt;0,
    COUNTIFS($AD$3:$AD$201,$M68)&gt;0,
    COUNTIFS($AE$3:$AE$201,$M68)&gt;0,
    COUNTIFS($AF$3:$AF$201,$M68)&gt;0,
    COUNTIFS($AG$3:$AG$201,$M68)&gt;0,
    COUNTIFS($AH$3:$AH$201,$M68)&gt;0,
    COUNTIFS($AI$3:$AI$201,$M68)&gt;0,
    COUNTIFS($AJ$3:$AJ$201,$M68)&gt;0,
    COUNTIFS($AK$3:$AK$201,$M68)&gt;0,
    COUNTIFS($AL$3:$AL$201,$M68)&gt;0,
    COUNTIFS($AM$3:$AM$201,$M68)&gt;0,
    COUNTIFS($AN$3:$AN$201,$M68)&gt;0,
    COUNTIFS($AO$3:$AO$201,$M68)&gt;0,
    COUNTIFS($AP$3:$AP$201,$M68)&gt;0,
    COUNTIFS($AQ$3:$AQ$201,$M68)&gt;0,
    COUNTIFS($AR$3:$AR$201,$M68)&gt;0,
    COUNTIFS($AS$3:$AS$201,$M68)&gt;0,
    COUNTIFS($AT$3:$AT$201,$M68)&gt;0,
    COUNTIFS($AU$3:$AU$201,$M68)&gt;0,
    COUNTIFS($AV$3:$AV$201,$M68)&gt;0,
    COUNTIFS($AW$3:$AW$201,$M68)&gt;0,
    COUNTIFS($AX$3:$AX$201,$M68)&gt;0
   ),
  0)
 ),
"")</f>
        <v>Tayam</v>
      </c>
      <c r="P68" s="2" t="str" cm="1">
        <f t="array" aca="1" ref="P68" ca="1">IFERROR(
 INDEX(
  _xlfn._xlws.FILTER($U$2:$AX$2,
   TRANSPOSE(
    CHOOSE({1;2;3;4;5;6;7;8;9;10;11;12;13;14;15;16;17;18;19;20;21;22;23;24;25;26;27;28;29;30},
     COUNTIFS($U$3:$U$201,$M68)&gt;0,
     COUNTIFS($V$3:$V$201,$M68)&gt;0,
     COUNTIFS($W$3:$W$201,$M68)&gt;0,
     COUNTIFS($X$3:$X$201,$M68)&gt;0,
     COUNTIFS($Y$3:$Y$201,$M68)&gt;0,
     COUNTIFS($Z$3:$Z$201,$M68)&gt;0,
     COUNTIFS($AA$3:$AA$201,$M68)&gt;0,
     COUNTIFS($AB$3:$AB$201,$M68)&gt;0,
     COUNTIFS($AC$3:$AC$201,$M68)&gt;0,
     COUNTIFS($AD$3:$AD$201,$M68)&gt;0,
     COUNTIFS($AE$3:$AE$201,$M68)&gt;0,
     COUNTIFS($AF$3:$AF$201,$M68)&gt;0,
     COUNTIFS($AG$3:$AG$201,$M68)&gt;0,
     COUNTIFS($AH$3:$AH$201,$M68)&gt;0,
     COUNTIFS($AI$3:$AI$201,$M68)&gt;0,
     COUNTIFS($AJ$3:$AJ$201,$M68)&gt;0,
     COUNTIFS($AK$3:$AK$201,$M68)&gt;0,
     COUNTIFS($AL$3:$AL$201,$M68)&gt;0,
     COUNTIFS($AM$3:$AM$201,$M68)&gt;0,
     COUNTIFS($AN$3:$AN$201,$M68)&gt;0,
     COUNTIFS($AO$3:$AO$201,$M68)&gt;0,
     COUNTIFS($AP$3:$AP$201,$M68)&gt;0,
     COUNTIFS($AQ$3:$AQ$201,$M68)&gt;0,
     COUNTIFS($AR$3:$AR$201,$M68)&gt;0,
     COUNTIFS($AS$3:$AS$201,$M68)&gt;0,
     COUNTIFS($AT$3:$AT$201,$M68)&gt;0,
     COUNTIFS($AU$3:$AU$201,$M68)&gt;0,
     COUNTIFS($AV$3:$AV$201,$M68)&gt;0,
     COUNTIFS($AW$3:$AW$201,$M68)&gt;0,
     COUNTIFS($AX$3:$AX$201,$M68)&gt;0
   )),
  ),
  2
 ),
"")</f>
        <v>Kumena</v>
      </c>
      <c r="Q68" s="2" t="str" cm="1">
        <f t="array" aca="1" ref="Q68" ca="1">IFERROR(
 INDEX(
  _xlfn._xlws.FILTER($U$2:$AX$2,
   TRANSPOSE(
    CHOOSE({1;2;3;4;5;6;7;8;9;10;11;12;13;14;15;16;17;18;19;20;21;22;23;24;25;26;27;28;29;30},
     COUNTIFS($U$3:$U$201,$M68)&gt;0,
     COUNTIFS($V$3:$V$201,$M68)&gt;0,
     COUNTIFS($W$3:$W$201,$M68)&gt;0,
     COUNTIFS($X$3:$X$201,$M68)&gt;0,
     COUNTIFS($Y$3:$Y$201,$M68)&gt;0,
     COUNTIFS($Z$3:$Z$201,$M68)&gt;0,
     COUNTIFS($AA$3:$AA$201,$M68)&gt;0,
     COUNTIFS($AB$3:$AB$201,$M68)&gt;0,
     COUNTIFS($AC$3:$AC$201,$M68)&gt;0,
     COUNTIFS($AD$3:$AD$201,$M68)&gt;0,
     COUNTIFS($AE$3:$AE$201,$M68)&gt;0,
     COUNTIFS($AF$3:$AF$201,$M68)&gt;0,
     COUNTIFS($AG$3:$AG$201,$M68)&gt;0,
     COUNTIFS($AH$3:$AH$201,$M68)&gt;0,
     COUNTIFS($AI$3:$AI$201,$M68)&gt;0,
     COUNTIFS($AJ$3:$AJ$201,$M68)&gt;0,
     COUNTIFS($AK$3:$AK$201,$M68)&gt;0,
     COUNTIFS($AL$3:$AL$201,$M68)&gt;0,
     COUNTIFS($AM$3:$AM$201,$M68)&gt;0,
     COUNTIFS($AN$3:$AN$201,$M68)&gt;0,
     COUNTIFS($AO$3:$AO$201,$M68)&gt;0,
     COUNTIFS($AP$3:$AP$201,$M68)&gt;0,
     COUNTIFS($AQ$3:$AQ$201,$M68)&gt;0,
     COUNTIFS($AR$3:$AR$201,$M68)&gt;0,
     COUNTIFS($AS$3:$AS$201,$M68)&gt;0,
     COUNTIFS($AT$3:$AT$201,$M68)&gt;0,
     COUNTIFS($AU$3:$AU$201,$M68)&gt;0,
     COUNTIFS($AV$3:$AV$201,$M68)&gt;0,
     COUNTIFS($AW$3:$AW$201,$M68)&gt;0,
     COUNTIFS($AX$3:$AX$201,$M68)&gt;0
   )),
  ),
  3
 ),
"")</f>
        <v>Gritrog</v>
      </c>
      <c r="EF68" t="str">
        <f ca="1"/>
        <v>Rosie Cotton of South Lane</v>
      </c>
      <c r="EG68" t="str">
        <f ca="1"/>
        <v>Wall of Roots</v>
      </c>
      <c r="EO68" t="str">
        <f ca="1"/>
        <v>Japaland</v>
      </c>
      <c r="EP68" t="str">
        <f ca="1"/>
        <v>Spell Stutter</v>
      </c>
      <c r="ET68" t="str">
        <f ca="1"/>
        <v>Ghoulish Procession</v>
      </c>
      <c r="EW68" t="str">
        <f ca="1"/>
        <v>Forest</v>
      </c>
    </row>
    <row r="69" spans="1:153" x14ac:dyDescent="0.25">
      <c r="A69" t="str">
        <f ca="1"/>
        <v>Burgeoning</v>
      </c>
      <c r="B69" s="2" t="str" cm="1">
        <f t="array" aca="1" ref="B69" ca="1">_xlfn.ANCHORARRAY(RESUMO!C68)</f>
        <v>Zimone</v>
      </c>
      <c r="C69" s="2" t="str">
        <f t="shared" ca="1" si="4"/>
        <v/>
      </c>
      <c r="E69" t="str">
        <f ca="1"/>
        <v>Fraying Sanity</v>
      </c>
      <c r="F69" s="2">
        <f t="shared" ca="1" si="7"/>
        <v>1</v>
      </c>
      <c r="G69" s="2" t="str">
        <f t="shared" ca="1" si="5"/>
        <v>Narset</v>
      </c>
      <c r="I69" s="18"/>
      <c r="J69" t="s">
        <v>180</v>
      </c>
      <c r="K69" s="2">
        <v>1</v>
      </c>
      <c r="M69" t="str">
        <f ca="1"/>
        <v>Fraying Sanity</v>
      </c>
      <c r="N69" s="2">
        <f t="shared" ca="1" si="6"/>
        <v>1</v>
      </c>
      <c r="O69" s="2" t="str">
        <f ca="1">IFERROR(
 INDEX($U$2:$AX$2,
  MATCH(TRUE,
   CHOOSE({1;2;3;4;5;6;7;8;9;10;11;12;13;14;15;16;17;18;19;20;21;22;23;24;25;26;27;28;29;30;31;32},
    COUNTIFS($U$3:$U$201,$M69)&gt;0,
    COUNTIFS($V$3:$V$201,$M69)&gt;0,
    COUNTIFS($W$3:$W$201,$M69)&gt;0,
    COUNTIFS($X$3:$X$201,$M69)&gt;0,
    COUNTIFS($Y$3:$Y$201,$M69)&gt;0,
    COUNTIFS($Z$3:$Z$201,$M69)&gt;0,
    COUNTIFS($AA$3:$AA$201,$M69)&gt;0,
    COUNTIFS($AB$3:$AB$201,$M69)&gt;0,
    COUNTIFS($AC$3:$AC$201,$M69)&gt;0,
    COUNTIFS($AD$3:$AD$201,$M69)&gt;0,
    COUNTIFS($AE$3:$AE$201,$M69)&gt;0,
    COUNTIFS($AF$3:$AF$201,$M69)&gt;0,
    COUNTIFS($AG$3:$AG$201,$M69)&gt;0,
    COUNTIFS($AH$3:$AH$201,$M69)&gt;0,
    COUNTIFS($AI$3:$AI$201,$M69)&gt;0,
    COUNTIFS($AJ$3:$AJ$201,$M69)&gt;0,
    COUNTIFS($AK$3:$AK$201,$M69)&gt;0,
    COUNTIFS($AL$3:$AL$201,$M69)&gt;0,
    COUNTIFS($AM$3:$AM$201,$M69)&gt;0,
    COUNTIFS($AN$3:$AN$201,$M69)&gt;0,
    COUNTIFS($AO$3:$AO$201,$M69)&gt;0,
    COUNTIFS($AP$3:$AP$201,$M69)&gt;0,
    COUNTIFS($AQ$3:$AQ$201,$M69)&gt;0,
    COUNTIFS($AR$3:$AR$201,$M69)&gt;0,
    COUNTIFS($AS$3:$AS$201,$M69)&gt;0,
    COUNTIFS($AT$3:$AT$201,$M69)&gt;0,
    COUNTIFS($AU$3:$AU$201,$M69)&gt;0,
    COUNTIFS($AV$3:$AV$201,$M69)&gt;0,
    COUNTIFS($AW$3:$AW$201,$M69)&gt;0,
    COUNTIFS($AX$3:$AX$201,$M69)&gt;0
   ),
  0)
 ),
"")</f>
        <v>Narset</v>
      </c>
      <c r="P69" s="2" t="str" cm="1">
        <f t="array" aca="1" ref="P69" ca="1">IFERROR(
 INDEX(
  _xlfn._xlws.FILTER($U$2:$AX$2,
   TRANSPOSE(
    CHOOSE({1;2;3;4;5;6;7;8;9;10;11;12;13;14;15;16;17;18;19;20;21;22;23;24;25;26;27;28;29;30},
     COUNTIFS($U$3:$U$201,$M69)&gt;0,
     COUNTIFS($V$3:$V$201,$M69)&gt;0,
     COUNTIFS($W$3:$W$201,$M69)&gt;0,
     COUNTIFS($X$3:$X$201,$M69)&gt;0,
     COUNTIFS($Y$3:$Y$201,$M69)&gt;0,
     COUNTIFS($Z$3:$Z$201,$M69)&gt;0,
     COUNTIFS($AA$3:$AA$201,$M69)&gt;0,
     COUNTIFS($AB$3:$AB$201,$M69)&gt;0,
     COUNTIFS($AC$3:$AC$201,$M69)&gt;0,
     COUNTIFS($AD$3:$AD$201,$M69)&gt;0,
     COUNTIFS($AE$3:$AE$201,$M69)&gt;0,
     COUNTIFS($AF$3:$AF$201,$M69)&gt;0,
     COUNTIFS($AG$3:$AG$201,$M69)&gt;0,
     COUNTIFS($AH$3:$AH$201,$M69)&gt;0,
     COUNTIFS($AI$3:$AI$201,$M69)&gt;0,
     COUNTIFS($AJ$3:$AJ$201,$M69)&gt;0,
     COUNTIFS($AK$3:$AK$201,$M69)&gt;0,
     COUNTIFS($AL$3:$AL$201,$M69)&gt;0,
     COUNTIFS($AM$3:$AM$201,$M69)&gt;0,
     COUNTIFS($AN$3:$AN$201,$M69)&gt;0,
     COUNTIFS($AO$3:$AO$201,$M69)&gt;0,
     COUNTIFS($AP$3:$AP$201,$M69)&gt;0,
     COUNTIFS($AQ$3:$AQ$201,$M69)&gt;0,
     COUNTIFS($AR$3:$AR$201,$M69)&gt;0,
     COUNTIFS($AS$3:$AS$201,$M69)&gt;0,
     COUNTIFS($AT$3:$AT$201,$M69)&gt;0,
     COUNTIFS($AU$3:$AU$201,$M69)&gt;0,
     COUNTIFS($AV$3:$AV$201,$M69)&gt;0,
     COUNTIFS($AW$3:$AW$201,$M69)&gt;0,
     COUNTIFS($AX$3:$AX$201,$M69)&gt;0
   )),
  ),
  2
 ),
"")</f>
        <v/>
      </c>
      <c r="Q69" s="2" t="str" cm="1">
        <f t="array" aca="1" ref="Q69" ca="1">IFERROR(
 INDEX(
  _xlfn._xlws.FILTER($U$2:$AX$2,
   TRANSPOSE(
    CHOOSE({1;2;3;4;5;6;7;8;9;10;11;12;13;14;15;16;17;18;19;20;21;22;23;24;25;26;27;28;29;30},
     COUNTIFS($U$3:$U$201,$M69)&gt;0,
     COUNTIFS($V$3:$V$201,$M69)&gt;0,
     COUNTIFS($W$3:$W$201,$M69)&gt;0,
     COUNTIFS($X$3:$X$201,$M69)&gt;0,
     COUNTIFS($Y$3:$Y$201,$M69)&gt;0,
     COUNTIFS($Z$3:$Z$201,$M69)&gt;0,
     COUNTIFS($AA$3:$AA$201,$M69)&gt;0,
     COUNTIFS($AB$3:$AB$201,$M69)&gt;0,
     COUNTIFS($AC$3:$AC$201,$M69)&gt;0,
     COUNTIFS($AD$3:$AD$201,$M69)&gt;0,
     COUNTIFS($AE$3:$AE$201,$M69)&gt;0,
     COUNTIFS($AF$3:$AF$201,$M69)&gt;0,
     COUNTIFS($AG$3:$AG$201,$M69)&gt;0,
     COUNTIFS($AH$3:$AH$201,$M69)&gt;0,
     COUNTIFS($AI$3:$AI$201,$M69)&gt;0,
     COUNTIFS($AJ$3:$AJ$201,$M69)&gt;0,
     COUNTIFS($AK$3:$AK$201,$M69)&gt;0,
     COUNTIFS($AL$3:$AL$201,$M69)&gt;0,
     COUNTIFS($AM$3:$AM$201,$M69)&gt;0,
     COUNTIFS($AN$3:$AN$201,$M69)&gt;0,
     COUNTIFS($AO$3:$AO$201,$M69)&gt;0,
     COUNTIFS($AP$3:$AP$201,$M69)&gt;0,
     COUNTIFS($AQ$3:$AQ$201,$M69)&gt;0,
     COUNTIFS($AR$3:$AR$201,$M69)&gt;0,
     COUNTIFS($AS$3:$AS$201,$M69)&gt;0,
     COUNTIFS($AT$3:$AT$201,$M69)&gt;0,
     COUNTIFS($AU$3:$AU$201,$M69)&gt;0,
     COUNTIFS($AV$3:$AV$201,$M69)&gt;0,
     COUNTIFS($AW$3:$AW$201,$M69)&gt;0,
     COUNTIFS($AX$3:$AX$201,$M69)&gt;0
   )),
  ),
  3
 ),
"")</f>
        <v/>
      </c>
      <c r="EF69" t="str">
        <f ca="1"/>
        <v>Royalty Assassin</v>
      </c>
      <c r="EG69" t="str">
        <f ca="1"/>
        <v>Wayfarrer's Bauble</v>
      </c>
      <c r="EO69" t="str">
        <f ca="1"/>
        <v>Jeskai Ascendancy</v>
      </c>
      <c r="EP69" t="str">
        <f ca="1"/>
        <v>Staged Fight</v>
      </c>
      <c r="ET69" t="str">
        <f ca="1"/>
        <v>Glimmer Lens</v>
      </c>
      <c r="EW69" t="str">
        <f ca="1"/>
        <v>Fraying Sanity</v>
      </c>
    </row>
    <row r="70" spans="1:153" x14ac:dyDescent="0.25">
      <c r="A70" t="str">
        <f ca="1"/>
        <v>Burnt Offering</v>
      </c>
      <c r="B70" s="2" t="str" cm="1">
        <f t="array" aca="1" ref="B70" ca="1">_xlfn.ANCHORARRAY(RESUMO!C69)</f>
        <v>Inalla</v>
      </c>
      <c r="C70" s="2" t="str">
        <f t="shared" ca="1" si="4"/>
        <v/>
      </c>
      <c r="E70" t="str">
        <f ca="1"/>
        <v>Fundição dos Cônsules</v>
      </c>
      <c r="F70" s="2">
        <f t="shared" ca="1" si="7"/>
        <v>1</v>
      </c>
      <c r="G70" s="2" t="str">
        <f t="shared" ca="1" si="5"/>
        <v>Breya</v>
      </c>
      <c r="I70" s="18"/>
      <c r="J70" t="s">
        <v>180</v>
      </c>
      <c r="K70" s="2">
        <v>1</v>
      </c>
      <c r="M70" t="str">
        <f ca="1"/>
        <v>Fundição dos Cônsules</v>
      </c>
      <c r="N70" s="2">
        <f t="shared" ca="1" si="6"/>
        <v>1</v>
      </c>
      <c r="O70" s="2" t="str">
        <f ca="1">IFERROR(
 INDEX($U$2:$AX$2,
  MATCH(TRUE,
   CHOOSE({1;2;3;4;5;6;7;8;9;10;11;12;13;14;15;16;17;18;19;20;21;22;23;24;25;26;27;28;29;30;31;32},
    COUNTIFS($U$3:$U$201,$M70)&gt;0,
    COUNTIFS($V$3:$V$201,$M70)&gt;0,
    COUNTIFS($W$3:$W$201,$M70)&gt;0,
    COUNTIFS($X$3:$X$201,$M70)&gt;0,
    COUNTIFS($Y$3:$Y$201,$M70)&gt;0,
    COUNTIFS($Z$3:$Z$201,$M70)&gt;0,
    COUNTIFS($AA$3:$AA$201,$M70)&gt;0,
    COUNTIFS($AB$3:$AB$201,$M70)&gt;0,
    COUNTIFS($AC$3:$AC$201,$M70)&gt;0,
    COUNTIFS($AD$3:$AD$201,$M70)&gt;0,
    COUNTIFS($AE$3:$AE$201,$M70)&gt;0,
    COUNTIFS($AF$3:$AF$201,$M70)&gt;0,
    COUNTIFS($AG$3:$AG$201,$M70)&gt;0,
    COUNTIFS($AH$3:$AH$201,$M70)&gt;0,
    COUNTIFS($AI$3:$AI$201,$M70)&gt;0,
    COUNTIFS($AJ$3:$AJ$201,$M70)&gt;0,
    COUNTIFS($AK$3:$AK$201,$M70)&gt;0,
    COUNTIFS($AL$3:$AL$201,$M70)&gt;0,
    COUNTIFS($AM$3:$AM$201,$M70)&gt;0,
    COUNTIFS($AN$3:$AN$201,$M70)&gt;0,
    COUNTIFS($AO$3:$AO$201,$M70)&gt;0,
    COUNTIFS($AP$3:$AP$201,$M70)&gt;0,
    COUNTIFS($AQ$3:$AQ$201,$M70)&gt;0,
    COUNTIFS($AR$3:$AR$201,$M70)&gt;0,
    COUNTIFS($AS$3:$AS$201,$M70)&gt;0,
    COUNTIFS($AT$3:$AT$201,$M70)&gt;0,
    COUNTIFS($AU$3:$AU$201,$M70)&gt;0,
    COUNTIFS($AV$3:$AV$201,$M70)&gt;0,
    COUNTIFS($AW$3:$AW$201,$M70)&gt;0,
    COUNTIFS($AX$3:$AX$201,$M70)&gt;0
   ),
  0)
 ),
"")</f>
        <v>Breya</v>
      </c>
      <c r="P70" s="2" t="str" cm="1">
        <f t="array" aca="1" ref="P70" ca="1">IFERROR(
 INDEX(
  _xlfn._xlws.FILTER($U$2:$AX$2,
   TRANSPOSE(
    CHOOSE({1;2;3;4;5;6;7;8;9;10;11;12;13;14;15;16;17;18;19;20;21;22;23;24;25;26;27;28;29;30},
     COUNTIFS($U$3:$U$201,$M70)&gt;0,
     COUNTIFS($V$3:$V$201,$M70)&gt;0,
     COUNTIFS($W$3:$W$201,$M70)&gt;0,
     COUNTIFS($X$3:$X$201,$M70)&gt;0,
     COUNTIFS($Y$3:$Y$201,$M70)&gt;0,
     COUNTIFS($Z$3:$Z$201,$M70)&gt;0,
     COUNTIFS($AA$3:$AA$201,$M70)&gt;0,
     COUNTIFS($AB$3:$AB$201,$M70)&gt;0,
     COUNTIFS($AC$3:$AC$201,$M70)&gt;0,
     COUNTIFS($AD$3:$AD$201,$M70)&gt;0,
     COUNTIFS($AE$3:$AE$201,$M70)&gt;0,
     COUNTIFS($AF$3:$AF$201,$M70)&gt;0,
     COUNTIFS($AG$3:$AG$201,$M70)&gt;0,
     COUNTIFS($AH$3:$AH$201,$M70)&gt;0,
     COUNTIFS($AI$3:$AI$201,$M70)&gt;0,
     COUNTIFS($AJ$3:$AJ$201,$M70)&gt;0,
     COUNTIFS($AK$3:$AK$201,$M70)&gt;0,
     COUNTIFS($AL$3:$AL$201,$M70)&gt;0,
     COUNTIFS($AM$3:$AM$201,$M70)&gt;0,
     COUNTIFS($AN$3:$AN$201,$M70)&gt;0,
     COUNTIFS($AO$3:$AO$201,$M70)&gt;0,
     COUNTIFS($AP$3:$AP$201,$M70)&gt;0,
     COUNTIFS($AQ$3:$AQ$201,$M70)&gt;0,
     COUNTIFS($AR$3:$AR$201,$M70)&gt;0,
     COUNTIFS($AS$3:$AS$201,$M70)&gt;0,
     COUNTIFS($AT$3:$AT$201,$M70)&gt;0,
     COUNTIFS($AU$3:$AU$201,$M70)&gt;0,
     COUNTIFS($AV$3:$AV$201,$M70)&gt;0,
     COUNTIFS($AW$3:$AW$201,$M70)&gt;0,
     COUNTIFS($AX$3:$AX$201,$M70)&gt;0
   )),
  ),
  2
 ),
"")</f>
        <v/>
      </c>
      <c r="Q70" s="2" t="str" cm="1">
        <f t="array" aca="1" ref="Q70" ca="1">IFERROR(
 INDEX(
  _xlfn._xlws.FILTER($U$2:$AX$2,
   TRANSPOSE(
    CHOOSE({1;2;3;4;5;6;7;8;9;10;11;12;13;14;15;16;17;18;19;20;21;22;23;24;25;26;27;28;29;30},
     COUNTIFS($U$3:$U$201,$M70)&gt;0,
     COUNTIFS($V$3:$V$201,$M70)&gt;0,
     COUNTIFS($W$3:$W$201,$M70)&gt;0,
     COUNTIFS($X$3:$X$201,$M70)&gt;0,
     COUNTIFS($Y$3:$Y$201,$M70)&gt;0,
     COUNTIFS($Z$3:$Z$201,$M70)&gt;0,
     COUNTIFS($AA$3:$AA$201,$M70)&gt;0,
     COUNTIFS($AB$3:$AB$201,$M70)&gt;0,
     COUNTIFS($AC$3:$AC$201,$M70)&gt;0,
     COUNTIFS($AD$3:$AD$201,$M70)&gt;0,
     COUNTIFS($AE$3:$AE$201,$M70)&gt;0,
     COUNTIFS($AF$3:$AF$201,$M70)&gt;0,
     COUNTIFS($AG$3:$AG$201,$M70)&gt;0,
     COUNTIFS($AH$3:$AH$201,$M70)&gt;0,
     COUNTIFS($AI$3:$AI$201,$M70)&gt;0,
     COUNTIFS($AJ$3:$AJ$201,$M70)&gt;0,
     COUNTIFS($AK$3:$AK$201,$M70)&gt;0,
     COUNTIFS($AL$3:$AL$201,$M70)&gt;0,
     COUNTIFS($AM$3:$AM$201,$M70)&gt;0,
     COUNTIFS($AN$3:$AN$201,$M70)&gt;0,
     COUNTIFS($AO$3:$AO$201,$M70)&gt;0,
     COUNTIFS($AP$3:$AP$201,$M70)&gt;0,
     COUNTIFS($AQ$3:$AQ$201,$M70)&gt;0,
     COUNTIFS($AR$3:$AR$201,$M70)&gt;0,
     COUNTIFS($AS$3:$AS$201,$M70)&gt;0,
     COUNTIFS($AT$3:$AT$201,$M70)&gt;0,
     COUNTIFS($AU$3:$AU$201,$M70)&gt;0,
     COUNTIFS($AV$3:$AV$201,$M70)&gt;0,
     COUNTIFS($AW$3:$AW$201,$M70)&gt;0,
     COUNTIFS($AX$3:$AX$201,$M70)&gt;0
   )),
  ),
  3
 ),
"")</f>
        <v/>
      </c>
      <c r="EF70" t="str">
        <f ca="1"/>
        <v>Saheeli, Sublime Artificer</v>
      </c>
      <c r="EG70" t="str">
        <f ca="1"/>
        <v>Whelming Wave</v>
      </c>
      <c r="EO70" t="str">
        <f ca="1"/>
        <v>Jolrael, Mwonvuli Recluse</v>
      </c>
      <c r="EP70" t="str">
        <f ca="1"/>
        <v>Storm's Wrath</v>
      </c>
      <c r="ET70" t="str">
        <f ca="1"/>
        <v>Goblin Bombardment</v>
      </c>
      <c r="EW70" t="str">
        <f ca="1"/>
        <v>Fundição dos Cônsules</v>
      </c>
    </row>
    <row r="71" spans="1:153" x14ac:dyDescent="0.25">
      <c r="A71" t="str">
        <f ca="1"/>
        <v>Caesar, Legion's Emperor</v>
      </c>
      <c r="B71" s="2" t="str" cm="1">
        <f t="array" aca="1" ref="B71" ca="1">_xlfn.ANCHORARRAY(RESUMO!C70)</f>
        <v>Little</v>
      </c>
      <c r="C71" s="2" t="str">
        <f t="shared" ca="1" si="4"/>
        <v/>
      </c>
      <c r="E71" t="str">
        <f ca="1"/>
        <v>Gavony Dawnguard</v>
      </c>
      <c r="F71" s="2">
        <f t="shared" ca="1" si="7"/>
        <v>1</v>
      </c>
      <c r="G71" s="2" t="str">
        <f t="shared" ca="1" si="5"/>
        <v>Carlos</v>
      </c>
      <c r="I71" s="18"/>
      <c r="J71" t="s">
        <v>180</v>
      </c>
      <c r="K71" s="2">
        <v>1</v>
      </c>
      <c r="M71" t="str">
        <f ca="1"/>
        <v>Gavony Dawnguard</v>
      </c>
      <c r="N71" s="2">
        <f t="shared" ca="1" si="6"/>
        <v>1</v>
      </c>
      <c r="O71" s="2" t="str">
        <f ca="1">IFERROR(
 INDEX($U$2:$AX$2,
  MATCH(TRUE,
   CHOOSE({1;2;3;4;5;6;7;8;9;10;11;12;13;14;15;16;17;18;19;20;21;22;23;24;25;26;27;28;29;30;31;32},
    COUNTIFS($U$3:$U$201,$M71)&gt;0,
    COUNTIFS($V$3:$V$201,$M71)&gt;0,
    COUNTIFS($W$3:$W$201,$M71)&gt;0,
    COUNTIFS($X$3:$X$201,$M71)&gt;0,
    COUNTIFS($Y$3:$Y$201,$M71)&gt;0,
    COUNTIFS($Z$3:$Z$201,$M71)&gt;0,
    COUNTIFS($AA$3:$AA$201,$M71)&gt;0,
    COUNTIFS($AB$3:$AB$201,$M71)&gt;0,
    COUNTIFS($AC$3:$AC$201,$M71)&gt;0,
    COUNTIFS($AD$3:$AD$201,$M71)&gt;0,
    COUNTIFS($AE$3:$AE$201,$M71)&gt;0,
    COUNTIFS($AF$3:$AF$201,$M71)&gt;0,
    COUNTIFS($AG$3:$AG$201,$M71)&gt;0,
    COUNTIFS($AH$3:$AH$201,$M71)&gt;0,
    COUNTIFS($AI$3:$AI$201,$M71)&gt;0,
    COUNTIFS($AJ$3:$AJ$201,$M71)&gt;0,
    COUNTIFS($AK$3:$AK$201,$M71)&gt;0,
    COUNTIFS($AL$3:$AL$201,$M71)&gt;0,
    COUNTIFS($AM$3:$AM$201,$M71)&gt;0,
    COUNTIFS($AN$3:$AN$201,$M71)&gt;0,
    COUNTIFS($AO$3:$AO$201,$M71)&gt;0,
    COUNTIFS($AP$3:$AP$201,$M71)&gt;0,
    COUNTIFS($AQ$3:$AQ$201,$M71)&gt;0,
    COUNTIFS($AR$3:$AR$201,$M71)&gt;0,
    COUNTIFS($AS$3:$AS$201,$M71)&gt;0,
    COUNTIFS($AT$3:$AT$201,$M71)&gt;0,
    COUNTIFS($AU$3:$AU$201,$M71)&gt;0,
    COUNTIFS($AV$3:$AV$201,$M71)&gt;0,
    COUNTIFS($AW$3:$AW$201,$M71)&gt;0,
    COUNTIFS($AX$3:$AX$201,$M71)&gt;0
   ),
  0)
 ),
"")</f>
        <v>Carlos</v>
      </c>
      <c r="P71" s="2" t="str" cm="1">
        <f t="array" aca="1" ref="P71" ca="1">IFERROR(
 INDEX(
  _xlfn._xlws.FILTER($U$2:$AX$2,
   TRANSPOSE(
    CHOOSE({1;2;3;4;5;6;7;8;9;10;11;12;13;14;15;16;17;18;19;20;21;22;23;24;25;26;27;28;29;30},
     COUNTIFS($U$3:$U$201,$M71)&gt;0,
     COUNTIFS($V$3:$V$201,$M71)&gt;0,
     COUNTIFS($W$3:$W$201,$M71)&gt;0,
     COUNTIFS($X$3:$X$201,$M71)&gt;0,
     COUNTIFS($Y$3:$Y$201,$M71)&gt;0,
     COUNTIFS($Z$3:$Z$201,$M71)&gt;0,
     COUNTIFS($AA$3:$AA$201,$M71)&gt;0,
     COUNTIFS($AB$3:$AB$201,$M71)&gt;0,
     COUNTIFS($AC$3:$AC$201,$M71)&gt;0,
     COUNTIFS($AD$3:$AD$201,$M71)&gt;0,
     COUNTIFS($AE$3:$AE$201,$M71)&gt;0,
     COUNTIFS($AF$3:$AF$201,$M71)&gt;0,
     COUNTIFS($AG$3:$AG$201,$M71)&gt;0,
     COUNTIFS($AH$3:$AH$201,$M71)&gt;0,
     COUNTIFS($AI$3:$AI$201,$M71)&gt;0,
     COUNTIFS($AJ$3:$AJ$201,$M71)&gt;0,
     COUNTIFS($AK$3:$AK$201,$M71)&gt;0,
     COUNTIFS($AL$3:$AL$201,$M71)&gt;0,
     COUNTIFS($AM$3:$AM$201,$M71)&gt;0,
     COUNTIFS($AN$3:$AN$201,$M71)&gt;0,
     COUNTIFS($AO$3:$AO$201,$M71)&gt;0,
     COUNTIFS($AP$3:$AP$201,$M71)&gt;0,
     COUNTIFS($AQ$3:$AQ$201,$M71)&gt;0,
     COUNTIFS($AR$3:$AR$201,$M71)&gt;0,
     COUNTIFS($AS$3:$AS$201,$M71)&gt;0,
     COUNTIFS($AT$3:$AT$201,$M71)&gt;0,
     COUNTIFS($AU$3:$AU$201,$M71)&gt;0,
     COUNTIFS($AV$3:$AV$201,$M71)&gt;0,
     COUNTIFS($AW$3:$AW$201,$M71)&gt;0,
     COUNTIFS($AX$3:$AX$201,$M71)&gt;0
   )),
  ),
  2
 ),
"")</f>
        <v/>
      </c>
      <c r="Q71" s="2" t="str" cm="1">
        <f t="array" aca="1" ref="Q71" ca="1">IFERROR(
 INDEX(
  _xlfn._xlws.FILTER($U$2:$AX$2,
   TRANSPOSE(
    CHOOSE({1;2;3;4;5;6;7;8;9;10;11;12;13;14;15;16;17;18;19;20;21;22;23;24;25;26;27;28;29;30},
     COUNTIFS($U$3:$U$201,$M71)&gt;0,
     COUNTIFS($V$3:$V$201,$M71)&gt;0,
     COUNTIFS($W$3:$W$201,$M71)&gt;0,
     COUNTIFS($X$3:$X$201,$M71)&gt;0,
     COUNTIFS($Y$3:$Y$201,$M71)&gt;0,
     COUNTIFS($Z$3:$Z$201,$M71)&gt;0,
     COUNTIFS($AA$3:$AA$201,$M71)&gt;0,
     COUNTIFS($AB$3:$AB$201,$M71)&gt;0,
     COUNTIFS($AC$3:$AC$201,$M71)&gt;0,
     COUNTIFS($AD$3:$AD$201,$M71)&gt;0,
     COUNTIFS($AE$3:$AE$201,$M71)&gt;0,
     COUNTIFS($AF$3:$AF$201,$M71)&gt;0,
     COUNTIFS($AG$3:$AG$201,$M71)&gt;0,
     COUNTIFS($AH$3:$AH$201,$M71)&gt;0,
     COUNTIFS($AI$3:$AI$201,$M71)&gt;0,
     COUNTIFS($AJ$3:$AJ$201,$M71)&gt;0,
     COUNTIFS($AK$3:$AK$201,$M71)&gt;0,
     COUNTIFS($AL$3:$AL$201,$M71)&gt;0,
     COUNTIFS($AM$3:$AM$201,$M71)&gt;0,
     COUNTIFS($AN$3:$AN$201,$M71)&gt;0,
     COUNTIFS($AO$3:$AO$201,$M71)&gt;0,
     COUNTIFS($AP$3:$AP$201,$M71)&gt;0,
     COUNTIFS($AQ$3:$AQ$201,$M71)&gt;0,
     COUNTIFS($AR$3:$AR$201,$M71)&gt;0,
     COUNTIFS($AS$3:$AS$201,$M71)&gt;0,
     COUNTIFS($AT$3:$AT$201,$M71)&gt;0,
     COUNTIFS($AU$3:$AU$201,$M71)&gt;0,
     COUNTIFS($AV$3:$AV$201,$M71)&gt;0,
     COUNTIFS($AW$3:$AW$201,$M71)&gt;0,
     COUNTIFS($AX$3:$AX$201,$M71)&gt;0
   )),
  ),
  3
 ),
"")</f>
        <v/>
      </c>
      <c r="EF71" t="str">
        <f ca="1"/>
        <v>Sanctum of Calm Waters</v>
      </c>
      <c r="EG71" t="str">
        <f ca="1"/>
        <v>World Shaper</v>
      </c>
      <c r="EO71" t="str">
        <f ca="1"/>
        <v>Karn's Temporal Sundering</v>
      </c>
      <c r="EP71" t="str">
        <f ca="1"/>
        <v>Swamp</v>
      </c>
      <c r="ET71" t="str">
        <f ca="1"/>
        <v>Goblin Morningstar</v>
      </c>
      <c r="EW71" t="str">
        <f ca="1"/>
        <v>Gavony Dawnguard</v>
      </c>
    </row>
    <row r="72" spans="1:153" x14ac:dyDescent="0.25">
      <c r="A72" t="str">
        <f ca="1"/>
        <v>Cait Sith, Fortune Teller</v>
      </c>
      <c r="B72" s="2" t="str" cm="1">
        <f t="array" aca="1" ref="B72" ca="1">_xlfn.ANCHORARRAY(RESUMO!C71)</f>
        <v>Zuko</v>
      </c>
      <c r="C72" s="2" t="str">
        <f t="shared" ca="1" si="4"/>
        <v/>
      </c>
      <c r="E72" t="str">
        <f ca="1"/>
        <v>Ghoulish Procession</v>
      </c>
      <c r="F72" s="2">
        <f t="shared" ca="1" si="7"/>
        <v>1</v>
      </c>
      <c r="G72" s="2" t="str">
        <f t="shared" ca="1" si="5"/>
        <v>Zimone</v>
      </c>
      <c r="I72" s="18"/>
      <c r="J72" t="s">
        <v>180</v>
      </c>
      <c r="K72" s="2">
        <v>1</v>
      </c>
      <c r="M72" t="str">
        <f ca="1"/>
        <v>Ghoulish Procession</v>
      </c>
      <c r="N72" s="2">
        <f t="shared" ca="1" si="6"/>
        <v>1</v>
      </c>
      <c r="O72" s="2" t="str">
        <f ca="1">IFERROR(
 INDEX($U$2:$AX$2,
  MATCH(TRUE,
   CHOOSE({1;2;3;4;5;6;7;8;9;10;11;12;13;14;15;16;17;18;19;20;21;22;23;24;25;26;27;28;29;30;31;32},
    COUNTIFS($U$3:$U$201,$M72)&gt;0,
    COUNTIFS($V$3:$V$201,$M72)&gt;0,
    COUNTIFS($W$3:$W$201,$M72)&gt;0,
    COUNTIFS($X$3:$X$201,$M72)&gt;0,
    COUNTIFS($Y$3:$Y$201,$M72)&gt;0,
    COUNTIFS($Z$3:$Z$201,$M72)&gt;0,
    COUNTIFS($AA$3:$AA$201,$M72)&gt;0,
    COUNTIFS($AB$3:$AB$201,$M72)&gt;0,
    COUNTIFS($AC$3:$AC$201,$M72)&gt;0,
    COUNTIFS($AD$3:$AD$201,$M72)&gt;0,
    COUNTIFS($AE$3:$AE$201,$M72)&gt;0,
    COUNTIFS($AF$3:$AF$201,$M72)&gt;0,
    COUNTIFS($AG$3:$AG$201,$M72)&gt;0,
    COUNTIFS($AH$3:$AH$201,$M72)&gt;0,
    COUNTIFS($AI$3:$AI$201,$M72)&gt;0,
    COUNTIFS($AJ$3:$AJ$201,$M72)&gt;0,
    COUNTIFS($AK$3:$AK$201,$M72)&gt;0,
    COUNTIFS($AL$3:$AL$201,$M72)&gt;0,
    COUNTIFS($AM$3:$AM$201,$M72)&gt;0,
    COUNTIFS($AN$3:$AN$201,$M72)&gt;0,
    COUNTIFS($AO$3:$AO$201,$M72)&gt;0,
    COUNTIFS($AP$3:$AP$201,$M72)&gt;0,
    COUNTIFS($AQ$3:$AQ$201,$M72)&gt;0,
    COUNTIFS($AR$3:$AR$201,$M72)&gt;0,
    COUNTIFS($AS$3:$AS$201,$M72)&gt;0,
    COUNTIFS($AT$3:$AT$201,$M72)&gt;0,
    COUNTIFS($AU$3:$AU$201,$M72)&gt;0,
    COUNTIFS($AV$3:$AV$201,$M72)&gt;0,
    COUNTIFS($AW$3:$AW$201,$M72)&gt;0,
    COUNTIFS($AX$3:$AX$201,$M72)&gt;0
   ),
  0)
 ),
"")</f>
        <v>Zimone</v>
      </c>
      <c r="P72" s="2" t="str" cm="1">
        <f t="array" aca="1" ref="P72" ca="1">IFERROR(
 INDEX(
  _xlfn._xlws.FILTER($U$2:$AX$2,
   TRANSPOSE(
    CHOOSE({1;2;3;4;5;6;7;8;9;10;11;12;13;14;15;16;17;18;19;20;21;22;23;24;25;26;27;28;29;30},
     COUNTIFS($U$3:$U$201,$M72)&gt;0,
     COUNTIFS($V$3:$V$201,$M72)&gt;0,
     COUNTIFS($W$3:$W$201,$M72)&gt;0,
     COUNTIFS($X$3:$X$201,$M72)&gt;0,
     COUNTIFS($Y$3:$Y$201,$M72)&gt;0,
     COUNTIFS($Z$3:$Z$201,$M72)&gt;0,
     COUNTIFS($AA$3:$AA$201,$M72)&gt;0,
     COUNTIFS($AB$3:$AB$201,$M72)&gt;0,
     COUNTIFS($AC$3:$AC$201,$M72)&gt;0,
     COUNTIFS($AD$3:$AD$201,$M72)&gt;0,
     COUNTIFS($AE$3:$AE$201,$M72)&gt;0,
     COUNTIFS($AF$3:$AF$201,$M72)&gt;0,
     COUNTIFS($AG$3:$AG$201,$M72)&gt;0,
     COUNTIFS($AH$3:$AH$201,$M72)&gt;0,
     COUNTIFS($AI$3:$AI$201,$M72)&gt;0,
     COUNTIFS($AJ$3:$AJ$201,$M72)&gt;0,
     COUNTIFS($AK$3:$AK$201,$M72)&gt;0,
     COUNTIFS($AL$3:$AL$201,$M72)&gt;0,
     COUNTIFS($AM$3:$AM$201,$M72)&gt;0,
     COUNTIFS($AN$3:$AN$201,$M72)&gt;0,
     COUNTIFS($AO$3:$AO$201,$M72)&gt;0,
     COUNTIFS($AP$3:$AP$201,$M72)&gt;0,
     COUNTIFS($AQ$3:$AQ$201,$M72)&gt;0,
     COUNTIFS($AR$3:$AR$201,$M72)&gt;0,
     COUNTIFS($AS$3:$AS$201,$M72)&gt;0,
     COUNTIFS($AT$3:$AT$201,$M72)&gt;0,
     COUNTIFS($AU$3:$AU$201,$M72)&gt;0,
     COUNTIFS($AV$3:$AV$201,$M72)&gt;0,
     COUNTIFS($AW$3:$AW$201,$M72)&gt;0,
     COUNTIFS($AX$3:$AX$201,$M72)&gt;0
   )),
  ),
  2
 ),
"")</f>
        <v/>
      </c>
      <c r="Q72" s="2" t="str" cm="1">
        <f t="array" aca="1" ref="Q72" ca="1">IFERROR(
 INDEX(
  _xlfn._xlws.FILTER($U$2:$AX$2,
   TRANSPOSE(
    CHOOSE({1;2;3;4;5;6;7;8;9;10;11;12;13;14;15;16;17;18;19;20;21;22;23;24;25;26;27;28;29;30},
     COUNTIFS($U$3:$U$201,$M72)&gt;0,
     COUNTIFS($V$3:$V$201,$M72)&gt;0,
     COUNTIFS($W$3:$W$201,$M72)&gt;0,
     COUNTIFS($X$3:$X$201,$M72)&gt;0,
     COUNTIFS($Y$3:$Y$201,$M72)&gt;0,
     COUNTIFS($Z$3:$Z$201,$M72)&gt;0,
     COUNTIFS($AA$3:$AA$201,$M72)&gt;0,
     COUNTIFS($AB$3:$AB$201,$M72)&gt;0,
     COUNTIFS($AC$3:$AC$201,$M72)&gt;0,
     COUNTIFS($AD$3:$AD$201,$M72)&gt;0,
     COUNTIFS($AE$3:$AE$201,$M72)&gt;0,
     COUNTIFS($AF$3:$AF$201,$M72)&gt;0,
     COUNTIFS($AG$3:$AG$201,$M72)&gt;0,
     COUNTIFS($AH$3:$AH$201,$M72)&gt;0,
     COUNTIFS($AI$3:$AI$201,$M72)&gt;0,
     COUNTIFS($AJ$3:$AJ$201,$M72)&gt;0,
     COUNTIFS($AK$3:$AK$201,$M72)&gt;0,
     COUNTIFS($AL$3:$AL$201,$M72)&gt;0,
     COUNTIFS($AM$3:$AM$201,$M72)&gt;0,
     COUNTIFS($AN$3:$AN$201,$M72)&gt;0,
     COUNTIFS($AO$3:$AO$201,$M72)&gt;0,
     COUNTIFS($AP$3:$AP$201,$M72)&gt;0,
     COUNTIFS($AQ$3:$AQ$201,$M72)&gt;0,
     COUNTIFS($AR$3:$AR$201,$M72)&gt;0,
     COUNTIFS($AS$3:$AS$201,$M72)&gt;0,
     COUNTIFS($AT$3:$AT$201,$M72)&gt;0,
     COUNTIFS($AU$3:$AU$201,$M72)&gt;0,
     COUNTIFS($AV$3:$AV$201,$M72)&gt;0,
     COUNTIFS($AW$3:$AW$201,$M72)&gt;0,
     COUNTIFS($AX$3:$AX$201,$M72)&gt;0
   )),
  ),
  3
 ),
"")</f>
        <v/>
      </c>
      <c r="EF72" t="str">
        <f ca="1"/>
        <v>Scavenging Ooze</v>
      </c>
      <c r="EG72" t="str">
        <f ca="1"/>
        <v>Worn Powerstone</v>
      </c>
      <c r="EO72" t="str">
        <f ca="1"/>
        <v>Kasmina, Enigma Sage</v>
      </c>
      <c r="EP72" t="str">
        <f ca="1"/>
        <v>Syr Ginger, the Meal Ender</v>
      </c>
      <c r="ET72" t="str">
        <f ca="1"/>
        <v>Goblin Spymaster</v>
      </c>
      <c r="EW72" t="str">
        <f ca="1"/>
        <v>Ghoulish Procession</v>
      </c>
    </row>
    <row r="73" spans="1:153" x14ac:dyDescent="0.25">
      <c r="A73" t="str">
        <f ca="1"/>
        <v>Cankerbloom</v>
      </c>
      <c r="B73" s="2" t="str" cm="1">
        <f t="array" aca="1" ref="B73" ca="1">_xlfn.ANCHORARRAY(RESUMO!C72)</f>
        <v>Ool</v>
      </c>
      <c r="C73" s="2" t="str">
        <f t="shared" ca="1" si="4"/>
        <v/>
      </c>
      <c r="E73" t="str">
        <f ca="1"/>
        <v>Glimmer Lens</v>
      </c>
      <c r="F73" s="2">
        <f t="shared" ca="1" si="7"/>
        <v>1</v>
      </c>
      <c r="G73" s="2" t="str">
        <f t="shared" ca="1" si="5"/>
        <v>Akiri</v>
      </c>
      <c r="I73" s="18"/>
      <c r="J73" t="s">
        <v>180</v>
      </c>
      <c r="K73" s="2">
        <v>1</v>
      </c>
      <c r="M73" t="str">
        <f ca="1"/>
        <v>Glimmer Lens</v>
      </c>
      <c r="N73" s="2">
        <f t="shared" ca="1" si="6"/>
        <v>1</v>
      </c>
      <c r="O73" s="2" t="str">
        <f ca="1">IFERROR(
 INDEX($U$2:$AX$2,
  MATCH(TRUE,
   CHOOSE({1;2;3;4;5;6;7;8;9;10;11;12;13;14;15;16;17;18;19;20;21;22;23;24;25;26;27;28;29;30;31;32},
    COUNTIFS($U$3:$U$201,$M73)&gt;0,
    COUNTIFS($V$3:$V$201,$M73)&gt;0,
    COUNTIFS($W$3:$W$201,$M73)&gt;0,
    COUNTIFS($X$3:$X$201,$M73)&gt;0,
    COUNTIFS($Y$3:$Y$201,$M73)&gt;0,
    COUNTIFS($Z$3:$Z$201,$M73)&gt;0,
    COUNTIFS($AA$3:$AA$201,$M73)&gt;0,
    COUNTIFS($AB$3:$AB$201,$M73)&gt;0,
    COUNTIFS($AC$3:$AC$201,$M73)&gt;0,
    COUNTIFS($AD$3:$AD$201,$M73)&gt;0,
    COUNTIFS($AE$3:$AE$201,$M73)&gt;0,
    COUNTIFS($AF$3:$AF$201,$M73)&gt;0,
    COUNTIFS($AG$3:$AG$201,$M73)&gt;0,
    COUNTIFS($AH$3:$AH$201,$M73)&gt;0,
    COUNTIFS($AI$3:$AI$201,$M73)&gt;0,
    COUNTIFS($AJ$3:$AJ$201,$M73)&gt;0,
    COUNTIFS($AK$3:$AK$201,$M73)&gt;0,
    COUNTIFS($AL$3:$AL$201,$M73)&gt;0,
    COUNTIFS($AM$3:$AM$201,$M73)&gt;0,
    COUNTIFS($AN$3:$AN$201,$M73)&gt;0,
    COUNTIFS($AO$3:$AO$201,$M73)&gt;0,
    COUNTIFS($AP$3:$AP$201,$M73)&gt;0,
    COUNTIFS($AQ$3:$AQ$201,$M73)&gt;0,
    COUNTIFS($AR$3:$AR$201,$M73)&gt;0,
    COUNTIFS($AS$3:$AS$201,$M73)&gt;0,
    COUNTIFS($AT$3:$AT$201,$M73)&gt;0,
    COUNTIFS($AU$3:$AU$201,$M73)&gt;0,
    COUNTIFS($AV$3:$AV$201,$M73)&gt;0,
    COUNTIFS($AW$3:$AW$201,$M73)&gt;0,
    COUNTIFS($AX$3:$AX$201,$M73)&gt;0
   ),
  0)
 ),
"")</f>
        <v>Akiri</v>
      </c>
      <c r="P73" s="2" t="str" cm="1">
        <f t="array" aca="1" ref="P73" ca="1">IFERROR(
 INDEX(
  _xlfn._xlws.FILTER($U$2:$AX$2,
   TRANSPOSE(
    CHOOSE({1;2;3;4;5;6;7;8;9;10;11;12;13;14;15;16;17;18;19;20;21;22;23;24;25;26;27;28;29;30},
     COUNTIFS($U$3:$U$201,$M73)&gt;0,
     COUNTIFS($V$3:$V$201,$M73)&gt;0,
     COUNTIFS($W$3:$W$201,$M73)&gt;0,
     COUNTIFS($X$3:$X$201,$M73)&gt;0,
     COUNTIFS($Y$3:$Y$201,$M73)&gt;0,
     COUNTIFS($Z$3:$Z$201,$M73)&gt;0,
     COUNTIFS($AA$3:$AA$201,$M73)&gt;0,
     COUNTIFS($AB$3:$AB$201,$M73)&gt;0,
     COUNTIFS($AC$3:$AC$201,$M73)&gt;0,
     COUNTIFS($AD$3:$AD$201,$M73)&gt;0,
     COUNTIFS($AE$3:$AE$201,$M73)&gt;0,
     COUNTIFS($AF$3:$AF$201,$M73)&gt;0,
     COUNTIFS($AG$3:$AG$201,$M73)&gt;0,
     COUNTIFS($AH$3:$AH$201,$M73)&gt;0,
     COUNTIFS($AI$3:$AI$201,$M73)&gt;0,
     COUNTIFS($AJ$3:$AJ$201,$M73)&gt;0,
     COUNTIFS($AK$3:$AK$201,$M73)&gt;0,
     COUNTIFS($AL$3:$AL$201,$M73)&gt;0,
     COUNTIFS($AM$3:$AM$201,$M73)&gt;0,
     COUNTIFS($AN$3:$AN$201,$M73)&gt;0,
     COUNTIFS($AO$3:$AO$201,$M73)&gt;0,
     COUNTIFS($AP$3:$AP$201,$M73)&gt;0,
     COUNTIFS($AQ$3:$AQ$201,$M73)&gt;0,
     COUNTIFS($AR$3:$AR$201,$M73)&gt;0,
     COUNTIFS($AS$3:$AS$201,$M73)&gt;0,
     COUNTIFS($AT$3:$AT$201,$M73)&gt;0,
     COUNTIFS($AU$3:$AU$201,$M73)&gt;0,
     COUNTIFS($AV$3:$AV$201,$M73)&gt;0,
     COUNTIFS($AW$3:$AW$201,$M73)&gt;0,
     COUNTIFS($AX$3:$AX$201,$M73)&gt;0
   )),
  ),
  2
 ),
"")</f>
        <v/>
      </c>
      <c r="Q73" s="2" t="str" cm="1">
        <f t="array" aca="1" ref="Q73" ca="1">IFERROR(
 INDEX(
  _xlfn._xlws.FILTER($U$2:$AX$2,
   TRANSPOSE(
    CHOOSE({1;2;3;4;5;6;7;8;9;10;11;12;13;14;15;16;17;18;19;20;21;22;23;24;25;26;27;28;29;30},
     COUNTIFS($U$3:$U$201,$M73)&gt;0,
     COUNTIFS($V$3:$V$201,$M73)&gt;0,
     COUNTIFS($W$3:$W$201,$M73)&gt;0,
     COUNTIFS($X$3:$X$201,$M73)&gt;0,
     COUNTIFS($Y$3:$Y$201,$M73)&gt;0,
     COUNTIFS($Z$3:$Z$201,$M73)&gt;0,
     COUNTIFS($AA$3:$AA$201,$M73)&gt;0,
     COUNTIFS($AB$3:$AB$201,$M73)&gt;0,
     COUNTIFS($AC$3:$AC$201,$M73)&gt;0,
     COUNTIFS($AD$3:$AD$201,$M73)&gt;0,
     COUNTIFS($AE$3:$AE$201,$M73)&gt;0,
     COUNTIFS($AF$3:$AF$201,$M73)&gt;0,
     COUNTIFS($AG$3:$AG$201,$M73)&gt;0,
     COUNTIFS($AH$3:$AH$201,$M73)&gt;0,
     COUNTIFS($AI$3:$AI$201,$M73)&gt;0,
     COUNTIFS($AJ$3:$AJ$201,$M73)&gt;0,
     COUNTIFS($AK$3:$AK$201,$M73)&gt;0,
     COUNTIFS($AL$3:$AL$201,$M73)&gt;0,
     COUNTIFS($AM$3:$AM$201,$M73)&gt;0,
     COUNTIFS($AN$3:$AN$201,$M73)&gt;0,
     COUNTIFS($AO$3:$AO$201,$M73)&gt;0,
     COUNTIFS($AP$3:$AP$201,$M73)&gt;0,
     COUNTIFS($AQ$3:$AQ$201,$M73)&gt;0,
     COUNTIFS($AR$3:$AR$201,$M73)&gt;0,
     COUNTIFS($AS$3:$AS$201,$M73)&gt;0,
     COUNTIFS($AT$3:$AT$201,$M73)&gt;0,
     COUNTIFS($AU$3:$AU$201,$M73)&gt;0,
     COUNTIFS($AV$3:$AV$201,$M73)&gt;0,
     COUNTIFS($AW$3:$AW$201,$M73)&gt;0,
     COUNTIFS($AX$3:$AX$201,$M73)&gt;0
   )),
  ),
  3
 ),
"")</f>
        <v/>
      </c>
      <c r="EF73" t="str">
        <f ca="1"/>
        <v>Scourge of Skola Vale</v>
      </c>
      <c r="EO73" t="str">
        <f ca="1"/>
        <v>Kayla's Command</v>
      </c>
      <c r="EP73" t="str">
        <f ca="1"/>
        <v>Terramorphic Expanse</v>
      </c>
      <c r="ET73" t="str">
        <f ca="1"/>
        <v>Golgari Signet</v>
      </c>
      <c r="EW73" t="str">
        <f ca="1"/>
        <v>Glimmer Lens</v>
      </c>
    </row>
    <row r="74" spans="1:153" x14ac:dyDescent="0.25">
      <c r="A74" t="str">
        <f ca="1"/>
        <v>Canopy Vista</v>
      </c>
      <c r="B74" s="2" t="str" cm="1">
        <f t="array" aca="1" ref="B74" ca="1">_xlfn.ANCHORARRAY(RESUMO!C73)</f>
        <v>Little</v>
      </c>
      <c r="C74" s="2" t="str">
        <f t="shared" ca="1" si="4"/>
        <v/>
      </c>
      <c r="E74" t="str">
        <f ca="1"/>
        <v>Goblin Bombardment</v>
      </c>
      <c r="F74" s="2">
        <f t="shared" ca="1" si="7"/>
        <v>1</v>
      </c>
      <c r="G74" s="2" t="str">
        <f t="shared" ca="1" si="5"/>
        <v>Baylen</v>
      </c>
      <c r="I74" s="18"/>
      <c r="J74" t="s">
        <v>180</v>
      </c>
      <c r="K74" s="2">
        <v>1</v>
      </c>
      <c r="M74" t="str">
        <f ca="1"/>
        <v>Goblin Bombardment</v>
      </c>
      <c r="N74" s="2">
        <f t="shared" ca="1" si="6"/>
        <v>1</v>
      </c>
      <c r="O74" s="2" t="str">
        <f ca="1">IFERROR(
 INDEX($U$2:$AX$2,
  MATCH(TRUE,
   CHOOSE({1;2;3;4;5;6;7;8;9;10;11;12;13;14;15;16;17;18;19;20;21;22;23;24;25;26;27;28;29;30;31;32},
    COUNTIFS($U$3:$U$201,$M74)&gt;0,
    COUNTIFS($V$3:$V$201,$M74)&gt;0,
    COUNTIFS($W$3:$W$201,$M74)&gt;0,
    COUNTIFS($X$3:$X$201,$M74)&gt;0,
    COUNTIFS($Y$3:$Y$201,$M74)&gt;0,
    COUNTIFS($Z$3:$Z$201,$M74)&gt;0,
    COUNTIFS($AA$3:$AA$201,$M74)&gt;0,
    COUNTIFS($AB$3:$AB$201,$M74)&gt;0,
    COUNTIFS($AC$3:$AC$201,$M74)&gt;0,
    COUNTIFS($AD$3:$AD$201,$M74)&gt;0,
    COUNTIFS($AE$3:$AE$201,$M74)&gt;0,
    COUNTIFS($AF$3:$AF$201,$M74)&gt;0,
    COUNTIFS($AG$3:$AG$201,$M74)&gt;0,
    COUNTIFS($AH$3:$AH$201,$M74)&gt;0,
    COUNTIFS($AI$3:$AI$201,$M74)&gt;0,
    COUNTIFS($AJ$3:$AJ$201,$M74)&gt;0,
    COUNTIFS($AK$3:$AK$201,$M74)&gt;0,
    COUNTIFS($AL$3:$AL$201,$M74)&gt;0,
    COUNTIFS($AM$3:$AM$201,$M74)&gt;0,
    COUNTIFS($AN$3:$AN$201,$M74)&gt;0,
    COUNTIFS($AO$3:$AO$201,$M74)&gt;0,
    COUNTIFS($AP$3:$AP$201,$M74)&gt;0,
    COUNTIFS($AQ$3:$AQ$201,$M74)&gt;0,
    COUNTIFS($AR$3:$AR$201,$M74)&gt;0,
    COUNTIFS($AS$3:$AS$201,$M74)&gt;0,
    COUNTIFS($AT$3:$AT$201,$M74)&gt;0,
    COUNTIFS($AU$3:$AU$201,$M74)&gt;0,
    COUNTIFS($AV$3:$AV$201,$M74)&gt;0,
    COUNTIFS($AW$3:$AW$201,$M74)&gt;0,
    COUNTIFS($AX$3:$AX$201,$M74)&gt;0
   ),
  0)
 ),
"")</f>
        <v>Baylen</v>
      </c>
      <c r="P74" s="2" t="str" cm="1">
        <f t="array" aca="1" ref="P74" ca="1">IFERROR(
 INDEX(
  _xlfn._xlws.FILTER($U$2:$AX$2,
   TRANSPOSE(
    CHOOSE({1;2;3;4;5;6;7;8;9;10;11;12;13;14;15;16;17;18;19;20;21;22;23;24;25;26;27;28;29;30},
     COUNTIFS($U$3:$U$201,$M74)&gt;0,
     COUNTIFS($V$3:$V$201,$M74)&gt;0,
     COUNTIFS($W$3:$W$201,$M74)&gt;0,
     COUNTIFS($X$3:$X$201,$M74)&gt;0,
     COUNTIFS($Y$3:$Y$201,$M74)&gt;0,
     COUNTIFS($Z$3:$Z$201,$M74)&gt;0,
     COUNTIFS($AA$3:$AA$201,$M74)&gt;0,
     COUNTIFS($AB$3:$AB$201,$M74)&gt;0,
     COUNTIFS($AC$3:$AC$201,$M74)&gt;0,
     COUNTIFS($AD$3:$AD$201,$M74)&gt;0,
     COUNTIFS($AE$3:$AE$201,$M74)&gt;0,
     COUNTIFS($AF$3:$AF$201,$M74)&gt;0,
     COUNTIFS($AG$3:$AG$201,$M74)&gt;0,
     COUNTIFS($AH$3:$AH$201,$M74)&gt;0,
     COUNTIFS($AI$3:$AI$201,$M74)&gt;0,
     COUNTIFS($AJ$3:$AJ$201,$M74)&gt;0,
     COUNTIFS($AK$3:$AK$201,$M74)&gt;0,
     COUNTIFS($AL$3:$AL$201,$M74)&gt;0,
     COUNTIFS($AM$3:$AM$201,$M74)&gt;0,
     COUNTIFS($AN$3:$AN$201,$M74)&gt;0,
     COUNTIFS($AO$3:$AO$201,$M74)&gt;0,
     COUNTIFS($AP$3:$AP$201,$M74)&gt;0,
     COUNTIFS($AQ$3:$AQ$201,$M74)&gt;0,
     COUNTIFS($AR$3:$AR$201,$M74)&gt;0,
     COUNTIFS($AS$3:$AS$201,$M74)&gt;0,
     COUNTIFS($AT$3:$AT$201,$M74)&gt;0,
     COUNTIFS($AU$3:$AU$201,$M74)&gt;0,
     COUNTIFS($AV$3:$AV$201,$M74)&gt;0,
     COUNTIFS($AW$3:$AW$201,$M74)&gt;0,
     COUNTIFS($AX$3:$AX$201,$M74)&gt;0
   )),
  ),
  2
 ),
"")</f>
        <v/>
      </c>
      <c r="Q74" s="2" t="str" cm="1">
        <f t="array" aca="1" ref="Q74" ca="1">IFERROR(
 INDEX(
  _xlfn._xlws.FILTER($U$2:$AX$2,
   TRANSPOSE(
    CHOOSE({1;2;3;4;5;6;7;8;9;10;11;12;13;14;15;16;17;18;19;20;21;22;23;24;25;26;27;28;29;30},
     COUNTIFS($U$3:$U$201,$M74)&gt;0,
     COUNTIFS($V$3:$V$201,$M74)&gt;0,
     COUNTIFS($W$3:$W$201,$M74)&gt;0,
     COUNTIFS($X$3:$X$201,$M74)&gt;0,
     COUNTIFS($Y$3:$Y$201,$M74)&gt;0,
     COUNTIFS($Z$3:$Z$201,$M74)&gt;0,
     COUNTIFS($AA$3:$AA$201,$M74)&gt;0,
     COUNTIFS($AB$3:$AB$201,$M74)&gt;0,
     COUNTIFS($AC$3:$AC$201,$M74)&gt;0,
     COUNTIFS($AD$3:$AD$201,$M74)&gt;0,
     COUNTIFS($AE$3:$AE$201,$M74)&gt;0,
     COUNTIFS($AF$3:$AF$201,$M74)&gt;0,
     COUNTIFS($AG$3:$AG$201,$M74)&gt;0,
     COUNTIFS($AH$3:$AH$201,$M74)&gt;0,
     COUNTIFS($AI$3:$AI$201,$M74)&gt;0,
     COUNTIFS($AJ$3:$AJ$201,$M74)&gt;0,
     COUNTIFS($AK$3:$AK$201,$M74)&gt;0,
     COUNTIFS($AL$3:$AL$201,$M74)&gt;0,
     COUNTIFS($AM$3:$AM$201,$M74)&gt;0,
     COUNTIFS($AN$3:$AN$201,$M74)&gt;0,
     COUNTIFS($AO$3:$AO$201,$M74)&gt;0,
     COUNTIFS($AP$3:$AP$201,$M74)&gt;0,
     COUNTIFS($AQ$3:$AQ$201,$M74)&gt;0,
     COUNTIFS($AR$3:$AR$201,$M74)&gt;0,
     COUNTIFS($AS$3:$AS$201,$M74)&gt;0,
     COUNTIFS($AT$3:$AT$201,$M74)&gt;0,
     COUNTIFS($AU$3:$AU$201,$M74)&gt;0,
     COUNTIFS($AV$3:$AV$201,$M74)&gt;0,
     COUNTIFS($AW$3:$AW$201,$M74)&gt;0,
     COUNTIFS($AX$3:$AX$201,$M74)&gt;0
   )),
  ),
  3
 ),
"")</f>
        <v/>
      </c>
      <c r="EF74" t="str">
        <f ca="1"/>
        <v>Scurry Oak</v>
      </c>
      <c r="EO74" t="str">
        <f ca="1"/>
        <v>Kazuul, Tyrant of the Cliffs</v>
      </c>
      <c r="EP74" t="str">
        <f ca="1"/>
        <v>The Immortal Sun</v>
      </c>
      <c r="ET74" t="str">
        <f ca="1"/>
        <v>Gravelighter</v>
      </c>
      <c r="EW74" t="str">
        <f ca="1"/>
        <v>Goblin Bombardment</v>
      </c>
    </row>
    <row r="75" spans="1:153" x14ac:dyDescent="0.25">
      <c r="A75" t="str">
        <f ca="1"/>
        <v>Careful Study</v>
      </c>
      <c r="B75" s="2" t="str" cm="1">
        <f t="array" aca="1" ref="B75" ca="1">_xlfn.ANCHORARRAY(RESUMO!C74)</f>
        <v>Rielle</v>
      </c>
      <c r="C75" s="2" t="str">
        <f t="shared" ca="1" si="4"/>
        <v/>
      </c>
      <c r="E75" t="str">
        <f ca="1"/>
        <v>Goblin Morningstar</v>
      </c>
      <c r="F75" s="2">
        <f t="shared" ca="1" si="7"/>
        <v>1</v>
      </c>
      <c r="G75" s="2" t="str">
        <f t="shared" ca="1" si="5"/>
        <v>Akiri</v>
      </c>
      <c r="I75" s="18"/>
      <c r="J75" t="s">
        <v>180</v>
      </c>
      <c r="K75" s="2">
        <v>1</v>
      </c>
      <c r="M75" t="str">
        <f ca="1"/>
        <v>Goblin Morningstar</v>
      </c>
      <c r="N75" s="2">
        <f t="shared" ca="1" si="6"/>
        <v>1</v>
      </c>
      <c r="O75" s="2" t="str">
        <f ca="1">IFERROR(
 INDEX($U$2:$AX$2,
  MATCH(TRUE,
   CHOOSE({1;2;3;4;5;6;7;8;9;10;11;12;13;14;15;16;17;18;19;20;21;22;23;24;25;26;27;28;29;30;31;32},
    COUNTIFS($U$3:$U$201,$M75)&gt;0,
    COUNTIFS($V$3:$V$201,$M75)&gt;0,
    COUNTIFS($W$3:$W$201,$M75)&gt;0,
    COUNTIFS($X$3:$X$201,$M75)&gt;0,
    COUNTIFS($Y$3:$Y$201,$M75)&gt;0,
    COUNTIFS($Z$3:$Z$201,$M75)&gt;0,
    COUNTIFS($AA$3:$AA$201,$M75)&gt;0,
    COUNTIFS($AB$3:$AB$201,$M75)&gt;0,
    COUNTIFS($AC$3:$AC$201,$M75)&gt;0,
    COUNTIFS($AD$3:$AD$201,$M75)&gt;0,
    COUNTIFS($AE$3:$AE$201,$M75)&gt;0,
    COUNTIFS($AF$3:$AF$201,$M75)&gt;0,
    COUNTIFS($AG$3:$AG$201,$M75)&gt;0,
    COUNTIFS($AH$3:$AH$201,$M75)&gt;0,
    COUNTIFS($AI$3:$AI$201,$M75)&gt;0,
    COUNTIFS($AJ$3:$AJ$201,$M75)&gt;0,
    COUNTIFS($AK$3:$AK$201,$M75)&gt;0,
    COUNTIFS($AL$3:$AL$201,$M75)&gt;0,
    COUNTIFS($AM$3:$AM$201,$M75)&gt;0,
    COUNTIFS($AN$3:$AN$201,$M75)&gt;0,
    COUNTIFS($AO$3:$AO$201,$M75)&gt;0,
    COUNTIFS($AP$3:$AP$201,$M75)&gt;0,
    COUNTIFS($AQ$3:$AQ$201,$M75)&gt;0,
    COUNTIFS($AR$3:$AR$201,$M75)&gt;0,
    COUNTIFS($AS$3:$AS$201,$M75)&gt;0,
    COUNTIFS($AT$3:$AT$201,$M75)&gt;0,
    COUNTIFS($AU$3:$AU$201,$M75)&gt;0,
    COUNTIFS($AV$3:$AV$201,$M75)&gt;0,
    COUNTIFS($AW$3:$AW$201,$M75)&gt;0,
    COUNTIFS($AX$3:$AX$201,$M75)&gt;0
   ),
  0)
 ),
"")</f>
        <v>Akiri</v>
      </c>
      <c r="P75" s="2" t="str" cm="1">
        <f t="array" aca="1" ref="P75" ca="1">IFERROR(
 INDEX(
  _xlfn._xlws.FILTER($U$2:$AX$2,
   TRANSPOSE(
    CHOOSE({1;2;3;4;5;6;7;8;9;10;11;12;13;14;15;16;17;18;19;20;21;22;23;24;25;26;27;28;29;30},
     COUNTIFS($U$3:$U$201,$M75)&gt;0,
     COUNTIFS($V$3:$V$201,$M75)&gt;0,
     COUNTIFS($W$3:$W$201,$M75)&gt;0,
     COUNTIFS($X$3:$X$201,$M75)&gt;0,
     COUNTIFS($Y$3:$Y$201,$M75)&gt;0,
     COUNTIFS($Z$3:$Z$201,$M75)&gt;0,
     COUNTIFS($AA$3:$AA$201,$M75)&gt;0,
     COUNTIFS($AB$3:$AB$201,$M75)&gt;0,
     COUNTIFS($AC$3:$AC$201,$M75)&gt;0,
     COUNTIFS($AD$3:$AD$201,$M75)&gt;0,
     COUNTIFS($AE$3:$AE$201,$M75)&gt;0,
     COUNTIFS($AF$3:$AF$201,$M75)&gt;0,
     COUNTIFS($AG$3:$AG$201,$M75)&gt;0,
     COUNTIFS($AH$3:$AH$201,$M75)&gt;0,
     COUNTIFS($AI$3:$AI$201,$M75)&gt;0,
     COUNTIFS($AJ$3:$AJ$201,$M75)&gt;0,
     COUNTIFS($AK$3:$AK$201,$M75)&gt;0,
     COUNTIFS($AL$3:$AL$201,$M75)&gt;0,
     COUNTIFS($AM$3:$AM$201,$M75)&gt;0,
     COUNTIFS($AN$3:$AN$201,$M75)&gt;0,
     COUNTIFS($AO$3:$AO$201,$M75)&gt;0,
     COUNTIFS($AP$3:$AP$201,$M75)&gt;0,
     COUNTIFS($AQ$3:$AQ$201,$M75)&gt;0,
     COUNTIFS($AR$3:$AR$201,$M75)&gt;0,
     COUNTIFS($AS$3:$AS$201,$M75)&gt;0,
     COUNTIFS($AT$3:$AT$201,$M75)&gt;0,
     COUNTIFS($AU$3:$AU$201,$M75)&gt;0,
     COUNTIFS($AV$3:$AV$201,$M75)&gt;0,
     COUNTIFS($AW$3:$AW$201,$M75)&gt;0,
     COUNTIFS($AX$3:$AX$201,$M75)&gt;0
   )),
  ),
  2
 ),
"")</f>
        <v/>
      </c>
      <c r="Q75" s="2" t="str" cm="1">
        <f t="array" aca="1" ref="Q75" ca="1">IFERROR(
 INDEX(
  _xlfn._xlws.FILTER($U$2:$AX$2,
   TRANSPOSE(
    CHOOSE({1;2;3;4;5;6;7;8;9;10;11;12;13;14;15;16;17;18;19;20;21;22;23;24;25;26;27;28;29;30},
     COUNTIFS($U$3:$U$201,$M75)&gt;0,
     COUNTIFS($V$3:$V$201,$M75)&gt;0,
     COUNTIFS($W$3:$W$201,$M75)&gt;0,
     COUNTIFS($X$3:$X$201,$M75)&gt;0,
     COUNTIFS($Y$3:$Y$201,$M75)&gt;0,
     COUNTIFS($Z$3:$Z$201,$M75)&gt;0,
     COUNTIFS($AA$3:$AA$201,$M75)&gt;0,
     COUNTIFS($AB$3:$AB$201,$M75)&gt;0,
     COUNTIFS($AC$3:$AC$201,$M75)&gt;0,
     COUNTIFS($AD$3:$AD$201,$M75)&gt;0,
     COUNTIFS($AE$3:$AE$201,$M75)&gt;0,
     COUNTIFS($AF$3:$AF$201,$M75)&gt;0,
     COUNTIFS($AG$3:$AG$201,$M75)&gt;0,
     COUNTIFS($AH$3:$AH$201,$M75)&gt;0,
     COUNTIFS($AI$3:$AI$201,$M75)&gt;0,
     COUNTIFS($AJ$3:$AJ$201,$M75)&gt;0,
     COUNTIFS($AK$3:$AK$201,$M75)&gt;0,
     COUNTIFS($AL$3:$AL$201,$M75)&gt;0,
     COUNTIFS($AM$3:$AM$201,$M75)&gt;0,
     COUNTIFS($AN$3:$AN$201,$M75)&gt;0,
     COUNTIFS($AO$3:$AO$201,$M75)&gt;0,
     COUNTIFS($AP$3:$AP$201,$M75)&gt;0,
     COUNTIFS($AQ$3:$AQ$201,$M75)&gt;0,
     COUNTIFS($AR$3:$AR$201,$M75)&gt;0,
     COUNTIFS($AS$3:$AS$201,$M75)&gt;0,
     COUNTIFS($AT$3:$AT$201,$M75)&gt;0,
     COUNTIFS($AU$3:$AU$201,$M75)&gt;0,
     COUNTIFS($AV$3:$AV$201,$M75)&gt;0,
     COUNTIFS($AW$3:$AW$201,$M75)&gt;0,
     COUNTIFS($AX$3:$AX$201,$M75)&gt;0
   )),
  ),
  3
 ),
"")</f>
        <v/>
      </c>
      <c r="EF75" t="str">
        <f ca="1"/>
        <v>Selesnya Sanctuary</v>
      </c>
      <c r="EO75" t="str">
        <f ca="1"/>
        <v>Kederekt Leviathan</v>
      </c>
      <c r="EP75" t="str">
        <f ca="1"/>
        <v>The Jolly Baloon Man</v>
      </c>
      <c r="ET75" t="str">
        <f ca="1"/>
        <v>Grisly Salvage</v>
      </c>
      <c r="EW75" t="str">
        <f ca="1"/>
        <v>Goblin Morningstar</v>
      </c>
    </row>
    <row r="76" spans="1:153" x14ac:dyDescent="0.25">
      <c r="A76" t="str">
        <f ca="1"/>
        <v>Castle Ardenvale</v>
      </c>
      <c r="B76" s="2" t="str" cm="1">
        <f t="array" aca="1" ref="B76" ca="1">_xlfn.ANCHORARRAY(RESUMO!C75)</f>
        <v>Baylen</v>
      </c>
      <c r="C76" s="2" t="str">
        <f t="shared" ca="1" si="4"/>
        <v/>
      </c>
      <c r="E76" t="str">
        <f ca="1"/>
        <v>Goblin Spymaster</v>
      </c>
      <c r="F76" s="2">
        <f t="shared" ca="1" si="7"/>
        <v>1</v>
      </c>
      <c r="G76" s="2" t="str">
        <f t="shared" ca="1" si="5"/>
        <v>Rani</v>
      </c>
      <c r="I76" s="18"/>
      <c r="J76" t="s">
        <v>180</v>
      </c>
      <c r="K76" s="2">
        <v>1</v>
      </c>
      <c r="M76" t="str">
        <f ca="1"/>
        <v>Goblin Spymaster</v>
      </c>
      <c r="N76" s="2">
        <f t="shared" ca="1" si="6"/>
        <v>1</v>
      </c>
      <c r="O76" s="2" t="str">
        <f ca="1">IFERROR(
 INDEX($U$2:$AX$2,
  MATCH(TRUE,
   CHOOSE({1;2;3;4;5;6;7;8;9;10;11;12;13;14;15;16;17;18;19;20;21;22;23;24;25;26;27;28;29;30;31;32},
    COUNTIFS($U$3:$U$201,$M76)&gt;0,
    COUNTIFS($V$3:$V$201,$M76)&gt;0,
    COUNTIFS($W$3:$W$201,$M76)&gt;0,
    COUNTIFS($X$3:$X$201,$M76)&gt;0,
    COUNTIFS($Y$3:$Y$201,$M76)&gt;0,
    COUNTIFS($Z$3:$Z$201,$M76)&gt;0,
    COUNTIFS($AA$3:$AA$201,$M76)&gt;0,
    COUNTIFS($AB$3:$AB$201,$M76)&gt;0,
    COUNTIFS($AC$3:$AC$201,$M76)&gt;0,
    COUNTIFS($AD$3:$AD$201,$M76)&gt;0,
    COUNTIFS($AE$3:$AE$201,$M76)&gt;0,
    COUNTIFS($AF$3:$AF$201,$M76)&gt;0,
    COUNTIFS($AG$3:$AG$201,$M76)&gt;0,
    COUNTIFS($AH$3:$AH$201,$M76)&gt;0,
    COUNTIFS($AI$3:$AI$201,$M76)&gt;0,
    COUNTIFS($AJ$3:$AJ$201,$M76)&gt;0,
    COUNTIFS($AK$3:$AK$201,$M76)&gt;0,
    COUNTIFS($AL$3:$AL$201,$M76)&gt;0,
    COUNTIFS($AM$3:$AM$201,$M76)&gt;0,
    COUNTIFS($AN$3:$AN$201,$M76)&gt;0,
    COUNTIFS($AO$3:$AO$201,$M76)&gt;0,
    COUNTIFS($AP$3:$AP$201,$M76)&gt;0,
    COUNTIFS($AQ$3:$AQ$201,$M76)&gt;0,
    COUNTIFS($AR$3:$AR$201,$M76)&gt;0,
    COUNTIFS($AS$3:$AS$201,$M76)&gt;0,
    COUNTIFS($AT$3:$AT$201,$M76)&gt;0,
    COUNTIFS($AU$3:$AU$201,$M76)&gt;0,
    COUNTIFS($AV$3:$AV$201,$M76)&gt;0,
    COUNTIFS($AW$3:$AW$201,$M76)&gt;0,
    COUNTIFS($AX$3:$AX$201,$M76)&gt;0
   ),
  0)
 ),
"")</f>
        <v>Rani</v>
      </c>
      <c r="P76" s="2" t="str" cm="1">
        <f t="array" aca="1" ref="P76" ca="1">IFERROR(
 INDEX(
  _xlfn._xlws.FILTER($U$2:$AX$2,
   TRANSPOSE(
    CHOOSE({1;2;3;4;5;6;7;8;9;10;11;12;13;14;15;16;17;18;19;20;21;22;23;24;25;26;27;28;29;30},
     COUNTIFS($U$3:$U$201,$M76)&gt;0,
     COUNTIFS($V$3:$V$201,$M76)&gt;0,
     COUNTIFS($W$3:$W$201,$M76)&gt;0,
     COUNTIFS($X$3:$X$201,$M76)&gt;0,
     COUNTIFS($Y$3:$Y$201,$M76)&gt;0,
     COUNTIFS($Z$3:$Z$201,$M76)&gt;0,
     COUNTIFS($AA$3:$AA$201,$M76)&gt;0,
     COUNTIFS($AB$3:$AB$201,$M76)&gt;0,
     COUNTIFS($AC$3:$AC$201,$M76)&gt;0,
     COUNTIFS($AD$3:$AD$201,$M76)&gt;0,
     COUNTIFS($AE$3:$AE$201,$M76)&gt;0,
     COUNTIFS($AF$3:$AF$201,$M76)&gt;0,
     COUNTIFS($AG$3:$AG$201,$M76)&gt;0,
     COUNTIFS($AH$3:$AH$201,$M76)&gt;0,
     COUNTIFS($AI$3:$AI$201,$M76)&gt;0,
     COUNTIFS($AJ$3:$AJ$201,$M76)&gt;0,
     COUNTIFS($AK$3:$AK$201,$M76)&gt;0,
     COUNTIFS($AL$3:$AL$201,$M76)&gt;0,
     COUNTIFS($AM$3:$AM$201,$M76)&gt;0,
     COUNTIFS($AN$3:$AN$201,$M76)&gt;0,
     COUNTIFS($AO$3:$AO$201,$M76)&gt;0,
     COUNTIFS($AP$3:$AP$201,$M76)&gt;0,
     COUNTIFS($AQ$3:$AQ$201,$M76)&gt;0,
     COUNTIFS($AR$3:$AR$201,$M76)&gt;0,
     COUNTIFS($AS$3:$AS$201,$M76)&gt;0,
     COUNTIFS($AT$3:$AT$201,$M76)&gt;0,
     COUNTIFS($AU$3:$AU$201,$M76)&gt;0,
     COUNTIFS($AV$3:$AV$201,$M76)&gt;0,
     COUNTIFS($AW$3:$AW$201,$M76)&gt;0,
     COUNTIFS($AX$3:$AX$201,$M76)&gt;0
   )),
  ),
  2
 ),
"")</f>
        <v/>
      </c>
      <c r="Q76" s="2" t="str" cm="1">
        <f t="array" aca="1" ref="Q76" ca="1">IFERROR(
 INDEX(
  _xlfn._xlws.FILTER($U$2:$AX$2,
   TRANSPOSE(
    CHOOSE({1;2;3;4;5;6;7;8;9;10;11;12;13;14;15;16;17;18;19;20;21;22;23;24;25;26;27;28;29;30},
     COUNTIFS($U$3:$U$201,$M76)&gt;0,
     COUNTIFS($V$3:$V$201,$M76)&gt;0,
     COUNTIFS($W$3:$W$201,$M76)&gt;0,
     COUNTIFS($X$3:$X$201,$M76)&gt;0,
     COUNTIFS($Y$3:$Y$201,$M76)&gt;0,
     COUNTIFS($Z$3:$Z$201,$M76)&gt;0,
     COUNTIFS($AA$3:$AA$201,$M76)&gt;0,
     COUNTIFS($AB$3:$AB$201,$M76)&gt;0,
     COUNTIFS($AC$3:$AC$201,$M76)&gt;0,
     COUNTIFS($AD$3:$AD$201,$M76)&gt;0,
     COUNTIFS($AE$3:$AE$201,$M76)&gt;0,
     COUNTIFS($AF$3:$AF$201,$M76)&gt;0,
     COUNTIFS($AG$3:$AG$201,$M76)&gt;0,
     COUNTIFS($AH$3:$AH$201,$M76)&gt;0,
     COUNTIFS($AI$3:$AI$201,$M76)&gt;0,
     COUNTIFS($AJ$3:$AJ$201,$M76)&gt;0,
     COUNTIFS($AK$3:$AK$201,$M76)&gt;0,
     COUNTIFS($AL$3:$AL$201,$M76)&gt;0,
     COUNTIFS($AM$3:$AM$201,$M76)&gt;0,
     COUNTIFS($AN$3:$AN$201,$M76)&gt;0,
     COUNTIFS($AO$3:$AO$201,$M76)&gt;0,
     COUNTIFS($AP$3:$AP$201,$M76)&gt;0,
     COUNTIFS($AQ$3:$AQ$201,$M76)&gt;0,
     COUNTIFS($AR$3:$AR$201,$M76)&gt;0,
     COUNTIFS($AS$3:$AS$201,$M76)&gt;0,
     COUNTIFS($AT$3:$AT$201,$M76)&gt;0,
     COUNTIFS($AU$3:$AU$201,$M76)&gt;0,
     COUNTIFS($AV$3:$AV$201,$M76)&gt;0,
     COUNTIFS($AW$3:$AW$201,$M76)&gt;0,
     COUNTIFS($AX$3:$AX$201,$M76)&gt;0
   )),
  ),
  3
 ),
"")</f>
        <v/>
      </c>
      <c r="EF76" t="str">
        <f ca="1"/>
        <v>Shiny Impetus</v>
      </c>
      <c r="EO76" t="str">
        <f ca="1"/>
        <v>Krosan Grip</v>
      </c>
      <c r="EP76" t="str">
        <f ca="1"/>
        <v>Thirst for Knowledge</v>
      </c>
      <c r="ET76" t="str">
        <f ca="1"/>
        <v>Grismold, the Dreadsower</v>
      </c>
      <c r="EW76" t="str">
        <f ca="1"/>
        <v>Goblin Spymaster</v>
      </c>
    </row>
    <row r="77" spans="1:153" x14ac:dyDescent="0.25">
      <c r="A77" t="str">
        <f ca="1"/>
        <v>Cauldron of Souls</v>
      </c>
      <c r="B77" s="2" t="str" cm="1">
        <f t="array" aca="1" ref="B77" ca="1">_xlfn.ANCHORARRAY(RESUMO!C76)</f>
        <v>Ool</v>
      </c>
      <c r="C77" s="2" t="str">
        <f t="shared" ca="1" si="4"/>
        <v/>
      </c>
      <c r="E77" t="str">
        <f ca="1"/>
        <v>Golgari Signet</v>
      </c>
      <c r="F77" s="2">
        <f t="shared" ca="1" si="7"/>
        <v>1</v>
      </c>
      <c r="G77" s="2" t="str">
        <f t="shared" ca="1" si="5"/>
        <v>Gritrog</v>
      </c>
      <c r="I77" s="18"/>
      <c r="J77" t="s">
        <v>180</v>
      </c>
      <c r="K77" s="2">
        <v>1</v>
      </c>
      <c r="M77" t="str">
        <f ca="1"/>
        <v>Golgari Signet</v>
      </c>
      <c r="N77" s="2">
        <f t="shared" ca="1" si="6"/>
        <v>1</v>
      </c>
      <c r="O77" s="2" t="str">
        <f ca="1">IFERROR(
 INDEX($U$2:$AX$2,
  MATCH(TRUE,
   CHOOSE({1;2;3;4;5;6;7;8;9;10;11;12;13;14;15;16;17;18;19;20;21;22;23;24;25;26;27;28;29;30;31;32},
    COUNTIFS($U$3:$U$201,$M77)&gt;0,
    COUNTIFS($V$3:$V$201,$M77)&gt;0,
    COUNTIFS($W$3:$W$201,$M77)&gt;0,
    COUNTIFS($X$3:$X$201,$M77)&gt;0,
    COUNTIFS($Y$3:$Y$201,$M77)&gt;0,
    COUNTIFS($Z$3:$Z$201,$M77)&gt;0,
    COUNTIFS($AA$3:$AA$201,$M77)&gt;0,
    COUNTIFS($AB$3:$AB$201,$M77)&gt;0,
    COUNTIFS($AC$3:$AC$201,$M77)&gt;0,
    COUNTIFS($AD$3:$AD$201,$M77)&gt;0,
    COUNTIFS($AE$3:$AE$201,$M77)&gt;0,
    COUNTIFS($AF$3:$AF$201,$M77)&gt;0,
    COUNTIFS($AG$3:$AG$201,$M77)&gt;0,
    COUNTIFS($AH$3:$AH$201,$M77)&gt;0,
    COUNTIFS($AI$3:$AI$201,$M77)&gt;0,
    COUNTIFS($AJ$3:$AJ$201,$M77)&gt;0,
    COUNTIFS($AK$3:$AK$201,$M77)&gt;0,
    COUNTIFS($AL$3:$AL$201,$M77)&gt;0,
    COUNTIFS($AM$3:$AM$201,$M77)&gt;0,
    COUNTIFS($AN$3:$AN$201,$M77)&gt;0,
    COUNTIFS($AO$3:$AO$201,$M77)&gt;0,
    COUNTIFS($AP$3:$AP$201,$M77)&gt;0,
    COUNTIFS($AQ$3:$AQ$201,$M77)&gt;0,
    COUNTIFS($AR$3:$AR$201,$M77)&gt;0,
    COUNTIFS($AS$3:$AS$201,$M77)&gt;0,
    COUNTIFS($AT$3:$AT$201,$M77)&gt;0,
    COUNTIFS($AU$3:$AU$201,$M77)&gt;0,
    COUNTIFS($AV$3:$AV$201,$M77)&gt;0,
    COUNTIFS($AW$3:$AW$201,$M77)&gt;0,
    COUNTIFS($AX$3:$AX$201,$M77)&gt;0
   ),
  0)
 ),
"")</f>
        <v>Gritrog</v>
      </c>
      <c r="P77" s="2" t="str" cm="1">
        <f t="array" aca="1" ref="P77" ca="1">IFERROR(
 INDEX(
  _xlfn._xlws.FILTER($U$2:$AX$2,
   TRANSPOSE(
    CHOOSE({1;2;3;4;5;6;7;8;9;10;11;12;13;14;15;16;17;18;19;20;21;22;23;24;25;26;27;28;29;30},
     COUNTIFS($U$3:$U$201,$M77)&gt;0,
     COUNTIFS($V$3:$V$201,$M77)&gt;0,
     COUNTIFS($W$3:$W$201,$M77)&gt;0,
     COUNTIFS($X$3:$X$201,$M77)&gt;0,
     COUNTIFS($Y$3:$Y$201,$M77)&gt;0,
     COUNTIFS($Z$3:$Z$201,$M77)&gt;0,
     COUNTIFS($AA$3:$AA$201,$M77)&gt;0,
     COUNTIFS($AB$3:$AB$201,$M77)&gt;0,
     COUNTIFS($AC$3:$AC$201,$M77)&gt;0,
     COUNTIFS($AD$3:$AD$201,$M77)&gt;0,
     COUNTIFS($AE$3:$AE$201,$M77)&gt;0,
     COUNTIFS($AF$3:$AF$201,$M77)&gt;0,
     COUNTIFS($AG$3:$AG$201,$M77)&gt;0,
     COUNTIFS($AH$3:$AH$201,$M77)&gt;0,
     COUNTIFS($AI$3:$AI$201,$M77)&gt;0,
     COUNTIFS($AJ$3:$AJ$201,$M77)&gt;0,
     COUNTIFS($AK$3:$AK$201,$M77)&gt;0,
     COUNTIFS($AL$3:$AL$201,$M77)&gt;0,
     COUNTIFS($AM$3:$AM$201,$M77)&gt;0,
     COUNTIFS($AN$3:$AN$201,$M77)&gt;0,
     COUNTIFS($AO$3:$AO$201,$M77)&gt;0,
     COUNTIFS($AP$3:$AP$201,$M77)&gt;0,
     COUNTIFS($AQ$3:$AQ$201,$M77)&gt;0,
     COUNTIFS($AR$3:$AR$201,$M77)&gt;0,
     COUNTIFS($AS$3:$AS$201,$M77)&gt;0,
     COUNTIFS($AT$3:$AT$201,$M77)&gt;0,
     COUNTIFS($AU$3:$AU$201,$M77)&gt;0,
     COUNTIFS($AV$3:$AV$201,$M77)&gt;0,
     COUNTIFS($AW$3:$AW$201,$M77)&gt;0,
     COUNTIFS($AX$3:$AX$201,$M77)&gt;0
   )),
  ),
  2
 ),
"")</f>
        <v/>
      </c>
      <c r="Q77" s="2" t="str" cm="1">
        <f t="array" aca="1" ref="Q77" ca="1">IFERROR(
 INDEX(
  _xlfn._xlws.FILTER($U$2:$AX$2,
   TRANSPOSE(
    CHOOSE({1;2;3;4;5;6;7;8;9;10;11;12;13;14;15;16;17;18;19;20;21;22;23;24;25;26;27;28;29;30},
     COUNTIFS($U$3:$U$201,$M77)&gt;0,
     COUNTIFS($V$3:$V$201,$M77)&gt;0,
     COUNTIFS($W$3:$W$201,$M77)&gt;0,
     COUNTIFS($X$3:$X$201,$M77)&gt;0,
     COUNTIFS($Y$3:$Y$201,$M77)&gt;0,
     COUNTIFS($Z$3:$Z$201,$M77)&gt;0,
     COUNTIFS($AA$3:$AA$201,$M77)&gt;0,
     COUNTIFS($AB$3:$AB$201,$M77)&gt;0,
     COUNTIFS($AC$3:$AC$201,$M77)&gt;0,
     COUNTIFS($AD$3:$AD$201,$M77)&gt;0,
     COUNTIFS($AE$3:$AE$201,$M77)&gt;0,
     COUNTIFS($AF$3:$AF$201,$M77)&gt;0,
     COUNTIFS($AG$3:$AG$201,$M77)&gt;0,
     COUNTIFS($AH$3:$AH$201,$M77)&gt;0,
     COUNTIFS($AI$3:$AI$201,$M77)&gt;0,
     COUNTIFS($AJ$3:$AJ$201,$M77)&gt;0,
     COUNTIFS($AK$3:$AK$201,$M77)&gt;0,
     COUNTIFS($AL$3:$AL$201,$M77)&gt;0,
     COUNTIFS($AM$3:$AM$201,$M77)&gt;0,
     COUNTIFS($AN$3:$AN$201,$M77)&gt;0,
     COUNTIFS($AO$3:$AO$201,$M77)&gt;0,
     COUNTIFS($AP$3:$AP$201,$M77)&gt;0,
     COUNTIFS($AQ$3:$AQ$201,$M77)&gt;0,
     COUNTIFS($AR$3:$AR$201,$M77)&gt;0,
     COUNTIFS($AS$3:$AS$201,$M77)&gt;0,
     COUNTIFS($AT$3:$AT$201,$M77)&gt;0,
     COUNTIFS($AU$3:$AU$201,$M77)&gt;0,
     COUNTIFS($AV$3:$AV$201,$M77)&gt;0,
     COUNTIFS($AW$3:$AW$201,$M77)&gt;0,
     COUNTIFS($AX$3:$AX$201,$M77)&gt;0
   )),
  ),
  3
 ),
"")</f>
        <v/>
      </c>
      <c r="EF77" t="str">
        <f ca="1"/>
        <v>Shortcut to Mushrooms</v>
      </c>
      <c r="EO77" t="str">
        <f ca="1"/>
        <v>Kusari-Gama</v>
      </c>
      <c r="EP77" t="str">
        <f ca="1"/>
        <v>Walking Ballista</v>
      </c>
      <c r="ET77" t="str">
        <f ca="1"/>
        <v>Gruul Turf</v>
      </c>
      <c r="EW77" t="str">
        <f ca="1"/>
        <v>Golgari Signet</v>
      </c>
    </row>
    <row r="78" spans="1:153" x14ac:dyDescent="0.25">
      <c r="A78" t="str">
        <f ca="1"/>
        <v>Cavern of Souls</v>
      </c>
      <c r="B78" s="2" t="str" cm="1">
        <f t="array" aca="1" ref="B78" ca="1">_xlfn.ANCHORARRAY(RESUMO!C77)</f>
        <v>Fractius</v>
      </c>
      <c r="C78" s="2" t="str">
        <f t="shared" ca="1" si="4"/>
        <v/>
      </c>
      <c r="E78" t="str">
        <f ca="1"/>
        <v>Gravelighter</v>
      </c>
      <c r="F78" s="2">
        <f t="shared" ca="1" si="7"/>
        <v>1</v>
      </c>
      <c r="G78" s="2" t="str">
        <f t="shared" ca="1" si="5"/>
        <v>Kresh</v>
      </c>
      <c r="I78" s="18"/>
      <c r="J78" t="s">
        <v>180</v>
      </c>
      <c r="K78" s="2">
        <v>1</v>
      </c>
      <c r="M78" t="str">
        <f ca="1"/>
        <v>Gravelighter</v>
      </c>
      <c r="N78" s="2">
        <f t="shared" ca="1" si="6"/>
        <v>1</v>
      </c>
      <c r="O78" s="2" t="str">
        <f ca="1">IFERROR(
 INDEX($U$2:$AX$2,
  MATCH(TRUE,
   CHOOSE({1;2;3;4;5;6;7;8;9;10;11;12;13;14;15;16;17;18;19;20;21;22;23;24;25;26;27;28;29;30;31;32},
    COUNTIFS($U$3:$U$201,$M78)&gt;0,
    COUNTIFS($V$3:$V$201,$M78)&gt;0,
    COUNTIFS($W$3:$W$201,$M78)&gt;0,
    COUNTIFS($X$3:$X$201,$M78)&gt;0,
    COUNTIFS($Y$3:$Y$201,$M78)&gt;0,
    COUNTIFS($Z$3:$Z$201,$M78)&gt;0,
    COUNTIFS($AA$3:$AA$201,$M78)&gt;0,
    COUNTIFS($AB$3:$AB$201,$M78)&gt;0,
    COUNTIFS($AC$3:$AC$201,$M78)&gt;0,
    COUNTIFS($AD$3:$AD$201,$M78)&gt;0,
    COUNTIFS($AE$3:$AE$201,$M78)&gt;0,
    COUNTIFS($AF$3:$AF$201,$M78)&gt;0,
    COUNTIFS($AG$3:$AG$201,$M78)&gt;0,
    COUNTIFS($AH$3:$AH$201,$M78)&gt;0,
    COUNTIFS($AI$3:$AI$201,$M78)&gt;0,
    COUNTIFS($AJ$3:$AJ$201,$M78)&gt;0,
    COUNTIFS($AK$3:$AK$201,$M78)&gt;0,
    COUNTIFS($AL$3:$AL$201,$M78)&gt;0,
    COUNTIFS($AM$3:$AM$201,$M78)&gt;0,
    COUNTIFS($AN$3:$AN$201,$M78)&gt;0,
    COUNTIFS($AO$3:$AO$201,$M78)&gt;0,
    COUNTIFS($AP$3:$AP$201,$M78)&gt;0,
    COUNTIFS($AQ$3:$AQ$201,$M78)&gt;0,
    COUNTIFS($AR$3:$AR$201,$M78)&gt;0,
    COUNTIFS($AS$3:$AS$201,$M78)&gt;0,
    COUNTIFS($AT$3:$AT$201,$M78)&gt;0,
    COUNTIFS($AU$3:$AU$201,$M78)&gt;0,
    COUNTIFS($AV$3:$AV$201,$M78)&gt;0,
    COUNTIFS($AW$3:$AW$201,$M78)&gt;0,
    COUNTIFS($AX$3:$AX$201,$M78)&gt;0
   ),
  0)
 ),
"")</f>
        <v>Kresh</v>
      </c>
      <c r="P78" s="2" t="str" cm="1">
        <f t="array" aca="1" ref="P78" ca="1">IFERROR(
 INDEX(
  _xlfn._xlws.FILTER($U$2:$AX$2,
   TRANSPOSE(
    CHOOSE({1;2;3;4;5;6;7;8;9;10;11;12;13;14;15;16;17;18;19;20;21;22;23;24;25;26;27;28;29;30},
     COUNTIFS($U$3:$U$201,$M78)&gt;0,
     COUNTIFS($V$3:$V$201,$M78)&gt;0,
     COUNTIFS($W$3:$W$201,$M78)&gt;0,
     COUNTIFS($X$3:$X$201,$M78)&gt;0,
     COUNTIFS($Y$3:$Y$201,$M78)&gt;0,
     COUNTIFS($Z$3:$Z$201,$M78)&gt;0,
     COUNTIFS($AA$3:$AA$201,$M78)&gt;0,
     COUNTIFS($AB$3:$AB$201,$M78)&gt;0,
     COUNTIFS($AC$3:$AC$201,$M78)&gt;0,
     COUNTIFS($AD$3:$AD$201,$M78)&gt;0,
     COUNTIFS($AE$3:$AE$201,$M78)&gt;0,
     COUNTIFS($AF$3:$AF$201,$M78)&gt;0,
     COUNTIFS($AG$3:$AG$201,$M78)&gt;0,
     COUNTIFS($AH$3:$AH$201,$M78)&gt;0,
     COUNTIFS($AI$3:$AI$201,$M78)&gt;0,
     COUNTIFS($AJ$3:$AJ$201,$M78)&gt;0,
     COUNTIFS($AK$3:$AK$201,$M78)&gt;0,
     COUNTIFS($AL$3:$AL$201,$M78)&gt;0,
     COUNTIFS($AM$3:$AM$201,$M78)&gt;0,
     COUNTIFS($AN$3:$AN$201,$M78)&gt;0,
     COUNTIFS($AO$3:$AO$201,$M78)&gt;0,
     COUNTIFS($AP$3:$AP$201,$M78)&gt;0,
     COUNTIFS($AQ$3:$AQ$201,$M78)&gt;0,
     COUNTIFS($AR$3:$AR$201,$M78)&gt;0,
     COUNTIFS($AS$3:$AS$201,$M78)&gt;0,
     COUNTIFS($AT$3:$AT$201,$M78)&gt;0,
     COUNTIFS($AU$3:$AU$201,$M78)&gt;0,
     COUNTIFS($AV$3:$AV$201,$M78)&gt;0,
     COUNTIFS($AW$3:$AW$201,$M78)&gt;0,
     COUNTIFS($AX$3:$AX$201,$M78)&gt;0
   )),
  ),
  2
 ),
"")</f>
        <v/>
      </c>
      <c r="Q78" s="2" t="str" cm="1">
        <f t="array" aca="1" ref="Q78" ca="1">IFERROR(
 INDEX(
  _xlfn._xlws.FILTER($U$2:$AX$2,
   TRANSPOSE(
    CHOOSE({1;2;3;4;5;6;7;8;9;10;11;12;13;14;15;16;17;18;19;20;21;22;23;24;25;26;27;28;29;30},
     COUNTIFS($U$3:$U$201,$M78)&gt;0,
     COUNTIFS($V$3:$V$201,$M78)&gt;0,
     COUNTIFS($W$3:$W$201,$M78)&gt;0,
     COUNTIFS($X$3:$X$201,$M78)&gt;0,
     COUNTIFS($Y$3:$Y$201,$M78)&gt;0,
     COUNTIFS($Z$3:$Z$201,$M78)&gt;0,
     COUNTIFS($AA$3:$AA$201,$M78)&gt;0,
     COUNTIFS($AB$3:$AB$201,$M78)&gt;0,
     COUNTIFS($AC$3:$AC$201,$M78)&gt;0,
     COUNTIFS($AD$3:$AD$201,$M78)&gt;0,
     COUNTIFS($AE$3:$AE$201,$M78)&gt;0,
     COUNTIFS($AF$3:$AF$201,$M78)&gt;0,
     COUNTIFS($AG$3:$AG$201,$M78)&gt;0,
     COUNTIFS($AH$3:$AH$201,$M78)&gt;0,
     COUNTIFS($AI$3:$AI$201,$M78)&gt;0,
     COUNTIFS($AJ$3:$AJ$201,$M78)&gt;0,
     COUNTIFS($AK$3:$AK$201,$M78)&gt;0,
     COUNTIFS($AL$3:$AL$201,$M78)&gt;0,
     COUNTIFS($AM$3:$AM$201,$M78)&gt;0,
     COUNTIFS($AN$3:$AN$201,$M78)&gt;0,
     COUNTIFS($AO$3:$AO$201,$M78)&gt;0,
     COUNTIFS($AP$3:$AP$201,$M78)&gt;0,
     COUNTIFS($AQ$3:$AQ$201,$M78)&gt;0,
     COUNTIFS($AR$3:$AR$201,$M78)&gt;0,
     COUNTIFS($AS$3:$AS$201,$M78)&gt;0,
     COUNTIFS($AT$3:$AT$201,$M78)&gt;0,
     COUNTIFS($AU$3:$AU$201,$M78)&gt;0,
     COUNTIFS($AV$3:$AV$201,$M78)&gt;0,
     COUNTIFS($AW$3:$AW$201,$M78)&gt;0,
     COUNTIFS($AX$3:$AX$201,$M78)&gt;0
   )),
  ),
  3
 ),
"")</f>
        <v/>
      </c>
      <c r="EF78" t="str">
        <f ca="1"/>
        <v>Simian Simulacrum</v>
      </c>
      <c r="EO78" t="str">
        <f ca="1"/>
        <v>Life Insurance</v>
      </c>
      <c r="EP78" t="str">
        <f ca="1"/>
        <v>Wizard's Retort</v>
      </c>
      <c r="ET78" t="str">
        <f ca="1"/>
        <v>Hadana's Climb</v>
      </c>
      <c r="EW78" t="str">
        <f ca="1"/>
        <v>Gravelighter</v>
      </c>
    </row>
    <row r="79" spans="1:153" x14ac:dyDescent="0.25">
      <c r="A79" t="str">
        <f ca="1"/>
        <v>Caves of Koilos</v>
      </c>
      <c r="B79" s="2" t="str" cm="1">
        <f t="array" aca="1" ref="B79" ca="1">_xlfn.ANCHORARRAY(RESUMO!C78)</f>
        <v>Tayam</v>
      </c>
      <c r="C79" s="2" t="str">
        <f t="shared" ca="1" si="4"/>
        <v/>
      </c>
      <c r="E79" t="str">
        <f ca="1"/>
        <v>Grisly Salvage</v>
      </c>
      <c r="F79" s="2">
        <f t="shared" ca="1" si="7"/>
        <v>1</v>
      </c>
      <c r="G79" s="2" t="str">
        <f t="shared" ca="1" si="5"/>
        <v>Gritrog</v>
      </c>
      <c r="I79" s="18"/>
      <c r="J79" t="s">
        <v>180</v>
      </c>
      <c r="K79" s="2">
        <v>1</v>
      </c>
      <c r="M79" t="str">
        <f ca="1"/>
        <v>Grisly Salvage</v>
      </c>
      <c r="N79" s="2">
        <f t="shared" ca="1" si="6"/>
        <v>1</v>
      </c>
      <c r="O79" s="2" t="str">
        <f ca="1">IFERROR(
 INDEX($U$2:$AX$2,
  MATCH(TRUE,
   CHOOSE({1;2;3;4;5;6;7;8;9;10;11;12;13;14;15;16;17;18;19;20;21;22;23;24;25;26;27;28;29;30;31;32},
    COUNTIFS($U$3:$U$201,$M79)&gt;0,
    COUNTIFS($V$3:$V$201,$M79)&gt;0,
    COUNTIFS($W$3:$W$201,$M79)&gt;0,
    COUNTIFS($X$3:$X$201,$M79)&gt;0,
    COUNTIFS($Y$3:$Y$201,$M79)&gt;0,
    COUNTIFS($Z$3:$Z$201,$M79)&gt;0,
    COUNTIFS($AA$3:$AA$201,$M79)&gt;0,
    COUNTIFS($AB$3:$AB$201,$M79)&gt;0,
    COUNTIFS($AC$3:$AC$201,$M79)&gt;0,
    COUNTIFS($AD$3:$AD$201,$M79)&gt;0,
    COUNTIFS($AE$3:$AE$201,$M79)&gt;0,
    COUNTIFS($AF$3:$AF$201,$M79)&gt;0,
    COUNTIFS($AG$3:$AG$201,$M79)&gt;0,
    COUNTIFS($AH$3:$AH$201,$M79)&gt;0,
    COUNTIFS($AI$3:$AI$201,$M79)&gt;0,
    COUNTIFS($AJ$3:$AJ$201,$M79)&gt;0,
    COUNTIFS($AK$3:$AK$201,$M79)&gt;0,
    COUNTIFS($AL$3:$AL$201,$M79)&gt;0,
    COUNTIFS($AM$3:$AM$201,$M79)&gt;0,
    COUNTIFS($AN$3:$AN$201,$M79)&gt;0,
    COUNTIFS($AO$3:$AO$201,$M79)&gt;0,
    COUNTIFS($AP$3:$AP$201,$M79)&gt;0,
    COUNTIFS($AQ$3:$AQ$201,$M79)&gt;0,
    COUNTIFS($AR$3:$AR$201,$M79)&gt;0,
    COUNTIFS($AS$3:$AS$201,$M79)&gt;0,
    COUNTIFS($AT$3:$AT$201,$M79)&gt;0,
    COUNTIFS($AU$3:$AU$201,$M79)&gt;0,
    COUNTIFS($AV$3:$AV$201,$M79)&gt;0,
    COUNTIFS($AW$3:$AW$201,$M79)&gt;0,
    COUNTIFS($AX$3:$AX$201,$M79)&gt;0
   ),
  0)
 ),
"")</f>
        <v>Gritrog</v>
      </c>
      <c r="P79" s="2" t="str" cm="1">
        <f t="array" aca="1" ref="P79" ca="1">IFERROR(
 INDEX(
  _xlfn._xlws.FILTER($U$2:$AX$2,
   TRANSPOSE(
    CHOOSE({1;2;3;4;5;6;7;8;9;10;11;12;13;14;15;16;17;18;19;20;21;22;23;24;25;26;27;28;29;30},
     COUNTIFS($U$3:$U$201,$M79)&gt;0,
     COUNTIFS($V$3:$V$201,$M79)&gt;0,
     COUNTIFS($W$3:$W$201,$M79)&gt;0,
     COUNTIFS($X$3:$X$201,$M79)&gt;0,
     COUNTIFS($Y$3:$Y$201,$M79)&gt;0,
     COUNTIFS($Z$3:$Z$201,$M79)&gt;0,
     COUNTIFS($AA$3:$AA$201,$M79)&gt;0,
     COUNTIFS($AB$3:$AB$201,$M79)&gt;0,
     COUNTIFS($AC$3:$AC$201,$M79)&gt;0,
     COUNTIFS($AD$3:$AD$201,$M79)&gt;0,
     COUNTIFS($AE$3:$AE$201,$M79)&gt;0,
     COUNTIFS($AF$3:$AF$201,$M79)&gt;0,
     COUNTIFS($AG$3:$AG$201,$M79)&gt;0,
     COUNTIFS($AH$3:$AH$201,$M79)&gt;0,
     COUNTIFS($AI$3:$AI$201,$M79)&gt;0,
     COUNTIFS($AJ$3:$AJ$201,$M79)&gt;0,
     COUNTIFS($AK$3:$AK$201,$M79)&gt;0,
     COUNTIFS($AL$3:$AL$201,$M79)&gt;0,
     COUNTIFS($AM$3:$AM$201,$M79)&gt;0,
     COUNTIFS($AN$3:$AN$201,$M79)&gt;0,
     COUNTIFS($AO$3:$AO$201,$M79)&gt;0,
     COUNTIFS($AP$3:$AP$201,$M79)&gt;0,
     COUNTIFS($AQ$3:$AQ$201,$M79)&gt;0,
     COUNTIFS($AR$3:$AR$201,$M79)&gt;0,
     COUNTIFS($AS$3:$AS$201,$M79)&gt;0,
     COUNTIFS($AT$3:$AT$201,$M79)&gt;0,
     COUNTIFS($AU$3:$AU$201,$M79)&gt;0,
     COUNTIFS($AV$3:$AV$201,$M79)&gt;0,
     COUNTIFS($AW$3:$AW$201,$M79)&gt;0,
     COUNTIFS($AX$3:$AX$201,$M79)&gt;0
   )),
  ),
  2
 ),
"")</f>
        <v/>
      </c>
      <c r="Q79" s="2" t="str" cm="1">
        <f t="array" aca="1" ref="Q79" ca="1">IFERROR(
 INDEX(
  _xlfn._xlws.FILTER($U$2:$AX$2,
   TRANSPOSE(
    CHOOSE({1;2;3;4;5;6;7;8;9;10;11;12;13;14;15;16;17;18;19;20;21;22;23;24;25;26;27;28;29;30},
     COUNTIFS($U$3:$U$201,$M79)&gt;0,
     COUNTIFS($V$3:$V$201,$M79)&gt;0,
     COUNTIFS($W$3:$W$201,$M79)&gt;0,
     COUNTIFS($X$3:$X$201,$M79)&gt;0,
     COUNTIFS($Y$3:$Y$201,$M79)&gt;0,
     COUNTIFS($Z$3:$Z$201,$M79)&gt;0,
     COUNTIFS($AA$3:$AA$201,$M79)&gt;0,
     COUNTIFS($AB$3:$AB$201,$M79)&gt;0,
     COUNTIFS($AC$3:$AC$201,$M79)&gt;0,
     COUNTIFS($AD$3:$AD$201,$M79)&gt;0,
     COUNTIFS($AE$3:$AE$201,$M79)&gt;0,
     COUNTIFS($AF$3:$AF$201,$M79)&gt;0,
     COUNTIFS($AG$3:$AG$201,$M79)&gt;0,
     COUNTIFS($AH$3:$AH$201,$M79)&gt;0,
     COUNTIFS($AI$3:$AI$201,$M79)&gt;0,
     COUNTIFS($AJ$3:$AJ$201,$M79)&gt;0,
     COUNTIFS($AK$3:$AK$201,$M79)&gt;0,
     COUNTIFS($AL$3:$AL$201,$M79)&gt;0,
     COUNTIFS($AM$3:$AM$201,$M79)&gt;0,
     COUNTIFS($AN$3:$AN$201,$M79)&gt;0,
     COUNTIFS($AO$3:$AO$201,$M79)&gt;0,
     COUNTIFS($AP$3:$AP$201,$M79)&gt;0,
     COUNTIFS($AQ$3:$AQ$201,$M79)&gt;0,
     COUNTIFS($AR$3:$AR$201,$M79)&gt;0,
     COUNTIFS($AS$3:$AS$201,$M79)&gt;0,
     COUNTIFS($AT$3:$AT$201,$M79)&gt;0,
     COUNTIFS($AU$3:$AU$201,$M79)&gt;0,
     COUNTIFS($AV$3:$AV$201,$M79)&gt;0,
     COUNTIFS($AW$3:$AW$201,$M79)&gt;0,
     COUNTIFS($AX$3:$AX$201,$M79)&gt;0
   )),
  ),
  3
 ),
"")</f>
        <v/>
      </c>
      <c r="EF79" t="str">
        <f ca="1"/>
        <v>Solidarity of Heroes</v>
      </c>
      <c r="EO79" t="str">
        <f ca="1"/>
        <v>Lifecrafter's Bestiary</v>
      </c>
      <c r="EP79" t="e">
        <f ca="1"/>
        <v>#REF!</v>
      </c>
      <c r="ET79" t="str">
        <f ca="1"/>
        <v>Harrow</v>
      </c>
      <c r="EW79" t="str">
        <f ca="1"/>
        <v>Grisly Salvage</v>
      </c>
    </row>
    <row r="80" spans="1:153" x14ac:dyDescent="0.25">
      <c r="A80" t="str">
        <f ca="1"/>
        <v>Champion of Lambholt</v>
      </c>
      <c r="B80" s="2" t="str" cm="1">
        <f t="array" aca="1" ref="B80" ca="1">_xlfn.ANCHORARRAY(RESUMO!C79)</f>
        <v>Tayam</v>
      </c>
      <c r="C80" s="2" t="str">
        <f t="shared" ca="1" si="4"/>
        <v/>
      </c>
      <c r="E80" t="str">
        <f ca="1"/>
        <v>Grismold, the Dreadsower</v>
      </c>
      <c r="F80" s="2">
        <f t="shared" ca="1" si="7"/>
        <v>1</v>
      </c>
      <c r="G80" s="2" t="str">
        <f t="shared" ca="1" si="5"/>
        <v>Tayam</v>
      </c>
      <c r="I80" s="18"/>
      <c r="J80" t="s">
        <v>180</v>
      </c>
      <c r="K80" s="2">
        <v>1</v>
      </c>
      <c r="M80" t="str">
        <f ca="1"/>
        <v>Grismold, the Dreadsower</v>
      </c>
      <c r="N80" s="2">
        <f t="shared" ca="1" si="6"/>
        <v>1</v>
      </c>
      <c r="O80" s="2" t="str">
        <f ca="1">IFERROR(
 INDEX($U$2:$AX$2,
  MATCH(TRUE,
   CHOOSE({1;2;3;4;5;6;7;8;9;10;11;12;13;14;15;16;17;18;19;20;21;22;23;24;25;26;27;28;29;30;31;32},
    COUNTIFS($U$3:$U$201,$M80)&gt;0,
    COUNTIFS($V$3:$V$201,$M80)&gt;0,
    COUNTIFS($W$3:$W$201,$M80)&gt;0,
    COUNTIFS($X$3:$X$201,$M80)&gt;0,
    COUNTIFS($Y$3:$Y$201,$M80)&gt;0,
    COUNTIFS($Z$3:$Z$201,$M80)&gt;0,
    COUNTIFS($AA$3:$AA$201,$M80)&gt;0,
    COUNTIFS($AB$3:$AB$201,$M80)&gt;0,
    COUNTIFS($AC$3:$AC$201,$M80)&gt;0,
    COUNTIFS($AD$3:$AD$201,$M80)&gt;0,
    COUNTIFS($AE$3:$AE$201,$M80)&gt;0,
    COUNTIFS($AF$3:$AF$201,$M80)&gt;0,
    COUNTIFS($AG$3:$AG$201,$M80)&gt;0,
    COUNTIFS($AH$3:$AH$201,$M80)&gt;0,
    COUNTIFS($AI$3:$AI$201,$M80)&gt;0,
    COUNTIFS($AJ$3:$AJ$201,$M80)&gt;0,
    COUNTIFS($AK$3:$AK$201,$M80)&gt;0,
    COUNTIFS($AL$3:$AL$201,$M80)&gt;0,
    COUNTIFS($AM$3:$AM$201,$M80)&gt;0,
    COUNTIFS($AN$3:$AN$201,$M80)&gt;0,
    COUNTIFS($AO$3:$AO$201,$M80)&gt;0,
    COUNTIFS($AP$3:$AP$201,$M80)&gt;0,
    COUNTIFS($AQ$3:$AQ$201,$M80)&gt;0,
    COUNTIFS($AR$3:$AR$201,$M80)&gt;0,
    COUNTIFS($AS$3:$AS$201,$M80)&gt;0,
    COUNTIFS($AT$3:$AT$201,$M80)&gt;0,
    COUNTIFS($AU$3:$AU$201,$M80)&gt;0,
    COUNTIFS($AV$3:$AV$201,$M80)&gt;0,
    COUNTIFS($AW$3:$AW$201,$M80)&gt;0,
    COUNTIFS($AX$3:$AX$201,$M80)&gt;0
   ),
  0)
 ),
"")</f>
        <v>Tayam</v>
      </c>
      <c r="P80" s="2" t="str" cm="1">
        <f t="array" aca="1" ref="P80" ca="1">IFERROR(
 INDEX(
  _xlfn._xlws.FILTER($U$2:$AX$2,
   TRANSPOSE(
    CHOOSE({1;2;3;4;5;6;7;8;9;10;11;12;13;14;15;16;17;18;19;20;21;22;23;24;25;26;27;28;29;30},
     COUNTIFS($U$3:$U$201,$M80)&gt;0,
     COUNTIFS($V$3:$V$201,$M80)&gt;0,
     COUNTIFS($W$3:$W$201,$M80)&gt;0,
     COUNTIFS($X$3:$X$201,$M80)&gt;0,
     COUNTIFS($Y$3:$Y$201,$M80)&gt;0,
     COUNTIFS($Z$3:$Z$201,$M80)&gt;0,
     COUNTIFS($AA$3:$AA$201,$M80)&gt;0,
     COUNTIFS($AB$3:$AB$201,$M80)&gt;0,
     COUNTIFS($AC$3:$AC$201,$M80)&gt;0,
     COUNTIFS($AD$3:$AD$201,$M80)&gt;0,
     COUNTIFS($AE$3:$AE$201,$M80)&gt;0,
     COUNTIFS($AF$3:$AF$201,$M80)&gt;0,
     COUNTIFS($AG$3:$AG$201,$M80)&gt;0,
     COUNTIFS($AH$3:$AH$201,$M80)&gt;0,
     COUNTIFS($AI$3:$AI$201,$M80)&gt;0,
     COUNTIFS($AJ$3:$AJ$201,$M80)&gt;0,
     COUNTIFS($AK$3:$AK$201,$M80)&gt;0,
     COUNTIFS($AL$3:$AL$201,$M80)&gt;0,
     COUNTIFS($AM$3:$AM$201,$M80)&gt;0,
     COUNTIFS($AN$3:$AN$201,$M80)&gt;0,
     COUNTIFS($AO$3:$AO$201,$M80)&gt;0,
     COUNTIFS($AP$3:$AP$201,$M80)&gt;0,
     COUNTIFS($AQ$3:$AQ$201,$M80)&gt;0,
     COUNTIFS($AR$3:$AR$201,$M80)&gt;0,
     COUNTIFS($AS$3:$AS$201,$M80)&gt;0,
     COUNTIFS($AT$3:$AT$201,$M80)&gt;0,
     COUNTIFS($AU$3:$AU$201,$M80)&gt;0,
     COUNTIFS($AV$3:$AV$201,$M80)&gt;0,
     COUNTIFS($AW$3:$AW$201,$M80)&gt;0,
     COUNTIFS($AX$3:$AX$201,$M80)&gt;0
   )),
  ),
  2
 ),
"")</f>
        <v/>
      </c>
      <c r="Q80" s="2" t="str" cm="1">
        <f t="array" aca="1" ref="Q80" ca="1">IFERROR(
 INDEX(
  _xlfn._xlws.FILTER($U$2:$AX$2,
   TRANSPOSE(
    CHOOSE({1;2;3;4;5;6;7;8;9;10;11;12;13;14;15;16;17;18;19;20;21;22;23;24;25;26;27;28;29;30},
     COUNTIFS($U$3:$U$201,$M80)&gt;0,
     COUNTIFS($V$3:$V$201,$M80)&gt;0,
     COUNTIFS($W$3:$W$201,$M80)&gt;0,
     COUNTIFS($X$3:$X$201,$M80)&gt;0,
     COUNTIFS($Y$3:$Y$201,$M80)&gt;0,
     COUNTIFS($Z$3:$Z$201,$M80)&gt;0,
     COUNTIFS($AA$3:$AA$201,$M80)&gt;0,
     COUNTIFS($AB$3:$AB$201,$M80)&gt;0,
     COUNTIFS($AC$3:$AC$201,$M80)&gt;0,
     COUNTIFS($AD$3:$AD$201,$M80)&gt;0,
     COUNTIFS($AE$3:$AE$201,$M80)&gt;0,
     COUNTIFS($AF$3:$AF$201,$M80)&gt;0,
     COUNTIFS($AG$3:$AG$201,$M80)&gt;0,
     COUNTIFS($AH$3:$AH$201,$M80)&gt;0,
     COUNTIFS($AI$3:$AI$201,$M80)&gt;0,
     COUNTIFS($AJ$3:$AJ$201,$M80)&gt;0,
     COUNTIFS($AK$3:$AK$201,$M80)&gt;0,
     COUNTIFS($AL$3:$AL$201,$M80)&gt;0,
     COUNTIFS($AM$3:$AM$201,$M80)&gt;0,
     COUNTIFS($AN$3:$AN$201,$M80)&gt;0,
     COUNTIFS($AO$3:$AO$201,$M80)&gt;0,
     COUNTIFS($AP$3:$AP$201,$M80)&gt;0,
     COUNTIFS($AQ$3:$AQ$201,$M80)&gt;0,
     COUNTIFS($AR$3:$AR$201,$M80)&gt;0,
     COUNTIFS($AS$3:$AS$201,$M80)&gt;0,
     COUNTIFS($AT$3:$AT$201,$M80)&gt;0,
     COUNTIFS($AU$3:$AU$201,$M80)&gt;0,
     COUNTIFS($AV$3:$AV$201,$M80)&gt;0,
     COUNTIFS($AW$3:$AW$201,$M80)&gt;0,
     COUNTIFS($AX$3:$AX$201,$M80)&gt;0
   )),
  ),
  3
 ),
"")</f>
        <v/>
      </c>
      <c r="EF80" t="str">
        <f ca="1"/>
        <v>Sontaran General</v>
      </c>
      <c r="EO80" t="str">
        <f ca="1"/>
        <v>Lifecreed Duo</v>
      </c>
      <c r="EP80" t="e" vm="2">
        <f ca="1"/>
        <v>#VALUE!</v>
      </c>
      <c r="ET80" t="str">
        <f ca="1"/>
        <v>Hedron Archive</v>
      </c>
      <c r="EW80" t="str">
        <f ca="1"/>
        <v>Grismold, the Dreadsower</v>
      </c>
    </row>
    <row r="81" spans="1:153" x14ac:dyDescent="0.25">
      <c r="A81" t="str">
        <f ca="1"/>
        <v>Champions from Beyond</v>
      </c>
      <c r="B81" s="2" t="str" cm="1">
        <f t="array" aca="1" ref="B81" ca="1">_xlfn.ANCHORARRAY(RESUMO!C80)</f>
        <v>Baylen</v>
      </c>
      <c r="C81" s="2" t="str">
        <f t="shared" ca="1" si="4"/>
        <v/>
      </c>
      <c r="E81" t="str">
        <f ca="1"/>
        <v>Gruul Turf</v>
      </c>
      <c r="F81" s="2">
        <f t="shared" ca="1" si="7"/>
        <v>1</v>
      </c>
      <c r="G81" s="2" t="str">
        <f t="shared" ca="1" si="5"/>
        <v>Baylen</v>
      </c>
      <c r="I81" s="18"/>
      <c r="J81" t="s">
        <v>180</v>
      </c>
      <c r="K81" s="2">
        <v>1</v>
      </c>
      <c r="M81" t="str">
        <f ca="1"/>
        <v>Gruul Turf</v>
      </c>
      <c r="N81" s="2">
        <f t="shared" ca="1" si="6"/>
        <v>1</v>
      </c>
      <c r="O81" s="2" t="str">
        <f ca="1">IFERROR(
 INDEX($U$2:$AX$2,
  MATCH(TRUE,
   CHOOSE({1;2;3;4;5;6;7;8;9;10;11;12;13;14;15;16;17;18;19;20;21;22;23;24;25;26;27;28;29;30;31;32},
    COUNTIFS($U$3:$U$201,$M81)&gt;0,
    COUNTIFS($V$3:$V$201,$M81)&gt;0,
    COUNTIFS($W$3:$W$201,$M81)&gt;0,
    COUNTIFS($X$3:$X$201,$M81)&gt;0,
    COUNTIFS($Y$3:$Y$201,$M81)&gt;0,
    COUNTIFS($Z$3:$Z$201,$M81)&gt;0,
    COUNTIFS($AA$3:$AA$201,$M81)&gt;0,
    COUNTIFS($AB$3:$AB$201,$M81)&gt;0,
    COUNTIFS($AC$3:$AC$201,$M81)&gt;0,
    COUNTIFS($AD$3:$AD$201,$M81)&gt;0,
    COUNTIFS($AE$3:$AE$201,$M81)&gt;0,
    COUNTIFS($AF$3:$AF$201,$M81)&gt;0,
    COUNTIFS($AG$3:$AG$201,$M81)&gt;0,
    COUNTIFS($AH$3:$AH$201,$M81)&gt;0,
    COUNTIFS($AI$3:$AI$201,$M81)&gt;0,
    COUNTIFS($AJ$3:$AJ$201,$M81)&gt;0,
    COUNTIFS($AK$3:$AK$201,$M81)&gt;0,
    COUNTIFS($AL$3:$AL$201,$M81)&gt;0,
    COUNTIFS($AM$3:$AM$201,$M81)&gt;0,
    COUNTIFS($AN$3:$AN$201,$M81)&gt;0,
    COUNTIFS($AO$3:$AO$201,$M81)&gt;0,
    COUNTIFS($AP$3:$AP$201,$M81)&gt;0,
    COUNTIFS($AQ$3:$AQ$201,$M81)&gt;0,
    COUNTIFS($AR$3:$AR$201,$M81)&gt;0,
    COUNTIFS($AS$3:$AS$201,$M81)&gt;0,
    COUNTIFS($AT$3:$AT$201,$M81)&gt;0,
    COUNTIFS($AU$3:$AU$201,$M81)&gt;0,
    COUNTIFS($AV$3:$AV$201,$M81)&gt;0,
    COUNTIFS($AW$3:$AW$201,$M81)&gt;0,
    COUNTIFS($AX$3:$AX$201,$M81)&gt;0
   ),
  0)
 ),
"")</f>
        <v>Baylen</v>
      </c>
      <c r="P81" s="2" t="str" cm="1">
        <f t="array" aca="1" ref="P81" ca="1">IFERROR(
 INDEX(
  _xlfn._xlws.FILTER($U$2:$AX$2,
   TRANSPOSE(
    CHOOSE({1;2;3;4;5;6;7;8;9;10;11;12;13;14;15;16;17;18;19;20;21;22;23;24;25;26;27;28;29;30},
     COUNTIFS($U$3:$U$201,$M81)&gt;0,
     COUNTIFS($V$3:$V$201,$M81)&gt;0,
     COUNTIFS($W$3:$W$201,$M81)&gt;0,
     COUNTIFS($X$3:$X$201,$M81)&gt;0,
     COUNTIFS($Y$3:$Y$201,$M81)&gt;0,
     COUNTIFS($Z$3:$Z$201,$M81)&gt;0,
     COUNTIFS($AA$3:$AA$201,$M81)&gt;0,
     COUNTIFS($AB$3:$AB$201,$M81)&gt;0,
     COUNTIFS($AC$3:$AC$201,$M81)&gt;0,
     COUNTIFS($AD$3:$AD$201,$M81)&gt;0,
     COUNTIFS($AE$3:$AE$201,$M81)&gt;0,
     COUNTIFS($AF$3:$AF$201,$M81)&gt;0,
     COUNTIFS($AG$3:$AG$201,$M81)&gt;0,
     COUNTIFS($AH$3:$AH$201,$M81)&gt;0,
     COUNTIFS($AI$3:$AI$201,$M81)&gt;0,
     COUNTIFS($AJ$3:$AJ$201,$M81)&gt;0,
     COUNTIFS($AK$3:$AK$201,$M81)&gt;0,
     COUNTIFS($AL$3:$AL$201,$M81)&gt;0,
     COUNTIFS($AM$3:$AM$201,$M81)&gt;0,
     COUNTIFS($AN$3:$AN$201,$M81)&gt;0,
     COUNTIFS($AO$3:$AO$201,$M81)&gt;0,
     COUNTIFS($AP$3:$AP$201,$M81)&gt;0,
     COUNTIFS($AQ$3:$AQ$201,$M81)&gt;0,
     COUNTIFS($AR$3:$AR$201,$M81)&gt;0,
     COUNTIFS($AS$3:$AS$201,$M81)&gt;0,
     COUNTIFS($AT$3:$AT$201,$M81)&gt;0,
     COUNTIFS($AU$3:$AU$201,$M81)&gt;0,
     COUNTIFS($AV$3:$AV$201,$M81)&gt;0,
     COUNTIFS($AW$3:$AW$201,$M81)&gt;0,
     COUNTIFS($AX$3:$AX$201,$M81)&gt;0
   )),
  ),
  2
 ),
"")</f>
        <v/>
      </c>
      <c r="Q81" s="2" t="str" cm="1">
        <f t="array" aca="1" ref="Q81" ca="1">IFERROR(
 INDEX(
  _xlfn._xlws.FILTER($U$2:$AX$2,
   TRANSPOSE(
    CHOOSE({1;2;3;4;5;6;7;8;9;10;11;12;13;14;15;16;17;18;19;20;21;22;23;24;25;26;27;28;29;30},
     COUNTIFS($U$3:$U$201,$M81)&gt;0,
     COUNTIFS($V$3:$V$201,$M81)&gt;0,
     COUNTIFS($W$3:$W$201,$M81)&gt;0,
     COUNTIFS($X$3:$X$201,$M81)&gt;0,
     COUNTIFS($Y$3:$Y$201,$M81)&gt;0,
     COUNTIFS($Z$3:$Z$201,$M81)&gt;0,
     COUNTIFS($AA$3:$AA$201,$M81)&gt;0,
     COUNTIFS($AB$3:$AB$201,$M81)&gt;0,
     COUNTIFS($AC$3:$AC$201,$M81)&gt;0,
     COUNTIFS($AD$3:$AD$201,$M81)&gt;0,
     COUNTIFS($AE$3:$AE$201,$M81)&gt;0,
     COUNTIFS($AF$3:$AF$201,$M81)&gt;0,
     COUNTIFS($AG$3:$AG$201,$M81)&gt;0,
     COUNTIFS($AH$3:$AH$201,$M81)&gt;0,
     COUNTIFS($AI$3:$AI$201,$M81)&gt;0,
     COUNTIFS($AJ$3:$AJ$201,$M81)&gt;0,
     COUNTIFS($AK$3:$AK$201,$M81)&gt;0,
     COUNTIFS($AL$3:$AL$201,$M81)&gt;0,
     COUNTIFS($AM$3:$AM$201,$M81)&gt;0,
     COUNTIFS($AN$3:$AN$201,$M81)&gt;0,
     COUNTIFS($AO$3:$AO$201,$M81)&gt;0,
     COUNTIFS($AP$3:$AP$201,$M81)&gt;0,
     COUNTIFS($AQ$3:$AQ$201,$M81)&gt;0,
     COUNTIFS($AR$3:$AR$201,$M81)&gt;0,
     COUNTIFS($AS$3:$AS$201,$M81)&gt;0,
     COUNTIFS($AT$3:$AT$201,$M81)&gt;0,
     COUNTIFS($AU$3:$AU$201,$M81)&gt;0,
     COUNTIFS($AV$3:$AV$201,$M81)&gt;0,
     COUNTIFS($AW$3:$AW$201,$M81)&gt;0,
     COUNTIFS($AX$3:$AX$201,$M81)&gt;0
   )),
  ),
  3
 ),
"")</f>
        <v/>
      </c>
      <c r="EF81" t="str">
        <f ca="1"/>
        <v>Spelunking</v>
      </c>
      <c r="EO81" t="str">
        <f ca="1"/>
        <v>Lightning Spear</v>
      </c>
      <c r="ET81" t="str">
        <f ca="1"/>
        <v>Hidden Courtyard</v>
      </c>
      <c r="EW81" t="str">
        <f ca="1"/>
        <v>Gruul Turf</v>
      </c>
    </row>
    <row r="82" spans="1:153" x14ac:dyDescent="0.25">
      <c r="A82" t="str">
        <f ca="1"/>
        <v>Champions of the Shoal</v>
      </c>
      <c r="B82" s="2" t="str" cm="1">
        <f t="array" aca="1" ref="B82" ca="1">_xlfn.ANCHORARRAY(RESUMO!C81)</f>
        <v>Kumena</v>
      </c>
      <c r="C82" s="2" t="str">
        <f t="shared" ca="1" si="4"/>
        <v/>
      </c>
      <c r="E82" t="str">
        <f ca="1"/>
        <v>Hadana's Climb</v>
      </c>
      <c r="F82" s="2">
        <f t="shared" ca="1" si="7"/>
        <v>1</v>
      </c>
      <c r="G82" s="2" t="str">
        <f t="shared" ca="1" si="5"/>
        <v>Kumena</v>
      </c>
      <c r="I82" s="18"/>
      <c r="J82" t="s">
        <v>180</v>
      </c>
      <c r="K82" s="2">
        <v>1</v>
      </c>
      <c r="M82" t="str">
        <f ca="1"/>
        <v>Hadana's Climb</v>
      </c>
      <c r="N82" s="2">
        <f t="shared" ca="1" si="6"/>
        <v>1</v>
      </c>
      <c r="O82" s="2" t="str">
        <f ca="1">IFERROR(
 INDEX($U$2:$AX$2,
  MATCH(TRUE,
   CHOOSE({1;2;3;4;5;6;7;8;9;10;11;12;13;14;15;16;17;18;19;20;21;22;23;24;25;26;27;28;29;30;31;32},
    COUNTIFS($U$3:$U$201,$M82)&gt;0,
    COUNTIFS($V$3:$V$201,$M82)&gt;0,
    COUNTIFS($W$3:$W$201,$M82)&gt;0,
    COUNTIFS($X$3:$X$201,$M82)&gt;0,
    COUNTIFS($Y$3:$Y$201,$M82)&gt;0,
    COUNTIFS($Z$3:$Z$201,$M82)&gt;0,
    COUNTIFS($AA$3:$AA$201,$M82)&gt;0,
    COUNTIFS($AB$3:$AB$201,$M82)&gt;0,
    COUNTIFS($AC$3:$AC$201,$M82)&gt;0,
    COUNTIFS($AD$3:$AD$201,$M82)&gt;0,
    COUNTIFS($AE$3:$AE$201,$M82)&gt;0,
    COUNTIFS($AF$3:$AF$201,$M82)&gt;0,
    COUNTIFS($AG$3:$AG$201,$M82)&gt;0,
    COUNTIFS($AH$3:$AH$201,$M82)&gt;0,
    COUNTIFS($AI$3:$AI$201,$M82)&gt;0,
    COUNTIFS($AJ$3:$AJ$201,$M82)&gt;0,
    COUNTIFS($AK$3:$AK$201,$M82)&gt;0,
    COUNTIFS($AL$3:$AL$201,$M82)&gt;0,
    COUNTIFS($AM$3:$AM$201,$M82)&gt;0,
    COUNTIFS($AN$3:$AN$201,$M82)&gt;0,
    COUNTIFS($AO$3:$AO$201,$M82)&gt;0,
    COUNTIFS($AP$3:$AP$201,$M82)&gt;0,
    COUNTIFS($AQ$3:$AQ$201,$M82)&gt;0,
    COUNTIFS($AR$3:$AR$201,$M82)&gt;0,
    COUNTIFS($AS$3:$AS$201,$M82)&gt;0,
    COUNTIFS($AT$3:$AT$201,$M82)&gt;0,
    COUNTIFS($AU$3:$AU$201,$M82)&gt;0,
    COUNTIFS($AV$3:$AV$201,$M82)&gt;0,
    COUNTIFS($AW$3:$AW$201,$M82)&gt;0,
    COUNTIFS($AX$3:$AX$201,$M82)&gt;0
   ),
  0)
 ),
"")</f>
        <v>Kumena</v>
      </c>
      <c r="P82" s="2" t="str" cm="1">
        <f t="array" aca="1" ref="P82" ca="1">IFERROR(
 INDEX(
  _xlfn._xlws.FILTER($U$2:$AX$2,
   TRANSPOSE(
    CHOOSE({1;2;3;4;5;6;7;8;9;10;11;12;13;14;15;16;17;18;19;20;21;22;23;24;25;26;27;28;29;30},
     COUNTIFS($U$3:$U$201,$M82)&gt;0,
     COUNTIFS($V$3:$V$201,$M82)&gt;0,
     COUNTIFS($W$3:$W$201,$M82)&gt;0,
     COUNTIFS($X$3:$X$201,$M82)&gt;0,
     COUNTIFS($Y$3:$Y$201,$M82)&gt;0,
     COUNTIFS($Z$3:$Z$201,$M82)&gt;0,
     COUNTIFS($AA$3:$AA$201,$M82)&gt;0,
     COUNTIFS($AB$3:$AB$201,$M82)&gt;0,
     COUNTIFS($AC$3:$AC$201,$M82)&gt;0,
     COUNTIFS($AD$3:$AD$201,$M82)&gt;0,
     COUNTIFS($AE$3:$AE$201,$M82)&gt;0,
     COUNTIFS($AF$3:$AF$201,$M82)&gt;0,
     COUNTIFS($AG$3:$AG$201,$M82)&gt;0,
     COUNTIFS($AH$3:$AH$201,$M82)&gt;0,
     COUNTIFS($AI$3:$AI$201,$M82)&gt;0,
     COUNTIFS($AJ$3:$AJ$201,$M82)&gt;0,
     COUNTIFS($AK$3:$AK$201,$M82)&gt;0,
     COUNTIFS($AL$3:$AL$201,$M82)&gt;0,
     COUNTIFS($AM$3:$AM$201,$M82)&gt;0,
     COUNTIFS($AN$3:$AN$201,$M82)&gt;0,
     COUNTIFS($AO$3:$AO$201,$M82)&gt;0,
     COUNTIFS($AP$3:$AP$201,$M82)&gt;0,
     COUNTIFS($AQ$3:$AQ$201,$M82)&gt;0,
     COUNTIFS($AR$3:$AR$201,$M82)&gt;0,
     COUNTIFS($AS$3:$AS$201,$M82)&gt;0,
     COUNTIFS($AT$3:$AT$201,$M82)&gt;0,
     COUNTIFS($AU$3:$AU$201,$M82)&gt;0,
     COUNTIFS($AV$3:$AV$201,$M82)&gt;0,
     COUNTIFS($AW$3:$AW$201,$M82)&gt;0,
     COUNTIFS($AX$3:$AX$201,$M82)&gt;0
   )),
  ),
  2
 ),
"")</f>
        <v/>
      </c>
      <c r="Q82" s="2" t="str" cm="1">
        <f t="array" aca="1" ref="Q82" ca="1">IFERROR(
 INDEX(
  _xlfn._xlws.FILTER($U$2:$AX$2,
   TRANSPOSE(
    CHOOSE({1;2;3;4;5;6;7;8;9;10;11;12;13;14;15;16;17;18;19;20;21;22;23;24;25;26;27;28;29;30},
     COUNTIFS($U$3:$U$201,$M82)&gt;0,
     COUNTIFS($V$3:$V$201,$M82)&gt;0,
     COUNTIFS($W$3:$W$201,$M82)&gt;0,
     COUNTIFS($X$3:$X$201,$M82)&gt;0,
     COUNTIFS($Y$3:$Y$201,$M82)&gt;0,
     COUNTIFS($Z$3:$Z$201,$M82)&gt;0,
     COUNTIFS($AA$3:$AA$201,$M82)&gt;0,
     COUNTIFS($AB$3:$AB$201,$M82)&gt;0,
     COUNTIFS($AC$3:$AC$201,$M82)&gt;0,
     COUNTIFS($AD$3:$AD$201,$M82)&gt;0,
     COUNTIFS($AE$3:$AE$201,$M82)&gt;0,
     COUNTIFS($AF$3:$AF$201,$M82)&gt;0,
     COUNTIFS($AG$3:$AG$201,$M82)&gt;0,
     COUNTIFS($AH$3:$AH$201,$M82)&gt;0,
     COUNTIFS($AI$3:$AI$201,$M82)&gt;0,
     COUNTIFS($AJ$3:$AJ$201,$M82)&gt;0,
     COUNTIFS($AK$3:$AK$201,$M82)&gt;0,
     COUNTIFS($AL$3:$AL$201,$M82)&gt;0,
     COUNTIFS($AM$3:$AM$201,$M82)&gt;0,
     COUNTIFS($AN$3:$AN$201,$M82)&gt;0,
     COUNTIFS($AO$3:$AO$201,$M82)&gt;0,
     COUNTIFS($AP$3:$AP$201,$M82)&gt;0,
     COUNTIFS($AQ$3:$AQ$201,$M82)&gt;0,
     COUNTIFS($AR$3:$AR$201,$M82)&gt;0,
     COUNTIFS($AS$3:$AS$201,$M82)&gt;0,
     COUNTIFS($AT$3:$AT$201,$M82)&gt;0,
     COUNTIFS($AU$3:$AU$201,$M82)&gt;0,
     COUNTIFS($AV$3:$AV$201,$M82)&gt;0,
     COUNTIFS($AW$3:$AW$201,$M82)&gt;0,
     COUNTIFS($AX$3:$AX$201,$M82)&gt;0
   )),
  ),
  3
 ),
"")</f>
        <v/>
      </c>
      <c r="EF82" t="str">
        <f ca="1"/>
        <v>Surge of Salvation</v>
      </c>
      <c r="EO82" t="str">
        <f ca="1"/>
        <v>Lonis, Cryptozoologist</v>
      </c>
      <c r="ET82" t="str">
        <f ca="1"/>
        <v>Hidden Nursery</v>
      </c>
      <c r="EW82" t="str">
        <f ca="1"/>
        <v>Hadana's Climb</v>
      </c>
    </row>
    <row r="83" spans="1:153" x14ac:dyDescent="0.25">
      <c r="A83" t="str">
        <f ca="1"/>
        <v>Chandra's Ignition</v>
      </c>
      <c r="B83" s="2" t="str" cm="1">
        <f t="array" aca="1" ref="B83" ca="1">_xlfn.ANCHORARRAY(RESUMO!C82)</f>
        <v>Kresh</v>
      </c>
      <c r="C83" s="2" t="str">
        <f t="shared" ca="1" si="4"/>
        <v/>
      </c>
      <c r="E83" t="str">
        <f ca="1"/>
        <v>Harrow</v>
      </c>
      <c r="F83" s="2">
        <f t="shared" ca="1" si="7"/>
        <v>2</v>
      </c>
      <c r="G83" s="2" t="str">
        <f t="shared" ca="1" si="5"/>
        <v>Zimone</v>
      </c>
      <c r="I83" s="18"/>
      <c r="J83" t="s">
        <v>180</v>
      </c>
      <c r="K83" s="2">
        <v>1</v>
      </c>
      <c r="M83" t="str">
        <f ca="1"/>
        <v>Harrow</v>
      </c>
      <c r="N83" s="2">
        <f t="shared" ca="1" si="6"/>
        <v>2</v>
      </c>
      <c r="O83" s="2" t="str">
        <f ca="1">IFERROR(
 INDEX($U$2:$AX$2,
  MATCH(TRUE,
   CHOOSE({1;2;3;4;5;6;7;8;9;10;11;12;13;14;15;16;17;18;19;20;21;22;23;24;25;26;27;28;29;30;31;32},
    COUNTIFS($U$3:$U$201,$M83)&gt;0,
    COUNTIFS($V$3:$V$201,$M83)&gt;0,
    COUNTIFS($W$3:$W$201,$M83)&gt;0,
    COUNTIFS($X$3:$X$201,$M83)&gt;0,
    COUNTIFS($Y$3:$Y$201,$M83)&gt;0,
    COUNTIFS($Z$3:$Z$201,$M83)&gt;0,
    COUNTIFS($AA$3:$AA$201,$M83)&gt;0,
    COUNTIFS($AB$3:$AB$201,$M83)&gt;0,
    COUNTIFS($AC$3:$AC$201,$M83)&gt;0,
    COUNTIFS($AD$3:$AD$201,$M83)&gt;0,
    COUNTIFS($AE$3:$AE$201,$M83)&gt;0,
    COUNTIFS($AF$3:$AF$201,$M83)&gt;0,
    COUNTIFS($AG$3:$AG$201,$M83)&gt;0,
    COUNTIFS($AH$3:$AH$201,$M83)&gt;0,
    COUNTIFS($AI$3:$AI$201,$M83)&gt;0,
    COUNTIFS($AJ$3:$AJ$201,$M83)&gt;0,
    COUNTIFS($AK$3:$AK$201,$M83)&gt;0,
    COUNTIFS($AL$3:$AL$201,$M83)&gt;0,
    COUNTIFS($AM$3:$AM$201,$M83)&gt;0,
    COUNTIFS($AN$3:$AN$201,$M83)&gt;0,
    COUNTIFS($AO$3:$AO$201,$M83)&gt;0,
    COUNTIFS($AP$3:$AP$201,$M83)&gt;0,
    COUNTIFS($AQ$3:$AQ$201,$M83)&gt;0,
    COUNTIFS($AR$3:$AR$201,$M83)&gt;0,
    COUNTIFS($AS$3:$AS$201,$M83)&gt;0,
    COUNTIFS($AT$3:$AT$201,$M83)&gt;0,
    COUNTIFS($AU$3:$AU$201,$M83)&gt;0,
    COUNTIFS($AV$3:$AV$201,$M83)&gt;0,
    COUNTIFS($AW$3:$AW$201,$M83)&gt;0,
    COUNTIFS($AX$3:$AX$201,$M83)&gt;0
   ),
  0)
 ),
"")</f>
        <v>Zimone</v>
      </c>
      <c r="P83" s="2" t="str" cm="1">
        <f t="array" aca="1" ref="P83" ca="1">IFERROR(
 INDEX(
  _xlfn._xlws.FILTER($U$2:$AX$2,
   TRANSPOSE(
    CHOOSE({1;2;3;4;5;6;7;8;9;10;11;12;13;14;15;16;17;18;19;20;21;22;23;24;25;26;27;28;29;30},
     COUNTIFS($U$3:$U$201,$M83)&gt;0,
     COUNTIFS($V$3:$V$201,$M83)&gt;0,
     COUNTIFS($W$3:$W$201,$M83)&gt;0,
     COUNTIFS($X$3:$X$201,$M83)&gt;0,
     COUNTIFS($Y$3:$Y$201,$M83)&gt;0,
     COUNTIFS($Z$3:$Z$201,$M83)&gt;0,
     COUNTIFS($AA$3:$AA$201,$M83)&gt;0,
     COUNTIFS($AB$3:$AB$201,$M83)&gt;0,
     COUNTIFS($AC$3:$AC$201,$M83)&gt;0,
     COUNTIFS($AD$3:$AD$201,$M83)&gt;0,
     COUNTIFS($AE$3:$AE$201,$M83)&gt;0,
     COUNTIFS($AF$3:$AF$201,$M83)&gt;0,
     COUNTIFS($AG$3:$AG$201,$M83)&gt;0,
     COUNTIFS($AH$3:$AH$201,$M83)&gt;0,
     COUNTIFS($AI$3:$AI$201,$M83)&gt;0,
     COUNTIFS($AJ$3:$AJ$201,$M83)&gt;0,
     COUNTIFS($AK$3:$AK$201,$M83)&gt;0,
     COUNTIFS($AL$3:$AL$201,$M83)&gt;0,
     COUNTIFS($AM$3:$AM$201,$M83)&gt;0,
     COUNTIFS($AN$3:$AN$201,$M83)&gt;0,
     COUNTIFS($AO$3:$AO$201,$M83)&gt;0,
     COUNTIFS($AP$3:$AP$201,$M83)&gt;0,
     COUNTIFS($AQ$3:$AQ$201,$M83)&gt;0,
     COUNTIFS($AR$3:$AR$201,$M83)&gt;0,
     COUNTIFS($AS$3:$AS$201,$M83)&gt;0,
     COUNTIFS($AT$3:$AT$201,$M83)&gt;0,
     COUNTIFS($AU$3:$AU$201,$M83)&gt;0,
     COUNTIFS($AV$3:$AV$201,$M83)&gt;0,
     COUNTIFS($AW$3:$AW$201,$M83)&gt;0,
     COUNTIFS($AX$3:$AX$201,$M83)&gt;0
   )),
  ),
  2
 ),
"")</f>
        <v>Modular</v>
      </c>
      <c r="Q83" s="2" t="str" cm="1">
        <f t="array" aca="1" ref="Q83" ca="1">IFERROR(
 INDEX(
  _xlfn._xlws.FILTER($U$2:$AX$2,
   TRANSPOSE(
    CHOOSE({1;2;3;4;5;6;7;8;9;10;11;12;13;14;15;16;17;18;19;20;21;22;23;24;25;26;27;28;29;30},
     COUNTIFS($U$3:$U$201,$M83)&gt;0,
     COUNTIFS($V$3:$V$201,$M83)&gt;0,
     COUNTIFS($W$3:$W$201,$M83)&gt;0,
     COUNTIFS($X$3:$X$201,$M83)&gt;0,
     COUNTIFS($Y$3:$Y$201,$M83)&gt;0,
     COUNTIFS($Z$3:$Z$201,$M83)&gt;0,
     COUNTIFS($AA$3:$AA$201,$M83)&gt;0,
     COUNTIFS($AB$3:$AB$201,$M83)&gt;0,
     COUNTIFS($AC$3:$AC$201,$M83)&gt;0,
     COUNTIFS($AD$3:$AD$201,$M83)&gt;0,
     COUNTIFS($AE$3:$AE$201,$M83)&gt;0,
     COUNTIFS($AF$3:$AF$201,$M83)&gt;0,
     COUNTIFS($AG$3:$AG$201,$M83)&gt;0,
     COUNTIFS($AH$3:$AH$201,$M83)&gt;0,
     COUNTIFS($AI$3:$AI$201,$M83)&gt;0,
     COUNTIFS($AJ$3:$AJ$201,$M83)&gt;0,
     COUNTIFS($AK$3:$AK$201,$M83)&gt;0,
     COUNTIFS($AL$3:$AL$201,$M83)&gt;0,
     COUNTIFS($AM$3:$AM$201,$M83)&gt;0,
     COUNTIFS($AN$3:$AN$201,$M83)&gt;0,
     COUNTIFS($AO$3:$AO$201,$M83)&gt;0,
     COUNTIFS($AP$3:$AP$201,$M83)&gt;0,
     COUNTIFS($AQ$3:$AQ$201,$M83)&gt;0,
     COUNTIFS($AR$3:$AR$201,$M83)&gt;0,
     COUNTIFS($AS$3:$AS$201,$M83)&gt;0,
     COUNTIFS($AT$3:$AT$201,$M83)&gt;0,
     COUNTIFS($AU$3:$AU$201,$M83)&gt;0,
     COUNTIFS($AV$3:$AV$201,$M83)&gt;0,
     COUNTIFS($AW$3:$AW$201,$M83)&gt;0,
     COUNTIFS($AX$3:$AX$201,$M83)&gt;0
   )),
  ),
  3
 ),
"")</f>
        <v/>
      </c>
      <c r="EF83" t="str">
        <f ca="1"/>
        <v>Swamp</v>
      </c>
      <c r="EO83" t="str">
        <f ca="1"/>
        <v>Mask of Memory</v>
      </c>
      <c r="ET83" t="str">
        <f ca="1"/>
        <v>Hidden Volcano</v>
      </c>
      <c r="EW83" t="str">
        <f ca="1"/>
        <v>Harrow</v>
      </c>
    </row>
    <row r="84" spans="1:153" x14ac:dyDescent="0.25">
      <c r="A84" t="str">
        <f ca="1"/>
        <v>Chaos Wand</v>
      </c>
      <c r="B84" s="2" t="str" cm="1">
        <f t="array" aca="1" ref="B84" ca="1">_xlfn.ANCHORARRAY(RESUMO!C83)</f>
        <v>Zuko</v>
      </c>
      <c r="C84" s="2" t="str">
        <f t="shared" ca="1" si="4"/>
        <v/>
      </c>
      <c r="E84" t="str">
        <f ca="1"/>
        <v>Hedron Archive</v>
      </c>
      <c r="F84" s="2">
        <f t="shared" ca="1" si="7"/>
        <v>1</v>
      </c>
      <c r="G84" s="2" t="str">
        <f t="shared" ca="1" si="5"/>
        <v>JhoiraB</v>
      </c>
      <c r="I84" s="18"/>
      <c r="J84" t="s">
        <v>180</v>
      </c>
      <c r="K84" s="2">
        <v>1</v>
      </c>
      <c r="M84" t="str">
        <f ca="1"/>
        <v>Hedron Archive</v>
      </c>
      <c r="N84" s="2">
        <f t="shared" ca="1" si="6"/>
        <v>1</v>
      </c>
      <c r="O84" s="2" t="str">
        <f ca="1">IFERROR(
 INDEX($U$2:$AX$2,
  MATCH(TRUE,
   CHOOSE({1;2;3;4;5;6;7;8;9;10;11;12;13;14;15;16;17;18;19;20;21;22;23;24;25;26;27;28;29;30;31;32},
    COUNTIFS($U$3:$U$201,$M84)&gt;0,
    COUNTIFS($V$3:$V$201,$M84)&gt;0,
    COUNTIFS($W$3:$W$201,$M84)&gt;0,
    COUNTIFS($X$3:$X$201,$M84)&gt;0,
    COUNTIFS($Y$3:$Y$201,$M84)&gt;0,
    COUNTIFS($Z$3:$Z$201,$M84)&gt;0,
    COUNTIFS($AA$3:$AA$201,$M84)&gt;0,
    COUNTIFS($AB$3:$AB$201,$M84)&gt;0,
    COUNTIFS($AC$3:$AC$201,$M84)&gt;0,
    COUNTIFS($AD$3:$AD$201,$M84)&gt;0,
    COUNTIFS($AE$3:$AE$201,$M84)&gt;0,
    COUNTIFS($AF$3:$AF$201,$M84)&gt;0,
    COUNTIFS($AG$3:$AG$201,$M84)&gt;0,
    COUNTIFS($AH$3:$AH$201,$M84)&gt;0,
    COUNTIFS($AI$3:$AI$201,$M84)&gt;0,
    COUNTIFS($AJ$3:$AJ$201,$M84)&gt;0,
    COUNTIFS($AK$3:$AK$201,$M84)&gt;0,
    COUNTIFS($AL$3:$AL$201,$M84)&gt;0,
    COUNTIFS($AM$3:$AM$201,$M84)&gt;0,
    COUNTIFS($AN$3:$AN$201,$M84)&gt;0,
    COUNTIFS($AO$3:$AO$201,$M84)&gt;0,
    COUNTIFS($AP$3:$AP$201,$M84)&gt;0,
    COUNTIFS($AQ$3:$AQ$201,$M84)&gt;0,
    COUNTIFS($AR$3:$AR$201,$M84)&gt;0,
    COUNTIFS($AS$3:$AS$201,$M84)&gt;0,
    COUNTIFS($AT$3:$AT$201,$M84)&gt;0,
    COUNTIFS($AU$3:$AU$201,$M84)&gt;0,
    COUNTIFS($AV$3:$AV$201,$M84)&gt;0,
    COUNTIFS($AW$3:$AW$201,$M84)&gt;0,
    COUNTIFS($AX$3:$AX$201,$M84)&gt;0
   ),
  0)
 ),
"")</f>
        <v>JhoiraB</v>
      </c>
      <c r="P84" s="2" t="str" cm="1">
        <f t="array" aca="1" ref="P84" ca="1">IFERROR(
 INDEX(
  _xlfn._xlws.FILTER($U$2:$AX$2,
   TRANSPOSE(
    CHOOSE({1;2;3;4;5;6;7;8;9;10;11;12;13;14;15;16;17;18;19;20;21;22;23;24;25;26;27;28;29;30},
     COUNTIFS($U$3:$U$201,$M84)&gt;0,
     COUNTIFS($V$3:$V$201,$M84)&gt;0,
     COUNTIFS($W$3:$W$201,$M84)&gt;0,
     COUNTIFS($X$3:$X$201,$M84)&gt;0,
     COUNTIFS($Y$3:$Y$201,$M84)&gt;0,
     COUNTIFS($Z$3:$Z$201,$M84)&gt;0,
     COUNTIFS($AA$3:$AA$201,$M84)&gt;0,
     COUNTIFS($AB$3:$AB$201,$M84)&gt;0,
     COUNTIFS($AC$3:$AC$201,$M84)&gt;0,
     COUNTIFS($AD$3:$AD$201,$M84)&gt;0,
     COUNTIFS($AE$3:$AE$201,$M84)&gt;0,
     COUNTIFS($AF$3:$AF$201,$M84)&gt;0,
     COUNTIFS($AG$3:$AG$201,$M84)&gt;0,
     COUNTIFS($AH$3:$AH$201,$M84)&gt;0,
     COUNTIFS($AI$3:$AI$201,$M84)&gt;0,
     COUNTIFS($AJ$3:$AJ$201,$M84)&gt;0,
     COUNTIFS($AK$3:$AK$201,$M84)&gt;0,
     COUNTIFS($AL$3:$AL$201,$M84)&gt;0,
     COUNTIFS($AM$3:$AM$201,$M84)&gt;0,
     COUNTIFS($AN$3:$AN$201,$M84)&gt;0,
     COUNTIFS($AO$3:$AO$201,$M84)&gt;0,
     COUNTIFS($AP$3:$AP$201,$M84)&gt;0,
     COUNTIFS($AQ$3:$AQ$201,$M84)&gt;0,
     COUNTIFS($AR$3:$AR$201,$M84)&gt;0,
     COUNTIFS($AS$3:$AS$201,$M84)&gt;0,
     COUNTIFS($AT$3:$AT$201,$M84)&gt;0,
     COUNTIFS($AU$3:$AU$201,$M84)&gt;0,
     COUNTIFS($AV$3:$AV$201,$M84)&gt;0,
     COUNTIFS($AW$3:$AW$201,$M84)&gt;0,
     COUNTIFS($AX$3:$AX$201,$M84)&gt;0
   )),
  ),
  2
 ),
"")</f>
        <v/>
      </c>
      <c r="Q84" s="2" t="str" cm="1">
        <f t="array" aca="1" ref="Q84" ca="1">IFERROR(
 INDEX(
  _xlfn._xlws.FILTER($U$2:$AX$2,
   TRANSPOSE(
    CHOOSE({1;2;3;4;5;6;7;8;9;10;11;12;13;14;15;16;17;18;19;20;21;22;23;24;25;26;27;28;29;30},
     COUNTIFS($U$3:$U$201,$M84)&gt;0,
     COUNTIFS($V$3:$V$201,$M84)&gt;0,
     COUNTIFS($W$3:$W$201,$M84)&gt;0,
     COUNTIFS($X$3:$X$201,$M84)&gt;0,
     COUNTIFS($Y$3:$Y$201,$M84)&gt;0,
     COUNTIFS($Z$3:$Z$201,$M84)&gt;0,
     COUNTIFS($AA$3:$AA$201,$M84)&gt;0,
     COUNTIFS($AB$3:$AB$201,$M84)&gt;0,
     COUNTIFS($AC$3:$AC$201,$M84)&gt;0,
     COUNTIFS($AD$3:$AD$201,$M84)&gt;0,
     COUNTIFS($AE$3:$AE$201,$M84)&gt;0,
     COUNTIFS($AF$3:$AF$201,$M84)&gt;0,
     COUNTIFS($AG$3:$AG$201,$M84)&gt;0,
     COUNTIFS($AH$3:$AH$201,$M84)&gt;0,
     COUNTIFS($AI$3:$AI$201,$M84)&gt;0,
     COUNTIFS($AJ$3:$AJ$201,$M84)&gt;0,
     COUNTIFS($AK$3:$AK$201,$M84)&gt;0,
     COUNTIFS($AL$3:$AL$201,$M84)&gt;0,
     COUNTIFS($AM$3:$AM$201,$M84)&gt;0,
     COUNTIFS($AN$3:$AN$201,$M84)&gt;0,
     COUNTIFS($AO$3:$AO$201,$M84)&gt;0,
     COUNTIFS($AP$3:$AP$201,$M84)&gt;0,
     COUNTIFS($AQ$3:$AQ$201,$M84)&gt;0,
     COUNTIFS($AR$3:$AR$201,$M84)&gt;0,
     COUNTIFS($AS$3:$AS$201,$M84)&gt;0,
     COUNTIFS($AT$3:$AT$201,$M84)&gt;0,
     COUNTIFS($AU$3:$AU$201,$M84)&gt;0,
     COUNTIFS($AV$3:$AV$201,$M84)&gt;0,
     COUNTIFS($AW$3:$AW$201,$M84)&gt;0,
     COUNTIFS($AX$3:$AX$201,$M84)&gt;0
   )),
  ),
  3
 ),
"")</f>
        <v/>
      </c>
      <c r="EF84" t="str">
        <f ca="1"/>
        <v>The Hunger Tide Rises</v>
      </c>
      <c r="EO84" t="str">
        <f ca="1"/>
        <v>Master of Death</v>
      </c>
      <c r="ET84" t="str">
        <f ca="1"/>
        <v>High Priest of Penance</v>
      </c>
      <c r="EW84" t="str">
        <f ca="1"/>
        <v>Hedron Archive</v>
      </c>
    </row>
    <row r="85" spans="1:153" x14ac:dyDescent="0.25">
      <c r="A85" t="str">
        <f ca="1"/>
        <v>Chaos Warp</v>
      </c>
      <c r="B85" s="2" t="str" cm="1">
        <f t="array" aca="1" ref="B85" ca="1">_xlfn.ANCHORARRAY(RESUMO!C84)</f>
        <v>Baylen</v>
      </c>
      <c r="C85" s="2" t="str">
        <f t="shared" ca="1" si="4"/>
        <v>Sisay</v>
      </c>
      <c r="E85" t="str">
        <f ca="1"/>
        <v>Hidden Courtyard</v>
      </c>
      <c r="F85" s="2">
        <f t="shared" ca="1" si="7"/>
        <v>1</v>
      </c>
      <c r="G85" s="2" t="str">
        <f t="shared" ca="1" si="5"/>
        <v>Modular</v>
      </c>
      <c r="I85" s="18"/>
      <c r="J85" t="s">
        <v>180</v>
      </c>
      <c r="K85" s="2">
        <v>1</v>
      </c>
      <c r="M85" t="str">
        <f ca="1"/>
        <v>Hidden Courtyard</v>
      </c>
      <c r="N85" s="2">
        <f t="shared" ca="1" si="6"/>
        <v>1</v>
      </c>
      <c r="O85" s="2" t="str">
        <f ca="1">IFERROR(
 INDEX($U$2:$AX$2,
  MATCH(TRUE,
   CHOOSE({1;2;3;4;5;6;7;8;9;10;11;12;13;14;15;16;17;18;19;20;21;22;23;24;25;26;27;28;29;30;31;32},
    COUNTIFS($U$3:$U$201,$M85)&gt;0,
    COUNTIFS($V$3:$V$201,$M85)&gt;0,
    COUNTIFS($W$3:$W$201,$M85)&gt;0,
    COUNTIFS($X$3:$X$201,$M85)&gt;0,
    COUNTIFS($Y$3:$Y$201,$M85)&gt;0,
    COUNTIFS($Z$3:$Z$201,$M85)&gt;0,
    COUNTIFS($AA$3:$AA$201,$M85)&gt;0,
    COUNTIFS($AB$3:$AB$201,$M85)&gt;0,
    COUNTIFS($AC$3:$AC$201,$M85)&gt;0,
    COUNTIFS($AD$3:$AD$201,$M85)&gt;0,
    COUNTIFS($AE$3:$AE$201,$M85)&gt;0,
    COUNTIFS($AF$3:$AF$201,$M85)&gt;0,
    COUNTIFS($AG$3:$AG$201,$M85)&gt;0,
    COUNTIFS($AH$3:$AH$201,$M85)&gt;0,
    COUNTIFS($AI$3:$AI$201,$M85)&gt;0,
    COUNTIFS($AJ$3:$AJ$201,$M85)&gt;0,
    COUNTIFS($AK$3:$AK$201,$M85)&gt;0,
    COUNTIFS($AL$3:$AL$201,$M85)&gt;0,
    COUNTIFS($AM$3:$AM$201,$M85)&gt;0,
    COUNTIFS($AN$3:$AN$201,$M85)&gt;0,
    COUNTIFS($AO$3:$AO$201,$M85)&gt;0,
    COUNTIFS($AP$3:$AP$201,$M85)&gt;0,
    COUNTIFS($AQ$3:$AQ$201,$M85)&gt;0,
    COUNTIFS($AR$3:$AR$201,$M85)&gt;0,
    COUNTIFS($AS$3:$AS$201,$M85)&gt;0,
    COUNTIFS($AT$3:$AT$201,$M85)&gt;0,
    COUNTIFS($AU$3:$AU$201,$M85)&gt;0,
    COUNTIFS($AV$3:$AV$201,$M85)&gt;0,
    COUNTIFS($AW$3:$AW$201,$M85)&gt;0,
    COUNTIFS($AX$3:$AX$201,$M85)&gt;0
   ),
  0)
 ),
"")</f>
        <v>Modular</v>
      </c>
      <c r="P85" s="2" t="str" cm="1">
        <f t="array" aca="1" ref="P85" ca="1">IFERROR(
 INDEX(
  _xlfn._xlws.FILTER($U$2:$AX$2,
   TRANSPOSE(
    CHOOSE({1;2;3;4;5;6;7;8;9;10;11;12;13;14;15;16;17;18;19;20;21;22;23;24;25;26;27;28;29;30},
     COUNTIFS($U$3:$U$201,$M85)&gt;0,
     COUNTIFS($V$3:$V$201,$M85)&gt;0,
     COUNTIFS($W$3:$W$201,$M85)&gt;0,
     COUNTIFS($X$3:$X$201,$M85)&gt;0,
     COUNTIFS($Y$3:$Y$201,$M85)&gt;0,
     COUNTIFS($Z$3:$Z$201,$M85)&gt;0,
     COUNTIFS($AA$3:$AA$201,$M85)&gt;0,
     COUNTIFS($AB$3:$AB$201,$M85)&gt;0,
     COUNTIFS($AC$3:$AC$201,$M85)&gt;0,
     COUNTIFS($AD$3:$AD$201,$M85)&gt;0,
     COUNTIFS($AE$3:$AE$201,$M85)&gt;0,
     COUNTIFS($AF$3:$AF$201,$M85)&gt;0,
     COUNTIFS($AG$3:$AG$201,$M85)&gt;0,
     COUNTIFS($AH$3:$AH$201,$M85)&gt;0,
     COUNTIFS($AI$3:$AI$201,$M85)&gt;0,
     COUNTIFS($AJ$3:$AJ$201,$M85)&gt;0,
     COUNTIFS($AK$3:$AK$201,$M85)&gt;0,
     COUNTIFS($AL$3:$AL$201,$M85)&gt;0,
     COUNTIFS($AM$3:$AM$201,$M85)&gt;0,
     COUNTIFS($AN$3:$AN$201,$M85)&gt;0,
     COUNTIFS($AO$3:$AO$201,$M85)&gt;0,
     COUNTIFS($AP$3:$AP$201,$M85)&gt;0,
     COUNTIFS($AQ$3:$AQ$201,$M85)&gt;0,
     COUNTIFS($AR$3:$AR$201,$M85)&gt;0,
     COUNTIFS($AS$3:$AS$201,$M85)&gt;0,
     COUNTIFS($AT$3:$AT$201,$M85)&gt;0,
     COUNTIFS($AU$3:$AU$201,$M85)&gt;0,
     COUNTIFS($AV$3:$AV$201,$M85)&gt;0,
     COUNTIFS($AW$3:$AW$201,$M85)&gt;0,
     COUNTIFS($AX$3:$AX$201,$M85)&gt;0
   )),
  ),
  2
 ),
"")</f>
        <v/>
      </c>
      <c r="Q85" s="2" t="str" cm="1">
        <f t="array" aca="1" ref="Q85" ca="1">IFERROR(
 INDEX(
  _xlfn._xlws.FILTER($U$2:$AX$2,
   TRANSPOSE(
    CHOOSE({1;2;3;4;5;6;7;8;9;10;11;12;13;14;15;16;17;18;19;20;21;22;23;24;25;26;27;28;29;30},
     COUNTIFS($U$3:$U$201,$M85)&gt;0,
     COUNTIFS($V$3:$V$201,$M85)&gt;0,
     COUNTIFS($W$3:$W$201,$M85)&gt;0,
     COUNTIFS($X$3:$X$201,$M85)&gt;0,
     COUNTIFS($Y$3:$Y$201,$M85)&gt;0,
     COUNTIFS($Z$3:$Z$201,$M85)&gt;0,
     COUNTIFS($AA$3:$AA$201,$M85)&gt;0,
     COUNTIFS($AB$3:$AB$201,$M85)&gt;0,
     COUNTIFS($AC$3:$AC$201,$M85)&gt;0,
     COUNTIFS($AD$3:$AD$201,$M85)&gt;0,
     COUNTIFS($AE$3:$AE$201,$M85)&gt;0,
     COUNTIFS($AF$3:$AF$201,$M85)&gt;0,
     COUNTIFS($AG$3:$AG$201,$M85)&gt;0,
     COUNTIFS($AH$3:$AH$201,$M85)&gt;0,
     COUNTIFS($AI$3:$AI$201,$M85)&gt;0,
     COUNTIFS($AJ$3:$AJ$201,$M85)&gt;0,
     COUNTIFS($AK$3:$AK$201,$M85)&gt;0,
     COUNTIFS($AL$3:$AL$201,$M85)&gt;0,
     COUNTIFS($AM$3:$AM$201,$M85)&gt;0,
     COUNTIFS($AN$3:$AN$201,$M85)&gt;0,
     COUNTIFS($AO$3:$AO$201,$M85)&gt;0,
     COUNTIFS($AP$3:$AP$201,$M85)&gt;0,
     COUNTIFS($AQ$3:$AQ$201,$M85)&gt;0,
     COUNTIFS($AR$3:$AR$201,$M85)&gt;0,
     COUNTIFS($AS$3:$AS$201,$M85)&gt;0,
     COUNTIFS($AT$3:$AT$201,$M85)&gt;0,
     COUNTIFS($AU$3:$AU$201,$M85)&gt;0,
     COUNTIFS($AV$3:$AV$201,$M85)&gt;0,
     COUNTIFS($AW$3:$AW$201,$M85)&gt;0,
     COUNTIFS($AX$3:$AX$201,$M85)&gt;0
   )),
  ),
  3
 ),
"")</f>
        <v/>
      </c>
      <c r="EF85" t="str">
        <f ca="1"/>
        <v>Thieving Skydiver</v>
      </c>
      <c r="EO85" t="str">
        <f ca="1"/>
        <v>Midnight Guard</v>
      </c>
      <c r="ET85" t="str">
        <f ca="1"/>
        <v>Horda Germinal</v>
      </c>
      <c r="EW85" t="str">
        <f ca="1"/>
        <v>Hidden Courtyard</v>
      </c>
    </row>
    <row r="86" spans="1:153" x14ac:dyDescent="0.25">
      <c r="A86" t="str">
        <f ca="1"/>
        <v>Charming Prince</v>
      </c>
      <c r="B86" s="2" t="str" cm="1">
        <f t="array" aca="1" ref="B86" ca="1">_xlfn.ANCHORARRAY(RESUMO!C85)</f>
        <v>Yorion</v>
      </c>
      <c r="C86" s="2" t="str">
        <f t="shared" ca="1" si="4"/>
        <v/>
      </c>
      <c r="E86" t="str">
        <f ca="1"/>
        <v>Hidden Nursery</v>
      </c>
      <c r="F86" s="2">
        <f t="shared" ca="1" si="7"/>
        <v>1</v>
      </c>
      <c r="G86" s="2" t="str">
        <f t="shared" ca="1" si="5"/>
        <v>Modular</v>
      </c>
      <c r="I86" s="18"/>
      <c r="J86" t="s">
        <v>180</v>
      </c>
      <c r="K86" s="2">
        <v>1</v>
      </c>
      <c r="M86" t="str">
        <f ca="1"/>
        <v>Hidden Nursery</v>
      </c>
      <c r="N86" s="2">
        <f t="shared" ca="1" si="6"/>
        <v>1</v>
      </c>
      <c r="O86" s="2" t="str">
        <f ca="1">IFERROR(
 INDEX($U$2:$AX$2,
  MATCH(TRUE,
   CHOOSE({1;2;3;4;5;6;7;8;9;10;11;12;13;14;15;16;17;18;19;20;21;22;23;24;25;26;27;28;29;30;31;32},
    COUNTIFS($U$3:$U$201,$M86)&gt;0,
    COUNTIFS($V$3:$V$201,$M86)&gt;0,
    COUNTIFS($W$3:$W$201,$M86)&gt;0,
    COUNTIFS($X$3:$X$201,$M86)&gt;0,
    COUNTIFS($Y$3:$Y$201,$M86)&gt;0,
    COUNTIFS($Z$3:$Z$201,$M86)&gt;0,
    COUNTIFS($AA$3:$AA$201,$M86)&gt;0,
    COUNTIFS($AB$3:$AB$201,$M86)&gt;0,
    COUNTIFS($AC$3:$AC$201,$M86)&gt;0,
    COUNTIFS($AD$3:$AD$201,$M86)&gt;0,
    COUNTIFS($AE$3:$AE$201,$M86)&gt;0,
    COUNTIFS($AF$3:$AF$201,$M86)&gt;0,
    COUNTIFS($AG$3:$AG$201,$M86)&gt;0,
    COUNTIFS($AH$3:$AH$201,$M86)&gt;0,
    COUNTIFS($AI$3:$AI$201,$M86)&gt;0,
    COUNTIFS($AJ$3:$AJ$201,$M86)&gt;0,
    COUNTIFS($AK$3:$AK$201,$M86)&gt;0,
    COUNTIFS($AL$3:$AL$201,$M86)&gt;0,
    COUNTIFS($AM$3:$AM$201,$M86)&gt;0,
    COUNTIFS($AN$3:$AN$201,$M86)&gt;0,
    COUNTIFS($AO$3:$AO$201,$M86)&gt;0,
    COUNTIFS($AP$3:$AP$201,$M86)&gt;0,
    COUNTIFS($AQ$3:$AQ$201,$M86)&gt;0,
    COUNTIFS($AR$3:$AR$201,$M86)&gt;0,
    COUNTIFS($AS$3:$AS$201,$M86)&gt;0,
    COUNTIFS($AT$3:$AT$201,$M86)&gt;0,
    COUNTIFS($AU$3:$AU$201,$M86)&gt;0,
    COUNTIFS($AV$3:$AV$201,$M86)&gt;0,
    COUNTIFS($AW$3:$AW$201,$M86)&gt;0,
    COUNTIFS($AX$3:$AX$201,$M86)&gt;0
   ),
  0)
 ),
"")</f>
        <v>Modular</v>
      </c>
      <c r="P86" s="2" t="str" cm="1">
        <f t="array" aca="1" ref="P86" ca="1">IFERROR(
 INDEX(
  _xlfn._xlws.FILTER($U$2:$AX$2,
   TRANSPOSE(
    CHOOSE({1;2;3;4;5;6;7;8;9;10;11;12;13;14;15;16;17;18;19;20;21;22;23;24;25;26;27;28;29;30},
     COUNTIFS($U$3:$U$201,$M86)&gt;0,
     COUNTIFS($V$3:$V$201,$M86)&gt;0,
     COUNTIFS($W$3:$W$201,$M86)&gt;0,
     COUNTIFS($X$3:$X$201,$M86)&gt;0,
     COUNTIFS($Y$3:$Y$201,$M86)&gt;0,
     COUNTIFS($Z$3:$Z$201,$M86)&gt;0,
     COUNTIFS($AA$3:$AA$201,$M86)&gt;0,
     COUNTIFS($AB$3:$AB$201,$M86)&gt;0,
     COUNTIFS($AC$3:$AC$201,$M86)&gt;0,
     COUNTIFS($AD$3:$AD$201,$M86)&gt;0,
     COUNTIFS($AE$3:$AE$201,$M86)&gt;0,
     COUNTIFS($AF$3:$AF$201,$M86)&gt;0,
     COUNTIFS($AG$3:$AG$201,$M86)&gt;0,
     COUNTIFS($AH$3:$AH$201,$M86)&gt;0,
     COUNTIFS($AI$3:$AI$201,$M86)&gt;0,
     COUNTIFS($AJ$3:$AJ$201,$M86)&gt;0,
     COUNTIFS($AK$3:$AK$201,$M86)&gt;0,
     COUNTIFS($AL$3:$AL$201,$M86)&gt;0,
     COUNTIFS($AM$3:$AM$201,$M86)&gt;0,
     COUNTIFS($AN$3:$AN$201,$M86)&gt;0,
     COUNTIFS($AO$3:$AO$201,$M86)&gt;0,
     COUNTIFS($AP$3:$AP$201,$M86)&gt;0,
     COUNTIFS($AQ$3:$AQ$201,$M86)&gt;0,
     COUNTIFS($AR$3:$AR$201,$M86)&gt;0,
     COUNTIFS($AS$3:$AS$201,$M86)&gt;0,
     COUNTIFS($AT$3:$AT$201,$M86)&gt;0,
     COUNTIFS($AU$3:$AU$201,$M86)&gt;0,
     COUNTIFS($AV$3:$AV$201,$M86)&gt;0,
     COUNTIFS($AW$3:$AW$201,$M86)&gt;0,
     COUNTIFS($AX$3:$AX$201,$M86)&gt;0
   )),
  ),
  2
 ),
"")</f>
        <v/>
      </c>
      <c r="Q86" s="2" t="str" cm="1">
        <f t="array" aca="1" ref="Q86" ca="1">IFERROR(
 INDEX(
  _xlfn._xlws.FILTER($U$2:$AX$2,
   TRANSPOSE(
    CHOOSE({1;2;3;4;5;6;7;8;9;10;11;12;13;14;15;16;17;18;19;20;21;22;23;24;25;26;27;28;29;30},
     COUNTIFS($U$3:$U$201,$M86)&gt;0,
     COUNTIFS($V$3:$V$201,$M86)&gt;0,
     COUNTIFS($W$3:$W$201,$M86)&gt;0,
     COUNTIFS($X$3:$X$201,$M86)&gt;0,
     COUNTIFS($Y$3:$Y$201,$M86)&gt;0,
     COUNTIFS($Z$3:$Z$201,$M86)&gt;0,
     COUNTIFS($AA$3:$AA$201,$M86)&gt;0,
     COUNTIFS($AB$3:$AB$201,$M86)&gt;0,
     COUNTIFS($AC$3:$AC$201,$M86)&gt;0,
     COUNTIFS($AD$3:$AD$201,$M86)&gt;0,
     COUNTIFS($AE$3:$AE$201,$M86)&gt;0,
     COUNTIFS($AF$3:$AF$201,$M86)&gt;0,
     COUNTIFS($AG$3:$AG$201,$M86)&gt;0,
     COUNTIFS($AH$3:$AH$201,$M86)&gt;0,
     COUNTIFS($AI$3:$AI$201,$M86)&gt;0,
     COUNTIFS($AJ$3:$AJ$201,$M86)&gt;0,
     COUNTIFS($AK$3:$AK$201,$M86)&gt;0,
     COUNTIFS($AL$3:$AL$201,$M86)&gt;0,
     COUNTIFS($AM$3:$AM$201,$M86)&gt;0,
     COUNTIFS($AN$3:$AN$201,$M86)&gt;0,
     COUNTIFS($AO$3:$AO$201,$M86)&gt;0,
     COUNTIFS($AP$3:$AP$201,$M86)&gt;0,
     COUNTIFS($AQ$3:$AQ$201,$M86)&gt;0,
     COUNTIFS($AR$3:$AR$201,$M86)&gt;0,
     COUNTIFS($AS$3:$AS$201,$M86)&gt;0,
     COUNTIFS($AT$3:$AT$201,$M86)&gt;0,
     COUNTIFS($AU$3:$AU$201,$M86)&gt;0,
     COUNTIFS($AV$3:$AV$201,$M86)&gt;0,
     COUNTIFS($AW$3:$AW$201,$M86)&gt;0,
     COUNTIFS($AX$3:$AX$201,$M86)&gt;0
   )),
  ),
  3
 ),
"")</f>
        <v/>
      </c>
      <c r="EF86" t="str">
        <f ca="1"/>
        <v>Thorough Investigation</v>
      </c>
      <c r="EO86" t="str">
        <f ca="1"/>
        <v>Mind Stone</v>
      </c>
      <c r="ET86" t="str">
        <f ca="1"/>
        <v>Horn of Valhalla // Ysgard's Call</v>
      </c>
      <c r="EW86" t="str">
        <f ca="1"/>
        <v>Hidden Nursery</v>
      </c>
    </row>
    <row r="87" spans="1:153" x14ac:dyDescent="0.25">
      <c r="A87" t="str">
        <f ca="1"/>
        <v>Cid, Freeflier Pilot</v>
      </c>
      <c r="B87" s="2" t="str" cm="1">
        <f t="array" aca="1" ref="B87" ca="1">_xlfn.ANCHORARRAY(RESUMO!C86)</f>
        <v>Akiri</v>
      </c>
      <c r="C87" s="2" t="str">
        <f t="shared" ca="1" si="4"/>
        <v/>
      </c>
      <c r="E87" t="str">
        <f ca="1"/>
        <v>Hidden Volcano</v>
      </c>
      <c r="F87" s="2">
        <f t="shared" ca="1" si="7"/>
        <v>1</v>
      </c>
      <c r="G87" s="2" t="str">
        <f t="shared" ca="1" si="5"/>
        <v>Modular</v>
      </c>
      <c r="I87" s="18"/>
      <c r="J87" t="s">
        <v>180</v>
      </c>
      <c r="K87" s="2">
        <v>1</v>
      </c>
      <c r="M87" t="str">
        <f ca="1"/>
        <v>Hidden Volcano</v>
      </c>
      <c r="N87" s="2">
        <f t="shared" ca="1" si="6"/>
        <v>1</v>
      </c>
      <c r="O87" s="2" t="str">
        <f ca="1">IFERROR(
 INDEX($U$2:$AX$2,
  MATCH(TRUE,
   CHOOSE({1;2;3;4;5;6;7;8;9;10;11;12;13;14;15;16;17;18;19;20;21;22;23;24;25;26;27;28;29;30;31;32},
    COUNTIFS($U$3:$U$201,$M87)&gt;0,
    COUNTIFS($V$3:$V$201,$M87)&gt;0,
    COUNTIFS($W$3:$W$201,$M87)&gt;0,
    COUNTIFS($X$3:$X$201,$M87)&gt;0,
    COUNTIFS($Y$3:$Y$201,$M87)&gt;0,
    COUNTIFS($Z$3:$Z$201,$M87)&gt;0,
    COUNTIFS($AA$3:$AA$201,$M87)&gt;0,
    COUNTIFS($AB$3:$AB$201,$M87)&gt;0,
    COUNTIFS($AC$3:$AC$201,$M87)&gt;0,
    COUNTIFS($AD$3:$AD$201,$M87)&gt;0,
    COUNTIFS($AE$3:$AE$201,$M87)&gt;0,
    COUNTIFS($AF$3:$AF$201,$M87)&gt;0,
    COUNTIFS($AG$3:$AG$201,$M87)&gt;0,
    COUNTIFS($AH$3:$AH$201,$M87)&gt;0,
    COUNTIFS($AI$3:$AI$201,$M87)&gt;0,
    COUNTIFS($AJ$3:$AJ$201,$M87)&gt;0,
    COUNTIFS($AK$3:$AK$201,$M87)&gt;0,
    COUNTIFS($AL$3:$AL$201,$M87)&gt;0,
    COUNTIFS($AM$3:$AM$201,$M87)&gt;0,
    COUNTIFS($AN$3:$AN$201,$M87)&gt;0,
    COUNTIFS($AO$3:$AO$201,$M87)&gt;0,
    COUNTIFS($AP$3:$AP$201,$M87)&gt;0,
    COUNTIFS($AQ$3:$AQ$201,$M87)&gt;0,
    COUNTIFS($AR$3:$AR$201,$M87)&gt;0,
    COUNTIFS($AS$3:$AS$201,$M87)&gt;0,
    COUNTIFS($AT$3:$AT$201,$M87)&gt;0,
    COUNTIFS($AU$3:$AU$201,$M87)&gt;0,
    COUNTIFS($AV$3:$AV$201,$M87)&gt;0,
    COUNTIFS($AW$3:$AW$201,$M87)&gt;0,
    COUNTIFS($AX$3:$AX$201,$M87)&gt;0
   ),
  0)
 ),
"")</f>
        <v>Modular</v>
      </c>
      <c r="P87" s="2" t="str" cm="1">
        <f t="array" aca="1" ref="P87" ca="1">IFERROR(
 INDEX(
  _xlfn._xlws.FILTER($U$2:$AX$2,
   TRANSPOSE(
    CHOOSE({1;2;3;4;5;6;7;8;9;10;11;12;13;14;15;16;17;18;19;20;21;22;23;24;25;26;27;28;29;30},
     COUNTIFS($U$3:$U$201,$M87)&gt;0,
     COUNTIFS($V$3:$V$201,$M87)&gt;0,
     COUNTIFS($W$3:$W$201,$M87)&gt;0,
     COUNTIFS($X$3:$X$201,$M87)&gt;0,
     COUNTIFS($Y$3:$Y$201,$M87)&gt;0,
     COUNTIFS($Z$3:$Z$201,$M87)&gt;0,
     COUNTIFS($AA$3:$AA$201,$M87)&gt;0,
     COUNTIFS($AB$3:$AB$201,$M87)&gt;0,
     COUNTIFS($AC$3:$AC$201,$M87)&gt;0,
     COUNTIFS($AD$3:$AD$201,$M87)&gt;0,
     COUNTIFS($AE$3:$AE$201,$M87)&gt;0,
     COUNTIFS($AF$3:$AF$201,$M87)&gt;0,
     COUNTIFS($AG$3:$AG$201,$M87)&gt;0,
     COUNTIFS($AH$3:$AH$201,$M87)&gt;0,
     COUNTIFS($AI$3:$AI$201,$M87)&gt;0,
     COUNTIFS($AJ$3:$AJ$201,$M87)&gt;0,
     COUNTIFS($AK$3:$AK$201,$M87)&gt;0,
     COUNTIFS($AL$3:$AL$201,$M87)&gt;0,
     COUNTIFS($AM$3:$AM$201,$M87)&gt;0,
     COUNTIFS($AN$3:$AN$201,$M87)&gt;0,
     COUNTIFS($AO$3:$AO$201,$M87)&gt;0,
     COUNTIFS($AP$3:$AP$201,$M87)&gt;0,
     COUNTIFS($AQ$3:$AQ$201,$M87)&gt;0,
     COUNTIFS($AR$3:$AR$201,$M87)&gt;0,
     COUNTIFS($AS$3:$AS$201,$M87)&gt;0,
     COUNTIFS($AT$3:$AT$201,$M87)&gt;0,
     COUNTIFS($AU$3:$AU$201,$M87)&gt;0,
     COUNTIFS($AV$3:$AV$201,$M87)&gt;0,
     COUNTIFS($AW$3:$AW$201,$M87)&gt;0,
     COUNTIFS($AX$3:$AX$201,$M87)&gt;0
   )),
  ),
  2
 ),
"")</f>
        <v/>
      </c>
      <c r="Q87" s="2" t="str" cm="1">
        <f t="array" aca="1" ref="Q87" ca="1">IFERROR(
 INDEX(
  _xlfn._xlws.FILTER($U$2:$AX$2,
   TRANSPOSE(
    CHOOSE({1;2;3;4;5;6;7;8;9;10;11;12;13;14;15;16;17;18;19;20;21;22;23;24;25;26;27;28;29;30},
     COUNTIFS($U$3:$U$201,$M87)&gt;0,
     COUNTIFS($V$3:$V$201,$M87)&gt;0,
     COUNTIFS($W$3:$W$201,$M87)&gt;0,
     COUNTIFS($X$3:$X$201,$M87)&gt;0,
     COUNTIFS($Y$3:$Y$201,$M87)&gt;0,
     COUNTIFS($Z$3:$Z$201,$M87)&gt;0,
     COUNTIFS($AA$3:$AA$201,$M87)&gt;0,
     COUNTIFS($AB$3:$AB$201,$M87)&gt;0,
     COUNTIFS($AC$3:$AC$201,$M87)&gt;0,
     COUNTIFS($AD$3:$AD$201,$M87)&gt;0,
     COUNTIFS($AE$3:$AE$201,$M87)&gt;0,
     COUNTIFS($AF$3:$AF$201,$M87)&gt;0,
     COUNTIFS($AG$3:$AG$201,$M87)&gt;0,
     COUNTIFS($AH$3:$AH$201,$M87)&gt;0,
     COUNTIFS($AI$3:$AI$201,$M87)&gt;0,
     COUNTIFS($AJ$3:$AJ$201,$M87)&gt;0,
     COUNTIFS($AK$3:$AK$201,$M87)&gt;0,
     COUNTIFS($AL$3:$AL$201,$M87)&gt;0,
     COUNTIFS($AM$3:$AM$201,$M87)&gt;0,
     COUNTIFS($AN$3:$AN$201,$M87)&gt;0,
     COUNTIFS($AO$3:$AO$201,$M87)&gt;0,
     COUNTIFS($AP$3:$AP$201,$M87)&gt;0,
     COUNTIFS($AQ$3:$AQ$201,$M87)&gt;0,
     COUNTIFS($AR$3:$AR$201,$M87)&gt;0,
     COUNTIFS($AS$3:$AS$201,$M87)&gt;0,
     COUNTIFS($AT$3:$AT$201,$M87)&gt;0,
     COUNTIFS($AU$3:$AU$201,$M87)&gt;0,
     COUNTIFS($AV$3:$AV$201,$M87)&gt;0,
     COUNTIFS($AW$3:$AW$201,$M87)&gt;0,
     COUNTIFS($AX$3:$AX$201,$M87)&gt;0
   )),
  ),
  3
 ),
"")</f>
        <v/>
      </c>
      <c r="EF87" t="str">
        <f ca="1"/>
        <v>Titanic Ultimatum</v>
      </c>
      <c r="EO87" t="str">
        <f ca="1"/>
        <v>Molten Slagheap</v>
      </c>
      <c r="ET87" t="str">
        <f ca="1"/>
        <v>Ilha</v>
      </c>
      <c r="EW87" t="str">
        <f ca="1"/>
        <v>Hidden Volcano</v>
      </c>
    </row>
    <row r="88" spans="1:153" x14ac:dyDescent="0.25">
      <c r="A88" t="str">
        <f ca="1"/>
        <v>Cinder Glade</v>
      </c>
      <c r="B88" s="2" t="str" cm="1">
        <f t="array" aca="1" ref="B88" ca="1">_xlfn.ANCHORARRAY(RESUMO!C87)</f>
        <v>Little</v>
      </c>
      <c r="C88" s="2" t="str">
        <f t="shared" ca="1" si="4"/>
        <v/>
      </c>
      <c r="E88" t="str">
        <f ca="1"/>
        <v>High Priest of Penance</v>
      </c>
      <c r="F88" s="2">
        <f t="shared" ca="1" si="7"/>
        <v>1</v>
      </c>
      <c r="G88" s="2" t="str">
        <f t="shared" ca="1" si="5"/>
        <v>Carlos</v>
      </c>
      <c r="I88" s="18"/>
      <c r="J88" t="s">
        <v>180</v>
      </c>
      <c r="K88" s="2">
        <v>1</v>
      </c>
      <c r="M88" t="str">
        <f ca="1"/>
        <v>High Priest of Penance</v>
      </c>
      <c r="N88" s="2">
        <f t="shared" ca="1" si="6"/>
        <v>1</v>
      </c>
      <c r="O88" s="2" t="str">
        <f ca="1">IFERROR(
 INDEX($U$2:$AX$2,
  MATCH(TRUE,
   CHOOSE({1;2;3;4;5;6;7;8;9;10;11;12;13;14;15;16;17;18;19;20;21;22;23;24;25;26;27;28;29;30;31;32},
    COUNTIFS($U$3:$U$201,$M88)&gt;0,
    COUNTIFS($V$3:$V$201,$M88)&gt;0,
    COUNTIFS($W$3:$W$201,$M88)&gt;0,
    COUNTIFS($X$3:$X$201,$M88)&gt;0,
    COUNTIFS($Y$3:$Y$201,$M88)&gt;0,
    COUNTIFS($Z$3:$Z$201,$M88)&gt;0,
    COUNTIFS($AA$3:$AA$201,$M88)&gt;0,
    COUNTIFS($AB$3:$AB$201,$M88)&gt;0,
    COUNTIFS($AC$3:$AC$201,$M88)&gt;0,
    COUNTIFS($AD$3:$AD$201,$M88)&gt;0,
    COUNTIFS($AE$3:$AE$201,$M88)&gt;0,
    COUNTIFS($AF$3:$AF$201,$M88)&gt;0,
    COUNTIFS($AG$3:$AG$201,$M88)&gt;0,
    COUNTIFS($AH$3:$AH$201,$M88)&gt;0,
    COUNTIFS($AI$3:$AI$201,$M88)&gt;0,
    COUNTIFS($AJ$3:$AJ$201,$M88)&gt;0,
    COUNTIFS($AK$3:$AK$201,$M88)&gt;0,
    COUNTIFS($AL$3:$AL$201,$M88)&gt;0,
    COUNTIFS($AM$3:$AM$201,$M88)&gt;0,
    COUNTIFS($AN$3:$AN$201,$M88)&gt;0,
    COUNTIFS($AO$3:$AO$201,$M88)&gt;0,
    COUNTIFS($AP$3:$AP$201,$M88)&gt;0,
    COUNTIFS($AQ$3:$AQ$201,$M88)&gt;0,
    COUNTIFS($AR$3:$AR$201,$M88)&gt;0,
    COUNTIFS($AS$3:$AS$201,$M88)&gt;0,
    COUNTIFS($AT$3:$AT$201,$M88)&gt;0,
    COUNTIFS($AU$3:$AU$201,$M88)&gt;0,
    COUNTIFS($AV$3:$AV$201,$M88)&gt;0,
    COUNTIFS($AW$3:$AW$201,$M88)&gt;0,
    COUNTIFS($AX$3:$AX$201,$M88)&gt;0
   ),
  0)
 ),
"")</f>
        <v>Carlos</v>
      </c>
      <c r="P88" s="2" t="str" cm="1">
        <f t="array" aca="1" ref="P88" ca="1">IFERROR(
 INDEX(
  _xlfn._xlws.FILTER($U$2:$AX$2,
   TRANSPOSE(
    CHOOSE({1;2;3;4;5;6;7;8;9;10;11;12;13;14;15;16;17;18;19;20;21;22;23;24;25;26;27;28;29;30},
     COUNTIFS($U$3:$U$201,$M88)&gt;0,
     COUNTIFS($V$3:$V$201,$M88)&gt;0,
     COUNTIFS($W$3:$W$201,$M88)&gt;0,
     COUNTIFS($X$3:$X$201,$M88)&gt;0,
     COUNTIFS($Y$3:$Y$201,$M88)&gt;0,
     COUNTIFS($Z$3:$Z$201,$M88)&gt;0,
     COUNTIFS($AA$3:$AA$201,$M88)&gt;0,
     COUNTIFS($AB$3:$AB$201,$M88)&gt;0,
     COUNTIFS($AC$3:$AC$201,$M88)&gt;0,
     COUNTIFS($AD$3:$AD$201,$M88)&gt;0,
     COUNTIFS($AE$3:$AE$201,$M88)&gt;0,
     COUNTIFS($AF$3:$AF$201,$M88)&gt;0,
     COUNTIFS($AG$3:$AG$201,$M88)&gt;0,
     COUNTIFS($AH$3:$AH$201,$M88)&gt;0,
     COUNTIFS($AI$3:$AI$201,$M88)&gt;0,
     COUNTIFS($AJ$3:$AJ$201,$M88)&gt;0,
     COUNTIFS($AK$3:$AK$201,$M88)&gt;0,
     COUNTIFS($AL$3:$AL$201,$M88)&gt;0,
     COUNTIFS($AM$3:$AM$201,$M88)&gt;0,
     COUNTIFS($AN$3:$AN$201,$M88)&gt;0,
     COUNTIFS($AO$3:$AO$201,$M88)&gt;0,
     COUNTIFS($AP$3:$AP$201,$M88)&gt;0,
     COUNTIFS($AQ$3:$AQ$201,$M88)&gt;0,
     COUNTIFS($AR$3:$AR$201,$M88)&gt;0,
     COUNTIFS($AS$3:$AS$201,$M88)&gt;0,
     COUNTIFS($AT$3:$AT$201,$M88)&gt;0,
     COUNTIFS($AU$3:$AU$201,$M88)&gt;0,
     COUNTIFS($AV$3:$AV$201,$M88)&gt;0,
     COUNTIFS($AW$3:$AW$201,$M88)&gt;0,
     COUNTIFS($AX$3:$AX$201,$M88)&gt;0
   )),
  ),
  2
 ),
"")</f>
        <v/>
      </c>
      <c r="Q88" s="2" t="str" cm="1">
        <f t="array" aca="1" ref="Q88" ca="1">IFERROR(
 INDEX(
  _xlfn._xlws.FILTER($U$2:$AX$2,
   TRANSPOSE(
    CHOOSE({1;2;3;4;5;6;7;8;9;10;11;12;13;14;15;16;17;18;19;20;21;22;23;24;25;26;27;28;29;30},
     COUNTIFS($U$3:$U$201,$M88)&gt;0,
     COUNTIFS($V$3:$V$201,$M88)&gt;0,
     COUNTIFS($W$3:$W$201,$M88)&gt;0,
     COUNTIFS($X$3:$X$201,$M88)&gt;0,
     COUNTIFS($Y$3:$Y$201,$M88)&gt;0,
     COUNTIFS($Z$3:$Z$201,$M88)&gt;0,
     COUNTIFS($AA$3:$AA$201,$M88)&gt;0,
     COUNTIFS($AB$3:$AB$201,$M88)&gt;0,
     COUNTIFS($AC$3:$AC$201,$M88)&gt;0,
     COUNTIFS($AD$3:$AD$201,$M88)&gt;0,
     COUNTIFS($AE$3:$AE$201,$M88)&gt;0,
     COUNTIFS($AF$3:$AF$201,$M88)&gt;0,
     COUNTIFS($AG$3:$AG$201,$M88)&gt;0,
     COUNTIFS($AH$3:$AH$201,$M88)&gt;0,
     COUNTIFS($AI$3:$AI$201,$M88)&gt;0,
     COUNTIFS($AJ$3:$AJ$201,$M88)&gt;0,
     COUNTIFS($AK$3:$AK$201,$M88)&gt;0,
     COUNTIFS($AL$3:$AL$201,$M88)&gt;0,
     COUNTIFS($AM$3:$AM$201,$M88)&gt;0,
     COUNTIFS($AN$3:$AN$201,$M88)&gt;0,
     COUNTIFS($AO$3:$AO$201,$M88)&gt;0,
     COUNTIFS($AP$3:$AP$201,$M88)&gt;0,
     COUNTIFS($AQ$3:$AQ$201,$M88)&gt;0,
     COUNTIFS($AR$3:$AR$201,$M88)&gt;0,
     COUNTIFS($AS$3:$AS$201,$M88)&gt;0,
     COUNTIFS($AT$3:$AT$201,$M88)&gt;0,
     COUNTIFS($AU$3:$AU$201,$M88)&gt;0,
     COUNTIFS($AV$3:$AV$201,$M88)&gt;0,
     COUNTIFS($AW$3:$AW$201,$M88)&gt;0,
     COUNTIFS($AX$3:$AX$201,$M88)&gt;0
   )),
  ),
  3
 ),
"")</f>
        <v/>
      </c>
      <c r="EF88" t="str">
        <f ca="1"/>
        <v>Tocasia's Welcome</v>
      </c>
      <c r="EO88" t="str">
        <f ca="1"/>
        <v>Morbid Opportunist</v>
      </c>
      <c r="ET88" t="str">
        <f ca="1"/>
        <v>Immortal Servitude</v>
      </c>
      <c r="EW88" t="str">
        <f ca="1"/>
        <v>High Priest of Penance</v>
      </c>
    </row>
    <row r="89" spans="1:153" x14ac:dyDescent="0.25">
      <c r="A89" t="str">
        <f ca="1"/>
        <v>Cinder Strike</v>
      </c>
      <c r="B89" s="2" t="str" cm="1">
        <f t="array" aca="1" ref="B89" ca="1">_xlfn.ANCHORARRAY(RESUMO!C88)</f>
        <v>Ool</v>
      </c>
      <c r="C89" s="2" t="str">
        <f t="shared" ca="1" si="4"/>
        <v/>
      </c>
      <c r="E89" t="str">
        <f ca="1"/>
        <v>Horda Germinal</v>
      </c>
      <c r="F89" s="2">
        <f t="shared" ca="1" si="7"/>
        <v>1</v>
      </c>
      <c r="G89" s="2" t="str">
        <f t="shared" ca="1" si="5"/>
        <v>Baylen</v>
      </c>
      <c r="I89" s="18"/>
      <c r="J89" t="s">
        <v>180</v>
      </c>
      <c r="K89" s="2">
        <v>1</v>
      </c>
      <c r="M89" t="str">
        <f ca="1"/>
        <v>Horda Germinal</v>
      </c>
      <c r="N89" s="2">
        <f t="shared" ca="1" si="6"/>
        <v>1</v>
      </c>
      <c r="O89" s="2" t="str">
        <f ca="1">IFERROR(
 INDEX($U$2:$AX$2,
  MATCH(TRUE,
   CHOOSE({1;2;3;4;5;6;7;8;9;10;11;12;13;14;15;16;17;18;19;20;21;22;23;24;25;26;27;28;29;30;31;32},
    COUNTIFS($U$3:$U$201,$M89)&gt;0,
    COUNTIFS($V$3:$V$201,$M89)&gt;0,
    COUNTIFS($W$3:$W$201,$M89)&gt;0,
    COUNTIFS($X$3:$X$201,$M89)&gt;0,
    COUNTIFS($Y$3:$Y$201,$M89)&gt;0,
    COUNTIFS($Z$3:$Z$201,$M89)&gt;0,
    COUNTIFS($AA$3:$AA$201,$M89)&gt;0,
    COUNTIFS($AB$3:$AB$201,$M89)&gt;0,
    COUNTIFS($AC$3:$AC$201,$M89)&gt;0,
    COUNTIFS($AD$3:$AD$201,$M89)&gt;0,
    COUNTIFS($AE$3:$AE$201,$M89)&gt;0,
    COUNTIFS($AF$3:$AF$201,$M89)&gt;0,
    COUNTIFS($AG$3:$AG$201,$M89)&gt;0,
    COUNTIFS($AH$3:$AH$201,$M89)&gt;0,
    COUNTIFS($AI$3:$AI$201,$M89)&gt;0,
    COUNTIFS($AJ$3:$AJ$201,$M89)&gt;0,
    COUNTIFS($AK$3:$AK$201,$M89)&gt;0,
    COUNTIFS($AL$3:$AL$201,$M89)&gt;0,
    COUNTIFS($AM$3:$AM$201,$M89)&gt;0,
    COUNTIFS($AN$3:$AN$201,$M89)&gt;0,
    COUNTIFS($AO$3:$AO$201,$M89)&gt;0,
    COUNTIFS($AP$3:$AP$201,$M89)&gt;0,
    COUNTIFS($AQ$3:$AQ$201,$M89)&gt;0,
    COUNTIFS($AR$3:$AR$201,$M89)&gt;0,
    COUNTIFS($AS$3:$AS$201,$M89)&gt;0,
    COUNTIFS($AT$3:$AT$201,$M89)&gt;0,
    COUNTIFS($AU$3:$AU$201,$M89)&gt;0,
    COUNTIFS($AV$3:$AV$201,$M89)&gt;0,
    COUNTIFS($AW$3:$AW$201,$M89)&gt;0,
    COUNTIFS($AX$3:$AX$201,$M89)&gt;0
   ),
  0)
 ),
"")</f>
        <v>Baylen</v>
      </c>
      <c r="P89" s="2" t="str" cm="1">
        <f t="array" aca="1" ref="P89" ca="1">IFERROR(
 INDEX(
  _xlfn._xlws.FILTER($U$2:$AX$2,
   TRANSPOSE(
    CHOOSE({1;2;3;4;5;6;7;8;9;10;11;12;13;14;15;16;17;18;19;20;21;22;23;24;25;26;27;28;29;30},
     COUNTIFS($U$3:$U$201,$M89)&gt;0,
     COUNTIFS($V$3:$V$201,$M89)&gt;0,
     COUNTIFS($W$3:$W$201,$M89)&gt;0,
     COUNTIFS($X$3:$X$201,$M89)&gt;0,
     COUNTIFS($Y$3:$Y$201,$M89)&gt;0,
     COUNTIFS($Z$3:$Z$201,$M89)&gt;0,
     COUNTIFS($AA$3:$AA$201,$M89)&gt;0,
     COUNTIFS($AB$3:$AB$201,$M89)&gt;0,
     COUNTIFS($AC$3:$AC$201,$M89)&gt;0,
     COUNTIFS($AD$3:$AD$201,$M89)&gt;0,
     COUNTIFS($AE$3:$AE$201,$M89)&gt;0,
     COUNTIFS($AF$3:$AF$201,$M89)&gt;0,
     COUNTIFS($AG$3:$AG$201,$M89)&gt;0,
     COUNTIFS($AH$3:$AH$201,$M89)&gt;0,
     COUNTIFS($AI$3:$AI$201,$M89)&gt;0,
     COUNTIFS($AJ$3:$AJ$201,$M89)&gt;0,
     COUNTIFS($AK$3:$AK$201,$M89)&gt;0,
     COUNTIFS($AL$3:$AL$201,$M89)&gt;0,
     COUNTIFS($AM$3:$AM$201,$M89)&gt;0,
     COUNTIFS($AN$3:$AN$201,$M89)&gt;0,
     COUNTIFS($AO$3:$AO$201,$M89)&gt;0,
     COUNTIFS($AP$3:$AP$201,$M89)&gt;0,
     COUNTIFS($AQ$3:$AQ$201,$M89)&gt;0,
     COUNTIFS($AR$3:$AR$201,$M89)&gt;0,
     COUNTIFS($AS$3:$AS$201,$M89)&gt;0,
     COUNTIFS($AT$3:$AT$201,$M89)&gt;0,
     COUNTIFS($AU$3:$AU$201,$M89)&gt;0,
     COUNTIFS($AV$3:$AV$201,$M89)&gt;0,
     COUNTIFS($AW$3:$AW$201,$M89)&gt;0,
     COUNTIFS($AX$3:$AX$201,$M89)&gt;0
   )),
  ),
  2
 ),
"")</f>
        <v/>
      </c>
      <c r="Q89" s="2" t="str" cm="1">
        <f t="array" aca="1" ref="Q89" ca="1">IFERROR(
 INDEX(
  _xlfn._xlws.FILTER($U$2:$AX$2,
   TRANSPOSE(
    CHOOSE({1;2;3;4;5;6;7;8;9;10;11;12;13;14;15;16;17;18;19;20;21;22;23;24;25;26;27;28;29;30},
     COUNTIFS($U$3:$U$201,$M89)&gt;0,
     COUNTIFS($V$3:$V$201,$M89)&gt;0,
     COUNTIFS($W$3:$W$201,$M89)&gt;0,
     COUNTIFS($X$3:$X$201,$M89)&gt;0,
     COUNTIFS($Y$3:$Y$201,$M89)&gt;0,
     COUNTIFS($Z$3:$Z$201,$M89)&gt;0,
     COUNTIFS($AA$3:$AA$201,$M89)&gt;0,
     COUNTIFS($AB$3:$AB$201,$M89)&gt;0,
     COUNTIFS($AC$3:$AC$201,$M89)&gt;0,
     COUNTIFS($AD$3:$AD$201,$M89)&gt;0,
     COUNTIFS($AE$3:$AE$201,$M89)&gt;0,
     COUNTIFS($AF$3:$AF$201,$M89)&gt;0,
     COUNTIFS($AG$3:$AG$201,$M89)&gt;0,
     COUNTIFS($AH$3:$AH$201,$M89)&gt;0,
     COUNTIFS($AI$3:$AI$201,$M89)&gt;0,
     COUNTIFS($AJ$3:$AJ$201,$M89)&gt;0,
     COUNTIFS($AK$3:$AK$201,$M89)&gt;0,
     COUNTIFS($AL$3:$AL$201,$M89)&gt;0,
     COUNTIFS($AM$3:$AM$201,$M89)&gt;0,
     COUNTIFS($AN$3:$AN$201,$M89)&gt;0,
     COUNTIFS($AO$3:$AO$201,$M89)&gt;0,
     COUNTIFS($AP$3:$AP$201,$M89)&gt;0,
     COUNTIFS($AQ$3:$AQ$201,$M89)&gt;0,
     COUNTIFS($AR$3:$AR$201,$M89)&gt;0,
     COUNTIFS($AS$3:$AS$201,$M89)&gt;0,
     COUNTIFS($AT$3:$AT$201,$M89)&gt;0,
     COUNTIFS($AU$3:$AU$201,$M89)&gt;0,
     COUNTIFS($AV$3:$AV$201,$M89)&gt;0,
     COUNTIFS($AW$3:$AW$201,$M89)&gt;0,
     COUNTIFS($AX$3:$AX$201,$M89)&gt;0
   )),
  ),
  3
 ),
"")</f>
        <v/>
      </c>
      <c r="EF89" t="str">
        <f ca="1"/>
        <v>Together Forever</v>
      </c>
      <c r="EO89" t="str">
        <f ca="1"/>
        <v>Mountain</v>
      </c>
      <c r="ET89" t="str">
        <f ca="1"/>
        <v>Incite Rebellion</v>
      </c>
      <c r="EW89" t="str">
        <f ca="1"/>
        <v>Horda Germinal</v>
      </c>
    </row>
    <row r="90" spans="1:153" x14ac:dyDescent="0.25">
      <c r="A90" t="str">
        <f ca="1"/>
        <v>Clever Concealment</v>
      </c>
      <c r="B90" s="2" t="str" cm="1">
        <f t="array" aca="1" ref="B90" ca="1">_xlfn.ANCHORARRAY(RESUMO!C89)</f>
        <v>Baylen</v>
      </c>
      <c r="C90" s="2" t="str">
        <f t="shared" ca="1" si="4"/>
        <v/>
      </c>
      <c r="E90" t="str">
        <f ca="1"/>
        <v>Horn of Valhalla // Ysgard's Call</v>
      </c>
      <c r="F90" s="2">
        <f t="shared" ca="1" si="7"/>
        <v>1</v>
      </c>
      <c r="G90" s="2" t="str">
        <f t="shared" ca="1" si="5"/>
        <v>Akiri</v>
      </c>
      <c r="I90" s="18"/>
      <c r="J90" t="s">
        <v>180</v>
      </c>
      <c r="K90" s="2">
        <v>1</v>
      </c>
      <c r="M90" t="str">
        <f ca="1"/>
        <v>Horn of Valhalla // Ysgard's Call</v>
      </c>
      <c r="N90" s="2">
        <f t="shared" ca="1" si="6"/>
        <v>1</v>
      </c>
      <c r="O90" s="2" t="str">
        <f ca="1">IFERROR(
 INDEX($U$2:$AX$2,
  MATCH(TRUE,
   CHOOSE({1;2;3;4;5;6;7;8;9;10;11;12;13;14;15;16;17;18;19;20;21;22;23;24;25;26;27;28;29;30;31;32},
    COUNTIFS($U$3:$U$201,$M90)&gt;0,
    COUNTIFS($V$3:$V$201,$M90)&gt;0,
    COUNTIFS($W$3:$W$201,$M90)&gt;0,
    COUNTIFS($X$3:$X$201,$M90)&gt;0,
    COUNTIFS($Y$3:$Y$201,$M90)&gt;0,
    COUNTIFS($Z$3:$Z$201,$M90)&gt;0,
    COUNTIFS($AA$3:$AA$201,$M90)&gt;0,
    COUNTIFS($AB$3:$AB$201,$M90)&gt;0,
    COUNTIFS($AC$3:$AC$201,$M90)&gt;0,
    COUNTIFS($AD$3:$AD$201,$M90)&gt;0,
    COUNTIFS($AE$3:$AE$201,$M90)&gt;0,
    COUNTIFS($AF$3:$AF$201,$M90)&gt;0,
    COUNTIFS($AG$3:$AG$201,$M90)&gt;0,
    COUNTIFS($AH$3:$AH$201,$M90)&gt;0,
    COUNTIFS($AI$3:$AI$201,$M90)&gt;0,
    COUNTIFS($AJ$3:$AJ$201,$M90)&gt;0,
    COUNTIFS($AK$3:$AK$201,$M90)&gt;0,
    COUNTIFS($AL$3:$AL$201,$M90)&gt;0,
    COUNTIFS($AM$3:$AM$201,$M90)&gt;0,
    COUNTIFS($AN$3:$AN$201,$M90)&gt;0,
    COUNTIFS($AO$3:$AO$201,$M90)&gt;0,
    COUNTIFS($AP$3:$AP$201,$M90)&gt;0,
    COUNTIFS($AQ$3:$AQ$201,$M90)&gt;0,
    COUNTIFS($AR$3:$AR$201,$M90)&gt;0,
    COUNTIFS($AS$3:$AS$201,$M90)&gt;0,
    COUNTIFS($AT$3:$AT$201,$M90)&gt;0,
    COUNTIFS($AU$3:$AU$201,$M90)&gt;0,
    COUNTIFS($AV$3:$AV$201,$M90)&gt;0,
    COUNTIFS($AW$3:$AW$201,$M90)&gt;0,
    COUNTIFS($AX$3:$AX$201,$M90)&gt;0
   ),
  0)
 ),
"")</f>
        <v>Akiri</v>
      </c>
      <c r="P90" s="2" t="str" cm="1">
        <f t="array" aca="1" ref="P90" ca="1">IFERROR(
 INDEX(
  _xlfn._xlws.FILTER($U$2:$AX$2,
   TRANSPOSE(
    CHOOSE({1;2;3;4;5;6;7;8;9;10;11;12;13;14;15;16;17;18;19;20;21;22;23;24;25;26;27;28;29;30},
     COUNTIFS($U$3:$U$201,$M90)&gt;0,
     COUNTIFS($V$3:$V$201,$M90)&gt;0,
     COUNTIFS($W$3:$W$201,$M90)&gt;0,
     COUNTIFS($X$3:$X$201,$M90)&gt;0,
     COUNTIFS($Y$3:$Y$201,$M90)&gt;0,
     COUNTIFS($Z$3:$Z$201,$M90)&gt;0,
     COUNTIFS($AA$3:$AA$201,$M90)&gt;0,
     COUNTIFS($AB$3:$AB$201,$M90)&gt;0,
     COUNTIFS($AC$3:$AC$201,$M90)&gt;0,
     COUNTIFS($AD$3:$AD$201,$M90)&gt;0,
     COUNTIFS($AE$3:$AE$201,$M90)&gt;0,
     COUNTIFS($AF$3:$AF$201,$M90)&gt;0,
     COUNTIFS($AG$3:$AG$201,$M90)&gt;0,
     COUNTIFS($AH$3:$AH$201,$M90)&gt;0,
     COUNTIFS($AI$3:$AI$201,$M90)&gt;0,
     COUNTIFS($AJ$3:$AJ$201,$M90)&gt;0,
     COUNTIFS($AK$3:$AK$201,$M90)&gt;0,
     COUNTIFS($AL$3:$AL$201,$M90)&gt;0,
     COUNTIFS($AM$3:$AM$201,$M90)&gt;0,
     COUNTIFS($AN$3:$AN$201,$M90)&gt;0,
     COUNTIFS($AO$3:$AO$201,$M90)&gt;0,
     COUNTIFS($AP$3:$AP$201,$M90)&gt;0,
     COUNTIFS($AQ$3:$AQ$201,$M90)&gt;0,
     COUNTIFS($AR$3:$AR$201,$M90)&gt;0,
     COUNTIFS($AS$3:$AS$201,$M90)&gt;0,
     COUNTIFS($AT$3:$AT$201,$M90)&gt;0,
     COUNTIFS($AU$3:$AU$201,$M90)&gt;0,
     COUNTIFS($AV$3:$AV$201,$M90)&gt;0,
     COUNTIFS($AW$3:$AW$201,$M90)&gt;0,
     COUNTIFS($AX$3:$AX$201,$M90)&gt;0
   )),
  ),
  2
 ),
"")</f>
        <v/>
      </c>
      <c r="Q90" s="2" t="str" cm="1">
        <f t="array" aca="1" ref="Q90" ca="1">IFERROR(
 INDEX(
  _xlfn._xlws.FILTER($U$2:$AX$2,
   TRANSPOSE(
    CHOOSE({1;2;3;4;5;6;7;8;9;10;11;12;13;14;15;16;17;18;19;20;21;22;23;24;25;26;27;28;29;30},
     COUNTIFS($U$3:$U$201,$M90)&gt;0,
     COUNTIFS($V$3:$V$201,$M90)&gt;0,
     COUNTIFS($W$3:$W$201,$M90)&gt;0,
     COUNTIFS($X$3:$X$201,$M90)&gt;0,
     COUNTIFS($Y$3:$Y$201,$M90)&gt;0,
     COUNTIFS($Z$3:$Z$201,$M90)&gt;0,
     COUNTIFS($AA$3:$AA$201,$M90)&gt;0,
     COUNTIFS($AB$3:$AB$201,$M90)&gt;0,
     COUNTIFS($AC$3:$AC$201,$M90)&gt;0,
     COUNTIFS($AD$3:$AD$201,$M90)&gt;0,
     COUNTIFS($AE$3:$AE$201,$M90)&gt;0,
     COUNTIFS($AF$3:$AF$201,$M90)&gt;0,
     COUNTIFS($AG$3:$AG$201,$M90)&gt;0,
     COUNTIFS($AH$3:$AH$201,$M90)&gt;0,
     COUNTIFS($AI$3:$AI$201,$M90)&gt;0,
     COUNTIFS($AJ$3:$AJ$201,$M90)&gt;0,
     COUNTIFS($AK$3:$AK$201,$M90)&gt;0,
     COUNTIFS($AL$3:$AL$201,$M90)&gt;0,
     COUNTIFS($AM$3:$AM$201,$M90)&gt;0,
     COUNTIFS($AN$3:$AN$201,$M90)&gt;0,
     COUNTIFS($AO$3:$AO$201,$M90)&gt;0,
     COUNTIFS($AP$3:$AP$201,$M90)&gt;0,
     COUNTIFS($AQ$3:$AQ$201,$M90)&gt;0,
     COUNTIFS($AR$3:$AR$201,$M90)&gt;0,
     COUNTIFS($AS$3:$AS$201,$M90)&gt;0,
     COUNTIFS($AT$3:$AT$201,$M90)&gt;0,
     COUNTIFS($AU$3:$AU$201,$M90)&gt;0,
     COUNTIFS($AV$3:$AV$201,$M90)&gt;0,
     COUNTIFS($AW$3:$AW$201,$M90)&gt;0,
     COUNTIFS($AX$3:$AX$201,$M90)&gt;0
   )),
  ),
  3
 ),
"")</f>
        <v/>
      </c>
      <c r="EF90" t="str">
        <f ca="1"/>
        <v>Trail of Crumbs</v>
      </c>
      <c r="EO90" t="str">
        <f ca="1"/>
        <v>Muldrotha, the Gravetide</v>
      </c>
      <c r="ET90" t="str">
        <f ca="1"/>
        <v>Indulge // Excess</v>
      </c>
      <c r="EW90" t="str">
        <f ca="1"/>
        <v>Horn of Valhalla // Ysgard's Call</v>
      </c>
    </row>
    <row r="91" spans="1:153" x14ac:dyDescent="0.25">
      <c r="A91" t="str">
        <f ca="1"/>
        <v>Clifftop Retreat</v>
      </c>
      <c r="B91" s="2" t="str" cm="1">
        <f t="array" aca="1" ref="B91" ca="1">_xlfn.ANCHORARRAY(RESUMO!C90)</f>
        <v>Little</v>
      </c>
      <c r="C91" s="2" t="str">
        <f t="shared" ca="1" si="4"/>
        <v/>
      </c>
      <c r="E91" t="str">
        <f ca="1"/>
        <v>Ilha</v>
      </c>
      <c r="F91" s="2">
        <f t="shared" ca="1" si="7"/>
        <v>3</v>
      </c>
      <c r="G91" s="2" t="str">
        <f t="shared" ca="1" si="5"/>
        <v>Jhoira</v>
      </c>
      <c r="I91" s="18"/>
      <c r="J91" t="s">
        <v>180</v>
      </c>
      <c r="K91" s="2">
        <v>1</v>
      </c>
      <c r="M91" t="str">
        <f ca="1"/>
        <v>Ilha</v>
      </c>
      <c r="N91" s="2">
        <f t="shared" ca="1" si="6"/>
        <v>3</v>
      </c>
      <c r="O91" s="2" t="str">
        <f ca="1">IFERROR(
 INDEX($U$2:$AX$2,
  MATCH(TRUE,
   CHOOSE({1;2;3;4;5;6;7;8;9;10;11;12;13;14;15;16;17;18;19;20;21;22;23;24;25;26;27;28;29;30;31;32},
    COUNTIFS($U$3:$U$201,$M91)&gt;0,
    COUNTIFS($V$3:$V$201,$M91)&gt;0,
    COUNTIFS($W$3:$W$201,$M91)&gt;0,
    COUNTIFS($X$3:$X$201,$M91)&gt;0,
    COUNTIFS($Y$3:$Y$201,$M91)&gt;0,
    COUNTIFS($Z$3:$Z$201,$M91)&gt;0,
    COUNTIFS($AA$3:$AA$201,$M91)&gt;0,
    COUNTIFS($AB$3:$AB$201,$M91)&gt;0,
    COUNTIFS($AC$3:$AC$201,$M91)&gt;0,
    COUNTIFS($AD$3:$AD$201,$M91)&gt;0,
    COUNTIFS($AE$3:$AE$201,$M91)&gt;0,
    COUNTIFS($AF$3:$AF$201,$M91)&gt;0,
    COUNTIFS($AG$3:$AG$201,$M91)&gt;0,
    COUNTIFS($AH$3:$AH$201,$M91)&gt;0,
    COUNTIFS($AI$3:$AI$201,$M91)&gt;0,
    COUNTIFS($AJ$3:$AJ$201,$M91)&gt;0,
    COUNTIFS($AK$3:$AK$201,$M91)&gt;0,
    COUNTIFS($AL$3:$AL$201,$M91)&gt;0,
    COUNTIFS($AM$3:$AM$201,$M91)&gt;0,
    COUNTIFS($AN$3:$AN$201,$M91)&gt;0,
    COUNTIFS($AO$3:$AO$201,$M91)&gt;0,
    COUNTIFS($AP$3:$AP$201,$M91)&gt;0,
    COUNTIFS($AQ$3:$AQ$201,$M91)&gt;0,
    COUNTIFS($AR$3:$AR$201,$M91)&gt;0,
    COUNTIFS($AS$3:$AS$201,$M91)&gt;0,
    COUNTIFS($AT$3:$AT$201,$M91)&gt;0,
    COUNTIFS($AU$3:$AU$201,$M91)&gt;0,
    COUNTIFS($AV$3:$AV$201,$M91)&gt;0,
    COUNTIFS($AW$3:$AW$201,$M91)&gt;0,
    COUNTIFS($AX$3:$AX$201,$M91)&gt;0
   ),
  0)
 ),
"")</f>
        <v>Jhoira</v>
      </c>
      <c r="P91" s="2" t="str" cm="1">
        <f t="array" aca="1" ref="P91" ca="1">IFERROR(
 INDEX(
  _xlfn._xlws.FILTER($U$2:$AX$2,
   TRANSPOSE(
    CHOOSE({1;2;3;4;5;6;7;8;9;10;11;12;13;14;15;16;17;18;19;20;21;22;23;24;25;26;27;28;29;30},
     COUNTIFS($U$3:$U$201,$M91)&gt;0,
     COUNTIFS($V$3:$V$201,$M91)&gt;0,
     COUNTIFS($W$3:$W$201,$M91)&gt;0,
     COUNTIFS($X$3:$X$201,$M91)&gt;0,
     COUNTIFS($Y$3:$Y$201,$M91)&gt;0,
     COUNTIFS($Z$3:$Z$201,$M91)&gt;0,
     COUNTIFS($AA$3:$AA$201,$M91)&gt;0,
     COUNTIFS($AB$3:$AB$201,$M91)&gt;0,
     COUNTIFS($AC$3:$AC$201,$M91)&gt;0,
     COUNTIFS($AD$3:$AD$201,$M91)&gt;0,
     COUNTIFS($AE$3:$AE$201,$M91)&gt;0,
     COUNTIFS($AF$3:$AF$201,$M91)&gt;0,
     COUNTIFS($AG$3:$AG$201,$M91)&gt;0,
     COUNTIFS($AH$3:$AH$201,$M91)&gt;0,
     COUNTIFS($AI$3:$AI$201,$M91)&gt;0,
     COUNTIFS($AJ$3:$AJ$201,$M91)&gt;0,
     COUNTIFS($AK$3:$AK$201,$M91)&gt;0,
     COUNTIFS($AL$3:$AL$201,$M91)&gt;0,
     COUNTIFS($AM$3:$AM$201,$M91)&gt;0,
     COUNTIFS($AN$3:$AN$201,$M91)&gt;0,
     COUNTIFS($AO$3:$AO$201,$M91)&gt;0,
     COUNTIFS($AP$3:$AP$201,$M91)&gt;0,
     COUNTIFS($AQ$3:$AQ$201,$M91)&gt;0,
     COUNTIFS($AR$3:$AR$201,$M91)&gt;0,
     COUNTIFS($AS$3:$AS$201,$M91)&gt;0,
     COUNTIFS($AT$3:$AT$201,$M91)&gt;0,
     COUNTIFS($AU$3:$AU$201,$M91)&gt;0,
     COUNTIFS($AV$3:$AV$201,$M91)&gt;0,
     COUNTIFS($AW$3:$AW$201,$M91)&gt;0,
     COUNTIFS($AX$3:$AX$201,$M91)&gt;0
   )),
  ),
  2
 ),
"")</f>
        <v/>
      </c>
      <c r="Q91" s="2" t="str" cm="1">
        <f t="array" aca="1" ref="Q91" ca="1">IFERROR(
 INDEX(
  _xlfn._xlws.FILTER($U$2:$AX$2,
   TRANSPOSE(
    CHOOSE({1;2;3;4;5;6;7;8;9;10;11;12;13;14;15;16;17;18;19;20;21;22;23;24;25;26;27;28;29;30},
     COUNTIFS($U$3:$U$201,$M91)&gt;0,
     COUNTIFS($V$3:$V$201,$M91)&gt;0,
     COUNTIFS($W$3:$W$201,$M91)&gt;0,
     COUNTIFS($X$3:$X$201,$M91)&gt;0,
     COUNTIFS($Y$3:$Y$201,$M91)&gt;0,
     COUNTIFS($Z$3:$Z$201,$M91)&gt;0,
     COUNTIFS($AA$3:$AA$201,$M91)&gt;0,
     COUNTIFS($AB$3:$AB$201,$M91)&gt;0,
     COUNTIFS($AC$3:$AC$201,$M91)&gt;0,
     COUNTIFS($AD$3:$AD$201,$M91)&gt;0,
     COUNTIFS($AE$3:$AE$201,$M91)&gt;0,
     COUNTIFS($AF$3:$AF$201,$M91)&gt;0,
     COUNTIFS($AG$3:$AG$201,$M91)&gt;0,
     COUNTIFS($AH$3:$AH$201,$M91)&gt;0,
     COUNTIFS($AI$3:$AI$201,$M91)&gt;0,
     COUNTIFS($AJ$3:$AJ$201,$M91)&gt;0,
     COUNTIFS($AK$3:$AK$201,$M91)&gt;0,
     COUNTIFS($AL$3:$AL$201,$M91)&gt;0,
     COUNTIFS($AM$3:$AM$201,$M91)&gt;0,
     COUNTIFS($AN$3:$AN$201,$M91)&gt;0,
     COUNTIFS($AO$3:$AO$201,$M91)&gt;0,
     COUNTIFS($AP$3:$AP$201,$M91)&gt;0,
     COUNTIFS($AQ$3:$AQ$201,$M91)&gt;0,
     COUNTIFS($AR$3:$AR$201,$M91)&gt;0,
     COUNTIFS($AS$3:$AS$201,$M91)&gt;0,
     COUNTIFS($AT$3:$AT$201,$M91)&gt;0,
     COUNTIFS($AU$3:$AU$201,$M91)&gt;0,
     COUNTIFS($AV$3:$AV$201,$M91)&gt;0,
     COUNTIFS($AW$3:$AW$201,$M91)&gt;0,
     COUNTIFS($AX$3:$AX$201,$M91)&gt;0
   )),
  ),
  3
 ),
"")</f>
        <v/>
      </c>
      <c r="EF91" t="str">
        <f ca="1"/>
        <v>Trailblazer's Boots</v>
      </c>
      <c r="EO91" t="str">
        <f ca="1"/>
        <v>Mythos of Snapdax</v>
      </c>
      <c r="ET91" t="str">
        <f ca="1"/>
        <v>Infiltration Lens</v>
      </c>
      <c r="EW91" t="str">
        <f ca="1"/>
        <v>Ilha</v>
      </c>
    </row>
    <row r="92" spans="1:153" x14ac:dyDescent="0.25">
      <c r="A92" t="str">
        <f ca="1"/>
        <v>Cloud, Midgar Mercenary</v>
      </c>
      <c r="B92" s="2" t="str" cm="1">
        <f t="array" aca="1" ref="B92" ca="1">_xlfn.ANCHORARRAY(RESUMO!C91)</f>
        <v>Akiri</v>
      </c>
      <c r="C92" s="2" t="str">
        <f t="shared" ca="1" si="4"/>
        <v/>
      </c>
      <c r="E92" t="str">
        <f ca="1"/>
        <v>Immortal Servitude</v>
      </c>
      <c r="F92" s="2">
        <f t="shared" ca="1" si="7"/>
        <v>1</v>
      </c>
      <c r="G92" s="2" t="str">
        <f t="shared" ca="1" si="5"/>
        <v>Carlos</v>
      </c>
      <c r="I92" s="18"/>
      <c r="J92" t="s">
        <v>180</v>
      </c>
      <c r="K92" s="2">
        <v>1</v>
      </c>
      <c r="M92" t="str">
        <f ca="1"/>
        <v>Immortal Servitude</v>
      </c>
      <c r="N92" s="2">
        <f t="shared" ca="1" si="6"/>
        <v>1</v>
      </c>
      <c r="O92" s="2" t="str">
        <f ca="1">IFERROR(
 INDEX($U$2:$AX$2,
  MATCH(TRUE,
   CHOOSE({1;2;3;4;5;6;7;8;9;10;11;12;13;14;15;16;17;18;19;20;21;22;23;24;25;26;27;28;29;30;31;32},
    COUNTIFS($U$3:$U$201,$M92)&gt;0,
    COUNTIFS($V$3:$V$201,$M92)&gt;0,
    COUNTIFS($W$3:$W$201,$M92)&gt;0,
    COUNTIFS($X$3:$X$201,$M92)&gt;0,
    COUNTIFS($Y$3:$Y$201,$M92)&gt;0,
    COUNTIFS($Z$3:$Z$201,$M92)&gt;0,
    COUNTIFS($AA$3:$AA$201,$M92)&gt;0,
    COUNTIFS($AB$3:$AB$201,$M92)&gt;0,
    COUNTIFS($AC$3:$AC$201,$M92)&gt;0,
    COUNTIFS($AD$3:$AD$201,$M92)&gt;0,
    COUNTIFS($AE$3:$AE$201,$M92)&gt;0,
    COUNTIFS($AF$3:$AF$201,$M92)&gt;0,
    COUNTIFS($AG$3:$AG$201,$M92)&gt;0,
    COUNTIFS($AH$3:$AH$201,$M92)&gt;0,
    COUNTIFS($AI$3:$AI$201,$M92)&gt;0,
    COUNTIFS($AJ$3:$AJ$201,$M92)&gt;0,
    COUNTIFS($AK$3:$AK$201,$M92)&gt;0,
    COUNTIFS($AL$3:$AL$201,$M92)&gt;0,
    COUNTIFS($AM$3:$AM$201,$M92)&gt;0,
    COUNTIFS($AN$3:$AN$201,$M92)&gt;0,
    COUNTIFS($AO$3:$AO$201,$M92)&gt;0,
    COUNTIFS($AP$3:$AP$201,$M92)&gt;0,
    COUNTIFS($AQ$3:$AQ$201,$M92)&gt;0,
    COUNTIFS($AR$3:$AR$201,$M92)&gt;0,
    COUNTIFS($AS$3:$AS$201,$M92)&gt;0,
    COUNTIFS($AT$3:$AT$201,$M92)&gt;0,
    COUNTIFS($AU$3:$AU$201,$M92)&gt;0,
    COUNTIFS($AV$3:$AV$201,$M92)&gt;0,
    COUNTIFS($AW$3:$AW$201,$M92)&gt;0,
    COUNTIFS($AX$3:$AX$201,$M92)&gt;0
   ),
  0)
 ),
"")</f>
        <v>Carlos</v>
      </c>
      <c r="P92" s="2" t="str" cm="1">
        <f t="array" aca="1" ref="P92" ca="1">IFERROR(
 INDEX(
  _xlfn._xlws.FILTER($U$2:$AX$2,
   TRANSPOSE(
    CHOOSE({1;2;3;4;5;6;7;8;9;10;11;12;13;14;15;16;17;18;19;20;21;22;23;24;25;26;27;28;29;30},
     COUNTIFS($U$3:$U$201,$M92)&gt;0,
     COUNTIFS($V$3:$V$201,$M92)&gt;0,
     COUNTIFS($W$3:$W$201,$M92)&gt;0,
     COUNTIFS($X$3:$X$201,$M92)&gt;0,
     COUNTIFS($Y$3:$Y$201,$M92)&gt;0,
     COUNTIFS($Z$3:$Z$201,$M92)&gt;0,
     COUNTIFS($AA$3:$AA$201,$M92)&gt;0,
     COUNTIFS($AB$3:$AB$201,$M92)&gt;0,
     COUNTIFS($AC$3:$AC$201,$M92)&gt;0,
     COUNTIFS($AD$3:$AD$201,$M92)&gt;0,
     COUNTIFS($AE$3:$AE$201,$M92)&gt;0,
     COUNTIFS($AF$3:$AF$201,$M92)&gt;0,
     COUNTIFS($AG$3:$AG$201,$M92)&gt;0,
     COUNTIFS($AH$3:$AH$201,$M92)&gt;0,
     COUNTIFS($AI$3:$AI$201,$M92)&gt;0,
     COUNTIFS($AJ$3:$AJ$201,$M92)&gt;0,
     COUNTIFS($AK$3:$AK$201,$M92)&gt;0,
     COUNTIFS($AL$3:$AL$201,$M92)&gt;0,
     COUNTIFS($AM$3:$AM$201,$M92)&gt;0,
     COUNTIFS($AN$3:$AN$201,$M92)&gt;0,
     COUNTIFS($AO$3:$AO$201,$M92)&gt;0,
     COUNTIFS($AP$3:$AP$201,$M92)&gt;0,
     COUNTIFS($AQ$3:$AQ$201,$M92)&gt;0,
     COUNTIFS($AR$3:$AR$201,$M92)&gt;0,
     COUNTIFS($AS$3:$AS$201,$M92)&gt;0,
     COUNTIFS($AT$3:$AT$201,$M92)&gt;0,
     COUNTIFS($AU$3:$AU$201,$M92)&gt;0,
     COUNTIFS($AV$3:$AV$201,$M92)&gt;0,
     COUNTIFS($AW$3:$AW$201,$M92)&gt;0,
     COUNTIFS($AX$3:$AX$201,$M92)&gt;0
   )),
  ),
  2
 ),
"")</f>
        <v/>
      </c>
      <c r="Q92" s="2" t="str" cm="1">
        <f t="array" aca="1" ref="Q92" ca="1">IFERROR(
 INDEX(
  _xlfn._xlws.FILTER($U$2:$AX$2,
   TRANSPOSE(
    CHOOSE({1;2;3;4;5;6;7;8;9;10;11;12;13;14;15;16;17;18;19;20;21;22;23;24;25;26;27;28;29;30},
     COUNTIFS($U$3:$U$201,$M92)&gt;0,
     COUNTIFS($V$3:$V$201,$M92)&gt;0,
     COUNTIFS($W$3:$W$201,$M92)&gt;0,
     COUNTIFS($X$3:$X$201,$M92)&gt;0,
     COUNTIFS($Y$3:$Y$201,$M92)&gt;0,
     COUNTIFS($Z$3:$Z$201,$M92)&gt;0,
     COUNTIFS($AA$3:$AA$201,$M92)&gt;0,
     COUNTIFS($AB$3:$AB$201,$M92)&gt;0,
     COUNTIFS($AC$3:$AC$201,$M92)&gt;0,
     COUNTIFS($AD$3:$AD$201,$M92)&gt;0,
     COUNTIFS($AE$3:$AE$201,$M92)&gt;0,
     COUNTIFS($AF$3:$AF$201,$M92)&gt;0,
     COUNTIFS($AG$3:$AG$201,$M92)&gt;0,
     COUNTIFS($AH$3:$AH$201,$M92)&gt;0,
     COUNTIFS($AI$3:$AI$201,$M92)&gt;0,
     COUNTIFS($AJ$3:$AJ$201,$M92)&gt;0,
     COUNTIFS($AK$3:$AK$201,$M92)&gt;0,
     COUNTIFS($AL$3:$AL$201,$M92)&gt;0,
     COUNTIFS($AM$3:$AM$201,$M92)&gt;0,
     COUNTIFS($AN$3:$AN$201,$M92)&gt;0,
     COUNTIFS($AO$3:$AO$201,$M92)&gt;0,
     COUNTIFS($AP$3:$AP$201,$M92)&gt;0,
     COUNTIFS($AQ$3:$AQ$201,$M92)&gt;0,
     COUNTIFS($AR$3:$AR$201,$M92)&gt;0,
     COUNTIFS($AS$3:$AS$201,$M92)&gt;0,
     COUNTIFS($AT$3:$AT$201,$M92)&gt;0,
     COUNTIFS($AU$3:$AU$201,$M92)&gt;0,
     COUNTIFS($AV$3:$AV$201,$M92)&gt;0,
     COUNTIFS($AW$3:$AW$201,$M92)&gt;0,
     COUNTIFS($AX$3:$AX$201,$M92)&gt;0
   )),
  ),
  3
 ),
"")</f>
        <v/>
      </c>
      <c r="EF92" t="str">
        <f ca="1"/>
        <v>Traumatize</v>
      </c>
      <c r="EO92" t="str">
        <f ca="1"/>
        <v>Naya Charm</v>
      </c>
      <c r="ET92" t="str">
        <f ca="1"/>
        <v>Ingot Chewer</v>
      </c>
      <c r="EW92" t="str">
        <f ca="1"/>
        <v>Immortal Servitude</v>
      </c>
    </row>
    <row r="93" spans="1:153" x14ac:dyDescent="0.25">
      <c r="A93" t="str">
        <f ca="1"/>
        <v>Cloudshredder Sliver</v>
      </c>
      <c r="B93" s="2" t="str" cm="1">
        <f t="array" aca="1" ref="B93" ca="1">_xlfn.ANCHORARRAY(RESUMO!C92)</f>
        <v>Fractius</v>
      </c>
      <c r="C93" s="2" t="str">
        <f t="shared" ca="1" si="4"/>
        <v/>
      </c>
      <c r="E93" t="str">
        <f ca="1"/>
        <v>Incite Rebellion</v>
      </c>
      <c r="F93" s="2">
        <f t="shared" ca="1" si="7"/>
        <v>1</v>
      </c>
      <c r="G93" s="2" t="str">
        <f t="shared" ca="1" si="5"/>
        <v>Kresh</v>
      </c>
      <c r="I93" s="18"/>
      <c r="J93" t="s">
        <v>180</v>
      </c>
      <c r="K93" s="2">
        <v>1</v>
      </c>
      <c r="M93" t="str">
        <f ca="1"/>
        <v>Incite Rebellion</v>
      </c>
      <c r="N93" s="2">
        <f t="shared" ca="1" si="6"/>
        <v>1</v>
      </c>
      <c r="O93" s="2" t="str">
        <f ca="1">IFERROR(
 INDEX($U$2:$AX$2,
  MATCH(TRUE,
   CHOOSE({1;2;3;4;5;6;7;8;9;10;11;12;13;14;15;16;17;18;19;20;21;22;23;24;25;26;27;28;29;30;31;32},
    COUNTIFS($U$3:$U$201,$M93)&gt;0,
    COUNTIFS($V$3:$V$201,$M93)&gt;0,
    COUNTIFS($W$3:$W$201,$M93)&gt;0,
    COUNTIFS($X$3:$X$201,$M93)&gt;0,
    COUNTIFS($Y$3:$Y$201,$M93)&gt;0,
    COUNTIFS($Z$3:$Z$201,$M93)&gt;0,
    COUNTIFS($AA$3:$AA$201,$M93)&gt;0,
    COUNTIFS($AB$3:$AB$201,$M93)&gt;0,
    COUNTIFS($AC$3:$AC$201,$M93)&gt;0,
    COUNTIFS($AD$3:$AD$201,$M93)&gt;0,
    COUNTIFS($AE$3:$AE$201,$M93)&gt;0,
    COUNTIFS($AF$3:$AF$201,$M93)&gt;0,
    COUNTIFS($AG$3:$AG$201,$M93)&gt;0,
    COUNTIFS($AH$3:$AH$201,$M93)&gt;0,
    COUNTIFS($AI$3:$AI$201,$M93)&gt;0,
    COUNTIFS($AJ$3:$AJ$201,$M93)&gt;0,
    COUNTIFS($AK$3:$AK$201,$M93)&gt;0,
    COUNTIFS($AL$3:$AL$201,$M93)&gt;0,
    COUNTIFS($AM$3:$AM$201,$M93)&gt;0,
    COUNTIFS($AN$3:$AN$201,$M93)&gt;0,
    COUNTIFS($AO$3:$AO$201,$M93)&gt;0,
    COUNTIFS($AP$3:$AP$201,$M93)&gt;0,
    COUNTIFS($AQ$3:$AQ$201,$M93)&gt;0,
    COUNTIFS($AR$3:$AR$201,$M93)&gt;0,
    COUNTIFS($AS$3:$AS$201,$M93)&gt;0,
    COUNTIFS($AT$3:$AT$201,$M93)&gt;0,
    COUNTIFS($AU$3:$AU$201,$M93)&gt;0,
    COUNTIFS($AV$3:$AV$201,$M93)&gt;0,
    COUNTIFS($AW$3:$AW$201,$M93)&gt;0,
    COUNTIFS($AX$3:$AX$201,$M93)&gt;0
   ),
  0)
 ),
"")</f>
        <v>Kresh</v>
      </c>
      <c r="P93" s="2" t="str" cm="1">
        <f t="array" aca="1" ref="P93" ca="1">IFERROR(
 INDEX(
  _xlfn._xlws.FILTER($U$2:$AX$2,
   TRANSPOSE(
    CHOOSE({1;2;3;4;5;6;7;8;9;10;11;12;13;14;15;16;17;18;19;20;21;22;23;24;25;26;27;28;29;30},
     COUNTIFS($U$3:$U$201,$M93)&gt;0,
     COUNTIFS($V$3:$V$201,$M93)&gt;0,
     COUNTIFS($W$3:$W$201,$M93)&gt;0,
     COUNTIFS($X$3:$X$201,$M93)&gt;0,
     COUNTIFS($Y$3:$Y$201,$M93)&gt;0,
     COUNTIFS($Z$3:$Z$201,$M93)&gt;0,
     COUNTIFS($AA$3:$AA$201,$M93)&gt;0,
     COUNTIFS($AB$3:$AB$201,$M93)&gt;0,
     COUNTIFS($AC$3:$AC$201,$M93)&gt;0,
     COUNTIFS($AD$3:$AD$201,$M93)&gt;0,
     COUNTIFS($AE$3:$AE$201,$M93)&gt;0,
     COUNTIFS($AF$3:$AF$201,$M93)&gt;0,
     COUNTIFS($AG$3:$AG$201,$M93)&gt;0,
     COUNTIFS($AH$3:$AH$201,$M93)&gt;0,
     COUNTIFS($AI$3:$AI$201,$M93)&gt;0,
     COUNTIFS($AJ$3:$AJ$201,$M93)&gt;0,
     COUNTIFS($AK$3:$AK$201,$M93)&gt;0,
     COUNTIFS($AL$3:$AL$201,$M93)&gt;0,
     COUNTIFS($AM$3:$AM$201,$M93)&gt;0,
     COUNTIFS($AN$3:$AN$201,$M93)&gt;0,
     COUNTIFS($AO$3:$AO$201,$M93)&gt;0,
     COUNTIFS($AP$3:$AP$201,$M93)&gt;0,
     COUNTIFS($AQ$3:$AQ$201,$M93)&gt;0,
     COUNTIFS($AR$3:$AR$201,$M93)&gt;0,
     COUNTIFS($AS$3:$AS$201,$M93)&gt;0,
     COUNTIFS($AT$3:$AT$201,$M93)&gt;0,
     COUNTIFS($AU$3:$AU$201,$M93)&gt;0,
     COUNTIFS($AV$3:$AV$201,$M93)&gt;0,
     COUNTIFS($AW$3:$AW$201,$M93)&gt;0,
     COUNTIFS($AX$3:$AX$201,$M93)&gt;0
   )),
  ),
  2
 ),
"")</f>
        <v/>
      </c>
      <c r="Q93" s="2" t="str" cm="1">
        <f t="array" aca="1" ref="Q93" ca="1">IFERROR(
 INDEX(
  _xlfn._xlws.FILTER($U$2:$AX$2,
   TRANSPOSE(
    CHOOSE({1;2;3;4;5;6;7;8;9;10;11;12;13;14;15;16;17;18;19;20;21;22;23;24;25;26;27;28;29;30},
     COUNTIFS($U$3:$U$201,$M93)&gt;0,
     COUNTIFS($V$3:$V$201,$M93)&gt;0,
     COUNTIFS($W$3:$W$201,$M93)&gt;0,
     COUNTIFS($X$3:$X$201,$M93)&gt;0,
     COUNTIFS($Y$3:$Y$201,$M93)&gt;0,
     COUNTIFS($Z$3:$Z$201,$M93)&gt;0,
     COUNTIFS($AA$3:$AA$201,$M93)&gt;0,
     COUNTIFS($AB$3:$AB$201,$M93)&gt;0,
     COUNTIFS($AC$3:$AC$201,$M93)&gt;0,
     COUNTIFS($AD$3:$AD$201,$M93)&gt;0,
     COUNTIFS($AE$3:$AE$201,$M93)&gt;0,
     COUNTIFS($AF$3:$AF$201,$M93)&gt;0,
     COUNTIFS($AG$3:$AG$201,$M93)&gt;0,
     COUNTIFS($AH$3:$AH$201,$M93)&gt;0,
     COUNTIFS($AI$3:$AI$201,$M93)&gt;0,
     COUNTIFS($AJ$3:$AJ$201,$M93)&gt;0,
     COUNTIFS($AK$3:$AK$201,$M93)&gt;0,
     COUNTIFS($AL$3:$AL$201,$M93)&gt;0,
     COUNTIFS($AM$3:$AM$201,$M93)&gt;0,
     COUNTIFS($AN$3:$AN$201,$M93)&gt;0,
     COUNTIFS($AO$3:$AO$201,$M93)&gt;0,
     COUNTIFS($AP$3:$AP$201,$M93)&gt;0,
     COUNTIFS($AQ$3:$AQ$201,$M93)&gt;0,
     COUNTIFS($AR$3:$AR$201,$M93)&gt;0,
     COUNTIFS($AS$3:$AS$201,$M93)&gt;0,
     COUNTIFS($AT$3:$AT$201,$M93)&gt;0,
     COUNTIFS($AU$3:$AU$201,$M93)&gt;0,
     COUNTIFS($AV$3:$AV$201,$M93)&gt;0,
     COUNTIFS($AW$3:$AW$201,$M93)&gt;0,
     COUNTIFS($AX$3:$AX$201,$M93)&gt;0
   )),
  ),
  3
 ),
"")</f>
        <v/>
      </c>
      <c r="EF93" t="str">
        <f ca="1"/>
        <v>True Ancestry</v>
      </c>
      <c r="EO93" t="str">
        <f ca="1"/>
        <v>Nicol Bolas, Dragon-God</v>
      </c>
      <c r="ET93" t="str">
        <f ca="1"/>
        <v>Inspiring Call</v>
      </c>
      <c r="EW93" t="str">
        <f ca="1"/>
        <v>Incite Rebellion</v>
      </c>
    </row>
    <row r="94" spans="1:153" x14ac:dyDescent="0.25">
      <c r="A94" t="str">
        <f ca="1"/>
        <v>Collector's Vault</v>
      </c>
      <c r="B94" s="2" t="str" cm="1">
        <f t="array" aca="1" ref="B94" ca="1">_xlfn.ANCHORARRAY(RESUMO!C93)</f>
        <v>Rielle</v>
      </c>
      <c r="C94" s="2" t="str">
        <f t="shared" ca="1" si="4"/>
        <v/>
      </c>
      <c r="E94" t="str">
        <f ca="1"/>
        <v>Indulge // Excess</v>
      </c>
      <c r="F94" s="2">
        <f t="shared" ca="1" si="7"/>
        <v>1</v>
      </c>
      <c r="G94" s="2" t="str">
        <f t="shared" ca="1" si="5"/>
        <v>Baylen</v>
      </c>
      <c r="I94" s="18"/>
      <c r="J94" t="s">
        <v>180</v>
      </c>
      <c r="K94" s="2">
        <v>1</v>
      </c>
      <c r="M94" t="str">
        <f ca="1"/>
        <v>Indulge // Excess</v>
      </c>
      <c r="N94" s="2">
        <f t="shared" ca="1" si="6"/>
        <v>1</v>
      </c>
      <c r="O94" s="2" t="str">
        <f ca="1">IFERROR(
 INDEX($U$2:$AX$2,
  MATCH(TRUE,
   CHOOSE({1;2;3;4;5;6;7;8;9;10;11;12;13;14;15;16;17;18;19;20;21;22;23;24;25;26;27;28;29;30;31;32},
    COUNTIFS($U$3:$U$201,$M94)&gt;0,
    COUNTIFS($V$3:$V$201,$M94)&gt;0,
    COUNTIFS($W$3:$W$201,$M94)&gt;0,
    COUNTIFS($X$3:$X$201,$M94)&gt;0,
    COUNTIFS($Y$3:$Y$201,$M94)&gt;0,
    COUNTIFS($Z$3:$Z$201,$M94)&gt;0,
    COUNTIFS($AA$3:$AA$201,$M94)&gt;0,
    COUNTIFS($AB$3:$AB$201,$M94)&gt;0,
    COUNTIFS($AC$3:$AC$201,$M94)&gt;0,
    COUNTIFS($AD$3:$AD$201,$M94)&gt;0,
    COUNTIFS($AE$3:$AE$201,$M94)&gt;0,
    COUNTIFS($AF$3:$AF$201,$M94)&gt;0,
    COUNTIFS($AG$3:$AG$201,$M94)&gt;0,
    COUNTIFS($AH$3:$AH$201,$M94)&gt;0,
    COUNTIFS($AI$3:$AI$201,$M94)&gt;0,
    COUNTIFS($AJ$3:$AJ$201,$M94)&gt;0,
    COUNTIFS($AK$3:$AK$201,$M94)&gt;0,
    COUNTIFS($AL$3:$AL$201,$M94)&gt;0,
    COUNTIFS($AM$3:$AM$201,$M94)&gt;0,
    COUNTIFS($AN$3:$AN$201,$M94)&gt;0,
    COUNTIFS($AO$3:$AO$201,$M94)&gt;0,
    COUNTIFS($AP$3:$AP$201,$M94)&gt;0,
    COUNTIFS($AQ$3:$AQ$201,$M94)&gt;0,
    COUNTIFS($AR$3:$AR$201,$M94)&gt;0,
    COUNTIFS($AS$3:$AS$201,$M94)&gt;0,
    COUNTIFS($AT$3:$AT$201,$M94)&gt;0,
    COUNTIFS($AU$3:$AU$201,$M94)&gt;0,
    COUNTIFS($AV$3:$AV$201,$M94)&gt;0,
    COUNTIFS($AW$3:$AW$201,$M94)&gt;0,
    COUNTIFS($AX$3:$AX$201,$M94)&gt;0
   ),
  0)
 ),
"")</f>
        <v>Baylen</v>
      </c>
      <c r="P94" s="2" t="str" cm="1">
        <f t="array" aca="1" ref="P94" ca="1">IFERROR(
 INDEX(
  _xlfn._xlws.FILTER($U$2:$AX$2,
   TRANSPOSE(
    CHOOSE({1;2;3;4;5;6;7;8;9;10;11;12;13;14;15;16;17;18;19;20;21;22;23;24;25;26;27;28;29;30},
     COUNTIFS($U$3:$U$201,$M94)&gt;0,
     COUNTIFS($V$3:$V$201,$M94)&gt;0,
     COUNTIFS($W$3:$W$201,$M94)&gt;0,
     COUNTIFS($X$3:$X$201,$M94)&gt;0,
     COUNTIFS($Y$3:$Y$201,$M94)&gt;0,
     COUNTIFS($Z$3:$Z$201,$M94)&gt;0,
     COUNTIFS($AA$3:$AA$201,$M94)&gt;0,
     COUNTIFS($AB$3:$AB$201,$M94)&gt;0,
     COUNTIFS($AC$3:$AC$201,$M94)&gt;0,
     COUNTIFS($AD$3:$AD$201,$M94)&gt;0,
     COUNTIFS($AE$3:$AE$201,$M94)&gt;0,
     COUNTIFS($AF$3:$AF$201,$M94)&gt;0,
     COUNTIFS($AG$3:$AG$201,$M94)&gt;0,
     COUNTIFS($AH$3:$AH$201,$M94)&gt;0,
     COUNTIFS($AI$3:$AI$201,$M94)&gt;0,
     COUNTIFS($AJ$3:$AJ$201,$M94)&gt;0,
     COUNTIFS($AK$3:$AK$201,$M94)&gt;0,
     COUNTIFS($AL$3:$AL$201,$M94)&gt;0,
     COUNTIFS($AM$3:$AM$201,$M94)&gt;0,
     COUNTIFS($AN$3:$AN$201,$M94)&gt;0,
     COUNTIFS($AO$3:$AO$201,$M94)&gt;0,
     COUNTIFS($AP$3:$AP$201,$M94)&gt;0,
     COUNTIFS($AQ$3:$AQ$201,$M94)&gt;0,
     COUNTIFS($AR$3:$AR$201,$M94)&gt;0,
     COUNTIFS($AS$3:$AS$201,$M94)&gt;0,
     COUNTIFS($AT$3:$AT$201,$M94)&gt;0,
     COUNTIFS($AU$3:$AU$201,$M94)&gt;0,
     COUNTIFS($AV$3:$AV$201,$M94)&gt;0,
     COUNTIFS($AW$3:$AW$201,$M94)&gt;0,
     COUNTIFS($AX$3:$AX$201,$M94)&gt;0
   )),
  ),
  2
 ),
"")</f>
        <v/>
      </c>
      <c r="Q94" s="2" t="str" cm="1">
        <f t="array" aca="1" ref="Q94" ca="1">IFERROR(
 INDEX(
  _xlfn._xlws.FILTER($U$2:$AX$2,
   TRANSPOSE(
    CHOOSE({1;2;3;4;5;6;7;8;9;10;11;12;13;14;15;16;17;18;19;20;21;22;23;24;25;26;27;28;29;30},
     COUNTIFS($U$3:$U$201,$M94)&gt;0,
     COUNTIFS($V$3:$V$201,$M94)&gt;0,
     COUNTIFS($W$3:$W$201,$M94)&gt;0,
     COUNTIFS($X$3:$X$201,$M94)&gt;0,
     COUNTIFS($Y$3:$Y$201,$M94)&gt;0,
     COUNTIFS($Z$3:$Z$201,$M94)&gt;0,
     COUNTIFS($AA$3:$AA$201,$M94)&gt;0,
     COUNTIFS($AB$3:$AB$201,$M94)&gt;0,
     COUNTIFS($AC$3:$AC$201,$M94)&gt;0,
     COUNTIFS($AD$3:$AD$201,$M94)&gt;0,
     COUNTIFS($AE$3:$AE$201,$M94)&gt;0,
     COUNTIFS($AF$3:$AF$201,$M94)&gt;0,
     COUNTIFS($AG$3:$AG$201,$M94)&gt;0,
     COUNTIFS($AH$3:$AH$201,$M94)&gt;0,
     COUNTIFS($AI$3:$AI$201,$M94)&gt;0,
     COUNTIFS($AJ$3:$AJ$201,$M94)&gt;0,
     COUNTIFS($AK$3:$AK$201,$M94)&gt;0,
     COUNTIFS($AL$3:$AL$201,$M94)&gt;0,
     COUNTIFS($AM$3:$AM$201,$M94)&gt;0,
     COUNTIFS($AN$3:$AN$201,$M94)&gt;0,
     COUNTIFS($AO$3:$AO$201,$M94)&gt;0,
     COUNTIFS($AP$3:$AP$201,$M94)&gt;0,
     COUNTIFS($AQ$3:$AQ$201,$M94)&gt;0,
     COUNTIFS($AR$3:$AR$201,$M94)&gt;0,
     COUNTIFS($AS$3:$AS$201,$M94)&gt;0,
     COUNTIFS($AT$3:$AT$201,$M94)&gt;0,
     COUNTIFS($AU$3:$AU$201,$M94)&gt;0,
     COUNTIFS($AV$3:$AV$201,$M94)&gt;0,
     COUNTIFS($AW$3:$AW$201,$M94)&gt;0,
     COUNTIFS($AX$3:$AX$201,$M94)&gt;0
   )),
  ),
  3
 ),
"")</f>
        <v/>
      </c>
      <c r="EF94" t="str">
        <f ca="1"/>
        <v>Tuskguard Captain</v>
      </c>
      <c r="EO94" t="str">
        <f ca="1"/>
        <v>Night of the Sweets' Revenge</v>
      </c>
      <c r="ET94" t="str">
        <f ca="1"/>
        <v>Inspiring Refrain</v>
      </c>
      <c r="EW94" t="str">
        <f ca="1"/>
        <v>Indulge // Excess</v>
      </c>
    </row>
    <row r="95" spans="1:153" x14ac:dyDescent="0.25">
      <c r="A95" t="str">
        <f ca="1"/>
        <v>Colonel Autumn</v>
      </c>
      <c r="B95" s="2" t="str" cm="1">
        <f t="array" aca="1" ref="B95" ca="1">_xlfn.ANCHORARRAY(RESUMO!C94)</f>
        <v>Tayam</v>
      </c>
      <c r="C95" s="2" t="str">
        <f t="shared" ca="1" si="4"/>
        <v/>
      </c>
      <c r="E95" t="str">
        <f ca="1"/>
        <v>Infiltration Lens</v>
      </c>
      <c r="F95" s="2">
        <f t="shared" ca="1" si="7"/>
        <v>1</v>
      </c>
      <c r="G95" s="2" t="str">
        <f t="shared" ca="1" si="5"/>
        <v>Akiri</v>
      </c>
      <c r="I95" s="18"/>
      <c r="J95" t="s">
        <v>180</v>
      </c>
      <c r="K95" s="2">
        <v>1</v>
      </c>
      <c r="M95" t="str">
        <f ca="1"/>
        <v>Infiltration Lens</v>
      </c>
      <c r="N95" s="2">
        <f t="shared" ca="1" si="6"/>
        <v>1</v>
      </c>
      <c r="O95" s="2" t="str">
        <f ca="1">IFERROR(
 INDEX($U$2:$AX$2,
  MATCH(TRUE,
   CHOOSE({1;2;3;4;5;6;7;8;9;10;11;12;13;14;15;16;17;18;19;20;21;22;23;24;25;26;27;28;29;30;31;32},
    COUNTIFS($U$3:$U$201,$M95)&gt;0,
    COUNTIFS($V$3:$V$201,$M95)&gt;0,
    COUNTIFS($W$3:$W$201,$M95)&gt;0,
    COUNTIFS($X$3:$X$201,$M95)&gt;0,
    COUNTIFS($Y$3:$Y$201,$M95)&gt;0,
    COUNTIFS($Z$3:$Z$201,$M95)&gt;0,
    COUNTIFS($AA$3:$AA$201,$M95)&gt;0,
    COUNTIFS($AB$3:$AB$201,$M95)&gt;0,
    COUNTIFS($AC$3:$AC$201,$M95)&gt;0,
    COUNTIFS($AD$3:$AD$201,$M95)&gt;0,
    COUNTIFS($AE$3:$AE$201,$M95)&gt;0,
    COUNTIFS($AF$3:$AF$201,$M95)&gt;0,
    COUNTIFS($AG$3:$AG$201,$M95)&gt;0,
    COUNTIFS($AH$3:$AH$201,$M95)&gt;0,
    COUNTIFS($AI$3:$AI$201,$M95)&gt;0,
    COUNTIFS($AJ$3:$AJ$201,$M95)&gt;0,
    COUNTIFS($AK$3:$AK$201,$M95)&gt;0,
    COUNTIFS($AL$3:$AL$201,$M95)&gt;0,
    COUNTIFS($AM$3:$AM$201,$M95)&gt;0,
    COUNTIFS($AN$3:$AN$201,$M95)&gt;0,
    COUNTIFS($AO$3:$AO$201,$M95)&gt;0,
    COUNTIFS($AP$3:$AP$201,$M95)&gt;0,
    COUNTIFS($AQ$3:$AQ$201,$M95)&gt;0,
    COUNTIFS($AR$3:$AR$201,$M95)&gt;0,
    COUNTIFS($AS$3:$AS$201,$M95)&gt;0,
    COUNTIFS($AT$3:$AT$201,$M95)&gt;0,
    COUNTIFS($AU$3:$AU$201,$M95)&gt;0,
    COUNTIFS($AV$3:$AV$201,$M95)&gt;0,
    COUNTIFS($AW$3:$AW$201,$M95)&gt;0,
    COUNTIFS($AX$3:$AX$201,$M95)&gt;0
   ),
  0)
 ),
"")</f>
        <v>Akiri</v>
      </c>
      <c r="P95" s="2" t="str" cm="1">
        <f t="array" aca="1" ref="P95" ca="1">IFERROR(
 INDEX(
  _xlfn._xlws.FILTER($U$2:$AX$2,
   TRANSPOSE(
    CHOOSE({1;2;3;4;5;6;7;8;9;10;11;12;13;14;15;16;17;18;19;20;21;22;23;24;25;26;27;28;29;30},
     COUNTIFS($U$3:$U$201,$M95)&gt;0,
     COUNTIFS($V$3:$V$201,$M95)&gt;0,
     COUNTIFS($W$3:$W$201,$M95)&gt;0,
     COUNTIFS($X$3:$X$201,$M95)&gt;0,
     COUNTIFS($Y$3:$Y$201,$M95)&gt;0,
     COUNTIFS($Z$3:$Z$201,$M95)&gt;0,
     COUNTIFS($AA$3:$AA$201,$M95)&gt;0,
     COUNTIFS($AB$3:$AB$201,$M95)&gt;0,
     COUNTIFS($AC$3:$AC$201,$M95)&gt;0,
     COUNTIFS($AD$3:$AD$201,$M95)&gt;0,
     COUNTIFS($AE$3:$AE$201,$M95)&gt;0,
     COUNTIFS($AF$3:$AF$201,$M95)&gt;0,
     COUNTIFS($AG$3:$AG$201,$M95)&gt;0,
     COUNTIFS($AH$3:$AH$201,$M95)&gt;0,
     COUNTIFS($AI$3:$AI$201,$M95)&gt;0,
     COUNTIFS($AJ$3:$AJ$201,$M95)&gt;0,
     COUNTIFS($AK$3:$AK$201,$M95)&gt;0,
     COUNTIFS($AL$3:$AL$201,$M95)&gt;0,
     COUNTIFS($AM$3:$AM$201,$M95)&gt;0,
     COUNTIFS($AN$3:$AN$201,$M95)&gt;0,
     COUNTIFS($AO$3:$AO$201,$M95)&gt;0,
     COUNTIFS($AP$3:$AP$201,$M95)&gt;0,
     COUNTIFS($AQ$3:$AQ$201,$M95)&gt;0,
     COUNTIFS($AR$3:$AR$201,$M95)&gt;0,
     COUNTIFS($AS$3:$AS$201,$M95)&gt;0,
     COUNTIFS($AT$3:$AT$201,$M95)&gt;0,
     COUNTIFS($AU$3:$AU$201,$M95)&gt;0,
     COUNTIFS($AV$3:$AV$201,$M95)&gt;0,
     COUNTIFS($AW$3:$AW$201,$M95)&gt;0,
     COUNTIFS($AX$3:$AX$201,$M95)&gt;0
   )),
  ),
  2
 ),
"")</f>
        <v/>
      </c>
      <c r="Q95" s="2" t="str" cm="1">
        <f t="array" aca="1" ref="Q95" ca="1">IFERROR(
 INDEX(
  _xlfn._xlws.FILTER($U$2:$AX$2,
   TRANSPOSE(
    CHOOSE({1;2;3;4;5;6;7;8;9;10;11;12;13;14;15;16;17;18;19;20;21;22;23;24;25;26;27;28;29;30},
     COUNTIFS($U$3:$U$201,$M95)&gt;0,
     COUNTIFS($V$3:$V$201,$M95)&gt;0,
     COUNTIFS($W$3:$W$201,$M95)&gt;0,
     COUNTIFS($X$3:$X$201,$M95)&gt;0,
     COUNTIFS($Y$3:$Y$201,$M95)&gt;0,
     COUNTIFS($Z$3:$Z$201,$M95)&gt;0,
     COUNTIFS($AA$3:$AA$201,$M95)&gt;0,
     COUNTIFS($AB$3:$AB$201,$M95)&gt;0,
     COUNTIFS($AC$3:$AC$201,$M95)&gt;0,
     COUNTIFS($AD$3:$AD$201,$M95)&gt;0,
     COUNTIFS($AE$3:$AE$201,$M95)&gt;0,
     COUNTIFS($AF$3:$AF$201,$M95)&gt;0,
     COUNTIFS($AG$3:$AG$201,$M95)&gt;0,
     COUNTIFS($AH$3:$AH$201,$M95)&gt;0,
     COUNTIFS($AI$3:$AI$201,$M95)&gt;0,
     COUNTIFS($AJ$3:$AJ$201,$M95)&gt;0,
     COUNTIFS($AK$3:$AK$201,$M95)&gt;0,
     COUNTIFS($AL$3:$AL$201,$M95)&gt;0,
     COUNTIFS($AM$3:$AM$201,$M95)&gt;0,
     COUNTIFS($AN$3:$AN$201,$M95)&gt;0,
     COUNTIFS($AO$3:$AO$201,$M95)&gt;0,
     COUNTIFS($AP$3:$AP$201,$M95)&gt;0,
     COUNTIFS($AQ$3:$AQ$201,$M95)&gt;0,
     COUNTIFS($AR$3:$AR$201,$M95)&gt;0,
     COUNTIFS($AS$3:$AS$201,$M95)&gt;0,
     COUNTIFS($AT$3:$AT$201,$M95)&gt;0,
     COUNTIFS($AU$3:$AU$201,$M95)&gt;0,
     COUNTIFS($AV$3:$AV$201,$M95)&gt;0,
     COUNTIFS($AW$3:$AW$201,$M95)&gt;0,
     COUNTIFS($AX$3:$AX$201,$M95)&gt;0
   )),
  ),
  3
 ),
"")</f>
        <v/>
      </c>
      <c r="EF95" t="str">
        <f ca="1"/>
        <v>Twinferno</v>
      </c>
      <c r="EO95" t="str">
        <f ca="1"/>
        <v>Noble's Purse</v>
      </c>
      <c r="ET95" t="str">
        <f ca="1"/>
        <v>Inspiring Statuary</v>
      </c>
      <c r="EW95" t="str">
        <f ca="1"/>
        <v>Infiltration Lens</v>
      </c>
    </row>
    <row r="96" spans="1:153" x14ac:dyDescent="0.25">
      <c r="A96" t="str">
        <f ca="1"/>
        <v>Comet Storm</v>
      </c>
      <c r="B96" s="2" t="str" cm="1">
        <f t="array" aca="1" ref="B96" ca="1">_xlfn.ANCHORARRAY(RESUMO!C95)</f>
        <v>4cRash</v>
      </c>
      <c r="C96" s="2" t="str">
        <f t="shared" ca="1" si="4"/>
        <v/>
      </c>
      <c r="E96" t="str">
        <f ca="1"/>
        <v>Ingot Chewer</v>
      </c>
      <c r="F96" s="2">
        <f t="shared" ca="1" si="7"/>
        <v>1</v>
      </c>
      <c r="G96" s="2" t="str">
        <f t="shared" ca="1" si="5"/>
        <v>Kresh</v>
      </c>
      <c r="I96" s="18"/>
      <c r="J96" t="s">
        <v>180</v>
      </c>
      <c r="K96" s="2">
        <v>1</v>
      </c>
      <c r="M96" t="str">
        <f ca="1"/>
        <v>Ingot Chewer</v>
      </c>
      <c r="N96" s="2">
        <f t="shared" ca="1" si="6"/>
        <v>1</v>
      </c>
      <c r="O96" s="2" t="str">
        <f ca="1">IFERROR(
 INDEX($U$2:$AX$2,
  MATCH(TRUE,
   CHOOSE({1;2;3;4;5;6;7;8;9;10;11;12;13;14;15;16;17;18;19;20;21;22;23;24;25;26;27;28;29;30;31;32},
    COUNTIFS($U$3:$U$201,$M96)&gt;0,
    COUNTIFS($V$3:$V$201,$M96)&gt;0,
    COUNTIFS($W$3:$W$201,$M96)&gt;0,
    COUNTIFS($X$3:$X$201,$M96)&gt;0,
    COUNTIFS($Y$3:$Y$201,$M96)&gt;0,
    COUNTIFS($Z$3:$Z$201,$M96)&gt;0,
    COUNTIFS($AA$3:$AA$201,$M96)&gt;0,
    COUNTIFS($AB$3:$AB$201,$M96)&gt;0,
    COUNTIFS($AC$3:$AC$201,$M96)&gt;0,
    COUNTIFS($AD$3:$AD$201,$M96)&gt;0,
    COUNTIFS($AE$3:$AE$201,$M96)&gt;0,
    COUNTIFS($AF$3:$AF$201,$M96)&gt;0,
    COUNTIFS($AG$3:$AG$201,$M96)&gt;0,
    COUNTIFS($AH$3:$AH$201,$M96)&gt;0,
    COUNTIFS($AI$3:$AI$201,$M96)&gt;0,
    COUNTIFS($AJ$3:$AJ$201,$M96)&gt;0,
    COUNTIFS($AK$3:$AK$201,$M96)&gt;0,
    COUNTIFS($AL$3:$AL$201,$M96)&gt;0,
    COUNTIFS($AM$3:$AM$201,$M96)&gt;0,
    COUNTIFS($AN$3:$AN$201,$M96)&gt;0,
    COUNTIFS($AO$3:$AO$201,$M96)&gt;0,
    COUNTIFS($AP$3:$AP$201,$M96)&gt;0,
    COUNTIFS($AQ$3:$AQ$201,$M96)&gt;0,
    COUNTIFS($AR$3:$AR$201,$M96)&gt;0,
    COUNTIFS($AS$3:$AS$201,$M96)&gt;0,
    COUNTIFS($AT$3:$AT$201,$M96)&gt;0,
    COUNTIFS($AU$3:$AU$201,$M96)&gt;0,
    COUNTIFS($AV$3:$AV$201,$M96)&gt;0,
    COUNTIFS($AW$3:$AW$201,$M96)&gt;0,
    COUNTIFS($AX$3:$AX$201,$M96)&gt;0
   ),
  0)
 ),
"")</f>
        <v>Kresh</v>
      </c>
      <c r="P96" s="2" t="str" cm="1">
        <f t="array" aca="1" ref="P96" ca="1">IFERROR(
 INDEX(
  _xlfn._xlws.FILTER($U$2:$AX$2,
   TRANSPOSE(
    CHOOSE({1;2;3;4;5;6;7;8;9;10;11;12;13;14;15;16;17;18;19;20;21;22;23;24;25;26;27;28;29;30},
     COUNTIFS($U$3:$U$201,$M96)&gt;0,
     COUNTIFS($V$3:$V$201,$M96)&gt;0,
     COUNTIFS($W$3:$W$201,$M96)&gt;0,
     COUNTIFS($X$3:$X$201,$M96)&gt;0,
     COUNTIFS($Y$3:$Y$201,$M96)&gt;0,
     COUNTIFS($Z$3:$Z$201,$M96)&gt;0,
     COUNTIFS($AA$3:$AA$201,$M96)&gt;0,
     COUNTIFS($AB$3:$AB$201,$M96)&gt;0,
     COUNTIFS($AC$3:$AC$201,$M96)&gt;0,
     COUNTIFS($AD$3:$AD$201,$M96)&gt;0,
     COUNTIFS($AE$3:$AE$201,$M96)&gt;0,
     COUNTIFS($AF$3:$AF$201,$M96)&gt;0,
     COUNTIFS($AG$3:$AG$201,$M96)&gt;0,
     COUNTIFS($AH$3:$AH$201,$M96)&gt;0,
     COUNTIFS($AI$3:$AI$201,$M96)&gt;0,
     COUNTIFS($AJ$3:$AJ$201,$M96)&gt;0,
     COUNTIFS($AK$3:$AK$201,$M96)&gt;0,
     COUNTIFS($AL$3:$AL$201,$M96)&gt;0,
     COUNTIFS($AM$3:$AM$201,$M96)&gt;0,
     COUNTIFS($AN$3:$AN$201,$M96)&gt;0,
     COUNTIFS($AO$3:$AO$201,$M96)&gt;0,
     COUNTIFS($AP$3:$AP$201,$M96)&gt;0,
     COUNTIFS($AQ$3:$AQ$201,$M96)&gt;0,
     COUNTIFS($AR$3:$AR$201,$M96)&gt;0,
     COUNTIFS($AS$3:$AS$201,$M96)&gt;0,
     COUNTIFS($AT$3:$AT$201,$M96)&gt;0,
     COUNTIFS($AU$3:$AU$201,$M96)&gt;0,
     COUNTIFS($AV$3:$AV$201,$M96)&gt;0,
     COUNTIFS($AW$3:$AW$201,$M96)&gt;0,
     COUNTIFS($AX$3:$AX$201,$M96)&gt;0
   )),
  ),
  2
 ),
"")</f>
        <v/>
      </c>
      <c r="Q96" s="2" t="str" cm="1">
        <f t="array" aca="1" ref="Q96" ca="1">IFERROR(
 INDEX(
  _xlfn._xlws.FILTER($U$2:$AX$2,
   TRANSPOSE(
    CHOOSE({1;2;3;4;5;6;7;8;9;10;11;12;13;14;15;16;17;18;19;20;21;22;23;24;25;26;27;28;29;30},
     COUNTIFS($U$3:$U$201,$M96)&gt;0,
     COUNTIFS($V$3:$V$201,$M96)&gt;0,
     COUNTIFS($W$3:$W$201,$M96)&gt;0,
     COUNTIFS($X$3:$X$201,$M96)&gt;0,
     COUNTIFS($Y$3:$Y$201,$M96)&gt;0,
     COUNTIFS($Z$3:$Z$201,$M96)&gt;0,
     COUNTIFS($AA$3:$AA$201,$M96)&gt;0,
     COUNTIFS($AB$3:$AB$201,$M96)&gt;0,
     COUNTIFS($AC$3:$AC$201,$M96)&gt;0,
     COUNTIFS($AD$3:$AD$201,$M96)&gt;0,
     COUNTIFS($AE$3:$AE$201,$M96)&gt;0,
     COUNTIFS($AF$3:$AF$201,$M96)&gt;0,
     COUNTIFS($AG$3:$AG$201,$M96)&gt;0,
     COUNTIFS($AH$3:$AH$201,$M96)&gt;0,
     COUNTIFS($AI$3:$AI$201,$M96)&gt;0,
     COUNTIFS($AJ$3:$AJ$201,$M96)&gt;0,
     COUNTIFS($AK$3:$AK$201,$M96)&gt;0,
     COUNTIFS($AL$3:$AL$201,$M96)&gt;0,
     COUNTIFS($AM$3:$AM$201,$M96)&gt;0,
     COUNTIFS($AN$3:$AN$201,$M96)&gt;0,
     COUNTIFS($AO$3:$AO$201,$M96)&gt;0,
     COUNTIFS($AP$3:$AP$201,$M96)&gt;0,
     COUNTIFS($AQ$3:$AQ$201,$M96)&gt;0,
     COUNTIFS($AR$3:$AR$201,$M96)&gt;0,
     COUNTIFS($AS$3:$AS$201,$M96)&gt;0,
     COUNTIFS($AT$3:$AT$201,$M96)&gt;0,
     COUNTIFS($AU$3:$AU$201,$M96)&gt;0,
     COUNTIFS($AV$3:$AV$201,$M96)&gt;0,
     COUNTIFS($AW$3:$AW$201,$M96)&gt;0,
     COUNTIFS($AX$3:$AX$201,$M96)&gt;0
   )),
  ),
  3
 ),
"")</f>
        <v/>
      </c>
      <c r="EF96" t="str">
        <f ca="1"/>
        <v>Vale Afundado</v>
      </c>
      <c r="EO96" t="str">
        <f ca="1"/>
        <v>Nyx Weaver</v>
      </c>
      <c r="ET96" t="str">
        <f ca="1"/>
        <v>Island</v>
      </c>
      <c r="EW96" t="str">
        <f ca="1"/>
        <v>Ingot Chewer</v>
      </c>
    </row>
    <row r="97" spans="1:153" x14ac:dyDescent="0.25">
      <c r="A97" t="str">
        <f ca="1"/>
        <v>Command Tower</v>
      </c>
      <c r="B97" s="2" t="str" cm="1">
        <f t="array" aca="1" ref="B97" ca="1">_xlfn.ANCHORARRAY(RESUMO!C96)</f>
        <v>Fractius</v>
      </c>
      <c r="C97" s="2" t="str">
        <f t="shared" ca="1" si="4"/>
        <v/>
      </c>
      <c r="E97" t="str">
        <f ca="1"/>
        <v>Inspiring Call</v>
      </c>
      <c r="F97" s="2">
        <f t="shared" ca="1" si="7"/>
        <v>1</v>
      </c>
      <c r="G97" s="2" t="str">
        <f t="shared" ca="1" si="5"/>
        <v>Modular</v>
      </c>
      <c r="I97" s="18"/>
      <c r="J97" t="s">
        <v>180</v>
      </c>
      <c r="K97" s="2">
        <v>1</v>
      </c>
      <c r="M97" t="str">
        <f ca="1"/>
        <v>Inspiring Call</v>
      </c>
      <c r="N97" s="2">
        <f t="shared" ca="1" si="6"/>
        <v>1</v>
      </c>
      <c r="O97" s="2" t="str">
        <f ca="1">IFERROR(
 INDEX($U$2:$AX$2,
  MATCH(TRUE,
   CHOOSE({1;2;3;4;5;6;7;8;9;10;11;12;13;14;15;16;17;18;19;20;21;22;23;24;25;26;27;28;29;30;31;32},
    COUNTIFS($U$3:$U$201,$M97)&gt;0,
    COUNTIFS($V$3:$V$201,$M97)&gt;0,
    COUNTIFS($W$3:$W$201,$M97)&gt;0,
    COUNTIFS($X$3:$X$201,$M97)&gt;0,
    COUNTIFS($Y$3:$Y$201,$M97)&gt;0,
    COUNTIFS($Z$3:$Z$201,$M97)&gt;0,
    COUNTIFS($AA$3:$AA$201,$M97)&gt;0,
    COUNTIFS($AB$3:$AB$201,$M97)&gt;0,
    COUNTIFS($AC$3:$AC$201,$M97)&gt;0,
    COUNTIFS($AD$3:$AD$201,$M97)&gt;0,
    COUNTIFS($AE$3:$AE$201,$M97)&gt;0,
    COUNTIFS($AF$3:$AF$201,$M97)&gt;0,
    COUNTIFS($AG$3:$AG$201,$M97)&gt;0,
    COUNTIFS($AH$3:$AH$201,$M97)&gt;0,
    COUNTIFS($AI$3:$AI$201,$M97)&gt;0,
    COUNTIFS($AJ$3:$AJ$201,$M97)&gt;0,
    COUNTIFS($AK$3:$AK$201,$M97)&gt;0,
    COUNTIFS($AL$3:$AL$201,$M97)&gt;0,
    COUNTIFS($AM$3:$AM$201,$M97)&gt;0,
    COUNTIFS($AN$3:$AN$201,$M97)&gt;0,
    COUNTIFS($AO$3:$AO$201,$M97)&gt;0,
    COUNTIFS($AP$3:$AP$201,$M97)&gt;0,
    COUNTIFS($AQ$3:$AQ$201,$M97)&gt;0,
    COUNTIFS($AR$3:$AR$201,$M97)&gt;0,
    COUNTIFS($AS$3:$AS$201,$M97)&gt;0,
    COUNTIFS($AT$3:$AT$201,$M97)&gt;0,
    COUNTIFS($AU$3:$AU$201,$M97)&gt;0,
    COUNTIFS($AV$3:$AV$201,$M97)&gt;0,
    COUNTIFS($AW$3:$AW$201,$M97)&gt;0,
    COUNTIFS($AX$3:$AX$201,$M97)&gt;0
   ),
  0)
 ),
"")</f>
        <v>Modular</v>
      </c>
      <c r="P97" s="2" t="str" cm="1">
        <f t="array" aca="1" ref="P97" ca="1">IFERROR(
 INDEX(
  _xlfn._xlws.FILTER($U$2:$AX$2,
   TRANSPOSE(
    CHOOSE({1;2;3;4;5;6;7;8;9;10;11;12;13;14;15;16;17;18;19;20;21;22;23;24;25;26;27;28;29;30},
     COUNTIFS($U$3:$U$201,$M97)&gt;0,
     COUNTIFS($V$3:$V$201,$M97)&gt;0,
     COUNTIFS($W$3:$W$201,$M97)&gt;0,
     COUNTIFS($X$3:$X$201,$M97)&gt;0,
     COUNTIFS($Y$3:$Y$201,$M97)&gt;0,
     COUNTIFS($Z$3:$Z$201,$M97)&gt;0,
     COUNTIFS($AA$3:$AA$201,$M97)&gt;0,
     COUNTIFS($AB$3:$AB$201,$M97)&gt;0,
     COUNTIFS($AC$3:$AC$201,$M97)&gt;0,
     COUNTIFS($AD$3:$AD$201,$M97)&gt;0,
     COUNTIFS($AE$3:$AE$201,$M97)&gt;0,
     COUNTIFS($AF$3:$AF$201,$M97)&gt;0,
     COUNTIFS($AG$3:$AG$201,$M97)&gt;0,
     COUNTIFS($AH$3:$AH$201,$M97)&gt;0,
     COUNTIFS($AI$3:$AI$201,$M97)&gt;0,
     COUNTIFS($AJ$3:$AJ$201,$M97)&gt;0,
     COUNTIFS($AK$3:$AK$201,$M97)&gt;0,
     COUNTIFS($AL$3:$AL$201,$M97)&gt;0,
     COUNTIFS($AM$3:$AM$201,$M97)&gt;0,
     COUNTIFS($AN$3:$AN$201,$M97)&gt;0,
     COUNTIFS($AO$3:$AO$201,$M97)&gt;0,
     COUNTIFS($AP$3:$AP$201,$M97)&gt;0,
     COUNTIFS($AQ$3:$AQ$201,$M97)&gt;0,
     COUNTIFS($AR$3:$AR$201,$M97)&gt;0,
     COUNTIFS($AS$3:$AS$201,$M97)&gt;0,
     COUNTIFS($AT$3:$AT$201,$M97)&gt;0,
     COUNTIFS($AU$3:$AU$201,$M97)&gt;0,
     COUNTIFS($AV$3:$AV$201,$M97)&gt;0,
     COUNTIFS($AW$3:$AW$201,$M97)&gt;0,
     COUNTIFS($AX$3:$AX$201,$M97)&gt;0
   )),
  ),
  2
 ),
"")</f>
        <v/>
      </c>
      <c r="Q97" s="2" t="str" cm="1">
        <f t="array" aca="1" ref="Q97" ca="1">IFERROR(
 INDEX(
  _xlfn._xlws.FILTER($U$2:$AX$2,
   TRANSPOSE(
    CHOOSE({1;2;3;4;5;6;7;8;9;10;11;12;13;14;15;16;17;18;19;20;21;22;23;24;25;26;27;28;29;30},
     COUNTIFS($U$3:$U$201,$M97)&gt;0,
     COUNTIFS($V$3:$V$201,$M97)&gt;0,
     COUNTIFS($W$3:$W$201,$M97)&gt;0,
     COUNTIFS($X$3:$X$201,$M97)&gt;0,
     COUNTIFS($Y$3:$Y$201,$M97)&gt;0,
     COUNTIFS($Z$3:$Z$201,$M97)&gt;0,
     COUNTIFS($AA$3:$AA$201,$M97)&gt;0,
     COUNTIFS($AB$3:$AB$201,$M97)&gt;0,
     COUNTIFS($AC$3:$AC$201,$M97)&gt;0,
     COUNTIFS($AD$3:$AD$201,$M97)&gt;0,
     COUNTIFS($AE$3:$AE$201,$M97)&gt;0,
     COUNTIFS($AF$3:$AF$201,$M97)&gt;0,
     COUNTIFS($AG$3:$AG$201,$M97)&gt;0,
     COUNTIFS($AH$3:$AH$201,$M97)&gt;0,
     COUNTIFS($AI$3:$AI$201,$M97)&gt;0,
     COUNTIFS($AJ$3:$AJ$201,$M97)&gt;0,
     COUNTIFS($AK$3:$AK$201,$M97)&gt;0,
     COUNTIFS($AL$3:$AL$201,$M97)&gt;0,
     COUNTIFS($AM$3:$AM$201,$M97)&gt;0,
     COUNTIFS($AN$3:$AN$201,$M97)&gt;0,
     COUNTIFS($AO$3:$AO$201,$M97)&gt;0,
     COUNTIFS($AP$3:$AP$201,$M97)&gt;0,
     COUNTIFS($AQ$3:$AQ$201,$M97)&gt;0,
     COUNTIFS($AR$3:$AR$201,$M97)&gt;0,
     COUNTIFS($AS$3:$AS$201,$M97)&gt;0,
     COUNTIFS($AT$3:$AT$201,$M97)&gt;0,
     COUNTIFS($AU$3:$AU$201,$M97)&gt;0,
     COUNTIFS($AV$3:$AV$201,$M97)&gt;0,
     COUNTIFS($AW$3:$AW$201,$M97)&gt;0,
     COUNTIFS($AX$3:$AX$201,$M97)&gt;0
   )),
  ),
  3
 ),
"")</f>
        <v/>
      </c>
      <c r="EF97" t="str">
        <f ca="1"/>
        <v>Wand of Wonder</v>
      </c>
      <c r="EO97" t="str">
        <f ca="1"/>
        <v>Opt</v>
      </c>
      <c r="ET97" t="str">
        <f ca="1"/>
        <v>Japaland</v>
      </c>
      <c r="EW97" t="str">
        <f ca="1"/>
        <v>Inspiring Call</v>
      </c>
    </row>
    <row r="98" spans="1:153" x14ac:dyDescent="0.25">
      <c r="A98" t="str">
        <f ca="1"/>
        <v>Commodore Guff</v>
      </c>
      <c r="B98" s="2" t="str" cm="1">
        <f t="array" aca="1" ref="B98" ca="1">_xlfn.ANCHORARRAY(RESUMO!C97)</f>
        <v>Sisay</v>
      </c>
      <c r="C98" s="2" t="str">
        <f t="shared" ca="1" si="4"/>
        <v/>
      </c>
      <c r="E98" t="str">
        <f ca="1"/>
        <v>Inspiring Refrain</v>
      </c>
      <c r="F98" s="2">
        <f t="shared" ca="1" si="7"/>
        <v>1</v>
      </c>
      <c r="G98" s="2" t="str">
        <f t="shared" ca="1" si="5"/>
        <v>VialIshai</v>
      </c>
      <c r="J98" t="s">
        <v>180</v>
      </c>
      <c r="K98" s="2">
        <v>1</v>
      </c>
      <c r="M98" t="str">
        <f ca="1"/>
        <v>Inspiring Refrain</v>
      </c>
      <c r="N98" s="2">
        <f t="shared" ca="1" si="6"/>
        <v>1</v>
      </c>
      <c r="O98" s="2" t="str">
        <f ca="1">IFERROR(
 INDEX($U$2:$AX$2,
  MATCH(TRUE,
   CHOOSE({1;2;3;4;5;6;7;8;9;10;11;12;13;14;15;16;17;18;19;20;21;22;23;24;25;26;27;28;29;30;31;32},
    COUNTIFS($U$3:$U$201,$M98)&gt;0,
    COUNTIFS($V$3:$V$201,$M98)&gt;0,
    COUNTIFS($W$3:$W$201,$M98)&gt;0,
    COUNTIFS($X$3:$X$201,$M98)&gt;0,
    COUNTIFS($Y$3:$Y$201,$M98)&gt;0,
    COUNTIFS($Z$3:$Z$201,$M98)&gt;0,
    COUNTIFS($AA$3:$AA$201,$M98)&gt;0,
    COUNTIFS($AB$3:$AB$201,$M98)&gt;0,
    COUNTIFS($AC$3:$AC$201,$M98)&gt;0,
    COUNTIFS($AD$3:$AD$201,$M98)&gt;0,
    COUNTIFS($AE$3:$AE$201,$M98)&gt;0,
    COUNTIFS($AF$3:$AF$201,$M98)&gt;0,
    COUNTIFS($AG$3:$AG$201,$M98)&gt;0,
    COUNTIFS($AH$3:$AH$201,$M98)&gt;0,
    COUNTIFS($AI$3:$AI$201,$M98)&gt;0,
    COUNTIFS($AJ$3:$AJ$201,$M98)&gt;0,
    COUNTIFS($AK$3:$AK$201,$M98)&gt;0,
    COUNTIFS($AL$3:$AL$201,$M98)&gt;0,
    COUNTIFS($AM$3:$AM$201,$M98)&gt;0,
    COUNTIFS($AN$3:$AN$201,$M98)&gt;0,
    COUNTIFS($AO$3:$AO$201,$M98)&gt;0,
    COUNTIFS($AP$3:$AP$201,$M98)&gt;0,
    COUNTIFS($AQ$3:$AQ$201,$M98)&gt;0,
    COUNTIFS($AR$3:$AR$201,$M98)&gt;0,
    COUNTIFS($AS$3:$AS$201,$M98)&gt;0,
    COUNTIFS($AT$3:$AT$201,$M98)&gt;0,
    COUNTIFS($AU$3:$AU$201,$M98)&gt;0,
    COUNTIFS($AV$3:$AV$201,$M98)&gt;0,
    COUNTIFS($AW$3:$AW$201,$M98)&gt;0,
    COUNTIFS($AX$3:$AX$201,$M98)&gt;0
   ),
  0)
 ),
"")</f>
        <v>VialIshai</v>
      </c>
      <c r="P98" s="2" t="str" cm="1">
        <f t="array" aca="1" ref="P98" ca="1">IFERROR(
 INDEX(
  _xlfn._xlws.FILTER($U$2:$AX$2,
   TRANSPOSE(
    CHOOSE({1;2;3;4;5;6;7;8;9;10;11;12;13;14;15;16;17;18;19;20;21;22;23;24;25;26;27;28;29;30},
     COUNTIFS($U$3:$U$201,$M98)&gt;0,
     COUNTIFS($V$3:$V$201,$M98)&gt;0,
     COUNTIFS($W$3:$W$201,$M98)&gt;0,
     COUNTIFS($X$3:$X$201,$M98)&gt;0,
     COUNTIFS($Y$3:$Y$201,$M98)&gt;0,
     COUNTIFS($Z$3:$Z$201,$M98)&gt;0,
     COUNTIFS($AA$3:$AA$201,$M98)&gt;0,
     COUNTIFS($AB$3:$AB$201,$M98)&gt;0,
     COUNTIFS($AC$3:$AC$201,$M98)&gt;0,
     COUNTIFS($AD$3:$AD$201,$M98)&gt;0,
     COUNTIFS($AE$3:$AE$201,$M98)&gt;0,
     COUNTIFS($AF$3:$AF$201,$M98)&gt;0,
     COUNTIFS($AG$3:$AG$201,$M98)&gt;0,
     COUNTIFS($AH$3:$AH$201,$M98)&gt;0,
     COUNTIFS($AI$3:$AI$201,$M98)&gt;0,
     COUNTIFS($AJ$3:$AJ$201,$M98)&gt;0,
     COUNTIFS($AK$3:$AK$201,$M98)&gt;0,
     COUNTIFS($AL$3:$AL$201,$M98)&gt;0,
     COUNTIFS($AM$3:$AM$201,$M98)&gt;0,
     COUNTIFS($AN$3:$AN$201,$M98)&gt;0,
     COUNTIFS($AO$3:$AO$201,$M98)&gt;0,
     COUNTIFS($AP$3:$AP$201,$M98)&gt;0,
     COUNTIFS($AQ$3:$AQ$201,$M98)&gt;0,
     COUNTIFS($AR$3:$AR$201,$M98)&gt;0,
     COUNTIFS($AS$3:$AS$201,$M98)&gt;0,
     COUNTIFS($AT$3:$AT$201,$M98)&gt;0,
     COUNTIFS($AU$3:$AU$201,$M98)&gt;0,
     COUNTIFS($AV$3:$AV$201,$M98)&gt;0,
     COUNTIFS($AW$3:$AW$201,$M98)&gt;0,
     COUNTIFS($AX$3:$AX$201,$M98)&gt;0
   )),
  ),
  2
 ),
"")</f>
        <v/>
      </c>
      <c r="Q98" s="2" t="str" cm="1">
        <f t="array" aca="1" ref="Q98" ca="1">IFERROR(
 INDEX(
  _xlfn._xlws.FILTER($U$2:$AX$2,
   TRANSPOSE(
    CHOOSE({1;2;3;4;5;6;7;8;9;10;11;12;13;14;15;16;17;18;19;20;21;22;23;24;25;26;27;28;29;30},
     COUNTIFS($U$3:$U$201,$M98)&gt;0,
     COUNTIFS($V$3:$V$201,$M98)&gt;0,
     COUNTIFS($W$3:$W$201,$M98)&gt;0,
     COUNTIFS($X$3:$X$201,$M98)&gt;0,
     COUNTIFS($Y$3:$Y$201,$M98)&gt;0,
     COUNTIFS($Z$3:$Z$201,$M98)&gt;0,
     COUNTIFS($AA$3:$AA$201,$M98)&gt;0,
     COUNTIFS($AB$3:$AB$201,$M98)&gt;0,
     COUNTIFS($AC$3:$AC$201,$M98)&gt;0,
     COUNTIFS($AD$3:$AD$201,$M98)&gt;0,
     COUNTIFS($AE$3:$AE$201,$M98)&gt;0,
     COUNTIFS($AF$3:$AF$201,$M98)&gt;0,
     COUNTIFS($AG$3:$AG$201,$M98)&gt;0,
     COUNTIFS($AH$3:$AH$201,$M98)&gt;0,
     COUNTIFS($AI$3:$AI$201,$M98)&gt;0,
     COUNTIFS($AJ$3:$AJ$201,$M98)&gt;0,
     COUNTIFS($AK$3:$AK$201,$M98)&gt;0,
     COUNTIFS($AL$3:$AL$201,$M98)&gt;0,
     COUNTIFS($AM$3:$AM$201,$M98)&gt;0,
     COUNTIFS($AN$3:$AN$201,$M98)&gt;0,
     COUNTIFS($AO$3:$AO$201,$M98)&gt;0,
     COUNTIFS($AP$3:$AP$201,$M98)&gt;0,
     COUNTIFS($AQ$3:$AQ$201,$M98)&gt;0,
     COUNTIFS($AR$3:$AR$201,$M98)&gt;0,
     COUNTIFS($AS$3:$AS$201,$M98)&gt;0,
     COUNTIFS($AT$3:$AT$201,$M98)&gt;0,
     COUNTIFS($AU$3:$AU$201,$M98)&gt;0,
     COUNTIFS($AV$3:$AV$201,$M98)&gt;0,
     COUNTIFS($AW$3:$AW$201,$M98)&gt;0,
     COUNTIFS($AX$3:$AX$201,$M98)&gt;0
   )),
  ),
  3
 ),
"")</f>
        <v/>
      </c>
      <c r="EF98" t="str">
        <f ca="1"/>
        <v>Watertrap Weaver</v>
      </c>
      <c r="EO98" t="str">
        <f ca="1"/>
        <v>Oversold Cemetery</v>
      </c>
      <c r="ET98" t="str">
        <f ca="1"/>
        <v>Jarad, Golgari Lich Lord</v>
      </c>
      <c r="EW98" t="str">
        <f ca="1"/>
        <v>Inspiring Refrain</v>
      </c>
    </row>
    <row r="99" spans="1:153" x14ac:dyDescent="0.25">
      <c r="A99" t="str">
        <f ca="1"/>
        <v>Congregation at Dawn</v>
      </c>
      <c r="B99" s="2" t="str" cm="1">
        <f t="array" aca="1" ref="B99" ca="1">_xlfn.ANCHORARRAY(RESUMO!C98)</f>
        <v>Fractius</v>
      </c>
      <c r="C99" s="2" t="str">
        <f t="shared" ca="1" si="4"/>
        <v/>
      </c>
      <c r="E99" t="str">
        <f ca="1"/>
        <v>Inspiring Statuary</v>
      </c>
      <c r="F99" s="2">
        <f t="shared" ca="1" si="7"/>
        <v>1</v>
      </c>
      <c r="G99" s="2" t="str">
        <f t="shared" ca="1" si="5"/>
        <v>OWA</v>
      </c>
      <c r="J99" t="s">
        <v>180</v>
      </c>
      <c r="K99" s="2">
        <v>1</v>
      </c>
      <c r="M99" t="str">
        <f ca="1"/>
        <v>Inspiring Statuary</v>
      </c>
      <c r="N99" s="2">
        <f t="shared" ca="1" si="6"/>
        <v>1</v>
      </c>
      <c r="O99" s="2" t="str">
        <f ca="1">IFERROR(
 INDEX($U$2:$AX$2,
  MATCH(TRUE,
   CHOOSE({1;2;3;4;5;6;7;8;9;10;11;12;13;14;15;16;17;18;19;20;21;22;23;24;25;26;27;28;29;30;31;32},
    COUNTIFS($U$3:$U$201,$M99)&gt;0,
    COUNTIFS($V$3:$V$201,$M99)&gt;0,
    COUNTIFS($W$3:$W$201,$M99)&gt;0,
    COUNTIFS($X$3:$X$201,$M99)&gt;0,
    COUNTIFS($Y$3:$Y$201,$M99)&gt;0,
    COUNTIFS($Z$3:$Z$201,$M99)&gt;0,
    COUNTIFS($AA$3:$AA$201,$M99)&gt;0,
    COUNTIFS($AB$3:$AB$201,$M99)&gt;0,
    COUNTIFS($AC$3:$AC$201,$M99)&gt;0,
    COUNTIFS($AD$3:$AD$201,$M99)&gt;0,
    COUNTIFS($AE$3:$AE$201,$M99)&gt;0,
    COUNTIFS($AF$3:$AF$201,$M99)&gt;0,
    COUNTIFS($AG$3:$AG$201,$M99)&gt;0,
    COUNTIFS($AH$3:$AH$201,$M99)&gt;0,
    COUNTIFS($AI$3:$AI$201,$M99)&gt;0,
    COUNTIFS($AJ$3:$AJ$201,$M99)&gt;0,
    COUNTIFS($AK$3:$AK$201,$M99)&gt;0,
    COUNTIFS($AL$3:$AL$201,$M99)&gt;0,
    COUNTIFS($AM$3:$AM$201,$M99)&gt;0,
    COUNTIFS($AN$3:$AN$201,$M99)&gt;0,
    COUNTIFS($AO$3:$AO$201,$M99)&gt;0,
    COUNTIFS($AP$3:$AP$201,$M99)&gt;0,
    COUNTIFS($AQ$3:$AQ$201,$M99)&gt;0,
    COUNTIFS($AR$3:$AR$201,$M99)&gt;0,
    COUNTIFS($AS$3:$AS$201,$M99)&gt;0,
    COUNTIFS($AT$3:$AT$201,$M99)&gt;0,
    COUNTIFS($AU$3:$AU$201,$M99)&gt;0,
    COUNTIFS($AV$3:$AV$201,$M99)&gt;0,
    COUNTIFS($AW$3:$AW$201,$M99)&gt;0,
    COUNTIFS($AX$3:$AX$201,$M99)&gt;0
   ),
  0)
 ),
"")</f>
        <v>OWA</v>
      </c>
      <c r="P99" s="2" t="str" cm="1">
        <f t="array" aca="1" ref="P99" ca="1">IFERROR(
 INDEX(
  _xlfn._xlws.FILTER($U$2:$AX$2,
   TRANSPOSE(
    CHOOSE({1;2;3;4;5;6;7;8;9;10;11;12;13;14;15;16;17;18;19;20;21;22;23;24;25;26;27;28;29;30},
     COUNTIFS($U$3:$U$201,$M99)&gt;0,
     COUNTIFS($V$3:$V$201,$M99)&gt;0,
     COUNTIFS($W$3:$W$201,$M99)&gt;0,
     COUNTIFS($X$3:$X$201,$M99)&gt;0,
     COUNTIFS($Y$3:$Y$201,$M99)&gt;0,
     COUNTIFS($Z$3:$Z$201,$M99)&gt;0,
     COUNTIFS($AA$3:$AA$201,$M99)&gt;0,
     COUNTIFS($AB$3:$AB$201,$M99)&gt;0,
     COUNTIFS($AC$3:$AC$201,$M99)&gt;0,
     COUNTIFS($AD$3:$AD$201,$M99)&gt;0,
     COUNTIFS($AE$3:$AE$201,$M99)&gt;0,
     COUNTIFS($AF$3:$AF$201,$M99)&gt;0,
     COUNTIFS($AG$3:$AG$201,$M99)&gt;0,
     COUNTIFS($AH$3:$AH$201,$M99)&gt;0,
     COUNTIFS($AI$3:$AI$201,$M99)&gt;0,
     COUNTIFS($AJ$3:$AJ$201,$M99)&gt;0,
     COUNTIFS($AK$3:$AK$201,$M99)&gt;0,
     COUNTIFS($AL$3:$AL$201,$M99)&gt;0,
     COUNTIFS($AM$3:$AM$201,$M99)&gt;0,
     COUNTIFS($AN$3:$AN$201,$M99)&gt;0,
     COUNTIFS($AO$3:$AO$201,$M99)&gt;0,
     COUNTIFS($AP$3:$AP$201,$M99)&gt;0,
     COUNTIFS($AQ$3:$AQ$201,$M99)&gt;0,
     COUNTIFS($AR$3:$AR$201,$M99)&gt;0,
     COUNTIFS($AS$3:$AS$201,$M99)&gt;0,
     COUNTIFS($AT$3:$AT$201,$M99)&gt;0,
     COUNTIFS($AU$3:$AU$201,$M99)&gt;0,
     COUNTIFS($AV$3:$AV$201,$M99)&gt;0,
     COUNTIFS($AW$3:$AW$201,$M99)&gt;0,
     COUNTIFS($AX$3:$AX$201,$M99)&gt;0
   )),
  ),
  2
 ),
"")</f>
        <v/>
      </c>
      <c r="Q99" s="2" t="str" cm="1">
        <f t="array" aca="1" ref="Q99" ca="1">IFERROR(
 INDEX(
  _xlfn._xlws.FILTER($U$2:$AX$2,
   TRANSPOSE(
    CHOOSE({1;2;3;4;5;6;7;8;9;10;11;12;13;14;15;16;17;18;19;20;21;22;23;24;25;26;27;28;29;30},
     COUNTIFS($U$3:$U$201,$M99)&gt;0,
     COUNTIFS($V$3:$V$201,$M99)&gt;0,
     COUNTIFS($W$3:$W$201,$M99)&gt;0,
     COUNTIFS($X$3:$X$201,$M99)&gt;0,
     COUNTIFS($Y$3:$Y$201,$M99)&gt;0,
     COUNTIFS($Z$3:$Z$201,$M99)&gt;0,
     COUNTIFS($AA$3:$AA$201,$M99)&gt;0,
     COUNTIFS($AB$3:$AB$201,$M99)&gt;0,
     COUNTIFS($AC$3:$AC$201,$M99)&gt;0,
     COUNTIFS($AD$3:$AD$201,$M99)&gt;0,
     COUNTIFS($AE$3:$AE$201,$M99)&gt;0,
     COUNTIFS($AF$3:$AF$201,$M99)&gt;0,
     COUNTIFS($AG$3:$AG$201,$M99)&gt;0,
     COUNTIFS($AH$3:$AH$201,$M99)&gt;0,
     COUNTIFS($AI$3:$AI$201,$M99)&gt;0,
     COUNTIFS($AJ$3:$AJ$201,$M99)&gt;0,
     COUNTIFS($AK$3:$AK$201,$M99)&gt;0,
     COUNTIFS($AL$3:$AL$201,$M99)&gt;0,
     COUNTIFS($AM$3:$AM$201,$M99)&gt;0,
     COUNTIFS($AN$3:$AN$201,$M99)&gt;0,
     COUNTIFS($AO$3:$AO$201,$M99)&gt;0,
     COUNTIFS($AP$3:$AP$201,$M99)&gt;0,
     COUNTIFS($AQ$3:$AQ$201,$M99)&gt;0,
     COUNTIFS($AR$3:$AR$201,$M99)&gt;0,
     COUNTIFS($AS$3:$AS$201,$M99)&gt;0,
     COUNTIFS($AT$3:$AT$201,$M99)&gt;0,
     COUNTIFS($AU$3:$AU$201,$M99)&gt;0,
     COUNTIFS($AV$3:$AV$201,$M99)&gt;0,
     COUNTIFS($AW$3:$AW$201,$M99)&gt;0,
     COUNTIFS($AX$3:$AX$201,$M99)&gt;0
   )),
  ),
  3
 ),
"")</f>
        <v/>
      </c>
      <c r="EF99" t="str">
        <f ca="1"/>
        <v>Wyll's Reversal</v>
      </c>
      <c r="EO99" t="str">
        <f ca="1"/>
        <v>Panorama de Naya</v>
      </c>
      <c r="ET99" t="str">
        <f ca="1"/>
        <v>Jeskai Ascendancy</v>
      </c>
      <c r="EW99" t="str">
        <f ca="1"/>
        <v>Inspiring Statuary</v>
      </c>
    </row>
    <row r="100" spans="1:153" x14ac:dyDescent="0.25">
      <c r="A100" t="str">
        <f ca="1"/>
        <v>Constricting Sliver</v>
      </c>
      <c r="B100" s="2" t="str" cm="1">
        <f t="array" aca="1" ref="B100" ca="1">_xlfn.ANCHORARRAY(RESUMO!C99)</f>
        <v>Fractius</v>
      </c>
      <c r="C100" s="2" t="str">
        <f t="shared" ca="1" si="4"/>
        <v/>
      </c>
      <c r="E100" t="str">
        <f ca="1"/>
        <v>Island</v>
      </c>
      <c r="F100" s="2">
        <f t="shared" ca="1" si="7"/>
        <v>20</v>
      </c>
      <c r="G100" s="2" t="str">
        <f t="shared" ca="1" si="5"/>
        <v>Piratas</v>
      </c>
      <c r="J100" t="s">
        <v>180</v>
      </c>
      <c r="K100" s="2">
        <v>1</v>
      </c>
      <c r="M100" t="str">
        <f ca="1"/>
        <v>Island</v>
      </c>
      <c r="N100" s="2">
        <f t="shared" ca="1" si="6"/>
        <v>20</v>
      </c>
      <c r="O100" s="2" t="str">
        <f ca="1">IFERROR(
 INDEX($U$2:$AX$2,
  MATCH(TRUE,
   CHOOSE({1;2;3;4;5;6;7;8;9;10;11;12;13;14;15;16;17;18;19;20;21;22;23;24;25;26;27;28;29;30;31;32},
    COUNTIFS($U$3:$U$201,$M100)&gt;0,
    COUNTIFS($V$3:$V$201,$M100)&gt;0,
    COUNTIFS($W$3:$W$201,$M100)&gt;0,
    COUNTIFS($X$3:$X$201,$M100)&gt;0,
    COUNTIFS($Y$3:$Y$201,$M100)&gt;0,
    COUNTIFS($Z$3:$Z$201,$M100)&gt;0,
    COUNTIFS($AA$3:$AA$201,$M100)&gt;0,
    COUNTIFS($AB$3:$AB$201,$M100)&gt;0,
    COUNTIFS($AC$3:$AC$201,$M100)&gt;0,
    COUNTIFS($AD$3:$AD$201,$M100)&gt;0,
    COUNTIFS($AE$3:$AE$201,$M100)&gt;0,
    COUNTIFS($AF$3:$AF$201,$M100)&gt;0,
    COUNTIFS($AG$3:$AG$201,$M100)&gt;0,
    COUNTIFS($AH$3:$AH$201,$M100)&gt;0,
    COUNTIFS($AI$3:$AI$201,$M100)&gt;0,
    COUNTIFS($AJ$3:$AJ$201,$M100)&gt;0,
    COUNTIFS($AK$3:$AK$201,$M100)&gt;0,
    COUNTIFS($AL$3:$AL$201,$M100)&gt;0,
    COUNTIFS($AM$3:$AM$201,$M100)&gt;0,
    COUNTIFS($AN$3:$AN$201,$M100)&gt;0,
    COUNTIFS($AO$3:$AO$201,$M100)&gt;0,
    COUNTIFS($AP$3:$AP$201,$M100)&gt;0,
    COUNTIFS($AQ$3:$AQ$201,$M100)&gt;0,
    COUNTIFS($AR$3:$AR$201,$M100)&gt;0,
    COUNTIFS($AS$3:$AS$201,$M100)&gt;0,
    COUNTIFS($AT$3:$AT$201,$M100)&gt;0,
    COUNTIFS($AU$3:$AU$201,$M100)&gt;0,
    COUNTIFS($AV$3:$AV$201,$M100)&gt;0,
    COUNTIFS($AW$3:$AW$201,$M100)&gt;0,
    COUNTIFS($AX$3:$AX$201,$M100)&gt;0
   ),
  0)
 ),
"")</f>
        <v>Piratas</v>
      </c>
      <c r="P100" s="2" t="str" cm="1">
        <f t="array" aca="1" ref="P100" ca="1">IFERROR(
 INDEX(
  _xlfn._xlws.FILTER($U$2:$AX$2,
   TRANSPOSE(
    CHOOSE({1;2;3;4;5;6;7;8;9;10;11;12;13;14;15;16;17;18;19;20;21;22;23;24;25;26;27;28;29;30},
     COUNTIFS($U$3:$U$201,$M100)&gt;0,
     COUNTIFS($V$3:$V$201,$M100)&gt;0,
     COUNTIFS($W$3:$W$201,$M100)&gt;0,
     COUNTIFS($X$3:$X$201,$M100)&gt;0,
     COUNTIFS($Y$3:$Y$201,$M100)&gt;0,
     COUNTIFS($Z$3:$Z$201,$M100)&gt;0,
     COUNTIFS($AA$3:$AA$201,$M100)&gt;0,
     COUNTIFS($AB$3:$AB$201,$M100)&gt;0,
     COUNTIFS($AC$3:$AC$201,$M100)&gt;0,
     COUNTIFS($AD$3:$AD$201,$M100)&gt;0,
     COUNTIFS($AE$3:$AE$201,$M100)&gt;0,
     COUNTIFS($AF$3:$AF$201,$M100)&gt;0,
     COUNTIFS($AG$3:$AG$201,$M100)&gt;0,
     COUNTIFS($AH$3:$AH$201,$M100)&gt;0,
     COUNTIFS($AI$3:$AI$201,$M100)&gt;0,
     COUNTIFS($AJ$3:$AJ$201,$M100)&gt;0,
     COUNTIFS($AK$3:$AK$201,$M100)&gt;0,
     COUNTIFS($AL$3:$AL$201,$M100)&gt;0,
     COUNTIFS($AM$3:$AM$201,$M100)&gt;0,
     COUNTIFS($AN$3:$AN$201,$M100)&gt;0,
     COUNTIFS($AO$3:$AO$201,$M100)&gt;0,
     COUNTIFS($AP$3:$AP$201,$M100)&gt;0,
     COUNTIFS($AQ$3:$AQ$201,$M100)&gt;0,
     COUNTIFS($AR$3:$AR$201,$M100)&gt;0,
     COUNTIFS($AS$3:$AS$201,$M100)&gt;0,
     COUNTIFS($AT$3:$AT$201,$M100)&gt;0,
     COUNTIFS($AU$3:$AU$201,$M100)&gt;0,
     COUNTIFS($AV$3:$AV$201,$M100)&gt;0,
     COUNTIFS($AW$3:$AW$201,$M100)&gt;0,
     COUNTIFS($AX$3:$AX$201,$M100)&gt;0
   )),
  ),
  2
 ),
"")</f>
        <v>Narset</v>
      </c>
      <c r="Q100" s="2" t="str" cm="1">
        <f t="array" aca="1" ref="Q100" ca="1">IFERROR(
 INDEX(
  _xlfn._xlws.FILTER($U$2:$AX$2,
   TRANSPOSE(
    CHOOSE({1;2;3;4;5;6;7;8;9;10;11;12;13;14;15;16;17;18;19;20;21;22;23;24;25;26;27;28;29;30},
     COUNTIFS($U$3:$U$201,$M100)&gt;0,
     COUNTIFS($V$3:$V$201,$M100)&gt;0,
     COUNTIFS($W$3:$W$201,$M100)&gt;0,
     COUNTIFS($X$3:$X$201,$M100)&gt;0,
     COUNTIFS($Y$3:$Y$201,$M100)&gt;0,
     COUNTIFS($Z$3:$Z$201,$M100)&gt;0,
     COUNTIFS($AA$3:$AA$201,$M100)&gt;0,
     COUNTIFS($AB$3:$AB$201,$M100)&gt;0,
     COUNTIFS($AC$3:$AC$201,$M100)&gt;0,
     COUNTIFS($AD$3:$AD$201,$M100)&gt;0,
     COUNTIFS($AE$3:$AE$201,$M100)&gt;0,
     COUNTIFS($AF$3:$AF$201,$M100)&gt;0,
     COUNTIFS($AG$3:$AG$201,$M100)&gt;0,
     COUNTIFS($AH$3:$AH$201,$M100)&gt;0,
     COUNTIFS($AI$3:$AI$201,$M100)&gt;0,
     COUNTIFS($AJ$3:$AJ$201,$M100)&gt;0,
     COUNTIFS($AK$3:$AK$201,$M100)&gt;0,
     COUNTIFS($AL$3:$AL$201,$M100)&gt;0,
     COUNTIFS($AM$3:$AM$201,$M100)&gt;0,
     COUNTIFS($AN$3:$AN$201,$M100)&gt;0,
     COUNTIFS($AO$3:$AO$201,$M100)&gt;0,
     COUNTIFS($AP$3:$AP$201,$M100)&gt;0,
     COUNTIFS($AQ$3:$AQ$201,$M100)&gt;0,
     COUNTIFS($AR$3:$AR$201,$M100)&gt;0,
     COUNTIFS($AS$3:$AS$201,$M100)&gt;0,
     COUNTIFS($AT$3:$AT$201,$M100)&gt;0,
     COUNTIFS($AU$3:$AU$201,$M100)&gt;0,
     COUNTIFS($AV$3:$AV$201,$M100)&gt;0,
     COUNTIFS($AW$3:$AW$201,$M100)&gt;0,
     COUNTIFS($AX$3:$AX$201,$M100)&gt;0
   )),
  ),
  3
 ),
"")</f>
        <v>Kumena</v>
      </c>
      <c r="EO100" t="str">
        <f ca="1"/>
        <v>Part the Waterveil</v>
      </c>
      <c r="ET100" t="str">
        <f ca="1"/>
        <v>Jolrael, Mwonvuli Recluse</v>
      </c>
      <c r="EW100" t="str">
        <f ca="1"/>
        <v>Island</v>
      </c>
    </row>
    <row r="101" spans="1:153" x14ac:dyDescent="0.25">
      <c r="A101" t="str">
        <f ca="1"/>
        <v>Contagion Engine</v>
      </c>
      <c r="B101" s="2" t="str" cm="1">
        <f t="array" aca="1" ref="B101" ca="1">_xlfn.ANCHORARRAY(RESUMO!C100)</f>
        <v>Ool</v>
      </c>
      <c r="C101" s="2" t="str">
        <f t="shared" ca="1" si="4"/>
        <v/>
      </c>
      <c r="E101" t="str">
        <f ca="1"/>
        <v>Japaland</v>
      </c>
      <c r="F101" s="2">
        <f t="shared" ca="1" si="7"/>
        <v>1</v>
      </c>
      <c r="G101" s="2" t="str">
        <f t="shared" ca="1" si="5"/>
        <v>Carlos</v>
      </c>
      <c r="J101" t="s">
        <v>180</v>
      </c>
      <c r="K101" s="2">
        <v>1</v>
      </c>
      <c r="M101" t="str">
        <f ca="1"/>
        <v>Japaland</v>
      </c>
      <c r="N101" s="2">
        <f t="shared" ca="1" si="6"/>
        <v>1</v>
      </c>
      <c r="O101" s="2" t="str">
        <f ca="1">IFERROR(
 INDEX($U$2:$AX$2,
  MATCH(TRUE,
   CHOOSE({1;2;3;4;5;6;7;8;9;10;11;12;13;14;15;16;17;18;19;20;21;22;23;24;25;26;27;28;29;30;31;32},
    COUNTIFS($U$3:$U$201,$M101)&gt;0,
    COUNTIFS($V$3:$V$201,$M101)&gt;0,
    COUNTIFS($W$3:$W$201,$M101)&gt;0,
    COUNTIFS($X$3:$X$201,$M101)&gt;0,
    COUNTIFS($Y$3:$Y$201,$M101)&gt;0,
    COUNTIFS($Z$3:$Z$201,$M101)&gt;0,
    COUNTIFS($AA$3:$AA$201,$M101)&gt;0,
    COUNTIFS($AB$3:$AB$201,$M101)&gt;0,
    COUNTIFS($AC$3:$AC$201,$M101)&gt;0,
    COUNTIFS($AD$3:$AD$201,$M101)&gt;0,
    COUNTIFS($AE$3:$AE$201,$M101)&gt;0,
    COUNTIFS($AF$3:$AF$201,$M101)&gt;0,
    COUNTIFS($AG$3:$AG$201,$M101)&gt;0,
    COUNTIFS($AH$3:$AH$201,$M101)&gt;0,
    COUNTIFS($AI$3:$AI$201,$M101)&gt;0,
    COUNTIFS($AJ$3:$AJ$201,$M101)&gt;0,
    COUNTIFS($AK$3:$AK$201,$M101)&gt;0,
    COUNTIFS($AL$3:$AL$201,$M101)&gt;0,
    COUNTIFS($AM$3:$AM$201,$M101)&gt;0,
    COUNTIFS($AN$3:$AN$201,$M101)&gt;0,
    COUNTIFS($AO$3:$AO$201,$M101)&gt;0,
    COUNTIFS($AP$3:$AP$201,$M101)&gt;0,
    COUNTIFS($AQ$3:$AQ$201,$M101)&gt;0,
    COUNTIFS($AR$3:$AR$201,$M101)&gt;0,
    COUNTIFS($AS$3:$AS$201,$M101)&gt;0,
    COUNTIFS($AT$3:$AT$201,$M101)&gt;0,
    COUNTIFS($AU$3:$AU$201,$M101)&gt;0,
    COUNTIFS($AV$3:$AV$201,$M101)&gt;0,
    COUNTIFS($AW$3:$AW$201,$M101)&gt;0,
    COUNTIFS($AX$3:$AX$201,$M101)&gt;0
   ),
  0)
 ),
"")</f>
        <v>Carlos</v>
      </c>
      <c r="P101" s="2" t="str" cm="1">
        <f t="array" aca="1" ref="P101" ca="1">IFERROR(
 INDEX(
  _xlfn._xlws.FILTER($U$2:$AX$2,
   TRANSPOSE(
    CHOOSE({1;2;3;4;5;6;7;8;9;10;11;12;13;14;15;16;17;18;19;20;21;22;23;24;25;26;27;28;29;30},
     COUNTIFS($U$3:$U$201,$M101)&gt;0,
     COUNTIFS($V$3:$V$201,$M101)&gt;0,
     COUNTIFS($W$3:$W$201,$M101)&gt;0,
     COUNTIFS($X$3:$X$201,$M101)&gt;0,
     COUNTIFS($Y$3:$Y$201,$M101)&gt;0,
     COUNTIFS($Z$3:$Z$201,$M101)&gt;0,
     COUNTIFS($AA$3:$AA$201,$M101)&gt;0,
     COUNTIFS($AB$3:$AB$201,$M101)&gt;0,
     COUNTIFS($AC$3:$AC$201,$M101)&gt;0,
     COUNTIFS($AD$3:$AD$201,$M101)&gt;0,
     COUNTIFS($AE$3:$AE$201,$M101)&gt;0,
     COUNTIFS($AF$3:$AF$201,$M101)&gt;0,
     COUNTIFS($AG$3:$AG$201,$M101)&gt;0,
     COUNTIFS($AH$3:$AH$201,$M101)&gt;0,
     COUNTIFS($AI$3:$AI$201,$M101)&gt;0,
     COUNTIFS($AJ$3:$AJ$201,$M101)&gt;0,
     COUNTIFS($AK$3:$AK$201,$M101)&gt;0,
     COUNTIFS($AL$3:$AL$201,$M101)&gt;0,
     COUNTIFS($AM$3:$AM$201,$M101)&gt;0,
     COUNTIFS($AN$3:$AN$201,$M101)&gt;0,
     COUNTIFS($AO$3:$AO$201,$M101)&gt;0,
     COUNTIFS($AP$3:$AP$201,$M101)&gt;0,
     COUNTIFS($AQ$3:$AQ$201,$M101)&gt;0,
     COUNTIFS($AR$3:$AR$201,$M101)&gt;0,
     COUNTIFS($AS$3:$AS$201,$M101)&gt;0,
     COUNTIFS($AT$3:$AT$201,$M101)&gt;0,
     COUNTIFS($AU$3:$AU$201,$M101)&gt;0,
     COUNTIFS($AV$3:$AV$201,$M101)&gt;0,
     COUNTIFS($AW$3:$AW$201,$M101)&gt;0,
     COUNTIFS($AX$3:$AX$201,$M101)&gt;0
   )),
  ),
  2
 ),
"")</f>
        <v/>
      </c>
      <c r="Q101" s="2" t="str" cm="1">
        <f t="array" aca="1" ref="Q101" ca="1">IFERROR(
 INDEX(
  _xlfn._xlws.FILTER($U$2:$AX$2,
   TRANSPOSE(
    CHOOSE({1;2;3;4;5;6;7;8;9;10;11;12;13;14;15;16;17;18;19;20;21;22;23;24;25;26;27;28;29;30},
     COUNTIFS($U$3:$U$201,$M101)&gt;0,
     COUNTIFS($V$3:$V$201,$M101)&gt;0,
     COUNTIFS($W$3:$W$201,$M101)&gt;0,
     COUNTIFS($X$3:$X$201,$M101)&gt;0,
     COUNTIFS($Y$3:$Y$201,$M101)&gt;0,
     COUNTIFS($Z$3:$Z$201,$M101)&gt;0,
     COUNTIFS($AA$3:$AA$201,$M101)&gt;0,
     COUNTIFS($AB$3:$AB$201,$M101)&gt;0,
     COUNTIFS($AC$3:$AC$201,$M101)&gt;0,
     COUNTIFS($AD$3:$AD$201,$M101)&gt;0,
     COUNTIFS($AE$3:$AE$201,$M101)&gt;0,
     COUNTIFS($AF$3:$AF$201,$M101)&gt;0,
     COUNTIFS($AG$3:$AG$201,$M101)&gt;0,
     COUNTIFS($AH$3:$AH$201,$M101)&gt;0,
     COUNTIFS($AI$3:$AI$201,$M101)&gt;0,
     COUNTIFS($AJ$3:$AJ$201,$M101)&gt;0,
     COUNTIFS($AK$3:$AK$201,$M101)&gt;0,
     COUNTIFS($AL$3:$AL$201,$M101)&gt;0,
     COUNTIFS($AM$3:$AM$201,$M101)&gt;0,
     COUNTIFS($AN$3:$AN$201,$M101)&gt;0,
     COUNTIFS($AO$3:$AO$201,$M101)&gt;0,
     COUNTIFS($AP$3:$AP$201,$M101)&gt;0,
     COUNTIFS($AQ$3:$AQ$201,$M101)&gt;0,
     COUNTIFS($AR$3:$AR$201,$M101)&gt;0,
     COUNTIFS($AS$3:$AS$201,$M101)&gt;0,
     COUNTIFS($AT$3:$AT$201,$M101)&gt;0,
     COUNTIFS($AU$3:$AU$201,$M101)&gt;0,
     COUNTIFS($AV$3:$AV$201,$M101)&gt;0,
     COUNTIFS($AW$3:$AW$201,$M101)&gt;0,
     COUNTIFS($AX$3:$AX$201,$M101)&gt;0
   )),
  ),
  3
 ),
"")</f>
        <v/>
      </c>
      <c r="EO101" t="str">
        <f ca="1"/>
        <v>Patriarch's Bidding</v>
      </c>
      <c r="ET101" t="str">
        <f ca="1"/>
        <v>Karn's Temporal Sundering</v>
      </c>
      <c r="EW101" t="str">
        <f ca="1"/>
        <v>Japaland</v>
      </c>
    </row>
    <row r="102" spans="1:153" x14ac:dyDescent="0.25">
      <c r="A102" t="str">
        <f ca="1"/>
        <v>Corrosive Mentor</v>
      </c>
      <c r="B102" s="2" t="str" cm="1">
        <f t="array" aca="1" ref="B102" ca="1">_xlfn.ANCHORARRAY(RESUMO!C101)</f>
        <v>Ool</v>
      </c>
      <c r="C102" s="2" t="str">
        <f t="shared" ca="1" si="4"/>
        <v/>
      </c>
      <c r="E102" t="str">
        <f ca="1"/>
        <v>Jarad, Golgari Lich Lord</v>
      </c>
      <c r="F102" s="2">
        <f t="shared" ca="1" si="7"/>
        <v>1</v>
      </c>
      <c r="G102" s="2" t="str">
        <f t="shared" ca="1" si="5"/>
        <v>Kresh</v>
      </c>
      <c r="J102" t="s">
        <v>180</v>
      </c>
      <c r="K102" s="2">
        <v>1</v>
      </c>
      <c r="M102" t="str">
        <f ca="1"/>
        <v>Jarad, Golgari Lich Lord</v>
      </c>
      <c r="N102" s="2">
        <f t="shared" ca="1" si="6"/>
        <v>1</v>
      </c>
      <c r="O102" s="2" t="str">
        <f ca="1">IFERROR(
 INDEX($U$2:$AX$2,
  MATCH(TRUE,
   CHOOSE({1;2;3;4;5;6;7;8;9;10;11;12;13;14;15;16;17;18;19;20;21;22;23;24;25;26;27;28;29;30;31;32},
    COUNTIFS($U$3:$U$201,$M102)&gt;0,
    COUNTIFS($V$3:$V$201,$M102)&gt;0,
    COUNTIFS($W$3:$W$201,$M102)&gt;0,
    COUNTIFS($X$3:$X$201,$M102)&gt;0,
    COUNTIFS($Y$3:$Y$201,$M102)&gt;0,
    COUNTIFS($Z$3:$Z$201,$M102)&gt;0,
    COUNTIFS($AA$3:$AA$201,$M102)&gt;0,
    COUNTIFS($AB$3:$AB$201,$M102)&gt;0,
    COUNTIFS($AC$3:$AC$201,$M102)&gt;0,
    COUNTIFS($AD$3:$AD$201,$M102)&gt;0,
    COUNTIFS($AE$3:$AE$201,$M102)&gt;0,
    COUNTIFS($AF$3:$AF$201,$M102)&gt;0,
    COUNTIFS($AG$3:$AG$201,$M102)&gt;0,
    COUNTIFS($AH$3:$AH$201,$M102)&gt;0,
    COUNTIFS($AI$3:$AI$201,$M102)&gt;0,
    COUNTIFS($AJ$3:$AJ$201,$M102)&gt;0,
    COUNTIFS($AK$3:$AK$201,$M102)&gt;0,
    COUNTIFS($AL$3:$AL$201,$M102)&gt;0,
    COUNTIFS($AM$3:$AM$201,$M102)&gt;0,
    COUNTIFS($AN$3:$AN$201,$M102)&gt;0,
    COUNTIFS($AO$3:$AO$201,$M102)&gt;0,
    COUNTIFS($AP$3:$AP$201,$M102)&gt;0,
    COUNTIFS($AQ$3:$AQ$201,$M102)&gt;0,
    COUNTIFS($AR$3:$AR$201,$M102)&gt;0,
    COUNTIFS($AS$3:$AS$201,$M102)&gt;0,
    COUNTIFS($AT$3:$AT$201,$M102)&gt;0,
    COUNTIFS($AU$3:$AU$201,$M102)&gt;0,
    COUNTIFS($AV$3:$AV$201,$M102)&gt;0,
    COUNTIFS($AW$3:$AW$201,$M102)&gt;0,
    COUNTIFS($AX$3:$AX$201,$M102)&gt;0
   ),
  0)
 ),
"")</f>
        <v>Kresh</v>
      </c>
      <c r="P102" s="2" t="str" cm="1">
        <f t="array" aca="1" ref="P102" ca="1">IFERROR(
 INDEX(
  _xlfn._xlws.FILTER($U$2:$AX$2,
   TRANSPOSE(
    CHOOSE({1;2;3;4;5;6;7;8;9;10;11;12;13;14;15;16;17;18;19;20;21;22;23;24;25;26;27;28;29;30},
     COUNTIFS($U$3:$U$201,$M102)&gt;0,
     COUNTIFS($V$3:$V$201,$M102)&gt;0,
     COUNTIFS($W$3:$W$201,$M102)&gt;0,
     COUNTIFS($X$3:$X$201,$M102)&gt;0,
     COUNTIFS($Y$3:$Y$201,$M102)&gt;0,
     COUNTIFS($Z$3:$Z$201,$M102)&gt;0,
     COUNTIFS($AA$3:$AA$201,$M102)&gt;0,
     COUNTIFS($AB$3:$AB$201,$M102)&gt;0,
     COUNTIFS($AC$3:$AC$201,$M102)&gt;0,
     COUNTIFS($AD$3:$AD$201,$M102)&gt;0,
     COUNTIFS($AE$3:$AE$201,$M102)&gt;0,
     COUNTIFS($AF$3:$AF$201,$M102)&gt;0,
     COUNTIFS($AG$3:$AG$201,$M102)&gt;0,
     COUNTIFS($AH$3:$AH$201,$M102)&gt;0,
     COUNTIFS($AI$3:$AI$201,$M102)&gt;0,
     COUNTIFS($AJ$3:$AJ$201,$M102)&gt;0,
     COUNTIFS($AK$3:$AK$201,$M102)&gt;0,
     COUNTIFS($AL$3:$AL$201,$M102)&gt;0,
     COUNTIFS($AM$3:$AM$201,$M102)&gt;0,
     COUNTIFS($AN$3:$AN$201,$M102)&gt;0,
     COUNTIFS($AO$3:$AO$201,$M102)&gt;0,
     COUNTIFS($AP$3:$AP$201,$M102)&gt;0,
     COUNTIFS($AQ$3:$AQ$201,$M102)&gt;0,
     COUNTIFS($AR$3:$AR$201,$M102)&gt;0,
     COUNTIFS($AS$3:$AS$201,$M102)&gt;0,
     COUNTIFS($AT$3:$AT$201,$M102)&gt;0,
     COUNTIFS($AU$3:$AU$201,$M102)&gt;0,
     COUNTIFS($AV$3:$AV$201,$M102)&gt;0,
     COUNTIFS($AW$3:$AW$201,$M102)&gt;0,
     COUNTIFS($AX$3:$AX$201,$M102)&gt;0
   )),
  ),
  2
 ),
"")</f>
        <v/>
      </c>
      <c r="Q102" s="2" t="str" cm="1">
        <f t="array" aca="1" ref="Q102" ca="1">IFERROR(
 INDEX(
  _xlfn._xlws.FILTER($U$2:$AX$2,
   TRANSPOSE(
    CHOOSE({1;2;3;4;5;6;7;8;9;10;11;12;13;14;15;16;17;18;19;20;21;22;23;24;25;26;27;28;29;30},
     COUNTIFS($U$3:$U$201,$M102)&gt;0,
     COUNTIFS($V$3:$V$201,$M102)&gt;0,
     COUNTIFS($W$3:$W$201,$M102)&gt;0,
     COUNTIFS($X$3:$X$201,$M102)&gt;0,
     COUNTIFS($Y$3:$Y$201,$M102)&gt;0,
     COUNTIFS($Z$3:$Z$201,$M102)&gt;0,
     COUNTIFS($AA$3:$AA$201,$M102)&gt;0,
     COUNTIFS($AB$3:$AB$201,$M102)&gt;0,
     COUNTIFS($AC$3:$AC$201,$M102)&gt;0,
     COUNTIFS($AD$3:$AD$201,$M102)&gt;0,
     COUNTIFS($AE$3:$AE$201,$M102)&gt;0,
     COUNTIFS($AF$3:$AF$201,$M102)&gt;0,
     COUNTIFS($AG$3:$AG$201,$M102)&gt;0,
     COUNTIFS($AH$3:$AH$201,$M102)&gt;0,
     COUNTIFS($AI$3:$AI$201,$M102)&gt;0,
     COUNTIFS($AJ$3:$AJ$201,$M102)&gt;0,
     COUNTIFS($AK$3:$AK$201,$M102)&gt;0,
     COUNTIFS($AL$3:$AL$201,$M102)&gt;0,
     COUNTIFS($AM$3:$AM$201,$M102)&gt;0,
     COUNTIFS($AN$3:$AN$201,$M102)&gt;0,
     COUNTIFS($AO$3:$AO$201,$M102)&gt;0,
     COUNTIFS($AP$3:$AP$201,$M102)&gt;0,
     COUNTIFS($AQ$3:$AQ$201,$M102)&gt;0,
     COUNTIFS($AR$3:$AR$201,$M102)&gt;0,
     COUNTIFS($AS$3:$AS$201,$M102)&gt;0,
     COUNTIFS($AT$3:$AT$201,$M102)&gt;0,
     COUNTIFS($AU$3:$AU$201,$M102)&gt;0,
     COUNTIFS($AV$3:$AV$201,$M102)&gt;0,
     COUNTIFS($AW$3:$AW$201,$M102)&gt;0,
     COUNTIFS($AX$3:$AX$201,$M102)&gt;0
   )),
  ),
  3
 ),
"")</f>
        <v/>
      </c>
      <c r="EO102" t="str">
        <f ca="1"/>
        <v>Pentavus</v>
      </c>
      <c r="ET102" t="str">
        <f ca="1"/>
        <v>Kasmina, Enigma Sage</v>
      </c>
      <c r="EW102" t="str">
        <f ca="1"/>
        <v>Jarad, Golgari Lich Lord</v>
      </c>
    </row>
    <row r="103" spans="1:153" x14ac:dyDescent="0.25">
      <c r="A103" t="str">
        <f ca="1"/>
        <v>Coruscation Mage</v>
      </c>
      <c r="B103" s="2" t="str" cm="1">
        <f t="array" aca="1" ref="B103" ca="1">_xlfn.ANCHORARRAY(RESUMO!C102)</f>
        <v>4cRash</v>
      </c>
      <c r="C103" s="2" t="str">
        <f t="shared" ca="1" si="4"/>
        <v/>
      </c>
      <c r="E103" t="str">
        <f ca="1"/>
        <v>Jeskai Ascendancy</v>
      </c>
      <c r="F103" s="2">
        <f t="shared" ca="1" si="7"/>
        <v>1</v>
      </c>
      <c r="G103" s="2" t="str">
        <f t="shared" ca="1" si="5"/>
        <v>Narset</v>
      </c>
      <c r="J103" t="s">
        <v>180</v>
      </c>
      <c r="K103" s="2">
        <v>1</v>
      </c>
      <c r="M103" t="str">
        <f ca="1"/>
        <v>Jeskai Ascendancy</v>
      </c>
      <c r="N103" s="2">
        <f t="shared" ca="1" si="6"/>
        <v>1</v>
      </c>
      <c r="O103" s="2" t="str">
        <f ca="1">IFERROR(
 INDEX($U$2:$AX$2,
  MATCH(TRUE,
   CHOOSE({1;2;3;4;5;6;7;8;9;10;11;12;13;14;15;16;17;18;19;20;21;22;23;24;25;26;27;28;29;30;31;32},
    COUNTIFS($U$3:$U$201,$M103)&gt;0,
    COUNTIFS($V$3:$V$201,$M103)&gt;0,
    COUNTIFS($W$3:$W$201,$M103)&gt;0,
    COUNTIFS($X$3:$X$201,$M103)&gt;0,
    COUNTIFS($Y$3:$Y$201,$M103)&gt;0,
    COUNTIFS($Z$3:$Z$201,$M103)&gt;0,
    COUNTIFS($AA$3:$AA$201,$M103)&gt;0,
    COUNTIFS($AB$3:$AB$201,$M103)&gt;0,
    COUNTIFS($AC$3:$AC$201,$M103)&gt;0,
    COUNTIFS($AD$3:$AD$201,$M103)&gt;0,
    COUNTIFS($AE$3:$AE$201,$M103)&gt;0,
    COUNTIFS($AF$3:$AF$201,$M103)&gt;0,
    COUNTIFS($AG$3:$AG$201,$M103)&gt;0,
    COUNTIFS($AH$3:$AH$201,$M103)&gt;0,
    COUNTIFS($AI$3:$AI$201,$M103)&gt;0,
    COUNTIFS($AJ$3:$AJ$201,$M103)&gt;0,
    COUNTIFS($AK$3:$AK$201,$M103)&gt;0,
    COUNTIFS($AL$3:$AL$201,$M103)&gt;0,
    COUNTIFS($AM$3:$AM$201,$M103)&gt;0,
    COUNTIFS($AN$3:$AN$201,$M103)&gt;0,
    COUNTIFS($AO$3:$AO$201,$M103)&gt;0,
    COUNTIFS($AP$3:$AP$201,$M103)&gt;0,
    COUNTIFS($AQ$3:$AQ$201,$M103)&gt;0,
    COUNTIFS($AR$3:$AR$201,$M103)&gt;0,
    COUNTIFS($AS$3:$AS$201,$M103)&gt;0,
    COUNTIFS($AT$3:$AT$201,$M103)&gt;0,
    COUNTIFS($AU$3:$AU$201,$M103)&gt;0,
    COUNTIFS($AV$3:$AV$201,$M103)&gt;0,
    COUNTIFS($AW$3:$AW$201,$M103)&gt;0,
    COUNTIFS($AX$3:$AX$201,$M103)&gt;0
   ),
  0)
 ),
"")</f>
        <v>Narset</v>
      </c>
      <c r="P103" s="2" t="str" cm="1">
        <f t="array" aca="1" ref="P103" ca="1">IFERROR(
 INDEX(
  _xlfn._xlws.FILTER($U$2:$AX$2,
   TRANSPOSE(
    CHOOSE({1;2;3;4;5;6;7;8;9;10;11;12;13;14;15;16;17;18;19;20;21;22;23;24;25;26;27;28;29;30},
     COUNTIFS($U$3:$U$201,$M103)&gt;0,
     COUNTIFS($V$3:$V$201,$M103)&gt;0,
     COUNTIFS($W$3:$W$201,$M103)&gt;0,
     COUNTIFS($X$3:$X$201,$M103)&gt;0,
     COUNTIFS($Y$3:$Y$201,$M103)&gt;0,
     COUNTIFS($Z$3:$Z$201,$M103)&gt;0,
     COUNTIFS($AA$3:$AA$201,$M103)&gt;0,
     COUNTIFS($AB$3:$AB$201,$M103)&gt;0,
     COUNTIFS($AC$3:$AC$201,$M103)&gt;0,
     COUNTIFS($AD$3:$AD$201,$M103)&gt;0,
     COUNTIFS($AE$3:$AE$201,$M103)&gt;0,
     COUNTIFS($AF$3:$AF$201,$M103)&gt;0,
     COUNTIFS($AG$3:$AG$201,$M103)&gt;0,
     COUNTIFS($AH$3:$AH$201,$M103)&gt;0,
     COUNTIFS($AI$3:$AI$201,$M103)&gt;0,
     COUNTIFS($AJ$3:$AJ$201,$M103)&gt;0,
     COUNTIFS($AK$3:$AK$201,$M103)&gt;0,
     COUNTIFS($AL$3:$AL$201,$M103)&gt;0,
     COUNTIFS($AM$3:$AM$201,$M103)&gt;0,
     COUNTIFS($AN$3:$AN$201,$M103)&gt;0,
     COUNTIFS($AO$3:$AO$201,$M103)&gt;0,
     COUNTIFS($AP$3:$AP$201,$M103)&gt;0,
     COUNTIFS($AQ$3:$AQ$201,$M103)&gt;0,
     COUNTIFS($AR$3:$AR$201,$M103)&gt;0,
     COUNTIFS($AS$3:$AS$201,$M103)&gt;0,
     COUNTIFS($AT$3:$AT$201,$M103)&gt;0,
     COUNTIFS($AU$3:$AU$201,$M103)&gt;0,
     COUNTIFS($AV$3:$AV$201,$M103)&gt;0,
     COUNTIFS($AW$3:$AW$201,$M103)&gt;0,
     COUNTIFS($AX$3:$AX$201,$M103)&gt;0
   )),
  ),
  2
 ),
"")</f>
        <v/>
      </c>
      <c r="Q103" s="2" t="str" cm="1">
        <f t="array" aca="1" ref="Q103" ca="1">IFERROR(
 INDEX(
  _xlfn._xlws.FILTER($U$2:$AX$2,
   TRANSPOSE(
    CHOOSE({1;2;3;4;5;6;7;8;9;10;11;12;13;14;15;16;17;18;19;20;21;22;23;24;25;26;27;28;29;30},
     COUNTIFS($U$3:$U$201,$M103)&gt;0,
     COUNTIFS($V$3:$V$201,$M103)&gt;0,
     COUNTIFS($W$3:$W$201,$M103)&gt;0,
     COUNTIFS($X$3:$X$201,$M103)&gt;0,
     COUNTIFS($Y$3:$Y$201,$M103)&gt;0,
     COUNTIFS($Z$3:$Z$201,$M103)&gt;0,
     COUNTIFS($AA$3:$AA$201,$M103)&gt;0,
     COUNTIFS($AB$3:$AB$201,$M103)&gt;0,
     COUNTIFS($AC$3:$AC$201,$M103)&gt;0,
     COUNTIFS($AD$3:$AD$201,$M103)&gt;0,
     COUNTIFS($AE$3:$AE$201,$M103)&gt;0,
     COUNTIFS($AF$3:$AF$201,$M103)&gt;0,
     COUNTIFS($AG$3:$AG$201,$M103)&gt;0,
     COUNTIFS($AH$3:$AH$201,$M103)&gt;0,
     COUNTIFS($AI$3:$AI$201,$M103)&gt;0,
     COUNTIFS($AJ$3:$AJ$201,$M103)&gt;0,
     COUNTIFS($AK$3:$AK$201,$M103)&gt;0,
     COUNTIFS($AL$3:$AL$201,$M103)&gt;0,
     COUNTIFS($AM$3:$AM$201,$M103)&gt;0,
     COUNTIFS($AN$3:$AN$201,$M103)&gt;0,
     COUNTIFS($AO$3:$AO$201,$M103)&gt;0,
     COUNTIFS($AP$3:$AP$201,$M103)&gt;0,
     COUNTIFS($AQ$3:$AQ$201,$M103)&gt;0,
     COUNTIFS($AR$3:$AR$201,$M103)&gt;0,
     COUNTIFS($AS$3:$AS$201,$M103)&gt;0,
     COUNTIFS($AT$3:$AT$201,$M103)&gt;0,
     COUNTIFS($AU$3:$AU$201,$M103)&gt;0,
     COUNTIFS($AV$3:$AV$201,$M103)&gt;0,
     COUNTIFS($AW$3:$AW$201,$M103)&gt;0,
     COUNTIFS($AX$3:$AX$201,$M103)&gt;0
   )),
  ),
  3
 ),
"")</f>
        <v/>
      </c>
      <c r="EO103" t="str">
        <f ca="1"/>
        <v>Piranha Marsh</v>
      </c>
      <c r="ET103" t="str">
        <f ca="1"/>
        <v>Kayla's Command</v>
      </c>
      <c r="EW103" t="str">
        <f ca="1"/>
        <v>Jeskai Ascendancy</v>
      </c>
    </row>
    <row r="104" spans="1:153" x14ac:dyDescent="0.25">
      <c r="A104" t="str">
        <f ca="1"/>
        <v>Counterspell</v>
      </c>
      <c r="B104" s="2" t="str" cm="1">
        <f t="array" aca="1" ref="B104" ca="1">_xlfn.ANCHORARRAY(RESUMO!C103)</f>
        <v>Yorion</v>
      </c>
      <c r="C104" s="2" t="str">
        <f t="shared" ca="1" si="4"/>
        <v/>
      </c>
      <c r="E104" t="str">
        <f ca="1"/>
        <v>Jolrael, Mwonvuli Recluse</v>
      </c>
      <c r="F104" s="2">
        <f t="shared" ca="1" si="7"/>
        <v>1</v>
      </c>
      <c r="G104" s="2" t="str">
        <f t="shared" ca="1" si="5"/>
        <v>Zimone</v>
      </c>
      <c r="J104" t="s">
        <v>180</v>
      </c>
      <c r="K104" s="2">
        <v>1</v>
      </c>
      <c r="M104" t="str">
        <f ca="1"/>
        <v>Jolrael, Mwonvuli Recluse</v>
      </c>
      <c r="N104" s="2">
        <f t="shared" ca="1" si="6"/>
        <v>1</v>
      </c>
      <c r="O104" s="2" t="str">
        <f ca="1">IFERROR(
 INDEX($U$2:$AX$2,
  MATCH(TRUE,
   CHOOSE({1;2;3;4;5;6;7;8;9;10;11;12;13;14;15;16;17;18;19;20;21;22;23;24;25;26;27;28;29;30;31;32},
    COUNTIFS($U$3:$U$201,$M104)&gt;0,
    COUNTIFS($V$3:$V$201,$M104)&gt;0,
    COUNTIFS($W$3:$W$201,$M104)&gt;0,
    COUNTIFS($X$3:$X$201,$M104)&gt;0,
    COUNTIFS($Y$3:$Y$201,$M104)&gt;0,
    COUNTIFS($Z$3:$Z$201,$M104)&gt;0,
    COUNTIFS($AA$3:$AA$201,$M104)&gt;0,
    COUNTIFS($AB$3:$AB$201,$M104)&gt;0,
    COUNTIFS($AC$3:$AC$201,$M104)&gt;0,
    COUNTIFS($AD$3:$AD$201,$M104)&gt;0,
    COUNTIFS($AE$3:$AE$201,$M104)&gt;0,
    COUNTIFS($AF$3:$AF$201,$M104)&gt;0,
    COUNTIFS($AG$3:$AG$201,$M104)&gt;0,
    COUNTIFS($AH$3:$AH$201,$M104)&gt;0,
    COUNTIFS($AI$3:$AI$201,$M104)&gt;0,
    COUNTIFS($AJ$3:$AJ$201,$M104)&gt;0,
    COUNTIFS($AK$3:$AK$201,$M104)&gt;0,
    COUNTIFS($AL$3:$AL$201,$M104)&gt;0,
    COUNTIFS($AM$3:$AM$201,$M104)&gt;0,
    COUNTIFS($AN$3:$AN$201,$M104)&gt;0,
    COUNTIFS($AO$3:$AO$201,$M104)&gt;0,
    COUNTIFS($AP$3:$AP$201,$M104)&gt;0,
    COUNTIFS($AQ$3:$AQ$201,$M104)&gt;0,
    COUNTIFS($AR$3:$AR$201,$M104)&gt;0,
    COUNTIFS($AS$3:$AS$201,$M104)&gt;0,
    COUNTIFS($AT$3:$AT$201,$M104)&gt;0,
    COUNTIFS($AU$3:$AU$201,$M104)&gt;0,
    COUNTIFS($AV$3:$AV$201,$M104)&gt;0,
    COUNTIFS($AW$3:$AW$201,$M104)&gt;0,
    COUNTIFS($AX$3:$AX$201,$M104)&gt;0
   ),
  0)
 ),
"")</f>
        <v>Zimone</v>
      </c>
      <c r="P104" s="2" t="str" cm="1">
        <f t="array" aca="1" ref="P104" ca="1">IFERROR(
 INDEX(
  _xlfn._xlws.FILTER($U$2:$AX$2,
   TRANSPOSE(
    CHOOSE({1;2;3;4;5;6;7;8;9;10;11;12;13;14;15;16;17;18;19;20;21;22;23;24;25;26;27;28;29;30},
     COUNTIFS($U$3:$U$201,$M104)&gt;0,
     COUNTIFS($V$3:$V$201,$M104)&gt;0,
     COUNTIFS($W$3:$W$201,$M104)&gt;0,
     COUNTIFS($X$3:$X$201,$M104)&gt;0,
     COUNTIFS($Y$3:$Y$201,$M104)&gt;0,
     COUNTIFS($Z$3:$Z$201,$M104)&gt;0,
     COUNTIFS($AA$3:$AA$201,$M104)&gt;0,
     COUNTIFS($AB$3:$AB$201,$M104)&gt;0,
     COUNTIFS($AC$3:$AC$201,$M104)&gt;0,
     COUNTIFS($AD$3:$AD$201,$M104)&gt;0,
     COUNTIFS($AE$3:$AE$201,$M104)&gt;0,
     COUNTIFS($AF$3:$AF$201,$M104)&gt;0,
     COUNTIFS($AG$3:$AG$201,$M104)&gt;0,
     COUNTIFS($AH$3:$AH$201,$M104)&gt;0,
     COUNTIFS($AI$3:$AI$201,$M104)&gt;0,
     COUNTIFS($AJ$3:$AJ$201,$M104)&gt;0,
     COUNTIFS($AK$3:$AK$201,$M104)&gt;0,
     COUNTIFS($AL$3:$AL$201,$M104)&gt;0,
     COUNTIFS($AM$3:$AM$201,$M104)&gt;0,
     COUNTIFS($AN$3:$AN$201,$M104)&gt;0,
     COUNTIFS($AO$3:$AO$201,$M104)&gt;0,
     COUNTIFS($AP$3:$AP$201,$M104)&gt;0,
     COUNTIFS($AQ$3:$AQ$201,$M104)&gt;0,
     COUNTIFS($AR$3:$AR$201,$M104)&gt;0,
     COUNTIFS($AS$3:$AS$201,$M104)&gt;0,
     COUNTIFS($AT$3:$AT$201,$M104)&gt;0,
     COUNTIFS($AU$3:$AU$201,$M104)&gt;0,
     COUNTIFS($AV$3:$AV$201,$M104)&gt;0,
     COUNTIFS($AW$3:$AW$201,$M104)&gt;0,
     COUNTIFS($AX$3:$AX$201,$M104)&gt;0
   )),
  ),
  2
 ),
"")</f>
        <v/>
      </c>
      <c r="Q104" s="2" t="str" cm="1">
        <f t="array" aca="1" ref="Q104" ca="1">IFERROR(
 INDEX(
  _xlfn._xlws.FILTER($U$2:$AX$2,
   TRANSPOSE(
    CHOOSE({1;2;3;4;5;6;7;8;9;10;11;12;13;14;15;16;17;18;19;20;21;22;23;24;25;26;27;28;29;30},
     COUNTIFS($U$3:$U$201,$M104)&gt;0,
     COUNTIFS($V$3:$V$201,$M104)&gt;0,
     COUNTIFS($W$3:$W$201,$M104)&gt;0,
     COUNTIFS($X$3:$X$201,$M104)&gt;0,
     COUNTIFS($Y$3:$Y$201,$M104)&gt;0,
     COUNTIFS($Z$3:$Z$201,$M104)&gt;0,
     COUNTIFS($AA$3:$AA$201,$M104)&gt;0,
     COUNTIFS($AB$3:$AB$201,$M104)&gt;0,
     COUNTIFS($AC$3:$AC$201,$M104)&gt;0,
     COUNTIFS($AD$3:$AD$201,$M104)&gt;0,
     COUNTIFS($AE$3:$AE$201,$M104)&gt;0,
     COUNTIFS($AF$3:$AF$201,$M104)&gt;0,
     COUNTIFS($AG$3:$AG$201,$M104)&gt;0,
     COUNTIFS($AH$3:$AH$201,$M104)&gt;0,
     COUNTIFS($AI$3:$AI$201,$M104)&gt;0,
     COUNTIFS($AJ$3:$AJ$201,$M104)&gt;0,
     COUNTIFS($AK$3:$AK$201,$M104)&gt;0,
     COUNTIFS($AL$3:$AL$201,$M104)&gt;0,
     COUNTIFS($AM$3:$AM$201,$M104)&gt;0,
     COUNTIFS($AN$3:$AN$201,$M104)&gt;0,
     COUNTIFS($AO$3:$AO$201,$M104)&gt;0,
     COUNTIFS($AP$3:$AP$201,$M104)&gt;0,
     COUNTIFS($AQ$3:$AQ$201,$M104)&gt;0,
     COUNTIFS($AR$3:$AR$201,$M104)&gt;0,
     COUNTIFS($AS$3:$AS$201,$M104)&gt;0,
     COUNTIFS($AT$3:$AT$201,$M104)&gt;0,
     COUNTIFS($AU$3:$AU$201,$M104)&gt;0,
     COUNTIFS($AV$3:$AV$201,$M104)&gt;0,
     COUNTIFS($AW$3:$AW$201,$M104)&gt;0,
     COUNTIFS($AX$3:$AX$201,$M104)&gt;0
   )),
  ),
  3
 ),
"")</f>
        <v/>
      </c>
      <c r="EO104" t="str">
        <f ca="1"/>
        <v>Plains</v>
      </c>
      <c r="ET104" t="str">
        <f ca="1"/>
        <v>Kazuul, Tyrant of the Cliffs</v>
      </c>
      <c r="EW104" t="str">
        <f ca="1"/>
        <v>Jolrael, Mwonvuli Recluse</v>
      </c>
    </row>
    <row r="105" spans="1:153" x14ac:dyDescent="0.25">
      <c r="A105" t="str">
        <f ca="1"/>
        <v>Court of Garenbrig</v>
      </c>
      <c r="B105" s="2" t="str" cm="1">
        <f t="array" aca="1" ref="B105" ca="1">_xlfn.ANCHORARRAY(RESUMO!C104)</f>
        <v>Tayam</v>
      </c>
      <c r="C105" s="2" t="str">
        <f t="shared" ca="1" si="4"/>
        <v/>
      </c>
      <c r="E105" t="str">
        <f ca="1"/>
        <v>Karn's Temporal Sundering</v>
      </c>
      <c r="F105" s="2">
        <f t="shared" ca="1" si="7"/>
        <v>1</v>
      </c>
      <c r="G105" s="2" t="str">
        <f t="shared" ca="1" si="5"/>
        <v>Yuriko</v>
      </c>
      <c r="J105" t="s">
        <v>180</v>
      </c>
      <c r="K105" s="2">
        <v>1</v>
      </c>
      <c r="M105" t="str">
        <f ca="1"/>
        <v>Karn's Temporal Sundering</v>
      </c>
      <c r="N105" s="2">
        <f t="shared" ca="1" si="6"/>
        <v>1</v>
      </c>
      <c r="O105" s="2" t="str">
        <f ca="1">IFERROR(
 INDEX($U$2:$AX$2,
  MATCH(TRUE,
   CHOOSE({1;2;3;4;5;6;7;8;9;10;11;12;13;14;15;16;17;18;19;20;21;22;23;24;25;26;27;28;29;30;31;32},
    COUNTIFS($U$3:$U$201,$M105)&gt;0,
    COUNTIFS($V$3:$V$201,$M105)&gt;0,
    COUNTIFS($W$3:$W$201,$M105)&gt;0,
    COUNTIFS($X$3:$X$201,$M105)&gt;0,
    COUNTIFS($Y$3:$Y$201,$M105)&gt;0,
    COUNTIFS($Z$3:$Z$201,$M105)&gt;0,
    COUNTIFS($AA$3:$AA$201,$M105)&gt;0,
    COUNTIFS($AB$3:$AB$201,$M105)&gt;0,
    COUNTIFS($AC$3:$AC$201,$M105)&gt;0,
    COUNTIFS($AD$3:$AD$201,$M105)&gt;0,
    COUNTIFS($AE$3:$AE$201,$M105)&gt;0,
    COUNTIFS($AF$3:$AF$201,$M105)&gt;0,
    COUNTIFS($AG$3:$AG$201,$M105)&gt;0,
    COUNTIFS($AH$3:$AH$201,$M105)&gt;0,
    COUNTIFS($AI$3:$AI$201,$M105)&gt;0,
    COUNTIFS($AJ$3:$AJ$201,$M105)&gt;0,
    COUNTIFS($AK$3:$AK$201,$M105)&gt;0,
    COUNTIFS($AL$3:$AL$201,$M105)&gt;0,
    COUNTIFS($AM$3:$AM$201,$M105)&gt;0,
    COUNTIFS($AN$3:$AN$201,$M105)&gt;0,
    COUNTIFS($AO$3:$AO$201,$M105)&gt;0,
    COUNTIFS($AP$3:$AP$201,$M105)&gt;0,
    COUNTIFS($AQ$3:$AQ$201,$M105)&gt;0,
    COUNTIFS($AR$3:$AR$201,$M105)&gt;0,
    COUNTIFS($AS$3:$AS$201,$M105)&gt;0,
    COUNTIFS($AT$3:$AT$201,$M105)&gt;0,
    COUNTIFS($AU$3:$AU$201,$M105)&gt;0,
    COUNTIFS($AV$3:$AV$201,$M105)&gt;0,
    COUNTIFS($AW$3:$AW$201,$M105)&gt;0,
    COUNTIFS($AX$3:$AX$201,$M105)&gt;0
   ),
  0)
 ),
"")</f>
        <v>Yuriko</v>
      </c>
      <c r="P105" s="2" t="str" cm="1">
        <f t="array" aca="1" ref="P105" ca="1">IFERROR(
 INDEX(
  _xlfn._xlws.FILTER($U$2:$AX$2,
   TRANSPOSE(
    CHOOSE({1;2;3;4;5;6;7;8;9;10;11;12;13;14;15;16;17;18;19;20;21;22;23;24;25;26;27;28;29;30},
     COUNTIFS($U$3:$U$201,$M105)&gt;0,
     COUNTIFS($V$3:$V$201,$M105)&gt;0,
     COUNTIFS($W$3:$W$201,$M105)&gt;0,
     COUNTIFS($X$3:$X$201,$M105)&gt;0,
     COUNTIFS($Y$3:$Y$201,$M105)&gt;0,
     COUNTIFS($Z$3:$Z$201,$M105)&gt;0,
     COUNTIFS($AA$3:$AA$201,$M105)&gt;0,
     COUNTIFS($AB$3:$AB$201,$M105)&gt;0,
     COUNTIFS($AC$3:$AC$201,$M105)&gt;0,
     COUNTIFS($AD$3:$AD$201,$M105)&gt;0,
     COUNTIFS($AE$3:$AE$201,$M105)&gt;0,
     COUNTIFS($AF$3:$AF$201,$M105)&gt;0,
     COUNTIFS($AG$3:$AG$201,$M105)&gt;0,
     COUNTIFS($AH$3:$AH$201,$M105)&gt;0,
     COUNTIFS($AI$3:$AI$201,$M105)&gt;0,
     COUNTIFS($AJ$3:$AJ$201,$M105)&gt;0,
     COUNTIFS($AK$3:$AK$201,$M105)&gt;0,
     COUNTIFS($AL$3:$AL$201,$M105)&gt;0,
     COUNTIFS($AM$3:$AM$201,$M105)&gt;0,
     COUNTIFS($AN$3:$AN$201,$M105)&gt;0,
     COUNTIFS($AO$3:$AO$201,$M105)&gt;0,
     COUNTIFS($AP$3:$AP$201,$M105)&gt;0,
     COUNTIFS($AQ$3:$AQ$201,$M105)&gt;0,
     COUNTIFS($AR$3:$AR$201,$M105)&gt;0,
     COUNTIFS($AS$3:$AS$201,$M105)&gt;0,
     COUNTIFS($AT$3:$AT$201,$M105)&gt;0,
     COUNTIFS($AU$3:$AU$201,$M105)&gt;0,
     COUNTIFS($AV$3:$AV$201,$M105)&gt;0,
     COUNTIFS($AW$3:$AW$201,$M105)&gt;0,
     COUNTIFS($AX$3:$AX$201,$M105)&gt;0
   )),
  ),
  2
 ),
"")</f>
        <v/>
      </c>
      <c r="Q105" s="2" t="str" cm="1">
        <f t="array" aca="1" ref="Q105" ca="1">IFERROR(
 INDEX(
  _xlfn._xlws.FILTER($U$2:$AX$2,
   TRANSPOSE(
    CHOOSE({1;2;3;4;5;6;7;8;9;10;11;12;13;14;15;16;17;18;19;20;21;22;23;24;25;26;27;28;29;30},
     COUNTIFS($U$3:$U$201,$M105)&gt;0,
     COUNTIFS($V$3:$V$201,$M105)&gt;0,
     COUNTIFS($W$3:$W$201,$M105)&gt;0,
     COUNTIFS($X$3:$X$201,$M105)&gt;0,
     COUNTIFS($Y$3:$Y$201,$M105)&gt;0,
     COUNTIFS($Z$3:$Z$201,$M105)&gt;0,
     COUNTIFS($AA$3:$AA$201,$M105)&gt;0,
     COUNTIFS($AB$3:$AB$201,$M105)&gt;0,
     COUNTIFS($AC$3:$AC$201,$M105)&gt;0,
     COUNTIFS($AD$3:$AD$201,$M105)&gt;0,
     COUNTIFS($AE$3:$AE$201,$M105)&gt;0,
     COUNTIFS($AF$3:$AF$201,$M105)&gt;0,
     COUNTIFS($AG$3:$AG$201,$M105)&gt;0,
     COUNTIFS($AH$3:$AH$201,$M105)&gt;0,
     COUNTIFS($AI$3:$AI$201,$M105)&gt;0,
     COUNTIFS($AJ$3:$AJ$201,$M105)&gt;0,
     COUNTIFS($AK$3:$AK$201,$M105)&gt;0,
     COUNTIFS($AL$3:$AL$201,$M105)&gt;0,
     COUNTIFS($AM$3:$AM$201,$M105)&gt;0,
     COUNTIFS($AN$3:$AN$201,$M105)&gt;0,
     COUNTIFS($AO$3:$AO$201,$M105)&gt;0,
     COUNTIFS($AP$3:$AP$201,$M105)&gt;0,
     COUNTIFS($AQ$3:$AQ$201,$M105)&gt;0,
     COUNTIFS($AR$3:$AR$201,$M105)&gt;0,
     COUNTIFS($AS$3:$AS$201,$M105)&gt;0,
     COUNTIFS($AT$3:$AT$201,$M105)&gt;0,
     COUNTIFS($AU$3:$AU$201,$M105)&gt;0,
     COUNTIFS($AV$3:$AV$201,$M105)&gt;0,
     COUNTIFS($AW$3:$AW$201,$M105)&gt;0,
     COUNTIFS($AX$3:$AX$201,$M105)&gt;0
   )),
  ),
  3
 ),
"")</f>
        <v/>
      </c>
      <c r="EO105" t="str">
        <f ca="1"/>
        <v>Plate Armor</v>
      </c>
      <c r="ET105" t="str">
        <f ca="1"/>
        <v>Kederekt Leviathan</v>
      </c>
      <c r="EW105" t="str">
        <f ca="1"/>
        <v>Karn's Temporal Sundering</v>
      </c>
    </row>
    <row r="106" spans="1:153" x14ac:dyDescent="0.25">
      <c r="A106" t="str">
        <f ca="1"/>
        <v>Creeping Tar Pit</v>
      </c>
      <c r="B106" s="2" t="str" cm="1">
        <f t="array" aca="1" ref="B106" ca="1">_xlfn.ANCHORARRAY(RESUMO!C105)</f>
        <v>Yuriko</v>
      </c>
      <c r="C106" s="2" t="str">
        <f t="shared" ca="1" si="4"/>
        <v/>
      </c>
      <c r="E106" t="str">
        <f ca="1"/>
        <v>Kasmina, Enigma Sage</v>
      </c>
      <c r="F106" s="2">
        <f t="shared" ca="1" si="7"/>
        <v>1</v>
      </c>
      <c r="G106" s="2" t="str">
        <f t="shared" ca="1" si="5"/>
        <v>Sisay</v>
      </c>
      <c r="J106" t="s">
        <v>180</v>
      </c>
      <c r="K106" s="2">
        <v>1</v>
      </c>
      <c r="M106" t="str">
        <f ca="1"/>
        <v>Kasmina, Enigma Sage</v>
      </c>
      <c r="N106" s="2">
        <f t="shared" ca="1" si="6"/>
        <v>1</v>
      </c>
      <c r="O106" s="2" t="str">
        <f ca="1">IFERROR(
 INDEX($U$2:$AX$2,
  MATCH(TRUE,
   CHOOSE({1;2;3;4;5;6;7;8;9;10;11;12;13;14;15;16;17;18;19;20;21;22;23;24;25;26;27;28;29;30;31;32},
    COUNTIFS($U$3:$U$201,$M106)&gt;0,
    COUNTIFS($V$3:$V$201,$M106)&gt;0,
    COUNTIFS($W$3:$W$201,$M106)&gt;0,
    COUNTIFS($X$3:$X$201,$M106)&gt;0,
    COUNTIFS($Y$3:$Y$201,$M106)&gt;0,
    COUNTIFS($Z$3:$Z$201,$M106)&gt;0,
    COUNTIFS($AA$3:$AA$201,$M106)&gt;0,
    COUNTIFS($AB$3:$AB$201,$M106)&gt;0,
    COUNTIFS($AC$3:$AC$201,$M106)&gt;0,
    COUNTIFS($AD$3:$AD$201,$M106)&gt;0,
    COUNTIFS($AE$3:$AE$201,$M106)&gt;0,
    COUNTIFS($AF$3:$AF$201,$M106)&gt;0,
    COUNTIFS($AG$3:$AG$201,$M106)&gt;0,
    COUNTIFS($AH$3:$AH$201,$M106)&gt;0,
    COUNTIFS($AI$3:$AI$201,$M106)&gt;0,
    COUNTIFS($AJ$3:$AJ$201,$M106)&gt;0,
    COUNTIFS($AK$3:$AK$201,$M106)&gt;0,
    COUNTIFS($AL$3:$AL$201,$M106)&gt;0,
    COUNTIFS($AM$3:$AM$201,$M106)&gt;0,
    COUNTIFS($AN$3:$AN$201,$M106)&gt;0,
    COUNTIFS($AO$3:$AO$201,$M106)&gt;0,
    COUNTIFS($AP$3:$AP$201,$M106)&gt;0,
    COUNTIFS($AQ$3:$AQ$201,$M106)&gt;0,
    COUNTIFS($AR$3:$AR$201,$M106)&gt;0,
    COUNTIFS($AS$3:$AS$201,$M106)&gt;0,
    COUNTIFS($AT$3:$AT$201,$M106)&gt;0,
    COUNTIFS($AU$3:$AU$201,$M106)&gt;0,
    COUNTIFS($AV$3:$AV$201,$M106)&gt;0,
    COUNTIFS($AW$3:$AW$201,$M106)&gt;0,
    COUNTIFS($AX$3:$AX$201,$M106)&gt;0
   ),
  0)
 ),
"")</f>
        <v>Sisay</v>
      </c>
      <c r="P106" s="2" t="str" cm="1">
        <f t="array" aca="1" ref="P106" ca="1">IFERROR(
 INDEX(
  _xlfn._xlws.FILTER($U$2:$AX$2,
   TRANSPOSE(
    CHOOSE({1;2;3;4;5;6;7;8;9;10;11;12;13;14;15;16;17;18;19;20;21;22;23;24;25;26;27;28;29;30},
     COUNTIFS($U$3:$U$201,$M106)&gt;0,
     COUNTIFS($V$3:$V$201,$M106)&gt;0,
     COUNTIFS($W$3:$W$201,$M106)&gt;0,
     COUNTIFS($X$3:$X$201,$M106)&gt;0,
     COUNTIFS($Y$3:$Y$201,$M106)&gt;0,
     COUNTIFS($Z$3:$Z$201,$M106)&gt;0,
     COUNTIFS($AA$3:$AA$201,$M106)&gt;0,
     COUNTIFS($AB$3:$AB$201,$M106)&gt;0,
     COUNTIFS($AC$3:$AC$201,$M106)&gt;0,
     COUNTIFS($AD$3:$AD$201,$M106)&gt;0,
     COUNTIFS($AE$3:$AE$201,$M106)&gt;0,
     COUNTIFS($AF$3:$AF$201,$M106)&gt;0,
     COUNTIFS($AG$3:$AG$201,$M106)&gt;0,
     COUNTIFS($AH$3:$AH$201,$M106)&gt;0,
     COUNTIFS($AI$3:$AI$201,$M106)&gt;0,
     COUNTIFS($AJ$3:$AJ$201,$M106)&gt;0,
     COUNTIFS($AK$3:$AK$201,$M106)&gt;0,
     COUNTIFS($AL$3:$AL$201,$M106)&gt;0,
     COUNTIFS($AM$3:$AM$201,$M106)&gt;0,
     COUNTIFS($AN$3:$AN$201,$M106)&gt;0,
     COUNTIFS($AO$3:$AO$201,$M106)&gt;0,
     COUNTIFS($AP$3:$AP$201,$M106)&gt;0,
     COUNTIFS($AQ$3:$AQ$201,$M106)&gt;0,
     COUNTIFS($AR$3:$AR$201,$M106)&gt;0,
     COUNTIFS($AS$3:$AS$201,$M106)&gt;0,
     COUNTIFS($AT$3:$AT$201,$M106)&gt;0,
     COUNTIFS($AU$3:$AU$201,$M106)&gt;0,
     COUNTIFS($AV$3:$AV$201,$M106)&gt;0,
     COUNTIFS($AW$3:$AW$201,$M106)&gt;0,
     COUNTIFS($AX$3:$AX$201,$M106)&gt;0
   )),
  ),
  2
 ),
"")</f>
        <v/>
      </c>
      <c r="Q106" s="2" t="str" cm="1">
        <f t="array" aca="1" ref="Q106" ca="1">IFERROR(
 INDEX(
  _xlfn._xlws.FILTER($U$2:$AX$2,
   TRANSPOSE(
    CHOOSE({1;2;3;4;5;6;7;8;9;10;11;12;13;14;15;16;17;18;19;20;21;22;23;24;25;26;27;28;29;30},
     COUNTIFS($U$3:$U$201,$M106)&gt;0,
     COUNTIFS($V$3:$V$201,$M106)&gt;0,
     COUNTIFS($W$3:$W$201,$M106)&gt;0,
     COUNTIFS($X$3:$X$201,$M106)&gt;0,
     COUNTIFS($Y$3:$Y$201,$M106)&gt;0,
     COUNTIFS($Z$3:$Z$201,$M106)&gt;0,
     COUNTIFS($AA$3:$AA$201,$M106)&gt;0,
     COUNTIFS($AB$3:$AB$201,$M106)&gt;0,
     COUNTIFS($AC$3:$AC$201,$M106)&gt;0,
     COUNTIFS($AD$3:$AD$201,$M106)&gt;0,
     COUNTIFS($AE$3:$AE$201,$M106)&gt;0,
     COUNTIFS($AF$3:$AF$201,$M106)&gt;0,
     COUNTIFS($AG$3:$AG$201,$M106)&gt;0,
     COUNTIFS($AH$3:$AH$201,$M106)&gt;0,
     COUNTIFS($AI$3:$AI$201,$M106)&gt;0,
     COUNTIFS($AJ$3:$AJ$201,$M106)&gt;0,
     COUNTIFS($AK$3:$AK$201,$M106)&gt;0,
     COUNTIFS($AL$3:$AL$201,$M106)&gt;0,
     COUNTIFS($AM$3:$AM$201,$M106)&gt;0,
     COUNTIFS($AN$3:$AN$201,$M106)&gt;0,
     COUNTIFS($AO$3:$AO$201,$M106)&gt;0,
     COUNTIFS($AP$3:$AP$201,$M106)&gt;0,
     COUNTIFS($AQ$3:$AQ$201,$M106)&gt;0,
     COUNTIFS($AR$3:$AR$201,$M106)&gt;0,
     COUNTIFS($AS$3:$AS$201,$M106)&gt;0,
     COUNTIFS($AT$3:$AT$201,$M106)&gt;0,
     COUNTIFS($AU$3:$AU$201,$M106)&gt;0,
     COUNTIFS($AV$3:$AV$201,$M106)&gt;0,
     COUNTIFS($AW$3:$AW$201,$M106)&gt;0,
     COUNTIFS($AX$3:$AX$201,$M106)&gt;0
   )),
  ),
  3
 ),
"")</f>
        <v/>
      </c>
      <c r="EO106" t="str">
        <f ca="1"/>
        <v>Presence of Gond</v>
      </c>
      <c r="ET106" t="str">
        <f ca="1"/>
        <v>Kiora's Follower</v>
      </c>
      <c r="EW106" t="str">
        <f ca="1"/>
        <v>Kasmina, Enigma Sage</v>
      </c>
    </row>
    <row r="107" spans="1:153" x14ac:dyDescent="0.25">
      <c r="A107" t="str">
        <f ca="1"/>
        <v>Crucible of Worlds</v>
      </c>
      <c r="B107" s="2" t="str" cm="1">
        <f t="array" aca="1" ref="B107" ca="1">_xlfn.ANCHORARRAY(RESUMO!C106)</f>
        <v>Gitrog</v>
      </c>
      <c r="C107" s="2" t="str">
        <f t="shared" ca="1" si="4"/>
        <v/>
      </c>
      <c r="E107" t="str">
        <f ca="1"/>
        <v>Kayla's Command</v>
      </c>
      <c r="F107" s="2">
        <f t="shared" ca="1" si="7"/>
        <v>1</v>
      </c>
      <c r="G107" s="2" t="str">
        <f t="shared" ca="1" si="5"/>
        <v>Baylen</v>
      </c>
      <c r="J107" t="s">
        <v>180</v>
      </c>
      <c r="K107" s="2">
        <v>1</v>
      </c>
      <c r="M107" t="str">
        <f ca="1"/>
        <v>Kayla's Command</v>
      </c>
      <c r="N107" s="2">
        <f t="shared" ca="1" si="6"/>
        <v>1</v>
      </c>
      <c r="O107" s="2" t="str">
        <f ca="1">IFERROR(
 INDEX($U$2:$AX$2,
  MATCH(TRUE,
   CHOOSE({1;2;3;4;5;6;7;8;9;10;11;12;13;14;15;16;17;18;19;20;21;22;23;24;25;26;27;28;29;30;31;32},
    COUNTIFS($U$3:$U$201,$M107)&gt;0,
    COUNTIFS($V$3:$V$201,$M107)&gt;0,
    COUNTIFS($W$3:$W$201,$M107)&gt;0,
    COUNTIFS($X$3:$X$201,$M107)&gt;0,
    COUNTIFS($Y$3:$Y$201,$M107)&gt;0,
    COUNTIFS($Z$3:$Z$201,$M107)&gt;0,
    COUNTIFS($AA$3:$AA$201,$M107)&gt;0,
    COUNTIFS($AB$3:$AB$201,$M107)&gt;0,
    COUNTIFS($AC$3:$AC$201,$M107)&gt;0,
    COUNTIFS($AD$3:$AD$201,$M107)&gt;0,
    COUNTIFS($AE$3:$AE$201,$M107)&gt;0,
    COUNTIFS($AF$3:$AF$201,$M107)&gt;0,
    COUNTIFS($AG$3:$AG$201,$M107)&gt;0,
    COUNTIFS($AH$3:$AH$201,$M107)&gt;0,
    COUNTIFS($AI$3:$AI$201,$M107)&gt;0,
    COUNTIFS($AJ$3:$AJ$201,$M107)&gt;0,
    COUNTIFS($AK$3:$AK$201,$M107)&gt;0,
    COUNTIFS($AL$3:$AL$201,$M107)&gt;0,
    COUNTIFS($AM$3:$AM$201,$M107)&gt;0,
    COUNTIFS($AN$3:$AN$201,$M107)&gt;0,
    COUNTIFS($AO$3:$AO$201,$M107)&gt;0,
    COUNTIFS($AP$3:$AP$201,$M107)&gt;0,
    COUNTIFS($AQ$3:$AQ$201,$M107)&gt;0,
    COUNTIFS($AR$3:$AR$201,$M107)&gt;0,
    COUNTIFS($AS$3:$AS$201,$M107)&gt;0,
    COUNTIFS($AT$3:$AT$201,$M107)&gt;0,
    COUNTIFS($AU$3:$AU$201,$M107)&gt;0,
    COUNTIFS($AV$3:$AV$201,$M107)&gt;0,
    COUNTIFS($AW$3:$AW$201,$M107)&gt;0,
    COUNTIFS($AX$3:$AX$201,$M107)&gt;0
   ),
  0)
 ),
"")</f>
        <v>Baylen</v>
      </c>
      <c r="P107" s="2" t="str" cm="1">
        <f t="array" aca="1" ref="P107" ca="1">IFERROR(
 INDEX(
  _xlfn._xlws.FILTER($U$2:$AX$2,
   TRANSPOSE(
    CHOOSE({1;2;3;4;5;6;7;8;9;10;11;12;13;14;15;16;17;18;19;20;21;22;23;24;25;26;27;28;29;30},
     COUNTIFS($U$3:$U$201,$M107)&gt;0,
     COUNTIFS($V$3:$V$201,$M107)&gt;0,
     COUNTIFS($W$3:$W$201,$M107)&gt;0,
     COUNTIFS($X$3:$X$201,$M107)&gt;0,
     COUNTIFS($Y$3:$Y$201,$M107)&gt;0,
     COUNTIFS($Z$3:$Z$201,$M107)&gt;0,
     COUNTIFS($AA$3:$AA$201,$M107)&gt;0,
     COUNTIFS($AB$3:$AB$201,$M107)&gt;0,
     COUNTIFS($AC$3:$AC$201,$M107)&gt;0,
     COUNTIFS($AD$3:$AD$201,$M107)&gt;0,
     COUNTIFS($AE$3:$AE$201,$M107)&gt;0,
     COUNTIFS($AF$3:$AF$201,$M107)&gt;0,
     COUNTIFS($AG$3:$AG$201,$M107)&gt;0,
     COUNTIFS($AH$3:$AH$201,$M107)&gt;0,
     COUNTIFS($AI$3:$AI$201,$M107)&gt;0,
     COUNTIFS($AJ$3:$AJ$201,$M107)&gt;0,
     COUNTIFS($AK$3:$AK$201,$M107)&gt;0,
     COUNTIFS($AL$3:$AL$201,$M107)&gt;0,
     COUNTIFS($AM$3:$AM$201,$M107)&gt;0,
     COUNTIFS($AN$3:$AN$201,$M107)&gt;0,
     COUNTIFS($AO$3:$AO$201,$M107)&gt;0,
     COUNTIFS($AP$3:$AP$201,$M107)&gt;0,
     COUNTIFS($AQ$3:$AQ$201,$M107)&gt;0,
     COUNTIFS($AR$3:$AR$201,$M107)&gt;0,
     COUNTIFS($AS$3:$AS$201,$M107)&gt;0,
     COUNTIFS($AT$3:$AT$201,$M107)&gt;0,
     COUNTIFS($AU$3:$AU$201,$M107)&gt;0,
     COUNTIFS($AV$3:$AV$201,$M107)&gt;0,
     COUNTIFS($AW$3:$AW$201,$M107)&gt;0,
     COUNTIFS($AX$3:$AX$201,$M107)&gt;0
   )),
  ),
  2
 ),
"")</f>
        <v/>
      </c>
      <c r="Q107" s="2" t="str" cm="1">
        <f t="array" aca="1" ref="Q107" ca="1">IFERROR(
 INDEX(
  _xlfn._xlws.FILTER($U$2:$AX$2,
   TRANSPOSE(
    CHOOSE({1;2;3;4;5;6;7;8;9;10;11;12;13;14;15;16;17;18;19;20;21;22;23;24;25;26;27;28;29;30},
     COUNTIFS($U$3:$U$201,$M107)&gt;0,
     COUNTIFS($V$3:$V$201,$M107)&gt;0,
     COUNTIFS($W$3:$W$201,$M107)&gt;0,
     COUNTIFS($X$3:$X$201,$M107)&gt;0,
     COUNTIFS($Y$3:$Y$201,$M107)&gt;0,
     COUNTIFS($Z$3:$Z$201,$M107)&gt;0,
     COUNTIFS($AA$3:$AA$201,$M107)&gt;0,
     COUNTIFS($AB$3:$AB$201,$M107)&gt;0,
     COUNTIFS($AC$3:$AC$201,$M107)&gt;0,
     COUNTIFS($AD$3:$AD$201,$M107)&gt;0,
     COUNTIFS($AE$3:$AE$201,$M107)&gt;0,
     COUNTIFS($AF$3:$AF$201,$M107)&gt;0,
     COUNTIFS($AG$3:$AG$201,$M107)&gt;0,
     COUNTIFS($AH$3:$AH$201,$M107)&gt;0,
     COUNTIFS($AI$3:$AI$201,$M107)&gt;0,
     COUNTIFS($AJ$3:$AJ$201,$M107)&gt;0,
     COUNTIFS($AK$3:$AK$201,$M107)&gt;0,
     COUNTIFS($AL$3:$AL$201,$M107)&gt;0,
     COUNTIFS($AM$3:$AM$201,$M107)&gt;0,
     COUNTIFS($AN$3:$AN$201,$M107)&gt;0,
     COUNTIFS($AO$3:$AO$201,$M107)&gt;0,
     COUNTIFS($AP$3:$AP$201,$M107)&gt;0,
     COUNTIFS($AQ$3:$AQ$201,$M107)&gt;0,
     COUNTIFS($AR$3:$AR$201,$M107)&gt;0,
     COUNTIFS($AS$3:$AS$201,$M107)&gt;0,
     COUNTIFS($AT$3:$AT$201,$M107)&gt;0,
     COUNTIFS($AU$3:$AU$201,$M107)&gt;0,
     COUNTIFS($AV$3:$AV$201,$M107)&gt;0,
     COUNTIFS($AW$3:$AW$201,$M107)&gt;0,
     COUNTIFS($AX$3:$AX$201,$M107)&gt;0
   )),
  ),
  3
 ),
"")</f>
        <v/>
      </c>
      <c r="EO107" t="str">
        <f ca="1"/>
        <v>Prosperous Innkeeper</v>
      </c>
      <c r="ET107" t="str">
        <f ca="1"/>
        <v>Krosan Grip</v>
      </c>
      <c r="EW107" t="str">
        <f ca="1"/>
        <v>Kayla's Command</v>
      </c>
    </row>
    <row r="108" spans="1:153" x14ac:dyDescent="0.25">
      <c r="A108" t="str">
        <f ca="1"/>
        <v>Crypt Sliver</v>
      </c>
      <c r="B108" s="2" t="str" cm="1">
        <f t="array" aca="1" ref="B108" ca="1">_xlfn.ANCHORARRAY(RESUMO!C107)</f>
        <v>Fractius</v>
      </c>
      <c r="C108" s="2" t="str">
        <f t="shared" ca="1" si="4"/>
        <v/>
      </c>
      <c r="E108" t="str">
        <f ca="1"/>
        <v>Kazuul, Tyrant of the Cliffs</v>
      </c>
      <c r="F108" s="2">
        <f t="shared" ca="1" si="7"/>
        <v>1</v>
      </c>
      <c r="G108" s="2" t="str">
        <f t="shared" ca="1" si="5"/>
        <v>Rani</v>
      </c>
      <c r="J108" t="s">
        <v>180</v>
      </c>
      <c r="K108" s="2">
        <v>1</v>
      </c>
      <c r="M108" t="str">
        <f ca="1"/>
        <v>Kazuul, Tyrant of the Cliffs</v>
      </c>
      <c r="N108" s="2">
        <f t="shared" ca="1" si="6"/>
        <v>1</v>
      </c>
      <c r="O108" s="2" t="str">
        <f ca="1">IFERROR(
 INDEX($U$2:$AX$2,
  MATCH(TRUE,
   CHOOSE({1;2;3;4;5;6;7;8;9;10;11;12;13;14;15;16;17;18;19;20;21;22;23;24;25;26;27;28;29;30;31;32},
    COUNTIFS($U$3:$U$201,$M108)&gt;0,
    COUNTIFS($V$3:$V$201,$M108)&gt;0,
    COUNTIFS($W$3:$W$201,$M108)&gt;0,
    COUNTIFS($X$3:$X$201,$M108)&gt;0,
    COUNTIFS($Y$3:$Y$201,$M108)&gt;0,
    COUNTIFS($Z$3:$Z$201,$M108)&gt;0,
    COUNTIFS($AA$3:$AA$201,$M108)&gt;0,
    COUNTIFS($AB$3:$AB$201,$M108)&gt;0,
    COUNTIFS($AC$3:$AC$201,$M108)&gt;0,
    COUNTIFS($AD$3:$AD$201,$M108)&gt;0,
    COUNTIFS($AE$3:$AE$201,$M108)&gt;0,
    COUNTIFS($AF$3:$AF$201,$M108)&gt;0,
    COUNTIFS($AG$3:$AG$201,$M108)&gt;0,
    COUNTIFS($AH$3:$AH$201,$M108)&gt;0,
    COUNTIFS($AI$3:$AI$201,$M108)&gt;0,
    COUNTIFS($AJ$3:$AJ$201,$M108)&gt;0,
    COUNTIFS($AK$3:$AK$201,$M108)&gt;0,
    COUNTIFS($AL$3:$AL$201,$M108)&gt;0,
    COUNTIFS($AM$3:$AM$201,$M108)&gt;0,
    COUNTIFS($AN$3:$AN$201,$M108)&gt;0,
    COUNTIFS($AO$3:$AO$201,$M108)&gt;0,
    COUNTIFS($AP$3:$AP$201,$M108)&gt;0,
    COUNTIFS($AQ$3:$AQ$201,$M108)&gt;0,
    COUNTIFS($AR$3:$AR$201,$M108)&gt;0,
    COUNTIFS($AS$3:$AS$201,$M108)&gt;0,
    COUNTIFS($AT$3:$AT$201,$M108)&gt;0,
    COUNTIFS($AU$3:$AU$201,$M108)&gt;0,
    COUNTIFS($AV$3:$AV$201,$M108)&gt;0,
    COUNTIFS($AW$3:$AW$201,$M108)&gt;0,
    COUNTIFS($AX$3:$AX$201,$M108)&gt;0
   ),
  0)
 ),
"")</f>
        <v>Rani</v>
      </c>
      <c r="P108" s="2" t="str" cm="1">
        <f t="array" aca="1" ref="P108" ca="1">IFERROR(
 INDEX(
  _xlfn._xlws.FILTER($U$2:$AX$2,
   TRANSPOSE(
    CHOOSE({1;2;3;4;5;6;7;8;9;10;11;12;13;14;15;16;17;18;19;20;21;22;23;24;25;26;27;28;29;30},
     COUNTIFS($U$3:$U$201,$M108)&gt;0,
     COUNTIFS($V$3:$V$201,$M108)&gt;0,
     COUNTIFS($W$3:$W$201,$M108)&gt;0,
     COUNTIFS($X$3:$X$201,$M108)&gt;0,
     COUNTIFS($Y$3:$Y$201,$M108)&gt;0,
     COUNTIFS($Z$3:$Z$201,$M108)&gt;0,
     COUNTIFS($AA$3:$AA$201,$M108)&gt;0,
     COUNTIFS($AB$3:$AB$201,$M108)&gt;0,
     COUNTIFS($AC$3:$AC$201,$M108)&gt;0,
     COUNTIFS($AD$3:$AD$201,$M108)&gt;0,
     COUNTIFS($AE$3:$AE$201,$M108)&gt;0,
     COUNTIFS($AF$3:$AF$201,$M108)&gt;0,
     COUNTIFS($AG$3:$AG$201,$M108)&gt;0,
     COUNTIFS($AH$3:$AH$201,$M108)&gt;0,
     COUNTIFS($AI$3:$AI$201,$M108)&gt;0,
     COUNTIFS($AJ$3:$AJ$201,$M108)&gt;0,
     COUNTIFS($AK$3:$AK$201,$M108)&gt;0,
     COUNTIFS($AL$3:$AL$201,$M108)&gt;0,
     COUNTIFS($AM$3:$AM$201,$M108)&gt;0,
     COUNTIFS($AN$3:$AN$201,$M108)&gt;0,
     COUNTIFS($AO$3:$AO$201,$M108)&gt;0,
     COUNTIFS($AP$3:$AP$201,$M108)&gt;0,
     COUNTIFS($AQ$3:$AQ$201,$M108)&gt;0,
     COUNTIFS($AR$3:$AR$201,$M108)&gt;0,
     COUNTIFS($AS$3:$AS$201,$M108)&gt;0,
     COUNTIFS($AT$3:$AT$201,$M108)&gt;0,
     COUNTIFS($AU$3:$AU$201,$M108)&gt;0,
     COUNTIFS($AV$3:$AV$201,$M108)&gt;0,
     COUNTIFS($AW$3:$AW$201,$M108)&gt;0,
     COUNTIFS($AX$3:$AX$201,$M108)&gt;0
   )),
  ),
  2
 ),
"")</f>
        <v/>
      </c>
      <c r="Q108" s="2" t="str" cm="1">
        <f t="array" aca="1" ref="Q108" ca="1">IFERROR(
 INDEX(
  _xlfn._xlws.FILTER($U$2:$AX$2,
   TRANSPOSE(
    CHOOSE({1;2;3;4;5;6;7;8;9;10;11;12;13;14;15;16;17;18;19;20;21;22;23;24;25;26;27;28;29;30},
     COUNTIFS($U$3:$U$201,$M108)&gt;0,
     COUNTIFS($V$3:$V$201,$M108)&gt;0,
     COUNTIFS($W$3:$W$201,$M108)&gt;0,
     COUNTIFS($X$3:$X$201,$M108)&gt;0,
     COUNTIFS($Y$3:$Y$201,$M108)&gt;0,
     COUNTIFS($Z$3:$Z$201,$M108)&gt;0,
     COUNTIFS($AA$3:$AA$201,$M108)&gt;0,
     COUNTIFS($AB$3:$AB$201,$M108)&gt;0,
     COUNTIFS($AC$3:$AC$201,$M108)&gt;0,
     COUNTIFS($AD$3:$AD$201,$M108)&gt;0,
     COUNTIFS($AE$3:$AE$201,$M108)&gt;0,
     COUNTIFS($AF$3:$AF$201,$M108)&gt;0,
     COUNTIFS($AG$3:$AG$201,$M108)&gt;0,
     COUNTIFS($AH$3:$AH$201,$M108)&gt;0,
     COUNTIFS($AI$3:$AI$201,$M108)&gt;0,
     COUNTIFS($AJ$3:$AJ$201,$M108)&gt;0,
     COUNTIFS($AK$3:$AK$201,$M108)&gt;0,
     COUNTIFS($AL$3:$AL$201,$M108)&gt;0,
     COUNTIFS($AM$3:$AM$201,$M108)&gt;0,
     COUNTIFS($AN$3:$AN$201,$M108)&gt;0,
     COUNTIFS($AO$3:$AO$201,$M108)&gt;0,
     COUNTIFS($AP$3:$AP$201,$M108)&gt;0,
     COUNTIFS($AQ$3:$AQ$201,$M108)&gt;0,
     COUNTIFS($AR$3:$AR$201,$M108)&gt;0,
     COUNTIFS($AS$3:$AS$201,$M108)&gt;0,
     COUNTIFS($AT$3:$AT$201,$M108)&gt;0,
     COUNTIFS($AU$3:$AU$201,$M108)&gt;0,
     COUNTIFS($AV$3:$AV$201,$M108)&gt;0,
     COUNTIFS($AW$3:$AW$201,$M108)&gt;0,
     COUNTIFS($AX$3:$AX$201,$M108)&gt;0
   )),
  ),
  3
 ),
"")</f>
        <v/>
      </c>
      <c r="EO108" t="str">
        <f ca="1"/>
        <v>Quasiduplicate</v>
      </c>
      <c r="ET108" t="str">
        <f ca="1"/>
        <v>Kusari-Gama</v>
      </c>
      <c r="EW108" t="str">
        <f ca="1"/>
        <v>Kazuul, Tyrant of the Cliffs</v>
      </c>
    </row>
    <row r="109" spans="1:153" x14ac:dyDescent="0.25">
      <c r="A109" t="str">
        <f ca="1"/>
        <v>Crystalline Sliver</v>
      </c>
      <c r="B109" s="2" t="str" cm="1">
        <f t="array" aca="1" ref="B109" ca="1">_xlfn.ANCHORARRAY(RESUMO!C108)</f>
        <v>Fractius</v>
      </c>
      <c r="C109" s="2" t="str">
        <f t="shared" ca="1" si="4"/>
        <v/>
      </c>
      <c r="E109" t="str">
        <f ca="1"/>
        <v>Kederekt Leviathan</v>
      </c>
      <c r="F109" s="2">
        <f t="shared" ca="1" si="7"/>
        <v>1</v>
      </c>
      <c r="G109" s="2" t="str">
        <f t="shared" ca="1" si="5"/>
        <v>JhoiraB</v>
      </c>
      <c r="J109" t="s">
        <v>180</v>
      </c>
      <c r="K109" s="2">
        <v>1</v>
      </c>
      <c r="M109" t="str">
        <f ca="1"/>
        <v>Kederekt Leviathan</v>
      </c>
      <c r="N109" s="2">
        <f t="shared" ca="1" si="6"/>
        <v>1</v>
      </c>
      <c r="O109" s="2" t="str">
        <f ca="1">IFERROR(
 INDEX($U$2:$AX$2,
  MATCH(TRUE,
   CHOOSE({1;2;3;4;5;6;7;8;9;10;11;12;13;14;15;16;17;18;19;20;21;22;23;24;25;26;27;28;29;30;31;32},
    COUNTIFS($U$3:$U$201,$M109)&gt;0,
    COUNTIFS($V$3:$V$201,$M109)&gt;0,
    COUNTIFS($W$3:$W$201,$M109)&gt;0,
    COUNTIFS($X$3:$X$201,$M109)&gt;0,
    COUNTIFS($Y$3:$Y$201,$M109)&gt;0,
    COUNTIFS($Z$3:$Z$201,$M109)&gt;0,
    COUNTIFS($AA$3:$AA$201,$M109)&gt;0,
    COUNTIFS($AB$3:$AB$201,$M109)&gt;0,
    COUNTIFS($AC$3:$AC$201,$M109)&gt;0,
    COUNTIFS($AD$3:$AD$201,$M109)&gt;0,
    COUNTIFS($AE$3:$AE$201,$M109)&gt;0,
    COUNTIFS($AF$3:$AF$201,$M109)&gt;0,
    COUNTIFS($AG$3:$AG$201,$M109)&gt;0,
    COUNTIFS($AH$3:$AH$201,$M109)&gt;0,
    COUNTIFS($AI$3:$AI$201,$M109)&gt;0,
    COUNTIFS($AJ$3:$AJ$201,$M109)&gt;0,
    COUNTIFS($AK$3:$AK$201,$M109)&gt;0,
    COUNTIFS($AL$3:$AL$201,$M109)&gt;0,
    COUNTIFS($AM$3:$AM$201,$M109)&gt;0,
    COUNTIFS($AN$3:$AN$201,$M109)&gt;0,
    COUNTIFS($AO$3:$AO$201,$M109)&gt;0,
    COUNTIFS($AP$3:$AP$201,$M109)&gt;0,
    COUNTIFS($AQ$3:$AQ$201,$M109)&gt;0,
    COUNTIFS($AR$3:$AR$201,$M109)&gt;0,
    COUNTIFS($AS$3:$AS$201,$M109)&gt;0,
    COUNTIFS($AT$3:$AT$201,$M109)&gt;0,
    COUNTIFS($AU$3:$AU$201,$M109)&gt;0,
    COUNTIFS($AV$3:$AV$201,$M109)&gt;0,
    COUNTIFS($AW$3:$AW$201,$M109)&gt;0,
    COUNTIFS($AX$3:$AX$201,$M109)&gt;0
   ),
  0)
 ),
"")</f>
        <v>JhoiraB</v>
      </c>
      <c r="P109" s="2" t="str" cm="1">
        <f t="array" aca="1" ref="P109" ca="1">IFERROR(
 INDEX(
  _xlfn._xlws.FILTER($U$2:$AX$2,
   TRANSPOSE(
    CHOOSE({1;2;3;4;5;6;7;8;9;10;11;12;13;14;15;16;17;18;19;20;21;22;23;24;25;26;27;28;29;30},
     COUNTIFS($U$3:$U$201,$M109)&gt;0,
     COUNTIFS($V$3:$V$201,$M109)&gt;0,
     COUNTIFS($W$3:$W$201,$M109)&gt;0,
     COUNTIFS($X$3:$X$201,$M109)&gt;0,
     COUNTIFS($Y$3:$Y$201,$M109)&gt;0,
     COUNTIFS($Z$3:$Z$201,$M109)&gt;0,
     COUNTIFS($AA$3:$AA$201,$M109)&gt;0,
     COUNTIFS($AB$3:$AB$201,$M109)&gt;0,
     COUNTIFS($AC$3:$AC$201,$M109)&gt;0,
     COUNTIFS($AD$3:$AD$201,$M109)&gt;0,
     COUNTIFS($AE$3:$AE$201,$M109)&gt;0,
     COUNTIFS($AF$3:$AF$201,$M109)&gt;0,
     COUNTIFS($AG$3:$AG$201,$M109)&gt;0,
     COUNTIFS($AH$3:$AH$201,$M109)&gt;0,
     COUNTIFS($AI$3:$AI$201,$M109)&gt;0,
     COUNTIFS($AJ$3:$AJ$201,$M109)&gt;0,
     COUNTIFS($AK$3:$AK$201,$M109)&gt;0,
     COUNTIFS($AL$3:$AL$201,$M109)&gt;0,
     COUNTIFS($AM$3:$AM$201,$M109)&gt;0,
     COUNTIFS($AN$3:$AN$201,$M109)&gt;0,
     COUNTIFS($AO$3:$AO$201,$M109)&gt;0,
     COUNTIFS($AP$3:$AP$201,$M109)&gt;0,
     COUNTIFS($AQ$3:$AQ$201,$M109)&gt;0,
     COUNTIFS($AR$3:$AR$201,$M109)&gt;0,
     COUNTIFS($AS$3:$AS$201,$M109)&gt;0,
     COUNTIFS($AT$3:$AT$201,$M109)&gt;0,
     COUNTIFS($AU$3:$AU$201,$M109)&gt;0,
     COUNTIFS($AV$3:$AV$201,$M109)&gt;0,
     COUNTIFS($AW$3:$AW$201,$M109)&gt;0,
     COUNTIFS($AX$3:$AX$201,$M109)&gt;0
   )),
  ),
  2
 ),
"")</f>
        <v/>
      </c>
      <c r="Q109" s="2" t="str" cm="1">
        <f t="array" aca="1" ref="Q109" ca="1">IFERROR(
 INDEX(
  _xlfn._xlws.FILTER($U$2:$AX$2,
   TRANSPOSE(
    CHOOSE({1;2;3;4;5;6;7;8;9;10;11;12;13;14;15;16;17;18;19;20;21;22;23;24;25;26;27;28;29;30},
     COUNTIFS($U$3:$U$201,$M109)&gt;0,
     COUNTIFS($V$3:$V$201,$M109)&gt;0,
     COUNTIFS($W$3:$W$201,$M109)&gt;0,
     COUNTIFS($X$3:$X$201,$M109)&gt;0,
     COUNTIFS($Y$3:$Y$201,$M109)&gt;0,
     COUNTIFS($Z$3:$Z$201,$M109)&gt;0,
     COUNTIFS($AA$3:$AA$201,$M109)&gt;0,
     COUNTIFS($AB$3:$AB$201,$M109)&gt;0,
     COUNTIFS($AC$3:$AC$201,$M109)&gt;0,
     COUNTIFS($AD$3:$AD$201,$M109)&gt;0,
     COUNTIFS($AE$3:$AE$201,$M109)&gt;0,
     COUNTIFS($AF$3:$AF$201,$M109)&gt;0,
     COUNTIFS($AG$3:$AG$201,$M109)&gt;0,
     COUNTIFS($AH$3:$AH$201,$M109)&gt;0,
     COUNTIFS($AI$3:$AI$201,$M109)&gt;0,
     COUNTIFS($AJ$3:$AJ$201,$M109)&gt;0,
     COUNTIFS($AK$3:$AK$201,$M109)&gt;0,
     COUNTIFS($AL$3:$AL$201,$M109)&gt;0,
     COUNTIFS($AM$3:$AM$201,$M109)&gt;0,
     COUNTIFS($AN$3:$AN$201,$M109)&gt;0,
     COUNTIFS($AO$3:$AO$201,$M109)&gt;0,
     COUNTIFS($AP$3:$AP$201,$M109)&gt;0,
     COUNTIFS($AQ$3:$AQ$201,$M109)&gt;0,
     COUNTIFS($AR$3:$AR$201,$M109)&gt;0,
     COUNTIFS($AS$3:$AS$201,$M109)&gt;0,
     COUNTIFS($AT$3:$AT$201,$M109)&gt;0,
     COUNTIFS($AU$3:$AU$201,$M109)&gt;0,
     COUNTIFS($AV$3:$AV$201,$M109)&gt;0,
     COUNTIFS($AW$3:$AW$201,$M109)&gt;0,
     COUNTIFS($AX$3:$AX$201,$M109)&gt;0
   )),
  ),
  3
 ),
"")</f>
        <v/>
      </c>
      <c r="EO109" t="str">
        <f ca="1"/>
        <v>Ranger of Eos</v>
      </c>
      <c r="ET109" t="str">
        <f ca="1"/>
        <v>Life Insurance</v>
      </c>
      <c r="EW109" t="str">
        <f ca="1"/>
        <v>Kederekt Leviathan</v>
      </c>
    </row>
    <row r="110" spans="1:153" x14ac:dyDescent="0.25">
      <c r="A110" t="str">
        <f ca="1"/>
        <v>Culling Ritual</v>
      </c>
      <c r="B110" s="2" t="str" cm="1">
        <f t="array" aca="1" ref="B110" ca="1">_xlfn.ANCHORARRAY(RESUMO!C109)</f>
        <v>4cRash</v>
      </c>
      <c r="C110" s="2" t="str">
        <f t="shared" ca="1" si="4"/>
        <v/>
      </c>
      <c r="E110" t="str">
        <f ca="1"/>
        <v>Kiora's Follower</v>
      </c>
      <c r="F110" s="2">
        <f t="shared" ca="1" si="7"/>
        <v>1</v>
      </c>
      <c r="G110" s="2" t="str">
        <f t="shared" ca="1" si="5"/>
        <v>Elfos</v>
      </c>
      <c r="J110" t="s">
        <v>180</v>
      </c>
      <c r="K110" s="2">
        <v>1</v>
      </c>
      <c r="M110" t="str">
        <f ca="1"/>
        <v>Kiora's Follower</v>
      </c>
      <c r="N110" s="2">
        <f t="shared" ca="1" si="6"/>
        <v>1</v>
      </c>
      <c r="O110" s="2" t="str">
        <f ca="1">IFERROR(
 INDEX($U$2:$AX$2,
  MATCH(TRUE,
   CHOOSE({1;2;3;4;5;6;7;8;9;10;11;12;13;14;15;16;17;18;19;20;21;22;23;24;25;26;27;28;29;30;31;32},
    COUNTIFS($U$3:$U$201,$M110)&gt;0,
    COUNTIFS($V$3:$V$201,$M110)&gt;0,
    COUNTIFS($W$3:$W$201,$M110)&gt;0,
    COUNTIFS($X$3:$X$201,$M110)&gt;0,
    COUNTIFS($Y$3:$Y$201,$M110)&gt;0,
    COUNTIFS($Z$3:$Z$201,$M110)&gt;0,
    COUNTIFS($AA$3:$AA$201,$M110)&gt;0,
    COUNTIFS($AB$3:$AB$201,$M110)&gt;0,
    COUNTIFS($AC$3:$AC$201,$M110)&gt;0,
    COUNTIFS($AD$3:$AD$201,$M110)&gt;0,
    COUNTIFS($AE$3:$AE$201,$M110)&gt;0,
    COUNTIFS($AF$3:$AF$201,$M110)&gt;0,
    COUNTIFS($AG$3:$AG$201,$M110)&gt;0,
    COUNTIFS($AH$3:$AH$201,$M110)&gt;0,
    COUNTIFS($AI$3:$AI$201,$M110)&gt;0,
    COUNTIFS($AJ$3:$AJ$201,$M110)&gt;0,
    COUNTIFS($AK$3:$AK$201,$M110)&gt;0,
    COUNTIFS($AL$3:$AL$201,$M110)&gt;0,
    COUNTIFS($AM$3:$AM$201,$M110)&gt;0,
    COUNTIFS($AN$3:$AN$201,$M110)&gt;0,
    COUNTIFS($AO$3:$AO$201,$M110)&gt;0,
    COUNTIFS($AP$3:$AP$201,$M110)&gt;0,
    COUNTIFS($AQ$3:$AQ$201,$M110)&gt;0,
    COUNTIFS($AR$3:$AR$201,$M110)&gt;0,
    COUNTIFS($AS$3:$AS$201,$M110)&gt;0,
    COUNTIFS($AT$3:$AT$201,$M110)&gt;0,
    COUNTIFS($AU$3:$AU$201,$M110)&gt;0,
    COUNTIFS($AV$3:$AV$201,$M110)&gt;0,
    COUNTIFS($AW$3:$AW$201,$M110)&gt;0,
    COUNTIFS($AX$3:$AX$201,$M110)&gt;0
   ),
  0)
 ),
"")</f>
        <v>Elfos</v>
      </c>
      <c r="P110" s="2" t="str" cm="1">
        <f t="array" aca="1" ref="P110" ca="1">IFERROR(
 INDEX(
  _xlfn._xlws.FILTER($U$2:$AX$2,
   TRANSPOSE(
    CHOOSE({1;2;3;4;5;6;7;8;9;10;11;12;13;14;15;16;17;18;19;20;21;22;23;24;25;26;27;28;29;30},
     COUNTIFS($U$3:$U$201,$M110)&gt;0,
     COUNTIFS($V$3:$V$201,$M110)&gt;0,
     COUNTIFS($W$3:$W$201,$M110)&gt;0,
     COUNTIFS($X$3:$X$201,$M110)&gt;0,
     COUNTIFS($Y$3:$Y$201,$M110)&gt;0,
     COUNTIFS($Z$3:$Z$201,$M110)&gt;0,
     COUNTIFS($AA$3:$AA$201,$M110)&gt;0,
     COUNTIFS($AB$3:$AB$201,$M110)&gt;0,
     COUNTIFS($AC$3:$AC$201,$M110)&gt;0,
     COUNTIFS($AD$3:$AD$201,$M110)&gt;0,
     COUNTIFS($AE$3:$AE$201,$M110)&gt;0,
     COUNTIFS($AF$3:$AF$201,$M110)&gt;0,
     COUNTIFS($AG$3:$AG$201,$M110)&gt;0,
     COUNTIFS($AH$3:$AH$201,$M110)&gt;0,
     COUNTIFS($AI$3:$AI$201,$M110)&gt;0,
     COUNTIFS($AJ$3:$AJ$201,$M110)&gt;0,
     COUNTIFS($AK$3:$AK$201,$M110)&gt;0,
     COUNTIFS($AL$3:$AL$201,$M110)&gt;0,
     COUNTIFS($AM$3:$AM$201,$M110)&gt;0,
     COUNTIFS($AN$3:$AN$201,$M110)&gt;0,
     COUNTIFS($AO$3:$AO$201,$M110)&gt;0,
     COUNTIFS($AP$3:$AP$201,$M110)&gt;0,
     COUNTIFS($AQ$3:$AQ$201,$M110)&gt;0,
     COUNTIFS($AR$3:$AR$201,$M110)&gt;0,
     COUNTIFS($AS$3:$AS$201,$M110)&gt;0,
     COUNTIFS($AT$3:$AT$201,$M110)&gt;0,
     COUNTIFS($AU$3:$AU$201,$M110)&gt;0,
     COUNTIFS($AV$3:$AV$201,$M110)&gt;0,
     COUNTIFS($AW$3:$AW$201,$M110)&gt;0,
     COUNTIFS($AX$3:$AX$201,$M110)&gt;0
   )),
  ),
  2
 ),
"")</f>
        <v/>
      </c>
      <c r="Q110" s="2" t="str" cm="1">
        <f t="array" aca="1" ref="Q110" ca="1">IFERROR(
 INDEX(
  _xlfn._xlws.FILTER($U$2:$AX$2,
   TRANSPOSE(
    CHOOSE({1;2;3;4;5;6;7;8;9;10;11;12;13;14;15;16;17;18;19;20;21;22;23;24;25;26;27;28;29;30},
     COUNTIFS($U$3:$U$201,$M110)&gt;0,
     COUNTIFS($V$3:$V$201,$M110)&gt;0,
     COUNTIFS($W$3:$W$201,$M110)&gt;0,
     COUNTIFS($X$3:$X$201,$M110)&gt;0,
     COUNTIFS($Y$3:$Y$201,$M110)&gt;0,
     COUNTIFS($Z$3:$Z$201,$M110)&gt;0,
     COUNTIFS($AA$3:$AA$201,$M110)&gt;0,
     COUNTIFS($AB$3:$AB$201,$M110)&gt;0,
     COUNTIFS($AC$3:$AC$201,$M110)&gt;0,
     COUNTIFS($AD$3:$AD$201,$M110)&gt;0,
     COUNTIFS($AE$3:$AE$201,$M110)&gt;0,
     COUNTIFS($AF$3:$AF$201,$M110)&gt;0,
     COUNTIFS($AG$3:$AG$201,$M110)&gt;0,
     COUNTIFS($AH$3:$AH$201,$M110)&gt;0,
     COUNTIFS($AI$3:$AI$201,$M110)&gt;0,
     COUNTIFS($AJ$3:$AJ$201,$M110)&gt;0,
     COUNTIFS($AK$3:$AK$201,$M110)&gt;0,
     COUNTIFS($AL$3:$AL$201,$M110)&gt;0,
     COUNTIFS($AM$3:$AM$201,$M110)&gt;0,
     COUNTIFS($AN$3:$AN$201,$M110)&gt;0,
     COUNTIFS($AO$3:$AO$201,$M110)&gt;0,
     COUNTIFS($AP$3:$AP$201,$M110)&gt;0,
     COUNTIFS($AQ$3:$AQ$201,$M110)&gt;0,
     COUNTIFS($AR$3:$AR$201,$M110)&gt;0,
     COUNTIFS($AS$3:$AS$201,$M110)&gt;0,
     COUNTIFS($AT$3:$AT$201,$M110)&gt;0,
     COUNTIFS($AU$3:$AU$201,$M110)&gt;0,
     COUNTIFS($AV$3:$AV$201,$M110)&gt;0,
     COUNTIFS($AW$3:$AW$201,$M110)&gt;0,
     COUNTIFS($AX$3:$AX$201,$M110)&gt;0
   )),
  ),
  3
 ),
"")</f>
        <v/>
      </c>
      <c r="EO110" t="str">
        <f ca="1"/>
        <v>Realmbreaker, the Invasion Tree</v>
      </c>
      <c r="ET110" t="str">
        <f ca="1"/>
        <v>Lifecrafter's Bestiary</v>
      </c>
      <c r="EW110" t="str">
        <f ca="1"/>
        <v>Kiora's Follower</v>
      </c>
    </row>
    <row r="111" spans="1:153" x14ac:dyDescent="0.25">
      <c r="A111" t="str">
        <f ca="1"/>
        <v>Cunning Rhetoric</v>
      </c>
      <c r="B111" s="2" t="str" cm="1">
        <f t="array" aca="1" ref="B111" ca="1">_xlfn.ANCHORARRAY(RESUMO!C110)</f>
        <v>Zuko</v>
      </c>
      <c r="C111" s="2" t="str">
        <f t="shared" ca="1" si="4"/>
        <v/>
      </c>
      <c r="E111" t="str">
        <f ca="1"/>
        <v>Krosan Grip</v>
      </c>
      <c r="F111" s="2">
        <f t="shared" ca="1" si="7"/>
        <v>1</v>
      </c>
      <c r="G111" s="2" t="str">
        <f t="shared" ca="1" si="5"/>
        <v>Baylen</v>
      </c>
      <c r="J111" t="s">
        <v>180</v>
      </c>
      <c r="K111" s="2">
        <v>1</v>
      </c>
      <c r="M111" t="str">
        <f ca="1"/>
        <v>Krosan Grip</v>
      </c>
      <c r="N111" s="2">
        <f t="shared" ca="1" si="6"/>
        <v>1</v>
      </c>
      <c r="O111" s="2" t="str">
        <f ca="1">IFERROR(
 INDEX($U$2:$AX$2,
  MATCH(TRUE,
   CHOOSE({1;2;3;4;5;6;7;8;9;10;11;12;13;14;15;16;17;18;19;20;21;22;23;24;25;26;27;28;29;30;31;32},
    COUNTIFS($U$3:$U$201,$M111)&gt;0,
    COUNTIFS($V$3:$V$201,$M111)&gt;0,
    COUNTIFS($W$3:$W$201,$M111)&gt;0,
    COUNTIFS($X$3:$X$201,$M111)&gt;0,
    COUNTIFS($Y$3:$Y$201,$M111)&gt;0,
    COUNTIFS($Z$3:$Z$201,$M111)&gt;0,
    COUNTIFS($AA$3:$AA$201,$M111)&gt;0,
    COUNTIFS($AB$3:$AB$201,$M111)&gt;0,
    COUNTIFS($AC$3:$AC$201,$M111)&gt;0,
    COUNTIFS($AD$3:$AD$201,$M111)&gt;0,
    COUNTIFS($AE$3:$AE$201,$M111)&gt;0,
    COUNTIFS($AF$3:$AF$201,$M111)&gt;0,
    COUNTIFS($AG$3:$AG$201,$M111)&gt;0,
    COUNTIFS($AH$3:$AH$201,$M111)&gt;0,
    COUNTIFS($AI$3:$AI$201,$M111)&gt;0,
    COUNTIFS($AJ$3:$AJ$201,$M111)&gt;0,
    COUNTIFS($AK$3:$AK$201,$M111)&gt;0,
    COUNTIFS($AL$3:$AL$201,$M111)&gt;0,
    COUNTIFS($AM$3:$AM$201,$M111)&gt;0,
    COUNTIFS($AN$3:$AN$201,$M111)&gt;0,
    COUNTIFS($AO$3:$AO$201,$M111)&gt;0,
    COUNTIFS($AP$3:$AP$201,$M111)&gt;0,
    COUNTIFS($AQ$3:$AQ$201,$M111)&gt;0,
    COUNTIFS($AR$3:$AR$201,$M111)&gt;0,
    COUNTIFS($AS$3:$AS$201,$M111)&gt;0,
    COUNTIFS($AT$3:$AT$201,$M111)&gt;0,
    COUNTIFS($AU$3:$AU$201,$M111)&gt;0,
    COUNTIFS($AV$3:$AV$201,$M111)&gt;0,
    COUNTIFS($AW$3:$AW$201,$M111)&gt;0,
    COUNTIFS($AX$3:$AX$201,$M111)&gt;0
   ),
  0)
 ),
"")</f>
        <v>Baylen</v>
      </c>
      <c r="P111" s="2" t="str" cm="1">
        <f t="array" aca="1" ref="P111" ca="1">IFERROR(
 INDEX(
  _xlfn._xlws.FILTER($U$2:$AX$2,
   TRANSPOSE(
    CHOOSE({1;2;3;4;5;6;7;8;9;10;11;12;13;14;15;16;17;18;19;20;21;22;23;24;25;26;27;28;29;30},
     COUNTIFS($U$3:$U$201,$M111)&gt;0,
     COUNTIFS($V$3:$V$201,$M111)&gt;0,
     COUNTIFS($W$3:$W$201,$M111)&gt;0,
     COUNTIFS($X$3:$X$201,$M111)&gt;0,
     COUNTIFS($Y$3:$Y$201,$M111)&gt;0,
     COUNTIFS($Z$3:$Z$201,$M111)&gt;0,
     COUNTIFS($AA$3:$AA$201,$M111)&gt;0,
     COUNTIFS($AB$3:$AB$201,$M111)&gt;0,
     COUNTIFS($AC$3:$AC$201,$M111)&gt;0,
     COUNTIFS($AD$3:$AD$201,$M111)&gt;0,
     COUNTIFS($AE$3:$AE$201,$M111)&gt;0,
     COUNTIFS($AF$3:$AF$201,$M111)&gt;0,
     COUNTIFS($AG$3:$AG$201,$M111)&gt;0,
     COUNTIFS($AH$3:$AH$201,$M111)&gt;0,
     COUNTIFS($AI$3:$AI$201,$M111)&gt;0,
     COUNTIFS($AJ$3:$AJ$201,$M111)&gt;0,
     COUNTIFS($AK$3:$AK$201,$M111)&gt;0,
     COUNTIFS($AL$3:$AL$201,$M111)&gt;0,
     COUNTIFS($AM$3:$AM$201,$M111)&gt;0,
     COUNTIFS($AN$3:$AN$201,$M111)&gt;0,
     COUNTIFS($AO$3:$AO$201,$M111)&gt;0,
     COUNTIFS($AP$3:$AP$201,$M111)&gt;0,
     COUNTIFS($AQ$3:$AQ$201,$M111)&gt;0,
     COUNTIFS($AR$3:$AR$201,$M111)&gt;0,
     COUNTIFS($AS$3:$AS$201,$M111)&gt;0,
     COUNTIFS($AT$3:$AT$201,$M111)&gt;0,
     COUNTIFS($AU$3:$AU$201,$M111)&gt;0,
     COUNTIFS($AV$3:$AV$201,$M111)&gt;0,
     COUNTIFS($AW$3:$AW$201,$M111)&gt;0,
     COUNTIFS($AX$3:$AX$201,$M111)&gt;0
   )),
  ),
  2
 ),
"")</f>
        <v/>
      </c>
      <c r="Q111" s="2" t="str" cm="1">
        <f t="array" aca="1" ref="Q111" ca="1">IFERROR(
 INDEX(
  _xlfn._xlws.FILTER($U$2:$AX$2,
   TRANSPOSE(
    CHOOSE({1;2;3;4;5;6;7;8;9;10;11;12;13;14;15;16;17;18;19;20;21;22;23;24;25;26;27;28;29;30},
     COUNTIFS($U$3:$U$201,$M111)&gt;0,
     COUNTIFS($V$3:$V$201,$M111)&gt;0,
     COUNTIFS($W$3:$W$201,$M111)&gt;0,
     COUNTIFS($X$3:$X$201,$M111)&gt;0,
     COUNTIFS($Y$3:$Y$201,$M111)&gt;0,
     COUNTIFS($Z$3:$Z$201,$M111)&gt;0,
     COUNTIFS($AA$3:$AA$201,$M111)&gt;0,
     COUNTIFS($AB$3:$AB$201,$M111)&gt;0,
     COUNTIFS($AC$3:$AC$201,$M111)&gt;0,
     COUNTIFS($AD$3:$AD$201,$M111)&gt;0,
     COUNTIFS($AE$3:$AE$201,$M111)&gt;0,
     COUNTIFS($AF$3:$AF$201,$M111)&gt;0,
     COUNTIFS($AG$3:$AG$201,$M111)&gt;0,
     COUNTIFS($AH$3:$AH$201,$M111)&gt;0,
     COUNTIFS($AI$3:$AI$201,$M111)&gt;0,
     COUNTIFS($AJ$3:$AJ$201,$M111)&gt;0,
     COUNTIFS($AK$3:$AK$201,$M111)&gt;0,
     COUNTIFS($AL$3:$AL$201,$M111)&gt;0,
     COUNTIFS($AM$3:$AM$201,$M111)&gt;0,
     COUNTIFS($AN$3:$AN$201,$M111)&gt;0,
     COUNTIFS($AO$3:$AO$201,$M111)&gt;0,
     COUNTIFS($AP$3:$AP$201,$M111)&gt;0,
     COUNTIFS($AQ$3:$AQ$201,$M111)&gt;0,
     COUNTIFS($AR$3:$AR$201,$M111)&gt;0,
     COUNTIFS($AS$3:$AS$201,$M111)&gt;0,
     COUNTIFS($AT$3:$AT$201,$M111)&gt;0,
     COUNTIFS($AU$3:$AU$201,$M111)&gt;0,
     COUNTIFS($AV$3:$AV$201,$M111)&gt;0,
     COUNTIFS($AW$3:$AW$201,$M111)&gt;0,
     COUNTIFS($AX$3:$AX$201,$M111)&gt;0
   )),
  ),
  3
 ),
"")</f>
        <v/>
      </c>
      <c r="EO111" t="str">
        <f ca="1"/>
        <v>Reaper's Talisman</v>
      </c>
      <c r="ET111" t="str">
        <f ca="1"/>
        <v>Lifecreed Duo</v>
      </c>
      <c r="EW111" t="str">
        <f ca="1"/>
        <v>Krosan Grip</v>
      </c>
    </row>
    <row r="112" spans="1:153" x14ac:dyDescent="0.25">
      <c r="A112" t="str">
        <f ca="1"/>
        <v>Curious Farm Animals</v>
      </c>
      <c r="B112" s="2" t="str" cm="1">
        <f t="array" aca="1" ref="B112" ca="1">_xlfn.ANCHORARRAY(RESUMO!C111)</f>
        <v>Little</v>
      </c>
      <c r="C112" s="2" t="str">
        <f t="shared" ca="1" si="4"/>
        <v/>
      </c>
      <c r="E112" t="str">
        <f ca="1"/>
        <v>Kusari-Gama</v>
      </c>
      <c r="F112" s="2">
        <f t="shared" ca="1" si="7"/>
        <v>1</v>
      </c>
      <c r="G112" s="2" t="str">
        <f t="shared" ca="1" si="5"/>
        <v>Akiri</v>
      </c>
      <c r="J112" t="s">
        <v>180</v>
      </c>
      <c r="K112" s="2">
        <v>1</v>
      </c>
      <c r="M112" t="str">
        <f ca="1"/>
        <v>Kusari-Gama</v>
      </c>
      <c r="N112" s="2">
        <f t="shared" ca="1" si="6"/>
        <v>1</v>
      </c>
      <c r="O112" s="2" t="str">
        <f ca="1">IFERROR(
 INDEX($U$2:$AX$2,
  MATCH(TRUE,
   CHOOSE({1;2;3;4;5;6;7;8;9;10;11;12;13;14;15;16;17;18;19;20;21;22;23;24;25;26;27;28;29;30;31;32},
    COUNTIFS($U$3:$U$201,$M112)&gt;0,
    COUNTIFS($V$3:$V$201,$M112)&gt;0,
    COUNTIFS($W$3:$W$201,$M112)&gt;0,
    COUNTIFS($X$3:$X$201,$M112)&gt;0,
    COUNTIFS($Y$3:$Y$201,$M112)&gt;0,
    COUNTIFS($Z$3:$Z$201,$M112)&gt;0,
    COUNTIFS($AA$3:$AA$201,$M112)&gt;0,
    COUNTIFS($AB$3:$AB$201,$M112)&gt;0,
    COUNTIFS($AC$3:$AC$201,$M112)&gt;0,
    COUNTIFS($AD$3:$AD$201,$M112)&gt;0,
    COUNTIFS($AE$3:$AE$201,$M112)&gt;0,
    COUNTIFS($AF$3:$AF$201,$M112)&gt;0,
    COUNTIFS($AG$3:$AG$201,$M112)&gt;0,
    COUNTIFS($AH$3:$AH$201,$M112)&gt;0,
    COUNTIFS($AI$3:$AI$201,$M112)&gt;0,
    COUNTIFS($AJ$3:$AJ$201,$M112)&gt;0,
    COUNTIFS($AK$3:$AK$201,$M112)&gt;0,
    COUNTIFS($AL$3:$AL$201,$M112)&gt;0,
    COUNTIFS($AM$3:$AM$201,$M112)&gt;0,
    COUNTIFS($AN$3:$AN$201,$M112)&gt;0,
    COUNTIFS($AO$3:$AO$201,$M112)&gt;0,
    COUNTIFS($AP$3:$AP$201,$M112)&gt;0,
    COUNTIFS($AQ$3:$AQ$201,$M112)&gt;0,
    COUNTIFS($AR$3:$AR$201,$M112)&gt;0,
    COUNTIFS($AS$3:$AS$201,$M112)&gt;0,
    COUNTIFS($AT$3:$AT$201,$M112)&gt;0,
    COUNTIFS($AU$3:$AU$201,$M112)&gt;0,
    COUNTIFS($AV$3:$AV$201,$M112)&gt;0,
    COUNTIFS($AW$3:$AW$201,$M112)&gt;0,
    COUNTIFS($AX$3:$AX$201,$M112)&gt;0
   ),
  0)
 ),
"")</f>
        <v>Akiri</v>
      </c>
      <c r="P112" s="2" t="str" cm="1">
        <f t="array" aca="1" ref="P112" ca="1">IFERROR(
 INDEX(
  _xlfn._xlws.FILTER($U$2:$AX$2,
   TRANSPOSE(
    CHOOSE({1;2;3;4;5;6;7;8;9;10;11;12;13;14;15;16;17;18;19;20;21;22;23;24;25;26;27;28;29;30},
     COUNTIFS($U$3:$U$201,$M112)&gt;0,
     COUNTIFS($V$3:$V$201,$M112)&gt;0,
     COUNTIFS($W$3:$W$201,$M112)&gt;0,
     COUNTIFS($X$3:$X$201,$M112)&gt;0,
     COUNTIFS($Y$3:$Y$201,$M112)&gt;0,
     COUNTIFS($Z$3:$Z$201,$M112)&gt;0,
     COUNTIFS($AA$3:$AA$201,$M112)&gt;0,
     COUNTIFS($AB$3:$AB$201,$M112)&gt;0,
     COUNTIFS($AC$3:$AC$201,$M112)&gt;0,
     COUNTIFS($AD$3:$AD$201,$M112)&gt;0,
     COUNTIFS($AE$3:$AE$201,$M112)&gt;0,
     COUNTIFS($AF$3:$AF$201,$M112)&gt;0,
     COUNTIFS($AG$3:$AG$201,$M112)&gt;0,
     COUNTIFS($AH$3:$AH$201,$M112)&gt;0,
     COUNTIFS($AI$3:$AI$201,$M112)&gt;0,
     COUNTIFS($AJ$3:$AJ$201,$M112)&gt;0,
     COUNTIFS($AK$3:$AK$201,$M112)&gt;0,
     COUNTIFS($AL$3:$AL$201,$M112)&gt;0,
     COUNTIFS($AM$3:$AM$201,$M112)&gt;0,
     COUNTIFS($AN$3:$AN$201,$M112)&gt;0,
     COUNTIFS($AO$3:$AO$201,$M112)&gt;0,
     COUNTIFS($AP$3:$AP$201,$M112)&gt;0,
     COUNTIFS($AQ$3:$AQ$201,$M112)&gt;0,
     COUNTIFS($AR$3:$AR$201,$M112)&gt;0,
     COUNTIFS($AS$3:$AS$201,$M112)&gt;0,
     COUNTIFS($AT$3:$AT$201,$M112)&gt;0,
     COUNTIFS($AU$3:$AU$201,$M112)&gt;0,
     COUNTIFS($AV$3:$AV$201,$M112)&gt;0,
     COUNTIFS($AW$3:$AW$201,$M112)&gt;0,
     COUNTIFS($AX$3:$AX$201,$M112)&gt;0
   )),
  ),
  2
 ),
"")</f>
        <v/>
      </c>
      <c r="Q112" s="2" t="str" cm="1">
        <f t="array" aca="1" ref="Q112" ca="1">IFERROR(
 INDEX(
  _xlfn._xlws.FILTER($U$2:$AX$2,
   TRANSPOSE(
    CHOOSE({1;2;3;4;5;6;7;8;9;10;11;12;13;14;15;16;17;18;19;20;21;22;23;24;25;26;27;28;29;30},
     COUNTIFS($U$3:$U$201,$M112)&gt;0,
     COUNTIFS($V$3:$V$201,$M112)&gt;0,
     COUNTIFS($W$3:$W$201,$M112)&gt;0,
     COUNTIFS($X$3:$X$201,$M112)&gt;0,
     COUNTIFS($Y$3:$Y$201,$M112)&gt;0,
     COUNTIFS($Z$3:$Z$201,$M112)&gt;0,
     COUNTIFS($AA$3:$AA$201,$M112)&gt;0,
     COUNTIFS($AB$3:$AB$201,$M112)&gt;0,
     COUNTIFS($AC$3:$AC$201,$M112)&gt;0,
     COUNTIFS($AD$3:$AD$201,$M112)&gt;0,
     COUNTIFS($AE$3:$AE$201,$M112)&gt;0,
     COUNTIFS($AF$3:$AF$201,$M112)&gt;0,
     COUNTIFS($AG$3:$AG$201,$M112)&gt;0,
     COUNTIFS($AH$3:$AH$201,$M112)&gt;0,
     COUNTIFS($AI$3:$AI$201,$M112)&gt;0,
     COUNTIFS($AJ$3:$AJ$201,$M112)&gt;0,
     COUNTIFS($AK$3:$AK$201,$M112)&gt;0,
     COUNTIFS($AL$3:$AL$201,$M112)&gt;0,
     COUNTIFS($AM$3:$AM$201,$M112)&gt;0,
     COUNTIFS($AN$3:$AN$201,$M112)&gt;0,
     COUNTIFS($AO$3:$AO$201,$M112)&gt;0,
     COUNTIFS($AP$3:$AP$201,$M112)&gt;0,
     COUNTIFS($AQ$3:$AQ$201,$M112)&gt;0,
     COUNTIFS($AR$3:$AR$201,$M112)&gt;0,
     COUNTIFS($AS$3:$AS$201,$M112)&gt;0,
     COUNTIFS($AT$3:$AT$201,$M112)&gt;0,
     COUNTIFS($AU$3:$AU$201,$M112)&gt;0,
     COUNTIFS($AV$3:$AV$201,$M112)&gt;0,
     COUNTIFS($AW$3:$AW$201,$M112)&gt;0,
     COUNTIFS($AX$3:$AX$201,$M112)&gt;0
   )),
  ),
  3
 ),
"")</f>
        <v/>
      </c>
      <c r="EO112" t="str">
        <f ca="1"/>
        <v>Rebbec, Architect of Ascension</v>
      </c>
      <c r="ET112" t="str">
        <f ca="1"/>
        <v>Lightning Spear</v>
      </c>
      <c r="EW112" t="str">
        <f ca="1"/>
        <v>Kusari-Gama</v>
      </c>
    </row>
    <row r="113" spans="1:153" x14ac:dyDescent="0.25">
      <c r="A113" t="str">
        <f ca="1"/>
        <v>Curtain's Call</v>
      </c>
      <c r="B113" s="2" t="str" cm="1">
        <f t="array" aca="1" ref="B113" ca="1">_xlfn.ANCHORARRAY(RESUMO!C112)</f>
        <v>4cRash</v>
      </c>
      <c r="C113" s="2" t="str">
        <f t="shared" ca="1" si="4"/>
        <v/>
      </c>
      <c r="E113" t="str">
        <f ca="1"/>
        <v>Life Insurance</v>
      </c>
      <c r="F113" s="2">
        <f t="shared" ca="1" si="7"/>
        <v>1</v>
      </c>
      <c r="G113" s="2" t="str">
        <f t="shared" ca="1" si="5"/>
        <v>Sisay</v>
      </c>
      <c r="J113" t="s">
        <v>180</v>
      </c>
      <c r="K113" s="2">
        <v>1</v>
      </c>
      <c r="M113" t="str">
        <f ca="1"/>
        <v>Life Insurance</v>
      </c>
      <c r="N113" s="2">
        <f t="shared" ca="1" si="6"/>
        <v>1</v>
      </c>
      <c r="O113" s="2" t="str">
        <f ca="1">IFERROR(
 INDEX($U$2:$AX$2,
  MATCH(TRUE,
   CHOOSE({1;2;3;4;5;6;7;8;9;10;11;12;13;14;15;16;17;18;19;20;21;22;23;24;25;26;27;28;29;30;31;32},
    COUNTIFS($U$3:$U$201,$M113)&gt;0,
    COUNTIFS($V$3:$V$201,$M113)&gt;0,
    COUNTIFS($W$3:$W$201,$M113)&gt;0,
    COUNTIFS($X$3:$X$201,$M113)&gt;0,
    COUNTIFS($Y$3:$Y$201,$M113)&gt;0,
    COUNTIFS($Z$3:$Z$201,$M113)&gt;0,
    COUNTIFS($AA$3:$AA$201,$M113)&gt;0,
    COUNTIFS($AB$3:$AB$201,$M113)&gt;0,
    COUNTIFS($AC$3:$AC$201,$M113)&gt;0,
    COUNTIFS($AD$3:$AD$201,$M113)&gt;0,
    COUNTIFS($AE$3:$AE$201,$M113)&gt;0,
    COUNTIFS($AF$3:$AF$201,$M113)&gt;0,
    COUNTIFS($AG$3:$AG$201,$M113)&gt;0,
    COUNTIFS($AH$3:$AH$201,$M113)&gt;0,
    COUNTIFS($AI$3:$AI$201,$M113)&gt;0,
    COUNTIFS($AJ$3:$AJ$201,$M113)&gt;0,
    COUNTIFS($AK$3:$AK$201,$M113)&gt;0,
    COUNTIFS($AL$3:$AL$201,$M113)&gt;0,
    COUNTIFS($AM$3:$AM$201,$M113)&gt;0,
    COUNTIFS($AN$3:$AN$201,$M113)&gt;0,
    COUNTIFS($AO$3:$AO$201,$M113)&gt;0,
    COUNTIFS($AP$3:$AP$201,$M113)&gt;0,
    COUNTIFS($AQ$3:$AQ$201,$M113)&gt;0,
    COUNTIFS($AR$3:$AR$201,$M113)&gt;0,
    COUNTIFS($AS$3:$AS$201,$M113)&gt;0,
    COUNTIFS($AT$3:$AT$201,$M113)&gt;0,
    COUNTIFS($AU$3:$AU$201,$M113)&gt;0,
    COUNTIFS($AV$3:$AV$201,$M113)&gt;0,
    COUNTIFS($AW$3:$AW$201,$M113)&gt;0,
    COUNTIFS($AX$3:$AX$201,$M113)&gt;0
   ),
  0)
 ),
"")</f>
        <v>Sisay</v>
      </c>
      <c r="P113" s="2" t="str" cm="1">
        <f t="array" aca="1" ref="P113" ca="1">IFERROR(
 INDEX(
  _xlfn._xlws.FILTER($U$2:$AX$2,
   TRANSPOSE(
    CHOOSE({1;2;3;4;5;6;7;8;9;10;11;12;13;14;15;16;17;18;19;20;21;22;23;24;25;26;27;28;29;30},
     COUNTIFS($U$3:$U$201,$M113)&gt;0,
     COUNTIFS($V$3:$V$201,$M113)&gt;0,
     COUNTIFS($W$3:$W$201,$M113)&gt;0,
     COUNTIFS($X$3:$X$201,$M113)&gt;0,
     COUNTIFS($Y$3:$Y$201,$M113)&gt;0,
     COUNTIFS($Z$3:$Z$201,$M113)&gt;0,
     COUNTIFS($AA$3:$AA$201,$M113)&gt;0,
     COUNTIFS($AB$3:$AB$201,$M113)&gt;0,
     COUNTIFS($AC$3:$AC$201,$M113)&gt;0,
     COUNTIFS($AD$3:$AD$201,$M113)&gt;0,
     COUNTIFS($AE$3:$AE$201,$M113)&gt;0,
     COUNTIFS($AF$3:$AF$201,$M113)&gt;0,
     COUNTIFS($AG$3:$AG$201,$M113)&gt;0,
     COUNTIFS($AH$3:$AH$201,$M113)&gt;0,
     COUNTIFS($AI$3:$AI$201,$M113)&gt;0,
     COUNTIFS($AJ$3:$AJ$201,$M113)&gt;0,
     COUNTIFS($AK$3:$AK$201,$M113)&gt;0,
     COUNTIFS($AL$3:$AL$201,$M113)&gt;0,
     COUNTIFS($AM$3:$AM$201,$M113)&gt;0,
     COUNTIFS($AN$3:$AN$201,$M113)&gt;0,
     COUNTIFS($AO$3:$AO$201,$M113)&gt;0,
     COUNTIFS($AP$3:$AP$201,$M113)&gt;0,
     COUNTIFS($AQ$3:$AQ$201,$M113)&gt;0,
     COUNTIFS($AR$3:$AR$201,$M113)&gt;0,
     COUNTIFS($AS$3:$AS$201,$M113)&gt;0,
     COUNTIFS($AT$3:$AT$201,$M113)&gt;0,
     COUNTIFS($AU$3:$AU$201,$M113)&gt;0,
     COUNTIFS($AV$3:$AV$201,$M113)&gt;0,
     COUNTIFS($AW$3:$AW$201,$M113)&gt;0,
     COUNTIFS($AX$3:$AX$201,$M113)&gt;0
   )),
  ),
  2
 ),
"")</f>
        <v/>
      </c>
      <c r="Q113" s="2" t="str" cm="1">
        <f t="array" aca="1" ref="Q113" ca="1">IFERROR(
 INDEX(
  _xlfn._xlws.FILTER($U$2:$AX$2,
   TRANSPOSE(
    CHOOSE({1;2;3;4;5;6;7;8;9;10;11;12;13;14;15;16;17;18;19;20;21;22;23;24;25;26;27;28;29;30},
     COUNTIFS($U$3:$U$201,$M113)&gt;0,
     COUNTIFS($V$3:$V$201,$M113)&gt;0,
     COUNTIFS($W$3:$W$201,$M113)&gt;0,
     COUNTIFS($X$3:$X$201,$M113)&gt;0,
     COUNTIFS($Y$3:$Y$201,$M113)&gt;0,
     COUNTIFS($Z$3:$Z$201,$M113)&gt;0,
     COUNTIFS($AA$3:$AA$201,$M113)&gt;0,
     COUNTIFS($AB$3:$AB$201,$M113)&gt;0,
     COUNTIFS($AC$3:$AC$201,$M113)&gt;0,
     COUNTIFS($AD$3:$AD$201,$M113)&gt;0,
     COUNTIFS($AE$3:$AE$201,$M113)&gt;0,
     COUNTIFS($AF$3:$AF$201,$M113)&gt;0,
     COUNTIFS($AG$3:$AG$201,$M113)&gt;0,
     COUNTIFS($AH$3:$AH$201,$M113)&gt;0,
     COUNTIFS($AI$3:$AI$201,$M113)&gt;0,
     COUNTIFS($AJ$3:$AJ$201,$M113)&gt;0,
     COUNTIFS($AK$3:$AK$201,$M113)&gt;0,
     COUNTIFS($AL$3:$AL$201,$M113)&gt;0,
     COUNTIFS($AM$3:$AM$201,$M113)&gt;0,
     COUNTIFS($AN$3:$AN$201,$M113)&gt;0,
     COUNTIFS($AO$3:$AO$201,$M113)&gt;0,
     COUNTIFS($AP$3:$AP$201,$M113)&gt;0,
     COUNTIFS($AQ$3:$AQ$201,$M113)&gt;0,
     COUNTIFS($AR$3:$AR$201,$M113)&gt;0,
     COUNTIFS($AS$3:$AS$201,$M113)&gt;0,
     COUNTIFS($AT$3:$AT$201,$M113)&gt;0,
     COUNTIFS($AU$3:$AU$201,$M113)&gt;0,
     COUNTIFS($AV$3:$AV$201,$M113)&gt;0,
     COUNTIFS($AW$3:$AW$201,$M113)&gt;0,
     COUNTIFS($AX$3:$AX$201,$M113)&gt;0
   )),
  ),
  3
 ),
"")</f>
        <v/>
      </c>
      <c r="EO113" t="str">
        <f ca="1"/>
        <v>Reclaim</v>
      </c>
      <c r="ET113" t="str">
        <f ca="1"/>
        <v>Lonis, Cryptozoologist</v>
      </c>
      <c r="EW113" t="str">
        <f ca="1"/>
        <v>Life Insurance</v>
      </c>
    </row>
    <row r="114" spans="1:153" x14ac:dyDescent="0.25">
      <c r="A114" t="str">
        <f ca="1"/>
        <v>Cycle of Renewal</v>
      </c>
      <c r="B114" s="2" t="str" cm="1">
        <f t="array" aca="1" ref="B114" ca="1">_xlfn.ANCHORARRAY(RESUMO!C113)</f>
        <v>4cRash</v>
      </c>
      <c r="C114" s="2" t="str">
        <f t="shared" ca="1" si="4"/>
        <v/>
      </c>
      <c r="E114" t="str">
        <f ca="1"/>
        <v>Lifecrafter's Bestiary</v>
      </c>
      <c r="F114" s="2">
        <f t="shared" ca="1" si="7"/>
        <v>1</v>
      </c>
      <c r="G114" s="2" t="str">
        <f t="shared" ca="1" si="5"/>
        <v>Kumena</v>
      </c>
      <c r="J114" t="s">
        <v>180</v>
      </c>
      <c r="K114" s="2">
        <v>1</v>
      </c>
      <c r="M114" t="str">
        <f ca="1"/>
        <v>Lifecrafter's Bestiary</v>
      </c>
      <c r="N114" s="2">
        <f t="shared" ca="1" si="6"/>
        <v>1</v>
      </c>
      <c r="O114" s="2" t="str">
        <f ca="1">IFERROR(
 INDEX($U$2:$AX$2,
  MATCH(TRUE,
   CHOOSE({1;2;3;4;5;6;7;8;9;10;11;12;13;14;15;16;17;18;19;20;21;22;23;24;25;26;27;28;29;30;31;32},
    COUNTIFS($U$3:$U$201,$M114)&gt;0,
    COUNTIFS($V$3:$V$201,$M114)&gt;0,
    COUNTIFS($W$3:$W$201,$M114)&gt;0,
    COUNTIFS($X$3:$X$201,$M114)&gt;0,
    COUNTIFS($Y$3:$Y$201,$M114)&gt;0,
    COUNTIFS($Z$3:$Z$201,$M114)&gt;0,
    COUNTIFS($AA$3:$AA$201,$M114)&gt;0,
    COUNTIFS($AB$3:$AB$201,$M114)&gt;0,
    COUNTIFS($AC$3:$AC$201,$M114)&gt;0,
    COUNTIFS($AD$3:$AD$201,$M114)&gt;0,
    COUNTIFS($AE$3:$AE$201,$M114)&gt;0,
    COUNTIFS($AF$3:$AF$201,$M114)&gt;0,
    COUNTIFS($AG$3:$AG$201,$M114)&gt;0,
    COUNTIFS($AH$3:$AH$201,$M114)&gt;0,
    COUNTIFS($AI$3:$AI$201,$M114)&gt;0,
    COUNTIFS($AJ$3:$AJ$201,$M114)&gt;0,
    COUNTIFS($AK$3:$AK$201,$M114)&gt;0,
    COUNTIFS($AL$3:$AL$201,$M114)&gt;0,
    COUNTIFS($AM$3:$AM$201,$M114)&gt;0,
    COUNTIFS($AN$3:$AN$201,$M114)&gt;0,
    COUNTIFS($AO$3:$AO$201,$M114)&gt;0,
    COUNTIFS($AP$3:$AP$201,$M114)&gt;0,
    COUNTIFS($AQ$3:$AQ$201,$M114)&gt;0,
    COUNTIFS($AR$3:$AR$201,$M114)&gt;0,
    COUNTIFS($AS$3:$AS$201,$M114)&gt;0,
    COUNTIFS($AT$3:$AT$201,$M114)&gt;0,
    COUNTIFS($AU$3:$AU$201,$M114)&gt;0,
    COUNTIFS($AV$3:$AV$201,$M114)&gt;0,
    COUNTIFS($AW$3:$AW$201,$M114)&gt;0,
    COUNTIFS($AX$3:$AX$201,$M114)&gt;0
   ),
  0)
 ),
"")</f>
        <v>Kumena</v>
      </c>
      <c r="P114" s="2" t="str" cm="1">
        <f t="array" aca="1" ref="P114" ca="1">IFERROR(
 INDEX(
  _xlfn._xlws.FILTER($U$2:$AX$2,
   TRANSPOSE(
    CHOOSE({1;2;3;4;5;6;7;8;9;10;11;12;13;14;15;16;17;18;19;20;21;22;23;24;25;26;27;28;29;30},
     COUNTIFS($U$3:$U$201,$M114)&gt;0,
     COUNTIFS($V$3:$V$201,$M114)&gt;0,
     COUNTIFS($W$3:$W$201,$M114)&gt;0,
     COUNTIFS($X$3:$X$201,$M114)&gt;0,
     COUNTIFS($Y$3:$Y$201,$M114)&gt;0,
     COUNTIFS($Z$3:$Z$201,$M114)&gt;0,
     COUNTIFS($AA$3:$AA$201,$M114)&gt;0,
     COUNTIFS($AB$3:$AB$201,$M114)&gt;0,
     COUNTIFS($AC$3:$AC$201,$M114)&gt;0,
     COUNTIFS($AD$3:$AD$201,$M114)&gt;0,
     COUNTIFS($AE$3:$AE$201,$M114)&gt;0,
     COUNTIFS($AF$3:$AF$201,$M114)&gt;0,
     COUNTIFS($AG$3:$AG$201,$M114)&gt;0,
     COUNTIFS($AH$3:$AH$201,$M114)&gt;0,
     COUNTIFS($AI$3:$AI$201,$M114)&gt;0,
     COUNTIFS($AJ$3:$AJ$201,$M114)&gt;0,
     COUNTIFS($AK$3:$AK$201,$M114)&gt;0,
     COUNTIFS($AL$3:$AL$201,$M114)&gt;0,
     COUNTIFS($AM$3:$AM$201,$M114)&gt;0,
     COUNTIFS($AN$3:$AN$201,$M114)&gt;0,
     COUNTIFS($AO$3:$AO$201,$M114)&gt;0,
     COUNTIFS($AP$3:$AP$201,$M114)&gt;0,
     COUNTIFS($AQ$3:$AQ$201,$M114)&gt;0,
     COUNTIFS($AR$3:$AR$201,$M114)&gt;0,
     COUNTIFS($AS$3:$AS$201,$M114)&gt;0,
     COUNTIFS($AT$3:$AT$201,$M114)&gt;0,
     COUNTIFS($AU$3:$AU$201,$M114)&gt;0,
     COUNTIFS($AV$3:$AV$201,$M114)&gt;0,
     COUNTIFS($AW$3:$AW$201,$M114)&gt;0,
     COUNTIFS($AX$3:$AX$201,$M114)&gt;0
   )),
  ),
  2
 ),
"")</f>
        <v/>
      </c>
      <c r="Q114" s="2" t="str" cm="1">
        <f t="array" aca="1" ref="Q114" ca="1">IFERROR(
 INDEX(
  _xlfn._xlws.FILTER($U$2:$AX$2,
   TRANSPOSE(
    CHOOSE({1;2;3;4;5;6;7;8;9;10;11;12;13;14;15;16;17;18;19;20;21;22;23;24;25;26;27;28;29;30},
     COUNTIFS($U$3:$U$201,$M114)&gt;0,
     COUNTIFS($V$3:$V$201,$M114)&gt;0,
     COUNTIFS($W$3:$W$201,$M114)&gt;0,
     COUNTIFS($X$3:$X$201,$M114)&gt;0,
     COUNTIFS($Y$3:$Y$201,$M114)&gt;0,
     COUNTIFS($Z$3:$Z$201,$M114)&gt;0,
     COUNTIFS($AA$3:$AA$201,$M114)&gt;0,
     COUNTIFS($AB$3:$AB$201,$M114)&gt;0,
     COUNTIFS($AC$3:$AC$201,$M114)&gt;0,
     COUNTIFS($AD$3:$AD$201,$M114)&gt;0,
     COUNTIFS($AE$3:$AE$201,$M114)&gt;0,
     COUNTIFS($AF$3:$AF$201,$M114)&gt;0,
     COUNTIFS($AG$3:$AG$201,$M114)&gt;0,
     COUNTIFS($AH$3:$AH$201,$M114)&gt;0,
     COUNTIFS($AI$3:$AI$201,$M114)&gt;0,
     COUNTIFS($AJ$3:$AJ$201,$M114)&gt;0,
     COUNTIFS($AK$3:$AK$201,$M114)&gt;0,
     COUNTIFS($AL$3:$AL$201,$M114)&gt;0,
     COUNTIFS($AM$3:$AM$201,$M114)&gt;0,
     COUNTIFS($AN$3:$AN$201,$M114)&gt;0,
     COUNTIFS($AO$3:$AO$201,$M114)&gt;0,
     COUNTIFS($AP$3:$AP$201,$M114)&gt;0,
     COUNTIFS($AQ$3:$AQ$201,$M114)&gt;0,
     COUNTIFS($AR$3:$AR$201,$M114)&gt;0,
     COUNTIFS($AS$3:$AS$201,$M114)&gt;0,
     COUNTIFS($AT$3:$AT$201,$M114)&gt;0,
     COUNTIFS($AU$3:$AU$201,$M114)&gt;0,
     COUNTIFS($AV$3:$AV$201,$M114)&gt;0,
     COUNTIFS($AW$3:$AW$201,$M114)&gt;0,
     COUNTIFS($AX$3:$AX$201,$M114)&gt;0
   )),
  ),
  3
 ),
"")</f>
        <v/>
      </c>
      <c r="EO114" t="str">
        <f ca="1"/>
        <v>Repudiate // Replicate</v>
      </c>
      <c r="ET114" t="str">
        <f ca="1"/>
        <v>Lotho, Corrupt Shirriff</v>
      </c>
      <c r="EW114" t="str">
        <f ca="1"/>
        <v>Lifecrafter's Bestiary</v>
      </c>
    </row>
    <row r="115" spans="1:153" x14ac:dyDescent="0.25">
      <c r="A115" t="str">
        <f ca="1"/>
        <v>Damping Sphere</v>
      </c>
      <c r="B115" s="2" t="str" cm="1">
        <f t="array" aca="1" ref="B115" ca="1">_xlfn.ANCHORARRAY(RESUMO!C114)</f>
        <v>Alela</v>
      </c>
      <c r="C115" s="2" t="str">
        <f t="shared" ca="1" si="4"/>
        <v/>
      </c>
      <c r="E115" t="str">
        <f ca="1"/>
        <v>Lifecreed Duo</v>
      </c>
      <c r="F115" s="2">
        <f t="shared" ca="1" si="7"/>
        <v>1</v>
      </c>
      <c r="G115" s="2" t="str">
        <f t="shared" ca="1" si="5"/>
        <v>Carlos</v>
      </c>
      <c r="J115" t="s">
        <v>180</v>
      </c>
      <c r="K115" s="2">
        <v>1</v>
      </c>
      <c r="M115" t="str">
        <f ca="1"/>
        <v>Lifecreed Duo</v>
      </c>
      <c r="N115" s="2">
        <f t="shared" ca="1" si="6"/>
        <v>1</v>
      </c>
      <c r="O115" s="2" t="str">
        <f ca="1">IFERROR(
 INDEX($U$2:$AX$2,
  MATCH(TRUE,
   CHOOSE({1;2;3;4;5;6;7;8;9;10;11;12;13;14;15;16;17;18;19;20;21;22;23;24;25;26;27;28;29;30;31;32},
    COUNTIFS($U$3:$U$201,$M115)&gt;0,
    COUNTIFS($V$3:$V$201,$M115)&gt;0,
    COUNTIFS($W$3:$W$201,$M115)&gt;0,
    COUNTIFS($X$3:$X$201,$M115)&gt;0,
    COUNTIFS($Y$3:$Y$201,$M115)&gt;0,
    COUNTIFS($Z$3:$Z$201,$M115)&gt;0,
    COUNTIFS($AA$3:$AA$201,$M115)&gt;0,
    COUNTIFS($AB$3:$AB$201,$M115)&gt;0,
    COUNTIFS($AC$3:$AC$201,$M115)&gt;0,
    COUNTIFS($AD$3:$AD$201,$M115)&gt;0,
    COUNTIFS($AE$3:$AE$201,$M115)&gt;0,
    COUNTIFS($AF$3:$AF$201,$M115)&gt;0,
    COUNTIFS($AG$3:$AG$201,$M115)&gt;0,
    COUNTIFS($AH$3:$AH$201,$M115)&gt;0,
    COUNTIFS($AI$3:$AI$201,$M115)&gt;0,
    COUNTIFS($AJ$3:$AJ$201,$M115)&gt;0,
    COUNTIFS($AK$3:$AK$201,$M115)&gt;0,
    COUNTIFS($AL$3:$AL$201,$M115)&gt;0,
    COUNTIFS($AM$3:$AM$201,$M115)&gt;0,
    COUNTIFS($AN$3:$AN$201,$M115)&gt;0,
    COUNTIFS($AO$3:$AO$201,$M115)&gt;0,
    COUNTIFS($AP$3:$AP$201,$M115)&gt;0,
    COUNTIFS($AQ$3:$AQ$201,$M115)&gt;0,
    COUNTIFS($AR$3:$AR$201,$M115)&gt;0,
    COUNTIFS($AS$3:$AS$201,$M115)&gt;0,
    COUNTIFS($AT$3:$AT$201,$M115)&gt;0,
    COUNTIFS($AU$3:$AU$201,$M115)&gt;0,
    COUNTIFS($AV$3:$AV$201,$M115)&gt;0,
    COUNTIFS($AW$3:$AW$201,$M115)&gt;0,
    COUNTIFS($AX$3:$AX$201,$M115)&gt;0
   ),
  0)
 ),
"")</f>
        <v>Carlos</v>
      </c>
      <c r="P115" s="2" t="str" cm="1">
        <f t="array" aca="1" ref="P115" ca="1">IFERROR(
 INDEX(
  _xlfn._xlws.FILTER($U$2:$AX$2,
   TRANSPOSE(
    CHOOSE({1;2;3;4;5;6;7;8;9;10;11;12;13;14;15;16;17;18;19;20;21;22;23;24;25;26;27;28;29;30},
     COUNTIFS($U$3:$U$201,$M115)&gt;0,
     COUNTIFS($V$3:$V$201,$M115)&gt;0,
     COUNTIFS($W$3:$W$201,$M115)&gt;0,
     COUNTIFS($X$3:$X$201,$M115)&gt;0,
     COUNTIFS($Y$3:$Y$201,$M115)&gt;0,
     COUNTIFS($Z$3:$Z$201,$M115)&gt;0,
     COUNTIFS($AA$3:$AA$201,$M115)&gt;0,
     COUNTIFS($AB$3:$AB$201,$M115)&gt;0,
     COUNTIFS($AC$3:$AC$201,$M115)&gt;0,
     COUNTIFS($AD$3:$AD$201,$M115)&gt;0,
     COUNTIFS($AE$3:$AE$201,$M115)&gt;0,
     COUNTIFS($AF$3:$AF$201,$M115)&gt;0,
     COUNTIFS($AG$3:$AG$201,$M115)&gt;0,
     COUNTIFS($AH$3:$AH$201,$M115)&gt;0,
     COUNTIFS($AI$3:$AI$201,$M115)&gt;0,
     COUNTIFS($AJ$3:$AJ$201,$M115)&gt;0,
     COUNTIFS($AK$3:$AK$201,$M115)&gt;0,
     COUNTIFS($AL$3:$AL$201,$M115)&gt;0,
     COUNTIFS($AM$3:$AM$201,$M115)&gt;0,
     COUNTIFS($AN$3:$AN$201,$M115)&gt;0,
     COUNTIFS($AO$3:$AO$201,$M115)&gt;0,
     COUNTIFS($AP$3:$AP$201,$M115)&gt;0,
     COUNTIFS($AQ$3:$AQ$201,$M115)&gt;0,
     COUNTIFS($AR$3:$AR$201,$M115)&gt;0,
     COUNTIFS($AS$3:$AS$201,$M115)&gt;0,
     COUNTIFS($AT$3:$AT$201,$M115)&gt;0,
     COUNTIFS($AU$3:$AU$201,$M115)&gt;0,
     COUNTIFS($AV$3:$AV$201,$M115)&gt;0,
     COUNTIFS($AW$3:$AW$201,$M115)&gt;0,
     COUNTIFS($AX$3:$AX$201,$M115)&gt;0
   )),
  ),
  2
 ),
"")</f>
        <v/>
      </c>
      <c r="Q115" s="2" t="str" cm="1">
        <f t="array" aca="1" ref="Q115" ca="1">IFERROR(
 INDEX(
  _xlfn._xlws.FILTER($U$2:$AX$2,
   TRANSPOSE(
    CHOOSE({1;2;3;4;5;6;7;8;9;10;11;12;13;14;15;16;17;18;19;20;21;22;23;24;25;26;27;28;29;30},
     COUNTIFS($U$3:$U$201,$M115)&gt;0,
     COUNTIFS($V$3:$V$201,$M115)&gt;0,
     COUNTIFS($W$3:$W$201,$M115)&gt;0,
     COUNTIFS($X$3:$X$201,$M115)&gt;0,
     COUNTIFS($Y$3:$Y$201,$M115)&gt;0,
     COUNTIFS($Z$3:$Z$201,$M115)&gt;0,
     COUNTIFS($AA$3:$AA$201,$M115)&gt;0,
     COUNTIFS($AB$3:$AB$201,$M115)&gt;0,
     COUNTIFS($AC$3:$AC$201,$M115)&gt;0,
     COUNTIFS($AD$3:$AD$201,$M115)&gt;0,
     COUNTIFS($AE$3:$AE$201,$M115)&gt;0,
     COUNTIFS($AF$3:$AF$201,$M115)&gt;0,
     COUNTIFS($AG$3:$AG$201,$M115)&gt;0,
     COUNTIFS($AH$3:$AH$201,$M115)&gt;0,
     COUNTIFS($AI$3:$AI$201,$M115)&gt;0,
     COUNTIFS($AJ$3:$AJ$201,$M115)&gt;0,
     COUNTIFS($AK$3:$AK$201,$M115)&gt;0,
     COUNTIFS($AL$3:$AL$201,$M115)&gt;0,
     COUNTIFS($AM$3:$AM$201,$M115)&gt;0,
     COUNTIFS($AN$3:$AN$201,$M115)&gt;0,
     COUNTIFS($AO$3:$AO$201,$M115)&gt;0,
     COUNTIFS($AP$3:$AP$201,$M115)&gt;0,
     COUNTIFS($AQ$3:$AQ$201,$M115)&gt;0,
     COUNTIFS($AR$3:$AR$201,$M115)&gt;0,
     COUNTIFS($AS$3:$AS$201,$M115)&gt;0,
     COUNTIFS($AT$3:$AT$201,$M115)&gt;0,
     COUNTIFS($AU$3:$AU$201,$M115)&gt;0,
     COUNTIFS($AV$3:$AV$201,$M115)&gt;0,
     COUNTIFS($AW$3:$AW$201,$M115)&gt;0,
     COUNTIFS($AX$3:$AX$201,$M115)&gt;0
   )),
  ),
  3
 ),
"")</f>
        <v/>
      </c>
      <c r="EO115" t="str">
        <f ca="1"/>
        <v>Retreat to Hagra</v>
      </c>
      <c r="ET115" t="str">
        <f ca="1"/>
        <v>Mage Slayer</v>
      </c>
      <c r="EW115" t="str">
        <f ca="1"/>
        <v>Lifecreed Duo</v>
      </c>
    </row>
    <row r="116" spans="1:153" x14ac:dyDescent="0.25">
      <c r="A116" t="str">
        <f ca="1"/>
        <v>Daretti, Ingenious Iconoclast</v>
      </c>
      <c r="B116" s="2" t="str" cm="1">
        <f t="array" aca="1" ref="B116" ca="1">_xlfn.ANCHORARRAY(RESUMO!C115)</f>
        <v>Breya</v>
      </c>
      <c r="C116" s="2" t="str">
        <f t="shared" ca="1" si="4"/>
        <v/>
      </c>
      <c r="E116" t="str">
        <f ca="1"/>
        <v>Lightning Spear</v>
      </c>
      <c r="F116" s="2">
        <f t="shared" ca="1" si="7"/>
        <v>1</v>
      </c>
      <c r="G116" s="2" t="str">
        <f t="shared" ca="1" si="5"/>
        <v>Akiri</v>
      </c>
      <c r="J116" t="s">
        <v>180</v>
      </c>
      <c r="K116" s="2">
        <v>1</v>
      </c>
      <c r="M116" t="str">
        <f ca="1"/>
        <v>Lightning Spear</v>
      </c>
      <c r="N116" s="2">
        <f t="shared" ca="1" si="6"/>
        <v>1</v>
      </c>
      <c r="O116" s="2" t="str">
        <f ca="1">IFERROR(
 INDEX($U$2:$AX$2,
  MATCH(TRUE,
   CHOOSE({1;2;3;4;5;6;7;8;9;10;11;12;13;14;15;16;17;18;19;20;21;22;23;24;25;26;27;28;29;30;31;32},
    COUNTIFS($U$3:$U$201,$M116)&gt;0,
    COUNTIFS($V$3:$V$201,$M116)&gt;0,
    COUNTIFS($W$3:$W$201,$M116)&gt;0,
    COUNTIFS($X$3:$X$201,$M116)&gt;0,
    COUNTIFS($Y$3:$Y$201,$M116)&gt;0,
    COUNTIFS($Z$3:$Z$201,$M116)&gt;0,
    COUNTIFS($AA$3:$AA$201,$M116)&gt;0,
    COUNTIFS($AB$3:$AB$201,$M116)&gt;0,
    COUNTIFS($AC$3:$AC$201,$M116)&gt;0,
    COUNTIFS($AD$3:$AD$201,$M116)&gt;0,
    COUNTIFS($AE$3:$AE$201,$M116)&gt;0,
    COUNTIFS($AF$3:$AF$201,$M116)&gt;0,
    COUNTIFS($AG$3:$AG$201,$M116)&gt;0,
    COUNTIFS($AH$3:$AH$201,$M116)&gt;0,
    COUNTIFS($AI$3:$AI$201,$M116)&gt;0,
    COUNTIFS($AJ$3:$AJ$201,$M116)&gt;0,
    COUNTIFS($AK$3:$AK$201,$M116)&gt;0,
    COUNTIFS($AL$3:$AL$201,$M116)&gt;0,
    COUNTIFS($AM$3:$AM$201,$M116)&gt;0,
    COUNTIFS($AN$3:$AN$201,$M116)&gt;0,
    COUNTIFS($AO$3:$AO$201,$M116)&gt;0,
    COUNTIFS($AP$3:$AP$201,$M116)&gt;0,
    COUNTIFS($AQ$3:$AQ$201,$M116)&gt;0,
    COUNTIFS($AR$3:$AR$201,$M116)&gt;0,
    COUNTIFS($AS$3:$AS$201,$M116)&gt;0,
    COUNTIFS($AT$3:$AT$201,$M116)&gt;0,
    COUNTIFS($AU$3:$AU$201,$M116)&gt;0,
    COUNTIFS($AV$3:$AV$201,$M116)&gt;0,
    COUNTIFS($AW$3:$AW$201,$M116)&gt;0,
    COUNTIFS($AX$3:$AX$201,$M116)&gt;0
   ),
  0)
 ),
"")</f>
        <v>Akiri</v>
      </c>
      <c r="P116" s="2" t="str" cm="1">
        <f t="array" aca="1" ref="P116" ca="1">IFERROR(
 INDEX(
  _xlfn._xlws.FILTER($U$2:$AX$2,
   TRANSPOSE(
    CHOOSE({1;2;3;4;5;6;7;8;9;10;11;12;13;14;15;16;17;18;19;20;21;22;23;24;25;26;27;28;29;30},
     COUNTIFS($U$3:$U$201,$M116)&gt;0,
     COUNTIFS($V$3:$V$201,$M116)&gt;0,
     COUNTIFS($W$3:$W$201,$M116)&gt;0,
     COUNTIFS($X$3:$X$201,$M116)&gt;0,
     COUNTIFS($Y$3:$Y$201,$M116)&gt;0,
     COUNTIFS($Z$3:$Z$201,$M116)&gt;0,
     COUNTIFS($AA$3:$AA$201,$M116)&gt;0,
     COUNTIFS($AB$3:$AB$201,$M116)&gt;0,
     COUNTIFS($AC$3:$AC$201,$M116)&gt;0,
     COUNTIFS($AD$3:$AD$201,$M116)&gt;0,
     COUNTIFS($AE$3:$AE$201,$M116)&gt;0,
     COUNTIFS($AF$3:$AF$201,$M116)&gt;0,
     COUNTIFS($AG$3:$AG$201,$M116)&gt;0,
     COUNTIFS($AH$3:$AH$201,$M116)&gt;0,
     COUNTIFS($AI$3:$AI$201,$M116)&gt;0,
     COUNTIFS($AJ$3:$AJ$201,$M116)&gt;0,
     COUNTIFS($AK$3:$AK$201,$M116)&gt;0,
     COUNTIFS($AL$3:$AL$201,$M116)&gt;0,
     COUNTIFS($AM$3:$AM$201,$M116)&gt;0,
     COUNTIFS($AN$3:$AN$201,$M116)&gt;0,
     COUNTIFS($AO$3:$AO$201,$M116)&gt;0,
     COUNTIFS($AP$3:$AP$201,$M116)&gt;0,
     COUNTIFS($AQ$3:$AQ$201,$M116)&gt;0,
     COUNTIFS($AR$3:$AR$201,$M116)&gt;0,
     COUNTIFS($AS$3:$AS$201,$M116)&gt;0,
     COUNTIFS($AT$3:$AT$201,$M116)&gt;0,
     COUNTIFS($AU$3:$AU$201,$M116)&gt;0,
     COUNTIFS($AV$3:$AV$201,$M116)&gt;0,
     COUNTIFS($AW$3:$AW$201,$M116)&gt;0,
     COUNTIFS($AX$3:$AX$201,$M116)&gt;0
   )),
  ),
  2
 ),
"")</f>
        <v/>
      </c>
      <c r="Q116" s="2" t="str" cm="1">
        <f t="array" aca="1" ref="Q116" ca="1">IFERROR(
 INDEX(
  _xlfn._xlws.FILTER($U$2:$AX$2,
   TRANSPOSE(
    CHOOSE({1;2;3;4;5;6;7;8;9;10;11;12;13;14;15;16;17;18;19;20;21;22;23;24;25;26;27;28;29;30},
     COUNTIFS($U$3:$U$201,$M116)&gt;0,
     COUNTIFS($V$3:$V$201,$M116)&gt;0,
     COUNTIFS($W$3:$W$201,$M116)&gt;0,
     COUNTIFS($X$3:$X$201,$M116)&gt;0,
     COUNTIFS($Y$3:$Y$201,$M116)&gt;0,
     COUNTIFS($Z$3:$Z$201,$M116)&gt;0,
     COUNTIFS($AA$3:$AA$201,$M116)&gt;0,
     COUNTIFS($AB$3:$AB$201,$M116)&gt;0,
     COUNTIFS($AC$3:$AC$201,$M116)&gt;0,
     COUNTIFS($AD$3:$AD$201,$M116)&gt;0,
     COUNTIFS($AE$3:$AE$201,$M116)&gt;0,
     COUNTIFS($AF$3:$AF$201,$M116)&gt;0,
     COUNTIFS($AG$3:$AG$201,$M116)&gt;0,
     COUNTIFS($AH$3:$AH$201,$M116)&gt;0,
     COUNTIFS($AI$3:$AI$201,$M116)&gt;0,
     COUNTIFS($AJ$3:$AJ$201,$M116)&gt;0,
     COUNTIFS($AK$3:$AK$201,$M116)&gt;0,
     COUNTIFS($AL$3:$AL$201,$M116)&gt;0,
     COUNTIFS($AM$3:$AM$201,$M116)&gt;0,
     COUNTIFS($AN$3:$AN$201,$M116)&gt;0,
     COUNTIFS($AO$3:$AO$201,$M116)&gt;0,
     COUNTIFS($AP$3:$AP$201,$M116)&gt;0,
     COUNTIFS($AQ$3:$AQ$201,$M116)&gt;0,
     COUNTIFS($AR$3:$AR$201,$M116)&gt;0,
     COUNTIFS($AS$3:$AS$201,$M116)&gt;0,
     COUNTIFS($AT$3:$AT$201,$M116)&gt;0,
     COUNTIFS($AU$3:$AU$201,$M116)&gt;0,
     COUNTIFS($AV$3:$AV$201,$M116)&gt;0,
     COUNTIFS($AW$3:$AW$201,$M116)&gt;0,
     COUNTIFS($AX$3:$AX$201,$M116)&gt;0
   )),
  ),
  3
 ),
"")</f>
        <v/>
      </c>
      <c r="EO116" t="str">
        <f ca="1"/>
        <v>Rosie Cotton of South Lane</v>
      </c>
      <c r="ET116" t="str">
        <f ca="1"/>
        <v>Mask of Memory</v>
      </c>
      <c r="EW116" t="str">
        <f ca="1"/>
        <v>Lightning Spear</v>
      </c>
    </row>
    <row r="117" spans="1:153" x14ac:dyDescent="0.25">
      <c r="A117" t="str">
        <f ca="1"/>
        <v>Darkheart Sliver</v>
      </c>
      <c r="B117" s="2" t="str" cm="1">
        <f t="array" aca="1" ref="B117" ca="1">_xlfn.ANCHORARRAY(RESUMO!C116)</f>
        <v>Fractius</v>
      </c>
      <c r="C117" s="2" t="str">
        <f t="shared" ca="1" si="4"/>
        <v/>
      </c>
      <c r="E117" t="str">
        <f ca="1"/>
        <v>Lonis, Cryptozoologist</v>
      </c>
      <c r="F117" s="2">
        <f t="shared" ca="1" si="7"/>
        <v>1</v>
      </c>
      <c r="G117" s="2" t="str">
        <f t="shared" ca="1" si="5"/>
        <v>Kumena</v>
      </c>
      <c r="J117" t="s">
        <v>180</v>
      </c>
      <c r="K117" s="2">
        <v>1</v>
      </c>
      <c r="M117" t="str">
        <f ca="1"/>
        <v>Lonis, Cryptozoologist</v>
      </c>
      <c r="N117" s="2">
        <f t="shared" ca="1" si="6"/>
        <v>1</v>
      </c>
      <c r="O117" s="2" t="str">
        <f ca="1">IFERROR(
 INDEX($U$2:$AX$2,
  MATCH(TRUE,
   CHOOSE({1;2;3;4;5;6;7;8;9;10;11;12;13;14;15;16;17;18;19;20;21;22;23;24;25;26;27;28;29;30;31;32},
    COUNTIFS($U$3:$U$201,$M117)&gt;0,
    COUNTIFS($V$3:$V$201,$M117)&gt;0,
    COUNTIFS($W$3:$W$201,$M117)&gt;0,
    COUNTIFS($X$3:$X$201,$M117)&gt;0,
    COUNTIFS($Y$3:$Y$201,$M117)&gt;0,
    COUNTIFS($Z$3:$Z$201,$M117)&gt;0,
    COUNTIFS($AA$3:$AA$201,$M117)&gt;0,
    COUNTIFS($AB$3:$AB$201,$M117)&gt;0,
    COUNTIFS($AC$3:$AC$201,$M117)&gt;0,
    COUNTIFS($AD$3:$AD$201,$M117)&gt;0,
    COUNTIFS($AE$3:$AE$201,$M117)&gt;0,
    COUNTIFS($AF$3:$AF$201,$M117)&gt;0,
    COUNTIFS($AG$3:$AG$201,$M117)&gt;0,
    COUNTIFS($AH$3:$AH$201,$M117)&gt;0,
    COUNTIFS($AI$3:$AI$201,$M117)&gt;0,
    COUNTIFS($AJ$3:$AJ$201,$M117)&gt;0,
    COUNTIFS($AK$3:$AK$201,$M117)&gt;0,
    COUNTIFS($AL$3:$AL$201,$M117)&gt;0,
    COUNTIFS($AM$3:$AM$201,$M117)&gt;0,
    COUNTIFS($AN$3:$AN$201,$M117)&gt;0,
    COUNTIFS($AO$3:$AO$201,$M117)&gt;0,
    COUNTIFS($AP$3:$AP$201,$M117)&gt;0,
    COUNTIFS($AQ$3:$AQ$201,$M117)&gt;0,
    COUNTIFS($AR$3:$AR$201,$M117)&gt;0,
    COUNTIFS($AS$3:$AS$201,$M117)&gt;0,
    COUNTIFS($AT$3:$AT$201,$M117)&gt;0,
    COUNTIFS($AU$3:$AU$201,$M117)&gt;0,
    COUNTIFS($AV$3:$AV$201,$M117)&gt;0,
    COUNTIFS($AW$3:$AW$201,$M117)&gt;0,
    COUNTIFS($AX$3:$AX$201,$M117)&gt;0
   ),
  0)
 ),
"")</f>
        <v>Kumena</v>
      </c>
      <c r="P117" s="2" t="str" cm="1">
        <f t="array" aca="1" ref="P117" ca="1">IFERROR(
 INDEX(
  _xlfn._xlws.FILTER($U$2:$AX$2,
   TRANSPOSE(
    CHOOSE({1;2;3;4;5;6;7;8;9;10;11;12;13;14;15;16;17;18;19;20;21;22;23;24;25;26;27;28;29;30},
     COUNTIFS($U$3:$U$201,$M117)&gt;0,
     COUNTIFS($V$3:$V$201,$M117)&gt;0,
     COUNTIFS($W$3:$W$201,$M117)&gt;0,
     COUNTIFS($X$3:$X$201,$M117)&gt;0,
     COUNTIFS($Y$3:$Y$201,$M117)&gt;0,
     COUNTIFS($Z$3:$Z$201,$M117)&gt;0,
     COUNTIFS($AA$3:$AA$201,$M117)&gt;0,
     COUNTIFS($AB$3:$AB$201,$M117)&gt;0,
     COUNTIFS($AC$3:$AC$201,$M117)&gt;0,
     COUNTIFS($AD$3:$AD$201,$M117)&gt;0,
     COUNTIFS($AE$3:$AE$201,$M117)&gt;0,
     COUNTIFS($AF$3:$AF$201,$M117)&gt;0,
     COUNTIFS($AG$3:$AG$201,$M117)&gt;0,
     COUNTIFS($AH$3:$AH$201,$M117)&gt;0,
     COUNTIFS($AI$3:$AI$201,$M117)&gt;0,
     COUNTIFS($AJ$3:$AJ$201,$M117)&gt;0,
     COUNTIFS($AK$3:$AK$201,$M117)&gt;0,
     COUNTIFS($AL$3:$AL$201,$M117)&gt;0,
     COUNTIFS($AM$3:$AM$201,$M117)&gt;0,
     COUNTIFS($AN$3:$AN$201,$M117)&gt;0,
     COUNTIFS($AO$3:$AO$201,$M117)&gt;0,
     COUNTIFS($AP$3:$AP$201,$M117)&gt;0,
     COUNTIFS($AQ$3:$AQ$201,$M117)&gt;0,
     COUNTIFS($AR$3:$AR$201,$M117)&gt;0,
     COUNTIFS($AS$3:$AS$201,$M117)&gt;0,
     COUNTIFS($AT$3:$AT$201,$M117)&gt;0,
     COUNTIFS($AU$3:$AU$201,$M117)&gt;0,
     COUNTIFS($AV$3:$AV$201,$M117)&gt;0,
     COUNTIFS($AW$3:$AW$201,$M117)&gt;0,
     COUNTIFS($AX$3:$AX$201,$M117)&gt;0
   )),
  ),
  2
 ),
"")</f>
        <v/>
      </c>
      <c r="Q117" s="2" t="str" cm="1">
        <f t="array" aca="1" ref="Q117" ca="1">IFERROR(
 INDEX(
  _xlfn._xlws.FILTER($U$2:$AX$2,
   TRANSPOSE(
    CHOOSE({1;2;3;4;5;6;7;8;9;10;11;12;13;14;15;16;17;18;19;20;21;22;23;24;25;26;27;28;29;30},
     COUNTIFS($U$3:$U$201,$M117)&gt;0,
     COUNTIFS($V$3:$V$201,$M117)&gt;0,
     COUNTIFS($W$3:$W$201,$M117)&gt;0,
     COUNTIFS($X$3:$X$201,$M117)&gt;0,
     COUNTIFS($Y$3:$Y$201,$M117)&gt;0,
     COUNTIFS($Z$3:$Z$201,$M117)&gt;0,
     COUNTIFS($AA$3:$AA$201,$M117)&gt;0,
     COUNTIFS($AB$3:$AB$201,$M117)&gt;0,
     COUNTIFS($AC$3:$AC$201,$M117)&gt;0,
     COUNTIFS($AD$3:$AD$201,$M117)&gt;0,
     COUNTIFS($AE$3:$AE$201,$M117)&gt;0,
     COUNTIFS($AF$3:$AF$201,$M117)&gt;0,
     COUNTIFS($AG$3:$AG$201,$M117)&gt;0,
     COUNTIFS($AH$3:$AH$201,$M117)&gt;0,
     COUNTIFS($AI$3:$AI$201,$M117)&gt;0,
     COUNTIFS($AJ$3:$AJ$201,$M117)&gt;0,
     COUNTIFS($AK$3:$AK$201,$M117)&gt;0,
     COUNTIFS($AL$3:$AL$201,$M117)&gt;0,
     COUNTIFS($AM$3:$AM$201,$M117)&gt;0,
     COUNTIFS($AN$3:$AN$201,$M117)&gt;0,
     COUNTIFS($AO$3:$AO$201,$M117)&gt;0,
     COUNTIFS($AP$3:$AP$201,$M117)&gt;0,
     COUNTIFS($AQ$3:$AQ$201,$M117)&gt;0,
     COUNTIFS($AR$3:$AR$201,$M117)&gt;0,
     COUNTIFS($AS$3:$AS$201,$M117)&gt;0,
     COUNTIFS($AT$3:$AT$201,$M117)&gt;0,
     COUNTIFS($AU$3:$AU$201,$M117)&gt;0,
     COUNTIFS($AV$3:$AV$201,$M117)&gt;0,
     COUNTIFS($AW$3:$AW$201,$M117)&gt;0,
     COUNTIFS($AX$3:$AX$201,$M117)&gt;0
   )),
  ),
  3
 ),
"")</f>
        <v/>
      </c>
      <c r="EO117" t="str">
        <f ca="1"/>
        <v>Royalty Assassin</v>
      </c>
      <c r="ET117" t="str">
        <f ca="1"/>
        <v>Master of Death</v>
      </c>
      <c r="EW117" t="str">
        <f ca="1"/>
        <v>Lonis, Cryptozoologist</v>
      </c>
    </row>
    <row r="118" spans="1:153" x14ac:dyDescent="0.25">
      <c r="A118" t="str">
        <f ca="1"/>
        <v>Dawnhand Dissident</v>
      </c>
      <c r="B118" s="2" t="str" cm="1">
        <f t="array" aca="1" ref="B118" ca="1">_xlfn.ANCHORARRAY(RESUMO!C117)</f>
        <v>Ool</v>
      </c>
      <c r="C118" s="2" t="str">
        <f t="shared" ca="1" si="4"/>
        <v/>
      </c>
      <c r="E118" t="str">
        <f ca="1"/>
        <v>Lotho, Corrupt Shirriff</v>
      </c>
      <c r="F118" s="2">
        <f t="shared" ca="1" si="7"/>
        <v>1</v>
      </c>
      <c r="G118" s="2" t="str">
        <f t="shared" ca="1" si="5"/>
        <v>OWA</v>
      </c>
      <c r="J118" t="s">
        <v>180</v>
      </c>
      <c r="K118" s="2">
        <v>1</v>
      </c>
      <c r="M118" t="str">
        <f ca="1"/>
        <v>Lotho, Corrupt Shirriff</v>
      </c>
      <c r="N118" s="2">
        <f t="shared" ca="1" si="6"/>
        <v>1</v>
      </c>
      <c r="O118" s="2" t="str">
        <f ca="1">IFERROR(
 INDEX($U$2:$AX$2,
  MATCH(TRUE,
   CHOOSE({1;2;3;4;5;6;7;8;9;10;11;12;13;14;15;16;17;18;19;20;21;22;23;24;25;26;27;28;29;30;31;32},
    COUNTIFS($U$3:$U$201,$M118)&gt;0,
    COUNTIFS($V$3:$V$201,$M118)&gt;0,
    COUNTIFS($W$3:$W$201,$M118)&gt;0,
    COUNTIFS($X$3:$X$201,$M118)&gt;0,
    COUNTIFS($Y$3:$Y$201,$M118)&gt;0,
    COUNTIFS($Z$3:$Z$201,$M118)&gt;0,
    COUNTIFS($AA$3:$AA$201,$M118)&gt;0,
    COUNTIFS($AB$3:$AB$201,$M118)&gt;0,
    COUNTIFS($AC$3:$AC$201,$M118)&gt;0,
    COUNTIFS($AD$3:$AD$201,$M118)&gt;0,
    COUNTIFS($AE$3:$AE$201,$M118)&gt;0,
    COUNTIFS($AF$3:$AF$201,$M118)&gt;0,
    COUNTIFS($AG$3:$AG$201,$M118)&gt;0,
    COUNTIFS($AH$3:$AH$201,$M118)&gt;0,
    COUNTIFS($AI$3:$AI$201,$M118)&gt;0,
    COUNTIFS($AJ$3:$AJ$201,$M118)&gt;0,
    COUNTIFS($AK$3:$AK$201,$M118)&gt;0,
    COUNTIFS($AL$3:$AL$201,$M118)&gt;0,
    COUNTIFS($AM$3:$AM$201,$M118)&gt;0,
    COUNTIFS($AN$3:$AN$201,$M118)&gt;0,
    COUNTIFS($AO$3:$AO$201,$M118)&gt;0,
    COUNTIFS($AP$3:$AP$201,$M118)&gt;0,
    COUNTIFS($AQ$3:$AQ$201,$M118)&gt;0,
    COUNTIFS($AR$3:$AR$201,$M118)&gt;0,
    COUNTIFS($AS$3:$AS$201,$M118)&gt;0,
    COUNTIFS($AT$3:$AT$201,$M118)&gt;0,
    COUNTIFS($AU$3:$AU$201,$M118)&gt;0,
    COUNTIFS($AV$3:$AV$201,$M118)&gt;0,
    COUNTIFS($AW$3:$AW$201,$M118)&gt;0,
    COUNTIFS($AX$3:$AX$201,$M118)&gt;0
   ),
  0)
 ),
"")</f>
        <v>OWA</v>
      </c>
      <c r="P118" s="2" t="str" cm="1">
        <f t="array" aca="1" ref="P118" ca="1">IFERROR(
 INDEX(
  _xlfn._xlws.FILTER($U$2:$AX$2,
   TRANSPOSE(
    CHOOSE({1;2;3;4;5;6;7;8;9;10;11;12;13;14;15;16;17;18;19;20;21;22;23;24;25;26;27;28;29;30},
     COUNTIFS($U$3:$U$201,$M118)&gt;0,
     COUNTIFS($V$3:$V$201,$M118)&gt;0,
     COUNTIFS($W$3:$W$201,$M118)&gt;0,
     COUNTIFS($X$3:$X$201,$M118)&gt;0,
     COUNTIFS($Y$3:$Y$201,$M118)&gt;0,
     COUNTIFS($Z$3:$Z$201,$M118)&gt;0,
     COUNTIFS($AA$3:$AA$201,$M118)&gt;0,
     COUNTIFS($AB$3:$AB$201,$M118)&gt;0,
     COUNTIFS($AC$3:$AC$201,$M118)&gt;0,
     COUNTIFS($AD$3:$AD$201,$M118)&gt;0,
     COUNTIFS($AE$3:$AE$201,$M118)&gt;0,
     COUNTIFS($AF$3:$AF$201,$M118)&gt;0,
     COUNTIFS($AG$3:$AG$201,$M118)&gt;0,
     COUNTIFS($AH$3:$AH$201,$M118)&gt;0,
     COUNTIFS($AI$3:$AI$201,$M118)&gt;0,
     COUNTIFS($AJ$3:$AJ$201,$M118)&gt;0,
     COUNTIFS($AK$3:$AK$201,$M118)&gt;0,
     COUNTIFS($AL$3:$AL$201,$M118)&gt;0,
     COUNTIFS($AM$3:$AM$201,$M118)&gt;0,
     COUNTIFS($AN$3:$AN$201,$M118)&gt;0,
     COUNTIFS($AO$3:$AO$201,$M118)&gt;0,
     COUNTIFS($AP$3:$AP$201,$M118)&gt;0,
     COUNTIFS($AQ$3:$AQ$201,$M118)&gt;0,
     COUNTIFS($AR$3:$AR$201,$M118)&gt;0,
     COUNTIFS($AS$3:$AS$201,$M118)&gt;0,
     COUNTIFS($AT$3:$AT$201,$M118)&gt;0,
     COUNTIFS($AU$3:$AU$201,$M118)&gt;0,
     COUNTIFS($AV$3:$AV$201,$M118)&gt;0,
     COUNTIFS($AW$3:$AW$201,$M118)&gt;0,
     COUNTIFS($AX$3:$AX$201,$M118)&gt;0
   )),
  ),
  2
 ),
"")</f>
        <v/>
      </c>
      <c r="Q118" s="2" t="str" cm="1">
        <f t="array" aca="1" ref="Q118" ca="1">IFERROR(
 INDEX(
  _xlfn._xlws.FILTER($U$2:$AX$2,
   TRANSPOSE(
    CHOOSE({1;2;3;4;5;6;7;8;9;10;11;12;13;14;15;16;17;18;19;20;21;22;23;24;25;26;27;28;29;30},
     COUNTIFS($U$3:$U$201,$M118)&gt;0,
     COUNTIFS($V$3:$V$201,$M118)&gt;0,
     COUNTIFS($W$3:$W$201,$M118)&gt;0,
     COUNTIFS($X$3:$X$201,$M118)&gt;0,
     COUNTIFS($Y$3:$Y$201,$M118)&gt;0,
     COUNTIFS($Z$3:$Z$201,$M118)&gt;0,
     COUNTIFS($AA$3:$AA$201,$M118)&gt;0,
     COUNTIFS($AB$3:$AB$201,$M118)&gt;0,
     COUNTIFS($AC$3:$AC$201,$M118)&gt;0,
     COUNTIFS($AD$3:$AD$201,$M118)&gt;0,
     COUNTIFS($AE$3:$AE$201,$M118)&gt;0,
     COUNTIFS($AF$3:$AF$201,$M118)&gt;0,
     COUNTIFS($AG$3:$AG$201,$M118)&gt;0,
     COUNTIFS($AH$3:$AH$201,$M118)&gt;0,
     COUNTIFS($AI$3:$AI$201,$M118)&gt;0,
     COUNTIFS($AJ$3:$AJ$201,$M118)&gt;0,
     COUNTIFS($AK$3:$AK$201,$M118)&gt;0,
     COUNTIFS($AL$3:$AL$201,$M118)&gt;0,
     COUNTIFS($AM$3:$AM$201,$M118)&gt;0,
     COUNTIFS($AN$3:$AN$201,$M118)&gt;0,
     COUNTIFS($AO$3:$AO$201,$M118)&gt;0,
     COUNTIFS($AP$3:$AP$201,$M118)&gt;0,
     COUNTIFS($AQ$3:$AQ$201,$M118)&gt;0,
     COUNTIFS($AR$3:$AR$201,$M118)&gt;0,
     COUNTIFS($AS$3:$AS$201,$M118)&gt;0,
     COUNTIFS($AT$3:$AT$201,$M118)&gt;0,
     COUNTIFS($AU$3:$AU$201,$M118)&gt;0,
     COUNTIFS($AV$3:$AV$201,$M118)&gt;0,
     COUNTIFS($AW$3:$AW$201,$M118)&gt;0,
     COUNTIFS($AX$3:$AX$201,$M118)&gt;0
   )),
  ),
  3
 ),
"")</f>
        <v/>
      </c>
      <c r="EO118" t="str">
        <f ca="1"/>
        <v>Saheeli, Sublime Artificer</v>
      </c>
      <c r="ET118" t="str">
        <f ca="1"/>
        <v>Metallic Rebuke</v>
      </c>
      <c r="EW118" t="str">
        <f ca="1"/>
        <v>Lotho, Corrupt Shirriff</v>
      </c>
    </row>
    <row r="119" spans="1:153" x14ac:dyDescent="0.25">
      <c r="A119" t="str">
        <f ca="1"/>
        <v>Deathsprout</v>
      </c>
      <c r="B119" s="2" t="str" cm="1">
        <f t="array" aca="1" ref="B119" ca="1">_xlfn.ANCHORARRAY(RESUMO!C118)</f>
        <v>4cRash</v>
      </c>
      <c r="C119" s="2" t="str">
        <f t="shared" ca="1" si="4"/>
        <v/>
      </c>
      <c r="E119" t="str">
        <f ca="1"/>
        <v>Mage Slayer</v>
      </c>
      <c r="F119" s="2">
        <f t="shared" ca="1" si="7"/>
        <v>1</v>
      </c>
      <c r="G119" s="2" t="str">
        <f t="shared" ca="1" si="5"/>
        <v>Kresh</v>
      </c>
      <c r="J119" t="s">
        <v>180</v>
      </c>
      <c r="K119" s="2">
        <v>1</v>
      </c>
      <c r="M119" t="str">
        <f ca="1"/>
        <v>Mage Slayer</v>
      </c>
      <c r="N119" s="2">
        <f t="shared" ca="1" si="6"/>
        <v>1</v>
      </c>
      <c r="O119" s="2" t="str">
        <f ca="1">IFERROR(
 INDEX($U$2:$AX$2,
  MATCH(TRUE,
   CHOOSE({1;2;3;4;5;6;7;8;9;10;11;12;13;14;15;16;17;18;19;20;21;22;23;24;25;26;27;28;29;30;31;32},
    COUNTIFS($U$3:$U$201,$M119)&gt;0,
    COUNTIFS($V$3:$V$201,$M119)&gt;0,
    COUNTIFS($W$3:$W$201,$M119)&gt;0,
    COUNTIFS($X$3:$X$201,$M119)&gt;0,
    COUNTIFS($Y$3:$Y$201,$M119)&gt;0,
    COUNTIFS($Z$3:$Z$201,$M119)&gt;0,
    COUNTIFS($AA$3:$AA$201,$M119)&gt;0,
    COUNTIFS($AB$3:$AB$201,$M119)&gt;0,
    COUNTIFS($AC$3:$AC$201,$M119)&gt;0,
    COUNTIFS($AD$3:$AD$201,$M119)&gt;0,
    COUNTIFS($AE$3:$AE$201,$M119)&gt;0,
    COUNTIFS($AF$3:$AF$201,$M119)&gt;0,
    COUNTIFS($AG$3:$AG$201,$M119)&gt;0,
    COUNTIFS($AH$3:$AH$201,$M119)&gt;0,
    COUNTIFS($AI$3:$AI$201,$M119)&gt;0,
    COUNTIFS($AJ$3:$AJ$201,$M119)&gt;0,
    COUNTIFS($AK$3:$AK$201,$M119)&gt;0,
    COUNTIFS($AL$3:$AL$201,$M119)&gt;0,
    COUNTIFS($AM$3:$AM$201,$M119)&gt;0,
    COUNTIFS($AN$3:$AN$201,$M119)&gt;0,
    COUNTIFS($AO$3:$AO$201,$M119)&gt;0,
    COUNTIFS($AP$3:$AP$201,$M119)&gt;0,
    COUNTIFS($AQ$3:$AQ$201,$M119)&gt;0,
    COUNTIFS($AR$3:$AR$201,$M119)&gt;0,
    COUNTIFS($AS$3:$AS$201,$M119)&gt;0,
    COUNTIFS($AT$3:$AT$201,$M119)&gt;0,
    COUNTIFS($AU$3:$AU$201,$M119)&gt;0,
    COUNTIFS($AV$3:$AV$201,$M119)&gt;0,
    COUNTIFS($AW$3:$AW$201,$M119)&gt;0,
    COUNTIFS($AX$3:$AX$201,$M119)&gt;0
   ),
  0)
 ),
"")</f>
        <v>Kresh</v>
      </c>
      <c r="P119" s="2" t="str" cm="1">
        <f t="array" aca="1" ref="P119" ca="1">IFERROR(
 INDEX(
  _xlfn._xlws.FILTER($U$2:$AX$2,
   TRANSPOSE(
    CHOOSE({1;2;3;4;5;6;7;8;9;10;11;12;13;14;15;16;17;18;19;20;21;22;23;24;25;26;27;28;29;30},
     COUNTIFS($U$3:$U$201,$M119)&gt;0,
     COUNTIFS($V$3:$V$201,$M119)&gt;0,
     COUNTIFS($W$3:$W$201,$M119)&gt;0,
     COUNTIFS($X$3:$X$201,$M119)&gt;0,
     COUNTIFS($Y$3:$Y$201,$M119)&gt;0,
     COUNTIFS($Z$3:$Z$201,$M119)&gt;0,
     COUNTIFS($AA$3:$AA$201,$M119)&gt;0,
     COUNTIFS($AB$3:$AB$201,$M119)&gt;0,
     COUNTIFS($AC$3:$AC$201,$M119)&gt;0,
     COUNTIFS($AD$3:$AD$201,$M119)&gt;0,
     COUNTIFS($AE$3:$AE$201,$M119)&gt;0,
     COUNTIFS($AF$3:$AF$201,$M119)&gt;0,
     COUNTIFS($AG$3:$AG$201,$M119)&gt;0,
     COUNTIFS($AH$3:$AH$201,$M119)&gt;0,
     COUNTIFS($AI$3:$AI$201,$M119)&gt;0,
     COUNTIFS($AJ$3:$AJ$201,$M119)&gt;0,
     COUNTIFS($AK$3:$AK$201,$M119)&gt;0,
     COUNTIFS($AL$3:$AL$201,$M119)&gt;0,
     COUNTIFS($AM$3:$AM$201,$M119)&gt;0,
     COUNTIFS($AN$3:$AN$201,$M119)&gt;0,
     COUNTIFS($AO$3:$AO$201,$M119)&gt;0,
     COUNTIFS($AP$3:$AP$201,$M119)&gt;0,
     COUNTIFS($AQ$3:$AQ$201,$M119)&gt;0,
     COUNTIFS($AR$3:$AR$201,$M119)&gt;0,
     COUNTIFS($AS$3:$AS$201,$M119)&gt;0,
     COUNTIFS($AT$3:$AT$201,$M119)&gt;0,
     COUNTIFS($AU$3:$AU$201,$M119)&gt;0,
     COUNTIFS($AV$3:$AV$201,$M119)&gt;0,
     COUNTIFS($AW$3:$AW$201,$M119)&gt;0,
     COUNTIFS($AX$3:$AX$201,$M119)&gt;0
   )),
  ),
  2
 ),
"")</f>
        <v/>
      </c>
      <c r="Q119" s="2" t="str" cm="1">
        <f t="array" aca="1" ref="Q119" ca="1">IFERROR(
 INDEX(
  _xlfn._xlws.FILTER($U$2:$AX$2,
   TRANSPOSE(
    CHOOSE({1;2;3;4;5;6;7;8;9;10;11;12;13;14;15;16;17;18;19;20;21;22;23;24;25;26;27;28;29;30},
     COUNTIFS($U$3:$U$201,$M119)&gt;0,
     COUNTIFS($V$3:$V$201,$M119)&gt;0,
     COUNTIFS($W$3:$W$201,$M119)&gt;0,
     COUNTIFS($X$3:$X$201,$M119)&gt;0,
     COUNTIFS($Y$3:$Y$201,$M119)&gt;0,
     COUNTIFS($Z$3:$Z$201,$M119)&gt;0,
     COUNTIFS($AA$3:$AA$201,$M119)&gt;0,
     COUNTIFS($AB$3:$AB$201,$M119)&gt;0,
     COUNTIFS($AC$3:$AC$201,$M119)&gt;0,
     COUNTIFS($AD$3:$AD$201,$M119)&gt;0,
     COUNTIFS($AE$3:$AE$201,$M119)&gt;0,
     COUNTIFS($AF$3:$AF$201,$M119)&gt;0,
     COUNTIFS($AG$3:$AG$201,$M119)&gt;0,
     COUNTIFS($AH$3:$AH$201,$M119)&gt;0,
     COUNTIFS($AI$3:$AI$201,$M119)&gt;0,
     COUNTIFS($AJ$3:$AJ$201,$M119)&gt;0,
     COUNTIFS($AK$3:$AK$201,$M119)&gt;0,
     COUNTIFS($AL$3:$AL$201,$M119)&gt;0,
     COUNTIFS($AM$3:$AM$201,$M119)&gt;0,
     COUNTIFS($AN$3:$AN$201,$M119)&gt;0,
     COUNTIFS($AO$3:$AO$201,$M119)&gt;0,
     COUNTIFS($AP$3:$AP$201,$M119)&gt;0,
     COUNTIFS($AQ$3:$AQ$201,$M119)&gt;0,
     COUNTIFS($AR$3:$AR$201,$M119)&gt;0,
     COUNTIFS($AS$3:$AS$201,$M119)&gt;0,
     COUNTIFS($AT$3:$AT$201,$M119)&gt;0,
     COUNTIFS($AU$3:$AU$201,$M119)&gt;0,
     COUNTIFS($AV$3:$AV$201,$M119)&gt;0,
     COUNTIFS($AW$3:$AW$201,$M119)&gt;0,
     COUNTIFS($AX$3:$AX$201,$M119)&gt;0
   )),
  ),
  3
 ),
"")</f>
        <v/>
      </c>
      <c r="EO119" t="str">
        <f ca="1"/>
        <v>Sanctum of Calm Waters</v>
      </c>
      <c r="ET119" t="str">
        <f ca="1"/>
        <v>Midnight Guard</v>
      </c>
      <c r="EW119" t="str">
        <f ca="1"/>
        <v>Mage Slayer</v>
      </c>
    </row>
    <row r="120" spans="1:153" x14ac:dyDescent="0.25">
      <c r="A120" t="str">
        <f ca="1"/>
        <v>Debt of Loyalty</v>
      </c>
      <c r="B120" s="2" t="str" cm="1">
        <f t="array" aca="1" ref="B120" ca="1">_xlfn.ANCHORARRAY(RESUMO!C119)</f>
        <v>Zuko</v>
      </c>
      <c r="C120" s="2" t="str">
        <f t="shared" ca="1" si="4"/>
        <v/>
      </c>
      <c r="E120" t="str">
        <f ca="1"/>
        <v>Mask of Memory</v>
      </c>
      <c r="F120" s="2">
        <f t="shared" ca="1" si="7"/>
        <v>1</v>
      </c>
      <c r="G120" s="2" t="str">
        <f t="shared" ca="1" si="5"/>
        <v>Akiri</v>
      </c>
      <c r="J120" t="s">
        <v>180</v>
      </c>
      <c r="K120" s="2">
        <v>1</v>
      </c>
      <c r="M120" t="str">
        <f ca="1"/>
        <v>Mask of Memory</v>
      </c>
      <c r="N120" s="2">
        <f t="shared" ca="1" si="6"/>
        <v>1</v>
      </c>
      <c r="O120" s="2" t="str">
        <f ca="1">IFERROR(
 INDEX($U$2:$AX$2,
  MATCH(TRUE,
   CHOOSE({1;2;3;4;5;6;7;8;9;10;11;12;13;14;15;16;17;18;19;20;21;22;23;24;25;26;27;28;29;30;31;32},
    COUNTIFS($U$3:$U$201,$M120)&gt;0,
    COUNTIFS($V$3:$V$201,$M120)&gt;0,
    COUNTIFS($W$3:$W$201,$M120)&gt;0,
    COUNTIFS($X$3:$X$201,$M120)&gt;0,
    COUNTIFS($Y$3:$Y$201,$M120)&gt;0,
    COUNTIFS($Z$3:$Z$201,$M120)&gt;0,
    COUNTIFS($AA$3:$AA$201,$M120)&gt;0,
    COUNTIFS($AB$3:$AB$201,$M120)&gt;0,
    COUNTIFS($AC$3:$AC$201,$M120)&gt;0,
    COUNTIFS($AD$3:$AD$201,$M120)&gt;0,
    COUNTIFS($AE$3:$AE$201,$M120)&gt;0,
    COUNTIFS($AF$3:$AF$201,$M120)&gt;0,
    COUNTIFS($AG$3:$AG$201,$M120)&gt;0,
    COUNTIFS($AH$3:$AH$201,$M120)&gt;0,
    COUNTIFS($AI$3:$AI$201,$M120)&gt;0,
    COUNTIFS($AJ$3:$AJ$201,$M120)&gt;0,
    COUNTIFS($AK$3:$AK$201,$M120)&gt;0,
    COUNTIFS($AL$3:$AL$201,$M120)&gt;0,
    COUNTIFS($AM$3:$AM$201,$M120)&gt;0,
    COUNTIFS($AN$3:$AN$201,$M120)&gt;0,
    COUNTIFS($AO$3:$AO$201,$M120)&gt;0,
    COUNTIFS($AP$3:$AP$201,$M120)&gt;0,
    COUNTIFS($AQ$3:$AQ$201,$M120)&gt;0,
    COUNTIFS($AR$3:$AR$201,$M120)&gt;0,
    COUNTIFS($AS$3:$AS$201,$M120)&gt;0,
    COUNTIFS($AT$3:$AT$201,$M120)&gt;0,
    COUNTIFS($AU$3:$AU$201,$M120)&gt;0,
    COUNTIFS($AV$3:$AV$201,$M120)&gt;0,
    COUNTIFS($AW$3:$AW$201,$M120)&gt;0,
    COUNTIFS($AX$3:$AX$201,$M120)&gt;0
   ),
  0)
 ),
"")</f>
        <v>Akiri</v>
      </c>
      <c r="P120" s="2" t="str" cm="1">
        <f t="array" aca="1" ref="P120" ca="1">IFERROR(
 INDEX(
  _xlfn._xlws.FILTER($U$2:$AX$2,
   TRANSPOSE(
    CHOOSE({1;2;3;4;5;6;7;8;9;10;11;12;13;14;15;16;17;18;19;20;21;22;23;24;25;26;27;28;29;30},
     COUNTIFS($U$3:$U$201,$M120)&gt;0,
     COUNTIFS($V$3:$V$201,$M120)&gt;0,
     COUNTIFS($W$3:$W$201,$M120)&gt;0,
     COUNTIFS($X$3:$X$201,$M120)&gt;0,
     COUNTIFS($Y$3:$Y$201,$M120)&gt;0,
     COUNTIFS($Z$3:$Z$201,$M120)&gt;0,
     COUNTIFS($AA$3:$AA$201,$M120)&gt;0,
     COUNTIFS($AB$3:$AB$201,$M120)&gt;0,
     COUNTIFS($AC$3:$AC$201,$M120)&gt;0,
     COUNTIFS($AD$3:$AD$201,$M120)&gt;0,
     COUNTIFS($AE$3:$AE$201,$M120)&gt;0,
     COUNTIFS($AF$3:$AF$201,$M120)&gt;0,
     COUNTIFS($AG$3:$AG$201,$M120)&gt;0,
     COUNTIFS($AH$3:$AH$201,$M120)&gt;0,
     COUNTIFS($AI$3:$AI$201,$M120)&gt;0,
     COUNTIFS($AJ$3:$AJ$201,$M120)&gt;0,
     COUNTIFS($AK$3:$AK$201,$M120)&gt;0,
     COUNTIFS($AL$3:$AL$201,$M120)&gt;0,
     COUNTIFS($AM$3:$AM$201,$M120)&gt;0,
     COUNTIFS($AN$3:$AN$201,$M120)&gt;0,
     COUNTIFS($AO$3:$AO$201,$M120)&gt;0,
     COUNTIFS($AP$3:$AP$201,$M120)&gt;0,
     COUNTIFS($AQ$3:$AQ$201,$M120)&gt;0,
     COUNTIFS($AR$3:$AR$201,$M120)&gt;0,
     COUNTIFS($AS$3:$AS$201,$M120)&gt;0,
     COUNTIFS($AT$3:$AT$201,$M120)&gt;0,
     COUNTIFS($AU$3:$AU$201,$M120)&gt;0,
     COUNTIFS($AV$3:$AV$201,$M120)&gt;0,
     COUNTIFS($AW$3:$AW$201,$M120)&gt;0,
     COUNTIFS($AX$3:$AX$201,$M120)&gt;0
   )),
  ),
  2
 ),
"")</f>
        <v/>
      </c>
      <c r="Q120" s="2" t="str" cm="1">
        <f t="array" aca="1" ref="Q120" ca="1">IFERROR(
 INDEX(
  _xlfn._xlws.FILTER($U$2:$AX$2,
   TRANSPOSE(
    CHOOSE({1;2;3;4;5;6;7;8;9;10;11;12;13;14;15;16;17;18;19;20;21;22;23;24;25;26;27;28;29;30},
     COUNTIFS($U$3:$U$201,$M120)&gt;0,
     COUNTIFS($V$3:$V$201,$M120)&gt;0,
     COUNTIFS($W$3:$W$201,$M120)&gt;0,
     COUNTIFS($X$3:$X$201,$M120)&gt;0,
     COUNTIFS($Y$3:$Y$201,$M120)&gt;0,
     COUNTIFS($Z$3:$Z$201,$M120)&gt;0,
     COUNTIFS($AA$3:$AA$201,$M120)&gt;0,
     COUNTIFS($AB$3:$AB$201,$M120)&gt;0,
     COUNTIFS($AC$3:$AC$201,$M120)&gt;0,
     COUNTIFS($AD$3:$AD$201,$M120)&gt;0,
     COUNTIFS($AE$3:$AE$201,$M120)&gt;0,
     COUNTIFS($AF$3:$AF$201,$M120)&gt;0,
     COUNTIFS($AG$3:$AG$201,$M120)&gt;0,
     COUNTIFS($AH$3:$AH$201,$M120)&gt;0,
     COUNTIFS($AI$3:$AI$201,$M120)&gt;0,
     COUNTIFS($AJ$3:$AJ$201,$M120)&gt;0,
     COUNTIFS($AK$3:$AK$201,$M120)&gt;0,
     COUNTIFS($AL$3:$AL$201,$M120)&gt;0,
     COUNTIFS($AM$3:$AM$201,$M120)&gt;0,
     COUNTIFS($AN$3:$AN$201,$M120)&gt;0,
     COUNTIFS($AO$3:$AO$201,$M120)&gt;0,
     COUNTIFS($AP$3:$AP$201,$M120)&gt;0,
     COUNTIFS($AQ$3:$AQ$201,$M120)&gt;0,
     COUNTIFS($AR$3:$AR$201,$M120)&gt;0,
     COUNTIFS($AS$3:$AS$201,$M120)&gt;0,
     COUNTIFS($AT$3:$AT$201,$M120)&gt;0,
     COUNTIFS($AU$3:$AU$201,$M120)&gt;0,
     COUNTIFS($AV$3:$AV$201,$M120)&gt;0,
     COUNTIFS($AW$3:$AW$201,$M120)&gt;0,
     COUNTIFS($AX$3:$AX$201,$M120)&gt;0
   )),
  ),
  3
 ),
"")</f>
        <v/>
      </c>
      <c r="EO120" t="str">
        <f ca="1"/>
        <v>Scavenging Ooze</v>
      </c>
      <c r="ET120" t="str">
        <f ca="1"/>
        <v>Mind Stone</v>
      </c>
      <c r="EW120" t="str">
        <f ca="1"/>
        <v>Mask of Memory</v>
      </c>
    </row>
    <row r="121" spans="1:153" x14ac:dyDescent="0.25">
      <c r="A121" t="str">
        <f ca="1"/>
        <v>Delighted Halfling</v>
      </c>
      <c r="B121" s="2" t="str" cm="1">
        <f t="array" aca="1" ref="B121" ca="1">_xlfn.ANCHORARRAY(RESUMO!C120)</f>
        <v>Gitrog</v>
      </c>
      <c r="C121" s="2" t="str">
        <f t="shared" ca="1" si="4"/>
        <v/>
      </c>
      <c r="E121" t="str">
        <f ca="1"/>
        <v>Master of Death</v>
      </c>
      <c r="F121" s="2">
        <f t="shared" ca="1" si="7"/>
        <v>1</v>
      </c>
      <c r="G121" s="2" t="str">
        <f t="shared" ca="1" si="5"/>
        <v>Inalla</v>
      </c>
      <c r="J121" t="s">
        <v>180</v>
      </c>
      <c r="K121" s="2">
        <v>1</v>
      </c>
      <c r="M121" t="str">
        <f ca="1"/>
        <v>Master of Death</v>
      </c>
      <c r="N121" s="2">
        <f t="shared" ca="1" si="6"/>
        <v>1</v>
      </c>
      <c r="O121" s="2" t="str">
        <f ca="1">IFERROR(
 INDEX($U$2:$AX$2,
  MATCH(TRUE,
   CHOOSE({1;2;3;4;5;6;7;8;9;10;11;12;13;14;15;16;17;18;19;20;21;22;23;24;25;26;27;28;29;30;31;32},
    COUNTIFS($U$3:$U$201,$M121)&gt;0,
    COUNTIFS($V$3:$V$201,$M121)&gt;0,
    COUNTIFS($W$3:$W$201,$M121)&gt;0,
    COUNTIFS($X$3:$X$201,$M121)&gt;0,
    COUNTIFS($Y$3:$Y$201,$M121)&gt;0,
    COUNTIFS($Z$3:$Z$201,$M121)&gt;0,
    COUNTIFS($AA$3:$AA$201,$M121)&gt;0,
    COUNTIFS($AB$3:$AB$201,$M121)&gt;0,
    COUNTIFS($AC$3:$AC$201,$M121)&gt;0,
    COUNTIFS($AD$3:$AD$201,$M121)&gt;0,
    COUNTIFS($AE$3:$AE$201,$M121)&gt;0,
    COUNTIFS($AF$3:$AF$201,$M121)&gt;0,
    COUNTIFS($AG$3:$AG$201,$M121)&gt;0,
    COUNTIFS($AH$3:$AH$201,$M121)&gt;0,
    COUNTIFS($AI$3:$AI$201,$M121)&gt;0,
    COUNTIFS($AJ$3:$AJ$201,$M121)&gt;0,
    COUNTIFS($AK$3:$AK$201,$M121)&gt;0,
    COUNTIFS($AL$3:$AL$201,$M121)&gt;0,
    COUNTIFS($AM$3:$AM$201,$M121)&gt;0,
    COUNTIFS($AN$3:$AN$201,$M121)&gt;0,
    COUNTIFS($AO$3:$AO$201,$M121)&gt;0,
    COUNTIFS($AP$3:$AP$201,$M121)&gt;0,
    COUNTIFS($AQ$3:$AQ$201,$M121)&gt;0,
    COUNTIFS($AR$3:$AR$201,$M121)&gt;0,
    COUNTIFS($AS$3:$AS$201,$M121)&gt;0,
    COUNTIFS($AT$3:$AT$201,$M121)&gt;0,
    COUNTIFS($AU$3:$AU$201,$M121)&gt;0,
    COUNTIFS($AV$3:$AV$201,$M121)&gt;0,
    COUNTIFS($AW$3:$AW$201,$M121)&gt;0,
    COUNTIFS($AX$3:$AX$201,$M121)&gt;0
   ),
  0)
 ),
"")</f>
        <v>Inalla</v>
      </c>
      <c r="P121" s="2" t="str" cm="1">
        <f t="array" aca="1" ref="P121" ca="1">IFERROR(
 INDEX(
  _xlfn._xlws.FILTER($U$2:$AX$2,
   TRANSPOSE(
    CHOOSE({1;2;3;4;5;6;7;8;9;10;11;12;13;14;15;16;17;18;19;20;21;22;23;24;25;26;27;28;29;30},
     COUNTIFS($U$3:$U$201,$M121)&gt;0,
     COUNTIFS($V$3:$V$201,$M121)&gt;0,
     COUNTIFS($W$3:$W$201,$M121)&gt;0,
     COUNTIFS($X$3:$X$201,$M121)&gt;0,
     COUNTIFS($Y$3:$Y$201,$M121)&gt;0,
     COUNTIFS($Z$3:$Z$201,$M121)&gt;0,
     COUNTIFS($AA$3:$AA$201,$M121)&gt;0,
     COUNTIFS($AB$3:$AB$201,$M121)&gt;0,
     COUNTIFS($AC$3:$AC$201,$M121)&gt;0,
     COUNTIFS($AD$3:$AD$201,$M121)&gt;0,
     COUNTIFS($AE$3:$AE$201,$M121)&gt;0,
     COUNTIFS($AF$3:$AF$201,$M121)&gt;0,
     COUNTIFS($AG$3:$AG$201,$M121)&gt;0,
     COUNTIFS($AH$3:$AH$201,$M121)&gt;0,
     COUNTIFS($AI$3:$AI$201,$M121)&gt;0,
     COUNTIFS($AJ$3:$AJ$201,$M121)&gt;0,
     COUNTIFS($AK$3:$AK$201,$M121)&gt;0,
     COUNTIFS($AL$3:$AL$201,$M121)&gt;0,
     COUNTIFS($AM$3:$AM$201,$M121)&gt;0,
     COUNTIFS($AN$3:$AN$201,$M121)&gt;0,
     COUNTIFS($AO$3:$AO$201,$M121)&gt;0,
     COUNTIFS($AP$3:$AP$201,$M121)&gt;0,
     COUNTIFS($AQ$3:$AQ$201,$M121)&gt;0,
     COUNTIFS($AR$3:$AR$201,$M121)&gt;0,
     COUNTIFS($AS$3:$AS$201,$M121)&gt;0,
     COUNTIFS($AT$3:$AT$201,$M121)&gt;0,
     COUNTIFS($AU$3:$AU$201,$M121)&gt;0,
     COUNTIFS($AV$3:$AV$201,$M121)&gt;0,
     COUNTIFS($AW$3:$AW$201,$M121)&gt;0,
     COUNTIFS($AX$3:$AX$201,$M121)&gt;0
   )),
  ),
  2
 ),
"")</f>
        <v/>
      </c>
      <c r="Q121" s="2" t="str" cm="1">
        <f t="array" aca="1" ref="Q121" ca="1">IFERROR(
 INDEX(
  _xlfn._xlws.FILTER($U$2:$AX$2,
   TRANSPOSE(
    CHOOSE({1;2;3;4;5;6;7;8;9;10;11;12;13;14;15;16;17;18;19;20;21;22;23;24;25;26;27;28;29;30},
     COUNTIFS($U$3:$U$201,$M121)&gt;0,
     COUNTIFS($V$3:$V$201,$M121)&gt;0,
     COUNTIFS($W$3:$W$201,$M121)&gt;0,
     COUNTIFS($X$3:$X$201,$M121)&gt;0,
     COUNTIFS($Y$3:$Y$201,$M121)&gt;0,
     COUNTIFS($Z$3:$Z$201,$M121)&gt;0,
     COUNTIFS($AA$3:$AA$201,$M121)&gt;0,
     COUNTIFS($AB$3:$AB$201,$M121)&gt;0,
     COUNTIFS($AC$3:$AC$201,$M121)&gt;0,
     COUNTIFS($AD$3:$AD$201,$M121)&gt;0,
     COUNTIFS($AE$3:$AE$201,$M121)&gt;0,
     COUNTIFS($AF$3:$AF$201,$M121)&gt;0,
     COUNTIFS($AG$3:$AG$201,$M121)&gt;0,
     COUNTIFS($AH$3:$AH$201,$M121)&gt;0,
     COUNTIFS($AI$3:$AI$201,$M121)&gt;0,
     COUNTIFS($AJ$3:$AJ$201,$M121)&gt;0,
     COUNTIFS($AK$3:$AK$201,$M121)&gt;0,
     COUNTIFS($AL$3:$AL$201,$M121)&gt;0,
     COUNTIFS($AM$3:$AM$201,$M121)&gt;0,
     COUNTIFS($AN$3:$AN$201,$M121)&gt;0,
     COUNTIFS($AO$3:$AO$201,$M121)&gt;0,
     COUNTIFS($AP$3:$AP$201,$M121)&gt;0,
     COUNTIFS($AQ$3:$AQ$201,$M121)&gt;0,
     COUNTIFS($AR$3:$AR$201,$M121)&gt;0,
     COUNTIFS($AS$3:$AS$201,$M121)&gt;0,
     COUNTIFS($AT$3:$AT$201,$M121)&gt;0,
     COUNTIFS($AU$3:$AU$201,$M121)&gt;0,
     COUNTIFS($AV$3:$AV$201,$M121)&gt;0,
     COUNTIFS($AW$3:$AW$201,$M121)&gt;0,
     COUNTIFS($AX$3:$AX$201,$M121)&gt;0
   )),
  ),
  3
 ),
"")</f>
        <v/>
      </c>
      <c r="EO121" t="str">
        <f ca="1"/>
        <v>Scourge of Fleets</v>
      </c>
      <c r="ET121" t="str">
        <f ca="1"/>
        <v>Mogis, God of Slaughter</v>
      </c>
      <c r="EW121" t="str">
        <f ca="1"/>
        <v>Master of Death</v>
      </c>
    </row>
    <row r="122" spans="1:153" x14ac:dyDescent="0.25">
      <c r="A122" t="str">
        <f ca="1"/>
        <v>Descendants' Path</v>
      </c>
      <c r="B122" s="2" t="str" cm="1">
        <f t="array" aca="1" ref="B122" ca="1">_xlfn.ANCHORARRAY(RESUMO!C121)</f>
        <v>Fractius</v>
      </c>
      <c r="C122" s="2" t="str">
        <f t="shared" ca="1" si="4"/>
        <v/>
      </c>
      <c r="E122" t="str">
        <f ca="1"/>
        <v>Metallic Rebuke</v>
      </c>
      <c r="F122" s="2">
        <f t="shared" ca="1" si="7"/>
        <v>1</v>
      </c>
      <c r="G122" s="2" t="str">
        <f t="shared" ca="1" si="5"/>
        <v>Oona</v>
      </c>
      <c r="J122" t="s">
        <v>180</v>
      </c>
      <c r="K122" s="2">
        <v>1</v>
      </c>
      <c r="M122" t="str">
        <f ca="1"/>
        <v>Metallic Rebuke</v>
      </c>
      <c r="N122" s="2">
        <f t="shared" ca="1" si="6"/>
        <v>1</v>
      </c>
      <c r="O122" s="2" t="str">
        <f ca="1">IFERROR(
 INDEX($U$2:$AX$2,
  MATCH(TRUE,
   CHOOSE({1;2;3;4;5;6;7;8;9;10;11;12;13;14;15;16;17;18;19;20;21;22;23;24;25;26;27;28;29;30;31;32},
    COUNTIFS($U$3:$U$201,$M122)&gt;0,
    COUNTIFS($V$3:$V$201,$M122)&gt;0,
    COUNTIFS($W$3:$W$201,$M122)&gt;0,
    COUNTIFS($X$3:$X$201,$M122)&gt;0,
    COUNTIFS($Y$3:$Y$201,$M122)&gt;0,
    COUNTIFS($Z$3:$Z$201,$M122)&gt;0,
    COUNTIFS($AA$3:$AA$201,$M122)&gt;0,
    COUNTIFS($AB$3:$AB$201,$M122)&gt;0,
    COUNTIFS($AC$3:$AC$201,$M122)&gt;0,
    COUNTIFS($AD$3:$AD$201,$M122)&gt;0,
    COUNTIFS($AE$3:$AE$201,$M122)&gt;0,
    COUNTIFS($AF$3:$AF$201,$M122)&gt;0,
    COUNTIFS($AG$3:$AG$201,$M122)&gt;0,
    COUNTIFS($AH$3:$AH$201,$M122)&gt;0,
    COUNTIFS($AI$3:$AI$201,$M122)&gt;0,
    COUNTIFS($AJ$3:$AJ$201,$M122)&gt;0,
    COUNTIFS($AK$3:$AK$201,$M122)&gt;0,
    COUNTIFS($AL$3:$AL$201,$M122)&gt;0,
    COUNTIFS($AM$3:$AM$201,$M122)&gt;0,
    COUNTIFS($AN$3:$AN$201,$M122)&gt;0,
    COUNTIFS($AO$3:$AO$201,$M122)&gt;0,
    COUNTIFS($AP$3:$AP$201,$M122)&gt;0,
    COUNTIFS($AQ$3:$AQ$201,$M122)&gt;0,
    COUNTIFS($AR$3:$AR$201,$M122)&gt;0,
    COUNTIFS($AS$3:$AS$201,$M122)&gt;0,
    COUNTIFS($AT$3:$AT$201,$M122)&gt;0,
    COUNTIFS($AU$3:$AU$201,$M122)&gt;0,
    COUNTIFS($AV$3:$AV$201,$M122)&gt;0,
    COUNTIFS($AW$3:$AW$201,$M122)&gt;0,
    COUNTIFS($AX$3:$AX$201,$M122)&gt;0
   ),
  0)
 ),
"")</f>
        <v>Oona</v>
      </c>
      <c r="P122" s="2" t="str" cm="1">
        <f t="array" aca="1" ref="P122" ca="1">IFERROR(
 INDEX(
  _xlfn._xlws.FILTER($U$2:$AX$2,
   TRANSPOSE(
    CHOOSE({1;2;3;4;5;6;7;8;9;10;11;12;13;14;15;16;17;18;19;20;21;22;23;24;25;26;27;28;29;30},
     COUNTIFS($U$3:$U$201,$M122)&gt;0,
     COUNTIFS($V$3:$V$201,$M122)&gt;0,
     COUNTIFS($W$3:$W$201,$M122)&gt;0,
     COUNTIFS($X$3:$X$201,$M122)&gt;0,
     COUNTIFS($Y$3:$Y$201,$M122)&gt;0,
     COUNTIFS($Z$3:$Z$201,$M122)&gt;0,
     COUNTIFS($AA$3:$AA$201,$M122)&gt;0,
     COUNTIFS($AB$3:$AB$201,$M122)&gt;0,
     COUNTIFS($AC$3:$AC$201,$M122)&gt;0,
     COUNTIFS($AD$3:$AD$201,$M122)&gt;0,
     COUNTIFS($AE$3:$AE$201,$M122)&gt;0,
     COUNTIFS($AF$3:$AF$201,$M122)&gt;0,
     COUNTIFS($AG$3:$AG$201,$M122)&gt;0,
     COUNTIFS($AH$3:$AH$201,$M122)&gt;0,
     COUNTIFS($AI$3:$AI$201,$M122)&gt;0,
     COUNTIFS($AJ$3:$AJ$201,$M122)&gt;0,
     COUNTIFS($AK$3:$AK$201,$M122)&gt;0,
     COUNTIFS($AL$3:$AL$201,$M122)&gt;0,
     COUNTIFS($AM$3:$AM$201,$M122)&gt;0,
     COUNTIFS($AN$3:$AN$201,$M122)&gt;0,
     COUNTIFS($AO$3:$AO$201,$M122)&gt;0,
     COUNTIFS($AP$3:$AP$201,$M122)&gt;0,
     COUNTIFS($AQ$3:$AQ$201,$M122)&gt;0,
     COUNTIFS($AR$3:$AR$201,$M122)&gt;0,
     COUNTIFS($AS$3:$AS$201,$M122)&gt;0,
     COUNTIFS($AT$3:$AT$201,$M122)&gt;0,
     COUNTIFS($AU$3:$AU$201,$M122)&gt;0,
     COUNTIFS($AV$3:$AV$201,$M122)&gt;0,
     COUNTIFS($AW$3:$AW$201,$M122)&gt;0,
     COUNTIFS($AX$3:$AX$201,$M122)&gt;0
   )),
  ),
  2
 ),
"")</f>
        <v/>
      </c>
      <c r="Q122" s="2" t="str" cm="1">
        <f t="array" aca="1" ref="Q122" ca="1">IFERROR(
 INDEX(
  _xlfn._xlws.FILTER($U$2:$AX$2,
   TRANSPOSE(
    CHOOSE({1;2;3;4;5;6;7;8;9;10;11;12;13;14;15;16;17;18;19;20;21;22;23;24;25;26;27;28;29;30},
     COUNTIFS($U$3:$U$201,$M122)&gt;0,
     COUNTIFS($V$3:$V$201,$M122)&gt;0,
     COUNTIFS($W$3:$W$201,$M122)&gt;0,
     COUNTIFS($X$3:$X$201,$M122)&gt;0,
     COUNTIFS($Y$3:$Y$201,$M122)&gt;0,
     COUNTIFS($Z$3:$Z$201,$M122)&gt;0,
     COUNTIFS($AA$3:$AA$201,$M122)&gt;0,
     COUNTIFS($AB$3:$AB$201,$M122)&gt;0,
     COUNTIFS($AC$3:$AC$201,$M122)&gt;0,
     COUNTIFS($AD$3:$AD$201,$M122)&gt;0,
     COUNTIFS($AE$3:$AE$201,$M122)&gt;0,
     COUNTIFS($AF$3:$AF$201,$M122)&gt;0,
     COUNTIFS($AG$3:$AG$201,$M122)&gt;0,
     COUNTIFS($AH$3:$AH$201,$M122)&gt;0,
     COUNTIFS($AI$3:$AI$201,$M122)&gt;0,
     COUNTIFS($AJ$3:$AJ$201,$M122)&gt;0,
     COUNTIFS($AK$3:$AK$201,$M122)&gt;0,
     COUNTIFS($AL$3:$AL$201,$M122)&gt;0,
     COUNTIFS($AM$3:$AM$201,$M122)&gt;0,
     COUNTIFS($AN$3:$AN$201,$M122)&gt;0,
     COUNTIFS($AO$3:$AO$201,$M122)&gt;0,
     COUNTIFS($AP$3:$AP$201,$M122)&gt;0,
     COUNTIFS($AQ$3:$AQ$201,$M122)&gt;0,
     COUNTIFS($AR$3:$AR$201,$M122)&gt;0,
     COUNTIFS($AS$3:$AS$201,$M122)&gt;0,
     COUNTIFS($AT$3:$AT$201,$M122)&gt;0,
     COUNTIFS($AU$3:$AU$201,$M122)&gt;0,
     COUNTIFS($AV$3:$AV$201,$M122)&gt;0,
     COUNTIFS($AW$3:$AW$201,$M122)&gt;0,
     COUNTIFS($AX$3:$AX$201,$M122)&gt;0
   )),
  ),
  3
 ),
"")</f>
        <v/>
      </c>
      <c r="EO122" t="str">
        <f ca="1"/>
        <v>Scourge of Skola Vale</v>
      </c>
      <c r="ET122" t="str">
        <f ca="1"/>
        <v>Molten Slagheap</v>
      </c>
      <c r="EW122" t="str">
        <f ca="1"/>
        <v>Metallic Rebuke</v>
      </c>
    </row>
    <row r="123" spans="1:153" x14ac:dyDescent="0.25">
      <c r="A123" t="str">
        <f ca="1"/>
        <v>Deserted Temple</v>
      </c>
      <c r="B123" s="2" t="str" cm="1">
        <f t="array" aca="1" ref="B123" ca="1">_xlfn.ANCHORARRAY(RESUMO!C122)</f>
        <v>Elfos</v>
      </c>
      <c r="C123" s="2" t="str">
        <f t="shared" ca="1" si="4"/>
        <v/>
      </c>
      <c r="E123" t="str">
        <f ca="1"/>
        <v>Midnight Guard</v>
      </c>
      <c r="F123" s="2">
        <f t="shared" ca="1" si="7"/>
        <v>1</v>
      </c>
      <c r="G123" s="2" t="str">
        <f t="shared" ca="1" si="5"/>
        <v>Baylen</v>
      </c>
      <c r="J123" t="s">
        <v>180</v>
      </c>
      <c r="K123" s="2">
        <v>1</v>
      </c>
      <c r="M123" t="str">
        <f ca="1"/>
        <v>Midnight Guard</v>
      </c>
      <c r="N123" s="2">
        <f t="shared" ca="1" si="6"/>
        <v>1</v>
      </c>
      <c r="O123" s="2" t="str">
        <f ca="1">IFERROR(
 INDEX($U$2:$AX$2,
  MATCH(TRUE,
   CHOOSE({1;2;3;4;5;6;7;8;9;10;11;12;13;14;15;16;17;18;19;20;21;22;23;24;25;26;27;28;29;30;31;32},
    COUNTIFS($U$3:$U$201,$M123)&gt;0,
    COUNTIFS($V$3:$V$201,$M123)&gt;0,
    COUNTIFS($W$3:$W$201,$M123)&gt;0,
    COUNTIFS($X$3:$X$201,$M123)&gt;0,
    COUNTIFS($Y$3:$Y$201,$M123)&gt;0,
    COUNTIFS($Z$3:$Z$201,$M123)&gt;0,
    COUNTIFS($AA$3:$AA$201,$M123)&gt;0,
    COUNTIFS($AB$3:$AB$201,$M123)&gt;0,
    COUNTIFS($AC$3:$AC$201,$M123)&gt;0,
    COUNTIFS($AD$3:$AD$201,$M123)&gt;0,
    COUNTIFS($AE$3:$AE$201,$M123)&gt;0,
    COUNTIFS($AF$3:$AF$201,$M123)&gt;0,
    COUNTIFS($AG$3:$AG$201,$M123)&gt;0,
    COUNTIFS($AH$3:$AH$201,$M123)&gt;0,
    COUNTIFS($AI$3:$AI$201,$M123)&gt;0,
    COUNTIFS($AJ$3:$AJ$201,$M123)&gt;0,
    COUNTIFS($AK$3:$AK$201,$M123)&gt;0,
    COUNTIFS($AL$3:$AL$201,$M123)&gt;0,
    COUNTIFS($AM$3:$AM$201,$M123)&gt;0,
    COUNTIFS($AN$3:$AN$201,$M123)&gt;0,
    COUNTIFS($AO$3:$AO$201,$M123)&gt;0,
    COUNTIFS($AP$3:$AP$201,$M123)&gt;0,
    COUNTIFS($AQ$3:$AQ$201,$M123)&gt;0,
    COUNTIFS($AR$3:$AR$201,$M123)&gt;0,
    COUNTIFS($AS$3:$AS$201,$M123)&gt;0,
    COUNTIFS($AT$3:$AT$201,$M123)&gt;0,
    COUNTIFS($AU$3:$AU$201,$M123)&gt;0,
    COUNTIFS($AV$3:$AV$201,$M123)&gt;0,
    COUNTIFS($AW$3:$AW$201,$M123)&gt;0,
    COUNTIFS($AX$3:$AX$201,$M123)&gt;0
   ),
  0)
 ),
"")</f>
        <v>Baylen</v>
      </c>
      <c r="P123" s="2" t="str" cm="1">
        <f t="array" aca="1" ref="P123" ca="1">IFERROR(
 INDEX(
  _xlfn._xlws.FILTER($U$2:$AX$2,
   TRANSPOSE(
    CHOOSE({1;2;3;4;5;6;7;8;9;10;11;12;13;14;15;16;17;18;19;20;21;22;23;24;25;26;27;28;29;30},
     COUNTIFS($U$3:$U$201,$M123)&gt;0,
     COUNTIFS($V$3:$V$201,$M123)&gt;0,
     COUNTIFS($W$3:$W$201,$M123)&gt;0,
     COUNTIFS($X$3:$X$201,$M123)&gt;0,
     COUNTIFS($Y$3:$Y$201,$M123)&gt;0,
     COUNTIFS($Z$3:$Z$201,$M123)&gt;0,
     COUNTIFS($AA$3:$AA$201,$M123)&gt;0,
     COUNTIFS($AB$3:$AB$201,$M123)&gt;0,
     COUNTIFS($AC$3:$AC$201,$M123)&gt;0,
     COUNTIFS($AD$3:$AD$201,$M123)&gt;0,
     COUNTIFS($AE$3:$AE$201,$M123)&gt;0,
     COUNTIFS($AF$3:$AF$201,$M123)&gt;0,
     COUNTIFS($AG$3:$AG$201,$M123)&gt;0,
     COUNTIFS($AH$3:$AH$201,$M123)&gt;0,
     COUNTIFS($AI$3:$AI$201,$M123)&gt;0,
     COUNTIFS($AJ$3:$AJ$201,$M123)&gt;0,
     COUNTIFS($AK$3:$AK$201,$M123)&gt;0,
     COUNTIFS($AL$3:$AL$201,$M123)&gt;0,
     COUNTIFS($AM$3:$AM$201,$M123)&gt;0,
     COUNTIFS($AN$3:$AN$201,$M123)&gt;0,
     COUNTIFS($AO$3:$AO$201,$M123)&gt;0,
     COUNTIFS($AP$3:$AP$201,$M123)&gt;0,
     COUNTIFS($AQ$3:$AQ$201,$M123)&gt;0,
     COUNTIFS($AR$3:$AR$201,$M123)&gt;0,
     COUNTIFS($AS$3:$AS$201,$M123)&gt;0,
     COUNTIFS($AT$3:$AT$201,$M123)&gt;0,
     COUNTIFS($AU$3:$AU$201,$M123)&gt;0,
     COUNTIFS($AV$3:$AV$201,$M123)&gt;0,
     COUNTIFS($AW$3:$AW$201,$M123)&gt;0,
     COUNTIFS($AX$3:$AX$201,$M123)&gt;0
   )),
  ),
  2
 ),
"")</f>
        <v/>
      </c>
      <c r="Q123" s="2" t="str" cm="1">
        <f t="array" aca="1" ref="Q123" ca="1">IFERROR(
 INDEX(
  _xlfn._xlws.FILTER($U$2:$AX$2,
   TRANSPOSE(
    CHOOSE({1;2;3;4;5;6;7;8;9;10;11;12;13;14;15;16;17;18;19;20;21;22;23;24;25;26;27;28;29;30},
     COUNTIFS($U$3:$U$201,$M123)&gt;0,
     COUNTIFS($V$3:$V$201,$M123)&gt;0,
     COUNTIFS($W$3:$W$201,$M123)&gt;0,
     COUNTIFS($X$3:$X$201,$M123)&gt;0,
     COUNTIFS($Y$3:$Y$201,$M123)&gt;0,
     COUNTIFS($Z$3:$Z$201,$M123)&gt;0,
     COUNTIFS($AA$3:$AA$201,$M123)&gt;0,
     COUNTIFS($AB$3:$AB$201,$M123)&gt;0,
     COUNTIFS($AC$3:$AC$201,$M123)&gt;0,
     COUNTIFS($AD$3:$AD$201,$M123)&gt;0,
     COUNTIFS($AE$3:$AE$201,$M123)&gt;0,
     COUNTIFS($AF$3:$AF$201,$M123)&gt;0,
     COUNTIFS($AG$3:$AG$201,$M123)&gt;0,
     COUNTIFS($AH$3:$AH$201,$M123)&gt;0,
     COUNTIFS($AI$3:$AI$201,$M123)&gt;0,
     COUNTIFS($AJ$3:$AJ$201,$M123)&gt;0,
     COUNTIFS($AK$3:$AK$201,$M123)&gt;0,
     COUNTIFS($AL$3:$AL$201,$M123)&gt;0,
     COUNTIFS($AM$3:$AM$201,$M123)&gt;0,
     COUNTIFS($AN$3:$AN$201,$M123)&gt;0,
     COUNTIFS($AO$3:$AO$201,$M123)&gt;0,
     COUNTIFS($AP$3:$AP$201,$M123)&gt;0,
     COUNTIFS($AQ$3:$AQ$201,$M123)&gt;0,
     COUNTIFS($AR$3:$AR$201,$M123)&gt;0,
     COUNTIFS($AS$3:$AS$201,$M123)&gt;0,
     COUNTIFS($AT$3:$AT$201,$M123)&gt;0,
     COUNTIFS($AU$3:$AU$201,$M123)&gt;0,
     COUNTIFS($AV$3:$AV$201,$M123)&gt;0,
     COUNTIFS($AW$3:$AW$201,$M123)&gt;0,
     COUNTIFS($AX$3:$AX$201,$M123)&gt;0
   )),
  ),
  3
 ),
"")</f>
        <v/>
      </c>
      <c r="EO123" t="str">
        <f ca="1"/>
        <v>Scurry Oak</v>
      </c>
      <c r="ET123" t="str">
        <f ca="1"/>
        <v>Mondrak, Glory Dominus</v>
      </c>
      <c r="EW123" t="str">
        <f ca="1"/>
        <v>Midnight Guard</v>
      </c>
    </row>
    <row r="124" spans="1:153" x14ac:dyDescent="0.25">
      <c r="A124" t="str">
        <f ca="1"/>
        <v>Diffusion Sliver</v>
      </c>
      <c r="B124" s="2" t="str" cm="1">
        <f t="array" aca="1" ref="B124" ca="1">_xlfn.ANCHORARRAY(RESUMO!C123)</f>
        <v>Fractius</v>
      </c>
      <c r="C124" s="2" t="str">
        <f t="shared" ca="1" si="4"/>
        <v/>
      </c>
      <c r="E124" t="str">
        <f ca="1"/>
        <v>Mind Stone</v>
      </c>
      <c r="F124" s="2">
        <f t="shared" ca="1" si="7"/>
        <v>1</v>
      </c>
      <c r="G124" s="2" t="str">
        <f t="shared" ca="1" si="5"/>
        <v>Tayam</v>
      </c>
      <c r="J124" t="s">
        <v>180</v>
      </c>
      <c r="K124" s="2">
        <v>1</v>
      </c>
      <c r="M124" t="str">
        <f ca="1"/>
        <v>Mind Stone</v>
      </c>
      <c r="N124" s="2">
        <f t="shared" ca="1" si="6"/>
        <v>1</v>
      </c>
      <c r="O124" s="2" t="str">
        <f ca="1">IFERROR(
 INDEX($U$2:$AX$2,
  MATCH(TRUE,
   CHOOSE({1;2;3;4;5;6;7;8;9;10;11;12;13;14;15;16;17;18;19;20;21;22;23;24;25;26;27;28;29;30;31;32},
    COUNTIFS($U$3:$U$201,$M124)&gt;0,
    COUNTIFS($V$3:$V$201,$M124)&gt;0,
    COUNTIFS($W$3:$W$201,$M124)&gt;0,
    COUNTIFS($X$3:$X$201,$M124)&gt;0,
    COUNTIFS($Y$3:$Y$201,$M124)&gt;0,
    COUNTIFS($Z$3:$Z$201,$M124)&gt;0,
    COUNTIFS($AA$3:$AA$201,$M124)&gt;0,
    COUNTIFS($AB$3:$AB$201,$M124)&gt;0,
    COUNTIFS($AC$3:$AC$201,$M124)&gt;0,
    COUNTIFS($AD$3:$AD$201,$M124)&gt;0,
    COUNTIFS($AE$3:$AE$201,$M124)&gt;0,
    COUNTIFS($AF$3:$AF$201,$M124)&gt;0,
    COUNTIFS($AG$3:$AG$201,$M124)&gt;0,
    COUNTIFS($AH$3:$AH$201,$M124)&gt;0,
    COUNTIFS($AI$3:$AI$201,$M124)&gt;0,
    COUNTIFS($AJ$3:$AJ$201,$M124)&gt;0,
    COUNTIFS($AK$3:$AK$201,$M124)&gt;0,
    COUNTIFS($AL$3:$AL$201,$M124)&gt;0,
    COUNTIFS($AM$3:$AM$201,$M124)&gt;0,
    COUNTIFS($AN$3:$AN$201,$M124)&gt;0,
    COUNTIFS($AO$3:$AO$201,$M124)&gt;0,
    COUNTIFS($AP$3:$AP$201,$M124)&gt;0,
    COUNTIFS($AQ$3:$AQ$201,$M124)&gt;0,
    COUNTIFS($AR$3:$AR$201,$M124)&gt;0,
    COUNTIFS($AS$3:$AS$201,$M124)&gt;0,
    COUNTIFS($AT$3:$AT$201,$M124)&gt;0,
    COUNTIFS($AU$3:$AU$201,$M124)&gt;0,
    COUNTIFS($AV$3:$AV$201,$M124)&gt;0,
    COUNTIFS($AW$3:$AW$201,$M124)&gt;0,
    COUNTIFS($AX$3:$AX$201,$M124)&gt;0
   ),
  0)
 ),
"")</f>
        <v>Tayam</v>
      </c>
      <c r="P124" s="2" t="str" cm="1">
        <f t="array" aca="1" ref="P124" ca="1">IFERROR(
 INDEX(
  _xlfn._xlws.FILTER($U$2:$AX$2,
   TRANSPOSE(
    CHOOSE({1;2;3;4;5;6;7;8;9;10;11;12;13;14;15;16;17;18;19;20;21;22;23;24;25;26;27;28;29;30},
     COUNTIFS($U$3:$U$201,$M124)&gt;0,
     COUNTIFS($V$3:$V$201,$M124)&gt;0,
     COUNTIFS($W$3:$W$201,$M124)&gt;0,
     COUNTIFS($X$3:$X$201,$M124)&gt;0,
     COUNTIFS($Y$3:$Y$201,$M124)&gt;0,
     COUNTIFS($Z$3:$Z$201,$M124)&gt;0,
     COUNTIFS($AA$3:$AA$201,$M124)&gt;0,
     COUNTIFS($AB$3:$AB$201,$M124)&gt;0,
     COUNTIFS($AC$3:$AC$201,$M124)&gt;0,
     COUNTIFS($AD$3:$AD$201,$M124)&gt;0,
     COUNTIFS($AE$3:$AE$201,$M124)&gt;0,
     COUNTIFS($AF$3:$AF$201,$M124)&gt;0,
     COUNTIFS($AG$3:$AG$201,$M124)&gt;0,
     COUNTIFS($AH$3:$AH$201,$M124)&gt;0,
     COUNTIFS($AI$3:$AI$201,$M124)&gt;0,
     COUNTIFS($AJ$3:$AJ$201,$M124)&gt;0,
     COUNTIFS($AK$3:$AK$201,$M124)&gt;0,
     COUNTIFS($AL$3:$AL$201,$M124)&gt;0,
     COUNTIFS($AM$3:$AM$201,$M124)&gt;0,
     COUNTIFS($AN$3:$AN$201,$M124)&gt;0,
     COUNTIFS($AO$3:$AO$201,$M124)&gt;0,
     COUNTIFS($AP$3:$AP$201,$M124)&gt;0,
     COUNTIFS($AQ$3:$AQ$201,$M124)&gt;0,
     COUNTIFS($AR$3:$AR$201,$M124)&gt;0,
     COUNTIFS($AS$3:$AS$201,$M124)&gt;0,
     COUNTIFS($AT$3:$AT$201,$M124)&gt;0,
     COUNTIFS($AU$3:$AU$201,$M124)&gt;0,
     COUNTIFS($AV$3:$AV$201,$M124)&gt;0,
     COUNTIFS($AW$3:$AW$201,$M124)&gt;0,
     COUNTIFS($AX$3:$AX$201,$M124)&gt;0
   )),
  ),
  2
 ),
"")</f>
        <v/>
      </c>
      <c r="Q124" s="2" t="str" cm="1">
        <f t="array" aca="1" ref="Q124" ca="1">IFERROR(
 INDEX(
  _xlfn._xlws.FILTER($U$2:$AX$2,
   TRANSPOSE(
    CHOOSE({1;2;3;4;5;6;7;8;9;10;11;12;13;14;15;16;17;18;19;20;21;22;23;24;25;26;27;28;29;30},
     COUNTIFS($U$3:$U$201,$M124)&gt;0,
     COUNTIFS($V$3:$V$201,$M124)&gt;0,
     COUNTIFS($W$3:$W$201,$M124)&gt;0,
     COUNTIFS($X$3:$X$201,$M124)&gt;0,
     COUNTIFS($Y$3:$Y$201,$M124)&gt;0,
     COUNTIFS($Z$3:$Z$201,$M124)&gt;0,
     COUNTIFS($AA$3:$AA$201,$M124)&gt;0,
     COUNTIFS($AB$3:$AB$201,$M124)&gt;0,
     COUNTIFS($AC$3:$AC$201,$M124)&gt;0,
     COUNTIFS($AD$3:$AD$201,$M124)&gt;0,
     COUNTIFS($AE$3:$AE$201,$M124)&gt;0,
     COUNTIFS($AF$3:$AF$201,$M124)&gt;0,
     COUNTIFS($AG$3:$AG$201,$M124)&gt;0,
     COUNTIFS($AH$3:$AH$201,$M124)&gt;0,
     COUNTIFS($AI$3:$AI$201,$M124)&gt;0,
     COUNTIFS($AJ$3:$AJ$201,$M124)&gt;0,
     COUNTIFS($AK$3:$AK$201,$M124)&gt;0,
     COUNTIFS($AL$3:$AL$201,$M124)&gt;0,
     COUNTIFS($AM$3:$AM$201,$M124)&gt;0,
     COUNTIFS($AN$3:$AN$201,$M124)&gt;0,
     COUNTIFS($AO$3:$AO$201,$M124)&gt;0,
     COUNTIFS($AP$3:$AP$201,$M124)&gt;0,
     COUNTIFS($AQ$3:$AQ$201,$M124)&gt;0,
     COUNTIFS($AR$3:$AR$201,$M124)&gt;0,
     COUNTIFS($AS$3:$AS$201,$M124)&gt;0,
     COUNTIFS($AT$3:$AT$201,$M124)&gt;0,
     COUNTIFS($AU$3:$AU$201,$M124)&gt;0,
     COUNTIFS($AV$3:$AV$201,$M124)&gt;0,
     COUNTIFS($AW$3:$AW$201,$M124)&gt;0,
     COUNTIFS($AX$3:$AX$201,$M124)&gt;0
   )),
  ),
  3
 ),
"")</f>
        <v/>
      </c>
      <c r="EO124" t="str">
        <f ca="1"/>
        <v>Selesnya Sanctuary</v>
      </c>
      <c r="ET124" t="str">
        <f ca="1"/>
        <v>Morbid Opportunist</v>
      </c>
      <c r="EW124" t="str">
        <f ca="1"/>
        <v>Mind Stone</v>
      </c>
    </row>
    <row r="125" spans="1:153" x14ac:dyDescent="0.25">
      <c r="A125" t="str">
        <f ca="1"/>
        <v>Displacer Kitten</v>
      </c>
      <c r="B125" s="2" t="str" cm="1">
        <f t="array" aca="1" ref="B125" ca="1">_xlfn.ANCHORARRAY(RESUMO!C124)</f>
        <v>4cRash</v>
      </c>
      <c r="C125" s="2" t="str">
        <f t="shared" ca="1" si="4"/>
        <v/>
      </c>
      <c r="E125" t="str">
        <f ca="1"/>
        <v>Mogis, God of Slaughter</v>
      </c>
      <c r="F125" s="2">
        <f t="shared" ca="1" si="7"/>
        <v>1</v>
      </c>
      <c r="G125" s="2" t="str">
        <f t="shared" ca="1" si="5"/>
        <v>Kresh</v>
      </c>
      <c r="J125" t="s">
        <v>180</v>
      </c>
      <c r="K125" s="2">
        <v>1</v>
      </c>
      <c r="M125" t="str">
        <f ca="1"/>
        <v>Mogis, God of Slaughter</v>
      </c>
      <c r="N125" s="2">
        <f t="shared" ca="1" si="6"/>
        <v>1</v>
      </c>
      <c r="O125" s="2" t="str">
        <f ca="1">IFERROR(
 INDEX($U$2:$AX$2,
  MATCH(TRUE,
   CHOOSE({1;2;3;4;5;6;7;8;9;10;11;12;13;14;15;16;17;18;19;20;21;22;23;24;25;26;27;28;29;30;31;32},
    COUNTIFS($U$3:$U$201,$M125)&gt;0,
    COUNTIFS($V$3:$V$201,$M125)&gt;0,
    COUNTIFS($W$3:$W$201,$M125)&gt;0,
    COUNTIFS($X$3:$X$201,$M125)&gt;0,
    COUNTIFS($Y$3:$Y$201,$M125)&gt;0,
    COUNTIFS($Z$3:$Z$201,$M125)&gt;0,
    COUNTIFS($AA$3:$AA$201,$M125)&gt;0,
    COUNTIFS($AB$3:$AB$201,$M125)&gt;0,
    COUNTIFS($AC$3:$AC$201,$M125)&gt;0,
    COUNTIFS($AD$3:$AD$201,$M125)&gt;0,
    COUNTIFS($AE$3:$AE$201,$M125)&gt;0,
    COUNTIFS($AF$3:$AF$201,$M125)&gt;0,
    COUNTIFS($AG$3:$AG$201,$M125)&gt;0,
    COUNTIFS($AH$3:$AH$201,$M125)&gt;0,
    COUNTIFS($AI$3:$AI$201,$M125)&gt;0,
    COUNTIFS($AJ$3:$AJ$201,$M125)&gt;0,
    COUNTIFS($AK$3:$AK$201,$M125)&gt;0,
    COUNTIFS($AL$3:$AL$201,$M125)&gt;0,
    COUNTIFS($AM$3:$AM$201,$M125)&gt;0,
    COUNTIFS($AN$3:$AN$201,$M125)&gt;0,
    COUNTIFS($AO$3:$AO$201,$M125)&gt;0,
    COUNTIFS($AP$3:$AP$201,$M125)&gt;0,
    COUNTIFS($AQ$3:$AQ$201,$M125)&gt;0,
    COUNTIFS($AR$3:$AR$201,$M125)&gt;0,
    COUNTIFS($AS$3:$AS$201,$M125)&gt;0,
    COUNTIFS($AT$3:$AT$201,$M125)&gt;0,
    COUNTIFS($AU$3:$AU$201,$M125)&gt;0,
    COUNTIFS($AV$3:$AV$201,$M125)&gt;0,
    COUNTIFS($AW$3:$AW$201,$M125)&gt;0,
    COUNTIFS($AX$3:$AX$201,$M125)&gt;0
   ),
  0)
 ),
"")</f>
        <v>Kresh</v>
      </c>
      <c r="P125" s="2" t="str" cm="1">
        <f t="array" aca="1" ref="P125" ca="1">IFERROR(
 INDEX(
  _xlfn._xlws.FILTER($U$2:$AX$2,
   TRANSPOSE(
    CHOOSE({1;2;3;4;5;6;7;8;9;10;11;12;13;14;15;16;17;18;19;20;21;22;23;24;25;26;27;28;29;30},
     COUNTIFS($U$3:$U$201,$M125)&gt;0,
     COUNTIFS($V$3:$V$201,$M125)&gt;0,
     COUNTIFS($W$3:$W$201,$M125)&gt;0,
     COUNTIFS($X$3:$X$201,$M125)&gt;0,
     COUNTIFS($Y$3:$Y$201,$M125)&gt;0,
     COUNTIFS($Z$3:$Z$201,$M125)&gt;0,
     COUNTIFS($AA$3:$AA$201,$M125)&gt;0,
     COUNTIFS($AB$3:$AB$201,$M125)&gt;0,
     COUNTIFS($AC$3:$AC$201,$M125)&gt;0,
     COUNTIFS($AD$3:$AD$201,$M125)&gt;0,
     COUNTIFS($AE$3:$AE$201,$M125)&gt;0,
     COUNTIFS($AF$3:$AF$201,$M125)&gt;0,
     COUNTIFS($AG$3:$AG$201,$M125)&gt;0,
     COUNTIFS($AH$3:$AH$201,$M125)&gt;0,
     COUNTIFS($AI$3:$AI$201,$M125)&gt;0,
     COUNTIFS($AJ$3:$AJ$201,$M125)&gt;0,
     COUNTIFS($AK$3:$AK$201,$M125)&gt;0,
     COUNTIFS($AL$3:$AL$201,$M125)&gt;0,
     COUNTIFS($AM$3:$AM$201,$M125)&gt;0,
     COUNTIFS($AN$3:$AN$201,$M125)&gt;0,
     COUNTIFS($AO$3:$AO$201,$M125)&gt;0,
     COUNTIFS($AP$3:$AP$201,$M125)&gt;0,
     COUNTIFS($AQ$3:$AQ$201,$M125)&gt;0,
     COUNTIFS($AR$3:$AR$201,$M125)&gt;0,
     COUNTIFS($AS$3:$AS$201,$M125)&gt;0,
     COUNTIFS($AT$3:$AT$201,$M125)&gt;0,
     COUNTIFS($AU$3:$AU$201,$M125)&gt;0,
     COUNTIFS($AV$3:$AV$201,$M125)&gt;0,
     COUNTIFS($AW$3:$AW$201,$M125)&gt;0,
     COUNTIFS($AX$3:$AX$201,$M125)&gt;0
   )),
  ),
  2
 ),
"")</f>
        <v/>
      </c>
      <c r="Q125" s="2" t="str" cm="1">
        <f t="array" aca="1" ref="Q125" ca="1">IFERROR(
 INDEX(
  _xlfn._xlws.FILTER($U$2:$AX$2,
   TRANSPOSE(
    CHOOSE({1;2;3;4;5;6;7;8;9;10;11;12;13;14;15;16;17;18;19;20;21;22;23;24;25;26;27;28;29;30},
     COUNTIFS($U$3:$U$201,$M125)&gt;0,
     COUNTIFS($V$3:$V$201,$M125)&gt;0,
     COUNTIFS($W$3:$W$201,$M125)&gt;0,
     COUNTIFS($X$3:$X$201,$M125)&gt;0,
     COUNTIFS($Y$3:$Y$201,$M125)&gt;0,
     COUNTIFS($Z$3:$Z$201,$M125)&gt;0,
     COUNTIFS($AA$3:$AA$201,$M125)&gt;0,
     COUNTIFS($AB$3:$AB$201,$M125)&gt;0,
     COUNTIFS($AC$3:$AC$201,$M125)&gt;0,
     COUNTIFS($AD$3:$AD$201,$M125)&gt;0,
     COUNTIFS($AE$3:$AE$201,$M125)&gt;0,
     COUNTIFS($AF$3:$AF$201,$M125)&gt;0,
     COUNTIFS($AG$3:$AG$201,$M125)&gt;0,
     COUNTIFS($AH$3:$AH$201,$M125)&gt;0,
     COUNTIFS($AI$3:$AI$201,$M125)&gt;0,
     COUNTIFS($AJ$3:$AJ$201,$M125)&gt;0,
     COUNTIFS($AK$3:$AK$201,$M125)&gt;0,
     COUNTIFS($AL$3:$AL$201,$M125)&gt;0,
     COUNTIFS($AM$3:$AM$201,$M125)&gt;0,
     COUNTIFS($AN$3:$AN$201,$M125)&gt;0,
     COUNTIFS($AO$3:$AO$201,$M125)&gt;0,
     COUNTIFS($AP$3:$AP$201,$M125)&gt;0,
     COUNTIFS($AQ$3:$AQ$201,$M125)&gt;0,
     COUNTIFS($AR$3:$AR$201,$M125)&gt;0,
     COUNTIFS($AS$3:$AS$201,$M125)&gt;0,
     COUNTIFS($AT$3:$AT$201,$M125)&gt;0,
     COUNTIFS($AU$3:$AU$201,$M125)&gt;0,
     COUNTIFS($AV$3:$AV$201,$M125)&gt;0,
     COUNTIFS($AW$3:$AW$201,$M125)&gt;0,
     COUNTIFS($AX$3:$AX$201,$M125)&gt;0
   )),
  ),
  3
 ),
"")</f>
        <v/>
      </c>
      <c r="EO125" t="str">
        <f ca="1"/>
        <v>Shifting Shadow</v>
      </c>
      <c r="ET125" t="str">
        <f ca="1"/>
        <v>Mountain</v>
      </c>
      <c r="EW125" t="str">
        <f ca="1"/>
        <v>Mogis, God of Slaughter</v>
      </c>
    </row>
    <row r="126" spans="1:153" x14ac:dyDescent="0.25">
      <c r="A126" t="str">
        <f ca="1"/>
        <v>Disruptor of Currents</v>
      </c>
      <c r="B126" s="2" t="str" cm="1">
        <f t="array" aca="1" ref="B126" ca="1">_xlfn.ANCHORARRAY(RESUMO!C125)</f>
        <v>Inalla</v>
      </c>
      <c r="C126" s="2" t="str">
        <f t="shared" ca="1" si="4"/>
        <v/>
      </c>
      <c r="E126" t="str">
        <f ca="1"/>
        <v>Molten Slagheap</v>
      </c>
      <c r="F126" s="2">
        <f t="shared" ca="1" si="7"/>
        <v>1</v>
      </c>
      <c r="G126" s="2" t="str">
        <f t="shared" ca="1" si="5"/>
        <v>Rani</v>
      </c>
      <c r="J126" t="s">
        <v>180</v>
      </c>
      <c r="K126" s="2">
        <v>1</v>
      </c>
      <c r="M126" t="str">
        <f ca="1"/>
        <v>Molten Slagheap</v>
      </c>
      <c r="N126" s="2">
        <f t="shared" ca="1" si="6"/>
        <v>1</v>
      </c>
      <c r="O126" s="2" t="str">
        <f ca="1">IFERROR(
 INDEX($U$2:$AX$2,
  MATCH(TRUE,
   CHOOSE({1;2;3;4;5;6;7;8;9;10;11;12;13;14;15;16;17;18;19;20;21;22;23;24;25;26;27;28;29;30;31;32},
    COUNTIFS($U$3:$U$201,$M126)&gt;0,
    COUNTIFS($V$3:$V$201,$M126)&gt;0,
    COUNTIFS($W$3:$W$201,$M126)&gt;0,
    COUNTIFS($X$3:$X$201,$M126)&gt;0,
    COUNTIFS($Y$3:$Y$201,$M126)&gt;0,
    COUNTIFS($Z$3:$Z$201,$M126)&gt;0,
    COUNTIFS($AA$3:$AA$201,$M126)&gt;0,
    COUNTIFS($AB$3:$AB$201,$M126)&gt;0,
    COUNTIFS($AC$3:$AC$201,$M126)&gt;0,
    COUNTIFS($AD$3:$AD$201,$M126)&gt;0,
    COUNTIFS($AE$3:$AE$201,$M126)&gt;0,
    COUNTIFS($AF$3:$AF$201,$M126)&gt;0,
    COUNTIFS($AG$3:$AG$201,$M126)&gt;0,
    COUNTIFS($AH$3:$AH$201,$M126)&gt;0,
    COUNTIFS($AI$3:$AI$201,$M126)&gt;0,
    COUNTIFS($AJ$3:$AJ$201,$M126)&gt;0,
    COUNTIFS($AK$3:$AK$201,$M126)&gt;0,
    COUNTIFS($AL$3:$AL$201,$M126)&gt;0,
    COUNTIFS($AM$3:$AM$201,$M126)&gt;0,
    COUNTIFS($AN$3:$AN$201,$M126)&gt;0,
    COUNTIFS($AO$3:$AO$201,$M126)&gt;0,
    COUNTIFS($AP$3:$AP$201,$M126)&gt;0,
    COUNTIFS($AQ$3:$AQ$201,$M126)&gt;0,
    COUNTIFS($AR$3:$AR$201,$M126)&gt;0,
    COUNTIFS($AS$3:$AS$201,$M126)&gt;0,
    COUNTIFS($AT$3:$AT$201,$M126)&gt;0,
    COUNTIFS($AU$3:$AU$201,$M126)&gt;0,
    COUNTIFS($AV$3:$AV$201,$M126)&gt;0,
    COUNTIFS($AW$3:$AW$201,$M126)&gt;0,
    COUNTIFS($AX$3:$AX$201,$M126)&gt;0
   ),
  0)
 ),
"")</f>
        <v>Rani</v>
      </c>
      <c r="P126" s="2" t="str" cm="1">
        <f t="array" aca="1" ref="P126" ca="1">IFERROR(
 INDEX(
  _xlfn._xlws.FILTER($U$2:$AX$2,
   TRANSPOSE(
    CHOOSE({1;2;3;4;5;6;7;8;9;10;11;12;13;14;15;16;17;18;19;20;21;22;23;24;25;26;27;28;29;30},
     COUNTIFS($U$3:$U$201,$M126)&gt;0,
     COUNTIFS($V$3:$V$201,$M126)&gt;0,
     COUNTIFS($W$3:$W$201,$M126)&gt;0,
     COUNTIFS($X$3:$X$201,$M126)&gt;0,
     COUNTIFS($Y$3:$Y$201,$M126)&gt;0,
     COUNTIFS($Z$3:$Z$201,$M126)&gt;0,
     COUNTIFS($AA$3:$AA$201,$M126)&gt;0,
     COUNTIFS($AB$3:$AB$201,$M126)&gt;0,
     COUNTIFS($AC$3:$AC$201,$M126)&gt;0,
     COUNTIFS($AD$3:$AD$201,$M126)&gt;0,
     COUNTIFS($AE$3:$AE$201,$M126)&gt;0,
     COUNTIFS($AF$3:$AF$201,$M126)&gt;0,
     COUNTIFS($AG$3:$AG$201,$M126)&gt;0,
     COUNTIFS($AH$3:$AH$201,$M126)&gt;0,
     COUNTIFS($AI$3:$AI$201,$M126)&gt;0,
     COUNTIFS($AJ$3:$AJ$201,$M126)&gt;0,
     COUNTIFS($AK$3:$AK$201,$M126)&gt;0,
     COUNTIFS($AL$3:$AL$201,$M126)&gt;0,
     COUNTIFS($AM$3:$AM$201,$M126)&gt;0,
     COUNTIFS($AN$3:$AN$201,$M126)&gt;0,
     COUNTIFS($AO$3:$AO$201,$M126)&gt;0,
     COUNTIFS($AP$3:$AP$201,$M126)&gt;0,
     COUNTIFS($AQ$3:$AQ$201,$M126)&gt;0,
     COUNTIFS($AR$3:$AR$201,$M126)&gt;0,
     COUNTIFS($AS$3:$AS$201,$M126)&gt;0,
     COUNTIFS($AT$3:$AT$201,$M126)&gt;0,
     COUNTIFS($AU$3:$AU$201,$M126)&gt;0,
     COUNTIFS($AV$3:$AV$201,$M126)&gt;0,
     COUNTIFS($AW$3:$AW$201,$M126)&gt;0,
     COUNTIFS($AX$3:$AX$201,$M126)&gt;0
   )),
  ),
  2
 ),
"")</f>
        <v/>
      </c>
      <c r="Q126" s="2" t="str" cm="1">
        <f t="array" aca="1" ref="Q126" ca="1">IFERROR(
 INDEX(
  _xlfn._xlws.FILTER($U$2:$AX$2,
   TRANSPOSE(
    CHOOSE({1;2;3;4;5;6;7;8;9;10;11;12;13;14;15;16;17;18;19;20;21;22;23;24;25;26;27;28;29;30},
     COUNTIFS($U$3:$U$201,$M126)&gt;0,
     COUNTIFS($V$3:$V$201,$M126)&gt;0,
     COUNTIFS($W$3:$W$201,$M126)&gt;0,
     COUNTIFS($X$3:$X$201,$M126)&gt;0,
     COUNTIFS($Y$3:$Y$201,$M126)&gt;0,
     COUNTIFS($Z$3:$Z$201,$M126)&gt;0,
     COUNTIFS($AA$3:$AA$201,$M126)&gt;0,
     COUNTIFS($AB$3:$AB$201,$M126)&gt;0,
     COUNTIFS($AC$3:$AC$201,$M126)&gt;0,
     COUNTIFS($AD$3:$AD$201,$M126)&gt;0,
     COUNTIFS($AE$3:$AE$201,$M126)&gt;0,
     COUNTIFS($AF$3:$AF$201,$M126)&gt;0,
     COUNTIFS($AG$3:$AG$201,$M126)&gt;0,
     COUNTIFS($AH$3:$AH$201,$M126)&gt;0,
     COUNTIFS($AI$3:$AI$201,$M126)&gt;0,
     COUNTIFS($AJ$3:$AJ$201,$M126)&gt;0,
     COUNTIFS($AK$3:$AK$201,$M126)&gt;0,
     COUNTIFS($AL$3:$AL$201,$M126)&gt;0,
     COUNTIFS($AM$3:$AM$201,$M126)&gt;0,
     COUNTIFS($AN$3:$AN$201,$M126)&gt;0,
     COUNTIFS($AO$3:$AO$201,$M126)&gt;0,
     COUNTIFS($AP$3:$AP$201,$M126)&gt;0,
     COUNTIFS($AQ$3:$AQ$201,$M126)&gt;0,
     COUNTIFS($AR$3:$AR$201,$M126)&gt;0,
     COUNTIFS($AS$3:$AS$201,$M126)&gt;0,
     COUNTIFS($AT$3:$AT$201,$M126)&gt;0,
     COUNTIFS($AU$3:$AU$201,$M126)&gt;0,
     COUNTIFS($AV$3:$AV$201,$M126)&gt;0,
     COUNTIFS($AW$3:$AW$201,$M126)&gt;0,
     COUNTIFS($AX$3:$AX$201,$M126)&gt;0
   )),
  ),
  3
 ),
"")</f>
        <v/>
      </c>
      <c r="EO126" t="str">
        <f ca="1"/>
        <v>Shiny Impetus</v>
      </c>
      <c r="ET126" t="str">
        <f ca="1"/>
        <v>Muldrotha, the Gravetide</v>
      </c>
      <c r="EW126" t="str">
        <f ca="1"/>
        <v>Molten Slagheap</v>
      </c>
    </row>
    <row r="127" spans="1:153" x14ac:dyDescent="0.25">
      <c r="A127" t="str">
        <f ca="1"/>
        <v>Dollmaker's Shop // Porcelain Gallery</v>
      </c>
      <c r="B127" s="2" t="str" cm="1">
        <f t="array" aca="1" ref="B127" ca="1">_xlfn.ANCHORARRAY(RESUMO!C126)</f>
        <v>OWA</v>
      </c>
      <c r="C127" s="2" t="str">
        <f t="shared" ca="1" si="4"/>
        <v/>
      </c>
      <c r="E127" t="str">
        <f ca="1"/>
        <v>Mondrak, Glory Dominus</v>
      </c>
      <c r="F127" s="2">
        <f t="shared" ca="1" si="7"/>
        <v>1</v>
      </c>
      <c r="G127" s="2" t="str">
        <f t="shared" ca="1" si="5"/>
        <v>OWA</v>
      </c>
      <c r="J127" t="s">
        <v>180</v>
      </c>
      <c r="K127" s="2">
        <v>1</v>
      </c>
      <c r="M127" t="str">
        <f ca="1"/>
        <v>Mondrak, Glory Dominus</v>
      </c>
      <c r="N127" s="2">
        <f t="shared" ca="1" si="6"/>
        <v>1</v>
      </c>
      <c r="O127" s="2" t="str">
        <f ca="1">IFERROR(
 INDEX($U$2:$AX$2,
  MATCH(TRUE,
   CHOOSE({1;2;3;4;5;6;7;8;9;10;11;12;13;14;15;16;17;18;19;20;21;22;23;24;25;26;27;28;29;30;31;32},
    COUNTIFS($U$3:$U$201,$M127)&gt;0,
    COUNTIFS($V$3:$V$201,$M127)&gt;0,
    COUNTIFS($W$3:$W$201,$M127)&gt;0,
    COUNTIFS($X$3:$X$201,$M127)&gt;0,
    COUNTIFS($Y$3:$Y$201,$M127)&gt;0,
    COUNTIFS($Z$3:$Z$201,$M127)&gt;0,
    COUNTIFS($AA$3:$AA$201,$M127)&gt;0,
    COUNTIFS($AB$3:$AB$201,$M127)&gt;0,
    COUNTIFS($AC$3:$AC$201,$M127)&gt;0,
    COUNTIFS($AD$3:$AD$201,$M127)&gt;0,
    COUNTIFS($AE$3:$AE$201,$M127)&gt;0,
    COUNTIFS($AF$3:$AF$201,$M127)&gt;0,
    COUNTIFS($AG$3:$AG$201,$M127)&gt;0,
    COUNTIFS($AH$3:$AH$201,$M127)&gt;0,
    COUNTIFS($AI$3:$AI$201,$M127)&gt;0,
    COUNTIFS($AJ$3:$AJ$201,$M127)&gt;0,
    COUNTIFS($AK$3:$AK$201,$M127)&gt;0,
    COUNTIFS($AL$3:$AL$201,$M127)&gt;0,
    COUNTIFS($AM$3:$AM$201,$M127)&gt;0,
    COUNTIFS($AN$3:$AN$201,$M127)&gt;0,
    COUNTIFS($AO$3:$AO$201,$M127)&gt;0,
    COUNTIFS($AP$3:$AP$201,$M127)&gt;0,
    COUNTIFS($AQ$3:$AQ$201,$M127)&gt;0,
    COUNTIFS($AR$3:$AR$201,$M127)&gt;0,
    COUNTIFS($AS$3:$AS$201,$M127)&gt;0,
    COUNTIFS($AT$3:$AT$201,$M127)&gt;0,
    COUNTIFS($AU$3:$AU$201,$M127)&gt;0,
    COUNTIFS($AV$3:$AV$201,$M127)&gt;0,
    COUNTIFS($AW$3:$AW$201,$M127)&gt;0,
    COUNTIFS($AX$3:$AX$201,$M127)&gt;0
   ),
  0)
 ),
"")</f>
        <v>OWA</v>
      </c>
      <c r="P127" s="2" t="str" cm="1">
        <f t="array" aca="1" ref="P127" ca="1">IFERROR(
 INDEX(
  _xlfn._xlws.FILTER($U$2:$AX$2,
   TRANSPOSE(
    CHOOSE({1;2;3;4;5;6;7;8;9;10;11;12;13;14;15;16;17;18;19;20;21;22;23;24;25;26;27;28;29;30},
     COUNTIFS($U$3:$U$201,$M127)&gt;0,
     COUNTIFS($V$3:$V$201,$M127)&gt;0,
     COUNTIFS($W$3:$W$201,$M127)&gt;0,
     COUNTIFS($X$3:$X$201,$M127)&gt;0,
     COUNTIFS($Y$3:$Y$201,$M127)&gt;0,
     COUNTIFS($Z$3:$Z$201,$M127)&gt;0,
     COUNTIFS($AA$3:$AA$201,$M127)&gt;0,
     COUNTIFS($AB$3:$AB$201,$M127)&gt;0,
     COUNTIFS($AC$3:$AC$201,$M127)&gt;0,
     COUNTIFS($AD$3:$AD$201,$M127)&gt;0,
     COUNTIFS($AE$3:$AE$201,$M127)&gt;0,
     COUNTIFS($AF$3:$AF$201,$M127)&gt;0,
     COUNTIFS($AG$3:$AG$201,$M127)&gt;0,
     COUNTIFS($AH$3:$AH$201,$M127)&gt;0,
     COUNTIFS($AI$3:$AI$201,$M127)&gt;0,
     COUNTIFS($AJ$3:$AJ$201,$M127)&gt;0,
     COUNTIFS($AK$3:$AK$201,$M127)&gt;0,
     COUNTIFS($AL$3:$AL$201,$M127)&gt;0,
     COUNTIFS($AM$3:$AM$201,$M127)&gt;0,
     COUNTIFS($AN$3:$AN$201,$M127)&gt;0,
     COUNTIFS($AO$3:$AO$201,$M127)&gt;0,
     COUNTIFS($AP$3:$AP$201,$M127)&gt;0,
     COUNTIFS($AQ$3:$AQ$201,$M127)&gt;0,
     COUNTIFS($AR$3:$AR$201,$M127)&gt;0,
     COUNTIFS($AS$3:$AS$201,$M127)&gt;0,
     COUNTIFS($AT$3:$AT$201,$M127)&gt;0,
     COUNTIFS($AU$3:$AU$201,$M127)&gt;0,
     COUNTIFS($AV$3:$AV$201,$M127)&gt;0,
     COUNTIFS($AW$3:$AW$201,$M127)&gt;0,
     COUNTIFS($AX$3:$AX$201,$M127)&gt;0
   )),
  ),
  2
 ),
"")</f>
        <v/>
      </c>
      <c r="Q127" s="2" t="str" cm="1">
        <f t="array" aca="1" ref="Q127" ca="1">IFERROR(
 INDEX(
  _xlfn._xlws.FILTER($U$2:$AX$2,
   TRANSPOSE(
    CHOOSE({1;2;3;4;5;6;7;8;9;10;11;12;13;14;15;16;17;18;19;20;21;22;23;24;25;26;27;28;29;30},
     COUNTIFS($U$3:$U$201,$M127)&gt;0,
     COUNTIFS($V$3:$V$201,$M127)&gt;0,
     COUNTIFS($W$3:$W$201,$M127)&gt;0,
     COUNTIFS($X$3:$X$201,$M127)&gt;0,
     COUNTIFS($Y$3:$Y$201,$M127)&gt;0,
     COUNTIFS($Z$3:$Z$201,$M127)&gt;0,
     COUNTIFS($AA$3:$AA$201,$M127)&gt;0,
     COUNTIFS($AB$3:$AB$201,$M127)&gt;0,
     COUNTIFS($AC$3:$AC$201,$M127)&gt;0,
     COUNTIFS($AD$3:$AD$201,$M127)&gt;0,
     COUNTIFS($AE$3:$AE$201,$M127)&gt;0,
     COUNTIFS($AF$3:$AF$201,$M127)&gt;0,
     COUNTIFS($AG$3:$AG$201,$M127)&gt;0,
     COUNTIFS($AH$3:$AH$201,$M127)&gt;0,
     COUNTIFS($AI$3:$AI$201,$M127)&gt;0,
     COUNTIFS($AJ$3:$AJ$201,$M127)&gt;0,
     COUNTIFS($AK$3:$AK$201,$M127)&gt;0,
     COUNTIFS($AL$3:$AL$201,$M127)&gt;0,
     COUNTIFS($AM$3:$AM$201,$M127)&gt;0,
     COUNTIFS($AN$3:$AN$201,$M127)&gt;0,
     COUNTIFS($AO$3:$AO$201,$M127)&gt;0,
     COUNTIFS($AP$3:$AP$201,$M127)&gt;0,
     COUNTIFS($AQ$3:$AQ$201,$M127)&gt;0,
     COUNTIFS($AR$3:$AR$201,$M127)&gt;0,
     COUNTIFS($AS$3:$AS$201,$M127)&gt;0,
     COUNTIFS($AT$3:$AT$201,$M127)&gt;0,
     COUNTIFS($AU$3:$AU$201,$M127)&gt;0,
     COUNTIFS($AV$3:$AV$201,$M127)&gt;0,
     COUNTIFS($AW$3:$AW$201,$M127)&gt;0,
     COUNTIFS($AX$3:$AX$201,$M127)&gt;0
   )),
  ),
  3
 ),
"")</f>
        <v/>
      </c>
      <c r="EO127" t="str">
        <f ca="1"/>
        <v>Shire Terrace</v>
      </c>
      <c r="ET127" t="str">
        <f ca="1"/>
        <v>Murderous Rider // Swift End</v>
      </c>
      <c r="EW127" t="str">
        <f ca="1"/>
        <v>Mondrak, Glory Dominus</v>
      </c>
    </row>
    <row r="128" spans="1:153" x14ac:dyDescent="0.25">
      <c r="A128" t="str">
        <f ca="1"/>
        <v>Dormant Sliver</v>
      </c>
      <c r="B128" s="2" t="str" cm="1">
        <f t="array" aca="1" ref="B128" ca="1">_xlfn.ANCHORARRAY(RESUMO!C127)</f>
        <v>Fractius</v>
      </c>
      <c r="C128" s="2" t="str">
        <f t="shared" ca="1" si="4"/>
        <v/>
      </c>
      <c r="E128" t="str">
        <f ca="1"/>
        <v>Morbid Opportunist</v>
      </c>
      <c r="F128" s="2">
        <f t="shared" ca="1" si="7"/>
        <v>1</v>
      </c>
      <c r="G128" s="2" t="str">
        <f t="shared" ca="1" si="5"/>
        <v>Tayam</v>
      </c>
      <c r="J128" t="s">
        <v>180</v>
      </c>
      <c r="K128" s="2">
        <v>1</v>
      </c>
      <c r="M128" t="str">
        <f ca="1"/>
        <v>Morbid Opportunist</v>
      </c>
      <c r="N128" s="2">
        <f t="shared" ca="1" si="6"/>
        <v>1</v>
      </c>
      <c r="O128" s="2" t="str">
        <f ca="1">IFERROR(
 INDEX($U$2:$AX$2,
  MATCH(TRUE,
   CHOOSE({1;2;3;4;5;6;7;8;9;10;11;12;13;14;15;16;17;18;19;20;21;22;23;24;25;26;27;28;29;30;31;32},
    COUNTIFS($U$3:$U$201,$M128)&gt;0,
    COUNTIFS($V$3:$V$201,$M128)&gt;0,
    COUNTIFS($W$3:$W$201,$M128)&gt;0,
    COUNTIFS($X$3:$X$201,$M128)&gt;0,
    COUNTIFS($Y$3:$Y$201,$M128)&gt;0,
    COUNTIFS($Z$3:$Z$201,$M128)&gt;0,
    COUNTIFS($AA$3:$AA$201,$M128)&gt;0,
    COUNTIFS($AB$3:$AB$201,$M128)&gt;0,
    COUNTIFS($AC$3:$AC$201,$M128)&gt;0,
    COUNTIFS($AD$3:$AD$201,$M128)&gt;0,
    COUNTIFS($AE$3:$AE$201,$M128)&gt;0,
    COUNTIFS($AF$3:$AF$201,$M128)&gt;0,
    COUNTIFS($AG$3:$AG$201,$M128)&gt;0,
    COUNTIFS($AH$3:$AH$201,$M128)&gt;0,
    COUNTIFS($AI$3:$AI$201,$M128)&gt;0,
    COUNTIFS($AJ$3:$AJ$201,$M128)&gt;0,
    COUNTIFS($AK$3:$AK$201,$M128)&gt;0,
    COUNTIFS($AL$3:$AL$201,$M128)&gt;0,
    COUNTIFS($AM$3:$AM$201,$M128)&gt;0,
    COUNTIFS($AN$3:$AN$201,$M128)&gt;0,
    COUNTIFS($AO$3:$AO$201,$M128)&gt;0,
    COUNTIFS($AP$3:$AP$201,$M128)&gt;0,
    COUNTIFS($AQ$3:$AQ$201,$M128)&gt;0,
    COUNTIFS($AR$3:$AR$201,$M128)&gt;0,
    COUNTIFS($AS$3:$AS$201,$M128)&gt;0,
    COUNTIFS($AT$3:$AT$201,$M128)&gt;0,
    COUNTIFS($AU$3:$AU$201,$M128)&gt;0,
    COUNTIFS($AV$3:$AV$201,$M128)&gt;0,
    COUNTIFS($AW$3:$AW$201,$M128)&gt;0,
    COUNTIFS($AX$3:$AX$201,$M128)&gt;0
   ),
  0)
 ),
"")</f>
        <v>Tayam</v>
      </c>
      <c r="P128" s="2" t="str" cm="1">
        <f t="array" aca="1" ref="P128" ca="1">IFERROR(
 INDEX(
  _xlfn._xlws.FILTER($U$2:$AX$2,
   TRANSPOSE(
    CHOOSE({1;2;3;4;5;6;7;8;9;10;11;12;13;14;15;16;17;18;19;20;21;22;23;24;25;26;27;28;29;30},
     COUNTIFS($U$3:$U$201,$M128)&gt;0,
     COUNTIFS($V$3:$V$201,$M128)&gt;0,
     COUNTIFS($W$3:$W$201,$M128)&gt;0,
     COUNTIFS($X$3:$X$201,$M128)&gt;0,
     COUNTIFS($Y$3:$Y$201,$M128)&gt;0,
     COUNTIFS($Z$3:$Z$201,$M128)&gt;0,
     COUNTIFS($AA$3:$AA$201,$M128)&gt;0,
     COUNTIFS($AB$3:$AB$201,$M128)&gt;0,
     COUNTIFS($AC$3:$AC$201,$M128)&gt;0,
     COUNTIFS($AD$3:$AD$201,$M128)&gt;0,
     COUNTIFS($AE$3:$AE$201,$M128)&gt;0,
     COUNTIFS($AF$3:$AF$201,$M128)&gt;0,
     COUNTIFS($AG$3:$AG$201,$M128)&gt;0,
     COUNTIFS($AH$3:$AH$201,$M128)&gt;0,
     COUNTIFS($AI$3:$AI$201,$M128)&gt;0,
     COUNTIFS($AJ$3:$AJ$201,$M128)&gt;0,
     COUNTIFS($AK$3:$AK$201,$M128)&gt;0,
     COUNTIFS($AL$3:$AL$201,$M128)&gt;0,
     COUNTIFS($AM$3:$AM$201,$M128)&gt;0,
     COUNTIFS($AN$3:$AN$201,$M128)&gt;0,
     COUNTIFS($AO$3:$AO$201,$M128)&gt;0,
     COUNTIFS($AP$3:$AP$201,$M128)&gt;0,
     COUNTIFS($AQ$3:$AQ$201,$M128)&gt;0,
     COUNTIFS($AR$3:$AR$201,$M128)&gt;0,
     COUNTIFS($AS$3:$AS$201,$M128)&gt;0,
     COUNTIFS($AT$3:$AT$201,$M128)&gt;0,
     COUNTIFS($AU$3:$AU$201,$M128)&gt;0,
     COUNTIFS($AV$3:$AV$201,$M128)&gt;0,
     COUNTIFS($AW$3:$AW$201,$M128)&gt;0,
     COUNTIFS($AX$3:$AX$201,$M128)&gt;0
   )),
  ),
  2
 ),
"")</f>
        <v/>
      </c>
      <c r="Q128" s="2" t="str" cm="1">
        <f t="array" aca="1" ref="Q128" ca="1">IFERROR(
 INDEX(
  _xlfn._xlws.FILTER($U$2:$AX$2,
   TRANSPOSE(
    CHOOSE({1;2;3;4;5;6;7;8;9;10;11;12;13;14;15;16;17;18;19;20;21;22;23;24;25;26;27;28;29;30},
     COUNTIFS($U$3:$U$201,$M128)&gt;0,
     COUNTIFS($V$3:$V$201,$M128)&gt;0,
     COUNTIFS($W$3:$W$201,$M128)&gt;0,
     COUNTIFS($X$3:$X$201,$M128)&gt;0,
     COUNTIFS($Y$3:$Y$201,$M128)&gt;0,
     COUNTIFS($Z$3:$Z$201,$M128)&gt;0,
     COUNTIFS($AA$3:$AA$201,$M128)&gt;0,
     COUNTIFS($AB$3:$AB$201,$M128)&gt;0,
     COUNTIFS($AC$3:$AC$201,$M128)&gt;0,
     COUNTIFS($AD$3:$AD$201,$M128)&gt;0,
     COUNTIFS($AE$3:$AE$201,$M128)&gt;0,
     COUNTIFS($AF$3:$AF$201,$M128)&gt;0,
     COUNTIFS($AG$3:$AG$201,$M128)&gt;0,
     COUNTIFS($AH$3:$AH$201,$M128)&gt;0,
     COUNTIFS($AI$3:$AI$201,$M128)&gt;0,
     COUNTIFS($AJ$3:$AJ$201,$M128)&gt;0,
     COUNTIFS($AK$3:$AK$201,$M128)&gt;0,
     COUNTIFS($AL$3:$AL$201,$M128)&gt;0,
     COUNTIFS($AM$3:$AM$201,$M128)&gt;0,
     COUNTIFS($AN$3:$AN$201,$M128)&gt;0,
     COUNTIFS($AO$3:$AO$201,$M128)&gt;0,
     COUNTIFS($AP$3:$AP$201,$M128)&gt;0,
     COUNTIFS($AQ$3:$AQ$201,$M128)&gt;0,
     COUNTIFS($AR$3:$AR$201,$M128)&gt;0,
     COUNTIFS($AS$3:$AS$201,$M128)&gt;0,
     COUNTIFS($AT$3:$AT$201,$M128)&gt;0,
     COUNTIFS($AU$3:$AU$201,$M128)&gt;0,
     COUNTIFS($AV$3:$AV$201,$M128)&gt;0,
     COUNTIFS($AW$3:$AW$201,$M128)&gt;0,
     COUNTIFS($AX$3:$AX$201,$M128)&gt;0
   )),
  ),
  3
 ),
"")</f>
        <v/>
      </c>
      <c r="EO128" t="str">
        <f ca="1"/>
        <v>Shortcut to Mushrooms</v>
      </c>
      <c r="ET128" t="str">
        <f ca="1"/>
        <v>Mystic Forge</v>
      </c>
      <c r="EW128" t="str">
        <f ca="1"/>
        <v>Morbid Opportunist</v>
      </c>
    </row>
    <row r="129" spans="1:153" x14ac:dyDescent="0.25">
      <c r="A129" t="str">
        <f ca="1"/>
        <v>Dour Port-Mage</v>
      </c>
      <c r="B129" s="2" t="str" cm="1">
        <f t="array" aca="1" ref="B129" ca="1">_xlfn.ANCHORARRAY(RESUMO!C128)</f>
        <v>Yorion</v>
      </c>
      <c r="C129" s="2" t="str">
        <f t="shared" ca="1" si="4"/>
        <v/>
      </c>
      <c r="E129" t="str">
        <f ca="1"/>
        <v>Mountain</v>
      </c>
      <c r="F129" s="2">
        <f t="shared" ca="1" si="7"/>
        <v>7</v>
      </c>
      <c r="G129" s="2" t="str">
        <f t="shared" ca="1" si="5"/>
        <v>Piratas</v>
      </c>
      <c r="J129" t="s">
        <v>180</v>
      </c>
      <c r="K129" s="2">
        <v>1</v>
      </c>
      <c r="M129" t="str">
        <f ca="1"/>
        <v>Mountain</v>
      </c>
      <c r="N129" s="2">
        <f t="shared" ca="1" si="6"/>
        <v>7</v>
      </c>
      <c r="O129" s="2" t="str">
        <f ca="1">IFERROR(
 INDEX($U$2:$AX$2,
  MATCH(TRUE,
   CHOOSE({1;2;3;4;5;6;7;8;9;10;11;12;13;14;15;16;17;18;19;20;21;22;23;24;25;26;27;28;29;30;31;32},
    COUNTIFS($U$3:$U$201,$M129)&gt;0,
    COUNTIFS($V$3:$V$201,$M129)&gt;0,
    COUNTIFS($W$3:$W$201,$M129)&gt;0,
    COUNTIFS($X$3:$X$201,$M129)&gt;0,
    COUNTIFS($Y$3:$Y$201,$M129)&gt;0,
    COUNTIFS($Z$3:$Z$201,$M129)&gt;0,
    COUNTIFS($AA$3:$AA$201,$M129)&gt;0,
    COUNTIFS($AB$3:$AB$201,$M129)&gt;0,
    COUNTIFS($AC$3:$AC$201,$M129)&gt;0,
    COUNTIFS($AD$3:$AD$201,$M129)&gt;0,
    COUNTIFS($AE$3:$AE$201,$M129)&gt;0,
    COUNTIFS($AF$3:$AF$201,$M129)&gt;0,
    COUNTIFS($AG$3:$AG$201,$M129)&gt;0,
    COUNTIFS($AH$3:$AH$201,$M129)&gt;0,
    COUNTIFS($AI$3:$AI$201,$M129)&gt;0,
    COUNTIFS($AJ$3:$AJ$201,$M129)&gt;0,
    COUNTIFS($AK$3:$AK$201,$M129)&gt;0,
    COUNTIFS($AL$3:$AL$201,$M129)&gt;0,
    COUNTIFS($AM$3:$AM$201,$M129)&gt;0,
    COUNTIFS($AN$3:$AN$201,$M129)&gt;0,
    COUNTIFS($AO$3:$AO$201,$M129)&gt;0,
    COUNTIFS($AP$3:$AP$201,$M129)&gt;0,
    COUNTIFS($AQ$3:$AQ$201,$M129)&gt;0,
    COUNTIFS($AR$3:$AR$201,$M129)&gt;0,
    COUNTIFS($AS$3:$AS$201,$M129)&gt;0,
    COUNTIFS($AT$3:$AT$201,$M129)&gt;0,
    COUNTIFS($AU$3:$AU$201,$M129)&gt;0,
    COUNTIFS($AV$3:$AV$201,$M129)&gt;0,
    COUNTIFS($AW$3:$AW$201,$M129)&gt;0,
    COUNTIFS($AX$3:$AX$201,$M129)&gt;0
   ),
  0)
 ),
"")</f>
        <v>Piratas</v>
      </c>
      <c r="P129" s="2" t="str" cm="1">
        <f t="array" aca="1" ref="P129" ca="1">IFERROR(
 INDEX(
  _xlfn._xlws.FILTER($U$2:$AX$2,
   TRANSPOSE(
    CHOOSE({1;2;3;4;5;6;7;8;9;10;11;12;13;14;15;16;17;18;19;20;21;22;23;24;25;26;27;28;29;30},
     COUNTIFS($U$3:$U$201,$M129)&gt;0,
     COUNTIFS($V$3:$V$201,$M129)&gt;0,
     COUNTIFS($W$3:$W$201,$M129)&gt;0,
     COUNTIFS($X$3:$X$201,$M129)&gt;0,
     COUNTIFS($Y$3:$Y$201,$M129)&gt;0,
     COUNTIFS($Z$3:$Z$201,$M129)&gt;0,
     COUNTIFS($AA$3:$AA$201,$M129)&gt;0,
     COUNTIFS($AB$3:$AB$201,$M129)&gt;0,
     COUNTIFS($AC$3:$AC$201,$M129)&gt;0,
     COUNTIFS($AD$3:$AD$201,$M129)&gt;0,
     COUNTIFS($AE$3:$AE$201,$M129)&gt;0,
     COUNTIFS($AF$3:$AF$201,$M129)&gt;0,
     COUNTIFS($AG$3:$AG$201,$M129)&gt;0,
     COUNTIFS($AH$3:$AH$201,$M129)&gt;0,
     COUNTIFS($AI$3:$AI$201,$M129)&gt;0,
     COUNTIFS($AJ$3:$AJ$201,$M129)&gt;0,
     COUNTIFS($AK$3:$AK$201,$M129)&gt;0,
     COUNTIFS($AL$3:$AL$201,$M129)&gt;0,
     COUNTIFS($AM$3:$AM$201,$M129)&gt;0,
     COUNTIFS($AN$3:$AN$201,$M129)&gt;0,
     COUNTIFS($AO$3:$AO$201,$M129)&gt;0,
     COUNTIFS($AP$3:$AP$201,$M129)&gt;0,
     COUNTIFS($AQ$3:$AQ$201,$M129)&gt;0,
     COUNTIFS($AR$3:$AR$201,$M129)&gt;0,
     COUNTIFS($AS$3:$AS$201,$M129)&gt;0,
     COUNTIFS($AT$3:$AT$201,$M129)&gt;0,
     COUNTIFS($AU$3:$AU$201,$M129)&gt;0,
     COUNTIFS($AV$3:$AV$201,$M129)&gt;0,
     COUNTIFS($AW$3:$AW$201,$M129)&gt;0,
     COUNTIFS($AX$3:$AX$201,$M129)&gt;0
   )),
  ),
  2
 ),
"")</f>
        <v>Baylen</v>
      </c>
      <c r="Q129" s="2" t="str" cm="1">
        <f t="array" aca="1" ref="Q129" ca="1">IFERROR(
 INDEX(
  _xlfn._xlws.FILTER($U$2:$AX$2,
   TRANSPOSE(
    CHOOSE({1;2;3;4;5;6;7;8;9;10;11;12;13;14;15;16;17;18;19;20;21;22;23;24;25;26;27;28;29;30},
     COUNTIFS($U$3:$U$201,$M129)&gt;0,
     COUNTIFS($V$3:$V$201,$M129)&gt;0,
     COUNTIFS($W$3:$W$201,$M129)&gt;0,
     COUNTIFS($X$3:$X$201,$M129)&gt;0,
     COUNTIFS($Y$3:$Y$201,$M129)&gt;0,
     COUNTIFS($Z$3:$Z$201,$M129)&gt;0,
     COUNTIFS($AA$3:$AA$201,$M129)&gt;0,
     COUNTIFS($AB$3:$AB$201,$M129)&gt;0,
     COUNTIFS($AC$3:$AC$201,$M129)&gt;0,
     COUNTIFS($AD$3:$AD$201,$M129)&gt;0,
     COUNTIFS($AE$3:$AE$201,$M129)&gt;0,
     COUNTIFS($AF$3:$AF$201,$M129)&gt;0,
     COUNTIFS($AG$3:$AG$201,$M129)&gt;0,
     COUNTIFS($AH$3:$AH$201,$M129)&gt;0,
     COUNTIFS($AI$3:$AI$201,$M129)&gt;0,
     COUNTIFS($AJ$3:$AJ$201,$M129)&gt;0,
     COUNTIFS($AK$3:$AK$201,$M129)&gt;0,
     COUNTIFS($AL$3:$AL$201,$M129)&gt;0,
     COUNTIFS($AM$3:$AM$201,$M129)&gt;0,
     COUNTIFS($AN$3:$AN$201,$M129)&gt;0,
     COUNTIFS($AO$3:$AO$201,$M129)&gt;0,
     COUNTIFS($AP$3:$AP$201,$M129)&gt;0,
     COUNTIFS($AQ$3:$AQ$201,$M129)&gt;0,
     COUNTIFS($AR$3:$AR$201,$M129)&gt;0,
     COUNTIFS($AS$3:$AS$201,$M129)&gt;0,
     COUNTIFS($AT$3:$AT$201,$M129)&gt;0,
     COUNTIFS($AU$3:$AU$201,$M129)&gt;0,
     COUNTIFS($AV$3:$AV$201,$M129)&gt;0,
     COUNTIFS($AW$3:$AW$201,$M129)&gt;0,
     COUNTIFS($AX$3:$AX$201,$M129)&gt;0
   )),
  ),
  3
 ),
"")</f>
        <v>Narset</v>
      </c>
      <c r="EO129" t="str">
        <f ca="1"/>
        <v>Silundi Vision</v>
      </c>
      <c r="ET129" t="str">
        <f ca="1"/>
        <v>Mythos of Snapdax</v>
      </c>
      <c r="EW129" t="str">
        <f ca="1"/>
        <v>Mountain</v>
      </c>
    </row>
    <row r="130" spans="1:153" x14ac:dyDescent="0.25">
      <c r="A130" t="str">
        <f ca="1"/>
        <v>Dovin's Veto</v>
      </c>
      <c r="B130" s="2" t="str" cm="1">
        <f t="array" aca="1" ref="B130" ca="1">_xlfn.ANCHORARRAY(RESUMO!C129)</f>
        <v>Yorion</v>
      </c>
      <c r="C130" s="2" t="str">
        <f t="shared" ca="1" si="4"/>
        <v/>
      </c>
      <c r="E130" t="str">
        <f ca="1"/>
        <v>Muldrotha, the Gravetide</v>
      </c>
      <c r="F130" s="2">
        <f t="shared" ca="1" si="7"/>
        <v>1</v>
      </c>
      <c r="G130" s="2" t="str">
        <f t="shared" ca="1" si="5"/>
        <v>Zimone</v>
      </c>
      <c r="J130" t="s">
        <v>180</v>
      </c>
      <c r="K130" s="2">
        <v>1</v>
      </c>
      <c r="M130" t="str">
        <f ca="1"/>
        <v>Muldrotha, the Gravetide</v>
      </c>
      <c r="N130" s="2">
        <f t="shared" ca="1" si="6"/>
        <v>1</v>
      </c>
      <c r="O130" s="2" t="str">
        <f ca="1">IFERROR(
 INDEX($U$2:$AX$2,
  MATCH(TRUE,
   CHOOSE({1;2;3;4;5;6;7;8;9;10;11;12;13;14;15;16;17;18;19;20;21;22;23;24;25;26;27;28;29;30;31;32},
    COUNTIFS($U$3:$U$201,$M130)&gt;0,
    COUNTIFS($V$3:$V$201,$M130)&gt;0,
    COUNTIFS($W$3:$W$201,$M130)&gt;0,
    COUNTIFS($X$3:$X$201,$M130)&gt;0,
    COUNTIFS($Y$3:$Y$201,$M130)&gt;0,
    COUNTIFS($Z$3:$Z$201,$M130)&gt;0,
    COUNTIFS($AA$3:$AA$201,$M130)&gt;0,
    COUNTIFS($AB$3:$AB$201,$M130)&gt;0,
    COUNTIFS($AC$3:$AC$201,$M130)&gt;0,
    COUNTIFS($AD$3:$AD$201,$M130)&gt;0,
    COUNTIFS($AE$3:$AE$201,$M130)&gt;0,
    COUNTIFS($AF$3:$AF$201,$M130)&gt;0,
    COUNTIFS($AG$3:$AG$201,$M130)&gt;0,
    COUNTIFS($AH$3:$AH$201,$M130)&gt;0,
    COUNTIFS($AI$3:$AI$201,$M130)&gt;0,
    COUNTIFS($AJ$3:$AJ$201,$M130)&gt;0,
    COUNTIFS($AK$3:$AK$201,$M130)&gt;0,
    COUNTIFS($AL$3:$AL$201,$M130)&gt;0,
    COUNTIFS($AM$3:$AM$201,$M130)&gt;0,
    COUNTIFS($AN$3:$AN$201,$M130)&gt;0,
    COUNTIFS($AO$3:$AO$201,$M130)&gt;0,
    COUNTIFS($AP$3:$AP$201,$M130)&gt;0,
    COUNTIFS($AQ$3:$AQ$201,$M130)&gt;0,
    COUNTIFS($AR$3:$AR$201,$M130)&gt;0,
    COUNTIFS($AS$3:$AS$201,$M130)&gt;0,
    COUNTIFS($AT$3:$AT$201,$M130)&gt;0,
    COUNTIFS($AU$3:$AU$201,$M130)&gt;0,
    COUNTIFS($AV$3:$AV$201,$M130)&gt;0,
    COUNTIFS($AW$3:$AW$201,$M130)&gt;0,
    COUNTIFS($AX$3:$AX$201,$M130)&gt;0
   ),
  0)
 ),
"")</f>
        <v>Zimone</v>
      </c>
      <c r="P130" s="2" t="str" cm="1">
        <f t="array" aca="1" ref="P130" ca="1">IFERROR(
 INDEX(
  _xlfn._xlws.FILTER($U$2:$AX$2,
   TRANSPOSE(
    CHOOSE({1;2;3;4;5;6;7;8;9;10;11;12;13;14;15;16;17;18;19;20;21;22;23;24;25;26;27;28;29;30},
     COUNTIFS($U$3:$U$201,$M130)&gt;0,
     COUNTIFS($V$3:$V$201,$M130)&gt;0,
     COUNTIFS($W$3:$W$201,$M130)&gt;0,
     COUNTIFS($X$3:$X$201,$M130)&gt;0,
     COUNTIFS($Y$3:$Y$201,$M130)&gt;0,
     COUNTIFS($Z$3:$Z$201,$M130)&gt;0,
     COUNTIFS($AA$3:$AA$201,$M130)&gt;0,
     COUNTIFS($AB$3:$AB$201,$M130)&gt;0,
     COUNTIFS($AC$3:$AC$201,$M130)&gt;0,
     COUNTIFS($AD$3:$AD$201,$M130)&gt;0,
     COUNTIFS($AE$3:$AE$201,$M130)&gt;0,
     COUNTIFS($AF$3:$AF$201,$M130)&gt;0,
     COUNTIFS($AG$3:$AG$201,$M130)&gt;0,
     COUNTIFS($AH$3:$AH$201,$M130)&gt;0,
     COUNTIFS($AI$3:$AI$201,$M130)&gt;0,
     COUNTIFS($AJ$3:$AJ$201,$M130)&gt;0,
     COUNTIFS($AK$3:$AK$201,$M130)&gt;0,
     COUNTIFS($AL$3:$AL$201,$M130)&gt;0,
     COUNTIFS($AM$3:$AM$201,$M130)&gt;0,
     COUNTIFS($AN$3:$AN$201,$M130)&gt;0,
     COUNTIFS($AO$3:$AO$201,$M130)&gt;0,
     COUNTIFS($AP$3:$AP$201,$M130)&gt;0,
     COUNTIFS($AQ$3:$AQ$201,$M130)&gt;0,
     COUNTIFS($AR$3:$AR$201,$M130)&gt;0,
     COUNTIFS($AS$3:$AS$201,$M130)&gt;0,
     COUNTIFS($AT$3:$AT$201,$M130)&gt;0,
     COUNTIFS($AU$3:$AU$201,$M130)&gt;0,
     COUNTIFS($AV$3:$AV$201,$M130)&gt;0,
     COUNTIFS($AW$3:$AW$201,$M130)&gt;0,
     COUNTIFS($AX$3:$AX$201,$M130)&gt;0
   )),
  ),
  2
 ),
"")</f>
        <v/>
      </c>
      <c r="Q130" s="2" t="str" cm="1">
        <f t="array" aca="1" ref="Q130" ca="1">IFERROR(
 INDEX(
  _xlfn._xlws.FILTER($U$2:$AX$2,
   TRANSPOSE(
    CHOOSE({1;2;3;4;5;6;7;8;9;10;11;12;13;14;15;16;17;18;19;20;21;22;23;24;25;26;27;28;29;30},
     COUNTIFS($U$3:$U$201,$M130)&gt;0,
     COUNTIFS($V$3:$V$201,$M130)&gt;0,
     COUNTIFS($W$3:$W$201,$M130)&gt;0,
     COUNTIFS($X$3:$X$201,$M130)&gt;0,
     COUNTIFS($Y$3:$Y$201,$M130)&gt;0,
     COUNTIFS($Z$3:$Z$201,$M130)&gt;0,
     COUNTIFS($AA$3:$AA$201,$M130)&gt;0,
     COUNTIFS($AB$3:$AB$201,$M130)&gt;0,
     COUNTIFS($AC$3:$AC$201,$M130)&gt;0,
     COUNTIFS($AD$3:$AD$201,$M130)&gt;0,
     COUNTIFS($AE$3:$AE$201,$M130)&gt;0,
     COUNTIFS($AF$3:$AF$201,$M130)&gt;0,
     COUNTIFS($AG$3:$AG$201,$M130)&gt;0,
     COUNTIFS($AH$3:$AH$201,$M130)&gt;0,
     COUNTIFS($AI$3:$AI$201,$M130)&gt;0,
     COUNTIFS($AJ$3:$AJ$201,$M130)&gt;0,
     COUNTIFS($AK$3:$AK$201,$M130)&gt;0,
     COUNTIFS($AL$3:$AL$201,$M130)&gt;0,
     COUNTIFS($AM$3:$AM$201,$M130)&gt;0,
     COUNTIFS($AN$3:$AN$201,$M130)&gt;0,
     COUNTIFS($AO$3:$AO$201,$M130)&gt;0,
     COUNTIFS($AP$3:$AP$201,$M130)&gt;0,
     COUNTIFS($AQ$3:$AQ$201,$M130)&gt;0,
     COUNTIFS($AR$3:$AR$201,$M130)&gt;0,
     COUNTIFS($AS$3:$AS$201,$M130)&gt;0,
     COUNTIFS($AT$3:$AT$201,$M130)&gt;0,
     COUNTIFS($AU$3:$AU$201,$M130)&gt;0,
     COUNTIFS($AV$3:$AV$201,$M130)&gt;0,
     COUNTIFS($AW$3:$AW$201,$M130)&gt;0,
     COUNTIFS($AX$3:$AX$201,$M130)&gt;0
   )),
  ),
  3
 ),
"")</f>
        <v/>
      </c>
      <c r="EO130" t="str">
        <f ca="1"/>
        <v>Simian Simulacrum</v>
      </c>
      <c r="ET130" t="str">
        <f ca="1"/>
        <v>Naya Charm</v>
      </c>
      <c r="EW130" t="str">
        <f ca="1"/>
        <v>Muldrotha, the Gravetide</v>
      </c>
    </row>
    <row r="131" spans="1:153" x14ac:dyDescent="0.25">
      <c r="A131" t="str">
        <f ca="1"/>
        <v>Dragonskull Summit</v>
      </c>
      <c r="B131" s="2" t="str" cm="1">
        <f t="array" aca="1" ref="B131" ca="1">_xlfn.ANCHORARRAY(RESUMO!C130)</f>
        <v>Zuko</v>
      </c>
      <c r="C131" s="2" t="str">
        <f t="shared" ref="C131:C194" ca="1" si="8">IFERROR(_xlfn.XLOOKUP($A131,$E:$E,$G:$G),"")</f>
        <v/>
      </c>
      <c r="E131" t="str">
        <f ca="1"/>
        <v>Murderous Rider // Swift End</v>
      </c>
      <c r="F131" s="2">
        <f t="shared" ca="1" si="7"/>
        <v>1</v>
      </c>
      <c r="G131" s="2" t="str">
        <f t="shared" ref="G131:G194" ca="1" si="9">_xlfn.XLOOKUP($E131,$M:$M,$O:$O,"Guardado")</f>
        <v>Kresh</v>
      </c>
      <c r="J131" t="s">
        <v>180</v>
      </c>
      <c r="K131" s="2">
        <v>1</v>
      </c>
      <c r="M131" t="str">
        <f ca="1"/>
        <v>Murderous Rider // Swift End</v>
      </c>
      <c r="N131" s="2">
        <f t="shared" ref="N131:N194" ca="1" si="10">COUNTIF(U:AX,M131)</f>
        <v>1</v>
      </c>
      <c r="O131" s="2" t="str">
        <f ca="1">IFERROR(
 INDEX($U$2:$AX$2,
  MATCH(TRUE,
   CHOOSE({1;2;3;4;5;6;7;8;9;10;11;12;13;14;15;16;17;18;19;20;21;22;23;24;25;26;27;28;29;30;31;32},
    COUNTIFS($U$3:$U$201,$M131)&gt;0,
    COUNTIFS($V$3:$V$201,$M131)&gt;0,
    COUNTIFS($W$3:$W$201,$M131)&gt;0,
    COUNTIFS($X$3:$X$201,$M131)&gt;0,
    COUNTIFS($Y$3:$Y$201,$M131)&gt;0,
    COUNTIFS($Z$3:$Z$201,$M131)&gt;0,
    COUNTIFS($AA$3:$AA$201,$M131)&gt;0,
    COUNTIFS($AB$3:$AB$201,$M131)&gt;0,
    COUNTIFS($AC$3:$AC$201,$M131)&gt;0,
    COUNTIFS($AD$3:$AD$201,$M131)&gt;0,
    COUNTIFS($AE$3:$AE$201,$M131)&gt;0,
    COUNTIFS($AF$3:$AF$201,$M131)&gt;0,
    COUNTIFS($AG$3:$AG$201,$M131)&gt;0,
    COUNTIFS($AH$3:$AH$201,$M131)&gt;0,
    COUNTIFS($AI$3:$AI$201,$M131)&gt;0,
    COUNTIFS($AJ$3:$AJ$201,$M131)&gt;0,
    COUNTIFS($AK$3:$AK$201,$M131)&gt;0,
    COUNTIFS($AL$3:$AL$201,$M131)&gt;0,
    COUNTIFS($AM$3:$AM$201,$M131)&gt;0,
    COUNTIFS($AN$3:$AN$201,$M131)&gt;0,
    COUNTIFS($AO$3:$AO$201,$M131)&gt;0,
    COUNTIFS($AP$3:$AP$201,$M131)&gt;0,
    COUNTIFS($AQ$3:$AQ$201,$M131)&gt;0,
    COUNTIFS($AR$3:$AR$201,$M131)&gt;0,
    COUNTIFS($AS$3:$AS$201,$M131)&gt;0,
    COUNTIFS($AT$3:$AT$201,$M131)&gt;0,
    COUNTIFS($AU$3:$AU$201,$M131)&gt;0,
    COUNTIFS($AV$3:$AV$201,$M131)&gt;0,
    COUNTIFS($AW$3:$AW$201,$M131)&gt;0,
    COUNTIFS($AX$3:$AX$201,$M131)&gt;0
   ),
  0)
 ),
"")</f>
        <v>Kresh</v>
      </c>
      <c r="P131" s="2" t="str" cm="1">
        <f t="array" aca="1" ref="P131" ca="1">IFERROR(
 INDEX(
  _xlfn._xlws.FILTER($U$2:$AX$2,
   TRANSPOSE(
    CHOOSE({1;2;3;4;5;6;7;8;9;10;11;12;13;14;15;16;17;18;19;20;21;22;23;24;25;26;27;28;29;30},
     COUNTIFS($U$3:$U$201,$M131)&gt;0,
     COUNTIFS($V$3:$V$201,$M131)&gt;0,
     COUNTIFS($W$3:$W$201,$M131)&gt;0,
     COUNTIFS($X$3:$X$201,$M131)&gt;0,
     COUNTIFS($Y$3:$Y$201,$M131)&gt;0,
     COUNTIFS($Z$3:$Z$201,$M131)&gt;0,
     COUNTIFS($AA$3:$AA$201,$M131)&gt;0,
     COUNTIFS($AB$3:$AB$201,$M131)&gt;0,
     COUNTIFS($AC$3:$AC$201,$M131)&gt;0,
     COUNTIFS($AD$3:$AD$201,$M131)&gt;0,
     COUNTIFS($AE$3:$AE$201,$M131)&gt;0,
     COUNTIFS($AF$3:$AF$201,$M131)&gt;0,
     COUNTIFS($AG$3:$AG$201,$M131)&gt;0,
     COUNTIFS($AH$3:$AH$201,$M131)&gt;0,
     COUNTIFS($AI$3:$AI$201,$M131)&gt;0,
     COUNTIFS($AJ$3:$AJ$201,$M131)&gt;0,
     COUNTIFS($AK$3:$AK$201,$M131)&gt;0,
     COUNTIFS($AL$3:$AL$201,$M131)&gt;0,
     COUNTIFS($AM$3:$AM$201,$M131)&gt;0,
     COUNTIFS($AN$3:$AN$201,$M131)&gt;0,
     COUNTIFS($AO$3:$AO$201,$M131)&gt;0,
     COUNTIFS($AP$3:$AP$201,$M131)&gt;0,
     COUNTIFS($AQ$3:$AQ$201,$M131)&gt;0,
     COUNTIFS($AR$3:$AR$201,$M131)&gt;0,
     COUNTIFS($AS$3:$AS$201,$M131)&gt;0,
     COUNTIFS($AT$3:$AT$201,$M131)&gt;0,
     COUNTIFS($AU$3:$AU$201,$M131)&gt;0,
     COUNTIFS($AV$3:$AV$201,$M131)&gt;0,
     COUNTIFS($AW$3:$AW$201,$M131)&gt;0,
     COUNTIFS($AX$3:$AX$201,$M131)&gt;0
   )),
  ),
  2
 ),
"")</f>
        <v/>
      </c>
      <c r="Q131" s="2" t="str" cm="1">
        <f t="array" aca="1" ref="Q131" ca="1">IFERROR(
 INDEX(
  _xlfn._xlws.FILTER($U$2:$AX$2,
   TRANSPOSE(
    CHOOSE({1;2;3;4;5;6;7;8;9;10;11;12;13;14;15;16;17;18;19;20;21;22;23;24;25;26;27;28;29;30},
     COUNTIFS($U$3:$U$201,$M131)&gt;0,
     COUNTIFS($V$3:$V$201,$M131)&gt;0,
     COUNTIFS($W$3:$W$201,$M131)&gt;0,
     COUNTIFS($X$3:$X$201,$M131)&gt;0,
     COUNTIFS($Y$3:$Y$201,$M131)&gt;0,
     COUNTIFS($Z$3:$Z$201,$M131)&gt;0,
     COUNTIFS($AA$3:$AA$201,$M131)&gt;0,
     COUNTIFS($AB$3:$AB$201,$M131)&gt;0,
     COUNTIFS($AC$3:$AC$201,$M131)&gt;0,
     COUNTIFS($AD$3:$AD$201,$M131)&gt;0,
     COUNTIFS($AE$3:$AE$201,$M131)&gt;0,
     COUNTIFS($AF$3:$AF$201,$M131)&gt;0,
     COUNTIFS($AG$3:$AG$201,$M131)&gt;0,
     COUNTIFS($AH$3:$AH$201,$M131)&gt;0,
     COUNTIFS($AI$3:$AI$201,$M131)&gt;0,
     COUNTIFS($AJ$3:$AJ$201,$M131)&gt;0,
     COUNTIFS($AK$3:$AK$201,$M131)&gt;0,
     COUNTIFS($AL$3:$AL$201,$M131)&gt;0,
     COUNTIFS($AM$3:$AM$201,$M131)&gt;0,
     COUNTIFS($AN$3:$AN$201,$M131)&gt;0,
     COUNTIFS($AO$3:$AO$201,$M131)&gt;0,
     COUNTIFS($AP$3:$AP$201,$M131)&gt;0,
     COUNTIFS($AQ$3:$AQ$201,$M131)&gt;0,
     COUNTIFS($AR$3:$AR$201,$M131)&gt;0,
     COUNTIFS($AS$3:$AS$201,$M131)&gt;0,
     COUNTIFS($AT$3:$AT$201,$M131)&gt;0,
     COUNTIFS($AU$3:$AU$201,$M131)&gt;0,
     COUNTIFS($AV$3:$AV$201,$M131)&gt;0,
     COUNTIFS($AW$3:$AW$201,$M131)&gt;0,
     COUNTIFS($AX$3:$AX$201,$M131)&gt;0
   )),
  ),
  3
 ),
"")</f>
        <v/>
      </c>
      <c r="EO131" t="str">
        <f ca="1"/>
        <v>Smoke Shroud</v>
      </c>
      <c r="ET131" t="str">
        <f ca="1"/>
        <v>Nezahal, Primal Tide</v>
      </c>
      <c r="EW131" t="str">
        <f ca="1"/>
        <v>Murderous Rider // Swift End</v>
      </c>
    </row>
    <row r="132" spans="1:153" x14ac:dyDescent="0.25">
      <c r="A132" t="str">
        <f ca="1"/>
        <v>Dream Devourer</v>
      </c>
      <c r="B132" s="2" t="str" cm="1">
        <f t="array" aca="1" ref="B132" ca="1">_xlfn.ANCHORARRAY(RESUMO!C131)</f>
        <v>Zuko</v>
      </c>
      <c r="C132" s="2" t="str">
        <f t="shared" ca="1" si="8"/>
        <v/>
      </c>
      <c r="E132" t="str">
        <f ca="1"/>
        <v>Mystic Forge</v>
      </c>
      <c r="F132" s="2">
        <f t="shared" ref="F132:F195" ca="1" si="11">COUNTIF(U:CF,E132)+COUNTIF(K:K,E132)</f>
        <v>1</v>
      </c>
      <c r="G132" s="2" t="str">
        <f t="shared" ca="1" si="9"/>
        <v>Oona</v>
      </c>
      <c r="J132" t="s">
        <v>180</v>
      </c>
      <c r="K132" s="2">
        <v>1</v>
      </c>
      <c r="M132" t="str">
        <f ca="1"/>
        <v>Mystic Forge</v>
      </c>
      <c r="N132" s="2">
        <f t="shared" ca="1" si="10"/>
        <v>1</v>
      </c>
      <c r="O132" s="2" t="str">
        <f ca="1">IFERROR(
 INDEX($U$2:$AX$2,
  MATCH(TRUE,
   CHOOSE({1;2;3;4;5;6;7;8;9;10;11;12;13;14;15;16;17;18;19;20;21;22;23;24;25;26;27;28;29;30;31;32},
    COUNTIFS($U$3:$U$201,$M132)&gt;0,
    COUNTIFS($V$3:$V$201,$M132)&gt;0,
    COUNTIFS($W$3:$W$201,$M132)&gt;0,
    COUNTIFS($X$3:$X$201,$M132)&gt;0,
    COUNTIFS($Y$3:$Y$201,$M132)&gt;0,
    COUNTIFS($Z$3:$Z$201,$M132)&gt;0,
    COUNTIFS($AA$3:$AA$201,$M132)&gt;0,
    COUNTIFS($AB$3:$AB$201,$M132)&gt;0,
    COUNTIFS($AC$3:$AC$201,$M132)&gt;0,
    COUNTIFS($AD$3:$AD$201,$M132)&gt;0,
    COUNTIFS($AE$3:$AE$201,$M132)&gt;0,
    COUNTIFS($AF$3:$AF$201,$M132)&gt;0,
    COUNTIFS($AG$3:$AG$201,$M132)&gt;0,
    COUNTIFS($AH$3:$AH$201,$M132)&gt;0,
    COUNTIFS($AI$3:$AI$201,$M132)&gt;0,
    COUNTIFS($AJ$3:$AJ$201,$M132)&gt;0,
    COUNTIFS($AK$3:$AK$201,$M132)&gt;0,
    COUNTIFS($AL$3:$AL$201,$M132)&gt;0,
    COUNTIFS($AM$3:$AM$201,$M132)&gt;0,
    COUNTIFS($AN$3:$AN$201,$M132)&gt;0,
    COUNTIFS($AO$3:$AO$201,$M132)&gt;0,
    COUNTIFS($AP$3:$AP$201,$M132)&gt;0,
    COUNTIFS($AQ$3:$AQ$201,$M132)&gt;0,
    COUNTIFS($AR$3:$AR$201,$M132)&gt;0,
    COUNTIFS($AS$3:$AS$201,$M132)&gt;0,
    COUNTIFS($AT$3:$AT$201,$M132)&gt;0,
    COUNTIFS($AU$3:$AU$201,$M132)&gt;0,
    COUNTIFS($AV$3:$AV$201,$M132)&gt;0,
    COUNTIFS($AW$3:$AW$201,$M132)&gt;0,
    COUNTIFS($AX$3:$AX$201,$M132)&gt;0
   ),
  0)
 ),
"")</f>
        <v>Oona</v>
      </c>
      <c r="P132" s="2" t="str" cm="1">
        <f t="array" aca="1" ref="P132" ca="1">IFERROR(
 INDEX(
  _xlfn._xlws.FILTER($U$2:$AX$2,
   TRANSPOSE(
    CHOOSE({1;2;3;4;5;6;7;8;9;10;11;12;13;14;15;16;17;18;19;20;21;22;23;24;25;26;27;28;29;30},
     COUNTIFS($U$3:$U$201,$M132)&gt;0,
     COUNTIFS($V$3:$V$201,$M132)&gt;0,
     COUNTIFS($W$3:$W$201,$M132)&gt;0,
     COUNTIFS($X$3:$X$201,$M132)&gt;0,
     COUNTIFS($Y$3:$Y$201,$M132)&gt;0,
     COUNTIFS($Z$3:$Z$201,$M132)&gt;0,
     COUNTIFS($AA$3:$AA$201,$M132)&gt;0,
     COUNTIFS($AB$3:$AB$201,$M132)&gt;0,
     COUNTIFS($AC$3:$AC$201,$M132)&gt;0,
     COUNTIFS($AD$3:$AD$201,$M132)&gt;0,
     COUNTIFS($AE$3:$AE$201,$M132)&gt;0,
     COUNTIFS($AF$3:$AF$201,$M132)&gt;0,
     COUNTIFS($AG$3:$AG$201,$M132)&gt;0,
     COUNTIFS($AH$3:$AH$201,$M132)&gt;0,
     COUNTIFS($AI$3:$AI$201,$M132)&gt;0,
     COUNTIFS($AJ$3:$AJ$201,$M132)&gt;0,
     COUNTIFS($AK$3:$AK$201,$M132)&gt;0,
     COUNTIFS($AL$3:$AL$201,$M132)&gt;0,
     COUNTIFS($AM$3:$AM$201,$M132)&gt;0,
     COUNTIFS($AN$3:$AN$201,$M132)&gt;0,
     COUNTIFS($AO$3:$AO$201,$M132)&gt;0,
     COUNTIFS($AP$3:$AP$201,$M132)&gt;0,
     COUNTIFS($AQ$3:$AQ$201,$M132)&gt;0,
     COUNTIFS($AR$3:$AR$201,$M132)&gt;0,
     COUNTIFS($AS$3:$AS$201,$M132)&gt;0,
     COUNTIFS($AT$3:$AT$201,$M132)&gt;0,
     COUNTIFS($AU$3:$AU$201,$M132)&gt;0,
     COUNTIFS($AV$3:$AV$201,$M132)&gt;0,
     COUNTIFS($AW$3:$AW$201,$M132)&gt;0,
     COUNTIFS($AX$3:$AX$201,$M132)&gt;0
   )),
  ),
  2
 ),
"")</f>
        <v/>
      </c>
      <c r="Q132" s="2" t="str" cm="1">
        <f t="array" aca="1" ref="Q132" ca="1">IFERROR(
 INDEX(
  _xlfn._xlws.FILTER($U$2:$AX$2,
   TRANSPOSE(
    CHOOSE({1;2;3;4;5;6;7;8;9;10;11;12;13;14;15;16;17;18;19;20;21;22;23;24;25;26;27;28;29;30},
     COUNTIFS($U$3:$U$201,$M132)&gt;0,
     COUNTIFS($V$3:$V$201,$M132)&gt;0,
     COUNTIFS($W$3:$W$201,$M132)&gt;0,
     COUNTIFS($X$3:$X$201,$M132)&gt;0,
     COUNTIFS($Y$3:$Y$201,$M132)&gt;0,
     COUNTIFS($Z$3:$Z$201,$M132)&gt;0,
     COUNTIFS($AA$3:$AA$201,$M132)&gt;0,
     COUNTIFS($AB$3:$AB$201,$M132)&gt;0,
     COUNTIFS($AC$3:$AC$201,$M132)&gt;0,
     COUNTIFS($AD$3:$AD$201,$M132)&gt;0,
     COUNTIFS($AE$3:$AE$201,$M132)&gt;0,
     COUNTIFS($AF$3:$AF$201,$M132)&gt;0,
     COUNTIFS($AG$3:$AG$201,$M132)&gt;0,
     COUNTIFS($AH$3:$AH$201,$M132)&gt;0,
     COUNTIFS($AI$3:$AI$201,$M132)&gt;0,
     COUNTIFS($AJ$3:$AJ$201,$M132)&gt;0,
     COUNTIFS($AK$3:$AK$201,$M132)&gt;0,
     COUNTIFS($AL$3:$AL$201,$M132)&gt;0,
     COUNTIFS($AM$3:$AM$201,$M132)&gt;0,
     COUNTIFS($AN$3:$AN$201,$M132)&gt;0,
     COUNTIFS($AO$3:$AO$201,$M132)&gt;0,
     COUNTIFS($AP$3:$AP$201,$M132)&gt;0,
     COUNTIFS($AQ$3:$AQ$201,$M132)&gt;0,
     COUNTIFS($AR$3:$AR$201,$M132)&gt;0,
     COUNTIFS($AS$3:$AS$201,$M132)&gt;0,
     COUNTIFS($AT$3:$AT$201,$M132)&gt;0,
     COUNTIFS($AU$3:$AU$201,$M132)&gt;0,
     COUNTIFS($AV$3:$AV$201,$M132)&gt;0,
     COUNTIFS($AW$3:$AW$201,$M132)&gt;0,
     COUNTIFS($AX$3:$AX$201,$M132)&gt;0
   )),
  ),
  3
 ),
"")</f>
        <v/>
      </c>
      <c r="EO132" t="str">
        <f ca="1"/>
        <v>Solidarity of Heroes</v>
      </c>
      <c r="ET132" t="str">
        <f ca="1"/>
        <v>Nicol Bolas, Dragon-God</v>
      </c>
      <c r="EW132" t="str">
        <f ca="1"/>
        <v>Mystic Forge</v>
      </c>
    </row>
    <row r="133" spans="1:153" x14ac:dyDescent="0.25">
      <c r="A133" t="str">
        <f ca="1"/>
        <v>Dregscape Sliver</v>
      </c>
      <c r="B133" s="2" t="str" cm="1">
        <f t="array" aca="1" ref="B133" ca="1">_xlfn.ANCHORARRAY(RESUMO!C132)</f>
        <v>Fractius</v>
      </c>
      <c r="C133" s="2" t="str">
        <f t="shared" ca="1" si="8"/>
        <v/>
      </c>
      <c r="E133" t="str">
        <f ca="1"/>
        <v>Mythos of Snapdax</v>
      </c>
      <c r="F133" s="2">
        <f t="shared" ca="1" si="11"/>
        <v>1</v>
      </c>
      <c r="G133" s="2" t="str">
        <f t="shared" ca="1" si="9"/>
        <v>VialIshai</v>
      </c>
      <c r="J133" t="s">
        <v>180</v>
      </c>
      <c r="K133" s="2">
        <v>1</v>
      </c>
      <c r="M133" t="str">
        <f ca="1"/>
        <v>Mythos of Snapdax</v>
      </c>
      <c r="N133" s="2">
        <f t="shared" ca="1" si="10"/>
        <v>1</v>
      </c>
      <c r="O133" s="2" t="str">
        <f ca="1">IFERROR(
 INDEX($U$2:$AX$2,
  MATCH(TRUE,
   CHOOSE({1;2;3;4;5;6;7;8;9;10;11;12;13;14;15;16;17;18;19;20;21;22;23;24;25;26;27;28;29;30;31;32},
    COUNTIFS($U$3:$U$201,$M133)&gt;0,
    COUNTIFS($V$3:$V$201,$M133)&gt;0,
    COUNTIFS($W$3:$W$201,$M133)&gt;0,
    COUNTIFS($X$3:$X$201,$M133)&gt;0,
    COUNTIFS($Y$3:$Y$201,$M133)&gt;0,
    COUNTIFS($Z$3:$Z$201,$M133)&gt;0,
    COUNTIFS($AA$3:$AA$201,$M133)&gt;0,
    COUNTIFS($AB$3:$AB$201,$M133)&gt;0,
    COUNTIFS($AC$3:$AC$201,$M133)&gt;0,
    COUNTIFS($AD$3:$AD$201,$M133)&gt;0,
    COUNTIFS($AE$3:$AE$201,$M133)&gt;0,
    COUNTIFS($AF$3:$AF$201,$M133)&gt;0,
    COUNTIFS($AG$3:$AG$201,$M133)&gt;0,
    COUNTIFS($AH$3:$AH$201,$M133)&gt;0,
    COUNTIFS($AI$3:$AI$201,$M133)&gt;0,
    COUNTIFS($AJ$3:$AJ$201,$M133)&gt;0,
    COUNTIFS($AK$3:$AK$201,$M133)&gt;0,
    COUNTIFS($AL$3:$AL$201,$M133)&gt;0,
    COUNTIFS($AM$3:$AM$201,$M133)&gt;0,
    COUNTIFS($AN$3:$AN$201,$M133)&gt;0,
    COUNTIFS($AO$3:$AO$201,$M133)&gt;0,
    COUNTIFS($AP$3:$AP$201,$M133)&gt;0,
    COUNTIFS($AQ$3:$AQ$201,$M133)&gt;0,
    COUNTIFS($AR$3:$AR$201,$M133)&gt;0,
    COUNTIFS($AS$3:$AS$201,$M133)&gt;0,
    COUNTIFS($AT$3:$AT$201,$M133)&gt;0,
    COUNTIFS($AU$3:$AU$201,$M133)&gt;0,
    COUNTIFS($AV$3:$AV$201,$M133)&gt;0,
    COUNTIFS($AW$3:$AW$201,$M133)&gt;0,
    COUNTIFS($AX$3:$AX$201,$M133)&gt;0
   ),
  0)
 ),
"")</f>
        <v>VialIshai</v>
      </c>
      <c r="P133" s="2" t="str" cm="1">
        <f t="array" aca="1" ref="P133" ca="1">IFERROR(
 INDEX(
  _xlfn._xlws.FILTER($U$2:$AX$2,
   TRANSPOSE(
    CHOOSE({1;2;3;4;5;6;7;8;9;10;11;12;13;14;15;16;17;18;19;20;21;22;23;24;25;26;27;28;29;30},
     COUNTIFS($U$3:$U$201,$M133)&gt;0,
     COUNTIFS($V$3:$V$201,$M133)&gt;0,
     COUNTIFS($W$3:$W$201,$M133)&gt;0,
     COUNTIFS($X$3:$X$201,$M133)&gt;0,
     COUNTIFS($Y$3:$Y$201,$M133)&gt;0,
     COUNTIFS($Z$3:$Z$201,$M133)&gt;0,
     COUNTIFS($AA$3:$AA$201,$M133)&gt;0,
     COUNTIFS($AB$3:$AB$201,$M133)&gt;0,
     COUNTIFS($AC$3:$AC$201,$M133)&gt;0,
     COUNTIFS($AD$3:$AD$201,$M133)&gt;0,
     COUNTIFS($AE$3:$AE$201,$M133)&gt;0,
     COUNTIFS($AF$3:$AF$201,$M133)&gt;0,
     COUNTIFS($AG$3:$AG$201,$M133)&gt;0,
     COUNTIFS($AH$3:$AH$201,$M133)&gt;0,
     COUNTIFS($AI$3:$AI$201,$M133)&gt;0,
     COUNTIFS($AJ$3:$AJ$201,$M133)&gt;0,
     COUNTIFS($AK$3:$AK$201,$M133)&gt;0,
     COUNTIFS($AL$3:$AL$201,$M133)&gt;0,
     COUNTIFS($AM$3:$AM$201,$M133)&gt;0,
     COUNTIFS($AN$3:$AN$201,$M133)&gt;0,
     COUNTIFS($AO$3:$AO$201,$M133)&gt;0,
     COUNTIFS($AP$3:$AP$201,$M133)&gt;0,
     COUNTIFS($AQ$3:$AQ$201,$M133)&gt;0,
     COUNTIFS($AR$3:$AR$201,$M133)&gt;0,
     COUNTIFS($AS$3:$AS$201,$M133)&gt;0,
     COUNTIFS($AT$3:$AT$201,$M133)&gt;0,
     COUNTIFS($AU$3:$AU$201,$M133)&gt;0,
     COUNTIFS($AV$3:$AV$201,$M133)&gt;0,
     COUNTIFS($AW$3:$AW$201,$M133)&gt;0,
     COUNTIFS($AX$3:$AX$201,$M133)&gt;0
   )),
  ),
  2
 ),
"")</f>
        <v/>
      </c>
      <c r="Q133" s="2" t="str" cm="1">
        <f t="array" aca="1" ref="Q133" ca="1">IFERROR(
 INDEX(
  _xlfn._xlws.FILTER($U$2:$AX$2,
   TRANSPOSE(
    CHOOSE({1;2;3;4;5;6;7;8;9;10;11;12;13;14;15;16;17;18;19;20;21;22;23;24;25;26;27;28;29;30},
     COUNTIFS($U$3:$U$201,$M133)&gt;0,
     COUNTIFS($V$3:$V$201,$M133)&gt;0,
     COUNTIFS($W$3:$W$201,$M133)&gt;0,
     COUNTIFS($X$3:$X$201,$M133)&gt;0,
     COUNTIFS($Y$3:$Y$201,$M133)&gt;0,
     COUNTIFS($Z$3:$Z$201,$M133)&gt;0,
     COUNTIFS($AA$3:$AA$201,$M133)&gt;0,
     COUNTIFS($AB$3:$AB$201,$M133)&gt;0,
     COUNTIFS($AC$3:$AC$201,$M133)&gt;0,
     COUNTIFS($AD$3:$AD$201,$M133)&gt;0,
     COUNTIFS($AE$3:$AE$201,$M133)&gt;0,
     COUNTIFS($AF$3:$AF$201,$M133)&gt;0,
     COUNTIFS($AG$3:$AG$201,$M133)&gt;0,
     COUNTIFS($AH$3:$AH$201,$M133)&gt;0,
     COUNTIFS($AI$3:$AI$201,$M133)&gt;0,
     COUNTIFS($AJ$3:$AJ$201,$M133)&gt;0,
     COUNTIFS($AK$3:$AK$201,$M133)&gt;0,
     COUNTIFS($AL$3:$AL$201,$M133)&gt;0,
     COUNTIFS($AM$3:$AM$201,$M133)&gt;0,
     COUNTIFS($AN$3:$AN$201,$M133)&gt;0,
     COUNTIFS($AO$3:$AO$201,$M133)&gt;0,
     COUNTIFS($AP$3:$AP$201,$M133)&gt;0,
     COUNTIFS($AQ$3:$AQ$201,$M133)&gt;0,
     COUNTIFS($AR$3:$AR$201,$M133)&gt;0,
     COUNTIFS($AS$3:$AS$201,$M133)&gt;0,
     COUNTIFS($AT$3:$AT$201,$M133)&gt;0,
     COUNTIFS($AU$3:$AU$201,$M133)&gt;0,
     COUNTIFS($AV$3:$AV$201,$M133)&gt;0,
     COUNTIFS($AW$3:$AW$201,$M133)&gt;0,
     COUNTIFS($AX$3:$AX$201,$M133)&gt;0
   )),
  ),
  3
 ),
"")</f>
        <v/>
      </c>
      <c r="EO133" t="str">
        <f ca="1"/>
        <v>Sontaran General</v>
      </c>
      <c r="ET133" t="str">
        <f ca="1"/>
        <v>Night of the Sweets' Revenge</v>
      </c>
      <c r="EW133" t="str">
        <f ca="1"/>
        <v>Mythos of Snapdax</v>
      </c>
    </row>
    <row r="134" spans="1:153" x14ac:dyDescent="0.25">
      <c r="A134" t="str">
        <f ca="1"/>
        <v>Drowned Catacomb</v>
      </c>
      <c r="B134" s="2" t="str" cm="1">
        <f t="array" aca="1" ref="B134" ca="1">_xlfn.ANCHORARRAY(RESUMO!C133)</f>
        <v>Yuriko</v>
      </c>
      <c r="C134" s="2" t="str">
        <f t="shared" ca="1" si="8"/>
        <v/>
      </c>
      <c r="E134" t="str">
        <f ca="1"/>
        <v>Naya Charm</v>
      </c>
      <c r="F134" s="2">
        <f t="shared" ca="1" si="11"/>
        <v>1</v>
      </c>
      <c r="G134" s="2" t="str">
        <f t="shared" ca="1" si="9"/>
        <v>Baylen</v>
      </c>
      <c r="J134" t="s">
        <v>180</v>
      </c>
      <c r="K134" s="2">
        <v>1</v>
      </c>
      <c r="M134" t="str">
        <f ca="1"/>
        <v>Naya Charm</v>
      </c>
      <c r="N134" s="2">
        <f t="shared" ca="1" si="10"/>
        <v>1</v>
      </c>
      <c r="O134" s="2" t="str">
        <f ca="1">IFERROR(
 INDEX($U$2:$AX$2,
  MATCH(TRUE,
   CHOOSE({1;2;3;4;5;6;7;8;9;10;11;12;13;14;15;16;17;18;19;20;21;22;23;24;25;26;27;28;29;30;31;32},
    COUNTIFS($U$3:$U$201,$M134)&gt;0,
    COUNTIFS($V$3:$V$201,$M134)&gt;0,
    COUNTIFS($W$3:$W$201,$M134)&gt;0,
    COUNTIFS($X$3:$X$201,$M134)&gt;0,
    COUNTIFS($Y$3:$Y$201,$M134)&gt;0,
    COUNTIFS($Z$3:$Z$201,$M134)&gt;0,
    COUNTIFS($AA$3:$AA$201,$M134)&gt;0,
    COUNTIFS($AB$3:$AB$201,$M134)&gt;0,
    COUNTIFS($AC$3:$AC$201,$M134)&gt;0,
    COUNTIFS($AD$3:$AD$201,$M134)&gt;0,
    COUNTIFS($AE$3:$AE$201,$M134)&gt;0,
    COUNTIFS($AF$3:$AF$201,$M134)&gt;0,
    COUNTIFS($AG$3:$AG$201,$M134)&gt;0,
    COUNTIFS($AH$3:$AH$201,$M134)&gt;0,
    COUNTIFS($AI$3:$AI$201,$M134)&gt;0,
    COUNTIFS($AJ$3:$AJ$201,$M134)&gt;0,
    COUNTIFS($AK$3:$AK$201,$M134)&gt;0,
    COUNTIFS($AL$3:$AL$201,$M134)&gt;0,
    COUNTIFS($AM$3:$AM$201,$M134)&gt;0,
    COUNTIFS($AN$3:$AN$201,$M134)&gt;0,
    COUNTIFS($AO$3:$AO$201,$M134)&gt;0,
    COUNTIFS($AP$3:$AP$201,$M134)&gt;0,
    COUNTIFS($AQ$3:$AQ$201,$M134)&gt;0,
    COUNTIFS($AR$3:$AR$201,$M134)&gt;0,
    COUNTIFS($AS$3:$AS$201,$M134)&gt;0,
    COUNTIFS($AT$3:$AT$201,$M134)&gt;0,
    COUNTIFS($AU$3:$AU$201,$M134)&gt;0,
    COUNTIFS($AV$3:$AV$201,$M134)&gt;0,
    COUNTIFS($AW$3:$AW$201,$M134)&gt;0,
    COUNTIFS($AX$3:$AX$201,$M134)&gt;0
   ),
  0)
 ),
"")</f>
        <v>Baylen</v>
      </c>
      <c r="P134" s="2" t="str" cm="1">
        <f t="array" aca="1" ref="P134" ca="1">IFERROR(
 INDEX(
  _xlfn._xlws.FILTER($U$2:$AX$2,
   TRANSPOSE(
    CHOOSE({1;2;3;4;5;6;7;8;9;10;11;12;13;14;15;16;17;18;19;20;21;22;23;24;25;26;27;28;29;30},
     COUNTIFS($U$3:$U$201,$M134)&gt;0,
     COUNTIFS($V$3:$V$201,$M134)&gt;0,
     COUNTIFS($W$3:$W$201,$M134)&gt;0,
     COUNTIFS($X$3:$X$201,$M134)&gt;0,
     COUNTIFS($Y$3:$Y$201,$M134)&gt;0,
     COUNTIFS($Z$3:$Z$201,$M134)&gt;0,
     COUNTIFS($AA$3:$AA$201,$M134)&gt;0,
     COUNTIFS($AB$3:$AB$201,$M134)&gt;0,
     COUNTIFS($AC$3:$AC$201,$M134)&gt;0,
     COUNTIFS($AD$3:$AD$201,$M134)&gt;0,
     COUNTIFS($AE$3:$AE$201,$M134)&gt;0,
     COUNTIFS($AF$3:$AF$201,$M134)&gt;0,
     COUNTIFS($AG$3:$AG$201,$M134)&gt;0,
     COUNTIFS($AH$3:$AH$201,$M134)&gt;0,
     COUNTIFS($AI$3:$AI$201,$M134)&gt;0,
     COUNTIFS($AJ$3:$AJ$201,$M134)&gt;0,
     COUNTIFS($AK$3:$AK$201,$M134)&gt;0,
     COUNTIFS($AL$3:$AL$201,$M134)&gt;0,
     COUNTIFS($AM$3:$AM$201,$M134)&gt;0,
     COUNTIFS($AN$3:$AN$201,$M134)&gt;0,
     COUNTIFS($AO$3:$AO$201,$M134)&gt;0,
     COUNTIFS($AP$3:$AP$201,$M134)&gt;0,
     COUNTIFS($AQ$3:$AQ$201,$M134)&gt;0,
     COUNTIFS($AR$3:$AR$201,$M134)&gt;0,
     COUNTIFS($AS$3:$AS$201,$M134)&gt;0,
     COUNTIFS($AT$3:$AT$201,$M134)&gt;0,
     COUNTIFS($AU$3:$AU$201,$M134)&gt;0,
     COUNTIFS($AV$3:$AV$201,$M134)&gt;0,
     COUNTIFS($AW$3:$AW$201,$M134)&gt;0,
     COUNTIFS($AX$3:$AX$201,$M134)&gt;0
   )),
  ),
  2
 ),
"")</f>
        <v/>
      </c>
      <c r="Q134" s="2" t="str" cm="1">
        <f t="array" aca="1" ref="Q134" ca="1">IFERROR(
 INDEX(
  _xlfn._xlws.FILTER($U$2:$AX$2,
   TRANSPOSE(
    CHOOSE({1;2;3;4;5;6;7;8;9;10;11;12;13;14;15;16;17;18;19;20;21;22;23;24;25;26;27;28;29;30},
     COUNTIFS($U$3:$U$201,$M134)&gt;0,
     COUNTIFS($V$3:$V$201,$M134)&gt;0,
     COUNTIFS($W$3:$W$201,$M134)&gt;0,
     COUNTIFS($X$3:$X$201,$M134)&gt;0,
     COUNTIFS($Y$3:$Y$201,$M134)&gt;0,
     COUNTIFS($Z$3:$Z$201,$M134)&gt;0,
     COUNTIFS($AA$3:$AA$201,$M134)&gt;0,
     COUNTIFS($AB$3:$AB$201,$M134)&gt;0,
     COUNTIFS($AC$3:$AC$201,$M134)&gt;0,
     COUNTIFS($AD$3:$AD$201,$M134)&gt;0,
     COUNTIFS($AE$3:$AE$201,$M134)&gt;0,
     COUNTIFS($AF$3:$AF$201,$M134)&gt;0,
     COUNTIFS($AG$3:$AG$201,$M134)&gt;0,
     COUNTIFS($AH$3:$AH$201,$M134)&gt;0,
     COUNTIFS($AI$3:$AI$201,$M134)&gt;0,
     COUNTIFS($AJ$3:$AJ$201,$M134)&gt;0,
     COUNTIFS($AK$3:$AK$201,$M134)&gt;0,
     COUNTIFS($AL$3:$AL$201,$M134)&gt;0,
     COUNTIFS($AM$3:$AM$201,$M134)&gt;0,
     COUNTIFS($AN$3:$AN$201,$M134)&gt;0,
     COUNTIFS($AO$3:$AO$201,$M134)&gt;0,
     COUNTIFS($AP$3:$AP$201,$M134)&gt;0,
     COUNTIFS($AQ$3:$AQ$201,$M134)&gt;0,
     COUNTIFS($AR$3:$AR$201,$M134)&gt;0,
     COUNTIFS($AS$3:$AS$201,$M134)&gt;0,
     COUNTIFS($AT$3:$AT$201,$M134)&gt;0,
     COUNTIFS($AU$3:$AU$201,$M134)&gt;0,
     COUNTIFS($AV$3:$AV$201,$M134)&gt;0,
     COUNTIFS($AW$3:$AW$201,$M134)&gt;0,
     COUNTIFS($AX$3:$AX$201,$M134)&gt;0
   )),
  ),
  3
 ),
"")</f>
        <v/>
      </c>
      <c r="EO134" t="str">
        <f ca="1"/>
        <v>Spelunking</v>
      </c>
      <c r="ET134" t="str">
        <f ca="1"/>
        <v>Nimble Obstructionist</v>
      </c>
      <c r="EW134" t="str">
        <f ca="1"/>
        <v>Naya Charm</v>
      </c>
    </row>
    <row r="135" spans="1:153" x14ac:dyDescent="0.25">
      <c r="A135" t="str">
        <f ca="1"/>
        <v>Dusk // Dawn</v>
      </c>
      <c r="B135" s="2" t="str" cm="1">
        <f t="array" aca="1" ref="B135" ca="1">_xlfn.ANCHORARRAY(RESUMO!C134)</f>
        <v>Yorion</v>
      </c>
      <c r="C135" s="2" t="str">
        <f t="shared" ca="1" si="8"/>
        <v/>
      </c>
      <c r="E135" t="str">
        <f ca="1"/>
        <v>Nezahal, Primal Tide</v>
      </c>
      <c r="F135" s="2">
        <f t="shared" ca="1" si="11"/>
        <v>1</v>
      </c>
      <c r="G135" s="2" t="str">
        <f t="shared" ca="1" si="9"/>
        <v>Jhoira</v>
      </c>
      <c r="J135" t="s">
        <v>180</v>
      </c>
      <c r="K135" s="2">
        <v>1</v>
      </c>
      <c r="M135" t="str">
        <f ca="1"/>
        <v>Nezahal, Primal Tide</v>
      </c>
      <c r="N135" s="2">
        <f t="shared" ca="1" si="10"/>
        <v>1</v>
      </c>
      <c r="O135" s="2" t="str">
        <f ca="1">IFERROR(
 INDEX($U$2:$AX$2,
  MATCH(TRUE,
   CHOOSE({1;2;3;4;5;6;7;8;9;10;11;12;13;14;15;16;17;18;19;20;21;22;23;24;25;26;27;28;29;30;31;32},
    COUNTIFS($U$3:$U$201,$M135)&gt;0,
    COUNTIFS($V$3:$V$201,$M135)&gt;0,
    COUNTIFS($W$3:$W$201,$M135)&gt;0,
    COUNTIFS($X$3:$X$201,$M135)&gt;0,
    COUNTIFS($Y$3:$Y$201,$M135)&gt;0,
    COUNTIFS($Z$3:$Z$201,$M135)&gt;0,
    COUNTIFS($AA$3:$AA$201,$M135)&gt;0,
    COUNTIFS($AB$3:$AB$201,$M135)&gt;0,
    COUNTIFS($AC$3:$AC$201,$M135)&gt;0,
    COUNTIFS($AD$3:$AD$201,$M135)&gt;0,
    COUNTIFS($AE$3:$AE$201,$M135)&gt;0,
    COUNTIFS($AF$3:$AF$201,$M135)&gt;0,
    COUNTIFS($AG$3:$AG$201,$M135)&gt;0,
    COUNTIFS($AH$3:$AH$201,$M135)&gt;0,
    COUNTIFS($AI$3:$AI$201,$M135)&gt;0,
    COUNTIFS($AJ$3:$AJ$201,$M135)&gt;0,
    COUNTIFS($AK$3:$AK$201,$M135)&gt;0,
    COUNTIFS($AL$3:$AL$201,$M135)&gt;0,
    COUNTIFS($AM$3:$AM$201,$M135)&gt;0,
    COUNTIFS($AN$3:$AN$201,$M135)&gt;0,
    COUNTIFS($AO$3:$AO$201,$M135)&gt;0,
    COUNTIFS($AP$3:$AP$201,$M135)&gt;0,
    COUNTIFS($AQ$3:$AQ$201,$M135)&gt;0,
    COUNTIFS($AR$3:$AR$201,$M135)&gt;0,
    COUNTIFS($AS$3:$AS$201,$M135)&gt;0,
    COUNTIFS($AT$3:$AT$201,$M135)&gt;0,
    COUNTIFS($AU$3:$AU$201,$M135)&gt;0,
    COUNTIFS($AV$3:$AV$201,$M135)&gt;0,
    COUNTIFS($AW$3:$AW$201,$M135)&gt;0,
    COUNTIFS($AX$3:$AX$201,$M135)&gt;0
   ),
  0)
 ),
"")</f>
        <v>Jhoira</v>
      </c>
      <c r="P135" s="2" t="str" cm="1">
        <f t="array" aca="1" ref="P135" ca="1">IFERROR(
 INDEX(
  _xlfn._xlws.FILTER($U$2:$AX$2,
   TRANSPOSE(
    CHOOSE({1;2;3;4;5;6;7;8;9;10;11;12;13;14;15;16;17;18;19;20;21;22;23;24;25;26;27;28;29;30},
     COUNTIFS($U$3:$U$201,$M135)&gt;0,
     COUNTIFS($V$3:$V$201,$M135)&gt;0,
     COUNTIFS($W$3:$W$201,$M135)&gt;0,
     COUNTIFS($X$3:$X$201,$M135)&gt;0,
     COUNTIFS($Y$3:$Y$201,$M135)&gt;0,
     COUNTIFS($Z$3:$Z$201,$M135)&gt;0,
     COUNTIFS($AA$3:$AA$201,$M135)&gt;0,
     COUNTIFS($AB$3:$AB$201,$M135)&gt;0,
     COUNTIFS($AC$3:$AC$201,$M135)&gt;0,
     COUNTIFS($AD$3:$AD$201,$M135)&gt;0,
     COUNTIFS($AE$3:$AE$201,$M135)&gt;0,
     COUNTIFS($AF$3:$AF$201,$M135)&gt;0,
     COUNTIFS($AG$3:$AG$201,$M135)&gt;0,
     COUNTIFS($AH$3:$AH$201,$M135)&gt;0,
     COUNTIFS($AI$3:$AI$201,$M135)&gt;0,
     COUNTIFS($AJ$3:$AJ$201,$M135)&gt;0,
     COUNTIFS($AK$3:$AK$201,$M135)&gt;0,
     COUNTIFS($AL$3:$AL$201,$M135)&gt;0,
     COUNTIFS($AM$3:$AM$201,$M135)&gt;0,
     COUNTIFS($AN$3:$AN$201,$M135)&gt;0,
     COUNTIFS($AO$3:$AO$201,$M135)&gt;0,
     COUNTIFS($AP$3:$AP$201,$M135)&gt;0,
     COUNTIFS($AQ$3:$AQ$201,$M135)&gt;0,
     COUNTIFS($AR$3:$AR$201,$M135)&gt;0,
     COUNTIFS($AS$3:$AS$201,$M135)&gt;0,
     COUNTIFS($AT$3:$AT$201,$M135)&gt;0,
     COUNTIFS($AU$3:$AU$201,$M135)&gt;0,
     COUNTIFS($AV$3:$AV$201,$M135)&gt;0,
     COUNTIFS($AW$3:$AW$201,$M135)&gt;0,
     COUNTIFS($AX$3:$AX$201,$M135)&gt;0
   )),
  ),
  2
 ),
"")</f>
        <v/>
      </c>
      <c r="Q135" s="2" t="str" cm="1">
        <f t="array" aca="1" ref="Q135" ca="1">IFERROR(
 INDEX(
  _xlfn._xlws.FILTER($U$2:$AX$2,
   TRANSPOSE(
    CHOOSE({1;2;3;4;5;6;7;8;9;10;11;12;13;14;15;16;17;18;19;20;21;22;23;24;25;26;27;28;29;30},
     COUNTIFS($U$3:$U$201,$M135)&gt;0,
     COUNTIFS($V$3:$V$201,$M135)&gt;0,
     COUNTIFS($W$3:$W$201,$M135)&gt;0,
     COUNTIFS($X$3:$X$201,$M135)&gt;0,
     COUNTIFS($Y$3:$Y$201,$M135)&gt;0,
     COUNTIFS($Z$3:$Z$201,$M135)&gt;0,
     COUNTIFS($AA$3:$AA$201,$M135)&gt;0,
     COUNTIFS($AB$3:$AB$201,$M135)&gt;0,
     COUNTIFS($AC$3:$AC$201,$M135)&gt;0,
     COUNTIFS($AD$3:$AD$201,$M135)&gt;0,
     COUNTIFS($AE$3:$AE$201,$M135)&gt;0,
     COUNTIFS($AF$3:$AF$201,$M135)&gt;0,
     COUNTIFS($AG$3:$AG$201,$M135)&gt;0,
     COUNTIFS($AH$3:$AH$201,$M135)&gt;0,
     COUNTIFS($AI$3:$AI$201,$M135)&gt;0,
     COUNTIFS($AJ$3:$AJ$201,$M135)&gt;0,
     COUNTIFS($AK$3:$AK$201,$M135)&gt;0,
     COUNTIFS($AL$3:$AL$201,$M135)&gt;0,
     COUNTIFS($AM$3:$AM$201,$M135)&gt;0,
     COUNTIFS($AN$3:$AN$201,$M135)&gt;0,
     COUNTIFS($AO$3:$AO$201,$M135)&gt;0,
     COUNTIFS($AP$3:$AP$201,$M135)&gt;0,
     COUNTIFS($AQ$3:$AQ$201,$M135)&gt;0,
     COUNTIFS($AR$3:$AR$201,$M135)&gt;0,
     COUNTIFS($AS$3:$AS$201,$M135)&gt;0,
     COUNTIFS($AT$3:$AT$201,$M135)&gt;0,
     COUNTIFS($AU$3:$AU$201,$M135)&gt;0,
     COUNTIFS($AV$3:$AV$201,$M135)&gt;0,
     COUNTIFS($AW$3:$AW$201,$M135)&gt;0,
     COUNTIFS($AX$3:$AX$201,$M135)&gt;0
   )),
  ),
  3
 ),
"")</f>
        <v/>
      </c>
      <c r="EO135" t="str">
        <f ca="1"/>
        <v>Stoic Rebuttal</v>
      </c>
      <c r="ET135" t="str">
        <f ca="1"/>
        <v>Noble's Purse</v>
      </c>
      <c r="EW135" t="str">
        <f ca="1"/>
        <v>Nezahal, Primal Tide</v>
      </c>
    </row>
    <row r="136" spans="1:153" x14ac:dyDescent="0.25">
      <c r="A136" t="str">
        <f ca="1"/>
        <v>Earthbender Ascension</v>
      </c>
      <c r="B136" s="2" t="str" cm="1">
        <f t="array" aca="1" ref="B136" ca="1">_xlfn.ANCHORARRAY(RESUMO!C135)</f>
        <v>Tayam</v>
      </c>
      <c r="C136" s="2" t="str">
        <f t="shared" ca="1" si="8"/>
        <v/>
      </c>
      <c r="E136" t="str">
        <f ca="1"/>
        <v>Nicol Bolas, Dragon-God</v>
      </c>
      <c r="F136" s="2">
        <f t="shared" ca="1" si="11"/>
        <v>1</v>
      </c>
      <c r="G136" s="2" t="str">
        <f t="shared" ca="1" si="9"/>
        <v>Sisay</v>
      </c>
      <c r="J136" t="s">
        <v>180</v>
      </c>
      <c r="K136" s="2">
        <v>1</v>
      </c>
      <c r="M136" t="str">
        <f ca="1"/>
        <v>Nicol Bolas, Dragon-God</v>
      </c>
      <c r="N136" s="2">
        <f t="shared" ca="1" si="10"/>
        <v>1</v>
      </c>
      <c r="O136" s="2" t="str">
        <f ca="1">IFERROR(
 INDEX($U$2:$AX$2,
  MATCH(TRUE,
   CHOOSE({1;2;3;4;5;6;7;8;9;10;11;12;13;14;15;16;17;18;19;20;21;22;23;24;25;26;27;28;29;30;31;32},
    COUNTIFS($U$3:$U$201,$M136)&gt;0,
    COUNTIFS($V$3:$V$201,$M136)&gt;0,
    COUNTIFS($W$3:$W$201,$M136)&gt;0,
    COUNTIFS($X$3:$X$201,$M136)&gt;0,
    COUNTIFS($Y$3:$Y$201,$M136)&gt;0,
    COUNTIFS($Z$3:$Z$201,$M136)&gt;0,
    COUNTIFS($AA$3:$AA$201,$M136)&gt;0,
    COUNTIFS($AB$3:$AB$201,$M136)&gt;0,
    COUNTIFS($AC$3:$AC$201,$M136)&gt;0,
    COUNTIFS($AD$3:$AD$201,$M136)&gt;0,
    COUNTIFS($AE$3:$AE$201,$M136)&gt;0,
    COUNTIFS($AF$3:$AF$201,$M136)&gt;0,
    COUNTIFS($AG$3:$AG$201,$M136)&gt;0,
    COUNTIFS($AH$3:$AH$201,$M136)&gt;0,
    COUNTIFS($AI$3:$AI$201,$M136)&gt;0,
    COUNTIFS($AJ$3:$AJ$201,$M136)&gt;0,
    COUNTIFS($AK$3:$AK$201,$M136)&gt;0,
    COUNTIFS($AL$3:$AL$201,$M136)&gt;0,
    COUNTIFS($AM$3:$AM$201,$M136)&gt;0,
    COUNTIFS($AN$3:$AN$201,$M136)&gt;0,
    COUNTIFS($AO$3:$AO$201,$M136)&gt;0,
    COUNTIFS($AP$3:$AP$201,$M136)&gt;0,
    COUNTIFS($AQ$3:$AQ$201,$M136)&gt;0,
    COUNTIFS($AR$3:$AR$201,$M136)&gt;0,
    COUNTIFS($AS$3:$AS$201,$M136)&gt;0,
    COUNTIFS($AT$3:$AT$201,$M136)&gt;0,
    COUNTIFS($AU$3:$AU$201,$M136)&gt;0,
    COUNTIFS($AV$3:$AV$201,$M136)&gt;0,
    COUNTIFS($AW$3:$AW$201,$M136)&gt;0,
    COUNTIFS($AX$3:$AX$201,$M136)&gt;0
   ),
  0)
 ),
"")</f>
        <v>Sisay</v>
      </c>
      <c r="P136" s="2" t="str" cm="1">
        <f t="array" aca="1" ref="P136" ca="1">IFERROR(
 INDEX(
  _xlfn._xlws.FILTER($U$2:$AX$2,
   TRANSPOSE(
    CHOOSE({1;2;3;4;5;6;7;8;9;10;11;12;13;14;15;16;17;18;19;20;21;22;23;24;25;26;27;28;29;30},
     COUNTIFS($U$3:$U$201,$M136)&gt;0,
     COUNTIFS($V$3:$V$201,$M136)&gt;0,
     COUNTIFS($W$3:$W$201,$M136)&gt;0,
     COUNTIFS($X$3:$X$201,$M136)&gt;0,
     COUNTIFS($Y$3:$Y$201,$M136)&gt;0,
     COUNTIFS($Z$3:$Z$201,$M136)&gt;0,
     COUNTIFS($AA$3:$AA$201,$M136)&gt;0,
     COUNTIFS($AB$3:$AB$201,$M136)&gt;0,
     COUNTIFS($AC$3:$AC$201,$M136)&gt;0,
     COUNTIFS($AD$3:$AD$201,$M136)&gt;0,
     COUNTIFS($AE$3:$AE$201,$M136)&gt;0,
     COUNTIFS($AF$3:$AF$201,$M136)&gt;0,
     COUNTIFS($AG$3:$AG$201,$M136)&gt;0,
     COUNTIFS($AH$3:$AH$201,$M136)&gt;0,
     COUNTIFS($AI$3:$AI$201,$M136)&gt;0,
     COUNTIFS($AJ$3:$AJ$201,$M136)&gt;0,
     COUNTIFS($AK$3:$AK$201,$M136)&gt;0,
     COUNTIFS($AL$3:$AL$201,$M136)&gt;0,
     COUNTIFS($AM$3:$AM$201,$M136)&gt;0,
     COUNTIFS($AN$3:$AN$201,$M136)&gt;0,
     COUNTIFS($AO$3:$AO$201,$M136)&gt;0,
     COUNTIFS($AP$3:$AP$201,$M136)&gt;0,
     COUNTIFS($AQ$3:$AQ$201,$M136)&gt;0,
     COUNTIFS($AR$3:$AR$201,$M136)&gt;0,
     COUNTIFS($AS$3:$AS$201,$M136)&gt;0,
     COUNTIFS($AT$3:$AT$201,$M136)&gt;0,
     COUNTIFS($AU$3:$AU$201,$M136)&gt;0,
     COUNTIFS($AV$3:$AV$201,$M136)&gt;0,
     COUNTIFS($AW$3:$AW$201,$M136)&gt;0,
     COUNTIFS($AX$3:$AX$201,$M136)&gt;0
   )),
  ),
  2
 ),
"")</f>
        <v/>
      </c>
      <c r="Q136" s="2" t="str" cm="1">
        <f t="array" aca="1" ref="Q136" ca="1">IFERROR(
 INDEX(
  _xlfn._xlws.FILTER($U$2:$AX$2,
   TRANSPOSE(
    CHOOSE({1;2;3;4;5;6;7;8;9;10;11;12;13;14;15;16;17;18;19;20;21;22;23;24;25;26;27;28;29;30},
     COUNTIFS($U$3:$U$201,$M136)&gt;0,
     COUNTIFS($V$3:$V$201,$M136)&gt;0,
     COUNTIFS($W$3:$W$201,$M136)&gt;0,
     COUNTIFS($X$3:$X$201,$M136)&gt;0,
     COUNTIFS($Y$3:$Y$201,$M136)&gt;0,
     COUNTIFS($Z$3:$Z$201,$M136)&gt;0,
     COUNTIFS($AA$3:$AA$201,$M136)&gt;0,
     COUNTIFS($AB$3:$AB$201,$M136)&gt;0,
     COUNTIFS($AC$3:$AC$201,$M136)&gt;0,
     COUNTIFS($AD$3:$AD$201,$M136)&gt;0,
     COUNTIFS($AE$3:$AE$201,$M136)&gt;0,
     COUNTIFS($AF$3:$AF$201,$M136)&gt;0,
     COUNTIFS($AG$3:$AG$201,$M136)&gt;0,
     COUNTIFS($AH$3:$AH$201,$M136)&gt;0,
     COUNTIFS($AI$3:$AI$201,$M136)&gt;0,
     COUNTIFS($AJ$3:$AJ$201,$M136)&gt;0,
     COUNTIFS($AK$3:$AK$201,$M136)&gt;0,
     COUNTIFS($AL$3:$AL$201,$M136)&gt;0,
     COUNTIFS($AM$3:$AM$201,$M136)&gt;0,
     COUNTIFS($AN$3:$AN$201,$M136)&gt;0,
     COUNTIFS($AO$3:$AO$201,$M136)&gt;0,
     COUNTIFS($AP$3:$AP$201,$M136)&gt;0,
     COUNTIFS($AQ$3:$AQ$201,$M136)&gt;0,
     COUNTIFS($AR$3:$AR$201,$M136)&gt;0,
     COUNTIFS($AS$3:$AS$201,$M136)&gt;0,
     COUNTIFS($AT$3:$AT$201,$M136)&gt;0,
     COUNTIFS($AU$3:$AU$201,$M136)&gt;0,
     COUNTIFS($AV$3:$AV$201,$M136)&gt;0,
     COUNTIFS($AW$3:$AW$201,$M136)&gt;0,
     COUNTIFS($AX$3:$AX$201,$M136)&gt;0
   )),
  ),
  3
 ),
"")</f>
        <v/>
      </c>
      <c r="EO136" t="str">
        <f ca="1"/>
        <v>Stormtide Leviathan</v>
      </c>
      <c r="ET136" t="str">
        <f ca="1"/>
        <v>Nyx Weaver</v>
      </c>
      <c r="EW136" t="str">
        <f ca="1"/>
        <v>Nicol Bolas, Dragon-God</v>
      </c>
    </row>
    <row r="137" spans="1:153" x14ac:dyDescent="0.25">
      <c r="A137" t="str">
        <f ca="1"/>
        <v>Earthshape</v>
      </c>
      <c r="B137" s="2" t="str" cm="1">
        <f t="array" aca="1" ref="B137" ca="1">_xlfn.ANCHORARRAY(RESUMO!C136)</f>
        <v>Modular</v>
      </c>
      <c r="C137" s="2" t="str">
        <f t="shared" ca="1" si="8"/>
        <v/>
      </c>
      <c r="E137" t="str">
        <f ca="1"/>
        <v>Night of the Sweets' Revenge</v>
      </c>
      <c r="F137" s="2">
        <f t="shared" ca="1" si="11"/>
        <v>1</v>
      </c>
      <c r="G137" s="2" t="str">
        <f t="shared" ca="1" si="9"/>
        <v>Baylen</v>
      </c>
      <c r="J137" t="s">
        <v>180</v>
      </c>
      <c r="K137" s="2">
        <v>1</v>
      </c>
      <c r="M137" t="str">
        <f ca="1"/>
        <v>Night of the Sweets' Revenge</v>
      </c>
      <c r="N137" s="2">
        <f t="shared" ca="1" si="10"/>
        <v>1</v>
      </c>
      <c r="O137" s="2" t="str">
        <f ca="1">IFERROR(
 INDEX($U$2:$AX$2,
  MATCH(TRUE,
   CHOOSE({1;2;3;4;5;6;7;8;9;10;11;12;13;14;15;16;17;18;19;20;21;22;23;24;25;26;27;28;29;30;31;32},
    COUNTIFS($U$3:$U$201,$M137)&gt;0,
    COUNTIFS($V$3:$V$201,$M137)&gt;0,
    COUNTIFS($W$3:$W$201,$M137)&gt;0,
    COUNTIFS($X$3:$X$201,$M137)&gt;0,
    COUNTIFS($Y$3:$Y$201,$M137)&gt;0,
    COUNTIFS($Z$3:$Z$201,$M137)&gt;0,
    COUNTIFS($AA$3:$AA$201,$M137)&gt;0,
    COUNTIFS($AB$3:$AB$201,$M137)&gt;0,
    COUNTIFS($AC$3:$AC$201,$M137)&gt;0,
    COUNTIFS($AD$3:$AD$201,$M137)&gt;0,
    COUNTIFS($AE$3:$AE$201,$M137)&gt;0,
    COUNTIFS($AF$3:$AF$201,$M137)&gt;0,
    COUNTIFS($AG$3:$AG$201,$M137)&gt;0,
    COUNTIFS($AH$3:$AH$201,$M137)&gt;0,
    COUNTIFS($AI$3:$AI$201,$M137)&gt;0,
    COUNTIFS($AJ$3:$AJ$201,$M137)&gt;0,
    COUNTIFS($AK$3:$AK$201,$M137)&gt;0,
    COUNTIFS($AL$3:$AL$201,$M137)&gt;0,
    COUNTIFS($AM$3:$AM$201,$M137)&gt;0,
    COUNTIFS($AN$3:$AN$201,$M137)&gt;0,
    COUNTIFS($AO$3:$AO$201,$M137)&gt;0,
    COUNTIFS($AP$3:$AP$201,$M137)&gt;0,
    COUNTIFS($AQ$3:$AQ$201,$M137)&gt;0,
    COUNTIFS($AR$3:$AR$201,$M137)&gt;0,
    COUNTIFS($AS$3:$AS$201,$M137)&gt;0,
    COUNTIFS($AT$3:$AT$201,$M137)&gt;0,
    COUNTIFS($AU$3:$AU$201,$M137)&gt;0,
    COUNTIFS($AV$3:$AV$201,$M137)&gt;0,
    COUNTIFS($AW$3:$AW$201,$M137)&gt;0,
    COUNTIFS($AX$3:$AX$201,$M137)&gt;0
   ),
  0)
 ),
"")</f>
        <v>Baylen</v>
      </c>
      <c r="P137" s="2" t="str" cm="1">
        <f t="array" aca="1" ref="P137" ca="1">IFERROR(
 INDEX(
  _xlfn._xlws.FILTER($U$2:$AX$2,
   TRANSPOSE(
    CHOOSE({1;2;3;4;5;6;7;8;9;10;11;12;13;14;15;16;17;18;19;20;21;22;23;24;25;26;27;28;29;30},
     COUNTIFS($U$3:$U$201,$M137)&gt;0,
     COUNTIFS($V$3:$V$201,$M137)&gt;0,
     COUNTIFS($W$3:$W$201,$M137)&gt;0,
     COUNTIFS($X$3:$X$201,$M137)&gt;0,
     COUNTIFS($Y$3:$Y$201,$M137)&gt;0,
     COUNTIFS($Z$3:$Z$201,$M137)&gt;0,
     COUNTIFS($AA$3:$AA$201,$M137)&gt;0,
     COUNTIFS($AB$3:$AB$201,$M137)&gt;0,
     COUNTIFS($AC$3:$AC$201,$M137)&gt;0,
     COUNTIFS($AD$3:$AD$201,$M137)&gt;0,
     COUNTIFS($AE$3:$AE$201,$M137)&gt;0,
     COUNTIFS($AF$3:$AF$201,$M137)&gt;0,
     COUNTIFS($AG$3:$AG$201,$M137)&gt;0,
     COUNTIFS($AH$3:$AH$201,$M137)&gt;0,
     COUNTIFS($AI$3:$AI$201,$M137)&gt;0,
     COUNTIFS($AJ$3:$AJ$201,$M137)&gt;0,
     COUNTIFS($AK$3:$AK$201,$M137)&gt;0,
     COUNTIFS($AL$3:$AL$201,$M137)&gt;0,
     COUNTIFS($AM$3:$AM$201,$M137)&gt;0,
     COUNTIFS($AN$3:$AN$201,$M137)&gt;0,
     COUNTIFS($AO$3:$AO$201,$M137)&gt;0,
     COUNTIFS($AP$3:$AP$201,$M137)&gt;0,
     COUNTIFS($AQ$3:$AQ$201,$M137)&gt;0,
     COUNTIFS($AR$3:$AR$201,$M137)&gt;0,
     COUNTIFS($AS$3:$AS$201,$M137)&gt;0,
     COUNTIFS($AT$3:$AT$201,$M137)&gt;0,
     COUNTIFS($AU$3:$AU$201,$M137)&gt;0,
     COUNTIFS($AV$3:$AV$201,$M137)&gt;0,
     COUNTIFS($AW$3:$AW$201,$M137)&gt;0,
     COUNTIFS($AX$3:$AX$201,$M137)&gt;0
   )),
  ),
  2
 ),
"")</f>
        <v/>
      </c>
      <c r="Q137" s="2" t="str" cm="1">
        <f t="array" aca="1" ref="Q137" ca="1">IFERROR(
 INDEX(
  _xlfn._xlws.FILTER($U$2:$AX$2,
   TRANSPOSE(
    CHOOSE({1;2;3;4;5;6;7;8;9;10;11;12;13;14;15;16;17;18;19;20;21;22;23;24;25;26;27;28;29;30},
     COUNTIFS($U$3:$U$201,$M137)&gt;0,
     COUNTIFS($V$3:$V$201,$M137)&gt;0,
     COUNTIFS($W$3:$W$201,$M137)&gt;0,
     COUNTIFS($X$3:$X$201,$M137)&gt;0,
     COUNTIFS($Y$3:$Y$201,$M137)&gt;0,
     COUNTIFS($Z$3:$Z$201,$M137)&gt;0,
     COUNTIFS($AA$3:$AA$201,$M137)&gt;0,
     COUNTIFS($AB$3:$AB$201,$M137)&gt;0,
     COUNTIFS($AC$3:$AC$201,$M137)&gt;0,
     COUNTIFS($AD$3:$AD$201,$M137)&gt;0,
     COUNTIFS($AE$3:$AE$201,$M137)&gt;0,
     COUNTIFS($AF$3:$AF$201,$M137)&gt;0,
     COUNTIFS($AG$3:$AG$201,$M137)&gt;0,
     COUNTIFS($AH$3:$AH$201,$M137)&gt;0,
     COUNTIFS($AI$3:$AI$201,$M137)&gt;0,
     COUNTIFS($AJ$3:$AJ$201,$M137)&gt;0,
     COUNTIFS($AK$3:$AK$201,$M137)&gt;0,
     COUNTIFS($AL$3:$AL$201,$M137)&gt;0,
     COUNTIFS($AM$3:$AM$201,$M137)&gt;0,
     COUNTIFS($AN$3:$AN$201,$M137)&gt;0,
     COUNTIFS($AO$3:$AO$201,$M137)&gt;0,
     COUNTIFS($AP$3:$AP$201,$M137)&gt;0,
     COUNTIFS($AQ$3:$AQ$201,$M137)&gt;0,
     COUNTIFS($AR$3:$AR$201,$M137)&gt;0,
     COUNTIFS($AS$3:$AS$201,$M137)&gt;0,
     COUNTIFS($AT$3:$AT$201,$M137)&gt;0,
     COUNTIFS($AU$3:$AU$201,$M137)&gt;0,
     COUNTIFS($AV$3:$AV$201,$M137)&gt;0,
     COUNTIFS($AW$3:$AW$201,$M137)&gt;0,
     COUNTIFS($AX$3:$AX$201,$M137)&gt;0
   )),
  ),
  3
 ),
"")</f>
        <v/>
      </c>
      <c r="EO137" t="str">
        <f ca="1"/>
        <v>Supreme Verdict</v>
      </c>
      <c r="ET137" t="str">
        <f ca="1"/>
        <v>Opt</v>
      </c>
      <c r="EW137" t="str">
        <f ca="1"/>
        <v>Night of the Sweets' Revenge</v>
      </c>
    </row>
    <row r="138" spans="1:153" x14ac:dyDescent="0.25">
      <c r="A138" t="str">
        <f ca="1"/>
        <v>Eclipsed Realms</v>
      </c>
      <c r="B138" s="2" t="str" cm="1">
        <f t="array" aca="1" ref="B138" ca="1">_xlfn.ANCHORARRAY(RESUMO!C137)</f>
        <v>Kumena</v>
      </c>
      <c r="C138" s="2" t="str">
        <f t="shared" ca="1" si="8"/>
        <v/>
      </c>
      <c r="E138" t="str">
        <f ca="1"/>
        <v>Nimble Obstructionist</v>
      </c>
      <c r="F138" s="2">
        <f t="shared" ca="1" si="11"/>
        <v>1</v>
      </c>
      <c r="G138" s="2" t="str">
        <f t="shared" ca="1" si="9"/>
        <v>Rielle</v>
      </c>
      <c r="J138" t="s">
        <v>180</v>
      </c>
      <c r="K138" s="2">
        <v>1</v>
      </c>
      <c r="M138" t="str">
        <f ca="1"/>
        <v>Nimble Obstructionist</v>
      </c>
      <c r="N138" s="2">
        <f t="shared" ca="1" si="10"/>
        <v>1</v>
      </c>
      <c r="O138" s="2" t="str">
        <f ca="1">IFERROR(
 INDEX($U$2:$AX$2,
  MATCH(TRUE,
   CHOOSE({1;2;3;4;5;6;7;8;9;10;11;12;13;14;15;16;17;18;19;20;21;22;23;24;25;26;27;28;29;30;31;32},
    COUNTIFS($U$3:$U$201,$M138)&gt;0,
    COUNTIFS($V$3:$V$201,$M138)&gt;0,
    COUNTIFS($W$3:$W$201,$M138)&gt;0,
    COUNTIFS($X$3:$X$201,$M138)&gt;0,
    COUNTIFS($Y$3:$Y$201,$M138)&gt;0,
    COUNTIFS($Z$3:$Z$201,$M138)&gt;0,
    COUNTIFS($AA$3:$AA$201,$M138)&gt;0,
    COUNTIFS($AB$3:$AB$201,$M138)&gt;0,
    COUNTIFS($AC$3:$AC$201,$M138)&gt;0,
    COUNTIFS($AD$3:$AD$201,$M138)&gt;0,
    COUNTIFS($AE$3:$AE$201,$M138)&gt;0,
    COUNTIFS($AF$3:$AF$201,$M138)&gt;0,
    COUNTIFS($AG$3:$AG$201,$M138)&gt;0,
    COUNTIFS($AH$3:$AH$201,$M138)&gt;0,
    COUNTIFS($AI$3:$AI$201,$M138)&gt;0,
    COUNTIFS($AJ$3:$AJ$201,$M138)&gt;0,
    COUNTIFS($AK$3:$AK$201,$M138)&gt;0,
    COUNTIFS($AL$3:$AL$201,$M138)&gt;0,
    COUNTIFS($AM$3:$AM$201,$M138)&gt;0,
    COUNTIFS($AN$3:$AN$201,$M138)&gt;0,
    COUNTIFS($AO$3:$AO$201,$M138)&gt;0,
    COUNTIFS($AP$3:$AP$201,$M138)&gt;0,
    COUNTIFS($AQ$3:$AQ$201,$M138)&gt;0,
    COUNTIFS($AR$3:$AR$201,$M138)&gt;0,
    COUNTIFS($AS$3:$AS$201,$M138)&gt;0,
    COUNTIFS($AT$3:$AT$201,$M138)&gt;0,
    COUNTIFS($AU$3:$AU$201,$M138)&gt;0,
    COUNTIFS($AV$3:$AV$201,$M138)&gt;0,
    COUNTIFS($AW$3:$AW$201,$M138)&gt;0,
    COUNTIFS($AX$3:$AX$201,$M138)&gt;0
   ),
  0)
 ),
"")</f>
        <v>Rielle</v>
      </c>
      <c r="P138" s="2" t="str" cm="1">
        <f t="array" aca="1" ref="P138" ca="1">IFERROR(
 INDEX(
  _xlfn._xlws.FILTER($U$2:$AX$2,
   TRANSPOSE(
    CHOOSE({1;2;3;4;5;6;7;8;9;10;11;12;13;14;15;16;17;18;19;20;21;22;23;24;25;26;27;28;29;30},
     COUNTIFS($U$3:$U$201,$M138)&gt;0,
     COUNTIFS($V$3:$V$201,$M138)&gt;0,
     COUNTIFS($W$3:$W$201,$M138)&gt;0,
     COUNTIFS($X$3:$X$201,$M138)&gt;0,
     COUNTIFS($Y$3:$Y$201,$M138)&gt;0,
     COUNTIFS($Z$3:$Z$201,$M138)&gt;0,
     COUNTIFS($AA$3:$AA$201,$M138)&gt;0,
     COUNTIFS($AB$3:$AB$201,$M138)&gt;0,
     COUNTIFS($AC$3:$AC$201,$M138)&gt;0,
     COUNTIFS($AD$3:$AD$201,$M138)&gt;0,
     COUNTIFS($AE$3:$AE$201,$M138)&gt;0,
     COUNTIFS($AF$3:$AF$201,$M138)&gt;0,
     COUNTIFS($AG$3:$AG$201,$M138)&gt;0,
     COUNTIFS($AH$3:$AH$201,$M138)&gt;0,
     COUNTIFS($AI$3:$AI$201,$M138)&gt;0,
     COUNTIFS($AJ$3:$AJ$201,$M138)&gt;0,
     COUNTIFS($AK$3:$AK$201,$M138)&gt;0,
     COUNTIFS($AL$3:$AL$201,$M138)&gt;0,
     COUNTIFS($AM$3:$AM$201,$M138)&gt;0,
     COUNTIFS($AN$3:$AN$201,$M138)&gt;0,
     COUNTIFS($AO$3:$AO$201,$M138)&gt;0,
     COUNTIFS($AP$3:$AP$201,$M138)&gt;0,
     COUNTIFS($AQ$3:$AQ$201,$M138)&gt;0,
     COUNTIFS($AR$3:$AR$201,$M138)&gt;0,
     COUNTIFS($AS$3:$AS$201,$M138)&gt;0,
     COUNTIFS($AT$3:$AT$201,$M138)&gt;0,
     COUNTIFS($AU$3:$AU$201,$M138)&gt;0,
     COUNTIFS($AV$3:$AV$201,$M138)&gt;0,
     COUNTIFS($AW$3:$AW$201,$M138)&gt;0,
     COUNTIFS($AX$3:$AX$201,$M138)&gt;0
   )),
  ),
  2
 ),
"")</f>
        <v/>
      </c>
      <c r="Q138" s="2" t="str" cm="1">
        <f t="array" aca="1" ref="Q138" ca="1">IFERROR(
 INDEX(
  _xlfn._xlws.FILTER($U$2:$AX$2,
   TRANSPOSE(
    CHOOSE({1;2;3;4;5;6;7;8;9;10;11;12;13;14;15;16;17;18;19;20;21;22;23;24;25;26;27;28;29;30},
     COUNTIFS($U$3:$U$201,$M138)&gt;0,
     COUNTIFS($V$3:$V$201,$M138)&gt;0,
     COUNTIFS($W$3:$W$201,$M138)&gt;0,
     COUNTIFS($X$3:$X$201,$M138)&gt;0,
     COUNTIFS($Y$3:$Y$201,$M138)&gt;0,
     COUNTIFS($Z$3:$Z$201,$M138)&gt;0,
     COUNTIFS($AA$3:$AA$201,$M138)&gt;0,
     COUNTIFS($AB$3:$AB$201,$M138)&gt;0,
     COUNTIFS($AC$3:$AC$201,$M138)&gt;0,
     COUNTIFS($AD$3:$AD$201,$M138)&gt;0,
     COUNTIFS($AE$3:$AE$201,$M138)&gt;0,
     COUNTIFS($AF$3:$AF$201,$M138)&gt;0,
     COUNTIFS($AG$3:$AG$201,$M138)&gt;0,
     COUNTIFS($AH$3:$AH$201,$M138)&gt;0,
     COUNTIFS($AI$3:$AI$201,$M138)&gt;0,
     COUNTIFS($AJ$3:$AJ$201,$M138)&gt;0,
     COUNTIFS($AK$3:$AK$201,$M138)&gt;0,
     COUNTIFS($AL$3:$AL$201,$M138)&gt;0,
     COUNTIFS($AM$3:$AM$201,$M138)&gt;0,
     COUNTIFS($AN$3:$AN$201,$M138)&gt;0,
     COUNTIFS($AO$3:$AO$201,$M138)&gt;0,
     COUNTIFS($AP$3:$AP$201,$M138)&gt;0,
     COUNTIFS($AQ$3:$AQ$201,$M138)&gt;0,
     COUNTIFS($AR$3:$AR$201,$M138)&gt;0,
     COUNTIFS($AS$3:$AS$201,$M138)&gt;0,
     COUNTIFS($AT$3:$AT$201,$M138)&gt;0,
     COUNTIFS($AU$3:$AU$201,$M138)&gt;0,
     COUNTIFS($AV$3:$AV$201,$M138)&gt;0,
     COUNTIFS($AW$3:$AW$201,$M138)&gt;0,
     COUNTIFS($AX$3:$AX$201,$M138)&gt;0
   )),
  ),
  3
 ),
"")</f>
        <v/>
      </c>
      <c r="EO138" t="str">
        <f ca="1"/>
        <v>Surge of Salvation</v>
      </c>
      <c r="ET138" t="str">
        <f ca="1"/>
        <v>Outland Liberator</v>
      </c>
      <c r="EW138" t="str">
        <f ca="1"/>
        <v>Nimble Obstructionist</v>
      </c>
    </row>
    <row r="139" spans="1:153" x14ac:dyDescent="0.25">
      <c r="A139" t="str">
        <f ca="1"/>
        <v>Eight-and-a-Half-Tails</v>
      </c>
      <c r="B139" s="2" t="str" cm="1">
        <f t="array" aca="1" ref="B139" ca="1">_xlfn.ANCHORARRAY(RESUMO!C138)</f>
        <v>Zuko</v>
      </c>
      <c r="C139" s="2" t="str">
        <f t="shared" ca="1" si="8"/>
        <v/>
      </c>
      <c r="E139" t="str">
        <f ca="1"/>
        <v>Noble's Purse</v>
      </c>
      <c r="F139" s="2">
        <f t="shared" ca="1" si="11"/>
        <v>1</v>
      </c>
      <c r="G139" s="2" t="str">
        <f t="shared" ca="1" si="9"/>
        <v>Baylen</v>
      </c>
      <c r="J139" t="s">
        <v>180</v>
      </c>
      <c r="K139" s="2">
        <v>1</v>
      </c>
      <c r="M139" t="str">
        <f ca="1"/>
        <v>Noble's Purse</v>
      </c>
      <c r="N139" s="2">
        <f t="shared" ca="1" si="10"/>
        <v>1</v>
      </c>
      <c r="O139" s="2" t="str">
        <f ca="1">IFERROR(
 INDEX($U$2:$AX$2,
  MATCH(TRUE,
   CHOOSE({1;2;3;4;5;6;7;8;9;10;11;12;13;14;15;16;17;18;19;20;21;22;23;24;25;26;27;28;29;30;31;32},
    COUNTIFS($U$3:$U$201,$M139)&gt;0,
    COUNTIFS($V$3:$V$201,$M139)&gt;0,
    COUNTIFS($W$3:$W$201,$M139)&gt;0,
    COUNTIFS($X$3:$X$201,$M139)&gt;0,
    COUNTIFS($Y$3:$Y$201,$M139)&gt;0,
    COUNTIFS($Z$3:$Z$201,$M139)&gt;0,
    COUNTIFS($AA$3:$AA$201,$M139)&gt;0,
    COUNTIFS($AB$3:$AB$201,$M139)&gt;0,
    COUNTIFS($AC$3:$AC$201,$M139)&gt;0,
    COUNTIFS($AD$3:$AD$201,$M139)&gt;0,
    COUNTIFS($AE$3:$AE$201,$M139)&gt;0,
    COUNTIFS($AF$3:$AF$201,$M139)&gt;0,
    COUNTIFS($AG$3:$AG$201,$M139)&gt;0,
    COUNTIFS($AH$3:$AH$201,$M139)&gt;0,
    COUNTIFS($AI$3:$AI$201,$M139)&gt;0,
    COUNTIFS($AJ$3:$AJ$201,$M139)&gt;0,
    COUNTIFS($AK$3:$AK$201,$M139)&gt;0,
    COUNTIFS($AL$3:$AL$201,$M139)&gt;0,
    COUNTIFS($AM$3:$AM$201,$M139)&gt;0,
    COUNTIFS($AN$3:$AN$201,$M139)&gt;0,
    COUNTIFS($AO$3:$AO$201,$M139)&gt;0,
    COUNTIFS($AP$3:$AP$201,$M139)&gt;0,
    COUNTIFS($AQ$3:$AQ$201,$M139)&gt;0,
    COUNTIFS($AR$3:$AR$201,$M139)&gt;0,
    COUNTIFS($AS$3:$AS$201,$M139)&gt;0,
    COUNTIFS($AT$3:$AT$201,$M139)&gt;0,
    COUNTIFS($AU$3:$AU$201,$M139)&gt;0,
    COUNTIFS($AV$3:$AV$201,$M139)&gt;0,
    COUNTIFS($AW$3:$AW$201,$M139)&gt;0,
    COUNTIFS($AX$3:$AX$201,$M139)&gt;0
   ),
  0)
 ),
"")</f>
        <v>Baylen</v>
      </c>
      <c r="P139" s="2" t="str" cm="1">
        <f t="array" aca="1" ref="P139" ca="1">IFERROR(
 INDEX(
  _xlfn._xlws.FILTER($U$2:$AX$2,
   TRANSPOSE(
    CHOOSE({1;2;3;4;5;6;7;8;9;10;11;12;13;14;15;16;17;18;19;20;21;22;23;24;25;26;27;28;29;30},
     COUNTIFS($U$3:$U$201,$M139)&gt;0,
     COUNTIFS($V$3:$V$201,$M139)&gt;0,
     COUNTIFS($W$3:$W$201,$M139)&gt;0,
     COUNTIFS($X$3:$X$201,$M139)&gt;0,
     COUNTIFS($Y$3:$Y$201,$M139)&gt;0,
     COUNTIFS($Z$3:$Z$201,$M139)&gt;0,
     COUNTIFS($AA$3:$AA$201,$M139)&gt;0,
     COUNTIFS($AB$3:$AB$201,$M139)&gt;0,
     COUNTIFS($AC$3:$AC$201,$M139)&gt;0,
     COUNTIFS($AD$3:$AD$201,$M139)&gt;0,
     COUNTIFS($AE$3:$AE$201,$M139)&gt;0,
     COUNTIFS($AF$3:$AF$201,$M139)&gt;0,
     COUNTIFS($AG$3:$AG$201,$M139)&gt;0,
     COUNTIFS($AH$3:$AH$201,$M139)&gt;0,
     COUNTIFS($AI$3:$AI$201,$M139)&gt;0,
     COUNTIFS($AJ$3:$AJ$201,$M139)&gt;0,
     COUNTIFS($AK$3:$AK$201,$M139)&gt;0,
     COUNTIFS($AL$3:$AL$201,$M139)&gt;0,
     COUNTIFS($AM$3:$AM$201,$M139)&gt;0,
     COUNTIFS($AN$3:$AN$201,$M139)&gt;0,
     COUNTIFS($AO$3:$AO$201,$M139)&gt;0,
     COUNTIFS($AP$3:$AP$201,$M139)&gt;0,
     COUNTIFS($AQ$3:$AQ$201,$M139)&gt;0,
     COUNTIFS($AR$3:$AR$201,$M139)&gt;0,
     COUNTIFS($AS$3:$AS$201,$M139)&gt;0,
     COUNTIFS($AT$3:$AT$201,$M139)&gt;0,
     COUNTIFS($AU$3:$AU$201,$M139)&gt;0,
     COUNTIFS($AV$3:$AV$201,$M139)&gt;0,
     COUNTIFS($AW$3:$AW$201,$M139)&gt;0,
     COUNTIFS($AX$3:$AX$201,$M139)&gt;0
   )),
  ),
  2
 ),
"")</f>
        <v/>
      </c>
      <c r="Q139" s="2" t="str" cm="1">
        <f t="array" aca="1" ref="Q139" ca="1">IFERROR(
 INDEX(
  _xlfn._xlws.FILTER($U$2:$AX$2,
   TRANSPOSE(
    CHOOSE({1;2;3;4;5;6;7;8;9;10;11;12;13;14;15;16;17;18;19;20;21;22;23;24;25;26;27;28;29;30},
     COUNTIFS($U$3:$U$201,$M139)&gt;0,
     COUNTIFS($V$3:$V$201,$M139)&gt;0,
     COUNTIFS($W$3:$W$201,$M139)&gt;0,
     COUNTIFS($X$3:$X$201,$M139)&gt;0,
     COUNTIFS($Y$3:$Y$201,$M139)&gt;0,
     COUNTIFS($Z$3:$Z$201,$M139)&gt;0,
     COUNTIFS($AA$3:$AA$201,$M139)&gt;0,
     COUNTIFS($AB$3:$AB$201,$M139)&gt;0,
     COUNTIFS($AC$3:$AC$201,$M139)&gt;0,
     COUNTIFS($AD$3:$AD$201,$M139)&gt;0,
     COUNTIFS($AE$3:$AE$201,$M139)&gt;0,
     COUNTIFS($AF$3:$AF$201,$M139)&gt;0,
     COUNTIFS($AG$3:$AG$201,$M139)&gt;0,
     COUNTIFS($AH$3:$AH$201,$M139)&gt;0,
     COUNTIFS($AI$3:$AI$201,$M139)&gt;0,
     COUNTIFS($AJ$3:$AJ$201,$M139)&gt;0,
     COUNTIFS($AK$3:$AK$201,$M139)&gt;0,
     COUNTIFS($AL$3:$AL$201,$M139)&gt;0,
     COUNTIFS($AM$3:$AM$201,$M139)&gt;0,
     COUNTIFS($AN$3:$AN$201,$M139)&gt;0,
     COUNTIFS($AO$3:$AO$201,$M139)&gt;0,
     COUNTIFS($AP$3:$AP$201,$M139)&gt;0,
     COUNTIFS($AQ$3:$AQ$201,$M139)&gt;0,
     COUNTIFS($AR$3:$AR$201,$M139)&gt;0,
     COUNTIFS($AS$3:$AS$201,$M139)&gt;0,
     COUNTIFS($AT$3:$AT$201,$M139)&gt;0,
     COUNTIFS($AU$3:$AU$201,$M139)&gt;0,
     COUNTIFS($AV$3:$AV$201,$M139)&gt;0,
     COUNTIFS($AW$3:$AW$201,$M139)&gt;0,
     COUNTIFS($AX$3:$AX$201,$M139)&gt;0
   )),
  ),
  3
 ),
"")</f>
        <v/>
      </c>
      <c r="EO139" t="str">
        <f ca="1"/>
        <v>Swamp</v>
      </c>
      <c r="ET139" t="str">
        <f ca="1"/>
        <v>Oversold Cemetery</v>
      </c>
      <c r="EW139" t="str">
        <f ca="1"/>
        <v>Noble's Purse</v>
      </c>
    </row>
    <row r="140" spans="1:153" x14ac:dyDescent="0.25">
      <c r="A140" t="str">
        <f ca="1"/>
        <v>Eladamri's Call</v>
      </c>
      <c r="B140" s="2" t="str" cm="1">
        <f t="array" aca="1" ref="B140" ca="1">_xlfn.ANCHORARRAY(RESUMO!C139)</f>
        <v>Fractius</v>
      </c>
      <c r="C140" s="2" t="str">
        <f t="shared" ca="1" si="8"/>
        <v/>
      </c>
      <c r="E140" t="str">
        <f ca="1"/>
        <v>Nyx Weaver</v>
      </c>
      <c r="F140" s="2">
        <f t="shared" ca="1" si="11"/>
        <v>1</v>
      </c>
      <c r="G140" s="2" t="str">
        <f t="shared" ca="1" si="9"/>
        <v>Tayam</v>
      </c>
      <c r="J140" t="s">
        <v>180</v>
      </c>
      <c r="K140" s="2">
        <v>1</v>
      </c>
      <c r="M140" t="str">
        <f ca="1"/>
        <v>Nyx Weaver</v>
      </c>
      <c r="N140" s="2">
        <f t="shared" ca="1" si="10"/>
        <v>1</v>
      </c>
      <c r="O140" s="2" t="str">
        <f ca="1">IFERROR(
 INDEX($U$2:$AX$2,
  MATCH(TRUE,
   CHOOSE({1;2;3;4;5;6;7;8;9;10;11;12;13;14;15;16;17;18;19;20;21;22;23;24;25;26;27;28;29;30;31;32},
    COUNTIFS($U$3:$U$201,$M140)&gt;0,
    COUNTIFS($V$3:$V$201,$M140)&gt;0,
    COUNTIFS($W$3:$W$201,$M140)&gt;0,
    COUNTIFS($X$3:$X$201,$M140)&gt;0,
    COUNTIFS($Y$3:$Y$201,$M140)&gt;0,
    COUNTIFS($Z$3:$Z$201,$M140)&gt;0,
    COUNTIFS($AA$3:$AA$201,$M140)&gt;0,
    COUNTIFS($AB$3:$AB$201,$M140)&gt;0,
    COUNTIFS($AC$3:$AC$201,$M140)&gt;0,
    COUNTIFS($AD$3:$AD$201,$M140)&gt;0,
    COUNTIFS($AE$3:$AE$201,$M140)&gt;0,
    COUNTIFS($AF$3:$AF$201,$M140)&gt;0,
    COUNTIFS($AG$3:$AG$201,$M140)&gt;0,
    COUNTIFS($AH$3:$AH$201,$M140)&gt;0,
    COUNTIFS($AI$3:$AI$201,$M140)&gt;0,
    COUNTIFS($AJ$3:$AJ$201,$M140)&gt;0,
    COUNTIFS($AK$3:$AK$201,$M140)&gt;0,
    COUNTIFS($AL$3:$AL$201,$M140)&gt;0,
    COUNTIFS($AM$3:$AM$201,$M140)&gt;0,
    COUNTIFS($AN$3:$AN$201,$M140)&gt;0,
    COUNTIFS($AO$3:$AO$201,$M140)&gt;0,
    COUNTIFS($AP$3:$AP$201,$M140)&gt;0,
    COUNTIFS($AQ$3:$AQ$201,$M140)&gt;0,
    COUNTIFS($AR$3:$AR$201,$M140)&gt;0,
    COUNTIFS($AS$3:$AS$201,$M140)&gt;0,
    COUNTIFS($AT$3:$AT$201,$M140)&gt;0,
    COUNTIFS($AU$3:$AU$201,$M140)&gt;0,
    COUNTIFS($AV$3:$AV$201,$M140)&gt;0,
    COUNTIFS($AW$3:$AW$201,$M140)&gt;0,
    COUNTIFS($AX$3:$AX$201,$M140)&gt;0
   ),
  0)
 ),
"")</f>
        <v>Tayam</v>
      </c>
      <c r="P140" s="2" t="str" cm="1">
        <f t="array" aca="1" ref="P140" ca="1">IFERROR(
 INDEX(
  _xlfn._xlws.FILTER($U$2:$AX$2,
   TRANSPOSE(
    CHOOSE({1;2;3;4;5;6;7;8;9;10;11;12;13;14;15;16;17;18;19;20;21;22;23;24;25;26;27;28;29;30},
     COUNTIFS($U$3:$U$201,$M140)&gt;0,
     COUNTIFS($V$3:$V$201,$M140)&gt;0,
     COUNTIFS($W$3:$W$201,$M140)&gt;0,
     COUNTIFS($X$3:$X$201,$M140)&gt;0,
     COUNTIFS($Y$3:$Y$201,$M140)&gt;0,
     COUNTIFS($Z$3:$Z$201,$M140)&gt;0,
     COUNTIFS($AA$3:$AA$201,$M140)&gt;0,
     COUNTIFS($AB$3:$AB$201,$M140)&gt;0,
     COUNTIFS($AC$3:$AC$201,$M140)&gt;0,
     COUNTIFS($AD$3:$AD$201,$M140)&gt;0,
     COUNTIFS($AE$3:$AE$201,$M140)&gt;0,
     COUNTIFS($AF$3:$AF$201,$M140)&gt;0,
     COUNTIFS($AG$3:$AG$201,$M140)&gt;0,
     COUNTIFS($AH$3:$AH$201,$M140)&gt;0,
     COUNTIFS($AI$3:$AI$201,$M140)&gt;0,
     COUNTIFS($AJ$3:$AJ$201,$M140)&gt;0,
     COUNTIFS($AK$3:$AK$201,$M140)&gt;0,
     COUNTIFS($AL$3:$AL$201,$M140)&gt;0,
     COUNTIFS($AM$3:$AM$201,$M140)&gt;0,
     COUNTIFS($AN$3:$AN$201,$M140)&gt;0,
     COUNTIFS($AO$3:$AO$201,$M140)&gt;0,
     COUNTIFS($AP$3:$AP$201,$M140)&gt;0,
     COUNTIFS($AQ$3:$AQ$201,$M140)&gt;0,
     COUNTIFS($AR$3:$AR$201,$M140)&gt;0,
     COUNTIFS($AS$3:$AS$201,$M140)&gt;0,
     COUNTIFS($AT$3:$AT$201,$M140)&gt;0,
     COUNTIFS($AU$3:$AU$201,$M140)&gt;0,
     COUNTIFS($AV$3:$AV$201,$M140)&gt;0,
     COUNTIFS($AW$3:$AW$201,$M140)&gt;0,
     COUNTIFS($AX$3:$AX$201,$M140)&gt;0
   )),
  ),
  2
 ),
"")</f>
        <v/>
      </c>
      <c r="Q140" s="2" t="str" cm="1">
        <f t="array" aca="1" ref="Q140" ca="1">IFERROR(
 INDEX(
  _xlfn._xlws.FILTER($U$2:$AX$2,
   TRANSPOSE(
    CHOOSE({1;2;3;4;5;6;7;8;9;10;11;12;13;14;15;16;17;18;19;20;21;22;23;24;25;26;27;28;29;30},
     COUNTIFS($U$3:$U$201,$M140)&gt;0,
     COUNTIFS($V$3:$V$201,$M140)&gt;0,
     COUNTIFS($W$3:$W$201,$M140)&gt;0,
     COUNTIFS($X$3:$X$201,$M140)&gt;0,
     COUNTIFS($Y$3:$Y$201,$M140)&gt;0,
     COUNTIFS($Z$3:$Z$201,$M140)&gt;0,
     COUNTIFS($AA$3:$AA$201,$M140)&gt;0,
     COUNTIFS($AB$3:$AB$201,$M140)&gt;0,
     COUNTIFS($AC$3:$AC$201,$M140)&gt;0,
     COUNTIFS($AD$3:$AD$201,$M140)&gt;0,
     COUNTIFS($AE$3:$AE$201,$M140)&gt;0,
     COUNTIFS($AF$3:$AF$201,$M140)&gt;0,
     COUNTIFS($AG$3:$AG$201,$M140)&gt;0,
     COUNTIFS($AH$3:$AH$201,$M140)&gt;0,
     COUNTIFS($AI$3:$AI$201,$M140)&gt;0,
     COUNTIFS($AJ$3:$AJ$201,$M140)&gt;0,
     COUNTIFS($AK$3:$AK$201,$M140)&gt;0,
     COUNTIFS($AL$3:$AL$201,$M140)&gt;0,
     COUNTIFS($AM$3:$AM$201,$M140)&gt;0,
     COUNTIFS($AN$3:$AN$201,$M140)&gt;0,
     COUNTIFS($AO$3:$AO$201,$M140)&gt;0,
     COUNTIFS($AP$3:$AP$201,$M140)&gt;0,
     COUNTIFS($AQ$3:$AQ$201,$M140)&gt;0,
     COUNTIFS($AR$3:$AR$201,$M140)&gt;0,
     COUNTIFS($AS$3:$AS$201,$M140)&gt;0,
     COUNTIFS($AT$3:$AT$201,$M140)&gt;0,
     COUNTIFS($AU$3:$AU$201,$M140)&gt;0,
     COUNTIFS($AV$3:$AV$201,$M140)&gt;0,
     COUNTIFS($AW$3:$AW$201,$M140)&gt;0,
     COUNTIFS($AX$3:$AX$201,$M140)&gt;0
   )),
  ),
  3
 ),
"")</f>
        <v/>
      </c>
      <c r="EO140" t="str">
        <f ca="1"/>
        <v>The Eldest Reborn</v>
      </c>
      <c r="ET140" t="str">
        <f ca="1"/>
        <v>Panorama de Naya</v>
      </c>
      <c r="EW140" t="str">
        <f ca="1"/>
        <v>Nyx Weaver</v>
      </c>
    </row>
    <row r="141" spans="1:153" x14ac:dyDescent="0.25">
      <c r="A141" t="str">
        <f ca="1"/>
        <v>Elspeth, Sun's Champion</v>
      </c>
      <c r="B141" s="2" t="str" cm="1">
        <f t="array" aca="1" ref="B141" ca="1">_xlfn.ANCHORARRAY(RESUMO!C140)</f>
        <v>Sisay</v>
      </c>
      <c r="C141" s="2" t="str">
        <f t="shared" ca="1" si="8"/>
        <v/>
      </c>
      <c r="E141" t="str">
        <f ca="1"/>
        <v>Opt</v>
      </c>
      <c r="F141" s="2">
        <f t="shared" ca="1" si="11"/>
        <v>1</v>
      </c>
      <c r="G141" s="2" t="str">
        <f t="shared" ca="1" si="9"/>
        <v>Narset</v>
      </c>
      <c r="J141" t="s">
        <v>180</v>
      </c>
      <c r="K141" s="2">
        <v>1</v>
      </c>
      <c r="M141" t="str">
        <f ca="1"/>
        <v>Opt</v>
      </c>
      <c r="N141" s="2">
        <f t="shared" ca="1" si="10"/>
        <v>1</v>
      </c>
      <c r="O141" s="2" t="str">
        <f ca="1">IFERROR(
 INDEX($U$2:$AX$2,
  MATCH(TRUE,
   CHOOSE({1;2;3;4;5;6;7;8;9;10;11;12;13;14;15;16;17;18;19;20;21;22;23;24;25;26;27;28;29;30;31;32},
    COUNTIFS($U$3:$U$201,$M141)&gt;0,
    COUNTIFS($V$3:$V$201,$M141)&gt;0,
    COUNTIFS($W$3:$W$201,$M141)&gt;0,
    COUNTIFS($X$3:$X$201,$M141)&gt;0,
    COUNTIFS($Y$3:$Y$201,$M141)&gt;0,
    COUNTIFS($Z$3:$Z$201,$M141)&gt;0,
    COUNTIFS($AA$3:$AA$201,$M141)&gt;0,
    COUNTIFS($AB$3:$AB$201,$M141)&gt;0,
    COUNTIFS($AC$3:$AC$201,$M141)&gt;0,
    COUNTIFS($AD$3:$AD$201,$M141)&gt;0,
    COUNTIFS($AE$3:$AE$201,$M141)&gt;0,
    COUNTIFS($AF$3:$AF$201,$M141)&gt;0,
    COUNTIFS($AG$3:$AG$201,$M141)&gt;0,
    COUNTIFS($AH$3:$AH$201,$M141)&gt;0,
    COUNTIFS($AI$3:$AI$201,$M141)&gt;0,
    COUNTIFS($AJ$3:$AJ$201,$M141)&gt;0,
    COUNTIFS($AK$3:$AK$201,$M141)&gt;0,
    COUNTIFS($AL$3:$AL$201,$M141)&gt;0,
    COUNTIFS($AM$3:$AM$201,$M141)&gt;0,
    COUNTIFS($AN$3:$AN$201,$M141)&gt;0,
    COUNTIFS($AO$3:$AO$201,$M141)&gt;0,
    COUNTIFS($AP$3:$AP$201,$M141)&gt;0,
    COUNTIFS($AQ$3:$AQ$201,$M141)&gt;0,
    COUNTIFS($AR$3:$AR$201,$M141)&gt;0,
    COUNTIFS($AS$3:$AS$201,$M141)&gt;0,
    COUNTIFS($AT$3:$AT$201,$M141)&gt;0,
    COUNTIFS($AU$3:$AU$201,$M141)&gt;0,
    COUNTIFS($AV$3:$AV$201,$M141)&gt;0,
    COUNTIFS($AW$3:$AW$201,$M141)&gt;0,
    COUNTIFS($AX$3:$AX$201,$M141)&gt;0
   ),
  0)
 ),
"")</f>
        <v>Narset</v>
      </c>
      <c r="P141" s="2" t="str" cm="1">
        <f t="array" aca="1" ref="P141" ca="1">IFERROR(
 INDEX(
  _xlfn._xlws.FILTER($U$2:$AX$2,
   TRANSPOSE(
    CHOOSE({1;2;3;4;5;6;7;8;9;10;11;12;13;14;15;16;17;18;19;20;21;22;23;24;25;26;27;28;29;30},
     COUNTIFS($U$3:$U$201,$M141)&gt;0,
     COUNTIFS($V$3:$V$201,$M141)&gt;0,
     COUNTIFS($W$3:$W$201,$M141)&gt;0,
     COUNTIFS($X$3:$X$201,$M141)&gt;0,
     COUNTIFS($Y$3:$Y$201,$M141)&gt;0,
     COUNTIFS($Z$3:$Z$201,$M141)&gt;0,
     COUNTIFS($AA$3:$AA$201,$M141)&gt;0,
     COUNTIFS($AB$3:$AB$201,$M141)&gt;0,
     COUNTIFS($AC$3:$AC$201,$M141)&gt;0,
     COUNTIFS($AD$3:$AD$201,$M141)&gt;0,
     COUNTIFS($AE$3:$AE$201,$M141)&gt;0,
     COUNTIFS($AF$3:$AF$201,$M141)&gt;0,
     COUNTIFS($AG$3:$AG$201,$M141)&gt;0,
     COUNTIFS($AH$3:$AH$201,$M141)&gt;0,
     COUNTIFS($AI$3:$AI$201,$M141)&gt;0,
     COUNTIFS($AJ$3:$AJ$201,$M141)&gt;0,
     COUNTIFS($AK$3:$AK$201,$M141)&gt;0,
     COUNTIFS($AL$3:$AL$201,$M141)&gt;0,
     COUNTIFS($AM$3:$AM$201,$M141)&gt;0,
     COUNTIFS($AN$3:$AN$201,$M141)&gt;0,
     COUNTIFS($AO$3:$AO$201,$M141)&gt;0,
     COUNTIFS($AP$3:$AP$201,$M141)&gt;0,
     COUNTIFS($AQ$3:$AQ$201,$M141)&gt;0,
     COUNTIFS($AR$3:$AR$201,$M141)&gt;0,
     COUNTIFS($AS$3:$AS$201,$M141)&gt;0,
     COUNTIFS($AT$3:$AT$201,$M141)&gt;0,
     COUNTIFS($AU$3:$AU$201,$M141)&gt;0,
     COUNTIFS($AV$3:$AV$201,$M141)&gt;0,
     COUNTIFS($AW$3:$AW$201,$M141)&gt;0,
     COUNTIFS($AX$3:$AX$201,$M141)&gt;0
   )),
  ),
  2
 ),
"")</f>
        <v/>
      </c>
      <c r="Q141" s="2" t="str" cm="1">
        <f t="array" aca="1" ref="Q141" ca="1">IFERROR(
 INDEX(
  _xlfn._xlws.FILTER($U$2:$AX$2,
   TRANSPOSE(
    CHOOSE({1;2;3;4;5;6;7;8;9;10;11;12;13;14;15;16;17;18;19;20;21;22;23;24;25;26;27;28;29;30},
     COUNTIFS($U$3:$U$201,$M141)&gt;0,
     COUNTIFS($V$3:$V$201,$M141)&gt;0,
     COUNTIFS($W$3:$W$201,$M141)&gt;0,
     COUNTIFS($X$3:$X$201,$M141)&gt;0,
     COUNTIFS($Y$3:$Y$201,$M141)&gt;0,
     COUNTIFS($Z$3:$Z$201,$M141)&gt;0,
     COUNTIFS($AA$3:$AA$201,$M141)&gt;0,
     COUNTIFS($AB$3:$AB$201,$M141)&gt;0,
     COUNTIFS($AC$3:$AC$201,$M141)&gt;0,
     COUNTIFS($AD$3:$AD$201,$M141)&gt;0,
     COUNTIFS($AE$3:$AE$201,$M141)&gt;0,
     COUNTIFS($AF$3:$AF$201,$M141)&gt;0,
     COUNTIFS($AG$3:$AG$201,$M141)&gt;0,
     COUNTIFS($AH$3:$AH$201,$M141)&gt;0,
     COUNTIFS($AI$3:$AI$201,$M141)&gt;0,
     COUNTIFS($AJ$3:$AJ$201,$M141)&gt;0,
     COUNTIFS($AK$3:$AK$201,$M141)&gt;0,
     COUNTIFS($AL$3:$AL$201,$M141)&gt;0,
     COUNTIFS($AM$3:$AM$201,$M141)&gt;0,
     COUNTIFS($AN$3:$AN$201,$M141)&gt;0,
     COUNTIFS($AO$3:$AO$201,$M141)&gt;0,
     COUNTIFS($AP$3:$AP$201,$M141)&gt;0,
     COUNTIFS($AQ$3:$AQ$201,$M141)&gt;0,
     COUNTIFS($AR$3:$AR$201,$M141)&gt;0,
     COUNTIFS($AS$3:$AS$201,$M141)&gt;0,
     COUNTIFS($AT$3:$AT$201,$M141)&gt;0,
     COUNTIFS($AU$3:$AU$201,$M141)&gt;0,
     COUNTIFS($AV$3:$AV$201,$M141)&gt;0,
     COUNTIFS($AW$3:$AW$201,$M141)&gt;0,
     COUNTIFS($AX$3:$AX$201,$M141)&gt;0
   )),
  ),
  3
 ),
"")</f>
        <v/>
      </c>
      <c r="EO141" t="str">
        <f ca="1"/>
        <v>The Hunger Tide Rises</v>
      </c>
      <c r="ET141" t="str">
        <f ca="1"/>
        <v>Part the Waterveil</v>
      </c>
      <c r="EW141" t="str">
        <f ca="1"/>
        <v>Opt</v>
      </c>
    </row>
    <row r="142" spans="1:153" x14ac:dyDescent="0.25">
      <c r="A142" t="str">
        <f ca="1"/>
        <v>Emergence Zone</v>
      </c>
      <c r="B142" s="2" t="str" cm="1">
        <f t="array" aca="1" ref="B142" ca="1">_xlfn.ANCHORARRAY(RESUMO!C141)</f>
        <v>Zuko</v>
      </c>
      <c r="C142" s="2" t="str">
        <f t="shared" ca="1" si="8"/>
        <v/>
      </c>
      <c r="E142" t="str">
        <f ca="1"/>
        <v>Outland Liberator</v>
      </c>
      <c r="F142" s="2">
        <f t="shared" ca="1" si="11"/>
        <v>1</v>
      </c>
      <c r="G142" s="2" t="str">
        <f t="shared" ca="1" si="9"/>
        <v>Kresh</v>
      </c>
      <c r="J142" t="s">
        <v>180</v>
      </c>
      <c r="K142" s="2">
        <v>1</v>
      </c>
      <c r="M142" t="str">
        <f ca="1"/>
        <v>Outland Liberator</v>
      </c>
      <c r="N142" s="2">
        <f t="shared" ca="1" si="10"/>
        <v>1</v>
      </c>
      <c r="O142" s="2" t="str">
        <f ca="1">IFERROR(
 INDEX($U$2:$AX$2,
  MATCH(TRUE,
   CHOOSE({1;2;3;4;5;6;7;8;9;10;11;12;13;14;15;16;17;18;19;20;21;22;23;24;25;26;27;28;29;30;31;32},
    COUNTIFS($U$3:$U$201,$M142)&gt;0,
    COUNTIFS($V$3:$V$201,$M142)&gt;0,
    COUNTIFS($W$3:$W$201,$M142)&gt;0,
    COUNTIFS($X$3:$X$201,$M142)&gt;0,
    COUNTIFS($Y$3:$Y$201,$M142)&gt;0,
    COUNTIFS($Z$3:$Z$201,$M142)&gt;0,
    COUNTIFS($AA$3:$AA$201,$M142)&gt;0,
    COUNTIFS($AB$3:$AB$201,$M142)&gt;0,
    COUNTIFS($AC$3:$AC$201,$M142)&gt;0,
    COUNTIFS($AD$3:$AD$201,$M142)&gt;0,
    COUNTIFS($AE$3:$AE$201,$M142)&gt;0,
    COUNTIFS($AF$3:$AF$201,$M142)&gt;0,
    COUNTIFS($AG$3:$AG$201,$M142)&gt;0,
    COUNTIFS($AH$3:$AH$201,$M142)&gt;0,
    COUNTIFS($AI$3:$AI$201,$M142)&gt;0,
    COUNTIFS($AJ$3:$AJ$201,$M142)&gt;0,
    COUNTIFS($AK$3:$AK$201,$M142)&gt;0,
    COUNTIFS($AL$3:$AL$201,$M142)&gt;0,
    COUNTIFS($AM$3:$AM$201,$M142)&gt;0,
    COUNTIFS($AN$3:$AN$201,$M142)&gt;0,
    COUNTIFS($AO$3:$AO$201,$M142)&gt;0,
    COUNTIFS($AP$3:$AP$201,$M142)&gt;0,
    COUNTIFS($AQ$3:$AQ$201,$M142)&gt;0,
    COUNTIFS($AR$3:$AR$201,$M142)&gt;0,
    COUNTIFS($AS$3:$AS$201,$M142)&gt;0,
    COUNTIFS($AT$3:$AT$201,$M142)&gt;0,
    COUNTIFS($AU$3:$AU$201,$M142)&gt;0,
    COUNTIFS($AV$3:$AV$201,$M142)&gt;0,
    COUNTIFS($AW$3:$AW$201,$M142)&gt;0,
    COUNTIFS($AX$3:$AX$201,$M142)&gt;0
   ),
  0)
 ),
"")</f>
        <v>Kresh</v>
      </c>
      <c r="P142" s="2" t="str" cm="1">
        <f t="array" aca="1" ref="P142" ca="1">IFERROR(
 INDEX(
  _xlfn._xlws.FILTER($U$2:$AX$2,
   TRANSPOSE(
    CHOOSE({1;2;3;4;5;6;7;8;9;10;11;12;13;14;15;16;17;18;19;20;21;22;23;24;25;26;27;28;29;30},
     COUNTIFS($U$3:$U$201,$M142)&gt;0,
     COUNTIFS($V$3:$V$201,$M142)&gt;0,
     COUNTIFS($W$3:$W$201,$M142)&gt;0,
     COUNTIFS($X$3:$X$201,$M142)&gt;0,
     COUNTIFS($Y$3:$Y$201,$M142)&gt;0,
     COUNTIFS($Z$3:$Z$201,$M142)&gt;0,
     COUNTIFS($AA$3:$AA$201,$M142)&gt;0,
     COUNTIFS($AB$3:$AB$201,$M142)&gt;0,
     COUNTIFS($AC$3:$AC$201,$M142)&gt;0,
     COUNTIFS($AD$3:$AD$201,$M142)&gt;0,
     COUNTIFS($AE$3:$AE$201,$M142)&gt;0,
     COUNTIFS($AF$3:$AF$201,$M142)&gt;0,
     COUNTIFS($AG$3:$AG$201,$M142)&gt;0,
     COUNTIFS($AH$3:$AH$201,$M142)&gt;0,
     COUNTIFS($AI$3:$AI$201,$M142)&gt;0,
     COUNTIFS($AJ$3:$AJ$201,$M142)&gt;0,
     COUNTIFS($AK$3:$AK$201,$M142)&gt;0,
     COUNTIFS($AL$3:$AL$201,$M142)&gt;0,
     COUNTIFS($AM$3:$AM$201,$M142)&gt;0,
     COUNTIFS($AN$3:$AN$201,$M142)&gt;0,
     COUNTIFS($AO$3:$AO$201,$M142)&gt;0,
     COUNTIFS($AP$3:$AP$201,$M142)&gt;0,
     COUNTIFS($AQ$3:$AQ$201,$M142)&gt;0,
     COUNTIFS($AR$3:$AR$201,$M142)&gt;0,
     COUNTIFS($AS$3:$AS$201,$M142)&gt;0,
     COUNTIFS($AT$3:$AT$201,$M142)&gt;0,
     COUNTIFS($AU$3:$AU$201,$M142)&gt;0,
     COUNTIFS($AV$3:$AV$201,$M142)&gt;0,
     COUNTIFS($AW$3:$AW$201,$M142)&gt;0,
     COUNTIFS($AX$3:$AX$201,$M142)&gt;0
   )),
  ),
  2
 ),
"")</f>
        <v/>
      </c>
      <c r="Q142" s="2" t="str" cm="1">
        <f t="array" aca="1" ref="Q142" ca="1">IFERROR(
 INDEX(
  _xlfn._xlws.FILTER($U$2:$AX$2,
   TRANSPOSE(
    CHOOSE({1;2;3;4;5;6;7;8;9;10;11;12;13;14;15;16;17;18;19;20;21;22;23;24;25;26;27;28;29;30},
     COUNTIFS($U$3:$U$201,$M142)&gt;0,
     COUNTIFS($V$3:$V$201,$M142)&gt;0,
     COUNTIFS($W$3:$W$201,$M142)&gt;0,
     COUNTIFS($X$3:$X$201,$M142)&gt;0,
     COUNTIFS($Y$3:$Y$201,$M142)&gt;0,
     COUNTIFS($Z$3:$Z$201,$M142)&gt;0,
     COUNTIFS($AA$3:$AA$201,$M142)&gt;0,
     COUNTIFS($AB$3:$AB$201,$M142)&gt;0,
     COUNTIFS($AC$3:$AC$201,$M142)&gt;0,
     COUNTIFS($AD$3:$AD$201,$M142)&gt;0,
     COUNTIFS($AE$3:$AE$201,$M142)&gt;0,
     COUNTIFS($AF$3:$AF$201,$M142)&gt;0,
     COUNTIFS($AG$3:$AG$201,$M142)&gt;0,
     COUNTIFS($AH$3:$AH$201,$M142)&gt;0,
     COUNTIFS($AI$3:$AI$201,$M142)&gt;0,
     COUNTIFS($AJ$3:$AJ$201,$M142)&gt;0,
     COUNTIFS($AK$3:$AK$201,$M142)&gt;0,
     COUNTIFS($AL$3:$AL$201,$M142)&gt;0,
     COUNTIFS($AM$3:$AM$201,$M142)&gt;0,
     COUNTIFS($AN$3:$AN$201,$M142)&gt;0,
     COUNTIFS($AO$3:$AO$201,$M142)&gt;0,
     COUNTIFS($AP$3:$AP$201,$M142)&gt;0,
     COUNTIFS($AQ$3:$AQ$201,$M142)&gt;0,
     COUNTIFS($AR$3:$AR$201,$M142)&gt;0,
     COUNTIFS($AS$3:$AS$201,$M142)&gt;0,
     COUNTIFS($AT$3:$AT$201,$M142)&gt;0,
     COUNTIFS($AU$3:$AU$201,$M142)&gt;0,
     COUNTIFS($AV$3:$AV$201,$M142)&gt;0,
     COUNTIFS($AW$3:$AW$201,$M142)&gt;0,
     COUNTIFS($AX$3:$AX$201,$M142)&gt;0
   )),
  ),
  3
 ),
"")</f>
        <v/>
      </c>
      <c r="EO142" t="str">
        <f ca="1"/>
        <v>Thieving Skydiver</v>
      </c>
      <c r="ET142" t="str">
        <f ca="1"/>
        <v>Patriarch's Bidding</v>
      </c>
      <c r="EW142" t="str">
        <f ca="1"/>
        <v>Outland Liberator</v>
      </c>
    </row>
    <row r="143" spans="1:153" x14ac:dyDescent="0.25">
      <c r="A143" t="str">
        <f ca="1"/>
        <v>Emrakul, the World Anew</v>
      </c>
      <c r="B143" s="2" t="str" cm="1">
        <f t="array" aca="1" ref="B143" ca="1">_xlfn.ANCHORARRAY(RESUMO!C142)</f>
        <v>JhoiraB</v>
      </c>
      <c r="C143" s="2" t="str">
        <f t="shared" ca="1" si="8"/>
        <v/>
      </c>
      <c r="E143" t="str">
        <f ca="1"/>
        <v>Oversold Cemetery</v>
      </c>
      <c r="F143" s="2">
        <f t="shared" ca="1" si="11"/>
        <v>2</v>
      </c>
      <c r="G143" s="2" t="str">
        <f t="shared" ca="1" si="9"/>
        <v>Tayam</v>
      </c>
      <c r="J143" t="s">
        <v>180</v>
      </c>
      <c r="K143" s="2">
        <v>1</v>
      </c>
      <c r="M143" t="str">
        <f ca="1"/>
        <v>Oversold Cemetery</v>
      </c>
      <c r="N143" s="2">
        <f t="shared" ca="1" si="10"/>
        <v>2</v>
      </c>
      <c r="O143" s="2" t="str">
        <f ca="1">IFERROR(
 INDEX($U$2:$AX$2,
  MATCH(TRUE,
   CHOOSE({1;2;3;4;5;6;7;8;9;10;11;12;13;14;15;16;17;18;19;20;21;22;23;24;25;26;27;28;29;30;31;32},
    COUNTIFS($U$3:$U$201,$M143)&gt;0,
    COUNTIFS($V$3:$V$201,$M143)&gt;0,
    COUNTIFS($W$3:$W$201,$M143)&gt;0,
    COUNTIFS($X$3:$X$201,$M143)&gt;0,
    COUNTIFS($Y$3:$Y$201,$M143)&gt;0,
    COUNTIFS($Z$3:$Z$201,$M143)&gt;0,
    COUNTIFS($AA$3:$AA$201,$M143)&gt;0,
    COUNTIFS($AB$3:$AB$201,$M143)&gt;0,
    COUNTIFS($AC$3:$AC$201,$M143)&gt;0,
    COUNTIFS($AD$3:$AD$201,$M143)&gt;0,
    COUNTIFS($AE$3:$AE$201,$M143)&gt;0,
    COUNTIFS($AF$3:$AF$201,$M143)&gt;0,
    COUNTIFS($AG$3:$AG$201,$M143)&gt;0,
    COUNTIFS($AH$3:$AH$201,$M143)&gt;0,
    COUNTIFS($AI$3:$AI$201,$M143)&gt;0,
    COUNTIFS($AJ$3:$AJ$201,$M143)&gt;0,
    COUNTIFS($AK$3:$AK$201,$M143)&gt;0,
    COUNTIFS($AL$3:$AL$201,$M143)&gt;0,
    COUNTIFS($AM$3:$AM$201,$M143)&gt;0,
    COUNTIFS($AN$3:$AN$201,$M143)&gt;0,
    COUNTIFS($AO$3:$AO$201,$M143)&gt;0,
    COUNTIFS($AP$3:$AP$201,$M143)&gt;0,
    COUNTIFS($AQ$3:$AQ$201,$M143)&gt;0,
    COUNTIFS($AR$3:$AR$201,$M143)&gt;0,
    COUNTIFS($AS$3:$AS$201,$M143)&gt;0,
    COUNTIFS($AT$3:$AT$201,$M143)&gt;0,
    COUNTIFS($AU$3:$AU$201,$M143)&gt;0,
    COUNTIFS($AV$3:$AV$201,$M143)&gt;0,
    COUNTIFS($AW$3:$AW$201,$M143)&gt;0,
    COUNTIFS($AX$3:$AX$201,$M143)&gt;0
   ),
  0)
 ),
"")</f>
        <v>Tayam</v>
      </c>
      <c r="P143" s="2" t="str" cm="1">
        <f t="array" aca="1" ref="P143" ca="1">IFERROR(
 INDEX(
  _xlfn._xlws.FILTER($U$2:$AX$2,
   TRANSPOSE(
    CHOOSE({1;2;3;4;5;6;7;8;9;10;11;12;13;14;15;16;17;18;19;20;21;22;23;24;25;26;27;28;29;30},
     COUNTIFS($U$3:$U$201,$M143)&gt;0,
     COUNTIFS($V$3:$V$201,$M143)&gt;0,
     COUNTIFS($W$3:$W$201,$M143)&gt;0,
     COUNTIFS($X$3:$X$201,$M143)&gt;0,
     COUNTIFS($Y$3:$Y$201,$M143)&gt;0,
     COUNTIFS($Z$3:$Z$201,$M143)&gt;0,
     COUNTIFS($AA$3:$AA$201,$M143)&gt;0,
     COUNTIFS($AB$3:$AB$201,$M143)&gt;0,
     COUNTIFS($AC$3:$AC$201,$M143)&gt;0,
     COUNTIFS($AD$3:$AD$201,$M143)&gt;0,
     COUNTIFS($AE$3:$AE$201,$M143)&gt;0,
     COUNTIFS($AF$3:$AF$201,$M143)&gt;0,
     COUNTIFS($AG$3:$AG$201,$M143)&gt;0,
     COUNTIFS($AH$3:$AH$201,$M143)&gt;0,
     COUNTIFS($AI$3:$AI$201,$M143)&gt;0,
     COUNTIFS($AJ$3:$AJ$201,$M143)&gt;0,
     COUNTIFS($AK$3:$AK$201,$M143)&gt;0,
     COUNTIFS($AL$3:$AL$201,$M143)&gt;0,
     COUNTIFS($AM$3:$AM$201,$M143)&gt;0,
     COUNTIFS($AN$3:$AN$201,$M143)&gt;0,
     COUNTIFS($AO$3:$AO$201,$M143)&gt;0,
     COUNTIFS($AP$3:$AP$201,$M143)&gt;0,
     COUNTIFS($AQ$3:$AQ$201,$M143)&gt;0,
     COUNTIFS($AR$3:$AR$201,$M143)&gt;0,
     COUNTIFS($AS$3:$AS$201,$M143)&gt;0,
     COUNTIFS($AT$3:$AT$201,$M143)&gt;0,
     COUNTIFS($AU$3:$AU$201,$M143)&gt;0,
     COUNTIFS($AV$3:$AV$201,$M143)&gt;0,
     COUNTIFS($AW$3:$AW$201,$M143)&gt;0,
     COUNTIFS($AX$3:$AX$201,$M143)&gt;0
   )),
  ),
  2
 ),
"")</f>
        <v>Inalla</v>
      </c>
      <c r="Q143" s="2" t="str" cm="1">
        <f t="array" aca="1" ref="Q143" ca="1">IFERROR(
 INDEX(
  _xlfn._xlws.FILTER($U$2:$AX$2,
   TRANSPOSE(
    CHOOSE({1;2;3;4;5;6;7;8;9;10;11;12;13;14;15;16;17;18;19;20;21;22;23;24;25;26;27;28;29;30},
     COUNTIFS($U$3:$U$201,$M143)&gt;0,
     COUNTIFS($V$3:$V$201,$M143)&gt;0,
     COUNTIFS($W$3:$W$201,$M143)&gt;0,
     COUNTIFS($X$3:$X$201,$M143)&gt;0,
     COUNTIFS($Y$3:$Y$201,$M143)&gt;0,
     COUNTIFS($Z$3:$Z$201,$M143)&gt;0,
     COUNTIFS($AA$3:$AA$201,$M143)&gt;0,
     COUNTIFS($AB$3:$AB$201,$M143)&gt;0,
     COUNTIFS($AC$3:$AC$201,$M143)&gt;0,
     COUNTIFS($AD$3:$AD$201,$M143)&gt;0,
     COUNTIFS($AE$3:$AE$201,$M143)&gt;0,
     COUNTIFS($AF$3:$AF$201,$M143)&gt;0,
     COUNTIFS($AG$3:$AG$201,$M143)&gt;0,
     COUNTIFS($AH$3:$AH$201,$M143)&gt;0,
     COUNTIFS($AI$3:$AI$201,$M143)&gt;0,
     COUNTIFS($AJ$3:$AJ$201,$M143)&gt;0,
     COUNTIFS($AK$3:$AK$201,$M143)&gt;0,
     COUNTIFS($AL$3:$AL$201,$M143)&gt;0,
     COUNTIFS($AM$3:$AM$201,$M143)&gt;0,
     COUNTIFS($AN$3:$AN$201,$M143)&gt;0,
     COUNTIFS($AO$3:$AO$201,$M143)&gt;0,
     COUNTIFS($AP$3:$AP$201,$M143)&gt;0,
     COUNTIFS($AQ$3:$AQ$201,$M143)&gt;0,
     COUNTIFS($AR$3:$AR$201,$M143)&gt;0,
     COUNTIFS($AS$3:$AS$201,$M143)&gt;0,
     COUNTIFS($AT$3:$AT$201,$M143)&gt;0,
     COUNTIFS($AU$3:$AU$201,$M143)&gt;0,
     COUNTIFS($AV$3:$AV$201,$M143)&gt;0,
     COUNTIFS($AW$3:$AW$201,$M143)&gt;0,
     COUNTIFS($AX$3:$AX$201,$M143)&gt;0
   )),
  ),
  3
 ),
"")</f>
        <v/>
      </c>
      <c r="EO143" t="str">
        <f ca="1"/>
        <v>Thorough Investigation</v>
      </c>
      <c r="ET143" t="str">
        <f ca="1"/>
        <v>Pensamento Sombrio</v>
      </c>
      <c r="EW143" t="str">
        <f ca="1"/>
        <v>Oversold Cemetery</v>
      </c>
    </row>
    <row r="144" spans="1:153" x14ac:dyDescent="0.25">
      <c r="A144" t="str">
        <f ca="1"/>
        <v>Endurance</v>
      </c>
      <c r="B144" s="2" t="str" cm="1">
        <f t="array" aca="1" ref="B144" ca="1">_xlfn.ANCHORARRAY(RESUMO!C143)</f>
        <v>4cRash</v>
      </c>
      <c r="C144" s="2" t="str">
        <f t="shared" ca="1" si="8"/>
        <v/>
      </c>
      <c r="E144" t="str">
        <f ca="1"/>
        <v>Panorama de Naya</v>
      </c>
      <c r="F144" s="2">
        <f t="shared" ca="1" si="11"/>
        <v>1</v>
      </c>
      <c r="G144" s="2" t="str">
        <f t="shared" ca="1" si="9"/>
        <v>Baylen</v>
      </c>
      <c r="J144" t="s">
        <v>180</v>
      </c>
      <c r="K144" s="2">
        <v>1</v>
      </c>
      <c r="M144" t="str">
        <f ca="1"/>
        <v>Panorama de Naya</v>
      </c>
      <c r="N144" s="2">
        <f t="shared" ca="1" si="10"/>
        <v>1</v>
      </c>
      <c r="O144" s="2" t="str">
        <f ca="1">IFERROR(
 INDEX($U$2:$AX$2,
  MATCH(TRUE,
   CHOOSE({1;2;3;4;5;6;7;8;9;10;11;12;13;14;15;16;17;18;19;20;21;22;23;24;25;26;27;28;29;30;31;32},
    COUNTIFS($U$3:$U$201,$M144)&gt;0,
    COUNTIFS($V$3:$V$201,$M144)&gt;0,
    COUNTIFS($W$3:$W$201,$M144)&gt;0,
    COUNTIFS($X$3:$X$201,$M144)&gt;0,
    COUNTIFS($Y$3:$Y$201,$M144)&gt;0,
    COUNTIFS($Z$3:$Z$201,$M144)&gt;0,
    COUNTIFS($AA$3:$AA$201,$M144)&gt;0,
    COUNTIFS($AB$3:$AB$201,$M144)&gt;0,
    COUNTIFS($AC$3:$AC$201,$M144)&gt;0,
    COUNTIFS($AD$3:$AD$201,$M144)&gt;0,
    COUNTIFS($AE$3:$AE$201,$M144)&gt;0,
    COUNTIFS($AF$3:$AF$201,$M144)&gt;0,
    COUNTIFS($AG$3:$AG$201,$M144)&gt;0,
    COUNTIFS($AH$3:$AH$201,$M144)&gt;0,
    COUNTIFS($AI$3:$AI$201,$M144)&gt;0,
    COUNTIFS($AJ$3:$AJ$201,$M144)&gt;0,
    COUNTIFS($AK$3:$AK$201,$M144)&gt;0,
    COUNTIFS($AL$3:$AL$201,$M144)&gt;0,
    COUNTIFS($AM$3:$AM$201,$M144)&gt;0,
    COUNTIFS($AN$3:$AN$201,$M144)&gt;0,
    COUNTIFS($AO$3:$AO$201,$M144)&gt;0,
    COUNTIFS($AP$3:$AP$201,$M144)&gt;0,
    COUNTIFS($AQ$3:$AQ$201,$M144)&gt;0,
    COUNTIFS($AR$3:$AR$201,$M144)&gt;0,
    COUNTIFS($AS$3:$AS$201,$M144)&gt;0,
    COUNTIFS($AT$3:$AT$201,$M144)&gt;0,
    COUNTIFS($AU$3:$AU$201,$M144)&gt;0,
    COUNTIFS($AV$3:$AV$201,$M144)&gt;0,
    COUNTIFS($AW$3:$AW$201,$M144)&gt;0,
    COUNTIFS($AX$3:$AX$201,$M144)&gt;0
   ),
  0)
 ),
"")</f>
        <v>Baylen</v>
      </c>
      <c r="P144" s="2" t="str" cm="1">
        <f t="array" aca="1" ref="P144" ca="1">IFERROR(
 INDEX(
  _xlfn._xlws.FILTER($U$2:$AX$2,
   TRANSPOSE(
    CHOOSE({1;2;3;4;5;6;7;8;9;10;11;12;13;14;15;16;17;18;19;20;21;22;23;24;25;26;27;28;29;30},
     COUNTIFS($U$3:$U$201,$M144)&gt;0,
     COUNTIFS($V$3:$V$201,$M144)&gt;0,
     COUNTIFS($W$3:$W$201,$M144)&gt;0,
     COUNTIFS($X$3:$X$201,$M144)&gt;0,
     COUNTIFS($Y$3:$Y$201,$M144)&gt;0,
     COUNTIFS($Z$3:$Z$201,$M144)&gt;0,
     COUNTIFS($AA$3:$AA$201,$M144)&gt;0,
     COUNTIFS($AB$3:$AB$201,$M144)&gt;0,
     COUNTIFS($AC$3:$AC$201,$M144)&gt;0,
     COUNTIFS($AD$3:$AD$201,$M144)&gt;0,
     COUNTIFS($AE$3:$AE$201,$M144)&gt;0,
     COUNTIFS($AF$3:$AF$201,$M144)&gt;0,
     COUNTIFS($AG$3:$AG$201,$M144)&gt;0,
     COUNTIFS($AH$3:$AH$201,$M144)&gt;0,
     COUNTIFS($AI$3:$AI$201,$M144)&gt;0,
     COUNTIFS($AJ$3:$AJ$201,$M144)&gt;0,
     COUNTIFS($AK$3:$AK$201,$M144)&gt;0,
     COUNTIFS($AL$3:$AL$201,$M144)&gt;0,
     COUNTIFS($AM$3:$AM$201,$M144)&gt;0,
     COUNTIFS($AN$3:$AN$201,$M144)&gt;0,
     COUNTIFS($AO$3:$AO$201,$M144)&gt;0,
     COUNTIFS($AP$3:$AP$201,$M144)&gt;0,
     COUNTIFS($AQ$3:$AQ$201,$M144)&gt;0,
     COUNTIFS($AR$3:$AR$201,$M144)&gt;0,
     COUNTIFS($AS$3:$AS$201,$M144)&gt;0,
     COUNTIFS($AT$3:$AT$201,$M144)&gt;0,
     COUNTIFS($AU$3:$AU$201,$M144)&gt;0,
     COUNTIFS($AV$3:$AV$201,$M144)&gt;0,
     COUNTIFS($AW$3:$AW$201,$M144)&gt;0,
     COUNTIFS($AX$3:$AX$201,$M144)&gt;0
   )),
  ),
  2
 ),
"")</f>
        <v/>
      </c>
      <c r="Q144" s="2" t="str" cm="1">
        <f t="array" aca="1" ref="Q144" ca="1">IFERROR(
 INDEX(
  _xlfn._xlws.FILTER($U$2:$AX$2,
   TRANSPOSE(
    CHOOSE({1;2;3;4;5;6;7;8;9;10;11;12;13;14;15;16;17;18;19;20;21;22;23;24;25;26;27;28;29;30},
     COUNTIFS($U$3:$U$201,$M144)&gt;0,
     COUNTIFS($V$3:$V$201,$M144)&gt;0,
     COUNTIFS($W$3:$W$201,$M144)&gt;0,
     COUNTIFS($X$3:$X$201,$M144)&gt;0,
     COUNTIFS($Y$3:$Y$201,$M144)&gt;0,
     COUNTIFS($Z$3:$Z$201,$M144)&gt;0,
     COUNTIFS($AA$3:$AA$201,$M144)&gt;0,
     COUNTIFS($AB$3:$AB$201,$M144)&gt;0,
     COUNTIFS($AC$3:$AC$201,$M144)&gt;0,
     COUNTIFS($AD$3:$AD$201,$M144)&gt;0,
     COUNTIFS($AE$3:$AE$201,$M144)&gt;0,
     COUNTIFS($AF$3:$AF$201,$M144)&gt;0,
     COUNTIFS($AG$3:$AG$201,$M144)&gt;0,
     COUNTIFS($AH$3:$AH$201,$M144)&gt;0,
     COUNTIFS($AI$3:$AI$201,$M144)&gt;0,
     COUNTIFS($AJ$3:$AJ$201,$M144)&gt;0,
     COUNTIFS($AK$3:$AK$201,$M144)&gt;0,
     COUNTIFS($AL$3:$AL$201,$M144)&gt;0,
     COUNTIFS($AM$3:$AM$201,$M144)&gt;0,
     COUNTIFS($AN$3:$AN$201,$M144)&gt;0,
     COUNTIFS($AO$3:$AO$201,$M144)&gt;0,
     COUNTIFS($AP$3:$AP$201,$M144)&gt;0,
     COUNTIFS($AQ$3:$AQ$201,$M144)&gt;0,
     COUNTIFS($AR$3:$AR$201,$M144)&gt;0,
     COUNTIFS($AS$3:$AS$201,$M144)&gt;0,
     COUNTIFS($AT$3:$AT$201,$M144)&gt;0,
     COUNTIFS($AU$3:$AU$201,$M144)&gt;0,
     COUNTIFS($AV$3:$AV$201,$M144)&gt;0,
     COUNTIFS($AW$3:$AW$201,$M144)&gt;0,
     COUNTIFS($AX$3:$AX$201,$M144)&gt;0
   )),
  ),
  3
 ),
"")</f>
        <v/>
      </c>
      <c r="EO144" t="str">
        <f ca="1"/>
        <v>Titanic Ultimatum</v>
      </c>
      <c r="ET144" t="str">
        <f ca="1"/>
        <v>Pentavus</v>
      </c>
      <c r="EW144" t="str">
        <f ca="1"/>
        <v>Panorama de Naya</v>
      </c>
    </row>
    <row r="145" spans="1:153" x14ac:dyDescent="0.25">
      <c r="A145" t="str">
        <f ca="1"/>
        <v>Enduring Innocence</v>
      </c>
      <c r="B145" s="2" t="str" cm="1">
        <f t="array" aca="1" ref="B145" ca="1">_xlfn.ANCHORARRAY(RESUMO!C144)</f>
        <v>Carlos</v>
      </c>
      <c r="C145" s="2" t="str">
        <f t="shared" ca="1" si="8"/>
        <v/>
      </c>
      <c r="E145" t="str">
        <f ca="1"/>
        <v>Part the Waterveil</v>
      </c>
      <c r="F145" s="2">
        <f t="shared" ca="1" si="11"/>
        <v>1</v>
      </c>
      <c r="G145" s="2" t="str">
        <f t="shared" ca="1" si="9"/>
        <v>Yuriko</v>
      </c>
      <c r="J145" t="s">
        <v>180</v>
      </c>
      <c r="K145" s="2">
        <v>1</v>
      </c>
      <c r="M145" t="str">
        <f ca="1"/>
        <v>Part the Waterveil</v>
      </c>
      <c r="N145" s="2">
        <f t="shared" ca="1" si="10"/>
        <v>1</v>
      </c>
      <c r="O145" s="2" t="str">
        <f ca="1">IFERROR(
 INDEX($U$2:$AX$2,
  MATCH(TRUE,
   CHOOSE({1;2;3;4;5;6;7;8;9;10;11;12;13;14;15;16;17;18;19;20;21;22;23;24;25;26;27;28;29;30;31;32},
    COUNTIFS($U$3:$U$201,$M145)&gt;0,
    COUNTIFS($V$3:$V$201,$M145)&gt;0,
    COUNTIFS($W$3:$W$201,$M145)&gt;0,
    COUNTIFS($X$3:$X$201,$M145)&gt;0,
    COUNTIFS($Y$3:$Y$201,$M145)&gt;0,
    COUNTIFS($Z$3:$Z$201,$M145)&gt;0,
    COUNTIFS($AA$3:$AA$201,$M145)&gt;0,
    COUNTIFS($AB$3:$AB$201,$M145)&gt;0,
    COUNTIFS($AC$3:$AC$201,$M145)&gt;0,
    COUNTIFS($AD$3:$AD$201,$M145)&gt;0,
    COUNTIFS($AE$3:$AE$201,$M145)&gt;0,
    COUNTIFS($AF$3:$AF$201,$M145)&gt;0,
    COUNTIFS($AG$3:$AG$201,$M145)&gt;0,
    COUNTIFS($AH$3:$AH$201,$M145)&gt;0,
    COUNTIFS($AI$3:$AI$201,$M145)&gt;0,
    COUNTIFS($AJ$3:$AJ$201,$M145)&gt;0,
    COUNTIFS($AK$3:$AK$201,$M145)&gt;0,
    COUNTIFS($AL$3:$AL$201,$M145)&gt;0,
    COUNTIFS($AM$3:$AM$201,$M145)&gt;0,
    COUNTIFS($AN$3:$AN$201,$M145)&gt;0,
    COUNTIFS($AO$3:$AO$201,$M145)&gt;0,
    COUNTIFS($AP$3:$AP$201,$M145)&gt;0,
    COUNTIFS($AQ$3:$AQ$201,$M145)&gt;0,
    COUNTIFS($AR$3:$AR$201,$M145)&gt;0,
    COUNTIFS($AS$3:$AS$201,$M145)&gt;0,
    COUNTIFS($AT$3:$AT$201,$M145)&gt;0,
    COUNTIFS($AU$3:$AU$201,$M145)&gt;0,
    COUNTIFS($AV$3:$AV$201,$M145)&gt;0,
    COUNTIFS($AW$3:$AW$201,$M145)&gt;0,
    COUNTIFS($AX$3:$AX$201,$M145)&gt;0
   ),
  0)
 ),
"")</f>
        <v>Yuriko</v>
      </c>
      <c r="P145" s="2" t="str" cm="1">
        <f t="array" aca="1" ref="P145" ca="1">IFERROR(
 INDEX(
  _xlfn._xlws.FILTER($U$2:$AX$2,
   TRANSPOSE(
    CHOOSE({1;2;3;4;5;6;7;8;9;10;11;12;13;14;15;16;17;18;19;20;21;22;23;24;25;26;27;28;29;30},
     COUNTIFS($U$3:$U$201,$M145)&gt;0,
     COUNTIFS($V$3:$V$201,$M145)&gt;0,
     COUNTIFS($W$3:$W$201,$M145)&gt;0,
     COUNTIFS($X$3:$X$201,$M145)&gt;0,
     COUNTIFS($Y$3:$Y$201,$M145)&gt;0,
     COUNTIFS($Z$3:$Z$201,$M145)&gt;0,
     COUNTIFS($AA$3:$AA$201,$M145)&gt;0,
     COUNTIFS($AB$3:$AB$201,$M145)&gt;0,
     COUNTIFS($AC$3:$AC$201,$M145)&gt;0,
     COUNTIFS($AD$3:$AD$201,$M145)&gt;0,
     COUNTIFS($AE$3:$AE$201,$M145)&gt;0,
     COUNTIFS($AF$3:$AF$201,$M145)&gt;0,
     COUNTIFS($AG$3:$AG$201,$M145)&gt;0,
     COUNTIFS($AH$3:$AH$201,$M145)&gt;0,
     COUNTIFS($AI$3:$AI$201,$M145)&gt;0,
     COUNTIFS($AJ$3:$AJ$201,$M145)&gt;0,
     COUNTIFS($AK$3:$AK$201,$M145)&gt;0,
     COUNTIFS($AL$3:$AL$201,$M145)&gt;0,
     COUNTIFS($AM$3:$AM$201,$M145)&gt;0,
     COUNTIFS($AN$3:$AN$201,$M145)&gt;0,
     COUNTIFS($AO$3:$AO$201,$M145)&gt;0,
     COUNTIFS($AP$3:$AP$201,$M145)&gt;0,
     COUNTIFS($AQ$3:$AQ$201,$M145)&gt;0,
     COUNTIFS($AR$3:$AR$201,$M145)&gt;0,
     COUNTIFS($AS$3:$AS$201,$M145)&gt;0,
     COUNTIFS($AT$3:$AT$201,$M145)&gt;0,
     COUNTIFS($AU$3:$AU$201,$M145)&gt;0,
     COUNTIFS($AV$3:$AV$201,$M145)&gt;0,
     COUNTIFS($AW$3:$AW$201,$M145)&gt;0,
     COUNTIFS($AX$3:$AX$201,$M145)&gt;0
   )),
  ),
  2
 ),
"")</f>
        <v/>
      </c>
      <c r="Q145" s="2" t="str" cm="1">
        <f t="array" aca="1" ref="Q145" ca="1">IFERROR(
 INDEX(
  _xlfn._xlws.FILTER($U$2:$AX$2,
   TRANSPOSE(
    CHOOSE({1;2;3;4;5;6;7;8;9;10;11;12;13;14;15;16;17;18;19;20;21;22;23;24;25;26;27;28;29;30},
     COUNTIFS($U$3:$U$201,$M145)&gt;0,
     COUNTIFS($V$3:$V$201,$M145)&gt;0,
     COUNTIFS($W$3:$W$201,$M145)&gt;0,
     COUNTIFS($X$3:$X$201,$M145)&gt;0,
     COUNTIFS($Y$3:$Y$201,$M145)&gt;0,
     COUNTIFS($Z$3:$Z$201,$M145)&gt;0,
     COUNTIFS($AA$3:$AA$201,$M145)&gt;0,
     COUNTIFS($AB$3:$AB$201,$M145)&gt;0,
     COUNTIFS($AC$3:$AC$201,$M145)&gt;0,
     COUNTIFS($AD$3:$AD$201,$M145)&gt;0,
     COUNTIFS($AE$3:$AE$201,$M145)&gt;0,
     COUNTIFS($AF$3:$AF$201,$M145)&gt;0,
     COUNTIFS($AG$3:$AG$201,$M145)&gt;0,
     COUNTIFS($AH$3:$AH$201,$M145)&gt;0,
     COUNTIFS($AI$3:$AI$201,$M145)&gt;0,
     COUNTIFS($AJ$3:$AJ$201,$M145)&gt;0,
     COUNTIFS($AK$3:$AK$201,$M145)&gt;0,
     COUNTIFS($AL$3:$AL$201,$M145)&gt;0,
     COUNTIFS($AM$3:$AM$201,$M145)&gt;0,
     COUNTIFS($AN$3:$AN$201,$M145)&gt;0,
     COUNTIFS($AO$3:$AO$201,$M145)&gt;0,
     COUNTIFS($AP$3:$AP$201,$M145)&gt;0,
     COUNTIFS($AQ$3:$AQ$201,$M145)&gt;0,
     COUNTIFS($AR$3:$AR$201,$M145)&gt;0,
     COUNTIFS($AS$3:$AS$201,$M145)&gt;0,
     COUNTIFS($AT$3:$AT$201,$M145)&gt;0,
     COUNTIFS($AU$3:$AU$201,$M145)&gt;0,
     COUNTIFS($AV$3:$AV$201,$M145)&gt;0,
     COUNTIFS($AW$3:$AW$201,$M145)&gt;0,
     COUNTIFS($AX$3:$AX$201,$M145)&gt;0
   )),
  ),
  3
 ),
"")</f>
        <v/>
      </c>
      <c r="EO145" t="str">
        <f ca="1"/>
        <v>Tocasia's Welcome</v>
      </c>
      <c r="ET145" t="str">
        <f ca="1"/>
        <v>Pestilence</v>
      </c>
      <c r="EW145" t="str">
        <f ca="1"/>
        <v>Part the Waterveil</v>
      </c>
    </row>
    <row r="146" spans="1:153" x14ac:dyDescent="0.25">
      <c r="A146" t="str">
        <f ca="1"/>
        <v>Enterprising Scallywag</v>
      </c>
      <c r="B146" s="2" t="str" cm="1">
        <f t="array" aca="1" ref="B146" ca="1">_xlfn.ANCHORARRAY(RESUMO!C145)</f>
        <v>Narset</v>
      </c>
      <c r="C146" s="2" t="str">
        <f t="shared" ca="1" si="8"/>
        <v/>
      </c>
      <c r="E146" t="str">
        <f ca="1"/>
        <v>Patriarch's Bidding</v>
      </c>
      <c r="F146" s="2">
        <f t="shared" ca="1" si="11"/>
        <v>1</v>
      </c>
      <c r="G146" s="2" t="str">
        <f t="shared" ca="1" si="9"/>
        <v>Inalla</v>
      </c>
      <c r="J146" t="s">
        <v>180</v>
      </c>
      <c r="K146" s="2">
        <v>1</v>
      </c>
      <c r="M146" t="str">
        <f ca="1"/>
        <v>Patriarch's Bidding</v>
      </c>
      <c r="N146" s="2">
        <f t="shared" ca="1" si="10"/>
        <v>1</v>
      </c>
      <c r="O146" s="2" t="str">
        <f ca="1">IFERROR(
 INDEX($U$2:$AX$2,
  MATCH(TRUE,
   CHOOSE({1;2;3;4;5;6;7;8;9;10;11;12;13;14;15;16;17;18;19;20;21;22;23;24;25;26;27;28;29;30;31;32},
    COUNTIFS($U$3:$U$201,$M146)&gt;0,
    COUNTIFS($V$3:$V$201,$M146)&gt;0,
    COUNTIFS($W$3:$W$201,$M146)&gt;0,
    COUNTIFS($X$3:$X$201,$M146)&gt;0,
    COUNTIFS($Y$3:$Y$201,$M146)&gt;0,
    COUNTIFS($Z$3:$Z$201,$M146)&gt;0,
    COUNTIFS($AA$3:$AA$201,$M146)&gt;0,
    COUNTIFS($AB$3:$AB$201,$M146)&gt;0,
    COUNTIFS($AC$3:$AC$201,$M146)&gt;0,
    COUNTIFS($AD$3:$AD$201,$M146)&gt;0,
    COUNTIFS($AE$3:$AE$201,$M146)&gt;0,
    COUNTIFS($AF$3:$AF$201,$M146)&gt;0,
    COUNTIFS($AG$3:$AG$201,$M146)&gt;0,
    COUNTIFS($AH$3:$AH$201,$M146)&gt;0,
    COUNTIFS($AI$3:$AI$201,$M146)&gt;0,
    COUNTIFS($AJ$3:$AJ$201,$M146)&gt;0,
    COUNTIFS($AK$3:$AK$201,$M146)&gt;0,
    COUNTIFS($AL$3:$AL$201,$M146)&gt;0,
    COUNTIFS($AM$3:$AM$201,$M146)&gt;0,
    COUNTIFS($AN$3:$AN$201,$M146)&gt;0,
    COUNTIFS($AO$3:$AO$201,$M146)&gt;0,
    COUNTIFS($AP$3:$AP$201,$M146)&gt;0,
    COUNTIFS($AQ$3:$AQ$201,$M146)&gt;0,
    COUNTIFS($AR$3:$AR$201,$M146)&gt;0,
    COUNTIFS($AS$3:$AS$201,$M146)&gt;0,
    COUNTIFS($AT$3:$AT$201,$M146)&gt;0,
    COUNTIFS($AU$3:$AU$201,$M146)&gt;0,
    COUNTIFS($AV$3:$AV$201,$M146)&gt;0,
    COUNTIFS($AW$3:$AW$201,$M146)&gt;0,
    COUNTIFS($AX$3:$AX$201,$M146)&gt;0
   ),
  0)
 ),
"")</f>
        <v>Inalla</v>
      </c>
      <c r="P146" s="2" t="str" cm="1">
        <f t="array" aca="1" ref="P146" ca="1">IFERROR(
 INDEX(
  _xlfn._xlws.FILTER($U$2:$AX$2,
   TRANSPOSE(
    CHOOSE({1;2;3;4;5;6;7;8;9;10;11;12;13;14;15;16;17;18;19;20;21;22;23;24;25;26;27;28;29;30},
     COUNTIFS($U$3:$U$201,$M146)&gt;0,
     COUNTIFS($V$3:$V$201,$M146)&gt;0,
     COUNTIFS($W$3:$W$201,$M146)&gt;0,
     COUNTIFS($X$3:$X$201,$M146)&gt;0,
     COUNTIFS($Y$3:$Y$201,$M146)&gt;0,
     COUNTIFS($Z$3:$Z$201,$M146)&gt;0,
     COUNTIFS($AA$3:$AA$201,$M146)&gt;0,
     COUNTIFS($AB$3:$AB$201,$M146)&gt;0,
     COUNTIFS($AC$3:$AC$201,$M146)&gt;0,
     COUNTIFS($AD$3:$AD$201,$M146)&gt;0,
     COUNTIFS($AE$3:$AE$201,$M146)&gt;0,
     COUNTIFS($AF$3:$AF$201,$M146)&gt;0,
     COUNTIFS($AG$3:$AG$201,$M146)&gt;0,
     COUNTIFS($AH$3:$AH$201,$M146)&gt;0,
     COUNTIFS($AI$3:$AI$201,$M146)&gt;0,
     COUNTIFS($AJ$3:$AJ$201,$M146)&gt;0,
     COUNTIFS($AK$3:$AK$201,$M146)&gt;0,
     COUNTIFS($AL$3:$AL$201,$M146)&gt;0,
     COUNTIFS($AM$3:$AM$201,$M146)&gt;0,
     COUNTIFS($AN$3:$AN$201,$M146)&gt;0,
     COUNTIFS($AO$3:$AO$201,$M146)&gt;0,
     COUNTIFS($AP$3:$AP$201,$M146)&gt;0,
     COUNTIFS($AQ$3:$AQ$201,$M146)&gt;0,
     COUNTIFS($AR$3:$AR$201,$M146)&gt;0,
     COUNTIFS($AS$3:$AS$201,$M146)&gt;0,
     COUNTIFS($AT$3:$AT$201,$M146)&gt;0,
     COUNTIFS($AU$3:$AU$201,$M146)&gt;0,
     COUNTIFS($AV$3:$AV$201,$M146)&gt;0,
     COUNTIFS($AW$3:$AW$201,$M146)&gt;0,
     COUNTIFS($AX$3:$AX$201,$M146)&gt;0
   )),
  ),
  2
 ),
"")</f>
        <v/>
      </c>
      <c r="Q146" s="2" t="str" cm="1">
        <f t="array" aca="1" ref="Q146" ca="1">IFERROR(
 INDEX(
  _xlfn._xlws.FILTER($U$2:$AX$2,
   TRANSPOSE(
    CHOOSE({1;2;3;4;5;6;7;8;9;10;11;12;13;14;15;16;17;18;19;20;21;22;23;24;25;26;27;28;29;30},
     COUNTIFS($U$3:$U$201,$M146)&gt;0,
     COUNTIFS($V$3:$V$201,$M146)&gt;0,
     COUNTIFS($W$3:$W$201,$M146)&gt;0,
     COUNTIFS($X$3:$X$201,$M146)&gt;0,
     COUNTIFS($Y$3:$Y$201,$M146)&gt;0,
     COUNTIFS($Z$3:$Z$201,$M146)&gt;0,
     COUNTIFS($AA$3:$AA$201,$M146)&gt;0,
     COUNTIFS($AB$3:$AB$201,$M146)&gt;0,
     COUNTIFS($AC$3:$AC$201,$M146)&gt;0,
     COUNTIFS($AD$3:$AD$201,$M146)&gt;0,
     COUNTIFS($AE$3:$AE$201,$M146)&gt;0,
     COUNTIFS($AF$3:$AF$201,$M146)&gt;0,
     COUNTIFS($AG$3:$AG$201,$M146)&gt;0,
     COUNTIFS($AH$3:$AH$201,$M146)&gt;0,
     COUNTIFS($AI$3:$AI$201,$M146)&gt;0,
     COUNTIFS($AJ$3:$AJ$201,$M146)&gt;0,
     COUNTIFS($AK$3:$AK$201,$M146)&gt;0,
     COUNTIFS($AL$3:$AL$201,$M146)&gt;0,
     COUNTIFS($AM$3:$AM$201,$M146)&gt;0,
     COUNTIFS($AN$3:$AN$201,$M146)&gt;0,
     COUNTIFS($AO$3:$AO$201,$M146)&gt;0,
     COUNTIFS($AP$3:$AP$201,$M146)&gt;0,
     COUNTIFS($AQ$3:$AQ$201,$M146)&gt;0,
     COUNTIFS($AR$3:$AR$201,$M146)&gt;0,
     COUNTIFS($AS$3:$AS$201,$M146)&gt;0,
     COUNTIFS($AT$3:$AT$201,$M146)&gt;0,
     COUNTIFS($AU$3:$AU$201,$M146)&gt;0,
     COUNTIFS($AV$3:$AV$201,$M146)&gt;0,
     COUNTIFS($AW$3:$AW$201,$M146)&gt;0,
     COUNTIFS($AX$3:$AX$201,$M146)&gt;0
   )),
  ),
  3
 ),
"")</f>
        <v/>
      </c>
      <c r="EO146" t="str">
        <f ca="1"/>
        <v>Together Forever</v>
      </c>
      <c r="ET146" t="str">
        <f ca="1"/>
        <v>Piranha Marsh</v>
      </c>
      <c r="EW146" t="str">
        <f ca="1"/>
        <v>Patriarch's Bidding</v>
      </c>
    </row>
    <row r="147" spans="1:153" x14ac:dyDescent="0.25">
      <c r="A147" t="str">
        <f ca="1"/>
        <v>Entish Restoration</v>
      </c>
      <c r="B147" s="2" t="str" cm="1">
        <f t="array" aca="1" ref="B147" ca="1">_xlfn.ANCHORARRAY(RESUMO!C146)</f>
        <v>4cRash</v>
      </c>
      <c r="C147" s="2" t="str">
        <f t="shared" ca="1" si="8"/>
        <v/>
      </c>
      <c r="E147" t="str">
        <f ca="1"/>
        <v>Pensamento Sombrio</v>
      </c>
      <c r="F147" s="2">
        <f t="shared" ca="1" si="11"/>
        <v>1</v>
      </c>
      <c r="G147" s="2" t="str">
        <f t="shared" ca="1" si="9"/>
        <v>Rielle</v>
      </c>
      <c r="J147" t="s">
        <v>180</v>
      </c>
      <c r="K147" s="2">
        <v>1</v>
      </c>
      <c r="M147" t="str">
        <f ca="1"/>
        <v>Pensamento Sombrio</v>
      </c>
      <c r="N147" s="2">
        <f t="shared" ca="1" si="10"/>
        <v>1</v>
      </c>
      <c r="O147" s="2" t="str">
        <f ca="1">IFERROR(
 INDEX($U$2:$AX$2,
  MATCH(TRUE,
   CHOOSE({1;2;3;4;5;6;7;8;9;10;11;12;13;14;15;16;17;18;19;20;21;22;23;24;25;26;27;28;29;30;31;32},
    COUNTIFS($U$3:$U$201,$M147)&gt;0,
    COUNTIFS($V$3:$V$201,$M147)&gt;0,
    COUNTIFS($W$3:$W$201,$M147)&gt;0,
    COUNTIFS($X$3:$X$201,$M147)&gt;0,
    COUNTIFS($Y$3:$Y$201,$M147)&gt;0,
    COUNTIFS($Z$3:$Z$201,$M147)&gt;0,
    COUNTIFS($AA$3:$AA$201,$M147)&gt;0,
    COUNTIFS($AB$3:$AB$201,$M147)&gt;0,
    COUNTIFS($AC$3:$AC$201,$M147)&gt;0,
    COUNTIFS($AD$3:$AD$201,$M147)&gt;0,
    COUNTIFS($AE$3:$AE$201,$M147)&gt;0,
    COUNTIFS($AF$3:$AF$201,$M147)&gt;0,
    COUNTIFS($AG$3:$AG$201,$M147)&gt;0,
    COUNTIFS($AH$3:$AH$201,$M147)&gt;0,
    COUNTIFS($AI$3:$AI$201,$M147)&gt;0,
    COUNTIFS($AJ$3:$AJ$201,$M147)&gt;0,
    COUNTIFS($AK$3:$AK$201,$M147)&gt;0,
    COUNTIFS($AL$3:$AL$201,$M147)&gt;0,
    COUNTIFS($AM$3:$AM$201,$M147)&gt;0,
    COUNTIFS($AN$3:$AN$201,$M147)&gt;0,
    COUNTIFS($AO$3:$AO$201,$M147)&gt;0,
    COUNTIFS($AP$3:$AP$201,$M147)&gt;0,
    COUNTIFS($AQ$3:$AQ$201,$M147)&gt;0,
    COUNTIFS($AR$3:$AR$201,$M147)&gt;0,
    COUNTIFS($AS$3:$AS$201,$M147)&gt;0,
    COUNTIFS($AT$3:$AT$201,$M147)&gt;0,
    COUNTIFS($AU$3:$AU$201,$M147)&gt;0,
    COUNTIFS($AV$3:$AV$201,$M147)&gt;0,
    COUNTIFS($AW$3:$AW$201,$M147)&gt;0,
    COUNTIFS($AX$3:$AX$201,$M147)&gt;0
   ),
  0)
 ),
"")</f>
        <v>Rielle</v>
      </c>
      <c r="P147" s="2" t="str" cm="1">
        <f t="array" aca="1" ref="P147" ca="1">IFERROR(
 INDEX(
  _xlfn._xlws.FILTER($U$2:$AX$2,
   TRANSPOSE(
    CHOOSE({1;2;3;4;5;6;7;8;9;10;11;12;13;14;15;16;17;18;19;20;21;22;23;24;25;26;27;28;29;30},
     COUNTIFS($U$3:$U$201,$M147)&gt;0,
     COUNTIFS($V$3:$V$201,$M147)&gt;0,
     COUNTIFS($W$3:$W$201,$M147)&gt;0,
     COUNTIFS($X$3:$X$201,$M147)&gt;0,
     COUNTIFS($Y$3:$Y$201,$M147)&gt;0,
     COUNTIFS($Z$3:$Z$201,$M147)&gt;0,
     COUNTIFS($AA$3:$AA$201,$M147)&gt;0,
     COUNTIFS($AB$3:$AB$201,$M147)&gt;0,
     COUNTIFS($AC$3:$AC$201,$M147)&gt;0,
     COUNTIFS($AD$3:$AD$201,$M147)&gt;0,
     COUNTIFS($AE$3:$AE$201,$M147)&gt;0,
     COUNTIFS($AF$3:$AF$201,$M147)&gt;0,
     COUNTIFS($AG$3:$AG$201,$M147)&gt;0,
     COUNTIFS($AH$3:$AH$201,$M147)&gt;0,
     COUNTIFS($AI$3:$AI$201,$M147)&gt;0,
     COUNTIFS($AJ$3:$AJ$201,$M147)&gt;0,
     COUNTIFS($AK$3:$AK$201,$M147)&gt;0,
     COUNTIFS($AL$3:$AL$201,$M147)&gt;0,
     COUNTIFS($AM$3:$AM$201,$M147)&gt;0,
     COUNTIFS($AN$3:$AN$201,$M147)&gt;0,
     COUNTIFS($AO$3:$AO$201,$M147)&gt;0,
     COUNTIFS($AP$3:$AP$201,$M147)&gt;0,
     COUNTIFS($AQ$3:$AQ$201,$M147)&gt;0,
     COUNTIFS($AR$3:$AR$201,$M147)&gt;0,
     COUNTIFS($AS$3:$AS$201,$M147)&gt;0,
     COUNTIFS($AT$3:$AT$201,$M147)&gt;0,
     COUNTIFS($AU$3:$AU$201,$M147)&gt;0,
     COUNTIFS($AV$3:$AV$201,$M147)&gt;0,
     COUNTIFS($AW$3:$AW$201,$M147)&gt;0,
     COUNTIFS($AX$3:$AX$201,$M147)&gt;0
   )),
  ),
  2
 ),
"")</f>
        <v/>
      </c>
      <c r="Q147" s="2" t="str" cm="1">
        <f t="array" aca="1" ref="Q147" ca="1">IFERROR(
 INDEX(
  _xlfn._xlws.FILTER($U$2:$AX$2,
   TRANSPOSE(
    CHOOSE({1;2;3;4;5;6;7;8;9;10;11;12;13;14;15;16;17;18;19;20;21;22;23;24;25;26;27;28;29;30},
     COUNTIFS($U$3:$U$201,$M147)&gt;0,
     COUNTIFS($V$3:$V$201,$M147)&gt;0,
     COUNTIFS($W$3:$W$201,$M147)&gt;0,
     COUNTIFS($X$3:$X$201,$M147)&gt;0,
     COUNTIFS($Y$3:$Y$201,$M147)&gt;0,
     COUNTIFS($Z$3:$Z$201,$M147)&gt;0,
     COUNTIFS($AA$3:$AA$201,$M147)&gt;0,
     COUNTIFS($AB$3:$AB$201,$M147)&gt;0,
     COUNTIFS($AC$3:$AC$201,$M147)&gt;0,
     COUNTIFS($AD$3:$AD$201,$M147)&gt;0,
     COUNTIFS($AE$3:$AE$201,$M147)&gt;0,
     COUNTIFS($AF$3:$AF$201,$M147)&gt;0,
     COUNTIFS($AG$3:$AG$201,$M147)&gt;0,
     COUNTIFS($AH$3:$AH$201,$M147)&gt;0,
     COUNTIFS($AI$3:$AI$201,$M147)&gt;0,
     COUNTIFS($AJ$3:$AJ$201,$M147)&gt;0,
     COUNTIFS($AK$3:$AK$201,$M147)&gt;0,
     COUNTIFS($AL$3:$AL$201,$M147)&gt;0,
     COUNTIFS($AM$3:$AM$201,$M147)&gt;0,
     COUNTIFS($AN$3:$AN$201,$M147)&gt;0,
     COUNTIFS($AO$3:$AO$201,$M147)&gt;0,
     COUNTIFS($AP$3:$AP$201,$M147)&gt;0,
     COUNTIFS($AQ$3:$AQ$201,$M147)&gt;0,
     COUNTIFS($AR$3:$AR$201,$M147)&gt;0,
     COUNTIFS($AS$3:$AS$201,$M147)&gt;0,
     COUNTIFS($AT$3:$AT$201,$M147)&gt;0,
     COUNTIFS($AU$3:$AU$201,$M147)&gt;0,
     COUNTIFS($AV$3:$AV$201,$M147)&gt;0,
     COUNTIFS($AW$3:$AW$201,$M147)&gt;0,
     COUNTIFS($AX$3:$AX$201,$M147)&gt;0
   )),
  ),
  3
 ),
"")</f>
        <v/>
      </c>
      <c r="EO147" t="str">
        <f ca="1"/>
        <v>Trail of Crumbs</v>
      </c>
      <c r="ET147" t="str">
        <f ca="1"/>
        <v>Plains</v>
      </c>
      <c r="EW147" t="str">
        <f ca="1"/>
        <v>Pensamento Sombrio</v>
      </c>
    </row>
    <row r="148" spans="1:153" x14ac:dyDescent="0.25">
      <c r="A148" t="str">
        <f ca="1"/>
        <v>Entomb</v>
      </c>
      <c r="B148" s="2" t="str" cm="1">
        <f t="array" aca="1" ref="B148" ca="1">_xlfn.ANCHORARRAY(RESUMO!C147)</f>
        <v>Gitrog</v>
      </c>
      <c r="C148" s="2" t="str">
        <f t="shared" ca="1" si="8"/>
        <v/>
      </c>
      <c r="E148" t="str">
        <f ca="1"/>
        <v>Pentavus</v>
      </c>
      <c r="F148" s="2">
        <f t="shared" ca="1" si="11"/>
        <v>1</v>
      </c>
      <c r="G148" s="2" t="str">
        <f t="shared" ca="1" si="9"/>
        <v>Muzzio</v>
      </c>
      <c r="J148" t="s">
        <v>180</v>
      </c>
      <c r="K148" s="2">
        <v>1</v>
      </c>
      <c r="M148" t="str">
        <f ca="1"/>
        <v>Pentavus</v>
      </c>
      <c r="N148" s="2">
        <f t="shared" ca="1" si="10"/>
        <v>1</v>
      </c>
      <c r="O148" s="2" t="str">
        <f ca="1">IFERROR(
 INDEX($U$2:$AX$2,
  MATCH(TRUE,
   CHOOSE({1;2;3;4;5;6;7;8;9;10;11;12;13;14;15;16;17;18;19;20;21;22;23;24;25;26;27;28;29;30;31;32},
    COUNTIFS($U$3:$U$201,$M148)&gt;0,
    COUNTIFS($V$3:$V$201,$M148)&gt;0,
    COUNTIFS($W$3:$W$201,$M148)&gt;0,
    COUNTIFS($X$3:$X$201,$M148)&gt;0,
    COUNTIFS($Y$3:$Y$201,$M148)&gt;0,
    COUNTIFS($Z$3:$Z$201,$M148)&gt;0,
    COUNTIFS($AA$3:$AA$201,$M148)&gt;0,
    COUNTIFS($AB$3:$AB$201,$M148)&gt;0,
    COUNTIFS($AC$3:$AC$201,$M148)&gt;0,
    COUNTIFS($AD$3:$AD$201,$M148)&gt;0,
    COUNTIFS($AE$3:$AE$201,$M148)&gt;0,
    COUNTIFS($AF$3:$AF$201,$M148)&gt;0,
    COUNTIFS($AG$3:$AG$201,$M148)&gt;0,
    COUNTIFS($AH$3:$AH$201,$M148)&gt;0,
    COUNTIFS($AI$3:$AI$201,$M148)&gt;0,
    COUNTIFS($AJ$3:$AJ$201,$M148)&gt;0,
    COUNTIFS($AK$3:$AK$201,$M148)&gt;0,
    COUNTIFS($AL$3:$AL$201,$M148)&gt;0,
    COUNTIFS($AM$3:$AM$201,$M148)&gt;0,
    COUNTIFS($AN$3:$AN$201,$M148)&gt;0,
    COUNTIFS($AO$3:$AO$201,$M148)&gt;0,
    COUNTIFS($AP$3:$AP$201,$M148)&gt;0,
    COUNTIFS($AQ$3:$AQ$201,$M148)&gt;0,
    COUNTIFS($AR$3:$AR$201,$M148)&gt;0,
    COUNTIFS($AS$3:$AS$201,$M148)&gt;0,
    COUNTIFS($AT$3:$AT$201,$M148)&gt;0,
    COUNTIFS($AU$3:$AU$201,$M148)&gt;0,
    COUNTIFS($AV$3:$AV$201,$M148)&gt;0,
    COUNTIFS($AW$3:$AW$201,$M148)&gt;0,
    COUNTIFS($AX$3:$AX$201,$M148)&gt;0
   ),
  0)
 ),
"")</f>
        <v>Muzzio</v>
      </c>
      <c r="P148" s="2" t="str" cm="1">
        <f t="array" aca="1" ref="P148" ca="1">IFERROR(
 INDEX(
  _xlfn._xlws.FILTER($U$2:$AX$2,
   TRANSPOSE(
    CHOOSE({1;2;3;4;5;6;7;8;9;10;11;12;13;14;15;16;17;18;19;20;21;22;23;24;25;26;27;28;29;30},
     COUNTIFS($U$3:$U$201,$M148)&gt;0,
     COUNTIFS($V$3:$V$201,$M148)&gt;0,
     COUNTIFS($W$3:$W$201,$M148)&gt;0,
     COUNTIFS($X$3:$X$201,$M148)&gt;0,
     COUNTIFS($Y$3:$Y$201,$M148)&gt;0,
     COUNTIFS($Z$3:$Z$201,$M148)&gt;0,
     COUNTIFS($AA$3:$AA$201,$M148)&gt;0,
     COUNTIFS($AB$3:$AB$201,$M148)&gt;0,
     COUNTIFS($AC$3:$AC$201,$M148)&gt;0,
     COUNTIFS($AD$3:$AD$201,$M148)&gt;0,
     COUNTIFS($AE$3:$AE$201,$M148)&gt;0,
     COUNTIFS($AF$3:$AF$201,$M148)&gt;0,
     COUNTIFS($AG$3:$AG$201,$M148)&gt;0,
     COUNTIFS($AH$3:$AH$201,$M148)&gt;0,
     COUNTIFS($AI$3:$AI$201,$M148)&gt;0,
     COUNTIFS($AJ$3:$AJ$201,$M148)&gt;0,
     COUNTIFS($AK$3:$AK$201,$M148)&gt;0,
     COUNTIFS($AL$3:$AL$201,$M148)&gt;0,
     COUNTIFS($AM$3:$AM$201,$M148)&gt;0,
     COUNTIFS($AN$3:$AN$201,$M148)&gt;0,
     COUNTIFS($AO$3:$AO$201,$M148)&gt;0,
     COUNTIFS($AP$3:$AP$201,$M148)&gt;0,
     COUNTIFS($AQ$3:$AQ$201,$M148)&gt;0,
     COUNTIFS($AR$3:$AR$201,$M148)&gt;0,
     COUNTIFS($AS$3:$AS$201,$M148)&gt;0,
     COUNTIFS($AT$3:$AT$201,$M148)&gt;0,
     COUNTIFS($AU$3:$AU$201,$M148)&gt;0,
     COUNTIFS($AV$3:$AV$201,$M148)&gt;0,
     COUNTIFS($AW$3:$AW$201,$M148)&gt;0,
     COUNTIFS($AX$3:$AX$201,$M148)&gt;0
   )),
  ),
  2
 ),
"")</f>
        <v/>
      </c>
      <c r="Q148" s="2" t="str" cm="1">
        <f t="array" aca="1" ref="Q148" ca="1">IFERROR(
 INDEX(
  _xlfn._xlws.FILTER($U$2:$AX$2,
   TRANSPOSE(
    CHOOSE({1;2;3;4;5;6;7;8;9;10;11;12;13;14;15;16;17;18;19;20;21;22;23;24;25;26;27;28;29;30},
     COUNTIFS($U$3:$U$201,$M148)&gt;0,
     COUNTIFS($V$3:$V$201,$M148)&gt;0,
     COUNTIFS($W$3:$W$201,$M148)&gt;0,
     COUNTIFS($X$3:$X$201,$M148)&gt;0,
     COUNTIFS($Y$3:$Y$201,$M148)&gt;0,
     COUNTIFS($Z$3:$Z$201,$M148)&gt;0,
     COUNTIFS($AA$3:$AA$201,$M148)&gt;0,
     COUNTIFS($AB$3:$AB$201,$M148)&gt;0,
     COUNTIFS($AC$3:$AC$201,$M148)&gt;0,
     COUNTIFS($AD$3:$AD$201,$M148)&gt;0,
     COUNTIFS($AE$3:$AE$201,$M148)&gt;0,
     COUNTIFS($AF$3:$AF$201,$M148)&gt;0,
     COUNTIFS($AG$3:$AG$201,$M148)&gt;0,
     COUNTIFS($AH$3:$AH$201,$M148)&gt;0,
     COUNTIFS($AI$3:$AI$201,$M148)&gt;0,
     COUNTIFS($AJ$3:$AJ$201,$M148)&gt;0,
     COUNTIFS($AK$3:$AK$201,$M148)&gt;0,
     COUNTIFS($AL$3:$AL$201,$M148)&gt;0,
     COUNTIFS($AM$3:$AM$201,$M148)&gt;0,
     COUNTIFS($AN$3:$AN$201,$M148)&gt;0,
     COUNTIFS($AO$3:$AO$201,$M148)&gt;0,
     COUNTIFS($AP$3:$AP$201,$M148)&gt;0,
     COUNTIFS($AQ$3:$AQ$201,$M148)&gt;0,
     COUNTIFS($AR$3:$AR$201,$M148)&gt;0,
     COUNTIFS($AS$3:$AS$201,$M148)&gt;0,
     COUNTIFS($AT$3:$AT$201,$M148)&gt;0,
     COUNTIFS($AU$3:$AU$201,$M148)&gt;0,
     COUNTIFS($AV$3:$AV$201,$M148)&gt;0,
     COUNTIFS($AW$3:$AW$201,$M148)&gt;0,
     COUNTIFS($AX$3:$AX$201,$M148)&gt;0
   )),
  ),
  3
 ),
"")</f>
        <v/>
      </c>
      <c r="EO148" t="str">
        <f ca="1"/>
        <v>Trailblazer's Boots</v>
      </c>
      <c r="ET148" t="str">
        <f ca="1"/>
        <v>Plate Armor</v>
      </c>
      <c r="EW148" t="str">
        <f ca="1"/>
        <v>Pentavus</v>
      </c>
    </row>
    <row r="149" spans="1:153" x14ac:dyDescent="0.25">
      <c r="A149" t="str">
        <f ca="1"/>
        <v>Ephara, God of the Polis</v>
      </c>
      <c r="B149" s="2" t="str" cm="1">
        <f t="array" aca="1" ref="B149" ca="1">_xlfn.ANCHORARRAY(RESUMO!C148)</f>
        <v>Yorion</v>
      </c>
      <c r="C149" s="2" t="str">
        <f t="shared" ca="1" si="8"/>
        <v/>
      </c>
      <c r="E149" t="str">
        <f ca="1"/>
        <v>Pestilence</v>
      </c>
      <c r="F149" s="2">
        <f t="shared" ca="1" si="11"/>
        <v>1</v>
      </c>
      <c r="G149" s="2" t="str">
        <f t="shared" ca="1" si="9"/>
        <v>Kresh</v>
      </c>
      <c r="J149" t="s">
        <v>180</v>
      </c>
      <c r="K149" s="2">
        <v>1</v>
      </c>
      <c r="M149" t="str">
        <f ca="1"/>
        <v>Pestilence</v>
      </c>
      <c r="N149" s="2">
        <f t="shared" ca="1" si="10"/>
        <v>1</v>
      </c>
      <c r="O149" s="2" t="str">
        <f ca="1">IFERROR(
 INDEX($U$2:$AX$2,
  MATCH(TRUE,
   CHOOSE({1;2;3;4;5;6;7;8;9;10;11;12;13;14;15;16;17;18;19;20;21;22;23;24;25;26;27;28;29;30;31;32},
    COUNTIFS($U$3:$U$201,$M149)&gt;0,
    COUNTIFS($V$3:$V$201,$M149)&gt;0,
    COUNTIFS($W$3:$W$201,$M149)&gt;0,
    COUNTIFS($X$3:$X$201,$M149)&gt;0,
    COUNTIFS($Y$3:$Y$201,$M149)&gt;0,
    COUNTIFS($Z$3:$Z$201,$M149)&gt;0,
    COUNTIFS($AA$3:$AA$201,$M149)&gt;0,
    COUNTIFS($AB$3:$AB$201,$M149)&gt;0,
    COUNTIFS($AC$3:$AC$201,$M149)&gt;0,
    COUNTIFS($AD$3:$AD$201,$M149)&gt;0,
    COUNTIFS($AE$3:$AE$201,$M149)&gt;0,
    COUNTIFS($AF$3:$AF$201,$M149)&gt;0,
    COUNTIFS($AG$3:$AG$201,$M149)&gt;0,
    COUNTIFS($AH$3:$AH$201,$M149)&gt;0,
    COUNTIFS($AI$3:$AI$201,$M149)&gt;0,
    COUNTIFS($AJ$3:$AJ$201,$M149)&gt;0,
    COUNTIFS($AK$3:$AK$201,$M149)&gt;0,
    COUNTIFS($AL$3:$AL$201,$M149)&gt;0,
    COUNTIFS($AM$3:$AM$201,$M149)&gt;0,
    COUNTIFS($AN$3:$AN$201,$M149)&gt;0,
    COUNTIFS($AO$3:$AO$201,$M149)&gt;0,
    COUNTIFS($AP$3:$AP$201,$M149)&gt;0,
    COUNTIFS($AQ$3:$AQ$201,$M149)&gt;0,
    COUNTIFS($AR$3:$AR$201,$M149)&gt;0,
    COUNTIFS($AS$3:$AS$201,$M149)&gt;0,
    COUNTIFS($AT$3:$AT$201,$M149)&gt;0,
    COUNTIFS($AU$3:$AU$201,$M149)&gt;0,
    COUNTIFS($AV$3:$AV$201,$M149)&gt;0,
    COUNTIFS($AW$3:$AW$201,$M149)&gt;0,
    COUNTIFS($AX$3:$AX$201,$M149)&gt;0
   ),
  0)
 ),
"")</f>
        <v>Kresh</v>
      </c>
      <c r="P149" s="2" t="str" cm="1">
        <f t="array" aca="1" ref="P149" ca="1">IFERROR(
 INDEX(
  _xlfn._xlws.FILTER($U$2:$AX$2,
   TRANSPOSE(
    CHOOSE({1;2;3;4;5;6;7;8;9;10;11;12;13;14;15;16;17;18;19;20;21;22;23;24;25;26;27;28;29;30},
     COUNTIFS($U$3:$U$201,$M149)&gt;0,
     COUNTIFS($V$3:$V$201,$M149)&gt;0,
     COUNTIFS($W$3:$W$201,$M149)&gt;0,
     COUNTIFS($X$3:$X$201,$M149)&gt;0,
     COUNTIFS($Y$3:$Y$201,$M149)&gt;0,
     COUNTIFS($Z$3:$Z$201,$M149)&gt;0,
     COUNTIFS($AA$3:$AA$201,$M149)&gt;0,
     COUNTIFS($AB$3:$AB$201,$M149)&gt;0,
     COUNTIFS($AC$3:$AC$201,$M149)&gt;0,
     COUNTIFS($AD$3:$AD$201,$M149)&gt;0,
     COUNTIFS($AE$3:$AE$201,$M149)&gt;0,
     COUNTIFS($AF$3:$AF$201,$M149)&gt;0,
     COUNTIFS($AG$3:$AG$201,$M149)&gt;0,
     COUNTIFS($AH$3:$AH$201,$M149)&gt;0,
     COUNTIFS($AI$3:$AI$201,$M149)&gt;0,
     COUNTIFS($AJ$3:$AJ$201,$M149)&gt;0,
     COUNTIFS($AK$3:$AK$201,$M149)&gt;0,
     COUNTIFS($AL$3:$AL$201,$M149)&gt;0,
     COUNTIFS($AM$3:$AM$201,$M149)&gt;0,
     COUNTIFS($AN$3:$AN$201,$M149)&gt;0,
     COUNTIFS($AO$3:$AO$201,$M149)&gt;0,
     COUNTIFS($AP$3:$AP$201,$M149)&gt;0,
     COUNTIFS($AQ$3:$AQ$201,$M149)&gt;0,
     COUNTIFS($AR$3:$AR$201,$M149)&gt;0,
     COUNTIFS($AS$3:$AS$201,$M149)&gt;0,
     COUNTIFS($AT$3:$AT$201,$M149)&gt;0,
     COUNTIFS($AU$3:$AU$201,$M149)&gt;0,
     COUNTIFS($AV$3:$AV$201,$M149)&gt;0,
     COUNTIFS($AW$3:$AW$201,$M149)&gt;0,
     COUNTIFS($AX$3:$AX$201,$M149)&gt;0
   )),
  ),
  2
 ),
"")</f>
        <v/>
      </c>
      <c r="Q149" s="2" t="str" cm="1">
        <f t="array" aca="1" ref="Q149" ca="1">IFERROR(
 INDEX(
  _xlfn._xlws.FILTER($U$2:$AX$2,
   TRANSPOSE(
    CHOOSE({1;2;3;4;5;6;7;8;9;10;11;12;13;14;15;16;17;18;19;20;21;22;23;24;25;26;27;28;29;30},
     COUNTIFS($U$3:$U$201,$M149)&gt;0,
     COUNTIFS($V$3:$V$201,$M149)&gt;0,
     COUNTIFS($W$3:$W$201,$M149)&gt;0,
     COUNTIFS($X$3:$X$201,$M149)&gt;0,
     COUNTIFS($Y$3:$Y$201,$M149)&gt;0,
     COUNTIFS($Z$3:$Z$201,$M149)&gt;0,
     COUNTIFS($AA$3:$AA$201,$M149)&gt;0,
     COUNTIFS($AB$3:$AB$201,$M149)&gt;0,
     COUNTIFS($AC$3:$AC$201,$M149)&gt;0,
     COUNTIFS($AD$3:$AD$201,$M149)&gt;0,
     COUNTIFS($AE$3:$AE$201,$M149)&gt;0,
     COUNTIFS($AF$3:$AF$201,$M149)&gt;0,
     COUNTIFS($AG$3:$AG$201,$M149)&gt;0,
     COUNTIFS($AH$3:$AH$201,$M149)&gt;0,
     COUNTIFS($AI$3:$AI$201,$M149)&gt;0,
     COUNTIFS($AJ$3:$AJ$201,$M149)&gt;0,
     COUNTIFS($AK$3:$AK$201,$M149)&gt;0,
     COUNTIFS($AL$3:$AL$201,$M149)&gt;0,
     COUNTIFS($AM$3:$AM$201,$M149)&gt;0,
     COUNTIFS($AN$3:$AN$201,$M149)&gt;0,
     COUNTIFS($AO$3:$AO$201,$M149)&gt;0,
     COUNTIFS($AP$3:$AP$201,$M149)&gt;0,
     COUNTIFS($AQ$3:$AQ$201,$M149)&gt;0,
     COUNTIFS($AR$3:$AR$201,$M149)&gt;0,
     COUNTIFS($AS$3:$AS$201,$M149)&gt;0,
     COUNTIFS($AT$3:$AT$201,$M149)&gt;0,
     COUNTIFS($AU$3:$AU$201,$M149)&gt;0,
     COUNTIFS($AV$3:$AV$201,$M149)&gt;0,
     COUNTIFS($AW$3:$AW$201,$M149)&gt;0,
     COUNTIFS($AX$3:$AX$201,$M149)&gt;0
   )),
  ),
  3
 ),
"")</f>
        <v/>
      </c>
      <c r="EO149" t="str">
        <f ca="1"/>
        <v>Traumatize</v>
      </c>
      <c r="ET149" t="str">
        <f ca="1"/>
        <v>Portão da Guilda Orzhov</v>
      </c>
      <c r="EW149" t="str">
        <f ca="1"/>
        <v>Pestilence</v>
      </c>
    </row>
    <row r="150" spans="1:153" x14ac:dyDescent="0.25">
      <c r="A150" t="str">
        <f ca="1"/>
        <v>Ephemerate</v>
      </c>
      <c r="B150" s="2" t="str" cm="1">
        <f t="array" aca="1" ref="B150" ca="1">_xlfn.ANCHORARRAY(RESUMO!C149)</f>
        <v>Yorion</v>
      </c>
      <c r="C150" s="2" t="str">
        <f t="shared" ca="1" si="8"/>
        <v/>
      </c>
      <c r="E150" t="str">
        <f ca="1"/>
        <v>Piranha Marsh</v>
      </c>
      <c r="F150" s="2">
        <f t="shared" ca="1" si="11"/>
        <v>1</v>
      </c>
      <c r="G150" s="2" t="str">
        <f t="shared" ca="1" si="9"/>
        <v>Zimone</v>
      </c>
      <c r="J150" t="s">
        <v>180</v>
      </c>
      <c r="K150" s="2">
        <v>1</v>
      </c>
      <c r="M150" t="str">
        <f ca="1"/>
        <v>Piranha Marsh</v>
      </c>
      <c r="N150" s="2">
        <f t="shared" ca="1" si="10"/>
        <v>1</v>
      </c>
      <c r="O150" s="2" t="str">
        <f ca="1">IFERROR(
 INDEX($U$2:$AX$2,
  MATCH(TRUE,
   CHOOSE({1;2;3;4;5;6;7;8;9;10;11;12;13;14;15;16;17;18;19;20;21;22;23;24;25;26;27;28;29;30;31;32},
    COUNTIFS($U$3:$U$201,$M150)&gt;0,
    COUNTIFS($V$3:$V$201,$M150)&gt;0,
    COUNTIFS($W$3:$W$201,$M150)&gt;0,
    COUNTIFS($X$3:$X$201,$M150)&gt;0,
    COUNTIFS($Y$3:$Y$201,$M150)&gt;0,
    COUNTIFS($Z$3:$Z$201,$M150)&gt;0,
    COUNTIFS($AA$3:$AA$201,$M150)&gt;0,
    COUNTIFS($AB$3:$AB$201,$M150)&gt;0,
    COUNTIFS($AC$3:$AC$201,$M150)&gt;0,
    COUNTIFS($AD$3:$AD$201,$M150)&gt;0,
    COUNTIFS($AE$3:$AE$201,$M150)&gt;0,
    COUNTIFS($AF$3:$AF$201,$M150)&gt;0,
    COUNTIFS($AG$3:$AG$201,$M150)&gt;0,
    COUNTIFS($AH$3:$AH$201,$M150)&gt;0,
    COUNTIFS($AI$3:$AI$201,$M150)&gt;0,
    COUNTIFS($AJ$3:$AJ$201,$M150)&gt;0,
    COUNTIFS($AK$3:$AK$201,$M150)&gt;0,
    COUNTIFS($AL$3:$AL$201,$M150)&gt;0,
    COUNTIFS($AM$3:$AM$201,$M150)&gt;0,
    COUNTIFS($AN$3:$AN$201,$M150)&gt;0,
    COUNTIFS($AO$3:$AO$201,$M150)&gt;0,
    COUNTIFS($AP$3:$AP$201,$M150)&gt;0,
    COUNTIFS($AQ$3:$AQ$201,$M150)&gt;0,
    COUNTIFS($AR$3:$AR$201,$M150)&gt;0,
    COUNTIFS($AS$3:$AS$201,$M150)&gt;0,
    COUNTIFS($AT$3:$AT$201,$M150)&gt;0,
    COUNTIFS($AU$3:$AU$201,$M150)&gt;0,
    COUNTIFS($AV$3:$AV$201,$M150)&gt;0,
    COUNTIFS($AW$3:$AW$201,$M150)&gt;0,
    COUNTIFS($AX$3:$AX$201,$M150)&gt;0
   ),
  0)
 ),
"")</f>
        <v>Zimone</v>
      </c>
      <c r="P150" s="2" t="str" cm="1">
        <f t="array" aca="1" ref="P150" ca="1">IFERROR(
 INDEX(
  _xlfn._xlws.FILTER($U$2:$AX$2,
   TRANSPOSE(
    CHOOSE({1;2;3;4;5;6;7;8;9;10;11;12;13;14;15;16;17;18;19;20;21;22;23;24;25;26;27;28;29;30},
     COUNTIFS($U$3:$U$201,$M150)&gt;0,
     COUNTIFS($V$3:$V$201,$M150)&gt;0,
     COUNTIFS($W$3:$W$201,$M150)&gt;0,
     COUNTIFS($X$3:$X$201,$M150)&gt;0,
     COUNTIFS($Y$3:$Y$201,$M150)&gt;0,
     COUNTIFS($Z$3:$Z$201,$M150)&gt;0,
     COUNTIFS($AA$3:$AA$201,$M150)&gt;0,
     COUNTIFS($AB$3:$AB$201,$M150)&gt;0,
     COUNTIFS($AC$3:$AC$201,$M150)&gt;0,
     COUNTIFS($AD$3:$AD$201,$M150)&gt;0,
     COUNTIFS($AE$3:$AE$201,$M150)&gt;0,
     COUNTIFS($AF$3:$AF$201,$M150)&gt;0,
     COUNTIFS($AG$3:$AG$201,$M150)&gt;0,
     COUNTIFS($AH$3:$AH$201,$M150)&gt;0,
     COUNTIFS($AI$3:$AI$201,$M150)&gt;0,
     COUNTIFS($AJ$3:$AJ$201,$M150)&gt;0,
     COUNTIFS($AK$3:$AK$201,$M150)&gt;0,
     COUNTIFS($AL$3:$AL$201,$M150)&gt;0,
     COUNTIFS($AM$3:$AM$201,$M150)&gt;0,
     COUNTIFS($AN$3:$AN$201,$M150)&gt;0,
     COUNTIFS($AO$3:$AO$201,$M150)&gt;0,
     COUNTIFS($AP$3:$AP$201,$M150)&gt;0,
     COUNTIFS($AQ$3:$AQ$201,$M150)&gt;0,
     COUNTIFS($AR$3:$AR$201,$M150)&gt;0,
     COUNTIFS($AS$3:$AS$201,$M150)&gt;0,
     COUNTIFS($AT$3:$AT$201,$M150)&gt;0,
     COUNTIFS($AU$3:$AU$201,$M150)&gt;0,
     COUNTIFS($AV$3:$AV$201,$M150)&gt;0,
     COUNTIFS($AW$3:$AW$201,$M150)&gt;0,
     COUNTIFS($AX$3:$AX$201,$M150)&gt;0
   )),
  ),
  2
 ),
"")</f>
        <v/>
      </c>
      <c r="Q150" s="2" t="str" cm="1">
        <f t="array" aca="1" ref="Q150" ca="1">IFERROR(
 INDEX(
  _xlfn._xlws.FILTER($U$2:$AX$2,
   TRANSPOSE(
    CHOOSE({1;2;3;4;5;6;7;8;9;10;11;12;13;14;15;16;17;18;19;20;21;22;23;24;25;26;27;28;29;30},
     COUNTIFS($U$3:$U$201,$M150)&gt;0,
     COUNTIFS($V$3:$V$201,$M150)&gt;0,
     COUNTIFS($W$3:$W$201,$M150)&gt;0,
     COUNTIFS($X$3:$X$201,$M150)&gt;0,
     COUNTIFS($Y$3:$Y$201,$M150)&gt;0,
     COUNTIFS($Z$3:$Z$201,$M150)&gt;0,
     COUNTIFS($AA$3:$AA$201,$M150)&gt;0,
     COUNTIFS($AB$3:$AB$201,$M150)&gt;0,
     COUNTIFS($AC$3:$AC$201,$M150)&gt;0,
     COUNTIFS($AD$3:$AD$201,$M150)&gt;0,
     COUNTIFS($AE$3:$AE$201,$M150)&gt;0,
     COUNTIFS($AF$3:$AF$201,$M150)&gt;0,
     COUNTIFS($AG$3:$AG$201,$M150)&gt;0,
     COUNTIFS($AH$3:$AH$201,$M150)&gt;0,
     COUNTIFS($AI$3:$AI$201,$M150)&gt;0,
     COUNTIFS($AJ$3:$AJ$201,$M150)&gt;0,
     COUNTIFS($AK$3:$AK$201,$M150)&gt;0,
     COUNTIFS($AL$3:$AL$201,$M150)&gt;0,
     COUNTIFS($AM$3:$AM$201,$M150)&gt;0,
     COUNTIFS($AN$3:$AN$201,$M150)&gt;0,
     COUNTIFS($AO$3:$AO$201,$M150)&gt;0,
     COUNTIFS($AP$3:$AP$201,$M150)&gt;0,
     COUNTIFS($AQ$3:$AQ$201,$M150)&gt;0,
     COUNTIFS($AR$3:$AR$201,$M150)&gt;0,
     COUNTIFS($AS$3:$AS$201,$M150)&gt;0,
     COUNTIFS($AT$3:$AT$201,$M150)&gt;0,
     COUNTIFS($AU$3:$AU$201,$M150)&gt;0,
     COUNTIFS($AV$3:$AV$201,$M150)&gt;0,
     COUNTIFS($AW$3:$AW$201,$M150)&gt;0,
     COUNTIFS($AX$3:$AX$201,$M150)&gt;0
   )),
  ),
  3
 ),
"")</f>
        <v/>
      </c>
      <c r="EO150" t="str">
        <f ca="1"/>
        <v>True Ancestry</v>
      </c>
      <c r="ET150" t="str">
        <f ca="1"/>
        <v>Presence of Gond</v>
      </c>
      <c r="EW150" t="str">
        <f ca="1"/>
        <v>Piranha Marsh</v>
      </c>
    </row>
    <row r="151" spans="1:153" x14ac:dyDescent="0.25">
      <c r="A151" t="str">
        <f ca="1"/>
        <v>Essence Sliver</v>
      </c>
      <c r="B151" s="2" t="str" cm="1">
        <f t="array" aca="1" ref="B151" ca="1">_xlfn.ANCHORARRAY(RESUMO!C150)</f>
        <v>Fractius</v>
      </c>
      <c r="C151" s="2" t="str">
        <f t="shared" ca="1" si="8"/>
        <v/>
      </c>
      <c r="E151" t="str">
        <f ca="1"/>
        <v>Plains</v>
      </c>
      <c r="F151" s="2">
        <f t="shared" ca="1" si="11"/>
        <v>7</v>
      </c>
      <c r="G151" s="2" t="str">
        <f t="shared" ca="1" si="9"/>
        <v>Baylen</v>
      </c>
      <c r="J151" t="s">
        <v>180</v>
      </c>
      <c r="K151" s="2">
        <v>1</v>
      </c>
      <c r="M151" t="str">
        <f ca="1"/>
        <v>Plains</v>
      </c>
      <c r="N151" s="2">
        <f t="shared" ca="1" si="10"/>
        <v>7</v>
      </c>
      <c r="O151" s="2" t="str">
        <f ca="1">IFERROR(
 INDEX($U$2:$AX$2,
  MATCH(TRUE,
   CHOOSE({1;2;3;4;5;6;7;8;9;10;11;12;13;14;15;16;17;18;19;20;21;22;23;24;25;26;27;28;29;30;31;32},
    COUNTIFS($U$3:$U$201,$M151)&gt;0,
    COUNTIFS($V$3:$V$201,$M151)&gt;0,
    COUNTIFS($W$3:$W$201,$M151)&gt;0,
    COUNTIFS($X$3:$X$201,$M151)&gt;0,
    COUNTIFS($Y$3:$Y$201,$M151)&gt;0,
    COUNTIFS($Z$3:$Z$201,$M151)&gt;0,
    COUNTIFS($AA$3:$AA$201,$M151)&gt;0,
    COUNTIFS($AB$3:$AB$201,$M151)&gt;0,
    COUNTIFS($AC$3:$AC$201,$M151)&gt;0,
    COUNTIFS($AD$3:$AD$201,$M151)&gt;0,
    COUNTIFS($AE$3:$AE$201,$M151)&gt;0,
    COUNTIFS($AF$3:$AF$201,$M151)&gt;0,
    COUNTIFS($AG$3:$AG$201,$M151)&gt;0,
    COUNTIFS($AH$3:$AH$201,$M151)&gt;0,
    COUNTIFS($AI$3:$AI$201,$M151)&gt;0,
    COUNTIFS($AJ$3:$AJ$201,$M151)&gt;0,
    COUNTIFS($AK$3:$AK$201,$M151)&gt;0,
    COUNTIFS($AL$3:$AL$201,$M151)&gt;0,
    COUNTIFS($AM$3:$AM$201,$M151)&gt;0,
    COUNTIFS($AN$3:$AN$201,$M151)&gt;0,
    COUNTIFS($AO$3:$AO$201,$M151)&gt;0,
    COUNTIFS($AP$3:$AP$201,$M151)&gt;0,
    COUNTIFS($AQ$3:$AQ$201,$M151)&gt;0,
    COUNTIFS($AR$3:$AR$201,$M151)&gt;0,
    COUNTIFS($AS$3:$AS$201,$M151)&gt;0,
    COUNTIFS($AT$3:$AT$201,$M151)&gt;0,
    COUNTIFS($AU$3:$AU$201,$M151)&gt;0,
    COUNTIFS($AV$3:$AV$201,$M151)&gt;0,
    COUNTIFS($AW$3:$AW$201,$M151)&gt;0,
    COUNTIFS($AX$3:$AX$201,$M151)&gt;0
   ),
  0)
 ),
"")</f>
        <v>Baylen</v>
      </c>
      <c r="P151" s="2" t="str" cm="1">
        <f t="array" aca="1" ref="P151" ca="1">IFERROR(
 INDEX(
  _xlfn._xlws.FILTER($U$2:$AX$2,
   TRANSPOSE(
    CHOOSE({1;2;3;4;5;6;7;8;9;10;11;12;13;14;15;16;17;18;19;20;21;22;23;24;25;26;27;28;29;30},
     COUNTIFS($U$3:$U$201,$M151)&gt;0,
     COUNTIFS($V$3:$V$201,$M151)&gt;0,
     COUNTIFS($W$3:$W$201,$M151)&gt;0,
     COUNTIFS($X$3:$X$201,$M151)&gt;0,
     COUNTIFS($Y$3:$Y$201,$M151)&gt;0,
     COUNTIFS($Z$3:$Z$201,$M151)&gt;0,
     COUNTIFS($AA$3:$AA$201,$M151)&gt;0,
     COUNTIFS($AB$3:$AB$201,$M151)&gt;0,
     COUNTIFS($AC$3:$AC$201,$M151)&gt;0,
     COUNTIFS($AD$3:$AD$201,$M151)&gt;0,
     COUNTIFS($AE$3:$AE$201,$M151)&gt;0,
     COUNTIFS($AF$3:$AF$201,$M151)&gt;0,
     COUNTIFS($AG$3:$AG$201,$M151)&gt;0,
     COUNTIFS($AH$3:$AH$201,$M151)&gt;0,
     COUNTIFS($AI$3:$AI$201,$M151)&gt;0,
     COUNTIFS($AJ$3:$AJ$201,$M151)&gt;0,
     COUNTIFS($AK$3:$AK$201,$M151)&gt;0,
     COUNTIFS($AL$3:$AL$201,$M151)&gt;0,
     COUNTIFS($AM$3:$AM$201,$M151)&gt;0,
     COUNTIFS($AN$3:$AN$201,$M151)&gt;0,
     COUNTIFS($AO$3:$AO$201,$M151)&gt;0,
     COUNTIFS($AP$3:$AP$201,$M151)&gt;0,
     COUNTIFS($AQ$3:$AQ$201,$M151)&gt;0,
     COUNTIFS($AR$3:$AR$201,$M151)&gt;0,
     COUNTIFS($AS$3:$AS$201,$M151)&gt;0,
     COUNTIFS($AT$3:$AT$201,$M151)&gt;0,
     COUNTIFS($AU$3:$AU$201,$M151)&gt;0,
     COUNTIFS($AV$3:$AV$201,$M151)&gt;0,
     COUNTIFS($AW$3:$AW$201,$M151)&gt;0,
     COUNTIFS($AX$3:$AX$201,$M151)&gt;0
   )),
  ),
  2
 ),
"")</f>
        <v>Narset</v>
      </c>
      <c r="Q151" s="2" t="str" cm="1">
        <f t="array" aca="1" ref="Q151" ca="1">IFERROR(
 INDEX(
  _xlfn._xlws.FILTER($U$2:$AX$2,
   TRANSPOSE(
    CHOOSE({1;2;3;4;5;6;7;8;9;10;11;12;13;14;15;16;17;18;19;20;21;22;23;24;25;26;27;28;29;30},
     COUNTIFS($U$3:$U$201,$M151)&gt;0,
     COUNTIFS($V$3:$V$201,$M151)&gt;0,
     COUNTIFS($W$3:$W$201,$M151)&gt;0,
     COUNTIFS($X$3:$X$201,$M151)&gt;0,
     COUNTIFS($Y$3:$Y$201,$M151)&gt;0,
     COUNTIFS($Z$3:$Z$201,$M151)&gt;0,
     COUNTIFS($AA$3:$AA$201,$M151)&gt;0,
     COUNTIFS($AB$3:$AB$201,$M151)&gt;0,
     COUNTIFS($AC$3:$AC$201,$M151)&gt;0,
     COUNTIFS($AD$3:$AD$201,$M151)&gt;0,
     COUNTIFS($AE$3:$AE$201,$M151)&gt;0,
     COUNTIFS($AF$3:$AF$201,$M151)&gt;0,
     COUNTIFS($AG$3:$AG$201,$M151)&gt;0,
     COUNTIFS($AH$3:$AH$201,$M151)&gt;0,
     COUNTIFS($AI$3:$AI$201,$M151)&gt;0,
     COUNTIFS($AJ$3:$AJ$201,$M151)&gt;0,
     COUNTIFS($AK$3:$AK$201,$M151)&gt;0,
     COUNTIFS($AL$3:$AL$201,$M151)&gt;0,
     COUNTIFS($AM$3:$AM$201,$M151)&gt;0,
     COUNTIFS($AN$3:$AN$201,$M151)&gt;0,
     COUNTIFS($AO$3:$AO$201,$M151)&gt;0,
     COUNTIFS($AP$3:$AP$201,$M151)&gt;0,
     COUNTIFS($AQ$3:$AQ$201,$M151)&gt;0,
     COUNTIFS($AR$3:$AR$201,$M151)&gt;0,
     COUNTIFS($AS$3:$AS$201,$M151)&gt;0,
     COUNTIFS($AT$3:$AT$201,$M151)&gt;0,
     COUNTIFS($AU$3:$AU$201,$M151)&gt;0,
     COUNTIFS($AV$3:$AV$201,$M151)&gt;0,
     COUNTIFS($AW$3:$AW$201,$M151)&gt;0,
     COUNTIFS($AX$3:$AX$201,$M151)&gt;0
   )),
  ),
  3
 ),
"")</f>
        <v>Tayam</v>
      </c>
      <c r="EO151" t="str">
        <f ca="1"/>
        <v>Tuskguard Captain</v>
      </c>
      <c r="ET151" t="str">
        <f ca="1"/>
        <v>Prosperous Innkeeper</v>
      </c>
      <c r="EW151" t="str">
        <f ca="1"/>
        <v>Plains</v>
      </c>
    </row>
    <row r="152" spans="1:153" x14ac:dyDescent="0.25">
      <c r="A152" t="str">
        <f ca="1"/>
        <v>Eureka Moment</v>
      </c>
      <c r="B152" s="2" t="str" cm="1">
        <f t="array" aca="1" ref="B152" ca="1">_xlfn.ANCHORARRAY(RESUMO!C151)</f>
        <v>4cRash</v>
      </c>
      <c r="C152" s="2" t="str">
        <f t="shared" ca="1" si="8"/>
        <v/>
      </c>
      <c r="E152" t="str">
        <f ca="1"/>
        <v>Plate Armor</v>
      </c>
      <c r="F152" s="2">
        <f t="shared" ca="1" si="11"/>
        <v>1</v>
      </c>
      <c r="G152" s="2" t="str">
        <f t="shared" ca="1" si="9"/>
        <v>Akiri</v>
      </c>
      <c r="J152" t="s">
        <v>180</v>
      </c>
      <c r="K152" s="2">
        <v>1</v>
      </c>
      <c r="M152" t="str">
        <f ca="1"/>
        <v>Plate Armor</v>
      </c>
      <c r="N152" s="2">
        <f t="shared" ca="1" si="10"/>
        <v>1</v>
      </c>
      <c r="O152" s="2" t="str">
        <f ca="1">IFERROR(
 INDEX($U$2:$AX$2,
  MATCH(TRUE,
   CHOOSE({1;2;3;4;5;6;7;8;9;10;11;12;13;14;15;16;17;18;19;20;21;22;23;24;25;26;27;28;29;30;31;32},
    COUNTIFS($U$3:$U$201,$M152)&gt;0,
    COUNTIFS($V$3:$V$201,$M152)&gt;0,
    COUNTIFS($W$3:$W$201,$M152)&gt;0,
    COUNTIFS($X$3:$X$201,$M152)&gt;0,
    COUNTIFS($Y$3:$Y$201,$M152)&gt;0,
    COUNTIFS($Z$3:$Z$201,$M152)&gt;0,
    COUNTIFS($AA$3:$AA$201,$M152)&gt;0,
    COUNTIFS($AB$3:$AB$201,$M152)&gt;0,
    COUNTIFS($AC$3:$AC$201,$M152)&gt;0,
    COUNTIFS($AD$3:$AD$201,$M152)&gt;0,
    COUNTIFS($AE$3:$AE$201,$M152)&gt;0,
    COUNTIFS($AF$3:$AF$201,$M152)&gt;0,
    COUNTIFS($AG$3:$AG$201,$M152)&gt;0,
    COUNTIFS($AH$3:$AH$201,$M152)&gt;0,
    COUNTIFS($AI$3:$AI$201,$M152)&gt;0,
    COUNTIFS($AJ$3:$AJ$201,$M152)&gt;0,
    COUNTIFS($AK$3:$AK$201,$M152)&gt;0,
    COUNTIFS($AL$3:$AL$201,$M152)&gt;0,
    COUNTIFS($AM$3:$AM$201,$M152)&gt;0,
    COUNTIFS($AN$3:$AN$201,$M152)&gt;0,
    COUNTIFS($AO$3:$AO$201,$M152)&gt;0,
    COUNTIFS($AP$3:$AP$201,$M152)&gt;0,
    COUNTIFS($AQ$3:$AQ$201,$M152)&gt;0,
    COUNTIFS($AR$3:$AR$201,$M152)&gt;0,
    COUNTIFS($AS$3:$AS$201,$M152)&gt;0,
    COUNTIFS($AT$3:$AT$201,$M152)&gt;0,
    COUNTIFS($AU$3:$AU$201,$M152)&gt;0,
    COUNTIFS($AV$3:$AV$201,$M152)&gt;0,
    COUNTIFS($AW$3:$AW$201,$M152)&gt;0,
    COUNTIFS($AX$3:$AX$201,$M152)&gt;0
   ),
  0)
 ),
"")</f>
        <v>Akiri</v>
      </c>
      <c r="P152" s="2" t="str" cm="1">
        <f t="array" aca="1" ref="P152" ca="1">IFERROR(
 INDEX(
  _xlfn._xlws.FILTER($U$2:$AX$2,
   TRANSPOSE(
    CHOOSE({1;2;3;4;5;6;7;8;9;10;11;12;13;14;15;16;17;18;19;20;21;22;23;24;25;26;27;28;29;30},
     COUNTIFS($U$3:$U$201,$M152)&gt;0,
     COUNTIFS($V$3:$V$201,$M152)&gt;0,
     COUNTIFS($W$3:$W$201,$M152)&gt;0,
     COUNTIFS($X$3:$X$201,$M152)&gt;0,
     COUNTIFS($Y$3:$Y$201,$M152)&gt;0,
     COUNTIFS($Z$3:$Z$201,$M152)&gt;0,
     COUNTIFS($AA$3:$AA$201,$M152)&gt;0,
     COUNTIFS($AB$3:$AB$201,$M152)&gt;0,
     COUNTIFS($AC$3:$AC$201,$M152)&gt;0,
     COUNTIFS($AD$3:$AD$201,$M152)&gt;0,
     COUNTIFS($AE$3:$AE$201,$M152)&gt;0,
     COUNTIFS($AF$3:$AF$201,$M152)&gt;0,
     COUNTIFS($AG$3:$AG$201,$M152)&gt;0,
     COUNTIFS($AH$3:$AH$201,$M152)&gt;0,
     COUNTIFS($AI$3:$AI$201,$M152)&gt;0,
     COUNTIFS($AJ$3:$AJ$201,$M152)&gt;0,
     COUNTIFS($AK$3:$AK$201,$M152)&gt;0,
     COUNTIFS($AL$3:$AL$201,$M152)&gt;0,
     COUNTIFS($AM$3:$AM$201,$M152)&gt;0,
     COUNTIFS($AN$3:$AN$201,$M152)&gt;0,
     COUNTIFS($AO$3:$AO$201,$M152)&gt;0,
     COUNTIFS($AP$3:$AP$201,$M152)&gt;0,
     COUNTIFS($AQ$3:$AQ$201,$M152)&gt;0,
     COUNTIFS($AR$3:$AR$201,$M152)&gt;0,
     COUNTIFS($AS$3:$AS$201,$M152)&gt;0,
     COUNTIFS($AT$3:$AT$201,$M152)&gt;0,
     COUNTIFS($AU$3:$AU$201,$M152)&gt;0,
     COUNTIFS($AV$3:$AV$201,$M152)&gt;0,
     COUNTIFS($AW$3:$AW$201,$M152)&gt;0,
     COUNTIFS($AX$3:$AX$201,$M152)&gt;0
   )),
  ),
  2
 ),
"")</f>
        <v/>
      </c>
      <c r="Q152" s="2" t="str" cm="1">
        <f t="array" aca="1" ref="Q152" ca="1">IFERROR(
 INDEX(
  _xlfn._xlws.FILTER($U$2:$AX$2,
   TRANSPOSE(
    CHOOSE({1;2;3;4;5;6;7;8;9;10;11;12;13;14;15;16;17;18;19;20;21;22;23;24;25;26;27;28;29;30},
     COUNTIFS($U$3:$U$201,$M152)&gt;0,
     COUNTIFS($V$3:$V$201,$M152)&gt;0,
     COUNTIFS($W$3:$W$201,$M152)&gt;0,
     COUNTIFS($X$3:$X$201,$M152)&gt;0,
     COUNTIFS($Y$3:$Y$201,$M152)&gt;0,
     COUNTIFS($Z$3:$Z$201,$M152)&gt;0,
     COUNTIFS($AA$3:$AA$201,$M152)&gt;0,
     COUNTIFS($AB$3:$AB$201,$M152)&gt;0,
     COUNTIFS($AC$3:$AC$201,$M152)&gt;0,
     COUNTIFS($AD$3:$AD$201,$M152)&gt;0,
     COUNTIFS($AE$3:$AE$201,$M152)&gt;0,
     COUNTIFS($AF$3:$AF$201,$M152)&gt;0,
     COUNTIFS($AG$3:$AG$201,$M152)&gt;0,
     COUNTIFS($AH$3:$AH$201,$M152)&gt;0,
     COUNTIFS($AI$3:$AI$201,$M152)&gt;0,
     COUNTIFS($AJ$3:$AJ$201,$M152)&gt;0,
     COUNTIFS($AK$3:$AK$201,$M152)&gt;0,
     COUNTIFS($AL$3:$AL$201,$M152)&gt;0,
     COUNTIFS($AM$3:$AM$201,$M152)&gt;0,
     COUNTIFS($AN$3:$AN$201,$M152)&gt;0,
     COUNTIFS($AO$3:$AO$201,$M152)&gt;0,
     COUNTIFS($AP$3:$AP$201,$M152)&gt;0,
     COUNTIFS($AQ$3:$AQ$201,$M152)&gt;0,
     COUNTIFS($AR$3:$AR$201,$M152)&gt;0,
     COUNTIFS($AS$3:$AS$201,$M152)&gt;0,
     COUNTIFS($AT$3:$AT$201,$M152)&gt;0,
     COUNTIFS($AU$3:$AU$201,$M152)&gt;0,
     COUNTIFS($AV$3:$AV$201,$M152)&gt;0,
     COUNTIFS($AW$3:$AW$201,$M152)&gt;0,
     COUNTIFS($AX$3:$AX$201,$M152)&gt;0
   )),
  ),
  3
 ),
"")</f>
        <v/>
      </c>
      <c r="EO152" t="str">
        <f ca="1"/>
        <v>Twinferno</v>
      </c>
      <c r="ET152" t="str">
        <f ca="1"/>
        <v>Quasiduplicate</v>
      </c>
      <c r="EW152" t="str">
        <f ca="1"/>
        <v>Plate Armor</v>
      </c>
    </row>
    <row r="153" spans="1:153" x14ac:dyDescent="0.25">
      <c r="A153" t="str">
        <f ca="1"/>
        <v>Evacuation</v>
      </c>
      <c r="B153" s="2" t="str" cm="1">
        <f t="array" aca="1" ref="B153" ca="1">_xlfn.ANCHORARRAY(RESUMO!C152)</f>
        <v>4cRash</v>
      </c>
      <c r="C153" s="2" t="str">
        <f t="shared" ca="1" si="8"/>
        <v/>
      </c>
      <c r="E153" t="str">
        <f ca="1"/>
        <v>Portão da Guilda Orzhov</v>
      </c>
      <c r="F153" s="2">
        <f t="shared" ca="1" si="11"/>
        <v>1</v>
      </c>
      <c r="G153" s="2" t="str">
        <f t="shared" ca="1" si="9"/>
        <v>OWA</v>
      </c>
      <c r="J153" t="s">
        <v>180</v>
      </c>
      <c r="K153" s="2">
        <v>1</v>
      </c>
      <c r="M153" t="str">
        <f ca="1"/>
        <v>Portão da Guilda Orzhov</v>
      </c>
      <c r="N153" s="2">
        <f t="shared" ca="1" si="10"/>
        <v>1</v>
      </c>
      <c r="O153" s="2" t="str">
        <f ca="1">IFERROR(
 INDEX($U$2:$AX$2,
  MATCH(TRUE,
   CHOOSE({1;2;3;4;5;6;7;8;9;10;11;12;13;14;15;16;17;18;19;20;21;22;23;24;25;26;27;28;29;30;31;32},
    COUNTIFS($U$3:$U$201,$M153)&gt;0,
    COUNTIFS($V$3:$V$201,$M153)&gt;0,
    COUNTIFS($W$3:$W$201,$M153)&gt;0,
    COUNTIFS($X$3:$X$201,$M153)&gt;0,
    COUNTIFS($Y$3:$Y$201,$M153)&gt;0,
    COUNTIFS($Z$3:$Z$201,$M153)&gt;0,
    COUNTIFS($AA$3:$AA$201,$M153)&gt;0,
    COUNTIFS($AB$3:$AB$201,$M153)&gt;0,
    COUNTIFS($AC$3:$AC$201,$M153)&gt;0,
    COUNTIFS($AD$3:$AD$201,$M153)&gt;0,
    COUNTIFS($AE$3:$AE$201,$M153)&gt;0,
    COUNTIFS($AF$3:$AF$201,$M153)&gt;0,
    COUNTIFS($AG$3:$AG$201,$M153)&gt;0,
    COUNTIFS($AH$3:$AH$201,$M153)&gt;0,
    COUNTIFS($AI$3:$AI$201,$M153)&gt;0,
    COUNTIFS($AJ$3:$AJ$201,$M153)&gt;0,
    COUNTIFS($AK$3:$AK$201,$M153)&gt;0,
    COUNTIFS($AL$3:$AL$201,$M153)&gt;0,
    COUNTIFS($AM$3:$AM$201,$M153)&gt;0,
    COUNTIFS($AN$3:$AN$201,$M153)&gt;0,
    COUNTIFS($AO$3:$AO$201,$M153)&gt;0,
    COUNTIFS($AP$3:$AP$201,$M153)&gt;0,
    COUNTIFS($AQ$3:$AQ$201,$M153)&gt;0,
    COUNTIFS($AR$3:$AR$201,$M153)&gt;0,
    COUNTIFS($AS$3:$AS$201,$M153)&gt;0,
    COUNTIFS($AT$3:$AT$201,$M153)&gt;0,
    COUNTIFS($AU$3:$AU$201,$M153)&gt;0,
    COUNTIFS($AV$3:$AV$201,$M153)&gt;0,
    COUNTIFS($AW$3:$AW$201,$M153)&gt;0,
    COUNTIFS($AX$3:$AX$201,$M153)&gt;0
   ),
  0)
 ),
"")</f>
        <v>OWA</v>
      </c>
      <c r="P153" s="2" t="str" cm="1">
        <f t="array" aca="1" ref="P153" ca="1">IFERROR(
 INDEX(
  _xlfn._xlws.FILTER($U$2:$AX$2,
   TRANSPOSE(
    CHOOSE({1;2;3;4;5;6;7;8;9;10;11;12;13;14;15;16;17;18;19;20;21;22;23;24;25;26;27;28;29;30},
     COUNTIFS($U$3:$U$201,$M153)&gt;0,
     COUNTIFS($V$3:$V$201,$M153)&gt;0,
     COUNTIFS($W$3:$W$201,$M153)&gt;0,
     COUNTIFS($X$3:$X$201,$M153)&gt;0,
     COUNTIFS($Y$3:$Y$201,$M153)&gt;0,
     COUNTIFS($Z$3:$Z$201,$M153)&gt;0,
     COUNTIFS($AA$3:$AA$201,$M153)&gt;0,
     COUNTIFS($AB$3:$AB$201,$M153)&gt;0,
     COUNTIFS($AC$3:$AC$201,$M153)&gt;0,
     COUNTIFS($AD$3:$AD$201,$M153)&gt;0,
     COUNTIFS($AE$3:$AE$201,$M153)&gt;0,
     COUNTIFS($AF$3:$AF$201,$M153)&gt;0,
     COUNTIFS($AG$3:$AG$201,$M153)&gt;0,
     COUNTIFS($AH$3:$AH$201,$M153)&gt;0,
     COUNTIFS($AI$3:$AI$201,$M153)&gt;0,
     COUNTIFS($AJ$3:$AJ$201,$M153)&gt;0,
     COUNTIFS($AK$3:$AK$201,$M153)&gt;0,
     COUNTIFS($AL$3:$AL$201,$M153)&gt;0,
     COUNTIFS($AM$3:$AM$201,$M153)&gt;0,
     COUNTIFS($AN$3:$AN$201,$M153)&gt;0,
     COUNTIFS($AO$3:$AO$201,$M153)&gt;0,
     COUNTIFS($AP$3:$AP$201,$M153)&gt;0,
     COUNTIFS($AQ$3:$AQ$201,$M153)&gt;0,
     COUNTIFS($AR$3:$AR$201,$M153)&gt;0,
     COUNTIFS($AS$3:$AS$201,$M153)&gt;0,
     COUNTIFS($AT$3:$AT$201,$M153)&gt;0,
     COUNTIFS($AU$3:$AU$201,$M153)&gt;0,
     COUNTIFS($AV$3:$AV$201,$M153)&gt;0,
     COUNTIFS($AW$3:$AW$201,$M153)&gt;0,
     COUNTIFS($AX$3:$AX$201,$M153)&gt;0
   )),
  ),
  2
 ),
"")</f>
        <v/>
      </c>
      <c r="Q153" s="2" t="str" cm="1">
        <f t="array" aca="1" ref="Q153" ca="1">IFERROR(
 INDEX(
  _xlfn._xlws.FILTER($U$2:$AX$2,
   TRANSPOSE(
    CHOOSE({1;2;3;4;5;6;7;8;9;10;11;12;13;14;15;16;17;18;19;20;21;22;23;24;25;26;27;28;29;30},
     COUNTIFS($U$3:$U$201,$M153)&gt;0,
     COUNTIFS($V$3:$V$201,$M153)&gt;0,
     COUNTIFS($W$3:$W$201,$M153)&gt;0,
     COUNTIFS($X$3:$X$201,$M153)&gt;0,
     COUNTIFS($Y$3:$Y$201,$M153)&gt;0,
     COUNTIFS($Z$3:$Z$201,$M153)&gt;0,
     COUNTIFS($AA$3:$AA$201,$M153)&gt;0,
     COUNTIFS($AB$3:$AB$201,$M153)&gt;0,
     COUNTIFS($AC$3:$AC$201,$M153)&gt;0,
     COUNTIFS($AD$3:$AD$201,$M153)&gt;0,
     COUNTIFS($AE$3:$AE$201,$M153)&gt;0,
     COUNTIFS($AF$3:$AF$201,$M153)&gt;0,
     COUNTIFS($AG$3:$AG$201,$M153)&gt;0,
     COUNTIFS($AH$3:$AH$201,$M153)&gt;0,
     COUNTIFS($AI$3:$AI$201,$M153)&gt;0,
     COUNTIFS($AJ$3:$AJ$201,$M153)&gt;0,
     COUNTIFS($AK$3:$AK$201,$M153)&gt;0,
     COUNTIFS($AL$3:$AL$201,$M153)&gt;0,
     COUNTIFS($AM$3:$AM$201,$M153)&gt;0,
     COUNTIFS($AN$3:$AN$201,$M153)&gt;0,
     COUNTIFS($AO$3:$AO$201,$M153)&gt;0,
     COUNTIFS($AP$3:$AP$201,$M153)&gt;0,
     COUNTIFS($AQ$3:$AQ$201,$M153)&gt;0,
     COUNTIFS($AR$3:$AR$201,$M153)&gt;0,
     COUNTIFS($AS$3:$AS$201,$M153)&gt;0,
     COUNTIFS($AT$3:$AT$201,$M153)&gt;0,
     COUNTIFS($AU$3:$AU$201,$M153)&gt;0,
     COUNTIFS($AV$3:$AV$201,$M153)&gt;0,
     COUNTIFS($AW$3:$AW$201,$M153)&gt;0,
     COUNTIFS($AX$3:$AX$201,$M153)&gt;0
   )),
  ),
  3
 ),
"")</f>
        <v/>
      </c>
      <c r="EO153" t="str">
        <f ca="1"/>
        <v>Urza Assembles the Titans</v>
      </c>
      <c r="ET153" t="str">
        <f ca="1"/>
        <v>Ranger of Eos</v>
      </c>
      <c r="EW153" t="str">
        <f ca="1"/>
        <v>Portão da Guilda Orzhov</v>
      </c>
    </row>
    <row r="154" spans="1:153" x14ac:dyDescent="0.25">
      <c r="A154" t="str">
        <f ca="1"/>
        <v>Exalted Flamer of Tzeentch</v>
      </c>
      <c r="B154" s="2" t="str" cm="1">
        <f t="array" aca="1" ref="B154" ca="1">_xlfn.ANCHORARRAY(RESUMO!C153)</f>
        <v>4cRash</v>
      </c>
      <c r="C154" s="2" t="str">
        <f t="shared" ca="1" si="8"/>
        <v/>
      </c>
      <c r="E154" t="str">
        <f ca="1"/>
        <v>Presence of Gond</v>
      </c>
      <c r="F154" s="2">
        <f t="shared" ca="1" si="11"/>
        <v>1</v>
      </c>
      <c r="G154" s="2" t="str">
        <f t="shared" ca="1" si="9"/>
        <v>Baylen</v>
      </c>
      <c r="J154" t="s">
        <v>180</v>
      </c>
      <c r="K154" s="2">
        <v>1</v>
      </c>
      <c r="M154" t="str">
        <f ca="1"/>
        <v>Presence of Gond</v>
      </c>
      <c r="N154" s="2">
        <f t="shared" ca="1" si="10"/>
        <v>1</v>
      </c>
      <c r="O154" s="2" t="str">
        <f ca="1">IFERROR(
 INDEX($U$2:$AX$2,
  MATCH(TRUE,
   CHOOSE({1;2;3;4;5;6;7;8;9;10;11;12;13;14;15;16;17;18;19;20;21;22;23;24;25;26;27;28;29;30;31;32},
    COUNTIFS($U$3:$U$201,$M154)&gt;0,
    COUNTIFS($V$3:$V$201,$M154)&gt;0,
    COUNTIFS($W$3:$W$201,$M154)&gt;0,
    COUNTIFS($X$3:$X$201,$M154)&gt;0,
    COUNTIFS($Y$3:$Y$201,$M154)&gt;0,
    COUNTIFS($Z$3:$Z$201,$M154)&gt;0,
    COUNTIFS($AA$3:$AA$201,$M154)&gt;0,
    COUNTIFS($AB$3:$AB$201,$M154)&gt;0,
    COUNTIFS($AC$3:$AC$201,$M154)&gt;0,
    COUNTIFS($AD$3:$AD$201,$M154)&gt;0,
    COUNTIFS($AE$3:$AE$201,$M154)&gt;0,
    COUNTIFS($AF$3:$AF$201,$M154)&gt;0,
    COUNTIFS($AG$3:$AG$201,$M154)&gt;0,
    COUNTIFS($AH$3:$AH$201,$M154)&gt;0,
    COUNTIFS($AI$3:$AI$201,$M154)&gt;0,
    COUNTIFS($AJ$3:$AJ$201,$M154)&gt;0,
    COUNTIFS($AK$3:$AK$201,$M154)&gt;0,
    COUNTIFS($AL$3:$AL$201,$M154)&gt;0,
    COUNTIFS($AM$3:$AM$201,$M154)&gt;0,
    COUNTIFS($AN$3:$AN$201,$M154)&gt;0,
    COUNTIFS($AO$3:$AO$201,$M154)&gt;0,
    COUNTIFS($AP$3:$AP$201,$M154)&gt;0,
    COUNTIFS($AQ$3:$AQ$201,$M154)&gt;0,
    COUNTIFS($AR$3:$AR$201,$M154)&gt;0,
    COUNTIFS($AS$3:$AS$201,$M154)&gt;0,
    COUNTIFS($AT$3:$AT$201,$M154)&gt;0,
    COUNTIFS($AU$3:$AU$201,$M154)&gt;0,
    COUNTIFS($AV$3:$AV$201,$M154)&gt;0,
    COUNTIFS($AW$3:$AW$201,$M154)&gt;0,
    COUNTIFS($AX$3:$AX$201,$M154)&gt;0
   ),
  0)
 ),
"")</f>
        <v>Baylen</v>
      </c>
      <c r="P154" s="2" t="str" cm="1">
        <f t="array" aca="1" ref="P154" ca="1">IFERROR(
 INDEX(
  _xlfn._xlws.FILTER($U$2:$AX$2,
   TRANSPOSE(
    CHOOSE({1;2;3;4;5;6;7;8;9;10;11;12;13;14;15;16;17;18;19;20;21;22;23;24;25;26;27;28;29;30},
     COUNTIFS($U$3:$U$201,$M154)&gt;0,
     COUNTIFS($V$3:$V$201,$M154)&gt;0,
     COUNTIFS($W$3:$W$201,$M154)&gt;0,
     COUNTIFS($X$3:$X$201,$M154)&gt;0,
     COUNTIFS($Y$3:$Y$201,$M154)&gt;0,
     COUNTIFS($Z$3:$Z$201,$M154)&gt;0,
     COUNTIFS($AA$3:$AA$201,$M154)&gt;0,
     COUNTIFS($AB$3:$AB$201,$M154)&gt;0,
     COUNTIFS($AC$3:$AC$201,$M154)&gt;0,
     COUNTIFS($AD$3:$AD$201,$M154)&gt;0,
     COUNTIFS($AE$3:$AE$201,$M154)&gt;0,
     COUNTIFS($AF$3:$AF$201,$M154)&gt;0,
     COUNTIFS($AG$3:$AG$201,$M154)&gt;0,
     COUNTIFS($AH$3:$AH$201,$M154)&gt;0,
     COUNTIFS($AI$3:$AI$201,$M154)&gt;0,
     COUNTIFS($AJ$3:$AJ$201,$M154)&gt;0,
     COUNTIFS($AK$3:$AK$201,$M154)&gt;0,
     COUNTIFS($AL$3:$AL$201,$M154)&gt;0,
     COUNTIFS($AM$3:$AM$201,$M154)&gt;0,
     COUNTIFS($AN$3:$AN$201,$M154)&gt;0,
     COUNTIFS($AO$3:$AO$201,$M154)&gt;0,
     COUNTIFS($AP$3:$AP$201,$M154)&gt;0,
     COUNTIFS($AQ$3:$AQ$201,$M154)&gt;0,
     COUNTIFS($AR$3:$AR$201,$M154)&gt;0,
     COUNTIFS($AS$3:$AS$201,$M154)&gt;0,
     COUNTIFS($AT$3:$AT$201,$M154)&gt;0,
     COUNTIFS($AU$3:$AU$201,$M154)&gt;0,
     COUNTIFS($AV$3:$AV$201,$M154)&gt;0,
     COUNTIFS($AW$3:$AW$201,$M154)&gt;0,
     COUNTIFS($AX$3:$AX$201,$M154)&gt;0
   )),
  ),
  2
 ),
"")</f>
        <v/>
      </c>
      <c r="Q154" s="2" t="str" cm="1">
        <f t="array" aca="1" ref="Q154" ca="1">IFERROR(
 INDEX(
  _xlfn._xlws.FILTER($U$2:$AX$2,
   TRANSPOSE(
    CHOOSE({1;2;3;4;5;6;7;8;9;10;11;12;13;14;15;16;17;18;19;20;21;22;23;24;25;26;27;28;29;30},
     COUNTIFS($U$3:$U$201,$M154)&gt;0,
     COUNTIFS($V$3:$V$201,$M154)&gt;0,
     COUNTIFS($W$3:$W$201,$M154)&gt;0,
     COUNTIFS($X$3:$X$201,$M154)&gt;0,
     COUNTIFS($Y$3:$Y$201,$M154)&gt;0,
     COUNTIFS($Z$3:$Z$201,$M154)&gt;0,
     COUNTIFS($AA$3:$AA$201,$M154)&gt;0,
     COUNTIFS($AB$3:$AB$201,$M154)&gt;0,
     COUNTIFS($AC$3:$AC$201,$M154)&gt;0,
     COUNTIFS($AD$3:$AD$201,$M154)&gt;0,
     COUNTIFS($AE$3:$AE$201,$M154)&gt;0,
     COUNTIFS($AF$3:$AF$201,$M154)&gt;0,
     COUNTIFS($AG$3:$AG$201,$M154)&gt;0,
     COUNTIFS($AH$3:$AH$201,$M154)&gt;0,
     COUNTIFS($AI$3:$AI$201,$M154)&gt;0,
     COUNTIFS($AJ$3:$AJ$201,$M154)&gt;0,
     COUNTIFS($AK$3:$AK$201,$M154)&gt;0,
     COUNTIFS($AL$3:$AL$201,$M154)&gt;0,
     COUNTIFS($AM$3:$AM$201,$M154)&gt;0,
     COUNTIFS($AN$3:$AN$201,$M154)&gt;0,
     COUNTIFS($AO$3:$AO$201,$M154)&gt;0,
     COUNTIFS($AP$3:$AP$201,$M154)&gt;0,
     COUNTIFS($AQ$3:$AQ$201,$M154)&gt;0,
     COUNTIFS($AR$3:$AR$201,$M154)&gt;0,
     COUNTIFS($AS$3:$AS$201,$M154)&gt;0,
     COUNTIFS($AT$3:$AT$201,$M154)&gt;0,
     COUNTIFS($AU$3:$AU$201,$M154)&gt;0,
     COUNTIFS($AV$3:$AV$201,$M154)&gt;0,
     COUNTIFS($AW$3:$AW$201,$M154)&gt;0,
     COUNTIFS($AX$3:$AX$201,$M154)&gt;0
   )),
  ),
  3
 ),
"")</f>
        <v/>
      </c>
      <c r="EO154" t="str">
        <f ca="1"/>
        <v>Urza's Ruinous Blast</v>
      </c>
      <c r="ET154" t="str">
        <f ca="1"/>
        <v>Ravenous Chupacabra</v>
      </c>
      <c r="EW154" t="str">
        <f ca="1"/>
        <v>Presence of Gond</v>
      </c>
    </row>
    <row r="155" spans="1:153" x14ac:dyDescent="0.25">
      <c r="A155" t="str">
        <f ca="1"/>
        <v>Exalted Sunborn</v>
      </c>
      <c r="B155" s="2" t="str" cm="1">
        <f t="array" aca="1" ref="B155" ca="1">_xlfn.ANCHORARRAY(RESUMO!C154)</f>
        <v>Baylen</v>
      </c>
      <c r="C155" s="2" t="str">
        <f t="shared" ca="1" si="8"/>
        <v/>
      </c>
      <c r="E155" t="str">
        <f ca="1"/>
        <v>Prosperous Innkeeper</v>
      </c>
      <c r="F155" s="2">
        <f t="shared" ca="1" si="11"/>
        <v>1</v>
      </c>
      <c r="G155" s="2" t="str">
        <f t="shared" ca="1" si="9"/>
        <v>Baylen</v>
      </c>
      <c r="J155" t="s">
        <v>180</v>
      </c>
      <c r="K155" s="2">
        <v>1</v>
      </c>
      <c r="M155" t="str">
        <f ca="1"/>
        <v>Prosperous Innkeeper</v>
      </c>
      <c r="N155" s="2">
        <f t="shared" ca="1" si="10"/>
        <v>1</v>
      </c>
      <c r="O155" s="2" t="str">
        <f ca="1">IFERROR(
 INDEX($U$2:$AX$2,
  MATCH(TRUE,
   CHOOSE({1;2;3;4;5;6;7;8;9;10;11;12;13;14;15;16;17;18;19;20;21;22;23;24;25;26;27;28;29;30;31;32},
    COUNTIFS($U$3:$U$201,$M155)&gt;0,
    COUNTIFS($V$3:$V$201,$M155)&gt;0,
    COUNTIFS($W$3:$W$201,$M155)&gt;0,
    COUNTIFS($X$3:$X$201,$M155)&gt;0,
    COUNTIFS($Y$3:$Y$201,$M155)&gt;0,
    COUNTIFS($Z$3:$Z$201,$M155)&gt;0,
    COUNTIFS($AA$3:$AA$201,$M155)&gt;0,
    COUNTIFS($AB$3:$AB$201,$M155)&gt;0,
    COUNTIFS($AC$3:$AC$201,$M155)&gt;0,
    COUNTIFS($AD$3:$AD$201,$M155)&gt;0,
    COUNTIFS($AE$3:$AE$201,$M155)&gt;0,
    COUNTIFS($AF$3:$AF$201,$M155)&gt;0,
    COUNTIFS($AG$3:$AG$201,$M155)&gt;0,
    COUNTIFS($AH$3:$AH$201,$M155)&gt;0,
    COUNTIFS($AI$3:$AI$201,$M155)&gt;0,
    COUNTIFS($AJ$3:$AJ$201,$M155)&gt;0,
    COUNTIFS($AK$3:$AK$201,$M155)&gt;0,
    COUNTIFS($AL$3:$AL$201,$M155)&gt;0,
    COUNTIFS($AM$3:$AM$201,$M155)&gt;0,
    COUNTIFS($AN$3:$AN$201,$M155)&gt;0,
    COUNTIFS($AO$3:$AO$201,$M155)&gt;0,
    COUNTIFS($AP$3:$AP$201,$M155)&gt;0,
    COUNTIFS($AQ$3:$AQ$201,$M155)&gt;0,
    COUNTIFS($AR$3:$AR$201,$M155)&gt;0,
    COUNTIFS($AS$3:$AS$201,$M155)&gt;0,
    COUNTIFS($AT$3:$AT$201,$M155)&gt;0,
    COUNTIFS($AU$3:$AU$201,$M155)&gt;0,
    COUNTIFS($AV$3:$AV$201,$M155)&gt;0,
    COUNTIFS($AW$3:$AW$201,$M155)&gt;0,
    COUNTIFS($AX$3:$AX$201,$M155)&gt;0
   ),
  0)
 ),
"")</f>
        <v>Baylen</v>
      </c>
      <c r="P155" s="2" t="str" cm="1">
        <f t="array" aca="1" ref="P155" ca="1">IFERROR(
 INDEX(
  _xlfn._xlws.FILTER($U$2:$AX$2,
   TRANSPOSE(
    CHOOSE({1;2;3;4;5;6;7;8;9;10;11;12;13;14;15;16;17;18;19;20;21;22;23;24;25;26;27;28;29;30},
     COUNTIFS($U$3:$U$201,$M155)&gt;0,
     COUNTIFS($V$3:$V$201,$M155)&gt;0,
     COUNTIFS($W$3:$W$201,$M155)&gt;0,
     COUNTIFS($X$3:$X$201,$M155)&gt;0,
     COUNTIFS($Y$3:$Y$201,$M155)&gt;0,
     COUNTIFS($Z$3:$Z$201,$M155)&gt;0,
     COUNTIFS($AA$3:$AA$201,$M155)&gt;0,
     COUNTIFS($AB$3:$AB$201,$M155)&gt;0,
     COUNTIFS($AC$3:$AC$201,$M155)&gt;0,
     COUNTIFS($AD$3:$AD$201,$M155)&gt;0,
     COUNTIFS($AE$3:$AE$201,$M155)&gt;0,
     COUNTIFS($AF$3:$AF$201,$M155)&gt;0,
     COUNTIFS($AG$3:$AG$201,$M155)&gt;0,
     COUNTIFS($AH$3:$AH$201,$M155)&gt;0,
     COUNTIFS($AI$3:$AI$201,$M155)&gt;0,
     COUNTIFS($AJ$3:$AJ$201,$M155)&gt;0,
     COUNTIFS($AK$3:$AK$201,$M155)&gt;0,
     COUNTIFS($AL$3:$AL$201,$M155)&gt;0,
     COUNTIFS($AM$3:$AM$201,$M155)&gt;0,
     COUNTIFS($AN$3:$AN$201,$M155)&gt;0,
     COUNTIFS($AO$3:$AO$201,$M155)&gt;0,
     COUNTIFS($AP$3:$AP$201,$M155)&gt;0,
     COUNTIFS($AQ$3:$AQ$201,$M155)&gt;0,
     COUNTIFS($AR$3:$AR$201,$M155)&gt;0,
     COUNTIFS($AS$3:$AS$201,$M155)&gt;0,
     COUNTIFS($AT$3:$AT$201,$M155)&gt;0,
     COUNTIFS($AU$3:$AU$201,$M155)&gt;0,
     COUNTIFS($AV$3:$AV$201,$M155)&gt;0,
     COUNTIFS($AW$3:$AW$201,$M155)&gt;0,
     COUNTIFS($AX$3:$AX$201,$M155)&gt;0
   )),
  ),
  2
 ),
"")</f>
        <v/>
      </c>
      <c r="Q155" s="2" t="str" cm="1">
        <f t="array" aca="1" ref="Q155" ca="1">IFERROR(
 INDEX(
  _xlfn._xlws.FILTER($U$2:$AX$2,
   TRANSPOSE(
    CHOOSE({1;2;3;4;5;6;7;8;9;10;11;12;13;14;15;16;17;18;19;20;21;22;23;24;25;26;27;28;29;30},
     COUNTIFS($U$3:$U$201,$M155)&gt;0,
     COUNTIFS($V$3:$V$201,$M155)&gt;0,
     COUNTIFS($W$3:$W$201,$M155)&gt;0,
     COUNTIFS($X$3:$X$201,$M155)&gt;0,
     COUNTIFS($Y$3:$Y$201,$M155)&gt;0,
     COUNTIFS($Z$3:$Z$201,$M155)&gt;0,
     COUNTIFS($AA$3:$AA$201,$M155)&gt;0,
     COUNTIFS($AB$3:$AB$201,$M155)&gt;0,
     COUNTIFS($AC$3:$AC$201,$M155)&gt;0,
     COUNTIFS($AD$3:$AD$201,$M155)&gt;0,
     COUNTIFS($AE$3:$AE$201,$M155)&gt;0,
     COUNTIFS($AF$3:$AF$201,$M155)&gt;0,
     COUNTIFS($AG$3:$AG$201,$M155)&gt;0,
     COUNTIFS($AH$3:$AH$201,$M155)&gt;0,
     COUNTIFS($AI$3:$AI$201,$M155)&gt;0,
     COUNTIFS($AJ$3:$AJ$201,$M155)&gt;0,
     COUNTIFS($AK$3:$AK$201,$M155)&gt;0,
     COUNTIFS($AL$3:$AL$201,$M155)&gt;0,
     COUNTIFS($AM$3:$AM$201,$M155)&gt;0,
     COUNTIFS($AN$3:$AN$201,$M155)&gt;0,
     COUNTIFS($AO$3:$AO$201,$M155)&gt;0,
     COUNTIFS($AP$3:$AP$201,$M155)&gt;0,
     COUNTIFS($AQ$3:$AQ$201,$M155)&gt;0,
     COUNTIFS($AR$3:$AR$201,$M155)&gt;0,
     COUNTIFS($AS$3:$AS$201,$M155)&gt;0,
     COUNTIFS($AT$3:$AT$201,$M155)&gt;0,
     COUNTIFS($AU$3:$AU$201,$M155)&gt;0,
     COUNTIFS($AV$3:$AV$201,$M155)&gt;0,
     COUNTIFS($AW$3:$AW$201,$M155)&gt;0,
     COUNTIFS($AX$3:$AX$201,$M155)&gt;0
   )),
  ),
  3
 ),
"")</f>
        <v/>
      </c>
      <c r="EO155" t="str">
        <f ca="1"/>
        <v>Vale Afundado</v>
      </c>
      <c r="ET155" t="str">
        <f ca="1"/>
        <v>Realmbreaker, the Invasion Tree</v>
      </c>
      <c r="EW155" t="str">
        <f ca="1"/>
        <v>Prosperous Innkeeper</v>
      </c>
    </row>
    <row r="156" spans="1:153" x14ac:dyDescent="0.25">
      <c r="A156" t="str">
        <f ca="1"/>
        <v>Exotic Orchard</v>
      </c>
      <c r="B156" s="2" t="str" cm="1">
        <f t="array" aca="1" ref="B156" ca="1">_xlfn.ANCHORARRAY(RESUMO!C155)</f>
        <v>Fractius</v>
      </c>
      <c r="C156" s="2" t="str">
        <f t="shared" ca="1" si="8"/>
        <v/>
      </c>
      <c r="E156" t="str">
        <f ca="1"/>
        <v>Quasiduplicate</v>
      </c>
      <c r="F156" s="2">
        <f t="shared" ca="1" si="11"/>
        <v>1</v>
      </c>
      <c r="G156" s="2" t="str">
        <f t="shared" ca="1" si="9"/>
        <v>Inalla</v>
      </c>
      <c r="J156" t="s">
        <v>180</v>
      </c>
      <c r="K156" s="2">
        <v>1</v>
      </c>
      <c r="M156" t="str">
        <f ca="1"/>
        <v>Quasiduplicate</v>
      </c>
      <c r="N156" s="2">
        <f t="shared" ca="1" si="10"/>
        <v>1</v>
      </c>
      <c r="O156" s="2" t="str">
        <f ca="1">IFERROR(
 INDEX($U$2:$AX$2,
  MATCH(TRUE,
   CHOOSE({1;2;3;4;5;6;7;8;9;10;11;12;13;14;15;16;17;18;19;20;21;22;23;24;25;26;27;28;29;30;31;32},
    COUNTIFS($U$3:$U$201,$M156)&gt;0,
    COUNTIFS($V$3:$V$201,$M156)&gt;0,
    COUNTIFS($W$3:$W$201,$M156)&gt;0,
    COUNTIFS($X$3:$X$201,$M156)&gt;0,
    COUNTIFS($Y$3:$Y$201,$M156)&gt;0,
    COUNTIFS($Z$3:$Z$201,$M156)&gt;0,
    COUNTIFS($AA$3:$AA$201,$M156)&gt;0,
    COUNTIFS($AB$3:$AB$201,$M156)&gt;0,
    COUNTIFS($AC$3:$AC$201,$M156)&gt;0,
    COUNTIFS($AD$3:$AD$201,$M156)&gt;0,
    COUNTIFS($AE$3:$AE$201,$M156)&gt;0,
    COUNTIFS($AF$3:$AF$201,$M156)&gt;0,
    COUNTIFS($AG$3:$AG$201,$M156)&gt;0,
    COUNTIFS($AH$3:$AH$201,$M156)&gt;0,
    COUNTIFS($AI$3:$AI$201,$M156)&gt;0,
    COUNTIFS($AJ$3:$AJ$201,$M156)&gt;0,
    COUNTIFS($AK$3:$AK$201,$M156)&gt;0,
    COUNTIFS($AL$3:$AL$201,$M156)&gt;0,
    COUNTIFS($AM$3:$AM$201,$M156)&gt;0,
    COUNTIFS($AN$3:$AN$201,$M156)&gt;0,
    COUNTIFS($AO$3:$AO$201,$M156)&gt;0,
    COUNTIFS($AP$3:$AP$201,$M156)&gt;0,
    COUNTIFS($AQ$3:$AQ$201,$M156)&gt;0,
    COUNTIFS($AR$3:$AR$201,$M156)&gt;0,
    COUNTIFS($AS$3:$AS$201,$M156)&gt;0,
    COUNTIFS($AT$3:$AT$201,$M156)&gt;0,
    COUNTIFS($AU$3:$AU$201,$M156)&gt;0,
    COUNTIFS($AV$3:$AV$201,$M156)&gt;0,
    COUNTIFS($AW$3:$AW$201,$M156)&gt;0,
    COUNTIFS($AX$3:$AX$201,$M156)&gt;0
   ),
  0)
 ),
"")</f>
        <v>Inalla</v>
      </c>
      <c r="P156" s="2" t="str" cm="1">
        <f t="array" aca="1" ref="P156" ca="1">IFERROR(
 INDEX(
  _xlfn._xlws.FILTER($U$2:$AX$2,
   TRANSPOSE(
    CHOOSE({1;2;3;4;5;6;7;8;9;10;11;12;13;14;15;16;17;18;19;20;21;22;23;24;25;26;27;28;29;30},
     COUNTIFS($U$3:$U$201,$M156)&gt;0,
     COUNTIFS($V$3:$V$201,$M156)&gt;0,
     COUNTIFS($W$3:$W$201,$M156)&gt;0,
     COUNTIFS($X$3:$X$201,$M156)&gt;0,
     COUNTIFS($Y$3:$Y$201,$M156)&gt;0,
     COUNTIFS($Z$3:$Z$201,$M156)&gt;0,
     COUNTIFS($AA$3:$AA$201,$M156)&gt;0,
     COUNTIFS($AB$3:$AB$201,$M156)&gt;0,
     COUNTIFS($AC$3:$AC$201,$M156)&gt;0,
     COUNTIFS($AD$3:$AD$201,$M156)&gt;0,
     COUNTIFS($AE$3:$AE$201,$M156)&gt;0,
     COUNTIFS($AF$3:$AF$201,$M156)&gt;0,
     COUNTIFS($AG$3:$AG$201,$M156)&gt;0,
     COUNTIFS($AH$3:$AH$201,$M156)&gt;0,
     COUNTIFS($AI$3:$AI$201,$M156)&gt;0,
     COUNTIFS($AJ$3:$AJ$201,$M156)&gt;0,
     COUNTIFS($AK$3:$AK$201,$M156)&gt;0,
     COUNTIFS($AL$3:$AL$201,$M156)&gt;0,
     COUNTIFS($AM$3:$AM$201,$M156)&gt;0,
     COUNTIFS($AN$3:$AN$201,$M156)&gt;0,
     COUNTIFS($AO$3:$AO$201,$M156)&gt;0,
     COUNTIFS($AP$3:$AP$201,$M156)&gt;0,
     COUNTIFS($AQ$3:$AQ$201,$M156)&gt;0,
     COUNTIFS($AR$3:$AR$201,$M156)&gt;0,
     COUNTIFS($AS$3:$AS$201,$M156)&gt;0,
     COUNTIFS($AT$3:$AT$201,$M156)&gt;0,
     COUNTIFS($AU$3:$AU$201,$M156)&gt;0,
     COUNTIFS($AV$3:$AV$201,$M156)&gt;0,
     COUNTIFS($AW$3:$AW$201,$M156)&gt;0,
     COUNTIFS($AX$3:$AX$201,$M156)&gt;0
   )),
  ),
  2
 ),
"")</f>
        <v/>
      </c>
      <c r="Q156" s="2" t="str" cm="1">
        <f t="array" aca="1" ref="Q156" ca="1">IFERROR(
 INDEX(
  _xlfn._xlws.FILTER($U$2:$AX$2,
   TRANSPOSE(
    CHOOSE({1;2;3;4;5;6;7;8;9;10;11;12;13;14;15;16;17;18;19;20;21;22;23;24;25;26;27;28;29;30},
     COUNTIFS($U$3:$U$201,$M156)&gt;0,
     COUNTIFS($V$3:$V$201,$M156)&gt;0,
     COUNTIFS($W$3:$W$201,$M156)&gt;0,
     COUNTIFS($X$3:$X$201,$M156)&gt;0,
     COUNTIFS($Y$3:$Y$201,$M156)&gt;0,
     COUNTIFS($Z$3:$Z$201,$M156)&gt;0,
     COUNTIFS($AA$3:$AA$201,$M156)&gt;0,
     COUNTIFS($AB$3:$AB$201,$M156)&gt;0,
     COUNTIFS($AC$3:$AC$201,$M156)&gt;0,
     COUNTIFS($AD$3:$AD$201,$M156)&gt;0,
     COUNTIFS($AE$3:$AE$201,$M156)&gt;0,
     COUNTIFS($AF$3:$AF$201,$M156)&gt;0,
     COUNTIFS($AG$3:$AG$201,$M156)&gt;0,
     COUNTIFS($AH$3:$AH$201,$M156)&gt;0,
     COUNTIFS($AI$3:$AI$201,$M156)&gt;0,
     COUNTIFS($AJ$3:$AJ$201,$M156)&gt;0,
     COUNTIFS($AK$3:$AK$201,$M156)&gt;0,
     COUNTIFS($AL$3:$AL$201,$M156)&gt;0,
     COUNTIFS($AM$3:$AM$201,$M156)&gt;0,
     COUNTIFS($AN$3:$AN$201,$M156)&gt;0,
     COUNTIFS($AO$3:$AO$201,$M156)&gt;0,
     COUNTIFS($AP$3:$AP$201,$M156)&gt;0,
     COUNTIFS($AQ$3:$AQ$201,$M156)&gt;0,
     COUNTIFS($AR$3:$AR$201,$M156)&gt;0,
     COUNTIFS($AS$3:$AS$201,$M156)&gt;0,
     COUNTIFS($AT$3:$AT$201,$M156)&gt;0,
     COUNTIFS($AU$3:$AU$201,$M156)&gt;0,
     COUNTIFS($AV$3:$AV$201,$M156)&gt;0,
     COUNTIFS($AW$3:$AW$201,$M156)&gt;0,
     COUNTIFS($AX$3:$AX$201,$M156)&gt;0
   )),
  ),
  3
 ),
"")</f>
        <v/>
      </c>
      <c r="EO156" t="str">
        <f ca="1"/>
        <v>Vivid Marsh</v>
      </c>
      <c r="ET156" t="str">
        <f ca="1"/>
        <v>Reaper's Talisman</v>
      </c>
      <c r="EW156" t="str">
        <f ca="1"/>
        <v>Quasiduplicate</v>
      </c>
    </row>
    <row r="157" spans="1:153" x14ac:dyDescent="0.25">
      <c r="A157" t="str">
        <f ca="1"/>
        <v>Exsanguinate</v>
      </c>
      <c r="B157" s="2" t="str" cm="1">
        <f t="array" aca="1" ref="B157" ca="1">_xlfn.ANCHORARRAY(RESUMO!C156)</f>
        <v>4cRash</v>
      </c>
      <c r="C157" s="2" t="str">
        <f t="shared" ca="1" si="8"/>
        <v/>
      </c>
      <c r="E157" t="str">
        <f ca="1"/>
        <v>Ranger of Eos</v>
      </c>
      <c r="F157" s="2">
        <f t="shared" ca="1" si="11"/>
        <v>1</v>
      </c>
      <c r="G157" s="2" t="str">
        <f t="shared" ca="1" si="9"/>
        <v>Carlos</v>
      </c>
      <c r="J157" t="s">
        <v>180</v>
      </c>
      <c r="K157" s="2">
        <v>1</v>
      </c>
      <c r="M157" t="str">
        <f ca="1"/>
        <v>Ranger of Eos</v>
      </c>
      <c r="N157" s="2">
        <f t="shared" ca="1" si="10"/>
        <v>1</v>
      </c>
      <c r="O157" s="2" t="str">
        <f ca="1">IFERROR(
 INDEX($U$2:$AX$2,
  MATCH(TRUE,
   CHOOSE({1;2;3;4;5;6;7;8;9;10;11;12;13;14;15;16;17;18;19;20;21;22;23;24;25;26;27;28;29;30;31;32},
    COUNTIFS($U$3:$U$201,$M157)&gt;0,
    COUNTIFS($V$3:$V$201,$M157)&gt;0,
    COUNTIFS($W$3:$W$201,$M157)&gt;0,
    COUNTIFS($X$3:$X$201,$M157)&gt;0,
    COUNTIFS($Y$3:$Y$201,$M157)&gt;0,
    COUNTIFS($Z$3:$Z$201,$M157)&gt;0,
    COUNTIFS($AA$3:$AA$201,$M157)&gt;0,
    COUNTIFS($AB$3:$AB$201,$M157)&gt;0,
    COUNTIFS($AC$3:$AC$201,$M157)&gt;0,
    COUNTIFS($AD$3:$AD$201,$M157)&gt;0,
    COUNTIFS($AE$3:$AE$201,$M157)&gt;0,
    COUNTIFS($AF$3:$AF$201,$M157)&gt;0,
    COUNTIFS($AG$3:$AG$201,$M157)&gt;0,
    COUNTIFS($AH$3:$AH$201,$M157)&gt;0,
    COUNTIFS($AI$3:$AI$201,$M157)&gt;0,
    COUNTIFS($AJ$3:$AJ$201,$M157)&gt;0,
    COUNTIFS($AK$3:$AK$201,$M157)&gt;0,
    COUNTIFS($AL$3:$AL$201,$M157)&gt;0,
    COUNTIFS($AM$3:$AM$201,$M157)&gt;0,
    COUNTIFS($AN$3:$AN$201,$M157)&gt;0,
    COUNTIFS($AO$3:$AO$201,$M157)&gt;0,
    COUNTIFS($AP$3:$AP$201,$M157)&gt;0,
    COUNTIFS($AQ$3:$AQ$201,$M157)&gt;0,
    COUNTIFS($AR$3:$AR$201,$M157)&gt;0,
    COUNTIFS($AS$3:$AS$201,$M157)&gt;0,
    COUNTIFS($AT$3:$AT$201,$M157)&gt;0,
    COUNTIFS($AU$3:$AU$201,$M157)&gt;0,
    COUNTIFS($AV$3:$AV$201,$M157)&gt;0,
    COUNTIFS($AW$3:$AW$201,$M157)&gt;0,
    COUNTIFS($AX$3:$AX$201,$M157)&gt;0
   ),
  0)
 ),
"")</f>
        <v>Carlos</v>
      </c>
      <c r="P157" s="2" t="str" cm="1">
        <f t="array" aca="1" ref="P157" ca="1">IFERROR(
 INDEX(
  _xlfn._xlws.FILTER($U$2:$AX$2,
   TRANSPOSE(
    CHOOSE({1;2;3;4;5;6;7;8;9;10;11;12;13;14;15;16;17;18;19;20;21;22;23;24;25;26;27;28;29;30},
     COUNTIFS($U$3:$U$201,$M157)&gt;0,
     COUNTIFS($V$3:$V$201,$M157)&gt;0,
     COUNTIFS($W$3:$W$201,$M157)&gt;0,
     COUNTIFS($X$3:$X$201,$M157)&gt;0,
     COUNTIFS($Y$3:$Y$201,$M157)&gt;0,
     COUNTIFS($Z$3:$Z$201,$M157)&gt;0,
     COUNTIFS($AA$3:$AA$201,$M157)&gt;0,
     COUNTIFS($AB$3:$AB$201,$M157)&gt;0,
     COUNTIFS($AC$3:$AC$201,$M157)&gt;0,
     COUNTIFS($AD$3:$AD$201,$M157)&gt;0,
     COUNTIFS($AE$3:$AE$201,$M157)&gt;0,
     COUNTIFS($AF$3:$AF$201,$M157)&gt;0,
     COUNTIFS($AG$3:$AG$201,$M157)&gt;0,
     COUNTIFS($AH$3:$AH$201,$M157)&gt;0,
     COUNTIFS($AI$3:$AI$201,$M157)&gt;0,
     COUNTIFS($AJ$3:$AJ$201,$M157)&gt;0,
     COUNTIFS($AK$3:$AK$201,$M157)&gt;0,
     COUNTIFS($AL$3:$AL$201,$M157)&gt;0,
     COUNTIFS($AM$3:$AM$201,$M157)&gt;0,
     COUNTIFS($AN$3:$AN$201,$M157)&gt;0,
     COUNTIFS($AO$3:$AO$201,$M157)&gt;0,
     COUNTIFS($AP$3:$AP$201,$M157)&gt;0,
     COUNTIFS($AQ$3:$AQ$201,$M157)&gt;0,
     COUNTIFS($AR$3:$AR$201,$M157)&gt;0,
     COUNTIFS($AS$3:$AS$201,$M157)&gt;0,
     COUNTIFS($AT$3:$AT$201,$M157)&gt;0,
     COUNTIFS($AU$3:$AU$201,$M157)&gt;0,
     COUNTIFS($AV$3:$AV$201,$M157)&gt;0,
     COUNTIFS($AW$3:$AW$201,$M157)&gt;0,
     COUNTIFS($AX$3:$AX$201,$M157)&gt;0
   )),
  ),
  2
 ),
"")</f>
        <v/>
      </c>
      <c r="Q157" s="2" t="str" cm="1">
        <f t="array" aca="1" ref="Q157" ca="1">IFERROR(
 INDEX(
  _xlfn._xlws.FILTER($U$2:$AX$2,
   TRANSPOSE(
    CHOOSE({1;2;3;4;5;6;7;8;9;10;11;12;13;14;15;16;17;18;19;20;21;22;23;24;25;26;27;28;29;30},
     COUNTIFS($U$3:$U$201,$M157)&gt;0,
     COUNTIFS($V$3:$V$201,$M157)&gt;0,
     COUNTIFS($W$3:$W$201,$M157)&gt;0,
     COUNTIFS($X$3:$X$201,$M157)&gt;0,
     COUNTIFS($Y$3:$Y$201,$M157)&gt;0,
     COUNTIFS($Z$3:$Z$201,$M157)&gt;0,
     COUNTIFS($AA$3:$AA$201,$M157)&gt;0,
     COUNTIFS($AB$3:$AB$201,$M157)&gt;0,
     COUNTIFS($AC$3:$AC$201,$M157)&gt;0,
     COUNTIFS($AD$3:$AD$201,$M157)&gt;0,
     COUNTIFS($AE$3:$AE$201,$M157)&gt;0,
     COUNTIFS($AF$3:$AF$201,$M157)&gt;0,
     COUNTIFS($AG$3:$AG$201,$M157)&gt;0,
     COUNTIFS($AH$3:$AH$201,$M157)&gt;0,
     COUNTIFS($AI$3:$AI$201,$M157)&gt;0,
     COUNTIFS($AJ$3:$AJ$201,$M157)&gt;0,
     COUNTIFS($AK$3:$AK$201,$M157)&gt;0,
     COUNTIFS($AL$3:$AL$201,$M157)&gt;0,
     COUNTIFS($AM$3:$AM$201,$M157)&gt;0,
     COUNTIFS($AN$3:$AN$201,$M157)&gt;0,
     COUNTIFS($AO$3:$AO$201,$M157)&gt;0,
     COUNTIFS($AP$3:$AP$201,$M157)&gt;0,
     COUNTIFS($AQ$3:$AQ$201,$M157)&gt;0,
     COUNTIFS($AR$3:$AR$201,$M157)&gt;0,
     COUNTIFS($AS$3:$AS$201,$M157)&gt;0,
     COUNTIFS($AT$3:$AT$201,$M157)&gt;0,
     COUNTIFS($AU$3:$AU$201,$M157)&gt;0,
     COUNTIFS($AV$3:$AV$201,$M157)&gt;0,
     COUNTIFS($AW$3:$AW$201,$M157)&gt;0,
     COUNTIFS($AX$3:$AX$201,$M157)&gt;0
   )),
  ),
  3
 ),
"")</f>
        <v/>
      </c>
      <c r="EO157" t="str">
        <f ca="1"/>
        <v>Wall of Roots</v>
      </c>
      <c r="ET157" t="str">
        <f ca="1"/>
        <v>Rebbec, Architect of Ascension</v>
      </c>
      <c r="EW157" t="str">
        <f ca="1"/>
        <v>Ranger of Eos</v>
      </c>
    </row>
    <row r="158" spans="1:153" x14ac:dyDescent="0.25">
      <c r="A158" t="str">
        <f ca="1"/>
        <v>Fabled Passage</v>
      </c>
      <c r="B158" s="2" t="str" cm="1">
        <f t="array" aca="1" ref="B158" ca="1">_xlfn.ANCHORARRAY(RESUMO!C157)</f>
        <v>Modular</v>
      </c>
      <c r="C158" s="2" t="str">
        <f t="shared" ca="1" si="8"/>
        <v/>
      </c>
      <c r="E158" t="str">
        <f ca="1"/>
        <v>Ravenous Chupacabra</v>
      </c>
      <c r="F158" s="2">
        <f t="shared" ca="1" si="11"/>
        <v>1</v>
      </c>
      <c r="G158" s="2" t="str">
        <f t="shared" ca="1" si="9"/>
        <v>Kresh</v>
      </c>
      <c r="J158" t="s">
        <v>180</v>
      </c>
      <c r="K158" s="2">
        <v>1</v>
      </c>
      <c r="M158" t="str">
        <f ca="1"/>
        <v>Ravenous Chupacabra</v>
      </c>
      <c r="N158" s="2">
        <f t="shared" ca="1" si="10"/>
        <v>1</v>
      </c>
      <c r="O158" s="2" t="str">
        <f ca="1">IFERROR(
 INDEX($U$2:$AX$2,
  MATCH(TRUE,
   CHOOSE({1;2;3;4;5;6;7;8;9;10;11;12;13;14;15;16;17;18;19;20;21;22;23;24;25;26;27;28;29;30;31;32},
    COUNTIFS($U$3:$U$201,$M158)&gt;0,
    COUNTIFS($V$3:$V$201,$M158)&gt;0,
    COUNTIFS($W$3:$W$201,$M158)&gt;0,
    COUNTIFS($X$3:$X$201,$M158)&gt;0,
    COUNTIFS($Y$3:$Y$201,$M158)&gt;0,
    COUNTIFS($Z$3:$Z$201,$M158)&gt;0,
    COUNTIFS($AA$3:$AA$201,$M158)&gt;0,
    COUNTIFS($AB$3:$AB$201,$M158)&gt;0,
    COUNTIFS($AC$3:$AC$201,$M158)&gt;0,
    COUNTIFS($AD$3:$AD$201,$M158)&gt;0,
    COUNTIFS($AE$3:$AE$201,$M158)&gt;0,
    COUNTIFS($AF$3:$AF$201,$M158)&gt;0,
    COUNTIFS($AG$3:$AG$201,$M158)&gt;0,
    COUNTIFS($AH$3:$AH$201,$M158)&gt;0,
    COUNTIFS($AI$3:$AI$201,$M158)&gt;0,
    COUNTIFS($AJ$3:$AJ$201,$M158)&gt;0,
    COUNTIFS($AK$3:$AK$201,$M158)&gt;0,
    COUNTIFS($AL$3:$AL$201,$M158)&gt;0,
    COUNTIFS($AM$3:$AM$201,$M158)&gt;0,
    COUNTIFS($AN$3:$AN$201,$M158)&gt;0,
    COUNTIFS($AO$3:$AO$201,$M158)&gt;0,
    COUNTIFS($AP$3:$AP$201,$M158)&gt;0,
    COUNTIFS($AQ$3:$AQ$201,$M158)&gt;0,
    COUNTIFS($AR$3:$AR$201,$M158)&gt;0,
    COUNTIFS($AS$3:$AS$201,$M158)&gt;0,
    COUNTIFS($AT$3:$AT$201,$M158)&gt;0,
    COUNTIFS($AU$3:$AU$201,$M158)&gt;0,
    COUNTIFS($AV$3:$AV$201,$M158)&gt;0,
    COUNTIFS($AW$3:$AW$201,$M158)&gt;0,
    COUNTIFS($AX$3:$AX$201,$M158)&gt;0
   ),
  0)
 ),
"")</f>
        <v>Kresh</v>
      </c>
      <c r="P158" s="2" t="str" cm="1">
        <f t="array" aca="1" ref="P158" ca="1">IFERROR(
 INDEX(
  _xlfn._xlws.FILTER($U$2:$AX$2,
   TRANSPOSE(
    CHOOSE({1;2;3;4;5;6;7;8;9;10;11;12;13;14;15;16;17;18;19;20;21;22;23;24;25;26;27;28;29;30},
     COUNTIFS($U$3:$U$201,$M158)&gt;0,
     COUNTIFS($V$3:$V$201,$M158)&gt;0,
     COUNTIFS($W$3:$W$201,$M158)&gt;0,
     COUNTIFS($X$3:$X$201,$M158)&gt;0,
     COUNTIFS($Y$3:$Y$201,$M158)&gt;0,
     COUNTIFS($Z$3:$Z$201,$M158)&gt;0,
     COUNTIFS($AA$3:$AA$201,$M158)&gt;0,
     COUNTIFS($AB$3:$AB$201,$M158)&gt;0,
     COUNTIFS($AC$3:$AC$201,$M158)&gt;0,
     COUNTIFS($AD$3:$AD$201,$M158)&gt;0,
     COUNTIFS($AE$3:$AE$201,$M158)&gt;0,
     COUNTIFS($AF$3:$AF$201,$M158)&gt;0,
     COUNTIFS($AG$3:$AG$201,$M158)&gt;0,
     COUNTIFS($AH$3:$AH$201,$M158)&gt;0,
     COUNTIFS($AI$3:$AI$201,$M158)&gt;0,
     COUNTIFS($AJ$3:$AJ$201,$M158)&gt;0,
     COUNTIFS($AK$3:$AK$201,$M158)&gt;0,
     COUNTIFS($AL$3:$AL$201,$M158)&gt;0,
     COUNTIFS($AM$3:$AM$201,$M158)&gt;0,
     COUNTIFS($AN$3:$AN$201,$M158)&gt;0,
     COUNTIFS($AO$3:$AO$201,$M158)&gt;0,
     COUNTIFS($AP$3:$AP$201,$M158)&gt;0,
     COUNTIFS($AQ$3:$AQ$201,$M158)&gt;0,
     COUNTIFS($AR$3:$AR$201,$M158)&gt;0,
     COUNTIFS($AS$3:$AS$201,$M158)&gt;0,
     COUNTIFS($AT$3:$AT$201,$M158)&gt;0,
     COUNTIFS($AU$3:$AU$201,$M158)&gt;0,
     COUNTIFS($AV$3:$AV$201,$M158)&gt;0,
     COUNTIFS($AW$3:$AW$201,$M158)&gt;0,
     COUNTIFS($AX$3:$AX$201,$M158)&gt;0
   )),
  ),
  2
 ),
"")</f>
        <v/>
      </c>
      <c r="Q158" s="2" t="str" cm="1">
        <f t="array" aca="1" ref="Q158" ca="1">IFERROR(
 INDEX(
  _xlfn._xlws.FILTER($U$2:$AX$2,
   TRANSPOSE(
    CHOOSE({1;2;3;4;5;6;7;8;9;10;11;12;13;14;15;16;17;18;19;20;21;22;23;24;25;26;27;28;29;30},
     COUNTIFS($U$3:$U$201,$M158)&gt;0,
     COUNTIFS($V$3:$V$201,$M158)&gt;0,
     COUNTIFS($W$3:$W$201,$M158)&gt;0,
     COUNTIFS($X$3:$X$201,$M158)&gt;0,
     COUNTIFS($Y$3:$Y$201,$M158)&gt;0,
     COUNTIFS($Z$3:$Z$201,$M158)&gt;0,
     COUNTIFS($AA$3:$AA$201,$M158)&gt;0,
     COUNTIFS($AB$3:$AB$201,$M158)&gt;0,
     COUNTIFS($AC$3:$AC$201,$M158)&gt;0,
     COUNTIFS($AD$3:$AD$201,$M158)&gt;0,
     COUNTIFS($AE$3:$AE$201,$M158)&gt;0,
     COUNTIFS($AF$3:$AF$201,$M158)&gt;0,
     COUNTIFS($AG$3:$AG$201,$M158)&gt;0,
     COUNTIFS($AH$3:$AH$201,$M158)&gt;0,
     COUNTIFS($AI$3:$AI$201,$M158)&gt;0,
     COUNTIFS($AJ$3:$AJ$201,$M158)&gt;0,
     COUNTIFS($AK$3:$AK$201,$M158)&gt;0,
     COUNTIFS($AL$3:$AL$201,$M158)&gt;0,
     COUNTIFS($AM$3:$AM$201,$M158)&gt;0,
     COUNTIFS($AN$3:$AN$201,$M158)&gt;0,
     COUNTIFS($AO$3:$AO$201,$M158)&gt;0,
     COUNTIFS($AP$3:$AP$201,$M158)&gt;0,
     COUNTIFS($AQ$3:$AQ$201,$M158)&gt;0,
     COUNTIFS($AR$3:$AR$201,$M158)&gt;0,
     COUNTIFS($AS$3:$AS$201,$M158)&gt;0,
     COUNTIFS($AT$3:$AT$201,$M158)&gt;0,
     COUNTIFS($AU$3:$AU$201,$M158)&gt;0,
     COUNTIFS($AV$3:$AV$201,$M158)&gt;0,
     COUNTIFS($AW$3:$AW$201,$M158)&gt;0,
     COUNTIFS($AX$3:$AX$201,$M158)&gt;0
   )),
  ),
  3
 ),
"")</f>
        <v/>
      </c>
      <c r="EO158" t="str">
        <f ca="1"/>
        <v>Wand of Wonder</v>
      </c>
      <c r="ET158" t="str">
        <f ca="1"/>
        <v>Reclaim</v>
      </c>
      <c r="EW158" t="str">
        <f ca="1"/>
        <v>Ravenous Chupacabra</v>
      </c>
    </row>
    <row r="159" spans="1:153" x14ac:dyDescent="0.25">
      <c r="A159" t="str">
        <f ca="1"/>
        <v>Faerie Slumber Party</v>
      </c>
      <c r="B159" s="2" t="str" cm="1">
        <f t="array" aca="1" ref="B159" ca="1">_xlfn.ANCHORARRAY(RESUMO!C158)</f>
        <v>Yuriko</v>
      </c>
      <c r="C159" s="2" t="str">
        <f t="shared" ca="1" si="8"/>
        <v/>
      </c>
      <c r="E159" t="str">
        <f ca="1"/>
        <v>Realmbreaker, the Invasion Tree</v>
      </c>
      <c r="F159" s="2">
        <f t="shared" ca="1" si="11"/>
        <v>1</v>
      </c>
      <c r="G159" s="2" t="str">
        <f t="shared" ca="1" si="9"/>
        <v>Narset</v>
      </c>
      <c r="J159" t="s">
        <v>180</v>
      </c>
      <c r="K159" s="2">
        <v>1</v>
      </c>
      <c r="M159" t="str">
        <f ca="1"/>
        <v>Realmbreaker, the Invasion Tree</v>
      </c>
      <c r="N159" s="2">
        <f t="shared" ca="1" si="10"/>
        <v>1</v>
      </c>
      <c r="O159" s="2" t="str">
        <f ca="1">IFERROR(
 INDEX($U$2:$AX$2,
  MATCH(TRUE,
   CHOOSE({1;2;3;4;5;6;7;8;9;10;11;12;13;14;15;16;17;18;19;20;21;22;23;24;25;26;27;28;29;30;31;32},
    COUNTIFS($U$3:$U$201,$M159)&gt;0,
    COUNTIFS($V$3:$V$201,$M159)&gt;0,
    COUNTIFS($W$3:$W$201,$M159)&gt;0,
    COUNTIFS($X$3:$X$201,$M159)&gt;0,
    COUNTIFS($Y$3:$Y$201,$M159)&gt;0,
    COUNTIFS($Z$3:$Z$201,$M159)&gt;0,
    COUNTIFS($AA$3:$AA$201,$M159)&gt;0,
    COUNTIFS($AB$3:$AB$201,$M159)&gt;0,
    COUNTIFS($AC$3:$AC$201,$M159)&gt;0,
    COUNTIFS($AD$3:$AD$201,$M159)&gt;0,
    COUNTIFS($AE$3:$AE$201,$M159)&gt;0,
    COUNTIFS($AF$3:$AF$201,$M159)&gt;0,
    COUNTIFS($AG$3:$AG$201,$M159)&gt;0,
    COUNTIFS($AH$3:$AH$201,$M159)&gt;0,
    COUNTIFS($AI$3:$AI$201,$M159)&gt;0,
    COUNTIFS($AJ$3:$AJ$201,$M159)&gt;0,
    COUNTIFS($AK$3:$AK$201,$M159)&gt;0,
    COUNTIFS($AL$3:$AL$201,$M159)&gt;0,
    COUNTIFS($AM$3:$AM$201,$M159)&gt;0,
    COUNTIFS($AN$3:$AN$201,$M159)&gt;0,
    COUNTIFS($AO$3:$AO$201,$M159)&gt;0,
    COUNTIFS($AP$3:$AP$201,$M159)&gt;0,
    COUNTIFS($AQ$3:$AQ$201,$M159)&gt;0,
    COUNTIFS($AR$3:$AR$201,$M159)&gt;0,
    COUNTIFS($AS$3:$AS$201,$M159)&gt;0,
    COUNTIFS($AT$3:$AT$201,$M159)&gt;0,
    COUNTIFS($AU$3:$AU$201,$M159)&gt;0,
    COUNTIFS($AV$3:$AV$201,$M159)&gt;0,
    COUNTIFS($AW$3:$AW$201,$M159)&gt;0,
    COUNTIFS($AX$3:$AX$201,$M159)&gt;0
   ),
  0)
 ),
"")</f>
        <v>Narset</v>
      </c>
      <c r="P159" s="2" t="str" cm="1">
        <f t="array" aca="1" ref="P159" ca="1">IFERROR(
 INDEX(
  _xlfn._xlws.FILTER($U$2:$AX$2,
   TRANSPOSE(
    CHOOSE({1;2;3;4;5;6;7;8;9;10;11;12;13;14;15;16;17;18;19;20;21;22;23;24;25;26;27;28;29;30},
     COUNTIFS($U$3:$U$201,$M159)&gt;0,
     COUNTIFS($V$3:$V$201,$M159)&gt;0,
     COUNTIFS($W$3:$W$201,$M159)&gt;0,
     COUNTIFS($X$3:$X$201,$M159)&gt;0,
     COUNTIFS($Y$3:$Y$201,$M159)&gt;0,
     COUNTIFS($Z$3:$Z$201,$M159)&gt;0,
     COUNTIFS($AA$3:$AA$201,$M159)&gt;0,
     COUNTIFS($AB$3:$AB$201,$M159)&gt;0,
     COUNTIFS($AC$3:$AC$201,$M159)&gt;0,
     COUNTIFS($AD$3:$AD$201,$M159)&gt;0,
     COUNTIFS($AE$3:$AE$201,$M159)&gt;0,
     COUNTIFS($AF$3:$AF$201,$M159)&gt;0,
     COUNTIFS($AG$3:$AG$201,$M159)&gt;0,
     COUNTIFS($AH$3:$AH$201,$M159)&gt;0,
     COUNTIFS($AI$3:$AI$201,$M159)&gt;0,
     COUNTIFS($AJ$3:$AJ$201,$M159)&gt;0,
     COUNTIFS($AK$3:$AK$201,$M159)&gt;0,
     COUNTIFS($AL$3:$AL$201,$M159)&gt;0,
     COUNTIFS($AM$3:$AM$201,$M159)&gt;0,
     COUNTIFS($AN$3:$AN$201,$M159)&gt;0,
     COUNTIFS($AO$3:$AO$201,$M159)&gt;0,
     COUNTIFS($AP$3:$AP$201,$M159)&gt;0,
     COUNTIFS($AQ$3:$AQ$201,$M159)&gt;0,
     COUNTIFS($AR$3:$AR$201,$M159)&gt;0,
     COUNTIFS($AS$3:$AS$201,$M159)&gt;0,
     COUNTIFS($AT$3:$AT$201,$M159)&gt;0,
     COUNTIFS($AU$3:$AU$201,$M159)&gt;0,
     COUNTIFS($AV$3:$AV$201,$M159)&gt;0,
     COUNTIFS($AW$3:$AW$201,$M159)&gt;0,
     COUNTIFS($AX$3:$AX$201,$M159)&gt;0
   )),
  ),
  2
 ),
"")</f>
        <v/>
      </c>
      <c r="Q159" s="2" t="str" cm="1">
        <f t="array" aca="1" ref="Q159" ca="1">IFERROR(
 INDEX(
  _xlfn._xlws.FILTER($U$2:$AX$2,
   TRANSPOSE(
    CHOOSE({1;2;3;4;5;6;7;8;9;10;11;12;13;14;15;16;17;18;19;20;21;22;23;24;25;26;27;28;29;30},
     COUNTIFS($U$3:$U$201,$M159)&gt;0,
     COUNTIFS($V$3:$V$201,$M159)&gt;0,
     COUNTIFS($W$3:$W$201,$M159)&gt;0,
     COUNTIFS($X$3:$X$201,$M159)&gt;0,
     COUNTIFS($Y$3:$Y$201,$M159)&gt;0,
     COUNTIFS($Z$3:$Z$201,$M159)&gt;0,
     COUNTIFS($AA$3:$AA$201,$M159)&gt;0,
     COUNTIFS($AB$3:$AB$201,$M159)&gt;0,
     COUNTIFS($AC$3:$AC$201,$M159)&gt;0,
     COUNTIFS($AD$3:$AD$201,$M159)&gt;0,
     COUNTIFS($AE$3:$AE$201,$M159)&gt;0,
     COUNTIFS($AF$3:$AF$201,$M159)&gt;0,
     COUNTIFS($AG$3:$AG$201,$M159)&gt;0,
     COUNTIFS($AH$3:$AH$201,$M159)&gt;0,
     COUNTIFS($AI$3:$AI$201,$M159)&gt;0,
     COUNTIFS($AJ$3:$AJ$201,$M159)&gt;0,
     COUNTIFS($AK$3:$AK$201,$M159)&gt;0,
     COUNTIFS($AL$3:$AL$201,$M159)&gt;0,
     COUNTIFS($AM$3:$AM$201,$M159)&gt;0,
     COUNTIFS($AN$3:$AN$201,$M159)&gt;0,
     COUNTIFS($AO$3:$AO$201,$M159)&gt;0,
     COUNTIFS($AP$3:$AP$201,$M159)&gt;0,
     COUNTIFS($AQ$3:$AQ$201,$M159)&gt;0,
     COUNTIFS($AR$3:$AR$201,$M159)&gt;0,
     COUNTIFS($AS$3:$AS$201,$M159)&gt;0,
     COUNTIFS($AT$3:$AT$201,$M159)&gt;0,
     COUNTIFS($AU$3:$AU$201,$M159)&gt;0,
     COUNTIFS($AV$3:$AV$201,$M159)&gt;0,
     COUNTIFS($AW$3:$AW$201,$M159)&gt;0,
     COUNTIFS($AX$3:$AX$201,$M159)&gt;0
   )),
  ),
  3
 ),
"")</f>
        <v/>
      </c>
      <c r="EO159" t="str">
        <f ca="1"/>
        <v>Watertrap Weaver</v>
      </c>
      <c r="ET159" t="str">
        <f ca="1"/>
        <v>Reclamation Sage</v>
      </c>
      <c r="EW159" t="str">
        <f ca="1"/>
        <v>Realmbreaker, the Invasion Tree</v>
      </c>
    </row>
    <row r="160" spans="1:153" x14ac:dyDescent="0.25">
      <c r="A160" t="str">
        <f ca="1"/>
        <v>Fandaniel, Telophoroi Ascian</v>
      </c>
      <c r="B160" s="2" t="str" cm="1">
        <f t="array" aca="1" ref="B160" ca="1">_xlfn.ANCHORARRAY(RESUMO!C159)</f>
        <v>4cRash</v>
      </c>
      <c r="C160" s="2" t="str">
        <f t="shared" ca="1" si="8"/>
        <v/>
      </c>
      <c r="E160" t="str">
        <f ca="1"/>
        <v>Reaper's Talisman</v>
      </c>
      <c r="F160" s="2">
        <f t="shared" ca="1" si="11"/>
        <v>1</v>
      </c>
      <c r="G160" s="2" t="str">
        <f t="shared" ca="1" si="9"/>
        <v>Carlos</v>
      </c>
      <c r="J160" t="s">
        <v>180</v>
      </c>
      <c r="K160" s="2">
        <v>1</v>
      </c>
      <c r="M160" t="str">
        <f ca="1"/>
        <v>Reaper's Talisman</v>
      </c>
      <c r="N160" s="2">
        <f t="shared" ca="1" si="10"/>
        <v>1</v>
      </c>
      <c r="O160" s="2" t="str">
        <f ca="1">IFERROR(
 INDEX($U$2:$AX$2,
  MATCH(TRUE,
   CHOOSE({1;2;3;4;5;6;7;8;9;10;11;12;13;14;15;16;17;18;19;20;21;22;23;24;25;26;27;28;29;30;31;32},
    COUNTIFS($U$3:$U$201,$M160)&gt;0,
    COUNTIFS($V$3:$V$201,$M160)&gt;0,
    COUNTIFS($W$3:$W$201,$M160)&gt;0,
    COUNTIFS($X$3:$X$201,$M160)&gt;0,
    COUNTIFS($Y$3:$Y$201,$M160)&gt;0,
    COUNTIFS($Z$3:$Z$201,$M160)&gt;0,
    COUNTIFS($AA$3:$AA$201,$M160)&gt;0,
    COUNTIFS($AB$3:$AB$201,$M160)&gt;0,
    COUNTIFS($AC$3:$AC$201,$M160)&gt;0,
    COUNTIFS($AD$3:$AD$201,$M160)&gt;0,
    COUNTIFS($AE$3:$AE$201,$M160)&gt;0,
    COUNTIFS($AF$3:$AF$201,$M160)&gt;0,
    COUNTIFS($AG$3:$AG$201,$M160)&gt;0,
    COUNTIFS($AH$3:$AH$201,$M160)&gt;0,
    COUNTIFS($AI$3:$AI$201,$M160)&gt;0,
    COUNTIFS($AJ$3:$AJ$201,$M160)&gt;0,
    COUNTIFS($AK$3:$AK$201,$M160)&gt;0,
    COUNTIFS($AL$3:$AL$201,$M160)&gt;0,
    COUNTIFS($AM$3:$AM$201,$M160)&gt;0,
    COUNTIFS($AN$3:$AN$201,$M160)&gt;0,
    COUNTIFS($AO$3:$AO$201,$M160)&gt;0,
    COUNTIFS($AP$3:$AP$201,$M160)&gt;0,
    COUNTIFS($AQ$3:$AQ$201,$M160)&gt;0,
    COUNTIFS($AR$3:$AR$201,$M160)&gt;0,
    COUNTIFS($AS$3:$AS$201,$M160)&gt;0,
    COUNTIFS($AT$3:$AT$201,$M160)&gt;0,
    COUNTIFS($AU$3:$AU$201,$M160)&gt;0,
    COUNTIFS($AV$3:$AV$201,$M160)&gt;0,
    COUNTIFS($AW$3:$AW$201,$M160)&gt;0,
    COUNTIFS($AX$3:$AX$201,$M160)&gt;0
   ),
  0)
 ),
"")</f>
        <v>Carlos</v>
      </c>
      <c r="P160" s="2" t="str" cm="1">
        <f t="array" aca="1" ref="P160" ca="1">IFERROR(
 INDEX(
  _xlfn._xlws.FILTER($U$2:$AX$2,
   TRANSPOSE(
    CHOOSE({1;2;3;4;5;6;7;8;9;10;11;12;13;14;15;16;17;18;19;20;21;22;23;24;25;26;27;28;29;30},
     COUNTIFS($U$3:$U$201,$M160)&gt;0,
     COUNTIFS($V$3:$V$201,$M160)&gt;0,
     COUNTIFS($W$3:$W$201,$M160)&gt;0,
     COUNTIFS($X$3:$X$201,$M160)&gt;0,
     COUNTIFS($Y$3:$Y$201,$M160)&gt;0,
     COUNTIFS($Z$3:$Z$201,$M160)&gt;0,
     COUNTIFS($AA$3:$AA$201,$M160)&gt;0,
     COUNTIFS($AB$3:$AB$201,$M160)&gt;0,
     COUNTIFS($AC$3:$AC$201,$M160)&gt;0,
     COUNTIFS($AD$3:$AD$201,$M160)&gt;0,
     COUNTIFS($AE$3:$AE$201,$M160)&gt;0,
     COUNTIFS($AF$3:$AF$201,$M160)&gt;0,
     COUNTIFS($AG$3:$AG$201,$M160)&gt;0,
     COUNTIFS($AH$3:$AH$201,$M160)&gt;0,
     COUNTIFS($AI$3:$AI$201,$M160)&gt;0,
     COUNTIFS($AJ$3:$AJ$201,$M160)&gt;0,
     COUNTIFS($AK$3:$AK$201,$M160)&gt;0,
     COUNTIFS($AL$3:$AL$201,$M160)&gt;0,
     COUNTIFS($AM$3:$AM$201,$M160)&gt;0,
     COUNTIFS($AN$3:$AN$201,$M160)&gt;0,
     COUNTIFS($AO$3:$AO$201,$M160)&gt;0,
     COUNTIFS($AP$3:$AP$201,$M160)&gt;0,
     COUNTIFS($AQ$3:$AQ$201,$M160)&gt;0,
     COUNTIFS($AR$3:$AR$201,$M160)&gt;0,
     COUNTIFS($AS$3:$AS$201,$M160)&gt;0,
     COUNTIFS($AT$3:$AT$201,$M160)&gt;0,
     COUNTIFS($AU$3:$AU$201,$M160)&gt;0,
     COUNTIFS($AV$3:$AV$201,$M160)&gt;0,
     COUNTIFS($AW$3:$AW$201,$M160)&gt;0,
     COUNTIFS($AX$3:$AX$201,$M160)&gt;0
   )),
  ),
  2
 ),
"")</f>
        <v/>
      </c>
      <c r="Q160" s="2" t="str" cm="1">
        <f t="array" aca="1" ref="Q160" ca="1">IFERROR(
 INDEX(
  _xlfn._xlws.FILTER($U$2:$AX$2,
   TRANSPOSE(
    CHOOSE({1;2;3;4;5;6;7;8;9;10;11;12;13;14;15;16;17;18;19;20;21;22;23;24;25;26;27;28;29;30},
     COUNTIFS($U$3:$U$201,$M160)&gt;0,
     COUNTIFS($V$3:$V$201,$M160)&gt;0,
     COUNTIFS($W$3:$W$201,$M160)&gt;0,
     COUNTIFS($X$3:$X$201,$M160)&gt;0,
     COUNTIFS($Y$3:$Y$201,$M160)&gt;0,
     COUNTIFS($Z$3:$Z$201,$M160)&gt;0,
     COUNTIFS($AA$3:$AA$201,$M160)&gt;0,
     COUNTIFS($AB$3:$AB$201,$M160)&gt;0,
     COUNTIFS($AC$3:$AC$201,$M160)&gt;0,
     COUNTIFS($AD$3:$AD$201,$M160)&gt;0,
     COUNTIFS($AE$3:$AE$201,$M160)&gt;0,
     COUNTIFS($AF$3:$AF$201,$M160)&gt;0,
     COUNTIFS($AG$3:$AG$201,$M160)&gt;0,
     COUNTIFS($AH$3:$AH$201,$M160)&gt;0,
     COUNTIFS($AI$3:$AI$201,$M160)&gt;0,
     COUNTIFS($AJ$3:$AJ$201,$M160)&gt;0,
     COUNTIFS($AK$3:$AK$201,$M160)&gt;0,
     COUNTIFS($AL$3:$AL$201,$M160)&gt;0,
     COUNTIFS($AM$3:$AM$201,$M160)&gt;0,
     COUNTIFS($AN$3:$AN$201,$M160)&gt;0,
     COUNTIFS($AO$3:$AO$201,$M160)&gt;0,
     COUNTIFS($AP$3:$AP$201,$M160)&gt;0,
     COUNTIFS($AQ$3:$AQ$201,$M160)&gt;0,
     COUNTIFS($AR$3:$AR$201,$M160)&gt;0,
     COUNTIFS($AS$3:$AS$201,$M160)&gt;0,
     COUNTIFS($AT$3:$AT$201,$M160)&gt;0,
     COUNTIFS($AU$3:$AU$201,$M160)&gt;0,
     COUNTIFS($AV$3:$AV$201,$M160)&gt;0,
     COUNTIFS($AW$3:$AW$201,$M160)&gt;0,
     COUNTIFS($AX$3:$AX$201,$M160)&gt;0
   )),
  ),
  3
 ),
"")</f>
        <v/>
      </c>
      <c r="EO160" t="str">
        <f ca="1"/>
        <v>Wayfarrer's Bauble</v>
      </c>
      <c r="ET160" t="str">
        <f ca="1"/>
        <v>Repudiate // Replicate</v>
      </c>
      <c r="EW160" t="str">
        <f ca="1"/>
        <v>Reaper's Talisman</v>
      </c>
    </row>
    <row r="161" spans="1:153" x14ac:dyDescent="0.25">
      <c r="A161" t="str">
        <f ca="1"/>
        <v>Farhaven Elf</v>
      </c>
      <c r="B161" s="2" t="str" cm="1">
        <f t="array" aca="1" ref="B161" ca="1">_xlfn.ANCHORARRAY(RESUMO!C160)</f>
        <v>Tayam</v>
      </c>
      <c r="C161" s="2" t="str">
        <f t="shared" ca="1" si="8"/>
        <v/>
      </c>
      <c r="E161" t="str">
        <f ca="1"/>
        <v>Rebbec, Architect of Ascension</v>
      </c>
      <c r="F161" s="2">
        <f t="shared" ca="1" si="11"/>
        <v>1</v>
      </c>
      <c r="G161" s="2" t="str">
        <f t="shared" ca="1" si="9"/>
        <v>Akiri</v>
      </c>
      <c r="J161" t="s">
        <v>180</v>
      </c>
      <c r="K161" s="2">
        <v>1</v>
      </c>
      <c r="M161" t="str">
        <f ca="1"/>
        <v>Rebbec, Architect of Ascension</v>
      </c>
      <c r="N161" s="2">
        <f t="shared" ca="1" si="10"/>
        <v>1</v>
      </c>
      <c r="O161" s="2" t="str">
        <f ca="1">IFERROR(
 INDEX($U$2:$AX$2,
  MATCH(TRUE,
   CHOOSE({1;2;3;4;5;6;7;8;9;10;11;12;13;14;15;16;17;18;19;20;21;22;23;24;25;26;27;28;29;30;31;32},
    COUNTIFS($U$3:$U$201,$M161)&gt;0,
    COUNTIFS($V$3:$V$201,$M161)&gt;0,
    COUNTIFS($W$3:$W$201,$M161)&gt;0,
    COUNTIFS($X$3:$X$201,$M161)&gt;0,
    COUNTIFS($Y$3:$Y$201,$M161)&gt;0,
    COUNTIFS($Z$3:$Z$201,$M161)&gt;0,
    COUNTIFS($AA$3:$AA$201,$M161)&gt;0,
    COUNTIFS($AB$3:$AB$201,$M161)&gt;0,
    COUNTIFS($AC$3:$AC$201,$M161)&gt;0,
    COUNTIFS($AD$3:$AD$201,$M161)&gt;0,
    COUNTIFS($AE$3:$AE$201,$M161)&gt;0,
    COUNTIFS($AF$3:$AF$201,$M161)&gt;0,
    COUNTIFS($AG$3:$AG$201,$M161)&gt;0,
    COUNTIFS($AH$3:$AH$201,$M161)&gt;0,
    COUNTIFS($AI$3:$AI$201,$M161)&gt;0,
    COUNTIFS($AJ$3:$AJ$201,$M161)&gt;0,
    COUNTIFS($AK$3:$AK$201,$M161)&gt;0,
    COUNTIFS($AL$3:$AL$201,$M161)&gt;0,
    COUNTIFS($AM$3:$AM$201,$M161)&gt;0,
    COUNTIFS($AN$3:$AN$201,$M161)&gt;0,
    COUNTIFS($AO$3:$AO$201,$M161)&gt;0,
    COUNTIFS($AP$3:$AP$201,$M161)&gt;0,
    COUNTIFS($AQ$3:$AQ$201,$M161)&gt;0,
    COUNTIFS($AR$3:$AR$201,$M161)&gt;0,
    COUNTIFS($AS$3:$AS$201,$M161)&gt;0,
    COUNTIFS($AT$3:$AT$201,$M161)&gt;0,
    COUNTIFS($AU$3:$AU$201,$M161)&gt;0,
    COUNTIFS($AV$3:$AV$201,$M161)&gt;0,
    COUNTIFS($AW$3:$AW$201,$M161)&gt;0,
    COUNTIFS($AX$3:$AX$201,$M161)&gt;0
   ),
  0)
 ),
"")</f>
        <v>Akiri</v>
      </c>
      <c r="P161" s="2" t="str" cm="1">
        <f t="array" aca="1" ref="P161" ca="1">IFERROR(
 INDEX(
  _xlfn._xlws.FILTER($U$2:$AX$2,
   TRANSPOSE(
    CHOOSE({1;2;3;4;5;6;7;8;9;10;11;12;13;14;15;16;17;18;19;20;21;22;23;24;25;26;27;28;29;30},
     COUNTIFS($U$3:$U$201,$M161)&gt;0,
     COUNTIFS($V$3:$V$201,$M161)&gt;0,
     COUNTIFS($W$3:$W$201,$M161)&gt;0,
     COUNTIFS($X$3:$X$201,$M161)&gt;0,
     COUNTIFS($Y$3:$Y$201,$M161)&gt;0,
     COUNTIFS($Z$3:$Z$201,$M161)&gt;0,
     COUNTIFS($AA$3:$AA$201,$M161)&gt;0,
     COUNTIFS($AB$3:$AB$201,$M161)&gt;0,
     COUNTIFS($AC$3:$AC$201,$M161)&gt;0,
     COUNTIFS($AD$3:$AD$201,$M161)&gt;0,
     COUNTIFS($AE$3:$AE$201,$M161)&gt;0,
     COUNTIFS($AF$3:$AF$201,$M161)&gt;0,
     COUNTIFS($AG$3:$AG$201,$M161)&gt;0,
     COUNTIFS($AH$3:$AH$201,$M161)&gt;0,
     COUNTIFS($AI$3:$AI$201,$M161)&gt;0,
     COUNTIFS($AJ$3:$AJ$201,$M161)&gt;0,
     COUNTIFS($AK$3:$AK$201,$M161)&gt;0,
     COUNTIFS($AL$3:$AL$201,$M161)&gt;0,
     COUNTIFS($AM$3:$AM$201,$M161)&gt;0,
     COUNTIFS($AN$3:$AN$201,$M161)&gt;0,
     COUNTIFS($AO$3:$AO$201,$M161)&gt;0,
     COUNTIFS($AP$3:$AP$201,$M161)&gt;0,
     COUNTIFS($AQ$3:$AQ$201,$M161)&gt;0,
     COUNTIFS($AR$3:$AR$201,$M161)&gt;0,
     COUNTIFS($AS$3:$AS$201,$M161)&gt;0,
     COUNTIFS($AT$3:$AT$201,$M161)&gt;0,
     COUNTIFS($AU$3:$AU$201,$M161)&gt;0,
     COUNTIFS($AV$3:$AV$201,$M161)&gt;0,
     COUNTIFS($AW$3:$AW$201,$M161)&gt;0,
     COUNTIFS($AX$3:$AX$201,$M161)&gt;0
   )),
  ),
  2
 ),
"")</f>
        <v/>
      </c>
      <c r="Q161" s="2" t="str" cm="1">
        <f t="array" aca="1" ref="Q161" ca="1">IFERROR(
 INDEX(
  _xlfn._xlws.FILTER($U$2:$AX$2,
   TRANSPOSE(
    CHOOSE({1;2;3;4;5;6;7;8;9;10;11;12;13;14;15;16;17;18;19;20;21;22;23;24;25;26;27;28;29;30},
     COUNTIFS($U$3:$U$201,$M161)&gt;0,
     COUNTIFS($V$3:$V$201,$M161)&gt;0,
     COUNTIFS($W$3:$W$201,$M161)&gt;0,
     COUNTIFS($X$3:$X$201,$M161)&gt;0,
     COUNTIFS($Y$3:$Y$201,$M161)&gt;0,
     COUNTIFS($Z$3:$Z$201,$M161)&gt;0,
     COUNTIFS($AA$3:$AA$201,$M161)&gt;0,
     COUNTIFS($AB$3:$AB$201,$M161)&gt;0,
     COUNTIFS($AC$3:$AC$201,$M161)&gt;0,
     COUNTIFS($AD$3:$AD$201,$M161)&gt;0,
     COUNTIFS($AE$3:$AE$201,$M161)&gt;0,
     COUNTIFS($AF$3:$AF$201,$M161)&gt;0,
     COUNTIFS($AG$3:$AG$201,$M161)&gt;0,
     COUNTIFS($AH$3:$AH$201,$M161)&gt;0,
     COUNTIFS($AI$3:$AI$201,$M161)&gt;0,
     COUNTIFS($AJ$3:$AJ$201,$M161)&gt;0,
     COUNTIFS($AK$3:$AK$201,$M161)&gt;0,
     COUNTIFS($AL$3:$AL$201,$M161)&gt;0,
     COUNTIFS($AM$3:$AM$201,$M161)&gt;0,
     COUNTIFS($AN$3:$AN$201,$M161)&gt;0,
     COUNTIFS($AO$3:$AO$201,$M161)&gt;0,
     COUNTIFS($AP$3:$AP$201,$M161)&gt;0,
     COUNTIFS($AQ$3:$AQ$201,$M161)&gt;0,
     COUNTIFS($AR$3:$AR$201,$M161)&gt;0,
     COUNTIFS($AS$3:$AS$201,$M161)&gt;0,
     COUNTIFS($AT$3:$AT$201,$M161)&gt;0,
     COUNTIFS($AU$3:$AU$201,$M161)&gt;0,
     COUNTIFS($AV$3:$AV$201,$M161)&gt;0,
     COUNTIFS($AW$3:$AW$201,$M161)&gt;0,
     COUNTIFS($AX$3:$AX$201,$M161)&gt;0
   )),
  ),
  3
 ),
"")</f>
        <v/>
      </c>
      <c r="EO161" t="str">
        <f ca="1"/>
        <v>Whelming Wave</v>
      </c>
      <c r="ET161" t="str">
        <f ca="1"/>
        <v>Retreat to Hagra</v>
      </c>
      <c r="EW161" t="str">
        <f ca="1"/>
        <v>Rebbec, Architect of Ascension</v>
      </c>
    </row>
    <row r="162" spans="1:153" x14ac:dyDescent="0.25">
      <c r="A162" t="str">
        <f ca="1"/>
        <v>Farmer Cotton</v>
      </c>
      <c r="B162" s="2" t="str" cm="1">
        <f t="array" aca="1" ref="B162" ca="1">_xlfn.ANCHORARRAY(RESUMO!C161)</f>
        <v>Baylen</v>
      </c>
      <c r="C162" s="2" t="str">
        <f t="shared" ca="1" si="8"/>
        <v/>
      </c>
      <c r="E162" t="str">
        <f ca="1"/>
        <v>Reclaim</v>
      </c>
      <c r="F162" s="2">
        <f t="shared" ca="1" si="11"/>
        <v>1</v>
      </c>
      <c r="G162" s="2" t="str">
        <f t="shared" ca="1" si="9"/>
        <v>Gritrog</v>
      </c>
      <c r="J162" t="s">
        <v>180</v>
      </c>
      <c r="K162" s="2">
        <v>1</v>
      </c>
      <c r="M162" t="str">
        <f ca="1"/>
        <v>Reclaim</v>
      </c>
      <c r="N162" s="2">
        <f t="shared" ca="1" si="10"/>
        <v>1</v>
      </c>
      <c r="O162" s="2" t="str">
        <f ca="1">IFERROR(
 INDEX($U$2:$AX$2,
  MATCH(TRUE,
   CHOOSE({1;2;3;4;5;6;7;8;9;10;11;12;13;14;15;16;17;18;19;20;21;22;23;24;25;26;27;28;29;30;31;32},
    COUNTIFS($U$3:$U$201,$M162)&gt;0,
    COUNTIFS($V$3:$V$201,$M162)&gt;0,
    COUNTIFS($W$3:$W$201,$M162)&gt;0,
    COUNTIFS($X$3:$X$201,$M162)&gt;0,
    COUNTIFS($Y$3:$Y$201,$M162)&gt;0,
    COUNTIFS($Z$3:$Z$201,$M162)&gt;0,
    COUNTIFS($AA$3:$AA$201,$M162)&gt;0,
    COUNTIFS($AB$3:$AB$201,$M162)&gt;0,
    COUNTIFS($AC$3:$AC$201,$M162)&gt;0,
    COUNTIFS($AD$3:$AD$201,$M162)&gt;0,
    COUNTIFS($AE$3:$AE$201,$M162)&gt;0,
    COUNTIFS($AF$3:$AF$201,$M162)&gt;0,
    COUNTIFS($AG$3:$AG$201,$M162)&gt;0,
    COUNTIFS($AH$3:$AH$201,$M162)&gt;0,
    COUNTIFS($AI$3:$AI$201,$M162)&gt;0,
    COUNTIFS($AJ$3:$AJ$201,$M162)&gt;0,
    COUNTIFS($AK$3:$AK$201,$M162)&gt;0,
    COUNTIFS($AL$3:$AL$201,$M162)&gt;0,
    COUNTIFS($AM$3:$AM$201,$M162)&gt;0,
    COUNTIFS($AN$3:$AN$201,$M162)&gt;0,
    COUNTIFS($AO$3:$AO$201,$M162)&gt;0,
    COUNTIFS($AP$3:$AP$201,$M162)&gt;0,
    COUNTIFS($AQ$3:$AQ$201,$M162)&gt;0,
    COUNTIFS($AR$3:$AR$201,$M162)&gt;0,
    COUNTIFS($AS$3:$AS$201,$M162)&gt;0,
    COUNTIFS($AT$3:$AT$201,$M162)&gt;0,
    COUNTIFS($AU$3:$AU$201,$M162)&gt;0,
    COUNTIFS($AV$3:$AV$201,$M162)&gt;0,
    COUNTIFS($AW$3:$AW$201,$M162)&gt;0,
    COUNTIFS($AX$3:$AX$201,$M162)&gt;0
   ),
  0)
 ),
"")</f>
        <v>Gritrog</v>
      </c>
      <c r="P162" s="2" t="str" cm="1">
        <f t="array" aca="1" ref="P162" ca="1">IFERROR(
 INDEX(
  _xlfn._xlws.FILTER($U$2:$AX$2,
   TRANSPOSE(
    CHOOSE({1;2;3;4;5;6;7;8;9;10;11;12;13;14;15;16;17;18;19;20;21;22;23;24;25;26;27;28;29;30},
     COUNTIFS($U$3:$U$201,$M162)&gt;0,
     COUNTIFS($V$3:$V$201,$M162)&gt;0,
     COUNTIFS($W$3:$W$201,$M162)&gt;0,
     COUNTIFS($X$3:$X$201,$M162)&gt;0,
     COUNTIFS($Y$3:$Y$201,$M162)&gt;0,
     COUNTIFS($Z$3:$Z$201,$M162)&gt;0,
     COUNTIFS($AA$3:$AA$201,$M162)&gt;0,
     COUNTIFS($AB$3:$AB$201,$M162)&gt;0,
     COUNTIFS($AC$3:$AC$201,$M162)&gt;0,
     COUNTIFS($AD$3:$AD$201,$M162)&gt;0,
     COUNTIFS($AE$3:$AE$201,$M162)&gt;0,
     COUNTIFS($AF$3:$AF$201,$M162)&gt;0,
     COUNTIFS($AG$3:$AG$201,$M162)&gt;0,
     COUNTIFS($AH$3:$AH$201,$M162)&gt;0,
     COUNTIFS($AI$3:$AI$201,$M162)&gt;0,
     COUNTIFS($AJ$3:$AJ$201,$M162)&gt;0,
     COUNTIFS($AK$3:$AK$201,$M162)&gt;0,
     COUNTIFS($AL$3:$AL$201,$M162)&gt;0,
     COUNTIFS($AM$3:$AM$201,$M162)&gt;0,
     COUNTIFS($AN$3:$AN$201,$M162)&gt;0,
     COUNTIFS($AO$3:$AO$201,$M162)&gt;0,
     COUNTIFS($AP$3:$AP$201,$M162)&gt;0,
     COUNTIFS($AQ$3:$AQ$201,$M162)&gt;0,
     COUNTIFS($AR$3:$AR$201,$M162)&gt;0,
     COUNTIFS($AS$3:$AS$201,$M162)&gt;0,
     COUNTIFS($AT$3:$AT$201,$M162)&gt;0,
     COUNTIFS($AU$3:$AU$201,$M162)&gt;0,
     COUNTIFS($AV$3:$AV$201,$M162)&gt;0,
     COUNTIFS($AW$3:$AW$201,$M162)&gt;0,
     COUNTIFS($AX$3:$AX$201,$M162)&gt;0
   )),
  ),
  2
 ),
"")</f>
        <v/>
      </c>
      <c r="Q162" s="2" t="str" cm="1">
        <f t="array" aca="1" ref="Q162" ca="1">IFERROR(
 INDEX(
  _xlfn._xlws.FILTER($U$2:$AX$2,
   TRANSPOSE(
    CHOOSE({1;2;3;4;5;6;7;8;9;10;11;12;13;14;15;16;17;18;19;20;21;22;23;24;25;26;27;28;29;30},
     COUNTIFS($U$3:$U$201,$M162)&gt;0,
     COUNTIFS($V$3:$V$201,$M162)&gt;0,
     COUNTIFS($W$3:$W$201,$M162)&gt;0,
     COUNTIFS($X$3:$X$201,$M162)&gt;0,
     COUNTIFS($Y$3:$Y$201,$M162)&gt;0,
     COUNTIFS($Z$3:$Z$201,$M162)&gt;0,
     COUNTIFS($AA$3:$AA$201,$M162)&gt;0,
     COUNTIFS($AB$3:$AB$201,$M162)&gt;0,
     COUNTIFS($AC$3:$AC$201,$M162)&gt;0,
     COUNTIFS($AD$3:$AD$201,$M162)&gt;0,
     COUNTIFS($AE$3:$AE$201,$M162)&gt;0,
     COUNTIFS($AF$3:$AF$201,$M162)&gt;0,
     COUNTIFS($AG$3:$AG$201,$M162)&gt;0,
     COUNTIFS($AH$3:$AH$201,$M162)&gt;0,
     COUNTIFS($AI$3:$AI$201,$M162)&gt;0,
     COUNTIFS($AJ$3:$AJ$201,$M162)&gt;0,
     COUNTIFS($AK$3:$AK$201,$M162)&gt;0,
     COUNTIFS($AL$3:$AL$201,$M162)&gt;0,
     COUNTIFS($AM$3:$AM$201,$M162)&gt;0,
     COUNTIFS($AN$3:$AN$201,$M162)&gt;0,
     COUNTIFS($AO$3:$AO$201,$M162)&gt;0,
     COUNTIFS($AP$3:$AP$201,$M162)&gt;0,
     COUNTIFS($AQ$3:$AQ$201,$M162)&gt;0,
     COUNTIFS($AR$3:$AR$201,$M162)&gt;0,
     COUNTIFS($AS$3:$AS$201,$M162)&gt;0,
     COUNTIFS($AT$3:$AT$201,$M162)&gt;0,
     COUNTIFS($AU$3:$AU$201,$M162)&gt;0,
     COUNTIFS($AV$3:$AV$201,$M162)&gt;0,
     COUNTIFS($AW$3:$AW$201,$M162)&gt;0,
     COUNTIFS($AX$3:$AX$201,$M162)&gt;0
   )),
  ),
  3
 ),
"")</f>
        <v/>
      </c>
      <c r="EO162" t="str">
        <f ca="1"/>
        <v>World Shaper</v>
      </c>
      <c r="ET162" t="str">
        <f ca="1"/>
        <v>Ritual of Soot</v>
      </c>
      <c r="EW162" t="str">
        <f ca="1"/>
        <v>Reclaim</v>
      </c>
    </row>
    <row r="163" spans="1:153" x14ac:dyDescent="0.25">
      <c r="A163" t="str">
        <f ca="1"/>
        <v>Felidar Guardian</v>
      </c>
      <c r="B163" s="2" t="str" cm="1">
        <f t="array" aca="1" ref="B163" ca="1">_xlfn.ANCHORARRAY(RESUMO!C162)</f>
        <v>Yorion</v>
      </c>
      <c r="C163" s="2" t="str">
        <f t="shared" ca="1" si="8"/>
        <v/>
      </c>
      <c r="E163" t="str">
        <f ca="1"/>
        <v>Reclamation Sage</v>
      </c>
      <c r="F163" s="2">
        <f t="shared" ca="1" si="11"/>
        <v>1</v>
      </c>
      <c r="G163" s="2" t="str">
        <f t="shared" ca="1" si="9"/>
        <v>Elfos</v>
      </c>
      <c r="J163" t="s">
        <v>180</v>
      </c>
      <c r="K163" s="2">
        <v>1</v>
      </c>
      <c r="M163" t="str">
        <f ca="1"/>
        <v>Reclamation Sage</v>
      </c>
      <c r="N163" s="2">
        <f t="shared" ca="1" si="10"/>
        <v>1</v>
      </c>
      <c r="O163" s="2" t="str">
        <f ca="1">IFERROR(
 INDEX($U$2:$AX$2,
  MATCH(TRUE,
   CHOOSE({1;2;3;4;5;6;7;8;9;10;11;12;13;14;15;16;17;18;19;20;21;22;23;24;25;26;27;28;29;30;31;32},
    COUNTIFS($U$3:$U$201,$M163)&gt;0,
    COUNTIFS($V$3:$V$201,$M163)&gt;0,
    COUNTIFS($W$3:$W$201,$M163)&gt;0,
    COUNTIFS($X$3:$X$201,$M163)&gt;0,
    COUNTIFS($Y$3:$Y$201,$M163)&gt;0,
    COUNTIFS($Z$3:$Z$201,$M163)&gt;0,
    COUNTIFS($AA$3:$AA$201,$M163)&gt;0,
    COUNTIFS($AB$3:$AB$201,$M163)&gt;0,
    COUNTIFS($AC$3:$AC$201,$M163)&gt;0,
    COUNTIFS($AD$3:$AD$201,$M163)&gt;0,
    COUNTIFS($AE$3:$AE$201,$M163)&gt;0,
    COUNTIFS($AF$3:$AF$201,$M163)&gt;0,
    COUNTIFS($AG$3:$AG$201,$M163)&gt;0,
    COUNTIFS($AH$3:$AH$201,$M163)&gt;0,
    COUNTIFS($AI$3:$AI$201,$M163)&gt;0,
    COUNTIFS($AJ$3:$AJ$201,$M163)&gt;0,
    COUNTIFS($AK$3:$AK$201,$M163)&gt;0,
    COUNTIFS($AL$3:$AL$201,$M163)&gt;0,
    COUNTIFS($AM$3:$AM$201,$M163)&gt;0,
    COUNTIFS($AN$3:$AN$201,$M163)&gt;0,
    COUNTIFS($AO$3:$AO$201,$M163)&gt;0,
    COUNTIFS($AP$3:$AP$201,$M163)&gt;0,
    COUNTIFS($AQ$3:$AQ$201,$M163)&gt;0,
    COUNTIFS($AR$3:$AR$201,$M163)&gt;0,
    COUNTIFS($AS$3:$AS$201,$M163)&gt;0,
    COUNTIFS($AT$3:$AT$201,$M163)&gt;0,
    COUNTIFS($AU$3:$AU$201,$M163)&gt;0,
    COUNTIFS($AV$3:$AV$201,$M163)&gt;0,
    COUNTIFS($AW$3:$AW$201,$M163)&gt;0,
    COUNTIFS($AX$3:$AX$201,$M163)&gt;0
   ),
  0)
 ),
"")</f>
        <v>Elfos</v>
      </c>
      <c r="P163" s="2" t="str" cm="1">
        <f t="array" aca="1" ref="P163" ca="1">IFERROR(
 INDEX(
  _xlfn._xlws.FILTER($U$2:$AX$2,
   TRANSPOSE(
    CHOOSE({1;2;3;4;5;6;7;8;9;10;11;12;13;14;15;16;17;18;19;20;21;22;23;24;25;26;27;28;29;30},
     COUNTIFS($U$3:$U$201,$M163)&gt;0,
     COUNTIFS($V$3:$V$201,$M163)&gt;0,
     COUNTIFS($W$3:$W$201,$M163)&gt;0,
     COUNTIFS($X$3:$X$201,$M163)&gt;0,
     COUNTIFS($Y$3:$Y$201,$M163)&gt;0,
     COUNTIFS($Z$3:$Z$201,$M163)&gt;0,
     COUNTIFS($AA$3:$AA$201,$M163)&gt;0,
     COUNTIFS($AB$3:$AB$201,$M163)&gt;0,
     COUNTIFS($AC$3:$AC$201,$M163)&gt;0,
     COUNTIFS($AD$3:$AD$201,$M163)&gt;0,
     COUNTIFS($AE$3:$AE$201,$M163)&gt;0,
     COUNTIFS($AF$3:$AF$201,$M163)&gt;0,
     COUNTIFS($AG$3:$AG$201,$M163)&gt;0,
     COUNTIFS($AH$3:$AH$201,$M163)&gt;0,
     COUNTIFS($AI$3:$AI$201,$M163)&gt;0,
     COUNTIFS($AJ$3:$AJ$201,$M163)&gt;0,
     COUNTIFS($AK$3:$AK$201,$M163)&gt;0,
     COUNTIFS($AL$3:$AL$201,$M163)&gt;0,
     COUNTIFS($AM$3:$AM$201,$M163)&gt;0,
     COUNTIFS($AN$3:$AN$201,$M163)&gt;0,
     COUNTIFS($AO$3:$AO$201,$M163)&gt;0,
     COUNTIFS($AP$3:$AP$201,$M163)&gt;0,
     COUNTIFS($AQ$3:$AQ$201,$M163)&gt;0,
     COUNTIFS($AR$3:$AR$201,$M163)&gt;0,
     COUNTIFS($AS$3:$AS$201,$M163)&gt;0,
     COUNTIFS($AT$3:$AT$201,$M163)&gt;0,
     COUNTIFS($AU$3:$AU$201,$M163)&gt;0,
     COUNTIFS($AV$3:$AV$201,$M163)&gt;0,
     COUNTIFS($AW$3:$AW$201,$M163)&gt;0,
     COUNTIFS($AX$3:$AX$201,$M163)&gt;0
   )),
  ),
  2
 ),
"")</f>
        <v/>
      </c>
      <c r="Q163" s="2" t="str" cm="1">
        <f t="array" aca="1" ref="Q163" ca="1">IFERROR(
 INDEX(
  _xlfn._xlws.FILTER($U$2:$AX$2,
   TRANSPOSE(
    CHOOSE({1;2;3;4;5;6;7;8;9;10;11;12;13;14;15;16;17;18;19;20;21;22;23;24;25;26;27;28;29;30},
     COUNTIFS($U$3:$U$201,$M163)&gt;0,
     COUNTIFS($V$3:$V$201,$M163)&gt;0,
     COUNTIFS($W$3:$W$201,$M163)&gt;0,
     COUNTIFS($X$3:$X$201,$M163)&gt;0,
     COUNTIFS($Y$3:$Y$201,$M163)&gt;0,
     COUNTIFS($Z$3:$Z$201,$M163)&gt;0,
     COUNTIFS($AA$3:$AA$201,$M163)&gt;0,
     COUNTIFS($AB$3:$AB$201,$M163)&gt;0,
     COUNTIFS($AC$3:$AC$201,$M163)&gt;0,
     COUNTIFS($AD$3:$AD$201,$M163)&gt;0,
     COUNTIFS($AE$3:$AE$201,$M163)&gt;0,
     COUNTIFS($AF$3:$AF$201,$M163)&gt;0,
     COUNTIFS($AG$3:$AG$201,$M163)&gt;0,
     COUNTIFS($AH$3:$AH$201,$M163)&gt;0,
     COUNTIFS($AI$3:$AI$201,$M163)&gt;0,
     COUNTIFS($AJ$3:$AJ$201,$M163)&gt;0,
     COUNTIFS($AK$3:$AK$201,$M163)&gt;0,
     COUNTIFS($AL$3:$AL$201,$M163)&gt;0,
     COUNTIFS($AM$3:$AM$201,$M163)&gt;0,
     COUNTIFS($AN$3:$AN$201,$M163)&gt;0,
     COUNTIFS($AO$3:$AO$201,$M163)&gt;0,
     COUNTIFS($AP$3:$AP$201,$M163)&gt;0,
     COUNTIFS($AQ$3:$AQ$201,$M163)&gt;0,
     COUNTIFS($AR$3:$AR$201,$M163)&gt;0,
     COUNTIFS($AS$3:$AS$201,$M163)&gt;0,
     COUNTIFS($AT$3:$AT$201,$M163)&gt;0,
     COUNTIFS($AU$3:$AU$201,$M163)&gt;0,
     COUNTIFS($AV$3:$AV$201,$M163)&gt;0,
     COUNTIFS($AW$3:$AW$201,$M163)&gt;0,
     COUNTIFS($AX$3:$AX$201,$M163)&gt;0
   )),
  ),
  3
 ),
"")</f>
        <v/>
      </c>
      <c r="EO163" t="str">
        <f ca="1"/>
        <v>Worn Powerstone</v>
      </c>
      <c r="ET163" t="str">
        <f ca="1"/>
        <v>Roilling Regrowth</v>
      </c>
      <c r="EW163" t="str">
        <f ca="1"/>
        <v>Reclamation Sage</v>
      </c>
    </row>
    <row r="164" spans="1:153" x14ac:dyDescent="0.25">
      <c r="A164" t="str">
        <f ca="1"/>
        <v>Filigree Vector</v>
      </c>
      <c r="B164" s="2" t="str" cm="1">
        <f t="array" aca="1" ref="B164" ca="1">_xlfn.ANCHORARRAY(RESUMO!C163)</f>
        <v>Modular</v>
      </c>
      <c r="C164" s="2" t="str">
        <f t="shared" ca="1" si="8"/>
        <v/>
      </c>
      <c r="E164" t="str">
        <f ca="1"/>
        <v>Repudiate // Replicate</v>
      </c>
      <c r="F164" s="2">
        <f t="shared" ca="1" si="11"/>
        <v>1</v>
      </c>
      <c r="G164" s="2" t="str">
        <f t="shared" ca="1" si="9"/>
        <v>Kumena</v>
      </c>
      <c r="J164" t="s">
        <v>180</v>
      </c>
      <c r="K164" s="2">
        <v>1</v>
      </c>
      <c r="M164" t="str">
        <f ca="1"/>
        <v>Repudiate // Replicate</v>
      </c>
      <c r="N164" s="2">
        <f t="shared" ca="1" si="10"/>
        <v>1</v>
      </c>
      <c r="O164" s="2" t="str">
        <f ca="1">IFERROR(
 INDEX($U$2:$AX$2,
  MATCH(TRUE,
   CHOOSE({1;2;3;4;5;6;7;8;9;10;11;12;13;14;15;16;17;18;19;20;21;22;23;24;25;26;27;28;29;30;31;32},
    COUNTIFS($U$3:$U$201,$M164)&gt;0,
    COUNTIFS($V$3:$V$201,$M164)&gt;0,
    COUNTIFS($W$3:$W$201,$M164)&gt;0,
    COUNTIFS($X$3:$X$201,$M164)&gt;0,
    COUNTIFS($Y$3:$Y$201,$M164)&gt;0,
    COUNTIFS($Z$3:$Z$201,$M164)&gt;0,
    COUNTIFS($AA$3:$AA$201,$M164)&gt;0,
    COUNTIFS($AB$3:$AB$201,$M164)&gt;0,
    COUNTIFS($AC$3:$AC$201,$M164)&gt;0,
    COUNTIFS($AD$3:$AD$201,$M164)&gt;0,
    COUNTIFS($AE$3:$AE$201,$M164)&gt;0,
    COUNTIFS($AF$3:$AF$201,$M164)&gt;0,
    COUNTIFS($AG$3:$AG$201,$M164)&gt;0,
    COUNTIFS($AH$3:$AH$201,$M164)&gt;0,
    COUNTIFS($AI$3:$AI$201,$M164)&gt;0,
    COUNTIFS($AJ$3:$AJ$201,$M164)&gt;0,
    COUNTIFS($AK$3:$AK$201,$M164)&gt;0,
    COUNTIFS($AL$3:$AL$201,$M164)&gt;0,
    COUNTIFS($AM$3:$AM$201,$M164)&gt;0,
    COUNTIFS($AN$3:$AN$201,$M164)&gt;0,
    COUNTIFS($AO$3:$AO$201,$M164)&gt;0,
    COUNTIFS($AP$3:$AP$201,$M164)&gt;0,
    COUNTIFS($AQ$3:$AQ$201,$M164)&gt;0,
    COUNTIFS($AR$3:$AR$201,$M164)&gt;0,
    COUNTIFS($AS$3:$AS$201,$M164)&gt;0,
    COUNTIFS($AT$3:$AT$201,$M164)&gt;0,
    COUNTIFS($AU$3:$AU$201,$M164)&gt;0,
    COUNTIFS($AV$3:$AV$201,$M164)&gt;0,
    COUNTIFS($AW$3:$AW$201,$M164)&gt;0,
    COUNTIFS($AX$3:$AX$201,$M164)&gt;0
   ),
  0)
 ),
"")</f>
        <v>Kumena</v>
      </c>
      <c r="P164" s="2" t="str" cm="1">
        <f t="array" aca="1" ref="P164" ca="1">IFERROR(
 INDEX(
  _xlfn._xlws.FILTER($U$2:$AX$2,
   TRANSPOSE(
    CHOOSE({1;2;3;4;5;6;7;8;9;10;11;12;13;14;15;16;17;18;19;20;21;22;23;24;25;26;27;28;29;30},
     COUNTIFS($U$3:$U$201,$M164)&gt;0,
     COUNTIFS($V$3:$V$201,$M164)&gt;0,
     COUNTIFS($W$3:$W$201,$M164)&gt;0,
     COUNTIFS($X$3:$X$201,$M164)&gt;0,
     COUNTIFS($Y$3:$Y$201,$M164)&gt;0,
     COUNTIFS($Z$3:$Z$201,$M164)&gt;0,
     COUNTIFS($AA$3:$AA$201,$M164)&gt;0,
     COUNTIFS($AB$3:$AB$201,$M164)&gt;0,
     COUNTIFS($AC$3:$AC$201,$M164)&gt;0,
     COUNTIFS($AD$3:$AD$201,$M164)&gt;0,
     COUNTIFS($AE$3:$AE$201,$M164)&gt;0,
     COUNTIFS($AF$3:$AF$201,$M164)&gt;0,
     COUNTIFS($AG$3:$AG$201,$M164)&gt;0,
     COUNTIFS($AH$3:$AH$201,$M164)&gt;0,
     COUNTIFS($AI$3:$AI$201,$M164)&gt;0,
     COUNTIFS($AJ$3:$AJ$201,$M164)&gt;0,
     COUNTIFS($AK$3:$AK$201,$M164)&gt;0,
     COUNTIFS($AL$3:$AL$201,$M164)&gt;0,
     COUNTIFS($AM$3:$AM$201,$M164)&gt;0,
     COUNTIFS($AN$3:$AN$201,$M164)&gt;0,
     COUNTIFS($AO$3:$AO$201,$M164)&gt;0,
     COUNTIFS($AP$3:$AP$201,$M164)&gt;0,
     COUNTIFS($AQ$3:$AQ$201,$M164)&gt;0,
     COUNTIFS($AR$3:$AR$201,$M164)&gt;0,
     COUNTIFS($AS$3:$AS$201,$M164)&gt;0,
     COUNTIFS($AT$3:$AT$201,$M164)&gt;0,
     COUNTIFS($AU$3:$AU$201,$M164)&gt;0,
     COUNTIFS($AV$3:$AV$201,$M164)&gt;0,
     COUNTIFS($AW$3:$AW$201,$M164)&gt;0,
     COUNTIFS($AX$3:$AX$201,$M164)&gt;0
   )),
  ),
  2
 ),
"")</f>
        <v/>
      </c>
      <c r="Q164" s="2" t="str" cm="1">
        <f t="array" aca="1" ref="Q164" ca="1">IFERROR(
 INDEX(
  _xlfn._xlws.FILTER($U$2:$AX$2,
   TRANSPOSE(
    CHOOSE({1;2;3;4;5;6;7;8;9;10;11;12;13;14;15;16;17;18;19;20;21;22;23;24;25;26;27;28;29;30},
     COUNTIFS($U$3:$U$201,$M164)&gt;0,
     COUNTIFS($V$3:$V$201,$M164)&gt;0,
     COUNTIFS($W$3:$W$201,$M164)&gt;0,
     COUNTIFS($X$3:$X$201,$M164)&gt;0,
     COUNTIFS($Y$3:$Y$201,$M164)&gt;0,
     COUNTIFS($Z$3:$Z$201,$M164)&gt;0,
     COUNTIFS($AA$3:$AA$201,$M164)&gt;0,
     COUNTIFS($AB$3:$AB$201,$M164)&gt;0,
     COUNTIFS($AC$3:$AC$201,$M164)&gt;0,
     COUNTIFS($AD$3:$AD$201,$M164)&gt;0,
     COUNTIFS($AE$3:$AE$201,$M164)&gt;0,
     COUNTIFS($AF$3:$AF$201,$M164)&gt;0,
     COUNTIFS($AG$3:$AG$201,$M164)&gt;0,
     COUNTIFS($AH$3:$AH$201,$M164)&gt;0,
     COUNTIFS($AI$3:$AI$201,$M164)&gt;0,
     COUNTIFS($AJ$3:$AJ$201,$M164)&gt;0,
     COUNTIFS($AK$3:$AK$201,$M164)&gt;0,
     COUNTIFS($AL$3:$AL$201,$M164)&gt;0,
     COUNTIFS($AM$3:$AM$201,$M164)&gt;0,
     COUNTIFS($AN$3:$AN$201,$M164)&gt;0,
     COUNTIFS($AO$3:$AO$201,$M164)&gt;0,
     COUNTIFS($AP$3:$AP$201,$M164)&gt;0,
     COUNTIFS($AQ$3:$AQ$201,$M164)&gt;0,
     COUNTIFS($AR$3:$AR$201,$M164)&gt;0,
     COUNTIFS($AS$3:$AS$201,$M164)&gt;0,
     COUNTIFS($AT$3:$AT$201,$M164)&gt;0,
     COUNTIFS($AU$3:$AU$201,$M164)&gt;0,
     COUNTIFS($AV$3:$AV$201,$M164)&gt;0,
     COUNTIFS($AW$3:$AW$201,$M164)&gt;0,
     COUNTIFS($AX$3:$AX$201,$M164)&gt;0
   )),
  ),
  3
 ),
"")</f>
        <v/>
      </c>
      <c r="EO164" t="str">
        <f ca="1"/>
        <v>Wyll's Reversal</v>
      </c>
      <c r="ET164" t="str">
        <f ca="1"/>
        <v>Rosie Cotton of South Lane</v>
      </c>
      <c r="EW164" t="str">
        <f ca="1"/>
        <v>Repudiate // Replicate</v>
      </c>
    </row>
    <row r="165" spans="1:153" x14ac:dyDescent="0.25">
      <c r="A165" t="str">
        <f ca="1"/>
        <v>Final Showdown</v>
      </c>
      <c r="B165" s="2" t="str" cm="1">
        <f t="array" aca="1" ref="B165" ca="1">_xlfn.ANCHORARRAY(RESUMO!C164)</f>
        <v>Akiri</v>
      </c>
      <c r="C165" s="2" t="str">
        <f t="shared" ca="1" si="8"/>
        <v/>
      </c>
      <c r="E165" t="str">
        <f ca="1"/>
        <v>Retreat to Hagra</v>
      </c>
      <c r="F165" s="2">
        <f t="shared" ca="1" si="11"/>
        <v>1</v>
      </c>
      <c r="G165" s="2" t="str">
        <f t="shared" ca="1" si="9"/>
        <v>Zimone</v>
      </c>
      <c r="J165" t="s">
        <v>180</v>
      </c>
      <c r="K165" s="2">
        <v>1</v>
      </c>
      <c r="M165" t="str">
        <f ca="1"/>
        <v>Retreat to Hagra</v>
      </c>
      <c r="N165" s="2">
        <f t="shared" ca="1" si="10"/>
        <v>1</v>
      </c>
      <c r="O165" s="2" t="str">
        <f ca="1">IFERROR(
 INDEX($U$2:$AX$2,
  MATCH(TRUE,
   CHOOSE({1;2;3;4;5;6;7;8;9;10;11;12;13;14;15;16;17;18;19;20;21;22;23;24;25;26;27;28;29;30;31;32},
    COUNTIFS($U$3:$U$201,$M165)&gt;0,
    COUNTIFS($V$3:$V$201,$M165)&gt;0,
    COUNTIFS($W$3:$W$201,$M165)&gt;0,
    COUNTIFS($X$3:$X$201,$M165)&gt;0,
    COUNTIFS($Y$3:$Y$201,$M165)&gt;0,
    COUNTIFS($Z$3:$Z$201,$M165)&gt;0,
    COUNTIFS($AA$3:$AA$201,$M165)&gt;0,
    COUNTIFS($AB$3:$AB$201,$M165)&gt;0,
    COUNTIFS($AC$3:$AC$201,$M165)&gt;0,
    COUNTIFS($AD$3:$AD$201,$M165)&gt;0,
    COUNTIFS($AE$3:$AE$201,$M165)&gt;0,
    COUNTIFS($AF$3:$AF$201,$M165)&gt;0,
    COUNTIFS($AG$3:$AG$201,$M165)&gt;0,
    COUNTIFS($AH$3:$AH$201,$M165)&gt;0,
    COUNTIFS($AI$3:$AI$201,$M165)&gt;0,
    COUNTIFS($AJ$3:$AJ$201,$M165)&gt;0,
    COUNTIFS($AK$3:$AK$201,$M165)&gt;0,
    COUNTIFS($AL$3:$AL$201,$M165)&gt;0,
    COUNTIFS($AM$3:$AM$201,$M165)&gt;0,
    COUNTIFS($AN$3:$AN$201,$M165)&gt;0,
    COUNTIFS($AO$3:$AO$201,$M165)&gt;0,
    COUNTIFS($AP$3:$AP$201,$M165)&gt;0,
    COUNTIFS($AQ$3:$AQ$201,$M165)&gt;0,
    COUNTIFS($AR$3:$AR$201,$M165)&gt;0,
    COUNTIFS($AS$3:$AS$201,$M165)&gt;0,
    COUNTIFS($AT$3:$AT$201,$M165)&gt;0,
    COUNTIFS($AU$3:$AU$201,$M165)&gt;0,
    COUNTIFS($AV$3:$AV$201,$M165)&gt;0,
    COUNTIFS($AW$3:$AW$201,$M165)&gt;0,
    COUNTIFS($AX$3:$AX$201,$M165)&gt;0
   ),
  0)
 ),
"")</f>
        <v>Zimone</v>
      </c>
      <c r="P165" s="2" t="str" cm="1">
        <f t="array" aca="1" ref="P165" ca="1">IFERROR(
 INDEX(
  _xlfn._xlws.FILTER($U$2:$AX$2,
   TRANSPOSE(
    CHOOSE({1;2;3;4;5;6;7;8;9;10;11;12;13;14;15;16;17;18;19;20;21;22;23;24;25;26;27;28;29;30},
     COUNTIFS($U$3:$U$201,$M165)&gt;0,
     COUNTIFS($V$3:$V$201,$M165)&gt;0,
     COUNTIFS($W$3:$W$201,$M165)&gt;0,
     COUNTIFS($X$3:$X$201,$M165)&gt;0,
     COUNTIFS($Y$3:$Y$201,$M165)&gt;0,
     COUNTIFS($Z$3:$Z$201,$M165)&gt;0,
     COUNTIFS($AA$3:$AA$201,$M165)&gt;0,
     COUNTIFS($AB$3:$AB$201,$M165)&gt;0,
     COUNTIFS($AC$3:$AC$201,$M165)&gt;0,
     COUNTIFS($AD$3:$AD$201,$M165)&gt;0,
     COUNTIFS($AE$3:$AE$201,$M165)&gt;0,
     COUNTIFS($AF$3:$AF$201,$M165)&gt;0,
     COUNTIFS($AG$3:$AG$201,$M165)&gt;0,
     COUNTIFS($AH$3:$AH$201,$M165)&gt;0,
     COUNTIFS($AI$3:$AI$201,$M165)&gt;0,
     COUNTIFS($AJ$3:$AJ$201,$M165)&gt;0,
     COUNTIFS($AK$3:$AK$201,$M165)&gt;0,
     COUNTIFS($AL$3:$AL$201,$M165)&gt;0,
     COUNTIFS($AM$3:$AM$201,$M165)&gt;0,
     COUNTIFS($AN$3:$AN$201,$M165)&gt;0,
     COUNTIFS($AO$3:$AO$201,$M165)&gt;0,
     COUNTIFS($AP$3:$AP$201,$M165)&gt;0,
     COUNTIFS($AQ$3:$AQ$201,$M165)&gt;0,
     COUNTIFS($AR$3:$AR$201,$M165)&gt;0,
     COUNTIFS($AS$3:$AS$201,$M165)&gt;0,
     COUNTIFS($AT$3:$AT$201,$M165)&gt;0,
     COUNTIFS($AU$3:$AU$201,$M165)&gt;0,
     COUNTIFS($AV$3:$AV$201,$M165)&gt;0,
     COUNTIFS($AW$3:$AW$201,$M165)&gt;0,
     COUNTIFS($AX$3:$AX$201,$M165)&gt;0
   )),
  ),
  2
 ),
"")</f>
        <v/>
      </c>
      <c r="Q165" s="2" t="str" cm="1">
        <f t="array" aca="1" ref="Q165" ca="1">IFERROR(
 INDEX(
  _xlfn._xlws.FILTER($U$2:$AX$2,
   TRANSPOSE(
    CHOOSE({1;2;3;4;5;6;7;8;9;10;11;12;13;14;15;16;17;18;19;20;21;22;23;24;25;26;27;28;29;30},
     COUNTIFS($U$3:$U$201,$M165)&gt;0,
     COUNTIFS($V$3:$V$201,$M165)&gt;0,
     COUNTIFS($W$3:$W$201,$M165)&gt;0,
     COUNTIFS($X$3:$X$201,$M165)&gt;0,
     COUNTIFS($Y$3:$Y$201,$M165)&gt;0,
     COUNTIFS($Z$3:$Z$201,$M165)&gt;0,
     COUNTIFS($AA$3:$AA$201,$M165)&gt;0,
     COUNTIFS($AB$3:$AB$201,$M165)&gt;0,
     COUNTIFS($AC$3:$AC$201,$M165)&gt;0,
     COUNTIFS($AD$3:$AD$201,$M165)&gt;0,
     COUNTIFS($AE$3:$AE$201,$M165)&gt;0,
     COUNTIFS($AF$3:$AF$201,$M165)&gt;0,
     COUNTIFS($AG$3:$AG$201,$M165)&gt;0,
     COUNTIFS($AH$3:$AH$201,$M165)&gt;0,
     COUNTIFS($AI$3:$AI$201,$M165)&gt;0,
     COUNTIFS($AJ$3:$AJ$201,$M165)&gt;0,
     COUNTIFS($AK$3:$AK$201,$M165)&gt;0,
     COUNTIFS($AL$3:$AL$201,$M165)&gt;0,
     COUNTIFS($AM$3:$AM$201,$M165)&gt;0,
     COUNTIFS($AN$3:$AN$201,$M165)&gt;0,
     COUNTIFS($AO$3:$AO$201,$M165)&gt;0,
     COUNTIFS($AP$3:$AP$201,$M165)&gt;0,
     COUNTIFS($AQ$3:$AQ$201,$M165)&gt;0,
     COUNTIFS($AR$3:$AR$201,$M165)&gt;0,
     COUNTIFS($AS$3:$AS$201,$M165)&gt;0,
     COUNTIFS($AT$3:$AT$201,$M165)&gt;0,
     COUNTIFS($AU$3:$AU$201,$M165)&gt;0,
     COUNTIFS($AV$3:$AV$201,$M165)&gt;0,
     COUNTIFS($AW$3:$AW$201,$M165)&gt;0,
     COUNTIFS($AX$3:$AX$201,$M165)&gt;0
   )),
  ),
  3
 ),
"")</f>
        <v/>
      </c>
      <c r="ET165" t="str">
        <f ca="1"/>
        <v>Royalty Assassin</v>
      </c>
      <c r="EW165" t="str">
        <f ca="1"/>
        <v>Retreat to Hagra</v>
      </c>
    </row>
    <row r="166" spans="1:153" x14ac:dyDescent="0.25">
      <c r="A166" t="str">
        <f ca="1"/>
        <v>Firebender Ascension</v>
      </c>
      <c r="B166" s="2" t="str" cm="1">
        <f t="array" aca="1" ref="B166" ca="1">_xlfn.ANCHORARRAY(RESUMO!C165)</f>
        <v>Akiri</v>
      </c>
      <c r="C166" s="2" t="str">
        <f t="shared" ca="1" si="8"/>
        <v/>
      </c>
      <c r="E166" t="str">
        <f ca="1"/>
        <v>Ritual of Soot</v>
      </c>
      <c r="F166" s="2">
        <f t="shared" ca="1" si="11"/>
        <v>1</v>
      </c>
      <c r="G166" s="2" t="str">
        <f t="shared" ca="1" si="9"/>
        <v>Kresh</v>
      </c>
      <c r="J166" t="s">
        <v>180</v>
      </c>
      <c r="K166" s="2">
        <v>1</v>
      </c>
      <c r="M166" t="str">
        <f ca="1"/>
        <v>Ritual of Soot</v>
      </c>
      <c r="N166" s="2">
        <f t="shared" ca="1" si="10"/>
        <v>1</v>
      </c>
      <c r="O166" s="2" t="str">
        <f ca="1">IFERROR(
 INDEX($U$2:$AX$2,
  MATCH(TRUE,
   CHOOSE({1;2;3;4;5;6;7;8;9;10;11;12;13;14;15;16;17;18;19;20;21;22;23;24;25;26;27;28;29;30;31;32},
    COUNTIFS($U$3:$U$201,$M166)&gt;0,
    COUNTIFS($V$3:$V$201,$M166)&gt;0,
    COUNTIFS($W$3:$W$201,$M166)&gt;0,
    COUNTIFS($X$3:$X$201,$M166)&gt;0,
    COUNTIFS($Y$3:$Y$201,$M166)&gt;0,
    COUNTIFS($Z$3:$Z$201,$M166)&gt;0,
    COUNTIFS($AA$3:$AA$201,$M166)&gt;0,
    COUNTIFS($AB$3:$AB$201,$M166)&gt;0,
    COUNTIFS($AC$3:$AC$201,$M166)&gt;0,
    COUNTIFS($AD$3:$AD$201,$M166)&gt;0,
    COUNTIFS($AE$3:$AE$201,$M166)&gt;0,
    COUNTIFS($AF$3:$AF$201,$M166)&gt;0,
    COUNTIFS($AG$3:$AG$201,$M166)&gt;0,
    COUNTIFS($AH$3:$AH$201,$M166)&gt;0,
    COUNTIFS($AI$3:$AI$201,$M166)&gt;0,
    COUNTIFS($AJ$3:$AJ$201,$M166)&gt;0,
    COUNTIFS($AK$3:$AK$201,$M166)&gt;0,
    COUNTIFS($AL$3:$AL$201,$M166)&gt;0,
    COUNTIFS($AM$3:$AM$201,$M166)&gt;0,
    COUNTIFS($AN$3:$AN$201,$M166)&gt;0,
    COUNTIFS($AO$3:$AO$201,$M166)&gt;0,
    COUNTIFS($AP$3:$AP$201,$M166)&gt;0,
    COUNTIFS($AQ$3:$AQ$201,$M166)&gt;0,
    COUNTIFS($AR$3:$AR$201,$M166)&gt;0,
    COUNTIFS($AS$3:$AS$201,$M166)&gt;0,
    COUNTIFS($AT$3:$AT$201,$M166)&gt;0,
    COUNTIFS($AU$3:$AU$201,$M166)&gt;0,
    COUNTIFS($AV$3:$AV$201,$M166)&gt;0,
    COUNTIFS($AW$3:$AW$201,$M166)&gt;0,
    COUNTIFS($AX$3:$AX$201,$M166)&gt;0
   ),
  0)
 ),
"")</f>
        <v>Kresh</v>
      </c>
      <c r="P166" s="2" t="str" cm="1">
        <f t="array" aca="1" ref="P166" ca="1">IFERROR(
 INDEX(
  _xlfn._xlws.FILTER($U$2:$AX$2,
   TRANSPOSE(
    CHOOSE({1;2;3;4;5;6;7;8;9;10;11;12;13;14;15;16;17;18;19;20;21;22;23;24;25;26;27;28;29;30},
     COUNTIFS($U$3:$U$201,$M166)&gt;0,
     COUNTIFS($V$3:$V$201,$M166)&gt;0,
     COUNTIFS($W$3:$W$201,$M166)&gt;0,
     COUNTIFS($X$3:$X$201,$M166)&gt;0,
     COUNTIFS($Y$3:$Y$201,$M166)&gt;0,
     COUNTIFS($Z$3:$Z$201,$M166)&gt;0,
     COUNTIFS($AA$3:$AA$201,$M166)&gt;0,
     COUNTIFS($AB$3:$AB$201,$M166)&gt;0,
     COUNTIFS($AC$3:$AC$201,$M166)&gt;0,
     COUNTIFS($AD$3:$AD$201,$M166)&gt;0,
     COUNTIFS($AE$3:$AE$201,$M166)&gt;0,
     COUNTIFS($AF$3:$AF$201,$M166)&gt;0,
     COUNTIFS($AG$3:$AG$201,$M166)&gt;0,
     COUNTIFS($AH$3:$AH$201,$M166)&gt;0,
     COUNTIFS($AI$3:$AI$201,$M166)&gt;0,
     COUNTIFS($AJ$3:$AJ$201,$M166)&gt;0,
     COUNTIFS($AK$3:$AK$201,$M166)&gt;0,
     COUNTIFS($AL$3:$AL$201,$M166)&gt;0,
     COUNTIFS($AM$3:$AM$201,$M166)&gt;0,
     COUNTIFS($AN$3:$AN$201,$M166)&gt;0,
     COUNTIFS($AO$3:$AO$201,$M166)&gt;0,
     COUNTIFS($AP$3:$AP$201,$M166)&gt;0,
     COUNTIFS($AQ$3:$AQ$201,$M166)&gt;0,
     COUNTIFS($AR$3:$AR$201,$M166)&gt;0,
     COUNTIFS($AS$3:$AS$201,$M166)&gt;0,
     COUNTIFS($AT$3:$AT$201,$M166)&gt;0,
     COUNTIFS($AU$3:$AU$201,$M166)&gt;0,
     COUNTIFS($AV$3:$AV$201,$M166)&gt;0,
     COUNTIFS($AW$3:$AW$201,$M166)&gt;0,
     COUNTIFS($AX$3:$AX$201,$M166)&gt;0
   )),
  ),
  2
 ),
"")</f>
        <v/>
      </c>
      <c r="Q166" s="2" t="str" cm="1">
        <f t="array" aca="1" ref="Q166" ca="1">IFERROR(
 INDEX(
  _xlfn._xlws.FILTER($U$2:$AX$2,
   TRANSPOSE(
    CHOOSE({1;2;3;4;5;6;7;8;9;10;11;12;13;14;15;16;17;18;19;20;21;22;23;24;25;26;27;28;29;30},
     COUNTIFS($U$3:$U$201,$M166)&gt;0,
     COUNTIFS($V$3:$V$201,$M166)&gt;0,
     COUNTIFS($W$3:$W$201,$M166)&gt;0,
     COUNTIFS($X$3:$X$201,$M166)&gt;0,
     COUNTIFS($Y$3:$Y$201,$M166)&gt;0,
     COUNTIFS($Z$3:$Z$201,$M166)&gt;0,
     COUNTIFS($AA$3:$AA$201,$M166)&gt;0,
     COUNTIFS($AB$3:$AB$201,$M166)&gt;0,
     COUNTIFS($AC$3:$AC$201,$M166)&gt;0,
     COUNTIFS($AD$3:$AD$201,$M166)&gt;0,
     COUNTIFS($AE$3:$AE$201,$M166)&gt;0,
     COUNTIFS($AF$3:$AF$201,$M166)&gt;0,
     COUNTIFS($AG$3:$AG$201,$M166)&gt;0,
     COUNTIFS($AH$3:$AH$201,$M166)&gt;0,
     COUNTIFS($AI$3:$AI$201,$M166)&gt;0,
     COUNTIFS($AJ$3:$AJ$201,$M166)&gt;0,
     COUNTIFS($AK$3:$AK$201,$M166)&gt;0,
     COUNTIFS($AL$3:$AL$201,$M166)&gt;0,
     COUNTIFS($AM$3:$AM$201,$M166)&gt;0,
     COUNTIFS($AN$3:$AN$201,$M166)&gt;0,
     COUNTIFS($AO$3:$AO$201,$M166)&gt;0,
     COUNTIFS($AP$3:$AP$201,$M166)&gt;0,
     COUNTIFS($AQ$3:$AQ$201,$M166)&gt;0,
     COUNTIFS($AR$3:$AR$201,$M166)&gt;0,
     COUNTIFS($AS$3:$AS$201,$M166)&gt;0,
     COUNTIFS($AT$3:$AT$201,$M166)&gt;0,
     COUNTIFS($AU$3:$AU$201,$M166)&gt;0,
     COUNTIFS($AV$3:$AV$201,$M166)&gt;0,
     COUNTIFS($AW$3:$AW$201,$M166)&gt;0,
     COUNTIFS($AX$3:$AX$201,$M166)&gt;0
   )),
  ),
  3
 ),
"")</f>
        <v/>
      </c>
      <c r="ET166" t="str">
        <f ca="1"/>
        <v>Rumble Arena</v>
      </c>
      <c r="EW166" t="str">
        <f ca="1"/>
        <v>Ritual of Soot</v>
      </c>
    </row>
    <row r="167" spans="1:153" x14ac:dyDescent="0.25">
      <c r="A167" t="str">
        <f ca="1"/>
        <v>Forest</v>
      </c>
      <c r="B167" s="2" t="str" cm="1">
        <f t="array" aca="1" ref="B167" ca="1">_xlfn.ANCHORARRAY(RESUMO!C166)</f>
        <v>Fractius</v>
      </c>
      <c r="C167" s="2" t="str">
        <f t="shared" ca="1" si="8"/>
        <v>Tayam</v>
      </c>
      <c r="E167" t="str">
        <f ca="1"/>
        <v>Roilling Regrowth</v>
      </c>
      <c r="F167" s="2">
        <f t="shared" ca="1" si="11"/>
        <v>1</v>
      </c>
      <c r="G167" s="2" t="str">
        <f t="shared" ca="1" si="9"/>
        <v>Modular</v>
      </c>
      <c r="J167" t="s">
        <v>180</v>
      </c>
      <c r="K167" s="2">
        <v>1</v>
      </c>
      <c r="M167" t="str">
        <f ca="1"/>
        <v>Roilling Regrowth</v>
      </c>
      <c r="N167" s="2">
        <f t="shared" ca="1" si="10"/>
        <v>1</v>
      </c>
      <c r="O167" s="2" t="str">
        <f ca="1">IFERROR(
 INDEX($U$2:$AX$2,
  MATCH(TRUE,
   CHOOSE({1;2;3;4;5;6;7;8;9;10;11;12;13;14;15;16;17;18;19;20;21;22;23;24;25;26;27;28;29;30;31;32},
    COUNTIFS($U$3:$U$201,$M167)&gt;0,
    COUNTIFS($V$3:$V$201,$M167)&gt;0,
    COUNTIFS($W$3:$W$201,$M167)&gt;0,
    COUNTIFS($X$3:$X$201,$M167)&gt;0,
    COUNTIFS($Y$3:$Y$201,$M167)&gt;0,
    COUNTIFS($Z$3:$Z$201,$M167)&gt;0,
    COUNTIFS($AA$3:$AA$201,$M167)&gt;0,
    COUNTIFS($AB$3:$AB$201,$M167)&gt;0,
    COUNTIFS($AC$3:$AC$201,$M167)&gt;0,
    COUNTIFS($AD$3:$AD$201,$M167)&gt;0,
    COUNTIFS($AE$3:$AE$201,$M167)&gt;0,
    COUNTIFS($AF$3:$AF$201,$M167)&gt;0,
    COUNTIFS($AG$3:$AG$201,$M167)&gt;0,
    COUNTIFS($AH$3:$AH$201,$M167)&gt;0,
    COUNTIFS($AI$3:$AI$201,$M167)&gt;0,
    COUNTIFS($AJ$3:$AJ$201,$M167)&gt;0,
    COUNTIFS($AK$3:$AK$201,$M167)&gt;0,
    COUNTIFS($AL$3:$AL$201,$M167)&gt;0,
    COUNTIFS($AM$3:$AM$201,$M167)&gt;0,
    COUNTIFS($AN$3:$AN$201,$M167)&gt;0,
    COUNTIFS($AO$3:$AO$201,$M167)&gt;0,
    COUNTIFS($AP$3:$AP$201,$M167)&gt;0,
    COUNTIFS($AQ$3:$AQ$201,$M167)&gt;0,
    COUNTIFS($AR$3:$AR$201,$M167)&gt;0,
    COUNTIFS($AS$3:$AS$201,$M167)&gt;0,
    COUNTIFS($AT$3:$AT$201,$M167)&gt;0,
    COUNTIFS($AU$3:$AU$201,$M167)&gt;0,
    COUNTIFS($AV$3:$AV$201,$M167)&gt;0,
    COUNTIFS($AW$3:$AW$201,$M167)&gt;0,
    COUNTIFS($AX$3:$AX$201,$M167)&gt;0
   ),
  0)
 ),
"")</f>
        <v>Modular</v>
      </c>
      <c r="P167" s="2" t="str" cm="1">
        <f t="array" aca="1" ref="P167" ca="1">IFERROR(
 INDEX(
  _xlfn._xlws.FILTER($U$2:$AX$2,
   TRANSPOSE(
    CHOOSE({1;2;3;4;5;6;7;8;9;10;11;12;13;14;15;16;17;18;19;20;21;22;23;24;25;26;27;28;29;30},
     COUNTIFS($U$3:$U$201,$M167)&gt;0,
     COUNTIFS($V$3:$V$201,$M167)&gt;0,
     COUNTIFS($W$3:$W$201,$M167)&gt;0,
     COUNTIFS($X$3:$X$201,$M167)&gt;0,
     COUNTIFS($Y$3:$Y$201,$M167)&gt;0,
     COUNTIFS($Z$3:$Z$201,$M167)&gt;0,
     COUNTIFS($AA$3:$AA$201,$M167)&gt;0,
     COUNTIFS($AB$3:$AB$201,$M167)&gt;0,
     COUNTIFS($AC$3:$AC$201,$M167)&gt;0,
     COUNTIFS($AD$3:$AD$201,$M167)&gt;0,
     COUNTIFS($AE$3:$AE$201,$M167)&gt;0,
     COUNTIFS($AF$3:$AF$201,$M167)&gt;0,
     COUNTIFS($AG$3:$AG$201,$M167)&gt;0,
     COUNTIFS($AH$3:$AH$201,$M167)&gt;0,
     COUNTIFS($AI$3:$AI$201,$M167)&gt;0,
     COUNTIFS($AJ$3:$AJ$201,$M167)&gt;0,
     COUNTIFS($AK$3:$AK$201,$M167)&gt;0,
     COUNTIFS($AL$3:$AL$201,$M167)&gt;0,
     COUNTIFS($AM$3:$AM$201,$M167)&gt;0,
     COUNTIFS($AN$3:$AN$201,$M167)&gt;0,
     COUNTIFS($AO$3:$AO$201,$M167)&gt;0,
     COUNTIFS($AP$3:$AP$201,$M167)&gt;0,
     COUNTIFS($AQ$3:$AQ$201,$M167)&gt;0,
     COUNTIFS($AR$3:$AR$201,$M167)&gt;0,
     COUNTIFS($AS$3:$AS$201,$M167)&gt;0,
     COUNTIFS($AT$3:$AT$201,$M167)&gt;0,
     COUNTIFS($AU$3:$AU$201,$M167)&gt;0,
     COUNTIFS($AV$3:$AV$201,$M167)&gt;0,
     COUNTIFS($AW$3:$AW$201,$M167)&gt;0,
     COUNTIFS($AX$3:$AX$201,$M167)&gt;0
   )),
  ),
  2
 ),
"")</f>
        <v/>
      </c>
      <c r="Q167" s="2" t="str" cm="1">
        <f t="array" aca="1" ref="Q167" ca="1">IFERROR(
 INDEX(
  _xlfn._xlws.FILTER($U$2:$AX$2,
   TRANSPOSE(
    CHOOSE({1;2;3;4;5;6;7;8;9;10;11;12;13;14;15;16;17;18;19;20;21;22;23;24;25;26;27;28;29;30},
     COUNTIFS($U$3:$U$201,$M167)&gt;0,
     COUNTIFS($V$3:$V$201,$M167)&gt;0,
     COUNTIFS($W$3:$W$201,$M167)&gt;0,
     COUNTIFS($X$3:$X$201,$M167)&gt;0,
     COUNTIFS($Y$3:$Y$201,$M167)&gt;0,
     COUNTIFS($Z$3:$Z$201,$M167)&gt;0,
     COUNTIFS($AA$3:$AA$201,$M167)&gt;0,
     COUNTIFS($AB$3:$AB$201,$M167)&gt;0,
     COUNTIFS($AC$3:$AC$201,$M167)&gt;0,
     COUNTIFS($AD$3:$AD$201,$M167)&gt;0,
     COUNTIFS($AE$3:$AE$201,$M167)&gt;0,
     COUNTIFS($AF$3:$AF$201,$M167)&gt;0,
     COUNTIFS($AG$3:$AG$201,$M167)&gt;0,
     COUNTIFS($AH$3:$AH$201,$M167)&gt;0,
     COUNTIFS($AI$3:$AI$201,$M167)&gt;0,
     COUNTIFS($AJ$3:$AJ$201,$M167)&gt;0,
     COUNTIFS($AK$3:$AK$201,$M167)&gt;0,
     COUNTIFS($AL$3:$AL$201,$M167)&gt;0,
     COUNTIFS($AM$3:$AM$201,$M167)&gt;0,
     COUNTIFS($AN$3:$AN$201,$M167)&gt;0,
     COUNTIFS($AO$3:$AO$201,$M167)&gt;0,
     COUNTIFS($AP$3:$AP$201,$M167)&gt;0,
     COUNTIFS($AQ$3:$AQ$201,$M167)&gt;0,
     COUNTIFS($AR$3:$AR$201,$M167)&gt;0,
     COUNTIFS($AS$3:$AS$201,$M167)&gt;0,
     COUNTIFS($AT$3:$AT$201,$M167)&gt;0,
     COUNTIFS($AU$3:$AU$201,$M167)&gt;0,
     COUNTIFS($AV$3:$AV$201,$M167)&gt;0,
     COUNTIFS($AW$3:$AW$201,$M167)&gt;0,
     COUNTIFS($AX$3:$AX$201,$M167)&gt;0
   )),
  ),
  3
 ),
"")</f>
        <v/>
      </c>
      <c r="ET167" t="str">
        <f ca="1"/>
        <v>Sacred Ground</v>
      </c>
      <c r="EW167" t="str">
        <f ca="1"/>
        <v>Roilling Regrowth</v>
      </c>
    </row>
    <row r="168" spans="1:153" x14ac:dyDescent="0.25">
      <c r="A168" t="str">
        <f ca="1"/>
        <v>Forsaken Miner</v>
      </c>
      <c r="B168" s="2" t="str" cm="1">
        <f t="array" aca="1" ref="B168" ca="1">_xlfn.ANCHORARRAY(RESUMO!C167)</f>
        <v>Zimone</v>
      </c>
      <c r="C168" s="2" t="str">
        <f t="shared" ca="1" si="8"/>
        <v/>
      </c>
      <c r="E168" t="str">
        <f ca="1"/>
        <v>Rosie Cotton of South Lane</v>
      </c>
      <c r="F168" s="2">
        <f t="shared" ca="1" si="11"/>
        <v>1</v>
      </c>
      <c r="G168" s="2" t="str">
        <f t="shared" ca="1" si="9"/>
        <v>Baylen</v>
      </c>
      <c r="J168" t="s">
        <v>180</v>
      </c>
      <c r="K168" s="2">
        <v>1</v>
      </c>
      <c r="M168" t="str">
        <f ca="1"/>
        <v>Rosie Cotton of South Lane</v>
      </c>
      <c r="N168" s="2">
        <f t="shared" ca="1" si="10"/>
        <v>1</v>
      </c>
      <c r="O168" s="2" t="str">
        <f ca="1">IFERROR(
 INDEX($U$2:$AX$2,
  MATCH(TRUE,
   CHOOSE({1;2;3;4;5;6;7;8;9;10;11;12;13;14;15;16;17;18;19;20;21;22;23;24;25;26;27;28;29;30;31;32},
    COUNTIFS($U$3:$U$201,$M168)&gt;0,
    COUNTIFS($V$3:$V$201,$M168)&gt;0,
    COUNTIFS($W$3:$W$201,$M168)&gt;0,
    COUNTIFS($X$3:$X$201,$M168)&gt;0,
    COUNTIFS($Y$3:$Y$201,$M168)&gt;0,
    COUNTIFS($Z$3:$Z$201,$M168)&gt;0,
    COUNTIFS($AA$3:$AA$201,$M168)&gt;0,
    COUNTIFS($AB$3:$AB$201,$M168)&gt;0,
    COUNTIFS($AC$3:$AC$201,$M168)&gt;0,
    COUNTIFS($AD$3:$AD$201,$M168)&gt;0,
    COUNTIFS($AE$3:$AE$201,$M168)&gt;0,
    COUNTIFS($AF$3:$AF$201,$M168)&gt;0,
    COUNTIFS($AG$3:$AG$201,$M168)&gt;0,
    COUNTIFS($AH$3:$AH$201,$M168)&gt;0,
    COUNTIFS($AI$3:$AI$201,$M168)&gt;0,
    COUNTIFS($AJ$3:$AJ$201,$M168)&gt;0,
    COUNTIFS($AK$3:$AK$201,$M168)&gt;0,
    COUNTIFS($AL$3:$AL$201,$M168)&gt;0,
    COUNTIFS($AM$3:$AM$201,$M168)&gt;0,
    COUNTIFS($AN$3:$AN$201,$M168)&gt;0,
    COUNTIFS($AO$3:$AO$201,$M168)&gt;0,
    COUNTIFS($AP$3:$AP$201,$M168)&gt;0,
    COUNTIFS($AQ$3:$AQ$201,$M168)&gt;0,
    COUNTIFS($AR$3:$AR$201,$M168)&gt;0,
    COUNTIFS($AS$3:$AS$201,$M168)&gt;0,
    COUNTIFS($AT$3:$AT$201,$M168)&gt;0,
    COUNTIFS($AU$3:$AU$201,$M168)&gt;0,
    COUNTIFS($AV$3:$AV$201,$M168)&gt;0,
    COUNTIFS($AW$3:$AW$201,$M168)&gt;0,
    COUNTIFS($AX$3:$AX$201,$M168)&gt;0
   ),
  0)
 ),
"")</f>
        <v>Baylen</v>
      </c>
      <c r="P168" s="2" t="str" cm="1">
        <f t="array" aca="1" ref="P168" ca="1">IFERROR(
 INDEX(
  _xlfn._xlws.FILTER($U$2:$AX$2,
   TRANSPOSE(
    CHOOSE({1;2;3;4;5;6;7;8;9;10;11;12;13;14;15;16;17;18;19;20;21;22;23;24;25;26;27;28;29;30},
     COUNTIFS($U$3:$U$201,$M168)&gt;0,
     COUNTIFS($V$3:$V$201,$M168)&gt;0,
     COUNTIFS($W$3:$W$201,$M168)&gt;0,
     COUNTIFS($X$3:$X$201,$M168)&gt;0,
     COUNTIFS($Y$3:$Y$201,$M168)&gt;0,
     COUNTIFS($Z$3:$Z$201,$M168)&gt;0,
     COUNTIFS($AA$3:$AA$201,$M168)&gt;0,
     COUNTIFS($AB$3:$AB$201,$M168)&gt;0,
     COUNTIFS($AC$3:$AC$201,$M168)&gt;0,
     COUNTIFS($AD$3:$AD$201,$M168)&gt;0,
     COUNTIFS($AE$3:$AE$201,$M168)&gt;0,
     COUNTIFS($AF$3:$AF$201,$M168)&gt;0,
     COUNTIFS($AG$3:$AG$201,$M168)&gt;0,
     COUNTIFS($AH$3:$AH$201,$M168)&gt;0,
     COUNTIFS($AI$3:$AI$201,$M168)&gt;0,
     COUNTIFS($AJ$3:$AJ$201,$M168)&gt;0,
     COUNTIFS($AK$3:$AK$201,$M168)&gt;0,
     COUNTIFS($AL$3:$AL$201,$M168)&gt;0,
     COUNTIFS($AM$3:$AM$201,$M168)&gt;0,
     COUNTIFS($AN$3:$AN$201,$M168)&gt;0,
     COUNTIFS($AO$3:$AO$201,$M168)&gt;0,
     COUNTIFS($AP$3:$AP$201,$M168)&gt;0,
     COUNTIFS($AQ$3:$AQ$201,$M168)&gt;0,
     COUNTIFS($AR$3:$AR$201,$M168)&gt;0,
     COUNTIFS($AS$3:$AS$201,$M168)&gt;0,
     COUNTIFS($AT$3:$AT$201,$M168)&gt;0,
     COUNTIFS($AU$3:$AU$201,$M168)&gt;0,
     COUNTIFS($AV$3:$AV$201,$M168)&gt;0,
     COUNTIFS($AW$3:$AW$201,$M168)&gt;0,
     COUNTIFS($AX$3:$AX$201,$M168)&gt;0
   )),
  ),
  2
 ),
"")</f>
        <v/>
      </c>
      <c r="Q168" s="2" t="str" cm="1">
        <f t="array" aca="1" ref="Q168" ca="1">IFERROR(
 INDEX(
  _xlfn._xlws.FILTER($U$2:$AX$2,
   TRANSPOSE(
    CHOOSE({1;2;3;4;5;6;7;8;9;10;11;12;13;14;15;16;17;18;19;20;21;22;23;24;25;26;27;28;29;30},
     COUNTIFS($U$3:$U$201,$M168)&gt;0,
     COUNTIFS($V$3:$V$201,$M168)&gt;0,
     COUNTIFS($W$3:$W$201,$M168)&gt;0,
     COUNTIFS($X$3:$X$201,$M168)&gt;0,
     COUNTIFS($Y$3:$Y$201,$M168)&gt;0,
     COUNTIFS($Z$3:$Z$201,$M168)&gt;0,
     COUNTIFS($AA$3:$AA$201,$M168)&gt;0,
     COUNTIFS($AB$3:$AB$201,$M168)&gt;0,
     COUNTIFS($AC$3:$AC$201,$M168)&gt;0,
     COUNTIFS($AD$3:$AD$201,$M168)&gt;0,
     COUNTIFS($AE$3:$AE$201,$M168)&gt;0,
     COUNTIFS($AF$3:$AF$201,$M168)&gt;0,
     COUNTIFS($AG$3:$AG$201,$M168)&gt;0,
     COUNTIFS($AH$3:$AH$201,$M168)&gt;0,
     COUNTIFS($AI$3:$AI$201,$M168)&gt;0,
     COUNTIFS($AJ$3:$AJ$201,$M168)&gt;0,
     COUNTIFS($AK$3:$AK$201,$M168)&gt;0,
     COUNTIFS($AL$3:$AL$201,$M168)&gt;0,
     COUNTIFS($AM$3:$AM$201,$M168)&gt;0,
     COUNTIFS($AN$3:$AN$201,$M168)&gt;0,
     COUNTIFS($AO$3:$AO$201,$M168)&gt;0,
     COUNTIFS($AP$3:$AP$201,$M168)&gt;0,
     COUNTIFS($AQ$3:$AQ$201,$M168)&gt;0,
     COUNTIFS($AR$3:$AR$201,$M168)&gt;0,
     COUNTIFS($AS$3:$AS$201,$M168)&gt;0,
     COUNTIFS($AT$3:$AT$201,$M168)&gt;0,
     COUNTIFS($AU$3:$AU$201,$M168)&gt;0,
     COUNTIFS($AV$3:$AV$201,$M168)&gt;0,
     COUNTIFS($AW$3:$AW$201,$M168)&gt;0,
     COUNTIFS($AX$3:$AX$201,$M168)&gt;0
   )),
  ),
  3
 ),
"")</f>
        <v/>
      </c>
      <c r="ET168" t="str">
        <f ca="1"/>
        <v>Saheeli, Filigree Master</v>
      </c>
      <c r="EW168" t="str">
        <f ca="1"/>
        <v>Rosie Cotton of South Lane</v>
      </c>
    </row>
    <row r="169" spans="1:153" x14ac:dyDescent="0.25">
      <c r="A169" t="str">
        <f ca="1"/>
        <v>Freyalise, Llanowar's Fury</v>
      </c>
      <c r="B169" s="2" t="str" cm="1">
        <f t="array" aca="1" ref="B169" ca="1">_xlfn.ANCHORARRAY(RESUMO!C168)</f>
        <v>Sisay</v>
      </c>
      <c r="C169" s="2" t="str">
        <f t="shared" ca="1" si="8"/>
        <v/>
      </c>
      <c r="E169" t="str">
        <f ca="1"/>
        <v>Royalty Assassin</v>
      </c>
      <c r="F169" s="2">
        <f t="shared" ca="1" si="11"/>
        <v>1</v>
      </c>
      <c r="G169" s="2" t="str">
        <f t="shared" ca="1" si="9"/>
        <v>Rani</v>
      </c>
      <c r="J169" t="s">
        <v>180</v>
      </c>
      <c r="K169" s="2">
        <v>1</v>
      </c>
      <c r="M169" t="str">
        <f ca="1"/>
        <v>Royalty Assassin</v>
      </c>
      <c r="N169" s="2">
        <f t="shared" ca="1" si="10"/>
        <v>1</v>
      </c>
      <c r="O169" s="2" t="str">
        <f ca="1">IFERROR(
 INDEX($U$2:$AX$2,
  MATCH(TRUE,
   CHOOSE({1;2;3;4;5;6;7;8;9;10;11;12;13;14;15;16;17;18;19;20;21;22;23;24;25;26;27;28;29;30;31;32},
    COUNTIFS($U$3:$U$201,$M169)&gt;0,
    COUNTIFS($V$3:$V$201,$M169)&gt;0,
    COUNTIFS($W$3:$W$201,$M169)&gt;0,
    COUNTIFS($X$3:$X$201,$M169)&gt;0,
    COUNTIFS($Y$3:$Y$201,$M169)&gt;0,
    COUNTIFS($Z$3:$Z$201,$M169)&gt;0,
    COUNTIFS($AA$3:$AA$201,$M169)&gt;0,
    COUNTIFS($AB$3:$AB$201,$M169)&gt;0,
    COUNTIFS($AC$3:$AC$201,$M169)&gt;0,
    COUNTIFS($AD$3:$AD$201,$M169)&gt;0,
    COUNTIFS($AE$3:$AE$201,$M169)&gt;0,
    COUNTIFS($AF$3:$AF$201,$M169)&gt;0,
    COUNTIFS($AG$3:$AG$201,$M169)&gt;0,
    COUNTIFS($AH$3:$AH$201,$M169)&gt;0,
    COUNTIFS($AI$3:$AI$201,$M169)&gt;0,
    COUNTIFS($AJ$3:$AJ$201,$M169)&gt;0,
    COUNTIFS($AK$3:$AK$201,$M169)&gt;0,
    COUNTIFS($AL$3:$AL$201,$M169)&gt;0,
    COUNTIFS($AM$3:$AM$201,$M169)&gt;0,
    COUNTIFS($AN$3:$AN$201,$M169)&gt;0,
    COUNTIFS($AO$3:$AO$201,$M169)&gt;0,
    COUNTIFS($AP$3:$AP$201,$M169)&gt;0,
    COUNTIFS($AQ$3:$AQ$201,$M169)&gt;0,
    COUNTIFS($AR$3:$AR$201,$M169)&gt;0,
    COUNTIFS($AS$3:$AS$201,$M169)&gt;0,
    COUNTIFS($AT$3:$AT$201,$M169)&gt;0,
    COUNTIFS($AU$3:$AU$201,$M169)&gt;0,
    COUNTIFS($AV$3:$AV$201,$M169)&gt;0,
    COUNTIFS($AW$3:$AW$201,$M169)&gt;0,
    COUNTIFS($AX$3:$AX$201,$M169)&gt;0
   ),
  0)
 ),
"")</f>
        <v>Rani</v>
      </c>
      <c r="P169" s="2" t="str" cm="1">
        <f t="array" aca="1" ref="P169" ca="1">IFERROR(
 INDEX(
  _xlfn._xlws.FILTER($U$2:$AX$2,
   TRANSPOSE(
    CHOOSE({1;2;3;4;5;6;7;8;9;10;11;12;13;14;15;16;17;18;19;20;21;22;23;24;25;26;27;28;29;30},
     COUNTIFS($U$3:$U$201,$M169)&gt;0,
     COUNTIFS($V$3:$V$201,$M169)&gt;0,
     COUNTIFS($W$3:$W$201,$M169)&gt;0,
     COUNTIFS($X$3:$X$201,$M169)&gt;0,
     COUNTIFS($Y$3:$Y$201,$M169)&gt;0,
     COUNTIFS($Z$3:$Z$201,$M169)&gt;0,
     COUNTIFS($AA$3:$AA$201,$M169)&gt;0,
     COUNTIFS($AB$3:$AB$201,$M169)&gt;0,
     COUNTIFS($AC$3:$AC$201,$M169)&gt;0,
     COUNTIFS($AD$3:$AD$201,$M169)&gt;0,
     COUNTIFS($AE$3:$AE$201,$M169)&gt;0,
     COUNTIFS($AF$3:$AF$201,$M169)&gt;0,
     COUNTIFS($AG$3:$AG$201,$M169)&gt;0,
     COUNTIFS($AH$3:$AH$201,$M169)&gt;0,
     COUNTIFS($AI$3:$AI$201,$M169)&gt;0,
     COUNTIFS($AJ$3:$AJ$201,$M169)&gt;0,
     COUNTIFS($AK$3:$AK$201,$M169)&gt;0,
     COUNTIFS($AL$3:$AL$201,$M169)&gt;0,
     COUNTIFS($AM$3:$AM$201,$M169)&gt;0,
     COUNTIFS($AN$3:$AN$201,$M169)&gt;0,
     COUNTIFS($AO$3:$AO$201,$M169)&gt;0,
     COUNTIFS($AP$3:$AP$201,$M169)&gt;0,
     COUNTIFS($AQ$3:$AQ$201,$M169)&gt;0,
     COUNTIFS($AR$3:$AR$201,$M169)&gt;0,
     COUNTIFS($AS$3:$AS$201,$M169)&gt;0,
     COUNTIFS($AT$3:$AT$201,$M169)&gt;0,
     COUNTIFS($AU$3:$AU$201,$M169)&gt;0,
     COUNTIFS($AV$3:$AV$201,$M169)&gt;0,
     COUNTIFS($AW$3:$AW$201,$M169)&gt;0,
     COUNTIFS($AX$3:$AX$201,$M169)&gt;0
   )),
  ),
  2
 ),
"")</f>
        <v/>
      </c>
      <c r="Q169" s="2" t="str" cm="1">
        <f t="array" aca="1" ref="Q169" ca="1">IFERROR(
 INDEX(
  _xlfn._xlws.FILTER($U$2:$AX$2,
   TRANSPOSE(
    CHOOSE({1;2;3;4;5;6;7;8;9;10;11;12;13;14;15;16;17;18;19;20;21;22;23;24;25;26;27;28;29;30},
     COUNTIFS($U$3:$U$201,$M169)&gt;0,
     COUNTIFS($V$3:$V$201,$M169)&gt;0,
     COUNTIFS($W$3:$W$201,$M169)&gt;0,
     COUNTIFS($X$3:$X$201,$M169)&gt;0,
     COUNTIFS($Y$3:$Y$201,$M169)&gt;0,
     COUNTIFS($Z$3:$Z$201,$M169)&gt;0,
     COUNTIFS($AA$3:$AA$201,$M169)&gt;0,
     COUNTIFS($AB$3:$AB$201,$M169)&gt;0,
     COUNTIFS($AC$3:$AC$201,$M169)&gt;0,
     COUNTIFS($AD$3:$AD$201,$M169)&gt;0,
     COUNTIFS($AE$3:$AE$201,$M169)&gt;0,
     COUNTIFS($AF$3:$AF$201,$M169)&gt;0,
     COUNTIFS($AG$3:$AG$201,$M169)&gt;0,
     COUNTIFS($AH$3:$AH$201,$M169)&gt;0,
     COUNTIFS($AI$3:$AI$201,$M169)&gt;0,
     COUNTIFS($AJ$3:$AJ$201,$M169)&gt;0,
     COUNTIFS($AK$3:$AK$201,$M169)&gt;0,
     COUNTIFS($AL$3:$AL$201,$M169)&gt;0,
     COUNTIFS($AM$3:$AM$201,$M169)&gt;0,
     COUNTIFS($AN$3:$AN$201,$M169)&gt;0,
     COUNTIFS($AO$3:$AO$201,$M169)&gt;0,
     COUNTIFS($AP$3:$AP$201,$M169)&gt;0,
     COUNTIFS($AQ$3:$AQ$201,$M169)&gt;0,
     COUNTIFS($AR$3:$AR$201,$M169)&gt;0,
     COUNTIFS($AS$3:$AS$201,$M169)&gt;0,
     COUNTIFS($AT$3:$AT$201,$M169)&gt;0,
     COUNTIFS($AU$3:$AU$201,$M169)&gt;0,
     COUNTIFS($AV$3:$AV$201,$M169)&gt;0,
     COUNTIFS($AW$3:$AW$201,$M169)&gt;0,
     COUNTIFS($AX$3:$AX$201,$M169)&gt;0
   )),
  ),
  3
 ),
"")</f>
        <v/>
      </c>
      <c r="ET169" t="str">
        <f ca="1"/>
        <v>Saheeli, Sublime Artificer</v>
      </c>
      <c r="EW169" t="str">
        <f ca="1"/>
        <v>Royalty Assassin</v>
      </c>
    </row>
    <row r="170" spans="1:153" x14ac:dyDescent="0.25">
      <c r="A170" t="str">
        <f ca="1"/>
        <v>Galerider Sliver</v>
      </c>
      <c r="B170" s="2" t="str" cm="1">
        <f t="array" aca="1" ref="B170" ca="1">_xlfn.ANCHORARRAY(RESUMO!C169)</f>
        <v>Fractius</v>
      </c>
      <c r="C170" s="2" t="str">
        <f t="shared" ca="1" si="8"/>
        <v/>
      </c>
      <c r="E170" t="str">
        <f ca="1"/>
        <v>Rumble Arena</v>
      </c>
      <c r="F170" s="2">
        <f t="shared" ca="1" si="11"/>
        <v>1</v>
      </c>
      <c r="G170" s="2" t="str">
        <f t="shared" ca="1" si="9"/>
        <v>Modular</v>
      </c>
      <c r="J170" t="s">
        <v>180</v>
      </c>
      <c r="K170" s="2">
        <v>1</v>
      </c>
      <c r="M170" t="str">
        <f ca="1"/>
        <v>Rumble Arena</v>
      </c>
      <c r="N170" s="2">
        <f t="shared" ca="1" si="10"/>
        <v>1</v>
      </c>
      <c r="O170" s="2" t="str">
        <f ca="1">IFERROR(
 INDEX($U$2:$AX$2,
  MATCH(TRUE,
   CHOOSE({1;2;3;4;5;6;7;8;9;10;11;12;13;14;15;16;17;18;19;20;21;22;23;24;25;26;27;28;29;30;31;32},
    COUNTIFS($U$3:$U$201,$M170)&gt;0,
    COUNTIFS($V$3:$V$201,$M170)&gt;0,
    COUNTIFS($W$3:$W$201,$M170)&gt;0,
    COUNTIFS($X$3:$X$201,$M170)&gt;0,
    COUNTIFS($Y$3:$Y$201,$M170)&gt;0,
    COUNTIFS($Z$3:$Z$201,$M170)&gt;0,
    COUNTIFS($AA$3:$AA$201,$M170)&gt;0,
    COUNTIFS($AB$3:$AB$201,$M170)&gt;0,
    COUNTIFS($AC$3:$AC$201,$M170)&gt;0,
    COUNTIFS($AD$3:$AD$201,$M170)&gt;0,
    COUNTIFS($AE$3:$AE$201,$M170)&gt;0,
    COUNTIFS($AF$3:$AF$201,$M170)&gt;0,
    COUNTIFS($AG$3:$AG$201,$M170)&gt;0,
    COUNTIFS($AH$3:$AH$201,$M170)&gt;0,
    COUNTIFS($AI$3:$AI$201,$M170)&gt;0,
    COUNTIFS($AJ$3:$AJ$201,$M170)&gt;0,
    COUNTIFS($AK$3:$AK$201,$M170)&gt;0,
    COUNTIFS($AL$3:$AL$201,$M170)&gt;0,
    COUNTIFS($AM$3:$AM$201,$M170)&gt;0,
    COUNTIFS($AN$3:$AN$201,$M170)&gt;0,
    COUNTIFS($AO$3:$AO$201,$M170)&gt;0,
    COUNTIFS($AP$3:$AP$201,$M170)&gt;0,
    COUNTIFS($AQ$3:$AQ$201,$M170)&gt;0,
    COUNTIFS($AR$3:$AR$201,$M170)&gt;0,
    COUNTIFS($AS$3:$AS$201,$M170)&gt;0,
    COUNTIFS($AT$3:$AT$201,$M170)&gt;0,
    COUNTIFS($AU$3:$AU$201,$M170)&gt;0,
    COUNTIFS($AV$3:$AV$201,$M170)&gt;0,
    COUNTIFS($AW$3:$AW$201,$M170)&gt;0,
    COUNTIFS($AX$3:$AX$201,$M170)&gt;0
   ),
  0)
 ),
"")</f>
        <v>Modular</v>
      </c>
      <c r="P170" s="2" t="str" cm="1">
        <f t="array" aca="1" ref="P170" ca="1">IFERROR(
 INDEX(
  _xlfn._xlws.FILTER($U$2:$AX$2,
   TRANSPOSE(
    CHOOSE({1;2;3;4;5;6;7;8;9;10;11;12;13;14;15;16;17;18;19;20;21;22;23;24;25;26;27;28;29;30},
     COUNTIFS($U$3:$U$201,$M170)&gt;0,
     COUNTIFS($V$3:$V$201,$M170)&gt;0,
     COUNTIFS($W$3:$W$201,$M170)&gt;0,
     COUNTIFS($X$3:$X$201,$M170)&gt;0,
     COUNTIFS($Y$3:$Y$201,$M170)&gt;0,
     COUNTIFS($Z$3:$Z$201,$M170)&gt;0,
     COUNTIFS($AA$3:$AA$201,$M170)&gt;0,
     COUNTIFS($AB$3:$AB$201,$M170)&gt;0,
     COUNTIFS($AC$3:$AC$201,$M170)&gt;0,
     COUNTIFS($AD$3:$AD$201,$M170)&gt;0,
     COUNTIFS($AE$3:$AE$201,$M170)&gt;0,
     COUNTIFS($AF$3:$AF$201,$M170)&gt;0,
     COUNTIFS($AG$3:$AG$201,$M170)&gt;0,
     COUNTIFS($AH$3:$AH$201,$M170)&gt;0,
     COUNTIFS($AI$3:$AI$201,$M170)&gt;0,
     COUNTIFS($AJ$3:$AJ$201,$M170)&gt;0,
     COUNTIFS($AK$3:$AK$201,$M170)&gt;0,
     COUNTIFS($AL$3:$AL$201,$M170)&gt;0,
     COUNTIFS($AM$3:$AM$201,$M170)&gt;0,
     COUNTIFS($AN$3:$AN$201,$M170)&gt;0,
     COUNTIFS($AO$3:$AO$201,$M170)&gt;0,
     COUNTIFS($AP$3:$AP$201,$M170)&gt;0,
     COUNTIFS($AQ$3:$AQ$201,$M170)&gt;0,
     COUNTIFS($AR$3:$AR$201,$M170)&gt;0,
     COUNTIFS($AS$3:$AS$201,$M170)&gt;0,
     COUNTIFS($AT$3:$AT$201,$M170)&gt;0,
     COUNTIFS($AU$3:$AU$201,$M170)&gt;0,
     COUNTIFS($AV$3:$AV$201,$M170)&gt;0,
     COUNTIFS($AW$3:$AW$201,$M170)&gt;0,
     COUNTIFS($AX$3:$AX$201,$M170)&gt;0
   )),
  ),
  2
 ),
"")</f>
        <v/>
      </c>
      <c r="Q170" s="2" t="str" cm="1">
        <f t="array" aca="1" ref="Q170" ca="1">IFERROR(
 INDEX(
  _xlfn._xlws.FILTER($U$2:$AX$2,
   TRANSPOSE(
    CHOOSE({1;2;3;4;5;6;7;8;9;10;11;12;13;14;15;16;17;18;19;20;21;22;23;24;25;26;27;28;29;30},
     COUNTIFS($U$3:$U$201,$M170)&gt;0,
     COUNTIFS($V$3:$V$201,$M170)&gt;0,
     COUNTIFS($W$3:$W$201,$M170)&gt;0,
     COUNTIFS($X$3:$X$201,$M170)&gt;0,
     COUNTIFS($Y$3:$Y$201,$M170)&gt;0,
     COUNTIFS($Z$3:$Z$201,$M170)&gt;0,
     COUNTIFS($AA$3:$AA$201,$M170)&gt;0,
     COUNTIFS($AB$3:$AB$201,$M170)&gt;0,
     COUNTIFS($AC$3:$AC$201,$M170)&gt;0,
     COUNTIFS($AD$3:$AD$201,$M170)&gt;0,
     COUNTIFS($AE$3:$AE$201,$M170)&gt;0,
     COUNTIFS($AF$3:$AF$201,$M170)&gt;0,
     COUNTIFS($AG$3:$AG$201,$M170)&gt;0,
     COUNTIFS($AH$3:$AH$201,$M170)&gt;0,
     COUNTIFS($AI$3:$AI$201,$M170)&gt;0,
     COUNTIFS($AJ$3:$AJ$201,$M170)&gt;0,
     COUNTIFS($AK$3:$AK$201,$M170)&gt;0,
     COUNTIFS($AL$3:$AL$201,$M170)&gt;0,
     COUNTIFS($AM$3:$AM$201,$M170)&gt;0,
     COUNTIFS($AN$3:$AN$201,$M170)&gt;0,
     COUNTIFS($AO$3:$AO$201,$M170)&gt;0,
     COUNTIFS($AP$3:$AP$201,$M170)&gt;0,
     COUNTIFS($AQ$3:$AQ$201,$M170)&gt;0,
     COUNTIFS($AR$3:$AR$201,$M170)&gt;0,
     COUNTIFS($AS$3:$AS$201,$M170)&gt;0,
     COUNTIFS($AT$3:$AT$201,$M170)&gt;0,
     COUNTIFS($AU$3:$AU$201,$M170)&gt;0,
     COUNTIFS($AV$3:$AV$201,$M170)&gt;0,
     COUNTIFS($AW$3:$AW$201,$M170)&gt;0,
     COUNTIFS($AX$3:$AX$201,$M170)&gt;0
   )),
  ),
  3
 ),
"")</f>
        <v/>
      </c>
      <c r="ET170" t="str">
        <f ca="1"/>
        <v>Sanctum of Calm Waters</v>
      </c>
      <c r="EW170" t="str">
        <f ca="1"/>
        <v>Rumble Arena</v>
      </c>
    </row>
    <row r="171" spans="1:153" x14ac:dyDescent="0.25">
      <c r="A171" t="str">
        <f ca="1"/>
        <v>Gallifrey Council Chamber</v>
      </c>
      <c r="B171" s="2" t="str" cm="1">
        <f t="array" aca="1" ref="B171" ca="1">_xlfn.ANCHORARRAY(RESUMO!C170)</f>
        <v>Rani</v>
      </c>
      <c r="C171" s="2" t="str">
        <f t="shared" ca="1" si="8"/>
        <v/>
      </c>
      <c r="E171" t="str">
        <f ca="1"/>
        <v>Sacred Ground</v>
      </c>
      <c r="F171" s="2">
        <f t="shared" ca="1" si="11"/>
        <v>1</v>
      </c>
      <c r="G171" s="2" t="str">
        <f t="shared" ca="1" si="9"/>
        <v>Modular</v>
      </c>
      <c r="J171" t="s">
        <v>180</v>
      </c>
      <c r="K171" s="2">
        <v>1</v>
      </c>
      <c r="M171" t="str">
        <f ca="1"/>
        <v>Sacred Ground</v>
      </c>
      <c r="N171" s="2">
        <f t="shared" ca="1" si="10"/>
        <v>1</v>
      </c>
      <c r="O171" s="2" t="str">
        <f ca="1">IFERROR(
 INDEX($U$2:$AX$2,
  MATCH(TRUE,
   CHOOSE({1;2;3;4;5;6;7;8;9;10;11;12;13;14;15;16;17;18;19;20;21;22;23;24;25;26;27;28;29;30;31;32},
    COUNTIFS($U$3:$U$201,$M171)&gt;0,
    COUNTIFS($V$3:$V$201,$M171)&gt;0,
    COUNTIFS($W$3:$W$201,$M171)&gt;0,
    COUNTIFS($X$3:$X$201,$M171)&gt;0,
    COUNTIFS($Y$3:$Y$201,$M171)&gt;0,
    COUNTIFS($Z$3:$Z$201,$M171)&gt;0,
    COUNTIFS($AA$3:$AA$201,$M171)&gt;0,
    COUNTIFS($AB$3:$AB$201,$M171)&gt;0,
    COUNTIFS($AC$3:$AC$201,$M171)&gt;0,
    COUNTIFS($AD$3:$AD$201,$M171)&gt;0,
    COUNTIFS($AE$3:$AE$201,$M171)&gt;0,
    COUNTIFS($AF$3:$AF$201,$M171)&gt;0,
    COUNTIFS($AG$3:$AG$201,$M171)&gt;0,
    COUNTIFS($AH$3:$AH$201,$M171)&gt;0,
    COUNTIFS($AI$3:$AI$201,$M171)&gt;0,
    COUNTIFS($AJ$3:$AJ$201,$M171)&gt;0,
    COUNTIFS($AK$3:$AK$201,$M171)&gt;0,
    COUNTIFS($AL$3:$AL$201,$M171)&gt;0,
    COUNTIFS($AM$3:$AM$201,$M171)&gt;0,
    COUNTIFS($AN$3:$AN$201,$M171)&gt;0,
    COUNTIFS($AO$3:$AO$201,$M171)&gt;0,
    COUNTIFS($AP$3:$AP$201,$M171)&gt;0,
    COUNTIFS($AQ$3:$AQ$201,$M171)&gt;0,
    COUNTIFS($AR$3:$AR$201,$M171)&gt;0,
    COUNTIFS($AS$3:$AS$201,$M171)&gt;0,
    COUNTIFS($AT$3:$AT$201,$M171)&gt;0,
    COUNTIFS($AU$3:$AU$201,$M171)&gt;0,
    COUNTIFS($AV$3:$AV$201,$M171)&gt;0,
    COUNTIFS($AW$3:$AW$201,$M171)&gt;0,
    COUNTIFS($AX$3:$AX$201,$M171)&gt;0
   ),
  0)
 ),
"")</f>
        <v>Modular</v>
      </c>
      <c r="P171" s="2" t="str" cm="1">
        <f t="array" aca="1" ref="P171" ca="1">IFERROR(
 INDEX(
  _xlfn._xlws.FILTER($U$2:$AX$2,
   TRANSPOSE(
    CHOOSE({1;2;3;4;5;6;7;8;9;10;11;12;13;14;15;16;17;18;19;20;21;22;23;24;25;26;27;28;29;30},
     COUNTIFS($U$3:$U$201,$M171)&gt;0,
     COUNTIFS($V$3:$V$201,$M171)&gt;0,
     COUNTIFS($W$3:$W$201,$M171)&gt;0,
     COUNTIFS($X$3:$X$201,$M171)&gt;0,
     COUNTIFS($Y$3:$Y$201,$M171)&gt;0,
     COUNTIFS($Z$3:$Z$201,$M171)&gt;0,
     COUNTIFS($AA$3:$AA$201,$M171)&gt;0,
     COUNTIFS($AB$3:$AB$201,$M171)&gt;0,
     COUNTIFS($AC$3:$AC$201,$M171)&gt;0,
     COUNTIFS($AD$3:$AD$201,$M171)&gt;0,
     COUNTIFS($AE$3:$AE$201,$M171)&gt;0,
     COUNTIFS($AF$3:$AF$201,$M171)&gt;0,
     COUNTIFS($AG$3:$AG$201,$M171)&gt;0,
     COUNTIFS($AH$3:$AH$201,$M171)&gt;0,
     COUNTIFS($AI$3:$AI$201,$M171)&gt;0,
     COUNTIFS($AJ$3:$AJ$201,$M171)&gt;0,
     COUNTIFS($AK$3:$AK$201,$M171)&gt;0,
     COUNTIFS($AL$3:$AL$201,$M171)&gt;0,
     COUNTIFS($AM$3:$AM$201,$M171)&gt;0,
     COUNTIFS($AN$3:$AN$201,$M171)&gt;0,
     COUNTIFS($AO$3:$AO$201,$M171)&gt;0,
     COUNTIFS($AP$3:$AP$201,$M171)&gt;0,
     COUNTIFS($AQ$3:$AQ$201,$M171)&gt;0,
     COUNTIFS($AR$3:$AR$201,$M171)&gt;0,
     COUNTIFS($AS$3:$AS$201,$M171)&gt;0,
     COUNTIFS($AT$3:$AT$201,$M171)&gt;0,
     COUNTIFS($AU$3:$AU$201,$M171)&gt;0,
     COUNTIFS($AV$3:$AV$201,$M171)&gt;0,
     COUNTIFS($AW$3:$AW$201,$M171)&gt;0,
     COUNTIFS($AX$3:$AX$201,$M171)&gt;0
   )),
  ),
  2
 ),
"")</f>
        <v/>
      </c>
      <c r="Q171" s="2" t="str" cm="1">
        <f t="array" aca="1" ref="Q171" ca="1">IFERROR(
 INDEX(
  _xlfn._xlws.FILTER($U$2:$AX$2,
   TRANSPOSE(
    CHOOSE({1;2;3;4;5;6;7;8;9;10;11;12;13;14;15;16;17;18;19;20;21;22;23;24;25;26;27;28;29;30},
     COUNTIFS($U$3:$U$201,$M171)&gt;0,
     COUNTIFS($V$3:$V$201,$M171)&gt;0,
     COUNTIFS($W$3:$W$201,$M171)&gt;0,
     COUNTIFS($X$3:$X$201,$M171)&gt;0,
     COUNTIFS($Y$3:$Y$201,$M171)&gt;0,
     COUNTIFS($Z$3:$Z$201,$M171)&gt;0,
     COUNTIFS($AA$3:$AA$201,$M171)&gt;0,
     COUNTIFS($AB$3:$AB$201,$M171)&gt;0,
     COUNTIFS($AC$3:$AC$201,$M171)&gt;0,
     COUNTIFS($AD$3:$AD$201,$M171)&gt;0,
     COUNTIFS($AE$3:$AE$201,$M171)&gt;0,
     COUNTIFS($AF$3:$AF$201,$M171)&gt;0,
     COUNTIFS($AG$3:$AG$201,$M171)&gt;0,
     COUNTIFS($AH$3:$AH$201,$M171)&gt;0,
     COUNTIFS($AI$3:$AI$201,$M171)&gt;0,
     COUNTIFS($AJ$3:$AJ$201,$M171)&gt;0,
     COUNTIFS($AK$3:$AK$201,$M171)&gt;0,
     COUNTIFS($AL$3:$AL$201,$M171)&gt;0,
     COUNTIFS($AM$3:$AM$201,$M171)&gt;0,
     COUNTIFS($AN$3:$AN$201,$M171)&gt;0,
     COUNTIFS($AO$3:$AO$201,$M171)&gt;0,
     COUNTIFS($AP$3:$AP$201,$M171)&gt;0,
     COUNTIFS($AQ$3:$AQ$201,$M171)&gt;0,
     COUNTIFS($AR$3:$AR$201,$M171)&gt;0,
     COUNTIFS($AS$3:$AS$201,$M171)&gt;0,
     COUNTIFS($AT$3:$AT$201,$M171)&gt;0,
     COUNTIFS($AU$3:$AU$201,$M171)&gt;0,
     COUNTIFS($AV$3:$AV$201,$M171)&gt;0,
     COUNTIFS($AW$3:$AW$201,$M171)&gt;0,
     COUNTIFS($AX$3:$AX$201,$M171)&gt;0
   )),
  ),
  3
 ),
"")</f>
        <v/>
      </c>
      <c r="ET171" t="str">
        <f ca="1"/>
        <v>Sarinth Greatwurm</v>
      </c>
      <c r="EW171" t="str">
        <f ca="1"/>
        <v>Sacred Ground</v>
      </c>
    </row>
    <row r="172" spans="1:153" x14ac:dyDescent="0.25">
      <c r="A172" t="str">
        <f ca="1"/>
        <v>Gathering Stone</v>
      </c>
      <c r="B172" s="2" t="str" cm="1">
        <f t="array" aca="1" ref="B172" ca="1">_xlfn.ANCHORARRAY(RESUMO!C171)</f>
        <v>Inalla</v>
      </c>
      <c r="C172" s="2" t="str">
        <f t="shared" ca="1" si="8"/>
        <v/>
      </c>
      <c r="E172" t="str">
        <f ca="1"/>
        <v>Saheeli, Filigree Master</v>
      </c>
      <c r="F172" s="2">
        <f t="shared" ca="1" si="11"/>
        <v>1</v>
      </c>
      <c r="G172" s="2" t="str">
        <f t="shared" ca="1" si="9"/>
        <v>Breya</v>
      </c>
      <c r="J172" t="s">
        <v>180</v>
      </c>
      <c r="K172" s="2">
        <v>1</v>
      </c>
      <c r="M172" t="str">
        <f ca="1"/>
        <v>Saheeli, Filigree Master</v>
      </c>
      <c r="N172" s="2">
        <f t="shared" ca="1" si="10"/>
        <v>1</v>
      </c>
      <c r="O172" s="2" t="str">
        <f ca="1">IFERROR(
 INDEX($U$2:$AX$2,
  MATCH(TRUE,
   CHOOSE({1;2;3;4;5;6;7;8;9;10;11;12;13;14;15;16;17;18;19;20;21;22;23;24;25;26;27;28;29;30;31;32},
    COUNTIFS($U$3:$U$201,$M172)&gt;0,
    COUNTIFS($V$3:$V$201,$M172)&gt;0,
    COUNTIFS($W$3:$W$201,$M172)&gt;0,
    COUNTIFS($X$3:$X$201,$M172)&gt;0,
    COUNTIFS($Y$3:$Y$201,$M172)&gt;0,
    COUNTIFS($Z$3:$Z$201,$M172)&gt;0,
    COUNTIFS($AA$3:$AA$201,$M172)&gt;0,
    COUNTIFS($AB$3:$AB$201,$M172)&gt;0,
    COUNTIFS($AC$3:$AC$201,$M172)&gt;0,
    COUNTIFS($AD$3:$AD$201,$M172)&gt;0,
    COUNTIFS($AE$3:$AE$201,$M172)&gt;0,
    COUNTIFS($AF$3:$AF$201,$M172)&gt;0,
    COUNTIFS($AG$3:$AG$201,$M172)&gt;0,
    COUNTIFS($AH$3:$AH$201,$M172)&gt;0,
    COUNTIFS($AI$3:$AI$201,$M172)&gt;0,
    COUNTIFS($AJ$3:$AJ$201,$M172)&gt;0,
    COUNTIFS($AK$3:$AK$201,$M172)&gt;0,
    COUNTIFS($AL$3:$AL$201,$M172)&gt;0,
    COUNTIFS($AM$3:$AM$201,$M172)&gt;0,
    COUNTIFS($AN$3:$AN$201,$M172)&gt;0,
    COUNTIFS($AO$3:$AO$201,$M172)&gt;0,
    COUNTIFS($AP$3:$AP$201,$M172)&gt;0,
    COUNTIFS($AQ$3:$AQ$201,$M172)&gt;0,
    COUNTIFS($AR$3:$AR$201,$M172)&gt;0,
    COUNTIFS($AS$3:$AS$201,$M172)&gt;0,
    COUNTIFS($AT$3:$AT$201,$M172)&gt;0,
    COUNTIFS($AU$3:$AU$201,$M172)&gt;0,
    COUNTIFS($AV$3:$AV$201,$M172)&gt;0,
    COUNTIFS($AW$3:$AW$201,$M172)&gt;0,
    COUNTIFS($AX$3:$AX$201,$M172)&gt;0
   ),
  0)
 ),
"")</f>
        <v>Breya</v>
      </c>
      <c r="P172" s="2" t="str" cm="1">
        <f t="array" aca="1" ref="P172" ca="1">IFERROR(
 INDEX(
  _xlfn._xlws.FILTER($U$2:$AX$2,
   TRANSPOSE(
    CHOOSE({1;2;3;4;5;6;7;8;9;10;11;12;13;14;15;16;17;18;19;20;21;22;23;24;25;26;27;28;29;30},
     COUNTIFS($U$3:$U$201,$M172)&gt;0,
     COUNTIFS($V$3:$V$201,$M172)&gt;0,
     COUNTIFS($W$3:$W$201,$M172)&gt;0,
     COUNTIFS($X$3:$X$201,$M172)&gt;0,
     COUNTIFS($Y$3:$Y$201,$M172)&gt;0,
     COUNTIFS($Z$3:$Z$201,$M172)&gt;0,
     COUNTIFS($AA$3:$AA$201,$M172)&gt;0,
     COUNTIFS($AB$3:$AB$201,$M172)&gt;0,
     COUNTIFS($AC$3:$AC$201,$M172)&gt;0,
     COUNTIFS($AD$3:$AD$201,$M172)&gt;0,
     COUNTIFS($AE$3:$AE$201,$M172)&gt;0,
     COUNTIFS($AF$3:$AF$201,$M172)&gt;0,
     COUNTIFS($AG$3:$AG$201,$M172)&gt;0,
     COUNTIFS($AH$3:$AH$201,$M172)&gt;0,
     COUNTIFS($AI$3:$AI$201,$M172)&gt;0,
     COUNTIFS($AJ$3:$AJ$201,$M172)&gt;0,
     COUNTIFS($AK$3:$AK$201,$M172)&gt;0,
     COUNTIFS($AL$3:$AL$201,$M172)&gt;0,
     COUNTIFS($AM$3:$AM$201,$M172)&gt;0,
     COUNTIFS($AN$3:$AN$201,$M172)&gt;0,
     COUNTIFS($AO$3:$AO$201,$M172)&gt;0,
     COUNTIFS($AP$3:$AP$201,$M172)&gt;0,
     COUNTIFS($AQ$3:$AQ$201,$M172)&gt;0,
     COUNTIFS($AR$3:$AR$201,$M172)&gt;0,
     COUNTIFS($AS$3:$AS$201,$M172)&gt;0,
     COUNTIFS($AT$3:$AT$201,$M172)&gt;0,
     COUNTIFS($AU$3:$AU$201,$M172)&gt;0,
     COUNTIFS($AV$3:$AV$201,$M172)&gt;0,
     COUNTIFS($AW$3:$AW$201,$M172)&gt;0,
     COUNTIFS($AX$3:$AX$201,$M172)&gt;0
   )),
  ),
  2
 ),
"")</f>
        <v/>
      </c>
      <c r="Q172" s="2" t="str" cm="1">
        <f t="array" aca="1" ref="Q172" ca="1">IFERROR(
 INDEX(
  _xlfn._xlws.FILTER($U$2:$AX$2,
   TRANSPOSE(
    CHOOSE({1;2;3;4;5;6;7;8;9;10;11;12;13;14;15;16;17;18;19;20;21;22;23;24;25;26;27;28;29;30},
     COUNTIFS($U$3:$U$201,$M172)&gt;0,
     COUNTIFS($V$3:$V$201,$M172)&gt;0,
     COUNTIFS($W$3:$W$201,$M172)&gt;0,
     COUNTIFS($X$3:$X$201,$M172)&gt;0,
     COUNTIFS($Y$3:$Y$201,$M172)&gt;0,
     COUNTIFS($Z$3:$Z$201,$M172)&gt;0,
     COUNTIFS($AA$3:$AA$201,$M172)&gt;0,
     COUNTIFS($AB$3:$AB$201,$M172)&gt;0,
     COUNTIFS($AC$3:$AC$201,$M172)&gt;0,
     COUNTIFS($AD$3:$AD$201,$M172)&gt;0,
     COUNTIFS($AE$3:$AE$201,$M172)&gt;0,
     COUNTIFS($AF$3:$AF$201,$M172)&gt;0,
     COUNTIFS($AG$3:$AG$201,$M172)&gt;0,
     COUNTIFS($AH$3:$AH$201,$M172)&gt;0,
     COUNTIFS($AI$3:$AI$201,$M172)&gt;0,
     COUNTIFS($AJ$3:$AJ$201,$M172)&gt;0,
     COUNTIFS($AK$3:$AK$201,$M172)&gt;0,
     COUNTIFS($AL$3:$AL$201,$M172)&gt;0,
     COUNTIFS($AM$3:$AM$201,$M172)&gt;0,
     COUNTIFS($AN$3:$AN$201,$M172)&gt;0,
     COUNTIFS($AO$3:$AO$201,$M172)&gt;0,
     COUNTIFS($AP$3:$AP$201,$M172)&gt;0,
     COUNTIFS($AQ$3:$AQ$201,$M172)&gt;0,
     COUNTIFS($AR$3:$AR$201,$M172)&gt;0,
     COUNTIFS($AS$3:$AS$201,$M172)&gt;0,
     COUNTIFS($AT$3:$AT$201,$M172)&gt;0,
     COUNTIFS($AU$3:$AU$201,$M172)&gt;0,
     COUNTIFS($AV$3:$AV$201,$M172)&gt;0,
     COUNTIFS($AW$3:$AW$201,$M172)&gt;0,
     COUNTIFS($AX$3:$AX$201,$M172)&gt;0
   )),
  ),
  3
 ),
"")</f>
        <v/>
      </c>
      <c r="ET172" t="str">
        <f ca="1"/>
        <v>Savage Twister</v>
      </c>
      <c r="EW172" t="str">
        <f ca="1"/>
        <v>Saheeli, Filigree Master</v>
      </c>
    </row>
    <row r="173" spans="1:153" x14ac:dyDescent="0.25">
      <c r="A173" t="str">
        <f ca="1"/>
        <v>Gavony Township</v>
      </c>
      <c r="B173" s="2" t="str" cm="1">
        <f t="array" aca="1" ref="B173" ca="1">_xlfn.ANCHORARRAY(RESUMO!C172)</f>
        <v>Baylen</v>
      </c>
      <c r="C173" s="2" t="str">
        <f t="shared" ca="1" si="8"/>
        <v/>
      </c>
      <c r="E173" t="str">
        <f ca="1"/>
        <v>Saheeli, Sublime Artificer</v>
      </c>
      <c r="F173" s="2">
        <f t="shared" ca="1" si="11"/>
        <v>1</v>
      </c>
      <c r="G173" s="2" t="str">
        <f t="shared" ca="1" si="9"/>
        <v>Narset</v>
      </c>
      <c r="J173" t="s">
        <v>180</v>
      </c>
      <c r="K173" s="2">
        <v>1</v>
      </c>
      <c r="M173" t="str">
        <f ca="1"/>
        <v>Saheeli, Sublime Artificer</v>
      </c>
      <c r="N173" s="2">
        <f t="shared" ca="1" si="10"/>
        <v>1</v>
      </c>
      <c r="O173" s="2" t="str">
        <f ca="1">IFERROR(
 INDEX($U$2:$AX$2,
  MATCH(TRUE,
   CHOOSE({1;2;3;4;5;6;7;8;9;10;11;12;13;14;15;16;17;18;19;20;21;22;23;24;25;26;27;28;29;30;31;32},
    COUNTIFS($U$3:$U$201,$M173)&gt;0,
    COUNTIFS($V$3:$V$201,$M173)&gt;0,
    COUNTIFS($W$3:$W$201,$M173)&gt;0,
    COUNTIFS($X$3:$X$201,$M173)&gt;0,
    COUNTIFS($Y$3:$Y$201,$M173)&gt;0,
    COUNTIFS($Z$3:$Z$201,$M173)&gt;0,
    COUNTIFS($AA$3:$AA$201,$M173)&gt;0,
    COUNTIFS($AB$3:$AB$201,$M173)&gt;0,
    COUNTIFS($AC$3:$AC$201,$M173)&gt;0,
    COUNTIFS($AD$3:$AD$201,$M173)&gt;0,
    COUNTIFS($AE$3:$AE$201,$M173)&gt;0,
    COUNTIFS($AF$3:$AF$201,$M173)&gt;0,
    COUNTIFS($AG$3:$AG$201,$M173)&gt;0,
    COUNTIFS($AH$3:$AH$201,$M173)&gt;0,
    COUNTIFS($AI$3:$AI$201,$M173)&gt;0,
    COUNTIFS($AJ$3:$AJ$201,$M173)&gt;0,
    COUNTIFS($AK$3:$AK$201,$M173)&gt;0,
    COUNTIFS($AL$3:$AL$201,$M173)&gt;0,
    COUNTIFS($AM$3:$AM$201,$M173)&gt;0,
    COUNTIFS($AN$3:$AN$201,$M173)&gt;0,
    COUNTIFS($AO$3:$AO$201,$M173)&gt;0,
    COUNTIFS($AP$3:$AP$201,$M173)&gt;0,
    COUNTIFS($AQ$3:$AQ$201,$M173)&gt;0,
    COUNTIFS($AR$3:$AR$201,$M173)&gt;0,
    COUNTIFS($AS$3:$AS$201,$M173)&gt;0,
    COUNTIFS($AT$3:$AT$201,$M173)&gt;0,
    COUNTIFS($AU$3:$AU$201,$M173)&gt;0,
    COUNTIFS($AV$3:$AV$201,$M173)&gt;0,
    COUNTIFS($AW$3:$AW$201,$M173)&gt;0,
    COUNTIFS($AX$3:$AX$201,$M173)&gt;0
   ),
  0)
 ),
"")</f>
        <v>Narset</v>
      </c>
      <c r="P173" s="2" t="str" cm="1">
        <f t="array" aca="1" ref="P173" ca="1">IFERROR(
 INDEX(
  _xlfn._xlws.FILTER($U$2:$AX$2,
   TRANSPOSE(
    CHOOSE({1;2;3;4;5;6;7;8;9;10;11;12;13;14;15;16;17;18;19;20;21;22;23;24;25;26;27;28;29;30},
     COUNTIFS($U$3:$U$201,$M173)&gt;0,
     COUNTIFS($V$3:$V$201,$M173)&gt;0,
     COUNTIFS($W$3:$W$201,$M173)&gt;0,
     COUNTIFS($X$3:$X$201,$M173)&gt;0,
     COUNTIFS($Y$3:$Y$201,$M173)&gt;0,
     COUNTIFS($Z$3:$Z$201,$M173)&gt;0,
     COUNTIFS($AA$3:$AA$201,$M173)&gt;0,
     COUNTIFS($AB$3:$AB$201,$M173)&gt;0,
     COUNTIFS($AC$3:$AC$201,$M173)&gt;0,
     COUNTIFS($AD$3:$AD$201,$M173)&gt;0,
     COUNTIFS($AE$3:$AE$201,$M173)&gt;0,
     COUNTIFS($AF$3:$AF$201,$M173)&gt;0,
     COUNTIFS($AG$3:$AG$201,$M173)&gt;0,
     COUNTIFS($AH$3:$AH$201,$M173)&gt;0,
     COUNTIFS($AI$3:$AI$201,$M173)&gt;0,
     COUNTIFS($AJ$3:$AJ$201,$M173)&gt;0,
     COUNTIFS($AK$3:$AK$201,$M173)&gt;0,
     COUNTIFS($AL$3:$AL$201,$M173)&gt;0,
     COUNTIFS($AM$3:$AM$201,$M173)&gt;0,
     COUNTIFS($AN$3:$AN$201,$M173)&gt;0,
     COUNTIFS($AO$3:$AO$201,$M173)&gt;0,
     COUNTIFS($AP$3:$AP$201,$M173)&gt;0,
     COUNTIFS($AQ$3:$AQ$201,$M173)&gt;0,
     COUNTIFS($AR$3:$AR$201,$M173)&gt;0,
     COUNTIFS($AS$3:$AS$201,$M173)&gt;0,
     COUNTIFS($AT$3:$AT$201,$M173)&gt;0,
     COUNTIFS($AU$3:$AU$201,$M173)&gt;0,
     COUNTIFS($AV$3:$AV$201,$M173)&gt;0,
     COUNTIFS($AW$3:$AW$201,$M173)&gt;0,
     COUNTIFS($AX$3:$AX$201,$M173)&gt;0
   )),
  ),
  2
 ),
"")</f>
        <v/>
      </c>
      <c r="Q173" s="2" t="str" cm="1">
        <f t="array" aca="1" ref="Q173" ca="1">IFERROR(
 INDEX(
  _xlfn._xlws.FILTER($U$2:$AX$2,
   TRANSPOSE(
    CHOOSE({1;2;3;4;5;6;7;8;9;10;11;12;13;14;15;16;17;18;19;20;21;22;23;24;25;26;27;28;29;30},
     COUNTIFS($U$3:$U$201,$M173)&gt;0,
     COUNTIFS($V$3:$V$201,$M173)&gt;0,
     COUNTIFS($W$3:$W$201,$M173)&gt;0,
     COUNTIFS($X$3:$X$201,$M173)&gt;0,
     COUNTIFS($Y$3:$Y$201,$M173)&gt;0,
     COUNTIFS($Z$3:$Z$201,$M173)&gt;0,
     COUNTIFS($AA$3:$AA$201,$M173)&gt;0,
     COUNTIFS($AB$3:$AB$201,$M173)&gt;0,
     COUNTIFS($AC$3:$AC$201,$M173)&gt;0,
     COUNTIFS($AD$3:$AD$201,$M173)&gt;0,
     COUNTIFS($AE$3:$AE$201,$M173)&gt;0,
     COUNTIFS($AF$3:$AF$201,$M173)&gt;0,
     COUNTIFS($AG$3:$AG$201,$M173)&gt;0,
     COUNTIFS($AH$3:$AH$201,$M173)&gt;0,
     COUNTIFS($AI$3:$AI$201,$M173)&gt;0,
     COUNTIFS($AJ$3:$AJ$201,$M173)&gt;0,
     COUNTIFS($AK$3:$AK$201,$M173)&gt;0,
     COUNTIFS($AL$3:$AL$201,$M173)&gt;0,
     COUNTIFS($AM$3:$AM$201,$M173)&gt;0,
     COUNTIFS($AN$3:$AN$201,$M173)&gt;0,
     COUNTIFS($AO$3:$AO$201,$M173)&gt;0,
     COUNTIFS($AP$3:$AP$201,$M173)&gt;0,
     COUNTIFS($AQ$3:$AQ$201,$M173)&gt;0,
     COUNTIFS($AR$3:$AR$201,$M173)&gt;0,
     COUNTIFS($AS$3:$AS$201,$M173)&gt;0,
     COUNTIFS($AT$3:$AT$201,$M173)&gt;0,
     COUNTIFS($AU$3:$AU$201,$M173)&gt;0,
     COUNTIFS($AV$3:$AV$201,$M173)&gt;0,
     COUNTIFS($AW$3:$AW$201,$M173)&gt;0,
     COUNTIFS($AX$3:$AX$201,$M173)&gt;0
   )),
  ),
  3
 ),
"")</f>
        <v/>
      </c>
      <c r="ET173" t="str">
        <f ca="1"/>
        <v>Scavenging Ooze</v>
      </c>
      <c r="EW173" t="str">
        <f ca="1"/>
        <v>Saheeli, Sublime Artificer</v>
      </c>
    </row>
    <row r="174" spans="1:153" x14ac:dyDescent="0.25">
      <c r="A174" t="str">
        <f ca="1"/>
        <v>Gemhide Sliver</v>
      </c>
      <c r="B174" s="2" t="str" cm="1">
        <f t="array" aca="1" ref="B174" ca="1">_xlfn.ANCHORARRAY(RESUMO!C173)</f>
        <v>Fractius</v>
      </c>
      <c r="C174" s="2" t="str">
        <f t="shared" ca="1" si="8"/>
        <v/>
      </c>
      <c r="E174" t="str">
        <f ca="1"/>
        <v>Sanctum of Calm Waters</v>
      </c>
      <c r="F174" s="2">
        <f t="shared" ca="1" si="11"/>
        <v>1</v>
      </c>
      <c r="G174" s="2" t="str">
        <f t="shared" ca="1" si="9"/>
        <v>Narset</v>
      </c>
      <c r="J174" t="s">
        <v>180</v>
      </c>
      <c r="K174" s="2">
        <v>1</v>
      </c>
      <c r="M174" t="str">
        <f ca="1"/>
        <v>Sanctum of Calm Waters</v>
      </c>
      <c r="N174" s="2">
        <f t="shared" ca="1" si="10"/>
        <v>1</v>
      </c>
      <c r="O174" s="2" t="str">
        <f ca="1">IFERROR(
 INDEX($U$2:$AX$2,
  MATCH(TRUE,
   CHOOSE({1;2;3;4;5;6;7;8;9;10;11;12;13;14;15;16;17;18;19;20;21;22;23;24;25;26;27;28;29;30;31;32},
    COUNTIFS($U$3:$U$201,$M174)&gt;0,
    COUNTIFS($V$3:$V$201,$M174)&gt;0,
    COUNTIFS($W$3:$W$201,$M174)&gt;0,
    COUNTIFS($X$3:$X$201,$M174)&gt;0,
    COUNTIFS($Y$3:$Y$201,$M174)&gt;0,
    COUNTIFS($Z$3:$Z$201,$M174)&gt;0,
    COUNTIFS($AA$3:$AA$201,$M174)&gt;0,
    COUNTIFS($AB$3:$AB$201,$M174)&gt;0,
    COUNTIFS($AC$3:$AC$201,$M174)&gt;0,
    COUNTIFS($AD$3:$AD$201,$M174)&gt;0,
    COUNTIFS($AE$3:$AE$201,$M174)&gt;0,
    COUNTIFS($AF$3:$AF$201,$M174)&gt;0,
    COUNTIFS($AG$3:$AG$201,$M174)&gt;0,
    COUNTIFS($AH$3:$AH$201,$M174)&gt;0,
    COUNTIFS($AI$3:$AI$201,$M174)&gt;0,
    COUNTIFS($AJ$3:$AJ$201,$M174)&gt;0,
    COUNTIFS($AK$3:$AK$201,$M174)&gt;0,
    COUNTIFS($AL$3:$AL$201,$M174)&gt;0,
    COUNTIFS($AM$3:$AM$201,$M174)&gt;0,
    COUNTIFS($AN$3:$AN$201,$M174)&gt;0,
    COUNTIFS($AO$3:$AO$201,$M174)&gt;0,
    COUNTIFS($AP$3:$AP$201,$M174)&gt;0,
    COUNTIFS($AQ$3:$AQ$201,$M174)&gt;0,
    COUNTIFS($AR$3:$AR$201,$M174)&gt;0,
    COUNTIFS($AS$3:$AS$201,$M174)&gt;0,
    COUNTIFS($AT$3:$AT$201,$M174)&gt;0,
    COUNTIFS($AU$3:$AU$201,$M174)&gt;0,
    COUNTIFS($AV$3:$AV$201,$M174)&gt;0,
    COUNTIFS($AW$3:$AW$201,$M174)&gt;0,
    COUNTIFS($AX$3:$AX$201,$M174)&gt;0
   ),
  0)
 ),
"")</f>
        <v>Narset</v>
      </c>
      <c r="P174" s="2" t="str" cm="1">
        <f t="array" aca="1" ref="P174" ca="1">IFERROR(
 INDEX(
  _xlfn._xlws.FILTER($U$2:$AX$2,
   TRANSPOSE(
    CHOOSE({1;2;3;4;5;6;7;8;9;10;11;12;13;14;15;16;17;18;19;20;21;22;23;24;25;26;27;28;29;30},
     COUNTIFS($U$3:$U$201,$M174)&gt;0,
     COUNTIFS($V$3:$V$201,$M174)&gt;0,
     COUNTIFS($W$3:$W$201,$M174)&gt;0,
     COUNTIFS($X$3:$X$201,$M174)&gt;0,
     COUNTIFS($Y$3:$Y$201,$M174)&gt;0,
     COUNTIFS($Z$3:$Z$201,$M174)&gt;0,
     COUNTIFS($AA$3:$AA$201,$M174)&gt;0,
     COUNTIFS($AB$3:$AB$201,$M174)&gt;0,
     COUNTIFS($AC$3:$AC$201,$M174)&gt;0,
     COUNTIFS($AD$3:$AD$201,$M174)&gt;0,
     COUNTIFS($AE$3:$AE$201,$M174)&gt;0,
     COUNTIFS($AF$3:$AF$201,$M174)&gt;0,
     COUNTIFS($AG$3:$AG$201,$M174)&gt;0,
     COUNTIFS($AH$3:$AH$201,$M174)&gt;0,
     COUNTIFS($AI$3:$AI$201,$M174)&gt;0,
     COUNTIFS($AJ$3:$AJ$201,$M174)&gt;0,
     COUNTIFS($AK$3:$AK$201,$M174)&gt;0,
     COUNTIFS($AL$3:$AL$201,$M174)&gt;0,
     COUNTIFS($AM$3:$AM$201,$M174)&gt;0,
     COUNTIFS($AN$3:$AN$201,$M174)&gt;0,
     COUNTIFS($AO$3:$AO$201,$M174)&gt;0,
     COUNTIFS($AP$3:$AP$201,$M174)&gt;0,
     COUNTIFS($AQ$3:$AQ$201,$M174)&gt;0,
     COUNTIFS($AR$3:$AR$201,$M174)&gt;0,
     COUNTIFS($AS$3:$AS$201,$M174)&gt;0,
     COUNTIFS($AT$3:$AT$201,$M174)&gt;0,
     COUNTIFS($AU$3:$AU$201,$M174)&gt;0,
     COUNTIFS($AV$3:$AV$201,$M174)&gt;0,
     COUNTIFS($AW$3:$AW$201,$M174)&gt;0,
     COUNTIFS($AX$3:$AX$201,$M174)&gt;0
   )),
  ),
  2
 ),
"")</f>
        <v/>
      </c>
      <c r="Q174" s="2" t="str" cm="1">
        <f t="array" aca="1" ref="Q174" ca="1">IFERROR(
 INDEX(
  _xlfn._xlws.FILTER($U$2:$AX$2,
   TRANSPOSE(
    CHOOSE({1;2;3;4;5;6;7;8;9;10;11;12;13;14;15;16;17;18;19;20;21;22;23;24;25;26;27;28;29;30},
     COUNTIFS($U$3:$U$201,$M174)&gt;0,
     COUNTIFS($V$3:$V$201,$M174)&gt;0,
     COUNTIFS($W$3:$W$201,$M174)&gt;0,
     COUNTIFS($X$3:$X$201,$M174)&gt;0,
     COUNTIFS($Y$3:$Y$201,$M174)&gt;0,
     COUNTIFS($Z$3:$Z$201,$M174)&gt;0,
     COUNTIFS($AA$3:$AA$201,$M174)&gt;0,
     COUNTIFS($AB$3:$AB$201,$M174)&gt;0,
     COUNTIFS($AC$3:$AC$201,$M174)&gt;0,
     COUNTIFS($AD$3:$AD$201,$M174)&gt;0,
     COUNTIFS($AE$3:$AE$201,$M174)&gt;0,
     COUNTIFS($AF$3:$AF$201,$M174)&gt;0,
     COUNTIFS($AG$3:$AG$201,$M174)&gt;0,
     COUNTIFS($AH$3:$AH$201,$M174)&gt;0,
     COUNTIFS($AI$3:$AI$201,$M174)&gt;0,
     COUNTIFS($AJ$3:$AJ$201,$M174)&gt;0,
     COUNTIFS($AK$3:$AK$201,$M174)&gt;0,
     COUNTIFS($AL$3:$AL$201,$M174)&gt;0,
     COUNTIFS($AM$3:$AM$201,$M174)&gt;0,
     COUNTIFS($AN$3:$AN$201,$M174)&gt;0,
     COUNTIFS($AO$3:$AO$201,$M174)&gt;0,
     COUNTIFS($AP$3:$AP$201,$M174)&gt;0,
     COUNTIFS($AQ$3:$AQ$201,$M174)&gt;0,
     COUNTIFS($AR$3:$AR$201,$M174)&gt;0,
     COUNTIFS($AS$3:$AS$201,$M174)&gt;0,
     COUNTIFS($AT$3:$AT$201,$M174)&gt;0,
     COUNTIFS($AU$3:$AU$201,$M174)&gt;0,
     COUNTIFS($AV$3:$AV$201,$M174)&gt;0,
     COUNTIFS($AW$3:$AW$201,$M174)&gt;0,
     COUNTIFS($AX$3:$AX$201,$M174)&gt;0
   )),
  ),
  3
 ),
"")</f>
        <v/>
      </c>
      <c r="ET174" t="str">
        <f ca="1"/>
        <v>Scourge of Fleets</v>
      </c>
      <c r="EW174" t="str">
        <f ca="1"/>
        <v>Sanctum of Calm Waters</v>
      </c>
    </row>
    <row r="175" spans="1:153" x14ac:dyDescent="0.25">
      <c r="A175" t="str">
        <f ca="1"/>
        <v>Generous Gift</v>
      </c>
      <c r="B175" s="2" t="str" cm="1">
        <f t="array" aca="1" ref="B175" ca="1">_xlfn.ANCHORARRAY(RESUMO!C174)</f>
        <v>Zuko</v>
      </c>
      <c r="C175" s="2" t="str">
        <f t="shared" ca="1" si="8"/>
        <v/>
      </c>
      <c r="E175" t="str">
        <f ca="1"/>
        <v>Sarinth Greatwurm</v>
      </c>
      <c r="F175" s="2">
        <f t="shared" ca="1" si="11"/>
        <v>1</v>
      </c>
      <c r="G175" s="2" t="str">
        <f t="shared" ca="1" si="9"/>
        <v>Thrakiri</v>
      </c>
      <c r="J175" t="s">
        <v>180</v>
      </c>
      <c r="K175" s="2">
        <v>1</v>
      </c>
      <c r="M175" t="str">
        <f ca="1"/>
        <v>Sarinth Greatwurm</v>
      </c>
      <c r="N175" s="2">
        <f t="shared" ca="1" si="10"/>
        <v>1</v>
      </c>
      <c r="O175" s="2" t="str">
        <f ca="1">IFERROR(
 INDEX($U$2:$AX$2,
  MATCH(TRUE,
   CHOOSE({1;2;3;4;5;6;7;8;9;10;11;12;13;14;15;16;17;18;19;20;21;22;23;24;25;26;27;28;29;30;31;32},
    COUNTIFS($U$3:$U$201,$M175)&gt;0,
    COUNTIFS($V$3:$V$201,$M175)&gt;0,
    COUNTIFS($W$3:$W$201,$M175)&gt;0,
    COUNTIFS($X$3:$X$201,$M175)&gt;0,
    COUNTIFS($Y$3:$Y$201,$M175)&gt;0,
    COUNTIFS($Z$3:$Z$201,$M175)&gt;0,
    COUNTIFS($AA$3:$AA$201,$M175)&gt;0,
    COUNTIFS($AB$3:$AB$201,$M175)&gt;0,
    COUNTIFS($AC$3:$AC$201,$M175)&gt;0,
    COUNTIFS($AD$3:$AD$201,$M175)&gt;0,
    COUNTIFS($AE$3:$AE$201,$M175)&gt;0,
    COUNTIFS($AF$3:$AF$201,$M175)&gt;0,
    COUNTIFS($AG$3:$AG$201,$M175)&gt;0,
    COUNTIFS($AH$3:$AH$201,$M175)&gt;0,
    COUNTIFS($AI$3:$AI$201,$M175)&gt;0,
    COUNTIFS($AJ$3:$AJ$201,$M175)&gt;0,
    COUNTIFS($AK$3:$AK$201,$M175)&gt;0,
    COUNTIFS($AL$3:$AL$201,$M175)&gt;0,
    COUNTIFS($AM$3:$AM$201,$M175)&gt;0,
    COUNTIFS($AN$3:$AN$201,$M175)&gt;0,
    COUNTIFS($AO$3:$AO$201,$M175)&gt;0,
    COUNTIFS($AP$3:$AP$201,$M175)&gt;0,
    COUNTIFS($AQ$3:$AQ$201,$M175)&gt;0,
    COUNTIFS($AR$3:$AR$201,$M175)&gt;0,
    COUNTIFS($AS$3:$AS$201,$M175)&gt;0,
    COUNTIFS($AT$3:$AT$201,$M175)&gt;0,
    COUNTIFS($AU$3:$AU$201,$M175)&gt;0,
    COUNTIFS($AV$3:$AV$201,$M175)&gt;0,
    COUNTIFS($AW$3:$AW$201,$M175)&gt;0,
    COUNTIFS($AX$3:$AX$201,$M175)&gt;0
   ),
  0)
 ),
"")</f>
        <v>Thrakiri</v>
      </c>
      <c r="P175" s="2" t="str" cm="1">
        <f t="array" aca="1" ref="P175" ca="1">IFERROR(
 INDEX(
  _xlfn._xlws.FILTER($U$2:$AX$2,
   TRANSPOSE(
    CHOOSE({1;2;3;4;5;6;7;8;9;10;11;12;13;14;15;16;17;18;19;20;21;22;23;24;25;26;27;28;29;30},
     COUNTIFS($U$3:$U$201,$M175)&gt;0,
     COUNTIFS($V$3:$V$201,$M175)&gt;0,
     COUNTIFS($W$3:$W$201,$M175)&gt;0,
     COUNTIFS($X$3:$X$201,$M175)&gt;0,
     COUNTIFS($Y$3:$Y$201,$M175)&gt;0,
     COUNTIFS($Z$3:$Z$201,$M175)&gt;0,
     COUNTIFS($AA$3:$AA$201,$M175)&gt;0,
     COUNTIFS($AB$3:$AB$201,$M175)&gt;0,
     COUNTIFS($AC$3:$AC$201,$M175)&gt;0,
     COUNTIFS($AD$3:$AD$201,$M175)&gt;0,
     COUNTIFS($AE$3:$AE$201,$M175)&gt;0,
     COUNTIFS($AF$3:$AF$201,$M175)&gt;0,
     COUNTIFS($AG$3:$AG$201,$M175)&gt;0,
     COUNTIFS($AH$3:$AH$201,$M175)&gt;0,
     COUNTIFS($AI$3:$AI$201,$M175)&gt;0,
     COUNTIFS($AJ$3:$AJ$201,$M175)&gt;0,
     COUNTIFS($AK$3:$AK$201,$M175)&gt;0,
     COUNTIFS($AL$3:$AL$201,$M175)&gt;0,
     COUNTIFS($AM$3:$AM$201,$M175)&gt;0,
     COUNTIFS($AN$3:$AN$201,$M175)&gt;0,
     COUNTIFS($AO$3:$AO$201,$M175)&gt;0,
     COUNTIFS($AP$3:$AP$201,$M175)&gt;0,
     COUNTIFS($AQ$3:$AQ$201,$M175)&gt;0,
     COUNTIFS($AR$3:$AR$201,$M175)&gt;0,
     COUNTIFS($AS$3:$AS$201,$M175)&gt;0,
     COUNTIFS($AT$3:$AT$201,$M175)&gt;0,
     COUNTIFS($AU$3:$AU$201,$M175)&gt;0,
     COUNTIFS($AV$3:$AV$201,$M175)&gt;0,
     COUNTIFS($AW$3:$AW$201,$M175)&gt;0,
     COUNTIFS($AX$3:$AX$201,$M175)&gt;0
   )),
  ),
  2
 ),
"")</f>
        <v/>
      </c>
      <c r="Q175" s="2" t="str" cm="1">
        <f t="array" aca="1" ref="Q175" ca="1">IFERROR(
 INDEX(
  _xlfn._xlws.FILTER($U$2:$AX$2,
   TRANSPOSE(
    CHOOSE({1;2;3;4;5;6;7;8;9;10;11;12;13;14;15;16;17;18;19;20;21;22;23;24;25;26;27;28;29;30},
     COUNTIFS($U$3:$U$201,$M175)&gt;0,
     COUNTIFS($V$3:$V$201,$M175)&gt;0,
     COUNTIFS($W$3:$W$201,$M175)&gt;0,
     COUNTIFS($X$3:$X$201,$M175)&gt;0,
     COUNTIFS($Y$3:$Y$201,$M175)&gt;0,
     COUNTIFS($Z$3:$Z$201,$M175)&gt;0,
     COUNTIFS($AA$3:$AA$201,$M175)&gt;0,
     COUNTIFS($AB$3:$AB$201,$M175)&gt;0,
     COUNTIFS($AC$3:$AC$201,$M175)&gt;0,
     COUNTIFS($AD$3:$AD$201,$M175)&gt;0,
     COUNTIFS($AE$3:$AE$201,$M175)&gt;0,
     COUNTIFS($AF$3:$AF$201,$M175)&gt;0,
     COUNTIFS($AG$3:$AG$201,$M175)&gt;0,
     COUNTIFS($AH$3:$AH$201,$M175)&gt;0,
     COUNTIFS($AI$3:$AI$201,$M175)&gt;0,
     COUNTIFS($AJ$3:$AJ$201,$M175)&gt;0,
     COUNTIFS($AK$3:$AK$201,$M175)&gt;0,
     COUNTIFS($AL$3:$AL$201,$M175)&gt;0,
     COUNTIFS($AM$3:$AM$201,$M175)&gt;0,
     COUNTIFS($AN$3:$AN$201,$M175)&gt;0,
     COUNTIFS($AO$3:$AO$201,$M175)&gt;0,
     COUNTIFS($AP$3:$AP$201,$M175)&gt;0,
     COUNTIFS($AQ$3:$AQ$201,$M175)&gt;0,
     COUNTIFS($AR$3:$AR$201,$M175)&gt;0,
     COUNTIFS($AS$3:$AS$201,$M175)&gt;0,
     COUNTIFS($AT$3:$AT$201,$M175)&gt;0,
     COUNTIFS($AU$3:$AU$201,$M175)&gt;0,
     COUNTIFS($AV$3:$AV$201,$M175)&gt;0,
     COUNTIFS($AW$3:$AW$201,$M175)&gt;0,
     COUNTIFS($AX$3:$AX$201,$M175)&gt;0
   )),
  ),
  3
 ),
"")</f>
        <v/>
      </c>
      <c r="ET175" t="str">
        <f ca="1"/>
        <v>Scourge of Skola Vale</v>
      </c>
      <c r="EW175" t="str">
        <f ca="1"/>
        <v>Sarinth Greatwurm</v>
      </c>
    </row>
    <row r="176" spans="1:153" x14ac:dyDescent="0.25">
      <c r="A176" t="str">
        <f ca="1"/>
        <v>Generous Patron</v>
      </c>
      <c r="B176" s="2" t="str" cm="1">
        <f t="array" aca="1" ref="B176" ca="1">_xlfn.ANCHORARRAY(RESUMO!C175)</f>
        <v>Ool</v>
      </c>
      <c r="C176" s="2" t="str">
        <f t="shared" ca="1" si="8"/>
        <v/>
      </c>
      <c r="E176" t="str">
        <f ca="1"/>
        <v>Savage Twister</v>
      </c>
      <c r="F176" s="2">
        <f t="shared" ca="1" si="11"/>
        <v>1</v>
      </c>
      <c r="G176" s="2" t="str">
        <f t="shared" ca="1" si="9"/>
        <v>Kresh</v>
      </c>
      <c r="J176" t="s">
        <v>180</v>
      </c>
      <c r="K176" s="2">
        <v>1</v>
      </c>
      <c r="M176" t="str">
        <f ca="1"/>
        <v>Savage Twister</v>
      </c>
      <c r="N176" s="2">
        <f t="shared" ca="1" si="10"/>
        <v>1</v>
      </c>
      <c r="O176" s="2" t="str">
        <f ca="1">IFERROR(
 INDEX($U$2:$AX$2,
  MATCH(TRUE,
   CHOOSE({1;2;3;4;5;6;7;8;9;10;11;12;13;14;15;16;17;18;19;20;21;22;23;24;25;26;27;28;29;30;31;32},
    COUNTIFS($U$3:$U$201,$M176)&gt;0,
    COUNTIFS($V$3:$V$201,$M176)&gt;0,
    COUNTIFS($W$3:$W$201,$M176)&gt;0,
    COUNTIFS($X$3:$X$201,$M176)&gt;0,
    COUNTIFS($Y$3:$Y$201,$M176)&gt;0,
    COUNTIFS($Z$3:$Z$201,$M176)&gt;0,
    COUNTIFS($AA$3:$AA$201,$M176)&gt;0,
    COUNTIFS($AB$3:$AB$201,$M176)&gt;0,
    COUNTIFS($AC$3:$AC$201,$M176)&gt;0,
    COUNTIFS($AD$3:$AD$201,$M176)&gt;0,
    COUNTIFS($AE$3:$AE$201,$M176)&gt;0,
    COUNTIFS($AF$3:$AF$201,$M176)&gt;0,
    COUNTIFS($AG$3:$AG$201,$M176)&gt;0,
    COUNTIFS($AH$3:$AH$201,$M176)&gt;0,
    COUNTIFS($AI$3:$AI$201,$M176)&gt;0,
    COUNTIFS($AJ$3:$AJ$201,$M176)&gt;0,
    COUNTIFS($AK$3:$AK$201,$M176)&gt;0,
    COUNTIFS($AL$3:$AL$201,$M176)&gt;0,
    COUNTIFS($AM$3:$AM$201,$M176)&gt;0,
    COUNTIFS($AN$3:$AN$201,$M176)&gt;0,
    COUNTIFS($AO$3:$AO$201,$M176)&gt;0,
    COUNTIFS($AP$3:$AP$201,$M176)&gt;0,
    COUNTIFS($AQ$3:$AQ$201,$M176)&gt;0,
    COUNTIFS($AR$3:$AR$201,$M176)&gt;0,
    COUNTIFS($AS$3:$AS$201,$M176)&gt;0,
    COUNTIFS($AT$3:$AT$201,$M176)&gt;0,
    COUNTIFS($AU$3:$AU$201,$M176)&gt;0,
    COUNTIFS($AV$3:$AV$201,$M176)&gt;0,
    COUNTIFS($AW$3:$AW$201,$M176)&gt;0,
    COUNTIFS($AX$3:$AX$201,$M176)&gt;0
   ),
  0)
 ),
"")</f>
        <v>Kresh</v>
      </c>
      <c r="P176" s="2" t="str" cm="1">
        <f t="array" aca="1" ref="P176" ca="1">IFERROR(
 INDEX(
  _xlfn._xlws.FILTER($U$2:$AX$2,
   TRANSPOSE(
    CHOOSE({1;2;3;4;5;6;7;8;9;10;11;12;13;14;15;16;17;18;19;20;21;22;23;24;25;26;27;28;29;30},
     COUNTIFS($U$3:$U$201,$M176)&gt;0,
     COUNTIFS($V$3:$V$201,$M176)&gt;0,
     COUNTIFS($W$3:$W$201,$M176)&gt;0,
     COUNTIFS($X$3:$X$201,$M176)&gt;0,
     COUNTIFS($Y$3:$Y$201,$M176)&gt;0,
     COUNTIFS($Z$3:$Z$201,$M176)&gt;0,
     COUNTIFS($AA$3:$AA$201,$M176)&gt;0,
     COUNTIFS($AB$3:$AB$201,$M176)&gt;0,
     COUNTIFS($AC$3:$AC$201,$M176)&gt;0,
     COUNTIFS($AD$3:$AD$201,$M176)&gt;0,
     COUNTIFS($AE$3:$AE$201,$M176)&gt;0,
     COUNTIFS($AF$3:$AF$201,$M176)&gt;0,
     COUNTIFS($AG$3:$AG$201,$M176)&gt;0,
     COUNTIFS($AH$3:$AH$201,$M176)&gt;0,
     COUNTIFS($AI$3:$AI$201,$M176)&gt;0,
     COUNTIFS($AJ$3:$AJ$201,$M176)&gt;0,
     COUNTIFS($AK$3:$AK$201,$M176)&gt;0,
     COUNTIFS($AL$3:$AL$201,$M176)&gt;0,
     COUNTIFS($AM$3:$AM$201,$M176)&gt;0,
     COUNTIFS($AN$3:$AN$201,$M176)&gt;0,
     COUNTIFS($AO$3:$AO$201,$M176)&gt;0,
     COUNTIFS($AP$3:$AP$201,$M176)&gt;0,
     COUNTIFS($AQ$3:$AQ$201,$M176)&gt;0,
     COUNTIFS($AR$3:$AR$201,$M176)&gt;0,
     COUNTIFS($AS$3:$AS$201,$M176)&gt;0,
     COUNTIFS($AT$3:$AT$201,$M176)&gt;0,
     COUNTIFS($AU$3:$AU$201,$M176)&gt;0,
     COUNTIFS($AV$3:$AV$201,$M176)&gt;0,
     COUNTIFS($AW$3:$AW$201,$M176)&gt;0,
     COUNTIFS($AX$3:$AX$201,$M176)&gt;0
   )),
  ),
  2
 ),
"")</f>
        <v/>
      </c>
      <c r="Q176" s="2" t="str" cm="1">
        <f t="array" aca="1" ref="Q176" ca="1">IFERROR(
 INDEX(
  _xlfn._xlws.FILTER($U$2:$AX$2,
   TRANSPOSE(
    CHOOSE({1;2;3;4;5;6;7;8;9;10;11;12;13;14;15;16;17;18;19;20;21;22;23;24;25;26;27;28;29;30},
     COUNTIFS($U$3:$U$201,$M176)&gt;0,
     COUNTIFS($V$3:$V$201,$M176)&gt;0,
     COUNTIFS($W$3:$W$201,$M176)&gt;0,
     COUNTIFS($X$3:$X$201,$M176)&gt;0,
     COUNTIFS($Y$3:$Y$201,$M176)&gt;0,
     COUNTIFS($Z$3:$Z$201,$M176)&gt;0,
     COUNTIFS($AA$3:$AA$201,$M176)&gt;0,
     COUNTIFS($AB$3:$AB$201,$M176)&gt;0,
     COUNTIFS($AC$3:$AC$201,$M176)&gt;0,
     COUNTIFS($AD$3:$AD$201,$M176)&gt;0,
     COUNTIFS($AE$3:$AE$201,$M176)&gt;0,
     COUNTIFS($AF$3:$AF$201,$M176)&gt;0,
     COUNTIFS($AG$3:$AG$201,$M176)&gt;0,
     COUNTIFS($AH$3:$AH$201,$M176)&gt;0,
     COUNTIFS($AI$3:$AI$201,$M176)&gt;0,
     COUNTIFS($AJ$3:$AJ$201,$M176)&gt;0,
     COUNTIFS($AK$3:$AK$201,$M176)&gt;0,
     COUNTIFS($AL$3:$AL$201,$M176)&gt;0,
     COUNTIFS($AM$3:$AM$201,$M176)&gt;0,
     COUNTIFS($AN$3:$AN$201,$M176)&gt;0,
     COUNTIFS($AO$3:$AO$201,$M176)&gt;0,
     COUNTIFS($AP$3:$AP$201,$M176)&gt;0,
     COUNTIFS($AQ$3:$AQ$201,$M176)&gt;0,
     COUNTIFS($AR$3:$AR$201,$M176)&gt;0,
     COUNTIFS($AS$3:$AS$201,$M176)&gt;0,
     COUNTIFS($AT$3:$AT$201,$M176)&gt;0,
     COUNTIFS($AU$3:$AU$201,$M176)&gt;0,
     COUNTIFS($AV$3:$AV$201,$M176)&gt;0,
     COUNTIFS($AW$3:$AW$201,$M176)&gt;0,
     COUNTIFS($AX$3:$AX$201,$M176)&gt;0
   )),
  ),
  3
 ),
"")</f>
        <v/>
      </c>
      <c r="ET176" t="str">
        <f ca="1"/>
        <v>Scurry Oak</v>
      </c>
      <c r="EW176" t="str">
        <f ca="1"/>
        <v>Savage Twister</v>
      </c>
    </row>
    <row r="177" spans="1:153" x14ac:dyDescent="0.25">
      <c r="A177" t="str">
        <f ca="1"/>
        <v>Ghostly Prison</v>
      </c>
      <c r="B177" s="2" t="str" cm="1">
        <f t="array" aca="1" ref="B177" ca="1">_xlfn.ANCHORARRAY(RESUMO!C176)</f>
        <v>Narset</v>
      </c>
      <c r="C177" s="2" t="str">
        <f t="shared" ca="1" si="8"/>
        <v/>
      </c>
      <c r="E177" t="str">
        <f ca="1"/>
        <v>Scavenging Ooze</v>
      </c>
      <c r="F177" s="2">
        <f t="shared" ca="1" si="11"/>
        <v>1</v>
      </c>
      <c r="G177" s="2" t="str">
        <f t="shared" ca="1" si="9"/>
        <v>Baylen</v>
      </c>
      <c r="J177" t="s">
        <v>180</v>
      </c>
      <c r="K177" s="2">
        <v>1</v>
      </c>
      <c r="M177" t="str">
        <f ca="1"/>
        <v>Scavenging Ooze</v>
      </c>
      <c r="N177" s="2">
        <f t="shared" ca="1" si="10"/>
        <v>1</v>
      </c>
      <c r="O177" s="2" t="str">
        <f ca="1">IFERROR(
 INDEX($U$2:$AX$2,
  MATCH(TRUE,
   CHOOSE({1;2;3;4;5;6;7;8;9;10;11;12;13;14;15;16;17;18;19;20;21;22;23;24;25;26;27;28;29;30;31;32},
    COUNTIFS($U$3:$U$201,$M177)&gt;0,
    COUNTIFS($V$3:$V$201,$M177)&gt;0,
    COUNTIFS($W$3:$W$201,$M177)&gt;0,
    COUNTIFS($X$3:$X$201,$M177)&gt;0,
    COUNTIFS($Y$3:$Y$201,$M177)&gt;0,
    COUNTIFS($Z$3:$Z$201,$M177)&gt;0,
    COUNTIFS($AA$3:$AA$201,$M177)&gt;0,
    COUNTIFS($AB$3:$AB$201,$M177)&gt;0,
    COUNTIFS($AC$3:$AC$201,$M177)&gt;0,
    COUNTIFS($AD$3:$AD$201,$M177)&gt;0,
    COUNTIFS($AE$3:$AE$201,$M177)&gt;0,
    COUNTIFS($AF$3:$AF$201,$M177)&gt;0,
    COUNTIFS($AG$3:$AG$201,$M177)&gt;0,
    COUNTIFS($AH$3:$AH$201,$M177)&gt;0,
    COUNTIFS($AI$3:$AI$201,$M177)&gt;0,
    COUNTIFS($AJ$3:$AJ$201,$M177)&gt;0,
    COUNTIFS($AK$3:$AK$201,$M177)&gt;0,
    COUNTIFS($AL$3:$AL$201,$M177)&gt;0,
    COUNTIFS($AM$3:$AM$201,$M177)&gt;0,
    COUNTIFS($AN$3:$AN$201,$M177)&gt;0,
    COUNTIFS($AO$3:$AO$201,$M177)&gt;0,
    COUNTIFS($AP$3:$AP$201,$M177)&gt;0,
    COUNTIFS($AQ$3:$AQ$201,$M177)&gt;0,
    COUNTIFS($AR$3:$AR$201,$M177)&gt;0,
    COUNTIFS($AS$3:$AS$201,$M177)&gt;0,
    COUNTIFS($AT$3:$AT$201,$M177)&gt;0,
    COUNTIFS($AU$3:$AU$201,$M177)&gt;0,
    COUNTIFS($AV$3:$AV$201,$M177)&gt;0,
    COUNTIFS($AW$3:$AW$201,$M177)&gt;0,
    COUNTIFS($AX$3:$AX$201,$M177)&gt;0
   ),
  0)
 ),
"")</f>
        <v>Baylen</v>
      </c>
      <c r="P177" s="2" t="str" cm="1">
        <f t="array" aca="1" ref="P177" ca="1">IFERROR(
 INDEX(
  _xlfn._xlws.FILTER($U$2:$AX$2,
   TRANSPOSE(
    CHOOSE({1;2;3;4;5;6;7;8;9;10;11;12;13;14;15;16;17;18;19;20;21;22;23;24;25;26;27;28;29;30},
     COUNTIFS($U$3:$U$201,$M177)&gt;0,
     COUNTIFS($V$3:$V$201,$M177)&gt;0,
     COUNTIFS($W$3:$W$201,$M177)&gt;0,
     COUNTIFS($X$3:$X$201,$M177)&gt;0,
     COUNTIFS($Y$3:$Y$201,$M177)&gt;0,
     COUNTIFS($Z$3:$Z$201,$M177)&gt;0,
     COUNTIFS($AA$3:$AA$201,$M177)&gt;0,
     COUNTIFS($AB$3:$AB$201,$M177)&gt;0,
     COUNTIFS($AC$3:$AC$201,$M177)&gt;0,
     COUNTIFS($AD$3:$AD$201,$M177)&gt;0,
     COUNTIFS($AE$3:$AE$201,$M177)&gt;0,
     COUNTIFS($AF$3:$AF$201,$M177)&gt;0,
     COUNTIFS($AG$3:$AG$201,$M177)&gt;0,
     COUNTIFS($AH$3:$AH$201,$M177)&gt;0,
     COUNTIFS($AI$3:$AI$201,$M177)&gt;0,
     COUNTIFS($AJ$3:$AJ$201,$M177)&gt;0,
     COUNTIFS($AK$3:$AK$201,$M177)&gt;0,
     COUNTIFS($AL$3:$AL$201,$M177)&gt;0,
     COUNTIFS($AM$3:$AM$201,$M177)&gt;0,
     COUNTIFS($AN$3:$AN$201,$M177)&gt;0,
     COUNTIFS($AO$3:$AO$201,$M177)&gt;0,
     COUNTIFS($AP$3:$AP$201,$M177)&gt;0,
     COUNTIFS($AQ$3:$AQ$201,$M177)&gt;0,
     COUNTIFS($AR$3:$AR$201,$M177)&gt;0,
     COUNTIFS($AS$3:$AS$201,$M177)&gt;0,
     COUNTIFS($AT$3:$AT$201,$M177)&gt;0,
     COUNTIFS($AU$3:$AU$201,$M177)&gt;0,
     COUNTIFS($AV$3:$AV$201,$M177)&gt;0,
     COUNTIFS($AW$3:$AW$201,$M177)&gt;0,
     COUNTIFS($AX$3:$AX$201,$M177)&gt;0
   )),
  ),
  2
 ),
"")</f>
        <v/>
      </c>
      <c r="Q177" s="2" t="str" cm="1">
        <f t="array" aca="1" ref="Q177" ca="1">IFERROR(
 INDEX(
  _xlfn._xlws.FILTER($U$2:$AX$2,
   TRANSPOSE(
    CHOOSE({1;2;3;4;5;6;7;8;9;10;11;12;13;14;15;16;17;18;19;20;21;22;23;24;25;26;27;28;29;30},
     COUNTIFS($U$3:$U$201,$M177)&gt;0,
     COUNTIFS($V$3:$V$201,$M177)&gt;0,
     COUNTIFS($W$3:$W$201,$M177)&gt;0,
     COUNTIFS($X$3:$X$201,$M177)&gt;0,
     COUNTIFS($Y$3:$Y$201,$M177)&gt;0,
     COUNTIFS($Z$3:$Z$201,$M177)&gt;0,
     COUNTIFS($AA$3:$AA$201,$M177)&gt;0,
     COUNTIFS($AB$3:$AB$201,$M177)&gt;0,
     COUNTIFS($AC$3:$AC$201,$M177)&gt;0,
     COUNTIFS($AD$3:$AD$201,$M177)&gt;0,
     COUNTIFS($AE$3:$AE$201,$M177)&gt;0,
     COUNTIFS($AF$3:$AF$201,$M177)&gt;0,
     COUNTIFS($AG$3:$AG$201,$M177)&gt;0,
     COUNTIFS($AH$3:$AH$201,$M177)&gt;0,
     COUNTIFS($AI$3:$AI$201,$M177)&gt;0,
     COUNTIFS($AJ$3:$AJ$201,$M177)&gt;0,
     COUNTIFS($AK$3:$AK$201,$M177)&gt;0,
     COUNTIFS($AL$3:$AL$201,$M177)&gt;0,
     COUNTIFS($AM$3:$AM$201,$M177)&gt;0,
     COUNTIFS($AN$3:$AN$201,$M177)&gt;0,
     COUNTIFS($AO$3:$AO$201,$M177)&gt;0,
     COUNTIFS($AP$3:$AP$201,$M177)&gt;0,
     COUNTIFS($AQ$3:$AQ$201,$M177)&gt;0,
     COUNTIFS($AR$3:$AR$201,$M177)&gt;0,
     COUNTIFS($AS$3:$AS$201,$M177)&gt;0,
     COUNTIFS($AT$3:$AT$201,$M177)&gt;0,
     COUNTIFS($AU$3:$AU$201,$M177)&gt;0,
     COUNTIFS($AV$3:$AV$201,$M177)&gt;0,
     COUNTIFS($AW$3:$AW$201,$M177)&gt;0,
     COUNTIFS($AX$3:$AX$201,$M177)&gt;0
   )),
  ),
  3
 ),
"")</f>
        <v/>
      </c>
      <c r="ET177" t="str">
        <f ca="1"/>
        <v>Selesnya Sanctuary</v>
      </c>
      <c r="EW177" t="str">
        <f ca="1"/>
        <v>Scavenging Ooze</v>
      </c>
    </row>
    <row r="178" spans="1:153" x14ac:dyDescent="0.25">
      <c r="A178" t="str">
        <f ca="1"/>
        <v>Ghostway</v>
      </c>
      <c r="B178" s="2" t="str" cm="1">
        <f t="array" aca="1" ref="B178" ca="1">_xlfn.ANCHORARRAY(RESUMO!C177)</f>
        <v>Yorion</v>
      </c>
      <c r="C178" s="2" t="str">
        <f t="shared" ca="1" si="8"/>
        <v/>
      </c>
      <c r="E178" t="str">
        <f ca="1"/>
        <v>Scourge of Fleets</v>
      </c>
      <c r="F178" s="2">
        <f t="shared" ca="1" si="11"/>
        <v>1</v>
      </c>
      <c r="G178" s="2" t="str">
        <f t="shared" ca="1" si="9"/>
        <v>JhoiraB</v>
      </c>
      <c r="J178" t="s">
        <v>180</v>
      </c>
      <c r="K178" s="2">
        <v>1</v>
      </c>
      <c r="M178" t="str">
        <f ca="1"/>
        <v>Scourge of Fleets</v>
      </c>
      <c r="N178" s="2">
        <f t="shared" ca="1" si="10"/>
        <v>1</v>
      </c>
      <c r="O178" s="2" t="str">
        <f ca="1">IFERROR(
 INDEX($U$2:$AX$2,
  MATCH(TRUE,
   CHOOSE({1;2;3;4;5;6;7;8;9;10;11;12;13;14;15;16;17;18;19;20;21;22;23;24;25;26;27;28;29;30;31;32},
    COUNTIFS($U$3:$U$201,$M178)&gt;0,
    COUNTIFS($V$3:$V$201,$M178)&gt;0,
    COUNTIFS($W$3:$W$201,$M178)&gt;0,
    COUNTIFS($X$3:$X$201,$M178)&gt;0,
    COUNTIFS($Y$3:$Y$201,$M178)&gt;0,
    COUNTIFS($Z$3:$Z$201,$M178)&gt;0,
    COUNTIFS($AA$3:$AA$201,$M178)&gt;0,
    COUNTIFS($AB$3:$AB$201,$M178)&gt;0,
    COUNTIFS($AC$3:$AC$201,$M178)&gt;0,
    COUNTIFS($AD$3:$AD$201,$M178)&gt;0,
    COUNTIFS($AE$3:$AE$201,$M178)&gt;0,
    COUNTIFS($AF$3:$AF$201,$M178)&gt;0,
    COUNTIFS($AG$3:$AG$201,$M178)&gt;0,
    COUNTIFS($AH$3:$AH$201,$M178)&gt;0,
    COUNTIFS($AI$3:$AI$201,$M178)&gt;0,
    COUNTIFS($AJ$3:$AJ$201,$M178)&gt;0,
    COUNTIFS($AK$3:$AK$201,$M178)&gt;0,
    COUNTIFS($AL$3:$AL$201,$M178)&gt;0,
    COUNTIFS($AM$3:$AM$201,$M178)&gt;0,
    COUNTIFS($AN$3:$AN$201,$M178)&gt;0,
    COUNTIFS($AO$3:$AO$201,$M178)&gt;0,
    COUNTIFS($AP$3:$AP$201,$M178)&gt;0,
    COUNTIFS($AQ$3:$AQ$201,$M178)&gt;0,
    COUNTIFS($AR$3:$AR$201,$M178)&gt;0,
    COUNTIFS($AS$3:$AS$201,$M178)&gt;0,
    COUNTIFS($AT$3:$AT$201,$M178)&gt;0,
    COUNTIFS($AU$3:$AU$201,$M178)&gt;0,
    COUNTIFS($AV$3:$AV$201,$M178)&gt;0,
    COUNTIFS($AW$3:$AW$201,$M178)&gt;0,
    COUNTIFS($AX$3:$AX$201,$M178)&gt;0
   ),
  0)
 ),
"")</f>
        <v>JhoiraB</v>
      </c>
      <c r="P178" s="2" t="str" cm="1">
        <f t="array" aca="1" ref="P178" ca="1">IFERROR(
 INDEX(
  _xlfn._xlws.FILTER($U$2:$AX$2,
   TRANSPOSE(
    CHOOSE({1;2;3;4;5;6;7;8;9;10;11;12;13;14;15;16;17;18;19;20;21;22;23;24;25;26;27;28;29;30},
     COUNTIFS($U$3:$U$201,$M178)&gt;0,
     COUNTIFS($V$3:$V$201,$M178)&gt;0,
     COUNTIFS($W$3:$W$201,$M178)&gt;0,
     COUNTIFS($X$3:$X$201,$M178)&gt;0,
     COUNTIFS($Y$3:$Y$201,$M178)&gt;0,
     COUNTIFS($Z$3:$Z$201,$M178)&gt;0,
     COUNTIFS($AA$3:$AA$201,$M178)&gt;0,
     COUNTIFS($AB$3:$AB$201,$M178)&gt;0,
     COUNTIFS($AC$3:$AC$201,$M178)&gt;0,
     COUNTIFS($AD$3:$AD$201,$M178)&gt;0,
     COUNTIFS($AE$3:$AE$201,$M178)&gt;0,
     COUNTIFS($AF$3:$AF$201,$M178)&gt;0,
     COUNTIFS($AG$3:$AG$201,$M178)&gt;0,
     COUNTIFS($AH$3:$AH$201,$M178)&gt;0,
     COUNTIFS($AI$3:$AI$201,$M178)&gt;0,
     COUNTIFS($AJ$3:$AJ$201,$M178)&gt;0,
     COUNTIFS($AK$3:$AK$201,$M178)&gt;0,
     COUNTIFS($AL$3:$AL$201,$M178)&gt;0,
     COUNTIFS($AM$3:$AM$201,$M178)&gt;0,
     COUNTIFS($AN$3:$AN$201,$M178)&gt;0,
     COUNTIFS($AO$3:$AO$201,$M178)&gt;0,
     COUNTIFS($AP$3:$AP$201,$M178)&gt;0,
     COUNTIFS($AQ$3:$AQ$201,$M178)&gt;0,
     COUNTIFS($AR$3:$AR$201,$M178)&gt;0,
     COUNTIFS($AS$3:$AS$201,$M178)&gt;0,
     COUNTIFS($AT$3:$AT$201,$M178)&gt;0,
     COUNTIFS($AU$3:$AU$201,$M178)&gt;0,
     COUNTIFS($AV$3:$AV$201,$M178)&gt;0,
     COUNTIFS($AW$3:$AW$201,$M178)&gt;0,
     COUNTIFS($AX$3:$AX$201,$M178)&gt;0
   )),
  ),
  2
 ),
"")</f>
        <v/>
      </c>
      <c r="Q178" s="2" t="str" cm="1">
        <f t="array" aca="1" ref="Q178" ca="1">IFERROR(
 INDEX(
  _xlfn._xlws.FILTER($U$2:$AX$2,
   TRANSPOSE(
    CHOOSE({1;2;3;4;5;6;7;8;9;10;11;12;13;14;15;16;17;18;19;20;21;22;23;24;25;26;27;28;29;30},
     COUNTIFS($U$3:$U$201,$M178)&gt;0,
     COUNTIFS($V$3:$V$201,$M178)&gt;0,
     COUNTIFS($W$3:$W$201,$M178)&gt;0,
     COUNTIFS($X$3:$X$201,$M178)&gt;0,
     COUNTIFS($Y$3:$Y$201,$M178)&gt;0,
     COUNTIFS($Z$3:$Z$201,$M178)&gt;0,
     COUNTIFS($AA$3:$AA$201,$M178)&gt;0,
     COUNTIFS($AB$3:$AB$201,$M178)&gt;0,
     COUNTIFS($AC$3:$AC$201,$M178)&gt;0,
     COUNTIFS($AD$3:$AD$201,$M178)&gt;0,
     COUNTIFS($AE$3:$AE$201,$M178)&gt;0,
     COUNTIFS($AF$3:$AF$201,$M178)&gt;0,
     COUNTIFS($AG$3:$AG$201,$M178)&gt;0,
     COUNTIFS($AH$3:$AH$201,$M178)&gt;0,
     COUNTIFS($AI$3:$AI$201,$M178)&gt;0,
     COUNTIFS($AJ$3:$AJ$201,$M178)&gt;0,
     COUNTIFS($AK$3:$AK$201,$M178)&gt;0,
     COUNTIFS($AL$3:$AL$201,$M178)&gt;0,
     COUNTIFS($AM$3:$AM$201,$M178)&gt;0,
     COUNTIFS($AN$3:$AN$201,$M178)&gt;0,
     COUNTIFS($AO$3:$AO$201,$M178)&gt;0,
     COUNTIFS($AP$3:$AP$201,$M178)&gt;0,
     COUNTIFS($AQ$3:$AQ$201,$M178)&gt;0,
     COUNTIFS($AR$3:$AR$201,$M178)&gt;0,
     COUNTIFS($AS$3:$AS$201,$M178)&gt;0,
     COUNTIFS($AT$3:$AT$201,$M178)&gt;0,
     COUNTIFS($AU$3:$AU$201,$M178)&gt;0,
     COUNTIFS($AV$3:$AV$201,$M178)&gt;0,
     COUNTIFS($AW$3:$AW$201,$M178)&gt;0,
     COUNTIFS($AX$3:$AX$201,$M178)&gt;0
   )),
  ),
  3
 ),
"")</f>
        <v/>
      </c>
      <c r="ET178" t="str">
        <f ca="1"/>
        <v>Shifting Shadow</v>
      </c>
      <c r="EW178" t="str">
        <f ca="1"/>
        <v>Scourge of Fleets</v>
      </c>
    </row>
    <row r="179" spans="1:153" x14ac:dyDescent="0.25">
      <c r="A179" t="str">
        <f ca="1"/>
        <v>Ghoulish Impetus</v>
      </c>
      <c r="B179" s="2" t="str" cm="1">
        <f t="array" aca="1" ref="B179" ca="1">_xlfn.ANCHORARRAY(RESUMO!C178)</f>
        <v>Rani</v>
      </c>
      <c r="C179" s="2" t="str">
        <f t="shared" ca="1" si="8"/>
        <v/>
      </c>
      <c r="E179" t="str">
        <f ca="1"/>
        <v>Scourge of Skola Vale</v>
      </c>
      <c r="F179" s="2">
        <f t="shared" ca="1" si="11"/>
        <v>1</v>
      </c>
      <c r="G179" s="2" t="str">
        <f t="shared" ca="1" si="9"/>
        <v>Tayam</v>
      </c>
      <c r="J179" t="s">
        <v>180</v>
      </c>
      <c r="K179" s="2">
        <v>1</v>
      </c>
      <c r="M179" t="str">
        <f ca="1"/>
        <v>Scourge of Skola Vale</v>
      </c>
      <c r="N179" s="2">
        <f t="shared" ca="1" si="10"/>
        <v>1</v>
      </c>
      <c r="O179" s="2" t="str">
        <f ca="1">IFERROR(
 INDEX($U$2:$AX$2,
  MATCH(TRUE,
   CHOOSE({1;2;3;4;5;6;7;8;9;10;11;12;13;14;15;16;17;18;19;20;21;22;23;24;25;26;27;28;29;30;31;32},
    COUNTIFS($U$3:$U$201,$M179)&gt;0,
    COUNTIFS($V$3:$V$201,$M179)&gt;0,
    COUNTIFS($W$3:$W$201,$M179)&gt;0,
    COUNTIFS($X$3:$X$201,$M179)&gt;0,
    COUNTIFS($Y$3:$Y$201,$M179)&gt;0,
    COUNTIFS($Z$3:$Z$201,$M179)&gt;0,
    COUNTIFS($AA$3:$AA$201,$M179)&gt;0,
    COUNTIFS($AB$3:$AB$201,$M179)&gt;0,
    COUNTIFS($AC$3:$AC$201,$M179)&gt;0,
    COUNTIFS($AD$3:$AD$201,$M179)&gt;0,
    COUNTIFS($AE$3:$AE$201,$M179)&gt;0,
    COUNTIFS($AF$3:$AF$201,$M179)&gt;0,
    COUNTIFS($AG$3:$AG$201,$M179)&gt;0,
    COUNTIFS($AH$3:$AH$201,$M179)&gt;0,
    COUNTIFS($AI$3:$AI$201,$M179)&gt;0,
    COUNTIFS($AJ$3:$AJ$201,$M179)&gt;0,
    COUNTIFS($AK$3:$AK$201,$M179)&gt;0,
    COUNTIFS($AL$3:$AL$201,$M179)&gt;0,
    COUNTIFS($AM$3:$AM$201,$M179)&gt;0,
    COUNTIFS($AN$3:$AN$201,$M179)&gt;0,
    COUNTIFS($AO$3:$AO$201,$M179)&gt;0,
    COUNTIFS($AP$3:$AP$201,$M179)&gt;0,
    COUNTIFS($AQ$3:$AQ$201,$M179)&gt;0,
    COUNTIFS($AR$3:$AR$201,$M179)&gt;0,
    COUNTIFS($AS$3:$AS$201,$M179)&gt;0,
    COUNTIFS($AT$3:$AT$201,$M179)&gt;0,
    COUNTIFS($AU$3:$AU$201,$M179)&gt;0,
    COUNTIFS($AV$3:$AV$201,$M179)&gt;0,
    COUNTIFS($AW$3:$AW$201,$M179)&gt;0,
    COUNTIFS($AX$3:$AX$201,$M179)&gt;0
   ),
  0)
 ),
"")</f>
        <v>Tayam</v>
      </c>
      <c r="P179" s="2" t="str" cm="1">
        <f t="array" aca="1" ref="P179" ca="1">IFERROR(
 INDEX(
  _xlfn._xlws.FILTER($U$2:$AX$2,
   TRANSPOSE(
    CHOOSE({1;2;3;4;5;6;7;8;9;10;11;12;13;14;15;16;17;18;19;20;21;22;23;24;25;26;27;28;29;30},
     COUNTIFS($U$3:$U$201,$M179)&gt;0,
     COUNTIFS($V$3:$V$201,$M179)&gt;0,
     COUNTIFS($W$3:$W$201,$M179)&gt;0,
     COUNTIFS($X$3:$X$201,$M179)&gt;0,
     COUNTIFS($Y$3:$Y$201,$M179)&gt;0,
     COUNTIFS($Z$3:$Z$201,$M179)&gt;0,
     COUNTIFS($AA$3:$AA$201,$M179)&gt;0,
     COUNTIFS($AB$3:$AB$201,$M179)&gt;0,
     COUNTIFS($AC$3:$AC$201,$M179)&gt;0,
     COUNTIFS($AD$3:$AD$201,$M179)&gt;0,
     COUNTIFS($AE$3:$AE$201,$M179)&gt;0,
     COUNTIFS($AF$3:$AF$201,$M179)&gt;0,
     COUNTIFS($AG$3:$AG$201,$M179)&gt;0,
     COUNTIFS($AH$3:$AH$201,$M179)&gt;0,
     COUNTIFS($AI$3:$AI$201,$M179)&gt;0,
     COUNTIFS($AJ$3:$AJ$201,$M179)&gt;0,
     COUNTIFS($AK$3:$AK$201,$M179)&gt;0,
     COUNTIFS($AL$3:$AL$201,$M179)&gt;0,
     COUNTIFS($AM$3:$AM$201,$M179)&gt;0,
     COUNTIFS($AN$3:$AN$201,$M179)&gt;0,
     COUNTIFS($AO$3:$AO$201,$M179)&gt;0,
     COUNTIFS($AP$3:$AP$201,$M179)&gt;0,
     COUNTIFS($AQ$3:$AQ$201,$M179)&gt;0,
     COUNTIFS($AR$3:$AR$201,$M179)&gt;0,
     COUNTIFS($AS$3:$AS$201,$M179)&gt;0,
     COUNTIFS($AT$3:$AT$201,$M179)&gt;0,
     COUNTIFS($AU$3:$AU$201,$M179)&gt;0,
     COUNTIFS($AV$3:$AV$201,$M179)&gt;0,
     COUNTIFS($AW$3:$AW$201,$M179)&gt;0,
     COUNTIFS($AX$3:$AX$201,$M179)&gt;0
   )),
  ),
  2
 ),
"")</f>
        <v/>
      </c>
      <c r="Q179" s="2" t="str" cm="1">
        <f t="array" aca="1" ref="Q179" ca="1">IFERROR(
 INDEX(
  _xlfn._xlws.FILTER($U$2:$AX$2,
   TRANSPOSE(
    CHOOSE({1;2;3;4;5;6;7;8;9;10;11;12;13;14;15;16;17;18;19;20;21;22;23;24;25;26;27;28;29;30},
     COUNTIFS($U$3:$U$201,$M179)&gt;0,
     COUNTIFS($V$3:$V$201,$M179)&gt;0,
     COUNTIFS($W$3:$W$201,$M179)&gt;0,
     COUNTIFS($X$3:$X$201,$M179)&gt;0,
     COUNTIFS($Y$3:$Y$201,$M179)&gt;0,
     COUNTIFS($Z$3:$Z$201,$M179)&gt;0,
     COUNTIFS($AA$3:$AA$201,$M179)&gt;0,
     COUNTIFS($AB$3:$AB$201,$M179)&gt;0,
     COUNTIFS($AC$3:$AC$201,$M179)&gt;0,
     COUNTIFS($AD$3:$AD$201,$M179)&gt;0,
     COUNTIFS($AE$3:$AE$201,$M179)&gt;0,
     COUNTIFS($AF$3:$AF$201,$M179)&gt;0,
     COUNTIFS($AG$3:$AG$201,$M179)&gt;0,
     COUNTIFS($AH$3:$AH$201,$M179)&gt;0,
     COUNTIFS($AI$3:$AI$201,$M179)&gt;0,
     COUNTIFS($AJ$3:$AJ$201,$M179)&gt;0,
     COUNTIFS($AK$3:$AK$201,$M179)&gt;0,
     COUNTIFS($AL$3:$AL$201,$M179)&gt;0,
     COUNTIFS($AM$3:$AM$201,$M179)&gt;0,
     COUNTIFS($AN$3:$AN$201,$M179)&gt;0,
     COUNTIFS($AO$3:$AO$201,$M179)&gt;0,
     COUNTIFS($AP$3:$AP$201,$M179)&gt;0,
     COUNTIFS($AQ$3:$AQ$201,$M179)&gt;0,
     COUNTIFS($AR$3:$AR$201,$M179)&gt;0,
     COUNTIFS($AS$3:$AS$201,$M179)&gt;0,
     COUNTIFS($AT$3:$AT$201,$M179)&gt;0,
     COUNTIFS($AU$3:$AU$201,$M179)&gt;0,
     COUNTIFS($AV$3:$AV$201,$M179)&gt;0,
     COUNTIFS($AW$3:$AW$201,$M179)&gt;0,
     COUNTIFS($AX$3:$AX$201,$M179)&gt;0
   )),
  ),
  3
 ),
"")</f>
        <v/>
      </c>
      <c r="ET179" t="str">
        <f ca="1"/>
        <v>Shiny Impetus</v>
      </c>
      <c r="EW179" t="str">
        <f ca="1"/>
        <v>Scourge of Skola Vale</v>
      </c>
    </row>
    <row r="180" spans="1:153" x14ac:dyDescent="0.25">
      <c r="A180" t="str">
        <f ca="1"/>
        <v>Giggling Skitterspike</v>
      </c>
      <c r="B180" s="2" t="str" cm="1">
        <f t="array" aca="1" ref="B180" ca="1">_xlfn.ANCHORARRAY(RESUMO!C179)</f>
        <v>Modular</v>
      </c>
      <c r="C180" s="2" t="str">
        <f t="shared" ca="1" si="8"/>
        <v/>
      </c>
      <c r="E180" t="str">
        <f ca="1"/>
        <v>Scurry Oak</v>
      </c>
      <c r="F180" s="2">
        <f t="shared" ca="1" si="11"/>
        <v>1</v>
      </c>
      <c r="G180" s="2" t="str">
        <f t="shared" ca="1" si="9"/>
        <v>Baylen</v>
      </c>
      <c r="J180" t="s">
        <v>180</v>
      </c>
      <c r="K180" s="2">
        <v>1</v>
      </c>
      <c r="M180" t="str">
        <f ca="1"/>
        <v>Scurry Oak</v>
      </c>
      <c r="N180" s="2">
        <f t="shared" ca="1" si="10"/>
        <v>1</v>
      </c>
      <c r="O180" s="2" t="str">
        <f ca="1">IFERROR(
 INDEX($U$2:$AX$2,
  MATCH(TRUE,
   CHOOSE({1;2;3;4;5;6;7;8;9;10;11;12;13;14;15;16;17;18;19;20;21;22;23;24;25;26;27;28;29;30;31;32},
    COUNTIFS($U$3:$U$201,$M180)&gt;0,
    COUNTIFS($V$3:$V$201,$M180)&gt;0,
    COUNTIFS($W$3:$W$201,$M180)&gt;0,
    COUNTIFS($X$3:$X$201,$M180)&gt;0,
    COUNTIFS($Y$3:$Y$201,$M180)&gt;0,
    COUNTIFS($Z$3:$Z$201,$M180)&gt;0,
    COUNTIFS($AA$3:$AA$201,$M180)&gt;0,
    COUNTIFS($AB$3:$AB$201,$M180)&gt;0,
    COUNTIFS($AC$3:$AC$201,$M180)&gt;0,
    COUNTIFS($AD$3:$AD$201,$M180)&gt;0,
    COUNTIFS($AE$3:$AE$201,$M180)&gt;0,
    COUNTIFS($AF$3:$AF$201,$M180)&gt;0,
    COUNTIFS($AG$3:$AG$201,$M180)&gt;0,
    COUNTIFS($AH$3:$AH$201,$M180)&gt;0,
    COUNTIFS($AI$3:$AI$201,$M180)&gt;0,
    COUNTIFS($AJ$3:$AJ$201,$M180)&gt;0,
    COUNTIFS($AK$3:$AK$201,$M180)&gt;0,
    COUNTIFS($AL$3:$AL$201,$M180)&gt;0,
    COUNTIFS($AM$3:$AM$201,$M180)&gt;0,
    COUNTIFS($AN$3:$AN$201,$M180)&gt;0,
    COUNTIFS($AO$3:$AO$201,$M180)&gt;0,
    COUNTIFS($AP$3:$AP$201,$M180)&gt;0,
    COUNTIFS($AQ$3:$AQ$201,$M180)&gt;0,
    COUNTIFS($AR$3:$AR$201,$M180)&gt;0,
    COUNTIFS($AS$3:$AS$201,$M180)&gt;0,
    COUNTIFS($AT$3:$AT$201,$M180)&gt;0,
    COUNTIFS($AU$3:$AU$201,$M180)&gt;0,
    COUNTIFS($AV$3:$AV$201,$M180)&gt;0,
    COUNTIFS($AW$3:$AW$201,$M180)&gt;0,
    COUNTIFS($AX$3:$AX$201,$M180)&gt;0
   ),
  0)
 ),
"")</f>
        <v>Baylen</v>
      </c>
      <c r="P180" s="2" t="str" cm="1">
        <f t="array" aca="1" ref="P180" ca="1">IFERROR(
 INDEX(
  _xlfn._xlws.FILTER($U$2:$AX$2,
   TRANSPOSE(
    CHOOSE({1;2;3;4;5;6;7;8;9;10;11;12;13;14;15;16;17;18;19;20;21;22;23;24;25;26;27;28;29;30},
     COUNTIFS($U$3:$U$201,$M180)&gt;0,
     COUNTIFS($V$3:$V$201,$M180)&gt;0,
     COUNTIFS($W$3:$W$201,$M180)&gt;0,
     COUNTIFS($X$3:$X$201,$M180)&gt;0,
     COUNTIFS($Y$3:$Y$201,$M180)&gt;0,
     COUNTIFS($Z$3:$Z$201,$M180)&gt;0,
     COUNTIFS($AA$3:$AA$201,$M180)&gt;0,
     COUNTIFS($AB$3:$AB$201,$M180)&gt;0,
     COUNTIFS($AC$3:$AC$201,$M180)&gt;0,
     COUNTIFS($AD$3:$AD$201,$M180)&gt;0,
     COUNTIFS($AE$3:$AE$201,$M180)&gt;0,
     COUNTIFS($AF$3:$AF$201,$M180)&gt;0,
     COUNTIFS($AG$3:$AG$201,$M180)&gt;0,
     COUNTIFS($AH$3:$AH$201,$M180)&gt;0,
     COUNTIFS($AI$3:$AI$201,$M180)&gt;0,
     COUNTIFS($AJ$3:$AJ$201,$M180)&gt;0,
     COUNTIFS($AK$3:$AK$201,$M180)&gt;0,
     COUNTIFS($AL$3:$AL$201,$M180)&gt;0,
     COUNTIFS($AM$3:$AM$201,$M180)&gt;0,
     COUNTIFS($AN$3:$AN$201,$M180)&gt;0,
     COUNTIFS($AO$3:$AO$201,$M180)&gt;0,
     COUNTIFS($AP$3:$AP$201,$M180)&gt;0,
     COUNTIFS($AQ$3:$AQ$201,$M180)&gt;0,
     COUNTIFS($AR$3:$AR$201,$M180)&gt;0,
     COUNTIFS($AS$3:$AS$201,$M180)&gt;0,
     COUNTIFS($AT$3:$AT$201,$M180)&gt;0,
     COUNTIFS($AU$3:$AU$201,$M180)&gt;0,
     COUNTIFS($AV$3:$AV$201,$M180)&gt;0,
     COUNTIFS($AW$3:$AW$201,$M180)&gt;0,
     COUNTIFS($AX$3:$AX$201,$M180)&gt;0
   )),
  ),
  2
 ),
"")</f>
        <v/>
      </c>
      <c r="Q180" s="2" t="str" cm="1">
        <f t="array" aca="1" ref="Q180" ca="1">IFERROR(
 INDEX(
  _xlfn._xlws.FILTER($U$2:$AX$2,
   TRANSPOSE(
    CHOOSE({1;2;3;4;5;6;7;8;9;10;11;12;13;14;15;16;17;18;19;20;21;22;23;24;25;26;27;28;29;30},
     COUNTIFS($U$3:$U$201,$M180)&gt;0,
     COUNTIFS($V$3:$V$201,$M180)&gt;0,
     COUNTIFS($W$3:$W$201,$M180)&gt;0,
     COUNTIFS($X$3:$X$201,$M180)&gt;0,
     COUNTIFS($Y$3:$Y$201,$M180)&gt;0,
     COUNTIFS($Z$3:$Z$201,$M180)&gt;0,
     COUNTIFS($AA$3:$AA$201,$M180)&gt;0,
     COUNTIFS($AB$3:$AB$201,$M180)&gt;0,
     COUNTIFS($AC$3:$AC$201,$M180)&gt;0,
     COUNTIFS($AD$3:$AD$201,$M180)&gt;0,
     COUNTIFS($AE$3:$AE$201,$M180)&gt;0,
     COUNTIFS($AF$3:$AF$201,$M180)&gt;0,
     COUNTIFS($AG$3:$AG$201,$M180)&gt;0,
     COUNTIFS($AH$3:$AH$201,$M180)&gt;0,
     COUNTIFS($AI$3:$AI$201,$M180)&gt;0,
     COUNTIFS($AJ$3:$AJ$201,$M180)&gt;0,
     COUNTIFS($AK$3:$AK$201,$M180)&gt;0,
     COUNTIFS($AL$3:$AL$201,$M180)&gt;0,
     COUNTIFS($AM$3:$AM$201,$M180)&gt;0,
     COUNTIFS($AN$3:$AN$201,$M180)&gt;0,
     COUNTIFS($AO$3:$AO$201,$M180)&gt;0,
     COUNTIFS($AP$3:$AP$201,$M180)&gt;0,
     COUNTIFS($AQ$3:$AQ$201,$M180)&gt;0,
     COUNTIFS($AR$3:$AR$201,$M180)&gt;0,
     COUNTIFS($AS$3:$AS$201,$M180)&gt;0,
     COUNTIFS($AT$3:$AT$201,$M180)&gt;0,
     COUNTIFS($AU$3:$AU$201,$M180)&gt;0,
     COUNTIFS($AV$3:$AV$201,$M180)&gt;0,
     COUNTIFS($AW$3:$AW$201,$M180)&gt;0,
     COUNTIFS($AX$3:$AX$201,$M180)&gt;0
   )),
  ),
  3
 ),
"")</f>
        <v/>
      </c>
      <c r="ET180" t="str">
        <f ca="1"/>
        <v>Shire Terrace</v>
      </c>
      <c r="EW180" t="str">
        <f ca="1"/>
        <v>Scurry Oak</v>
      </c>
    </row>
    <row r="181" spans="1:153" x14ac:dyDescent="0.25">
      <c r="A181" t="str">
        <f ca="1"/>
        <v>Giver of Runes</v>
      </c>
      <c r="B181" s="2" t="str" cm="1">
        <f t="array" aca="1" ref="B181" ca="1">_xlfn.ANCHORARRAY(RESUMO!C180)</f>
        <v>Carlos</v>
      </c>
      <c r="C181" s="2" t="str">
        <f t="shared" ca="1" si="8"/>
        <v/>
      </c>
      <c r="E181" t="str">
        <f ca="1"/>
        <v>Selesnya Sanctuary</v>
      </c>
      <c r="F181" s="2">
        <f t="shared" ca="1" si="11"/>
        <v>1</v>
      </c>
      <c r="G181" s="2" t="str">
        <f t="shared" ca="1" si="9"/>
        <v>Baylen</v>
      </c>
      <c r="J181" t="s">
        <v>180</v>
      </c>
      <c r="K181" s="2">
        <v>1</v>
      </c>
      <c r="M181" t="str">
        <f ca="1"/>
        <v>Selesnya Sanctuary</v>
      </c>
      <c r="N181" s="2">
        <f t="shared" ca="1" si="10"/>
        <v>1</v>
      </c>
      <c r="O181" s="2" t="str">
        <f ca="1">IFERROR(
 INDEX($U$2:$AX$2,
  MATCH(TRUE,
   CHOOSE({1;2;3;4;5;6;7;8;9;10;11;12;13;14;15;16;17;18;19;20;21;22;23;24;25;26;27;28;29;30;31;32},
    COUNTIFS($U$3:$U$201,$M181)&gt;0,
    COUNTIFS($V$3:$V$201,$M181)&gt;0,
    COUNTIFS($W$3:$W$201,$M181)&gt;0,
    COUNTIFS($X$3:$X$201,$M181)&gt;0,
    COUNTIFS($Y$3:$Y$201,$M181)&gt;0,
    COUNTIFS($Z$3:$Z$201,$M181)&gt;0,
    COUNTIFS($AA$3:$AA$201,$M181)&gt;0,
    COUNTIFS($AB$3:$AB$201,$M181)&gt;0,
    COUNTIFS($AC$3:$AC$201,$M181)&gt;0,
    COUNTIFS($AD$3:$AD$201,$M181)&gt;0,
    COUNTIFS($AE$3:$AE$201,$M181)&gt;0,
    COUNTIFS($AF$3:$AF$201,$M181)&gt;0,
    COUNTIFS($AG$3:$AG$201,$M181)&gt;0,
    COUNTIFS($AH$3:$AH$201,$M181)&gt;0,
    COUNTIFS($AI$3:$AI$201,$M181)&gt;0,
    COUNTIFS($AJ$3:$AJ$201,$M181)&gt;0,
    COUNTIFS($AK$3:$AK$201,$M181)&gt;0,
    COUNTIFS($AL$3:$AL$201,$M181)&gt;0,
    COUNTIFS($AM$3:$AM$201,$M181)&gt;0,
    COUNTIFS($AN$3:$AN$201,$M181)&gt;0,
    COUNTIFS($AO$3:$AO$201,$M181)&gt;0,
    COUNTIFS($AP$3:$AP$201,$M181)&gt;0,
    COUNTIFS($AQ$3:$AQ$201,$M181)&gt;0,
    COUNTIFS($AR$3:$AR$201,$M181)&gt;0,
    COUNTIFS($AS$3:$AS$201,$M181)&gt;0,
    COUNTIFS($AT$3:$AT$201,$M181)&gt;0,
    COUNTIFS($AU$3:$AU$201,$M181)&gt;0,
    COUNTIFS($AV$3:$AV$201,$M181)&gt;0,
    COUNTIFS($AW$3:$AW$201,$M181)&gt;0,
    COUNTIFS($AX$3:$AX$201,$M181)&gt;0
   ),
  0)
 ),
"")</f>
        <v>Baylen</v>
      </c>
      <c r="P181" s="2" t="str" cm="1">
        <f t="array" aca="1" ref="P181" ca="1">IFERROR(
 INDEX(
  _xlfn._xlws.FILTER($U$2:$AX$2,
   TRANSPOSE(
    CHOOSE({1;2;3;4;5;6;7;8;9;10;11;12;13;14;15;16;17;18;19;20;21;22;23;24;25;26;27;28;29;30},
     COUNTIFS($U$3:$U$201,$M181)&gt;0,
     COUNTIFS($V$3:$V$201,$M181)&gt;0,
     COUNTIFS($W$3:$W$201,$M181)&gt;0,
     COUNTIFS($X$3:$X$201,$M181)&gt;0,
     COUNTIFS($Y$3:$Y$201,$M181)&gt;0,
     COUNTIFS($Z$3:$Z$201,$M181)&gt;0,
     COUNTIFS($AA$3:$AA$201,$M181)&gt;0,
     COUNTIFS($AB$3:$AB$201,$M181)&gt;0,
     COUNTIFS($AC$3:$AC$201,$M181)&gt;0,
     COUNTIFS($AD$3:$AD$201,$M181)&gt;0,
     COUNTIFS($AE$3:$AE$201,$M181)&gt;0,
     COUNTIFS($AF$3:$AF$201,$M181)&gt;0,
     COUNTIFS($AG$3:$AG$201,$M181)&gt;0,
     COUNTIFS($AH$3:$AH$201,$M181)&gt;0,
     COUNTIFS($AI$3:$AI$201,$M181)&gt;0,
     COUNTIFS($AJ$3:$AJ$201,$M181)&gt;0,
     COUNTIFS($AK$3:$AK$201,$M181)&gt;0,
     COUNTIFS($AL$3:$AL$201,$M181)&gt;0,
     COUNTIFS($AM$3:$AM$201,$M181)&gt;0,
     COUNTIFS($AN$3:$AN$201,$M181)&gt;0,
     COUNTIFS($AO$3:$AO$201,$M181)&gt;0,
     COUNTIFS($AP$3:$AP$201,$M181)&gt;0,
     COUNTIFS($AQ$3:$AQ$201,$M181)&gt;0,
     COUNTIFS($AR$3:$AR$201,$M181)&gt;0,
     COUNTIFS($AS$3:$AS$201,$M181)&gt;0,
     COUNTIFS($AT$3:$AT$201,$M181)&gt;0,
     COUNTIFS($AU$3:$AU$201,$M181)&gt;0,
     COUNTIFS($AV$3:$AV$201,$M181)&gt;0,
     COUNTIFS($AW$3:$AW$201,$M181)&gt;0,
     COUNTIFS($AX$3:$AX$201,$M181)&gt;0
   )),
  ),
  2
 ),
"")</f>
        <v/>
      </c>
      <c r="Q181" s="2" t="str" cm="1">
        <f t="array" aca="1" ref="Q181" ca="1">IFERROR(
 INDEX(
  _xlfn._xlws.FILTER($U$2:$AX$2,
   TRANSPOSE(
    CHOOSE({1;2;3;4;5;6;7;8;9;10;11;12;13;14;15;16;17;18;19;20;21;22;23;24;25;26;27;28;29;30},
     COUNTIFS($U$3:$U$201,$M181)&gt;0,
     COUNTIFS($V$3:$V$201,$M181)&gt;0,
     COUNTIFS($W$3:$W$201,$M181)&gt;0,
     COUNTIFS($X$3:$X$201,$M181)&gt;0,
     COUNTIFS($Y$3:$Y$201,$M181)&gt;0,
     COUNTIFS($Z$3:$Z$201,$M181)&gt;0,
     COUNTIFS($AA$3:$AA$201,$M181)&gt;0,
     COUNTIFS($AB$3:$AB$201,$M181)&gt;0,
     COUNTIFS($AC$3:$AC$201,$M181)&gt;0,
     COUNTIFS($AD$3:$AD$201,$M181)&gt;0,
     COUNTIFS($AE$3:$AE$201,$M181)&gt;0,
     COUNTIFS($AF$3:$AF$201,$M181)&gt;0,
     COUNTIFS($AG$3:$AG$201,$M181)&gt;0,
     COUNTIFS($AH$3:$AH$201,$M181)&gt;0,
     COUNTIFS($AI$3:$AI$201,$M181)&gt;0,
     COUNTIFS($AJ$3:$AJ$201,$M181)&gt;0,
     COUNTIFS($AK$3:$AK$201,$M181)&gt;0,
     COUNTIFS($AL$3:$AL$201,$M181)&gt;0,
     COUNTIFS($AM$3:$AM$201,$M181)&gt;0,
     COUNTIFS($AN$3:$AN$201,$M181)&gt;0,
     COUNTIFS($AO$3:$AO$201,$M181)&gt;0,
     COUNTIFS($AP$3:$AP$201,$M181)&gt;0,
     COUNTIFS($AQ$3:$AQ$201,$M181)&gt;0,
     COUNTIFS($AR$3:$AR$201,$M181)&gt;0,
     COUNTIFS($AS$3:$AS$201,$M181)&gt;0,
     COUNTIFS($AT$3:$AT$201,$M181)&gt;0,
     COUNTIFS($AU$3:$AU$201,$M181)&gt;0,
     COUNTIFS($AV$3:$AV$201,$M181)&gt;0,
     COUNTIFS($AW$3:$AW$201,$M181)&gt;0,
     COUNTIFS($AX$3:$AX$201,$M181)&gt;0
   )),
  ),
  3
 ),
"")</f>
        <v/>
      </c>
      <c r="ET181" t="str">
        <f ca="1"/>
        <v>Shortcut to Mushrooms</v>
      </c>
      <c r="EW181" t="str">
        <f ca="1"/>
        <v>Selesnya Sanctuary</v>
      </c>
    </row>
    <row r="182" spans="1:153" x14ac:dyDescent="0.25">
      <c r="A182" t="str">
        <f ca="1"/>
        <v>Glasspool Mimic</v>
      </c>
      <c r="B182" s="2" t="str" cm="1">
        <f t="array" aca="1" ref="B182" ca="1">_xlfn.ANCHORARRAY(RESUMO!C181)</f>
        <v>Inalla</v>
      </c>
      <c r="C182" s="2" t="str">
        <f t="shared" ca="1" si="8"/>
        <v/>
      </c>
      <c r="E182" t="str">
        <f ca="1"/>
        <v>Shifting Shadow</v>
      </c>
      <c r="F182" s="2">
        <f t="shared" ca="1" si="11"/>
        <v>1</v>
      </c>
      <c r="G182" s="2" t="str">
        <f t="shared" ca="1" si="9"/>
        <v>Akiri</v>
      </c>
      <c r="J182" t="s">
        <v>180</v>
      </c>
      <c r="K182" s="2">
        <v>1</v>
      </c>
      <c r="M182" t="str">
        <f ca="1"/>
        <v>Shifting Shadow</v>
      </c>
      <c r="N182" s="2">
        <f t="shared" ca="1" si="10"/>
        <v>1</v>
      </c>
      <c r="O182" s="2" t="str">
        <f ca="1">IFERROR(
 INDEX($U$2:$AX$2,
  MATCH(TRUE,
   CHOOSE({1;2;3;4;5;6;7;8;9;10;11;12;13;14;15;16;17;18;19;20;21;22;23;24;25;26;27;28;29;30;31;32},
    COUNTIFS($U$3:$U$201,$M182)&gt;0,
    COUNTIFS($V$3:$V$201,$M182)&gt;0,
    COUNTIFS($W$3:$W$201,$M182)&gt;0,
    COUNTIFS($X$3:$X$201,$M182)&gt;0,
    COUNTIFS($Y$3:$Y$201,$M182)&gt;0,
    COUNTIFS($Z$3:$Z$201,$M182)&gt;0,
    COUNTIFS($AA$3:$AA$201,$M182)&gt;0,
    COUNTIFS($AB$3:$AB$201,$M182)&gt;0,
    COUNTIFS($AC$3:$AC$201,$M182)&gt;0,
    COUNTIFS($AD$3:$AD$201,$M182)&gt;0,
    COUNTIFS($AE$3:$AE$201,$M182)&gt;0,
    COUNTIFS($AF$3:$AF$201,$M182)&gt;0,
    COUNTIFS($AG$3:$AG$201,$M182)&gt;0,
    COUNTIFS($AH$3:$AH$201,$M182)&gt;0,
    COUNTIFS($AI$3:$AI$201,$M182)&gt;0,
    COUNTIFS($AJ$3:$AJ$201,$M182)&gt;0,
    COUNTIFS($AK$3:$AK$201,$M182)&gt;0,
    COUNTIFS($AL$3:$AL$201,$M182)&gt;0,
    COUNTIFS($AM$3:$AM$201,$M182)&gt;0,
    COUNTIFS($AN$3:$AN$201,$M182)&gt;0,
    COUNTIFS($AO$3:$AO$201,$M182)&gt;0,
    COUNTIFS($AP$3:$AP$201,$M182)&gt;0,
    COUNTIFS($AQ$3:$AQ$201,$M182)&gt;0,
    COUNTIFS($AR$3:$AR$201,$M182)&gt;0,
    COUNTIFS($AS$3:$AS$201,$M182)&gt;0,
    COUNTIFS($AT$3:$AT$201,$M182)&gt;0,
    COUNTIFS($AU$3:$AU$201,$M182)&gt;0,
    COUNTIFS($AV$3:$AV$201,$M182)&gt;0,
    COUNTIFS($AW$3:$AW$201,$M182)&gt;0,
    COUNTIFS($AX$3:$AX$201,$M182)&gt;0
   ),
  0)
 ),
"")</f>
        <v>Akiri</v>
      </c>
      <c r="P182" s="2" t="str" cm="1">
        <f t="array" aca="1" ref="P182" ca="1">IFERROR(
 INDEX(
  _xlfn._xlws.FILTER($U$2:$AX$2,
   TRANSPOSE(
    CHOOSE({1;2;3;4;5;6;7;8;9;10;11;12;13;14;15;16;17;18;19;20;21;22;23;24;25;26;27;28;29;30},
     COUNTIFS($U$3:$U$201,$M182)&gt;0,
     COUNTIFS($V$3:$V$201,$M182)&gt;0,
     COUNTIFS($W$3:$W$201,$M182)&gt;0,
     COUNTIFS($X$3:$X$201,$M182)&gt;0,
     COUNTIFS($Y$3:$Y$201,$M182)&gt;0,
     COUNTIFS($Z$3:$Z$201,$M182)&gt;0,
     COUNTIFS($AA$3:$AA$201,$M182)&gt;0,
     COUNTIFS($AB$3:$AB$201,$M182)&gt;0,
     COUNTIFS($AC$3:$AC$201,$M182)&gt;0,
     COUNTIFS($AD$3:$AD$201,$M182)&gt;0,
     COUNTIFS($AE$3:$AE$201,$M182)&gt;0,
     COUNTIFS($AF$3:$AF$201,$M182)&gt;0,
     COUNTIFS($AG$3:$AG$201,$M182)&gt;0,
     COUNTIFS($AH$3:$AH$201,$M182)&gt;0,
     COUNTIFS($AI$3:$AI$201,$M182)&gt;0,
     COUNTIFS($AJ$3:$AJ$201,$M182)&gt;0,
     COUNTIFS($AK$3:$AK$201,$M182)&gt;0,
     COUNTIFS($AL$3:$AL$201,$M182)&gt;0,
     COUNTIFS($AM$3:$AM$201,$M182)&gt;0,
     COUNTIFS($AN$3:$AN$201,$M182)&gt;0,
     COUNTIFS($AO$3:$AO$201,$M182)&gt;0,
     COUNTIFS($AP$3:$AP$201,$M182)&gt;0,
     COUNTIFS($AQ$3:$AQ$201,$M182)&gt;0,
     COUNTIFS($AR$3:$AR$201,$M182)&gt;0,
     COUNTIFS($AS$3:$AS$201,$M182)&gt;0,
     COUNTIFS($AT$3:$AT$201,$M182)&gt;0,
     COUNTIFS($AU$3:$AU$201,$M182)&gt;0,
     COUNTIFS($AV$3:$AV$201,$M182)&gt;0,
     COUNTIFS($AW$3:$AW$201,$M182)&gt;0,
     COUNTIFS($AX$3:$AX$201,$M182)&gt;0
   )),
  ),
  2
 ),
"")</f>
        <v/>
      </c>
      <c r="Q182" s="2" t="str" cm="1">
        <f t="array" aca="1" ref="Q182" ca="1">IFERROR(
 INDEX(
  _xlfn._xlws.FILTER($U$2:$AX$2,
   TRANSPOSE(
    CHOOSE({1;2;3;4;5;6;7;8;9;10;11;12;13;14;15;16;17;18;19;20;21;22;23;24;25;26;27;28;29;30},
     COUNTIFS($U$3:$U$201,$M182)&gt;0,
     COUNTIFS($V$3:$V$201,$M182)&gt;0,
     COUNTIFS($W$3:$W$201,$M182)&gt;0,
     COUNTIFS($X$3:$X$201,$M182)&gt;0,
     COUNTIFS($Y$3:$Y$201,$M182)&gt;0,
     COUNTIFS($Z$3:$Z$201,$M182)&gt;0,
     COUNTIFS($AA$3:$AA$201,$M182)&gt;0,
     COUNTIFS($AB$3:$AB$201,$M182)&gt;0,
     COUNTIFS($AC$3:$AC$201,$M182)&gt;0,
     COUNTIFS($AD$3:$AD$201,$M182)&gt;0,
     COUNTIFS($AE$3:$AE$201,$M182)&gt;0,
     COUNTIFS($AF$3:$AF$201,$M182)&gt;0,
     COUNTIFS($AG$3:$AG$201,$M182)&gt;0,
     COUNTIFS($AH$3:$AH$201,$M182)&gt;0,
     COUNTIFS($AI$3:$AI$201,$M182)&gt;0,
     COUNTIFS($AJ$3:$AJ$201,$M182)&gt;0,
     COUNTIFS($AK$3:$AK$201,$M182)&gt;0,
     COUNTIFS($AL$3:$AL$201,$M182)&gt;0,
     COUNTIFS($AM$3:$AM$201,$M182)&gt;0,
     COUNTIFS($AN$3:$AN$201,$M182)&gt;0,
     COUNTIFS($AO$3:$AO$201,$M182)&gt;0,
     COUNTIFS($AP$3:$AP$201,$M182)&gt;0,
     COUNTIFS($AQ$3:$AQ$201,$M182)&gt;0,
     COUNTIFS($AR$3:$AR$201,$M182)&gt;0,
     COUNTIFS($AS$3:$AS$201,$M182)&gt;0,
     COUNTIFS($AT$3:$AT$201,$M182)&gt;0,
     COUNTIFS($AU$3:$AU$201,$M182)&gt;0,
     COUNTIFS($AV$3:$AV$201,$M182)&gt;0,
     COUNTIFS($AW$3:$AW$201,$M182)&gt;0,
     COUNTIFS($AX$3:$AX$201,$M182)&gt;0
   )),
  ),
  3
 ),
"")</f>
        <v/>
      </c>
      <c r="ET182" t="str">
        <f ca="1"/>
        <v>Silundi Vision</v>
      </c>
      <c r="EW182" t="str">
        <f ca="1"/>
        <v>Shifting Shadow</v>
      </c>
    </row>
    <row r="183" spans="1:153" x14ac:dyDescent="0.25">
      <c r="A183" t="str">
        <f ca="1"/>
        <v>Glen Elendra's Answer</v>
      </c>
      <c r="B183" s="2" t="str" cm="1">
        <f t="array" aca="1" ref="B183" ca="1">_xlfn.ANCHORARRAY(RESUMO!C182)</f>
        <v>VialIshai</v>
      </c>
      <c r="C183" s="2" t="str">
        <f t="shared" ca="1" si="8"/>
        <v/>
      </c>
      <c r="E183" t="str">
        <f ca="1"/>
        <v>Shiny Impetus</v>
      </c>
      <c r="F183" s="2">
        <f t="shared" ca="1" si="11"/>
        <v>1</v>
      </c>
      <c r="G183" s="2" t="str">
        <f t="shared" ca="1" si="9"/>
        <v>Rani</v>
      </c>
      <c r="J183" t="s">
        <v>180</v>
      </c>
      <c r="K183" s="2">
        <v>1</v>
      </c>
      <c r="M183" t="str">
        <f ca="1"/>
        <v>Shiny Impetus</v>
      </c>
      <c r="N183" s="2">
        <f t="shared" ca="1" si="10"/>
        <v>1</v>
      </c>
      <c r="O183" s="2" t="str">
        <f ca="1">IFERROR(
 INDEX($U$2:$AX$2,
  MATCH(TRUE,
   CHOOSE({1;2;3;4;5;6;7;8;9;10;11;12;13;14;15;16;17;18;19;20;21;22;23;24;25;26;27;28;29;30;31;32},
    COUNTIFS($U$3:$U$201,$M183)&gt;0,
    COUNTIFS($V$3:$V$201,$M183)&gt;0,
    COUNTIFS($W$3:$W$201,$M183)&gt;0,
    COUNTIFS($X$3:$X$201,$M183)&gt;0,
    COUNTIFS($Y$3:$Y$201,$M183)&gt;0,
    COUNTIFS($Z$3:$Z$201,$M183)&gt;0,
    COUNTIFS($AA$3:$AA$201,$M183)&gt;0,
    COUNTIFS($AB$3:$AB$201,$M183)&gt;0,
    COUNTIFS($AC$3:$AC$201,$M183)&gt;0,
    COUNTIFS($AD$3:$AD$201,$M183)&gt;0,
    COUNTIFS($AE$3:$AE$201,$M183)&gt;0,
    COUNTIFS($AF$3:$AF$201,$M183)&gt;0,
    COUNTIFS($AG$3:$AG$201,$M183)&gt;0,
    COUNTIFS($AH$3:$AH$201,$M183)&gt;0,
    COUNTIFS($AI$3:$AI$201,$M183)&gt;0,
    COUNTIFS($AJ$3:$AJ$201,$M183)&gt;0,
    COUNTIFS($AK$3:$AK$201,$M183)&gt;0,
    COUNTIFS($AL$3:$AL$201,$M183)&gt;0,
    COUNTIFS($AM$3:$AM$201,$M183)&gt;0,
    COUNTIFS($AN$3:$AN$201,$M183)&gt;0,
    COUNTIFS($AO$3:$AO$201,$M183)&gt;0,
    COUNTIFS($AP$3:$AP$201,$M183)&gt;0,
    COUNTIFS($AQ$3:$AQ$201,$M183)&gt;0,
    COUNTIFS($AR$3:$AR$201,$M183)&gt;0,
    COUNTIFS($AS$3:$AS$201,$M183)&gt;0,
    COUNTIFS($AT$3:$AT$201,$M183)&gt;0,
    COUNTIFS($AU$3:$AU$201,$M183)&gt;0,
    COUNTIFS($AV$3:$AV$201,$M183)&gt;0,
    COUNTIFS($AW$3:$AW$201,$M183)&gt;0,
    COUNTIFS($AX$3:$AX$201,$M183)&gt;0
   ),
  0)
 ),
"")</f>
        <v>Rani</v>
      </c>
      <c r="P183" s="2" t="str" cm="1">
        <f t="array" aca="1" ref="P183" ca="1">IFERROR(
 INDEX(
  _xlfn._xlws.FILTER($U$2:$AX$2,
   TRANSPOSE(
    CHOOSE({1;2;3;4;5;6;7;8;9;10;11;12;13;14;15;16;17;18;19;20;21;22;23;24;25;26;27;28;29;30},
     COUNTIFS($U$3:$U$201,$M183)&gt;0,
     COUNTIFS($V$3:$V$201,$M183)&gt;0,
     COUNTIFS($W$3:$W$201,$M183)&gt;0,
     COUNTIFS($X$3:$X$201,$M183)&gt;0,
     COUNTIFS($Y$3:$Y$201,$M183)&gt;0,
     COUNTIFS($Z$3:$Z$201,$M183)&gt;0,
     COUNTIFS($AA$3:$AA$201,$M183)&gt;0,
     COUNTIFS($AB$3:$AB$201,$M183)&gt;0,
     COUNTIFS($AC$3:$AC$201,$M183)&gt;0,
     COUNTIFS($AD$3:$AD$201,$M183)&gt;0,
     COUNTIFS($AE$3:$AE$201,$M183)&gt;0,
     COUNTIFS($AF$3:$AF$201,$M183)&gt;0,
     COUNTIFS($AG$3:$AG$201,$M183)&gt;0,
     COUNTIFS($AH$3:$AH$201,$M183)&gt;0,
     COUNTIFS($AI$3:$AI$201,$M183)&gt;0,
     COUNTIFS($AJ$3:$AJ$201,$M183)&gt;0,
     COUNTIFS($AK$3:$AK$201,$M183)&gt;0,
     COUNTIFS($AL$3:$AL$201,$M183)&gt;0,
     COUNTIFS($AM$3:$AM$201,$M183)&gt;0,
     COUNTIFS($AN$3:$AN$201,$M183)&gt;0,
     COUNTIFS($AO$3:$AO$201,$M183)&gt;0,
     COUNTIFS($AP$3:$AP$201,$M183)&gt;0,
     COUNTIFS($AQ$3:$AQ$201,$M183)&gt;0,
     COUNTIFS($AR$3:$AR$201,$M183)&gt;0,
     COUNTIFS($AS$3:$AS$201,$M183)&gt;0,
     COUNTIFS($AT$3:$AT$201,$M183)&gt;0,
     COUNTIFS($AU$3:$AU$201,$M183)&gt;0,
     COUNTIFS($AV$3:$AV$201,$M183)&gt;0,
     COUNTIFS($AW$3:$AW$201,$M183)&gt;0,
     COUNTIFS($AX$3:$AX$201,$M183)&gt;0
   )),
  ),
  2
 ),
"")</f>
        <v/>
      </c>
      <c r="Q183" s="2" t="str" cm="1">
        <f t="array" aca="1" ref="Q183" ca="1">IFERROR(
 INDEX(
  _xlfn._xlws.FILTER($U$2:$AX$2,
   TRANSPOSE(
    CHOOSE({1;2;3;4;5;6;7;8;9;10;11;12;13;14;15;16;17;18;19;20;21;22;23;24;25;26;27;28;29;30},
     COUNTIFS($U$3:$U$201,$M183)&gt;0,
     COUNTIFS($V$3:$V$201,$M183)&gt;0,
     COUNTIFS($W$3:$W$201,$M183)&gt;0,
     COUNTIFS($X$3:$X$201,$M183)&gt;0,
     COUNTIFS($Y$3:$Y$201,$M183)&gt;0,
     COUNTIFS($Z$3:$Z$201,$M183)&gt;0,
     COUNTIFS($AA$3:$AA$201,$M183)&gt;0,
     COUNTIFS($AB$3:$AB$201,$M183)&gt;0,
     COUNTIFS($AC$3:$AC$201,$M183)&gt;0,
     COUNTIFS($AD$3:$AD$201,$M183)&gt;0,
     COUNTIFS($AE$3:$AE$201,$M183)&gt;0,
     COUNTIFS($AF$3:$AF$201,$M183)&gt;0,
     COUNTIFS($AG$3:$AG$201,$M183)&gt;0,
     COUNTIFS($AH$3:$AH$201,$M183)&gt;0,
     COUNTIFS($AI$3:$AI$201,$M183)&gt;0,
     COUNTIFS($AJ$3:$AJ$201,$M183)&gt;0,
     COUNTIFS($AK$3:$AK$201,$M183)&gt;0,
     COUNTIFS($AL$3:$AL$201,$M183)&gt;0,
     COUNTIFS($AM$3:$AM$201,$M183)&gt;0,
     COUNTIFS($AN$3:$AN$201,$M183)&gt;0,
     COUNTIFS($AO$3:$AO$201,$M183)&gt;0,
     COUNTIFS($AP$3:$AP$201,$M183)&gt;0,
     COUNTIFS($AQ$3:$AQ$201,$M183)&gt;0,
     COUNTIFS($AR$3:$AR$201,$M183)&gt;0,
     COUNTIFS($AS$3:$AS$201,$M183)&gt;0,
     COUNTIFS($AT$3:$AT$201,$M183)&gt;0,
     COUNTIFS($AU$3:$AU$201,$M183)&gt;0,
     COUNTIFS($AV$3:$AV$201,$M183)&gt;0,
     COUNTIFS($AW$3:$AW$201,$M183)&gt;0,
     COUNTIFS($AX$3:$AX$201,$M183)&gt;0
   )),
  ),
  3
 ),
"")</f>
        <v/>
      </c>
      <c r="ET183" t="str">
        <f ca="1"/>
        <v>Simian Simulacrum</v>
      </c>
      <c r="EW183" t="str">
        <f ca="1"/>
        <v>Shiny Impetus</v>
      </c>
    </row>
    <row r="184" spans="1:153" x14ac:dyDescent="0.25">
      <c r="A184" t="str">
        <f ca="1"/>
        <v>Glint-Horn Buccaneer</v>
      </c>
      <c r="B184" s="2" t="str" cm="1">
        <f t="array" aca="1" ref="B184" ca="1">_xlfn.ANCHORARRAY(RESUMO!C183)</f>
        <v>Piratas</v>
      </c>
      <c r="C184" s="2" t="str">
        <f t="shared" ca="1" si="8"/>
        <v/>
      </c>
      <c r="E184" t="str">
        <f ca="1"/>
        <v>Shire Terrace</v>
      </c>
      <c r="F184" s="2">
        <f t="shared" ca="1" si="11"/>
        <v>2</v>
      </c>
      <c r="G184" s="2" t="str">
        <f t="shared" ca="1" si="9"/>
        <v>Inalla</v>
      </c>
      <c r="J184" t="s">
        <v>180</v>
      </c>
      <c r="K184" s="2">
        <v>1</v>
      </c>
      <c r="M184" t="str">
        <f ca="1"/>
        <v>Shire Terrace</v>
      </c>
      <c r="N184" s="2">
        <f t="shared" ca="1" si="10"/>
        <v>2</v>
      </c>
      <c r="O184" s="2" t="str">
        <f ca="1">IFERROR(
 INDEX($U$2:$AX$2,
  MATCH(TRUE,
   CHOOSE({1;2;3;4;5;6;7;8;9;10;11;12;13;14;15;16;17;18;19;20;21;22;23;24;25;26;27;28;29;30;31;32},
    COUNTIFS($U$3:$U$201,$M184)&gt;0,
    COUNTIFS($V$3:$V$201,$M184)&gt;0,
    COUNTIFS($W$3:$W$201,$M184)&gt;0,
    COUNTIFS($X$3:$X$201,$M184)&gt;0,
    COUNTIFS($Y$3:$Y$201,$M184)&gt;0,
    COUNTIFS($Z$3:$Z$201,$M184)&gt;0,
    COUNTIFS($AA$3:$AA$201,$M184)&gt;0,
    COUNTIFS($AB$3:$AB$201,$M184)&gt;0,
    COUNTIFS($AC$3:$AC$201,$M184)&gt;0,
    COUNTIFS($AD$3:$AD$201,$M184)&gt;0,
    COUNTIFS($AE$3:$AE$201,$M184)&gt;0,
    COUNTIFS($AF$3:$AF$201,$M184)&gt;0,
    COUNTIFS($AG$3:$AG$201,$M184)&gt;0,
    COUNTIFS($AH$3:$AH$201,$M184)&gt;0,
    COUNTIFS($AI$3:$AI$201,$M184)&gt;0,
    COUNTIFS($AJ$3:$AJ$201,$M184)&gt;0,
    COUNTIFS($AK$3:$AK$201,$M184)&gt;0,
    COUNTIFS($AL$3:$AL$201,$M184)&gt;0,
    COUNTIFS($AM$3:$AM$201,$M184)&gt;0,
    COUNTIFS($AN$3:$AN$201,$M184)&gt;0,
    COUNTIFS($AO$3:$AO$201,$M184)&gt;0,
    COUNTIFS($AP$3:$AP$201,$M184)&gt;0,
    COUNTIFS($AQ$3:$AQ$201,$M184)&gt;0,
    COUNTIFS($AR$3:$AR$201,$M184)&gt;0,
    COUNTIFS($AS$3:$AS$201,$M184)&gt;0,
    COUNTIFS($AT$3:$AT$201,$M184)&gt;0,
    COUNTIFS($AU$3:$AU$201,$M184)&gt;0,
    COUNTIFS($AV$3:$AV$201,$M184)&gt;0,
    COUNTIFS($AW$3:$AW$201,$M184)&gt;0,
    COUNTIFS($AX$3:$AX$201,$M184)&gt;0
   ),
  0)
 ),
"")</f>
        <v>Inalla</v>
      </c>
      <c r="P184" s="2" t="str" cm="1">
        <f t="array" aca="1" ref="P184" ca="1">IFERROR(
 INDEX(
  _xlfn._xlws.FILTER($U$2:$AX$2,
   TRANSPOSE(
    CHOOSE({1;2;3;4;5;6;7;8;9;10;11;12;13;14;15;16;17;18;19;20;21;22;23;24;25;26;27;28;29;30},
     COUNTIFS($U$3:$U$201,$M184)&gt;0,
     COUNTIFS($V$3:$V$201,$M184)&gt;0,
     COUNTIFS($W$3:$W$201,$M184)&gt;0,
     COUNTIFS($X$3:$X$201,$M184)&gt;0,
     COUNTIFS($Y$3:$Y$201,$M184)&gt;0,
     COUNTIFS($Z$3:$Z$201,$M184)&gt;0,
     COUNTIFS($AA$3:$AA$201,$M184)&gt;0,
     COUNTIFS($AB$3:$AB$201,$M184)&gt;0,
     COUNTIFS($AC$3:$AC$201,$M184)&gt;0,
     COUNTIFS($AD$3:$AD$201,$M184)&gt;0,
     COUNTIFS($AE$3:$AE$201,$M184)&gt;0,
     COUNTIFS($AF$3:$AF$201,$M184)&gt;0,
     COUNTIFS($AG$3:$AG$201,$M184)&gt;0,
     COUNTIFS($AH$3:$AH$201,$M184)&gt;0,
     COUNTIFS($AI$3:$AI$201,$M184)&gt;0,
     COUNTIFS($AJ$3:$AJ$201,$M184)&gt;0,
     COUNTIFS($AK$3:$AK$201,$M184)&gt;0,
     COUNTIFS($AL$3:$AL$201,$M184)&gt;0,
     COUNTIFS($AM$3:$AM$201,$M184)&gt;0,
     COUNTIFS($AN$3:$AN$201,$M184)&gt;0,
     COUNTIFS($AO$3:$AO$201,$M184)&gt;0,
     COUNTIFS($AP$3:$AP$201,$M184)&gt;0,
     COUNTIFS($AQ$3:$AQ$201,$M184)&gt;0,
     COUNTIFS($AR$3:$AR$201,$M184)&gt;0,
     COUNTIFS($AS$3:$AS$201,$M184)&gt;0,
     COUNTIFS($AT$3:$AT$201,$M184)&gt;0,
     COUNTIFS($AU$3:$AU$201,$M184)&gt;0,
     COUNTIFS($AV$3:$AV$201,$M184)&gt;0,
     COUNTIFS($AW$3:$AW$201,$M184)&gt;0,
     COUNTIFS($AX$3:$AX$201,$M184)&gt;0
   )),
  ),
  2
 ),
"")</f>
        <v>Rielle</v>
      </c>
      <c r="Q184" s="2" t="str" cm="1">
        <f t="array" aca="1" ref="Q184" ca="1">IFERROR(
 INDEX(
  _xlfn._xlws.FILTER($U$2:$AX$2,
   TRANSPOSE(
    CHOOSE({1;2;3;4;5;6;7;8;9;10;11;12;13;14;15;16;17;18;19;20;21;22;23;24;25;26;27;28;29;30},
     COUNTIFS($U$3:$U$201,$M184)&gt;0,
     COUNTIFS($V$3:$V$201,$M184)&gt;0,
     COUNTIFS($W$3:$W$201,$M184)&gt;0,
     COUNTIFS($X$3:$X$201,$M184)&gt;0,
     COUNTIFS($Y$3:$Y$201,$M184)&gt;0,
     COUNTIFS($Z$3:$Z$201,$M184)&gt;0,
     COUNTIFS($AA$3:$AA$201,$M184)&gt;0,
     COUNTIFS($AB$3:$AB$201,$M184)&gt;0,
     COUNTIFS($AC$3:$AC$201,$M184)&gt;0,
     COUNTIFS($AD$3:$AD$201,$M184)&gt;0,
     COUNTIFS($AE$3:$AE$201,$M184)&gt;0,
     COUNTIFS($AF$3:$AF$201,$M184)&gt;0,
     COUNTIFS($AG$3:$AG$201,$M184)&gt;0,
     COUNTIFS($AH$3:$AH$201,$M184)&gt;0,
     COUNTIFS($AI$3:$AI$201,$M184)&gt;0,
     COUNTIFS($AJ$3:$AJ$201,$M184)&gt;0,
     COUNTIFS($AK$3:$AK$201,$M184)&gt;0,
     COUNTIFS($AL$3:$AL$201,$M184)&gt;0,
     COUNTIFS($AM$3:$AM$201,$M184)&gt;0,
     COUNTIFS($AN$3:$AN$201,$M184)&gt;0,
     COUNTIFS($AO$3:$AO$201,$M184)&gt;0,
     COUNTIFS($AP$3:$AP$201,$M184)&gt;0,
     COUNTIFS($AQ$3:$AQ$201,$M184)&gt;0,
     COUNTIFS($AR$3:$AR$201,$M184)&gt;0,
     COUNTIFS($AS$3:$AS$201,$M184)&gt;0,
     COUNTIFS($AT$3:$AT$201,$M184)&gt;0,
     COUNTIFS($AU$3:$AU$201,$M184)&gt;0,
     COUNTIFS($AV$3:$AV$201,$M184)&gt;0,
     COUNTIFS($AW$3:$AW$201,$M184)&gt;0,
     COUNTIFS($AX$3:$AX$201,$M184)&gt;0
   )),
  ),
  3
 ),
"")</f>
        <v/>
      </c>
      <c r="ET184" t="str">
        <f ca="1"/>
        <v>Sisay's Ring</v>
      </c>
      <c r="EW184" t="str">
        <f ca="1"/>
        <v>Shire Terrace</v>
      </c>
    </row>
    <row r="185" spans="1:153" x14ac:dyDescent="0.25">
      <c r="A185" t="str">
        <f ca="1"/>
        <v>Godless Shrine</v>
      </c>
      <c r="B185" s="2" t="str" cm="1">
        <f t="array" aca="1" ref="B185" ca="1">_xlfn.ANCHORARRAY(RESUMO!C184)</f>
        <v>Fractius</v>
      </c>
      <c r="C185" s="2" t="str">
        <f t="shared" ca="1" si="8"/>
        <v/>
      </c>
      <c r="E185" t="str">
        <f ca="1"/>
        <v>Shortcut to Mushrooms</v>
      </c>
      <c r="F185" s="2">
        <f t="shared" ca="1" si="11"/>
        <v>1</v>
      </c>
      <c r="G185" s="2" t="str">
        <f t="shared" ca="1" si="9"/>
        <v>Tayam</v>
      </c>
      <c r="J185" t="s">
        <v>180</v>
      </c>
      <c r="K185" s="2">
        <v>1</v>
      </c>
      <c r="M185" t="str">
        <f ca="1"/>
        <v>Shortcut to Mushrooms</v>
      </c>
      <c r="N185" s="2">
        <f t="shared" ca="1" si="10"/>
        <v>1</v>
      </c>
      <c r="O185" s="2" t="str">
        <f ca="1">IFERROR(
 INDEX($U$2:$AX$2,
  MATCH(TRUE,
   CHOOSE({1;2;3;4;5;6;7;8;9;10;11;12;13;14;15;16;17;18;19;20;21;22;23;24;25;26;27;28;29;30;31;32},
    COUNTIFS($U$3:$U$201,$M185)&gt;0,
    COUNTIFS($V$3:$V$201,$M185)&gt;0,
    COUNTIFS($W$3:$W$201,$M185)&gt;0,
    COUNTIFS($X$3:$X$201,$M185)&gt;0,
    COUNTIFS($Y$3:$Y$201,$M185)&gt;0,
    COUNTIFS($Z$3:$Z$201,$M185)&gt;0,
    COUNTIFS($AA$3:$AA$201,$M185)&gt;0,
    COUNTIFS($AB$3:$AB$201,$M185)&gt;0,
    COUNTIFS($AC$3:$AC$201,$M185)&gt;0,
    COUNTIFS($AD$3:$AD$201,$M185)&gt;0,
    COUNTIFS($AE$3:$AE$201,$M185)&gt;0,
    COUNTIFS($AF$3:$AF$201,$M185)&gt;0,
    COUNTIFS($AG$3:$AG$201,$M185)&gt;0,
    COUNTIFS($AH$3:$AH$201,$M185)&gt;0,
    COUNTIFS($AI$3:$AI$201,$M185)&gt;0,
    COUNTIFS($AJ$3:$AJ$201,$M185)&gt;0,
    COUNTIFS($AK$3:$AK$201,$M185)&gt;0,
    COUNTIFS($AL$3:$AL$201,$M185)&gt;0,
    COUNTIFS($AM$3:$AM$201,$M185)&gt;0,
    COUNTIFS($AN$3:$AN$201,$M185)&gt;0,
    COUNTIFS($AO$3:$AO$201,$M185)&gt;0,
    COUNTIFS($AP$3:$AP$201,$M185)&gt;0,
    COUNTIFS($AQ$3:$AQ$201,$M185)&gt;0,
    COUNTIFS($AR$3:$AR$201,$M185)&gt;0,
    COUNTIFS($AS$3:$AS$201,$M185)&gt;0,
    COUNTIFS($AT$3:$AT$201,$M185)&gt;0,
    COUNTIFS($AU$3:$AU$201,$M185)&gt;0,
    COUNTIFS($AV$3:$AV$201,$M185)&gt;0,
    COUNTIFS($AW$3:$AW$201,$M185)&gt;0,
    COUNTIFS($AX$3:$AX$201,$M185)&gt;0
   ),
  0)
 ),
"")</f>
        <v>Tayam</v>
      </c>
      <c r="P185" s="2" t="str" cm="1">
        <f t="array" aca="1" ref="P185" ca="1">IFERROR(
 INDEX(
  _xlfn._xlws.FILTER($U$2:$AX$2,
   TRANSPOSE(
    CHOOSE({1;2;3;4;5;6;7;8;9;10;11;12;13;14;15;16;17;18;19;20;21;22;23;24;25;26;27;28;29;30},
     COUNTIFS($U$3:$U$201,$M185)&gt;0,
     COUNTIFS($V$3:$V$201,$M185)&gt;0,
     COUNTIFS($W$3:$W$201,$M185)&gt;0,
     COUNTIFS($X$3:$X$201,$M185)&gt;0,
     COUNTIFS($Y$3:$Y$201,$M185)&gt;0,
     COUNTIFS($Z$3:$Z$201,$M185)&gt;0,
     COUNTIFS($AA$3:$AA$201,$M185)&gt;0,
     COUNTIFS($AB$3:$AB$201,$M185)&gt;0,
     COUNTIFS($AC$3:$AC$201,$M185)&gt;0,
     COUNTIFS($AD$3:$AD$201,$M185)&gt;0,
     COUNTIFS($AE$3:$AE$201,$M185)&gt;0,
     COUNTIFS($AF$3:$AF$201,$M185)&gt;0,
     COUNTIFS($AG$3:$AG$201,$M185)&gt;0,
     COUNTIFS($AH$3:$AH$201,$M185)&gt;0,
     COUNTIFS($AI$3:$AI$201,$M185)&gt;0,
     COUNTIFS($AJ$3:$AJ$201,$M185)&gt;0,
     COUNTIFS($AK$3:$AK$201,$M185)&gt;0,
     COUNTIFS($AL$3:$AL$201,$M185)&gt;0,
     COUNTIFS($AM$3:$AM$201,$M185)&gt;0,
     COUNTIFS($AN$3:$AN$201,$M185)&gt;0,
     COUNTIFS($AO$3:$AO$201,$M185)&gt;0,
     COUNTIFS($AP$3:$AP$201,$M185)&gt;0,
     COUNTIFS($AQ$3:$AQ$201,$M185)&gt;0,
     COUNTIFS($AR$3:$AR$201,$M185)&gt;0,
     COUNTIFS($AS$3:$AS$201,$M185)&gt;0,
     COUNTIFS($AT$3:$AT$201,$M185)&gt;0,
     COUNTIFS($AU$3:$AU$201,$M185)&gt;0,
     COUNTIFS($AV$3:$AV$201,$M185)&gt;0,
     COUNTIFS($AW$3:$AW$201,$M185)&gt;0,
     COUNTIFS($AX$3:$AX$201,$M185)&gt;0
   )),
  ),
  2
 ),
"")</f>
        <v/>
      </c>
      <c r="Q185" s="2" t="str" cm="1">
        <f t="array" aca="1" ref="Q185" ca="1">IFERROR(
 INDEX(
  _xlfn._xlws.FILTER($U$2:$AX$2,
   TRANSPOSE(
    CHOOSE({1;2;3;4;5;6;7;8;9;10;11;12;13;14;15;16;17;18;19;20;21;22;23;24;25;26;27;28;29;30},
     COUNTIFS($U$3:$U$201,$M185)&gt;0,
     COUNTIFS($V$3:$V$201,$M185)&gt;0,
     COUNTIFS($W$3:$W$201,$M185)&gt;0,
     COUNTIFS($X$3:$X$201,$M185)&gt;0,
     COUNTIFS($Y$3:$Y$201,$M185)&gt;0,
     COUNTIFS($Z$3:$Z$201,$M185)&gt;0,
     COUNTIFS($AA$3:$AA$201,$M185)&gt;0,
     COUNTIFS($AB$3:$AB$201,$M185)&gt;0,
     COUNTIFS($AC$3:$AC$201,$M185)&gt;0,
     COUNTIFS($AD$3:$AD$201,$M185)&gt;0,
     COUNTIFS($AE$3:$AE$201,$M185)&gt;0,
     COUNTIFS($AF$3:$AF$201,$M185)&gt;0,
     COUNTIFS($AG$3:$AG$201,$M185)&gt;0,
     COUNTIFS($AH$3:$AH$201,$M185)&gt;0,
     COUNTIFS($AI$3:$AI$201,$M185)&gt;0,
     COUNTIFS($AJ$3:$AJ$201,$M185)&gt;0,
     COUNTIFS($AK$3:$AK$201,$M185)&gt;0,
     COUNTIFS($AL$3:$AL$201,$M185)&gt;0,
     COUNTIFS($AM$3:$AM$201,$M185)&gt;0,
     COUNTIFS($AN$3:$AN$201,$M185)&gt;0,
     COUNTIFS($AO$3:$AO$201,$M185)&gt;0,
     COUNTIFS($AP$3:$AP$201,$M185)&gt;0,
     COUNTIFS($AQ$3:$AQ$201,$M185)&gt;0,
     COUNTIFS($AR$3:$AR$201,$M185)&gt;0,
     COUNTIFS($AS$3:$AS$201,$M185)&gt;0,
     COUNTIFS($AT$3:$AT$201,$M185)&gt;0,
     COUNTIFS($AU$3:$AU$201,$M185)&gt;0,
     COUNTIFS($AV$3:$AV$201,$M185)&gt;0,
     COUNTIFS($AW$3:$AW$201,$M185)&gt;0,
     COUNTIFS($AX$3:$AX$201,$M185)&gt;0
   )),
  ),
  3
 ),
"")</f>
        <v/>
      </c>
      <c r="ET185" t="str">
        <f ca="1"/>
        <v>Skarrg, the Rage Pits</v>
      </c>
      <c r="EW185" t="str">
        <f ca="1"/>
        <v>Shortcut to Mushrooms</v>
      </c>
    </row>
    <row r="186" spans="1:153" x14ac:dyDescent="0.25">
      <c r="A186" t="str">
        <f ca="1"/>
        <v>Gonti's Aether Heart</v>
      </c>
      <c r="B186" s="2" t="str" cm="1">
        <f t="array" aca="1" ref="B186" ca="1">_xlfn.ANCHORARRAY(RESUMO!C185)</f>
        <v>Modular</v>
      </c>
      <c r="C186" s="2" t="str">
        <f t="shared" ca="1" si="8"/>
        <v/>
      </c>
      <c r="E186" t="str">
        <f ca="1"/>
        <v>Silundi Vision</v>
      </c>
      <c r="F186" s="2">
        <f t="shared" ca="1" si="11"/>
        <v>1</v>
      </c>
      <c r="G186" s="2" t="str">
        <f t="shared" ca="1" si="9"/>
        <v>VialIshai</v>
      </c>
      <c r="J186" t="s">
        <v>180</v>
      </c>
      <c r="K186" s="2">
        <v>1</v>
      </c>
      <c r="M186" t="str">
        <f ca="1"/>
        <v>Silundi Vision</v>
      </c>
      <c r="N186" s="2">
        <f t="shared" ca="1" si="10"/>
        <v>1</v>
      </c>
      <c r="O186" s="2" t="str">
        <f ca="1">IFERROR(
 INDEX($U$2:$AX$2,
  MATCH(TRUE,
   CHOOSE({1;2;3;4;5;6;7;8;9;10;11;12;13;14;15;16;17;18;19;20;21;22;23;24;25;26;27;28;29;30;31;32},
    COUNTIFS($U$3:$U$201,$M186)&gt;0,
    COUNTIFS($V$3:$V$201,$M186)&gt;0,
    COUNTIFS($W$3:$W$201,$M186)&gt;0,
    COUNTIFS($X$3:$X$201,$M186)&gt;0,
    COUNTIFS($Y$3:$Y$201,$M186)&gt;0,
    COUNTIFS($Z$3:$Z$201,$M186)&gt;0,
    COUNTIFS($AA$3:$AA$201,$M186)&gt;0,
    COUNTIFS($AB$3:$AB$201,$M186)&gt;0,
    COUNTIFS($AC$3:$AC$201,$M186)&gt;0,
    COUNTIFS($AD$3:$AD$201,$M186)&gt;0,
    COUNTIFS($AE$3:$AE$201,$M186)&gt;0,
    COUNTIFS($AF$3:$AF$201,$M186)&gt;0,
    COUNTIFS($AG$3:$AG$201,$M186)&gt;0,
    COUNTIFS($AH$3:$AH$201,$M186)&gt;0,
    COUNTIFS($AI$3:$AI$201,$M186)&gt;0,
    COUNTIFS($AJ$3:$AJ$201,$M186)&gt;0,
    COUNTIFS($AK$3:$AK$201,$M186)&gt;0,
    COUNTIFS($AL$3:$AL$201,$M186)&gt;0,
    COUNTIFS($AM$3:$AM$201,$M186)&gt;0,
    COUNTIFS($AN$3:$AN$201,$M186)&gt;0,
    COUNTIFS($AO$3:$AO$201,$M186)&gt;0,
    COUNTIFS($AP$3:$AP$201,$M186)&gt;0,
    COUNTIFS($AQ$3:$AQ$201,$M186)&gt;0,
    COUNTIFS($AR$3:$AR$201,$M186)&gt;0,
    COUNTIFS($AS$3:$AS$201,$M186)&gt;0,
    COUNTIFS($AT$3:$AT$201,$M186)&gt;0,
    COUNTIFS($AU$3:$AU$201,$M186)&gt;0,
    COUNTIFS($AV$3:$AV$201,$M186)&gt;0,
    COUNTIFS($AW$3:$AW$201,$M186)&gt;0,
    COUNTIFS($AX$3:$AX$201,$M186)&gt;0
   ),
  0)
 ),
"")</f>
        <v>VialIshai</v>
      </c>
      <c r="P186" s="2" t="str" cm="1">
        <f t="array" aca="1" ref="P186" ca="1">IFERROR(
 INDEX(
  _xlfn._xlws.FILTER($U$2:$AX$2,
   TRANSPOSE(
    CHOOSE({1;2;3;4;5;6;7;8;9;10;11;12;13;14;15;16;17;18;19;20;21;22;23;24;25;26;27;28;29;30},
     COUNTIFS($U$3:$U$201,$M186)&gt;0,
     COUNTIFS($V$3:$V$201,$M186)&gt;0,
     COUNTIFS($W$3:$W$201,$M186)&gt;0,
     COUNTIFS($X$3:$X$201,$M186)&gt;0,
     COUNTIFS($Y$3:$Y$201,$M186)&gt;0,
     COUNTIFS($Z$3:$Z$201,$M186)&gt;0,
     COUNTIFS($AA$3:$AA$201,$M186)&gt;0,
     COUNTIFS($AB$3:$AB$201,$M186)&gt;0,
     COUNTIFS($AC$3:$AC$201,$M186)&gt;0,
     COUNTIFS($AD$3:$AD$201,$M186)&gt;0,
     COUNTIFS($AE$3:$AE$201,$M186)&gt;0,
     COUNTIFS($AF$3:$AF$201,$M186)&gt;0,
     COUNTIFS($AG$3:$AG$201,$M186)&gt;0,
     COUNTIFS($AH$3:$AH$201,$M186)&gt;0,
     COUNTIFS($AI$3:$AI$201,$M186)&gt;0,
     COUNTIFS($AJ$3:$AJ$201,$M186)&gt;0,
     COUNTIFS($AK$3:$AK$201,$M186)&gt;0,
     COUNTIFS($AL$3:$AL$201,$M186)&gt;0,
     COUNTIFS($AM$3:$AM$201,$M186)&gt;0,
     COUNTIFS($AN$3:$AN$201,$M186)&gt;0,
     COUNTIFS($AO$3:$AO$201,$M186)&gt;0,
     COUNTIFS($AP$3:$AP$201,$M186)&gt;0,
     COUNTIFS($AQ$3:$AQ$201,$M186)&gt;0,
     COUNTIFS($AR$3:$AR$201,$M186)&gt;0,
     COUNTIFS($AS$3:$AS$201,$M186)&gt;0,
     COUNTIFS($AT$3:$AT$201,$M186)&gt;0,
     COUNTIFS($AU$3:$AU$201,$M186)&gt;0,
     COUNTIFS($AV$3:$AV$201,$M186)&gt;0,
     COUNTIFS($AW$3:$AW$201,$M186)&gt;0,
     COUNTIFS($AX$3:$AX$201,$M186)&gt;0
   )),
  ),
  2
 ),
"")</f>
        <v/>
      </c>
      <c r="Q186" s="2" t="str" cm="1">
        <f t="array" aca="1" ref="Q186" ca="1">IFERROR(
 INDEX(
  _xlfn._xlws.FILTER($U$2:$AX$2,
   TRANSPOSE(
    CHOOSE({1;2;3;4;5;6;7;8;9;10;11;12;13;14;15;16;17;18;19;20;21;22;23;24;25;26;27;28;29;30},
     COUNTIFS($U$3:$U$201,$M186)&gt;0,
     COUNTIFS($V$3:$V$201,$M186)&gt;0,
     COUNTIFS($W$3:$W$201,$M186)&gt;0,
     COUNTIFS($X$3:$X$201,$M186)&gt;0,
     COUNTIFS($Y$3:$Y$201,$M186)&gt;0,
     COUNTIFS($Z$3:$Z$201,$M186)&gt;0,
     COUNTIFS($AA$3:$AA$201,$M186)&gt;0,
     COUNTIFS($AB$3:$AB$201,$M186)&gt;0,
     COUNTIFS($AC$3:$AC$201,$M186)&gt;0,
     COUNTIFS($AD$3:$AD$201,$M186)&gt;0,
     COUNTIFS($AE$3:$AE$201,$M186)&gt;0,
     COUNTIFS($AF$3:$AF$201,$M186)&gt;0,
     COUNTIFS($AG$3:$AG$201,$M186)&gt;0,
     COUNTIFS($AH$3:$AH$201,$M186)&gt;0,
     COUNTIFS($AI$3:$AI$201,$M186)&gt;0,
     COUNTIFS($AJ$3:$AJ$201,$M186)&gt;0,
     COUNTIFS($AK$3:$AK$201,$M186)&gt;0,
     COUNTIFS($AL$3:$AL$201,$M186)&gt;0,
     COUNTIFS($AM$3:$AM$201,$M186)&gt;0,
     COUNTIFS($AN$3:$AN$201,$M186)&gt;0,
     COUNTIFS($AO$3:$AO$201,$M186)&gt;0,
     COUNTIFS($AP$3:$AP$201,$M186)&gt;0,
     COUNTIFS($AQ$3:$AQ$201,$M186)&gt;0,
     COUNTIFS($AR$3:$AR$201,$M186)&gt;0,
     COUNTIFS($AS$3:$AS$201,$M186)&gt;0,
     COUNTIFS($AT$3:$AT$201,$M186)&gt;0,
     COUNTIFS($AU$3:$AU$201,$M186)&gt;0,
     COUNTIFS($AV$3:$AV$201,$M186)&gt;0,
     COUNTIFS($AW$3:$AW$201,$M186)&gt;0,
     COUNTIFS($AX$3:$AX$201,$M186)&gt;0
   )),
  ),
  3
 ),
"")</f>
        <v/>
      </c>
      <c r="ET186" t="str">
        <f ca="1"/>
        <v>Slagdrill Scrapper</v>
      </c>
      <c r="EW186" t="str">
        <f ca="1"/>
        <v>Silundi Vision</v>
      </c>
    </row>
    <row r="187" spans="1:153" x14ac:dyDescent="0.25">
      <c r="A187" t="str">
        <f ca="1"/>
        <v>Great Furnace</v>
      </c>
      <c r="B187" s="2" t="str" cm="1">
        <f t="array" aca="1" ref="B187" ca="1">_xlfn.ANCHORARRAY(RESUMO!C186)</f>
        <v>Modular</v>
      </c>
      <c r="C187" s="2" t="str">
        <f t="shared" ca="1" si="8"/>
        <v/>
      </c>
      <c r="E187" t="str">
        <f ca="1"/>
        <v>Simian Simulacrum</v>
      </c>
      <c r="F187" s="2">
        <f t="shared" ca="1" si="11"/>
        <v>1</v>
      </c>
      <c r="G187" s="2" t="str">
        <f t="shared" ca="1" si="9"/>
        <v>Tayam</v>
      </c>
      <c r="J187" t="s">
        <v>180</v>
      </c>
      <c r="K187" s="2">
        <v>1</v>
      </c>
      <c r="M187" t="str">
        <f ca="1"/>
        <v>Simian Simulacrum</v>
      </c>
      <c r="N187" s="2">
        <f t="shared" ca="1" si="10"/>
        <v>1</v>
      </c>
      <c r="O187" s="2" t="str">
        <f ca="1">IFERROR(
 INDEX($U$2:$AX$2,
  MATCH(TRUE,
   CHOOSE({1;2;3;4;5;6;7;8;9;10;11;12;13;14;15;16;17;18;19;20;21;22;23;24;25;26;27;28;29;30;31;32},
    COUNTIFS($U$3:$U$201,$M187)&gt;0,
    COUNTIFS($V$3:$V$201,$M187)&gt;0,
    COUNTIFS($W$3:$W$201,$M187)&gt;0,
    COUNTIFS($X$3:$X$201,$M187)&gt;0,
    COUNTIFS($Y$3:$Y$201,$M187)&gt;0,
    COUNTIFS($Z$3:$Z$201,$M187)&gt;0,
    COUNTIFS($AA$3:$AA$201,$M187)&gt;0,
    COUNTIFS($AB$3:$AB$201,$M187)&gt;0,
    COUNTIFS($AC$3:$AC$201,$M187)&gt;0,
    COUNTIFS($AD$3:$AD$201,$M187)&gt;0,
    COUNTIFS($AE$3:$AE$201,$M187)&gt;0,
    COUNTIFS($AF$3:$AF$201,$M187)&gt;0,
    COUNTIFS($AG$3:$AG$201,$M187)&gt;0,
    COUNTIFS($AH$3:$AH$201,$M187)&gt;0,
    COUNTIFS($AI$3:$AI$201,$M187)&gt;0,
    COUNTIFS($AJ$3:$AJ$201,$M187)&gt;0,
    COUNTIFS($AK$3:$AK$201,$M187)&gt;0,
    COUNTIFS($AL$3:$AL$201,$M187)&gt;0,
    COUNTIFS($AM$3:$AM$201,$M187)&gt;0,
    COUNTIFS($AN$3:$AN$201,$M187)&gt;0,
    COUNTIFS($AO$3:$AO$201,$M187)&gt;0,
    COUNTIFS($AP$3:$AP$201,$M187)&gt;0,
    COUNTIFS($AQ$3:$AQ$201,$M187)&gt;0,
    COUNTIFS($AR$3:$AR$201,$M187)&gt;0,
    COUNTIFS($AS$3:$AS$201,$M187)&gt;0,
    COUNTIFS($AT$3:$AT$201,$M187)&gt;0,
    COUNTIFS($AU$3:$AU$201,$M187)&gt;0,
    COUNTIFS($AV$3:$AV$201,$M187)&gt;0,
    COUNTIFS($AW$3:$AW$201,$M187)&gt;0,
    COUNTIFS($AX$3:$AX$201,$M187)&gt;0
   ),
  0)
 ),
"")</f>
        <v>Tayam</v>
      </c>
      <c r="P187" s="2" t="str" cm="1">
        <f t="array" aca="1" ref="P187" ca="1">IFERROR(
 INDEX(
  _xlfn._xlws.FILTER($U$2:$AX$2,
   TRANSPOSE(
    CHOOSE({1;2;3;4;5;6;7;8;9;10;11;12;13;14;15;16;17;18;19;20;21;22;23;24;25;26;27;28;29;30},
     COUNTIFS($U$3:$U$201,$M187)&gt;0,
     COUNTIFS($V$3:$V$201,$M187)&gt;0,
     COUNTIFS($W$3:$W$201,$M187)&gt;0,
     COUNTIFS($X$3:$X$201,$M187)&gt;0,
     COUNTIFS($Y$3:$Y$201,$M187)&gt;0,
     COUNTIFS($Z$3:$Z$201,$M187)&gt;0,
     COUNTIFS($AA$3:$AA$201,$M187)&gt;0,
     COUNTIFS($AB$3:$AB$201,$M187)&gt;0,
     COUNTIFS($AC$3:$AC$201,$M187)&gt;0,
     COUNTIFS($AD$3:$AD$201,$M187)&gt;0,
     COUNTIFS($AE$3:$AE$201,$M187)&gt;0,
     COUNTIFS($AF$3:$AF$201,$M187)&gt;0,
     COUNTIFS($AG$3:$AG$201,$M187)&gt;0,
     COUNTIFS($AH$3:$AH$201,$M187)&gt;0,
     COUNTIFS($AI$3:$AI$201,$M187)&gt;0,
     COUNTIFS($AJ$3:$AJ$201,$M187)&gt;0,
     COUNTIFS($AK$3:$AK$201,$M187)&gt;0,
     COUNTIFS($AL$3:$AL$201,$M187)&gt;0,
     COUNTIFS($AM$3:$AM$201,$M187)&gt;0,
     COUNTIFS($AN$3:$AN$201,$M187)&gt;0,
     COUNTIFS($AO$3:$AO$201,$M187)&gt;0,
     COUNTIFS($AP$3:$AP$201,$M187)&gt;0,
     COUNTIFS($AQ$3:$AQ$201,$M187)&gt;0,
     COUNTIFS($AR$3:$AR$201,$M187)&gt;0,
     COUNTIFS($AS$3:$AS$201,$M187)&gt;0,
     COUNTIFS($AT$3:$AT$201,$M187)&gt;0,
     COUNTIFS($AU$3:$AU$201,$M187)&gt;0,
     COUNTIFS($AV$3:$AV$201,$M187)&gt;0,
     COUNTIFS($AW$3:$AW$201,$M187)&gt;0,
     COUNTIFS($AX$3:$AX$201,$M187)&gt;0
   )),
  ),
  2
 ),
"")</f>
        <v/>
      </c>
      <c r="Q187" s="2" t="str" cm="1">
        <f t="array" aca="1" ref="Q187" ca="1">IFERROR(
 INDEX(
  _xlfn._xlws.FILTER($U$2:$AX$2,
   TRANSPOSE(
    CHOOSE({1;2;3;4;5;6;7;8;9;10;11;12;13;14;15;16;17;18;19;20;21;22;23;24;25;26;27;28;29;30},
     COUNTIFS($U$3:$U$201,$M187)&gt;0,
     COUNTIFS($V$3:$V$201,$M187)&gt;0,
     COUNTIFS($W$3:$W$201,$M187)&gt;0,
     COUNTIFS($X$3:$X$201,$M187)&gt;0,
     COUNTIFS($Y$3:$Y$201,$M187)&gt;0,
     COUNTIFS($Z$3:$Z$201,$M187)&gt;0,
     COUNTIFS($AA$3:$AA$201,$M187)&gt;0,
     COUNTIFS($AB$3:$AB$201,$M187)&gt;0,
     COUNTIFS($AC$3:$AC$201,$M187)&gt;0,
     COUNTIFS($AD$3:$AD$201,$M187)&gt;0,
     COUNTIFS($AE$3:$AE$201,$M187)&gt;0,
     COUNTIFS($AF$3:$AF$201,$M187)&gt;0,
     COUNTIFS($AG$3:$AG$201,$M187)&gt;0,
     COUNTIFS($AH$3:$AH$201,$M187)&gt;0,
     COUNTIFS($AI$3:$AI$201,$M187)&gt;0,
     COUNTIFS($AJ$3:$AJ$201,$M187)&gt;0,
     COUNTIFS($AK$3:$AK$201,$M187)&gt;0,
     COUNTIFS($AL$3:$AL$201,$M187)&gt;0,
     COUNTIFS($AM$3:$AM$201,$M187)&gt;0,
     COUNTIFS($AN$3:$AN$201,$M187)&gt;0,
     COUNTIFS($AO$3:$AO$201,$M187)&gt;0,
     COUNTIFS($AP$3:$AP$201,$M187)&gt;0,
     COUNTIFS($AQ$3:$AQ$201,$M187)&gt;0,
     COUNTIFS($AR$3:$AR$201,$M187)&gt;0,
     COUNTIFS($AS$3:$AS$201,$M187)&gt;0,
     COUNTIFS($AT$3:$AT$201,$M187)&gt;0,
     COUNTIFS($AU$3:$AU$201,$M187)&gt;0,
     COUNTIFS($AV$3:$AV$201,$M187)&gt;0,
     COUNTIFS($AW$3:$AW$201,$M187)&gt;0,
     COUNTIFS($AX$3:$AX$201,$M187)&gt;0
   )),
  ),
  3
 ),
"")</f>
        <v/>
      </c>
      <c r="ET187" t="str">
        <f ca="1"/>
        <v>Smoke Shroud</v>
      </c>
      <c r="EW187" t="str">
        <f ca="1"/>
        <v>Simian Simulacrum</v>
      </c>
    </row>
    <row r="188" spans="1:153" x14ac:dyDescent="0.25">
      <c r="A188" t="str">
        <f ca="1"/>
        <v>Grim Affliction</v>
      </c>
      <c r="B188" s="2" t="str" cm="1">
        <f t="array" aca="1" ref="B188" ca="1">_xlfn.ANCHORARRAY(RESUMO!C187)</f>
        <v>Ool</v>
      </c>
      <c r="C188" s="2" t="str">
        <f t="shared" ca="1" si="8"/>
        <v/>
      </c>
      <c r="E188" t="str">
        <f ca="1"/>
        <v>Sin Prodder</v>
      </c>
      <c r="F188" s="2">
        <f t="shared" ca="1" si="11"/>
        <v>1</v>
      </c>
      <c r="G188" s="2" t="str">
        <f t="shared" ca="1" si="9"/>
        <v/>
      </c>
      <c r="J188" t="s">
        <v>180</v>
      </c>
      <c r="K188" s="2">
        <v>1</v>
      </c>
      <c r="M188" t="str">
        <f ca="1"/>
        <v>Sin Prodder</v>
      </c>
      <c r="N188" s="2">
        <f t="shared" ca="1" si="10"/>
        <v>0</v>
      </c>
      <c r="O188" s="2" t="str">
        <f ca="1">IFERROR(
 INDEX($U$2:$AX$2,
  MATCH(TRUE,
   CHOOSE({1;2;3;4;5;6;7;8;9;10;11;12;13;14;15;16;17;18;19;20;21;22;23;24;25;26;27;28;29;30;31;32},
    COUNTIFS($U$3:$U$201,$M188)&gt;0,
    COUNTIFS($V$3:$V$201,$M188)&gt;0,
    COUNTIFS($W$3:$W$201,$M188)&gt;0,
    COUNTIFS($X$3:$X$201,$M188)&gt;0,
    COUNTIFS($Y$3:$Y$201,$M188)&gt;0,
    COUNTIFS($Z$3:$Z$201,$M188)&gt;0,
    COUNTIFS($AA$3:$AA$201,$M188)&gt;0,
    COUNTIFS($AB$3:$AB$201,$M188)&gt;0,
    COUNTIFS($AC$3:$AC$201,$M188)&gt;0,
    COUNTIFS($AD$3:$AD$201,$M188)&gt;0,
    COUNTIFS($AE$3:$AE$201,$M188)&gt;0,
    COUNTIFS($AF$3:$AF$201,$M188)&gt;0,
    COUNTIFS($AG$3:$AG$201,$M188)&gt;0,
    COUNTIFS($AH$3:$AH$201,$M188)&gt;0,
    COUNTIFS($AI$3:$AI$201,$M188)&gt;0,
    COUNTIFS($AJ$3:$AJ$201,$M188)&gt;0,
    COUNTIFS($AK$3:$AK$201,$M188)&gt;0,
    COUNTIFS($AL$3:$AL$201,$M188)&gt;0,
    COUNTIFS($AM$3:$AM$201,$M188)&gt;0,
    COUNTIFS($AN$3:$AN$201,$M188)&gt;0,
    COUNTIFS($AO$3:$AO$201,$M188)&gt;0,
    COUNTIFS($AP$3:$AP$201,$M188)&gt;0,
    COUNTIFS($AQ$3:$AQ$201,$M188)&gt;0,
    COUNTIFS($AR$3:$AR$201,$M188)&gt;0,
    COUNTIFS($AS$3:$AS$201,$M188)&gt;0,
    COUNTIFS($AT$3:$AT$201,$M188)&gt;0,
    COUNTIFS($AU$3:$AU$201,$M188)&gt;0,
    COUNTIFS($AV$3:$AV$201,$M188)&gt;0,
    COUNTIFS($AW$3:$AW$201,$M188)&gt;0,
    COUNTIFS($AX$3:$AX$201,$M188)&gt;0
   ),
  0)
 ),
"")</f>
        <v/>
      </c>
      <c r="P188" s="2" t="str" cm="1">
        <f t="array" aca="1" ref="P188" ca="1">IFERROR(
 INDEX(
  _xlfn._xlws.FILTER($U$2:$AX$2,
   TRANSPOSE(
    CHOOSE({1;2;3;4;5;6;7;8;9;10;11;12;13;14;15;16;17;18;19;20;21;22;23;24;25;26;27;28;29;30},
     COUNTIFS($U$3:$U$201,$M188)&gt;0,
     COUNTIFS($V$3:$V$201,$M188)&gt;0,
     COUNTIFS($W$3:$W$201,$M188)&gt;0,
     COUNTIFS($X$3:$X$201,$M188)&gt;0,
     COUNTIFS($Y$3:$Y$201,$M188)&gt;0,
     COUNTIFS($Z$3:$Z$201,$M188)&gt;0,
     COUNTIFS($AA$3:$AA$201,$M188)&gt;0,
     COUNTIFS($AB$3:$AB$201,$M188)&gt;0,
     COUNTIFS($AC$3:$AC$201,$M188)&gt;0,
     COUNTIFS($AD$3:$AD$201,$M188)&gt;0,
     COUNTIFS($AE$3:$AE$201,$M188)&gt;0,
     COUNTIFS($AF$3:$AF$201,$M188)&gt;0,
     COUNTIFS($AG$3:$AG$201,$M188)&gt;0,
     COUNTIFS($AH$3:$AH$201,$M188)&gt;0,
     COUNTIFS($AI$3:$AI$201,$M188)&gt;0,
     COUNTIFS($AJ$3:$AJ$201,$M188)&gt;0,
     COUNTIFS($AK$3:$AK$201,$M188)&gt;0,
     COUNTIFS($AL$3:$AL$201,$M188)&gt;0,
     COUNTIFS($AM$3:$AM$201,$M188)&gt;0,
     COUNTIFS($AN$3:$AN$201,$M188)&gt;0,
     COUNTIFS($AO$3:$AO$201,$M188)&gt;0,
     COUNTIFS($AP$3:$AP$201,$M188)&gt;0,
     COUNTIFS($AQ$3:$AQ$201,$M188)&gt;0,
     COUNTIFS($AR$3:$AR$201,$M188)&gt;0,
     COUNTIFS($AS$3:$AS$201,$M188)&gt;0,
     COUNTIFS($AT$3:$AT$201,$M188)&gt;0,
     COUNTIFS($AU$3:$AU$201,$M188)&gt;0,
     COUNTIFS($AV$3:$AV$201,$M188)&gt;0,
     COUNTIFS($AW$3:$AW$201,$M188)&gt;0,
     COUNTIFS($AX$3:$AX$201,$M188)&gt;0
   )),
  ),
  2
 ),
"")</f>
        <v/>
      </c>
      <c r="Q188" s="2" t="str" cm="1">
        <f t="array" aca="1" ref="Q188" ca="1">IFERROR(
 INDEX(
  _xlfn._xlws.FILTER($U$2:$AX$2,
   TRANSPOSE(
    CHOOSE({1;2;3;4;5;6;7;8;9;10;11;12;13;14;15;16;17;18;19;20;21;22;23;24;25;26;27;28;29;30},
     COUNTIFS($U$3:$U$201,$M188)&gt;0,
     COUNTIFS($V$3:$V$201,$M188)&gt;0,
     COUNTIFS($W$3:$W$201,$M188)&gt;0,
     COUNTIFS($X$3:$X$201,$M188)&gt;0,
     COUNTIFS($Y$3:$Y$201,$M188)&gt;0,
     COUNTIFS($Z$3:$Z$201,$M188)&gt;0,
     COUNTIFS($AA$3:$AA$201,$M188)&gt;0,
     COUNTIFS($AB$3:$AB$201,$M188)&gt;0,
     COUNTIFS($AC$3:$AC$201,$M188)&gt;0,
     COUNTIFS($AD$3:$AD$201,$M188)&gt;0,
     COUNTIFS($AE$3:$AE$201,$M188)&gt;0,
     COUNTIFS($AF$3:$AF$201,$M188)&gt;0,
     COUNTIFS($AG$3:$AG$201,$M188)&gt;0,
     COUNTIFS($AH$3:$AH$201,$M188)&gt;0,
     COUNTIFS($AI$3:$AI$201,$M188)&gt;0,
     COUNTIFS($AJ$3:$AJ$201,$M188)&gt;0,
     COUNTIFS($AK$3:$AK$201,$M188)&gt;0,
     COUNTIFS($AL$3:$AL$201,$M188)&gt;0,
     COUNTIFS($AM$3:$AM$201,$M188)&gt;0,
     COUNTIFS($AN$3:$AN$201,$M188)&gt;0,
     COUNTIFS($AO$3:$AO$201,$M188)&gt;0,
     COUNTIFS($AP$3:$AP$201,$M188)&gt;0,
     COUNTIFS($AQ$3:$AQ$201,$M188)&gt;0,
     COUNTIFS($AR$3:$AR$201,$M188)&gt;0,
     COUNTIFS($AS$3:$AS$201,$M188)&gt;0,
     COUNTIFS($AT$3:$AT$201,$M188)&gt;0,
     COUNTIFS($AU$3:$AU$201,$M188)&gt;0,
     COUNTIFS($AV$3:$AV$201,$M188)&gt;0,
     COUNTIFS($AW$3:$AW$201,$M188)&gt;0,
     COUNTIFS($AX$3:$AX$201,$M188)&gt;0
   )),
  ),
  3
 ),
"")</f>
        <v/>
      </c>
      <c r="ET188" t="str">
        <f ca="1"/>
        <v>Solemn Simulacrun</v>
      </c>
      <c r="EW188" t="str">
        <f ca="1"/>
        <v>Sin Prodder</v>
      </c>
    </row>
    <row r="189" spans="1:153" x14ac:dyDescent="0.25">
      <c r="A189" t="str">
        <f ca="1"/>
        <v>Growth Spiral</v>
      </c>
      <c r="B189" s="2" t="str" cm="1">
        <f t="array" aca="1" ref="B189" ca="1">_xlfn.ANCHORARRAY(RESUMO!C188)</f>
        <v>4cRash</v>
      </c>
      <c r="C189" s="2" t="str">
        <f t="shared" ca="1" si="8"/>
        <v/>
      </c>
      <c r="E189" t="str">
        <f ca="1"/>
        <v>Sisay's Ring</v>
      </c>
      <c r="F189" s="2">
        <f t="shared" ca="1" si="11"/>
        <v>1</v>
      </c>
      <c r="G189" s="2" t="str">
        <f t="shared" ca="1" si="9"/>
        <v>Oona</v>
      </c>
      <c r="J189" t="s">
        <v>180</v>
      </c>
      <c r="K189" s="2">
        <v>1</v>
      </c>
      <c r="M189" t="str">
        <f ca="1"/>
        <v>Sisay's Ring</v>
      </c>
      <c r="N189" s="2">
        <f t="shared" ca="1" si="10"/>
        <v>1</v>
      </c>
      <c r="O189" s="2" t="str">
        <f ca="1">IFERROR(
 INDEX($U$2:$AX$2,
  MATCH(TRUE,
   CHOOSE({1;2;3;4;5;6;7;8;9;10;11;12;13;14;15;16;17;18;19;20;21;22;23;24;25;26;27;28;29;30;31;32},
    COUNTIFS($U$3:$U$201,$M189)&gt;0,
    COUNTIFS($V$3:$V$201,$M189)&gt;0,
    COUNTIFS($W$3:$W$201,$M189)&gt;0,
    COUNTIFS($X$3:$X$201,$M189)&gt;0,
    COUNTIFS($Y$3:$Y$201,$M189)&gt;0,
    COUNTIFS($Z$3:$Z$201,$M189)&gt;0,
    COUNTIFS($AA$3:$AA$201,$M189)&gt;0,
    COUNTIFS($AB$3:$AB$201,$M189)&gt;0,
    COUNTIFS($AC$3:$AC$201,$M189)&gt;0,
    COUNTIFS($AD$3:$AD$201,$M189)&gt;0,
    COUNTIFS($AE$3:$AE$201,$M189)&gt;0,
    COUNTIFS($AF$3:$AF$201,$M189)&gt;0,
    COUNTIFS($AG$3:$AG$201,$M189)&gt;0,
    COUNTIFS($AH$3:$AH$201,$M189)&gt;0,
    COUNTIFS($AI$3:$AI$201,$M189)&gt;0,
    COUNTIFS($AJ$3:$AJ$201,$M189)&gt;0,
    COUNTIFS($AK$3:$AK$201,$M189)&gt;0,
    COUNTIFS($AL$3:$AL$201,$M189)&gt;0,
    COUNTIFS($AM$3:$AM$201,$M189)&gt;0,
    COUNTIFS($AN$3:$AN$201,$M189)&gt;0,
    COUNTIFS($AO$3:$AO$201,$M189)&gt;0,
    COUNTIFS($AP$3:$AP$201,$M189)&gt;0,
    COUNTIFS($AQ$3:$AQ$201,$M189)&gt;0,
    COUNTIFS($AR$3:$AR$201,$M189)&gt;0,
    COUNTIFS($AS$3:$AS$201,$M189)&gt;0,
    COUNTIFS($AT$3:$AT$201,$M189)&gt;0,
    COUNTIFS($AU$3:$AU$201,$M189)&gt;0,
    COUNTIFS($AV$3:$AV$201,$M189)&gt;0,
    COUNTIFS($AW$3:$AW$201,$M189)&gt;0,
    COUNTIFS($AX$3:$AX$201,$M189)&gt;0
   ),
  0)
 ),
"")</f>
        <v>Oona</v>
      </c>
      <c r="P189" s="2" t="str" cm="1">
        <f t="array" aca="1" ref="P189" ca="1">IFERROR(
 INDEX(
  _xlfn._xlws.FILTER($U$2:$AX$2,
   TRANSPOSE(
    CHOOSE({1;2;3;4;5;6;7;8;9;10;11;12;13;14;15;16;17;18;19;20;21;22;23;24;25;26;27;28;29;30},
     COUNTIFS($U$3:$U$201,$M189)&gt;0,
     COUNTIFS($V$3:$V$201,$M189)&gt;0,
     COUNTIFS($W$3:$W$201,$M189)&gt;0,
     COUNTIFS($X$3:$X$201,$M189)&gt;0,
     COUNTIFS($Y$3:$Y$201,$M189)&gt;0,
     COUNTIFS($Z$3:$Z$201,$M189)&gt;0,
     COUNTIFS($AA$3:$AA$201,$M189)&gt;0,
     COUNTIFS($AB$3:$AB$201,$M189)&gt;0,
     COUNTIFS($AC$3:$AC$201,$M189)&gt;0,
     COUNTIFS($AD$3:$AD$201,$M189)&gt;0,
     COUNTIFS($AE$3:$AE$201,$M189)&gt;0,
     COUNTIFS($AF$3:$AF$201,$M189)&gt;0,
     COUNTIFS($AG$3:$AG$201,$M189)&gt;0,
     COUNTIFS($AH$3:$AH$201,$M189)&gt;0,
     COUNTIFS($AI$3:$AI$201,$M189)&gt;0,
     COUNTIFS($AJ$3:$AJ$201,$M189)&gt;0,
     COUNTIFS($AK$3:$AK$201,$M189)&gt;0,
     COUNTIFS($AL$3:$AL$201,$M189)&gt;0,
     COUNTIFS($AM$3:$AM$201,$M189)&gt;0,
     COUNTIFS($AN$3:$AN$201,$M189)&gt;0,
     COUNTIFS($AO$3:$AO$201,$M189)&gt;0,
     COUNTIFS($AP$3:$AP$201,$M189)&gt;0,
     COUNTIFS($AQ$3:$AQ$201,$M189)&gt;0,
     COUNTIFS($AR$3:$AR$201,$M189)&gt;0,
     COUNTIFS($AS$3:$AS$201,$M189)&gt;0,
     COUNTIFS($AT$3:$AT$201,$M189)&gt;0,
     COUNTIFS($AU$3:$AU$201,$M189)&gt;0,
     COUNTIFS($AV$3:$AV$201,$M189)&gt;0,
     COUNTIFS($AW$3:$AW$201,$M189)&gt;0,
     COUNTIFS($AX$3:$AX$201,$M189)&gt;0
   )),
  ),
  2
 ),
"")</f>
        <v/>
      </c>
      <c r="Q189" s="2" t="str" cm="1">
        <f t="array" aca="1" ref="Q189" ca="1">IFERROR(
 INDEX(
  _xlfn._xlws.FILTER($U$2:$AX$2,
   TRANSPOSE(
    CHOOSE({1;2;3;4;5;6;7;8;9;10;11;12;13;14;15;16;17;18;19;20;21;22;23;24;25;26;27;28;29;30},
     COUNTIFS($U$3:$U$201,$M189)&gt;0,
     COUNTIFS($V$3:$V$201,$M189)&gt;0,
     COUNTIFS($W$3:$W$201,$M189)&gt;0,
     COUNTIFS($X$3:$X$201,$M189)&gt;0,
     COUNTIFS($Y$3:$Y$201,$M189)&gt;0,
     COUNTIFS($Z$3:$Z$201,$M189)&gt;0,
     COUNTIFS($AA$3:$AA$201,$M189)&gt;0,
     COUNTIFS($AB$3:$AB$201,$M189)&gt;0,
     COUNTIFS($AC$3:$AC$201,$M189)&gt;0,
     COUNTIFS($AD$3:$AD$201,$M189)&gt;0,
     COUNTIFS($AE$3:$AE$201,$M189)&gt;0,
     COUNTIFS($AF$3:$AF$201,$M189)&gt;0,
     COUNTIFS($AG$3:$AG$201,$M189)&gt;0,
     COUNTIFS($AH$3:$AH$201,$M189)&gt;0,
     COUNTIFS($AI$3:$AI$201,$M189)&gt;0,
     COUNTIFS($AJ$3:$AJ$201,$M189)&gt;0,
     COUNTIFS($AK$3:$AK$201,$M189)&gt;0,
     COUNTIFS($AL$3:$AL$201,$M189)&gt;0,
     COUNTIFS($AM$3:$AM$201,$M189)&gt;0,
     COUNTIFS($AN$3:$AN$201,$M189)&gt;0,
     COUNTIFS($AO$3:$AO$201,$M189)&gt;0,
     COUNTIFS($AP$3:$AP$201,$M189)&gt;0,
     COUNTIFS($AQ$3:$AQ$201,$M189)&gt;0,
     COUNTIFS($AR$3:$AR$201,$M189)&gt;0,
     COUNTIFS($AS$3:$AS$201,$M189)&gt;0,
     COUNTIFS($AT$3:$AT$201,$M189)&gt;0,
     COUNTIFS($AU$3:$AU$201,$M189)&gt;0,
     COUNTIFS($AV$3:$AV$201,$M189)&gt;0,
     COUNTIFS($AW$3:$AW$201,$M189)&gt;0,
     COUNTIFS($AX$3:$AX$201,$M189)&gt;0
   )),
  ),
  3
 ),
"")</f>
        <v/>
      </c>
      <c r="ET189" t="str">
        <f ca="1"/>
        <v>Solidarity of Heroes</v>
      </c>
      <c r="EW189" t="str">
        <f ca="1"/>
        <v>Sisay's Ring</v>
      </c>
    </row>
    <row r="190" spans="1:153" x14ac:dyDescent="0.25">
      <c r="A190" t="str">
        <f ca="1"/>
        <v>Guide of Souls</v>
      </c>
      <c r="B190" s="2" t="str" cm="1">
        <f t="array" aca="1" ref="B190" ca="1">_xlfn.ANCHORARRAY(RESUMO!C189)</f>
        <v>Carlos</v>
      </c>
      <c r="C190" s="2" t="str">
        <f t="shared" ca="1" si="8"/>
        <v/>
      </c>
      <c r="E190" t="str">
        <f ca="1"/>
        <v>Skarrg, the Rage Pits</v>
      </c>
      <c r="F190" s="2">
        <f t="shared" ca="1" si="11"/>
        <v>1</v>
      </c>
      <c r="G190" s="2" t="str">
        <f t="shared" ca="1" si="9"/>
        <v>Modular</v>
      </c>
      <c r="J190" t="s">
        <v>180</v>
      </c>
      <c r="K190" s="2">
        <v>1</v>
      </c>
      <c r="M190" t="str">
        <f ca="1"/>
        <v>Skarrg, the Rage Pits</v>
      </c>
      <c r="N190" s="2">
        <f t="shared" ca="1" si="10"/>
        <v>1</v>
      </c>
      <c r="O190" s="2" t="str">
        <f ca="1">IFERROR(
 INDEX($U$2:$AX$2,
  MATCH(TRUE,
   CHOOSE({1;2;3;4;5;6;7;8;9;10;11;12;13;14;15;16;17;18;19;20;21;22;23;24;25;26;27;28;29;30;31;32},
    COUNTIFS($U$3:$U$201,$M190)&gt;0,
    COUNTIFS($V$3:$V$201,$M190)&gt;0,
    COUNTIFS($W$3:$W$201,$M190)&gt;0,
    COUNTIFS($X$3:$X$201,$M190)&gt;0,
    COUNTIFS($Y$3:$Y$201,$M190)&gt;0,
    COUNTIFS($Z$3:$Z$201,$M190)&gt;0,
    COUNTIFS($AA$3:$AA$201,$M190)&gt;0,
    COUNTIFS($AB$3:$AB$201,$M190)&gt;0,
    COUNTIFS($AC$3:$AC$201,$M190)&gt;0,
    COUNTIFS($AD$3:$AD$201,$M190)&gt;0,
    COUNTIFS($AE$3:$AE$201,$M190)&gt;0,
    COUNTIFS($AF$3:$AF$201,$M190)&gt;0,
    COUNTIFS($AG$3:$AG$201,$M190)&gt;0,
    COUNTIFS($AH$3:$AH$201,$M190)&gt;0,
    COUNTIFS($AI$3:$AI$201,$M190)&gt;0,
    COUNTIFS($AJ$3:$AJ$201,$M190)&gt;0,
    COUNTIFS($AK$3:$AK$201,$M190)&gt;0,
    COUNTIFS($AL$3:$AL$201,$M190)&gt;0,
    COUNTIFS($AM$3:$AM$201,$M190)&gt;0,
    COUNTIFS($AN$3:$AN$201,$M190)&gt;0,
    COUNTIFS($AO$3:$AO$201,$M190)&gt;0,
    COUNTIFS($AP$3:$AP$201,$M190)&gt;0,
    COUNTIFS($AQ$3:$AQ$201,$M190)&gt;0,
    COUNTIFS($AR$3:$AR$201,$M190)&gt;0,
    COUNTIFS($AS$3:$AS$201,$M190)&gt;0,
    COUNTIFS($AT$3:$AT$201,$M190)&gt;0,
    COUNTIFS($AU$3:$AU$201,$M190)&gt;0,
    COUNTIFS($AV$3:$AV$201,$M190)&gt;0,
    COUNTIFS($AW$3:$AW$201,$M190)&gt;0,
    COUNTIFS($AX$3:$AX$201,$M190)&gt;0
   ),
  0)
 ),
"")</f>
        <v>Modular</v>
      </c>
      <c r="P190" s="2" t="str" cm="1">
        <f t="array" aca="1" ref="P190" ca="1">IFERROR(
 INDEX(
  _xlfn._xlws.FILTER($U$2:$AX$2,
   TRANSPOSE(
    CHOOSE({1;2;3;4;5;6;7;8;9;10;11;12;13;14;15;16;17;18;19;20;21;22;23;24;25;26;27;28;29;30},
     COUNTIFS($U$3:$U$201,$M190)&gt;0,
     COUNTIFS($V$3:$V$201,$M190)&gt;0,
     COUNTIFS($W$3:$W$201,$M190)&gt;0,
     COUNTIFS($X$3:$X$201,$M190)&gt;0,
     COUNTIFS($Y$3:$Y$201,$M190)&gt;0,
     COUNTIFS($Z$3:$Z$201,$M190)&gt;0,
     COUNTIFS($AA$3:$AA$201,$M190)&gt;0,
     COUNTIFS($AB$3:$AB$201,$M190)&gt;0,
     COUNTIFS($AC$3:$AC$201,$M190)&gt;0,
     COUNTIFS($AD$3:$AD$201,$M190)&gt;0,
     COUNTIFS($AE$3:$AE$201,$M190)&gt;0,
     COUNTIFS($AF$3:$AF$201,$M190)&gt;0,
     COUNTIFS($AG$3:$AG$201,$M190)&gt;0,
     COUNTIFS($AH$3:$AH$201,$M190)&gt;0,
     COUNTIFS($AI$3:$AI$201,$M190)&gt;0,
     COUNTIFS($AJ$3:$AJ$201,$M190)&gt;0,
     COUNTIFS($AK$3:$AK$201,$M190)&gt;0,
     COUNTIFS($AL$3:$AL$201,$M190)&gt;0,
     COUNTIFS($AM$3:$AM$201,$M190)&gt;0,
     COUNTIFS($AN$3:$AN$201,$M190)&gt;0,
     COUNTIFS($AO$3:$AO$201,$M190)&gt;0,
     COUNTIFS($AP$3:$AP$201,$M190)&gt;0,
     COUNTIFS($AQ$3:$AQ$201,$M190)&gt;0,
     COUNTIFS($AR$3:$AR$201,$M190)&gt;0,
     COUNTIFS($AS$3:$AS$201,$M190)&gt;0,
     COUNTIFS($AT$3:$AT$201,$M190)&gt;0,
     COUNTIFS($AU$3:$AU$201,$M190)&gt;0,
     COUNTIFS($AV$3:$AV$201,$M190)&gt;0,
     COUNTIFS($AW$3:$AW$201,$M190)&gt;0,
     COUNTIFS($AX$3:$AX$201,$M190)&gt;0
   )),
  ),
  2
 ),
"")</f>
        <v/>
      </c>
      <c r="Q190" s="2" t="str" cm="1">
        <f t="array" aca="1" ref="Q190" ca="1">IFERROR(
 INDEX(
  _xlfn._xlws.FILTER($U$2:$AX$2,
   TRANSPOSE(
    CHOOSE({1;2;3;4;5;6;7;8;9;10;11;12;13;14;15;16;17;18;19;20;21;22;23;24;25;26;27;28;29;30},
     COUNTIFS($U$3:$U$201,$M190)&gt;0,
     COUNTIFS($V$3:$V$201,$M190)&gt;0,
     COUNTIFS($W$3:$W$201,$M190)&gt;0,
     COUNTIFS($X$3:$X$201,$M190)&gt;0,
     COUNTIFS($Y$3:$Y$201,$M190)&gt;0,
     COUNTIFS($Z$3:$Z$201,$M190)&gt;0,
     COUNTIFS($AA$3:$AA$201,$M190)&gt;0,
     COUNTIFS($AB$3:$AB$201,$M190)&gt;0,
     COUNTIFS($AC$3:$AC$201,$M190)&gt;0,
     COUNTIFS($AD$3:$AD$201,$M190)&gt;0,
     COUNTIFS($AE$3:$AE$201,$M190)&gt;0,
     COUNTIFS($AF$3:$AF$201,$M190)&gt;0,
     COUNTIFS($AG$3:$AG$201,$M190)&gt;0,
     COUNTIFS($AH$3:$AH$201,$M190)&gt;0,
     COUNTIFS($AI$3:$AI$201,$M190)&gt;0,
     COUNTIFS($AJ$3:$AJ$201,$M190)&gt;0,
     COUNTIFS($AK$3:$AK$201,$M190)&gt;0,
     COUNTIFS($AL$3:$AL$201,$M190)&gt;0,
     COUNTIFS($AM$3:$AM$201,$M190)&gt;0,
     COUNTIFS($AN$3:$AN$201,$M190)&gt;0,
     COUNTIFS($AO$3:$AO$201,$M190)&gt;0,
     COUNTIFS($AP$3:$AP$201,$M190)&gt;0,
     COUNTIFS($AQ$3:$AQ$201,$M190)&gt;0,
     COUNTIFS($AR$3:$AR$201,$M190)&gt;0,
     COUNTIFS($AS$3:$AS$201,$M190)&gt;0,
     COUNTIFS($AT$3:$AT$201,$M190)&gt;0,
     COUNTIFS($AU$3:$AU$201,$M190)&gt;0,
     COUNTIFS($AV$3:$AV$201,$M190)&gt;0,
     COUNTIFS($AW$3:$AW$201,$M190)&gt;0,
     COUNTIFS($AX$3:$AX$201,$M190)&gt;0
   )),
  ),
  3
 ),
"")</f>
        <v/>
      </c>
      <c r="ET190" t="str">
        <f ca="1"/>
        <v>Sontaran General</v>
      </c>
      <c r="EW190" t="str">
        <f ca="1"/>
        <v>Skarrg, the Rage Pits</v>
      </c>
    </row>
    <row r="191" spans="1:153" x14ac:dyDescent="0.25">
      <c r="A191" t="str">
        <f ca="1"/>
        <v>Guttersnipe</v>
      </c>
      <c r="B191" s="2" t="str" cm="1">
        <f t="array" aca="1" ref="B191" ca="1">_xlfn.ANCHORARRAY(RESUMO!C190)</f>
        <v>4cRash</v>
      </c>
      <c r="C191" s="2" t="str">
        <f t="shared" ca="1" si="8"/>
        <v/>
      </c>
      <c r="E191" t="str">
        <f ca="1"/>
        <v>Slagdrill Scrapper</v>
      </c>
      <c r="F191" s="2">
        <f t="shared" ca="1" si="11"/>
        <v>1</v>
      </c>
      <c r="G191" s="2" t="str">
        <f t="shared" ca="1" si="9"/>
        <v>Modular</v>
      </c>
      <c r="J191" t="s">
        <v>180</v>
      </c>
      <c r="K191" s="2">
        <v>1</v>
      </c>
      <c r="M191" t="str">
        <f ca="1"/>
        <v>Slagdrill Scrapper</v>
      </c>
      <c r="N191" s="2">
        <f t="shared" ca="1" si="10"/>
        <v>1</v>
      </c>
      <c r="O191" s="2" t="str">
        <f ca="1">IFERROR(
 INDEX($U$2:$AX$2,
  MATCH(TRUE,
   CHOOSE({1;2;3;4;5;6;7;8;9;10;11;12;13;14;15;16;17;18;19;20;21;22;23;24;25;26;27;28;29;30;31;32},
    COUNTIFS($U$3:$U$201,$M191)&gt;0,
    COUNTIFS($V$3:$V$201,$M191)&gt;0,
    COUNTIFS($W$3:$W$201,$M191)&gt;0,
    COUNTIFS($X$3:$X$201,$M191)&gt;0,
    COUNTIFS($Y$3:$Y$201,$M191)&gt;0,
    COUNTIFS($Z$3:$Z$201,$M191)&gt;0,
    COUNTIFS($AA$3:$AA$201,$M191)&gt;0,
    COUNTIFS($AB$3:$AB$201,$M191)&gt;0,
    COUNTIFS($AC$3:$AC$201,$M191)&gt;0,
    COUNTIFS($AD$3:$AD$201,$M191)&gt;0,
    COUNTIFS($AE$3:$AE$201,$M191)&gt;0,
    COUNTIFS($AF$3:$AF$201,$M191)&gt;0,
    COUNTIFS($AG$3:$AG$201,$M191)&gt;0,
    COUNTIFS($AH$3:$AH$201,$M191)&gt;0,
    COUNTIFS($AI$3:$AI$201,$M191)&gt;0,
    COUNTIFS($AJ$3:$AJ$201,$M191)&gt;0,
    COUNTIFS($AK$3:$AK$201,$M191)&gt;0,
    COUNTIFS($AL$3:$AL$201,$M191)&gt;0,
    COUNTIFS($AM$3:$AM$201,$M191)&gt;0,
    COUNTIFS($AN$3:$AN$201,$M191)&gt;0,
    COUNTIFS($AO$3:$AO$201,$M191)&gt;0,
    COUNTIFS($AP$3:$AP$201,$M191)&gt;0,
    COUNTIFS($AQ$3:$AQ$201,$M191)&gt;0,
    COUNTIFS($AR$3:$AR$201,$M191)&gt;0,
    COUNTIFS($AS$3:$AS$201,$M191)&gt;0,
    COUNTIFS($AT$3:$AT$201,$M191)&gt;0,
    COUNTIFS($AU$3:$AU$201,$M191)&gt;0,
    COUNTIFS($AV$3:$AV$201,$M191)&gt;0,
    COUNTIFS($AW$3:$AW$201,$M191)&gt;0,
    COUNTIFS($AX$3:$AX$201,$M191)&gt;0
   ),
  0)
 ),
"")</f>
        <v>Modular</v>
      </c>
      <c r="P191" s="2" t="str" cm="1">
        <f t="array" aca="1" ref="P191" ca="1">IFERROR(
 INDEX(
  _xlfn._xlws.FILTER($U$2:$AX$2,
   TRANSPOSE(
    CHOOSE({1;2;3;4;5;6;7;8;9;10;11;12;13;14;15;16;17;18;19;20;21;22;23;24;25;26;27;28;29;30},
     COUNTIFS($U$3:$U$201,$M191)&gt;0,
     COUNTIFS($V$3:$V$201,$M191)&gt;0,
     COUNTIFS($W$3:$W$201,$M191)&gt;0,
     COUNTIFS($X$3:$X$201,$M191)&gt;0,
     COUNTIFS($Y$3:$Y$201,$M191)&gt;0,
     COUNTIFS($Z$3:$Z$201,$M191)&gt;0,
     COUNTIFS($AA$3:$AA$201,$M191)&gt;0,
     COUNTIFS($AB$3:$AB$201,$M191)&gt;0,
     COUNTIFS($AC$3:$AC$201,$M191)&gt;0,
     COUNTIFS($AD$3:$AD$201,$M191)&gt;0,
     COUNTIFS($AE$3:$AE$201,$M191)&gt;0,
     COUNTIFS($AF$3:$AF$201,$M191)&gt;0,
     COUNTIFS($AG$3:$AG$201,$M191)&gt;0,
     COUNTIFS($AH$3:$AH$201,$M191)&gt;0,
     COUNTIFS($AI$3:$AI$201,$M191)&gt;0,
     COUNTIFS($AJ$3:$AJ$201,$M191)&gt;0,
     COUNTIFS($AK$3:$AK$201,$M191)&gt;0,
     COUNTIFS($AL$3:$AL$201,$M191)&gt;0,
     COUNTIFS($AM$3:$AM$201,$M191)&gt;0,
     COUNTIFS($AN$3:$AN$201,$M191)&gt;0,
     COUNTIFS($AO$3:$AO$201,$M191)&gt;0,
     COUNTIFS($AP$3:$AP$201,$M191)&gt;0,
     COUNTIFS($AQ$3:$AQ$201,$M191)&gt;0,
     COUNTIFS($AR$3:$AR$201,$M191)&gt;0,
     COUNTIFS($AS$3:$AS$201,$M191)&gt;0,
     COUNTIFS($AT$3:$AT$201,$M191)&gt;0,
     COUNTIFS($AU$3:$AU$201,$M191)&gt;0,
     COUNTIFS($AV$3:$AV$201,$M191)&gt;0,
     COUNTIFS($AW$3:$AW$201,$M191)&gt;0,
     COUNTIFS($AX$3:$AX$201,$M191)&gt;0
   )),
  ),
  2
 ),
"")</f>
        <v/>
      </c>
      <c r="Q191" s="2" t="str" cm="1">
        <f t="array" aca="1" ref="Q191" ca="1">IFERROR(
 INDEX(
  _xlfn._xlws.FILTER($U$2:$AX$2,
   TRANSPOSE(
    CHOOSE({1;2;3;4;5;6;7;8;9;10;11;12;13;14;15;16;17;18;19;20;21;22;23;24;25;26;27;28;29;30},
     COUNTIFS($U$3:$U$201,$M191)&gt;0,
     COUNTIFS($V$3:$V$201,$M191)&gt;0,
     COUNTIFS($W$3:$W$201,$M191)&gt;0,
     COUNTIFS($X$3:$X$201,$M191)&gt;0,
     COUNTIFS($Y$3:$Y$201,$M191)&gt;0,
     COUNTIFS($Z$3:$Z$201,$M191)&gt;0,
     COUNTIFS($AA$3:$AA$201,$M191)&gt;0,
     COUNTIFS($AB$3:$AB$201,$M191)&gt;0,
     COUNTIFS($AC$3:$AC$201,$M191)&gt;0,
     COUNTIFS($AD$3:$AD$201,$M191)&gt;0,
     COUNTIFS($AE$3:$AE$201,$M191)&gt;0,
     COUNTIFS($AF$3:$AF$201,$M191)&gt;0,
     COUNTIFS($AG$3:$AG$201,$M191)&gt;0,
     COUNTIFS($AH$3:$AH$201,$M191)&gt;0,
     COUNTIFS($AI$3:$AI$201,$M191)&gt;0,
     COUNTIFS($AJ$3:$AJ$201,$M191)&gt;0,
     COUNTIFS($AK$3:$AK$201,$M191)&gt;0,
     COUNTIFS($AL$3:$AL$201,$M191)&gt;0,
     COUNTIFS($AM$3:$AM$201,$M191)&gt;0,
     COUNTIFS($AN$3:$AN$201,$M191)&gt;0,
     COUNTIFS($AO$3:$AO$201,$M191)&gt;0,
     COUNTIFS($AP$3:$AP$201,$M191)&gt;0,
     COUNTIFS($AQ$3:$AQ$201,$M191)&gt;0,
     COUNTIFS($AR$3:$AR$201,$M191)&gt;0,
     COUNTIFS($AS$3:$AS$201,$M191)&gt;0,
     COUNTIFS($AT$3:$AT$201,$M191)&gt;0,
     COUNTIFS($AU$3:$AU$201,$M191)&gt;0,
     COUNTIFS($AV$3:$AV$201,$M191)&gt;0,
     COUNTIFS($AW$3:$AW$201,$M191)&gt;0,
     COUNTIFS($AX$3:$AX$201,$M191)&gt;0
   )),
  ),
  3
 ),
"")</f>
        <v/>
      </c>
      <c r="ET191" t="str">
        <f ca="1"/>
        <v>Soul's Majesty</v>
      </c>
      <c r="EW191" t="str">
        <f ca="1"/>
        <v>Slagdrill Scrapper</v>
      </c>
    </row>
    <row r="192" spans="1:153" x14ac:dyDescent="0.25">
      <c r="A192" t="str">
        <f ca="1"/>
        <v>Hallowed Fountain</v>
      </c>
      <c r="B192" s="2" t="str" cm="1">
        <f t="array" aca="1" ref="B192" ca="1">_xlfn.ANCHORARRAY(RESUMO!C191)</f>
        <v>Fractius</v>
      </c>
      <c r="C192" s="2" t="str">
        <f t="shared" ca="1" si="8"/>
        <v/>
      </c>
      <c r="E192" t="str">
        <f ca="1"/>
        <v>Smoke Shroud</v>
      </c>
      <c r="F192" s="2">
        <f t="shared" ca="1" si="11"/>
        <v>1</v>
      </c>
      <c r="G192" s="2" t="str">
        <f t="shared" ca="1" si="9"/>
        <v>Yuriko</v>
      </c>
      <c r="J192" t="s">
        <v>180</v>
      </c>
      <c r="K192" s="2">
        <v>1</v>
      </c>
      <c r="M192" t="str">
        <f ca="1"/>
        <v>Smoke Shroud</v>
      </c>
      <c r="N192" s="2">
        <f t="shared" ca="1" si="10"/>
        <v>1</v>
      </c>
      <c r="O192" s="2" t="str">
        <f ca="1">IFERROR(
 INDEX($U$2:$AX$2,
  MATCH(TRUE,
   CHOOSE({1;2;3;4;5;6;7;8;9;10;11;12;13;14;15;16;17;18;19;20;21;22;23;24;25;26;27;28;29;30;31;32},
    COUNTIFS($U$3:$U$201,$M192)&gt;0,
    COUNTIFS($V$3:$V$201,$M192)&gt;0,
    COUNTIFS($W$3:$W$201,$M192)&gt;0,
    COUNTIFS($X$3:$X$201,$M192)&gt;0,
    COUNTIFS($Y$3:$Y$201,$M192)&gt;0,
    COUNTIFS($Z$3:$Z$201,$M192)&gt;0,
    COUNTIFS($AA$3:$AA$201,$M192)&gt;0,
    COUNTIFS($AB$3:$AB$201,$M192)&gt;0,
    COUNTIFS($AC$3:$AC$201,$M192)&gt;0,
    COUNTIFS($AD$3:$AD$201,$M192)&gt;0,
    COUNTIFS($AE$3:$AE$201,$M192)&gt;0,
    COUNTIFS($AF$3:$AF$201,$M192)&gt;0,
    COUNTIFS($AG$3:$AG$201,$M192)&gt;0,
    COUNTIFS($AH$3:$AH$201,$M192)&gt;0,
    COUNTIFS($AI$3:$AI$201,$M192)&gt;0,
    COUNTIFS($AJ$3:$AJ$201,$M192)&gt;0,
    COUNTIFS($AK$3:$AK$201,$M192)&gt;0,
    COUNTIFS($AL$3:$AL$201,$M192)&gt;0,
    COUNTIFS($AM$3:$AM$201,$M192)&gt;0,
    COUNTIFS($AN$3:$AN$201,$M192)&gt;0,
    COUNTIFS($AO$3:$AO$201,$M192)&gt;0,
    COUNTIFS($AP$3:$AP$201,$M192)&gt;0,
    COUNTIFS($AQ$3:$AQ$201,$M192)&gt;0,
    COUNTIFS($AR$3:$AR$201,$M192)&gt;0,
    COUNTIFS($AS$3:$AS$201,$M192)&gt;0,
    COUNTIFS($AT$3:$AT$201,$M192)&gt;0,
    COUNTIFS($AU$3:$AU$201,$M192)&gt;0,
    COUNTIFS($AV$3:$AV$201,$M192)&gt;0,
    COUNTIFS($AW$3:$AW$201,$M192)&gt;0,
    COUNTIFS($AX$3:$AX$201,$M192)&gt;0
   ),
  0)
 ),
"")</f>
        <v>Yuriko</v>
      </c>
      <c r="P192" s="2" t="str" cm="1">
        <f t="array" aca="1" ref="P192" ca="1">IFERROR(
 INDEX(
  _xlfn._xlws.FILTER($U$2:$AX$2,
   TRANSPOSE(
    CHOOSE({1;2;3;4;5;6;7;8;9;10;11;12;13;14;15;16;17;18;19;20;21;22;23;24;25;26;27;28;29;30},
     COUNTIFS($U$3:$U$201,$M192)&gt;0,
     COUNTIFS($V$3:$V$201,$M192)&gt;0,
     COUNTIFS($W$3:$W$201,$M192)&gt;0,
     COUNTIFS($X$3:$X$201,$M192)&gt;0,
     COUNTIFS($Y$3:$Y$201,$M192)&gt;0,
     COUNTIFS($Z$3:$Z$201,$M192)&gt;0,
     COUNTIFS($AA$3:$AA$201,$M192)&gt;0,
     COUNTIFS($AB$3:$AB$201,$M192)&gt;0,
     COUNTIFS($AC$3:$AC$201,$M192)&gt;0,
     COUNTIFS($AD$3:$AD$201,$M192)&gt;0,
     COUNTIFS($AE$3:$AE$201,$M192)&gt;0,
     COUNTIFS($AF$3:$AF$201,$M192)&gt;0,
     COUNTIFS($AG$3:$AG$201,$M192)&gt;0,
     COUNTIFS($AH$3:$AH$201,$M192)&gt;0,
     COUNTIFS($AI$3:$AI$201,$M192)&gt;0,
     COUNTIFS($AJ$3:$AJ$201,$M192)&gt;0,
     COUNTIFS($AK$3:$AK$201,$M192)&gt;0,
     COUNTIFS($AL$3:$AL$201,$M192)&gt;0,
     COUNTIFS($AM$3:$AM$201,$M192)&gt;0,
     COUNTIFS($AN$3:$AN$201,$M192)&gt;0,
     COUNTIFS($AO$3:$AO$201,$M192)&gt;0,
     COUNTIFS($AP$3:$AP$201,$M192)&gt;0,
     COUNTIFS($AQ$3:$AQ$201,$M192)&gt;0,
     COUNTIFS($AR$3:$AR$201,$M192)&gt;0,
     COUNTIFS($AS$3:$AS$201,$M192)&gt;0,
     COUNTIFS($AT$3:$AT$201,$M192)&gt;0,
     COUNTIFS($AU$3:$AU$201,$M192)&gt;0,
     COUNTIFS($AV$3:$AV$201,$M192)&gt;0,
     COUNTIFS($AW$3:$AW$201,$M192)&gt;0,
     COUNTIFS($AX$3:$AX$201,$M192)&gt;0
   )),
  ),
  2
 ),
"")</f>
        <v/>
      </c>
      <c r="Q192" s="2" t="str" cm="1">
        <f t="array" aca="1" ref="Q192" ca="1">IFERROR(
 INDEX(
  _xlfn._xlws.FILTER($U$2:$AX$2,
   TRANSPOSE(
    CHOOSE({1;2;3;4;5;6;7;8;9;10;11;12;13;14;15;16;17;18;19;20;21;22;23;24;25;26;27;28;29;30},
     COUNTIFS($U$3:$U$201,$M192)&gt;0,
     COUNTIFS($V$3:$V$201,$M192)&gt;0,
     COUNTIFS($W$3:$W$201,$M192)&gt;0,
     COUNTIFS($X$3:$X$201,$M192)&gt;0,
     COUNTIFS($Y$3:$Y$201,$M192)&gt;0,
     COUNTIFS($Z$3:$Z$201,$M192)&gt;0,
     COUNTIFS($AA$3:$AA$201,$M192)&gt;0,
     COUNTIFS($AB$3:$AB$201,$M192)&gt;0,
     COUNTIFS($AC$3:$AC$201,$M192)&gt;0,
     COUNTIFS($AD$3:$AD$201,$M192)&gt;0,
     COUNTIFS($AE$3:$AE$201,$M192)&gt;0,
     COUNTIFS($AF$3:$AF$201,$M192)&gt;0,
     COUNTIFS($AG$3:$AG$201,$M192)&gt;0,
     COUNTIFS($AH$3:$AH$201,$M192)&gt;0,
     COUNTIFS($AI$3:$AI$201,$M192)&gt;0,
     COUNTIFS($AJ$3:$AJ$201,$M192)&gt;0,
     COUNTIFS($AK$3:$AK$201,$M192)&gt;0,
     COUNTIFS($AL$3:$AL$201,$M192)&gt;0,
     COUNTIFS($AM$3:$AM$201,$M192)&gt;0,
     COUNTIFS($AN$3:$AN$201,$M192)&gt;0,
     COUNTIFS($AO$3:$AO$201,$M192)&gt;0,
     COUNTIFS($AP$3:$AP$201,$M192)&gt;0,
     COUNTIFS($AQ$3:$AQ$201,$M192)&gt;0,
     COUNTIFS($AR$3:$AR$201,$M192)&gt;0,
     COUNTIFS($AS$3:$AS$201,$M192)&gt;0,
     COUNTIFS($AT$3:$AT$201,$M192)&gt;0,
     COUNTIFS($AU$3:$AU$201,$M192)&gt;0,
     COUNTIFS($AV$3:$AV$201,$M192)&gt;0,
     COUNTIFS($AW$3:$AW$201,$M192)&gt;0,
     COUNTIFS($AX$3:$AX$201,$M192)&gt;0
   )),
  ),
  3
 ),
"")</f>
        <v/>
      </c>
      <c r="ET192" t="str">
        <f ca="1"/>
        <v>Spell Stutter</v>
      </c>
      <c r="EW192" t="str">
        <f ca="1"/>
        <v>Smoke Shroud</v>
      </c>
    </row>
    <row r="193" spans="1:153" x14ac:dyDescent="0.25">
      <c r="A193" t="str">
        <f ca="1"/>
        <v>Hare Apparent</v>
      </c>
      <c r="B193" s="2" t="str" cm="1">
        <f t="array" aca="1" ref="B193" ca="1">_xlfn.ANCHORARRAY(RESUMO!C192)</f>
        <v>Yorion</v>
      </c>
      <c r="C193" s="2" t="str">
        <f t="shared" ca="1" si="8"/>
        <v/>
      </c>
      <c r="E193" t="str">
        <f ca="1"/>
        <v>Solemn Simulacrun</v>
      </c>
      <c r="F193" s="2">
        <f t="shared" ca="1" si="11"/>
        <v>1</v>
      </c>
      <c r="G193" s="2" t="str">
        <f t="shared" ca="1" si="9"/>
        <v>Modular</v>
      </c>
      <c r="J193" t="s">
        <v>180</v>
      </c>
      <c r="K193" s="2">
        <v>1</v>
      </c>
      <c r="M193" t="str">
        <f ca="1"/>
        <v>Solemn Simulacrun</v>
      </c>
      <c r="N193" s="2">
        <f t="shared" ca="1" si="10"/>
        <v>1</v>
      </c>
      <c r="O193" s="2" t="str">
        <f ca="1">IFERROR(
 INDEX($U$2:$AX$2,
  MATCH(TRUE,
   CHOOSE({1;2;3;4;5;6;7;8;9;10;11;12;13;14;15;16;17;18;19;20;21;22;23;24;25;26;27;28;29;30;31;32},
    COUNTIFS($U$3:$U$201,$M193)&gt;0,
    COUNTIFS($V$3:$V$201,$M193)&gt;0,
    COUNTIFS($W$3:$W$201,$M193)&gt;0,
    COUNTIFS($X$3:$X$201,$M193)&gt;0,
    COUNTIFS($Y$3:$Y$201,$M193)&gt;0,
    COUNTIFS($Z$3:$Z$201,$M193)&gt;0,
    COUNTIFS($AA$3:$AA$201,$M193)&gt;0,
    COUNTIFS($AB$3:$AB$201,$M193)&gt;0,
    COUNTIFS($AC$3:$AC$201,$M193)&gt;0,
    COUNTIFS($AD$3:$AD$201,$M193)&gt;0,
    COUNTIFS($AE$3:$AE$201,$M193)&gt;0,
    COUNTIFS($AF$3:$AF$201,$M193)&gt;0,
    COUNTIFS($AG$3:$AG$201,$M193)&gt;0,
    COUNTIFS($AH$3:$AH$201,$M193)&gt;0,
    COUNTIFS($AI$3:$AI$201,$M193)&gt;0,
    COUNTIFS($AJ$3:$AJ$201,$M193)&gt;0,
    COUNTIFS($AK$3:$AK$201,$M193)&gt;0,
    COUNTIFS($AL$3:$AL$201,$M193)&gt;0,
    COUNTIFS($AM$3:$AM$201,$M193)&gt;0,
    COUNTIFS($AN$3:$AN$201,$M193)&gt;0,
    COUNTIFS($AO$3:$AO$201,$M193)&gt;0,
    COUNTIFS($AP$3:$AP$201,$M193)&gt;0,
    COUNTIFS($AQ$3:$AQ$201,$M193)&gt;0,
    COUNTIFS($AR$3:$AR$201,$M193)&gt;0,
    COUNTIFS($AS$3:$AS$201,$M193)&gt;0,
    COUNTIFS($AT$3:$AT$201,$M193)&gt;0,
    COUNTIFS($AU$3:$AU$201,$M193)&gt;0,
    COUNTIFS($AV$3:$AV$201,$M193)&gt;0,
    COUNTIFS($AW$3:$AW$201,$M193)&gt;0,
    COUNTIFS($AX$3:$AX$201,$M193)&gt;0
   ),
  0)
 ),
"")</f>
        <v>Modular</v>
      </c>
      <c r="P193" s="2" t="str" cm="1">
        <f t="array" aca="1" ref="P193" ca="1">IFERROR(
 INDEX(
  _xlfn._xlws.FILTER($U$2:$AX$2,
   TRANSPOSE(
    CHOOSE({1;2;3;4;5;6;7;8;9;10;11;12;13;14;15;16;17;18;19;20;21;22;23;24;25;26;27;28;29;30},
     COUNTIFS($U$3:$U$201,$M193)&gt;0,
     COUNTIFS($V$3:$V$201,$M193)&gt;0,
     COUNTIFS($W$3:$W$201,$M193)&gt;0,
     COUNTIFS($X$3:$X$201,$M193)&gt;0,
     COUNTIFS($Y$3:$Y$201,$M193)&gt;0,
     COUNTIFS($Z$3:$Z$201,$M193)&gt;0,
     COUNTIFS($AA$3:$AA$201,$M193)&gt;0,
     COUNTIFS($AB$3:$AB$201,$M193)&gt;0,
     COUNTIFS($AC$3:$AC$201,$M193)&gt;0,
     COUNTIFS($AD$3:$AD$201,$M193)&gt;0,
     COUNTIFS($AE$3:$AE$201,$M193)&gt;0,
     COUNTIFS($AF$3:$AF$201,$M193)&gt;0,
     COUNTIFS($AG$3:$AG$201,$M193)&gt;0,
     COUNTIFS($AH$3:$AH$201,$M193)&gt;0,
     COUNTIFS($AI$3:$AI$201,$M193)&gt;0,
     COUNTIFS($AJ$3:$AJ$201,$M193)&gt;0,
     COUNTIFS($AK$3:$AK$201,$M193)&gt;0,
     COUNTIFS($AL$3:$AL$201,$M193)&gt;0,
     COUNTIFS($AM$3:$AM$201,$M193)&gt;0,
     COUNTIFS($AN$3:$AN$201,$M193)&gt;0,
     COUNTIFS($AO$3:$AO$201,$M193)&gt;0,
     COUNTIFS($AP$3:$AP$201,$M193)&gt;0,
     COUNTIFS($AQ$3:$AQ$201,$M193)&gt;0,
     COUNTIFS($AR$3:$AR$201,$M193)&gt;0,
     COUNTIFS($AS$3:$AS$201,$M193)&gt;0,
     COUNTIFS($AT$3:$AT$201,$M193)&gt;0,
     COUNTIFS($AU$3:$AU$201,$M193)&gt;0,
     COUNTIFS($AV$3:$AV$201,$M193)&gt;0,
     COUNTIFS($AW$3:$AW$201,$M193)&gt;0,
     COUNTIFS($AX$3:$AX$201,$M193)&gt;0
   )),
  ),
  2
 ),
"")</f>
        <v/>
      </c>
      <c r="Q193" s="2" t="str" cm="1">
        <f t="array" aca="1" ref="Q193" ca="1">IFERROR(
 INDEX(
  _xlfn._xlws.FILTER($U$2:$AX$2,
   TRANSPOSE(
    CHOOSE({1;2;3;4;5;6;7;8;9;10;11;12;13;14;15;16;17;18;19;20;21;22;23;24;25;26;27;28;29;30},
     COUNTIFS($U$3:$U$201,$M193)&gt;0,
     COUNTIFS($V$3:$V$201,$M193)&gt;0,
     COUNTIFS($W$3:$W$201,$M193)&gt;0,
     COUNTIFS($X$3:$X$201,$M193)&gt;0,
     COUNTIFS($Y$3:$Y$201,$M193)&gt;0,
     COUNTIFS($Z$3:$Z$201,$M193)&gt;0,
     COUNTIFS($AA$3:$AA$201,$M193)&gt;0,
     COUNTIFS($AB$3:$AB$201,$M193)&gt;0,
     COUNTIFS($AC$3:$AC$201,$M193)&gt;0,
     COUNTIFS($AD$3:$AD$201,$M193)&gt;0,
     COUNTIFS($AE$3:$AE$201,$M193)&gt;0,
     COUNTIFS($AF$3:$AF$201,$M193)&gt;0,
     COUNTIFS($AG$3:$AG$201,$M193)&gt;0,
     COUNTIFS($AH$3:$AH$201,$M193)&gt;0,
     COUNTIFS($AI$3:$AI$201,$M193)&gt;0,
     COUNTIFS($AJ$3:$AJ$201,$M193)&gt;0,
     COUNTIFS($AK$3:$AK$201,$M193)&gt;0,
     COUNTIFS($AL$3:$AL$201,$M193)&gt;0,
     COUNTIFS($AM$3:$AM$201,$M193)&gt;0,
     COUNTIFS($AN$3:$AN$201,$M193)&gt;0,
     COUNTIFS($AO$3:$AO$201,$M193)&gt;0,
     COUNTIFS($AP$3:$AP$201,$M193)&gt;0,
     COUNTIFS($AQ$3:$AQ$201,$M193)&gt;0,
     COUNTIFS($AR$3:$AR$201,$M193)&gt;0,
     COUNTIFS($AS$3:$AS$201,$M193)&gt;0,
     COUNTIFS($AT$3:$AT$201,$M193)&gt;0,
     COUNTIFS($AU$3:$AU$201,$M193)&gt;0,
     COUNTIFS($AV$3:$AV$201,$M193)&gt;0,
     COUNTIFS($AW$3:$AW$201,$M193)&gt;0,
     COUNTIFS($AX$3:$AX$201,$M193)&gt;0
   )),
  ),
  3
 ),
"")</f>
        <v/>
      </c>
      <c r="ET193" t="str">
        <f ca="1"/>
        <v>Spelunking</v>
      </c>
      <c r="EW193" t="str">
        <f ca="1"/>
        <v>Solemn Simulacrun</v>
      </c>
    </row>
    <row r="194" spans="1:153" x14ac:dyDescent="0.25">
      <c r="A194" t="str">
        <f ca="1"/>
        <v>Harmonic Sliver</v>
      </c>
      <c r="B194" s="2" t="str" cm="1">
        <f t="array" aca="1" ref="B194" ca="1">_xlfn.ANCHORARRAY(RESUMO!C193)</f>
        <v>Fractius</v>
      </c>
      <c r="C194" s="2" t="str">
        <f t="shared" ca="1" si="8"/>
        <v/>
      </c>
      <c r="E194" t="str">
        <f ca="1"/>
        <v>Solidarity of Heroes</v>
      </c>
      <c r="F194" s="2">
        <f t="shared" ca="1" si="11"/>
        <v>1</v>
      </c>
      <c r="G194" s="2" t="str">
        <f t="shared" ca="1" si="9"/>
        <v>Tayam</v>
      </c>
      <c r="J194" t="s">
        <v>180</v>
      </c>
      <c r="K194" s="2">
        <v>1</v>
      </c>
      <c r="M194" t="str">
        <f ca="1"/>
        <v>Solidarity of Heroes</v>
      </c>
      <c r="N194" s="2">
        <f t="shared" ca="1" si="10"/>
        <v>1</v>
      </c>
      <c r="O194" s="2" t="str">
        <f ca="1">IFERROR(
 INDEX($U$2:$AX$2,
  MATCH(TRUE,
   CHOOSE({1;2;3;4;5;6;7;8;9;10;11;12;13;14;15;16;17;18;19;20;21;22;23;24;25;26;27;28;29;30;31;32},
    COUNTIFS($U$3:$U$201,$M194)&gt;0,
    COUNTIFS($V$3:$V$201,$M194)&gt;0,
    COUNTIFS($W$3:$W$201,$M194)&gt;0,
    COUNTIFS($X$3:$X$201,$M194)&gt;0,
    COUNTIFS($Y$3:$Y$201,$M194)&gt;0,
    COUNTIFS($Z$3:$Z$201,$M194)&gt;0,
    COUNTIFS($AA$3:$AA$201,$M194)&gt;0,
    COUNTIFS($AB$3:$AB$201,$M194)&gt;0,
    COUNTIFS($AC$3:$AC$201,$M194)&gt;0,
    COUNTIFS($AD$3:$AD$201,$M194)&gt;0,
    COUNTIFS($AE$3:$AE$201,$M194)&gt;0,
    COUNTIFS($AF$3:$AF$201,$M194)&gt;0,
    COUNTIFS($AG$3:$AG$201,$M194)&gt;0,
    COUNTIFS($AH$3:$AH$201,$M194)&gt;0,
    COUNTIFS($AI$3:$AI$201,$M194)&gt;0,
    COUNTIFS($AJ$3:$AJ$201,$M194)&gt;0,
    COUNTIFS($AK$3:$AK$201,$M194)&gt;0,
    COUNTIFS($AL$3:$AL$201,$M194)&gt;0,
    COUNTIFS($AM$3:$AM$201,$M194)&gt;0,
    COUNTIFS($AN$3:$AN$201,$M194)&gt;0,
    COUNTIFS($AO$3:$AO$201,$M194)&gt;0,
    COUNTIFS($AP$3:$AP$201,$M194)&gt;0,
    COUNTIFS($AQ$3:$AQ$201,$M194)&gt;0,
    COUNTIFS($AR$3:$AR$201,$M194)&gt;0,
    COUNTIFS($AS$3:$AS$201,$M194)&gt;0,
    COUNTIFS($AT$3:$AT$201,$M194)&gt;0,
    COUNTIFS($AU$3:$AU$201,$M194)&gt;0,
    COUNTIFS($AV$3:$AV$201,$M194)&gt;0,
    COUNTIFS($AW$3:$AW$201,$M194)&gt;0,
    COUNTIFS($AX$3:$AX$201,$M194)&gt;0
   ),
  0)
 ),
"")</f>
        <v>Tayam</v>
      </c>
      <c r="P194" s="2" t="str" cm="1">
        <f t="array" aca="1" ref="P194" ca="1">IFERROR(
 INDEX(
  _xlfn._xlws.FILTER($U$2:$AX$2,
   TRANSPOSE(
    CHOOSE({1;2;3;4;5;6;7;8;9;10;11;12;13;14;15;16;17;18;19;20;21;22;23;24;25;26;27;28;29;30},
     COUNTIFS($U$3:$U$201,$M194)&gt;0,
     COUNTIFS($V$3:$V$201,$M194)&gt;0,
     COUNTIFS($W$3:$W$201,$M194)&gt;0,
     COUNTIFS($X$3:$X$201,$M194)&gt;0,
     COUNTIFS($Y$3:$Y$201,$M194)&gt;0,
     COUNTIFS($Z$3:$Z$201,$M194)&gt;0,
     COUNTIFS($AA$3:$AA$201,$M194)&gt;0,
     COUNTIFS($AB$3:$AB$201,$M194)&gt;0,
     COUNTIFS($AC$3:$AC$201,$M194)&gt;0,
     COUNTIFS($AD$3:$AD$201,$M194)&gt;0,
     COUNTIFS($AE$3:$AE$201,$M194)&gt;0,
     COUNTIFS($AF$3:$AF$201,$M194)&gt;0,
     COUNTIFS($AG$3:$AG$201,$M194)&gt;0,
     COUNTIFS($AH$3:$AH$201,$M194)&gt;0,
     COUNTIFS($AI$3:$AI$201,$M194)&gt;0,
     COUNTIFS($AJ$3:$AJ$201,$M194)&gt;0,
     COUNTIFS($AK$3:$AK$201,$M194)&gt;0,
     COUNTIFS($AL$3:$AL$201,$M194)&gt;0,
     COUNTIFS($AM$3:$AM$201,$M194)&gt;0,
     COUNTIFS($AN$3:$AN$201,$M194)&gt;0,
     COUNTIFS($AO$3:$AO$201,$M194)&gt;0,
     COUNTIFS($AP$3:$AP$201,$M194)&gt;0,
     COUNTIFS($AQ$3:$AQ$201,$M194)&gt;0,
     COUNTIFS($AR$3:$AR$201,$M194)&gt;0,
     COUNTIFS($AS$3:$AS$201,$M194)&gt;0,
     COUNTIFS($AT$3:$AT$201,$M194)&gt;0,
     COUNTIFS($AU$3:$AU$201,$M194)&gt;0,
     COUNTIFS($AV$3:$AV$201,$M194)&gt;0,
     COUNTIFS($AW$3:$AW$201,$M194)&gt;0,
     COUNTIFS($AX$3:$AX$201,$M194)&gt;0
   )),
  ),
  2
 ),
"")</f>
        <v/>
      </c>
      <c r="Q194" s="2" t="str" cm="1">
        <f t="array" aca="1" ref="Q194" ca="1">IFERROR(
 INDEX(
  _xlfn._xlws.FILTER($U$2:$AX$2,
   TRANSPOSE(
    CHOOSE({1;2;3;4;5;6;7;8;9;10;11;12;13;14;15;16;17;18;19;20;21;22;23;24;25;26;27;28;29;30},
     COUNTIFS($U$3:$U$201,$M194)&gt;0,
     COUNTIFS($V$3:$V$201,$M194)&gt;0,
     COUNTIFS($W$3:$W$201,$M194)&gt;0,
     COUNTIFS($X$3:$X$201,$M194)&gt;0,
     COUNTIFS($Y$3:$Y$201,$M194)&gt;0,
     COUNTIFS($Z$3:$Z$201,$M194)&gt;0,
     COUNTIFS($AA$3:$AA$201,$M194)&gt;0,
     COUNTIFS($AB$3:$AB$201,$M194)&gt;0,
     COUNTIFS($AC$3:$AC$201,$M194)&gt;0,
     COUNTIFS($AD$3:$AD$201,$M194)&gt;0,
     COUNTIFS($AE$3:$AE$201,$M194)&gt;0,
     COUNTIFS($AF$3:$AF$201,$M194)&gt;0,
     COUNTIFS($AG$3:$AG$201,$M194)&gt;0,
     COUNTIFS($AH$3:$AH$201,$M194)&gt;0,
     COUNTIFS($AI$3:$AI$201,$M194)&gt;0,
     COUNTIFS($AJ$3:$AJ$201,$M194)&gt;0,
     COUNTIFS($AK$3:$AK$201,$M194)&gt;0,
     COUNTIFS($AL$3:$AL$201,$M194)&gt;0,
     COUNTIFS($AM$3:$AM$201,$M194)&gt;0,
     COUNTIFS($AN$3:$AN$201,$M194)&gt;0,
     COUNTIFS($AO$3:$AO$201,$M194)&gt;0,
     COUNTIFS($AP$3:$AP$201,$M194)&gt;0,
     COUNTIFS($AQ$3:$AQ$201,$M194)&gt;0,
     COUNTIFS($AR$3:$AR$201,$M194)&gt;0,
     COUNTIFS($AS$3:$AS$201,$M194)&gt;0,
     COUNTIFS($AT$3:$AT$201,$M194)&gt;0,
     COUNTIFS($AU$3:$AU$201,$M194)&gt;0,
     COUNTIFS($AV$3:$AV$201,$M194)&gt;0,
     COUNTIFS($AW$3:$AW$201,$M194)&gt;0,
     COUNTIFS($AX$3:$AX$201,$M194)&gt;0
   )),
  ),
  3
 ),
"")</f>
        <v/>
      </c>
      <c r="ET194" t="str">
        <f ca="1"/>
        <v>Staged Fight</v>
      </c>
      <c r="EW194" t="str">
        <f ca="1"/>
        <v>Solidarity of Heroes</v>
      </c>
    </row>
    <row r="195" spans="1:153" x14ac:dyDescent="0.25">
      <c r="A195" t="str">
        <f ca="1"/>
        <v>Harrow</v>
      </c>
      <c r="B195" s="2" t="str" cm="1">
        <f t="array" aca="1" ref="B195" ca="1">_xlfn.ANCHORARRAY(RESUMO!C194)</f>
        <v>4cRash</v>
      </c>
      <c r="C195" s="2" t="str">
        <f t="shared" ref="C195:C258" ca="1" si="12">IFERROR(_xlfn.XLOOKUP($A195,$E:$E,$G:$G),"")</f>
        <v>Zimone</v>
      </c>
      <c r="E195" t="str">
        <f ca="1"/>
        <v>Solstice Revelations</v>
      </c>
      <c r="F195" s="2">
        <f t="shared" ca="1" si="11"/>
        <v>1</v>
      </c>
      <c r="G195" s="2" t="str">
        <f t="shared" ref="G195:G258" ca="1" si="13">_xlfn.XLOOKUP($E195,$M:$M,$O:$O,"Guardado")</f>
        <v/>
      </c>
      <c r="J195" t="s">
        <v>180</v>
      </c>
      <c r="K195" s="2">
        <v>1</v>
      </c>
      <c r="M195" t="str">
        <f ca="1"/>
        <v>Solstice Revelations</v>
      </c>
      <c r="N195" s="2">
        <f t="shared" ref="N195:N258" ca="1" si="14">COUNTIF(U:AX,M195)</f>
        <v>0</v>
      </c>
      <c r="O195" s="2" t="str">
        <f ca="1">IFERROR(
 INDEX($U$2:$AX$2,
  MATCH(TRUE,
   CHOOSE({1;2;3;4;5;6;7;8;9;10;11;12;13;14;15;16;17;18;19;20;21;22;23;24;25;26;27;28;29;30;31;32},
    COUNTIFS($U$3:$U$201,$M195)&gt;0,
    COUNTIFS($V$3:$V$201,$M195)&gt;0,
    COUNTIFS($W$3:$W$201,$M195)&gt;0,
    COUNTIFS($X$3:$X$201,$M195)&gt;0,
    COUNTIFS($Y$3:$Y$201,$M195)&gt;0,
    COUNTIFS($Z$3:$Z$201,$M195)&gt;0,
    COUNTIFS($AA$3:$AA$201,$M195)&gt;0,
    COUNTIFS($AB$3:$AB$201,$M195)&gt;0,
    COUNTIFS($AC$3:$AC$201,$M195)&gt;0,
    COUNTIFS($AD$3:$AD$201,$M195)&gt;0,
    COUNTIFS($AE$3:$AE$201,$M195)&gt;0,
    COUNTIFS($AF$3:$AF$201,$M195)&gt;0,
    COUNTIFS($AG$3:$AG$201,$M195)&gt;0,
    COUNTIFS($AH$3:$AH$201,$M195)&gt;0,
    COUNTIFS($AI$3:$AI$201,$M195)&gt;0,
    COUNTIFS($AJ$3:$AJ$201,$M195)&gt;0,
    COUNTIFS($AK$3:$AK$201,$M195)&gt;0,
    COUNTIFS($AL$3:$AL$201,$M195)&gt;0,
    COUNTIFS($AM$3:$AM$201,$M195)&gt;0,
    COUNTIFS($AN$3:$AN$201,$M195)&gt;0,
    COUNTIFS($AO$3:$AO$201,$M195)&gt;0,
    COUNTIFS($AP$3:$AP$201,$M195)&gt;0,
    COUNTIFS($AQ$3:$AQ$201,$M195)&gt;0,
    COUNTIFS($AR$3:$AR$201,$M195)&gt;0,
    COUNTIFS($AS$3:$AS$201,$M195)&gt;0,
    COUNTIFS($AT$3:$AT$201,$M195)&gt;0,
    COUNTIFS($AU$3:$AU$201,$M195)&gt;0,
    COUNTIFS($AV$3:$AV$201,$M195)&gt;0,
    COUNTIFS($AW$3:$AW$201,$M195)&gt;0,
    COUNTIFS($AX$3:$AX$201,$M195)&gt;0
   ),
  0)
 ),
"")</f>
        <v/>
      </c>
      <c r="P195" s="2" t="str" cm="1">
        <f t="array" aca="1" ref="P195" ca="1">IFERROR(
 INDEX(
  _xlfn._xlws.FILTER($U$2:$AX$2,
   TRANSPOSE(
    CHOOSE({1;2;3;4;5;6;7;8;9;10;11;12;13;14;15;16;17;18;19;20;21;22;23;24;25;26;27;28;29;30},
     COUNTIFS($U$3:$U$201,$M195)&gt;0,
     COUNTIFS($V$3:$V$201,$M195)&gt;0,
     COUNTIFS($W$3:$W$201,$M195)&gt;0,
     COUNTIFS($X$3:$X$201,$M195)&gt;0,
     COUNTIFS($Y$3:$Y$201,$M195)&gt;0,
     COUNTIFS($Z$3:$Z$201,$M195)&gt;0,
     COUNTIFS($AA$3:$AA$201,$M195)&gt;0,
     COUNTIFS($AB$3:$AB$201,$M195)&gt;0,
     COUNTIFS($AC$3:$AC$201,$M195)&gt;0,
     COUNTIFS($AD$3:$AD$201,$M195)&gt;0,
     COUNTIFS($AE$3:$AE$201,$M195)&gt;0,
     COUNTIFS($AF$3:$AF$201,$M195)&gt;0,
     COUNTIFS($AG$3:$AG$201,$M195)&gt;0,
     COUNTIFS($AH$3:$AH$201,$M195)&gt;0,
     COUNTIFS($AI$3:$AI$201,$M195)&gt;0,
     COUNTIFS($AJ$3:$AJ$201,$M195)&gt;0,
     COUNTIFS($AK$3:$AK$201,$M195)&gt;0,
     COUNTIFS($AL$3:$AL$201,$M195)&gt;0,
     COUNTIFS($AM$3:$AM$201,$M195)&gt;0,
     COUNTIFS($AN$3:$AN$201,$M195)&gt;0,
     COUNTIFS($AO$3:$AO$201,$M195)&gt;0,
     COUNTIFS($AP$3:$AP$201,$M195)&gt;0,
     COUNTIFS($AQ$3:$AQ$201,$M195)&gt;0,
     COUNTIFS($AR$3:$AR$201,$M195)&gt;0,
     COUNTIFS($AS$3:$AS$201,$M195)&gt;0,
     COUNTIFS($AT$3:$AT$201,$M195)&gt;0,
     COUNTIFS($AU$3:$AU$201,$M195)&gt;0,
     COUNTIFS($AV$3:$AV$201,$M195)&gt;0,
     COUNTIFS($AW$3:$AW$201,$M195)&gt;0,
     COUNTIFS($AX$3:$AX$201,$M195)&gt;0
   )),
  ),
  2
 ),
"")</f>
        <v/>
      </c>
      <c r="Q195" s="2" t="str" cm="1">
        <f t="array" aca="1" ref="Q195" ca="1">IFERROR(
 INDEX(
  _xlfn._xlws.FILTER($U$2:$AX$2,
   TRANSPOSE(
    CHOOSE({1;2;3;4;5;6;7;8;9;10;11;12;13;14;15;16;17;18;19;20;21;22;23;24;25;26;27;28;29;30},
     COUNTIFS($U$3:$U$201,$M195)&gt;0,
     COUNTIFS($V$3:$V$201,$M195)&gt;0,
     COUNTIFS($W$3:$W$201,$M195)&gt;0,
     COUNTIFS($X$3:$X$201,$M195)&gt;0,
     COUNTIFS($Y$3:$Y$201,$M195)&gt;0,
     COUNTIFS($Z$3:$Z$201,$M195)&gt;0,
     COUNTIFS($AA$3:$AA$201,$M195)&gt;0,
     COUNTIFS($AB$3:$AB$201,$M195)&gt;0,
     COUNTIFS($AC$3:$AC$201,$M195)&gt;0,
     COUNTIFS($AD$3:$AD$201,$M195)&gt;0,
     COUNTIFS($AE$3:$AE$201,$M195)&gt;0,
     COUNTIFS($AF$3:$AF$201,$M195)&gt;0,
     COUNTIFS($AG$3:$AG$201,$M195)&gt;0,
     COUNTIFS($AH$3:$AH$201,$M195)&gt;0,
     COUNTIFS($AI$3:$AI$201,$M195)&gt;0,
     COUNTIFS($AJ$3:$AJ$201,$M195)&gt;0,
     COUNTIFS($AK$3:$AK$201,$M195)&gt;0,
     COUNTIFS($AL$3:$AL$201,$M195)&gt;0,
     COUNTIFS($AM$3:$AM$201,$M195)&gt;0,
     COUNTIFS($AN$3:$AN$201,$M195)&gt;0,
     COUNTIFS($AO$3:$AO$201,$M195)&gt;0,
     COUNTIFS($AP$3:$AP$201,$M195)&gt;0,
     COUNTIFS($AQ$3:$AQ$201,$M195)&gt;0,
     COUNTIFS($AR$3:$AR$201,$M195)&gt;0,
     COUNTIFS($AS$3:$AS$201,$M195)&gt;0,
     COUNTIFS($AT$3:$AT$201,$M195)&gt;0,
     COUNTIFS($AU$3:$AU$201,$M195)&gt;0,
     COUNTIFS($AV$3:$AV$201,$M195)&gt;0,
     COUNTIFS($AW$3:$AW$201,$M195)&gt;0,
     COUNTIFS($AX$3:$AX$201,$M195)&gt;0
   )),
  ),
  3
 ),
"")</f>
        <v/>
      </c>
      <c r="ET195" t="str">
        <f ca="1"/>
        <v>Stoic Rebuttal</v>
      </c>
      <c r="EW195" t="str">
        <f ca="1"/>
        <v>Solstice Revelations</v>
      </c>
    </row>
    <row r="196" spans="1:153" x14ac:dyDescent="0.25">
      <c r="A196" t="str">
        <f ca="1"/>
        <v>Harvest Season</v>
      </c>
      <c r="B196" s="2" t="str" cm="1">
        <f t="array" aca="1" ref="B196" ca="1">_xlfn.ANCHORARRAY(RESUMO!C195)</f>
        <v>Kumena</v>
      </c>
      <c r="C196" s="2" t="str">
        <f t="shared" ca="1" si="12"/>
        <v/>
      </c>
      <c r="E196" t="str">
        <f ca="1"/>
        <v>Sontaran General</v>
      </c>
      <c r="F196" s="2">
        <f t="shared" ref="F196:F259" ca="1" si="15">COUNTIF(U:CF,E196)+COUNTIF(K:K,E196)</f>
        <v>1</v>
      </c>
      <c r="G196" s="2" t="str">
        <f t="shared" ca="1" si="13"/>
        <v>Rani</v>
      </c>
      <c r="J196" t="s">
        <v>180</v>
      </c>
      <c r="K196" s="2">
        <v>1</v>
      </c>
      <c r="M196" t="str">
        <f ca="1"/>
        <v>Sontaran General</v>
      </c>
      <c r="N196" s="2">
        <f t="shared" ca="1" si="14"/>
        <v>1</v>
      </c>
      <c r="O196" s="2" t="str">
        <f ca="1">IFERROR(
 INDEX($U$2:$AX$2,
  MATCH(TRUE,
   CHOOSE({1;2;3;4;5;6;7;8;9;10;11;12;13;14;15;16;17;18;19;20;21;22;23;24;25;26;27;28;29;30;31;32},
    COUNTIFS($U$3:$U$201,$M196)&gt;0,
    COUNTIFS($V$3:$V$201,$M196)&gt;0,
    COUNTIFS($W$3:$W$201,$M196)&gt;0,
    COUNTIFS($X$3:$X$201,$M196)&gt;0,
    COUNTIFS($Y$3:$Y$201,$M196)&gt;0,
    COUNTIFS($Z$3:$Z$201,$M196)&gt;0,
    COUNTIFS($AA$3:$AA$201,$M196)&gt;0,
    COUNTIFS($AB$3:$AB$201,$M196)&gt;0,
    COUNTIFS($AC$3:$AC$201,$M196)&gt;0,
    COUNTIFS($AD$3:$AD$201,$M196)&gt;0,
    COUNTIFS($AE$3:$AE$201,$M196)&gt;0,
    COUNTIFS($AF$3:$AF$201,$M196)&gt;0,
    COUNTIFS($AG$3:$AG$201,$M196)&gt;0,
    COUNTIFS($AH$3:$AH$201,$M196)&gt;0,
    COUNTIFS($AI$3:$AI$201,$M196)&gt;0,
    COUNTIFS($AJ$3:$AJ$201,$M196)&gt;0,
    COUNTIFS($AK$3:$AK$201,$M196)&gt;0,
    COUNTIFS($AL$3:$AL$201,$M196)&gt;0,
    COUNTIFS($AM$3:$AM$201,$M196)&gt;0,
    COUNTIFS($AN$3:$AN$201,$M196)&gt;0,
    COUNTIFS($AO$3:$AO$201,$M196)&gt;0,
    COUNTIFS($AP$3:$AP$201,$M196)&gt;0,
    COUNTIFS($AQ$3:$AQ$201,$M196)&gt;0,
    COUNTIFS($AR$3:$AR$201,$M196)&gt;0,
    COUNTIFS($AS$3:$AS$201,$M196)&gt;0,
    COUNTIFS($AT$3:$AT$201,$M196)&gt;0,
    COUNTIFS($AU$3:$AU$201,$M196)&gt;0,
    COUNTIFS($AV$3:$AV$201,$M196)&gt;0,
    COUNTIFS($AW$3:$AW$201,$M196)&gt;0,
    COUNTIFS($AX$3:$AX$201,$M196)&gt;0
   ),
  0)
 ),
"")</f>
        <v>Rani</v>
      </c>
      <c r="P196" s="2" t="str" cm="1">
        <f t="array" aca="1" ref="P196" ca="1">IFERROR(
 INDEX(
  _xlfn._xlws.FILTER($U$2:$AX$2,
   TRANSPOSE(
    CHOOSE({1;2;3;4;5;6;7;8;9;10;11;12;13;14;15;16;17;18;19;20;21;22;23;24;25;26;27;28;29;30},
     COUNTIFS($U$3:$U$201,$M196)&gt;0,
     COUNTIFS($V$3:$V$201,$M196)&gt;0,
     COUNTIFS($W$3:$W$201,$M196)&gt;0,
     COUNTIFS($X$3:$X$201,$M196)&gt;0,
     COUNTIFS($Y$3:$Y$201,$M196)&gt;0,
     COUNTIFS($Z$3:$Z$201,$M196)&gt;0,
     COUNTIFS($AA$3:$AA$201,$M196)&gt;0,
     COUNTIFS($AB$3:$AB$201,$M196)&gt;0,
     COUNTIFS($AC$3:$AC$201,$M196)&gt;0,
     COUNTIFS($AD$3:$AD$201,$M196)&gt;0,
     COUNTIFS($AE$3:$AE$201,$M196)&gt;0,
     COUNTIFS($AF$3:$AF$201,$M196)&gt;0,
     COUNTIFS($AG$3:$AG$201,$M196)&gt;0,
     COUNTIFS($AH$3:$AH$201,$M196)&gt;0,
     COUNTIFS($AI$3:$AI$201,$M196)&gt;0,
     COUNTIFS($AJ$3:$AJ$201,$M196)&gt;0,
     COUNTIFS($AK$3:$AK$201,$M196)&gt;0,
     COUNTIFS($AL$3:$AL$201,$M196)&gt;0,
     COUNTIFS($AM$3:$AM$201,$M196)&gt;0,
     COUNTIFS($AN$3:$AN$201,$M196)&gt;0,
     COUNTIFS($AO$3:$AO$201,$M196)&gt;0,
     COUNTIFS($AP$3:$AP$201,$M196)&gt;0,
     COUNTIFS($AQ$3:$AQ$201,$M196)&gt;0,
     COUNTIFS($AR$3:$AR$201,$M196)&gt;0,
     COUNTIFS($AS$3:$AS$201,$M196)&gt;0,
     COUNTIFS($AT$3:$AT$201,$M196)&gt;0,
     COUNTIFS($AU$3:$AU$201,$M196)&gt;0,
     COUNTIFS($AV$3:$AV$201,$M196)&gt;0,
     COUNTIFS($AW$3:$AW$201,$M196)&gt;0,
     COUNTIFS($AX$3:$AX$201,$M196)&gt;0
   )),
  ),
  2
 ),
"")</f>
        <v/>
      </c>
      <c r="Q196" s="2" t="str" cm="1">
        <f t="array" aca="1" ref="Q196" ca="1">IFERROR(
 INDEX(
  _xlfn._xlws.FILTER($U$2:$AX$2,
   TRANSPOSE(
    CHOOSE({1;2;3;4;5;6;7;8;9;10;11;12;13;14;15;16;17;18;19;20;21;22;23;24;25;26;27;28;29;30},
     COUNTIFS($U$3:$U$201,$M196)&gt;0,
     COUNTIFS($V$3:$V$201,$M196)&gt;0,
     COUNTIFS($W$3:$W$201,$M196)&gt;0,
     COUNTIFS($X$3:$X$201,$M196)&gt;0,
     COUNTIFS($Y$3:$Y$201,$M196)&gt;0,
     COUNTIFS($Z$3:$Z$201,$M196)&gt;0,
     COUNTIFS($AA$3:$AA$201,$M196)&gt;0,
     COUNTIFS($AB$3:$AB$201,$M196)&gt;0,
     COUNTIFS($AC$3:$AC$201,$M196)&gt;0,
     COUNTIFS($AD$3:$AD$201,$M196)&gt;0,
     COUNTIFS($AE$3:$AE$201,$M196)&gt;0,
     COUNTIFS($AF$3:$AF$201,$M196)&gt;0,
     COUNTIFS($AG$3:$AG$201,$M196)&gt;0,
     COUNTIFS($AH$3:$AH$201,$M196)&gt;0,
     COUNTIFS($AI$3:$AI$201,$M196)&gt;0,
     COUNTIFS($AJ$3:$AJ$201,$M196)&gt;0,
     COUNTIFS($AK$3:$AK$201,$M196)&gt;0,
     COUNTIFS($AL$3:$AL$201,$M196)&gt;0,
     COUNTIFS($AM$3:$AM$201,$M196)&gt;0,
     COUNTIFS($AN$3:$AN$201,$M196)&gt;0,
     COUNTIFS($AO$3:$AO$201,$M196)&gt;0,
     COUNTIFS($AP$3:$AP$201,$M196)&gt;0,
     COUNTIFS($AQ$3:$AQ$201,$M196)&gt;0,
     COUNTIFS($AR$3:$AR$201,$M196)&gt;0,
     COUNTIFS($AS$3:$AS$201,$M196)&gt;0,
     COUNTIFS($AT$3:$AT$201,$M196)&gt;0,
     COUNTIFS($AU$3:$AU$201,$M196)&gt;0,
     COUNTIFS($AV$3:$AV$201,$M196)&gt;0,
     COUNTIFS($AW$3:$AW$201,$M196)&gt;0,
     COUNTIFS($AX$3:$AX$201,$M196)&gt;0
   )),
  ),
  3
 ),
"")</f>
        <v/>
      </c>
      <c r="ET196" t="str">
        <f ca="1"/>
        <v>Storm's Wrath</v>
      </c>
      <c r="EW196" t="str">
        <f ca="1"/>
        <v>Sontaran General</v>
      </c>
    </row>
    <row r="197" spans="1:153" x14ac:dyDescent="0.25">
      <c r="A197" t="str">
        <f ca="1"/>
        <v>Hatchery Sliver</v>
      </c>
      <c r="B197" s="2" t="str" cm="1">
        <f t="array" aca="1" ref="B197" ca="1">_xlfn.ANCHORARRAY(RESUMO!C196)</f>
        <v>Fractius</v>
      </c>
      <c r="C197" s="2" t="str">
        <f t="shared" ca="1" si="12"/>
        <v/>
      </c>
      <c r="E197" t="str">
        <f ca="1"/>
        <v>Soul's Majesty</v>
      </c>
      <c r="F197" s="2">
        <f t="shared" ca="1" si="15"/>
        <v>1</v>
      </c>
      <c r="G197" s="2" t="str">
        <f t="shared" ca="1" si="13"/>
        <v>Kresh</v>
      </c>
      <c r="J197" t="s">
        <v>180</v>
      </c>
      <c r="K197" s="2">
        <v>1</v>
      </c>
      <c r="M197" t="str">
        <f ca="1"/>
        <v>Soul's Majesty</v>
      </c>
      <c r="N197" s="2">
        <f t="shared" ca="1" si="14"/>
        <v>1</v>
      </c>
      <c r="O197" s="2" t="str">
        <f ca="1">IFERROR(
 INDEX($U$2:$AX$2,
  MATCH(TRUE,
   CHOOSE({1;2;3;4;5;6;7;8;9;10;11;12;13;14;15;16;17;18;19;20;21;22;23;24;25;26;27;28;29;30;31;32},
    COUNTIFS($U$3:$U$201,$M197)&gt;0,
    COUNTIFS($V$3:$V$201,$M197)&gt;0,
    COUNTIFS($W$3:$W$201,$M197)&gt;0,
    COUNTIFS($X$3:$X$201,$M197)&gt;0,
    COUNTIFS($Y$3:$Y$201,$M197)&gt;0,
    COUNTIFS($Z$3:$Z$201,$M197)&gt;0,
    COUNTIFS($AA$3:$AA$201,$M197)&gt;0,
    COUNTIFS($AB$3:$AB$201,$M197)&gt;0,
    COUNTIFS($AC$3:$AC$201,$M197)&gt;0,
    COUNTIFS($AD$3:$AD$201,$M197)&gt;0,
    COUNTIFS($AE$3:$AE$201,$M197)&gt;0,
    COUNTIFS($AF$3:$AF$201,$M197)&gt;0,
    COUNTIFS($AG$3:$AG$201,$M197)&gt;0,
    COUNTIFS($AH$3:$AH$201,$M197)&gt;0,
    COUNTIFS($AI$3:$AI$201,$M197)&gt;0,
    COUNTIFS($AJ$3:$AJ$201,$M197)&gt;0,
    COUNTIFS($AK$3:$AK$201,$M197)&gt;0,
    COUNTIFS($AL$3:$AL$201,$M197)&gt;0,
    COUNTIFS($AM$3:$AM$201,$M197)&gt;0,
    COUNTIFS($AN$3:$AN$201,$M197)&gt;0,
    COUNTIFS($AO$3:$AO$201,$M197)&gt;0,
    COUNTIFS($AP$3:$AP$201,$M197)&gt;0,
    COUNTIFS($AQ$3:$AQ$201,$M197)&gt;0,
    COUNTIFS($AR$3:$AR$201,$M197)&gt;0,
    COUNTIFS($AS$3:$AS$201,$M197)&gt;0,
    COUNTIFS($AT$3:$AT$201,$M197)&gt;0,
    COUNTIFS($AU$3:$AU$201,$M197)&gt;0,
    COUNTIFS($AV$3:$AV$201,$M197)&gt;0,
    COUNTIFS($AW$3:$AW$201,$M197)&gt;0,
    COUNTIFS($AX$3:$AX$201,$M197)&gt;0
   ),
  0)
 ),
"")</f>
        <v>Kresh</v>
      </c>
      <c r="P197" s="2" t="str" cm="1">
        <f t="array" aca="1" ref="P197" ca="1">IFERROR(
 INDEX(
  _xlfn._xlws.FILTER($U$2:$AX$2,
   TRANSPOSE(
    CHOOSE({1;2;3;4;5;6;7;8;9;10;11;12;13;14;15;16;17;18;19;20;21;22;23;24;25;26;27;28;29;30},
     COUNTIFS($U$3:$U$201,$M197)&gt;0,
     COUNTIFS($V$3:$V$201,$M197)&gt;0,
     COUNTIFS($W$3:$W$201,$M197)&gt;0,
     COUNTIFS($X$3:$X$201,$M197)&gt;0,
     COUNTIFS($Y$3:$Y$201,$M197)&gt;0,
     COUNTIFS($Z$3:$Z$201,$M197)&gt;0,
     COUNTIFS($AA$3:$AA$201,$M197)&gt;0,
     COUNTIFS($AB$3:$AB$201,$M197)&gt;0,
     COUNTIFS($AC$3:$AC$201,$M197)&gt;0,
     COUNTIFS($AD$3:$AD$201,$M197)&gt;0,
     COUNTIFS($AE$3:$AE$201,$M197)&gt;0,
     COUNTIFS($AF$3:$AF$201,$M197)&gt;0,
     COUNTIFS($AG$3:$AG$201,$M197)&gt;0,
     COUNTIFS($AH$3:$AH$201,$M197)&gt;0,
     COUNTIFS($AI$3:$AI$201,$M197)&gt;0,
     COUNTIFS($AJ$3:$AJ$201,$M197)&gt;0,
     COUNTIFS($AK$3:$AK$201,$M197)&gt;0,
     COUNTIFS($AL$3:$AL$201,$M197)&gt;0,
     COUNTIFS($AM$3:$AM$201,$M197)&gt;0,
     COUNTIFS($AN$3:$AN$201,$M197)&gt;0,
     COUNTIFS($AO$3:$AO$201,$M197)&gt;0,
     COUNTIFS($AP$3:$AP$201,$M197)&gt;0,
     COUNTIFS($AQ$3:$AQ$201,$M197)&gt;0,
     COUNTIFS($AR$3:$AR$201,$M197)&gt;0,
     COUNTIFS($AS$3:$AS$201,$M197)&gt;0,
     COUNTIFS($AT$3:$AT$201,$M197)&gt;0,
     COUNTIFS($AU$3:$AU$201,$M197)&gt;0,
     COUNTIFS($AV$3:$AV$201,$M197)&gt;0,
     COUNTIFS($AW$3:$AW$201,$M197)&gt;0,
     COUNTIFS($AX$3:$AX$201,$M197)&gt;0
   )),
  ),
  2
 ),
"")</f>
        <v/>
      </c>
      <c r="Q197" s="2" t="str" cm="1">
        <f t="array" aca="1" ref="Q197" ca="1">IFERROR(
 INDEX(
  _xlfn._xlws.FILTER($U$2:$AX$2,
   TRANSPOSE(
    CHOOSE({1;2;3;4;5;6;7;8;9;10;11;12;13;14;15;16;17;18;19;20;21;22;23;24;25;26;27;28;29;30},
     COUNTIFS($U$3:$U$201,$M197)&gt;0,
     COUNTIFS($V$3:$V$201,$M197)&gt;0,
     COUNTIFS($W$3:$W$201,$M197)&gt;0,
     COUNTIFS($X$3:$X$201,$M197)&gt;0,
     COUNTIFS($Y$3:$Y$201,$M197)&gt;0,
     COUNTIFS($Z$3:$Z$201,$M197)&gt;0,
     COUNTIFS($AA$3:$AA$201,$M197)&gt;0,
     COUNTIFS($AB$3:$AB$201,$M197)&gt;0,
     COUNTIFS($AC$3:$AC$201,$M197)&gt;0,
     COUNTIFS($AD$3:$AD$201,$M197)&gt;0,
     COUNTIFS($AE$3:$AE$201,$M197)&gt;0,
     COUNTIFS($AF$3:$AF$201,$M197)&gt;0,
     COUNTIFS($AG$3:$AG$201,$M197)&gt;0,
     COUNTIFS($AH$3:$AH$201,$M197)&gt;0,
     COUNTIFS($AI$3:$AI$201,$M197)&gt;0,
     COUNTIFS($AJ$3:$AJ$201,$M197)&gt;0,
     COUNTIFS($AK$3:$AK$201,$M197)&gt;0,
     COUNTIFS($AL$3:$AL$201,$M197)&gt;0,
     COUNTIFS($AM$3:$AM$201,$M197)&gt;0,
     COUNTIFS($AN$3:$AN$201,$M197)&gt;0,
     COUNTIFS($AO$3:$AO$201,$M197)&gt;0,
     COUNTIFS($AP$3:$AP$201,$M197)&gt;0,
     COUNTIFS($AQ$3:$AQ$201,$M197)&gt;0,
     COUNTIFS($AR$3:$AR$201,$M197)&gt;0,
     COUNTIFS($AS$3:$AS$201,$M197)&gt;0,
     COUNTIFS($AT$3:$AT$201,$M197)&gt;0,
     COUNTIFS($AU$3:$AU$201,$M197)&gt;0,
     COUNTIFS($AV$3:$AV$201,$M197)&gt;0,
     COUNTIFS($AW$3:$AW$201,$M197)&gt;0,
     COUNTIFS($AX$3:$AX$201,$M197)&gt;0
   )),
  ),
  3
 ),
"")</f>
        <v/>
      </c>
      <c r="ET197" t="str">
        <f ca="1"/>
        <v>Stormtide Leviathan</v>
      </c>
      <c r="EW197" t="str">
        <f ca="1"/>
        <v>Soul's Majesty</v>
      </c>
    </row>
    <row r="198" spans="1:153" x14ac:dyDescent="0.25">
      <c r="A198" t="str">
        <f ca="1"/>
        <v>Haunted Crossroads</v>
      </c>
      <c r="B198" s="2" t="str" cm="1">
        <f t="array" aca="1" ref="B198" ca="1">_xlfn.ANCHORARRAY(RESUMO!C197)</f>
        <v>Fractius</v>
      </c>
      <c r="C198" s="2" t="str">
        <f t="shared" ca="1" si="12"/>
        <v/>
      </c>
      <c r="E198" t="str">
        <f ca="1"/>
        <v>Spell Stutter</v>
      </c>
      <c r="F198" s="2">
        <f t="shared" ca="1" si="15"/>
        <v>1</v>
      </c>
      <c r="G198" s="2" t="str">
        <f t="shared" ca="1" si="13"/>
        <v>Oona</v>
      </c>
      <c r="J198" t="s">
        <v>180</v>
      </c>
      <c r="K198" s="2">
        <v>1</v>
      </c>
      <c r="M198" t="str">
        <f ca="1"/>
        <v>Spell Stutter</v>
      </c>
      <c r="N198" s="2">
        <f t="shared" ca="1" si="14"/>
        <v>1</v>
      </c>
      <c r="O198" s="2" t="str">
        <f ca="1">IFERROR(
 INDEX($U$2:$AX$2,
  MATCH(TRUE,
   CHOOSE({1;2;3;4;5;6;7;8;9;10;11;12;13;14;15;16;17;18;19;20;21;22;23;24;25;26;27;28;29;30;31;32},
    COUNTIFS($U$3:$U$201,$M198)&gt;0,
    COUNTIFS($V$3:$V$201,$M198)&gt;0,
    COUNTIFS($W$3:$W$201,$M198)&gt;0,
    COUNTIFS($X$3:$X$201,$M198)&gt;0,
    COUNTIFS($Y$3:$Y$201,$M198)&gt;0,
    COUNTIFS($Z$3:$Z$201,$M198)&gt;0,
    COUNTIFS($AA$3:$AA$201,$M198)&gt;0,
    COUNTIFS($AB$3:$AB$201,$M198)&gt;0,
    COUNTIFS($AC$3:$AC$201,$M198)&gt;0,
    COUNTIFS($AD$3:$AD$201,$M198)&gt;0,
    COUNTIFS($AE$3:$AE$201,$M198)&gt;0,
    COUNTIFS($AF$3:$AF$201,$M198)&gt;0,
    COUNTIFS($AG$3:$AG$201,$M198)&gt;0,
    COUNTIFS($AH$3:$AH$201,$M198)&gt;0,
    COUNTIFS($AI$3:$AI$201,$M198)&gt;0,
    COUNTIFS($AJ$3:$AJ$201,$M198)&gt;0,
    COUNTIFS($AK$3:$AK$201,$M198)&gt;0,
    COUNTIFS($AL$3:$AL$201,$M198)&gt;0,
    COUNTIFS($AM$3:$AM$201,$M198)&gt;0,
    COUNTIFS($AN$3:$AN$201,$M198)&gt;0,
    COUNTIFS($AO$3:$AO$201,$M198)&gt;0,
    COUNTIFS($AP$3:$AP$201,$M198)&gt;0,
    COUNTIFS($AQ$3:$AQ$201,$M198)&gt;0,
    COUNTIFS($AR$3:$AR$201,$M198)&gt;0,
    COUNTIFS($AS$3:$AS$201,$M198)&gt;0,
    COUNTIFS($AT$3:$AT$201,$M198)&gt;0,
    COUNTIFS($AU$3:$AU$201,$M198)&gt;0,
    COUNTIFS($AV$3:$AV$201,$M198)&gt;0,
    COUNTIFS($AW$3:$AW$201,$M198)&gt;0,
    COUNTIFS($AX$3:$AX$201,$M198)&gt;0
   ),
  0)
 ),
"")</f>
        <v>Oona</v>
      </c>
      <c r="P198" s="2" t="str" cm="1">
        <f t="array" aca="1" ref="P198" ca="1">IFERROR(
 INDEX(
  _xlfn._xlws.FILTER($U$2:$AX$2,
   TRANSPOSE(
    CHOOSE({1;2;3;4;5;6;7;8;9;10;11;12;13;14;15;16;17;18;19;20;21;22;23;24;25;26;27;28;29;30},
     COUNTIFS($U$3:$U$201,$M198)&gt;0,
     COUNTIFS($V$3:$V$201,$M198)&gt;0,
     COUNTIFS($W$3:$W$201,$M198)&gt;0,
     COUNTIFS($X$3:$X$201,$M198)&gt;0,
     COUNTIFS($Y$3:$Y$201,$M198)&gt;0,
     COUNTIFS($Z$3:$Z$201,$M198)&gt;0,
     COUNTIFS($AA$3:$AA$201,$M198)&gt;0,
     COUNTIFS($AB$3:$AB$201,$M198)&gt;0,
     COUNTIFS($AC$3:$AC$201,$M198)&gt;0,
     COUNTIFS($AD$3:$AD$201,$M198)&gt;0,
     COUNTIFS($AE$3:$AE$201,$M198)&gt;0,
     COUNTIFS($AF$3:$AF$201,$M198)&gt;0,
     COUNTIFS($AG$3:$AG$201,$M198)&gt;0,
     COUNTIFS($AH$3:$AH$201,$M198)&gt;0,
     COUNTIFS($AI$3:$AI$201,$M198)&gt;0,
     COUNTIFS($AJ$3:$AJ$201,$M198)&gt;0,
     COUNTIFS($AK$3:$AK$201,$M198)&gt;0,
     COUNTIFS($AL$3:$AL$201,$M198)&gt;0,
     COUNTIFS($AM$3:$AM$201,$M198)&gt;0,
     COUNTIFS($AN$3:$AN$201,$M198)&gt;0,
     COUNTIFS($AO$3:$AO$201,$M198)&gt;0,
     COUNTIFS($AP$3:$AP$201,$M198)&gt;0,
     COUNTIFS($AQ$3:$AQ$201,$M198)&gt;0,
     COUNTIFS($AR$3:$AR$201,$M198)&gt;0,
     COUNTIFS($AS$3:$AS$201,$M198)&gt;0,
     COUNTIFS($AT$3:$AT$201,$M198)&gt;0,
     COUNTIFS($AU$3:$AU$201,$M198)&gt;0,
     COUNTIFS($AV$3:$AV$201,$M198)&gt;0,
     COUNTIFS($AW$3:$AW$201,$M198)&gt;0,
     COUNTIFS($AX$3:$AX$201,$M198)&gt;0
   )),
  ),
  2
 ),
"")</f>
        <v/>
      </c>
      <c r="Q198" s="2" t="str" cm="1">
        <f t="array" aca="1" ref="Q198" ca="1">IFERROR(
 INDEX(
  _xlfn._xlws.FILTER($U$2:$AX$2,
   TRANSPOSE(
    CHOOSE({1;2;3;4;5;6;7;8;9;10;11;12;13;14;15;16;17;18;19;20;21;22;23;24;25;26;27;28;29;30},
     COUNTIFS($U$3:$U$201,$M198)&gt;0,
     COUNTIFS($V$3:$V$201,$M198)&gt;0,
     COUNTIFS($W$3:$W$201,$M198)&gt;0,
     COUNTIFS($X$3:$X$201,$M198)&gt;0,
     COUNTIFS($Y$3:$Y$201,$M198)&gt;0,
     COUNTIFS($Z$3:$Z$201,$M198)&gt;0,
     COUNTIFS($AA$3:$AA$201,$M198)&gt;0,
     COUNTIFS($AB$3:$AB$201,$M198)&gt;0,
     COUNTIFS($AC$3:$AC$201,$M198)&gt;0,
     COUNTIFS($AD$3:$AD$201,$M198)&gt;0,
     COUNTIFS($AE$3:$AE$201,$M198)&gt;0,
     COUNTIFS($AF$3:$AF$201,$M198)&gt;0,
     COUNTIFS($AG$3:$AG$201,$M198)&gt;0,
     COUNTIFS($AH$3:$AH$201,$M198)&gt;0,
     COUNTIFS($AI$3:$AI$201,$M198)&gt;0,
     COUNTIFS($AJ$3:$AJ$201,$M198)&gt;0,
     COUNTIFS($AK$3:$AK$201,$M198)&gt;0,
     COUNTIFS($AL$3:$AL$201,$M198)&gt;0,
     COUNTIFS($AM$3:$AM$201,$M198)&gt;0,
     COUNTIFS($AN$3:$AN$201,$M198)&gt;0,
     COUNTIFS($AO$3:$AO$201,$M198)&gt;0,
     COUNTIFS($AP$3:$AP$201,$M198)&gt;0,
     COUNTIFS($AQ$3:$AQ$201,$M198)&gt;0,
     COUNTIFS($AR$3:$AR$201,$M198)&gt;0,
     COUNTIFS($AS$3:$AS$201,$M198)&gt;0,
     COUNTIFS($AT$3:$AT$201,$M198)&gt;0,
     COUNTIFS($AU$3:$AU$201,$M198)&gt;0,
     COUNTIFS($AV$3:$AV$201,$M198)&gt;0,
     COUNTIFS($AW$3:$AW$201,$M198)&gt;0,
     COUNTIFS($AX$3:$AX$201,$M198)&gt;0
   )),
  ),
  3
 ),
"")</f>
        <v/>
      </c>
      <c r="ET198" t="str">
        <f ca="1"/>
        <v>Supreme Verdict</v>
      </c>
      <c r="EW198" t="str">
        <f ca="1"/>
        <v>Spell Stutter</v>
      </c>
    </row>
    <row r="199" spans="1:153" x14ac:dyDescent="0.25">
      <c r="A199" t="str">
        <f ca="1"/>
        <v>Havengul Laboratory</v>
      </c>
      <c r="B199" s="2" t="str" cm="1">
        <f t="array" aca="1" ref="B199" ca="1">_xlfn.ANCHORARRAY(RESUMO!C198)</f>
        <v>Zuko</v>
      </c>
      <c r="C199" s="2" t="str">
        <f t="shared" ca="1" si="12"/>
        <v/>
      </c>
      <c r="E199" t="str">
        <f ca="1"/>
        <v>Spelunking</v>
      </c>
      <c r="F199" s="2">
        <f t="shared" ca="1" si="15"/>
        <v>1</v>
      </c>
      <c r="G199" s="2" t="str">
        <f t="shared" ca="1" si="13"/>
        <v>Zimone</v>
      </c>
      <c r="J199" t="s">
        <v>180</v>
      </c>
      <c r="K199" s="2">
        <v>1</v>
      </c>
      <c r="M199" t="str">
        <f ca="1"/>
        <v>Spelunking</v>
      </c>
      <c r="N199" s="2">
        <f t="shared" ca="1" si="14"/>
        <v>1</v>
      </c>
      <c r="O199" s="2" t="str">
        <f ca="1">IFERROR(
 INDEX($U$2:$AX$2,
  MATCH(TRUE,
   CHOOSE({1;2;3;4;5;6;7;8;9;10;11;12;13;14;15;16;17;18;19;20;21;22;23;24;25;26;27;28;29;30;31;32},
    COUNTIFS($U$3:$U$201,$M199)&gt;0,
    COUNTIFS($V$3:$V$201,$M199)&gt;0,
    COUNTIFS($W$3:$W$201,$M199)&gt;0,
    COUNTIFS($X$3:$X$201,$M199)&gt;0,
    COUNTIFS($Y$3:$Y$201,$M199)&gt;0,
    COUNTIFS($Z$3:$Z$201,$M199)&gt;0,
    COUNTIFS($AA$3:$AA$201,$M199)&gt;0,
    COUNTIFS($AB$3:$AB$201,$M199)&gt;0,
    COUNTIFS($AC$3:$AC$201,$M199)&gt;0,
    COUNTIFS($AD$3:$AD$201,$M199)&gt;0,
    COUNTIFS($AE$3:$AE$201,$M199)&gt;0,
    COUNTIFS($AF$3:$AF$201,$M199)&gt;0,
    COUNTIFS($AG$3:$AG$201,$M199)&gt;0,
    COUNTIFS($AH$3:$AH$201,$M199)&gt;0,
    COUNTIFS($AI$3:$AI$201,$M199)&gt;0,
    COUNTIFS($AJ$3:$AJ$201,$M199)&gt;0,
    COUNTIFS($AK$3:$AK$201,$M199)&gt;0,
    COUNTIFS($AL$3:$AL$201,$M199)&gt;0,
    COUNTIFS($AM$3:$AM$201,$M199)&gt;0,
    COUNTIFS($AN$3:$AN$201,$M199)&gt;0,
    COUNTIFS($AO$3:$AO$201,$M199)&gt;0,
    COUNTIFS($AP$3:$AP$201,$M199)&gt;0,
    COUNTIFS($AQ$3:$AQ$201,$M199)&gt;0,
    COUNTIFS($AR$3:$AR$201,$M199)&gt;0,
    COUNTIFS($AS$3:$AS$201,$M199)&gt;0,
    COUNTIFS($AT$3:$AT$201,$M199)&gt;0,
    COUNTIFS($AU$3:$AU$201,$M199)&gt;0,
    COUNTIFS($AV$3:$AV$201,$M199)&gt;0,
    COUNTIFS($AW$3:$AW$201,$M199)&gt;0,
    COUNTIFS($AX$3:$AX$201,$M199)&gt;0
   ),
  0)
 ),
"")</f>
        <v>Zimone</v>
      </c>
      <c r="P199" s="2" t="str" cm="1">
        <f t="array" aca="1" ref="P199" ca="1">IFERROR(
 INDEX(
  _xlfn._xlws.FILTER($U$2:$AX$2,
   TRANSPOSE(
    CHOOSE({1;2;3;4;5;6;7;8;9;10;11;12;13;14;15;16;17;18;19;20;21;22;23;24;25;26;27;28;29;30},
     COUNTIFS($U$3:$U$201,$M199)&gt;0,
     COUNTIFS($V$3:$V$201,$M199)&gt;0,
     COUNTIFS($W$3:$W$201,$M199)&gt;0,
     COUNTIFS($X$3:$X$201,$M199)&gt;0,
     COUNTIFS($Y$3:$Y$201,$M199)&gt;0,
     COUNTIFS($Z$3:$Z$201,$M199)&gt;0,
     COUNTIFS($AA$3:$AA$201,$M199)&gt;0,
     COUNTIFS($AB$3:$AB$201,$M199)&gt;0,
     COUNTIFS($AC$3:$AC$201,$M199)&gt;0,
     COUNTIFS($AD$3:$AD$201,$M199)&gt;0,
     COUNTIFS($AE$3:$AE$201,$M199)&gt;0,
     COUNTIFS($AF$3:$AF$201,$M199)&gt;0,
     COUNTIFS($AG$3:$AG$201,$M199)&gt;0,
     COUNTIFS($AH$3:$AH$201,$M199)&gt;0,
     COUNTIFS($AI$3:$AI$201,$M199)&gt;0,
     COUNTIFS($AJ$3:$AJ$201,$M199)&gt;0,
     COUNTIFS($AK$3:$AK$201,$M199)&gt;0,
     COUNTIFS($AL$3:$AL$201,$M199)&gt;0,
     COUNTIFS($AM$3:$AM$201,$M199)&gt;0,
     COUNTIFS($AN$3:$AN$201,$M199)&gt;0,
     COUNTIFS($AO$3:$AO$201,$M199)&gt;0,
     COUNTIFS($AP$3:$AP$201,$M199)&gt;0,
     COUNTIFS($AQ$3:$AQ$201,$M199)&gt;0,
     COUNTIFS($AR$3:$AR$201,$M199)&gt;0,
     COUNTIFS($AS$3:$AS$201,$M199)&gt;0,
     COUNTIFS($AT$3:$AT$201,$M199)&gt;0,
     COUNTIFS($AU$3:$AU$201,$M199)&gt;0,
     COUNTIFS($AV$3:$AV$201,$M199)&gt;0,
     COUNTIFS($AW$3:$AW$201,$M199)&gt;0,
     COUNTIFS($AX$3:$AX$201,$M199)&gt;0
   )),
  ),
  2
 ),
"")</f>
        <v/>
      </c>
      <c r="Q199" s="2" t="str" cm="1">
        <f t="array" aca="1" ref="Q199" ca="1">IFERROR(
 INDEX(
  _xlfn._xlws.FILTER($U$2:$AX$2,
   TRANSPOSE(
    CHOOSE({1;2;3;4;5;6;7;8;9;10;11;12;13;14;15;16;17;18;19;20;21;22;23;24;25;26;27;28;29;30},
     COUNTIFS($U$3:$U$201,$M199)&gt;0,
     COUNTIFS($V$3:$V$201,$M199)&gt;0,
     COUNTIFS($W$3:$W$201,$M199)&gt;0,
     COUNTIFS($X$3:$X$201,$M199)&gt;0,
     COUNTIFS($Y$3:$Y$201,$M199)&gt;0,
     COUNTIFS($Z$3:$Z$201,$M199)&gt;0,
     COUNTIFS($AA$3:$AA$201,$M199)&gt;0,
     COUNTIFS($AB$3:$AB$201,$M199)&gt;0,
     COUNTIFS($AC$3:$AC$201,$M199)&gt;0,
     COUNTIFS($AD$3:$AD$201,$M199)&gt;0,
     COUNTIFS($AE$3:$AE$201,$M199)&gt;0,
     COUNTIFS($AF$3:$AF$201,$M199)&gt;0,
     COUNTIFS($AG$3:$AG$201,$M199)&gt;0,
     COUNTIFS($AH$3:$AH$201,$M199)&gt;0,
     COUNTIFS($AI$3:$AI$201,$M199)&gt;0,
     COUNTIFS($AJ$3:$AJ$201,$M199)&gt;0,
     COUNTIFS($AK$3:$AK$201,$M199)&gt;0,
     COUNTIFS($AL$3:$AL$201,$M199)&gt;0,
     COUNTIFS($AM$3:$AM$201,$M199)&gt;0,
     COUNTIFS($AN$3:$AN$201,$M199)&gt;0,
     COUNTIFS($AO$3:$AO$201,$M199)&gt;0,
     COUNTIFS($AP$3:$AP$201,$M199)&gt;0,
     COUNTIFS($AQ$3:$AQ$201,$M199)&gt;0,
     COUNTIFS($AR$3:$AR$201,$M199)&gt;0,
     COUNTIFS($AS$3:$AS$201,$M199)&gt;0,
     COUNTIFS($AT$3:$AT$201,$M199)&gt;0,
     COUNTIFS($AU$3:$AU$201,$M199)&gt;0,
     COUNTIFS($AV$3:$AV$201,$M199)&gt;0,
     COUNTIFS($AW$3:$AW$201,$M199)&gt;0,
     COUNTIFS($AX$3:$AX$201,$M199)&gt;0
   )),
  ),
  3
 ),
"")</f>
        <v/>
      </c>
      <c r="ET199" t="str">
        <f ca="1"/>
        <v>Surge of Salvation</v>
      </c>
      <c r="EW199" t="str">
        <f ca="1"/>
        <v>Spelunking</v>
      </c>
    </row>
    <row r="200" spans="1:153" x14ac:dyDescent="0.25">
      <c r="A200" t="str">
        <f ca="1"/>
        <v>Haywire Mite</v>
      </c>
      <c r="B200" s="2" t="str" cm="1">
        <f t="array" aca="1" ref="B200" ca="1">_xlfn.ANCHORARRAY(RESUMO!C199)</f>
        <v>Modular</v>
      </c>
      <c r="C200" s="2" t="str">
        <f t="shared" ca="1" si="12"/>
        <v/>
      </c>
      <c r="E200" t="str">
        <f ca="1"/>
        <v>Staged Fight</v>
      </c>
      <c r="F200" s="2">
        <f t="shared" ca="1" si="15"/>
        <v>1</v>
      </c>
      <c r="G200" s="2" t="str">
        <f t="shared" ca="1" si="13"/>
        <v>Modular</v>
      </c>
      <c r="J200" t="s">
        <v>180</v>
      </c>
      <c r="K200" s="2">
        <v>1</v>
      </c>
      <c r="M200" t="str">
        <f ca="1"/>
        <v>Staged Fight</v>
      </c>
      <c r="N200" s="2">
        <f t="shared" ca="1" si="14"/>
        <v>1</v>
      </c>
      <c r="O200" s="2" t="str">
        <f ca="1">IFERROR(
 INDEX($U$2:$AX$2,
  MATCH(TRUE,
   CHOOSE({1;2;3;4;5;6;7;8;9;10;11;12;13;14;15;16;17;18;19;20;21;22;23;24;25;26;27;28;29;30;31;32},
    COUNTIFS($U$3:$U$201,$M200)&gt;0,
    COUNTIFS($V$3:$V$201,$M200)&gt;0,
    COUNTIFS($W$3:$W$201,$M200)&gt;0,
    COUNTIFS($X$3:$X$201,$M200)&gt;0,
    COUNTIFS($Y$3:$Y$201,$M200)&gt;0,
    COUNTIFS($Z$3:$Z$201,$M200)&gt;0,
    COUNTIFS($AA$3:$AA$201,$M200)&gt;0,
    COUNTIFS($AB$3:$AB$201,$M200)&gt;0,
    COUNTIFS($AC$3:$AC$201,$M200)&gt;0,
    COUNTIFS($AD$3:$AD$201,$M200)&gt;0,
    COUNTIFS($AE$3:$AE$201,$M200)&gt;0,
    COUNTIFS($AF$3:$AF$201,$M200)&gt;0,
    COUNTIFS($AG$3:$AG$201,$M200)&gt;0,
    COUNTIFS($AH$3:$AH$201,$M200)&gt;0,
    COUNTIFS($AI$3:$AI$201,$M200)&gt;0,
    COUNTIFS($AJ$3:$AJ$201,$M200)&gt;0,
    COUNTIFS($AK$3:$AK$201,$M200)&gt;0,
    COUNTIFS($AL$3:$AL$201,$M200)&gt;0,
    COUNTIFS($AM$3:$AM$201,$M200)&gt;0,
    COUNTIFS($AN$3:$AN$201,$M200)&gt;0,
    COUNTIFS($AO$3:$AO$201,$M200)&gt;0,
    COUNTIFS($AP$3:$AP$201,$M200)&gt;0,
    COUNTIFS($AQ$3:$AQ$201,$M200)&gt;0,
    COUNTIFS($AR$3:$AR$201,$M200)&gt;0,
    COUNTIFS($AS$3:$AS$201,$M200)&gt;0,
    COUNTIFS($AT$3:$AT$201,$M200)&gt;0,
    COUNTIFS($AU$3:$AU$201,$M200)&gt;0,
    COUNTIFS($AV$3:$AV$201,$M200)&gt;0,
    COUNTIFS($AW$3:$AW$201,$M200)&gt;0,
    COUNTIFS($AX$3:$AX$201,$M200)&gt;0
   ),
  0)
 ),
"")</f>
        <v>Modular</v>
      </c>
      <c r="P200" s="2" t="str" cm="1">
        <f t="array" aca="1" ref="P200" ca="1">IFERROR(
 INDEX(
  _xlfn._xlws.FILTER($U$2:$AX$2,
   TRANSPOSE(
    CHOOSE({1;2;3;4;5;6;7;8;9;10;11;12;13;14;15;16;17;18;19;20;21;22;23;24;25;26;27;28;29;30},
     COUNTIFS($U$3:$U$201,$M200)&gt;0,
     COUNTIFS($V$3:$V$201,$M200)&gt;0,
     COUNTIFS($W$3:$W$201,$M200)&gt;0,
     COUNTIFS($X$3:$X$201,$M200)&gt;0,
     COUNTIFS($Y$3:$Y$201,$M200)&gt;0,
     COUNTIFS($Z$3:$Z$201,$M200)&gt;0,
     COUNTIFS($AA$3:$AA$201,$M200)&gt;0,
     COUNTIFS($AB$3:$AB$201,$M200)&gt;0,
     COUNTIFS($AC$3:$AC$201,$M200)&gt;0,
     COUNTIFS($AD$3:$AD$201,$M200)&gt;0,
     COUNTIFS($AE$3:$AE$201,$M200)&gt;0,
     COUNTIFS($AF$3:$AF$201,$M200)&gt;0,
     COUNTIFS($AG$3:$AG$201,$M200)&gt;0,
     COUNTIFS($AH$3:$AH$201,$M200)&gt;0,
     COUNTIFS($AI$3:$AI$201,$M200)&gt;0,
     COUNTIFS($AJ$3:$AJ$201,$M200)&gt;0,
     COUNTIFS($AK$3:$AK$201,$M200)&gt;0,
     COUNTIFS($AL$3:$AL$201,$M200)&gt;0,
     COUNTIFS($AM$3:$AM$201,$M200)&gt;0,
     COUNTIFS($AN$3:$AN$201,$M200)&gt;0,
     COUNTIFS($AO$3:$AO$201,$M200)&gt;0,
     COUNTIFS($AP$3:$AP$201,$M200)&gt;0,
     COUNTIFS($AQ$3:$AQ$201,$M200)&gt;0,
     COUNTIFS($AR$3:$AR$201,$M200)&gt;0,
     COUNTIFS($AS$3:$AS$201,$M200)&gt;0,
     COUNTIFS($AT$3:$AT$201,$M200)&gt;0,
     COUNTIFS($AU$3:$AU$201,$M200)&gt;0,
     COUNTIFS($AV$3:$AV$201,$M200)&gt;0,
     COUNTIFS($AW$3:$AW$201,$M200)&gt;0,
     COUNTIFS($AX$3:$AX$201,$M200)&gt;0
   )),
  ),
  2
 ),
"")</f>
        <v/>
      </c>
      <c r="Q200" s="2" t="str" cm="1">
        <f t="array" aca="1" ref="Q200" ca="1">IFERROR(
 INDEX(
  _xlfn._xlws.FILTER($U$2:$AX$2,
   TRANSPOSE(
    CHOOSE({1;2;3;4;5;6;7;8;9;10;11;12;13;14;15;16;17;18;19;20;21;22;23;24;25;26;27;28;29;30},
     COUNTIFS($U$3:$U$201,$M200)&gt;0,
     COUNTIFS($V$3:$V$201,$M200)&gt;0,
     COUNTIFS($W$3:$W$201,$M200)&gt;0,
     COUNTIFS($X$3:$X$201,$M200)&gt;0,
     COUNTIFS($Y$3:$Y$201,$M200)&gt;0,
     COUNTIFS($Z$3:$Z$201,$M200)&gt;0,
     COUNTIFS($AA$3:$AA$201,$M200)&gt;0,
     COUNTIFS($AB$3:$AB$201,$M200)&gt;0,
     COUNTIFS($AC$3:$AC$201,$M200)&gt;0,
     COUNTIFS($AD$3:$AD$201,$M200)&gt;0,
     COUNTIFS($AE$3:$AE$201,$M200)&gt;0,
     COUNTIFS($AF$3:$AF$201,$M200)&gt;0,
     COUNTIFS($AG$3:$AG$201,$M200)&gt;0,
     COUNTIFS($AH$3:$AH$201,$M200)&gt;0,
     COUNTIFS($AI$3:$AI$201,$M200)&gt;0,
     COUNTIFS($AJ$3:$AJ$201,$M200)&gt;0,
     COUNTIFS($AK$3:$AK$201,$M200)&gt;0,
     COUNTIFS($AL$3:$AL$201,$M200)&gt;0,
     COUNTIFS($AM$3:$AM$201,$M200)&gt;0,
     COUNTIFS($AN$3:$AN$201,$M200)&gt;0,
     COUNTIFS($AO$3:$AO$201,$M200)&gt;0,
     COUNTIFS($AP$3:$AP$201,$M200)&gt;0,
     COUNTIFS($AQ$3:$AQ$201,$M200)&gt;0,
     COUNTIFS($AR$3:$AR$201,$M200)&gt;0,
     COUNTIFS($AS$3:$AS$201,$M200)&gt;0,
     COUNTIFS($AT$3:$AT$201,$M200)&gt;0,
     COUNTIFS($AU$3:$AU$201,$M200)&gt;0,
     COUNTIFS($AV$3:$AV$201,$M200)&gt;0,
     COUNTIFS($AW$3:$AW$201,$M200)&gt;0,
     COUNTIFS($AX$3:$AX$201,$M200)&gt;0
   )),
  ),
  3
 ),
"")</f>
        <v/>
      </c>
      <c r="ET200" t="str">
        <f ca="1"/>
        <v>Swamp</v>
      </c>
      <c r="EW200" t="str">
        <f ca="1"/>
        <v>Staged Fight</v>
      </c>
    </row>
    <row r="201" spans="1:153" x14ac:dyDescent="0.25">
      <c r="A201" t="str">
        <f ca="1"/>
        <v>Headliner Scarlett</v>
      </c>
      <c r="B201" s="2" t="str" cm="1">
        <f t="array" aca="1" ref="B201" ca="1">_xlfn.ANCHORARRAY(RESUMO!C200)</f>
        <v>Zuko</v>
      </c>
      <c r="C201" s="2" t="str">
        <f t="shared" ca="1" si="12"/>
        <v/>
      </c>
      <c r="E201" t="str">
        <f ca="1"/>
        <v>Stoic Rebuttal</v>
      </c>
      <c r="F201" s="2">
        <f t="shared" ca="1" si="15"/>
        <v>1</v>
      </c>
      <c r="G201" s="2" t="str">
        <f t="shared" ca="1" si="13"/>
        <v>Muzzio</v>
      </c>
      <c r="J201" t="s">
        <v>180</v>
      </c>
      <c r="K201" s="2">
        <v>1</v>
      </c>
      <c r="M201" t="str">
        <f ca="1"/>
        <v>Stoic Rebuttal</v>
      </c>
      <c r="N201" s="2">
        <f t="shared" ca="1" si="14"/>
        <v>1</v>
      </c>
      <c r="O201" s="2" t="str">
        <f ca="1">IFERROR(
 INDEX($U$2:$AX$2,
  MATCH(TRUE,
   CHOOSE({1;2;3;4;5;6;7;8;9;10;11;12;13;14;15;16;17;18;19;20;21;22;23;24;25;26;27;28;29;30;31;32},
    COUNTIFS($U$3:$U$201,$M201)&gt;0,
    COUNTIFS($V$3:$V$201,$M201)&gt;0,
    COUNTIFS($W$3:$W$201,$M201)&gt;0,
    COUNTIFS($X$3:$X$201,$M201)&gt;0,
    COUNTIFS($Y$3:$Y$201,$M201)&gt;0,
    COUNTIFS($Z$3:$Z$201,$M201)&gt;0,
    COUNTIFS($AA$3:$AA$201,$M201)&gt;0,
    COUNTIFS($AB$3:$AB$201,$M201)&gt;0,
    COUNTIFS($AC$3:$AC$201,$M201)&gt;0,
    COUNTIFS($AD$3:$AD$201,$M201)&gt;0,
    COUNTIFS($AE$3:$AE$201,$M201)&gt;0,
    COUNTIFS($AF$3:$AF$201,$M201)&gt;0,
    COUNTIFS($AG$3:$AG$201,$M201)&gt;0,
    COUNTIFS($AH$3:$AH$201,$M201)&gt;0,
    COUNTIFS($AI$3:$AI$201,$M201)&gt;0,
    COUNTIFS($AJ$3:$AJ$201,$M201)&gt;0,
    COUNTIFS($AK$3:$AK$201,$M201)&gt;0,
    COUNTIFS($AL$3:$AL$201,$M201)&gt;0,
    COUNTIFS($AM$3:$AM$201,$M201)&gt;0,
    COUNTIFS($AN$3:$AN$201,$M201)&gt;0,
    COUNTIFS($AO$3:$AO$201,$M201)&gt;0,
    COUNTIFS($AP$3:$AP$201,$M201)&gt;0,
    COUNTIFS($AQ$3:$AQ$201,$M201)&gt;0,
    COUNTIFS($AR$3:$AR$201,$M201)&gt;0,
    COUNTIFS($AS$3:$AS$201,$M201)&gt;0,
    COUNTIFS($AT$3:$AT$201,$M201)&gt;0,
    COUNTIFS($AU$3:$AU$201,$M201)&gt;0,
    COUNTIFS($AV$3:$AV$201,$M201)&gt;0,
    COUNTIFS($AW$3:$AW$201,$M201)&gt;0,
    COUNTIFS($AX$3:$AX$201,$M201)&gt;0
   ),
  0)
 ),
"")</f>
        <v>Muzzio</v>
      </c>
      <c r="P201" s="2" t="str" cm="1">
        <f t="array" aca="1" ref="P201" ca="1">IFERROR(
 INDEX(
  _xlfn._xlws.FILTER($U$2:$AX$2,
   TRANSPOSE(
    CHOOSE({1;2;3;4;5;6;7;8;9;10;11;12;13;14;15;16;17;18;19;20;21;22;23;24;25;26;27;28;29;30},
     COUNTIFS($U$3:$U$201,$M201)&gt;0,
     COUNTIFS($V$3:$V$201,$M201)&gt;0,
     COUNTIFS($W$3:$W$201,$M201)&gt;0,
     COUNTIFS($X$3:$X$201,$M201)&gt;0,
     COUNTIFS($Y$3:$Y$201,$M201)&gt;0,
     COUNTIFS($Z$3:$Z$201,$M201)&gt;0,
     COUNTIFS($AA$3:$AA$201,$M201)&gt;0,
     COUNTIFS($AB$3:$AB$201,$M201)&gt;0,
     COUNTIFS($AC$3:$AC$201,$M201)&gt;0,
     COUNTIFS($AD$3:$AD$201,$M201)&gt;0,
     COUNTIFS($AE$3:$AE$201,$M201)&gt;0,
     COUNTIFS($AF$3:$AF$201,$M201)&gt;0,
     COUNTIFS($AG$3:$AG$201,$M201)&gt;0,
     COUNTIFS($AH$3:$AH$201,$M201)&gt;0,
     COUNTIFS($AI$3:$AI$201,$M201)&gt;0,
     COUNTIFS($AJ$3:$AJ$201,$M201)&gt;0,
     COUNTIFS($AK$3:$AK$201,$M201)&gt;0,
     COUNTIFS($AL$3:$AL$201,$M201)&gt;0,
     COUNTIFS($AM$3:$AM$201,$M201)&gt;0,
     COUNTIFS($AN$3:$AN$201,$M201)&gt;0,
     COUNTIFS($AO$3:$AO$201,$M201)&gt;0,
     COUNTIFS($AP$3:$AP$201,$M201)&gt;0,
     COUNTIFS($AQ$3:$AQ$201,$M201)&gt;0,
     COUNTIFS($AR$3:$AR$201,$M201)&gt;0,
     COUNTIFS($AS$3:$AS$201,$M201)&gt;0,
     COUNTIFS($AT$3:$AT$201,$M201)&gt;0,
     COUNTIFS($AU$3:$AU$201,$M201)&gt;0,
     COUNTIFS($AV$3:$AV$201,$M201)&gt;0,
     COUNTIFS($AW$3:$AW$201,$M201)&gt;0,
     COUNTIFS($AX$3:$AX$201,$M201)&gt;0
   )),
  ),
  2
 ),
"")</f>
        <v/>
      </c>
      <c r="Q201" s="2" t="str" cm="1">
        <f t="array" aca="1" ref="Q201" ca="1">IFERROR(
 INDEX(
  _xlfn._xlws.FILTER($U$2:$AX$2,
   TRANSPOSE(
    CHOOSE({1;2;3;4;5;6;7;8;9;10;11;12;13;14;15;16;17;18;19;20;21;22;23;24;25;26;27;28;29;30},
     COUNTIFS($U$3:$U$201,$M201)&gt;0,
     COUNTIFS($V$3:$V$201,$M201)&gt;0,
     COUNTIFS($W$3:$W$201,$M201)&gt;0,
     COUNTIFS($X$3:$X$201,$M201)&gt;0,
     COUNTIFS($Y$3:$Y$201,$M201)&gt;0,
     COUNTIFS($Z$3:$Z$201,$M201)&gt;0,
     COUNTIFS($AA$3:$AA$201,$M201)&gt;0,
     COUNTIFS($AB$3:$AB$201,$M201)&gt;0,
     COUNTIFS($AC$3:$AC$201,$M201)&gt;0,
     COUNTIFS($AD$3:$AD$201,$M201)&gt;0,
     COUNTIFS($AE$3:$AE$201,$M201)&gt;0,
     COUNTIFS($AF$3:$AF$201,$M201)&gt;0,
     COUNTIFS($AG$3:$AG$201,$M201)&gt;0,
     COUNTIFS($AH$3:$AH$201,$M201)&gt;0,
     COUNTIFS($AI$3:$AI$201,$M201)&gt;0,
     COUNTIFS($AJ$3:$AJ$201,$M201)&gt;0,
     COUNTIFS($AK$3:$AK$201,$M201)&gt;0,
     COUNTIFS($AL$3:$AL$201,$M201)&gt;0,
     COUNTIFS($AM$3:$AM$201,$M201)&gt;0,
     COUNTIFS($AN$3:$AN$201,$M201)&gt;0,
     COUNTIFS($AO$3:$AO$201,$M201)&gt;0,
     COUNTIFS($AP$3:$AP$201,$M201)&gt;0,
     COUNTIFS($AQ$3:$AQ$201,$M201)&gt;0,
     COUNTIFS($AR$3:$AR$201,$M201)&gt;0,
     COUNTIFS($AS$3:$AS$201,$M201)&gt;0,
     COUNTIFS($AT$3:$AT$201,$M201)&gt;0,
     COUNTIFS($AU$3:$AU$201,$M201)&gt;0,
     COUNTIFS($AV$3:$AV$201,$M201)&gt;0,
     COUNTIFS($AW$3:$AW$201,$M201)&gt;0,
     COUNTIFS($AX$3:$AX$201,$M201)&gt;0
   )),
  ),
  3
 ),
"")</f>
        <v/>
      </c>
      <c r="ET201" t="str">
        <f ca="1"/>
        <v>Syr Ginger, the Meal Ender</v>
      </c>
      <c r="EW201" t="str">
        <f ca="1"/>
        <v>Stoic Rebuttal</v>
      </c>
    </row>
    <row r="202" spans="1:153" x14ac:dyDescent="0.25">
      <c r="A202" t="str">
        <f ca="1"/>
        <v>Heart Sliver</v>
      </c>
      <c r="B202" s="2" t="str" cm="1">
        <f t="array" aca="1" ref="B202" ca="1">_xlfn.ANCHORARRAY(RESUMO!C201)</f>
        <v>Fractius</v>
      </c>
      <c r="C202" s="2" t="str">
        <f t="shared" ca="1" si="12"/>
        <v/>
      </c>
      <c r="E202" t="str">
        <f ca="1"/>
        <v>Storm's Wrath</v>
      </c>
      <c r="F202" s="2">
        <f t="shared" ca="1" si="15"/>
        <v>1</v>
      </c>
      <c r="G202" s="2" t="str">
        <f t="shared" ca="1" si="13"/>
        <v>Kresh</v>
      </c>
      <c r="J202" t="s">
        <v>180</v>
      </c>
      <c r="K202" s="2">
        <v>1</v>
      </c>
      <c r="M202" t="str">
        <f ca="1"/>
        <v>Storm's Wrath</v>
      </c>
      <c r="N202" s="2">
        <f t="shared" ca="1" si="14"/>
        <v>1</v>
      </c>
      <c r="O202" s="2" t="str">
        <f ca="1">IFERROR(
 INDEX($U$2:$AX$2,
  MATCH(TRUE,
   CHOOSE({1;2;3;4;5;6;7;8;9;10;11;12;13;14;15;16;17;18;19;20;21;22;23;24;25;26;27;28;29;30;31;32},
    COUNTIFS($U$3:$U$201,$M202)&gt;0,
    COUNTIFS($V$3:$V$201,$M202)&gt;0,
    COUNTIFS($W$3:$W$201,$M202)&gt;0,
    COUNTIFS($X$3:$X$201,$M202)&gt;0,
    COUNTIFS($Y$3:$Y$201,$M202)&gt;0,
    COUNTIFS($Z$3:$Z$201,$M202)&gt;0,
    COUNTIFS($AA$3:$AA$201,$M202)&gt;0,
    COUNTIFS($AB$3:$AB$201,$M202)&gt;0,
    COUNTIFS($AC$3:$AC$201,$M202)&gt;0,
    COUNTIFS($AD$3:$AD$201,$M202)&gt;0,
    COUNTIFS($AE$3:$AE$201,$M202)&gt;0,
    COUNTIFS($AF$3:$AF$201,$M202)&gt;0,
    COUNTIFS($AG$3:$AG$201,$M202)&gt;0,
    COUNTIFS($AH$3:$AH$201,$M202)&gt;0,
    COUNTIFS($AI$3:$AI$201,$M202)&gt;0,
    COUNTIFS($AJ$3:$AJ$201,$M202)&gt;0,
    COUNTIFS($AK$3:$AK$201,$M202)&gt;0,
    COUNTIFS($AL$3:$AL$201,$M202)&gt;0,
    COUNTIFS($AM$3:$AM$201,$M202)&gt;0,
    COUNTIFS($AN$3:$AN$201,$M202)&gt;0,
    COUNTIFS($AO$3:$AO$201,$M202)&gt;0,
    COUNTIFS($AP$3:$AP$201,$M202)&gt;0,
    COUNTIFS($AQ$3:$AQ$201,$M202)&gt;0,
    COUNTIFS($AR$3:$AR$201,$M202)&gt;0,
    COUNTIFS($AS$3:$AS$201,$M202)&gt;0,
    COUNTIFS($AT$3:$AT$201,$M202)&gt;0,
    COUNTIFS($AU$3:$AU$201,$M202)&gt;0,
    COUNTIFS($AV$3:$AV$201,$M202)&gt;0,
    COUNTIFS($AW$3:$AW$201,$M202)&gt;0,
    COUNTIFS($AX$3:$AX$201,$M202)&gt;0
   ),
  0)
 ),
"")</f>
        <v>Kresh</v>
      </c>
      <c r="P202" s="2" t="str" cm="1">
        <f t="array" aca="1" ref="P202" ca="1">IFERROR(
 INDEX(
  _xlfn._xlws.FILTER($U$2:$AX$2,
   TRANSPOSE(
    CHOOSE({1;2;3;4;5;6;7;8;9;10;11;12;13;14;15;16;17;18;19;20;21;22;23;24;25;26;27;28;29;30},
     COUNTIFS($U$3:$U$201,$M202)&gt;0,
     COUNTIFS($V$3:$V$201,$M202)&gt;0,
     COUNTIFS($W$3:$W$201,$M202)&gt;0,
     COUNTIFS($X$3:$X$201,$M202)&gt;0,
     COUNTIFS($Y$3:$Y$201,$M202)&gt;0,
     COUNTIFS($Z$3:$Z$201,$M202)&gt;0,
     COUNTIFS($AA$3:$AA$201,$M202)&gt;0,
     COUNTIFS($AB$3:$AB$201,$M202)&gt;0,
     COUNTIFS($AC$3:$AC$201,$M202)&gt;0,
     COUNTIFS($AD$3:$AD$201,$M202)&gt;0,
     COUNTIFS($AE$3:$AE$201,$M202)&gt;0,
     COUNTIFS($AF$3:$AF$201,$M202)&gt;0,
     COUNTIFS($AG$3:$AG$201,$M202)&gt;0,
     COUNTIFS($AH$3:$AH$201,$M202)&gt;0,
     COUNTIFS($AI$3:$AI$201,$M202)&gt;0,
     COUNTIFS($AJ$3:$AJ$201,$M202)&gt;0,
     COUNTIFS($AK$3:$AK$201,$M202)&gt;0,
     COUNTIFS($AL$3:$AL$201,$M202)&gt;0,
     COUNTIFS($AM$3:$AM$201,$M202)&gt;0,
     COUNTIFS($AN$3:$AN$201,$M202)&gt;0,
     COUNTIFS($AO$3:$AO$201,$M202)&gt;0,
     COUNTIFS($AP$3:$AP$201,$M202)&gt;0,
     COUNTIFS($AQ$3:$AQ$201,$M202)&gt;0,
     COUNTIFS($AR$3:$AR$201,$M202)&gt;0,
     COUNTIFS($AS$3:$AS$201,$M202)&gt;0,
     COUNTIFS($AT$3:$AT$201,$M202)&gt;0,
     COUNTIFS($AU$3:$AU$201,$M202)&gt;0,
     COUNTIFS($AV$3:$AV$201,$M202)&gt;0,
     COUNTIFS($AW$3:$AW$201,$M202)&gt;0,
     COUNTIFS($AX$3:$AX$201,$M202)&gt;0
   )),
  ),
  2
 ),
"")</f>
        <v/>
      </c>
      <c r="Q202" s="2" t="str" cm="1">
        <f t="array" aca="1" ref="Q202" ca="1">IFERROR(
 INDEX(
  _xlfn._xlws.FILTER($U$2:$AX$2,
   TRANSPOSE(
    CHOOSE({1;2;3;4;5;6;7;8;9;10;11;12;13;14;15;16;17;18;19;20;21;22;23;24;25;26;27;28;29;30},
     COUNTIFS($U$3:$U$201,$M202)&gt;0,
     COUNTIFS($V$3:$V$201,$M202)&gt;0,
     COUNTIFS($W$3:$W$201,$M202)&gt;0,
     COUNTIFS($X$3:$X$201,$M202)&gt;0,
     COUNTIFS($Y$3:$Y$201,$M202)&gt;0,
     COUNTIFS($Z$3:$Z$201,$M202)&gt;0,
     COUNTIFS($AA$3:$AA$201,$M202)&gt;0,
     COUNTIFS($AB$3:$AB$201,$M202)&gt;0,
     COUNTIFS($AC$3:$AC$201,$M202)&gt;0,
     COUNTIFS($AD$3:$AD$201,$M202)&gt;0,
     COUNTIFS($AE$3:$AE$201,$M202)&gt;0,
     COUNTIFS($AF$3:$AF$201,$M202)&gt;0,
     COUNTIFS($AG$3:$AG$201,$M202)&gt;0,
     COUNTIFS($AH$3:$AH$201,$M202)&gt;0,
     COUNTIFS($AI$3:$AI$201,$M202)&gt;0,
     COUNTIFS($AJ$3:$AJ$201,$M202)&gt;0,
     COUNTIFS($AK$3:$AK$201,$M202)&gt;0,
     COUNTIFS($AL$3:$AL$201,$M202)&gt;0,
     COUNTIFS($AM$3:$AM$201,$M202)&gt;0,
     COUNTIFS($AN$3:$AN$201,$M202)&gt;0,
     COUNTIFS($AO$3:$AO$201,$M202)&gt;0,
     COUNTIFS($AP$3:$AP$201,$M202)&gt;0,
     COUNTIFS($AQ$3:$AQ$201,$M202)&gt;0,
     COUNTIFS($AR$3:$AR$201,$M202)&gt;0,
     COUNTIFS($AS$3:$AS$201,$M202)&gt;0,
     COUNTIFS($AT$3:$AT$201,$M202)&gt;0,
     COUNTIFS($AU$3:$AU$201,$M202)&gt;0,
     COUNTIFS($AV$3:$AV$201,$M202)&gt;0,
     COUNTIFS($AW$3:$AW$201,$M202)&gt;0,
     COUNTIFS($AX$3:$AX$201,$M202)&gt;0
   )),
  ),
  3
 ),
"")</f>
        <v/>
      </c>
      <c r="ET202" t="str">
        <f ca="1"/>
        <v>Terramorphic Expanse</v>
      </c>
      <c r="EW202" t="str">
        <f ca="1"/>
        <v>Storm's Wrath</v>
      </c>
    </row>
    <row r="203" spans="1:153" x14ac:dyDescent="0.25">
      <c r="A203" t="str">
        <f ca="1"/>
        <v>Heirloom Auntie</v>
      </c>
      <c r="B203" s="2" t="str" cm="1">
        <f t="array" aca="1" ref="B203" ca="1">_xlfn.ANCHORARRAY(RESUMO!C202)</f>
        <v>Ool</v>
      </c>
      <c r="C203" s="2" t="str">
        <f t="shared" ca="1" si="12"/>
        <v/>
      </c>
      <c r="E203" t="str">
        <f ca="1"/>
        <v>Stormtide Leviathan</v>
      </c>
      <c r="F203" s="2">
        <f t="shared" ca="1" si="15"/>
        <v>1</v>
      </c>
      <c r="G203" s="2" t="str">
        <f t="shared" ca="1" si="13"/>
        <v>JhoiraB</v>
      </c>
      <c r="J203" t="s">
        <v>180</v>
      </c>
      <c r="K203" s="2">
        <v>1</v>
      </c>
      <c r="M203" t="str">
        <f ca="1"/>
        <v>Stormtide Leviathan</v>
      </c>
      <c r="N203" s="2">
        <f t="shared" ca="1" si="14"/>
        <v>1</v>
      </c>
      <c r="O203" s="2" t="str">
        <f ca="1">IFERROR(
 INDEX($U$2:$AX$2,
  MATCH(TRUE,
   CHOOSE({1;2;3;4;5;6;7;8;9;10;11;12;13;14;15;16;17;18;19;20;21;22;23;24;25;26;27;28;29;30;31;32},
    COUNTIFS($U$3:$U$201,$M203)&gt;0,
    COUNTIFS($V$3:$V$201,$M203)&gt;0,
    COUNTIFS($W$3:$W$201,$M203)&gt;0,
    COUNTIFS($X$3:$X$201,$M203)&gt;0,
    COUNTIFS($Y$3:$Y$201,$M203)&gt;0,
    COUNTIFS($Z$3:$Z$201,$M203)&gt;0,
    COUNTIFS($AA$3:$AA$201,$M203)&gt;0,
    COUNTIFS($AB$3:$AB$201,$M203)&gt;0,
    COUNTIFS($AC$3:$AC$201,$M203)&gt;0,
    COUNTIFS($AD$3:$AD$201,$M203)&gt;0,
    COUNTIFS($AE$3:$AE$201,$M203)&gt;0,
    COUNTIFS($AF$3:$AF$201,$M203)&gt;0,
    COUNTIFS($AG$3:$AG$201,$M203)&gt;0,
    COUNTIFS($AH$3:$AH$201,$M203)&gt;0,
    COUNTIFS($AI$3:$AI$201,$M203)&gt;0,
    COUNTIFS($AJ$3:$AJ$201,$M203)&gt;0,
    COUNTIFS($AK$3:$AK$201,$M203)&gt;0,
    COUNTIFS($AL$3:$AL$201,$M203)&gt;0,
    COUNTIFS($AM$3:$AM$201,$M203)&gt;0,
    COUNTIFS($AN$3:$AN$201,$M203)&gt;0,
    COUNTIFS($AO$3:$AO$201,$M203)&gt;0,
    COUNTIFS($AP$3:$AP$201,$M203)&gt;0,
    COUNTIFS($AQ$3:$AQ$201,$M203)&gt;0,
    COUNTIFS($AR$3:$AR$201,$M203)&gt;0,
    COUNTIFS($AS$3:$AS$201,$M203)&gt;0,
    COUNTIFS($AT$3:$AT$201,$M203)&gt;0,
    COUNTIFS($AU$3:$AU$201,$M203)&gt;0,
    COUNTIFS($AV$3:$AV$201,$M203)&gt;0,
    COUNTIFS($AW$3:$AW$201,$M203)&gt;0,
    COUNTIFS($AX$3:$AX$201,$M203)&gt;0
   ),
  0)
 ),
"")</f>
        <v>JhoiraB</v>
      </c>
      <c r="P203" s="2" t="str" cm="1">
        <f t="array" aca="1" ref="P203" ca="1">IFERROR(
 INDEX(
  _xlfn._xlws.FILTER($U$2:$AX$2,
   TRANSPOSE(
    CHOOSE({1;2;3;4;5;6;7;8;9;10;11;12;13;14;15;16;17;18;19;20;21;22;23;24;25;26;27;28;29;30},
     COUNTIFS($U$3:$U$201,$M203)&gt;0,
     COUNTIFS($V$3:$V$201,$M203)&gt;0,
     COUNTIFS($W$3:$W$201,$M203)&gt;0,
     COUNTIFS($X$3:$X$201,$M203)&gt;0,
     COUNTIFS($Y$3:$Y$201,$M203)&gt;0,
     COUNTIFS($Z$3:$Z$201,$M203)&gt;0,
     COUNTIFS($AA$3:$AA$201,$M203)&gt;0,
     COUNTIFS($AB$3:$AB$201,$M203)&gt;0,
     COUNTIFS($AC$3:$AC$201,$M203)&gt;0,
     COUNTIFS($AD$3:$AD$201,$M203)&gt;0,
     COUNTIFS($AE$3:$AE$201,$M203)&gt;0,
     COUNTIFS($AF$3:$AF$201,$M203)&gt;0,
     COUNTIFS($AG$3:$AG$201,$M203)&gt;0,
     COUNTIFS($AH$3:$AH$201,$M203)&gt;0,
     COUNTIFS($AI$3:$AI$201,$M203)&gt;0,
     COUNTIFS($AJ$3:$AJ$201,$M203)&gt;0,
     COUNTIFS($AK$3:$AK$201,$M203)&gt;0,
     COUNTIFS($AL$3:$AL$201,$M203)&gt;0,
     COUNTIFS($AM$3:$AM$201,$M203)&gt;0,
     COUNTIFS($AN$3:$AN$201,$M203)&gt;0,
     COUNTIFS($AO$3:$AO$201,$M203)&gt;0,
     COUNTIFS($AP$3:$AP$201,$M203)&gt;0,
     COUNTIFS($AQ$3:$AQ$201,$M203)&gt;0,
     COUNTIFS($AR$3:$AR$201,$M203)&gt;0,
     COUNTIFS($AS$3:$AS$201,$M203)&gt;0,
     COUNTIFS($AT$3:$AT$201,$M203)&gt;0,
     COUNTIFS($AU$3:$AU$201,$M203)&gt;0,
     COUNTIFS($AV$3:$AV$201,$M203)&gt;0,
     COUNTIFS($AW$3:$AW$201,$M203)&gt;0,
     COUNTIFS($AX$3:$AX$201,$M203)&gt;0
   )),
  ),
  2
 ),
"")</f>
        <v/>
      </c>
      <c r="Q203" s="2" t="str" cm="1">
        <f t="array" aca="1" ref="Q203" ca="1">IFERROR(
 INDEX(
  _xlfn._xlws.FILTER($U$2:$AX$2,
   TRANSPOSE(
    CHOOSE({1;2;3;4;5;6;7;8;9;10;11;12;13;14;15;16;17;18;19;20;21;22;23;24;25;26;27;28;29;30},
     COUNTIFS($U$3:$U$201,$M203)&gt;0,
     COUNTIFS($V$3:$V$201,$M203)&gt;0,
     COUNTIFS($W$3:$W$201,$M203)&gt;0,
     COUNTIFS($X$3:$X$201,$M203)&gt;0,
     COUNTIFS($Y$3:$Y$201,$M203)&gt;0,
     COUNTIFS($Z$3:$Z$201,$M203)&gt;0,
     COUNTIFS($AA$3:$AA$201,$M203)&gt;0,
     COUNTIFS($AB$3:$AB$201,$M203)&gt;0,
     COUNTIFS($AC$3:$AC$201,$M203)&gt;0,
     COUNTIFS($AD$3:$AD$201,$M203)&gt;0,
     COUNTIFS($AE$3:$AE$201,$M203)&gt;0,
     COUNTIFS($AF$3:$AF$201,$M203)&gt;0,
     COUNTIFS($AG$3:$AG$201,$M203)&gt;0,
     COUNTIFS($AH$3:$AH$201,$M203)&gt;0,
     COUNTIFS($AI$3:$AI$201,$M203)&gt;0,
     COUNTIFS($AJ$3:$AJ$201,$M203)&gt;0,
     COUNTIFS($AK$3:$AK$201,$M203)&gt;0,
     COUNTIFS($AL$3:$AL$201,$M203)&gt;0,
     COUNTIFS($AM$3:$AM$201,$M203)&gt;0,
     COUNTIFS($AN$3:$AN$201,$M203)&gt;0,
     COUNTIFS($AO$3:$AO$201,$M203)&gt;0,
     COUNTIFS($AP$3:$AP$201,$M203)&gt;0,
     COUNTIFS($AQ$3:$AQ$201,$M203)&gt;0,
     COUNTIFS($AR$3:$AR$201,$M203)&gt;0,
     COUNTIFS($AS$3:$AS$201,$M203)&gt;0,
     COUNTIFS($AT$3:$AT$201,$M203)&gt;0,
     COUNTIFS($AU$3:$AU$201,$M203)&gt;0,
     COUNTIFS($AV$3:$AV$201,$M203)&gt;0,
     COUNTIFS($AW$3:$AW$201,$M203)&gt;0,
     COUNTIFS($AX$3:$AX$201,$M203)&gt;0
   )),
  ),
  3
 ),
"")</f>
        <v/>
      </c>
      <c r="ET203" t="str">
        <f ca="1"/>
        <v>The Eldest Reborn</v>
      </c>
      <c r="EW203" t="str">
        <f ca="1"/>
        <v>Stormtide Leviathan</v>
      </c>
    </row>
    <row r="204" spans="1:153" x14ac:dyDescent="0.25">
      <c r="A204" t="str">
        <f ca="1"/>
        <v>Hibernation Sliver</v>
      </c>
      <c r="B204" s="2" t="str" cm="1">
        <f t="array" aca="1" ref="B204" ca="1">_xlfn.ANCHORARRAY(RESUMO!C203)</f>
        <v>Fractius</v>
      </c>
      <c r="C204" s="2" t="str">
        <f t="shared" ca="1" si="12"/>
        <v/>
      </c>
      <c r="E204" t="str">
        <f ca="1"/>
        <v>Supreme Verdict</v>
      </c>
      <c r="F204" s="2">
        <f t="shared" ca="1" si="15"/>
        <v>1</v>
      </c>
      <c r="G204" s="2" t="str">
        <f t="shared" ca="1" si="13"/>
        <v>Sisay</v>
      </c>
      <c r="J204" t="s">
        <v>180</v>
      </c>
      <c r="K204" s="2">
        <v>1</v>
      </c>
      <c r="M204" t="str">
        <f ca="1"/>
        <v>Supreme Verdict</v>
      </c>
      <c r="N204" s="2">
        <f t="shared" ca="1" si="14"/>
        <v>1</v>
      </c>
      <c r="O204" s="2" t="str">
        <f ca="1">IFERROR(
 INDEX($U$2:$AX$2,
  MATCH(TRUE,
   CHOOSE({1;2;3;4;5;6;7;8;9;10;11;12;13;14;15;16;17;18;19;20;21;22;23;24;25;26;27;28;29;30;31;32},
    COUNTIFS($U$3:$U$201,$M204)&gt;0,
    COUNTIFS($V$3:$V$201,$M204)&gt;0,
    COUNTIFS($W$3:$W$201,$M204)&gt;0,
    COUNTIFS($X$3:$X$201,$M204)&gt;0,
    COUNTIFS($Y$3:$Y$201,$M204)&gt;0,
    COUNTIFS($Z$3:$Z$201,$M204)&gt;0,
    COUNTIFS($AA$3:$AA$201,$M204)&gt;0,
    COUNTIFS($AB$3:$AB$201,$M204)&gt;0,
    COUNTIFS($AC$3:$AC$201,$M204)&gt;0,
    COUNTIFS($AD$3:$AD$201,$M204)&gt;0,
    COUNTIFS($AE$3:$AE$201,$M204)&gt;0,
    COUNTIFS($AF$3:$AF$201,$M204)&gt;0,
    COUNTIFS($AG$3:$AG$201,$M204)&gt;0,
    COUNTIFS($AH$3:$AH$201,$M204)&gt;0,
    COUNTIFS($AI$3:$AI$201,$M204)&gt;0,
    COUNTIFS($AJ$3:$AJ$201,$M204)&gt;0,
    COUNTIFS($AK$3:$AK$201,$M204)&gt;0,
    COUNTIFS($AL$3:$AL$201,$M204)&gt;0,
    COUNTIFS($AM$3:$AM$201,$M204)&gt;0,
    COUNTIFS($AN$3:$AN$201,$M204)&gt;0,
    COUNTIFS($AO$3:$AO$201,$M204)&gt;0,
    COUNTIFS($AP$3:$AP$201,$M204)&gt;0,
    COUNTIFS($AQ$3:$AQ$201,$M204)&gt;0,
    COUNTIFS($AR$3:$AR$201,$M204)&gt;0,
    COUNTIFS($AS$3:$AS$201,$M204)&gt;0,
    COUNTIFS($AT$3:$AT$201,$M204)&gt;0,
    COUNTIFS($AU$3:$AU$201,$M204)&gt;0,
    COUNTIFS($AV$3:$AV$201,$M204)&gt;0,
    COUNTIFS($AW$3:$AW$201,$M204)&gt;0,
    COUNTIFS($AX$3:$AX$201,$M204)&gt;0
   ),
  0)
 ),
"")</f>
        <v>Sisay</v>
      </c>
      <c r="P204" s="2" t="str" cm="1">
        <f t="array" aca="1" ref="P204" ca="1">IFERROR(
 INDEX(
  _xlfn._xlws.FILTER($U$2:$AX$2,
   TRANSPOSE(
    CHOOSE({1;2;3;4;5;6;7;8;9;10;11;12;13;14;15;16;17;18;19;20;21;22;23;24;25;26;27;28;29;30},
     COUNTIFS($U$3:$U$201,$M204)&gt;0,
     COUNTIFS($V$3:$V$201,$M204)&gt;0,
     COUNTIFS($W$3:$W$201,$M204)&gt;0,
     COUNTIFS($X$3:$X$201,$M204)&gt;0,
     COUNTIFS($Y$3:$Y$201,$M204)&gt;0,
     COUNTIFS($Z$3:$Z$201,$M204)&gt;0,
     COUNTIFS($AA$3:$AA$201,$M204)&gt;0,
     COUNTIFS($AB$3:$AB$201,$M204)&gt;0,
     COUNTIFS($AC$3:$AC$201,$M204)&gt;0,
     COUNTIFS($AD$3:$AD$201,$M204)&gt;0,
     COUNTIFS($AE$3:$AE$201,$M204)&gt;0,
     COUNTIFS($AF$3:$AF$201,$M204)&gt;0,
     COUNTIFS($AG$3:$AG$201,$M204)&gt;0,
     COUNTIFS($AH$3:$AH$201,$M204)&gt;0,
     COUNTIFS($AI$3:$AI$201,$M204)&gt;0,
     COUNTIFS($AJ$3:$AJ$201,$M204)&gt;0,
     COUNTIFS($AK$3:$AK$201,$M204)&gt;0,
     COUNTIFS($AL$3:$AL$201,$M204)&gt;0,
     COUNTIFS($AM$3:$AM$201,$M204)&gt;0,
     COUNTIFS($AN$3:$AN$201,$M204)&gt;0,
     COUNTIFS($AO$3:$AO$201,$M204)&gt;0,
     COUNTIFS($AP$3:$AP$201,$M204)&gt;0,
     COUNTIFS($AQ$3:$AQ$201,$M204)&gt;0,
     COUNTIFS($AR$3:$AR$201,$M204)&gt;0,
     COUNTIFS($AS$3:$AS$201,$M204)&gt;0,
     COUNTIFS($AT$3:$AT$201,$M204)&gt;0,
     COUNTIFS($AU$3:$AU$201,$M204)&gt;0,
     COUNTIFS($AV$3:$AV$201,$M204)&gt;0,
     COUNTIFS($AW$3:$AW$201,$M204)&gt;0,
     COUNTIFS($AX$3:$AX$201,$M204)&gt;0
   )),
  ),
  2
 ),
"")</f>
        <v/>
      </c>
      <c r="Q204" s="2" t="str" cm="1">
        <f t="array" aca="1" ref="Q204" ca="1">IFERROR(
 INDEX(
  _xlfn._xlws.FILTER($U$2:$AX$2,
   TRANSPOSE(
    CHOOSE({1;2;3;4;5;6;7;8;9;10;11;12;13;14;15;16;17;18;19;20;21;22;23;24;25;26;27;28;29;30},
     COUNTIFS($U$3:$U$201,$M204)&gt;0,
     COUNTIFS($V$3:$V$201,$M204)&gt;0,
     COUNTIFS($W$3:$W$201,$M204)&gt;0,
     COUNTIFS($X$3:$X$201,$M204)&gt;0,
     COUNTIFS($Y$3:$Y$201,$M204)&gt;0,
     COUNTIFS($Z$3:$Z$201,$M204)&gt;0,
     COUNTIFS($AA$3:$AA$201,$M204)&gt;0,
     COUNTIFS($AB$3:$AB$201,$M204)&gt;0,
     COUNTIFS($AC$3:$AC$201,$M204)&gt;0,
     COUNTIFS($AD$3:$AD$201,$M204)&gt;0,
     COUNTIFS($AE$3:$AE$201,$M204)&gt;0,
     COUNTIFS($AF$3:$AF$201,$M204)&gt;0,
     COUNTIFS($AG$3:$AG$201,$M204)&gt;0,
     COUNTIFS($AH$3:$AH$201,$M204)&gt;0,
     COUNTIFS($AI$3:$AI$201,$M204)&gt;0,
     COUNTIFS($AJ$3:$AJ$201,$M204)&gt;0,
     COUNTIFS($AK$3:$AK$201,$M204)&gt;0,
     COUNTIFS($AL$3:$AL$201,$M204)&gt;0,
     COUNTIFS($AM$3:$AM$201,$M204)&gt;0,
     COUNTIFS($AN$3:$AN$201,$M204)&gt;0,
     COUNTIFS($AO$3:$AO$201,$M204)&gt;0,
     COUNTIFS($AP$3:$AP$201,$M204)&gt;0,
     COUNTIFS($AQ$3:$AQ$201,$M204)&gt;0,
     COUNTIFS($AR$3:$AR$201,$M204)&gt;0,
     COUNTIFS($AS$3:$AS$201,$M204)&gt;0,
     COUNTIFS($AT$3:$AT$201,$M204)&gt;0,
     COUNTIFS($AU$3:$AU$201,$M204)&gt;0,
     COUNTIFS($AV$3:$AV$201,$M204)&gt;0,
     COUNTIFS($AW$3:$AW$201,$M204)&gt;0,
     COUNTIFS($AX$3:$AX$201,$M204)&gt;0
   )),
  ),
  3
 ),
"")</f>
        <v/>
      </c>
      <c r="ET204" t="str">
        <f ca="1"/>
        <v>The Hunger Tide Rises</v>
      </c>
      <c r="EW204" t="str">
        <f ca="1"/>
        <v>Supreme Verdict</v>
      </c>
    </row>
    <row r="205" spans="1:153" x14ac:dyDescent="0.25">
      <c r="A205" t="str">
        <f ca="1"/>
        <v>Hollowhead Sliver</v>
      </c>
      <c r="B205" s="2" t="str" cm="1">
        <f t="array" aca="1" ref="B205" ca="1">_xlfn.ANCHORARRAY(RESUMO!C204)</f>
        <v>Fractius</v>
      </c>
      <c r="C205" s="2" t="str">
        <f t="shared" ca="1" si="12"/>
        <v/>
      </c>
      <c r="E205" t="str">
        <f ca="1"/>
        <v>Surge of Salvation</v>
      </c>
      <c r="F205" s="2">
        <f t="shared" ca="1" si="15"/>
        <v>1</v>
      </c>
      <c r="G205" s="2" t="str">
        <f t="shared" ca="1" si="13"/>
        <v>Narset</v>
      </c>
      <c r="J205" t="s">
        <v>180</v>
      </c>
      <c r="K205" s="2">
        <v>1</v>
      </c>
      <c r="M205" t="str">
        <f ca="1"/>
        <v>Surge of Salvation</v>
      </c>
      <c r="N205" s="2">
        <f t="shared" ca="1" si="14"/>
        <v>1</v>
      </c>
      <c r="O205" s="2" t="str">
        <f ca="1">IFERROR(
 INDEX($U$2:$AX$2,
  MATCH(TRUE,
   CHOOSE({1;2;3;4;5;6;7;8;9;10;11;12;13;14;15;16;17;18;19;20;21;22;23;24;25;26;27;28;29;30;31;32},
    COUNTIFS($U$3:$U$201,$M205)&gt;0,
    COUNTIFS($V$3:$V$201,$M205)&gt;0,
    COUNTIFS($W$3:$W$201,$M205)&gt;0,
    COUNTIFS($X$3:$X$201,$M205)&gt;0,
    COUNTIFS($Y$3:$Y$201,$M205)&gt;0,
    COUNTIFS($Z$3:$Z$201,$M205)&gt;0,
    COUNTIFS($AA$3:$AA$201,$M205)&gt;0,
    COUNTIFS($AB$3:$AB$201,$M205)&gt;0,
    COUNTIFS($AC$3:$AC$201,$M205)&gt;0,
    COUNTIFS($AD$3:$AD$201,$M205)&gt;0,
    COUNTIFS($AE$3:$AE$201,$M205)&gt;0,
    COUNTIFS($AF$3:$AF$201,$M205)&gt;0,
    COUNTIFS($AG$3:$AG$201,$M205)&gt;0,
    COUNTIFS($AH$3:$AH$201,$M205)&gt;0,
    COUNTIFS($AI$3:$AI$201,$M205)&gt;0,
    COUNTIFS($AJ$3:$AJ$201,$M205)&gt;0,
    COUNTIFS($AK$3:$AK$201,$M205)&gt;0,
    COUNTIFS($AL$3:$AL$201,$M205)&gt;0,
    COUNTIFS($AM$3:$AM$201,$M205)&gt;0,
    COUNTIFS($AN$3:$AN$201,$M205)&gt;0,
    COUNTIFS($AO$3:$AO$201,$M205)&gt;0,
    COUNTIFS($AP$3:$AP$201,$M205)&gt;0,
    COUNTIFS($AQ$3:$AQ$201,$M205)&gt;0,
    COUNTIFS($AR$3:$AR$201,$M205)&gt;0,
    COUNTIFS($AS$3:$AS$201,$M205)&gt;0,
    COUNTIFS($AT$3:$AT$201,$M205)&gt;0,
    COUNTIFS($AU$3:$AU$201,$M205)&gt;0,
    COUNTIFS($AV$3:$AV$201,$M205)&gt;0,
    COUNTIFS($AW$3:$AW$201,$M205)&gt;0,
    COUNTIFS($AX$3:$AX$201,$M205)&gt;0
   ),
  0)
 ),
"")</f>
        <v>Narset</v>
      </c>
      <c r="P205" s="2" t="str" cm="1">
        <f t="array" aca="1" ref="P205" ca="1">IFERROR(
 INDEX(
  _xlfn._xlws.FILTER($U$2:$AX$2,
   TRANSPOSE(
    CHOOSE({1;2;3;4;5;6;7;8;9;10;11;12;13;14;15;16;17;18;19;20;21;22;23;24;25;26;27;28;29;30},
     COUNTIFS($U$3:$U$201,$M205)&gt;0,
     COUNTIFS($V$3:$V$201,$M205)&gt;0,
     COUNTIFS($W$3:$W$201,$M205)&gt;0,
     COUNTIFS($X$3:$X$201,$M205)&gt;0,
     COUNTIFS($Y$3:$Y$201,$M205)&gt;0,
     COUNTIFS($Z$3:$Z$201,$M205)&gt;0,
     COUNTIFS($AA$3:$AA$201,$M205)&gt;0,
     COUNTIFS($AB$3:$AB$201,$M205)&gt;0,
     COUNTIFS($AC$3:$AC$201,$M205)&gt;0,
     COUNTIFS($AD$3:$AD$201,$M205)&gt;0,
     COUNTIFS($AE$3:$AE$201,$M205)&gt;0,
     COUNTIFS($AF$3:$AF$201,$M205)&gt;0,
     COUNTIFS($AG$3:$AG$201,$M205)&gt;0,
     COUNTIFS($AH$3:$AH$201,$M205)&gt;0,
     COUNTIFS($AI$3:$AI$201,$M205)&gt;0,
     COUNTIFS($AJ$3:$AJ$201,$M205)&gt;0,
     COUNTIFS($AK$3:$AK$201,$M205)&gt;0,
     COUNTIFS($AL$3:$AL$201,$M205)&gt;0,
     COUNTIFS($AM$3:$AM$201,$M205)&gt;0,
     COUNTIFS($AN$3:$AN$201,$M205)&gt;0,
     COUNTIFS($AO$3:$AO$201,$M205)&gt;0,
     COUNTIFS($AP$3:$AP$201,$M205)&gt;0,
     COUNTIFS($AQ$3:$AQ$201,$M205)&gt;0,
     COUNTIFS($AR$3:$AR$201,$M205)&gt;0,
     COUNTIFS($AS$3:$AS$201,$M205)&gt;0,
     COUNTIFS($AT$3:$AT$201,$M205)&gt;0,
     COUNTIFS($AU$3:$AU$201,$M205)&gt;0,
     COUNTIFS($AV$3:$AV$201,$M205)&gt;0,
     COUNTIFS($AW$3:$AW$201,$M205)&gt;0,
     COUNTIFS($AX$3:$AX$201,$M205)&gt;0
   )),
  ),
  2
 ),
"")</f>
        <v/>
      </c>
      <c r="Q205" s="2" t="str" cm="1">
        <f t="array" aca="1" ref="Q205" ca="1">IFERROR(
 INDEX(
  _xlfn._xlws.FILTER($U$2:$AX$2,
   TRANSPOSE(
    CHOOSE({1;2;3;4;5;6;7;8;9;10;11;12;13;14;15;16;17;18;19;20;21;22;23;24;25;26;27;28;29;30},
     COUNTIFS($U$3:$U$201,$M205)&gt;0,
     COUNTIFS($V$3:$V$201,$M205)&gt;0,
     COUNTIFS($W$3:$W$201,$M205)&gt;0,
     COUNTIFS($X$3:$X$201,$M205)&gt;0,
     COUNTIFS($Y$3:$Y$201,$M205)&gt;0,
     COUNTIFS($Z$3:$Z$201,$M205)&gt;0,
     COUNTIFS($AA$3:$AA$201,$M205)&gt;0,
     COUNTIFS($AB$3:$AB$201,$M205)&gt;0,
     COUNTIFS($AC$3:$AC$201,$M205)&gt;0,
     COUNTIFS($AD$3:$AD$201,$M205)&gt;0,
     COUNTIFS($AE$3:$AE$201,$M205)&gt;0,
     COUNTIFS($AF$3:$AF$201,$M205)&gt;0,
     COUNTIFS($AG$3:$AG$201,$M205)&gt;0,
     COUNTIFS($AH$3:$AH$201,$M205)&gt;0,
     COUNTIFS($AI$3:$AI$201,$M205)&gt;0,
     COUNTIFS($AJ$3:$AJ$201,$M205)&gt;0,
     COUNTIFS($AK$3:$AK$201,$M205)&gt;0,
     COUNTIFS($AL$3:$AL$201,$M205)&gt;0,
     COUNTIFS($AM$3:$AM$201,$M205)&gt;0,
     COUNTIFS($AN$3:$AN$201,$M205)&gt;0,
     COUNTIFS($AO$3:$AO$201,$M205)&gt;0,
     COUNTIFS($AP$3:$AP$201,$M205)&gt;0,
     COUNTIFS($AQ$3:$AQ$201,$M205)&gt;0,
     COUNTIFS($AR$3:$AR$201,$M205)&gt;0,
     COUNTIFS($AS$3:$AS$201,$M205)&gt;0,
     COUNTIFS($AT$3:$AT$201,$M205)&gt;0,
     COUNTIFS($AU$3:$AU$201,$M205)&gt;0,
     COUNTIFS($AV$3:$AV$201,$M205)&gt;0,
     COUNTIFS($AW$3:$AW$201,$M205)&gt;0,
     COUNTIFS($AX$3:$AX$201,$M205)&gt;0
   )),
  ),
  3
 ),
"")</f>
        <v/>
      </c>
      <c r="ET205" t="str">
        <f ca="1"/>
        <v>The Immortal Sun</v>
      </c>
      <c r="EW205" t="str">
        <f ca="1"/>
        <v>Surge of Salvation</v>
      </c>
    </row>
    <row r="206" spans="1:153" x14ac:dyDescent="0.25">
      <c r="A206" t="str">
        <f ca="1"/>
        <v>Homeward Path</v>
      </c>
      <c r="B206" s="2" t="str" cm="1">
        <f t="array" aca="1" ref="B206" ca="1">_xlfn.ANCHORARRAY(RESUMO!C205)</f>
        <v>Zedruu</v>
      </c>
      <c r="C206" s="2" t="str">
        <f t="shared" ca="1" si="12"/>
        <v/>
      </c>
      <c r="E206" t="str">
        <f ca="1"/>
        <v>Swamp</v>
      </c>
      <c r="F206" s="2">
        <f t="shared" ca="1" si="15"/>
        <v>16</v>
      </c>
      <c r="G206" s="2" t="str">
        <f t="shared" ca="1" si="13"/>
        <v>Piratas</v>
      </c>
      <c r="J206" t="s">
        <v>180</v>
      </c>
      <c r="K206" s="2">
        <v>1</v>
      </c>
      <c r="M206" t="str">
        <f ca="1"/>
        <v>Swamp</v>
      </c>
      <c r="N206" s="2">
        <f t="shared" ca="1" si="14"/>
        <v>16</v>
      </c>
      <c r="O206" s="2" t="str">
        <f ca="1">IFERROR(
 INDEX($U$2:$AX$2,
  MATCH(TRUE,
   CHOOSE({1;2;3;4;5;6;7;8;9;10;11;12;13;14;15;16;17;18;19;20;21;22;23;24;25;26;27;28;29;30;31;32},
    COUNTIFS($U$3:$U$201,$M206)&gt;0,
    COUNTIFS($V$3:$V$201,$M206)&gt;0,
    COUNTIFS($W$3:$W$201,$M206)&gt;0,
    COUNTIFS($X$3:$X$201,$M206)&gt;0,
    COUNTIFS($Y$3:$Y$201,$M206)&gt;0,
    COUNTIFS($Z$3:$Z$201,$M206)&gt;0,
    COUNTIFS($AA$3:$AA$201,$M206)&gt;0,
    COUNTIFS($AB$3:$AB$201,$M206)&gt;0,
    COUNTIFS($AC$3:$AC$201,$M206)&gt;0,
    COUNTIFS($AD$3:$AD$201,$M206)&gt;0,
    COUNTIFS($AE$3:$AE$201,$M206)&gt;0,
    COUNTIFS($AF$3:$AF$201,$M206)&gt;0,
    COUNTIFS($AG$3:$AG$201,$M206)&gt;0,
    COUNTIFS($AH$3:$AH$201,$M206)&gt;0,
    COUNTIFS($AI$3:$AI$201,$M206)&gt;0,
    COUNTIFS($AJ$3:$AJ$201,$M206)&gt;0,
    COUNTIFS($AK$3:$AK$201,$M206)&gt;0,
    COUNTIFS($AL$3:$AL$201,$M206)&gt;0,
    COUNTIFS($AM$3:$AM$201,$M206)&gt;0,
    COUNTIFS($AN$3:$AN$201,$M206)&gt;0,
    COUNTIFS($AO$3:$AO$201,$M206)&gt;0,
    COUNTIFS($AP$3:$AP$201,$M206)&gt;0,
    COUNTIFS($AQ$3:$AQ$201,$M206)&gt;0,
    COUNTIFS($AR$3:$AR$201,$M206)&gt;0,
    COUNTIFS($AS$3:$AS$201,$M206)&gt;0,
    COUNTIFS($AT$3:$AT$201,$M206)&gt;0,
    COUNTIFS($AU$3:$AU$201,$M206)&gt;0,
    COUNTIFS($AV$3:$AV$201,$M206)&gt;0,
    COUNTIFS($AW$3:$AW$201,$M206)&gt;0,
    COUNTIFS($AX$3:$AX$201,$M206)&gt;0
   ),
  0)
 ),
"")</f>
        <v>Piratas</v>
      </c>
      <c r="P206" s="2" t="str" cm="1">
        <f t="array" aca="1" ref="P206" ca="1">IFERROR(
 INDEX(
  _xlfn._xlws.FILTER($U$2:$AX$2,
   TRANSPOSE(
    CHOOSE({1;2;3;4;5;6;7;8;9;10;11;12;13;14;15;16;17;18;19;20;21;22;23;24;25;26;27;28;29;30},
     COUNTIFS($U$3:$U$201,$M206)&gt;0,
     COUNTIFS($V$3:$V$201,$M206)&gt;0,
     COUNTIFS($W$3:$W$201,$M206)&gt;0,
     COUNTIFS($X$3:$X$201,$M206)&gt;0,
     COUNTIFS($Y$3:$Y$201,$M206)&gt;0,
     COUNTIFS($Z$3:$Z$201,$M206)&gt;0,
     COUNTIFS($AA$3:$AA$201,$M206)&gt;0,
     COUNTIFS($AB$3:$AB$201,$M206)&gt;0,
     COUNTIFS($AC$3:$AC$201,$M206)&gt;0,
     COUNTIFS($AD$3:$AD$201,$M206)&gt;0,
     COUNTIFS($AE$3:$AE$201,$M206)&gt;0,
     COUNTIFS($AF$3:$AF$201,$M206)&gt;0,
     COUNTIFS($AG$3:$AG$201,$M206)&gt;0,
     COUNTIFS($AH$3:$AH$201,$M206)&gt;0,
     COUNTIFS($AI$3:$AI$201,$M206)&gt;0,
     COUNTIFS($AJ$3:$AJ$201,$M206)&gt;0,
     COUNTIFS($AK$3:$AK$201,$M206)&gt;0,
     COUNTIFS($AL$3:$AL$201,$M206)&gt;0,
     COUNTIFS($AM$3:$AM$201,$M206)&gt;0,
     COUNTIFS($AN$3:$AN$201,$M206)&gt;0,
     COUNTIFS($AO$3:$AO$201,$M206)&gt;0,
     COUNTIFS($AP$3:$AP$201,$M206)&gt;0,
     COUNTIFS($AQ$3:$AQ$201,$M206)&gt;0,
     COUNTIFS($AR$3:$AR$201,$M206)&gt;0,
     COUNTIFS($AS$3:$AS$201,$M206)&gt;0,
     COUNTIFS($AT$3:$AT$201,$M206)&gt;0,
     COUNTIFS($AU$3:$AU$201,$M206)&gt;0,
     COUNTIFS($AV$3:$AV$201,$M206)&gt;0,
     COUNTIFS($AW$3:$AW$201,$M206)&gt;0,
     COUNTIFS($AX$3:$AX$201,$M206)&gt;0
   )),
  ),
  2
 ),
"")</f>
        <v>Tayam</v>
      </c>
      <c r="Q206" s="2" t="str" cm="1">
        <f t="array" aca="1" ref="Q206" ca="1">IFERROR(
 INDEX(
  _xlfn._xlws.FILTER($U$2:$AX$2,
   TRANSPOSE(
    CHOOSE({1;2;3;4;5;6;7;8;9;10;11;12;13;14;15;16;17;18;19;20;21;22;23;24;25;26;27;28;29;30},
     COUNTIFS($U$3:$U$201,$M206)&gt;0,
     COUNTIFS($V$3:$V$201,$M206)&gt;0,
     COUNTIFS($W$3:$W$201,$M206)&gt;0,
     COUNTIFS($X$3:$X$201,$M206)&gt;0,
     COUNTIFS($Y$3:$Y$201,$M206)&gt;0,
     COUNTIFS($Z$3:$Z$201,$M206)&gt;0,
     COUNTIFS($AA$3:$AA$201,$M206)&gt;0,
     COUNTIFS($AB$3:$AB$201,$M206)&gt;0,
     COUNTIFS($AC$3:$AC$201,$M206)&gt;0,
     COUNTIFS($AD$3:$AD$201,$M206)&gt;0,
     COUNTIFS($AE$3:$AE$201,$M206)&gt;0,
     COUNTIFS($AF$3:$AF$201,$M206)&gt;0,
     COUNTIFS($AG$3:$AG$201,$M206)&gt;0,
     COUNTIFS($AH$3:$AH$201,$M206)&gt;0,
     COUNTIFS($AI$3:$AI$201,$M206)&gt;0,
     COUNTIFS($AJ$3:$AJ$201,$M206)&gt;0,
     COUNTIFS($AK$3:$AK$201,$M206)&gt;0,
     COUNTIFS($AL$3:$AL$201,$M206)&gt;0,
     COUNTIFS($AM$3:$AM$201,$M206)&gt;0,
     COUNTIFS($AN$3:$AN$201,$M206)&gt;0,
     COUNTIFS($AO$3:$AO$201,$M206)&gt;0,
     COUNTIFS($AP$3:$AP$201,$M206)&gt;0,
     COUNTIFS($AQ$3:$AQ$201,$M206)&gt;0,
     COUNTIFS($AR$3:$AR$201,$M206)&gt;0,
     COUNTIFS($AS$3:$AS$201,$M206)&gt;0,
     COUNTIFS($AT$3:$AT$201,$M206)&gt;0,
     COUNTIFS($AU$3:$AU$201,$M206)&gt;0,
     COUNTIFS($AV$3:$AV$201,$M206)&gt;0,
     COUNTIFS($AW$3:$AW$201,$M206)&gt;0,
     COUNTIFS($AX$3:$AX$201,$M206)&gt;0
   )),
  ),
  3
 ),
"")</f>
        <v>Gritrog</v>
      </c>
      <c r="ET206" t="str">
        <f ca="1"/>
        <v>The Jolly Baloon Man</v>
      </c>
      <c r="EW206" t="str">
        <f ca="1"/>
        <v>Swamp</v>
      </c>
    </row>
    <row r="207" spans="1:153" x14ac:dyDescent="0.25">
      <c r="A207" t="str">
        <f ca="1"/>
        <v>Homing Sliver</v>
      </c>
      <c r="B207" s="2" t="str" cm="1">
        <f t="array" aca="1" ref="B207" ca="1">_xlfn.ANCHORARRAY(RESUMO!C206)</f>
        <v>Fractius</v>
      </c>
      <c r="C207" s="2" t="str">
        <f t="shared" ca="1" si="12"/>
        <v/>
      </c>
      <c r="E207" t="str">
        <f ca="1"/>
        <v>Syr Ginger, the Meal Ender</v>
      </c>
      <c r="F207" s="2">
        <f t="shared" ca="1" si="15"/>
        <v>1</v>
      </c>
      <c r="G207" s="2" t="str">
        <f t="shared" ca="1" si="13"/>
        <v>Modular</v>
      </c>
      <c r="J207" t="s">
        <v>180</v>
      </c>
      <c r="K207" s="2">
        <v>1</v>
      </c>
      <c r="M207" t="str">
        <f ca="1"/>
        <v>Syr Ginger, the Meal Ender</v>
      </c>
      <c r="N207" s="2">
        <f t="shared" ca="1" si="14"/>
        <v>1</v>
      </c>
      <c r="O207" s="2" t="str">
        <f ca="1">IFERROR(
 INDEX($U$2:$AX$2,
  MATCH(TRUE,
   CHOOSE({1;2;3;4;5;6;7;8;9;10;11;12;13;14;15;16;17;18;19;20;21;22;23;24;25;26;27;28;29;30;31;32},
    COUNTIFS($U$3:$U$201,$M207)&gt;0,
    COUNTIFS($V$3:$V$201,$M207)&gt;0,
    COUNTIFS($W$3:$W$201,$M207)&gt;0,
    COUNTIFS($X$3:$X$201,$M207)&gt;0,
    COUNTIFS($Y$3:$Y$201,$M207)&gt;0,
    COUNTIFS($Z$3:$Z$201,$M207)&gt;0,
    COUNTIFS($AA$3:$AA$201,$M207)&gt;0,
    COUNTIFS($AB$3:$AB$201,$M207)&gt;0,
    COUNTIFS($AC$3:$AC$201,$M207)&gt;0,
    COUNTIFS($AD$3:$AD$201,$M207)&gt;0,
    COUNTIFS($AE$3:$AE$201,$M207)&gt;0,
    COUNTIFS($AF$3:$AF$201,$M207)&gt;0,
    COUNTIFS($AG$3:$AG$201,$M207)&gt;0,
    COUNTIFS($AH$3:$AH$201,$M207)&gt;0,
    COUNTIFS($AI$3:$AI$201,$M207)&gt;0,
    COUNTIFS($AJ$3:$AJ$201,$M207)&gt;0,
    COUNTIFS($AK$3:$AK$201,$M207)&gt;0,
    COUNTIFS($AL$3:$AL$201,$M207)&gt;0,
    COUNTIFS($AM$3:$AM$201,$M207)&gt;0,
    COUNTIFS($AN$3:$AN$201,$M207)&gt;0,
    COUNTIFS($AO$3:$AO$201,$M207)&gt;0,
    COUNTIFS($AP$3:$AP$201,$M207)&gt;0,
    COUNTIFS($AQ$3:$AQ$201,$M207)&gt;0,
    COUNTIFS($AR$3:$AR$201,$M207)&gt;0,
    COUNTIFS($AS$3:$AS$201,$M207)&gt;0,
    COUNTIFS($AT$3:$AT$201,$M207)&gt;0,
    COUNTIFS($AU$3:$AU$201,$M207)&gt;0,
    COUNTIFS($AV$3:$AV$201,$M207)&gt;0,
    COUNTIFS($AW$3:$AW$201,$M207)&gt;0,
    COUNTIFS($AX$3:$AX$201,$M207)&gt;0
   ),
  0)
 ),
"")</f>
        <v>Modular</v>
      </c>
      <c r="P207" s="2" t="str" cm="1">
        <f t="array" aca="1" ref="P207" ca="1">IFERROR(
 INDEX(
  _xlfn._xlws.FILTER($U$2:$AX$2,
   TRANSPOSE(
    CHOOSE({1;2;3;4;5;6;7;8;9;10;11;12;13;14;15;16;17;18;19;20;21;22;23;24;25;26;27;28;29;30},
     COUNTIFS($U$3:$U$201,$M207)&gt;0,
     COUNTIFS($V$3:$V$201,$M207)&gt;0,
     COUNTIFS($W$3:$W$201,$M207)&gt;0,
     COUNTIFS($X$3:$X$201,$M207)&gt;0,
     COUNTIFS($Y$3:$Y$201,$M207)&gt;0,
     COUNTIFS($Z$3:$Z$201,$M207)&gt;0,
     COUNTIFS($AA$3:$AA$201,$M207)&gt;0,
     COUNTIFS($AB$3:$AB$201,$M207)&gt;0,
     COUNTIFS($AC$3:$AC$201,$M207)&gt;0,
     COUNTIFS($AD$3:$AD$201,$M207)&gt;0,
     COUNTIFS($AE$3:$AE$201,$M207)&gt;0,
     COUNTIFS($AF$3:$AF$201,$M207)&gt;0,
     COUNTIFS($AG$3:$AG$201,$M207)&gt;0,
     COUNTIFS($AH$3:$AH$201,$M207)&gt;0,
     COUNTIFS($AI$3:$AI$201,$M207)&gt;0,
     COUNTIFS($AJ$3:$AJ$201,$M207)&gt;0,
     COUNTIFS($AK$3:$AK$201,$M207)&gt;0,
     COUNTIFS($AL$3:$AL$201,$M207)&gt;0,
     COUNTIFS($AM$3:$AM$201,$M207)&gt;0,
     COUNTIFS($AN$3:$AN$201,$M207)&gt;0,
     COUNTIFS($AO$3:$AO$201,$M207)&gt;0,
     COUNTIFS($AP$3:$AP$201,$M207)&gt;0,
     COUNTIFS($AQ$3:$AQ$201,$M207)&gt;0,
     COUNTIFS($AR$3:$AR$201,$M207)&gt;0,
     COUNTIFS($AS$3:$AS$201,$M207)&gt;0,
     COUNTIFS($AT$3:$AT$201,$M207)&gt;0,
     COUNTIFS($AU$3:$AU$201,$M207)&gt;0,
     COUNTIFS($AV$3:$AV$201,$M207)&gt;0,
     COUNTIFS($AW$3:$AW$201,$M207)&gt;0,
     COUNTIFS($AX$3:$AX$201,$M207)&gt;0
   )),
  ),
  2
 ),
"")</f>
        <v/>
      </c>
      <c r="Q207" s="2" t="str" cm="1">
        <f t="array" aca="1" ref="Q207" ca="1">IFERROR(
 INDEX(
  _xlfn._xlws.FILTER($U$2:$AX$2,
   TRANSPOSE(
    CHOOSE({1;2;3;4;5;6;7;8;9;10;11;12;13;14;15;16;17;18;19;20;21;22;23;24;25;26;27;28;29;30},
     COUNTIFS($U$3:$U$201,$M207)&gt;0,
     COUNTIFS($V$3:$V$201,$M207)&gt;0,
     COUNTIFS($W$3:$W$201,$M207)&gt;0,
     COUNTIFS($X$3:$X$201,$M207)&gt;0,
     COUNTIFS($Y$3:$Y$201,$M207)&gt;0,
     COUNTIFS($Z$3:$Z$201,$M207)&gt;0,
     COUNTIFS($AA$3:$AA$201,$M207)&gt;0,
     COUNTIFS($AB$3:$AB$201,$M207)&gt;0,
     COUNTIFS($AC$3:$AC$201,$M207)&gt;0,
     COUNTIFS($AD$3:$AD$201,$M207)&gt;0,
     COUNTIFS($AE$3:$AE$201,$M207)&gt;0,
     COUNTIFS($AF$3:$AF$201,$M207)&gt;0,
     COUNTIFS($AG$3:$AG$201,$M207)&gt;0,
     COUNTIFS($AH$3:$AH$201,$M207)&gt;0,
     COUNTIFS($AI$3:$AI$201,$M207)&gt;0,
     COUNTIFS($AJ$3:$AJ$201,$M207)&gt;0,
     COUNTIFS($AK$3:$AK$201,$M207)&gt;0,
     COUNTIFS($AL$3:$AL$201,$M207)&gt;0,
     COUNTIFS($AM$3:$AM$201,$M207)&gt;0,
     COUNTIFS($AN$3:$AN$201,$M207)&gt;0,
     COUNTIFS($AO$3:$AO$201,$M207)&gt;0,
     COUNTIFS($AP$3:$AP$201,$M207)&gt;0,
     COUNTIFS($AQ$3:$AQ$201,$M207)&gt;0,
     COUNTIFS($AR$3:$AR$201,$M207)&gt;0,
     COUNTIFS($AS$3:$AS$201,$M207)&gt;0,
     COUNTIFS($AT$3:$AT$201,$M207)&gt;0,
     COUNTIFS($AU$3:$AU$201,$M207)&gt;0,
     COUNTIFS($AV$3:$AV$201,$M207)&gt;0,
     COUNTIFS($AW$3:$AW$201,$M207)&gt;0,
     COUNTIFS($AX$3:$AX$201,$M207)&gt;0
   )),
  ),
  3
 ),
"")</f>
        <v/>
      </c>
      <c r="ET207" t="str">
        <f ca="1"/>
        <v>Thieving Skydiver</v>
      </c>
      <c r="EW207" t="str">
        <f ca="1"/>
        <v>Syr Ginger, the Meal Ender</v>
      </c>
    </row>
    <row r="208" spans="1:153" x14ac:dyDescent="0.25">
      <c r="A208" t="str">
        <f ca="1"/>
        <v>Hunter Sliver</v>
      </c>
      <c r="B208" s="2" t="str" cm="1">
        <f t="array" aca="1" ref="B208" ca="1">_xlfn.ANCHORARRAY(RESUMO!C207)</f>
        <v>Fractius</v>
      </c>
      <c r="C208" s="2" t="str">
        <f t="shared" ca="1" si="12"/>
        <v/>
      </c>
      <c r="E208" t="str">
        <f ca="1"/>
        <v>Terramorphic Expanse</v>
      </c>
      <c r="F208" s="2">
        <f t="shared" ca="1" si="15"/>
        <v>1</v>
      </c>
      <c r="G208" s="2" t="str">
        <f t="shared" ca="1" si="13"/>
        <v>Modular</v>
      </c>
      <c r="J208" t="s">
        <v>180</v>
      </c>
      <c r="K208" s="2">
        <v>1</v>
      </c>
      <c r="M208" t="str">
        <f ca="1"/>
        <v>Terramorphic Expanse</v>
      </c>
      <c r="N208" s="2">
        <f t="shared" ca="1" si="14"/>
        <v>1</v>
      </c>
      <c r="O208" s="2" t="str">
        <f ca="1">IFERROR(
 INDEX($U$2:$AX$2,
  MATCH(TRUE,
   CHOOSE({1;2;3;4;5;6;7;8;9;10;11;12;13;14;15;16;17;18;19;20;21;22;23;24;25;26;27;28;29;30;31;32},
    COUNTIFS($U$3:$U$201,$M208)&gt;0,
    COUNTIFS($V$3:$V$201,$M208)&gt;0,
    COUNTIFS($W$3:$W$201,$M208)&gt;0,
    COUNTIFS($X$3:$X$201,$M208)&gt;0,
    COUNTIFS($Y$3:$Y$201,$M208)&gt;0,
    COUNTIFS($Z$3:$Z$201,$M208)&gt;0,
    COUNTIFS($AA$3:$AA$201,$M208)&gt;0,
    COUNTIFS($AB$3:$AB$201,$M208)&gt;0,
    COUNTIFS($AC$3:$AC$201,$M208)&gt;0,
    COUNTIFS($AD$3:$AD$201,$M208)&gt;0,
    COUNTIFS($AE$3:$AE$201,$M208)&gt;0,
    COUNTIFS($AF$3:$AF$201,$M208)&gt;0,
    COUNTIFS($AG$3:$AG$201,$M208)&gt;0,
    COUNTIFS($AH$3:$AH$201,$M208)&gt;0,
    COUNTIFS($AI$3:$AI$201,$M208)&gt;0,
    COUNTIFS($AJ$3:$AJ$201,$M208)&gt;0,
    COUNTIFS($AK$3:$AK$201,$M208)&gt;0,
    COUNTIFS($AL$3:$AL$201,$M208)&gt;0,
    COUNTIFS($AM$3:$AM$201,$M208)&gt;0,
    COUNTIFS($AN$3:$AN$201,$M208)&gt;0,
    COUNTIFS($AO$3:$AO$201,$M208)&gt;0,
    COUNTIFS($AP$3:$AP$201,$M208)&gt;0,
    COUNTIFS($AQ$3:$AQ$201,$M208)&gt;0,
    COUNTIFS($AR$3:$AR$201,$M208)&gt;0,
    COUNTIFS($AS$3:$AS$201,$M208)&gt;0,
    COUNTIFS($AT$3:$AT$201,$M208)&gt;0,
    COUNTIFS($AU$3:$AU$201,$M208)&gt;0,
    COUNTIFS($AV$3:$AV$201,$M208)&gt;0,
    COUNTIFS($AW$3:$AW$201,$M208)&gt;0,
    COUNTIFS($AX$3:$AX$201,$M208)&gt;0
   ),
  0)
 ),
"")</f>
        <v>Modular</v>
      </c>
      <c r="P208" s="2" t="str" cm="1">
        <f t="array" aca="1" ref="P208" ca="1">IFERROR(
 INDEX(
  _xlfn._xlws.FILTER($U$2:$AX$2,
   TRANSPOSE(
    CHOOSE({1;2;3;4;5;6;7;8;9;10;11;12;13;14;15;16;17;18;19;20;21;22;23;24;25;26;27;28;29;30},
     COUNTIFS($U$3:$U$201,$M208)&gt;0,
     COUNTIFS($V$3:$V$201,$M208)&gt;0,
     COUNTIFS($W$3:$W$201,$M208)&gt;0,
     COUNTIFS($X$3:$X$201,$M208)&gt;0,
     COUNTIFS($Y$3:$Y$201,$M208)&gt;0,
     COUNTIFS($Z$3:$Z$201,$M208)&gt;0,
     COUNTIFS($AA$3:$AA$201,$M208)&gt;0,
     COUNTIFS($AB$3:$AB$201,$M208)&gt;0,
     COUNTIFS($AC$3:$AC$201,$M208)&gt;0,
     COUNTIFS($AD$3:$AD$201,$M208)&gt;0,
     COUNTIFS($AE$3:$AE$201,$M208)&gt;0,
     COUNTIFS($AF$3:$AF$201,$M208)&gt;0,
     COUNTIFS($AG$3:$AG$201,$M208)&gt;0,
     COUNTIFS($AH$3:$AH$201,$M208)&gt;0,
     COUNTIFS($AI$3:$AI$201,$M208)&gt;0,
     COUNTIFS($AJ$3:$AJ$201,$M208)&gt;0,
     COUNTIFS($AK$3:$AK$201,$M208)&gt;0,
     COUNTIFS($AL$3:$AL$201,$M208)&gt;0,
     COUNTIFS($AM$3:$AM$201,$M208)&gt;0,
     COUNTIFS($AN$3:$AN$201,$M208)&gt;0,
     COUNTIFS($AO$3:$AO$201,$M208)&gt;0,
     COUNTIFS($AP$3:$AP$201,$M208)&gt;0,
     COUNTIFS($AQ$3:$AQ$201,$M208)&gt;0,
     COUNTIFS($AR$3:$AR$201,$M208)&gt;0,
     COUNTIFS($AS$3:$AS$201,$M208)&gt;0,
     COUNTIFS($AT$3:$AT$201,$M208)&gt;0,
     COUNTIFS($AU$3:$AU$201,$M208)&gt;0,
     COUNTIFS($AV$3:$AV$201,$M208)&gt;0,
     COUNTIFS($AW$3:$AW$201,$M208)&gt;0,
     COUNTIFS($AX$3:$AX$201,$M208)&gt;0
   )),
  ),
  2
 ),
"")</f>
        <v/>
      </c>
      <c r="Q208" s="2" t="str" cm="1">
        <f t="array" aca="1" ref="Q208" ca="1">IFERROR(
 INDEX(
  _xlfn._xlws.FILTER($U$2:$AX$2,
   TRANSPOSE(
    CHOOSE({1;2;3;4;5;6;7;8;9;10;11;12;13;14;15;16;17;18;19;20;21;22;23;24;25;26;27;28;29;30},
     COUNTIFS($U$3:$U$201,$M208)&gt;0,
     COUNTIFS($V$3:$V$201,$M208)&gt;0,
     COUNTIFS($W$3:$W$201,$M208)&gt;0,
     COUNTIFS($X$3:$X$201,$M208)&gt;0,
     COUNTIFS($Y$3:$Y$201,$M208)&gt;0,
     COUNTIFS($Z$3:$Z$201,$M208)&gt;0,
     COUNTIFS($AA$3:$AA$201,$M208)&gt;0,
     COUNTIFS($AB$3:$AB$201,$M208)&gt;0,
     COUNTIFS($AC$3:$AC$201,$M208)&gt;0,
     COUNTIFS($AD$3:$AD$201,$M208)&gt;0,
     COUNTIFS($AE$3:$AE$201,$M208)&gt;0,
     COUNTIFS($AF$3:$AF$201,$M208)&gt;0,
     COUNTIFS($AG$3:$AG$201,$M208)&gt;0,
     COUNTIFS($AH$3:$AH$201,$M208)&gt;0,
     COUNTIFS($AI$3:$AI$201,$M208)&gt;0,
     COUNTIFS($AJ$3:$AJ$201,$M208)&gt;0,
     COUNTIFS($AK$3:$AK$201,$M208)&gt;0,
     COUNTIFS($AL$3:$AL$201,$M208)&gt;0,
     COUNTIFS($AM$3:$AM$201,$M208)&gt;0,
     COUNTIFS($AN$3:$AN$201,$M208)&gt;0,
     COUNTIFS($AO$3:$AO$201,$M208)&gt;0,
     COUNTIFS($AP$3:$AP$201,$M208)&gt;0,
     COUNTIFS($AQ$3:$AQ$201,$M208)&gt;0,
     COUNTIFS($AR$3:$AR$201,$M208)&gt;0,
     COUNTIFS($AS$3:$AS$201,$M208)&gt;0,
     COUNTIFS($AT$3:$AT$201,$M208)&gt;0,
     COUNTIFS($AU$3:$AU$201,$M208)&gt;0,
     COUNTIFS($AV$3:$AV$201,$M208)&gt;0,
     COUNTIFS($AW$3:$AW$201,$M208)&gt;0,
     COUNTIFS($AX$3:$AX$201,$M208)&gt;0
   )),
  ),
  3
 ),
"")</f>
        <v/>
      </c>
      <c r="ET208" t="str">
        <f ca="1"/>
        <v>Thirst for Knowledge</v>
      </c>
      <c r="EW208" t="str">
        <f ca="1"/>
        <v>Terramorphic Expanse</v>
      </c>
    </row>
    <row r="209" spans="1:153" x14ac:dyDescent="0.25">
      <c r="A209" t="str">
        <f ca="1"/>
        <v>Hurkyl's Final Meditation</v>
      </c>
      <c r="B209" s="2" t="str" cm="1">
        <f t="array" aca="1" ref="B209" ca="1">_xlfn.ANCHORARRAY(RESUMO!C208)</f>
        <v>4cRash</v>
      </c>
      <c r="C209" s="2" t="str">
        <f t="shared" ca="1" si="12"/>
        <v/>
      </c>
      <c r="E209" t="str">
        <f ca="1"/>
        <v>The Eldest Reborn</v>
      </c>
      <c r="F209" s="2">
        <f t="shared" ca="1" si="15"/>
        <v>1</v>
      </c>
      <c r="G209" s="2" t="str">
        <f t="shared" ca="1" si="13"/>
        <v>Sisay</v>
      </c>
      <c r="J209" t="s">
        <v>180</v>
      </c>
      <c r="K209" s="2">
        <v>1</v>
      </c>
      <c r="M209" t="str">
        <f ca="1"/>
        <v>The Eldest Reborn</v>
      </c>
      <c r="N209" s="2">
        <f t="shared" ca="1" si="14"/>
        <v>1</v>
      </c>
      <c r="O209" s="2" t="str">
        <f ca="1">IFERROR(
 INDEX($U$2:$AX$2,
  MATCH(TRUE,
   CHOOSE({1;2;3;4;5;6;7;8;9;10;11;12;13;14;15;16;17;18;19;20;21;22;23;24;25;26;27;28;29;30;31;32},
    COUNTIFS($U$3:$U$201,$M209)&gt;0,
    COUNTIFS($V$3:$V$201,$M209)&gt;0,
    COUNTIFS($W$3:$W$201,$M209)&gt;0,
    COUNTIFS($X$3:$X$201,$M209)&gt;0,
    COUNTIFS($Y$3:$Y$201,$M209)&gt;0,
    COUNTIFS($Z$3:$Z$201,$M209)&gt;0,
    COUNTIFS($AA$3:$AA$201,$M209)&gt;0,
    COUNTIFS($AB$3:$AB$201,$M209)&gt;0,
    COUNTIFS($AC$3:$AC$201,$M209)&gt;0,
    COUNTIFS($AD$3:$AD$201,$M209)&gt;0,
    COUNTIFS($AE$3:$AE$201,$M209)&gt;0,
    COUNTIFS($AF$3:$AF$201,$M209)&gt;0,
    COUNTIFS($AG$3:$AG$201,$M209)&gt;0,
    COUNTIFS($AH$3:$AH$201,$M209)&gt;0,
    COUNTIFS($AI$3:$AI$201,$M209)&gt;0,
    COUNTIFS($AJ$3:$AJ$201,$M209)&gt;0,
    COUNTIFS($AK$3:$AK$201,$M209)&gt;0,
    COUNTIFS($AL$3:$AL$201,$M209)&gt;0,
    COUNTIFS($AM$3:$AM$201,$M209)&gt;0,
    COUNTIFS($AN$3:$AN$201,$M209)&gt;0,
    COUNTIFS($AO$3:$AO$201,$M209)&gt;0,
    COUNTIFS($AP$3:$AP$201,$M209)&gt;0,
    COUNTIFS($AQ$3:$AQ$201,$M209)&gt;0,
    COUNTIFS($AR$3:$AR$201,$M209)&gt;0,
    COUNTIFS($AS$3:$AS$201,$M209)&gt;0,
    COUNTIFS($AT$3:$AT$201,$M209)&gt;0,
    COUNTIFS($AU$3:$AU$201,$M209)&gt;0,
    COUNTIFS($AV$3:$AV$201,$M209)&gt;0,
    COUNTIFS($AW$3:$AW$201,$M209)&gt;0,
    COUNTIFS($AX$3:$AX$201,$M209)&gt;0
   ),
  0)
 ),
"")</f>
        <v>Sisay</v>
      </c>
      <c r="P209" s="2" t="str" cm="1">
        <f t="array" aca="1" ref="P209" ca="1">IFERROR(
 INDEX(
  _xlfn._xlws.FILTER($U$2:$AX$2,
   TRANSPOSE(
    CHOOSE({1;2;3;4;5;6;7;8;9;10;11;12;13;14;15;16;17;18;19;20;21;22;23;24;25;26;27;28;29;30},
     COUNTIFS($U$3:$U$201,$M209)&gt;0,
     COUNTIFS($V$3:$V$201,$M209)&gt;0,
     COUNTIFS($W$3:$W$201,$M209)&gt;0,
     COUNTIFS($X$3:$X$201,$M209)&gt;0,
     COUNTIFS($Y$3:$Y$201,$M209)&gt;0,
     COUNTIFS($Z$3:$Z$201,$M209)&gt;0,
     COUNTIFS($AA$3:$AA$201,$M209)&gt;0,
     COUNTIFS($AB$3:$AB$201,$M209)&gt;0,
     COUNTIFS($AC$3:$AC$201,$M209)&gt;0,
     COUNTIFS($AD$3:$AD$201,$M209)&gt;0,
     COUNTIFS($AE$3:$AE$201,$M209)&gt;0,
     COUNTIFS($AF$3:$AF$201,$M209)&gt;0,
     COUNTIFS($AG$3:$AG$201,$M209)&gt;0,
     COUNTIFS($AH$3:$AH$201,$M209)&gt;0,
     COUNTIFS($AI$3:$AI$201,$M209)&gt;0,
     COUNTIFS($AJ$3:$AJ$201,$M209)&gt;0,
     COUNTIFS($AK$3:$AK$201,$M209)&gt;0,
     COUNTIFS($AL$3:$AL$201,$M209)&gt;0,
     COUNTIFS($AM$3:$AM$201,$M209)&gt;0,
     COUNTIFS($AN$3:$AN$201,$M209)&gt;0,
     COUNTIFS($AO$3:$AO$201,$M209)&gt;0,
     COUNTIFS($AP$3:$AP$201,$M209)&gt;0,
     COUNTIFS($AQ$3:$AQ$201,$M209)&gt;0,
     COUNTIFS($AR$3:$AR$201,$M209)&gt;0,
     COUNTIFS($AS$3:$AS$201,$M209)&gt;0,
     COUNTIFS($AT$3:$AT$201,$M209)&gt;0,
     COUNTIFS($AU$3:$AU$201,$M209)&gt;0,
     COUNTIFS($AV$3:$AV$201,$M209)&gt;0,
     COUNTIFS($AW$3:$AW$201,$M209)&gt;0,
     COUNTIFS($AX$3:$AX$201,$M209)&gt;0
   )),
  ),
  2
 ),
"")</f>
        <v/>
      </c>
      <c r="Q209" s="2" t="str" cm="1">
        <f t="array" aca="1" ref="Q209" ca="1">IFERROR(
 INDEX(
  _xlfn._xlws.FILTER($U$2:$AX$2,
   TRANSPOSE(
    CHOOSE({1;2;3;4;5;6;7;8;9;10;11;12;13;14;15;16;17;18;19;20;21;22;23;24;25;26;27;28;29;30},
     COUNTIFS($U$3:$U$201,$M209)&gt;0,
     COUNTIFS($V$3:$V$201,$M209)&gt;0,
     COUNTIFS($W$3:$W$201,$M209)&gt;0,
     COUNTIFS($X$3:$X$201,$M209)&gt;0,
     COUNTIFS($Y$3:$Y$201,$M209)&gt;0,
     COUNTIFS($Z$3:$Z$201,$M209)&gt;0,
     COUNTIFS($AA$3:$AA$201,$M209)&gt;0,
     COUNTIFS($AB$3:$AB$201,$M209)&gt;0,
     COUNTIFS($AC$3:$AC$201,$M209)&gt;0,
     COUNTIFS($AD$3:$AD$201,$M209)&gt;0,
     COUNTIFS($AE$3:$AE$201,$M209)&gt;0,
     COUNTIFS($AF$3:$AF$201,$M209)&gt;0,
     COUNTIFS($AG$3:$AG$201,$M209)&gt;0,
     COUNTIFS($AH$3:$AH$201,$M209)&gt;0,
     COUNTIFS($AI$3:$AI$201,$M209)&gt;0,
     COUNTIFS($AJ$3:$AJ$201,$M209)&gt;0,
     COUNTIFS($AK$3:$AK$201,$M209)&gt;0,
     COUNTIFS($AL$3:$AL$201,$M209)&gt;0,
     COUNTIFS($AM$3:$AM$201,$M209)&gt;0,
     COUNTIFS($AN$3:$AN$201,$M209)&gt;0,
     COUNTIFS($AO$3:$AO$201,$M209)&gt;0,
     COUNTIFS($AP$3:$AP$201,$M209)&gt;0,
     COUNTIFS($AQ$3:$AQ$201,$M209)&gt;0,
     COUNTIFS($AR$3:$AR$201,$M209)&gt;0,
     COUNTIFS($AS$3:$AS$201,$M209)&gt;0,
     COUNTIFS($AT$3:$AT$201,$M209)&gt;0,
     COUNTIFS($AU$3:$AU$201,$M209)&gt;0,
     COUNTIFS($AV$3:$AV$201,$M209)&gt;0,
     COUNTIFS($AW$3:$AW$201,$M209)&gt;0,
     COUNTIFS($AX$3:$AX$201,$M209)&gt;0
   )),
  ),
  3
 ),
"")</f>
        <v/>
      </c>
      <c r="ET209" t="str">
        <f ca="1"/>
        <v>Thorough Investigation</v>
      </c>
      <c r="EW209" t="str">
        <f ca="1"/>
        <v>The Eldest Reborn</v>
      </c>
    </row>
    <row r="210" spans="1:153" x14ac:dyDescent="0.25">
      <c r="A210" t="str">
        <f ca="1"/>
        <v>Illustrious Wanderglyph</v>
      </c>
      <c r="B210" s="2" t="str" cm="1">
        <f t="array" aca="1" ref="B210" ca="1">_xlfn.ANCHORARRAY(RESUMO!C209)</f>
        <v>Breya</v>
      </c>
      <c r="C210" s="2" t="str">
        <f t="shared" ca="1" si="12"/>
        <v/>
      </c>
      <c r="E210" t="str">
        <f ca="1"/>
        <v>The Hunger Tide Rises</v>
      </c>
      <c r="F210" s="2">
        <f t="shared" ca="1" si="15"/>
        <v>1</v>
      </c>
      <c r="G210" s="2" t="str">
        <f t="shared" ca="1" si="13"/>
        <v>Zimone</v>
      </c>
      <c r="J210" t="s">
        <v>180</v>
      </c>
      <c r="K210" s="2">
        <v>1</v>
      </c>
      <c r="M210" t="str">
        <f ca="1"/>
        <v>The Hunger Tide Rises</v>
      </c>
      <c r="N210" s="2">
        <f t="shared" ca="1" si="14"/>
        <v>1</v>
      </c>
      <c r="O210" s="2" t="str">
        <f ca="1">IFERROR(
 INDEX($U$2:$AX$2,
  MATCH(TRUE,
   CHOOSE({1;2;3;4;5;6;7;8;9;10;11;12;13;14;15;16;17;18;19;20;21;22;23;24;25;26;27;28;29;30;31;32},
    COUNTIFS($U$3:$U$201,$M210)&gt;0,
    COUNTIFS($V$3:$V$201,$M210)&gt;0,
    COUNTIFS($W$3:$W$201,$M210)&gt;0,
    COUNTIFS($X$3:$X$201,$M210)&gt;0,
    COUNTIFS($Y$3:$Y$201,$M210)&gt;0,
    COUNTIFS($Z$3:$Z$201,$M210)&gt;0,
    COUNTIFS($AA$3:$AA$201,$M210)&gt;0,
    COUNTIFS($AB$3:$AB$201,$M210)&gt;0,
    COUNTIFS($AC$3:$AC$201,$M210)&gt;0,
    COUNTIFS($AD$3:$AD$201,$M210)&gt;0,
    COUNTIFS($AE$3:$AE$201,$M210)&gt;0,
    COUNTIFS($AF$3:$AF$201,$M210)&gt;0,
    COUNTIFS($AG$3:$AG$201,$M210)&gt;0,
    COUNTIFS($AH$3:$AH$201,$M210)&gt;0,
    COUNTIFS($AI$3:$AI$201,$M210)&gt;0,
    COUNTIFS($AJ$3:$AJ$201,$M210)&gt;0,
    COUNTIFS($AK$3:$AK$201,$M210)&gt;0,
    COUNTIFS($AL$3:$AL$201,$M210)&gt;0,
    COUNTIFS($AM$3:$AM$201,$M210)&gt;0,
    COUNTIFS($AN$3:$AN$201,$M210)&gt;0,
    COUNTIFS($AO$3:$AO$201,$M210)&gt;0,
    COUNTIFS($AP$3:$AP$201,$M210)&gt;0,
    COUNTIFS($AQ$3:$AQ$201,$M210)&gt;0,
    COUNTIFS($AR$3:$AR$201,$M210)&gt;0,
    COUNTIFS($AS$3:$AS$201,$M210)&gt;0,
    COUNTIFS($AT$3:$AT$201,$M210)&gt;0,
    COUNTIFS($AU$3:$AU$201,$M210)&gt;0,
    COUNTIFS($AV$3:$AV$201,$M210)&gt;0,
    COUNTIFS($AW$3:$AW$201,$M210)&gt;0,
    COUNTIFS($AX$3:$AX$201,$M210)&gt;0
   ),
  0)
 ),
"")</f>
        <v>Zimone</v>
      </c>
      <c r="P210" s="2" t="str" cm="1">
        <f t="array" aca="1" ref="P210" ca="1">IFERROR(
 INDEX(
  _xlfn._xlws.FILTER($U$2:$AX$2,
   TRANSPOSE(
    CHOOSE({1;2;3;4;5;6;7;8;9;10;11;12;13;14;15;16;17;18;19;20;21;22;23;24;25;26;27;28;29;30},
     COUNTIFS($U$3:$U$201,$M210)&gt;0,
     COUNTIFS($V$3:$V$201,$M210)&gt;0,
     COUNTIFS($W$3:$W$201,$M210)&gt;0,
     COUNTIFS($X$3:$X$201,$M210)&gt;0,
     COUNTIFS($Y$3:$Y$201,$M210)&gt;0,
     COUNTIFS($Z$3:$Z$201,$M210)&gt;0,
     COUNTIFS($AA$3:$AA$201,$M210)&gt;0,
     COUNTIFS($AB$3:$AB$201,$M210)&gt;0,
     COUNTIFS($AC$3:$AC$201,$M210)&gt;0,
     COUNTIFS($AD$3:$AD$201,$M210)&gt;0,
     COUNTIFS($AE$3:$AE$201,$M210)&gt;0,
     COUNTIFS($AF$3:$AF$201,$M210)&gt;0,
     COUNTIFS($AG$3:$AG$201,$M210)&gt;0,
     COUNTIFS($AH$3:$AH$201,$M210)&gt;0,
     COUNTIFS($AI$3:$AI$201,$M210)&gt;0,
     COUNTIFS($AJ$3:$AJ$201,$M210)&gt;0,
     COUNTIFS($AK$3:$AK$201,$M210)&gt;0,
     COUNTIFS($AL$3:$AL$201,$M210)&gt;0,
     COUNTIFS($AM$3:$AM$201,$M210)&gt;0,
     COUNTIFS($AN$3:$AN$201,$M210)&gt;0,
     COUNTIFS($AO$3:$AO$201,$M210)&gt;0,
     COUNTIFS($AP$3:$AP$201,$M210)&gt;0,
     COUNTIFS($AQ$3:$AQ$201,$M210)&gt;0,
     COUNTIFS($AR$3:$AR$201,$M210)&gt;0,
     COUNTIFS($AS$3:$AS$201,$M210)&gt;0,
     COUNTIFS($AT$3:$AT$201,$M210)&gt;0,
     COUNTIFS($AU$3:$AU$201,$M210)&gt;0,
     COUNTIFS($AV$3:$AV$201,$M210)&gt;0,
     COUNTIFS($AW$3:$AW$201,$M210)&gt;0,
     COUNTIFS($AX$3:$AX$201,$M210)&gt;0
   )),
  ),
  2
 ),
"")</f>
        <v/>
      </c>
      <c r="Q210" s="2" t="str" cm="1">
        <f t="array" aca="1" ref="Q210" ca="1">IFERROR(
 INDEX(
  _xlfn._xlws.FILTER($U$2:$AX$2,
   TRANSPOSE(
    CHOOSE({1;2;3;4;5;6;7;8;9;10;11;12;13;14;15;16;17;18;19;20;21;22;23;24;25;26;27;28;29;30},
     COUNTIFS($U$3:$U$201,$M210)&gt;0,
     COUNTIFS($V$3:$V$201,$M210)&gt;0,
     COUNTIFS($W$3:$W$201,$M210)&gt;0,
     COUNTIFS($X$3:$X$201,$M210)&gt;0,
     COUNTIFS($Y$3:$Y$201,$M210)&gt;0,
     COUNTIFS($Z$3:$Z$201,$M210)&gt;0,
     COUNTIFS($AA$3:$AA$201,$M210)&gt;0,
     COUNTIFS($AB$3:$AB$201,$M210)&gt;0,
     COUNTIFS($AC$3:$AC$201,$M210)&gt;0,
     COUNTIFS($AD$3:$AD$201,$M210)&gt;0,
     COUNTIFS($AE$3:$AE$201,$M210)&gt;0,
     COUNTIFS($AF$3:$AF$201,$M210)&gt;0,
     COUNTIFS($AG$3:$AG$201,$M210)&gt;0,
     COUNTIFS($AH$3:$AH$201,$M210)&gt;0,
     COUNTIFS($AI$3:$AI$201,$M210)&gt;0,
     COUNTIFS($AJ$3:$AJ$201,$M210)&gt;0,
     COUNTIFS($AK$3:$AK$201,$M210)&gt;0,
     COUNTIFS($AL$3:$AL$201,$M210)&gt;0,
     COUNTIFS($AM$3:$AM$201,$M210)&gt;0,
     COUNTIFS($AN$3:$AN$201,$M210)&gt;0,
     COUNTIFS($AO$3:$AO$201,$M210)&gt;0,
     COUNTIFS($AP$3:$AP$201,$M210)&gt;0,
     COUNTIFS($AQ$3:$AQ$201,$M210)&gt;0,
     COUNTIFS($AR$3:$AR$201,$M210)&gt;0,
     COUNTIFS($AS$3:$AS$201,$M210)&gt;0,
     COUNTIFS($AT$3:$AT$201,$M210)&gt;0,
     COUNTIFS($AU$3:$AU$201,$M210)&gt;0,
     COUNTIFS($AV$3:$AV$201,$M210)&gt;0,
     COUNTIFS($AW$3:$AW$201,$M210)&gt;0,
     COUNTIFS($AX$3:$AX$201,$M210)&gt;0
   )),
  ),
  3
 ),
"")</f>
        <v/>
      </c>
      <c r="ET210" t="str">
        <f ca="1"/>
        <v>Titanic Ultimatum</v>
      </c>
      <c r="EW210" t="str">
        <f ca="1"/>
        <v>The Hunger Tide Rises</v>
      </c>
    </row>
    <row r="211" spans="1:153" x14ac:dyDescent="0.25">
      <c r="A211" t="str">
        <f ca="1"/>
        <v>Incendiary Command</v>
      </c>
      <c r="B211" s="2" t="str" cm="1">
        <f t="array" aca="1" ref="B211" ca="1">_xlfn.ANCHORARRAY(RESUMO!C210)</f>
        <v>Narset</v>
      </c>
      <c r="C211" s="2" t="str">
        <f t="shared" ca="1" si="12"/>
        <v/>
      </c>
      <c r="E211" t="str">
        <f ca="1"/>
        <v>The Immortal Sun</v>
      </c>
      <c r="F211" s="2">
        <f t="shared" ca="1" si="15"/>
        <v>1</v>
      </c>
      <c r="G211" s="2" t="str">
        <f t="shared" ca="1" si="13"/>
        <v>Alela</v>
      </c>
      <c r="J211" t="s">
        <v>180</v>
      </c>
      <c r="K211" s="2">
        <v>1</v>
      </c>
      <c r="M211" t="str">
        <f ca="1"/>
        <v>The Immortal Sun</v>
      </c>
      <c r="N211" s="2">
        <f t="shared" ca="1" si="14"/>
        <v>1</v>
      </c>
      <c r="O211" s="2" t="str">
        <f ca="1">IFERROR(
 INDEX($U$2:$AX$2,
  MATCH(TRUE,
   CHOOSE({1;2;3;4;5;6;7;8;9;10;11;12;13;14;15;16;17;18;19;20;21;22;23;24;25;26;27;28;29;30;31;32},
    COUNTIFS($U$3:$U$201,$M211)&gt;0,
    COUNTIFS($V$3:$V$201,$M211)&gt;0,
    COUNTIFS($W$3:$W$201,$M211)&gt;0,
    COUNTIFS($X$3:$X$201,$M211)&gt;0,
    COUNTIFS($Y$3:$Y$201,$M211)&gt;0,
    COUNTIFS($Z$3:$Z$201,$M211)&gt;0,
    COUNTIFS($AA$3:$AA$201,$M211)&gt;0,
    COUNTIFS($AB$3:$AB$201,$M211)&gt;0,
    COUNTIFS($AC$3:$AC$201,$M211)&gt;0,
    COUNTIFS($AD$3:$AD$201,$M211)&gt;0,
    COUNTIFS($AE$3:$AE$201,$M211)&gt;0,
    COUNTIFS($AF$3:$AF$201,$M211)&gt;0,
    COUNTIFS($AG$3:$AG$201,$M211)&gt;0,
    COUNTIFS($AH$3:$AH$201,$M211)&gt;0,
    COUNTIFS($AI$3:$AI$201,$M211)&gt;0,
    COUNTIFS($AJ$3:$AJ$201,$M211)&gt;0,
    COUNTIFS($AK$3:$AK$201,$M211)&gt;0,
    COUNTIFS($AL$3:$AL$201,$M211)&gt;0,
    COUNTIFS($AM$3:$AM$201,$M211)&gt;0,
    COUNTIFS($AN$3:$AN$201,$M211)&gt;0,
    COUNTIFS($AO$3:$AO$201,$M211)&gt;0,
    COUNTIFS($AP$3:$AP$201,$M211)&gt;0,
    COUNTIFS($AQ$3:$AQ$201,$M211)&gt;0,
    COUNTIFS($AR$3:$AR$201,$M211)&gt;0,
    COUNTIFS($AS$3:$AS$201,$M211)&gt;0,
    COUNTIFS($AT$3:$AT$201,$M211)&gt;0,
    COUNTIFS($AU$3:$AU$201,$M211)&gt;0,
    COUNTIFS($AV$3:$AV$201,$M211)&gt;0,
    COUNTIFS($AW$3:$AW$201,$M211)&gt;0,
    COUNTIFS($AX$3:$AX$201,$M211)&gt;0
   ),
  0)
 ),
"")</f>
        <v>Alela</v>
      </c>
      <c r="P211" s="2" t="str" cm="1">
        <f t="array" aca="1" ref="P211" ca="1">IFERROR(
 INDEX(
  _xlfn._xlws.FILTER($U$2:$AX$2,
   TRANSPOSE(
    CHOOSE({1;2;3;4;5;6;7;8;9;10;11;12;13;14;15;16;17;18;19;20;21;22;23;24;25;26;27;28;29;30},
     COUNTIFS($U$3:$U$201,$M211)&gt;0,
     COUNTIFS($V$3:$V$201,$M211)&gt;0,
     COUNTIFS($W$3:$W$201,$M211)&gt;0,
     COUNTIFS($X$3:$X$201,$M211)&gt;0,
     COUNTIFS($Y$3:$Y$201,$M211)&gt;0,
     COUNTIFS($Z$3:$Z$201,$M211)&gt;0,
     COUNTIFS($AA$3:$AA$201,$M211)&gt;0,
     COUNTIFS($AB$3:$AB$201,$M211)&gt;0,
     COUNTIFS($AC$3:$AC$201,$M211)&gt;0,
     COUNTIFS($AD$3:$AD$201,$M211)&gt;0,
     COUNTIFS($AE$3:$AE$201,$M211)&gt;0,
     COUNTIFS($AF$3:$AF$201,$M211)&gt;0,
     COUNTIFS($AG$3:$AG$201,$M211)&gt;0,
     COUNTIFS($AH$3:$AH$201,$M211)&gt;0,
     COUNTIFS($AI$3:$AI$201,$M211)&gt;0,
     COUNTIFS($AJ$3:$AJ$201,$M211)&gt;0,
     COUNTIFS($AK$3:$AK$201,$M211)&gt;0,
     COUNTIFS($AL$3:$AL$201,$M211)&gt;0,
     COUNTIFS($AM$3:$AM$201,$M211)&gt;0,
     COUNTIFS($AN$3:$AN$201,$M211)&gt;0,
     COUNTIFS($AO$3:$AO$201,$M211)&gt;0,
     COUNTIFS($AP$3:$AP$201,$M211)&gt;0,
     COUNTIFS($AQ$3:$AQ$201,$M211)&gt;0,
     COUNTIFS($AR$3:$AR$201,$M211)&gt;0,
     COUNTIFS($AS$3:$AS$201,$M211)&gt;0,
     COUNTIFS($AT$3:$AT$201,$M211)&gt;0,
     COUNTIFS($AU$3:$AU$201,$M211)&gt;0,
     COUNTIFS($AV$3:$AV$201,$M211)&gt;0,
     COUNTIFS($AW$3:$AW$201,$M211)&gt;0,
     COUNTIFS($AX$3:$AX$201,$M211)&gt;0
   )),
  ),
  2
 ),
"")</f>
        <v/>
      </c>
      <c r="Q211" s="2" t="str" cm="1">
        <f t="array" aca="1" ref="Q211" ca="1">IFERROR(
 INDEX(
  _xlfn._xlws.FILTER($U$2:$AX$2,
   TRANSPOSE(
    CHOOSE({1;2;3;4;5;6;7;8;9;10;11;12;13;14;15;16;17;18;19;20;21;22;23;24;25;26;27;28;29;30},
     COUNTIFS($U$3:$U$201,$M211)&gt;0,
     COUNTIFS($V$3:$V$201,$M211)&gt;0,
     COUNTIFS($W$3:$W$201,$M211)&gt;0,
     COUNTIFS($X$3:$X$201,$M211)&gt;0,
     COUNTIFS($Y$3:$Y$201,$M211)&gt;0,
     COUNTIFS($Z$3:$Z$201,$M211)&gt;0,
     COUNTIFS($AA$3:$AA$201,$M211)&gt;0,
     COUNTIFS($AB$3:$AB$201,$M211)&gt;0,
     COUNTIFS($AC$3:$AC$201,$M211)&gt;0,
     COUNTIFS($AD$3:$AD$201,$M211)&gt;0,
     COUNTIFS($AE$3:$AE$201,$M211)&gt;0,
     COUNTIFS($AF$3:$AF$201,$M211)&gt;0,
     COUNTIFS($AG$3:$AG$201,$M211)&gt;0,
     COUNTIFS($AH$3:$AH$201,$M211)&gt;0,
     COUNTIFS($AI$3:$AI$201,$M211)&gt;0,
     COUNTIFS($AJ$3:$AJ$201,$M211)&gt;0,
     COUNTIFS($AK$3:$AK$201,$M211)&gt;0,
     COUNTIFS($AL$3:$AL$201,$M211)&gt;0,
     COUNTIFS($AM$3:$AM$201,$M211)&gt;0,
     COUNTIFS($AN$3:$AN$201,$M211)&gt;0,
     COUNTIFS($AO$3:$AO$201,$M211)&gt;0,
     COUNTIFS($AP$3:$AP$201,$M211)&gt;0,
     COUNTIFS($AQ$3:$AQ$201,$M211)&gt;0,
     COUNTIFS($AR$3:$AR$201,$M211)&gt;0,
     COUNTIFS($AS$3:$AS$201,$M211)&gt;0,
     COUNTIFS($AT$3:$AT$201,$M211)&gt;0,
     COUNTIFS($AU$3:$AU$201,$M211)&gt;0,
     COUNTIFS($AV$3:$AV$201,$M211)&gt;0,
     COUNTIFS($AW$3:$AW$201,$M211)&gt;0,
     COUNTIFS($AX$3:$AX$201,$M211)&gt;0
   )),
  ),
  3
 ),
"")</f>
        <v/>
      </c>
      <c r="ET211" t="str">
        <f ca="1"/>
        <v>Tocasia's Welcome</v>
      </c>
      <c r="EW211" t="str">
        <f ca="1"/>
        <v>The Immortal Sun</v>
      </c>
    </row>
    <row r="212" spans="1:153" x14ac:dyDescent="0.25">
      <c r="A212" t="str">
        <f ca="1"/>
        <v>Indatha Triome</v>
      </c>
      <c r="B212" s="2" t="str" cm="1">
        <f t="array" aca="1" ref="B212" ca="1">_xlfn.ANCHORARRAY(RESUMO!C211)</f>
        <v>Fractius</v>
      </c>
      <c r="C212" s="2" t="str">
        <f t="shared" ca="1" si="12"/>
        <v/>
      </c>
      <c r="E212" t="str">
        <f ca="1"/>
        <v>The Jolly Baloon Man</v>
      </c>
      <c r="F212" s="2">
        <f t="shared" ca="1" si="15"/>
        <v>1</v>
      </c>
      <c r="G212" s="2" t="str">
        <f t="shared" ca="1" si="13"/>
        <v>Modular</v>
      </c>
      <c r="J212" t="s">
        <v>180</v>
      </c>
      <c r="K212" s="2">
        <v>1</v>
      </c>
      <c r="M212" t="str">
        <f ca="1"/>
        <v>The Jolly Baloon Man</v>
      </c>
      <c r="N212" s="2">
        <f t="shared" ca="1" si="14"/>
        <v>1</v>
      </c>
      <c r="O212" s="2" t="str">
        <f ca="1">IFERROR(
 INDEX($U$2:$AX$2,
  MATCH(TRUE,
   CHOOSE({1;2;3;4;5;6;7;8;9;10;11;12;13;14;15;16;17;18;19;20;21;22;23;24;25;26;27;28;29;30;31;32},
    COUNTIFS($U$3:$U$201,$M212)&gt;0,
    COUNTIFS($V$3:$V$201,$M212)&gt;0,
    COUNTIFS($W$3:$W$201,$M212)&gt;0,
    COUNTIFS($X$3:$X$201,$M212)&gt;0,
    COUNTIFS($Y$3:$Y$201,$M212)&gt;0,
    COUNTIFS($Z$3:$Z$201,$M212)&gt;0,
    COUNTIFS($AA$3:$AA$201,$M212)&gt;0,
    COUNTIFS($AB$3:$AB$201,$M212)&gt;0,
    COUNTIFS($AC$3:$AC$201,$M212)&gt;0,
    COUNTIFS($AD$3:$AD$201,$M212)&gt;0,
    COUNTIFS($AE$3:$AE$201,$M212)&gt;0,
    COUNTIFS($AF$3:$AF$201,$M212)&gt;0,
    COUNTIFS($AG$3:$AG$201,$M212)&gt;0,
    COUNTIFS($AH$3:$AH$201,$M212)&gt;0,
    COUNTIFS($AI$3:$AI$201,$M212)&gt;0,
    COUNTIFS($AJ$3:$AJ$201,$M212)&gt;0,
    COUNTIFS($AK$3:$AK$201,$M212)&gt;0,
    COUNTIFS($AL$3:$AL$201,$M212)&gt;0,
    COUNTIFS($AM$3:$AM$201,$M212)&gt;0,
    COUNTIFS($AN$3:$AN$201,$M212)&gt;0,
    COUNTIFS($AO$3:$AO$201,$M212)&gt;0,
    COUNTIFS($AP$3:$AP$201,$M212)&gt;0,
    COUNTIFS($AQ$3:$AQ$201,$M212)&gt;0,
    COUNTIFS($AR$3:$AR$201,$M212)&gt;0,
    COUNTIFS($AS$3:$AS$201,$M212)&gt;0,
    COUNTIFS($AT$3:$AT$201,$M212)&gt;0,
    COUNTIFS($AU$3:$AU$201,$M212)&gt;0,
    COUNTIFS($AV$3:$AV$201,$M212)&gt;0,
    COUNTIFS($AW$3:$AW$201,$M212)&gt;0,
    COUNTIFS($AX$3:$AX$201,$M212)&gt;0
   ),
  0)
 ),
"")</f>
        <v>Modular</v>
      </c>
      <c r="P212" s="2" t="str" cm="1">
        <f t="array" aca="1" ref="P212" ca="1">IFERROR(
 INDEX(
  _xlfn._xlws.FILTER($U$2:$AX$2,
   TRANSPOSE(
    CHOOSE({1;2;3;4;5;6;7;8;9;10;11;12;13;14;15;16;17;18;19;20;21;22;23;24;25;26;27;28;29;30},
     COUNTIFS($U$3:$U$201,$M212)&gt;0,
     COUNTIFS($V$3:$V$201,$M212)&gt;0,
     COUNTIFS($W$3:$W$201,$M212)&gt;0,
     COUNTIFS($X$3:$X$201,$M212)&gt;0,
     COUNTIFS($Y$3:$Y$201,$M212)&gt;0,
     COUNTIFS($Z$3:$Z$201,$M212)&gt;0,
     COUNTIFS($AA$3:$AA$201,$M212)&gt;0,
     COUNTIFS($AB$3:$AB$201,$M212)&gt;0,
     COUNTIFS($AC$3:$AC$201,$M212)&gt;0,
     COUNTIFS($AD$3:$AD$201,$M212)&gt;0,
     COUNTIFS($AE$3:$AE$201,$M212)&gt;0,
     COUNTIFS($AF$3:$AF$201,$M212)&gt;0,
     COUNTIFS($AG$3:$AG$201,$M212)&gt;0,
     COUNTIFS($AH$3:$AH$201,$M212)&gt;0,
     COUNTIFS($AI$3:$AI$201,$M212)&gt;0,
     COUNTIFS($AJ$3:$AJ$201,$M212)&gt;0,
     COUNTIFS($AK$3:$AK$201,$M212)&gt;0,
     COUNTIFS($AL$3:$AL$201,$M212)&gt;0,
     COUNTIFS($AM$3:$AM$201,$M212)&gt;0,
     COUNTIFS($AN$3:$AN$201,$M212)&gt;0,
     COUNTIFS($AO$3:$AO$201,$M212)&gt;0,
     COUNTIFS($AP$3:$AP$201,$M212)&gt;0,
     COUNTIFS($AQ$3:$AQ$201,$M212)&gt;0,
     COUNTIFS($AR$3:$AR$201,$M212)&gt;0,
     COUNTIFS($AS$3:$AS$201,$M212)&gt;0,
     COUNTIFS($AT$3:$AT$201,$M212)&gt;0,
     COUNTIFS($AU$3:$AU$201,$M212)&gt;0,
     COUNTIFS($AV$3:$AV$201,$M212)&gt;0,
     COUNTIFS($AW$3:$AW$201,$M212)&gt;0,
     COUNTIFS($AX$3:$AX$201,$M212)&gt;0
   )),
  ),
  2
 ),
"")</f>
        <v/>
      </c>
      <c r="Q212" s="2" t="str" cm="1">
        <f t="array" aca="1" ref="Q212" ca="1">IFERROR(
 INDEX(
  _xlfn._xlws.FILTER($U$2:$AX$2,
   TRANSPOSE(
    CHOOSE({1;2;3;4;5;6;7;8;9;10;11;12;13;14;15;16;17;18;19;20;21;22;23;24;25;26;27;28;29;30},
     COUNTIFS($U$3:$U$201,$M212)&gt;0,
     COUNTIFS($V$3:$V$201,$M212)&gt;0,
     COUNTIFS($W$3:$W$201,$M212)&gt;0,
     COUNTIFS($X$3:$X$201,$M212)&gt;0,
     COUNTIFS($Y$3:$Y$201,$M212)&gt;0,
     COUNTIFS($Z$3:$Z$201,$M212)&gt;0,
     COUNTIFS($AA$3:$AA$201,$M212)&gt;0,
     COUNTIFS($AB$3:$AB$201,$M212)&gt;0,
     COUNTIFS($AC$3:$AC$201,$M212)&gt;0,
     COUNTIFS($AD$3:$AD$201,$M212)&gt;0,
     COUNTIFS($AE$3:$AE$201,$M212)&gt;0,
     COUNTIFS($AF$3:$AF$201,$M212)&gt;0,
     COUNTIFS($AG$3:$AG$201,$M212)&gt;0,
     COUNTIFS($AH$3:$AH$201,$M212)&gt;0,
     COUNTIFS($AI$3:$AI$201,$M212)&gt;0,
     COUNTIFS($AJ$3:$AJ$201,$M212)&gt;0,
     COUNTIFS($AK$3:$AK$201,$M212)&gt;0,
     COUNTIFS($AL$3:$AL$201,$M212)&gt;0,
     COUNTIFS($AM$3:$AM$201,$M212)&gt;0,
     COUNTIFS($AN$3:$AN$201,$M212)&gt;0,
     COUNTIFS($AO$3:$AO$201,$M212)&gt;0,
     COUNTIFS($AP$3:$AP$201,$M212)&gt;0,
     COUNTIFS($AQ$3:$AQ$201,$M212)&gt;0,
     COUNTIFS($AR$3:$AR$201,$M212)&gt;0,
     COUNTIFS($AS$3:$AS$201,$M212)&gt;0,
     COUNTIFS($AT$3:$AT$201,$M212)&gt;0,
     COUNTIFS($AU$3:$AU$201,$M212)&gt;0,
     COUNTIFS($AV$3:$AV$201,$M212)&gt;0,
     COUNTIFS($AW$3:$AW$201,$M212)&gt;0,
     COUNTIFS($AX$3:$AX$201,$M212)&gt;0
   )),
  ),
  3
 ),
"")</f>
        <v/>
      </c>
      <c r="ET212" t="str">
        <f ca="1"/>
        <v>Together Forever</v>
      </c>
      <c r="EW212" t="str">
        <f ca="1"/>
        <v>The Jolly Baloon Man</v>
      </c>
    </row>
    <row r="213" spans="1:153" x14ac:dyDescent="0.25">
      <c r="A213" t="str">
        <f ca="1"/>
        <v>Inferno</v>
      </c>
      <c r="B213" s="2" t="str" cm="1">
        <f t="array" aca="1" ref="B213" ca="1">_xlfn.ANCHORARRAY(RESUMO!C212)</f>
        <v>4cRash</v>
      </c>
      <c r="C213" s="2" t="str">
        <f t="shared" ca="1" si="12"/>
        <v/>
      </c>
      <c r="E213" t="str">
        <f ca="1"/>
        <v>Thieving Skydiver</v>
      </c>
      <c r="F213" s="2">
        <f t="shared" ca="1" si="15"/>
        <v>1</v>
      </c>
      <c r="G213" s="2" t="str">
        <f t="shared" ca="1" si="13"/>
        <v>Kumena</v>
      </c>
      <c r="J213" t="s">
        <v>180</v>
      </c>
      <c r="K213" s="2">
        <v>1</v>
      </c>
      <c r="M213" t="str">
        <f ca="1"/>
        <v>Thieving Skydiver</v>
      </c>
      <c r="N213" s="2">
        <f t="shared" ca="1" si="14"/>
        <v>1</v>
      </c>
      <c r="O213" s="2" t="str">
        <f ca="1">IFERROR(
 INDEX($U$2:$AX$2,
  MATCH(TRUE,
   CHOOSE({1;2;3;4;5;6;7;8;9;10;11;12;13;14;15;16;17;18;19;20;21;22;23;24;25;26;27;28;29;30;31;32},
    COUNTIFS($U$3:$U$201,$M213)&gt;0,
    COUNTIFS($V$3:$V$201,$M213)&gt;0,
    COUNTIFS($W$3:$W$201,$M213)&gt;0,
    COUNTIFS($X$3:$X$201,$M213)&gt;0,
    COUNTIFS($Y$3:$Y$201,$M213)&gt;0,
    COUNTIFS($Z$3:$Z$201,$M213)&gt;0,
    COUNTIFS($AA$3:$AA$201,$M213)&gt;0,
    COUNTIFS($AB$3:$AB$201,$M213)&gt;0,
    COUNTIFS($AC$3:$AC$201,$M213)&gt;0,
    COUNTIFS($AD$3:$AD$201,$M213)&gt;0,
    COUNTIFS($AE$3:$AE$201,$M213)&gt;0,
    COUNTIFS($AF$3:$AF$201,$M213)&gt;0,
    COUNTIFS($AG$3:$AG$201,$M213)&gt;0,
    COUNTIFS($AH$3:$AH$201,$M213)&gt;0,
    COUNTIFS($AI$3:$AI$201,$M213)&gt;0,
    COUNTIFS($AJ$3:$AJ$201,$M213)&gt;0,
    COUNTIFS($AK$3:$AK$201,$M213)&gt;0,
    COUNTIFS($AL$3:$AL$201,$M213)&gt;0,
    COUNTIFS($AM$3:$AM$201,$M213)&gt;0,
    COUNTIFS($AN$3:$AN$201,$M213)&gt;0,
    COUNTIFS($AO$3:$AO$201,$M213)&gt;0,
    COUNTIFS($AP$3:$AP$201,$M213)&gt;0,
    COUNTIFS($AQ$3:$AQ$201,$M213)&gt;0,
    COUNTIFS($AR$3:$AR$201,$M213)&gt;0,
    COUNTIFS($AS$3:$AS$201,$M213)&gt;0,
    COUNTIFS($AT$3:$AT$201,$M213)&gt;0,
    COUNTIFS($AU$3:$AU$201,$M213)&gt;0,
    COUNTIFS($AV$3:$AV$201,$M213)&gt;0,
    COUNTIFS($AW$3:$AW$201,$M213)&gt;0,
    COUNTIFS($AX$3:$AX$201,$M213)&gt;0
   ),
  0)
 ),
"")</f>
        <v>Kumena</v>
      </c>
      <c r="P213" s="2" t="str" cm="1">
        <f t="array" aca="1" ref="P213" ca="1">IFERROR(
 INDEX(
  _xlfn._xlws.FILTER($U$2:$AX$2,
   TRANSPOSE(
    CHOOSE({1;2;3;4;5;6;7;8;9;10;11;12;13;14;15;16;17;18;19;20;21;22;23;24;25;26;27;28;29;30},
     COUNTIFS($U$3:$U$201,$M213)&gt;0,
     COUNTIFS($V$3:$V$201,$M213)&gt;0,
     COUNTIFS($W$3:$W$201,$M213)&gt;0,
     COUNTIFS($X$3:$X$201,$M213)&gt;0,
     COUNTIFS($Y$3:$Y$201,$M213)&gt;0,
     COUNTIFS($Z$3:$Z$201,$M213)&gt;0,
     COUNTIFS($AA$3:$AA$201,$M213)&gt;0,
     COUNTIFS($AB$3:$AB$201,$M213)&gt;0,
     COUNTIFS($AC$3:$AC$201,$M213)&gt;0,
     COUNTIFS($AD$3:$AD$201,$M213)&gt;0,
     COUNTIFS($AE$3:$AE$201,$M213)&gt;0,
     COUNTIFS($AF$3:$AF$201,$M213)&gt;0,
     COUNTIFS($AG$3:$AG$201,$M213)&gt;0,
     COUNTIFS($AH$3:$AH$201,$M213)&gt;0,
     COUNTIFS($AI$3:$AI$201,$M213)&gt;0,
     COUNTIFS($AJ$3:$AJ$201,$M213)&gt;0,
     COUNTIFS($AK$3:$AK$201,$M213)&gt;0,
     COUNTIFS($AL$3:$AL$201,$M213)&gt;0,
     COUNTIFS($AM$3:$AM$201,$M213)&gt;0,
     COUNTIFS($AN$3:$AN$201,$M213)&gt;0,
     COUNTIFS($AO$3:$AO$201,$M213)&gt;0,
     COUNTIFS($AP$3:$AP$201,$M213)&gt;0,
     COUNTIFS($AQ$3:$AQ$201,$M213)&gt;0,
     COUNTIFS($AR$3:$AR$201,$M213)&gt;0,
     COUNTIFS($AS$3:$AS$201,$M213)&gt;0,
     COUNTIFS($AT$3:$AT$201,$M213)&gt;0,
     COUNTIFS($AU$3:$AU$201,$M213)&gt;0,
     COUNTIFS($AV$3:$AV$201,$M213)&gt;0,
     COUNTIFS($AW$3:$AW$201,$M213)&gt;0,
     COUNTIFS($AX$3:$AX$201,$M213)&gt;0
   )),
  ),
  2
 ),
"")</f>
        <v/>
      </c>
      <c r="Q213" s="2" t="str" cm="1">
        <f t="array" aca="1" ref="Q213" ca="1">IFERROR(
 INDEX(
  _xlfn._xlws.FILTER($U$2:$AX$2,
   TRANSPOSE(
    CHOOSE({1;2;3;4;5;6;7;8;9;10;11;12;13;14;15;16;17;18;19;20;21;22;23;24;25;26;27;28;29;30},
     COUNTIFS($U$3:$U$201,$M213)&gt;0,
     COUNTIFS($V$3:$V$201,$M213)&gt;0,
     COUNTIFS($W$3:$W$201,$M213)&gt;0,
     COUNTIFS($X$3:$X$201,$M213)&gt;0,
     COUNTIFS($Y$3:$Y$201,$M213)&gt;0,
     COUNTIFS($Z$3:$Z$201,$M213)&gt;0,
     COUNTIFS($AA$3:$AA$201,$M213)&gt;0,
     COUNTIFS($AB$3:$AB$201,$M213)&gt;0,
     COUNTIFS($AC$3:$AC$201,$M213)&gt;0,
     COUNTIFS($AD$3:$AD$201,$M213)&gt;0,
     COUNTIFS($AE$3:$AE$201,$M213)&gt;0,
     COUNTIFS($AF$3:$AF$201,$M213)&gt;0,
     COUNTIFS($AG$3:$AG$201,$M213)&gt;0,
     COUNTIFS($AH$3:$AH$201,$M213)&gt;0,
     COUNTIFS($AI$3:$AI$201,$M213)&gt;0,
     COUNTIFS($AJ$3:$AJ$201,$M213)&gt;0,
     COUNTIFS($AK$3:$AK$201,$M213)&gt;0,
     COUNTIFS($AL$3:$AL$201,$M213)&gt;0,
     COUNTIFS($AM$3:$AM$201,$M213)&gt;0,
     COUNTIFS($AN$3:$AN$201,$M213)&gt;0,
     COUNTIFS($AO$3:$AO$201,$M213)&gt;0,
     COUNTIFS($AP$3:$AP$201,$M213)&gt;0,
     COUNTIFS($AQ$3:$AQ$201,$M213)&gt;0,
     COUNTIFS($AR$3:$AR$201,$M213)&gt;0,
     COUNTIFS($AS$3:$AS$201,$M213)&gt;0,
     COUNTIFS($AT$3:$AT$201,$M213)&gt;0,
     COUNTIFS($AU$3:$AU$201,$M213)&gt;0,
     COUNTIFS($AV$3:$AV$201,$M213)&gt;0,
     COUNTIFS($AW$3:$AW$201,$M213)&gt;0,
     COUNTIFS($AX$3:$AX$201,$M213)&gt;0
   )),
  ),
  3
 ),
"")</f>
        <v/>
      </c>
      <c r="ET213" t="str">
        <f ca="1"/>
        <v>Trail of Crumbs</v>
      </c>
      <c r="EW213" t="str">
        <f ca="1"/>
        <v>Thieving Skydiver</v>
      </c>
    </row>
    <row r="214" spans="1:153" x14ac:dyDescent="0.25">
      <c r="A214" t="str">
        <f ca="1"/>
        <v>Invasion of Segovia</v>
      </c>
      <c r="B214" s="2" t="str" cm="1">
        <f t="array" aca="1" ref="B214" ca="1">_xlfn.ANCHORARRAY(RESUMO!C213)</f>
        <v>Oona</v>
      </c>
      <c r="C214" s="2" t="str">
        <f t="shared" ca="1" si="12"/>
        <v/>
      </c>
      <c r="E214" t="str">
        <f ca="1"/>
        <v>Thirst for Knowledge</v>
      </c>
      <c r="F214" s="2">
        <f t="shared" ca="1" si="15"/>
        <v>1</v>
      </c>
      <c r="G214" s="2" t="str">
        <f t="shared" ca="1" si="13"/>
        <v>Rielle</v>
      </c>
      <c r="J214" t="s">
        <v>180</v>
      </c>
      <c r="K214" s="2">
        <v>1</v>
      </c>
      <c r="M214" t="str">
        <f ca="1"/>
        <v>Thirst for Knowledge</v>
      </c>
      <c r="N214" s="2">
        <f t="shared" ca="1" si="14"/>
        <v>1</v>
      </c>
      <c r="O214" s="2" t="str">
        <f ca="1">IFERROR(
 INDEX($U$2:$AX$2,
  MATCH(TRUE,
   CHOOSE({1;2;3;4;5;6;7;8;9;10;11;12;13;14;15;16;17;18;19;20;21;22;23;24;25;26;27;28;29;30;31;32},
    COUNTIFS($U$3:$U$201,$M214)&gt;0,
    COUNTIFS($V$3:$V$201,$M214)&gt;0,
    COUNTIFS($W$3:$W$201,$M214)&gt;0,
    COUNTIFS($X$3:$X$201,$M214)&gt;0,
    COUNTIFS($Y$3:$Y$201,$M214)&gt;0,
    COUNTIFS($Z$3:$Z$201,$M214)&gt;0,
    COUNTIFS($AA$3:$AA$201,$M214)&gt;0,
    COUNTIFS($AB$3:$AB$201,$M214)&gt;0,
    COUNTIFS($AC$3:$AC$201,$M214)&gt;0,
    COUNTIFS($AD$3:$AD$201,$M214)&gt;0,
    COUNTIFS($AE$3:$AE$201,$M214)&gt;0,
    COUNTIFS($AF$3:$AF$201,$M214)&gt;0,
    COUNTIFS($AG$3:$AG$201,$M214)&gt;0,
    COUNTIFS($AH$3:$AH$201,$M214)&gt;0,
    COUNTIFS($AI$3:$AI$201,$M214)&gt;0,
    COUNTIFS($AJ$3:$AJ$201,$M214)&gt;0,
    COUNTIFS($AK$3:$AK$201,$M214)&gt;0,
    COUNTIFS($AL$3:$AL$201,$M214)&gt;0,
    COUNTIFS($AM$3:$AM$201,$M214)&gt;0,
    COUNTIFS($AN$3:$AN$201,$M214)&gt;0,
    COUNTIFS($AO$3:$AO$201,$M214)&gt;0,
    COUNTIFS($AP$3:$AP$201,$M214)&gt;0,
    COUNTIFS($AQ$3:$AQ$201,$M214)&gt;0,
    COUNTIFS($AR$3:$AR$201,$M214)&gt;0,
    COUNTIFS($AS$3:$AS$201,$M214)&gt;0,
    COUNTIFS($AT$3:$AT$201,$M214)&gt;0,
    COUNTIFS($AU$3:$AU$201,$M214)&gt;0,
    COUNTIFS($AV$3:$AV$201,$M214)&gt;0,
    COUNTIFS($AW$3:$AW$201,$M214)&gt;0,
    COUNTIFS($AX$3:$AX$201,$M214)&gt;0
   ),
  0)
 ),
"")</f>
        <v>Rielle</v>
      </c>
      <c r="P214" s="2" t="str" cm="1">
        <f t="array" aca="1" ref="P214" ca="1">IFERROR(
 INDEX(
  _xlfn._xlws.FILTER($U$2:$AX$2,
   TRANSPOSE(
    CHOOSE({1;2;3;4;5;6;7;8;9;10;11;12;13;14;15;16;17;18;19;20;21;22;23;24;25;26;27;28;29;30},
     COUNTIFS($U$3:$U$201,$M214)&gt;0,
     COUNTIFS($V$3:$V$201,$M214)&gt;0,
     COUNTIFS($W$3:$W$201,$M214)&gt;0,
     COUNTIFS($X$3:$X$201,$M214)&gt;0,
     COUNTIFS($Y$3:$Y$201,$M214)&gt;0,
     COUNTIFS($Z$3:$Z$201,$M214)&gt;0,
     COUNTIFS($AA$3:$AA$201,$M214)&gt;0,
     COUNTIFS($AB$3:$AB$201,$M214)&gt;0,
     COUNTIFS($AC$3:$AC$201,$M214)&gt;0,
     COUNTIFS($AD$3:$AD$201,$M214)&gt;0,
     COUNTIFS($AE$3:$AE$201,$M214)&gt;0,
     COUNTIFS($AF$3:$AF$201,$M214)&gt;0,
     COUNTIFS($AG$3:$AG$201,$M214)&gt;0,
     COUNTIFS($AH$3:$AH$201,$M214)&gt;0,
     COUNTIFS($AI$3:$AI$201,$M214)&gt;0,
     COUNTIFS($AJ$3:$AJ$201,$M214)&gt;0,
     COUNTIFS($AK$3:$AK$201,$M214)&gt;0,
     COUNTIFS($AL$3:$AL$201,$M214)&gt;0,
     COUNTIFS($AM$3:$AM$201,$M214)&gt;0,
     COUNTIFS($AN$3:$AN$201,$M214)&gt;0,
     COUNTIFS($AO$3:$AO$201,$M214)&gt;0,
     COUNTIFS($AP$3:$AP$201,$M214)&gt;0,
     COUNTIFS($AQ$3:$AQ$201,$M214)&gt;0,
     COUNTIFS($AR$3:$AR$201,$M214)&gt;0,
     COUNTIFS($AS$3:$AS$201,$M214)&gt;0,
     COUNTIFS($AT$3:$AT$201,$M214)&gt;0,
     COUNTIFS($AU$3:$AU$201,$M214)&gt;0,
     COUNTIFS($AV$3:$AV$201,$M214)&gt;0,
     COUNTIFS($AW$3:$AW$201,$M214)&gt;0,
     COUNTIFS($AX$3:$AX$201,$M214)&gt;0
   )),
  ),
  2
 ),
"")</f>
        <v/>
      </c>
      <c r="Q214" s="2" t="str" cm="1">
        <f t="array" aca="1" ref="Q214" ca="1">IFERROR(
 INDEX(
  _xlfn._xlws.FILTER($U$2:$AX$2,
   TRANSPOSE(
    CHOOSE({1;2;3;4;5;6;7;8;9;10;11;12;13;14;15;16;17;18;19;20;21;22;23;24;25;26;27;28;29;30},
     COUNTIFS($U$3:$U$201,$M214)&gt;0,
     COUNTIFS($V$3:$V$201,$M214)&gt;0,
     COUNTIFS($W$3:$W$201,$M214)&gt;0,
     COUNTIFS($X$3:$X$201,$M214)&gt;0,
     COUNTIFS($Y$3:$Y$201,$M214)&gt;0,
     COUNTIFS($Z$3:$Z$201,$M214)&gt;0,
     COUNTIFS($AA$3:$AA$201,$M214)&gt;0,
     COUNTIFS($AB$3:$AB$201,$M214)&gt;0,
     COUNTIFS($AC$3:$AC$201,$M214)&gt;0,
     COUNTIFS($AD$3:$AD$201,$M214)&gt;0,
     COUNTIFS($AE$3:$AE$201,$M214)&gt;0,
     COUNTIFS($AF$3:$AF$201,$M214)&gt;0,
     COUNTIFS($AG$3:$AG$201,$M214)&gt;0,
     COUNTIFS($AH$3:$AH$201,$M214)&gt;0,
     COUNTIFS($AI$3:$AI$201,$M214)&gt;0,
     COUNTIFS($AJ$3:$AJ$201,$M214)&gt;0,
     COUNTIFS($AK$3:$AK$201,$M214)&gt;0,
     COUNTIFS($AL$3:$AL$201,$M214)&gt;0,
     COUNTIFS($AM$3:$AM$201,$M214)&gt;0,
     COUNTIFS($AN$3:$AN$201,$M214)&gt;0,
     COUNTIFS($AO$3:$AO$201,$M214)&gt;0,
     COUNTIFS($AP$3:$AP$201,$M214)&gt;0,
     COUNTIFS($AQ$3:$AQ$201,$M214)&gt;0,
     COUNTIFS($AR$3:$AR$201,$M214)&gt;0,
     COUNTIFS($AS$3:$AS$201,$M214)&gt;0,
     COUNTIFS($AT$3:$AT$201,$M214)&gt;0,
     COUNTIFS($AU$3:$AU$201,$M214)&gt;0,
     COUNTIFS($AV$3:$AV$201,$M214)&gt;0,
     COUNTIFS($AW$3:$AW$201,$M214)&gt;0,
     COUNTIFS($AX$3:$AX$201,$M214)&gt;0
   )),
  ),
  3
 ),
"")</f>
        <v/>
      </c>
      <c r="ET214" t="str">
        <f ca="1"/>
        <v>Trailblazer's Boots</v>
      </c>
      <c r="EW214" t="str">
        <f ca="1"/>
        <v>Thirst for Knowledge</v>
      </c>
    </row>
    <row r="215" spans="1:153" x14ac:dyDescent="0.25">
      <c r="A215" t="str">
        <f ca="1"/>
        <v>Inventors' Fair</v>
      </c>
      <c r="B215" s="2" t="str" cm="1">
        <f t="array" aca="1" ref="B215" ca="1">_xlfn.ANCHORARRAY(RESUMO!C214)</f>
        <v>Muzzio</v>
      </c>
      <c r="C215" s="2" t="str">
        <f t="shared" ca="1" si="12"/>
        <v/>
      </c>
      <c r="E215" t="str">
        <f ca="1"/>
        <v>Thorough Investigation</v>
      </c>
      <c r="F215" s="2">
        <f t="shared" ca="1" si="15"/>
        <v>1</v>
      </c>
      <c r="G215" s="2" t="str">
        <f t="shared" ca="1" si="13"/>
        <v>Baylen</v>
      </c>
      <c r="J215" t="s">
        <v>180</v>
      </c>
      <c r="K215" s="2">
        <v>1</v>
      </c>
      <c r="M215" t="str">
        <f ca="1"/>
        <v>Thorough Investigation</v>
      </c>
      <c r="N215" s="2">
        <f t="shared" ca="1" si="14"/>
        <v>1</v>
      </c>
      <c r="O215" s="2" t="str">
        <f ca="1">IFERROR(
 INDEX($U$2:$AX$2,
  MATCH(TRUE,
   CHOOSE({1;2;3;4;5;6;7;8;9;10;11;12;13;14;15;16;17;18;19;20;21;22;23;24;25;26;27;28;29;30;31;32},
    COUNTIFS($U$3:$U$201,$M215)&gt;0,
    COUNTIFS($V$3:$V$201,$M215)&gt;0,
    COUNTIFS($W$3:$W$201,$M215)&gt;0,
    COUNTIFS($X$3:$X$201,$M215)&gt;0,
    COUNTIFS($Y$3:$Y$201,$M215)&gt;0,
    COUNTIFS($Z$3:$Z$201,$M215)&gt;0,
    COUNTIFS($AA$3:$AA$201,$M215)&gt;0,
    COUNTIFS($AB$3:$AB$201,$M215)&gt;0,
    COUNTIFS($AC$3:$AC$201,$M215)&gt;0,
    COUNTIFS($AD$3:$AD$201,$M215)&gt;0,
    COUNTIFS($AE$3:$AE$201,$M215)&gt;0,
    COUNTIFS($AF$3:$AF$201,$M215)&gt;0,
    COUNTIFS($AG$3:$AG$201,$M215)&gt;0,
    COUNTIFS($AH$3:$AH$201,$M215)&gt;0,
    COUNTIFS($AI$3:$AI$201,$M215)&gt;0,
    COUNTIFS($AJ$3:$AJ$201,$M215)&gt;0,
    COUNTIFS($AK$3:$AK$201,$M215)&gt;0,
    COUNTIFS($AL$3:$AL$201,$M215)&gt;0,
    COUNTIFS($AM$3:$AM$201,$M215)&gt;0,
    COUNTIFS($AN$3:$AN$201,$M215)&gt;0,
    COUNTIFS($AO$3:$AO$201,$M215)&gt;0,
    COUNTIFS($AP$3:$AP$201,$M215)&gt;0,
    COUNTIFS($AQ$3:$AQ$201,$M215)&gt;0,
    COUNTIFS($AR$3:$AR$201,$M215)&gt;0,
    COUNTIFS($AS$3:$AS$201,$M215)&gt;0,
    COUNTIFS($AT$3:$AT$201,$M215)&gt;0,
    COUNTIFS($AU$3:$AU$201,$M215)&gt;0,
    COUNTIFS($AV$3:$AV$201,$M215)&gt;0,
    COUNTIFS($AW$3:$AW$201,$M215)&gt;0,
    COUNTIFS($AX$3:$AX$201,$M215)&gt;0
   ),
  0)
 ),
"")</f>
        <v>Baylen</v>
      </c>
      <c r="P215" s="2" t="str" cm="1">
        <f t="array" aca="1" ref="P215" ca="1">IFERROR(
 INDEX(
  _xlfn._xlws.FILTER($U$2:$AX$2,
   TRANSPOSE(
    CHOOSE({1;2;3;4;5;6;7;8;9;10;11;12;13;14;15;16;17;18;19;20;21;22;23;24;25;26;27;28;29;30},
     COUNTIFS($U$3:$U$201,$M215)&gt;0,
     COUNTIFS($V$3:$V$201,$M215)&gt;0,
     COUNTIFS($W$3:$W$201,$M215)&gt;0,
     COUNTIFS($X$3:$X$201,$M215)&gt;0,
     COUNTIFS($Y$3:$Y$201,$M215)&gt;0,
     COUNTIFS($Z$3:$Z$201,$M215)&gt;0,
     COUNTIFS($AA$3:$AA$201,$M215)&gt;0,
     COUNTIFS($AB$3:$AB$201,$M215)&gt;0,
     COUNTIFS($AC$3:$AC$201,$M215)&gt;0,
     COUNTIFS($AD$3:$AD$201,$M215)&gt;0,
     COUNTIFS($AE$3:$AE$201,$M215)&gt;0,
     COUNTIFS($AF$3:$AF$201,$M215)&gt;0,
     COUNTIFS($AG$3:$AG$201,$M215)&gt;0,
     COUNTIFS($AH$3:$AH$201,$M215)&gt;0,
     COUNTIFS($AI$3:$AI$201,$M215)&gt;0,
     COUNTIFS($AJ$3:$AJ$201,$M215)&gt;0,
     COUNTIFS($AK$3:$AK$201,$M215)&gt;0,
     COUNTIFS($AL$3:$AL$201,$M215)&gt;0,
     COUNTIFS($AM$3:$AM$201,$M215)&gt;0,
     COUNTIFS($AN$3:$AN$201,$M215)&gt;0,
     COUNTIFS($AO$3:$AO$201,$M215)&gt;0,
     COUNTIFS($AP$3:$AP$201,$M215)&gt;0,
     COUNTIFS($AQ$3:$AQ$201,$M215)&gt;0,
     COUNTIFS($AR$3:$AR$201,$M215)&gt;0,
     COUNTIFS($AS$3:$AS$201,$M215)&gt;0,
     COUNTIFS($AT$3:$AT$201,$M215)&gt;0,
     COUNTIFS($AU$3:$AU$201,$M215)&gt;0,
     COUNTIFS($AV$3:$AV$201,$M215)&gt;0,
     COUNTIFS($AW$3:$AW$201,$M215)&gt;0,
     COUNTIFS($AX$3:$AX$201,$M215)&gt;0
   )),
  ),
  2
 ),
"")</f>
        <v/>
      </c>
      <c r="Q215" s="2" t="str" cm="1">
        <f t="array" aca="1" ref="Q215" ca="1">IFERROR(
 INDEX(
  _xlfn._xlws.FILTER($U$2:$AX$2,
   TRANSPOSE(
    CHOOSE({1;2;3;4;5;6;7;8;9;10;11;12;13;14;15;16;17;18;19;20;21;22;23;24;25;26;27;28;29;30},
     COUNTIFS($U$3:$U$201,$M215)&gt;0,
     COUNTIFS($V$3:$V$201,$M215)&gt;0,
     COUNTIFS($W$3:$W$201,$M215)&gt;0,
     COUNTIFS($X$3:$X$201,$M215)&gt;0,
     COUNTIFS($Y$3:$Y$201,$M215)&gt;0,
     COUNTIFS($Z$3:$Z$201,$M215)&gt;0,
     COUNTIFS($AA$3:$AA$201,$M215)&gt;0,
     COUNTIFS($AB$3:$AB$201,$M215)&gt;0,
     COUNTIFS($AC$3:$AC$201,$M215)&gt;0,
     COUNTIFS($AD$3:$AD$201,$M215)&gt;0,
     COUNTIFS($AE$3:$AE$201,$M215)&gt;0,
     COUNTIFS($AF$3:$AF$201,$M215)&gt;0,
     COUNTIFS($AG$3:$AG$201,$M215)&gt;0,
     COUNTIFS($AH$3:$AH$201,$M215)&gt;0,
     COUNTIFS($AI$3:$AI$201,$M215)&gt;0,
     COUNTIFS($AJ$3:$AJ$201,$M215)&gt;0,
     COUNTIFS($AK$3:$AK$201,$M215)&gt;0,
     COUNTIFS($AL$3:$AL$201,$M215)&gt;0,
     COUNTIFS($AM$3:$AM$201,$M215)&gt;0,
     COUNTIFS($AN$3:$AN$201,$M215)&gt;0,
     COUNTIFS($AO$3:$AO$201,$M215)&gt;0,
     COUNTIFS($AP$3:$AP$201,$M215)&gt;0,
     COUNTIFS($AQ$3:$AQ$201,$M215)&gt;0,
     COUNTIFS($AR$3:$AR$201,$M215)&gt;0,
     COUNTIFS($AS$3:$AS$201,$M215)&gt;0,
     COUNTIFS($AT$3:$AT$201,$M215)&gt;0,
     COUNTIFS($AU$3:$AU$201,$M215)&gt;0,
     COUNTIFS($AV$3:$AV$201,$M215)&gt;0,
     COUNTIFS($AW$3:$AW$201,$M215)&gt;0,
     COUNTIFS($AX$3:$AX$201,$M215)&gt;0
   )),
  ),
  3
 ),
"")</f>
        <v/>
      </c>
      <c r="ET215" t="str">
        <f ca="1"/>
        <v>Traumatize</v>
      </c>
      <c r="EW215" t="str">
        <f ca="1"/>
        <v>Thorough Investigation</v>
      </c>
    </row>
    <row r="216" spans="1:153" x14ac:dyDescent="0.25">
      <c r="A216" t="str">
        <f ca="1"/>
        <v>Inventory Management</v>
      </c>
      <c r="B216" s="2" t="str" cm="1">
        <f t="array" aca="1" ref="B216" ca="1">_xlfn.ANCHORARRAY(RESUMO!C215)</f>
        <v>Akiri</v>
      </c>
      <c r="C216" s="2" t="str">
        <f t="shared" ca="1" si="12"/>
        <v/>
      </c>
      <c r="E216" t="str">
        <f ca="1"/>
        <v>Titanic Ultimatum</v>
      </c>
      <c r="F216" s="2">
        <f t="shared" ca="1" si="15"/>
        <v>1</v>
      </c>
      <c r="G216" s="2" t="str">
        <f t="shared" ca="1" si="13"/>
        <v>Baylen</v>
      </c>
      <c r="J216" t="s">
        <v>180</v>
      </c>
      <c r="K216" s="2">
        <v>1</v>
      </c>
      <c r="M216" t="str">
        <f ca="1"/>
        <v>Titanic Ultimatum</v>
      </c>
      <c r="N216" s="2">
        <f t="shared" ca="1" si="14"/>
        <v>1</v>
      </c>
      <c r="O216" s="2" t="str">
        <f ca="1">IFERROR(
 INDEX($U$2:$AX$2,
  MATCH(TRUE,
   CHOOSE({1;2;3;4;5;6;7;8;9;10;11;12;13;14;15;16;17;18;19;20;21;22;23;24;25;26;27;28;29;30;31;32},
    COUNTIFS($U$3:$U$201,$M216)&gt;0,
    COUNTIFS($V$3:$V$201,$M216)&gt;0,
    COUNTIFS($W$3:$W$201,$M216)&gt;0,
    COUNTIFS($X$3:$X$201,$M216)&gt;0,
    COUNTIFS($Y$3:$Y$201,$M216)&gt;0,
    COUNTIFS($Z$3:$Z$201,$M216)&gt;0,
    COUNTIFS($AA$3:$AA$201,$M216)&gt;0,
    COUNTIFS($AB$3:$AB$201,$M216)&gt;0,
    COUNTIFS($AC$3:$AC$201,$M216)&gt;0,
    COUNTIFS($AD$3:$AD$201,$M216)&gt;0,
    COUNTIFS($AE$3:$AE$201,$M216)&gt;0,
    COUNTIFS($AF$3:$AF$201,$M216)&gt;0,
    COUNTIFS($AG$3:$AG$201,$M216)&gt;0,
    COUNTIFS($AH$3:$AH$201,$M216)&gt;0,
    COUNTIFS($AI$3:$AI$201,$M216)&gt;0,
    COUNTIFS($AJ$3:$AJ$201,$M216)&gt;0,
    COUNTIFS($AK$3:$AK$201,$M216)&gt;0,
    COUNTIFS($AL$3:$AL$201,$M216)&gt;0,
    COUNTIFS($AM$3:$AM$201,$M216)&gt;0,
    COUNTIFS($AN$3:$AN$201,$M216)&gt;0,
    COUNTIFS($AO$3:$AO$201,$M216)&gt;0,
    COUNTIFS($AP$3:$AP$201,$M216)&gt;0,
    COUNTIFS($AQ$3:$AQ$201,$M216)&gt;0,
    COUNTIFS($AR$3:$AR$201,$M216)&gt;0,
    COUNTIFS($AS$3:$AS$201,$M216)&gt;0,
    COUNTIFS($AT$3:$AT$201,$M216)&gt;0,
    COUNTIFS($AU$3:$AU$201,$M216)&gt;0,
    COUNTIFS($AV$3:$AV$201,$M216)&gt;0,
    COUNTIFS($AW$3:$AW$201,$M216)&gt;0,
    COUNTIFS($AX$3:$AX$201,$M216)&gt;0
   ),
  0)
 ),
"")</f>
        <v>Baylen</v>
      </c>
      <c r="P216" s="2" t="str" cm="1">
        <f t="array" aca="1" ref="P216" ca="1">IFERROR(
 INDEX(
  _xlfn._xlws.FILTER($U$2:$AX$2,
   TRANSPOSE(
    CHOOSE({1;2;3;4;5;6;7;8;9;10;11;12;13;14;15;16;17;18;19;20;21;22;23;24;25;26;27;28;29;30},
     COUNTIFS($U$3:$U$201,$M216)&gt;0,
     COUNTIFS($V$3:$V$201,$M216)&gt;0,
     COUNTIFS($W$3:$W$201,$M216)&gt;0,
     COUNTIFS($X$3:$X$201,$M216)&gt;0,
     COUNTIFS($Y$3:$Y$201,$M216)&gt;0,
     COUNTIFS($Z$3:$Z$201,$M216)&gt;0,
     COUNTIFS($AA$3:$AA$201,$M216)&gt;0,
     COUNTIFS($AB$3:$AB$201,$M216)&gt;0,
     COUNTIFS($AC$3:$AC$201,$M216)&gt;0,
     COUNTIFS($AD$3:$AD$201,$M216)&gt;0,
     COUNTIFS($AE$3:$AE$201,$M216)&gt;0,
     COUNTIFS($AF$3:$AF$201,$M216)&gt;0,
     COUNTIFS($AG$3:$AG$201,$M216)&gt;0,
     COUNTIFS($AH$3:$AH$201,$M216)&gt;0,
     COUNTIFS($AI$3:$AI$201,$M216)&gt;0,
     COUNTIFS($AJ$3:$AJ$201,$M216)&gt;0,
     COUNTIFS($AK$3:$AK$201,$M216)&gt;0,
     COUNTIFS($AL$3:$AL$201,$M216)&gt;0,
     COUNTIFS($AM$3:$AM$201,$M216)&gt;0,
     COUNTIFS($AN$3:$AN$201,$M216)&gt;0,
     COUNTIFS($AO$3:$AO$201,$M216)&gt;0,
     COUNTIFS($AP$3:$AP$201,$M216)&gt;0,
     COUNTIFS($AQ$3:$AQ$201,$M216)&gt;0,
     COUNTIFS($AR$3:$AR$201,$M216)&gt;0,
     COUNTIFS($AS$3:$AS$201,$M216)&gt;0,
     COUNTIFS($AT$3:$AT$201,$M216)&gt;0,
     COUNTIFS($AU$3:$AU$201,$M216)&gt;0,
     COUNTIFS($AV$3:$AV$201,$M216)&gt;0,
     COUNTIFS($AW$3:$AW$201,$M216)&gt;0,
     COUNTIFS($AX$3:$AX$201,$M216)&gt;0
   )),
  ),
  2
 ),
"")</f>
        <v/>
      </c>
      <c r="Q216" s="2" t="str" cm="1">
        <f t="array" aca="1" ref="Q216" ca="1">IFERROR(
 INDEX(
  _xlfn._xlws.FILTER($U$2:$AX$2,
   TRANSPOSE(
    CHOOSE({1;2;3;4;5;6;7;8;9;10;11;12;13;14;15;16;17;18;19;20;21;22;23;24;25;26;27;28;29;30},
     COUNTIFS($U$3:$U$201,$M216)&gt;0,
     COUNTIFS($V$3:$V$201,$M216)&gt;0,
     COUNTIFS($W$3:$W$201,$M216)&gt;0,
     COUNTIFS($X$3:$X$201,$M216)&gt;0,
     COUNTIFS($Y$3:$Y$201,$M216)&gt;0,
     COUNTIFS($Z$3:$Z$201,$M216)&gt;0,
     COUNTIFS($AA$3:$AA$201,$M216)&gt;0,
     COUNTIFS($AB$3:$AB$201,$M216)&gt;0,
     COUNTIFS($AC$3:$AC$201,$M216)&gt;0,
     COUNTIFS($AD$3:$AD$201,$M216)&gt;0,
     COUNTIFS($AE$3:$AE$201,$M216)&gt;0,
     COUNTIFS($AF$3:$AF$201,$M216)&gt;0,
     COUNTIFS($AG$3:$AG$201,$M216)&gt;0,
     COUNTIFS($AH$3:$AH$201,$M216)&gt;0,
     COUNTIFS($AI$3:$AI$201,$M216)&gt;0,
     COUNTIFS($AJ$3:$AJ$201,$M216)&gt;0,
     COUNTIFS($AK$3:$AK$201,$M216)&gt;0,
     COUNTIFS($AL$3:$AL$201,$M216)&gt;0,
     COUNTIFS($AM$3:$AM$201,$M216)&gt;0,
     COUNTIFS($AN$3:$AN$201,$M216)&gt;0,
     COUNTIFS($AO$3:$AO$201,$M216)&gt;0,
     COUNTIFS($AP$3:$AP$201,$M216)&gt;0,
     COUNTIFS($AQ$3:$AQ$201,$M216)&gt;0,
     COUNTIFS($AR$3:$AR$201,$M216)&gt;0,
     COUNTIFS($AS$3:$AS$201,$M216)&gt;0,
     COUNTIFS($AT$3:$AT$201,$M216)&gt;0,
     COUNTIFS($AU$3:$AU$201,$M216)&gt;0,
     COUNTIFS($AV$3:$AV$201,$M216)&gt;0,
     COUNTIFS($AW$3:$AW$201,$M216)&gt;0,
     COUNTIFS($AX$3:$AX$201,$M216)&gt;0
   )),
  ),
  3
 ),
"")</f>
        <v/>
      </c>
      <c r="ET216" t="str">
        <f ca="1"/>
        <v>True Ancestry</v>
      </c>
      <c r="EW216" t="str">
        <f ca="1"/>
        <v>Titanic Ultimatum</v>
      </c>
    </row>
    <row r="217" spans="1:153" x14ac:dyDescent="0.25">
      <c r="A217" t="str">
        <f ca="1"/>
        <v>Iraxxa, Empress of Mars</v>
      </c>
      <c r="B217" s="2" t="str" cm="1">
        <f t="array" aca="1" ref="B217" ca="1">_xlfn.ANCHORARRAY(RESUMO!C216)</f>
        <v>Zuko</v>
      </c>
      <c r="C217" s="2" t="str">
        <f t="shared" ca="1" si="12"/>
        <v/>
      </c>
      <c r="E217" t="str">
        <f ca="1"/>
        <v>Tocasia's Welcome</v>
      </c>
      <c r="F217" s="2">
        <f t="shared" ca="1" si="15"/>
        <v>1</v>
      </c>
      <c r="G217" s="2" t="str">
        <f t="shared" ca="1" si="13"/>
        <v>Tayam</v>
      </c>
      <c r="J217" t="s">
        <v>180</v>
      </c>
      <c r="K217" s="2">
        <v>1</v>
      </c>
      <c r="M217" t="str">
        <f ca="1"/>
        <v>Tocasia's Welcome</v>
      </c>
      <c r="N217" s="2">
        <f t="shared" ca="1" si="14"/>
        <v>1</v>
      </c>
      <c r="O217" s="2" t="str">
        <f ca="1">IFERROR(
 INDEX($U$2:$AX$2,
  MATCH(TRUE,
   CHOOSE({1;2;3;4;5;6;7;8;9;10;11;12;13;14;15;16;17;18;19;20;21;22;23;24;25;26;27;28;29;30;31;32},
    COUNTIFS($U$3:$U$201,$M217)&gt;0,
    COUNTIFS($V$3:$V$201,$M217)&gt;0,
    COUNTIFS($W$3:$W$201,$M217)&gt;0,
    COUNTIFS($X$3:$X$201,$M217)&gt;0,
    COUNTIFS($Y$3:$Y$201,$M217)&gt;0,
    COUNTIFS($Z$3:$Z$201,$M217)&gt;0,
    COUNTIFS($AA$3:$AA$201,$M217)&gt;0,
    COUNTIFS($AB$3:$AB$201,$M217)&gt;0,
    COUNTIFS($AC$3:$AC$201,$M217)&gt;0,
    COUNTIFS($AD$3:$AD$201,$M217)&gt;0,
    COUNTIFS($AE$3:$AE$201,$M217)&gt;0,
    COUNTIFS($AF$3:$AF$201,$M217)&gt;0,
    COUNTIFS($AG$3:$AG$201,$M217)&gt;0,
    COUNTIFS($AH$3:$AH$201,$M217)&gt;0,
    COUNTIFS($AI$3:$AI$201,$M217)&gt;0,
    COUNTIFS($AJ$3:$AJ$201,$M217)&gt;0,
    COUNTIFS($AK$3:$AK$201,$M217)&gt;0,
    COUNTIFS($AL$3:$AL$201,$M217)&gt;0,
    COUNTIFS($AM$3:$AM$201,$M217)&gt;0,
    COUNTIFS($AN$3:$AN$201,$M217)&gt;0,
    COUNTIFS($AO$3:$AO$201,$M217)&gt;0,
    COUNTIFS($AP$3:$AP$201,$M217)&gt;0,
    COUNTIFS($AQ$3:$AQ$201,$M217)&gt;0,
    COUNTIFS($AR$3:$AR$201,$M217)&gt;0,
    COUNTIFS($AS$3:$AS$201,$M217)&gt;0,
    COUNTIFS($AT$3:$AT$201,$M217)&gt;0,
    COUNTIFS($AU$3:$AU$201,$M217)&gt;0,
    COUNTIFS($AV$3:$AV$201,$M217)&gt;0,
    COUNTIFS($AW$3:$AW$201,$M217)&gt;0,
    COUNTIFS($AX$3:$AX$201,$M217)&gt;0
   ),
  0)
 ),
"")</f>
        <v>Tayam</v>
      </c>
      <c r="P217" s="2" t="str" cm="1">
        <f t="array" aca="1" ref="P217" ca="1">IFERROR(
 INDEX(
  _xlfn._xlws.FILTER($U$2:$AX$2,
   TRANSPOSE(
    CHOOSE({1;2;3;4;5;6;7;8;9;10;11;12;13;14;15;16;17;18;19;20;21;22;23;24;25;26;27;28;29;30},
     COUNTIFS($U$3:$U$201,$M217)&gt;0,
     COUNTIFS($V$3:$V$201,$M217)&gt;0,
     COUNTIFS($W$3:$W$201,$M217)&gt;0,
     COUNTIFS($X$3:$X$201,$M217)&gt;0,
     COUNTIFS($Y$3:$Y$201,$M217)&gt;0,
     COUNTIFS($Z$3:$Z$201,$M217)&gt;0,
     COUNTIFS($AA$3:$AA$201,$M217)&gt;0,
     COUNTIFS($AB$3:$AB$201,$M217)&gt;0,
     COUNTIFS($AC$3:$AC$201,$M217)&gt;0,
     COUNTIFS($AD$3:$AD$201,$M217)&gt;0,
     COUNTIFS($AE$3:$AE$201,$M217)&gt;0,
     COUNTIFS($AF$3:$AF$201,$M217)&gt;0,
     COUNTIFS($AG$3:$AG$201,$M217)&gt;0,
     COUNTIFS($AH$3:$AH$201,$M217)&gt;0,
     COUNTIFS($AI$3:$AI$201,$M217)&gt;0,
     COUNTIFS($AJ$3:$AJ$201,$M217)&gt;0,
     COUNTIFS($AK$3:$AK$201,$M217)&gt;0,
     COUNTIFS($AL$3:$AL$201,$M217)&gt;0,
     COUNTIFS($AM$3:$AM$201,$M217)&gt;0,
     COUNTIFS($AN$3:$AN$201,$M217)&gt;0,
     COUNTIFS($AO$3:$AO$201,$M217)&gt;0,
     COUNTIFS($AP$3:$AP$201,$M217)&gt;0,
     COUNTIFS($AQ$3:$AQ$201,$M217)&gt;0,
     COUNTIFS($AR$3:$AR$201,$M217)&gt;0,
     COUNTIFS($AS$3:$AS$201,$M217)&gt;0,
     COUNTIFS($AT$3:$AT$201,$M217)&gt;0,
     COUNTIFS($AU$3:$AU$201,$M217)&gt;0,
     COUNTIFS($AV$3:$AV$201,$M217)&gt;0,
     COUNTIFS($AW$3:$AW$201,$M217)&gt;0,
     COUNTIFS($AX$3:$AX$201,$M217)&gt;0
   )),
  ),
  2
 ),
"")</f>
        <v/>
      </c>
      <c r="Q217" s="2" t="str" cm="1">
        <f t="array" aca="1" ref="Q217" ca="1">IFERROR(
 INDEX(
  _xlfn._xlws.FILTER($U$2:$AX$2,
   TRANSPOSE(
    CHOOSE({1;2;3;4;5;6;7;8;9;10;11;12;13;14;15;16;17;18;19;20;21;22;23;24;25;26;27;28;29;30},
     COUNTIFS($U$3:$U$201,$M217)&gt;0,
     COUNTIFS($V$3:$V$201,$M217)&gt;0,
     COUNTIFS($W$3:$W$201,$M217)&gt;0,
     COUNTIFS($X$3:$X$201,$M217)&gt;0,
     COUNTIFS($Y$3:$Y$201,$M217)&gt;0,
     COUNTIFS($Z$3:$Z$201,$M217)&gt;0,
     COUNTIFS($AA$3:$AA$201,$M217)&gt;0,
     COUNTIFS($AB$3:$AB$201,$M217)&gt;0,
     COUNTIFS($AC$3:$AC$201,$M217)&gt;0,
     COUNTIFS($AD$3:$AD$201,$M217)&gt;0,
     COUNTIFS($AE$3:$AE$201,$M217)&gt;0,
     COUNTIFS($AF$3:$AF$201,$M217)&gt;0,
     COUNTIFS($AG$3:$AG$201,$M217)&gt;0,
     COUNTIFS($AH$3:$AH$201,$M217)&gt;0,
     COUNTIFS($AI$3:$AI$201,$M217)&gt;0,
     COUNTIFS($AJ$3:$AJ$201,$M217)&gt;0,
     COUNTIFS($AK$3:$AK$201,$M217)&gt;0,
     COUNTIFS($AL$3:$AL$201,$M217)&gt;0,
     COUNTIFS($AM$3:$AM$201,$M217)&gt;0,
     COUNTIFS($AN$3:$AN$201,$M217)&gt;0,
     COUNTIFS($AO$3:$AO$201,$M217)&gt;0,
     COUNTIFS($AP$3:$AP$201,$M217)&gt;0,
     COUNTIFS($AQ$3:$AQ$201,$M217)&gt;0,
     COUNTIFS($AR$3:$AR$201,$M217)&gt;0,
     COUNTIFS($AS$3:$AS$201,$M217)&gt;0,
     COUNTIFS($AT$3:$AT$201,$M217)&gt;0,
     COUNTIFS($AU$3:$AU$201,$M217)&gt;0,
     COUNTIFS($AV$3:$AV$201,$M217)&gt;0,
     COUNTIFS($AW$3:$AW$201,$M217)&gt;0,
     COUNTIFS($AX$3:$AX$201,$M217)&gt;0
   )),
  ),
  3
 ),
"")</f>
        <v/>
      </c>
      <c r="ET217" t="str">
        <f ca="1"/>
        <v>Tuskguard Captain</v>
      </c>
      <c r="EW217" t="str">
        <f ca="1"/>
        <v>Tocasia's Welcome</v>
      </c>
    </row>
    <row r="218" spans="1:153" x14ac:dyDescent="0.25">
      <c r="A218" t="str">
        <f ca="1"/>
        <v>Island</v>
      </c>
      <c r="B218" s="2" t="str" cm="1">
        <f t="array" aca="1" ref="B218" ca="1">_xlfn.ANCHORARRAY(RESUMO!C217)</f>
        <v>Fractius</v>
      </c>
      <c r="C218" s="2" t="str">
        <f t="shared" ca="1" si="12"/>
        <v>Piratas</v>
      </c>
      <c r="E218" t="str">
        <f ca="1"/>
        <v>Together Forever</v>
      </c>
      <c r="F218" s="2">
        <f t="shared" ca="1" si="15"/>
        <v>1</v>
      </c>
      <c r="G218" s="2" t="str">
        <f t="shared" ca="1" si="13"/>
        <v>Tayam</v>
      </c>
      <c r="J218" t="s">
        <v>180</v>
      </c>
      <c r="K218" s="2">
        <v>1</v>
      </c>
      <c r="M218" t="str">
        <f ca="1"/>
        <v>Together Forever</v>
      </c>
      <c r="N218" s="2">
        <f t="shared" ca="1" si="14"/>
        <v>1</v>
      </c>
      <c r="O218" s="2" t="str">
        <f ca="1">IFERROR(
 INDEX($U$2:$AX$2,
  MATCH(TRUE,
   CHOOSE({1;2;3;4;5;6;7;8;9;10;11;12;13;14;15;16;17;18;19;20;21;22;23;24;25;26;27;28;29;30;31;32},
    COUNTIFS($U$3:$U$201,$M218)&gt;0,
    COUNTIFS($V$3:$V$201,$M218)&gt;0,
    COUNTIFS($W$3:$W$201,$M218)&gt;0,
    COUNTIFS($X$3:$X$201,$M218)&gt;0,
    COUNTIFS($Y$3:$Y$201,$M218)&gt;0,
    COUNTIFS($Z$3:$Z$201,$M218)&gt;0,
    COUNTIFS($AA$3:$AA$201,$M218)&gt;0,
    COUNTIFS($AB$3:$AB$201,$M218)&gt;0,
    COUNTIFS($AC$3:$AC$201,$M218)&gt;0,
    COUNTIFS($AD$3:$AD$201,$M218)&gt;0,
    COUNTIFS($AE$3:$AE$201,$M218)&gt;0,
    COUNTIFS($AF$3:$AF$201,$M218)&gt;0,
    COUNTIFS($AG$3:$AG$201,$M218)&gt;0,
    COUNTIFS($AH$3:$AH$201,$M218)&gt;0,
    COUNTIFS($AI$3:$AI$201,$M218)&gt;0,
    COUNTIFS($AJ$3:$AJ$201,$M218)&gt;0,
    COUNTIFS($AK$3:$AK$201,$M218)&gt;0,
    COUNTIFS($AL$3:$AL$201,$M218)&gt;0,
    COUNTIFS($AM$3:$AM$201,$M218)&gt;0,
    COUNTIFS($AN$3:$AN$201,$M218)&gt;0,
    COUNTIFS($AO$3:$AO$201,$M218)&gt;0,
    COUNTIFS($AP$3:$AP$201,$M218)&gt;0,
    COUNTIFS($AQ$3:$AQ$201,$M218)&gt;0,
    COUNTIFS($AR$3:$AR$201,$M218)&gt;0,
    COUNTIFS($AS$3:$AS$201,$M218)&gt;0,
    COUNTIFS($AT$3:$AT$201,$M218)&gt;0,
    COUNTIFS($AU$3:$AU$201,$M218)&gt;0,
    COUNTIFS($AV$3:$AV$201,$M218)&gt;0,
    COUNTIFS($AW$3:$AW$201,$M218)&gt;0,
    COUNTIFS($AX$3:$AX$201,$M218)&gt;0
   ),
  0)
 ),
"")</f>
        <v>Tayam</v>
      </c>
      <c r="P218" s="2" t="str" cm="1">
        <f t="array" aca="1" ref="P218" ca="1">IFERROR(
 INDEX(
  _xlfn._xlws.FILTER($U$2:$AX$2,
   TRANSPOSE(
    CHOOSE({1;2;3;4;5;6;7;8;9;10;11;12;13;14;15;16;17;18;19;20;21;22;23;24;25;26;27;28;29;30},
     COUNTIFS($U$3:$U$201,$M218)&gt;0,
     COUNTIFS($V$3:$V$201,$M218)&gt;0,
     COUNTIFS($W$3:$W$201,$M218)&gt;0,
     COUNTIFS($X$3:$X$201,$M218)&gt;0,
     COUNTIFS($Y$3:$Y$201,$M218)&gt;0,
     COUNTIFS($Z$3:$Z$201,$M218)&gt;0,
     COUNTIFS($AA$3:$AA$201,$M218)&gt;0,
     COUNTIFS($AB$3:$AB$201,$M218)&gt;0,
     COUNTIFS($AC$3:$AC$201,$M218)&gt;0,
     COUNTIFS($AD$3:$AD$201,$M218)&gt;0,
     COUNTIFS($AE$3:$AE$201,$M218)&gt;0,
     COUNTIFS($AF$3:$AF$201,$M218)&gt;0,
     COUNTIFS($AG$3:$AG$201,$M218)&gt;0,
     COUNTIFS($AH$3:$AH$201,$M218)&gt;0,
     COUNTIFS($AI$3:$AI$201,$M218)&gt;0,
     COUNTIFS($AJ$3:$AJ$201,$M218)&gt;0,
     COUNTIFS($AK$3:$AK$201,$M218)&gt;0,
     COUNTIFS($AL$3:$AL$201,$M218)&gt;0,
     COUNTIFS($AM$3:$AM$201,$M218)&gt;0,
     COUNTIFS($AN$3:$AN$201,$M218)&gt;0,
     COUNTIFS($AO$3:$AO$201,$M218)&gt;0,
     COUNTIFS($AP$3:$AP$201,$M218)&gt;0,
     COUNTIFS($AQ$3:$AQ$201,$M218)&gt;0,
     COUNTIFS($AR$3:$AR$201,$M218)&gt;0,
     COUNTIFS($AS$3:$AS$201,$M218)&gt;0,
     COUNTIFS($AT$3:$AT$201,$M218)&gt;0,
     COUNTIFS($AU$3:$AU$201,$M218)&gt;0,
     COUNTIFS($AV$3:$AV$201,$M218)&gt;0,
     COUNTIFS($AW$3:$AW$201,$M218)&gt;0,
     COUNTIFS($AX$3:$AX$201,$M218)&gt;0
   )),
  ),
  2
 ),
"")</f>
        <v/>
      </c>
      <c r="Q218" s="2" t="str" cm="1">
        <f t="array" aca="1" ref="Q218" ca="1">IFERROR(
 INDEX(
  _xlfn._xlws.FILTER($U$2:$AX$2,
   TRANSPOSE(
    CHOOSE({1;2;3;4;5;6;7;8;9;10;11;12;13;14;15;16;17;18;19;20;21;22;23;24;25;26;27;28;29;30},
     COUNTIFS($U$3:$U$201,$M218)&gt;0,
     COUNTIFS($V$3:$V$201,$M218)&gt;0,
     COUNTIFS($W$3:$W$201,$M218)&gt;0,
     COUNTIFS($X$3:$X$201,$M218)&gt;0,
     COUNTIFS($Y$3:$Y$201,$M218)&gt;0,
     COUNTIFS($Z$3:$Z$201,$M218)&gt;0,
     COUNTIFS($AA$3:$AA$201,$M218)&gt;0,
     COUNTIFS($AB$3:$AB$201,$M218)&gt;0,
     COUNTIFS($AC$3:$AC$201,$M218)&gt;0,
     COUNTIFS($AD$3:$AD$201,$M218)&gt;0,
     COUNTIFS($AE$3:$AE$201,$M218)&gt;0,
     COUNTIFS($AF$3:$AF$201,$M218)&gt;0,
     COUNTIFS($AG$3:$AG$201,$M218)&gt;0,
     COUNTIFS($AH$3:$AH$201,$M218)&gt;0,
     COUNTIFS($AI$3:$AI$201,$M218)&gt;0,
     COUNTIFS($AJ$3:$AJ$201,$M218)&gt;0,
     COUNTIFS($AK$3:$AK$201,$M218)&gt;0,
     COUNTIFS($AL$3:$AL$201,$M218)&gt;0,
     COUNTIFS($AM$3:$AM$201,$M218)&gt;0,
     COUNTIFS($AN$3:$AN$201,$M218)&gt;0,
     COUNTIFS($AO$3:$AO$201,$M218)&gt;0,
     COUNTIFS($AP$3:$AP$201,$M218)&gt;0,
     COUNTIFS($AQ$3:$AQ$201,$M218)&gt;0,
     COUNTIFS($AR$3:$AR$201,$M218)&gt;0,
     COUNTIFS($AS$3:$AS$201,$M218)&gt;0,
     COUNTIFS($AT$3:$AT$201,$M218)&gt;0,
     COUNTIFS($AU$3:$AU$201,$M218)&gt;0,
     COUNTIFS($AV$3:$AV$201,$M218)&gt;0,
     COUNTIFS($AW$3:$AW$201,$M218)&gt;0,
     COUNTIFS($AX$3:$AX$201,$M218)&gt;0
   )),
  ),
  3
 ),
"")</f>
        <v/>
      </c>
      <c r="ET218" t="str">
        <f ca="1"/>
        <v>Twinferno</v>
      </c>
      <c r="EW218" t="str">
        <f ca="1"/>
        <v>Together Forever</v>
      </c>
    </row>
    <row r="219" spans="1:153" x14ac:dyDescent="0.25">
      <c r="A219" t="str">
        <f ca="1"/>
        <v>Isolated Chapel</v>
      </c>
      <c r="B219" s="2" t="str" cm="1">
        <f t="array" aca="1" ref="B219" ca="1">_xlfn.ANCHORARRAY(RESUMO!C218)</f>
        <v>Little</v>
      </c>
      <c r="C219" s="2" t="str">
        <f t="shared" ca="1" si="12"/>
        <v/>
      </c>
      <c r="E219" t="str">
        <f ca="1"/>
        <v>Trail of Crumbs</v>
      </c>
      <c r="F219" s="2">
        <f t="shared" ca="1" si="15"/>
        <v>1</v>
      </c>
      <c r="G219" s="2" t="str">
        <f t="shared" ca="1" si="13"/>
        <v>Baylen</v>
      </c>
      <c r="J219" t="s">
        <v>180</v>
      </c>
      <c r="K219" s="2">
        <v>1</v>
      </c>
      <c r="M219" t="str">
        <f ca="1"/>
        <v>Trail of Crumbs</v>
      </c>
      <c r="N219" s="2">
        <f t="shared" ca="1" si="14"/>
        <v>1</v>
      </c>
      <c r="O219" s="2" t="str">
        <f ca="1">IFERROR(
 INDEX($U$2:$AX$2,
  MATCH(TRUE,
   CHOOSE({1;2;3;4;5;6;7;8;9;10;11;12;13;14;15;16;17;18;19;20;21;22;23;24;25;26;27;28;29;30;31;32},
    COUNTIFS($U$3:$U$201,$M219)&gt;0,
    COUNTIFS($V$3:$V$201,$M219)&gt;0,
    COUNTIFS($W$3:$W$201,$M219)&gt;0,
    COUNTIFS($X$3:$X$201,$M219)&gt;0,
    COUNTIFS($Y$3:$Y$201,$M219)&gt;0,
    COUNTIFS($Z$3:$Z$201,$M219)&gt;0,
    COUNTIFS($AA$3:$AA$201,$M219)&gt;0,
    COUNTIFS($AB$3:$AB$201,$M219)&gt;0,
    COUNTIFS($AC$3:$AC$201,$M219)&gt;0,
    COUNTIFS($AD$3:$AD$201,$M219)&gt;0,
    COUNTIFS($AE$3:$AE$201,$M219)&gt;0,
    COUNTIFS($AF$3:$AF$201,$M219)&gt;0,
    COUNTIFS($AG$3:$AG$201,$M219)&gt;0,
    COUNTIFS($AH$3:$AH$201,$M219)&gt;0,
    COUNTIFS($AI$3:$AI$201,$M219)&gt;0,
    COUNTIFS($AJ$3:$AJ$201,$M219)&gt;0,
    COUNTIFS($AK$3:$AK$201,$M219)&gt;0,
    COUNTIFS($AL$3:$AL$201,$M219)&gt;0,
    COUNTIFS($AM$3:$AM$201,$M219)&gt;0,
    COUNTIFS($AN$3:$AN$201,$M219)&gt;0,
    COUNTIFS($AO$3:$AO$201,$M219)&gt;0,
    COUNTIFS($AP$3:$AP$201,$M219)&gt;0,
    COUNTIFS($AQ$3:$AQ$201,$M219)&gt;0,
    COUNTIFS($AR$3:$AR$201,$M219)&gt;0,
    COUNTIFS($AS$3:$AS$201,$M219)&gt;0,
    COUNTIFS($AT$3:$AT$201,$M219)&gt;0,
    COUNTIFS($AU$3:$AU$201,$M219)&gt;0,
    COUNTIFS($AV$3:$AV$201,$M219)&gt;0,
    COUNTIFS($AW$3:$AW$201,$M219)&gt;0,
    COUNTIFS($AX$3:$AX$201,$M219)&gt;0
   ),
  0)
 ),
"")</f>
        <v>Baylen</v>
      </c>
      <c r="P219" s="2" t="str" cm="1">
        <f t="array" aca="1" ref="P219" ca="1">IFERROR(
 INDEX(
  _xlfn._xlws.FILTER($U$2:$AX$2,
   TRANSPOSE(
    CHOOSE({1;2;3;4;5;6;7;8;9;10;11;12;13;14;15;16;17;18;19;20;21;22;23;24;25;26;27;28;29;30},
     COUNTIFS($U$3:$U$201,$M219)&gt;0,
     COUNTIFS($V$3:$V$201,$M219)&gt;0,
     COUNTIFS($W$3:$W$201,$M219)&gt;0,
     COUNTIFS($X$3:$X$201,$M219)&gt;0,
     COUNTIFS($Y$3:$Y$201,$M219)&gt;0,
     COUNTIFS($Z$3:$Z$201,$M219)&gt;0,
     COUNTIFS($AA$3:$AA$201,$M219)&gt;0,
     COUNTIFS($AB$3:$AB$201,$M219)&gt;0,
     COUNTIFS($AC$3:$AC$201,$M219)&gt;0,
     COUNTIFS($AD$3:$AD$201,$M219)&gt;0,
     COUNTIFS($AE$3:$AE$201,$M219)&gt;0,
     COUNTIFS($AF$3:$AF$201,$M219)&gt;0,
     COUNTIFS($AG$3:$AG$201,$M219)&gt;0,
     COUNTIFS($AH$3:$AH$201,$M219)&gt;0,
     COUNTIFS($AI$3:$AI$201,$M219)&gt;0,
     COUNTIFS($AJ$3:$AJ$201,$M219)&gt;0,
     COUNTIFS($AK$3:$AK$201,$M219)&gt;0,
     COUNTIFS($AL$3:$AL$201,$M219)&gt;0,
     COUNTIFS($AM$3:$AM$201,$M219)&gt;0,
     COUNTIFS($AN$3:$AN$201,$M219)&gt;0,
     COUNTIFS($AO$3:$AO$201,$M219)&gt;0,
     COUNTIFS($AP$3:$AP$201,$M219)&gt;0,
     COUNTIFS($AQ$3:$AQ$201,$M219)&gt;0,
     COUNTIFS($AR$3:$AR$201,$M219)&gt;0,
     COUNTIFS($AS$3:$AS$201,$M219)&gt;0,
     COUNTIFS($AT$3:$AT$201,$M219)&gt;0,
     COUNTIFS($AU$3:$AU$201,$M219)&gt;0,
     COUNTIFS($AV$3:$AV$201,$M219)&gt;0,
     COUNTIFS($AW$3:$AW$201,$M219)&gt;0,
     COUNTIFS($AX$3:$AX$201,$M219)&gt;0
   )),
  ),
  2
 ),
"")</f>
        <v/>
      </c>
      <c r="Q219" s="2" t="str" cm="1">
        <f t="array" aca="1" ref="Q219" ca="1">IFERROR(
 INDEX(
  _xlfn._xlws.FILTER($U$2:$AX$2,
   TRANSPOSE(
    CHOOSE({1;2;3;4;5;6;7;8;9;10;11;12;13;14;15;16;17;18;19;20;21;22;23;24;25;26;27;28;29;30},
     COUNTIFS($U$3:$U$201,$M219)&gt;0,
     COUNTIFS($V$3:$V$201,$M219)&gt;0,
     COUNTIFS($W$3:$W$201,$M219)&gt;0,
     COUNTIFS($X$3:$X$201,$M219)&gt;0,
     COUNTIFS($Y$3:$Y$201,$M219)&gt;0,
     COUNTIFS($Z$3:$Z$201,$M219)&gt;0,
     COUNTIFS($AA$3:$AA$201,$M219)&gt;0,
     COUNTIFS($AB$3:$AB$201,$M219)&gt;0,
     COUNTIFS($AC$3:$AC$201,$M219)&gt;0,
     COUNTIFS($AD$3:$AD$201,$M219)&gt;0,
     COUNTIFS($AE$3:$AE$201,$M219)&gt;0,
     COUNTIFS($AF$3:$AF$201,$M219)&gt;0,
     COUNTIFS($AG$3:$AG$201,$M219)&gt;0,
     COUNTIFS($AH$3:$AH$201,$M219)&gt;0,
     COUNTIFS($AI$3:$AI$201,$M219)&gt;0,
     COUNTIFS($AJ$3:$AJ$201,$M219)&gt;0,
     COUNTIFS($AK$3:$AK$201,$M219)&gt;0,
     COUNTIFS($AL$3:$AL$201,$M219)&gt;0,
     COUNTIFS($AM$3:$AM$201,$M219)&gt;0,
     COUNTIFS($AN$3:$AN$201,$M219)&gt;0,
     COUNTIFS($AO$3:$AO$201,$M219)&gt;0,
     COUNTIFS($AP$3:$AP$201,$M219)&gt;0,
     COUNTIFS($AQ$3:$AQ$201,$M219)&gt;0,
     COUNTIFS($AR$3:$AR$201,$M219)&gt;0,
     COUNTIFS($AS$3:$AS$201,$M219)&gt;0,
     COUNTIFS($AT$3:$AT$201,$M219)&gt;0,
     COUNTIFS($AU$3:$AU$201,$M219)&gt;0,
     COUNTIFS($AV$3:$AV$201,$M219)&gt;0,
     COUNTIFS($AW$3:$AW$201,$M219)&gt;0,
     COUNTIFS($AX$3:$AX$201,$M219)&gt;0
   )),
  ),
  3
 ),
"")</f>
        <v/>
      </c>
      <c r="ET219" t="str">
        <f ca="1"/>
        <v>Urza Assembles the Titans</v>
      </c>
      <c r="EW219" t="str">
        <f ca="1"/>
        <v>Trail of Crumbs</v>
      </c>
    </row>
    <row r="220" spans="1:153" x14ac:dyDescent="0.25">
      <c r="A220" t="str">
        <f ca="1"/>
        <v>Isshin, Two Heavens as One</v>
      </c>
      <c r="B220" s="2" t="str" cm="1">
        <f t="array" aca="1" ref="B220" ca="1">_xlfn.ANCHORARRAY(RESUMO!C219)</f>
        <v>Little</v>
      </c>
      <c r="C220" s="2" t="str">
        <f t="shared" ca="1" si="12"/>
        <v/>
      </c>
      <c r="E220" t="str">
        <f ca="1"/>
        <v>Trailblazer's Boots</v>
      </c>
      <c r="F220" s="2">
        <f t="shared" ca="1" si="15"/>
        <v>1</v>
      </c>
      <c r="G220" s="2" t="str">
        <f t="shared" ca="1" si="13"/>
        <v>Narset</v>
      </c>
      <c r="J220" t="s">
        <v>180</v>
      </c>
      <c r="K220" s="2">
        <v>1</v>
      </c>
      <c r="M220" t="str">
        <f ca="1"/>
        <v>Trailblazer's Boots</v>
      </c>
      <c r="N220" s="2">
        <f t="shared" ca="1" si="14"/>
        <v>1</v>
      </c>
      <c r="O220" s="2" t="str">
        <f ca="1">IFERROR(
 INDEX($U$2:$AX$2,
  MATCH(TRUE,
   CHOOSE({1;2;3;4;5;6;7;8;9;10;11;12;13;14;15;16;17;18;19;20;21;22;23;24;25;26;27;28;29;30;31;32},
    COUNTIFS($U$3:$U$201,$M220)&gt;0,
    COUNTIFS($V$3:$V$201,$M220)&gt;0,
    COUNTIFS($W$3:$W$201,$M220)&gt;0,
    COUNTIFS($X$3:$X$201,$M220)&gt;0,
    COUNTIFS($Y$3:$Y$201,$M220)&gt;0,
    COUNTIFS($Z$3:$Z$201,$M220)&gt;0,
    COUNTIFS($AA$3:$AA$201,$M220)&gt;0,
    COUNTIFS($AB$3:$AB$201,$M220)&gt;0,
    COUNTIFS($AC$3:$AC$201,$M220)&gt;0,
    COUNTIFS($AD$3:$AD$201,$M220)&gt;0,
    COUNTIFS($AE$3:$AE$201,$M220)&gt;0,
    COUNTIFS($AF$3:$AF$201,$M220)&gt;0,
    COUNTIFS($AG$3:$AG$201,$M220)&gt;0,
    COUNTIFS($AH$3:$AH$201,$M220)&gt;0,
    COUNTIFS($AI$3:$AI$201,$M220)&gt;0,
    COUNTIFS($AJ$3:$AJ$201,$M220)&gt;0,
    COUNTIFS($AK$3:$AK$201,$M220)&gt;0,
    COUNTIFS($AL$3:$AL$201,$M220)&gt;0,
    COUNTIFS($AM$3:$AM$201,$M220)&gt;0,
    COUNTIFS($AN$3:$AN$201,$M220)&gt;0,
    COUNTIFS($AO$3:$AO$201,$M220)&gt;0,
    COUNTIFS($AP$3:$AP$201,$M220)&gt;0,
    COUNTIFS($AQ$3:$AQ$201,$M220)&gt;0,
    COUNTIFS($AR$3:$AR$201,$M220)&gt;0,
    COUNTIFS($AS$3:$AS$201,$M220)&gt;0,
    COUNTIFS($AT$3:$AT$201,$M220)&gt;0,
    COUNTIFS($AU$3:$AU$201,$M220)&gt;0,
    COUNTIFS($AV$3:$AV$201,$M220)&gt;0,
    COUNTIFS($AW$3:$AW$201,$M220)&gt;0,
    COUNTIFS($AX$3:$AX$201,$M220)&gt;0
   ),
  0)
 ),
"")</f>
        <v>Narset</v>
      </c>
      <c r="P220" s="2" t="str" cm="1">
        <f t="array" aca="1" ref="P220" ca="1">IFERROR(
 INDEX(
  _xlfn._xlws.FILTER($U$2:$AX$2,
   TRANSPOSE(
    CHOOSE({1;2;3;4;5;6;7;8;9;10;11;12;13;14;15;16;17;18;19;20;21;22;23;24;25;26;27;28;29;30},
     COUNTIFS($U$3:$U$201,$M220)&gt;0,
     COUNTIFS($V$3:$V$201,$M220)&gt;0,
     COUNTIFS($W$3:$W$201,$M220)&gt;0,
     COUNTIFS($X$3:$X$201,$M220)&gt;0,
     COUNTIFS($Y$3:$Y$201,$M220)&gt;0,
     COUNTIFS($Z$3:$Z$201,$M220)&gt;0,
     COUNTIFS($AA$3:$AA$201,$M220)&gt;0,
     COUNTIFS($AB$3:$AB$201,$M220)&gt;0,
     COUNTIFS($AC$3:$AC$201,$M220)&gt;0,
     COUNTIFS($AD$3:$AD$201,$M220)&gt;0,
     COUNTIFS($AE$3:$AE$201,$M220)&gt;0,
     COUNTIFS($AF$3:$AF$201,$M220)&gt;0,
     COUNTIFS($AG$3:$AG$201,$M220)&gt;0,
     COUNTIFS($AH$3:$AH$201,$M220)&gt;0,
     COUNTIFS($AI$3:$AI$201,$M220)&gt;0,
     COUNTIFS($AJ$3:$AJ$201,$M220)&gt;0,
     COUNTIFS($AK$3:$AK$201,$M220)&gt;0,
     COUNTIFS($AL$3:$AL$201,$M220)&gt;0,
     COUNTIFS($AM$3:$AM$201,$M220)&gt;0,
     COUNTIFS($AN$3:$AN$201,$M220)&gt;0,
     COUNTIFS($AO$3:$AO$201,$M220)&gt;0,
     COUNTIFS($AP$3:$AP$201,$M220)&gt;0,
     COUNTIFS($AQ$3:$AQ$201,$M220)&gt;0,
     COUNTIFS($AR$3:$AR$201,$M220)&gt;0,
     COUNTIFS($AS$3:$AS$201,$M220)&gt;0,
     COUNTIFS($AT$3:$AT$201,$M220)&gt;0,
     COUNTIFS($AU$3:$AU$201,$M220)&gt;0,
     COUNTIFS($AV$3:$AV$201,$M220)&gt;0,
     COUNTIFS($AW$3:$AW$201,$M220)&gt;0,
     COUNTIFS($AX$3:$AX$201,$M220)&gt;0
   )),
  ),
  2
 ),
"")</f>
        <v/>
      </c>
      <c r="Q220" s="2" t="str" cm="1">
        <f t="array" aca="1" ref="Q220" ca="1">IFERROR(
 INDEX(
  _xlfn._xlws.FILTER($U$2:$AX$2,
   TRANSPOSE(
    CHOOSE({1;2;3;4;5;6;7;8;9;10;11;12;13;14;15;16;17;18;19;20;21;22;23;24;25;26;27;28;29;30},
     COUNTIFS($U$3:$U$201,$M220)&gt;0,
     COUNTIFS($V$3:$V$201,$M220)&gt;0,
     COUNTIFS($W$3:$W$201,$M220)&gt;0,
     COUNTIFS($X$3:$X$201,$M220)&gt;0,
     COUNTIFS($Y$3:$Y$201,$M220)&gt;0,
     COUNTIFS($Z$3:$Z$201,$M220)&gt;0,
     COUNTIFS($AA$3:$AA$201,$M220)&gt;0,
     COUNTIFS($AB$3:$AB$201,$M220)&gt;0,
     COUNTIFS($AC$3:$AC$201,$M220)&gt;0,
     COUNTIFS($AD$3:$AD$201,$M220)&gt;0,
     COUNTIFS($AE$3:$AE$201,$M220)&gt;0,
     COUNTIFS($AF$3:$AF$201,$M220)&gt;0,
     COUNTIFS($AG$3:$AG$201,$M220)&gt;0,
     COUNTIFS($AH$3:$AH$201,$M220)&gt;0,
     COUNTIFS($AI$3:$AI$201,$M220)&gt;0,
     COUNTIFS($AJ$3:$AJ$201,$M220)&gt;0,
     COUNTIFS($AK$3:$AK$201,$M220)&gt;0,
     COUNTIFS($AL$3:$AL$201,$M220)&gt;0,
     COUNTIFS($AM$3:$AM$201,$M220)&gt;0,
     COUNTIFS($AN$3:$AN$201,$M220)&gt;0,
     COUNTIFS($AO$3:$AO$201,$M220)&gt;0,
     COUNTIFS($AP$3:$AP$201,$M220)&gt;0,
     COUNTIFS($AQ$3:$AQ$201,$M220)&gt;0,
     COUNTIFS($AR$3:$AR$201,$M220)&gt;0,
     COUNTIFS($AS$3:$AS$201,$M220)&gt;0,
     COUNTIFS($AT$3:$AT$201,$M220)&gt;0,
     COUNTIFS($AU$3:$AU$201,$M220)&gt;0,
     COUNTIFS($AV$3:$AV$201,$M220)&gt;0,
     COUNTIFS($AW$3:$AW$201,$M220)&gt;0,
     COUNTIFS($AX$3:$AX$201,$M220)&gt;0
   )),
  ),
  3
 ),
"")</f>
        <v/>
      </c>
      <c r="ET220" t="str">
        <f ca="1"/>
        <v>Urza's Ruinous Blast</v>
      </c>
      <c r="EW220" t="str">
        <f ca="1"/>
        <v>Trailblazer's Boots</v>
      </c>
    </row>
    <row r="221" spans="1:153" x14ac:dyDescent="0.25">
      <c r="A221" t="str">
        <f ca="1"/>
        <v>Jaheira's Respite</v>
      </c>
      <c r="B221" s="2" t="str" cm="1">
        <f t="array" aca="1" ref="B221" ca="1">_xlfn.ANCHORARRAY(RESUMO!C220)</f>
        <v>4cRash</v>
      </c>
      <c r="C221" s="2" t="str">
        <f t="shared" ca="1" si="12"/>
        <v/>
      </c>
      <c r="E221" t="str">
        <f ca="1"/>
        <v>Traumatize</v>
      </c>
      <c r="F221" s="2">
        <f t="shared" ca="1" si="15"/>
        <v>1</v>
      </c>
      <c r="G221" s="2" t="str">
        <f t="shared" ca="1" si="13"/>
        <v>Narset</v>
      </c>
      <c r="J221" t="s">
        <v>180</v>
      </c>
      <c r="K221" s="2">
        <v>1</v>
      </c>
      <c r="M221" t="str">
        <f ca="1"/>
        <v>Traumatize</v>
      </c>
      <c r="N221" s="2">
        <f t="shared" ca="1" si="14"/>
        <v>1</v>
      </c>
      <c r="O221" s="2" t="str">
        <f ca="1">IFERROR(
 INDEX($U$2:$AX$2,
  MATCH(TRUE,
   CHOOSE({1;2;3;4;5;6;7;8;9;10;11;12;13;14;15;16;17;18;19;20;21;22;23;24;25;26;27;28;29;30;31;32},
    COUNTIFS($U$3:$U$201,$M221)&gt;0,
    COUNTIFS($V$3:$V$201,$M221)&gt;0,
    COUNTIFS($W$3:$W$201,$M221)&gt;0,
    COUNTIFS($X$3:$X$201,$M221)&gt;0,
    COUNTIFS($Y$3:$Y$201,$M221)&gt;0,
    COUNTIFS($Z$3:$Z$201,$M221)&gt;0,
    COUNTIFS($AA$3:$AA$201,$M221)&gt;0,
    COUNTIFS($AB$3:$AB$201,$M221)&gt;0,
    COUNTIFS($AC$3:$AC$201,$M221)&gt;0,
    COUNTIFS($AD$3:$AD$201,$M221)&gt;0,
    COUNTIFS($AE$3:$AE$201,$M221)&gt;0,
    COUNTIFS($AF$3:$AF$201,$M221)&gt;0,
    COUNTIFS($AG$3:$AG$201,$M221)&gt;0,
    COUNTIFS($AH$3:$AH$201,$M221)&gt;0,
    COUNTIFS($AI$3:$AI$201,$M221)&gt;0,
    COUNTIFS($AJ$3:$AJ$201,$M221)&gt;0,
    COUNTIFS($AK$3:$AK$201,$M221)&gt;0,
    COUNTIFS($AL$3:$AL$201,$M221)&gt;0,
    COUNTIFS($AM$3:$AM$201,$M221)&gt;0,
    COUNTIFS($AN$3:$AN$201,$M221)&gt;0,
    COUNTIFS($AO$3:$AO$201,$M221)&gt;0,
    COUNTIFS($AP$3:$AP$201,$M221)&gt;0,
    COUNTIFS($AQ$3:$AQ$201,$M221)&gt;0,
    COUNTIFS($AR$3:$AR$201,$M221)&gt;0,
    COUNTIFS($AS$3:$AS$201,$M221)&gt;0,
    COUNTIFS($AT$3:$AT$201,$M221)&gt;0,
    COUNTIFS($AU$3:$AU$201,$M221)&gt;0,
    COUNTIFS($AV$3:$AV$201,$M221)&gt;0,
    COUNTIFS($AW$3:$AW$201,$M221)&gt;0,
    COUNTIFS($AX$3:$AX$201,$M221)&gt;0
   ),
  0)
 ),
"")</f>
        <v>Narset</v>
      </c>
      <c r="P221" s="2" t="str" cm="1">
        <f t="array" aca="1" ref="P221" ca="1">IFERROR(
 INDEX(
  _xlfn._xlws.FILTER($U$2:$AX$2,
   TRANSPOSE(
    CHOOSE({1;2;3;4;5;6;7;8;9;10;11;12;13;14;15;16;17;18;19;20;21;22;23;24;25;26;27;28;29;30},
     COUNTIFS($U$3:$U$201,$M221)&gt;0,
     COUNTIFS($V$3:$V$201,$M221)&gt;0,
     COUNTIFS($W$3:$W$201,$M221)&gt;0,
     COUNTIFS($X$3:$X$201,$M221)&gt;0,
     COUNTIFS($Y$3:$Y$201,$M221)&gt;0,
     COUNTIFS($Z$3:$Z$201,$M221)&gt;0,
     COUNTIFS($AA$3:$AA$201,$M221)&gt;0,
     COUNTIFS($AB$3:$AB$201,$M221)&gt;0,
     COUNTIFS($AC$3:$AC$201,$M221)&gt;0,
     COUNTIFS($AD$3:$AD$201,$M221)&gt;0,
     COUNTIFS($AE$3:$AE$201,$M221)&gt;0,
     COUNTIFS($AF$3:$AF$201,$M221)&gt;0,
     COUNTIFS($AG$3:$AG$201,$M221)&gt;0,
     COUNTIFS($AH$3:$AH$201,$M221)&gt;0,
     COUNTIFS($AI$3:$AI$201,$M221)&gt;0,
     COUNTIFS($AJ$3:$AJ$201,$M221)&gt;0,
     COUNTIFS($AK$3:$AK$201,$M221)&gt;0,
     COUNTIFS($AL$3:$AL$201,$M221)&gt;0,
     COUNTIFS($AM$3:$AM$201,$M221)&gt;0,
     COUNTIFS($AN$3:$AN$201,$M221)&gt;0,
     COUNTIFS($AO$3:$AO$201,$M221)&gt;0,
     COUNTIFS($AP$3:$AP$201,$M221)&gt;0,
     COUNTIFS($AQ$3:$AQ$201,$M221)&gt;0,
     COUNTIFS($AR$3:$AR$201,$M221)&gt;0,
     COUNTIFS($AS$3:$AS$201,$M221)&gt;0,
     COUNTIFS($AT$3:$AT$201,$M221)&gt;0,
     COUNTIFS($AU$3:$AU$201,$M221)&gt;0,
     COUNTIFS($AV$3:$AV$201,$M221)&gt;0,
     COUNTIFS($AW$3:$AW$201,$M221)&gt;0,
     COUNTIFS($AX$3:$AX$201,$M221)&gt;0
   )),
  ),
  2
 ),
"")</f>
        <v/>
      </c>
      <c r="Q221" s="2" t="str" cm="1">
        <f t="array" aca="1" ref="Q221" ca="1">IFERROR(
 INDEX(
  _xlfn._xlws.FILTER($U$2:$AX$2,
   TRANSPOSE(
    CHOOSE({1;2;3;4;5;6;7;8;9;10;11;12;13;14;15;16;17;18;19;20;21;22;23;24;25;26;27;28;29;30},
     COUNTIFS($U$3:$U$201,$M221)&gt;0,
     COUNTIFS($V$3:$V$201,$M221)&gt;0,
     COUNTIFS($W$3:$W$201,$M221)&gt;0,
     COUNTIFS($X$3:$X$201,$M221)&gt;0,
     COUNTIFS($Y$3:$Y$201,$M221)&gt;0,
     COUNTIFS($Z$3:$Z$201,$M221)&gt;0,
     COUNTIFS($AA$3:$AA$201,$M221)&gt;0,
     COUNTIFS($AB$3:$AB$201,$M221)&gt;0,
     COUNTIFS($AC$3:$AC$201,$M221)&gt;0,
     COUNTIFS($AD$3:$AD$201,$M221)&gt;0,
     COUNTIFS($AE$3:$AE$201,$M221)&gt;0,
     COUNTIFS($AF$3:$AF$201,$M221)&gt;0,
     COUNTIFS($AG$3:$AG$201,$M221)&gt;0,
     COUNTIFS($AH$3:$AH$201,$M221)&gt;0,
     COUNTIFS($AI$3:$AI$201,$M221)&gt;0,
     COUNTIFS($AJ$3:$AJ$201,$M221)&gt;0,
     COUNTIFS($AK$3:$AK$201,$M221)&gt;0,
     COUNTIFS($AL$3:$AL$201,$M221)&gt;0,
     COUNTIFS($AM$3:$AM$201,$M221)&gt;0,
     COUNTIFS($AN$3:$AN$201,$M221)&gt;0,
     COUNTIFS($AO$3:$AO$201,$M221)&gt;0,
     COUNTIFS($AP$3:$AP$201,$M221)&gt;0,
     COUNTIFS($AQ$3:$AQ$201,$M221)&gt;0,
     COUNTIFS($AR$3:$AR$201,$M221)&gt;0,
     COUNTIFS($AS$3:$AS$201,$M221)&gt;0,
     COUNTIFS($AT$3:$AT$201,$M221)&gt;0,
     COUNTIFS($AU$3:$AU$201,$M221)&gt;0,
     COUNTIFS($AV$3:$AV$201,$M221)&gt;0,
     COUNTIFS($AW$3:$AW$201,$M221)&gt;0,
     COUNTIFS($AX$3:$AX$201,$M221)&gt;0
   )),
  ),
  3
 ),
"")</f>
        <v/>
      </c>
      <c r="ET221" t="str">
        <f ca="1"/>
        <v>Vale Afundado</v>
      </c>
      <c r="EW221" t="str">
        <f ca="1"/>
        <v>Traumatize</v>
      </c>
    </row>
    <row r="222" spans="1:153" x14ac:dyDescent="0.25">
      <c r="A222" t="str">
        <f ca="1"/>
        <v>Jenova, Ancient Calamity</v>
      </c>
      <c r="B222" s="2" t="str" cm="1">
        <f t="array" aca="1" ref="B222" ca="1">_xlfn.ANCHORARRAY(RESUMO!C221)</f>
        <v>Kresh</v>
      </c>
      <c r="C222" s="2" t="str">
        <f t="shared" ca="1" si="12"/>
        <v/>
      </c>
      <c r="E222" t="str">
        <f ca="1"/>
        <v>True Ancestry</v>
      </c>
      <c r="F222" s="2">
        <f t="shared" ca="1" si="15"/>
        <v>1</v>
      </c>
      <c r="G222" s="2" t="str">
        <f t="shared" ca="1" si="13"/>
        <v>Baylen</v>
      </c>
      <c r="J222" t="s">
        <v>180</v>
      </c>
      <c r="K222" s="2">
        <v>1</v>
      </c>
      <c r="M222" t="str">
        <f ca="1"/>
        <v>True Ancestry</v>
      </c>
      <c r="N222" s="2">
        <f t="shared" ca="1" si="14"/>
        <v>1</v>
      </c>
      <c r="O222" s="2" t="str">
        <f ca="1">IFERROR(
 INDEX($U$2:$AX$2,
  MATCH(TRUE,
   CHOOSE({1;2;3;4;5;6;7;8;9;10;11;12;13;14;15;16;17;18;19;20;21;22;23;24;25;26;27;28;29;30;31;32},
    COUNTIFS($U$3:$U$201,$M222)&gt;0,
    COUNTIFS($V$3:$V$201,$M222)&gt;0,
    COUNTIFS($W$3:$W$201,$M222)&gt;0,
    COUNTIFS($X$3:$X$201,$M222)&gt;0,
    COUNTIFS($Y$3:$Y$201,$M222)&gt;0,
    COUNTIFS($Z$3:$Z$201,$M222)&gt;0,
    COUNTIFS($AA$3:$AA$201,$M222)&gt;0,
    COUNTIFS($AB$3:$AB$201,$M222)&gt;0,
    COUNTIFS($AC$3:$AC$201,$M222)&gt;0,
    COUNTIFS($AD$3:$AD$201,$M222)&gt;0,
    COUNTIFS($AE$3:$AE$201,$M222)&gt;0,
    COUNTIFS($AF$3:$AF$201,$M222)&gt;0,
    COUNTIFS($AG$3:$AG$201,$M222)&gt;0,
    COUNTIFS($AH$3:$AH$201,$M222)&gt;0,
    COUNTIFS($AI$3:$AI$201,$M222)&gt;0,
    COUNTIFS($AJ$3:$AJ$201,$M222)&gt;0,
    COUNTIFS($AK$3:$AK$201,$M222)&gt;0,
    COUNTIFS($AL$3:$AL$201,$M222)&gt;0,
    COUNTIFS($AM$3:$AM$201,$M222)&gt;0,
    COUNTIFS($AN$3:$AN$201,$M222)&gt;0,
    COUNTIFS($AO$3:$AO$201,$M222)&gt;0,
    COUNTIFS($AP$3:$AP$201,$M222)&gt;0,
    COUNTIFS($AQ$3:$AQ$201,$M222)&gt;0,
    COUNTIFS($AR$3:$AR$201,$M222)&gt;0,
    COUNTIFS($AS$3:$AS$201,$M222)&gt;0,
    COUNTIFS($AT$3:$AT$201,$M222)&gt;0,
    COUNTIFS($AU$3:$AU$201,$M222)&gt;0,
    COUNTIFS($AV$3:$AV$201,$M222)&gt;0,
    COUNTIFS($AW$3:$AW$201,$M222)&gt;0,
    COUNTIFS($AX$3:$AX$201,$M222)&gt;0
   ),
  0)
 ),
"")</f>
        <v>Baylen</v>
      </c>
      <c r="P222" s="2" t="str" cm="1">
        <f t="array" aca="1" ref="P222" ca="1">IFERROR(
 INDEX(
  _xlfn._xlws.FILTER($U$2:$AX$2,
   TRANSPOSE(
    CHOOSE({1;2;3;4;5;6;7;8;9;10;11;12;13;14;15;16;17;18;19;20;21;22;23;24;25;26;27;28;29;30},
     COUNTIFS($U$3:$U$201,$M222)&gt;0,
     COUNTIFS($V$3:$V$201,$M222)&gt;0,
     COUNTIFS($W$3:$W$201,$M222)&gt;0,
     COUNTIFS($X$3:$X$201,$M222)&gt;0,
     COUNTIFS($Y$3:$Y$201,$M222)&gt;0,
     COUNTIFS($Z$3:$Z$201,$M222)&gt;0,
     COUNTIFS($AA$3:$AA$201,$M222)&gt;0,
     COUNTIFS($AB$3:$AB$201,$M222)&gt;0,
     COUNTIFS($AC$3:$AC$201,$M222)&gt;0,
     COUNTIFS($AD$3:$AD$201,$M222)&gt;0,
     COUNTIFS($AE$3:$AE$201,$M222)&gt;0,
     COUNTIFS($AF$3:$AF$201,$M222)&gt;0,
     COUNTIFS($AG$3:$AG$201,$M222)&gt;0,
     COUNTIFS($AH$3:$AH$201,$M222)&gt;0,
     COUNTIFS($AI$3:$AI$201,$M222)&gt;0,
     COUNTIFS($AJ$3:$AJ$201,$M222)&gt;0,
     COUNTIFS($AK$3:$AK$201,$M222)&gt;0,
     COUNTIFS($AL$3:$AL$201,$M222)&gt;0,
     COUNTIFS($AM$3:$AM$201,$M222)&gt;0,
     COUNTIFS($AN$3:$AN$201,$M222)&gt;0,
     COUNTIFS($AO$3:$AO$201,$M222)&gt;0,
     COUNTIFS($AP$3:$AP$201,$M222)&gt;0,
     COUNTIFS($AQ$3:$AQ$201,$M222)&gt;0,
     COUNTIFS($AR$3:$AR$201,$M222)&gt;0,
     COUNTIFS($AS$3:$AS$201,$M222)&gt;0,
     COUNTIFS($AT$3:$AT$201,$M222)&gt;0,
     COUNTIFS($AU$3:$AU$201,$M222)&gt;0,
     COUNTIFS($AV$3:$AV$201,$M222)&gt;0,
     COUNTIFS($AW$3:$AW$201,$M222)&gt;0,
     COUNTIFS($AX$3:$AX$201,$M222)&gt;0
   )),
  ),
  2
 ),
"")</f>
        <v/>
      </c>
      <c r="Q222" s="2" t="str" cm="1">
        <f t="array" aca="1" ref="Q222" ca="1">IFERROR(
 INDEX(
  _xlfn._xlws.FILTER($U$2:$AX$2,
   TRANSPOSE(
    CHOOSE({1;2;3;4;5;6;7;8;9;10;11;12;13;14;15;16;17;18;19;20;21;22;23;24;25;26;27;28;29;30},
     COUNTIFS($U$3:$U$201,$M222)&gt;0,
     COUNTIFS($V$3:$V$201,$M222)&gt;0,
     COUNTIFS($W$3:$W$201,$M222)&gt;0,
     COUNTIFS($X$3:$X$201,$M222)&gt;0,
     COUNTIFS($Y$3:$Y$201,$M222)&gt;0,
     COUNTIFS($Z$3:$Z$201,$M222)&gt;0,
     COUNTIFS($AA$3:$AA$201,$M222)&gt;0,
     COUNTIFS($AB$3:$AB$201,$M222)&gt;0,
     COUNTIFS($AC$3:$AC$201,$M222)&gt;0,
     COUNTIFS($AD$3:$AD$201,$M222)&gt;0,
     COUNTIFS($AE$3:$AE$201,$M222)&gt;0,
     COUNTIFS($AF$3:$AF$201,$M222)&gt;0,
     COUNTIFS($AG$3:$AG$201,$M222)&gt;0,
     COUNTIFS($AH$3:$AH$201,$M222)&gt;0,
     COUNTIFS($AI$3:$AI$201,$M222)&gt;0,
     COUNTIFS($AJ$3:$AJ$201,$M222)&gt;0,
     COUNTIFS($AK$3:$AK$201,$M222)&gt;0,
     COUNTIFS($AL$3:$AL$201,$M222)&gt;0,
     COUNTIFS($AM$3:$AM$201,$M222)&gt;0,
     COUNTIFS($AN$3:$AN$201,$M222)&gt;0,
     COUNTIFS($AO$3:$AO$201,$M222)&gt;0,
     COUNTIFS($AP$3:$AP$201,$M222)&gt;0,
     COUNTIFS($AQ$3:$AQ$201,$M222)&gt;0,
     COUNTIFS($AR$3:$AR$201,$M222)&gt;0,
     COUNTIFS($AS$3:$AS$201,$M222)&gt;0,
     COUNTIFS($AT$3:$AT$201,$M222)&gt;0,
     COUNTIFS($AU$3:$AU$201,$M222)&gt;0,
     COUNTIFS($AV$3:$AV$201,$M222)&gt;0,
     COUNTIFS($AW$3:$AW$201,$M222)&gt;0,
     COUNTIFS($AX$3:$AX$201,$M222)&gt;0
   )),
  ),
  3
 ),
"")</f>
        <v/>
      </c>
      <c r="ET222" t="str">
        <f ca="1"/>
        <v>Vivid Marsh</v>
      </c>
      <c r="EW222" t="str">
        <f ca="1"/>
        <v>True Ancestry</v>
      </c>
    </row>
    <row r="223" spans="1:153" x14ac:dyDescent="0.25">
      <c r="A223" t="str">
        <f ca="1"/>
        <v>Jetmir, Nexus of Revels</v>
      </c>
      <c r="B223" s="2" t="str" cm="1">
        <f t="array" aca="1" ref="B223" ca="1">_xlfn.ANCHORARRAY(RESUMO!C222)</f>
        <v>Baylen</v>
      </c>
      <c r="C223" s="2" t="str">
        <f t="shared" ca="1" si="12"/>
        <v/>
      </c>
      <c r="E223" t="str">
        <f ca="1"/>
        <v>Tuskguard Captain</v>
      </c>
      <c r="F223" s="2">
        <f t="shared" ca="1" si="15"/>
        <v>1</v>
      </c>
      <c r="G223" s="2" t="str">
        <f t="shared" ca="1" si="13"/>
        <v>Tayam</v>
      </c>
      <c r="J223" t="s">
        <v>180</v>
      </c>
      <c r="K223" s="2">
        <v>1</v>
      </c>
      <c r="M223" t="str">
        <f ca="1"/>
        <v>Tuskguard Captain</v>
      </c>
      <c r="N223" s="2">
        <f t="shared" ca="1" si="14"/>
        <v>1</v>
      </c>
      <c r="O223" s="2" t="str">
        <f ca="1">IFERROR(
 INDEX($U$2:$AX$2,
  MATCH(TRUE,
   CHOOSE({1;2;3;4;5;6;7;8;9;10;11;12;13;14;15;16;17;18;19;20;21;22;23;24;25;26;27;28;29;30;31;32},
    COUNTIFS($U$3:$U$201,$M223)&gt;0,
    COUNTIFS($V$3:$V$201,$M223)&gt;0,
    COUNTIFS($W$3:$W$201,$M223)&gt;0,
    COUNTIFS($X$3:$X$201,$M223)&gt;0,
    COUNTIFS($Y$3:$Y$201,$M223)&gt;0,
    COUNTIFS($Z$3:$Z$201,$M223)&gt;0,
    COUNTIFS($AA$3:$AA$201,$M223)&gt;0,
    COUNTIFS($AB$3:$AB$201,$M223)&gt;0,
    COUNTIFS($AC$3:$AC$201,$M223)&gt;0,
    COUNTIFS($AD$3:$AD$201,$M223)&gt;0,
    COUNTIFS($AE$3:$AE$201,$M223)&gt;0,
    COUNTIFS($AF$3:$AF$201,$M223)&gt;0,
    COUNTIFS($AG$3:$AG$201,$M223)&gt;0,
    COUNTIFS($AH$3:$AH$201,$M223)&gt;0,
    COUNTIFS($AI$3:$AI$201,$M223)&gt;0,
    COUNTIFS($AJ$3:$AJ$201,$M223)&gt;0,
    COUNTIFS($AK$3:$AK$201,$M223)&gt;0,
    COUNTIFS($AL$3:$AL$201,$M223)&gt;0,
    COUNTIFS($AM$3:$AM$201,$M223)&gt;0,
    COUNTIFS($AN$3:$AN$201,$M223)&gt;0,
    COUNTIFS($AO$3:$AO$201,$M223)&gt;0,
    COUNTIFS($AP$3:$AP$201,$M223)&gt;0,
    COUNTIFS($AQ$3:$AQ$201,$M223)&gt;0,
    COUNTIFS($AR$3:$AR$201,$M223)&gt;0,
    COUNTIFS($AS$3:$AS$201,$M223)&gt;0,
    COUNTIFS($AT$3:$AT$201,$M223)&gt;0,
    COUNTIFS($AU$3:$AU$201,$M223)&gt;0,
    COUNTIFS($AV$3:$AV$201,$M223)&gt;0,
    COUNTIFS($AW$3:$AW$201,$M223)&gt;0,
    COUNTIFS($AX$3:$AX$201,$M223)&gt;0
   ),
  0)
 ),
"")</f>
        <v>Tayam</v>
      </c>
      <c r="P223" s="2" t="str" cm="1">
        <f t="array" aca="1" ref="P223" ca="1">IFERROR(
 INDEX(
  _xlfn._xlws.FILTER($U$2:$AX$2,
   TRANSPOSE(
    CHOOSE({1;2;3;4;5;6;7;8;9;10;11;12;13;14;15;16;17;18;19;20;21;22;23;24;25;26;27;28;29;30},
     COUNTIFS($U$3:$U$201,$M223)&gt;0,
     COUNTIFS($V$3:$V$201,$M223)&gt;0,
     COUNTIFS($W$3:$W$201,$M223)&gt;0,
     COUNTIFS($X$3:$X$201,$M223)&gt;0,
     COUNTIFS($Y$3:$Y$201,$M223)&gt;0,
     COUNTIFS($Z$3:$Z$201,$M223)&gt;0,
     COUNTIFS($AA$3:$AA$201,$M223)&gt;0,
     COUNTIFS($AB$3:$AB$201,$M223)&gt;0,
     COUNTIFS($AC$3:$AC$201,$M223)&gt;0,
     COUNTIFS($AD$3:$AD$201,$M223)&gt;0,
     COUNTIFS($AE$3:$AE$201,$M223)&gt;0,
     COUNTIFS($AF$3:$AF$201,$M223)&gt;0,
     COUNTIFS($AG$3:$AG$201,$M223)&gt;0,
     COUNTIFS($AH$3:$AH$201,$M223)&gt;0,
     COUNTIFS($AI$3:$AI$201,$M223)&gt;0,
     COUNTIFS($AJ$3:$AJ$201,$M223)&gt;0,
     COUNTIFS($AK$3:$AK$201,$M223)&gt;0,
     COUNTIFS($AL$3:$AL$201,$M223)&gt;0,
     COUNTIFS($AM$3:$AM$201,$M223)&gt;0,
     COUNTIFS($AN$3:$AN$201,$M223)&gt;0,
     COUNTIFS($AO$3:$AO$201,$M223)&gt;0,
     COUNTIFS($AP$3:$AP$201,$M223)&gt;0,
     COUNTIFS($AQ$3:$AQ$201,$M223)&gt;0,
     COUNTIFS($AR$3:$AR$201,$M223)&gt;0,
     COUNTIFS($AS$3:$AS$201,$M223)&gt;0,
     COUNTIFS($AT$3:$AT$201,$M223)&gt;0,
     COUNTIFS($AU$3:$AU$201,$M223)&gt;0,
     COUNTIFS($AV$3:$AV$201,$M223)&gt;0,
     COUNTIFS($AW$3:$AW$201,$M223)&gt;0,
     COUNTIFS($AX$3:$AX$201,$M223)&gt;0
   )),
  ),
  2
 ),
"")</f>
        <v/>
      </c>
      <c r="Q223" s="2" t="str" cm="1">
        <f t="array" aca="1" ref="Q223" ca="1">IFERROR(
 INDEX(
  _xlfn._xlws.FILTER($U$2:$AX$2,
   TRANSPOSE(
    CHOOSE({1;2;3;4;5;6;7;8;9;10;11;12;13;14;15;16;17;18;19;20;21;22;23;24;25;26;27;28;29;30},
     COUNTIFS($U$3:$U$201,$M223)&gt;0,
     COUNTIFS($V$3:$V$201,$M223)&gt;0,
     COUNTIFS($W$3:$W$201,$M223)&gt;0,
     COUNTIFS($X$3:$X$201,$M223)&gt;0,
     COUNTIFS($Y$3:$Y$201,$M223)&gt;0,
     COUNTIFS($Z$3:$Z$201,$M223)&gt;0,
     COUNTIFS($AA$3:$AA$201,$M223)&gt;0,
     COUNTIFS($AB$3:$AB$201,$M223)&gt;0,
     COUNTIFS($AC$3:$AC$201,$M223)&gt;0,
     COUNTIFS($AD$3:$AD$201,$M223)&gt;0,
     COUNTIFS($AE$3:$AE$201,$M223)&gt;0,
     COUNTIFS($AF$3:$AF$201,$M223)&gt;0,
     COUNTIFS($AG$3:$AG$201,$M223)&gt;0,
     COUNTIFS($AH$3:$AH$201,$M223)&gt;0,
     COUNTIFS($AI$3:$AI$201,$M223)&gt;0,
     COUNTIFS($AJ$3:$AJ$201,$M223)&gt;0,
     COUNTIFS($AK$3:$AK$201,$M223)&gt;0,
     COUNTIFS($AL$3:$AL$201,$M223)&gt;0,
     COUNTIFS($AM$3:$AM$201,$M223)&gt;0,
     COUNTIFS($AN$3:$AN$201,$M223)&gt;0,
     COUNTIFS($AO$3:$AO$201,$M223)&gt;0,
     COUNTIFS($AP$3:$AP$201,$M223)&gt;0,
     COUNTIFS($AQ$3:$AQ$201,$M223)&gt;0,
     COUNTIFS($AR$3:$AR$201,$M223)&gt;0,
     COUNTIFS($AS$3:$AS$201,$M223)&gt;0,
     COUNTIFS($AT$3:$AT$201,$M223)&gt;0,
     COUNTIFS($AU$3:$AU$201,$M223)&gt;0,
     COUNTIFS($AV$3:$AV$201,$M223)&gt;0,
     COUNTIFS($AW$3:$AW$201,$M223)&gt;0,
     COUNTIFS($AX$3:$AX$201,$M223)&gt;0
   )),
  ),
  3
 ),
"")</f>
        <v/>
      </c>
      <c r="ET223" t="str">
        <f ca="1"/>
        <v>Walking Ballista</v>
      </c>
      <c r="EW223" t="str">
        <f ca="1"/>
        <v>Tuskguard Captain</v>
      </c>
    </row>
    <row r="224" spans="1:153" x14ac:dyDescent="0.25">
      <c r="A224" t="str">
        <f ca="1"/>
        <v>Jetmir's Garden</v>
      </c>
      <c r="B224" s="2" t="str" cm="1">
        <f t="array" aca="1" ref="B224" ca="1">_xlfn.ANCHORARRAY(RESUMO!C223)</f>
        <v>Fractius</v>
      </c>
      <c r="C224" s="2" t="str">
        <f t="shared" ca="1" si="12"/>
        <v/>
      </c>
      <c r="E224" t="str">
        <f ca="1"/>
        <v>Twinferno</v>
      </c>
      <c r="F224" s="2">
        <f t="shared" ca="1" si="15"/>
        <v>1</v>
      </c>
      <c r="G224" s="2" t="str">
        <f t="shared" ca="1" si="13"/>
        <v>Narset</v>
      </c>
      <c r="J224" t="s">
        <v>180</v>
      </c>
      <c r="K224" s="2">
        <v>1</v>
      </c>
      <c r="M224" t="str">
        <f ca="1"/>
        <v>Twinferno</v>
      </c>
      <c r="N224" s="2">
        <f t="shared" ca="1" si="14"/>
        <v>1</v>
      </c>
      <c r="O224" s="2" t="str">
        <f ca="1">IFERROR(
 INDEX($U$2:$AX$2,
  MATCH(TRUE,
   CHOOSE({1;2;3;4;5;6;7;8;9;10;11;12;13;14;15;16;17;18;19;20;21;22;23;24;25;26;27;28;29;30;31;32},
    COUNTIFS($U$3:$U$201,$M224)&gt;0,
    COUNTIFS($V$3:$V$201,$M224)&gt;0,
    COUNTIFS($W$3:$W$201,$M224)&gt;0,
    COUNTIFS($X$3:$X$201,$M224)&gt;0,
    COUNTIFS($Y$3:$Y$201,$M224)&gt;0,
    COUNTIFS($Z$3:$Z$201,$M224)&gt;0,
    COUNTIFS($AA$3:$AA$201,$M224)&gt;0,
    COUNTIFS($AB$3:$AB$201,$M224)&gt;0,
    COUNTIFS($AC$3:$AC$201,$M224)&gt;0,
    COUNTIFS($AD$3:$AD$201,$M224)&gt;0,
    COUNTIFS($AE$3:$AE$201,$M224)&gt;0,
    COUNTIFS($AF$3:$AF$201,$M224)&gt;0,
    COUNTIFS($AG$3:$AG$201,$M224)&gt;0,
    COUNTIFS($AH$3:$AH$201,$M224)&gt;0,
    COUNTIFS($AI$3:$AI$201,$M224)&gt;0,
    COUNTIFS($AJ$3:$AJ$201,$M224)&gt;0,
    COUNTIFS($AK$3:$AK$201,$M224)&gt;0,
    COUNTIFS($AL$3:$AL$201,$M224)&gt;0,
    COUNTIFS($AM$3:$AM$201,$M224)&gt;0,
    COUNTIFS($AN$3:$AN$201,$M224)&gt;0,
    COUNTIFS($AO$3:$AO$201,$M224)&gt;0,
    COUNTIFS($AP$3:$AP$201,$M224)&gt;0,
    COUNTIFS($AQ$3:$AQ$201,$M224)&gt;0,
    COUNTIFS($AR$3:$AR$201,$M224)&gt;0,
    COUNTIFS($AS$3:$AS$201,$M224)&gt;0,
    COUNTIFS($AT$3:$AT$201,$M224)&gt;0,
    COUNTIFS($AU$3:$AU$201,$M224)&gt;0,
    COUNTIFS($AV$3:$AV$201,$M224)&gt;0,
    COUNTIFS($AW$3:$AW$201,$M224)&gt;0,
    COUNTIFS($AX$3:$AX$201,$M224)&gt;0
   ),
  0)
 ),
"")</f>
        <v>Narset</v>
      </c>
      <c r="P224" s="2" t="str" cm="1">
        <f t="array" aca="1" ref="P224" ca="1">IFERROR(
 INDEX(
  _xlfn._xlws.FILTER($U$2:$AX$2,
   TRANSPOSE(
    CHOOSE({1;2;3;4;5;6;7;8;9;10;11;12;13;14;15;16;17;18;19;20;21;22;23;24;25;26;27;28;29;30},
     COUNTIFS($U$3:$U$201,$M224)&gt;0,
     COUNTIFS($V$3:$V$201,$M224)&gt;0,
     COUNTIFS($W$3:$W$201,$M224)&gt;0,
     COUNTIFS($X$3:$X$201,$M224)&gt;0,
     COUNTIFS($Y$3:$Y$201,$M224)&gt;0,
     COUNTIFS($Z$3:$Z$201,$M224)&gt;0,
     COUNTIFS($AA$3:$AA$201,$M224)&gt;0,
     COUNTIFS($AB$3:$AB$201,$M224)&gt;0,
     COUNTIFS($AC$3:$AC$201,$M224)&gt;0,
     COUNTIFS($AD$3:$AD$201,$M224)&gt;0,
     COUNTIFS($AE$3:$AE$201,$M224)&gt;0,
     COUNTIFS($AF$3:$AF$201,$M224)&gt;0,
     COUNTIFS($AG$3:$AG$201,$M224)&gt;0,
     COUNTIFS($AH$3:$AH$201,$M224)&gt;0,
     COUNTIFS($AI$3:$AI$201,$M224)&gt;0,
     COUNTIFS($AJ$3:$AJ$201,$M224)&gt;0,
     COUNTIFS($AK$3:$AK$201,$M224)&gt;0,
     COUNTIFS($AL$3:$AL$201,$M224)&gt;0,
     COUNTIFS($AM$3:$AM$201,$M224)&gt;0,
     COUNTIFS($AN$3:$AN$201,$M224)&gt;0,
     COUNTIFS($AO$3:$AO$201,$M224)&gt;0,
     COUNTIFS($AP$3:$AP$201,$M224)&gt;0,
     COUNTIFS($AQ$3:$AQ$201,$M224)&gt;0,
     COUNTIFS($AR$3:$AR$201,$M224)&gt;0,
     COUNTIFS($AS$3:$AS$201,$M224)&gt;0,
     COUNTIFS($AT$3:$AT$201,$M224)&gt;0,
     COUNTIFS($AU$3:$AU$201,$M224)&gt;0,
     COUNTIFS($AV$3:$AV$201,$M224)&gt;0,
     COUNTIFS($AW$3:$AW$201,$M224)&gt;0,
     COUNTIFS($AX$3:$AX$201,$M224)&gt;0
   )),
  ),
  2
 ),
"")</f>
        <v/>
      </c>
      <c r="Q224" s="2" t="str" cm="1">
        <f t="array" aca="1" ref="Q224" ca="1">IFERROR(
 INDEX(
  _xlfn._xlws.FILTER($U$2:$AX$2,
   TRANSPOSE(
    CHOOSE({1;2;3;4;5;6;7;8;9;10;11;12;13;14;15;16;17;18;19;20;21;22;23;24;25;26;27;28;29;30},
     COUNTIFS($U$3:$U$201,$M224)&gt;0,
     COUNTIFS($V$3:$V$201,$M224)&gt;0,
     COUNTIFS($W$3:$W$201,$M224)&gt;0,
     COUNTIFS($X$3:$X$201,$M224)&gt;0,
     COUNTIFS($Y$3:$Y$201,$M224)&gt;0,
     COUNTIFS($Z$3:$Z$201,$M224)&gt;0,
     COUNTIFS($AA$3:$AA$201,$M224)&gt;0,
     COUNTIFS($AB$3:$AB$201,$M224)&gt;0,
     COUNTIFS($AC$3:$AC$201,$M224)&gt;0,
     COUNTIFS($AD$3:$AD$201,$M224)&gt;0,
     COUNTIFS($AE$3:$AE$201,$M224)&gt;0,
     COUNTIFS($AF$3:$AF$201,$M224)&gt;0,
     COUNTIFS($AG$3:$AG$201,$M224)&gt;0,
     COUNTIFS($AH$3:$AH$201,$M224)&gt;0,
     COUNTIFS($AI$3:$AI$201,$M224)&gt;0,
     COUNTIFS($AJ$3:$AJ$201,$M224)&gt;0,
     COUNTIFS($AK$3:$AK$201,$M224)&gt;0,
     COUNTIFS($AL$3:$AL$201,$M224)&gt;0,
     COUNTIFS($AM$3:$AM$201,$M224)&gt;0,
     COUNTIFS($AN$3:$AN$201,$M224)&gt;0,
     COUNTIFS($AO$3:$AO$201,$M224)&gt;0,
     COUNTIFS($AP$3:$AP$201,$M224)&gt;0,
     COUNTIFS($AQ$3:$AQ$201,$M224)&gt;0,
     COUNTIFS($AR$3:$AR$201,$M224)&gt;0,
     COUNTIFS($AS$3:$AS$201,$M224)&gt;0,
     COUNTIFS($AT$3:$AT$201,$M224)&gt;0,
     COUNTIFS($AU$3:$AU$201,$M224)&gt;0,
     COUNTIFS($AV$3:$AV$201,$M224)&gt;0,
     COUNTIFS($AW$3:$AW$201,$M224)&gt;0,
     COUNTIFS($AX$3:$AX$201,$M224)&gt;0
   )),
  ),
  3
 ),
"")</f>
        <v/>
      </c>
      <c r="ET224" t="str">
        <f ca="1"/>
        <v>Wall of Roots</v>
      </c>
      <c r="EW224" t="str">
        <f ca="1"/>
        <v>Twinferno</v>
      </c>
    </row>
    <row r="225" spans="1:153" x14ac:dyDescent="0.25">
      <c r="A225" t="str">
        <f ca="1"/>
        <v>Jidoor, Aristocratic Capital // Overture</v>
      </c>
      <c r="B225" s="2" t="str" cm="1">
        <f t="array" aca="1" ref="B225" ca="1">_xlfn.ANCHORARRAY(RESUMO!C224)</f>
        <v>Narset</v>
      </c>
      <c r="C225" s="2" t="str">
        <f t="shared" ca="1" si="12"/>
        <v/>
      </c>
      <c r="E225" t="str">
        <f ca="1"/>
        <v>Urza Assembles the Titans</v>
      </c>
      <c r="F225" s="2">
        <f t="shared" ca="1" si="15"/>
        <v>1</v>
      </c>
      <c r="G225" s="2" t="str">
        <f t="shared" ca="1" si="13"/>
        <v>Sisay</v>
      </c>
      <c r="J225" t="s">
        <v>180</v>
      </c>
      <c r="K225" s="2">
        <v>1</v>
      </c>
      <c r="M225" t="str">
        <f ca="1"/>
        <v>Urza Assembles the Titans</v>
      </c>
      <c r="N225" s="2">
        <f t="shared" ca="1" si="14"/>
        <v>1</v>
      </c>
      <c r="O225" s="2" t="str">
        <f ca="1">IFERROR(
 INDEX($U$2:$AX$2,
  MATCH(TRUE,
   CHOOSE({1;2;3;4;5;6;7;8;9;10;11;12;13;14;15;16;17;18;19;20;21;22;23;24;25;26;27;28;29;30;31;32},
    COUNTIFS($U$3:$U$201,$M225)&gt;0,
    COUNTIFS($V$3:$V$201,$M225)&gt;0,
    COUNTIFS($W$3:$W$201,$M225)&gt;0,
    COUNTIFS($X$3:$X$201,$M225)&gt;0,
    COUNTIFS($Y$3:$Y$201,$M225)&gt;0,
    COUNTIFS($Z$3:$Z$201,$M225)&gt;0,
    COUNTIFS($AA$3:$AA$201,$M225)&gt;0,
    COUNTIFS($AB$3:$AB$201,$M225)&gt;0,
    COUNTIFS($AC$3:$AC$201,$M225)&gt;0,
    COUNTIFS($AD$3:$AD$201,$M225)&gt;0,
    COUNTIFS($AE$3:$AE$201,$M225)&gt;0,
    COUNTIFS($AF$3:$AF$201,$M225)&gt;0,
    COUNTIFS($AG$3:$AG$201,$M225)&gt;0,
    COUNTIFS($AH$3:$AH$201,$M225)&gt;0,
    COUNTIFS($AI$3:$AI$201,$M225)&gt;0,
    COUNTIFS($AJ$3:$AJ$201,$M225)&gt;0,
    COUNTIFS($AK$3:$AK$201,$M225)&gt;0,
    COUNTIFS($AL$3:$AL$201,$M225)&gt;0,
    COUNTIFS($AM$3:$AM$201,$M225)&gt;0,
    COUNTIFS($AN$3:$AN$201,$M225)&gt;0,
    COUNTIFS($AO$3:$AO$201,$M225)&gt;0,
    COUNTIFS($AP$3:$AP$201,$M225)&gt;0,
    COUNTIFS($AQ$3:$AQ$201,$M225)&gt;0,
    COUNTIFS($AR$3:$AR$201,$M225)&gt;0,
    COUNTIFS($AS$3:$AS$201,$M225)&gt;0,
    COUNTIFS($AT$3:$AT$201,$M225)&gt;0,
    COUNTIFS($AU$3:$AU$201,$M225)&gt;0,
    COUNTIFS($AV$3:$AV$201,$M225)&gt;0,
    COUNTIFS($AW$3:$AW$201,$M225)&gt;0,
    COUNTIFS($AX$3:$AX$201,$M225)&gt;0
   ),
  0)
 ),
"")</f>
        <v>Sisay</v>
      </c>
      <c r="P225" s="2" t="str" cm="1">
        <f t="array" aca="1" ref="P225" ca="1">IFERROR(
 INDEX(
  _xlfn._xlws.FILTER($U$2:$AX$2,
   TRANSPOSE(
    CHOOSE({1;2;3;4;5;6;7;8;9;10;11;12;13;14;15;16;17;18;19;20;21;22;23;24;25;26;27;28;29;30},
     COUNTIFS($U$3:$U$201,$M225)&gt;0,
     COUNTIFS($V$3:$V$201,$M225)&gt;0,
     COUNTIFS($W$3:$W$201,$M225)&gt;0,
     COUNTIFS($X$3:$X$201,$M225)&gt;0,
     COUNTIFS($Y$3:$Y$201,$M225)&gt;0,
     COUNTIFS($Z$3:$Z$201,$M225)&gt;0,
     COUNTIFS($AA$3:$AA$201,$M225)&gt;0,
     COUNTIFS($AB$3:$AB$201,$M225)&gt;0,
     COUNTIFS($AC$3:$AC$201,$M225)&gt;0,
     COUNTIFS($AD$3:$AD$201,$M225)&gt;0,
     COUNTIFS($AE$3:$AE$201,$M225)&gt;0,
     COUNTIFS($AF$3:$AF$201,$M225)&gt;0,
     COUNTIFS($AG$3:$AG$201,$M225)&gt;0,
     COUNTIFS($AH$3:$AH$201,$M225)&gt;0,
     COUNTIFS($AI$3:$AI$201,$M225)&gt;0,
     COUNTIFS($AJ$3:$AJ$201,$M225)&gt;0,
     COUNTIFS($AK$3:$AK$201,$M225)&gt;0,
     COUNTIFS($AL$3:$AL$201,$M225)&gt;0,
     COUNTIFS($AM$3:$AM$201,$M225)&gt;0,
     COUNTIFS($AN$3:$AN$201,$M225)&gt;0,
     COUNTIFS($AO$3:$AO$201,$M225)&gt;0,
     COUNTIFS($AP$3:$AP$201,$M225)&gt;0,
     COUNTIFS($AQ$3:$AQ$201,$M225)&gt;0,
     COUNTIFS($AR$3:$AR$201,$M225)&gt;0,
     COUNTIFS($AS$3:$AS$201,$M225)&gt;0,
     COUNTIFS($AT$3:$AT$201,$M225)&gt;0,
     COUNTIFS($AU$3:$AU$201,$M225)&gt;0,
     COUNTIFS($AV$3:$AV$201,$M225)&gt;0,
     COUNTIFS($AW$3:$AW$201,$M225)&gt;0,
     COUNTIFS($AX$3:$AX$201,$M225)&gt;0
   )),
  ),
  2
 ),
"")</f>
        <v/>
      </c>
      <c r="Q225" s="2" t="str" cm="1">
        <f t="array" aca="1" ref="Q225" ca="1">IFERROR(
 INDEX(
  _xlfn._xlws.FILTER($U$2:$AX$2,
   TRANSPOSE(
    CHOOSE({1;2;3;4;5;6;7;8;9;10;11;12;13;14;15;16;17;18;19;20;21;22;23;24;25;26;27;28;29;30},
     COUNTIFS($U$3:$U$201,$M225)&gt;0,
     COUNTIFS($V$3:$V$201,$M225)&gt;0,
     COUNTIFS($W$3:$W$201,$M225)&gt;0,
     COUNTIFS($X$3:$X$201,$M225)&gt;0,
     COUNTIFS($Y$3:$Y$201,$M225)&gt;0,
     COUNTIFS($Z$3:$Z$201,$M225)&gt;0,
     COUNTIFS($AA$3:$AA$201,$M225)&gt;0,
     COUNTIFS($AB$3:$AB$201,$M225)&gt;0,
     COUNTIFS($AC$3:$AC$201,$M225)&gt;0,
     COUNTIFS($AD$3:$AD$201,$M225)&gt;0,
     COUNTIFS($AE$3:$AE$201,$M225)&gt;0,
     COUNTIFS($AF$3:$AF$201,$M225)&gt;0,
     COUNTIFS($AG$3:$AG$201,$M225)&gt;0,
     COUNTIFS($AH$3:$AH$201,$M225)&gt;0,
     COUNTIFS($AI$3:$AI$201,$M225)&gt;0,
     COUNTIFS($AJ$3:$AJ$201,$M225)&gt;0,
     COUNTIFS($AK$3:$AK$201,$M225)&gt;0,
     COUNTIFS($AL$3:$AL$201,$M225)&gt;0,
     COUNTIFS($AM$3:$AM$201,$M225)&gt;0,
     COUNTIFS($AN$3:$AN$201,$M225)&gt;0,
     COUNTIFS($AO$3:$AO$201,$M225)&gt;0,
     COUNTIFS($AP$3:$AP$201,$M225)&gt;0,
     COUNTIFS($AQ$3:$AQ$201,$M225)&gt;0,
     COUNTIFS($AR$3:$AR$201,$M225)&gt;0,
     COUNTIFS($AS$3:$AS$201,$M225)&gt;0,
     COUNTIFS($AT$3:$AT$201,$M225)&gt;0,
     COUNTIFS($AU$3:$AU$201,$M225)&gt;0,
     COUNTIFS($AV$3:$AV$201,$M225)&gt;0,
     COUNTIFS($AW$3:$AW$201,$M225)&gt;0,
     COUNTIFS($AX$3:$AX$201,$M225)&gt;0
   )),
  ),
  3
 ),
"")</f>
        <v/>
      </c>
      <c r="ET225" t="str">
        <f ca="1"/>
        <v>Wand of Wonder</v>
      </c>
      <c r="EW225" t="str">
        <f ca="1"/>
        <v>Urza Assembles the Titans</v>
      </c>
    </row>
    <row r="226" spans="1:153" x14ac:dyDescent="0.25">
      <c r="A226" t="str">
        <f ca="1"/>
        <v>Joint Exploration</v>
      </c>
      <c r="B226" s="2" t="str" cm="1">
        <f t="array" aca="1" ref="B226" ca="1">_xlfn.ANCHORARRAY(RESUMO!C225)</f>
        <v>4cRash</v>
      </c>
      <c r="C226" s="2" t="str">
        <f t="shared" ca="1" si="12"/>
        <v/>
      </c>
      <c r="E226" t="str">
        <f ca="1"/>
        <v>Urza's Ruinous Blast</v>
      </c>
      <c r="F226" s="2">
        <f t="shared" ca="1" si="15"/>
        <v>1</v>
      </c>
      <c r="G226" s="2" t="str">
        <f t="shared" ca="1" si="13"/>
        <v>Sisay</v>
      </c>
      <c r="J226" t="s">
        <v>180</v>
      </c>
      <c r="K226" s="2">
        <v>1</v>
      </c>
      <c r="M226" t="str">
        <f ca="1"/>
        <v>Urza's Ruinous Blast</v>
      </c>
      <c r="N226" s="2">
        <f t="shared" ca="1" si="14"/>
        <v>1</v>
      </c>
      <c r="O226" s="2" t="str">
        <f ca="1">IFERROR(
 INDEX($U$2:$AX$2,
  MATCH(TRUE,
   CHOOSE({1;2;3;4;5;6;7;8;9;10;11;12;13;14;15;16;17;18;19;20;21;22;23;24;25;26;27;28;29;30;31;32},
    COUNTIFS($U$3:$U$201,$M226)&gt;0,
    COUNTIFS($V$3:$V$201,$M226)&gt;0,
    COUNTIFS($W$3:$W$201,$M226)&gt;0,
    COUNTIFS($X$3:$X$201,$M226)&gt;0,
    COUNTIFS($Y$3:$Y$201,$M226)&gt;0,
    COUNTIFS($Z$3:$Z$201,$M226)&gt;0,
    COUNTIFS($AA$3:$AA$201,$M226)&gt;0,
    COUNTIFS($AB$3:$AB$201,$M226)&gt;0,
    COUNTIFS($AC$3:$AC$201,$M226)&gt;0,
    COUNTIFS($AD$3:$AD$201,$M226)&gt;0,
    COUNTIFS($AE$3:$AE$201,$M226)&gt;0,
    COUNTIFS($AF$3:$AF$201,$M226)&gt;0,
    COUNTIFS($AG$3:$AG$201,$M226)&gt;0,
    COUNTIFS($AH$3:$AH$201,$M226)&gt;0,
    COUNTIFS($AI$3:$AI$201,$M226)&gt;0,
    COUNTIFS($AJ$3:$AJ$201,$M226)&gt;0,
    COUNTIFS($AK$3:$AK$201,$M226)&gt;0,
    COUNTIFS($AL$3:$AL$201,$M226)&gt;0,
    COUNTIFS($AM$3:$AM$201,$M226)&gt;0,
    COUNTIFS($AN$3:$AN$201,$M226)&gt;0,
    COUNTIFS($AO$3:$AO$201,$M226)&gt;0,
    COUNTIFS($AP$3:$AP$201,$M226)&gt;0,
    COUNTIFS($AQ$3:$AQ$201,$M226)&gt;0,
    COUNTIFS($AR$3:$AR$201,$M226)&gt;0,
    COUNTIFS($AS$3:$AS$201,$M226)&gt;0,
    COUNTIFS($AT$3:$AT$201,$M226)&gt;0,
    COUNTIFS($AU$3:$AU$201,$M226)&gt;0,
    COUNTIFS($AV$3:$AV$201,$M226)&gt;0,
    COUNTIFS($AW$3:$AW$201,$M226)&gt;0,
    COUNTIFS($AX$3:$AX$201,$M226)&gt;0
   ),
  0)
 ),
"")</f>
        <v>Sisay</v>
      </c>
      <c r="P226" s="2" t="str" cm="1">
        <f t="array" aca="1" ref="P226" ca="1">IFERROR(
 INDEX(
  _xlfn._xlws.FILTER($U$2:$AX$2,
   TRANSPOSE(
    CHOOSE({1;2;3;4;5;6;7;8;9;10;11;12;13;14;15;16;17;18;19;20;21;22;23;24;25;26;27;28;29;30},
     COUNTIFS($U$3:$U$201,$M226)&gt;0,
     COUNTIFS($V$3:$V$201,$M226)&gt;0,
     COUNTIFS($W$3:$W$201,$M226)&gt;0,
     COUNTIFS($X$3:$X$201,$M226)&gt;0,
     COUNTIFS($Y$3:$Y$201,$M226)&gt;0,
     COUNTIFS($Z$3:$Z$201,$M226)&gt;0,
     COUNTIFS($AA$3:$AA$201,$M226)&gt;0,
     COUNTIFS($AB$3:$AB$201,$M226)&gt;0,
     COUNTIFS($AC$3:$AC$201,$M226)&gt;0,
     COUNTIFS($AD$3:$AD$201,$M226)&gt;0,
     COUNTIFS($AE$3:$AE$201,$M226)&gt;0,
     COUNTIFS($AF$3:$AF$201,$M226)&gt;0,
     COUNTIFS($AG$3:$AG$201,$M226)&gt;0,
     COUNTIFS($AH$3:$AH$201,$M226)&gt;0,
     COUNTIFS($AI$3:$AI$201,$M226)&gt;0,
     COUNTIFS($AJ$3:$AJ$201,$M226)&gt;0,
     COUNTIFS($AK$3:$AK$201,$M226)&gt;0,
     COUNTIFS($AL$3:$AL$201,$M226)&gt;0,
     COUNTIFS($AM$3:$AM$201,$M226)&gt;0,
     COUNTIFS($AN$3:$AN$201,$M226)&gt;0,
     COUNTIFS($AO$3:$AO$201,$M226)&gt;0,
     COUNTIFS($AP$3:$AP$201,$M226)&gt;0,
     COUNTIFS($AQ$3:$AQ$201,$M226)&gt;0,
     COUNTIFS($AR$3:$AR$201,$M226)&gt;0,
     COUNTIFS($AS$3:$AS$201,$M226)&gt;0,
     COUNTIFS($AT$3:$AT$201,$M226)&gt;0,
     COUNTIFS($AU$3:$AU$201,$M226)&gt;0,
     COUNTIFS($AV$3:$AV$201,$M226)&gt;0,
     COUNTIFS($AW$3:$AW$201,$M226)&gt;0,
     COUNTIFS($AX$3:$AX$201,$M226)&gt;0
   )),
  ),
  2
 ),
"")</f>
        <v/>
      </c>
      <c r="Q226" s="2" t="str" cm="1">
        <f t="array" aca="1" ref="Q226" ca="1">IFERROR(
 INDEX(
  _xlfn._xlws.FILTER($U$2:$AX$2,
   TRANSPOSE(
    CHOOSE({1;2;3;4;5;6;7;8;9;10;11;12;13;14;15;16;17;18;19;20;21;22;23;24;25;26;27;28;29;30},
     COUNTIFS($U$3:$U$201,$M226)&gt;0,
     COUNTIFS($V$3:$V$201,$M226)&gt;0,
     COUNTIFS($W$3:$W$201,$M226)&gt;0,
     COUNTIFS($X$3:$X$201,$M226)&gt;0,
     COUNTIFS($Y$3:$Y$201,$M226)&gt;0,
     COUNTIFS($Z$3:$Z$201,$M226)&gt;0,
     COUNTIFS($AA$3:$AA$201,$M226)&gt;0,
     COUNTIFS($AB$3:$AB$201,$M226)&gt;0,
     COUNTIFS($AC$3:$AC$201,$M226)&gt;0,
     COUNTIFS($AD$3:$AD$201,$M226)&gt;0,
     COUNTIFS($AE$3:$AE$201,$M226)&gt;0,
     COUNTIFS($AF$3:$AF$201,$M226)&gt;0,
     COUNTIFS($AG$3:$AG$201,$M226)&gt;0,
     COUNTIFS($AH$3:$AH$201,$M226)&gt;0,
     COUNTIFS($AI$3:$AI$201,$M226)&gt;0,
     COUNTIFS($AJ$3:$AJ$201,$M226)&gt;0,
     COUNTIFS($AK$3:$AK$201,$M226)&gt;0,
     COUNTIFS($AL$3:$AL$201,$M226)&gt;0,
     COUNTIFS($AM$3:$AM$201,$M226)&gt;0,
     COUNTIFS($AN$3:$AN$201,$M226)&gt;0,
     COUNTIFS($AO$3:$AO$201,$M226)&gt;0,
     COUNTIFS($AP$3:$AP$201,$M226)&gt;0,
     COUNTIFS($AQ$3:$AQ$201,$M226)&gt;0,
     COUNTIFS($AR$3:$AR$201,$M226)&gt;0,
     COUNTIFS($AS$3:$AS$201,$M226)&gt;0,
     COUNTIFS($AT$3:$AT$201,$M226)&gt;0,
     COUNTIFS($AU$3:$AU$201,$M226)&gt;0,
     COUNTIFS($AV$3:$AV$201,$M226)&gt;0,
     COUNTIFS($AW$3:$AW$201,$M226)&gt;0,
     COUNTIFS($AX$3:$AX$201,$M226)&gt;0
   )),
  ),
  3
 ),
"")</f>
        <v/>
      </c>
      <c r="ET226" t="str">
        <f ca="1"/>
        <v>Watertrap Weaver</v>
      </c>
      <c r="EW226" t="str">
        <f ca="1"/>
        <v>Urza's Ruinous Blast</v>
      </c>
    </row>
    <row r="227" spans="1:153" x14ac:dyDescent="0.25">
      <c r="A227" t="str">
        <f ca="1"/>
        <v>Kabira Takedown</v>
      </c>
      <c r="B227" s="2" t="str" cm="1">
        <f t="array" aca="1" ref="B227" ca="1">_xlfn.ANCHORARRAY(RESUMO!C226)</f>
        <v>Little</v>
      </c>
      <c r="C227" s="2" t="str">
        <f t="shared" ca="1" si="12"/>
        <v/>
      </c>
      <c r="E227" t="str">
        <f ca="1"/>
        <v>Vale Afundado</v>
      </c>
      <c r="F227" s="2">
        <f t="shared" ca="1" si="15"/>
        <v>1</v>
      </c>
      <c r="G227" s="2" t="str">
        <f t="shared" ca="1" si="13"/>
        <v>Zimone</v>
      </c>
      <c r="J227" t="s">
        <v>180</v>
      </c>
      <c r="K227" s="2">
        <v>1</v>
      </c>
      <c r="M227" t="str">
        <f ca="1"/>
        <v>Vale Afundado</v>
      </c>
      <c r="N227" s="2">
        <f t="shared" ca="1" si="14"/>
        <v>1</v>
      </c>
      <c r="O227" s="2" t="str">
        <f ca="1">IFERROR(
 INDEX($U$2:$AX$2,
  MATCH(TRUE,
   CHOOSE({1;2;3;4;5;6;7;8;9;10;11;12;13;14;15;16;17;18;19;20;21;22;23;24;25;26;27;28;29;30;31;32},
    COUNTIFS($U$3:$U$201,$M227)&gt;0,
    COUNTIFS($V$3:$V$201,$M227)&gt;0,
    COUNTIFS($W$3:$W$201,$M227)&gt;0,
    COUNTIFS($X$3:$X$201,$M227)&gt;0,
    COUNTIFS($Y$3:$Y$201,$M227)&gt;0,
    COUNTIFS($Z$3:$Z$201,$M227)&gt;0,
    COUNTIFS($AA$3:$AA$201,$M227)&gt;0,
    COUNTIFS($AB$3:$AB$201,$M227)&gt;0,
    COUNTIFS($AC$3:$AC$201,$M227)&gt;0,
    COUNTIFS($AD$3:$AD$201,$M227)&gt;0,
    COUNTIFS($AE$3:$AE$201,$M227)&gt;0,
    COUNTIFS($AF$3:$AF$201,$M227)&gt;0,
    COUNTIFS($AG$3:$AG$201,$M227)&gt;0,
    COUNTIFS($AH$3:$AH$201,$M227)&gt;0,
    COUNTIFS($AI$3:$AI$201,$M227)&gt;0,
    COUNTIFS($AJ$3:$AJ$201,$M227)&gt;0,
    COUNTIFS($AK$3:$AK$201,$M227)&gt;0,
    COUNTIFS($AL$3:$AL$201,$M227)&gt;0,
    COUNTIFS($AM$3:$AM$201,$M227)&gt;0,
    COUNTIFS($AN$3:$AN$201,$M227)&gt;0,
    COUNTIFS($AO$3:$AO$201,$M227)&gt;0,
    COUNTIFS($AP$3:$AP$201,$M227)&gt;0,
    COUNTIFS($AQ$3:$AQ$201,$M227)&gt;0,
    COUNTIFS($AR$3:$AR$201,$M227)&gt;0,
    COUNTIFS($AS$3:$AS$201,$M227)&gt;0,
    COUNTIFS($AT$3:$AT$201,$M227)&gt;0,
    COUNTIFS($AU$3:$AU$201,$M227)&gt;0,
    COUNTIFS($AV$3:$AV$201,$M227)&gt;0,
    COUNTIFS($AW$3:$AW$201,$M227)&gt;0,
    COUNTIFS($AX$3:$AX$201,$M227)&gt;0
   ),
  0)
 ),
"")</f>
        <v>Zimone</v>
      </c>
      <c r="P227" s="2" t="str" cm="1">
        <f t="array" aca="1" ref="P227" ca="1">IFERROR(
 INDEX(
  _xlfn._xlws.FILTER($U$2:$AX$2,
   TRANSPOSE(
    CHOOSE({1;2;3;4;5;6;7;8;9;10;11;12;13;14;15;16;17;18;19;20;21;22;23;24;25;26;27;28;29;30},
     COUNTIFS($U$3:$U$201,$M227)&gt;0,
     COUNTIFS($V$3:$V$201,$M227)&gt;0,
     COUNTIFS($W$3:$W$201,$M227)&gt;0,
     COUNTIFS($X$3:$X$201,$M227)&gt;0,
     COUNTIFS($Y$3:$Y$201,$M227)&gt;0,
     COUNTIFS($Z$3:$Z$201,$M227)&gt;0,
     COUNTIFS($AA$3:$AA$201,$M227)&gt;0,
     COUNTIFS($AB$3:$AB$201,$M227)&gt;0,
     COUNTIFS($AC$3:$AC$201,$M227)&gt;0,
     COUNTIFS($AD$3:$AD$201,$M227)&gt;0,
     COUNTIFS($AE$3:$AE$201,$M227)&gt;0,
     COUNTIFS($AF$3:$AF$201,$M227)&gt;0,
     COUNTIFS($AG$3:$AG$201,$M227)&gt;0,
     COUNTIFS($AH$3:$AH$201,$M227)&gt;0,
     COUNTIFS($AI$3:$AI$201,$M227)&gt;0,
     COUNTIFS($AJ$3:$AJ$201,$M227)&gt;0,
     COUNTIFS($AK$3:$AK$201,$M227)&gt;0,
     COUNTIFS($AL$3:$AL$201,$M227)&gt;0,
     COUNTIFS($AM$3:$AM$201,$M227)&gt;0,
     COUNTIFS($AN$3:$AN$201,$M227)&gt;0,
     COUNTIFS($AO$3:$AO$201,$M227)&gt;0,
     COUNTIFS($AP$3:$AP$201,$M227)&gt;0,
     COUNTIFS($AQ$3:$AQ$201,$M227)&gt;0,
     COUNTIFS($AR$3:$AR$201,$M227)&gt;0,
     COUNTIFS($AS$3:$AS$201,$M227)&gt;0,
     COUNTIFS($AT$3:$AT$201,$M227)&gt;0,
     COUNTIFS($AU$3:$AU$201,$M227)&gt;0,
     COUNTIFS($AV$3:$AV$201,$M227)&gt;0,
     COUNTIFS($AW$3:$AW$201,$M227)&gt;0,
     COUNTIFS($AX$3:$AX$201,$M227)&gt;0
   )),
  ),
  2
 ),
"")</f>
        <v/>
      </c>
      <c r="Q227" s="2" t="str" cm="1">
        <f t="array" aca="1" ref="Q227" ca="1">IFERROR(
 INDEX(
  _xlfn._xlws.FILTER($U$2:$AX$2,
   TRANSPOSE(
    CHOOSE({1;2;3;4;5;6;7;8;9;10;11;12;13;14;15;16;17;18;19;20;21;22;23;24;25;26;27;28;29;30},
     COUNTIFS($U$3:$U$201,$M227)&gt;0,
     COUNTIFS($V$3:$V$201,$M227)&gt;0,
     COUNTIFS($W$3:$W$201,$M227)&gt;0,
     COUNTIFS($X$3:$X$201,$M227)&gt;0,
     COUNTIFS($Y$3:$Y$201,$M227)&gt;0,
     COUNTIFS($Z$3:$Z$201,$M227)&gt;0,
     COUNTIFS($AA$3:$AA$201,$M227)&gt;0,
     COUNTIFS($AB$3:$AB$201,$M227)&gt;0,
     COUNTIFS($AC$3:$AC$201,$M227)&gt;0,
     COUNTIFS($AD$3:$AD$201,$M227)&gt;0,
     COUNTIFS($AE$3:$AE$201,$M227)&gt;0,
     COUNTIFS($AF$3:$AF$201,$M227)&gt;0,
     COUNTIFS($AG$3:$AG$201,$M227)&gt;0,
     COUNTIFS($AH$3:$AH$201,$M227)&gt;0,
     COUNTIFS($AI$3:$AI$201,$M227)&gt;0,
     COUNTIFS($AJ$3:$AJ$201,$M227)&gt;0,
     COUNTIFS($AK$3:$AK$201,$M227)&gt;0,
     COUNTIFS($AL$3:$AL$201,$M227)&gt;0,
     COUNTIFS($AM$3:$AM$201,$M227)&gt;0,
     COUNTIFS($AN$3:$AN$201,$M227)&gt;0,
     COUNTIFS($AO$3:$AO$201,$M227)&gt;0,
     COUNTIFS($AP$3:$AP$201,$M227)&gt;0,
     COUNTIFS($AQ$3:$AQ$201,$M227)&gt;0,
     COUNTIFS($AR$3:$AR$201,$M227)&gt;0,
     COUNTIFS($AS$3:$AS$201,$M227)&gt;0,
     COUNTIFS($AT$3:$AT$201,$M227)&gt;0,
     COUNTIFS($AU$3:$AU$201,$M227)&gt;0,
     COUNTIFS($AV$3:$AV$201,$M227)&gt;0,
     COUNTIFS($AW$3:$AW$201,$M227)&gt;0,
     COUNTIFS($AX$3:$AX$201,$M227)&gt;0
   )),
  ),
  3
 ),
"")</f>
        <v/>
      </c>
      <c r="ET227" t="str">
        <f ca="1"/>
        <v>Wayfarrer's Bauble</v>
      </c>
      <c r="EW227" t="str">
        <f ca="1"/>
        <v>Vale Afundado</v>
      </c>
    </row>
    <row r="228" spans="1:153" x14ac:dyDescent="0.25">
      <c r="A228" t="str">
        <f ca="1"/>
        <v>Kaervek the Merciless</v>
      </c>
      <c r="B228" s="2" t="str" cm="1">
        <f t="array" aca="1" ref="B228" ca="1">_xlfn.ANCHORARRAY(RESUMO!C227)</f>
        <v>4cRash</v>
      </c>
      <c r="C228" s="2" t="str">
        <f t="shared" ca="1" si="12"/>
        <v/>
      </c>
      <c r="E228" t="str">
        <f ca="1"/>
        <v>Vindictive Warden</v>
      </c>
      <c r="F228" s="2">
        <f t="shared" ca="1" si="15"/>
        <v>1</v>
      </c>
      <c r="G228" s="2" t="str">
        <f t="shared" ca="1" si="13"/>
        <v/>
      </c>
      <c r="J228" t="s">
        <v>180</v>
      </c>
      <c r="K228" s="2">
        <v>1</v>
      </c>
      <c r="M228" t="str">
        <f ca="1"/>
        <v>Vindictive Warden</v>
      </c>
      <c r="N228" s="2">
        <f t="shared" ca="1" si="14"/>
        <v>0</v>
      </c>
      <c r="O228" s="2" t="str">
        <f ca="1">IFERROR(
 INDEX($U$2:$AX$2,
  MATCH(TRUE,
   CHOOSE({1;2;3;4;5;6;7;8;9;10;11;12;13;14;15;16;17;18;19;20;21;22;23;24;25;26;27;28;29;30;31;32},
    COUNTIFS($U$3:$U$201,$M228)&gt;0,
    COUNTIFS($V$3:$V$201,$M228)&gt;0,
    COUNTIFS($W$3:$W$201,$M228)&gt;0,
    COUNTIFS($X$3:$X$201,$M228)&gt;0,
    COUNTIFS($Y$3:$Y$201,$M228)&gt;0,
    COUNTIFS($Z$3:$Z$201,$M228)&gt;0,
    COUNTIFS($AA$3:$AA$201,$M228)&gt;0,
    COUNTIFS($AB$3:$AB$201,$M228)&gt;0,
    COUNTIFS($AC$3:$AC$201,$M228)&gt;0,
    COUNTIFS($AD$3:$AD$201,$M228)&gt;0,
    COUNTIFS($AE$3:$AE$201,$M228)&gt;0,
    COUNTIFS($AF$3:$AF$201,$M228)&gt;0,
    COUNTIFS($AG$3:$AG$201,$M228)&gt;0,
    COUNTIFS($AH$3:$AH$201,$M228)&gt;0,
    COUNTIFS($AI$3:$AI$201,$M228)&gt;0,
    COUNTIFS($AJ$3:$AJ$201,$M228)&gt;0,
    COUNTIFS($AK$3:$AK$201,$M228)&gt;0,
    COUNTIFS($AL$3:$AL$201,$M228)&gt;0,
    COUNTIFS($AM$3:$AM$201,$M228)&gt;0,
    COUNTIFS($AN$3:$AN$201,$M228)&gt;0,
    COUNTIFS($AO$3:$AO$201,$M228)&gt;0,
    COUNTIFS($AP$3:$AP$201,$M228)&gt;0,
    COUNTIFS($AQ$3:$AQ$201,$M228)&gt;0,
    COUNTIFS($AR$3:$AR$201,$M228)&gt;0,
    COUNTIFS($AS$3:$AS$201,$M228)&gt;0,
    COUNTIFS($AT$3:$AT$201,$M228)&gt;0,
    COUNTIFS($AU$3:$AU$201,$M228)&gt;0,
    COUNTIFS($AV$3:$AV$201,$M228)&gt;0,
    COUNTIFS($AW$3:$AW$201,$M228)&gt;0,
    COUNTIFS($AX$3:$AX$201,$M228)&gt;0
   ),
  0)
 ),
"")</f>
        <v/>
      </c>
      <c r="P228" s="2" t="str" cm="1">
        <f t="array" aca="1" ref="P228" ca="1">IFERROR(
 INDEX(
  _xlfn._xlws.FILTER($U$2:$AX$2,
   TRANSPOSE(
    CHOOSE({1;2;3;4;5;6;7;8;9;10;11;12;13;14;15;16;17;18;19;20;21;22;23;24;25;26;27;28;29;30},
     COUNTIFS($U$3:$U$201,$M228)&gt;0,
     COUNTIFS($V$3:$V$201,$M228)&gt;0,
     COUNTIFS($W$3:$W$201,$M228)&gt;0,
     COUNTIFS($X$3:$X$201,$M228)&gt;0,
     COUNTIFS($Y$3:$Y$201,$M228)&gt;0,
     COUNTIFS($Z$3:$Z$201,$M228)&gt;0,
     COUNTIFS($AA$3:$AA$201,$M228)&gt;0,
     COUNTIFS($AB$3:$AB$201,$M228)&gt;0,
     COUNTIFS($AC$3:$AC$201,$M228)&gt;0,
     COUNTIFS($AD$3:$AD$201,$M228)&gt;0,
     COUNTIFS($AE$3:$AE$201,$M228)&gt;0,
     COUNTIFS($AF$3:$AF$201,$M228)&gt;0,
     COUNTIFS($AG$3:$AG$201,$M228)&gt;0,
     COUNTIFS($AH$3:$AH$201,$M228)&gt;0,
     COUNTIFS($AI$3:$AI$201,$M228)&gt;0,
     COUNTIFS($AJ$3:$AJ$201,$M228)&gt;0,
     COUNTIFS($AK$3:$AK$201,$M228)&gt;0,
     COUNTIFS($AL$3:$AL$201,$M228)&gt;0,
     COUNTIFS($AM$3:$AM$201,$M228)&gt;0,
     COUNTIFS($AN$3:$AN$201,$M228)&gt;0,
     COUNTIFS($AO$3:$AO$201,$M228)&gt;0,
     COUNTIFS($AP$3:$AP$201,$M228)&gt;0,
     COUNTIFS($AQ$3:$AQ$201,$M228)&gt;0,
     COUNTIFS($AR$3:$AR$201,$M228)&gt;0,
     COUNTIFS($AS$3:$AS$201,$M228)&gt;0,
     COUNTIFS($AT$3:$AT$201,$M228)&gt;0,
     COUNTIFS($AU$3:$AU$201,$M228)&gt;0,
     COUNTIFS($AV$3:$AV$201,$M228)&gt;0,
     COUNTIFS($AW$3:$AW$201,$M228)&gt;0,
     COUNTIFS($AX$3:$AX$201,$M228)&gt;0
   )),
  ),
  2
 ),
"")</f>
        <v/>
      </c>
      <c r="Q228" s="2" t="str" cm="1">
        <f t="array" aca="1" ref="Q228" ca="1">IFERROR(
 INDEX(
  _xlfn._xlws.FILTER($U$2:$AX$2,
   TRANSPOSE(
    CHOOSE({1;2;3;4;5;6;7;8;9;10;11;12;13;14;15;16;17;18;19;20;21;22;23;24;25;26;27;28;29;30},
     COUNTIFS($U$3:$U$201,$M228)&gt;0,
     COUNTIFS($V$3:$V$201,$M228)&gt;0,
     COUNTIFS($W$3:$W$201,$M228)&gt;0,
     COUNTIFS($X$3:$X$201,$M228)&gt;0,
     COUNTIFS($Y$3:$Y$201,$M228)&gt;0,
     COUNTIFS($Z$3:$Z$201,$M228)&gt;0,
     COUNTIFS($AA$3:$AA$201,$M228)&gt;0,
     COUNTIFS($AB$3:$AB$201,$M228)&gt;0,
     COUNTIFS($AC$3:$AC$201,$M228)&gt;0,
     COUNTIFS($AD$3:$AD$201,$M228)&gt;0,
     COUNTIFS($AE$3:$AE$201,$M228)&gt;0,
     COUNTIFS($AF$3:$AF$201,$M228)&gt;0,
     COUNTIFS($AG$3:$AG$201,$M228)&gt;0,
     COUNTIFS($AH$3:$AH$201,$M228)&gt;0,
     COUNTIFS($AI$3:$AI$201,$M228)&gt;0,
     COUNTIFS($AJ$3:$AJ$201,$M228)&gt;0,
     COUNTIFS($AK$3:$AK$201,$M228)&gt;0,
     COUNTIFS($AL$3:$AL$201,$M228)&gt;0,
     COUNTIFS($AM$3:$AM$201,$M228)&gt;0,
     COUNTIFS($AN$3:$AN$201,$M228)&gt;0,
     COUNTIFS($AO$3:$AO$201,$M228)&gt;0,
     COUNTIFS($AP$3:$AP$201,$M228)&gt;0,
     COUNTIFS($AQ$3:$AQ$201,$M228)&gt;0,
     COUNTIFS($AR$3:$AR$201,$M228)&gt;0,
     COUNTIFS($AS$3:$AS$201,$M228)&gt;0,
     COUNTIFS($AT$3:$AT$201,$M228)&gt;0,
     COUNTIFS($AU$3:$AU$201,$M228)&gt;0,
     COUNTIFS($AV$3:$AV$201,$M228)&gt;0,
     COUNTIFS($AW$3:$AW$201,$M228)&gt;0,
     COUNTIFS($AX$3:$AX$201,$M228)&gt;0
   )),
  ),
  3
 ),
"")</f>
        <v/>
      </c>
      <c r="ET228" t="str">
        <f ca="1"/>
        <v>Whelming Wave</v>
      </c>
      <c r="EW228" t="str">
        <f ca="1"/>
        <v>Vindictive Warden</v>
      </c>
    </row>
    <row r="229" spans="1:153" x14ac:dyDescent="0.25">
      <c r="A229" t="str">
        <f ca="1"/>
        <v>Kambal, Profiteering Mayor</v>
      </c>
      <c r="B229" s="2" t="str" cm="1">
        <f t="array" aca="1" ref="B229" ca="1">_xlfn.ANCHORARRAY(RESUMO!C228)</f>
        <v>Alela</v>
      </c>
      <c r="C229" s="2" t="str">
        <f t="shared" ca="1" si="12"/>
        <v/>
      </c>
      <c r="E229" t="str">
        <f ca="1"/>
        <v>Visions of Phyrexia</v>
      </c>
      <c r="F229" s="2">
        <f t="shared" ca="1" si="15"/>
        <v>1</v>
      </c>
      <c r="G229" s="2" t="str">
        <f t="shared" ca="1" si="13"/>
        <v/>
      </c>
      <c r="J229" t="s">
        <v>180</v>
      </c>
      <c r="K229" s="2">
        <v>1</v>
      </c>
      <c r="M229" t="str">
        <f ca="1"/>
        <v>Visions of Phyrexia</v>
      </c>
      <c r="N229" s="2">
        <f t="shared" ca="1" si="14"/>
        <v>0</v>
      </c>
      <c r="O229" s="2" t="str">
        <f ca="1">IFERROR(
 INDEX($U$2:$AX$2,
  MATCH(TRUE,
   CHOOSE({1;2;3;4;5;6;7;8;9;10;11;12;13;14;15;16;17;18;19;20;21;22;23;24;25;26;27;28;29;30;31;32},
    COUNTIFS($U$3:$U$201,$M229)&gt;0,
    COUNTIFS($V$3:$V$201,$M229)&gt;0,
    COUNTIFS($W$3:$W$201,$M229)&gt;0,
    COUNTIFS($X$3:$X$201,$M229)&gt;0,
    COUNTIFS($Y$3:$Y$201,$M229)&gt;0,
    COUNTIFS($Z$3:$Z$201,$M229)&gt;0,
    COUNTIFS($AA$3:$AA$201,$M229)&gt;0,
    COUNTIFS($AB$3:$AB$201,$M229)&gt;0,
    COUNTIFS($AC$3:$AC$201,$M229)&gt;0,
    COUNTIFS($AD$3:$AD$201,$M229)&gt;0,
    COUNTIFS($AE$3:$AE$201,$M229)&gt;0,
    COUNTIFS($AF$3:$AF$201,$M229)&gt;0,
    COUNTIFS($AG$3:$AG$201,$M229)&gt;0,
    COUNTIFS($AH$3:$AH$201,$M229)&gt;0,
    COUNTIFS($AI$3:$AI$201,$M229)&gt;0,
    COUNTIFS($AJ$3:$AJ$201,$M229)&gt;0,
    COUNTIFS($AK$3:$AK$201,$M229)&gt;0,
    COUNTIFS($AL$3:$AL$201,$M229)&gt;0,
    COUNTIFS($AM$3:$AM$201,$M229)&gt;0,
    COUNTIFS($AN$3:$AN$201,$M229)&gt;0,
    COUNTIFS($AO$3:$AO$201,$M229)&gt;0,
    COUNTIFS($AP$3:$AP$201,$M229)&gt;0,
    COUNTIFS($AQ$3:$AQ$201,$M229)&gt;0,
    COUNTIFS($AR$3:$AR$201,$M229)&gt;0,
    COUNTIFS($AS$3:$AS$201,$M229)&gt;0,
    COUNTIFS($AT$3:$AT$201,$M229)&gt;0,
    COUNTIFS($AU$3:$AU$201,$M229)&gt;0,
    COUNTIFS($AV$3:$AV$201,$M229)&gt;0,
    COUNTIFS($AW$3:$AW$201,$M229)&gt;0,
    COUNTIFS($AX$3:$AX$201,$M229)&gt;0
   ),
  0)
 ),
"")</f>
        <v/>
      </c>
      <c r="P229" s="2" t="str" cm="1">
        <f t="array" aca="1" ref="P229" ca="1">IFERROR(
 INDEX(
  _xlfn._xlws.FILTER($U$2:$AX$2,
   TRANSPOSE(
    CHOOSE({1;2;3;4;5;6;7;8;9;10;11;12;13;14;15;16;17;18;19;20;21;22;23;24;25;26;27;28;29;30},
     COUNTIFS($U$3:$U$201,$M229)&gt;0,
     COUNTIFS($V$3:$V$201,$M229)&gt;0,
     COUNTIFS($W$3:$W$201,$M229)&gt;0,
     COUNTIFS($X$3:$X$201,$M229)&gt;0,
     COUNTIFS($Y$3:$Y$201,$M229)&gt;0,
     COUNTIFS($Z$3:$Z$201,$M229)&gt;0,
     COUNTIFS($AA$3:$AA$201,$M229)&gt;0,
     COUNTIFS($AB$3:$AB$201,$M229)&gt;0,
     COUNTIFS($AC$3:$AC$201,$M229)&gt;0,
     COUNTIFS($AD$3:$AD$201,$M229)&gt;0,
     COUNTIFS($AE$3:$AE$201,$M229)&gt;0,
     COUNTIFS($AF$3:$AF$201,$M229)&gt;0,
     COUNTIFS($AG$3:$AG$201,$M229)&gt;0,
     COUNTIFS($AH$3:$AH$201,$M229)&gt;0,
     COUNTIFS($AI$3:$AI$201,$M229)&gt;0,
     COUNTIFS($AJ$3:$AJ$201,$M229)&gt;0,
     COUNTIFS($AK$3:$AK$201,$M229)&gt;0,
     COUNTIFS($AL$3:$AL$201,$M229)&gt;0,
     COUNTIFS($AM$3:$AM$201,$M229)&gt;0,
     COUNTIFS($AN$3:$AN$201,$M229)&gt;0,
     COUNTIFS($AO$3:$AO$201,$M229)&gt;0,
     COUNTIFS($AP$3:$AP$201,$M229)&gt;0,
     COUNTIFS($AQ$3:$AQ$201,$M229)&gt;0,
     COUNTIFS($AR$3:$AR$201,$M229)&gt;0,
     COUNTIFS($AS$3:$AS$201,$M229)&gt;0,
     COUNTIFS($AT$3:$AT$201,$M229)&gt;0,
     COUNTIFS($AU$3:$AU$201,$M229)&gt;0,
     COUNTIFS($AV$3:$AV$201,$M229)&gt;0,
     COUNTIFS($AW$3:$AW$201,$M229)&gt;0,
     COUNTIFS($AX$3:$AX$201,$M229)&gt;0
   )),
  ),
  2
 ),
"")</f>
        <v/>
      </c>
      <c r="Q229" s="2" t="str" cm="1">
        <f t="array" aca="1" ref="Q229" ca="1">IFERROR(
 INDEX(
  _xlfn._xlws.FILTER($U$2:$AX$2,
   TRANSPOSE(
    CHOOSE({1;2;3;4;5;6;7;8;9;10;11;12;13;14;15;16;17;18;19;20;21;22;23;24;25;26;27;28;29;30},
     COUNTIFS($U$3:$U$201,$M229)&gt;0,
     COUNTIFS($V$3:$V$201,$M229)&gt;0,
     COUNTIFS($W$3:$W$201,$M229)&gt;0,
     COUNTIFS($X$3:$X$201,$M229)&gt;0,
     COUNTIFS($Y$3:$Y$201,$M229)&gt;0,
     COUNTIFS($Z$3:$Z$201,$M229)&gt;0,
     COUNTIFS($AA$3:$AA$201,$M229)&gt;0,
     COUNTIFS($AB$3:$AB$201,$M229)&gt;0,
     COUNTIFS($AC$3:$AC$201,$M229)&gt;0,
     COUNTIFS($AD$3:$AD$201,$M229)&gt;0,
     COUNTIFS($AE$3:$AE$201,$M229)&gt;0,
     COUNTIFS($AF$3:$AF$201,$M229)&gt;0,
     COUNTIFS($AG$3:$AG$201,$M229)&gt;0,
     COUNTIFS($AH$3:$AH$201,$M229)&gt;0,
     COUNTIFS($AI$3:$AI$201,$M229)&gt;0,
     COUNTIFS($AJ$3:$AJ$201,$M229)&gt;0,
     COUNTIFS($AK$3:$AK$201,$M229)&gt;0,
     COUNTIFS($AL$3:$AL$201,$M229)&gt;0,
     COUNTIFS($AM$3:$AM$201,$M229)&gt;0,
     COUNTIFS($AN$3:$AN$201,$M229)&gt;0,
     COUNTIFS($AO$3:$AO$201,$M229)&gt;0,
     COUNTIFS($AP$3:$AP$201,$M229)&gt;0,
     COUNTIFS($AQ$3:$AQ$201,$M229)&gt;0,
     COUNTIFS($AR$3:$AR$201,$M229)&gt;0,
     COUNTIFS($AS$3:$AS$201,$M229)&gt;0,
     COUNTIFS($AT$3:$AT$201,$M229)&gt;0,
     COUNTIFS($AU$3:$AU$201,$M229)&gt;0,
     COUNTIFS($AV$3:$AV$201,$M229)&gt;0,
     COUNTIFS($AW$3:$AW$201,$M229)&gt;0,
     COUNTIFS($AX$3:$AX$201,$M229)&gt;0
   )),
  ),
  3
 ),
"")</f>
        <v/>
      </c>
      <c r="ET229" t="str">
        <f ca="1"/>
        <v>Wizard's Retort</v>
      </c>
      <c r="EW229" t="str">
        <f ca="1"/>
        <v>Visions of Phyrexia</v>
      </c>
    </row>
    <row r="230" spans="1:153" x14ac:dyDescent="0.25">
      <c r="A230" t="str">
        <f ca="1"/>
        <v>Karn's Bastion</v>
      </c>
      <c r="B230" s="2" t="str" cm="1">
        <f t="array" aca="1" ref="B230" ca="1">_xlfn.ANCHORARRAY(RESUMO!C229)</f>
        <v>Modular</v>
      </c>
      <c r="C230" s="2" t="str">
        <f t="shared" ca="1" si="12"/>
        <v/>
      </c>
      <c r="E230" t="str">
        <f ca="1"/>
        <v>Vivid Marsh</v>
      </c>
      <c r="F230" s="2">
        <f t="shared" ca="1" si="15"/>
        <v>1</v>
      </c>
      <c r="G230" s="2" t="str">
        <f t="shared" ca="1" si="13"/>
        <v>Inalla</v>
      </c>
      <c r="J230" t="s">
        <v>180</v>
      </c>
      <c r="K230" s="2">
        <v>1</v>
      </c>
      <c r="M230" t="str">
        <f ca="1"/>
        <v>Vivid Marsh</v>
      </c>
      <c r="N230" s="2">
        <f t="shared" ca="1" si="14"/>
        <v>1</v>
      </c>
      <c r="O230" s="2" t="str">
        <f ca="1">IFERROR(
 INDEX($U$2:$AX$2,
  MATCH(TRUE,
   CHOOSE({1;2;3;4;5;6;7;8;9;10;11;12;13;14;15;16;17;18;19;20;21;22;23;24;25;26;27;28;29;30;31;32},
    COUNTIFS($U$3:$U$201,$M230)&gt;0,
    COUNTIFS($V$3:$V$201,$M230)&gt;0,
    COUNTIFS($W$3:$W$201,$M230)&gt;0,
    COUNTIFS($X$3:$X$201,$M230)&gt;0,
    COUNTIFS($Y$3:$Y$201,$M230)&gt;0,
    COUNTIFS($Z$3:$Z$201,$M230)&gt;0,
    COUNTIFS($AA$3:$AA$201,$M230)&gt;0,
    COUNTIFS($AB$3:$AB$201,$M230)&gt;0,
    COUNTIFS($AC$3:$AC$201,$M230)&gt;0,
    COUNTIFS($AD$3:$AD$201,$M230)&gt;0,
    COUNTIFS($AE$3:$AE$201,$M230)&gt;0,
    COUNTIFS($AF$3:$AF$201,$M230)&gt;0,
    COUNTIFS($AG$3:$AG$201,$M230)&gt;0,
    COUNTIFS($AH$3:$AH$201,$M230)&gt;0,
    COUNTIFS($AI$3:$AI$201,$M230)&gt;0,
    COUNTIFS($AJ$3:$AJ$201,$M230)&gt;0,
    COUNTIFS($AK$3:$AK$201,$M230)&gt;0,
    COUNTIFS($AL$3:$AL$201,$M230)&gt;0,
    COUNTIFS($AM$3:$AM$201,$M230)&gt;0,
    COUNTIFS($AN$3:$AN$201,$M230)&gt;0,
    COUNTIFS($AO$3:$AO$201,$M230)&gt;0,
    COUNTIFS($AP$3:$AP$201,$M230)&gt;0,
    COUNTIFS($AQ$3:$AQ$201,$M230)&gt;0,
    COUNTIFS($AR$3:$AR$201,$M230)&gt;0,
    COUNTIFS($AS$3:$AS$201,$M230)&gt;0,
    COUNTIFS($AT$3:$AT$201,$M230)&gt;0,
    COUNTIFS($AU$3:$AU$201,$M230)&gt;0,
    COUNTIFS($AV$3:$AV$201,$M230)&gt;0,
    COUNTIFS($AW$3:$AW$201,$M230)&gt;0,
    COUNTIFS($AX$3:$AX$201,$M230)&gt;0
   ),
  0)
 ),
"")</f>
        <v>Inalla</v>
      </c>
      <c r="P230" s="2" t="str" cm="1">
        <f t="array" aca="1" ref="P230" ca="1">IFERROR(
 INDEX(
  _xlfn._xlws.FILTER($U$2:$AX$2,
   TRANSPOSE(
    CHOOSE({1;2;3;4;5;6;7;8;9;10;11;12;13;14;15;16;17;18;19;20;21;22;23;24;25;26;27;28;29;30},
     COUNTIFS($U$3:$U$201,$M230)&gt;0,
     COUNTIFS($V$3:$V$201,$M230)&gt;0,
     COUNTIFS($W$3:$W$201,$M230)&gt;0,
     COUNTIFS($X$3:$X$201,$M230)&gt;0,
     COUNTIFS($Y$3:$Y$201,$M230)&gt;0,
     COUNTIFS($Z$3:$Z$201,$M230)&gt;0,
     COUNTIFS($AA$3:$AA$201,$M230)&gt;0,
     COUNTIFS($AB$3:$AB$201,$M230)&gt;0,
     COUNTIFS($AC$3:$AC$201,$M230)&gt;0,
     COUNTIFS($AD$3:$AD$201,$M230)&gt;0,
     COUNTIFS($AE$3:$AE$201,$M230)&gt;0,
     COUNTIFS($AF$3:$AF$201,$M230)&gt;0,
     COUNTIFS($AG$3:$AG$201,$M230)&gt;0,
     COUNTIFS($AH$3:$AH$201,$M230)&gt;0,
     COUNTIFS($AI$3:$AI$201,$M230)&gt;0,
     COUNTIFS($AJ$3:$AJ$201,$M230)&gt;0,
     COUNTIFS($AK$3:$AK$201,$M230)&gt;0,
     COUNTIFS($AL$3:$AL$201,$M230)&gt;0,
     COUNTIFS($AM$3:$AM$201,$M230)&gt;0,
     COUNTIFS($AN$3:$AN$201,$M230)&gt;0,
     COUNTIFS($AO$3:$AO$201,$M230)&gt;0,
     COUNTIFS($AP$3:$AP$201,$M230)&gt;0,
     COUNTIFS($AQ$3:$AQ$201,$M230)&gt;0,
     COUNTIFS($AR$3:$AR$201,$M230)&gt;0,
     COUNTIFS($AS$3:$AS$201,$M230)&gt;0,
     COUNTIFS($AT$3:$AT$201,$M230)&gt;0,
     COUNTIFS($AU$3:$AU$201,$M230)&gt;0,
     COUNTIFS($AV$3:$AV$201,$M230)&gt;0,
     COUNTIFS($AW$3:$AW$201,$M230)&gt;0,
     COUNTIFS($AX$3:$AX$201,$M230)&gt;0
   )),
  ),
  2
 ),
"")</f>
        <v/>
      </c>
      <c r="Q230" s="2" t="str" cm="1">
        <f t="array" aca="1" ref="Q230" ca="1">IFERROR(
 INDEX(
  _xlfn._xlws.FILTER($U$2:$AX$2,
   TRANSPOSE(
    CHOOSE({1;2;3;4;5;6;7;8;9;10;11;12;13;14;15;16;17;18;19;20;21;22;23;24;25;26;27;28;29;30},
     COUNTIFS($U$3:$U$201,$M230)&gt;0,
     COUNTIFS($V$3:$V$201,$M230)&gt;0,
     COUNTIFS($W$3:$W$201,$M230)&gt;0,
     COUNTIFS($X$3:$X$201,$M230)&gt;0,
     COUNTIFS($Y$3:$Y$201,$M230)&gt;0,
     COUNTIFS($Z$3:$Z$201,$M230)&gt;0,
     COUNTIFS($AA$3:$AA$201,$M230)&gt;0,
     COUNTIFS($AB$3:$AB$201,$M230)&gt;0,
     COUNTIFS($AC$3:$AC$201,$M230)&gt;0,
     COUNTIFS($AD$3:$AD$201,$M230)&gt;0,
     COUNTIFS($AE$3:$AE$201,$M230)&gt;0,
     COUNTIFS($AF$3:$AF$201,$M230)&gt;0,
     COUNTIFS($AG$3:$AG$201,$M230)&gt;0,
     COUNTIFS($AH$3:$AH$201,$M230)&gt;0,
     COUNTIFS($AI$3:$AI$201,$M230)&gt;0,
     COUNTIFS($AJ$3:$AJ$201,$M230)&gt;0,
     COUNTIFS($AK$3:$AK$201,$M230)&gt;0,
     COUNTIFS($AL$3:$AL$201,$M230)&gt;0,
     COUNTIFS($AM$3:$AM$201,$M230)&gt;0,
     COUNTIFS($AN$3:$AN$201,$M230)&gt;0,
     COUNTIFS($AO$3:$AO$201,$M230)&gt;0,
     COUNTIFS($AP$3:$AP$201,$M230)&gt;0,
     COUNTIFS($AQ$3:$AQ$201,$M230)&gt;0,
     COUNTIFS($AR$3:$AR$201,$M230)&gt;0,
     COUNTIFS($AS$3:$AS$201,$M230)&gt;0,
     COUNTIFS($AT$3:$AT$201,$M230)&gt;0,
     COUNTIFS($AU$3:$AU$201,$M230)&gt;0,
     COUNTIFS($AV$3:$AV$201,$M230)&gt;0,
     COUNTIFS($AW$3:$AW$201,$M230)&gt;0,
     COUNTIFS($AX$3:$AX$201,$M230)&gt;0
   )),
  ),
  3
 ),
"")</f>
        <v/>
      </c>
      <c r="ET230" t="str">
        <f ca="1"/>
        <v>World Shaper</v>
      </c>
      <c r="EW230" t="str">
        <f ca="1"/>
        <v>Vivid Marsh</v>
      </c>
    </row>
    <row r="231" spans="1:153" x14ac:dyDescent="0.25">
      <c r="A231" t="str">
        <f ca="1"/>
        <v>Karplusan Forest</v>
      </c>
      <c r="B231" s="2" t="str" cm="1">
        <f t="array" aca="1" ref="B231" ca="1">_xlfn.ANCHORARRAY(RESUMO!C230)</f>
        <v>Baylen</v>
      </c>
      <c r="C231" s="2" t="str">
        <f t="shared" ca="1" si="12"/>
        <v/>
      </c>
      <c r="E231" t="str">
        <f ca="1"/>
        <v>Walking Ballista</v>
      </c>
      <c r="F231" s="2">
        <f t="shared" ca="1" si="15"/>
        <v>1</v>
      </c>
      <c r="G231" s="2" t="str">
        <f t="shared" ca="1" si="13"/>
        <v>Modular</v>
      </c>
      <c r="J231" t="s">
        <v>180</v>
      </c>
      <c r="K231" s="2">
        <v>1</v>
      </c>
      <c r="M231" t="str">
        <f ca="1"/>
        <v>Walking Ballista</v>
      </c>
      <c r="N231" s="2">
        <f t="shared" ca="1" si="14"/>
        <v>1</v>
      </c>
      <c r="O231" s="2" t="str">
        <f ca="1">IFERROR(
 INDEX($U$2:$AX$2,
  MATCH(TRUE,
   CHOOSE({1;2;3;4;5;6;7;8;9;10;11;12;13;14;15;16;17;18;19;20;21;22;23;24;25;26;27;28;29;30;31;32},
    COUNTIFS($U$3:$U$201,$M231)&gt;0,
    COUNTIFS($V$3:$V$201,$M231)&gt;0,
    COUNTIFS($W$3:$W$201,$M231)&gt;0,
    COUNTIFS($X$3:$X$201,$M231)&gt;0,
    COUNTIFS($Y$3:$Y$201,$M231)&gt;0,
    COUNTIFS($Z$3:$Z$201,$M231)&gt;0,
    COUNTIFS($AA$3:$AA$201,$M231)&gt;0,
    COUNTIFS($AB$3:$AB$201,$M231)&gt;0,
    COUNTIFS($AC$3:$AC$201,$M231)&gt;0,
    COUNTIFS($AD$3:$AD$201,$M231)&gt;0,
    COUNTIFS($AE$3:$AE$201,$M231)&gt;0,
    COUNTIFS($AF$3:$AF$201,$M231)&gt;0,
    COUNTIFS($AG$3:$AG$201,$M231)&gt;0,
    COUNTIFS($AH$3:$AH$201,$M231)&gt;0,
    COUNTIFS($AI$3:$AI$201,$M231)&gt;0,
    COUNTIFS($AJ$3:$AJ$201,$M231)&gt;0,
    COUNTIFS($AK$3:$AK$201,$M231)&gt;0,
    COUNTIFS($AL$3:$AL$201,$M231)&gt;0,
    COUNTIFS($AM$3:$AM$201,$M231)&gt;0,
    COUNTIFS($AN$3:$AN$201,$M231)&gt;0,
    COUNTIFS($AO$3:$AO$201,$M231)&gt;0,
    COUNTIFS($AP$3:$AP$201,$M231)&gt;0,
    COUNTIFS($AQ$3:$AQ$201,$M231)&gt;0,
    COUNTIFS($AR$3:$AR$201,$M231)&gt;0,
    COUNTIFS($AS$3:$AS$201,$M231)&gt;0,
    COUNTIFS($AT$3:$AT$201,$M231)&gt;0,
    COUNTIFS($AU$3:$AU$201,$M231)&gt;0,
    COUNTIFS($AV$3:$AV$201,$M231)&gt;0,
    COUNTIFS($AW$3:$AW$201,$M231)&gt;0,
    COUNTIFS($AX$3:$AX$201,$M231)&gt;0
   ),
  0)
 ),
"")</f>
        <v>Modular</v>
      </c>
      <c r="P231" s="2" t="str" cm="1">
        <f t="array" aca="1" ref="P231" ca="1">IFERROR(
 INDEX(
  _xlfn._xlws.FILTER($U$2:$AX$2,
   TRANSPOSE(
    CHOOSE({1;2;3;4;5;6;7;8;9;10;11;12;13;14;15;16;17;18;19;20;21;22;23;24;25;26;27;28;29;30},
     COUNTIFS($U$3:$U$201,$M231)&gt;0,
     COUNTIFS($V$3:$V$201,$M231)&gt;0,
     COUNTIFS($W$3:$W$201,$M231)&gt;0,
     COUNTIFS($X$3:$X$201,$M231)&gt;0,
     COUNTIFS($Y$3:$Y$201,$M231)&gt;0,
     COUNTIFS($Z$3:$Z$201,$M231)&gt;0,
     COUNTIFS($AA$3:$AA$201,$M231)&gt;0,
     COUNTIFS($AB$3:$AB$201,$M231)&gt;0,
     COUNTIFS($AC$3:$AC$201,$M231)&gt;0,
     COUNTIFS($AD$3:$AD$201,$M231)&gt;0,
     COUNTIFS($AE$3:$AE$201,$M231)&gt;0,
     COUNTIFS($AF$3:$AF$201,$M231)&gt;0,
     COUNTIFS($AG$3:$AG$201,$M231)&gt;0,
     COUNTIFS($AH$3:$AH$201,$M231)&gt;0,
     COUNTIFS($AI$3:$AI$201,$M231)&gt;0,
     COUNTIFS($AJ$3:$AJ$201,$M231)&gt;0,
     COUNTIFS($AK$3:$AK$201,$M231)&gt;0,
     COUNTIFS($AL$3:$AL$201,$M231)&gt;0,
     COUNTIFS($AM$3:$AM$201,$M231)&gt;0,
     COUNTIFS($AN$3:$AN$201,$M231)&gt;0,
     COUNTIFS($AO$3:$AO$201,$M231)&gt;0,
     COUNTIFS($AP$3:$AP$201,$M231)&gt;0,
     COUNTIFS($AQ$3:$AQ$201,$M231)&gt;0,
     COUNTIFS($AR$3:$AR$201,$M231)&gt;0,
     COUNTIFS($AS$3:$AS$201,$M231)&gt;0,
     COUNTIFS($AT$3:$AT$201,$M231)&gt;0,
     COUNTIFS($AU$3:$AU$201,$M231)&gt;0,
     COUNTIFS($AV$3:$AV$201,$M231)&gt;0,
     COUNTIFS($AW$3:$AW$201,$M231)&gt;0,
     COUNTIFS($AX$3:$AX$201,$M231)&gt;0
   )),
  ),
  2
 ),
"")</f>
        <v/>
      </c>
      <c r="Q231" s="2" t="str" cm="1">
        <f t="array" aca="1" ref="Q231" ca="1">IFERROR(
 INDEX(
  _xlfn._xlws.FILTER($U$2:$AX$2,
   TRANSPOSE(
    CHOOSE({1;2;3;4;5;6;7;8;9;10;11;12;13;14;15;16;17;18;19;20;21;22;23;24;25;26;27;28;29;30},
     COUNTIFS($U$3:$U$201,$M231)&gt;0,
     COUNTIFS($V$3:$V$201,$M231)&gt;0,
     COUNTIFS($W$3:$W$201,$M231)&gt;0,
     COUNTIFS($X$3:$X$201,$M231)&gt;0,
     COUNTIFS($Y$3:$Y$201,$M231)&gt;0,
     COUNTIFS($Z$3:$Z$201,$M231)&gt;0,
     COUNTIFS($AA$3:$AA$201,$M231)&gt;0,
     COUNTIFS($AB$3:$AB$201,$M231)&gt;0,
     COUNTIFS($AC$3:$AC$201,$M231)&gt;0,
     COUNTIFS($AD$3:$AD$201,$M231)&gt;0,
     COUNTIFS($AE$3:$AE$201,$M231)&gt;0,
     COUNTIFS($AF$3:$AF$201,$M231)&gt;0,
     COUNTIFS($AG$3:$AG$201,$M231)&gt;0,
     COUNTIFS($AH$3:$AH$201,$M231)&gt;0,
     COUNTIFS($AI$3:$AI$201,$M231)&gt;0,
     COUNTIFS($AJ$3:$AJ$201,$M231)&gt;0,
     COUNTIFS($AK$3:$AK$201,$M231)&gt;0,
     COUNTIFS($AL$3:$AL$201,$M231)&gt;0,
     COUNTIFS($AM$3:$AM$201,$M231)&gt;0,
     COUNTIFS($AN$3:$AN$201,$M231)&gt;0,
     COUNTIFS($AO$3:$AO$201,$M231)&gt;0,
     COUNTIFS($AP$3:$AP$201,$M231)&gt;0,
     COUNTIFS($AQ$3:$AQ$201,$M231)&gt;0,
     COUNTIFS($AR$3:$AR$201,$M231)&gt;0,
     COUNTIFS($AS$3:$AS$201,$M231)&gt;0,
     COUNTIFS($AT$3:$AT$201,$M231)&gt;0,
     COUNTIFS($AU$3:$AU$201,$M231)&gt;0,
     COUNTIFS($AV$3:$AV$201,$M231)&gt;0,
     COUNTIFS($AW$3:$AW$201,$M231)&gt;0,
     COUNTIFS($AX$3:$AX$201,$M231)&gt;0
   )),
  ),
  3
 ),
"")</f>
        <v/>
      </c>
      <c r="ET231" t="str">
        <f ca="1"/>
        <v>Worn Powerstone</v>
      </c>
      <c r="EW231" t="str">
        <f ca="1"/>
        <v>Walking Ballista</v>
      </c>
    </row>
    <row r="232" spans="1:153" x14ac:dyDescent="0.25">
      <c r="A232" t="str">
        <f ca="1"/>
        <v>Katara's Reversal</v>
      </c>
      <c r="B232" s="2" t="str" cm="1">
        <f t="array" aca="1" ref="B232" ca="1">_xlfn.ANCHORARRAY(RESUMO!C231)</f>
        <v>Muzzio</v>
      </c>
      <c r="C232" s="2" t="str">
        <f t="shared" ca="1" si="12"/>
        <v/>
      </c>
      <c r="E232" t="str">
        <f ca="1"/>
        <v>Wall of Roots</v>
      </c>
      <c r="F232" s="2">
        <f t="shared" ca="1" si="15"/>
        <v>1</v>
      </c>
      <c r="G232" s="2" t="str">
        <f t="shared" ca="1" si="13"/>
        <v>Gritrog</v>
      </c>
      <c r="J232" t="s">
        <v>180</v>
      </c>
      <c r="K232" s="2">
        <v>1</v>
      </c>
      <c r="M232" t="str">
        <f ca="1"/>
        <v>Wall of Roots</v>
      </c>
      <c r="N232" s="2">
        <f t="shared" ca="1" si="14"/>
        <v>1</v>
      </c>
      <c r="O232" s="2" t="str">
        <f ca="1">IFERROR(
 INDEX($U$2:$AX$2,
  MATCH(TRUE,
   CHOOSE({1;2;3;4;5;6;7;8;9;10;11;12;13;14;15;16;17;18;19;20;21;22;23;24;25;26;27;28;29;30;31;32},
    COUNTIFS($U$3:$U$201,$M232)&gt;0,
    COUNTIFS($V$3:$V$201,$M232)&gt;0,
    COUNTIFS($W$3:$W$201,$M232)&gt;0,
    COUNTIFS($X$3:$X$201,$M232)&gt;0,
    COUNTIFS($Y$3:$Y$201,$M232)&gt;0,
    COUNTIFS($Z$3:$Z$201,$M232)&gt;0,
    COUNTIFS($AA$3:$AA$201,$M232)&gt;0,
    COUNTIFS($AB$3:$AB$201,$M232)&gt;0,
    COUNTIFS($AC$3:$AC$201,$M232)&gt;0,
    COUNTIFS($AD$3:$AD$201,$M232)&gt;0,
    COUNTIFS($AE$3:$AE$201,$M232)&gt;0,
    COUNTIFS($AF$3:$AF$201,$M232)&gt;0,
    COUNTIFS($AG$3:$AG$201,$M232)&gt;0,
    COUNTIFS($AH$3:$AH$201,$M232)&gt;0,
    COUNTIFS($AI$3:$AI$201,$M232)&gt;0,
    COUNTIFS($AJ$3:$AJ$201,$M232)&gt;0,
    COUNTIFS($AK$3:$AK$201,$M232)&gt;0,
    COUNTIFS($AL$3:$AL$201,$M232)&gt;0,
    COUNTIFS($AM$3:$AM$201,$M232)&gt;0,
    COUNTIFS($AN$3:$AN$201,$M232)&gt;0,
    COUNTIFS($AO$3:$AO$201,$M232)&gt;0,
    COUNTIFS($AP$3:$AP$201,$M232)&gt;0,
    COUNTIFS($AQ$3:$AQ$201,$M232)&gt;0,
    COUNTIFS($AR$3:$AR$201,$M232)&gt;0,
    COUNTIFS($AS$3:$AS$201,$M232)&gt;0,
    COUNTIFS($AT$3:$AT$201,$M232)&gt;0,
    COUNTIFS($AU$3:$AU$201,$M232)&gt;0,
    COUNTIFS($AV$3:$AV$201,$M232)&gt;0,
    COUNTIFS($AW$3:$AW$201,$M232)&gt;0,
    COUNTIFS($AX$3:$AX$201,$M232)&gt;0
   ),
  0)
 ),
"")</f>
        <v>Gritrog</v>
      </c>
      <c r="P232" s="2" t="str" cm="1">
        <f t="array" aca="1" ref="P232" ca="1">IFERROR(
 INDEX(
  _xlfn._xlws.FILTER($U$2:$AX$2,
   TRANSPOSE(
    CHOOSE({1;2;3;4;5;6;7;8;9;10;11;12;13;14;15;16;17;18;19;20;21;22;23;24;25;26;27;28;29;30},
     COUNTIFS($U$3:$U$201,$M232)&gt;0,
     COUNTIFS($V$3:$V$201,$M232)&gt;0,
     COUNTIFS($W$3:$W$201,$M232)&gt;0,
     COUNTIFS($X$3:$X$201,$M232)&gt;0,
     COUNTIFS($Y$3:$Y$201,$M232)&gt;0,
     COUNTIFS($Z$3:$Z$201,$M232)&gt;0,
     COUNTIFS($AA$3:$AA$201,$M232)&gt;0,
     COUNTIFS($AB$3:$AB$201,$M232)&gt;0,
     COUNTIFS($AC$3:$AC$201,$M232)&gt;0,
     COUNTIFS($AD$3:$AD$201,$M232)&gt;0,
     COUNTIFS($AE$3:$AE$201,$M232)&gt;0,
     COUNTIFS($AF$3:$AF$201,$M232)&gt;0,
     COUNTIFS($AG$3:$AG$201,$M232)&gt;0,
     COUNTIFS($AH$3:$AH$201,$M232)&gt;0,
     COUNTIFS($AI$3:$AI$201,$M232)&gt;0,
     COUNTIFS($AJ$3:$AJ$201,$M232)&gt;0,
     COUNTIFS($AK$3:$AK$201,$M232)&gt;0,
     COUNTIFS($AL$3:$AL$201,$M232)&gt;0,
     COUNTIFS($AM$3:$AM$201,$M232)&gt;0,
     COUNTIFS($AN$3:$AN$201,$M232)&gt;0,
     COUNTIFS($AO$3:$AO$201,$M232)&gt;0,
     COUNTIFS($AP$3:$AP$201,$M232)&gt;0,
     COUNTIFS($AQ$3:$AQ$201,$M232)&gt;0,
     COUNTIFS($AR$3:$AR$201,$M232)&gt;0,
     COUNTIFS($AS$3:$AS$201,$M232)&gt;0,
     COUNTIFS($AT$3:$AT$201,$M232)&gt;0,
     COUNTIFS($AU$3:$AU$201,$M232)&gt;0,
     COUNTIFS($AV$3:$AV$201,$M232)&gt;0,
     COUNTIFS($AW$3:$AW$201,$M232)&gt;0,
     COUNTIFS($AX$3:$AX$201,$M232)&gt;0
   )),
  ),
  2
 ),
"")</f>
        <v/>
      </c>
      <c r="Q232" s="2" t="str" cm="1">
        <f t="array" aca="1" ref="Q232" ca="1">IFERROR(
 INDEX(
  _xlfn._xlws.FILTER($U$2:$AX$2,
   TRANSPOSE(
    CHOOSE({1;2;3;4;5;6;7;8;9;10;11;12;13;14;15;16;17;18;19;20;21;22;23;24;25;26;27;28;29;30},
     COUNTIFS($U$3:$U$201,$M232)&gt;0,
     COUNTIFS($V$3:$V$201,$M232)&gt;0,
     COUNTIFS($W$3:$W$201,$M232)&gt;0,
     COUNTIFS($X$3:$X$201,$M232)&gt;0,
     COUNTIFS($Y$3:$Y$201,$M232)&gt;0,
     COUNTIFS($Z$3:$Z$201,$M232)&gt;0,
     COUNTIFS($AA$3:$AA$201,$M232)&gt;0,
     COUNTIFS($AB$3:$AB$201,$M232)&gt;0,
     COUNTIFS($AC$3:$AC$201,$M232)&gt;0,
     COUNTIFS($AD$3:$AD$201,$M232)&gt;0,
     COUNTIFS($AE$3:$AE$201,$M232)&gt;0,
     COUNTIFS($AF$3:$AF$201,$M232)&gt;0,
     COUNTIFS($AG$3:$AG$201,$M232)&gt;0,
     COUNTIFS($AH$3:$AH$201,$M232)&gt;0,
     COUNTIFS($AI$3:$AI$201,$M232)&gt;0,
     COUNTIFS($AJ$3:$AJ$201,$M232)&gt;0,
     COUNTIFS($AK$3:$AK$201,$M232)&gt;0,
     COUNTIFS($AL$3:$AL$201,$M232)&gt;0,
     COUNTIFS($AM$3:$AM$201,$M232)&gt;0,
     COUNTIFS($AN$3:$AN$201,$M232)&gt;0,
     COUNTIFS($AO$3:$AO$201,$M232)&gt;0,
     COUNTIFS($AP$3:$AP$201,$M232)&gt;0,
     COUNTIFS($AQ$3:$AQ$201,$M232)&gt;0,
     COUNTIFS($AR$3:$AR$201,$M232)&gt;0,
     COUNTIFS($AS$3:$AS$201,$M232)&gt;0,
     COUNTIFS($AT$3:$AT$201,$M232)&gt;0,
     COUNTIFS($AU$3:$AU$201,$M232)&gt;0,
     COUNTIFS($AV$3:$AV$201,$M232)&gt;0,
     COUNTIFS($AW$3:$AW$201,$M232)&gt;0,
     COUNTIFS($AX$3:$AX$201,$M232)&gt;0
   )),
  ),
  3
 ),
"")</f>
        <v/>
      </c>
      <c r="ET232" t="str">
        <f ca="1"/>
        <v>Wyll's Reversal</v>
      </c>
      <c r="EW232" t="str">
        <f ca="1"/>
        <v>Wall of Roots</v>
      </c>
    </row>
    <row r="233" spans="1:153" x14ac:dyDescent="0.25">
      <c r="A233" t="str">
        <f ca="1"/>
        <v>Kaya the Inexorable</v>
      </c>
      <c r="B233" s="2" t="str" cm="1">
        <f t="array" aca="1" ref="B233" ca="1">_xlfn.ANCHORARRAY(RESUMO!C232)</f>
        <v>Sisay</v>
      </c>
      <c r="C233" s="2" t="str">
        <f t="shared" ca="1" si="12"/>
        <v/>
      </c>
      <c r="E233" t="str">
        <f ca="1"/>
        <v>Wand of Wonder</v>
      </c>
      <c r="F233" s="2">
        <f t="shared" ca="1" si="15"/>
        <v>1</v>
      </c>
      <c r="G233" s="2" t="str">
        <f t="shared" ca="1" si="13"/>
        <v>Piratas</v>
      </c>
      <c r="J233" t="s">
        <v>180</v>
      </c>
      <c r="K233" s="2">
        <v>1</v>
      </c>
      <c r="M233" t="str">
        <f ca="1"/>
        <v>Wand of Wonder</v>
      </c>
      <c r="N233" s="2">
        <f t="shared" ca="1" si="14"/>
        <v>1</v>
      </c>
      <c r="O233" s="2" t="str">
        <f ca="1">IFERROR(
 INDEX($U$2:$AX$2,
  MATCH(TRUE,
   CHOOSE({1;2;3;4;5;6;7;8;9;10;11;12;13;14;15;16;17;18;19;20;21;22;23;24;25;26;27;28;29;30;31;32},
    COUNTIFS($U$3:$U$201,$M233)&gt;0,
    COUNTIFS($V$3:$V$201,$M233)&gt;0,
    COUNTIFS($W$3:$W$201,$M233)&gt;0,
    COUNTIFS($X$3:$X$201,$M233)&gt;0,
    COUNTIFS($Y$3:$Y$201,$M233)&gt;0,
    COUNTIFS($Z$3:$Z$201,$M233)&gt;0,
    COUNTIFS($AA$3:$AA$201,$M233)&gt;0,
    COUNTIFS($AB$3:$AB$201,$M233)&gt;0,
    COUNTIFS($AC$3:$AC$201,$M233)&gt;0,
    COUNTIFS($AD$3:$AD$201,$M233)&gt;0,
    COUNTIFS($AE$3:$AE$201,$M233)&gt;0,
    COUNTIFS($AF$3:$AF$201,$M233)&gt;0,
    COUNTIFS($AG$3:$AG$201,$M233)&gt;0,
    COUNTIFS($AH$3:$AH$201,$M233)&gt;0,
    COUNTIFS($AI$3:$AI$201,$M233)&gt;0,
    COUNTIFS($AJ$3:$AJ$201,$M233)&gt;0,
    COUNTIFS($AK$3:$AK$201,$M233)&gt;0,
    COUNTIFS($AL$3:$AL$201,$M233)&gt;0,
    COUNTIFS($AM$3:$AM$201,$M233)&gt;0,
    COUNTIFS($AN$3:$AN$201,$M233)&gt;0,
    COUNTIFS($AO$3:$AO$201,$M233)&gt;0,
    COUNTIFS($AP$3:$AP$201,$M233)&gt;0,
    COUNTIFS($AQ$3:$AQ$201,$M233)&gt;0,
    COUNTIFS($AR$3:$AR$201,$M233)&gt;0,
    COUNTIFS($AS$3:$AS$201,$M233)&gt;0,
    COUNTIFS($AT$3:$AT$201,$M233)&gt;0,
    COUNTIFS($AU$3:$AU$201,$M233)&gt;0,
    COUNTIFS($AV$3:$AV$201,$M233)&gt;0,
    COUNTIFS($AW$3:$AW$201,$M233)&gt;0,
    COUNTIFS($AX$3:$AX$201,$M233)&gt;0
   ),
  0)
 ),
"")</f>
        <v>Piratas</v>
      </c>
      <c r="P233" s="2" t="str" cm="1">
        <f t="array" aca="1" ref="P233" ca="1">IFERROR(
 INDEX(
  _xlfn._xlws.FILTER($U$2:$AX$2,
   TRANSPOSE(
    CHOOSE({1;2;3;4;5;6;7;8;9;10;11;12;13;14;15;16;17;18;19;20;21;22;23;24;25;26;27;28;29;30},
     COUNTIFS($U$3:$U$201,$M233)&gt;0,
     COUNTIFS($V$3:$V$201,$M233)&gt;0,
     COUNTIFS($W$3:$W$201,$M233)&gt;0,
     COUNTIFS($X$3:$X$201,$M233)&gt;0,
     COUNTIFS($Y$3:$Y$201,$M233)&gt;0,
     COUNTIFS($Z$3:$Z$201,$M233)&gt;0,
     COUNTIFS($AA$3:$AA$201,$M233)&gt;0,
     COUNTIFS($AB$3:$AB$201,$M233)&gt;0,
     COUNTIFS($AC$3:$AC$201,$M233)&gt;0,
     COUNTIFS($AD$3:$AD$201,$M233)&gt;0,
     COUNTIFS($AE$3:$AE$201,$M233)&gt;0,
     COUNTIFS($AF$3:$AF$201,$M233)&gt;0,
     COUNTIFS($AG$3:$AG$201,$M233)&gt;0,
     COUNTIFS($AH$3:$AH$201,$M233)&gt;0,
     COUNTIFS($AI$3:$AI$201,$M233)&gt;0,
     COUNTIFS($AJ$3:$AJ$201,$M233)&gt;0,
     COUNTIFS($AK$3:$AK$201,$M233)&gt;0,
     COUNTIFS($AL$3:$AL$201,$M233)&gt;0,
     COUNTIFS($AM$3:$AM$201,$M233)&gt;0,
     COUNTIFS($AN$3:$AN$201,$M233)&gt;0,
     COUNTIFS($AO$3:$AO$201,$M233)&gt;0,
     COUNTIFS($AP$3:$AP$201,$M233)&gt;0,
     COUNTIFS($AQ$3:$AQ$201,$M233)&gt;0,
     COUNTIFS($AR$3:$AR$201,$M233)&gt;0,
     COUNTIFS($AS$3:$AS$201,$M233)&gt;0,
     COUNTIFS($AT$3:$AT$201,$M233)&gt;0,
     COUNTIFS($AU$3:$AU$201,$M233)&gt;0,
     COUNTIFS($AV$3:$AV$201,$M233)&gt;0,
     COUNTIFS($AW$3:$AW$201,$M233)&gt;0,
     COUNTIFS($AX$3:$AX$201,$M233)&gt;0
   )),
  ),
  2
 ),
"")</f>
        <v/>
      </c>
      <c r="Q233" s="2" t="str" cm="1">
        <f t="array" aca="1" ref="Q233" ca="1">IFERROR(
 INDEX(
  _xlfn._xlws.FILTER($U$2:$AX$2,
   TRANSPOSE(
    CHOOSE({1;2;3;4;5;6;7;8;9;10;11;12;13;14;15;16;17;18;19;20;21;22;23;24;25;26;27;28;29;30},
     COUNTIFS($U$3:$U$201,$M233)&gt;0,
     COUNTIFS($V$3:$V$201,$M233)&gt;0,
     COUNTIFS($W$3:$W$201,$M233)&gt;0,
     COUNTIFS($X$3:$X$201,$M233)&gt;0,
     COUNTIFS($Y$3:$Y$201,$M233)&gt;0,
     COUNTIFS($Z$3:$Z$201,$M233)&gt;0,
     COUNTIFS($AA$3:$AA$201,$M233)&gt;0,
     COUNTIFS($AB$3:$AB$201,$M233)&gt;0,
     COUNTIFS($AC$3:$AC$201,$M233)&gt;0,
     COUNTIFS($AD$3:$AD$201,$M233)&gt;0,
     COUNTIFS($AE$3:$AE$201,$M233)&gt;0,
     COUNTIFS($AF$3:$AF$201,$M233)&gt;0,
     COUNTIFS($AG$3:$AG$201,$M233)&gt;0,
     COUNTIFS($AH$3:$AH$201,$M233)&gt;0,
     COUNTIFS($AI$3:$AI$201,$M233)&gt;0,
     COUNTIFS($AJ$3:$AJ$201,$M233)&gt;0,
     COUNTIFS($AK$3:$AK$201,$M233)&gt;0,
     COUNTIFS($AL$3:$AL$201,$M233)&gt;0,
     COUNTIFS($AM$3:$AM$201,$M233)&gt;0,
     COUNTIFS($AN$3:$AN$201,$M233)&gt;0,
     COUNTIFS($AO$3:$AO$201,$M233)&gt;0,
     COUNTIFS($AP$3:$AP$201,$M233)&gt;0,
     COUNTIFS($AQ$3:$AQ$201,$M233)&gt;0,
     COUNTIFS($AR$3:$AR$201,$M233)&gt;0,
     COUNTIFS($AS$3:$AS$201,$M233)&gt;0,
     COUNTIFS($AT$3:$AT$201,$M233)&gt;0,
     COUNTIFS($AU$3:$AU$201,$M233)&gt;0,
     COUNTIFS($AV$3:$AV$201,$M233)&gt;0,
     COUNTIFS($AW$3:$AW$201,$M233)&gt;0,
     COUNTIFS($AX$3:$AX$201,$M233)&gt;0
   )),
  ),
  3
 ),
"")</f>
        <v/>
      </c>
      <c r="ET233" t="e">
        <f ca="1"/>
        <v>#REF!</v>
      </c>
      <c r="EW233" t="str">
        <f ca="1"/>
        <v>Wand of Wonder</v>
      </c>
    </row>
    <row r="234" spans="1:153" x14ac:dyDescent="0.25">
      <c r="A234" t="str">
        <f ca="1"/>
        <v>Keen Duelist</v>
      </c>
      <c r="B234" s="2" t="str" cm="1">
        <f t="array" aca="1" ref="B234" ca="1">_xlfn.ANCHORARRAY(RESUMO!C233)</f>
        <v>Yuriko</v>
      </c>
      <c r="C234" s="2" t="str">
        <f t="shared" ca="1" si="12"/>
        <v/>
      </c>
      <c r="E234" t="str">
        <f ca="1"/>
        <v>Watertrap Weaver</v>
      </c>
      <c r="F234" s="2">
        <f t="shared" ca="1" si="15"/>
        <v>1</v>
      </c>
      <c r="G234" s="2" t="str">
        <f t="shared" ca="1" si="13"/>
        <v>Kumena</v>
      </c>
      <c r="J234" t="s">
        <v>180</v>
      </c>
      <c r="K234" s="2">
        <v>1</v>
      </c>
      <c r="M234" t="str">
        <f ca="1"/>
        <v>Watertrap Weaver</v>
      </c>
      <c r="N234" s="2">
        <f t="shared" ca="1" si="14"/>
        <v>1</v>
      </c>
      <c r="O234" s="2" t="str">
        <f ca="1">IFERROR(
 INDEX($U$2:$AX$2,
  MATCH(TRUE,
   CHOOSE({1;2;3;4;5;6;7;8;9;10;11;12;13;14;15;16;17;18;19;20;21;22;23;24;25;26;27;28;29;30;31;32},
    COUNTIFS($U$3:$U$201,$M234)&gt;0,
    COUNTIFS($V$3:$V$201,$M234)&gt;0,
    COUNTIFS($W$3:$W$201,$M234)&gt;0,
    COUNTIFS($X$3:$X$201,$M234)&gt;0,
    COUNTIFS($Y$3:$Y$201,$M234)&gt;0,
    COUNTIFS($Z$3:$Z$201,$M234)&gt;0,
    COUNTIFS($AA$3:$AA$201,$M234)&gt;0,
    COUNTIFS($AB$3:$AB$201,$M234)&gt;0,
    COUNTIFS($AC$3:$AC$201,$M234)&gt;0,
    COUNTIFS($AD$3:$AD$201,$M234)&gt;0,
    COUNTIFS($AE$3:$AE$201,$M234)&gt;0,
    COUNTIFS($AF$3:$AF$201,$M234)&gt;0,
    COUNTIFS($AG$3:$AG$201,$M234)&gt;0,
    COUNTIFS($AH$3:$AH$201,$M234)&gt;0,
    COUNTIFS($AI$3:$AI$201,$M234)&gt;0,
    COUNTIFS($AJ$3:$AJ$201,$M234)&gt;0,
    COUNTIFS($AK$3:$AK$201,$M234)&gt;0,
    COUNTIFS($AL$3:$AL$201,$M234)&gt;0,
    COUNTIFS($AM$3:$AM$201,$M234)&gt;0,
    COUNTIFS($AN$3:$AN$201,$M234)&gt;0,
    COUNTIFS($AO$3:$AO$201,$M234)&gt;0,
    COUNTIFS($AP$3:$AP$201,$M234)&gt;0,
    COUNTIFS($AQ$3:$AQ$201,$M234)&gt;0,
    COUNTIFS($AR$3:$AR$201,$M234)&gt;0,
    COUNTIFS($AS$3:$AS$201,$M234)&gt;0,
    COUNTIFS($AT$3:$AT$201,$M234)&gt;0,
    COUNTIFS($AU$3:$AU$201,$M234)&gt;0,
    COUNTIFS($AV$3:$AV$201,$M234)&gt;0,
    COUNTIFS($AW$3:$AW$201,$M234)&gt;0,
    COUNTIFS($AX$3:$AX$201,$M234)&gt;0
   ),
  0)
 ),
"")</f>
        <v>Kumena</v>
      </c>
      <c r="P234" s="2" t="str" cm="1">
        <f t="array" aca="1" ref="P234" ca="1">IFERROR(
 INDEX(
  _xlfn._xlws.FILTER($U$2:$AX$2,
   TRANSPOSE(
    CHOOSE({1;2;3;4;5;6;7;8;9;10;11;12;13;14;15;16;17;18;19;20;21;22;23;24;25;26;27;28;29;30},
     COUNTIFS($U$3:$U$201,$M234)&gt;0,
     COUNTIFS($V$3:$V$201,$M234)&gt;0,
     COUNTIFS($W$3:$W$201,$M234)&gt;0,
     COUNTIFS($X$3:$X$201,$M234)&gt;0,
     COUNTIFS($Y$3:$Y$201,$M234)&gt;0,
     COUNTIFS($Z$3:$Z$201,$M234)&gt;0,
     COUNTIFS($AA$3:$AA$201,$M234)&gt;0,
     COUNTIFS($AB$3:$AB$201,$M234)&gt;0,
     COUNTIFS($AC$3:$AC$201,$M234)&gt;0,
     COUNTIFS($AD$3:$AD$201,$M234)&gt;0,
     COUNTIFS($AE$3:$AE$201,$M234)&gt;0,
     COUNTIFS($AF$3:$AF$201,$M234)&gt;0,
     COUNTIFS($AG$3:$AG$201,$M234)&gt;0,
     COUNTIFS($AH$3:$AH$201,$M234)&gt;0,
     COUNTIFS($AI$3:$AI$201,$M234)&gt;0,
     COUNTIFS($AJ$3:$AJ$201,$M234)&gt;0,
     COUNTIFS($AK$3:$AK$201,$M234)&gt;0,
     COUNTIFS($AL$3:$AL$201,$M234)&gt;0,
     COUNTIFS($AM$3:$AM$201,$M234)&gt;0,
     COUNTIFS($AN$3:$AN$201,$M234)&gt;0,
     COUNTIFS($AO$3:$AO$201,$M234)&gt;0,
     COUNTIFS($AP$3:$AP$201,$M234)&gt;0,
     COUNTIFS($AQ$3:$AQ$201,$M234)&gt;0,
     COUNTIFS($AR$3:$AR$201,$M234)&gt;0,
     COUNTIFS($AS$3:$AS$201,$M234)&gt;0,
     COUNTIFS($AT$3:$AT$201,$M234)&gt;0,
     COUNTIFS($AU$3:$AU$201,$M234)&gt;0,
     COUNTIFS($AV$3:$AV$201,$M234)&gt;0,
     COUNTIFS($AW$3:$AW$201,$M234)&gt;0,
     COUNTIFS($AX$3:$AX$201,$M234)&gt;0
   )),
  ),
  2
 ),
"")</f>
        <v/>
      </c>
      <c r="Q234" s="2" t="str" cm="1">
        <f t="array" aca="1" ref="Q234" ca="1">IFERROR(
 INDEX(
  _xlfn._xlws.FILTER($U$2:$AX$2,
   TRANSPOSE(
    CHOOSE({1;2;3;4;5;6;7;8;9;10;11;12;13;14;15;16;17;18;19;20;21;22;23;24;25;26;27;28;29;30},
     COUNTIFS($U$3:$U$201,$M234)&gt;0,
     COUNTIFS($V$3:$V$201,$M234)&gt;0,
     COUNTIFS($W$3:$W$201,$M234)&gt;0,
     COUNTIFS($X$3:$X$201,$M234)&gt;0,
     COUNTIFS($Y$3:$Y$201,$M234)&gt;0,
     COUNTIFS($Z$3:$Z$201,$M234)&gt;0,
     COUNTIFS($AA$3:$AA$201,$M234)&gt;0,
     COUNTIFS($AB$3:$AB$201,$M234)&gt;0,
     COUNTIFS($AC$3:$AC$201,$M234)&gt;0,
     COUNTIFS($AD$3:$AD$201,$M234)&gt;0,
     COUNTIFS($AE$3:$AE$201,$M234)&gt;0,
     COUNTIFS($AF$3:$AF$201,$M234)&gt;0,
     COUNTIFS($AG$3:$AG$201,$M234)&gt;0,
     COUNTIFS($AH$3:$AH$201,$M234)&gt;0,
     COUNTIFS($AI$3:$AI$201,$M234)&gt;0,
     COUNTIFS($AJ$3:$AJ$201,$M234)&gt;0,
     COUNTIFS($AK$3:$AK$201,$M234)&gt;0,
     COUNTIFS($AL$3:$AL$201,$M234)&gt;0,
     COUNTIFS($AM$3:$AM$201,$M234)&gt;0,
     COUNTIFS($AN$3:$AN$201,$M234)&gt;0,
     COUNTIFS($AO$3:$AO$201,$M234)&gt;0,
     COUNTIFS($AP$3:$AP$201,$M234)&gt;0,
     COUNTIFS($AQ$3:$AQ$201,$M234)&gt;0,
     COUNTIFS($AR$3:$AR$201,$M234)&gt;0,
     COUNTIFS($AS$3:$AS$201,$M234)&gt;0,
     COUNTIFS($AT$3:$AT$201,$M234)&gt;0,
     COUNTIFS($AU$3:$AU$201,$M234)&gt;0,
     COUNTIFS($AV$3:$AV$201,$M234)&gt;0,
     COUNTIFS($AW$3:$AW$201,$M234)&gt;0,
     COUNTIFS($AX$3:$AX$201,$M234)&gt;0
   )),
  ),
  3
 ),
"")</f>
        <v/>
      </c>
      <c r="ET234" t="e" vm="2">
        <f ca="1"/>
        <v>#VALUE!</v>
      </c>
      <c r="EW234" t="str">
        <f ca="1"/>
        <v>Watertrap Weaver</v>
      </c>
    </row>
    <row r="235" spans="1:153" x14ac:dyDescent="0.25">
      <c r="A235" t="str">
        <f ca="1"/>
        <v>Kellan, the Fae-Blooded // Birthright Boon</v>
      </c>
      <c r="B235" s="2" t="str" cm="1">
        <f t="array" aca="1" ref="B235" ca="1">_xlfn.ANCHORARRAY(RESUMO!C234)</f>
        <v>Akiri</v>
      </c>
      <c r="C235" s="2" t="str">
        <f t="shared" ca="1" si="12"/>
        <v/>
      </c>
      <c r="E235" t="str">
        <f ca="1"/>
        <v>Wayfarrer's Bauble</v>
      </c>
      <c r="F235" s="2">
        <f t="shared" ca="1" si="15"/>
        <v>1</v>
      </c>
      <c r="G235" s="2" t="str">
        <f t="shared" ca="1" si="13"/>
        <v>JhoiraB</v>
      </c>
      <c r="J235" t="s">
        <v>180</v>
      </c>
      <c r="K235" s="2">
        <v>1</v>
      </c>
      <c r="M235" t="str">
        <f ca="1"/>
        <v>Wayfarrer's Bauble</v>
      </c>
      <c r="N235" s="2">
        <f t="shared" ca="1" si="14"/>
        <v>1</v>
      </c>
      <c r="O235" s="2" t="str">
        <f ca="1">IFERROR(
 INDEX($U$2:$AX$2,
  MATCH(TRUE,
   CHOOSE({1;2;3;4;5;6;7;8;9;10;11;12;13;14;15;16;17;18;19;20;21;22;23;24;25;26;27;28;29;30;31;32},
    COUNTIFS($U$3:$U$201,$M235)&gt;0,
    COUNTIFS($V$3:$V$201,$M235)&gt;0,
    COUNTIFS($W$3:$W$201,$M235)&gt;0,
    COUNTIFS($X$3:$X$201,$M235)&gt;0,
    COUNTIFS($Y$3:$Y$201,$M235)&gt;0,
    COUNTIFS($Z$3:$Z$201,$M235)&gt;0,
    COUNTIFS($AA$3:$AA$201,$M235)&gt;0,
    COUNTIFS($AB$3:$AB$201,$M235)&gt;0,
    COUNTIFS($AC$3:$AC$201,$M235)&gt;0,
    COUNTIFS($AD$3:$AD$201,$M235)&gt;0,
    COUNTIFS($AE$3:$AE$201,$M235)&gt;0,
    COUNTIFS($AF$3:$AF$201,$M235)&gt;0,
    COUNTIFS($AG$3:$AG$201,$M235)&gt;0,
    COUNTIFS($AH$3:$AH$201,$M235)&gt;0,
    COUNTIFS($AI$3:$AI$201,$M235)&gt;0,
    COUNTIFS($AJ$3:$AJ$201,$M235)&gt;0,
    COUNTIFS($AK$3:$AK$201,$M235)&gt;0,
    COUNTIFS($AL$3:$AL$201,$M235)&gt;0,
    COUNTIFS($AM$3:$AM$201,$M235)&gt;0,
    COUNTIFS($AN$3:$AN$201,$M235)&gt;0,
    COUNTIFS($AO$3:$AO$201,$M235)&gt;0,
    COUNTIFS($AP$3:$AP$201,$M235)&gt;0,
    COUNTIFS($AQ$3:$AQ$201,$M235)&gt;0,
    COUNTIFS($AR$3:$AR$201,$M235)&gt;0,
    COUNTIFS($AS$3:$AS$201,$M235)&gt;0,
    COUNTIFS($AT$3:$AT$201,$M235)&gt;0,
    COUNTIFS($AU$3:$AU$201,$M235)&gt;0,
    COUNTIFS($AV$3:$AV$201,$M235)&gt;0,
    COUNTIFS($AW$3:$AW$201,$M235)&gt;0,
    COUNTIFS($AX$3:$AX$201,$M235)&gt;0
   ),
  0)
 ),
"")</f>
        <v>JhoiraB</v>
      </c>
      <c r="P235" s="2" t="str" cm="1">
        <f t="array" aca="1" ref="P235" ca="1">IFERROR(
 INDEX(
  _xlfn._xlws.FILTER($U$2:$AX$2,
   TRANSPOSE(
    CHOOSE({1;2;3;4;5;6;7;8;9;10;11;12;13;14;15;16;17;18;19;20;21;22;23;24;25;26;27;28;29;30},
     COUNTIFS($U$3:$U$201,$M235)&gt;0,
     COUNTIFS($V$3:$V$201,$M235)&gt;0,
     COUNTIFS($W$3:$W$201,$M235)&gt;0,
     COUNTIFS($X$3:$X$201,$M235)&gt;0,
     COUNTIFS($Y$3:$Y$201,$M235)&gt;0,
     COUNTIFS($Z$3:$Z$201,$M235)&gt;0,
     COUNTIFS($AA$3:$AA$201,$M235)&gt;0,
     COUNTIFS($AB$3:$AB$201,$M235)&gt;0,
     COUNTIFS($AC$3:$AC$201,$M235)&gt;0,
     COUNTIFS($AD$3:$AD$201,$M235)&gt;0,
     COUNTIFS($AE$3:$AE$201,$M235)&gt;0,
     COUNTIFS($AF$3:$AF$201,$M235)&gt;0,
     COUNTIFS($AG$3:$AG$201,$M235)&gt;0,
     COUNTIFS($AH$3:$AH$201,$M235)&gt;0,
     COUNTIFS($AI$3:$AI$201,$M235)&gt;0,
     COUNTIFS($AJ$3:$AJ$201,$M235)&gt;0,
     COUNTIFS($AK$3:$AK$201,$M235)&gt;0,
     COUNTIFS($AL$3:$AL$201,$M235)&gt;0,
     COUNTIFS($AM$3:$AM$201,$M235)&gt;0,
     COUNTIFS($AN$3:$AN$201,$M235)&gt;0,
     COUNTIFS($AO$3:$AO$201,$M235)&gt;0,
     COUNTIFS($AP$3:$AP$201,$M235)&gt;0,
     COUNTIFS($AQ$3:$AQ$201,$M235)&gt;0,
     COUNTIFS($AR$3:$AR$201,$M235)&gt;0,
     COUNTIFS($AS$3:$AS$201,$M235)&gt;0,
     COUNTIFS($AT$3:$AT$201,$M235)&gt;0,
     COUNTIFS($AU$3:$AU$201,$M235)&gt;0,
     COUNTIFS($AV$3:$AV$201,$M235)&gt;0,
     COUNTIFS($AW$3:$AW$201,$M235)&gt;0,
     COUNTIFS($AX$3:$AX$201,$M235)&gt;0
   )),
  ),
  2
 ),
"")</f>
        <v/>
      </c>
      <c r="Q235" s="2" t="str" cm="1">
        <f t="array" aca="1" ref="Q235" ca="1">IFERROR(
 INDEX(
  _xlfn._xlws.FILTER($U$2:$AX$2,
   TRANSPOSE(
    CHOOSE({1;2;3;4;5;6;7;8;9;10;11;12;13;14;15;16;17;18;19;20;21;22;23;24;25;26;27;28;29;30},
     COUNTIFS($U$3:$U$201,$M235)&gt;0,
     COUNTIFS($V$3:$V$201,$M235)&gt;0,
     COUNTIFS($W$3:$W$201,$M235)&gt;0,
     COUNTIFS($X$3:$X$201,$M235)&gt;0,
     COUNTIFS($Y$3:$Y$201,$M235)&gt;0,
     COUNTIFS($Z$3:$Z$201,$M235)&gt;0,
     COUNTIFS($AA$3:$AA$201,$M235)&gt;0,
     COUNTIFS($AB$3:$AB$201,$M235)&gt;0,
     COUNTIFS($AC$3:$AC$201,$M235)&gt;0,
     COUNTIFS($AD$3:$AD$201,$M235)&gt;0,
     COUNTIFS($AE$3:$AE$201,$M235)&gt;0,
     COUNTIFS($AF$3:$AF$201,$M235)&gt;0,
     COUNTIFS($AG$3:$AG$201,$M235)&gt;0,
     COUNTIFS($AH$3:$AH$201,$M235)&gt;0,
     COUNTIFS($AI$3:$AI$201,$M235)&gt;0,
     COUNTIFS($AJ$3:$AJ$201,$M235)&gt;0,
     COUNTIFS($AK$3:$AK$201,$M235)&gt;0,
     COUNTIFS($AL$3:$AL$201,$M235)&gt;0,
     COUNTIFS($AM$3:$AM$201,$M235)&gt;0,
     COUNTIFS($AN$3:$AN$201,$M235)&gt;0,
     COUNTIFS($AO$3:$AO$201,$M235)&gt;0,
     COUNTIFS($AP$3:$AP$201,$M235)&gt;0,
     COUNTIFS($AQ$3:$AQ$201,$M235)&gt;0,
     COUNTIFS($AR$3:$AR$201,$M235)&gt;0,
     COUNTIFS($AS$3:$AS$201,$M235)&gt;0,
     COUNTIFS($AT$3:$AT$201,$M235)&gt;0,
     COUNTIFS($AU$3:$AU$201,$M235)&gt;0,
     COUNTIFS($AV$3:$AV$201,$M235)&gt;0,
     COUNTIFS($AW$3:$AW$201,$M235)&gt;0,
     COUNTIFS($AX$3:$AX$201,$M235)&gt;0
   )),
  ),
  3
 ),
"")</f>
        <v/>
      </c>
      <c r="EW235" t="str">
        <f ca="1"/>
        <v>Wayfarrer's Bauble</v>
      </c>
    </row>
    <row r="236" spans="1:153" x14ac:dyDescent="0.25">
      <c r="A236" t="str">
        <f ca="1"/>
        <v>Kess, Dissident Mage</v>
      </c>
      <c r="B236" s="2" t="str" cm="1">
        <f t="array" aca="1" ref="B236" ca="1">_xlfn.ANCHORARRAY(RESUMO!C235)</f>
        <v>4cRash</v>
      </c>
      <c r="C236" s="2" t="str">
        <f t="shared" ca="1" si="12"/>
        <v/>
      </c>
      <c r="E236" t="str">
        <f ca="1"/>
        <v>Whelming Wave</v>
      </c>
      <c r="F236" s="2">
        <f t="shared" ca="1" si="15"/>
        <v>1</v>
      </c>
      <c r="G236" s="2" t="str">
        <f t="shared" ca="1" si="13"/>
        <v>Yuriko</v>
      </c>
      <c r="J236" t="s">
        <v>180</v>
      </c>
      <c r="K236" s="2">
        <v>1</v>
      </c>
      <c r="M236" t="str">
        <f ca="1"/>
        <v>Whelming Wave</v>
      </c>
      <c r="N236" s="2">
        <f t="shared" ca="1" si="14"/>
        <v>1</v>
      </c>
      <c r="O236" s="2" t="str">
        <f ca="1">IFERROR(
 INDEX($U$2:$AX$2,
  MATCH(TRUE,
   CHOOSE({1;2;3;4;5;6;7;8;9;10;11;12;13;14;15;16;17;18;19;20;21;22;23;24;25;26;27;28;29;30;31;32},
    COUNTIFS($U$3:$U$201,$M236)&gt;0,
    COUNTIFS($V$3:$V$201,$M236)&gt;0,
    COUNTIFS($W$3:$W$201,$M236)&gt;0,
    COUNTIFS($X$3:$X$201,$M236)&gt;0,
    COUNTIFS($Y$3:$Y$201,$M236)&gt;0,
    COUNTIFS($Z$3:$Z$201,$M236)&gt;0,
    COUNTIFS($AA$3:$AA$201,$M236)&gt;0,
    COUNTIFS($AB$3:$AB$201,$M236)&gt;0,
    COUNTIFS($AC$3:$AC$201,$M236)&gt;0,
    COUNTIFS($AD$3:$AD$201,$M236)&gt;0,
    COUNTIFS($AE$3:$AE$201,$M236)&gt;0,
    COUNTIFS($AF$3:$AF$201,$M236)&gt;0,
    COUNTIFS($AG$3:$AG$201,$M236)&gt;0,
    COUNTIFS($AH$3:$AH$201,$M236)&gt;0,
    COUNTIFS($AI$3:$AI$201,$M236)&gt;0,
    COUNTIFS($AJ$3:$AJ$201,$M236)&gt;0,
    COUNTIFS($AK$3:$AK$201,$M236)&gt;0,
    COUNTIFS($AL$3:$AL$201,$M236)&gt;0,
    COUNTIFS($AM$3:$AM$201,$M236)&gt;0,
    COUNTIFS($AN$3:$AN$201,$M236)&gt;0,
    COUNTIFS($AO$3:$AO$201,$M236)&gt;0,
    COUNTIFS($AP$3:$AP$201,$M236)&gt;0,
    COUNTIFS($AQ$3:$AQ$201,$M236)&gt;0,
    COUNTIFS($AR$3:$AR$201,$M236)&gt;0,
    COUNTIFS($AS$3:$AS$201,$M236)&gt;0,
    COUNTIFS($AT$3:$AT$201,$M236)&gt;0,
    COUNTIFS($AU$3:$AU$201,$M236)&gt;0,
    COUNTIFS($AV$3:$AV$201,$M236)&gt;0,
    COUNTIFS($AW$3:$AW$201,$M236)&gt;0,
    COUNTIFS($AX$3:$AX$201,$M236)&gt;0
   ),
  0)
 ),
"")</f>
        <v>Yuriko</v>
      </c>
      <c r="P236" s="2" t="str" cm="1">
        <f t="array" aca="1" ref="P236" ca="1">IFERROR(
 INDEX(
  _xlfn._xlws.FILTER($U$2:$AX$2,
   TRANSPOSE(
    CHOOSE({1;2;3;4;5;6;7;8;9;10;11;12;13;14;15;16;17;18;19;20;21;22;23;24;25;26;27;28;29;30},
     COUNTIFS($U$3:$U$201,$M236)&gt;0,
     COUNTIFS($V$3:$V$201,$M236)&gt;0,
     COUNTIFS($W$3:$W$201,$M236)&gt;0,
     COUNTIFS($X$3:$X$201,$M236)&gt;0,
     COUNTIFS($Y$3:$Y$201,$M236)&gt;0,
     COUNTIFS($Z$3:$Z$201,$M236)&gt;0,
     COUNTIFS($AA$3:$AA$201,$M236)&gt;0,
     COUNTIFS($AB$3:$AB$201,$M236)&gt;0,
     COUNTIFS($AC$3:$AC$201,$M236)&gt;0,
     COUNTIFS($AD$3:$AD$201,$M236)&gt;0,
     COUNTIFS($AE$3:$AE$201,$M236)&gt;0,
     COUNTIFS($AF$3:$AF$201,$M236)&gt;0,
     COUNTIFS($AG$3:$AG$201,$M236)&gt;0,
     COUNTIFS($AH$3:$AH$201,$M236)&gt;0,
     COUNTIFS($AI$3:$AI$201,$M236)&gt;0,
     COUNTIFS($AJ$3:$AJ$201,$M236)&gt;0,
     COUNTIFS($AK$3:$AK$201,$M236)&gt;0,
     COUNTIFS($AL$3:$AL$201,$M236)&gt;0,
     COUNTIFS($AM$3:$AM$201,$M236)&gt;0,
     COUNTIFS($AN$3:$AN$201,$M236)&gt;0,
     COUNTIFS($AO$3:$AO$201,$M236)&gt;0,
     COUNTIFS($AP$3:$AP$201,$M236)&gt;0,
     COUNTIFS($AQ$3:$AQ$201,$M236)&gt;0,
     COUNTIFS($AR$3:$AR$201,$M236)&gt;0,
     COUNTIFS($AS$3:$AS$201,$M236)&gt;0,
     COUNTIFS($AT$3:$AT$201,$M236)&gt;0,
     COUNTIFS($AU$3:$AU$201,$M236)&gt;0,
     COUNTIFS($AV$3:$AV$201,$M236)&gt;0,
     COUNTIFS($AW$3:$AW$201,$M236)&gt;0,
     COUNTIFS($AX$3:$AX$201,$M236)&gt;0
   )),
  ),
  2
 ),
"")</f>
        <v/>
      </c>
      <c r="Q236" s="2" t="str" cm="1">
        <f t="array" aca="1" ref="Q236" ca="1">IFERROR(
 INDEX(
  _xlfn._xlws.FILTER($U$2:$AX$2,
   TRANSPOSE(
    CHOOSE({1;2;3;4;5;6;7;8;9;10;11;12;13;14;15;16;17;18;19;20;21;22;23;24;25;26;27;28;29;30},
     COUNTIFS($U$3:$U$201,$M236)&gt;0,
     COUNTIFS($V$3:$V$201,$M236)&gt;0,
     COUNTIFS($W$3:$W$201,$M236)&gt;0,
     COUNTIFS($X$3:$X$201,$M236)&gt;0,
     COUNTIFS($Y$3:$Y$201,$M236)&gt;0,
     COUNTIFS($Z$3:$Z$201,$M236)&gt;0,
     COUNTIFS($AA$3:$AA$201,$M236)&gt;0,
     COUNTIFS($AB$3:$AB$201,$M236)&gt;0,
     COUNTIFS($AC$3:$AC$201,$M236)&gt;0,
     COUNTIFS($AD$3:$AD$201,$M236)&gt;0,
     COUNTIFS($AE$3:$AE$201,$M236)&gt;0,
     COUNTIFS($AF$3:$AF$201,$M236)&gt;0,
     COUNTIFS($AG$3:$AG$201,$M236)&gt;0,
     COUNTIFS($AH$3:$AH$201,$M236)&gt;0,
     COUNTIFS($AI$3:$AI$201,$M236)&gt;0,
     COUNTIFS($AJ$3:$AJ$201,$M236)&gt;0,
     COUNTIFS($AK$3:$AK$201,$M236)&gt;0,
     COUNTIFS($AL$3:$AL$201,$M236)&gt;0,
     COUNTIFS($AM$3:$AM$201,$M236)&gt;0,
     COUNTIFS($AN$3:$AN$201,$M236)&gt;0,
     COUNTIFS($AO$3:$AO$201,$M236)&gt;0,
     COUNTIFS($AP$3:$AP$201,$M236)&gt;0,
     COUNTIFS($AQ$3:$AQ$201,$M236)&gt;0,
     COUNTIFS($AR$3:$AR$201,$M236)&gt;0,
     COUNTIFS($AS$3:$AS$201,$M236)&gt;0,
     COUNTIFS($AT$3:$AT$201,$M236)&gt;0,
     COUNTIFS($AU$3:$AU$201,$M236)&gt;0,
     COUNTIFS($AV$3:$AV$201,$M236)&gt;0,
     COUNTIFS($AW$3:$AW$201,$M236)&gt;0,
     COUNTIFS($AX$3:$AX$201,$M236)&gt;0
   )),
  ),
  3
 ),
"")</f>
        <v/>
      </c>
      <c r="EW236" t="str">
        <f ca="1"/>
        <v>Whelming Wave</v>
      </c>
    </row>
    <row r="237" spans="1:153" x14ac:dyDescent="0.25">
      <c r="A237" t="str">
        <f ca="1"/>
        <v>Ketria Triome</v>
      </c>
      <c r="B237" s="2" t="str" cm="1">
        <f t="array" aca="1" ref="B237" ca="1">_xlfn.ANCHORARRAY(RESUMO!C236)</f>
        <v>Fractius</v>
      </c>
      <c r="C237" s="2" t="str">
        <f t="shared" ca="1" si="12"/>
        <v/>
      </c>
      <c r="E237" t="str">
        <f ca="1"/>
        <v>Wizard's Retort</v>
      </c>
      <c r="F237" s="2">
        <f t="shared" ca="1" si="15"/>
        <v>1</v>
      </c>
      <c r="G237" s="2" t="str">
        <f t="shared" ca="1" si="13"/>
        <v>Rielle</v>
      </c>
      <c r="J237" t="s">
        <v>180</v>
      </c>
      <c r="K237" s="2">
        <v>1</v>
      </c>
      <c r="M237" t="str">
        <f ca="1"/>
        <v>Wizard's Retort</v>
      </c>
      <c r="N237" s="2">
        <f t="shared" ca="1" si="14"/>
        <v>1</v>
      </c>
      <c r="O237" s="2" t="str">
        <f ca="1">IFERROR(
 INDEX($U$2:$AX$2,
  MATCH(TRUE,
   CHOOSE({1;2;3;4;5;6;7;8;9;10;11;12;13;14;15;16;17;18;19;20;21;22;23;24;25;26;27;28;29;30;31;32},
    COUNTIFS($U$3:$U$201,$M237)&gt;0,
    COUNTIFS($V$3:$V$201,$M237)&gt;0,
    COUNTIFS($W$3:$W$201,$M237)&gt;0,
    COUNTIFS($X$3:$X$201,$M237)&gt;0,
    COUNTIFS($Y$3:$Y$201,$M237)&gt;0,
    COUNTIFS($Z$3:$Z$201,$M237)&gt;0,
    COUNTIFS($AA$3:$AA$201,$M237)&gt;0,
    COUNTIFS($AB$3:$AB$201,$M237)&gt;0,
    COUNTIFS($AC$3:$AC$201,$M237)&gt;0,
    COUNTIFS($AD$3:$AD$201,$M237)&gt;0,
    COUNTIFS($AE$3:$AE$201,$M237)&gt;0,
    COUNTIFS($AF$3:$AF$201,$M237)&gt;0,
    COUNTIFS($AG$3:$AG$201,$M237)&gt;0,
    COUNTIFS($AH$3:$AH$201,$M237)&gt;0,
    COUNTIFS($AI$3:$AI$201,$M237)&gt;0,
    COUNTIFS($AJ$3:$AJ$201,$M237)&gt;0,
    COUNTIFS($AK$3:$AK$201,$M237)&gt;0,
    COUNTIFS($AL$3:$AL$201,$M237)&gt;0,
    COUNTIFS($AM$3:$AM$201,$M237)&gt;0,
    COUNTIFS($AN$3:$AN$201,$M237)&gt;0,
    COUNTIFS($AO$3:$AO$201,$M237)&gt;0,
    COUNTIFS($AP$3:$AP$201,$M237)&gt;0,
    COUNTIFS($AQ$3:$AQ$201,$M237)&gt;0,
    COUNTIFS($AR$3:$AR$201,$M237)&gt;0,
    COUNTIFS($AS$3:$AS$201,$M237)&gt;0,
    COUNTIFS($AT$3:$AT$201,$M237)&gt;0,
    COUNTIFS($AU$3:$AU$201,$M237)&gt;0,
    COUNTIFS($AV$3:$AV$201,$M237)&gt;0,
    COUNTIFS($AW$3:$AW$201,$M237)&gt;0,
    COUNTIFS($AX$3:$AX$201,$M237)&gt;0
   ),
  0)
 ),
"")</f>
        <v>Rielle</v>
      </c>
      <c r="P237" s="2" t="str" cm="1">
        <f t="array" aca="1" ref="P237" ca="1">IFERROR(
 INDEX(
  _xlfn._xlws.FILTER($U$2:$AX$2,
   TRANSPOSE(
    CHOOSE({1;2;3;4;5;6;7;8;9;10;11;12;13;14;15;16;17;18;19;20;21;22;23;24;25;26;27;28;29;30},
     COUNTIFS($U$3:$U$201,$M237)&gt;0,
     COUNTIFS($V$3:$V$201,$M237)&gt;0,
     COUNTIFS($W$3:$W$201,$M237)&gt;0,
     COUNTIFS($X$3:$X$201,$M237)&gt;0,
     COUNTIFS($Y$3:$Y$201,$M237)&gt;0,
     COUNTIFS($Z$3:$Z$201,$M237)&gt;0,
     COUNTIFS($AA$3:$AA$201,$M237)&gt;0,
     COUNTIFS($AB$3:$AB$201,$M237)&gt;0,
     COUNTIFS($AC$3:$AC$201,$M237)&gt;0,
     COUNTIFS($AD$3:$AD$201,$M237)&gt;0,
     COUNTIFS($AE$3:$AE$201,$M237)&gt;0,
     COUNTIFS($AF$3:$AF$201,$M237)&gt;0,
     COUNTIFS($AG$3:$AG$201,$M237)&gt;0,
     COUNTIFS($AH$3:$AH$201,$M237)&gt;0,
     COUNTIFS($AI$3:$AI$201,$M237)&gt;0,
     COUNTIFS($AJ$3:$AJ$201,$M237)&gt;0,
     COUNTIFS($AK$3:$AK$201,$M237)&gt;0,
     COUNTIFS($AL$3:$AL$201,$M237)&gt;0,
     COUNTIFS($AM$3:$AM$201,$M237)&gt;0,
     COUNTIFS($AN$3:$AN$201,$M237)&gt;0,
     COUNTIFS($AO$3:$AO$201,$M237)&gt;0,
     COUNTIFS($AP$3:$AP$201,$M237)&gt;0,
     COUNTIFS($AQ$3:$AQ$201,$M237)&gt;0,
     COUNTIFS($AR$3:$AR$201,$M237)&gt;0,
     COUNTIFS($AS$3:$AS$201,$M237)&gt;0,
     COUNTIFS($AT$3:$AT$201,$M237)&gt;0,
     COUNTIFS($AU$3:$AU$201,$M237)&gt;0,
     COUNTIFS($AV$3:$AV$201,$M237)&gt;0,
     COUNTIFS($AW$3:$AW$201,$M237)&gt;0,
     COUNTIFS($AX$3:$AX$201,$M237)&gt;0
   )),
  ),
  2
 ),
"")</f>
        <v/>
      </c>
      <c r="Q237" s="2" t="str" cm="1">
        <f t="array" aca="1" ref="Q237" ca="1">IFERROR(
 INDEX(
  _xlfn._xlws.FILTER($U$2:$AX$2,
   TRANSPOSE(
    CHOOSE({1;2;3;4;5;6;7;8;9;10;11;12;13;14;15;16;17;18;19;20;21;22;23;24;25;26;27;28;29;30},
     COUNTIFS($U$3:$U$201,$M237)&gt;0,
     COUNTIFS($V$3:$V$201,$M237)&gt;0,
     COUNTIFS($W$3:$W$201,$M237)&gt;0,
     COUNTIFS($X$3:$X$201,$M237)&gt;0,
     COUNTIFS($Y$3:$Y$201,$M237)&gt;0,
     COUNTIFS($Z$3:$Z$201,$M237)&gt;0,
     COUNTIFS($AA$3:$AA$201,$M237)&gt;0,
     COUNTIFS($AB$3:$AB$201,$M237)&gt;0,
     COUNTIFS($AC$3:$AC$201,$M237)&gt;0,
     COUNTIFS($AD$3:$AD$201,$M237)&gt;0,
     COUNTIFS($AE$3:$AE$201,$M237)&gt;0,
     COUNTIFS($AF$3:$AF$201,$M237)&gt;0,
     COUNTIFS($AG$3:$AG$201,$M237)&gt;0,
     COUNTIFS($AH$3:$AH$201,$M237)&gt;0,
     COUNTIFS($AI$3:$AI$201,$M237)&gt;0,
     COUNTIFS($AJ$3:$AJ$201,$M237)&gt;0,
     COUNTIFS($AK$3:$AK$201,$M237)&gt;0,
     COUNTIFS($AL$3:$AL$201,$M237)&gt;0,
     COUNTIFS($AM$3:$AM$201,$M237)&gt;0,
     COUNTIFS($AN$3:$AN$201,$M237)&gt;0,
     COUNTIFS($AO$3:$AO$201,$M237)&gt;0,
     COUNTIFS($AP$3:$AP$201,$M237)&gt;0,
     COUNTIFS($AQ$3:$AQ$201,$M237)&gt;0,
     COUNTIFS($AR$3:$AR$201,$M237)&gt;0,
     COUNTIFS($AS$3:$AS$201,$M237)&gt;0,
     COUNTIFS($AT$3:$AT$201,$M237)&gt;0,
     COUNTIFS($AU$3:$AU$201,$M237)&gt;0,
     COUNTIFS($AV$3:$AV$201,$M237)&gt;0,
     COUNTIFS($AW$3:$AW$201,$M237)&gt;0,
     COUNTIFS($AX$3:$AX$201,$M237)&gt;0
   )),
  ),
  3
 ),
"")</f>
        <v/>
      </c>
      <c r="EW237" t="str">
        <f ca="1"/>
        <v>Wizard's Retort</v>
      </c>
    </row>
    <row r="238" spans="1:153" x14ac:dyDescent="0.25">
      <c r="A238" t="str">
        <f ca="1"/>
        <v>Khorvath's Fury</v>
      </c>
      <c r="B238" s="2" t="str" cm="1">
        <f t="array" aca="1" ref="B238" ca="1">_xlfn.ANCHORARRAY(RESUMO!C237)</f>
        <v>Narset</v>
      </c>
      <c r="C238" s="2" t="str">
        <f t="shared" ca="1" si="12"/>
        <v/>
      </c>
      <c r="E238" t="str">
        <f ca="1"/>
        <v>World Shaper</v>
      </c>
      <c r="F238" s="2">
        <f t="shared" ca="1" si="15"/>
        <v>1</v>
      </c>
      <c r="G238" s="2" t="str">
        <f t="shared" ca="1" si="13"/>
        <v>Gritrog</v>
      </c>
      <c r="J238" t="s">
        <v>180</v>
      </c>
      <c r="K238" s="2">
        <v>1</v>
      </c>
      <c r="M238" t="str">
        <f ca="1"/>
        <v>World Shaper</v>
      </c>
      <c r="N238" s="2">
        <f t="shared" ca="1" si="14"/>
        <v>1</v>
      </c>
      <c r="O238" s="2" t="str">
        <f ca="1">IFERROR(
 INDEX($U$2:$AX$2,
  MATCH(TRUE,
   CHOOSE({1;2;3;4;5;6;7;8;9;10;11;12;13;14;15;16;17;18;19;20;21;22;23;24;25;26;27;28;29;30;31;32},
    COUNTIFS($U$3:$U$201,$M238)&gt;0,
    COUNTIFS($V$3:$V$201,$M238)&gt;0,
    COUNTIFS($W$3:$W$201,$M238)&gt;0,
    COUNTIFS($X$3:$X$201,$M238)&gt;0,
    COUNTIFS($Y$3:$Y$201,$M238)&gt;0,
    COUNTIFS($Z$3:$Z$201,$M238)&gt;0,
    COUNTIFS($AA$3:$AA$201,$M238)&gt;0,
    COUNTIFS($AB$3:$AB$201,$M238)&gt;0,
    COUNTIFS($AC$3:$AC$201,$M238)&gt;0,
    COUNTIFS($AD$3:$AD$201,$M238)&gt;0,
    COUNTIFS($AE$3:$AE$201,$M238)&gt;0,
    COUNTIFS($AF$3:$AF$201,$M238)&gt;0,
    COUNTIFS($AG$3:$AG$201,$M238)&gt;0,
    COUNTIFS($AH$3:$AH$201,$M238)&gt;0,
    COUNTIFS($AI$3:$AI$201,$M238)&gt;0,
    COUNTIFS($AJ$3:$AJ$201,$M238)&gt;0,
    COUNTIFS($AK$3:$AK$201,$M238)&gt;0,
    COUNTIFS($AL$3:$AL$201,$M238)&gt;0,
    COUNTIFS($AM$3:$AM$201,$M238)&gt;0,
    COUNTIFS($AN$3:$AN$201,$M238)&gt;0,
    COUNTIFS($AO$3:$AO$201,$M238)&gt;0,
    COUNTIFS($AP$3:$AP$201,$M238)&gt;0,
    COUNTIFS($AQ$3:$AQ$201,$M238)&gt;0,
    COUNTIFS($AR$3:$AR$201,$M238)&gt;0,
    COUNTIFS($AS$3:$AS$201,$M238)&gt;0,
    COUNTIFS($AT$3:$AT$201,$M238)&gt;0,
    COUNTIFS($AU$3:$AU$201,$M238)&gt;0,
    COUNTIFS($AV$3:$AV$201,$M238)&gt;0,
    COUNTIFS($AW$3:$AW$201,$M238)&gt;0,
    COUNTIFS($AX$3:$AX$201,$M238)&gt;0
   ),
  0)
 ),
"")</f>
        <v>Gritrog</v>
      </c>
      <c r="P238" s="2" t="str" cm="1">
        <f t="array" aca="1" ref="P238" ca="1">IFERROR(
 INDEX(
  _xlfn._xlws.FILTER($U$2:$AX$2,
   TRANSPOSE(
    CHOOSE({1;2;3;4;5;6;7;8;9;10;11;12;13;14;15;16;17;18;19;20;21;22;23;24;25;26;27;28;29;30},
     COUNTIFS($U$3:$U$201,$M238)&gt;0,
     COUNTIFS($V$3:$V$201,$M238)&gt;0,
     COUNTIFS($W$3:$W$201,$M238)&gt;0,
     COUNTIFS($X$3:$X$201,$M238)&gt;0,
     COUNTIFS($Y$3:$Y$201,$M238)&gt;0,
     COUNTIFS($Z$3:$Z$201,$M238)&gt;0,
     COUNTIFS($AA$3:$AA$201,$M238)&gt;0,
     COUNTIFS($AB$3:$AB$201,$M238)&gt;0,
     COUNTIFS($AC$3:$AC$201,$M238)&gt;0,
     COUNTIFS($AD$3:$AD$201,$M238)&gt;0,
     COUNTIFS($AE$3:$AE$201,$M238)&gt;0,
     COUNTIFS($AF$3:$AF$201,$M238)&gt;0,
     COUNTIFS($AG$3:$AG$201,$M238)&gt;0,
     COUNTIFS($AH$3:$AH$201,$M238)&gt;0,
     COUNTIFS($AI$3:$AI$201,$M238)&gt;0,
     COUNTIFS($AJ$3:$AJ$201,$M238)&gt;0,
     COUNTIFS($AK$3:$AK$201,$M238)&gt;0,
     COUNTIFS($AL$3:$AL$201,$M238)&gt;0,
     COUNTIFS($AM$3:$AM$201,$M238)&gt;0,
     COUNTIFS($AN$3:$AN$201,$M238)&gt;0,
     COUNTIFS($AO$3:$AO$201,$M238)&gt;0,
     COUNTIFS($AP$3:$AP$201,$M238)&gt;0,
     COUNTIFS($AQ$3:$AQ$201,$M238)&gt;0,
     COUNTIFS($AR$3:$AR$201,$M238)&gt;0,
     COUNTIFS($AS$3:$AS$201,$M238)&gt;0,
     COUNTIFS($AT$3:$AT$201,$M238)&gt;0,
     COUNTIFS($AU$3:$AU$201,$M238)&gt;0,
     COUNTIFS($AV$3:$AV$201,$M238)&gt;0,
     COUNTIFS($AW$3:$AW$201,$M238)&gt;0,
     COUNTIFS($AX$3:$AX$201,$M238)&gt;0
   )),
  ),
  2
 ),
"")</f>
        <v/>
      </c>
      <c r="Q238" s="2" t="str" cm="1">
        <f t="array" aca="1" ref="Q238" ca="1">IFERROR(
 INDEX(
  _xlfn._xlws.FILTER($U$2:$AX$2,
   TRANSPOSE(
    CHOOSE({1;2;3;4;5;6;7;8;9;10;11;12;13;14;15;16;17;18;19;20;21;22;23;24;25;26;27;28;29;30},
     COUNTIFS($U$3:$U$201,$M238)&gt;0,
     COUNTIFS($V$3:$V$201,$M238)&gt;0,
     COUNTIFS($W$3:$W$201,$M238)&gt;0,
     COUNTIFS($X$3:$X$201,$M238)&gt;0,
     COUNTIFS($Y$3:$Y$201,$M238)&gt;0,
     COUNTIFS($Z$3:$Z$201,$M238)&gt;0,
     COUNTIFS($AA$3:$AA$201,$M238)&gt;0,
     COUNTIFS($AB$3:$AB$201,$M238)&gt;0,
     COUNTIFS($AC$3:$AC$201,$M238)&gt;0,
     COUNTIFS($AD$3:$AD$201,$M238)&gt;0,
     COUNTIFS($AE$3:$AE$201,$M238)&gt;0,
     COUNTIFS($AF$3:$AF$201,$M238)&gt;0,
     COUNTIFS($AG$3:$AG$201,$M238)&gt;0,
     COUNTIFS($AH$3:$AH$201,$M238)&gt;0,
     COUNTIFS($AI$3:$AI$201,$M238)&gt;0,
     COUNTIFS($AJ$3:$AJ$201,$M238)&gt;0,
     COUNTIFS($AK$3:$AK$201,$M238)&gt;0,
     COUNTIFS($AL$3:$AL$201,$M238)&gt;0,
     COUNTIFS($AM$3:$AM$201,$M238)&gt;0,
     COUNTIFS($AN$3:$AN$201,$M238)&gt;0,
     COUNTIFS($AO$3:$AO$201,$M238)&gt;0,
     COUNTIFS($AP$3:$AP$201,$M238)&gt;0,
     COUNTIFS($AQ$3:$AQ$201,$M238)&gt;0,
     COUNTIFS($AR$3:$AR$201,$M238)&gt;0,
     COUNTIFS($AS$3:$AS$201,$M238)&gt;0,
     COUNTIFS($AT$3:$AT$201,$M238)&gt;0,
     COUNTIFS($AU$3:$AU$201,$M238)&gt;0,
     COUNTIFS($AV$3:$AV$201,$M238)&gt;0,
     COUNTIFS($AW$3:$AW$201,$M238)&gt;0,
     COUNTIFS($AX$3:$AX$201,$M238)&gt;0
   )),
  ),
  3
 ),
"")</f>
        <v/>
      </c>
      <c r="EW238" t="str">
        <f ca="1"/>
        <v>World Shaper</v>
      </c>
    </row>
    <row r="239" spans="1:153" x14ac:dyDescent="0.25">
      <c r="A239" t="str">
        <f ca="1"/>
        <v>Kinnan, Bonder Prodigy</v>
      </c>
      <c r="B239" s="2" t="str" cm="1">
        <f t="array" aca="1" ref="B239" ca="1">_xlfn.ANCHORARRAY(RESUMO!C238)</f>
        <v>Thrakiri</v>
      </c>
      <c r="C239" s="2" t="str">
        <f t="shared" ca="1" si="12"/>
        <v/>
      </c>
      <c r="E239" t="str">
        <f ca="1"/>
        <v>Worn Powerstone</v>
      </c>
      <c r="F239" s="2">
        <f t="shared" ca="1" si="15"/>
        <v>1</v>
      </c>
      <c r="G239" s="2" t="str">
        <f t="shared" ca="1" si="13"/>
        <v>Muzzio</v>
      </c>
      <c r="J239" t="s">
        <v>180</v>
      </c>
      <c r="K239" s="2">
        <v>1</v>
      </c>
      <c r="M239" t="str">
        <f ca="1"/>
        <v>Worn Powerstone</v>
      </c>
      <c r="N239" s="2">
        <f t="shared" ca="1" si="14"/>
        <v>1</v>
      </c>
      <c r="O239" s="2" t="str">
        <f ca="1">IFERROR(
 INDEX($U$2:$AX$2,
  MATCH(TRUE,
   CHOOSE({1;2;3;4;5;6;7;8;9;10;11;12;13;14;15;16;17;18;19;20;21;22;23;24;25;26;27;28;29;30;31;32},
    COUNTIFS($U$3:$U$201,$M239)&gt;0,
    COUNTIFS($V$3:$V$201,$M239)&gt;0,
    COUNTIFS($W$3:$W$201,$M239)&gt;0,
    COUNTIFS($X$3:$X$201,$M239)&gt;0,
    COUNTIFS($Y$3:$Y$201,$M239)&gt;0,
    COUNTIFS($Z$3:$Z$201,$M239)&gt;0,
    COUNTIFS($AA$3:$AA$201,$M239)&gt;0,
    COUNTIFS($AB$3:$AB$201,$M239)&gt;0,
    COUNTIFS($AC$3:$AC$201,$M239)&gt;0,
    COUNTIFS($AD$3:$AD$201,$M239)&gt;0,
    COUNTIFS($AE$3:$AE$201,$M239)&gt;0,
    COUNTIFS($AF$3:$AF$201,$M239)&gt;0,
    COUNTIFS($AG$3:$AG$201,$M239)&gt;0,
    COUNTIFS($AH$3:$AH$201,$M239)&gt;0,
    COUNTIFS($AI$3:$AI$201,$M239)&gt;0,
    COUNTIFS($AJ$3:$AJ$201,$M239)&gt;0,
    COUNTIFS($AK$3:$AK$201,$M239)&gt;0,
    COUNTIFS($AL$3:$AL$201,$M239)&gt;0,
    COUNTIFS($AM$3:$AM$201,$M239)&gt;0,
    COUNTIFS($AN$3:$AN$201,$M239)&gt;0,
    COUNTIFS($AO$3:$AO$201,$M239)&gt;0,
    COUNTIFS($AP$3:$AP$201,$M239)&gt;0,
    COUNTIFS($AQ$3:$AQ$201,$M239)&gt;0,
    COUNTIFS($AR$3:$AR$201,$M239)&gt;0,
    COUNTIFS($AS$3:$AS$201,$M239)&gt;0,
    COUNTIFS($AT$3:$AT$201,$M239)&gt;0,
    COUNTIFS($AU$3:$AU$201,$M239)&gt;0,
    COUNTIFS($AV$3:$AV$201,$M239)&gt;0,
    COUNTIFS($AW$3:$AW$201,$M239)&gt;0,
    COUNTIFS($AX$3:$AX$201,$M239)&gt;0
   ),
  0)
 ),
"")</f>
        <v>Muzzio</v>
      </c>
      <c r="P239" s="2" t="str" cm="1">
        <f t="array" aca="1" ref="P239" ca="1">IFERROR(
 INDEX(
  _xlfn._xlws.FILTER($U$2:$AX$2,
   TRANSPOSE(
    CHOOSE({1;2;3;4;5;6;7;8;9;10;11;12;13;14;15;16;17;18;19;20;21;22;23;24;25;26;27;28;29;30},
     COUNTIFS($U$3:$U$201,$M239)&gt;0,
     COUNTIFS($V$3:$V$201,$M239)&gt;0,
     COUNTIFS($W$3:$W$201,$M239)&gt;0,
     COUNTIFS($X$3:$X$201,$M239)&gt;0,
     COUNTIFS($Y$3:$Y$201,$M239)&gt;0,
     COUNTIFS($Z$3:$Z$201,$M239)&gt;0,
     COUNTIFS($AA$3:$AA$201,$M239)&gt;0,
     COUNTIFS($AB$3:$AB$201,$M239)&gt;0,
     COUNTIFS($AC$3:$AC$201,$M239)&gt;0,
     COUNTIFS($AD$3:$AD$201,$M239)&gt;0,
     COUNTIFS($AE$3:$AE$201,$M239)&gt;0,
     COUNTIFS($AF$3:$AF$201,$M239)&gt;0,
     COUNTIFS($AG$3:$AG$201,$M239)&gt;0,
     COUNTIFS($AH$3:$AH$201,$M239)&gt;0,
     COUNTIFS($AI$3:$AI$201,$M239)&gt;0,
     COUNTIFS($AJ$3:$AJ$201,$M239)&gt;0,
     COUNTIFS($AK$3:$AK$201,$M239)&gt;0,
     COUNTIFS($AL$3:$AL$201,$M239)&gt;0,
     COUNTIFS($AM$3:$AM$201,$M239)&gt;0,
     COUNTIFS($AN$3:$AN$201,$M239)&gt;0,
     COUNTIFS($AO$3:$AO$201,$M239)&gt;0,
     COUNTIFS($AP$3:$AP$201,$M239)&gt;0,
     COUNTIFS($AQ$3:$AQ$201,$M239)&gt;0,
     COUNTIFS($AR$3:$AR$201,$M239)&gt;0,
     COUNTIFS($AS$3:$AS$201,$M239)&gt;0,
     COUNTIFS($AT$3:$AT$201,$M239)&gt;0,
     COUNTIFS($AU$3:$AU$201,$M239)&gt;0,
     COUNTIFS($AV$3:$AV$201,$M239)&gt;0,
     COUNTIFS($AW$3:$AW$201,$M239)&gt;0,
     COUNTIFS($AX$3:$AX$201,$M239)&gt;0
   )),
  ),
  2
 ),
"")</f>
        <v/>
      </c>
      <c r="Q239" s="2" t="str" cm="1">
        <f t="array" aca="1" ref="Q239" ca="1">IFERROR(
 INDEX(
  _xlfn._xlws.FILTER($U$2:$AX$2,
   TRANSPOSE(
    CHOOSE({1;2;3;4;5;6;7;8;9;10;11;12;13;14;15;16;17;18;19;20;21;22;23;24;25;26;27;28;29;30},
     COUNTIFS($U$3:$U$201,$M239)&gt;0,
     COUNTIFS($V$3:$V$201,$M239)&gt;0,
     COUNTIFS($W$3:$W$201,$M239)&gt;0,
     COUNTIFS($X$3:$X$201,$M239)&gt;0,
     COUNTIFS($Y$3:$Y$201,$M239)&gt;0,
     COUNTIFS($Z$3:$Z$201,$M239)&gt;0,
     COUNTIFS($AA$3:$AA$201,$M239)&gt;0,
     COUNTIFS($AB$3:$AB$201,$M239)&gt;0,
     COUNTIFS($AC$3:$AC$201,$M239)&gt;0,
     COUNTIFS($AD$3:$AD$201,$M239)&gt;0,
     COUNTIFS($AE$3:$AE$201,$M239)&gt;0,
     COUNTIFS($AF$3:$AF$201,$M239)&gt;0,
     COUNTIFS($AG$3:$AG$201,$M239)&gt;0,
     COUNTIFS($AH$3:$AH$201,$M239)&gt;0,
     COUNTIFS($AI$3:$AI$201,$M239)&gt;0,
     COUNTIFS($AJ$3:$AJ$201,$M239)&gt;0,
     COUNTIFS($AK$3:$AK$201,$M239)&gt;0,
     COUNTIFS($AL$3:$AL$201,$M239)&gt;0,
     COUNTIFS($AM$3:$AM$201,$M239)&gt;0,
     COUNTIFS($AN$3:$AN$201,$M239)&gt;0,
     COUNTIFS($AO$3:$AO$201,$M239)&gt;0,
     COUNTIFS($AP$3:$AP$201,$M239)&gt;0,
     COUNTIFS($AQ$3:$AQ$201,$M239)&gt;0,
     COUNTIFS($AR$3:$AR$201,$M239)&gt;0,
     COUNTIFS($AS$3:$AS$201,$M239)&gt;0,
     COUNTIFS($AT$3:$AT$201,$M239)&gt;0,
     COUNTIFS($AU$3:$AU$201,$M239)&gt;0,
     COUNTIFS($AV$3:$AV$201,$M239)&gt;0,
     COUNTIFS($AW$3:$AW$201,$M239)&gt;0,
     COUNTIFS($AX$3:$AX$201,$M239)&gt;0
   )),
  ),
  3
 ),
"")</f>
        <v/>
      </c>
      <c r="EW239" t="str">
        <f ca="1"/>
        <v>Worn Powerstone</v>
      </c>
    </row>
    <row r="240" spans="1:153" x14ac:dyDescent="0.25">
      <c r="A240" t="str">
        <f ca="1"/>
        <v>Kinscaer Sentry</v>
      </c>
      <c r="B240" s="2" t="str" cm="1">
        <f t="array" aca="1" ref="B240" ca="1">_xlfn.ANCHORARRAY(RESUMO!C239)</f>
        <v>Little</v>
      </c>
      <c r="C240" s="2" t="str">
        <f t="shared" ca="1" si="12"/>
        <v/>
      </c>
      <c r="E240" t="str">
        <f ca="1"/>
        <v>Wyll's Reversal</v>
      </c>
      <c r="F240" s="2">
        <f t="shared" ca="1" si="15"/>
        <v>1</v>
      </c>
      <c r="G240" s="2" t="str">
        <f t="shared" ca="1" si="13"/>
        <v>Piratas</v>
      </c>
      <c r="J240" t="s">
        <v>180</v>
      </c>
      <c r="K240" s="2">
        <v>1</v>
      </c>
      <c r="M240" t="str">
        <f ca="1"/>
        <v>Wyll's Reversal</v>
      </c>
      <c r="N240" s="2">
        <f t="shared" ca="1" si="14"/>
        <v>1</v>
      </c>
      <c r="O240" s="2" t="str">
        <f ca="1">IFERROR(
 INDEX($U$2:$AX$2,
  MATCH(TRUE,
   CHOOSE({1;2;3;4;5;6;7;8;9;10;11;12;13;14;15;16;17;18;19;20;21;22;23;24;25;26;27;28;29;30;31;32},
    COUNTIFS($U$3:$U$201,$M240)&gt;0,
    COUNTIFS($V$3:$V$201,$M240)&gt;0,
    COUNTIFS($W$3:$W$201,$M240)&gt;0,
    COUNTIFS($X$3:$X$201,$M240)&gt;0,
    COUNTIFS($Y$3:$Y$201,$M240)&gt;0,
    COUNTIFS($Z$3:$Z$201,$M240)&gt;0,
    COUNTIFS($AA$3:$AA$201,$M240)&gt;0,
    COUNTIFS($AB$3:$AB$201,$M240)&gt;0,
    COUNTIFS($AC$3:$AC$201,$M240)&gt;0,
    COUNTIFS($AD$3:$AD$201,$M240)&gt;0,
    COUNTIFS($AE$3:$AE$201,$M240)&gt;0,
    COUNTIFS($AF$3:$AF$201,$M240)&gt;0,
    COUNTIFS($AG$3:$AG$201,$M240)&gt;0,
    COUNTIFS($AH$3:$AH$201,$M240)&gt;0,
    COUNTIFS($AI$3:$AI$201,$M240)&gt;0,
    COUNTIFS($AJ$3:$AJ$201,$M240)&gt;0,
    COUNTIFS($AK$3:$AK$201,$M240)&gt;0,
    COUNTIFS($AL$3:$AL$201,$M240)&gt;0,
    COUNTIFS($AM$3:$AM$201,$M240)&gt;0,
    COUNTIFS($AN$3:$AN$201,$M240)&gt;0,
    COUNTIFS($AO$3:$AO$201,$M240)&gt;0,
    COUNTIFS($AP$3:$AP$201,$M240)&gt;0,
    COUNTIFS($AQ$3:$AQ$201,$M240)&gt;0,
    COUNTIFS($AR$3:$AR$201,$M240)&gt;0,
    COUNTIFS($AS$3:$AS$201,$M240)&gt;0,
    COUNTIFS($AT$3:$AT$201,$M240)&gt;0,
    COUNTIFS($AU$3:$AU$201,$M240)&gt;0,
    COUNTIFS($AV$3:$AV$201,$M240)&gt;0,
    COUNTIFS($AW$3:$AW$201,$M240)&gt;0,
    COUNTIFS($AX$3:$AX$201,$M240)&gt;0
   ),
  0)
 ),
"")</f>
        <v>Piratas</v>
      </c>
      <c r="P240" s="2" t="str" cm="1">
        <f t="array" aca="1" ref="P240" ca="1">IFERROR(
 INDEX(
  _xlfn._xlws.FILTER($U$2:$AX$2,
   TRANSPOSE(
    CHOOSE({1;2;3;4;5;6;7;8;9;10;11;12;13;14;15;16;17;18;19;20;21;22;23;24;25;26;27;28;29;30},
     COUNTIFS($U$3:$U$201,$M240)&gt;0,
     COUNTIFS($V$3:$V$201,$M240)&gt;0,
     COUNTIFS($W$3:$W$201,$M240)&gt;0,
     COUNTIFS($X$3:$X$201,$M240)&gt;0,
     COUNTIFS($Y$3:$Y$201,$M240)&gt;0,
     COUNTIFS($Z$3:$Z$201,$M240)&gt;0,
     COUNTIFS($AA$3:$AA$201,$M240)&gt;0,
     COUNTIFS($AB$3:$AB$201,$M240)&gt;0,
     COUNTIFS($AC$3:$AC$201,$M240)&gt;0,
     COUNTIFS($AD$3:$AD$201,$M240)&gt;0,
     COUNTIFS($AE$3:$AE$201,$M240)&gt;0,
     COUNTIFS($AF$3:$AF$201,$M240)&gt;0,
     COUNTIFS($AG$3:$AG$201,$M240)&gt;0,
     COUNTIFS($AH$3:$AH$201,$M240)&gt;0,
     COUNTIFS($AI$3:$AI$201,$M240)&gt;0,
     COUNTIFS($AJ$3:$AJ$201,$M240)&gt;0,
     COUNTIFS($AK$3:$AK$201,$M240)&gt;0,
     COUNTIFS($AL$3:$AL$201,$M240)&gt;0,
     COUNTIFS($AM$3:$AM$201,$M240)&gt;0,
     COUNTIFS($AN$3:$AN$201,$M240)&gt;0,
     COUNTIFS($AO$3:$AO$201,$M240)&gt;0,
     COUNTIFS($AP$3:$AP$201,$M240)&gt;0,
     COUNTIFS($AQ$3:$AQ$201,$M240)&gt;0,
     COUNTIFS($AR$3:$AR$201,$M240)&gt;0,
     COUNTIFS($AS$3:$AS$201,$M240)&gt;0,
     COUNTIFS($AT$3:$AT$201,$M240)&gt;0,
     COUNTIFS($AU$3:$AU$201,$M240)&gt;0,
     COUNTIFS($AV$3:$AV$201,$M240)&gt;0,
     COUNTIFS($AW$3:$AW$201,$M240)&gt;0,
     COUNTIFS($AX$3:$AX$201,$M240)&gt;0
   )),
  ),
  2
 ),
"")</f>
        <v/>
      </c>
      <c r="Q240" s="2" t="str" cm="1">
        <f t="array" aca="1" ref="Q240" ca="1">IFERROR(
 INDEX(
  _xlfn._xlws.FILTER($U$2:$AX$2,
   TRANSPOSE(
    CHOOSE({1;2;3;4;5;6;7;8;9;10;11;12;13;14;15;16;17;18;19;20;21;22;23;24;25;26;27;28;29;30},
     COUNTIFS($U$3:$U$201,$M240)&gt;0,
     COUNTIFS($V$3:$V$201,$M240)&gt;0,
     COUNTIFS($W$3:$W$201,$M240)&gt;0,
     COUNTIFS($X$3:$X$201,$M240)&gt;0,
     COUNTIFS($Y$3:$Y$201,$M240)&gt;0,
     COUNTIFS($Z$3:$Z$201,$M240)&gt;0,
     COUNTIFS($AA$3:$AA$201,$M240)&gt;0,
     COUNTIFS($AB$3:$AB$201,$M240)&gt;0,
     COUNTIFS($AC$3:$AC$201,$M240)&gt;0,
     COUNTIFS($AD$3:$AD$201,$M240)&gt;0,
     COUNTIFS($AE$3:$AE$201,$M240)&gt;0,
     COUNTIFS($AF$3:$AF$201,$M240)&gt;0,
     COUNTIFS($AG$3:$AG$201,$M240)&gt;0,
     COUNTIFS($AH$3:$AH$201,$M240)&gt;0,
     COUNTIFS($AI$3:$AI$201,$M240)&gt;0,
     COUNTIFS($AJ$3:$AJ$201,$M240)&gt;0,
     COUNTIFS($AK$3:$AK$201,$M240)&gt;0,
     COUNTIFS($AL$3:$AL$201,$M240)&gt;0,
     COUNTIFS($AM$3:$AM$201,$M240)&gt;0,
     COUNTIFS($AN$3:$AN$201,$M240)&gt;0,
     COUNTIFS($AO$3:$AO$201,$M240)&gt;0,
     COUNTIFS($AP$3:$AP$201,$M240)&gt;0,
     COUNTIFS($AQ$3:$AQ$201,$M240)&gt;0,
     COUNTIFS($AR$3:$AR$201,$M240)&gt;0,
     COUNTIFS($AS$3:$AS$201,$M240)&gt;0,
     COUNTIFS($AT$3:$AT$201,$M240)&gt;0,
     COUNTIFS($AU$3:$AU$201,$M240)&gt;0,
     COUNTIFS($AV$3:$AV$201,$M240)&gt;0,
     COUNTIFS($AW$3:$AW$201,$M240)&gt;0,
     COUNTIFS($AX$3:$AX$201,$M240)&gt;0
   )),
  ),
  3
 ),
"")</f>
        <v/>
      </c>
      <c r="EW240" t="str">
        <f ca="1"/>
        <v>Wyll's Reversal</v>
      </c>
    </row>
    <row r="241" spans="1:153" x14ac:dyDescent="0.25">
      <c r="A241" t="str">
        <f ca="1"/>
        <v>Kozilek, the Broken Reality</v>
      </c>
      <c r="B241" s="2" t="str" cm="1">
        <f t="array" aca="1" ref="B241" ca="1">_xlfn.ANCHORARRAY(RESUMO!C240)</f>
        <v>JhoiraB</v>
      </c>
      <c r="C241" s="2" t="str">
        <f t="shared" ca="1" si="12"/>
        <v/>
      </c>
      <c r="E241" t="e">
        <f ca="1"/>
        <v>#REF!</v>
      </c>
      <c r="F241" s="2">
        <f t="shared" ca="1" si="15"/>
        <v>0</v>
      </c>
      <c r="G241" s="2" t="e">
        <f t="shared" ca="1" si="13"/>
        <v>#REF!</v>
      </c>
      <c r="J241" t="s">
        <v>180</v>
      </c>
      <c r="K241" s="2">
        <v>1</v>
      </c>
      <c r="M241" t="e">
        <f ca="1"/>
        <v>#REF!</v>
      </c>
      <c r="N241" s="2">
        <f t="shared" ca="1" si="14"/>
        <v>0</v>
      </c>
      <c r="O241" s="2" t="str">
        <f ca="1">IFERROR(
 INDEX($U$2:$AX$2,
  MATCH(TRUE,
   CHOOSE({1;2;3;4;5;6;7;8;9;10;11;12;13;14;15;16;17;18;19;20;21;22;23;24;25;26;27;28;29;30;31;32},
    COUNTIFS($U$3:$U$201,$M241)&gt;0,
    COUNTIFS($V$3:$V$201,$M241)&gt;0,
    COUNTIFS($W$3:$W$201,$M241)&gt;0,
    COUNTIFS($X$3:$X$201,$M241)&gt;0,
    COUNTIFS($Y$3:$Y$201,$M241)&gt;0,
    COUNTIFS($Z$3:$Z$201,$M241)&gt;0,
    COUNTIFS($AA$3:$AA$201,$M241)&gt;0,
    COUNTIFS($AB$3:$AB$201,$M241)&gt;0,
    COUNTIFS($AC$3:$AC$201,$M241)&gt;0,
    COUNTIFS($AD$3:$AD$201,$M241)&gt;0,
    COUNTIFS($AE$3:$AE$201,$M241)&gt;0,
    COUNTIFS($AF$3:$AF$201,$M241)&gt;0,
    COUNTIFS($AG$3:$AG$201,$M241)&gt;0,
    COUNTIFS($AH$3:$AH$201,$M241)&gt;0,
    COUNTIFS($AI$3:$AI$201,$M241)&gt;0,
    COUNTIFS($AJ$3:$AJ$201,$M241)&gt;0,
    COUNTIFS($AK$3:$AK$201,$M241)&gt;0,
    COUNTIFS($AL$3:$AL$201,$M241)&gt;0,
    COUNTIFS($AM$3:$AM$201,$M241)&gt;0,
    COUNTIFS($AN$3:$AN$201,$M241)&gt;0,
    COUNTIFS($AO$3:$AO$201,$M241)&gt;0,
    COUNTIFS($AP$3:$AP$201,$M241)&gt;0,
    COUNTIFS($AQ$3:$AQ$201,$M241)&gt;0,
    COUNTIFS($AR$3:$AR$201,$M241)&gt;0,
    COUNTIFS($AS$3:$AS$201,$M241)&gt;0,
    COUNTIFS($AT$3:$AT$201,$M241)&gt;0,
    COUNTIFS($AU$3:$AU$201,$M241)&gt;0,
    COUNTIFS($AV$3:$AV$201,$M241)&gt;0,
    COUNTIFS($AW$3:$AW$201,$M241)&gt;0,
    COUNTIFS($AX$3:$AX$201,$M241)&gt;0
   ),
  0)
 ),
"")</f>
        <v/>
      </c>
      <c r="P241" s="2" t="str" cm="1">
        <f t="array" aca="1" ref="P241" ca="1">IFERROR(
 INDEX(
  _xlfn._xlws.FILTER($U$2:$AX$2,
   TRANSPOSE(
    CHOOSE({1;2;3;4;5;6;7;8;9;10;11;12;13;14;15;16;17;18;19;20;21;22;23;24;25;26;27;28;29;30},
     COUNTIFS($U$3:$U$201,$M241)&gt;0,
     COUNTIFS($V$3:$V$201,$M241)&gt;0,
     COUNTIFS($W$3:$W$201,$M241)&gt;0,
     COUNTIFS($X$3:$X$201,$M241)&gt;0,
     COUNTIFS($Y$3:$Y$201,$M241)&gt;0,
     COUNTIFS($Z$3:$Z$201,$M241)&gt;0,
     COUNTIFS($AA$3:$AA$201,$M241)&gt;0,
     COUNTIFS($AB$3:$AB$201,$M241)&gt;0,
     COUNTIFS($AC$3:$AC$201,$M241)&gt;0,
     COUNTIFS($AD$3:$AD$201,$M241)&gt;0,
     COUNTIFS($AE$3:$AE$201,$M241)&gt;0,
     COUNTIFS($AF$3:$AF$201,$M241)&gt;0,
     COUNTIFS($AG$3:$AG$201,$M241)&gt;0,
     COUNTIFS($AH$3:$AH$201,$M241)&gt;0,
     COUNTIFS($AI$3:$AI$201,$M241)&gt;0,
     COUNTIFS($AJ$3:$AJ$201,$M241)&gt;0,
     COUNTIFS($AK$3:$AK$201,$M241)&gt;0,
     COUNTIFS($AL$3:$AL$201,$M241)&gt;0,
     COUNTIFS($AM$3:$AM$201,$M241)&gt;0,
     COUNTIFS($AN$3:$AN$201,$M241)&gt;0,
     COUNTIFS($AO$3:$AO$201,$M241)&gt;0,
     COUNTIFS($AP$3:$AP$201,$M241)&gt;0,
     COUNTIFS($AQ$3:$AQ$201,$M241)&gt;0,
     COUNTIFS($AR$3:$AR$201,$M241)&gt;0,
     COUNTIFS($AS$3:$AS$201,$M241)&gt;0,
     COUNTIFS($AT$3:$AT$201,$M241)&gt;0,
     COUNTIFS($AU$3:$AU$201,$M241)&gt;0,
     COUNTIFS($AV$3:$AV$201,$M241)&gt;0,
     COUNTIFS($AW$3:$AW$201,$M241)&gt;0,
     COUNTIFS($AX$3:$AX$201,$M241)&gt;0
   )),
  ),
  2
 ),
"")</f>
        <v/>
      </c>
      <c r="Q241" s="2" t="str" cm="1">
        <f t="array" aca="1" ref="Q241" ca="1">IFERROR(
 INDEX(
  _xlfn._xlws.FILTER($U$2:$AX$2,
   TRANSPOSE(
    CHOOSE({1;2;3;4;5;6;7;8;9;10;11;12;13;14;15;16;17;18;19;20;21;22;23;24;25;26;27;28;29;30},
     COUNTIFS($U$3:$U$201,$M241)&gt;0,
     COUNTIFS($V$3:$V$201,$M241)&gt;0,
     COUNTIFS($W$3:$W$201,$M241)&gt;0,
     COUNTIFS($X$3:$X$201,$M241)&gt;0,
     COUNTIFS($Y$3:$Y$201,$M241)&gt;0,
     COUNTIFS($Z$3:$Z$201,$M241)&gt;0,
     COUNTIFS($AA$3:$AA$201,$M241)&gt;0,
     COUNTIFS($AB$3:$AB$201,$M241)&gt;0,
     COUNTIFS($AC$3:$AC$201,$M241)&gt;0,
     COUNTIFS($AD$3:$AD$201,$M241)&gt;0,
     COUNTIFS($AE$3:$AE$201,$M241)&gt;0,
     COUNTIFS($AF$3:$AF$201,$M241)&gt;0,
     COUNTIFS($AG$3:$AG$201,$M241)&gt;0,
     COUNTIFS($AH$3:$AH$201,$M241)&gt;0,
     COUNTIFS($AI$3:$AI$201,$M241)&gt;0,
     COUNTIFS($AJ$3:$AJ$201,$M241)&gt;0,
     COUNTIFS($AK$3:$AK$201,$M241)&gt;0,
     COUNTIFS($AL$3:$AL$201,$M241)&gt;0,
     COUNTIFS($AM$3:$AM$201,$M241)&gt;0,
     COUNTIFS($AN$3:$AN$201,$M241)&gt;0,
     COUNTIFS($AO$3:$AO$201,$M241)&gt;0,
     COUNTIFS($AP$3:$AP$201,$M241)&gt;0,
     COUNTIFS($AQ$3:$AQ$201,$M241)&gt;0,
     COUNTIFS($AR$3:$AR$201,$M241)&gt;0,
     COUNTIFS($AS$3:$AS$201,$M241)&gt;0,
     COUNTIFS($AT$3:$AT$201,$M241)&gt;0,
     COUNTIFS($AU$3:$AU$201,$M241)&gt;0,
     COUNTIFS($AV$3:$AV$201,$M241)&gt;0,
     COUNTIFS($AW$3:$AW$201,$M241)&gt;0,
     COUNTIFS($AX$3:$AX$201,$M241)&gt;0
   )),
  ),
  3
 ),
"")</f>
        <v/>
      </c>
      <c r="EW241" t="e">
        <f ca="1"/>
        <v>#REF!</v>
      </c>
    </row>
    <row r="242" spans="1:153" x14ac:dyDescent="0.25">
      <c r="A242" t="str">
        <f ca="1"/>
        <v>Krosan Grip</v>
      </c>
      <c r="B242" s="2" t="str" cm="1">
        <f t="array" aca="1" ref="B242" ca="1">_xlfn.ANCHORARRAY(RESUMO!C241)</f>
        <v>4cRash</v>
      </c>
      <c r="C242" s="2" t="str">
        <f t="shared" ca="1" si="12"/>
        <v>Baylen</v>
      </c>
      <c r="E242" t="e" vm="2">
        <f ca="1"/>
        <v>#VALUE!</v>
      </c>
      <c r="F242" s="2">
        <f t="shared" ca="1" si="15"/>
        <v>2</v>
      </c>
      <c r="G242" s="2" t="e" vm="2">
        <f t="shared" ca="1" si="13"/>
        <v>#VALUE!</v>
      </c>
      <c r="J242" t="s">
        <v>180</v>
      </c>
      <c r="K242" s="2">
        <v>1</v>
      </c>
      <c r="M242" t="e" vm="2">
        <f ca="1"/>
        <v>#VALUE!</v>
      </c>
      <c r="N242" s="2">
        <f t="shared" ca="1" si="14"/>
        <v>1</v>
      </c>
      <c r="O242" s="2" t="str">
        <f ca="1">IFERROR(
 INDEX($U$2:$AX$2,
  MATCH(TRUE,
   CHOOSE({1;2;3;4;5;6;7;8;9;10;11;12;13;14;15;16;17;18;19;20;21;22;23;24;25;26;27;28;29;30;31;32},
    COUNTIFS($U$3:$U$201,$M242)&gt;0,
    COUNTIFS($V$3:$V$201,$M242)&gt;0,
    COUNTIFS($W$3:$W$201,$M242)&gt;0,
    COUNTIFS($X$3:$X$201,$M242)&gt;0,
    COUNTIFS($Y$3:$Y$201,$M242)&gt;0,
    COUNTIFS($Z$3:$Z$201,$M242)&gt;0,
    COUNTIFS($AA$3:$AA$201,$M242)&gt;0,
    COUNTIFS($AB$3:$AB$201,$M242)&gt;0,
    COUNTIFS($AC$3:$AC$201,$M242)&gt;0,
    COUNTIFS($AD$3:$AD$201,$M242)&gt;0,
    COUNTIFS($AE$3:$AE$201,$M242)&gt;0,
    COUNTIFS($AF$3:$AF$201,$M242)&gt;0,
    COUNTIFS($AG$3:$AG$201,$M242)&gt;0,
    COUNTIFS($AH$3:$AH$201,$M242)&gt;0,
    COUNTIFS($AI$3:$AI$201,$M242)&gt;0,
    COUNTIFS($AJ$3:$AJ$201,$M242)&gt;0,
    COUNTIFS($AK$3:$AK$201,$M242)&gt;0,
    COUNTIFS($AL$3:$AL$201,$M242)&gt;0,
    COUNTIFS($AM$3:$AM$201,$M242)&gt;0,
    COUNTIFS($AN$3:$AN$201,$M242)&gt;0,
    COUNTIFS($AO$3:$AO$201,$M242)&gt;0,
    COUNTIFS($AP$3:$AP$201,$M242)&gt;0,
    COUNTIFS($AQ$3:$AQ$201,$M242)&gt;0,
    COUNTIFS($AR$3:$AR$201,$M242)&gt;0,
    COUNTIFS($AS$3:$AS$201,$M242)&gt;0,
    COUNTIFS($AT$3:$AT$201,$M242)&gt;0,
    COUNTIFS($AU$3:$AU$201,$M242)&gt;0,
    COUNTIFS($AV$3:$AV$201,$M242)&gt;0,
    COUNTIFS($AW$3:$AW$201,$M242)&gt;0,
    COUNTIFS($AX$3:$AX$201,$M242)&gt;0
   ),
  0)
 ),
"")</f>
        <v>Fractius</v>
      </c>
      <c r="P242" s="2" t="str" cm="1">
        <f t="array" aca="1" ref="P242" ca="1">IFERROR(
 INDEX(
  _xlfn._xlws.FILTER($U$2:$AX$2,
   TRANSPOSE(
    CHOOSE({1;2;3;4;5;6;7;8;9;10;11;12;13;14;15;16;17;18;19;20;21;22;23;24;25;26;27;28;29;30},
     COUNTIFS($U$3:$U$201,$M242)&gt;0,
     COUNTIFS($V$3:$V$201,$M242)&gt;0,
     COUNTIFS($W$3:$W$201,$M242)&gt;0,
     COUNTIFS($X$3:$X$201,$M242)&gt;0,
     COUNTIFS($Y$3:$Y$201,$M242)&gt;0,
     COUNTIFS($Z$3:$Z$201,$M242)&gt;0,
     COUNTIFS($AA$3:$AA$201,$M242)&gt;0,
     COUNTIFS($AB$3:$AB$201,$M242)&gt;0,
     COUNTIFS($AC$3:$AC$201,$M242)&gt;0,
     COUNTIFS($AD$3:$AD$201,$M242)&gt;0,
     COUNTIFS($AE$3:$AE$201,$M242)&gt;0,
     COUNTIFS($AF$3:$AF$201,$M242)&gt;0,
     COUNTIFS($AG$3:$AG$201,$M242)&gt;0,
     COUNTIFS($AH$3:$AH$201,$M242)&gt;0,
     COUNTIFS($AI$3:$AI$201,$M242)&gt;0,
     COUNTIFS($AJ$3:$AJ$201,$M242)&gt;0,
     COUNTIFS($AK$3:$AK$201,$M242)&gt;0,
     COUNTIFS($AL$3:$AL$201,$M242)&gt;0,
     COUNTIFS($AM$3:$AM$201,$M242)&gt;0,
     COUNTIFS($AN$3:$AN$201,$M242)&gt;0,
     COUNTIFS($AO$3:$AO$201,$M242)&gt;0,
     COUNTIFS($AP$3:$AP$201,$M242)&gt;0,
     COUNTIFS($AQ$3:$AQ$201,$M242)&gt;0,
     COUNTIFS($AR$3:$AR$201,$M242)&gt;0,
     COUNTIFS($AS$3:$AS$201,$M242)&gt;0,
     COUNTIFS($AT$3:$AT$201,$M242)&gt;0,
     COUNTIFS($AU$3:$AU$201,$M242)&gt;0,
     COUNTIFS($AV$3:$AV$201,$M242)&gt;0,
     COUNTIFS($AW$3:$AW$201,$M242)&gt;0,
     COUNTIFS($AX$3:$AX$201,$M242)&gt;0
   )),
  ),
  2
 ),
"")</f>
        <v/>
      </c>
      <c r="Q242" s="2" t="str" cm="1">
        <f t="array" aca="1" ref="Q242" ca="1">IFERROR(
 INDEX(
  _xlfn._xlws.FILTER($U$2:$AX$2,
   TRANSPOSE(
    CHOOSE({1;2;3;4;5;6;7;8;9;10;11;12;13;14;15;16;17;18;19;20;21;22;23;24;25;26;27;28;29;30},
     COUNTIFS($U$3:$U$201,$M242)&gt;0,
     COUNTIFS($V$3:$V$201,$M242)&gt;0,
     COUNTIFS($W$3:$W$201,$M242)&gt;0,
     COUNTIFS($X$3:$X$201,$M242)&gt;0,
     COUNTIFS($Y$3:$Y$201,$M242)&gt;0,
     COUNTIFS($Z$3:$Z$201,$M242)&gt;0,
     COUNTIFS($AA$3:$AA$201,$M242)&gt;0,
     COUNTIFS($AB$3:$AB$201,$M242)&gt;0,
     COUNTIFS($AC$3:$AC$201,$M242)&gt;0,
     COUNTIFS($AD$3:$AD$201,$M242)&gt;0,
     COUNTIFS($AE$3:$AE$201,$M242)&gt;0,
     COUNTIFS($AF$3:$AF$201,$M242)&gt;0,
     COUNTIFS($AG$3:$AG$201,$M242)&gt;0,
     COUNTIFS($AH$3:$AH$201,$M242)&gt;0,
     COUNTIFS($AI$3:$AI$201,$M242)&gt;0,
     COUNTIFS($AJ$3:$AJ$201,$M242)&gt;0,
     COUNTIFS($AK$3:$AK$201,$M242)&gt;0,
     COUNTIFS($AL$3:$AL$201,$M242)&gt;0,
     COUNTIFS($AM$3:$AM$201,$M242)&gt;0,
     COUNTIFS($AN$3:$AN$201,$M242)&gt;0,
     COUNTIFS($AO$3:$AO$201,$M242)&gt;0,
     COUNTIFS($AP$3:$AP$201,$M242)&gt;0,
     COUNTIFS($AQ$3:$AQ$201,$M242)&gt;0,
     COUNTIFS($AR$3:$AR$201,$M242)&gt;0,
     COUNTIFS($AS$3:$AS$201,$M242)&gt;0,
     COUNTIFS($AT$3:$AT$201,$M242)&gt;0,
     COUNTIFS($AU$3:$AU$201,$M242)&gt;0,
     COUNTIFS($AV$3:$AV$201,$M242)&gt;0,
     COUNTIFS($AW$3:$AW$201,$M242)&gt;0,
     COUNTIFS($AX$3:$AX$201,$M242)&gt;0
   )),
  ),
  3
 ),
"")</f>
        <v/>
      </c>
      <c r="EW242" t="e" vm="2">
        <f ca="1"/>
        <v>#VALUE!</v>
      </c>
    </row>
    <row r="243" spans="1:153" x14ac:dyDescent="0.25">
      <c r="A243" t="str">
        <f ca="1"/>
        <v>Kutzil, Malamet Exemplar</v>
      </c>
      <c r="B243" s="2" t="str" cm="1">
        <f t="array" aca="1" ref="B243" ca="1">_xlfn.ANCHORARRAY(RESUMO!C242)</f>
        <v>Tayam</v>
      </c>
      <c r="C243" s="2" t="str">
        <f t="shared" ca="1" si="12"/>
        <v/>
      </c>
      <c r="F243" s="2">
        <f t="shared" si="15"/>
        <v>0</v>
      </c>
      <c r="G243" s="2" t="str">
        <f t="shared" ca="1" si="13"/>
        <v/>
      </c>
      <c r="J243" t="s">
        <v>180</v>
      </c>
      <c r="K243" s="2">
        <v>1</v>
      </c>
      <c r="N243" s="2">
        <f t="shared" si="14"/>
        <v>0</v>
      </c>
      <c r="O243" s="2" t="str">
        <f>IFERROR(
 INDEX($U$2:$AX$2,
  MATCH(TRUE,
   CHOOSE({1;2;3;4;5;6;7;8;9;10;11;12;13;14;15;16;17;18;19;20;21;22;23;24;25;26;27;28;29;30;31;32},
    COUNTIFS($U$3:$U$201,$M243)&gt;0,
    COUNTIFS($V$3:$V$201,$M243)&gt;0,
    COUNTIFS($W$3:$W$201,$M243)&gt;0,
    COUNTIFS($X$3:$X$201,$M243)&gt;0,
    COUNTIFS($Y$3:$Y$201,$M243)&gt;0,
    COUNTIFS($Z$3:$Z$201,$M243)&gt;0,
    COUNTIFS($AA$3:$AA$201,$M243)&gt;0,
    COUNTIFS($AB$3:$AB$201,$M243)&gt;0,
    COUNTIFS($AC$3:$AC$201,$M243)&gt;0,
    COUNTIFS($AD$3:$AD$201,$M243)&gt;0,
    COUNTIFS($AE$3:$AE$201,$M243)&gt;0,
    COUNTIFS($AF$3:$AF$201,$M243)&gt;0,
    COUNTIFS($AG$3:$AG$201,$M243)&gt;0,
    COUNTIFS($AH$3:$AH$201,$M243)&gt;0,
    COUNTIFS($AI$3:$AI$201,$M243)&gt;0,
    COUNTIFS($AJ$3:$AJ$201,$M243)&gt;0,
    COUNTIFS($AK$3:$AK$201,$M243)&gt;0,
    COUNTIFS($AL$3:$AL$201,$M243)&gt;0,
    COUNTIFS($AM$3:$AM$201,$M243)&gt;0,
    COUNTIFS($AN$3:$AN$201,$M243)&gt;0,
    COUNTIFS($AO$3:$AO$201,$M243)&gt;0,
    COUNTIFS($AP$3:$AP$201,$M243)&gt;0,
    COUNTIFS($AQ$3:$AQ$201,$M243)&gt;0,
    COUNTIFS($AR$3:$AR$201,$M243)&gt;0,
    COUNTIFS($AS$3:$AS$201,$M243)&gt;0,
    COUNTIFS($AT$3:$AT$201,$M243)&gt;0,
    COUNTIFS($AU$3:$AU$201,$M243)&gt;0,
    COUNTIFS($AV$3:$AV$201,$M243)&gt;0,
    COUNTIFS($AW$3:$AW$201,$M243)&gt;0,
    COUNTIFS($AX$3:$AX$201,$M243)&gt;0
   ),
  0)
 ),
"")</f>
        <v/>
      </c>
      <c r="P243" s="2" t="str" cm="1">
        <f t="array" ref="P243">IFERROR(
 INDEX(
  _xlfn._xlws.FILTER($U$2:$AX$2,
   TRANSPOSE(
    CHOOSE({1;2;3;4;5;6;7;8;9;10;11;12;13;14;15;16;17;18;19;20;21;22;23;24;25;26;27;28;29;30},
     COUNTIFS($U$3:$U$201,$M243)&gt;0,
     COUNTIFS($V$3:$V$201,$M243)&gt;0,
     COUNTIFS($W$3:$W$201,$M243)&gt;0,
     COUNTIFS($X$3:$X$201,$M243)&gt;0,
     COUNTIFS($Y$3:$Y$201,$M243)&gt;0,
     COUNTIFS($Z$3:$Z$201,$M243)&gt;0,
     COUNTIFS($AA$3:$AA$201,$M243)&gt;0,
     COUNTIFS($AB$3:$AB$201,$M243)&gt;0,
     COUNTIFS($AC$3:$AC$201,$M243)&gt;0,
     COUNTIFS($AD$3:$AD$201,$M243)&gt;0,
     COUNTIFS($AE$3:$AE$201,$M243)&gt;0,
     COUNTIFS($AF$3:$AF$201,$M243)&gt;0,
     COUNTIFS($AG$3:$AG$201,$M243)&gt;0,
     COUNTIFS($AH$3:$AH$201,$M243)&gt;0,
     COUNTIFS($AI$3:$AI$201,$M243)&gt;0,
     COUNTIFS($AJ$3:$AJ$201,$M243)&gt;0,
     COUNTIFS($AK$3:$AK$201,$M243)&gt;0,
     COUNTIFS($AL$3:$AL$201,$M243)&gt;0,
     COUNTIFS($AM$3:$AM$201,$M243)&gt;0,
     COUNTIFS($AN$3:$AN$201,$M243)&gt;0,
     COUNTIFS($AO$3:$AO$201,$M243)&gt;0,
     COUNTIFS($AP$3:$AP$201,$M243)&gt;0,
     COUNTIFS($AQ$3:$AQ$201,$M243)&gt;0,
     COUNTIFS($AR$3:$AR$201,$M243)&gt;0,
     COUNTIFS($AS$3:$AS$201,$M243)&gt;0,
     COUNTIFS($AT$3:$AT$201,$M243)&gt;0,
     COUNTIFS($AU$3:$AU$201,$M243)&gt;0,
     COUNTIFS($AV$3:$AV$201,$M243)&gt;0,
     COUNTIFS($AW$3:$AW$201,$M243)&gt;0,
     COUNTIFS($AX$3:$AX$201,$M243)&gt;0
   )),
  ),
  2
 ),
"")</f>
        <v/>
      </c>
      <c r="Q243" s="2" t="str" cm="1">
        <f t="array" ref="Q243">IFERROR(
 INDEX(
  _xlfn._xlws.FILTER($U$2:$AX$2,
   TRANSPOSE(
    CHOOSE({1;2;3;4;5;6;7;8;9;10;11;12;13;14;15;16;17;18;19;20;21;22;23;24;25;26;27;28;29;30},
     COUNTIFS($U$3:$U$201,$M243)&gt;0,
     COUNTIFS($V$3:$V$201,$M243)&gt;0,
     COUNTIFS($W$3:$W$201,$M243)&gt;0,
     COUNTIFS($X$3:$X$201,$M243)&gt;0,
     COUNTIFS($Y$3:$Y$201,$M243)&gt;0,
     COUNTIFS($Z$3:$Z$201,$M243)&gt;0,
     COUNTIFS($AA$3:$AA$201,$M243)&gt;0,
     COUNTIFS($AB$3:$AB$201,$M243)&gt;0,
     COUNTIFS($AC$3:$AC$201,$M243)&gt;0,
     COUNTIFS($AD$3:$AD$201,$M243)&gt;0,
     COUNTIFS($AE$3:$AE$201,$M243)&gt;0,
     COUNTIFS($AF$3:$AF$201,$M243)&gt;0,
     COUNTIFS($AG$3:$AG$201,$M243)&gt;0,
     COUNTIFS($AH$3:$AH$201,$M243)&gt;0,
     COUNTIFS($AI$3:$AI$201,$M243)&gt;0,
     COUNTIFS($AJ$3:$AJ$201,$M243)&gt;0,
     COUNTIFS($AK$3:$AK$201,$M243)&gt;0,
     COUNTIFS($AL$3:$AL$201,$M243)&gt;0,
     COUNTIFS($AM$3:$AM$201,$M243)&gt;0,
     COUNTIFS($AN$3:$AN$201,$M243)&gt;0,
     COUNTIFS($AO$3:$AO$201,$M243)&gt;0,
     COUNTIFS($AP$3:$AP$201,$M243)&gt;0,
     COUNTIFS($AQ$3:$AQ$201,$M243)&gt;0,
     COUNTIFS($AR$3:$AR$201,$M243)&gt;0,
     COUNTIFS($AS$3:$AS$201,$M243)&gt;0,
     COUNTIFS($AT$3:$AT$201,$M243)&gt;0,
     COUNTIFS($AU$3:$AU$201,$M243)&gt;0,
     COUNTIFS($AV$3:$AV$201,$M243)&gt;0,
     COUNTIFS($AW$3:$AW$201,$M243)&gt;0,
     COUNTIFS($AX$3:$AX$201,$M243)&gt;0
   )),
  ),
  3
 ),
"")</f>
        <v/>
      </c>
    </row>
    <row r="244" spans="1:153" x14ac:dyDescent="0.25">
      <c r="A244" t="str">
        <f ca="1"/>
        <v>Lae'zel, Vlaakith's Champion</v>
      </c>
      <c r="B244" s="2" t="str" cm="1">
        <f t="array" aca="1" ref="B244" ca="1">_xlfn.ANCHORARRAY(RESUMO!C243)</f>
        <v>Tayam</v>
      </c>
      <c r="C244" s="2" t="str">
        <f t="shared" ca="1" si="12"/>
        <v/>
      </c>
      <c r="F244" s="2">
        <f t="shared" si="15"/>
        <v>0</v>
      </c>
      <c r="G244" s="2" t="str">
        <f t="shared" ca="1" si="13"/>
        <v/>
      </c>
      <c r="J244" t="s">
        <v>180</v>
      </c>
      <c r="K244" s="2">
        <v>1</v>
      </c>
      <c r="N244" s="2">
        <f t="shared" si="14"/>
        <v>0</v>
      </c>
      <c r="O244" s="2" t="str">
        <f>IFERROR(
 INDEX($U$2:$AX$2,
  MATCH(TRUE,
   CHOOSE({1;2;3;4;5;6;7;8;9;10;11;12;13;14;15;16;17;18;19;20;21;22;23;24;25;26;27;28;29;30;31;32},
    COUNTIFS($U$3:$U$201,$M244)&gt;0,
    COUNTIFS($V$3:$V$201,$M244)&gt;0,
    COUNTIFS($W$3:$W$201,$M244)&gt;0,
    COUNTIFS($X$3:$X$201,$M244)&gt;0,
    COUNTIFS($Y$3:$Y$201,$M244)&gt;0,
    COUNTIFS($Z$3:$Z$201,$M244)&gt;0,
    COUNTIFS($AA$3:$AA$201,$M244)&gt;0,
    COUNTIFS($AB$3:$AB$201,$M244)&gt;0,
    COUNTIFS($AC$3:$AC$201,$M244)&gt;0,
    COUNTIFS($AD$3:$AD$201,$M244)&gt;0,
    COUNTIFS($AE$3:$AE$201,$M244)&gt;0,
    COUNTIFS($AF$3:$AF$201,$M244)&gt;0,
    COUNTIFS($AG$3:$AG$201,$M244)&gt;0,
    COUNTIFS($AH$3:$AH$201,$M244)&gt;0,
    COUNTIFS($AI$3:$AI$201,$M244)&gt;0,
    COUNTIFS($AJ$3:$AJ$201,$M244)&gt;0,
    COUNTIFS($AK$3:$AK$201,$M244)&gt;0,
    COUNTIFS($AL$3:$AL$201,$M244)&gt;0,
    COUNTIFS($AM$3:$AM$201,$M244)&gt;0,
    COUNTIFS($AN$3:$AN$201,$M244)&gt;0,
    COUNTIFS($AO$3:$AO$201,$M244)&gt;0,
    COUNTIFS($AP$3:$AP$201,$M244)&gt;0,
    COUNTIFS($AQ$3:$AQ$201,$M244)&gt;0,
    COUNTIFS($AR$3:$AR$201,$M244)&gt;0,
    COUNTIFS($AS$3:$AS$201,$M244)&gt;0,
    COUNTIFS($AT$3:$AT$201,$M244)&gt;0,
    COUNTIFS($AU$3:$AU$201,$M244)&gt;0,
    COUNTIFS($AV$3:$AV$201,$M244)&gt;0,
    COUNTIFS($AW$3:$AW$201,$M244)&gt;0,
    COUNTIFS($AX$3:$AX$201,$M244)&gt;0
   ),
  0)
 ),
"")</f>
        <v/>
      </c>
      <c r="P244" s="2" t="str" cm="1">
        <f t="array" ref="P244">IFERROR(
 INDEX(
  _xlfn._xlws.FILTER($U$2:$AX$2,
   TRANSPOSE(
    CHOOSE({1;2;3;4;5;6;7;8;9;10;11;12;13;14;15;16;17;18;19;20;21;22;23;24;25;26;27;28;29;30},
     COUNTIFS($U$3:$U$201,$M244)&gt;0,
     COUNTIFS($V$3:$V$201,$M244)&gt;0,
     COUNTIFS($W$3:$W$201,$M244)&gt;0,
     COUNTIFS($X$3:$X$201,$M244)&gt;0,
     COUNTIFS($Y$3:$Y$201,$M244)&gt;0,
     COUNTIFS($Z$3:$Z$201,$M244)&gt;0,
     COUNTIFS($AA$3:$AA$201,$M244)&gt;0,
     COUNTIFS($AB$3:$AB$201,$M244)&gt;0,
     COUNTIFS($AC$3:$AC$201,$M244)&gt;0,
     COUNTIFS($AD$3:$AD$201,$M244)&gt;0,
     COUNTIFS($AE$3:$AE$201,$M244)&gt;0,
     COUNTIFS($AF$3:$AF$201,$M244)&gt;0,
     COUNTIFS($AG$3:$AG$201,$M244)&gt;0,
     COUNTIFS($AH$3:$AH$201,$M244)&gt;0,
     COUNTIFS($AI$3:$AI$201,$M244)&gt;0,
     COUNTIFS($AJ$3:$AJ$201,$M244)&gt;0,
     COUNTIFS($AK$3:$AK$201,$M244)&gt;0,
     COUNTIFS($AL$3:$AL$201,$M244)&gt;0,
     COUNTIFS($AM$3:$AM$201,$M244)&gt;0,
     COUNTIFS($AN$3:$AN$201,$M244)&gt;0,
     COUNTIFS($AO$3:$AO$201,$M244)&gt;0,
     COUNTIFS($AP$3:$AP$201,$M244)&gt;0,
     COUNTIFS($AQ$3:$AQ$201,$M244)&gt;0,
     COUNTIFS($AR$3:$AR$201,$M244)&gt;0,
     COUNTIFS($AS$3:$AS$201,$M244)&gt;0,
     COUNTIFS($AT$3:$AT$201,$M244)&gt;0,
     COUNTIFS($AU$3:$AU$201,$M244)&gt;0,
     COUNTIFS($AV$3:$AV$201,$M244)&gt;0,
     COUNTIFS($AW$3:$AW$201,$M244)&gt;0,
     COUNTIFS($AX$3:$AX$201,$M244)&gt;0
   )),
  ),
  2
 ),
"")</f>
        <v/>
      </c>
      <c r="Q244" s="2" t="str" cm="1">
        <f t="array" ref="Q244">IFERROR(
 INDEX(
  _xlfn._xlws.FILTER($U$2:$AX$2,
   TRANSPOSE(
    CHOOSE({1;2;3;4;5;6;7;8;9;10;11;12;13;14;15;16;17;18;19;20;21;22;23;24;25;26;27;28;29;30},
     COUNTIFS($U$3:$U$201,$M244)&gt;0,
     COUNTIFS($V$3:$V$201,$M244)&gt;0,
     COUNTIFS($W$3:$W$201,$M244)&gt;0,
     COUNTIFS($X$3:$X$201,$M244)&gt;0,
     COUNTIFS($Y$3:$Y$201,$M244)&gt;0,
     COUNTIFS($Z$3:$Z$201,$M244)&gt;0,
     COUNTIFS($AA$3:$AA$201,$M244)&gt;0,
     COUNTIFS($AB$3:$AB$201,$M244)&gt;0,
     COUNTIFS($AC$3:$AC$201,$M244)&gt;0,
     COUNTIFS($AD$3:$AD$201,$M244)&gt;0,
     COUNTIFS($AE$3:$AE$201,$M244)&gt;0,
     COUNTIFS($AF$3:$AF$201,$M244)&gt;0,
     COUNTIFS($AG$3:$AG$201,$M244)&gt;0,
     COUNTIFS($AH$3:$AH$201,$M244)&gt;0,
     COUNTIFS($AI$3:$AI$201,$M244)&gt;0,
     COUNTIFS($AJ$3:$AJ$201,$M244)&gt;0,
     COUNTIFS($AK$3:$AK$201,$M244)&gt;0,
     COUNTIFS($AL$3:$AL$201,$M244)&gt;0,
     COUNTIFS($AM$3:$AM$201,$M244)&gt;0,
     COUNTIFS($AN$3:$AN$201,$M244)&gt;0,
     COUNTIFS($AO$3:$AO$201,$M244)&gt;0,
     COUNTIFS($AP$3:$AP$201,$M244)&gt;0,
     COUNTIFS($AQ$3:$AQ$201,$M244)&gt;0,
     COUNTIFS($AR$3:$AR$201,$M244)&gt;0,
     COUNTIFS($AS$3:$AS$201,$M244)&gt;0,
     COUNTIFS($AT$3:$AT$201,$M244)&gt;0,
     COUNTIFS($AU$3:$AU$201,$M244)&gt;0,
     COUNTIFS($AV$3:$AV$201,$M244)&gt;0,
     COUNTIFS($AW$3:$AW$201,$M244)&gt;0,
     COUNTIFS($AX$3:$AX$201,$M244)&gt;0
   )),
  ),
  3
 ),
"")</f>
        <v/>
      </c>
    </row>
    <row r="245" spans="1:153" x14ac:dyDescent="0.25">
      <c r="A245" t="str">
        <f ca="1"/>
        <v>Lagomos, Hand of Hatred</v>
      </c>
      <c r="B245" s="2" t="str" cm="1">
        <f t="array" aca="1" ref="B245" ca="1">_xlfn.ANCHORARRAY(RESUMO!C244)</f>
        <v>Little</v>
      </c>
      <c r="C245" s="2" t="str">
        <f t="shared" ca="1" si="12"/>
        <v/>
      </c>
      <c r="F245" s="2">
        <f t="shared" si="15"/>
        <v>0</v>
      </c>
      <c r="G245" s="2" t="str">
        <f t="shared" ca="1" si="13"/>
        <v/>
      </c>
      <c r="J245" t="s">
        <v>180</v>
      </c>
      <c r="K245" s="2">
        <v>1</v>
      </c>
      <c r="N245" s="2">
        <f t="shared" si="14"/>
        <v>0</v>
      </c>
      <c r="O245" s="2" t="str">
        <f>IFERROR(
 INDEX($U$2:$AX$2,
  MATCH(TRUE,
   CHOOSE({1;2;3;4;5;6;7;8;9;10;11;12;13;14;15;16;17;18;19;20;21;22;23;24;25;26;27;28;29;30;31;32},
    COUNTIFS($U$3:$U$201,$M245)&gt;0,
    COUNTIFS($V$3:$V$201,$M245)&gt;0,
    COUNTIFS($W$3:$W$201,$M245)&gt;0,
    COUNTIFS($X$3:$X$201,$M245)&gt;0,
    COUNTIFS($Y$3:$Y$201,$M245)&gt;0,
    COUNTIFS($Z$3:$Z$201,$M245)&gt;0,
    COUNTIFS($AA$3:$AA$201,$M245)&gt;0,
    COUNTIFS($AB$3:$AB$201,$M245)&gt;0,
    COUNTIFS($AC$3:$AC$201,$M245)&gt;0,
    COUNTIFS($AD$3:$AD$201,$M245)&gt;0,
    COUNTIFS($AE$3:$AE$201,$M245)&gt;0,
    COUNTIFS($AF$3:$AF$201,$M245)&gt;0,
    COUNTIFS($AG$3:$AG$201,$M245)&gt;0,
    COUNTIFS($AH$3:$AH$201,$M245)&gt;0,
    COUNTIFS($AI$3:$AI$201,$M245)&gt;0,
    COUNTIFS($AJ$3:$AJ$201,$M245)&gt;0,
    COUNTIFS($AK$3:$AK$201,$M245)&gt;0,
    COUNTIFS($AL$3:$AL$201,$M245)&gt;0,
    COUNTIFS($AM$3:$AM$201,$M245)&gt;0,
    COUNTIFS($AN$3:$AN$201,$M245)&gt;0,
    COUNTIFS($AO$3:$AO$201,$M245)&gt;0,
    COUNTIFS($AP$3:$AP$201,$M245)&gt;0,
    COUNTIFS($AQ$3:$AQ$201,$M245)&gt;0,
    COUNTIFS($AR$3:$AR$201,$M245)&gt;0,
    COUNTIFS($AS$3:$AS$201,$M245)&gt;0,
    COUNTIFS($AT$3:$AT$201,$M245)&gt;0,
    COUNTIFS($AU$3:$AU$201,$M245)&gt;0,
    COUNTIFS($AV$3:$AV$201,$M245)&gt;0,
    COUNTIFS($AW$3:$AW$201,$M245)&gt;0,
    COUNTIFS($AX$3:$AX$201,$M245)&gt;0
   ),
  0)
 ),
"")</f>
        <v/>
      </c>
      <c r="P245" s="2" t="str" cm="1">
        <f t="array" ref="P245">IFERROR(
 INDEX(
  _xlfn._xlws.FILTER($U$2:$AX$2,
   TRANSPOSE(
    CHOOSE({1;2;3;4;5;6;7;8;9;10;11;12;13;14;15;16;17;18;19;20;21;22;23;24;25;26;27;28;29;30},
     COUNTIFS($U$3:$U$201,$M245)&gt;0,
     COUNTIFS($V$3:$V$201,$M245)&gt;0,
     COUNTIFS($W$3:$W$201,$M245)&gt;0,
     COUNTIFS($X$3:$X$201,$M245)&gt;0,
     COUNTIFS($Y$3:$Y$201,$M245)&gt;0,
     COUNTIFS($Z$3:$Z$201,$M245)&gt;0,
     COUNTIFS($AA$3:$AA$201,$M245)&gt;0,
     COUNTIFS($AB$3:$AB$201,$M245)&gt;0,
     COUNTIFS($AC$3:$AC$201,$M245)&gt;0,
     COUNTIFS($AD$3:$AD$201,$M245)&gt;0,
     COUNTIFS($AE$3:$AE$201,$M245)&gt;0,
     COUNTIFS($AF$3:$AF$201,$M245)&gt;0,
     COUNTIFS($AG$3:$AG$201,$M245)&gt;0,
     COUNTIFS($AH$3:$AH$201,$M245)&gt;0,
     COUNTIFS($AI$3:$AI$201,$M245)&gt;0,
     COUNTIFS($AJ$3:$AJ$201,$M245)&gt;0,
     COUNTIFS($AK$3:$AK$201,$M245)&gt;0,
     COUNTIFS($AL$3:$AL$201,$M245)&gt;0,
     COUNTIFS($AM$3:$AM$201,$M245)&gt;0,
     COUNTIFS($AN$3:$AN$201,$M245)&gt;0,
     COUNTIFS($AO$3:$AO$201,$M245)&gt;0,
     COUNTIFS($AP$3:$AP$201,$M245)&gt;0,
     COUNTIFS($AQ$3:$AQ$201,$M245)&gt;0,
     COUNTIFS($AR$3:$AR$201,$M245)&gt;0,
     COUNTIFS($AS$3:$AS$201,$M245)&gt;0,
     COUNTIFS($AT$3:$AT$201,$M245)&gt;0,
     COUNTIFS($AU$3:$AU$201,$M245)&gt;0,
     COUNTIFS($AV$3:$AV$201,$M245)&gt;0,
     COUNTIFS($AW$3:$AW$201,$M245)&gt;0,
     COUNTIFS($AX$3:$AX$201,$M245)&gt;0
   )),
  ),
  2
 ),
"")</f>
        <v/>
      </c>
      <c r="Q245" s="2" t="str" cm="1">
        <f t="array" ref="Q245">IFERROR(
 INDEX(
  _xlfn._xlws.FILTER($U$2:$AX$2,
   TRANSPOSE(
    CHOOSE({1;2;3;4;5;6;7;8;9;10;11;12;13;14;15;16;17;18;19;20;21;22;23;24;25;26;27;28;29;30},
     COUNTIFS($U$3:$U$201,$M245)&gt;0,
     COUNTIFS($V$3:$V$201,$M245)&gt;0,
     COUNTIFS($W$3:$W$201,$M245)&gt;0,
     COUNTIFS($X$3:$X$201,$M245)&gt;0,
     COUNTIFS($Y$3:$Y$201,$M245)&gt;0,
     COUNTIFS($Z$3:$Z$201,$M245)&gt;0,
     COUNTIFS($AA$3:$AA$201,$M245)&gt;0,
     COUNTIFS($AB$3:$AB$201,$M245)&gt;0,
     COUNTIFS($AC$3:$AC$201,$M245)&gt;0,
     COUNTIFS($AD$3:$AD$201,$M245)&gt;0,
     COUNTIFS($AE$3:$AE$201,$M245)&gt;0,
     COUNTIFS($AF$3:$AF$201,$M245)&gt;0,
     COUNTIFS($AG$3:$AG$201,$M245)&gt;0,
     COUNTIFS($AH$3:$AH$201,$M245)&gt;0,
     COUNTIFS($AI$3:$AI$201,$M245)&gt;0,
     COUNTIFS($AJ$3:$AJ$201,$M245)&gt;0,
     COUNTIFS($AK$3:$AK$201,$M245)&gt;0,
     COUNTIFS($AL$3:$AL$201,$M245)&gt;0,
     COUNTIFS($AM$3:$AM$201,$M245)&gt;0,
     COUNTIFS($AN$3:$AN$201,$M245)&gt;0,
     COUNTIFS($AO$3:$AO$201,$M245)&gt;0,
     COUNTIFS($AP$3:$AP$201,$M245)&gt;0,
     COUNTIFS($AQ$3:$AQ$201,$M245)&gt;0,
     COUNTIFS($AR$3:$AR$201,$M245)&gt;0,
     COUNTIFS($AS$3:$AS$201,$M245)&gt;0,
     COUNTIFS($AT$3:$AT$201,$M245)&gt;0,
     COUNTIFS($AU$3:$AU$201,$M245)&gt;0,
     COUNTIFS($AV$3:$AV$201,$M245)&gt;0,
     COUNTIFS($AW$3:$AW$201,$M245)&gt;0,
     COUNTIFS($AX$3:$AX$201,$M245)&gt;0
   )),
  ),
  3
 ),
"")</f>
        <v/>
      </c>
    </row>
    <row r="246" spans="1:153" x14ac:dyDescent="0.25">
      <c r="A246" t="str">
        <f ca="1"/>
        <v>Lavabelly Sliver</v>
      </c>
      <c r="B246" s="2" t="str" cm="1">
        <f t="array" aca="1" ref="B246" ca="1">_xlfn.ANCHORARRAY(RESUMO!C245)</f>
        <v>Fractius</v>
      </c>
      <c r="C246" s="2" t="str">
        <f t="shared" ca="1" si="12"/>
        <v/>
      </c>
      <c r="F246" s="2">
        <f t="shared" si="15"/>
        <v>0</v>
      </c>
      <c r="G246" s="2" t="str">
        <f t="shared" ca="1" si="13"/>
        <v/>
      </c>
      <c r="J246" t="s">
        <v>180</v>
      </c>
      <c r="K246" s="2">
        <v>1</v>
      </c>
      <c r="N246" s="2">
        <f t="shared" si="14"/>
        <v>0</v>
      </c>
      <c r="O246" s="2" t="str">
        <f>IFERROR(
 INDEX($U$2:$AX$2,
  MATCH(TRUE,
   CHOOSE({1;2;3;4;5;6;7;8;9;10;11;12;13;14;15;16;17;18;19;20;21;22;23;24;25;26;27;28;29;30;31;32},
    COUNTIFS($U$3:$U$201,$M246)&gt;0,
    COUNTIFS($V$3:$V$201,$M246)&gt;0,
    COUNTIFS($W$3:$W$201,$M246)&gt;0,
    COUNTIFS($X$3:$X$201,$M246)&gt;0,
    COUNTIFS($Y$3:$Y$201,$M246)&gt;0,
    COUNTIFS($Z$3:$Z$201,$M246)&gt;0,
    COUNTIFS($AA$3:$AA$201,$M246)&gt;0,
    COUNTIFS($AB$3:$AB$201,$M246)&gt;0,
    COUNTIFS($AC$3:$AC$201,$M246)&gt;0,
    COUNTIFS($AD$3:$AD$201,$M246)&gt;0,
    COUNTIFS($AE$3:$AE$201,$M246)&gt;0,
    COUNTIFS($AF$3:$AF$201,$M246)&gt;0,
    COUNTIFS($AG$3:$AG$201,$M246)&gt;0,
    COUNTIFS($AH$3:$AH$201,$M246)&gt;0,
    COUNTIFS($AI$3:$AI$201,$M246)&gt;0,
    COUNTIFS($AJ$3:$AJ$201,$M246)&gt;0,
    COUNTIFS($AK$3:$AK$201,$M246)&gt;0,
    COUNTIFS($AL$3:$AL$201,$M246)&gt;0,
    COUNTIFS($AM$3:$AM$201,$M246)&gt;0,
    COUNTIFS($AN$3:$AN$201,$M246)&gt;0,
    COUNTIFS($AO$3:$AO$201,$M246)&gt;0,
    COUNTIFS($AP$3:$AP$201,$M246)&gt;0,
    COUNTIFS($AQ$3:$AQ$201,$M246)&gt;0,
    COUNTIFS($AR$3:$AR$201,$M246)&gt;0,
    COUNTIFS($AS$3:$AS$201,$M246)&gt;0,
    COUNTIFS($AT$3:$AT$201,$M246)&gt;0,
    COUNTIFS($AU$3:$AU$201,$M246)&gt;0,
    COUNTIFS($AV$3:$AV$201,$M246)&gt;0,
    COUNTIFS($AW$3:$AW$201,$M246)&gt;0,
    COUNTIFS($AX$3:$AX$201,$M246)&gt;0
   ),
  0)
 ),
"")</f>
        <v/>
      </c>
      <c r="P246" s="2" t="str" cm="1">
        <f t="array" ref="P246">IFERROR(
 INDEX(
  _xlfn._xlws.FILTER($U$2:$AX$2,
   TRANSPOSE(
    CHOOSE({1;2;3;4;5;6;7;8;9;10;11;12;13;14;15;16;17;18;19;20;21;22;23;24;25;26;27;28;29;30},
     COUNTIFS($U$3:$U$201,$M246)&gt;0,
     COUNTIFS($V$3:$V$201,$M246)&gt;0,
     COUNTIFS($W$3:$W$201,$M246)&gt;0,
     COUNTIFS($X$3:$X$201,$M246)&gt;0,
     COUNTIFS($Y$3:$Y$201,$M246)&gt;0,
     COUNTIFS($Z$3:$Z$201,$M246)&gt;0,
     COUNTIFS($AA$3:$AA$201,$M246)&gt;0,
     COUNTIFS($AB$3:$AB$201,$M246)&gt;0,
     COUNTIFS($AC$3:$AC$201,$M246)&gt;0,
     COUNTIFS($AD$3:$AD$201,$M246)&gt;0,
     COUNTIFS($AE$3:$AE$201,$M246)&gt;0,
     COUNTIFS($AF$3:$AF$201,$M246)&gt;0,
     COUNTIFS($AG$3:$AG$201,$M246)&gt;0,
     COUNTIFS($AH$3:$AH$201,$M246)&gt;0,
     COUNTIFS($AI$3:$AI$201,$M246)&gt;0,
     COUNTIFS($AJ$3:$AJ$201,$M246)&gt;0,
     COUNTIFS($AK$3:$AK$201,$M246)&gt;0,
     COUNTIFS($AL$3:$AL$201,$M246)&gt;0,
     COUNTIFS($AM$3:$AM$201,$M246)&gt;0,
     COUNTIFS($AN$3:$AN$201,$M246)&gt;0,
     COUNTIFS($AO$3:$AO$201,$M246)&gt;0,
     COUNTIFS($AP$3:$AP$201,$M246)&gt;0,
     COUNTIFS($AQ$3:$AQ$201,$M246)&gt;0,
     COUNTIFS($AR$3:$AR$201,$M246)&gt;0,
     COUNTIFS($AS$3:$AS$201,$M246)&gt;0,
     COUNTIFS($AT$3:$AT$201,$M246)&gt;0,
     COUNTIFS($AU$3:$AU$201,$M246)&gt;0,
     COUNTIFS($AV$3:$AV$201,$M246)&gt;0,
     COUNTIFS($AW$3:$AW$201,$M246)&gt;0,
     COUNTIFS($AX$3:$AX$201,$M246)&gt;0
   )),
  ),
  2
 ),
"")</f>
        <v/>
      </c>
      <c r="Q246" s="2" t="str" cm="1">
        <f t="array" ref="Q246">IFERROR(
 INDEX(
  _xlfn._xlws.FILTER($U$2:$AX$2,
   TRANSPOSE(
    CHOOSE({1;2;3;4;5;6;7;8;9;10;11;12;13;14;15;16;17;18;19;20;21;22;23;24;25;26;27;28;29;30},
     COUNTIFS($U$3:$U$201,$M246)&gt;0,
     COUNTIFS($V$3:$V$201,$M246)&gt;0,
     COUNTIFS($W$3:$W$201,$M246)&gt;0,
     COUNTIFS($X$3:$X$201,$M246)&gt;0,
     COUNTIFS($Y$3:$Y$201,$M246)&gt;0,
     COUNTIFS($Z$3:$Z$201,$M246)&gt;0,
     COUNTIFS($AA$3:$AA$201,$M246)&gt;0,
     COUNTIFS($AB$3:$AB$201,$M246)&gt;0,
     COUNTIFS($AC$3:$AC$201,$M246)&gt;0,
     COUNTIFS($AD$3:$AD$201,$M246)&gt;0,
     COUNTIFS($AE$3:$AE$201,$M246)&gt;0,
     COUNTIFS($AF$3:$AF$201,$M246)&gt;0,
     COUNTIFS($AG$3:$AG$201,$M246)&gt;0,
     COUNTIFS($AH$3:$AH$201,$M246)&gt;0,
     COUNTIFS($AI$3:$AI$201,$M246)&gt;0,
     COUNTIFS($AJ$3:$AJ$201,$M246)&gt;0,
     COUNTIFS($AK$3:$AK$201,$M246)&gt;0,
     COUNTIFS($AL$3:$AL$201,$M246)&gt;0,
     COUNTIFS($AM$3:$AM$201,$M246)&gt;0,
     COUNTIFS($AN$3:$AN$201,$M246)&gt;0,
     COUNTIFS($AO$3:$AO$201,$M246)&gt;0,
     COUNTIFS($AP$3:$AP$201,$M246)&gt;0,
     COUNTIFS($AQ$3:$AQ$201,$M246)&gt;0,
     COUNTIFS($AR$3:$AR$201,$M246)&gt;0,
     COUNTIFS($AS$3:$AS$201,$M246)&gt;0,
     COUNTIFS($AT$3:$AT$201,$M246)&gt;0,
     COUNTIFS($AU$3:$AU$201,$M246)&gt;0,
     COUNTIFS($AV$3:$AV$201,$M246)&gt;0,
     COUNTIFS($AW$3:$AW$201,$M246)&gt;0,
     COUNTIFS($AX$3:$AX$201,$M246)&gt;0
   )),
  ),
  3
 ),
"")</f>
        <v/>
      </c>
    </row>
    <row r="247" spans="1:153" x14ac:dyDescent="0.25">
      <c r="A247" t="str">
        <f ca="1"/>
        <v>Lavaspur Boots</v>
      </c>
      <c r="B247" s="2" t="str" cm="1">
        <f t="array" aca="1" ref="B247" ca="1">_xlfn.ANCHORARRAY(RESUMO!C246)</f>
        <v>Akiri</v>
      </c>
      <c r="C247" s="2" t="str">
        <f t="shared" ca="1" si="12"/>
        <v/>
      </c>
      <c r="F247" s="2">
        <f t="shared" si="15"/>
        <v>0</v>
      </c>
      <c r="G247" s="2" t="str">
        <f t="shared" ca="1" si="13"/>
        <v/>
      </c>
      <c r="J247" t="s">
        <v>180</v>
      </c>
      <c r="K247" s="2">
        <v>1</v>
      </c>
      <c r="N247" s="2">
        <f t="shared" si="14"/>
        <v>0</v>
      </c>
      <c r="O247" s="2" t="str">
        <f>IFERROR(
 INDEX($U$2:$AX$2,
  MATCH(TRUE,
   CHOOSE({1;2;3;4;5;6;7;8;9;10;11;12;13;14;15;16;17;18;19;20;21;22;23;24;25;26;27;28;29;30;31;32},
    COUNTIFS($U$3:$U$201,$M247)&gt;0,
    COUNTIFS($V$3:$V$201,$M247)&gt;0,
    COUNTIFS($W$3:$W$201,$M247)&gt;0,
    COUNTIFS($X$3:$X$201,$M247)&gt;0,
    COUNTIFS($Y$3:$Y$201,$M247)&gt;0,
    COUNTIFS($Z$3:$Z$201,$M247)&gt;0,
    COUNTIFS($AA$3:$AA$201,$M247)&gt;0,
    COUNTIFS($AB$3:$AB$201,$M247)&gt;0,
    COUNTIFS($AC$3:$AC$201,$M247)&gt;0,
    COUNTIFS($AD$3:$AD$201,$M247)&gt;0,
    COUNTIFS($AE$3:$AE$201,$M247)&gt;0,
    COUNTIFS($AF$3:$AF$201,$M247)&gt;0,
    COUNTIFS($AG$3:$AG$201,$M247)&gt;0,
    COUNTIFS($AH$3:$AH$201,$M247)&gt;0,
    COUNTIFS($AI$3:$AI$201,$M247)&gt;0,
    COUNTIFS($AJ$3:$AJ$201,$M247)&gt;0,
    COUNTIFS($AK$3:$AK$201,$M247)&gt;0,
    COUNTIFS($AL$3:$AL$201,$M247)&gt;0,
    COUNTIFS($AM$3:$AM$201,$M247)&gt;0,
    COUNTIFS($AN$3:$AN$201,$M247)&gt;0,
    COUNTIFS($AO$3:$AO$201,$M247)&gt;0,
    COUNTIFS($AP$3:$AP$201,$M247)&gt;0,
    COUNTIFS($AQ$3:$AQ$201,$M247)&gt;0,
    COUNTIFS($AR$3:$AR$201,$M247)&gt;0,
    COUNTIFS($AS$3:$AS$201,$M247)&gt;0,
    COUNTIFS($AT$3:$AT$201,$M247)&gt;0,
    COUNTIFS($AU$3:$AU$201,$M247)&gt;0,
    COUNTIFS($AV$3:$AV$201,$M247)&gt;0,
    COUNTIFS($AW$3:$AW$201,$M247)&gt;0,
    COUNTIFS($AX$3:$AX$201,$M247)&gt;0
   ),
  0)
 ),
"")</f>
        <v/>
      </c>
      <c r="P247" s="2" t="str" cm="1">
        <f t="array" ref="P247">IFERROR(
 INDEX(
  _xlfn._xlws.FILTER($U$2:$AX$2,
   TRANSPOSE(
    CHOOSE({1;2;3;4;5;6;7;8;9;10;11;12;13;14;15;16;17;18;19;20;21;22;23;24;25;26;27;28;29;30},
     COUNTIFS($U$3:$U$201,$M247)&gt;0,
     COUNTIFS($V$3:$V$201,$M247)&gt;0,
     COUNTIFS($W$3:$W$201,$M247)&gt;0,
     COUNTIFS($X$3:$X$201,$M247)&gt;0,
     COUNTIFS($Y$3:$Y$201,$M247)&gt;0,
     COUNTIFS($Z$3:$Z$201,$M247)&gt;0,
     COUNTIFS($AA$3:$AA$201,$M247)&gt;0,
     COUNTIFS($AB$3:$AB$201,$M247)&gt;0,
     COUNTIFS($AC$3:$AC$201,$M247)&gt;0,
     COUNTIFS($AD$3:$AD$201,$M247)&gt;0,
     COUNTIFS($AE$3:$AE$201,$M247)&gt;0,
     COUNTIFS($AF$3:$AF$201,$M247)&gt;0,
     COUNTIFS($AG$3:$AG$201,$M247)&gt;0,
     COUNTIFS($AH$3:$AH$201,$M247)&gt;0,
     COUNTIFS($AI$3:$AI$201,$M247)&gt;0,
     COUNTIFS($AJ$3:$AJ$201,$M247)&gt;0,
     COUNTIFS($AK$3:$AK$201,$M247)&gt;0,
     COUNTIFS($AL$3:$AL$201,$M247)&gt;0,
     COUNTIFS($AM$3:$AM$201,$M247)&gt;0,
     COUNTIFS($AN$3:$AN$201,$M247)&gt;0,
     COUNTIFS($AO$3:$AO$201,$M247)&gt;0,
     COUNTIFS($AP$3:$AP$201,$M247)&gt;0,
     COUNTIFS($AQ$3:$AQ$201,$M247)&gt;0,
     COUNTIFS($AR$3:$AR$201,$M247)&gt;0,
     COUNTIFS($AS$3:$AS$201,$M247)&gt;0,
     COUNTIFS($AT$3:$AT$201,$M247)&gt;0,
     COUNTIFS($AU$3:$AU$201,$M247)&gt;0,
     COUNTIFS($AV$3:$AV$201,$M247)&gt;0,
     COUNTIFS($AW$3:$AW$201,$M247)&gt;0,
     COUNTIFS($AX$3:$AX$201,$M247)&gt;0
   )),
  ),
  2
 ),
"")</f>
        <v/>
      </c>
      <c r="Q247" s="2" t="str" cm="1">
        <f t="array" ref="Q247">IFERROR(
 INDEX(
  _xlfn._xlws.FILTER($U$2:$AX$2,
   TRANSPOSE(
    CHOOSE({1;2;3;4;5;6;7;8;9;10;11;12;13;14;15;16;17;18;19;20;21;22;23;24;25;26;27;28;29;30},
     COUNTIFS($U$3:$U$201,$M247)&gt;0,
     COUNTIFS($V$3:$V$201,$M247)&gt;0,
     COUNTIFS($W$3:$W$201,$M247)&gt;0,
     COUNTIFS($X$3:$X$201,$M247)&gt;0,
     COUNTIFS($Y$3:$Y$201,$M247)&gt;0,
     COUNTIFS($Z$3:$Z$201,$M247)&gt;0,
     COUNTIFS($AA$3:$AA$201,$M247)&gt;0,
     COUNTIFS($AB$3:$AB$201,$M247)&gt;0,
     COUNTIFS($AC$3:$AC$201,$M247)&gt;0,
     COUNTIFS($AD$3:$AD$201,$M247)&gt;0,
     COUNTIFS($AE$3:$AE$201,$M247)&gt;0,
     COUNTIFS($AF$3:$AF$201,$M247)&gt;0,
     COUNTIFS($AG$3:$AG$201,$M247)&gt;0,
     COUNTIFS($AH$3:$AH$201,$M247)&gt;0,
     COUNTIFS($AI$3:$AI$201,$M247)&gt;0,
     COUNTIFS($AJ$3:$AJ$201,$M247)&gt;0,
     COUNTIFS($AK$3:$AK$201,$M247)&gt;0,
     COUNTIFS($AL$3:$AL$201,$M247)&gt;0,
     COUNTIFS($AM$3:$AM$201,$M247)&gt;0,
     COUNTIFS($AN$3:$AN$201,$M247)&gt;0,
     COUNTIFS($AO$3:$AO$201,$M247)&gt;0,
     COUNTIFS($AP$3:$AP$201,$M247)&gt;0,
     COUNTIFS($AQ$3:$AQ$201,$M247)&gt;0,
     COUNTIFS($AR$3:$AR$201,$M247)&gt;0,
     COUNTIFS($AS$3:$AS$201,$M247)&gt;0,
     COUNTIFS($AT$3:$AT$201,$M247)&gt;0,
     COUNTIFS($AU$3:$AU$201,$M247)&gt;0,
     COUNTIFS($AV$3:$AV$201,$M247)&gt;0,
     COUNTIFS($AW$3:$AW$201,$M247)&gt;0,
     COUNTIFS($AX$3:$AX$201,$M247)&gt;0
   )),
  ),
  3
 ),
"")</f>
        <v/>
      </c>
    </row>
    <row r="248" spans="1:153" x14ac:dyDescent="0.25">
      <c r="A248" t="str">
        <f ca="1"/>
        <v>Leyline Tyrant</v>
      </c>
      <c r="B248" s="2" t="str" cm="1">
        <f t="array" aca="1" ref="B248" ca="1">_xlfn.ANCHORARRAY(RESUMO!C247)</f>
        <v>Zuko</v>
      </c>
      <c r="C248" s="2" t="str">
        <f t="shared" ca="1" si="12"/>
        <v/>
      </c>
      <c r="F248" s="2">
        <f t="shared" si="15"/>
        <v>0</v>
      </c>
      <c r="G248" s="2" t="str">
        <f t="shared" ca="1" si="13"/>
        <v/>
      </c>
      <c r="J248" t="s">
        <v>180</v>
      </c>
      <c r="K248" s="2">
        <v>1</v>
      </c>
      <c r="N248" s="2">
        <f t="shared" si="14"/>
        <v>0</v>
      </c>
      <c r="O248" s="2" t="str">
        <f>IFERROR(
 INDEX($U$2:$AX$2,
  MATCH(TRUE,
   CHOOSE({1;2;3;4;5;6;7;8;9;10;11;12;13;14;15;16;17;18;19;20;21;22;23;24;25;26;27;28;29;30;31;32},
    COUNTIFS($U$3:$U$201,$M248)&gt;0,
    COUNTIFS($V$3:$V$201,$M248)&gt;0,
    COUNTIFS($W$3:$W$201,$M248)&gt;0,
    COUNTIFS($X$3:$X$201,$M248)&gt;0,
    COUNTIFS($Y$3:$Y$201,$M248)&gt;0,
    COUNTIFS($Z$3:$Z$201,$M248)&gt;0,
    COUNTIFS($AA$3:$AA$201,$M248)&gt;0,
    COUNTIFS($AB$3:$AB$201,$M248)&gt;0,
    COUNTIFS($AC$3:$AC$201,$M248)&gt;0,
    COUNTIFS($AD$3:$AD$201,$M248)&gt;0,
    COUNTIFS($AE$3:$AE$201,$M248)&gt;0,
    COUNTIFS($AF$3:$AF$201,$M248)&gt;0,
    COUNTIFS($AG$3:$AG$201,$M248)&gt;0,
    COUNTIFS($AH$3:$AH$201,$M248)&gt;0,
    COUNTIFS($AI$3:$AI$201,$M248)&gt;0,
    COUNTIFS($AJ$3:$AJ$201,$M248)&gt;0,
    COUNTIFS($AK$3:$AK$201,$M248)&gt;0,
    COUNTIFS($AL$3:$AL$201,$M248)&gt;0,
    COUNTIFS($AM$3:$AM$201,$M248)&gt;0,
    COUNTIFS($AN$3:$AN$201,$M248)&gt;0,
    COUNTIFS($AO$3:$AO$201,$M248)&gt;0,
    COUNTIFS($AP$3:$AP$201,$M248)&gt;0,
    COUNTIFS($AQ$3:$AQ$201,$M248)&gt;0,
    COUNTIFS($AR$3:$AR$201,$M248)&gt;0,
    COUNTIFS($AS$3:$AS$201,$M248)&gt;0,
    COUNTIFS($AT$3:$AT$201,$M248)&gt;0,
    COUNTIFS($AU$3:$AU$201,$M248)&gt;0,
    COUNTIFS($AV$3:$AV$201,$M248)&gt;0,
    COUNTIFS($AW$3:$AW$201,$M248)&gt;0,
    COUNTIFS($AX$3:$AX$201,$M248)&gt;0
   ),
  0)
 ),
"")</f>
        <v/>
      </c>
      <c r="P248" s="2" t="str" cm="1">
        <f t="array" ref="P248">IFERROR(
 INDEX(
  _xlfn._xlws.FILTER($U$2:$AX$2,
   TRANSPOSE(
    CHOOSE({1;2;3;4;5;6;7;8;9;10;11;12;13;14;15;16;17;18;19;20;21;22;23;24;25;26;27;28;29;30},
     COUNTIFS($U$3:$U$201,$M248)&gt;0,
     COUNTIFS($V$3:$V$201,$M248)&gt;0,
     COUNTIFS($W$3:$W$201,$M248)&gt;0,
     COUNTIFS($X$3:$X$201,$M248)&gt;0,
     COUNTIFS($Y$3:$Y$201,$M248)&gt;0,
     COUNTIFS($Z$3:$Z$201,$M248)&gt;0,
     COUNTIFS($AA$3:$AA$201,$M248)&gt;0,
     COUNTIFS($AB$3:$AB$201,$M248)&gt;0,
     COUNTIFS($AC$3:$AC$201,$M248)&gt;0,
     COUNTIFS($AD$3:$AD$201,$M248)&gt;0,
     COUNTIFS($AE$3:$AE$201,$M248)&gt;0,
     COUNTIFS($AF$3:$AF$201,$M248)&gt;0,
     COUNTIFS($AG$3:$AG$201,$M248)&gt;0,
     COUNTIFS($AH$3:$AH$201,$M248)&gt;0,
     COUNTIFS($AI$3:$AI$201,$M248)&gt;0,
     COUNTIFS($AJ$3:$AJ$201,$M248)&gt;0,
     COUNTIFS($AK$3:$AK$201,$M248)&gt;0,
     COUNTIFS($AL$3:$AL$201,$M248)&gt;0,
     COUNTIFS($AM$3:$AM$201,$M248)&gt;0,
     COUNTIFS($AN$3:$AN$201,$M248)&gt;0,
     COUNTIFS($AO$3:$AO$201,$M248)&gt;0,
     COUNTIFS($AP$3:$AP$201,$M248)&gt;0,
     COUNTIFS($AQ$3:$AQ$201,$M248)&gt;0,
     COUNTIFS($AR$3:$AR$201,$M248)&gt;0,
     COUNTIFS($AS$3:$AS$201,$M248)&gt;0,
     COUNTIFS($AT$3:$AT$201,$M248)&gt;0,
     COUNTIFS($AU$3:$AU$201,$M248)&gt;0,
     COUNTIFS($AV$3:$AV$201,$M248)&gt;0,
     COUNTIFS($AW$3:$AW$201,$M248)&gt;0,
     COUNTIFS($AX$3:$AX$201,$M248)&gt;0
   )),
  ),
  2
 ),
"")</f>
        <v/>
      </c>
      <c r="Q248" s="2" t="str" cm="1">
        <f t="array" ref="Q248">IFERROR(
 INDEX(
  _xlfn._xlws.FILTER($U$2:$AX$2,
   TRANSPOSE(
    CHOOSE({1;2;3;4;5;6;7;8;9;10;11;12;13;14;15;16;17;18;19;20;21;22;23;24;25;26;27;28;29;30},
     COUNTIFS($U$3:$U$201,$M248)&gt;0,
     COUNTIFS($V$3:$V$201,$M248)&gt;0,
     COUNTIFS($W$3:$W$201,$M248)&gt;0,
     COUNTIFS($X$3:$X$201,$M248)&gt;0,
     COUNTIFS($Y$3:$Y$201,$M248)&gt;0,
     COUNTIFS($Z$3:$Z$201,$M248)&gt;0,
     COUNTIFS($AA$3:$AA$201,$M248)&gt;0,
     COUNTIFS($AB$3:$AB$201,$M248)&gt;0,
     COUNTIFS($AC$3:$AC$201,$M248)&gt;0,
     COUNTIFS($AD$3:$AD$201,$M248)&gt;0,
     COUNTIFS($AE$3:$AE$201,$M248)&gt;0,
     COUNTIFS($AF$3:$AF$201,$M248)&gt;0,
     COUNTIFS($AG$3:$AG$201,$M248)&gt;0,
     COUNTIFS($AH$3:$AH$201,$M248)&gt;0,
     COUNTIFS($AI$3:$AI$201,$M248)&gt;0,
     COUNTIFS($AJ$3:$AJ$201,$M248)&gt;0,
     COUNTIFS($AK$3:$AK$201,$M248)&gt;0,
     COUNTIFS($AL$3:$AL$201,$M248)&gt;0,
     COUNTIFS($AM$3:$AM$201,$M248)&gt;0,
     COUNTIFS($AN$3:$AN$201,$M248)&gt;0,
     COUNTIFS($AO$3:$AO$201,$M248)&gt;0,
     COUNTIFS($AP$3:$AP$201,$M248)&gt;0,
     COUNTIFS($AQ$3:$AQ$201,$M248)&gt;0,
     COUNTIFS($AR$3:$AR$201,$M248)&gt;0,
     COUNTIFS($AS$3:$AS$201,$M248)&gt;0,
     COUNTIFS($AT$3:$AT$201,$M248)&gt;0,
     COUNTIFS($AU$3:$AU$201,$M248)&gt;0,
     COUNTIFS($AV$3:$AV$201,$M248)&gt;0,
     COUNTIFS($AW$3:$AW$201,$M248)&gt;0,
     COUNTIFS($AX$3:$AX$201,$M248)&gt;0
   )),
  ),
  3
 ),
"")</f>
        <v/>
      </c>
    </row>
    <row r="249" spans="1:153" x14ac:dyDescent="0.25">
      <c r="A249" t="str">
        <f ca="1"/>
        <v>Life of the Party</v>
      </c>
      <c r="B249" s="2" t="str" cm="1">
        <f t="array" aca="1" ref="B249" ca="1">_xlfn.ANCHORARRAY(RESUMO!C248)</f>
        <v>Rani</v>
      </c>
      <c r="C249" s="2" t="str">
        <f t="shared" ca="1" si="12"/>
        <v/>
      </c>
      <c r="F249" s="2">
        <f t="shared" si="15"/>
        <v>0</v>
      </c>
      <c r="G249" s="2" t="str">
        <f t="shared" ca="1" si="13"/>
        <v/>
      </c>
      <c r="J249" t="s">
        <v>180</v>
      </c>
      <c r="K249" s="2">
        <v>1</v>
      </c>
      <c r="N249" s="2">
        <f t="shared" si="14"/>
        <v>0</v>
      </c>
      <c r="O249" s="2" t="str">
        <f>IFERROR(
 INDEX($U$2:$AX$2,
  MATCH(TRUE,
   CHOOSE({1;2;3;4;5;6;7;8;9;10;11;12;13;14;15;16;17;18;19;20;21;22;23;24;25;26;27;28;29;30;31;32},
    COUNTIFS($U$3:$U$201,$M249)&gt;0,
    COUNTIFS($V$3:$V$201,$M249)&gt;0,
    COUNTIFS($W$3:$W$201,$M249)&gt;0,
    COUNTIFS($X$3:$X$201,$M249)&gt;0,
    COUNTIFS($Y$3:$Y$201,$M249)&gt;0,
    COUNTIFS($Z$3:$Z$201,$M249)&gt;0,
    COUNTIFS($AA$3:$AA$201,$M249)&gt;0,
    COUNTIFS($AB$3:$AB$201,$M249)&gt;0,
    COUNTIFS($AC$3:$AC$201,$M249)&gt;0,
    COUNTIFS($AD$3:$AD$201,$M249)&gt;0,
    COUNTIFS($AE$3:$AE$201,$M249)&gt;0,
    COUNTIFS($AF$3:$AF$201,$M249)&gt;0,
    COUNTIFS($AG$3:$AG$201,$M249)&gt;0,
    COUNTIFS($AH$3:$AH$201,$M249)&gt;0,
    COUNTIFS($AI$3:$AI$201,$M249)&gt;0,
    COUNTIFS($AJ$3:$AJ$201,$M249)&gt;0,
    COUNTIFS($AK$3:$AK$201,$M249)&gt;0,
    COUNTIFS($AL$3:$AL$201,$M249)&gt;0,
    COUNTIFS($AM$3:$AM$201,$M249)&gt;0,
    COUNTIFS($AN$3:$AN$201,$M249)&gt;0,
    COUNTIFS($AO$3:$AO$201,$M249)&gt;0,
    COUNTIFS($AP$3:$AP$201,$M249)&gt;0,
    COUNTIFS($AQ$3:$AQ$201,$M249)&gt;0,
    COUNTIFS($AR$3:$AR$201,$M249)&gt;0,
    COUNTIFS($AS$3:$AS$201,$M249)&gt;0,
    COUNTIFS($AT$3:$AT$201,$M249)&gt;0,
    COUNTIFS($AU$3:$AU$201,$M249)&gt;0,
    COUNTIFS($AV$3:$AV$201,$M249)&gt;0,
    COUNTIFS($AW$3:$AW$201,$M249)&gt;0,
    COUNTIFS($AX$3:$AX$201,$M249)&gt;0
   ),
  0)
 ),
"")</f>
        <v/>
      </c>
      <c r="P249" s="2" t="str" cm="1">
        <f t="array" ref="P249">IFERROR(
 INDEX(
  _xlfn._xlws.FILTER($U$2:$AX$2,
   TRANSPOSE(
    CHOOSE({1;2;3;4;5;6;7;8;9;10;11;12;13;14;15;16;17;18;19;20;21;22;23;24;25;26;27;28;29;30},
     COUNTIFS($U$3:$U$201,$M249)&gt;0,
     COUNTIFS($V$3:$V$201,$M249)&gt;0,
     COUNTIFS($W$3:$W$201,$M249)&gt;0,
     COUNTIFS($X$3:$X$201,$M249)&gt;0,
     COUNTIFS($Y$3:$Y$201,$M249)&gt;0,
     COUNTIFS($Z$3:$Z$201,$M249)&gt;0,
     COUNTIFS($AA$3:$AA$201,$M249)&gt;0,
     COUNTIFS($AB$3:$AB$201,$M249)&gt;0,
     COUNTIFS($AC$3:$AC$201,$M249)&gt;0,
     COUNTIFS($AD$3:$AD$201,$M249)&gt;0,
     COUNTIFS($AE$3:$AE$201,$M249)&gt;0,
     COUNTIFS($AF$3:$AF$201,$M249)&gt;0,
     COUNTIFS($AG$3:$AG$201,$M249)&gt;0,
     COUNTIFS($AH$3:$AH$201,$M249)&gt;0,
     COUNTIFS($AI$3:$AI$201,$M249)&gt;0,
     COUNTIFS($AJ$3:$AJ$201,$M249)&gt;0,
     COUNTIFS($AK$3:$AK$201,$M249)&gt;0,
     COUNTIFS($AL$3:$AL$201,$M249)&gt;0,
     COUNTIFS($AM$3:$AM$201,$M249)&gt;0,
     COUNTIFS($AN$3:$AN$201,$M249)&gt;0,
     COUNTIFS($AO$3:$AO$201,$M249)&gt;0,
     COUNTIFS($AP$3:$AP$201,$M249)&gt;0,
     COUNTIFS($AQ$3:$AQ$201,$M249)&gt;0,
     COUNTIFS($AR$3:$AR$201,$M249)&gt;0,
     COUNTIFS($AS$3:$AS$201,$M249)&gt;0,
     COUNTIFS($AT$3:$AT$201,$M249)&gt;0,
     COUNTIFS($AU$3:$AU$201,$M249)&gt;0,
     COUNTIFS($AV$3:$AV$201,$M249)&gt;0,
     COUNTIFS($AW$3:$AW$201,$M249)&gt;0,
     COUNTIFS($AX$3:$AX$201,$M249)&gt;0
   )),
  ),
  2
 ),
"")</f>
        <v/>
      </c>
      <c r="Q249" s="2" t="str" cm="1">
        <f t="array" ref="Q249">IFERROR(
 INDEX(
  _xlfn._xlws.FILTER($U$2:$AX$2,
   TRANSPOSE(
    CHOOSE({1;2;3;4;5;6;7;8;9;10;11;12;13;14;15;16;17;18;19;20;21;22;23;24;25;26;27;28;29;30},
     COUNTIFS($U$3:$U$201,$M249)&gt;0,
     COUNTIFS($V$3:$V$201,$M249)&gt;0,
     COUNTIFS($W$3:$W$201,$M249)&gt;0,
     COUNTIFS($X$3:$X$201,$M249)&gt;0,
     COUNTIFS($Y$3:$Y$201,$M249)&gt;0,
     COUNTIFS($Z$3:$Z$201,$M249)&gt;0,
     COUNTIFS($AA$3:$AA$201,$M249)&gt;0,
     COUNTIFS($AB$3:$AB$201,$M249)&gt;0,
     COUNTIFS($AC$3:$AC$201,$M249)&gt;0,
     COUNTIFS($AD$3:$AD$201,$M249)&gt;0,
     COUNTIFS($AE$3:$AE$201,$M249)&gt;0,
     COUNTIFS($AF$3:$AF$201,$M249)&gt;0,
     COUNTIFS($AG$3:$AG$201,$M249)&gt;0,
     COUNTIFS($AH$3:$AH$201,$M249)&gt;0,
     COUNTIFS($AI$3:$AI$201,$M249)&gt;0,
     COUNTIFS($AJ$3:$AJ$201,$M249)&gt;0,
     COUNTIFS($AK$3:$AK$201,$M249)&gt;0,
     COUNTIFS($AL$3:$AL$201,$M249)&gt;0,
     COUNTIFS($AM$3:$AM$201,$M249)&gt;0,
     COUNTIFS($AN$3:$AN$201,$M249)&gt;0,
     COUNTIFS($AO$3:$AO$201,$M249)&gt;0,
     COUNTIFS($AP$3:$AP$201,$M249)&gt;0,
     COUNTIFS($AQ$3:$AQ$201,$M249)&gt;0,
     COUNTIFS($AR$3:$AR$201,$M249)&gt;0,
     COUNTIFS($AS$3:$AS$201,$M249)&gt;0,
     COUNTIFS($AT$3:$AT$201,$M249)&gt;0,
     COUNTIFS($AU$3:$AU$201,$M249)&gt;0,
     COUNTIFS($AV$3:$AV$201,$M249)&gt;0,
     COUNTIFS($AW$3:$AW$201,$M249)&gt;0,
     COUNTIFS($AX$3:$AX$201,$M249)&gt;0
   )),
  ),
  3
 ),
"")</f>
        <v/>
      </c>
    </row>
    <row r="250" spans="1:153" x14ac:dyDescent="0.25">
      <c r="A250" t="str">
        <f ca="1"/>
        <v>Lightning Greaves</v>
      </c>
      <c r="B250" s="2" t="str" cm="1">
        <f t="array" aca="1" ref="B250" ca="1">_xlfn.ANCHORARRAY(RESUMO!C249)</f>
        <v>Baylen</v>
      </c>
      <c r="C250" s="2" t="str">
        <f t="shared" ca="1" si="12"/>
        <v/>
      </c>
      <c r="F250" s="2">
        <f t="shared" si="15"/>
        <v>0</v>
      </c>
      <c r="G250" s="2" t="str">
        <f t="shared" ca="1" si="13"/>
        <v/>
      </c>
      <c r="J250" t="s">
        <v>180</v>
      </c>
      <c r="K250" s="2">
        <v>1</v>
      </c>
      <c r="N250" s="2">
        <f t="shared" si="14"/>
        <v>0</v>
      </c>
      <c r="O250" s="2" t="str">
        <f>IFERROR(
 INDEX($U$2:$AX$2,
  MATCH(TRUE,
   CHOOSE({1;2;3;4;5;6;7;8;9;10;11;12;13;14;15;16;17;18;19;20;21;22;23;24;25;26;27;28;29;30;31;32},
    COUNTIFS($U$3:$U$201,$M250)&gt;0,
    COUNTIFS($V$3:$V$201,$M250)&gt;0,
    COUNTIFS($W$3:$W$201,$M250)&gt;0,
    COUNTIFS($X$3:$X$201,$M250)&gt;0,
    COUNTIFS($Y$3:$Y$201,$M250)&gt;0,
    COUNTIFS($Z$3:$Z$201,$M250)&gt;0,
    COUNTIFS($AA$3:$AA$201,$M250)&gt;0,
    COUNTIFS($AB$3:$AB$201,$M250)&gt;0,
    COUNTIFS($AC$3:$AC$201,$M250)&gt;0,
    COUNTIFS($AD$3:$AD$201,$M250)&gt;0,
    COUNTIFS($AE$3:$AE$201,$M250)&gt;0,
    COUNTIFS($AF$3:$AF$201,$M250)&gt;0,
    COUNTIFS($AG$3:$AG$201,$M250)&gt;0,
    COUNTIFS($AH$3:$AH$201,$M250)&gt;0,
    COUNTIFS($AI$3:$AI$201,$M250)&gt;0,
    COUNTIFS($AJ$3:$AJ$201,$M250)&gt;0,
    COUNTIFS($AK$3:$AK$201,$M250)&gt;0,
    COUNTIFS($AL$3:$AL$201,$M250)&gt;0,
    COUNTIFS($AM$3:$AM$201,$M250)&gt;0,
    COUNTIFS($AN$3:$AN$201,$M250)&gt;0,
    COUNTIFS($AO$3:$AO$201,$M250)&gt;0,
    COUNTIFS($AP$3:$AP$201,$M250)&gt;0,
    COUNTIFS($AQ$3:$AQ$201,$M250)&gt;0,
    COUNTIFS($AR$3:$AR$201,$M250)&gt;0,
    COUNTIFS($AS$3:$AS$201,$M250)&gt;0,
    COUNTIFS($AT$3:$AT$201,$M250)&gt;0,
    COUNTIFS($AU$3:$AU$201,$M250)&gt;0,
    COUNTIFS($AV$3:$AV$201,$M250)&gt;0,
    COUNTIFS($AW$3:$AW$201,$M250)&gt;0,
    COUNTIFS($AX$3:$AX$201,$M250)&gt;0
   ),
  0)
 ),
"")</f>
        <v/>
      </c>
      <c r="P250" s="2" t="str" cm="1">
        <f t="array" ref="P250">IFERROR(
 INDEX(
  _xlfn._xlws.FILTER($U$2:$AX$2,
   TRANSPOSE(
    CHOOSE({1;2;3;4;5;6;7;8;9;10;11;12;13;14;15;16;17;18;19;20;21;22;23;24;25;26;27;28;29;30},
     COUNTIFS($U$3:$U$201,$M250)&gt;0,
     COUNTIFS($V$3:$V$201,$M250)&gt;0,
     COUNTIFS($W$3:$W$201,$M250)&gt;0,
     COUNTIFS($X$3:$X$201,$M250)&gt;0,
     COUNTIFS($Y$3:$Y$201,$M250)&gt;0,
     COUNTIFS($Z$3:$Z$201,$M250)&gt;0,
     COUNTIFS($AA$3:$AA$201,$M250)&gt;0,
     COUNTIFS($AB$3:$AB$201,$M250)&gt;0,
     COUNTIFS($AC$3:$AC$201,$M250)&gt;0,
     COUNTIFS($AD$3:$AD$201,$M250)&gt;0,
     COUNTIFS($AE$3:$AE$201,$M250)&gt;0,
     COUNTIFS($AF$3:$AF$201,$M250)&gt;0,
     COUNTIFS($AG$3:$AG$201,$M250)&gt;0,
     COUNTIFS($AH$3:$AH$201,$M250)&gt;0,
     COUNTIFS($AI$3:$AI$201,$M250)&gt;0,
     COUNTIFS($AJ$3:$AJ$201,$M250)&gt;0,
     COUNTIFS($AK$3:$AK$201,$M250)&gt;0,
     COUNTIFS($AL$3:$AL$201,$M250)&gt;0,
     COUNTIFS($AM$3:$AM$201,$M250)&gt;0,
     COUNTIFS($AN$3:$AN$201,$M250)&gt;0,
     COUNTIFS($AO$3:$AO$201,$M250)&gt;0,
     COUNTIFS($AP$3:$AP$201,$M250)&gt;0,
     COUNTIFS($AQ$3:$AQ$201,$M250)&gt;0,
     COUNTIFS($AR$3:$AR$201,$M250)&gt;0,
     COUNTIFS($AS$3:$AS$201,$M250)&gt;0,
     COUNTIFS($AT$3:$AT$201,$M250)&gt;0,
     COUNTIFS($AU$3:$AU$201,$M250)&gt;0,
     COUNTIFS($AV$3:$AV$201,$M250)&gt;0,
     COUNTIFS($AW$3:$AW$201,$M250)&gt;0,
     COUNTIFS($AX$3:$AX$201,$M250)&gt;0
   )),
  ),
  2
 ),
"")</f>
        <v/>
      </c>
      <c r="Q250" s="2" t="str" cm="1">
        <f t="array" ref="Q250">IFERROR(
 INDEX(
  _xlfn._xlws.FILTER($U$2:$AX$2,
   TRANSPOSE(
    CHOOSE({1;2;3;4;5;6;7;8;9;10;11;12;13;14;15;16;17;18;19;20;21;22;23;24;25;26;27;28;29;30},
     COUNTIFS($U$3:$U$201,$M250)&gt;0,
     COUNTIFS($V$3:$V$201,$M250)&gt;0,
     COUNTIFS($W$3:$W$201,$M250)&gt;0,
     COUNTIFS($X$3:$X$201,$M250)&gt;0,
     COUNTIFS($Y$3:$Y$201,$M250)&gt;0,
     COUNTIFS($Z$3:$Z$201,$M250)&gt;0,
     COUNTIFS($AA$3:$AA$201,$M250)&gt;0,
     COUNTIFS($AB$3:$AB$201,$M250)&gt;0,
     COUNTIFS($AC$3:$AC$201,$M250)&gt;0,
     COUNTIFS($AD$3:$AD$201,$M250)&gt;0,
     COUNTIFS($AE$3:$AE$201,$M250)&gt;0,
     COUNTIFS($AF$3:$AF$201,$M250)&gt;0,
     COUNTIFS($AG$3:$AG$201,$M250)&gt;0,
     COUNTIFS($AH$3:$AH$201,$M250)&gt;0,
     COUNTIFS($AI$3:$AI$201,$M250)&gt;0,
     COUNTIFS($AJ$3:$AJ$201,$M250)&gt;0,
     COUNTIFS($AK$3:$AK$201,$M250)&gt;0,
     COUNTIFS($AL$3:$AL$201,$M250)&gt;0,
     COUNTIFS($AM$3:$AM$201,$M250)&gt;0,
     COUNTIFS($AN$3:$AN$201,$M250)&gt;0,
     COUNTIFS($AO$3:$AO$201,$M250)&gt;0,
     COUNTIFS($AP$3:$AP$201,$M250)&gt;0,
     COUNTIFS($AQ$3:$AQ$201,$M250)&gt;0,
     COUNTIFS($AR$3:$AR$201,$M250)&gt;0,
     COUNTIFS($AS$3:$AS$201,$M250)&gt;0,
     COUNTIFS($AT$3:$AT$201,$M250)&gt;0,
     COUNTIFS($AU$3:$AU$201,$M250)&gt;0,
     COUNTIFS($AV$3:$AV$201,$M250)&gt;0,
     COUNTIFS($AW$3:$AW$201,$M250)&gt;0,
     COUNTIFS($AX$3:$AX$201,$M250)&gt;0
   )),
  ),
  3
 ),
"")</f>
        <v/>
      </c>
    </row>
    <row r="251" spans="1:153" x14ac:dyDescent="0.25">
      <c r="A251" t="str">
        <f ca="1"/>
        <v>Liquimetal Torque</v>
      </c>
      <c r="B251" s="2" t="str" cm="1">
        <f t="array" aca="1" ref="B251" ca="1">_xlfn.ANCHORARRAY(RESUMO!C250)</f>
        <v>Modular</v>
      </c>
      <c r="C251" s="2" t="str">
        <f t="shared" ca="1" si="12"/>
        <v/>
      </c>
      <c r="F251" s="2">
        <f t="shared" si="15"/>
        <v>0</v>
      </c>
      <c r="G251" s="2" t="str">
        <f t="shared" ca="1" si="13"/>
        <v/>
      </c>
      <c r="J251" t="s">
        <v>180</v>
      </c>
      <c r="K251" s="2">
        <v>1</v>
      </c>
      <c r="N251" s="2">
        <f t="shared" si="14"/>
        <v>0</v>
      </c>
      <c r="O251" s="2" t="str">
        <f>IFERROR(
 INDEX($U$2:$AX$2,
  MATCH(TRUE,
   CHOOSE({1;2;3;4;5;6;7;8;9;10;11;12;13;14;15;16;17;18;19;20;21;22;23;24;25;26;27;28;29;30;31;32},
    COUNTIFS($U$3:$U$201,$M251)&gt;0,
    COUNTIFS($V$3:$V$201,$M251)&gt;0,
    COUNTIFS($W$3:$W$201,$M251)&gt;0,
    COUNTIFS($X$3:$X$201,$M251)&gt;0,
    COUNTIFS($Y$3:$Y$201,$M251)&gt;0,
    COUNTIFS($Z$3:$Z$201,$M251)&gt;0,
    COUNTIFS($AA$3:$AA$201,$M251)&gt;0,
    COUNTIFS($AB$3:$AB$201,$M251)&gt;0,
    COUNTIFS($AC$3:$AC$201,$M251)&gt;0,
    COUNTIFS($AD$3:$AD$201,$M251)&gt;0,
    COUNTIFS($AE$3:$AE$201,$M251)&gt;0,
    COUNTIFS($AF$3:$AF$201,$M251)&gt;0,
    COUNTIFS($AG$3:$AG$201,$M251)&gt;0,
    COUNTIFS($AH$3:$AH$201,$M251)&gt;0,
    COUNTIFS($AI$3:$AI$201,$M251)&gt;0,
    COUNTIFS($AJ$3:$AJ$201,$M251)&gt;0,
    COUNTIFS($AK$3:$AK$201,$M251)&gt;0,
    COUNTIFS($AL$3:$AL$201,$M251)&gt;0,
    COUNTIFS($AM$3:$AM$201,$M251)&gt;0,
    COUNTIFS($AN$3:$AN$201,$M251)&gt;0,
    COUNTIFS($AO$3:$AO$201,$M251)&gt;0,
    COUNTIFS($AP$3:$AP$201,$M251)&gt;0,
    COUNTIFS($AQ$3:$AQ$201,$M251)&gt;0,
    COUNTIFS($AR$3:$AR$201,$M251)&gt;0,
    COUNTIFS($AS$3:$AS$201,$M251)&gt;0,
    COUNTIFS($AT$3:$AT$201,$M251)&gt;0,
    COUNTIFS($AU$3:$AU$201,$M251)&gt;0,
    COUNTIFS($AV$3:$AV$201,$M251)&gt;0,
    COUNTIFS($AW$3:$AW$201,$M251)&gt;0,
    COUNTIFS($AX$3:$AX$201,$M251)&gt;0
   ),
  0)
 ),
"")</f>
        <v/>
      </c>
      <c r="P251" s="2" t="str" cm="1">
        <f t="array" ref="P251">IFERROR(
 INDEX(
  _xlfn._xlws.FILTER($U$2:$AX$2,
   TRANSPOSE(
    CHOOSE({1;2;3;4;5;6;7;8;9;10;11;12;13;14;15;16;17;18;19;20;21;22;23;24;25;26;27;28;29;30},
     COUNTIFS($U$3:$U$201,$M251)&gt;0,
     COUNTIFS($V$3:$V$201,$M251)&gt;0,
     COUNTIFS($W$3:$W$201,$M251)&gt;0,
     COUNTIFS($X$3:$X$201,$M251)&gt;0,
     COUNTIFS($Y$3:$Y$201,$M251)&gt;0,
     COUNTIFS($Z$3:$Z$201,$M251)&gt;0,
     COUNTIFS($AA$3:$AA$201,$M251)&gt;0,
     COUNTIFS($AB$3:$AB$201,$M251)&gt;0,
     COUNTIFS($AC$3:$AC$201,$M251)&gt;0,
     COUNTIFS($AD$3:$AD$201,$M251)&gt;0,
     COUNTIFS($AE$3:$AE$201,$M251)&gt;0,
     COUNTIFS($AF$3:$AF$201,$M251)&gt;0,
     COUNTIFS($AG$3:$AG$201,$M251)&gt;0,
     COUNTIFS($AH$3:$AH$201,$M251)&gt;0,
     COUNTIFS($AI$3:$AI$201,$M251)&gt;0,
     COUNTIFS($AJ$3:$AJ$201,$M251)&gt;0,
     COUNTIFS($AK$3:$AK$201,$M251)&gt;0,
     COUNTIFS($AL$3:$AL$201,$M251)&gt;0,
     COUNTIFS($AM$3:$AM$201,$M251)&gt;0,
     COUNTIFS($AN$3:$AN$201,$M251)&gt;0,
     COUNTIFS($AO$3:$AO$201,$M251)&gt;0,
     COUNTIFS($AP$3:$AP$201,$M251)&gt;0,
     COUNTIFS($AQ$3:$AQ$201,$M251)&gt;0,
     COUNTIFS($AR$3:$AR$201,$M251)&gt;0,
     COUNTIFS($AS$3:$AS$201,$M251)&gt;0,
     COUNTIFS($AT$3:$AT$201,$M251)&gt;0,
     COUNTIFS($AU$3:$AU$201,$M251)&gt;0,
     COUNTIFS($AV$3:$AV$201,$M251)&gt;0,
     COUNTIFS($AW$3:$AW$201,$M251)&gt;0,
     COUNTIFS($AX$3:$AX$201,$M251)&gt;0
   )),
  ),
  2
 ),
"")</f>
        <v/>
      </c>
      <c r="Q251" s="2" t="str" cm="1">
        <f t="array" ref="Q251">IFERROR(
 INDEX(
  _xlfn._xlws.FILTER($U$2:$AX$2,
   TRANSPOSE(
    CHOOSE({1;2;3;4;5;6;7;8;9;10;11;12;13;14;15;16;17;18;19;20;21;22;23;24;25;26;27;28;29;30},
     COUNTIFS($U$3:$U$201,$M251)&gt;0,
     COUNTIFS($V$3:$V$201,$M251)&gt;0,
     COUNTIFS($W$3:$W$201,$M251)&gt;0,
     COUNTIFS($X$3:$X$201,$M251)&gt;0,
     COUNTIFS($Y$3:$Y$201,$M251)&gt;0,
     COUNTIFS($Z$3:$Z$201,$M251)&gt;0,
     COUNTIFS($AA$3:$AA$201,$M251)&gt;0,
     COUNTIFS($AB$3:$AB$201,$M251)&gt;0,
     COUNTIFS($AC$3:$AC$201,$M251)&gt;0,
     COUNTIFS($AD$3:$AD$201,$M251)&gt;0,
     COUNTIFS($AE$3:$AE$201,$M251)&gt;0,
     COUNTIFS($AF$3:$AF$201,$M251)&gt;0,
     COUNTIFS($AG$3:$AG$201,$M251)&gt;0,
     COUNTIFS($AH$3:$AH$201,$M251)&gt;0,
     COUNTIFS($AI$3:$AI$201,$M251)&gt;0,
     COUNTIFS($AJ$3:$AJ$201,$M251)&gt;0,
     COUNTIFS($AK$3:$AK$201,$M251)&gt;0,
     COUNTIFS($AL$3:$AL$201,$M251)&gt;0,
     COUNTIFS($AM$3:$AM$201,$M251)&gt;0,
     COUNTIFS($AN$3:$AN$201,$M251)&gt;0,
     COUNTIFS($AO$3:$AO$201,$M251)&gt;0,
     COUNTIFS($AP$3:$AP$201,$M251)&gt;0,
     COUNTIFS($AQ$3:$AQ$201,$M251)&gt;0,
     COUNTIFS($AR$3:$AR$201,$M251)&gt;0,
     COUNTIFS($AS$3:$AS$201,$M251)&gt;0,
     COUNTIFS($AT$3:$AT$201,$M251)&gt;0,
     COUNTIFS($AU$3:$AU$201,$M251)&gt;0,
     COUNTIFS($AV$3:$AV$201,$M251)&gt;0,
     COUNTIFS($AW$3:$AW$201,$M251)&gt;0,
     COUNTIFS($AX$3:$AX$201,$M251)&gt;0
   )),
  ),
  3
 ),
"")</f>
        <v/>
      </c>
    </row>
    <row r="252" spans="1:153" x14ac:dyDescent="0.25">
      <c r="A252" t="str">
        <f ca="1"/>
        <v>Lithoform Engine</v>
      </c>
      <c r="B252" s="2" t="str" cm="1">
        <f t="array" aca="1" ref="B252" ca="1">_xlfn.ANCHORARRAY(RESUMO!C251)</f>
        <v>Modular</v>
      </c>
      <c r="C252" s="2" t="str">
        <f t="shared" ca="1" si="12"/>
        <v/>
      </c>
      <c r="F252" s="2">
        <f t="shared" si="15"/>
        <v>0</v>
      </c>
      <c r="G252" s="2" t="str">
        <f t="shared" ca="1" si="13"/>
        <v/>
      </c>
      <c r="J252" t="s">
        <v>180</v>
      </c>
      <c r="K252" s="2">
        <v>1</v>
      </c>
      <c r="N252" s="2">
        <f t="shared" si="14"/>
        <v>0</v>
      </c>
      <c r="O252" s="2" t="str">
        <f>IFERROR(
 INDEX($U$2:$AX$2,
  MATCH(TRUE,
   CHOOSE({1;2;3;4;5;6;7;8;9;10;11;12;13;14;15;16;17;18;19;20;21;22;23;24;25;26;27;28;29;30;31;32},
    COUNTIFS($U$3:$U$201,$M252)&gt;0,
    COUNTIFS($V$3:$V$201,$M252)&gt;0,
    COUNTIFS($W$3:$W$201,$M252)&gt;0,
    COUNTIFS($X$3:$X$201,$M252)&gt;0,
    COUNTIFS($Y$3:$Y$201,$M252)&gt;0,
    COUNTIFS($Z$3:$Z$201,$M252)&gt;0,
    COUNTIFS($AA$3:$AA$201,$M252)&gt;0,
    COUNTIFS($AB$3:$AB$201,$M252)&gt;0,
    COUNTIFS($AC$3:$AC$201,$M252)&gt;0,
    COUNTIFS($AD$3:$AD$201,$M252)&gt;0,
    COUNTIFS($AE$3:$AE$201,$M252)&gt;0,
    COUNTIFS($AF$3:$AF$201,$M252)&gt;0,
    COUNTIFS($AG$3:$AG$201,$M252)&gt;0,
    COUNTIFS($AH$3:$AH$201,$M252)&gt;0,
    COUNTIFS($AI$3:$AI$201,$M252)&gt;0,
    COUNTIFS($AJ$3:$AJ$201,$M252)&gt;0,
    COUNTIFS($AK$3:$AK$201,$M252)&gt;0,
    COUNTIFS($AL$3:$AL$201,$M252)&gt;0,
    COUNTIFS($AM$3:$AM$201,$M252)&gt;0,
    COUNTIFS($AN$3:$AN$201,$M252)&gt;0,
    COUNTIFS($AO$3:$AO$201,$M252)&gt;0,
    COUNTIFS($AP$3:$AP$201,$M252)&gt;0,
    COUNTIFS($AQ$3:$AQ$201,$M252)&gt;0,
    COUNTIFS($AR$3:$AR$201,$M252)&gt;0,
    COUNTIFS($AS$3:$AS$201,$M252)&gt;0,
    COUNTIFS($AT$3:$AT$201,$M252)&gt;0,
    COUNTIFS($AU$3:$AU$201,$M252)&gt;0,
    COUNTIFS($AV$3:$AV$201,$M252)&gt;0,
    COUNTIFS($AW$3:$AW$201,$M252)&gt;0,
    COUNTIFS($AX$3:$AX$201,$M252)&gt;0
   ),
  0)
 ),
"")</f>
        <v/>
      </c>
      <c r="P252" s="2" t="str" cm="1">
        <f t="array" ref="P252">IFERROR(
 INDEX(
  _xlfn._xlws.FILTER($U$2:$AX$2,
   TRANSPOSE(
    CHOOSE({1;2;3;4;5;6;7;8;9;10;11;12;13;14;15;16;17;18;19;20;21;22;23;24;25;26;27;28;29;30},
     COUNTIFS($U$3:$U$201,$M252)&gt;0,
     COUNTIFS($V$3:$V$201,$M252)&gt;0,
     COUNTIFS($W$3:$W$201,$M252)&gt;0,
     COUNTIFS($X$3:$X$201,$M252)&gt;0,
     COUNTIFS($Y$3:$Y$201,$M252)&gt;0,
     COUNTIFS($Z$3:$Z$201,$M252)&gt;0,
     COUNTIFS($AA$3:$AA$201,$M252)&gt;0,
     COUNTIFS($AB$3:$AB$201,$M252)&gt;0,
     COUNTIFS($AC$3:$AC$201,$M252)&gt;0,
     COUNTIFS($AD$3:$AD$201,$M252)&gt;0,
     COUNTIFS($AE$3:$AE$201,$M252)&gt;0,
     COUNTIFS($AF$3:$AF$201,$M252)&gt;0,
     COUNTIFS($AG$3:$AG$201,$M252)&gt;0,
     COUNTIFS($AH$3:$AH$201,$M252)&gt;0,
     COUNTIFS($AI$3:$AI$201,$M252)&gt;0,
     COUNTIFS($AJ$3:$AJ$201,$M252)&gt;0,
     COUNTIFS($AK$3:$AK$201,$M252)&gt;0,
     COUNTIFS($AL$3:$AL$201,$M252)&gt;0,
     COUNTIFS($AM$3:$AM$201,$M252)&gt;0,
     COUNTIFS($AN$3:$AN$201,$M252)&gt;0,
     COUNTIFS($AO$3:$AO$201,$M252)&gt;0,
     COUNTIFS($AP$3:$AP$201,$M252)&gt;0,
     COUNTIFS($AQ$3:$AQ$201,$M252)&gt;0,
     COUNTIFS($AR$3:$AR$201,$M252)&gt;0,
     COUNTIFS($AS$3:$AS$201,$M252)&gt;0,
     COUNTIFS($AT$3:$AT$201,$M252)&gt;0,
     COUNTIFS($AU$3:$AU$201,$M252)&gt;0,
     COUNTIFS($AV$3:$AV$201,$M252)&gt;0,
     COUNTIFS($AW$3:$AW$201,$M252)&gt;0,
     COUNTIFS($AX$3:$AX$201,$M252)&gt;0
   )),
  ),
  2
 ),
"")</f>
        <v/>
      </c>
      <c r="Q252" s="2" t="str" cm="1">
        <f t="array" ref="Q252">IFERROR(
 INDEX(
  _xlfn._xlws.FILTER($U$2:$AX$2,
   TRANSPOSE(
    CHOOSE({1;2;3;4;5;6;7;8;9;10;11;12;13;14;15;16;17;18;19;20;21;22;23;24;25;26;27;28;29;30},
     COUNTIFS($U$3:$U$201,$M252)&gt;0,
     COUNTIFS($V$3:$V$201,$M252)&gt;0,
     COUNTIFS($W$3:$W$201,$M252)&gt;0,
     COUNTIFS($X$3:$X$201,$M252)&gt;0,
     COUNTIFS($Y$3:$Y$201,$M252)&gt;0,
     COUNTIFS($Z$3:$Z$201,$M252)&gt;0,
     COUNTIFS($AA$3:$AA$201,$M252)&gt;0,
     COUNTIFS($AB$3:$AB$201,$M252)&gt;0,
     COUNTIFS($AC$3:$AC$201,$M252)&gt;0,
     COUNTIFS($AD$3:$AD$201,$M252)&gt;0,
     COUNTIFS($AE$3:$AE$201,$M252)&gt;0,
     COUNTIFS($AF$3:$AF$201,$M252)&gt;0,
     COUNTIFS($AG$3:$AG$201,$M252)&gt;0,
     COUNTIFS($AH$3:$AH$201,$M252)&gt;0,
     COUNTIFS($AI$3:$AI$201,$M252)&gt;0,
     COUNTIFS($AJ$3:$AJ$201,$M252)&gt;0,
     COUNTIFS($AK$3:$AK$201,$M252)&gt;0,
     COUNTIFS($AL$3:$AL$201,$M252)&gt;0,
     COUNTIFS($AM$3:$AM$201,$M252)&gt;0,
     COUNTIFS($AN$3:$AN$201,$M252)&gt;0,
     COUNTIFS($AO$3:$AO$201,$M252)&gt;0,
     COUNTIFS($AP$3:$AP$201,$M252)&gt;0,
     COUNTIFS($AQ$3:$AQ$201,$M252)&gt;0,
     COUNTIFS($AR$3:$AR$201,$M252)&gt;0,
     COUNTIFS($AS$3:$AS$201,$M252)&gt;0,
     COUNTIFS($AT$3:$AT$201,$M252)&gt;0,
     COUNTIFS($AU$3:$AU$201,$M252)&gt;0,
     COUNTIFS($AV$3:$AV$201,$M252)&gt;0,
     COUNTIFS($AW$3:$AW$201,$M252)&gt;0,
     COUNTIFS($AX$3:$AX$201,$M252)&gt;0
   )),
  ),
  3
 ),
"")</f>
        <v/>
      </c>
    </row>
    <row r="253" spans="1:153" x14ac:dyDescent="0.25">
      <c r="A253" t="str">
        <f ca="1"/>
        <v>Llanowar Wastes</v>
      </c>
      <c r="B253" s="2" t="str" cm="1">
        <f t="array" aca="1" ref="B253" ca="1">_xlfn.ANCHORARRAY(RESUMO!C252)</f>
        <v>Little</v>
      </c>
      <c r="C253" s="2" t="str">
        <f t="shared" ca="1" si="12"/>
        <v/>
      </c>
      <c r="F253" s="2">
        <f t="shared" si="15"/>
        <v>0</v>
      </c>
      <c r="G253" s="2" t="str">
        <f t="shared" ca="1" si="13"/>
        <v/>
      </c>
      <c r="J253" t="s">
        <v>180</v>
      </c>
      <c r="K253" s="2">
        <v>1</v>
      </c>
      <c r="N253" s="2">
        <f t="shared" si="14"/>
        <v>0</v>
      </c>
      <c r="O253" s="2" t="str">
        <f>IFERROR(
 INDEX($U$2:$AX$2,
  MATCH(TRUE,
   CHOOSE({1;2;3;4;5;6;7;8;9;10;11;12;13;14;15;16;17;18;19;20;21;22;23;24;25;26;27;28;29;30;31;32},
    COUNTIFS($U$3:$U$201,$M253)&gt;0,
    COUNTIFS($V$3:$V$201,$M253)&gt;0,
    COUNTIFS($W$3:$W$201,$M253)&gt;0,
    COUNTIFS($X$3:$X$201,$M253)&gt;0,
    COUNTIFS($Y$3:$Y$201,$M253)&gt;0,
    COUNTIFS($Z$3:$Z$201,$M253)&gt;0,
    COUNTIFS($AA$3:$AA$201,$M253)&gt;0,
    COUNTIFS($AB$3:$AB$201,$M253)&gt;0,
    COUNTIFS($AC$3:$AC$201,$M253)&gt;0,
    COUNTIFS($AD$3:$AD$201,$M253)&gt;0,
    COUNTIFS($AE$3:$AE$201,$M253)&gt;0,
    COUNTIFS($AF$3:$AF$201,$M253)&gt;0,
    COUNTIFS($AG$3:$AG$201,$M253)&gt;0,
    COUNTIFS($AH$3:$AH$201,$M253)&gt;0,
    COUNTIFS($AI$3:$AI$201,$M253)&gt;0,
    COUNTIFS($AJ$3:$AJ$201,$M253)&gt;0,
    COUNTIFS($AK$3:$AK$201,$M253)&gt;0,
    COUNTIFS($AL$3:$AL$201,$M253)&gt;0,
    COUNTIFS($AM$3:$AM$201,$M253)&gt;0,
    COUNTIFS($AN$3:$AN$201,$M253)&gt;0,
    COUNTIFS($AO$3:$AO$201,$M253)&gt;0,
    COUNTIFS($AP$3:$AP$201,$M253)&gt;0,
    COUNTIFS($AQ$3:$AQ$201,$M253)&gt;0,
    COUNTIFS($AR$3:$AR$201,$M253)&gt;0,
    COUNTIFS($AS$3:$AS$201,$M253)&gt;0,
    COUNTIFS($AT$3:$AT$201,$M253)&gt;0,
    COUNTIFS($AU$3:$AU$201,$M253)&gt;0,
    COUNTIFS($AV$3:$AV$201,$M253)&gt;0,
    COUNTIFS($AW$3:$AW$201,$M253)&gt;0,
    COUNTIFS($AX$3:$AX$201,$M253)&gt;0
   ),
  0)
 ),
"")</f>
        <v/>
      </c>
      <c r="P253" s="2" t="str" cm="1">
        <f t="array" ref="P253">IFERROR(
 INDEX(
  _xlfn._xlws.FILTER($U$2:$AX$2,
   TRANSPOSE(
    CHOOSE({1;2;3;4;5;6;7;8;9;10;11;12;13;14;15;16;17;18;19;20;21;22;23;24;25;26;27;28;29;30},
     COUNTIFS($U$3:$U$201,$M253)&gt;0,
     COUNTIFS($V$3:$V$201,$M253)&gt;0,
     COUNTIFS($W$3:$W$201,$M253)&gt;0,
     COUNTIFS($X$3:$X$201,$M253)&gt;0,
     COUNTIFS($Y$3:$Y$201,$M253)&gt;0,
     COUNTIFS($Z$3:$Z$201,$M253)&gt;0,
     COUNTIFS($AA$3:$AA$201,$M253)&gt;0,
     COUNTIFS($AB$3:$AB$201,$M253)&gt;0,
     COUNTIFS($AC$3:$AC$201,$M253)&gt;0,
     COUNTIFS($AD$3:$AD$201,$M253)&gt;0,
     COUNTIFS($AE$3:$AE$201,$M253)&gt;0,
     COUNTIFS($AF$3:$AF$201,$M253)&gt;0,
     COUNTIFS($AG$3:$AG$201,$M253)&gt;0,
     COUNTIFS($AH$3:$AH$201,$M253)&gt;0,
     COUNTIFS($AI$3:$AI$201,$M253)&gt;0,
     COUNTIFS($AJ$3:$AJ$201,$M253)&gt;0,
     COUNTIFS($AK$3:$AK$201,$M253)&gt;0,
     COUNTIFS($AL$3:$AL$201,$M253)&gt;0,
     COUNTIFS($AM$3:$AM$201,$M253)&gt;0,
     COUNTIFS($AN$3:$AN$201,$M253)&gt;0,
     COUNTIFS($AO$3:$AO$201,$M253)&gt;0,
     COUNTIFS($AP$3:$AP$201,$M253)&gt;0,
     COUNTIFS($AQ$3:$AQ$201,$M253)&gt;0,
     COUNTIFS($AR$3:$AR$201,$M253)&gt;0,
     COUNTIFS($AS$3:$AS$201,$M253)&gt;0,
     COUNTIFS($AT$3:$AT$201,$M253)&gt;0,
     COUNTIFS($AU$3:$AU$201,$M253)&gt;0,
     COUNTIFS($AV$3:$AV$201,$M253)&gt;0,
     COUNTIFS($AW$3:$AW$201,$M253)&gt;0,
     COUNTIFS($AX$3:$AX$201,$M253)&gt;0
   )),
  ),
  2
 ),
"")</f>
        <v/>
      </c>
      <c r="Q253" s="2" t="str" cm="1">
        <f t="array" ref="Q253">IFERROR(
 INDEX(
  _xlfn._xlws.FILTER($U$2:$AX$2,
   TRANSPOSE(
    CHOOSE({1;2;3;4;5;6;7;8;9;10;11;12;13;14;15;16;17;18;19;20;21;22;23;24;25;26;27;28;29;30},
     COUNTIFS($U$3:$U$201,$M253)&gt;0,
     COUNTIFS($V$3:$V$201,$M253)&gt;0,
     COUNTIFS($W$3:$W$201,$M253)&gt;0,
     COUNTIFS($X$3:$X$201,$M253)&gt;0,
     COUNTIFS($Y$3:$Y$201,$M253)&gt;0,
     COUNTIFS($Z$3:$Z$201,$M253)&gt;0,
     COUNTIFS($AA$3:$AA$201,$M253)&gt;0,
     COUNTIFS($AB$3:$AB$201,$M253)&gt;0,
     COUNTIFS($AC$3:$AC$201,$M253)&gt;0,
     COUNTIFS($AD$3:$AD$201,$M253)&gt;0,
     COUNTIFS($AE$3:$AE$201,$M253)&gt;0,
     COUNTIFS($AF$3:$AF$201,$M253)&gt;0,
     COUNTIFS($AG$3:$AG$201,$M253)&gt;0,
     COUNTIFS($AH$3:$AH$201,$M253)&gt;0,
     COUNTIFS($AI$3:$AI$201,$M253)&gt;0,
     COUNTIFS($AJ$3:$AJ$201,$M253)&gt;0,
     COUNTIFS($AK$3:$AK$201,$M253)&gt;0,
     COUNTIFS($AL$3:$AL$201,$M253)&gt;0,
     COUNTIFS($AM$3:$AM$201,$M253)&gt;0,
     COUNTIFS($AN$3:$AN$201,$M253)&gt;0,
     COUNTIFS($AO$3:$AO$201,$M253)&gt;0,
     COUNTIFS($AP$3:$AP$201,$M253)&gt;0,
     COUNTIFS($AQ$3:$AQ$201,$M253)&gt;0,
     COUNTIFS($AR$3:$AR$201,$M253)&gt;0,
     COUNTIFS($AS$3:$AS$201,$M253)&gt;0,
     COUNTIFS($AT$3:$AT$201,$M253)&gt;0,
     COUNTIFS($AU$3:$AU$201,$M253)&gt;0,
     COUNTIFS($AV$3:$AV$201,$M253)&gt;0,
     COUNTIFS($AW$3:$AW$201,$M253)&gt;0,
     COUNTIFS($AX$3:$AX$201,$M253)&gt;0
   )),
  ),
  3
 ),
"")</f>
        <v/>
      </c>
    </row>
    <row r="254" spans="1:153" x14ac:dyDescent="0.25">
      <c r="A254" t="str">
        <f ca="1"/>
        <v>Lolth, Spider Queen</v>
      </c>
      <c r="B254" s="2" t="str" cm="1">
        <f t="array" aca="1" ref="B254" ca="1">_xlfn.ANCHORARRAY(RESUMO!C253)</f>
        <v>Sisay</v>
      </c>
      <c r="C254" s="2" t="str">
        <f t="shared" ca="1" si="12"/>
        <v/>
      </c>
      <c r="F254" s="2">
        <f t="shared" si="15"/>
        <v>0</v>
      </c>
      <c r="G254" s="2" t="str">
        <f t="shared" ca="1" si="13"/>
        <v/>
      </c>
      <c r="J254" t="s">
        <v>180</v>
      </c>
      <c r="K254" s="2">
        <v>1</v>
      </c>
      <c r="N254" s="2">
        <f t="shared" si="14"/>
        <v>0</v>
      </c>
      <c r="O254" s="2" t="str">
        <f>IFERROR(
 INDEX($U$2:$AX$2,
  MATCH(TRUE,
   CHOOSE({1;2;3;4;5;6;7;8;9;10;11;12;13;14;15;16;17;18;19;20;21;22;23;24;25;26;27;28;29;30;31;32},
    COUNTIFS($U$3:$U$201,$M254)&gt;0,
    COUNTIFS($V$3:$V$201,$M254)&gt;0,
    COUNTIFS($W$3:$W$201,$M254)&gt;0,
    COUNTIFS($X$3:$X$201,$M254)&gt;0,
    COUNTIFS($Y$3:$Y$201,$M254)&gt;0,
    COUNTIFS($Z$3:$Z$201,$M254)&gt;0,
    COUNTIFS($AA$3:$AA$201,$M254)&gt;0,
    COUNTIFS($AB$3:$AB$201,$M254)&gt;0,
    COUNTIFS($AC$3:$AC$201,$M254)&gt;0,
    COUNTIFS($AD$3:$AD$201,$M254)&gt;0,
    COUNTIFS($AE$3:$AE$201,$M254)&gt;0,
    COUNTIFS($AF$3:$AF$201,$M254)&gt;0,
    COUNTIFS($AG$3:$AG$201,$M254)&gt;0,
    COUNTIFS($AH$3:$AH$201,$M254)&gt;0,
    COUNTIFS($AI$3:$AI$201,$M254)&gt;0,
    COUNTIFS($AJ$3:$AJ$201,$M254)&gt;0,
    COUNTIFS($AK$3:$AK$201,$M254)&gt;0,
    COUNTIFS($AL$3:$AL$201,$M254)&gt;0,
    COUNTIFS($AM$3:$AM$201,$M254)&gt;0,
    COUNTIFS($AN$3:$AN$201,$M254)&gt;0,
    COUNTIFS($AO$3:$AO$201,$M254)&gt;0,
    COUNTIFS($AP$3:$AP$201,$M254)&gt;0,
    COUNTIFS($AQ$3:$AQ$201,$M254)&gt;0,
    COUNTIFS($AR$3:$AR$201,$M254)&gt;0,
    COUNTIFS($AS$3:$AS$201,$M254)&gt;0,
    COUNTIFS($AT$3:$AT$201,$M254)&gt;0,
    COUNTIFS($AU$3:$AU$201,$M254)&gt;0,
    COUNTIFS($AV$3:$AV$201,$M254)&gt;0,
    COUNTIFS($AW$3:$AW$201,$M254)&gt;0,
    COUNTIFS($AX$3:$AX$201,$M254)&gt;0
   ),
  0)
 ),
"")</f>
        <v/>
      </c>
      <c r="P254" s="2" t="str" cm="1">
        <f t="array" ref="P254">IFERROR(
 INDEX(
  _xlfn._xlws.FILTER($U$2:$AX$2,
   TRANSPOSE(
    CHOOSE({1;2;3;4;5;6;7;8;9;10;11;12;13;14;15;16;17;18;19;20;21;22;23;24;25;26;27;28;29;30},
     COUNTIFS($U$3:$U$201,$M254)&gt;0,
     COUNTIFS($V$3:$V$201,$M254)&gt;0,
     COUNTIFS($W$3:$W$201,$M254)&gt;0,
     COUNTIFS($X$3:$X$201,$M254)&gt;0,
     COUNTIFS($Y$3:$Y$201,$M254)&gt;0,
     COUNTIFS($Z$3:$Z$201,$M254)&gt;0,
     COUNTIFS($AA$3:$AA$201,$M254)&gt;0,
     COUNTIFS($AB$3:$AB$201,$M254)&gt;0,
     COUNTIFS($AC$3:$AC$201,$M254)&gt;0,
     COUNTIFS($AD$3:$AD$201,$M254)&gt;0,
     COUNTIFS($AE$3:$AE$201,$M254)&gt;0,
     COUNTIFS($AF$3:$AF$201,$M254)&gt;0,
     COUNTIFS($AG$3:$AG$201,$M254)&gt;0,
     COUNTIFS($AH$3:$AH$201,$M254)&gt;0,
     COUNTIFS($AI$3:$AI$201,$M254)&gt;0,
     COUNTIFS($AJ$3:$AJ$201,$M254)&gt;0,
     COUNTIFS($AK$3:$AK$201,$M254)&gt;0,
     COUNTIFS($AL$3:$AL$201,$M254)&gt;0,
     COUNTIFS($AM$3:$AM$201,$M254)&gt;0,
     COUNTIFS($AN$3:$AN$201,$M254)&gt;0,
     COUNTIFS($AO$3:$AO$201,$M254)&gt;0,
     COUNTIFS($AP$3:$AP$201,$M254)&gt;0,
     COUNTIFS($AQ$3:$AQ$201,$M254)&gt;0,
     COUNTIFS($AR$3:$AR$201,$M254)&gt;0,
     COUNTIFS($AS$3:$AS$201,$M254)&gt;0,
     COUNTIFS($AT$3:$AT$201,$M254)&gt;0,
     COUNTIFS($AU$3:$AU$201,$M254)&gt;0,
     COUNTIFS($AV$3:$AV$201,$M254)&gt;0,
     COUNTIFS($AW$3:$AW$201,$M254)&gt;0,
     COUNTIFS($AX$3:$AX$201,$M254)&gt;0
   )),
  ),
  2
 ),
"")</f>
        <v/>
      </c>
      <c r="Q254" s="2" t="str" cm="1">
        <f t="array" ref="Q254">IFERROR(
 INDEX(
  _xlfn._xlws.FILTER($U$2:$AX$2,
   TRANSPOSE(
    CHOOSE({1;2;3;4;5;6;7;8;9;10;11;12;13;14;15;16;17;18;19;20;21;22;23;24;25;26;27;28;29;30},
     COUNTIFS($U$3:$U$201,$M254)&gt;0,
     COUNTIFS($V$3:$V$201,$M254)&gt;0,
     COUNTIFS($W$3:$W$201,$M254)&gt;0,
     COUNTIFS($X$3:$X$201,$M254)&gt;0,
     COUNTIFS($Y$3:$Y$201,$M254)&gt;0,
     COUNTIFS($Z$3:$Z$201,$M254)&gt;0,
     COUNTIFS($AA$3:$AA$201,$M254)&gt;0,
     COUNTIFS($AB$3:$AB$201,$M254)&gt;0,
     COUNTIFS($AC$3:$AC$201,$M254)&gt;0,
     COUNTIFS($AD$3:$AD$201,$M254)&gt;0,
     COUNTIFS($AE$3:$AE$201,$M254)&gt;0,
     COUNTIFS($AF$3:$AF$201,$M254)&gt;0,
     COUNTIFS($AG$3:$AG$201,$M254)&gt;0,
     COUNTIFS($AH$3:$AH$201,$M254)&gt;0,
     COUNTIFS($AI$3:$AI$201,$M254)&gt;0,
     COUNTIFS($AJ$3:$AJ$201,$M254)&gt;0,
     COUNTIFS($AK$3:$AK$201,$M254)&gt;0,
     COUNTIFS($AL$3:$AL$201,$M254)&gt;0,
     COUNTIFS($AM$3:$AM$201,$M254)&gt;0,
     COUNTIFS($AN$3:$AN$201,$M254)&gt;0,
     COUNTIFS($AO$3:$AO$201,$M254)&gt;0,
     COUNTIFS($AP$3:$AP$201,$M254)&gt;0,
     COUNTIFS($AQ$3:$AQ$201,$M254)&gt;0,
     COUNTIFS($AR$3:$AR$201,$M254)&gt;0,
     COUNTIFS($AS$3:$AS$201,$M254)&gt;0,
     COUNTIFS($AT$3:$AT$201,$M254)&gt;0,
     COUNTIFS($AU$3:$AU$201,$M254)&gt;0,
     COUNTIFS($AV$3:$AV$201,$M254)&gt;0,
     COUNTIFS($AW$3:$AW$201,$M254)&gt;0,
     COUNTIFS($AX$3:$AX$201,$M254)&gt;0
   )),
  ),
  3
 ),
"")</f>
        <v/>
      </c>
    </row>
    <row r="255" spans="1:153" x14ac:dyDescent="0.25">
      <c r="A255" t="str">
        <f ca="1"/>
        <v>Long Feng, Grand Secretariat</v>
      </c>
      <c r="B255" s="2" t="str" cm="1">
        <f t="array" aca="1" ref="B255" ca="1">_xlfn.ANCHORARRAY(RESUMO!C254)</f>
        <v>Tayam</v>
      </c>
      <c r="C255" s="2" t="str">
        <f t="shared" ca="1" si="12"/>
        <v/>
      </c>
      <c r="F255" s="2">
        <f t="shared" si="15"/>
        <v>0</v>
      </c>
      <c r="G255" s="2" t="str">
        <f t="shared" ca="1" si="13"/>
        <v/>
      </c>
      <c r="J255" t="s">
        <v>180</v>
      </c>
      <c r="K255" s="2">
        <v>1</v>
      </c>
      <c r="N255" s="2">
        <f t="shared" si="14"/>
        <v>0</v>
      </c>
      <c r="O255" s="2" t="str">
        <f>IFERROR(
 INDEX($U$2:$AX$2,
  MATCH(TRUE,
   CHOOSE({1;2;3;4;5;6;7;8;9;10;11;12;13;14;15;16;17;18;19;20;21;22;23;24;25;26;27;28;29;30;31;32},
    COUNTIFS($U$3:$U$201,$M255)&gt;0,
    COUNTIFS($V$3:$V$201,$M255)&gt;0,
    COUNTIFS($W$3:$W$201,$M255)&gt;0,
    COUNTIFS($X$3:$X$201,$M255)&gt;0,
    COUNTIFS($Y$3:$Y$201,$M255)&gt;0,
    COUNTIFS($Z$3:$Z$201,$M255)&gt;0,
    COUNTIFS($AA$3:$AA$201,$M255)&gt;0,
    COUNTIFS($AB$3:$AB$201,$M255)&gt;0,
    COUNTIFS($AC$3:$AC$201,$M255)&gt;0,
    COUNTIFS($AD$3:$AD$201,$M255)&gt;0,
    COUNTIFS($AE$3:$AE$201,$M255)&gt;0,
    COUNTIFS($AF$3:$AF$201,$M255)&gt;0,
    COUNTIFS($AG$3:$AG$201,$M255)&gt;0,
    COUNTIFS($AH$3:$AH$201,$M255)&gt;0,
    COUNTIFS($AI$3:$AI$201,$M255)&gt;0,
    COUNTIFS($AJ$3:$AJ$201,$M255)&gt;0,
    COUNTIFS($AK$3:$AK$201,$M255)&gt;0,
    COUNTIFS($AL$3:$AL$201,$M255)&gt;0,
    COUNTIFS($AM$3:$AM$201,$M255)&gt;0,
    COUNTIFS($AN$3:$AN$201,$M255)&gt;0,
    COUNTIFS($AO$3:$AO$201,$M255)&gt;0,
    COUNTIFS($AP$3:$AP$201,$M255)&gt;0,
    COUNTIFS($AQ$3:$AQ$201,$M255)&gt;0,
    COUNTIFS($AR$3:$AR$201,$M255)&gt;0,
    COUNTIFS($AS$3:$AS$201,$M255)&gt;0,
    COUNTIFS($AT$3:$AT$201,$M255)&gt;0,
    COUNTIFS($AU$3:$AU$201,$M255)&gt;0,
    COUNTIFS($AV$3:$AV$201,$M255)&gt;0,
    COUNTIFS($AW$3:$AW$201,$M255)&gt;0,
    COUNTIFS($AX$3:$AX$201,$M255)&gt;0
   ),
  0)
 ),
"")</f>
        <v/>
      </c>
      <c r="P255" s="2" t="str" cm="1">
        <f t="array" ref="P255">IFERROR(
 INDEX(
  _xlfn._xlws.FILTER($U$2:$AX$2,
   TRANSPOSE(
    CHOOSE({1;2;3;4;5;6;7;8;9;10;11;12;13;14;15;16;17;18;19;20;21;22;23;24;25;26;27;28;29;30},
     COUNTIFS($U$3:$U$201,$M255)&gt;0,
     COUNTIFS($V$3:$V$201,$M255)&gt;0,
     COUNTIFS($W$3:$W$201,$M255)&gt;0,
     COUNTIFS($X$3:$X$201,$M255)&gt;0,
     COUNTIFS($Y$3:$Y$201,$M255)&gt;0,
     COUNTIFS($Z$3:$Z$201,$M255)&gt;0,
     COUNTIFS($AA$3:$AA$201,$M255)&gt;0,
     COUNTIFS($AB$3:$AB$201,$M255)&gt;0,
     COUNTIFS($AC$3:$AC$201,$M255)&gt;0,
     COUNTIFS($AD$3:$AD$201,$M255)&gt;0,
     COUNTIFS($AE$3:$AE$201,$M255)&gt;0,
     COUNTIFS($AF$3:$AF$201,$M255)&gt;0,
     COUNTIFS($AG$3:$AG$201,$M255)&gt;0,
     COUNTIFS($AH$3:$AH$201,$M255)&gt;0,
     COUNTIFS($AI$3:$AI$201,$M255)&gt;0,
     COUNTIFS($AJ$3:$AJ$201,$M255)&gt;0,
     COUNTIFS($AK$3:$AK$201,$M255)&gt;0,
     COUNTIFS($AL$3:$AL$201,$M255)&gt;0,
     COUNTIFS($AM$3:$AM$201,$M255)&gt;0,
     COUNTIFS($AN$3:$AN$201,$M255)&gt;0,
     COUNTIFS($AO$3:$AO$201,$M255)&gt;0,
     COUNTIFS($AP$3:$AP$201,$M255)&gt;0,
     COUNTIFS($AQ$3:$AQ$201,$M255)&gt;0,
     COUNTIFS($AR$3:$AR$201,$M255)&gt;0,
     COUNTIFS($AS$3:$AS$201,$M255)&gt;0,
     COUNTIFS($AT$3:$AT$201,$M255)&gt;0,
     COUNTIFS($AU$3:$AU$201,$M255)&gt;0,
     COUNTIFS($AV$3:$AV$201,$M255)&gt;0,
     COUNTIFS($AW$3:$AW$201,$M255)&gt;0,
     COUNTIFS($AX$3:$AX$201,$M255)&gt;0
   )),
  ),
  2
 ),
"")</f>
        <v/>
      </c>
      <c r="Q255" s="2" t="str" cm="1">
        <f t="array" ref="Q255">IFERROR(
 INDEX(
  _xlfn._xlws.FILTER($U$2:$AX$2,
   TRANSPOSE(
    CHOOSE({1;2;3;4;5;6;7;8;9;10;11;12;13;14;15;16;17;18;19;20;21;22;23;24;25;26;27;28;29;30},
     COUNTIFS($U$3:$U$201,$M255)&gt;0,
     COUNTIFS($V$3:$V$201,$M255)&gt;0,
     COUNTIFS($W$3:$W$201,$M255)&gt;0,
     COUNTIFS($X$3:$X$201,$M255)&gt;0,
     COUNTIFS($Y$3:$Y$201,$M255)&gt;0,
     COUNTIFS($Z$3:$Z$201,$M255)&gt;0,
     COUNTIFS($AA$3:$AA$201,$M255)&gt;0,
     COUNTIFS($AB$3:$AB$201,$M255)&gt;0,
     COUNTIFS($AC$3:$AC$201,$M255)&gt;0,
     COUNTIFS($AD$3:$AD$201,$M255)&gt;0,
     COUNTIFS($AE$3:$AE$201,$M255)&gt;0,
     COUNTIFS($AF$3:$AF$201,$M255)&gt;0,
     COUNTIFS($AG$3:$AG$201,$M255)&gt;0,
     COUNTIFS($AH$3:$AH$201,$M255)&gt;0,
     COUNTIFS($AI$3:$AI$201,$M255)&gt;0,
     COUNTIFS($AJ$3:$AJ$201,$M255)&gt;0,
     COUNTIFS($AK$3:$AK$201,$M255)&gt;0,
     COUNTIFS($AL$3:$AL$201,$M255)&gt;0,
     COUNTIFS($AM$3:$AM$201,$M255)&gt;0,
     COUNTIFS($AN$3:$AN$201,$M255)&gt;0,
     COUNTIFS($AO$3:$AO$201,$M255)&gt;0,
     COUNTIFS($AP$3:$AP$201,$M255)&gt;0,
     COUNTIFS($AQ$3:$AQ$201,$M255)&gt;0,
     COUNTIFS($AR$3:$AR$201,$M255)&gt;0,
     COUNTIFS($AS$3:$AS$201,$M255)&gt;0,
     COUNTIFS($AT$3:$AT$201,$M255)&gt;0,
     COUNTIFS($AU$3:$AU$201,$M255)&gt;0,
     COUNTIFS($AV$3:$AV$201,$M255)&gt;0,
     COUNTIFS($AW$3:$AW$201,$M255)&gt;0,
     COUNTIFS($AX$3:$AX$201,$M255)&gt;0
   )),
  ),
  3
 ),
"")</f>
        <v/>
      </c>
    </row>
    <row r="256" spans="1:153" x14ac:dyDescent="0.25">
      <c r="A256" t="str">
        <f ca="1"/>
        <v>Long-Range Sensor</v>
      </c>
      <c r="B256" s="2" t="str" cm="1">
        <f t="array" aca="1" ref="B256" ca="1">_xlfn.ANCHORARRAY(RESUMO!C255)</f>
        <v>Zuko</v>
      </c>
      <c r="C256" s="2" t="str">
        <f t="shared" ca="1" si="12"/>
        <v/>
      </c>
      <c r="F256" s="2">
        <f t="shared" si="15"/>
        <v>0</v>
      </c>
      <c r="G256" s="2" t="str">
        <f t="shared" ca="1" si="13"/>
        <v/>
      </c>
      <c r="J256" t="s">
        <v>180</v>
      </c>
      <c r="K256" s="2">
        <v>1</v>
      </c>
      <c r="N256" s="2">
        <f t="shared" si="14"/>
        <v>0</v>
      </c>
      <c r="O256" s="2" t="str">
        <f>IFERROR(
 INDEX($U$2:$AX$2,
  MATCH(TRUE,
   CHOOSE({1;2;3;4;5;6;7;8;9;10;11;12;13;14;15;16;17;18;19;20;21;22;23;24;25;26;27;28;29;30;31;32},
    COUNTIFS($U$3:$U$201,$M256)&gt;0,
    COUNTIFS($V$3:$V$201,$M256)&gt;0,
    COUNTIFS($W$3:$W$201,$M256)&gt;0,
    COUNTIFS($X$3:$X$201,$M256)&gt;0,
    COUNTIFS($Y$3:$Y$201,$M256)&gt;0,
    COUNTIFS($Z$3:$Z$201,$M256)&gt;0,
    COUNTIFS($AA$3:$AA$201,$M256)&gt;0,
    COUNTIFS($AB$3:$AB$201,$M256)&gt;0,
    COUNTIFS($AC$3:$AC$201,$M256)&gt;0,
    COUNTIFS($AD$3:$AD$201,$M256)&gt;0,
    COUNTIFS($AE$3:$AE$201,$M256)&gt;0,
    COUNTIFS($AF$3:$AF$201,$M256)&gt;0,
    COUNTIFS($AG$3:$AG$201,$M256)&gt;0,
    COUNTIFS($AH$3:$AH$201,$M256)&gt;0,
    COUNTIFS($AI$3:$AI$201,$M256)&gt;0,
    COUNTIFS($AJ$3:$AJ$201,$M256)&gt;0,
    COUNTIFS($AK$3:$AK$201,$M256)&gt;0,
    COUNTIFS($AL$3:$AL$201,$M256)&gt;0,
    COUNTIFS($AM$3:$AM$201,$M256)&gt;0,
    COUNTIFS($AN$3:$AN$201,$M256)&gt;0,
    COUNTIFS($AO$3:$AO$201,$M256)&gt;0,
    COUNTIFS($AP$3:$AP$201,$M256)&gt;0,
    COUNTIFS($AQ$3:$AQ$201,$M256)&gt;0,
    COUNTIFS($AR$3:$AR$201,$M256)&gt;0,
    COUNTIFS($AS$3:$AS$201,$M256)&gt;0,
    COUNTIFS($AT$3:$AT$201,$M256)&gt;0,
    COUNTIFS($AU$3:$AU$201,$M256)&gt;0,
    COUNTIFS($AV$3:$AV$201,$M256)&gt;0,
    COUNTIFS($AW$3:$AW$201,$M256)&gt;0,
    COUNTIFS($AX$3:$AX$201,$M256)&gt;0
   ),
  0)
 ),
"")</f>
        <v/>
      </c>
      <c r="P256" s="2" t="str" cm="1">
        <f t="array" ref="P256">IFERROR(
 INDEX(
  _xlfn._xlws.FILTER($U$2:$AX$2,
   TRANSPOSE(
    CHOOSE({1;2;3;4;5;6;7;8;9;10;11;12;13;14;15;16;17;18;19;20;21;22;23;24;25;26;27;28;29;30},
     COUNTIFS($U$3:$U$201,$M256)&gt;0,
     COUNTIFS($V$3:$V$201,$M256)&gt;0,
     COUNTIFS($W$3:$W$201,$M256)&gt;0,
     COUNTIFS($X$3:$X$201,$M256)&gt;0,
     COUNTIFS($Y$3:$Y$201,$M256)&gt;0,
     COUNTIFS($Z$3:$Z$201,$M256)&gt;0,
     COUNTIFS($AA$3:$AA$201,$M256)&gt;0,
     COUNTIFS($AB$3:$AB$201,$M256)&gt;0,
     COUNTIFS($AC$3:$AC$201,$M256)&gt;0,
     COUNTIFS($AD$3:$AD$201,$M256)&gt;0,
     COUNTIFS($AE$3:$AE$201,$M256)&gt;0,
     COUNTIFS($AF$3:$AF$201,$M256)&gt;0,
     COUNTIFS($AG$3:$AG$201,$M256)&gt;0,
     COUNTIFS($AH$3:$AH$201,$M256)&gt;0,
     COUNTIFS($AI$3:$AI$201,$M256)&gt;0,
     COUNTIFS($AJ$3:$AJ$201,$M256)&gt;0,
     COUNTIFS($AK$3:$AK$201,$M256)&gt;0,
     COUNTIFS($AL$3:$AL$201,$M256)&gt;0,
     COUNTIFS($AM$3:$AM$201,$M256)&gt;0,
     COUNTIFS($AN$3:$AN$201,$M256)&gt;0,
     COUNTIFS($AO$3:$AO$201,$M256)&gt;0,
     COUNTIFS($AP$3:$AP$201,$M256)&gt;0,
     COUNTIFS($AQ$3:$AQ$201,$M256)&gt;0,
     COUNTIFS($AR$3:$AR$201,$M256)&gt;0,
     COUNTIFS($AS$3:$AS$201,$M256)&gt;0,
     COUNTIFS($AT$3:$AT$201,$M256)&gt;0,
     COUNTIFS($AU$3:$AU$201,$M256)&gt;0,
     COUNTIFS($AV$3:$AV$201,$M256)&gt;0,
     COUNTIFS($AW$3:$AW$201,$M256)&gt;0,
     COUNTIFS($AX$3:$AX$201,$M256)&gt;0
   )),
  ),
  2
 ),
"")</f>
        <v/>
      </c>
      <c r="Q256" s="2" t="str" cm="1">
        <f t="array" ref="Q256">IFERROR(
 INDEX(
  _xlfn._xlws.FILTER($U$2:$AX$2,
   TRANSPOSE(
    CHOOSE({1;2;3;4;5;6;7;8;9;10;11;12;13;14;15;16;17;18;19;20;21;22;23;24;25;26;27;28;29;30},
     COUNTIFS($U$3:$U$201,$M256)&gt;0,
     COUNTIFS($V$3:$V$201,$M256)&gt;0,
     COUNTIFS($W$3:$W$201,$M256)&gt;0,
     COUNTIFS($X$3:$X$201,$M256)&gt;0,
     COUNTIFS($Y$3:$Y$201,$M256)&gt;0,
     COUNTIFS($Z$3:$Z$201,$M256)&gt;0,
     COUNTIFS($AA$3:$AA$201,$M256)&gt;0,
     COUNTIFS($AB$3:$AB$201,$M256)&gt;0,
     COUNTIFS($AC$3:$AC$201,$M256)&gt;0,
     COUNTIFS($AD$3:$AD$201,$M256)&gt;0,
     COUNTIFS($AE$3:$AE$201,$M256)&gt;0,
     COUNTIFS($AF$3:$AF$201,$M256)&gt;0,
     COUNTIFS($AG$3:$AG$201,$M256)&gt;0,
     COUNTIFS($AH$3:$AH$201,$M256)&gt;0,
     COUNTIFS($AI$3:$AI$201,$M256)&gt;0,
     COUNTIFS($AJ$3:$AJ$201,$M256)&gt;0,
     COUNTIFS($AK$3:$AK$201,$M256)&gt;0,
     COUNTIFS($AL$3:$AL$201,$M256)&gt;0,
     COUNTIFS($AM$3:$AM$201,$M256)&gt;0,
     COUNTIFS($AN$3:$AN$201,$M256)&gt;0,
     COUNTIFS($AO$3:$AO$201,$M256)&gt;0,
     COUNTIFS($AP$3:$AP$201,$M256)&gt;0,
     COUNTIFS($AQ$3:$AQ$201,$M256)&gt;0,
     COUNTIFS($AR$3:$AR$201,$M256)&gt;0,
     COUNTIFS($AS$3:$AS$201,$M256)&gt;0,
     COUNTIFS($AT$3:$AT$201,$M256)&gt;0,
     COUNTIFS($AU$3:$AU$201,$M256)&gt;0,
     COUNTIFS($AV$3:$AV$201,$M256)&gt;0,
     COUNTIFS($AW$3:$AW$201,$M256)&gt;0,
     COUNTIFS($AX$3:$AX$201,$M256)&gt;0
   )),
  ),
  3
 ),
"")</f>
        <v/>
      </c>
    </row>
    <row r="257" spans="1:17" x14ac:dyDescent="0.25">
      <c r="A257" t="str">
        <f ca="1"/>
        <v>Lord of Atlantis</v>
      </c>
      <c r="B257" s="2" t="str" cm="1">
        <f t="array" aca="1" ref="B257" ca="1">_xlfn.ANCHORARRAY(RESUMO!C256)</f>
        <v>Kumena</v>
      </c>
      <c r="C257" s="2" t="str">
        <f t="shared" ca="1" si="12"/>
        <v/>
      </c>
      <c r="F257" s="2">
        <f t="shared" si="15"/>
        <v>0</v>
      </c>
      <c r="G257" s="2" t="str">
        <f t="shared" ca="1" si="13"/>
        <v/>
      </c>
      <c r="J257" t="s">
        <v>180</v>
      </c>
      <c r="K257" s="2">
        <v>1</v>
      </c>
      <c r="N257" s="2">
        <f t="shared" si="14"/>
        <v>0</v>
      </c>
      <c r="O257" s="2" t="str">
        <f>IFERROR(
 INDEX($U$2:$AX$2,
  MATCH(TRUE,
   CHOOSE({1;2;3;4;5;6;7;8;9;10;11;12;13;14;15;16;17;18;19;20;21;22;23;24;25;26;27;28;29;30;31;32},
    COUNTIFS($U$3:$U$201,$M257)&gt;0,
    COUNTIFS($V$3:$V$201,$M257)&gt;0,
    COUNTIFS($W$3:$W$201,$M257)&gt;0,
    COUNTIFS($X$3:$X$201,$M257)&gt;0,
    COUNTIFS($Y$3:$Y$201,$M257)&gt;0,
    COUNTIFS($Z$3:$Z$201,$M257)&gt;0,
    COUNTIFS($AA$3:$AA$201,$M257)&gt;0,
    COUNTIFS($AB$3:$AB$201,$M257)&gt;0,
    COUNTIFS($AC$3:$AC$201,$M257)&gt;0,
    COUNTIFS($AD$3:$AD$201,$M257)&gt;0,
    COUNTIFS($AE$3:$AE$201,$M257)&gt;0,
    COUNTIFS($AF$3:$AF$201,$M257)&gt;0,
    COUNTIFS($AG$3:$AG$201,$M257)&gt;0,
    COUNTIFS($AH$3:$AH$201,$M257)&gt;0,
    COUNTIFS($AI$3:$AI$201,$M257)&gt;0,
    COUNTIFS($AJ$3:$AJ$201,$M257)&gt;0,
    COUNTIFS($AK$3:$AK$201,$M257)&gt;0,
    COUNTIFS($AL$3:$AL$201,$M257)&gt;0,
    COUNTIFS($AM$3:$AM$201,$M257)&gt;0,
    COUNTIFS($AN$3:$AN$201,$M257)&gt;0,
    COUNTIFS($AO$3:$AO$201,$M257)&gt;0,
    COUNTIFS($AP$3:$AP$201,$M257)&gt;0,
    COUNTIFS($AQ$3:$AQ$201,$M257)&gt;0,
    COUNTIFS($AR$3:$AR$201,$M257)&gt;0,
    COUNTIFS($AS$3:$AS$201,$M257)&gt;0,
    COUNTIFS($AT$3:$AT$201,$M257)&gt;0,
    COUNTIFS($AU$3:$AU$201,$M257)&gt;0,
    COUNTIFS($AV$3:$AV$201,$M257)&gt;0,
    COUNTIFS($AW$3:$AW$201,$M257)&gt;0,
    COUNTIFS($AX$3:$AX$201,$M257)&gt;0
   ),
  0)
 ),
"")</f>
        <v/>
      </c>
      <c r="P257" s="2" t="str" cm="1">
        <f t="array" ref="P257">IFERROR(
 INDEX(
  _xlfn._xlws.FILTER($U$2:$AX$2,
   TRANSPOSE(
    CHOOSE({1;2;3;4;5;6;7;8;9;10;11;12;13;14;15;16;17;18;19;20;21;22;23;24;25;26;27;28;29;30},
     COUNTIFS($U$3:$U$201,$M257)&gt;0,
     COUNTIFS($V$3:$V$201,$M257)&gt;0,
     COUNTIFS($W$3:$W$201,$M257)&gt;0,
     COUNTIFS($X$3:$X$201,$M257)&gt;0,
     COUNTIFS($Y$3:$Y$201,$M257)&gt;0,
     COUNTIFS($Z$3:$Z$201,$M257)&gt;0,
     COUNTIFS($AA$3:$AA$201,$M257)&gt;0,
     COUNTIFS($AB$3:$AB$201,$M257)&gt;0,
     COUNTIFS($AC$3:$AC$201,$M257)&gt;0,
     COUNTIFS($AD$3:$AD$201,$M257)&gt;0,
     COUNTIFS($AE$3:$AE$201,$M257)&gt;0,
     COUNTIFS($AF$3:$AF$201,$M257)&gt;0,
     COUNTIFS($AG$3:$AG$201,$M257)&gt;0,
     COUNTIFS($AH$3:$AH$201,$M257)&gt;0,
     COUNTIFS($AI$3:$AI$201,$M257)&gt;0,
     COUNTIFS($AJ$3:$AJ$201,$M257)&gt;0,
     COUNTIFS($AK$3:$AK$201,$M257)&gt;0,
     COUNTIFS($AL$3:$AL$201,$M257)&gt;0,
     COUNTIFS($AM$3:$AM$201,$M257)&gt;0,
     COUNTIFS($AN$3:$AN$201,$M257)&gt;0,
     COUNTIFS($AO$3:$AO$201,$M257)&gt;0,
     COUNTIFS($AP$3:$AP$201,$M257)&gt;0,
     COUNTIFS($AQ$3:$AQ$201,$M257)&gt;0,
     COUNTIFS($AR$3:$AR$201,$M257)&gt;0,
     COUNTIFS($AS$3:$AS$201,$M257)&gt;0,
     COUNTIFS($AT$3:$AT$201,$M257)&gt;0,
     COUNTIFS($AU$3:$AU$201,$M257)&gt;0,
     COUNTIFS($AV$3:$AV$201,$M257)&gt;0,
     COUNTIFS($AW$3:$AW$201,$M257)&gt;0,
     COUNTIFS($AX$3:$AX$201,$M257)&gt;0
   )),
  ),
  2
 ),
"")</f>
        <v/>
      </c>
      <c r="Q257" s="2" t="str" cm="1">
        <f t="array" ref="Q257">IFERROR(
 INDEX(
  _xlfn._xlws.FILTER($U$2:$AX$2,
   TRANSPOSE(
    CHOOSE({1;2;3;4;5;6;7;8;9;10;11;12;13;14;15;16;17;18;19;20;21;22;23;24;25;26;27;28;29;30},
     COUNTIFS($U$3:$U$201,$M257)&gt;0,
     COUNTIFS($V$3:$V$201,$M257)&gt;0,
     COUNTIFS($W$3:$W$201,$M257)&gt;0,
     COUNTIFS($X$3:$X$201,$M257)&gt;0,
     COUNTIFS($Y$3:$Y$201,$M257)&gt;0,
     COUNTIFS($Z$3:$Z$201,$M257)&gt;0,
     COUNTIFS($AA$3:$AA$201,$M257)&gt;0,
     COUNTIFS($AB$3:$AB$201,$M257)&gt;0,
     COUNTIFS($AC$3:$AC$201,$M257)&gt;0,
     COUNTIFS($AD$3:$AD$201,$M257)&gt;0,
     COUNTIFS($AE$3:$AE$201,$M257)&gt;0,
     COUNTIFS($AF$3:$AF$201,$M257)&gt;0,
     COUNTIFS($AG$3:$AG$201,$M257)&gt;0,
     COUNTIFS($AH$3:$AH$201,$M257)&gt;0,
     COUNTIFS($AI$3:$AI$201,$M257)&gt;0,
     COUNTIFS($AJ$3:$AJ$201,$M257)&gt;0,
     COUNTIFS($AK$3:$AK$201,$M257)&gt;0,
     COUNTIFS($AL$3:$AL$201,$M257)&gt;0,
     COUNTIFS($AM$3:$AM$201,$M257)&gt;0,
     COUNTIFS($AN$3:$AN$201,$M257)&gt;0,
     COUNTIFS($AO$3:$AO$201,$M257)&gt;0,
     COUNTIFS($AP$3:$AP$201,$M257)&gt;0,
     COUNTIFS($AQ$3:$AQ$201,$M257)&gt;0,
     COUNTIFS($AR$3:$AR$201,$M257)&gt;0,
     COUNTIFS($AS$3:$AS$201,$M257)&gt;0,
     COUNTIFS($AT$3:$AT$201,$M257)&gt;0,
     COUNTIFS($AU$3:$AU$201,$M257)&gt;0,
     COUNTIFS($AV$3:$AV$201,$M257)&gt;0,
     COUNTIFS($AW$3:$AW$201,$M257)&gt;0,
     COUNTIFS($AX$3:$AX$201,$M257)&gt;0
   )),
  ),
  3
 ),
"")</f>
        <v/>
      </c>
    </row>
    <row r="258" spans="1:17" x14ac:dyDescent="0.25">
      <c r="A258" t="str">
        <f ca="1"/>
        <v>Lost Jitte</v>
      </c>
      <c r="B258" s="2" t="str" cm="1">
        <f t="array" aca="1" ref="B258" ca="1">_xlfn.ANCHORARRAY(RESUMO!C257)</f>
        <v>Akiri</v>
      </c>
      <c r="C258" s="2" t="str">
        <f t="shared" ca="1" si="12"/>
        <v/>
      </c>
      <c r="F258" s="2">
        <f t="shared" si="15"/>
        <v>0</v>
      </c>
      <c r="G258" s="2" t="str">
        <f t="shared" ca="1" si="13"/>
        <v/>
      </c>
      <c r="J258" t="s">
        <v>180</v>
      </c>
      <c r="K258" s="2">
        <v>1</v>
      </c>
      <c r="N258" s="2">
        <f t="shared" si="14"/>
        <v>0</v>
      </c>
      <c r="O258" s="2" t="str">
        <f>IFERROR(
 INDEX($U$2:$AX$2,
  MATCH(TRUE,
   CHOOSE({1;2;3;4;5;6;7;8;9;10;11;12;13;14;15;16;17;18;19;20;21;22;23;24;25;26;27;28;29;30;31;32},
    COUNTIFS($U$3:$U$201,$M258)&gt;0,
    COUNTIFS($V$3:$V$201,$M258)&gt;0,
    COUNTIFS($W$3:$W$201,$M258)&gt;0,
    COUNTIFS($X$3:$X$201,$M258)&gt;0,
    COUNTIFS($Y$3:$Y$201,$M258)&gt;0,
    COUNTIFS($Z$3:$Z$201,$M258)&gt;0,
    COUNTIFS($AA$3:$AA$201,$M258)&gt;0,
    COUNTIFS($AB$3:$AB$201,$M258)&gt;0,
    COUNTIFS($AC$3:$AC$201,$M258)&gt;0,
    COUNTIFS($AD$3:$AD$201,$M258)&gt;0,
    COUNTIFS($AE$3:$AE$201,$M258)&gt;0,
    COUNTIFS($AF$3:$AF$201,$M258)&gt;0,
    COUNTIFS($AG$3:$AG$201,$M258)&gt;0,
    COUNTIFS($AH$3:$AH$201,$M258)&gt;0,
    COUNTIFS($AI$3:$AI$201,$M258)&gt;0,
    COUNTIFS($AJ$3:$AJ$201,$M258)&gt;0,
    COUNTIFS($AK$3:$AK$201,$M258)&gt;0,
    COUNTIFS($AL$3:$AL$201,$M258)&gt;0,
    COUNTIFS($AM$3:$AM$201,$M258)&gt;0,
    COUNTIFS($AN$3:$AN$201,$M258)&gt;0,
    COUNTIFS($AO$3:$AO$201,$M258)&gt;0,
    COUNTIFS($AP$3:$AP$201,$M258)&gt;0,
    COUNTIFS($AQ$3:$AQ$201,$M258)&gt;0,
    COUNTIFS($AR$3:$AR$201,$M258)&gt;0,
    COUNTIFS($AS$3:$AS$201,$M258)&gt;0,
    COUNTIFS($AT$3:$AT$201,$M258)&gt;0,
    COUNTIFS($AU$3:$AU$201,$M258)&gt;0,
    COUNTIFS($AV$3:$AV$201,$M258)&gt;0,
    COUNTIFS($AW$3:$AW$201,$M258)&gt;0,
    COUNTIFS($AX$3:$AX$201,$M258)&gt;0
   ),
  0)
 ),
"")</f>
        <v/>
      </c>
      <c r="P258" s="2" t="str" cm="1">
        <f t="array" ref="P258">IFERROR(
 INDEX(
  _xlfn._xlws.FILTER($U$2:$AX$2,
   TRANSPOSE(
    CHOOSE({1;2;3;4;5;6;7;8;9;10;11;12;13;14;15;16;17;18;19;20;21;22;23;24;25;26;27;28;29;30},
     COUNTIFS($U$3:$U$201,$M258)&gt;0,
     COUNTIFS($V$3:$V$201,$M258)&gt;0,
     COUNTIFS($W$3:$W$201,$M258)&gt;0,
     COUNTIFS($X$3:$X$201,$M258)&gt;0,
     COUNTIFS($Y$3:$Y$201,$M258)&gt;0,
     COUNTIFS($Z$3:$Z$201,$M258)&gt;0,
     COUNTIFS($AA$3:$AA$201,$M258)&gt;0,
     COUNTIFS($AB$3:$AB$201,$M258)&gt;0,
     COUNTIFS($AC$3:$AC$201,$M258)&gt;0,
     COUNTIFS($AD$3:$AD$201,$M258)&gt;0,
     COUNTIFS($AE$3:$AE$201,$M258)&gt;0,
     COUNTIFS($AF$3:$AF$201,$M258)&gt;0,
     COUNTIFS($AG$3:$AG$201,$M258)&gt;0,
     COUNTIFS($AH$3:$AH$201,$M258)&gt;0,
     COUNTIFS($AI$3:$AI$201,$M258)&gt;0,
     COUNTIFS($AJ$3:$AJ$201,$M258)&gt;0,
     COUNTIFS($AK$3:$AK$201,$M258)&gt;0,
     COUNTIFS($AL$3:$AL$201,$M258)&gt;0,
     COUNTIFS($AM$3:$AM$201,$M258)&gt;0,
     COUNTIFS($AN$3:$AN$201,$M258)&gt;0,
     COUNTIFS($AO$3:$AO$201,$M258)&gt;0,
     COUNTIFS($AP$3:$AP$201,$M258)&gt;0,
     COUNTIFS($AQ$3:$AQ$201,$M258)&gt;0,
     COUNTIFS($AR$3:$AR$201,$M258)&gt;0,
     COUNTIFS($AS$3:$AS$201,$M258)&gt;0,
     COUNTIFS($AT$3:$AT$201,$M258)&gt;0,
     COUNTIFS($AU$3:$AU$201,$M258)&gt;0,
     COUNTIFS($AV$3:$AV$201,$M258)&gt;0,
     COUNTIFS($AW$3:$AW$201,$M258)&gt;0,
     COUNTIFS($AX$3:$AX$201,$M258)&gt;0
   )),
  ),
  2
 ),
"")</f>
        <v/>
      </c>
      <c r="Q258" s="2" t="str" cm="1">
        <f t="array" ref="Q258">IFERROR(
 INDEX(
  _xlfn._xlws.FILTER($U$2:$AX$2,
   TRANSPOSE(
    CHOOSE({1;2;3;4;5;6;7;8;9;10;11;12;13;14;15;16;17;18;19;20;21;22;23;24;25;26;27;28;29;30},
     COUNTIFS($U$3:$U$201,$M258)&gt;0,
     COUNTIFS($V$3:$V$201,$M258)&gt;0,
     COUNTIFS($W$3:$W$201,$M258)&gt;0,
     COUNTIFS($X$3:$X$201,$M258)&gt;0,
     COUNTIFS($Y$3:$Y$201,$M258)&gt;0,
     COUNTIFS($Z$3:$Z$201,$M258)&gt;0,
     COUNTIFS($AA$3:$AA$201,$M258)&gt;0,
     COUNTIFS($AB$3:$AB$201,$M258)&gt;0,
     COUNTIFS($AC$3:$AC$201,$M258)&gt;0,
     COUNTIFS($AD$3:$AD$201,$M258)&gt;0,
     COUNTIFS($AE$3:$AE$201,$M258)&gt;0,
     COUNTIFS($AF$3:$AF$201,$M258)&gt;0,
     COUNTIFS($AG$3:$AG$201,$M258)&gt;0,
     COUNTIFS($AH$3:$AH$201,$M258)&gt;0,
     COUNTIFS($AI$3:$AI$201,$M258)&gt;0,
     COUNTIFS($AJ$3:$AJ$201,$M258)&gt;0,
     COUNTIFS($AK$3:$AK$201,$M258)&gt;0,
     COUNTIFS($AL$3:$AL$201,$M258)&gt;0,
     COUNTIFS($AM$3:$AM$201,$M258)&gt;0,
     COUNTIFS($AN$3:$AN$201,$M258)&gt;0,
     COUNTIFS($AO$3:$AO$201,$M258)&gt;0,
     COUNTIFS($AP$3:$AP$201,$M258)&gt;0,
     COUNTIFS($AQ$3:$AQ$201,$M258)&gt;0,
     COUNTIFS($AR$3:$AR$201,$M258)&gt;0,
     COUNTIFS($AS$3:$AS$201,$M258)&gt;0,
     COUNTIFS($AT$3:$AT$201,$M258)&gt;0,
     COUNTIFS($AU$3:$AU$201,$M258)&gt;0,
     COUNTIFS($AV$3:$AV$201,$M258)&gt;0,
     COUNTIFS($AW$3:$AW$201,$M258)&gt;0,
     COUNTIFS($AX$3:$AX$201,$M258)&gt;0
   )),
  ),
  3
 ),
"")</f>
        <v/>
      </c>
    </row>
    <row r="259" spans="1:17" x14ac:dyDescent="0.25">
      <c r="A259" t="str">
        <f ca="1"/>
        <v>Loyal Apprentice</v>
      </c>
      <c r="B259" s="2" t="str" cm="1">
        <f t="array" aca="1" ref="B259" ca="1">_xlfn.ANCHORARRAY(RESUMO!C258)</f>
        <v>Little</v>
      </c>
      <c r="C259" s="2" t="str">
        <f t="shared" ref="C259:C322" ca="1" si="16">IFERROR(_xlfn.XLOOKUP($A259,$E:$E,$G:$G),"")</f>
        <v/>
      </c>
      <c r="F259" s="2">
        <f t="shared" si="15"/>
        <v>0</v>
      </c>
      <c r="G259" s="2" t="str">
        <f t="shared" ref="G259:G322" ca="1" si="17">_xlfn.XLOOKUP($E259,$M:$M,$O:$O,"Guardado")</f>
        <v/>
      </c>
      <c r="J259" t="s">
        <v>180</v>
      </c>
      <c r="K259" s="2">
        <v>1</v>
      </c>
      <c r="N259" s="2">
        <f t="shared" ref="N259:N322" si="18">COUNTIF(U:AX,M259)</f>
        <v>0</v>
      </c>
      <c r="O259" s="2" t="str">
        <f>IFERROR(
 INDEX($U$2:$AX$2,
  MATCH(TRUE,
   CHOOSE({1;2;3;4;5;6;7;8;9;10;11;12;13;14;15;16;17;18;19;20;21;22;23;24;25;26;27;28;29;30;31;32},
    COUNTIFS($U$3:$U$201,$M259)&gt;0,
    COUNTIFS($V$3:$V$201,$M259)&gt;0,
    COUNTIFS($W$3:$W$201,$M259)&gt;0,
    COUNTIFS($X$3:$X$201,$M259)&gt;0,
    COUNTIFS($Y$3:$Y$201,$M259)&gt;0,
    COUNTIFS($Z$3:$Z$201,$M259)&gt;0,
    COUNTIFS($AA$3:$AA$201,$M259)&gt;0,
    COUNTIFS($AB$3:$AB$201,$M259)&gt;0,
    COUNTIFS($AC$3:$AC$201,$M259)&gt;0,
    COUNTIFS($AD$3:$AD$201,$M259)&gt;0,
    COUNTIFS($AE$3:$AE$201,$M259)&gt;0,
    COUNTIFS($AF$3:$AF$201,$M259)&gt;0,
    COUNTIFS($AG$3:$AG$201,$M259)&gt;0,
    COUNTIFS($AH$3:$AH$201,$M259)&gt;0,
    COUNTIFS($AI$3:$AI$201,$M259)&gt;0,
    COUNTIFS($AJ$3:$AJ$201,$M259)&gt;0,
    COUNTIFS($AK$3:$AK$201,$M259)&gt;0,
    COUNTIFS($AL$3:$AL$201,$M259)&gt;0,
    COUNTIFS($AM$3:$AM$201,$M259)&gt;0,
    COUNTIFS($AN$3:$AN$201,$M259)&gt;0,
    COUNTIFS($AO$3:$AO$201,$M259)&gt;0,
    COUNTIFS($AP$3:$AP$201,$M259)&gt;0,
    COUNTIFS($AQ$3:$AQ$201,$M259)&gt;0,
    COUNTIFS($AR$3:$AR$201,$M259)&gt;0,
    COUNTIFS($AS$3:$AS$201,$M259)&gt;0,
    COUNTIFS($AT$3:$AT$201,$M259)&gt;0,
    COUNTIFS($AU$3:$AU$201,$M259)&gt;0,
    COUNTIFS($AV$3:$AV$201,$M259)&gt;0,
    COUNTIFS($AW$3:$AW$201,$M259)&gt;0,
    COUNTIFS($AX$3:$AX$201,$M259)&gt;0
   ),
  0)
 ),
"")</f>
        <v/>
      </c>
      <c r="P259" s="2" t="str" cm="1">
        <f t="array" ref="P259">IFERROR(
 INDEX(
  _xlfn._xlws.FILTER($U$2:$AX$2,
   TRANSPOSE(
    CHOOSE({1;2;3;4;5;6;7;8;9;10;11;12;13;14;15;16;17;18;19;20;21;22;23;24;25;26;27;28;29;30},
     COUNTIFS($U$3:$U$201,$M259)&gt;0,
     COUNTIFS($V$3:$V$201,$M259)&gt;0,
     COUNTIFS($W$3:$W$201,$M259)&gt;0,
     COUNTIFS($X$3:$X$201,$M259)&gt;0,
     COUNTIFS($Y$3:$Y$201,$M259)&gt;0,
     COUNTIFS($Z$3:$Z$201,$M259)&gt;0,
     COUNTIFS($AA$3:$AA$201,$M259)&gt;0,
     COUNTIFS($AB$3:$AB$201,$M259)&gt;0,
     COUNTIFS($AC$3:$AC$201,$M259)&gt;0,
     COUNTIFS($AD$3:$AD$201,$M259)&gt;0,
     COUNTIFS($AE$3:$AE$201,$M259)&gt;0,
     COUNTIFS($AF$3:$AF$201,$M259)&gt;0,
     COUNTIFS($AG$3:$AG$201,$M259)&gt;0,
     COUNTIFS($AH$3:$AH$201,$M259)&gt;0,
     COUNTIFS($AI$3:$AI$201,$M259)&gt;0,
     COUNTIFS($AJ$3:$AJ$201,$M259)&gt;0,
     COUNTIFS($AK$3:$AK$201,$M259)&gt;0,
     COUNTIFS($AL$3:$AL$201,$M259)&gt;0,
     COUNTIFS($AM$3:$AM$201,$M259)&gt;0,
     COUNTIFS($AN$3:$AN$201,$M259)&gt;0,
     COUNTIFS($AO$3:$AO$201,$M259)&gt;0,
     COUNTIFS($AP$3:$AP$201,$M259)&gt;0,
     COUNTIFS($AQ$3:$AQ$201,$M259)&gt;0,
     COUNTIFS($AR$3:$AR$201,$M259)&gt;0,
     COUNTIFS($AS$3:$AS$201,$M259)&gt;0,
     COUNTIFS($AT$3:$AT$201,$M259)&gt;0,
     COUNTIFS($AU$3:$AU$201,$M259)&gt;0,
     COUNTIFS($AV$3:$AV$201,$M259)&gt;0,
     COUNTIFS($AW$3:$AW$201,$M259)&gt;0,
     COUNTIFS($AX$3:$AX$201,$M259)&gt;0
   )),
  ),
  2
 ),
"")</f>
        <v/>
      </c>
      <c r="Q259" s="2" t="str" cm="1">
        <f t="array" ref="Q259">IFERROR(
 INDEX(
  _xlfn._xlws.FILTER($U$2:$AX$2,
   TRANSPOSE(
    CHOOSE({1;2;3;4;5;6;7;8;9;10;11;12;13;14;15;16;17;18;19;20;21;22;23;24;25;26;27;28;29;30},
     COUNTIFS($U$3:$U$201,$M259)&gt;0,
     COUNTIFS($V$3:$V$201,$M259)&gt;0,
     COUNTIFS($W$3:$W$201,$M259)&gt;0,
     COUNTIFS($X$3:$X$201,$M259)&gt;0,
     COUNTIFS($Y$3:$Y$201,$M259)&gt;0,
     COUNTIFS($Z$3:$Z$201,$M259)&gt;0,
     COUNTIFS($AA$3:$AA$201,$M259)&gt;0,
     COUNTIFS($AB$3:$AB$201,$M259)&gt;0,
     COUNTIFS($AC$3:$AC$201,$M259)&gt;0,
     COUNTIFS($AD$3:$AD$201,$M259)&gt;0,
     COUNTIFS($AE$3:$AE$201,$M259)&gt;0,
     COUNTIFS($AF$3:$AF$201,$M259)&gt;0,
     COUNTIFS($AG$3:$AG$201,$M259)&gt;0,
     COUNTIFS($AH$3:$AH$201,$M259)&gt;0,
     COUNTIFS($AI$3:$AI$201,$M259)&gt;0,
     COUNTIFS($AJ$3:$AJ$201,$M259)&gt;0,
     COUNTIFS($AK$3:$AK$201,$M259)&gt;0,
     COUNTIFS($AL$3:$AL$201,$M259)&gt;0,
     COUNTIFS($AM$3:$AM$201,$M259)&gt;0,
     COUNTIFS($AN$3:$AN$201,$M259)&gt;0,
     COUNTIFS($AO$3:$AO$201,$M259)&gt;0,
     COUNTIFS($AP$3:$AP$201,$M259)&gt;0,
     COUNTIFS($AQ$3:$AQ$201,$M259)&gt;0,
     COUNTIFS($AR$3:$AR$201,$M259)&gt;0,
     COUNTIFS($AS$3:$AS$201,$M259)&gt;0,
     COUNTIFS($AT$3:$AT$201,$M259)&gt;0,
     COUNTIFS($AU$3:$AU$201,$M259)&gt;0,
     COUNTIFS($AV$3:$AV$201,$M259)&gt;0,
     COUNTIFS($AW$3:$AW$201,$M259)&gt;0,
     COUNTIFS($AX$3:$AX$201,$M259)&gt;0
   )),
  ),
  3
 ),
"")</f>
        <v/>
      </c>
    </row>
    <row r="260" spans="1:17" x14ac:dyDescent="0.25">
      <c r="A260" t="str">
        <f ca="1"/>
        <v>Lurrus of the Dream-Den</v>
      </c>
      <c r="B260" s="2" t="str" cm="1">
        <f t="array" aca="1" ref="B260" ca="1">_xlfn.ANCHORARRAY(RESUMO!C259)</f>
        <v>Little</v>
      </c>
      <c r="C260" s="2" t="str">
        <f t="shared" ca="1" si="16"/>
        <v/>
      </c>
      <c r="F260" s="2">
        <f t="shared" ref="F260:F284" si="19">COUNTIF(U:CF,E260)+COUNTIF(K:K,E260)</f>
        <v>0</v>
      </c>
      <c r="G260" s="2" t="str">
        <f t="shared" ca="1" si="17"/>
        <v/>
      </c>
      <c r="J260" t="s">
        <v>180</v>
      </c>
      <c r="K260" s="2">
        <v>1</v>
      </c>
      <c r="N260" s="2">
        <f t="shared" si="18"/>
        <v>0</v>
      </c>
      <c r="O260" s="2" t="str">
        <f>IFERROR(
 INDEX($U$2:$AX$2,
  MATCH(TRUE,
   CHOOSE({1;2;3;4;5;6;7;8;9;10;11;12;13;14;15;16;17;18;19;20;21;22;23;24;25;26;27;28;29;30;31;32},
    COUNTIFS($U$3:$U$201,$M260)&gt;0,
    COUNTIFS($V$3:$V$201,$M260)&gt;0,
    COUNTIFS($W$3:$W$201,$M260)&gt;0,
    COUNTIFS($X$3:$X$201,$M260)&gt;0,
    COUNTIFS($Y$3:$Y$201,$M260)&gt;0,
    COUNTIFS($Z$3:$Z$201,$M260)&gt;0,
    COUNTIFS($AA$3:$AA$201,$M260)&gt;0,
    COUNTIFS($AB$3:$AB$201,$M260)&gt;0,
    COUNTIFS($AC$3:$AC$201,$M260)&gt;0,
    COUNTIFS($AD$3:$AD$201,$M260)&gt;0,
    COUNTIFS($AE$3:$AE$201,$M260)&gt;0,
    COUNTIFS($AF$3:$AF$201,$M260)&gt;0,
    COUNTIFS($AG$3:$AG$201,$M260)&gt;0,
    COUNTIFS($AH$3:$AH$201,$M260)&gt;0,
    COUNTIFS($AI$3:$AI$201,$M260)&gt;0,
    COUNTIFS($AJ$3:$AJ$201,$M260)&gt;0,
    COUNTIFS($AK$3:$AK$201,$M260)&gt;0,
    COUNTIFS($AL$3:$AL$201,$M260)&gt;0,
    COUNTIFS($AM$3:$AM$201,$M260)&gt;0,
    COUNTIFS($AN$3:$AN$201,$M260)&gt;0,
    COUNTIFS($AO$3:$AO$201,$M260)&gt;0,
    COUNTIFS($AP$3:$AP$201,$M260)&gt;0,
    COUNTIFS($AQ$3:$AQ$201,$M260)&gt;0,
    COUNTIFS($AR$3:$AR$201,$M260)&gt;0,
    COUNTIFS($AS$3:$AS$201,$M260)&gt;0,
    COUNTIFS($AT$3:$AT$201,$M260)&gt;0,
    COUNTIFS($AU$3:$AU$201,$M260)&gt;0,
    COUNTIFS($AV$3:$AV$201,$M260)&gt;0,
    COUNTIFS($AW$3:$AW$201,$M260)&gt;0,
    COUNTIFS($AX$3:$AX$201,$M260)&gt;0
   ),
  0)
 ),
"")</f>
        <v/>
      </c>
      <c r="P260" s="2" t="str" cm="1">
        <f t="array" ref="P260">IFERROR(
 INDEX(
  _xlfn._xlws.FILTER($U$2:$AX$2,
   TRANSPOSE(
    CHOOSE({1;2;3;4;5;6;7;8;9;10;11;12;13;14;15;16;17;18;19;20;21;22;23;24;25;26;27;28;29;30},
     COUNTIFS($U$3:$U$201,$M260)&gt;0,
     COUNTIFS($V$3:$V$201,$M260)&gt;0,
     COUNTIFS($W$3:$W$201,$M260)&gt;0,
     COUNTIFS($X$3:$X$201,$M260)&gt;0,
     COUNTIFS($Y$3:$Y$201,$M260)&gt;0,
     COUNTIFS($Z$3:$Z$201,$M260)&gt;0,
     COUNTIFS($AA$3:$AA$201,$M260)&gt;0,
     COUNTIFS($AB$3:$AB$201,$M260)&gt;0,
     COUNTIFS($AC$3:$AC$201,$M260)&gt;0,
     COUNTIFS($AD$3:$AD$201,$M260)&gt;0,
     COUNTIFS($AE$3:$AE$201,$M260)&gt;0,
     COUNTIFS($AF$3:$AF$201,$M260)&gt;0,
     COUNTIFS($AG$3:$AG$201,$M260)&gt;0,
     COUNTIFS($AH$3:$AH$201,$M260)&gt;0,
     COUNTIFS($AI$3:$AI$201,$M260)&gt;0,
     COUNTIFS($AJ$3:$AJ$201,$M260)&gt;0,
     COUNTIFS($AK$3:$AK$201,$M260)&gt;0,
     COUNTIFS($AL$3:$AL$201,$M260)&gt;0,
     COUNTIFS($AM$3:$AM$201,$M260)&gt;0,
     COUNTIFS($AN$3:$AN$201,$M260)&gt;0,
     COUNTIFS($AO$3:$AO$201,$M260)&gt;0,
     COUNTIFS($AP$3:$AP$201,$M260)&gt;0,
     COUNTIFS($AQ$3:$AQ$201,$M260)&gt;0,
     COUNTIFS($AR$3:$AR$201,$M260)&gt;0,
     COUNTIFS($AS$3:$AS$201,$M260)&gt;0,
     COUNTIFS($AT$3:$AT$201,$M260)&gt;0,
     COUNTIFS($AU$3:$AU$201,$M260)&gt;0,
     COUNTIFS($AV$3:$AV$201,$M260)&gt;0,
     COUNTIFS($AW$3:$AW$201,$M260)&gt;0,
     COUNTIFS($AX$3:$AX$201,$M260)&gt;0
   )),
  ),
  2
 ),
"")</f>
        <v/>
      </c>
      <c r="Q260" s="2" t="str" cm="1">
        <f t="array" ref="Q260">IFERROR(
 INDEX(
  _xlfn._xlws.FILTER($U$2:$AX$2,
   TRANSPOSE(
    CHOOSE({1;2;3;4;5;6;7;8;9;10;11;12;13;14;15;16;17;18;19;20;21;22;23;24;25;26;27;28;29;30},
     COUNTIFS($U$3:$U$201,$M260)&gt;0,
     COUNTIFS($V$3:$V$201,$M260)&gt;0,
     COUNTIFS($W$3:$W$201,$M260)&gt;0,
     COUNTIFS($X$3:$X$201,$M260)&gt;0,
     COUNTIFS($Y$3:$Y$201,$M260)&gt;0,
     COUNTIFS($Z$3:$Z$201,$M260)&gt;0,
     COUNTIFS($AA$3:$AA$201,$M260)&gt;0,
     COUNTIFS($AB$3:$AB$201,$M260)&gt;0,
     COUNTIFS($AC$3:$AC$201,$M260)&gt;0,
     COUNTIFS($AD$3:$AD$201,$M260)&gt;0,
     COUNTIFS($AE$3:$AE$201,$M260)&gt;0,
     COUNTIFS($AF$3:$AF$201,$M260)&gt;0,
     COUNTIFS($AG$3:$AG$201,$M260)&gt;0,
     COUNTIFS($AH$3:$AH$201,$M260)&gt;0,
     COUNTIFS($AI$3:$AI$201,$M260)&gt;0,
     COUNTIFS($AJ$3:$AJ$201,$M260)&gt;0,
     COUNTIFS($AK$3:$AK$201,$M260)&gt;0,
     COUNTIFS($AL$3:$AL$201,$M260)&gt;0,
     COUNTIFS($AM$3:$AM$201,$M260)&gt;0,
     COUNTIFS($AN$3:$AN$201,$M260)&gt;0,
     COUNTIFS($AO$3:$AO$201,$M260)&gt;0,
     COUNTIFS($AP$3:$AP$201,$M260)&gt;0,
     COUNTIFS($AQ$3:$AQ$201,$M260)&gt;0,
     COUNTIFS($AR$3:$AR$201,$M260)&gt;0,
     COUNTIFS($AS$3:$AS$201,$M260)&gt;0,
     COUNTIFS($AT$3:$AT$201,$M260)&gt;0,
     COUNTIFS($AU$3:$AU$201,$M260)&gt;0,
     COUNTIFS($AV$3:$AV$201,$M260)&gt;0,
     COUNTIFS($AW$3:$AW$201,$M260)&gt;0,
     COUNTIFS($AX$3:$AX$201,$M260)&gt;0
   )),
  ),
  3
 ),
"")</f>
        <v/>
      </c>
    </row>
    <row r="261" spans="1:17" x14ac:dyDescent="0.25">
      <c r="A261" t="str">
        <f ca="1"/>
        <v>Luxury Suite</v>
      </c>
      <c r="B261" s="2" t="str" cm="1">
        <f t="array" aca="1" ref="B261" ca="1">_xlfn.ANCHORARRAY(RESUMO!C260)</f>
        <v>VialIshai</v>
      </c>
      <c r="C261" s="2" t="str">
        <f t="shared" ca="1" si="16"/>
        <v/>
      </c>
      <c r="F261" s="2">
        <f t="shared" si="19"/>
        <v>0</v>
      </c>
      <c r="G261" s="2" t="str">
        <f t="shared" ca="1" si="17"/>
        <v/>
      </c>
      <c r="J261" t="s">
        <v>180</v>
      </c>
      <c r="K261" s="2">
        <v>1</v>
      </c>
      <c r="N261" s="2">
        <f t="shared" si="18"/>
        <v>0</v>
      </c>
      <c r="O261" s="2" t="str">
        <f>IFERROR(
 INDEX($U$2:$AX$2,
  MATCH(TRUE,
   CHOOSE({1;2;3;4;5;6;7;8;9;10;11;12;13;14;15;16;17;18;19;20;21;22;23;24;25;26;27;28;29;30;31;32},
    COUNTIFS($U$3:$U$201,$M261)&gt;0,
    COUNTIFS($V$3:$V$201,$M261)&gt;0,
    COUNTIFS($W$3:$W$201,$M261)&gt;0,
    COUNTIFS($X$3:$X$201,$M261)&gt;0,
    COUNTIFS($Y$3:$Y$201,$M261)&gt;0,
    COUNTIFS($Z$3:$Z$201,$M261)&gt;0,
    COUNTIFS($AA$3:$AA$201,$M261)&gt;0,
    COUNTIFS($AB$3:$AB$201,$M261)&gt;0,
    COUNTIFS($AC$3:$AC$201,$M261)&gt;0,
    COUNTIFS($AD$3:$AD$201,$M261)&gt;0,
    COUNTIFS($AE$3:$AE$201,$M261)&gt;0,
    COUNTIFS($AF$3:$AF$201,$M261)&gt;0,
    COUNTIFS($AG$3:$AG$201,$M261)&gt;0,
    COUNTIFS($AH$3:$AH$201,$M261)&gt;0,
    COUNTIFS($AI$3:$AI$201,$M261)&gt;0,
    COUNTIFS($AJ$3:$AJ$201,$M261)&gt;0,
    COUNTIFS($AK$3:$AK$201,$M261)&gt;0,
    COUNTIFS($AL$3:$AL$201,$M261)&gt;0,
    COUNTIFS($AM$3:$AM$201,$M261)&gt;0,
    COUNTIFS($AN$3:$AN$201,$M261)&gt;0,
    COUNTIFS($AO$3:$AO$201,$M261)&gt;0,
    COUNTIFS($AP$3:$AP$201,$M261)&gt;0,
    COUNTIFS($AQ$3:$AQ$201,$M261)&gt;0,
    COUNTIFS($AR$3:$AR$201,$M261)&gt;0,
    COUNTIFS($AS$3:$AS$201,$M261)&gt;0,
    COUNTIFS($AT$3:$AT$201,$M261)&gt;0,
    COUNTIFS($AU$3:$AU$201,$M261)&gt;0,
    COUNTIFS($AV$3:$AV$201,$M261)&gt;0,
    COUNTIFS($AW$3:$AW$201,$M261)&gt;0,
    COUNTIFS($AX$3:$AX$201,$M261)&gt;0
   ),
  0)
 ),
"")</f>
        <v/>
      </c>
      <c r="P261" s="2" t="str" cm="1">
        <f t="array" ref="P261">IFERROR(
 INDEX(
  _xlfn._xlws.FILTER($U$2:$AX$2,
   TRANSPOSE(
    CHOOSE({1;2;3;4;5;6;7;8;9;10;11;12;13;14;15;16;17;18;19;20;21;22;23;24;25;26;27;28;29;30},
     COUNTIFS($U$3:$U$201,$M261)&gt;0,
     COUNTIFS($V$3:$V$201,$M261)&gt;0,
     COUNTIFS($W$3:$W$201,$M261)&gt;0,
     COUNTIFS($X$3:$X$201,$M261)&gt;0,
     COUNTIFS($Y$3:$Y$201,$M261)&gt;0,
     COUNTIFS($Z$3:$Z$201,$M261)&gt;0,
     COUNTIFS($AA$3:$AA$201,$M261)&gt;0,
     COUNTIFS($AB$3:$AB$201,$M261)&gt;0,
     COUNTIFS($AC$3:$AC$201,$M261)&gt;0,
     COUNTIFS($AD$3:$AD$201,$M261)&gt;0,
     COUNTIFS($AE$3:$AE$201,$M261)&gt;0,
     COUNTIFS($AF$3:$AF$201,$M261)&gt;0,
     COUNTIFS($AG$3:$AG$201,$M261)&gt;0,
     COUNTIFS($AH$3:$AH$201,$M261)&gt;0,
     COUNTIFS($AI$3:$AI$201,$M261)&gt;0,
     COUNTIFS($AJ$3:$AJ$201,$M261)&gt;0,
     COUNTIFS($AK$3:$AK$201,$M261)&gt;0,
     COUNTIFS($AL$3:$AL$201,$M261)&gt;0,
     COUNTIFS($AM$3:$AM$201,$M261)&gt;0,
     COUNTIFS($AN$3:$AN$201,$M261)&gt;0,
     COUNTIFS($AO$3:$AO$201,$M261)&gt;0,
     COUNTIFS($AP$3:$AP$201,$M261)&gt;0,
     COUNTIFS($AQ$3:$AQ$201,$M261)&gt;0,
     COUNTIFS($AR$3:$AR$201,$M261)&gt;0,
     COUNTIFS($AS$3:$AS$201,$M261)&gt;0,
     COUNTIFS($AT$3:$AT$201,$M261)&gt;0,
     COUNTIFS($AU$3:$AU$201,$M261)&gt;0,
     COUNTIFS($AV$3:$AV$201,$M261)&gt;0,
     COUNTIFS($AW$3:$AW$201,$M261)&gt;0,
     COUNTIFS($AX$3:$AX$201,$M261)&gt;0
   )),
  ),
  2
 ),
"")</f>
        <v/>
      </c>
      <c r="Q261" s="2" t="str" cm="1">
        <f t="array" ref="Q261">IFERROR(
 INDEX(
  _xlfn._xlws.FILTER($U$2:$AX$2,
   TRANSPOSE(
    CHOOSE({1;2;3;4;5;6;7;8;9;10;11;12;13;14;15;16;17;18;19;20;21;22;23;24;25;26;27;28;29;30},
     COUNTIFS($U$3:$U$201,$M261)&gt;0,
     COUNTIFS($V$3:$V$201,$M261)&gt;0,
     COUNTIFS($W$3:$W$201,$M261)&gt;0,
     COUNTIFS($X$3:$X$201,$M261)&gt;0,
     COUNTIFS($Y$3:$Y$201,$M261)&gt;0,
     COUNTIFS($Z$3:$Z$201,$M261)&gt;0,
     COUNTIFS($AA$3:$AA$201,$M261)&gt;0,
     COUNTIFS($AB$3:$AB$201,$M261)&gt;0,
     COUNTIFS($AC$3:$AC$201,$M261)&gt;0,
     COUNTIFS($AD$3:$AD$201,$M261)&gt;0,
     COUNTIFS($AE$3:$AE$201,$M261)&gt;0,
     COUNTIFS($AF$3:$AF$201,$M261)&gt;0,
     COUNTIFS($AG$3:$AG$201,$M261)&gt;0,
     COUNTIFS($AH$3:$AH$201,$M261)&gt;0,
     COUNTIFS($AI$3:$AI$201,$M261)&gt;0,
     COUNTIFS($AJ$3:$AJ$201,$M261)&gt;0,
     COUNTIFS($AK$3:$AK$201,$M261)&gt;0,
     COUNTIFS($AL$3:$AL$201,$M261)&gt;0,
     COUNTIFS($AM$3:$AM$201,$M261)&gt;0,
     COUNTIFS($AN$3:$AN$201,$M261)&gt;0,
     COUNTIFS($AO$3:$AO$201,$M261)&gt;0,
     COUNTIFS($AP$3:$AP$201,$M261)&gt;0,
     COUNTIFS($AQ$3:$AQ$201,$M261)&gt;0,
     COUNTIFS($AR$3:$AR$201,$M261)&gt;0,
     COUNTIFS($AS$3:$AS$201,$M261)&gt;0,
     COUNTIFS($AT$3:$AT$201,$M261)&gt;0,
     COUNTIFS($AU$3:$AU$201,$M261)&gt;0,
     COUNTIFS($AV$3:$AV$201,$M261)&gt;0,
     COUNTIFS($AW$3:$AW$201,$M261)&gt;0,
     COUNTIFS($AX$3:$AX$201,$M261)&gt;0
   )),
  ),
  3
 ),
"")</f>
        <v/>
      </c>
    </row>
    <row r="262" spans="1:17" x14ac:dyDescent="0.25">
      <c r="A262" t="str">
        <f ca="1"/>
        <v>Maddening Cacophony</v>
      </c>
      <c r="B262" s="2" t="str" cm="1">
        <f t="array" aca="1" ref="B262" ca="1">_xlfn.ANCHORARRAY(RESUMO!C261)</f>
        <v>Narset</v>
      </c>
      <c r="C262" s="2" t="str">
        <f t="shared" ca="1" si="16"/>
        <v/>
      </c>
      <c r="F262" s="2">
        <f t="shared" si="19"/>
        <v>0</v>
      </c>
      <c r="G262" s="2" t="str">
        <f t="shared" ca="1" si="17"/>
        <v/>
      </c>
      <c r="J262" t="s">
        <v>180</v>
      </c>
      <c r="K262" s="2">
        <v>1</v>
      </c>
      <c r="N262" s="2">
        <f t="shared" si="18"/>
        <v>0</v>
      </c>
      <c r="O262" s="2" t="str">
        <f>IFERROR(
 INDEX($U$2:$AX$2,
  MATCH(TRUE,
   CHOOSE({1;2;3;4;5;6;7;8;9;10;11;12;13;14;15;16;17;18;19;20;21;22;23;24;25;26;27;28;29;30;31;32},
    COUNTIFS($U$3:$U$201,$M262)&gt;0,
    COUNTIFS($V$3:$V$201,$M262)&gt;0,
    COUNTIFS($W$3:$W$201,$M262)&gt;0,
    COUNTIFS($X$3:$X$201,$M262)&gt;0,
    COUNTIFS($Y$3:$Y$201,$M262)&gt;0,
    COUNTIFS($Z$3:$Z$201,$M262)&gt;0,
    COUNTIFS($AA$3:$AA$201,$M262)&gt;0,
    COUNTIFS($AB$3:$AB$201,$M262)&gt;0,
    COUNTIFS($AC$3:$AC$201,$M262)&gt;0,
    COUNTIFS($AD$3:$AD$201,$M262)&gt;0,
    COUNTIFS($AE$3:$AE$201,$M262)&gt;0,
    COUNTIFS($AF$3:$AF$201,$M262)&gt;0,
    COUNTIFS($AG$3:$AG$201,$M262)&gt;0,
    COUNTIFS($AH$3:$AH$201,$M262)&gt;0,
    COUNTIFS($AI$3:$AI$201,$M262)&gt;0,
    COUNTIFS($AJ$3:$AJ$201,$M262)&gt;0,
    COUNTIFS($AK$3:$AK$201,$M262)&gt;0,
    COUNTIFS($AL$3:$AL$201,$M262)&gt;0,
    COUNTIFS($AM$3:$AM$201,$M262)&gt;0,
    COUNTIFS($AN$3:$AN$201,$M262)&gt;0,
    COUNTIFS($AO$3:$AO$201,$M262)&gt;0,
    COUNTIFS($AP$3:$AP$201,$M262)&gt;0,
    COUNTIFS($AQ$3:$AQ$201,$M262)&gt;0,
    COUNTIFS($AR$3:$AR$201,$M262)&gt;0,
    COUNTIFS($AS$3:$AS$201,$M262)&gt;0,
    COUNTIFS($AT$3:$AT$201,$M262)&gt;0,
    COUNTIFS($AU$3:$AU$201,$M262)&gt;0,
    COUNTIFS($AV$3:$AV$201,$M262)&gt;0,
    COUNTIFS($AW$3:$AW$201,$M262)&gt;0,
    COUNTIFS($AX$3:$AX$201,$M262)&gt;0
   ),
  0)
 ),
"")</f>
        <v/>
      </c>
      <c r="P262" s="2" t="str" cm="1">
        <f t="array" ref="P262">IFERROR(
 INDEX(
  _xlfn._xlws.FILTER($U$2:$AX$2,
   TRANSPOSE(
    CHOOSE({1;2;3;4;5;6;7;8;9;10;11;12;13;14;15;16;17;18;19;20;21;22;23;24;25;26;27;28;29;30},
     COUNTIFS($U$3:$U$201,$M262)&gt;0,
     COUNTIFS($V$3:$V$201,$M262)&gt;0,
     COUNTIFS($W$3:$W$201,$M262)&gt;0,
     COUNTIFS($X$3:$X$201,$M262)&gt;0,
     COUNTIFS($Y$3:$Y$201,$M262)&gt;0,
     COUNTIFS($Z$3:$Z$201,$M262)&gt;0,
     COUNTIFS($AA$3:$AA$201,$M262)&gt;0,
     COUNTIFS($AB$3:$AB$201,$M262)&gt;0,
     COUNTIFS($AC$3:$AC$201,$M262)&gt;0,
     COUNTIFS($AD$3:$AD$201,$M262)&gt;0,
     COUNTIFS($AE$3:$AE$201,$M262)&gt;0,
     COUNTIFS($AF$3:$AF$201,$M262)&gt;0,
     COUNTIFS($AG$3:$AG$201,$M262)&gt;0,
     COUNTIFS($AH$3:$AH$201,$M262)&gt;0,
     COUNTIFS($AI$3:$AI$201,$M262)&gt;0,
     COUNTIFS($AJ$3:$AJ$201,$M262)&gt;0,
     COUNTIFS($AK$3:$AK$201,$M262)&gt;0,
     COUNTIFS($AL$3:$AL$201,$M262)&gt;0,
     COUNTIFS($AM$3:$AM$201,$M262)&gt;0,
     COUNTIFS($AN$3:$AN$201,$M262)&gt;0,
     COUNTIFS($AO$3:$AO$201,$M262)&gt;0,
     COUNTIFS($AP$3:$AP$201,$M262)&gt;0,
     COUNTIFS($AQ$3:$AQ$201,$M262)&gt;0,
     COUNTIFS($AR$3:$AR$201,$M262)&gt;0,
     COUNTIFS($AS$3:$AS$201,$M262)&gt;0,
     COUNTIFS($AT$3:$AT$201,$M262)&gt;0,
     COUNTIFS($AU$3:$AU$201,$M262)&gt;0,
     COUNTIFS($AV$3:$AV$201,$M262)&gt;0,
     COUNTIFS($AW$3:$AW$201,$M262)&gt;0,
     COUNTIFS($AX$3:$AX$201,$M262)&gt;0
   )),
  ),
  2
 ),
"")</f>
        <v/>
      </c>
      <c r="Q262" s="2" t="str" cm="1">
        <f t="array" ref="Q262">IFERROR(
 INDEX(
  _xlfn._xlws.FILTER($U$2:$AX$2,
   TRANSPOSE(
    CHOOSE({1;2;3;4;5;6;7;8;9;10;11;12;13;14;15;16;17;18;19;20;21;22;23;24;25;26;27;28;29;30},
     COUNTIFS($U$3:$U$201,$M262)&gt;0,
     COUNTIFS($V$3:$V$201,$M262)&gt;0,
     COUNTIFS($W$3:$W$201,$M262)&gt;0,
     COUNTIFS($X$3:$X$201,$M262)&gt;0,
     COUNTIFS($Y$3:$Y$201,$M262)&gt;0,
     COUNTIFS($Z$3:$Z$201,$M262)&gt;0,
     COUNTIFS($AA$3:$AA$201,$M262)&gt;0,
     COUNTIFS($AB$3:$AB$201,$M262)&gt;0,
     COUNTIFS($AC$3:$AC$201,$M262)&gt;0,
     COUNTIFS($AD$3:$AD$201,$M262)&gt;0,
     COUNTIFS($AE$3:$AE$201,$M262)&gt;0,
     COUNTIFS($AF$3:$AF$201,$M262)&gt;0,
     COUNTIFS($AG$3:$AG$201,$M262)&gt;0,
     COUNTIFS($AH$3:$AH$201,$M262)&gt;0,
     COUNTIFS($AI$3:$AI$201,$M262)&gt;0,
     COUNTIFS($AJ$3:$AJ$201,$M262)&gt;0,
     COUNTIFS($AK$3:$AK$201,$M262)&gt;0,
     COUNTIFS($AL$3:$AL$201,$M262)&gt;0,
     COUNTIFS($AM$3:$AM$201,$M262)&gt;0,
     COUNTIFS($AN$3:$AN$201,$M262)&gt;0,
     COUNTIFS($AO$3:$AO$201,$M262)&gt;0,
     COUNTIFS($AP$3:$AP$201,$M262)&gt;0,
     COUNTIFS($AQ$3:$AQ$201,$M262)&gt;0,
     COUNTIFS($AR$3:$AR$201,$M262)&gt;0,
     COUNTIFS($AS$3:$AS$201,$M262)&gt;0,
     COUNTIFS($AT$3:$AT$201,$M262)&gt;0,
     COUNTIFS($AU$3:$AU$201,$M262)&gt;0,
     COUNTIFS($AV$3:$AV$201,$M262)&gt;0,
     COUNTIFS($AW$3:$AW$201,$M262)&gt;0,
     COUNTIFS($AX$3:$AX$201,$M262)&gt;0
   )),
  ),
  3
 ),
"")</f>
        <v/>
      </c>
    </row>
    <row r="263" spans="1:17" x14ac:dyDescent="0.25">
      <c r="A263" t="str">
        <f ca="1"/>
        <v>Magda, the Hoardmaster</v>
      </c>
      <c r="B263" s="2" t="str" cm="1">
        <f t="array" aca="1" ref="B263" ca="1">_xlfn.ANCHORARRAY(RESUMO!C262)</f>
        <v>Ool</v>
      </c>
      <c r="C263" s="2" t="str">
        <f t="shared" ca="1" si="16"/>
        <v/>
      </c>
      <c r="F263" s="2">
        <f t="shared" si="19"/>
        <v>0</v>
      </c>
      <c r="G263" s="2" t="str">
        <f t="shared" ca="1" si="17"/>
        <v/>
      </c>
      <c r="J263" t="s">
        <v>180</v>
      </c>
      <c r="K263" s="2">
        <v>1</v>
      </c>
      <c r="N263" s="2">
        <f t="shared" si="18"/>
        <v>0</v>
      </c>
      <c r="O263" s="2" t="str">
        <f>IFERROR(
 INDEX($U$2:$AX$2,
  MATCH(TRUE,
   CHOOSE({1;2;3;4;5;6;7;8;9;10;11;12;13;14;15;16;17;18;19;20;21;22;23;24;25;26;27;28;29;30;31;32},
    COUNTIFS($U$3:$U$201,$M263)&gt;0,
    COUNTIFS($V$3:$V$201,$M263)&gt;0,
    COUNTIFS($W$3:$W$201,$M263)&gt;0,
    COUNTIFS($X$3:$X$201,$M263)&gt;0,
    COUNTIFS($Y$3:$Y$201,$M263)&gt;0,
    COUNTIFS($Z$3:$Z$201,$M263)&gt;0,
    COUNTIFS($AA$3:$AA$201,$M263)&gt;0,
    COUNTIFS($AB$3:$AB$201,$M263)&gt;0,
    COUNTIFS($AC$3:$AC$201,$M263)&gt;0,
    COUNTIFS($AD$3:$AD$201,$M263)&gt;0,
    COUNTIFS($AE$3:$AE$201,$M263)&gt;0,
    COUNTIFS($AF$3:$AF$201,$M263)&gt;0,
    COUNTIFS($AG$3:$AG$201,$M263)&gt;0,
    COUNTIFS($AH$3:$AH$201,$M263)&gt;0,
    COUNTIFS($AI$3:$AI$201,$M263)&gt;0,
    COUNTIFS($AJ$3:$AJ$201,$M263)&gt;0,
    COUNTIFS($AK$3:$AK$201,$M263)&gt;0,
    COUNTIFS($AL$3:$AL$201,$M263)&gt;0,
    COUNTIFS($AM$3:$AM$201,$M263)&gt;0,
    COUNTIFS($AN$3:$AN$201,$M263)&gt;0,
    COUNTIFS($AO$3:$AO$201,$M263)&gt;0,
    COUNTIFS($AP$3:$AP$201,$M263)&gt;0,
    COUNTIFS($AQ$3:$AQ$201,$M263)&gt;0,
    COUNTIFS($AR$3:$AR$201,$M263)&gt;0,
    COUNTIFS($AS$3:$AS$201,$M263)&gt;0,
    COUNTIFS($AT$3:$AT$201,$M263)&gt;0,
    COUNTIFS($AU$3:$AU$201,$M263)&gt;0,
    COUNTIFS($AV$3:$AV$201,$M263)&gt;0,
    COUNTIFS($AW$3:$AW$201,$M263)&gt;0,
    COUNTIFS($AX$3:$AX$201,$M263)&gt;0
   ),
  0)
 ),
"")</f>
        <v/>
      </c>
      <c r="P263" s="2" t="str" cm="1">
        <f t="array" ref="P263">IFERROR(
 INDEX(
  _xlfn._xlws.FILTER($U$2:$AX$2,
   TRANSPOSE(
    CHOOSE({1;2;3;4;5;6;7;8;9;10;11;12;13;14;15;16;17;18;19;20;21;22;23;24;25;26;27;28;29;30},
     COUNTIFS($U$3:$U$201,$M263)&gt;0,
     COUNTIFS($V$3:$V$201,$M263)&gt;0,
     COUNTIFS($W$3:$W$201,$M263)&gt;0,
     COUNTIFS($X$3:$X$201,$M263)&gt;0,
     COUNTIFS($Y$3:$Y$201,$M263)&gt;0,
     COUNTIFS($Z$3:$Z$201,$M263)&gt;0,
     COUNTIFS($AA$3:$AA$201,$M263)&gt;0,
     COUNTIFS($AB$3:$AB$201,$M263)&gt;0,
     COUNTIFS($AC$3:$AC$201,$M263)&gt;0,
     COUNTIFS($AD$3:$AD$201,$M263)&gt;0,
     COUNTIFS($AE$3:$AE$201,$M263)&gt;0,
     COUNTIFS($AF$3:$AF$201,$M263)&gt;0,
     COUNTIFS($AG$3:$AG$201,$M263)&gt;0,
     COUNTIFS($AH$3:$AH$201,$M263)&gt;0,
     COUNTIFS($AI$3:$AI$201,$M263)&gt;0,
     COUNTIFS($AJ$3:$AJ$201,$M263)&gt;0,
     COUNTIFS($AK$3:$AK$201,$M263)&gt;0,
     COUNTIFS($AL$3:$AL$201,$M263)&gt;0,
     COUNTIFS($AM$3:$AM$201,$M263)&gt;0,
     COUNTIFS($AN$3:$AN$201,$M263)&gt;0,
     COUNTIFS($AO$3:$AO$201,$M263)&gt;0,
     COUNTIFS($AP$3:$AP$201,$M263)&gt;0,
     COUNTIFS($AQ$3:$AQ$201,$M263)&gt;0,
     COUNTIFS($AR$3:$AR$201,$M263)&gt;0,
     COUNTIFS($AS$3:$AS$201,$M263)&gt;0,
     COUNTIFS($AT$3:$AT$201,$M263)&gt;0,
     COUNTIFS($AU$3:$AU$201,$M263)&gt;0,
     COUNTIFS($AV$3:$AV$201,$M263)&gt;0,
     COUNTIFS($AW$3:$AW$201,$M263)&gt;0,
     COUNTIFS($AX$3:$AX$201,$M263)&gt;0
   )),
  ),
  2
 ),
"")</f>
        <v/>
      </c>
      <c r="Q263" s="2" t="str" cm="1">
        <f t="array" ref="Q263">IFERROR(
 INDEX(
  _xlfn._xlws.FILTER($U$2:$AX$2,
   TRANSPOSE(
    CHOOSE({1;2;3;4;5;6;7;8;9;10;11;12;13;14;15;16;17;18;19;20;21;22;23;24;25;26;27;28;29;30},
     COUNTIFS($U$3:$U$201,$M263)&gt;0,
     COUNTIFS($V$3:$V$201,$M263)&gt;0,
     COUNTIFS($W$3:$W$201,$M263)&gt;0,
     COUNTIFS($X$3:$X$201,$M263)&gt;0,
     COUNTIFS($Y$3:$Y$201,$M263)&gt;0,
     COUNTIFS($Z$3:$Z$201,$M263)&gt;0,
     COUNTIFS($AA$3:$AA$201,$M263)&gt;0,
     COUNTIFS($AB$3:$AB$201,$M263)&gt;0,
     COUNTIFS($AC$3:$AC$201,$M263)&gt;0,
     COUNTIFS($AD$3:$AD$201,$M263)&gt;0,
     COUNTIFS($AE$3:$AE$201,$M263)&gt;0,
     COUNTIFS($AF$3:$AF$201,$M263)&gt;0,
     COUNTIFS($AG$3:$AG$201,$M263)&gt;0,
     COUNTIFS($AH$3:$AH$201,$M263)&gt;0,
     COUNTIFS($AI$3:$AI$201,$M263)&gt;0,
     COUNTIFS($AJ$3:$AJ$201,$M263)&gt;0,
     COUNTIFS($AK$3:$AK$201,$M263)&gt;0,
     COUNTIFS($AL$3:$AL$201,$M263)&gt;0,
     COUNTIFS($AM$3:$AM$201,$M263)&gt;0,
     COUNTIFS($AN$3:$AN$201,$M263)&gt;0,
     COUNTIFS($AO$3:$AO$201,$M263)&gt;0,
     COUNTIFS($AP$3:$AP$201,$M263)&gt;0,
     COUNTIFS($AQ$3:$AQ$201,$M263)&gt;0,
     COUNTIFS($AR$3:$AR$201,$M263)&gt;0,
     COUNTIFS($AS$3:$AS$201,$M263)&gt;0,
     COUNTIFS($AT$3:$AT$201,$M263)&gt;0,
     COUNTIFS($AU$3:$AU$201,$M263)&gt;0,
     COUNTIFS($AV$3:$AV$201,$M263)&gt;0,
     COUNTIFS($AW$3:$AW$201,$M263)&gt;0,
     COUNTIFS($AX$3:$AX$201,$M263)&gt;0
   )),
  ),
  3
 ),
"")</f>
        <v/>
      </c>
    </row>
    <row r="264" spans="1:17" x14ac:dyDescent="0.25">
      <c r="A264" t="str">
        <f ca="1"/>
        <v>Magma Sliver</v>
      </c>
      <c r="B264" s="2" t="str" cm="1">
        <f t="array" aca="1" ref="B264" ca="1">_xlfn.ANCHORARRAY(RESUMO!C263)</f>
        <v>Fractius</v>
      </c>
      <c r="C264" s="2" t="str">
        <f t="shared" ca="1" si="16"/>
        <v/>
      </c>
      <c r="F264" s="2">
        <f t="shared" si="19"/>
        <v>0</v>
      </c>
      <c r="G264" s="2" t="str">
        <f t="shared" ca="1" si="17"/>
        <v/>
      </c>
      <c r="J264" t="s">
        <v>180</v>
      </c>
      <c r="K264" s="2">
        <v>1</v>
      </c>
      <c r="N264" s="2">
        <f t="shared" si="18"/>
        <v>0</v>
      </c>
      <c r="O264" s="2" t="str">
        <f>IFERROR(
 INDEX($U$2:$AX$2,
  MATCH(TRUE,
   CHOOSE({1;2;3;4;5;6;7;8;9;10;11;12;13;14;15;16;17;18;19;20;21;22;23;24;25;26;27;28;29;30;31;32},
    COUNTIFS($U$3:$U$201,$M264)&gt;0,
    COUNTIFS($V$3:$V$201,$M264)&gt;0,
    COUNTIFS($W$3:$W$201,$M264)&gt;0,
    COUNTIFS($X$3:$X$201,$M264)&gt;0,
    COUNTIFS($Y$3:$Y$201,$M264)&gt;0,
    COUNTIFS($Z$3:$Z$201,$M264)&gt;0,
    COUNTIFS($AA$3:$AA$201,$M264)&gt;0,
    COUNTIFS($AB$3:$AB$201,$M264)&gt;0,
    COUNTIFS($AC$3:$AC$201,$M264)&gt;0,
    COUNTIFS($AD$3:$AD$201,$M264)&gt;0,
    COUNTIFS($AE$3:$AE$201,$M264)&gt;0,
    COUNTIFS($AF$3:$AF$201,$M264)&gt;0,
    COUNTIFS($AG$3:$AG$201,$M264)&gt;0,
    COUNTIFS($AH$3:$AH$201,$M264)&gt;0,
    COUNTIFS($AI$3:$AI$201,$M264)&gt;0,
    COUNTIFS($AJ$3:$AJ$201,$M264)&gt;0,
    COUNTIFS($AK$3:$AK$201,$M264)&gt;0,
    COUNTIFS($AL$3:$AL$201,$M264)&gt;0,
    COUNTIFS($AM$3:$AM$201,$M264)&gt;0,
    COUNTIFS($AN$3:$AN$201,$M264)&gt;0,
    COUNTIFS($AO$3:$AO$201,$M264)&gt;0,
    COUNTIFS($AP$3:$AP$201,$M264)&gt;0,
    COUNTIFS($AQ$3:$AQ$201,$M264)&gt;0,
    COUNTIFS($AR$3:$AR$201,$M264)&gt;0,
    COUNTIFS($AS$3:$AS$201,$M264)&gt;0,
    COUNTIFS($AT$3:$AT$201,$M264)&gt;0,
    COUNTIFS($AU$3:$AU$201,$M264)&gt;0,
    COUNTIFS($AV$3:$AV$201,$M264)&gt;0,
    COUNTIFS($AW$3:$AW$201,$M264)&gt;0,
    COUNTIFS($AX$3:$AX$201,$M264)&gt;0
   ),
  0)
 ),
"")</f>
        <v/>
      </c>
      <c r="P264" s="2" t="str" cm="1">
        <f t="array" ref="P264">IFERROR(
 INDEX(
  _xlfn._xlws.FILTER($U$2:$AX$2,
   TRANSPOSE(
    CHOOSE({1;2;3;4;5;6;7;8;9;10;11;12;13;14;15;16;17;18;19;20;21;22;23;24;25;26;27;28;29;30},
     COUNTIFS($U$3:$U$201,$M264)&gt;0,
     COUNTIFS($V$3:$V$201,$M264)&gt;0,
     COUNTIFS($W$3:$W$201,$M264)&gt;0,
     COUNTIFS($X$3:$X$201,$M264)&gt;0,
     COUNTIFS($Y$3:$Y$201,$M264)&gt;0,
     COUNTIFS($Z$3:$Z$201,$M264)&gt;0,
     COUNTIFS($AA$3:$AA$201,$M264)&gt;0,
     COUNTIFS($AB$3:$AB$201,$M264)&gt;0,
     COUNTIFS($AC$3:$AC$201,$M264)&gt;0,
     COUNTIFS($AD$3:$AD$201,$M264)&gt;0,
     COUNTIFS($AE$3:$AE$201,$M264)&gt;0,
     COUNTIFS($AF$3:$AF$201,$M264)&gt;0,
     COUNTIFS($AG$3:$AG$201,$M264)&gt;0,
     COUNTIFS($AH$3:$AH$201,$M264)&gt;0,
     COUNTIFS($AI$3:$AI$201,$M264)&gt;0,
     COUNTIFS($AJ$3:$AJ$201,$M264)&gt;0,
     COUNTIFS($AK$3:$AK$201,$M264)&gt;0,
     COUNTIFS($AL$3:$AL$201,$M264)&gt;0,
     COUNTIFS($AM$3:$AM$201,$M264)&gt;0,
     COUNTIFS($AN$3:$AN$201,$M264)&gt;0,
     COUNTIFS($AO$3:$AO$201,$M264)&gt;0,
     COUNTIFS($AP$3:$AP$201,$M264)&gt;0,
     COUNTIFS($AQ$3:$AQ$201,$M264)&gt;0,
     COUNTIFS($AR$3:$AR$201,$M264)&gt;0,
     COUNTIFS($AS$3:$AS$201,$M264)&gt;0,
     COUNTIFS($AT$3:$AT$201,$M264)&gt;0,
     COUNTIFS($AU$3:$AU$201,$M264)&gt;0,
     COUNTIFS($AV$3:$AV$201,$M264)&gt;0,
     COUNTIFS($AW$3:$AW$201,$M264)&gt;0,
     COUNTIFS($AX$3:$AX$201,$M264)&gt;0
   )),
  ),
  2
 ),
"")</f>
        <v/>
      </c>
      <c r="Q264" s="2" t="str" cm="1">
        <f t="array" ref="Q264">IFERROR(
 INDEX(
  _xlfn._xlws.FILTER($U$2:$AX$2,
   TRANSPOSE(
    CHOOSE({1;2;3;4;5;6;7;8;9;10;11;12;13;14;15;16;17;18;19;20;21;22;23;24;25;26;27;28;29;30},
     COUNTIFS($U$3:$U$201,$M264)&gt;0,
     COUNTIFS($V$3:$V$201,$M264)&gt;0,
     COUNTIFS($W$3:$W$201,$M264)&gt;0,
     COUNTIFS($X$3:$X$201,$M264)&gt;0,
     COUNTIFS($Y$3:$Y$201,$M264)&gt;0,
     COUNTIFS($Z$3:$Z$201,$M264)&gt;0,
     COUNTIFS($AA$3:$AA$201,$M264)&gt;0,
     COUNTIFS($AB$3:$AB$201,$M264)&gt;0,
     COUNTIFS($AC$3:$AC$201,$M264)&gt;0,
     COUNTIFS($AD$3:$AD$201,$M264)&gt;0,
     COUNTIFS($AE$3:$AE$201,$M264)&gt;0,
     COUNTIFS($AF$3:$AF$201,$M264)&gt;0,
     COUNTIFS($AG$3:$AG$201,$M264)&gt;0,
     COUNTIFS($AH$3:$AH$201,$M264)&gt;0,
     COUNTIFS($AI$3:$AI$201,$M264)&gt;0,
     COUNTIFS($AJ$3:$AJ$201,$M264)&gt;0,
     COUNTIFS($AK$3:$AK$201,$M264)&gt;0,
     COUNTIFS($AL$3:$AL$201,$M264)&gt;0,
     COUNTIFS($AM$3:$AM$201,$M264)&gt;0,
     COUNTIFS($AN$3:$AN$201,$M264)&gt;0,
     COUNTIFS($AO$3:$AO$201,$M264)&gt;0,
     COUNTIFS($AP$3:$AP$201,$M264)&gt;0,
     COUNTIFS($AQ$3:$AQ$201,$M264)&gt;0,
     COUNTIFS($AR$3:$AR$201,$M264)&gt;0,
     COUNTIFS($AS$3:$AS$201,$M264)&gt;0,
     COUNTIFS($AT$3:$AT$201,$M264)&gt;0,
     COUNTIFS($AU$3:$AU$201,$M264)&gt;0,
     COUNTIFS($AV$3:$AV$201,$M264)&gt;0,
     COUNTIFS($AW$3:$AW$201,$M264)&gt;0,
     COUNTIFS($AX$3:$AX$201,$M264)&gt;0
   )),
  ),
  3
 ),
"")</f>
        <v/>
      </c>
    </row>
    <row r="265" spans="1:17" x14ac:dyDescent="0.25">
      <c r="A265" t="str">
        <f ca="1"/>
        <v>Mahadi, Emporium Master</v>
      </c>
      <c r="B265" s="2" t="str" cm="1">
        <f t="array" aca="1" ref="B265" ca="1">_xlfn.ANCHORARRAY(RESUMO!C264)</f>
        <v>Little</v>
      </c>
      <c r="C265" s="2" t="str">
        <f t="shared" ca="1" si="16"/>
        <v/>
      </c>
      <c r="F265" s="2">
        <f t="shared" si="19"/>
        <v>0</v>
      </c>
      <c r="G265" s="2" t="str">
        <f t="shared" ca="1" si="17"/>
        <v/>
      </c>
      <c r="J265" t="s">
        <v>180</v>
      </c>
      <c r="K265" s="2">
        <v>1</v>
      </c>
      <c r="N265" s="2">
        <f t="shared" si="18"/>
        <v>0</v>
      </c>
      <c r="O265" s="2" t="str">
        <f>IFERROR(
 INDEX($U$2:$AX$2,
  MATCH(TRUE,
   CHOOSE({1;2;3;4;5;6;7;8;9;10;11;12;13;14;15;16;17;18;19;20;21;22;23;24;25;26;27;28;29;30;31;32},
    COUNTIFS($U$3:$U$201,$M265)&gt;0,
    COUNTIFS($V$3:$V$201,$M265)&gt;0,
    COUNTIFS($W$3:$W$201,$M265)&gt;0,
    COUNTIFS($X$3:$X$201,$M265)&gt;0,
    COUNTIFS($Y$3:$Y$201,$M265)&gt;0,
    COUNTIFS($Z$3:$Z$201,$M265)&gt;0,
    COUNTIFS($AA$3:$AA$201,$M265)&gt;0,
    COUNTIFS($AB$3:$AB$201,$M265)&gt;0,
    COUNTIFS($AC$3:$AC$201,$M265)&gt;0,
    COUNTIFS($AD$3:$AD$201,$M265)&gt;0,
    COUNTIFS($AE$3:$AE$201,$M265)&gt;0,
    COUNTIFS($AF$3:$AF$201,$M265)&gt;0,
    COUNTIFS($AG$3:$AG$201,$M265)&gt;0,
    COUNTIFS($AH$3:$AH$201,$M265)&gt;0,
    COUNTIFS($AI$3:$AI$201,$M265)&gt;0,
    COUNTIFS($AJ$3:$AJ$201,$M265)&gt;0,
    COUNTIFS($AK$3:$AK$201,$M265)&gt;0,
    COUNTIFS($AL$3:$AL$201,$M265)&gt;0,
    COUNTIFS($AM$3:$AM$201,$M265)&gt;0,
    COUNTIFS($AN$3:$AN$201,$M265)&gt;0,
    COUNTIFS($AO$3:$AO$201,$M265)&gt;0,
    COUNTIFS($AP$3:$AP$201,$M265)&gt;0,
    COUNTIFS($AQ$3:$AQ$201,$M265)&gt;0,
    COUNTIFS($AR$3:$AR$201,$M265)&gt;0,
    COUNTIFS($AS$3:$AS$201,$M265)&gt;0,
    COUNTIFS($AT$3:$AT$201,$M265)&gt;0,
    COUNTIFS($AU$3:$AU$201,$M265)&gt;0,
    COUNTIFS($AV$3:$AV$201,$M265)&gt;0,
    COUNTIFS($AW$3:$AW$201,$M265)&gt;0,
    COUNTIFS($AX$3:$AX$201,$M265)&gt;0
   ),
  0)
 ),
"")</f>
        <v/>
      </c>
      <c r="P265" s="2" t="str" cm="1">
        <f t="array" ref="P265">IFERROR(
 INDEX(
  _xlfn._xlws.FILTER($U$2:$AX$2,
   TRANSPOSE(
    CHOOSE({1;2;3;4;5;6;7;8;9;10;11;12;13;14;15;16;17;18;19;20;21;22;23;24;25;26;27;28;29;30},
     COUNTIFS($U$3:$U$201,$M265)&gt;0,
     COUNTIFS($V$3:$V$201,$M265)&gt;0,
     COUNTIFS($W$3:$W$201,$M265)&gt;0,
     COUNTIFS($X$3:$X$201,$M265)&gt;0,
     COUNTIFS($Y$3:$Y$201,$M265)&gt;0,
     COUNTIFS($Z$3:$Z$201,$M265)&gt;0,
     COUNTIFS($AA$3:$AA$201,$M265)&gt;0,
     COUNTIFS($AB$3:$AB$201,$M265)&gt;0,
     COUNTIFS($AC$3:$AC$201,$M265)&gt;0,
     COUNTIFS($AD$3:$AD$201,$M265)&gt;0,
     COUNTIFS($AE$3:$AE$201,$M265)&gt;0,
     COUNTIFS($AF$3:$AF$201,$M265)&gt;0,
     COUNTIFS($AG$3:$AG$201,$M265)&gt;0,
     COUNTIFS($AH$3:$AH$201,$M265)&gt;0,
     COUNTIFS($AI$3:$AI$201,$M265)&gt;0,
     COUNTIFS($AJ$3:$AJ$201,$M265)&gt;0,
     COUNTIFS($AK$3:$AK$201,$M265)&gt;0,
     COUNTIFS($AL$3:$AL$201,$M265)&gt;0,
     COUNTIFS($AM$3:$AM$201,$M265)&gt;0,
     COUNTIFS($AN$3:$AN$201,$M265)&gt;0,
     COUNTIFS($AO$3:$AO$201,$M265)&gt;0,
     COUNTIFS($AP$3:$AP$201,$M265)&gt;0,
     COUNTIFS($AQ$3:$AQ$201,$M265)&gt;0,
     COUNTIFS($AR$3:$AR$201,$M265)&gt;0,
     COUNTIFS($AS$3:$AS$201,$M265)&gt;0,
     COUNTIFS($AT$3:$AT$201,$M265)&gt;0,
     COUNTIFS($AU$3:$AU$201,$M265)&gt;0,
     COUNTIFS($AV$3:$AV$201,$M265)&gt;0,
     COUNTIFS($AW$3:$AW$201,$M265)&gt;0,
     COUNTIFS($AX$3:$AX$201,$M265)&gt;0
   )),
  ),
  2
 ),
"")</f>
        <v/>
      </c>
      <c r="Q265" s="2" t="str" cm="1">
        <f t="array" ref="Q265">IFERROR(
 INDEX(
  _xlfn._xlws.FILTER($U$2:$AX$2,
   TRANSPOSE(
    CHOOSE({1;2;3;4;5;6;7;8;9;10;11;12;13;14;15;16;17;18;19;20;21;22;23;24;25;26;27;28;29;30},
     COUNTIFS($U$3:$U$201,$M265)&gt;0,
     COUNTIFS($V$3:$V$201,$M265)&gt;0,
     COUNTIFS($W$3:$W$201,$M265)&gt;0,
     COUNTIFS($X$3:$X$201,$M265)&gt;0,
     COUNTIFS($Y$3:$Y$201,$M265)&gt;0,
     COUNTIFS($Z$3:$Z$201,$M265)&gt;0,
     COUNTIFS($AA$3:$AA$201,$M265)&gt;0,
     COUNTIFS($AB$3:$AB$201,$M265)&gt;0,
     COUNTIFS($AC$3:$AC$201,$M265)&gt;0,
     COUNTIFS($AD$3:$AD$201,$M265)&gt;0,
     COUNTIFS($AE$3:$AE$201,$M265)&gt;0,
     COUNTIFS($AF$3:$AF$201,$M265)&gt;0,
     COUNTIFS($AG$3:$AG$201,$M265)&gt;0,
     COUNTIFS($AH$3:$AH$201,$M265)&gt;0,
     COUNTIFS($AI$3:$AI$201,$M265)&gt;0,
     COUNTIFS($AJ$3:$AJ$201,$M265)&gt;0,
     COUNTIFS($AK$3:$AK$201,$M265)&gt;0,
     COUNTIFS($AL$3:$AL$201,$M265)&gt;0,
     COUNTIFS($AM$3:$AM$201,$M265)&gt;0,
     COUNTIFS($AN$3:$AN$201,$M265)&gt;0,
     COUNTIFS($AO$3:$AO$201,$M265)&gt;0,
     COUNTIFS($AP$3:$AP$201,$M265)&gt;0,
     COUNTIFS($AQ$3:$AQ$201,$M265)&gt;0,
     COUNTIFS($AR$3:$AR$201,$M265)&gt;0,
     COUNTIFS($AS$3:$AS$201,$M265)&gt;0,
     COUNTIFS($AT$3:$AT$201,$M265)&gt;0,
     COUNTIFS($AU$3:$AU$201,$M265)&gt;0,
     COUNTIFS($AV$3:$AV$201,$M265)&gt;0,
     COUNTIFS($AW$3:$AW$201,$M265)&gt;0,
     COUNTIFS($AX$3:$AX$201,$M265)&gt;0
   )),
  ),
  3
 ),
"")</f>
        <v/>
      </c>
    </row>
    <row r="266" spans="1:17" x14ac:dyDescent="0.25">
      <c r="A266" t="str">
        <f ca="1"/>
        <v>Manaweft Sliver</v>
      </c>
      <c r="B266" s="2" t="str" cm="1">
        <f t="array" aca="1" ref="B266" ca="1">_xlfn.ANCHORARRAY(RESUMO!C265)</f>
        <v>Fractius</v>
      </c>
      <c r="C266" s="2" t="str">
        <f t="shared" ca="1" si="16"/>
        <v/>
      </c>
      <c r="F266" s="2">
        <f t="shared" si="19"/>
        <v>0</v>
      </c>
      <c r="G266" s="2" t="str">
        <f t="shared" ca="1" si="17"/>
        <v/>
      </c>
      <c r="J266" t="s">
        <v>180</v>
      </c>
      <c r="K266" s="2">
        <v>1</v>
      </c>
      <c r="N266" s="2">
        <f t="shared" si="18"/>
        <v>0</v>
      </c>
      <c r="O266" s="2" t="str">
        <f>IFERROR(
 INDEX($U$2:$AX$2,
  MATCH(TRUE,
   CHOOSE({1;2;3;4;5;6;7;8;9;10;11;12;13;14;15;16;17;18;19;20;21;22;23;24;25;26;27;28;29;30;31;32},
    COUNTIFS($U$3:$U$201,$M266)&gt;0,
    COUNTIFS($V$3:$V$201,$M266)&gt;0,
    COUNTIFS($W$3:$W$201,$M266)&gt;0,
    COUNTIFS($X$3:$X$201,$M266)&gt;0,
    COUNTIFS($Y$3:$Y$201,$M266)&gt;0,
    COUNTIFS($Z$3:$Z$201,$M266)&gt;0,
    COUNTIFS($AA$3:$AA$201,$M266)&gt;0,
    COUNTIFS($AB$3:$AB$201,$M266)&gt;0,
    COUNTIFS($AC$3:$AC$201,$M266)&gt;0,
    COUNTIFS($AD$3:$AD$201,$M266)&gt;0,
    COUNTIFS($AE$3:$AE$201,$M266)&gt;0,
    COUNTIFS($AF$3:$AF$201,$M266)&gt;0,
    COUNTIFS($AG$3:$AG$201,$M266)&gt;0,
    COUNTIFS($AH$3:$AH$201,$M266)&gt;0,
    COUNTIFS($AI$3:$AI$201,$M266)&gt;0,
    COUNTIFS($AJ$3:$AJ$201,$M266)&gt;0,
    COUNTIFS($AK$3:$AK$201,$M266)&gt;0,
    COUNTIFS($AL$3:$AL$201,$M266)&gt;0,
    COUNTIFS($AM$3:$AM$201,$M266)&gt;0,
    COUNTIFS($AN$3:$AN$201,$M266)&gt;0,
    COUNTIFS($AO$3:$AO$201,$M266)&gt;0,
    COUNTIFS($AP$3:$AP$201,$M266)&gt;0,
    COUNTIFS($AQ$3:$AQ$201,$M266)&gt;0,
    COUNTIFS($AR$3:$AR$201,$M266)&gt;0,
    COUNTIFS($AS$3:$AS$201,$M266)&gt;0,
    COUNTIFS($AT$3:$AT$201,$M266)&gt;0,
    COUNTIFS($AU$3:$AU$201,$M266)&gt;0,
    COUNTIFS($AV$3:$AV$201,$M266)&gt;0,
    COUNTIFS($AW$3:$AW$201,$M266)&gt;0,
    COUNTIFS($AX$3:$AX$201,$M266)&gt;0
   ),
  0)
 ),
"")</f>
        <v/>
      </c>
      <c r="P266" s="2" t="str" cm="1">
        <f t="array" ref="P266">IFERROR(
 INDEX(
  _xlfn._xlws.FILTER($U$2:$AX$2,
   TRANSPOSE(
    CHOOSE({1;2;3;4;5;6;7;8;9;10;11;12;13;14;15;16;17;18;19;20;21;22;23;24;25;26;27;28;29;30},
     COUNTIFS($U$3:$U$201,$M266)&gt;0,
     COUNTIFS($V$3:$V$201,$M266)&gt;0,
     COUNTIFS($W$3:$W$201,$M266)&gt;0,
     COUNTIFS($X$3:$X$201,$M266)&gt;0,
     COUNTIFS($Y$3:$Y$201,$M266)&gt;0,
     COUNTIFS($Z$3:$Z$201,$M266)&gt;0,
     COUNTIFS($AA$3:$AA$201,$M266)&gt;0,
     COUNTIFS($AB$3:$AB$201,$M266)&gt;0,
     COUNTIFS($AC$3:$AC$201,$M266)&gt;0,
     COUNTIFS($AD$3:$AD$201,$M266)&gt;0,
     COUNTIFS($AE$3:$AE$201,$M266)&gt;0,
     COUNTIFS($AF$3:$AF$201,$M266)&gt;0,
     COUNTIFS($AG$3:$AG$201,$M266)&gt;0,
     COUNTIFS($AH$3:$AH$201,$M266)&gt;0,
     COUNTIFS($AI$3:$AI$201,$M266)&gt;0,
     COUNTIFS($AJ$3:$AJ$201,$M266)&gt;0,
     COUNTIFS($AK$3:$AK$201,$M266)&gt;0,
     COUNTIFS($AL$3:$AL$201,$M266)&gt;0,
     COUNTIFS($AM$3:$AM$201,$M266)&gt;0,
     COUNTIFS($AN$3:$AN$201,$M266)&gt;0,
     COUNTIFS($AO$3:$AO$201,$M266)&gt;0,
     COUNTIFS($AP$3:$AP$201,$M266)&gt;0,
     COUNTIFS($AQ$3:$AQ$201,$M266)&gt;0,
     COUNTIFS($AR$3:$AR$201,$M266)&gt;0,
     COUNTIFS($AS$3:$AS$201,$M266)&gt;0,
     COUNTIFS($AT$3:$AT$201,$M266)&gt;0,
     COUNTIFS($AU$3:$AU$201,$M266)&gt;0,
     COUNTIFS($AV$3:$AV$201,$M266)&gt;0,
     COUNTIFS($AW$3:$AW$201,$M266)&gt;0,
     COUNTIFS($AX$3:$AX$201,$M266)&gt;0
   )),
  ),
  2
 ),
"")</f>
        <v/>
      </c>
      <c r="Q266" s="2" t="str" cm="1">
        <f t="array" ref="Q266">IFERROR(
 INDEX(
  _xlfn._xlws.FILTER($U$2:$AX$2,
   TRANSPOSE(
    CHOOSE({1;2;3;4;5;6;7;8;9;10;11;12;13;14;15;16;17;18;19;20;21;22;23;24;25;26;27;28;29;30},
     COUNTIFS($U$3:$U$201,$M266)&gt;0,
     COUNTIFS($V$3:$V$201,$M266)&gt;0,
     COUNTIFS($W$3:$W$201,$M266)&gt;0,
     COUNTIFS($X$3:$X$201,$M266)&gt;0,
     COUNTIFS($Y$3:$Y$201,$M266)&gt;0,
     COUNTIFS($Z$3:$Z$201,$M266)&gt;0,
     COUNTIFS($AA$3:$AA$201,$M266)&gt;0,
     COUNTIFS($AB$3:$AB$201,$M266)&gt;0,
     COUNTIFS($AC$3:$AC$201,$M266)&gt;0,
     COUNTIFS($AD$3:$AD$201,$M266)&gt;0,
     COUNTIFS($AE$3:$AE$201,$M266)&gt;0,
     COUNTIFS($AF$3:$AF$201,$M266)&gt;0,
     COUNTIFS($AG$3:$AG$201,$M266)&gt;0,
     COUNTIFS($AH$3:$AH$201,$M266)&gt;0,
     COUNTIFS($AI$3:$AI$201,$M266)&gt;0,
     COUNTIFS($AJ$3:$AJ$201,$M266)&gt;0,
     COUNTIFS($AK$3:$AK$201,$M266)&gt;0,
     COUNTIFS($AL$3:$AL$201,$M266)&gt;0,
     COUNTIFS($AM$3:$AM$201,$M266)&gt;0,
     COUNTIFS($AN$3:$AN$201,$M266)&gt;0,
     COUNTIFS($AO$3:$AO$201,$M266)&gt;0,
     COUNTIFS($AP$3:$AP$201,$M266)&gt;0,
     COUNTIFS($AQ$3:$AQ$201,$M266)&gt;0,
     COUNTIFS($AR$3:$AR$201,$M266)&gt;0,
     COUNTIFS($AS$3:$AS$201,$M266)&gt;0,
     COUNTIFS($AT$3:$AT$201,$M266)&gt;0,
     COUNTIFS($AU$3:$AU$201,$M266)&gt;0,
     COUNTIFS($AV$3:$AV$201,$M266)&gt;0,
     COUNTIFS($AW$3:$AW$201,$M266)&gt;0,
     COUNTIFS($AX$3:$AX$201,$M266)&gt;0
   )),
  ),
  3
 ),
"")</f>
        <v/>
      </c>
    </row>
    <row r="267" spans="1:17" x14ac:dyDescent="0.25">
      <c r="A267" t="str">
        <f ca="1"/>
        <v>Mandate of Abaddon</v>
      </c>
      <c r="B267" s="2" t="str" cm="1">
        <f t="array" aca="1" ref="B267" ca="1">_xlfn.ANCHORARRAY(RESUMO!C266)</f>
        <v>Kresh</v>
      </c>
      <c r="C267" s="2" t="str">
        <f t="shared" ca="1" si="16"/>
        <v/>
      </c>
      <c r="F267" s="2">
        <f t="shared" si="19"/>
        <v>0</v>
      </c>
      <c r="G267" s="2" t="str">
        <f t="shared" ca="1" si="17"/>
        <v/>
      </c>
      <c r="J267" t="s">
        <v>180</v>
      </c>
      <c r="K267" s="2">
        <v>1</v>
      </c>
      <c r="N267" s="2">
        <f t="shared" si="18"/>
        <v>0</v>
      </c>
      <c r="O267" s="2" t="str">
        <f>IFERROR(
 INDEX($U$2:$AX$2,
  MATCH(TRUE,
   CHOOSE({1;2;3;4;5;6;7;8;9;10;11;12;13;14;15;16;17;18;19;20;21;22;23;24;25;26;27;28;29;30;31;32},
    COUNTIFS($U$3:$U$201,$M267)&gt;0,
    COUNTIFS($V$3:$V$201,$M267)&gt;0,
    COUNTIFS($W$3:$W$201,$M267)&gt;0,
    COUNTIFS($X$3:$X$201,$M267)&gt;0,
    COUNTIFS($Y$3:$Y$201,$M267)&gt;0,
    COUNTIFS($Z$3:$Z$201,$M267)&gt;0,
    COUNTIFS($AA$3:$AA$201,$M267)&gt;0,
    COUNTIFS($AB$3:$AB$201,$M267)&gt;0,
    COUNTIFS($AC$3:$AC$201,$M267)&gt;0,
    COUNTIFS($AD$3:$AD$201,$M267)&gt;0,
    COUNTIFS($AE$3:$AE$201,$M267)&gt;0,
    COUNTIFS($AF$3:$AF$201,$M267)&gt;0,
    COUNTIFS($AG$3:$AG$201,$M267)&gt;0,
    COUNTIFS($AH$3:$AH$201,$M267)&gt;0,
    COUNTIFS($AI$3:$AI$201,$M267)&gt;0,
    COUNTIFS($AJ$3:$AJ$201,$M267)&gt;0,
    COUNTIFS($AK$3:$AK$201,$M267)&gt;0,
    COUNTIFS($AL$3:$AL$201,$M267)&gt;0,
    COUNTIFS($AM$3:$AM$201,$M267)&gt;0,
    COUNTIFS($AN$3:$AN$201,$M267)&gt;0,
    COUNTIFS($AO$3:$AO$201,$M267)&gt;0,
    COUNTIFS($AP$3:$AP$201,$M267)&gt;0,
    COUNTIFS($AQ$3:$AQ$201,$M267)&gt;0,
    COUNTIFS($AR$3:$AR$201,$M267)&gt;0,
    COUNTIFS($AS$3:$AS$201,$M267)&gt;0,
    COUNTIFS($AT$3:$AT$201,$M267)&gt;0,
    COUNTIFS($AU$3:$AU$201,$M267)&gt;0,
    COUNTIFS($AV$3:$AV$201,$M267)&gt;0,
    COUNTIFS($AW$3:$AW$201,$M267)&gt;0,
    COUNTIFS($AX$3:$AX$201,$M267)&gt;0
   ),
  0)
 ),
"")</f>
        <v/>
      </c>
      <c r="P267" s="2" t="str" cm="1">
        <f t="array" ref="P267">IFERROR(
 INDEX(
  _xlfn._xlws.FILTER($U$2:$AX$2,
   TRANSPOSE(
    CHOOSE({1;2;3;4;5;6;7;8;9;10;11;12;13;14;15;16;17;18;19;20;21;22;23;24;25;26;27;28;29;30},
     COUNTIFS($U$3:$U$201,$M267)&gt;0,
     COUNTIFS($V$3:$V$201,$M267)&gt;0,
     COUNTIFS($W$3:$W$201,$M267)&gt;0,
     COUNTIFS($X$3:$X$201,$M267)&gt;0,
     COUNTIFS($Y$3:$Y$201,$M267)&gt;0,
     COUNTIFS($Z$3:$Z$201,$M267)&gt;0,
     COUNTIFS($AA$3:$AA$201,$M267)&gt;0,
     COUNTIFS($AB$3:$AB$201,$M267)&gt;0,
     COUNTIFS($AC$3:$AC$201,$M267)&gt;0,
     COUNTIFS($AD$3:$AD$201,$M267)&gt;0,
     COUNTIFS($AE$3:$AE$201,$M267)&gt;0,
     COUNTIFS($AF$3:$AF$201,$M267)&gt;0,
     COUNTIFS($AG$3:$AG$201,$M267)&gt;0,
     COUNTIFS($AH$3:$AH$201,$M267)&gt;0,
     COUNTIFS($AI$3:$AI$201,$M267)&gt;0,
     COUNTIFS($AJ$3:$AJ$201,$M267)&gt;0,
     COUNTIFS($AK$3:$AK$201,$M267)&gt;0,
     COUNTIFS($AL$3:$AL$201,$M267)&gt;0,
     COUNTIFS($AM$3:$AM$201,$M267)&gt;0,
     COUNTIFS($AN$3:$AN$201,$M267)&gt;0,
     COUNTIFS($AO$3:$AO$201,$M267)&gt;0,
     COUNTIFS($AP$3:$AP$201,$M267)&gt;0,
     COUNTIFS($AQ$3:$AQ$201,$M267)&gt;0,
     COUNTIFS($AR$3:$AR$201,$M267)&gt;0,
     COUNTIFS($AS$3:$AS$201,$M267)&gt;0,
     COUNTIFS($AT$3:$AT$201,$M267)&gt;0,
     COUNTIFS($AU$3:$AU$201,$M267)&gt;0,
     COUNTIFS($AV$3:$AV$201,$M267)&gt;0,
     COUNTIFS($AW$3:$AW$201,$M267)&gt;0,
     COUNTIFS($AX$3:$AX$201,$M267)&gt;0
   )),
  ),
  2
 ),
"")</f>
        <v/>
      </c>
      <c r="Q267" s="2" t="str" cm="1">
        <f t="array" ref="Q267">IFERROR(
 INDEX(
  _xlfn._xlws.FILTER($U$2:$AX$2,
   TRANSPOSE(
    CHOOSE({1;2;3;4;5;6;7;8;9;10;11;12;13;14;15;16;17;18;19;20;21;22;23;24;25;26;27;28;29;30},
     COUNTIFS($U$3:$U$201,$M267)&gt;0,
     COUNTIFS($V$3:$V$201,$M267)&gt;0,
     COUNTIFS($W$3:$W$201,$M267)&gt;0,
     COUNTIFS($X$3:$X$201,$M267)&gt;0,
     COUNTIFS($Y$3:$Y$201,$M267)&gt;0,
     COUNTIFS($Z$3:$Z$201,$M267)&gt;0,
     COUNTIFS($AA$3:$AA$201,$M267)&gt;0,
     COUNTIFS($AB$3:$AB$201,$M267)&gt;0,
     COUNTIFS($AC$3:$AC$201,$M267)&gt;0,
     COUNTIFS($AD$3:$AD$201,$M267)&gt;0,
     COUNTIFS($AE$3:$AE$201,$M267)&gt;0,
     COUNTIFS($AF$3:$AF$201,$M267)&gt;0,
     COUNTIFS($AG$3:$AG$201,$M267)&gt;0,
     COUNTIFS($AH$3:$AH$201,$M267)&gt;0,
     COUNTIFS($AI$3:$AI$201,$M267)&gt;0,
     COUNTIFS($AJ$3:$AJ$201,$M267)&gt;0,
     COUNTIFS($AK$3:$AK$201,$M267)&gt;0,
     COUNTIFS($AL$3:$AL$201,$M267)&gt;0,
     COUNTIFS($AM$3:$AM$201,$M267)&gt;0,
     COUNTIFS($AN$3:$AN$201,$M267)&gt;0,
     COUNTIFS($AO$3:$AO$201,$M267)&gt;0,
     COUNTIFS($AP$3:$AP$201,$M267)&gt;0,
     COUNTIFS($AQ$3:$AQ$201,$M267)&gt;0,
     COUNTIFS($AR$3:$AR$201,$M267)&gt;0,
     COUNTIFS($AS$3:$AS$201,$M267)&gt;0,
     COUNTIFS($AT$3:$AT$201,$M267)&gt;0,
     COUNTIFS($AU$3:$AU$201,$M267)&gt;0,
     COUNTIFS($AV$3:$AV$201,$M267)&gt;0,
     COUNTIFS($AW$3:$AW$201,$M267)&gt;0,
     COUNTIFS($AX$3:$AX$201,$M267)&gt;0
   )),
  ),
  3
 ),
"")</f>
        <v/>
      </c>
    </row>
    <row r="268" spans="1:17" x14ac:dyDescent="0.25">
      <c r="A268" t="str">
        <f ca="1"/>
        <v>March of the Canonized</v>
      </c>
      <c r="B268" s="2" t="str" cm="1">
        <f t="array" aca="1" ref="B268" ca="1">_xlfn.ANCHORARRAY(RESUMO!C267)</f>
        <v>Baylen</v>
      </c>
      <c r="C268" s="2" t="str">
        <f t="shared" ca="1" si="16"/>
        <v/>
      </c>
      <c r="F268" s="2">
        <f t="shared" si="19"/>
        <v>0</v>
      </c>
      <c r="G268" s="2" t="str">
        <f t="shared" ca="1" si="17"/>
        <v/>
      </c>
      <c r="J268" t="s">
        <v>180</v>
      </c>
      <c r="K268" s="2">
        <v>1</v>
      </c>
      <c r="N268" s="2">
        <f t="shared" si="18"/>
        <v>0</v>
      </c>
      <c r="O268" s="2" t="str">
        <f>IFERROR(
 INDEX($U$2:$AX$2,
  MATCH(TRUE,
   CHOOSE({1;2;3;4;5;6;7;8;9;10;11;12;13;14;15;16;17;18;19;20;21;22;23;24;25;26;27;28;29;30;31;32},
    COUNTIFS($U$3:$U$201,$M268)&gt;0,
    COUNTIFS($V$3:$V$201,$M268)&gt;0,
    COUNTIFS($W$3:$W$201,$M268)&gt;0,
    COUNTIFS($X$3:$X$201,$M268)&gt;0,
    COUNTIFS($Y$3:$Y$201,$M268)&gt;0,
    COUNTIFS($Z$3:$Z$201,$M268)&gt;0,
    COUNTIFS($AA$3:$AA$201,$M268)&gt;0,
    COUNTIFS($AB$3:$AB$201,$M268)&gt;0,
    COUNTIFS($AC$3:$AC$201,$M268)&gt;0,
    COUNTIFS($AD$3:$AD$201,$M268)&gt;0,
    COUNTIFS($AE$3:$AE$201,$M268)&gt;0,
    COUNTIFS($AF$3:$AF$201,$M268)&gt;0,
    COUNTIFS($AG$3:$AG$201,$M268)&gt;0,
    COUNTIFS($AH$3:$AH$201,$M268)&gt;0,
    COUNTIFS($AI$3:$AI$201,$M268)&gt;0,
    COUNTIFS($AJ$3:$AJ$201,$M268)&gt;0,
    COUNTIFS($AK$3:$AK$201,$M268)&gt;0,
    COUNTIFS($AL$3:$AL$201,$M268)&gt;0,
    COUNTIFS($AM$3:$AM$201,$M268)&gt;0,
    COUNTIFS($AN$3:$AN$201,$M268)&gt;0,
    COUNTIFS($AO$3:$AO$201,$M268)&gt;0,
    COUNTIFS($AP$3:$AP$201,$M268)&gt;0,
    COUNTIFS($AQ$3:$AQ$201,$M268)&gt;0,
    COUNTIFS($AR$3:$AR$201,$M268)&gt;0,
    COUNTIFS($AS$3:$AS$201,$M268)&gt;0,
    COUNTIFS($AT$3:$AT$201,$M268)&gt;0,
    COUNTIFS($AU$3:$AU$201,$M268)&gt;0,
    COUNTIFS($AV$3:$AV$201,$M268)&gt;0,
    COUNTIFS($AW$3:$AW$201,$M268)&gt;0,
    COUNTIFS($AX$3:$AX$201,$M268)&gt;0
   ),
  0)
 ),
"")</f>
        <v/>
      </c>
      <c r="P268" s="2" t="str" cm="1">
        <f t="array" ref="P268">IFERROR(
 INDEX(
  _xlfn._xlws.FILTER($U$2:$AX$2,
   TRANSPOSE(
    CHOOSE({1;2;3;4;5;6;7;8;9;10;11;12;13;14;15;16;17;18;19;20;21;22;23;24;25;26;27;28;29;30},
     COUNTIFS($U$3:$U$201,$M268)&gt;0,
     COUNTIFS($V$3:$V$201,$M268)&gt;0,
     COUNTIFS($W$3:$W$201,$M268)&gt;0,
     COUNTIFS($X$3:$X$201,$M268)&gt;0,
     COUNTIFS($Y$3:$Y$201,$M268)&gt;0,
     COUNTIFS($Z$3:$Z$201,$M268)&gt;0,
     COUNTIFS($AA$3:$AA$201,$M268)&gt;0,
     COUNTIFS($AB$3:$AB$201,$M268)&gt;0,
     COUNTIFS($AC$3:$AC$201,$M268)&gt;0,
     COUNTIFS($AD$3:$AD$201,$M268)&gt;0,
     COUNTIFS($AE$3:$AE$201,$M268)&gt;0,
     COUNTIFS($AF$3:$AF$201,$M268)&gt;0,
     COUNTIFS($AG$3:$AG$201,$M268)&gt;0,
     COUNTIFS($AH$3:$AH$201,$M268)&gt;0,
     COUNTIFS($AI$3:$AI$201,$M268)&gt;0,
     COUNTIFS($AJ$3:$AJ$201,$M268)&gt;0,
     COUNTIFS($AK$3:$AK$201,$M268)&gt;0,
     COUNTIFS($AL$3:$AL$201,$M268)&gt;0,
     COUNTIFS($AM$3:$AM$201,$M268)&gt;0,
     COUNTIFS($AN$3:$AN$201,$M268)&gt;0,
     COUNTIFS($AO$3:$AO$201,$M268)&gt;0,
     COUNTIFS($AP$3:$AP$201,$M268)&gt;0,
     COUNTIFS($AQ$3:$AQ$201,$M268)&gt;0,
     COUNTIFS($AR$3:$AR$201,$M268)&gt;0,
     COUNTIFS($AS$3:$AS$201,$M268)&gt;0,
     COUNTIFS($AT$3:$AT$201,$M268)&gt;0,
     COUNTIFS($AU$3:$AU$201,$M268)&gt;0,
     COUNTIFS($AV$3:$AV$201,$M268)&gt;0,
     COUNTIFS($AW$3:$AW$201,$M268)&gt;0,
     COUNTIFS($AX$3:$AX$201,$M268)&gt;0
   )),
  ),
  2
 ),
"")</f>
        <v/>
      </c>
      <c r="Q268" s="2" t="str" cm="1">
        <f t="array" ref="Q268">IFERROR(
 INDEX(
  _xlfn._xlws.FILTER($U$2:$AX$2,
   TRANSPOSE(
    CHOOSE({1;2;3;4;5;6;7;8;9;10;11;12;13;14;15;16;17;18;19;20;21;22;23;24;25;26;27;28;29;30},
     COUNTIFS($U$3:$U$201,$M268)&gt;0,
     COUNTIFS($V$3:$V$201,$M268)&gt;0,
     COUNTIFS($W$3:$W$201,$M268)&gt;0,
     COUNTIFS($X$3:$X$201,$M268)&gt;0,
     COUNTIFS($Y$3:$Y$201,$M268)&gt;0,
     COUNTIFS($Z$3:$Z$201,$M268)&gt;0,
     COUNTIFS($AA$3:$AA$201,$M268)&gt;0,
     COUNTIFS($AB$3:$AB$201,$M268)&gt;0,
     COUNTIFS($AC$3:$AC$201,$M268)&gt;0,
     COUNTIFS($AD$3:$AD$201,$M268)&gt;0,
     COUNTIFS($AE$3:$AE$201,$M268)&gt;0,
     COUNTIFS($AF$3:$AF$201,$M268)&gt;0,
     COUNTIFS($AG$3:$AG$201,$M268)&gt;0,
     COUNTIFS($AH$3:$AH$201,$M268)&gt;0,
     COUNTIFS($AI$3:$AI$201,$M268)&gt;0,
     COUNTIFS($AJ$3:$AJ$201,$M268)&gt;0,
     COUNTIFS($AK$3:$AK$201,$M268)&gt;0,
     COUNTIFS($AL$3:$AL$201,$M268)&gt;0,
     COUNTIFS($AM$3:$AM$201,$M268)&gt;0,
     COUNTIFS($AN$3:$AN$201,$M268)&gt;0,
     COUNTIFS($AO$3:$AO$201,$M268)&gt;0,
     COUNTIFS($AP$3:$AP$201,$M268)&gt;0,
     COUNTIFS($AQ$3:$AQ$201,$M268)&gt;0,
     COUNTIFS($AR$3:$AR$201,$M268)&gt;0,
     COUNTIFS($AS$3:$AS$201,$M268)&gt;0,
     COUNTIFS($AT$3:$AT$201,$M268)&gt;0,
     COUNTIFS($AU$3:$AU$201,$M268)&gt;0,
     COUNTIFS($AV$3:$AV$201,$M268)&gt;0,
     COUNTIFS($AW$3:$AW$201,$M268)&gt;0,
     COUNTIFS($AX$3:$AX$201,$M268)&gt;0
   )),
  ),
  3
 ),
"")</f>
        <v/>
      </c>
    </row>
    <row r="269" spans="1:17" x14ac:dyDescent="0.25">
      <c r="A269" t="str">
        <f ca="1"/>
        <v>Mardu Ascendancy</v>
      </c>
      <c r="B269" s="2" t="str" cm="1">
        <f t="array" aca="1" ref="B269" ca="1">_xlfn.ANCHORARRAY(RESUMO!C268)</f>
        <v>Little</v>
      </c>
      <c r="C269" s="2" t="str">
        <f t="shared" ca="1" si="16"/>
        <v/>
      </c>
      <c r="F269" s="2">
        <f t="shared" si="19"/>
        <v>0</v>
      </c>
      <c r="G269" s="2" t="str">
        <f t="shared" ca="1" si="17"/>
        <v/>
      </c>
      <c r="J269" t="s">
        <v>180</v>
      </c>
      <c r="K269" s="2">
        <v>1</v>
      </c>
      <c r="N269" s="2">
        <f t="shared" si="18"/>
        <v>0</v>
      </c>
      <c r="O269" s="2" t="str">
        <f>IFERROR(
 INDEX($U$2:$AX$2,
  MATCH(TRUE,
   CHOOSE({1;2;3;4;5;6;7;8;9;10;11;12;13;14;15;16;17;18;19;20;21;22;23;24;25;26;27;28;29;30;31;32},
    COUNTIFS($U$3:$U$201,$M269)&gt;0,
    COUNTIFS($V$3:$V$201,$M269)&gt;0,
    COUNTIFS($W$3:$W$201,$M269)&gt;0,
    COUNTIFS($X$3:$X$201,$M269)&gt;0,
    COUNTIFS($Y$3:$Y$201,$M269)&gt;0,
    COUNTIFS($Z$3:$Z$201,$M269)&gt;0,
    COUNTIFS($AA$3:$AA$201,$M269)&gt;0,
    COUNTIFS($AB$3:$AB$201,$M269)&gt;0,
    COUNTIFS($AC$3:$AC$201,$M269)&gt;0,
    COUNTIFS($AD$3:$AD$201,$M269)&gt;0,
    COUNTIFS($AE$3:$AE$201,$M269)&gt;0,
    COUNTIFS($AF$3:$AF$201,$M269)&gt;0,
    COUNTIFS($AG$3:$AG$201,$M269)&gt;0,
    COUNTIFS($AH$3:$AH$201,$M269)&gt;0,
    COUNTIFS($AI$3:$AI$201,$M269)&gt;0,
    COUNTIFS($AJ$3:$AJ$201,$M269)&gt;0,
    COUNTIFS($AK$3:$AK$201,$M269)&gt;0,
    COUNTIFS($AL$3:$AL$201,$M269)&gt;0,
    COUNTIFS($AM$3:$AM$201,$M269)&gt;0,
    COUNTIFS($AN$3:$AN$201,$M269)&gt;0,
    COUNTIFS($AO$3:$AO$201,$M269)&gt;0,
    COUNTIFS($AP$3:$AP$201,$M269)&gt;0,
    COUNTIFS($AQ$3:$AQ$201,$M269)&gt;0,
    COUNTIFS($AR$3:$AR$201,$M269)&gt;0,
    COUNTIFS($AS$3:$AS$201,$M269)&gt;0,
    COUNTIFS($AT$3:$AT$201,$M269)&gt;0,
    COUNTIFS($AU$3:$AU$201,$M269)&gt;0,
    COUNTIFS($AV$3:$AV$201,$M269)&gt;0,
    COUNTIFS($AW$3:$AW$201,$M269)&gt;0,
    COUNTIFS($AX$3:$AX$201,$M269)&gt;0
   ),
  0)
 ),
"")</f>
        <v/>
      </c>
      <c r="P269" s="2" t="str" cm="1">
        <f t="array" ref="P269">IFERROR(
 INDEX(
  _xlfn._xlws.FILTER($U$2:$AX$2,
   TRANSPOSE(
    CHOOSE({1;2;3;4;5;6;7;8;9;10;11;12;13;14;15;16;17;18;19;20;21;22;23;24;25;26;27;28;29;30},
     COUNTIFS($U$3:$U$201,$M269)&gt;0,
     COUNTIFS($V$3:$V$201,$M269)&gt;0,
     COUNTIFS($W$3:$W$201,$M269)&gt;0,
     COUNTIFS($X$3:$X$201,$M269)&gt;0,
     COUNTIFS($Y$3:$Y$201,$M269)&gt;0,
     COUNTIFS($Z$3:$Z$201,$M269)&gt;0,
     COUNTIFS($AA$3:$AA$201,$M269)&gt;0,
     COUNTIFS($AB$3:$AB$201,$M269)&gt;0,
     COUNTIFS($AC$3:$AC$201,$M269)&gt;0,
     COUNTIFS($AD$3:$AD$201,$M269)&gt;0,
     COUNTIFS($AE$3:$AE$201,$M269)&gt;0,
     COUNTIFS($AF$3:$AF$201,$M269)&gt;0,
     COUNTIFS($AG$3:$AG$201,$M269)&gt;0,
     COUNTIFS($AH$3:$AH$201,$M269)&gt;0,
     COUNTIFS($AI$3:$AI$201,$M269)&gt;0,
     COUNTIFS($AJ$3:$AJ$201,$M269)&gt;0,
     COUNTIFS($AK$3:$AK$201,$M269)&gt;0,
     COUNTIFS($AL$3:$AL$201,$M269)&gt;0,
     COUNTIFS($AM$3:$AM$201,$M269)&gt;0,
     COUNTIFS($AN$3:$AN$201,$M269)&gt;0,
     COUNTIFS($AO$3:$AO$201,$M269)&gt;0,
     COUNTIFS($AP$3:$AP$201,$M269)&gt;0,
     COUNTIFS($AQ$3:$AQ$201,$M269)&gt;0,
     COUNTIFS($AR$3:$AR$201,$M269)&gt;0,
     COUNTIFS($AS$3:$AS$201,$M269)&gt;0,
     COUNTIFS($AT$3:$AT$201,$M269)&gt;0,
     COUNTIFS($AU$3:$AU$201,$M269)&gt;0,
     COUNTIFS($AV$3:$AV$201,$M269)&gt;0,
     COUNTIFS($AW$3:$AW$201,$M269)&gt;0,
     COUNTIFS($AX$3:$AX$201,$M269)&gt;0
   )),
  ),
  2
 ),
"")</f>
        <v/>
      </c>
      <c r="Q269" s="2" t="str" cm="1">
        <f t="array" ref="Q269">IFERROR(
 INDEX(
  _xlfn._xlws.FILTER($U$2:$AX$2,
   TRANSPOSE(
    CHOOSE({1;2;3;4;5;6;7;8;9;10;11;12;13;14;15;16;17;18;19;20;21;22;23;24;25;26;27;28;29;30},
     COUNTIFS($U$3:$U$201,$M269)&gt;0,
     COUNTIFS($V$3:$V$201,$M269)&gt;0,
     COUNTIFS($W$3:$W$201,$M269)&gt;0,
     COUNTIFS($X$3:$X$201,$M269)&gt;0,
     COUNTIFS($Y$3:$Y$201,$M269)&gt;0,
     COUNTIFS($Z$3:$Z$201,$M269)&gt;0,
     COUNTIFS($AA$3:$AA$201,$M269)&gt;0,
     COUNTIFS($AB$3:$AB$201,$M269)&gt;0,
     COUNTIFS($AC$3:$AC$201,$M269)&gt;0,
     COUNTIFS($AD$3:$AD$201,$M269)&gt;0,
     COUNTIFS($AE$3:$AE$201,$M269)&gt;0,
     COUNTIFS($AF$3:$AF$201,$M269)&gt;0,
     COUNTIFS($AG$3:$AG$201,$M269)&gt;0,
     COUNTIFS($AH$3:$AH$201,$M269)&gt;0,
     COUNTIFS($AI$3:$AI$201,$M269)&gt;0,
     COUNTIFS($AJ$3:$AJ$201,$M269)&gt;0,
     COUNTIFS($AK$3:$AK$201,$M269)&gt;0,
     COUNTIFS($AL$3:$AL$201,$M269)&gt;0,
     COUNTIFS($AM$3:$AM$201,$M269)&gt;0,
     COUNTIFS($AN$3:$AN$201,$M269)&gt;0,
     COUNTIFS($AO$3:$AO$201,$M269)&gt;0,
     COUNTIFS($AP$3:$AP$201,$M269)&gt;0,
     COUNTIFS($AQ$3:$AQ$201,$M269)&gt;0,
     COUNTIFS($AR$3:$AR$201,$M269)&gt;0,
     COUNTIFS($AS$3:$AS$201,$M269)&gt;0,
     COUNTIFS($AT$3:$AT$201,$M269)&gt;0,
     COUNTIFS($AU$3:$AU$201,$M269)&gt;0,
     COUNTIFS($AV$3:$AV$201,$M269)&gt;0,
     COUNTIFS($AW$3:$AW$201,$M269)&gt;0,
     COUNTIFS($AX$3:$AX$201,$M269)&gt;0
   )),
  ),
  3
 ),
"")</f>
        <v/>
      </c>
    </row>
    <row r="270" spans="1:17" x14ac:dyDescent="0.25">
      <c r="A270" t="str">
        <f ca="1"/>
        <v>Mask of Griselbrand</v>
      </c>
      <c r="B270" s="2" t="str" cm="1">
        <f t="array" aca="1" ref="B270" ca="1">_xlfn.ANCHORARRAY(RESUMO!C269)</f>
        <v>Kresh</v>
      </c>
      <c r="C270" s="2" t="str">
        <f t="shared" ca="1" si="16"/>
        <v/>
      </c>
      <c r="F270" s="2">
        <f t="shared" si="19"/>
        <v>0</v>
      </c>
      <c r="G270" s="2" t="str">
        <f t="shared" ca="1" si="17"/>
        <v/>
      </c>
      <c r="J270" t="s">
        <v>180</v>
      </c>
      <c r="K270" s="2">
        <v>1</v>
      </c>
      <c r="N270" s="2">
        <f t="shared" si="18"/>
        <v>0</v>
      </c>
      <c r="O270" s="2" t="str">
        <f>IFERROR(
 INDEX($U$2:$AX$2,
  MATCH(TRUE,
   CHOOSE({1;2;3;4;5;6;7;8;9;10;11;12;13;14;15;16;17;18;19;20;21;22;23;24;25;26;27;28;29;30;31;32},
    COUNTIFS($U$3:$U$201,$M270)&gt;0,
    COUNTIFS($V$3:$V$201,$M270)&gt;0,
    COUNTIFS($W$3:$W$201,$M270)&gt;0,
    COUNTIFS($X$3:$X$201,$M270)&gt;0,
    COUNTIFS($Y$3:$Y$201,$M270)&gt;0,
    COUNTIFS($Z$3:$Z$201,$M270)&gt;0,
    COUNTIFS($AA$3:$AA$201,$M270)&gt;0,
    COUNTIFS($AB$3:$AB$201,$M270)&gt;0,
    COUNTIFS($AC$3:$AC$201,$M270)&gt;0,
    COUNTIFS($AD$3:$AD$201,$M270)&gt;0,
    COUNTIFS($AE$3:$AE$201,$M270)&gt;0,
    COUNTIFS($AF$3:$AF$201,$M270)&gt;0,
    COUNTIFS($AG$3:$AG$201,$M270)&gt;0,
    COUNTIFS($AH$3:$AH$201,$M270)&gt;0,
    COUNTIFS($AI$3:$AI$201,$M270)&gt;0,
    COUNTIFS($AJ$3:$AJ$201,$M270)&gt;0,
    COUNTIFS($AK$3:$AK$201,$M270)&gt;0,
    COUNTIFS($AL$3:$AL$201,$M270)&gt;0,
    COUNTIFS($AM$3:$AM$201,$M270)&gt;0,
    COUNTIFS($AN$3:$AN$201,$M270)&gt;0,
    COUNTIFS($AO$3:$AO$201,$M270)&gt;0,
    COUNTIFS($AP$3:$AP$201,$M270)&gt;0,
    COUNTIFS($AQ$3:$AQ$201,$M270)&gt;0,
    COUNTIFS($AR$3:$AR$201,$M270)&gt;0,
    COUNTIFS($AS$3:$AS$201,$M270)&gt;0,
    COUNTIFS($AT$3:$AT$201,$M270)&gt;0,
    COUNTIFS($AU$3:$AU$201,$M270)&gt;0,
    COUNTIFS($AV$3:$AV$201,$M270)&gt;0,
    COUNTIFS($AW$3:$AW$201,$M270)&gt;0,
    COUNTIFS($AX$3:$AX$201,$M270)&gt;0
   ),
  0)
 ),
"")</f>
        <v/>
      </c>
      <c r="P270" s="2" t="str" cm="1">
        <f t="array" ref="P270">IFERROR(
 INDEX(
  _xlfn._xlws.FILTER($U$2:$AX$2,
   TRANSPOSE(
    CHOOSE({1;2;3;4;5;6;7;8;9;10;11;12;13;14;15;16;17;18;19;20;21;22;23;24;25;26;27;28;29;30},
     COUNTIFS($U$3:$U$201,$M270)&gt;0,
     COUNTIFS($V$3:$V$201,$M270)&gt;0,
     COUNTIFS($W$3:$W$201,$M270)&gt;0,
     COUNTIFS($X$3:$X$201,$M270)&gt;0,
     COUNTIFS($Y$3:$Y$201,$M270)&gt;0,
     COUNTIFS($Z$3:$Z$201,$M270)&gt;0,
     COUNTIFS($AA$3:$AA$201,$M270)&gt;0,
     COUNTIFS($AB$3:$AB$201,$M270)&gt;0,
     COUNTIFS($AC$3:$AC$201,$M270)&gt;0,
     COUNTIFS($AD$3:$AD$201,$M270)&gt;0,
     COUNTIFS($AE$3:$AE$201,$M270)&gt;0,
     COUNTIFS($AF$3:$AF$201,$M270)&gt;0,
     COUNTIFS($AG$3:$AG$201,$M270)&gt;0,
     COUNTIFS($AH$3:$AH$201,$M270)&gt;0,
     COUNTIFS($AI$3:$AI$201,$M270)&gt;0,
     COUNTIFS($AJ$3:$AJ$201,$M270)&gt;0,
     COUNTIFS($AK$3:$AK$201,$M270)&gt;0,
     COUNTIFS($AL$3:$AL$201,$M270)&gt;0,
     COUNTIFS($AM$3:$AM$201,$M270)&gt;0,
     COUNTIFS($AN$3:$AN$201,$M270)&gt;0,
     COUNTIFS($AO$3:$AO$201,$M270)&gt;0,
     COUNTIFS($AP$3:$AP$201,$M270)&gt;0,
     COUNTIFS($AQ$3:$AQ$201,$M270)&gt;0,
     COUNTIFS($AR$3:$AR$201,$M270)&gt;0,
     COUNTIFS($AS$3:$AS$201,$M270)&gt;0,
     COUNTIFS($AT$3:$AT$201,$M270)&gt;0,
     COUNTIFS($AU$3:$AU$201,$M270)&gt;0,
     COUNTIFS($AV$3:$AV$201,$M270)&gt;0,
     COUNTIFS($AW$3:$AW$201,$M270)&gt;0,
     COUNTIFS($AX$3:$AX$201,$M270)&gt;0
   )),
  ),
  2
 ),
"")</f>
        <v/>
      </c>
      <c r="Q270" s="2" t="str" cm="1">
        <f t="array" ref="Q270">IFERROR(
 INDEX(
  _xlfn._xlws.FILTER($U$2:$AX$2,
   TRANSPOSE(
    CHOOSE({1;2;3;4;5;6;7;8;9;10;11;12;13;14;15;16;17;18;19;20;21;22;23;24;25;26;27;28;29;30},
     COUNTIFS($U$3:$U$201,$M270)&gt;0,
     COUNTIFS($V$3:$V$201,$M270)&gt;0,
     COUNTIFS($W$3:$W$201,$M270)&gt;0,
     COUNTIFS($X$3:$X$201,$M270)&gt;0,
     COUNTIFS($Y$3:$Y$201,$M270)&gt;0,
     COUNTIFS($Z$3:$Z$201,$M270)&gt;0,
     COUNTIFS($AA$3:$AA$201,$M270)&gt;0,
     COUNTIFS($AB$3:$AB$201,$M270)&gt;0,
     COUNTIFS($AC$3:$AC$201,$M270)&gt;0,
     COUNTIFS($AD$3:$AD$201,$M270)&gt;0,
     COUNTIFS($AE$3:$AE$201,$M270)&gt;0,
     COUNTIFS($AF$3:$AF$201,$M270)&gt;0,
     COUNTIFS($AG$3:$AG$201,$M270)&gt;0,
     COUNTIFS($AH$3:$AH$201,$M270)&gt;0,
     COUNTIFS($AI$3:$AI$201,$M270)&gt;0,
     COUNTIFS($AJ$3:$AJ$201,$M270)&gt;0,
     COUNTIFS($AK$3:$AK$201,$M270)&gt;0,
     COUNTIFS($AL$3:$AL$201,$M270)&gt;0,
     COUNTIFS($AM$3:$AM$201,$M270)&gt;0,
     COUNTIFS($AN$3:$AN$201,$M270)&gt;0,
     COUNTIFS($AO$3:$AO$201,$M270)&gt;0,
     COUNTIFS($AP$3:$AP$201,$M270)&gt;0,
     COUNTIFS($AQ$3:$AQ$201,$M270)&gt;0,
     COUNTIFS($AR$3:$AR$201,$M270)&gt;0,
     COUNTIFS($AS$3:$AS$201,$M270)&gt;0,
     COUNTIFS($AT$3:$AT$201,$M270)&gt;0,
     COUNTIFS($AU$3:$AU$201,$M270)&gt;0,
     COUNTIFS($AV$3:$AV$201,$M270)&gt;0,
     COUNTIFS($AW$3:$AW$201,$M270)&gt;0,
     COUNTIFS($AX$3:$AX$201,$M270)&gt;0
   )),
  ),
  3
 ),
"")</f>
        <v/>
      </c>
    </row>
    <row r="271" spans="1:17" x14ac:dyDescent="0.25">
      <c r="A271" t="str">
        <f ca="1"/>
        <v>Merchant of Truth</v>
      </c>
      <c r="B271" s="2" t="str" cm="1">
        <f t="array" aca="1" ref="B271" ca="1">_xlfn.ANCHORARRAY(RESUMO!C270)</f>
        <v>Zuko</v>
      </c>
      <c r="C271" s="2" t="str">
        <f t="shared" ca="1" si="16"/>
        <v/>
      </c>
      <c r="F271" s="2">
        <f t="shared" si="19"/>
        <v>0</v>
      </c>
      <c r="G271" s="2" t="str">
        <f t="shared" ca="1" si="17"/>
        <v/>
      </c>
      <c r="J271" t="s">
        <v>180</v>
      </c>
      <c r="K271" s="2">
        <v>1</v>
      </c>
      <c r="N271" s="2">
        <f t="shared" si="18"/>
        <v>0</v>
      </c>
      <c r="O271" s="2" t="str">
        <f>IFERROR(
 INDEX($U$2:$AX$2,
  MATCH(TRUE,
   CHOOSE({1;2;3;4;5;6;7;8;9;10;11;12;13;14;15;16;17;18;19;20;21;22;23;24;25;26;27;28;29;30;31;32},
    COUNTIFS($U$3:$U$201,$M271)&gt;0,
    COUNTIFS($V$3:$V$201,$M271)&gt;0,
    COUNTIFS($W$3:$W$201,$M271)&gt;0,
    COUNTIFS($X$3:$X$201,$M271)&gt;0,
    COUNTIFS($Y$3:$Y$201,$M271)&gt;0,
    COUNTIFS($Z$3:$Z$201,$M271)&gt;0,
    COUNTIFS($AA$3:$AA$201,$M271)&gt;0,
    COUNTIFS($AB$3:$AB$201,$M271)&gt;0,
    COUNTIFS($AC$3:$AC$201,$M271)&gt;0,
    COUNTIFS($AD$3:$AD$201,$M271)&gt;0,
    COUNTIFS($AE$3:$AE$201,$M271)&gt;0,
    COUNTIFS($AF$3:$AF$201,$M271)&gt;0,
    COUNTIFS($AG$3:$AG$201,$M271)&gt;0,
    COUNTIFS($AH$3:$AH$201,$M271)&gt;0,
    COUNTIFS($AI$3:$AI$201,$M271)&gt;0,
    COUNTIFS($AJ$3:$AJ$201,$M271)&gt;0,
    COUNTIFS($AK$3:$AK$201,$M271)&gt;0,
    COUNTIFS($AL$3:$AL$201,$M271)&gt;0,
    COUNTIFS($AM$3:$AM$201,$M271)&gt;0,
    COUNTIFS($AN$3:$AN$201,$M271)&gt;0,
    COUNTIFS($AO$3:$AO$201,$M271)&gt;0,
    COUNTIFS($AP$3:$AP$201,$M271)&gt;0,
    COUNTIFS($AQ$3:$AQ$201,$M271)&gt;0,
    COUNTIFS($AR$3:$AR$201,$M271)&gt;0,
    COUNTIFS($AS$3:$AS$201,$M271)&gt;0,
    COUNTIFS($AT$3:$AT$201,$M271)&gt;0,
    COUNTIFS($AU$3:$AU$201,$M271)&gt;0,
    COUNTIFS($AV$3:$AV$201,$M271)&gt;0,
    COUNTIFS($AW$3:$AW$201,$M271)&gt;0,
    COUNTIFS($AX$3:$AX$201,$M271)&gt;0
   ),
  0)
 ),
"")</f>
        <v/>
      </c>
      <c r="P271" s="2" t="str" cm="1">
        <f t="array" ref="P271">IFERROR(
 INDEX(
  _xlfn._xlws.FILTER($U$2:$AX$2,
   TRANSPOSE(
    CHOOSE({1;2;3;4;5;6;7;8;9;10;11;12;13;14;15;16;17;18;19;20;21;22;23;24;25;26;27;28;29;30},
     COUNTIFS($U$3:$U$201,$M271)&gt;0,
     COUNTIFS($V$3:$V$201,$M271)&gt;0,
     COUNTIFS($W$3:$W$201,$M271)&gt;0,
     COUNTIFS($X$3:$X$201,$M271)&gt;0,
     COUNTIFS($Y$3:$Y$201,$M271)&gt;0,
     COUNTIFS($Z$3:$Z$201,$M271)&gt;0,
     COUNTIFS($AA$3:$AA$201,$M271)&gt;0,
     COUNTIFS($AB$3:$AB$201,$M271)&gt;0,
     COUNTIFS($AC$3:$AC$201,$M271)&gt;0,
     COUNTIFS($AD$3:$AD$201,$M271)&gt;0,
     COUNTIFS($AE$3:$AE$201,$M271)&gt;0,
     COUNTIFS($AF$3:$AF$201,$M271)&gt;0,
     COUNTIFS($AG$3:$AG$201,$M271)&gt;0,
     COUNTIFS($AH$3:$AH$201,$M271)&gt;0,
     COUNTIFS($AI$3:$AI$201,$M271)&gt;0,
     COUNTIFS($AJ$3:$AJ$201,$M271)&gt;0,
     COUNTIFS($AK$3:$AK$201,$M271)&gt;0,
     COUNTIFS($AL$3:$AL$201,$M271)&gt;0,
     COUNTIFS($AM$3:$AM$201,$M271)&gt;0,
     COUNTIFS($AN$3:$AN$201,$M271)&gt;0,
     COUNTIFS($AO$3:$AO$201,$M271)&gt;0,
     COUNTIFS($AP$3:$AP$201,$M271)&gt;0,
     COUNTIFS($AQ$3:$AQ$201,$M271)&gt;0,
     COUNTIFS($AR$3:$AR$201,$M271)&gt;0,
     COUNTIFS($AS$3:$AS$201,$M271)&gt;0,
     COUNTIFS($AT$3:$AT$201,$M271)&gt;0,
     COUNTIFS($AU$3:$AU$201,$M271)&gt;0,
     COUNTIFS($AV$3:$AV$201,$M271)&gt;0,
     COUNTIFS($AW$3:$AW$201,$M271)&gt;0,
     COUNTIFS($AX$3:$AX$201,$M271)&gt;0
   )),
  ),
  2
 ),
"")</f>
        <v/>
      </c>
      <c r="Q271" s="2" t="str" cm="1">
        <f t="array" ref="Q271">IFERROR(
 INDEX(
  _xlfn._xlws.FILTER($U$2:$AX$2,
   TRANSPOSE(
    CHOOSE({1;2;3;4;5;6;7;8;9;10;11;12;13;14;15;16;17;18;19;20;21;22;23;24;25;26;27;28;29;30},
     COUNTIFS($U$3:$U$201,$M271)&gt;0,
     COUNTIFS($V$3:$V$201,$M271)&gt;0,
     COUNTIFS($W$3:$W$201,$M271)&gt;0,
     COUNTIFS($X$3:$X$201,$M271)&gt;0,
     COUNTIFS($Y$3:$Y$201,$M271)&gt;0,
     COUNTIFS($Z$3:$Z$201,$M271)&gt;0,
     COUNTIFS($AA$3:$AA$201,$M271)&gt;0,
     COUNTIFS($AB$3:$AB$201,$M271)&gt;0,
     COUNTIFS($AC$3:$AC$201,$M271)&gt;0,
     COUNTIFS($AD$3:$AD$201,$M271)&gt;0,
     COUNTIFS($AE$3:$AE$201,$M271)&gt;0,
     COUNTIFS($AF$3:$AF$201,$M271)&gt;0,
     COUNTIFS($AG$3:$AG$201,$M271)&gt;0,
     COUNTIFS($AH$3:$AH$201,$M271)&gt;0,
     COUNTIFS($AI$3:$AI$201,$M271)&gt;0,
     COUNTIFS($AJ$3:$AJ$201,$M271)&gt;0,
     COUNTIFS($AK$3:$AK$201,$M271)&gt;0,
     COUNTIFS($AL$3:$AL$201,$M271)&gt;0,
     COUNTIFS($AM$3:$AM$201,$M271)&gt;0,
     COUNTIFS($AN$3:$AN$201,$M271)&gt;0,
     COUNTIFS($AO$3:$AO$201,$M271)&gt;0,
     COUNTIFS($AP$3:$AP$201,$M271)&gt;0,
     COUNTIFS($AQ$3:$AQ$201,$M271)&gt;0,
     COUNTIFS($AR$3:$AR$201,$M271)&gt;0,
     COUNTIFS($AS$3:$AS$201,$M271)&gt;0,
     COUNTIFS($AT$3:$AT$201,$M271)&gt;0,
     COUNTIFS($AU$3:$AU$201,$M271)&gt;0,
     COUNTIFS($AV$3:$AV$201,$M271)&gt;0,
     COUNTIFS($AW$3:$AW$201,$M271)&gt;0,
     COUNTIFS($AX$3:$AX$201,$M271)&gt;0
   )),
  ),
  3
 ),
"")</f>
        <v/>
      </c>
    </row>
    <row r="272" spans="1:17" x14ac:dyDescent="0.25">
      <c r="A272" t="str">
        <f ca="1"/>
        <v>Merrow Commerce</v>
      </c>
      <c r="B272" s="2" t="str" cm="1">
        <f t="array" aca="1" ref="B272" ca="1">_xlfn.ANCHORARRAY(RESUMO!C271)</f>
        <v>Kumena</v>
      </c>
      <c r="C272" s="2" t="str">
        <f t="shared" ca="1" si="16"/>
        <v/>
      </c>
      <c r="F272" s="2">
        <f t="shared" si="19"/>
        <v>0</v>
      </c>
      <c r="G272" s="2" t="str">
        <f t="shared" ca="1" si="17"/>
        <v/>
      </c>
      <c r="J272" t="s">
        <v>180</v>
      </c>
      <c r="K272" s="2">
        <v>1</v>
      </c>
      <c r="N272" s="2">
        <f t="shared" si="18"/>
        <v>0</v>
      </c>
      <c r="O272" s="2" t="str">
        <f>IFERROR(
 INDEX($U$2:$AX$2,
  MATCH(TRUE,
   CHOOSE({1;2;3;4;5;6;7;8;9;10;11;12;13;14;15;16;17;18;19;20;21;22;23;24;25;26;27;28;29;30;31;32},
    COUNTIFS($U$3:$U$201,$M272)&gt;0,
    COUNTIFS($V$3:$V$201,$M272)&gt;0,
    COUNTIFS($W$3:$W$201,$M272)&gt;0,
    COUNTIFS($X$3:$X$201,$M272)&gt;0,
    COUNTIFS($Y$3:$Y$201,$M272)&gt;0,
    COUNTIFS($Z$3:$Z$201,$M272)&gt;0,
    COUNTIFS($AA$3:$AA$201,$M272)&gt;0,
    COUNTIFS($AB$3:$AB$201,$M272)&gt;0,
    COUNTIFS($AC$3:$AC$201,$M272)&gt;0,
    COUNTIFS($AD$3:$AD$201,$M272)&gt;0,
    COUNTIFS($AE$3:$AE$201,$M272)&gt;0,
    COUNTIFS($AF$3:$AF$201,$M272)&gt;0,
    COUNTIFS($AG$3:$AG$201,$M272)&gt;0,
    COUNTIFS($AH$3:$AH$201,$M272)&gt;0,
    COUNTIFS($AI$3:$AI$201,$M272)&gt;0,
    COUNTIFS($AJ$3:$AJ$201,$M272)&gt;0,
    COUNTIFS($AK$3:$AK$201,$M272)&gt;0,
    COUNTIFS($AL$3:$AL$201,$M272)&gt;0,
    COUNTIFS($AM$3:$AM$201,$M272)&gt;0,
    COUNTIFS($AN$3:$AN$201,$M272)&gt;0,
    COUNTIFS($AO$3:$AO$201,$M272)&gt;0,
    COUNTIFS($AP$3:$AP$201,$M272)&gt;0,
    COUNTIFS($AQ$3:$AQ$201,$M272)&gt;0,
    COUNTIFS($AR$3:$AR$201,$M272)&gt;0,
    COUNTIFS($AS$3:$AS$201,$M272)&gt;0,
    COUNTIFS($AT$3:$AT$201,$M272)&gt;0,
    COUNTIFS($AU$3:$AU$201,$M272)&gt;0,
    COUNTIFS($AV$3:$AV$201,$M272)&gt;0,
    COUNTIFS($AW$3:$AW$201,$M272)&gt;0,
    COUNTIFS($AX$3:$AX$201,$M272)&gt;0
   ),
  0)
 ),
"")</f>
        <v/>
      </c>
      <c r="P272" s="2" t="str" cm="1">
        <f t="array" ref="P272">IFERROR(
 INDEX(
  _xlfn._xlws.FILTER($U$2:$AX$2,
   TRANSPOSE(
    CHOOSE({1;2;3;4;5;6;7;8;9;10;11;12;13;14;15;16;17;18;19;20;21;22;23;24;25;26;27;28;29;30},
     COUNTIFS($U$3:$U$201,$M272)&gt;0,
     COUNTIFS($V$3:$V$201,$M272)&gt;0,
     COUNTIFS($W$3:$W$201,$M272)&gt;0,
     COUNTIFS($X$3:$X$201,$M272)&gt;0,
     COUNTIFS($Y$3:$Y$201,$M272)&gt;0,
     COUNTIFS($Z$3:$Z$201,$M272)&gt;0,
     COUNTIFS($AA$3:$AA$201,$M272)&gt;0,
     COUNTIFS($AB$3:$AB$201,$M272)&gt;0,
     COUNTIFS($AC$3:$AC$201,$M272)&gt;0,
     COUNTIFS($AD$3:$AD$201,$M272)&gt;0,
     COUNTIFS($AE$3:$AE$201,$M272)&gt;0,
     COUNTIFS($AF$3:$AF$201,$M272)&gt;0,
     COUNTIFS($AG$3:$AG$201,$M272)&gt;0,
     COUNTIFS($AH$3:$AH$201,$M272)&gt;0,
     COUNTIFS($AI$3:$AI$201,$M272)&gt;0,
     COUNTIFS($AJ$3:$AJ$201,$M272)&gt;0,
     COUNTIFS($AK$3:$AK$201,$M272)&gt;0,
     COUNTIFS($AL$3:$AL$201,$M272)&gt;0,
     COUNTIFS($AM$3:$AM$201,$M272)&gt;0,
     COUNTIFS($AN$3:$AN$201,$M272)&gt;0,
     COUNTIFS($AO$3:$AO$201,$M272)&gt;0,
     COUNTIFS($AP$3:$AP$201,$M272)&gt;0,
     COUNTIFS($AQ$3:$AQ$201,$M272)&gt;0,
     COUNTIFS($AR$3:$AR$201,$M272)&gt;0,
     COUNTIFS($AS$3:$AS$201,$M272)&gt;0,
     COUNTIFS($AT$3:$AT$201,$M272)&gt;0,
     COUNTIFS($AU$3:$AU$201,$M272)&gt;0,
     COUNTIFS($AV$3:$AV$201,$M272)&gt;0,
     COUNTIFS($AW$3:$AW$201,$M272)&gt;0,
     COUNTIFS($AX$3:$AX$201,$M272)&gt;0
   )),
  ),
  2
 ),
"")</f>
        <v/>
      </c>
      <c r="Q272" s="2" t="str" cm="1">
        <f t="array" ref="Q272">IFERROR(
 INDEX(
  _xlfn._xlws.FILTER($U$2:$AX$2,
   TRANSPOSE(
    CHOOSE({1;2;3;4;5;6;7;8;9;10;11;12;13;14;15;16;17;18;19;20;21;22;23;24;25;26;27;28;29;30},
     COUNTIFS($U$3:$U$201,$M272)&gt;0,
     COUNTIFS($V$3:$V$201,$M272)&gt;0,
     COUNTIFS($W$3:$W$201,$M272)&gt;0,
     COUNTIFS($X$3:$X$201,$M272)&gt;0,
     COUNTIFS($Y$3:$Y$201,$M272)&gt;0,
     COUNTIFS($Z$3:$Z$201,$M272)&gt;0,
     COUNTIFS($AA$3:$AA$201,$M272)&gt;0,
     COUNTIFS($AB$3:$AB$201,$M272)&gt;0,
     COUNTIFS($AC$3:$AC$201,$M272)&gt;0,
     COUNTIFS($AD$3:$AD$201,$M272)&gt;0,
     COUNTIFS($AE$3:$AE$201,$M272)&gt;0,
     COUNTIFS($AF$3:$AF$201,$M272)&gt;0,
     COUNTIFS($AG$3:$AG$201,$M272)&gt;0,
     COUNTIFS($AH$3:$AH$201,$M272)&gt;0,
     COUNTIFS($AI$3:$AI$201,$M272)&gt;0,
     COUNTIFS($AJ$3:$AJ$201,$M272)&gt;0,
     COUNTIFS($AK$3:$AK$201,$M272)&gt;0,
     COUNTIFS($AL$3:$AL$201,$M272)&gt;0,
     COUNTIFS($AM$3:$AM$201,$M272)&gt;0,
     COUNTIFS($AN$3:$AN$201,$M272)&gt;0,
     COUNTIFS($AO$3:$AO$201,$M272)&gt;0,
     COUNTIFS($AP$3:$AP$201,$M272)&gt;0,
     COUNTIFS($AQ$3:$AQ$201,$M272)&gt;0,
     COUNTIFS($AR$3:$AR$201,$M272)&gt;0,
     COUNTIFS($AS$3:$AS$201,$M272)&gt;0,
     COUNTIFS($AT$3:$AT$201,$M272)&gt;0,
     COUNTIFS($AU$3:$AU$201,$M272)&gt;0,
     COUNTIFS($AV$3:$AV$201,$M272)&gt;0,
     COUNTIFS($AW$3:$AW$201,$M272)&gt;0,
     COUNTIFS($AX$3:$AX$201,$M272)&gt;0
   )),
  ),
  3
 ),
"")</f>
        <v/>
      </c>
    </row>
    <row r="273" spans="1:17" x14ac:dyDescent="0.25">
      <c r="A273" t="str">
        <f ca="1"/>
        <v>Merrow Harbinger</v>
      </c>
      <c r="B273" s="2" t="str" cm="1">
        <f t="array" aca="1" ref="B273" ca="1">_xlfn.ANCHORARRAY(RESUMO!C272)</f>
        <v>Kumena</v>
      </c>
      <c r="C273" s="2" t="str">
        <f t="shared" ca="1" si="16"/>
        <v/>
      </c>
      <c r="F273" s="2">
        <f t="shared" si="19"/>
        <v>0</v>
      </c>
      <c r="G273" s="2" t="str">
        <f t="shared" ca="1" si="17"/>
        <v/>
      </c>
      <c r="J273" t="s">
        <v>180</v>
      </c>
      <c r="K273" s="2">
        <v>1</v>
      </c>
      <c r="N273" s="2">
        <f t="shared" si="18"/>
        <v>0</v>
      </c>
      <c r="O273" s="2" t="str">
        <f>IFERROR(
 INDEX($U$2:$AX$2,
  MATCH(TRUE,
   CHOOSE({1;2;3;4;5;6;7;8;9;10;11;12;13;14;15;16;17;18;19;20;21;22;23;24;25;26;27;28;29;30;31;32},
    COUNTIFS($U$3:$U$201,$M273)&gt;0,
    COUNTIFS($V$3:$V$201,$M273)&gt;0,
    COUNTIFS($W$3:$W$201,$M273)&gt;0,
    COUNTIFS($X$3:$X$201,$M273)&gt;0,
    COUNTIFS($Y$3:$Y$201,$M273)&gt;0,
    COUNTIFS($Z$3:$Z$201,$M273)&gt;0,
    COUNTIFS($AA$3:$AA$201,$M273)&gt;0,
    COUNTIFS($AB$3:$AB$201,$M273)&gt;0,
    COUNTIFS($AC$3:$AC$201,$M273)&gt;0,
    COUNTIFS($AD$3:$AD$201,$M273)&gt;0,
    COUNTIFS($AE$3:$AE$201,$M273)&gt;0,
    COUNTIFS($AF$3:$AF$201,$M273)&gt;0,
    COUNTIFS($AG$3:$AG$201,$M273)&gt;0,
    COUNTIFS($AH$3:$AH$201,$M273)&gt;0,
    COUNTIFS($AI$3:$AI$201,$M273)&gt;0,
    COUNTIFS($AJ$3:$AJ$201,$M273)&gt;0,
    COUNTIFS($AK$3:$AK$201,$M273)&gt;0,
    COUNTIFS($AL$3:$AL$201,$M273)&gt;0,
    COUNTIFS($AM$3:$AM$201,$M273)&gt;0,
    COUNTIFS($AN$3:$AN$201,$M273)&gt;0,
    COUNTIFS($AO$3:$AO$201,$M273)&gt;0,
    COUNTIFS($AP$3:$AP$201,$M273)&gt;0,
    COUNTIFS($AQ$3:$AQ$201,$M273)&gt;0,
    COUNTIFS($AR$3:$AR$201,$M273)&gt;0,
    COUNTIFS($AS$3:$AS$201,$M273)&gt;0,
    COUNTIFS($AT$3:$AT$201,$M273)&gt;0,
    COUNTIFS($AU$3:$AU$201,$M273)&gt;0,
    COUNTIFS($AV$3:$AV$201,$M273)&gt;0,
    COUNTIFS($AW$3:$AW$201,$M273)&gt;0,
    COUNTIFS($AX$3:$AX$201,$M273)&gt;0
   ),
  0)
 ),
"")</f>
        <v/>
      </c>
      <c r="P273" s="2" t="str" cm="1">
        <f t="array" ref="P273">IFERROR(
 INDEX(
  _xlfn._xlws.FILTER($U$2:$AX$2,
   TRANSPOSE(
    CHOOSE({1;2;3;4;5;6;7;8;9;10;11;12;13;14;15;16;17;18;19;20;21;22;23;24;25;26;27;28;29;30},
     COUNTIFS($U$3:$U$201,$M273)&gt;0,
     COUNTIFS($V$3:$V$201,$M273)&gt;0,
     COUNTIFS($W$3:$W$201,$M273)&gt;0,
     COUNTIFS($X$3:$X$201,$M273)&gt;0,
     COUNTIFS($Y$3:$Y$201,$M273)&gt;0,
     COUNTIFS($Z$3:$Z$201,$M273)&gt;0,
     COUNTIFS($AA$3:$AA$201,$M273)&gt;0,
     COUNTIFS($AB$3:$AB$201,$M273)&gt;0,
     COUNTIFS($AC$3:$AC$201,$M273)&gt;0,
     COUNTIFS($AD$3:$AD$201,$M273)&gt;0,
     COUNTIFS($AE$3:$AE$201,$M273)&gt;0,
     COUNTIFS($AF$3:$AF$201,$M273)&gt;0,
     COUNTIFS($AG$3:$AG$201,$M273)&gt;0,
     COUNTIFS($AH$3:$AH$201,$M273)&gt;0,
     COUNTIFS($AI$3:$AI$201,$M273)&gt;0,
     COUNTIFS($AJ$3:$AJ$201,$M273)&gt;0,
     COUNTIFS($AK$3:$AK$201,$M273)&gt;0,
     COUNTIFS($AL$3:$AL$201,$M273)&gt;0,
     COUNTIFS($AM$3:$AM$201,$M273)&gt;0,
     COUNTIFS($AN$3:$AN$201,$M273)&gt;0,
     COUNTIFS($AO$3:$AO$201,$M273)&gt;0,
     COUNTIFS($AP$3:$AP$201,$M273)&gt;0,
     COUNTIFS($AQ$3:$AQ$201,$M273)&gt;0,
     COUNTIFS($AR$3:$AR$201,$M273)&gt;0,
     COUNTIFS($AS$3:$AS$201,$M273)&gt;0,
     COUNTIFS($AT$3:$AT$201,$M273)&gt;0,
     COUNTIFS($AU$3:$AU$201,$M273)&gt;0,
     COUNTIFS($AV$3:$AV$201,$M273)&gt;0,
     COUNTIFS($AW$3:$AW$201,$M273)&gt;0,
     COUNTIFS($AX$3:$AX$201,$M273)&gt;0
   )),
  ),
  2
 ),
"")</f>
        <v/>
      </c>
      <c r="Q273" s="2" t="str" cm="1">
        <f t="array" ref="Q273">IFERROR(
 INDEX(
  _xlfn._xlws.FILTER($U$2:$AX$2,
   TRANSPOSE(
    CHOOSE({1;2;3;4;5;6;7;8;9;10;11;12;13;14;15;16;17;18;19;20;21;22;23;24;25;26;27;28;29;30},
     COUNTIFS($U$3:$U$201,$M273)&gt;0,
     COUNTIFS($V$3:$V$201,$M273)&gt;0,
     COUNTIFS($W$3:$W$201,$M273)&gt;0,
     COUNTIFS($X$3:$X$201,$M273)&gt;0,
     COUNTIFS($Y$3:$Y$201,$M273)&gt;0,
     COUNTIFS($Z$3:$Z$201,$M273)&gt;0,
     COUNTIFS($AA$3:$AA$201,$M273)&gt;0,
     COUNTIFS($AB$3:$AB$201,$M273)&gt;0,
     COUNTIFS($AC$3:$AC$201,$M273)&gt;0,
     COUNTIFS($AD$3:$AD$201,$M273)&gt;0,
     COUNTIFS($AE$3:$AE$201,$M273)&gt;0,
     COUNTIFS($AF$3:$AF$201,$M273)&gt;0,
     COUNTIFS($AG$3:$AG$201,$M273)&gt;0,
     COUNTIFS($AH$3:$AH$201,$M273)&gt;0,
     COUNTIFS($AI$3:$AI$201,$M273)&gt;0,
     COUNTIFS($AJ$3:$AJ$201,$M273)&gt;0,
     COUNTIFS($AK$3:$AK$201,$M273)&gt;0,
     COUNTIFS($AL$3:$AL$201,$M273)&gt;0,
     COUNTIFS($AM$3:$AM$201,$M273)&gt;0,
     COUNTIFS($AN$3:$AN$201,$M273)&gt;0,
     COUNTIFS($AO$3:$AO$201,$M273)&gt;0,
     COUNTIFS($AP$3:$AP$201,$M273)&gt;0,
     COUNTIFS($AQ$3:$AQ$201,$M273)&gt;0,
     COUNTIFS($AR$3:$AR$201,$M273)&gt;0,
     COUNTIFS($AS$3:$AS$201,$M273)&gt;0,
     COUNTIFS($AT$3:$AT$201,$M273)&gt;0,
     COUNTIFS($AU$3:$AU$201,$M273)&gt;0,
     COUNTIFS($AV$3:$AV$201,$M273)&gt;0,
     COUNTIFS($AW$3:$AW$201,$M273)&gt;0,
     COUNTIFS($AX$3:$AX$201,$M273)&gt;0
   )),
  ),
  3
 ),
"")</f>
        <v/>
      </c>
    </row>
    <row r="274" spans="1:17" x14ac:dyDescent="0.25">
      <c r="A274" t="str">
        <f ca="1"/>
        <v>Mind Stone</v>
      </c>
      <c r="B274" s="2" t="str" cm="1">
        <f t="array" aca="1" ref="B274" ca="1">_xlfn.ANCHORARRAY(RESUMO!C273)</f>
        <v>Yorion</v>
      </c>
      <c r="C274" s="2" t="str">
        <f t="shared" ca="1" si="16"/>
        <v>Tayam</v>
      </c>
      <c r="F274" s="2">
        <f t="shared" si="19"/>
        <v>0</v>
      </c>
      <c r="G274" s="2" t="str">
        <f t="shared" ca="1" si="17"/>
        <v/>
      </c>
      <c r="J274" t="s">
        <v>180</v>
      </c>
      <c r="K274" s="2">
        <v>1</v>
      </c>
      <c r="N274" s="2">
        <f t="shared" si="18"/>
        <v>0</v>
      </c>
      <c r="O274" s="2" t="str">
        <f>IFERROR(
 INDEX($U$2:$AX$2,
  MATCH(TRUE,
   CHOOSE({1;2;3;4;5;6;7;8;9;10;11;12;13;14;15;16;17;18;19;20;21;22;23;24;25;26;27;28;29;30;31;32},
    COUNTIFS($U$3:$U$201,$M274)&gt;0,
    COUNTIFS($V$3:$V$201,$M274)&gt;0,
    COUNTIFS($W$3:$W$201,$M274)&gt;0,
    COUNTIFS($X$3:$X$201,$M274)&gt;0,
    COUNTIFS($Y$3:$Y$201,$M274)&gt;0,
    COUNTIFS($Z$3:$Z$201,$M274)&gt;0,
    COUNTIFS($AA$3:$AA$201,$M274)&gt;0,
    COUNTIFS($AB$3:$AB$201,$M274)&gt;0,
    COUNTIFS($AC$3:$AC$201,$M274)&gt;0,
    COUNTIFS($AD$3:$AD$201,$M274)&gt;0,
    COUNTIFS($AE$3:$AE$201,$M274)&gt;0,
    COUNTIFS($AF$3:$AF$201,$M274)&gt;0,
    COUNTIFS($AG$3:$AG$201,$M274)&gt;0,
    COUNTIFS($AH$3:$AH$201,$M274)&gt;0,
    COUNTIFS($AI$3:$AI$201,$M274)&gt;0,
    COUNTIFS($AJ$3:$AJ$201,$M274)&gt;0,
    COUNTIFS($AK$3:$AK$201,$M274)&gt;0,
    COUNTIFS($AL$3:$AL$201,$M274)&gt;0,
    COUNTIFS($AM$3:$AM$201,$M274)&gt;0,
    COUNTIFS($AN$3:$AN$201,$M274)&gt;0,
    COUNTIFS($AO$3:$AO$201,$M274)&gt;0,
    COUNTIFS($AP$3:$AP$201,$M274)&gt;0,
    COUNTIFS($AQ$3:$AQ$201,$M274)&gt;0,
    COUNTIFS($AR$3:$AR$201,$M274)&gt;0,
    COUNTIFS($AS$3:$AS$201,$M274)&gt;0,
    COUNTIFS($AT$3:$AT$201,$M274)&gt;0,
    COUNTIFS($AU$3:$AU$201,$M274)&gt;0,
    COUNTIFS($AV$3:$AV$201,$M274)&gt;0,
    COUNTIFS($AW$3:$AW$201,$M274)&gt;0,
    COUNTIFS($AX$3:$AX$201,$M274)&gt;0
   ),
  0)
 ),
"")</f>
        <v/>
      </c>
      <c r="P274" s="2" t="str" cm="1">
        <f t="array" ref="P274">IFERROR(
 INDEX(
  _xlfn._xlws.FILTER($U$2:$AX$2,
   TRANSPOSE(
    CHOOSE({1;2;3;4;5;6;7;8;9;10;11;12;13;14;15;16;17;18;19;20;21;22;23;24;25;26;27;28;29;30},
     COUNTIFS($U$3:$U$201,$M274)&gt;0,
     COUNTIFS($V$3:$V$201,$M274)&gt;0,
     COUNTIFS($W$3:$W$201,$M274)&gt;0,
     COUNTIFS($X$3:$X$201,$M274)&gt;0,
     COUNTIFS($Y$3:$Y$201,$M274)&gt;0,
     COUNTIFS($Z$3:$Z$201,$M274)&gt;0,
     COUNTIFS($AA$3:$AA$201,$M274)&gt;0,
     COUNTIFS($AB$3:$AB$201,$M274)&gt;0,
     COUNTIFS($AC$3:$AC$201,$M274)&gt;0,
     COUNTIFS($AD$3:$AD$201,$M274)&gt;0,
     COUNTIFS($AE$3:$AE$201,$M274)&gt;0,
     COUNTIFS($AF$3:$AF$201,$M274)&gt;0,
     COUNTIFS($AG$3:$AG$201,$M274)&gt;0,
     COUNTIFS($AH$3:$AH$201,$M274)&gt;0,
     COUNTIFS($AI$3:$AI$201,$M274)&gt;0,
     COUNTIFS($AJ$3:$AJ$201,$M274)&gt;0,
     COUNTIFS($AK$3:$AK$201,$M274)&gt;0,
     COUNTIFS($AL$3:$AL$201,$M274)&gt;0,
     COUNTIFS($AM$3:$AM$201,$M274)&gt;0,
     COUNTIFS($AN$3:$AN$201,$M274)&gt;0,
     COUNTIFS($AO$3:$AO$201,$M274)&gt;0,
     COUNTIFS($AP$3:$AP$201,$M274)&gt;0,
     COUNTIFS($AQ$3:$AQ$201,$M274)&gt;0,
     COUNTIFS($AR$3:$AR$201,$M274)&gt;0,
     COUNTIFS($AS$3:$AS$201,$M274)&gt;0,
     COUNTIFS($AT$3:$AT$201,$M274)&gt;0,
     COUNTIFS($AU$3:$AU$201,$M274)&gt;0,
     COUNTIFS($AV$3:$AV$201,$M274)&gt;0,
     COUNTIFS($AW$3:$AW$201,$M274)&gt;0,
     COUNTIFS($AX$3:$AX$201,$M274)&gt;0
   )),
  ),
  2
 ),
"")</f>
        <v/>
      </c>
      <c r="Q274" s="2" t="str" cm="1">
        <f t="array" ref="Q274">IFERROR(
 INDEX(
  _xlfn._xlws.FILTER($U$2:$AX$2,
   TRANSPOSE(
    CHOOSE({1;2;3;4;5;6;7;8;9;10;11;12;13;14;15;16;17;18;19;20;21;22;23;24;25;26;27;28;29;30},
     COUNTIFS($U$3:$U$201,$M274)&gt;0,
     COUNTIFS($V$3:$V$201,$M274)&gt;0,
     COUNTIFS($W$3:$W$201,$M274)&gt;0,
     COUNTIFS($X$3:$X$201,$M274)&gt;0,
     COUNTIFS($Y$3:$Y$201,$M274)&gt;0,
     COUNTIFS($Z$3:$Z$201,$M274)&gt;0,
     COUNTIFS($AA$3:$AA$201,$M274)&gt;0,
     COUNTIFS($AB$3:$AB$201,$M274)&gt;0,
     COUNTIFS($AC$3:$AC$201,$M274)&gt;0,
     COUNTIFS($AD$3:$AD$201,$M274)&gt;0,
     COUNTIFS($AE$3:$AE$201,$M274)&gt;0,
     COUNTIFS($AF$3:$AF$201,$M274)&gt;0,
     COUNTIFS($AG$3:$AG$201,$M274)&gt;0,
     COUNTIFS($AH$3:$AH$201,$M274)&gt;0,
     COUNTIFS($AI$3:$AI$201,$M274)&gt;0,
     COUNTIFS($AJ$3:$AJ$201,$M274)&gt;0,
     COUNTIFS($AK$3:$AK$201,$M274)&gt;0,
     COUNTIFS($AL$3:$AL$201,$M274)&gt;0,
     COUNTIFS($AM$3:$AM$201,$M274)&gt;0,
     COUNTIFS($AN$3:$AN$201,$M274)&gt;0,
     COUNTIFS($AO$3:$AO$201,$M274)&gt;0,
     COUNTIFS($AP$3:$AP$201,$M274)&gt;0,
     COUNTIFS($AQ$3:$AQ$201,$M274)&gt;0,
     COUNTIFS($AR$3:$AR$201,$M274)&gt;0,
     COUNTIFS($AS$3:$AS$201,$M274)&gt;0,
     COUNTIFS($AT$3:$AT$201,$M274)&gt;0,
     COUNTIFS($AU$3:$AU$201,$M274)&gt;0,
     COUNTIFS($AV$3:$AV$201,$M274)&gt;0,
     COUNTIFS($AW$3:$AW$201,$M274)&gt;0,
     COUNTIFS($AX$3:$AX$201,$M274)&gt;0
   )),
  ),
  3
 ),
"")</f>
        <v/>
      </c>
    </row>
    <row r="275" spans="1:17" x14ac:dyDescent="0.25">
      <c r="A275" t="str">
        <f ca="1"/>
        <v>Mines of Moria</v>
      </c>
      <c r="B275" s="2" t="str" cm="1">
        <f t="array" aca="1" ref="B275" ca="1">_xlfn.ANCHORARRAY(RESUMO!C274)</f>
        <v>Piratas</v>
      </c>
      <c r="C275" s="2" t="str">
        <f t="shared" ca="1" si="16"/>
        <v/>
      </c>
      <c r="F275" s="2">
        <f t="shared" si="19"/>
        <v>0</v>
      </c>
      <c r="G275" s="2" t="str">
        <f t="shared" ca="1" si="17"/>
        <v/>
      </c>
      <c r="J275" t="s">
        <v>180</v>
      </c>
      <c r="K275" s="2">
        <v>1</v>
      </c>
      <c r="N275" s="2">
        <f t="shared" si="18"/>
        <v>0</v>
      </c>
      <c r="O275" s="2" t="str">
        <f>IFERROR(
 INDEX($U$2:$AX$2,
  MATCH(TRUE,
   CHOOSE({1;2;3;4;5;6;7;8;9;10;11;12;13;14;15;16;17;18;19;20;21;22;23;24;25;26;27;28;29;30;31;32},
    COUNTIFS($U$3:$U$201,$M275)&gt;0,
    COUNTIFS($V$3:$V$201,$M275)&gt;0,
    COUNTIFS($W$3:$W$201,$M275)&gt;0,
    COUNTIFS($X$3:$X$201,$M275)&gt;0,
    COUNTIFS($Y$3:$Y$201,$M275)&gt;0,
    COUNTIFS($Z$3:$Z$201,$M275)&gt;0,
    COUNTIFS($AA$3:$AA$201,$M275)&gt;0,
    COUNTIFS($AB$3:$AB$201,$M275)&gt;0,
    COUNTIFS($AC$3:$AC$201,$M275)&gt;0,
    COUNTIFS($AD$3:$AD$201,$M275)&gt;0,
    COUNTIFS($AE$3:$AE$201,$M275)&gt;0,
    COUNTIFS($AF$3:$AF$201,$M275)&gt;0,
    COUNTIFS($AG$3:$AG$201,$M275)&gt;0,
    COUNTIFS($AH$3:$AH$201,$M275)&gt;0,
    COUNTIFS($AI$3:$AI$201,$M275)&gt;0,
    COUNTIFS($AJ$3:$AJ$201,$M275)&gt;0,
    COUNTIFS($AK$3:$AK$201,$M275)&gt;0,
    COUNTIFS($AL$3:$AL$201,$M275)&gt;0,
    COUNTIFS($AM$3:$AM$201,$M275)&gt;0,
    COUNTIFS($AN$3:$AN$201,$M275)&gt;0,
    COUNTIFS($AO$3:$AO$201,$M275)&gt;0,
    COUNTIFS($AP$3:$AP$201,$M275)&gt;0,
    COUNTIFS($AQ$3:$AQ$201,$M275)&gt;0,
    COUNTIFS($AR$3:$AR$201,$M275)&gt;0,
    COUNTIFS($AS$3:$AS$201,$M275)&gt;0,
    COUNTIFS($AT$3:$AT$201,$M275)&gt;0,
    COUNTIFS($AU$3:$AU$201,$M275)&gt;0,
    COUNTIFS($AV$3:$AV$201,$M275)&gt;0,
    COUNTIFS($AW$3:$AW$201,$M275)&gt;0,
    COUNTIFS($AX$3:$AX$201,$M275)&gt;0
   ),
  0)
 ),
"")</f>
        <v/>
      </c>
      <c r="P275" s="2" t="str" cm="1">
        <f t="array" ref="P275">IFERROR(
 INDEX(
  _xlfn._xlws.FILTER($U$2:$AX$2,
   TRANSPOSE(
    CHOOSE({1;2;3;4;5;6;7;8;9;10;11;12;13;14;15;16;17;18;19;20;21;22;23;24;25;26;27;28;29;30},
     COUNTIFS($U$3:$U$201,$M275)&gt;0,
     COUNTIFS($V$3:$V$201,$M275)&gt;0,
     COUNTIFS($W$3:$W$201,$M275)&gt;0,
     COUNTIFS($X$3:$X$201,$M275)&gt;0,
     COUNTIFS($Y$3:$Y$201,$M275)&gt;0,
     COUNTIFS($Z$3:$Z$201,$M275)&gt;0,
     COUNTIFS($AA$3:$AA$201,$M275)&gt;0,
     COUNTIFS($AB$3:$AB$201,$M275)&gt;0,
     COUNTIFS($AC$3:$AC$201,$M275)&gt;0,
     COUNTIFS($AD$3:$AD$201,$M275)&gt;0,
     COUNTIFS($AE$3:$AE$201,$M275)&gt;0,
     COUNTIFS($AF$3:$AF$201,$M275)&gt;0,
     COUNTIFS($AG$3:$AG$201,$M275)&gt;0,
     COUNTIFS($AH$3:$AH$201,$M275)&gt;0,
     COUNTIFS($AI$3:$AI$201,$M275)&gt;0,
     COUNTIFS($AJ$3:$AJ$201,$M275)&gt;0,
     COUNTIFS($AK$3:$AK$201,$M275)&gt;0,
     COUNTIFS($AL$3:$AL$201,$M275)&gt;0,
     COUNTIFS($AM$3:$AM$201,$M275)&gt;0,
     COUNTIFS($AN$3:$AN$201,$M275)&gt;0,
     COUNTIFS($AO$3:$AO$201,$M275)&gt;0,
     COUNTIFS($AP$3:$AP$201,$M275)&gt;0,
     COUNTIFS($AQ$3:$AQ$201,$M275)&gt;0,
     COUNTIFS($AR$3:$AR$201,$M275)&gt;0,
     COUNTIFS($AS$3:$AS$201,$M275)&gt;0,
     COUNTIFS($AT$3:$AT$201,$M275)&gt;0,
     COUNTIFS($AU$3:$AU$201,$M275)&gt;0,
     COUNTIFS($AV$3:$AV$201,$M275)&gt;0,
     COUNTIFS($AW$3:$AW$201,$M275)&gt;0,
     COUNTIFS($AX$3:$AX$201,$M275)&gt;0
   )),
  ),
  2
 ),
"")</f>
        <v/>
      </c>
      <c r="Q275" s="2" t="str" cm="1">
        <f t="array" ref="Q275">IFERROR(
 INDEX(
  _xlfn._xlws.FILTER($U$2:$AX$2,
   TRANSPOSE(
    CHOOSE({1;2;3;4;5;6;7;8;9;10;11;12;13;14;15;16;17;18;19;20;21;22;23;24;25;26;27;28;29;30},
     COUNTIFS($U$3:$U$201,$M275)&gt;0,
     COUNTIFS($V$3:$V$201,$M275)&gt;0,
     COUNTIFS($W$3:$W$201,$M275)&gt;0,
     COUNTIFS($X$3:$X$201,$M275)&gt;0,
     COUNTIFS($Y$3:$Y$201,$M275)&gt;0,
     COUNTIFS($Z$3:$Z$201,$M275)&gt;0,
     COUNTIFS($AA$3:$AA$201,$M275)&gt;0,
     COUNTIFS($AB$3:$AB$201,$M275)&gt;0,
     COUNTIFS($AC$3:$AC$201,$M275)&gt;0,
     COUNTIFS($AD$3:$AD$201,$M275)&gt;0,
     COUNTIFS($AE$3:$AE$201,$M275)&gt;0,
     COUNTIFS($AF$3:$AF$201,$M275)&gt;0,
     COUNTIFS($AG$3:$AG$201,$M275)&gt;0,
     COUNTIFS($AH$3:$AH$201,$M275)&gt;0,
     COUNTIFS($AI$3:$AI$201,$M275)&gt;0,
     COUNTIFS($AJ$3:$AJ$201,$M275)&gt;0,
     COUNTIFS($AK$3:$AK$201,$M275)&gt;0,
     COUNTIFS($AL$3:$AL$201,$M275)&gt;0,
     COUNTIFS($AM$3:$AM$201,$M275)&gt;0,
     COUNTIFS($AN$3:$AN$201,$M275)&gt;0,
     COUNTIFS($AO$3:$AO$201,$M275)&gt;0,
     COUNTIFS($AP$3:$AP$201,$M275)&gt;0,
     COUNTIFS($AQ$3:$AQ$201,$M275)&gt;0,
     COUNTIFS($AR$3:$AR$201,$M275)&gt;0,
     COUNTIFS($AS$3:$AS$201,$M275)&gt;0,
     COUNTIFS($AT$3:$AT$201,$M275)&gt;0,
     COUNTIFS($AU$3:$AU$201,$M275)&gt;0,
     COUNTIFS($AV$3:$AV$201,$M275)&gt;0,
     COUNTIFS($AW$3:$AW$201,$M275)&gt;0,
     COUNTIFS($AX$3:$AX$201,$M275)&gt;0
   )),
  ),
  3
 ),
"")</f>
        <v/>
      </c>
    </row>
    <row r="276" spans="1:17" x14ac:dyDescent="0.25">
      <c r="A276" t="str">
        <f ca="1"/>
        <v>Mirror Pool</v>
      </c>
      <c r="B276" s="2" t="str" cm="1">
        <f t="array" aca="1" ref="B276" ca="1">_xlfn.ANCHORARRAY(RESUMO!C275)</f>
        <v>Alela</v>
      </c>
      <c r="C276" s="2" t="str">
        <f t="shared" ca="1" si="16"/>
        <v/>
      </c>
      <c r="F276" s="2">
        <f t="shared" si="19"/>
        <v>0</v>
      </c>
      <c r="G276" s="2" t="str">
        <f t="shared" ca="1" si="17"/>
        <v/>
      </c>
      <c r="J276" t="s">
        <v>180</v>
      </c>
      <c r="K276" s="2">
        <v>1</v>
      </c>
      <c r="N276" s="2">
        <f t="shared" si="18"/>
        <v>0</v>
      </c>
      <c r="O276" s="2" t="str">
        <f>IFERROR(
 INDEX($U$2:$AX$2,
  MATCH(TRUE,
   CHOOSE({1;2;3;4;5;6;7;8;9;10;11;12;13;14;15;16;17;18;19;20;21;22;23;24;25;26;27;28;29;30;31;32},
    COUNTIFS($U$3:$U$201,$M276)&gt;0,
    COUNTIFS($V$3:$V$201,$M276)&gt;0,
    COUNTIFS($W$3:$W$201,$M276)&gt;0,
    COUNTIFS($X$3:$X$201,$M276)&gt;0,
    COUNTIFS($Y$3:$Y$201,$M276)&gt;0,
    COUNTIFS($Z$3:$Z$201,$M276)&gt;0,
    COUNTIFS($AA$3:$AA$201,$M276)&gt;0,
    COUNTIFS($AB$3:$AB$201,$M276)&gt;0,
    COUNTIFS($AC$3:$AC$201,$M276)&gt;0,
    COUNTIFS($AD$3:$AD$201,$M276)&gt;0,
    COUNTIFS($AE$3:$AE$201,$M276)&gt;0,
    COUNTIFS($AF$3:$AF$201,$M276)&gt;0,
    COUNTIFS($AG$3:$AG$201,$M276)&gt;0,
    COUNTIFS($AH$3:$AH$201,$M276)&gt;0,
    COUNTIFS($AI$3:$AI$201,$M276)&gt;0,
    COUNTIFS($AJ$3:$AJ$201,$M276)&gt;0,
    COUNTIFS($AK$3:$AK$201,$M276)&gt;0,
    COUNTIFS($AL$3:$AL$201,$M276)&gt;0,
    COUNTIFS($AM$3:$AM$201,$M276)&gt;0,
    COUNTIFS($AN$3:$AN$201,$M276)&gt;0,
    COUNTIFS($AO$3:$AO$201,$M276)&gt;0,
    COUNTIFS($AP$3:$AP$201,$M276)&gt;0,
    COUNTIFS($AQ$3:$AQ$201,$M276)&gt;0,
    COUNTIFS($AR$3:$AR$201,$M276)&gt;0,
    COUNTIFS($AS$3:$AS$201,$M276)&gt;0,
    COUNTIFS($AT$3:$AT$201,$M276)&gt;0,
    COUNTIFS($AU$3:$AU$201,$M276)&gt;0,
    COUNTIFS($AV$3:$AV$201,$M276)&gt;0,
    COUNTIFS($AW$3:$AW$201,$M276)&gt;0,
    COUNTIFS($AX$3:$AX$201,$M276)&gt;0
   ),
  0)
 ),
"")</f>
        <v/>
      </c>
      <c r="P276" s="2" t="str" cm="1">
        <f t="array" ref="P276">IFERROR(
 INDEX(
  _xlfn._xlws.FILTER($U$2:$AX$2,
   TRANSPOSE(
    CHOOSE({1;2;3;4;5;6;7;8;9;10;11;12;13;14;15;16;17;18;19;20;21;22;23;24;25;26;27;28;29;30},
     COUNTIFS($U$3:$U$201,$M276)&gt;0,
     COUNTIFS($V$3:$V$201,$M276)&gt;0,
     COUNTIFS($W$3:$W$201,$M276)&gt;0,
     COUNTIFS($X$3:$X$201,$M276)&gt;0,
     COUNTIFS($Y$3:$Y$201,$M276)&gt;0,
     COUNTIFS($Z$3:$Z$201,$M276)&gt;0,
     COUNTIFS($AA$3:$AA$201,$M276)&gt;0,
     COUNTIFS($AB$3:$AB$201,$M276)&gt;0,
     COUNTIFS($AC$3:$AC$201,$M276)&gt;0,
     COUNTIFS($AD$3:$AD$201,$M276)&gt;0,
     COUNTIFS($AE$3:$AE$201,$M276)&gt;0,
     COUNTIFS($AF$3:$AF$201,$M276)&gt;0,
     COUNTIFS($AG$3:$AG$201,$M276)&gt;0,
     COUNTIFS($AH$3:$AH$201,$M276)&gt;0,
     COUNTIFS($AI$3:$AI$201,$M276)&gt;0,
     COUNTIFS($AJ$3:$AJ$201,$M276)&gt;0,
     COUNTIFS($AK$3:$AK$201,$M276)&gt;0,
     COUNTIFS($AL$3:$AL$201,$M276)&gt;0,
     COUNTIFS($AM$3:$AM$201,$M276)&gt;0,
     COUNTIFS($AN$3:$AN$201,$M276)&gt;0,
     COUNTIFS($AO$3:$AO$201,$M276)&gt;0,
     COUNTIFS($AP$3:$AP$201,$M276)&gt;0,
     COUNTIFS($AQ$3:$AQ$201,$M276)&gt;0,
     COUNTIFS($AR$3:$AR$201,$M276)&gt;0,
     COUNTIFS($AS$3:$AS$201,$M276)&gt;0,
     COUNTIFS($AT$3:$AT$201,$M276)&gt;0,
     COUNTIFS($AU$3:$AU$201,$M276)&gt;0,
     COUNTIFS($AV$3:$AV$201,$M276)&gt;0,
     COUNTIFS($AW$3:$AW$201,$M276)&gt;0,
     COUNTIFS($AX$3:$AX$201,$M276)&gt;0
   )),
  ),
  2
 ),
"")</f>
        <v/>
      </c>
      <c r="Q276" s="2" t="str" cm="1">
        <f t="array" ref="Q276">IFERROR(
 INDEX(
  _xlfn._xlws.FILTER($U$2:$AX$2,
   TRANSPOSE(
    CHOOSE({1;2;3;4;5;6;7;8;9;10;11;12;13;14;15;16;17;18;19;20;21;22;23;24;25;26;27;28;29;30},
     COUNTIFS($U$3:$U$201,$M276)&gt;0,
     COUNTIFS($V$3:$V$201,$M276)&gt;0,
     COUNTIFS($W$3:$W$201,$M276)&gt;0,
     COUNTIFS($X$3:$X$201,$M276)&gt;0,
     COUNTIFS($Y$3:$Y$201,$M276)&gt;0,
     COUNTIFS($Z$3:$Z$201,$M276)&gt;0,
     COUNTIFS($AA$3:$AA$201,$M276)&gt;0,
     COUNTIFS($AB$3:$AB$201,$M276)&gt;0,
     COUNTIFS($AC$3:$AC$201,$M276)&gt;0,
     COUNTIFS($AD$3:$AD$201,$M276)&gt;0,
     COUNTIFS($AE$3:$AE$201,$M276)&gt;0,
     COUNTIFS($AF$3:$AF$201,$M276)&gt;0,
     COUNTIFS($AG$3:$AG$201,$M276)&gt;0,
     COUNTIFS($AH$3:$AH$201,$M276)&gt;0,
     COUNTIFS($AI$3:$AI$201,$M276)&gt;0,
     COUNTIFS($AJ$3:$AJ$201,$M276)&gt;0,
     COUNTIFS($AK$3:$AK$201,$M276)&gt;0,
     COUNTIFS($AL$3:$AL$201,$M276)&gt;0,
     COUNTIFS($AM$3:$AM$201,$M276)&gt;0,
     COUNTIFS($AN$3:$AN$201,$M276)&gt;0,
     COUNTIFS($AO$3:$AO$201,$M276)&gt;0,
     COUNTIFS($AP$3:$AP$201,$M276)&gt;0,
     COUNTIFS($AQ$3:$AQ$201,$M276)&gt;0,
     COUNTIFS($AR$3:$AR$201,$M276)&gt;0,
     COUNTIFS($AS$3:$AS$201,$M276)&gt;0,
     COUNTIFS($AT$3:$AT$201,$M276)&gt;0,
     COUNTIFS($AU$3:$AU$201,$M276)&gt;0,
     COUNTIFS($AV$3:$AV$201,$M276)&gt;0,
     COUNTIFS($AW$3:$AW$201,$M276)&gt;0,
     COUNTIFS($AX$3:$AX$201,$M276)&gt;0
   )),
  ),
  3
 ),
"")</f>
        <v/>
      </c>
    </row>
    <row r="277" spans="1:17" x14ac:dyDescent="0.25">
      <c r="A277" t="str">
        <f ca="1"/>
        <v>Mishra, Claimed by Gix</v>
      </c>
      <c r="B277" s="2" t="str" cm="1">
        <f t="array" aca="1" ref="B277" ca="1">_xlfn.ANCHORARRAY(RESUMO!C276)</f>
        <v>Little</v>
      </c>
      <c r="C277" s="2" t="str">
        <f t="shared" ca="1" si="16"/>
        <v/>
      </c>
      <c r="F277" s="2">
        <f t="shared" si="19"/>
        <v>0</v>
      </c>
      <c r="G277" s="2" t="str">
        <f t="shared" ca="1" si="17"/>
        <v/>
      </c>
      <c r="J277" t="s">
        <v>180</v>
      </c>
      <c r="K277" s="2">
        <v>1</v>
      </c>
      <c r="N277" s="2">
        <f t="shared" si="18"/>
        <v>0</v>
      </c>
      <c r="O277" s="2" t="str">
        <f>IFERROR(
 INDEX($U$2:$AX$2,
  MATCH(TRUE,
   CHOOSE({1;2;3;4;5;6;7;8;9;10;11;12;13;14;15;16;17;18;19;20;21;22;23;24;25;26;27;28;29;30;31;32},
    COUNTIFS($U$3:$U$201,$M277)&gt;0,
    COUNTIFS($V$3:$V$201,$M277)&gt;0,
    COUNTIFS($W$3:$W$201,$M277)&gt;0,
    COUNTIFS($X$3:$X$201,$M277)&gt;0,
    COUNTIFS($Y$3:$Y$201,$M277)&gt;0,
    COUNTIFS($Z$3:$Z$201,$M277)&gt;0,
    COUNTIFS($AA$3:$AA$201,$M277)&gt;0,
    COUNTIFS($AB$3:$AB$201,$M277)&gt;0,
    COUNTIFS($AC$3:$AC$201,$M277)&gt;0,
    COUNTIFS($AD$3:$AD$201,$M277)&gt;0,
    COUNTIFS($AE$3:$AE$201,$M277)&gt;0,
    COUNTIFS($AF$3:$AF$201,$M277)&gt;0,
    COUNTIFS($AG$3:$AG$201,$M277)&gt;0,
    COUNTIFS($AH$3:$AH$201,$M277)&gt;0,
    COUNTIFS($AI$3:$AI$201,$M277)&gt;0,
    COUNTIFS($AJ$3:$AJ$201,$M277)&gt;0,
    COUNTIFS($AK$3:$AK$201,$M277)&gt;0,
    COUNTIFS($AL$3:$AL$201,$M277)&gt;0,
    COUNTIFS($AM$3:$AM$201,$M277)&gt;0,
    COUNTIFS($AN$3:$AN$201,$M277)&gt;0,
    COUNTIFS($AO$3:$AO$201,$M277)&gt;0,
    COUNTIFS($AP$3:$AP$201,$M277)&gt;0,
    COUNTIFS($AQ$3:$AQ$201,$M277)&gt;0,
    COUNTIFS($AR$3:$AR$201,$M277)&gt;0,
    COUNTIFS($AS$3:$AS$201,$M277)&gt;0,
    COUNTIFS($AT$3:$AT$201,$M277)&gt;0,
    COUNTIFS($AU$3:$AU$201,$M277)&gt;0,
    COUNTIFS($AV$3:$AV$201,$M277)&gt;0,
    COUNTIFS($AW$3:$AW$201,$M277)&gt;0,
    COUNTIFS($AX$3:$AX$201,$M277)&gt;0
   ),
  0)
 ),
"")</f>
        <v/>
      </c>
      <c r="P277" s="2" t="str" cm="1">
        <f t="array" ref="P277">IFERROR(
 INDEX(
  _xlfn._xlws.FILTER($U$2:$AX$2,
   TRANSPOSE(
    CHOOSE({1;2;3;4;5;6;7;8;9;10;11;12;13;14;15;16;17;18;19;20;21;22;23;24;25;26;27;28;29;30},
     COUNTIFS($U$3:$U$201,$M277)&gt;0,
     COUNTIFS($V$3:$V$201,$M277)&gt;0,
     COUNTIFS($W$3:$W$201,$M277)&gt;0,
     COUNTIFS($X$3:$X$201,$M277)&gt;0,
     COUNTIFS($Y$3:$Y$201,$M277)&gt;0,
     COUNTIFS($Z$3:$Z$201,$M277)&gt;0,
     COUNTIFS($AA$3:$AA$201,$M277)&gt;0,
     COUNTIFS($AB$3:$AB$201,$M277)&gt;0,
     COUNTIFS($AC$3:$AC$201,$M277)&gt;0,
     COUNTIFS($AD$3:$AD$201,$M277)&gt;0,
     COUNTIFS($AE$3:$AE$201,$M277)&gt;0,
     COUNTIFS($AF$3:$AF$201,$M277)&gt;0,
     COUNTIFS($AG$3:$AG$201,$M277)&gt;0,
     COUNTIFS($AH$3:$AH$201,$M277)&gt;0,
     COUNTIFS($AI$3:$AI$201,$M277)&gt;0,
     COUNTIFS($AJ$3:$AJ$201,$M277)&gt;0,
     COUNTIFS($AK$3:$AK$201,$M277)&gt;0,
     COUNTIFS($AL$3:$AL$201,$M277)&gt;0,
     COUNTIFS($AM$3:$AM$201,$M277)&gt;0,
     COUNTIFS($AN$3:$AN$201,$M277)&gt;0,
     COUNTIFS($AO$3:$AO$201,$M277)&gt;0,
     COUNTIFS($AP$3:$AP$201,$M277)&gt;0,
     COUNTIFS($AQ$3:$AQ$201,$M277)&gt;0,
     COUNTIFS($AR$3:$AR$201,$M277)&gt;0,
     COUNTIFS($AS$3:$AS$201,$M277)&gt;0,
     COUNTIFS($AT$3:$AT$201,$M277)&gt;0,
     COUNTIFS($AU$3:$AU$201,$M277)&gt;0,
     COUNTIFS($AV$3:$AV$201,$M277)&gt;0,
     COUNTIFS($AW$3:$AW$201,$M277)&gt;0,
     COUNTIFS($AX$3:$AX$201,$M277)&gt;0
   )),
  ),
  2
 ),
"")</f>
        <v/>
      </c>
      <c r="Q277" s="2" t="str" cm="1">
        <f t="array" ref="Q277">IFERROR(
 INDEX(
  _xlfn._xlws.FILTER($U$2:$AX$2,
   TRANSPOSE(
    CHOOSE({1;2;3;4;5;6;7;8;9;10;11;12;13;14;15;16;17;18;19;20;21;22;23;24;25;26;27;28;29;30},
     COUNTIFS($U$3:$U$201,$M277)&gt;0,
     COUNTIFS($V$3:$V$201,$M277)&gt;0,
     COUNTIFS($W$3:$W$201,$M277)&gt;0,
     COUNTIFS($X$3:$X$201,$M277)&gt;0,
     COUNTIFS($Y$3:$Y$201,$M277)&gt;0,
     COUNTIFS($Z$3:$Z$201,$M277)&gt;0,
     COUNTIFS($AA$3:$AA$201,$M277)&gt;0,
     COUNTIFS($AB$3:$AB$201,$M277)&gt;0,
     COUNTIFS($AC$3:$AC$201,$M277)&gt;0,
     COUNTIFS($AD$3:$AD$201,$M277)&gt;0,
     COUNTIFS($AE$3:$AE$201,$M277)&gt;0,
     COUNTIFS($AF$3:$AF$201,$M277)&gt;0,
     COUNTIFS($AG$3:$AG$201,$M277)&gt;0,
     COUNTIFS($AH$3:$AH$201,$M277)&gt;0,
     COUNTIFS($AI$3:$AI$201,$M277)&gt;0,
     COUNTIFS($AJ$3:$AJ$201,$M277)&gt;0,
     COUNTIFS($AK$3:$AK$201,$M277)&gt;0,
     COUNTIFS($AL$3:$AL$201,$M277)&gt;0,
     COUNTIFS($AM$3:$AM$201,$M277)&gt;0,
     COUNTIFS($AN$3:$AN$201,$M277)&gt;0,
     COUNTIFS($AO$3:$AO$201,$M277)&gt;0,
     COUNTIFS($AP$3:$AP$201,$M277)&gt;0,
     COUNTIFS($AQ$3:$AQ$201,$M277)&gt;0,
     COUNTIFS($AR$3:$AR$201,$M277)&gt;0,
     COUNTIFS($AS$3:$AS$201,$M277)&gt;0,
     COUNTIFS($AT$3:$AT$201,$M277)&gt;0,
     COUNTIFS($AU$3:$AU$201,$M277)&gt;0,
     COUNTIFS($AV$3:$AV$201,$M277)&gt;0,
     COUNTIFS($AW$3:$AW$201,$M277)&gt;0,
     COUNTIFS($AX$3:$AX$201,$M277)&gt;0
   )),
  ),
  3
 ),
"")</f>
        <v/>
      </c>
    </row>
    <row r="278" spans="1:17" x14ac:dyDescent="0.25">
      <c r="A278" t="str">
        <f ca="1"/>
        <v>Mistbind Clique</v>
      </c>
      <c r="B278" s="2" t="str" cm="1">
        <f t="array" aca="1" ref="B278" ca="1">_xlfn.ANCHORARRAY(RESUMO!C277)</f>
        <v>Inalla</v>
      </c>
      <c r="C278" s="2" t="str">
        <f t="shared" ca="1" si="16"/>
        <v/>
      </c>
      <c r="F278" s="2">
        <f t="shared" si="19"/>
        <v>0</v>
      </c>
      <c r="G278" s="2" t="str">
        <f t="shared" ca="1" si="17"/>
        <v/>
      </c>
      <c r="J278" t="s">
        <v>180</v>
      </c>
      <c r="K278" s="2">
        <v>1</v>
      </c>
      <c r="N278" s="2">
        <f t="shared" si="18"/>
        <v>0</v>
      </c>
      <c r="O278" s="2" t="str">
        <f>IFERROR(
 INDEX($U$2:$AX$2,
  MATCH(TRUE,
   CHOOSE({1;2;3;4;5;6;7;8;9;10;11;12;13;14;15;16;17;18;19;20;21;22;23;24;25;26;27;28;29;30;31;32},
    COUNTIFS($U$3:$U$201,$M278)&gt;0,
    COUNTIFS($V$3:$V$201,$M278)&gt;0,
    COUNTIFS($W$3:$W$201,$M278)&gt;0,
    COUNTIFS($X$3:$X$201,$M278)&gt;0,
    COUNTIFS($Y$3:$Y$201,$M278)&gt;0,
    COUNTIFS($Z$3:$Z$201,$M278)&gt;0,
    COUNTIFS($AA$3:$AA$201,$M278)&gt;0,
    COUNTIFS($AB$3:$AB$201,$M278)&gt;0,
    COUNTIFS($AC$3:$AC$201,$M278)&gt;0,
    COUNTIFS($AD$3:$AD$201,$M278)&gt;0,
    COUNTIFS($AE$3:$AE$201,$M278)&gt;0,
    COUNTIFS($AF$3:$AF$201,$M278)&gt;0,
    COUNTIFS($AG$3:$AG$201,$M278)&gt;0,
    COUNTIFS($AH$3:$AH$201,$M278)&gt;0,
    COUNTIFS($AI$3:$AI$201,$M278)&gt;0,
    COUNTIFS($AJ$3:$AJ$201,$M278)&gt;0,
    COUNTIFS($AK$3:$AK$201,$M278)&gt;0,
    COUNTIFS($AL$3:$AL$201,$M278)&gt;0,
    COUNTIFS($AM$3:$AM$201,$M278)&gt;0,
    COUNTIFS($AN$3:$AN$201,$M278)&gt;0,
    COUNTIFS($AO$3:$AO$201,$M278)&gt;0,
    COUNTIFS($AP$3:$AP$201,$M278)&gt;0,
    COUNTIFS($AQ$3:$AQ$201,$M278)&gt;0,
    COUNTIFS($AR$3:$AR$201,$M278)&gt;0,
    COUNTIFS($AS$3:$AS$201,$M278)&gt;0,
    COUNTIFS($AT$3:$AT$201,$M278)&gt;0,
    COUNTIFS($AU$3:$AU$201,$M278)&gt;0,
    COUNTIFS($AV$3:$AV$201,$M278)&gt;0,
    COUNTIFS($AW$3:$AW$201,$M278)&gt;0,
    COUNTIFS($AX$3:$AX$201,$M278)&gt;0
   ),
  0)
 ),
"")</f>
        <v/>
      </c>
      <c r="P278" s="2" t="str" cm="1">
        <f t="array" ref="P278">IFERROR(
 INDEX(
  _xlfn._xlws.FILTER($U$2:$AX$2,
   TRANSPOSE(
    CHOOSE({1;2;3;4;5;6;7;8;9;10;11;12;13;14;15;16;17;18;19;20;21;22;23;24;25;26;27;28;29;30},
     COUNTIFS($U$3:$U$201,$M278)&gt;0,
     COUNTIFS($V$3:$V$201,$M278)&gt;0,
     COUNTIFS($W$3:$W$201,$M278)&gt;0,
     COUNTIFS($X$3:$X$201,$M278)&gt;0,
     COUNTIFS($Y$3:$Y$201,$M278)&gt;0,
     COUNTIFS($Z$3:$Z$201,$M278)&gt;0,
     COUNTIFS($AA$3:$AA$201,$M278)&gt;0,
     COUNTIFS($AB$3:$AB$201,$M278)&gt;0,
     COUNTIFS($AC$3:$AC$201,$M278)&gt;0,
     COUNTIFS($AD$3:$AD$201,$M278)&gt;0,
     COUNTIFS($AE$3:$AE$201,$M278)&gt;0,
     COUNTIFS($AF$3:$AF$201,$M278)&gt;0,
     COUNTIFS($AG$3:$AG$201,$M278)&gt;0,
     COUNTIFS($AH$3:$AH$201,$M278)&gt;0,
     COUNTIFS($AI$3:$AI$201,$M278)&gt;0,
     COUNTIFS($AJ$3:$AJ$201,$M278)&gt;0,
     COUNTIFS($AK$3:$AK$201,$M278)&gt;0,
     COUNTIFS($AL$3:$AL$201,$M278)&gt;0,
     COUNTIFS($AM$3:$AM$201,$M278)&gt;0,
     COUNTIFS($AN$3:$AN$201,$M278)&gt;0,
     COUNTIFS($AO$3:$AO$201,$M278)&gt;0,
     COUNTIFS($AP$3:$AP$201,$M278)&gt;0,
     COUNTIFS($AQ$3:$AQ$201,$M278)&gt;0,
     COUNTIFS($AR$3:$AR$201,$M278)&gt;0,
     COUNTIFS($AS$3:$AS$201,$M278)&gt;0,
     COUNTIFS($AT$3:$AT$201,$M278)&gt;0,
     COUNTIFS($AU$3:$AU$201,$M278)&gt;0,
     COUNTIFS($AV$3:$AV$201,$M278)&gt;0,
     COUNTIFS($AW$3:$AW$201,$M278)&gt;0,
     COUNTIFS($AX$3:$AX$201,$M278)&gt;0
   )),
  ),
  2
 ),
"")</f>
        <v/>
      </c>
      <c r="Q278" s="2" t="str" cm="1">
        <f t="array" ref="Q278">IFERROR(
 INDEX(
  _xlfn._xlws.FILTER($U$2:$AX$2,
   TRANSPOSE(
    CHOOSE({1;2;3;4;5;6;7;8;9;10;11;12;13;14;15;16;17;18;19;20;21;22;23;24;25;26;27;28;29;30},
     COUNTIFS($U$3:$U$201,$M278)&gt;0,
     COUNTIFS($V$3:$V$201,$M278)&gt;0,
     COUNTIFS($W$3:$W$201,$M278)&gt;0,
     COUNTIFS($X$3:$X$201,$M278)&gt;0,
     COUNTIFS($Y$3:$Y$201,$M278)&gt;0,
     COUNTIFS($Z$3:$Z$201,$M278)&gt;0,
     COUNTIFS($AA$3:$AA$201,$M278)&gt;0,
     COUNTIFS($AB$3:$AB$201,$M278)&gt;0,
     COUNTIFS($AC$3:$AC$201,$M278)&gt;0,
     COUNTIFS($AD$3:$AD$201,$M278)&gt;0,
     COUNTIFS($AE$3:$AE$201,$M278)&gt;0,
     COUNTIFS($AF$3:$AF$201,$M278)&gt;0,
     COUNTIFS($AG$3:$AG$201,$M278)&gt;0,
     COUNTIFS($AH$3:$AH$201,$M278)&gt;0,
     COUNTIFS($AI$3:$AI$201,$M278)&gt;0,
     COUNTIFS($AJ$3:$AJ$201,$M278)&gt;0,
     COUNTIFS($AK$3:$AK$201,$M278)&gt;0,
     COUNTIFS($AL$3:$AL$201,$M278)&gt;0,
     COUNTIFS($AM$3:$AM$201,$M278)&gt;0,
     COUNTIFS($AN$3:$AN$201,$M278)&gt;0,
     COUNTIFS($AO$3:$AO$201,$M278)&gt;0,
     COUNTIFS($AP$3:$AP$201,$M278)&gt;0,
     COUNTIFS($AQ$3:$AQ$201,$M278)&gt;0,
     COUNTIFS($AR$3:$AR$201,$M278)&gt;0,
     COUNTIFS($AS$3:$AS$201,$M278)&gt;0,
     COUNTIFS($AT$3:$AT$201,$M278)&gt;0,
     COUNTIFS($AU$3:$AU$201,$M278)&gt;0,
     COUNTIFS($AV$3:$AV$201,$M278)&gt;0,
     COUNTIFS($AW$3:$AW$201,$M278)&gt;0,
     COUNTIFS($AX$3:$AX$201,$M278)&gt;0
   )),
  ),
  3
 ),
"")</f>
        <v/>
      </c>
    </row>
    <row r="279" spans="1:17" x14ac:dyDescent="0.25">
      <c r="A279" t="str">
        <f ca="1"/>
        <v>Mistrise Village</v>
      </c>
      <c r="B279" s="2" t="str" cm="1">
        <f t="array" aca="1" ref="B279" ca="1">_xlfn.ANCHORARRAY(RESUMO!C278)</f>
        <v>JhoiraB</v>
      </c>
      <c r="C279" s="2" t="str">
        <f t="shared" ca="1" si="16"/>
        <v/>
      </c>
      <c r="F279" s="2">
        <f t="shared" si="19"/>
        <v>0</v>
      </c>
      <c r="G279" s="2" t="str">
        <f t="shared" ca="1" si="17"/>
        <v/>
      </c>
      <c r="J279" t="s">
        <v>180</v>
      </c>
      <c r="K279" s="2">
        <v>1</v>
      </c>
      <c r="N279" s="2">
        <f t="shared" si="18"/>
        <v>0</v>
      </c>
      <c r="O279" s="2" t="str">
        <f>IFERROR(
 INDEX($U$2:$AX$2,
  MATCH(TRUE,
   CHOOSE({1;2;3;4;5;6;7;8;9;10;11;12;13;14;15;16;17;18;19;20;21;22;23;24;25;26;27;28;29;30;31;32},
    COUNTIFS($U$3:$U$201,$M279)&gt;0,
    COUNTIFS($V$3:$V$201,$M279)&gt;0,
    COUNTIFS($W$3:$W$201,$M279)&gt;0,
    COUNTIFS($X$3:$X$201,$M279)&gt;0,
    COUNTIFS($Y$3:$Y$201,$M279)&gt;0,
    COUNTIFS($Z$3:$Z$201,$M279)&gt;0,
    COUNTIFS($AA$3:$AA$201,$M279)&gt;0,
    COUNTIFS($AB$3:$AB$201,$M279)&gt;0,
    COUNTIFS($AC$3:$AC$201,$M279)&gt;0,
    COUNTIFS($AD$3:$AD$201,$M279)&gt;0,
    COUNTIFS($AE$3:$AE$201,$M279)&gt;0,
    COUNTIFS($AF$3:$AF$201,$M279)&gt;0,
    COUNTIFS($AG$3:$AG$201,$M279)&gt;0,
    COUNTIFS($AH$3:$AH$201,$M279)&gt;0,
    COUNTIFS($AI$3:$AI$201,$M279)&gt;0,
    COUNTIFS($AJ$3:$AJ$201,$M279)&gt;0,
    COUNTIFS($AK$3:$AK$201,$M279)&gt;0,
    COUNTIFS($AL$3:$AL$201,$M279)&gt;0,
    COUNTIFS($AM$3:$AM$201,$M279)&gt;0,
    COUNTIFS($AN$3:$AN$201,$M279)&gt;0,
    COUNTIFS($AO$3:$AO$201,$M279)&gt;0,
    COUNTIFS($AP$3:$AP$201,$M279)&gt;0,
    COUNTIFS($AQ$3:$AQ$201,$M279)&gt;0,
    COUNTIFS($AR$3:$AR$201,$M279)&gt;0,
    COUNTIFS($AS$3:$AS$201,$M279)&gt;0,
    COUNTIFS($AT$3:$AT$201,$M279)&gt;0,
    COUNTIFS($AU$3:$AU$201,$M279)&gt;0,
    COUNTIFS($AV$3:$AV$201,$M279)&gt;0,
    COUNTIFS($AW$3:$AW$201,$M279)&gt;0,
    COUNTIFS($AX$3:$AX$201,$M279)&gt;0
   ),
  0)
 ),
"")</f>
        <v/>
      </c>
      <c r="P279" s="2" t="str" cm="1">
        <f t="array" ref="P279">IFERROR(
 INDEX(
  _xlfn._xlws.FILTER($U$2:$AX$2,
   TRANSPOSE(
    CHOOSE({1;2;3;4;5;6;7;8;9;10;11;12;13;14;15;16;17;18;19;20;21;22;23;24;25;26;27;28;29;30},
     COUNTIFS($U$3:$U$201,$M279)&gt;0,
     COUNTIFS($V$3:$V$201,$M279)&gt;0,
     COUNTIFS($W$3:$W$201,$M279)&gt;0,
     COUNTIFS($X$3:$X$201,$M279)&gt;0,
     COUNTIFS($Y$3:$Y$201,$M279)&gt;0,
     COUNTIFS($Z$3:$Z$201,$M279)&gt;0,
     COUNTIFS($AA$3:$AA$201,$M279)&gt;0,
     COUNTIFS($AB$3:$AB$201,$M279)&gt;0,
     COUNTIFS($AC$3:$AC$201,$M279)&gt;0,
     COUNTIFS($AD$3:$AD$201,$M279)&gt;0,
     COUNTIFS($AE$3:$AE$201,$M279)&gt;0,
     COUNTIFS($AF$3:$AF$201,$M279)&gt;0,
     COUNTIFS($AG$3:$AG$201,$M279)&gt;0,
     COUNTIFS($AH$3:$AH$201,$M279)&gt;0,
     COUNTIFS($AI$3:$AI$201,$M279)&gt;0,
     COUNTIFS($AJ$3:$AJ$201,$M279)&gt;0,
     COUNTIFS($AK$3:$AK$201,$M279)&gt;0,
     COUNTIFS($AL$3:$AL$201,$M279)&gt;0,
     COUNTIFS($AM$3:$AM$201,$M279)&gt;0,
     COUNTIFS($AN$3:$AN$201,$M279)&gt;0,
     COUNTIFS($AO$3:$AO$201,$M279)&gt;0,
     COUNTIFS($AP$3:$AP$201,$M279)&gt;0,
     COUNTIFS($AQ$3:$AQ$201,$M279)&gt;0,
     COUNTIFS($AR$3:$AR$201,$M279)&gt;0,
     COUNTIFS($AS$3:$AS$201,$M279)&gt;0,
     COUNTIFS($AT$3:$AT$201,$M279)&gt;0,
     COUNTIFS($AU$3:$AU$201,$M279)&gt;0,
     COUNTIFS($AV$3:$AV$201,$M279)&gt;0,
     COUNTIFS($AW$3:$AW$201,$M279)&gt;0,
     COUNTIFS($AX$3:$AX$201,$M279)&gt;0
   )),
  ),
  2
 ),
"")</f>
        <v/>
      </c>
      <c r="Q279" s="2" t="str" cm="1">
        <f t="array" ref="Q279">IFERROR(
 INDEX(
  _xlfn._xlws.FILTER($U$2:$AX$2,
   TRANSPOSE(
    CHOOSE({1;2;3;4;5;6;7;8;9;10;11;12;13;14;15;16;17;18;19;20;21;22;23;24;25;26;27;28;29;30},
     COUNTIFS($U$3:$U$201,$M279)&gt;0,
     COUNTIFS($V$3:$V$201,$M279)&gt;0,
     COUNTIFS($W$3:$W$201,$M279)&gt;0,
     COUNTIFS($X$3:$X$201,$M279)&gt;0,
     COUNTIFS($Y$3:$Y$201,$M279)&gt;0,
     COUNTIFS($Z$3:$Z$201,$M279)&gt;0,
     COUNTIFS($AA$3:$AA$201,$M279)&gt;0,
     COUNTIFS($AB$3:$AB$201,$M279)&gt;0,
     COUNTIFS($AC$3:$AC$201,$M279)&gt;0,
     COUNTIFS($AD$3:$AD$201,$M279)&gt;0,
     COUNTIFS($AE$3:$AE$201,$M279)&gt;0,
     COUNTIFS($AF$3:$AF$201,$M279)&gt;0,
     COUNTIFS($AG$3:$AG$201,$M279)&gt;0,
     COUNTIFS($AH$3:$AH$201,$M279)&gt;0,
     COUNTIFS($AI$3:$AI$201,$M279)&gt;0,
     COUNTIFS($AJ$3:$AJ$201,$M279)&gt;0,
     COUNTIFS($AK$3:$AK$201,$M279)&gt;0,
     COUNTIFS($AL$3:$AL$201,$M279)&gt;0,
     COUNTIFS($AM$3:$AM$201,$M279)&gt;0,
     COUNTIFS($AN$3:$AN$201,$M279)&gt;0,
     COUNTIFS($AO$3:$AO$201,$M279)&gt;0,
     COUNTIFS($AP$3:$AP$201,$M279)&gt;0,
     COUNTIFS($AQ$3:$AQ$201,$M279)&gt;0,
     COUNTIFS($AR$3:$AR$201,$M279)&gt;0,
     COUNTIFS($AS$3:$AS$201,$M279)&gt;0,
     COUNTIFS($AT$3:$AT$201,$M279)&gt;0,
     COUNTIFS($AU$3:$AU$201,$M279)&gt;0,
     COUNTIFS($AV$3:$AV$201,$M279)&gt;0,
     COUNTIFS($AW$3:$AW$201,$M279)&gt;0,
     COUNTIFS($AX$3:$AX$201,$M279)&gt;0
   )),
  ),
  3
 ),
"")</f>
        <v/>
      </c>
    </row>
    <row r="280" spans="1:17" x14ac:dyDescent="0.25">
      <c r="A280" t="str">
        <f ca="1"/>
        <v>Misty Rainforest</v>
      </c>
      <c r="B280" s="2" t="str" cm="1">
        <f t="array" aca="1" ref="B280" ca="1">_xlfn.ANCHORARRAY(RESUMO!C279)</f>
        <v>Zimone</v>
      </c>
      <c r="C280" s="2" t="str">
        <f t="shared" ca="1" si="16"/>
        <v/>
      </c>
      <c r="F280" s="2">
        <f t="shared" si="19"/>
        <v>0</v>
      </c>
      <c r="G280" s="2" t="str">
        <f t="shared" ca="1" si="17"/>
        <v/>
      </c>
      <c r="J280" t="s">
        <v>180</v>
      </c>
      <c r="K280" s="2">
        <v>1</v>
      </c>
      <c r="N280" s="2">
        <f t="shared" si="18"/>
        <v>0</v>
      </c>
      <c r="O280" s="2" t="str">
        <f>IFERROR(
 INDEX($U$2:$AX$2,
  MATCH(TRUE,
   CHOOSE({1;2;3;4;5;6;7;8;9;10;11;12;13;14;15;16;17;18;19;20;21;22;23;24;25;26;27;28;29;30;31;32},
    COUNTIFS($U$3:$U$201,$M280)&gt;0,
    COUNTIFS($V$3:$V$201,$M280)&gt;0,
    COUNTIFS($W$3:$W$201,$M280)&gt;0,
    COUNTIFS($X$3:$X$201,$M280)&gt;0,
    COUNTIFS($Y$3:$Y$201,$M280)&gt;0,
    COUNTIFS($Z$3:$Z$201,$M280)&gt;0,
    COUNTIFS($AA$3:$AA$201,$M280)&gt;0,
    COUNTIFS($AB$3:$AB$201,$M280)&gt;0,
    COUNTIFS($AC$3:$AC$201,$M280)&gt;0,
    COUNTIFS($AD$3:$AD$201,$M280)&gt;0,
    COUNTIFS($AE$3:$AE$201,$M280)&gt;0,
    COUNTIFS($AF$3:$AF$201,$M280)&gt;0,
    COUNTIFS($AG$3:$AG$201,$M280)&gt;0,
    COUNTIFS($AH$3:$AH$201,$M280)&gt;0,
    COUNTIFS($AI$3:$AI$201,$M280)&gt;0,
    COUNTIFS($AJ$3:$AJ$201,$M280)&gt;0,
    COUNTIFS($AK$3:$AK$201,$M280)&gt;0,
    COUNTIFS($AL$3:$AL$201,$M280)&gt;0,
    COUNTIFS($AM$3:$AM$201,$M280)&gt;0,
    COUNTIFS($AN$3:$AN$201,$M280)&gt;0,
    COUNTIFS($AO$3:$AO$201,$M280)&gt;0,
    COUNTIFS($AP$3:$AP$201,$M280)&gt;0,
    COUNTIFS($AQ$3:$AQ$201,$M280)&gt;0,
    COUNTIFS($AR$3:$AR$201,$M280)&gt;0,
    COUNTIFS($AS$3:$AS$201,$M280)&gt;0,
    COUNTIFS($AT$3:$AT$201,$M280)&gt;0,
    COUNTIFS($AU$3:$AU$201,$M280)&gt;0,
    COUNTIFS($AV$3:$AV$201,$M280)&gt;0,
    COUNTIFS($AW$3:$AW$201,$M280)&gt;0,
    COUNTIFS($AX$3:$AX$201,$M280)&gt;0
   ),
  0)
 ),
"")</f>
        <v/>
      </c>
      <c r="P280" s="2" t="str" cm="1">
        <f t="array" ref="P280">IFERROR(
 INDEX(
  _xlfn._xlws.FILTER($U$2:$AX$2,
   TRANSPOSE(
    CHOOSE({1;2;3;4;5;6;7;8;9;10;11;12;13;14;15;16;17;18;19;20;21;22;23;24;25;26;27;28;29;30},
     COUNTIFS($U$3:$U$201,$M280)&gt;0,
     COUNTIFS($V$3:$V$201,$M280)&gt;0,
     COUNTIFS($W$3:$W$201,$M280)&gt;0,
     COUNTIFS($X$3:$X$201,$M280)&gt;0,
     COUNTIFS($Y$3:$Y$201,$M280)&gt;0,
     COUNTIFS($Z$3:$Z$201,$M280)&gt;0,
     COUNTIFS($AA$3:$AA$201,$M280)&gt;0,
     COUNTIFS($AB$3:$AB$201,$M280)&gt;0,
     COUNTIFS($AC$3:$AC$201,$M280)&gt;0,
     COUNTIFS($AD$3:$AD$201,$M280)&gt;0,
     COUNTIFS($AE$3:$AE$201,$M280)&gt;0,
     COUNTIFS($AF$3:$AF$201,$M280)&gt;0,
     COUNTIFS($AG$3:$AG$201,$M280)&gt;0,
     COUNTIFS($AH$3:$AH$201,$M280)&gt;0,
     COUNTIFS($AI$3:$AI$201,$M280)&gt;0,
     COUNTIFS($AJ$3:$AJ$201,$M280)&gt;0,
     COUNTIFS($AK$3:$AK$201,$M280)&gt;0,
     COUNTIFS($AL$3:$AL$201,$M280)&gt;0,
     COUNTIFS($AM$3:$AM$201,$M280)&gt;0,
     COUNTIFS($AN$3:$AN$201,$M280)&gt;0,
     COUNTIFS($AO$3:$AO$201,$M280)&gt;0,
     COUNTIFS($AP$3:$AP$201,$M280)&gt;0,
     COUNTIFS($AQ$3:$AQ$201,$M280)&gt;0,
     COUNTIFS($AR$3:$AR$201,$M280)&gt;0,
     COUNTIFS($AS$3:$AS$201,$M280)&gt;0,
     COUNTIFS($AT$3:$AT$201,$M280)&gt;0,
     COUNTIFS($AU$3:$AU$201,$M280)&gt;0,
     COUNTIFS($AV$3:$AV$201,$M280)&gt;0,
     COUNTIFS($AW$3:$AW$201,$M280)&gt;0,
     COUNTIFS($AX$3:$AX$201,$M280)&gt;0
   )),
  ),
  2
 ),
"")</f>
        <v/>
      </c>
      <c r="Q280" s="2" t="str" cm="1">
        <f t="array" ref="Q280">IFERROR(
 INDEX(
  _xlfn._xlws.FILTER($U$2:$AX$2,
   TRANSPOSE(
    CHOOSE({1;2;3;4;5;6;7;8;9;10;11;12;13;14;15;16;17;18;19;20;21;22;23;24;25;26;27;28;29;30},
     COUNTIFS($U$3:$U$201,$M280)&gt;0,
     COUNTIFS($V$3:$V$201,$M280)&gt;0,
     COUNTIFS($W$3:$W$201,$M280)&gt;0,
     COUNTIFS($X$3:$X$201,$M280)&gt;0,
     COUNTIFS($Y$3:$Y$201,$M280)&gt;0,
     COUNTIFS($Z$3:$Z$201,$M280)&gt;0,
     COUNTIFS($AA$3:$AA$201,$M280)&gt;0,
     COUNTIFS($AB$3:$AB$201,$M280)&gt;0,
     COUNTIFS($AC$3:$AC$201,$M280)&gt;0,
     COUNTIFS($AD$3:$AD$201,$M280)&gt;0,
     COUNTIFS($AE$3:$AE$201,$M280)&gt;0,
     COUNTIFS($AF$3:$AF$201,$M280)&gt;0,
     COUNTIFS($AG$3:$AG$201,$M280)&gt;0,
     COUNTIFS($AH$3:$AH$201,$M280)&gt;0,
     COUNTIFS($AI$3:$AI$201,$M280)&gt;0,
     COUNTIFS($AJ$3:$AJ$201,$M280)&gt;0,
     COUNTIFS($AK$3:$AK$201,$M280)&gt;0,
     COUNTIFS($AL$3:$AL$201,$M280)&gt;0,
     COUNTIFS($AM$3:$AM$201,$M280)&gt;0,
     COUNTIFS($AN$3:$AN$201,$M280)&gt;0,
     COUNTIFS($AO$3:$AO$201,$M280)&gt;0,
     COUNTIFS($AP$3:$AP$201,$M280)&gt;0,
     COUNTIFS($AQ$3:$AQ$201,$M280)&gt;0,
     COUNTIFS($AR$3:$AR$201,$M280)&gt;0,
     COUNTIFS($AS$3:$AS$201,$M280)&gt;0,
     COUNTIFS($AT$3:$AT$201,$M280)&gt;0,
     COUNTIFS($AU$3:$AU$201,$M280)&gt;0,
     COUNTIFS($AV$3:$AV$201,$M280)&gt;0,
     COUNTIFS($AW$3:$AW$201,$M280)&gt;0,
     COUNTIFS($AX$3:$AX$201,$M280)&gt;0
   )),
  ),
  3
 ),
"")</f>
        <v/>
      </c>
    </row>
    <row r="281" spans="1:17" x14ac:dyDescent="0.25">
      <c r="A281" t="str">
        <f ca="1"/>
        <v>Mnemonic Sliver</v>
      </c>
      <c r="B281" s="2" t="str" cm="1">
        <f t="array" aca="1" ref="B281" ca="1">_xlfn.ANCHORARRAY(RESUMO!C280)</f>
        <v>Fractius</v>
      </c>
      <c r="C281" s="2" t="str">
        <f t="shared" ca="1" si="16"/>
        <v/>
      </c>
      <c r="F281" s="2">
        <f t="shared" si="19"/>
        <v>0</v>
      </c>
      <c r="G281" s="2" t="str">
        <f t="shared" ca="1" si="17"/>
        <v/>
      </c>
      <c r="J281" t="s">
        <v>180</v>
      </c>
      <c r="K281" s="2">
        <v>1</v>
      </c>
      <c r="N281" s="2">
        <f t="shared" si="18"/>
        <v>0</v>
      </c>
      <c r="O281" s="2" t="str">
        <f>IFERROR(
 INDEX($U$2:$AX$2,
  MATCH(TRUE,
   CHOOSE({1;2;3;4;5;6;7;8;9;10;11;12;13;14;15;16;17;18;19;20;21;22;23;24;25;26;27;28;29;30;31;32},
    COUNTIFS($U$3:$U$201,$M281)&gt;0,
    COUNTIFS($V$3:$V$201,$M281)&gt;0,
    COUNTIFS($W$3:$W$201,$M281)&gt;0,
    COUNTIFS($X$3:$X$201,$M281)&gt;0,
    COUNTIFS($Y$3:$Y$201,$M281)&gt;0,
    COUNTIFS($Z$3:$Z$201,$M281)&gt;0,
    COUNTIFS($AA$3:$AA$201,$M281)&gt;0,
    COUNTIFS($AB$3:$AB$201,$M281)&gt;0,
    COUNTIFS($AC$3:$AC$201,$M281)&gt;0,
    COUNTIFS($AD$3:$AD$201,$M281)&gt;0,
    COUNTIFS($AE$3:$AE$201,$M281)&gt;0,
    COUNTIFS($AF$3:$AF$201,$M281)&gt;0,
    COUNTIFS($AG$3:$AG$201,$M281)&gt;0,
    COUNTIFS($AH$3:$AH$201,$M281)&gt;0,
    COUNTIFS($AI$3:$AI$201,$M281)&gt;0,
    COUNTIFS($AJ$3:$AJ$201,$M281)&gt;0,
    COUNTIFS($AK$3:$AK$201,$M281)&gt;0,
    COUNTIFS($AL$3:$AL$201,$M281)&gt;0,
    COUNTIFS($AM$3:$AM$201,$M281)&gt;0,
    COUNTIFS($AN$3:$AN$201,$M281)&gt;0,
    COUNTIFS($AO$3:$AO$201,$M281)&gt;0,
    COUNTIFS($AP$3:$AP$201,$M281)&gt;0,
    COUNTIFS($AQ$3:$AQ$201,$M281)&gt;0,
    COUNTIFS($AR$3:$AR$201,$M281)&gt;0,
    COUNTIFS($AS$3:$AS$201,$M281)&gt;0,
    COUNTIFS($AT$3:$AT$201,$M281)&gt;0,
    COUNTIFS($AU$3:$AU$201,$M281)&gt;0,
    COUNTIFS($AV$3:$AV$201,$M281)&gt;0,
    COUNTIFS($AW$3:$AW$201,$M281)&gt;0,
    COUNTIFS($AX$3:$AX$201,$M281)&gt;0
   ),
  0)
 ),
"")</f>
        <v/>
      </c>
      <c r="P281" s="2" t="str" cm="1">
        <f t="array" ref="P281">IFERROR(
 INDEX(
  _xlfn._xlws.FILTER($U$2:$AX$2,
   TRANSPOSE(
    CHOOSE({1;2;3;4;5;6;7;8;9;10;11;12;13;14;15;16;17;18;19;20;21;22;23;24;25;26;27;28;29;30},
     COUNTIFS($U$3:$U$201,$M281)&gt;0,
     COUNTIFS($V$3:$V$201,$M281)&gt;0,
     COUNTIFS($W$3:$W$201,$M281)&gt;0,
     COUNTIFS($X$3:$X$201,$M281)&gt;0,
     COUNTIFS($Y$3:$Y$201,$M281)&gt;0,
     COUNTIFS($Z$3:$Z$201,$M281)&gt;0,
     COUNTIFS($AA$3:$AA$201,$M281)&gt;0,
     COUNTIFS($AB$3:$AB$201,$M281)&gt;0,
     COUNTIFS($AC$3:$AC$201,$M281)&gt;0,
     COUNTIFS($AD$3:$AD$201,$M281)&gt;0,
     COUNTIFS($AE$3:$AE$201,$M281)&gt;0,
     COUNTIFS($AF$3:$AF$201,$M281)&gt;0,
     COUNTIFS($AG$3:$AG$201,$M281)&gt;0,
     COUNTIFS($AH$3:$AH$201,$M281)&gt;0,
     COUNTIFS($AI$3:$AI$201,$M281)&gt;0,
     COUNTIFS($AJ$3:$AJ$201,$M281)&gt;0,
     COUNTIFS($AK$3:$AK$201,$M281)&gt;0,
     COUNTIFS($AL$3:$AL$201,$M281)&gt;0,
     COUNTIFS($AM$3:$AM$201,$M281)&gt;0,
     COUNTIFS($AN$3:$AN$201,$M281)&gt;0,
     COUNTIFS($AO$3:$AO$201,$M281)&gt;0,
     COUNTIFS($AP$3:$AP$201,$M281)&gt;0,
     COUNTIFS($AQ$3:$AQ$201,$M281)&gt;0,
     COUNTIFS($AR$3:$AR$201,$M281)&gt;0,
     COUNTIFS($AS$3:$AS$201,$M281)&gt;0,
     COUNTIFS($AT$3:$AT$201,$M281)&gt;0,
     COUNTIFS($AU$3:$AU$201,$M281)&gt;0,
     COUNTIFS($AV$3:$AV$201,$M281)&gt;0,
     COUNTIFS($AW$3:$AW$201,$M281)&gt;0,
     COUNTIFS($AX$3:$AX$201,$M281)&gt;0
   )),
  ),
  2
 ),
"")</f>
        <v/>
      </c>
      <c r="Q281" s="2" t="str" cm="1">
        <f t="array" ref="Q281">IFERROR(
 INDEX(
  _xlfn._xlws.FILTER($U$2:$AX$2,
   TRANSPOSE(
    CHOOSE({1;2;3;4;5;6;7;8;9;10;11;12;13;14;15;16;17;18;19;20;21;22;23;24;25;26;27;28;29;30},
     COUNTIFS($U$3:$U$201,$M281)&gt;0,
     COUNTIFS($V$3:$V$201,$M281)&gt;0,
     COUNTIFS($W$3:$W$201,$M281)&gt;0,
     COUNTIFS($X$3:$X$201,$M281)&gt;0,
     COUNTIFS($Y$3:$Y$201,$M281)&gt;0,
     COUNTIFS($Z$3:$Z$201,$M281)&gt;0,
     COUNTIFS($AA$3:$AA$201,$M281)&gt;0,
     COUNTIFS($AB$3:$AB$201,$M281)&gt;0,
     COUNTIFS($AC$3:$AC$201,$M281)&gt;0,
     COUNTIFS($AD$3:$AD$201,$M281)&gt;0,
     COUNTIFS($AE$3:$AE$201,$M281)&gt;0,
     COUNTIFS($AF$3:$AF$201,$M281)&gt;0,
     COUNTIFS($AG$3:$AG$201,$M281)&gt;0,
     COUNTIFS($AH$3:$AH$201,$M281)&gt;0,
     COUNTIFS($AI$3:$AI$201,$M281)&gt;0,
     COUNTIFS($AJ$3:$AJ$201,$M281)&gt;0,
     COUNTIFS($AK$3:$AK$201,$M281)&gt;0,
     COUNTIFS($AL$3:$AL$201,$M281)&gt;0,
     COUNTIFS($AM$3:$AM$201,$M281)&gt;0,
     COUNTIFS($AN$3:$AN$201,$M281)&gt;0,
     COUNTIFS($AO$3:$AO$201,$M281)&gt;0,
     COUNTIFS($AP$3:$AP$201,$M281)&gt;0,
     COUNTIFS($AQ$3:$AQ$201,$M281)&gt;0,
     COUNTIFS($AR$3:$AR$201,$M281)&gt;0,
     COUNTIFS($AS$3:$AS$201,$M281)&gt;0,
     COUNTIFS($AT$3:$AT$201,$M281)&gt;0,
     COUNTIFS($AU$3:$AU$201,$M281)&gt;0,
     COUNTIFS($AV$3:$AV$201,$M281)&gt;0,
     COUNTIFS($AW$3:$AW$201,$M281)&gt;0,
     COUNTIFS($AX$3:$AX$201,$M281)&gt;0
   )),
  ),
  3
 ),
"")</f>
        <v/>
      </c>
    </row>
    <row r="282" spans="1:17" x14ac:dyDescent="0.25">
      <c r="A282" t="str">
        <f ca="1"/>
        <v>Molten Echoes</v>
      </c>
      <c r="B282" s="2" t="str" cm="1">
        <f t="array" aca="1" ref="B282" ca="1">_xlfn.ANCHORARRAY(RESUMO!C281)</f>
        <v>Inalla</v>
      </c>
      <c r="C282" s="2" t="str">
        <f t="shared" ca="1" si="16"/>
        <v/>
      </c>
      <c r="F282" s="2">
        <f t="shared" si="19"/>
        <v>0</v>
      </c>
      <c r="G282" s="2" t="str">
        <f t="shared" ca="1" si="17"/>
        <v/>
      </c>
      <c r="J282" t="s">
        <v>180</v>
      </c>
      <c r="K282" s="2">
        <v>1</v>
      </c>
      <c r="N282" s="2">
        <f t="shared" si="18"/>
        <v>0</v>
      </c>
      <c r="O282" s="2" t="str">
        <f>IFERROR(
 INDEX($U$2:$AX$2,
  MATCH(TRUE,
   CHOOSE({1;2;3;4;5;6;7;8;9;10;11;12;13;14;15;16;17;18;19;20;21;22;23;24;25;26;27;28;29;30;31;32},
    COUNTIFS($U$3:$U$201,$M282)&gt;0,
    COUNTIFS($V$3:$V$201,$M282)&gt;0,
    COUNTIFS($W$3:$W$201,$M282)&gt;0,
    COUNTIFS($X$3:$X$201,$M282)&gt;0,
    COUNTIFS($Y$3:$Y$201,$M282)&gt;0,
    COUNTIFS($Z$3:$Z$201,$M282)&gt;0,
    COUNTIFS($AA$3:$AA$201,$M282)&gt;0,
    COUNTIFS($AB$3:$AB$201,$M282)&gt;0,
    COUNTIFS($AC$3:$AC$201,$M282)&gt;0,
    COUNTIFS($AD$3:$AD$201,$M282)&gt;0,
    COUNTIFS($AE$3:$AE$201,$M282)&gt;0,
    COUNTIFS($AF$3:$AF$201,$M282)&gt;0,
    COUNTIFS($AG$3:$AG$201,$M282)&gt;0,
    COUNTIFS($AH$3:$AH$201,$M282)&gt;0,
    COUNTIFS($AI$3:$AI$201,$M282)&gt;0,
    COUNTIFS($AJ$3:$AJ$201,$M282)&gt;0,
    COUNTIFS($AK$3:$AK$201,$M282)&gt;0,
    COUNTIFS($AL$3:$AL$201,$M282)&gt;0,
    COUNTIFS($AM$3:$AM$201,$M282)&gt;0,
    COUNTIFS($AN$3:$AN$201,$M282)&gt;0,
    COUNTIFS($AO$3:$AO$201,$M282)&gt;0,
    COUNTIFS($AP$3:$AP$201,$M282)&gt;0,
    COUNTIFS($AQ$3:$AQ$201,$M282)&gt;0,
    COUNTIFS($AR$3:$AR$201,$M282)&gt;0,
    COUNTIFS($AS$3:$AS$201,$M282)&gt;0,
    COUNTIFS($AT$3:$AT$201,$M282)&gt;0,
    COUNTIFS($AU$3:$AU$201,$M282)&gt;0,
    COUNTIFS($AV$3:$AV$201,$M282)&gt;0,
    COUNTIFS($AW$3:$AW$201,$M282)&gt;0,
    COUNTIFS($AX$3:$AX$201,$M282)&gt;0
   ),
  0)
 ),
"")</f>
        <v/>
      </c>
      <c r="P282" s="2" t="str" cm="1">
        <f t="array" ref="P282">IFERROR(
 INDEX(
  _xlfn._xlws.FILTER($U$2:$AX$2,
   TRANSPOSE(
    CHOOSE({1;2;3;4;5;6;7;8;9;10;11;12;13;14;15;16;17;18;19;20;21;22;23;24;25;26;27;28;29;30},
     COUNTIFS($U$3:$U$201,$M282)&gt;0,
     COUNTIFS($V$3:$V$201,$M282)&gt;0,
     COUNTIFS($W$3:$W$201,$M282)&gt;0,
     COUNTIFS($X$3:$X$201,$M282)&gt;0,
     COUNTIFS($Y$3:$Y$201,$M282)&gt;0,
     COUNTIFS($Z$3:$Z$201,$M282)&gt;0,
     COUNTIFS($AA$3:$AA$201,$M282)&gt;0,
     COUNTIFS($AB$3:$AB$201,$M282)&gt;0,
     COUNTIFS($AC$3:$AC$201,$M282)&gt;0,
     COUNTIFS($AD$3:$AD$201,$M282)&gt;0,
     COUNTIFS($AE$3:$AE$201,$M282)&gt;0,
     COUNTIFS($AF$3:$AF$201,$M282)&gt;0,
     COUNTIFS($AG$3:$AG$201,$M282)&gt;0,
     COUNTIFS($AH$3:$AH$201,$M282)&gt;0,
     COUNTIFS($AI$3:$AI$201,$M282)&gt;0,
     COUNTIFS($AJ$3:$AJ$201,$M282)&gt;0,
     COUNTIFS($AK$3:$AK$201,$M282)&gt;0,
     COUNTIFS($AL$3:$AL$201,$M282)&gt;0,
     COUNTIFS($AM$3:$AM$201,$M282)&gt;0,
     COUNTIFS($AN$3:$AN$201,$M282)&gt;0,
     COUNTIFS($AO$3:$AO$201,$M282)&gt;0,
     COUNTIFS($AP$3:$AP$201,$M282)&gt;0,
     COUNTIFS($AQ$3:$AQ$201,$M282)&gt;0,
     COUNTIFS($AR$3:$AR$201,$M282)&gt;0,
     COUNTIFS($AS$3:$AS$201,$M282)&gt;0,
     COUNTIFS($AT$3:$AT$201,$M282)&gt;0,
     COUNTIFS($AU$3:$AU$201,$M282)&gt;0,
     COUNTIFS($AV$3:$AV$201,$M282)&gt;0,
     COUNTIFS($AW$3:$AW$201,$M282)&gt;0,
     COUNTIFS($AX$3:$AX$201,$M282)&gt;0
   )),
  ),
  2
 ),
"")</f>
        <v/>
      </c>
      <c r="Q282" s="2" t="str" cm="1">
        <f t="array" ref="Q282">IFERROR(
 INDEX(
  _xlfn._xlws.FILTER($U$2:$AX$2,
   TRANSPOSE(
    CHOOSE({1;2;3;4;5;6;7;8;9;10;11;12;13;14;15;16;17;18;19;20;21;22;23;24;25;26;27;28;29;30},
     COUNTIFS($U$3:$U$201,$M282)&gt;0,
     COUNTIFS($V$3:$V$201,$M282)&gt;0,
     COUNTIFS($W$3:$W$201,$M282)&gt;0,
     COUNTIFS($X$3:$X$201,$M282)&gt;0,
     COUNTIFS($Y$3:$Y$201,$M282)&gt;0,
     COUNTIFS($Z$3:$Z$201,$M282)&gt;0,
     COUNTIFS($AA$3:$AA$201,$M282)&gt;0,
     COUNTIFS($AB$3:$AB$201,$M282)&gt;0,
     COUNTIFS($AC$3:$AC$201,$M282)&gt;0,
     COUNTIFS($AD$3:$AD$201,$M282)&gt;0,
     COUNTIFS($AE$3:$AE$201,$M282)&gt;0,
     COUNTIFS($AF$3:$AF$201,$M282)&gt;0,
     COUNTIFS($AG$3:$AG$201,$M282)&gt;0,
     COUNTIFS($AH$3:$AH$201,$M282)&gt;0,
     COUNTIFS($AI$3:$AI$201,$M282)&gt;0,
     COUNTIFS($AJ$3:$AJ$201,$M282)&gt;0,
     COUNTIFS($AK$3:$AK$201,$M282)&gt;0,
     COUNTIFS($AL$3:$AL$201,$M282)&gt;0,
     COUNTIFS($AM$3:$AM$201,$M282)&gt;0,
     COUNTIFS($AN$3:$AN$201,$M282)&gt;0,
     COUNTIFS($AO$3:$AO$201,$M282)&gt;0,
     COUNTIFS($AP$3:$AP$201,$M282)&gt;0,
     COUNTIFS($AQ$3:$AQ$201,$M282)&gt;0,
     COUNTIFS($AR$3:$AR$201,$M282)&gt;0,
     COUNTIFS($AS$3:$AS$201,$M282)&gt;0,
     COUNTIFS($AT$3:$AT$201,$M282)&gt;0,
     COUNTIFS($AU$3:$AU$201,$M282)&gt;0,
     COUNTIFS($AV$3:$AV$201,$M282)&gt;0,
     COUNTIFS($AW$3:$AW$201,$M282)&gt;0,
     COUNTIFS($AX$3:$AX$201,$M282)&gt;0
   )),
  ),
  3
 ),
"")</f>
        <v/>
      </c>
    </row>
    <row r="283" spans="1:17" x14ac:dyDescent="0.25">
      <c r="A283" t="str">
        <f ca="1"/>
        <v>Mondrak, Glory Dominus</v>
      </c>
      <c r="B283" s="2" t="str" cm="1">
        <f t="array" aca="1" ref="B283" ca="1">_xlfn.ANCHORARRAY(RESUMO!C282)</f>
        <v>Baylen</v>
      </c>
      <c r="C283" s="2" t="str">
        <f t="shared" ca="1" si="16"/>
        <v>OWA</v>
      </c>
      <c r="F283" s="2">
        <f t="shared" si="19"/>
        <v>0</v>
      </c>
      <c r="G283" s="2" t="str">
        <f t="shared" ca="1" si="17"/>
        <v/>
      </c>
      <c r="J283" t="s">
        <v>180</v>
      </c>
      <c r="K283" s="2">
        <v>1</v>
      </c>
      <c r="N283" s="2">
        <f t="shared" si="18"/>
        <v>0</v>
      </c>
      <c r="O283" s="2" t="str">
        <f>IFERROR(
 INDEX($U$2:$AX$2,
  MATCH(TRUE,
   CHOOSE({1;2;3;4;5;6;7;8;9;10;11;12;13;14;15;16;17;18;19;20;21;22;23;24;25;26;27;28;29;30;31;32},
    COUNTIFS($U$3:$U$201,$M283)&gt;0,
    COUNTIFS($V$3:$V$201,$M283)&gt;0,
    COUNTIFS($W$3:$W$201,$M283)&gt;0,
    COUNTIFS($X$3:$X$201,$M283)&gt;0,
    COUNTIFS($Y$3:$Y$201,$M283)&gt;0,
    COUNTIFS($Z$3:$Z$201,$M283)&gt;0,
    COUNTIFS($AA$3:$AA$201,$M283)&gt;0,
    COUNTIFS($AB$3:$AB$201,$M283)&gt;0,
    COUNTIFS($AC$3:$AC$201,$M283)&gt;0,
    COUNTIFS($AD$3:$AD$201,$M283)&gt;0,
    COUNTIFS($AE$3:$AE$201,$M283)&gt;0,
    COUNTIFS($AF$3:$AF$201,$M283)&gt;0,
    COUNTIFS($AG$3:$AG$201,$M283)&gt;0,
    COUNTIFS($AH$3:$AH$201,$M283)&gt;0,
    COUNTIFS($AI$3:$AI$201,$M283)&gt;0,
    COUNTIFS($AJ$3:$AJ$201,$M283)&gt;0,
    COUNTIFS($AK$3:$AK$201,$M283)&gt;0,
    COUNTIFS($AL$3:$AL$201,$M283)&gt;0,
    COUNTIFS($AM$3:$AM$201,$M283)&gt;0,
    COUNTIFS($AN$3:$AN$201,$M283)&gt;0,
    COUNTIFS($AO$3:$AO$201,$M283)&gt;0,
    COUNTIFS($AP$3:$AP$201,$M283)&gt;0,
    COUNTIFS($AQ$3:$AQ$201,$M283)&gt;0,
    COUNTIFS($AR$3:$AR$201,$M283)&gt;0,
    COUNTIFS($AS$3:$AS$201,$M283)&gt;0,
    COUNTIFS($AT$3:$AT$201,$M283)&gt;0,
    COUNTIFS($AU$3:$AU$201,$M283)&gt;0,
    COUNTIFS($AV$3:$AV$201,$M283)&gt;0,
    COUNTIFS($AW$3:$AW$201,$M283)&gt;0,
    COUNTIFS($AX$3:$AX$201,$M283)&gt;0
   ),
  0)
 ),
"")</f>
        <v/>
      </c>
      <c r="P283" s="2" t="str" cm="1">
        <f t="array" ref="P283">IFERROR(
 INDEX(
  _xlfn._xlws.FILTER($U$2:$AX$2,
   TRANSPOSE(
    CHOOSE({1;2;3;4;5;6;7;8;9;10;11;12;13;14;15;16;17;18;19;20;21;22;23;24;25;26;27;28;29;30},
     COUNTIFS($U$3:$U$201,$M283)&gt;0,
     COUNTIFS($V$3:$V$201,$M283)&gt;0,
     COUNTIFS($W$3:$W$201,$M283)&gt;0,
     COUNTIFS($X$3:$X$201,$M283)&gt;0,
     COUNTIFS($Y$3:$Y$201,$M283)&gt;0,
     COUNTIFS($Z$3:$Z$201,$M283)&gt;0,
     COUNTIFS($AA$3:$AA$201,$M283)&gt;0,
     COUNTIFS($AB$3:$AB$201,$M283)&gt;0,
     COUNTIFS($AC$3:$AC$201,$M283)&gt;0,
     COUNTIFS($AD$3:$AD$201,$M283)&gt;0,
     COUNTIFS($AE$3:$AE$201,$M283)&gt;0,
     COUNTIFS($AF$3:$AF$201,$M283)&gt;0,
     COUNTIFS($AG$3:$AG$201,$M283)&gt;0,
     COUNTIFS($AH$3:$AH$201,$M283)&gt;0,
     COUNTIFS($AI$3:$AI$201,$M283)&gt;0,
     COUNTIFS($AJ$3:$AJ$201,$M283)&gt;0,
     COUNTIFS($AK$3:$AK$201,$M283)&gt;0,
     COUNTIFS($AL$3:$AL$201,$M283)&gt;0,
     COUNTIFS($AM$3:$AM$201,$M283)&gt;0,
     COUNTIFS($AN$3:$AN$201,$M283)&gt;0,
     COUNTIFS($AO$3:$AO$201,$M283)&gt;0,
     COUNTIFS($AP$3:$AP$201,$M283)&gt;0,
     COUNTIFS($AQ$3:$AQ$201,$M283)&gt;0,
     COUNTIFS($AR$3:$AR$201,$M283)&gt;0,
     COUNTIFS($AS$3:$AS$201,$M283)&gt;0,
     COUNTIFS($AT$3:$AT$201,$M283)&gt;0,
     COUNTIFS($AU$3:$AU$201,$M283)&gt;0,
     COUNTIFS($AV$3:$AV$201,$M283)&gt;0,
     COUNTIFS($AW$3:$AW$201,$M283)&gt;0,
     COUNTIFS($AX$3:$AX$201,$M283)&gt;0
   )),
  ),
  2
 ),
"")</f>
        <v/>
      </c>
      <c r="Q283" s="2" t="str" cm="1">
        <f t="array" ref="Q283">IFERROR(
 INDEX(
  _xlfn._xlws.FILTER($U$2:$AX$2,
   TRANSPOSE(
    CHOOSE({1;2;3;4;5;6;7;8;9;10;11;12;13;14;15;16;17;18;19;20;21;22;23;24;25;26;27;28;29;30},
     COUNTIFS($U$3:$U$201,$M283)&gt;0,
     COUNTIFS($V$3:$V$201,$M283)&gt;0,
     COUNTIFS($W$3:$W$201,$M283)&gt;0,
     COUNTIFS($X$3:$X$201,$M283)&gt;0,
     COUNTIFS($Y$3:$Y$201,$M283)&gt;0,
     COUNTIFS($Z$3:$Z$201,$M283)&gt;0,
     COUNTIFS($AA$3:$AA$201,$M283)&gt;0,
     COUNTIFS($AB$3:$AB$201,$M283)&gt;0,
     COUNTIFS($AC$3:$AC$201,$M283)&gt;0,
     COUNTIFS($AD$3:$AD$201,$M283)&gt;0,
     COUNTIFS($AE$3:$AE$201,$M283)&gt;0,
     COUNTIFS($AF$3:$AF$201,$M283)&gt;0,
     COUNTIFS($AG$3:$AG$201,$M283)&gt;0,
     COUNTIFS($AH$3:$AH$201,$M283)&gt;0,
     COUNTIFS($AI$3:$AI$201,$M283)&gt;0,
     COUNTIFS($AJ$3:$AJ$201,$M283)&gt;0,
     COUNTIFS($AK$3:$AK$201,$M283)&gt;0,
     COUNTIFS($AL$3:$AL$201,$M283)&gt;0,
     COUNTIFS($AM$3:$AM$201,$M283)&gt;0,
     COUNTIFS($AN$3:$AN$201,$M283)&gt;0,
     COUNTIFS($AO$3:$AO$201,$M283)&gt;0,
     COUNTIFS($AP$3:$AP$201,$M283)&gt;0,
     COUNTIFS($AQ$3:$AQ$201,$M283)&gt;0,
     COUNTIFS($AR$3:$AR$201,$M283)&gt;0,
     COUNTIFS($AS$3:$AS$201,$M283)&gt;0,
     COUNTIFS($AT$3:$AT$201,$M283)&gt;0,
     COUNTIFS($AU$3:$AU$201,$M283)&gt;0,
     COUNTIFS($AV$3:$AV$201,$M283)&gt;0,
     COUNTIFS($AW$3:$AW$201,$M283)&gt;0,
     COUNTIFS($AX$3:$AX$201,$M283)&gt;0
   )),
  ),
  3
 ),
"")</f>
        <v/>
      </c>
    </row>
    <row r="284" spans="1:17" x14ac:dyDescent="0.25">
      <c r="A284" t="str">
        <f ca="1"/>
        <v>Monk Gyatso</v>
      </c>
      <c r="B284" s="2" t="str" cm="1">
        <f t="array" aca="1" ref="B284" ca="1">_xlfn.ANCHORARRAY(RESUMO!C283)</f>
        <v>Arcades</v>
      </c>
      <c r="C284" s="2" t="str">
        <f t="shared" ca="1" si="16"/>
        <v/>
      </c>
      <c r="F284" s="2">
        <f t="shared" si="19"/>
        <v>0</v>
      </c>
      <c r="G284" s="2" t="str">
        <f t="shared" ca="1" si="17"/>
        <v/>
      </c>
      <c r="J284" t="s">
        <v>180</v>
      </c>
      <c r="K284" s="2">
        <v>1</v>
      </c>
      <c r="N284" s="2">
        <f t="shared" si="18"/>
        <v>0</v>
      </c>
      <c r="O284" s="2" t="str">
        <f>IFERROR(
 INDEX($U$2:$AX$2,
  MATCH(TRUE,
   CHOOSE({1;2;3;4;5;6;7;8;9;10;11;12;13;14;15;16;17;18;19;20;21;22;23;24;25;26;27;28;29;30;31;32},
    COUNTIFS($U$3:$U$201,$M284)&gt;0,
    COUNTIFS($V$3:$V$201,$M284)&gt;0,
    COUNTIFS($W$3:$W$201,$M284)&gt;0,
    COUNTIFS($X$3:$X$201,$M284)&gt;0,
    COUNTIFS($Y$3:$Y$201,$M284)&gt;0,
    COUNTIFS($Z$3:$Z$201,$M284)&gt;0,
    COUNTIFS($AA$3:$AA$201,$M284)&gt;0,
    COUNTIFS($AB$3:$AB$201,$M284)&gt;0,
    COUNTIFS($AC$3:$AC$201,$M284)&gt;0,
    COUNTIFS($AD$3:$AD$201,$M284)&gt;0,
    COUNTIFS($AE$3:$AE$201,$M284)&gt;0,
    COUNTIFS($AF$3:$AF$201,$M284)&gt;0,
    COUNTIFS($AG$3:$AG$201,$M284)&gt;0,
    COUNTIFS($AH$3:$AH$201,$M284)&gt;0,
    COUNTIFS($AI$3:$AI$201,$M284)&gt;0,
    COUNTIFS($AJ$3:$AJ$201,$M284)&gt;0,
    COUNTIFS($AK$3:$AK$201,$M284)&gt;0,
    COUNTIFS($AL$3:$AL$201,$M284)&gt;0,
    COUNTIFS($AM$3:$AM$201,$M284)&gt;0,
    COUNTIFS($AN$3:$AN$201,$M284)&gt;0,
    COUNTIFS($AO$3:$AO$201,$M284)&gt;0,
    COUNTIFS($AP$3:$AP$201,$M284)&gt;0,
    COUNTIFS($AQ$3:$AQ$201,$M284)&gt;0,
    COUNTIFS($AR$3:$AR$201,$M284)&gt;0,
    COUNTIFS($AS$3:$AS$201,$M284)&gt;0,
    COUNTIFS($AT$3:$AT$201,$M284)&gt;0,
    COUNTIFS($AU$3:$AU$201,$M284)&gt;0,
    COUNTIFS($AV$3:$AV$201,$M284)&gt;0,
    COUNTIFS($AW$3:$AW$201,$M284)&gt;0,
    COUNTIFS($AX$3:$AX$201,$M284)&gt;0
   ),
  0)
 ),
"")</f>
        <v/>
      </c>
      <c r="P284" s="2" t="str" cm="1">
        <f t="array" ref="P284">IFERROR(
 INDEX(
  _xlfn._xlws.FILTER($U$2:$AX$2,
   TRANSPOSE(
    CHOOSE({1;2;3;4;5;6;7;8;9;10;11;12;13;14;15;16;17;18;19;20;21;22;23;24;25;26;27;28;29;30},
     COUNTIFS($U$3:$U$201,$M284)&gt;0,
     COUNTIFS($V$3:$V$201,$M284)&gt;0,
     COUNTIFS($W$3:$W$201,$M284)&gt;0,
     COUNTIFS($X$3:$X$201,$M284)&gt;0,
     COUNTIFS($Y$3:$Y$201,$M284)&gt;0,
     COUNTIFS($Z$3:$Z$201,$M284)&gt;0,
     COUNTIFS($AA$3:$AA$201,$M284)&gt;0,
     COUNTIFS($AB$3:$AB$201,$M284)&gt;0,
     COUNTIFS($AC$3:$AC$201,$M284)&gt;0,
     COUNTIFS($AD$3:$AD$201,$M284)&gt;0,
     COUNTIFS($AE$3:$AE$201,$M284)&gt;0,
     COUNTIFS($AF$3:$AF$201,$M284)&gt;0,
     COUNTIFS($AG$3:$AG$201,$M284)&gt;0,
     COUNTIFS($AH$3:$AH$201,$M284)&gt;0,
     COUNTIFS($AI$3:$AI$201,$M284)&gt;0,
     COUNTIFS($AJ$3:$AJ$201,$M284)&gt;0,
     COUNTIFS($AK$3:$AK$201,$M284)&gt;0,
     COUNTIFS($AL$3:$AL$201,$M284)&gt;0,
     COUNTIFS($AM$3:$AM$201,$M284)&gt;0,
     COUNTIFS($AN$3:$AN$201,$M284)&gt;0,
     COUNTIFS($AO$3:$AO$201,$M284)&gt;0,
     COUNTIFS($AP$3:$AP$201,$M284)&gt;0,
     COUNTIFS($AQ$3:$AQ$201,$M284)&gt;0,
     COUNTIFS($AR$3:$AR$201,$M284)&gt;0,
     COUNTIFS($AS$3:$AS$201,$M284)&gt;0,
     COUNTIFS($AT$3:$AT$201,$M284)&gt;0,
     COUNTIFS($AU$3:$AU$201,$M284)&gt;0,
     COUNTIFS($AV$3:$AV$201,$M284)&gt;0,
     COUNTIFS($AW$3:$AW$201,$M284)&gt;0,
     COUNTIFS($AX$3:$AX$201,$M284)&gt;0
   )),
  ),
  2
 ),
"")</f>
        <v/>
      </c>
      <c r="Q284" s="2" t="str" cm="1">
        <f t="array" ref="Q284">IFERROR(
 INDEX(
  _xlfn._xlws.FILTER($U$2:$AX$2,
   TRANSPOSE(
    CHOOSE({1;2;3;4;5;6;7;8;9;10;11;12;13;14;15;16;17;18;19;20;21;22;23;24;25;26;27;28;29;30},
     COUNTIFS($U$3:$U$201,$M284)&gt;0,
     COUNTIFS($V$3:$V$201,$M284)&gt;0,
     COUNTIFS($W$3:$W$201,$M284)&gt;0,
     COUNTIFS($X$3:$X$201,$M284)&gt;0,
     COUNTIFS($Y$3:$Y$201,$M284)&gt;0,
     COUNTIFS($Z$3:$Z$201,$M284)&gt;0,
     COUNTIFS($AA$3:$AA$201,$M284)&gt;0,
     COUNTIFS($AB$3:$AB$201,$M284)&gt;0,
     COUNTIFS($AC$3:$AC$201,$M284)&gt;0,
     COUNTIFS($AD$3:$AD$201,$M284)&gt;0,
     COUNTIFS($AE$3:$AE$201,$M284)&gt;0,
     COUNTIFS($AF$3:$AF$201,$M284)&gt;0,
     COUNTIFS($AG$3:$AG$201,$M284)&gt;0,
     COUNTIFS($AH$3:$AH$201,$M284)&gt;0,
     COUNTIFS($AI$3:$AI$201,$M284)&gt;0,
     COUNTIFS($AJ$3:$AJ$201,$M284)&gt;0,
     COUNTIFS($AK$3:$AK$201,$M284)&gt;0,
     COUNTIFS($AL$3:$AL$201,$M284)&gt;0,
     COUNTIFS($AM$3:$AM$201,$M284)&gt;0,
     COUNTIFS($AN$3:$AN$201,$M284)&gt;0,
     COUNTIFS($AO$3:$AO$201,$M284)&gt;0,
     COUNTIFS($AP$3:$AP$201,$M284)&gt;0,
     COUNTIFS($AQ$3:$AQ$201,$M284)&gt;0,
     COUNTIFS($AR$3:$AR$201,$M284)&gt;0,
     COUNTIFS($AS$3:$AS$201,$M284)&gt;0,
     COUNTIFS($AT$3:$AT$201,$M284)&gt;0,
     COUNTIFS($AU$3:$AU$201,$M284)&gt;0,
     COUNTIFS($AV$3:$AV$201,$M284)&gt;0,
     COUNTIFS($AW$3:$AW$201,$M284)&gt;0,
     COUNTIFS($AX$3:$AX$201,$M284)&gt;0
   )),
  ),
  3
 ),
"")</f>
        <v/>
      </c>
    </row>
    <row r="285" spans="1:17" x14ac:dyDescent="0.25">
      <c r="A285" t="str">
        <f ca="1"/>
        <v>Morphic Pool</v>
      </c>
      <c r="B285" s="2" t="str" cm="1">
        <f t="array" aca="1" ref="B285" ca="1">_xlfn.ANCHORARRAY(RESUMO!C284)</f>
        <v>Yuriko</v>
      </c>
      <c r="C285" s="2" t="str">
        <f t="shared" ca="1" si="16"/>
        <v/>
      </c>
      <c r="F285" s="2">
        <f t="shared" ref="F285:F348" si="20">COUNTIF(U:CF,E285)+COUNTIF(K:K,E285)</f>
        <v>0</v>
      </c>
      <c r="G285" s="2" t="str">
        <f t="shared" ca="1" si="17"/>
        <v/>
      </c>
      <c r="J285" t="s">
        <v>180</v>
      </c>
      <c r="K285" s="2">
        <v>1</v>
      </c>
      <c r="N285" s="2">
        <f t="shared" si="18"/>
        <v>0</v>
      </c>
      <c r="O285" s="2" t="str">
        <f>IFERROR(
 INDEX($U$2:$AX$2,
  MATCH(TRUE,
   CHOOSE({1;2;3;4;5;6;7;8;9;10;11;12;13;14;15;16;17;18;19;20;21;22;23;24;25;26;27;28;29;30;31;32},
    COUNTIFS($U$3:$U$201,$M285)&gt;0,
    COUNTIFS($V$3:$V$201,$M285)&gt;0,
    COUNTIFS($W$3:$W$201,$M285)&gt;0,
    COUNTIFS($X$3:$X$201,$M285)&gt;0,
    COUNTIFS($Y$3:$Y$201,$M285)&gt;0,
    COUNTIFS($Z$3:$Z$201,$M285)&gt;0,
    COUNTIFS($AA$3:$AA$201,$M285)&gt;0,
    COUNTIFS($AB$3:$AB$201,$M285)&gt;0,
    COUNTIFS($AC$3:$AC$201,$M285)&gt;0,
    COUNTIFS($AD$3:$AD$201,$M285)&gt;0,
    COUNTIFS($AE$3:$AE$201,$M285)&gt;0,
    COUNTIFS($AF$3:$AF$201,$M285)&gt;0,
    COUNTIFS($AG$3:$AG$201,$M285)&gt;0,
    COUNTIFS($AH$3:$AH$201,$M285)&gt;0,
    COUNTIFS($AI$3:$AI$201,$M285)&gt;0,
    COUNTIFS($AJ$3:$AJ$201,$M285)&gt;0,
    COUNTIFS($AK$3:$AK$201,$M285)&gt;0,
    COUNTIFS($AL$3:$AL$201,$M285)&gt;0,
    COUNTIFS($AM$3:$AM$201,$M285)&gt;0,
    COUNTIFS($AN$3:$AN$201,$M285)&gt;0,
    COUNTIFS($AO$3:$AO$201,$M285)&gt;0,
    COUNTIFS($AP$3:$AP$201,$M285)&gt;0,
    COUNTIFS($AQ$3:$AQ$201,$M285)&gt;0,
    COUNTIFS($AR$3:$AR$201,$M285)&gt;0,
    COUNTIFS($AS$3:$AS$201,$M285)&gt;0,
    COUNTIFS($AT$3:$AT$201,$M285)&gt;0,
    COUNTIFS($AU$3:$AU$201,$M285)&gt;0,
    COUNTIFS($AV$3:$AV$201,$M285)&gt;0,
    COUNTIFS($AW$3:$AW$201,$M285)&gt;0,
    COUNTIFS($AX$3:$AX$201,$M285)&gt;0
   ),
  0)
 ),
"")</f>
        <v/>
      </c>
      <c r="P285" s="2" t="str" cm="1">
        <f t="array" ref="P285">IFERROR(
 INDEX(
  _xlfn._xlws.FILTER($U$2:$AX$2,
   TRANSPOSE(
    CHOOSE({1;2;3;4;5;6;7;8;9;10;11;12;13;14;15;16;17;18;19;20;21;22;23;24;25;26;27;28;29;30},
     COUNTIFS($U$3:$U$201,$M285)&gt;0,
     COUNTIFS($V$3:$V$201,$M285)&gt;0,
     COUNTIFS($W$3:$W$201,$M285)&gt;0,
     COUNTIFS($X$3:$X$201,$M285)&gt;0,
     COUNTIFS($Y$3:$Y$201,$M285)&gt;0,
     COUNTIFS($Z$3:$Z$201,$M285)&gt;0,
     COUNTIFS($AA$3:$AA$201,$M285)&gt;0,
     COUNTIFS($AB$3:$AB$201,$M285)&gt;0,
     COUNTIFS($AC$3:$AC$201,$M285)&gt;0,
     COUNTIFS($AD$3:$AD$201,$M285)&gt;0,
     COUNTIFS($AE$3:$AE$201,$M285)&gt;0,
     COUNTIFS($AF$3:$AF$201,$M285)&gt;0,
     COUNTIFS($AG$3:$AG$201,$M285)&gt;0,
     COUNTIFS($AH$3:$AH$201,$M285)&gt;0,
     COUNTIFS($AI$3:$AI$201,$M285)&gt;0,
     COUNTIFS($AJ$3:$AJ$201,$M285)&gt;0,
     COUNTIFS($AK$3:$AK$201,$M285)&gt;0,
     COUNTIFS($AL$3:$AL$201,$M285)&gt;0,
     COUNTIFS($AM$3:$AM$201,$M285)&gt;0,
     COUNTIFS($AN$3:$AN$201,$M285)&gt;0,
     COUNTIFS($AO$3:$AO$201,$M285)&gt;0,
     COUNTIFS($AP$3:$AP$201,$M285)&gt;0,
     COUNTIFS($AQ$3:$AQ$201,$M285)&gt;0,
     COUNTIFS($AR$3:$AR$201,$M285)&gt;0,
     COUNTIFS($AS$3:$AS$201,$M285)&gt;0,
     COUNTIFS($AT$3:$AT$201,$M285)&gt;0,
     COUNTIFS($AU$3:$AU$201,$M285)&gt;0,
     COUNTIFS($AV$3:$AV$201,$M285)&gt;0,
     COUNTIFS($AW$3:$AW$201,$M285)&gt;0,
     COUNTIFS($AX$3:$AX$201,$M285)&gt;0
   )),
  ),
  2
 ),
"")</f>
        <v/>
      </c>
      <c r="Q285" s="2" t="str" cm="1">
        <f t="array" ref="Q285">IFERROR(
 INDEX(
  _xlfn._xlws.FILTER($U$2:$AX$2,
   TRANSPOSE(
    CHOOSE({1;2;3;4;5;6;7;8;9;10;11;12;13;14;15;16;17;18;19;20;21;22;23;24;25;26;27;28;29;30},
     COUNTIFS($U$3:$U$201,$M285)&gt;0,
     COUNTIFS($V$3:$V$201,$M285)&gt;0,
     COUNTIFS($W$3:$W$201,$M285)&gt;0,
     COUNTIFS($X$3:$X$201,$M285)&gt;0,
     COUNTIFS($Y$3:$Y$201,$M285)&gt;0,
     COUNTIFS($Z$3:$Z$201,$M285)&gt;0,
     COUNTIFS($AA$3:$AA$201,$M285)&gt;0,
     COUNTIFS($AB$3:$AB$201,$M285)&gt;0,
     COUNTIFS($AC$3:$AC$201,$M285)&gt;0,
     COUNTIFS($AD$3:$AD$201,$M285)&gt;0,
     COUNTIFS($AE$3:$AE$201,$M285)&gt;0,
     COUNTIFS($AF$3:$AF$201,$M285)&gt;0,
     COUNTIFS($AG$3:$AG$201,$M285)&gt;0,
     COUNTIFS($AH$3:$AH$201,$M285)&gt;0,
     COUNTIFS($AI$3:$AI$201,$M285)&gt;0,
     COUNTIFS($AJ$3:$AJ$201,$M285)&gt;0,
     COUNTIFS($AK$3:$AK$201,$M285)&gt;0,
     COUNTIFS($AL$3:$AL$201,$M285)&gt;0,
     COUNTIFS($AM$3:$AM$201,$M285)&gt;0,
     COUNTIFS($AN$3:$AN$201,$M285)&gt;0,
     COUNTIFS($AO$3:$AO$201,$M285)&gt;0,
     COUNTIFS($AP$3:$AP$201,$M285)&gt;0,
     COUNTIFS($AQ$3:$AQ$201,$M285)&gt;0,
     COUNTIFS($AR$3:$AR$201,$M285)&gt;0,
     COUNTIFS($AS$3:$AS$201,$M285)&gt;0,
     COUNTIFS($AT$3:$AT$201,$M285)&gt;0,
     COUNTIFS($AU$3:$AU$201,$M285)&gt;0,
     COUNTIFS($AV$3:$AV$201,$M285)&gt;0,
     COUNTIFS($AW$3:$AW$201,$M285)&gt;0,
     COUNTIFS($AX$3:$AX$201,$M285)&gt;0
   )),
  ),
  3
 ),
"")</f>
        <v/>
      </c>
    </row>
    <row r="286" spans="1:17" x14ac:dyDescent="0.25">
      <c r="A286" t="str">
        <f ca="1"/>
        <v>Mountain</v>
      </c>
      <c r="B286" s="2" t="str" cm="1">
        <f t="array" aca="1" ref="B286" ca="1">_xlfn.ANCHORARRAY(RESUMO!C285)</f>
        <v>Fractius</v>
      </c>
      <c r="C286" s="2" t="str">
        <f t="shared" ca="1" si="16"/>
        <v>Piratas</v>
      </c>
      <c r="F286" s="2">
        <f t="shared" si="20"/>
        <v>0</v>
      </c>
      <c r="G286" s="2" t="str">
        <f t="shared" ca="1" si="17"/>
        <v/>
      </c>
      <c r="J286" t="s">
        <v>180</v>
      </c>
      <c r="K286" s="2">
        <v>1</v>
      </c>
      <c r="N286" s="2">
        <f t="shared" si="18"/>
        <v>0</v>
      </c>
      <c r="O286" s="2" t="str">
        <f>IFERROR(
 INDEX($U$2:$AX$2,
  MATCH(TRUE,
   CHOOSE({1;2;3;4;5;6;7;8;9;10;11;12;13;14;15;16;17;18;19;20;21;22;23;24;25;26;27;28;29;30;31;32},
    COUNTIFS($U$3:$U$201,$M286)&gt;0,
    COUNTIFS($V$3:$V$201,$M286)&gt;0,
    COUNTIFS($W$3:$W$201,$M286)&gt;0,
    COUNTIFS($X$3:$X$201,$M286)&gt;0,
    COUNTIFS($Y$3:$Y$201,$M286)&gt;0,
    COUNTIFS($Z$3:$Z$201,$M286)&gt;0,
    COUNTIFS($AA$3:$AA$201,$M286)&gt;0,
    COUNTIFS($AB$3:$AB$201,$M286)&gt;0,
    COUNTIFS($AC$3:$AC$201,$M286)&gt;0,
    COUNTIFS($AD$3:$AD$201,$M286)&gt;0,
    COUNTIFS($AE$3:$AE$201,$M286)&gt;0,
    COUNTIFS($AF$3:$AF$201,$M286)&gt;0,
    COUNTIFS($AG$3:$AG$201,$M286)&gt;0,
    COUNTIFS($AH$3:$AH$201,$M286)&gt;0,
    COUNTIFS($AI$3:$AI$201,$M286)&gt;0,
    COUNTIFS($AJ$3:$AJ$201,$M286)&gt;0,
    COUNTIFS($AK$3:$AK$201,$M286)&gt;0,
    COUNTIFS($AL$3:$AL$201,$M286)&gt;0,
    COUNTIFS($AM$3:$AM$201,$M286)&gt;0,
    COUNTIFS($AN$3:$AN$201,$M286)&gt;0,
    COUNTIFS($AO$3:$AO$201,$M286)&gt;0,
    COUNTIFS($AP$3:$AP$201,$M286)&gt;0,
    COUNTIFS($AQ$3:$AQ$201,$M286)&gt;0,
    COUNTIFS($AR$3:$AR$201,$M286)&gt;0,
    COUNTIFS($AS$3:$AS$201,$M286)&gt;0,
    COUNTIFS($AT$3:$AT$201,$M286)&gt;0,
    COUNTIFS($AU$3:$AU$201,$M286)&gt;0,
    COUNTIFS($AV$3:$AV$201,$M286)&gt;0,
    COUNTIFS($AW$3:$AW$201,$M286)&gt;0,
    COUNTIFS($AX$3:$AX$201,$M286)&gt;0
   ),
  0)
 ),
"")</f>
        <v/>
      </c>
      <c r="P286" s="2" t="str" cm="1">
        <f t="array" ref="P286">IFERROR(
 INDEX(
  _xlfn._xlws.FILTER($U$2:$AX$2,
   TRANSPOSE(
    CHOOSE({1;2;3;4;5;6;7;8;9;10;11;12;13;14;15;16;17;18;19;20;21;22;23;24;25;26;27;28;29;30},
     COUNTIFS($U$3:$U$201,$M286)&gt;0,
     COUNTIFS($V$3:$V$201,$M286)&gt;0,
     COUNTIFS($W$3:$W$201,$M286)&gt;0,
     COUNTIFS($X$3:$X$201,$M286)&gt;0,
     COUNTIFS($Y$3:$Y$201,$M286)&gt;0,
     COUNTIFS($Z$3:$Z$201,$M286)&gt;0,
     COUNTIFS($AA$3:$AA$201,$M286)&gt;0,
     COUNTIFS($AB$3:$AB$201,$M286)&gt;0,
     COUNTIFS($AC$3:$AC$201,$M286)&gt;0,
     COUNTIFS($AD$3:$AD$201,$M286)&gt;0,
     COUNTIFS($AE$3:$AE$201,$M286)&gt;0,
     COUNTIFS($AF$3:$AF$201,$M286)&gt;0,
     COUNTIFS($AG$3:$AG$201,$M286)&gt;0,
     COUNTIFS($AH$3:$AH$201,$M286)&gt;0,
     COUNTIFS($AI$3:$AI$201,$M286)&gt;0,
     COUNTIFS($AJ$3:$AJ$201,$M286)&gt;0,
     COUNTIFS($AK$3:$AK$201,$M286)&gt;0,
     COUNTIFS($AL$3:$AL$201,$M286)&gt;0,
     COUNTIFS($AM$3:$AM$201,$M286)&gt;0,
     COUNTIFS($AN$3:$AN$201,$M286)&gt;0,
     COUNTIFS($AO$3:$AO$201,$M286)&gt;0,
     COUNTIFS($AP$3:$AP$201,$M286)&gt;0,
     COUNTIFS($AQ$3:$AQ$201,$M286)&gt;0,
     COUNTIFS($AR$3:$AR$201,$M286)&gt;0,
     COUNTIFS($AS$3:$AS$201,$M286)&gt;0,
     COUNTIFS($AT$3:$AT$201,$M286)&gt;0,
     COUNTIFS($AU$3:$AU$201,$M286)&gt;0,
     COUNTIFS($AV$3:$AV$201,$M286)&gt;0,
     COUNTIFS($AW$3:$AW$201,$M286)&gt;0,
     COUNTIFS($AX$3:$AX$201,$M286)&gt;0
   )),
  ),
  2
 ),
"")</f>
        <v/>
      </c>
      <c r="Q286" s="2" t="str" cm="1">
        <f t="array" ref="Q286">IFERROR(
 INDEX(
  _xlfn._xlws.FILTER($U$2:$AX$2,
   TRANSPOSE(
    CHOOSE({1;2;3;4;5;6;7;8;9;10;11;12;13;14;15;16;17;18;19;20;21;22;23;24;25;26;27;28;29;30},
     COUNTIFS($U$3:$U$201,$M286)&gt;0,
     COUNTIFS($V$3:$V$201,$M286)&gt;0,
     COUNTIFS($W$3:$W$201,$M286)&gt;0,
     COUNTIFS($X$3:$X$201,$M286)&gt;0,
     COUNTIFS($Y$3:$Y$201,$M286)&gt;0,
     COUNTIFS($Z$3:$Z$201,$M286)&gt;0,
     COUNTIFS($AA$3:$AA$201,$M286)&gt;0,
     COUNTIFS($AB$3:$AB$201,$M286)&gt;0,
     COUNTIFS($AC$3:$AC$201,$M286)&gt;0,
     COUNTIFS($AD$3:$AD$201,$M286)&gt;0,
     COUNTIFS($AE$3:$AE$201,$M286)&gt;0,
     COUNTIFS($AF$3:$AF$201,$M286)&gt;0,
     COUNTIFS($AG$3:$AG$201,$M286)&gt;0,
     COUNTIFS($AH$3:$AH$201,$M286)&gt;0,
     COUNTIFS($AI$3:$AI$201,$M286)&gt;0,
     COUNTIFS($AJ$3:$AJ$201,$M286)&gt;0,
     COUNTIFS($AK$3:$AK$201,$M286)&gt;0,
     COUNTIFS($AL$3:$AL$201,$M286)&gt;0,
     COUNTIFS($AM$3:$AM$201,$M286)&gt;0,
     COUNTIFS($AN$3:$AN$201,$M286)&gt;0,
     COUNTIFS($AO$3:$AO$201,$M286)&gt;0,
     COUNTIFS($AP$3:$AP$201,$M286)&gt;0,
     COUNTIFS($AQ$3:$AQ$201,$M286)&gt;0,
     COUNTIFS($AR$3:$AR$201,$M286)&gt;0,
     COUNTIFS($AS$3:$AS$201,$M286)&gt;0,
     COUNTIFS($AT$3:$AT$201,$M286)&gt;0,
     COUNTIFS($AU$3:$AU$201,$M286)&gt;0,
     COUNTIFS($AV$3:$AV$201,$M286)&gt;0,
     COUNTIFS($AW$3:$AW$201,$M286)&gt;0,
     COUNTIFS($AX$3:$AX$201,$M286)&gt;0
   )),
  ),
  3
 ),
"")</f>
        <v/>
      </c>
    </row>
    <row r="287" spans="1:17" x14ac:dyDescent="0.25">
      <c r="A287" t="str">
        <f ca="1"/>
        <v>Mox Tantalite</v>
      </c>
      <c r="B287" s="2" t="str" cm="1">
        <f t="array" aca="1" ref="B287" ca="1">_xlfn.ANCHORARRAY(RESUMO!C286)</f>
        <v>JhoiraB</v>
      </c>
      <c r="C287" s="2" t="str">
        <f t="shared" ca="1" si="16"/>
        <v/>
      </c>
      <c r="F287" s="2">
        <f t="shared" si="20"/>
        <v>0</v>
      </c>
      <c r="G287" s="2" t="str">
        <f t="shared" ca="1" si="17"/>
        <v/>
      </c>
      <c r="J287" t="s">
        <v>180</v>
      </c>
      <c r="K287" s="2">
        <v>1</v>
      </c>
      <c r="N287" s="2">
        <f t="shared" si="18"/>
        <v>0</v>
      </c>
      <c r="O287" s="2" t="str">
        <f>IFERROR(
 INDEX($U$2:$AX$2,
  MATCH(TRUE,
   CHOOSE({1;2;3;4;5;6;7;8;9;10;11;12;13;14;15;16;17;18;19;20;21;22;23;24;25;26;27;28;29;30;31;32},
    COUNTIFS($U$3:$U$201,$M287)&gt;0,
    COUNTIFS($V$3:$V$201,$M287)&gt;0,
    COUNTIFS($W$3:$W$201,$M287)&gt;0,
    COUNTIFS($X$3:$X$201,$M287)&gt;0,
    COUNTIFS($Y$3:$Y$201,$M287)&gt;0,
    COUNTIFS($Z$3:$Z$201,$M287)&gt;0,
    COUNTIFS($AA$3:$AA$201,$M287)&gt;0,
    COUNTIFS($AB$3:$AB$201,$M287)&gt;0,
    COUNTIFS($AC$3:$AC$201,$M287)&gt;0,
    COUNTIFS($AD$3:$AD$201,$M287)&gt;0,
    COUNTIFS($AE$3:$AE$201,$M287)&gt;0,
    COUNTIFS($AF$3:$AF$201,$M287)&gt;0,
    COUNTIFS($AG$3:$AG$201,$M287)&gt;0,
    COUNTIFS($AH$3:$AH$201,$M287)&gt;0,
    COUNTIFS($AI$3:$AI$201,$M287)&gt;0,
    COUNTIFS($AJ$3:$AJ$201,$M287)&gt;0,
    COUNTIFS($AK$3:$AK$201,$M287)&gt;0,
    COUNTIFS($AL$3:$AL$201,$M287)&gt;0,
    COUNTIFS($AM$3:$AM$201,$M287)&gt;0,
    COUNTIFS($AN$3:$AN$201,$M287)&gt;0,
    COUNTIFS($AO$3:$AO$201,$M287)&gt;0,
    COUNTIFS($AP$3:$AP$201,$M287)&gt;0,
    COUNTIFS($AQ$3:$AQ$201,$M287)&gt;0,
    COUNTIFS($AR$3:$AR$201,$M287)&gt;0,
    COUNTIFS($AS$3:$AS$201,$M287)&gt;0,
    COUNTIFS($AT$3:$AT$201,$M287)&gt;0,
    COUNTIFS($AU$3:$AU$201,$M287)&gt;0,
    COUNTIFS($AV$3:$AV$201,$M287)&gt;0,
    COUNTIFS($AW$3:$AW$201,$M287)&gt;0,
    COUNTIFS($AX$3:$AX$201,$M287)&gt;0
   ),
  0)
 ),
"")</f>
        <v/>
      </c>
      <c r="P287" s="2" t="str" cm="1">
        <f t="array" ref="P287">IFERROR(
 INDEX(
  _xlfn._xlws.FILTER($U$2:$AX$2,
   TRANSPOSE(
    CHOOSE({1;2;3;4;5;6;7;8;9;10;11;12;13;14;15;16;17;18;19;20;21;22;23;24;25;26;27;28;29;30},
     COUNTIFS($U$3:$U$201,$M287)&gt;0,
     COUNTIFS($V$3:$V$201,$M287)&gt;0,
     COUNTIFS($W$3:$W$201,$M287)&gt;0,
     COUNTIFS($X$3:$X$201,$M287)&gt;0,
     COUNTIFS($Y$3:$Y$201,$M287)&gt;0,
     COUNTIFS($Z$3:$Z$201,$M287)&gt;0,
     COUNTIFS($AA$3:$AA$201,$M287)&gt;0,
     COUNTIFS($AB$3:$AB$201,$M287)&gt;0,
     COUNTIFS($AC$3:$AC$201,$M287)&gt;0,
     COUNTIFS($AD$3:$AD$201,$M287)&gt;0,
     COUNTIFS($AE$3:$AE$201,$M287)&gt;0,
     COUNTIFS($AF$3:$AF$201,$M287)&gt;0,
     COUNTIFS($AG$3:$AG$201,$M287)&gt;0,
     COUNTIFS($AH$3:$AH$201,$M287)&gt;0,
     COUNTIFS($AI$3:$AI$201,$M287)&gt;0,
     COUNTIFS($AJ$3:$AJ$201,$M287)&gt;0,
     COUNTIFS($AK$3:$AK$201,$M287)&gt;0,
     COUNTIFS($AL$3:$AL$201,$M287)&gt;0,
     COUNTIFS($AM$3:$AM$201,$M287)&gt;0,
     COUNTIFS($AN$3:$AN$201,$M287)&gt;0,
     COUNTIFS($AO$3:$AO$201,$M287)&gt;0,
     COUNTIFS($AP$3:$AP$201,$M287)&gt;0,
     COUNTIFS($AQ$3:$AQ$201,$M287)&gt;0,
     COUNTIFS($AR$3:$AR$201,$M287)&gt;0,
     COUNTIFS($AS$3:$AS$201,$M287)&gt;0,
     COUNTIFS($AT$3:$AT$201,$M287)&gt;0,
     COUNTIFS($AU$3:$AU$201,$M287)&gt;0,
     COUNTIFS($AV$3:$AV$201,$M287)&gt;0,
     COUNTIFS($AW$3:$AW$201,$M287)&gt;0,
     COUNTIFS($AX$3:$AX$201,$M287)&gt;0
   )),
  ),
  2
 ),
"")</f>
        <v/>
      </c>
      <c r="Q287" s="2" t="str" cm="1">
        <f t="array" ref="Q287">IFERROR(
 INDEX(
  _xlfn._xlws.FILTER($U$2:$AX$2,
   TRANSPOSE(
    CHOOSE({1;2;3;4;5;6;7;8;9;10;11;12;13;14;15;16;17;18;19;20;21;22;23;24;25;26;27;28;29;30},
     COUNTIFS($U$3:$U$201,$M287)&gt;0,
     COUNTIFS($V$3:$V$201,$M287)&gt;0,
     COUNTIFS($W$3:$W$201,$M287)&gt;0,
     COUNTIFS($X$3:$X$201,$M287)&gt;0,
     COUNTIFS($Y$3:$Y$201,$M287)&gt;0,
     COUNTIFS($Z$3:$Z$201,$M287)&gt;0,
     COUNTIFS($AA$3:$AA$201,$M287)&gt;0,
     COUNTIFS($AB$3:$AB$201,$M287)&gt;0,
     COUNTIFS($AC$3:$AC$201,$M287)&gt;0,
     COUNTIFS($AD$3:$AD$201,$M287)&gt;0,
     COUNTIFS($AE$3:$AE$201,$M287)&gt;0,
     COUNTIFS($AF$3:$AF$201,$M287)&gt;0,
     COUNTIFS($AG$3:$AG$201,$M287)&gt;0,
     COUNTIFS($AH$3:$AH$201,$M287)&gt;0,
     COUNTIFS($AI$3:$AI$201,$M287)&gt;0,
     COUNTIFS($AJ$3:$AJ$201,$M287)&gt;0,
     COUNTIFS($AK$3:$AK$201,$M287)&gt;0,
     COUNTIFS($AL$3:$AL$201,$M287)&gt;0,
     COUNTIFS($AM$3:$AM$201,$M287)&gt;0,
     COUNTIFS($AN$3:$AN$201,$M287)&gt;0,
     COUNTIFS($AO$3:$AO$201,$M287)&gt;0,
     COUNTIFS($AP$3:$AP$201,$M287)&gt;0,
     COUNTIFS($AQ$3:$AQ$201,$M287)&gt;0,
     COUNTIFS($AR$3:$AR$201,$M287)&gt;0,
     COUNTIFS($AS$3:$AS$201,$M287)&gt;0,
     COUNTIFS($AT$3:$AT$201,$M287)&gt;0,
     COUNTIFS($AU$3:$AU$201,$M287)&gt;0,
     COUNTIFS($AV$3:$AV$201,$M287)&gt;0,
     COUNTIFS($AW$3:$AW$201,$M287)&gt;0,
     COUNTIFS($AX$3:$AX$201,$M287)&gt;0
   )),
  ),
  3
 ),
"")</f>
        <v/>
      </c>
    </row>
    <row r="288" spans="1:17" x14ac:dyDescent="0.25">
      <c r="A288" t="str">
        <f ca="1"/>
        <v>Muscle Sliver</v>
      </c>
      <c r="B288" s="2" t="str" cm="1">
        <f t="array" aca="1" ref="B288" ca="1">_xlfn.ANCHORARRAY(RESUMO!C287)</f>
        <v>Fractius</v>
      </c>
      <c r="C288" s="2" t="str">
        <f t="shared" ca="1" si="16"/>
        <v/>
      </c>
      <c r="F288" s="2">
        <f t="shared" si="20"/>
        <v>0</v>
      </c>
      <c r="G288" s="2" t="str">
        <f t="shared" ca="1" si="17"/>
        <v/>
      </c>
      <c r="J288" t="s">
        <v>180</v>
      </c>
      <c r="K288" s="2">
        <v>1</v>
      </c>
      <c r="N288" s="2">
        <f t="shared" si="18"/>
        <v>0</v>
      </c>
      <c r="O288" s="2" t="str">
        <f>IFERROR(
 INDEX($U$2:$AX$2,
  MATCH(TRUE,
   CHOOSE({1;2;3;4;5;6;7;8;9;10;11;12;13;14;15;16;17;18;19;20;21;22;23;24;25;26;27;28;29;30;31;32},
    COUNTIFS($U$3:$U$201,$M288)&gt;0,
    COUNTIFS($V$3:$V$201,$M288)&gt;0,
    COUNTIFS($W$3:$W$201,$M288)&gt;0,
    COUNTIFS($X$3:$X$201,$M288)&gt;0,
    COUNTIFS($Y$3:$Y$201,$M288)&gt;0,
    COUNTIFS($Z$3:$Z$201,$M288)&gt;0,
    COUNTIFS($AA$3:$AA$201,$M288)&gt;0,
    COUNTIFS($AB$3:$AB$201,$M288)&gt;0,
    COUNTIFS($AC$3:$AC$201,$M288)&gt;0,
    COUNTIFS($AD$3:$AD$201,$M288)&gt;0,
    COUNTIFS($AE$3:$AE$201,$M288)&gt;0,
    COUNTIFS($AF$3:$AF$201,$M288)&gt;0,
    COUNTIFS($AG$3:$AG$201,$M288)&gt;0,
    COUNTIFS($AH$3:$AH$201,$M288)&gt;0,
    COUNTIFS($AI$3:$AI$201,$M288)&gt;0,
    COUNTIFS($AJ$3:$AJ$201,$M288)&gt;0,
    COUNTIFS($AK$3:$AK$201,$M288)&gt;0,
    COUNTIFS($AL$3:$AL$201,$M288)&gt;0,
    COUNTIFS($AM$3:$AM$201,$M288)&gt;0,
    COUNTIFS($AN$3:$AN$201,$M288)&gt;0,
    COUNTIFS($AO$3:$AO$201,$M288)&gt;0,
    COUNTIFS($AP$3:$AP$201,$M288)&gt;0,
    COUNTIFS($AQ$3:$AQ$201,$M288)&gt;0,
    COUNTIFS($AR$3:$AR$201,$M288)&gt;0,
    COUNTIFS($AS$3:$AS$201,$M288)&gt;0,
    COUNTIFS($AT$3:$AT$201,$M288)&gt;0,
    COUNTIFS($AU$3:$AU$201,$M288)&gt;0,
    COUNTIFS($AV$3:$AV$201,$M288)&gt;0,
    COUNTIFS($AW$3:$AW$201,$M288)&gt;0,
    COUNTIFS($AX$3:$AX$201,$M288)&gt;0
   ),
  0)
 ),
"")</f>
        <v/>
      </c>
      <c r="P288" s="2" t="str" cm="1">
        <f t="array" ref="P288">IFERROR(
 INDEX(
  _xlfn._xlws.FILTER($U$2:$AX$2,
   TRANSPOSE(
    CHOOSE({1;2;3;4;5;6;7;8;9;10;11;12;13;14;15;16;17;18;19;20;21;22;23;24;25;26;27;28;29;30},
     COUNTIFS($U$3:$U$201,$M288)&gt;0,
     COUNTIFS($V$3:$V$201,$M288)&gt;0,
     COUNTIFS($W$3:$W$201,$M288)&gt;0,
     COUNTIFS($X$3:$X$201,$M288)&gt;0,
     COUNTIFS($Y$3:$Y$201,$M288)&gt;0,
     COUNTIFS($Z$3:$Z$201,$M288)&gt;0,
     COUNTIFS($AA$3:$AA$201,$M288)&gt;0,
     COUNTIFS($AB$3:$AB$201,$M288)&gt;0,
     COUNTIFS($AC$3:$AC$201,$M288)&gt;0,
     COUNTIFS($AD$3:$AD$201,$M288)&gt;0,
     COUNTIFS($AE$3:$AE$201,$M288)&gt;0,
     COUNTIFS($AF$3:$AF$201,$M288)&gt;0,
     COUNTIFS($AG$3:$AG$201,$M288)&gt;0,
     COUNTIFS($AH$3:$AH$201,$M288)&gt;0,
     COUNTIFS($AI$3:$AI$201,$M288)&gt;0,
     COUNTIFS($AJ$3:$AJ$201,$M288)&gt;0,
     COUNTIFS($AK$3:$AK$201,$M288)&gt;0,
     COUNTIFS($AL$3:$AL$201,$M288)&gt;0,
     COUNTIFS($AM$3:$AM$201,$M288)&gt;0,
     COUNTIFS($AN$3:$AN$201,$M288)&gt;0,
     COUNTIFS($AO$3:$AO$201,$M288)&gt;0,
     COUNTIFS($AP$3:$AP$201,$M288)&gt;0,
     COUNTIFS($AQ$3:$AQ$201,$M288)&gt;0,
     COUNTIFS($AR$3:$AR$201,$M288)&gt;0,
     COUNTIFS($AS$3:$AS$201,$M288)&gt;0,
     COUNTIFS($AT$3:$AT$201,$M288)&gt;0,
     COUNTIFS($AU$3:$AU$201,$M288)&gt;0,
     COUNTIFS($AV$3:$AV$201,$M288)&gt;0,
     COUNTIFS($AW$3:$AW$201,$M288)&gt;0,
     COUNTIFS($AX$3:$AX$201,$M288)&gt;0
   )),
  ),
  2
 ),
"")</f>
        <v/>
      </c>
      <c r="Q288" s="2" t="str" cm="1">
        <f t="array" ref="Q288">IFERROR(
 INDEX(
  _xlfn._xlws.FILTER($U$2:$AX$2,
   TRANSPOSE(
    CHOOSE({1;2;3;4;5;6;7;8;9;10;11;12;13;14;15;16;17;18;19;20;21;22;23;24;25;26;27;28;29;30},
     COUNTIFS($U$3:$U$201,$M288)&gt;0,
     COUNTIFS($V$3:$V$201,$M288)&gt;0,
     COUNTIFS($W$3:$W$201,$M288)&gt;0,
     COUNTIFS($X$3:$X$201,$M288)&gt;0,
     COUNTIFS($Y$3:$Y$201,$M288)&gt;0,
     COUNTIFS($Z$3:$Z$201,$M288)&gt;0,
     COUNTIFS($AA$3:$AA$201,$M288)&gt;0,
     COUNTIFS($AB$3:$AB$201,$M288)&gt;0,
     COUNTIFS($AC$3:$AC$201,$M288)&gt;0,
     COUNTIFS($AD$3:$AD$201,$M288)&gt;0,
     COUNTIFS($AE$3:$AE$201,$M288)&gt;0,
     COUNTIFS($AF$3:$AF$201,$M288)&gt;0,
     COUNTIFS($AG$3:$AG$201,$M288)&gt;0,
     COUNTIFS($AH$3:$AH$201,$M288)&gt;0,
     COUNTIFS($AI$3:$AI$201,$M288)&gt;0,
     COUNTIFS($AJ$3:$AJ$201,$M288)&gt;0,
     COUNTIFS($AK$3:$AK$201,$M288)&gt;0,
     COUNTIFS($AL$3:$AL$201,$M288)&gt;0,
     COUNTIFS($AM$3:$AM$201,$M288)&gt;0,
     COUNTIFS($AN$3:$AN$201,$M288)&gt;0,
     COUNTIFS($AO$3:$AO$201,$M288)&gt;0,
     COUNTIFS($AP$3:$AP$201,$M288)&gt;0,
     COUNTIFS($AQ$3:$AQ$201,$M288)&gt;0,
     COUNTIFS($AR$3:$AR$201,$M288)&gt;0,
     COUNTIFS($AS$3:$AS$201,$M288)&gt;0,
     COUNTIFS($AT$3:$AT$201,$M288)&gt;0,
     COUNTIFS($AU$3:$AU$201,$M288)&gt;0,
     COUNTIFS($AV$3:$AV$201,$M288)&gt;0,
     COUNTIFS($AW$3:$AW$201,$M288)&gt;0,
     COUNTIFS($AX$3:$AX$201,$M288)&gt;0
   )),
  ),
  3
 ),
"")</f>
        <v/>
      </c>
    </row>
    <row r="289" spans="1:17" x14ac:dyDescent="0.25">
      <c r="A289" t="str">
        <f ca="1"/>
        <v>Mutable Explorer</v>
      </c>
      <c r="B289" s="2" t="str" cm="1">
        <f t="array" aca="1" ref="B289" ca="1">_xlfn.ANCHORARRAY(RESUMO!C288)</f>
        <v>Kumena</v>
      </c>
      <c r="C289" s="2" t="str">
        <f t="shared" ca="1" si="16"/>
        <v/>
      </c>
      <c r="F289" s="2">
        <f t="shared" si="20"/>
        <v>0</v>
      </c>
      <c r="G289" s="2" t="str">
        <f t="shared" ca="1" si="17"/>
        <v/>
      </c>
      <c r="J289" t="s">
        <v>180</v>
      </c>
      <c r="K289" s="2">
        <v>1</v>
      </c>
      <c r="N289" s="2">
        <f t="shared" si="18"/>
        <v>0</v>
      </c>
      <c r="O289" s="2" t="str">
        <f>IFERROR(
 INDEX($U$2:$AX$2,
  MATCH(TRUE,
   CHOOSE({1;2;3;4;5;6;7;8;9;10;11;12;13;14;15;16;17;18;19;20;21;22;23;24;25;26;27;28;29;30;31;32},
    COUNTIFS($U$3:$U$201,$M289)&gt;0,
    COUNTIFS($V$3:$V$201,$M289)&gt;0,
    COUNTIFS($W$3:$W$201,$M289)&gt;0,
    COUNTIFS($X$3:$X$201,$M289)&gt;0,
    COUNTIFS($Y$3:$Y$201,$M289)&gt;0,
    COUNTIFS($Z$3:$Z$201,$M289)&gt;0,
    COUNTIFS($AA$3:$AA$201,$M289)&gt;0,
    COUNTIFS($AB$3:$AB$201,$M289)&gt;0,
    COUNTIFS($AC$3:$AC$201,$M289)&gt;0,
    COUNTIFS($AD$3:$AD$201,$M289)&gt;0,
    COUNTIFS($AE$3:$AE$201,$M289)&gt;0,
    COUNTIFS($AF$3:$AF$201,$M289)&gt;0,
    COUNTIFS($AG$3:$AG$201,$M289)&gt;0,
    COUNTIFS($AH$3:$AH$201,$M289)&gt;0,
    COUNTIFS($AI$3:$AI$201,$M289)&gt;0,
    COUNTIFS($AJ$3:$AJ$201,$M289)&gt;0,
    COUNTIFS($AK$3:$AK$201,$M289)&gt;0,
    COUNTIFS($AL$3:$AL$201,$M289)&gt;0,
    COUNTIFS($AM$3:$AM$201,$M289)&gt;0,
    COUNTIFS($AN$3:$AN$201,$M289)&gt;0,
    COUNTIFS($AO$3:$AO$201,$M289)&gt;0,
    COUNTIFS($AP$3:$AP$201,$M289)&gt;0,
    COUNTIFS($AQ$3:$AQ$201,$M289)&gt;0,
    COUNTIFS($AR$3:$AR$201,$M289)&gt;0,
    COUNTIFS($AS$3:$AS$201,$M289)&gt;0,
    COUNTIFS($AT$3:$AT$201,$M289)&gt;0,
    COUNTIFS($AU$3:$AU$201,$M289)&gt;0,
    COUNTIFS($AV$3:$AV$201,$M289)&gt;0,
    COUNTIFS($AW$3:$AW$201,$M289)&gt;0,
    COUNTIFS($AX$3:$AX$201,$M289)&gt;0
   ),
  0)
 ),
"")</f>
        <v/>
      </c>
      <c r="P289" s="2" t="str" cm="1">
        <f t="array" ref="P289">IFERROR(
 INDEX(
  _xlfn._xlws.FILTER($U$2:$AX$2,
   TRANSPOSE(
    CHOOSE({1;2;3;4;5;6;7;8;9;10;11;12;13;14;15;16;17;18;19;20;21;22;23;24;25;26;27;28;29;30},
     COUNTIFS($U$3:$U$201,$M289)&gt;0,
     COUNTIFS($V$3:$V$201,$M289)&gt;0,
     COUNTIFS($W$3:$W$201,$M289)&gt;0,
     COUNTIFS($X$3:$X$201,$M289)&gt;0,
     COUNTIFS($Y$3:$Y$201,$M289)&gt;0,
     COUNTIFS($Z$3:$Z$201,$M289)&gt;0,
     COUNTIFS($AA$3:$AA$201,$M289)&gt;0,
     COUNTIFS($AB$3:$AB$201,$M289)&gt;0,
     COUNTIFS($AC$3:$AC$201,$M289)&gt;0,
     COUNTIFS($AD$3:$AD$201,$M289)&gt;0,
     COUNTIFS($AE$3:$AE$201,$M289)&gt;0,
     COUNTIFS($AF$3:$AF$201,$M289)&gt;0,
     COUNTIFS($AG$3:$AG$201,$M289)&gt;0,
     COUNTIFS($AH$3:$AH$201,$M289)&gt;0,
     COUNTIFS($AI$3:$AI$201,$M289)&gt;0,
     COUNTIFS($AJ$3:$AJ$201,$M289)&gt;0,
     COUNTIFS($AK$3:$AK$201,$M289)&gt;0,
     COUNTIFS($AL$3:$AL$201,$M289)&gt;0,
     COUNTIFS($AM$3:$AM$201,$M289)&gt;0,
     COUNTIFS($AN$3:$AN$201,$M289)&gt;0,
     COUNTIFS($AO$3:$AO$201,$M289)&gt;0,
     COUNTIFS($AP$3:$AP$201,$M289)&gt;0,
     COUNTIFS($AQ$3:$AQ$201,$M289)&gt;0,
     COUNTIFS($AR$3:$AR$201,$M289)&gt;0,
     COUNTIFS($AS$3:$AS$201,$M289)&gt;0,
     COUNTIFS($AT$3:$AT$201,$M289)&gt;0,
     COUNTIFS($AU$3:$AU$201,$M289)&gt;0,
     COUNTIFS($AV$3:$AV$201,$M289)&gt;0,
     COUNTIFS($AW$3:$AW$201,$M289)&gt;0,
     COUNTIFS($AX$3:$AX$201,$M289)&gt;0
   )),
  ),
  2
 ),
"")</f>
        <v/>
      </c>
      <c r="Q289" s="2" t="str" cm="1">
        <f t="array" ref="Q289">IFERROR(
 INDEX(
  _xlfn._xlws.FILTER($U$2:$AX$2,
   TRANSPOSE(
    CHOOSE({1;2;3;4;5;6;7;8;9;10;11;12;13;14;15;16;17;18;19;20;21;22;23;24;25;26;27;28;29;30},
     COUNTIFS($U$3:$U$201,$M289)&gt;0,
     COUNTIFS($V$3:$V$201,$M289)&gt;0,
     COUNTIFS($W$3:$W$201,$M289)&gt;0,
     COUNTIFS($X$3:$X$201,$M289)&gt;0,
     COUNTIFS($Y$3:$Y$201,$M289)&gt;0,
     COUNTIFS($Z$3:$Z$201,$M289)&gt;0,
     COUNTIFS($AA$3:$AA$201,$M289)&gt;0,
     COUNTIFS($AB$3:$AB$201,$M289)&gt;0,
     COUNTIFS($AC$3:$AC$201,$M289)&gt;0,
     COUNTIFS($AD$3:$AD$201,$M289)&gt;0,
     COUNTIFS($AE$3:$AE$201,$M289)&gt;0,
     COUNTIFS($AF$3:$AF$201,$M289)&gt;0,
     COUNTIFS($AG$3:$AG$201,$M289)&gt;0,
     COUNTIFS($AH$3:$AH$201,$M289)&gt;0,
     COUNTIFS($AI$3:$AI$201,$M289)&gt;0,
     COUNTIFS($AJ$3:$AJ$201,$M289)&gt;0,
     COUNTIFS($AK$3:$AK$201,$M289)&gt;0,
     COUNTIFS($AL$3:$AL$201,$M289)&gt;0,
     COUNTIFS($AM$3:$AM$201,$M289)&gt;0,
     COUNTIFS($AN$3:$AN$201,$M289)&gt;0,
     COUNTIFS($AO$3:$AO$201,$M289)&gt;0,
     COUNTIFS($AP$3:$AP$201,$M289)&gt;0,
     COUNTIFS($AQ$3:$AQ$201,$M289)&gt;0,
     COUNTIFS($AR$3:$AR$201,$M289)&gt;0,
     COUNTIFS($AS$3:$AS$201,$M289)&gt;0,
     COUNTIFS($AT$3:$AT$201,$M289)&gt;0,
     COUNTIFS($AU$3:$AU$201,$M289)&gt;0,
     COUNTIFS($AV$3:$AV$201,$M289)&gt;0,
     COUNTIFS($AW$3:$AW$201,$M289)&gt;0,
     COUNTIFS($AX$3:$AX$201,$M289)&gt;0
   )),
  ),
  3
 ),
"")</f>
        <v/>
      </c>
    </row>
    <row r="290" spans="1:17" x14ac:dyDescent="0.25">
      <c r="A290" t="str">
        <f ca="1"/>
        <v>Myrel, Shield of Argive</v>
      </c>
      <c r="B290" s="2" t="str" cm="1">
        <f t="array" aca="1" ref="B290" ca="1">_xlfn.ANCHORARRAY(RESUMO!C289)</f>
        <v>Little</v>
      </c>
      <c r="C290" s="2" t="str">
        <f t="shared" ca="1" si="16"/>
        <v/>
      </c>
      <c r="F290" s="2">
        <f t="shared" si="20"/>
        <v>0</v>
      </c>
      <c r="G290" s="2" t="str">
        <f t="shared" ca="1" si="17"/>
        <v/>
      </c>
      <c r="J290" t="s">
        <v>180</v>
      </c>
      <c r="K290" s="2">
        <v>1</v>
      </c>
      <c r="N290" s="2">
        <f t="shared" si="18"/>
        <v>0</v>
      </c>
      <c r="O290" s="2" t="str">
        <f>IFERROR(
 INDEX($U$2:$AX$2,
  MATCH(TRUE,
   CHOOSE({1;2;3;4;5;6;7;8;9;10;11;12;13;14;15;16;17;18;19;20;21;22;23;24;25;26;27;28;29;30;31;32},
    COUNTIFS($U$3:$U$201,$M290)&gt;0,
    COUNTIFS($V$3:$V$201,$M290)&gt;0,
    COUNTIFS($W$3:$W$201,$M290)&gt;0,
    COUNTIFS($X$3:$X$201,$M290)&gt;0,
    COUNTIFS($Y$3:$Y$201,$M290)&gt;0,
    COUNTIFS($Z$3:$Z$201,$M290)&gt;0,
    COUNTIFS($AA$3:$AA$201,$M290)&gt;0,
    COUNTIFS($AB$3:$AB$201,$M290)&gt;0,
    COUNTIFS($AC$3:$AC$201,$M290)&gt;0,
    COUNTIFS($AD$3:$AD$201,$M290)&gt;0,
    COUNTIFS($AE$3:$AE$201,$M290)&gt;0,
    COUNTIFS($AF$3:$AF$201,$M290)&gt;0,
    COUNTIFS($AG$3:$AG$201,$M290)&gt;0,
    COUNTIFS($AH$3:$AH$201,$M290)&gt;0,
    COUNTIFS($AI$3:$AI$201,$M290)&gt;0,
    COUNTIFS($AJ$3:$AJ$201,$M290)&gt;0,
    COUNTIFS($AK$3:$AK$201,$M290)&gt;0,
    COUNTIFS($AL$3:$AL$201,$M290)&gt;0,
    COUNTIFS($AM$3:$AM$201,$M290)&gt;0,
    COUNTIFS($AN$3:$AN$201,$M290)&gt;0,
    COUNTIFS($AO$3:$AO$201,$M290)&gt;0,
    COUNTIFS($AP$3:$AP$201,$M290)&gt;0,
    COUNTIFS($AQ$3:$AQ$201,$M290)&gt;0,
    COUNTIFS($AR$3:$AR$201,$M290)&gt;0,
    COUNTIFS($AS$3:$AS$201,$M290)&gt;0,
    COUNTIFS($AT$3:$AT$201,$M290)&gt;0,
    COUNTIFS($AU$3:$AU$201,$M290)&gt;0,
    COUNTIFS($AV$3:$AV$201,$M290)&gt;0,
    COUNTIFS($AW$3:$AW$201,$M290)&gt;0,
    COUNTIFS($AX$3:$AX$201,$M290)&gt;0
   ),
  0)
 ),
"")</f>
        <v/>
      </c>
      <c r="P290" s="2" t="str" cm="1">
        <f t="array" ref="P290">IFERROR(
 INDEX(
  _xlfn._xlws.FILTER($U$2:$AX$2,
   TRANSPOSE(
    CHOOSE({1;2;3;4;5;6;7;8;9;10;11;12;13;14;15;16;17;18;19;20;21;22;23;24;25;26;27;28;29;30},
     COUNTIFS($U$3:$U$201,$M290)&gt;0,
     COUNTIFS($V$3:$V$201,$M290)&gt;0,
     COUNTIFS($W$3:$W$201,$M290)&gt;0,
     COUNTIFS($X$3:$X$201,$M290)&gt;0,
     COUNTIFS($Y$3:$Y$201,$M290)&gt;0,
     COUNTIFS($Z$3:$Z$201,$M290)&gt;0,
     COUNTIFS($AA$3:$AA$201,$M290)&gt;0,
     COUNTIFS($AB$3:$AB$201,$M290)&gt;0,
     COUNTIFS($AC$3:$AC$201,$M290)&gt;0,
     COUNTIFS($AD$3:$AD$201,$M290)&gt;0,
     COUNTIFS($AE$3:$AE$201,$M290)&gt;0,
     COUNTIFS($AF$3:$AF$201,$M290)&gt;0,
     COUNTIFS($AG$3:$AG$201,$M290)&gt;0,
     COUNTIFS($AH$3:$AH$201,$M290)&gt;0,
     COUNTIFS($AI$3:$AI$201,$M290)&gt;0,
     COUNTIFS($AJ$3:$AJ$201,$M290)&gt;0,
     COUNTIFS($AK$3:$AK$201,$M290)&gt;0,
     COUNTIFS($AL$3:$AL$201,$M290)&gt;0,
     COUNTIFS($AM$3:$AM$201,$M290)&gt;0,
     COUNTIFS($AN$3:$AN$201,$M290)&gt;0,
     COUNTIFS($AO$3:$AO$201,$M290)&gt;0,
     COUNTIFS($AP$3:$AP$201,$M290)&gt;0,
     COUNTIFS($AQ$3:$AQ$201,$M290)&gt;0,
     COUNTIFS($AR$3:$AR$201,$M290)&gt;0,
     COUNTIFS($AS$3:$AS$201,$M290)&gt;0,
     COUNTIFS($AT$3:$AT$201,$M290)&gt;0,
     COUNTIFS($AU$3:$AU$201,$M290)&gt;0,
     COUNTIFS($AV$3:$AV$201,$M290)&gt;0,
     COUNTIFS($AW$3:$AW$201,$M290)&gt;0,
     COUNTIFS($AX$3:$AX$201,$M290)&gt;0
   )),
  ),
  2
 ),
"")</f>
        <v/>
      </c>
      <c r="Q290" s="2" t="str" cm="1">
        <f t="array" ref="Q290">IFERROR(
 INDEX(
  _xlfn._xlws.FILTER($U$2:$AX$2,
   TRANSPOSE(
    CHOOSE({1;2;3;4;5;6;7;8;9;10;11;12;13;14;15;16;17;18;19;20;21;22;23;24;25;26;27;28;29;30},
     COUNTIFS($U$3:$U$201,$M290)&gt;0,
     COUNTIFS($V$3:$V$201,$M290)&gt;0,
     COUNTIFS($W$3:$W$201,$M290)&gt;0,
     COUNTIFS($X$3:$X$201,$M290)&gt;0,
     COUNTIFS($Y$3:$Y$201,$M290)&gt;0,
     COUNTIFS($Z$3:$Z$201,$M290)&gt;0,
     COUNTIFS($AA$3:$AA$201,$M290)&gt;0,
     COUNTIFS($AB$3:$AB$201,$M290)&gt;0,
     COUNTIFS($AC$3:$AC$201,$M290)&gt;0,
     COUNTIFS($AD$3:$AD$201,$M290)&gt;0,
     COUNTIFS($AE$3:$AE$201,$M290)&gt;0,
     COUNTIFS($AF$3:$AF$201,$M290)&gt;0,
     COUNTIFS($AG$3:$AG$201,$M290)&gt;0,
     COUNTIFS($AH$3:$AH$201,$M290)&gt;0,
     COUNTIFS($AI$3:$AI$201,$M290)&gt;0,
     COUNTIFS($AJ$3:$AJ$201,$M290)&gt;0,
     COUNTIFS($AK$3:$AK$201,$M290)&gt;0,
     COUNTIFS($AL$3:$AL$201,$M290)&gt;0,
     COUNTIFS($AM$3:$AM$201,$M290)&gt;0,
     COUNTIFS($AN$3:$AN$201,$M290)&gt;0,
     COUNTIFS($AO$3:$AO$201,$M290)&gt;0,
     COUNTIFS($AP$3:$AP$201,$M290)&gt;0,
     COUNTIFS($AQ$3:$AQ$201,$M290)&gt;0,
     COUNTIFS($AR$3:$AR$201,$M290)&gt;0,
     COUNTIFS($AS$3:$AS$201,$M290)&gt;0,
     COUNTIFS($AT$3:$AT$201,$M290)&gt;0,
     COUNTIFS($AU$3:$AU$201,$M290)&gt;0,
     COUNTIFS($AV$3:$AV$201,$M290)&gt;0,
     COUNTIFS($AW$3:$AW$201,$M290)&gt;0,
     COUNTIFS($AX$3:$AX$201,$M290)&gt;0
   )),
  ),
  3
 ),
"")</f>
        <v/>
      </c>
    </row>
    <row r="291" spans="1:17" x14ac:dyDescent="0.25">
      <c r="A291" t="str">
        <f ca="1"/>
        <v>Mystic Confluence</v>
      </c>
      <c r="B291" s="2" t="str" cm="1">
        <f t="array" aca="1" ref="B291" ca="1">_xlfn.ANCHORARRAY(RESUMO!C290)</f>
        <v>4cRash</v>
      </c>
      <c r="C291" s="2" t="str">
        <f t="shared" ca="1" si="16"/>
        <v/>
      </c>
      <c r="F291" s="2">
        <f t="shared" si="20"/>
        <v>0</v>
      </c>
      <c r="G291" s="2" t="str">
        <f t="shared" ca="1" si="17"/>
        <v/>
      </c>
      <c r="J291" t="s">
        <v>180</v>
      </c>
      <c r="K291" s="2">
        <v>1</v>
      </c>
      <c r="N291" s="2">
        <f t="shared" si="18"/>
        <v>0</v>
      </c>
      <c r="O291" s="2" t="str">
        <f>IFERROR(
 INDEX($U$2:$AX$2,
  MATCH(TRUE,
   CHOOSE({1;2;3;4;5;6;7;8;9;10;11;12;13;14;15;16;17;18;19;20;21;22;23;24;25;26;27;28;29;30;31;32},
    COUNTIFS($U$3:$U$201,$M291)&gt;0,
    COUNTIFS($V$3:$V$201,$M291)&gt;0,
    COUNTIFS($W$3:$W$201,$M291)&gt;0,
    COUNTIFS($X$3:$X$201,$M291)&gt;0,
    COUNTIFS($Y$3:$Y$201,$M291)&gt;0,
    COUNTIFS($Z$3:$Z$201,$M291)&gt;0,
    COUNTIFS($AA$3:$AA$201,$M291)&gt;0,
    COUNTIFS($AB$3:$AB$201,$M291)&gt;0,
    COUNTIFS($AC$3:$AC$201,$M291)&gt;0,
    COUNTIFS($AD$3:$AD$201,$M291)&gt;0,
    COUNTIFS($AE$3:$AE$201,$M291)&gt;0,
    COUNTIFS($AF$3:$AF$201,$M291)&gt;0,
    COUNTIFS($AG$3:$AG$201,$M291)&gt;0,
    COUNTIFS($AH$3:$AH$201,$M291)&gt;0,
    COUNTIFS($AI$3:$AI$201,$M291)&gt;0,
    COUNTIFS($AJ$3:$AJ$201,$M291)&gt;0,
    COUNTIFS($AK$3:$AK$201,$M291)&gt;0,
    COUNTIFS($AL$3:$AL$201,$M291)&gt;0,
    COUNTIFS($AM$3:$AM$201,$M291)&gt;0,
    COUNTIFS($AN$3:$AN$201,$M291)&gt;0,
    COUNTIFS($AO$3:$AO$201,$M291)&gt;0,
    COUNTIFS($AP$3:$AP$201,$M291)&gt;0,
    COUNTIFS($AQ$3:$AQ$201,$M291)&gt;0,
    COUNTIFS($AR$3:$AR$201,$M291)&gt;0,
    COUNTIFS($AS$3:$AS$201,$M291)&gt;0,
    COUNTIFS($AT$3:$AT$201,$M291)&gt;0,
    COUNTIFS($AU$3:$AU$201,$M291)&gt;0,
    COUNTIFS($AV$3:$AV$201,$M291)&gt;0,
    COUNTIFS($AW$3:$AW$201,$M291)&gt;0,
    COUNTIFS($AX$3:$AX$201,$M291)&gt;0
   ),
  0)
 ),
"")</f>
        <v/>
      </c>
      <c r="P291" s="2" t="str" cm="1">
        <f t="array" ref="P291">IFERROR(
 INDEX(
  _xlfn._xlws.FILTER($U$2:$AX$2,
   TRANSPOSE(
    CHOOSE({1;2;3;4;5;6;7;8;9;10;11;12;13;14;15;16;17;18;19;20;21;22;23;24;25;26;27;28;29;30},
     COUNTIFS($U$3:$U$201,$M291)&gt;0,
     COUNTIFS($V$3:$V$201,$M291)&gt;0,
     COUNTIFS($W$3:$W$201,$M291)&gt;0,
     COUNTIFS($X$3:$X$201,$M291)&gt;0,
     COUNTIFS($Y$3:$Y$201,$M291)&gt;0,
     COUNTIFS($Z$3:$Z$201,$M291)&gt;0,
     COUNTIFS($AA$3:$AA$201,$M291)&gt;0,
     COUNTIFS($AB$3:$AB$201,$M291)&gt;0,
     COUNTIFS($AC$3:$AC$201,$M291)&gt;0,
     COUNTIFS($AD$3:$AD$201,$M291)&gt;0,
     COUNTIFS($AE$3:$AE$201,$M291)&gt;0,
     COUNTIFS($AF$3:$AF$201,$M291)&gt;0,
     COUNTIFS($AG$3:$AG$201,$M291)&gt;0,
     COUNTIFS($AH$3:$AH$201,$M291)&gt;0,
     COUNTIFS($AI$3:$AI$201,$M291)&gt;0,
     COUNTIFS($AJ$3:$AJ$201,$M291)&gt;0,
     COUNTIFS($AK$3:$AK$201,$M291)&gt;0,
     COUNTIFS($AL$3:$AL$201,$M291)&gt;0,
     COUNTIFS($AM$3:$AM$201,$M291)&gt;0,
     COUNTIFS($AN$3:$AN$201,$M291)&gt;0,
     COUNTIFS($AO$3:$AO$201,$M291)&gt;0,
     COUNTIFS($AP$3:$AP$201,$M291)&gt;0,
     COUNTIFS($AQ$3:$AQ$201,$M291)&gt;0,
     COUNTIFS($AR$3:$AR$201,$M291)&gt;0,
     COUNTIFS($AS$3:$AS$201,$M291)&gt;0,
     COUNTIFS($AT$3:$AT$201,$M291)&gt;0,
     COUNTIFS($AU$3:$AU$201,$M291)&gt;0,
     COUNTIFS($AV$3:$AV$201,$M291)&gt;0,
     COUNTIFS($AW$3:$AW$201,$M291)&gt;0,
     COUNTIFS($AX$3:$AX$201,$M291)&gt;0
   )),
  ),
  2
 ),
"")</f>
        <v/>
      </c>
      <c r="Q291" s="2" t="str" cm="1">
        <f t="array" ref="Q291">IFERROR(
 INDEX(
  _xlfn._xlws.FILTER($U$2:$AX$2,
   TRANSPOSE(
    CHOOSE({1;2;3;4;5;6;7;8;9;10;11;12;13;14;15;16;17;18;19;20;21;22;23;24;25;26;27;28;29;30},
     COUNTIFS($U$3:$U$201,$M291)&gt;0,
     COUNTIFS($V$3:$V$201,$M291)&gt;0,
     COUNTIFS($W$3:$W$201,$M291)&gt;0,
     COUNTIFS($X$3:$X$201,$M291)&gt;0,
     COUNTIFS($Y$3:$Y$201,$M291)&gt;0,
     COUNTIFS($Z$3:$Z$201,$M291)&gt;0,
     COUNTIFS($AA$3:$AA$201,$M291)&gt;0,
     COUNTIFS($AB$3:$AB$201,$M291)&gt;0,
     COUNTIFS($AC$3:$AC$201,$M291)&gt;0,
     COUNTIFS($AD$3:$AD$201,$M291)&gt;0,
     COUNTIFS($AE$3:$AE$201,$M291)&gt;0,
     COUNTIFS($AF$3:$AF$201,$M291)&gt;0,
     COUNTIFS($AG$3:$AG$201,$M291)&gt;0,
     COUNTIFS($AH$3:$AH$201,$M291)&gt;0,
     COUNTIFS($AI$3:$AI$201,$M291)&gt;0,
     COUNTIFS($AJ$3:$AJ$201,$M291)&gt;0,
     COUNTIFS($AK$3:$AK$201,$M291)&gt;0,
     COUNTIFS($AL$3:$AL$201,$M291)&gt;0,
     COUNTIFS($AM$3:$AM$201,$M291)&gt;0,
     COUNTIFS($AN$3:$AN$201,$M291)&gt;0,
     COUNTIFS($AO$3:$AO$201,$M291)&gt;0,
     COUNTIFS($AP$3:$AP$201,$M291)&gt;0,
     COUNTIFS($AQ$3:$AQ$201,$M291)&gt;0,
     COUNTIFS($AR$3:$AR$201,$M291)&gt;0,
     COUNTIFS($AS$3:$AS$201,$M291)&gt;0,
     COUNTIFS($AT$3:$AT$201,$M291)&gt;0,
     COUNTIFS($AU$3:$AU$201,$M291)&gt;0,
     COUNTIFS($AV$3:$AV$201,$M291)&gt;0,
     COUNTIFS($AW$3:$AW$201,$M291)&gt;0,
     COUNTIFS($AX$3:$AX$201,$M291)&gt;0
   )),
  ),
  3
 ),
"")</f>
        <v/>
      </c>
    </row>
    <row r="292" spans="1:17" x14ac:dyDescent="0.25">
      <c r="A292" t="str">
        <f ca="1"/>
        <v>Mystic Sanctuary</v>
      </c>
      <c r="B292" s="2" t="str" cm="1">
        <f t="array" aca="1" ref="B292" ca="1">_xlfn.ANCHORARRAY(RESUMO!C291)</f>
        <v>Yorion</v>
      </c>
      <c r="C292" s="2" t="str">
        <f t="shared" ca="1" si="16"/>
        <v/>
      </c>
      <c r="F292" s="2">
        <f t="shared" si="20"/>
        <v>0</v>
      </c>
      <c r="G292" s="2" t="str">
        <f t="shared" ca="1" si="17"/>
        <v/>
      </c>
      <c r="J292" t="s">
        <v>180</v>
      </c>
      <c r="K292" s="2">
        <v>1</v>
      </c>
      <c r="N292" s="2">
        <f t="shared" si="18"/>
        <v>0</v>
      </c>
      <c r="O292" s="2" t="str">
        <f>IFERROR(
 INDEX($U$2:$AX$2,
  MATCH(TRUE,
   CHOOSE({1;2;3;4;5;6;7;8;9;10;11;12;13;14;15;16;17;18;19;20;21;22;23;24;25;26;27;28;29;30;31;32},
    COUNTIFS($U$3:$U$201,$M292)&gt;0,
    COUNTIFS($V$3:$V$201,$M292)&gt;0,
    COUNTIFS($W$3:$W$201,$M292)&gt;0,
    COUNTIFS($X$3:$X$201,$M292)&gt;0,
    COUNTIFS($Y$3:$Y$201,$M292)&gt;0,
    COUNTIFS($Z$3:$Z$201,$M292)&gt;0,
    COUNTIFS($AA$3:$AA$201,$M292)&gt;0,
    COUNTIFS($AB$3:$AB$201,$M292)&gt;0,
    COUNTIFS($AC$3:$AC$201,$M292)&gt;0,
    COUNTIFS($AD$3:$AD$201,$M292)&gt;0,
    COUNTIFS($AE$3:$AE$201,$M292)&gt;0,
    COUNTIFS($AF$3:$AF$201,$M292)&gt;0,
    COUNTIFS($AG$3:$AG$201,$M292)&gt;0,
    COUNTIFS($AH$3:$AH$201,$M292)&gt;0,
    COUNTIFS($AI$3:$AI$201,$M292)&gt;0,
    COUNTIFS($AJ$3:$AJ$201,$M292)&gt;0,
    COUNTIFS($AK$3:$AK$201,$M292)&gt;0,
    COUNTIFS($AL$3:$AL$201,$M292)&gt;0,
    COUNTIFS($AM$3:$AM$201,$M292)&gt;0,
    COUNTIFS($AN$3:$AN$201,$M292)&gt;0,
    COUNTIFS($AO$3:$AO$201,$M292)&gt;0,
    COUNTIFS($AP$3:$AP$201,$M292)&gt;0,
    COUNTIFS($AQ$3:$AQ$201,$M292)&gt;0,
    COUNTIFS($AR$3:$AR$201,$M292)&gt;0,
    COUNTIFS($AS$3:$AS$201,$M292)&gt;0,
    COUNTIFS($AT$3:$AT$201,$M292)&gt;0,
    COUNTIFS($AU$3:$AU$201,$M292)&gt;0,
    COUNTIFS($AV$3:$AV$201,$M292)&gt;0,
    COUNTIFS($AW$3:$AW$201,$M292)&gt;0,
    COUNTIFS($AX$3:$AX$201,$M292)&gt;0
   ),
  0)
 ),
"")</f>
        <v/>
      </c>
      <c r="P292" s="2" t="str" cm="1">
        <f t="array" ref="P292">IFERROR(
 INDEX(
  _xlfn._xlws.FILTER($U$2:$AX$2,
   TRANSPOSE(
    CHOOSE({1;2;3;4;5;6;7;8;9;10;11;12;13;14;15;16;17;18;19;20;21;22;23;24;25;26;27;28;29;30},
     COUNTIFS($U$3:$U$201,$M292)&gt;0,
     COUNTIFS($V$3:$V$201,$M292)&gt;0,
     COUNTIFS($W$3:$W$201,$M292)&gt;0,
     COUNTIFS($X$3:$X$201,$M292)&gt;0,
     COUNTIFS($Y$3:$Y$201,$M292)&gt;0,
     COUNTIFS($Z$3:$Z$201,$M292)&gt;0,
     COUNTIFS($AA$3:$AA$201,$M292)&gt;0,
     COUNTIFS($AB$3:$AB$201,$M292)&gt;0,
     COUNTIFS($AC$3:$AC$201,$M292)&gt;0,
     COUNTIFS($AD$3:$AD$201,$M292)&gt;0,
     COUNTIFS($AE$3:$AE$201,$M292)&gt;0,
     COUNTIFS($AF$3:$AF$201,$M292)&gt;0,
     COUNTIFS($AG$3:$AG$201,$M292)&gt;0,
     COUNTIFS($AH$3:$AH$201,$M292)&gt;0,
     COUNTIFS($AI$3:$AI$201,$M292)&gt;0,
     COUNTIFS($AJ$3:$AJ$201,$M292)&gt;0,
     COUNTIFS($AK$3:$AK$201,$M292)&gt;0,
     COUNTIFS($AL$3:$AL$201,$M292)&gt;0,
     COUNTIFS($AM$3:$AM$201,$M292)&gt;0,
     COUNTIFS($AN$3:$AN$201,$M292)&gt;0,
     COUNTIFS($AO$3:$AO$201,$M292)&gt;0,
     COUNTIFS($AP$3:$AP$201,$M292)&gt;0,
     COUNTIFS($AQ$3:$AQ$201,$M292)&gt;0,
     COUNTIFS($AR$3:$AR$201,$M292)&gt;0,
     COUNTIFS($AS$3:$AS$201,$M292)&gt;0,
     COUNTIFS($AT$3:$AT$201,$M292)&gt;0,
     COUNTIFS($AU$3:$AU$201,$M292)&gt;0,
     COUNTIFS($AV$3:$AV$201,$M292)&gt;0,
     COUNTIFS($AW$3:$AW$201,$M292)&gt;0,
     COUNTIFS($AX$3:$AX$201,$M292)&gt;0
   )),
  ),
  2
 ),
"")</f>
        <v/>
      </c>
      <c r="Q292" s="2" t="str" cm="1">
        <f t="array" ref="Q292">IFERROR(
 INDEX(
  _xlfn._xlws.FILTER($U$2:$AX$2,
   TRANSPOSE(
    CHOOSE({1;2;3;4;5;6;7;8;9;10;11;12;13;14;15;16;17;18;19;20;21;22;23;24;25;26;27;28;29;30},
     COUNTIFS($U$3:$U$201,$M292)&gt;0,
     COUNTIFS($V$3:$V$201,$M292)&gt;0,
     COUNTIFS($W$3:$W$201,$M292)&gt;0,
     COUNTIFS($X$3:$X$201,$M292)&gt;0,
     COUNTIFS($Y$3:$Y$201,$M292)&gt;0,
     COUNTIFS($Z$3:$Z$201,$M292)&gt;0,
     COUNTIFS($AA$3:$AA$201,$M292)&gt;0,
     COUNTIFS($AB$3:$AB$201,$M292)&gt;0,
     COUNTIFS($AC$3:$AC$201,$M292)&gt;0,
     COUNTIFS($AD$3:$AD$201,$M292)&gt;0,
     COUNTIFS($AE$3:$AE$201,$M292)&gt;0,
     COUNTIFS($AF$3:$AF$201,$M292)&gt;0,
     COUNTIFS($AG$3:$AG$201,$M292)&gt;0,
     COUNTIFS($AH$3:$AH$201,$M292)&gt;0,
     COUNTIFS($AI$3:$AI$201,$M292)&gt;0,
     COUNTIFS($AJ$3:$AJ$201,$M292)&gt;0,
     COUNTIFS($AK$3:$AK$201,$M292)&gt;0,
     COUNTIFS($AL$3:$AL$201,$M292)&gt;0,
     COUNTIFS($AM$3:$AM$201,$M292)&gt;0,
     COUNTIFS($AN$3:$AN$201,$M292)&gt;0,
     COUNTIFS($AO$3:$AO$201,$M292)&gt;0,
     COUNTIFS($AP$3:$AP$201,$M292)&gt;0,
     COUNTIFS($AQ$3:$AQ$201,$M292)&gt;0,
     COUNTIFS($AR$3:$AR$201,$M292)&gt;0,
     COUNTIFS($AS$3:$AS$201,$M292)&gt;0,
     COUNTIFS($AT$3:$AT$201,$M292)&gt;0,
     COUNTIFS($AU$3:$AU$201,$M292)&gt;0,
     COUNTIFS($AV$3:$AV$201,$M292)&gt;0,
     COUNTIFS($AW$3:$AW$201,$M292)&gt;0,
     COUNTIFS($AX$3:$AX$201,$M292)&gt;0
   )),
  ),
  3
 ),
"")</f>
        <v/>
      </c>
    </row>
    <row r="293" spans="1:17" x14ac:dyDescent="0.25">
      <c r="A293" t="str">
        <f ca="1"/>
        <v>Natural Connection</v>
      </c>
      <c r="B293" s="2" t="str" cm="1">
        <f t="array" aca="1" ref="B293" ca="1">_xlfn.ANCHORARRAY(RESUMO!C292)</f>
        <v>4cRash</v>
      </c>
      <c r="C293" s="2" t="str">
        <f t="shared" ca="1" si="16"/>
        <v/>
      </c>
      <c r="F293" s="2">
        <f t="shared" si="20"/>
        <v>0</v>
      </c>
      <c r="G293" s="2" t="str">
        <f t="shared" ca="1" si="17"/>
        <v/>
      </c>
      <c r="J293" t="s">
        <v>180</v>
      </c>
      <c r="K293" s="2">
        <v>1</v>
      </c>
      <c r="N293" s="2">
        <f t="shared" si="18"/>
        <v>0</v>
      </c>
      <c r="O293" s="2" t="str">
        <f>IFERROR(
 INDEX($U$2:$AX$2,
  MATCH(TRUE,
   CHOOSE({1;2;3;4;5;6;7;8;9;10;11;12;13;14;15;16;17;18;19;20;21;22;23;24;25;26;27;28;29;30;31;32},
    COUNTIFS($U$3:$U$201,$M293)&gt;0,
    COUNTIFS($V$3:$V$201,$M293)&gt;0,
    COUNTIFS($W$3:$W$201,$M293)&gt;0,
    COUNTIFS($X$3:$X$201,$M293)&gt;0,
    COUNTIFS($Y$3:$Y$201,$M293)&gt;0,
    COUNTIFS($Z$3:$Z$201,$M293)&gt;0,
    COUNTIFS($AA$3:$AA$201,$M293)&gt;0,
    COUNTIFS($AB$3:$AB$201,$M293)&gt;0,
    COUNTIFS($AC$3:$AC$201,$M293)&gt;0,
    COUNTIFS($AD$3:$AD$201,$M293)&gt;0,
    COUNTIFS($AE$3:$AE$201,$M293)&gt;0,
    COUNTIFS($AF$3:$AF$201,$M293)&gt;0,
    COUNTIFS($AG$3:$AG$201,$M293)&gt;0,
    COUNTIFS($AH$3:$AH$201,$M293)&gt;0,
    COUNTIFS($AI$3:$AI$201,$M293)&gt;0,
    COUNTIFS($AJ$3:$AJ$201,$M293)&gt;0,
    COUNTIFS($AK$3:$AK$201,$M293)&gt;0,
    COUNTIFS($AL$3:$AL$201,$M293)&gt;0,
    COUNTIFS($AM$3:$AM$201,$M293)&gt;0,
    COUNTIFS($AN$3:$AN$201,$M293)&gt;0,
    COUNTIFS($AO$3:$AO$201,$M293)&gt;0,
    COUNTIFS($AP$3:$AP$201,$M293)&gt;0,
    COUNTIFS($AQ$3:$AQ$201,$M293)&gt;0,
    COUNTIFS($AR$3:$AR$201,$M293)&gt;0,
    COUNTIFS($AS$3:$AS$201,$M293)&gt;0,
    COUNTIFS($AT$3:$AT$201,$M293)&gt;0,
    COUNTIFS($AU$3:$AU$201,$M293)&gt;0,
    COUNTIFS($AV$3:$AV$201,$M293)&gt;0,
    COUNTIFS($AW$3:$AW$201,$M293)&gt;0,
    COUNTIFS($AX$3:$AX$201,$M293)&gt;0
   ),
  0)
 ),
"")</f>
        <v/>
      </c>
      <c r="P293" s="2" t="str" cm="1">
        <f t="array" ref="P293">IFERROR(
 INDEX(
  _xlfn._xlws.FILTER($U$2:$AX$2,
   TRANSPOSE(
    CHOOSE({1;2;3;4;5;6;7;8;9;10;11;12;13;14;15;16;17;18;19;20;21;22;23;24;25;26;27;28;29;30},
     COUNTIFS($U$3:$U$201,$M293)&gt;0,
     COUNTIFS($V$3:$V$201,$M293)&gt;0,
     COUNTIFS($W$3:$W$201,$M293)&gt;0,
     COUNTIFS($X$3:$X$201,$M293)&gt;0,
     COUNTIFS($Y$3:$Y$201,$M293)&gt;0,
     COUNTIFS($Z$3:$Z$201,$M293)&gt;0,
     COUNTIFS($AA$3:$AA$201,$M293)&gt;0,
     COUNTIFS($AB$3:$AB$201,$M293)&gt;0,
     COUNTIFS($AC$3:$AC$201,$M293)&gt;0,
     COUNTIFS($AD$3:$AD$201,$M293)&gt;0,
     COUNTIFS($AE$3:$AE$201,$M293)&gt;0,
     COUNTIFS($AF$3:$AF$201,$M293)&gt;0,
     COUNTIFS($AG$3:$AG$201,$M293)&gt;0,
     COUNTIFS($AH$3:$AH$201,$M293)&gt;0,
     COUNTIFS($AI$3:$AI$201,$M293)&gt;0,
     COUNTIFS($AJ$3:$AJ$201,$M293)&gt;0,
     COUNTIFS($AK$3:$AK$201,$M293)&gt;0,
     COUNTIFS($AL$3:$AL$201,$M293)&gt;0,
     COUNTIFS($AM$3:$AM$201,$M293)&gt;0,
     COUNTIFS($AN$3:$AN$201,$M293)&gt;0,
     COUNTIFS($AO$3:$AO$201,$M293)&gt;0,
     COUNTIFS($AP$3:$AP$201,$M293)&gt;0,
     COUNTIFS($AQ$3:$AQ$201,$M293)&gt;0,
     COUNTIFS($AR$3:$AR$201,$M293)&gt;0,
     COUNTIFS($AS$3:$AS$201,$M293)&gt;0,
     COUNTIFS($AT$3:$AT$201,$M293)&gt;0,
     COUNTIFS($AU$3:$AU$201,$M293)&gt;0,
     COUNTIFS($AV$3:$AV$201,$M293)&gt;0,
     COUNTIFS($AW$3:$AW$201,$M293)&gt;0,
     COUNTIFS($AX$3:$AX$201,$M293)&gt;0
   )),
  ),
  2
 ),
"")</f>
        <v/>
      </c>
      <c r="Q293" s="2" t="str" cm="1">
        <f t="array" ref="Q293">IFERROR(
 INDEX(
  _xlfn._xlws.FILTER($U$2:$AX$2,
   TRANSPOSE(
    CHOOSE({1;2;3;4;5;6;7;8;9;10;11;12;13;14;15;16;17;18;19;20;21;22;23;24;25;26;27;28;29;30},
     COUNTIFS($U$3:$U$201,$M293)&gt;0,
     COUNTIFS($V$3:$V$201,$M293)&gt;0,
     COUNTIFS($W$3:$W$201,$M293)&gt;0,
     COUNTIFS($X$3:$X$201,$M293)&gt;0,
     COUNTIFS($Y$3:$Y$201,$M293)&gt;0,
     COUNTIFS($Z$3:$Z$201,$M293)&gt;0,
     COUNTIFS($AA$3:$AA$201,$M293)&gt;0,
     COUNTIFS($AB$3:$AB$201,$M293)&gt;0,
     COUNTIFS($AC$3:$AC$201,$M293)&gt;0,
     COUNTIFS($AD$3:$AD$201,$M293)&gt;0,
     COUNTIFS($AE$3:$AE$201,$M293)&gt;0,
     COUNTIFS($AF$3:$AF$201,$M293)&gt;0,
     COUNTIFS($AG$3:$AG$201,$M293)&gt;0,
     COUNTIFS($AH$3:$AH$201,$M293)&gt;0,
     COUNTIFS($AI$3:$AI$201,$M293)&gt;0,
     COUNTIFS($AJ$3:$AJ$201,$M293)&gt;0,
     COUNTIFS($AK$3:$AK$201,$M293)&gt;0,
     COUNTIFS($AL$3:$AL$201,$M293)&gt;0,
     COUNTIFS($AM$3:$AM$201,$M293)&gt;0,
     COUNTIFS($AN$3:$AN$201,$M293)&gt;0,
     COUNTIFS($AO$3:$AO$201,$M293)&gt;0,
     COUNTIFS($AP$3:$AP$201,$M293)&gt;0,
     COUNTIFS($AQ$3:$AQ$201,$M293)&gt;0,
     COUNTIFS($AR$3:$AR$201,$M293)&gt;0,
     COUNTIFS($AS$3:$AS$201,$M293)&gt;0,
     COUNTIFS($AT$3:$AT$201,$M293)&gt;0,
     COUNTIFS($AU$3:$AU$201,$M293)&gt;0,
     COUNTIFS($AV$3:$AV$201,$M293)&gt;0,
     COUNTIFS($AW$3:$AW$201,$M293)&gt;0,
     COUNTIFS($AX$3:$AX$201,$M293)&gt;0
   )),
  ),
  3
 ),
"")</f>
        <v/>
      </c>
    </row>
    <row r="294" spans="1:17" x14ac:dyDescent="0.25">
      <c r="A294" t="str">
        <f ca="1"/>
        <v>Necrotic Sliver</v>
      </c>
      <c r="B294" s="2" t="str" cm="1">
        <f t="array" aca="1" ref="B294" ca="1">_xlfn.ANCHORARRAY(RESUMO!C293)</f>
        <v>Fractius</v>
      </c>
      <c r="C294" s="2" t="str">
        <f t="shared" ca="1" si="16"/>
        <v/>
      </c>
      <c r="F294" s="2">
        <f t="shared" si="20"/>
        <v>0</v>
      </c>
      <c r="G294" s="2" t="str">
        <f t="shared" ca="1" si="17"/>
        <v/>
      </c>
      <c r="J294" t="s">
        <v>180</v>
      </c>
      <c r="K294" s="2">
        <v>1</v>
      </c>
      <c r="N294" s="2">
        <f t="shared" si="18"/>
        <v>0</v>
      </c>
      <c r="O294" s="2" t="str">
        <f>IFERROR(
 INDEX($U$2:$AX$2,
  MATCH(TRUE,
   CHOOSE({1;2;3;4;5;6;7;8;9;10;11;12;13;14;15;16;17;18;19;20;21;22;23;24;25;26;27;28;29;30;31;32},
    COUNTIFS($U$3:$U$201,$M294)&gt;0,
    COUNTIFS($V$3:$V$201,$M294)&gt;0,
    COUNTIFS($W$3:$W$201,$M294)&gt;0,
    COUNTIFS($X$3:$X$201,$M294)&gt;0,
    COUNTIFS($Y$3:$Y$201,$M294)&gt;0,
    COUNTIFS($Z$3:$Z$201,$M294)&gt;0,
    COUNTIFS($AA$3:$AA$201,$M294)&gt;0,
    COUNTIFS($AB$3:$AB$201,$M294)&gt;0,
    COUNTIFS($AC$3:$AC$201,$M294)&gt;0,
    COUNTIFS($AD$3:$AD$201,$M294)&gt;0,
    COUNTIFS($AE$3:$AE$201,$M294)&gt;0,
    COUNTIFS($AF$3:$AF$201,$M294)&gt;0,
    COUNTIFS($AG$3:$AG$201,$M294)&gt;0,
    COUNTIFS($AH$3:$AH$201,$M294)&gt;0,
    COUNTIFS($AI$3:$AI$201,$M294)&gt;0,
    COUNTIFS($AJ$3:$AJ$201,$M294)&gt;0,
    COUNTIFS($AK$3:$AK$201,$M294)&gt;0,
    COUNTIFS($AL$3:$AL$201,$M294)&gt;0,
    COUNTIFS($AM$3:$AM$201,$M294)&gt;0,
    COUNTIFS($AN$3:$AN$201,$M294)&gt;0,
    COUNTIFS($AO$3:$AO$201,$M294)&gt;0,
    COUNTIFS($AP$3:$AP$201,$M294)&gt;0,
    COUNTIFS($AQ$3:$AQ$201,$M294)&gt;0,
    COUNTIFS($AR$3:$AR$201,$M294)&gt;0,
    COUNTIFS($AS$3:$AS$201,$M294)&gt;0,
    COUNTIFS($AT$3:$AT$201,$M294)&gt;0,
    COUNTIFS($AU$3:$AU$201,$M294)&gt;0,
    COUNTIFS($AV$3:$AV$201,$M294)&gt;0,
    COUNTIFS($AW$3:$AW$201,$M294)&gt;0,
    COUNTIFS($AX$3:$AX$201,$M294)&gt;0
   ),
  0)
 ),
"")</f>
        <v/>
      </c>
      <c r="P294" s="2" t="str" cm="1">
        <f t="array" ref="P294">IFERROR(
 INDEX(
  _xlfn._xlws.FILTER($U$2:$AX$2,
   TRANSPOSE(
    CHOOSE({1;2;3;4;5;6;7;8;9;10;11;12;13;14;15;16;17;18;19;20;21;22;23;24;25;26;27;28;29;30},
     COUNTIFS($U$3:$U$201,$M294)&gt;0,
     COUNTIFS($V$3:$V$201,$M294)&gt;0,
     COUNTIFS($W$3:$W$201,$M294)&gt;0,
     COUNTIFS($X$3:$X$201,$M294)&gt;0,
     COUNTIFS($Y$3:$Y$201,$M294)&gt;0,
     COUNTIFS($Z$3:$Z$201,$M294)&gt;0,
     COUNTIFS($AA$3:$AA$201,$M294)&gt;0,
     COUNTIFS($AB$3:$AB$201,$M294)&gt;0,
     COUNTIFS($AC$3:$AC$201,$M294)&gt;0,
     COUNTIFS($AD$3:$AD$201,$M294)&gt;0,
     COUNTIFS($AE$3:$AE$201,$M294)&gt;0,
     COUNTIFS($AF$3:$AF$201,$M294)&gt;0,
     COUNTIFS($AG$3:$AG$201,$M294)&gt;0,
     COUNTIFS($AH$3:$AH$201,$M294)&gt;0,
     COUNTIFS($AI$3:$AI$201,$M294)&gt;0,
     COUNTIFS($AJ$3:$AJ$201,$M294)&gt;0,
     COUNTIFS($AK$3:$AK$201,$M294)&gt;0,
     COUNTIFS($AL$3:$AL$201,$M294)&gt;0,
     COUNTIFS($AM$3:$AM$201,$M294)&gt;0,
     COUNTIFS($AN$3:$AN$201,$M294)&gt;0,
     COUNTIFS($AO$3:$AO$201,$M294)&gt;0,
     COUNTIFS($AP$3:$AP$201,$M294)&gt;0,
     COUNTIFS($AQ$3:$AQ$201,$M294)&gt;0,
     COUNTIFS($AR$3:$AR$201,$M294)&gt;0,
     COUNTIFS($AS$3:$AS$201,$M294)&gt;0,
     COUNTIFS($AT$3:$AT$201,$M294)&gt;0,
     COUNTIFS($AU$3:$AU$201,$M294)&gt;0,
     COUNTIFS($AV$3:$AV$201,$M294)&gt;0,
     COUNTIFS($AW$3:$AW$201,$M294)&gt;0,
     COUNTIFS($AX$3:$AX$201,$M294)&gt;0
   )),
  ),
  2
 ),
"")</f>
        <v/>
      </c>
      <c r="Q294" s="2" t="str" cm="1">
        <f t="array" ref="Q294">IFERROR(
 INDEX(
  _xlfn._xlws.FILTER($U$2:$AX$2,
   TRANSPOSE(
    CHOOSE({1;2;3;4;5;6;7;8;9;10;11;12;13;14;15;16;17;18;19;20;21;22;23;24;25;26;27;28;29;30},
     COUNTIFS($U$3:$U$201,$M294)&gt;0,
     COUNTIFS($V$3:$V$201,$M294)&gt;0,
     COUNTIFS($W$3:$W$201,$M294)&gt;0,
     COUNTIFS($X$3:$X$201,$M294)&gt;0,
     COUNTIFS($Y$3:$Y$201,$M294)&gt;0,
     COUNTIFS($Z$3:$Z$201,$M294)&gt;0,
     COUNTIFS($AA$3:$AA$201,$M294)&gt;0,
     COUNTIFS($AB$3:$AB$201,$M294)&gt;0,
     COUNTIFS($AC$3:$AC$201,$M294)&gt;0,
     COUNTIFS($AD$3:$AD$201,$M294)&gt;0,
     COUNTIFS($AE$3:$AE$201,$M294)&gt;0,
     COUNTIFS($AF$3:$AF$201,$M294)&gt;0,
     COUNTIFS($AG$3:$AG$201,$M294)&gt;0,
     COUNTIFS($AH$3:$AH$201,$M294)&gt;0,
     COUNTIFS($AI$3:$AI$201,$M294)&gt;0,
     COUNTIFS($AJ$3:$AJ$201,$M294)&gt;0,
     COUNTIFS($AK$3:$AK$201,$M294)&gt;0,
     COUNTIFS($AL$3:$AL$201,$M294)&gt;0,
     COUNTIFS($AM$3:$AM$201,$M294)&gt;0,
     COUNTIFS($AN$3:$AN$201,$M294)&gt;0,
     COUNTIFS($AO$3:$AO$201,$M294)&gt;0,
     COUNTIFS($AP$3:$AP$201,$M294)&gt;0,
     COUNTIFS($AQ$3:$AQ$201,$M294)&gt;0,
     COUNTIFS($AR$3:$AR$201,$M294)&gt;0,
     COUNTIFS($AS$3:$AS$201,$M294)&gt;0,
     COUNTIFS($AT$3:$AT$201,$M294)&gt;0,
     COUNTIFS($AU$3:$AU$201,$M294)&gt;0,
     COUNTIFS($AV$3:$AV$201,$M294)&gt;0,
     COUNTIFS($AW$3:$AW$201,$M294)&gt;0,
     COUNTIFS($AX$3:$AX$201,$M294)&gt;0
   )),
  ),
  3
 ),
"")</f>
        <v/>
      </c>
    </row>
    <row r="295" spans="1:17" x14ac:dyDescent="0.25">
      <c r="A295" t="str">
        <f ca="1"/>
        <v>Negate</v>
      </c>
      <c r="B295" s="2" t="str" cm="1">
        <f t="array" aca="1" ref="B295" ca="1">_xlfn.ANCHORARRAY(RESUMO!C294)</f>
        <v>4cRash</v>
      </c>
      <c r="C295" s="2" t="str">
        <f t="shared" ca="1" si="16"/>
        <v/>
      </c>
      <c r="F295" s="2">
        <f t="shared" si="20"/>
        <v>0</v>
      </c>
      <c r="G295" s="2" t="str">
        <f t="shared" ca="1" si="17"/>
        <v/>
      </c>
      <c r="J295" t="s">
        <v>180</v>
      </c>
      <c r="K295" s="2">
        <v>1</v>
      </c>
      <c r="N295" s="2">
        <f t="shared" si="18"/>
        <v>0</v>
      </c>
      <c r="O295" s="2" t="str">
        <f>IFERROR(
 INDEX($U$2:$AX$2,
  MATCH(TRUE,
   CHOOSE({1;2;3;4;5;6;7;8;9;10;11;12;13;14;15;16;17;18;19;20;21;22;23;24;25;26;27;28;29;30;31;32},
    COUNTIFS($U$3:$U$201,$M295)&gt;0,
    COUNTIFS($V$3:$V$201,$M295)&gt;0,
    COUNTIFS($W$3:$W$201,$M295)&gt;0,
    COUNTIFS($X$3:$X$201,$M295)&gt;0,
    COUNTIFS($Y$3:$Y$201,$M295)&gt;0,
    COUNTIFS($Z$3:$Z$201,$M295)&gt;0,
    COUNTIFS($AA$3:$AA$201,$M295)&gt;0,
    COUNTIFS($AB$3:$AB$201,$M295)&gt;0,
    COUNTIFS($AC$3:$AC$201,$M295)&gt;0,
    COUNTIFS($AD$3:$AD$201,$M295)&gt;0,
    COUNTIFS($AE$3:$AE$201,$M295)&gt;0,
    COUNTIFS($AF$3:$AF$201,$M295)&gt;0,
    COUNTIFS($AG$3:$AG$201,$M295)&gt;0,
    COUNTIFS($AH$3:$AH$201,$M295)&gt;0,
    COUNTIFS($AI$3:$AI$201,$M295)&gt;0,
    COUNTIFS($AJ$3:$AJ$201,$M295)&gt;0,
    COUNTIFS($AK$3:$AK$201,$M295)&gt;0,
    COUNTIFS($AL$3:$AL$201,$M295)&gt;0,
    COUNTIFS($AM$3:$AM$201,$M295)&gt;0,
    COUNTIFS($AN$3:$AN$201,$M295)&gt;0,
    COUNTIFS($AO$3:$AO$201,$M295)&gt;0,
    COUNTIFS($AP$3:$AP$201,$M295)&gt;0,
    COUNTIFS($AQ$3:$AQ$201,$M295)&gt;0,
    COUNTIFS($AR$3:$AR$201,$M295)&gt;0,
    COUNTIFS($AS$3:$AS$201,$M295)&gt;0,
    COUNTIFS($AT$3:$AT$201,$M295)&gt;0,
    COUNTIFS($AU$3:$AU$201,$M295)&gt;0,
    COUNTIFS($AV$3:$AV$201,$M295)&gt;0,
    COUNTIFS($AW$3:$AW$201,$M295)&gt;0,
    COUNTIFS($AX$3:$AX$201,$M295)&gt;0
   ),
  0)
 ),
"")</f>
        <v/>
      </c>
      <c r="P295" s="2" t="str" cm="1">
        <f t="array" ref="P295">IFERROR(
 INDEX(
  _xlfn._xlws.FILTER($U$2:$AX$2,
   TRANSPOSE(
    CHOOSE({1;2;3;4;5;6;7;8;9;10;11;12;13;14;15;16;17;18;19;20;21;22;23;24;25;26;27;28;29;30},
     COUNTIFS($U$3:$U$201,$M295)&gt;0,
     COUNTIFS($V$3:$V$201,$M295)&gt;0,
     COUNTIFS($W$3:$W$201,$M295)&gt;0,
     COUNTIFS($X$3:$X$201,$M295)&gt;0,
     COUNTIFS($Y$3:$Y$201,$M295)&gt;0,
     COUNTIFS($Z$3:$Z$201,$M295)&gt;0,
     COUNTIFS($AA$3:$AA$201,$M295)&gt;0,
     COUNTIFS($AB$3:$AB$201,$M295)&gt;0,
     COUNTIFS($AC$3:$AC$201,$M295)&gt;0,
     COUNTIFS($AD$3:$AD$201,$M295)&gt;0,
     COUNTIFS($AE$3:$AE$201,$M295)&gt;0,
     COUNTIFS($AF$3:$AF$201,$M295)&gt;0,
     COUNTIFS($AG$3:$AG$201,$M295)&gt;0,
     COUNTIFS($AH$3:$AH$201,$M295)&gt;0,
     COUNTIFS($AI$3:$AI$201,$M295)&gt;0,
     COUNTIFS($AJ$3:$AJ$201,$M295)&gt;0,
     COUNTIFS($AK$3:$AK$201,$M295)&gt;0,
     COUNTIFS($AL$3:$AL$201,$M295)&gt;0,
     COUNTIFS($AM$3:$AM$201,$M295)&gt;0,
     COUNTIFS($AN$3:$AN$201,$M295)&gt;0,
     COUNTIFS($AO$3:$AO$201,$M295)&gt;0,
     COUNTIFS($AP$3:$AP$201,$M295)&gt;0,
     COUNTIFS($AQ$3:$AQ$201,$M295)&gt;0,
     COUNTIFS($AR$3:$AR$201,$M295)&gt;0,
     COUNTIFS($AS$3:$AS$201,$M295)&gt;0,
     COUNTIFS($AT$3:$AT$201,$M295)&gt;0,
     COUNTIFS($AU$3:$AU$201,$M295)&gt;0,
     COUNTIFS($AV$3:$AV$201,$M295)&gt;0,
     COUNTIFS($AW$3:$AW$201,$M295)&gt;0,
     COUNTIFS($AX$3:$AX$201,$M295)&gt;0
   )),
  ),
  2
 ),
"")</f>
        <v/>
      </c>
      <c r="Q295" s="2" t="str" cm="1">
        <f t="array" ref="Q295">IFERROR(
 INDEX(
  _xlfn._xlws.FILTER($U$2:$AX$2,
   TRANSPOSE(
    CHOOSE({1;2;3;4;5;6;7;8;9;10;11;12;13;14;15;16;17;18;19;20;21;22;23;24;25;26;27;28;29;30},
     COUNTIFS($U$3:$U$201,$M295)&gt;0,
     COUNTIFS($V$3:$V$201,$M295)&gt;0,
     COUNTIFS($W$3:$W$201,$M295)&gt;0,
     COUNTIFS($X$3:$X$201,$M295)&gt;0,
     COUNTIFS($Y$3:$Y$201,$M295)&gt;0,
     COUNTIFS($Z$3:$Z$201,$M295)&gt;0,
     COUNTIFS($AA$3:$AA$201,$M295)&gt;0,
     COUNTIFS($AB$3:$AB$201,$M295)&gt;0,
     COUNTIFS($AC$3:$AC$201,$M295)&gt;0,
     COUNTIFS($AD$3:$AD$201,$M295)&gt;0,
     COUNTIFS($AE$3:$AE$201,$M295)&gt;0,
     COUNTIFS($AF$3:$AF$201,$M295)&gt;0,
     COUNTIFS($AG$3:$AG$201,$M295)&gt;0,
     COUNTIFS($AH$3:$AH$201,$M295)&gt;0,
     COUNTIFS($AI$3:$AI$201,$M295)&gt;0,
     COUNTIFS($AJ$3:$AJ$201,$M295)&gt;0,
     COUNTIFS($AK$3:$AK$201,$M295)&gt;0,
     COUNTIFS($AL$3:$AL$201,$M295)&gt;0,
     COUNTIFS($AM$3:$AM$201,$M295)&gt;0,
     COUNTIFS($AN$3:$AN$201,$M295)&gt;0,
     COUNTIFS($AO$3:$AO$201,$M295)&gt;0,
     COUNTIFS($AP$3:$AP$201,$M295)&gt;0,
     COUNTIFS($AQ$3:$AQ$201,$M295)&gt;0,
     COUNTIFS($AR$3:$AR$201,$M295)&gt;0,
     COUNTIFS($AS$3:$AS$201,$M295)&gt;0,
     COUNTIFS($AT$3:$AT$201,$M295)&gt;0,
     COUNTIFS($AU$3:$AU$201,$M295)&gt;0,
     COUNTIFS($AV$3:$AV$201,$M295)&gt;0,
     COUNTIFS($AW$3:$AW$201,$M295)&gt;0,
     COUNTIFS($AX$3:$AX$201,$M295)&gt;0
   )),
  ),
  3
 ),
"")</f>
        <v/>
      </c>
    </row>
    <row r="296" spans="1:17" x14ac:dyDescent="0.25">
      <c r="A296" t="str">
        <f ca="1"/>
        <v>Nest of Scarabs</v>
      </c>
      <c r="B296" s="2" t="str" cm="1">
        <f t="array" aca="1" ref="B296" ca="1">_xlfn.ANCHORARRAY(RESUMO!C295)</f>
        <v>Ool</v>
      </c>
      <c r="C296" s="2" t="str">
        <f t="shared" ca="1" si="16"/>
        <v/>
      </c>
      <c r="F296" s="2">
        <f t="shared" si="20"/>
        <v>0</v>
      </c>
      <c r="G296" s="2" t="str">
        <f t="shared" ca="1" si="17"/>
        <v/>
      </c>
      <c r="N296" s="2">
        <f t="shared" si="18"/>
        <v>0</v>
      </c>
      <c r="O296" s="2" t="str">
        <f>IFERROR(
 INDEX($U$2:$AX$2,
  MATCH(TRUE,
   CHOOSE({1;2;3;4;5;6;7;8;9;10;11;12;13;14;15;16;17;18;19;20;21;22;23;24;25;26;27;28;29;30;31;32},
    COUNTIFS($U$3:$U$201,$M296)&gt;0,
    COUNTIFS($V$3:$V$201,$M296)&gt;0,
    COUNTIFS($W$3:$W$201,$M296)&gt;0,
    COUNTIFS($X$3:$X$201,$M296)&gt;0,
    COUNTIFS($Y$3:$Y$201,$M296)&gt;0,
    COUNTIFS($Z$3:$Z$201,$M296)&gt;0,
    COUNTIFS($AA$3:$AA$201,$M296)&gt;0,
    COUNTIFS($AB$3:$AB$201,$M296)&gt;0,
    COUNTIFS($AC$3:$AC$201,$M296)&gt;0,
    COUNTIFS($AD$3:$AD$201,$M296)&gt;0,
    COUNTIFS($AE$3:$AE$201,$M296)&gt;0,
    COUNTIFS($AF$3:$AF$201,$M296)&gt;0,
    COUNTIFS($AG$3:$AG$201,$M296)&gt;0,
    COUNTIFS($AH$3:$AH$201,$M296)&gt;0,
    COUNTIFS($AI$3:$AI$201,$M296)&gt;0,
    COUNTIFS($AJ$3:$AJ$201,$M296)&gt;0,
    COUNTIFS($AK$3:$AK$201,$M296)&gt;0,
    COUNTIFS($AL$3:$AL$201,$M296)&gt;0,
    COUNTIFS($AM$3:$AM$201,$M296)&gt;0,
    COUNTIFS($AN$3:$AN$201,$M296)&gt;0,
    COUNTIFS($AO$3:$AO$201,$M296)&gt;0,
    COUNTIFS($AP$3:$AP$201,$M296)&gt;0,
    COUNTIFS($AQ$3:$AQ$201,$M296)&gt;0,
    COUNTIFS($AR$3:$AR$201,$M296)&gt;0,
    COUNTIFS($AS$3:$AS$201,$M296)&gt;0,
    COUNTIFS($AT$3:$AT$201,$M296)&gt;0,
    COUNTIFS($AU$3:$AU$201,$M296)&gt;0,
    COUNTIFS($AV$3:$AV$201,$M296)&gt;0,
    COUNTIFS($AW$3:$AW$201,$M296)&gt;0,
    COUNTIFS($AX$3:$AX$201,$M296)&gt;0
   ),
  0)
 ),
"")</f>
        <v/>
      </c>
      <c r="P296" s="2" t="str" cm="1">
        <f t="array" ref="P296">IFERROR(
 INDEX(
  _xlfn._xlws.FILTER($U$2:$AX$2,
   TRANSPOSE(
    CHOOSE({1;2;3;4;5;6;7;8;9;10;11;12;13;14;15;16;17;18;19;20;21;22;23;24;25;26;27;28;29;30},
     COUNTIFS($U$3:$U$201,$M296)&gt;0,
     COUNTIFS($V$3:$V$201,$M296)&gt;0,
     COUNTIFS($W$3:$W$201,$M296)&gt;0,
     COUNTIFS($X$3:$X$201,$M296)&gt;0,
     COUNTIFS($Y$3:$Y$201,$M296)&gt;0,
     COUNTIFS($Z$3:$Z$201,$M296)&gt;0,
     COUNTIFS($AA$3:$AA$201,$M296)&gt;0,
     COUNTIFS($AB$3:$AB$201,$M296)&gt;0,
     COUNTIFS($AC$3:$AC$201,$M296)&gt;0,
     COUNTIFS($AD$3:$AD$201,$M296)&gt;0,
     COUNTIFS($AE$3:$AE$201,$M296)&gt;0,
     COUNTIFS($AF$3:$AF$201,$M296)&gt;0,
     COUNTIFS($AG$3:$AG$201,$M296)&gt;0,
     COUNTIFS($AH$3:$AH$201,$M296)&gt;0,
     COUNTIFS($AI$3:$AI$201,$M296)&gt;0,
     COUNTIFS($AJ$3:$AJ$201,$M296)&gt;0,
     COUNTIFS($AK$3:$AK$201,$M296)&gt;0,
     COUNTIFS($AL$3:$AL$201,$M296)&gt;0,
     COUNTIFS($AM$3:$AM$201,$M296)&gt;0,
     COUNTIFS($AN$3:$AN$201,$M296)&gt;0,
     COUNTIFS($AO$3:$AO$201,$M296)&gt;0,
     COUNTIFS($AP$3:$AP$201,$M296)&gt;0,
     COUNTIFS($AQ$3:$AQ$201,$M296)&gt;0,
     COUNTIFS($AR$3:$AR$201,$M296)&gt;0,
     COUNTIFS($AS$3:$AS$201,$M296)&gt;0,
     COUNTIFS($AT$3:$AT$201,$M296)&gt;0,
     COUNTIFS($AU$3:$AU$201,$M296)&gt;0,
     COUNTIFS($AV$3:$AV$201,$M296)&gt;0,
     COUNTIFS($AW$3:$AW$201,$M296)&gt;0,
     COUNTIFS($AX$3:$AX$201,$M296)&gt;0
   )),
  ),
  2
 ),
"")</f>
        <v/>
      </c>
      <c r="Q296" s="2" t="str" cm="1">
        <f t="array" ref="Q296">IFERROR(
 INDEX(
  _xlfn._xlws.FILTER($U$2:$AX$2,
   TRANSPOSE(
    CHOOSE({1;2;3;4;5;6;7;8;9;10;11;12;13;14;15;16;17;18;19;20;21;22;23;24;25;26;27;28;29;30},
     COUNTIFS($U$3:$U$201,$M296)&gt;0,
     COUNTIFS($V$3:$V$201,$M296)&gt;0,
     COUNTIFS($W$3:$W$201,$M296)&gt;0,
     COUNTIFS($X$3:$X$201,$M296)&gt;0,
     COUNTIFS($Y$3:$Y$201,$M296)&gt;0,
     COUNTIFS($Z$3:$Z$201,$M296)&gt;0,
     COUNTIFS($AA$3:$AA$201,$M296)&gt;0,
     COUNTIFS($AB$3:$AB$201,$M296)&gt;0,
     COUNTIFS($AC$3:$AC$201,$M296)&gt;0,
     COUNTIFS($AD$3:$AD$201,$M296)&gt;0,
     COUNTIFS($AE$3:$AE$201,$M296)&gt;0,
     COUNTIFS($AF$3:$AF$201,$M296)&gt;0,
     COUNTIFS($AG$3:$AG$201,$M296)&gt;0,
     COUNTIFS($AH$3:$AH$201,$M296)&gt;0,
     COUNTIFS($AI$3:$AI$201,$M296)&gt;0,
     COUNTIFS($AJ$3:$AJ$201,$M296)&gt;0,
     COUNTIFS($AK$3:$AK$201,$M296)&gt;0,
     COUNTIFS($AL$3:$AL$201,$M296)&gt;0,
     COUNTIFS($AM$3:$AM$201,$M296)&gt;0,
     COUNTIFS($AN$3:$AN$201,$M296)&gt;0,
     COUNTIFS($AO$3:$AO$201,$M296)&gt;0,
     COUNTIFS($AP$3:$AP$201,$M296)&gt;0,
     COUNTIFS($AQ$3:$AQ$201,$M296)&gt;0,
     COUNTIFS($AR$3:$AR$201,$M296)&gt;0,
     COUNTIFS($AS$3:$AS$201,$M296)&gt;0,
     COUNTIFS($AT$3:$AT$201,$M296)&gt;0,
     COUNTIFS($AU$3:$AU$201,$M296)&gt;0,
     COUNTIFS($AV$3:$AV$201,$M296)&gt;0,
     COUNTIFS($AW$3:$AW$201,$M296)&gt;0,
     COUNTIFS($AX$3:$AX$201,$M296)&gt;0
   )),
  ),
  3
 ),
"")</f>
        <v/>
      </c>
    </row>
    <row r="297" spans="1:17" x14ac:dyDescent="0.25">
      <c r="A297" t="str">
        <f ca="1"/>
        <v>Nibelheim Aflame</v>
      </c>
      <c r="B297" s="2" t="str" cm="1">
        <f t="array" aca="1" ref="B297" ca="1">_xlfn.ANCHORARRAY(RESUMO!C296)</f>
        <v>Kresh</v>
      </c>
      <c r="C297" s="2" t="str">
        <f t="shared" ca="1" si="16"/>
        <v/>
      </c>
      <c r="F297" s="2">
        <f t="shared" si="20"/>
        <v>0</v>
      </c>
      <c r="G297" s="2" t="str">
        <f t="shared" ca="1" si="17"/>
        <v/>
      </c>
      <c r="N297" s="2">
        <f t="shared" si="18"/>
        <v>0</v>
      </c>
      <c r="O297" s="2" t="str">
        <f>IFERROR(
 INDEX($U$2:$AX$2,
  MATCH(TRUE,
   CHOOSE({1;2;3;4;5;6;7;8;9;10;11;12;13;14;15;16;17;18;19;20;21;22;23;24;25;26;27;28;29;30;31;32},
    COUNTIFS($U$3:$U$201,$M297)&gt;0,
    COUNTIFS($V$3:$V$201,$M297)&gt;0,
    COUNTIFS($W$3:$W$201,$M297)&gt;0,
    COUNTIFS($X$3:$X$201,$M297)&gt;0,
    COUNTIFS($Y$3:$Y$201,$M297)&gt;0,
    COUNTIFS($Z$3:$Z$201,$M297)&gt;0,
    COUNTIFS($AA$3:$AA$201,$M297)&gt;0,
    COUNTIFS($AB$3:$AB$201,$M297)&gt;0,
    COUNTIFS($AC$3:$AC$201,$M297)&gt;0,
    COUNTIFS($AD$3:$AD$201,$M297)&gt;0,
    COUNTIFS($AE$3:$AE$201,$M297)&gt;0,
    COUNTIFS($AF$3:$AF$201,$M297)&gt;0,
    COUNTIFS($AG$3:$AG$201,$M297)&gt;0,
    COUNTIFS($AH$3:$AH$201,$M297)&gt;0,
    COUNTIFS($AI$3:$AI$201,$M297)&gt;0,
    COUNTIFS($AJ$3:$AJ$201,$M297)&gt;0,
    COUNTIFS($AK$3:$AK$201,$M297)&gt;0,
    COUNTIFS($AL$3:$AL$201,$M297)&gt;0,
    COUNTIFS($AM$3:$AM$201,$M297)&gt;0,
    COUNTIFS($AN$3:$AN$201,$M297)&gt;0,
    COUNTIFS($AO$3:$AO$201,$M297)&gt;0,
    COUNTIFS($AP$3:$AP$201,$M297)&gt;0,
    COUNTIFS($AQ$3:$AQ$201,$M297)&gt;0,
    COUNTIFS($AR$3:$AR$201,$M297)&gt;0,
    COUNTIFS($AS$3:$AS$201,$M297)&gt;0,
    COUNTIFS($AT$3:$AT$201,$M297)&gt;0,
    COUNTIFS($AU$3:$AU$201,$M297)&gt;0,
    COUNTIFS($AV$3:$AV$201,$M297)&gt;0,
    COUNTIFS($AW$3:$AW$201,$M297)&gt;0,
    COUNTIFS($AX$3:$AX$201,$M297)&gt;0
   ),
  0)
 ),
"")</f>
        <v/>
      </c>
      <c r="P297" s="2" t="str" cm="1">
        <f t="array" ref="P297">IFERROR(
 INDEX(
  _xlfn._xlws.FILTER($U$2:$AX$2,
   TRANSPOSE(
    CHOOSE({1;2;3;4;5;6;7;8;9;10;11;12;13;14;15;16;17;18;19;20;21;22;23;24;25;26;27;28;29;30},
     COUNTIFS($U$3:$U$201,$M297)&gt;0,
     COUNTIFS($V$3:$V$201,$M297)&gt;0,
     COUNTIFS($W$3:$W$201,$M297)&gt;0,
     COUNTIFS($X$3:$X$201,$M297)&gt;0,
     COUNTIFS($Y$3:$Y$201,$M297)&gt;0,
     COUNTIFS($Z$3:$Z$201,$M297)&gt;0,
     COUNTIFS($AA$3:$AA$201,$M297)&gt;0,
     COUNTIFS($AB$3:$AB$201,$M297)&gt;0,
     COUNTIFS($AC$3:$AC$201,$M297)&gt;0,
     COUNTIFS($AD$3:$AD$201,$M297)&gt;0,
     COUNTIFS($AE$3:$AE$201,$M297)&gt;0,
     COUNTIFS($AF$3:$AF$201,$M297)&gt;0,
     COUNTIFS($AG$3:$AG$201,$M297)&gt;0,
     COUNTIFS($AH$3:$AH$201,$M297)&gt;0,
     COUNTIFS($AI$3:$AI$201,$M297)&gt;0,
     COUNTIFS($AJ$3:$AJ$201,$M297)&gt;0,
     COUNTIFS($AK$3:$AK$201,$M297)&gt;0,
     COUNTIFS($AL$3:$AL$201,$M297)&gt;0,
     COUNTIFS($AM$3:$AM$201,$M297)&gt;0,
     COUNTIFS($AN$3:$AN$201,$M297)&gt;0,
     COUNTIFS($AO$3:$AO$201,$M297)&gt;0,
     COUNTIFS($AP$3:$AP$201,$M297)&gt;0,
     COUNTIFS($AQ$3:$AQ$201,$M297)&gt;0,
     COUNTIFS($AR$3:$AR$201,$M297)&gt;0,
     COUNTIFS($AS$3:$AS$201,$M297)&gt;0,
     COUNTIFS($AT$3:$AT$201,$M297)&gt;0,
     COUNTIFS($AU$3:$AU$201,$M297)&gt;0,
     COUNTIFS($AV$3:$AV$201,$M297)&gt;0,
     COUNTIFS($AW$3:$AW$201,$M297)&gt;0,
     COUNTIFS($AX$3:$AX$201,$M297)&gt;0
   )),
  ),
  2
 ),
"")</f>
        <v/>
      </c>
      <c r="Q297" s="2" t="str" cm="1">
        <f t="array" ref="Q297">IFERROR(
 INDEX(
  _xlfn._xlws.FILTER($U$2:$AX$2,
   TRANSPOSE(
    CHOOSE({1;2;3;4;5;6;7;8;9;10;11;12;13;14;15;16;17;18;19;20;21;22;23;24;25;26;27;28;29;30},
     COUNTIFS($U$3:$U$201,$M297)&gt;0,
     COUNTIFS($V$3:$V$201,$M297)&gt;0,
     COUNTIFS($W$3:$W$201,$M297)&gt;0,
     COUNTIFS($X$3:$X$201,$M297)&gt;0,
     COUNTIFS($Y$3:$Y$201,$M297)&gt;0,
     COUNTIFS($Z$3:$Z$201,$M297)&gt;0,
     COUNTIFS($AA$3:$AA$201,$M297)&gt;0,
     COUNTIFS($AB$3:$AB$201,$M297)&gt;0,
     COUNTIFS($AC$3:$AC$201,$M297)&gt;0,
     COUNTIFS($AD$3:$AD$201,$M297)&gt;0,
     COUNTIFS($AE$3:$AE$201,$M297)&gt;0,
     COUNTIFS($AF$3:$AF$201,$M297)&gt;0,
     COUNTIFS($AG$3:$AG$201,$M297)&gt;0,
     COUNTIFS($AH$3:$AH$201,$M297)&gt;0,
     COUNTIFS($AI$3:$AI$201,$M297)&gt;0,
     COUNTIFS($AJ$3:$AJ$201,$M297)&gt;0,
     COUNTIFS($AK$3:$AK$201,$M297)&gt;0,
     COUNTIFS($AL$3:$AL$201,$M297)&gt;0,
     COUNTIFS($AM$3:$AM$201,$M297)&gt;0,
     COUNTIFS($AN$3:$AN$201,$M297)&gt;0,
     COUNTIFS($AO$3:$AO$201,$M297)&gt;0,
     COUNTIFS($AP$3:$AP$201,$M297)&gt;0,
     COUNTIFS($AQ$3:$AQ$201,$M297)&gt;0,
     COUNTIFS($AR$3:$AR$201,$M297)&gt;0,
     COUNTIFS($AS$3:$AS$201,$M297)&gt;0,
     COUNTIFS($AT$3:$AT$201,$M297)&gt;0,
     COUNTIFS($AU$3:$AU$201,$M297)&gt;0,
     COUNTIFS($AV$3:$AV$201,$M297)&gt;0,
     COUNTIFS($AW$3:$AW$201,$M297)&gt;0,
     COUNTIFS($AX$3:$AX$201,$M297)&gt;0
   )),
  ),
  3
 ),
"")</f>
        <v/>
      </c>
    </row>
    <row r="298" spans="1:17" x14ac:dyDescent="0.25">
      <c r="A298" t="str">
        <f ca="1"/>
        <v>Nicol Bolas, God-Pharaoh</v>
      </c>
      <c r="B298" s="2" t="str" cm="1">
        <f t="array" aca="1" ref="B298" ca="1">_xlfn.ANCHORARRAY(RESUMO!C297)</f>
        <v>Sisay</v>
      </c>
      <c r="C298" s="2" t="str">
        <f t="shared" ca="1" si="16"/>
        <v/>
      </c>
      <c r="F298" s="2">
        <f t="shared" si="20"/>
        <v>0</v>
      </c>
      <c r="G298" s="2" t="str">
        <f t="shared" ca="1" si="17"/>
        <v/>
      </c>
      <c r="N298" s="2">
        <f t="shared" si="18"/>
        <v>0</v>
      </c>
      <c r="O298" s="2" t="str">
        <f>IFERROR(
 INDEX($U$2:$AX$2,
  MATCH(TRUE,
   CHOOSE({1;2;3;4;5;6;7;8;9;10;11;12;13;14;15;16;17;18;19;20;21;22;23;24;25;26;27;28;29;30;31;32},
    COUNTIFS($U$3:$U$201,$M298)&gt;0,
    COUNTIFS($V$3:$V$201,$M298)&gt;0,
    COUNTIFS($W$3:$W$201,$M298)&gt;0,
    COUNTIFS($X$3:$X$201,$M298)&gt;0,
    COUNTIFS($Y$3:$Y$201,$M298)&gt;0,
    COUNTIFS($Z$3:$Z$201,$M298)&gt;0,
    COUNTIFS($AA$3:$AA$201,$M298)&gt;0,
    COUNTIFS($AB$3:$AB$201,$M298)&gt;0,
    COUNTIFS($AC$3:$AC$201,$M298)&gt;0,
    COUNTIFS($AD$3:$AD$201,$M298)&gt;0,
    COUNTIFS($AE$3:$AE$201,$M298)&gt;0,
    COUNTIFS($AF$3:$AF$201,$M298)&gt;0,
    COUNTIFS($AG$3:$AG$201,$M298)&gt;0,
    COUNTIFS($AH$3:$AH$201,$M298)&gt;0,
    COUNTIFS($AI$3:$AI$201,$M298)&gt;0,
    COUNTIFS($AJ$3:$AJ$201,$M298)&gt;0,
    COUNTIFS($AK$3:$AK$201,$M298)&gt;0,
    COUNTIFS($AL$3:$AL$201,$M298)&gt;0,
    COUNTIFS($AM$3:$AM$201,$M298)&gt;0,
    COUNTIFS($AN$3:$AN$201,$M298)&gt;0,
    COUNTIFS($AO$3:$AO$201,$M298)&gt;0,
    COUNTIFS($AP$3:$AP$201,$M298)&gt;0,
    COUNTIFS($AQ$3:$AQ$201,$M298)&gt;0,
    COUNTIFS($AR$3:$AR$201,$M298)&gt;0,
    COUNTIFS($AS$3:$AS$201,$M298)&gt;0,
    COUNTIFS($AT$3:$AT$201,$M298)&gt;0,
    COUNTIFS($AU$3:$AU$201,$M298)&gt;0,
    COUNTIFS($AV$3:$AV$201,$M298)&gt;0,
    COUNTIFS($AW$3:$AW$201,$M298)&gt;0,
    COUNTIFS($AX$3:$AX$201,$M298)&gt;0
   ),
  0)
 ),
"")</f>
        <v/>
      </c>
      <c r="P298" s="2" t="str" cm="1">
        <f t="array" ref="P298">IFERROR(
 INDEX(
  _xlfn._xlws.FILTER($U$2:$AX$2,
   TRANSPOSE(
    CHOOSE({1;2;3;4;5;6;7;8;9;10;11;12;13;14;15;16;17;18;19;20;21;22;23;24;25;26;27;28;29;30},
     COUNTIFS($U$3:$U$201,$M298)&gt;0,
     COUNTIFS($V$3:$V$201,$M298)&gt;0,
     COUNTIFS($W$3:$W$201,$M298)&gt;0,
     COUNTIFS($X$3:$X$201,$M298)&gt;0,
     COUNTIFS($Y$3:$Y$201,$M298)&gt;0,
     COUNTIFS($Z$3:$Z$201,$M298)&gt;0,
     COUNTIFS($AA$3:$AA$201,$M298)&gt;0,
     COUNTIFS($AB$3:$AB$201,$M298)&gt;0,
     COUNTIFS($AC$3:$AC$201,$M298)&gt;0,
     COUNTIFS($AD$3:$AD$201,$M298)&gt;0,
     COUNTIFS($AE$3:$AE$201,$M298)&gt;0,
     COUNTIFS($AF$3:$AF$201,$M298)&gt;0,
     COUNTIFS($AG$3:$AG$201,$M298)&gt;0,
     COUNTIFS($AH$3:$AH$201,$M298)&gt;0,
     COUNTIFS($AI$3:$AI$201,$M298)&gt;0,
     COUNTIFS($AJ$3:$AJ$201,$M298)&gt;0,
     COUNTIFS($AK$3:$AK$201,$M298)&gt;0,
     COUNTIFS($AL$3:$AL$201,$M298)&gt;0,
     COUNTIFS($AM$3:$AM$201,$M298)&gt;0,
     COUNTIFS($AN$3:$AN$201,$M298)&gt;0,
     COUNTIFS($AO$3:$AO$201,$M298)&gt;0,
     COUNTIFS($AP$3:$AP$201,$M298)&gt;0,
     COUNTIFS($AQ$3:$AQ$201,$M298)&gt;0,
     COUNTIFS($AR$3:$AR$201,$M298)&gt;0,
     COUNTIFS($AS$3:$AS$201,$M298)&gt;0,
     COUNTIFS($AT$3:$AT$201,$M298)&gt;0,
     COUNTIFS($AU$3:$AU$201,$M298)&gt;0,
     COUNTIFS($AV$3:$AV$201,$M298)&gt;0,
     COUNTIFS($AW$3:$AW$201,$M298)&gt;0,
     COUNTIFS($AX$3:$AX$201,$M298)&gt;0
   )),
  ),
  2
 ),
"")</f>
        <v/>
      </c>
      <c r="Q298" s="2" t="str" cm="1">
        <f t="array" ref="Q298">IFERROR(
 INDEX(
  _xlfn._xlws.FILTER($U$2:$AX$2,
   TRANSPOSE(
    CHOOSE({1;2;3;4;5;6;7;8;9;10;11;12;13;14;15;16;17;18;19;20;21;22;23;24;25;26;27;28;29;30},
     COUNTIFS($U$3:$U$201,$M298)&gt;0,
     COUNTIFS($V$3:$V$201,$M298)&gt;0,
     COUNTIFS($W$3:$W$201,$M298)&gt;0,
     COUNTIFS($X$3:$X$201,$M298)&gt;0,
     COUNTIFS($Y$3:$Y$201,$M298)&gt;0,
     COUNTIFS($Z$3:$Z$201,$M298)&gt;0,
     COUNTIFS($AA$3:$AA$201,$M298)&gt;0,
     COUNTIFS($AB$3:$AB$201,$M298)&gt;0,
     COUNTIFS($AC$3:$AC$201,$M298)&gt;0,
     COUNTIFS($AD$3:$AD$201,$M298)&gt;0,
     COUNTIFS($AE$3:$AE$201,$M298)&gt;0,
     COUNTIFS($AF$3:$AF$201,$M298)&gt;0,
     COUNTIFS($AG$3:$AG$201,$M298)&gt;0,
     COUNTIFS($AH$3:$AH$201,$M298)&gt;0,
     COUNTIFS($AI$3:$AI$201,$M298)&gt;0,
     COUNTIFS($AJ$3:$AJ$201,$M298)&gt;0,
     COUNTIFS($AK$3:$AK$201,$M298)&gt;0,
     COUNTIFS($AL$3:$AL$201,$M298)&gt;0,
     COUNTIFS($AM$3:$AM$201,$M298)&gt;0,
     COUNTIFS($AN$3:$AN$201,$M298)&gt;0,
     COUNTIFS($AO$3:$AO$201,$M298)&gt;0,
     COUNTIFS($AP$3:$AP$201,$M298)&gt;0,
     COUNTIFS($AQ$3:$AQ$201,$M298)&gt;0,
     COUNTIFS($AR$3:$AR$201,$M298)&gt;0,
     COUNTIFS($AS$3:$AS$201,$M298)&gt;0,
     COUNTIFS($AT$3:$AT$201,$M298)&gt;0,
     COUNTIFS($AU$3:$AU$201,$M298)&gt;0,
     COUNTIFS($AV$3:$AV$201,$M298)&gt;0,
     COUNTIFS($AW$3:$AW$201,$M298)&gt;0,
     COUNTIFS($AX$3:$AX$201,$M298)&gt;0
   )),
  ),
  3
 ),
"")</f>
        <v/>
      </c>
    </row>
    <row r="299" spans="1:17" x14ac:dyDescent="0.25">
      <c r="A299" t="str">
        <f ca="1"/>
        <v>Nissa, Resurgent Animist</v>
      </c>
      <c r="B299" s="2" t="str" cm="1">
        <f t="array" aca="1" ref="B299" ca="1">_xlfn.ANCHORARRAY(RESUMO!C298)</f>
        <v>Elfos</v>
      </c>
      <c r="C299" s="2" t="str">
        <f t="shared" ca="1" si="16"/>
        <v/>
      </c>
      <c r="F299" s="2">
        <f t="shared" si="20"/>
        <v>0</v>
      </c>
      <c r="G299" s="2" t="str">
        <f t="shared" ca="1" si="17"/>
        <v/>
      </c>
      <c r="N299" s="2">
        <f t="shared" si="18"/>
        <v>0</v>
      </c>
      <c r="O299" s="2" t="str">
        <f>IFERROR(
 INDEX($U$2:$AX$2,
  MATCH(TRUE,
   CHOOSE({1;2;3;4;5;6;7;8;9;10;11;12;13;14;15;16;17;18;19;20;21;22;23;24;25;26;27;28;29;30;31;32},
    COUNTIFS($U$3:$U$201,$M299)&gt;0,
    COUNTIFS($V$3:$V$201,$M299)&gt;0,
    COUNTIFS($W$3:$W$201,$M299)&gt;0,
    COUNTIFS($X$3:$X$201,$M299)&gt;0,
    COUNTIFS($Y$3:$Y$201,$M299)&gt;0,
    COUNTIFS($Z$3:$Z$201,$M299)&gt;0,
    COUNTIFS($AA$3:$AA$201,$M299)&gt;0,
    COUNTIFS($AB$3:$AB$201,$M299)&gt;0,
    COUNTIFS($AC$3:$AC$201,$M299)&gt;0,
    COUNTIFS($AD$3:$AD$201,$M299)&gt;0,
    COUNTIFS($AE$3:$AE$201,$M299)&gt;0,
    COUNTIFS($AF$3:$AF$201,$M299)&gt;0,
    COUNTIFS($AG$3:$AG$201,$M299)&gt;0,
    COUNTIFS($AH$3:$AH$201,$M299)&gt;0,
    COUNTIFS($AI$3:$AI$201,$M299)&gt;0,
    COUNTIFS($AJ$3:$AJ$201,$M299)&gt;0,
    COUNTIFS($AK$3:$AK$201,$M299)&gt;0,
    COUNTIFS($AL$3:$AL$201,$M299)&gt;0,
    COUNTIFS($AM$3:$AM$201,$M299)&gt;0,
    COUNTIFS($AN$3:$AN$201,$M299)&gt;0,
    COUNTIFS($AO$3:$AO$201,$M299)&gt;0,
    COUNTIFS($AP$3:$AP$201,$M299)&gt;0,
    COUNTIFS($AQ$3:$AQ$201,$M299)&gt;0,
    COUNTIFS($AR$3:$AR$201,$M299)&gt;0,
    COUNTIFS($AS$3:$AS$201,$M299)&gt;0,
    COUNTIFS($AT$3:$AT$201,$M299)&gt;0,
    COUNTIFS($AU$3:$AU$201,$M299)&gt;0,
    COUNTIFS($AV$3:$AV$201,$M299)&gt;0,
    COUNTIFS($AW$3:$AW$201,$M299)&gt;0,
    COUNTIFS($AX$3:$AX$201,$M299)&gt;0
   ),
  0)
 ),
"")</f>
        <v/>
      </c>
      <c r="P299" s="2" t="str" cm="1">
        <f t="array" ref="P299">IFERROR(
 INDEX(
  _xlfn._xlws.FILTER($U$2:$AX$2,
   TRANSPOSE(
    CHOOSE({1;2;3;4;5;6;7;8;9;10;11;12;13;14;15;16;17;18;19;20;21;22;23;24;25;26;27;28;29;30},
     COUNTIFS($U$3:$U$201,$M299)&gt;0,
     COUNTIFS($V$3:$V$201,$M299)&gt;0,
     COUNTIFS($W$3:$W$201,$M299)&gt;0,
     COUNTIFS($X$3:$X$201,$M299)&gt;0,
     COUNTIFS($Y$3:$Y$201,$M299)&gt;0,
     COUNTIFS($Z$3:$Z$201,$M299)&gt;0,
     COUNTIFS($AA$3:$AA$201,$M299)&gt;0,
     COUNTIFS($AB$3:$AB$201,$M299)&gt;0,
     COUNTIFS($AC$3:$AC$201,$M299)&gt;0,
     COUNTIFS($AD$3:$AD$201,$M299)&gt;0,
     COUNTIFS($AE$3:$AE$201,$M299)&gt;0,
     COUNTIFS($AF$3:$AF$201,$M299)&gt;0,
     COUNTIFS($AG$3:$AG$201,$M299)&gt;0,
     COUNTIFS($AH$3:$AH$201,$M299)&gt;0,
     COUNTIFS($AI$3:$AI$201,$M299)&gt;0,
     COUNTIFS($AJ$3:$AJ$201,$M299)&gt;0,
     COUNTIFS($AK$3:$AK$201,$M299)&gt;0,
     COUNTIFS($AL$3:$AL$201,$M299)&gt;0,
     COUNTIFS($AM$3:$AM$201,$M299)&gt;0,
     COUNTIFS($AN$3:$AN$201,$M299)&gt;0,
     COUNTIFS($AO$3:$AO$201,$M299)&gt;0,
     COUNTIFS($AP$3:$AP$201,$M299)&gt;0,
     COUNTIFS($AQ$3:$AQ$201,$M299)&gt;0,
     COUNTIFS($AR$3:$AR$201,$M299)&gt;0,
     COUNTIFS($AS$3:$AS$201,$M299)&gt;0,
     COUNTIFS($AT$3:$AT$201,$M299)&gt;0,
     COUNTIFS($AU$3:$AU$201,$M299)&gt;0,
     COUNTIFS($AV$3:$AV$201,$M299)&gt;0,
     COUNTIFS($AW$3:$AW$201,$M299)&gt;0,
     COUNTIFS($AX$3:$AX$201,$M299)&gt;0
   )),
  ),
  2
 ),
"")</f>
        <v/>
      </c>
      <c r="Q299" s="2" t="str" cm="1">
        <f t="array" ref="Q299">IFERROR(
 INDEX(
  _xlfn._xlws.FILTER($U$2:$AX$2,
   TRANSPOSE(
    CHOOSE({1;2;3;4;5;6;7;8;9;10;11;12;13;14;15;16;17;18;19;20;21;22;23;24;25;26;27;28;29;30},
     COUNTIFS($U$3:$U$201,$M299)&gt;0,
     COUNTIFS($V$3:$V$201,$M299)&gt;0,
     COUNTIFS($W$3:$W$201,$M299)&gt;0,
     COUNTIFS($X$3:$X$201,$M299)&gt;0,
     COUNTIFS($Y$3:$Y$201,$M299)&gt;0,
     COUNTIFS($Z$3:$Z$201,$M299)&gt;0,
     COUNTIFS($AA$3:$AA$201,$M299)&gt;0,
     COUNTIFS($AB$3:$AB$201,$M299)&gt;0,
     COUNTIFS($AC$3:$AC$201,$M299)&gt;0,
     COUNTIFS($AD$3:$AD$201,$M299)&gt;0,
     COUNTIFS($AE$3:$AE$201,$M299)&gt;0,
     COUNTIFS($AF$3:$AF$201,$M299)&gt;0,
     COUNTIFS($AG$3:$AG$201,$M299)&gt;0,
     COUNTIFS($AH$3:$AH$201,$M299)&gt;0,
     COUNTIFS($AI$3:$AI$201,$M299)&gt;0,
     COUNTIFS($AJ$3:$AJ$201,$M299)&gt;0,
     COUNTIFS($AK$3:$AK$201,$M299)&gt;0,
     COUNTIFS($AL$3:$AL$201,$M299)&gt;0,
     COUNTIFS($AM$3:$AM$201,$M299)&gt;0,
     COUNTIFS($AN$3:$AN$201,$M299)&gt;0,
     COUNTIFS($AO$3:$AO$201,$M299)&gt;0,
     COUNTIFS($AP$3:$AP$201,$M299)&gt;0,
     COUNTIFS($AQ$3:$AQ$201,$M299)&gt;0,
     COUNTIFS($AR$3:$AR$201,$M299)&gt;0,
     COUNTIFS($AS$3:$AS$201,$M299)&gt;0,
     COUNTIFS($AT$3:$AT$201,$M299)&gt;0,
     COUNTIFS($AU$3:$AU$201,$M299)&gt;0,
     COUNTIFS($AV$3:$AV$201,$M299)&gt;0,
     COUNTIFS($AW$3:$AW$201,$M299)&gt;0,
     COUNTIFS($AX$3:$AX$201,$M299)&gt;0
   )),
  ),
  3
 ),
"")</f>
        <v/>
      </c>
    </row>
    <row r="300" spans="1:17" x14ac:dyDescent="0.25">
      <c r="A300" t="str">
        <f ca="1"/>
        <v>Niv-Mizzet, Parun</v>
      </c>
      <c r="B300" s="2" t="str" cm="1">
        <f t="array" aca="1" ref="B300" ca="1">_xlfn.ANCHORARRAY(RESUMO!C299)</f>
        <v>4cRash</v>
      </c>
      <c r="C300" s="2" t="str">
        <f t="shared" ca="1" si="16"/>
        <v/>
      </c>
      <c r="F300" s="2">
        <f t="shared" si="20"/>
        <v>0</v>
      </c>
      <c r="G300" s="2" t="str">
        <f t="shared" ca="1" si="17"/>
        <v/>
      </c>
      <c r="N300" s="2">
        <f t="shared" si="18"/>
        <v>0</v>
      </c>
      <c r="O300" s="2" t="str">
        <f>IFERROR(
 INDEX($U$2:$AX$2,
  MATCH(TRUE,
   CHOOSE({1;2;3;4;5;6;7;8;9;10;11;12;13;14;15;16;17;18;19;20;21;22;23;24;25;26;27;28;29;30;31;32},
    COUNTIFS($U$3:$U$201,$M300)&gt;0,
    COUNTIFS($V$3:$V$201,$M300)&gt;0,
    COUNTIFS($W$3:$W$201,$M300)&gt;0,
    COUNTIFS($X$3:$X$201,$M300)&gt;0,
    COUNTIFS($Y$3:$Y$201,$M300)&gt;0,
    COUNTIFS($Z$3:$Z$201,$M300)&gt;0,
    COUNTIFS($AA$3:$AA$201,$M300)&gt;0,
    COUNTIFS($AB$3:$AB$201,$M300)&gt;0,
    COUNTIFS($AC$3:$AC$201,$M300)&gt;0,
    COUNTIFS($AD$3:$AD$201,$M300)&gt;0,
    COUNTIFS($AE$3:$AE$201,$M300)&gt;0,
    COUNTIFS($AF$3:$AF$201,$M300)&gt;0,
    COUNTIFS($AG$3:$AG$201,$M300)&gt;0,
    COUNTIFS($AH$3:$AH$201,$M300)&gt;0,
    COUNTIFS($AI$3:$AI$201,$M300)&gt;0,
    COUNTIFS($AJ$3:$AJ$201,$M300)&gt;0,
    COUNTIFS($AK$3:$AK$201,$M300)&gt;0,
    COUNTIFS($AL$3:$AL$201,$M300)&gt;0,
    COUNTIFS($AM$3:$AM$201,$M300)&gt;0,
    COUNTIFS($AN$3:$AN$201,$M300)&gt;0,
    COUNTIFS($AO$3:$AO$201,$M300)&gt;0,
    COUNTIFS($AP$3:$AP$201,$M300)&gt;0,
    COUNTIFS($AQ$3:$AQ$201,$M300)&gt;0,
    COUNTIFS($AR$3:$AR$201,$M300)&gt;0,
    COUNTIFS($AS$3:$AS$201,$M300)&gt;0,
    COUNTIFS($AT$3:$AT$201,$M300)&gt;0,
    COUNTIFS($AU$3:$AU$201,$M300)&gt;0,
    COUNTIFS($AV$3:$AV$201,$M300)&gt;0,
    COUNTIFS($AW$3:$AW$201,$M300)&gt;0,
    COUNTIFS($AX$3:$AX$201,$M300)&gt;0
   ),
  0)
 ),
"")</f>
        <v/>
      </c>
      <c r="P300" s="2" t="str" cm="1">
        <f t="array" ref="P300">IFERROR(
 INDEX(
  _xlfn._xlws.FILTER($U$2:$AX$2,
   TRANSPOSE(
    CHOOSE({1;2;3;4;5;6;7;8;9;10;11;12;13;14;15;16;17;18;19;20;21;22;23;24;25;26;27;28;29;30},
     COUNTIFS($U$3:$U$201,$M300)&gt;0,
     COUNTIFS($V$3:$V$201,$M300)&gt;0,
     COUNTIFS($W$3:$W$201,$M300)&gt;0,
     COUNTIFS($X$3:$X$201,$M300)&gt;0,
     COUNTIFS($Y$3:$Y$201,$M300)&gt;0,
     COUNTIFS($Z$3:$Z$201,$M300)&gt;0,
     COUNTIFS($AA$3:$AA$201,$M300)&gt;0,
     COUNTIFS($AB$3:$AB$201,$M300)&gt;0,
     COUNTIFS($AC$3:$AC$201,$M300)&gt;0,
     COUNTIFS($AD$3:$AD$201,$M300)&gt;0,
     COUNTIFS($AE$3:$AE$201,$M300)&gt;0,
     COUNTIFS($AF$3:$AF$201,$M300)&gt;0,
     COUNTIFS($AG$3:$AG$201,$M300)&gt;0,
     COUNTIFS($AH$3:$AH$201,$M300)&gt;0,
     COUNTIFS($AI$3:$AI$201,$M300)&gt;0,
     COUNTIFS($AJ$3:$AJ$201,$M300)&gt;0,
     COUNTIFS($AK$3:$AK$201,$M300)&gt;0,
     COUNTIFS($AL$3:$AL$201,$M300)&gt;0,
     COUNTIFS($AM$3:$AM$201,$M300)&gt;0,
     COUNTIFS($AN$3:$AN$201,$M300)&gt;0,
     COUNTIFS($AO$3:$AO$201,$M300)&gt;0,
     COUNTIFS($AP$3:$AP$201,$M300)&gt;0,
     COUNTIFS($AQ$3:$AQ$201,$M300)&gt;0,
     COUNTIFS($AR$3:$AR$201,$M300)&gt;0,
     COUNTIFS($AS$3:$AS$201,$M300)&gt;0,
     COUNTIFS($AT$3:$AT$201,$M300)&gt;0,
     COUNTIFS($AU$3:$AU$201,$M300)&gt;0,
     COUNTIFS($AV$3:$AV$201,$M300)&gt;0,
     COUNTIFS($AW$3:$AW$201,$M300)&gt;0,
     COUNTIFS($AX$3:$AX$201,$M300)&gt;0
   )),
  ),
  2
 ),
"")</f>
        <v/>
      </c>
      <c r="Q300" s="2" t="str" cm="1">
        <f t="array" ref="Q300">IFERROR(
 INDEX(
  _xlfn._xlws.FILTER($U$2:$AX$2,
   TRANSPOSE(
    CHOOSE({1;2;3;4;5;6;7;8;9;10;11;12;13;14;15;16;17;18;19;20;21;22;23;24;25;26;27;28;29;30},
     COUNTIFS($U$3:$U$201,$M300)&gt;0,
     COUNTIFS($V$3:$V$201,$M300)&gt;0,
     COUNTIFS($W$3:$W$201,$M300)&gt;0,
     COUNTIFS($X$3:$X$201,$M300)&gt;0,
     COUNTIFS($Y$3:$Y$201,$M300)&gt;0,
     COUNTIFS($Z$3:$Z$201,$M300)&gt;0,
     COUNTIFS($AA$3:$AA$201,$M300)&gt;0,
     COUNTIFS($AB$3:$AB$201,$M300)&gt;0,
     COUNTIFS($AC$3:$AC$201,$M300)&gt;0,
     COUNTIFS($AD$3:$AD$201,$M300)&gt;0,
     COUNTIFS($AE$3:$AE$201,$M300)&gt;0,
     COUNTIFS($AF$3:$AF$201,$M300)&gt;0,
     COUNTIFS($AG$3:$AG$201,$M300)&gt;0,
     COUNTIFS($AH$3:$AH$201,$M300)&gt;0,
     COUNTIFS($AI$3:$AI$201,$M300)&gt;0,
     COUNTIFS($AJ$3:$AJ$201,$M300)&gt;0,
     COUNTIFS($AK$3:$AK$201,$M300)&gt;0,
     COUNTIFS($AL$3:$AL$201,$M300)&gt;0,
     COUNTIFS($AM$3:$AM$201,$M300)&gt;0,
     COUNTIFS($AN$3:$AN$201,$M300)&gt;0,
     COUNTIFS($AO$3:$AO$201,$M300)&gt;0,
     COUNTIFS($AP$3:$AP$201,$M300)&gt;0,
     COUNTIFS($AQ$3:$AQ$201,$M300)&gt;0,
     COUNTIFS($AR$3:$AR$201,$M300)&gt;0,
     COUNTIFS($AS$3:$AS$201,$M300)&gt;0,
     COUNTIFS($AT$3:$AT$201,$M300)&gt;0,
     COUNTIFS($AU$3:$AU$201,$M300)&gt;0,
     COUNTIFS($AV$3:$AV$201,$M300)&gt;0,
     COUNTIFS($AW$3:$AW$201,$M300)&gt;0,
     COUNTIFS($AX$3:$AX$201,$M300)&gt;0
   )),
  ),
  3
 ),
"")</f>
        <v/>
      </c>
    </row>
    <row r="301" spans="1:17" x14ac:dyDescent="0.25">
      <c r="A301" t="str">
        <f ca="1"/>
        <v>Nomad Outpost</v>
      </c>
      <c r="B301" s="2" t="str" cm="1">
        <f t="array" aca="1" ref="B301" ca="1">_xlfn.ANCHORARRAY(RESUMO!C300)</f>
        <v>Zuko</v>
      </c>
      <c r="C301" s="2" t="str">
        <f t="shared" ca="1" si="16"/>
        <v/>
      </c>
      <c r="F301" s="2">
        <f t="shared" si="20"/>
        <v>0</v>
      </c>
      <c r="G301" s="2" t="str">
        <f t="shared" ca="1" si="17"/>
        <v/>
      </c>
      <c r="N301" s="2">
        <f t="shared" si="18"/>
        <v>0</v>
      </c>
      <c r="O301" s="2" t="str">
        <f>IFERROR(
 INDEX($U$2:$AX$2,
  MATCH(TRUE,
   CHOOSE({1;2;3;4;5;6;7;8;9;10;11;12;13;14;15;16;17;18;19;20;21;22;23;24;25;26;27;28;29;30;31;32},
    COUNTIFS($U$3:$U$201,$M301)&gt;0,
    COUNTIFS($V$3:$V$201,$M301)&gt;0,
    COUNTIFS($W$3:$W$201,$M301)&gt;0,
    COUNTIFS($X$3:$X$201,$M301)&gt;0,
    COUNTIFS($Y$3:$Y$201,$M301)&gt;0,
    COUNTIFS($Z$3:$Z$201,$M301)&gt;0,
    COUNTIFS($AA$3:$AA$201,$M301)&gt;0,
    COUNTIFS($AB$3:$AB$201,$M301)&gt;0,
    COUNTIFS($AC$3:$AC$201,$M301)&gt;0,
    COUNTIFS($AD$3:$AD$201,$M301)&gt;0,
    COUNTIFS($AE$3:$AE$201,$M301)&gt;0,
    COUNTIFS($AF$3:$AF$201,$M301)&gt;0,
    COUNTIFS($AG$3:$AG$201,$M301)&gt;0,
    COUNTIFS($AH$3:$AH$201,$M301)&gt;0,
    COUNTIFS($AI$3:$AI$201,$M301)&gt;0,
    COUNTIFS($AJ$3:$AJ$201,$M301)&gt;0,
    COUNTIFS($AK$3:$AK$201,$M301)&gt;0,
    COUNTIFS($AL$3:$AL$201,$M301)&gt;0,
    COUNTIFS($AM$3:$AM$201,$M301)&gt;0,
    COUNTIFS($AN$3:$AN$201,$M301)&gt;0,
    COUNTIFS($AO$3:$AO$201,$M301)&gt;0,
    COUNTIFS($AP$3:$AP$201,$M301)&gt;0,
    COUNTIFS($AQ$3:$AQ$201,$M301)&gt;0,
    COUNTIFS($AR$3:$AR$201,$M301)&gt;0,
    COUNTIFS($AS$3:$AS$201,$M301)&gt;0,
    COUNTIFS($AT$3:$AT$201,$M301)&gt;0,
    COUNTIFS($AU$3:$AU$201,$M301)&gt;0,
    COUNTIFS($AV$3:$AV$201,$M301)&gt;0,
    COUNTIFS($AW$3:$AW$201,$M301)&gt;0,
    COUNTIFS($AX$3:$AX$201,$M301)&gt;0
   ),
  0)
 ),
"")</f>
        <v/>
      </c>
      <c r="P301" s="2" t="str" cm="1">
        <f t="array" ref="P301">IFERROR(
 INDEX(
  _xlfn._xlws.FILTER($U$2:$AX$2,
   TRANSPOSE(
    CHOOSE({1;2;3;4;5;6;7;8;9;10;11;12;13;14;15;16;17;18;19;20;21;22;23;24;25;26;27;28;29;30},
     COUNTIFS($U$3:$U$201,$M301)&gt;0,
     COUNTIFS($V$3:$V$201,$M301)&gt;0,
     COUNTIFS($W$3:$W$201,$M301)&gt;0,
     COUNTIFS($X$3:$X$201,$M301)&gt;0,
     COUNTIFS($Y$3:$Y$201,$M301)&gt;0,
     COUNTIFS($Z$3:$Z$201,$M301)&gt;0,
     COUNTIFS($AA$3:$AA$201,$M301)&gt;0,
     COUNTIFS($AB$3:$AB$201,$M301)&gt;0,
     COUNTIFS($AC$3:$AC$201,$M301)&gt;0,
     COUNTIFS($AD$3:$AD$201,$M301)&gt;0,
     COUNTIFS($AE$3:$AE$201,$M301)&gt;0,
     COUNTIFS($AF$3:$AF$201,$M301)&gt;0,
     COUNTIFS($AG$3:$AG$201,$M301)&gt;0,
     COUNTIFS($AH$3:$AH$201,$M301)&gt;0,
     COUNTIFS($AI$3:$AI$201,$M301)&gt;0,
     COUNTIFS($AJ$3:$AJ$201,$M301)&gt;0,
     COUNTIFS($AK$3:$AK$201,$M301)&gt;0,
     COUNTIFS($AL$3:$AL$201,$M301)&gt;0,
     COUNTIFS($AM$3:$AM$201,$M301)&gt;0,
     COUNTIFS($AN$3:$AN$201,$M301)&gt;0,
     COUNTIFS($AO$3:$AO$201,$M301)&gt;0,
     COUNTIFS($AP$3:$AP$201,$M301)&gt;0,
     COUNTIFS($AQ$3:$AQ$201,$M301)&gt;0,
     COUNTIFS($AR$3:$AR$201,$M301)&gt;0,
     COUNTIFS($AS$3:$AS$201,$M301)&gt;0,
     COUNTIFS($AT$3:$AT$201,$M301)&gt;0,
     COUNTIFS($AU$3:$AU$201,$M301)&gt;0,
     COUNTIFS($AV$3:$AV$201,$M301)&gt;0,
     COUNTIFS($AW$3:$AW$201,$M301)&gt;0,
     COUNTIFS($AX$3:$AX$201,$M301)&gt;0
   )),
  ),
  2
 ),
"")</f>
        <v/>
      </c>
      <c r="Q301" s="2" t="str" cm="1">
        <f t="array" ref="Q301">IFERROR(
 INDEX(
  _xlfn._xlws.FILTER($U$2:$AX$2,
   TRANSPOSE(
    CHOOSE({1;2;3;4;5;6;7;8;9;10;11;12;13;14;15;16;17;18;19;20;21;22;23;24;25;26;27;28;29;30},
     COUNTIFS($U$3:$U$201,$M301)&gt;0,
     COUNTIFS($V$3:$V$201,$M301)&gt;0,
     COUNTIFS($W$3:$W$201,$M301)&gt;0,
     COUNTIFS($X$3:$X$201,$M301)&gt;0,
     COUNTIFS($Y$3:$Y$201,$M301)&gt;0,
     COUNTIFS($Z$3:$Z$201,$M301)&gt;0,
     COUNTIFS($AA$3:$AA$201,$M301)&gt;0,
     COUNTIFS($AB$3:$AB$201,$M301)&gt;0,
     COUNTIFS($AC$3:$AC$201,$M301)&gt;0,
     COUNTIFS($AD$3:$AD$201,$M301)&gt;0,
     COUNTIFS($AE$3:$AE$201,$M301)&gt;0,
     COUNTIFS($AF$3:$AF$201,$M301)&gt;0,
     COUNTIFS($AG$3:$AG$201,$M301)&gt;0,
     COUNTIFS($AH$3:$AH$201,$M301)&gt;0,
     COUNTIFS($AI$3:$AI$201,$M301)&gt;0,
     COUNTIFS($AJ$3:$AJ$201,$M301)&gt;0,
     COUNTIFS($AK$3:$AK$201,$M301)&gt;0,
     COUNTIFS($AL$3:$AL$201,$M301)&gt;0,
     COUNTIFS($AM$3:$AM$201,$M301)&gt;0,
     COUNTIFS($AN$3:$AN$201,$M301)&gt;0,
     COUNTIFS($AO$3:$AO$201,$M301)&gt;0,
     COUNTIFS($AP$3:$AP$201,$M301)&gt;0,
     COUNTIFS($AQ$3:$AQ$201,$M301)&gt;0,
     COUNTIFS($AR$3:$AR$201,$M301)&gt;0,
     COUNTIFS($AS$3:$AS$201,$M301)&gt;0,
     COUNTIFS($AT$3:$AT$201,$M301)&gt;0,
     COUNTIFS($AU$3:$AU$201,$M301)&gt;0,
     COUNTIFS($AV$3:$AV$201,$M301)&gt;0,
     COUNTIFS($AW$3:$AW$201,$M301)&gt;0,
     COUNTIFS($AX$3:$AX$201,$M301)&gt;0
   )),
  ),
  3
 ),
"")</f>
        <v/>
      </c>
    </row>
    <row r="302" spans="1:17" x14ac:dyDescent="0.25">
      <c r="A302" t="str">
        <f ca="1"/>
        <v>Norin the Wary</v>
      </c>
      <c r="B302" s="2" t="str" cm="1">
        <f t="array" aca="1" ref="B302" ca="1">_xlfn.ANCHORARRAY(RESUMO!C301)</f>
        <v>Zuko</v>
      </c>
      <c r="C302" s="2" t="str">
        <f t="shared" ca="1" si="16"/>
        <v/>
      </c>
      <c r="F302" s="2">
        <f t="shared" si="20"/>
        <v>0</v>
      </c>
      <c r="G302" s="2" t="str">
        <f t="shared" ca="1" si="17"/>
        <v/>
      </c>
      <c r="N302" s="2">
        <f t="shared" si="18"/>
        <v>0</v>
      </c>
      <c r="O302" s="2" t="str">
        <f>IFERROR(
 INDEX($U$2:$AX$2,
  MATCH(TRUE,
   CHOOSE({1;2;3;4;5;6;7;8;9;10;11;12;13;14;15;16;17;18;19;20;21;22;23;24;25;26;27;28;29;30;31;32},
    COUNTIFS($U$3:$U$201,$M302)&gt;0,
    COUNTIFS($V$3:$V$201,$M302)&gt;0,
    COUNTIFS($W$3:$W$201,$M302)&gt;0,
    COUNTIFS($X$3:$X$201,$M302)&gt;0,
    COUNTIFS($Y$3:$Y$201,$M302)&gt;0,
    COUNTIFS($Z$3:$Z$201,$M302)&gt;0,
    COUNTIFS($AA$3:$AA$201,$M302)&gt;0,
    COUNTIFS($AB$3:$AB$201,$M302)&gt;0,
    COUNTIFS($AC$3:$AC$201,$M302)&gt;0,
    COUNTIFS($AD$3:$AD$201,$M302)&gt;0,
    COUNTIFS($AE$3:$AE$201,$M302)&gt;0,
    COUNTIFS($AF$3:$AF$201,$M302)&gt;0,
    COUNTIFS($AG$3:$AG$201,$M302)&gt;0,
    COUNTIFS($AH$3:$AH$201,$M302)&gt;0,
    COUNTIFS($AI$3:$AI$201,$M302)&gt;0,
    COUNTIFS($AJ$3:$AJ$201,$M302)&gt;0,
    COUNTIFS($AK$3:$AK$201,$M302)&gt;0,
    COUNTIFS($AL$3:$AL$201,$M302)&gt;0,
    COUNTIFS($AM$3:$AM$201,$M302)&gt;0,
    COUNTIFS($AN$3:$AN$201,$M302)&gt;0,
    COUNTIFS($AO$3:$AO$201,$M302)&gt;0,
    COUNTIFS($AP$3:$AP$201,$M302)&gt;0,
    COUNTIFS($AQ$3:$AQ$201,$M302)&gt;0,
    COUNTIFS($AR$3:$AR$201,$M302)&gt;0,
    COUNTIFS($AS$3:$AS$201,$M302)&gt;0,
    COUNTIFS($AT$3:$AT$201,$M302)&gt;0,
    COUNTIFS($AU$3:$AU$201,$M302)&gt;0,
    COUNTIFS($AV$3:$AV$201,$M302)&gt;0,
    COUNTIFS($AW$3:$AW$201,$M302)&gt;0,
    COUNTIFS($AX$3:$AX$201,$M302)&gt;0
   ),
  0)
 ),
"")</f>
        <v/>
      </c>
      <c r="P302" s="2" t="str" cm="1">
        <f t="array" ref="P302">IFERROR(
 INDEX(
  _xlfn._xlws.FILTER($U$2:$AX$2,
   TRANSPOSE(
    CHOOSE({1;2;3;4;5;6;7;8;9;10;11;12;13;14;15;16;17;18;19;20;21;22;23;24;25;26;27;28;29;30},
     COUNTIFS($U$3:$U$201,$M302)&gt;0,
     COUNTIFS($V$3:$V$201,$M302)&gt;0,
     COUNTIFS($W$3:$W$201,$M302)&gt;0,
     COUNTIFS($X$3:$X$201,$M302)&gt;0,
     COUNTIFS($Y$3:$Y$201,$M302)&gt;0,
     COUNTIFS($Z$3:$Z$201,$M302)&gt;0,
     COUNTIFS($AA$3:$AA$201,$M302)&gt;0,
     COUNTIFS($AB$3:$AB$201,$M302)&gt;0,
     COUNTIFS($AC$3:$AC$201,$M302)&gt;0,
     COUNTIFS($AD$3:$AD$201,$M302)&gt;0,
     COUNTIFS($AE$3:$AE$201,$M302)&gt;0,
     COUNTIFS($AF$3:$AF$201,$M302)&gt;0,
     COUNTIFS($AG$3:$AG$201,$M302)&gt;0,
     COUNTIFS($AH$3:$AH$201,$M302)&gt;0,
     COUNTIFS($AI$3:$AI$201,$M302)&gt;0,
     COUNTIFS($AJ$3:$AJ$201,$M302)&gt;0,
     COUNTIFS($AK$3:$AK$201,$M302)&gt;0,
     COUNTIFS($AL$3:$AL$201,$M302)&gt;0,
     COUNTIFS($AM$3:$AM$201,$M302)&gt;0,
     COUNTIFS($AN$3:$AN$201,$M302)&gt;0,
     COUNTIFS($AO$3:$AO$201,$M302)&gt;0,
     COUNTIFS($AP$3:$AP$201,$M302)&gt;0,
     COUNTIFS($AQ$3:$AQ$201,$M302)&gt;0,
     COUNTIFS($AR$3:$AR$201,$M302)&gt;0,
     COUNTIFS($AS$3:$AS$201,$M302)&gt;0,
     COUNTIFS($AT$3:$AT$201,$M302)&gt;0,
     COUNTIFS($AU$3:$AU$201,$M302)&gt;0,
     COUNTIFS($AV$3:$AV$201,$M302)&gt;0,
     COUNTIFS($AW$3:$AW$201,$M302)&gt;0,
     COUNTIFS($AX$3:$AX$201,$M302)&gt;0
   )),
  ),
  2
 ),
"")</f>
        <v/>
      </c>
      <c r="Q302" s="2" t="str" cm="1">
        <f t="array" ref="Q302">IFERROR(
 INDEX(
  _xlfn._xlws.FILTER($U$2:$AX$2,
   TRANSPOSE(
    CHOOSE({1;2;3;4;5;6;7;8;9;10;11;12;13;14;15;16;17;18;19;20;21;22;23;24;25;26;27;28;29;30},
     COUNTIFS($U$3:$U$201,$M302)&gt;0,
     COUNTIFS($V$3:$V$201,$M302)&gt;0,
     COUNTIFS($W$3:$W$201,$M302)&gt;0,
     COUNTIFS($X$3:$X$201,$M302)&gt;0,
     COUNTIFS($Y$3:$Y$201,$M302)&gt;0,
     COUNTIFS($Z$3:$Z$201,$M302)&gt;0,
     COUNTIFS($AA$3:$AA$201,$M302)&gt;0,
     COUNTIFS($AB$3:$AB$201,$M302)&gt;0,
     COUNTIFS($AC$3:$AC$201,$M302)&gt;0,
     COUNTIFS($AD$3:$AD$201,$M302)&gt;0,
     COUNTIFS($AE$3:$AE$201,$M302)&gt;0,
     COUNTIFS($AF$3:$AF$201,$M302)&gt;0,
     COUNTIFS($AG$3:$AG$201,$M302)&gt;0,
     COUNTIFS($AH$3:$AH$201,$M302)&gt;0,
     COUNTIFS($AI$3:$AI$201,$M302)&gt;0,
     COUNTIFS($AJ$3:$AJ$201,$M302)&gt;0,
     COUNTIFS($AK$3:$AK$201,$M302)&gt;0,
     COUNTIFS($AL$3:$AL$201,$M302)&gt;0,
     COUNTIFS($AM$3:$AM$201,$M302)&gt;0,
     COUNTIFS($AN$3:$AN$201,$M302)&gt;0,
     COUNTIFS($AO$3:$AO$201,$M302)&gt;0,
     COUNTIFS($AP$3:$AP$201,$M302)&gt;0,
     COUNTIFS($AQ$3:$AQ$201,$M302)&gt;0,
     COUNTIFS($AR$3:$AR$201,$M302)&gt;0,
     COUNTIFS($AS$3:$AS$201,$M302)&gt;0,
     COUNTIFS($AT$3:$AT$201,$M302)&gt;0,
     COUNTIFS($AU$3:$AU$201,$M302)&gt;0,
     COUNTIFS($AV$3:$AV$201,$M302)&gt;0,
     COUNTIFS($AW$3:$AW$201,$M302)&gt;0,
     COUNTIFS($AX$3:$AX$201,$M302)&gt;0
   )),
  ),
  3
 ),
"")</f>
        <v/>
      </c>
    </row>
    <row r="303" spans="1:17" x14ac:dyDescent="0.25">
      <c r="A303" t="str">
        <f ca="1"/>
        <v>Obelisk Spider</v>
      </c>
      <c r="B303" s="2" t="str" cm="1">
        <f t="array" aca="1" ref="B303" ca="1">_xlfn.ANCHORARRAY(RESUMO!C302)</f>
        <v>Ool</v>
      </c>
      <c r="C303" s="2" t="str">
        <f t="shared" ca="1" si="16"/>
        <v/>
      </c>
      <c r="F303" s="2">
        <f t="shared" si="20"/>
        <v>0</v>
      </c>
      <c r="G303" s="2" t="str">
        <f t="shared" ca="1" si="17"/>
        <v/>
      </c>
      <c r="N303" s="2">
        <f t="shared" si="18"/>
        <v>0</v>
      </c>
      <c r="O303" s="2" t="str">
        <f>IFERROR(
 INDEX($U$2:$AX$2,
  MATCH(TRUE,
   CHOOSE({1;2;3;4;5;6;7;8;9;10;11;12;13;14;15;16;17;18;19;20;21;22;23;24;25;26;27;28;29;30;31;32},
    COUNTIFS($U$3:$U$201,$M303)&gt;0,
    COUNTIFS($V$3:$V$201,$M303)&gt;0,
    COUNTIFS($W$3:$W$201,$M303)&gt;0,
    COUNTIFS($X$3:$X$201,$M303)&gt;0,
    COUNTIFS($Y$3:$Y$201,$M303)&gt;0,
    COUNTIFS($Z$3:$Z$201,$M303)&gt;0,
    COUNTIFS($AA$3:$AA$201,$M303)&gt;0,
    COUNTIFS($AB$3:$AB$201,$M303)&gt;0,
    COUNTIFS($AC$3:$AC$201,$M303)&gt;0,
    COUNTIFS($AD$3:$AD$201,$M303)&gt;0,
    COUNTIFS($AE$3:$AE$201,$M303)&gt;0,
    COUNTIFS($AF$3:$AF$201,$M303)&gt;0,
    COUNTIFS($AG$3:$AG$201,$M303)&gt;0,
    COUNTIFS($AH$3:$AH$201,$M303)&gt;0,
    COUNTIFS($AI$3:$AI$201,$M303)&gt;0,
    COUNTIFS($AJ$3:$AJ$201,$M303)&gt;0,
    COUNTIFS($AK$3:$AK$201,$M303)&gt;0,
    COUNTIFS($AL$3:$AL$201,$M303)&gt;0,
    COUNTIFS($AM$3:$AM$201,$M303)&gt;0,
    COUNTIFS($AN$3:$AN$201,$M303)&gt;0,
    COUNTIFS($AO$3:$AO$201,$M303)&gt;0,
    COUNTIFS($AP$3:$AP$201,$M303)&gt;0,
    COUNTIFS($AQ$3:$AQ$201,$M303)&gt;0,
    COUNTIFS($AR$3:$AR$201,$M303)&gt;0,
    COUNTIFS($AS$3:$AS$201,$M303)&gt;0,
    COUNTIFS($AT$3:$AT$201,$M303)&gt;0,
    COUNTIFS($AU$3:$AU$201,$M303)&gt;0,
    COUNTIFS($AV$3:$AV$201,$M303)&gt;0,
    COUNTIFS($AW$3:$AW$201,$M303)&gt;0,
    COUNTIFS($AX$3:$AX$201,$M303)&gt;0
   ),
  0)
 ),
"")</f>
        <v/>
      </c>
      <c r="P303" s="2" t="str" cm="1">
        <f t="array" ref="P303">IFERROR(
 INDEX(
  _xlfn._xlws.FILTER($U$2:$AX$2,
   TRANSPOSE(
    CHOOSE({1;2;3;4;5;6;7;8;9;10;11;12;13;14;15;16;17;18;19;20;21;22;23;24;25;26;27;28;29;30},
     COUNTIFS($U$3:$U$201,$M303)&gt;0,
     COUNTIFS($V$3:$V$201,$M303)&gt;0,
     COUNTIFS($W$3:$W$201,$M303)&gt;0,
     COUNTIFS($X$3:$X$201,$M303)&gt;0,
     COUNTIFS($Y$3:$Y$201,$M303)&gt;0,
     COUNTIFS($Z$3:$Z$201,$M303)&gt;0,
     COUNTIFS($AA$3:$AA$201,$M303)&gt;0,
     COUNTIFS($AB$3:$AB$201,$M303)&gt;0,
     COUNTIFS($AC$3:$AC$201,$M303)&gt;0,
     COUNTIFS($AD$3:$AD$201,$M303)&gt;0,
     COUNTIFS($AE$3:$AE$201,$M303)&gt;0,
     COUNTIFS($AF$3:$AF$201,$M303)&gt;0,
     COUNTIFS($AG$3:$AG$201,$M303)&gt;0,
     COUNTIFS($AH$3:$AH$201,$M303)&gt;0,
     COUNTIFS($AI$3:$AI$201,$M303)&gt;0,
     COUNTIFS($AJ$3:$AJ$201,$M303)&gt;0,
     COUNTIFS($AK$3:$AK$201,$M303)&gt;0,
     COUNTIFS($AL$3:$AL$201,$M303)&gt;0,
     COUNTIFS($AM$3:$AM$201,$M303)&gt;0,
     COUNTIFS($AN$3:$AN$201,$M303)&gt;0,
     COUNTIFS($AO$3:$AO$201,$M303)&gt;0,
     COUNTIFS($AP$3:$AP$201,$M303)&gt;0,
     COUNTIFS($AQ$3:$AQ$201,$M303)&gt;0,
     COUNTIFS($AR$3:$AR$201,$M303)&gt;0,
     COUNTIFS($AS$3:$AS$201,$M303)&gt;0,
     COUNTIFS($AT$3:$AT$201,$M303)&gt;0,
     COUNTIFS($AU$3:$AU$201,$M303)&gt;0,
     COUNTIFS($AV$3:$AV$201,$M303)&gt;0,
     COUNTIFS($AW$3:$AW$201,$M303)&gt;0,
     COUNTIFS($AX$3:$AX$201,$M303)&gt;0
   )),
  ),
  2
 ),
"")</f>
        <v/>
      </c>
      <c r="Q303" s="2" t="str" cm="1">
        <f t="array" ref="Q303">IFERROR(
 INDEX(
  _xlfn._xlws.FILTER($U$2:$AX$2,
   TRANSPOSE(
    CHOOSE({1;2;3;4;5;6;7;8;9;10;11;12;13;14;15;16;17;18;19;20;21;22;23;24;25;26;27;28;29;30},
     COUNTIFS($U$3:$U$201,$M303)&gt;0,
     COUNTIFS($V$3:$V$201,$M303)&gt;0,
     COUNTIFS($W$3:$W$201,$M303)&gt;0,
     COUNTIFS($X$3:$X$201,$M303)&gt;0,
     COUNTIFS($Y$3:$Y$201,$M303)&gt;0,
     COUNTIFS($Z$3:$Z$201,$M303)&gt;0,
     COUNTIFS($AA$3:$AA$201,$M303)&gt;0,
     COUNTIFS($AB$3:$AB$201,$M303)&gt;0,
     COUNTIFS($AC$3:$AC$201,$M303)&gt;0,
     COUNTIFS($AD$3:$AD$201,$M303)&gt;0,
     COUNTIFS($AE$3:$AE$201,$M303)&gt;0,
     COUNTIFS($AF$3:$AF$201,$M303)&gt;0,
     COUNTIFS($AG$3:$AG$201,$M303)&gt;0,
     COUNTIFS($AH$3:$AH$201,$M303)&gt;0,
     COUNTIFS($AI$3:$AI$201,$M303)&gt;0,
     COUNTIFS($AJ$3:$AJ$201,$M303)&gt;0,
     COUNTIFS($AK$3:$AK$201,$M303)&gt;0,
     COUNTIFS($AL$3:$AL$201,$M303)&gt;0,
     COUNTIFS($AM$3:$AM$201,$M303)&gt;0,
     COUNTIFS($AN$3:$AN$201,$M303)&gt;0,
     COUNTIFS($AO$3:$AO$201,$M303)&gt;0,
     COUNTIFS($AP$3:$AP$201,$M303)&gt;0,
     COUNTIFS($AQ$3:$AQ$201,$M303)&gt;0,
     COUNTIFS($AR$3:$AR$201,$M303)&gt;0,
     COUNTIFS($AS$3:$AS$201,$M303)&gt;0,
     COUNTIFS($AT$3:$AT$201,$M303)&gt;0,
     COUNTIFS($AU$3:$AU$201,$M303)&gt;0,
     COUNTIFS($AV$3:$AV$201,$M303)&gt;0,
     COUNTIFS($AW$3:$AW$201,$M303)&gt;0,
     COUNTIFS($AX$3:$AX$201,$M303)&gt;0
   )),
  ),
  3
 ),
"")</f>
        <v/>
      </c>
    </row>
    <row r="304" spans="1:17" x14ac:dyDescent="0.25">
      <c r="A304" t="str">
        <f ca="1"/>
        <v>Obsessive Pursuit</v>
      </c>
      <c r="B304" s="2" t="str" cm="1">
        <f t="array" aca="1" ref="B304" ca="1">_xlfn.ANCHORARRAY(RESUMO!C303)</f>
        <v>Rani</v>
      </c>
      <c r="C304" s="2" t="str">
        <f t="shared" ca="1" si="16"/>
        <v/>
      </c>
      <c r="F304" s="2">
        <f t="shared" si="20"/>
        <v>0</v>
      </c>
      <c r="G304" s="2" t="str">
        <f t="shared" ca="1" si="17"/>
        <v/>
      </c>
      <c r="N304" s="2">
        <f t="shared" si="18"/>
        <v>0</v>
      </c>
      <c r="O304" s="2" t="str">
        <f>IFERROR(
 INDEX($U$2:$AX$2,
  MATCH(TRUE,
   CHOOSE({1;2;3;4;5;6;7;8;9;10;11;12;13;14;15;16;17;18;19;20;21;22;23;24;25;26;27;28;29;30;31;32},
    COUNTIFS($U$3:$U$201,$M304)&gt;0,
    COUNTIFS($V$3:$V$201,$M304)&gt;0,
    COUNTIFS($W$3:$W$201,$M304)&gt;0,
    COUNTIFS($X$3:$X$201,$M304)&gt;0,
    COUNTIFS($Y$3:$Y$201,$M304)&gt;0,
    COUNTIFS($Z$3:$Z$201,$M304)&gt;0,
    COUNTIFS($AA$3:$AA$201,$M304)&gt;0,
    COUNTIFS($AB$3:$AB$201,$M304)&gt;0,
    COUNTIFS($AC$3:$AC$201,$M304)&gt;0,
    COUNTIFS($AD$3:$AD$201,$M304)&gt;0,
    COUNTIFS($AE$3:$AE$201,$M304)&gt;0,
    COUNTIFS($AF$3:$AF$201,$M304)&gt;0,
    COUNTIFS($AG$3:$AG$201,$M304)&gt;0,
    COUNTIFS($AH$3:$AH$201,$M304)&gt;0,
    COUNTIFS($AI$3:$AI$201,$M304)&gt;0,
    COUNTIFS($AJ$3:$AJ$201,$M304)&gt;0,
    COUNTIFS($AK$3:$AK$201,$M304)&gt;0,
    COUNTIFS($AL$3:$AL$201,$M304)&gt;0,
    COUNTIFS($AM$3:$AM$201,$M304)&gt;0,
    COUNTIFS($AN$3:$AN$201,$M304)&gt;0,
    COUNTIFS($AO$3:$AO$201,$M304)&gt;0,
    COUNTIFS($AP$3:$AP$201,$M304)&gt;0,
    COUNTIFS($AQ$3:$AQ$201,$M304)&gt;0,
    COUNTIFS($AR$3:$AR$201,$M304)&gt;0,
    COUNTIFS($AS$3:$AS$201,$M304)&gt;0,
    COUNTIFS($AT$3:$AT$201,$M304)&gt;0,
    COUNTIFS($AU$3:$AU$201,$M304)&gt;0,
    COUNTIFS($AV$3:$AV$201,$M304)&gt;0,
    COUNTIFS($AW$3:$AW$201,$M304)&gt;0,
    COUNTIFS($AX$3:$AX$201,$M304)&gt;0
   ),
  0)
 ),
"")</f>
        <v/>
      </c>
      <c r="P304" s="2" t="str" cm="1">
        <f t="array" ref="P304">IFERROR(
 INDEX(
  _xlfn._xlws.FILTER($U$2:$AX$2,
   TRANSPOSE(
    CHOOSE({1;2;3;4;5;6;7;8;9;10;11;12;13;14;15;16;17;18;19;20;21;22;23;24;25;26;27;28;29;30},
     COUNTIFS($U$3:$U$201,$M304)&gt;0,
     COUNTIFS($V$3:$V$201,$M304)&gt;0,
     COUNTIFS($W$3:$W$201,$M304)&gt;0,
     COUNTIFS($X$3:$X$201,$M304)&gt;0,
     COUNTIFS($Y$3:$Y$201,$M304)&gt;0,
     COUNTIFS($Z$3:$Z$201,$M304)&gt;0,
     COUNTIFS($AA$3:$AA$201,$M304)&gt;0,
     COUNTIFS($AB$3:$AB$201,$M304)&gt;0,
     COUNTIFS($AC$3:$AC$201,$M304)&gt;0,
     COUNTIFS($AD$3:$AD$201,$M304)&gt;0,
     COUNTIFS($AE$3:$AE$201,$M304)&gt;0,
     COUNTIFS($AF$3:$AF$201,$M304)&gt;0,
     COUNTIFS($AG$3:$AG$201,$M304)&gt;0,
     COUNTIFS($AH$3:$AH$201,$M304)&gt;0,
     COUNTIFS($AI$3:$AI$201,$M304)&gt;0,
     COUNTIFS($AJ$3:$AJ$201,$M304)&gt;0,
     COUNTIFS($AK$3:$AK$201,$M304)&gt;0,
     COUNTIFS($AL$3:$AL$201,$M304)&gt;0,
     COUNTIFS($AM$3:$AM$201,$M304)&gt;0,
     COUNTIFS($AN$3:$AN$201,$M304)&gt;0,
     COUNTIFS($AO$3:$AO$201,$M304)&gt;0,
     COUNTIFS($AP$3:$AP$201,$M304)&gt;0,
     COUNTIFS($AQ$3:$AQ$201,$M304)&gt;0,
     COUNTIFS($AR$3:$AR$201,$M304)&gt;0,
     COUNTIFS($AS$3:$AS$201,$M304)&gt;0,
     COUNTIFS($AT$3:$AT$201,$M304)&gt;0,
     COUNTIFS($AU$3:$AU$201,$M304)&gt;0,
     COUNTIFS($AV$3:$AV$201,$M304)&gt;0,
     COUNTIFS($AW$3:$AW$201,$M304)&gt;0,
     COUNTIFS($AX$3:$AX$201,$M304)&gt;0
   )),
  ),
  2
 ),
"")</f>
        <v/>
      </c>
      <c r="Q304" s="2" t="str" cm="1">
        <f t="array" ref="Q304">IFERROR(
 INDEX(
  _xlfn._xlws.FILTER($U$2:$AX$2,
   TRANSPOSE(
    CHOOSE({1;2;3;4;5;6;7;8;9;10;11;12;13;14;15;16;17;18;19;20;21;22;23;24;25;26;27;28;29;30},
     COUNTIFS($U$3:$U$201,$M304)&gt;0,
     COUNTIFS($V$3:$V$201,$M304)&gt;0,
     COUNTIFS($W$3:$W$201,$M304)&gt;0,
     COUNTIFS($X$3:$X$201,$M304)&gt;0,
     COUNTIFS($Y$3:$Y$201,$M304)&gt;0,
     COUNTIFS($Z$3:$Z$201,$M304)&gt;0,
     COUNTIFS($AA$3:$AA$201,$M304)&gt;0,
     COUNTIFS($AB$3:$AB$201,$M304)&gt;0,
     COUNTIFS($AC$3:$AC$201,$M304)&gt;0,
     COUNTIFS($AD$3:$AD$201,$M304)&gt;0,
     COUNTIFS($AE$3:$AE$201,$M304)&gt;0,
     COUNTIFS($AF$3:$AF$201,$M304)&gt;0,
     COUNTIFS($AG$3:$AG$201,$M304)&gt;0,
     COUNTIFS($AH$3:$AH$201,$M304)&gt;0,
     COUNTIFS($AI$3:$AI$201,$M304)&gt;0,
     COUNTIFS($AJ$3:$AJ$201,$M304)&gt;0,
     COUNTIFS($AK$3:$AK$201,$M304)&gt;0,
     COUNTIFS($AL$3:$AL$201,$M304)&gt;0,
     COUNTIFS($AM$3:$AM$201,$M304)&gt;0,
     COUNTIFS($AN$3:$AN$201,$M304)&gt;0,
     COUNTIFS($AO$3:$AO$201,$M304)&gt;0,
     COUNTIFS($AP$3:$AP$201,$M304)&gt;0,
     COUNTIFS($AQ$3:$AQ$201,$M304)&gt;0,
     COUNTIFS($AR$3:$AR$201,$M304)&gt;0,
     COUNTIFS($AS$3:$AS$201,$M304)&gt;0,
     COUNTIFS($AT$3:$AT$201,$M304)&gt;0,
     COUNTIFS($AU$3:$AU$201,$M304)&gt;0,
     COUNTIFS($AV$3:$AV$201,$M304)&gt;0,
     COUNTIFS($AW$3:$AW$201,$M304)&gt;0,
     COUNTIFS($AX$3:$AX$201,$M304)&gt;0
   )),
  ),
  3
 ),
"")</f>
        <v/>
      </c>
    </row>
    <row r="305" spans="1:17" x14ac:dyDescent="0.25">
      <c r="A305" t="str">
        <f ca="1"/>
        <v>Obsidian Obelisk</v>
      </c>
      <c r="B305" s="2" t="str" cm="1">
        <f t="array" aca="1" ref="B305" ca="1">_xlfn.ANCHORARRAY(RESUMO!C304)</f>
        <v>Thrakiri</v>
      </c>
      <c r="C305" s="2" t="str">
        <f t="shared" ca="1" si="16"/>
        <v/>
      </c>
      <c r="F305" s="2">
        <f t="shared" si="20"/>
        <v>0</v>
      </c>
      <c r="G305" s="2" t="str">
        <f t="shared" ca="1" si="17"/>
        <v/>
      </c>
      <c r="N305" s="2">
        <f t="shared" si="18"/>
        <v>0</v>
      </c>
      <c r="O305" s="2" t="str">
        <f>IFERROR(
 INDEX($U$2:$AX$2,
  MATCH(TRUE,
   CHOOSE({1;2;3;4;5;6;7;8;9;10;11;12;13;14;15;16;17;18;19;20;21;22;23;24;25;26;27;28;29;30;31;32},
    COUNTIFS($U$3:$U$201,$M305)&gt;0,
    COUNTIFS($V$3:$V$201,$M305)&gt;0,
    COUNTIFS($W$3:$W$201,$M305)&gt;0,
    COUNTIFS($X$3:$X$201,$M305)&gt;0,
    COUNTIFS($Y$3:$Y$201,$M305)&gt;0,
    COUNTIFS($Z$3:$Z$201,$M305)&gt;0,
    COUNTIFS($AA$3:$AA$201,$M305)&gt;0,
    COUNTIFS($AB$3:$AB$201,$M305)&gt;0,
    COUNTIFS($AC$3:$AC$201,$M305)&gt;0,
    COUNTIFS($AD$3:$AD$201,$M305)&gt;0,
    COUNTIFS($AE$3:$AE$201,$M305)&gt;0,
    COUNTIFS($AF$3:$AF$201,$M305)&gt;0,
    COUNTIFS($AG$3:$AG$201,$M305)&gt;0,
    COUNTIFS($AH$3:$AH$201,$M305)&gt;0,
    COUNTIFS($AI$3:$AI$201,$M305)&gt;0,
    COUNTIFS($AJ$3:$AJ$201,$M305)&gt;0,
    COUNTIFS($AK$3:$AK$201,$M305)&gt;0,
    COUNTIFS($AL$3:$AL$201,$M305)&gt;0,
    COUNTIFS($AM$3:$AM$201,$M305)&gt;0,
    COUNTIFS($AN$3:$AN$201,$M305)&gt;0,
    COUNTIFS($AO$3:$AO$201,$M305)&gt;0,
    COUNTIFS($AP$3:$AP$201,$M305)&gt;0,
    COUNTIFS($AQ$3:$AQ$201,$M305)&gt;0,
    COUNTIFS($AR$3:$AR$201,$M305)&gt;0,
    COUNTIFS($AS$3:$AS$201,$M305)&gt;0,
    COUNTIFS($AT$3:$AT$201,$M305)&gt;0,
    COUNTIFS($AU$3:$AU$201,$M305)&gt;0,
    COUNTIFS($AV$3:$AV$201,$M305)&gt;0,
    COUNTIFS($AW$3:$AW$201,$M305)&gt;0,
    COUNTIFS($AX$3:$AX$201,$M305)&gt;0
   ),
  0)
 ),
"")</f>
        <v/>
      </c>
      <c r="P305" s="2" t="str" cm="1">
        <f t="array" ref="P305">IFERROR(
 INDEX(
  _xlfn._xlws.FILTER($U$2:$AX$2,
   TRANSPOSE(
    CHOOSE({1;2;3;4;5;6;7;8;9;10;11;12;13;14;15;16;17;18;19;20;21;22;23;24;25;26;27;28;29;30},
     COUNTIFS($U$3:$U$201,$M305)&gt;0,
     COUNTIFS($V$3:$V$201,$M305)&gt;0,
     COUNTIFS($W$3:$W$201,$M305)&gt;0,
     COUNTIFS($X$3:$X$201,$M305)&gt;0,
     COUNTIFS($Y$3:$Y$201,$M305)&gt;0,
     COUNTIFS($Z$3:$Z$201,$M305)&gt;0,
     COUNTIFS($AA$3:$AA$201,$M305)&gt;0,
     COUNTIFS($AB$3:$AB$201,$M305)&gt;0,
     COUNTIFS($AC$3:$AC$201,$M305)&gt;0,
     COUNTIFS($AD$3:$AD$201,$M305)&gt;0,
     COUNTIFS($AE$3:$AE$201,$M305)&gt;0,
     COUNTIFS($AF$3:$AF$201,$M305)&gt;0,
     COUNTIFS($AG$3:$AG$201,$M305)&gt;0,
     COUNTIFS($AH$3:$AH$201,$M305)&gt;0,
     COUNTIFS($AI$3:$AI$201,$M305)&gt;0,
     COUNTIFS($AJ$3:$AJ$201,$M305)&gt;0,
     COUNTIFS($AK$3:$AK$201,$M305)&gt;0,
     COUNTIFS($AL$3:$AL$201,$M305)&gt;0,
     COUNTIFS($AM$3:$AM$201,$M305)&gt;0,
     COUNTIFS($AN$3:$AN$201,$M305)&gt;0,
     COUNTIFS($AO$3:$AO$201,$M305)&gt;0,
     COUNTIFS($AP$3:$AP$201,$M305)&gt;0,
     COUNTIFS($AQ$3:$AQ$201,$M305)&gt;0,
     COUNTIFS($AR$3:$AR$201,$M305)&gt;0,
     COUNTIFS($AS$3:$AS$201,$M305)&gt;0,
     COUNTIFS($AT$3:$AT$201,$M305)&gt;0,
     COUNTIFS($AU$3:$AU$201,$M305)&gt;0,
     COUNTIFS($AV$3:$AV$201,$M305)&gt;0,
     COUNTIFS($AW$3:$AW$201,$M305)&gt;0,
     COUNTIFS($AX$3:$AX$201,$M305)&gt;0
   )),
  ),
  2
 ),
"")</f>
        <v/>
      </c>
      <c r="Q305" s="2" t="str" cm="1">
        <f t="array" ref="Q305">IFERROR(
 INDEX(
  _xlfn._xlws.FILTER($U$2:$AX$2,
   TRANSPOSE(
    CHOOSE({1;2;3;4;5;6;7;8;9;10;11;12;13;14;15;16;17;18;19;20;21;22;23;24;25;26;27;28;29;30},
     COUNTIFS($U$3:$U$201,$M305)&gt;0,
     COUNTIFS($V$3:$V$201,$M305)&gt;0,
     COUNTIFS($W$3:$W$201,$M305)&gt;0,
     COUNTIFS($X$3:$X$201,$M305)&gt;0,
     COUNTIFS($Y$3:$Y$201,$M305)&gt;0,
     COUNTIFS($Z$3:$Z$201,$M305)&gt;0,
     COUNTIFS($AA$3:$AA$201,$M305)&gt;0,
     COUNTIFS($AB$3:$AB$201,$M305)&gt;0,
     COUNTIFS($AC$3:$AC$201,$M305)&gt;0,
     COUNTIFS($AD$3:$AD$201,$M305)&gt;0,
     COUNTIFS($AE$3:$AE$201,$M305)&gt;0,
     COUNTIFS($AF$3:$AF$201,$M305)&gt;0,
     COUNTIFS($AG$3:$AG$201,$M305)&gt;0,
     COUNTIFS($AH$3:$AH$201,$M305)&gt;0,
     COUNTIFS($AI$3:$AI$201,$M305)&gt;0,
     COUNTIFS($AJ$3:$AJ$201,$M305)&gt;0,
     COUNTIFS($AK$3:$AK$201,$M305)&gt;0,
     COUNTIFS($AL$3:$AL$201,$M305)&gt;0,
     COUNTIFS($AM$3:$AM$201,$M305)&gt;0,
     COUNTIFS($AN$3:$AN$201,$M305)&gt;0,
     COUNTIFS($AO$3:$AO$201,$M305)&gt;0,
     COUNTIFS($AP$3:$AP$201,$M305)&gt;0,
     COUNTIFS($AQ$3:$AQ$201,$M305)&gt;0,
     COUNTIFS($AR$3:$AR$201,$M305)&gt;0,
     COUNTIFS($AS$3:$AS$201,$M305)&gt;0,
     COUNTIFS($AT$3:$AT$201,$M305)&gt;0,
     COUNTIFS($AU$3:$AU$201,$M305)&gt;0,
     COUNTIFS($AV$3:$AV$201,$M305)&gt;0,
     COUNTIFS($AW$3:$AW$201,$M305)&gt;0,
     COUNTIFS($AX$3:$AX$201,$M305)&gt;0
   )),
  ),
  3
 ),
"")</f>
        <v/>
      </c>
    </row>
    <row r="306" spans="1:17" x14ac:dyDescent="0.25">
      <c r="A306" t="str">
        <f ca="1"/>
        <v>Ohran Frostfang</v>
      </c>
      <c r="B306" s="2" t="str" cm="1">
        <f t="array" aca="1" ref="B306" ca="1">_xlfn.ANCHORARRAY(RESUMO!C305)</f>
        <v>Little</v>
      </c>
      <c r="C306" s="2" t="str">
        <f t="shared" ca="1" si="16"/>
        <v/>
      </c>
      <c r="F306" s="2">
        <f t="shared" si="20"/>
        <v>0</v>
      </c>
      <c r="G306" s="2" t="str">
        <f t="shared" ca="1" si="17"/>
        <v/>
      </c>
      <c r="N306" s="2">
        <f t="shared" si="18"/>
        <v>0</v>
      </c>
      <c r="O306" s="2" t="str">
        <f>IFERROR(
 INDEX($U$2:$AX$2,
  MATCH(TRUE,
   CHOOSE({1;2;3;4;5;6;7;8;9;10;11;12;13;14;15;16;17;18;19;20;21;22;23;24;25;26;27;28;29;30;31;32},
    COUNTIFS($U$3:$U$201,$M306)&gt;0,
    COUNTIFS($V$3:$V$201,$M306)&gt;0,
    COUNTIFS($W$3:$W$201,$M306)&gt;0,
    COUNTIFS($X$3:$X$201,$M306)&gt;0,
    COUNTIFS($Y$3:$Y$201,$M306)&gt;0,
    COUNTIFS($Z$3:$Z$201,$M306)&gt;0,
    COUNTIFS($AA$3:$AA$201,$M306)&gt;0,
    COUNTIFS($AB$3:$AB$201,$M306)&gt;0,
    COUNTIFS($AC$3:$AC$201,$M306)&gt;0,
    COUNTIFS($AD$3:$AD$201,$M306)&gt;0,
    COUNTIFS($AE$3:$AE$201,$M306)&gt;0,
    COUNTIFS($AF$3:$AF$201,$M306)&gt;0,
    COUNTIFS($AG$3:$AG$201,$M306)&gt;0,
    COUNTIFS($AH$3:$AH$201,$M306)&gt;0,
    COUNTIFS($AI$3:$AI$201,$M306)&gt;0,
    COUNTIFS($AJ$3:$AJ$201,$M306)&gt;0,
    COUNTIFS($AK$3:$AK$201,$M306)&gt;0,
    COUNTIFS($AL$3:$AL$201,$M306)&gt;0,
    COUNTIFS($AM$3:$AM$201,$M306)&gt;0,
    COUNTIFS($AN$3:$AN$201,$M306)&gt;0,
    COUNTIFS($AO$3:$AO$201,$M306)&gt;0,
    COUNTIFS($AP$3:$AP$201,$M306)&gt;0,
    COUNTIFS($AQ$3:$AQ$201,$M306)&gt;0,
    COUNTIFS($AR$3:$AR$201,$M306)&gt;0,
    COUNTIFS($AS$3:$AS$201,$M306)&gt;0,
    COUNTIFS($AT$3:$AT$201,$M306)&gt;0,
    COUNTIFS($AU$3:$AU$201,$M306)&gt;0,
    COUNTIFS($AV$3:$AV$201,$M306)&gt;0,
    COUNTIFS($AW$3:$AW$201,$M306)&gt;0,
    COUNTIFS($AX$3:$AX$201,$M306)&gt;0
   ),
  0)
 ),
"")</f>
        <v/>
      </c>
      <c r="P306" s="2" t="str" cm="1">
        <f t="array" ref="P306">IFERROR(
 INDEX(
  _xlfn._xlws.FILTER($U$2:$AX$2,
   TRANSPOSE(
    CHOOSE({1;2;3;4;5;6;7;8;9;10;11;12;13;14;15;16;17;18;19;20;21;22;23;24;25;26;27;28;29;30},
     COUNTIFS($U$3:$U$201,$M306)&gt;0,
     COUNTIFS($V$3:$V$201,$M306)&gt;0,
     COUNTIFS($W$3:$W$201,$M306)&gt;0,
     COUNTIFS($X$3:$X$201,$M306)&gt;0,
     COUNTIFS($Y$3:$Y$201,$M306)&gt;0,
     COUNTIFS($Z$3:$Z$201,$M306)&gt;0,
     COUNTIFS($AA$3:$AA$201,$M306)&gt;0,
     COUNTIFS($AB$3:$AB$201,$M306)&gt;0,
     COUNTIFS($AC$3:$AC$201,$M306)&gt;0,
     COUNTIFS($AD$3:$AD$201,$M306)&gt;0,
     COUNTIFS($AE$3:$AE$201,$M306)&gt;0,
     COUNTIFS($AF$3:$AF$201,$M306)&gt;0,
     COUNTIFS($AG$3:$AG$201,$M306)&gt;0,
     COUNTIFS($AH$3:$AH$201,$M306)&gt;0,
     COUNTIFS($AI$3:$AI$201,$M306)&gt;0,
     COUNTIFS($AJ$3:$AJ$201,$M306)&gt;0,
     COUNTIFS($AK$3:$AK$201,$M306)&gt;0,
     COUNTIFS($AL$3:$AL$201,$M306)&gt;0,
     COUNTIFS($AM$3:$AM$201,$M306)&gt;0,
     COUNTIFS($AN$3:$AN$201,$M306)&gt;0,
     COUNTIFS($AO$3:$AO$201,$M306)&gt;0,
     COUNTIFS($AP$3:$AP$201,$M306)&gt;0,
     COUNTIFS($AQ$3:$AQ$201,$M306)&gt;0,
     COUNTIFS($AR$3:$AR$201,$M306)&gt;0,
     COUNTIFS($AS$3:$AS$201,$M306)&gt;0,
     COUNTIFS($AT$3:$AT$201,$M306)&gt;0,
     COUNTIFS($AU$3:$AU$201,$M306)&gt;0,
     COUNTIFS($AV$3:$AV$201,$M306)&gt;0,
     COUNTIFS($AW$3:$AW$201,$M306)&gt;0,
     COUNTIFS($AX$3:$AX$201,$M306)&gt;0
   )),
  ),
  2
 ),
"")</f>
        <v/>
      </c>
      <c r="Q306" s="2" t="str" cm="1">
        <f t="array" ref="Q306">IFERROR(
 INDEX(
  _xlfn._xlws.FILTER($U$2:$AX$2,
   TRANSPOSE(
    CHOOSE({1;2;3;4;5;6;7;8;9;10;11;12;13;14;15;16;17;18;19;20;21;22;23;24;25;26;27;28;29;30},
     COUNTIFS($U$3:$U$201,$M306)&gt;0,
     COUNTIFS($V$3:$V$201,$M306)&gt;0,
     COUNTIFS($W$3:$W$201,$M306)&gt;0,
     COUNTIFS($X$3:$X$201,$M306)&gt;0,
     COUNTIFS($Y$3:$Y$201,$M306)&gt;0,
     COUNTIFS($Z$3:$Z$201,$M306)&gt;0,
     COUNTIFS($AA$3:$AA$201,$M306)&gt;0,
     COUNTIFS($AB$3:$AB$201,$M306)&gt;0,
     COUNTIFS($AC$3:$AC$201,$M306)&gt;0,
     COUNTIFS($AD$3:$AD$201,$M306)&gt;0,
     COUNTIFS($AE$3:$AE$201,$M306)&gt;0,
     COUNTIFS($AF$3:$AF$201,$M306)&gt;0,
     COUNTIFS($AG$3:$AG$201,$M306)&gt;0,
     COUNTIFS($AH$3:$AH$201,$M306)&gt;0,
     COUNTIFS($AI$3:$AI$201,$M306)&gt;0,
     COUNTIFS($AJ$3:$AJ$201,$M306)&gt;0,
     COUNTIFS($AK$3:$AK$201,$M306)&gt;0,
     COUNTIFS($AL$3:$AL$201,$M306)&gt;0,
     COUNTIFS($AM$3:$AM$201,$M306)&gt;0,
     COUNTIFS($AN$3:$AN$201,$M306)&gt;0,
     COUNTIFS($AO$3:$AO$201,$M306)&gt;0,
     COUNTIFS($AP$3:$AP$201,$M306)&gt;0,
     COUNTIFS($AQ$3:$AQ$201,$M306)&gt;0,
     COUNTIFS($AR$3:$AR$201,$M306)&gt;0,
     COUNTIFS($AS$3:$AS$201,$M306)&gt;0,
     COUNTIFS($AT$3:$AT$201,$M306)&gt;0,
     COUNTIFS($AU$3:$AU$201,$M306)&gt;0,
     COUNTIFS($AV$3:$AV$201,$M306)&gt;0,
     COUNTIFS($AW$3:$AW$201,$M306)&gt;0,
     COUNTIFS($AX$3:$AX$201,$M306)&gt;0
   )),
  ),
  3
 ),
"")</f>
        <v/>
      </c>
    </row>
    <row r="307" spans="1:17" x14ac:dyDescent="0.25">
      <c r="A307" t="str">
        <f ca="1"/>
        <v>Oketra's Monument</v>
      </c>
      <c r="B307" s="2" t="str" cm="1">
        <f t="array" aca="1" ref="B307" ca="1">_xlfn.ANCHORARRAY(RESUMO!C306)</f>
        <v>Little</v>
      </c>
      <c r="C307" s="2" t="str">
        <f t="shared" ca="1" si="16"/>
        <v/>
      </c>
      <c r="F307" s="2">
        <f t="shared" si="20"/>
        <v>0</v>
      </c>
      <c r="G307" s="2" t="str">
        <f t="shared" ca="1" si="17"/>
        <v/>
      </c>
      <c r="N307" s="2">
        <f t="shared" si="18"/>
        <v>0</v>
      </c>
      <c r="O307" s="2" t="str">
        <f>IFERROR(
 INDEX($U$2:$AX$2,
  MATCH(TRUE,
   CHOOSE({1;2;3;4;5;6;7;8;9;10;11;12;13;14;15;16;17;18;19;20;21;22;23;24;25;26;27;28;29;30;31;32},
    COUNTIFS($U$3:$U$201,$M307)&gt;0,
    COUNTIFS($V$3:$V$201,$M307)&gt;0,
    COUNTIFS($W$3:$W$201,$M307)&gt;0,
    COUNTIFS($X$3:$X$201,$M307)&gt;0,
    COUNTIFS($Y$3:$Y$201,$M307)&gt;0,
    COUNTIFS($Z$3:$Z$201,$M307)&gt;0,
    COUNTIFS($AA$3:$AA$201,$M307)&gt;0,
    COUNTIFS($AB$3:$AB$201,$M307)&gt;0,
    COUNTIFS($AC$3:$AC$201,$M307)&gt;0,
    COUNTIFS($AD$3:$AD$201,$M307)&gt;0,
    COUNTIFS($AE$3:$AE$201,$M307)&gt;0,
    COUNTIFS($AF$3:$AF$201,$M307)&gt;0,
    COUNTIFS($AG$3:$AG$201,$M307)&gt;0,
    COUNTIFS($AH$3:$AH$201,$M307)&gt;0,
    COUNTIFS($AI$3:$AI$201,$M307)&gt;0,
    COUNTIFS($AJ$3:$AJ$201,$M307)&gt;0,
    COUNTIFS($AK$3:$AK$201,$M307)&gt;0,
    COUNTIFS($AL$3:$AL$201,$M307)&gt;0,
    COUNTIFS($AM$3:$AM$201,$M307)&gt;0,
    COUNTIFS($AN$3:$AN$201,$M307)&gt;0,
    COUNTIFS($AO$3:$AO$201,$M307)&gt;0,
    COUNTIFS($AP$3:$AP$201,$M307)&gt;0,
    COUNTIFS($AQ$3:$AQ$201,$M307)&gt;0,
    COUNTIFS($AR$3:$AR$201,$M307)&gt;0,
    COUNTIFS($AS$3:$AS$201,$M307)&gt;0,
    COUNTIFS($AT$3:$AT$201,$M307)&gt;0,
    COUNTIFS($AU$3:$AU$201,$M307)&gt;0,
    COUNTIFS($AV$3:$AV$201,$M307)&gt;0,
    COUNTIFS($AW$3:$AW$201,$M307)&gt;0,
    COUNTIFS($AX$3:$AX$201,$M307)&gt;0
   ),
  0)
 ),
"")</f>
        <v/>
      </c>
      <c r="P307" s="2" t="str" cm="1">
        <f t="array" ref="P307">IFERROR(
 INDEX(
  _xlfn._xlws.FILTER($U$2:$AX$2,
   TRANSPOSE(
    CHOOSE({1;2;3;4;5;6;7;8;9;10;11;12;13;14;15;16;17;18;19;20;21;22;23;24;25;26;27;28;29;30},
     COUNTIFS($U$3:$U$201,$M307)&gt;0,
     COUNTIFS($V$3:$V$201,$M307)&gt;0,
     COUNTIFS($W$3:$W$201,$M307)&gt;0,
     COUNTIFS($X$3:$X$201,$M307)&gt;0,
     COUNTIFS($Y$3:$Y$201,$M307)&gt;0,
     COUNTIFS($Z$3:$Z$201,$M307)&gt;0,
     COUNTIFS($AA$3:$AA$201,$M307)&gt;0,
     COUNTIFS($AB$3:$AB$201,$M307)&gt;0,
     COUNTIFS($AC$3:$AC$201,$M307)&gt;0,
     COUNTIFS($AD$3:$AD$201,$M307)&gt;0,
     COUNTIFS($AE$3:$AE$201,$M307)&gt;0,
     COUNTIFS($AF$3:$AF$201,$M307)&gt;0,
     COUNTIFS($AG$3:$AG$201,$M307)&gt;0,
     COUNTIFS($AH$3:$AH$201,$M307)&gt;0,
     COUNTIFS($AI$3:$AI$201,$M307)&gt;0,
     COUNTIFS($AJ$3:$AJ$201,$M307)&gt;0,
     COUNTIFS($AK$3:$AK$201,$M307)&gt;0,
     COUNTIFS($AL$3:$AL$201,$M307)&gt;0,
     COUNTIFS($AM$3:$AM$201,$M307)&gt;0,
     COUNTIFS($AN$3:$AN$201,$M307)&gt;0,
     COUNTIFS($AO$3:$AO$201,$M307)&gt;0,
     COUNTIFS($AP$3:$AP$201,$M307)&gt;0,
     COUNTIFS($AQ$3:$AQ$201,$M307)&gt;0,
     COUNTIFS($AR$3:$AR$201,$M307)&gt;0,
     COUNTIFS($AS$3:$AS$201,$M307)&gt;0,
     COUNTIFS($AT$3:$AT$201,$M307)&gt;0,
     COUNTIFS($AU$3:$AU$201,$M307)&gt;0,
     COUNTIFS($AV$3:$AV$201,$M307)&gt;0,
     COUNTIFS($AW$3:$AW$201,$M307)&gt;0,
     COUNTIFS($AX$3:$AX$201,$M307)&gt;0
   )),
  ),
  2
 ),
"")</f>
        <v/>
      </c>
      <c r="Q307" s="2" t="str" cm="1">
        <f t="array" ref="Q307">IFERROR(
 INDEX(
  _xlfn._xlws.FILTER($U$2:$AX$2,
   TRANSPOSE(
    CHOOSE({1;2;3;4;5;6;7;8;9;10;11;12;13;14;15;16;17;18;19;20;21;22;23;24;25;26;27;28;29;30},
     COUNTIFS($U$3:$U$201,$M307)&gt;0,
     COUNTIFS($V$3:$V$201,$M307)&gt;0,
     COUNTIFS($W$3:$W$201,$M307)&gt;0,
     COUNTIFS($X$3:$X$201,$M307)&gt;0,
     COUNTIFS($Y$3:$Y$201,$M307)&gt;0,
     COUNTIFS($Z$3:$Z$201,$M307)&gt;0,
     COUNTIFS($AA$3:$AA$201,$M307)&gt;0,
     COUNTIFS($AB$3:$AB$201,$M307)&gt;0,
     COUNTIFS($AC$3:$AC$201,$M307)&gt;0,
     COUNTIFS($AD$3:$AD$201,$M307)&gt;0,
     COUNTIFS($AE$3:$AE$201,$M307)&gt;0,
     COUNTIFS($AF$3:$AF$201,$M307)&gt;0,
     COUNTIFS($AG$3:$AG$201,$M307)&gt;0,
     COUNTIFS($AH$3:$AH$201,$M307)&gt;0,
     COUNTIFS($AI$3:$AI$201,$M307)&gt;0,
     COUNTIFS($AJ$3:$AJ$201,$M307)&gt;0,
     COUNTIFS($AK$3:$AK$201,$M307)&gt;0,
     COUNTIFS($AL$3:$AL$201,$M307)&gt;0,
     COUNTIFS($AM$3:$AM$201,$M307)&gt;0,
     COUNTIFS($AN$3:$AN$201,$M307)&gt;0,
     COUNTIFS($AO$3:$AO$201,$M307)&gt;0,
     COUNTIFS($AP$3:$AP$201,$M307)&gt;0,
     COUNTIFS($AQ$3:$AQ$201,$M307)&gt;0,
     COUNTIFS($AR$3:$AR$201,$M307)&gt;0,
     COUNTIFS($AS$3:$AS$201,$M307)&gt;0,
     COUNTIFS($AT$3:$AT$201,$M307)&gt;0,
     COUNTIFS($AU$3:$AU$201,$M307)&gt;0,
     COUNTIFS($AV$3:$AV$201,$M307)&gt;0,
     COUNTIFS($AW$3:$AW$201,$M307)&gt;0,
     COUNTIFS($AX$3:$AX$201,$M307)&gt;0
   )),
  ),
  3
 ),
"")</f>
        <v/>
      </c>
    </row>
    <row r="308" spans="1:17" x14ac:dyDescent="0.25">
      <c r="A308" t="str">
        <f ca="1"/>
        <v>Oko, Thief of Crowns</v>
      </c>
      <c r="B308" s="2" t="str" cm="1">
        <f t="array" aca="1" ref="B308" ca="1">_xlfn.ANCHORARRAY(RESUMO!C307)</f>
        <v>Sisay</v>
      </c>
      <c r="C308" s="2" t="str">
        <f t="shared" ca="1" si="16"/>
        <v/>
      </c>
      <c r="F308" s="2">
        <f t="shared" si="20"/>
        <v>0</v>
      </c>
      <c r="G308" s="2" t="str">
        <f t="shared" ca="1" si="17"/>
        <v/>
      </c>
      <c r="N308" s="2">
        <f t="shared" si="18"/>
        <v>0</v>
      </c>
      <c r="O308" s="2" t="str">
        <f>IFERROR(
 INDEX($U$2:$AX$2,
  MATCH(TRUE,
   CHOOSE({1;2;3;4;5;6;7;8;9;10;11;12;13;14;15;16;17;18;19;20;21;22;23;24;25;26;27;28;29;30;31;32},
    COUNTIFS($U$3:$U$201,$M308)&gt;0,
    COUNTIFS($V$3:$V$201,$M308)&gt;0,
    COUNTIFS($W$3:$W$201,$M308)&gt;0,
    COUNTIFS($X$3:$X$201,$M308)&gt;0,
    COUNTIFS($Y$3:$Y$201,$M308)&gt;0,
    COUNTIFS($Z$3:$Z$201,$M308)&gt;0,
    COUNTIFS($AA$3:$AA$201,$M308)&gt;0,
    COUNTIFS($AB$3:$AB$201,$M308)&gt;0,
    COUNTIFS($AC$3:$AC$201,$M308)&gt;0,
    COUNTIFS($AD$3:$AD$201,$M308)&gt;0,
    COUNTIFS($AE$3:$AE$201,$M308)&gt;0,
    COUNTIFS($AF$3:$AF$201,$M308)&gt;0,
    COUNTIFS($AG$3:$AG$201,$M308)&gt;0,
    COUNTIFS($AH$3:$AH$201,$M308)&gt;0,
    COUNTIFS($AI$3:$AI$201,$M308)&gt;0,
    COUNTIFS($AJ$3:$AJ$201,$M308)&gt;0,
    COUNTIFS($AK$3:$AK$201,$M308)&gt;0,
    COUNTIFS($AL$3:$AL$201,$M308)&gt;0,
    COUNTIFS($AM$3:$AM$201,$M308)&gt;0,
    COUNTIFS($AN$3:$AN$201,$M308)&gt;0,
    COUNTIFS($AO$3:$AO$201,$M308)&gt;0,
    COUNTIFS($AP$3:$AP$201,$M308)&gt;0,
    COUNTIFS($AQ$3:$AQ$201,$M308)&gt;0,
    COUNTIFS($AR$3:$AR$201,$M308)&gt;0,
    COUNTIFS($AS$3:$AS$201,$M308)&gt;0,
    COUNTIFS($AT$3:$AT$201,$M308)&gt;0,
    COUNTIFS($AU$3:$AU$201,$M308)&gt;0,
    COUNTIFS($AV$3:$AV$201,$M308)&gt;0,
    COUNTIFS($AW$3:$AW$201,$M308)&gt;0,
    COUNTIFS($AX$3:$AX$201,$M308)&gt;0
   ),
  0)
 ),
"")</f>
        <v/>
      </c>
      <c r="P308" s="2" t="str" cm="1">
        <f t="array" ref="P308">IFERROR(
 INDEX(
  _xlfn._xlws.FILTER($U$2:$AX$2,
   TRANSPOSE(
    CHOOSE({1;2;3;4;5;6;7;8;9;10;11;12;13;14;15;16;17;18;19;20;21;22;23;24;25;26;27;28;29;30},
     COUNTIFS($U$3:$U$201,$M308)&gt;0,
     COUNTIFS($V$3:$V$201,$M308)&gt;0,
     COUNTIFS($W$3:$W$201,$M308)&gt;0,
     COUNTIFS($X$3:$X$201,$M308)&gt;0,
     COUNTIFS($Y$3:$Y$201,$M308)&gt;0,
     COUNTIFS($Z$3:$Z$201,$M308)&gt;0,
     COUNTIFS($AA$3:$AA$201,$M308)&gt;0,
     COUNTIFS($AB$3:$AB$201,$M308)&gt;0,
     COUNTIFS($AC$3:$AC$201,$M308)&gt;0,
     COUNTIFS($AD$3:$AD$201,$M308)&gt;0,
     COUNTIFS($AE$3:$AE$201,$M308)&gt;0,
     COUNTIFS($AF$3:$AF$201,$M308)&gt;0,
     COUNTIFS($AG$3:$AG$201,$M308)&gt;0,
     COUNTIFS($AH$3:$AH$201,$M308)&gt;0,
     COUNTIFS($AI$3:$AI$201,$M308)&gt;0,
     COUNTIFS($AJ$3:$AJ$201,$M308)&gt;0,
     COUNTIFS($AK$3:$AK$201,$M308)&gt;0,
     COUNTIFS($AL$3:$AL$201,$M308)&gt;0,
     COUNTIFS($AM$3:$AM$201,$M308)&gt;0,
     COUNTIFS($AN$3:$AN$201,$M308)&gt;0,
     COUNTIFS($AO$3:$AO$201,$M308)&gt;0,
     COUNTIFS($AP$3:$AP$201,$M308)&gt;0,
     COUNTIFS($AQ$3:$AQ$201,$M308)&gt;0,
     COUNTIFS($AR$3:$AR$201,$M308)&gt;0,
     COUNTIFS($AS$3:$AS$201,$M308)&gt;0,
     COUNTIFS($AT$3:$AT$201,$M308)&gt;0,
     COUNTIFS($AU$3:$AU$201,$M308)&gt;0,
     COUNTIFS($AV$3:$AV$201,$M308)&gt;0,
     COUNTIFS($AW$3:$AW$201,$M308)&gt;0,
     COUNTIFS($AX$3:$AX$201,$M308)&gt;0
   )),
  ),
  2
 ),
"")</f>
        <v/>
      </c>
      <c r="Q308" s="2" t="str" cm="1">
        <f t="array" ref="Q308">IFERROR(
 INDEX(
  _xlfn._xlws.FILTER($U$2:$AX$2,
   TRANSPOSE(
    CHOOSE({1;2;3;4;5;6;7;8;9;10;11;12;13;14;15;16;17;18;19;20;21;22;23;24;25;26;27;28;29;30},
     COUNTIFS($U$3:$U$201,$M308)&gt;0,
     COUNTIFS($V$3:$V$201,$M308)&gt;0,
     COUNTIFS($W$3:$W$201,$M308)&gt;0,
     COUNTIFS($X$3:$X$201,$M308)&gt;0,
     COUNTIFS($Y$3:$Y$201,$M308)&gt;0,
     COUNTIFS($Z$3:$Z$201,$M308)&gt;0,
     COUNTIFS($AA$3:$AA$201,$M308)&gt;0,
     COUNTIFS($AB$3:$AB$201,$M308)&gt;0,
     COUNTIFS($AC$3:$AC$201,$M308)&gt;0,
     COUNTIFS($AD$3:$AD$201,$M308)&gt;0,
     COUNTIFS($AE$3:$AE$201,$M308)&gt;0,
     COUNTIFS($AF$3:$AF$201,$M308)&gt;0,
     COUNTIFS($AG$3:$AG$201,$M308)&gt;0,
     COUNTIFS($AH$3:$AH$201,$M308)&gt;0,
     COUNTIFS($AI$3:$AI$201,$M308)&gt;0,
     COUNTIFS($AJ$3:$AJ$201,$M308)&gt;0,
     COUNTIFS($AK$3:$AK$201,$M308)&gt;0,
     COUNTIFS($AL$3:$AL$201,$M308)&gt;0,
     COUNTIFS($AM$3:$AM$201,$M308)&gt;0,
     COUNTIFS($AN$3:$AN$201,$M308)&gt;0,
     COUNTIFS($AO$3:$AO$201,$M308)&gt;0,
     COUNTIFS($AP$3:$AP$201,$M308)&gt;0,
     COUNTIFS($AQ$3:$AQ$201,$M308)&gt;0,
     COUNTIFS($AR$3:$AR$201,$M308)&gt;0,
     COUNTIFS($AS$3:$AS$201,$M308)&gt;0,
     COUNTIFS($AT$3:$AT$201,$M308)&gt;0,
     COUNTIFS($AU$3:$AU$201,$M308)&gt;0,
     COUNTIFS($AV$3:$AV$201,$M308)&gt;0,
     COUNTIFS($AW$3:$AW$201,$M308)&gt;0,
     COUNTIFS($AX$3:$AX$201,$M308)&gt;0
   )),
  ),
  3
 ),
"")</f>
        <v/>
      </c>
    </row>
    <row r="309" spans="1:17" x14ac:dyDescent="0.25">
      <c r="A309" t="str">
        <f ca="1"/>
        <v>Omen of the Hunt</v>
      </c>
      <c r="B309" s="2" t="str" cm="1">
        <f t="array" aca="1" ref="B309" ca="1">_xlfn.ANCHORARRAY(RESUMO!C308)</f>
        <v>4cRash</v>
      </c>
      <c r="C309" s="2" t="str">
        <f t="shared" ca="1" si="16"/>
        <v/>
      </c>
      <c r="F309" s="2">
        <f t="shared" si="20"/>
        <v>0</v>
      </c>
      <c r="G309" s="2" t="str">
        <f t="shared" ca="1" si="17"/>
        <v/>
      </c>
      <c r="N309" s="2">
        <f t="shared" si="18"/>
        <v>0</v>
      </c>
      <c r="O309" s="2" t="str">
        <f>IFERROR(
 INDEX($U$2:$AX$2,
  MATCH(TRUE,
   CHOOSE({1;2;3;4;5;6;7;8;9;10;11;12;13;14;15;16;17;18;19;20;21;22;23;24;25;26;27;28;29;30;31;32},
    COUNTIFS($U$3:$U$201,$M309)&gt;0,
    COUNTIFS($V$3:$V$201,$M309)&gt;0,
    COUNTIFS($W$3:$W$201,$M309)&gt;0,
    COUNTIFS($X$3:$X$201,$M309)&gt;0,
    COUNTIFS($Y$3:$Y$201,$M309)&gt;0,
    COUNTIFS($Z$3:$Z$201,$M309)&gt;0,
    COUNTIFS($AA$3:$AA$201,$M309)&gt;0,
    COUNTIFS($AB$3:$AB$201,$M309)&gt;0,
    COUNTIFS($AC$3:$AC$201,$M309)&gt;0,
    COUNTIFS($AD$3:$AD$201,$M309)&gt;0,
    COUNTIFS($AE$3:$AE$201,$M309)&gt;0,
    COUNTIFS($AF$3:$AF$201,$M309)&gt;0,
    COUNTIFS($AG$3:$AG$201,$M309)&gt;0,
    COUNTIFS($AH$3:$AH$201,$M309)&gt;0,
    COUNTIFS($AI$3:$AI$201,$M309)&gt;0,
    COUNTIFS($AJ$3:$AJ$201,$M309)&gt;0,
    COUNTIFS($AK$3:$AK$201,$M309)&gt;0,
    COUNTIFS($AL$3:$AL$201,$M309)&gt;0,
    COUNTIFS($AM$3:$AM$201,$M309)&gt;0,
    COUNTIFS($AN$3:$AN$201,$M309)&gt;0,
    COUNTIFS($AO$3:$AO$201,$M309)&gt;0,
    COUNTIFS($AP$3:$AP$201,$M309)&gt;0,
    COUNTIFS($AQ$3:$AQ$201,$M309)&gt;0,
    COUNTIFS($AR$3:$AR$201,$M309)&gt;0,
    COUNTIFS($AS$3:$AS$201,$M309)&gt;0,
    COUNTIFS($AT$3:$AT$201,$M309)&gt;0,
    COUNTIFS($AU$3:$AU$201,$M309)&gt;0,
    COUNTIFS($AV$3:$AV$201,$M309)&gt;0,
    COUNTIFS($AW$3:$AW$201,$M309)&gt;0,
    COUNTIFS($AX$3:$AX$201,$M309)&gt;0
   ),
  0)
 ),
"")</f>
        <v/>
      </c>
      <c r="P309" s="2" t="str" cm="1">
        <f t="array" ref="P309">IFERROR(
 INDEX(
  _xlfn._xlws.FILTER($U$2:$AX$2,
   TRANSPOSE(
    CHOOSE({1;2;3;4;5;6;7;8;9;10;11;12;13;14;15;16;17;18;19;20;21;22;23;24;25;26;27;28;29;30},
     COUNTIFS($U$3:$U$201,$M309)&gt;0,
     COUNTIFS($V$3:$V$201,$M309)&gt;0,
     COUNTIFS($W$3:$W$201,$M309)&gt;0,
     COUNTIFS($X$3:$X$201,$M309)&gt;0,
     COUNTIFS($Y$3:$Y$201,$M309)&gt;0,
     COUNTIFS($Z$3:$Z$201,$M309)&gt;0,
     COUNTIFS($AA$3:$AA$201,$M309)&gt;0,
     COUNTIFS($AB$3:$AB$201,$M309)&gt;0,
     COUNTIFS($AC$3:$AC$201,$M309)&gt;0,
     COUNTIFS($AD$3:$AD$201,$M309)&gt;0,
     COUNTIFS($AE$3:$AE$201,$M309)&gt;0,
     COUNTIFS($AF$3:$AF$201,$M309)&gt;0,
     COUNTIFS($AG$3:$AG$201,$M309)&gt;0,
     COUNTIFS($AH$3:$AH$201,$M309)&gt;0,
     COUNTIFS($AI$3:$AI$201,$M309)&gt;0,
     COUNTIFS($AJ$3:$AJ$201,$M309)&gt;0,
     COUNTIFS($AK$3:$AK$201,$M309)&gt;0,
     COUNTIFS($AL$3:$AL$201,$M309)&gt;0,
     COUNTIFS($AM$3:$AM$201,$M309)&gt;0,
     COUNTIFS($AN$3:$AN$201,$M309)&gt;0,
     COUNTIFS($AO$3:$AO$201,$M309)&gt;0,
     COUNTIFS($AP$3:$AP$201,$M309)&gt;0,
     COUNTIFS($AQ$3:$AQ$201,$M309)&gt;0,
     COUNTIFS($AR$3:$AR$201,$M309)&gt;0,
     COUNTIFS($AS$3:$AS$201,$M309)&gt;0,
     COUNTIFS($AT$3:$AT$201,$M309)&gt;0,
     COUNTIFS($AU$3:$AU$201,$M309)&gt;0,
     COUNTIFS($AV$3:$AV$201,$M309)&gt;0,
     COUNTIFS($AW$3:$AW$201,$M309)&gt;0,
     COUNTIFS($AX$3:$AX$201,$M309)&gt;0
   )),
  ),
  2
 ),
"")</f>
        <v/>
      </c>
      <c r="Q309" s="2" t="str" cm="1">
        <f t="array" ref="Q309">IFERROR(
 INDEX(
  _xlfn._xlws.FILTER($U$2:$AX$2,
   TRANSPOSE(
    CHOOSE({1;2;3;4;5;6;7;8;9;10;11;12;13;14;15;16;17;18;19;20;21;22;23;24;25;26;27;28;29;30},
     COUNTIFS($U$3:$U$201,$M309)&gt;0,
     COUNTIFS($V$3:$V$201,$M309)&gt;0,
     COUNTIFS($W$3:$W$201,$M309)&gt;0,
     COUNTIFS($X$3:$X$201,$M309)&gt;0,
     COUNTIFS($Y$3:$Y$201,$M309)&gt;0,
     COUNTIFS($Z$3:$Z$201,$M309)&gt;0,
     COUNTIFS($AA$3:$AA$201,$M309)&gt;0,
     COUNTIFS($AB$3:$AB$201,$M309)&gt;0,
     COUNTIFS($AC$3:$AC$201,$M309)&gt;0,
     COUNTIFS($AD$3:$AD$201,$M309)&gt;0,
     COUNTIFS($AE$3:$AE$201,$M309)&gt;0,
     COUNTIFS($AF$3:$AF$201,$M309)&gt;0,
     COUNTIFS($AG$3:$AG$201,$M309)&gt;0,
     COUNTIFS($AH$3:$AH$201,$M309)&gt;0,
     COUNTIFS($AI$3:$AI$201,$M309)&gt;0,
     COUNTIFS($AJ$3:$AJ$201,$M309)&gt;0,
     COUNTIFS($AK$3:$AK$201,$M309)&gt;0,
     COUNTIFS($AL$3:$AL$201,$M309)&gt;0,
     COUNTIFS($AM$3:$AM$201,$M309)&gt;0,
     COUNTIFS($AN$3:$AN$201,$M309)&gt;0,
     COUNTIFS($AO$3:$AO$201,$M309)&gt;0,
     COUNTIFS($AP$3:$AP$201,$M309)&gt;0,
     COUNTIFS($AQ$3:$AQ$201,$M309)&gt;0,
     COUNTIFS($AR$3:$AR$201,$M309)&gt;0,
     COUNTIFS($AS$3:$AS$201,$M309)&gt;0,
     COUNTIFS($AT$3:$AT$201,$M309)&gt;0,
     COUNTIFS($AU$3:$AU$201,$M309)&gt;0,
     COUNTIFS($AV$3:$AV$201,$M309)&gt;0,
     COUNTIFS($AW$3:$AW$201,$M309)&gt;0,
     COUNTIFS($AX$3:$AX$201,$M309)&gt;0
   )),
  ),
  3
 ),
"")</f>
        <v/>
      </c>
    </row>
    <row r="310" spans="1:17" x14ac:dyDescent="0.25">
      <c r="A310" t="str">
        <f ca="1"/>
        <v>Ondu Inversion</v>
      </c>
      <c r="B310" s="2" t="str" cm="1">
        <f t="array" aca="1" ref="B310" ca="1">_xlfn.ANCHORARRAY(RESUMO!C309)</f>
        <v>Modular</v>
      </c>
      <c r="C310" s="2" t="str">
        <f t="shared" ca="1" si="16"/>
        <v/>
      </c>
      <c r="F310" s="2">
        <f t="shared" si="20"/>
        <v>0</v>
      </c>
      <c r="G310" s="2" t="str">
        <f t="shared" ca="1" si="17"/>
        <v/>
      </c>
      <c r="N310" s="2">
        <f t="shared" si="18"/>
        <v>0</v>
      </c>
      <c r="O310" s="2" t="str">
        <f>IFERROR(
 INDEX($U$2:$AX$2,
  MATCH(TRUE,
   CHOOSE({1;2;3;4;5;6;7;8;9;10;11;12;13;14;15;16;17;18;19;20;21;22;23;24;25;26;27;28;29;30;31;32},
    COUNTIFS($U$3:$U$201,$M310)&gt;0,
    COUNTIFS($V$3:$V$201,$M310)&gt;0,
    COUNTIFS($W$3:$W$201,$M310)&gt;0,
    COUNTIFS($X$3:$X$201,$M310)&gt;0,
    COUNTIFS($Y$3:$Y$201,$M310)&gt;0,
    COUNTIFS($Z$3:$Z$201,$M310)&gt;0,
    COUNTIFS($AA$3:$AA$201,$M310)&gt;0,
    COUNTIFS($AB$3:$AB$201,$M310)&gt;0,
    COUNTIFS($AC$3:$AC$201,$M310)&gt;0,
    COUNTIFS($AD$3:$AD$201,$M310)&gt;0,
    COUNTIFS($AE$3:$AE$201,$M310)&gt;0,
    COUNTIFS($AF$3:$AF$201,$M310)&gt;0,
    COUNTIFS($AG$3:$AG$201,$M310)&gt;0,
    COUNTIFS($AH$3:$AH$201,$M310)&gt;0,
    COUNTIFS($AI$3:$AI$201,$M310)&gt;0,
    COUNTIFS($AJ$3:$AJ$201,$M310)&gt;0,
    COUNTIFS($AK$3:$AK$201,$M310)&gt;0,
    COUNTIFS($AL$3:$AL$201,$M310)&gt;0,
    COUNTIFS($AM$3:$AM$201,$M310)&gt;0,
    COUNTIFS($AN$3:$AN$201,$M310)&gt;0,
    COUNTIFS($AO$3:$AO$201,$M310)&gt;0,
    COUNTIFS($AP$3:$AP$201,$M310)&gt;0,
    COUNTIFS($AQ$3:$AQ$201,$M310)&gt;0,
    COUNTIFS($AR$3:$AR$201,$M310)&gt;0,
    COUNTIFS($AS$3:$AS$201,$M310)&gt;0,
    COUNTIFS($AT$3:$AT$201,$M310)&gt;0,
    COUNTIFS($AU$3:$AU$201,$M310)&gt;0,
    COUNTIFS($AV$3:$AV$201,$M310)&gt;0,
    COUNTIFS($AW$3:$AW$201,$M310)&gt;0,
    COUNTIFS($AX$3:$AX$201,$M310)&gt;0
   ),
  0)
 ),
"")</f>
        <v/>
      </c>
      <c r="P310" s="2" t="str" cm="1">
        <f t="array" ref="P310">IFERROR(
 INDEX(
  _xlfn._xlws.FILTER($U$2:$AX$2,
   TRANSPOSE(
    CHOOSE({1;2;3;4;5;6;7;8;9;10;11;12;13;14;15;16;17;18;19;20;21;22;23;24;25;26;27;28;29;30},
     COUNTIFS($U$3:$U$201,$M310)&gt;0,
     COUNTIFS($V$3:$V$201,$M310)&gt;0,
     COUNTIFS($W$3:$W$201,$M310)&gt;0,
     COUNTIFS($X$3:$X$201,$M310)&gt;0,
     COUNTIFS($Y$3:$Y$201,$M310)&gt;0,
     COUNTIFS($Z$3:$Z$201,$M310)&gt;0,
     COUNTIFS($AA$3:$AA$201,$M310)&gt;0,
     COUNTIFS($AB$3:$AB$201,$M310)&gt;0,
     COUNTIFS($AC$3:$AC$201,$M310)&gt;0,
     COUNTIFS($AD$3:$AD$201,$M310)&gt;0,
     COUNTIFS($AE$3:$AE$201,$M310)&gt;0,
     COUNTIFS($AF$3:$AF$201,$M310)&gt;0,
     COUNTIFS($AG$3:$AG$201,$M310)&gt;0,
     COUNTIFS($AH$3:$AH$201,$M310)&gt;0,
     COUNTIFS($AI$3:$AI$201,$M310)&gt;0,
     COUNTIFS($AJ$3:$AJ$201,$M310)&gt;0,
     COUNTIFS($AK$3:$AK$201,$M310)&gt;0,
     COUNTIFS($AL$3:$AL$201,$M310)&gt;0,
     COUNTIFS($AM$3:$AM$201,$M310)&gt;0,
     COUNTIFS($AN$3:$AN$201,$M310)&gt;0,
     COUNTIFS($AO$3:$AO$201,$M310)&gt;0,
     COUNTIFS($AP$3:$AP$201,$M310)&gt;0,
     COUNTIFS($AQ$3:$AQ$201,$M310)&gt;0,
     COUNTIFS($AR$3:$AR$201,$M310)&gt;0,
     COUNTIFS($AS$3:$AS$201,$M310)&gt;0,
     COUNTIFS($AT$3:$AT$201,$M310)&gt;0,
     COUNTIFS($AU$3:$AU$201,$M310)&gt;0,
     COUNTIFS($AV$3:$AV$201,$M310)&gt;0,
     COUNTIFS($AW$3:$AW$201,$M310)&gt;0,
     COUNTIFS($AX$3:$AX$201,$M310)&gt;0
   )),
  ),
  2
 ),
"")</f>
        <v/>
      </c>
      <c r="Q310" s="2" t="str" cm="1">
        <f t="array" ref="Q310">IFERROR(
 INDEX(
  _xlfn._xlws.FILTER($U$2:$AX$2,
   TRANSPOSE(
    CHOOSE({1;2;3;4;5;6;7;8;9;10;11;12;13;14;15;16;17;18;19;20;21;22;23;24;25;26;27;28;29;30},
     COUNTIFS($U$3:$U$201,$M310)&gt;0,
     COUNTIFS($V$3:$V$201,$M310)&gt;0,
     COUNTIFS($W$3:$W$201,$M310)&gt;0,
     COUNTIFS($X$3:$X$201,$M310)&gt;0,
     COUNTIFS($Y$3:$Y$201,$M310)&gt;0,
     COUNTIFS($Z$3:$Z$201,$M310)&gt;0,
     COUNTIFS($AA$3:$AA$201,$M310)&gt;0,
     COUNTIFS($AB$3:$AB$201,$M310)&gt;0,
     COUNTIFS($AC$3:$AC$201,$M310)&gt;0,
     COUNTIFS($AD$3:$AD$201,$M310)&gt;0,
     COUNTIFS($AE$3:$AE$201,$M310)&gt;0,
     COUNTIFS($AF$3:$AF$201,$M310)&gt;0,
     COUNTIFS($AG$3:$AG$201,$M310)&gt;0,
     COUNTIFS($AH$3:$AH$201,$M310)&gt;0,
     COUNTIFS($AI$3:$AI$201,$M310)&gt;0,
     COUNTIFS($AJ$3:$AJ$201,$M310)&gt;0,
     COUNTIFS($AK$3:$AK$201,$M310)&gt;0,
     COUNTIFS($AL$3:$AL$201,$M310)&gt;0,
     COUNTIFS($AM$3:$AM$201,$M310)&gt;0,
     COUNTIFS($AN$3:$AN$201,$M310)&gt;0,
     COUNTIFS($AO$3:$AO$201,$M310)&gt;0,
     COUNTIFS($AP$3:$AP$201,$M310)&gt;0,
     COUNTIFS($AQ$3:$AQ$201,$M310)&gt;0,
     COUNTIFS($AR$3:$AR$201,$M310)&gt;0,
     COUNTIFS($AS$3:$AS$201,$M310)&gt;0,
     COUNTIFS($AT$3:$AT$201,$M310)&gt;0,
     COUNTIFS($AU$3:$AU$201,$M310)&gt;0,
     COUNTIFS($AV$3:$AV$201,$M310)&gt;0,
     COUNTIFS($AW$3:$AW$201,$M310)&gt;0,
     COUNTIFS($AX$3:$AX$201,$M310)&gt;0
   )),
  ),
  3
 ),
"")</f>
        <v/>
      </c>
    </row>
    <row r="311" spans="1:17" x14ac:dyDescent="0.25">
      <c r="A311" t="str">
        <f ca="1"/>
        <v>Opaline Sliver</v>
      </c>
      <c r="B311" s="2" t="str" cm="1">
        <f t="array" aca="1" ref="B311" ca="1">_xlfn.ANCHORARRAY(RESUMO!C310)</f>
        <v>Fractius</v>
      </c>
      <c r="C311" s="2" t="str">
        <f t="shared" ca="1" si="16"/>
        <v/>
      </c>
      <c r="F311" s="2">
        <f t="shared" si="20"/>
        <v>0</v>
      </c>
      <c r="G311" s="2" t="str">
        <f t="shared" ca="1" si="17"/>
        <v/>
      </c>
      <c r="N311" s="2">
        <f t="shared" si="18"/>
        <v>0</v>
      </c>
      <c r="O311" s="2" t="str">
        <f>IFERROR(
 INDEX($U$2:$AX$2,
  MATCH(TRUE,
   CHOOSE({1;2;3;4;5;6;7;8;9;10;11;12;13;14;15;16;17;18;19;20;21;22;23;24;25;26;27;28;29;30;31;32},
    COUNTIFS($U$3:$U$201,$M311)&gt;0,
    COUNTIFS($V$3:$V$201,$M311)&gt;0,
    COUNTIFS($W$3:$W$201,$M311)&gt;0,
    COUNTIFS($X$3:$X$201,$M311)&gt;0,
    COUNTIFS($Y$3:$Y$201,$M311)&gt;0,
    COUNTIFS($Z$3:$Z$201,$M311)&gt;0,
    COUNTIFS($AA$3:$AA$201,$M311)&gt;0,
    COUNTIFS($AB$3:$AB$201,$M311)&gt;0,
    COUNTIFS($AC$3:$AC$201,$M311)&gt;0,
    COUNTIFS($AD$3:$AD$201,$M311)&gt;0,
    COUNTIFS($AE$3:$AE$201,$M311)&gt;0,
    COUNTIFS($AF$3:$AF$201,$M311)&gt;0,
    COUNTIFS($AG$3:$AG$201,$M311)&gt;0,
    COUNTIFS($AH$3:$AH$201,$M311)&gt;0,
    COUNTIFS($AI$3:$AI$201,$M311)&gt;0,
    COUNTIFS($AJ$3:$AJ$201,$M311)&gt;0,
    COUNTIFS($AK$3:$AK$201,$M311)&gt;0,
    COUNTIFS($AL$3:$AL$201,$M311)&gt;0,
    COUNTIFS($AM$3:$AM$201,$M311)&gt;0,
    COUNTIFS($AN$3:$AN$201,$M311)&gt;0,
    COUNTIFS($AO$3:$AO$201,$M311)&gt;0,
    COUNTIFS($AP$3:$AP$201,$M311)&gt;0,
    COUNTIFS($AQ$3:$AQ$201,$M311)&gt;0,
    COUNTIFS($AR$3:$AR$201,$M311)&gt;0,
    COUNTIFS($AS$3:$AS$201,$M311)&gt;0,
    COUNTIFS($AT$3:$AT$201,$M311)&gt;0,
    COUNTIFS($AU$3:$AU$201,$M311)&gt;0,
    COUNTIFS($AV$3:$AV$201,$M311)&gt;0,
    COUNTIFS($AW$3:$AW$201,$M311)&gt;0,
    COUNTIFS($AX$3:$AX$201,$M311)&gt;0
   ),
  0)
 ),
"")</f>
        <v/>
      </c>
      <c r="P311" s="2" t="str" cm="1">
        <f t="array" ref="P311">IFERROR(
 INDEX(
  _xlfn._xlws.FILTER($U$2:$AX$2,
   TRANSPOSE(
    CHOOSE({1;2;3;4;5;6;7;8;9;10;11;12;13;14;15;16;17;18;19;20;21;22;23;24;25;26;27;28;29;30},
     COUNTIFS($U$3:$U$201,$M311)&gt;0,
     COUNTIFS($V$3:$V$201,$M311)&gt;0,
     COUNTIFS($W$3:$W$201,$M311)&gt;0,
     COUNTIFS($X$3:$X$201,$M311)&gt;0,
     COUNTIFS($Y$3:$Y$201,$M311)&gt;0,
     COUNTIFS($Z$3:$Z$201,$M311)&gt;0,
     COUNTIFS($AA$3:$AA$201,$M311)&gt;0,
     COUNTIFS($AB$3:$AB$201,$M311)&gt;0,
     COUNTIFS($AC$3:$AC$201,$M311)&gt;0,
     COUNTIFS($AD$3:$AD$201,$M311)&gt;0,
     COUNTIFS($AE$3:$AE$201,$M311)&gt;0,
     COUNTIFS($AF$3:$AF$201,$M311)&gt;0,
     COUNTIFS($AG$3:$AG$201,$M311)&gt;0,
     COUNTIFS($AH$3:$AH$201,$M311)&gt;0,
     COUNTIFS($AI$3:$AI$201,$M311)&gt;0,
     COUNTIFS($AJ$3:$AJ$201,$M311)&gt;0,
     COUNTIFS($AK$3:$AK$201,$M311)&gt;0,
     COUNTIFS($AL$3:$AL$201,$M311)&gt;0,
     COUNTIFS($AM$3:$AM$201,$M311)&gt;0,
     COUNTIFS($AN$3:$AN$201,$M311)&gt;0,
     COUNTIFS($AO$3:$AO$201,$M311)&gt;0,
     COUNTIFS($AP$3:$AP$201,$M311)&gt;0,
     COUNTIFS($AQ$3:$AQ$201,$M311)&gt;0,
     COUNTIFS($AR$3:$AR$201,$M311)&gt;0,
     COUNTIFS($AS$3:$AS$201,$M311)&gt;0,
     COUNTIFS($AT$3:$AT$201,$M311)&gt;0,
     COUNTIFS($AU$3:$AU$201,$M311)&gt;0,
     COUNTIFS($AV$3:$AV$201,$M311)&gt;0,
     COUNTIFS($AW$3:$AW$201,$M311)&gt;0,
     COUNTIFS($AX$3:$AX$201,$M311)&gt;0
   )),
  ),
  2
 ),
"")</f>
        <v/>
      </c>
      <c r="Q311" s="2" t="str" cm="1">
        <f t="array" ref="Q311">IFERROR(
 INDEX(
  _xlfn._xlws.FILTER($U$2:$AX$2,
   TRANSPOSE(
    CHOOSE({1;2;3;4;5;6;7;8;9;10;11;12;13;14;15;16;17;18;19;20;21;22;23;24;25;26;27;28;29;30},
     COUNTIFS($U$3:$U$201,$M311)&gt;0,
     COUNTIFS($V$3:$V$201,$M311)&gt;0,
     COUNTIFS($W$3:$W$201,$M311)&gt;0,
     COUNTIFS($X$3:$X$201,$M311)&gt;0,
     COUNTIFS($Y$3:$Y$201,$M311)&gt;0,
     COUNTIFS($Z$3:$Z$201,$M311)&gt;0,
     COUNTIFS($AA$3:$AA$201,$M311)&gt;0,
     COUNTIFS($AB$3:$AB$201,$M311)&gt;0,
     COUNTIFS($AC$3:$AC$201,$M311)&gt;0,
     COUNTIFS($AD$3:$AD$201,$M311)&gt;0,
     COUNTIFS($AE$3:$AE$201,$M311)&gt;0,
     COUNTIFS($AF$3:$AF$201,$M311)&gt;0,
     COUNTIFS($AG$3:$AG$201,$M311)&gt;0,
     COUNTIFS($AH$3:$AH$201,$M311)&gt;0,
     COUNTIFS($AI$3:$AI$201,$M311)&gt;0,
     COUNTIFS($AJ$3:$AJ$201,$M311)&gt;0,
     COUNTIFS($AK$3:$AK$201,$M311)&gt;0,
     COUNTIFS($AL$3:$AL$201,$M311)&gt;0,
     COUNTIFS($AM$3:$AM$201,$M311)&gt;0,
     COUNTIFS($AN$3:$AN$201,$M311)&gt;0,
     COUNTIFS($AO$3:$AO$201,$M311)&gt;0,
     COUNTIFS($AP$3:$AP$201,$M311)&gt;0,
     COUNTIFS($AQ$3:$AQ$201,$M311)&gt;0,
     COUNTIFS($AR$3:$AR$201,$M311)&gt;0,
     COUNTIFS($AS$3:$AS$201,$M311)&gt;0,
     COUNTIFS($AT$3:$AT$201,$M311)&gt;0,
     COUNTIFS($AU$3:$AU$201,$M311)&gt;0,
     COUNTIFS($AV$3:$AV$201,$M311)&gt;0,
     COUNTIFS($AW$3:$AW$201,$M311)&gt;0,
     COUNTIFS($AX$3:$AX$201,$M311)&gt;0
   )),
  ),
  3
 ),
"")</f>
        <v/>
      </c>
    </row>
    <row r="312" spans="1:17" x14ac:dyDescent="0.25">
      <c r="A312" t="str">
        <f ca="1"/>
        <v>Overgrown Tomb</v>
      </c>
      <c r="B312" s="2" t="str" cm="1">
        <f t="array" aca="1" ref="B312" ca="1">_xlfn.ANCHORARRAY(RESUMO!C311)</f>
        <v>Fractius</v>
      </c>
      <c r="C312" s="2" t="str">
        <f t="shared" ca="1" si="16"/>
        <v/>
      </c>
      <c r="F312" s="2">
        <f t="shared" si="20"/>
        <v>0</v>
      </c>
      <c r="G312" s="2" t="str">
        <f t="shared" ca="1" si="17"/>
        <v/>
      </c>
      <c r="N312" s="2">
        <f t="shared" si="18"/>
        <v>0</v>
      </c>
      <c r="O312" s="2" t="str">
        <f>IFERROR(
 INDEX($U$2:$AX$2,
  MATCH(TRUE,
   CHOOSE({1;2;3;4;5;6;7;8;9;10;11;12;13;14;15;16;17;18;19;20;21;22;23;24;25;26;27;28;29;30;31;32},
    COUNTIFS($U$3:$U$201,$M312)&gt;0,
    COUNTIFS($V$3:$V$201,$M312)&gt;0,
    COUNTIFS($W$3:$W$201,$M312)&gt;0,
    COUNTIFS($X$3:$X$201,$M312)&gt;0,
    COUNTIFS($Y$3:$Y$201,$M312)&gt;0,
    COUNTIFS($Z$3:$Z$201,$M312)&gt;0,
    COUNTIFS($AA$3:$AA$201,$M312)&gt;0,
    COUNTIFS($AB$3:$AB$201,$M312)&gt;0,
    COUNTIFS($AC$3:$AC$201,$M312)&gt;0,
    COUNTIFS($AD$3:$AD$201,$M312)&gt;0,
    COUNTIFS($AE$3:$AE$201,$M312)&gt;0,
    COUNTIFS($AF$3:$AF$201,$M312)&gt;0,
    COUNTIFS($AG$3:$AG$201,$M312)&gt;0,
    COUNTIFS($AH$3:$AH$201,$M312)&gt;0,
    COUNTIFS($AI$3:$AI$201,$M312)&gt;0,
    COUNTIFS($AJ$3:$AJ$201,$M312)&gt;0,
    COUNTIFS($AK$3:$AK$201,$M312)&gt;0,
    COUNTIFS($AL$3:$AL$201,$M312)&gt;0,
    COUNTIFS($AM$3:$AM$201,$M312)&gt;0,
    COUNTIFS($AN$3:$AN$201,$M312)&gt;0,
    COUNTIFS($AO$3:$AO$201,$M312)&gt;0,
    COUNTIFS($AP$3:$AP$201,$M312)&gt;0,
    COUNTIFS($AQ$3:$AQ$201,$M312)&gt;0,
    COUNTIFS($AR$3:$AR$201,$M312)&gt;0,
    COUNTIFS($AS$3:$AS$201,$M312)&gt;0,
    COUNTIFS($AT$3:$AT$201,$M312)&gt;0,
    COUNTIFS($AU$3:$AU$201,$M312)&gt;0,
    COUNTIFS($AV$3:$AV$201,$M312)&gt;0,
    COUNTIFS($AW$3:$AW$201,$M312)&gt;0,
    COUNTIFS($AX$3:$AX$201,$M312)&gt;0
   ),
  0)
 ),
"")</f>
        <v/>
      </c>
      <c r="P312" s="2" t="str" cm="1">
        <f t="array" ref="P312">IFERROR(
 INDEX(
  _xlfn._xlws.FILTER($U$2:$AX$2,
   TRANSPOSE(
    CHOOSE({1;2;3;4;5;6;7;8;9;10;11;12;13;14;15;16;17;18;19;20;21;22;23;24;25;26;27;28;29;30},
     COUNTIFS($U$3:$U$201,$M312)&gt;0,
     COUNTIFS($V$3:$V$201,$M312)&gt;0,
     COUNTIFS($W$3:$W$201,$M312)&gt;0,
     COUNTIFS($X$3:$X$201,$M312)&gt;0,
     COUNTIFS($Y$3:$Y$201,$M312)&gt;0,
     COUNTIFS($Z$3:$Z$201,$M312)&gt;0,
     COUNTIFS($AA$3:$AA$201,$M312)&gt;0,
     COUNTIFS($AB$3:$AB$201,$M312)&gt;0,
     COUNTIFS($AC$3:$AC$201,$M312)&gt;0,
     COUNTIFS($AD$3:$AD$201,$M312)&gt;0,
     COUNTIFS($AE$3:$AE$201,$M312)&gt;0,
     COUNTIFS($AF$3:$AF$201,$M312)&gt;0,
     COUNTIFS($AG$3:$AG$201,$M312)&gt;0,
     COUNTIFS($AH$3:$AH$201,$M312)&gt;0,
     COUNTIFS($AI$3:$AI$201,$M312)&gt;0,
     COUNTIFS($AJ$3:$AJ$201,$M312)&gt;0,
     COUNTIFS($AK$3:$AK$201,$M312)&gt;0,
     COUNTIFS($AL$3:$AL$201,$M312)&gt;0,
     COUNTIFS($AM$3:$AM$201,$M312)&gt;0,
     COUNTIFS($AN$3:$AN$201,$M312)&gt;0,
     COUNTIFS($AO$3:$AO$201,$M312)&gt;0,
     COUNTIFS($AP$3:$AP$201,$M312)&gt;0,
     COUNTIFS($AQ$3:$AQ$201,$M312)&gt;0,
     COUNTIFS($AR$3:$AR$201,$M312)&gt;0,
     COUNTIFS($AS$3:$AS$201,$M312)&gt;0,
     COUNTIFS($AT$3:$AT$201,$M312)&gt;0,
     COUNTIFS($AU$3:$AU$201,$M312)&gt;0,
     COUNTIFS($AV$3:$AV$201,$M312)&gt;0,
     COUNTIFS($AW$3:$AW$201,$M312)&gt;0,
     COUNTIFS($AX$3:$AX$201,$M312)&gt;0
   )),
  ),
  2
 ),
"")</f>
        <v/>
      </c>
      <c r="Q312" s="2" t="str" cm="1">
        <f t="array" ref="Q312">IFERROR(
 INDEX(
  _xlfn._xlws.FILTER($U$2:$AX$2,
   TRANSPOSE(
    CHOOSE({1;2;3;4;5;6;7;8;9;10;11;12;13;14;15;16;17;18;19;20;21;22;23;24;25;26;27;28;29;30},
     COUNTIFS($U$3:$U$201,$M312)&gt;0,
     COUNTIFS($V$3:$V$201,$M312)&gt;0,
     COUNTIFS($W$3:$W$201,$M312)&gt;0,
     COUNTIFS($X$3:$X$201,$M312)&gt;0,
     COUNTIFS($Y$3:$Y$201,$M312)&gt;0,
     COUNTIFS($Z$3:$Z$201,$M312)&gt;0,
     COUNTIFS($AA$3:$AA$201,$M312)&gt;0,
     COUNTIFS($AB$3:$AB$201,$M312)&gt;0,
     COUNTIFS($AC$3:$AC$201,$M312)&gt;0,
     COUNTIFS($AD$3:$AD$201,$M312)&gt;0,
     COUNTIFS($AE$3:$AE$201,$M312)&gt;0,
     COUNTIFS($AF$3:$AF$201,$M312)&gt;0,
     COUNTIFS($AG$3:$AG$201,$M312)&gt;0,
     COUNTIFS($AH$3:$AH$201,$M312)&gt;0,
     COUNTIFS($AI$3:$AI$201,$M312)&gt;0,
     COUNTIFS($AJ$3:$AJ$201,$M312)&gt;0,
     COUNTIFS($AK$3:$AK$201,$M312)&gt;0,
     COUNTIFS($AL$3:$AL$201,$M312)&gt;0,
     COUNTIFS($AM$3:$AM$201,$M312)&gt;0,
     COUNTIFS($AN$3:$AN$201,$M312)&gt;0,
     COUNTIFS($AO$3:$AO$201,$M312)&gt;0,
     COUNTIFS($AP$3:$AP$201,$M312)&gt;0,
     COUNTIFS($AQ$3:$AQ$201,$M312)&gt;0,
     COUNTIFS($AR$3:$AR$201,$M312)&gt;0,
     COUNTIFS($AS$3:$AS$201,$M312)&gt;0,
     COUNTIFS($AT$3:$AT$201,$M312)&gt;0,
     COUNTIFS($AU$3:$AU$201,$M312)&gt;0,
     COUNTIFS($AV$3:$AV$201,$M312)&gt;0,
     COUNTIFS($AW$3:$AW$201,$M312)&gt;0,
     COUNTIFS($AX$3:$AX$201,$M312)&gt;0
   )),
  ),
  3
 ),
"")</f>
        <v/>
      </c>
    </row>
    <row r="313" spans="1:17" x14ac:dyDescent="0.25">
      <c r="A313" t="str">
        <f ca="1"/>
        <v>Party Thrasher</v>
      </c>
      <c r="B313" s="2" t="str" cm="1">
        <f t="array" aca="1" ref="B313" ca="1">_xlfn.ANCHORARRAY(RESUMO!C312)</f>
        <v>Zuko</v>
      </c>
      <c r="C313" s="2" t="str">
        <f t="shared" ca="1" si="16"/>
        <v/>
      </c>
      <c r="F313" s="2">
        <f t="shared" si="20"/>
        <v>0</v>
      </c>
      <c r="G313" s="2" t="str">
        <f t="shared" ca="1" si="17"/>
        <v/>
      </c>
      <c r="N313" s="2">
        <f t="shared" si="18"/>
        <v>0</v>
      </c>
      <c r="O313" s="2" t="str">
        <f>IFERROR(
 INDEX($U$2:$AX$2,
  MATCH(TRUE,
   CHOOSE({1;2;3;4;5;6;7;8;9;10;11;12;13;14;15;16;17;18;19;20;21;22;23;24;25;26;27;28;29;30;31;32},
    COUNTIFS($U$3:$U$201,$M313)&gt;0,
    COUNTIFS($V$3:$V$201,$M313)&gt;0,
    COUNTIFS($W$3:$W$201,$M313)&gt;0,
    COUNTIFS($X$3:$X$201,$M313)&gt;0,
    COUNTIFS($Y$3:$Y$201,$M313)&gt;0,
    COUNTIFS($Z$3:$Z$201,$M313)&gt;0,
    COUNTIFS($AA$3:$AA$201,$M313)&gt;0,
    COUNTIFS($AB$3:$AB$201,$M313)&gt;0,
    COUNTIFS($AC$3:$AC$201,$M313)&gt;0,
    COUNTIFS($AD$3:$AD$201,$M313)&gt;0,
    COUNTIFS($AE$3:$AE$201,$M313)&gt;0,
    COUNTIFS($AF$3:$AF$201,$M313)&gt;0,
    COUNTIFS($AG$3:$AG$201,$M313)&gt;0,
    COUNTIFS($AH$3:$AH$201,$M313)&gt;0,
    COUNTIFS($AI$3:$AI$201,$M313)&gt;0,
    COUNTIFS($AJ$3:$AJ$201,$M313)&gt;0,
    COUNTIFS($AK$3:$AK$201,$M313)&gt;0,
    COUNTIFS($AL$3:$AL$201,$M313)&gt;0,
    COUNTIFS($AM$3:$AM$201,$M313)&gt;0,
    COUNTIFS($AN$3:$AN$201,$M313)&gt;0,
    COUNTIFS($AO$3:$AO$201,$M313)&gt;0,
    COUNTIFS($AP$3:$AP$201,$M313)&gt;0,
    COUNTIFS($AQ$3:$AQ$201,$M313)&gt;0,
    COUNTIFS($AR$3:$AR$201,$M313)&gt;0,
    COUNTIFS($AS$3:$AS$201,$M313)&gt;0,
    COUNTIFS($AT$3:$AT$201,$M313)&gt;0,
    COUNTIFS($AU$3:$AU$201,$M313)&gt;0,
    COUNTIFS($AV$3:$AV$201,$M313)&gt;0,
    COUNTIFS($AW$3:$AW$201,$M313)&gt;0,
    COUNTIFS($AX$3:$AX$201,$M313)&gt;0
   ),
  0)
 ),
"")</f>
        <v/>
      </c>
      <c r="P313" s="2" t="str" cm="1">
        <f t="array" ref="P313">IFERROR(
 INDEX(
  _xlfn._xlws.FILTER($U$2:$AX$2,
   TRANSPOSE(
    CHOOSE({1;2;3;4;5;6;7;8;9;10;11;12;13;14;15;16;17;18;19;20;21;22;23;24;25;26;27;28;29;30},
     COUNTIFS($U$3:$U$201,$M313)&gt;0,
     COUNTIFS($V$3:$V$201,$M313)&gt;0,
     COUNTIFS($W$3:$W$201,$M313)&gt;0,
     COUNTIFS($X$3:$X$201,$M313)&gt;0,
     COUNTIFS($Y$3:$Y$201,$M313)&gt;0,
     COUNTIFS($Z$3:$Z$201,$M313)&gt;0,
     COUNTIFS($AA$3:$AA$201,$M313)&gt;0,
     COUNTIFS($AB$3:$AB$201,$M313)&gt;0,
     COUNTIFS($AC$3:$AC$201,$M313)&gt;0,
     COUNTIFS($AD$3:$AD$201,$M313)&gt;0,
     COUNTIFS($AE$3:$AE$201,$M313)&gt;0,
     COUNTIFS($AF$3:$AF$201,$M313)&gt;0,
     COUNTIFS($AG$3:$AG$201,$M313)&gt;0,
     COUNTIFS($AH$3:$AH$201,$M313)&gt;0,
     COUNTIFS($AI$3:$AI$201,$M313)&gt;0,
     COUNTIFS($AJ$3:$AJ$201,$M313)&gt;0,
     COUNTIFS($AK$3:$AK$201,$M313)&gt;0,
     COUNTIFS($AL$3:$AL$201,$M313)&gt;0,
     COUNTIFS($AM$3:$AM$201,$M313)&gt;0,
     COUNTIFS($AN$3:$AN$201,$M313)&gt;0,
     COUNTIFS($AO$3:$AO$201,$M313)&gt;0,
     COUNTIFS($AP$3:$AP$201,$M313)&gt;0,
     COUNTIFS($AQ$3:$AQ$201,$M313)&gt;0,
     COUNTIFS($AR$3:$AR$201,$M313)&gt;0,
     COUNTIFS($AS$3:$AS$201,$M313)&gt;0,
     COUNTIFS($AT$3:$AT$201,$M313)&gt;0,
     COUNTIFS($AU$3:$AU$201,$M313)&gt;0,
     COUNTIFS($AV$3:$AV$201,$M313)&gt;0,
     COUNTIFS($AW$3:$AW$201,$M313)&gt;0,
     COUNTIFS($AX$3:$AX$201,$M313)&gt;0
   )),
  ),
  2
 ),
"")</f>
        <v/>
      </c>
      <c r="Q313" s="2" t="str" cm="1">
        <f t="array" ref="Q313">IFERROR(
 INDEX(
  _xlfn._xlws.FILTER($U$2:$AX$2,
   TRANSPOSE(
    CHOOSE({1;2;3;4;5;6;7;8;9;10;11;12;13;14;15;16;17;18;19;20;21;22;23;24;25;26;27;28;29;30},
     COUNTIFS($U$3:$U$201,$M313)&gt;0,
     COUNTIFS($V$3:$V$201,$M313)&gt;0,
     COUNTIFS($W$3:$W$201,$M313)&gt;0,
     COUNTIFS($X$3:$X$201,$M313)&gt;0,
     COUNTIFS($Y$3:$Y$201,$M313)&gt;0,
     COUNTIFS($Z$3:$Z$201,$M313)&gt;0,
     COUNTIFS($AA$3:$AA$201,$M313)&gt;0,
     COUNTIFS($AB$3:$AB$201,$M313)&gt;0,
     COUNTIFS($AC$3:$AC$201,$M313)&gt;0,
     COUNTIFS($AD$3:$AD$201,$M313)&gt;0,
     COUNTIFS($AE$3:$AE$201,$M313)&gt;0,
     COUNTIFS($AF$3:$AF$201,$M313)&gt;0,
     COUNTIFS($AG$3:$AG$201,$M313)&gt;0,
     COUNTIFS($AH$3:$AH$201,$M313)&gt;0,
     COUNTIFS($AI$3:$AI$201,$M313)&gt;0,
     COUNTIFS($AJ$3:$AJ$201,$M313)&gt;0,
     COUNTIFS($AK$3:$AK$201,$M313)&gt;0,
     COUNTIFS($AL$3:$AL$201,$M313)&gt;0,
     COUNTIFS($AM$3:$AM$201,$M313)&gt;0,
     COUNTIFS($AN$3:$AN$201,$M313)&gt;0,
     COUNTIFS($AO$3:$AO$201,$M313)&gt;0,
     COUNTIFS($AP$3:$AP$201,$M313)&gt;0,
     COUNTIFS($AQ$3:$AQ$201,$M313)&gt;0,
     COUNTIFS($AR$3:$AR$201,$M313)&gt;0,
     COUNTIFS($AS$3:$AS$201,$M313)&gt;0,
     COUNTIFS($AT$3:$AT$201,$M313)&gt;0,
     COUNTIFS($AU$3:$AU$201,$M313)&gt;0,
     COUNTIFS($AV$3:$AV$201,$M313)&gt;0,
     COUNTIFS($AW$3:$AW$201,$M313)&gt;0,
     COUNTIFS($AX$3:$AX$201,$M313)&gt;0
   )),
  ),
  3
 ),
"")</f>
        <v/>
      </c>
    </row>
    <row r="314" spans="1:17" x14ac:dyDescent="0.25">
      <c r="A314" t="str">
        <f ca="1"/>
        <v>Path to Exile</v>
      </c>
      <c r="B314" s="2" t="str" cm="1">
        <f t="array" aca="1" ref="B314" ca="1">_xlfn.ANCHORARRAY(RESUMO!C313)</f>
        <v>Baylen</v>
      </c>
      <c r="C314" s="2" t="str">
        <f t="shared" ca="1" si="16"/>
        <v/>
      </c>
      <c r="F314" s="2">
        <f t="shared" si="20"/>
        <v>0</v>
      </c>
      <c r="G314" s="2" t="str">
        <f t="shared" ca="1" si="17"/>
        <v/>
      </c>
      <c r="N314" s="2">
        <f t="shared" si="18"/>
        <v>0</v>
      </c>
      <c r="O314" s="2" t="str">
        <f>IFERROR(
 INDEX($U$2:$AX$2,
  MATCH(TRUE,
   CHOOSE({1;2;3;4;5;6;7;8;9;10;11;12;13;14;15;16;17;18;19;20;21;22;23;24;25;26;27;28;29;30;31;32},
    COUNTIFS($U$3:$U$201,$M314)&gt;0,
    COUNTIFS($V$3:$V$201,$M314)&gt;0,
    COUNTIFS($W$3:$W$201,$M314)&gt;0,
    COUNTIFS($X$3:$X$201,$M314)&gt;0,
    COUNTIFS($Y$3:$Y$201,$M314)&gt;0,
    COUNTIFS($Z$3:$Z$201,$M314)&gt;0,
    COUNTIFS($AA$3:$AA$201,$M314)&gt;0,
    COUNTIFS($AB$3:$AB$201,$M314)&gt;0,
    COUNTIFS($AC$3:$AC$201,$M314)&gt;0,
    COUNTIFS($AD$3:$AD$201,$M314)&gt;0,
    COUNTIFS($AE$3:$AE$201,$M314)&gt;0,
    COUNTIFS($AF$3:$AF$201,$M314)&gt;0,
    COUNTIFS($AG$3:$AG$201,$M314)&gt;0,
    COUNTIFS($AH$3:$AH$201,$M314)&gt;0,
    COUNTIFS($AI$3:$AI$201,$M314)&gt;0,
    COUNTIFS($AJ$3:$AJ$201,$M314)&gt;0,
    COUNTIFS($AK$3:$AK$201,$M314)&gt;0,
    COUNTIFS($AL$3:$AL$201,$M314)&gt;0,
    COUNTIFS($AM$3:$AM$201,$M314)&gt;0,
    COUNTIFS($AN$3:$AN$201,$M314)&gt;0,
    COUNTIFS($AO$3:$AO$201,$M314)&gt;0,
    COUNTIFS($AP$3:$AP$201,$M314)&gt;0,
    COUNTIFS($AQ$3:$AQ$201,$M314)&gt;0,
    COUNTIFS($AR$3:$AR$201,$M314)&gt;0,
    COUNTIFS($AS$3:$AS$201,$M314)&gt;0,
    COUNTIFS($AT$3:$AT$201,$M314)&gt;0,
    COUNTIFS($AU$3:$AU$201,$M314)&gt;0,
    COUNTIFS($AV$3:$AV$201,$M314)&gt;0,
    COUNTIFS($AW$3:$AW$201,$M314)&gt;0,
    COUNTIFS($AX$3:$AX$201,$M314)&gt;0
   ),
  0)
 ),
"")</f>
        <v/>
      </c>
      <c r="P314" s="2" t="str" cm="1">
        <f t="array" ref="P314">IFERROR(
 INDEX(
  _xlfn._xlws.FILTER($U$2:$AX$2,
   TRANSPOSE(
    CHOOSE({1;2;3;4;5;6;7;8;9;10;11;12;13;14;15;16;17;18;19;20;21;22;23;24;25;26;27;28;29;30},
     COUNTIFS($U$3:$U$201,$M314)&gt;0,
     COUNTIFS($V$3:$V$201,$M314)&gt;0,
     COUNTIFS($W$3:$W$201,$M314)&gt;0,
     COUNTIFS($X$3:$X$201,$M314)&gt;0,
     COUNTIFS($Y$3:$Y$201,$M314)&gt;0,
     COUNTIFS($Z$3:$Z$201,$M314)&gt;0,
     COUNTIFS($AA$3:$AA$201,$M314)&gt;0,
     COUNTIFS($AB$3:$AB$201,$M314)&gt;0,
     COUNTIFS($AC$3:$AC$201,$M314)&gt;0,
     COUNTIFS($AD$3:$AD$201,$M314)&gt;0,
     COUNTIFS($AE$3:$AE$201,$M314)&gt;0,
     COUNTIFS($AF$3:$AF$201,$M314)&gt;0,
     COUNTIFS($AG$3:$AG$201,$M314)&gt;0,
     COUNTIFS($AH$3:$AH$201,$M314)&gt;0,
     COUNTIFS($AI$3:$AI$201,$M314)&gt;0,
     COUNTIFS($AJ$3:$AJ$201,$M314)&gt;0,
     COUNTIFS($AK$3:$AK$201,$M314)&gt;0,
     COUNTIFS($AL$3:$AL$201,$M314)&gt;0,
     COUNTIFS($AM$3:$AM$201,$M314)&gt;0,
     COUNTIFS($AN$3:$AN$201,$M314)&gt;0,
     COUNTIFS($AO$3:$AO$201,$M314)&gt;0,
     COUNTIFS($AP$3:$AP$201,$M314)&gt;0,
     COUNTIFS($AQ$3:$AQ$201,$M314)&gt;0,
     COUNTIFS($AR$3:$AR$201,$M314)&gt;0,
     COUNTIFS($AS$3:$AS$201,$M314)&gt;0,
     COUNTIFS($AT$3:$AT$201,$M314)&gt;0,
     COUNTIFS($AU$3:$AU$201,$M314)&gt;0,
     COUNTIFS($AV$3:$AV$201,$M314)&gt;0,
     COUNTIFS($AW$3:$AW$201,$M314)&gt;0,
     COUNTIFS($AX$3:$AX$201,$M314)&gt;0
   )),
  ),
  2
 ),
"")</f>
        <v/>
      </c>
      <c r="Q314" s="2" t="str" cm="1">
        <f t="array" ref="Q314">IFERROR(
 INDEX(
  _xlfn._xlws.FILTER($U$2:$AX$2,
   TRANSPOSE(
    CHOOSE({1;2;3;4;5;6;7;8;9;10;11;12;13;14;15;16;17;18;19;20;21;22;23;24;25;26;27;28;29;30},
     COUNTIFS($U$3:$U$201,$M314)&gt;0,
     COUNTIFS($V$3:$V$201,$M314)&gt;0,
     COUNTIFS($W$3:$W$201,$M314)&gt;0,
     COUNTIFS($X$3:$X$201,$M314)&gt;0,
     COUNTIFS($Y$3:$Y$201,$M314)&gt;0,
     COUNTIFS($Z$3:$Z$201,$M314)&gt;0,
     COUNTIFS($AA$3:$AA$201,$M314)&gt;0,
     COUNTIFS($AB$3:$AB$201,$M314)&gt;0,
     COUNTIFS($AC$3:$AC$201,$M314)&gt;0,
     COUNTIFS($AD$3:$AD$201,$M314)&gt;0,
     COUNTIFS($AE$3:$AE$201,$M314)&gt;0,
     COUNTIFS($AF$3:$AF$201,$M314)&gt;0,
     COUNTIFS($AG$3:$AG$201,$M314)&gt;0,
     COUNTIFS($AH$3:$AH$201,$M314)&gt;0,
     COUNTIFS($AI$3:$AI$201,$M314)&gt;0,
     COUNTIFS($AJ$3:$AJ$201,$M314)&gt;0,
     COUNTIFS($AK$3:$AK$201,$M314)&gt;0,
     COUNTIFS($AL$3:$AL$201,$M314)&gt;0,
     COUNTIFS($AM$3:$AM$201,$M314)&gt;0,
     COUNTIFS($AN$3:$AN$201,$M314)&gt;0,
     COUNTIFS($AO$3:$AO$201,$M314)&gt;0,
     COUNTIFS($AP$3:$AP$201,$M314)&gt;0,
     COUNTIFS($AQ$3:$AQ$201,$M314)&gt;0,
     COUNTIFS($AR$3:$AR$201,$M314)&gt;0,
     COUNTIFS($AS$3:$AS$201,$M314)&gt;0,
     COUNTIFS($AT$3:$AT$201,$M314)&gt;0,
     COUNTIFS($AU$3:$AU$201,$M314)&gt;0,
     COUNTIFS($AV$3:$AV$201,$M314)&gt;0,
     COUNTIFS($AW$3:$AW$201,$M314)&gt;0,
     COUNTIFS($AX$3:$AX$201,$M314)&gt;0
   )),
  ),
  3
 ),
"")</f>
        <v/>
      </c>
    </row>
    <row r="315" spans="1:17" x14ac:dyDescent="0.25">
      <c r="A315" t="str">
        <f ca="1"/>
        <v>Perplexing Test</v>
      </c>
      <c r="B315" s="2" t="str" cm="1">
        <f t="array" aca="1" ref="B315" ca="1">_xlfn.ANCHORARRAY(RESUMO!C314)</f>
        <v>4cRash</v>
      </c>
      <c r="C315" s="2" t="str">
        <f t="shared" ca="1" si="16"/>
        <v/>
      </c>
      <c r="F315" s="2">
        <f t="shared" si="20"/>
        <v>0</v>
      </c>
      <c r="G315" s="2" t="str">
        <f t="shared" ca="1" si="17"/>
        <v/>
      </c>
      <c r="N315" s="2">
        <f t="shared" si="18"/>
        <v>0</v>
      </c>
      <c r="O315" s="2" t="str">
        <f>IFERROR(
 INDEX($U$2:$AX$2,
  MATCH(TRUE,
   CHOOSE({1;2;3;4;5;6;7;8;9;10;11;12;13;14;15;16;17;18;19;20;21;22;23;24;25;26;27;28;29;30;31;32},
    COUNTIFS($U$3:$U$201,$M315)&gt;0,
    COUNTIFS($V$3:$V$201,$M315)&gt;0,
    COUNTIFS($W$3:$W$201,$M315)&gt;0,
    COUNTIFS($X$3:$X$201,$M315)&gt;0,
    COUNTIFS($Y$3:$Y$201,$M315)&gt;0,
    COUNTIFS($Z$3:$Z$201,$M315)&gt;0,
    COUNTIFS($AA$3:$AA$201,$M315)&gt;0,
    COUNTIFS($AB$3:$AB$201,$M315)&gt;0,
    COUNTIFS($AC$3:$AC$201,$M315)&gt;0,
    COUNTIFS($AD$3:$AD$201,$M315)&gt;0,
    COUNTIFS($AE$3:$AE$201,$M315)&gt;0,
    COUNTIFS($AF$3:$AF$201,$M315)&gt;0,
    COUNTIFS($AG$3:$AG$201,$M315)&gt;0,
    COUNTIFS($AH$3:$AH$201,$M315)&gt;0,
    COUNTIFS($AI$3:$AI$201,$M315)&gt;0,
    COUNTIFS($AJ$3:$AJ$201,$M315)&gt;0,
    COUNTIFS($AK$3:$AK$201,$M315)&gt;0,
    COUNTIFS($AL$3:$AL$201,$M315)&gt;0,
    COUNTIFS($AM$3:$AM$201,$M315)&gt;0,
    COUNTIFS($AN$3:$AN$201,$M315)&gt;0,
    COUNTIFS($AO$3:$AO$201,$M315)&gt;0,
    COUNTIFS($AP$3:$AP$201,$M315)&gt;0,
    COUNTIFS($AQ$3:$AQ$201,$M315)&gt;0,
    COUNTIFS($AR$3:$AR$201,$M315)&gt;0,
    COUNTIFS($AS$3:$AS$201,$M315)&gt;0,
    COUNTIFS($AT$3:$AT$201,$M315)&gt;0,
    COUNTIFS($AU$3:$AU$201,$M315)&gt;0,
    COUNTIFS($AV$3:$AV$201,$M315)&gt;0,
    COUNTIFS($AW$3:$AW$201,$M315)&gt;0,
    COUNTIFS($AX$3:$AX$201,$M315)&gt;0
   ),
  0)
 ),
"")</f>
        <v/>
      </c>
      <c r="P315" s="2" t="str" cm="1">
        <f t="array" ref="P315">IFERROR(
 INDEX(
  _xlfn._xlws.FILTER($U$2:$AX$2,
   TRANSPOSE(
    CHOOSE({1;2;3;4;5;6;7;8;9;10;11;12;13;14;15;16;17;18;19;20;21;22;23;24;25;26;27;28;29;30},
     COUNTIFS($U$3:$U$201,$M315)&gt;0,
     COUNTIFS($V$3:$V$201,$M315)&gt;0,
     COUNTIFS($W$3:$W$201,$M315)&gt;0,
     COUNTIFS($X$3:$X$201,$M315)&gt;0,
     COUNTIFS($Y$3:$Y$201,$M315)&gt;0,
     COUNTIFS($Z$3:$Z$201,$M315)&gt;0,
     COUNTIFS($AA$3:$AA$201,$M315)&gt;0,
     COUNTIFS($AB$3:$AB$201,$M315)&gt;0,
     COUNTIFS($AC$3:$AC$201,$M315)&gt;0,
     COUNTIFS($AD$3:$AD$201,$M315)&gt;0,
     COUNTIFS($AE$3:$AE$201,$M315)&gt;0,
     COUNTIFS($AF$3:$AF$201,$M315)&gt;0,
     COUNTIFS($AG$3:$AG$201,$M315)&gt;0,
     COUNTIFS($AH$3:$AH$201,$M315)&gt;0,
     COUNTIFS($AI$3:$AI$201,$M315)&gt;0,
     COUNTIFS($AJ$3:$AJ$201,$M315)&gt;0,
     COUNTIFS($AK$3:$AK$201,$M315)&gt;0,
     COUNTIFS($AL$3:$AL$201,$M315)&gt;0,
     COUNTIFS($AM$3:$AM$201,$M315)&gt;0,
     COUNTIFS($AN$3:$AN$201,$M315)&gt;0,
     COUNTIFS($AO$3:$AO$201,$M315)&gt;0,
     COUNTIFS($AP$3:$AP$201,$M315)&gt;0,
     COUNTIFS($AQ$3:$AQ$201,$M315)&gt;0,
     COUNTIFS($AR$3:$AR$201,$M315)&gt;0,
     COUNTIFS($AS$3:$AS$201,$M315)&gt;0,
     COUNTIFS($AT$3:$AT$201,$M315)&gt;0,
     COUNTIFS($AU$3:$AU$201,$M315)&gt;0,
     COUNTIFS($AV$3:$AV$201,$M315)&gt;0,
     COUNTIFS($AW$3:$AW$201,$M315)&gt;0,
     COUNTIFS($AX$3:$AX$201,$M315)&gt;0
   )),
  ),
  2
 ),
"")</f>
        <v/>
      </c>
      <c r="Q315" s="2" t="str" cm="1">
        <f t="array" ref="Q315">IFERROR(
 INDEX(
  _xlfn._xlws.FILTER($U$2:$AX$2,
   TRANSPOSE(
    CHOOSE({1;2;3;4;5;6;7;8;9;10;11;12;13;14;15;16;17;18;19;20;21;22;23;24;25;26;27;28;29;30},
     COUNTIFS($U$3:$U$201,$M315)&gt;0,
     COUNTIFS($V$3:$V$201,$M315)&gt;0,
     COUNTIFS($W$3:$W$201,$M315)&gt;0,
     COUNTIFS($X$3:$X$201,$M315)&gt;0,
     COUNTIFS($Y$3:$Y$201,$M315)&gt;0,
     COUNTIFS($Z$3:$Z$201,$M315)&gt;0,
     COUNTIFS($AA$3:$AA$201,$M315)&gt;0,
     COUNTIFS($AB$3:$AB$201,$M315)&gt;0,
     COUNTIFS($AC$3:$AC$201,$M315)&gt;0,
     COUNTIFS($AD$3:$AD$201,$M315)&gt;0,
     COUNTIFS($AE$3:$AE$201,$M315)&gt;0,
     COUNTIFS($AF$3:$AF$201,$M315)&gt;0,
     COUNTIFS($AG$3:$AG$201,$M315)&gt;0,
     COUNTIFS($AH$3:$AH$201,$M315)&gt;0,
     COUNTIFS($AI$3:$AI$201,$M315)&gt;0,
     COUNTIFS($AJ$3:$AJ$201,$M315)&gt;0,
     COUNTIFS($AK$3:$AK$201,$M315)&gt;0,
     COUNTIFS($AL$3:$AL$201,$M315)&gt;0,
     COUNTIFS($AM$3:$AM$201,$M315)&gt;0,
     COUNTIFS($AN$3:$AN$201,$M315)&gt;0,
     COUNTIFS($AO$3:$AO$201,$M315)&gt;0,
     COUNTIFS($AP$3:$AP$201,$M315)&gt;0,
     COUNTIFS($AQ$3:$AQ$201,$M315)&gt;0,
     COUNTIFS($AR$3:$AR$201,$M315)&gt;0,
     COUNTIFS($AS$3:$AS$201,$M315)&gt;0,
     COUNTIFS($AT$3:$AT$201,$M315)&gt;0,
     COUNTIFS($AU$3:$AU$201,$M315)&gt;0,
     COUNTIFS($AV$3:$AV$201,$M315)&gt;0,
     COUNTIFS($AW$3:$AW$201,$M315)&gt;0,
     COUNTIFS($AX$3:$AX$201,$M315)&gt;0
   )),
  ),
  3
 ),
"")</f>
        <v/>
      </c>
    </row>
    <row r="316" spans="1:17" x14ac:dyDescent="0.25">
      <c r="A316" t="str">
        <f ca="1"/>
        <v>Persistent Constrictor</v>
      </c>
      <c r="B316" s="2" t="str" cm="1">
        <f t="array" aca="1" ref="B316" ca="1">_xlfn.ANCHORARRAY(RESUMO!C315)</f>
        <v>Ool</v>
      </c>
      <c r="C316" s="2" t="str">
        <f t="shared" ca="1" si="16"/>
        <v/>
      </c>
      <c r="F316" s="2">
        <f t="shared" si="20"/>
        <v>0</v>
      </c>
      <c r="G316" s="2" t="str">
        <f t="shared" ca="1" si="17"/>
        <v/>
      </c>
      <c r="N316" s="2">
        <f t="shared" si="18"/>
        <v>0</v>
      </c>
      <c r="O316" s="2" t="str">
        <f>IFERROR(
 INDEX($U$2:$AX$2,
  MATCH(TRUE,
   CHOOSE({1;2;3;4;5;6;7;8;9;10;11;12;13;14;15;16;17;18;19;20;21;22;23;24;25;26;27;28;29;30;31;32},
    COUNTIFS($U$3:$U$201,$M316)&gt;0,
    COUNTIFS($V$3:$V$201,$M316)&gt;0,
    COUNTIFS($W$3:$W$201,$M316)&gt;0,
    COUNTIFS($X$3:$X$201,$M316)&gt;0,
    COUNTIFS($Y$3:$Y$201,$M316)&gt;0,
    COUNTIFS($Z$3:$Z$201,$M316)&gt;0,
    COUNTIFS($AA$3:$AA$201,$M316)&gt;0,
    COUNTIFS($AB$3:$AB$201,$M316)&gt;0,
    COUNTIFS($AC$3:$AC$201,$M316)&gt;0,
    COUNTIFS($AD$3:$AD$201,$M316)&gt;0,
    COUNTIFS($AE$3:$AE$201,$M316)&gt;0,
    COUNTIFS($AF$3:$AF$201,$M316)&gt;0,
    COUNTIFS($AG$3:$AG$201,$M316)&gt;0,
    COUNTIFS($AH$3:$AH$201,$M316)&gt;0,
    COUNTIFS($AI$3:$AI$201,$M316)&gt;0,
    COUNTIFS($AJ$3:$AJ$201,$M316)&gt;0,
    COUNTIFS($AK$3:$AK$201,$M316)&gt;0,
    COUNTIFS($AL$3:$AL$201,$M316)&gt;0,
    COUNTIFS($AM$3:$AM$201,$M316)&gt;0,
    COUNTIFS($AN$3:$AN$201,$M316)&gt;0,
    COUNTIFS($AO$3:$AO$201,$M316)&gt;0,
    COUNTIFS($AP$3:$AP$201,$M316)&gt;0,
    COUNTIFS($AQ$3:$AQ$201,$M316)&gt;0,
    COUNTIFS($AR$3:$AR$201,$M316)&gt;0,
    COUNTIFS($AS$3:$AS$201,$M316)&gt;0,
    COUNTIFS($AT$3:$AT$201,$M316)&gt;0,
    COUNTIFS($AU$3:$AU$201,$M316)&gt;0,
    COUNTIFS($AV$3:$AV$201,$M316)&gt;0,
    COUNTIFS($AW$3:$AW$201,$M316)&gt;0,
    COUNTIFS($AX$3:$AX$201,$M316)&gt;0
   ),
  0)
 ),
"")</f>
        <v/>
      </c>
      <c r="P316" s="2" t="str" cm="1">
        <f t="array" ref="P316">IFERROR(
 INDEX(
  _xlfn._xlws.FILTER($U$2:$AX$2,
   TRANSPOSE(
    CHOOSE({1;2;3;4;5;6;7;8;9;10;11;12;13;14;15;16;17;18;19;20;21;22;23;24;25;26;27;28;29;30},
     COUNTIFS($U$3:$U$201,$M316)&gt;0,
     COUNTIFS($V$3:$V$201,$M316)&gt;0,
     COUNTIFS($W$3:$W$201,$M316)&gt;0,
     COUNTIFS($X$3:$X$201,$M316)&gt;0,
     COUNTIFS($Y$3:$Y$201,$M316)&gt;0,
     COUNTIFS($Z$3:$Z$201,$M316)&gt;0,
     COUNTIFS($AA$3:$AA$201,$M316)&gt;0,
     COUNTIFS($AB$3:$AB$201,$M316)&gt;0,
     COUNTIFS($AC$3:$AC$201,$M316)&gt;0,
     COUNTIFS($AD$3:$AD$201,$M316)&gt;0,
     COUNTIFS($AE$3:$AE$201,$M316)&gt;0,
     COUNTIFS($AF$3:$AF$201,$M316)&gt;0,
     COUNTIFS($AG$3:$AG$201,$M316)&gt;0,
     COUNTIFS($AH$3:$AH$201,$M316)&gt;0,
     COUNTIFS($AI$3:$AI$201,$M316)&gt;0,
     COUNTIFS($AJ$3:$AJ$201,$M316)&gt;0,
     COUNTIFS($AK$3:$AK$201,$M316)&gt;0,
     COUNTIFS($AL$3:$AL$201,$M316)&gt;0,
     COUNTIFS($AM$3:$AM$201,$M316)&gt;0,
     COUNTIFS($AN$3:$AN$201,$M316)&gt;0,
     COUNTIFS($AO$3:$AO$201,$M316)&gt;0,
     COUNTIFS($AP$3:$AP$201,$M316)&gt;0,
     COUNTIFS($AQ$3:$AQ$201,$M316)&gt;0,
     COUNTIFS($AR$3:$AR$201,$M316)&gt;0,
     COUNTIFS($AS$3:$AS$201,$M316)&gt;0,
     COUNTIFS($AT$3:$AT$201,$M316)&gt;0,
     COUNTIFS($AU$3:$AU$201,$M316)&gt;0,
     COUNTIFS($AV$3:$AV$201,$M316)&gt;0,
     COUNTIFS($AW$3:$AW$201,$M316)&gt;0,
     COUNTIFS($AX$3:$AX$201,$M316)&gt;0
   )),
  ),
  2
 ),
"")</f>
        <v/>
      </c>
      <c r="Q316" s="2" t="str" cm="1">
        <f t="array" ref="Q316">IFERROR(
 INDEX(
  _xlfn._xlws.FILTER($U$2:$AX$2,
   TRANSPOSE(
    CHOOSE({1;2;3;4;5;6;7;8;9;10;11;12;13;14;15;16;17;18;19;20;21;22;23;24;25;26;27;28;29;30},
     COUNTIFS($U$3:$U$201,$M316)&gt;0,
     COUNTIFS($V$3:$V$201,$M316)&gt;0,
     COUNTIFS($W$3:$W$201,$M316)&gt;0,
     COUNTIFS($X$3:$X$201,$M316)&gt;0,
     COUNTIFS($Y$3:$Y$201,$M316)&gt;0,
     COUNTIFS($Z$3:$Z$201,$M316)&gt;0,
     COUNTIFS($AA$3:$AA$201,$M316)&gt;0,
     COUNTIFS($AB$3:$AB$201,$M316)&gt;0,
     COUNTIFS($AC$3:$AC$201,$M316)&gt;0,
     COUNTIFS($AD$3:$AD$201,$M316)&gt;0,
     COUNTIFS($AE$3:$AE$201,$M316)&gt;0,
     COUNTIFS($AF$3:$AF$201,$M316)&gt;0,
     COUNTIFS($AG$3:$AG$201,$M316)&gt;0,
     COUNTIFS($AH$3:$AH$201,$M316)&gt;0,
     COUNTIFS($AI$3:$AI$201,$M316)&gt;0,
     COUNTIFS($AJ$3:$AJ$201,$M316)&gt;0,
     COUNTIFS($AK$3:$AK$201,$M316)&gt;0,
     COUNTIFS($AL$3:$AL$201,$M316)&gt;0,
     COUNTIFS($AM$3:$AM$201,$M316)&gt;0,
     COUNTIFS($AN$3:$AN$201,$M316)&gt;0,
     COUNTIFS($AO$3:$AO$201,$M316)&gt;0,
     COUNTIFS($AP$3:$AP$201,$M316)&gt;0,
     COUNTIFS($AQ$3:$AQ$201,$M316)&gt;0,
     COUNTIFS($AR$3:$AR$201,$M316)&gt;0,
     COUNTIFS($AS$3:$AS$201,$M316)&gt;0,
     COUNTIFS($AT$3:$AT$201,$M316)&gt;0,
     COUNTIFS($AU$3:$AU$201,$M316)&gt;0,
     COUNTIFS($AV$3:$AV$201,$M316)&gt;0,
     COUNTIFS($AW$3:$AW$201,$M316)&gt;0,
     COUNTIFS($AX$3:$AX$201,$M316)&gt;0
   )),
  ),
  3
 ),
"")</f>
        <v/>
      </c>
    </row>
    <row r="317" spans="1:17" x14ac:dyDescent="0.25">
      <c r="A317" t="str">
        <f ca="1"/>
        <v>Pestered Wellguard</v>
      </c>
      <c r="B317" s="2" t="str" cm="1">
        <f t="array" aca="1" ref="B317" ca="1">_xlfn.ANCHORARRAY(RESUMO!C316)</f>
        <v>Kumena</v>
      </c>
      <c r="C317" s="2" t="str">
        <f t="shared" ca="1" si="16"/>
        <v/>
      </c>
      <c r="F317" s="2">
        <f t="shared" si="20"/>
        <v>0</v>
      </c>
      <c r="G317" s="2" t="str">
        <f t="shared" ca="1" si="17"/>
        <v/>
      </c>
      <c r="N317" s="2">
        <f t="shared" si="18"/>
        <v>0</v>
      </c>
      <c r="O317" s="2" t="str">
        <f>IFERROR(
 INDEX($U$2:$AX$2,
  MATCH(TRUE,
   CHOOSE({1;2;3;4;5;6;7;8;9;10;11;12;13;14;15;16;17;18;19;20;21;22;23;24;25;26;27;28;29;30;31;32},
    COUNTIFS($U$3:$U$201,$M317)&gt;0,
    COUNTIFS($V$3:$V$201,$M317)&gt;0,
    COUNTIFS($W$3:$W$201,$M317)&gt;0,
    COUNTIFS($X$3:$X$201,$M317)&gt;0,
    COUNTIFS($Y$3:$Y$201,$M317)&gt;0,
    COUNTIFS($Z$3:$Z$201,$M317)&gt;0,
    COUNTIFS($AA$3:$AA$201,$M317)&gt;0,
    COUNTIFS($AB$3:$AB$201,$M317)&gt;0,
    COUNTIFS($AC$3:$AC$201,$M317)&gt;0,
    COUNTIFS($AD$3:$AD$201,$M317)&gt;0,
    COUNTIFS($AE$3:$AE$201,$M317)&gt;0,
    COUNTIFS($AF$3:$AF$201,$M317)&gt;0,
    COUNTIFS($AG$3:$AG$201,$M317)&gt;0,
    COUNTIFS($AH$3:$AH$201,$M317)&gt;0,
    COUNTIFS($AI$3:$AI$201,$M317)&gt;0,
    COUNTIFS($AJ$3:$AJ$201,$M317)&gt;0,
    COUNTIFS($AK$3:$AK$201,$M317)&gt;0,
    COUNTIFS($AL$3:$AL$201,$M317)&gt;0,
    COUNTIFS($AM$3:$AM$201,$M317)&gt;0,
    COUNTIFS($AN$3:$AN$201,$M317)&gt;0,
    COUNTIFS($AO$3:$AO$201,$M317)&gt;0,
    COUNTIFS($AP$3:$AP$201,$M317)&gt;0,
    COUNTIFS($AQ$3:$AQ$201,$M317)&gt;0,
    COUNTIFS($AR$3:$AR$201,$M317)&gt;0,
    COUNTIFS($AS$3:$AS$201,$M317)&gt;0,
    COUNTIFS($AT$3:$AT$201,$M317)&gt;0,
    COUNTIFS($AU$3:$AU$201,$M317)&gt;0,
    COUNTIFS($AV$3:$AV$201,$M317)&gt;0,
    COUNTIFS($AW$3:$AW$201,$M317)&gt;0,
    COUNTIFS($AX$3:$AX$201,$M317)&gt;0
   ),
  0)
 ),
"")</f>
        <v/>
      </c>
      <c r="P317" s="2" t="str" cm="1">
        <f t="array" ref="P317">IFERROR(
 INDEX(
  _xlfn._xlws.FILTER($U$2:$AX$2,
   TRANSPOSE(
    CHOOSE({1;2;3;4;5;6;7;8;9;10;11;12;13;14;15;16;17;18;19;20;21;22;23;24;25;26;27;28;29;30},
     COUNTIFS($U$3:$U$201,$M317)&gt;0,
     COUNTIFS($V$3:$V$201,$M317)&gt;0,
     COUNTIFS($W$3:$W$201,$M317)&gt;0,
     COUNTIFS($X$3:$X$201,$M317)&gt;0,
     COUNTIFS($Y$3:$Y$201,$M317)&gt;0,
     COUNTIFS($Z$3:$Z$201,$M317)&gt;0,
     COUNTIFS($AA$3:$AA$201,$M317)&gt;0,
     COUNTIFS($AB$3:$AB$201,$M317)&gt;0,
     COUNTIFS($AC$3:$AC$201,$M317)&gt;0,
     COUNTIFS($AD$3:$AD$201,$M317)&gt;0,
     COUNTIFS($AE$3:$AE$201,$M317)&gt;0,
     COUNTIFS($AF$3:$AF$201,$M317)&gt;0,
     COUNTIFS($AG$3:$AG$201,$M317)&gt;0,
     COUNTIFS($AH$3:$AH$201,$M317)&gt;0,
     COUNTIFS($AI$3:$AI$201,$M317)&gt;0,
     COUNTIFS($AJ$3:$AJ$201,$M317)&gt;0,
     COUNTIFS($AK$3:$AK$201,$M317)&gt;0,
     COUNTIFS($AL$3:$AL$201,$M317)&gt;0,
     COUNTIFS($AM$3:$AM$201,$M317)&gt;0,
     COUNTIFS($AN$3:$AN$201,$M317)&gt;0,
     COUNTIFS($AO$3:$AO$201,$M317)&gt;0,
     COUNTIFS($AP$3:$AP$201,$M317)&gt;0,
     COUNTIFS($AQ$3:$AQ$201,$M317)&gt;0,
     COUNTIFS($AR$3:$AR$201,$M317)&gt;0,
     COUNTIFS($AS$3:$AS$201,$M317)&gt;0,
     COUNTIFS($AT$3:$AT$201,$M317)&gt;0,
     COUNTIFS($AU$3:$AU$201,$M317)&gt;0,
     COUNTIFS($AV$3:$AV$201,$M317)&gt;0,
     COUNTIFS($AW$3:$AW$201,$M317)&gt;0,
     COUNTIFS($AX$3:$AX$201,$M317)&gt;0
   )),
  ),
  2
 ),
"")</f>
        <v/>
      </c>
      <c r="Q317" s="2" t="str" cm="1">
        <f t="array" ref="Q317">IFERROR(
 INDEX(
  _xlfn._xlws.FILTER($U$2:$AX$2,
   TRANSPOSE(
    CHOOSE({1;2;3;4;5;6;7;8;9;10;11;12;13;14;15;16;17;18;19;20;21;22;23;24;25;26;27;28;29;30},
     COUNTIFS($U$3:$U$201,$M317)&gt;0,
     COUNTIFS($V$3:$V$201,$M317)&gt;0,
     COUNTIFS($W$3:$W$201,$M317)&gt;0,
     COUNTIFS($X$3:$X$201,$M317)&gt;0,
     COUNTIFS($Y$3:$Y$201,$M317)&gt;0,
     COUNTIFS($Z$3:$Z$201,$M317)&gt;0,
     COUNTIFS($AA$3:$AA$201,$M317)&gt;0,
     COUNTIFS($AB$3:$AB$201,$M317)&gt;0,
     COUNTIFS($AC$3:$AC$201,$M317)&gt;0,
     COUNTIFS($AD$3:$AD$201,$M317)&gt;0,
     COUNTIFS($AE$3:$AE$201,$M317)&gt;0,
     COUNTIFS($AF$3:$AF$201,$M317)&gt;0,
     COUNTIFS($AG$3:$AG$201,$M317)&gt;0,
     COUNTIFS($AH$3:$AH$201,$M317)&gt;0,
     COUNTIFS($AI$3:$AI$201,$M317)&gt;0,
     COUNTIFS($AJ$3:$AJ$201,$M317)&gt;0,
     COUNTIFS($AK$3:$AK$201,$M317)&gt;0,
     COUNTIFS($AL$3:$AL$201,$M317)&gt;0,
     COUNTIFS($AM$3:$AM$201,$M317)&gt;0,
     COUNTIFS($AN$3:$AN$201,$M317)&gt;0,
     COUNTIFS($AO$3:$AO$201,$M317)&gt;0,
     COUNTIFS($AP$3:$AP$201,$M317)&gt;0,
     COUNTIFS($AQ$3:$AQ$201,$M317)&gt;0,
     COUNTIFS($AR$3:$AR$201,$M317)&gt;0,
     COUNTIFS($AS$3:$AS$201,$M317)&gt;0,
     COUNTIFS($AT$3:$AT$201,$M317)&gt;0,
     COUNTIFS($AU$3:$AU$201,$M317)&gt;0,
     COUNTIFS($AV$3:$AV$201,$M317)&gt;0,
     COUNTIFS($AW$3:$AW$201,$M317)&gt;0,
     COUNTIFS($AX$3:$AX$201,$M317)&gt;0
   )),
  ),
  3
 ),
"")</f>
        <v/>
      </c>
    </row>
    <row r="318" spans="1:17" x14ac:dyDescent="0.25">
      <c r="A318" t="str">
        <f ca="1"/>
        <v>Petrified Field</v>
      </c>
      <c r="B318" s="2" t="str" cm="1">
        <f t="array" aca="1" ref="B318" ca="1">_xlfn.ANCHORARRAY(RESUMO!C317)</f>
        <v>Gitrog</v>
      </c>
      <c r="C318" s="2" t="str">
        <f t="shared" ca="1" si="16"/>
        <v/>
      </c>
      <c r="F318" s="2">
        <f t="shared" si="20"/>
        <v>0</v>
      </c>
      <c r="G318" s="2" t="str">
        <f t="shared" ca="1" si="17"/>
        <v/>
      </c>
      <c r="N318" s="2">
        <f t="shared" si="18"/>
        <v>0</v>
      </c>
      <c r="O318" s="2" t="str">
        <f>IFERROR(
 INDEX($U$2:$AX$2,
  MATCH(TRUE,
   CHOOSE({1;2;3;4;5;6;7;8;9;10;11;12;13;14;15;16;17;18;19;20;21;22;23;24;25;26;27;28;29;30;31;32},
    COUNTIFS($U$3:$U$201,$M318)&gt;0,
    COUNTIFS($V$3:$V$201,$M318)&gt;0,
    COUNTIFS($W$3:$W$201,$M318)&gt;0,
    COUNTIFS($X$3:$X$201,$M318)&gt;0,
    COUNTIFS($Y$3:$Y$201,$M318)&gt;0,
    COUNTIFS($Z$3:$Z$201,$M318)&gt;0,
    COUNTIFS($AA$3:$AA$201,$M318)&gt;0,
    COUNTIFS($AB$3:$AB$201,$M318)&gt;0,
    COUNTIFS($AC$3:$AC$201,$M318)&gt;0,
    COUNTIFS($AD$3:$AD$201,$M318)&gt;0,
    COUNTIFS($AE$3:$AE$201,$M318)&gt;0,
    COUNTIFS($AF$3:$AF$201,$M318)&gt;0,
    COUNTIFS($AG$3:$AG$201,$M318)&gt;0,
    COUNTIFS($AH$3:$AH$201,$M318)&gt;0,
    COUNTIFS($AI$3:$AI$201,$M318)&gt;0,
    COUNTIFS($AJ$3:$AJ$201,$M318)&gt;0,
    COUNTIFS($AK$3:$AK$201,$M318)&gt;0,
    COUNTIFS($AL$3:$AL$201,$M318)&gt;0,
    COUNTIFS($AM$3:$AM$201,$M318)&gt;0,
    COUNTIFS($AN$3:$AN$201,$M318)&gt;0,
    COUNTIFS($AO$3:$AO$201,$M318)&gt;0,
    COUNTIFS($AP$3:$AP$201,$M318)&gt;0,
    COUNTIFS($AQ$3:$AQ$201,$M318)&gt;0,
    COUNTIFS($AR$3:$AR$201,$M318)&gt;0,
    COUNTIFS($AS$3:$AS$201,$M318)&gt;0,
    COUNTIFS($AT$3:$AT$201,$M318)&gt;0,
    COUNTIFS($AU$3:$AU$201,$M318)&gt;0,
    COUNTIFS($AV$3:$AV$201,$M318)&gt;0,
    COUNTIFS($AW$3:$AW$201,$M318)&gt;0,
    COUNTIFS($AX$3:$AX$201,$M318)&gt;0
   ),
  0)
 ),
"")</f>
        <v/>
      </c>
      <c r="P318" s="2" t="str" cm="1">
        <f t="array" ref="P318">IFERROR(
 INDEX(
  _xlfn._xlws.FILTER($U$2:$AX$2,
   TRANSPOSE(
    CHOOSE({1;2;3;4;5;6;7;8;9;10;11;12;13;14;15;16;17;18;19;20;21;22;23;24;25;26;27;28;29;30},
     COUNTIFS($U$3:$U$201,$M318)&gt;0,
     COUNTIFS($V$3:$V$201,$M318)&gt;0,
     COUNTIFS($W$3:$W$201,$M318)&gt;0,
     COUNTIFS($X$3:$X$201,$M318)&gt;0,
     COUNTIFS($Y$3:$Y$201,$M318)&gt;0,
     COUNTIFS($Z$3:$Z$201,$M318)&gt;0,
     COUNTIFS($AA$3:$AA$201,$M318)&gt;0,
     COUNTIFS($AB$3:$AB$201,$M318)&gt;0,
     COUNTIFS($AC$3:$AC$201,$M318)&gt;0,
     COUNTIFS($AD$3:$AD$201,$M318)&gt;0,
     COUNTIFS($AE$3:$AE$201,$M318)&gt;0,
     COUNTIFS($AF$3:$AF$201,$M318)&gt;0,
     COUNTIFS($AG$3:$AG$201,$M318)&gt;0,
     COUNTIFS($AH$3:$AH$201,$M318)&gt;0,
     COUNTIFS($AI$3:$AI$201,$M318)&gt;0,
     COUNTIFS($AJ$3:$AJ$201,$M318)&gt;0,
     COUNTIFS($AK$3:$AK$201,$M318)&gt;0,
     COUNTIFS($AL$3:$AL$201,$M318)&gt;0,
     COUNTIFS($AM$3:$AM$201,$M318)&gt;0,
     COUNTIFS($AN$3:$AN$201,$M318)&gt;0,
     COUNTIFS($AO$3:$AO$201,$M318)&gt;0,
     COUNTIFS($AP$3:$AP$201,$M318)&gt;0,
     COUNTIFS($AQ$3:$AQ$201,$M318)&gt;0,
     COUNTIFS($AR$3:$AR$201,$M318)&gt;0,
     COUNTIFS($AS$3:$AS$201,$M318)&gt;0,
     COUNTIFS($AT$3:$AT$201,$M318)&gt;0,
     COUNTIFS($AU$3:$AU$201,$M318)&gt;0,
     COUNTIFS($AV$3:$AV$201,$M318)&gt;0,
     COUNTIFS($AW$3:$AW$201,$M318)&gt;0,
     COUNTIFS($AX$3:$AX$201,$M318)&gt;0
   )),
  ),
  2
 ),
"")</f>
        <v/>
      </c>
      <c r="Q318" s="2" t="str" cm="1">
        <f t="array" ref="Q318">IFERROR(
 INDEX(
  _xlfn._xlws.FILTER($U$2:$AX$2,
   TRANSPOSE(
    CHOOSE({1;2;3;4;5;6;7;8;9;10;11;12;13;14;15;16;17;18;19;20;21;22;23;24;25;26;27;28;29;30},
     COUNTIFS($U$3:$U$201,$M318)&gt;0,
     COUNTIFS($V$3:$V$201,$M318)&gt;0,
     COUNTIFS($W$3:$W$201,$M318)&gt;0,
     COUNTIFS($X$3:$X$201,$M318)&gt;0,
     COUNTIFS($Y$3:$Y$201,$M318)&gt;0,
     COUNTIFS($Z$3:$Z$201,$M318)&gt;0,
     COUNTIFS($AA$3:$AA$201,$M318)&gt;0,
     COUNTIFS($AB$3:$AB$201,$M318)&gt;0,
     COUNTIFS($AC$3:$AC$201,$M318)&gt;0,
     COUNTIFS($AD$3:$AD$201,$M318)&gt;0,
     COUNTIFS($AE$3:$AE$201,$M318)&gt;0,
     COUNTIFS($AF$3:$AF$201,$M318)&gt;0,
     COUNTIFS($AG$3:$AG$201,$M318)&gt;0,
     COUNTIFS($AH$3:$AH$201,$M318)&gt;0,
     COUNTIFS($AI$3:$AI$201,$M318)&gt;0,
     COUNTIFS($AJ$3:$AJ$201,$M318)&gt;0,
     COUNTIFS($AK$3:$AK$201,$M318)&gt;0,
     COUNTIFS($AL$3:$AL$201,$M318)&gt;0,
     COUNTIFS($AM$3:$AM$201,$M318)&gt;0,
     COUNTIFS($AN$3:$AN$201,$M318)&gt;0,
     COUNTIFS($AO$3:$AO$201,$M318)&gt;0,
     COUNTIFS($AP$3:$AP$201,$M318)&gt;0,
     COUNTIFS($AQ$3:$AQ$201,$M318)&gt;0,
     COUNTIFS($AR$3:$AR$201,$M318)&gt;0,
     COUNTIFS($AS$3:$AS$201,$M318)&gt;0,
     COUNTIFS($AT$3:$AT$201,$M318)&gt;0,
     COUNTIFS($AU$3:$AU$201,$M318)&gt;0,
     COUNTIFS($AV$3:$AV$201,$M318)&gt;0,
     COUNTIFS($AW$3:$AW$201,$M318)&gt;0,
     COUNTIFS($AX$3:$AX$201,$M318)&gt;0
   )),
  ),
  3
 ),
"")</f>
        <v/>
      </c>
    </row>
    <row r="319" spans="1:17" x14ac:dyDescent="0.25">
      <c r="A319" t="str">
        <f ca="1"/>
        <v>Phyrexian Arena</v>
      </c>
      <c r="B319" s="2" t="str" cm="1">
        <f t="array" aca="1" ref="B319" ca="1">_xlfn.ANCHORARRAY(RESUMO!C318)</f>
        <v>Kresh</v>
      </c>
      <c r="C319" s="2" t="str">
        <f t="shared" ca="1" si="16"/>
        <v/>
      </c>
      <c r="F319" s="2">
        <f t="shared" si="20"/>
        <v>0</v>
      </c>
      <c r="G319" s="2" t="str">
        <f t="shared" ca="1" si="17"/>
        <v/>
      </c>
      <c r="N319" s="2">
        <f t="shared" si="18"/>
        <v>0</v>
      </c>
      <c r="O319" s="2" t="str">
        <f>IFERROR(
 INDEX($U$2:$AX$2,
  MATCH(TRUE,
   CHOOSE({1;2;3;4;5;6;7;8;9;10;11;12;13;14;15;16;17;18;19;20;21;22;23;24;25;26;27;28;29;30;31;32},
    COUNTIFS($U$3:$U$201,$M319)&gt;0,
    COUNTIFS($V$3:$V$201,$M319)&gt;0,
    COUNTIFS($W$3:$W$201,$M319)&gt;0,
    COUNTIFS($X$3:$X$201,$M319)&gt;0,
    COUNTIFS($Y$3:$Y$201,$M319)&gt;0,
    COUNTIFS($Z$3:$Z$201,$M319)&gt;0,
    COUNTIFS($AA$3:$AA$201,$M319)&gt;0,
    COUNTIFS($AB$3:$AB$201,$M319)&gt;0,
    COUNTIFS($AC$3:$AC$201,$M319)&gt;0,
    COUNTIFS($AD$3:$AD$201,$M319)&gt;0,
    COUNTIFS($AE$3:$AE$201,$M319)&gt;0,
    COUNTIFS($AF$3:$AF$201,$M319)&gt;0,
    COUNTIFS($AG$3:$AG$201,$M319)&gt;0,
    COUNTIFS($AH$3:$AH$201,$M319)&gt;0,
    COUNTIFS($AI$3:$AI$201,$M319)&gt;0,
    COUNTIFS($AJ$3:$AJ$201,$M319)&gt;0,
    COUNTIFS($AK$3:$AK$201,$M319)&gt;0,
    COUNTIFS($AL$3:$AL$201,$M319)&gt;0,
    COUNTIFS($AM$3:$AM$201,$M319)&gt;0,
    COUNTIFS($AN$3:$AN$201,$M319)&gt;0,
    COUNTIFS($AO$3:$AO$201,$M319)&gt;0,
    COUNTIFS($AP$3:$AP$201,$M319)&gt;0,
    COUNTIFS($AQ$3:$AQ$201,$M319)&gt;0,
    COUNTIFS($AR$3:$AR$201,$M319)&gt;0,
    COUNTIFS($AS$3:$AS$201,$M319)&gt;0,
    COUNTIFS($AT$3:$AT$201,$M319)&gt;0,
    COUNTIFS($AU$3:$AU$201,$M319)&gt;0,
    COUNTIFS($AV$3:$AV$201,$M319)&gt;0,
    COUNTIFS($AW$3:$AW$201,$M319)&gt;0,
    COUNTIFS($AX$3:$AX$201,$M319)&gt;0
   ),
  0)
 ),
"")</f>
        <v/>
      </c>
      <c r="P319" s="2" t="str" cm="1">
        <f t="array" ref="P319">IFERROR(
 INDEX(
  _xlfn._xlws.FILTER($U$2:$AX$2,
   TRANSPOSE(
    CHOOSE({1;2;3;4;5;6;7;8;9;10;11;12;13;14;15;16;17;18;19;20;21;22;23;24;25;26;27;28;29;30},
     COUNTIFS($U$3:$U$201,$M319)&gt;0,
     COUNTIFS($V$3:$V$201,$M319)&gt;0,
     COUNTIFS($W$3:$W$201,$M319)&gt;0,
     COUNTIFS($X$3:$X$201,$M319)&gt;0,
     COUNTIFS($Y$3:$Y$201,$M319)&gt;0,
     COUNTIFS($Z$3:$Z$201,$M319)&gt;0,
     COUNTIFS($AA$3:$AA$201,$M319)&gt;0,
     COUNTIFS($AB$3:$AB$201,$M319)&gt;0,
     COUNTIFS($AC$3:$AC$201,$M319)&gt;0,
     COUNTIFS($AD$3:$AD$201,$M319)&gt;0,
     COUNTIFS($AE$3:$AE$201,$M319)&gt;0,
     COUNTIFS($AF$3:$AF$201,$M319)&gt;0,
     COUNTIFS($AG$3:$AG$201,$M319)&gt;0,
     COUNTIFS($AH$3:$AH$201,$M319)&gt;0,
     COUNTIFS($AI$3:$AI$201,$M319)&gt;0,
     COUNTIFS($AJ$3:$AJ$201,$M319)&gt;0,
     COUNTIFS($AK$3:$AK$201,$M319)&gt;0,
     COUNTIFS($AL$3:$AL$201,$M319)&gt;0,
     COUNTIFS($AM$3:$AM$201,$M319)&gt;0,
     COUNTIFS($AN$3:$AN$201,$M319)&gt;0,
     COUNTIFS($AO$3:$AO$201,$M319)&gt;0,
     COUNTIFS($AP$3:$AP$201,$M319)&gt;0,
     COUNTIFS($AQ$3:$AQ$201,$M319)&gt;0,
     COUNTIFS($AR$3:$AR$201,$M319)&gt;0,
     COUNTIFS($AS$3:$AS$201,$M319)&gt;0,
     COUNTIFS($AT$3:$AT$201,$M319)&gt;0,
     COUNTIFS($AU$3:$AU$201,$M319)&gt;0,
     COUNTIFS($AV$3:$AV$201,$M319)&gt;0,
     COUNTIFS($AW$3:$AW$201,$M319)&gt;0,
     COUNTIFS($AX$3:$AX$201,$M319)&gt;0
   )),
  ),
  2
 ),
"")</f>
        <v/>
      </c>
      <c r="Q319" s="2" t="str" cm="1">
        <f t="array" ref="Q319">IFERROR(
 INDEX(
  _xlfn._xlws.FILTER($U$2:$AX$2,
   TRANSPOSE(
    CHOOSE({1;2;3;4;5;6;7;8;9;10;11;12;13;14;15;16;17;18;19;20;21;22;23;24;25;26;27;28;29;30},
     COUNTIFS($U$3:$U$201,$M319)&gt;0,
     COUNTIFS($V$3:$V$201,$M319)&gt;0,
     COUNTIFS($W$3:$W$201,$M319)&gt;0,
     COUNTIFS($X$3:$X$201,$M319)&gt;0,
     COUNTIFS($Y$3:$Y$201,$M319)&gt;0,
     COUNTIFS($Z$3:$Z$201,$M319)&gt;0,
     COUNTIFS($AA$3:$AA$201,$M319)&gt;0,
     COUNTIFS($AB$3:$AB$201,$M319)&gt;0,
     COUNTIFS($AC$3:$AC$201,$M319)&gt;0,
     COUNTIFS($AD$3:$AD$201,$M319)&gt;0,
     COUNTIFS($AE$3:$AE$201,$M319)&gt;0,
     COUNTIFS($AF$3:$AF$201,$M319)&gt;0,
     COUNTIFS($AG$3:$AG$201,$M319)&gt;0,
     COUNTIFS($AH$3:$AH$201,$M319)&gt;0,
     COUNTIFS($AI$3:$AI$201,$M319)&gt;0,
     COUNTIFS($AJ$3:$AJ$201,$M319)&gt;0,
     COUNTIFS($AK$3:$AK$201,$M319)&gt;0,
     COUNTIFS($AL$3:$AL$201,$M319)&gt;0,
     COUNTIFS($AM$3:$AM$201,$M319)&gt;0,
     COUNTIFS($AN$3:$AN$201,$M319)&gt;0,
     COUNTIFS($AO$3:$AO$201,$M319)&gt;0,
     COUNTIFS($AP$3:$AP$201,$M319)&gt;0,
     COUNTIFS($AQ$3:$AQ$201,$M319)&gt;0,
     COUNTIFS($AR$3:$AR$201,$M319)&gt;0,
     COUNTIFS($AS$3:$AS$201,$M319)&gt;0,
     COUNTIFS($AT$3:$AT$201,$M319)&gt;0,
     COUNTIFS($AU$3:$AU$201,$M319)&gt;0,
     COUNTIFS($AV$3:$AV$201,$M319)&gt;0,
     COUNTIFS($AW$3:$AW$201,$M319)&gt;0,
     COUNTIFS($AX$3:$AX$201,$M319)&gt;0
   )),
  ),
  3
 ),
"")</f>
        <v/>
      </c>
    </row>
    <row r="320" spans="1:17" x14ac:dyDescent="0.25">
      <c r="A320" t="str">
        <f ca="1"/>
        <v>Phyrexian Dragon Engine</v>
      </c>
      <c r="B320" s="2" t="str" cm="1">
        <f t="array" aca="1" ref="B320" ca="1">_xlfn.ANCHORARRAY(RESUMO!C319)</f>
        <v>Little</v>
      </c>
      <c r="C320" s="2" t="str">
        <f t="shared" ca="1" si="16"/>
        <v/>
      </c>
      <c r="F320" s="2">
        <f t="shared" si="20"/>
        <v>0</v>
      </c>
      <c r="G320" s="2" t="str">
        <f t="shared" ca="1" si="17"/>
        <v/>
      </c>
      <c r="N320" s="2">
        <f t="shared" si="18"/>
        <v>0</v>
      </c>
      <c r="O320" s="2" t="str">
        <f>IFERROR(
 INDEX($U$2:$AX$2,
  MATCH(TRUE,
   CHOOSE({1;2;3;4;5;6;7;8;9;10;11;12;13;14;15;16;17;18;19;20;21;22;23;24;25;26;27;28;29;30;31;32},
    COUNTIFS($U$3:$U$201,$M320)&gt;0,
    COUNTIFS($V$3:$V$201,$M320)&gt;0,
    COUNTIFS($W$3:$W$201,$M320)&gt;0,
    COUNTIFS($X$3:$X$201,$M320)&gt;0,
    COUNTIFS($Y$3:$Y$201,$M320)&gt;0,
    COUNTIFS($Z$3:$Z$201,$M320)&gt;0,
    COUNTIFS($AA$3:$AA$201,$M320)&gt;0,
    COUNTIFS($AB$3:$AB$201,$M320)&gt;0,
    COUNTIFS($AC$3:$AC$201,$M320)&gt;0,
    COUNTIFS($AD$3:$AD$201,$M320)&gt;0,
    COUNTIFS($AE$3:$AE$201,$M320)&gt;0,
    COUNTIFS($AF$3:$AF$201,$M320)&gt;0,
    COUNTIFS($AG$3:$AG$201,$M320)&gt;0,
    COUNTIFS($AH$3:$AH$201,$M320)&gt;0,
    COUNTIFS($AI$3:$AI$201,$M320)&gt;0,
    COUNTIFS($AJ$3:$AJ$201,$M320)&gt;0,
    COUNTIFS($AK$3:$AK$201,$M320)&gt;0,
    COUNTIFS($AL$3:$AL$201,$M320)&gt;0,
    COUNTIFS($AM$3:$AM$201,$M320)&gt;0,
    COUNTIFS($AN$3:$AN$201,$M320)&gt;0,
    COUNTIFS($AO$3:$AO$201,$M320)&gt;0,
    COUNTIFS($AP$3:$AP$201,$M320)&gt;0,
    COUNTIFS($AQ$3:$AQ$201,$M320)&gt;0,
    COUNTIFS($AR$3:$AR$201,$M320)&gt;0,
    COUNTIFS($AS$3:$AS$201,$M320)&gt;0,
    COUNTIFS($AT$3:$AT$201,$M320)&gt;0,
    COUNTIFS($AU$3:$AU$201,$M320)&gt;0,
    COUNTIFS($AV$3:$AV$201,$M320)&gt;0,
    COUNTIFS($AW$3:$AW$201,$M320)&gt;0,
    COUNTIFS($AX$3:$AX$201,$M320)&gt;0
   ),
  0)
 ),
"")</f>
        <v/>
      </c>
      <c r="P320" s="2" t="str" cm="1">
        <f t="array" ref="P320">IFERROR(
 INDEX(
  _xlfn._xlws.FILTER($U$2:$AX$2,
   TRANSPOSE(
    CHOOSE({1;2;3;4;5;6;7;8;9;10;11;12;13;14;15;16;17;18;19;20;21;22;23;24;25;26;27;28;29;30},
     COUNTIFS($U$3:$U$201,$M320)&gt;0,
     COUNTIFS($V$3:$V$201,$M320)&gt;0,
     COUNTIFS($W$3:$W$201,$M320)&gt;0,
     COUNTIFS($X$3:$X$201,$M320)&gt;0,
     COUNTIFS($Y$3:$Y$201,$M320)&gt;0,
     COUNTIFS($Z$3:$Z$201,$M320)&gt;0,
     COUNTIFS($AA$3:$AA$201,$M320)&gt;0,
     COUNTIFS($AB$3:$AB$201,$M320)&gt;0,
     COUNTIFS($AC$3:$AC$201,$M320)&gt;0,
     COUNTIFS($AD$3:$AD$201,$M320)&gt;0,
     COUNTIFS($AE$3:$AE$201,$M320)&gt;0,
     COUNTIFS($AF$3:$AF$201,$M320)&gt;0,
     COUNTIFS($AG$3:$AG$201,$M320)&gt;0,
     COUNTIFS($AH$3:$AH$201,$M320)&gt;0,
     COUNTIFS($AI$3:$AI$201,$M320)&gt;0,
     COUNTIFS($AJ$3:$AJ$201,$M320)&gt;0,
     COUNTIFS($AK$3:$AK$201,$M320)&gt;0,
     COUNTIFS($AL$3:$AL$201,$M320)&gt;0,
     COUNTIFS($AM$3:$AM$201,$M320)&gt;0,
     COUNTIFS($AN$3:$AN$201,$M320)&gt;0,
     COUNTIFS($AO$3:$AO$201,$M320)&gt;0,
     COUNTIFS($AP$3:$AP$201,$M320)&gt;0,
     COUNTIFS($AQ$3:$AQ$201,$M320)&gt;0,
     COUNTIFS($AR$3:$AR$201,$M320)&gt;0,
     COUNTIFS($AS$3:$AS$201,$M320)&gt;0,
     COUNTIFS($AT$3:$AT$201,$M320)&gt;0,
     COUNTIFS($AU$3:$AU$201,$M320)&gt;0,
     COUNTIFS($AV$3:$AV$201,$M320)&gt;0,
     COUNTIFS($AW$3:$AW$201,$M320)&gt;0,
     COUNTIFS($AX$3:$AX$201,$M320)&gt;0
   )),
  ),
  2
 ),
"")</f>
        <v/>
      </c>
      <c r="Q320" s="2" t="str" cm="1">
        <f t="array" ref="Q320">IFERROR(
 INDEX(
  _xlfn._xlws.FILTER($U$2:$AX$2,
   TRANSPOSE(
    CHOOSE({1;2;3;4;5;6;7;8;9;10;11;12;13;14;15;16;17;18;19;20;21;22;23;24;25;26;27;28;29;30},
     COUNTIFS($U$3:$U$201,$M320)&gt;0,
     COUNTIFS($V$3:$V$201,$M320)&gt;0,
     COUNTIFS($W$3:$W$201,$M320)&gt;0,
     COUNTIFS($X$3:$X$201,$M320)&gt;0,
     COUNTIFS($Y$3:$Y$201,$M320)&gt;0,
     COUNTIFS($Z$3:$Z$201,$M320)&gt;0,
     COUNTIFS($AA$3:$AA$201,$M320)&gt;0,
     COUNTIFS($AB$3:$AB$201,$M320)&gt;0,
     COUNTIFS($AC$3:$AC$201,$M320)&gt;0,
     COUNTIFS($AD$3:$AD$201,$M320)&gt;0,
     COUNTIFS($AE$3:$AE$201,$M320)&gt;0,
     COUNTIFS($AF$3:$AF$201,$M320)&gt;0,
     COUNTIFS($AG$3:$AG$201,$M320)&gt;0,
     COUNTIFS($AH$3:$AH$201,$M320)&gt;0,
     COUNTIFS($AI$3:$AI$201,$M320)&gt;0,
     COUNTIFS($AJ$3:$AJ$201,$M320)&gt;0,
     COUNTIFS($AK$3:$AK$201,$M320)&gt;0,
     COUNTIFS($AL$3:$AL$201,$M320)&gt;0,
     COUNTIFS($AM$3:$AM$201,$M320)&gt;0,
     COUNTIFS($AN$3:$AN$201,$M320)&gt;0,
     COUNTIFS($AO$3:$AO$201,$M320)&gt;0,
     COUNTIFS($AP$3:$AP$201,$M320)&gt;0,
     COUNTIFS($AQ$3:$AQ$201,$M320)&gt;0,
     COUNTIFS($AR$3:$AR$201,$M320)&gt;0,
     COUNTIFS($AS$3:$AS$201,$M320)&gt;0,
     COUNTIFS($AT$3:$AT$201,$M320)&gt;0,
     COUNTIFS($AU$3:$AU$201,$M320)&gt;0,
     COUNTIFS($AV$3:$AV$201,$M320)&gt;0,
     COUNTIFS($AW$3:$AW$201,$M320)&gt;0,
     COUNTIFS($AX$3:$AX$201,$M320)&gt;0
   )),
  ),
  3
 ),
"")</f>
        <v/>
      </c>
    </row>
    <row r="321" spans="1:17" x14ac:dyDescent="0.25">
      <c r="A321" t="str">
        <f ca="1"/>
        <v>Phyrexian Tower</v>
      </c>
      <c r="B321" s="2" t="str" cm="1">
        <f t="array" aca="1" ref="B321" ca="1">_xlfn.ANCHORARRAY(RESUMO!C320)</f>
        <v>Gitrog</v>
      </c>
      <c r="C321" s="2" t="str">
        <f t="shared" ca="1" si="16"/>
        <v/>
      </c>
      <c r="F321" s="2">
        <f t="shared" si="20"/>
        <v>0</v>
      </c>
      <c r="G321" s="2" t="str">
        <f t="shared" ca="1" si="17"/>
        <v/>
      </c>
      <c r="N321" s="2">
        <f t="shared" si="18"/>
        <v>0</v>
      </c>
      <c r="O321" s="2" t="str">
        <f>IFERROR(
 INDEX($U$2:$AX$2,
  MATCH(TRUE,
   CHOOSE({1;2;3;4;5;6;7;8;9;10;11;12;13;14;15;16;17;18;19;20;21;22;23;24;25;26;27;28;29;30;31;32},
    COUNTIFS($U$3:$U$201,$M321)&gt;0,
    COUNTIFS($V$3:$V$201,$M321)&gt;0,
    COUNTIFS($W$3:$W$201,$M321)&gt;0,
    COUNTIFS($X$3:$X$201,$M321)&gt;0,
    COUNTIFS($Y$3:$Y$201,$M321)&gt;0,
    COUNTIFS($Z$3:$Z$201,$M321)&gt;0,
    COUNTIFS($AA$3:$AA$201,$M321)&gt;0,
    COUNTIFS($AB$3:$AB$201,$M321)&gt;0,
    COUNTIFS($AC$3:$AC$201,$M321)&gt;0,
    COUNTIFS($AD$3:$AD$201,$M321)&gt;0,
    COUNTIFS($AE$3:$AE$201,$M321)&gt;0,
    COUNTIFS($AF$3:$AF$201,$M321)&gt;0,
    COUNTIFS($AG$3:$AG$201,$M321)&gt;0,
    COUNTIFS($AH$3:$AH$201,$M321)&gt;0,
    COUNTIFS($AI$3:$AI$201,$M321)&gt;0,
    COUNTIFS($AJ$3:$AJ$201,$M321)&gt;0,
    COUNTIFS($AK$3:$AK$201,$M321)&gt;0,
    COUNTIFS($AL$3:$AL$201,$M321)&gt;0,
    COUNTIFS($AM$3:$AM$201,$M321)&gt;0,
    COUNTIFS($AN$3:$AN$201,$M321)&gt;0,
    COUNTIFS($AO$3:$AO$201,$M321)&gt;0,
    COUNTIFS($AP$3:$AP$201,$M321)&gt;0,
    COUNTIFS($AQ$3:$AQ$201,$M321)&gt;0,
    COUNTIFS($AR$3:$AR$201,$M321)&gt;0,
    COUNTIFS($AS$3:$AS$201,$M321)&gt;0,
    COUNTIFS($AT$3:$AT$201,$M321)&gt;0,
    COUNTIFS($AU$3:$AU$201,$M321)&gt;0,
    COUNTIFS($AV$3:$AV$201,$M321)&gt;0,
    COUNTIFS($AW$3:$AW$201,$M321)&gt;0,
    COUNTIFS($AX$3:$AX$201,$M321)&gt;0
   ),
  0)
 ),
"")</f>
        <v/>
      </c>
      <c r="P321" s="2" t="str" cm="1">
        <f t="array" ref="P321">IFERROR(
 INDEX(
  _xlfn._xlws.FILTER($U$2:$AX$2,
   TRANSPOSE(
    CHOOSE({1;2;3;4;5;6;7;8;9;10;11;12;13;14;15;16;17;18;19;20;21;22;23;24;25;26;27;28;29;30},
     COUNTIFS($U$3:$U$201,$M321)&gt;0,
     COUNTIFS($V$3:$V$201,$M321)&gt;0,
     COUNTIFS($W$3:$W$201,$M321)&gt;0,
     COUNTIFS($X$3:$X$201,$M321)&gt;0,
     COUNTIFS($Y$3:$Y$201,$M321)&gt;0,
     COUNTIFS($Z$3:$Z$201,$M321)&gt;0,
     COUNTIFS($AA$3:$AA$201,$M321)&gt;0,
     COUNTIFS($AB$3:$AB$201,$M321)&gt;0,
     COUNTIFS($AC$3:$AC$201,$M321)&gt;0,
     COUNTIFS($AD$3:$AD$201,$M321)&gt;0,
     COUNTIFS($AE$3:$AE$201,$M321)&gt;0,
     COUNTIFS($AF$3:$AF$201,$M321)&gt;0,
     COUNTIFS($AG$3:$AG$201,$M321)&gt;0,
     COUNTIFS($AH$3:$AH$201,$M321)&gt;0,
     COUNTIFS($AI$3:$AI$201,$M321)&gt;0,
     COUNTIFS($AJ$3:$AJ$201,$M321)&gt;0,
     COUNTIFS($AK$3:$AK$201,$M321)&gt;0,
     COUNTIFS($AL$3:$AL$201,$M321)&gt;0,
     COUNTIFS($AM$3:$AM$201,$M321)&gt;0,
     COUNTIFS($AN$3:$AN$201,$M321)&gt;0,
     COUNTIFS($AO$3:$AO$201,$M321)&gt;0,
     COUNTIFS($AP$3:$AP$201,$M321)&gt;0,
     COUNTIFS($AQ$3:$AQ$201,$M321)&gt;0,
     COUNTIFS($AR$3:$AR$201,$M321)&gt;0,
     COUNTIFS($AS$3:$AS$201,$M321)&gt;0,
     COUNTIFS($AT$3:$AT$201,$M321)&gt;0,
     COUNTIFS($AU$3:$AU$201,$M321)&gt;0,
     COUNTIFS($AV$3:$AV$201,$M321)&gt;0,
     COUNTIFS($AW$3:$AW$201,$M321)&gt;0,
     COUNTIFS($AX$3:$AX$201,$M321)&gt;0
   )),
  ),
  2
 ),
"")</f>
        <v/>
      </c>
      <c r="Q321" s="2" t="str" cm="1">
        <f t="array" ref="Q321">IFERROR(
 INDEX(
  _xlfn._xlws.FILTER($U$2:$AX$2,
   TRANSPOSE(
    CHOOSE({1;2;3;4;5;6;7;8;9;10;11;12;13;14;15;16;17;18;19;20;21;22;23;24;25;26;27;28;29;30},
     COUNTIFS($U$3:$U$201,$M321)&gt;0,
     COUNTIFS($V$3:$V$201,$M321)&gt;0,
     COUNTIFS($W$3:$W$201,$M321)&gt;0,
     COUNTIFS($X$3:$X$201,$M321)&gt;0,
     COUNTIFS($Y$3:$Y$201,$M321)&gt;0,
     COUNTIFS($Z$3:$Z$201,$M321)&gt;0,
     COUNTIFS($AA$3:$AA$201,$M321)&gt;0,
     COUNTIFS($AB$3:$AB$201,$M321)&gt;0,
     COUNTIFS($AC$3:$AC$201,$M321)&gt;0,
     COUNTIFS($AD$3:$AD$201,$M321)&gt;0,
     COUNTIFS($AE$3:$AE$201,$M321)&gt;0,
     COUNTIFS($AF$3:$AF$201,$M321)&gt;0,
     COUNTIFS($AG$3:$AG$201,$M321)&gt;0,
     COUNTIFS($AH$3:$AH$201,$M321)&gt;0,
     COUNTIFS($AI$3:$AI$201,$M321)&gt;0,
     COUNTIFS($AJ$3:$AJ$201,$M321)&gt;0,
     COUNTIFS($AK$3:$AK$201,$M321)&gt;0,
     COUNTIFS($AL$3:$AL$201,$M321)&gt;0,
     COUNTIFS($AM$3:$AM$201,$M321)&gt;0,
     COUNTIFS($AN$3:$AN$201,$M321)&gt;0,
     COUNTIFS($AO$3:$AO$201,$M321)&gt;0,
     COUNTIFS($AP$3:$AP$201,$M321)&gt;0,
     COUNTIFS($AQ$3:$AQ$201,$M321)&gt;0,
     COUNTIFS($AR$3:$AR$201,$M321)&gt;0,
     COUNTIFS($AS$3:$AS$201,$M321)&gt;0,
     COUNTIFS($AT$3:$AT$201,$M321)&gt;0,
     COUNTIFS($AU$3:$AU$201,$M321)&gt;0,
     COUNTIFS($AV$3:$AV$201,$M321)&gt;0,
     COUNTIFS($AW$3:$AW$201,$M321)&gt;0,
     COUNTIFS($AX$3:$AX$201,$M321)&gt;0
   )),
  ),
  3
 ),
"")</f>
        <v/>
      </c>
    </row>
    <row r="322" spans="1:17" x14ac:dyDescent="0.25">
      <c r="A322" t="str">
        <f ca="1"/>
        <v>Plains</v>
      </c>
      <c r="B322" s="2" t="str" cm="1">
        <f t="array" aca="1" ref="B322" ca="1">_xlfn.ANCHORARRAY(RESUMO!C321)</f>
        <v>Fractius</v>
      </c>
      <c r="C322" s="2" t="str">
        <f t="shared" ca="1" si="16"/>
        <v>Baylen</v>
      </c>
      <c r="F322" s="2">
        <f t="shared" si="20"/>
        <v>0</v>
      </c>
      <c r="G322" s="2" t="str">
        <f t="shared" ca="1" si="17"/>
        <v/>
      </c>
      <c r="N322" s="2">
        <f t="shared" si="18"/>
        <v>0</v>
      </c>
      <c r="O322" s="2" t="str">
        <f>IFERROR(
 INDEX($U$2:$AX$2,
  MATCH(TRUE,
   CHOOSE({1;2;3;4;5;6;7;8;9;10;11;12;13;14;15;16;17;18;19;20;21;22;23;24;25;26;27;28;29;30;31;32},
    COUNTIFS($U$3:$U$201,$M322)&gt;0,
    COUNTIFS($V$3:$V$201,$M322)&gt;0,
    COUNTIFS($W$3:$W$201,$M322)&gt;0,
    COUNTIFS($X$3:$X$201,$M322)&gt;0,
    COUNTIFS($Y$3:$Y$201,$M322)&gt;0,
    COUNTIFS($Z$3:$Z$201,$M322)&gt;0,
    COUNTIFS($AA$3:$AA$201,$M322)&gt;0,
    COUNTIFS($AB$3:$AB$201,$M322)&gt;0,
    COUNTIFS($AC$3:$AC$201,$M322)&gt;0,
    COUNTIFS($AD$3:$AD$201,$M322)&gt;0,
    COUNTIFS($AE$3:$AE$201,$M322)&gt;0,
    COUNTIFS($AF$3:$AF$201,$M322)&gt;0,
    COUNTIFS($AG$3:$AG$201,$M322)&gt;0,
    COUNTIFS($AH$3:$AH$201,$M322)&gt;0,
    COUNTIFS($AI$3:$AI$201,$M322)&gt;0,
    COUNTIFS($AJ$3:$AJ$201,$M322)&gt;0,
    COUNTIFS($AK$3:$AK$201,$M322)&gt;0,
    COUNTIFS($AL$3:$AL$201,$M322)&gt;0,
    COUNTIFS($AM$3:$AM$201,$M322)&gt;0,
    COUNTIFS($AN$3:$AN$201,$M322)&gt;0,
    COUNTIFS($AO$3:$AO$201,$M322)&gt;0,
    COUNTIFS($AP$3:$AP$201,$M322)&gt;0,
    COUNTIFS($AQ$3:$AQ$201,$M322)&gt;0,
    COUNTIFS($AR$3:$AR$201,$M322)&gt;0,
    COUNTIFS($AS$3:$AS$201,$M322)&gt;0,
    COUNTIFS($AT$3:$AT$201,$M322)&gt;0,
    COUNTIFS($AU$3:$AU$201,$M322)&gt;0,
    COUNTIFS($AV$3:$AV$201,$M322)&gt;0,
    COUNTIFS($AW$3:$AW$201,$M322)&gt;0,
    COUNTIFS($AX$3:$AX$201,$M322)&gt;0
   ),
  0)
 ),
"")</f>
        <v/>
      </c>
      <c r="P322" s="2" t="str" cm="1">
        <f t="array" ref="P322">IFERROR(
 INDEX(
  _xlfn._xlws.FILTER($U$2:$AX$2,
   TRANSPOSE(
    CHOOSE({1;2;3;4;5;6;7;8;9;10;11;12;13;14;15;16;17;18;19;20;21;22;23;24;25;26;27;28;29;30},
     COUNTIFS($U$3:$U$201,$M322)&gt;0,
     COUNTIFS($V$3:$V$201,$M322)&gt;0,
     COUNTIFS($W$3:$W$201,$M322)&gt;0,
     COUNTIFS($X$3:$X$201,$M322)&gt;0,
     COUNTIFS($Y$3:$Y$201,$M322)&gt;0,
     COUNTIFS($Z$3:$Z$201,$M322)&gt;0,
     COUNTIFS($AA$3:$AA$201,$M322)&gt;0,
     COUNTIFS($AB$3:$AB$201,$M322)&gt;0,
     COUNTIFS($AC$3:$AC$201,$M322)&gt;0,
     COUNTIFS($AD$3:$AD$201,$M322)&gt;0,
     COUNTIFS($AE$3:$AE$201,$M322)&gt;0,
     COUNTIFS($AF$3:$AF$201,$M322)&gt;0,
     COUNTIFS($AG$3:$AG$201,$M322)&gt;0,
     COUNTIFS($AH$3:$AH$201,$M322)&gt;0,
     COUNTIFS($AI$3:$AI$201,$M322)&gt;0,
     COUNTIFS($AJ$3:$AJ$201,$M322)&gt;0,
     COUNTIFS($AK$3:$AK$201,$M322)&gt;0,
     COUNTIFS($AL$3:$AL$201,$M322)&gt;0,
     COUNTIFS($AM$3:$AM$201,$M322)&gt;0,
     COUNTIFS($AN$3:$AN$201,$M322)&gt;0,
     COUNTIFS($AO$3:$AO$201,$M322)&gt;0,
     COUNTIFS($AP$3:$AP$201,$M322)&gt;0,
     COUNTIFS($AQ$3:$AQ$201,$M322)&gt;0,
     COUNTIFS($AR$3:$AR$201,$M322)&gt;0,
     COUNTIFS($AS$3:$AS$201,$M322)&gt;0,
     COUNTIFS($AT$3:$AT$201,$M322)&gt;0,
     COUNTIFS($AU$3:$AU$201,$M322)&gt;0,
     COUNTIFS($AV$3:$AV$201,$M322)&gt;0,
     COUNTIFS($AW$3:$AW$201,$M322)&gt;0,
     COUNTIFS($AX$3:$AX$201,$M322)&gt;0
   )),
  ),
  2
 ),
"")</f>
        <v/>
      </c>
      <c r="Q322" s="2" t="str" cm="1">
        <f t="array" ref="Q322">IFERROR(
 INDEX(
  _xlfn._xlws.FILTER($U$2:$AX$2,
   TRANSPOSE(
    CHOOSE({1;2;3;4;5;6;7;8;9;10;11;12;13;14;15;16;17;18;19;20;21;22;23;24;25;26;27;28;29;30},
     COUNTIFS($U$3:$U$201,$M322)&gt;0,
     COUNTIFS($V$3:$V$201,$M322)&gt;0,
     COUNTIFS($W$3:$W$201,$M322)&gt;0,
     COUNTIFS($X$3:$X$201,$M322)&gt;0,
     COUNTIFS($Y$3:$Y$201,$M322)&gt;0,
     COUNTIFS($Z$3:$Z$201,$M322)&gt;0,
     COUNTIFS($AA$3:$AA$201,$M322)&gt;0,
     COUNTIFS($AB$3:$AB$201,$M322)&gt;0,
     COUNTIFS($AC$3:$AC$201,$M322)&gt;0,
     COUNTIFS($AD$3:$AD$201,$M322)&gt;0,
     COUNTIFS($AE$3:$AE$201,$M322)&gt;0,
     COUNTIFS($AF$3:$AF$201,$M322)&gt;0,
     COUNTIFS($AG$3:$AG$201,$M322)&gt;0,
     COUNTIFS($AH$3:$AH$201,$M322)&gt;0,
     COUNTIFS($AI$3:$AI$201,$M322)&gt;0,
     COUNTIFS($AJ$3:$AJ$201,$M322)&gt;0,
     COUNTIFS($AK$3:$AK$201,$M322)&gt;0,
     COUNTIFS($AL$3:$AL$201,$M322)&gt;0,
     COUNTIFS($AM$3:$AM$201,$M322)&gt;0,
     COUNTIFS($AN$3:$AN$201,$M322)&gt;0,
     COUNTIFS($AO$3:$AO$201,$M322)&gt;0,
     COUNTIFS($AP$3:$AP$201,$M322)&gt;0,
     COUNTIFS($AQ$3:$AQ$201,$M322)&gt;0,
     COUNTIFS($AR$3:$AR$201,$M322)&gt;0,
     COUNTIFS($AS$3:$AS$201,$M322)&gt;0,
     COUNTIFS($AT$3:$AT$201,$M322)&gt;0,
     COUNTIFS($AU$3:$AU$201,$M322)&gt;0,
     COUNTIFS($AV$3:$AV$201,$M322)&gt;0,
     COUNTIFS($AW$3:$AW$201,$M322)&gt;0,
     COUNTIFS($AX$3:$AX$201,$M322)&gt;0
   )),
  ),
  3
 ),
"")</f>
        <v/>
      </c>
    </row>
    <row r="323" spans="1:17" x14ac:dyDescent="0.25">
      <c r="A323" t="str">
        <f ca="1"/>
        <v>Planar Genesis</v>
      </c>
      <c r="B323" s="2" t="str" cm="1">
        <f t="array" aca="1" ref="B323" ca="1">_xlfn.ANCHORARRAY(RESUMO!C322)</f>
        <v>4cRash</v>
      </c>
      <c r="C323" s="2" t="str">
        <f t="shared" ref="C323:C386" ca="1" si="21">IFERROR(_xlfn.XLOOKUP($A323,$E:$E,$G:$G),"")</f>
        <v/>
      </c>
      <c r="F323" s="2">
        <f t="shared" si="20"/>
        <v>0</v>
      </c>
      <c r="G323" s="2" t="str">
        <f t="shared" ref="G323:G386" ca="1" si="22">_xlfn.XLOOKUP($E323,$M:$M,$O:$O,"Guardado")</f>
        <v/>
      </c>
      <c r="N323" s="2">
        <f t="shared" ref="N323:N386" si="23">COUNTIF(U:AX,M323)</f>
        <v>0</v>
      </c>
      <c r="O323" s="2" t="str">
        <f>IFERROR(
 INDEX($U$2:$AX$2,
  MATCH(TRUE,
   CHOOSE({1;2;3;4;5;6;7;8;9;10;11;12;13;14;15;16;17;18;19;20;21;22;23;24;25;26;27;28;29;30;31;32},
    COUNTIFS($U$3:$U$201,$M323)&gt;0,
    COUNTIFS($V$3:$V$201,$M323)&gt;0,
    COUNTIFS($W$3:$W$201,$M323)&gt;0,
    COUNTIFS($X$3:$X$201,$M323)&gt;0,
    COUNTIFS($Y$3:$Y$201,$M323)&gt;0,
    COUNTIFS($Z$3:$Z$201,$M323)&gt;0,
    COUNTIFS($AA$3:$AA$201,$M323)&gt;0,
    COUNTIFS($AB$3:$AB$201,$M323)&gt;0,
    COUNTIFS($AC$3:$AC$201,$M323)&gt;0,
    COUNTIFS($AD$3:$AD$201,$M323)&gt;0,
    COUNTIFS($AE$3:$AE$201,$M323)&gt;0,
    COUNTIFS($AF$3:$AF$201,$M323)&gt;0,
    COUNTIFS($AG$3:$AG$201,$M323)&gt;0,
    COUNTIFS($AH$3:$AH$201,$M323)&gt;0,
    COUNTIFS($AI$3:$AI$201,$M323)&gt;0,
    COUNTIFS($AJ$3:$AJ$201,$M323)&gt;0,
    COUNTIFS($AK$3:$AK$201,$M323)&gt;0,
    COUNTIFS($AL$3:$AL$201,$M323)&gt;0,
    COUNTIFS($AM$3:$AM$201,$M323)&gt;0,
    COUNTIFS($AN$3:$AN$201,$M323)&gt;0,
    COUNTIFS($AO$3:$AO$201,$M323)&gt;0,
    COUNTIFS($AP$3:$AP$201,$M323)&gt;0,
    COUNTIFS($AQ$3:$AQ$201,$M323)&gt;0,
    COUNTIFS($AR$3:$AR$201,$M323)&gt;0,
    COUNTIFS($AS$3:$AS$201,$M323)&gt;0,
    COUNTIFS($AT$3:$AT$201,$M323)&gt;0,
    COUNTIFS($AU$3:$AU$201,$M323)&gt;0,
    COUNTIFS($AV$3:$AV$201,$M323)&gt;0,
    COUNTIFS($AW$3:$AW$201,$M323)&gt;0,
    COUNTIFS($AX$3:$AX$201,$M323)&gt;0
   ),
  0)
 ),
"")</f>
        <v/>
      </c>
      <c r="P323" s="2" t="str" cm="1">
        <f t="array" ref="P323">IFERROR(
 INDEX(
  _xlfn._xlws.FILTER($U$2:$AX$2,
   TRANSPOSE(
    CHOOSE({1;2;3;4;5;6;7;8;9;10;11;12;13;14;15;16;17;18;19;20;21;22;23;24;25;26;27;28;29;30},
     COUNTIFS($U$3:$U$201,$M323)&gt;0,
     COUNTIFS($V$3:$V$201,$M323)&gt;0,
     COUNTIFS($W$3:$W$201,$M323)&gt;0,
     COUNTIFS($X$3:$X$201,$M323)&gt;0,
     COUNTIFS($Y$3:$Y$201,$M323)&gt;0,
     COUNTIFS($Z$3:$Z$201,$M323)&gt;0,
     COUNTIFS($AA$3:$AA$201,$M323)&gt;0,
     COUNTIFS($AB$3:$AB$201,$M323)&gt;0,
     COUNTIFS($AC$3:$AC$201,$M323)&gt;0,
     COUNTIFS($AD$3:$AD$201,$M323)&gt;0,
     COUNTIFS($AE$3:$AE$201,$M323)&gt;0,
     COUNTIFS($AF$3:$AF$201,$M323)&gt;0,
     COUNTIFS($AG$3:$AG$201,$M323)&gt;0,
     COUNTIFS($AH$3:$AH$201,$M323)&gt;0,
     COUNTIFS($AI$3:$AI$201,$M323)&gt;0,
     COUNTIFS($AJ$3:$AJ$201,$M323)&gt;0,
     COUNTIFS($AK$3:$AK$201,$M323)&gt;0,
     COUNTIFS($AL$3:$AL$201,$M323)&gt;0,
     COUNTIFS($AM$3:$AM$201,$M323)&gt;0,
     COUNTIFS($AN$3:$AN$201,$M323)&gt;0,
     COUNTIFS($AO$3:$AO$201,$M323)&gt;0,
     COUNTIFS($AP$3:$AP$201,$M323)&gt;0,
     COUNTIFS($AQ$3:$AQ$201,$M323)&gt;0,
     COUNTIFS($AR$3:$AR$201,$M323)&gt;0,
     COUNTIFS($AS$3:$AS$201,$M323)&gt;0,
     COUNTIFS($AT$3:$AT$201,$M323)&gt;0,
     COUNTIFS($AU$3:$AU$201,$M323)&gt;0,
     COUNTIFS($AV$3:$AV$201,$M323)&gt;0,
     COUNTIFS($AW$3:$AW$201,$M323)&gt;0,
     COUNTIFS($AX$3:$AX$201,$M323)&gt;0
   )),
  ),
  2
 ),
"")</f>
        <v/>
      </c>
      <c r="Q323" s="2" t="str" cm="1">
        <f t="array" ref="Q323">IFERROR(
 INDEX(
  _xlfn._xlws.FILTER($U$2:$AX$2,
   TRANSPOSE(
    CHOOSE({1;2;3;4;5;6;7;8;9;10;11;12;13;14;15;16;17;18;19;20;21;22;23;24;25;26;27;28;29;30},
     COUNTIFS($U$3:$U$201,$M323)&gt;0,
     COUNTIFS($V$3:$V$201,$M323)&gt;0,
     COUNTIFS($W$3:$W$201,$M323)&gt;0,
     COUNTIFS($X$3:$X$201,$M323)&gt;0,
     COUNTIFS($Y$3:$Y$201,$M323)&gt;0,
     COUNTIFS($Z$3:$Z$201,$M323)&gt;0,
     COUNTIFS($AA$3:$AA$201,$M323)&gt;0,
     COUNTIFS($AB$3:$AB$201,$M323)&gt;0,
     COUNTIFS($AC$3:$AC$201,$M323)&gt;0,
     COUNTIFS($AD$3:$AD$201,$M323)&gt;0,
     COUNTIFS($AE$3:$AE$201,$M323)&gt;0,
     COUNTIFS($AF$3:$AF$201,$M323)&gt;0,
     COUNTIFS($AG$3:$AG$201,$M323)&gt;0,
     COUNTIFS($AH$3:$AH$201,$M323)&gt;0,
     COUNTIFS($AI$3:$AI$201,$M323)&gt;0,
     COUNTIFS($AJ$3:$AJ$201,$M323)&gt;0,
     COUNTIFS($AK$3:$AK$201,$M323)&gt;0,
     COUNTIFS($AL$3:$AL$201,$M323)&gt;0,
     COUNTIFS($AM$3:$AM$201,$M323)&gt;0,
     COUNTIFS($AN$3:$AN$201,$M323)&gt;0,
     COUNTIFS($AO$3:$AO$201,$M323)&gt;0,
     COUNTIFS($AP$3:$AP$201,$M323)&gt;0,
     COUNTIFS($AQ$3:$AQ$201,$M323)&gt;0,
     COUNTIFS($AR$3:$AR$201,$M323)&gt;0,
     COUNTIFS($AS$3:$AS$201,$M323)&gt;0,
     COUNTIFS($AT$3:$AT$201,$M323)&gt;0,
     COUNTIFS($AU$3:$AU$201,$M323)&gt;0,
     COUNTIFS($AV$3:$AV$201,$M323)&gt;0,
     COUNTIFS($AW$3:$AW$201,$M323)&gt;0,
     COUNTIFS($AX$3:$AX$201,$M323)&gt;0
   )),
  ),
  3
 ),
"")</f>
        <v/>
      </c>
    </row>
    <row r="324" spans="1:17" x14ac:dyDescent="0.25">
      <c r="A324" t="str">
        <f ca="1"/>
        <v>Polluted Delta</v>
      </c>
      <c r="B324" s="2" t="str" cm="1">
        <f t="array" aca="1" ref="B324" ca="1">_xlfn.ANCHORARRAY(RESUMO!C323)</f>
        <v>VialIshai</v>
      </c>
      <c r="C324" s="2" t="str">
        <f t="shared" ca="1" si="21"/>
        <v/>
      </c>
      <c r="F324" s="2">
        <f t="shared" si="20"/>
        <v>0</v>
      </c>
      <c r="G324" s="2" t="str">
        <f t="shared" ca="1" si="22"/>
        <v/>
      </c>
      <c r="N324" s="2">
        <f t="shared" si="23"/>
        <v>0</v>
      </c>
      <c r="O324" s="2" t="str">
        <f>IFERROR(
 INDEX($U$2:$AX$2,
  MATCH(TRUE,
   CHOOSE({1;2;3;4;5;6;7;8;9;10;11;12;13;14;15;16;17;18;19;20;21;22;23;24;25;26;27;28;29;30;31;32},
    COUNTIFS($U$3:$U$201,$M324)&gt;0,
    COUNTIFS($V$3:$V$201,$M324)&gt;0,
    COUNTIFS($W$3:$W$201,$M324)&gt;0,
    COUNTIFS($X$3:$X$201,$M324)&gt;0,
    COUNTIFS($Y$3:$Y$201,$M324)&gt;0,
    COUNTIFS($Z$3:$Z$201,$M324)&gt;0,
    COUNTIFS($AA$3:$AA$201,$M324)&gt;0,
    COUNTIFS($AB$3:$AB$201,$M324)&gt;0,
    COUNTIFS($AC$3:$AC$201,$M324)&gt;0,
    COUNTIFS($AD$3:$AD$201,$M324)&gt;0,
    COUNTIFS($AE$3:$AE$201,$M324)&gt;0,
    COUNTIFS($AF$3:$AF$201,$M324)&gt;0,
    COUNTIFS($AG$3:$AG$201,$M324)&gt;0,
    COUNTIFS($AH$3:$AH$201,$M324)&gt;0,
    COUNTIFS($AI$3:$AI$201,$M324)&gt;0,
    COUNTIFS($AJ$3:$AJ$201,$M324)&gt;0,
    COUNTIFS($AK$3:$AK$201,$M324)&gt;0,
    COUNTIFS($AL$3:$AL$201,$M324)&gt;0,
    COUNTIFS($AM$3:$AM$201,$M324)&gt;0,
    COUNTIFS($AN$3:$AN$201,$M324)&gt;0,
    COUNTIFS($AO$3:$AO$201,$M324)&gt;0,
    COUNTIFS($AP$3:$AP$201,$M324)&gt;0,
    COUNTIFS($AQ$3:$AQ$201,$M324)&gt;0,
    COUNTIFS($AR$3:$AR$201,$M324)&gt;0,
    COUNTIFS($AS$3:$AS$201,$M324)&gt;0,
    COUNTIFS($AT$3:$AT$201,$M324)&gt;0,
    COUNTIFS($AU$3:$AU$201,$M324)&gt;0,
    COUNTIFS($AV$3:$AV$201,$M324)&gt;0,
    COUNTIFS($AW$3:$AW$201,$M324)&gt;0,
    COUNTIFS($AX$3:$AX$201,$M324)&gt;0
   ),
  0)
 ),
"")</f>
        <v/>
      </c>
      <c r="P324" s="2" t="str" cm="1">
        <f t="array" ref="P324">IFERROR(
 INDEX(
  _xlfn._xlws.FILTER($U$2:$AX$2,
   TRANSPOSE(
    CHOOSE({1;2;3;4;5;6;7;8;9;10;11;12;13;14;15;16;17;18;19;20;21;22;23;24;25;26;27;28;29;30},
     COUNTIFS($U$3:$U$201,$M324)&gt;0,
     COUNTIFS($V$3:$V$201,$M324)&gt;0,
     COUNTIFS($W$3:$W$201,$M324)&gt;0,
     COUNTIFS($X$3:$X$201,$M324)&gt;0,
     COUNTIFS($Y$3:$Y$201,$M324)&gt;0,
     COUNTIFS($Z$3:$Z$201,$M324)&gt;0,
     COUNTIFS($AA$3:$AA$201,$M324)&gt;0,
     COUNTIFS($AB$3:$AB$201,$M324)&gt;0,
     COUNTIFS($AC$3:$AC$201,$M324)&gt;0,
     COUNTIFS($AD$3:$AD$201,$M324)&gt;0,
     COUNTIFS($AE$3:$AE$201,$M324)&gt;0,
     COUNTIFS($AF$3:$AF$201,$M324)&gt;0,
     COUNTIFS($AG$3:$AG$201,$M324)&gt;0,
     COUNTIFS($AH$3:$AH$201,$M324)&gt;0,
     COUNTIFS($AI$3:$AI$201,$M324)&gt;0,
     COUNTIFS($AJ$3:$AJ$201,$M324)&gt;0,
     COUNTIFS($AK$3:$AK$201,$M324)&gt;0,
     COUNTIFS($AL$3:$AL$201,$M324)&gt;0,
     COUNTIFS($AM$3:$AM$201,$M324)&gt;0,
     COUNTIFS($AN$3:$AN$201,$M324)&gt;0,
     COUNTIFS($AO$3:$AO$201,$M324)&gt;0,
     COUNTIFS($AP$3:$AP$201,$M324)&gt;0,
     COUNTIFS($AQ$3:$AQ$201,$M324)&gt;0,
     COUNTIFS($AR$3:$AR$201,$M324)&gt;0,
     COUNTIFS($AS$3:$AS$201,$M324)&gt;0,
     COUNTIFS($AT$3:$AT$201,$M324)&gt;0,
     COUNTIFS($AU$3:$AU$201,$M324)&gt;0,
     COUNTIFS($AV$3:$AV$201,$M324)&gt;0,
     COUNTIFS($AW$3:$AW$201,$M324)&gt;0,
     COUNTIFS($AX$3:$AX$201,$M324)&gt;0
   )),
  ),
  2
 ),
"")</f>
        <v/>
      </c>
      <c r="Q324" s="2" t="str" cm="1">
        <f t="array" ref="Q324">IFERROR(
 INDEX(
  _xlfn._xlws.FILTER($U$2:$AX$2,
   TRANSPOSE(
    CHOOSE({1;2;3;4;5;6;7;8;9;10;11;12;13;14;15;16;17;18;19;20;21;22;23;24;25;26;27;28;29;30},
     COUNTIFS($U$3:$U$201,$M324)&gt;0,
     COUNTIFS($V$3:$V$201,$M324)&gt;0,
     COUNTIFS($W$3:$W$201,$M324)&gt;0,
     COUNTIFS($X$3:$X$201,$M324)&gt;0,
     COUNTIFS($Y$3:$Y$201,$M324)&gt;0,
     COUNTIFS($Z$3:$Z$201,$M324)&gt;0,
     COUNTIFS($AA$3:$AA$201,$M324)&gt;0,
     COUNTIFS($AB$3:$AB$201,$M324)&gt;0,
     COUNTIFS($AC$3:$AC$201,$M324)&gt;0,
     COUNTIFS($AD$3:$AD$201,$M324)&gt;0,
     COUNTIFS($AE$3:$AE$201,$M324)&gt;0,
     COUNTIFS($AF$3:$AF$201,$M324)&gt;0,
     COUNTIFS($AG$3:$AG$201,$M324)&gt;0,
     COUNTIFS($AH$3:$AH$201,$M324)&gt;0,
     COUNTIFS($AI$3:$AI$201,$M324)&gt;0,
     COUNTIFS($AJ$3:$AJ$201,$M324)&gt;0,
     COUNTIFS($AK$3:$AK$201,$M324)&gt;0,
     COUNTIFS($AL$3:$AL$201,$M324)&gt;0,
     COUNTIFS($AM$3:$AM$201,$M324)&gt;0,
     COUNTIFS($AN$3:$AN$201,$M324)&gt;0,
     COUNTIFS($AO$3:$AO$201,$M324)&gt;0,
     COUNTIFS($AP$3:$AP$201,$M324)&gt;0,
     COUNTIFS($AQ$3:$AQ$201,$M324)&gt;0,
     COUNTIFS($AR$3:$AR$201,$M324)&gt;0,
     COUNTIFS($AS$3:$AS$201,$M324)&gt;0,
     COUNTIFS($AT$3:$AT$201,$M324)&gt;0,
     COUNTIFS($AU$3:$AU$201,$M324)&gt;0,
     COUNTIFS($AV$3:$AV$201,$M324)&gt;0,
     COUNTIFS($AW$3:$AW$201,$M324)&gt;0,
     COUNTIFS($AX$3:$AX$201,$M324)&gt;0
   )),
  ),
  3
 ),
"")</f>
        <v/>
      </c>
    </row>
    <row r="325" spans="1:17" x14ac:dyDescent="0.25">
      <c r="A325" t="str">
        <f ca="1"/>
        <v>Pongify</v>
      </c>
      <c r="B325" s="2" t="str" cm="1">
        <f t="array" aca="1" ref="B325" ca="1">_xlfn.ANCHORARRAY(RESUMO!C324)</f>
        <v>4cRash</v>
      </c>
      <c r="C325" s="2" t="str">
        <f t="shared" ca="1" si="21"/>
        <v/>
      </c>
      <c r="F325" s="2">
        <f t="shared" si="20"/>
        <v>0</v>
      </c>
      <c r="G325" s="2" t="str">
        <f t="shared" ca="1" si="22"/>
        <v/>
      </c>
      <c r="N325" s="2">
        <f t="shared" si="23"/>
        <v>0</v>
      </c>
      <c r="O325" s="2" t="str">
        <f>IFERROR(
 INDEX($U$2:$AX$2,
  MATCH(TRUE,
   CHOOSE({1;2;3;4;5;6;7;8;9;10;11;12;13;14;15;16;17;18;19;20;21;22;23;24;25;26;27;28;29;30;31;32},
    COUNTIFS($U$3:$U$201,$M325)&gt;0,
    COUNTIFS($V$3:$V$201,$M325)&gt;0,
    COUNTIFS($W$3:$W$201,$M325)&gt;0,
    COUNTIFS($X$3:$X$201,$M325)&gt;0,
    COUNTIFS($Y$3:$Y$201,$M325)&gt;0,
    COUNTIFS($Z$3:$Z$201,$M325)&gt;0,
    COUNTIFS($AA$3:$AA$201,$M325)&gt;0,
    COUNTIFS($AB$3:$AB$201,$M325)&gt;0,
    COUNTIFS($AC$3:$AC$201,$M325)&gt;0,
    COUNTIFS($AD$3:$AD$201,$M325)&gt;0,
    COUNTIFS($AE$3:$AE$201,$M325)&gt;0,
    COUNTIFS($AF$3:$AF$201,$M325)&gt;0,
    COUNTIFS($AG$3:$AG$201,$M325)&gt;0,
    COUNTIFS($AH$3:$AH$201,$M325)&gt;0,
    COUNTIFS($AI$3:$AI$201,$M325)&gt;0,
    COUNTIFS($AJ$3:$AJ$201,$M325)&gt;0,
    COUNTIFS($AK$3:$AK$201,$M325)&gt;0,
    COUNTIFS($AL$3:$AL$201,$M325)&gt;0,
    COUNTIFS($AM$3:$AM$201,$M325)&gt;0,
    COUNTIFS($AN$3:$AN$201,$M325)&gt;0,
    COUNTIFS($AO$3:$AO$201,$M325)&gt;0,
    COUNTIFS($AP$3:$AP$201,$M325)&gt;0,
    COUNTIFS($AQ$3:$AQ$201,$M325)&gt;0,
    COUNTIFS($AR$3:$AR$201,$M325)&gt;0,
    COUNTIFS($AS$3:$AS$201,$M325)&gt;0,
    COUNTIFS($AT$3:$AT$201,$M325)&gt;0,
    COUNTIFS($AU$3:$AU$201,$M325)&gt;0,
    COUNTIFS($AV$3:$AV$201,$M325)&gt;0,
    COUNTIFS($AW$3:$AW$201,$M325)&gt;0,
    COUNTIFS($AX$3:$AX$201,$M325)&gt;0
   ),
  0)
 ),
"")</f>
        <v/>
      </c>
      <c r="P325" s="2" t="str" cm="1">
        <f t="array" ref="P325">IFERROR(
 INDEX(
  _xlfn._xlws.FILTER($U$2:$AX$2,
   TRANSPOSE(
    CHOOSE({1;2;3;4;5;6;7;8;9;10;11;12;13;14;15;16;17;18;19;20;21;22;23;24;25;26;27;28;29;30},
     COUNTIFS($U$3:$U$201,$M325)&gt;0,
     COUNTIFS($V$3:$V$201,$M325)&gt;0,
     COUNTIFS($W$3:$W$201,$M325)&gt;0,
     COUNTIFS($X$3:$X$201,$M325)&gt;0,
     COUNTIFS($Y$3:$Y$201,$M325)&gt;0,
     COUNTIFS($Z$3:$Z$201,$M325)&gt;0,
     COUNTIFS($AA$3:$AA$201,$M325)&gt;0,
     COUNTIFS($AB$3:$AB$201,$M325)&gt;0,
     COUNTIFS($AC$3:$AC$201,$M325)&gt;0,
     COUNTIFS($AD$3:$AD$201,$M325)&gt;0,
     COUNTIFS($AE$3:$AE$201,$M325)&gt;0,
     COUNTIFS($AF$3:$AF$201,$M325)&gt;0,
     COUNTIFS($AG$3:$AG$201,$M325)&gt;0,
     COUNTIFS($AH$3:$AH$201,$M325)&gt;0,
     COUNTIFS($AI$3:$AI$201,$M325)&gt;0,
     COUNTIFS($AJ$3:$AJ$201,$M325)&gt;0,
     COUNTIFS($AK$3:$AK$201,$M325)&gt;0,
     COUNTIFS($AL$3:$AL$201,$M325)&gt;0,
     COUNTIFS($AM$3:$AM$201,$M325)&gt;0,
     COUNTIFS($AN$3:$AN$201,$M325)&gt;0,
     COUNTIFS($AO$3:$AO$201,$M325)&gt;0,
     COUNTIFS($AP$3:$AP$201,$M325)&gt;0,
     COUNTIFS($AQ$3:$AQ$201,$M325)&gt;0,
     COUNTIFS($AR$3:$AR$201,$M325)&gt;0,
     COUNTIFS($AS$3:$AS$201,$M325)&gt;0,
     COUNTIFS($AT$3:$AT$201,$M325)&gt;0,
     COUNTIFS($AU$3:$AU$201,$M325)&gt;0,
     COUNTIFS($AV$3:$AV$201,$M325)&gt;0,
     COUNTIFS($AW$3:$AW$201,$M325)&gt;0,
     COUNTIFS($AX$3:$AX$201,$M325)&gt;0
   )),
  ),
  2
 ),
"")</f>
        <v/>
      </c>
      <c r="Q325" s="2" t="str" cm="1">
        <f t="array" ref="Q325">IFERROR(
 INDEX(
  _xlfn._xlws.FILTER($U$2:$AX$2,
   TRANSPOSE(
    CHOOSE({1;2;3;4;5;6;7;8;9;10;11;12;13;14;15;16;17;18;19;20;21;22;23;24;25;26;27;28;29;30},
     COUNTIFS($U$3:$U$201,$M325)&gt;0,
     COUNTIFS($V$3:$V$201,$M325)&gt;0,
     COUNTIFS($W$3:$W$201,$M325)&gt;0,
     COUNTIFS($X$3:$X$201,$M325)&gt;0,
     COUNTIFS($Y$3:$Y$201,$M325)&gt;0,
     COUNTIFS($Z$3:$Z$201,$M325)&gt;0,
     COUNTIFS($AA$3:$AA$201,$M325)&gt;0,
     COUNTIFS($AB$3:$AB$201,$M325)&gt;0,
     COUNTIFS($AC$3:$AC$201,$M325)&gt;0,
     COUNTIFS($AD$3:$AD$201,$M325)&gt;0,
     COUNTIFS($AE$3:$AE$201,$M325)&gt;0,
     COUNTIFS($AF$3:$AF$201,$M325)&gt;0,
     COUNTIFS($AG$3:$AG$201,$M325)&gt;0,
     COUNTIFS($AH$3:$AH$201,$M325)&gt;0,
     COUNTIFS($AI$3:$AI$201,$M325)&gt;0,
     COUNTIFS($AJ$3:$AJ$201,$M325)&gt;0,
     COUNTIFS($AK$3:$AK$201,$M325)&gt;0,
     COUNTIFS($AL$3:$AL$201,$M325)&gt;0,
     COUNTIFS($AM$3:$AM$201,$M325)&gt;0,
     COUNTIFS($AN$3:$AN$201,$M325)&gt;0,
     COUNTIFS($AO$3:$AO$201,$M325)&gt;0,
     COUNTIFS($AP$3:$AP$201,$M325)&gt;0,
     COUNTIFS($AQ$3:$AQ$201,$M325)&gt;0,
     COUNTIFS($AR$3:$AR$201,$M325)&gt;0,
     COUNTIFS($AS$3:$AS$201,$M325)&gt;0,
     COUNTIFS($AT$3:$AT$201,$M325)&gt;0,
     COUNTIFS($AU$3:$AU$201,$M325)&gt;0,
     COUNTIFS($AV$3:$AV$201,$M325)&gt;0,
     COUNTIFS($AW$3:$AW$201,$M325)&gt;0,
     COUNTIFS($AX$3:$AX$201,$M325)&gt;0
   )),
  ),
  3
 ),
"")</f>
        <v/>
      </c>
    </row>
    <row r="326" spans="1:17" x14ac:dyDescent="0.25">
      <c r="A326" t="str">
        <f ca="1"/>
        <v>Predatory Sliver</v>
      </c>
      <c r="B326" s="2" t="str" cm="1">
        <f t="array" aca="1" ref="B326" ca="1">_xlfn.ANCHORARRAY(RESUMO!C325)</f>
        <v>Fractius</v>
      </c>
      <c r="C326" s="2" t="str">
        <f t="shared" ca="1" si="21"/>
        <v/>
      </c>
      <c r="F326" s="2">
        <f t="shared" si="20"/>
        <v>0</v>
      </c>
      <c r="G326" s="2" t="str">
        <f t="shared" ca="1" si="22"/>
        <v/>
      </c>
      <c r="N326" s="2">
        <f t="shared" si="23"/>
        <v>0</v>
      </c>
      <c r="O326" s="2" t="str">
        <f>IFERROR(
 INDEX($U$2:$AX$2,
  MATCH(TRUE,
   CHOOSE({1;2;3;4;5;6;7;8;9;10;11;12;13;14;15;16;17;18;19;20;21;22;23;24;25;26;27;28;29;30;31;32},
    COUNTIFS($U$3:$U$201,$M326)&gt;0,
    COUNTIFS($V$3:$V$201,$M326)&gt;0,
    COUNTIFS($W$3:$W$201,$M326)&gt;0,
    COUNTIFS($X$3:$X$201,$M326)&gt;0,
    COUNTIFS($Y$3:$Y$201,$M326)&gt;0,
    COUNTIFS($Z$3:$Z$201,$M326)&gt;0,
    COUNTIFS($AA$3:$AA$201,$M326)&gt;0,
    COUNTIFS($AB$3:$AB$201,$M326)&gt;0,
    COUNTIFS($AC$3:$AC$201,$M326)&gt;0,
    COUNTIFS($AD$3:$AD$201,$M326)&gt;0,
    COUNTIFS($AE$3:$AE$201,$M326)&gt;0,
    COUNTIFS($AF$3:$AF$201,$M326)&gt;0,
    COUNTIFS($AG$3:$AG$201,$M326)&gt;0,
    COUNTIFS($AH$3:$AH$201,$M326)&gt;0,
    COUNTIFS($AI$3:$AI$201,$M326)&gt;0,
    COUNTIFS($AJ$3:$AJ$201,$M326)&gt;0,
    COUNTIFS($AK$3:$AK$201,$M326)&gt;0,
    COUNTIFS($AL$3:$AL$201,$M326)&gt;0,
    COUNTIFS($AM$3:$AM$201,$M326)&gt;0,
    COUNTIFS($AN$3:$AN$201,$M326)&gt;0,
    COUNTIFS($AO$3:$AO$201,$M326)&gt;0,
    COUNTIFS($AP$3:$AP$201,$M326)&gt;0,
    COUNTIFS($AQ$3:$AQ$201,$M326)&gt;0,
    COUNTIFS($AR$3:$AR$201,$M326)&gt;0,
    COUNTIFS($AS$3:$AS$201,$M326)&gt;0,
    COUNTIFS($AT$3:$AT$201,$M326)&gt;0,
    COUNTIFS($AU$3:$AU$201,$M326)&gt;0,
    COUNTIFS($AV$3:$AV$201,$M326)&gt;0,
    COUNTIFS($AW$3:$AW$201,$M326)&gt;0,
    COUNTIFS($AX$3:$AX$201,$M326)&gt;0
   ),
  0)
 ),
"")</f>
        <v/>
      </c>
      <c r="P326" s="2" t="str" cm="1">
        <f t="array" ref="P326">IFERROR(
 INDEX(
  _xlfn._xlws.FILTER($U$2:$AX$2,
   TRANSPOSE(
    CHOOSE({1;2;3;4;5;6;7;8;9;10;11;12;13;14;15;16;17;18;19;20;21;22;23;24;25;26;27;28;29;30},
     COUNTIFS($U$3:$U$201,$M326)&gt;0,
     COUNTIFS($V$3:$V$201,$M326)&gt;0,
     COUNTIFS($W$3:$W$201,$M326)&gt;0,
     COUNTIFS($X$3:$X$201,$M326)&gt;0,
     COUNTIFS($Y$3:$Y$201,$M326)&gt;0,
     COUNTIFS($Z$3:$Z$201,$M326)&gt;0,
     COUNTIFS($AA$3:$AA$201,$M326)&gt;0,
     COUNTIFS($AB$3:$AB$201,$M326)&gt;0,
     COUNTIFS($AC$3:$AC$201,$M326)&gt;0,
     COUNTIFS($AD$3:$AD$201,$M326)&gt;0,
     COUNTIFS($AE$3:$AE$201,$M326)&gt;0,
     COUNTIFS($AF$3:$AF$201,$M326)&gt;0,
     COUNTIFS($AG$3:$AG$201,$M326)&gt;0,
     COUNTIFS($AH$3:$AH$201,$M326)&gt;0,
     COUNTIFS($AI$3:$AI$201,$M326)&gt;0,
     COUNTIFS($AJ$3:$AJ$201,$M326)&gt;0,
     COUNTIFS($AK$3:$AK$201,$M326)&gt;0,
     COUNTIFS($AL$3:$AL$201,$M326)&gt;0,
     COUNTIFS($AM$3:$AM$201,$M326)&gt;0,
     COUNTIFS($AN$3:$AN$201,$M326)&gt;0,
     COUNTIFS($AO$3:$AO$201,$M326)&gt;0,
     COUNTIFS($AP$3:$AP$201,$M326)&gt;0,
     COUNTIFS($AQ$3:$AQ$201,$M326)&gt;0,
     COUNTIFS($AR$3:$AR$201,$M326)&gt;0,
     COUNTIFS($AS$3:$AS$201,$M326)&gt;0,
     COUNTIFS($AT$3:$AT$201,$M326)&gt;0,
     COUNTIFS($AU$3:$AU$201,$M326)&gt;0,
     COUNTIFS($AV$3:$AV$201,$M326)&gt;0,
     COUNTIFS($AW$3:$AW$201,$M326)&gt;0,
     COUNTIFS($AX$3:$AX$201,$M326)&gt;0
   )),
  ),
  2
 ),
"")</f>
        <v/>
      </c>
      <c r="Q326" s="2" t="str" cm="1">
        <f t="array" ref="Q326">IFERROR(
 INDEX(
  _xlfn._xlws.FILTER($U$2:$AX$2,
   TRANSPOSE(
    CHOOSE({1;2;3;4;5;6;7;8;9;10;11;12;13;14;15;16;17;18;19;20;21;22;23;24;25;26;27;28;29;30},
     COUNTIFS($U$3:$U$201,$M326)&gt;0,
     COUNTIFS($V$3:$V$201,$M326)&gt;0,
     COUNTIFS($W$3:$W$201,$M326)&gt;0,
     COUNTIFS($X$3:$X$201,$M326)&gt;0,
     COUNTIFS($Y$3:$Y$201,$M326)&gt;0,
     COUNTIFS($Z$3:$Z$201,$M326)&gt;0,
     COUNTIFS($AA$3:$AA$201,$M326)&gt;0,
     COUNTIFS($AB$3:$AB$201,$M326)&gt;0,
     COUNTIFS($AC$3:$AC$201,$M326)&gt;0,
     COUNTIFS($AD$3:$AD$201,$M326)&gt;0,
     COUNTIFS($AE$3:$AE$201,$M326)&gt;0,
     COUNTIFS($AF$3:$AF$201,$M326)&gt;0,
     COUNTIFS($AG$3:$AG$201,$M326)&gt;0,
     COUNTIFS($AH$3:$AH$201,$M326)&gt;0,
     COUNTIFS($AI$3:$AI$201,$M326)&gt;0,
     COUNTIFS($AJ$3:$AJ$201,$M326)&gt;0,
     COUNTIFS($AK$3:$AK$201,$M326)&gt;0,
     COUNTIFS($AL$3:$AL$201,$M326)&gt;0,
     COUNTIFS($AM$3:$AM$201,$M326)&gt;0,
     COUNTIFS($AN$3:$AN$201,$M326)&gt;0,
     COUNTIFS($AO$3:$AO$201,$M326)&gt;0,
     COUNTIFS($AP$3:$AP$201,$M326)&gt;0,
     COUNTIFS($AQ$3:$AQ$201,$M326)&gt;0,
     COUNTIFS($AR$3:$AR$201,$M326)&gt;0,
     COUNTIFS($AS$3:$AS$201,$M326)&gt;0,
     COUNTIFS($AT$3:$AT$201,$M326)&gt;0,
     COUNTIFS($AU$3:$AU$201,$M326)&gt;0,
     COUNTIFS($AV$3:$AV$201,$M326)&gt;0,
     COUNTIFS($AW$3:$AW$201,$M326)&gt;0,
     COUNTIFS($AX$3:$AX$201,$M326)&gt;0
   )),
  ),
  3
 ),
"")</f>
        <v/>
      </c>
    </row>
    <row r="327" spans="1:17" x14ac:dyDescent="0.25">
      <c r="A327" t="str">
        <f ca="1"/>
        <v>Prishe's Wanderings</v>
      </c>
      <c r="B327" s="2" t="str" cm="1">
        <f t="array" aca="1" ref="B327" ca="1">_xlfn.ANCHORARRAY(RESUMO!C326)</f>
        <v>4cRash</v>
      </c>
      <c r="C327" s="2" t="str">
        <f t="shared" ca="1" si="21"/>
        <v/>
      </c>
      <c r="F327" s="2">
        <f t="shared" si="20"/>
        <v>0</v>
      </c>
      <c r="G327" s="2" t="str">
        <f t="shared" ca="1" si="22"/>
        <v/>
      </c>
      <c r="N327" s="2">
        <f t="shared" si="23"/>
        <v>0</v>
      </c>
      <c r="O327" s="2" t="str">
        <f>IFERROR(
 INDEX($U$2:$AX$2,
  MATCH(TRUE,
   CHOOSE({1;2;3;4;5;6;7;8;9;10;11;12;13;14;15;16;17;18;19;20;21;22;23;24;25;26;27;28;29;30;31;32},
    COUNTIFS($U$3:$U$201,$M327)&gt;0,
    COUNTIFS($V$3:$V$201,$M327)&gt;0,
    COUNTIFS($W$3:$W$201,$M327)&gt;0,
    COUNTIFS($X$3:$X$201,$M327)&gt;0,
    COUNTIFS($Y$3:$Y$201,$M327)&gt;0,
    COUNTIFS($Z$3:$Z$201,$M327)&gt;0,
    COUNTIFS($AA$3:$AA$201,$M327)&gt;0,
    COUNTIFS($AB$3:$AB$201,$M327)&gt;0,
    COUNTIFS($AC$3:$AC$201,$M327)&gt;0,
    COUNTIFS($AD$3:$AD$201,$M327)&gt;0,
    COUNTIFS($AE$3:$AE$201,$M327)&gt;0,
    COUNTIFS($AF$3:$AF$201,$M327)&gt;0,
    COUNTIFS($AG$3:$AG$201,$M327)&gt;0,
    COUNTIFS($AH$3:$AH$201,$M327)&gt;0,
    COUNTIFS($AI$3:$AI$201,$M327)&gt;0,
    COUNTIFS($AJ$3:$AJ$201,$M327)&gt;0,
    COUNTIFS($AK$3:$AK$201,$M327)&gt;0,
    COUNTIFS($AL$3:$AL$201,$M327)&gt;0,
    COUNTIFS($AM$3:$AM$201,$M327)&gt;0,
    COUNTIFS($AN$3:$AN$201,$M327)&gt;0,
    COUNTIFS($AO$3:$AO$201,$M327)&gt;0,
    COUNTIFS($AP$3:$AP$201,$M327)&gt;0,
    COUNTIFS($AQ$3:$AQ$201,$M327)&gt;0,
    COUNTIFS($AR$3:$AR$201,$M327)&gt;0,
    COUNTIFS($AS$3:$AS$201,$M327)&gt;0,
    COUNTIFS($AT$3:$AT$201,$M327)&gt;0,
    COUNTIFS($AU$3:$AU$201,$M327)&gt;0,
    COUNTIFS($AV$3:$AV$201,$M327)&gt;0,
    COUNTIFS($AW$3:$AW$201,$M327)&gt;0,
    COUNTIFS($AX$3:$AX$201,$M327)&gt;0
   ),
  0)
 ),
"")</f>
        <v/>
      </c>
      <c r="P327" s="2" t="str" cm="1">
        <f t="array" ref="P327">IFERROR(
 INDEX(
  _xlfn._xlws.FILTER($U$2:$AX$2,
   TRANSPOSE(
    CHOOSE({1;2;3;4;5;6;7;8;9;10;11;12;13;14;15;16;17;18;19;20;21;22;23;24;25;26;27;28;29;30},
     COUNTIFS($U$3:$U$201,$M327)&gt;0,
     COUNTIFS($V$3:$V$201,$M327)&gt;0,
     COUNTIFS($W$3:$W$201,$M327)&gt;0,
     COUNTIFS($X$3:$X$201,$M327)&gt;0,
     COUNTIFS($Y$3:$Y$201,$M327)&gt;0,
     COUNTIFS($Z$3:$Z$201,$M327)&gt;0,
     COUNTIFS($AA$3:$AA$201,$M327)&gt;0,
     COUNTIFS($AB$3:$AB$201,$M327)&gt;0,
     COUNTIFS($AC$3:$AC$201,$M327)&gt;0,
     COUNTIFS($AD$3:$AD$201,$M327)&gt;0,
     COUNTIFS($AE$3:$AE$201,$M327)&gt;0,
     COUNTIFS($AF$3:$AF$201,$M327)&gt;0,
     COUNTIFS($AG$3:$AG$201,$M327)&gt;0,
     COUNTIFS($AH$3:$AH$201,$M327)&gt;0,
     COUNTIFS($AI$3:$AI$201,$M327)&gt;0,
     COUNTIFS($AJ$3:$AJ$201,$M327)&gt;0,
     COUNTIFS($AK$3:$AK$201,$M327)&gt;0,
     COUNTIFS($AL$3:$AL$201,$M327)&gt;0,
     COUNTIFS($AM$3:$AM$201,$M327)&gt;0,
     COUNTIFS($AN$3:$AN$201,$M327)&gt;0,
     COUNTIFS($AO$3:$AO$201,$M327)&gt;0,
     COUNTIFS($AP$3:$AP$201,$M327)&gt;0,
     COUNTIFS($AQ$3:$AQ$201,$M327)&gt;0,
     COUNTIFS($AR$3:$AR$201,$M327)&gt;0,
     COUNTIFS($AS$3:$AS$201,$M327)&gt;0,
     COUNTIFS($AT$3:$AT$201,$M327)&gt;0,
     COUNTIFS($AU$3:$AU$201,$M327)&gt;0,
     COUNTIFS($AV$3:$AV$201,$M327)&gt;0,
     COUNTIFS($AW$3:$AW$201,$M327)&gt;0,
     COUNTIFS($AX$3:$AX$201,$M327)&gt;0
   )),
  ),
  2
 ),
"")</f>
        <v/>
      </c>
      <c r="Q327" s="2" t="str" cm="1">
        <f t="array" ref="Q327">IFERROR(
 INDEX(
  _xlfn._xlws.FILTER($U$2:$AX$2,
   TRANSPOSE(
    CHOOSE({1;2;3;4;5;6;7;8;9;10;11;12;13;14;15;16;17;18;19;20;21;22;23;24;25;26;27;28;29;30},
     COUNTIFS($U$3:$U$201,$M327)&gt;0,
     COUNTIFS($V$3:$V$201,$M327)&gt;0,
     COUNTIFS($W$3:$W$201,$M327)&gt;0,
     COUNTIFS($X$3:$X$201,$M327)&gt;0,
     COUNTIFS($Y$3:$Y$201,$M327)&gt;0,
     COUNTIFS($Z$3:$Z$201,$M327)&gt;0,
     COUNTIFS($AA$3:$AA$201,$M327)&gt;0,
     COUNTIFS($AB$3:$AB$201,$M327)&gt;0,
     COUNTIFS($AC$3:$AC$201,$M327)&gt;0,
     COUNTIFS($AD$3:$AD$201,$M327)&gt;0,
     COUNTIFS($AE$3:$AE$201,$M327)&gt;0,
     COUNTIFS($AF$3:$AF$201,$M327)&gt;0,
     COUNTIFS($AG$3:$AG$201,$M327)&gt;0,
     COUNTIFS($AH$3:$AH$201,$M327)&gt;0,
     COUNTIFS($AI$3:$AI$201,$M327)&gt;0,
     COUNTIFS($AJ$3:$AJ$201,$M327)&gt;0,
     COUNTIFS($AK$3:$AK$201,$M327)&gt;0,
     COUNTIFS($AL$3:$AL$201,$M327)&gt;0,
     COUNTIFS($AM$3:$AM$201,$M327)&gt;0,
     COUNTIFS($AN$3:$AN$201,$M327)&gt;0,
     COUNTIFS($AO$3:$AO$201,$M327)&gt;0,
     COUNTIFS($AP$3:$AP$201,$M327)&gt;0,
     COUNTIFS($AQ$3:$AQ$201,$M327)&gt;0,
     COUNTIFS($AR$3:$AR$201,$M327)&gt;0,
     COUNTIFS($AS$3:$AS$201,$M327)&gt;0,
     COUNTIFS($AT$3:$AT$201,$M327)&gt;0,
     COUNTIFS($AU$3:$AU$201,$M327)&gt;0,
     COUNTIFS($AV$3:$AV$201,$M327)&gt;0,
     COUNTIFS($AW$3:$AW$201,$M327)&gt;0,
     COUNTIFS($AX$3:$AX$201,$M327)&gt;0
   )),
  ),
  3
 ),
"")</f>
        <v/>
      </c>
    </row>
    <row r="328" spans="1:17" x14ac:dyDescent="0.25">
      <c r="A328" t="str">
        <f ca="1"/>
        <v>Prismatic Lens</v>
      </c>
      <c r="B328" s="2" t="str" cm="1">
        <f t="array" aca="1" ref="B328" ca="1">_xlfn.ANCHORARRAY(RESUMO!C327)</f>
        <v>Yorion</v>
      </c>
      <c r="C328" s="2" t="str">
        <f t="shared" ca="1" si="21"/>
        <v/>
      </c>
      <c r="F328" s="2">
        <f t="shared" si="20"/>
        <v>0</v>
      </c>
      <c r="G328" s="2" t="str">
        <f t="shared" ca="1" si="22"/>
        <v/>
      </c>
      <c r="N328" s="2">
        <f t="shared" si="23"/>
        <v>0</v>
      </c>
      <c r="O328" s="2" t="str">
        <f>IFERROR(
 INDEX($U$2:$AX$2,
  MATCH(TRUE,
   CHOOSE({1;2;3;4;5;6;7;8;9;10;11;12;13;14;15;16;17;18;19;20;21;22;23;24;25;26;27;28;29;30;31;32},
    COUNTIFS($U$3:$U$201,$M328)&gt;0,
    COUNTIFS($V$3:$V$201,$M328)&gt;0,
    COUNTIFS($W$3:$W$201,$M328)&gt;0,
    COUNTIFS($X$3:$X$201,$M328)&gt;0,
    COUNTIFS($Y$3:$Y$201,$M328)&gt;0,
    COUNTIFS($Z$3:$Z$201,$M328)&gt;0,
    COUNTIFS($AA$3:$AA$201,$M328)&gt;0,
    COUNTIFS($AB$3:$AB$201,$M328)&gt;0,
    COUNTIFS($AC$3:$AC$201,$M328)&gt;0,
    COUNTIFS($AD$3:$AD$201,$M328)&gt;0,
    COUNTIFS($AE$3:$AE$201,$M328)&gt;0,
    COUNTIFS($AF$3:$AF$201,$M328)&gt;0,
    COUNTIFS($AG$3:$AG$201,$M328)&gt;0,
    COUNTIFS($AH$3:$AH$201,$M328)&gt;0,
    COUNTIFS($AI$3:$AI$201,$M328)&gt;0,
    COUNTIFS($AJ$3:$AJ$201,$M328)&gt;0,
    COUNTIFS($AK$3:$AK$201,$M328)&gt;0,
    COUNTIFS($AL$3:$AL$201,$M328)&gt;0,
    COUNTIFS($AM$3:$AM$201,$M328)&gt;0,
    COUNTIFS($AN$3:$AN$201,$M328)&gt;0,
    COUNTIFS($AO$3:$AO$201,$M328)&gt;0,
    COUNTIFS($AP$3:$AP$201,$M328)&gt;0,
    COUNTIFS($AQ$3:$AQ$201,$M328)&gt;0,
    COUNTIFS($AR$3:$AR$201,$M328)&gt;0,
    COUNTIFS($AS$3:$AS$201,$M328)&gt;0,
    COUNTIFS($AT$3:$AT$201,$M328)&gt;0,
    COUNTIFS($AU$3:$AU$201,$M328)&gt;0,
    COUNTIFS($AV$3:$AV$201,$M328)&gt;0,
    COUNTIFS($AW$3:$AW$201,$M328)&gt;0,
    COUNTIFS($AX$3:$AX$201,$M328)&gt;0
   ),
  0)
 ),
"")</f>
        <v/>
      </c>
      <c r="P328" s="2" t="str" cm="1">
        <f t="array" ref="P328">IFERROR(
 INDEX(
  _xlfn._xlws.FILTER($U$2:$AX$2,
   TRANSPOSE(
    CHOOSE({1;2;3;4;5;6;7;8;9;10;11;12;13;14;15;16;17;18;19;20;21;22;23;24;25;26;27;28;29;30},
     COUNTIFS($U$3:$U$201,$M328)&gt;0,
     COUNTIFS($V$3:$V$201,$M328)&gt;0,
     COUNTIFS($W$3:$W$201,$M328)&gt;0,
     COUNTIFS($X$3:$X$201,$M328)&gt;0,
     COUNTIFS($Y$3:$Y$201,$M328)&gt;0,
     COUNTIFS($Z$3:$Z$201,$M328)&gt;0,
     COUNTIFS($AA$3:$AA$201,$M328)&gt;0,
     COUNTIFS($AB$3:$AB$201,$M328)&gt;0,
     COUNTIFS($AC$3:$AC$201,$M328)&gt;0,
     COUNTIFS($AD$3:$AD$201,$M328)&gt;0,
     COUNTIFS($AE$3:$AE$201,$M328)&gt;0,
     COUNTIFS($AF$3:$AF$201,$M328)&gt;0,
     COUNTIFS($AG$3:$AG$201,$M328)&gt;0,
     COUNTIFS($AH$3:$AH$201,$M328)&gt;0,
     COUNTIFS($AI$3:$AI$201,$M328)&gt;0,
     COUNTIFS($AJ$3:$AJ$201,$M328)&gt;0,
     COUNTIFS($AK$3:$AK$201,$M328)&gt;0,
     COUNTIFS($AL$3:$AL$201,$M328)&gt;0,
     COUNTIFS($AM$3:$AM$201,$M328)&gt;0,
     COUNTIFS($AN$3:$AN$201,$M328)&gt;0,
     COUNTIFS($AO$3:$AO$201,$M328)&gt;0,
     COUNTIFS($AP$3:$AP$201,$M328)&gt;0,
     COUNTIFS($AQ$3:$AQ$201,$M328)&gt;0,
     COUNTIFS($AR$3:$AR$201,$M328)&gt;0,
     COUNTIFS($AS$3:$AS$201,$M328)&gt;0,
     COUNTIFS($AT$3:$AT$201,$M328)&gt;0,
     COUNTIFS($AU$3:$AU$201,$M328)&gt;0,
     COUNTIFS($AV$3:$AV$201,$M328)&gt;0,
     COUNTIFS($AW$3:$AW$201,$M328)&gt;0,
     COUNTIFS($AX$3:$AX$201,$M328)&gt;0
   )),
  ),
  2
 ),
"")</f>
        <v/>
      </c>
      <c r="Q328" s="2" t="str" cm="1">
        <f t="array" ref="Q328">IFERROR(
 INDEX(
  _xlfn._xlws.FILTER($U$2:$AX$2,
   TRANSPOSE(
    CHOOSE({1;2;3;4;5;6;7;8;9;10;11;12;13;14;15;16;17;18;19;20;21;22;23;24;25;26;27;28;29;30},
     COUNTIFS($U$3:$U$201,$M328)&gt;0,
     COUNTIFS($V$3:$V$201,$M328)&gt;0,
     COUNTIFS($W$3:$W$201,$M328)&gt;0,
     COUNTIFS($X$3:$X$201,$M328)&gt;0,
     COUNTIFS($Y$3:$Y$201,$M328)&gt;0,
     COUNTIFS($Z$3:$Z$201,$M328)&gt;0,
     COUNTIFS($AA$3:$AA$201,$M328)&gt;0,
     COUNTIFS($AB$3:$AB$201,$M328)&gt;0,
     COUNTIFS($AC$3:$AC$201,$M328)&gt;0,
     COUNTIFS($AD$3:$AD$201,$M328)&gt;0,
     COUNTIFS($AE$3:$AE$201,$M328)&gt;0,
     COUNTIFS($AF$3:$AF$201,$M328)&gt;0,
     COUNTIFS($AG$3:$AG$201,$M328)&gt;0,
     COUNTIFS($AH$3:$AH$201,$M328)&gt;0,
     COUNTIFS($AI$3:$AI$201,$M328)&gt;0,
     COUNTIFS($AJ$3:$AJ$201,$M328)&gt;0,
     COUNTIFS($AK$3:$AK$201,$M328)&gt;0,
     COUNTIFS($AL$3:$AL$201,$M328)&gt;0,
     COUNTIFS($AM$3:$AM$201,$M328)&gt;0,
     COUNTIFS($AN$3:$AN$201,$M328)&gt;0,
     COUNTIFS($AO$3:$AO$201,$M328)&gt;0,
     COUNTIFS($AP$3:$AP$201,$M328)&gt;0,
     COUNTIFS($AQ$3:$AQ$201,$M328)&gt;0,
     COUNTIFS($AR$3:$AR$201,$M328)&gt;0,
     COUNTIFS($AS$3:$AS$201,$M328)&gt;0,
     COUNTIFS($AT$3:$AT$201,$M328)&gt;0,
     COUNTIFS($AU$3:$AU$201,$M328)&gt;0,
     COUNTIFS($AV$3:$AV$201,$M328)&gt;0,
     COUNTIFS($AW$3:$AW$201,$M328)&gt;0,
     COUNTIFS($AX$3:$AX$201,$M328)&gt;0
   )),
  ),
  3
 ),
"")</f>
        <v/>
      </c>
    </row>
    <row r="329" spans="1:17" x14ac:dyDescent="0.25">
      <c r="A329" t="str">
        <f ca="1"/>
        <v>Propaganda</v>
      </c>
      <c r="B329" s="2" t="str" cm="1">
        <f t="array" aca="1" ref="B329" ca="1">_xlfn.ANCHORARRAY(RESUMO!C328)</f>
        <v>4cRash</v>
      </c>
      <c r="C329" s="2" t="str">
        <f t="shared" ca="1" si="21"/>
        <v/>
      </c>
      <c r="F329" s="2">
        <f t="shared" si="20"/>
        <v>0</v>
      </c>
      <c r="G329" s="2" t="str">
        <f t="shared" ca="1" si="22"/>
        <v/>
      </c>
      <c r="N329" s="2">
        <f t="shared" si="23"/>
        <v>0</v>
      </c>
      <c r="O329" s="2" t="str">
        <f>IFERROR(
 INDEX($U$2:$AX$2,
  MATCH(TRUE,
   CHOOSE({1;2;3;4;5;6;7;8;9;10;11;12;13;14;15;16;17;18;19;20;21;22;23;24;25;26;27;28;29;30;31;32},
    COUNTIFS($U$3:$U$201,$M329)&gt;0,
    COUNTIFS($V$3:$V$201,$M329)&gt;0,
    COUNTIFS($W$3:$W$201,$M329)&gt;0,
    COUNTIFS($X$3:$X$201,$M329)&gt;0,
    COUNTIFS($Y$3:$Y$201,$M329)&gt;0,
    COUNTIFS($Z$3:$Z$201,$M329)&gt;0,
    COUNTIFS($AA$3:$AA$201,$M329)&gt;0,
    COUNTIFS($AB$3:$AB$201,$M329)&gt;0,
    COUNTIFS($AC$3:$AC$201,$M329)&gt;0,
    COUNTIFS($AD$3:$AD$201,$M329)&gt;0,
    COUNTIFS($AE$3:$AE$201,$M329)&gt;0,
    COUNTIFS($AF$3:$AF$201,$M329)&gt;0,
    COUNTIFS($AG$3:$AG$201,$M329)&gt;0,
    COUNTIFS($AH$3:$AH$201,$M329)&gt;0,
    COUNTIFS($AI$3:$AI$201,$M329)&gt;0,
    COUNTIFS($AJ$3:$AJ$201,$M329)&gt;0,
    COUNTIFS($AK$3:$AK$201,$M329)&gt;0,
    COUNTIFS($AL$3:$AL$201,$M329)&gt;0,
    COUNTIFS($AM$3:$AM$201,$M329)&gt;0,
    COUNTIFS($AN$3:$AN$201,$M329)&gt;0,
    COUNTIFS($AO$3:$AO$201,$M329)&gt;0,
    COUNTIFS($AP$3:$AP$201,$M329)&gt;0,
    COUNTIFS($AQ$3:$AQ$201,$M329)&gt;0,
    COUNTIFS($AR$3:$AR$201,$M329)&gt;0,
    COUNTIFS($AS$3:$AS$201,$M329)&gt;0,
    COUNTIFS($AT$3:$AT$201,$M329)&gt;0,
    COUNTIFS($AU$3:$AU$201,$M329)&gt;0,
    COUNTIFS($AV$3:$AV$201,$M329)&gt;0,
    COUNTIFS($AW$3:$AW$201,$M329)&gt;0,
    COUNTIFS($AX$3:$AX$201,$M329)&gt;0
   ),
  0)
 ),
"")</f>
        <v/>
      </c>
      <c r="P329" s="2" t="str" cm="1">
        <f t="array" ref="P329">IFERROR(
 INDEX(
  _xlfn._xlws.FILTER($U$2:$AX$2,
   TRANSPOSE(
    CHOOSE({1;2;3;4;5;6;7;8;9;10;11;12;13;14;15;16;17;18;19;20;21;22;23;24;25;26;27;28;29;30},
     COUNTIFS($U$3:$U$201,$M329)&gt;0,
     COUNTIFS($V$3:$V$201,$M329)&gt;0,
     COUNTIFS($W$3:$W$201,$M329)&gt;0,
     COUNTIFS($X$3:$X$201,$M329)&gt;0,
     COUNTIFS($Y$3:$Y$201,$M329)&gt;0,
     COUNTIFS($Z$3:$Z$201,$M329)&gt;0,
     COUNTIFS($AA$3:$AA$201,$M329)&gt;0,
     COUNTIFS($AB$3:$AB$201,$M329)&gt;0,
     COUNTIFS($AC$3:$AC$201,$M329)&gt;0,
     COUNTIFS($AD$3:$AD$201,$M329)&gt;0,
     COUNTIFS($AE$3:$AE$201,$M329)&gt;0,
     COUNTIFS($AF$3:$AF$201,$M329)&gt;0,
     COUNTIFS($AG$3:$AG$201,$M329)&gt;0,
     COUNTIFS($AH$3:$AH$201,$M329)&gt;0,
     COUNTIFS($AI$3:$AI$201,$M329)&gt;0,
     COUNTIFS($AJ$3:$AJ$201,$M329)&gt;0,
     COUNTIFS($AK$3:$AK$201,$M329)&gt;0,
     COUNTIFS($AL$3:$AL$201,$M329)&gt;0,
     COUNTIFS($AM$3:$AM$201,$M329)&gt;0,
     COUNTIFS($AN$3:$AN$201,$M329)&gt;0,
     COUNTIFS($AO$3:$AO$201,$M329)&gt;0,
     COUNTIFS($AP$3:$AP$201,$M329)&gt;0,
     COUNTIFS($AQ$3:$AQ$201,$M329)&gt;0,
     COUNTIFS($AR$3:$AR$201,$M329)&gt;0,
     COUNTIFS($AS$3:$AS$201,$M329)&gt;0,
     COUNTIFS($AT$3:$AT$201,$M329)&gt;0,
     COUNTIFS($AU$3:$AU$201,$M329)&gt;0,
     COUNTIFS($AV$3:$AV$201,$M329)&gt;0,
     COUNTIFS($AW$3:$AW$201,$M329)&gt;0,
     COUNTIFS($AX$3:$AX$201,$M329)&gt;0
   )),
  ),
  2
 ),
"")</f>
        <v/>
      </c>
      <c r="Q329" s="2" t="str" cm="1">
        <f t="array" ref="Q329">IFERROR(
 INDEX(
  _xlfn._xlws.FILTER($U$2:$AX$2,
   TRANSPOSE(
    CHOOSE({1;2;3;4;5;6;7;8;9;10;11;12;13;14;15;16;17;18;19;20;21;22;23;24;25;26;27;28;29;30},
     COUNTIFS($U$3:$U$201,$M329)&gt;0,
     COUNTIFS($V$3:$V$201,$M329)&gt;0,
     COUNTIFS($W$3:$W$201,$M329)&gt;0,
     COUNTIFS($X$3:$X$201,$M329)&gt;0,
     COUNTIFS($Y$3:$Y$201,$M329)&gt;0,
     COUNTIFS($Z$3:$Z$201,$M329)&gt;0,
     COUNTIFS($AA$3:$AA$201,$M329)&gt;0,
     COUNTIFS($AB$3:$AB$201,$M329)&gt;0,
     COUNTIFS($AC$3:$AC$201,$M329)&gt;0,
     COUNTIFS($AD$3:$AD$201,$M329)&gt;0,
     COUNTIFS($AE$3:$AE$201,$M329)&gt;0,
     COUNTIFS($AF$3:$AF$201,$M329)&gt;0,
     COUNTIFS($AG$3:$AG$201,$M329)&gt;0,
     COUNTIFS($AH$3:$AH$201,$M329)&gt;0,
     COUNTIFS($AI$3:$AI$201,$M329)&gt;0,
     COUNTIFS($AJ$3:$AJ$201,$M329)&gt;0,
     COUNTIFS($AK$3:$AK$201,$M329)&gt;0,
     COUNTIFS($AL$3:$AL$201,$M329)&gt;0,
     COUNTIFS($AM$3:$AM$201,$M329)&gt;0,
     COUNTIFS($AN$3:$AN$201,$M329)&gt;0,
     COUNTIFS($AO$3:$AO$201,$M329)&gt;0,
     COUNTIFS($AP$3:$AP$201,$M329)&gt;0,
     COUNTIFS($AQ$3:$AQ$201,$M329)&gt;0,
     COUNTIFS($AR$3:$AR$201,$M329)&gt;0,
     COUNTIFS($AS$3:$AS$201,$M329)&gt;0,
     COUNTIFS($AT$3:$AT$201,$M329)&gt;0,
     COUNTIFS($AU$3:$AU$201,$M329)&gt;0,
     COUNTIFS($AV$3:$AV$201,$M329)&gt;0,
     COUNTIFS($AW$3:$AW$201,$M329)&gt;0,
     COUNTIFS($AX$3:$AX$201,$M329)&gt;0
   )),
  ),
  3
 ),
"")</f>
        <v/>
      </c>
    </row>
    <row r="330" spans="1:17" x14ac:dyDescent="0.25">
      <c r="A330" t="str">
        <f ca="1"/>
        <v>Prosper, Tome-Bound</v>
      </c>
      <c r="B330" s="2" t="str" cm="1">
        <f t="array" aca="1" ref="B330" ca="1">_xlfn.ANCHORARRAY(RESUMO!C329)</f>
        <v>Zuko</v>
      </c>
      <c r="C330" s="2" t="str">
        <f t="shared" ca="1" si="21"/>
        <v/>
      </c>
      <c r="F330" s="2">
        <f t="shared" si="20"/>
        <v>0</v>
      </c>
      <c r="G330" s="2" t="str">
        <f t="shared" ca="1" si="22"/>
        <v/>
      </c>
      <c r="N330" s="2">
        <f t="shared" si="23"/>
        <v>0</v>
      </c>
      <c r="O330" s="2" t="str">
        <f>IFERROR(
 INDEX($U$2:$AX$2,
  MATCH(TRUE,
   CHOOSE({1;2;3;4;5;6;7;8;9;10;11;12;13;14;15;16;17;18;19;20;21;22;23;24;25;26;27;28;29;30;31;32},
    COUNTIFS($U$3:$U$201,$M330)&gt;0,
    COUNTIFS($V$3:$V$201,$M330)&gt;0,
    COUNTIFS($W$3:$W$201,$M330)&gt;0,
    COUNTIFS($X$3:$X$201,$M330)&gt;0,
    COUNTIFS($Y$3:$Y$201,$M330)&gt;0,
    COUNTIFS($Z$3:$Z$201,$M330)&gt;0,
    COUNTIFS($AA$3:$AA$201,$M330)&gt;0,
    COUNTIFS($AB$3:$AB$201,$M330)&gt;0,
    COUNTIFS($AC$3:$AC$201,$M330)&gt;0,
    COUNTIFS($AD$3:$AD$201,$M330)&gt;0,
    COUNTIFS($AE$3:$AE$201,$M330)&gt;0,
    COUNTIFS($AF$3:$AF$201,$M330)&gt;0,
    COUNTIFS($AG$3:$AG$201,$M330)&gt;0,
    COUNTIFS($AH$3:$AH$201,$M330)&gt;0,
    COUNTIFS($AI$3:$AI$201,$M330)&gt;0,
    COUNTIFS($AJ$3:$AJ$201,$M330)&gt;0,
    COUNTIFS($AK$3:$AK$201,$M330)&gt;0,
    COUNTIFS($AL$3:$AL$201,$M330)&gt;0,
    COUNTIFS($AM$3:$AM$201,$M330)&gt;0,
    COUNTIFS($AN$3:$AN$201,$M330)&gt;0,
    COUNTIFS($AO$3:$AO$201,$M330)&gt;0,
    COUNTIFS($AP$3:$AP$201,$M330)&gt;0,
    COUNTIFS($AQ$3:$AQ$201,$M330)&gt;0,
    COUNTIFS($AR$3:$AR$201,$M330)&gt;0,
    COUNTIFS($AS$3:$AS$201,$M330)&gt;0,
    COUNTIFS($AT$3:$AT$201,$M330)&gt;0,
    COUNTIFS($AU$3:$AU$201,$M330)&gt;0,
    COUNTIFS($AV$3:$AV$201,$M330)&gt;0,
    COUNTIFS($AW$3:$AW$201,$M330)&gt;0,
    COUNTIFS($AX$3:$AX$201,$M330)&gt;0
   ),
  0)
 ),
"")</f>
        <v/>
      </c>
      <c r="P330" s="2" t="str" cm="1">
        <f t="array" ref="P330">IFERROR(
 INDEX(
  _xlfn._xlws.FILTER($U$2:$AX$2,
   TRANSPOSE(
    CHOOSE({1;2;3;4;5;6;7;8;9;10;11;12;13;14;15;16;17;18;19;20;21;22;23;24;25;26;27;28;29;30},
     COUNTIFS($U$3:$U$201,$M330)&gt;0,
     COUNTIFS($V$3:$V$201,$M330)&gt;0,
     COUNTIFS($W$3:$W$201,$M330)&gt;0,
     COUNTIFS($X$3:$X$201,$M330)&gt;0,
     COUNTIFS($Y$3:$Y$201,$M330)&gt;0,
     COUNTIFS($Z$3:$Z$201,$M330)&gt;0,
     COUNTIFS($AA$3:$AA$201,$M330)&gt;0,
     COUNTIFS($AB$3:$AB$201,$M330)&gt;0,
     COUNTIFS($AC$3:$AC$201,$M330)&gt;0,
     COUNTIFS($AD$3:$AD$201,$M330)&gt;0,
     COUNTIFS($AE$3:$AE$201,$M330)&gt;0,
     COUNTIFS($AF$3:$AF$201,$M330)&gt;0,
     COUNTIFS($AG$3:$AG$201,$M330)&gt;0,
     COUNTIFS($AH$3:$AH$201,$M330)&gt;0,
     COUNTIFS($AI$3:$AI$201,$M330)&gt;0,
     COUNTIFS($AJ$3:$AJ$201,$M330)&gt;0,
     COUNTIFS($AK$3:$AK$201,$M330)&gt;0,
     COUNTIFS($AL$3:$AL$201,$M330)&gt;0,
     COUNTIFS($AM$3:$AM$201,$M330)&gt;0,
     COUNTIFS($AN$3:$AN$201,$M330)&gt;0,
     COUNTIFS($AO$3:$AO$201,$M330)&gt;0,
     COUNTIFS($AP$3:$AP$201,$M330)&gt;0,
     COUNTIFS($AQ$3:$AQ$201,$M330)&gt;0,
     COUNTIFS($AR$3:$AR$201,$M330)&gt;0,
     COUNTIFS($AS$3:$AS$201,$M330)&gt;0,
     COUNTIFS($AT$3:$AT$201,$M330)&gt;0,
     COUNTIFS($AU$3:$AU$201,$M330)&gt;0,
     COUNTIFS($AV$3:$AV$201,$M330)&gt;0,
     COUNTIFS($AW$3:$AW$201,$M330)&gt;0,
     COUNTIFS($AX$3:$AX$201,$M330)&gt;0
   )),
  ),
  2
 ),
"")</f>
        <v/>
      </c>
      <c r="Q330" s="2" t="str" cm="1">
        <f t="array" ref="Q330">IFERROR(
 INDEX(
  _xlfn._xlws.FILTER($U$2:$AX$2,
   TRANSPOSE(
    CHOOSE({1;2;3;4;5;6;7;8;9;10;11;12;13;14;15;16;17;18;19;20;21;22;23;24;25;26;27;28;29;30},
     COUNTIFS($U$3:$U$201,$M330)&gt;0,
     COUNTIFS($V$3:$V$201,$M330)&gt;0,
     COUNTIFS($W$3:$W$201,$M330)&gt;0,
     COUNTIFS($X$3:$X$201,$M330)&gt;0,
     COUNTIFS($Y$3:$Y$201,$M330)&gt;0,
     COUNTIFS($Z$3:$Z$201,$M330)&gt;0,
     COUNTIFS($AA$3:$AA$201,$M330)&gt;0,
     COUNTIFS($AB$3:$AB$201,$M330)&gt;0,
     COUNTIFS($AC$3:$AC$201,$M330)&gt;0,
     COUNTIFS($AD$3:$AD$201,$M330)&gt;0,
     COUNTIFS($AE$3:$AE$201,$M330)&gt;0,
     COUNTIFS($AF$3:$AF$201,$M330)&gt;0,
     COUNTIFS($AG$3:$AG$201,$M330)&gt;0,
     COUNTIFS($AH$3:$AH$201,$M330)&gt;0,
     COUNTIFS($AI$3:$AI$201,$M330)&gt;0,
     COUNTIFS($AJ$3:$AJ$201,$M330)&gt;0,
     COUNTIFS($AK$3:$AK$201,$M330)&gt;0,
     COUNTIFS($AL$3:$AL$201,$M330)&gt;0,
     COUNTIFS($AM$3:$AM$201,$M330)&gt;0,
     COUNTIFS($AN$3:$AN$201,$M330)&gt;0,
     COUNTIFS($AO$3:$AO$201,$M330)&gt;0,
     COUNTIFS($AP$3:$AP$201,$M330)&gt;0,
     COUNTIFS($AQ$3:$AQ$201,$M330)&gt;0,
     COUNTIFS($AR$3:$AR$201,$M330)&gt;0,
     COUNTIFS($AS$3:$AS$201,$M330)&gt;0,
     COUNTIFS($AT$3:$AT$201,$M330)&gt;0,
     COUNTIFS($AU$3:$AU$201,$M330)&gt;0,
     COUNTIFS($AV$3:$AV$201,$M330)&gt;0,
     COUNTIFS($AW$3:$AW$201,$M330)&gt;0,
     COUNTIFS($AX$3:$AX$201,$M330)&gt;0
   )),
  ),
  3
 ),
"")</f>
        <v/>
      </c>
    </row>
    <row r="331" spans="1:17" x14ac:dyDescent="0.25">
      <c r="A331" t="str">
        <f ca="1"/>
        <v>Prosperous Partnership</v>
      </c>
      <c r="B331" s="2" t="str" cm="1">
        <f t="array" aca="1" ref="B331" ca="1">_xlfn.ANCHORARRAY(RESUMO!C330)</f>
        <v>Baylen</v>
      </c>
      <c r="C331" s="2" t="str">
        <f t="shared" ca="1" si="21"/>
        <v/>
      </c>
      <c r="F331" s="2">
        <f t="shared" si="20"/>
        <v>0</v>
      </c>
      <c r="G331" s="2" t="str">
        <f t="shared" ca="1" si="22"/>
        <v/>
      </c>
      <c r="N331" s="2">
        <f t="shared" si="23"/>
        <v>0</v>
      </c>
      <c r="O331" s="2" t="str">
        <f>IFERROR(
 INDEX($U$2:$AX$2,
  MATCH(TRUE,
   CHOOSE({1;2;3;4;5;6;7;8;9;10;11;12;13;14;15;16;17;18;19;20;21;22;23;24;25;26;27;28;29;30;31;32},
    COUNTIFS($U$3:$U$201,$M331)&gt;0,
    COUNTIFS($V$3:$V$201,$M331)&gt;0,
    COUNTIFS($W$3:$W$201,$M331)&gt;0,
    COUNTIFS($X$3:$X$201,$M331)&gt;0,
    COUNTIFS($Y$3:$Y$201,$M331)&gt;0,
    COUNTIFS($Z$3:$Z$201,$M331)&gt;0,
    COUNTIFS($AA$3:$AA$201,$M331)&gt;0,
    COUNTIFS($AB$3:$AB$201,$M331)&gt;0,
    COUNTIFS($AC$3:$AC$201,$M331)&gt;0,
    COUNTIFS($AD$3:$AD$201,$M331)&gt;0,
    COUNTIFS($AE$3:$AE$201,$M331)&gt;0,
    COUNTIFS($AF$3:$AF$201,$M331)&gt;0,
    COUNTIFS($AG$3:$AG$201,$M331)&gt;0,
    COUNTIFS($AH$3:$AH$201,$M331)&gt;0,
    COUNTIFS($AI$3:$AI$201,$M331)&gt;0,
    COUNTIFS($AJ$3:$AJ$201,$M331)&gt;0,
    COUNTIFS($AK$3:$AK$201,$M331)&gt;0,
    COUNTIFS($AL$3:$AL$201,$M331)&gt;0,
    COUNTIFS($AM$3:$AM$201,$M331)&gt;0,
    COUNTIFS($AN$3:$AN$201,$M331)&gt;0,
    COUNTIFS($AO$3:$AO$201,$M331)&gt;0,
    COUNTIFS($AP$3:$AP$201,$M331)&gt;0,
    COUNTIFS($AQ$3:$AQ$201,$M331)&gt;0,
    COUNTIFS($AR$3:$AR$201,$M331)&gt;0,
    COUNTIFS($AS$3:$AS$201,$M331)&gt;0,
    COUNTIFS($AT$3:$AT$201,$M331)&gt;0,
    COUNTIFS($AU$3:$AU$201,$M331)&gt;0,
    COUNTIFS($AV$3:$AV$201,$M331)&gt;0,
    COUNTIFS($AW$3:$AW$201,$M331)&gt;0,
    COUNTIFS($AX$3:$AX$201,$M331)&gt;0
   ),
  0)
 ),
"")</f>
        <v/>
      </c>
      <c r="P331" s="2" t="str" cm="1">
        <f t="array" ref="P331">IFERROR(
 INDEX(
  _xlfn._xlws.FILTER($U$2:$AX$2,
   TRANSPOSE(
    CHOOSE({1;2;3;4;5;6;7;8;9;10;11;12;13;14;15;16;17;18;19;20;21;22;23;24;25;26;27;28;29;30},
     COUNTIFS($U$3:$U$201,$M331)&gt;0,
     COUNTIFS($V$3:$V$201,$M331)&gt;0,
     COUNTIFS($W$3:$W$201,$M331)&gt;0,
     COUNTIFS($X$3:$X$201,$M331)&gt;0,
     COUNTIFS($Y$3:$Y$201,$M331)&gt;0,
     COUNTIFS($Z$3:$Z$201,$M331)&gt;0,
     COUNTIFS($AA$3:$AA$201,$M331)&gt;0,
     COUNTIFS($AB$3:$AB$201,$M331)&gt;0,
     COUNTIFS($AC$3:$AC$201,$M331)&gt;0,
     COUNTIFS($AD$3:$AD$201,$M331)&gt;0,
     COUNTIFS($AE$3:$AE$201,$M331)&gt;0,
     COUNTIFS($AF$3:$AF$201,$M331)&gt;0,
     COUNTIFS($AG$3:$AG$201,$M331)&gt;0,
     COUNTIFS($AH$3:$AH$201,$M331)&gt;0,
     COUNTIFS($AI$3:$AI$201,$M331)&gt;0,
     COUNTIFS($AJ$3:$AJ$201,$M331)&gt;0,
     COUNTIFS($AK$3:$AK$201,$M331)&gt;0,
     COUNTIFS($AL$3:$AL$201,$M331)&gt;0,
     COUNTIFS($AM$3:$AM$201,$M331)&gt;0,
     COUNTIFS($AN$3:$AN$201,$M331)&gt;0,
     COUNTIFS($AO$3:$AO$201,$M331)&gt;0,
     COUNTIFS($AP$3:$AP$201,$M331)&gt;0,
     COUNTIFS($AQ$3:$AQ$201,$M331)&gt;0,
     COUNTIFS($AR$3:$AR$201,$M331)&gt;0,
     COUNTIFS($AS$3:$AS$201,$M331)&gt;0,
     COUNTIFS($AT$3:$AT$201,$M331)&gt;0,
     COUNTIFS($AU$3:$AU$201,$M331)&gt;0,
     COUNTIFS($AV$3:$AV$201,$M331)&gt;0,
     COUNTIFS($AW$3:$AW$201,$M331)&gt;0,
     COUNTIFS($AX$3:$AX$201,$M331)&gt;0
   )),
  ),
  2
 ),
"")</f>
        <v/>
      </c>
      <c r="Q331" s="2" t="str" cm="1">
        <f t="array" ref="Q331">IFERROR(
 INDEX(
  _xlfn._xlws.FILTER($U$2:$AX$2,
   TRANSPOSE(
    CHOOSE({1;2;3;4;5;6;7;8;9;10;11;12;13;14;15;16;17;18;19;20;21;22;23;24;25;26;27;28;29;30},
     COUNTIFS($U$3:$U$201,$M331)&gt;0,
     COUNTIFS($V$3:$V$201,$M331)&gt;0,
     COUNTIFS($W$3:$W$201,$M331)&gt;0,
     COUNTIFS($X$3:$X$201,$M331)&gt;0,
     COUNTIFS($Y$3:$Y$201,$M331)&gt;0,
     COUNTIFS($Z$3:$Z$201,$M331)&gt;0,
     COUNTIFS($AA$3:$AA$201,$M331)&gt;0,
     COUNTIFS($AB$3:$AB$201,$M331)&gt;0,
     COUNTIFS($AC$3:$AC$201,$M331)&gt;0,
     COUNTIFS($AD$3:$AD$201,$M331)&gt;0,
     COUNTIFS($AE$3:$AE$201,$M331)&gt;0,
     COUNTIFS($AF$3:$AF$201,$M331)&gt;0,
     COUNTIFS($AG$3:$AG$201,$M331)&gt;0,
     COUNTIFS($AH$3:$AH$201,$M331)&gt;0,
     COUNTIFS($AI$3:$AI$201,$M331)&gt;0,
     COUNTIFS($AJ$3:$AJ$201,$M331)&gt;0,
     COUNTIFS($AK$3:$AK$201,$M331)&gt;0,
     COUNTIFS($AL$3:$AL$201,$M331)&gt;0,
     COUNTIFS($AM$3:$AM$201,$M331)&gt;0,
     COUNTIFS($AN$3:$AN$201,$M331)&gt;0,
     COUNTIFS($AO$3:$AO$201,$M331)&gt;0,
     COUNTIFS($AP$3:$AP$201,$M331)&gt;0,
     COUNTIFS($AQ$3:$AQ$201,$M331)&gt;0,
     COUNTIFS($AR$3:$AR$201,$M331)&gt;0,
     COUNTIFS($AS$3:$AS$201,$M331)&gt;0,
     COUNTIFS($AT$3:$AT$201,$M331)&gt;0,
     COUNTIFS($AU$3:$AU$201,$M331)&gt;0,
     COUNTIFS($AV$3:$AV$201,$M331)&gt;0,
     COUNTIFS($AW$3:$AW$201,$M331)&gt;0,
     COUNTIFS($AX$3:$AX$201,$M331)&gt;0
   )),
  ),
  3
 ),
"")</f>
        <v/>
      </c>
    </row>
    <row r="332" spans="1:17" x14ac:dyDescent="0.25">
      <c r="A332" t="str">
        <f ca="1"/>
        <v>Psionic Sliver</v>
      </c>
      <c r="B332" s="2" t="str" cm="1">
        <f t="array" aca="1" ref="B332" ca="1">_xlfn.ANCHORARRAY(RESUMO!C331)</f>
        <v>Fractius</v>
      </c>
      <c r="C332" s="2" t="str">
        <f t="shared" ca="1" si="21"/>
        <v/>
      </c>
      <c r="F332" s="2">
        <f t="shared" si="20"/>
        <v>0</v>
      </c>
      <c r="G332" s="2" t="str">
        <f t="shared" ca="1" si="22"/>
        <v/>
      </c>
      <c r="N332" s="2">
        <f t="shared" si="23"/>
        <v>0</v>
      </c>
      <c r="O332" s="2" t="str">
        <f>IFERROR(
 INDEX($U$2:$AX$2,
  MATCH(TRUE,
   CHOOSE({1;2;3;4;5;6;7;8;9;10;11;12;13;14;15;16;17;18;19;20;21;22;23;24;25;26;27;28;29;30;31;32},
    COUNTIFS($U$3:$U$201,$M332)&gt;0,
    COUNTIFS($V$3:$V$201,$M332)&gt;0,
    COUNTIFS($W$3:$W$201,$M332)&gt;0,
    COUNTIFS($X$3:$X$201,$M332)&gt;0,
    COUNTIFS($Y$3:$Y$201,$M332)&gt;0,
    COUNTIFS($Z$3:$Z$201,$M332)&gt;0,
    COUNTIFS($AA$3:$AA$201,$M332)&gt;0,
    COUNTIFS($AB$3:$AB$201,$M332)&gt;0,
    COUNTIFS($AC$3:$AC$201,$M332)&gt;0,
    COUNTIFS($AD$3:$AD$201,$M332)&gt;0,
    COUNTIFS($AE$3:$AE$201,$M332)&gt;0,
    COUNTIFS($AF$3:$AF$201,$M332)&gt;0,
    COUNTIFS($AG$3:$AG$201,$M332)&gt;0,
    COUNTIFS($AH$3:$AH$201,$M332)&gt;0,
    COUNTIFS($AI$3:$AI$201,$M332)&gt;0,
    COUNTIFS($AJ$3:$AJ$201,$M332)&gt;0,
    COUNTIFS($AK$3:$AK$201,$M332)&gt;0,
    COUNTIFS($AL$3:$AL$201,$M332)&gt;0,
    COUNTIFS($AM$3:$AM$201,$M332)&gt;0,
    COUNTIFS($AN$3:$AN$201,$M332)&gt;0,
    COUNTIFS($AO$3:$AO$201,$M332)&gt;0,
    COUNTIFS($AP$3:$AP$201,$M332)&gt;0,
    COUNTIFS($AQ$3:$AQ$201,$M332)&gt;0,
    COUNTIFS($AR$3:$AR$201,$M332)&gt;0,
    COUNTIFS($AS$3:$AS$201,$M332)&gt;0,
    COUNTIFS($AT$3:$AT$201,$M332)&gt;0,
    COUNTIFS($AU$3:$AU$201,$M332)&gt;0,
    COUNTIFS($AV$3:$AV$201,$M332)&gt;0,
    COUNTIFS($AW$3:$AW$201,$M332)&gt;0,
    COUNTIFS($AX$3:$AX$201,$M332)&gt;0
   ),
  0)
 ),
"")</f>
        <v/>
      </c>
      <c r="P332" s="2" t="str" cm="1">
        <f t="array" ref="P332">IFERROR(
 INDEX(
  _xlfn._xlws.FILTER($U$2:$AX$2,
   TRANSPOSE(
    CHOOSE({1;2;3;4;5;6;7;8;9;10;11;12;13;14;15;16;17;18;19;20;21;22;23;24;25;26;27;28;29;30},
     COUNTIFS($U$3:$U$201,$M332)&gt;0,
     COUNTIFS($V$3:$V$201,$M332)&gt;0,
     COUNTIFS($W$3:$W$201,$M332)&gt;0,
     COUNTIFS($X$3:$X$201,$M332)&gt;0,
     COUNTIFS($Y$3:$Y$201,$M332)&gt;0,
     COUNTIFS($Z$3:$Z$201,$M332)&gt;0,
     COUNTIFS($AA$3:$AA$201,$M332)&gt;0,
     COUNTIFS($AB$3:$AB$201,$M332)&gt;0,
     COUNTIFS($AC$3:$AC$201,$M332)&gt;0,
     COUNTIFS($AD$3:$AD$201,$M332)&gt;0,
     COUNTIFS($AE$3:$AE$201,$M332)&gt;0,
     COUNTIFS($AF$3:$AF$201,$M332)&gt;0,
     COUNTIFS($AG$3:$AG$201,$M332)&gt;0,
     COUNTIFS($AH$3:$AH$201,$M332)&gt;0,
     COUNTIFS($AI$3:$AI$201,$M332)&gt;0,
     COUNTIFS($AJ$3:$AJ$201,$M332)&gt;0,
     COUNTIFS($AK$3:$AK$201,$M332)&gt;0,
     COUNTIFS($AL$3:$AL$201,$M332)&gt;0,
     COUNTIFS($AM$3:$AM$201,$M332)&gt;0,
     COUNTIFS($AN$3:$AN$201,$M332)&gt;0,
     COUNTIFS($AO$3:$AO$201,$M332)&gt;0,
     COUNTIFS($AP$3:$AP$201,$M332)&gt;0,
     COUNTIFS($AQ$3:$AQ$201,$M332)&gt;0,
     COUNTIFS($AR$3:$AR$201,$M332)&gt;0,
     COUNTIFS($AS$3:$AS$201,$M332)&gt;0,
     COUNTIFS($AT$3:$AT$201,$M332)&gt;0,
     COUNTIFS($AU$3:$AU$201,$M332)&gt;0,
     COUNTIFS($AV$3:$AV$201,$M332)&gt;0,
     COUNTIFS($AW$3:$AW$201,$M332)&gt;0,
     COUNTIFS($AX$3:$AX$201,$M332)&gt;0
   )),
  ),
  2
 ),
"")</f>
        <v/>
      </c>
      <c r="Q332" s="2" t="str" cm="1">
        <f t="array" ref="Q332">IFERROR(
 INDEX(
  _xlfn._xlws.FILTER($U$2:$AX$2,
   TRANSPOSE(
    CHOOSE({1;2;3;4;5;6;7;8;9;10;11;12;13;14;15;16;17;18;19;20;21;22;23;24;25;26;27;28;29;30},
     COUNTIFS($U$3:$U$201,$M332)&gt;0,
     COUNTIFS($V$3:$V$201,$M332)&gt;0,
     COUNTIFS($W$3:$W$201,$M332)&gt;0,
     COUNTIFS($X$3:$X$201,$M332)&gt;0,
     COUNTIFS($Y$3:$Y$201,$M332)&gt;0,
     COUNTIFS($Z$3:$Z$201,$M332)&gt;0,
     COUNTIFS($AA$3:$AA$201,$M332)&gt;0,
     COUNTIFS($AB$3:$AB$201,$M332)&gt;0,
     COUNTIFS($AC$3:$AC$201,$M332)&gt;0,
     COUNTIFS($AD$3:$AD$201,$M332)&gt;0,
     COUNTIFS($AE$3:$AE$201,$M332)&gt;0,
     COUNTIFS($AF$3:$AF$201,$M332)&gt;0,
     COUNTIFS($AG$3:$AG$201,$M332)&gt;0,
     COUNTIFS($AH$3:$AH$201,$M332)&gt;0,
     COUNTIFS($AI$3:$AI$201,$M332)&gt;0,
     COUNTIFS($AJ$3:$AJ$201,$M332)&gt;0,
     COUNTIFS($AK$3:$AK$201,$M332)&gt;0,
     COUNTIFS($AL$3:$AL$201,$M332)&gt;0,
     COUNTIFS($AM$3:$AM$201,$M332)&gt;0,
     COUNTIFS($AN$3:$AN$201,$M332)&gt;0,
     COUNTIFS($AO$3:$AO$201,$M332)&gt;0,
     COUNTIFS($AP$3:$AP$201,$M332)&gt;0,
     COUNTIFS($AQ$3:$AQ$201,$M332)&gt;0,
     COUNTIFS($AR$3:$AR$201,$M332)&gt;0,
     COUNTIFS($AS$3:$AS$201,$M332)&gt;0,
     COUNTIFS($AT$3:$AT$201,$M332)&gt;0,
     COUNTIFS($AU$3:$AU$201,$M332)&gt;0,
     COUNTIFS($AV$3:$AV$201,$M332)&gt;0,
     COUNTIFS($AW$3:$AW$201,$M332)&gt;0,
     COUNTIFS($AX$3:$AX$201,$M332)&gt;0
   )),
  ),
  3
 ),
"")</f>
        <v/>
      </c>
    </row>
    <row r="333" spans="1:17" x14ac:dyDescent="0.25">
      <c r="A333" t="str">
        <f ca="1"/>
        <v>Psychic Corrosion</v>
      </c>
      <c r="B333" s="2" t="str" cm="1">
        <f t="array" aca="1" ref="B333" ca="1">_xlfn.ANCHORARRAY(RESUMO!C332)</f>
        <v>Narset</v>
      </c>
      <c r="C333" s="2" t="str">
        <f t="shared" ca="1" si="21"/>
        <v/>
      </c>
      <c r="F333" s="2">
        <f t="shared" si="20"/>
        <v>0</v>
      </c>
      <c r="G333" s="2" t="str">
        <f t="shared" ca="1" si="22"/>
        <v/>
      </c>
      <c r="N333" s="2">
        <f t="shared" si="23"/>
        <v>0</v>
      </c>
      <c r="O333" s="2" t="str">
        <f>IFERROR(
 INDEX($U$2:$AX$2,
  MATCH(TRUE,
   CHOOSE({1;2;3;4;5;6;7;8;9;10;11;12;13;14;15;16;17;18;19;20;21;22;23;24;25;26;27;28;29;30;31;32},
    COUNTIFS($U$3:$U$201,$M333)&gt;0,
    COUNTIFS($V$3:$V$201,$M333)&gt;0,
    COUNTIFS($W$3:$W$201,$M333)&gt;0,
    COUNTIFS($X$3:$X$201,$M333)&gt;0,
    COUNTIFS($Y$3:$Y$201,$M333)&gt;0,
    COUNTIFS($Z$3:$Z$201,$M333)&gt;0,
    COUNTIFS($AA$3:$AA$201,$M333)&gt;0,
    COUNTIFS($AB$3:$AB$201,$M333)&gt;0,
    COUNTIFS($AC$3:$AC$201,$M333)&gt;0,
    COUNTIFS($AD$3:$AD$201,$M333)&gt;0,
    COUNTIFS($AE$3:$AE$201,$M333)&gt;0,
    COUNTIFS($AF$3:$AF$201,$M333)&gt;0,
    COUNTIFS($AG$3:$AG$201,$M333)&gt;0,
    COUNTIFS($AH$3:$AH$201,$M333)&gt;0,
    COUNTIFS($AI$3:$AI$201,$M333)&gt;0,
    COUNTIFS($AJ$3:$AJ$201,$M333)&gt;0,
    COUNTIFS($AK$3:$AK$201,$M333)&gt;0,
    COUNTIFS($AL$3:$AL$201,$M333)&gt;0,
    COUNTIFS($AM$3:$AM$201,$M333)&gt;0,
    COUNTIFS($AN$3:$AN$201,$M333)&gt;0,
    COUNTIFS($AO$3:$AO$201,$M333)&gt;0,
    COUNTIFS($AP$3:$AP$201,$M333)&gt;0,
    COUNTIFS($AQ$3:$AQ$201,$M333)&gt;0,
    COUNTIFS($AR$3:$AR$201,$M333)&gt;0,
    COUNTIFS($AS$3:$AS$201,$M333)&gt;0,
    COUNTIFS($AT$3:$AT$201,$M333)&gt;0,
    COUNTIFS($AU$3:$AU$201,$M333)&gt;0,
    COUNTIFS($AV$3:$AV$201,$M333)&gt;0,
    COUNTIFS($AW$3:$AW$201,$M333)&gt;0,
    COUNTIFS($AX$3:$AX$201,$M333)&gt;0
   ),
  0)
 ),
"")</f>
        <v/>
      </c>
      <c r="P333" s="2" t="str" cm="1">
        <f t="array" ref="P333">IFERROR(
 INDEX(
  _xlfn._xlws.FILTER($U$2:$AX$2,
   TRANSPOSE(
    CHOOSE({1;2;3;4;5;6;7;8;9;10;11;12;13;14;15;16;17;18;19;20;21;22;23;24;25;26;27;28;29;30},
     COUNTIFS($U$3:$U$201,$M333)&gt;0,
     COUNTIFS($V$3:$V$201,$M333)&gt;0,
     COUNTIFS($W$3:$W$201,$M333)&gt;0,
     COUNTIFS($X$3:$X$201,$M333)&gt;0,
     COUNTIFS($Y$3:$Y$201,$M333)&gt;0,
     COUNTIFS($Z$3:$Z$201,$M333)&gt;0,
     COUNTIFS($AA$3:$AA$201,$M333)&gt;0,
     COUNTIFS($AB$3:$AB$201,$M333)&gt;0,
     COUNTIFS($AC$3:$AC$201,$M333)&gt;0,
     COUNTIFS($AD$3:$AD$201,$M333)&gt;0,
     COUNTIFS($AE$3:$AE$201,$M333)&gt;0,
     COUNTIFS($AF$3:$AF$201,$M333)&gt;0,
     COUNTIFS($AG$3:$AG$201,$M333)&gt;0,
     COUNTIFS($AH$3:$AH$201,$M333)&gt;0,
     COUNTIFS($AI$3:$AI$201,$M333)&gt;0,
     COUNTIFS($AJ$3:$AJ$201,$M333)&gt;0,
     COUNTIFS($AK$3:$AK$201,$M333)&gt;0,
     COUNTIFS($AL$3:$AL$201,$M333)&gt;0,
     COUNTIFS($AM$3:$AM$201,$M333)&gt;0,
     COUNTIFS($AN$3:$AN$201,$M333)&gt;0,
     COUNTIFS($AO$3:$AO$201,$M333)&gt;0,
     COUNTIFS($AP$3:$AP$201,$M333)&gt;0,
     COUNTIFS($AQ$3:$AQ$201,$M333)&gt;0,
     COUNTIFS($AR$3:$AR$201,$M333)&gt;0,
     COUNTIFS($AS$3:$AS$201,$M333)&gt;0,
     COUNTIFS($AT$3:$AT$201,$M333)&gt;0,
     COUNTIFS($AU$3:$AU$201,$M333)&gt;0,
     COUNTIFS($AV$3:$AV$201,$M333)&gt;0,
     COUNTIFS($AW$3:$AW$201,$M333)&gt;0,
     COUNTIFS($AX$3:$AX$201,$M333)&gt;0
   )),
  ),
  2
 ),
"")</f>
        <v/>
      </c>
      <c r="Q333" s="2" t="str" cm="1">
        <f t="array" ref="Q333">IFERROR(
 INDEX(
  _xlfn._xlws.FILTER($U$2:$AX$2,
   TRANSPOSE(
    CHOOSE({1;2;3;4;5;6;7;8;9;10;11;12;13;14;15;16;17;18;19;20;21;22;23;24;25;26;27;28;29;30},
     COUNTIFS($U$3:$U$201,$M333)&gt;0,
     COUNTIFS($V$3:$V$201,$M333)&gt;0,
     COUNTIFS($W$3:$W$201,$M333)&gt;0,
     COUNTIFS($X$3:$X$201,$M333)&gt;0,
     COUNTIFS($Y$3:$Y$201,$M333)&gt;0,
     COUNTIFS($Z$3:$Z$201,$M333)&gt;0,
     COUNTIFS($AA$3:$AA$201,$M333)&gt;0,
     COUNTIFS($AB$3:$AB$201,$M333)&gt;0,
     COUNTIFS($AC$3:$AC$201,$M333)&gt;0,
     COUNTIFS($AD$3:$AD$201,$M333)&gt;0,
     COUNTIFS($AE$3:$AE$201,$M333)&gt;0,
     COUNTIFS($AF$3:$AF$201,$M333)&gt;0,
     COUNTIFS($AG$3:$AG$201,$M333)&gt;0,
     COUNTIFS($AH$3:$AH$201,$M333)&gt;0,
     COUNTIFS($AI$3:$AI$201,$M333)&gt;0,
     COUNTIFS($AJ$3:$AJ$201,$M333)&gt;0,
     COUNTIFS($AK$3:$AK$201,$M333)&gt;0,
     COUNTIFS($AL$3:$AL$201,$M333)&gt;0,
     COUNTIFS($AM$3:$AM$201,$M333)&gt;0,
     COUNTIFS($AN$3:$AN$201,$M333)&gt;0,
     COUNTIFS($AO$3:$AO$201,$M333)&gt;0,
     COUNTIFS($AP$3:$AP$201,$M333)&gt;0,
     COUNTIFS($AQ$3:$AQ$201,$M333)&gt;0,
     COUNTIFS($AR$3:$AR$201,$M333)&gt;0,
     COUNTIFS($AS$3:$AS$201,$M333)&gt;0,
     COUNTIFS($AT$3:$AT$201,$M333)&gt;0,
     COUNTIFS($AU$3:$AU$201,$M333)&gt;0,
     COUNTIFS($AV$3:$AV$201,$M333)&gt;0,
     COUNTIFS($AW$3:$AW$201,$M333)&gt;0,
     COUNTIFS($AX$3:$AX$201,$M333)&gt;0
   )),
  ),
  3
 ),
"")</f>
        <v/>
      </c>
    </row>
    <row r="334" spans="1:17" x14ac:dyDescent="0.25">
      <c r="A334" t="str">
        <f ca="1"/>
        <v>Psychic Paper</v>
      </c>
      <c r="B334" s="2" t="str" cm="1">
        <f t="array" aca="1" ref="B334" ca="1">_xlfn.ANCHORARRAY(RESUMO!C333)</f>
        <v>Yuriko</v>
      </c>
      <c r="C334" s="2" t="str">
        <f t="shared" ca="1" si="21"/>
        <v/>
      </c>
      <c r="F334" s="2">
        <f t="shared" si="20"/>
        <v>0</v>
      </c>
      <c r="G334" s="2" t="str">
        <f t="shared" ca="1" si="22"/>
        <v/>
      </c>
      <c r="N334" s="2">
        <f t="shared" si="23"/>
        <v>0</v>
      </c>
      <c r="O334" s="2" t="str">
        <f>IFERROR(
 INDEX($U$2:$AX$2,
  MATCH(TRUE,
   CHOOSE({1;2;3;4;5;6;7;8;9;10;11;12;13;14;15;16;17;18;19;20;21;22;23;24;25;26;27;28;29;30;31;32},
    COUNTIFS($U$3:$U$201,$M334)&gt;0,
    COUNTIFS($V$3:$V$201,$M334)&gt;0,
    COUNTIFS($W$3:$W$201,$M334)&gt;0,
    COUNTIFS($X$3:$X$201,$M334)&gt;0,
    COUNTIFS($Y$3:$Y$201,$M334)&gt;0,
    COUNTIFS($Z$3:$Z$201,$M334)&gt;0,
    COUNTIFS($AA$3:$AA$201,$M334)&gt;0,
    COUNTIFS($AB$3:$AB$201,$M334)&gt;0,
    COUNTIFS($AC$3:$AC$201,$M334)&gt;0,
    COUNTIFS($AD$3:$AD$201,$M334)&gt;0,
    COUNTIFS($AE$3:$AE$201,$M334)&gt;0,
    COUNTIFS($AF$3:$AF$201,$M334)&gt;0,
    COUNTIFS($AG$3:$AG$201,$M334)&gt;0,
    COUNTIFS($AH$3:$AH$201,$M334)&gt;0,
    COUNTIFS($AI$3:$AI$201,$M334)&gt;0,
    COUNTIFS($AJ$3:$AJ$201,$M334)&gt;0,
    COUNTIFS($AK$3:$AK$201,$M334)&gt;0,
    COUNTIFS($AL$3:$AL$201,$M334)&gt;0,
    COUNTIFS($AM$3:$AM$201,$M334)&gt;0,
    COUNTIFS($AN$3:$AN$201,$M334)&gt;0,
    COUNTIFS($AO$3:$AO$201,$M334)&gt;0,
    COUNTIFS($AP$3:$AP$201,$M334)&gt;0,
    COUNTIFS($AQ$3:$AQ$201,$M334)&gt;0,
    COUNTIFS($AR$3:$AR$201,$M334)&gt;0,
    COUNTIFS($AS$3:$AS$201,$M334)&gt;0,
    COUNTIFS($AT$3:$AT$201,$M334)&gt;0,
    COUNTIFS($AU$3:$AU$201,$M334)&gt;0,
    COUNTIFS($AV$3:$AV$201,$M334)&gt;0,
    COUNTIFS($AW$3:$AW$201,$M334)&gt;0,
    COUNTIFS($AX$3:$AX$201,$M334)&gt;0
   ),
  0)
 ),
"")</f>
        <v/>
      </c>
      <c r="P334" s="2" t="str" cm="1">
        <f t="array" ref="P334">IFERROR(
 INDEX(
  _xlfn._xlws.FILTER($U$2:$AX$2,
   TRANSPOSE(
    CHOOSE({1;2;3;4;5;6;7;8;9;10;11;12;13;14;15;16;17;18;19;20;21;22;23;24;25;26;27;28;29;30},
     COUNTIFS($U$3:$U$201,$M334)&gt;0,
     COUNTIFS($V$3:$V$201,$M334)&gt;0,
     COUNTIFS($W$3:$W$201,$M334)&gt;0,
     COUNTIFS($X$3:$X$201,$M334)&gt;0,
     COUNTIFS($Y$3:$Y$201,$M334)&gt;0,
     COUNTIFS($Z$3:$Z$201,$M334)&gt;0,
     COUNTIFS($AA$3:$AA$201,$M334)&gt;0,
     COUNTIFS($AB$3:$AB$201,$M334)&gt;0,
     COUNTIFS($AC$3:$AC$201,$M334)&gt;0,
     COUNTIFS($AD$3:$AD$201,$M334)&gt;0,
     COUNTIFS($AE$3:$AE$201,$M334)&gt;0,
     COUNTIFS($AF$3:$AF$201,$M334)&gt;0,
     COUNTIFS($AG$3:$AG$201,$M334)&gt;0,
     COUNTIFS($AH$3:$AH$201,$M334)&gt;0,
     COUNTIFS($AI$3:$AI$201,$M334)&gt;0,
     COUNTIFS($AJ$3:$AJ$201,$M334)&gt;0,
     COUNTIFS($AK$3:$AK$201,$M334)&gt;0,
     COUNTIFS($AL$3:$AL$201,$M334)&gt;0,
     COUNTIFS($AM$3:$AM$201,$M334)&gt;0,
     COUNTIFS($AN$3:$AN$201,$M334)&gt;0,
     COUNTIFS($AO$3:$AO$201,$M334)&gt;0,
     COUNTIFS($AP$3:$AP$201,$M334)&gt;0,
     COUNTIFS($AQ$3:$AQ$201,$M334)&gt;0,
     COUNTIFS($AR$3:$AR$201,$M334)&gt;0,
     COUNTIFS($AS$3:$AS$201,$M334)&gt;0,
     COUNTIFS($AT$3:$AT$201,$M334)&gt;0,
     COUNTIFS($AU$3:$AU$201,$M334)&gt;0,
     COUNTIFS($AV$3:$AV$201,$M334)&gt;0,
     COUNTIFS($AW$3:$AW$201,$M334)&gt;0,
     COUNTIFS($AX$3:$AX$201,$M334)&gt;0
   )),
  ),
  2
 ),
"")</f>
        <v/>
      </c>
      <c r="Q334" s="2" t="str" cm="1">
        <f t="array" ref="Q334">IFERROR(
 INDEX(
  _xlfn._xlws.FILTER($U$2:$AX$2,
   TRANSPOSE(
    CHOOSE({1;2;3;4;5;6;7;8;9;10;11;12;13;14;15;16;17;18;19;20;21;22;23;24;25;26;27;28;29;30},
     COUNTIFS($U$3:$U$201,$M334)&gt;0,
     COUNTIFS($V$3:$V$201,$M334)&gt;0,
     COUNTIFS($W$3:$W$201,$M334)&gt;0,
     COUNTIFS($X$3:$X$201,$M334)&gt;0,
     COUNTIFS($Y$3:$Y$201,$M334)&gt;0,
     COUNTIFS($Z$3:$Z$201,$M334)&gt;0,
     COUNTIFS($AA$3:$AA$201,$M334)&gt;0,
     COUNTIFS($AB$3:$AB$201,$M334)&gt;0,
     COUNTIFS($AC$3:$AC$201,$M334)&gt;0,
     COUNTIFS($AD$3:$AD$201,$M334)&gt;0,
     COUNTIFS($AE$3:$AE$201,$M334)&gt;0,
     COUNTIFS($AF$3:$AF$201,$M334)&gt;0,
     COUNTIFS($AG$3:$AG$201,$M334)&gt;0,
     COUNTIFS($AH$3:$AH$201,$M334)&gt;0,
     COUNTIFS($AI$3:$AI$201,$M334)&gt;0,
     COUNTIFS($AJ$3:$AJ$201,$M334)&gt;0,
     COUNTIFS($AK$3:$AK$201,$M334)&gt;0,
     COUNTIFS($AL$3:$AL$201,$M334)&gt;0,
     COUNTIFS($AM$3:$AM$201,$M334)&gt;0,
     COUNTIFS($AN$3:$AN$201,$M334)&gt;0,
     COUNTIFS($AO$3:$AO$201,$M334)&gt;0,
     COUNTIFS($AP$3:$AP$201,$M334)&gt;0,
     COUNTIFS($AQ$3:$AQ$201,$M334)&gt;0,
     COUNTIFS($AR$3:$AR$201,$M334)&gt;0,
     COUNTIFS($AS$3:$AS$201,$M334)&gt;0,
     COUNTIFS($AT$3:$AT$201,$M334)&gt;0,
     COUNTIFS($AU$3:$AU$201,$M334)&gt;0,
     COUNTIFS($AV$3:$AV$201,$M334)&gt;0,
     COUNTIFS($AW$3:$AW$201,$M334)&gt;0,
     COUNTIFS($AX$3:$AX$201,$M334)&gt;0
   )),
  ),
  3
 ),
"")</f>
        <v/>
      </c>
    </row>
    <row r="335" spans="1:17" x14ac:dyDescent="0.25">
      <c r="A335" t="str">
        <f ca="1"/>
        <v>Pulmonic Sliver</v>
      </c>
      <c r="B335" s="2" t="str" cm="1">
        <f t="array" aca="1" ref="B335" ca="1">_xlfn.ANCHORARRAY(RESUMO!C334)</f>
        <v>Fractius</v>
      </c>
      <c r="C335" s="2" t="str">
        <f t="shared" ca="1" si="21"/>
        <v/>
      </c>
      <c r="F335" s="2">
        <f t="shared" si="20"/>
        <v>0</v>
      </c>
      <c r="G335" s="2" t="str">
        <f t="shared" ca="1" si="22"/>
        <v/>
      </c>
      <c r="N335" s="2">
        <f t="shared" si="23"/>
        <v>0</v>
      </c>
      <c r="O335" s="2" t="str">
        <f>IFERROR(
 INDEX($U$2:$AX$2,
  MATCH(TRUE,
   CHOOSE({1;2;3;4;5;6;7;8;9;10;11;12;13;14;15;16;17;18;19;20;21;22;23;24;25;26;27;28;29;30;31;32},
    COUNTIFS($U$3:$U$201,$M335)&gt;0,
    COUNTIFS($V$3:$V$201,$M335)&gt;0,
    COUNTIFS($W$3:$W$201,$M335)&gt;0,
    COUNTIFS($X$3:$X$201,$M335)&gt;0,
    COUNTIFS($Y$3:$Y$201,$M335)&gt;0,
    COUNTIFS($Z$3:$Z$201,$M335)&gt;0,
    COUNTIFS($AA$3:$AA$201,$M335)&gt;0,
    COUNTIFS($AB$3:$AB$201,$M335)&gt;0,
    COUNTIFS($AC$3:$AC$201,$M335)&gt;0,
    COUNTIFS($AD$3:$AD$201,$M335)&gt;0,
    COUNTIFS($AE$3:$AE$201,$M335)&gt;0,
    COUNTIFS($AF$3:$AF$201,$M335)&gt;0,
    COUNTIFS($AG$3:$AG$201,$M335)&gt;0,
    COUNTIFS($AH$3:$AH$201,$M335)&gt;0,
    COUNTIFS($AI$3:$AI$201,$M335)&gt;0,
    COUNTIFS($AJ$3:$AJ$201,$M335)&gt;0,
    COUNTIFS($AK$3:$AK$201,$M335)&gt;0,
    COUNTIFS($AL$3:$AL$201,$M335)&gt;0,
    COUNTIFS($AM$3:$AM$201,$M335)&gt;0,
    COUNTIFS($AN$3:$AN$201,$M335)&gt;0,
    COUNTIFS($AO$3:$AO$201,$M335)&gt;0,
    COUNTIFS($AP$3:$AP$201,$M335)&gt;0,
    COUNTIFS($AQ$3:$AQ$201,$M335)&gt;0,
    COUNTIFS($AR$3:$AR$201,$M335)&gt;0,
    COUNTIFS($AS$3:$AS$201,$M335)&gt;0,
    COUNTIFS($AT$3:$AT$201,$M335)&gt;0,
    COUNTIFS($AU$3:$AU$201,$M335)&gt;0,
    COUNTIFS($AV$3:$AV$201,$M335)&gt;0,
    COUNTIFS($AW$3:$AW$201,$M335)&gt;0,
    COUNTIFS($AX$3:$AX$201,$M335)&gt;0
   ),
  0)
 ),
"")</f>
        <v/>
      </c>
      <c r="P335" s="2" t="str" cm="1">
        <f t="array" ref="P335">IFERROR(
 INDEX(
  _xlfn._xlws.FILTER($U$2:$AX$2,
   TRANSPOSE(
    CHOOSE({1;2;3;4;5;6;7;8;9;10;11;12;13;14;15;16;17;18;19;20;21;22;23;24;25;26;27;28;29;30},
     COUNTIFS($U$3:$U$201,$M335)&gt;0,
     COUNTIFS($V$3:$V$201,$M335)&gt;0,
     COUNTIFS($W$3:$W$201,$M335)&gt;0,
     COUNTIFS($X$3:$X$201,$M335)&gt;0,
     COUNTIFS($Y$3:$Y$201,$M335)&gt;0,
     COUNTIFS($Z$3:$Z$201,$M335)&gt;0,
     COUNTIFS($AA$3:$AA$201,$M335)&gt;0,
     COUNTIFS($AB$3:$AB$201,$M335)&gt;0,
     COUNTIFS($AC$3:$AC$201,$M335)&gt;0,
     COUNTIFS($AD$3:$AD$201,$M335)&gt;0,
     COUNTIFS($AE$3:$AE$201,$M335)&gt;0,
     COUNTIFS($AF$3:$AF$201,$M335)&gt;0,
     COUNTIFS($AG$3:$AG$201,$M335)&gt;0,
     COUNTIFS($AH$3:$AH$201,$M335)&gt;0,
     COUNTIFS($AI$3:$AI$201,$M335)&gt;0,
     COUNTIFS($AJ$3:$AJ$201,$M335)&gt;0,
     COUNTIFS($AK$3:$AK$201,$M335)&gt;0,
     COUNTIFS($AL$3:$AL$201,$M335)&gt;0,
     COUNTIFS($AM$3:$AM$201,$M335)&gt;0,
     COUNTIFS($AN$3:$AN$201,$M335)&gt;0,
     COUNTIFS($AO$3:$AO$201,$M335)&gt;0,
     COUNTIFS($AP$3:$AP$201,$M335)&gt;0,
     COUNTIFS($AQ$3:$AQ$201,$M335)&gt;0,
     COUNTIFS($AR$3:$AR$201,$M335)&gt;0,
     COUNTIFS($AS$3:$AS$201,$M335)&gt;0,
     COUNTIFS($AT$3:$AT$201,$M335)&gt;0,
     COUNTIFS($AU$3:$AU$201,$M335)&gt;0,
     COUNTIFS($AV$3:$AV$201,$M335)&gt;0,
     COUNTIFS($AW$3:$AW$201,$M335)&gt;0,
     COUNTIFS($AX$3:$AX$201,$M335)&gt;0
   )),
  ),
  2
 ),
"")</f>
        <v/>
      </c>
      <c r="Q335" s="2" t="str" cm="1">
        <f t="array" ref="Q335">IFERROR(
 INDEX(
  _xlfn._xlws.FILTER($U$2:$AX$2,
   TRANSPOSE(
    CHOOSE({1;2;3;4;5;6;7;8;9;10;11;12;13;14;15;16;17;18;19;20;21;22;23;24;25;26;27;28;29;30},
     COUNTIFS($U$3:$U$201,$M335)&gt;0,
     COUNTIFS($V$3:$V$201,$M335)&gt;0,
     COUNTIFS($W$3:$W$201,$M335)&gt;0,
     COUNTIFS($X$3:$X$201,$M335)&gt;0,
     COUNTIFS($Y$3:$Y$201,$M335)&gt;0,
     COUNTIFS($Z$3:$Z$201,$M335)&gt;0,
     COUNTIFS($AA$3:$AA$201,$M335)&gt;0,
     COUNTIFS($AB$3:$AB$201,$M335)&gt;0,
     COUNTIFS($AC$3:$AC$201,$M335)&gt;0,
     COUNTIFS($AD$3:$AD$201,$M335)&gt;0,
     COUNTIFS($AE$3:$AE$201,$M335)&gt;0,
     COUNTIFS($AF$3:$AF$201,$M335)&gt;0,
     COUNTIFS($AG$3:$AG$201,$M335)&gt;0,
     COUNTIFS($AH$3:$AH$201,$M335)&gt;0,
     COUNTIFS($AI$3:$AI$201,$M335)&gt;0,
     COUNTIFS($AJ$3:$AJ$201,$M335)&gt;0,
     COUNTIFS($AK$3:$AK$201,$M335)&gt;0,
     COUNTIFS($AL$3:$AL$201,$M335)&gt;0,
     COUNTIFS($AM$3:$AM$201,$M335)&gt;0,
     COUNTIFS($AN$3:$AN$201,$M335)&gt;0,
     COUNTIFS($AO$3:$AO$201,$M335)&gt;0,
     COUNTIFS($AP$3:$AP$201,$M335)&gt;0,
     COUNTIFS($AQ$3:$AQ$201,$M335)&gt;0,
     COUNTIFS($AR$3:$AR$201,$M335)&gt;0,
     COUNTIFS($AS$3:$AS$201,$M335)&gt;0,
     COUNTIFS($AT$3:$AT$201,$M335)&gt;0,
     COUNTIFS($AU$3:$AU$201,$M335)&gt;0,
     COUNTIFS($AV$3:$AV$201,$M335)&gt;0,
     COUNTIFS($AW$3:$AW$201,$M335)&gt;0,
     COUNTIFS($AX$3:$AX$201,$M335)&gt;0
   )),
  ),
  3
 ),
"")</f>
        <v/>
      </c>
    </row>
    <row r="336" spans="1:17" x14ac:dyDescent="0.25">
      <c r="A336" t="str">
        <f ca="1"/>
        <v>Puncture Blast</v>
      </c>
      <c r="B336" s="2" t="str" cm="1">
        <f t="array" aca="1" ref="B336" ca="1">_xlfn.ANCHORARRAY(RESUMO!C335)</f>
        <v>Ool</v>
      </c>
      <c r="C336" s="2" t="str">
        <f t="shared" ca="1" si="21"/>
        <v/>
      </c>
      <c r="F336" s="2">
        <f t="shared" si="20"/>
        <v>0</v>
      </c>
      <c r="G336" s="2" t="str">
        <f t="shared" ca="1" si="22"/>
        <v/>
      </c>
      <c r="N336" s="2">
        <f t="shared" si="23"/>
        <v>0</v>
      </c>
      <c r="O336" s="2" t="str">
        <f>IFERROR(
 INDEX($U$2:$AX$2,
  MATCH(TRUE,
   CHOOSE({1;2;3;4;5;6;7;8;9;10;11;12;13;14;15;16;17;18;19;20;21;22;23;24;25;26;27;28;29;30;31;32},
    COUNTIFS($U$3:$U$201,$M336)&gt;0,
    COUNTIFS($V$3:$V$201,$M336)&gt;0,
    COUNTIFS($W$3:$W$201,$M336)&gt;0,
    COUNTIFS($X$3:$X$201,$M336)&gt;0,
    COUNTIFS($Y$3:$Y$201,$M336)&gt;0,
    COUNTIFS($Z$3:$Z$201,$M336)&gt;0,
    COUNTIFS($AA$3:$AA$201,$M336)&gt;0,
    COUNTIFS($AB$3:$AB$201,$M336)&gt;0,
    COUNTIFS($AC$3:$AC$201,$M336)&gt;0,
    COUNTIFS($AD$3:$AD$201,$M336)&gt;0,
    COUNTIFS($AE$3:$AE$201,$M336)&gt;0,
    COUNTIFS($AF$3:$AF$201,$M336)&gt;0,
    COUNTIFS($AG$3:$AG$201,$M336)&gt;0,
    COUNTIFS($AH$3:$AH$201,$M336)&gt;0,
    COUNTIFS($AI$3:$AI$201,$M336)&gt;0,
    COUNTIFS($AJ$3:$AJ$201,$M336)&gt;0,
    COUNTIFS($AK$3:$AK$201,$M336)&gt;0,
    COUNTIFS($AL$3:$AL$201,$M336)&gt;0,
    COUNTIFS($AM$3:$AM$201,$M336)&gt;0,
    COUNTIFS($AN$3:$AN$201,$M336)&gt;0,
    COUNTIFS($AO$3:$AO$201,$M336)&gt;0,
    COUNTIFS($AP$3:$AP$201,$M336)&gt;0,
    COUNTIFS($AQ$3:$AQ$201,$M336)&gt;0,
    COUNTIFS($AR$3:$AR$201,$M336)&gt;0,
    COUNTIFS($AS$3:$AS$201,$M336)&gt;0,
    COUNTIFS($AT$3:$AT$201,$M336)&gt;0,
    COUNTIFS($AU$3:$AU$201,$M336)&gt;0,
    COUNTIFS($AV$3:$AV$201,$M336)&gt;0,
    COUNTIFS($AW$3:$AW$201,$M336)&gt;0,
    COUNTIFS($AX$3:$AX$201,$M336)&gt;0
   ),
  0)
 ),
"")</f>
        <v/>
      </c>
      <c r="P336" s="2" t="str" cm="1">
        <f t="array" ref="P336">IFERROR(
 INDEX(
  _xlfn._xlws.FILTER($U$2:$AX$2,
   TRANSPOSE(
    CHOOSE({1;2;3;4;5;6;7;8;9;10;11;12;13;14;15;16;17;18;19;20;21;22;23;24;25;26;27;28;29;30},
     COUNTIFS($U$3:$U$201,$M336)&gt;0,
     COUNTIFS($V$3:$V$201,$M336)&gt;0,
     COUNTIFS($W$3:$W$201,$M336)&gt;0,
     COUNTIFS($X$3:$X$201,$M336)&gt;0,
     COUNTIFS($Y$3:$Y$201,$M336)&gt;0,
     COUNTIFS($Z$3:$Z$201,$M336)&gt;0,
     COUNTIFS($AA$3:$AA$201,$M336)&gt;0,
     COUNTIFS($AB$3:$AB$201,$M336)&gt;0,
     COUNTIFS($AC$3:$AC$201,$M336)&gt;0,
     COUNTIFS($AD$3:$AD$201,$M336)&gt;0,
     COUNTIFS($AE$3:$AE$201,$M336)&gt;0,
     COUNTIFS($AF$3:$AF$201,$M336)&gt;0,
     COUNTIFS($AG$3:$AG$201,$M336)&gt;0,
     COUNTIFS($AH$3:$AH$201,$M336)&gt;0,
     COUNTIFS($AI$3:$AI$201,$M336)&gt;0,
     COUNTIFS($AJ$3:$AJ$201,$M336)&gt;0,
     COUNTIFS($AK$3:$AK$201,$M336)&gt;0,
     COUNTIFS($AL$3:$AL$201,$M336)&gt;0,
     COUNTIFS($AM$3:$AM$201,$M336)&gt;0,
     COUNTIFS($AN$3:$AN$201,$M336)&gt;0,
     COUNTIFS($AO$3:$AO$201,$M336)&gt;0,
     COUNTIFS($AP$3:$AP$201,$M336)&gt;0,
     COUNTIFS($AQ$3:$AQ$201,$M336)&gt;0,
     COUNTIFS($AR$3:$AR$201,$M336)&gt;0,
     COUNTIFS($AS$3:$AS$201,$M336)&gt;0,
     COUNTIFS($AT$3:$AT$201,$M336)&gt;0,
     COUNTIFS($AU$3:$AU$201,$M336)&gt;0,
     COUNTIFS($AV$3:$AV$201,$M336)&gt;0,
     COUNTIFS($AW$3:$AW$201,$M336)&gt;0,
     COUNTIFS($AX$3:$AX$201,$M336)&gt;0
   )),
  ),
  2
 ),
"")</f>
        <v/>
      </c>
      <c r="Q336" s="2" t="str" cm="1">
        <f t="array" ref="Q336">IFERROR(
 INDEX(
  _xlfn._xlws.FILTER($U$2:$AX$2,
   TRANSPOSE(
    CHOOSE({1;2;3;4;5;6;7;8;9;10;11;12;13;14;15;16;17;18;19;20;21;22;23;24;25;26;27;28;29;30},
     COUNTIFS($U$3:$U$201,$M336)&gt;0,
     COUNTIFS($V$3:$V$201,$M336)&gt;0,
     COUNTIFS($W$3:$W$201,$M336)&gt;0,
     COUNTIFS($X$3:$X$201,$M336)&gt;0,
     COUNTIFS($Y$3:$Y$201,$M336)&gt;0,
     COUNTIFS($Z$3:$Z$201,$M336)&gt;0,
     COUNTIFS($AA$3:$AA$201,$M336)&gt;0,
     COUNTIFS($AB$3:$AB$201,$M336)&gt;0,
     COUNTIFS($AC$3:$AC$201,$M336)&gt;0,
     COUNTIFS($AD$3:$AD$201,$M336)&gt;0,
     COUNTIFS($AE$3:$AE$201,$M336)&gt;0,
     COUNTIFS($AF$3:$AF$201,$M336)&gt;0,
     COUNTIFS($AG$3:$AG$201,$M336)&gt;0,
     COUNTIFS($AH$3:$AH$201,$M336)&gt;0,
     COUNTIFS($AI$3:$AI$201,$M336)&gt;0,
     COUNTIFS($AJ$3:$AJ$201,$M336)&gt;0,
     COUNTIFS($AK$3:$AK$201,$M336)&gt;0,
     COUNTIFS($AL$3:$AL$201,$M336)&gt;0,
     COUNTIFS($AM$3:$AM$201,$M336)&gt;0,
     COUNTIFS($AN$3:$AN$201,$M336)&gt;0,
     COUNTIFS($AO$3:$AO$201,$M336)&gt;0,
     COUNTIFS($AP$3:$AP$201,$M336)&gt;0,
     COUNTIFS($AQ$3:$AQ$201,$M336)&gt;0,
     COUNTIFS($AR$3:$AR$201,$M336)&gt;0,
     COUNTIFS($AS$3:$AS$201,$M336)&gt;0,
     COUNTIFS($AT$3:$AT$201,$M336)&gt;0,
     COUNTIFS($AU$3:$AU$201,$M336)&gt;0,
     COUNTIFS($AV$3:$AV$201,$M336)&gt;0,
     COUNTIFS($AW$3:$AW$201,$M336)&gt;0,
     COUNTIFS($AX$3:$AX$201,$M336)&gt;0
   )),
  ),
  3
 ),
"")</f>
        <v/>
      </c>
    </row>
    <row r="337" spans="1:17" x14ac:dyDescent="0.25">
      <c r="A337" t="str">
        <f ca="1"/>
        <v>Purphoros, God of the Forge</v>
      </c>
      <c r="B337" s="2" t="str" cm="1">
        <f t="array" aca="1" ref="B337" ca="1">_xlfn.ANCHORARRAY(RESUMO!C336)</f>
        <v>Baylen</v>
      </c>
      <c r="C337" s="2" t="str">
        <f t="shared" ca="1" si="21"/>
        <v/>
      </c>
      <c r="F337" s="2">
        <f t="shared" si="20"/>
        <v>0</v>
      </c>
      <c r="G337" s="2" t="str">
        <f t="shared" ca="1" si="22"/>
        <v/>
      </c>
      <c r="N337" s="2">
        <f t="shared" si="23"/>
        <v>0</v>
      </c>
      <c r="O337" s="2" t="str">
        <f>IFERROR(
 INDEX($U$2:$AX$2,
  MATCH(TRUE,
   CHOOSE({1;2;3;4;5;6;7;8;9;10;11;12;13;14;15;16;17;18;19;20;21;22;23;24;25;26;27;28;29;30;31;32},
    COUNTIFS($U$3:$U$201,$M337)&gt;0,
    COUNTIFS($V$3:$V$201,$M337)&gt;0,
    COUNTIFS($W$3:$W$201,$M337)&gt;0,
    COUNTIFS($X$3:$X$201,$M337)&gt;0,
    COUNTIFS($Y$3:$Y$201,$M337)&gt;0,
    COUNTIFS($Z$3:$Z$201,$M337)&gt;0,
    COUNTIFS($AA$3:$AA$201,$M337)&gt;0,
    COUNTIFS($AB$3:$AB$201,$M337)&gt;0,
    COUNTIFS($AC$3:$AC$201,$M337)&gt;0,
    COUNTIFS($AD$3:$AD$201,$M337)&gt;0,
    COUNTIFS($AE$3:$AE$201,$M337)&gt;0,
    COUNTIFS($AF$3:$AF$201,$M337)&gt;0,
    COUNTIFS($AG$3:$AG$201,$M337)&gt;0,
    COUNTIFS($AH$3:$AH$201,$M337)&gt;0,
    COUNTIFS($AI$3:$AI$201,$M337)&gt;0,
    COUNTIFS($AJ$3:$AJ$201,$M337)&gt;0,
    COUNTIFS($AK$3:$AK$201,$M337)&gt;0,
    COUNTIFS($AL$3:$AL$201,$M337)&gt;0,
    COUNTIFS($AM$3:$AM$201,$M337)&gt;0,
    COUNTIFS($AN$3:$AN$201,$M337)&gt;0,
    COUNTIFS($AO$3:$AO$201,$M337)&gt;0,
    COUNTIFS($AP$3:$AP$201,$M337)&gt;0,
    COUNTIFS($AQ$3:$AQ$201,$M337)&gt;0,
    COUNTIFS($AR$3:$AR$201,$M337)&gt;0,
    COUNTIFS($AS$3:$AS$201,$M337)&gt;0,
    COUNTIFS($AT$3:$AT$201,$M337)&gt;0,
    COUNTIFS($AU$3:$AU$201,$M337)&gt;0,
    COUNTIFS($AV$3:$AV$201,$M337)&gt;0,
    COUNTIFS($AW$3:$AW$201,$M337)&gt;0,
    COUNTIFS($AX$3:$AX$201,$M337)&gt;0
   ),
  0)
 ),
"")</f>
        <v/>
      </c>
      <c r="P337" s="2" t="str" cm="1">
        <f t="array" ref="P337">IFERROR(
 INDEX(
  _xlfn._xlws.FILTER($U$2:$AX$2,
   TRANSPOSE(
    CHOOSE({1;2;3;4;5;6;7;8;9;10;11;12;13;14;15;16;17;18;19;20;21;22;23;24;25;26;27;28;29;30},
     COUNTIFS($U$3:$U$201,$M337)&gt;0,
     COUNTIFS($V$3:$V$201,$M337)&gt;0,
     COUNTIFS($W$3:$W$201,$M337)&gt;0,
     COUNTIFS($X$3:$X$201,$M337)&gt;0,
     COUNTIFS($Y$3:$Y$201,$M337)&gt;0,
     COUNTIFS($Z$3:$Z$201,$M337)&gt;0,
     COUNTIFS($AA$3:$AA$201,$M337)&gt;0,
     COUNTIFS($AB$3:$AB$201,$M337)&gt;0,
     COUNTIFS($AC$3:$AC$201,$M337)&gt;0,
     COUNTIFS($AD$3:$AD$201,$M337)&gt;0,
     COUNTIFS($AE$3:$AE$201,$M337)&gt;0,
     COUNTIFS($AF$3:$AF$201,$M337)&gt;0,
     COUNTIFS($AG$3:$AG$201,$M337)&gt;0,
     COUNTIFS($AH$3:$AH$201,$M337)&gt;0,
     COUNTIFS($AI$3:$AI$201,$M337)&gt;0,
     COUNTIFS($AJ$3:$AJ$201,$M337)&gt;0,
     COUNTIFS($AK$3:$AK$201,$M337)&gt;0,
     COUNTIFS($AL$3:$AL$201,$M337)&gt;0,
     COUNTIFS($AM$3:$AM$201,$M337)&gt;0,
     COUNTIFS($AN$3:$AN$201,$M337)&gt;0,
     COUNTIFS($AO$3:$AO$201,$M337)&gt;0,
     COUNTIFS($AP$3:$AP$201,$M337)&gt;0,
     COUNTIFS($AQ$3:$AQ$201,$M337)&gt;0,
     COUNTIFS($AR$3:$AR$201,$M337)&gt;0,
     COUNTIFS($AS$3:$AS$201,$M337)&gt;0,
     COUNTIFS($AT$3:$AT$201,$M337)&gt;0,
     COUNTIFS($AU$3:$AU$201,$M337)&gt;0,
     COUNTIFS($AV$3:$AV$201,$M337)&gt;0,
     COUNTIFS($AW$3:$AW$201,$M337)&gt;0,
     COUNTIFS($AX$3:$AX$201,$M337)&gt;0
   )),
  ),
  2
 ),
"")</f>
        <v/>
      </c>
      <c r="Q337" s="2" t="str" cm="1">
        <f t="array" ref="Q337">IFERROR(
 INDEX(
  _xlfn._xlws.FILTER($U$2:$AX$2,
   TRANSPOSE(
    CHOOSE({1;2;3;4;5;6;7;8;9;10;11;12;13;14;15;16;17;18;19;20;21;22;23;24;25;26;27;28;29;30},
     COUNTIFS($U$3:$U$201,$M337)&gt;0,
     COUNTIFS($V$3:$V$201,$M337)&gt;0,
     COUNTIFS($W$3:$W$201,$M337)&gt;0,
     COUNTIFS($X$3:$X$201,$M337)&gt;0,
     COUNTIFS($Y$3:$Y$201,$M337)&gt;0,
     COUNTIFS($Z$3:$Z$201,$M337)&gt;0,
     COUNTIFS($AA$3:$AA$201,$M337)&gt;0,
     COUNTIFS($AB$3:$AB$201,$M337)&gt;0,
     COUNTIFS($AC$3:$AC$201,$M337)&gt;0,
     COUNTIFS($AD$3:$AD$201,$M337)&gt;0,
     COUNTIFS($AE$3:$AE$201,$M337)&gt;0,
     COUNTIFS($AF$3:$AF$201,$M337)&gt;0,
     COUNTIFS($AG$3:$AG$201,$M337)&gt;0,
     COUNTIFS($AH$3:$AH$201,$M337)&gt;0,
     COUNTIFS($AI$3:$AI$201,$M337)&gt;0,
     COUNTIFS($AJ$3:$AJ$201,$M337)&gt;0,
     COUNTIFS($AK$3:$AK$201,$M337)&gt;0,
     COUNTIFS($AL$3:$AL$201,$M337)&gt;0,
     COUNTIFS($AM$3:$AM$201,$M337)&gt;0,
     COUNTIFS($AN$3:$AN$201,$M337)&gt;0,
     COUNTIFS($AO$3:$AO$201,$M337)&gt;0,
     COUNTIFS($AP$3:$AP$201,$M337)&gt;0,
     COUNTIFS($AQ$3:$AQ$201,$M337)&gt;0,
     COUNTIFS($AR$3:$AR$201,$M337)&gt;0,
     COUNTIFS($AS$3:$AS$201,$M337)&gt;0,
     COUNTIFS($AT$3:$AT$201,$M337)&gt;0,
     COUNTIFS($AU$3:$AU$201,$M337)&gt;0,
     COUNTIFS($AV$3:$AV$201,$M337)&gt;0,
     COUNTIFS($AW$3:$AW$201,$M337)&gt;0,
     COUNTIFS($AX$3:$AX$201,$M337)&gt;0
   )),
  ),
  3
 ),
"")</f>
        <v/>
      </c>
    </row>
    <row r="338" spans="1:17" x14ac:dyDescent="0.25">
      <c r="A338" t="str">
        <f ca="1"/>
        <v>Pyrohemia</v>
      </c>
      <c r="B338" s="2" t="str" cm="1">
        <f t="array" aca="1" ref="B338" ca="1">_xlfn.ANCHORARRAY(RESUMO!C337)</f>
        <v>Zuko</v>
      </c>
      <c r="C338" s="2" t="str">
        <f t="shared" ca="1" si="21"/>
        <v/>
      </c>
      <c r="F338" s="2">
        <f t="shared" si="20"/>
        <v>0</v>
      </c>
      <c r="G338" s="2" t="str">
        <f t="shared" ca="1" si="22"/>
        <v/>
      </c>
      <c r="N338" s="2">
        <f t="shared" si="23"/>
        <v>0</v>
      </c>
      <c r="O338" s="2" t="str">
        <f>IFERROR(
 INDEX($U$2:$AX$2,
  MATCH(TRUE,
   CHOOSE({1;2;3;4;5;6;7;8;9;10;11;12;13;14;15;16;17;18;19;20;21;22;23;24;25;26;27;28;29;30;31;32},
    COUNTIFS($U$3:$U$201,$M338)&gt;0,
    COUNTIFS($V$3:$V$201,$M338)&gt;0,
    COUNTIFS($W$3:$W$201,$M338)&gt;0,
    COUNTIFS($X$3:$X$201,$M338)&gt;0,
    COUNTIFS($Y$3:$Y$201,$M338)&gt;0,
    COUNTIFS($Z$3:$Z$201,$M338)&gt;0,
    COUNTIFS($AA$3:$AA$201,$M338)&gt;0,
    COUNTIFS($AB$3:$AB$201,$M338)&gt;0,
    COUNTIFS($AC$3:$AC$201,$M338)&gt;0,
    COUNTIFS($AD$3:$AD$201,$M338)&gt;0,
    COUNTIFS($AE$3:$AE$201,$M338)&gt;0,
    COUNTIFS($AF$3:$AF$201,$M338)&gt;0,
    COUNTIFS($AG$3:$AG$201,$M338)&gt;0,
    COUNTIFS($AH$3:$AH$201,$M338)&gt;0,
    COUNTIFS($AI$3:$AI$201,$M338)&gt;0,
    COUNTIFS($AJ$3:$AJ$201,$M338)&gt;0,
    COUNTIFS($AK$3:$AK$201,$M338)&gt;0,
    COUNTIFS($AL$3:$AL$201,$M338)&gt;0,
    COUNTIFS($AM$3:$AM$201,$M338)&gt;0,
    COUNTIFS($AN$3:$AN$201,$M338)&gt;0,
    COUNTIFS($AO$3:$AO$201,$M338)&gt;0,
    COUNTIFS($AP$3:$AP$201,$M338)&gt;0,
    COUNTIFS($AQ$3:$AQ$201,$M338)&gt;0,
    COUNTIFS($AR$3:$AR$201,$M338)&gt;0,
    COUNTIFS($AS$3:$AS$201,$M338)&gt;0,
    COUNTIFS($AT$3:$AT$201,$M338)&gt;0,
    COUNTIFS($AU$3:$AU$201,$M338)&gt;0,
    COUNTIFS($AV$3:$AV$201,$M338)&gt;0,
    COUNTIFS($AW$3:$AW$201,$M338)&gt;0,
    COUNTIFS($AX$3:$AX$201,$M338)&gt;0
   ),
  0)
 ),
"")</f>
        <v/>
      </c>
      <c r="P338" s="2" t="str" cm="1">
        <f t="array" ref="P338">IFERROR(
 INDEX(
  _xlfn._xlws.FILTER($U$2:$AX$2,
   TRANSPOSE(
    CHOOSE({1;2;3;4;5;6;7;8;9;10;11;12;13;14;15;16;17;18;19;20;21;22;23;24;25;26;27;28;29;30},
     COUNTIFS($U$3:$U$201,$M338)&gt;0,
     COUNTIFS($V$3:$V$201,$M338)&gt;0,
     COUNTIFS($W$3:$W$201,$M338)&gt;0,
     COUNTIFS($X$3:$X$201,$M338)&gt;0,
     COUNTIFS($Y$3:$Y$201,$M338)&gt;0,
     COUNTIFS($Z$3:$Z$201,$M338)&gt;0,
     COUNTIFS($AA$3:$AA$201,$M338)&gt;0,
     COUNTIFS($AB$3:$AB$201,$M338)&gt;0,
     COUNTIFS($AC$3:$AC$201,$M338)&gt;0,
     COUNTIFS($AD$3:$AD$201,$M338)&gt;0,
     COUNTIFS($AE$3:$AE$201,$M338)&gt;0,
     COUNTIFS($AF$3:$AF$201,$M338)&gt;0,
     COUNTIFS($AG$3:$AG$201,$M338)&gt;0,
     COUNTIFS($AH$3:$AH$201,$M338)&gt;0,
     COUNTIFS($AI$3:$AI$201,$M338)&gt;0,
     COUNTIFS($AJ$3:$AJ$201,$M338)&gt;0,
     COUNTIFS($AK$3:$AK$201,$M338)&gt;0,
     COUNTIFS($AL$3:$AL$201,$M338)&gt;0,
     COUNTIFS($AM$3:$AM$201,$M338)&gt;0,
     COUNTIFS($AN$3:$AN$201,$M338)&gt;0,
     COUNTIFS($AO$3:$AO$201,$M338)&gt;0,
     COUNTIFS($AP$3:$AP$201,$M338)&gt;0,
     COUNTIFS($AQ$3:$AQ$201,$M338)&gt;0,
     COUNTIFS($AR$3:$AR$201,$M338)&gt;0,
     COUNTIFS($AS$3:$AS$201,$M338)&gt;0,
     COUNTIFS($AT$3:$AT$201,$M338)&gt;0,
     COUNTIFS($AU$3:$AU$201,$M338)&gt;0,
     COUNTIFS($AV$3:$AV$201,$M338)&gt;0,
     COUNTIFS($AW$3:$AW$201,$M338)&gt;0,
     COUNTIFS($AX$3:$AX$201,$M338)&gt;0
   )),
  ),
  2
 ),
"")</f>
        <v/>
      </c>
      <c r="Q338" s="2" t="str" cm="1">
        <f t="array" ref="Q338">IFERROR(
 INDEX(
  _xlfn._xlws.FILTER($U$2:$AX$2,
   TRANSPOSE(
    CHOOSE({1;2;3;4;5;6;7;8;9;10;11;12;13;14;15;16;17;18;19;20;21;22;23;24;25;26;27;28;29;30},
     COUNTIFS($U$3:$U$201,$M338)&gt;0,
     COUNTIFS($V$3:$V$201,$M338)&gt;0,
     COUNTIFS($W$3:$W$201,$M338)&gt;0,
     COUNTIFS($X$3:$X$201,$M338)&gt;0,
     COUNTIFS($Y$3:$Y$201,$M338)&gt;0,
     COUNTIFS($Z$3:$Z$201,$M338)&gt;0,
     COUNTIFS($AA$3:$AA$201,$M338)&gt;0,
     COUNTIFS($AB$3:$AB$201,$M338)&gt;0,
     COUNTIFS($AC$3:$AC$201,$M338)&gt;0,
     COUNTIFS($AD$3:$AD$201,$M338)&gt;0,
     COUNTIFS($AE$3:$AE$201,$M338)&gt;0,
     COUNTIFS($AF$3:$AF$201,$M338)&gt;0,
     COUNTIFS($AG$3:$AG$201,$M338)&gt;0,
     COUNTIFS($AH$3:$AH$201,$M338)&gt;0,
     COUNTIFS($AI$3:$AI$201,$M338)&gt;0,
     COUNTIFS($AJ$3:$AJ$201,$M338)&gt;0,
     COUNTIFS($AK$3:$AK$201,$M338)&gt;0,
     COUNTIFS($AL$3:$AL$201,$M338)&gt;0,
     COUNTIFS($AM$3:$AM$201,$M338)&gt;0,
     COUNTIFS($AN$3:$AN$201,$M338)&gt;0,
     COUNTIFS($AO$3:$AO$201,$M338)&gt;0,
     COUNTIFS($AP$3:$AP$201,$M338)&gt;0,
     COUNTIFS($AQ$3:$AQ$201,$M338)&gt;0,
     COUNTIFS($AR$3:$AR$201,$M338)&gt;0,
     COUNTIFS($AS$3:$AS$201,$M338)&gt;0,
     COUNTIFS($AT$3:$AT$201,$M338)&gt;0,
     COUNTIFS($AU$3:$AU$201,$M338)&gt;0,
     COUNTIFS($AV$3:$AV$201,$M338)&gt;0,
     COUNTIFS($AW$3:$AW$201,$M338)&gt;0,
     COUNTIFS($AX$3:$AX$201,$M338)&gt;0
   )),
  ),
  3
 ),
"")</f>
        <v/>
      </c>
    </row>
    <row r="339" spans="1:17" x14ac:dyDescent="0.25">
      <c r="A339" t="str">
        <f ca="1"/>
        <v>Quick Sliver</v>
      </c>
      <c r="B339" s="2" t="str" cm="1">
        <f t="array" aca="1" ref="B339" ca="1">_xlfn.ANCHORARRAY(RESUMO!C338)</f>
        <v>Fractius</v>
      </c>
      <c r="C339" s="2" t="str">
        <f t="shared" ca="1" si="21"/>
        <v/>
      </c>
      <c r="F339" s="2">
        <f t="shared" si="20"/>
        <v>0</v>
      </c>
      <c r="G339" s="2" t="str">
        <f t="shared" ca="1" si="22"/>
        <v/>
      </c>
      <c r="N339" s="2">
        <f t="shared" si="23"/>
        <v>0</v>
      </c>
      <c r="O339" s="2" t="str">
        <f>IFERROR(
 INDEX($U$2:$AX$2,
  MATCH(TRUE,
   CHOOSE({1;2;3;4;5;6;7;8;9;10;11;12;13;14;15;16;17;18;19;20;21;22;23;24;25;26;27;28;29;30;31;32},
    COUNTIFS($U$3:$U$201,$M339)&gt;0,
    COUNTIFS($V$3:$V$201,$M339)&gt;0,
    COUNTIFS($W$3:$W$201,$M339)&gt;0,
    COUNTIFS($X$3:$X$201,$M339)&gt;0,
    COUNTIFS($Y$3:$Y$201,$M339)&gt;0,
    COUNTIFS($Z$3:$Z$201,$M339)&gt;0,
    COUNTIFS($AA$3:$AA$201,$M339)&gt;0,
    COUNTIFS($AB$3:$AB$201,$M339)&gt;0,
    COUNTIFS($AC$3:$AC$201,$M339)&gt;0,
    COUNTIFS($AD$3:$AD$201,$M339)&gt;0,
    COUNTIFS($AE$3:$AE$201,$M339)&gt;0,
    COUNTIFS($AF$3:$AF$201,$M339)&gt;0,
    COUNTIFS($AG$3:$AG$201,$M339)&gt;0,
    COUNTIFS($AH$3:$AH$201,$M339)&gt;0,
    COUNTIFS($AI$3:$AI$201,$M339)&gt;0,
    COUNTIFS($AJ$3:$AJ$201,$M339)&gt;0,
    COUNTIFS($AK$3:$AK$201,$M339)&gt;0,
    COUNTIFS($AL$3:$AL$201,$M339)&gt;0,
    COUNTIFS($AM$3:$AM$201,$M339)&gt;0,
    COUNTIFS($AN$3:$AN$201,$M339)&gt;0,
    COUNTIFS($AO$3:$AO$201,$M339)&gt;0,
    COUNTIFS($AP$3:$AP$201,$M339)&gt;0,
    COUNTIFS($AQ$3:$AQ$201,$M339)&gt;0,
    COUNTIFS($AR$3:$AR$201,$M339)&gt;0,
    COUNTIFS($AS$3:$AS$201,$M339)&gt;0,
    COUNTIFS($AT$3:$AT$201,$M339)&gt;0,
    COUNTIFS($AU$3:$AU$201,$M339)&gt;0,
    COUNTIFS($AV$3:$AV$201,$M339)&gt;0,
    COUNTIFS($AW$3:$AW$201,$M339)&gt;0,
    COUNTIFS($AX$3:$AX$201,$M339)&gt;0
   ),
  0)
 ),
"")</f>
        <v/>
      </c>
      <c r="P339" s="2" t="str" cm="1">
        <f t="array" ref="P339">IFERROR(
 INDEX(
  _xlfn._xlws.FILTER($U$2:$AX$2,
   TRANSPOSE(
    CHOOSE({1;2;3;4;5;6;7;8;9;10;11;12;13;14;15;16;17;18;19;20;21;22;23;24;25;26;27;28;29;30},
     COUNTIFS($U$3:$U$201,$M339)&gt;0,
     COUNTIFS($V$3:$V$201,$M339)&gt;0,
     COUNTIFS($W$3:$W$201,$M339)&gt;0,
     COUNTIFS($X$3:$X$201,$M339)&gt;0,
     COUNTIFS($Y$3:$Y$201,$M339)&gt;0,
     COUNTIFS($Z$3:$Z$201,$M339)&gt;0,
     COUNTIFS($AA$3:$AA$201,$M339)&gt;0,
     COUNTIFS($AB$3:$AB$201,$M339)&gt;0,
     COUNTIFS($AC$3:$AC$201,$M339)&gt;0,
     COUNTIFS($AD$3:$AD$201,$M339)&gt;0,
     COUNTIFS($AE$3:$AE$201,$M339)&gt;0,
     COUNTIFS($AF$3:$AF$201,$M339)&gt;0,
     COUNTIFS($AG$3:$AG$201,$M339)&gt;0,
     COUNTIFS($AH$3:$AH$201,$M339)&gt;0,
     COUNTIFS($AI$3:$AI$201,$M339)&gt;0,
     COUNTIFS($AJ$3:$AJ$201,$M339)&gt;0,
     COUNTIFS($AK$3:$AK$201,$M339)&gt;0,
     COUNTIFS($AL$3:$AL$201,$M339)&gt;0,
     COUNTIFS($AM$3:$AM$201,$M339)&gt;0,
     COUNTIFS($AN$3:$AN$201,$M339)&gt;0,
     COUNTIFS($AO$3:$AO$201,$M339)&gt;0,
     COUNTIFS($AP$3:$AP$201,$M339)&gt;0,
     COUNTIFS($AQ$3:$AQ$201,$M339)&gt;0,
     COUNTIFS($AR$3:$AR$201,$M339)&gt;0,
     COUNTIFS($AS$3:$AS$201,$M339)&gt;0,
     COUNTIFS($AT$3:$AT$201,$M339)&gt;0,
     COUNTIFS($AU$3:$AU$201,$M339)&gt;0,
     COUNTIFS($AV$3:$AV$201,$M339)&gt;0,
     COUNTIFS($AW$3:$AW$201,$M339)&gt;0,
     COUNTIFS($AX$3:$AX$201,$M339)&gt;0
   )),
  ),
  2
 ),
"")</f>
        <v/>
      </c>
      <c r="Q339" s="2" t="str" cm="1">
        <f t="array" ref="Q339">IFERROR(
 INDEX(
  _xlfn._xlws.FILTER($U$2:$AX$2,
   TRANSPOSE(
    CHOOSE({1;2;3;4;5;6;7;8;9;10;11;12;13;14;15;16;17;18;19;20;21;22;23;24;25;26;27;28;29;30},
     COUNTIFS($U$3:$U$201,$M339)&gt;0,
     COUNTIFS($V$3:$V$201,$M339)&gt;0,
     COUNTIFS($W$3:$W$201,$M339)&gt;0,
     COUNTIFS($X$3:$X$201,$M339)&gt;0,
     COUNTIFS($Y$3:$Y$201,$M339)&gt;0,
     COUNTIFS($Z$3:$Z$201,$M339)&gt;0,
     COUNTIFS($AA$3:$AA$201,$M339)&gt;0,
     COUNTIFS($AB$3:$AB$201,$M339)&gt;0,
     COUNTIFS($AC$3:$AC$201,$M339)&gt;0,
     COUNTIFS($AD$3:$AD$201,$M339)&gt;0,
     COUNTIFS($AE$3:$AE$201,$M339)&gt;0,
     COUNTIFS($AF$3:$AF$201,$M339)&gt;0,
     COUNTIFS($AG$3:$AG$201,$M339)&gt;0,
     COUNTIFS($AH$3:$AH$201,$M339)&gt;0,
     COUNTIFS($AI$3:$AI$201,$M339)&gt;0,
     COUNTIFS($AJ$3:$AJ$201,$M339)&gt;0,
     COUNTIFS($AK$3:$AK$201,$M339)&gt;0,
     COUNTIFS($AL$3:$AL$201,$M339)&gt;0,
     COUNTIFS($AM$3:$AM$201,$M339)&gt;0,
     COUNTIFS($AN$3:$AN$201,$M339)&gt;0,
     COUNTIFS($AO$3:$AO$201,$M339)&gt;0,
     COUNTIFS($AP$3:$AP$201,$M339)&gt;0,
     COUNTIFS($AQ$3:$AQ$201,$M339)&gt;0,
     COUNTIFS($AR$3:$AR$201,$M339)&gt;0,
     COUNTIFS($AS$3:$AS$201,$M339)&gt;0,
     COUNTIFS($AT$3:$AT$201,$M339)&gt;0,
     COUNTIFS($AU$3:$AU$201,$M339)&gt;0,
     COUNTIFS($AV$3:$AV$201,$M339)&gt;0,
     COUNTIFS($AW$3:$AW$201,$M339)&gt;0,
     COUNTIFS($AX$3:$AX$201,$M339)&gt;0
   )),
  ),
  3
 ),
"")</f>
        <v/>
      </c>
    </row>
    <row r="340" spans="1:17" x14ac:dyDescent="0.25">
      <c r="A340" t="str">
        <f ca="1"/>
        <v>Quilled Sliver</v>
      </c>
      <c r="B340" s="2" t="str" cm="1">
        <f t="array" aca="1" ref="B340" ca="1">_xlfn.ANCHORARRAY(RESUMO!C339)</f>
        <v>Fractius</v>
      </c>
      <c r="C340" s="2" t="str">
        <f t="shared" ca="1" si="21"/>
        <v/>
      </c>
      <c r="F340" s="2">
        <f t="shared" si="20"/>
        <v>0</v>
      </c>
      <c r="G340" s="2" t="str">
        <f t="shared" ca="1" si="22"/>
        <v/>
      </c>
      <c r="N340" s="2">
        <f t="shared" si="23"/>
        <v>0</v>
      </c>
      <c r="O340" s="2" t="str">
        <f>IFERROR(
 INDEX($U$2:$AX$2,
  MATCH(TRUE,
   CHOOSE({1;2;3;4;5;6;7;8;9;10;11;12;13;14;15;16;17;18;19;20;21;22;23;24;25;26;27;28;29;30;31;32},
    COUNTIFS($U$3:$U$201,$M340)&gt;0,
    COUNTIFS($V$3:$V$201,$M340)&gt;0,
    COUNTIFS($W$3:$W$201,$M340)&gt;0,
    COUNTIFS($X$3:$X$201,$M340)&gt;0,
    COUNTIFS($Y$3:$Y$201,$M340)&gt;0,
    COUNTIFS($Z$3:$Z$201,$M340)&gt;0,
    COUNTIFS($AA$3:$AA$201,$M340)&gt;0,
    COUNTIFS($AB$3:$AB$201,$M340)&gt;0,
    COUNTIFS($AC$3:$AC$201,$M340)&gt;0,
    COUNTIFS($AD$3:$AD$201,$M340)&gt;0,
    COUNTIFS($AE$3:$AE$201,$M340)&gt;0,
    COUNTIFS($AF$3:$AF$201,$M340)&gt;0,
    COUNTIFS($AG$3:$AG$201,$M340)&gt;0,
    COUNTIFS($AH$3:$AH$201,$M340)&gt;0,
    COUNTIFS($AI$3:$AI$201,$M340)&gt;0,
    COUNTIFS($AJ$3:$AJ$201,$M340)&gt;0,
    COUNTIFS($AK$3:$AK$201,$M340)&gt;0,
    COUNTIFS($AL$3:$AL$201,$M340)&gt;0,
    COUNTIFS($AM$3:$AM$201,$M340)&gt;0,
    COUNTIFS($AN$3:$AN$201,$M340)&gt;0,
    COUNTIFS($AO$3:$AO$201,$M340)&gt;0,
    COUNTIFS($AP$3:$AP$201,$M340)&gt;0,
    COUNTIFS($AQ$3:$AQ$201,$M340)&gt;0,
    COUNTIFS($AR$3:$AR$201,$M340)&gt;0,
    COUNTIFS($AS$3:$AS$201,$M340)&gt;0,
    COUNTIFS($AT$3:$AT$201,$M340)&gt;0,
    COUNTIFS($AU$3:$AU$201,$M340)&gt;0,
    COUNTIFS($AV$3:$AV$201,$M340)&gt;0,
    COUNTIFS($AW$3:$AW$201,$M340)&gt;0,
    COUNTIFS($AX$3:$AX$201,$M340)&gt;0
   ),
  0)
 ),
"")</f>
        <v/>
      </c>
      <c r="P340" s="2" t="str" cm="1">
        <f t="array" ref="P340">IFERROR(
 INDEX(
  _xlfn._xlws.FILTER($U$2:$AX$2,
   TRANSPOSE(
    CHOOSE({1;2;3;4;5;6;7;8;9;10;11;12;13;14;15;16;17;18;19;20;21;22;23;24;25;26;27;28;29;30},
     COUNTIFS($U$3:$U$201,$M340)&gt;0,
     COUNTIFS($V$3:$V$201,$M340)&gt;0,
     COUNTIFS($W$3:$W$201,$M340)&gt;0,
     COUNTIFS($X$3:$X$201,$M340)&gt;0,
     COUNTIFS($Y$3:$Y$201,$M340)&gt;0,
     COUNTIFS($Z$3:$Z$201,$M340)&gt;0,
     COUNTIFS($AA$3:$AA$201,$M340)&gt;0,
     COUNTIFS($AB$3:$AB$201,$M340)&gt;0,
     COUNTIFS($AC$3:$AC$201,$M340)&gt;0,
     COUNTIFS($AD$3:$AD$201,$M340)&gt;0,
     COUNTIFS($AE$3:$AE$201,$M340)&gt;0,
     COUNTIFS($AF$3:$AF$201,$M340)&gt;0,
     COUNTIFS($AG$3:$AG$201,$M340)&gt;0,
     COUNTIFS($AH$3:$AH$201,$M340)&gt;0,
     COUNTIFS($AI$3:$AI$201,$M340)&gt;0,
     COUNTIFS($AJ$3:$AJ$201,$M340)&gt;0,
     COUNTIFS($AK$3:$AK$201,$M340)&gt;0,
     COUNTIFS($AL$3:$AL$201,$M340)&gt;0,
     COUNTIFS($AM$3:$AM$201,$M340)&gt;0,
     COUNTIFS($AN$3:$AN$201,$M340)&gt;0,
     COUNTIFS($AO$3:$AO$201,$M340)&gt;0,
     COUNTIFS($AP$3:$AP$201,$M340)&gt;0,
     COUNTIFS($AQ$3:$AQ$201,$M340)&gt;0,
     COUNTIFS($AR$3:$AR$201,$M340)&gt;0,
     COUNTIFS($AS$3:$AS$201,$M340)&gt;0,
     COUNTIFS($AT$3:$AT$201,$M340)&gt;0,
     COUNTIFS($AU$3:$AU$201,$M340)&gt;0,
     COUNTIFS($AV$3:$AV$201,$M340)&gt;0,
     COUNTIFS($AW$3:$AW$201,$M340)&gt;0,
     COUNTIFS($AX$3:$AX$201,$M340)&gt;0
   )),
  ),
  2
 ),
"")</f>
        <v/>
      </c>
      <c r="Q340" s="2" t="str" cm="1">
        <f t="array" ref="Q340">IFERROR(
 INDEX(
  _xlfn._xlws.FILTER($U$2:$AX$2,
   TRANSPOSE(
    CHOOSE({1;2;3;4;5;6;7;8;9;10;11;12;13;14;15;16;17;18;19;20;21;22;23;24;25;26;27;28;29;30},
     COUNTIFS($U$3:$U$201,$M340)&gt;0,
     COUNTIFS($V$3:$V$201,$M340)&gt;0,
     COUNTIFS($W$3:$W$201,$M340)&gt;0,
     COUNTIFS($X$3:$X$201,$M340)&gt;0,
     COUNTIFS($Y$3:$Y$201,$M340)&gt;0,
     COUNTIFS($Z$3:$Z$201,$M340)&gt;0,
     COUNTIFS($AA$3:$AA$201,$M340)&gt;0,
     COUNTIFS($AB$3:$AB$201,$M340)&gt;0,
     COUNTIFS($AC$3:$AC$201,$M340)&gt;0,
     COUNTIFS($AD$3:$AD$201,$M340)&gt;0,
     COUNTIFS($AE$3:$AE$201,$M340)&gt;0,
     COUNTIFS($AF$3:$AF$201,$M340)&gt;0,
     COUNTIFS($AG$3:$AG$201,$M340)&gt;0,
     COUNTIFS($AH$3:$AH$201,$M340)&gt;0,
     COUNTIFS($AI$3:$AI$201,$M340)&gt;0,
     COUNTIFS($AJ$3:$AJ$201,$M340)&gt;0,
     COUNTIFS($AK$3:$AK$201,$M340)&gt;0,
     COUNTIFS($AL$3:$AL$201,$M340)&gt;0,
     COUNTIFS($AM$3:$AM$201,$M340)&gt;0,
     COUNTIFS($AN$3:$AN$201,$M340)&gt;0,
     COUNTIFS($AO$3:$AO$201,$M340)&gt;0,
     COUNTIFS($AP$3:$AP$201,$M340)&gt;0,
     COUNTIFS($AQ$3:$AQ$201,$M340)&gt;0,
     COUNTIFS($AR$3:$AR$201,$M340)&gt;0,
     COUNTIFS($AS$3:$AS$201,$M340)&gt;0,
     COUNTIFS($AT$3:$AT$201,$M340)&gt;0,
     COUNTIFS($AU$3:$AU$201,$M340)&gt;0,
     COUNTIFS($AV$3:$AV$201,$M340)&gt;0,
     COUNTIFS($AW$3:$AW$201,$M340)&gt;0,
     COUNTIFS($AX$3:$AX$201,$M340)&gt;0
   )),
  ),
  3
 ),
"")</f>
        <v/>
      </c>
    </row>
    <row r="341" spans="1:17" x14ac:dyDescent="0.25">
      <c r="A341" t="str">
        <f ca="1"/>
        <v>Rabble Rousing</v>
      </c>
      <c r="B341" s="2" t="str" cm="1">
        <f t="array" aca="1" ref="B341" ca="1">_xlfn.ANCHORARRAY(RESUMO!C340)</f>
        <v>Little</v>
      </c>
      <c r="C341" s="2" t="str">
        <f t="shared" ca="1" si="21"/>
        <v/>
      </c>
      <c r="F341" s="2">
        <f t="shared" si="20"/>
        <v>0</v>
      </c>
      <c r="G341" s="2" t="str">
        <f t="shared" ca="1" si="22"/>
        <v/>
      </c>
      <c r="N341" s="2">
        <f t="shared" si="23"/>
        <v>0</v>
      </c>
      <c r="O341" s="2" t="str">
        <f>IFERROR(
 INDEX($U$2:$AX$2,
  MATCH(TRUE,
   CHOOSE({1;2;3;4;5;6;7;8;9;10;11;12;13;14;15;16;17;18;19;20;21;22;23;24;25;26;27;28;29;30;31;32},
    COUNTIFS($U$3:$U$201,$M341)&gt;0,
    COUNTIFS($V$3:$V$201,$M341)&gt;0,
    COUNTIFS($W$3:$W$201,$M341)&gt;0,
    COUNTIFS($X$3:$X$201,$M341)&gt;0,
    COUNTIFS($Y$3:$Y$201,$M341)&gt;0,
    COUNTIFS($Z$3:$Z$201,$M341)&gt;0,
    COUNTIFS($AA$3:$AA$201,$M341)&gt;0,
    COUNTIFS($AB$3:$AB$201,$M341)&gt;0,
    COUNTIFS($AC$3:$AC$201,$M341)&gt;0,
    COUNTIFS($AD$3:$AD$201,$M341)&gt;0,
    COUNTIFS($AE$3:$AE$201,$M341)&gt;0,
    COUNTIFS($AF$3:$AF$201,$M341)&gt;0,
    COUNTIFS($AG$3:$AG$201,$M341)&gt;0,
    COUNTIFS($AH$3:$AH$201,$M341)&gt;0,
    COUNTIFS($AI$3:$AI$201,$M341)&gt;0,
    COUNTIFS($AJ$3:$AJ$201,$M341)&gt;0,
    COUNTIFS($AK$3:$AK$201,$M341)&gt;0,
    COUNTIFS($AL$3:$AL$201,$M341)&gt;0,
    COUNTIFS($AM$3:$AM$201,$M341)&gt;0,
    COUNTIFS($AN$3:$AN$201,$M341)&gt;0,
    COUNTIFS($AO$3:$AO$201,$M341)&gt;0,
    COUNTIFS($AP$3:$AP$201,$M341)&gt;0,
    COUNTIFS($AQ$3:$AQ$201,$M341)&gt;0,
    COUNTIFS($AR$3:$AR$201,$M341)&gt;0,
    COUNTIFS($AS$3:$AS$201,$M341)&gt;0,
    COUNTIFS($AT$3:$AT$201,$M341)&gt;0,
    COUNTIFS($AU$3:$AU$201,$M341)&gt;0,
    COUNTIFS($AV$3:$AV$201,$M341)&gt;0,
    COUNTIFS($AW$3:$AW$201,$M341)&gt;0,
    COUNTIFS($AX$3:$AX$201,$M341)&gt;0
   ),
  0)
 ),
"")</f>
        <v/>
      </c>
      <c r="P341" s="2" t="str" cm="1">
        <f t="array" ref="P341">IFERROR(
 INDEX(
  _xlfn._xlws.FILTER($U$2:$AX$2,
   TRANSPOSE(
    CHOOSE({1;2;3;4;5;6;7;8;9;10;11;12;13;14;15;16;17;18;19;20;21;22;23;24;25;26;27;28;29;30},
     COUNTIFS($U$3:$U$201,$M341)&gt;0,
     COUNTIFS($V$3:$V$201,$M341)&gt;0,
     COUNTIFS($W$3:$W$201,$M341)&gt;0,
     COUNTIFS($X$3:$X$201,$M341)&gt;0,
     COUNTIFS($Y$3:$Y$201,$M341)&gt;0,
     COUNTIFS($Z$3:$Z$201,$M341)&gt;0,
     COUNTIFS($AA$3:$AA$201,$M341)&gt;0,
     COUNTIFS($AB$3:$AB$201,$M341)&gt;0,
     COUNTIFS($AC$3:$AC$201,$M341)&gt;0,
     COUNTIFS($AD$3:$AD$201,$M341)&gt;0,
     COUNTIFS($AE$3:$AE$201,$M341)&gt;0,
     COUNTIFS($AF$3:$AF$201,$M341)&gt;0,
     COUNTIFS($AG$3:$AG$201,$M341)&gt;0,
     COUNTIFS($AH$3:$AH$201,$M341)&gt;0,
     COUNTIFS($AI$3:$AI$201,$M341)&gt;0,
     COUNTIFS($AJ$3:$AJ$201,$M341)&gt;0,
     COUNTIFS($AK$3:$AK$201,$M341)&gt;0,
     COUNTIFS($AL$3:$AL$201,$M341)&gt;0,
     COUNTIFS($AM$3:$AM$201,$M341)&gt;0,
     COUNTIFS($AN$3:$AN$201,$M341)&gt;0,
     COUNTIFS($AO$3:$AO$201,$M341)&gt;0,
     COUNTIFS($AP$3:$AP$201,$M341)&gt;0,
     COUNTIFS($AQ$3:$AQ$201,$M341)&gt;0,
     COUNTIFS($AR$3:$AR$201,$M341)&gt;0,
     COUNTIFS($AS$3:$AS$201,$M341)&gt;0,
     COUNTIFS($AT$3:$AT$201,$M341)&gt;0,
     COUNTIFS($AU$3:$AU$201,$M341)&gt;0,
     COUNTIFS($AV$3:$AV$201,$M341)&gt;0,
     COUNTIFS($AW$3:$AW$201,$M341)&gt;0,
     COUNTIFS($AX$3:$AX$201,$M341)&gt;0
   )),
  ),
  2
 ),
"")</f>
        <v/>
      </c>
      <c r="Q341" s="2" t="str" cm="1">
        <f t="array" ref="Q341">IFERROR(
 INDEX(
  _xlfn._xlws.FILTER($U$2:$AX$2,
   TRANSPOSE(
    CHOOSE({1;2;3;4;5;6;7;8;9;10;11;12;13;14;15;16;17;18;19;20;21;22;23;24;25;26;27;28;29;30},
     COUNTIFS($U$3:$U$201,$M341)&gt;0,
     COUNTIFS($V$3:$V$201,$M341)&gt;0,
     COUNTIFS($W$3:$W$201,$M341)&gt;0,
     COUNTIFS($X$3:$X$201,$M341)&gt;0,
     COUNTIFS($Y$3:$Y$201,$M341)&gt;0,
     COUNTIFS($Z$3:$Z$201,$M341)&gt;0,
     COUNTIFS($AA$3:$AA$201,$M341)&gt;0,
     COUNTIFS($AB$3:$AB$201,$M341)&gt;0,
     COUNTIFS($AC$3:$AC$201,$M341)&gt;0,
     COUNTIFS($AD$3:$AD$201,$M341)&gt;0,
     COUNTIFS($AE$3:$AE$201,$M341)&gt;0,
     COUNTIFS($AF$3:$AF$201,$M341)&gt;0,
     COUNTIFS($AG$3:$AG$201,$M341)&gt;0,
     COUNTIFS($AH$3:$AH$201,$M341)&gt;0,
     COUNTIFS($AI$3:$AI$201,$M341)&gt;0,
     COUNTIFS($AJ$3:$AJ$201,$M341)&gt;0,
     COUNTIFS($AK$3:$AK$201,$M341)&gt;0,
     COUNTIFS($AL$3:$AL$201,$M341)&gt;0,
     COUNTIFS($AM$3:$AM$201,$M341)&gt;0,
     COUNTIFS($AN$3:$AN$201,$M341)&gt;0,
     COUNTIFS($AO$3:$AO$201,$M341)&gt;0,
     COUNTIFS($AP$3:$AP$201,$M341)&gt;0,
     COUNTIFS($AQ$3:$AQ$201,$M341)&gt;0,
     COUNTIFS($AR$3:$AR$201,$M341)&gt;0,
     COUNTIFS($AS$3:$AS$201,$M341)&gt;0,
     COUNTIFS($AT$3:$AT$201,$M341)&gt;0,
     COUNTIFS($AU$3:$AU$201,$M341)&gt;0,
     COUNTIFS($AV$3:$AV$201,$M341)&gt;0,
     COUNTIFS($AW$3:$AW$201,$M341)&gt;0,
     COUNTIFS($AX$3:$AX$201,$M341)&gt;0
   )),
  ),
  3
 ),
"")</f>
        <v/>
      </c>
    </row>
    <row r="342" spans="1:17" x14ac:dyDescent="0.25">
      <c r="A342" t="str">
        <f ca="1"/>
        <v>Radiant Summit</v>
      </c>
      <c r="B342" s="2" t="str" cm="1">
        <f t="array" aca="1" ref="B342" ca="1">_xlfn.ANCHORARRAY(RESUMO!C341)</f>
        <v>Little</v>
      </c>
      <c r="C342" s="2" t="str">
        <f t="shared" ca="1" si="21"/>
        <v/>
      </c>
      <c r="F342" s="2">
        <f t="shared" si="20"/>
        <v>0</v>
      </c>
      <c r="G342" s="2" t="str">
        <f t="shared" ca="1" si="22"/>
        <v/>
      </c>
      <c r="N342" s="2">
        <f t="shared" si="23"/>
        <v>0</v>
      </c>
      <c r="O342" s="2" t="str">
        <f>IFERROR(
 INDEX($U$2:$AX$2,
  MATCH(TRUE,
   CHOOSE({1;2;3;4;5;6;7;8;9;10;11;12;13;14;15;16;17;18;19;20;21;22;23;24;25;26;27;28;29;30;31;32},
    COUNTIFS($U$3:$U$201,$M342)&gt;0,
    COUNTIFS($V$3:$V$201,$M342)&gt;0,
    COUNTIFS($W$3:$W$201,$M342)&gt;0,
    COUNTIFS($X$3:$X$201,$M342)&gt;0,
    COUNTIFS($Y$3:$Y$201,$M342)&gt;0,
    COUNTIFS($Z$3:$Z$201,$M342)&gt;0,
    COUNTIFS($AA$3:$AA$201,$M342)&gt;0,
    COUNTIFS($AB$3:$AB$201,$M342)&gt;0,
    COUNTIFS($AC$3:$AC$201,$M342)&gt;0,
    COUNTIFS($AD$3:$AD$201,$M342)&gt;0,
    COUNTIFS($AE$3:$AE$201,$M342)&gt;0,
    COUNTIFS($AF$3:$AF$201,$M342)&gt;0,
    COUNTIFS($AG$3:$AG$201,$M342)&gt;0,
    COUNTIFS($AH$3:$AH$201,$M342)&gt;0,
    COUNTIFS($AI$3:$AI$201,$M342)&gt;0,
    COUNTIFS($AJ$3:$AJ$201,$M342)&gt;0,
    COUNTIFS($AK$3:$AK$201,$M342)&gt;0,
    COUNTIFS($AL$3:$AL$201,$M342)&gt;0,
    COUNTIFS($AM$3:$AM$201,$M342)&gt;0,
    COUNTIFS($AN$3:$AN$201,$M342)&gt;0,
    COUNTIFS($AO$3:$AO$201,$M342)&gt;0,
    COUNTIFS($AP$3:$AP$201,$M342)&gt;0,
    COUNTIFS($AQ$3:$AQ$201,$M342)&gt;0,
    COUNTIFS($AR$3:$AR$201,$M342)&gt;0,
    COUNTIFS($AS$3:$AS$201,$M342)&gt;0,
    COUNTIFS($AT$3:$AT$201,$M342)&gt;0,
    COUNTIFS($AU$3:$AU$201,$M342)&gt;0,
    COUNTIFS($AV$3:$AV$201,$M342)&gt;0,
    COUNTIFS($AW$3:$AW$201,$M342)&gt;0,
    COUNTIFS($AX$3:$AX$201,$M342)&gt;0
   ),
  0)
 ),
"")</f>
        <v/>
      </c>
      <c r="P342" s="2" t="str" cm="1">
        <f t="array" ref="P342">IFERROR(
 INDEX(
  _xlfn._xlws.FILTER($U$2:$AX$2,
   TRANSPOSE(
    CHOOSE({1;2;3;4;5;6;7;8;9;10;11;12;13;14;15;16;17;18;19;20;21;22;23;24;25;26;27;28;29;30},
     COUNTIFS($U$3:$U$201,$M342)&gt;0,
     COUNTIFS($V$3:$V$201,$M342)&gt;0,
     COUNTIFS($W$3:$W$201,$M342)&gt;0,
     COUNTIFS($X$3:$X$201,$M342)&gt;0,
     COUNTIFS($Y$3:$Y$201,$M342)&gt;0,
     COUNTIFS($Z$3:$Z$201,$M342)&gt;0,
     COUNTIFS($AA$3:$AA$201,$M342)&gt;0,
     COUNTIFS($AB$3:$AB$201,$M342)&gt;0,
     COUNTIFS($AC$3:$AC$201,$M342)&gt;0,
     COUNTIFS($AD$3:$AD$201,$M342)&gt;0,
     COUNTIFS($AE$3:$AE$201,$M342)&gt;0,
     COUNTIFS($AF$3:$AF$201,$M342)&gt;0,
     COUNTIFS($AG$3:$AG$201,$M342)&gt;0,
     COUNTIFS($AH$3:$AH$201,$M342)&gt;0,
     COUNTIFS($AI$3:$AI$201,$M342)&gt;0,
     COUNTIFS($AJ$3:$AJ$201,$M342)&gt;0,
     COUNTIFS($AK$3:$AK$201,$M342)&gt;0,
     COUNTIFS($AL$3:$AL$201,$M342)&gt;0,
     COUNTIFS($AM$3:$AM$201,$M342)&gt;0,
     COUNTIFS($AN$3:$AN$201,$M342)&gt;0,
     COUNTIFS($AO$3:$AO$201,$M342)&gt;0,
     COUNTIFS($AP$3:$AP$201,$M342)&gt;0,
     COUNTIFS($AQ$3:$AQ$201,$M342)&gt;0,
     COUNTIFS($AR$3:$AR$201,$M342)&gt;0,
     COUNTIFS($AS$3:$AS$201,$M342)&gt;0,
     COUNTIFS($AT$3:$AT$201,$M342)&gt;0,
     COUNTIFS($AU$3:$AU$201,$M342)&gt;0,
     COUNTIFS($AV$3:$AV$201,$M342)&gt;0,
     COUNTIFS($AW$3:$AW$201,$M342)&gt;0,
     COUNTIFS($AX$3:$AX$201,$M342)&gt;0
   )),
  ),
  2
 ),
"")</f>
        <v/>
      </c>
      <c r="Q342" s="2" t="str" cm="1">
        <f t="array" ref="Q342">IFERROR(
 INDEX(
  _xlfn._xlws.FILTER($U$2:$AX$2,
   TRANSPOSE(
    CHOOSE({1;2;3;4;5;6;7;8;9;10;11;12;13;14;15;16;17;18;19;20;21;22;23;24;25;26;27;28;29;30},
     COUNTIFS($U$3:$U$201,$M342)&gt;0,
     COUNTIFS($V$3:$V$201,$M342)&gt;0,
     COUNTIFS($W$3:$W$201,$M342)&gt;0,
     COUNTIFS($X$3:$X$201,$M342)&gt;0,
     COUNTIFS($Y$3:$Y$201,$M342)&gt;0,
     COUNTIFS($Z$3:$Z$201,$M342)&gt;0,
     COUNTIFS($AA$3:$AA$201,$M342)&gt;0,
     COUNTIFS($AB$3:$AB$201,$M342)&gt;0,
     COUNTIFS($AC$3:$AC$201,$M342)&gt;0,
     COUNTIFS($AD$3:$AD$201,$M342)&gt;0,
     COUNTIFS($AE$3:$AE$201,$M342)&gt;0,
     COUNTIFS($AF$3:$AF$201,$M342)&gt;0,
     COUNTIFS($AG$3:$AG$201,$M342)&gt;0,
     COUNTIFS($AH$3:$AH$201,$M342)&gt;0,
     COUNTIFS($AI$3:$AI$201,$M342)&gt;0,
     COUNTIFS($AJ$3:$AJ$201,$M342)&gt;0,
     COUNTIFS($AK$3:$AK$201,$M342)&gt;0,
     COUNTIFS($AL$3:$AL$201,$M342)&gt;0,
     COUNTIFS($AM$3:$AM$201,$M342)&gt;0,
     COUNTIFS($AN$3:$AN$201,$M342)&gt;0,
     COUNTIFS($AO$3:$AO$201,$M342)&gt;0,
     COUNTIFS($AP$3:$AP$201,$M342)&gt;0,
     COUNTIFS($AQ$3:$AQ$201,$M342)&gt;0,
     COUNTIFS($AR$3:$AR$201,$M342)&gt;0,
     COUNTIFS($AS$3:$AS$201,$M342)&gt;0,
     COUNTIFS($AT$3:$AT$201,$M342)&gt;0,
     COUNTIFS($AU$3:$AU$201,$M342)&gt;0,
     COUNTIFS($AV$3:$AV$201,$M342)&gt;0,
     COUNTIFS($AW$3:$AW$201,$M342)&gt;0,
     COUNTIFS($AX$3:$AX$201,$M342)&gt;0
   )),
  ),
  3
 ),
"")</f>
        <v/>
      </c>
    </row>
    <row r="343" spans="1:17" x14ac:dyDescent="0.25">
      <c r="A343" t="str">
        <f ca="1"/>
        <v>Raffine's Tower</v>
      </c>
      <c r="B343" s="2" t="str" cm="1">
        <f t="array" aca="1" ref="B343" ca="1">_xlfn.ANCHORARRAY(RESUMO!C342)</f>
        <v>Fractius</v>
      </c>
      <c r="C343" s="2" t="str">
        <f t="shared" ca="1" si="21"/>
        <v/>
      </c>
      <c r="F343" s="2">
        <f t="shared" si="20"/>
        <v>0</v>
      </c>
      <c r="G343" s="2" t="str">
        <f t="shared" ca="1" si="22"/>
        <v/>
      </c>
      <c r="N343" s="2">
        <f t="shared" si="23"/>
        <v>0</v>
      </c>
      <c r="O343" s="2" t="str">
        <f>IFERROR(
 INDEX($U$2:$AX$2,
  MATCH(TRUE,
   CHOOSE({1;2;3;4;5;6;7;8;9;10;11;12;13;14;15;16;17;18;19;20;21;22;23;24;25;26;27;28;29;30;31;32},
    COUNTIFS($U$3:$U$201,$M343)&gt;0,
    COUNTIFS($V$3:$V$201,$M343)&gt;0,
    COUNTIFS($W$3:$W$201,$M343)&gt;0,
    COUNTIFS($X$3:$X$201,$M343)&gt;0,
    COUNTIFS($Y$3:$Y$201,$M343)&gt;0,
    COUNTIFS($Z$3:$Z$201,$M343)&gt;0,
    COUNTIFS($AA$3:$AA$201,$M343)&gt;0,
    COUNTIFS($AB$3:$AB$201,$M343)&gt;0,
    COUNTIFS($AC$3:$AC$201,$M343)&gt;0,
    COUNTIFS($AD$3:$AD$201,$M343)&gt;0,
    COUNTIFS($AE$3:$AE$201,$M343)&gt;0,
    COUNTIFS($AF$3:$AF$201,$M343)&gt;0,
    COUNTIFS($AG$3:$AG$201,$M343)&gt;0,
    COUNTIFS($AH$3:$AH$201,$M343)&gt;0,
    COUNTIFS($AI$3:$AI$201,$M343)&gt;0,
    COUNTIFS($AJ$3:$AJ$201,$M343)&gt;0,
    COUNTIFS($AK$3:$AK$201,$M343)&gt;0,
    COUNTIFS($AL$3:$AL$201,$M343)&gt;0,
    COUNTIFS($AM$3:$AM$201,$M343)&gt;0,
    COUNTIFS($AN$3:$AN$201,$M343)&gt;0,
    COUNTIFS($AO$3:$AO$201,$M343)&gt;0,
    COUNTIFS($AP$3:$AP$201,$M343)&gt;0,
    COUNTIFS($AQ$3:$AQ$201,$M343)&gt;0,
    COUNTIFS($AR$3:$AR$201,$M343)&gt;0,
    COUNTIFS($AS$3:$AS$201,$M343)&gt;0,
    COUNTIFS($AT$3:$AT$201,$M343)&gt;0,
    COUNTIFS($AU$3:$AU$201,$M343)&gt;0,
    COUNTIFS($AV$3:$AV$201,$M343)&gt;0,
    COUNTIFS($AW$3:$AW$201,$M343)&gt;0,
    COUNTIFS($AX$3:$AX$201,$M343)&gt;0
   ),
  0)
 ),
"")</f>
        <v/>
      </c>
      <c r="P343" s="2" t="str" cm="1">
        <f t="array" ref="P343">IFERROR(
 INDEX(
  _xlfn._xlws.FILTER($U$2:$AX$2,
   TRANSPOSE(
    CHOOSE({1;2;3;4;5;6;7;8;9;10;11;12;13;14;15;16;17;18;19;20;21;22;23;24;25;26;27;28;29;30},
     COUNTIFS($U$3:$U$201,$M343)&gt;0,
     COUNTIFS($V$3:$V$201,$M343)&gt;0,
     COUNTIFS($W$3:$W$201,$M343)&gt;0,
     COUNTIFS($X$3:$X$201,$M343)&gt;0,
     COUNTIFS($Y$3:$Y$201,$M343)&gt;0,
     COUNTIFS($Z$3:$Z$201,$M343)&gt;0,
     COUNTIFS($AA$3:$AA$201,$M343)&gt;0,
     COUNTIFS($AB$3:$AB$201,$M343)&gt;0,
     COUNTIFS($AC$3:$AC$201,$M343)&gt;0,
     COUNTIFS($AD$3:$AD$201,$M343)&gt;0,
     COUNTIFS($AE$3:$AE$201,$M343)&gt;0,
     COUNTIFS($AF$3:$AF$201,$M343)&gt;0,
     COUNTIFS($AG$3:$AG$201,$M343)&gt;0,
     COUNTIFS($AH$3:$AH$201,$M343)&gt;0,
     COUNTIFS($AI$3:$AI$201,$M343)&gt;0,
     COUNTIFS($AJ$3:$AJ$201,$M343)&gt;0,
     COUNTIFS($AK$3:$AK$201,$M343)&gt;0,
     COUNTIFS($AL$3:$AL$201,$M343)&gt;0,
     COUNTIFS($AM$3:$AM$201,$M343)&gt;0,
     COUNTIFS($AN$3:$AN$201,$M343)&gt;0,
     COUNTIFS($AO$3:$AO$201,$M343)&gt;0,
     COUNTIFS($AP$3:$AP$201,$M343)&gt;0,
     COUNTIFS($AQ$3:$AQ$201,$M343)&gt;0,
     COUNTIFS($AR$3:$AR$201,$M343)&gt;0,
     COUNTIFS($AS$3:$AS$201,$M343)&gt;0,
     COUNTIFS($AT$3:$AT$201,$M343)&gt;0,
     COUNTIFS($AU$3:$AU$201,$M343)&gt;0,
     COUNTIFS($AV$3:$AV$201,$M343)&gt;0,
     COUNTIFS($AW$3:$AW$201,$M343)&gt;0,
     COUNTIFS($AX$3:$AX$201,$M343)&gt;0
   )),
  ),
  2
 ),
"")</f>
        <v/>
      </c>
      <c r="Q343" s="2" t="str" cm="1">
        <f t="array" ref="Q343">IFERROR(
 INDEX(
  _xlfn._xlws.FILTER($U$2:$AX$2,
   TRANSPOSE(
    CHOOSE({1;2;3;4;5;6;7;8;9;10;11;12;13;14;15;16;17;18;19;20;21;22;23;24;25;26;27;28;29;30},
     COUNTIFS($U$3:$U$201,$M343)&gt;0,
     COUNTIFS($V$3:$V$201,$M343)&gt;0,
     COUNTIFS($W$3:$W$201,$M343)&gt;0,
     COUNTIFS($X$3:$X$201,$M343)&gt;0,
     COUNTIFS($Y$3:$Y$201,$M343)&gt;0,
     COUNTIFS($Z$3:$Z$201,$M343)&gt;0,
     COUNTIFS($AA$3:$AA$201,$M343)&gt;0,
     COUNTIFS($AB$3:$AB$201,$M343)&gt;0,
     COUNTIFS($AC$3:$AC$201,$M343)&gt;0,
     COUNTIFS($AD$3:$AD$201,$M343)&gt;0,
     COUNTIFS($AE$3:$AE$201,$M343)&gt;0,
     COUNTIFS($AF$3:$AF$201,$M343)&gt;0,
     COUNTIFS($AG$3:$AG$201,$M343)&gt;0,
     COUNTIFS($AH$3:$AH$201,$M343)&gt;0,
     COUNTIFS($AI$3:$AI$201,$M343)&gt;0,
     COUNTIFS($AJ$3:$AJ$201,$M343)&gt;0,
     COUNTIFS($AK$3:$AK$201,$M343)&gt;0,
     COUNTIFS($AL$3:$AL$201,$M343)&gt;0,
     COUNTIFS($AM$3:$AM$201,$M343)&gt;0,
     COUNTIFS($AN$3:$AN$201,$M343)&gt;0,
     COUNTIFS($AO$3:$AO$201,$M343)&gt;0,
     COUNTIFS($AP$3:$AP$201,$M343)&gt;0,
     COUNTIFS($AQ$3:$AQ$201,$M343)&gt;0,
     COUNTIFS($AR$3:$AR$201,$M343)&gt;0,
     COUNTIFS($AS$3:$AS$201,$M343)&gt;0,
     COUNTIFS($AT$3:$AT$201,$M343)&gt;0,
     COUNTIFS($AU$3:$AU$201,$M343)&gt;0,
     COUNTIFS($AV$3:$AV$201,$M343)&gt;0,
     COUNTIFS($AW$3:$AW$201,$M343)&gt;0,
     COUNTIFS($AX$3:$AX$201,$M343)&gt;0
   )),
  ),
  3
 ),
"")</f>
        <v/>
      </c>
    </row>
    <row r="344" spans="1:17" x14ac:dyDescent="0.25">
      <c r="A344" t="str">
        <f ca="1"/>
        <v>Rakdos Charm</v>
      </c>
      <c r="B344" s="2" t="str" cm="1">
        <f t="array" aca="1" ref="B344" ca="1">_xlfn.ANCHORARRAY(RESUMO!C343)</f>
        <v>Zuko</v>
      </c>
      <c r="C344" s="2" t="str">
        <f t="shared" ca="1" si="21"/>
        <v/>
      </c>
      <c r="F344" s="2">
        <f t="shared" si="20"/>
        <v>0</v>
      </c>
      <c r="G344" s="2" t="str">
        <f t="shared" ca="1" si="22"/>
        <v/>
      </c>
      <c r="N344" s="2">
        <f t="shared" si="23"/>
        <v>0</v>
      </c>
      <c r="O344" s="2" t="str">
        <f>IFERROR(
 INDEX($U$2:$AX$2,
  MATCH(TRUE,
   CHOOSE({1;2;3;4;5;6;7;8;9;10;11;12;13;14;15;16;17;18;19;20;21;22;23;24;25;26;27;28;29;30;31;32},
    COUNTIFS($U$3:$U$201,$M344)&gt;0,
    COUNTIFS($V$3:$V$201,$M344)&gt;0,
    COUNTIFS($W$3:$W$201,$M344)&gt;0,
    COUNTIFS($X$3:$X$201,$M344)&gt;0,
    COUNTIFS($Y$3:$Y$201,$M344)&gt;0,
    COUNTIFS($Z$3:$Z$201,$M344)&gt;0,
    COUNTIFS($AA$3:$AA$201,$M344)&gt;0,
    COUNTIFS($AB$3:$AB$201,$M344)&gt;0,
    COUNTIFS($AC$3:$AC$201,$M344)&gt;0,
    COUNTIFS($AD$3:$AD$201,$M344)&gt;0,
    COUNTIFS($AE$3:$AE$201,$M344)&gt;0,
    COUNTIFS($AF$3:$AF$201,$M344)&gt;0,
    COUNTIFS($AG$3:$AG$201,$M344)&gt;0,
    COUNTIFS($AH$3:$AH$201,$M344)&gt;0,
    COUNTIFS($AI$3:$AI$201,$M344)&gt;0,
    COUNTIFS($AJ$3:$AJ$201,$M344)&gt;0,
    COUNTIFS($AK$3:$AK$201,$M344)&gt;0,
    COUNTIFS($AL$3:$AL$201,$M344)&gt;0,
    COUNTIFS($AM$3:$AM$201,$M344)&gt;0,
    COUNTIFS($AN$3:$AN$201,$M344)&gt;0,
    COUNTIFS($AO$3:$AO$201,$M344)&gt;0,
    COUNTIFS($AP$3:$AP$201,$M344)&gt;0,
    COUNTIFS($AQ$3:$AQ$201,$M344)&gt;0,
    COUNTIFS($AR$3:$AR$201,$M344)&gt;0,
    COUNTIFS($AS$3:$AS$201,$M344)&gt;0,
    COUNTIFS($AT$3:$AT$201,$M344)&gt;0,
    COUNTIFS($AU$3:$AU$201,$M344)&gt;0,
    COUNTIFS($AV$3:$AV$201,$M344)&gt;0,
    COUNTIFS($AW$3:$AW$201,$M344)&gt;0,
    COUNTIFS($AX$3:$AX$201,$M344)&gt;0
   ),
  0)
 ),
"")</f>
        <v/>
      </c>
      <c r="P344" s="2" t="str" cm="1">
        <f t="array" ref="P344">IFERROR(
 INDEX(
  _xlfn._xlws.FILTER($U$2:$AX$2,
   TRANSPOSE(
    CHOOSE({1;2;3;4;5;6;7;8;9;10;11;12;13;14;15;16;17;18;19;20;21;22;23;24;25;26;27;28;29;30},
     COUNTIFS($U$3:$U$201,$M344)&gt;0,
     COUNTIFS($V$3:$V$201,$M344)&gt;0,
     COUNTIFS($W$3:$W$201,$M344)&gt;0,
     COUNTIFS($X$3:$X$201,$M344)&gt;0,
     COUNTIFS($Y$3:$Y$201,$M344)&gt;0,
     COUNTIFS($Z$3:$Z$201,$M344)&gt;0,
     COUNTIFS($AA$3:$AA$201,$M344)&gt;0,
     COUNTIFS($AB$3:$AB$201,$M344)&gt;0,
     COUNTIFS($AC$3:$AC$201,$M344)&gt;0,
     COUNTIFS($AD$3:$AD$201,$M344)&gt;0,
     COUNTIFS($AE$3:$AE$201,$M344)&gt;0,
     COUNTIFS($AF$3:$AF$201,$M344)&gt;0,
     COUNTIFS($AG$3:$AG$201,$M344)&gt;0,
     COUNTIFS($AH$3:$AH$201,$M344)&gt;0,
     COUNTIFS($AI$3:$AI$201,$M344)&gt;0,
     COUNTIFS($AJ$3:$AJ$201,$M344)&gt;0,
     COUNTIFS($AK$3:$AK$201,$M344)&gt;0,
     COUNTIFS($AL$3:$AL$201,$M344)&gt;0,
     COUNTIFS($AM$3:$AM$201,$M344)&gt;0,
     COUNTIFS($AN$3:$AN$201,$M344)&gt;0,
     COUNTIFS($AO$3:$AO$201,$M344)&gt;0,
     COUNTIFS($AP$3:$AP$201,$M344)&gt;0,
     COUNTIFS($AQ$3:$AQ$201,$M344)&gt;0,
     COUNTIFS($AR$3:$AR$201,$M344)&gt;0,
     COUNTIFS($AS$3:$AS$201,$M344)&gt;0,
     COUNTIFS($AT$3:$AT$201,$M344)&gt;0,
     COUNTIFS($AU$3:$AU$201,$M344)&gt;0,
     COUNTIFS($AV$3:$AV$201,$M344)&gt;0,
     COUNTIFS($AW$3:$AW$201,$M344)&gt;0,
     COUNTIFS($AX$3:$AX$201,$M344)&gt;0
   )),
  ),
  2
 ),
"")</f>
        <v/>
      </c>
      <c r="Q344" s="2" t="str" cm="1">
        <f t="array" ref="Q344">IFERROR(
 INDEX(
  _xlfn._xlws.FILTER($U$2:$AX$2,
   TRANSPOSE(
    CHOOSE({1;2;3;4;5;6;7;8;9;10;11;12;13;14;15;16;17;18;19;20;21;22;23;24;25;26;27;28;29;30},
     COUNTIFS($U$3:$U$201,$M344)&gt;0,
     COUNTIFS($V$3:$V$201,$M344)&gt;0,
     COUNTIFS($W$3:$W$201,$M344)&gt;0,
     COUNTIFS($X$3:$X$201,$M344)&gt;0,
     COUNTIFS($Y$3:$Y$201,$M344)&gt;0,
     COUNTIFS($Z$3:$Z$201,$M344)&gt;0,
     COUNTIFS($AA$3:$AA$201,$M344)&gt;0,
     COUNTIFS($AB$3:$AB$201,$M344)&gt;0,
     COUNTIFS($AC$3:$AC$201,$M344)&gt;0,
     COUNTIFS($AD$3:$AD$201,$M344)&gt;0,
     COUNTIFS($AE$3:$AE$201,$M344)&gt;0,
     COUNTIFS($AF$3:$AF$201,$M344)&gt;0,
     COUNTIFS($AG$3:$AG$201,$M344)&gt;0,
     COUNTIFS($AH$3:$AH$201,$M344)&gt;0,
     COUNTIFS($AI$3:$AI$201,$M344)&gt;0,
     COUNTIFS($AJ$3:$AJ$201,$M344)&gt;0,
     COUNTIFS($AK$3:$AK$201,$M344)&gt;0,
     COUNTIFS($AL$3:$AL$201,$M344)&gt;0,
     COUNTIFS($AM$3:$AM$201,$M344)&gt;0,
     COUNTIFS($AN$3:$AN$201,$M344)&gt;0,
     COUNTIFS($AO$3:$AO$201,$M344)&gt;0,
     COUNTIFS($AP$3:$AP$201,$M344)&gt;0,
     COUNTIFS($AQ$3:$AQ$201,$M344)&gt;0,
     COUNTIFS($AR$3:$AR$201,$M344)&gt;0,
     COUNTIFS($AS$3:$AS$201,$M344)&gt;0,
     COUNTIFS($AT$3:$AT$201,$M344)&gt;0,
     COUNTIFS($AU$3:$AU$201,$M344)&gt;0,
     COUNTIFS($AV$3:$AV$201,$M344)&gt;0,
     COUNTIFS($AW$3:$AW$201,$M344)&gt;0,
     COUNTIFS($AX$3:$AX$201,$M344)&gt;0
   )),
  ),
  3
 ),
"")</f>
        <v/>
      </c>
    </row>
    <row r="345" spans="1:17" x14ac:dyDescent="0.25">
      <c r="A345" t="str">
        <f ca="1"/>
        <v>Rampant Growth</v>
      </c>
      <c r="B345" s="2" t="str" cm="1">
        <f t="array" aca="1" ref="B345" ca="1">_xlfn.ANCHORARRAY(RESUMO!C344)</f>
        <v>4cRash</v>
      </c>
      <c r="C345" s="2" t="str">
        <f t="shared" ca="1" si="21"/>
        <v/>
      </c>
      <c r="F345" s="2">
        <f t="shared" si="20"/>
        <v>0</v>
      </c>
      <c r="G345" s="2" t="str">
        <f t="shared" ca="1" si="22"/>
        <v/>
      </c>
      <c r="N345" s="2">
        <f t="shared" si="23"/>
        <v>0</v>
      </c>
      <c r="O345" s="2" t="str">
        <f>IFERROR(
 INDEX($U$2:$AX$2,
  MATCH(TRUE,
   CHOOSE({1;2;3;4;5;6;7;8;9;10;11;12;13;14;15;16;17;18;19;20;21;22;23;24;25;26;27;28;29;30;31;32},
    COUNTIFS($U$3:$U$201,$M345)&gt;0,
    COUNTIFS($V$3:$V$201,$M345)&gt;0,
    COUNTIFS($W$3:$W$201,$M345)&gt;0,
    COUNTIFS($X$3:$X$201,$M345)&gt;0,
    COUNTIFS($Y$3:$Y$201,$M345)&gt;0,
    COUNTIFS($Z$3:$Z$201,$M345)&gt;0,
    COUNTIFS($AA$3:$AA$201,$M345)&gt;0,
    COUNTIFS($AB$3:$AB$201,$M345)&gt;0,
    COUNTIFS($AC$3:$AC$201,$M345)&gt;0,
    COUNTIFS($AD$3:$AD$201,$M345)&gt;0,
    COUNTIFS($AE$3:$AE$201,$M345)&gt;0,
    COUNTIFS($AF$3:$AF$201,$M345)&gt;0,
    COUNTIFS($AG$3:$AG$201,$M345)&gt;0,
    COUNTIFS($AH$3:$AH$201,$M345)&gt;0,
    COUNTIFS($AI$3:$AI$201,$M345)&gt;0,
    COUNTIFS($AJ$3:$AJ$201,$M345)&gt;0,
    COUNTIFS($AK$3:$AK$201,$M345)&gt;0,
    COUNTIFS($AL$3:$AL$201,$M345)&gt;0,
    COUNTIFS($AM$3:$AM$201,$M345)&gt;0,
    COUNTIFS($AN$3:$AN$201,$M345)&gt;0,
    COUNTIFS($AO$3:$AO$201,$M345)&gt;0,
    COUNTIFS($AP$3:$AP$201,$M345)&gt;0,
    COUNTIFS($AQ$3:$AQ$201,$M345)&gt;0,
    COUNTIFS($AR$3:$AR$201,$M345)&gt;0,
    COUNTIFS($AS$3:$AS$201,$M345)&gt;0,
    COUNTIFS($AT$3:$AT$201,$M345)&gt;0,
    COUNTIFS($AU$3:$AU$201,$M345)&gt;0,
    COUNTIFS($AV$3:$AV$201,$M345)&gt;0,
    COUNTIFS($AW$3:$AW$201,$M345)&gt;0,
    COUNTIFS($AX$3:$AX$201,$M345)&gt;0
   ),
  0)
 ),
"")</f>
        <v/>
      </c>
      <c r="P345" s="2" t="str" cm="1">
        <f t="array" ref="P345">IFERROR(
 INDEX(
  _xlfn._xlws.FILTER($U$2:$AX$2,
   TRANSPOSE(
    CHOOSE({1;2;3;4;5;6;7;8;9;10;11;12;13;14;15;16;17;18;19;20;21;22;23;24;25;26;27;28;29;30},
     COUNTIFS($U$3:$U$201,$M345)&gt;0,
     COUNTIFS($V$3:$V$201,$M345)&gt;0,
     COUNTIFS($W$3:$W$201,$M345)&gt;0,
     COUNTIFS($X$3:$X$201,$M345)&gt;0,
     COUNTIFS($Y$3:$Y$201,$M345)&gt;0,
     COUNTIFS($Z$3:$Z$201,$M345)&gt;0,
     COUNTIFS($AA$3:$AA$201,$M345)&gt;0,
     COUNTIFS($AB$3:$AB$201,$M345)&gt;0,
     COUNTIFS($AC$3:$AC$201,$M345)&gt;0,
     COUNTIFS($AD$3:$AD$201,$M345)&gt;0,
     COUNTIFS($AE$3:$AE$201,$M345)&gt;0,
     COUNTIFS($AF$3:$AF$201,$M345)&gt;0,
     COUNTIFS($AG$3:$AG$201,$M345)&gt;0,
     COUNTIFS($AH$3:$AH$201,$M345)&gt;0,
     COUNTIFS($AI$3:$AI$201,$M345)&gt;0,
     COUNTIFS($AJ$3:$AJ$201,$M345)&gt;0,
     COUNTIFS($AK$3:$AK$201,$M345)&gt;0,
     COUNTIFS($AL$3:$AL$201,$M345)&gt;0,
     COUNTIFS($AM$3:$AM$201,$M345)&gt;0,
     COUNTIFS($AN$3:$AN$201,$M345)&gt;0,
     COUNTIFS($AO$3:$AO$201,$M345)&gt;0,
     COUNTIFS($AP$3:$AP$201,$M345)&gt;0,
     COUNTIFS($AQ$3:$AQ$201,$M345)&gt;0,
     COUNTIFS($AR$3:$AR$201,$M345)&gt;0,
     COUNTIFS($AS$3:$AS$201,$M345)&gt;0,
     COUNTIFS($AT$3:$AT$201,$M345)&gt;0,
     COUNTIFS($AU$3:$AU$201,$M345)&gt;0,
     COUNTIFS($AV$3:$AV$201,$M345)&gt;0,
     COUNTIFS($AW$3:$AW$201,$M345)&gt;0,
     COUNTIFS($AX$3:$AX$201,$M345)&gt;0
   )),
  ),
  2
 ),
"")</f>
        <v/>
      </c>
      <c r="Q345" s="2" t="str" cm="1">
        <f t="array" ref="Q345">IFERROR(
 INDEX(
  _xlfn._xlws.FILTER($U$2:$AX$2,
   TRANSPOSE(
    CHOOSE({1;2;3;4;5;6;7;8;9;10;11;12;13;14;15;16;17;18;19;20;21;22;23;24;25;26;27;28;29;30},
     COUNTIFS($U$3:$U$201,$M345)&gt;0,
     COUNTIFS($V$3:$V$201,$M345)&gt;0,
     COUNTIFS($W$3:$W$201,$M345)&gt;0,
     COUNTIFS($X$3:$X$201,$M345)&gt;0,
     COUNTIFS($Y$3:$Y$201,$M345)&gt;0,
     COUNTIFS($Z$3:$Z$201,$M345)&gt;0,
     COUNTIFS($AA$3:$AA$201,$M345)&gt;0,
     COUNTIFS($AB$3:$AB$201,$M345)&gt;0,
     COUNTIFS($AC$3:$AC$201,$M345)&gt;0,
     COUNTIFS($AD$3:$AD$201,$M345)&gt;0,
     COUNTIFS($AE$3:$AE$201,$M345)&gt;0,
     COUNTIFS($AF$3:$AF$201,$M345)&gt;0,
     COUNTIFS($AG$3:$AG$201,$M345)&gt;0,
     COUNTIFS($AH$3:$AH$201,$M345)&gt;0,
     COUNTIFS($AI$3:$AI$201,$M345)&gt;0,
     COUNTIFS($AJ$3:$AJ$201,$M345)&gt;0,
     COUNTIFS($AK$3:$AK$201,$M345)&gt;0,
     COUNTIFS($AL$3:$AL$201,$M345)&gt;0,
     COUNTIFS($AM$3:$AM$201,$M345)&gt;0,
     COUNTIFS($AN$3:$AN$201,$M345)&gt;0,
     COUNTIFS($AO$3:$AO$201,$M345)&gt;0,
     COUNTIFS($AP$3:$AP$201,$M345)&gt;0,
     COUNTIFS($AQ$3:$AQ$201,$M345)&gt;0,
     COUNTIFS($AR$3:$AR$201,$M345)&gt;0,
     COUNTIFS($AS$3:$AS$201,$M345)&gt;0,
     COUNTIFS($AT$3:$AT$201,$M345)&gt;0,
     COUNTIFS($AU$3:$AU$201,$M345)&gt;0,
     COUNTIFS($AV$3:$AV$201,$M345)&gt;0,
     COUNTIFS($AW$3:$AW$201,$M345)&gt;0,
     COUNTIFS($AX$3:$AX$201,$M345)&gt;0
   )),
  ),
  3
 ),
"")</f>
        <v/>
      </c>
    </row>
    <row r="346" spans="1:17" x14ac:dyDescent="0.25">
      <c r="A346" t="str">
        <f ca="1"/>
        <v>Rashmi, Eternities Crafter</v>
      </c>
      <c r="B346" s="2" t="str" cm="1">
        <f t="array" aca="1" ref="B346" ca="1">_xlfn.ANCHORARRAY(RESUMO!C345)</f>
        <v>4cRash</v>
      </c>
      <c r="C346" s="2" t="str">
        <f t="shared" ca="1" si="21"/>
        <v/>
      </c>
      <c r="F346" s="2">
        <f t="shared" si="20"/>
        <v>0</v>
      </c>
      <c r="G346" s="2" t="str">
        <f t="shared" ca="1" si="22"/>
        <v/>
      </c>
      <c r="N346" s="2">
        <f t="shared" si="23"/>
        <v>0</v>
      </c>
      <c r="O346" s="2" t="str">
        <f>IFERROR(
 INDEX($U$2:$AX$2,
  MATCH(TRUE,
   CHOOSE({1;2;3;4;5;6;7;8;9;10;11;12;13;14;15;16;17;18;19;20;21;22;23;24;25;26;27;28;29;30;31;32},
    COUNTIFS($U$3:$U$201,$M346)&gt;0,
    COUNTIFS($V$3:$V$201,$M346)&gt;0,
    COUNTIFS($W$3:$W$201,$M346)&gt;0,
    COUNTIFS($X$3:$X$201,$M346)&gt;0,
    COUNTIFS($Y$3:$Y$201,$M346)&gt;0,
    COUNTIFS($Z$3:$Z$201,$M346)&gt;0,
    COUNTIFS($AA$3:$AA$201,$M346)&gt;0,
    COUNTIFS($AB$3:$AB$201,$M346)&gt;0,
    COUNTIFS($AC$3:$AC$201,$M346)&gt;0,
    COUNTIFS($AD$3:$AD$201,$M346)&gt;0,
    COUNTIFS($AE$3:$AE$201,$M346)&gt;0,
    COUNTIFS($AF$3:$AF$201,$M346)&gt;0,
    COUNTIFS($AG$3:$AG$201,$M346)&gt;0,
    COUNTIFS($AH$3:$AH$201,$M346)&gt;0,
    COUNTIFS($AI$3:$AI$201,$M346)&gt;0,
    COUNTIFS($AJ$3:$AJ$201,$M346)&gt;0,
    COUNTIFS($AK$3:$AK$201,$M346)&gt;0,
    COUNTIFS($AL$3:$AL$201,$M346)&gt;0,
    COUNTIFS($AM$3:$AM$201,$M346)&gt;0,
    COUNTIFS($AN$3:$AN$201,$M346)&gt;0,
    COUNTIFS($AO$3:$AO$201,$M346)&gt;0,
    COUNTIFS($AP$3:$AP$201,$M346)&gt;0,
    COUNTIFS($AQ$3:$AQ$201,$M346)&gt;0,
    COUNTIFS($AR$3:$AR$201,$M346)&gt;0,
    COUNTIFS($AS$3:$AS$201,$M346)&gt;0,
    COUNTIFS($AT$3:$AT$201,$M346)&gt;0,
    COUNTIFS($AU$3:$AU$201,$M346)&gt;0,
    COUNTIFS($AV$3:$AV$201,$M346)&gt;0,
    COUNTIFS($AW$3:$AW$201,$M346)&gt;0,
    COUNTIFS($AX$3:$AX$201,$M346)&gt;0
   ),
  0)
 ),
"")</f>
        <v/>
      </c>
      <c r="P346" s="2" t="str" cm="1">
        <f t="array" ref="P346">IFERROR(
 INDEX(
  _xlfn._xlws.FILTER($U$2:$AX$2,
   TRANSPOSE(
    CHOOSE({1;2;3;4;5;6;7;8;9;10;11;12;13;14;15;16;17;18;19;20;21;22;23;24;25;26;27;28;29;30},
     COUNTIFS($U$3:$U$201,$M346)&gt;0,
     COUNTIFS($V$3:$V$201,$M346)&gt;0,
     COUNTIFS($W$3:$W$201,$M346)&gt;0,
     COUNTIFS($X$3:$X$201,$M346)&gt;0,
     COUNTIFS($Y$3:$Y$201,$M346)&gt;0,
     COUNTIFS($Z$3:$Z$201,$M346)&gt;0,
     COUNTIFS($AA$3:$AA$201,$M346)&gt;0,
     COUNTIFS($AB$3:$AB$201,$M346)&gt;0,
     COUNTIFS($AC$3:$AC$201,$M346)&gt;0,
     COUNTIFS($AD$3:$AD$201,$M346)&gt;0,
     COUNTIFS($AE$3:$AE$201,$M346)&gt;0,
     COUNTIFS($AF$3:$AF$201,$M346)&gt;0,
     COUNTIFS($AG$3:$AG$201,$M346)&gt;0,
     COUNTIFS($AH$3:$AH$201,$M346)&gt;0,
     COUNTIFS($AI$3:$AI$201,$M346)&gt;0,
     COUNTIFS($AJ$3:$AJ$201,$M346)&gt;0,
     COUNTIFS($AK$3:$AK$201,$M346)&gt;0,
     COUNTIFS($AL$3:$AL$201,$M346)&gt;0,
     COUNTIFS($AM$3:$AM$201,$M346)&gt;0,
     COUNTIFS($AN$3:$AN$201,$M346)&gt;0,
     COUNTIFS($AO$3:$AO$201,$M346)&gt;0,
     COUNTIFS($AP$3:$AP$201,$M346)&gt;0,
     COUNTIFS($AQ$3:$AQ$201,$M346)&gt;0,
     COUNTIFS($AR$3:$AR$201,$M346)&gt;0,
     COUNTIFS($AS$3:$AS$201,$M346)&gt;0,
     COUNTIFS($AT$3:$AT$201,$M346)&gt;0,
     COUNTIFS($AU$3:$AU$201,$M346)&gt;0,
     COUNTIFS($AV$3:$AV$201,$M346)&gt;0,
     COUNTIFS($AW$3:$AW$201,$M346)&gt;0,
     COUNTIFS($AX$3:$AX$201,$M346)&gt;0
   )),
  ),
  2
 ),
"")</f>
        <v/>
      </c>
      <c r="Q346" s="2" t="str" cm="1">
        <f t="array" ref="Q346">IFERROR(
 INDEX(
  _xlfn._xlws.FILTER($U$2:$AX$2,
   TRANSPOSE(
    CHOOSE({1;2;3;4;5;6;7;8;9;10;11;12;13;14;15;16;17;18;19;20;21;22;23;24;25;26;27;28;29;30},
     COUNTIFS($U$3:$U$201,$M346)&gt;0,
     COUNTIFS($V$3:$V$201,$M346)&gt;0,
     COUNTIFS($W$3:$W$201,$M346)&gt;0,
     COUNTIFS($X$3:$X$201,$M346)&gt;0,
     COUNTIFS($Y$3:$Y$201,$M346)&gt;0,
     COUNTIFS($Z$3:$Z$201,$M346)&gt;0,
     COUNTIFS($AA$3:$AA$201,$M346)&gt;0,
     COUNTIFS($AB$3:$AB$201,$M346)&gt;0,
     COUNTIFS($AC$3:$AC$201,$M346)&gt;0,
     COUNTIFS($AD$3:$AD$201,$M346)&gt;0,
     COUNTIFS($AE$3:$AE$201,$M346)&gt;0,
     COUNTIFS($AF$3:$AF$201,$M346)&gt;0,
     COUNTIFS($AG$3:$AG$201,$M346)&gt;0,
     COUNTIFS($AH$3:$AH$201,$M346)&gt;0,
     COUNTIFS($AI$3:$AI$201,$M346)&gt;0,
     COUNTIFS($AJ$3:$AJ$201,$M346)&gt;0,
     COUNTIFS($AK$3:$AK$201,$M346)&gt;0,
     COUNTIFS($AL$3:$AL$201,$M346)&gt;0,
     COUNTIFS($AM$3:$AM$201,$M346)&gt;0,
     COUNTIFS($AN$3:$AN$201,$M346)&gt;0,
     COUNTIFS($AO$3:$AO$201,$M346)&gt;0,
     COUNTIFS($AP$3:$AP$201,$M346)&gt;0,
     COUNTIFS($AQ$3:$AQ$201,$M346)&gt;0,
     COUNTIFS($AR$3:$AR$201,$M346)&gt;0,
     COUNTIFS($AS$3:$AS$201,$M346)&gt;0,
     COUNTIFS($AT$3:$AT$201,$M346)&gt;0,
     COUNTIFS($AU$3:$AU$201,$M346)&gt;0,
     COUNTIFS($AV$3:$AV$201,$M346)&gt;0,
     COUNTIFS($AW$3:$AW$201,$M346)&gt;0,
     COUNTIFS($AX$3:$AX$201,$M346)&gt;0
   )),
  ),
  3
 ),
"")</f>
        <v/>
      </c>
    </row>
    <row r="347" spans="1:17" x14ac:dyDescent="0.25">
      <c r="A347" t="str">
        <f ca="1"/>
        <v>Raugrin Triome</v>
      </c>
      <c r="B347" s="2" t="str" cm="1">
        <f t="array" aca="1" ref="B347" ca="1">_xlfn.ANCHORARRAY(RESUMO!C346)</f>
        <v>Fractius</v>
      </c>
      <c r="C347" s="2" t="str">
        <f t="shared" ca="1" si="21"/>
        <v/>
      </c>
      <c r="F347" s="2">
        <f t="shared" si="20"/>
        <v>0</v>
      </c>
      <c r="G347" s="2" t="str">
        <f t="shared" ca="1" si="22"/>
        <v/>
      </c>
      <c r="N347" s="2">
        <f t="shared" si="23"/>
        <v>0</v>
      </c>
      <c r="O347" s="2" t="str">
        <f>IFERROR(
 INDEX($U$2:$AX$2,
  MATCH(TRUE,
   CHOOSE({1;2;3;4;5;6;7;8;9;10;11;12;13;14;15;16;17;18;19;20;21;22;23;24;25;26;27;28;29;30;31;32},
    COUNTIFS($U$3:$U$201,$M347)&gt;0,
    COUNTIFS($V$3:$V$201,$M347)&gt;0,
    COUNTIFS($W$3:$W$201,$M347)&gt;0,
    COUNTIFS($X$3:$X$201,$M347)&gt;0,
    COUNTIFS($Y$3:$Y$201,$M347)&gt;0,
    COUNTIFS($Z$3:$Z$201,$M347)&gt;0,
    COUNTIFS($AA$3:$AA$201,$M347)&gt;0,
    COUNTIFS($AB$3:$AB$201,$M347)&gt;0,
    COUNTIFS($AC$3:$AC$201,$M347)&gt;0,
    COUNTIFS($AD$3:$AD$201,$M347)&gt;0,
    COUNTIFS($AE$3:$AE$201,$M347)&gt;0,
    COUNTIFS($AF$3:$AF$201,$M347)&gt;0,
    COUNTIFS($AG$3:$AG$201,$M347)&gt;0,
    COUNTIFS($AH$3:$AH$201,$M347)&gt;0,
    COUNTIFS($AI$3:$AI$201,$M347)&gt;0,
    COUNTIFS($AJ$3:$AJ$201,$M347)&gt;0,
    COUNTIFS($AK$3:$AK$201,$M347)&gt;0,
    COUNTIFS($AL$3:$AL$201,$M347)&gt;0,
    COUNTIFS($AM$3:$AM$201,$M347)&gt;0,
    COUNTIFS($AN$3:$AN$201,$M347)&gt;0,
    COUNTIFS($AO$3:$AO$201,$M347)&gt;0,
    COUNTIFS($AP$3:$AP$201,$M347)&gt;0,
    COUNTIFS($AQ$3:$AQ$201,$M347)&gt;0,
    COUNTIFS($AR$3:$AR$201,$M347)&gt;0,
    COUNTIFS($AS$3:$AS$201,$M347)&gt;0,
    COUNTIFS($AT$3:$AT$201,$M347)&gt;0,
    COUNTIFS($AU$3:$AU$201,$M347)&gt;0,
    COUNTIFS($AV$3:$AV$201,$M347)&gt;0,
    COUNTIFS($AW$3:$AW$201,$M347)&gt;0,
    COUNTIFS($AX$3:$AX$201,$M347)&gt;0
   ),
  0)
 ),
"")</f>
        <v/>
      </c>
      <c r="P347" s="2" t="str" cm="1">
        <f t="array" ref="P347">IFERROR(
 INDEX(
  _xlfn._xlws.FILTER($U$2:$AX$2,
   TRANSPOSE(
    CHOOSE({1;2;3;4;5;6;7;8;9;10;11;12;13;14;15;16;17;18;19;20;21;22;23;24;25;26;27;28;29;30},
     COUNTIFS($U$3:$U$201,$M347)&gt;0,
     COUNTIFS($V$3:$V$201,$M347)&gt;0,
     COUNTIFS($W$3:$W$201,$M347)&gt;0,
     COUNTIFS($X$3:$X$201,$M347)&gt;0,
     COUNTIFS($Y$3:$Y$201,$M347)&gt;0,
     COUNTIFS($Z$3:$Z$201,$M347)&gt;0,
     COUNTIFS($AA$3:$AA$201,$M347)&gt;0,
     COUNTIFS($AB$3:$AB$201,$M347)&gt;0,
     COUNTIFS($AC$3:$AC$201,$M347)&gt;0,
     COUNTIFS($AD$3:$AD$201,$M347)&gt;0,
     COUNTIFS($AE$3:$AE$201,$M347)&gt;0,
     COUNTIFS($AF$3:$AF$201,$M347)&gt;0,
     COUNTIFS($AG$3:$AG$201,$M347)&gt;0,
     COUNTIFS($AH$3:$AH$201,$M347)&gt;0,
     COUNTIFS($AI$3:$AI$201,$M347)&gt;0,
     COUNTIFS($AJ$3:$AJ$201,$M347)&gt;0,
     COUNTIFS($AK$3:$AK$201,$M347)&gt;0,
     COUNTIFS($AL$3:$AL$201,$M347)&gt;0,
     COUNTIFS($AM$3:$AM$201,$M347)&gt;0,
     COUNTIFS($AN$3:$AN$201,$M347)&gt;0,
     COUNTIFS($AO$3:$AO$201,$M347)&gt;0,
     COUNTIFS($AP$3:$AP$201,$M347)&gt;0,
     COUNTIFS($AQ$3:$AQ$201,$M347)&gt;0,
     COUNTIFS($AR$3:$AR$201,$M347)&gt;0,
     COUNTIFS($AS$3:$AS$201,$M347)&gt;0,
     COUNTIFS($AT$3:$AT$201,$M347)&gt;0,
     COUNTIFS($AU$3:$AU$201,$M347)&gt;0,
     COUNTIFS($AV$3:$AV$201,$M347)&gt;0,
     COUNTIFS($AW$3:$AW$201,$M347)&gt;0,
     COUNTIFS($AX$3:$AX$201,$M347)&gt;0
   )),
  ),
  2
 ),
"")</f>
        <v/>
      </c>
      <c r="Q347" s="2" t="str" cm="1">
        <f t="array" ref="Q347">IFERROR(
 INDEX(
  _xlfn._xlws.FILTER($U$2:$AX$2,
   TRANSPOSE(
    CHOOSE({1;2;3;4;5;6;7;8;9;10;11;12;13;14;15;16;17;18;19;20;21;22;23;24;25;26;27;28;29;30},
     COUNTIFS($U$3:$U$201,$M347)&gt;0,
     COUNTIFS($V$3:$V$201,$M347)&gt;0,
     COUNTIFS($W$3:$W$201,$M347)&gt;0,
     COUNTIFS($X$3:$X$201,$M347)&gt;0,
     COUNTIFS($Y$3:$Y$201,$M347)&gt;0,
     COUNTIFS($Z$3:$Z$201,$M347)&gt;0,
     COUNTIFS($AA$3:$AA$201,$M347)&gt;0,
     COUNTIFS($AB$3:$AB$201,$M347)&gt;0,
     COUNTIFS($AC$3:$AC$201,$M347)&gt;0,
     COUNTIFS($AD$3:$AD$201,$M347)&gt;0,
     COUNTIFS($AE$3:$AE$201,$M347)&gt;0,
     COUNTIFS($AF$3:$AF$201,$M347)&gt;0,
     COUNTIFS($AG$3:$AG$201,$M347)&gt;0,
     COUNTIFS($AH$3:$AH$201,$M347)&gt;0,
     COUNTIFS($AI$3:$AI$201,$M347)&gt;0,
     COUNTIFS($AJ$3:$AJ$201,$M347)&gt;0,
     COUNTIFS($AK$3:$AK$201,$M347)&gt;0,
     COUNTIFS($AL$3:$AL$201,$M347)&gt;0,
     COUNTIFS($AM$3:$AM$201,$M347)&gt;0,
     COUNTIFS($AN$3:$AN$201,$M347)&gt;0,
     COUNTIFS($AO$3:$AO$201,$M347)&gt;0,
     COUNTIFS($AP$3:$AP$201,$M347)&gt;0,
     COUNTIFS($AQ$3:$AQ$201,$M347)&gt;0,
     COUNTIFS($AR$3:$AR$201,$M347)&gt;0,
     COUNTIFS($AS$3:$AS$201,$M347)&gt;0,
     COUNTIFS($AT$3:$AT$201,$M347)&gt;0,
     COUNTIFS($AU$3:$AU$201,$M347)&gt;0,
     COUNTIFS($AV$3:$AV$201,$M347)&gt;0,
     COUNTIFS($AW$3:$AW$201,$M347)&gt;0,
     COUNTIFS($AX$3:$AX$201,$M347)&gt;0
   )),
  ),
  3
 ),
"")</f>
        <v/>
      </c>
    </row>
    <row r="348" spans="1:17" x14ac:dyDescent="0.25">
      <c r="A348" t="str">
        <f ca="1"/>
        <v>Raven Eagle</v>
      </c>
      <c r="B348" s="2" t="str" cm="1">
        <f t="array" aca="1" ref="B348" ca="1">_xlfn.ANCHORARRAY(RESUMO!C347)</f>
        <v>Rani</v>
      </c>
      <c r="C348" s="2" t="str">
        <f t="shared" ca="1" si="21"/>
        <v/>
      </c>
      <c r="F348" s="2">
        <f t="shared" si="20"/>
        <v>0</v>
      </c>
      <c r="G348" s="2" t="str">
        <f t="shared" ca="1" si="22"/>
        <v/>
      </c>
      <c r="N348" s="2">
        <f t="shared" si="23"/>
        <v>0</v>
      </c>
      <c r="O348" s="2" t="str">
        <f>IFERROR(
 INDEX($U$2:$AX$2,
  MATCH(TRUE,
   CHOOSE({1;2;3;4;5;6;7;8;9;10;11;12;13;14;15;16;17;18;19;20;21;22;23;24;25;26;27;28;29;30;31;32},
    COUNTIFS($U$3:$U$201,$M348)&gt;0,
    COUNTIFS($V$3:$V$201,$M348)&gt;0,
    COUNTIFS($W$3:$W$201,$M348)&gt;0,
    COUNTIFS($X$3:$X$201,$M348)&gt;0,
    COUNTIFS($Y$3:$Y$201,$M348)&gt;0,
    COUNTIFS($Z$3:$Z$201,$M348)&gt;0,
    COUNTIFS($AA$3:$AA$201,$M348)&gt;0,
    COUNTIFS($AB$3:$AB$201,$M348)&gt;0,
    COUNTIFS($AC$3:$AC$201,$M348)&gt;0,
    COUNTIFS($AD$3:$AD$201,$M348)&gt;0,
    COUNTIFS($AE$3:$AE$201,$M348)&gt;0,
    COUNTIFS($AF$3:$AF$201,$M348)&gt;0,
    COUNTIFS($AG$3:$AG$201,$M348)&gt;0,
    COUNTIFS($AH$3:$AH$201,$M348)&gt;0,
    COUNTIFS($AI$3:$AI$201,$M348)&gt;0,
    COUNTIFS($AJ$3:$AJ$201,$M348)&gt;0,
    COUNTIFS($AK$3:$AK$201,$M348)&gt;0,
    COUNTIFS($AL$3:$AL$201,$M348)&gt;0,
    COUNTIFS($AM$3:$AM$201,$M348)&gt;0,
    COUNTIFS($AN$3:$AN$201,$M348)&gt;0,
    COUNTIFS($AO$3:$AO$201,$M348)&gt;0,
    COUNTIFS($AP$3:$AP$201,$M348)&gt;0,
    COUNTIFS($AQ$3:$AQ$201,$M348)&gt;0,
    COUNTIFS($AR$3:$AR$201,$M348)&gt;0,
    COUNTIFS($AS$3:$AS$201,$M348)&gt;0,
    COUNTIFS($AT$3:$AT$201,$M348)&gt;0,
    COUNTIFS($AU$3:$AU$201,$M348)&gt;0,
    COUNTIFS($AV$3:$AV$201,$M348)&gt;0,
    COUNTIFS($AW$3:$AW$201,$M348)&gt;0,
    COUNTIFS($AX$3:$AX$201,$M348)&gt;0
   ),
  0)
 ),
"")</f>
        <v/>
      </c>
      <c r="P348" s="2" t="str" cm="1">
        <f t="array" ref="P348">IFERROR(
 INDEX(
  _xlfn._xlws.FILTER($U$2:$AX$2,
   TRANSPOSE(
    CHOOSE({1;2;3;4;5;6;7;8;9;10;11;12;13;14;15;16;17;18;19;20;21;22;23;24;25;26;27;28;29;30},
     COUNTIFS($U$3:$U$201,$M348)&gt;0,
     COUNTIFS($V$3:$V$201,$M348)&gt;0,
     COUNTIFS($W$3:$W$201,$M348)&gt;0,
     COUNTIFS($X$3:$X$201,$M348)&gt;0,
     COUNTIFS($Y$3:$Y$201,$M348)&gt;0,
     COUNTIFS($Z$3:$Z$201,$M348)&gt;0,
     COUNTIFS($AA$3:$AA$201,$M348)&gt;0,
     COUNTIFS($AB$3:$AB$201,$M348)&gt;0,
     COUNTIFS($AC$3:$AC$201,$M348)&gt;0,
     COUNTIFS($AD$3:$AD$201,$M348)&gt;0,
     COUNTIFS($AE$3:$AE$201,$M348)&gt;0,
     COUNTIFS($AF$3:$AF$201,$M348)&gt;0,
     COUNTIFS($AG$3:$AG$201,$M348)&gt;0,
     COUNTIFS($AH$3:$AH$201,$M348)&gt;0,
     COUNTIFS($AI$3:$AI$201,$M348)&gt;0,
     COUNTIFS($AJ$3:$AJ$201,$M348)&gt;0,
     COUNTIFS($AK$3:$AK$201,$M348)&gt;0,
     COUNTIFS($AL$3:$AL$201,$M348)&gt;0,
     COUNTIFS($AM$3:$AM$201,$M348)&gt;0,
     COUNTIFS($AN$3:$AN$201,$M348)&gt;0,
     COUNTIFS($AO$3:$AO$201,$M348)&gt;0,
     COUNTIFS($AP$3:$AP$201,$M348)&gt;0,
     COUNTIFS($AQ$3:$AQ$201,$M348)&gt;0,
     COUNTIFS($AR$3:$AR$201,$M348)&gt;0,
     COUNTIFS($AS$3:$AS$201,$M348)&gt;0,
     COUNTIFS($AT$3:$AT$201,$M348)&gt;0,
     COUNTIFS($AU$3:$AU$201,$M348)&gt;0,
     COUNTIFS($AV$3:$AV$201,$M348)&gt;0,
     COUNTIFS($AW$3:$AW$201,$M348)&gt;0,
     COUNTIFS($AX$3:$AX$201,$M348)&gt;0
   )),
  ),
  2
 ),
"")</f>
        <v/>
      </c>
      <c r="Q348" s="2" t="str" cm="1">
        <f t="array" ref="Q348">IFERROR(
 INDEX(
  _xlfn._xlws.FILTER($U$2:$AX$2,
   TRANSPOSE(
    CHOOSE({1;2;3;4;5;6;7;8;9;10;11;12;13;14;15;16;17;18;19;20;21;22;23;24;25;26;27;28;29;30},
     COUNTIFS($U$3:$U$201,$M348)&gt;0,
     COUNTIFS($V$3:$V$201,$M348)&gt;0,
     COUNTIFS($W$3:$W$201,$M348)&gt;0,
     COUNTIFS($X$3:$X$201,$M348)&gt;0,
     COUNTIFS($Y$3:$Y$201,$M348)&gt;0,
     COUNTIFS($Z$3:$Z$201,$M348)&gt;0,
     COUNTIFS($AA$3:$AA$201,$M348)&gt;0,
     COUNTIFS($AB$3:$AB$201,$M348)&gt;0,
     COUNTIFS($AC$3:$AC$201,$M348)&gt;0,
     COUNTIFS($AD$3:$AD$201,$M348)&gt;0,
     COUNTIFS($AE$3:$AE$201,$M348)&gt;0,
     COUNTIFS($AF$3:$AF$201,$M348)&gt;0,
     COUNTIFS($AG$3:$AG$201,$M348)&gt;0,
     COUNTIFS($AH$3:$AH$201,$M348)&gt;0,
     COUNTIFS($AI$3:$AI$201,$M348)&gt;0,
     COUNTIFS($AJ$3:$AJ$201,$M348)&gt;0,
     COUNTIFS($AK$3:$AK$201,$M348)&gt;0,
     COUNTIFS($AL$3:$AL$201,$M348)&gt;0,
     COUNTIFS($AM$3:$AM$201,$M348)&gt;0,
     COUNTIFS($AN$3:$AN$201,$M348)&gt;0,
     COUNTIFS($AO$3:$AO$201,$M348)&gt;0,
     COUNTIFS($AP$3:$AP$201,$M348)&gt;0,
     COUNTIFS($AQ$3:$AQ$201,$M348)&gt;0,
     COUNTIFS($AR$3:$AR$201,$M348)&gt;0,
     COUNTIFS($AS$3:$AS$201,$M348)&gt;0,
     COUNTIFS($AT$3:$AT$201,$M348)&gt;0,
     COUNTIFS($AU$3:$AU$201,$M348)&gt;0,
     COUNTIFS($AV$3:$AV$201,$M348)&gt;0,
     COUNTIFS($AW$3:$AW$201,$M348)&gt;0,
     COUNTIFS($AX$3:$AX$201,$M348)&gt;0
   )),
  ),
  3
 ),
"")</f>
        <v/>
      </c>
    </row>
    <row r="349" spans="1:17" x14ac:dyDescent="0.25">
      <c r="A349" t="str">
        <f ca="1"/>
        <v>Reality Shift</v>
      </c>
      <c r="B349" s="2" t="str" cm="1">
        <f t="array" aca="1" ref="B349" ca="1">_xlfn.ANCHORARRAY(RESUMO!C348)</f>
        <v>4cRash</v>
      </c>
      <c r="C349" s="2" t="str">
        <f t="shared" ca="1" si="21"/>
        <v/>
      </c>
      <c r="F349" s="2">
        <f t="shared" ref="F349:F412" si="24">COUNTIF(U:CF,E349)+COUNTIF(K:K,E349)</f>
        <v>0</v>
      </c>
      <c r="G349" s="2" t="str">
        <f t="shared" ca="1" si="22"/>
        <v/>
      </c>
      <c r="N349" s="2">
        <f t="shared" si="23"/>
        <v>0</v>
      </c>
      <c r="O349" s="2" t="str">
        <f>IFERROR(
 INDEX($U$2:$AX$2,
  MATCH(TRUE,
   CHOOSE({1;2;3;4;5;6;7;8;9;10;11;12;13;14;15;16;17;18;19;20;21;22;23;24;25;26;27;28;29;30;31;32},
    COUNTIFS($U$3:$U$201,$M349)&gt;0,
    COUNTIFS($V$3:$V$201,$M349)&gt;0,
    COUNTIFS($W$3:$W$201,$M349)&gt;0,
    COUNTIFS($X$3:$X$201,$M349)&gt;0,
    COUNTIFS($Y$3:$Y$201,$M349)&gt;0,
    COUNTIFS($Z$3:$Z$201,$M349)&gt;0,
    COUNTIFS($AA$3:$AA$201,$M349)&gt;0,
    COUNTIFS($AB$3:$AB$201,$M349)&gt;0,
    COUNTIFS($AC$3:$AC$201,$M349)&gt;0,
    COUNTIFS($AD$3:$AD$201,$M349)&gt;0,
    COUNTIFS($AE$3:$AE$201,$M349)&gt;0,
    COUNTIFS($AF$3:$AF$201,$M349)&gt;0,
    COUNTIFS($AG$3:$AG$201,$M349)&gt;0,
    COUNTIFS($AH$3:$AH$201,$M349)&gt;0,
    COUNTIFS($AI$3:$AI$201,$M349)&gt;0,
    COUNTIFS($AJ$3:$AJ$201,$M349)&gt;0,
    COUNTIFS($AK$3:$AK$201,$M349)&gt;0,
    COUNTIFS($AL$3:$AL$201,$M349)&gt;0,
    COUNTIFS($AM$3:$AM$201,$M349)&gt;0,
    COUNTIFS($AN$3:$AN$201,$M349)&gt;0,
    COUNTIFS($AO$3:$AO$201,$M349)&gt;0,
    COUNTIFS($AP$3:$AP$201,$M349)&gt;0,
    COUNTIFS($AQ$3:$AQ$201,$M349)&gt;0,
    COUNTIFS($AR$3:$AR$201,$M349)&gt;0,
    COUNTIFS($AS$3:$AS$201,$M349)&gt;0,
    COUNTIFS($AT$3:$AT$201,$M349)&gt;0,
    COUNTIFS($AU$3:$AU$201,$M349)&gt;0,
    COUNTIFS($AV$3:$AV$201,$M349)&gt;0,
    COUNTIFS($AW$3:$AW$201,$M349)&gt;0,
    COUNTIFS($AX$3:$AX$201,$M349)&gt;0
   ),
  0)
 ),
"")</f>
        <v/>
      </c>
      <c r="P349" s="2" t="str" cm="1">
        <f t="array" ref="P349">IFERROR(
 INDEX(
  _xlfn._xlws.FILTER($U$2:$AX$2,
   TRANSPOSE(
    CHOOSE({1;2;3;4;5;6;7;8;9;10;11;12;13;14;15;16;17;18;19;20;21;22;23;24;25;26;27;28;29;30},
     COUNTIFS($U$3:$U$201,$M349)&gt;0,
     COUNTIFS($V$3:$V$201,$M349)&gt;0,
     COUNTIFS($W$3:$W$201,$M349)&gt;0,
     COUNTIFS($X$3:$X$201,$M349)&gt;0,
     COUNTIFS($Y$3:$Y$201,$M349)&gt;0,
     COUNTIFS($Z$3:$Z$201,$M349)&gt;0,
     COUNTIFS($AA$3:$AA$201,$M349)&gt;0,
     COUNTIFS($AB$3:$AB$201,$M349)&gt;0,
     COUNTIFS($AC$3:$AC$201,$M349)&gt;0,
     COUNTIFS($AD$3:$AD$201,$M349)&gt;0,
     COUNTIFS($AE$3:$AE$201,$M349)&gt;0,
     COUNTIFS($AF$3:$AF$201,$M349)&gt;0,
     COUNTIFS($AG$3:$AG$201,$M349)&gt;0,
     COUNTIFS($AH$3:$AH$201,$M349)&gt;0,
     COUNTIFS($AI$3:$AI$201,$M349)&gt;0,
     COUNTIFS($AJ$3:$AJ$201,$M349)&gt;0,
     COUNTIFS($AK$3:$AK$201,$M349)&gt;0,
     COUNTIFS($AL$3:$AL$201,$M349)&gt;0,
     COUNTIFS($AM$3:$AM$201,$M349)&gt;0,
     COUNTIFS($AN$3:$AN$201,$M349)&gt;0,
     COUNTIFS($AO$3:$AO$201,$M349)&gt;0,
     COUNTIFS($AP$3:$AP$201,$M349)&gt;0,
     COUNTIFS($AQ$3:$AQ$201,$M349)&gt;0,
     COUNTIFS($AR$3:$AR$201,$M349)&gt;0,
     COUNTIFS($AS$3:$AS$201,$M349)&gt;0,
     COUNTIFS($AT$3:$AT$201,$M349)&gt;0,
     COUNTIFS($AU$3:$AU$201,$M349)&gt;0,
     COUNTIFS($AV$3:$AV$201,$M349)&gt;0,
     COUNTIFS($AW$3:$AW$201,$M349)&gt;0,
     COUNTIFS($AX$3:$AX$201,$M349)&gt;0
   )),
  ),
  2
 ),
"")</f>
        <v/>
      </c>
      <c r="Q349" s="2" t="str" cm="1">
        <f t="array" ref="Q349">IFERROR(
 INDEX(
  _xlfn._xlws.FILTER($U$2:$AX$2,
   TRANSPOSE(
    CHOOSE({1;2;3;4;5;6;7;8;9;10;11;12;13;14;15;16;17;18;19;20;21;22;23;24;25;26;27;28;29;30},
     COUNTIFS($U$3:$U$201,$M349)&gt;0,
     COUNTIFS($V$3:$V$201,$M349)&gt;0,
     COUNTIFS($W$3:$W$201,$M349)&gt;0,
     COUNTIFS($X$3:$X$201,$M349)&gt;0,
     COUNTIFS($Y$3:$Y$201,$M349)&gt;0,
     COUNTIFS($Z$3:$Z$201,$M349)&gt;0,
     COUNTIFS($AA$3:$AA$201,$M349)&gt;0,
     COUNTIFS($AB$3:$AB$201,$M349)&gt;0,
     COUNTIFS($AC$3:$AC$201,$M349)&gt;0,
     COUNTIFS($AD$3:$AD$201,$M349)&gt;0,
     COUNTIFS($AE$3:$AE$201,$M349)&gt;0,
     COUNTIFS($AF$3:$AF$201,$M349)&gt;0,
     COUNTIFS($AG$3:$AG$201,$M349)&gt;0,
     COUNTIFS($AH$3:$AH$201,$M349)&gt;0,
     COUNTIFS($AI$3:$AI$201,$M349)&gt;0,
     COUNTIFS($AJ$3:$AJ$201,$M349)&gt;0,
     COUNTIFS($AK$3:$AK$201,$M349)&gt;0,
     COUNTIFS($AL$3:$AL$201,$M349)&gt;0,
     COUNTIFS($AM$3:$AM$201,$M349)&gt;0,
     COUNTIFS($AN$3:$AN$201,$M349)&gt;0,
     COUNTIFS($AO$3:$AO$201,$M349)&gt;0,
     COUNTIFS($AP$3:$AP$201,$M349)&gt;0,
     COUNTIFS($AQ$3:$AQ$201,$M349)&gt;0,
     COUNTIFS($AR$3:$AR$201,$M349)&gt;0,
     COUNTIFS($AS$3:$AS$201,$M349)&gt;0,
     COUNTIFS($AT$3:$AT$201,$M349)&gt;0,
     COUNTIFS($AU$3:$AU$201,$M349)&gt;0,
     COUNTIFS($AV$3:$AV$201,$M349)&gt;0,
     COUNTIFS($AW$3:$AW$201,$M349)&gt;0,
     COUNTIFS($AX$3:$AX$201,$M349)&gt;0
   )),
  ),
  3
 ),
"")</f>
        <v/>
      </c>
    </row>
    <row r="350" spans="1:17" x14ac:dyDescent="0.25">
      <c r="A350" t="str">
        <f ca="1"/>
        <v>Realmwalker</v>
      </c>
      <c r="B350" s="2" t="str" cm="1">
        <f t="array" aca="1" ref="B350" ca="1">_xlfn.ANCHORARRAY(RESUMO!C349)</f>
        <v>Fractius</v>
      </c>
      <c r="C350" s="2" t="str">
        <f t="shared" ca="1" si="21"/>
        <v/>
      </c>
      <c r="F350" s="2">
        <f t="shared" si="24"/>
        <v>0</v>
      </c>
      <c r="G350" s="2" t="str">
        <f t="shared" ca="1" si="22"/>
        <v/>
      </c>
      <c r="N350" s="2">
        <f t="shared" si="23"/>
        <v>0</v>
      </c>
      <c r="O350" s="2" t="str">
        <f>IFERROR(
 INDEX($U$2:$AX$2,
  MATCH(TRUE,
   CHOOSE({1;2;3;4;5;6;7;8;9;10;11;12;13;14;15;16;17;18;19;20;21;22;23;24;25;26;27;28;29;30;31;32},
    COUNTIFS($U$3:$U$201,$M350)&gt;0,
    COUNTIFS($V$3:$V$201,$M350)&gt;0,
    COUNTIFS($W$3:$W$201,$M350)&gt;0,
    COUNTIFS($X$3:$X$201,$M350)&gt;0,
    COUNTIFS($Y$3:$Y$201,$M350)&gt;0,
    COUNTIFS($Z$3:$Z$201,$M350)&gt;0,
    COUNTIFS($AA$3:$AA$201,$M350)&gt;0,
    COUNTIFS($AB$3:$AB$201,$M350)&gt;0,
    COUNTIFS($AC$3:$AC$201,$M350)&gt;0,
    COUNTIFS($AD$3:$AD$201,$M350)&gt;0,
    COUNTIFS($AE$3:$AE$201,$M350)&gt;0,
    COUNTIFS($AF$3:$AF$201,$M350)&gt;0,
    COUNTIFS($AG$3:$AG$201,$M350)&gt;0,
    COUNTIFS($AH$3:$AH$201,$M350)&gt;0,
    COUNTIFS($AI$3:$AI$201,$M350)&gt;0,
    COUNTIFS($AJ$3:$AJ$201,$M350)&gt;0,
    COUNTIFS($AK$3:$AK$201,$M350)&gt;0,
    COUNTIFS($AL$3:$AL$201,$M350)&gt;0,
    COUNTIFS($AM$3:$AM$201,$M350)&gt;0,
    COUNTIFS($AN$3:$AN$201,$M350)&gt;0,
    COUNTIFS($AO$3:$AO$201,$M350)&gt;0,
    COUNTIFS($AP$3:$AP$201,$M350)&gt;0,
    COUNTIFS($AQ$3:$AQ$201,$M350)&gt;0,
    COUNTIFS($AR$3:$AR$201,$M350)&gt;0,
    COUNTIFS($AS$3:$AS$201,$M350)&gt;0,
    COUNTIFS($AT$3:$AT$201,$M350)&gt;0,
    COUNTIFS($AU$3:$AU$201,$M350)&gt;0,
    COUNTIFS($AV$3:$AV$201,$M350)&gt;0,
    COUNTIFS($AW$3:$AW$201,$M350)&gt;0,
    COUNTIFS($AX$3:$AX$201,$M350)&gt;0
   ),
  0)
 ),
"")</f>
        <v/>
      </c>
      <c r="P350" s="2" t="str" cm="1">
        <f t="array" ref="P350">IFERROR(
 INDEX(
  _xlfn._xlws.FILTER($U$2:$AX$2,
   TRANSPOSE(
    CHOOSE({1;2;3;4;5;6;7;8;9;10;11;12;13;14;15;16;17;18;19;20;21;22;23;24;25;26;27;28;29;30},
     COUNTIFS($U$3:$U$201,$M350)&gt;0,
     COUNTIFS($V$3:$V$201,$M350)&gt;0,
     COUNTIFS($W$3:$W$201,$M350)&gt;0,
     COUNTIFS($X$3:$X$201,$M350)&gt;0,
     COUNTIFS($Y$3:$Y$201,$M350)&gt;0,
     COUNTIFS($Z$3:$Z$201,$M350)&gt;0,
     COUNTIFS($AA$3:$AA$201,$M350)&gt;0,
     COUNTIFS($AB$3:$AB$201,$M350)&gt;0,
     COUNTIFS($AC$3:$AC$201,$M350)&gt;0,
     COUNTIFS($AD$3:$AD$201,$M350)&gt;0,
     COUNTIFS($AE$3:$AE$201,$M350)&gt;0,
     COUNTIFS($AF$3:$AF$201,$M350)&gt;0,
     COUNTIFS($AG$3:$AG$201,$M350)&gt;0,
     COUNTIFS($AH$3:$AH$201,$M350)&gt;0,
     COUNTIFS($AI$3:$AI$201,$M350)&gt;0,
     COUNTIFS($AJ$3:$AJ$201,$M350)&gt;0,
     COUNTIFS($AK$3:$AK$201,$M350)&gt;0,
     COUNTIFS($AL$3:$AL$201,$M350)&gt;0,
     COUNTIFS($AM$3:$AM$201,$M350)&gt;0,
     COUNTIFS($AN$3:$AN$201,$M350)&gt;0,
     COUNTIFS($AO$3:$AO$201,$M350)&gt;0,
     COUNTIFS($AP$3:$AP$201,$M350)&gt;0,
     COUNTIFS($AQ$3:$AQ$201,$M350)&gt;0,
     COUNTIFS($AR$3:$AR$201,$M350)&gt;0,
     COUNTIFS($AS$3:$AS$201,$M350)&gt;0,
     COUNTIFS($AT$3:$AT$201,$M350)&gt;0,
     COUNTIFS($AU$3:$AU$201,$M350)&gt;0,
     COUNTIFS($AV$3:$AV$201,$M350)&gt;0,
     COUNTIFS($AW$3:$AW$201,$M350)&gt;0,
     COUNTIFS($AX$3:$AX$201,$M350)&gt;0
   )),
  ),
  2
 ),
"")</f>
        <v/>
      </c>
      <c r="Q350" s="2" t="str" cm="1">
        <f t="array" ref="Q350">IFERROR(
 INDEX(
  _xlfn._xlws.FILTER($U$2:$AX$2,
   TRANSPOSE(
    CHOOSE({1;2;3;4;5;6;7;8;9;10;11;12;13;14;15;16;17;18;19;20;21;22;23;24;25;26;27;28;29;30},
     COUNTIFS($U$3:$U$201,$M350)&gt;0,
     COUNTIFS($V$3:$V$201,$M350)&gt;0,
     COUNTIFS($W$3:$W$201,$M350)&gt;0,
     COUNTIFS($X$3:$X$201,$M350)&gt;0,
     COUNTIFS($Y$3:$Y$201,$M350)&gt;0,
     COUNTIFS($Z$3:$Z$201,$M350)&gt;0,
     COUNTIFS($AA$3:$AA$201,$M350)&gt;0,
     COUNTIFS($AB$3:$AB$201,$M350)&gt;0,
     COUNTIFS($AC$3:$AC$201,$M350)&gt;0,
     COUNTIFS($AD$3:$AD$201,$M350)&gt;0,
     COUNTIFS($AE$3:$AE$201,$M350)&gt;0,
     COUNTIFS($AF$3:$AF$201,$M350)&gt;0,
     COUNTIFS($AG$3:$AG$201,$M350)&gt;0,
     COUNTIFS($AH$3:$AH$201,$M350)&gt;0,
     COUNTIFS($AI$3:$AI$201,$M350)&gt;0,
     COUNTIFS($AJ$3:$AJ$201,$M350)&gt;0,
     COUNTIFS($AK$3:$AK$201,$M350)&gt;0,
     COUNTIFS($AL$3:$AL$201,$M350)&gt;0,
     COUNTIFS($AM$3:$AM$201,$M350)&gt;0,
     COUNTIFS($AN$3:$AN$201,$M350)&gt;0,
     COUNTIFS($AO$3:$AO$201,$M350)&gt;0,
     COUNTIFS($AP$3:$AP$201,$M350)&gt;0,
     COUNTIFS($AQ$3:$AQ$201,$M350)&gt;0,
     COUNTIFS($AR$3:$AR$201,$M350)&gt;0,
     COUNTIFS($AS$3:$AS$201,$M350)&gt;0,
     COUNTIFS($AT$3:$AT$201,$M350)&gt;0,
     COUNTIFS($AU$3:$AU$201,$M350)&gt;0,
     COUNTIFS($AV$3:$AV$201,$M350)&gt;0,
     COUNTIFS($AW$3:$AW$201,$M350)&gt;0,
     COUNTIFS($AX$3:$AX$201,$M350)&gt;0
   )),
  ),
  3
 ),
"")</f>
        <v/>
      </c>
    </row>
    <row r="351" spans="1:17" x14ac:dyDescent="0.25">
      <c r="A351" t="str">
        <f ca="1"/>
        <v>Red XIII, Proud Warrior</v>
      </c>
      <c r="B351" s="2" t="str" cm="1">
        <f t="array" aca="1" ref="B351" ca="1">_xlfn.ANCHORARRAY(RESUMO!C350)</f>
        <v>Kresh</v>
      </c>
      <c r="C351" s="2" t="str">
        <f t="shared" ca="1" si="21"/>
        <v/>
      </c>
      <c r="F351" s="2">
        <f t="shared" si="24"/>
        <v>0</v>
      </c>
      <c r="G351" s="2" t="str">
        <f t="shared" ca="1" si="22"/>
        <v/>
      </c>
      <c r="N351" s="2">
        <f t="shared" si="23"/>
        <v>0</v>
      </c>
      <c r="O351" s="2" t="str">
        <f>IFERROR(
 INDEX($U$2:$AX$2,
  MATCH(TRUE,
   CHOOSE({1;2;3;4;5;6;7;8;9;10;11;12;13;14;15;16;17;18;19;20;21;22;23;24;25;26;27;28;29;30;31;32},
    COUNTIFS($U$3:$U$201,$M351)&gt;0,
    COUNTIFS($V$3:$V$201,$M351)&gt;0,
    COUNTIFS($W$3:$W$201,$M351)&gt;0,
    COUNTIFS($X$3:$X$201,$M351)&gt;0,
    COUNTIFS($Y$3:$Y$201,$M351)&gt;0,
    COUNTIFS($Z$3:$Z$201,$M351)&gt;0,
    COUNTIFS($AA$3:$AA$201,$M351)&gt;0,
    COUNTIFS($AB$3:$AB$201,$M351)&gt;0,
    COUNTIFS($AC$3:$AC$201,$M351)&gt;0,
    COUNTIFS($AD$3:$AD$201,$M351)&gt;0,
    COUNTIFS($AE$3:$AE$201,$M351)&gt;0,
    COUNTIFS($AF$3:$AF$201,$M351)&gt;0,
    COUNTIFS($AG$3:$AG$201,$M351)&gt;0,
    COUNTIFS($AH$3:$AH$201,$M351)&gt;0,
    COUNTIFS($AI$3:$AI$201,$M351)&gt;0,
    COUNTIFS($AJ$3:$AJ$201,$M351)&gt;0,
    COUNTIFS($AK$3:$AK$201,$M351)&gt;0,
    COUNTIFS($AL$3:$AL$201,$M351)&gt;0,
    COUNTIFS($AM$3:$AM$201,$M351)&gt;0,
    COUNTIFS($AN$3:$AN$201,$M351)&gt;0,
    COUNTIFS($AO$3:$AO$201,$M351)&gt;0,
    COUNTIFS($AP$3:$AP$201,$M351)&gt;0,
    COUNTIFS($AQ$3:$AQ$201,$M351)&gt;0,
    COUNTIFS($AR$3:$AR$201,$M351)&gt;0,
    COUNTIFS($AS$3:$AS$201,$M351)&gt;0,
    COUNTIFS($AT$3:$AT$201,$M351)&gt;0,
    COUNTIFS($AU$3:$AU$201,$M351)&gt;0,
    COUNTIFS($AV$3:$AV$201,$M351)&gt;0,
    COUNTIFS($AW$3:$AW$201,$M351)&gt;0,
    COUNTIFS($AX$3:$AX$201,$M351)&gt;0
   ),
  0)
 ),
"")</f>
        <v/>
      </c>
      <c r="P351" s="2" t="str" cm="1">
        <f t="array" ref="P351">IFERROR(
 INDEX(
  _xlfn._xlws.FILTER($U$2:$AV$2,
   TRANSPOSE(
    CHOOSE({1;2;3;4;5;6;7;8;9;10;11;12;13;14;15;16;17;18;19;20;21;22;23;24;25;26;27;28},
     COUNTIFS($U$3:$U$201,$M351)&gt;0,
     COUNTIFS($V$3:$V$201,$M351)&gt;0,
     COUNTIFS($W$3:$W$201,$M351)&gt;0,
     COUNTIFS($X$3:$X$201,$M351)&gt;0,
     COUNTIFS($Y$3:$Y$201,$M351)&gt;0,
     COUNTIFS($Z$3:$Z$201,$M351)&gt;0,
     COUNTIFS($AA$3:$AA$201,$M351)&gt;0,
     COUNTIFS($AB$3:$AB$201,$M351)&gt;0,
     COUNTIFS($AC$3:$AC$201,$M351)&gt;0,
     COUNTIFS($AD$3:$AD$201,$M351)&gt;0,
     COUNTIFS($AE$3:$AE$201,$M351)&gt;0,
     COUNTIFS($AF$3:$AF$201,$M351)&gt;0,
     COUNTIFS($AG$3:$AG$201,$M351)&gt;0,
     COUNTIFS($AH$3:$AH$201,$M351)&gt;0,
     COUNTIFS($AI$3:$AI$201,$M351)&gt;0,
     COUNTIFS($AJ$3:$AJ$201,$M351)&gt;0,
     COUNTIFS($AK$3:$AK$201,$M351)&gt;0,
     COUNTIFS($AL$3:$AL$201,$M351)&gt;0,
     COUNTIFS($AM$3:$AM$201,$M351)&gt;0,
     COUNTIFS($AN$3:$AN$201,$M351)&gt;0,
     COUNTIFS($AO$3:$AO$201,$M351)&gt;0,
     COUNTIFS($AP$3:$AP$201,$M351)&gt;0,
     COUNTIFS($AQ$3:$AQ$201,$M351)&gt;0,
     COUNTIFS($AR$3:$AR$201,$M351)&gt;0,
     COUNTIFS($AS$3:$AS$201,$M351)&gt;0,
     COUNTIFS($AT$3:$AT$201,$M351)&gt;0,
     COUNTIFS($AU$3:$AU$201,$M351)&gt;0,
     COUNTIFS($AV$3:$AV$201,$M351)&gt;0
   )),
  ),
  2
 ),
"")</f>
        <v/>
      </c>
      <c r="Q351" s="2" t="str" cm="1">
        <f t="array" ref="Q351">IFERROR(
 INDEX($U$2:$AV$2,
  _xlfn.AGGREGATE(15,6,
   (COLUMN($U$2:$AV$2)-COLUMN($U$2)+1)/
   TRANSPOSE(
    CHOOSE({1;2;3;4;5;6;7;8;9;10;11;12;13;14;15;16;17;18;19;20;21;22;23;24;25;26;27;28},
     COUNTIFS($U$3:$U$201,$M351)&gt;0,
     COUNTIFS($V$3:$V$201,$M351)&gt;0,
     COUNTIFS($W$3:$W$201,$M351)&gt;0,
     COUNTIFS($X$3:$X$201,$M351)&gt;0,
     COUNTIFS($Y$3:$Y$201,$M351)&gt;0,
     COUNTIFS($Z$3:$Z$201,$M351)&gt;0,
     COUNTIFS($AA$3:$AA$201,$M351)&gt;0,
     COUNTIFS($AB$3:$AB$201,$M351)&gt;0,
     COUNTIFS($AC$3:$AC$201,$M351)&gt;0,
     COUNTIFS($AD$3:$AD$201,$M351)&gt;0,
     COUNTIFS($AE$3:$AE$201,$M351)&gt;0,
     COUNTIFS($AF$3:$AF$201,$M351)&gt;0,
     COUNTIFS($AG$3:$AG$201,$M351)&gt;0,
     COUNTIFS($AH$3:$AH$201,$M351)&gt;0,
     COUNTIFS($AI$3:$AI$201,$M351)&gt;0,
     COUNTIFS($AJ$3:$AJ$201,$M351)&gt;0,
     COUNTIFS($AK$3:$AK$201,$M351)&gt;0,
     COUNTIFS($AL$3:$AL$201,$M351)&gt;0,
     COUNTIFS($AM$3:$AM$201,$M351)&gt;0,
     COUNTIFS($AN$3:$AN$201,$M351)&gt;0,
     COUNTIFS($AO$3:$AO$201,$M351)&gt;0,
     COUNTIFS($AP$3:$AP$201,$M351)&gt;0,
     COUNTIFS($AQ$3:$AQ$201,$M351)&gt;0,
     COUNTIFS($AR$3:$AR$201,$M351)&gt;0,
     COUNTIFS($AS$3:$AS$201,$M351)&gt;0,
     COUNTIFS($AT$3:$AT$201,$M351)&gt;0,
     COUNTIFS($AU$3:$AU$201,$M351)&gt;0,
     COUNTIFS($AV$3:$AV$201,$M351)&gt;0
   )),
  3)
 ),
"")</f>
        <v/>
      </c>
    </row>
    <row r="352" spans="1:17" x14ac:dyDescent="0.25">
      <c r="A352" t="str">
        <f ca="1"/>
        <v>Reflecting Pool</v>
      </c>
      <c r="B352" s="2" t="str" cm="1">
        <f t="array" aca="1" ref="B352" ca="1">_xlfn.ANCHORARRAY(RESUMO!C351)</f>
        <v>Breya</v>
      </c>
      <c r="C352" s="2" t="str">
        <f t="shared" ca="1" si="21"/>
        <v/>
      </c>
      <c r="F352" s="2">
        <f t="shared" si="24"/>
        <v>0</v>
      </c>
      <c r="G352" s="2" t="str">
        <f t="shared" ca="1" si="22"/>
        <v/>
      </c>
      <c r="N352" s="2">
        <f t="shared" si="23"/>
        <v>0</v>
      </c>
      <c r="O352" s="2" t="str">
        <f>IFERROR(
 INDEX($U$2:$AX$2,
  MATCH(TRUE,
   CHOOSE({1;2;3;4;5;6;7;8;9;10;11;12;13;14;15;16;17;18;19;20;21;22;23;24;25;26;27;28;29;30;31;32},
    COUNTIFS($U$3:$U$201,$M352)&gt;0,
    COUNTIFS($V$3:$V$201,$M352)&gt;0,
    COUNTIFS($W$3:$W$201,$M352)&gt;0,
    COUNTIFS($X$3:$X$201,$M352)&gt;0,
    COUNTIFS($Y$3:$Y$201,$M352)&gt;0,
    COUNTIFS($Z$3:$Z$201,$M352)&gt;0,
    COUNTIFS($AA$3:$AA$201,$M352)&gt;0,
    COUNTIFS($AB$3:$AB$201,$M352)&gt;0,
    COUNTIFS($AC$3:$AC$201,$M352)&gt;0,
    COUNTIFS($AD$3:$AD$201,$M352)&gt;0,
    COUNTIFS($AE$3:$AE$201,$M352)&gt;0,
    COUNTIFS($AF$3:$AF$201,$M352)&gt;0,
    COUNTIFS($AG$3:$AG$201,$M352)&gt;0,
    COUNTIFS($AH$3:$AH$201,$M352)&gt;0,
    COUNTIFS($AI$3:$AI$201,$M352)&gt;0,
    COUNTIFS($AJ$3:$AJ$201,$M352)&gt;0,
    COUNTIFS($AK$3:$AK$201,$M352)&gt;0,
    COUNTIFS($AL$3:$AL$201,$M352)&gt;0,
    COUNTIFS($AM$3:$AM$201,$M352)&gt;0,
    COUNTIFS($AN$3:$AN$201,$M352)&gt;0,
    COUNTIFS($AO$3:$AO$201,$M352)&gt;0,
    COUNTIFS($AP$3:$AP$201,$M352)&gt;0,
    COUNTIFS($AQ$3:$AQ$201,$M352)&gt;0,
    COUNTIFS($AR$3:$AR$201,$M352)&gt;0,
    COUNTIFS($AS$3:$AS$201,$M352)&gt;0,
    COUNTIFS($AT$3:$AT$201,$M352)&gt;0,
    COUNTIFS($AU$3:$AU$201,$M352)&gt;0,
    COUNTIFS($AV$3:$AV$201,$M352)&gt;0,
    COUNTIFS($AW$3:$AW$201,$M352)&gt;0,
    COUNTIFS($AX$3:$AX$201,$M352)&gt;0
   ),
  0)
 ),
"")</f>
        <v/>
      </c>
      <c r="P352" s="2" t="str" cm="1">
        <f t="array" ref="P352">IFERROR(
 INDEX(
  _xlfn._xlws.FILTER($U$2:$AV$2,
   TRANSPOSE(
    CHOOSE({1;2;3;4;5;6;7;8;9;10;11;12;13;14;15;16;17;18;19;20;21;22;23;24;25;26;27;28},
     COUNTIFS($U$3:$U$201,$M352)&gt;0,
     COUNTIFS($V$3:$V$201,$M352)&gt;0,
     COUNTIFS($W$3:$W$201,$M352)&gt;0,
     COUNTIFS($X$3:$X$201,$M352)&gt;0,
     COUNTIFS($Y$3:$Y$201,$M352)&gt;0,
     COUNTIFS($Z$3:$Z$201,$M352)&gt;0,
     COUNTIFS($AA$3:$AA$201,$M352)&gt;0,
     COUNTIFS($AB$3:$AB$201,$M352)&gt;0,
     COUNTIFS($AC$3:$AC$201,$M352)&gt;0,
     COUNTIFS($AD$3:$AD$201,$M352)&gt;0,
     COUNTIFS($AE$3:$AE$201,$M352)&gt;0,
     COUNTIFS($AF$3:$AF$201,$M352)&gt;0,
     COUNTIFS($AG$3:$AG$201,$M352)&gt;0,
     COUNTIFS($AH$3:$AH$201,$M352)&gt;0,
     COUNTIFS($AI$3:$AI$201,$M352)&gt;0,
     COUNTIFS($AJ$3:$AJ$201,$M352)&gt;0,
     COUNTIFS($AK$3:$AK$201,$M352)&gt;0,
     COUNTIFS($AL$3:$AL$201,$M352)&gt;0,
     COUNTIFS($AM$3:$AM$201,$M352)&gt;0,
     COUNTIFS($AN$3:$AN$201,$M352)&gt;0,
     COUNTIFS($AO$3:$AO$201,$M352)&gt;0,
     COUNTIFS($AP$3:$AP$201,$M352)&gt;0,
     COUNTIFS($AQ$3:$AQ$201,$M352)&gt;0,
     COUNTIFS($AR$3:$AR$201,$M352)&gt;0,
     COUNTIFS($AS$3:$AS$201,$M352)&gt;0,
     COUNTIFS($AT$3:$AT$201,$M352)&gt;0,
     COUNTIFS($AU$3:$AU$201,$M352)&gt;0,
     COUNTIFS($AV$3:$AV$201,$M352)&gt;0
   )),
  ),
  2
 ),
"")</f>
        <v/>
      </c>
      <c r="Q352" s="2" t="str" cm="1">
        <f t="array" ref="Q352">IFERROR(
 INDEX($U$2:$AV$2,
  _xlfn.AGGREGATE(15,6,
   (COLUMN($U$2:$AV$2)-COLUMN($U$2)+1)/
   TRANSPOSE(
    CHOOSE({1;2;3;4;5;6;7;8;9;10;11;12;13;14;15;16;17;18;19;20;21;22;23;24;25;26;27;28},
     COUNTIFS($U$3:$U$201,$M352)&gt;0,
     COUNTIFS($V$3:$V$201,$M352)&gt;0,
     COUNTIFS($W$3:$W$201,$M352)&gt;0,
     COUNTIFS($X$3:$X$201,$M352)&gt;0,
     COUNTIFS($Y$3:$Y$201,$M352)&gt;0,
     COUNTIFS($Z$3:$Z$201,$M352)&gt;0,
     COUNTIFS($AA$3:$AA$201,$M352)&gt;0,
     COUNTIFS($AB$3:$AB$201,$M352)&gt;0,
     COUNTIFS($AC$3:$AC$201,$M352)&gt;0,
     COUNTIFS($AD$3:$AD$201,$M352)&gt;0,
     COUNTIFS($AE$3:$AE$201,$M352)&gt;0,
     COUNTIFS($AF$3:$AF$201,$M352)&gt;0,
     COUNTIFS($AG$3:$AG$201,$M352)&gt;0,
     COUNTIFS($AH$3:$AH$201,$M352)&gt;0,
     COUNTIFS($AI$3:$AI$201,$M352)&gt;0,
     COUNTIFS($AJ$3:$AJ$201,$M352)&gt;0,
     COUNTIFS($AK$3:$AK$201,$M352)&gt;0,
     COUNTIFS($AL$3:$AL$201,$M352)&gt;0,
     COUNTIFS($AM$3:$AM$201,$M352)&gt;0,
     COUNTIFS($AN$3:$AN$201,$M352)&gt;0,
     COUNTIFS($AO$3:$AO$201,$M352)&gt;0,
     COUNTIFS($AP$3:$AP$201,$M352)&gt;0,
     COUNTIFS($AQ$3:$AQ$201,$M352)&gt;0,
     COUNTIFS($AR$3:$AR$201,$M352)&gt;0,
     COUNTIFS($AS$3:$AS$201,$M352)&gt;0,
     COUNTIFS($AT$3:$AT$201,$M352)&gt;0,
     COUNTIFS($AU$3:$AU$201,$M352)&gt;0,
     COUNTIFS($AV$3:$AV$201,$M352)&gt;0
   )),
  3)
 ),
"")</f>
        <v/>
      </c>
    </row>
    <row r="353" spans="1:17" x14ac:dyDescent="0.25">
      <c r="A353" t="str">
        <f ca="1"/>
        <v>Reforge the Soul</v>
      </c>
      <c r="B353" s="2" t="str" cm="1">
        <f t="array" aca="1" ref="B353" ca="1">_xlfn.ANCHORARRAY(RESUMO!C352)</f>
        <v>Narset</v>
      </c>
      <c r="C353" s="2" t="str">
        <f t="shared" ca="1" si="21"/>
        <v/>
      </c>
      <c r="F353" s="2">
        <f t="shared" si="24"/>
        <v>0</v>
      </c>
      <c r="G353" s="2" t="str">
        <f t="shared" ca="1" si="22"/>
        <v/>
      </c>
      <c r="N353" s="2">
        <f t="shared" si="23"/>
        <v>0</v>
      </c>
      <c r="O353" s="2" t="str">
        <f>IFERROR(
 INDEX($U$2:$AX$2,
  MATCH(TRUE,
   CHOOSE({1;2;3;4;5;6;7;8;9;10;11;12;13;14;15;16;17;18;19;20;21;22;23;24;25;26;27;28;29;30;31;32},
    COUNTIFS($U$3:$U$201,$M353)&gt;0,
    COUNTIFS($V$3:$V$201,$M353)&gt;0,
    COUNTIFS($W$3:$W$201,$M353)&gt;0,
    COUNTIFS($X$3:$X$201,$M353)&gt;0,
    COUNTIFS($Y$3:$Y$201,$M353)&gt;0,
    COUNTIFS($Z$3:$Z$201,$M353)&gt;0,
    COUNTIFS($AA$3:$AA$201,$M353)&gt;0,
    COUNTIFS($AB$3:$AB$201,$M353)&gt;0,
    COUNTIFS($AC$3:$AC$201,$M353)&gt;0,
    COUNTIFS($AD$3:$AD$201,$M353)&gt;0,
    COUNTIFS($AE$3:$AE$201,$M353)&gt;0,
    COUNTIFS($AF$3:$AF$201,$M353)&gt;0,
    COUNTIFS($AG$3:$AG$201,$M353)&gt;0,
    COUNTIFS($AH$3:$AH$201,$M353)&gt;0,
    COUNTIFS($AI$3:$AI$201,$M353)&gt;0,
    COUNTIFS($AJ$3:$AJ$201,$M353)&gt;0,
    COUNTIFS($AK$3:$AK$201,$M353)&gt;0,
    COUNTIFS($AL$3:$AL$201,$M353)&gt;0,
    COUNTIFS($AM$3:$AM$201,$M353)&gt;0,
    COUNTIFS($AN$3:$AN$201,$M353)&gt;0,
    COUNTIFS($AO$3:$AO$201,$M353)&gt;0,
    COUNTIFS($AP$3:$AP$201,$M353)&gt;0,
    COUNTIFS($AQ$3:$AQ$201,$M353)&gt;0,
    COUNTIFS($AR$3:$AR$201,$M353)&gt;0,
    COUNTIFS($AS$3:$AS$201,$M353)&gt;0,
    COUNTIFS($AT$3:$AT$201,$M353)&gt;0,
    COUNTIFS($AU$3:$AU$201,$M353)&gt;0,
    COUNTIFS($AV$3:$AV$201,$M353)&gt;0,
    COUNTIFS($AW$3:$AW$201,$M353)&gt;0,
    COUNTIFS($AX$3:$AX$201,$M353)&gt;0
   ),
  0)
 ),
"")</f>
        <v/>
      </c>
      <c r="P353" s="2" t="str" cm="1">
        <f t="array" ref="P353">IFERROR(
 INDEX(
  _xlfn._xlws.FILTER($U$2:$AV$2,
   TRANSPOSE(
    CHOOSE({1;2;3;4;5;6;7;8;9;10;11;12;13;14;15;16;17;18;19;20;21;22;23;24;25;26;27;28},
     COUNTIFS($U$3:$U$201,$M353)&gt;0,
     COUNTIFS($V$3:$V$201,$M353)&gt;0,
     COUNTIFS($W$3:$W$201,$M353)&gt;0,
     COUNTIFS($X$3:$X$201,$M353)&gt;0,
     COUNTIFS($Y$3:$Y$201,$M353)&gt;0,
     COUNTIFS($Z$3:$Z$201,$M353)&gt;0,
     COUNTIFS($AA$3:$AA$201,$M353)&gt;0,
     COUNTIFS($AB$3:$AB$201,$M353)&gt;0,
     COUNTIFS($AC$3:$AC$201,$M353)&gt;0,
     COUNTIFS($AD$3:$AD$201,$M353)&gt;0,
     COUNTIFS($AE$3:$AE$201,$M353)&gt;0,
     COUNTIFS($AF$3:$AF$201,$M353)&gt;0,
     COUNTIFS($AG$3:$AG$201,$M353)&gt;0,
     COUNTIFS($AH$3:$AH$201,$M353)&gt;0,
     COUNTIFS($AI$3:$AI$201,$M353)&gt;0,
     COUNTIFS($AJ$3:$AJ$201,$M353)&gt;0,
     COUNTIFS($AK$3:$AK$201,$M353)&gt;0,
     COUNTIFS($AL$3:$AL$201,$M353)&gt;0,
     COUNTIFS($AM$3:$AM$201,$M353)&gt;0,
     COUNTIFS($AN$3:$AN$201,$M353)&gt;0,
     COUNTIFS($AO$3:$AO$201,$M353)&gt;0,
     COUNTIFS($AP$3:$AP$201,$M353)&gt;0,
     COUNTIFS($AQ$3:$AQ$201,$M353)&gt;0,
     COUNTIFS($AR$3:$AR$201,$M353)&gt;0,
     COUNTIFS($AS$3:$AS$201,$M353)&gt;0,
     COUNTIFS($AT$3:$AT$201,$M353)&gt;0,
     COUNTIFS($AU$3:$AU$201,$M353)&gt;0,
     COUNTIFS($AV$3:$AV$201,$M353)&gt;0
   )),
  ),
  2
 ),
"")</f>
        <v/>
      </c>
      <c r="Q353" s="2" t="str" cm="1">
        <f t="array" ref="Q353">IFERROR(
 INDEX($U$2:$AV$2,
  _xlfn.AGGREGATE(15,6,
   (COLUMN($U$2:$AV$2)-COLUMN($U$2)+1)/
   TRANSPOSE(
    CHOOSE({1;2;3;4;5;6;7;8;9;10;11;12;13;14;15;16;17;18;19;20;21;22;23;24;25;26;27;28},
     COUNTIFS($U$3:$U$201,$M353)&gt;0,
     COUNTIFS($V$3:$V$201,$M353)&gt;0,
     COUNTIFS($W$3:$W$201,$M353)&gt;0,
     COUNTIFS($X$3:$X$201,$M353)&gt;0,
     COUNTIFS($Y$3:$Y$201,$M353)&gt;0,
     COUNTIFS($Z$3:$Z$201,$M353)&gt;0,
     COUNTIFS($AA$3:$AA$201,$M353)&gt;0,
     COUNTIFS($AB$3:$AB$201,$M353)&gt;0,
     COUNTIFS($AC$3:$AC$201,$M353)&gt;0,
     COUNTIFS($AD$3:$AD$201,$M353)&gt;0,
     COUNTIFS($AE$3:$AE$201,$M353)&gt;0,
     COUNTIFS($AF$3:$AF$201,$M353)&gt;0,
     COUNTIFS($AG$3:$AG$201,$M353)&gt;0,
     COUNTIFS($AH$3:$AH$201,$M353)&gt;0,
     COUNTIFS($AI$3:$AI$201,$M353)&gt;0,
     COUNTIFS($AJ$3:$AJ$201,$M353)&gt;0,
     COUNTIFS($AK$3:$AK$201,$M353)&gt;0,
     COUNTIFS($AL$3:$AL$201,$M353)&gt;0,
     COUNTIFS($AM$3:$AM$201,$M353)&gt;0,
     COUNTIFS($AN$3:$AN$201,$M353)&gt;0,
     COUNTIFS($AO$3:$AO$201,$M353)&gt;0,
     COUNTIFS($AP$3:$AP$201,$M353)&gt;0,
     COUNTIFS($AQ$3:$AQ$201,$M353)&gt;0,
     COUNTIFS($AR$3:$AR$201,$M353)&gt;0,
     COUNTIFS($AS$3:$AS$201,$M353)&gt;0,
     COUNTIFS($AT$3:$AT$201,$M353)&gt;0,
     COUNTIFS($AU$3:$AU$201,$M353)&gt;0,
     COUNTIFS($AV$3:$AV$201,$M353)&gt;0
   )),
  3)
 ),
"")</f>
        <v/>
      </c>
    </row>
    <row r="354" spans="1:17" x14ac:dyDescent="0.25">
      <c r="A354" t="str">
        <f ca="1"/>
        <v>Regal Sliver</v>
      </c>
      <c r="B354" s="2" t="str" cm="1">
        <f t="array" aca="1" ref="B354" ca="1">_xlfn.ANCHORARRAY(RESUMO!C353)</f>
        <v>Fractius</v>
      </c>
      <c r="C354" s="2" t="str">
        <f t="shared" ca="1" si="21"/>
        <v/>
      </c>
      <c r="F354" s="2">
        <f t="shared" si="24"/>
        <v>0</v>
      </c>
      <c r="G354" s="2" t="str">
        <f t="shared" ca="1" si="22"/>
        <v/>
      </c>
      <c r="N354" s="2">
        <f t="shared" si="23"/>
        <v>0</v>
      </c>
      <c r="O354" s="2" t="str">
        <f>IFERROR(
 INDEX($U$2:$AX$2,
  MATCH(TRUE,
   CHOOSE({1;2;3;4;5;6;7;8;9;10;11;12;13;14;15;16;17;18;19;20;21;22;23;24;25;26;27;28;29;30;31;32},
    COUNTIFS($U$3:$U$201,$M354)&gt;0,
    COUNTIFS($V$3:$V$201,$M354)&gt;0,
    COUNTIFS($W$3:$W$201,$M354)&gt;0,
    COUNTIFS($X$3:$X$201,$M354)&gt;0,
    COUNTIFS($Y$3:$Y$201,$M354)&gt;0,
    COUNTIFS($Z$3:$Z$201,$M354)&gt;0,
    COUNTIFS($AA$3:$AA$201,$M354)&gt;0,
    COUNTIFS($AB$3:$AB$201,$M354)&gt;0,
    COUNTIFS($AC$3:$AC$201,$M354)&gt;0,
    COUNTIFS($AD$3:$AD$201,$M354)&gt;0,
    COUNTIFS($AE$3:$AE$201,$M354)&gt;0,
    COUNTIFS($AF$3:$AF$201,$M354)&gt;0,
    COUNTIFS($AG$3:$AG$201,$M354)&gt;0,
    COUNTIFS($AH$3:$AH$201,$M354)&gt;0,
    COUNTIFS($AI$3:$AI$201,$M354)&gt;0,
    COUNTIFS($AJ$3:$AJ$201,$M354)&gt;0,
    COUNTIFS($AK$3:$AK$201,$M354)&gt;0,
    COUNTIFS($AL$3:$AL$201,$M354)&gt;0,
    COUNTIFS($AM$3:$AM$201,$M354)&gt;0,
    COUNTIFS($AN$3:$AN$201,$M354)&gt;0,
    COUNTIFS($AO$3:$AO$201,$M354)&gt;0,
    COUNTIFS($AP$3:$AP$201,$M354)&gt;0,
    COUNTIFS($AQ$3:$AQ$201,$M354)&gt;0,
    COUNTIFS($AR$3:$AR$201,$M354)&gt;0,
    COUNTIFS($AS$3:$AS$201,$M354)&gt;0,
    COUNTIFS($AT$3:$AT$201,$M354)&gt;0,
    COUNTIFS($AU$3:$AU$201,$M354)&gt;0,
    COUNTIFS($AV$3:$AV$201,$M354)&gt;0,
    COUNTIFS($AW$3:$AW$201,$M354)&gt;0,
    COUNTIFS($AX$3:$AX$201,$M354)&gt;0
   ),
  0)
 ),
"")</f>
        <v/>
      </c>
      <c r="P354" s="2" t="str" cm="1">
        <f t="array" ref="P354">IFERROR(
 INDEX(
  _xlfn._xlws.FILTER($U$2:$AV$2,
   TRANSPOSE(
    CHOOSE({1;2;3;4;5;6;7;8;9;10;11;12;13;14;15;16;17;18;19;20;21;22;23;24;25;26;27;28},
     COUNTIFS($U$3:$U$201,$M354)&gt;0,
     COUNTIFS($V$3:$V$201,$M354)&gt;0,
     COUNTIFS($W$3:$W$201,$M354)&gt;0,
     COUNTIFS($X$3:$X$201,$M354)&gt;0,
     COUNTIFS($Y$3:$Y$201,$M354)&gt;0,
     COUNTIFS($Z$3:$Z$201,$M354)&gt;0,
     COUNTIFS($AA$3:$AA$201,$M354)&gt;0,
     COUNTIFS($AB$3:$AB$201,$M354)&gt;0,
     COUNTIFS($AC$3:$AC$201,$M354)&gt;0,
     COUNTIFS($AD$3:$AD$201,$M354)&gt;0,
     COUNTIFS($AE$3:$AE$201,$M354)&gt;0,
     COUNTIFS($AF$3:$AF$201,$M354)&gt;0,
     COUNTIFS($AG$3:$AG$201,$M354)&gt;0,
     COUNTIFS($AH$3:$AH$201,$M354)&gt;0,
     COUNTIFS($AI$3:$AI$201,$M354)&gt;0,
     COUNTIFS($AJ$3:$AJ$201,$M354)&gt;0,
     COUNTIFS($AK$3:$AK$201,$M354)&gt;0,
     COUNTIFS($AL$3:$AL$201,$M354)&gt;0,
     COUNTIFS($AM$3:$AM$201,$M354)&gt;0,
     COUNTIFS($AN$3:$AN$201,$M354)&gt;0,
     COUNTIFS($AO$3:$AO$201,$M354)&gt;0,
     COUNTIFS($AP$3:$AP$201,$M354)&gt;0,
     COUNTIFS($AQ$3:$AQ$201,$M354)&gt;0,
     COUNTIFS($AR$3:$AR$201,$M354)&gt;0,
     COUNTIFS($AS$3:$AS$201,$M354)&gt;0,
     COUNTIFS($AT$3:$AT$201,$M354)&gt;0,
     COUNTIFS($AU$3:$AU$201,$M354)&gt;0,
     COUNTIFS($AV$3:$AV$201,$M354)&gt;0
   )),
  ),
  2
 ),
"")</f>
        <v/>
      </c>
      <c r="Q354" s="2" t="str" cm="1">
        <f t="array" ref="Q354">IFERROR(
 INDEX($U$2:$AV$2,
  _xlfn.AGGREGATE(15,6,
   (COLUMN($U$2:$AV$2)-COLUMN($U$2)+1)/
   TRANSPOSE(
    CHOOSE({1;2;3;4;5;6;7;8;9;10;11;12;13;14;15;16;17;18;19;20;21;22;23;24;25;26;27;28},
     COUNTIFS($U$3:$U$201,$M354)&gt;0,
     COUNTIFS($V$3:$V$201,$M354)&gt;0,
     COUNTIFS($W$3:$W$201,$M354)&gt;0,
     COUNTIFS($X$3:$X$201,$M354)&gt;0,
     COUNTIFS($Y$3:$Y$201,$M354)&gt;0,
     COUNTIFS($Z$3:$Z$201,$M354)&gt;0,
     COUNTIFS($AA$3:$AA$201,$M354)&gt;0,
     COUNTIFS($AB$3:$AB$201,$M354)&gt;0,
     COUNTIFS($AC$3:$AC$201,$M354)&gt;0,
     COUNTIFS($AD$3:$AD$201,$M354)&gt;0,
     COUNTIFS($AE$3:$AE$201,$M354)&gt;0,
     COUNTIFS($AF$3:$AF$201,$M354)&gt;0,
     COUNTIFS($AG$3:$AG$201,$M354)&gt;0,
     COUNTIFS($AH$3:$AH$201,$M354)&gt;0,
     COUNTIFS($AI$3:$AI$201,$M354)&gt;0,
     COUNTIFS($AJ$3:$AJ$201,$M354)&gt;0,
     COUNTIFS($AK$3:$AK$201,$M354)&gt;0,
     COUNTIFS($AL$3:$AL$201,$M354)&gt;0,
     COUNTIFS($AM$3:$AM$201,$M354)&gt;0,
     COUNTIFS($AN$3:$AN$201,$M354)&gt;0,
     COUNTIFS($AO$3:$AO$201,$M354)&gt;0,
     COUNTIFS($AP$3:$AP$201,$M354)&gt;0,
     COUNTIFS($AQ$3:$AQ$201,$M354)&gt;0,
     COUNTIFS($AR$3:$AR$201,$M354)&gt;0,
     COUNTIFS($AS$3:$AS$201,$M354)&gt;0,
     COUNTIFS($AT$3:$AT$201,$M354)&gt;0,
     COUNTIFS($AU$3:$AU$201,$M354)&gt;0,
     COUNTIFS($AV$3:$AV$201,$M354)&gt;0
   )),
  3)
 ),
"")</f>
        <v/>
      </c>
    </row>
    <row r="355" spans="1:17" x14ac:dyDescent="0.25">
      <c r="A355" t="str">
        <f ca="1"/>
        <v>Reliquary Tower</v>
      </c>
      <c r="B355" s="2" t="str" cm="1">
        <f t="array" aca="1" ref="B355" ca="1">_xlfn.ANCHORARRAY(RESUMO!C354)</f>
        <v>Piratas</v>
      </c>
      <c r="C355" s="2" t="str">
        <f t="shared" ca="1" si="21"/>
        <v/>
      </c>
      <c r="F355" s="2">
        <f t="shared" si="24"/>
        <v>0</v>
      </c>
      <c r="G355" s="2" t="str">
        <f t="shared" ca="1" si="22"/>
        <v/>
      </c>
      <c r="N355" s="2">
        <f t="shared" si="23"/>
        <v>0</v>
      </c>
      <c r="O355" s="2" t="str">
        <f>IFERROR(
 INDEX($U$2:$AX$2,
  MATCH(TRUE,
   CHOOSE({1;2;3;4;5;6;7;8;9;10;11;12;13;14;15;16;17;18;19;20;21;22;23;24;25;26;27;28;29;30;31;32},
    COUNTIFS($U$3:$U$201,$M355)&gt;0,
    COUNTIFS($V$3:$V$201,$M355)&gt;0,
    COUNTIFS($W$3:$W$201,$M355)&gt;0,
    COUNTIFS($X$3:$X$201,$M355)&gt;0,
    COUNTIFS($Y$3:$Y$201,$M355)&gt;0,
    COUNTIFS($Z$3:$Z$201,$M355)&gt;0,
    COUNTIFS($AA$3:$AA$201,$M355)&gt;0,
    COUNTIFS($AB$3:$AB$201,$M355)&gt;0,
    COUNTIFS($AC$3:$AC$201,$M355)&gt;0,
    COUNTIFS($AD$3:$AD$201,$M355)&gt;0,
    COUNTIFS($AE$3:$AE$201,$M355)&gt;0,
    COUNTIFS($AF$3:$AF$201,$M355)&gt;0,
    COUNTIFS($AG$3:$AG$201,$M355)&gt;0,
    COUNTIFS($AH$3:$AH$201,$M355)&gt;0,
    COUNTIFS($AI$3:$AI$201,$M355)&gt;0,
    COUNTIFS($AJ$3:$AJ$201,$M355)&gt;0,
    COUNTIFS($AK$3:$AK$201,$M355)&gt;0,
    COUNTIFS($AL$3:$AL$201,$M355)&gt;0,
    COUNTIFS($AM$3:$AM$201,$M355)&gt;0,
    COUNTIFS($AN$3:$AN$201,$M355)&gt;0,
    COUNTIFS($AO$3:$AO$201,$M355)&gt;0,
    COUNTIFS($AP$3:$AP$201,$M355)&gt;0,
    COUNTIFS($AQ$3:$AQ$201,$M355)&gt;0,
    COUNTIFS($AR$3:$AR$201,$M355)&gt;0,
    COUNTIFS($AS$3:$AS$201,$M355)&gt;0,
    COUNTIFS($AT$3:$AT$201,$M355)&gt;0,
    COUNTIFS($AU$3:$AU$201,$M355)&gt;0,
    COUNTIFS($AV$3:$AV$201,$M355)&gt;0,
    COUNTIFS($AW$3:$AW$201,$M355)&gt;0,
    COUNTIFS($AX$3:$AX$201,$M355)&gt;0
   ),
  0)
 ),
"")</f>
        <v/>
      </c>
      <c r="P355" s="2" t="str" cm="1">
        <f t="array" ref="P355">IFERROR(
 INDEX(
  _xlfn._xlws.FILTER($U$2:$AV$2,
   TRANSPOSE(
    CHOOSE({1;2;3;4;5;6;7;8;9;10;11;12;13;14;15;16;17;18;19;20;21;22;23;24;25;26;27;28},
     COUNTIFS($U$3:$U$201,$M355)&gt;0,
     COUNTIFS($V$3:$V$201,$M355)&gt;0,
     COUNTIFS($W$3:$W$201,$M355)&gt;0,
     COUNTIFS($X$3:$X$201,$M355)&gt;0,
     COUNTIFS($Y$3:$Y$201,$M355)&gt;0,
     COUNTIFS($Z$3:$Z$201,$M355)&gt;0,
     COUNTIFS($AA$3:$AA$201,$M355)&gt;0,
     COUNTIFS($AB$3:$AB$201,$M355)&gt;0,
     COUNTIFS($AC$3:$AC$201,$M355)&gt;0,
     COUNTIFS($AD$3:$AD$201,$M355)&gt;0,
     COUNTIFS($AE$3:$AE$201,$M355)&gt;0,
     COUNTIFS($AF$3:$AF$201,$M355)&gt;0,
     COUNTIFS($AG$3:$AG$201,$M355)&gt;0,
     COUNTIFS($AH$3:$AH$201,$M355)&gt;0,
     COUNTIFS($AI$3:$AI$201,$M355)&gt;0,
     COUNTIFS($AJ$3:$AJ$201,$M355)&gt;0,
     COUNTIFS($AK$3:$AK$201,$M355)&gt;0,
     COUNTIFS($AL$3:$AL$201,$M355)&gt;0,
     COUNTIFS($AM$3:$AM$201,$M355)&gt;0,
     COUNTIFS($AN$3:$AN$201,$M355)&gt;0,
     COUNTIFS($AO$3:$AO$201,$M355)&gt;0,
     COUNTIFS($AP$3:$AP$201,$M355)&gt;0,
     COUNTIFS($AQ$3:$AQ$201,$M355)&gt;0,
     COUNTIFS($AR$3:$AR$201,$M355)&gt;0,
     COUNTIFS($AS$3:$AS$201,$M355)&gt;0,
     COUNTIFS($AT$3:$AT$201,$M355)&gt;0,
     COUNTIFS($AU$3:$AU$201,$M355)&gt;0,
     COUNTIFS($AV$3:$AV$201,$M355)&gt;0
   )),
  ),
  2
 ),
"")</f>
        <v/>
      </c>
      <c r="Q355" s="2" t="str" cm="1">
        <f t="array" ref="Q355">IFERROR(
 INDEX($U$2:$AV$2,
  _xlfn.AGGREGATE(15,6,
   (COLUMN($U$2:$AV$2)-COLUMN($U$2)+1)/
   TRANSPOSE(
    CHOOSE({1;2;3;4;5;6;7;8;9;10;11;12;13;14;15;16;17;18;19;20;21;22;23;24;25;26;27;28},
     COUNTIFS($U$3:$U$201,$M355)&gt;0,
     COUNTIFS($V$3:$V$201,$M355)&gt;0,
     COUNTIFS($W$3:$W$201,$M355)&gt;0,
     COUNTIFS($X$3:$X$201,$M355)&gt;0,
     COUNTIFS($Y$3:$Y$201,$M355)&gt;0,
     COUNTIFS($Z$3:$Z$201,$M355)&gt;0,
     COUNTIFS($AA$3:$AA$201,$M355)&gt;0,
     COUNTIFS($AB$3:$AB$201,$M355)&gt;0,
     COUNTIFS($AC$3:$AC$201,$M355)&gt;0,
     COUNTIFS($AD$3:$AD$201,$M355)&gt;0,
     COUNTIFS($AE$3:$AE$201,$M355)&gt;0,
     COUNTIFS($AF$3:$AF$201,$M355)&gt;0,
     COUNTIFS($AG$3:$AG$201,$M355)&gt;0,
     COUNTIFS($AH$3:$AH$201,$M355)&gt;0,
     COUNTIFS($AI$3:$AI$201,$M355)&gt;0,
     COUNTIFS($AJ$3:$AJ$201,$M355)&gt;0,
     COUNTIFS($AK$3:$AK$201,$M355)&gt;0,
     COUNTIFS($AL$3:$AL$201,$M355)&gt;0,
     COUNTIFS($AM$3:$AM$201,$M355)&gt;0,
     COUNTIFS($AN$3:$AN$201,$M355)&gt;0,
     COUNTIFS($AO$3:$AO$201,$M355)&gt;0,
     COUNTIFS($AP$3:$AP$201,$M355)&gt;0,
     COUNTIFS($AQ$3:$AQ$201,$M355)&gt;0,
     COUNTIFS($AR$3:$AR$201,$M355)&gt;0,
     COUNTIFS($AS$3:$AS$201,$M355)&gt;0,
     COUNTIFS($AT$3:$AT$201,$M355)&gt;0,
     COUNTIFS($AU$3:$AU$201,$M355)&gt;0,
     COUNTIFS($AV$3:$AV$201,$M355)&gt;0
   )),
  3)
 ),
"")</f>
        <v/>
      </c>
    </row>
    <row r="356" spans="1:17" x14ac:dyDescent="0.25">
      <c r="A356" t="str">
        <f ca="1"/>
        <v>Renewed Solidarity</v>
      </c>
      <c r="B356" s="2" t="str" cm="1">
        <f t="array" aca="1" ref="B356" ca="1">_xlfn.ANCHORARRAY(RESUMO!C355)</f>
        <v>Alela</v>
      </c>
      <c r="C356" s="2" t="str">
        <f t="shared" ca="1" si="21"/>
        <v/>
      </c>
      <c r="F356" s="2">
        <f t="shared" si="24"/>
        <v>0</v>
      </c>
      <c r="G356" s="2" t="str">
        <f t="shared" ca="1" si="22"/>
        <v/>
      </c>
      <c r="N356" s="2">
        <f t="shared" si="23"/>
        <v>0</v>
      </c>
      <c r="O356" s="2" t="str">
        <f>IFERROR(
 INDEX($U$2:$AX$2,
  MATCH(TRUE,
   CHOOSE({1;2;3;4;5;6;7;8;9;10;11;12;13;14;15;16;17;18;19;20;21;22;23;24;25;26;27;28;29;30;31;32},
    COUNTIFS($U$3:$U$201,$M356)&gt;0,
    COUNTIFS($V$3:$V$201,$M356)&gt;0,
    COUNTIFS($W$3:$W$201,$M356)&gt;0,
    COUNTIFS($X$3:$X$201,$M356)&gt;0,
    COUNTIFS($Y$3:$Y$201,$M356)&gt;0,
    COUNTIFS($Z$3:$Z$201,$M356)&gt;0,
    COUNTIFS($AA$3:$AA$201,$M356)&gt;0,
    COUNTIFS($AB$3:$AB$201,$M356)&gt;0,
    COUNTIFS($AC$3:$AC$201,$M356)&gt;0,
    COUNTIFS($AD$3:$AD$201,$M356)&gt;0,
    COUNTIFS($AE$3:$AE$201,$M356)&gt;0,
    COUNTIFS($AF$3:$AF$201,$M356)&gt;0,
    COUNTIFS($AG$3:$AG$201,$M356)&gt;0,
    COUNTIFS($AH$3:$AH$201,$M356)&gt;0,
    COUNTIFS($AI$3:$AI$201,$M356)&gt;0,
    COUNTIFS($AJ$3:$AJ$201,$M356)&gt;0,
    COUNTIFS($AK$3:$AK$201,$M356)&gt;0,
    COUNTIFS($AL$3:$AL$201,$M356)&gt;0,
    COUNTIFS($AM$3:$AM$201,$M356)&gt;0,
    COUNTIFS($AN$3:$AN$201,$M356)&gt;0,
    COUNTIFS($AO$3:$AO$201,$M356)&gt;0,
    COUNTIFS($AP$3:$AP$201,$M356)&gt;0,
    COUNTIFS($AQ$3:$AQ$201,$M356)&gt;0,
    COUNTIFS($AR$3:$AR$201,$M356)&gt;0,
    COUNTIFS($AS$3:$AS$201,$M356)&gt;0,
    COUNTIFS($AT$3:$AT$201,$M356)&gt;0,
    COUNTIFS($AU$3:$AU$201,$M356)&gt;0,
    COUNTIFS($AV$3:$AV$201,$M356)&gt;0,
    COUNTIFS($AW$3:$AW$201,$M356)&gt;0,
    COUNTIFS($AX$3:$AX$201,$M356)&gt;0
   ),
  0)
 ),
"")</f>
        <v/>
      </c>
      <c r="P356" s="2" t="str" cm="1">
        <f t="array" ref="P356">IFERROR(
 INDEX(
  _xlfn._xlws.FILTER($U$2:$AV$2,
   TRANSPOSE(
    CHOOSE({1;2;3;4;5;6;7;8;9;10;11;12;13;14;15;16;17;18;19;20;21;22;23;24;25;26;27;28},
     COUNTIFS($U$3:$U$201,$M356)&gt;0,
     COUNTIFS($V$3:$V$201,$M356)&gt;0,
     COUNTIFS($W$3:$W$201,$M356)&gt;0,
     COUNTIFS($X$3:$X$201,$M356)&gt;0,
     COUNTIFS($Y$3:$Y$201,$M356)&gt;0,
     COUNTIFS($Z$3:$Z$201,$M356)&gt;0,
     COUNTIFS($AA$3:$AA$201,$M356)&gt;0,
     COUNTIFS($AB$3:$AB$201,$M356)&gt;0,
     COUNTIFS($AC$3:$AC$201,$M356)&gt;0,
     COUNTIFS($AD$3:$AD$201,$M356)&gt;0,
     COUNTIFS($AE$3:$AE$201,$M356)&gt;0,
     COUNTIFS($AF$3:$AF$201,$M356)&gt;0,
     COUNTIFS($AG$3:$AG$201,$M356)&gt;0,
     COUNTIFS($AH$3:$AH$201,$M356)&gt;0,
     COUNTIFS($AI$3:$AI$201,$M356)&gt;0,
     COUNTIFS($AJ$3:$AJ$201,$M356)&gt;0,
     COUNTIFS($AK$3:$AK$201,$M356)&gt;0,
     COUNTIFS($AL$3:$AL$201,$M356)&gt;0,
     COUNTIFS($AM$3:$AM$201,$M356)&gt;0,
     COUNTIFS($AN$3:$AN$201,$M356)&gt;0,
     COUNTIFS($AO$3:$AO$201,$M356)&gt;0,
     COUNTIFS($AP$3:$AP$201,$M356)&gt;0,
     COUNTIFS($AQ$3:$AQ$201,$M356)&gt;0,
     COUNTIFS($AR$3:$AR$201,$M356)&gt;0,
     COUNTIFS($AS$3:$AS$201,$M356)&gt;0,
     COUNTIFS($AT$3:$AT$201,$M356)&gt;0,
     COUNTIFS($AU$3:$AU$201,$M356)&gt;0,
     COUNTIFS($AV$3:$AV$201,$M356)&gt;0
   )),
  ),
  2
 ),
"")</f>
        <v/>
      </c>
      <c r="Q356" s="2" t="str" cm="1">
        <f t="array" ref="Q356">IFERROR(
 INDEX($U$2:$AV$2,
  _xlfn.AGGREGATE(15,6,
   (COLUMN($U$2:$AV$2)-COLUMN($U$2)+1)/
   TRANSPOSE(
    CHOOSE({1;2;3;4;5;6;7;8;9;10;11;12;13;14;15;16;17;18;19;20;21;22;23;24;25;26;27;28},
     COUNTIFS($U$3:$U$201,$M356)&gt;0,
     COUNTIFS($V$3:$V$201,$M356)&gt;0,
     COUNTIFS($W$3:$W$201,$M356)&gt;0,
     COUNTIFS($X$3:$X$201,$M356)&gt;0,
     COUNTIFS($Y$3:$Y$201,$M356)&gt;0,
     COUNTIFS($Z$3:$Z$201,$M356)&gt;0,
     COUNTIFS($AA$3:$AA$201,$M356)&gt;0,
     COUNTIFS($AB$3:$AB$201,$M356)&gt;0,
     COUNTIFS($AC$3:$AC$201,$M356)&gt;0,
     COUNTIFS($AD$3:$AD$201,$M356)&gt;0,
     COUNTIFS($AE$3:$AE$201,$M356)&gt;0,
     COUNTIFS($AF$3:$AF$201,$M356)&gt;0,
     COUNTIFS($AG$3:$AG$201,$M356)&gt;0,
     COUNTIFS($AH$3:$AH$201,$M356)&gt;0,
     COUNTIFS($AI$3:$AI$201,$M356)&gt;0,
     COUNTIFS($AJ$3:$AJ$201,$M356)&gt;0,
     COUNTIFS($AK$3:$AK$201,$M356)&gt;0,
     COUNTIFS($AL$3:$AL$201,$M356)&gt;0,
     COUNTIFS($AM$3:$AM$201,$M356)&gt;0,
     COUNTIFS($AN$3:$AN$201,$M356)&gt;0,
     COUNTIFS($AO$3:$AO$201,$M356)&gt;0,
     COUNTIFS($AP$3:$AP$201,$M356)&gt;0,
     COUNTIFS($AQ$3:$AQ$201,$M356)&gt;0,
     COUNTIFS($AR$3:$AR$201,$M356)&gt;0,
     COUNTIFS($AS$3:$AS$201,$M356)&gt;0,
     COUNTIFS($AT$3:$AT$201,$M356)&gt;0,
     COUNTIFS($AU$3:$AU$201,$M356)&gt;0,
     COUNTIFS($AV$3:$AV$201,$M356)&gt;0
   )),
  3)
 ),
"")</f>
        <v/>
      </c>
    </row>
    <row r="357" spans="1:17" x14ac:dyDescent="0.25">
      <c r="A357" t="str">
        <f ca="1"/>
        <v>Respite</v>
      </c>
      <c r="B357" s="2" t="str" cm="1">
        <f t="array" aca="1" ref="B357" ca="1">_xlfn.ANCHORARRAY(RESUMO!C356)</f>
        <v>4cRash</v>
      </c>
      <c r="C357" s="2" t="str">
        <f t="shared" ca="1" si="21"/>
        <v/>
      </c>
      <c r="F357" s="2">
        <f t="shared" si="24"/>
        <v>0</v>
      </c>
      <c r="G357" s="2" t="str">
        <f t="shared" ca="1" si="22"/>
        <v/>
      </c>
      <c r="N357" s="2">
        <f t="shared" si="23"/>
        <v>0</v>
      </c>
      <c r="O357" s="2" t="str">
        <f>IFERROR(
 INDEX($U$2:$AX$2,
  MATCH(TRUE,
   CHOOSE({1;2;3;4;5;6;7;8;9;10;11;12;13;14;15;16;17;18;19;20;21;22;23;24;25;26;27;28;29;30;31;32},
    COUNTIFS($U$3:$U$201,$M357)&gt;0,
    COUNTIFS($V$3:$V$201,$M357)&gt;0,
    COUNTIFS($W$3:$W$201,$M357)&gt;0,
    COUNTIFS($X$3:$X$201,$M357)&gt;0,
    COUNTIFS($Y$3:$Y$201,$M357)&gt;0,
    COUNTIFS($Z$3:$Z$201,$M357)&gt;0,
    COUNTIFS($AA$3:$AA$201,$M357)&gt;0,
    COUNTIFS($AB$3:$AB$201,$M357)&gt;0,
    COUNTIFS($AC$3:$AC$201,$M357)&gt;0,
    COUNTIFS($AD$3:$AD$201,$M357)&gt;0,
    COUNTIFS($AE$3:$AE$201,$M357)&gt;0,
    COUNTIFS($AF$3:$AF$201,$M357)&gt;0,
    COUNTIFS($AG$3:$AG$201,$M357)&gt;0,
    COUNTIFS($AH$3:$AH$201,$M357)&gt;0,
    COUNTIFS($AI$3:$AI$201,$M357)&gt;0,
    COUNTIFS($AJ$3:$AJ$201,$M357)&gt;0,
    COUNTIFS($AK$3:$AK$201,$M357)&gt;0,
    COUNTIFS($AL$3:$AL$201,$M357)&gt;0,
    COUNTIFS($AM$3:$AM$201,$M357)&gt;0,
    COUNTIFS($AN$3:$AN$201,$M357)&gt;0,
    COUNTIFS($AO$3:$AO$201,$M357)&gt;0,
    COUNTIFS($AP$3:$AP$201,$M357)&gt;0,
    COUNTIFS($AQ$3:$AQ$201,$M357)&gt;0,
    COUNTIFS($AR$3:$AR$201,$M357)&gt;0,
    COUNTIFS($AS$3:$AS$201,$M357)&gt;0,
    COUNTIFS($AT$3:$AT$201,$M357)&gt;0,
    COUNTIFS($AU$3:$AU$201,$M357)&gt;0,
    COUNTIFS($AV$3:$AV$201,$M357)&gt;0,
    COUNTIFS($AW$3:$AW$201,$M357)&gt;0,
    COUNTIFS($AX$3:$AX$201,$M357)&gt;0
   ),
  0)
 ),
"")</f>
        <v/>
      </c>
      <c r="P357" s="2" t="str" cm="1">
        <f t="array" ref="P357">IFERROR(
 INDEX(
  _xlfn._xlws.FILTER($U$2:$AV$2,
   TRANSPOSE(
    CHOOSE({1;2;3;4;5;6;7;8;9;10;11;12;13;14;15;16;17;18;19;20;21;22;23;24;25;26;27;28},
     COUNTIFS($U$3:$U$201,$M357)&gt;0,
     COUNTIFS($V$3:$V$201,$M357)&gt;0,
     COUNTIFS($W$3:$W$201,$M357)&gt;0,
     COUNTIFS($X$3:$X$201,$M357)&gt;0,
     COUNTIFS($Y$3:$Y$201,$M357)&gt;0,
     COUNTIFS($Z$3:$Z$201,$M357)&gt;0,
     COUNTIFS($AA$3:$AA$201,$M357)&gt;0,
     COUNTIFS($AB$3:$AB$201,$M357)&gt;0,
     COUNTIFS($AC$3:$AC$201,$M357)&gt;0,
     COUNTIFS($AD$3:$AD$201,$M357)&gt;0,
     COUNTIFS($AE$3:$AE$201,$M357)&gt;0,
     COUNTIFS($AF$3:$AF$201,$M357)&gt;0,
     COUNTIFS($AG$3:$AG$201,$M357)&gt;0,
     COUNTIFS($AH$3:$AH$201,$M357)&gt;0,
     COUNTIFS($AI$3:$AI$201,$M357)&gt;0,
     COUNTIFS($AJ$3:$AJ$201,$M357)&gt;0,
     COUNTIFS($AK$3:$AK$201,$M357)&gt;0,
     COUNTIFS($AL$3:$AL$201,$M357)&gt;0,
     COUNTIFS($AM$3:$AM$201,$M357)&gt;0,
     COUNTIFS($AN$3:$AN$201,$M357)&gt;0,
     COUNTIFS($AO$3:$AO$201,$M357)&gt;0,
     COUNTIFS($AP$3:$AP$201,$M357)&gt;0,
     COUNTIFS($AQ$3:$AQ$201,$M357)&gt;0,
     COUNTIFS($AR$3:$AR$201,$M357)&gt;0,
     COUNTIFS($AS$3:$AS$201,$M357)&gt;0,
     COUNTIFS($AT$3:$AT$201,$M357)&gt;0,
     COUNTIFS($AU$3:$AU$201,$M357)&gt;0,
     COUNTIFS($AV$3:$AV$201,$M357)&gt;0
   )),
  ),
  2
 ),
"")</f>
        <v/>
      </c>
      <c r="Q357" s="2" t="str" cm="1">
        <f t="array" ref="Q357">IFERROR(
 INDEX($U$2:$AV$2,
  _xlfn.AGGREGATE(15,6,
   (COLUMN($U$2:$AV$2)-COLUMN($U$2)+1)/
   TRANSPOSE(
    CHOOSE({1;2;3;4;5;6;7;8;9;10;11;12;13;14;15;16;17;18;19;20;21;22;23;24;25;26;27;28},
     COUNTIFS($U$3:$U$201,$M357)&gt;0,
     COUNTIFS($V$3:$V$201,$M357)&gt;0,
     COUNTIFS($W$3:$W$201,$M357)&gt;0,
     COUNTIFS($X$3:$X$201,$M357)&gt;0,
     COUNTIFS($Y$3:$Y$201,$M357)&gt;0,
     COUNTIFS($Z$3:$Z$201,$M357)&gt;0,
     COUNTIFS($AA$3:$AA$201,$M357)&gt;0,
     COUNTIFS($AB$3:$AB$201,$M357)&gt;0,
     COUNTIFS($AC$3:$AC$201,$M357)&gt;0,
     COUNTIFS($AD$3:$AD$201,$M357)&gt;0,
     COUNTIFS($AE$3:$AE$201,$M357)&gt;0,
     COUNTIFS($AF$3:$AF$201,$M357)&gt;0,
     COUNTIFS($AG$3:$AG$201,$M357)&gt;0,
     COUNTIFS($AH$3:$AH$201,$M357)&gt;0,
     COUNTIFS($AI$3:$AI$201,$M357)&gt;0,
     COUNTIFS($AJ$3:$AJ$201,$M357)&gt;0,
     COUNTIFS($AK$3:$AK$201,$M357)&gt;0,
     COUNTIFS($AL$3:$AL$201,$M357)&gt;0,
     COUNTIFS($AM$3:$AM$201,$M357)&gt;0,
     COUNTIFS($AN$3:$AN$201,$M357)&gt;0,
     COUNTIFS($AO$3:$AO$201,$M357)&gt;0,
     COUNTIFS($AP$3:$AP$201,$M357)&gt;0,
     COUNTIFS($AQ$3:$AQ$201,$M357)&gt;0,
     COUNTIFS($AR$3:$AR$201,$M357)&gt;0,
     COUNTIFS($AS$3:$AS$201,$M357)&gt;0,
     COUNTIFS($AT$3:$AT$201,$M357)&gt;0,
     COUNTIFS($AU$3:$AU$201,$M357)&gt;0,
     COUNTIFS($AV$3:$AV$201,$M357)&gt;0
   )),
  3)
 ),
"")</f>
        <v/>
      </c>
    </row>
    <row r="358" spans="1:17" x14ac:dyDescent="0.25">
      <c r="A358" t="str">
        <f ca="1"/>
        <v>Restoration Angel</v>
      </c>
      <c r="B358" s="2" t="str" cm="1">
        <f t="array" aca="1" ref="B358" ca="1">_xlfn.ANCHORARRAY(RESUMO!C357)</f>
        <v>Yorion</v>
      </c>
      <c r="C358" s="2" t="str">
        <f t="shared" ca="1" si="21"/>
        <v/>
      </c>
      <c r="F358" s="2">
        <f t="shared" si="24"/>
        <v>0</v>
      </c>
      <c r="G358" s="2" t="str">
        <f t="shared" ca="1" si="22"/>
        <v/>
      </c>
      <c r="N358" s="2">
        <f t="shared" si="23"/>
        <v>0</v>
      </c>
      <c r="O358" s="2" t="str">
        <f>IFERROR(
 INDEX($U$2:$AX$2,
  MATCH(TRUE,
   CHOOSE({1;2;3;4;5;6;7;8;9;10;11;12;13;14;15;16;17;18;19;20;21;22;23;24;25;26;27;28;29;30;31;32},
    COUNTIFS($U$3:$U$201,$M358)&gt;0,
    COUNTIFS($V$3:$V$201,$M358)&gt;0,
    COUNTIFS($W$3:$W$201,$M358)&gt;0,
    COUNTIFS($X$3:$X$201,$M358)&gt;0,
    COUNTIFS($Y$3:$Y$201,$M358)&gt;0,
    COUNTIFS($Z$3:$Z$201,$M358)&gt;0,
    COUNTIFS($AA$3:$AA$201,$M358)&gt;0,
    COUNTIFS($AB$3:$AB$201,$M358)&gt;0,
    COUNTIFS($AC$3:$AC$201,$M358)&gt;0,
    COUNTIFS($AD$3:$AD$201,$M358)&gt;0,
    COUNTIFS($AE$3:$AE$201,$M358)&gt;0,
    COUNTIFS($AF$3:$AF$201,$M358)&gt;0,
    COUNTIFS($AG$3:$AG$201,$M358)&gt;0,
    COUNTIFS($AH$3:$AH$201,$M358)&gt;0,
    COUNTIFS($AI$3:$AI$201,$M358)&gt;0,
    COUNTIFS($AJ$3:$AJ$201,$M358)&gt;0,
    COUNTIFS($AK$3:$AK$201,$M358)&gt;0,
    COUNTIFS($AL$3:$AL$201,$M358)&gt;0,
    COUNTIFS($AM$3:$AM$201,$M358)&gt;0,
    COUNTIFS($AN$3:$AN$201,$M358)&gt;0,
    COUNTIFS($AO$3:$AO$201,$M358)&gt;0,
    COUNTIFS($AP$3:$AP$201,$M358)&gt;0,
    COUNTIFS($AQ$3:$AQ$201,$M358)&gt;0,
    COUNTIFS($AR$3:$AR$201,$M358)&gt;0,
    COUNTIFS($AS$3:$AS$201,$M358)&gt;0,
    COUNTIFS($AT$3:$AT$201,$M358)&gt;0,
    COUNTIFS($AU$3:$AU$201,$M358)&gt;0,
    COUNTIFS($AV$3:$AV$201,$M358)&gt;0,
    COUNTIFS($AW$3:$AW$201,$M358)&gt;0,
    COUNTIFS($AX$3:$AX$201,$M358)&gt;0
   ),
  0)
 ),
"")</f>
        <v/>
      </c>
      <c r="P358" s="2" t="str" cm="1">
        <f t="array" ref="P358">IFERROR(
 INDEX(
  _xlfn._xlws.FILTER($U$2:$AV$2,
   TRANSPOSE(
    CHOOSE({1;2;3;4;5;6;7;8;9;10;11;12;13;14;15;16;17;18;19;20;21;22;23;24;25;26;27;28},
     COUNTIFS($U$3:$U$201,$M358)&gt;0,
     COUNTIFS($V$3:$V$201,$M358)&gt;0,
     COUNTIFS($W$3:$W$201,$M358)&gt;0,
     COUNTIFS($X$3:$X$201,$M358)&gt;0,
     COUNTIFS($Y$3:$Y$201,$M358)&gt;0,
     COUNTIFS($Z$3:$Z$201,$M358)&gt;0,
     COUNTIFS($AA$3:$AA$201,$M358)&gt;0,
     COUNTIFS($AB$3:$AB$201,$M358)&gt;0,
     COUNTIFS($AC$3:$AC$201,$M358)&gt;0,
     COUNTIFS($AD$3:$AD$201,$M358)&gt;0,
     COUNTIFS($AE$3:$AE$201,$M358)&gt;0,
     COUNTIFS($AF$3:$AF$201,$M358)&gt;0,
     COUNTIFS($AG$3:$AG$201,$M358)&gt;0,
     COUNTIFS($AH$3:$AH$201,$M358)&gt;0,
     COUNTIFS($AI$3:$AI$201,$M358)&gt;0,
     COUNTIFS($AJ$3:$AJ$201,$M358)&gt;0,
     COUNTIFS($AK$3:$AK$201,$M358)&gt;0,
     COUNTIFS($AL$3:$AL$201,$M358)&gt;0,
     COUNTIFS($AM$3:$AM$201,$M358)&gt;0,
     COUNTIFS($AN$3:$AN$201,$M358)&gt;0,
     COUNTIFS($AO$3:$AO$201,$M358)&gt;0,
     COUNTIFS($AP$3:$AP$201,$M358)&gt;0,
     COUNTIFS($AQ$3:$AQ$201,$M358)&gt;0,
     COUNTIFS($AR$3:$AR$201,$M358)&gt;0,
     COUNTIFS($AS$3:$AS$201,$M358)&gt;0,
     COUNTIFS($AT$3:$AT$201,$M358)&gt;0,
     COUNTIFS($AU$3:$AU$201,$M358)&gt;0,
     COUNTIFS($AV$3:$AV$201,$M358)&gt;0
   )),
  ),
  2
 ),
"")</f>
        <v/>
      </c>
      <c r="Q358" s="2" t="str" cm="1">
        <f t="array" ref="Q358">IFERROR(
 INDEX($U$2:$AV$2,
  _xlfn.AGGREGATE(15,6,
   (COLUMN($U$2:$AV$2)-COLUMN($U$2)+1)/
   TRANSPOSE(
    CHOOSE({1;2;3;4;5;6;7;8;9;10;11;12;13;14;15;16;17;18;19;20;21;22;23;24;25;26;27;28},
     COUNTIFS($U$3:$U$201,$M358)&gt;0,
     COUNTIFS($V$3:$V$201,$M358)&gt;0,
     COUNTIFS($W$3:$W$201,$M358)&gt;0,
     COUNTIFS($X$3:$X$201,$M358)&gt;0,
     COUNTIFS($Y$3:$Y$201,$M358)&gt;0,
     COUNTIFS($Z$3:$Z$201,$M358)&gt;0,
     COUNTIFS($AA$3:$AA$201,$M358)&gt;0,
     COUNTIFS($AB$3:$AB$201,$M358)&gt;0,
     COUNTIFS($AC$3:$AC$201,$M358)&gt;0,
     COUNTIFS($AD$3:$AD$201,$M358)&gt;0,
     COUNTIFS($AE$3:$AE$201,$M358)&gt;0,
     COUNTIFS($AF$3:$AF$201,$M358)&gt;0,
     COUNTIFS($AG$3:$AG$201,$M358)&gt;0,
     COUNTIFS($AH$3:$AH$201,$M358)&gt;0,
     COUNTIFS($AI$3:$AI$201,$M358)&gt;0,
     COUNTIFS($AJ$3:$AJ$201,$M358)&gt;0,
     COUNTIFS($AK$3:$AK$201,$M358)&gt;0,
     COUNTIFS($AL$3:$AL$201,$M358)&gt;0,
     COUNTIFS($AM$3:$AM$201,$M358)&gt;0,
     COUNTIFS($AN$3:$AN$201,$M358)&gt;0,
     COUNTIFS($AO$3:$AO$201,$M358)&gt;0,
     COUNTIFS($AP$3:$AP$201,$M358)&gt;0,
     COUNTIFS($AQ$3:$AQ$201,$M358)&gt;0,
     COUNTIFS($AR$3:$AR$201,$M358)&gt;0,
     COUNTIFS($AS$3:$AS$201,$M358)&gt;0,
     COUNTIFS($AT$3:$AT$201,$M358)&gt;0,
     COUNTIFS($AU$3:$AU$201,$M358)&gt;0,
     COUNTIFS($AV$3:$AV$201,$M358)&gt;0
   )),
  3)
 ),
"")</f>
        <v/>
      </c>
    </row>
    <row r="359" spans="1:17" x14ac:dyDescent="0.25">
      <c r="A359" t="str">
        <f ca="1"/>
        <v>Return from the Wilds</v>
      </c>
      <c r="B359" s="2" t="str" cm="1">
        <f t="array" aca="1" ref="B359" ca="1">_xlfn.ANCHORARRAY(RESUMO!C358)</f>
        <v>Baylen</v>
      </c>
      <c r="C359" s="2" t="str">
        <f t="shared" ca="1" si="21"/>
        <v/>
      </c>
      <c r="F359" s="2">
        <f t="shared" si="24"/>
        <v>0</v>
      </c>
      <c r="G359" s="2" t="str">
        <f t="shared" ca="1" si="22"/>
        <v/>
      </c>
      <c r="N359" s="2">
        <f t="shared" si="23"/>
        <v>0</v>
      </c>
      <c r="O359" s="2" t="str">
        <f>IFERROR(
 INDEX($U$2:$AX$2,
  MATCH(TRUE,
   CHOOSE({1;2;3;4;5;6;7;8;9;10;11;12;13;14;15;16;17;18;19;20;21;22;23;24;25;26;27;28;29;30;31;32},
    COUNTIFS($U$3:$U$201,$M359)&gt;0,
    COUNTIFS($V$3:$V$201,$M359)&gt;0,
    COUNTIFS($W$3:$W$201,$M359)&gt;0,
    COUNTIFS($X$3:$X$201,$M359)&gt;0,
    COUNTIFS($Y$3:$Y$201,$M359)&gt;0,
    COUNTIFS($Z$3:$Z$201,$M359)&gt;0,
    COUNTIFS($AA$3:$AA$201,$M359)&gt;0,
    COUNTIFS($AB$3:$AB$201,$M359)&gt;0,
    COUNTIFS($AC$3:$AC$201,$M359)&gt;0,
    COUNTIFS($AD$3:$AD$201,$M359)&gt;0,
    COUNTIFS($AE$3:$AE$201,$M359)&gt;0,
    COUNTIFS($AF$3:$AF$201,$M359)&gt;0,
    COUNTIFS($AG$3:$AG$201,$M359)&gt;0,
    COUNTIFS($AH$3:$AH$201,$M359)&gt;0,
    COUNTIFS($AI$3:$AI$201,$M359)&gt;0,
    COUNTIFS($AJ$3:$AJ$201,$M359)&gt;0,
    COUNTIFS($AK$3:$AK$201,$M359)&gt;0,
    COUNTIFS($AL$3:$AL$201,$M359)&gt;0,
    COUNTIFS($AM$3:$AM$201,$M359)&gt;0,
    COUNTIFS($AN$3:$AN$201,$M359)&gt;0,
    COUNTIFS($AO$3:$AO$201,$M359)&gt;0,
    COUNTIFS($AP$3:$AP$201,$M359)&gt;0,
    COUNTIFS($AQ$3:$AQ$201,$M359)&gt;0,
    COUNTIFS($AR$3:$AR$201,$M359)&gt;0,
    COUNTIFS($AS$3:$AS$201,$M359)&gt;0,
    COUNTIFS($AT$3:$AT$201,$M359)&gt;0,
    COUNTIFS($AU$3:$AU$201,$M359)&gt;0,
    COUNTIFS($AV$3:$AV$201,$M359)&gt;0,
    COUNTIFS($AW$3:$AW$201,$M359)&gt;0,
    COUNTIFS($AX$3:$AX$201,$M359)&gt;0
   ),
  0)
 ),
"")</f>
        <v/>
      </c>
      <c r="P359" s="2" t="str" cm="1">
        <f t="array" ref="P359">IFERROR(
 INDEX(
  _xlfn._xlws.FILTER($U$2:$AV$2,
   TRANSPOSE(
    CHOOSE({1;2;3;4;5;6;7;8;9;10;11;12;13;14;15;16;17;18;19;20;21;22;23;24;25;26;27;28},
     COUNTIFS($U$3:$U$201,$M359)&gt;0,
     COUNTIFS($V$3:$V$201,$M359)&gt;0,
     COUNTIFS($W$3:$W$201,$M359)&gt;0,
     COUNTIFS($X$3:$X$201,$M359)&gt;0,
     COUNTIFS($Y$3:$Y$201,$M359)&gt;0,
     COUNTIFS($Z$3:$Z$201,$M359)&gt;0,
     COUNTIFS($AA$3:$AA$201,$M359)&gt;0,
     COUNTIFS($AB$3:$AB$201,$M359)&gt;0,
     COUNTIFS($AC$3:$AC$201,$M359)&gt;0,
     COUNTIFS($AD$3:$AD$201,$M359)&gt;0,
     COUNTIFS($AE$3:$AE$201,$M359)&gt;0,
     COUNTIFS($AF$3:$AF$201,$M359)&gt;0,
     COUNTIFS($AG$3:$AG$201,$M359)&gt;0,
     COUNTIFS($AH$3:$AH$201,$M359)&gt;0,
     COUNTIFS($AI$3:$AI$201,$M359)&gt;0,
     COUNTIFS($AJ$3:$AJ$201,$M359)&gt;0,
     COUNTIFS($AK$3:$AK$201,$M359)&gt;0,
     COUNTIFS($AL$3:$AL$201,$M359)&gt;0,
     COUNTIFS($AM$3:$AM$201,$M359)&gt;0,
     COUNTIFS($AN$3:$AN$201,$M359)&gt;0,
     COUNTIFS($AO$3:$AO$201,$M359)&gt;0,
     COUNTIFS($AP$3:$AP$201,$M359)&gt;0,
     COUNTIFS($AQ$3:$AQ$201,$M359)&gt;0,
     COUNTIFS($AR$3:$AR$201,$M359)&gt;0,
     COUNTIFS($AS$3:$AS$201,$M359)&gt;0,
     COUNTIFS($AT$3:$AT$201,$M359)&gt;0,
     COUNTIFS($AU$3:$AU$201,$M359)&gt;0,
     COUNTIFS($AV$3:$AV$201,$M359)&gt;0
   )),
  ),
  2
 ),
"")</f>
        <v/>
      </c>
      <c r="Q359" s="2" t="str" cm="1">
        <f t="array" ref="Q359">IFERROR(
 INDEX($U$2:$AV$2,
  _xlfn.AGGREGATE(15,6,
   (COLUMN($U$2:$AV$2)-COLUMN($U$2)+1)/
   TRANSPOSE(
    CHOOSE({1;2;3;4;5;6;7;8;9;10;11;12;13;14;15;16;17;18;19;20;21;22;23;24;25;26;27;28},
     COUNTIFS($U$3:$U$201,$M359)&gt;0,
     COUNTIFS($V$3:$V$201,$M359)&gt;0,
     COUNTIFS($W$3:$W$201,$M359)&gt;0,
     COUNTIFS($X$3:$X$201,$M359)&gt;0,
     COUNTIFS($Y$3:$Y$201,$M359)&gt;0,
     COUNTIFS($Z$3:$Z$201,$M359)&gt;0,
     COUNTIFS($AA$3:$AA$201,$M359)&gt;0,
     COUNTIFS($AB$3:$AB$201,$M359)&gt;0,
     COUNTIFS($AC$3:$AC$201,$M359)&gt;0,
     COUNTIFS($AD$3:$AD$201,$M359)&gt;0,
     COUNTIFS($AE$3:$AE$201,$M359)&gt;0,
     COUNTIFS($AF$3:$AF$201,$M359)&gt;0,
     COUNTIFS($AG$3:$AG$201,$M359)&gt;0,
     COUNTIFS($AH$3:$AH$201,$M359)&gt;0,
     COUNTIFS($AI$3:$AI$201,$M359)&gt;0,
     COUNTIFS($AJ$3:$AJ$201,$M359)&gt;0,
     COUNTIFS($AK$3:$AK$201,$M359)&gt;0,
     COUNTIFS($AL$3:$AL$201,$M359)&gt;0,
     COUNTIFS($AM$3:$AM$201,$M359)&gt;0,
     COUNTIFS($AN$3:$AN$201,$M359)&gt;0,
     COUNTIFS($AO$3:$AO$201,$M359)&gt;0,
     COUNTIFS($AP$3:$AP$201,$M359)&gt;0,
     COUNTIFS($AQ$3:$AQ$201,$M359)&gt;0,
     COUNTIFS($AR$3:$AR$201,$M359)&gt;0,
     COUNTIFS($AS$3:$AS$201,$M359)&gt;0,
     COUNTIFS($AT$3:$AT$201,$M359)&gt;0,
     COUNTIFS($AU$3:$AU$201,$M359)&gt;0,
     COUNTIFS($AV$3:$AV$201,$M359)&gt;0
   )),
  3)
 ),
"")</f>
        <v/>
      </c>
    </row>
    <row r="360" spans="1:17" x14ac:dyDescent="0.25">
      <c r="A360" t="str">
        <f ca="1"/>
        <v>Rewind</v>
      </c>
      <c r="B360" s="2" t="str" cm="1">
        <f t="array" aca="1" ref="B360" ca="1">_xlfn.ANCHORARRAY(RESUMO!C359)</f>
        <v>4cRash</v>
      </c>
      <c r="C360" s="2" t="str">
        <f t="shared" ca="1" si="21"/>
        <v/>
      </c>
      <c r="F360" s="2">
        <f t="shared" si="24"/>
        <v>0</v>
      </c>
      <c r="G360" s="2" t="str">
        <f t="shared" ca="1" si="22"/>
        <v/>
      </c>
      <c r="N360" s="2">
        <f t="shared" si="23"/>
        <v>0</v>
      </c>
      <c r="O360" s="2" t="str">
        <f>IFERROR(
 INDEX($U$2:$AX$2,
  MATCH(TRUE,
   CHOOSE({1;2;3;4;5;6;7;8;9;10;11;12;13;14;15;16;17;18;19;20;21;22;23;24;25;26;27;28;29;30;31;32},
    COUNTIFS($U$3:$U$201,$M360)&gt;0,
    COUNTIFS($V$3:$V$201,$M360)&gt;0,
    COUNTIFS($W$3:$W$201,$M360)&gt;0,
    COUNTIFS($X$3:$X$201,$M360)&gt;0,
    COUNTIFS($Y$3:$Y$201,$M360)&gt;0,
    COUNTIFS($Z$3:$Z$201,$M360)&gt;0,
    COUNTIFS($AA$3:$AA$201,$M360)&gt;0,
    COUNTIFS($AB$3:$AB$201,$M360)&gt;0,
    COUNTIFS($AC$3:$AC$201,$M360)&gt;0,
    COUNTIFS($AD$3:$AD$201,$M360)&gt;0,
    COUNTIFS($AE$3:$AE$201,$M360)&gt;0,
    COUNTIFS($AF$3:$AF$201,$M360)&gt;0,
    COUNTIFS($AG$3:$AG$201,$M360)&gt;0,
    COUNTIFS($AH$3:$AH$201,$M360)&gt;0,
    COUNTIFS($AI$3:$AI$201,$M360)&gt;0,
    COUNTIFS($AJ$3:$AJ$201,$M360)&gt;0,
    COUNTIFS($AK$3:$AK$201,$M360)&gt;0,
    COUNTIFS($AL$3:$AL$201,$M360)&gt;0,
    COUNTIFS($AM$3:$AM$201,$M360)&gt;0,
    COUNTIFS($AN$3:$AN$201,$M360)&gt;0,
    COUNTIFS($AO$3:$AO$201,$M360)&gt;0,
    COUNTIFS($AP$3:$AP$201,$M360)&gt;0,
    COUNTIFS($AQ$3:$AQ$201,$M360)&gt;0,
    COUNTIFS($AR$3:$AR$201,$M360)&gt;0,
    COUNTIFS($AS$3:$AS$201,$M360)&gt;0,
    COUNTIFS($AT$3:$AT$201,$M360)&gt;0,
    COUNTIFS($AU$3:$AU$201,$M360)&gt;0,
    COUNTIFS($AV$3:$AV$201,$M360)&gt;0,
    COUNTIFS($AW$3:$AW$201,$M360)&gt;0,
    COUNTIFS($AX$3:$AX$201,$M360)&gt;0
   ),
  0)
 ),
"")</f>
        <v/>
      </c>
      <c r="P360" s="2" t="str" cm="1">
        <f t="array" ref="P360">IFERROR(
 INDEX(
  _xlfn._xlws.FILTER($U$2:$AV$2,
   TRANSPOSE(
    CHOOSE({1;2;3;4;5;6;7;8;9;10;11;12;13;14;15;16;17;18;19;20;21;22;23;24;25;26;27;28},
     COUNTIFS($U$3:$U$201,$M360)&gt;0,
     COUNTIFS($V$3:$V$201,$M360)&gt;0,
     COUNTIFS($W$3:$W$201,$M360)&gt;0,
     COUNTIFS($X$3:$X$201,$M360)&gt;0,
     COUNTIFS($Y$3:$Y$201,$M360)&gt;0,
     COUNTIFS($Z$3:$Z$201,$M360)&gt;0,
     COUNTIFS($AA$3:$AA$201,$M360)&gt;0,
     COUNTIFS($AB$3:$AB$201,$M360)&gt;0,
     COUNTIFS($AC$3:$AC$201,$M360)&gt;0,
     COUNTIFS($AD$3:$AD$201,$M360)&gt;0,
     COUNTIFS($AE$3:$AE$201,$M360)&gt;0,
     COUNTIFS($AF$3:$AF$201,$M360)&gt;0,
     COUNTIFS($AG$3:$AG$201,$M360)&gt;0,
     COUNTIFS($AH$3:$AH$201,$M360)&gt;0,
     COUNTIFS($AI$3:$AI$201,$M360)&gt;0,
     COUNTIFS($AJ$3:$AJ$201,$M360)&gt;0,
     COUNTIFS($AK$3:$AK$201,$M360)&gt;0,
     COUNTIFS($AL$3:$AL$201,$M360)&gt;0,
     COUNTIFS($AM$3:$AM$201,$M360)&gt;0,
     COUNTIFS($AN$3:$AN$201,$M360)&gt;0,
     COUNTIFS($AO$3:$AO$201,$M360)&gt;0,
     COUNTIFS($AP$3:$AP$201,$M360)&gt;0,
     COUNTIFS($AQ$3:$AQ$201,$M360)&gt;0,
     COUNTIFS($AR$3:$AR$201,$M360)&gt;0,
     COUNTIFS($AS$3:$AS$201,$M360)&gt;0,
     COUNTIFS($AT$3:$AT$201,$M360)&gt;0,
     COUNTIFS($AU$3:$AU$201,$M360)&gt;0,
     COUNTIFS($AV$3:$AV$201,$M360)&gt;0
   )),
  ),
  2
 ),
"")</f>
        <v/>
      </c>
      <c r="Q360" s="2" t="str" cm="1">
        <f t="array" ref="Q360">IFERROR(
 INDEX($U$2:$AV$2,
  _xlfn.AGGREGATE(15,6,
   (COLUMN($U$2:$AV$2)-COLUMN($U$2)+1)/
   TRANSPOSE(
    CHOOSE({1;2;3;4;5;6;7;8;9;10;11;12;13;14;15;16;17;18;19;20;21;22;23;24;25;26;27;28},
     COUNTIFS($U$3:$U$201,$M360)&gt;0,
     COUNTIFS($V$3:$V$201,$M360)&gt;0,
     COUNTIFS($W$3:$W$201,$M360)&gt;0,
     COUNTIFS($X$3:$X$201,$M360)&gt;0,
     COUNTIFS($Y$3:$Y$201,$M360)&gt;0,
     COUNTIFS($Z$3:$Z$201,$M360)&gt;0,
     COUNTIFS($AA$3:$AA$201,$M360)&gt;0,
     COUNTIFS($AB$3:$AB$201,$M360)&gt;0,
     COUNTIFS($AC$3:$AC$201,$M360)&gt;0,
     COUNTIFS($AD$3:$AD$201,$M360)&gt;0,
     COUNTIFS($AE$3:$AE$201,$M360)&gt;0,
     COUNTIFS($AF$3:$AF$201,$M360)&gt;0,
     COUNTIFS($AG$3:$AG$201,$M360)&gt;0,
     COUNTIFS($AH$3:$AH$201,$M360)&gt;0,
     COUNTIFS($AI$3:$AI$201,$M360)&gt;0,
     COUNTIFS($AJ$3:$AJ$201,$M360)&gt;0,
     COUNTIFS($AK$3:$AK$201,$M360)&gt;0,
     COUNTIFS($AL$3:$AL$201,$M360)&gt;0,
     COUNTIFS($AM$3:$AM$201,$M360)&gt;0,
     COUNTIFS($AN$3:$AN$201,$M360)&gt;0,
     COUNTIFS($AO$3:$AO$201,$M360)&gt;0,
     COUNTIFS($AP$3:$AP$201,$M360)&gt;0,
     COUNTIFS($AQ$3:$AQ$201,$M360)&gt;0,
     COUNTIFS($AR$3:$AR$201,$M360)&gt;0,
     COUNTIFS($AS$3:$AS$201,$M360)&gt;0,
     COUNTIFS($AT$3:$AT$201,$M360)&gt;0,
     COUNTIFS($AU$3:$AU$201,$M360)&gt;0,
     COUNTIFS($AV$3:$AV$201,$M360)&gt;0
   )),
  3)
 ),
"")</f>
        <v/>
      </c>
    </row>
    <row r="361" spans="1:17" x14ac:dyDescent="0.25">
      <c r="A361" t="str">
        <f ca="1"/>
        <v>Reyhan, Last of the Abzan</v>
      </c>
      <c r="B361" s="2" t="str" cm="1">
        <f t="array" aca="1" ref="B361" ca="1">_xlfn.ANCHORARRAY(RESUMO!C360)</f>
        <v>Tayam</v>
      </c>
      <c r="C361" s="2" t="str">
        <f t="shared" ca="1" si="21"/>
        <v/>
      </c>
      <c r="F361" s="2">
        <f t="shared" si="24"/>
        <v>0</v>
      </c>
      <c r="G361" s="2" t="str">
        <f t="shared" ca="1" si="22"/>
        <v/>
      </c>
      <c r="N361" s="2">
        <f t="shared" si="23"/>
        <v>0</v>
      </c>
      <c r="O361" s="2" t="str">
        <f>IFERROR(
 INDEX($U$2:$AX$2,
  MATCH(TRUE,
   CHOOSE({1;2;3;4;5;6;7;8;9;10;11;12;13;14;15;16;17;18;19;20;21;22;23;24;25;26;27;28;29;30;31;32},
    COUNTIFS($U$3:$U$201,$M361)&gt;0,
    COUNTIFS($V$3:$V$201,$M361)&gt;0,
    COUNTIFS($W$3:$W$201,$M361)&gt;0,
    COUNTIFS($X$3:$X$201,$M361)&gt;0,
    COUNTIFS($Y$3:$Y$201,$M361)&gt;0,
    COUNTIFS($Z$3:$Z$201,$M361)&gt;0,
    COUNTIFS($AA$3:$AA$201,$M361)&gt;0,
    COUNTIFS($AB$3:$AB$201,$M361)&gt;0,
    COUNTIFS($AC$3:$AC$201,$M361)&gt;0,
    COUNTIFS($AD$3:$AD$201,$M361)&gt;0,
    COUNTIFS($AE$3:$AE$201,$M361)&gt;0,
    COUNTIFS($AF$3:$AF$201,$M361)&gt;0,
    COUNTIFS($AG$3:$AG$201,$M361)&gt;0,
    COUNTIFS($AH$3:$AH$201,$M361)&gt;0,
    COUNTIFS($AI$3:$AI$201,$M361)&gt;0,
    COUNTIFS($AJ$3:$AJ$201,$M361)&gt;0,
    COUNTIFS($AK$3:$AK$201,$M361)&gt;0,
    COUNTIFS($AL$3:$AL$201,$M361)&gt;0,
    COUNTIFS($AM$3:$AM$201,$M361)&gt;0,
    COUNTIFS($AN$3:$AN$201,$M361)&gt;0,
    COUNTIFS($AO$3:$AO$201,$M361)&gt;0,
    COUNTIFS($AP$3:$AP$201,$M361)&gt;0,
    COUNTIFS($AQ$3:$AQ$201,$M361)&gt;0,
    COUNTIFS($AR$3:$AR$201,$M361)&gt;0,
    COUNTIFS($AS$3:$AS$201,$M361)&gt;0,
    COUNTIFS($AT$3:$AT$201,$M361)&gt;0,
    COUNTIFS($AU$3:$AU$201,$M361)&gt;0,
    COUNTIFS($AV$3:$AV$201,$M361)&gt;0,
    COUNTIFS($AW$3:$AW$201,$M361)&gt;0,
    COUNTIFS($AX$3:$AX$201,$M361)&gt;0
   ),
  0)
 ),
"")</f>
        <v/>
      </c>
      <c r="P361" s="2" t="str" cm="1">
        <f t="array" ref="P361">IFERROR(
 INDEX(
  _xlfn._xlws.FILTER($U$2:$AV$2,
   TRANSPOSE(
    CHOOSE({1;2;3;4;5;6;7;8;9;10;11;12;13;14;15;16;17;18;19;20;21;22;23;24;25;26;27;28},
     COUNTIFS($U$3:$U$201,$M361)&gt;0,
     COUNTIFS($V$3:$V$201,$M361)&gt;0,
     COUNTIFS($W$3:$W$201,$M361)&gt;0,
     COUNTIFS($X$3:$X$201,$M361)&gt;0,
     COUNTIFS($Y$3:$Y$201,$M361)&gt;0,
     COUNTIFS($Z$3:$Z$201,$M361)&gt;0,
     COUNTIFS($AA$3:$AA$201,$M361)&gt;0,
     COUNTIFS($AB$3:$AB$201,$M361)&gt;0,
     COUNTIFS($AC$3:$AC$201,$M361)&gt;0,
     COUNTIFS($AD$3:$AD$201,$M361)&gt;0,
     COUNTIFS($AE$3:$AE$201,$M361)&gt;0,
     COUNTIFS($AF$3:$AF$201,$M361)&gt;0,
     COUNTIFS($AG$3:$AG$201,$M361)&gt;0,
     COUNTIFS($AH$3:$AH$201,$M361)&gt;0,
     COUNTIFS($AI$3:$AI$201,$M361)&gt;0,
     COUNTIFS($AJ$3:$AJ$201,$M361)&gt;0,
     COUNTIFS($AK$3:$AK$201,$M361)&gt;0,
     COUNTIFS($AL$3:$AL$201,$M361)&gt;0,
     COUNTIFS($AM$3:$AM$201,$M361)&gt;0,
     COUNTIFS($AN$3:$AN$201,$M361)&gt;0,
     COUNTIFS($AO$3:$AO$201,$M361)&gt;0,
     COUNTIFS($AP$3:$AP$201,$M361)&gt;0,
     COUNTIFS($AQ$3:$AQ$201,$M361)&gt;0,
     COUNTIFS($AR$3:$AR$201,$M361)&gt;0,
     COUNTIFS($AS$3:$AS$201,$M361)&gt;0,
     COUNTIFS($AT$3:$AT$201,$M361)&gt;0,
     COUNTIFS($AU$3:$AU$201,$M361)&gt;0,
     COUNTIFS($AV$3:$AV$201,$M361)&gt;0
   )),
  ),
  2
 ),
"")</f>
        <v/>
      </c>
      <c r="Q361" s="2" t="str" cm="1">
        <f t="array" ref="Q361">IFERROR(
 INDEX($U$2:$AV$2,
  _xlfn.AGGREGATE(15,6,
   (COLUMN($U$2:$AV$2)-COLUMN($U$2)+1)/
   TRANSPOSE(
    CHOOSE({1;2;3;4;5;6;7;8;9;10;11;12;13;14;15;16;17;18;19;20;21;22;23;24;25;26;27;28},
     COUNTIFS($U$3:$U$201,$M361)&gt;0,
     COUNTIFS($V$3:$V$201,$M361)&gt;0,
     COUNTIFS($W$3:$W$201,$M361)&gt;0,
     COUNTIFS($X$3:$X$201,$M361)&gt;0,
     COUNTIFS($Y$3:$Y$201,$M361)&gt;0,
     COUNTIFS($Z$3:$Z$201,$M361)&gt;0,
     COUNTIFS($AA$3:$AA$201,$M361)&gt;0,
     COUNTIFS($AB$3:$AB$201,$M361)&gt;0,
     COUNTIFS($AC$3:$AC$201,$M361)&gt;0,
     COUNTIFS($AD$3:$AD$201,$M361)&gt;0,
     COUNTIFS($AE$3:$AE$201,$M361)&gt;0,
     COUNTIFS($AF$3:$AF$201,$M361)&gt;0,
     COUNTIFS($AG$3:$AG$201,$M361)&gt;0,
     COUNTIFS($AH$3:$AH$201,$M361)&gt;0,
     COUNTIFS($AI$3:$AI$201,$M361)&gt;0,
     COUNTIFS($AJ$3:$AJ$201,$M361)&gt;0,
     COUNTIFS($AK$3:$AK$201,$M361)&gt;0,
     COUNTIFS($AL$3:$AL$201,$M361)&gt;0,
     COUNTIFS($AM$3:$AM$201,$M361)&gt;0,
     COUNTIFS($AN$3:$AN$201,$M361)&gt;0,
     COUNTIFS($AO$3:$AO$201,$M361)&gt;0,
     COUNTIFS($AP$3:$AP$201,$M361)&gt;0,
     COUNTIFS($AQ$3:$AQ$201,$M361)&gt;0,
     COUNTIFS($AR$3:$AR$201,$M361)&gt;0,
     COUNTIFS($AS$3:$AS$201,$M361)&gt;0,
     COUNTIFS($AT$3:$AT$201,$M361)&gt;0,
     COUNTIFS($AU$3:$AU$201,$M361)&gt;0,
     COUNTIFS($AV$3:$AV$201,$M361)&gt;0
   )),
  3)
 ),
"")</f>
        <v/>
      </c>
    </row>
    <row r="362" spans="1:17" x14ac:dyDescent="0.25">
      <c r="A362" t="str">
        <f ca="1"/>
        <v>Rimekin Recluse</v>
      </c>
      <c r="B362" s="2" t="str" cm="1">
        <f t="array" aca="1" ref="B362" ca="1">_xlfn.ANCHORARRAY(RESUMO!C361)</f>
        <v>Inalla</v>
      </c>
      <c r="C362" s="2" t="str">
        <f t="shared" ca="1" si="21"/>
        <v/>
      </c>
      <c r="F362" s="2">
        <f t="shared" si="24"/>
        <v>0</v>
      </c>
      <c r="G362" s="2" t="str">
        <f t="shared" ca="1" si="22"/>
        <v/>
      </c>
      <c r="N362" s="2">
        <f t="shared" si="23"/>
        <v>0</v>
      </c>
      <c r="O362" s="2" t="str">
        <f>IFERROR(
 INDEX($U$2:$AX$2,
  MATCH(TRUE,
   CHOOSE({1;2;3;4;5;6;7;8;9;10;11;12;13;14;15;16;17;18;19;20;21;22;23;24;25;26;27;28;29;30;31;32},
    COUNTIFS($U$3:$U$201,$M362)&gt;0,
    COUNTIFS($V$3:$V$201,$M362)&gt;0,
    COUNTIFS($W$3:$W$201,$M362)&gt;0,
    COUNTIFS($X$3:$X$201,$M362)&gt;0,
    COUNTIFS($Y$3:$Y$201,$M362)&gt;0,
    COUNTIFS($Z$3:$Z$201,$M362)&gt;0,
    COUNTIFS($AA$3:$AA$201,$M362)&gt;0,
    COUNTIFS($AB$3:$AB$201,$M362)&gt;0,
    COUNTIFS($AC$3:$AC$201,$M362)&gt;0,
    COUNTIFS($AD$3:$AD$201,$M362)&gt;0,
    COUNTIFS($AE$3:$AE$201,$M362)&gt;0,
    COUNTIFS($AF$3:$AF$201,$M362)&gt;0,
    COUNTIFS($AG$3:$AG$201,$M362)&gt;0,
    COUNTIFS($AH$3:$AH$201,$M362)&gt;0,
    COUNTIFS($AI$3:$AI$201,$M362)&gt;0,
    COUNTIFS($AJ$3:$AJ$201,$M362)&gt;0,
    COUNTIFS($AK$3:$AK$201,$M362)&gt;0,
    COUNTIFS($AL$3:$AL$201,$M362)&gt;0,
    COUNTIFS($AM$3:$AM$201,$M362)&gt;0,
    COUNTIFS($AN$3:$AN$201,$M362)&gt;0,
    COUNTIFS($AO$3:$AO$201,$M362)&gt;0,
    COUNTIFS($AP$3:$AP$201,$M362)&gt;0,
    COUNTIFS($AQ$3:$AQ$201,$M362)&gt;0,
    COUNTIFS($AR$3:$AR$201,$M362)&gt;0,
    COUNTIFS($AS$3:$AS$201,$M362)&gt;0,
    COUNTIFS($AT$3:$AT$201,$M362)&gt;0,
    COUNTIFS($AU$3:$AU$201,$M362)&gt;0,
    COUNTIFS($AV$3:$AV$201,$M362)&gt;0,
    COUNTIFS($AW$3:$AW$201,$M362)&gt;0,
    COUNTIFS($AX$3:$AX$201,$M362)&gt;0
   ),
  0)
 ),
"")</f>
        <v/>
      </c>
      <c r="P362" s="2" t="str" cm="1">
        <f t="array" ref="P362">IFERROR(
 INDEX(
  _xlfn._xlws.FILTER($U$2:$AV$2,
   TRANSPOSE(
    CHOOSE({1;2;3;4;5;6;7;8;9;10;11;12;13;14;15;16;17;18;19;20;21;22;23;24;25;26;27;28},
     COUNTIFS($U$3:$U$201,$M362)&gt;0,
     COUNTIFS($V$3:$V$201,$M362)&gt;0,
     COUNTIFS($W$3:$W$201,$M362)&gt;0,
     COUNTIFS($X$3:$X$201,$M362)&gt;0,
     COUNTIFS($Y$3:$Y$201,$M362)&gt;0,
     COUNTIFS($Z$3:$Z$201,$M362)&gt;0,
     COUNTIFS($AA$3:$AA$201,$M362)&gt;0,
     COUNTIFS($AB$3:$AB$201,$M362)&gt;0,
     COUNTIFS($AC$3:$AC$201,$M362)&gt;0,
     COUNTIFS($AD$3:$AD$201,$M362)&gt;0,
     COUNTIFS($AE$3:$AE$201,$M362)&gt;0,
     COUNTIFS($AF$3:$AF$201,$M362)&gt;0,
     COUNTIFS($AG$3:$AG$201,$M362)&gt;0,
     COUNTIFS($AH$3:$AH$201,$M362)&gt;0,
     COUNTIFS($AI$3:$AI$201,$M362)&gt;0,
     COUNTIFS($AJ$3:$AJ$201,$M362)&gt;0,
     COUNTIFS($AK$3:$AK$201,$M362)&gt;0,
     COUNTIFS($AL$3:$AL$201,$M362)&gt;0,
     COUNTIFS($AM$3:$AM$201,$M362)&gt;0,
     COUNTIFS($AN$3:$AN$201,$M362)&gt;0,
     COUNTIFS($AO$3:$AO$201,$M362)&gt;0,
     COUNTIFS($AP$3:$AP$201,$M362)&gt;0,
     COUNTIFS($AQ$3:$AQ$201,$M362)&gt;0,
     COUNTIFS($AR$3:$AR$201,$M362)&gt;0,
     COUNTIFS($AS$3:$AS$201,$M362)&gt;0,
     COUNTIFS($AT$3:$AT$201,$M362)&gt;0,
     COUNTIFS($AU$3:$AU$201,$M362)&gt;0,
     COUNTIFS($AV$3:$AV$201,$M362)&gt;0
   )),
  ),
  2
 ),
"")</f>
        <v/>
      </c>
      <c r="Q362" s="2" t="str" cm="1">
        <f t="array" ref="Q362">IFERROR(
 INDEX($U$2:$AV$2,
  _xlfn.AGGREGATE(15,6,
   (COLUMN($U$2:$AV$2)-COLUMN($U$2)+1)/
   TRANSPOSE(
    CHOOSE({1;2;3;4;5;6;7;8;9;10;11;12;13;14;15;16;17;18;19;20;21;22;23;24;25;26;27;28},
     COUNTIFS($U$3:$U$201,$M362)&gt;0,
     COUNTIFS($V$3:$V$201,$M362)&gt;0,
     COUNTIFS($W$3:$W$201,$M362)&gt;0,
     COUNTIFS($X$3:$X$201,$M362)&gt;0,
     COUNTIFS($Y$3:$Y$201,$M362)&gt;0,
     COUNTIFS($Z$3:$Z$201,$M362)&gt;0,
     COUNTIFS($AA$3:$AA$201,$M362)&gt;0,
     COUNTIFS($AB$3:$AB$201,$M362)&gt;0,
     COUNTIFS($AC$3:$AC$201,$M362)&gt;0,
     COUNTIFS($AD$3:$AD$201,$M362)&gt;0,
     COUNTIFS($AE$3:$AE$201,$M362)&gt;0,
     COUNTIFS($AF$3:$AF$201,$M362)&gt;0,
     COUNTIFS($AG$3:$AG$201,$M362)&gt;0,
     COUNTIFS($AH$3:$AH$201,$M362)&gt;0,
     COUNTIFS($AI$3:$AI$201,$M362)&gt;0,
     COUNTIFS($AJ$3:$AJ$201,$M362)&gt;0,
     COUNTIFS($AK$3:$AK$201,$M362)&gt;0,
     COUNTIFS($AL$3:$AL$201,$M362)&gt;0,
     COUNTIFS($AM$3:$AM$201,$M362)&gt;0,
     COUNTIFS($AN$3:$AN$201,$M362)&gt;0,
     COUNTIFS($AO$3:$AO$201,$M362)&gt;0,
     COUNTIFS($AP$3:$AP$201,$M362)&gt;0,
     COUNTIFS($AQ$3:$AQ$201,$M362)&gt;0,
     COUNTIFS($AR$3:$AR$201,$M362)&gt;0,
     COUNTIFS($AS$3:$AS$201,$M362)&gt;0,
     COUNTIFS($AT$3:$AT$201,$M362)&gt;0,
     COUNTIFS($AU$3:$AU$201,$M362)&gt;0,
     COUNTIFS($AV$3:$AV$201,$M362)&gt;0
   )),
  3)
 ),
"")</f>
        <v/>
      </c>
    </row>
    <row r="363" spans="1:17" x14ac:dyDescent="0.25">
      <c r="A363" t="str">
        <f ca="1"/>
        <v>Rings of Brighthearth</v>
      </c>
      <c r="B363" s="2" t="str" cm="1">
        <f t="array" aca="1" ref="B363" ca="1">_xlfn.ANCHORARRAY(RESUMO!C362)</f>
        <v>Muzzio</v>
      </c>
      <c r="C363" s="2" t="str">
        <f t="shared" ca="1" si="21"/>
        <v/>
      </c>
      <c r="F363" s="2">
        <f t="shared" si="24"/>
        <v>0</v>
      </c>
      <c r="G363" s="2" t="str">
        <f t="shared" ca="1" si="22"/>
        <v/>
      </c>
      <c r="N363" s="2">
        <f t="shared" si="23"/>
        <v>0</v>
      </c>
      <c r="O363" s="2" t="str">
        <f>IFERROR(
 INDEX($U$2:$AX$2,
  MATCH(TRUE,
   CHOOSE({1;2;3;4;5;6;7;8;9;10;11;12;13;14;15;16;17;18;19;20;21;22;23;24;25;26;27;28;29;30;31;32},
    COUNTIFS($U$3:$U$201,$M363)&gt;0,
    COUNTIFS($V$3:$V$201,$M363)&gt;0,
    COUNTIFS($W$3:$W$201,$M363)&gt;0,
    COUNTIFS($X$3:$X$201,$M363)&gt;0,
    COUNTIFS($Y$3:$Y$201,$M363)&gt;0,
    COUNTIFS($Z$3:$Z$201,$M363)&gt;0,
    COUNTIFS($AA$3:$AA$201,$M363)&gt;0,
    COUNTIFS($AB$3:$AB$201,$M363)&gt;0,
    COUNTIFS($AC$3:$AC$201,$M363)&gt;0,
    COUNTIFS($AD$3:$AD$201,$M363)&gt;0,
    COUNTIFS($AE$3:$AE$201,$M363)&gt;0,
    COUNTIFS($AF$3:$AF$201,$M363)&gt;0,
    COUNTIFS($AG$3:$AG$201,$M363)&gt;0,
    COUNTIFS($AH$3:$AH$201,$M363)&gt;0,
    COUNTIFS($AI$3:$AI$201,$M363)&gt;0,
    COUNTIFS($AJ$3:$AJ$201,$M363)&gt;0,
    COUNTIFS($AK$3:$AK$201,$M363)&gt;0,
    COUNTIFS($AL$3:$AL$201,$M363)&gt;0,
    COUNTIFS($AM$3:$AM$201,$M363)&gt;0,
    COUNTIFS($AN$3:$AN$201,$M363)&gt;0,
    COUNTIFS($AO$3:$AO$201,$M363)&gt;0,
    COUNTIFS($AP$3:$AP$201,$M363)&gt;0,
    COUNTIFS($AQ$3:$AQ$201,$M363)&gt;0,
    COUNTIFS($AR$3:$AR$201,$M363)&gt;0,
    COUNTIFS($AS$3:$AS$201,$M363)&gt;0,
    COUNTIFS($AT$3:$AT$201,$M363)&gt;0,
    COUNTIFS($AU$3:$AU$201,$M363)&gt;0,
    COUNTIFS($AV$3:$AV$201,$M363)&gt;0,
    COUNTIFS($AW$3:$AW$201,$M363)&gt;0,
    COUNTIFS($AX$3:$AX$201,$M363)&gt;0
   ),
  0)
 ),
"")</f>
        <v/>
      </c>
      <c r="P363" s="2" t="str" cm="1">
        <f t="array" ref="P363">IFERROR(
 INDEX(
  _xlfn._xlws.FILTER($U$2:$AV$2,
   TRANSPOSE(
    CHOOSE({1;2;3;4;5;6;7;8;9;10;11;12;13;14;15;16;17;18;19;20;21;22;23;24;25;26;27;28},
     COUNTIFS($U$3:$U$201,$M363)&gt;0,
     COUNTIFS($V$3:$V$201,$M363)&gt;0,
     COUNTIFS($W$3:$W$201,$M363)&gt;0,
     COUNTIFS($X$3:$X$201,$M363)&gt;0,
     COUNTIFS($Y$3:$Y$201,$M363)&gt;0,
     COUNTIFS($Z$3:$Z$201,$M363)&gt;0,
     COUNTIFS($AA$3:$AA$201,$M363)&gt;0,
     COUNTIFS($AB$3:$AB$201,$M363)&gt;0,
     COUNTIFS($AC$3:$AC$201,$M363)&gt;0,
     COUNTIFS($AD$3:$AD$201,$M363)&gt;0,
     COUNTIFS($AE$3:$AE$201,$M363)&gt;0,
     COUNTIFS($AF$3:$AF$201,$M363)&gt;0,
     COUNTIFS($AG$3:$AG$201,$M363)&gt;0,
     COUNTIFS($AH$3:$AH$201,$M363)&gt;0,
     COUNTIFS($AI$3:$AI$201,$M363)&gt;0,
     COUNTIFS($AJ$3:$AJ$201,$M363)&gt;0,
     COUNTIFS($AK$3:$AK$201,$M363)&gt;0,
     COUNTIFS($AL$3:$AL$201,$M363)&gt;0,
     COUNTIFS($AM$3:$AM$201,$M363)&gt;0,
     COUNTIFS($AN$3:$AN$201,$M363)&gt;0,
     COUNTIFS($AO$3:$AO$201,$M363)&gt;0,
     COUNTIFS($AP$3:$AP$201,$M363)&gt;0,
     COUNTIFS($AQ$3:$AQ$201,$M363)&gt;0,
     COUNTIFS($AR$3:$AR$201,$M363)&gt;0,
     COUNTIFS($AS$3:$AS$201,$M363)&gt;0,
     COUNTIFS($AT$3:$AT$201,$M363)&gt;0,
     COUNTIFS($AU$3:$AU$201,$M363)&gt;0,
     COUNTIFS($AV$3:$AV$201,$M363)&gt;0
   )),
  ),
  2
 ),
"")</f>
        <v/>
      </c>
      <c r="Q363" s="2" t="str" cm="1">
        <f t="array" ref="Q363">IFERROR(
 INDEX($U$2:$AV$2,
  _xlfn.AGGREGATE(15,6,
   (COLUMN($U$2:$AV$2)-COLUMN($U$2)+1)/
   TRANSPOSE(
    CHOOSE({1;2;3;4;5;6;7;8;9;10;11;12;13;14;15;16;17;18;19;20;21;22;23;24;25;26;27;28},
     COUNTIFS($U$3:$U$201,$M363)&gt;0,
     COUNTIFS($V$3:$V$201,$M363)&gt;0,
     COUNTIFS($W$3:$W$201,$M363)&gt;0,
     COUNTIFS($X$3:$X$201,$M363)&gt;0,
     COUNTIFS($Y$3:$Y$201,$M363)&gt;0,
     COUNTIFS($Z$3:$Z$201,$M363)&gt;0,
     COUNTIFS($AA$3:$AA$201,$M363)&gt;0,
     COUNTIFS($AB$3:$AB$201,$M363)&gt;0,
     COUNTIFS($AC$3:$AC$201,$M363)&gt;0,
     COUNTIFS($AD$3:$AD$201,$M363)&gt;0,
     COUNTIFS($AE$3:$AE$201,$M363)&gt;0,
     COUNTIFS($AF$3:$AF$201,$M363)&gt;0,
     COUNTIFS($AG$3:$AG$201,$M363)&gt;0,
     COUNTIFS($AH$3:$AH$201,$M363)&gt;0,
     COUNTIFS($AI$3:$AI$201,$M363)&gt;0,
     COUNTIFS($AJ$3:$AJ$201,$M363)&gt;0,
     COUNTIFS($AK$3:$AK$201,$M363)&gt;0,
     COUNTIFS($AL$3:$AL$201,$M363)&gt;0,
     COUNTIFS($AM$3:$AM$201,$M363)&gt;0,
     COUNTIFS($AN$3:$AN$201,$M363)&gt;0,
     COUNTIFS($AO$3:$AO$201,$M363)&gt;0,
     COUNTIFS($AP$3:$AP$201,$M363)&gt;0,
     COUNTIFS($AQ$3:$AQ$201,$M363)&gt;0,
     COUNTIFS($AR$3:$AR$201,$M363)&gt;0,
     COUNTIFS($AS$3:$AS$201,$M363)&gt;0,
     COUNTIFS($AT$3:$AT$201,$M363)&gt;0,
     COUNTIFS($AU$3:$AU$201,$M363)&gt;0,
     COUNTIFS($AV$3:$AV$201,$M363)&gt;0
   )),
  3)
 ),
"")</f>
        <v/>
      </c>
    </row>
    <row r="364" spans="1:17" x14ac:dyDescent="0.25">
      <c r="A364" t="str">
        <f ca="1"/>
        <v>Ripples of Potential</v>
      </c>
      <c r="B364" s="2" t="str" cm="1">
        <f t="array" aca="1" ref="B364" ca="1">_xlfn.ANCHORARRAY(RESUMO!C363)</f>
        <v>Sisay</v>
      </c>
      <c r="C364" s="2" t="str">
        <f t="shared" ca="1" si="21"/>
        <v/>
      </c>
      <c r="F364" s="2">
        <f t="shared" si="24"/>
        <v>0</v>
      </c>
      <c r="G364" s="2" t="str">
        <f t="shared" ca="1" si="22"/>
        <v/>
      </c>
      <c r="N364" s="2">
        <f t="shared" si="23"/>
        <v>0</v>
      </c>
      <c r="O364" s="2" t="str">
        <f>IFERROR(
 INDEX($U$2:$AX$2,
  MATCH(TRUE,
   CHOOSE({1;2;3;4;5;6;7;8;9;10;11;12;13;14;15;16;17;18;19;20;21;22;23;24;25;26;27;28;29;30;31;32},
    COUNTIFS($U$3:$U$201,$M364)&gt;0,
    COUNTIFS($V$3:$V$201,$M364)&gt;0,
    COUNTIFS($W$3:$W$201,$M364)&gt;0,
    COUNTIFS($X$3:$X$201,$M364)&gt;0,
    COUNTIFS($Y$3:$Y$201,$M364)&gt;0,
    COUNTIFS($Z$3:$Z$201,$M364)&gt;0,
    COUNTIFS($AA$3:$AA$201,$M364)&gt;0,
    COUNTIFS($AB$3:$AB$201,$M364)&gt;0,
    COUNTIFS($AC$3:$AC$201,$M364)&gt;0,
    COUNTIFS($AD$3:$AD$201,$M364)&gt;0,
    COUNTIFS($AE$3:$AE$201,$M364)&gt;0,
    COUNTIFS($AF$3:$AF$201,$M364)&gt;0,
    COUNTIFS($AG$3:$AG$201,$M364)&gt;0,
    COUNTIFS($AH$3:$AH$201,$M364)&gt;0,
    COUNTIFS($AI$3:$AI$201,$M364)&gt;0,
    COUNTIFS($AJ$3:$AJ$201,$M364)&gt;0,
    COUNTIFS($AK$3:$AK$201,$M364)&gt;0,
    COUNTIFS($AL$3:$AL$201,$M364)&gt;0,
    COUNTIFS($AM$3:$AM$201,$M364)&gt;0,
    COUNTIFS($AN$3:$AN$201,$M364)&gt;0,
    COUNTIFS($AO$3:$AO$201,$M364)&gt;0,
    COUNTIFS($AP$3:$AP$201,$M364)&gt;0,
    COUNTIFS($AQ$3:$AQ$201,$M364)&gt;0,
    COUNTIFS($AR$3:$AR$201,$M364)&gt;0,
    COUNTIFS($AS$3:$AS$201,$M364)&gt;0,
    COUNTIFS($AT$3:$AT$201,$M364)&gt;0,
    COUNTIFS($AU$3:$AU$201,$M364)&gt;0,
    COUNTIFS($AV$3:$AV$201,$M364)&gt;0,
    COUNTIFS($AW$3:$AW$201,$M364)&gt;0,
    COUNTIFS($AX$3:$AX$201,$M364)&gt;0
   ),
  0)
 ),
"")</f>
        <v/>
      </c>
      <c r="P364" s="2" t="str" cm="1">
        <f t="array" ref="P364">IFERROR(
 INDEX(
  _xlfn._xlws.FILTER($U$2:$AV$2,
   TRANSPOSE(
    CHOOSE({1;2;3;4;5;6;7;8;9;10;11;12;13;14;15;16;17;18;19;20;21;22;23;24;25;26;27;28},
     COUNTIFS($U$3:$U$201,$M364)&gt;0,
     COUNTIFS($V$3:$V$201,$M364)&gt;0,
     COUNTIFS($W$3:$W$201,$M364)&gt;0,
     COUNTIFS($X$3:$X$201,$M364)&gt;0,
     COUNTIFS($Y$3:$Y$201,$M364)&gt;0,
     COUNTIFS($Z$3:$Z$201,$M364)&gt;0,
     COUNTIFS($AA$3:$AA$201,$M364)&gt;0,
     COUNTIFS($AB$3:$AB$201,$M364)&gt;0,
     COUNTIFS($AC$3:$AC$201,$M364)&gt;0,
     COUNTIFS($AD$3:$AD$201,$M364)&gt;0,
     COUNTIFS($AE$3:$AE$201,$M364)&gt;0,
     COUNTIFS($AF$3:$AF$201,$M364)&gt;0,
     COUNTIFS($AG$3:$AG$201,$M364)&gt;0,
     COUNTIFS($AH$3:$AH$201,$M364)&gt;0,
     COUNTIFS($AI$3:$AI$201,$M364)&gt;0,
     COUNTIFS($AJ$3:$AJ$201,$M364)&gt;0,
     COUNTIFS($AK$3:$AK$201,$M364)&gt;0,
     COUNTIFS($AL$3:$AL$201,$M364)&gt;0,
     COUNTIFS($AM$3:$AM$201,$M364)&gt;0,
     COUNTIFS($AN$3:$AN$201,$M364)&gt;0,
     COUNTIFS($AO$3:$AO$201,$M364)&gt;0,
     COUNTIFS($AP$3:$AP$201,$M364)&gt;0,
     COUNTIFS($AQ$3:$AQ$201,$M364)&gt;0,
     COUNTIFS($AR$3:$AR$201,$M364)&gt;0,
     COUNTIFS($AS$3:$AS$201,$M364)&gt;0,
     COUNTIFS($AT$3:$AT$201,$M364)&gt;0,
     COUNTIFS($AU$3:$AU$201,$M364)&gt;0,
     COUNTIFS($AV$3:$AV$201,$M364)&gt;0
   )),
  ),
  2
 ),
"")</f>
        <v/>
      </c>
      <c r="Q364" s="2" t="str" cm="1">
        <f t="array" ref="Q364">IFERROR(
 INDEX($U$2:$AV$2,
  _xlfn.AGGREGATE(15,6,
   (COLUMN($U$2:$AV$2)-COLUMN($U$2)+1)/
   TRANSPOSE(
    CHOOSE({1;2;3;4;5;6;7;8;9;10;11;12;13;14;15;16;17;18;19;20;21;22;23;24;25;26;27;28},
     COUNTIFS($U$3:$U$201,$M364)&gt;0,
     COUNTIFS($V$3:$V$201,$M364)&gt;0,
     COUNTIFS($W$3:$W$201,$M364)&gt;0,
     COUNTIFS($X$3:$X$201,$M364)&gt;0,
     COUNTIFS($Y$3:$Y$201,$M364)&gt;0,
     COUNTIFS($Z$3:$Z$201,$M364)&gt;0,
     COUNTIFS($AA$3:$AA$201,$M364)&gt;0,
     COUNTIFS($AB$3:$AB$201,$M364)&gt;0,
     COUNTIFS($AC$3:$AC$201,$M364)&gt;0,
     COUNTIFS($AD$3:$AD$201,$M364)&gt;0,
     COUNTIFS($AE$3:$AE$201,$M364)&gt;0,
     COUNTIFS($AF$3:$AF$201,$M364)&gt;0,
     COUNTIFS($AG$3:$AG$201,$M364)&gt;0,
     COUNTIFS($AH$3:$AH$201,$M364)&gt;0,
     COUNTIFS($AI$3:$AI$201,$M364)&gt;0,
     COUNTIFS($AJ$3:$AJ$201,$M364)&gt;0,
     COUNTIFS($AK$3:$AK$201,$M364)&gt;0,
     COUNTIFS($AL$3:$AL$201,$M364)&gt;0,
     COUNTIFS($AM$3:$AM$201,$M364)&gt;0,
     COUNTIFS($AN$3:$AN$201,$M364)&gt;0,
     COUNTIFS($AO$3:$AO$201,$M364)&gt;0,
     COUNTIFS($AP$3:$AP$201,$M364)&gt;0,
     COUNTIFS($AQ$3:$AQ$201,$M364)&gt;0,
     COUNTIFS($AR$3:$AR$201,$M364)&gt;0,
     COUNTIFS($AS$3:$AS$201,$M364)&gt;0,
     COUNTIFS($AT$3:$AT$201,$M364)&gt;0,
     COUNTIFS($AU$3:$AU$201,$M364)&gt;0,
     COUNTIFS($AV$3:$AV$201,$M364)&gt;0
   )),
  3)
 ),
"")</f>
        <v/>
      </c>
    </row>
    <row r="365" spans="1:17" x14ac:dyDescent="0.25">
      <c r="A365" t="str">
        <f ca="1"/>
        <v>Ripples of Undeath</v>
      </c>
      <c r="B365" s="2" t="str" cm="1">
        <f t="array" aca="1" ref="B365" ca="1">_xlfn.ANCHORARRAY(RESUMO!C364)</f>
        <v>Gitrog</v>
      </c>
      <c r="C365" s="2" t="str">
        <f t="shared" ca="1" si="21"/>
        <v/>
      </c>
      <c r="F365" s="2">
        <f t="shared" si="24"/>
        <v>0</v>
      </c>
      <c r="G365" s="2" t="str">
        <f t="shared" ca="1" si="22"/>
        <v/>
      </c>
      <c r="N365" s="2">
        <f t="shared" si="23"/>
        <v>0</v>
      </c>
      <c r="O365" s="2" t="str">
        <f>IFERROR(
 INDEX($U$2:$AX$2,
  MATCH(TRUE,
   CHOOSE({1;2;3;4;5;6;7;8;9;10;11;12;13;14;15;16;17;18;19;20;21;22;23;24;25;26;27;28;29;30;31;32},
    COUNTIFS($U$3:$U$201,$M365)&gt;0,
    COUNTIFS($V$3:$V$201,$M365)&gt;0,
    COUNTIFS($W$3:$W$201,$M365)&gt;0,
    COUNTIFS($X$3:$X$201,$M365)&gt;0,
    COUNTIFS($Y$3:$Y$201,$M365)&gt;0,
    COUNTIFS($Z$3:$Z$201,$M365)&gt;0,
    COUNTIFS($AA$3:$AA$201,$M365)&gt;0,
    COUNTIFS($AB$3:$AB$201,$M365)&gt;0,
    COUNTIFS($AC$3:$AC$201,$M365)&gt;0,
    COUNTIFS($AD$3:$AD$201,$M365)&gt;0,
    COUNTIFS($AE$3:$AE$201,$M365)&gt;0,
    COUNTIFS($AF$3:$AF$201,$M365)&gt;0,
    COUNTIFS($AG$3:$AG$201,$M365)&gt;0,
    COUNTIFS($AH$3:$AH$201,$M365)&gt;0,
    COUNTIFS($AI$3:$AI$201,$M365)&gt;0,
    COUNTIFS($AJ$3:$AJ$201,$M365)&gt;0,
    COUNTIFS($AK$3:$AK$201,$M365)&gt;0,
    COUNTIFS($AL$3:$AL$201,$M365)&gt;0,
    COUNTIFS($AM$3:$AM$201,$M365)&gt;0,
    COUNTIFS($AN$3:$AN$201,$M365)&gt;0,
    COUNTIFS($AO$3:$AO$201,$M365)&gt;0,
    COUNTIFS($AP$3:$AP$201,$M365)&gt;0,
    COUNTIFS($AQ$3:$AQ$201,$M365)&gt;0,
    COUNTIFS($AR$3:$AR$201,$M365)&gt;0,
    COUNTIFS($AS$3:$AS$201,$M365)&gt;0,
    COUNTIFS($AT$3:$AT$201,$M365)&gt;0,
    COUNTIFS($AU$3:$AU$201,$M365)&gt;0,
    COUNTIFS($AV$3:$AV$201,$M365)&gt;0,
    COUNTIFS($AW$3:$AW$201,$M365)&gt;0,
    COUNTIFS($AX$3:$AX$201,$M365)&gt;0
   ),
  0)
 ),
"")</f>
        <v/>
      </c>
      <c r="P365" s="2" t="str" cm="1">
        <f t="array" ref="P365">IFERROR(
 INDEX(
  _xlfn._xlws.FILTER($U$2:$AV$2,
   TRANSPOSE(
    CHOOSE({1;2;3;4;5;6;7;8;9;10;11;12;13;14;15;16;17;18;19;20;21;22;23;24;25;26;27;28},
     COUNTIFS($U$3:$U$201,$M365)&gt;0,
     COUNTIFS($V$3:$V$201,$M365)&gt;0,
     COUNTIFS($W$3:$W$201,$M365)&gt;0,
     COUNTIFS($X$3:$X$201,$M365)&gt;0,
     COUNTIFS($Y$3:$Y$201,$M365)&gt;0,
     COUNTIFS($Z$3:$Z$201,$M365)&gt;0,
     COUNTIFS($AA$3:$AA$201,$M365)&gt;0,
     COUNTIFS($AB$3:$AB$201,$M365)&gt;0,
     COUNTIFS($AC$3:$AC$201,$M365)&gt;0,
     COUNTIFS($AD$3:$AD$201,$M365)&gt;0,
     COUNTIFS($AE$3:$AE$201,$M365)&gt;0,
     COUNTIFS($AF$3:$AF$201,$M365)&gt;0,
     COUNTIFS($AG$3:$AG$201,$M365)&gt;0,
     COUNTIFS($AH$3:$AH$201,$M365)&gt;0,
     COUNTIFS($AI$3:$AI$201,$M365)&gt;0,
     COUNTIFS($AJ$3:$AJ$201,$M365)&gt;0,
     COUNTIFS($AK$3:$AK$201,$M365)&gt;0,
     COUNTIFS($AL$3:$AL$201,$M365)&gt;0,
     COUNTIFS($AM$3:$AM$201,$M365)&gt;0,
     COUNTIFS($AN$3:$AN$201,$M365)&gt;0,
     COUNTIFS($AO$3:$AO$201,$M365)&gt;0,
     COUNTIFS($AP$3:$AP$201,$M365)&gt;0,
     COUNTIFS($AQ$3:$AQ$201,$M365)&gt;0,
     COUNTIFS($AR$3:$AR$201,$M365)&gt;0,
     COUNTIFS($AS$3:$AS$201,$M365)&gt;0,
     COUNTIFS($AT$3:$AT$201,$M365)&gt;0,
     COUNTIFS($AU$3:$AU$201,$M365)&gt;0,
     COUNTIFS($AV$3:$AV$201,$M365)&gt;0
   )),
  ),
  2
 ),
"")</f>
        <v/>
      </c>
      <c r="Q365" s="2" t="str" cm="1">
        <f t="array" ref="Q365">IFERROR(
 INDEX($U$2:$AV$2,
  _xlfn.AGGREGATE(15,6,
   (COLUMN($U$2:$AV$2)-COLUMN($U$2)+1)/
   TRANSPOSE(
    CHOOSE({1;2;3;4;5;6;7;8;9;10;11;12;13;14;15;16;17;18;19;20;21;22;23;24;25;26;27;28},
     COUNTIFS($U$3:$U$201,$M365)&gt;0,
     COUNTIFS($V$3:$V$201,$M365)&gt;0,
     COUNTIFS($W$3:$W$201,$M365)&gt;0,
     COUNTIFS($X$3:$X$201,$M365)&gt;0,
     COUNTIFS($Y$3:$Y$201,$M365)&gt;0,
     COUNTIFS($Z$3:$Z$201,$M365)&gt;0,
     COUNTIFS($AA$3:$AA$201,$M365)&gt;0,
     COUNTIFS($AB$3:$AB$201,$M365)&gt;0,
     COUNTIFS($AC$3:$AC$201,$M365)&gt;0,
     COUNTIFS($AD$3:$AD$201,$M365)&gt;0,
     COUNTIFS($AE$3:$AE$201,$M365)&gt;0,
     COUNTIFS($AF$3:$AF$201,$M365)&gt;0,
     COUNTIFS($AG$3:$AG$201,$M365)&gt;0,
     COUNTIFS($AH$3:$AH$201,$M365)&gt;0,
     COUNTIFS($AI$3:$AI$201,$M365)&gt;0,
     COUNTIFS($AJ$3:$AJ$201,$M365)&gt;0,
     COUNTIFS($AK$3:$AK$201,$M365)&gt;0,
     COUNTIFS($AL$3:$AL$201,$M365)&gt;0,
     COUNTIFS($AM$3:$AM$201,$M365)&gt;0,
     COUNTIFS($AN$3:$AN$201,$M365)&gt;0,
     COUNTIFS($AO$3:$AO$201,$M365)&gt;0,
     COUNTIFS($AP$3:$AP$201,$M365)&gt;0,
     COUNTIFS($AQ$3:$AQ$201,$M365)&gt;0,
     COUNTIFS($AR$3:$AR$201,$M365)&gt;0,
     COUNTIFS($AS$3:$AS$201,$M365)&gt;0,
     COUNTIFS($AT$3:$AT$201,$M365)&gt;0,
     COUNTIFS($AU$3:$AU$201,$M365)&gt;0,
     COUNTIFS($AV$3:$AV$201,$M365)&gt;0
   )),
  3)
 ),
"")</f>
        <v/>
      </c>
    </row>
    <row r="366" spans="1:17" x14ac:dyDescent="0.25">
      <c r="A366" t="str">
        <f ca="1"/>
        <v>Rise of the Eldrazi</v>
      </c>
      <c r="B366" s="2" t="str" cm="1">
        <f t="array" aca="1" ref="B366" ca="1">_xlfn.ANCHORARRAY(RESUMO!C365)</f>
        <v>JhoiraB</v>
      </c>
      <c r="C366" s="2" t="str">
        <f t="shared" ca="1" si="21"/>
        <v/>
      </c>
      <c r="F366" s="2">
        <f t="shared" si="24"/>
        <v>0</v>
      </c>
      <c r="G366" s="2" t="str">
        <f t="shared" ca="1" si="22"/>
        <v/>
      </c>
      <c r="N366" s="2">
        <f t="shared" si="23"/>
        <v>0</v>
      </c>
      <c r="O366" s="2" t="str">
        <f>IFERROR(
 INDEX($U$2:$AX$2,
  MATCH(TRUE,
   CHOOSE({1;2;3;4;5;6;7;8;9;10;11;12;13;14;15;16;17;18;19;20;21;22;23;24;25;26;27;28;29;30;31;32},
    COUNTIFS($U$3:$U$201,$M366)&gt;0,
    COUNTIFS($V$3:$V$201,$M366)&gt;0,
    COUNTIFS($W$3:$W$201,$M366)&gt;0,
    COUNTIFS($X$3:$X$201,$M366)&gt;0,
    COUNTIFS($Y$3:$Y$201,$M366)&gt;0,
    COUNTIFS($Z$3:$Z$201,$M366)&gt;0,
    COUNTIFS($AA$3:$AA$201,$M366)&gt;0,
    COUNTIFS($AB$3:$AB$201,$M366)&gt;0,
    COUNTIFS($AC$3:$AC$201,$M366)&gt;0,
    COUNTIFS($AD$3:$AD$201,$M366)&gt;0,
    COUNTIFS($AE$3:$AE$201,$M366)&gt;0,
    COUNTIFS($AF$3:$AF$201,$M366)&gt;0,
    COUNTIFS($AG$3:$AG$201,$M366)&gt;0,
    COUNTIFS($AH$3:$AH$201,$M366)&gt;0,
    COUNTIFS($AI$3:$AI$201,$M366)&gt;0,
    COUNTIFS($AJ$3:$AJ$201,$M366)&gt;0,
    COUNTIFS($AK$3:$AK$201,$M366)&gt;0,
    COUNTIFS($AL$3:$AL$201,$M366)&gt;0,
    COUNTIFS($AM$3:$AM$201,$M366)&gt;0,
    COUNTIFS($AN$3:$AN$201,$M366)&gt;0,
    COUNTIFS($AO$3:$AO$201,$M366)&gt;0,
    COUNTIFS($AP$3:$AP$201,$M366)&gt;0,
    COUNTIFS($AQ$3:$AQ$201,$M366)&gt;0,
    COUNTIFS($AR$3:$AR$201,$M366)&gt;0,
    COUNTIFS($AS$3:$AS$201,$M366)&gt;0,
    COUNTIFS($AT$3:$AT$201,$M366)&gt;0,
    COUNTIFS($AU$3:$AU$201,$M366)&gt;0,
    COUNTIFS($AV$3:$AV$201,$M366)&gt;0,
    COUNTIFS($AW$3:$AW$201,$M366)&gt;0,
    COUNTIFS($AX$3:$AX$201,$M366)&gt;0
   ),
  0)
 ),
"")</f>
        <v/>
      </c>
      <c r="P366" s="2" t="str" cm="1">
        <f t="array" ref="P366">IFERROR(
 INDEX(
  _xlfn._xlws.FILTER($U$2:$AV$2,
   TRANSPOSE(
    CHOOSE({1;2;3;4;5;6;7;8;9;10;11;12;13;14;15;16;17;18;19;20;21;22;23;24;25;26;27;28},
     COUNTIFS($U$3:$U$201,$M366)&gt;0,
     COUNTIFS($V$3:$V$201,$M366)&gt;0,
     COUNTIFS($W$3:$W$201,$M366)&gt;0,
     COUNTIFS($X$3:$X$201,$M366)&gt;0,
     COUNTIFS($Y$3:$Y$201,$M366)&gt;0,
     COUNTIFS($Z$3:$Z$201,$M366)&gt;0,
     COUNTIFS($AA$3:$AA$201,$M366)&gt;0,
     COUNTIFS($AB$3:$AB$201,$M366)&gt;0,
     COUNTIFS($AC$3:$AC$201,$M366)&gt;0,
     COUNTIFS($AD$3:$AD$201,$M366)&gt;0,
     COUNTIFS($AE$3:$AE$201,$M366)&gt;0,
     COUNTIFS($AF$3:$AF$201,$M366)&gt;0,
     COUNTIFS($AG$3:$AG$201,$M366)&gt;0,
     COUNTIFS($AH$3:$AH$201,$M366)&gt;0,
     COUNTIFS($AI$3:$AI$201,$M366)&gt;0,
     COUNTIFS($AJ$3:$AJ$201,$M366)&gt;0,
     COUNTIFS($AK$3:$AK$201,$M366)&gt;0,
     COUNTIFS($AL$3:$AL$201,$M366)&gt;0,
     COUNTIFS($AM$3:$AM$201,$M366)&gt;0,
     COUNTIFS($AN$3:$AN$201,$M366)&gt;0,
     COUNTIFS($AO$3:$AO$201,$M366)&gt;0,
     COUNTIFS($AP$3:$AP$201,$M366)&gt;0,
     COUNTIFS($AQ$3:$AQ$201,$M366)&gt;0,
     COUNTIFS($AR$3:$AR$201,$M366)&gt;0,
     COUNTIFS($AS$3:$AS$201,$M366)&gt;0,
     COUNTIFS($AT$3:$AT$201,$M366)&gt;0,
     COUNTIFS($AU$3:$AU$201,$M366)&gt;0,
     COUNTIFS($AV$3:$AV$201,$M366)&gt;0
   )),
  ),
  2
 ),
"")</f>
        <v/>
      </c>
      <c r="Q366" s="2" t="str" cm="1">
        <f t="array" ref="Q366">IFERROR(
 INDEX($U$2:$AV$2,
  _xlfn.AGGREGATE(15,6,
   (COLUMN($U$2:$AV$2)-COLUMN($U$2)+1)/
   TRANSPOSE(
    CHOOSE({1;2;3;4;5;6;7;8;9;10;11;12;13;14;15;16;17;18;19;20;21;22;23;24;25;26;27;28},
     COUNTIFS($U$3:$U$201,$M366)&gt;0,
     COUNTIFS($V$3:$V$201,$M366)&gt;0,
     COUNTIFS($W$3:$W$201,$M366)&gt;0,
     COUNTIFS($X$3:$X$201,$M366)&gt;0,
     COUNTIFS($Y$3:$Y$201,$M366)&gt;0,
     COUNTIFS($Z$3:$Z$201,$M366)&gt;0,
     COUNTIFS($AA$3:$AA$201,$M366)&gt;0,
     COUNTIFS($AB$3:$AB$201,$M366)&gt;0,
     COUNTIFS($AC$3:$AC$201,$M366)&gt;0,
     COUNTIFS($AD$3:$AD$201,$M366)&gt;0,
     COUNTIFS($AE$3:$AE$201,$M366)&gt;0,
     COUNTIFS($AF$3:$AF$201,$M366)&gt;0,
     COUNTIFS($AG$3:$AG$201,$M366)&gt;0,
     COUNTIFS($AH$3:$AH$201,$M366)&gt;0,
     COUNTIFS($AI$3:$AI$201,$M366)&gt;0,
     COUNTIFS($AJ$3:$AJ$201,$M366)&gt;0,
     COUNTIFS($AK$3:$AK$201,$M366)&gt;0,
     COUNTIFS($AL$3:$AL$201,$M366)&gt;0,
     COUNTIFS($AM$3:$AM$201,$M366)&gt;0,
     COUNTIFS($AN$3:$AN$201,$M366)&gt;0,
     COUNTIFS($AO$3:$AO$201,$M366)&gt;0,
     COUNTIFS($AP$3:$AP$201,$M366)&gt;0,
     COUNTIFS($AQ$3:$AQ$201,$M366)&gt;0,
     COUNTIFS($AR$3:$AR$201,$M366)&gt;0,
     COUNTIFS($AS$3:$AS$201,$M366)&gt;0,
     COUNTIFS($AT$3:$AT$201,$M366)&gt;0,
     COUNTIFS($AU$3:$AU$201,$M366)&gt;0,
     COUNTIFS($AV$3:$AV$201,$M366)&gt;0
   )),
  3)
 ),
"")</f>
        <v/>
      </c>
    </row>
    <row r="367" spans="1:17" x14ac:dyDescent="0.25">
      <c r="A367" t="str">
        <f ca="1"/>
        <v>Rivendell</v>
      </c>
      <c r="B367" s="2" t="str" cm="1">
        <f t="array" aca="1" ref="B367" ca="1">_xlfn.ANCHORARRAY(RESUMO!C366)</f>
        <v>JhoiraB</v>
      </c>
      <c r="C367" s="2" t="str">
        <f t="shared" ca="1" si="21"/>
        <v/>
      </c>
      <c r="F367" s="2">
        <f t="shared" si="24"/>
        <v>0</v>
      </c>
      <c r="G367" s="2" t="str">
        <f t="shared" ca="1" si="22"/>
        <v/>
      </c>
      <c r="N367" s="2">
        <f t="shared" si="23"/>
        <v>0</v>
      </c>
      <c r="O367" s="2" t="str">
        <f>IFERROR(
 INDEX($U$2:$AX$2,
  MATCH(TRUE,
   CHOOSE({1;2;3;4;5;6;7;8;9;10;11;12;13;14;15;16;17;18;19;20;21;22;23;24;25;26;27;28;29;30;31;32},
    COUNTIFS($U$3:$U$201,$M367)&gt;0,
    COUNTIFS($V$3:$V$201,$M367)&gt;0,
    COUNTIFS($W$3:$W$201,$M367)&gt;0,
    COUNTIFS($X$3:$X$201,$M367)&gt;0,
    COUNTIFS($Y$3:$Y$201,$M367)&gt;0,
    COUNTIFS($Z$3:$Z$201,$M367)&gt;0,
    COUNTIFS($AA$3:$AA$201,$M367)&gt;0,
    COUNTIFS($AB$3:$AB$201,$M367)&gt;0,
    COUNTIFS($AC$3:$AC$201,$M367)&gt;0,
    COUNTIFS($AD$3:$AD$201,$M367)&gt;0,
    COUNTIFS($AE$3:$AE$201,$M367)&gt;0,
    COUNTIFS($AF$3:$AF$201,$M367)&gt;0,
    COUNTIFS($AG$3:$AG$201,$M367)&gt;0,
    COUNTIFS($AH$3:$AH$201,$M367)&gt;0,
    COUNTIFS($AI$3:$AI$201,$M367)&gt;0,
    COUNTIFS($AJ$3:$AJ$201,$M367)&gt;0,
    COUNTIFS($AK$3:$AK$201,$M367)&gt;0,
    COUNTIFS($AL$3:$AL$201,$M367)&gt;0,
    COUNTIFS($AM$3:$AM$201,$M367)&gt;0,
    COUNTIFS($AN$3:$AN$201,$M367)&gt;0,
    COUNTIFS($AO$3:$AO$201,$M367)&gt;0,
    COUNTIFS($AP$3:$AP$201,$M367)&gt;0,
    COUNTIFS($AQ$3:$AQ$201,$M367)&gt;0,
    COUNTIFS($AR$3:$AR$201,$M367)&gt;0,
    COUNTIFS($AS$3:$AS$201,$M367)&gt;0,
    COUNTIFS($AT$3:$AT$201,$M367)&gt;0,
    COUNTIFS($AU$3:$AU$201,$M367)&gt;0,
    COUNTIFS($AV$3:$AV$201,$M367)&gt;0,
    COUNTIFS($AW$3:$AW$201,$M367)&gt;0,
    COUNTIFS($AX$3:$AX$201,$M367)&gt;0
   ),
  0)
 ),
"")</f>
        <v/>
      </c>
      <c r="P367" s="2" t="str" cm="1">
        <f t="array" ref="P367">IFERROR(
 INDEX(
  _xlfn._xlws.FILTER($U$2:$AV$2,
   TRANSPOSE(
    CHOOSE({1;2;3;4;5;6;7;8;9;10;11;12;13;14;15;16;17;18;19;20;21;22;23;24;25;26;27;28},
     COUNTIFS($U$3:$U$201,$M367)&gt;0,
     COUNTIFS($V$3:$V$201,$M367)&gt;0,
     COUNTIFS($W$3:$W$201,$M367)&gt;0,
     COUNTIFS($X$3:$X$201,$M367)&gt;0,
     COUNTIFS($Y$3:$Y$201,$M367)&gt;0,
     COUNTIFS($Z$3:$Z$201,$M367)&gt;0,
     COUNTIFS($AA$3:$AA$201,$M367)&gt;0,
     COUNTIFS($AB$3:$AB$201,$M367)&gt;0,
     COUNTIFS($AC$3:$AC$201,$M367)&gt;0,
     COUNTIFS($AD$3:$AD$201,$M367)&gt;0,
     COUNTIFS($AE$3:$AE$201,$M367)&gt;0,
     COUNTIFS($AF$3:$AF$201,$M367)&gt;0,
     COUNTIFS($AG$3:$AG$201,$M367)&gt;0,
     COUNTIFS($AH$3:$AH$201,$M367)&gt;0,
     COUNTIFS($AI$3:$AI$201,$M367)&gt;0,
     COUNTIFS($AJ$3:$AJ$201,$M367)&gt;0,
     COUNTIFS($AK$3:$AK$201,$M367)&gt;0,
     COUNTIFS($AL$3:$AL$201,$M367)&gt;0,
     COUNTIFS($AM$3:$AM$201,$M367)&gt;0,
     COUNTIFS($AN$3:$AN$201,$M367)&gt;0,
     COUNTIFS($AO$3:$AO$201,$M367)&gt;0,
     COUNTIFS($AP$3:$AP$201,$M367)&gt;0,
     COUNTIFS($AQ$3:$AQ$201,$M367)&gt;0,
     COUNTIFS($AR$3:$AR$201,$M367)&gt;0,
     COUNTIFS($AS$3:$AS$201,$M367)&gt;0,
     COUNTIFS($AT$3:$AT$201,$M367)&gt;0,
     COUNTIFS($AU$3:$AU$201,$M367)&gt;0,
     COUNTIFS($AV$3:$AV$201,$M367)&gt;0
   )),
  ),
  2
 ),
"")</f>
        <v/>
      </c>
      <c r="Q367" s="2" t="str" cm="1">
        <f t="array" ref="Q367">IFERROR(
 INDEX($U$2:$AV$2,
  _xlfn.AGGREGATE(15,6,
   (COLUMN($U$2:$AV$2)-COLUMN($U$2)+1)/
   TRANSPOSE(
    CHOOSE({1;2;3;4;5;6;7;8;9;10;11;12;13;14;15;16;17;18;19;20;21;22;23;24;25;26;27;28},
     COUNTIFS($U$3:$U$201,$M367)&gt;0,
     COUNTIFS($V$3:$V$201,$M367)&gt;0,
     COUNTIFS($W$3:$W$201,$M367)&gt;0,
     COUNTIFS($X$3:$X$201,$M367)&gt;0,
     COUNTIFS($Y$3:$Y$201,$M367)&gt;0,
     COUNTIFS($Z$3:$Z$201,$M367)&gt;0,
     COUNTIFS($AA$3:$AA$201,$M367)&gt;0,
     COUNTIFS($AB$3:$AB$201,$M367)&gt;0,
     COUNTIFS($AC$3:$AC$201,$M367)&gt;0,
     COUNTIFS($AD$3:$AD$201,$M367)&gt;0,
     COUNTIFS($AE$3:$AE$201,$M367)&gt;0,
     COUNTIFS($AF$3:$AF$201,$M367)&gt;0,
     COUNTIFS($AG$3:$AG$201,$M367)&gt;0,
     COUNTIFS($AH$3:$AH$201,$M367)&gt;0,
     COUNTIFS($AI$3:$AI$201,$M367)&gt;0,
     COUNTIFS($AJ$3:$AJ$201,$M367)&gt;0,
     COUNTIFS($AK$3:$AK$201,$M367)&gt;0,
     COUNTIFS($AL$3:$AL$201,$M367)&gt;0,
     COUNTIFS($AM$3:$AM$201,$M367)&gt;0,
     COUNTIFS($AN$3:$AN$201,$M367)&gt;0,
     COUNTIFS($AO$3:$AO$201,$M367)&gt;0,
     COUNTIFS($AP$3:$AP$201,$M367)&gt;0,
     COUNTIFS($AQ$3:$AQ$201,$M367)&gt;0,
     COUNTIFS($AR$3:$AR$201,$M367)&gt;0,
     COUNTIFS($AS$3:$AS$201,$M367)&gt;0,
     COUNTIFS($AT$3:$AT$201,$M367)&gt;0,
     COUNTIFS($AU$3:$AU$201,$M367)&gt;0,
     COUNTIFS($AV$3:$AV$201,$M367)&gt;0
   )),
  3)
 ),
"")</f>
        <v/>
      </c>
    </row>
    <row r="368" spans="1:17" x14ac:dyDescent="0.25">
      <c r="A368" t="str">
        <f ca="1"/>
        <v>Riveteers Charm</v>
      </c>
      <c r="B368" s="2" t="str" cm="1">
        <f t="array" aca="1" ref="B368" ca="1">_xlfn.ANCHORARRAY(RESUMO!C367)</f>
        <v>Kresh</v>
      </c>
      <c r="C368" s="2" t="str">
        <f t="shared" ca="1" si="21"/>
        <v/>
      </c>
      <c r="F368" s="2">
        <f t="shared" si="24"/>
        <v>0</v>
      </c>
      <c r="G368" s="2" t="str">
        <f t="shared" ca="1" si="22"/>
        <v/>
      </c>
      <c r="N368" s="2">
        <f t="shared" si="23"/>
        <v>0</v>
      </c>
      <c r="O368" s="2" t="str">
        <f>IFERROR(
 INDEX($U$2:$AX$2,
  MATCH(TRUE,
   CHOOSE({1;2;3;4;5;6;7;8;9;10;11;12;13;14;15;16;17;18;19;20;21;22;23;24;25;26;27;28;29;30;31;32},
    COUNTIFS($U$3:$U$201,$M368)&gt;0,
    COUNTIFS($V$3:$V$201,$M368)&gt;0,
    COUNTIFS($W$3:$W$201,$M368)&gt;0,
    COUNTIFS($X$3:$X$201,$M368)&gt;0,
    COUNTIFS($Y$3:$Y$201,$M368)&gt;0,
    COUNTIFS($Z$3:$Z$201,$M368)&gt;0,
    COUNTIFS($AA$3:$AA$201,$M368)&gt;0,
    COUNTIFS($AB$3:$AB$201,$M368)&gt;0,
    COUNTIFS($AC$3:$AC$201,$M368)&gt;0,
    COUNTIFS($AD$3:$AD$201,$M368)&gt;0,
    COUNTIFS($AE$3:$AE$201,$M368)&gt;0,
    COUNTIFS($AF$3:$AF$201,$M368)&gt;0,
    COUNTIFS($AG$3:$AG$201,$M368)&gt;0,
    COUNTIFS($AH$3:$AH$201,$M368)&gt;0,
    COUNTIFS($AI$3:$AI$201,$M368)&gt;0,
    COUNTIFS($AJ$3:$AJ$201,$M368)&gt;0,
    COUNTIFS($AK$3:$AK$201,$M368)&gt;0,
    COUNTIFS($AL$3:$AL$201,$M368)&gt;0,
    COUNTIFS($AM$3:$AM$201,$M368)&gt;0,
    COUNTIFS($AN$3:$AN$201,$M368)&gt;0,
    COUNTIFS($AO$3:$AO$201,$M368)&gt;0,
    COUNTIFS($AP$3:$AP$201,$M368)&gt;0,
    COUNTIFS($AQ$3:$AQ$201,$M368)&gt;0,
    COUNTIFS($AR$3:$AR$201,$M368)&gt;0,
    COUNTIFS($AS$3:$AS$201,$M368)&gt;0,
    COUNTIFS($AT$3:$AT$201,$M368)&gt;0,
    COUNTIFS($AU$3:$AU$201,$M368)&gt;0,
    COUNTIFS($AV$3:$AV$201,$M368)&gt;0,
    COUNTIFS($AW$3:$AW$201,$M368)&gt;0,
    COUNTIFS($AX$3:$AX$201,$M368)&gt;0
   ),
  0)
 ),
"")</f>
        <v/>
      </c>
      <c r="P368" s="2" t="str" cm="1">
        <f t="array" ref="P368">IFERROR(
 INDEX(
  _xlfn._xlws.FILTER($U$2:$AV$2,
   TRANSPOSE(
    CHOOSE({1;2;3;4;5;6;7;8;9;10;11;12;13;14;15;16;17;18;19;20;21;22;23;24;25;26;27;28},
     COUNTIFS($U$3:$U$201,$M368)&gt;0,
     COUNTIFS($V$3:$V$201,$M368)&gt;0,
     COUNTIFS($W$3:$W$201,$M368)&gt;0,
     COUNTIFS($X$3:$X$201,$M368)&gt;0,
     COUNTIFS($Y$3:$Y$201,$M368)&gt;0,
     COUNTIFS($Z$3:$Z$201,$M368)&gt;0,
     COUNTIFS($AA$3:$AA$201,$M368)&gt;0,
     COUNTIFS($AB$3:$AB$201,$M368)&gt;0,
     COUNTIFS($AC$3:$AC$201,$M368)&gt;0,
     COUNTIFS($AD$3:$AD$201,$M368)&gt;0,
     COUNTIFS($AE$3:$AE$201,$M368)&gt;0,
     COUNTIFS($AF$3:$AF$201,$M368)&gt;0,
     COUNTIFS($AG$3:$AG$201,$M368)&gt;0,
     COUNTIFS($AH$3:$AH$201,$M368)&gt;0,
     COUNTIFS($AI$3:$AI$201,$M368)&gt;0,
     COUNTIFS($AJ$3:$AJ$201,$M368)&gt;0,
     COUNTIFS($AK$3:$AK$201,$M368)&gt;0,
     COUNTIFS($AL$3:$AL$201,$M368)&gt;0,
     COUNTIFS($AM$3:$AM$201,$M368)&gt;0,
     COUNTIFS($AN$3:$AN$201,$M368)&gt;0,
     COUNTIFS($AO$3:$AO$201,$M368)&gt;0,
     COUNTIFS($AP$3:$AP$201,$M368)&gt;0,
     COUNTIFS($AQ$3:$AQ$201,$M368)&gt;0,
     COUNTIFS($AR$3:$AR$201,$M368)&gt;0,
     COUNTIFS($AS$3:$AS$201,$M368)&gt;0,
     COUNTIFS($AT$3:$AT$201,$M368)&gt;0,
     COUNTIFS($AU$3:$AU$201,$M368)&gt;0,
     COUNTIFS($AV$3:$AV$201,$M368)&gt;0
   )),
  ),
  2
 ),
"")</f>
        <v/>
      </c>
      <c r="Q368" s="2" t="str" cm="1">
        <f t="array" ref="Q368">IFERROR(
 INDEX($U$2:$AV$2,
  _xlfn.AGGREGATE(15,6,
   (COLUMN($U$2:$AV$2)-COLUMN($U$2)+1)/
   TRANSPOSE(
    CHOOSE({1;2;3;4;5;6;7;8;9;10;11;12;13;14;15;16;17;18;19;20;21;22;23;24;25;26;27;28},
     COUNTIFS($U$3:$U$201,$M368)&gt;0,
     COUNTIFS($V$3:$V$201,$M368)&gt;0,
     COUNTIFS($W$3:$W$201,$M368)&gt;0,
     COUNTIFS($X$3:$X$201,$M368)&gt;0,
     COUNTIFS($Y$3:$Y$201,$M368)&gt;0,
     COUNTIFS($Z$3:$Z$201,$M368)&gt;0,
     COUNTIFS($AA$3:$AA$201,$M368)&gt;0,
     COUNTIFS($AB$3:$AB$201,$M368)&gt;0,
     COUNTIFS($AC$3:$AC$201,$M368)&gt;0,
     COUNTIFS($AD$3:$AD$201,$M368)&gt;0,
     COUNTIFS($AE$3:$AE$201,$M368)&gt;0,
     COUNTIFS($AF$3:$AF$201,$M368)&gt;0,
     COUNTIFS($AG$3:$AG$201,$M368)&gt;0,
     COUNTIFS($AH$3:$AH$201,$M368)&gt;0,
     COUNTIFS($AI$3:$AI$201,$M368)&gt;0,
     COUNTIFS($AJ$3:$AJ$201,$M368)&gt;0,
     COUNTIFS($AK$3:$AK$201,$M368)&gt;0,
     COUNTIFS($AL$3:$AL$201,$M368)&gt;0,
     COUNTIFS($AM$3:$AM$201,$M368)&gt;0,
     COUNTIFS($AN$3:$AN$201,$M368)&gt;0,
     COUNTIFS($AO$3:$AO$201,$M368)&gt;0,
     COUNTIFS($AP$3:$AP$201,$M368)&gt;0,
     COUNTIFS($AQ$3:$AQ$201,$M368)&gt;0,
     COUNTIFS($AR$3:$AR$201,$M368)&gt;0,
     COUNTIFS($AS$3:$AS$201,$M368)&gt;0,
     COUNTIFS($AT$3:$AT$201,$M368)&gt;0,
     COUNTIFS($AU$3:$AU$201,$M368)&gt;0,
     COUNTIFS($AV$3:$AV$201,$M368)&gt;0
   )),
  3)
 ),
"")</f>
        <v/>
      </c>
    </row>
    <row r="369" spans="1:17" x14ac:dyDescent="0.25">
      <c r="A369" t="str">
        <f ca="1"/>
        <v>Rogues' Gallery</v>
      </c>
      <c r="B369" s="2" t="str" cm="1">
        <f t="array" aca="1" ref="B369" ca="1">_xlfn.ANCHORARRAY(RESUMO!C368)</f>
        <v>Fractius</v>
      </c>
      <c r="C369" s="2" t="str">
        <f t="shared" ca="1" si="21"/>
        <v/>
      </c>
      <c r="F369" s="2">
        <f t="shared" si="24"/>
        <v>0</v>
      </c>
      <c r="G369" s="2" t="str">
        <f t="shared" ca="1" si="22"/>
        <v/>
      </c>
      <c r="N369" s="2">
        <f t="shared" si="23"/>
        <v>0</v>
      </c>
      <c r="O369" s="2" t="str">
        <f>IFERROR(
 INDEX($U$2:$AX$2,
  MATCH(TRUE,
   CHOOSE({1;2;3;4;5;6;7;8;9;10;11;12;13;14;15;16;17;18;19;20;21;22;23;24;25;26;27;28;29;30;31;32},
    COUNTIFS($U$3:$U$201,$M369)&gt;0,
    COUNTIFS($V$3:$V$201,$M369)&gt;0,
    COUNTIFS($W$3:$W$201,$M369)&gt;0,
    COUNTIFS($X$3:$X$201,$M369)&gt;0,
    COUNTIFS($Y$3:$Y$201,$M369)&gt;0,
    COUNTIFS($Z$3:$Z$201,$M369)&gt;0,
    COUNTIFS($AA$3:$AA$201,$M369)&gt;0,
    COUNTIFS($AB$3:$AB$201,$M369)&gt;0,
    COUNTIFS($AC$3:$AC$201,$M369)&gt;0,
    COUNTIFS($AD$3:$AD$201,$M369)&gt;0,
    COUNTIFS($AE$3:$AE$201,$M369)&gt;0,
    COUNTIFS($AF$3:$AF$201,$M369)&gt;0,
    COUNTIFS($AG$3:$AG$201,$M369)&gt;0,
    COUNTIFS($AH$3:$AH$201,$M369)&gt;0,
    COUNTIFS($AI$3:$AI$201,$M369)&gt;0,
    COUNTIFS($AJ$3:$AJ$201,$M369)&gt;0,
    COUNTIFS($AK$3:$AK$201,$M369)&gt;0,
    COUNTIFS($AL$3:$AL$201,$M369)&gt;0,
    COUNTIFS($AM$3:$AM$201,$M369)&gt;0,
    COUNTIFS($AN$3:$AN$201,$M369)&gt;0,
    COUNTIFS($AO$3:$AO$201,$M369)&gt;0,
    COUNTIFS($AP$3:$AP$201,$M369)&gt;0,
    COUNTIFS($AQ$3:$AQ$201,$M369)&gt;0,
    COUNTIFS($AR$3:$AR$201,$M369)&gt;0,
    COUNTIFS($AS$3:$AS$201,$M369)&gt;0,
    COUNTIFS($AT$3:$AT$201,$M369)&gt;0,
    COUNTIFS($AU$3:$AU$201,$M369)&gt;0,
    COUNTIFS($AV$3:$AV$201,$M369)&gt;0,
    COUNTIFS($AW$3:$AW$201,$M369)&gt;0,
    COUNTIFS($AX$3:$AX$201,$M369)&gt;0
   ),
  0)
 ),
"")</f>
        <v/>
      </c>
      <c r="P369" s="2" t="str" cm="1">
        <f t="array" ref="P369">IFERROR(
 INDEX(
  _xlfn._xlws.FILTER($U$2:$AV$2,
   TRANSPOSE(
    CHOOSE({1;2;3;4;5;6;7;8;9;10;11;12;13;14;15;16;17;18;19;20;21;22;23;24;25;26;27;28},
     COUNTIFS($U$3:$U$201,$M369)&gt;0,
     COUNTIFS($V$3:$V$201,$M369)&gt;0,
     COUNTIFS($W$3:$W$201,$M369)&gt;0,
     COUNTIFS($X$3:$X$201,$M369)&gt;0,
     COUNTIFS($Y$3:$Y$201,$M369)&gt;0,
     COUNTIFS($Z$3:$Z$201,$M369)&gt;0,
     COUNTIFS($AA$3:$AA$201,$M369)&gt;0,
     COUNTIFS($AB$3:$AB$201,$M369)&gt;0,
     COUNTIFS($AC$3:$AC$201,$M369)&gt;0,
     COUNTIFS($AD$3:$AD$201,$M369)&gt;0,
     COUNTIFS($AE$3:$AE$201,$M369)&gt;0,
     COUNTIFS($AF$3:$AF$201,$M369)&gt;0,
     COUNTIFS($AG$3:$AG$201,$M369)&gt;0,
     COUNTIFS($AH$3:$AH$201,$M369)&gt;0,
     COUNTIFS($AI$3:$AI$201,$M369)&gt;0,
     COUNTIFS($AJ$3:$AJ$201,$M369)&gt;0,
     COUNTIFS($AK$3:$AK$201,$M369)&gt;0,
     COUNTIFS($AL$3:$AL$201,$M369)&gt;0,
     COUNTIFS($AM$3:$AM$201,$M369)&gt;0,
     COUNTIFS($AN$3:$AN$201,$M369)&gt;0,
     COUNTIFS($AO$3:$AO$201,$M369)&gt;0,
     COUNTIFS($AP$3:$AP$201,$M369)&gt;0,
     COUNTIFS($AQ$3:$AQ$201,$M369)&gt;0,
     COUNTIFS($AR$3:$AR$201,$M369)&gt;0,
     COUNTIFS($AS$3:$AS$201,$M369)&gt;0,
     COUNTIFS($AT$3:$AT$201,$M369)&gt;0,
     COUNTIFS($AU$3:$AU$201,$M369)&gt;0,
     COUNTIFS($AV$3:$AV$201,$M369)&gt;0
   )),
  ),
  2
 ),
"")</f>
        <v/>
      </c>
      <c r="Q369" s="2" t="str" cm="1">
        <f t="array" ref="Q369">IFERROR(
 INDEX($U$2:$AV$2,
  _xlfn.AGGREGATE(15,6,
   (COLUMN($U$2:$AV$2)-COLUMN($U$2)+1)/
   TRANSPOSE(
    CHOOSE({1;2;3;4;5;6;7;8;9;10;11;12;13;14;15;16;17;18;19;20;21;22;23;24;25;26;27;28},
     COUNTIFS($U$3:$U$201,$M369)&gt;0,
     COUNTIFS($V$3:$V$201,$M369)&gt;0,
     COUNTIFS($W$3:$W$201,$M369)&gt;0,
     COUNTIFS($X$3:$X$201,$M369)&gt;0,
     COUNTIFS($Y$3:$Y$201,$M369)&gt;0,
     COUNTIFS($Z$3:$Z$201,$M369)&gt;0,
     COUNTIFS($AA$3:$AA$201,$M369)&gt;0,
     COUNTIFS($AB$3:$AB$201,$M369)&gt;0,
     COUNTIFS($AC$3:$AC$201,$M369)&gt;0,
     COUNTIFS($AD$3:$AD$201,$M369)&gt;0,
     COUNTIFS($AE$3:$AE$201,$M369)&gt;0,
     COUNTIFS($AF$3:$AF$201,$M369)&gt;0,
     COUNTIFS($AG$3:$AG$201,$M369)&gt;0,
     COUNTIFS($AH$3:$AH$201,$M369)&gt;0,
     COUNTIFS($AI$3:$AI$201,$M369)&gt;0,
     COUNTIFS($AJ$3:$AJ$201,$M369)&gt;0,
     COUNTIFS($AK$3:$AK$201,$M369)&gt;0,
     COUNTIFS($AL$3:$AL$201,$M369)&gt;0,
     COUNTIFS($AM$3:$AM$201,$M369)&gt;0,
     COUNTIFS($AN$3:$AN$201,$M369)&gt;0,
     COUNTIFS($AO$3:$AO$201,$M369)&gt;0,
     COUNTIFS($AP$3:$AP$201,$M369)&gt;0,
     COUNTIFS($AQ$3:$AQ$201,$M369)&gt;0,
     COUNTIFS($AR$3:$AR$201,$M369)&gt;0,
     COUNTIFS($AS$3:$AS$201,$M369)&gt;0,
     COUNTIFS($AT$3:$AT$201,$M369)&gt;0,
     COUNTIFS($AU$3:$AU$201,$M369)&gt;0,
     COUNTIFS($AV$3:$AV$201,$M369)&gt;0
   )),
  3)
 ),
"")</f>
        <v/>
      </c>
    </row>
    <row r="370" spans="1:17" x14ac:dyDescent="0.25">
      <c r="A370" t="str">
        <f ca="1"/>
        <v>Rogue's Passage</v>
      </c>
      <c r="B370" s="2" t="str" cm="1">
        <f t="array" aca="1" ref="B370" ca="1">_xlfn.ANCHORARRAY(RESUMO!C369)</f>
        <v>Rani</v>
      </c>
      <c r="C370" s="2" t="str">
        <f t="shared" ca="1" si="21"/>
        <v/>
      </c>
      <c r="F370" s="2">
        <f t="shared" si="24"/>
        <v>0</v>
      </c>
      <c r="G370" s="2" t="str">
        <f t="shared" ca="1" si="22"/>
        <v/>
      </c>
      <c r="N370" s="2">
        <f t="shared" si="23"/>
        <v>0</v>
      </c>
      <c r="O370" s="2" t="str">
        <f>IFERROR(
 INDEX($U$2:$AX$2,
  MATCH(TRUE,
   CHOOSE({1;2;3;4;5;6;7;8;9;10;11;12;13;14;15;16;17;18;19;20;21;22;23;24;25;26;27;28;29;30;31;32},
    COUNTIFS($U$3:$U$201,$M370)&gt;0,
    COUNTIFS($V$3:$V$201,$M370)&gt;0,
    COUNTIFS($W$3:$W$201,$M370)&gt;0,
    COUNTIFS($X$3:$X$201,$M370)&gt;0,
    COUNTIFS($Y$3:$Y$201,$M370)&gt;0,
    COUNTIFS($Z$3:$Z$201,$M370)&gt;0,
    COUNTIFS($AA$3:$AA$201,$M370)&gt;0,
    COUNTIFS($AB$3:$AB$201,$M370)&gt;0,
    COUNTIFS($AC$3:$AC$201,$M370)&gt;0,
    COUNTIFS($AD$3:$AD$201,$M370)&gt;0,
    COUNTIFS($AE$3:$AE$201,$M370)&gt;0,
    COUNTIFS($AF$3:$AF$201,$M370)&gt;0,
    COUNTIFS($AG$3:$AG$201,$M370)&gt;0,
    COUNTIFS($AH$3:$AH$201,$M370)&gt;0,
    COUNTIFS($AI$3:$AI$201,$M370)&gt;0,
    COUNTIFS($AJ$3:$AJ$201,$M370)&gt;0,
    COUNTIFS($AK$3:$AK$201,$M370)&gt;0,
    COUNTIFS($AL$3:$AL$201,$M370)&gt;0,
    COUNTIFS($AM$3:$AM$201,$M370)&gt;0,
    COUNTIFS($AN$3:$AN$201,$M370)&gt;0,
    COUNTIFS($AO$3:$AO$201,$M370)&gt;0,
    COUNTIFS($AP$3:$AP$201,$M370)&gt;0,
    COUNTIFS($AQ$3:$AQ$201,$M370)&gt;0,
    COUNTIFS($AR$3:$AR$201,$M370)&gt;0,
    COUNTIFS($AS$3:$AS$201,$M370)&gt;0,
    COUNTIFS($AT$3:$AT$201,$M370)&gt;0,
    COUNTIFS($AU$3:$AU$201,$M370)&gt;0,
    COUNTIFS($AV$3:$AV$201,$M370)&gt;0,
    COUNTIFS($AW$3:$AW$201,$M370)&gt;0,
    COUNTIFS($AX$3:$AX$201,$M370)&gt;0
   ),
  0)
 ),
"")</f>
        <v/>
      </c>
      <c r="P370" s="2" t="str" cm="1">
        <f t="array" ref="P370">IFERROR(
 INDEX(
  _xlfn._xlws.FILTER($U$2:$AV$2,
   TRANSPOSE(
    CHOOSE({1;2;3;4;5;6;7;8;9;10;11;12;13;14;15;16;17;18;19;20;21;22;23;24;25;26;27;28},
     COUNTIFS($U$3:$U$201,$M370)&gt;0,
     COUNTIFS($V$3:$V$201,$M370)&gt;0,
     COUNTIFS($W$3:$W$201,$M370)&gt;0,
     COUNTIFS($X$3:$X$201,$M370)&gt;0,
     COUNTIFS($Y$3:$Y$201,$M370)&gt;0,
     COUNTIFS($Z$3:$Z$201,$M370)&gt;0,
     COUNTIFS($AA$3:$AA$201,$M370)&gt;0,
     COUNTIFS($AB$3:$AB$201,$M370)&gt;0,
     COUNTIFS($AC$3:$AC$201,$M370)&gt;0,
     COUNTIFS($AD$3:$AD$201,$M370)&gt;0,
     COUNTIFS($AE$3:$AE$201,$M370)&gt;0,
     COUNTIFS($AF$3:$AF$201,$M370)&gt;0,
     COUNTIFS($AG$3:$AG$201,$M370)&gt;0,
     COUNTIFS($AH$3:$AH$201,$M370)&gt;0,
     COUNTIFS($AI$3:$AI$201,$M370)&gt;0,
     COUNTIFS($AJ$3:$AJ$201,$M370)&gt;0,
     COUNTIFS($AK$3:$AK$201,$M370)&gt;0,
     COUNTIFS($AL$3:$AL$201,$M370)&gt;0,
     COUNTIFS($AM$3:$AM$201,$M370)&gt;0,
     COUNTIFS($AN$3:$AN$201,$M370)&gt;0,
     COUNTIFS($AO$3:$AO$201,$M370)&gt;0,
     COUNTIFS($AP$3:$AP$201,$M370)&gt;0,
     COUNTIFS($AQ$3:$AQ$201,$M370)&gt;0,
     COUNTIFS($AR$3:$AR$201,$M370)&gt;0,
     COUNTIFS($AS$3:$AS$201,$M370)&gt;0,
     COUNTIFS($AT$3:$AT$201,$M370)&gt;0,
     COUNTIFS($AU$3:$AU$201,$M370)&gt;0,
     COUNTIFS($AV$3:$AV$201,$M370)&gt;0
   )),
  ),
  2
 ),
"")</f>
        <v/>
      </c>
      <c r="Q370" s="2" t="str" cm="1">
        <f t="array" ref="Q370">IFERROR(
 INDEX($U$2:$AV$2,
  _xlfn.AGGREGATE(15,6,
   (COLUMN($U$2:$AV$2)-COLUMN($U$2)+1)/
   TRANSPOSE(
    CHOOSE({1;2;3;4;5;6;7;8;9;10;11;12;13;14;15;16;17;18;19;20;21;22;23;24;25;26;27;28},
     COUNTIFS($U$3:$U$201,$M370)&gt;0,
     COUNTIFS($V$3:$V$201,$M370)&gt;0,
     COUNTIFS($W$3:$W$201,$M370)&gt;0,
     COUNTIFS($X$3:$X$201,$M370)&gt;0,
     COUNTIFS($Y$3:$Y$201,$M370)&gt;0,
     COUNTIFS($Z$3:$Z$201,$M370)&gt;0,
     COUNTIFS($AA$3:$AA$201,$M370)&gt;0,
     COUNTIFS($AB$3:$AB$201,$M370)&gt;0,
     COUNTIFS($AC$3:$AC$201,$M370)&gt;0,
     COUNTIFS($AD$3:$AD$201,$M370)&gt;0,
     COUNTIFS($AE$3:$AE$201,$M370)&gt;0,
     COUNTIFS($AF$3:$AF$201,$M370)&gt;0,
     COUNTIFS($AG$3:$AG$201,$M370)&gt;0,
     COUNTIFS($AH$3:$AH$201,$M370)&gt;0,
     COUNTIFS($AI$3:$AI$201,$M370)&gt;0,
     COUNTIFS($AJ$3:$AJ$201,$M370)&gt;0,
     COUNTIFS($AK$3:$AK$201,$M370)&gt;0,
     COUNTIFS($AL$3:$AL$201,$M370)&gt;0,
     COUNTIFS($AM$3:$AM$201,$M370)&gt;0,
     COUNTIFS($AN$3:$AN$201,$M370)&gt;0,
     COUNTIFS($AO$3:$AO$201,$M370)&gt;0,
     COUNTIFS($AP$3:$AP$201,$M370)&gt;0,
     COUNTIFS($AQ$3:$AQ$201,$M370)&gt;0,
     COUNTIFS($AR$3:$AR$201,$M370)&gt;0,
     COUNTIFS($AS$3:$AS$201,$M370)&gt;0,
     COUNTIFS($AT$3:$AT$201,$M370)&gt;0,
     COUNTIFS($AU$3:$AU$201,$M370)&gt;0,
     COUNTIFS($AV$3:$AV$201,$M370)&gt;0
   )),
  3)
 ),
"")</f>
        <v/>
      </c>
    </row>
    <row r="371" spans="1:17" x14ac:dyDescent="0.25">
      <c r="A371" t="str">
        <f ca="1"/>
        <v>Roiling Regrowth</v>
      </c>
      <c r="B371" s="2" t="str" cm="1">
        <f t="array" aca="1" ref="B371" ca="1">_xlfn.ANCHORARRAY(RESUMO!C370)</f>
        <v>4cRash</v>
      </c>
      <c r="C371" s="2" t="str">
        <f t="shared" ca="1" si="21"/>
        <v/>
      </c>
      <c r="F371" s="2">
        <f t="shared" si="24"/>
        <v>0</v>
      </c>
      <c r="G371" s="2" t="str">
        <f t="shared" ca="1" si="22"/>
        <v/>
      </c>
      <c r="N371" s="2">
        <f t="shared" si="23"/>
        <v>0</v>
      </c>
      <c r="O371" s="2" t="str">
        <f>IFERROR(
 INDEX($U$2:$AX$2,
  MATCH(TRUE,
   CHOOSE({1;2;3;4;5;6;7;8;9;10;11;12;13;14;15;16;17;18;19;20;21;22;23;24;25;26;27;28;29;30;31;32},
    COUNTIFS($U$3:$U$201,$M371)&gt;0,
    COUNTIFS($V$3:$V$201,$M371)&gt;0,
    COUNTIFS($W$3:$W$201,$M371)&gt;0,
    COUNTIFS($X$3:$X$201,$M371)&gt;0,
    COUNTIFS($Y$3:$Y$201,$M371)&gt;0,
    COUNTIFS($Z$3:$Z$201,$M371)&gt;0,
    COUNTIFS($AA$3:$AA$201,$M371)&gt;0,
    COUNTIFS($AB$3:$AB$201,$M371)&gt;0,
    COUNTIFS($AC$3:$AC$201,$M371)&gt;0,
    COUNTIFS($AD$3:$AD$201,$M371)&gt;0,
    COUNTIFS($AE$3:$AE$201,$M371)&gt;0,
    COUNTIFS($AF$3:$AF$201,$M371)&gt;0,
    COUNTIFS($AG$3:$AG$201,$M371)&gt;0,
    COUNTIFS($AH$3:$AH$201,$M371)&gt;0,
    COUNTIFS($AI$3:$AI$201,$M371)&gt;0,
    COUNTIFS($AJ$3:$AJ$201,$M371)&gt;0,
    COUNTIFS($AK$3:$AK$201,$M371)&gt;0,
    COUNTIFS($AL$3:$AL$201,$M371)&gt;0,
    COUNTIFS($AM$3:$AM$201,$M371)&gt;0,
    COUNTIFS($AN$3:$AN$201,$M371)&gt;0,
    COUNTIFS($AO$3:$AO$201,$M371)&gt;0,
    COUNTIFS($AP$3:$AP$201,$M371)&gt;0,
    COUNTIFS($AQ$3:$AQ$201,$M371)&gt;0,
    COUNTIFS($AR$3:$AR$201,$M371)&gt;0,
    COUNTIFS($AS$3:$AS$201,$M371)&gt;0,
    COUNTIFS($AT$3:$AT$201,$M371)&gt;0,
    COUNTIFS($AU$3:$AU$201,$M371)&gt;0,
    COUNTIFS($AV$3:$AV$201,$M371)&gt;0,
    COUNTIFS($AW$3:$AW$201,$M371)&gt;0,
    COUNTIFS($AX$3:$AX$201,$M371)&gt;0
   ),
  0)
 ),
"")</f>
        <v/>
      </c>
      <c r="P371" s="2" t="str" cm="1">
        <f t="array" ref="P371">IFERROR(
 INDEX(
  _xlfn._xlws.FILTER($U$2:$AV$2,
   TRANSPOSE(
    CHOOSE({1;2;3;4;5;6;7;8;9;10;11;12;13;14;15;16;17;18;19;20;21;22;23;24;25;26;27;28},
     COUNTIFS($U$3:$U$201,$M371)&gt;0,
     COUNTIFS($V$3:$V$201,$M371)&gt;0,
     COUNTIFS($W$3:$W$201,$M371)&gt;0,
     COUNTIFS($X$3:$X$201,$M371)&gt;0,
     COUNTIFS($Y$3:$Y$201,$M371)&gt;0,
     COUNTIFS($Z$3:$Z$201,$M371)&gt;0,
     COUNTIFS($AA$3:$AA$201,$M371)&gt;0,
     COUNTIFS($AB$3:$AB$201,$M371)&gt;0,
     COUNTIFS($AC$3:$AC$201,$M371)&gt;0,
     COUNTIFS($AD$3:$AD$201,$M371)&gt;0,
     COUNTIFS($AE$3:$AE$201,$M371)&gt;0,
     COUNTIFS($AF$3:$AF$201,$M371)&gt;0,
     COUNTIFS($AG$3:$AG$201,$M371)&gt;0,
     COUNTIFS($AH$3:$AH$201,$M371)&gt;0,
     COUNTIFS($AI$3:$AI$201,$M371)&gt;0,
     COUNTIFS($AJ$3:$AJ$201,$M371)&gt;0,
     COUNTIFS($AK$3:$AK$201,$M371)&gt;0,
     COUNTIFS($AL$3:$AL$201,$M371)&gt;0,
     COUNTIFS($AM$3:$AM$201,$M371)&gt;0,
     COUNTIFS($AN$3:$AN$201,$M371)&gt;0,
     COUNTIFS($AO$3:$AO$201,$M371)&gt;0,
     COUNTIFS($AP$3:$AP$201,$M371)&gt;0,
     COUNTIFS($AQ$3:$AQ$201,$M371)&gt;0,
     COUNTIFS($AR$3:$AR$201,$M371)&gt;0,
     COUNTIFS($AS$3:$AS$201,$M371)&gt;0,
     COUNTIFS($AT$3:$AT$201,$M371)&gt;0,
     COUNTIFS($AU$3:$AU$201,$M371)&gt;0,
     COUNTIFS($AV$3:$AV$201,$M371)&gt;0
   )),
  ),
  2
 ),
"")</f>
        <v/>
      </c>
      <c r="Q371" s="2" t="str" cm="1">
        <f t="array" ref="Q371">IFERROR(
 INDEX($U$2:$AV$2,
  _xlfn.AGGREGATE(15,6,
   (COLUMN($U$2:$AV$2)-COLUMN($U$2)+1)/
   TRANSPOSE(
    CHOOSE({1;2;3;4;5;6;7;8;9;10;11;12;13;14;15;16;17;18;19;20;21;22;23;24;25;26;27;28},
     COUNTIFS($U$3:$U$201,$M371)&gt;0,
     COUNTIFS($V$3:$V$201,$M371)&gt;0,
     COUNTIFS($W$3:$W$201,$M371)&gt;0,
     COUNTIFS($X$3:$X$201,$M371)&gt;0,
     COUNTIFS($Y$3:$Y$201,$M371)&gt;0,
     COUNTIFS($Z$3:$Z$201,$M371)&gt;0,
     COUNTIFS($AA$3:$AA$201,$M371)&gt;0,
     COUNTIFS($AB$3:$AB$201,$M371)&gt;0,
     COUNTIFS($AC$3:$AC$201,$M371)&gt;0,
     COUNTIFS($AD$3:$AD$201,$M371)&gt;0,
     COUNTIFS($AE$3:$AE$201,$M371)&gt;0,
     COUNTIFS($AF$3:$AF$201,$M371)&gt;0,
     COUNTIFS($AG$3:$AG$201,$M371)&gt;0,
     COUNTIFS($AH$3:$AH$201,$M371)&gt;0,
     COUNTIFS($AI$3:$AI$201,$M371)&gt;0,
     COUNTIFS($AJ$3:$AJ$201,$M371)&gt;0,
     COUNTIFS($AK$3:$AK$201,$M371)&gt;0,
     COUNTIFS($AL$3:$AL$201,$M371)&gt;0,
     COUNTIFS($AM$3:$AM$201,$M371)&gt;0,
     COUNTIFS($AN$3:$AN$201,$M371)&gt;0,
     COUNTIFS($AO$3:$AO$201,$M371)&gt;0,
     COUNTIFS($AP$3:$AP$201,$M371)&gt;0,
     COUNTIFS($AQ$3:$AQ$201,$M371)&gt;0,
     COUNTIFS($AR$3:$AR$201,$M371)&gt;0,
     COUNTIFS($AS$3:$AS$201,$M371)&gt;0,
     COUNTIFS($AT$3:$AT$201,$M371)&gt;0,
     COUNTIFS($AU$3:$AU$201,$M371)&gt;0,
     COUNTIFS($AV$3:$AV$201,$M371)&gt;0
   )),
  3)
 ),
"")</f>
        <v/>
      </c>
    </row>
    <row r="372" spans="1:17" x14ac:dyDescent="0.25">
      <c r="A372" t="str">
        <f ca="1"/>
        <v>Root Sliver</v>
      </c>
      <c r="B372" s="2" t="str" cm="1">
        <f t="array" aca="1" ref="B372" ca="1">_xlfn.ANCHORARRAY(RESUMO!C371)</f>
        <v>Fractius</v>
      </c>
      <c r="C372" s="2" t="str">
        <f t="shared" ca="1" si="21"/>
        <v/>
      </c>
      <c r="F372" s="2">
        <f t="shared" si="24"/>
        <v>0</v>
      </c>
      <c r="G372" s="2" t="str">
        <f t="shared" ca="1" si="22"/>
        <v/>
      </c>
      <c r="N372" s="2">
        <f t="shared" si="23"/>
        <v>0</v>
      </c>
      <c r="O372" s="2" t="str">
        <f>IFERROR(
 INDEX($U$2:$AX$2,
  MATCH(TRUE,
   CHOOSE({1;2;3;4;5;6;7;8;9;10;11;12;13;14;15;16;17;18;19;20;21;22;23;24;25;26;27;28;29;30;31;32},
    COUNTIFS($U$3:$U$201,$M372)&gt;0,
    COUNTIFS($V$3:$V$201,$M372)&gt;0,
    COUNTIFS($W$3:$W$201,$M372)&gt;0,
    COUNTIFS($X$3:$X$201,$M372)&gt;0,
    COUNTIFS($Y$3:$Y$201,$M372)&gt;0,
    COUNTIFS($Z$3:$Z$201,$M372)&gt;0,
    COUNTIFS($AA$3:$AA$201,$M372)&gt;0,
    COUNTIFS($AB$3:$AB$201,$M372)&gt;0,
    COUNTIFS($AC$3:$AC$201,$M372)&gt;0,
    COUNTIFS($AD$3:$AD$201,$M372)&gt;0,
    COUNTIFS($AE$3:$AE$201,$M372)&gt;0,
    COUNTIFS($AF$3:$AF$201,$M372)&gt;0,
    COUNTIFS($AG$3:$AG$201,$M372)&gt;0,
    COUNTIFS($AH$3:$AH$201,$M372)&gt;0,
    COUNTIFS($AI$3:$AI$201,$M372)&gt;0,
    COUNTIFS($AJ$3:$AJ$201,$M372)&gt;0,
    COUNTIFS($AK$3:$AK$201,$M372)&gt;0,
    COUNTIFS($AL$3:$AL$201,$M372)&gt;0,
    COUNTIFS($AM$3:$AM$201,$M372)&gt;0,
    COUNTIFS($AN$3:$AN$201,$M372)&gt;0,
    COUNTIFS($AO$3:$AO$201,$M372)&gt;0,
    COUNTIFS($AP$3:$AP$201,$M372)&gt;0,
    COUNTIFS($AQ$3:$AQ$201,$M372)&gt;0,
    COUNTIFS($AR$3:$AR$201,$M372)&gt;0,
    COUNTIFS($AS$3:$AS$201,$M372)&gt;0,
    COUNTIFS($AT$3:$AT$201,$M372)&gt;0,
    COUNTIFS($AU$3:$AU$201,$M372)&gt;0,
    COUNTIFS($AV$3:$AV$201,$M372)&gt;0,
    COUNTIFS($AW$3:$AW$201,$M372)&gt;0,
    COUNTIFS($AX$3:$AX$201,$M372)&gt;0
   ),
  0)
 ),
"")</f>
        <v/>
      </c>
      <c r="P372" s="2" t="str" cm="1">
        <f t="array" ref="P372">IFERROR(
 INDEX(
  _xlfn._xlws.FILTER($U$2:$AV$2,
   TRANSPOSE(
    CHOOSE({1;2;3;4;5;6;7;8;9;10;11;12;13;14;15;16;17;18;19;20;21;22;23;24;25;26;27;28},
     COUNTIFS($U$3:$U$201,$M372)&gt;0,
     COUNTIFS($V$3:$V$201,$M372)&gt;0,
     COUNTIFS($W$3:$W$201,$M372)&gt;0,
     COUNTIFS($X$3:$X$201,$M372)&gt;0,
     COUNTIFS($Y$3:$Y$201,$M372)&gt;0,
     COUNTIFS($Z$3:$Z$201,$M372)&gt;0,
     COUNTIFS($AA$3:$AA$201,$M372)&gt;0,
     COUNTIFS($AB$3:$AB$201,$M372)&gt;0,
     COUNTIFS($AC$3:$AC$201,$M372)&gt;0,
     COUNTIFS($AD$3:$AD$201,$M372)&gt;0,
     COUNTIFS($AE$3:$AE$201,$M372)&gt;0,
     COUNTIFS($AF$3:$AF$201,$M372)&gt;0,
     COUNTIFS($AG$3:$AG$201,$M372)&gt;0,
     COUNTIFS($AH$3:$AH$201,$M372)&gt;0,
     COUNTIFS($AI$3:$AI$201,$M372)&gt;0,
     COUNTIFS($AJ$3:$AJ$201,$M372)&gt;0,
     COUNTIFS($AK$3:$AK$201,$M372)&gt;0,
     COUNTIFS($AL$3:$AL$201,$M372)&gt;0,
     COUNTIFS($AM$3:$AM$201,$M372)&gt;0,
     COUNTIFS($AN$3:$AN$201,$M372)&gt;0,
     COUNTIFS($AO$3:$AO$201,$M372)&gt;0,
     COUNTIFS($AP$3:$AP$201,$M372)&gt;0,
     COUNTIFS($AQ$3:$AQ$201,$M372)&gt;0,
     COUNTIFS($AR$3:$AR$201,$M372)&gt;0,
     COUNTIFS($AS$3:$AS$201,$M372)&gt;0,
     COUNTIFS($AT$3:$AT$201,$M372)&gt;0,
     COUNTIFS($AU$3:$AU$201,$M372)&gt;0,
     COUNTIFS($AV$3:$AV$201,$M372)&gt;0
   )),
  ),
  2
 ),
"")</f>
        <v/>
      </c>
      <c r="Q372" s="2" t="str" cm="1">
        <f t="array" ref="Q372">IFERROR(
 INDEX($U$2:$AV$2,
  _xlfn.AGGREGATE(15,6,
   (COLUMN($U$2:$AV$2)-COLUMN($U$2)+1)/
   TRANSPOSE(
    CHOOSE({1;2;3;4;5;6;7;8;9;10;11;12;13;14;15;16;17;18;19;20;21;22;23;24;25;26;27;28},
     COUNTIFS($U$3:$U$201,$M372)&gt;0,
     COUNTIFS($V$3:$V$201,$M372)&gt;0,
     COUNTIFS($W$3:$W$201,$M372)&gt;0,
     COUNTIFS($X$3:$X$201,$M372)&gt;0,
     COUNTIFS($Y$3:$Y$201,$M372)&gt;0,
     COUNTIFS($Z$3:$Z$201,$M372)&gt;0,
     COUNTIFS($AA$3:$AA$201,$M372)&gt;0,
     COUNTIFS($AB$3:$AB$201,$M372)&gt;0,
     COUNTIFS($AC$3:$AC$201,$M372)&gt;0,
     COUNTIFS($AD$3:$AD$201,$M372)&gt;0,
     COUNTIFS($AE$3:$AE$201,$M372)&gt;0,
     COUNTIFS($AF$3:$AF$201,$M372)&gt;0,
     COUNTIFS($AG$3:$AG$201,$M372)&gt;0,
     COUNTIFS($AH$3:$AH$201,$M372)&gt;0,
     COUNTIFS($AI$3:$AI$201,$M372)&gt;0,
     COUNTIFS($AJ$3:$AJ$201,$M372)&gt;0,
     COUNTIFS($AK$3:$AK$201,$M372)&gt;0,
     COUNTIFS($AL$3:$AL$201,$M372)&gt;0,
     COUNTIFS($AM$3:$AM$201,$M372)&gt;0,
     COUNTIFS($AN$3:$AN$201,$M372)&gt;0,
     COUNTIFS($AO$3:$AO$201,$M372)&gt;0,
     COUNTIFS($AP$3:$AP$201,$M372)&gt;0,
     COUNTIFS($AQ$3:$AQ$201,$M372)&gt;0,
     COUNTIFS($AR$3:$AR$201,$M372)&gt;0,
     COUNTIFS($AS$3:$AS$201,$M372)&gt;0,
     COUNTIFS($AT$3:$AT$201,$M372)&gt;0,
     COUNTIFS($AU$3:$AU$201,$M372)&gt;0,
     COUNTIFS($AV$3:$AV$201,$M372)&gt;0
   )),
  3)
 ),
"")</f>
        <v/>
      </c>
    </row>
    <row r="373" spans="1:17" x14ac:dyDescent="0.25">
      <c r="A373" t="str">
        <f ca="1"/>
        <v>Rose, Cutthroat Raider</v>
      </c>
      <c r="B373" s="2" t="str" cm="1">
        <f t="array" aca="1" ref="B373" ca="1">_xlfn.ANCHORARRAY(RESUMO!C372)</f>
        <v>Zuko</v>
      </c>
      <c r="C373" s="2" t="str">
        <f t="shared" ca="1" si="21"/>
        <v/>
      </c>
      <c r="F373" s="2">
        <f t="shared" si="24"/>
        <v>0</v>
      </c>
      <c r="G373" s="2" t="str">
        <f t="shared" ca="1" si="22"/>
        <v/>
      </c>
      <c r="N373" s="2">
        <f t="shared" si="23"/>
        <v>0</v>
      </c>
      <c r="O373" s="2" t="str">
        <f>IFERROR(
 INDEX($U$2:$AX$2,
  MATCH(TRUE,
   CHOOSE({1;2;3;4;5;6;7;8;9;10;11;12;13;14;15;16;17;18;19;20;21;22;23;24;25;26;27;28;29;30;31;32},
    COUNTIFS($U$3:$U$201,$M373)&gt;0,
    COUNTIFS($V$3:$V$201,$M373)&gt;0,
    COUNTIFS($W$3:$W$201,$M373)&gt;0,
    COUNTIFS($X$3:$X$201,$M373)&gt;0,
    COUNTIFS($Y$3:$Y$201,$M373)&gt;0,
    COUNTIFS($Z$3:$Z$201,$M373)&gt;0,
    COUNTIFS($AA$3:$AA$201,$M373)&gt;0,
    COUNTIFS($AB$3:$AB$201,$M373)&gt;0,
    COUNTIFS($AC$3:$AC$201,$M373)&gt;0,
    COUNTIFS($AD$3:$AD$201,$M373)&gt;0,
    COUNTIFS($AE$3:$AE$201,$M373)&gt;0,
    COUNTIFS($AF$3:$AF$201,$M373)&gt;0,
    COUNTIFS($AG$3:$AG$201,$M373)&gt;0,
    COUNTIFS($AH$3:$AH$201,$M373)&gt;0,
    COUNTIFS($AI$3:$AI$201,$M373)&gt;0,
    COUNTIFS($AJ$3:$AJ$201,$M373)&gt;0,
    COUNTIFS($AK$3:$AK$201,$M373)&gt;0,
    COUNTIFS($AL$3:$AL$201,$M373)&gt;0,
    COUNTIFS($AM$3:$AM$201,$M373)&gt;0,
    COUNTIFS($AN$3:$AN$201,$M373)&gt;0,
    COUNTIFS($AO$3:$AO$201,$M373)&gt;0,
    COUNTIFS($AP$3:$AP$201,$M373)&gt;0,
    COUNTIFS($AQ$3:$AQ$201,$M373)&gt;0,
    COUNTIFS($AR$3:$AR$201,$M373)&gt;0,
    COUNTIFS($AS$3:$AS$201,$M373)&gt;0,
    COUNTIFS($AT$3:$AT$201,$M373)&gt;0,
    COUNTIFS($AU$3:$AU$201,$M373)&gt;0,
    COUNTIFS($AV$3:$AV$201,$M373)&gt;0,
    COUNTIFS($AW$3:$AW$201,$M373)&gt;0,
    COUNTIFS($AX$3:$AX$201,$M373)&gt;0
   ),
  0)
 ),
"")</f>
        <v/>
      </c>
      <c r="P373" s="2" t="str" cm="1">
        <f t="array" ref="P373">IFERROR(
 INDEX(
  _xlfn._xlws.FILTER($U$2:$AV$2,
   TRANSPOSE(
    CHOOSE({1;2;3;4;5;6;7;8;9;10;11;12;13;14;15;16;17;18;19;20;21;22;23;24;25;26;27;28},
     COUNTIFS($U$3:$U$201,$M373)&gt;0,
     COUNTIFS($V$3:$V$201,$M373)&gt;0,
     COUNTIFS($W$3:$W$201,$M373)&gt;0,
     COUNTIFS($X$3:$X$201,$M373)&gt;0,
     COUNTIFS($Y$3:$Y$201,$M373)&gt;0,
     COUNTIFS($Z$3:$Z$201,$M373)&gt;0,
     COUNTIFS($AA$3:$AA$201,$M373)&gt;0,
     COUNTIFS($AB$3:$AB$201,$M373)&gt;0,
     COUNTIFS($AC$3:$AC$201,$M373)&gt;0,
     COUNTIFS($AD$3:$AD$201,$M373)&gt;0,
     COUNTIFS($AE$3:$AE$201,$M373)&gt;0,
     COUNTIFS($AF$3:$AF$201,$M373)&gt;0,
     COUNTIFS($AG$3:$AG$201,$M373)&gt;0,
     COUNTIFS($AH$3:$AH$201,$M373)&gt;0,
     COUNTIFS($AI$3:$AI$201,$M373)&gt;0,
     COUNTIFS($AJ$3:$AJ$201,$M373)&gt;0,
     COUNTIFS($AK$3:$AK$201,$M373)&gt;0,
     COUNTIFS($AL$3:$AL$201,$M373)&gt;0,
     COUNTIFS($AM$3:$AM$201,$M373)&gt;0,
     COUNTIFS($AN$3:$AN$201,$M373)&gt;0,
     COUNTIFS($AO$3:$AO$201,$M373)&gt;0,
     COUNTIFS($AP$3:$AP$201,$M373)&gt;0,
     COUNTIFS($AQ$3:$AQ$201,$M373)&gt;0,
     COUNTIFS($AR$3:$AR$201,$M373)&gt;0,
     COUNTIFS($AS$3:$AS$201,$M373)&gt;0,
     COUNTIFS($AT$3:$AT$201,$M373)&gt;0,
     COUNTIFS($AU$3:$AU$201,$M373)&gt;0,
     COUNTIFS($AV$3:$AV$201,$M373)&gt;0
   )),
  ),
  2
 ),
"")</f>
        <v/>
      </c>
      <c r="Q373" s="2" t="str" cm="1">
        <f t="array" ref="Q373">IFERROR(
 INDEX($U$2:$AV$2,
  _xlfn.AGGREGATE(15,6,
   (COLUMN($U$2:$AV$2)-COLUMN($U$2)+1)/
   TRANSPOSE(
    CHOOSE({1;2;3;4;5;6;7;8;9;10;11;12;13;14;15;16;17;18;19;20;21;22;23;24;25;26;27;28},
     COUNTIFS($U$3:$U$201,$M373)&gt;0,
     COUNTIFS($V$3:$V$201,$M373)&gt;0,
     COUNTIFS($W$3:$W$201,$M373)&gt;0,
     COUNTIFS($X$3:$X$201,$M373)&gt;0,
     COUNTIFS($Y$3:$Y$201,$M373)&gt;0,
     COUNTIFS($Z$3:$Z$201,$M373)&gt;0,
     COUNTIFS($AA$3:$AA$201,$M373)&gt;0,
     COUNTIFS($AB$3:$AB$201,$M373)&gt;0,
     COUNTIFS($AC$3:$AC$201,$M373)&gt;0,
     COUNTIFS($AD$3:$AD$201,$M373)&gt;0,
     COUNTIFS($AE$3:$AE$201,$M373)&gt;0,
     COUNTIFS($AF$3:$AF$201,$M373)&gt;0,
     COUNTIFS($AG$3:$AG$201,$M373)&gt;0,
     COUNTIFS($AH$3:$AH$201,$M373)&gt;0,
     COUNTIFS($AI$3:$AI$201,$M373)&gt;0,
     COUNTIFS($AJ$3:$AJ$201,$M373)&gt;0,
     COUNTIFS($AK$3:$AK$201,$M373)&gt;0,
     COUNTIFS($AL$3:$AL$201,$M373)&gt;0,
     COUNTIFS($AM$3:$AM$201,$M373)&gt;0,
     COUNTIFS($AN$3:$AN$201,$M373)&gt;0,
     COUNTIFS($AO$3:$AO$201,$M373)&gt;0,
     COUNTIFS($AP$3:$AP$201,$M373)&gt;0,
     COUNTIFS($AQ$3:$AQ$201,$M373)&gt;0,
     COUNTIFS($AR$3:$AR$201,$M373)&gt;0,
     COUNTIFS($AS$3:$AS$201,$M373)&gt;0,
     COUNTIFS($AT$3:$AT$201,$M373)&gt;0,
     COUNTIFS($AU$3:$AU$201,$M373)&gt;0,
     COUNTIFS($AV$3:$AV$201,$M373)&gt;0
   )),
  3)
 ),
"")</f>
        <v/>
      </c>
    </row>
    <row r="374" spans="1:17" x14ac:dyDescent="0.25">
      <c r="A374" t="str">
        <f ca="1"/>
        <v>Rotating Fireplace</v>
      </c>
      <c r="B374" s="2" t="str" cm="1">
        <f t="array" aca="1" ref="B374" ca="1">_xlfn.ANCHORARRAY(RESUMO!C373)</f>
        <v>JhoiraB</v>
      </c>
      <c r="C374" s="2" t="str">
        <f t="shared" ca="1" si="21"/>
        <v/>
      </c>
      <c r="F374" s="2">
        <f t="shared" si="24"/>
        <v>0</v>
      </c>
      <c r="G374" s="2" t="str">
        <f t="shared" ca="1" si="22"/>
        <v/>
      </c>
      <c r="N374" s="2">
        <f t="shared" si="23"/>
        <v>0</v>
      </c>
      <c r="O374" s="2" t="str">
        <f>IFERROR(
 INDEX($U$2:$AX$2,
  MATCH(TRUE,
   CHOOSE({1;2;3;4;5;6;7;8;9;10;11;12;13;14;15;16;17;18;19;20;21;22;23;24;25;26;27;28;29;30;31;32},
    COUNTIFS($U$3:$U$201,$M374)&gt;0,
    COUNTIFS($V$3:$V$201,$M374)&gt;0,
    COUNTIFS($W$3:$W$201,$M374)&gt;0,
    COUNTIFS($X$3:$X$201,$M374)&gt;0,
    COUNTIFS($Y$3:$Y$201,$M374)&gt;0,
    COUNTIFS($Z$3:$Z$201,$M374)&gt;0,
    COUNTIFS($AA$3:$AA$201,$M374)&gt;0,
    COUNTIFS($AB$3:$AB$201,$M374)&gt;0,
    COUNTIFS($AC$3:$AC$201,$M374)&gt;0,
    COUNTIFS($AD$3:$AD$201,$M374)&gt;0,
    COUNTIFS($AE$3:$AE$201,$M374)&gt;0,
    COUNTIFS($AF$3:$AF$201,$M374)&gt;0,
    COUNTIFS($AG$3:$AG$201,$M374)&gt;0,
    COUNTIFS($AH$3:$AH$201,$M374)&gt;0,
    COUNTIFS($AI$3:$AI$201,$M374)&gt;0,
    COUNTIFS($AJ$3:$AJ$201,$M374)&gt;0,
    COUNTIFS($AK$3:$AK$201,$M374)&gt;0,
    COUNTIFS($AL$3:$AL$201,$M374)&gt;0,
    COUNTIFS($AM$3:$AM$201,$M374)&gt;0,
    COUNTIFS($AN$3:$AN$201,$M374)&gt;0,
    COUNTIFS($AO$3:$AO$201,$M374)&gt;0,
    COUNTIFS($AP$3:$AP$201,$M374)&gt;0,
    COUNTIFS($AQ$3:$AQ$201,$M374)&gt;0,
    COUNTIFS($AR$3:$AR$201,$M374)&gt;0,
    COUNTIFS($AS$3:$AS$201,$M374)&gt;0,
    COUNTIFS($AT$3:$AT$201,$M374)&gt;0,
    COUNTIFS($AU$3:$AU$201,$M374)&gt;0,
    COUNTIFS($AV$3:$AV$201,$M374)&gt;0,
    COUNTIFS($AW$3:$AW$201,$M374)&gt;0,
    COUNTIFS($AX$3:$AX$201,$M374)&gt;0
   ),
  0)
 ),
"")</f>
        <v/>
      </c>
      <c r="P374" s="2" t="str" cm="1">
        <f t="array" ref="P374">IFERROR(
 INDEX(
  _xlfn._xlws.FILTER($U$2:$AV$2,
   TRANSPOSE(
    CHOOSE({1;2;3;4;5;6;7;8;9;10;11;12;13;14;15;16;17;18;19;20;21;22;23;24;25;26;27;28},
     COUNTIFS($U$3:$U$201,$M374)&gt;0,
     COUNTIFS($V$3:$V$201,$M374)&gt;0,
     COUNTIFS($W$3:$W$201,$M374)&gt;0,
     COUNTIFS($X$3:$X$201,$M374)&gt;0,
     COUNTIFS($Y$3:$Y$201,$M374)&gt;0,
     COUNTIFS($Z$3:$Z$201,$M374)&gt;0,
     COUNTIFS($AA$3:$AA$201,$M374)&gt;0,
     COUNTIFS($AB$3:$AB$201,$M374)&gt;0,
     COUNTIFS($AC$3:$AC$201,$M374)&gt;0,
     COUNTIFS($AD$3:$AD$201,$M374)&gt;0,
     COUNTIFS($AE$3:$AE$201,$M374)&gt;0,
     COUNTIFS($AF$3:$AF$201,$M374)&gt;0,
     COUNTIFS($AG$3:$AG$201,$M374)&gt;0,
     COUNTIFS($AH$3:$AH$201,$M374)&gt;0,
     COUNTIFS($AI$3:$AI$201,$M374)&gt;0,
     COUNTIFS($AJ$3:$AJ$201,$M374)&gt;0,
     COUNTIFS($AK$3:$AK$201,$M374)&gt;0,
     COUNTIFS($AL$3:$AL$201,$M374)&gt;0,
     COUNTIFS($AM$3:$AM$201,$M374)&gt;0,
     COUNTIFS($AN$3:$AN$201,$M374)&gt;0,
     COUNTIFS($AO$3:$AO$201,$M374)&gt;0,
     COUNTIFS($AP$3:$AP$201,$M374)&gt;0,
     COUNTIFS($AQ$3:$AQ$201,$M374)&gt;0,
     COUNTIFS($AR$3:$AR$201,$M374)&gt;0,
     COUNTIFS($AS$3:$AS$201,$M374)&gt;0,
     COUNTIFS($AT$3:$AT$201,$M374)&gt;0,
     COUNTIFS($AU$3:$AU$201,$M374)&gt;0,
     COUNTIFS($AV$3:$AV$201,$M374)&gt;0
   )),
  ),
  2
 ),
"")</f>
        <v/>
      </c>
      <c r="Q374" s="2" t="str" cm="1">
        <f t="array" ref="Q374">IFERROR(
 INDEX($U$2:$AV$2,
  _xlfn.AGGREGATE(15,6,
   (COLUMN($U$2:$AV$2)-COLUMN($U$2)+1)/
   TRANSPOSE(
    CHOOSE({1;2;3;4;5;6;7;8;9;10;11;12;13;14;15;16;17;18;19;20;21;22;23;24;25;26;27;28},
     COUNTIFS($U$3:$U$201,$M374)&gt;0,
     COUNTIFS($V$3:$V$201,$M374)&gt;0,
     COUNTIFS($W$3:$W$201,$M374)&gt;0,
     COUNTIFS($X$3:$X$201,$M374)&gt;0,
     COUNTIFS($Y$3:$Y$201,$M374)&gt;0,
     COUNTIFS($Z$3:$Z$201,$M374)&gt;0,
     COUNTIFS($AA$3:$AA$201,$M374)&gt;0,
     COUNTIFS($AB$3:$AB$201,$M374)&gt;0,
     COUNTIFS($AC$3:$AC$201,$M374)&gt;0,
     COUNTIFS($AD$3:$AD$201,$M374)&gt;0,
     COUNTIFS($AE$3:$AE$201,$M374)&gt;0,
     COUNTIFS($AF$3:$AF$201,$M374)&gt;0,
     COUNTIFS($AG$3:$AG$201,$M374)&gt;0,
     COUNTIFS($AH$3:$AH$201,$M374)&gt;0,
     COUNTIFS($AI$3:$AI$201,$M374)&gt;0,
     COUNTIFS($AJ$3:$AJ$201,$M374)&gt;0,
     COUNTIFS($AK$3:$AK$201,$M374)&gt;0,
     COUNTIFS($AL$3:$AL$201,$M374)&gt;0,
     COUNTIFS($AM$3:$AM$201,$M374)&gt;0,
     COUNTIFS($AN$3:$AN$201,$M374)&gt;0,
     COUNTIFS($AO$3:$AO$201,$M374)&gt;0,
     COUNTIFS($AP$3:$AP$201,$M374)&gt;0,
     COUNTIFS($AQ$3:$AQ$201,$M374)&gt;0,
     COUNTIFS($AR$3:$AR$201,$M374)&gt;0,
     COUNTIFS($AS$3:$AS$201,$M374)&gt;0,
     COUNTIFS($AT$3:$AT$201,$M374)&gt;0,
     COUNTIFS($AU$3:$AU$201,$M374)&gt;0,
     COUNTIFS($AV$3:$AV$201,$M374)&gt;0
   )),
  3)
 ),
"")</f>
        <v/>
      </c>
    </row>
    <row r="375" spans="1:17" x14ac:dyDescent="0.25">
      <c r="A375" t="str">
        <f ca="1"/>
        <v>Sacred Foundry</v>
      </c>
      <c r="B375" s="2" t="str" cm="1">
        <f t="array" aca="1" ref="B375" ca="1">_xlfn.ANCHORARRAY(RESUMO!C374)</f>
        <v>Fractius</v>
      </c>
      <c r="C375" s="2" t="str">
        <f t="shared" ca="1" si="21"/>
        <v/>
      </c>
      <c r="F375" s="2">
        <f t="shared" si="24"/>
        <v>0</v>
      </c>
      <c r="G375" s="2" t="str">
        <f t="shared" ca="1" si="22"/>
        <v/>
      </c>
      <c r="N375" s="2">
        <f t="shared" si="23"/>
        <v>0</v>
      </c>
      <c r="O375" s="2" t="str">
        <f>IFERROR(
 INDEX($U$2:$AX$2,
  MATCH(TRUE,
   CHOOSE({1;2;3;4;5;6;7;8;9;10;11;12;13;14;15;16;17;18;19;20;21;22;23;24;25;26;27;28;29;30;31;32},
    COUNTIFS($U$3:$U$201,$M375)&gt;0,
    COUNTIFS($V$3:$V$201,$M375)&gt;0,
    COUNTIFS($W$3:$W$201,$M375)&gt;0,
    COUNTIFS($X$3:$X$201,$M375)&gt;0,
    COUNTIFS($Y$3:$Y$201,$M375)&gt;0,
    COUNTIFS($Z$3:$Z$201,$M375)&gt;0,
    COUNTIFS($AA$3:$AA$201,$M375)&gt;0,
    COUNTIFS($AB$3:$AB$201,$M375)&gt;0,
    COUNTIFS($AC$3:$AC$201,$M375)&gt;0,
    COUNTIFS($AD$3:$AD$201,$M375)&gt;0,
    COUNTIFS($AE$3:$AE$201,$M375)&gt;0,
    COUNTIFS($AF$3:$AF$201,$M375)&gt;0,
    COUNTIFS($AG$3:$AG$201,$M375)&gt;0,
    COUNTIFS($AH$3:$AH$201,$M375)&gt;0,
    COUNTIFS($AI$3:$AI$201,$M375)&gt;0,
    COUNTIFS($AJ$3:$AJ$201,$M375)&gt;0,
    COUNTIFS($AK$3:$AK$201,$M375)&gt;0,
    COUNTIFS($AL$3:$AL$201,$M375)&gt;0,
    COUNTIFS($AM$3:$AM$201,$M375)&gt;0,
    COUNTIFS($AN$3:$AN$201,$M375)&gt;0,
    COUNTIFS($AO$3:$AO$201,$M375)&gt;0,
    COUNTIFS($AP$3:$AP$201,$M375)&gt;0,
    COUNTIFS($AQ$3:$AQ$201,$M375)&gt;0,
    COUNTIFS($AR$3:$AR$201,$M375)&gt;0,
    COUNTIFS($AS$3:$AS$201,$M375)&gt;0,
    COUNTIFS($AT$3:$AT$201,$M375)&gt;0,
    COUNTIFS($AU$3:$AU$201,$M375)&gt;0,
    COUNTIFS($AV$3:$AV$201,$M375)&gt;0,
    COUNTIFS($AW$3:$AW$201,$M375)&gt;0,
    COUNTIFS($AX$3:$AX$201,$M375)&gt;0
   ),
  0)
 ),
"")</f>
        <v/>
      </c>
      <c r="P375" s="2" t="str" cm="1">
        <f t="array" ref="P375">IFERROR(
 INDEX(
  _xlfn._xlws.FILTER($U$2:$AV$2,
   TRANSPOSE(
    CHOOSE({1;2;3;4;5;6;7;8;9;10;11;12;13;14;15;16;17;18;19;20;21;22;23;24;25;26;27;28},
     COUNTIFS($U$3:$U$201,$M375)&gt;0,
     COUNTIFS($V$3:$V$201,$M375)&gt;0,
     COUNTIFS($W$3:$W$201,$M375)&gt;0,
     COUNTIFS($X$3:$X$201,$M375)&gt;0,
     COUNTIFS($Y$3:$Y$201,$M375)&gt;0,
     COUNTIFS($Z$3:$Z$201,$M375)&gt;0,
     COUNTIFS($AA$3:$AA$201,$M375)&gt;0,
     COUNTIFS($AB$3:$AB$201,$M375)&gt;0,
     COUNTIFS($AC$3:$AC$201,$M375)&gt;0,
     COUNTIFS($AD$3:$AD$201,$M375)&gt;0,
     COUNTIFS($AE$3:$AE$201,$M375)&gt;0,
     COUNTIFS($AF$3:$AF$201,$M375)&gt;0,
     COUNTIFS($AG$3:$AG$201,$M375)&gt;0,
     COUNTIFS($AH$3:$AH$201,$M375)&gt;0,
     COUNTIFS($AI$3:$AI$201,$M375)&gt;0,
     COUNTIFS($AJ$3:$AJ$201,$M375)&gt;0,
     COUNTIFS($AK$3:$AK$201,$M375)&gt;0,
     COUNTIFS($AL$3:$AL$201,$M375)&gt;0,
     COUNTIFS($AM$3:$AM$201,$M375)&gt;0,
     COUNTIFS($AN$3:$AN$201,$M375)&gt;0,
     COUNTIFS($AO$3:$AO$201,$M375)&gt;0,
     COUNTIFS($AP$3:$AP$201,$M375)&gt;0,
     COUNTIFS($AQ$3:$AQ$201,$M375)&gt;0,
     COUNTIFS($AR$3:$AR$201,$M375)&gt;0,
     COUNTIFS($AS$3:$AS$201,$M375)&gt;0,
     COUNTIFS($AT$3:$AT$201,$M375)&gt;0,
     COUNTIFS($AU$3:$AU$201,$M375)&gt;0,
     COUNTIFS($AV$3:$AV$201,$M375)&gt;0
   )),
  ),
  2
 ),
"")</f>
        <v/>
      </c>
      <c r="Q375" s="2" t="str" cm="1">
        <f t="array" ref="Q375">IFERROR(
 INDEX($U$2:$AV$2,
  _xlfn.AGGREGATE(15,6,
   (COLUMN($U$2:$AV$2)-COLUMN($U$2)+1)/
   TRANSPOSE(
    CHOOSE({1;2;3;4;5;6;7;8;9;10;11;12;13;14;15;16;17;18;19;20;21;22;23;24;25;26;27;28},
     COUNTIFS($U$3:$U$201,$M375)&gt;0,
     COUNTIFS($V$3:$V$201,$M375)&gt;0,
     COUNTIFS($W$3:$W$201,$M375)&gt;0,
     COUNTIFS($X$3:$X$201,$M375)&gt;0,
     COUNTIFS($Y$3:$Y$201,$M375)&gt;0,
     COUNTIFS($Z$3:$Z$201,$M375)&gt;0,
     COUNTIFS($AA$3:$AA$201,$M375)&gt;0,
     COUNTIFS($AB$3:$AB$201,$M375)&gt;0,
     COUNTIFS($AC$3:$AC$201,$M375)&gt;0,
     COUNTIFS($AD$3:$AD$201,$M375)&gt;0,
     COUNTIFS($AE$3:$AE$201,$M375)&gt;0,
     COUNTIFS($AF$3:$AF$201,$M375)&gt;0,
     COUNTIFS($AG$3:$AG$201,$M375)&gt;0,
     COUNTIFS($AH$3:$AH$201,$M375)&gt;0,
     COUNTIFS($AI$3:$AI$201,$M375)&gt;0,
     COUNTIFS($AJ$3:$AJ$201,$M375)&gt;0,
     COUNTIFS($AK$3:$AK$201,$M375)&gt;0,
     COUNTIFS($AL$3:$AL$201,$M375)&gt;0,
     COUNTIFS($AM$3:$AM$201,$M375)&gt;0,
     COUNTIFS($AN$3:$AN$201,$M375)&gt;0,
     COUNTIFS($AO$3:$AO$201,$M375)&gt;0,
     COUNTIFS($AP$3:$AP$201,$M375)&gt;0,
     COUNTIFS($AQ$3:$AQ$201,$M375)&gt;0,
     COUNTIFS($AR$3:$AR$201,$M375)&gt;0,
     COUNTIFS($AS$3:$AS$201,$M375)&gt;0,
     COUNTIFS($AT$3:$AT$201,$M375)&gt;0,
     COUNTIFS($AU$3:$AU$201,$M375)&gt;0,
     COUNTIFS($AV$3:$AV$201,$M375)&gt;0
   )),
  3)
 ),
"")</f>
        <v/>
      </c>
    </row>
    <row r="376" spans="1:17" x14ac:dyDescent="0.25">
      <c r="A376" t="str">
        <f ca="1"/>
        <v>Satoru, the Infiltrator</v>
      </c>
      <c r="B376" s="2" t="str" cm="1">
        <f t="array" aca="1" ref="B376" ca="1">_xlfn.ANCHORARRAY(RESUMO!C375)</f>
        <v>Yuriko</v>
      </c>
      <c r="C376" s="2" t="str">
        <f t="shared" ca="1" si="21"/>
        <v/>
      </c>
      <c r="F376" s="2">
        <f t="shared" si="24"/>
        <v>0</v>
      </c>
      <c r="G376" s="2" t="str">
        <f t="shared" ca="1" si="22"/>
        <v/>
      </c>
      <c r="N376" s="2">
        <f t="shared" si="23"/>
        <v>0</v>
      </c>
      <c r="O376" s="2" t="str">
        <f>IFERROR(
 INDEX($U$2:$AX$2,
  MATCH(TRUE,
   CHOOSE({1;2;3;4;5;6;7;8;9;10;11;12;13;14;15;16;17;18;19;20;21;22;23;24;25;26;27;28;29;30;31;32},
    COUNTIFS($U$3:$U$201,$M376)&gt;0,
    COUNTIFS($V$3:$V$201,$M376)&gt;0,
    COUNTIFS($W$3:$W$201,$M376)&gt;0,
    COUNTIFS($X$3:$X$201,$M376)&gt;0,
    COUNTIFS($Y$3:$Y$201,$M376)&gt;0,
    COUNTIFS($Z$3:$Z$201,$M376)&gt;0,
    COUNTIFS($AA$3:$AA$201,$M376)&gt;0,
    COUNTIFS($AB$3:$AB$201,$M376)&gt;0,
    COUNTIFS($AC$3:$AC$201,$M376)&gt;0,
    COUNTIFS($AD$3:$AD$201,$M376)&gt;0,
    COUNTIFS($AE$3:$AE$201,$M376)&gt;0,
    COUNTIFS($AF$3:$AF$201,$M376)&gt;0,
    COUNTIFS($AG$3:$AG$201,$M376)&gt;0,
    COUNTIFS($AH$3:$AH$201,$M376)&gt;0,
    COUNTIFS($AI$3:$AI$201,$M376)&gt;0,
    COUNTIFS($AJ$3:$AJ$201,$M376)&gt;0,
    COUNTIFS($AK$3:$AK$201,$M376)&gt;0,
    COUNTIFS($AL$3:$AL$201,$M376)&gt;0,
    COUNTIFS($AM$3:$AM$201,$M376)&gt;0,
    COUNTIFS($AN$3:$AN$201,$M376)&gt;0,
    COUNTIFS($AO$3:$AO$201,$M376)&gt;0,
    COUNTIFS($AP$3:$AP$201,$M376)&gt;0,
    COUNTIFS($AQ$3:$AQ$201,$M376)&gt;0,
    COUNTIFS($AR$3:$AR$201,$M376)&gt;0,
    COUNTIFS($AS$3:$AS$201,$M376)&gt;0,
    COUNTIFS($AT$3:$AT$201,$M376)&gt;0,
    COUNTIFS($AU$3:$AU$201,$M376)&gt;0,
    COUNTIFS($AV$3:$AV$201,$M376)&gt;0,
    COUNTIFS($AW$3:$AW$201,$M376)&gt;0,
    COUNTIFS($AX$3:$AX$201,$M376)&gt;0
   ),
  0)
 ),
"")</f>
        <v/>
      </c>
      <c r="P376" s="2" t="str" cm="1">
        <f t="array" ref="P376">IFERROR(
 INDEX(
  _xlfn._xlws.FILTER($U$2:$AV$2,
   TRANSPOSE(
    CHOOSE({1;2;3;4;5;6;7;8;9;10;11;12;13;14;15;16;17;18;19;20;21;22;23;24;25;26;27;28},
     COUNTIFS($U$3:$U$201,$M376)&gt;0,
     COUNTIFS($V$3:$V$201,$M376)&gt;0,
     COUNTIFS($W$3:$W$201,$M376)&gt;0,
     COUNTIFS($X$3:$X$201,$M376)&gt;0,
     COUNTIFS($Y$3:$Y$201,$M376)&gt;0,
     COUNTIFS($Z$3:$Z$201,$M376)&gt;0,
     COUNTIFS($AA$3:$AA$201,$M376)&gt;0,
     COUNTIFS($AB$3:$AB$201,$M376)&gt;0,
     COUNTIFS($AC$3:$AC$201,$M376)&gt;0,
     COUNTIFS($AD$3:$AD$201,$M376)&gt;0,
     COUNTIFS($AE$3:$AE$201,$M376)&gt;0,
     COUNTIFS($AF$3:$AF$201,$M376)&gt;0,
     COUNTIFS($AG$3:$AG$201,$M376)&gt;0,
     COUNTIFS($AH$3:$AH$201,$M376)&gt;0,
     COUNTIFS($AI$3:$AI$201,$M376)&gt;0,
     COUNTIFS($AJ$3:$AJ$201,$M376)&gt;0,
     COUNTIFS($AK$3:$AK$201,$M376)&gt;0,
     COUNTIFS($AL$3:$AL$201,$M376)&gt;0,
     COUNTIFS($AM$3:$AM$201,$M376)&gt;0,
     COUNTIFS($AN$3:$AN$201,$M376)&gt;0,
     COUNTIFS($AO$3:$AO$201,$M376)&gt;0,
     COUNTIFS($AP$3:$AP$201,$M376)&gt;0,
     COUNTIFS($AQ$3:$AQ$201,$M376)&gt;0,
     COUNTIFS($AR$3:$AR$201,$M376)&gt;0,
     COUNTIFS($AS$3:$AS$201,$M376)&gt;0,
     COUNTIFS($AT$3:$AT$201,$M376)&gt;0,
     COUNTIFS($AU$3:$AU$201,$M376)&gt;0,
     COUNTIFS($AV$3:$AV$201,$M376)&gt;0
   )),
  ),
  2
 ),
"")</f>
        <v/>
      </c>
      <c r="Q376" s="2" t="str" cm="1">
        <f t="array" ref="Q376">IFERROR(
 INDEX($U$2:$AV$2,
  _xlfn.AGGREGATE(15,6,
   (COLUMN($U$2:$AV$2)-COLUMN($U$2)+1)/
   TRANSPOSE(
    CHOOSE({1;2;3;4;5;6;7;8;9;10;11;12;13;14;15;16;17;18;19;20;21;22;23;24;25;26;27;28},
     COUNTIFS($U$3:$U$201,$M376)&gt;0,
     COUNTIFS($V$3:$V$201,$M376)&gt;0,
     COUNTIFS($W$3:$W$201,$M376)&gt;0,
     COUNTIFS($X$3:$X$201,$M376)&gt;0,
     COUNTIFS($Y$3:$Y$201,$M376)&gt;0,
     COUNTIFS($Z$3:$Z$201,$M376)&gt;0,
     COUNTIFS($AA$3:$AA$201,$M376)&gt;0,
     COUNTIFS($AB$3:$AB$201,$M376)&gt;0,
     COUNTIFS($AC$3:$AC$201,$M376)&gt;0,
     COUNTIFS($AD$3:$AD$201,$M376)&gt;0,
     COUNTIFS($AE$3:$AE$201,$M376)&gt;0,
     COUNTIFS($AF$3:$AF$201,$M376)&gt;0,
     COUNTIFS($AG$3:$AG$201,$M376)&gt;0,
     COUNTIFS($AH$3:$AH$201,$M376)&gt;0,
     COUNTIFS($AI$3:$AI$201,$M376)&gt;0,
     COUNTIFS($AJ$3:$AJ$201,$M376)&gt;0,
     COUNTIFS($AK$3:$AK$201,$M376)&gt;0,
     COUNTIFS($AL$3:$AL$201,$M376)&gt;0,
     COUNTIFS($AM$3:$AM$201,$M376)&gt;0,
     COUNTIFS($AN$3:$AN$201,$M376)&gt;0,
     COUNTIFS($AO$3:$AO$201,$M376)&gt;0,
     COUNTIFS($AP$3:$AP$201,$M376)&gt;0,
     COUNTIFS($AQ$3:$AQ$201,$M376)&gt;0,
     COUNTIFS($AR$3:$AR$201,$M376)&gt;0,
     COUNTIFS($AS$3:$AS$201,$M376)&gt;0,
     COUNTIFS($AT$3:$AT$201,$M376)&gt;0,
     COUNTIFS($AU$3:$AU$201,$M376)&gt;0,
     COUNTIFS($AV$3:$AV$201,$M376)&gt;0
   )),
  3)
 ),
"")</f>
        <v/>
      </c>
    </row>
    <row r="377" spans="1:17" x14ac:dyDescent="0.25">
      <c r="A377" t="str">
        <f ca="1"/>
        <v>Savai Triome</v>
      </c>
      <c r="B377" s="2" t="str" cm="1">
        <f t="array" aca="1" ref="B377" ca="1">_xlfn.ANCHORARRAY(RESUMO!C376)</f>
        <v>Fractius</v>
      </c>
      <c r="C377" s="2" t="str">
        <f t="shared" ca="1" si="21"/>
        <v/>
      </c>
      <c r="F377" s="2">
        <f t="shared" si="24"/>
        <v>0</v>
      </c>
      <c r="G377" s="2" t="str">
        <f t="shared" ca="1" si="22"/>
        <v/>
      </c>
      <c r="N377" s="2">
        <f t="shared" si="23"/>
        <v>0</v>
      </c>
      <c r="O377" s="2" t="str">
        <f>IFERROR(
 INDEX($U$2:$AX$2,
  MATCH(TRUE,
   CHOOSE({1;2;3;4;5;6;7;8;9;10;11;12;13;14;15;16;17;18;19;20;21;22;23;24;25;26;27;28;29;30;31;32},
    COUNTIFS($U$3:$U$201,$M377)&gt;0,
    COUNTIFS($V$3:$V$201,$M377)&gt;0,
    COUNTIFS($W$3:$W$201,$M377)&gt;0,
    COUNTIFS($X$3:$X$201,$M377)&gt;0,
    COUNTIFS($Y$3:$Y$201,$M377)&gt;0,
    COUNTIFS($Z$3:$Z$201,$M377)&gt;0,
    COUNTIFS($AA$3:$AA$201,$M377)&gt;0,
    COUNTIFS($AB$3:$AB$201,$M377)&gt;0,
    COUNTIFS($AC$3:$AC$201,$M377)&gt;0,
    COUNTIFS($AD$3:$AD$201,$M377)&gt;0,
    COUNTIFS($AE$3:$AE$201,$M377)&gt;0,
    COUNTIFS($AF$3:$AF$201,$M377)&gt;0,
    COUNTIFS($AG$3:$AG$201,$M377)&gt;0,
    COUNTIFS($AH$3:$AH$201,$M377)&gt;0,
    COUNTIFS($AI$3:$AI$201,$M377)&gt;0,
    COUNTIFS($AJ$3:$AJ$201,$M377)&gt;0,
    COUNTIFS($AK$3:$AK$201,$M377)&gt;0,
    COUNTIFS($AL$3:$AL$201,$M377)&gt;0,
    COUNTIFS($AM$3:$AM$201,$M377)&gt;0,
    COUNTIFS($AN$3:$AN$201,$M377)&gt;0,
    COUNTIFS($AO$3:$AO$201,$M377)&gt;0,
    COUNTIFS($AP$3:$AP$201,$M377)&gt;0,
    COUNTIFS($AQ$3:$AQ$201,$M377)&gt;0,
    COUNTIFS($AR$3:$AR$201,$M377)&gt;0,
    COUNTIFS($AS$3:$AS$201,$M377)&gt;0,
    COUNTIFS($AT$3:$AT$201,$M377)&gt;0,
    COUNTIFS($AU$3:$AU$201,$M377)&gt;0,
    COUNTIFS($AV$3:$AV$201,$M377)&gt;0,
    COUNTIFS($AW$3:$AW$201,$M377)&gt;0,
    COUNTIFS($AX$3:$AX$201,$M377)&gt;0
   ),
  0)
 ),
"")</f>
        <v/>
      </c>
      <c r="P377" s="2" t="str" cm="1">
        <f t="array" ref="P377">IFERROR(
 INDEX(
  _xlfn._xlws.FILTER($U$2:$AV$2,
   TRANSPOSE(
    CHOOSE({1;2;3;4;5;6;7;8;9;10;11;12;13;14;15;16;17;18;19;20;21;22;23;24;25;26;27;28},
     COUNTIFS($U$3:$U$201,$M377)&gt;0,
     COUNTIFS($V$3:$V$201,$M377)&gt;0,
     COUNTIFS($W$3:$W$201,$M377)&gt;0,
     COUNTIFS($X$3:$X$201,$M377)&gt;0,
     COUNTIFS($Y$3:$Y$201,$M377)&gt;0,
     COUNTIFS($Z$3:$Z$201,$M377)&gt;0,
     COUNTIFS($AA$3:$AA$201,$M377)&gt;0,
     COUNTIFS($AB$3:$AB$201,$M377)&gt;0,
     COUNTIFS($AC$3:$AC$201,$M377)&gt;0,
     COUNTIFS($AD$3:$AD$201,$M377)&gt;0,
     COUNTIFS($AE$3:$AE$201,$M377)&gt;0,
     COUNTIFS($AF$3:$AF$201,$M377)&gt;0,
     COUNTIFS($AG$3:$AG$201,$M377)&gt;0,
     COUNTIFS($AH$3:$AH$201,$M377)&gt;0,
     COUNTIFS($AI$3:$AI$201,$M377)&gt;0,
     COUNTIFS($AJ$3:$AJ$201,$M377)&gt;0,
     COUNTIFS($AK$3:$AK$201,$M377)&gt;0,
     COUNTIFS($AL$3:$AL$201,$M377)&gt;0,
     COUNTIFS($AM$3:$AM$201,$M377)&gt;0,
     COUNTIFS($AN$3:$AN$201,$M377)&gt;0,
     COUNTIFS($AO$3:$AO$201,$M377)&gt;0,
     COUNTIFS($AP$3:$AP$201,$M377)&gt;0,
     COUNTIFS($AQ$3:$AQ$201,$M377)&gt;0,
     COUNTIFS($AR$3:$AR$201,$M377)&gt;0,
     COUNTIFS($AS$3:$AS$201,$M377)&gt;0,
     COUNTIFS($AT$3:$AT$201,$M377)&gt;0,
     COUNTIFS($AU$3:$AU$201,$M377)&gt;0,
     COUNTIFS($AV$3:$AV$201,$M377)&gt;0
   )),
  ),
  2
 ),
"")</f>
        <v/>
      </c>
      <c r="Q377" s="2" t="str" cm="1">
        <f t="array" ref="Q377">IFERROR(
 INDEX($U$2:$AV$2,
  _xlfn.AGGREGATE(15,6,
   (COLUMN($U$2:$AV$2)-COLUMN($U$2)+1)/
   TRANSPOSE(
    CHOOSE({1;2;3;4;5;6;7;8;9;10;11;12;13;14;15;16;17;18;19;20;21;22;23;24;25;26;27;28},
     COUNTIFS($U$3:$U$201,$M377)&gt;0,
     COUNTIFS($V$3:$V$201,$M377)&gt;0,
     COUNTIFS($W$3:$W$201,$M377)&gt;0,
     COUNTIFS($X$3:$X$201,$M377)&gt;0,
     COUNTIFS($Y$3:$Y$201,$M377)&gt;0,
     COUNTIFS($Z$3:$Z$201,$M377)&gt;0,
     COUNTIFS($AA$3:$AA$201,$M377)&gt;0,
     COUNTIFS($AB$3:$AB$201,$M377)&gt;0,
     COUNTIFS($AC$3:$AC$201,$M377)&gt;0,
     COUNTIFS($AD$3:$AD$201,$M377)&gt;0,
     COUNTIFS($AE$3:$AE$201,$M377)&gt;0,
     COUNTIFS($AF$3:$AF$201,$M377)&gt;0,
     COUNTIFS($AG$3:$AG$201,$M377)&gt;0,
     COUNTIFS($AH$3:$AH$201,$M377)&gt;0,
     COUNTIFS($AI$3:$AI$201,$M377)&gt;0,
     COUNTIFS($AJ$3:$AJ$201,$M377)&gt;0,
     COUNTIFS($AK$3:$AK$201,$M377)&gt;0,
     COUNTIFS($AL$3:$AL$201,$M377)&gt;0,
     COUNTIFS($AM$3:$AM$201,$M377)&gt;0,
     COUNTIFS($AN$3:$AN$201,$M377)&gt;0,
     COUNTIFS($AO$3:$AO$201,$M377)&gt;0,
     COUNTIFS($AP$3:$AP$201,$M377)&gt;0,
     COUNTIFS($AQ$3:$AQ$201,$M377)&gt;0,
     COUNTIFS($AR$3:$AR$201,$M377)&gt;0,
     COUNTIFS($AS$3:$AS$201,$M377)&gt;0,
     COUNTIFS($AT$3:$AT$201,$M377)&gt;0,
     COUNTIFS($AU$3:$AU$201,$M377)&gt;0,
     COUNTIFS($AV$3:$AV$201,$M377)&gt;0
   )),
  3)
 ),
"")</f>
        <v/>
      </c>
    </row>
    <row r="378" spans="1:17" x14ac:dyDescent="0.25">
      <c r="A378" t="str">
        <f ca="1"/>
        <v>Scalding Tarn</v>
      </c>
      <c r="B378" s="2" t="str" cm="1">
        <f t="array" aca="1" ref="B378" ca="1">_xlfn.ANCHORARRAY(RESUMO!C377)</f>
        <v>Zimone</v>
      </c>
      <c r="C378" s="2" t="str">
        <f t="shared" ca="1" si="21"/>
        <v/>
      </c>
      <c r="F378" s="2">
        <f t="shared" si="24"/>
        <v>0</v>
      </c>
      <c r="G378" s="2" t="str">
        <f t="shared" ca="1" si="22"/>
        <v/>
      </c>
      <c r="N378" s="2">
        <f t="shared" si="23"/>
        <v>0</v>
      </c>
      <c r="O378" s="2" t="str">
        <f>IFERROR(
 INDEX($U$2:$AX$2,
  MATCH(TRUE,
   CHOOSE({1;2;3;4;5;6;7;8;9;10;11;12;13;14;15;16;17;18;19;20;21;22;23;24;25;26;27;28;29;30;31;32},
    COUNTIFS($U$3:$U$201,$M378)&gt;0,
    COUNTIFS($V$3:$V$201,$M378)&gt;0,
    COUNTIFS($W$3:$W$201,$M378)&gt;0,
    COUNTIFS($X$3:$X$201,$M378)&gt;0,
    COUNTIFS($Y$3:$Y$201,$M378)&gt;0,
    COUNTIFS($Z$3:$Z$201,$M378)&gt;0,
    COUNTIFS($AA$3:$AA$201,$M378)&gt;0,
    COUNTIFS($AB$3:$AB$201,$M378)&gt;0,
    COUNTIFS($AC$3:$AC$201,$M378)&gt;0,
    COUNTIFS($AD$3:$AD$201,$M378)&gt;0,
    COUNTIFS($AE$3:$AE$201,$M378)&gt;0,
    COUNTIFS($AF$3:$AF$201,$M378)&gt;0,
    COUNTIFS($AG$3:$AG$201,$M378)&gt;0,
    COUNTIFS($AH$3:$AH$201,$M378)&gt;0,
    COUNTIFS($AI$3:$AI$201,$M378)&gt;0,
    COUNTIFS($AJ$3:$AJ$201,$M378)&gt;0,
    COUNTIFS($AK$3:$AK$201,$M378)&gt;0,
    COUNTIFS($AL$3:$AL$201,$M378)&gt;0,
    COUNTIFS($AM$3:$AM$201,$M378)&gt;0,
    COUNTIFS($AN$3:$AN$201,$M378)&gt;0,
    COUNTIFS($AO$3:$AO$201,$M378)&gt;0,
    COUNTIFS($AP$3:$AP$201,$M378)&gt;0,
    COUNTIFS($AQ$3:$AQ$201,$M378)&gt;0,
    COUNTIFS($AR$3:$AR$201,$M378)&gt;0,
    COUNTIFS($AS$3:$AS$201,$M378)&gt;0,
    COUNTIFS($AT$3:$AT$201,$M378)&gt;0,
    COUNTIFS($AU$3:$AU$201,$M378)&gt;0,
    COUNTIFS($AV$3:$AV$201,$M378)&gt;0,
    COUNTIFS($AW$3:$AW$201,$M378)&gt;0,
    COUNTIFS($AX$3:$AX$201,$M378)&gt;0
   ),
  0)
 ),
"")</f>
        <v/>
      </c>
      <c r="P378" s="2" t="str" cm="1">
        <f t="array" ref="P378">IFERROR(
 INDEX(
  _xlfn._xlws.FILTER($U$2:$AV$2,
   TRANSPOSE(
    CHOOSE({1;2;3;4;5;6;7;8;9;10;11;12;13;14;15;16;17;18;19;20;21;22;23;24;25;26;27;28},
     COUNTIFS($U$3:$U$201,$M378)&gt;0,
     COUNTIFS($V$3:$V$201,$M378)&gt;0,
     COUNTIFS($W$3:$W$201,$M378)&gt;0,
     COUNTIFS($X$3:$X$201,$M378)&gt;0,
     COUNTIFS($Y$3:$Y$201,$M378)&gt;0,
     COUNTIFS($Z$3:$Z$201,$M378)&gt;0,
     COUNTIFS($AA$3:$AA$201,$M378)&gt;0,
     COUNTIFS($AB$3:$AB$201,$M378)&gt;0,
     COUNTIFS($AC$3:$AC$201,$M378)&gt;0,
     COUNTIFS($AD$3:$AD$201,$M378)&gt;0,
     COUNTIFS($AE$3:$AE$201,$M378)&gt;0,
     COUNTIFS($AF$3:$AF$201,$M378)&gt;0,
     COUNTIFS($AG$3:$AG$201,$M378)&gt;0,
     COUNTIFS($AH$3:$AH$201,$M378)&gt;0,
     COUNTIFS($AI$3:$AI$201,$M378)&gt;0,
     COUNTIFS($AJ$3:$AJ$201,$M378)&gt;0,
     COUNTIFS($AK$3:$AK$201,$M378)&gt;0,
     COUNTIFS($AL$3:$AL$201,$M378)&gt;0,
     COUNTIFS($AM$3:$AM$201,$M378)&gt;0,
     COUNTIFS($AN$3:$AN$201,$M378)&gt;0,
     COUNTIFS($AO$3:$AO$201,$M378)&gt;0,
     COUNTIFS($AP$3:$AP$201,$M378)&gt;0,
     COUNTIFS($AQ$3:$AQ$201,$M378)&gt;0,
     COUNTIFS($AR$3:$AR$201,$M378)&gt;0,
     COUNTIFS($AS$3:$AS$201,$M378)&gt;0,
     COUNTIFS($AT$3:$AT$201,$M378)&gt;0,
     COUNTIFS($AU$3:$AU$201,$M378)&gt;0,
     COUNTIFS($AV$3:$AV$201,$M378)&gt;0
   )),
  ),
  2
 ),
"")</f>
        <v/>
      </c>
      <c r="Q378" s="2" t="str" cm="1">
        <f t="array" ref="Q378">IFERROR(
 INDEX($U$2:$AV$2,
  _xlfn.AGGREGATE(15,6,
   (COLUMN($U$2:$AV$2)-COLUMN($U$2)+1)/
   TRANSPOSE(
    CHOOSE({1;2;3;4;5;6;7;8;9;10;11;12;13;14;15;16;17;18;19;20;21;22;23;24;25;26;27;28},
     COUNTIFS($U$3:$U$201,$M378)&gt;0,
     COUNTIFS($V$3:$V$201,$M378)&gt;0,
     COUNTIFS($W$3:$W$201,$M378)&gt;0,
     COUNTIFS($X$3:$X$201,$M378)&gt;0,
     COUNTIFS($Y$3:$Y$201,$M378)&gt;0,
     COUNTIFS($Z$3:$Z$201,$M378)&gt;0,
     COUNTIFS($AA$3:$AA$201,$M378)&gt;0,
     COUNTIFS($AB$3:$AB$201,$M378)&gt;0,
     COUNTIFS($AC$3:$AC$201,$M378)&gt;0,
     COUNTIFS($AD$3:$AD$201,$M378)&gt;0,
     COUNTIFS($AE$3:$AE$201,$M378)&gt;0,
     COUNTIFS($AF$3:$AF$201,$M378)&gt;0,
     COUNTIFS($AG$3:$AG$201,$M378)&gt;0,
     COUNTIFS($AH$3:$AH$201,$M378)&gt;0,
     COUNTIFS($AI$3:$AI$201,$M378)&gt;0,
     COUNTIFS($AJ$3:$AJ$201,$M378)&gt;0,
     COUNTIFS($AK$3:$AK$201,$M378)&gt;0,
     COUNTIFS($AL$3:$AL$201,$M378)&gt;0,
     COUNTIFS($AM$3:$AM$201,$M378)&gt;0,
     COUNTIFS($AN$3:$AN$201,$M378)&gt;0,
     COUNTIFS($AO$3:$AO$201,$M378)&gt;0,
     COUNTIFS($AP$3:$AP$201,$M378)&gt;0,
     COUNTIFS($AQ$3:$AQ$201,$M378)&gt;0,
     COUNTIFS($AR$3:$AR$201,$M378)&gt;0,
     COUNTIFS($AS$3:$AS$201,$M378)&gt;0,
     COUNTIFS($AT$3:$AT$201,$M378)&gt;0,
     COUNTIFS($AU$3:$AU$201,$M378)&gt;0,
     COUNTIFS($AV$3:$AV$201,$M378)&gt;0
   )),
  3)
 ),
"")</f>
        <v/>
      </c>
    </row>
    <row r="379" spans="1:17" x14ac:dyDescent="0.25">
      <c r="A379" t="str">
        <f ca="1"/>
        <v>Scattered Groves</v>
      </c>
      <c r="B379" s="2" t="str" cm="1">
        <f t="array" aca="1" ref="B379" ca="1">_xlfn.ANCHORARRAY(RESUMO!C378)</f>
        <v>OWA</v>
      </c>
      <c r="C379" s="2" t="str">
        <f t="shared" ca="1" si="21"/>
        <v/>
      </c>
      <c r="F379" s="2">
        <f t="shared" si="24"/>
        <v>0</v>
      </c>
      <c r="G379" s="2" t="str">
        <f t="shared" ca="1" si="22"/>
        <v/>
      </c>
      <c r="N379" s="2">
        <f t="shared" si="23"/>
        <v>0</v>
      </c>
      <c r="O379" s="2" t="str">
        <f>IFERROR(
 INDEX($U$2:$AX$2,
  MATCH(TRUE,
   CHOOSE({1;2;3;4;5;6;7;8;9;10;11;12;13;14;15;16;17;18;19;20;21;22;23;24;25;26;27;28;29;30;31;32},
    COUNTIFS($U$3:$U$201,$M379)&gt;0,
    COUNTIFS($V$3:$V$201,$M379)&gt;0,
    COUNTIFS($W$3:$W$201,$M379)&gt;0,
    COUNTIFS($X$3:$X$201,$M379)&gt;0,
    COUNTIFS($Y$3:$Y$201,$M379)&gt;0,
    COUNTIFS($Z$3:$Z$201,$M379)&gt;0,
    COUNTIFS($AA$3:$AA$201,$M379)&gt;0,
    COUNTIFS($AB$3:$AB$201,$M379)&gt;0,
    COUNTIFS($AC$3:$AC$201,$M379)&gt;0,
    COUNTIFS($AD$3:$AD$201,$M379)&gt;0,
    COUNTIFS($AE$3:$AE$201,$M379)&gt;0,
    COUNTIFS($AF$3:$AF$201,$M379)&gt;0,
    COUNTIFS($AG$3:$AG$201,$M379)&gt;0,
    COUNTIFS($AH$3:$AH$201,$M379)&gt;0,
    COUNTIFS($AI$3:$AI$201,$M379)&gt;0,
    COUNTIFS($AJ$3:$AJ$201,$M379)&gt;0,
    COUNTIFS($AK$3:$AK$201,$M379)&gt;0,
    COUNTIFS($AL$3:$AL$201,$M379)&gt;0,
    COUNTIFS($AM$3:$AM$201,$M379)&gt;0,
    COUNTIFS($AN$3:$AN$201,$M379)&gt;0,
    COUNTIFS($AO$3:$AO$201,$M379)&gt;0,
    COUNTIFS($AP$3:$AP$201,$M379)&gt;0,
    COUNTIFS($AQ$3:$AQ$201,$M379)&gt;0,
    COUNTIFS($AR$3:$AR$201,$M379)&gt;0,
    COUNTIFS($AS$3:$AS$201,$M379)&gt;0,
    COUNTIFS($AT$3:$AT$201,$M379)&gt;0,
    COUNTIFS($AU$3:$AU$201,$M379)&gt;0,
    COUNTIFS($AV$3:$AV$201,$M379)&gt;0,
    COUNTIFS($AW$3:$AW$201,$M379)&gt;0,
    COUNTIFS($AX$3:$AX$201,$M379)&gt;0
   ),
  0)
 ),
"")</f>
        <v/>
      </c>
      <c r="P379" s="2" t="str" cm="1">
        <f t="array" ref="P379">IFERROR(
 INDEX(
  _xlfn._xlws.FILTER($U$2:$AV$2,
   TRANSPOSE(
    CHOOSE({1;2;3;4;5;6;7;8;9;10;11;12;13;14;15;16;17;18;19;20;21;22;23;24;25;26;27;28},
     COUNTIFS($U$3:$U$201,$M379)&gt;0,
     COUNTIFS($V$3:$V$201,$M379)&gt;0,
     COUNTIFS($W$3:$W$201,$M379)&gt;0,
     COUNTIFS($X$3:$X$201,$M379)&gt;0,
     COUNTIFS($Y$3:$Y$201,$M379)&gt;0,
     COUNTIFS($Z$3:$Z$201,$M379)&gt;0,
     COUNTIFS($AA$3:$AA$201,$M379)&gt;0,
     COUNTIFS($AB$3:$AB$201,$M379)&gt;0,
     COUNTIFS($AC$3:$AC$201,$M379)&gt;0,
     COUNTIFS($AD$3:$AD$201,$M379)&gt;0,
     COUNTIFS($AE$3:$AE$201,$M379)&gt;0,
     COUNTIFS($AF$3:$AF$201,$M379)&gt;0,
     COUNTIFS($AG$3:$AG$201,$M379)&gt;0,
     COUNTIFS($AH$3:$AH$201,$M379)&gt;0,
     COUNTIFS($AI$3:$AI$201,$M379)&gt;0,
     COUNTIFS($AJ$3:$AJ$201,$M379)&gt;0,
     COUNTIFS($AK$3:$AK$201,$M379)&gt;0,
     COUNTIFS($AL$3:$AL$201,$M379)&gt;0,
     COUNTIFS($AM$3:$AM$201,$M379)&gt;0,
     COUNTIFS($AN$3:$AN$201,$M379)&gt;0,
     COUNTIFS($AO$3:$AO$201,$M379)&gt;0,
     COUNTIFS($AP$3:$AP$201,$M379)&gt;0,
     COUNTIFS($AQ$3:$AQ$201,$M379)&gt;0,
     COUNTIFS($AR$3:$AR$201,$M379)&gt;0,
     COUNTIFS($AS$3:$AS$201,$M379)&gt;0,
     COUNTIFS($AT$3:$AT$201,$M379)&gt;0,
     COUNTIFS($AU$3:$AU$201,$M379)&gt;0,
     COUNTIFS($AV$3:$AV$201,$M379)&gt;0
   )),
  ),
  2
 ),
"")</f>
        <v/>
      </c>
      <c r="Q379" s="2" t="str" cm="1">
        <f t="array" ref="Q379">IFERROR(
 INDEX($U$2:$AV$2,
  _xlfn.AGGREGATE(15,6,
   (COLUMN($U$2:$AV$2)-COLUMN($U$2)+1)/
   TRANSPOSE(
    CHOOSE({1;2;3;4;5;6;7;8;9;10;11;12;13;14;15;16;17;18;19;20;21;22;23;24;25;26;27;28},
     COUNTIFS($U$3:$U$201,$M379)&gt;0,
     COUNTIFS($V$3:$V$201,$M379)&gt;0,
     COUNTIFS($W$3:$W$201,$M379)&gt;0,
     COUNTIFS($X$3:$X$201,$M379)&gt;0,
     COUNTIFS($Y$3:$Y$201,$M379)&gt;0,
     COUNTIFS($Z$3:$Z$201,$M379)&gt;0,
     COUNTIFS($AA$3:$AA$201,$M379)&gt;0,
     COUNTIFS($AB$3:$AB$201,$M379)&gt;0,
     COUNTIFS($AC$3:$AC$201,$M379)&gt;0,
     COUNTIFS($AD$3:$AD$201,$M379)&gt;0,
     COUNTIFS($AE$3:$AE$201,$M379)&gt;0,
     COUNTIFS($AF$3:$AF$201,$M379)&gt;0,
     COUNTIFS($AG$3:$AG$201,$M379)&gt;0,
     COUNTIFS($AH$3:$AH$201,$M379)&gt;0,
     COUNTIFS($AI$3:$AI$201,$M379)&gt;0,
     COUNTIFS($AJ$3:$AJ$201,$M379)&gt;0,
     COUNTIFS($AK$3:$AK$201,$M379)&gt;0,
     COUNTIFS($AL$3:$AL$201,$M379)&gt;0,
     COUNTIFS($AM$3:$AM$201,$M379)&gt;0,
     COUNTIFS($AN$3:$AN$201,$M379)&gt;0,
     COUNTIFS($AO$3:$AO$201,$M379)&gt;0,
     COUNTIFS($AP$3:$AP$201,$M379)&gt;0,
     COUNTIFS($AQ$3:$AQ$201,$M379)&gt;0,
     COUNTIFS($AR$3:$AR$201,$M379)&gt;0,
     COUNTIFS($AS$3:$AS$201,$M379)&gt;0,
     COUNTIFS($AT$3:$AT$201,$M379)&gt;0,
     COUNTIFS($AU$3:$AU$201,$M379)&gt;0,
     COUNTIFS($AV$3:$AV$201,$M379)&gt;0
   )),
  3)
 ),
"")</f>
        <v/>
      </c>
    </row>
    <row r="380" spans="1:17" x14ac:dyDescent="0.25">
      <c r="A380" t="str">
        <f ca="1"/>
        <v>Scuzzback Scrounger</v>
      </c>
      <c r="B380" s="2" t="str" cm="1">
        <f t="array" aca="1" ref="B380" ca="1">_xlfn.ANCHORARRAY(RESUMO!C379)</f>
        <v>Ool</v>
      </c>
      <c r="C380" s="2" t="str">
        <f t="shared" ca="1" si="21"/>
        <v/>
      </c>
      <c r="F380" s="2">
        <f t="shared" si="24"/>
        <v>0</v>
      </c>
      <c r="G380" s="2" t="str">
        <f t="shared" ca="1" si="22"/>
        <v/>
      </c>
      <c r="N380" s="2">
        <f t="shared" si="23"/>
        <v>0</v>
      </c>
      <c r="O380" s="2" t="str">
        <f>IFERROR(
 INDEX($U$2:$AX$2,
  MATCH(TRUE,
   CHOOSE({1;2;3;4;5;6;7;8;9;10;11;12;13;14;15;16;17;18;19;20;21;22;23;24;25;26;27;28;29;30;31;32},
    COUNTIFS($U$3:$U$201,$M380)&gt;0,
    COUNTIFS($V$3:$V$201,$M380)&gt;0,
    COUNTIFS($W$3:$W$201,$M380)&gt;0,
    COUNTIFS($X$3:$X$201,$M380)&gt;0,
    COUNTIFS($Y$3:$Y$201,$M380)&gt;0,
    COUNTIFS($Z$3:$Z$201,$M380)&gt;0,
    COUNTIFS($AA$3:$AA$201,$M380)&gt;0,
    COUNTIFS($AB$3:$AB$201,$M380)&gt;0,
    COUNTIFS($AC$3:$AC$201,$M380)&gt;0,
    COUNTIFS($AD$3:$AD$201,$M380)&gt;0,
    COUNTIFS($AE$3:$AE$201,$M380)&gt;0,
    COUNTIFS($AF$3:$AF$201,$M380)&gt;0,
    COUNTIFS($AG$3:$AG$201,$M380)&gt;0,
    COUNTIFS($AH$3:$AH$201,$M380)&gt;0,
    COUNTIFS($AI$3:$AI$201,$M380)&gt;0,
    COUNTIFS($AJ$3:$AJ$201,$M380)&gt;0,
    COUNTIFS($AK$3:$AK$201,$M380)&gt;0,
    COUNTIFS($AL$3:$AL$201,$M380)&gt;0,
    COUNTIFS($AM$3:$AM$201,$M380)&gt;0,
    COUNTIFS($AN$3:$AN$201,$M380)&gt;0,
    COUNTIFS($AO$3:$AO$201,$M380)&gt;0,
    COUNTIFS($AP$3:$AP$201,$M380)&gt;0,
    COUNTIFS($AQ$3:$AQ$201,$M380)&gt;0,
    COUNTIFS($AR$3:$AR$201,$M380)&gt;0,
    COUNTIFS($AS$3:$AS$201,$M380)&gt;0,
    COUNTIFS($AT$3:$AT$201,$M380)&gt;0,
    COUNTIFS($AU$3:$AU$201,$M380)&gt;0,
    COUNTIFS($AV$3:$AV$201,$M380)&gt;0,
    COUNTIFS($AW$3:$AW$201,$M380)&gt;0,
    COUNTIFS($AX$3:$AX$201,$M380)&gt;0
   ),
  0)
 ),
"")</f>
        <v/>
      </c>
    </row>
    <row r="381" spans="1:17" x14ac:dyDescent="0.25">
      <c r="A381" t="str">
        <f ca="1"/>
        <v>Sea Gate Restoration</v>
      </c>
      <c r="B381" s="2" t="str" cm="1">
        <f t="array" aca="1" ref="B381" ca="1">_xlfn.ANCHORARRAY(RESUMO!C380)</f>
        <v>Yuriko</v>
      </c>
      <c r="C381" s="2" t="str">
        <f t="shared" ca="1" si="21"/>
        <v/>
      </c>
      <c r="F381" s="2">
        <f t="shared" si="24"/>
        <v>0</v>
      </c>
      <c r="G381" s="2" t="str">
        <f t="shared" ca="1" si="22"/>
        <v/>
      </c>
      <c r="N381" s="2">
        <f t="shared" si="23"/>
        <v>0</v>
      </c>
      <c r="O381" s="2" t="str">
        <f>IFERROR(
 INDEX($U$2:$AX$2,
  MATCH(TRUE,
   CHOOSE({1;2;3;4;5;6;7;8;9;10;11;12;13;14;15;16;17;18;19;20;21;22;23;24;25;26;27;28;29;30;31;32},
    COUNTIFS($U$3:$U$201,$M381)&gt;0,
    COUNTIFS($V$3:$V$201,$M381)&gt;0,
    COUNTIFS($W$3:$W$201,$M381)&gt;0,
    COUNTIFS($X$3:$X$201,$M381)&gt;0,
    COUNTIFS($Y$3:$Y$201,$M381)&gt;0,
    COUNTIFS($Z$3:$Z$201,$M381)&gt;0,
    COUNTIFS($AA$3:$AA$201,$M381)&gt;0,
    COUNTIFS($AB$3:$AB$201,$M381)&gt;0,
    COUNTIFS($AC$3:$AC$201,$M381)&gt;0,
    COUNTIFS($AD$3:$AD$201,$M381)&gt;0,
    COUNTIFS($AE$3:$AE$201,$M381)&gt;0,
    COUNTIFS($AF$3:$AF$201,$M381)&gt;0,
    COUNTIFS($AG$3:$AG$201,$M381)&gt;0,
    COUNTIFS($AH$3:$AH$201,$M381)&gt;0,
    COUNTIFS($AI$3:$AI$201,$M381)&gt;0,
    COUNTIFS($AJ$3:$AJ$201,$M381)&gt;0,
    COUNTIFS($AK$3:$AK$201,$M381)&gt;0,
    COUNTIFS($AL$3:$AL$201,$M381)&gt;0,
    COUNTIFS($AM$3:$AM$201,$M381)&gt;0,
    COUNTIFS($AN$3:$AN$201,$M381)&gt;0,
    COUNTIFS($AO$3:$AO$201,$M381)&gt;0,
    COUNTIFS($AP$3:$AP$201,$M381)&gt;0,
    COUNTIFS($AQ$3:$AQ$201,$M381)&gt;0,
    COUNTIFS($AR$3:$AR$201,$M381)&gt;0,
    COUNTIFS($AS$3:$AS$201,$M381)&gt;0,
    COUNTIFS($AT$3:$AT$201,$M381)&gt;0,
    COUNTIFS($AU$3:$AU$201,$M381)&gt;0,
    COUNTIFS($AV$3:$AV$201,$M381)&gt;0,
    COUNTIFS($AW$3:$AW$201,$M381)&gt;0,
    COUNTIFS($AX$3:$AX$201,$M381)&gt;0
   ),
  0)
 ),
"")</f>
        <v/>
      </c>
    </row>
    <row r="382" spans="1:17" x14ac:dyDescent="0.25">
      <c r="A382" t="str">
        <f ca="1"/>
        <v>Seahunter</v>
      </c>
      <c r="B382" s="2" t="str" cm="1">
        <f t="array" aca="1" ref="B382" ca="1">_xlfn.ANCHORARRAY(RESUMO!C381)</f>
        <v>Kumena</v>
      </c>
      <c r="C382" s="2" t="str">
        <f t="shared" ca="1" si="21"/>
        <v/>
      </c>
      <c r="F382" s="2">
        <f t="shared" si="24"/>
        <v>0</v>
      </c>
      <c r="G382" s="2" t="str">
        <f t="shared" ca="1" si="22"/>
        <v/>
      </c>
      <c r="N382" s="2">
        <f t="shared" si="23"/>
        <v>0</v>
      </c>
      <c r="O382" s="2" t="str">
        <f>IFERROR(
 INDEX($U$2:$AX$2,
  MATCH(TRUE,
   CHOOSE({1;2;3;4;5;6;7;8;9;10;11;12;13;14;15;16;17;18;19;20;21;22;23;24;25;26;27;28;29;30;31;32},
    COUNTIFS($U$3:$U$201,$M382)&gt;0,
    COUNTIFS($V$3:$V$201,$M382)&gt;0,
    COUNTIFS($W$3:$W$201,$M382)&gt;0,
    COUNTIFS($X$3:$X$201,$M382)&gt;0,
    COUNTIFS($Y$3:$Y$201,$M382)&gt;0,
    COUNTIFS($Z$3:$Z$201,$M382)&gt;0,
    COUNTIFS($AA$3:$AA$201,$M382)&gt;0,
    COUNTIFS($AB$3:$AB$201,$M382)&gt;0,
    COUNTIFS($AC$3:$AC$201,$M382)&gt;0,
    COUNTIFS($AD$3:$AD$201,$M382)&gt;0,
    COUNTIFS($AE$3:$AE$201,$M382)&gt;0,
    COUNTIFS($AF$3:$AF$201,$M382)&gt;0,
    COUNTIFS($AG$3:$AG$201,$M382)&gt;0,
    COUNTIFS($AH$3:$AH$201,$M382)&gt;0,
    COUNTIFS($AI$3:$AI$201,$M382)&gt;0,
    COUNTIFS($AJ$3:$AJ$201,$M382)&gt;0,
    COUNTIFS($AK$3:$AK$201,$M382)&gt;0,
    COUNTIFS($AL$3:$AL$201,$M382)&gt;0,
    COUNTIFS($AM$3:$AM$201,$M382)&gt;0,
    COUNTIFS($AN$3:$AN$201,$M382)&gt;0,
    COUNTIFS($AO$3:$AO$201,$M382)&gt;0,
    COUNTIFS($AP$3:$AP$201,$M382)&gt;0,
    COUNTIFS($AQ$3:$AQ$201,$M382)&gt;0,
    COUNTIFS($AR$3:$AR$201,$M382)&gt;0,
    COUNTIFS($AS$3:$AS$201,$M382)&gt;0,
    COUNTIFS($AT$3:$AT$201,$M382)&gt;0,
    COUNTIFS($AU$3:$AU$201,$M382)&gt;0,
    COUNTIFS($AV$3:$AV$201,$M382)&gt;0,
    COUNTIFS($AW$3:$AW$201,$M382)&gt;0,
    COUNTIFS($AX$3:$AX$201,$M382)&gt;0
   ),
  0)
 ),
"")</f>
        <v/>
      </c>
    </row>
    <row r="383" spans="1:17" x14ac:dyDescent="0.25">
      <c r="A383" t="str">
        <f ca="1"/>
        <v>Searslicer Goblin</v>
      </c>
      <c r="B383" s="2" t="str" cm="1">
        <f t="array" aca="1" ref="B383" ca="1">_xlfn.ANCHORARRAY(RESUMO!C382)</f>
        <v>Little</v>
      </c>
      <c r="C383" s="2" t="str">
        <f t="shared" ca="1" si="21"/>
        <v/>
      </c>
      <c r="F383" s="2">
        <f t="shared" si="24"/>
        <v>0</v>
      </c>
      <c r="G383" s="2" t="str">
        <f t="shared" ca="1" si="22"/>
        <v/>
      </c>
      <c r="N383" s="2">
        <f t="shared" si="23"/>
        <v>0</v>
      </c>
      <c r="O383" s="2" t="str">
        <f>IFERROR(
 INDEX($U$2:$AX$2,
  MATCH(TRUE,
   CHOOSE({1;2;3;4;5;6;7;8;9;10;11;12;13;14;15;16;17;18;19;20;21;22;23;24;25;26;27;28;29;30;31;32},
    COUNTIFS($U$3:$U$201,$M383)&gt;0,
    COUNTIFS($V$3:$V$201,$M383)&gt;0,
    COUNTIFS($W$3:$W$201,$M383)&gt;0,
    COUNTIFS($X$3:$X$201,$M383)&gt;0,
    COUNTIFS($Y$3:$Y$201,$M383)&gt;0,
    COUNTIFS($Z$3:$Z$201,$M383)&gt;0,
    COUNTIFS($AA$3:$AA$201,$M383)&gt;0,
    COUNTIFS($AB$3:$AB$201,$M383)&gt;0,
    COUNTIFS($AC$3:$AC$201,$M383)&gt;0,
    COUNTIFS($AD$3:$AD$201,$M383)&gt;0,
    COUNTIFS($AE$3:$AE$201,$M383)&gt;0,
    COUNTIFS($AF$3:$AF$201,$M383)&gt;0,
    COUNTIFS($AG$3:$AG$201,$M383)&gt;0,
    COUNTIFS($AH$3:$AH$201,$M383)&gt;0,
    COUNTIFS($AI$3:$AI$201,$M383)&gt;0,
    COUNTIFS($AJ$3:$AJ$201,$M383)&gt;0,
    COUNTIFS($AK$3:$AK$201,$M383)&gt;0,
    COUNTIFS($AL$3:$AL$201,$M383)&gt;0,
    COUNTIFS($AM$3:$AM$201,$M383)&gt;0,
    COUNTIFS($AN$3:$AN$201,$M383)&gt;0,
    COUNTIFS($AO$3:$AO$201,$M383)&gt;0,
    COUNTIFS($AP$3:$AP$201,$M383)&gt;0,
    COUNTIFS($AQ$3:$AQ$201,$M383)&gt;0,
    COUNTIFS($AR$3:$AR$201,$M383)&gt;0,
    COUNTIFS($AS$3:$AS$201,$M383)&gt;0,
    COUNTIFS($AT$3:$AT$201,$M383)&gt;0,
    COUNTIFS($AU$3:$AU$201,$M383)&gt;0,
    COUNTIFS($AV$3:$AV$201,$M383)&gt;0,
    COUNTIFS($AW$3:$AW$201,$M383)&gt;0,
    COUNTIFS($AX$3:$AX$201,$M383)&gt;0
   ),
  0)
 ),
"")</f>
        <v/>
      </c>
    </row>
    <row r="384" spans="1:17" x14ac:dyDescent="0.25">
      <c r="A384" t="str">
        <f ca="1"/>
        <v>Secret Tunnel</v>
      </c>
      <c r="B384" s="2" t="str" cm="1">
        <f t="array" aca="1" ref="B384" ca="1">_xlfn.ANCHORARRAY(RESUMO!C383)</f>
        <v>Piratas</v>
      </c>
      <c r="C384" s="2" t="str">
        <f t="shared" ca="1" si="21"/>
        <v/>
      </c>
      <c r="F384" s="2">
        <f t="shared" si="24"/>
        <v>0</v>
      </c>
      <c r="G384" s="2" t="str">
        <f t="shared" ca="1" si="22"/>
        <v/>
      </c>
      <c r="N384" s="2">
        <f t="shared" si="23"/>
        <v>0</v>
      </c>
      <c r="O384" s="2" t="str">
        <f>IFERROR(
 INDEX($U$2:$AX$2,
  MATCH(TRUE,
   CHOOSE({1;2;3;4;5;6;7;8;9;10;11;12;13;14;15;16;17;18;19;20;21;22;23;24;25;26;27;28;29;30;31;32},
    COUNTIFS($U$3:$U$201,$M384)&gt;0,
    COUNTIFS($V$3:$V$201,$M384)&gt;0,
    COUNTIFS($W$3:$W$201,$M384)&gt;0,
    COUNTIFS($X$3:$X$201,$M384)&gt;0,
    COUNTIFS($Y$3:$Y$201,$M384)&gt;0,
    COUNTIFS($Z$3:$Z$201,$M384)&gt;0,
    COUNTIFS($AA$3:$AA$201,$M384)&gt;0,
    COUNTIFS($AB$3:$AB$201,$M384)&gt;0,
    COUNTIFS($AC$3:$AC$201,$M384)&gt;0,
    COUNTIFS($AD$3:$AD$201,$M384)&gt;0,
    COUNTIFS($AE$3:$AE$201,$M384)&gt;0,
    COUNTIFS($AF$3:$AF$201,$M384)&gt;0,
    COUNTIFS($AG$3:$AG$201,$M384)&gt;0,
    COUNTIFS($AH$3:$AH$201,$M384)&gt;0,
    COUNTIFS($AI$3:$AI$201,$M384)&gt;0,
    COUNTIFS($AJ$3:$AJ$201,$M384)&gt;0,
    COUNTIFS($AK$3:$AK$201,$M384)&gt;0,
    COUNTIFS($AL$3:$AL$201,$M384)&gt;0,
    COUNTIFS($AM$3:$AM$201,$M384)&gt;0,
    COUNTIFS($AN$3:$AN$201,$M384)&gt;0,
    COUNTIFS($AO$3:$AO$201,$M384)&gt;0,
    COUNTIFS($AP$3:$AP$201,$M384)&gt;0,
    COUNTIFS($AQ$3:$AQ$201,$M384)&gt;0,
    COUNTIFS($AR$3:$AR$201,$M384)&gt;0,
    COUNTIFS($AS$3:$AS$201,$M384)&gt;0,
    COUNTIFS($AT$3:$AT$201,$M384)&gt;0,
    COUNTIFS($AU$3:$AU$201,$M384)&gt;0,
    COUNTIFS($AV$3:$AV$201,$M384)&gt;0,
    COUNTIFS($AW$3:$AW$201,$M384)&gt;0,
    COUNTIFS($AX$3:$AX$201,$M384)&gt;0
   ),
  0)
 ),
"")</f>
        <v/>
      </c>
    </row>
    <row r="385" spans="1:15" x14ac:dyDescent="0.25">
      <c r="A385" t="str">
        <f ca="1"/>
        <v>Sedge Sliver</v>
      </c>
      <c r="B385" s="2" t="str" cm="1">
        <f t="array" aca="1" ref="B385" ca="1">_xlfn.ANCHORARRAY(RESUMO!C384)</f>
        <v>Fractius</v>
      </c>
      <c r="C385" s="2" t="str">
        <f t="shared" ca="1" si="21"/>
        <v/>
      </c>
      <c r="F385" s="2">
        <f t="shared" si="24"/>
        <v>0</v>
      </c>
      <c r="G385" s="2" t="str">
        <f t="shared" ca="1" si="22"/>
        <v/>
      </c>
      <c r="N385" s="2">
        <f t="shared" si="23"/>
        <v>0</v>
      </c>
      <c r="O385" s="2" t="str">
        <f>IFERROR(
 INDEX($U$2:$AX$2,
  MATCH(TRUE,
   CHOOSE({1;2;3;4;5;6;7;8;9;10;11;12;13;14;15;16;17;18;19;20;21;22;23;24;25;26;27;28;29;30;31;32},
    COUNTIFS($U$3:$U$201,$M385)&gt;0,
    COUNTIFS($V$3:$V$201,$M385)&gt;0,
    COUNTIFS($W$3:$W$201,$M385)&gt;0,
    COUNTIFS($X$3:$X$201,$M385)&gt;0,
    COUNTIFS($Y$3:$Y$201,$M385)&gt;0,
    COUNTIFS($Z$3:$Z$201,$M385)&gt;0,
    COUNTIFS($AA$3:$AA$201,$M385)&gt;0,
    COUNTIFS($AB$3:$AB$201,$M385)&gt;0,
    COUNTIFS($AC$3:$AC$201,$M385)&gt;0,
    COUNTIFS($AD$3:$AD$201,$M385)&gt;0,
    COUNTIFS($AE$3:$AE$201,$M385)&gt;0,
    COUNTIFS($AF$3:$AF$201,$M385)&gt;0,
    COUNTIFS($AG$3:$AG$201,$M385)&gt;0,
    COUNTIFS($AH$3:$AH$201,$M385)&gt;0,
    COUNTIFS($AI$3:$AI$201,$M385)&gt;0,
    COUNTIFS($AJ$3:$AJ$201,$M385)&gt;0,
    COUNTIFS($AK$3:$AK$201,$M385)&gt;0,
    COUNTIFS($AL$3:$AL$201,$M385)&gt;0,
    COUNTIFS($AM$3:$AM$201,$M385)&gt;0,
    COUNTIFS($AN$3:$AN$201,$M385)&gt;0,
    COUNTIFS($AO$3:$AO$201,$M385)&gt;0,
    COUNTIFS($AP$3:$AP$201,$M385)&gt;0,
    COUNTIFS($AQ$3:$AQ$201,$M385)&gt;0,
    COUNTIFS($AR$3:$AR$201,$M385)&gt;0,
    COUNTIFS($AS$3:$AS$201,$M385)&gt;0,
    COUNTIFS($AT$3:$AT$201,$M385)&gt;0,
    COUNTIFS($AU$3:$AU$201,$M385)&gt;0,
    COUNTIFS($AV$3:$AV$201,$M385)&gt;0,
    COUNTIFS($AW$3:$AW$201,$M385)&gt;0,
    COUNTIFS($AX$3:$AX$201,$M385)&gt;0
   ),
  0)
 ),
"")</f>
        <v/>
      </c>
    </row>
    <row r="386" spans="1:15" x14ac:dyDescent="0.25">
      <c r="A386" t="str">
        <f ca="1"/>
        <v>Seedborn Muse</v>
      </c>
      <c r="B386" s="2" t="str" cm="1">
        <f t="array" aca="1" ref="B386" ca="1">_xlfn.ANCHORARRAY(RESUMO!C385)</f>
        <v>Baylen</v>
      </c>
      <c r="C386" s="2" t="str">
        <f t="shared" ca="1" si="21"/>
        <v/>
      </c>
      <c r="F386" s="2">
        <f t="shared" si="24"/>
        <v>0</v>
      </c>
      <c r="G386" s="2" t="str">
        <f t="shared" ca="1" si="22"/>
        <v/>
      </c>
      <c r="N386" s="2">
        <f t="shared" si="23"/>
        <v>0</v>
      </c>
      <c r="O386" s="2" t="str">
        <f>IFERROR(
 INDEX($U$2:$AX$2,
  MATCH(TRUE,
   CHOOSE({1;2;3;4;5;6;7;8;9;10;11;12;13;14;15;16;17;18;19;20;21;22;23;24;25;26;27;28;29;30;31;32},
    COUNTIFS($U$3:$U$201,$M386)&gt;0,
    COUNTIFS($V$3:$V$201,$M386)&gt;0,
    COUNTIFS($W$3:$W$201,$M386)&gt;0,
    COUNTIFS($X$3:$X$201,$M386)&gt;0,
    COUNTIFS($Y$3:$Y$201,$M386)&gt;0,
    COUNTIFS($Z$3:$Z$201,$M386)&gt;0,
    COUNTIFS($AA$3:$AA$201,$M386)&gt;0,
    COUNTIFS($AB$3:$AB$201,$M386)&gt;0,
    COUNTIFS($AC$3:$AC$201,$M386)&gt;0,
    COUNTIFS($AD$3:$AD$201,$M386)&gt;0,
    COUNTIFS($AE$3:$AE$201,$M386)&gt;0,
    COUNTIFS($AF$3:$AF$201,$M386)&gt;0,
    COUNTIFS($AG$3:$AG$201,$M386)&gt;0,
    COUNTIFS($AH$3:$AH$201,$M386)&gt;0,
    COUNTIFS($AI$3:$AI$201,$M386)&gt;0,
    COUNTIFS($AJ$3:$AJ$201,$M386)&gt;0,
    COUNTIFS($AK$3:$AK$201,$M386)&gt;0,
    COUNTIFS($AL$3:$AL$201,$M386)&gt;0,
    COUNTIFS($AM$3:$AM$201,$M386)&gt;0,
    COUNTIFS($AN$3:$AN$201,$M386)&gt;0,
    COUNTIFS($AO$3:$AO$201,$M386)&gt;0,
    COUNTIFS($AP$3:$AP$201,$M386)&gt;0,
    COUNTIFS($AQ$3:$AQ$201,$M386)&gt;0,
    COUNTIFS($AR$3:$AR$201,$M386)&gt;0,
    COUNTIFS($AS$3:$AS$201,$M386)&gt;0,
    COUNTIFS($AT$3:$AT$201,$M386)&gt;0,
    COUNTIFS($AU$3:$AU$201,$M386)&gt;0,
    COUNTIFS($AV$3:$AV$201,$M386)&gt;0,
    COUNTIFS($AW$3:$AW$201,$M386)&gt;0,
    COUNTIFS($AX$3:$AX$201,$M386)&gt;0
   ),
  0)
 ),
"")</f>
        <v/>
      </c>
    </row>
    <row r="387" spans="1:15" x14ac:dyDescent="0.25">
      <c r="A387" t="str">
        <f ca="1"/>
        <v>Sentinel Sliver</v>
      </c>
      <c r="B387" s="2" t="str" cm="1">
        <f t="array" aca="1" ref="B387" ca="1">_xlfn.ANCHORARRAY(RESUMO!C386)</f>
        <v>Fractius</v>
      </c>
      <c r="C387" s="2" t="str">
        <f t="shared" ref="C387:C450" ca="1" si="25">IFERROR(_xlfn.XLOOKUP($A387,$E:$E,$G:$G),"")</f>
        <v/>
      </c>
      <c r="F387" s="2">
        <f t="shared" si="24"/>
        <v>0</v>
      </c>
      <c r="G387" s="2" t="str">
        <f t="shared" ref="G387:G450" ca="1" si="26">_xlfn.XLOOKUP($E387,$M:$M,$O:$O,"Guardado")</f>
        <v/>
      </c>
      <c r="N387" s="2">
        <f t="shared" ref="N387:N450" si="27">COUNTIF(U:AX,M387)</f>
        <v>0</v>
      </c>
      <c r="O387" s="2" t="str">
        <f>IFERROR(
 INDEX($U$2:$AX$2,
  MATCH(TRUE,
   CHOOSE({1;2;3;4;5;6;7;8;9;10;11;12;13;14;15;16;17;18;19;20;21;22;23;24;25;26;27;28;29;30;31;32},
    COUNTIFS($U$3:$U$201,$M387)&gt;0,
    COUNTIFS($V$3:$V$201,$M387)&gt;0,
    COUNTIFS($W$3:$W$201,$M387)&gt;0,
    COUNTIFS($X$3:$X$201,$M387)&gt;0,
    COUNTIFS($Y$3:$Y$201,$M387)&gt;0,
    COUNTIFS($Z$3:$Z$201,$M387)&gt;0,
    COUNTIFS($AA$3:$AA$201,$M387)&gt;0,
    COUNTIFS($AB$3:$AB$201,$M387)&gt;0,
    COUNTIFS($AC$3:$AC$201,$M387)&gt;0,
    COUNTIFS($AD$3:$AD$201,$M387)&gt;0,
    COUNTIFS($AE$3:$AE$201,$M387)&gt;0,
    COUNTIFS($AF$3:$AF$201,$M387)&gt;0,
    COUNTIFS($AG$3:$AG$201,$M387)&gt;0,
    COUNTIFS($AH$3:$AH$201,$M387)&gt;0,
    COUNTIFS($AI$3:$AI$201,$M387)&gt;0,
    COUNTIFS($AJ$3:$AJ$201,$M387)&gt;0,
    COUNTIFS($AK$3:$AK$201,$M387)&gt;0,
    COUNTIFS($AL$3:$AL$201,$M387)&gt;0,
    COUNTIFS($AM$3:$AM$201,$M387)&gt;0,
    COUNTIFS($AN$3:$AN$201,$M387)&gt;0,
    COUNTIFS($AO$3:$AO$201,$M387)&gt;0,
    COUNTIFS($AP$3:$AP$201,$M387)&gt;0,
    COUNTIFS($AQ$3:$AQ$201,$M387)&gt;0,
    COUNTIFS($AR$3:$AR$201,$M387)&gt;0,
    COUNTIFS($AS$3:$AS$201,$M387)&gt;0,
    COUNTIFS($AT$3:$AT$201,$M387)&gt;0,
    COUNTIFS($AU$3:$AU$201,$M387)&gt;0,
    COUNTIFS($AV$3:$AV$201,$M387)&gt;0,
    COUNTIFS($AW$3:$AW$201,$M387)&gt;0,
    COUNTIFS($AX$3:$AX$201,$M387)&gt;0
   ),
  0)
 ),
"")</f>
        <v/>
      </c>
    </row>
    <row r="388" spans="1:15" x14ac:dyDescent="0.25">
      <c r="A388" t="str">
        <f ca="1"/>
        <v>Serrated Biskelion</v>
      </c>
      <c r="C388" s="2" t="str">
        <f t="shared" ca="1" si="25"/>
        <v/>
      </c>
      <c r="F388" s="2">
        <f t="shared" si="24"/>
        <v>0</v>
      </c>
      <c r="G388" s="2" t="str">
        <f t="shared" ca="1" si="26"/>
        <v/>
      </c>
      <c r="N388" s="2">
        <f t="shared" si="27"/>
        <v>0</v>
      </c>
      <c r="O388" s="2" t="str">
        <f>IFERROR(
 INDEX($U$2:$AX$2,
  MATCH(TRUE,
   CHOOSE({1;2;3;4;5;6;7;8;9;10;11;12;13;14;15;16;17;18;19;20;21;22;23;24;25;26;27;28;29;30;31;32},
    COUNTIFS($U$3:$U$201,$M388)&gt;0,
    COUNTIFS($V$3:$V$201,$M388)&gt;0,
    COUNTIFS($W$3:$W$201,$M388)&gt;0,
    COUNTIFS($X$3:$X$201,$M388)&gt;0,
    COUNTIFS($Y$3:$Y$201,$M388)&gt;0,
    COUNTIFS($Z$3:$Z$201,$M388)&gt;0,
    COUNTIFS($AA$3:$AA$201,$M388)&gt;0,
    COUNTIFS($AB$3:$AB$201,$M388)&gt;0,
    COUNTIFS($AC$3:$AC$201,$M388)&gt;0,
    COUNTIFS($AD$3:$AD$201,$M388)&gt;0,
    COUNTIFS($AE$3:$AE$201,$M388)&gt;0,
    COUNTIFS($AF$3:$AF$201,$M388)&gt;0,
    COUNTIFS($AG$3:$AG$201,$M388)&gt;0,
    COUNTIFS($AH$3:$AH$201,$M388)&gt;0,
    COUNTIFS($AI$3:$AI$201,$M388)&gt;0,
    COUNTIFS($AJ$3:$AJ$201,$M388)&gt;0,
    COUNTIFS($AK$3:$AK$201,$M388)&gt;0,
    COUNTIFS($AL$3:$AL$201,$M388)&gt;0,
    COUNTIFS($AM$3:$AM$201,$M388)&gt;0,
    COUNTIFS($AN$3:$AN$201,$M388)&gt;0,
    COUNTIFS($AO$3:$AO$201,$M388)&gt;0,
    COUNTIFS($AP$3:$AP$201,$M388)&gt;0,
    COUNTIFS($AQ$3:$AQ$201,$M388)&gt;0,
    COUNTIFS($AR$3:$AR$201,$M388)&gt;0,
    COUNTIFS($AS$3:$AS$201,$M388)&gt;0,
    COUNTIFS($AT$3:$AT$201,$M388)&gt;0,
    COUNTIFS($AU$3:$AU$201,$M388)&gt;0,
    COUNTIFS($AV$3:$AV$201,$M388)&gt;0,
    COUNTIFS($AW$3:$AW$201,$M388)&gt;0,
    COUNTIFS($AX$3:$AX$201,$M388)&gt;0
   ),
  0)
 ),
"")</f>
        <v/>
      </c>
    </row>
    <row r="389" spans="1:15" x14ac:dyDescent="0.25">
      <c r="A389" t="str">
        <f ca="1"/>
        <v>Shelter</v>
      </c>
      <c r="C389" s="2" t="str">
        <f t="shared" ca="1" si="25"/>
        <v/>
      </c>
      <c r="F389" s="2">
        <f t="shared" si="24"/>
        <v>0</v>
      </c>
      <c r="G389" s="2" t="str">
        <f t="shared" ca="1" si="26"/>
        <v/>
      </c>
      <c r="N389" s="2">
        <f t="shared" si="27"/>
        <v>0</v>
      </c>
      <c r="O389" s="2" t="str">
        <f>IFERROR(
 INDEX($U$2:$AX$2,
  MATCH(TRUE,
   CHOOSE({1;2;3;4;5;6;7;8;9;10;11;12;13;14;15;16;17;18;19;20;21;22;23;24;25;26;27;28;29;30;31;32},
    COUNTIFS($U$3:$U$201,$M389)&gt;0,
    COUNTIFS($V$3:$V$201,$M389)&gt;0,
    COUNTIFS($W$3:$W$201,$M389)&gt;0,
    COUNTIFS($X$3:$X$201,$M389)&gt;0,
    COUNTIFS($Y$3:$Y$201,$M389)&gt;0,
    COUNTIFS($Z$3:$Z$201,$M389)&gt;0,
    COUNTIFS($AA$3:$AA$201,$M389)&gt;0,
    COUNTIFS($AB$3:$AB$201,$M389)&gt;0,
    COUNTIFS($AC$3:$AC$201,$M389)&gt;0,
    COUNTIFS($AD$3:$AD$201,$M389)&gt;0,
    COUNTIFS($AE$3:$AE$201,$M389)&gt;0,
    COUNTIFS($AF$3:$AF$201,$M389)&gt;0,
    COUNTIFS($AG$3:$AG$201,$M389)&gt;0,
    COUNTIFS($AH$3:$AH$201,$M389)&gt;0,
    COUNTIFS($AI$3:$AI$201,$M389)&gt;0,
    COUNTIFS($AJ$3:$AJ$201,$M389)&gt;0,
    COUNTIFS($AK$3:$AK$201,$M389)&gt;0,
    COUNTIFS($AL$3:$AL$201,$M389)&gt;0,
    COUNTIFS($AM$3:$AM$201,$M389)&gt;0,
    COUNTIFS($AN$3:$AN$201,$M389)&gt;0,
    COUNTIFS($AO$3:$AO$201,$M389)&gt;0,
    COUNTIFS($AP$3:$AP$201,$M389)&gt;0,
    COUNTIFS($AQ$3:$AQ$201,$M389)&gt;0,
    COUNTIFS($AR$3:$AR$201,$M389)&gt;0,
    COUNTIFS($AS$3:$AS$201,$M389)&gt;0,
    COUNTIFS($AT$3:$AT$201,$M389)&gt;0,
    COUNTIFS($AU$3:$AU$201,$M389)&gt;0,
    COUNTIFS($AV$3:$AV$201,$M389)&gt;0,
    COUNTIFS($AW$3:$AW$201,$M389)&gt;0,
    COUNTIFS($AX$3:$AX$201,$M389)&gt;0
   ),
  0)
 ),
"")</f>
        <v/>
      </c>
    </row>
    <row r="390" spans="1:15" x14ac:dyDescent="0.25">
      <c r="A390" t="str">
        <f ca="1"/>
        <v>Shifting Sliver</v>
      </c>
      <c r="C390" s="2" t="str">
        <f t="shared" ca="1" si="25"/>
        <v/>
      </c>
      <c r="F390" s="2">
        <f t="shared" si="24"/>
        <v>0</v>
      </c>
      <c r="G390" s="2" t="str">
        <f t="shared" ca="1" si="26"/>
        <v/>
      </c>
      <c r="N390" s="2">
        <f t="shared" si="27"/>
        <v>0</v>
      </c>
      <c r="O390" s="2" t="str">
        <f>IFERROR(
 INDEX($U$2:$AX$2,
  MATCH(TRUE,
   CHOOSE({1;2;3;4;5;6;7;8;9;10;11;12;13;14;15;16;17;18;19;20;21;22;23;24;25;26;27;28;29;30;31;32},
    COUNTIFS($U$3:$U$201,$M390)&gt;0,
    COUNTIFS($V$3:$V$201,$M390)&gt;0,
    COUNTIFS($W$3:$W$201,$M390)&gt;0,
    COUNTIFS($X$3:$X$201,$M390)&gt;0,
    COUNTIFS($Y$3:$Y$201,$M390)&gt;0,
    COUNTIFS($Z$3:$Z$201,$M390)&gt;0,
    COUNTIFS($AA$3:$AA$201,$M390)&gt;0,
    COUNTIFS($AB$3:$AB$201,$M390)&gt;0,
    COUNTIFS($AC$3:$AC$201,$M390)&gt;0,
    COUNTIFS($AD$3:$AD$201,$M390)&gt;0,
    COUNTIFS($AE$3:$AE$201,$M390)&gt;0,
    COUNTIFS($AF$3:$AF$201,$M390)&gt;0,
    COUNTIFS($AG$3:$AG$201,$M390)&gt;0,
    COUNTIFS($AH$3:$AH$201,$M390)&gt;0,
    COUNTIFS($AI$3:$AI$201,$M390)&gt;0,
    COUNTIFS($AJ$3:$AJ$201,$M390)&gt;0,
    COUNTIFS($AK$3:$AK$201,$M390)&gt;0,
    COUNTIFS($AL$3:$AL$201,$M390)&gt;0,
    COUNTIFS($AM$3:$AM$201,$M390)&gt;0,
    COUNTIFS($AN$3:$AN$201,$M390)&gt;0,
    COUNTIFS($AO$3:$AO$201,$M390)&gt;0,
    COUNTIFS($AP$3:$AP$201,$M390)&gt;0,
    COUNTIFS($AQ$3:$AQ$201,$M390)&gt;0,
    COUNTIFS($AR$3:$AR$201,$M390)&gt;0,
    COUNTIFS($AS$3:$AS$201,$M390)&gt;0,
    COUNTIFS($AT$3:$AT$201,$M390)&gt;0,
    COUNTIFS($AU$3:$AU$201,$M390)&gt;0,
    COUNTIFS($AV$3:$AV$201,$M390)&gt;0,
    COUNTIFS($AW$3:$AW$201,$M390)&gt;0,
    COUNTIFS($AX$3:$AX$201,$M390)&gt;0
   ),
  0)
 ),
"")</f>
        <v/>
      </c>
    </row>
    <row r="391" spans="1:15" x14ac:dyDescent="0.25">
      <c r="A391" t="str">
        <f ca="1"/>
        <v>Shizo, Death's Storehouse</v>
      </c>
      <c r="C391" s="2" t="str">
        <f t="shared" ca="1" si="25"/>
        <v/>
      </c>
      <c r="F391" s="2">
        <f t="shared" si="24"/>
        <v>0</v>
      </c>
      <c r="G391" s="2" t="str">
        <f t="shared" ca="1" si="26"/>
        <v/>
      </c>
      <c r="N391" s="2">
        <f t="shared" si="27"/>
        <v>0</v>
      </c>
      <c r="O391" s="2" t="str">
        <f>IFERROR(
 INDEX($U$2:$AX$2,
  MATCH(TRUE,
   CHOOSE({1;2;3;4;5;6;7;8;9;10;11;12;13;14;15;16;17;18;19;20;21;22;23;24;25;26;27;28;29;30;31;32},
    COUNTIFS($U$3:$U$201,$M391)&gt;0,
    COUNTIFS($V$3:$V$201,$M391)&gt;0,
    COUNTIFS($W$3:$W$201,$M391)&gt;0,
    COUNTIFS($X$3:$X$201,$M391)&gt;0,
    COUNTIFS($Y$3:$Y$201,$M391)&gt;0,
    COUNTIFS($Z$3:$Z$201,$M391)&gt;0,
    COUNTIFS($AA$3:$AA$201,$M391)&gt;0,
    COUNTIFS($AB$3:$AB$201,$M391)&gt;0,
    COUNTIFS($AC$3:$AC$201,$M391)&gt;0,
    COUNTIFS($AD$3:$AD$201,$M391)&gt;0,
    COUNTIFS($AE$3:$AE$201,$M391)&gt;0,
    COUNTIFS($AF$3:$AF$201,$M391)&gt;0,
    COUNTIFS($AG$3:$AG$201,$M391)&gt;0,
    COUNTIFS($AH$3:$AH$201,$M391)&gt;0,
    COUNTIFS($AI$3:$AI$201,$M391)&gt;0,
    COUNTIFS($AJ$3:$AJ$201,$M391)&gt;0,
    COUNTIFS($AK$3:$AK$201,$M391)&gt;0,
    COUNTIFS($AL$3:$AL$201,$M391)&gt;0,
    COUNTIFS($AM$3:$AM$201,$M391)&gt;0,
    COUNTIFS($AN$3:$AN$201,$M391)&gt;0,
    COUNTIFS($AO$3:$AO$201,$M391)&gt;0,
    COUNTIFS($AP$3:$AP$201,$M391)&gt;0,
    COUNTIFS($AQ$3:$AQ$201,$M391)&gt;0,
    COUNTIFS($AR$3:$AR$201,$M391)&gt;0,
    COUNTIFS($AS$3:$AS$201,$M391)&gt;0,
    COUNTIFS($AT$3:$AT$201,$M391)&gt;0,
    COUNTIFS($AU$3:$AU$201,$M391)&gt;0,
    COUNTIFS($AV$3:$AV$201,$M391)&gt;0,
    COUNTIFS($AW$3:$AW$201,$M391)&gt;0,
    COUNTIFS($AX$3:$AX$201,$M391)&gt;0
   ),
  0)
 ),
"")</f>
        <v/>
      </c>
    </row>
    <row r="392" spans="1:15" x14ac:dyDescent="0.25">
      <c r="A392" t="str">
        <f ca="1"/>
        <v>Shoot the Sheriff</v>
      </c>
      <c r="C392" s="2" t="str">
        <f t="shared" ca="1" si="25"/>
        <v/>
      </c>
      <c r="F392" s="2">
        <f t="shared" si="24"/>
        <v>0</v>
      </c>
      <c r="G392" s="2" t="str">
        <f t="shared" ca="1" si="26"/>
        <v/>
      </c>
      <c r="N392" s="2">
        <f t="shared" si="27"/>
        <v>0</v>
      </c>
      <c r="O392" s="2" t="str">
        <f>IFERROR(
 INDEX($U$2:$AX$2,
  MATCH(TRUE,
   CHOOSE({1;2;3;4;5;6;7;8;9;10;11;12;13;14;15;16;17;18;19;20;21;22;23;24;25;26;27;28;29;30;31;32},
    COUNTIFS($U$3:$U$201,$M392)&gt;0,
    COUNTIFS($V$3:$V$201,$M392)&gt;0,
    COUNTIFS($W$3:$W$201,$M392)&gt;0,
    COUNTIFS($X$3:$X$201,$M392)&gt;0,
    COUNTIFS($Y$3:$Y$201,$M392)&gt;0,
    COUNTIFS($Z$3:$Z$201,$M392)&gt;0,
    COUNTIFS($AA$3:$AA$201,$M392)&gt;0,
    COUNTIFS($AB$3:$AB$201,$M392)&gt;0,
    COUNTIFS($AC$3:$AC$201,$M392)&gt;0,
    COUNTIFS($AD$3:$AD$201,$M392)&gt;0,
    COUNTIFS($AE$3:$AE$201,$M392)&gt;0,
    COUNTIFS($AF$3:$AF$201,$M392)&gt;0,
    COUNTIFS($AG$3:$AG$201,$M392)&gt;0,
    COUNTIFS($AH$3:$AH$201,$M392)&gt;0,
    COUNTIFS($AI$3:$AI$201,$M392)&gt;0,
    COUNTIFS($AJ$3:$AJ$201,$M392)&gt;0,
    COUNTIFS($AK$3:$AK$201,$M392)&gt;0,
    COUNTIFS($AL$3:$AL$201,$M392)&gt;0,
    COUNTIFS($AM$3:$AM$201,$M392)&gt;0,
    COUNTIFS($AN$3:$AN$201,$M392)&gt;0,
    COUNTIFS($AO$3:$AO$201,$M392)&gt;0,
    COUNTIFS($AP$3:$AP$201,$M392)&gt;0,
    COUNTIFS($AQ$3:$AQ$201,$M392)&gt;0,
    COUNTIFS($AR$3:$AR$201,$M392)&gt;0,
    COUNTIFS($AS$3:$AS$201,$M392)&gt;0,
    COUNTIFS($AT$3:$AT$201,$M392)&gt;0,
    COUNTIFS($AU$3:$AU$201,$M392)&gt;0,
    COUNTIFS($AV$3:$AV$201,$M392)&gt;0,
    COUNTIFS($AW$3:$AW$201,$M392)&gt;0,
    COUNTIFS($AX$3:$AX$201,$M392)&gt;0
   ),
  0)
 ),
"")</f>
        <v/>
      </c>
    </row>
    <row r="393" spans="1:15" x14ac:dyDescent="0.25">
      <c r="A393" t="str">
        <f ca="1"/>
        <v>Signal the Clans</v>
      </c>
      <c r="C393" s="2" t="str">
        <f t="shared" ca="1" si="25"/>
        <v/>
      </c>
      <c r="F393" s="2">
        <f t="shared" si="24"/>
        <v>0</v>
      </c>
      <c r="G393" s="2" t="str">
        <f t="shared" ca="1" si="26"/>
        <v/>
      </c>
      <c r="N393" s="2">
        <f t="shared" si="27"/>
        <v>0</v>
      </c>
      <c r="O393" s="2" t="str">
        <f>IFERROR(
 INDEX($U$2:$AX$2,
  MATCH(TRUE,
   CHOOSE({1;2;3;4;5;6;7;8;9;10;11;12;13;14;15;16;17;18;19;20;21;22;23;24;25;26;27;28;29;30;31;32},
    COUNTIFS($U$3:$U$201,$M393)&gt;0,
    COUNTIFS($V$3:$V$201,$M393)&gt;0,
    COUNTIFS($W$3:$W$201,$M393)&gt;0,
    COUNTIFS($X$3:$X$201,$M393)&gt;0,
    COUNTIFS($Y$3:$Y$201,$M393)&gt;0,
    COUNTIFS($Z$3:$Z$201,$M393)&gt;0,
    COUNTIFS($AA$3:$AA$201,$M393)&gt;0,
    COUNTIFS($AB$3:$AB$201,$M393)&gt;0,
    COUNTIFS($AC$3:$AC$201,$M393)&gt;0,
    COUNTIFS($AD$3:$AD$201,$M393)&gt;0,
    COUNTIFS($AE$3:$AE$201,$M393)&gt;0,
    COUNTIFS($AF$3:$AF$201,$M393)&gt;0,
    COUNTIFS($AG$3:$AG$201,$M393)&gt;0,
    COUNTIFS($AH$3:$AH$201,$M393)&gt;0,
    COUNTIFS($AI$3:$AI$201,$M393)&gt;0,
    COUNTIFS($AJ$3:$AJ$201,$M393)&gt;0,
    COUNTIFS($AK$3:$AK$201,$M393)&gt;0,
    COUNTIFS($AL$3:$AL$201,$M393)&gt;0,
    COUNTIFS($AM$3:$AM$201,$M393)&gt;0,
    COUNTIFS($AN$3:$AN$201,$M393)&gt;0,
    COUNTIFS($AO$3:$AO$201,$M393)&gt;0,
    COUNTIFS($AP$3:$AP$201,$M393)&gt;0,
    COUNTIFS($AQ$3:$AQ$201,$M393)&gt;0,
    COUNTIFS($AR$3:$AR$201,$M393)&gt;0,
    COUNTIFS($AS$3:$AS$201,$M393)&gt;0,
    COUNTIFS($AT$3:$AT$201,$M393)&gt;0,
    COUNTIFS($AU$3:$AU$201,$M393)&gt;0,
    COUNTIFS($AV$3:$AV$201,$M393)&gt;0,
    COUNTIFS($AW$3:$AW$201,$M393)&gt;0,
    COUNTIFS($AX$3:$AX$201,$M393)&gt;0
   ),
  0)
 ),
"")</f>
        <v/>
      </c>
    </row>
    <row r="394" spans="1:15" x14ac:dyDescent="0.25">
      <c r="A394" t="str">
        <f ca="1"/>
        <v>Sinew Sliver</v>
      </c>
      <c r="C394" s="2" t="str">
        <f t="shared" ca="1" si="25"/>
        <v/>
      </c>
      <c r="F394" s="2">
        <f t="shared" si="24"/>
        <v>0</v>
      </c>
      <c r="G394" s="2" t="str">
        <f t="shared" ca="1" si="26"/>
        <v/>
      </c>
      <c r="N394" s="2">
        <f t="shared" si="27"/>
        <v>0</v>
      </c>
      <c r="O394" s="2" t="str">
        <f>IFERROR(
 INDEX($U$2:$AX$2,
  MATCH(TRUE,
   CHOOSE({1;2;3;4;5;6;7;8;9;10;11;12;13;14;15;16;17;18;19;20;21;22;23;24;25;26;27;28;29;30;31;32},
    COUNTIFS($U$3:$U$201,$M394)&gt;0,
    COUNTIFS($V$3:$V$201,$M394)&gt;0,
    COUNTIFS($W$3:$W$201,$M394)&gt;0,
    COUNTIFS($X$3:$X$201,$M394)&gt;0,
    COUNTIFS($Y$3:$Y$201,$M394)&gt;0,
    COUNTIFS($Z$3:$Z$201,$M394)&gt;0,
    COUNTIFS($AA$3:$AA$201,$M394)&gt;0,
    COUNTIFS($AB$3:$AB$201,$M394)&gt;0,
    COUNTIFS($AC$3:$AC$201,$M394)&gt;0,
    COUNTIFS($AD$3:$AD$201,$M394)&gt;0,
    COUNTIFS($AE$3:$AE$201,$M394)&gt;0,
    COUNTIFS($AF$3:$AF$201,$M394)&gt;0,
    COUNTIFS($AG$3:$AG$201,$M394)&gt;0,
    COUNTIFS($AH$3:$AH$201,$M394)&gt;0,
    COUNTIFS($AI$3:$AI$201,$M394)&gt;0,
    COUNTIFS($AJ$3:$AJ$201,$M394)&gt;0,
    COUNTIFS($AK$3:$AK$201,$M394)&gt;0,
    COUNTIFS($AL$3:$AL$201,$M394)&gt;0,
    COUNTIFS($AM$3:$AM$201,$M394)&gt;0,
    COUNTIFS($AN$3:$AN$201,$M394)&gt;0,
    COUNTIFS($AO$3:$AO$201,$M394)&gt;0,
    COUNTIFS($AP$3:$AP$201,$M394)&gt;0,
    COUNTIFS($AQ$3:$AQ$201,$M394)&gt;0,
    COUNTIFS($AR$3:$AR$201,$M394)&gt;0,
    COUNTIFS($AS$3:$AS$201,$M394)&gt;0,
    COUNTIFS($AT$3:$AT$201,$M394)&gt;0,
    COUNTIFS($AU$3:$AU$201,$M394)&gt;0,
    COUNTIFS($AV$3:$AV$201,$M394)&gt;0,
    COUNTIFS($AW$3:$AW$201,$M394)&gt;0,
    COUNTIFS($AX$3:$AX$201,$M394)&gt;0
   ),
  0)
 ),
"")</f>
        <v/>
      </c>
    </row>
    <row r="395" spans="1:15" x14ac:dyDescent="0.25">
      <c r="A395" t="str">
        <f ca="1"/>
        <v>Sink into Stupor</v>
      </c>
      <c r="C395" s="2" t="str">
        <f t="shared" ca="1" si="25"/>
        <v/>
      </c>
      <c r="F395" s="2">
        <f t="shared" si="24"/>
        <v>0</v>
      </c>
      <c r="G395" s="2" t="str">
        <f t="shared" ca="1" si="26"/>
        <v/>
      </c>
      <c r="N395" s="2">
        <f t="shared" si="27"/>
        <v>0</v>
      </c>
      <c r="O395" s="2" t="str">
        <f>IFERROR(
 INDEX($U$2:$AX$2,
  MATCH(TRUE,
   CHOOSE({1;2;3;4;5;6;7;8;9;10;11;12;13;14;15;16;17;18;19;20;21;22;23;24;25;26;27;28;29;30;31;32},
    COUNTIFS($U$3:$U$201,$M395)&gt;0,
    COUNTIFS($V$3:$V$201,$M395)&gt;0,
    COUNTIFS($W$3:$W$201,$M395)&gt;0,
    COUNTIFS($X$3:$X$201,$M395)&gt;0,
    COUNTIFS($Y$3:$Y$201,$M395)&gt;0,
    COUNTIFS($Z$3:$Z$201,$M395)&gt;0,
    COUNTIFS($AA$3:$AA$201,$M395)&gt;0,
    COUNTIFS($AB$3:$AB$201,$M395)&gt;0,
    COUNTIFS($AC$3:$AC$201,$M395)&gt;0,
    COUNTIFS($AD$3:$AD$201,$M395)&gt;0,
    COUNTIFS($AE$3:$AE$201,$M395)&gt;0,
    COUNTIFS($AF$3:$AF$201,$M395)&gt;0,
    COUNTIFS($AG$3:$AG$201,$M395)&gt;0,
    COUNTIFS($AH$3:$AH$201,$M395)&gt;0,
    COUNTIFS($AI$3:$AI$201,$M395)&gt;0,
    COUNTIFS($AJ$3:$AJ$201,$M395)&gt;0,
    COUNTIFS($AK$3:$AK$201,$M395)&gt;0,
    COUNTIFS($AL$3:$AL$201,$M395)&gt;0,
    COUNTIFS($AM$3:$AM$201,$M395)&gt;0,
    COUNTIFS($AN$3:$AN$201,$M395)&gt;0,
    COUNTIFS($AO$3:$AO$201,$M395)&gt;0,
    COUNTIFS($AP$3:$AP$201,$M395)&gt;0,
    COUNTIFS($AQ$3:$AQ$201,$M395)&gt;0,
    COUNTIFS($AR$3:$AR$201,$M395)&gt;0,
    COUNTIFS($AS$3:$AS$201,$M395)&gt;0,
    COUNTIFS($AT$3:$AT$201,$M395)&gt;0,
    COUNTIFS($AU$3:$AU$201,$M395)&gt;0,
    COUNTIFS($AV$3:$AV$201,$M395)&gt;0,
    COUNTIFS($AW$3:$AW$201,$M395)&gt;0,
    COUNTIFS($AX$3:$AX$201,$M395)&gt;0
   ),
  0)
 ),
"")</f>
        <v/>
      </c>
    </row>
    <row r="396" spans="1:15" x14ac:dyDescent="0.25">
      <c r="A396" t="str">
        <f ca="1"/>
        <v>Sinkhole Surveyor</v>
      </c>
      <c r="C396" s="2" t="str">
        <f t="shared" ca="1" si="25"/>
        <v/>
      </c>
      <c r="F396" s="2">
        <f t="shared" si="24"/>
        <v>0</v>
      </c>
      <c r="G396" s="2" t="str">
        <f t="shared" ca="1" si="26"/>
        <v/>
      </c>
      <c r="N396" s="2">
        <f t="shared" si="27"/>
        <v>0</v>
      </c>
      <c r="O396" s="2" t="str">
        <f>IFERROR(
 INDEX($U$2:$AX$2,
  MATCH(TRUE,
   CHOOSE({1;2;3;4;5;6;7;8;9;10;11;12;13;14;15;16;17;18;19;20;21;22;23;24;25;26;27;28;29;30;31;32},
    COUNTIFS($U$3:$U$201,$M396)&gt;0,
    COUNTIFS($V$3:$V$201,$M396)&gt;0,
    COUNTIFS($W$3:$W$201,$M396)&gt;0,
    COUNTIFS($X$3:$X$201,$M396)&gt;0,
    COUNTIFS($Y$3:$Y$201,$M396)&gt;0,
    COUNTIFS($Z$3:$Z$201,$M396)&gt;0,
    COUNTIFS($AA$3:$AA$201,$M396)&gt;0,
    COUNTIFS($AB$3:$AB$201,$M396)&gt;0,
    COUNTIFS($AC$3:$AC$201,$M396)&gt;0,
    COUNTIFS($AD$3:$AD$201,$M396)&gt;0,
    COUNTIFS($AE$3:$AE$201,$M396)&gt;0,
    COUNTIFS($AF$3:$AF$201,$M396)&gt;0,
    COUNTIFS($AG$3:$AG$201,$M396)&gt;0,
    COUNTIFS($AH$3:$AH$201,$M396)&gt;0,
    COUNTIFS($AI$3:$AI$201,$M396)&gt;0,
    COUNTIFS($AJ$3:$AJ$201,$M396)&gt;0,
    COUNTIFS($AK$3:$AK$201,$M396)&gt;0,
    COUNTIFS($AL$3:$AL$201,$M396)&gt;0,
    COUNTIFS($AM$3:$AM$201,$M396)&gt;0,
    COUNTIFS($AN$3:$AN$201,$M396)&gt;0,
    COUNTIFS($AO$3:$AO$201,$M396)&gt;0,
    COUNTIFS($AP$3:$AP$201,$M396)&gt;0,
    COUNTIFS($AQ$3:$AQ$201,$M396)&gt;0,
    COUNTIFS($AR$3:$AR$201,$M396)&gt;0,
    COUNTIFS($AS$3:$AS$201,$M396)&gt;0,
    COUNTIFS($AT$3:$AT$201,$M396)&gt;0,
    COUNTIFS($AU$3:$AU$201,$M396)&gt;0,
    COUNTIFS($AV$3:$AV$201,$M396)&gt;0,
    COUNTIFS($AW$3:$AW$201,$M396)&gt;0,
    COUNTIFS($AX$3:$AX$201,$M396)&gt;0
   ),
  0)
 ),
"")</f>
        <v/>
      </c>
    </row>
    <row r="397" spans="1:15" x14ac:dyDescent="0.25">
      <c r="A397" t="str">
        <f ca="1"/>
        <v>Skyknight Vanguard</v>
      </c>
      <c r="C397" s="2" t="str">
        <f t="shared" ca="1" si="25"/>
        <v/>
      </c>
      <c r="F397" s="2">
        <f t="shared" si="24"/>
        <v>0</v>
      </c>
      <c r="G397" s="2" t="str">
        <f t="shared" ca="1" si="26"/>
        <v/>
      </c>
      <c r="N397" s="2">
        <f t="shared" si="27"/>
        <v>0</v>
      </c>
      <c r="O397" s="2" t="str">
        <f>IFERROR(
 INDEX($U$2:$AX$2,
  MATCH(TRUE,
   CHOOSE({1;2;3;4;5;6;7;8;9;10;11;12;13;14;15;16;17;18;19;20;21;22;23;24;25;26;27;28;29;30;31;32},
    COUNTIFS($U$3:$U$201,$M397)&gt;0,
    COUNTIFS($V$3:$V$201,$M397)&gt;0,
    COUNTIFS($W$3:$W$201,$M397)&gt;0,
    COUNTIFS($X$3:$X$201,$M397)&gt;0,
    COUNTIFS($Y$3:$Y$201,$M397)&gt;0,
    COUNTIFS($Z$3:$Z$201,$M397)&gt;0,
    COUNTIFS($AA$3:$AA$201,$M397)&gt;0,
    COUNTIFS($AB$3:$AB$201,$M397)&gt;0,
    COUNTIFS($AC$3:$AC$201,$M397)&gt;0,
    COUNTIFS($AD$3:$AD$201,$M397)&gt;0,
    COUNTIFS($AE$3:$AE$201,$M397)&gt;0,
    COUNTIFS($AF$3:$AF$201,$M397)&gt;0,
    COUNTIFS($AG$3:$AG$201,$M397)&gt;0,
    COUNTIFS($AH$3:$AH$201,$M397)&gt;0,
    COUNTIFS($AI$3:$AI$201,$M397)&gt;0,
    COUNTIFS($AJ$3:$AJ$201,$M397)&gt;0,
    COUNTIFS($AK$3:$AK$201,$M397)&gt;0,
    COUNTIFS($AL$3:$AL$201,$M397)&gt;0,
    COUNTIFS($AM$3:$AM$201,$M397)&gt;0,
    COUNTIFS($AN$3:$AN$201,$M397)&gt;0,
    COUNTIFS($AO$3:$AO$201,$M397)&gt;0,
    COUNTIFS($AP$3:$AP$201,$M397)&gt;0,
    COUNTIFS($AQ$3:$AQ$201,$M397)&gt;0,
    COUNTIFS($AR$3:$AR$201,$M397)&gt;0,
    COUNTIFS($AS$3:$AS$201,$M397)&gt;0,
    COUNTIFS($AT$3:$AT$201,$M397)&gt;0,
    COUNTIFS($AU$3:$AU$201,$M397)&gt;0,
    COUNTIFS($AV$3:$AV$201,$M397)&gt;0,
    COUNTIFS($AW$3:$AW$201,$M397)&gt;0,
    COUNTIFS($AX$3:$AX$201,$M397)&gt;0
   ),
  0)
 ),
"")</f>
        <v/>
      </c>
    </row>
    <row r="398" spans="1:15" x14ac:dyDescent="0.25">
      <c r="A398" t="str">
        <f ca="1"/>
        <v>Slash the Ranks</v>
      </c>
      <c r="C398" s="2" t="str">
        <f t="shared" ca="1" si="25"/>
        <v/>
      </c>
      <c r="F398" s="2">
        <f t="shared" si="24"/>
        <v>0</v>
      </c>
      <c r="G398" s="2" t="str">
        <f t="shared" ca="1" si="26"/>
        <v/>
      </c>
      <c r="N398" s="2">
        <f t="shared" si="27"/>
        <v>0</v>
      </c>
      <c r="O398" s="2" t="str">
        <f>IFERROR(
 INDEX($U$2:$AX$2,
  MATCH(TRUE,
   CHOOSE({1;2;3;4;5;6;7;8;9;10;11;12;13;14;15;16;17;18;19;20;21;22;23;24;25;26;27;28;29;30;31;32},
    COUNTIFS($U$3:$U$201,$M398)&gt;0,
    COUNTIFS($V$3:$V$201,$M398)&gt;0,
    COUNTIFS($W$3:$W$201,$M398)&gt;0,
    COUNTIFS($X$3:$X$201,$M398)&gt;0,
    COUNTIFS($Y$3:$Y$201,$M398)&gt;0,
    COUNTIFS($Z$3:$Z$201,$M398)&gt;0,
    COUNTIFS($AA$3:$AA$201,$M398)&gt;0,
    COUNTIFS($AB$3:$AB$201,$M398)&gt;0,
    COUNTIFS($AC$3:$AC$201,$M398)&gt;0,
    COUNTIFS($AD$3:$AD$201,$M398)&gt;0,
    COUNTIFS($AE$3:$AE$201,$M398)&gt;0,
    COUNTIFS($AF$3:$AF$201,$M398)&gt;0,
    COUNTIFS($AG$3:$AG$201,$M398)&gt;0,
    COUNTIFS($AH$3:$AH$201,$M398)&gt;0,
    COUNTIFS($AI$3:$AI$201,$M398)&gt;0,
    COUNTIFS($AJ$3:$AJ$201,$M398)&gt;0,
    COUNTIFS($AK$3:$AK$201,$M398)&gt;0,
    COUNTIFS($AL$3:$AL$201,$M398)&gt;0,
    COUNTIFS($AM$3:$AM$201,$M398)&gt;0,
    COUNTIFS($AN$3:$AN$201,$M398)&gt;0,
    COUNTIFS($AO$3:$AO$201,$M398)&gt;0,
    COUNTIFS($AP$3:$AP$201,$M398)&gt;0,
    COUNTIFS($AQ$3:$AQ$201,$M398)&gt;0,
    COUNTIFS($AR$3:$AR$201,$M398)&gt;0,
    COUNTIFS($AS$3:$AS$201,$M398)&gt;0,
    COUNTIFS($AT$3:$AT$201,$M398)&gt;0,
    COUNTIFS($AU$3:$AU$201,$M398)&gt;0,
    COUNTIFS($AV$3:$AV$201,$M398)&gt;0,
    COUNTIFS($AW$3:$AW$201,$M398)&gt;0,
    COUNTIFS($AX$3:$AX$201,$M398)&gt;0
   ),
  0)
 ),
"")</f>
        <v/>
      </c>
    </row>
    <row r="399" spans="1:15" x14ac:dyDescent="0.25">
      <c r="A399" t="str">
        <f ca="1"/>
        <v>Slayers' Stronghold</v>
      </c>
      <c r="C399" s="2" t="str">
        <f t="shared" ca="1" si="25"/>
        <v/>
      </c>
      <c r="F399" s="2">
        <f t="shared" si="24"/>
        <v>0</v>
      </c>
      <c r="G399" s="2" t="str">
        <f t="shared" ca="1" si="26"/>
        <v/>
      </c>
      <c r="N399" s="2">
        <f t="shared" si="27"/>
        <v>0</v>
      </c>
      <c r="O399" s="2" t="str">
        <f>IFERROR(
 INDEX($U$2:$AX$2,
  MATCH(TRUE,
   CHOOSE({1;2;3;4;5;6;7;8;9;10;11;12;13;14;15;16;17;18;19;20;21;22;23;24;25;26;27;28;29;30;31;32},
    COUNTIFS($U$3:$U$201,$M399)&gt;0,
    COUNTIFS($V$3:$V$201,$M399)&gt;0,
    COUNTIFS($W$3:$W$201,$M399)&gt;0,
    COUNTIFS($X$3:$X$201,$M399)&gt;0,
    COUNTIFS($Y$3:$Y$201,$M399)&gt;0,
    COUNTIFS($Z$3:$Z$201,$M399)&gt;0,
    COUNTIFS($AA$3:$AA$201,$M399)&gt;0,
    COUNTIFS($AB$3:$AB$201,$M399)&gt;0,
    COUNTIFS($AC$3:$AC$201,$M399)&gt;0,
    COUNTIFS($AD$3:$AD$201,$M399)&gt;0,
    COUNTIFS($AE$3:$AE$201,$M399)&gt;0,
    COUNTIFS($AF$3:$AF$201,$M399)&gt;0,
    COUNTIFS($AG$3:$AG$201,$M399)&gt;0,
    COUNTIFS($AH$3:$AH$201,$M399)&gt;0,
    COUNTIFS($AI$3:$AI$201,$M399)&gt;0,
    COUNTIFS($AJ$3:$AJ$201,$M399)&gt;0,
    COUNTIFS($AK$3:$AK$201,$M399)&gt;0,
    COUNTIFS($AL$3:$AL$201,$M399)&gt;0,
    COUNTIFS($AM$3:$AM$201,$M399)&gt;0,
    COUNTIFS($AN$3:$AN$201,$M399)&gt;0,
    COUNTIFS($AO$3:$AO$201,$M399)&gt;0,
    COUNTIFS($AP$3:$AP$201,$M399)&gt;0,
    COUNTIFS($AQ$3:$AQ$201,$M399)&gt;0,
    COUNTIFS($AR$3:$AR$201,$M399)&gt;0,
    COUNTIFS($AS$3:$AS$201,$M399)&gt;0,
    COUNTIFS($AT$3:$AT$201,$M399)&gt;0,
    COUNTIFS($AU$3:$AU$201,$M399)&gt;0,
    COUNTIFS($AV$3:$AV$201,$M399)&gt;0,
    COUNTIFS($AW$3:$AW$201,$M399)&gt;0,
    COUNTIFS($AX$3:$AX$201,$M399)&gt;0
   ),
  0)
 ),
"")</f>
        <v/>
      </c>
    </row>
    <row r="400" spans="1:15" x14ac:dyDescent="0.25">
      <c r="A400" t="str">
        <f ca="1"/>
        <v>Sliver Gravemother</v>
      </c>
      <c r="C400" s="2" t="str">
        <f t="shared" ca="1" si="25"/>
        <v/>
      </c>
      <c r="F400" s="2">
        <f t="shared" si="24"/>
        <v>0</v>
      </c>
      <c r="G400" s="2" t="str">
        <f t="shared" ca="1" si="26"/>
        <v/>
      </c>
      <c r="N400" s="2">
        <f t="shared" si="27"/>
        <v>0</v>
      </c>
      <c r="O400" s="2" t="str">
        <f>IFERROR(
 INDEX($U$2:$AX$2,
  MATCH(TRUE,
   CHOOSE({1;2;3;4;5;6;7;8;9;10;11;12;13;14;15;16;17;18;19;20;21;22;23;24;25;26;27;28;29;30;31;32},
    COUNTIFS($U$3:$U$201,$M400)&gt;0,
    COUNTIFS($V$3:$V$201,$M400)&gt;0,
    COUNTIFS($W$3:$W$201,$M400)&gt;0,
    COUNTIFS($X$3:$X$201,$M400)&gt;0,
    COUNTIFS($Y$3:$Y$201,$M400)&gt;0,
    COUNTIFS($Z$3:$Z$201,$M400)&gt;0,
    COUNTIFS($AA$3:$AA$201,$M400)&gt;0,
    COUNTIFS($AB$3:$AB$201,$M400)&gt;0,
    COUNTIFS($AC$3:$AC$201,$M400)&gt;0,
    COUNTIFS($AD$3:$AD$201,$M400)&gt;0,
    COUNTIFS($AE$3:$AE$201,$M400)&gt;0,
    COUNTIFS($AF$3:$AF$201,$M400)&gt;0,
    COUNTIFS($AG$3:$AG$201,$M400)&gt;0,
    COUNTIFS($AH$3:$AH$201,$M400)&gt;0,
    COUNTIFS($AI$3:$AI$201,$M400)&gt;0,
    COUNTIFS($AJ$3:$AJ$201,$M400)&gt;0,
    COUNTIFS($AK$3:$AK$201,$M400)&gt;0,
    COUNTIFS($AL$3:$AL$201,$M400)&gt;0,
    COUNTIFS($AM$3:$AM$201,$M400)&gt;0,
    COUNTIFS($AN$3:$AN$201,$M400)&gt;0,
    COUNTIFS($AO$3:$AO$201,$M400)&gt;0,
    COUNTIFS($AP$3:$AP$201,$M400)&gt;0,
    COUNTIFS($AQ$3:$AQ$201,$M400)&gt;0,
    COUNTIFS($AR$3:$AR$201,$M400)&gt;0,
    COUNTIFS($AS$3:$AS$201,$M400)&gt;0,
    COUNTIFS($AT$3:$AT$201,$M400)&gt;0,
    COUNTIFS($AU$3:$AU$201,$M400)&gt;0,
    COUNTIFS($AV$3:$AV$201,$M400)&gt;0,
    COUNTIFS($AW$3:$AW$201,$M400)&gt;0,
    COUNTIFS($AX$3:$AX$201,$M400)&gt;0
   ),
  0)
 ),
"")</f>
        <v/>
      </c>
    </row>
    <row r="401" spans="1:15" x14ac:dyDescent="0.25">
      <c r="A401" t="str">
        <f ca="1"/>
        <v>Sliver Hive</v>
      </c>
      <c r="C401" s="2" t="str">
        <f t="shared" ca="1" si="25"/>
        <v/>
      </c>
      <c r="F401" s="2">
        <f t="shared" si="24"/>
        <v>0</v>
      </c>
      <c r="G401" s="2" t="str">
        <f t="shared" ca="1" si="26"/>
        <v/>
      </c>
      <c r="N401" s="2">
        <f t="shared" si="27"/>
        <v>0</v>
      </c>
      <c r="O401" s="2" t="str">
        <f>IFERROR(
 INDEX($U$2:$AX$2,
  MATCH(TRUE,
   CHOOSE({1;2;3;4;5;6;7;8;9;10;11;12;13;14;15;16;17;18;19;20;21;22;23;24;25;26;27;28;29;30;31;32},
    COUNTIFS($U$3:$U$201,$M401)&gt;0,
    COUNTIFS($V$3:$V$201,$M401)&gt;0,
    COUNTIFS($W$3:$W$201,$M401)&gt;0,
    COUNTIFS($X$3:$X$201,$M401)&gt;0,
    COUNTIFS($Y$3:$Y$201,$M401)&gt;0,
    COUNTIFS($Z$3:$Z$201,$M401)&gt;0,
    COUNTIFS($AA$3:$AA$201,$M401)&gt;0,
    COUNTIFS($AB$3:$AB$201,$M401)&gt;0,
    COUNTIFS($AC$3:$AC$201,$M401)&gt;0,
    COUNTIFS($AD$3:$AD$201,$M401)&gt;0,
    COUNTIFS($AE$3:$AE$201,$M401)&gt;0,
    COUNTIFS($AF$3:$AF$201,$M401)&gt;0,
    COUNTIFS($AG$3:$AG$201,$M401)&gt;0,
    COUNTIFS($AH$3:$AH$201,$M401)&gt;0,
    COUNTIFS($AI$3:$AI$201,$M401)&gt;0,
    COUNTIFS($AJ$3:$AJ$201,$M401)&gt;0,
    COUNTIFS($AK$3:$AK$201,$M401)&gt;0,
    COUNTIFS($AL$3:$AL$201,$M401)&gt;0,
    COUNTIFS($AM$3:$AM$201,$M401)&gt;0,
    COUNTIFS($AN$3:$AN$201,$M401)&gt;0,
    COUNTIFS($AO$3:$AO$201,$M401)&gt;0,
    COUNTIFS($AP$3:$AP$201,$M401)&gt;0,
    COUNTIFS($AQ$3:$AQ$201,$M401)&gt;0,
    COUNTIFS($AR$3:$AR$201,$M401)&gt;0,
    COUNTIFS($AS$3:$AS$201,$M401)&gt;0,
    COUNTIFS($AT$3:$AT$201,$M401)&gt;0,
    COUNTIFS($AU$3:$AU$201,$M401)&gt;0,
    COUNTIFS($AV$3:$AV$201,$M401)&gt;0,
    COUNTIFS($AW$3:$AW$201,$M401)&gt;0,
    COUNTIFS($AX$3:$AX$201,$M401)&gt;0
   ),
  0)
 ),
"")</f>
        <v/>
      </c>
    </row>
    <row r="402" spans="1:15" x14ac:dyDescent="0.25">
      <c r="A402" t="str">
        <f ca="1"/>
        <v>Sliver Hivelord</v>
      </c>
      <c r="C402" s="2" t="str">
        <f t="shared" ca="1" si="25"/>
        <v/>
      </c>
      <c r="F402" s="2">
        <f t="shared" si="24"/>
        <v>0</v>
      </c>
      <c r="G402" s="2" t="str">
        <f t="shared" ca="1" si="26"/>
        <v/>
      </c>
      <c r="N402" s="2">
        <f t="shared" si="27"/>
        <v>0</v>
      </c>
      <c r="O402" s="2" t="str">
        <f>IFERROR(
 INDEX($U$2:$AX$2,
  MATCH(TRUE,
   CHOOSE({1;2;3;4;5;6;7;8;9;10;11;12;13;14;15;16;17;18;19;20;21;22;23;24;25;26;27;28;29;30;31;32},
    COUNTIFS($U$3:$U$201,$M402)&gt;0,
    COUNTIFS($V$3:$V$201,$M402)&gt;0,
    COUNTIFS($W$3:$W$201,$M402)&gt;0,
    COUNTIFS($X$3:$X$201,$M402)&gt;0,
    COUNTIFS($Y$3:$Y$201,$M402)&gt;0,
    COUNTIFS($Z$3:$Z$201,$M402)&gt;0,
    COUNTIFS($AA$3:$AA$201,$M402)&gt;0,
    COUNTIFS($AB$3:$AB$201,$M402)&gt;0,
    COUNTIFS($AC$3:$AC$201,$M402)&gt;0,
    COUNTIFS($AD$3:$AD$201,$M402)&gt;0,
    COUNTIFS($AE$3:$AE$201,$M402)&gt;0,
    COUNTIFS($AF$3:$AF$201,$M402)&gt;0,
    COUNTIFS($AG$3:$AG$201,$M402)&gt;0,
    COUNTIFS($AH$3:$AH$201,$M402)&gt;0,
    COUNTIFS($AI$3:$AI$201,$M402)&gt;0,
    COUNTIFS($AJ$3:$AJ$201,$M402)&gt;0,
    COUNTIFS($AK$3:$AK$201,$M402)&gt;0,
    COUNTIFS($AL$3:$AL$201,$M402)&gt;0,
    COUNTIFS($AM$3:$AM$201,$M402)&gt;0,
    COUNTIFS($AN$3:$AN$201,$M402)&gt;0,
    COUNTIFS($AO$3:$AO$201,$M402)&gt;0,
    COUNTIFS($AP$3:$AP$201,$M402)&gt;0,
    COUNTIFS($AQ$3:$AQ$201,$M402)&gt;0,
    COUNTIFS($AR$3:$AR$201,$M402)&gt;0,
    COUNTIFS($AS$3:$AS$201,$M402)&gt;0,
    COUNTIFS($AT$3:$AT$201,$M402)&gt;0,
    COUNTIFS($AU$3:$AU$201,$M402)&gt;0,
    COUNTIFS($AV$3:$AV$201,$M402)&gt;0,
    COUNTIFS($AW$3:$AW$201,$M402)&gt;0,
    COUNTIFS($AX$3:$AX$201,$M402)&gt;0
   ),
  0)
 ),
"")</f>
        <v/>
      </c>
    </row>
    <row r="403" spans="1:15" x14ac:dyDescent="0.25">
      <c r="A403" t="str">
        <f ca="1"/>
        <v>Sliver Legion</v>
      </c>
      <c r="C403" s="2" t="str">
        <f t="shared" ca="1" si="25"/>
        <v/>
      </c>
      <c r="F403" s="2">
        <f t="shared" si="24"/>
        <v>0</v>
      </c>
      <c r="G403" s="2" t="str">
        <f t="shared" ca="1" si="26"/>
        <v/>
      </c>
      <c r="N403" s="2">
        <f t="shared" si="27"/>
        <v>0</v>
      </c>
      <c r="O403" s="2" t="str">
        <f>IFERROR(
 INDEX($U$2:$AX$2,
  MATCH(TRUE,
   CHOOSE({1;2;3;4;5;6;7;8;9;10;11;12;13;14;15;16;17;18;19;20;21;22;23;24;25;26;27;28;29;30;31;32},
    COUNTIFS($U$3:$U$201,$M403)&gt;0,
    COUNTIFS($V$3:$V$201,$M403)&gt;0,
    COUNTIFS($W$3:$W$201,$M403)&gt;0,
    COUNTIFS($X$3:$X$201,$M403)&gt;0,
    COUNTIFS($Y$3:$Y$201,$M403)&gt;0,
    COUNTIFS($Z$3:$Z$201,$M403)&gt;0,
    COUNTIFS($AA$3:$AA$201,$M403)&gt;0,
    COUNTIFS($AB$3:$AB$201,$M403)&gt;0,
    COUNTIFS($AC$3:$AC$201,$M403)&gt;0,
    COUNTIFS($AD$3:$AD$201,$M403)&gt;0,
    COUNTIFS($AE$3:$AE$201,$M403)&gt;0,
    COUNTIFS($AF$3:$AF$201,$M403)&gt;0,
    COUNTIFS($AG$3:$AG$201,$M403)&gt;0,
    COUNTIFS($AH$3:$AH$201,$M403)&gt;0,
    COUNTIFS($AI$3:$AI$201,$M403)&gt;0,
    COUNTIFS($AJ$3:$AJ$201,$M403)&gt;0,
    COUNTIFS($AK$3:$AK$201,$M403)&gt;0,
    COUNTIFS($AL$3:$AL$201,$M403)&gt;0,
    COUNTIFS($AM$3:$AM$201,$M403)&gt;0,
    COUNTIFS($AN$3:$AN$201,$M403)&gt;0,
    COUNTIFS($AO$3:$AO$201,$M403)&gt;0,
    COUNTIFS($AP$3:$AP$201,$M403)&gt;0,
    COUNTIFS($AQ$3:$AQ$201,$M403)&gt;0,
    COUNTIFS($AR$3:$AR$201,$M403)&gt;0,
    COUNTIFS($AS$3:$AS$201,$M403)&gt;0,
    COUNTIFS($AT$3:$AT$201,$M403)&gt;0,
    COUNTIFS($AU$3:$AU$201,$M403)&gt;0,
    COUNTIFS($AV$3:$AV$201,$M403)&gt;0,
    COUNTIFS($AW$3:$AW$201,$M403)&gt;0,
    COUNTIFS($AX$3:$AX$201,$M403)&gt;0
   ),
  0)
 ),
"")</f>
        <v/>
      </c>
    </row>
    <row r="404" spans="1:15" x14ac:dyDescent="0.25">
      <c r="A404" t="str">
        <f ca="1"/>
        <v>Sliver Overlord</v>
      </c>
      <c r="C404" s="2" t="str">
        <f t="shared" ca="1" si="25"/>
        <v/>
      </c>
      <c r="F404" s="2">
        <f t="shared" si="24"/>
        <v>0</v>
      </c>
      <c r="G404" s="2" t="str">
        <f t="shared" ca="1" si="26"/>
        <v/>
      </c>
      <c r="N404" s="2">
        <f t="shared" si="27"/>
        <v>0</v>
      </c>
      <c r="O404" s="2" t="str">
        <f>IFERROR(
 INDEX($U$2:$AX$2,
  MATCH(TRUE,
   CHOOSE({1;2;3;4;5;6;7;8;9;10;11;12;13;14;15;16;17;18;19;20;21;22;23;24;25;26;27;28;29;30;31;32},
    COUNTIFS($U$3:$U$201,$M404)&gt;0,
    COUNTIFS($V$3:$V$201,$M404)&gt;0,
    COUNTIFS($W$3:$W$201,$M404)&gt;0,
    COUNTIFS($X$3:$X$201,$M404)&gt;0,
    COUNTIFS($Y$3:$Y$201,$M404)&gt;0,
    COUNTIFS($Z$3:$Z$201,$M404)&gt;0,
    COUNTIFS($AA$3:$AA$201,$M404)&gt;0,
    COUNTIFS($AB$3:$AB$201,$M404)&gt;0,
    COUNTIFS($AC$3:$AC$201,$M404)&gt;0,
    COUNTIFS($AD$3:$AD$201,$M404)&gt;0,
    COUNTIFS($AE$3:$AE$201,$M404)&gt;0,
    COUNTIFS($AF$3:$AF$201,$M404)&gt;0,
    COUNTIFS($AG$3:$AG$201,$M404)&gt;0,
    COUNTIFS($AH$3:$AH$201,$M404)&gt;0,
    COUNTIFS($AI$3:$AI$201,$M404)&gt;0,
    COUNTIFS($AJ$3:$AJ$201,$M404)&gt;0,
    COUNTIFS($AK$3:$AK$201,$M404)&gt;0,
    COUNTIFS($AL$3:$AL$201,$M404)&gt;0,
    COUNTIFS($AM$3:$AM$201,$M404)&gt;0,
    COUNTIFS($AN$3:$AN$201,$M404)&gt;0,
    COUNTIFS($AO$3:$AO$201,$M404)&gt;0,
    COUNTIFS($AP$3:$AP$201,$M404)&gt;0,
    COUNTIFS($AQ$3:$AQ$201,$M404)&gt;0,
    COUNTIFS($AR$3:$AR$201,$M404)&gt;0,
    COUNTIFS($AS$3:$AS$201,$M404)&gt;0,
    COUNTIFS($AT$3:$AT$201,$M404)&gt;0,
    COUNTIFS($AU$3:$AU$201,$M404)&gt;0,
    COUNTIFS($AV$3:$AV$201,$M404)&gt;0,
    COUNTIFS($AW$3:$AW$201,$M404)&gt;0,
    COUNTIFS($AX$3:$AX$201,$M404)&gt;0
   ),
  0)
 ),
"")</f>
        <v/>
      </c>
    </row>
    <row r="405" spans="1:15" x14ac:dyDescent="0.25">
      <c r="A405" t="str">
        <f ca="1"/>
        <v>Sliver Queen</v>
      </c>
      <c r="C405" s="2" t="str">
        <f t="shared" ca="1" si="25"/>
        <v/>
      </c>
      <c r="F405" s="2">
        <f t="shared" si="24"/>
        <v>0</v>
      </c>
      <c r="G405" s="2" t="str">
        <f t="shared" ca="1" si="26"/>
        <v/>
      </c>
      <c r="N405" s="2">
        <f t="shared" si="27"/>
        <v>0</v>
      </c>
      <c r="O405" s="2" t="str">
        <f>IFERROR(
 INDEX($U$2:$AX$2,
  MATCH(TRUE,
   CHOOSE({1;2;3;4;5;6;7;8;9;10;11;12;13;14;15;16;17;18;19;20;21;22;23;24;25;26;27;28;29;30;31;32},
    COUNTIFS($U$3:$U$201,$M405)&gt;0,
    COUNTIFS($V$3:$V$201,$M405)&gt;0,
    COUNTIFS($W$3:$W$201,$M405)&gt;0,
    COUNTIFS($X$3:$X$201,$M405)&gt;0,
    COUNTIFS($Y$3:$Y$201,$M405)&gt;0,
    COUNTIFS($Z$3:$Z$201,$M405)&gt;0,
    COUNTIFS($AA$3:$AA$201,$M405)&gt;0,
    COUNTIFS($AB$3:$AB$201,$M405)&gt;0,
    COUNTIFS($AC$3:$AC$201,$M405)&gt;0,
    COUNTIFS($AD$3:$AD$201,$M405)&gt;0,
    COUNTIFS($AE$3:$AE$201,$M405)&gt;0,
    COUNTIFS($AF$3:$AF$201,$M405)&gt;0,
    COUNTIFS($AG$3:$AG$201,$M405)&gt;0,
    COUNTIFS($AH$3:$AH$201,$M405)&gt;0,
    COUNTIFS($AI$3:$AI$201,$M405)&gt;0,
    COUNTIFS($AJ$3:$AJ$201,$M405)&gt;0,
    COUNTIFS($AK$3:$AK$201,$M405)&gt;0,
    COUNTIFS($AL$3:$AL$201,$M405)&gt;0,
    COUNTIFS($AM$3:$AM$201,$M405)&gt;0,
    COUNTIFS($AN$3:$AN$201,$M405)&gt;0,
    COUNTIFS($AO$3:$AO$201,$M405)&gt;0,
    COUNTIFS($AP$3:$AP$201,$M405)&gt;0,
    COUNTIFS($AQ$3:$AQ$201,$M405)&gt;0,
    COUNTIFS($AR$3:$AR$201,$M405)&gt;0,
    COUNTIFS($AS$3:$AS$201,$M405)&gt;0,
    COUNTIFS($AT$3:$AT$201,$M405)&gt;0,
    COUNTIFS($AU$3:$AU$201,$M405)&gt;0,
    COUNTIFS($AV$3:$AV$201,$M405)&gt;0,
    COUNTIFS($AW$3:$AW$201,$M405)&gt;0,
    COUNTIFS($AX$3:$AX$201,$M405)&gt;0
   ),
  0)
 ),
"")</f>
        <v/>
      </c>
    </row>
    <row r="406" spans="1:15" x14ac:dyDescent="0.25">
      <c r="A406" t="str">
        <f ca="1"/>
        <v>Smoldering Marsh</v>
      </c>
      <c r="C406" s="2" t="str">
        <f t="shared" ca="1" si="25"/>
        <v/>
      </c>
      <c r="F406" s="2">
        <f t="shared" si="24"/>
        <v>0</v>
      </c>
      <c r="G406" s="2" t="str">
        <f t="shared" ca="1" si="26"/>
        <v/>
      </c>
      <c r="N406" s="2">
        <f t="shared" si="27"/>
        <v>0</v>
      </c>
      <c r="O406" s="2" t="str">
        <f>IFERROR(
 INDEX($U$2:$AX$2,
  MATCH(TRUE,
   CHOOSE({1;2;3;4;5;6;7;8;9;10;11;12;13;14;15;16;17;18;19;20;21;22;23;24;25;26;27;28;29;30;31;32},
    COUNTIFS($U$3:$U$201,$M406)&gt;0,
    COUNTIFS($V$3:$V$201,$M406)&gt;0,
    COUNTIFS($W$3:$W$201,$M406)&gt;0,
    COUNTIFS($X$3:$X$201,$M406)&gt;0,
    COUNTIFS($Y$3:$Y$201,$M406)&gt;0,
    COUNTIFS($Z$3:$Z$201,$M406)&gt;0,
    COUNTIFS($AA$3:$AA$201,$M406)&gt;0,
    COUNTIFS($AB$3:$AB$201,$M406)&gt;0,
    COUNTIFS($AC$3:$AC$201,$M406)&gt;0,
    COUNTIFS($AD$3:$AD$201,$M406)&gt;0,
    COUNTIFS($AE$3:$AE$201,$M406)&gt;0,
    COUNTIFS($AF$3:$AF$201,$M406)&gt;0,
    COUNTIFS($AG$3:$AG$201,$M406)&gt;0,
    COUNTIFS($AH$3:$AH$201,$M406)&gt;0,
    COUNTIFS($AI$3:$AI$201,$M406)&gt;0,
    COUNTIFS($AJ$3:$AJ$201,$M406)&gt;0,
    COUNTIFS($AK$3:$AK$201,$M406)&gt;0,
    COUNTIFS($AL$3:$AL$201,$M406)&gt;0,
    COUNTIFS($AM$3:$AM$201,$M406)&gt;0,
    COUNTIFS($AN$3:$AN$201,$M406)&gt;0,
    COUNTIFS($AO$3:$AO$201,$M406)&gt;0,
    COUNTIFS($AP$3:$AP$201,$M406)&gt;0,
    COUNTIFS($AQ$3:$AQ$201,$M406)&gt;0,
    COUNTIFS($AR$3:$AR$201,$M406)&gt;0,
    COUNTIFS($AS$3:$AS$201,$M406)&gt;0,
    COUNTIFS($AT$3:$AT$201,$M406)&gt;0,
    COUNTIFS($AU$3:$AU$201,$M406)&gt;0,
    COUNTIFS($AV$3:$AV$201,$M406)&gt;0,
    COUNTIFS($AW$3:$AW$201,$M406)&gt;0,
    COUNTIFS($AX$3:$AX$201,$M406)&gt;0
   ),
  0)
 ),
"")</f>
        <v/>
      </c>
    </row>
    <row r="407" spans="1:15" x14ac:dyDescent="0.25">
      <c r="A407" t="str">
        <f ca="1"/>
        <v>Sokenzan, Crucible of Defiance</v>
      </c>
      <c r="C407" s="2" t="str">
        <f t="shared" ca="1" si="25"/>
        <v/>
      </c>
      <c r="F407" s="2">
        <f t="shared" si="24"/>
        <v>0</v>
      </c>
      <c r="G407" s="2" t="str">
        <f t="shared" ca="1" si="26"/>
        <v/>
      </c>
      <c r="N407" s="2">
        <f t="shared" si="27"/>
        <v>0</v>
      </c>
      <c r="O407" s="2" t="str">
        <f>IFERROR(
 INDEX($U$2:$AX$2,
  MATCH(TRUE,
   CHOOSE({1;2;3;4;5;6;7;8;9;10;11;12;13;14;15;16;17;18;19;20;21;22;23;24;25;26;27;28;29;30;31;32},
    COUNTIFS($U$3:$U$201,$M407)&gt;0,
    COUNTIFS($V$3:$V$201,$M407)&gt;0,
    COUNTIFS($W$3:$W$201,$M407)&gt;0,
    COUNTIFS($X$3:$X$201,$M407)&gt;0,
    COUNTIFS($Y$3:$Y$201,$M407)&gt;0,
    COUNTIFS($Z$3:$Z$201,$M407)&gt;0,
    COUNTIFS($AA$3:$AA$201,$M407)&gt;0,
    COUNTIFS($AB$3:$AB$201,$M407)&gt;0,
    COUNTIFS($AC$3:$AC$201,$M407)&gt;0,
    COUNTIFS($AD$3:$AD$201,$M407)&gt;0,
    COUNTIFS($AE$3:$AE$201,$M407)&gt;0,
    COUNTIFS($AF$3:$AF$201,$M407)&gt;0,
    COUNTIFS($AG$3:$AG$201,$M407)&gt;0,
    COUNTIFS($AH$3:$AH$201,$M407)&gt;0,
    COUNTIFS($AI$3:$AI$201,$M407)&gt;0,
    COUNTIFS($AJ$3:$AJ$201,$M407)&gt;0,
    COUNTIFS($AK$3:$AK$201,$M407)&gt;0,
    COUNTIFS($AL$3:$AL$201,$M407)&gt;0,
    COUNTIFS($AM$3:$AM$201,$M407)&gt;0,
    COUNTIFS($AN$3:$AN$201,$M407)&gt;0,
    COUNTIFS($AO$3:$AO$201,$M407)&gt;0,
    COUNTIFS($AP$3:$AP$201,$M407)&gt;0,
    COUNTIFS($AQ$3:$AQ$201,$M407)&gt;0,
    COUNTIFS($AR$3:$AR$201,$M407)&gt;0,
    COUNTIFS($AS$3:$AS$201,$M407)&gt;0,
    COUNTIFS($AT$3:$AT$201,$M407)&gt;0,
    COUNTIFS($AU$3:$AU$201,$M407)&gt;0,
    COUNTIFS($AV$3:$AV$201,$M407)&gt;0,
    COUNTIFS($AW$3:$AW$201,$M407)&gt;0,
    COUNTIFS($AX$3:$AX$201,$M407)&gt;0
   ),
  0)
 ),
"")</f>
        <v/>
      </c>
    </row>
    <row r="408" spans="1:15" x14ac:dyDescent="0.25">
      <c r="A408" t="str">
        <f ca="1"/>
        <v>Sol Ring</v>
      </c>
      <c r="C408" s="2" t="str">
        <f t="shared" ca="1" si="25"/>
        <v/>
      </c>
      <c r="F408" s="2">
        <f t="shared" si="24"/>
        <v>0</v>
      </c>
      <c r="G408" s="2" t="str">
        <f t="shared" ca="1" si="26"/>
        <v/>
      </c>
      <c r="N408" s="2">
        <f t="shared" si="27"/>
        <v>0</v>
      </c>
      <c r="O408" s="2" t="str">
        <f>IFERROR(
 INDEX($U$2:$AX$2,
  MATCH(TRUE,
   CHOOSE({1;2;3;4;5;6;7;8;9;10;11;12;13;14;15;16;17;18;19;20;21;22;23;24;25;26;27;28;29;30;31;32},
    COUNTIFS($U$3:$U$201,$M408)&gt;0,
    COUNTIFS($V$3:$V$201,$M408)&gt;0,
    COUNTIFS($W$3:$W$201,$M408)&gt;0,
    COUNTIFS($X$3:$X$201,$M408)&gt;0,
    COUNTIFS($Y$3:$Y$201,$M408)&gt;0,
    COUNTIFS($Z$3:$Z$201,$M408)&gt;0,
    COUNTIFS($AA$3:$AA$201,$M408)&gt;0,
    COUNTIFS($AB$3:$AB$201,$M408)&gt;0,
    COUNTIFS($AC$3:$AC$201,$M408)&gt;0,
    COUNTIFS($AD$3:$AD$201,$M408)&gt;0,
    COUNTIFS($AE$3:$AE$201,$M408)&gt;0,
    COUNTIFS($AF$3:$AF$201,$M408)&gt;0,
    COUNTIFS($AG$3:$AG$201,$M408)&gt;0,
    COUNTIFS($AH$3:$AH$201,$M408)&gt;0,
    COUNTIFS($AI$3:$AI$201,$M408)&gt;0,
    COUNTIFS($AJ$3:$AJ$201,$M408)&gt;0,
    COUNTIFS($AK$3:$AK$201,$M408)&gt;0,
    COUNTIFS($AL$3:$AL$201,$M408)&gt;0,
    COUNTIFS($AM$3:$AM$201,$M408)&gt;0,
    COUNTIFS($AN$3:$AN$201,$M408)&gt;0,
    COUNTIFS($AO$3:$AO$201,$M408)&gt;0,
    COUNTIFS($AP$3:$AP$201,$M408)&gt;0,
    COUNTIFS($AQ$3:$AQ$201,$M408)&gt;0,
    COUNTIFS($AR$3:$AR$201,$M408)&gt;0,
    COUNTIFS($AS$3:$AS$201,$M408)&gt;0,
    COUNTIFS($AT$3:$AT$201,$M408)&gt;0,
    COUNTIFS($AU$3:$AU$201,$M408)&gt;0,
    COUNTIFS($AV$3:$AV$201,$M408)&gt;0,
    COUNTIFS($AW$3:$AW$201,$M408)&gt;0,
    COUNTIFS($AX$3:$AX$201,$M408)&gt;0
   ),
  0)
 ),
"")</f>
        <v/>
      </c>
    </row>
    <row r="409" spans="1:15" x14ac:dyDescent="0.25">
      <c r="A409" t="str">
        <f ca="1"/>
        <v>Solid Ground</v>
      </c>
      <c r="C409" s="2" t="str">
        <f t="shared" ca="1" si="25"/>
        <v/>
      </c>
      <c r="F409" s="2">
        <f t="shared" si="24"/>
        <v>0</v>
      </c>
      <c r="G409" s="2" t="str">
        <f t="shared" ca="1" si="26"/>
        <v/>
      </c>
      <c r="N409" s="2">
        <f t="shared" si="27"/>
        <v>0</v>
      </c>
      <c r="O409" s="2" t="str">
        <f>IFERROR(
 INDEX($U$2:$AX$2,
  MATCH(TRUE,
   CHOOSE({1;2;3;4;5;6;7;8;9;10;11;12;13;14;15;16;17;18;19;20;21;22;23;24;25;26;27;28;29;30;31;32},
    COUNTIFS($U$3:$U$201,$M409)&gt;0,
    COUNTIFS($V$3:$V$201,$M409)&gt;0,
    COUNTIFS($W$3:$W$201,$M409)&gt;0,
    COUNTIFS($X$3:$X$201,$M409)&gt;0,
    COUNTIFS($Y$3:$Y$201,$M409)&gt;0,
    COUNTIFS($Z$3:$Z$201,$M409)&gt;0,
    COUNTIFS($AA$3:$AA$201,$M409)&gt;0,
    COUNTIFS($AB$3:$AB$201,$M409)&gt;0,
    COUNTIFS($AC$3:$AC$201,$M409)&gt;0,
    COUNTIFS($AD$3:$AD$201,$M409)&gt;0,
    COUNTIFS($AE$3:$AE$201,$M409)&gt;0,
    COUNTIFS($AF$3:$AF$201,$M409)&gt;0,
    COUNTIFS($AG$3:$AG$201,$M409)&gt;0,
    COUNTIFS($AH$3:$AH$201,$M409)&gt;0,
    COUNTIFS($AI$3:$AI$201,$M409)&gt;0,
    COUNTIFS($AJ$3:$AJ$201,$M409)&gt;0,
    COUNTIFS($AK$3:$AK$201,$M409)&gt;0,
    COUNTIFS($AL$3:$AL$201,$M409)&gt;0,
    COUNTIFS($AM$3:$AM$201,$M409)&gt;0,
    COUNTIFS($AN$3:$AN$201,$M409)&gt;0,
    COUNTIFS($AO$3:$AO$201,$M409)&gt;0,
    COUNTIFS($AP$3:$AP$201,$M409)&gt;0,
    COUNTIFS($AQ$3:$AQ$201,$M409)&gt;0,
    COUNTIFS($AR$3:$AR$201,$M409)&gt;0,
    COUNTIFS($AS$3:$AS$201,$M409)&gt;0,
    COUNTIFS($AT$3:$AT$201,$M409)&gt;0,
    COUNTIFS($AU$3:$AU$201,$M409)&gt;0,
    COUNTIFS($AV$3:$AV$201,$M409)&gt;0,
    COUNTIFS($AW$3:$AW$201,$M409)&gt;0,
    COUNTIFS($AX$3:$AX$201,$M409)&gt;0
   ),
  0)
 ),
"")</f>
        <v/>
      </c>
    </row>
    <row r="410" spans="1:15" x14ac:dyDescent="0.25">
      <c r="A410" t="str">
        <f ca="1"/>
        <v>Sonic Screwdriver</v>
      </c>
      <c r="C410" s="2" t="str">
        <f t="shared" ca="1" si="25"/>
        <v/>
      </c>
      <c r="F410" s="2">
        <f t="shared" si="24"/>
        <v>0</v>
      </c>
      <c r="G410" s="2" t="str">
        <f t="shared" ca="1" si="26"/>
        <v/>
      </c>
      <c r="N410" s="2">
        <f t="shared" si="27"/>
        <v>0</v>
      </c>
      <c r="O410" s="2" t="str">
        <f>IFERROR(
 INDEX($U$2:$AX$2,
  MATCH(TRUE,
   CHOOSE({1;2;3;4;5;6;7;8;9;10;11;12;13;14;15;16;17;18;19;20;21;22;23;24;25;26;27;28;29;30;31;32},
    COUNTIFS($U$3:$U$201,$M410)&gt;0,
    COUNTIFS($V$3:$V$201,$M410)&gt;0,
    COUNTIFS($W$3:$W$201,$M410)&gt;0,
    COUNTIFS($X$3:$X$201,$M410)&gt;0,
    COUNTIFS($Y$3:$Y$201,$M410)&gt;0,
    COUNTIFS($Z$3:$Z$201,$M410)&gt;0,
    COUNTIFS($AA$3:$AA$201,$M410)&gt;0,
    COUNTIFS($AB$3:$AB$201,$M410)&gt;0,
    COUNTIFS($AC$3:$AC$201,$M410)&gt;0,
    COUNTIFS($AD$3:$AD$201,$M410)&gt;0,
    COUNTIFS($AE$3:$AE$201,$M410)&gt;0,
    COUNTIFS($AF$3:$AF$201,$M410)&gt;0,
    COUNTIFS($AG$3:$AG$201,$M410)&gt;0,
    COUNTIFS($AH$3:$AH$201,$M410)&gt;0,
    COUNTIFS($AI$3:$AI$201,$M410)&gt;0,
    COUNTIFS($AJ$3:$AJ$201,$M410)&gt;0,
    COUNTIFS($AK$3:$AK$201,$M410)&gt;0,
    COUNTIFS($AL$3:$AL$201,$M410)&gt;0,
    COUNTIFS($AM$3:$AM$201,$M410)&gt;0,
    COUNTIFS($AN$3:$AN$201,$M410)&gt;0,
    COUNTIFS($AO$3:$AO$201,$M410)&gt;0,
    COUNTIFS($AP$3:$AP$201,$M410)&gt;0,
    COUNTIFS($AQ$3:$AQ$201,$M410)&gt;0,
    COUNTIFS($AR$3:$AR$201,$M410)&gt;0,
    COUNTIFS($AS$3:$AS$201,$M410)&gt;0,
    COUNTIFS($AT$3:$AT$201,$M410)&gt;0,
    COUNTIFS($AU$3:$AU$201,$M410)&gt;0,
    COUNTIFS($AV$3:$AV$201,$M410)&gt;0,
    COUNTIFS($AW$3:$AW$201,$M410)&gt;0,
    COUNTIFS($AX$3:$AX$201,$M410)&gt;0
   ),
  0)
 ),
"")</f>
        <v/>
      </c>
    </row>
    <row r="411" spans="1:15" x14ac:dyDescent="0.25">
      <c r="A411" t="str">
        <f ca="1"/>
        <v>Sophina, Spearsage Deserter</v>
      </c>
      <c r="C411" s="2" t="str">
        <f t="shared" ca="1" si="25"/>
        <v/>
      </c>
      <c r="F411" s="2">
        <f t="shared" si="24"/>
        <v>0</v>
      </c>
      <c r="G411" s="2" t="str">
        <f t="shared" ca="1" si="26"/>
        <v/>
      </c>
      <c r="N411" s="2">
        <f t="shared" si="27"/>
        <v>0</v>
      </c>
      <c r="O411" s="2" t="str">
        <f>IFERROR(
 INDEX($U$2:$AX$2,
  MATCH(TRUE,
   CHOOSE({1;2;3;4;5;6;7;8;9;10;11;12;13;14;15;16;17;18;19;20;21;22;23;24;25;26;27;28;29;30;31;32},
    COUNTIFS($U$3:$U$201,$M411)&gt;0,
    COUNTIFS($V$3:$V$201,$M411)&gt;0,
    COUNTIFS($W$3:$W$201,$M411)&gt;0,
    COUNTIFS($X$3:$X$201,$M411)&gt;0,
    COUNTIFS($Y$3:$Y$201,$M411)&gt;0,
    COUNTIFS($Z$3:$Z$201,$M411)&gt;0,
    COUNTIFS($AA$3:$AA$201,$M411)&gt;0,
    COUNTIFS($AB$3:$AB$201,$M411)&gt;0,
    COUNTIFS($AC$3:$AC$201,$M411)&gt;0,
    COUNTIFS($AD$3:$AD$201,$M411)&gt;0,
    COUNTIFS($AE$3:$AE$201,$M411)&gt;0,
    COUNTIFS($AF$3:$AF$201,$M411)&gt;0,
    COUNTIFS($AG$3:$AG$201,$M411)&gt;0,
    COUNTIFS($AH$3:$AH$201,$M411)&gt;0,
    COUNTIFS($AI$3:$AI$201,$M411)&gt;0,
    COUNTIFS($AJ$3:$AJ$201,$M411)&gt;0,
    COUNTIFS($AK$3:$AK$201,$M411)&gt;0,
    COUNTIFS($AL$3:$AL$201,$M411)&gt;0,
    COUNTIFS($AM$3:$AM$201,$M411)&gt;0,
    COUNTIFS($AN$3:$AN$201,$M411)&gt;0,
    COUNTIFS($AO$3:$AO$201,$M411)&gt;0,
    COUNTIFS($AP$3:$AP$201,$M411)&gt;0,
    COUNTIFS($AQ$3:$AQ$201,$M411)&gt;0,
    COUNTIFS($AR$3:$AR$201,$M411)&gt;0,
    COUNTIFS($AS$3:$AS$201,$M411)&gt;0,
    COUNTIFS($AT$3:$AT$201,$M411)&gt;0,
    COUNTIFS($AU$3:$AU$201,$M411)&gt;0,
    COUNTIFS($AV$3:$AV$201,$M411)&gt;0,
    COUNTIFS($AW$3:$AW$201,$M411)&gt;0,
    COUNTIFS($AX$3:$AX$201,$M411)&gt;0
   ),
  0)
 ),
"")</f>
        <v/>
      </c>
    </row>
    <row r="412" spans="1:15" x14ac:dyDescent="0.25">
      <c r="A412" t="str">
        <f ca="1"/>
        <v>Sothera, the Supervoid</v>
      </c>
      <c r="C412" s="2" t="str">
        <f t="shared" ca="1" si="25"/>
        <v/>
      </c>
      <c r="F412" s="2">
        <f t="shared" si="24"/>
        <v>0</v>
      </c>
      <c r="G412" s="2" t="str">
        <f t="shared" ca="1" si="26"/>
        <v/>
      </c>
      <c r="N412" s="2">
        <f t="shared" si="27"/>
        <v>0</v>
      </c>
      <c r="O412" s="2" t="str">
        <f>IFERROR(
 INDEX($U$2:$AX$2,
  MATCH(TRUE,
   CHOOSE({1;2;3;4;5;6;7;8;9;10;11;12;13;14;15;16;17;18;19;20;21;22;23;24;25;26;27;28;29;30;31;32},
    COUNTIFS($U$3:$U$201,$M412)&gt;0,
    COUNTIFS($V$3:$V$201,$M412)&gt;0,
    COUNTIFS($W$3:$W$201,$M412)&gt;0,
    COUNTIFS($X$3:$X$201,$M412)&gt;0,
    COUNTIFS($Y$3:$Y$201,$M412)&gt;0,
    COUNTIFS($Z$3:$Z$201,$M412)&gt;0,
    COUNTIFS($AA$3:$AA$201,$M412)&gt;0,
    COUNTIFS($AB$3:$AB$201,$M412)&gt;0,
    COUNTIFS($AC$3:$AC$201,$M412)&gt;0,
    COUNTIFS($AD$3:$AD$201,$M412)&gt;0,
    COUNTIFS($AE$3:$AE$201,$M412)&gt;0,
    COUNTIFS($AF$3:$AF$201,$M412)&gt;0,
    COUNTIFS($AG$3:$AG$201,$M412)&gt;0,
    COUNTIFS($AH$3:$AH$201,$M412)&gt;0,
    COUNTIFS($AI$3:$AI$201,$M412)&gt;0,
    COUNTIFS($AJ$3:$AJ$201,$M412)&gt;0,
    COUNTIFS($AK$3:$AK$201,$M412)&gt;0,
    COUNTIFS($AL$3:$AL$201,$M412)&gt;0,
    COUNTIFS($AM$3:$AM$201,$M412)&gt;0,
    COUNTIFS($AN$3:$AN$201,$M412)&gt;0,
    COUNTIFS($AO$3:$AO$201,$M412)&gt;0,
    COUNTIFS($AP$3:$AP$201,$M412)&gt;0,
    COUNTIFS($AQ$3:$AQ$201,$M412)&gt;0,
    COUNTIFS($AR$3:$AR$201,$M412)&gt;0,
    COUNTIFS($AS$3:$AS$201,$M412)&gt;0,
    COUNTIFS($AT$3:$AT$201,$M412)&gt;0,
    COUNTIFS($AU$3:$AU$201,$M412)&gt;0,
    COUNTIFS($AV$3:$AV$201,$M412)&gt;0,
    COUNTIFS($AW$3:$AW$201,$M412)&gt;0,
    COUNTIFS($AX$3:$AX$201,$M412)&gt;0
   ),
  0)
 ),
"")</f>
        <v/>
      </c>
    </row>
    <row r="413" spans="1:15" x14ac:dyDescent="0.25">
      <c r="A413" t="str">
        <f ca="1"/>
        <v>Soul Immolation</v>
      </c>
      <c r="C413" s="2" t="str">
        <f t="shared" ca="1" si="25"/>
        <v/>
      </c>
      <c r="F413" s="2">
        <f t="shared" ref="F413:F476" si="28">COUNTIF(U:CF,E413)+COUNTIF(K:K,E413)</f>
        <v>0</v>
      </c>
      <c r="G413" s="2" t="str">
        <f t="shared" ca="1" si="26"/>
        <v/>
      </c>
      <c r="N413" s="2">
        <f t="shared" si="27"/>
        <v>0</v>
      </c>
      <c r="O413" s="2" t="str">
        <f>IFERROR(
 INDEX($U$2:$AX$2,
  MATCH(TRUE,
   CHOOSE({1;2;3;4;5;6;7;8;9;10;11;12;13;14;15;16;17;18;19;20;21;22;23;24;25;26;27;28;29;30;31;32},
    COUNTIFS($U$3:$U$201,$M413)&gt;0,
    COUNTIFS($V$3:$V$201,$M413)&gt;0,
    COUNTIFS($W$3:$W$201,$M413)&gt;0,
    COUNTIFS($X$3:$X$201,$M413)&gt;0,
    COUNTIFS($Y$3:$Y$201,$M413)&gt;0,
    COUNTIFS($Z$3:$Z$201,$M413)&gt;0,
    COUNTIFS($AA$3:$AA$201,$M413)&gt;0,
    COUNTIFS($AB$3:$AB$201,$M413)&gt;0,
    COUNTIFS($AC$3:$AC$201,$M413)&gt;0,
    COUNTIFS($AD$3:$AD$201,$M413)&gt;0,
    COUNTIFS($AE$3:$AE$201,$M413)&gt;0,
    COUNTIFS($AF$3:$AF$201,$M413)&gt;0,
    COUNTIFS($AG$3:$AG$201,$M413)&gt;0,
    COUNTIFS($AH$3:$AH$201,$M413)&gt;0,
    COUNTIFS($AI$3:$AI$201,$M413)&gt;0,
    COUNTIFS($AJ$3:$AJ$201,$M413)&gt;0,
    COUNTIFS($AK$3:$AK$201,$M413)&gt;0,
    COUNTIFS($AL$3:$AL$201,$M413)&gt;0,
    COUNTIFS($AM$3:$AM$201,$M413)&gt;0,
    COUNTIFS($AN$3:$AN$201,$M413)&gt;0,
    COUNTIFS($AO$3:$AO$201,$M413)&gt;0,
    COUNTIFS($AP$3:$AP$201,$M413)&gt;0,
    COUNTIFS($AQ$3:$AQ$201,$M413)&gt;0,
    COUNTIFS($AR$3:$AR$201,$M413)&gt;0,
    COUNTIFS($AS$3:$AS$201,$M413)&gt;0,
    COUNTIFS($AT$3:$AT$201,$M413)&gt;0,
    COUNTIFS($AU$3:$AU$201,$M413)&gt;0,
    COUNTIFS($AV$3:$AV$201,$M413)&gt;0,
    COUNTIFS($AW$3:$AW$201,$M413)&gt;0,
    COUNTIFS($AX$3:$AX$201,$M413)&gt;0
   ),
  0)
 ),
"")</f>
        <v/>
      </c>
    </row>
    <row r="414" spans="1:15" x14ac:dyDescent="0.25">
      <c r="A414" t="str">
        <f ca="1"/>
        <v>Spara's Headquarters</v>
      </c>
      <c r="C414" s="2" t="str">
        <f t="shared" ca="1" si="25"/>
        <v/>
      </c>
      <c r="F414" s="2">
        <f t="shared" si="28"/>
        <v>0</v>
      </c>
      <c r="G414" s="2" t="str">
        <f t="shared" ca="1" si="26"/>
        <v/>
      </c>
      <c r="N414" s="2">
        <f t="shared" si="27"/>
        <v>0</v>
      </c>
      <c r="O414" s="2" t="str">
        <f>IFERROR(
 INDEX($U$2:$AX$2,
  MATCH(TRUE,
   CHOOSE({1;2;3;4;5;6;7;8;9;10;11;12;13;14;15;16;17;18;19;20;21;22;23;24;25;26;27;28;29;30;31;32},
    COUNTIFS($U$3:$U$201,$M414)&gt;0,
    COUNTIFS($V$3:$V$201,$M414)&gt;0,
    COUNTIFS($W$3:$W$201,$M414)&gt;0,
    COUNTIFS($X$3:$X$201,$M414)&gt;0,
    COUNTIFS($Y$3:$Y$201,$M414)&gt;0,
    COUNTIFS($Z$3:$Z$201,$M414)&gt;0,
    COUNTIFS($AA$3:$AA$201,$M414)&gt;0,
    COUNTIFS($AB$3:$AB$201,$M414)&gt;0,
    COUNTIFS($AC$3:$AC$201,$M414)&gt;0,
    COUNTIFS($AD$3:$AD$201,$M414)&gt;0,
    COUNTIFS($AE$3:$AE$201,$M414)&gt;0,
    COUNTIFS($AF$3:$AF$201,$M414)&gt;0,
    COUNTIFS($AG$3:$AG$201,$M414)&gt;0,
    COUNTIFS($AH$3:$AH$201,$M414)&gt;0,
    COUNTIFS($AI$3:$AI$201,$M414)&gt;0,
    COUNTIFS($AJ$3:$AJ$201,$M414)&gt;0,
    COUNTIFS($AK$3:$AK$201,$M414)&gt;0,
    COUNTIFS($AL$3:$AL$201,$M414)&gt;0,
    COUNTIFS($AM$3:$AM$201,$M414)&gt;0,
    COUNTIFS($AN$3:$AN$201,$M414)&gt;0,
    COUNTIFS($AO$3:$AO$201,$M414)&gt;0,
    COUNTIFS($AP$3:$AP$201,$M414)&gt;0,
    COUNTIFS($AQ$3:$AQ$201,$M414)&gt;0,
    COUNTIFS($AR$3:$AR$201,$M414)&gt;0,
    COUNTIFS($AS$3:$AS$201,$M414)&gt;0,
    COUNTIFS($AT$3:$AT$201,$M414)&gt;0,
    COUNTIFS($AU$3:$AU$201,$M414)&gt;0,
    COUNTIFS($AV$3:$AV$201,$M414)&gt;0,
    COUNTIFS($AW$3:$AW$201,$M414)&gt;0,
    COUNTIFS($AX$3:$AX$201,$M414)&gt;0
   ),
  0)
 ),
"")</f>
        <v/>
      </c>
    </row>
    <row r="415" spans="1:15" x14ac:dyDescent="0.25">
      <c r="A415" t="str">
        <f ca="1"/>
        <v>Spectacular Spider-Man</v>
      </c>
      <c r="C415" s="2" t="str">
        <f t="shared" ca="1" si="25"/>
        <v/>
      </c>
      <c r="F415" s="2">
        <f t="shared" si="28"/>
        <v>0</v>
      </c>
      <c r="G415" s="2" t="str">
        <f t="shared" ca="1" si="26"/>
        <v/>
      </c>
      <c r="N415" s="2">
        <f t="shared" si="27"/>
        <v>0</v>
      </c>
      <c r="O415" s="2" t="str">
        <f>IFERROR(
 INDEX($U$2:$AX$2,
  MATCH(TRUE,
   CHOOSE({1;2;3;4;5;6;7;8;9;10;11;12;13;14;15;16;17;18;19;20;21;22;23;24;25;26;27;28;29;30;31;32},
    COUNTIFS($U$3:$U$201,$M415)&gt;0,
    COUNTIFS($V$3:$V$201,$M415)&gt;0,
    COUNTIFS($W$3:$W$201,$M415)&gt;0,
    COUNTIFS($X$3:$X$201,$M415)&gt;0,
    COUNTIFS($Y$3:$Y$201,$M415)&gt;0,
    COUNTIFS($Z$3:$Z$201,$M415)&gt;0,
    COUNTIFS($AA$3:$AA$201,$M415)&gt;0,
    COUNTIFS($AB$3:$AB$201,$M415)&gt;0,
    COUNTIFS($AC$3:$AC$201,$M415)&gt;0,
    COUNTIFS($AD$3:$AD$201,$M415)&gt;0,
    COUNTIFS($AE$3:$AE$201,$M415)&gt;0,
    COUNTIFS($AF$3:$AF$201,$M415)&gt;0,
    COUNTIFS($AG$3:$AG$201,$M415)&gt;0,
    COUNTIFS($AH$3:$AH$201,$M415)&gt;0,
    COUNTIFS($AI$3:$AI$201,$M415)&gt;0,
    COUNTIFS($AJ$3:$AJ$201,$M415)&gt;0,
    COUNTIFS($AK$3:$AK$201,$M415)&gt;0,
    COUNTIFS($AL$3:$AL$201,$M415)&gt;0,
    COUNTIFS($AM$3:$AM$201,$M415)&gt;0,
    COUNTIFS($AN$3:$AN$201,$M415)&gt;0,
    COUNTIFS($AO$3:$AO$201,$M415)&gt;0,
    COUNTIFS($AP$3:$AP$201,$M415)&gt;0,
    COUNTIFS($AQ$3:$AQ$201,$M415)&gt;0,
    COUNTIFS($AR$3:$AR$201,$M415)&gt;0,
    COUNTIFS($AS$3:$AS$201,$M415)&gt;0,
    COUNTIFS($AT$3:$AT$201,$M415)&gt;0,
    COUNTIFS($AU$3:$AU$201,$M415)&gt;0,
    COUNTIFS($AV$3:$AV$201,$M415)&gt;0,
    COUNTIFS($AW$3:$AW$201,$M415)&gt;0,
    COUNTIFS($AX$3:$AX$201,$M415)&gt;0
   ),
  0)
 ),
"")</f>
        <v/>
      </c>
    </row>
    <row r="416" spans="1:15" x14ac:dyDescent="0.25">
      <c r="A416" t="str">
        <f ca="1"/>
        <v>Spectator Seating</v>
      </c>
      <c r="C416" s="2" t="str">
        <f t="shared" ca="1" si="25"/>
        <v/>
      </c>
      <c r="F416" s="2">
        <f t="shared" si="28"/>
        <v>0</v>
      </c>
      <c r="G416" s="2" t="str">
        <f t="shared" ca="1" si="26"/>
        <v/>
      </c>
      <c r="N416" s="2">
        <f t="shared" si="27"/>
        <v>0</v>
      </c>
      <c r="O416" s="2" t="str">
        <f>IFERROR(
 INDEX($U$2:$AX$2,
  MATCH(TRUE,
   CHOOSE({1;2;3;4;5;6;7;8;9;10;11;12;13;14;15;16;17;18;19;20;21;22;23;24;25;26;27;28;29;30;31;32},
    COUNTIFS($U$3:$U$201,$M416)&gt;0,
    COUNTIFS($V$3:$V$201,$M416)&gt;0,
    COUNTIFS($W$3:$W$201,$M416)&gt;0,
    COUNTIFS($X$3:$X$201,$M416)&gt;0,
    COUNTIFS($Y$3:$Y$201,$M416)&gt;0,
    COUNTIFS($Z$3:$Z$201,$M416)&gt;0,
    COUNTIFS($AA$3:$AA$201,$M416)&gt;0,
    COUNTIFS($AB$3:$AB$201,$M416)&gt;0,
    COUNTIFS($AC$3:$AC$201,$M416)&gt;0,
    COUNTIFS($AD$3:$AD$201,$M416)&gt;0,
    COUNTIFS($AE$3:$AE$201,$M416)&gt;0,
    COUNTIFS($AF$3:$AF$201,$M416)&gt;0,
    COUNTIFS($AG$3:$AG$201,$M416)&gt;0,
    COUNTIFS($AH$3:$AH$201,$M416)&gt;0,
    COUNTIFS($AI$3:$AI$201,$M416)&gt;0,
    COUNTIFS($AJ$3:$AJ$201,$M416)&gt;0,
    COUNTIFS($AK$3:$AK$201,$M416)&gt;0,
    COUNTIFS($AL$3:$AL$201,$M416)&gt;0,
    COUNTIFS($AM$3:$AM$201,$M416)&gt;0,
    COUNTIFS($AN$3:$AN$201,$M416)&gt;0,
    COUNTIFS($AO$3:$AO$201,$M416)&gt;0,
    COUNTIFS($AP$3:$AP$201,$M416)&gt;0,
    COUNTIFS($AQ$3:$AQ$201,$M416)&gt;0,
    COUNTIFS($AR$3:$AR$201,$M416)&gt;0,
    COUNTIFS($AS$3:$AS$201,$M416)&gt;0,
    COUNTIFS($AT$3:$AT$201,$M416)&gt;0,
    COUNTIFS($AU$3:$AU$201,$M416)&gt;0,
    COUNTIFS($AV$3:$AV$201,$M416)&gt;0,
    COUNTIFS($AW$3:$AW$201,$M416)&gt;0,
    COUNTIFS($AX$3:$AX$201,$M416)&gt;0
   ),
  0)
 ),
"")</f>
        <v/>
      </c>
    </row>
    <row r="417" spans="1:15" x14ac:dyDescent="0.25">
      <c r="A417" t="str">
        <f ca="1"/>
        <v>Sphere Grid</v>
      </c>
      <c r="C417" s="2" t="str">
        <f t="shared" ca="1" si="25"/>
        <v/>
      </c>
      <c r="F417" s="2">
        <f t="shared" si="28"/>
        <v>0</v>
      </c>
      <c r="G417" s="2" t="str">
        <f t="shared" ca="1" si="26"/>
        <v/>
      </c>
      <c r="N417" s="2">
        <f t="shared" si="27"/>
        <v>0</v>
      </c>
      <c r="O417" s="2" t="str">
        <f>IFERROR(
 INDEX($U$2:$AX$2,
  MATCH(TRUE,
   CHOOSE({1;2;3;4;5;6;7;8;9;10;11;12;13;14;15;16;17;18;19;20;21;22;23;24;25;26;27;28;29;30;31;32},
    COUNTIFS($U$3:$U$201,$M417)&gt;0,
    COUNTIFS($V$3:$V$201,$M417)&gt;0,
    COUNTIFS($W$3:$W$201,$M417)&gt;0,
    COUNTIFS($X$3:$X$201,$M417)&gt;0,
    COUNTIFS($Y$3:$Y$201,$M417)&gt;0,
    COUNTIFS($Z$3:$Z$201,$M417)&gt;0,
    COUNTIFS($AA$3:$AA$201,$M417)&gt;0,
    COUNTIFS($AB$3:$AB$201,$M417)&gt;0,
    COUNTIFS($AC$3:$AC$201,$M417)&gt;0,
    COUNTIFS($AD$3:$AD$201,$M417)&gt;0,
    COUNTIFS($AE$3:$AE$201,$M417)&gt;0,
    COUNTIFS($AF$3:$AF$201,$M417)&gt;0,
    COUNTIFS($AG$3:$AG$201,$M417)&gt;0,
    COUNTIFS($AH$3:$AH$201,$M417)&gt;0,
    COUNTIFS($AI$3:$AI$201,$M417)&gt;0,
    COUNTIFS($AJ$3:$AJ$201,$M417)&gt;0,
    COUNTIFS($AK$3:$AK$201,$M417)&gt;0,
    COUNTIFS($AL$3:$AL$201,$M417)&gt;0,
    COUNTIFS($AM$3:$AM$201,$M417)&gt;0,
    COUNTIFS($AN$3:$AN$201,$M417)&gt;0,
    COUNTIFS($AO$3:$AO$201,$M417)&gt;0,
    COUNTIFS($AP$3:$AP$201,$M417)&gt;0,
    COUNTIFS($AQ$3:$AQ$201,$M417)&gt;0,
    COUNTIFS($AR$3:$AR$201,$M417)&gt;0,
    COUNTIFS($AS$3:$AS$201,$M417)&gt;0,
    COUNTIFS($AT$3:$AT$201,$M417)&gt;0,
    COUNTIFS($AU$3:$AU$201,$M417)&gt;0,
    COUNTIFS($AV$3:$AV$201,$M417)&gt;0,
    COUNTIFS($AW$3:$AW$201,$M417)&gt;0,
    COUNTIFS($AX$3:$AX$201,$M417)&gt;0
   ),
  0)
 ),
"")</f>
        <v/>
      </c>
    </row>
    <row r="418" spans="1:15" x14ac:dyDescent="0.25">
      <c r="A418" t="str">
        <f ca="1"/>
        <v>Spinerock Knoll</v>
      </c>
      <c r="C418" s="2" t="str">
        <f t="shared" ca="1" si="25"/>
        <v/>
      </c>
      <c r="F418" s="2">
        <f t="shared" si="28"/>
        <v>0</v>
      </c>
      <c r="G418" s="2" t="str">
        <f t="shared" ca="1" si="26"/>
        <v/>
      </c>
      <c r="N418" s="2">
        <f t="shared" si="27"/>
        <v>0</v>
      </c>
      <c r="O418" s="2" t="str">
        <f>IFERROR(
 INDEX($U$2:$AX$2,
  MATCH(TRUE,
   CHOOSE({1;2;3;4;5;6;7;8;9;10;11;12;13;14;15;16;17;18;19;20;21;22;23;24;25;26;27;28;29;30;31;32},
    COUNTIFS($U$3:$U$201,$M418)&gt;0,
    COUNTIFS($V$3:$V$201,$M418)&gt;0,
    COUNTIFS($W$3:$W$201,$M418)&gt;0,
    COUNTIFS($X$3:$X$201,$M418)&gt;0,
    COUNTIFS($Y$3:$Y$201,$M418)&gt;0,
    COUNTIFS($Z$3:$Z$201,$M418)&gt;0,
    COUNTIFS($AA$3:$AA$201,$M418)&gt;0,
    COUNTIFS($AB$3:$AB$201,$M418)&gt;0,
    COUNTIFS($AC$3:$AC$201,$M418)&gt;0,
    COUNTIFS($AD$3:$AD$201,$M418)&gt;0,
    COUNTIFS($AE$3:$AE$201,$M418)&gt;0,
    COUNTIFS($AF$3:$AF$201,$M418)&gt;0,
    COUNTIFS($AG$3:$AG$201,$M418)&gt;0,
    COUNTIFS($AH$3:$AH$201,$M418)&gt;0,
    COUNTIFS($AI$3:$AI$201,$M418)&gt;0,
    COUNTIFS($AJ$3:$AJ$201,$M418)&gt;0,
    COUNTIFS($AK$3:$AK$201,$M418)&gt;0,
    COUNTIFS($AL$3:$AL$201,$M418)&gt;0,
    COUNTIFS($AM$3:$AM$201,$M418)&gt;0,
    COUNTIFS($AN$3:$AN$201,$M418)&gt;0,
    COUNTIFS($AO$3:$AO$201,$M418)&gt;0,
    COUNTIFS($AP$3:$AP$201,$M418)&gt;0,
    COUNTIFS($AQ$3:$AQ$201,$M418)&gt;0,
    COUNTIFS($AR$3:$AR$201,$M418)&gt;0,
    COUNTIFS($AS$3:$AS$201,$M418)&gt;0,
    COUNTIFS($AT$3:$AT$201,$M418)&gt;0,
    COUNTIFS($AU$3:$AU$201,$M418)&gt;0,
    COUNTIFS($AV$3:$AV$201,$M418)&gt;0,
    COUNTIFS($AW$3:$AW$201,$M418)&gt;0,
    COUNTIFS($AX$3:$AX$201,$M418)&gt;0
   ),
  0)
 ),
"")</f>
        <v/>
      </c>
    </row>
    <row r="419" spans="1:15" x14ac:dyDescent="0.25">
      <c r="A419" t="str">
        <f ca="1"/>
        <v>Spirit Water Revival</v>
      </c>
      <c r="C419" s="2" t="str">
        <f t="shared" ca="1" si="25"/>
        <v/>
      </c>
      <c r="F419" s="2">
        <f t="shared" si="28"/>
        <v>0</v>
      </c>
      <c r="G419" s="2" t="str">
        <f t="shared" ca="1" si="26"/>
        <v/>
      </c>
      <c r="N419" s="2">
        <f t="shared" si="27"/>
        <v>0</v>
      </c>
      <c r="O419" s="2" t="str">
        <f>IFERROR(
 INDEX($U$2:$AX$2,
  MATCH(TRUE,
   CHOOSE({1;2;3;4;5;6;7;8;9;10;11;12;13;14;15;16;17;18;19;20;21;22;23;24;25;26;27;28;29;30;31;32},
    COUNTIFS($U$3:$U$201,$M419)&gt;0,
    COUNTIFS($V$3:$V$201,$M419)&gt;0,
    COUNTIFS($W$3:$W$201,$M419)&gt;0,
    COUNTIFS($X$3:$X$201,$M419)&gt;0,
    COUNTIFS($Y$3:$Y$201,$M419)&gt;0,
    COUNTIFS($Z$3:$Z$201,$M419)&gt;0,
    COUNTIFS($AA$3:$AA$201,$M419)&gt;0,
    COUNTIFS($AB$3:$AB$201,$M419)&gt;0,
    COUNTIFS($AC$3:$AC$201,$M419)&gt;0,
    COUNTIFS($AD$3:$AD$201,$M419)&gt;0,
    COUNTIFS($AE$3:$AE$201,$M419)&gt;0,
    COUNTIFS($AF$3:$AF$201,$M419)&gt;0,
    COUNTIFS($AG$3:$AG$201,$M419)&gt;0,
    COUNTIFS($AH$3:$AH$201,$M419)&gt;0,
    COUNTIFS($AI$3:$AI$201,$M419)&gt;0,
    COUNTIFS($AJ$3:$AJ$201,$M419)&gt;0,
    COUNTIFS($AK$3:$AK$201,$M419)&gt;0,
    COUNTIFS($AL$3:$AL$201,$M419)&gt;0,
    COUNTIFS($AM$3:$AM$201,$M419)&gt;0,
    COUNTIFS($AN$3:$AN$201,$M419)&gt;0,
    COUNTIFS($AO$3:$AO$201,$M419)&gt;0,
    COUNTIFS($AP$3:$AP$201,$M419)&gt;0,
    COUNTIFS($AQ$3:$AQ$201,$M419)&gt;0,
    COUNTIFS($AR$3:$AR$201,$M419)&gt;0,
    COUNTIFS($AS$3:$AS$201,$M419)&gt;0,
    COUNTIFS($AT$3:$AT$201,$M419)&gt;0,
    COUNTIFS($AU$3:$AU$201,$M419)&gt;0,
    COUNTIFS($AV$3:$AV$201,$M419)&gt;0,
    COUNTIFS($AW$3:$AW$201,$M419)&gt;0,
    COUNTIFS($AX$3:$AX$201,$M419)&gt;0
   ),
  0)
 ),
"")</f>
        <v/>
      </c>
    </row>
    <row r="420" spans="1:15" x14ac:dyDescent="0.25">
      <c r="A420" t="str">
        <f ca="1"/>
        <v>Spiteful Sliver</v>
      </c>
      <c r="C420" s="2" t="str">
        <f t="shared" ca="1" si="25"/>
        <v/>
      </c>
      <c r="F420" s="2">
        <f t="shared" si="28"/>
        <v>0</v>
      </c>
      <c r="G420" s="2" t="str">
        <f t="shared" ca="1" si="26"/>
        <v/>
      </c>
      <c r="N420" s="2">
        <f t="shared" si="27"/>
        <v>0</v>
      </c>
      <c r="O420" s="2" t="str">
        <f>IFERROR(
 INDEX($U$2:$AX$2,
  MATCH(TRUE,
   CHOOSE({1;2;3;4;5;6;7;8;9;10;11;12;13;14;15;16;17;18;19;20;21;22;23;24;25;26;27;28;29;30;31;32},
    COUNTIFS($U$3:$U$201,$M420)&gt;0,
    COUNTIFS($V$3:$V$201,$M420)&gt;0,
    COUNTIFS($W$3:$W$201,$M420)&gt;0,
    COUNTIFS($X$3:$X$201,$M420)&gt;0,
    COUNTIFS($Y$3:$Y$201,$M420)&gt;0,
    COUNTIFS($Z$3:$Z$201,$M420)&gt;0,
    COUNTIFS($AA$3:$AA$201,$M420)&gt;0,
    COUNTIFS($AB$3:$AB$201,$M420)&gt;0,
    COUNTIFS($AC$3:$AC$201,$M420)&gt;0,
    COUNTIFS($AD$3:$AD$201,$M420)&gt;0,
    COUNTIFS($AE$3:$AE$201,$M420)&gt;0,
    COUNTIFS($AF$3:$AF$201,$M420)&gt;0,
    COUNTIFS($AG$3:$AG$201,$M420)&gt;0,
    COUNTIFS($AH$3:$AH$201,$M420)&gt;0,
    COUNTIFS($AI$3:$AI$201,$M420)&gt;0,
    COUNTIFS($AJ$3:$AJ$201,$M420)&gt;0,
    COUNTIFS($AK$3:$AK$201,$M420)&gt;0,
    COUNTIFS($AL$3:$AL$201,$M420)&gt;0,
    COUNTIFS($AM$3:$AM$201,$M420)&gt;0,
    COUNTIFS($AN$3:$AN$201,$M420)&gt;0,
    COUNTIFS($AO$3:$AO$201,$M420)&gt;0,
    COUNTIFS($AP$3:$AP$201,$M420)&gt;0,
    COUNTIFS($AQ$3:$AQ$201,$M420)&gt;0,
    COUNTIFS($AR$3:$AR$201,$M420)&gt;0,
    COUNTIFS($AS$3:$AS$201,$M420)&gt;0,
    COUNTIFS($AT$3:$AT$201,$M420)&gt;0,
    COUNTIFS($AU$3:$AU$201,$M420)&gt;0,
    COUNTIFS($AV$3:$AV$201,$M420)&gt;0,
    COUNTIFS($AW$3:$AW$201,$M420)&gt;0,
    COUNTIFS($AX$3:$AX$201,$M420)&gt;0
   ),
  0)
 ),
"")</f>
        <v/>
      </c>
    </row>
    <row r="421" spans="1:15" x14ac:dyDescent="0.25">
      <c r="A421" t="str">
        <f ca="1"/>
        <v>Splash Portal</v>
      </c>
      <c r="C421" s="2" t="str">
        <f t="shared" ca="1" si="25"/>
        <v/>
      </c>
      <c r="F421" s="2">
        <f t="shared" si="28"/>
        <v>0</v>
      </c>
      <c r="G421" s="2" t="str">
        <f t="shared" ca="1" si="26"/>
        <v/>
      </c>
      <c r="N421" s="2">
        <f t="shared" si="27"/>
        <v>0</v>
      </c>
      <c r="O421" s="2" t="str">
        <f>IFERROR(
 INDEX($U$2:$AX$2,
  MATCH(TRUE,
   CHOOSE({1;2;3;4;5;6;7;8;9;10;11;12;13;14;15;16;17;18;19;20;21;22;23;24;25;26;27;28;29;30;31;32},
    COUNTIFS($U$3:$U$201,$M421)&gt;0,
    COUNTIFS($V$3:$V$201,$M421)&gt;0,
    COUNTIFS($W$3:$W$201,$M421)&gt;0,
    COUNTIFS($X$3:$X$201,$M421)&gt;0,
    COUNTIFS($Y$3:$Y$201,$M421)&gt;0,
    COUNTIFS($Z$3:$Z$201,$M421)&gt;0,
    COUNTIFS($AA$3:$AA$201,$M421)&gt;0,
    COUNTIFS($AB$3:$AB$201,$M421)&gt;0,
    COUNTIFS($AC$3:$AC$201,$M421)&gt;0,
    COUNTIFS($AD$3:$AD$201,$M421)&gt;0,
    COUNTIFS($AE$3:$AE$201,$M421)&gt;0,
    COUNTIFS($AF$3:$AF$201,$M421)&gt;0,
    COUNTIFS($AG$3:$AG$201,$M421)&gt;0,
    COUNTIFS($AH$3:$AH$201,$M421)&gt;0,
    COUNTIFS($AI$3:$AI$201,$M421)&gt;0,
    COUNTIFS($AJ$3:$AJ$201,$M421)&gt;0,
    COUNTIFS($AK$3:$AK$201,$M421)&gt;0,
    COUNTIFS($AL$3:$AL$201,$M421)&gt;0,
    COUNTIFS($AM$3:$AM$201,$M421)&gt;0,
    COUNTIFS($AN$3:$AN$201,$M421)&gt;0,
    COUNTIFS($AO$3:$AO$201,$M421)&gt;0,
    COUNTIFS($AP$3:$AP$201,$M421)&gt;0,
    COUNTIFS($AQ$3:$AQ$201,$M421)&gt;0,
    COUNTIFS($AR$3:$AR$201,$M421)&gt;0,
    COUNTIFS($AS$3:$AS$201,$M421)&gt;0,
    COUNTIFS($AT$3:$AT$201,$M421)&gt;0,
    COUNTIFS($AU$3:$AU$201,$M421)&gt;0,
    COUNTIFS($AV$3:$AV$201,$M421)&gt;0,
    COUNTIFS($AW$3:$AW$201,$M421)&gt;0,
    COUNTIFS($AX$3:$AX$201,$M421)&gt;0
   ),
  0)
 ),
"")</f>
        <v/>
      </c>
    </row>
    <row r="422" spans="1:15" x14ac:dyDescent="0.25">
      <c r="A422" t="str">
        <f ca="1"/>
        <v>Springleaf Parade</v>
      </c>
      <c r="C422" s="2" t="str">
        <f t="shared" ca="1" si="25"/>
        <v/>
      </c>
      <c r="F422" s="2">
        <f t="shared" si="28"/>
        <v>0</v>
      </c>
      <c r="G422" s="2" t="str">
        <f t="shared" ca="1" si="26"/>
        <v/>
      </c>
      <c r="N422" s="2">
        <f t="shared" si="27"/>
        <v>0</v>
      </c>
      <c r="O422" s="2" t="str">
        <f>IFERROR(
 INDEX($U$2:$AX$2,
  MATCH(TRUE,
   CHOOSE({1;2;3;4;5;6;7;8;9;10;11;12;13;14;15;16;17;18;19;20;21;22;23;24;25;26;27;28;29;30;31;32},
    COUNTIFS($U$3:$U$201,$M422)&gt;0,
    COUNTIFS($V$3:$V$201,$M422)&gt;0,
    COUNTIFS($W$3:$W$201,$M422)&gt;0,
    COUNTIFS($X$3:$X$201,$M422)&gt;0,
    COUNTIFS($Y$3:$Y$201,$M422)&gt;0,
    COUNTIFS($Z$3:$Z$201,$M422)&gt;0,
    COUNTIFS($AA$3:$AA$201,$M422)&gt;0,
    COUNTIFS($AB$3:$AB$201,$M422)&gt;0,
    COUNTIFS($AC$3:$AC$201,$M422)&gt;0,
    COUNTIFS($AD$3:$AD$201,$M422)&gt;0,
    COUNTIFS($AE$3:$AE$201,$M422)&gt;0,
    COUNTIFS($AF$3:$AF$201,$M422)&gt;0,
    COUNTIFS($AG$3:$AG$201,$M422)&gt;0,
    COUNTIFS($AH$3:$AH$201,$M422)&gt;0,
    COUNTIFS($AI$3:$AI$201,$M422)&gt;0,
    COUNTIFS($AJ$3:$AJ$201,$M422)&gt;0,
    COUNTIFS($AK$3:$AK$201,$M422)&gt;0,
    COUNTIFS($AL$3:$AL$201,$M422)&gt;0,
    COUNTIFS($AM$3:$AM$201,$M422)&gt;0,
    COUNTIFS($AN$3:$AN$201,$M422)&gt;0,
    COUNTIFS($AO$3:$AO$201,$M422)&gt;0,
    COUNTIFS($AP$3:$AP$201,$M422)&gt;0,
    COUNTIFS($AQ$3:$AQ$201,$M422)&gt;0,
    COUNTIFS($AR$3:$AR$201,$M422)&gt;0,
    COUNTIFS($AS$3:$AS$201,$M422)&gt;0,
    COUNTIFS($AT$3:$AT$201,$M422)&gt;0,
    COUNTIFS($AU$3:$AU$201,$M422)&gt;0,
    COUNTIFS($AV$3:$AV$201,$M422)&gt;0,
    COUNTIFS($AW$3:$AW$201,$M422)&gt;0,
    COUNTIFS($AX$3:$AX$201,$M422)&gt;0
   ),
  0)
 ),
"")</f>
        <v/>
      </c>
    </row>
    <row r="423" spans="1:15" x14ac:dyDescent="0.25">
      <c r="A423" t="str">
        <f ca="1"/>
        <v>Starfield Vocalist</v>
      </c>
      <c r="C423" s="2" t="str">
        <f t="shared" ca="1" si="25"/>
        <v/>
      </c>
      <c r="F423" s="2">
        <f t="shared" si="28"/>
        <v>0</v>
      </c>
      <c r="G423" s="2" t="str">
        <f t="shared" ca="1" si="26"/>
        <v/>
      </c>
      <c r="N423" s="2">
        <f t="shared" si="27"/>
        <v>0</v>
      </c>
      <c r="O423" s="2" t="str">
        <f>IFERROR(
 INDEX($U$2:$AX$2,
  MATCH(TRUE,
   CHOOSE({1;2;3;4;5;6;7;8;9;10;11;12;13;14;15;16;17;18;19;20;21;22;23;24;25;26;27;28;29;30;31;32},
    COUNTIFS($U$3:$U$201,$M423)&gt;0,
    COUNTIFS($V$3:$V$201,$M423)&gt;0,
    COUNTIFS($W$3:$W$201,$M423)&gt;0,
    COUNTIFS($X$3:$X$201,$M423)&gt;0,
    COUNTIFS($Y$3:$Y$201,$M423)&gt;0,
    COUNTIFS($Z$3:$Z$201,$M423)&gt;0,
    COUNTIFS($AA$3:$AA$201,$M423)&gt;0,
    COUNTIFS($AB$3:$AB$201,$M423)&gt;0,
    COUNTIFS($AC$3:$AC$201,$M423)&gt;0,
    COUNTIFS($AD$3:$AD$201,$M423)&gt;0,
    COUNTIFS($AE$3:$AE$201,$M423)&gt;0,
    COUNTIFS($AF$3:$AF$201,$M423)&gt;0,
    COUNTIFS($AG$3:$AG$201,$M423)&gt;0,
    COUNTIFS($AH$3:$AH$201,$M423)&gt;0,
    COUNTIFS($AI$3:$AI$201,$M423)&gt;0,
    COUNTIFS($AJ$3:$AJ$201,$M423)&gt;0,
    COUNTIFS($AK$3:$AK$201,$M423)&gt;0,
    COUNTIFS($AL$3:$AL$201,$M423)&gt;0,
    COUNTIFS($AM$3:$AM$201,$M423)&gt;0,
    COUNTIFS($AN$3:$AN$201,$M423)&gt;0,
    COUNTIFS($AO$3:$AO$201,$M423)&gt;0,
    COUNTIFS($AP$3:$AP$201,$M423)&gt;0,
    COUNTIFS($AQ$3:$AQ$201,$M423)&gt;0,
    COUNTIFS($AR$3:$AR$201,$M423)&gt;0,
    COUNTIFS($AS$3:$AS$201,$M423)&gt;0,
    COUNTIFS($AT$3:$AT$201,$M423)&gt;0,
    COUNTIFS($AU$3:$AU$201,$M423)&gt;0,
    COUNTIFS($AV$3:$AV$201,$M423)&gt;0,
    COUNTIFS($AW$3:$AW$201,$M423)&gt;0,
    COUNTIFS($AX$3:$AX$201,$M423)&gt;0
   ),
  0)
 ),
"")</f>
        <v/>
      </c>
    </row>
    <row r="424" spans="1:15" x14ac:dyDescent="0.25">
      <c r="A424" t="str">
        <f ca="1"/>
        <v>Steam Vents</v>
      </c>
      <c r="C424" s="2" t="str">
        <f t="shared" ca="1" si="25"/>
        <v/>
      </c>
      <c r="F424" s="2">
        <f t="shared" si="28"/>
        <v>0</v>
      </c>
      <c r="G424" s="2" t="str">
        <f t="shared" ca="1" si="26"/>
        <v/>
      </c>
      <c r="N424" s="2">
        <f t="shared" si="27"/>
        <v>0</v>
      </c>
      <c r="O424" s="2" t="str">
        <f>IFERROR(
 INDEX($U$2:$AX$2,
  MATCH(TRUE,
   CHOOSE({1;2;3;4;5;6;7;8;9;10;11;12;13;14;15;16;17;18;19;20;21;22;23;24;25;26;27;28;29;30;31;32},
    COUNTIFS($U$3:$U$201,$M424)&gt;0,
    COUNTIFS($V$3:$V$201,$M424)&gt;0,
    COUNTIFS($W$3:$W$201,$M424)&gt;0,
    COUNTIFS($X$3:$X$201,$M424)&gt;0,
    COUNTIFS($Y$3:$Y$201,$M424)&gt;0,
    COUNTIFS($Z$3:$Z$201,$M424)&gt;0,
    COUNTIFS($AA$3:$AA$201,$M424)&gt;0,
    COUNTIFS($AB$3:$AB$201,$M424)&gt;0,
    COUNTIFS($AC$3:$AC$201,$M424)&gt;0,
    COUNTIFS($AD$3:$AD$201,$M424)&gt;0,
    COUNTIFS($AE$3:$AE$201,$M424)&gt;0,
    COUNTIFS($AF$3:$AF$201,$M424)&gt;0,
    COUNTIFS($AG$3:$AG$201,$M424)&gt;0,
    COUNTIFS($AH$3:$AH$201,$M424)&gt;0,
    COUNTIFS($AI$3:$AI$201,$M424)&gt;0,
    COUNTIFS($AJ$3:$AJ$201,$M424)&gt;0,
    COUNTIFS($AK$3:$AK$201,$M424)&gt;0,
    COUNTIFS($AL$3:$AL$201,$M424)&gt;0,
    COUNTIFS($AM$3:$AM$201,$M424)&gt;0,
    COUNTIFS($AN$3:$AN$201,$M424)&gt;0,
    COUNTIFS($AO$3:$AO$201,$M424)&gt;0,
    COUNTIFS($AP$3:$AP$201,$M424)&gt;0,
    COUNTIFS($AQ$3:$AQ$201,$M424)&gt;0,
    COUNTIFS($AR$3:$AR$201,$M424)&gt;0,
    COUNTIFS($AS$3:$AS$201,$M424)&gt;0,
    COUNTIFS($AT$3:$AT$201,$M424)&gt;0,
    COUNTIFS($AU$3:$AU$201,$M424)&gt;0,
    COUNTIFS($AV$3:$AV$201,$M424)&gt;0,
    COUNTIFS($AW$3:$AW$201,$M424)&gt;0,
    COUNTIFS($AX$3:$AX$201,$M424)&gt;0
   ),
  0)
 ),
"")</f>
        <v/>
      </c>
    </row>
    <row r="425" spans="1:15" x14ac:dyDescent="0.25">
      <c r="A425" t="str">
        <f ca="1"/>
        <v>Sting-Slinger</v>
      </c>
      <c r="C425" s="2" t="str">
        <f t="shared" ca="1" si="25"/>
        <v/>
      </c>
      <c r="F425" s="2">
        <f t="shared" si="28"/>
        <v>0</v>
      </c>
      <c r="G425" s="2" t="str">
        <f t="shared" ca="1" si="26"/>
        <v/>
      </c>
      <c r="N425" s="2">
        <f t="shared" si="27"/>
        <v>0</v>
      </c>
      <c r="O425" s="2" t="str">
        <f>IFERROR(
 INDEX($U$2:$AX$2,
  MATCH(TRUE,
   CHOOSE({1;2;3;4;5;6;7;8;9;10;11;12;13;14;15;16;17;18;19;20;21;22;23;24;25;26;27;28;29;30;31;32},
    COUNTIFS($U$3:$U$201,$M425)&gt;0,
    COUNTIFS($V$3:$V$201,$M425)&gt;0,
    COUNTIFS($W$3:$W$201,$M425)&gt;0,
    COUNTIFS($X$3:$X$201,$M425)&gt;0,
    COUNTIFS($Y$3:$Y$201,$M425)&gt;0,
    COUNTIFS($Z$3:$Z$201,$M425)&gt;0,
    COUNTIFS($AA$3:$AA$201,$M425)&gt;0,
    COUNTIFS($AB$3:$AB$201,$M425)&gt;0,
    COUNTIFS($AC$3:$AC$201,$M425)&gt;0,
    COUNTIFS($AD$3:$AD$201,$M425)&gt;0,
    COUNTIFS($AE$3:$AE$201,$M425)&gt;0,
    COUNTIFS($AF$3:$AF$201,$M425)&gt;0,
    COUNTIFS($AG$3:$AG$201,$M425)&gt;0,
    COUNTIFS($AH$3:$AH$201,$M425)&gt;0,
    COUNTIFS($AI$3:$AI$201,$M425)&gt;0,
    COUNTIFS($AJ$3:$AJ$201,$M425)&gt;0,
    COUNTIFS($AK$3:$AK$201,$M425)&gt;0,
    COUNTIFS($AL$3:$AL$201,$M425)&gt;0,
    COUNTIFS($AM$3:$AM$201,$M425)&gt;0,
    COUNTIFS($AN$3:$AN$201,$M425)&gt;0,
    COUNTIFS($AO$3:$AO$201,$M425)&gt;0,
    COUNTIFS($AP$3:$AP$201,$M425)&gt;0,
    COUNTIFS($AQ$3:$AQ$201,$M425)&gt;0,
    COUNTIFS($AR$3:$AR$201,$M425)&gt;0,
    COUNTIFS($AS$3:$AS$201,$M425)&gt;0,
    COUNTIFS($AT$3:$AT$201,$M425)&gt;0,
    COUNTIFS($AU$3:$AU$201,$M425)&gt;0,
    COUNTIFS($AV$3:$AV$201,$M425)&gt;0,
    COUNTIFS($AW$3:$AW$201,$M425)&gt;0,
    COUNTIFS($AX$3:$AX$201,$M425)&gt;0
   ),
  0)
 ),
"")</f>
        <v/>
      </c>
    </row>
    <row r="426" spans="1:15" x14ac:dyDescent="0.25">
      <c r="A426" t="str">
        <f ca="1"/>
        <v>Stomping Ground</v>
      </c>
      <c r="C426" s="2" t="str">
        <f t="shared" ca="1" si="25"/>
        <v/>
      </c>
      <c r="F426" s="2">
        <f t="shared" si="28"/>
        <v>0</v>
      </c>
      <c r="G426" s="2" t="str">
        <f t="shared" ca="1" si="26"/>
        <v/>
      </c>
      <c r="N426" s="2">
        <f t="shared" si="27"/>
        <v>0</v>
      </c>
      <c r="O426" s="2" t="str">
        <f>IFERROR(
 INDEX($U$2:$AX$2,
  MATCH(TRUE,
   CHOOSE({1;2;3;4;5;6;7;8;9;10;11;12;13;14;15;16;17;18;19;20;21;22;23;24;25;26;27;28;29;30;31;32},
    COUNTIFS($U$3:$U$201,$M426)&gt;0,
    COUNTIFS($V$3:$V$201,$M426)&gt;0,
    COUNTIFS($W$3:$W$201,$M426)&gt;0,
    COUNTIFS($X$3:$X$201,$M426)&gt;0,
    COUNTIFS($Y$3:$Y$201,$M426)&gt;0,
    COUNTIFS($Z$3:$Z$201,$M426)&gt;0,
    COUNTIFS($AA$3:$AA$201,$M426)&gt;0,
    COUNTIFS($AB$3:$AB$201,$M426)&gt;0,
    COUNTIFS($AC$3:$AC$201,$M426)&gt;0,
    COUNTIFS($AD$3:$AD$201,$M426)&gt;0,
    COUNTIFS($AE$3:$AE$201,$M426)&gt;0,
    COUNTIFS($AF$3:$AF$201,$M426)&gt;0,
    COUNTIFS($AG$3:$AG$201,$M426)&gt;0,
    COUNTIFS($AH$3:$AH$201,$M426)&gt;0,
    COUNTIFS($AI$3:$AI$201,$M426)&gt;0,
    COUNTIFS($AJ$3:$AJ$201,$M426)&gt;0,
    COUNTIFS($AK$3:$AK$201,$M426)&gt;0,
    COUNTIFS($AL$3:$AL$201,$M426)&gt;0,
    COUNTIFS($AM$3:$AM$201,$M426)&gt;0,
    COUNTIFS($AN$3:$AN$201,$M426)&gt;0,
    COUNTIFS($AO$3:$AO$201,$M426)&gt;0,
    COUNTIFS($AP$3:$AP$201,$M426)&gt;0,
    COUNTIFS($AQ$3:$AQ$201,$M426)&gt;0,
    COUNTIFS($AR$3:$AR$201,$M426)&gt;0,
    COUNTIFS($AS$3:$AS$201,$M426)&gt;0,
    COUNTIFS($AT$3:$AT$201,$M426)&gt;0,
    COUNTIFS($AU$3:$AU$201,$M426)&gt;0,
    COUNTIFS($AV$3:$AV$201,$M426)&gt;0,
    COUNTIFS($AW$3:$AW$201,$M426)&gt;0,
    COUNTIFS($AX$3:$AX$201,$M426)&gt;0
   ),
  0)
 ),
"")</f>
        <v/>
      </c>
    </row>
    <row r="427" spans="1:15" x14ac:dyDescent="0.25">
      <c r="A427" t="str">
        <f ca="1"/>
        <v>Stoneforge Mystic</v>
      </c>
      <c r="C427" s="2" t="str">
        <f t="shared" ca="1" si="25"/>
        <v/>
      </c>
      <c r="F427" s="2">
        <f t="shared" si="28"/>
        <v>0</v>
      </c>
      <c r="G427" s="2" t="str">
        <f t="shared" ca="1" si="26"/>
        <v/>
      </c>
      <c r="N427" s="2">
        <f t="shared" si="27"/>
        <v>0</v>
      </c>
      <c r="O427" s="2" t="str">
        <f>IFERROR(
 INDEX($U$2:$AX$2,
  MATCH(TRUE,
   CHOOSE({1;2;3;4;5;6;7;8;9;10;11;12;13;14;15;16;17;18;19;20;21;22;23;24;25;26;27;28;29;30;31;32},
    COUNTIFS($U$3:$U$201,$M427)&gt;0,
    COUNTIFS($V$3:$V$201,$M427)&gt;0,
    COUNTIFS($W$3:$W$201,$M427)&gt;0,
    COUNTIFS($X$3:$X$201,$M427)&gt;0,
    COUNTIFS($Y$3:$Y$201,$M427)&gt;0,
    COUNTIFS($Z$3:$Z$201,$M427)&gt;0,
    COUNTIFS($AA$3:$AA$201,$M427)&gt;0,
    COUNTIFS($AB$3:$AB$201,$M427)&gt;0,
    COUNTIFS($AC$3:$AC$201,$M427)&gt;0,
    COUNTIFS($AD$3:$AD$201,$M427)&gt;0,
    COUNTIFS($AE$3:$AE$201,$M427)&gt;0,
    COUNTIFS($AF$3:$AF$201,$M427)&gt;0,
    COUNTIFS($AG$3:$AG$201,$M427)&gt;0,
    COUNTIFS($AH$3:$AH$201,$M427)&gt;0,
    COUNTIFS($AI$3:$AI$201,$M427)&gt;0,
    COUNTIFS($AJ$3:$AJ$201,$M427)&gt;0,
    COUNTIFS($AK$3:$AK$201,$M427)&gt;0,
    COUNTIFS($AL$3:$AL$201,$M427)&gt;0,
    COUNTIFS($AM$3:$AM$201,$M427)&gt;0,
    COUNTIFS($AN$3:$AN$201,$M427)&gt;0,
    COUNTIFS($AO$3:$AO$201,$M427)&gt;0,
    COUNTIFS($AP$3:$AP$201,$M427)&gt;0,
    COUNTIFS($AQ$3:$AQ$201,$M427)&gt;0,
    COUNTIFS($AR$3:$AR$201,$M427)&gt;0,
    COUNTIFS($AS$3:$AS$201,$M427)&gt;0,
    COUNTIFS($AT$3:$AT$201,$M427)&gt;0,
    COUNTIFS($AU$3:$AU$201,$M427)&gt;0,
    COUNTIFS($AV$3:$AV$201,$M427)&gt;0,
    COUNTIFS($AW$3:$AW$201,$M427)&gt;0,
    COUNTIFS($AX$3:$AX$201,$M427)&gt;0
   ),
  0)
 ),
"")</f>
        <v/>
      </c>
    </row>
    <row r="428" spans="1:15" x14ac:dyDescent="0.25">
      <c r="A428" t="str">
        <f ca="1"/>
        <v>Stonybrook Banneret</v>
      </c>
      <c r="C428" s="2" t="str">
        <f t="shared" ca="1" si="25"/>
        <v/>
      </c>
      <c r="F428" s="2">
        <f t="shared" si="28"/>
        <v>0</v>
      </c>
      <c r="G428" s="2" t="str">
        <f t="shared" ca="1" si="26"/>
        <v/>
      </c>
      <c r="N428" s="2">
        <f t="shared" si="27"/>
        <v>0</v>
      </c>
      <c r="O428" s="2" t="str">
        <f>IFERROR(
 INDEX($U$2:$AX$2,
  MATCH(TRUE,
   CHOOSE({1;2;3;4;5;6;7;8;9;10;11;12;13;14;15;16;17;18;19;20;21;22;23;24;25;26;27;28;29;30;31;32},
    COUNTIFS($U$3:$U$201,$M428)&gt;0,
    COUNTIFS($V$3:$V$201,$M428)&gt;0,
    COUNTIFS($W$3:$W$201,$M428)&gt;0,
    COUNTIFS($X$3:$X$201,$M428)&gt;0,
    COUNTIFS($Y$3:$Y$201,$M428)&gt;0,
    COUNTIFS($Z$3:$Z$201,$M428)&gt;0,
    COUNTIFS($AA$3:$AA$201,$M428)&gt;0,
    COUNTIFS($AB$3:$AB$201,$M428)&gt;0,
    COUNTIFS($AC$3:$AC$201,$M428)&gt;0,
    COUNTIFS($AD$3:$AD$201,$M428)&gt;0,
    COUNTIFS($AE$3:$AE$201,$M428)&gt;0,
    COUNTIFS($AF$3:$AF$201,$M428)&gt;0,
    COUNTIFS($AG$3:$AG$201,$M428)&gt;0,
    COUNTIFS($AH$3:$AH$201,$M428)&gt;0,
    COUNTIFS($AI$3:$AI$201,$M428)&gt;0,
    COUNTIFS($AJ$3:$AJ$201,$M428)&gt;0,
    COUNTIFS($AK$3:$AK$201,$M428)&gt;0,
    COUNTIFS($AL$3:$AL$201,$M428)&gt;0,
    COUNTIFS($AM$3:$AM$201,$M428)&gt;0,
    COUNTIFS($AN$3:$AN$201,$M428)&gt;0,
    COUNTIFS($AO$3:$AO$201,$M428)&gt;0,
    COUNTIFS($AP$3:$AP$201,$M428)&gt;0,
    COUNTIFS($AQ$3:$AQ$201,$M428)&gt;0,
    COUNTIFS($AR$3:$AR$201,$M428)&gt;0,
    COUNTIFS($AS$3:$AS$201,$M428)&gt;0,
    COUNTIFS($AT$3:$AT$201,$M428)&gt;0,
    COUNTIFS($AU$3:$AU$201,$M428)&gt;0,
    COUNTIFS($AV$3:$AV$201,$M428)&gt;0,
    COUNTIFS($AW$3:$AW$201,$M428)&gt;0,
    COUNTIFS($AX$3:$AX$201,$M428)&gt;0
   ),
  0)
 ),
"")</f>
        <v/>
      </c>
    </row>
    <row r="429" spans="1:15" x14ac:dyDescent="0.25">
      <c r="A429" t="str">
        <f ca="1"/>
        <v>Striking Sliver</v>
      </c>
      <c r="C429" s="2" t="str">
        <f t="shared" ca="1" si="25"/>
        <v/>
      </c>
      <c r="F429" s="2">
        <f t="shared" si="28"/>
        <v>0</v>
      </c>
      <c r="G429" s="2" t="str">
        <f t="shared" ca="1" si="26"/>
        <v/>
      </c>
      <c r="N429" s="2">
        <f t="shared" si="27"/>
        <v>0</v>
      </c>
      <c r="O429" s="2" t="str">
        <f>IFERROR(
 INDEX($U$2:$AX$2,
  MATCH(TRUE,
   CHOOSE({1;2;3;4;5;6;7;8;9;10;11;12;13;14;15;16;17;18;19;20;21;22;23;24;25;26;27;28;29;30;31;32},
    COUNTIFS($U$3:$U$201,$M429)&gt;0,
    COUNTIFS($V$3:$V$201,$M429)&gt;0,
    COUNTIFS($W$3:$W$201,$M429)&gt;0,
    COUNTIFS($X$3:$X$201,$M429)&gt;0,
    COUNTIFS($Y$3:$Y$201,$M429)&gt;0,
    COUNTIFS($Z$3:$Z$201,$M429)&gt;0,
    COUNTIFS($AA$3:$AA$201,$M429)&gt;0,
    COUNTIFS($AB$3:$AB$201,$M429)&gt;0,
    COUNTIFS($AC$3:$AC$201,$M429)&gt;0,
    COUNTIFS($AD$3:$AD$201,$M429)&gt;0,
    COUNTIFS($AE$3:$AE$201,$M429)&gt;0,
    COUNTIFS($AF$3:$AF$201,$M429)&gt;0,
    COUNTIFS($AG$3:$AG$201,$M429)&gt;0,
    COUNTIFS($AH$3:$AH$201,$M429)&gt;0,
    COUNTIFS($AI$3:$AI$201,$M429)&gt;0,
    COUNTIFS($AJ$3:$AJ$201,$M429)&gt;0,
    COUNTIFS($AK$3:$AK$201,$M429)&gt;0,
    COUNTIFS($AL$3:$AL$201,$M429)&gt;0,
    COUNTIFS($AM$3:$AM$201,$M429)&gt;0,
    COUNTIFS($AN$3:$AN$201,$M429)&gt;0,
    COUNTIFS($AO$3:$AO$201,$M429)&gt;0,
    COUNTIFS($AP$3:$AP$201,$M429)&gt;0,
    COUNTIFS($AQ$3:$AQ$201,$M429)&gt;0,
    COUNTIFS($AR$3:$AR$201,$M429)&gt;0,
    COUNTIFS($AS$3:$AS$201,$M429)&gt;0,
    COUNTIFS($AT$3:$AT$201,$M429)&gt;0,
    COUNTIFS($AU$3:$AU$201,$M429)&gt;0,
    COUNTIFS($AV$3:$AV$201,$M429)&gt;0,
    COUNTIFS($AW$3:$AW$201,$M429)&gt;0,
    COUNTIFS($AX$3:$AX$201,$M429)&gt;0
   ),
  0)
 ),
"")</f>
        <v/>
      </c>
    </row>
    <row r="430" spans="1:15" x14ac:dyDescent="0.25">
      <c r="A430" t="str">
        <f ca="1"/>
        <v>Strix Serenade</v>
      </c>
      <c r="C430" s="2" t="str">
        <f t="shared" ca="1" si="25"/>
        <v/>
      </c>
      <c r="F430" s="2">
        <f t="shared" si="28"/>
        <v>0</v>
      </c>
      <c r="G430" s="2" t="str">
        <f t="shared" ca="1" si="26"/>
        <v/>
      </c>
      <c r="N430" s="2">
        <f t="shared" si="27"/>
        <v>0</v>
      </c>
      <c r="O430" s="2" t="str">
        <f>IFERROR(
 INDEX($U$2:$AX$2,
  MATCH(TRUE,
   CHOOSE({1;2;3;4;5;6;7;8;9;10;11;12;13;14;15;16;17;18;19;20;21;22;23;24;25;26;27;28;29;30;31;32},
    COUNTIFS($U$3:$U$201,$M430)&gt;0,
    COUNTIFS($V$3:$V$201,$M430)&gt;0,
    COUNTIFS($W$3:$W$201,$M430)&gt;0,
    COUNTIFS($X$3:$X$201,$M430)&gt;0,
    COUNTIFS($Y$3:$Y$201,$M430)&gt;0,
    COUNTIFS($Z$3:$Z$201,$M430)&gt;0,
    COUNTIFS($AA$3:$AA$201,$M430)&gt;0,
    COUNTIFS($AB$3:$AB$201,$M430)&gt;0,
    COUNTIFS($AC$3:$AC$201,$M430)&gt;0,
    COUNTIFS($AD$3:$AD$201,$M430)&gt;0,
    COUNTIFS($AE$3:$AE$201,$M430)&gt;0,
    COUNTIFS($AF$3:$AF$201,$M430)&gt;0,
    COUNTIFS($AG$3:$AG$201,$M430)&gt;0,
    COUNTIFS($AH$3:$AH$201,$M430)&gt;0,
    COUNTIFS($AI$3:$AI$201,$M430)&gt;0,
    COUNTIFS($AJ$3:$AJ$201,$M430)&gt;0,
    COUNTIFS($AK$3:$AK$201,$M430)&gt;0,
    COUNTIFS($AL$3:$AL$201,$M430)&gt;0,
    COUNTIFS($AM$3:$AM$201,$M430)&gt;0,
    COUNTIFS($AN$3:$AN$201,$M430)&gt;0,
    COUNTIFS($AO$3:$AO$201,$M430)&gt;0,
    COUNTIFS($AP$3:$AP$201,$M430)&gt;0,
    COUNTIFS($AQ$3:$AQ$201,$M430)&gt;0,
    COUNTIFS($AR$3:$AR$201,$M430)&gt;0,
    COUNTIFS($AS$3:$AS$201,$M430)&gt;0,
    COUNTIFS($AT$3:$AT$201,$M430)&gt;0,
    COUNTIFS($AU$3:$AU$201,$M430)&gt;0,
    COUNTIFS($AV$3:$AV$201,$M430)&gt;0,
    COUNTIFS($AW$3:$AW$201,$M430)&gt;0,
    COUNTIFS($AX$3:$AX$201,$M430)&gt;0
   ),
  0)
 ),
"")</f>
        <v/>
      </c>
    </row>
    <row r="431" spans="1:15" x14ac:dyDescent="0.25">
      <c r="A431" t="str">
        <f ca="1"/>
        <v>Stroke of Midnight</v>
      </c>
      <c r="C431" s="2" t="str">
        <f t="shared" ca="1" si="25"/>
        <v/>
      </c>
      <c r="F431" s="2">
        <f t="shared" si="28"/>
        <v>0</v>
      </c>
      <c r="G431" s="2" t="str">
        <f t="shared" ca="1" si="26"/>
        <v/>
      </c>
      <c r="N431" s="2">
        <f t="shared" si="27"/>
        <v>0</v>
      </c>
      <c r="O431" s="2" t="str">
        <f>IFERROR(
 INDEX($U$2:$AX$2,
  MATCH(TRUE,
   CHOOSE({1;2;3;4;5;6;7;8;9;10;11;12;13;14;15;16;17;18;19;20;21;22;23;24;25;26;27;28;29;30;31;32},
    COUNTIFS($U$3:$U$201,$M431)&gt;0,
    COUNTIFS($V$3:$V$201,$M431)&gt;0,
    COUNTIFS($W$3:$W$201,$M431)&gt;0,
    COUNTIFS($X$3:$X$201,$M431)&gt;0,
    COUNTIFS($Y$3:$Y$201,$M431)&gt;0,
    COUNTIFS($Z$3:$Z$201,$M431)&gt;0,
    COUNTIFS($AA$3:$AA$201,$M431)&gt;0,
    COUNTIFS($AB$3:$AB$201,$M431)&gt;0,
    COUNTIFS($AC$3:$AC$201,$M431)&gt;0,
    COUNTIFS($AD$3:$AD$201,$M431)&gt;0,
    COUNTIFS($AE$3:$AE$201,$M431)&gt;0,
    COUNTIFS($AF$3:$AF$201,$M431)&gt;0,
    COUNTIFS($AG$3:$AG$201,$M431)&gt;0,
    COUNTIFS($AH$3:$AH$201,$M431)&gt;0,
    COUNTIFS($AI$3:$AI$201,$M431)&gt;0,
    COUNTIFS($AJ$3:$AJ$201,$M431)&gt;0,
    COUNTIFS($AK$3:$AK$201,$M431)&gt;0,
    COUNTIFS($AL$3:$AL$201,$M431)&gt;0,
    COUNTIFS($AM$3:$AM$201,$M431)&gt;0,
    COUNTIFS($AN$3:$AN$201,$M431)&gt;0,
    COUNTIFS($AO$3:$AO$201,$M431)&gt;0,
    COUNTIFS($AP$3:$AP$201,$M431)&gt;0,
    COUNTIFS($AQ$3:$AQ$201,$M431)&gt;0,
    COUNTIFS($AR$3:$AR$201,$M431)&gt;0,
    COUNTIFS($AS$3:$AS$201,$M431)&gt;0,
    COUNTIFS($AT$3:$AT$201,$M431)&gt;0,
    COUNTIFS($AU$3:$AU$201,$M431)&gt;0,
    COUNTIFS($AV$3:$AV$201,$M431)&gt;0,
    COUNTIFS($AW$3:$AW$201,$M431)&gt;0,
    COUNTIFS($AX$3:$AX$201,$M431)&gt;0
   ),
  0)
 ),
"")</f>
        <v/>
      </c>
    </row>
    <row r="432" spans="1:15" x14ac:dyDescent="0.25">
      <c r="A432" t="str">
        <f ca="1"/>
        <v>Stump Stomp</v>
      </c>
      <c r="C432" s="2" t="str">
        <f t="shared" ca="1" si="25"/>
        <v/>
      </c>
      <c r="F432" s="2">
        <f t="shared" si="28"/>
        <v>0</v>
      </c>
      <c r="G432" s="2" t="str">
        <f t="shared" ca="1" si="26"/>
        <v/>
      </c>
      <c r="N432" s="2">
        <f t="shared" si="27"/>
        <v>0</v>
      </c>
      <c r="O432" s="2" t="str">
        <f>IFERROR(
 INDEX($U$2:$AX$2,
  MATCH(TRUE,
   CHOOSE({1;2;3;4;5;6;7;8;9;10;11;12;13;14;15;16;17;18;19;20;21;22;23;24;25;26;27;28;29;30;31;32},
    COUNTIFS($U$3:$U$201,$M432)&gt;0,
    COUNTIFS($V$3:$V$201,$M432)&gt;0,
    COUNTIFS($W$3:$W$201,$M432)&gt;0,
    COUNTIFS($X$3:$X$201,$M432)&gt;0,
    COUNTIFS($Y$3:$Y$201,$M432)&gt;0,
    COUNTIFS($Z$3:$Z$201,$M432)&gt;0,
    COUNTIFS($AA$3:$AA$201,$M432)&gt;0,
    COUNTIFS($AB$3:$AB$201,$M432)&gt;0,
    COUNTIFS($AC$3:$AC$201,$M432)&gt;0,
    COUNTIFS($AD$3:$AD$201,$M432)&gt;0,
    COUNTIFS($AE$3:$AE$201,$M432)&gt;0,
    COUNTIFS($AF$3:$AF$201,$M432)&gt;0,
    COUNTIFS($AG$3:$AG$201,$M432)&gt;0,
    COUNTIFS($AH$3:$AH$201,$M432)&gt;0,
    COUNTIFS($AI$3:$AI$201,$M432)&gt;0,
    COUNTIFS($AJ$3:$AJ$201,$M432)&gt;0,
    COUNTIFS($AK$3:$AK$201,$M432)&gt;0,
    COUNTIFS($AL$3:$AL$201,$M432)&gt;0,
    COUNTIFS($AM$3:$AM$201,$M432)&gt;0,
    COUNTIFS($AN$3:$AN$201,$M432)&gt;0,
    COUNTIFS($AO$3:$AO$201,$M432)&gt;0,
    COUNTIFS($AP$3:$AP$201,$M432)&gt;0,
    COUNTIFS($AQ$3:$AQ$201,$M432)&gt;0,
    COUNTIFS($AR$3:$AR$201,$M432)&gt;0,
    COUNTIFS($AS$3:$AS$201,$M432)&gt;0,
    COUNTIFS($AT$3:$AT$201,$M432)&gt;0,
    COUNTIFS($AU$3:$AU$201,$M432)&gt;0,
    COUNTIFS($AV$3:$AV$201,$M432)&gt;0,
    COUNTIFS($AW$3:$AW$201,$M432)&gt;0,
    COUNTIFS($AX$3:$AX$201,$M432)&gt;0
   ),
  0)
 ),
"")</f>
        <v/>
      </c>
    </row>
    <row r="433" spans="1:15" x14ac:dyDescent="0.25">
      <c r="A433" t="str">
        <f ca="1"/>
        <v>Summon: Ixion</v>
      </c>
      <c r="C433" s="2" t="str">
        <f t="shared" ca="1" si="25"/>
        <v/>
      </c>
      <c r="F433" s="2">
        <f t="shared" si="28"/>
        <v>0</v>
      </c>
      <c r="G433" s="2" t="str">
        <f t="shared" ca="1" si="26"/>
        <v/>
      </c>
      <c r="N433" s="2">
        <f t="shared" si="27"/>
        <v>0</v>
      </c>
      <c r="O433" s="2" t="str">
        <f>IFERROR(
 INDEX($U$2:$AX$2,
  MATCH(TRUE,
   CHOOSE({1;2;3;4;5;6;7;8;9;10;11;12;13;14;15;16;17;18;19;20;21;22;23;24;25;26;27;28;29;30;31;32},
    COUNTIFS($U$3:$U$201,$M433)&gt;0,
    COUNTIFS($V$3:$V$201,$M433)&gt;0,
    COUNTIFS($W$3:$W$201,$M433)&gt;0,
    COUNTIFS($X$3:$X$201,$M433)&gt;0,
    COUNTIFS($Y$3:$Y$201,$M433)&gt;0,
    COUNTIFS($Z$3:$Z$201,$M433)&gt;0,
    COUNTIFS($AA$3:$AA$201,$M433)&gt;0,
    COUNTIFS($AB$3:$AB$201,$M433)&gt;0,
    COUNTIFS($AC$3:$AC$201,$M433)&gt;0,
    COUNTIFS($AD$3:$AD$201,$M433)&gt;0,
    COUNTIFS($AE$3:$AE$201,$M433)&gt;0,
    COUNTIFS($AF$3:$AF$201,$M433)&gt;0,
    COUNTIFS($AG$3:$AG$201,$M433)&gt;0,
    COUNTIFS($AH$3:$AH$201,$M433)&gt;0,
    COUNTIFS($AI$3:$AI$201,$M433)&gt;0,
    COUNTIFS($AJ$3:$AJ$201,$M433)&gt;0,
    COUNTIFS($AK$3:$AK$201,$M433)&gt;0,
    COUNTIFS($AL$3:$AL$201,$M433)&gt;0,
    COUNTIFS($AM$3:$AM$201,$M433)&gt;0,
    COUNTIFS($AN$3:$AN$201,$M433)&gt;0,
    COUNTIFS($AO$3:$AO$201,$M433)&gt;0,
    COUNTIFS($AP$3:$AP$201,$M433)&gt;0,
    COUNTIFS($AQ$3:$AQ$201,$M433)&gt;0,
    COUNTIFS($AR$3:$AR$201,$M433)&gt;0,
    COUNTIFS($AS$3:$AS$201,$M433)&gt;0,
    COUNTIFS($AT$3:$AT$201,$M433)&gt;0,
    COUNTIFS($AU$3:$AU$201,$M433)&gt;0,
    COUNTIFS($AV$3:$AV$201,$M433)&gt;0,
    COUNTIFS($AW$3:$AW$201,$M433)&gt;0,
    COUNTIFS($AX$3:$AX$201,$M433)&gt;0
   ),
  0)
 ),
"")</f>
        <v/>
      </c>
    </row>
    <row r="434" spans="1:15" x14ac:dyDescent="0.25">
      <c r="A434" t="str">
        <f ca="1"/>
        <v>Sundering Eruption</v>
      </c>
      <c r="C434" s="2" t="str">
        <f t="shared" ca="1" si="25"/>
        <v/>
      </c>
      <c r="F434" s="2">
        <f t="shared" si="28"/>
        <v>0</v>
      </c>
      <c r="G434" s="2" t="str">
        <f t="shared" ca="1" si="26"/>
        <v/>
      </c>
      <c r="N434" s="2">
        <f t="shared" si="27"/>
        <v>0</v>
      </c>
      <c r="O434" s="2" t="str">
        <f>IFERROR(
 INDEX($U$2:$AX$2,
  MATCH(TRUE,
   CHOOSE({1;2;3;4;5;6;7;8;9;10;11;12;13;14;15;16;17;18;19;20;21;22;23;24;25;26;27;28;29;30;31;32},
    COUNTIFS($U$3:$U$201,$M434)&gt;0,
    COUNTIFS($V$3:$V$201,$M434)&gt;0,
    COUNTIFS($W$3:$W$201,$M434)&gt;0,
    COUNTIFS($X$3:$X$201,$M434)&gt;0,
    COUNTIFS($Y$3:$Y$201,$M434)&gt;0,
    COUNTIFS($Z$3:$Z$201,$M434)&gt;0,
    COUNTIFS($AA$3:$AA$201,$M434)&gt;0,
    COUNTIFS($AB$3:$AB$201,$M434)&gt;0,
    COUNTIFS($AC$3:$AC$201,$M434)&gt;0,
    COUNTIFS($AD$3:$AD$201,$M434)&gt;0,
    COUNTIFS($AE$3:$AE$201,$M434)&gt;0,
    COUNTIFS($AF$3:$AF$201,$M434)&gt;0,
    COUNTIFS($AG$3:$AG$201,$M434)&gt;0,
    COUNTIFS($AH$3:$AH$201,$M434)&gt;0,
    COUNTIFS($AI$3:$AI$201,$M434)&gt;0,
    COUNTIFS($AJ$3:$AJ$201,$M434)&gt;0,
    COUNTIFS($AK$3:$AK$201,$M434)&gt;0,
    COUNTIFS($AL$3:$AL$201,$M434)&gt;0,
    COUNTIFS($AM$3:$AM$201,$M434)&gt;0,
    COUNTIFS($AN$3:$AN$201,$M434)&gt;0,
    COUNTIFS($AO$3:$AO$201,$M434)&gt;0,
    COUNTIFS($AP$3:$AP$201,$M434)&gt;0,
    COUNTIFS($AQ$3:$AQ$201,$M434)&gt;0,
    COUNTIFS($AR$3:$AR$201,$M434)&gt;0,
    COUNTIFS($AS$3:$AS$201,$M434)&gt;0,
    COUNTIFS($AT$3:$AT$201,$M434)&gt;0,
    COUNTIFS($AU$3:$AU$201,$M434)&gt;0,
    COUNTIFS($AV$3:$AV$201,$M434)&gt;0,
    COUNTIFS($AW$3:$AW$201,$M434)&gt;0,
    COUNTIFS($AX$3:$AX$201,$M434)&gt;0
   ),
  0)
 ),
"")</f>
        <v/>
      </c>
    </row>
    <row r="435" spans="1:15" x14ac:dyDescent="0.25">
      <c r="A435" t="str">
        <f ca="1"/>
        <v>Sunpetal Grove</v>
      </c>
      <c r="C435" s="2" t="str">
        <f t="shared" ca="1" si="25"/>
        <v/>
      </c>
      <c r="F435" s="2">
        <f t="shared" si="28"/>
        <v>0</v>
      </c>
      <c r="G435" s="2" t="str">
        <f t="shared" ca="1" si="26"/>
        <v/>
      </c>
      <c r="N435" s="2">
        <f t="shared" si="27"/>
        <v>0</v>
      </c>
      <c r="O435" s="2" t="str">
        <f>IFERROR(
 INDEX($U$2:$AX$2,
  MATCH(TRUE,
   CHOOSE({1;2;3;4;5;6;7;8;9;10;11;12;13;14;15;16;17;18;19;20;21;22;23;24;25;26;27;28;29;30;31;32},
    COUNTIFS($U$3:$U$201,$M435)&gt;0,
    COUNTIFS($V$3:$V$201,$M435)&gt;0,
    COUNTIFS($W$3:$W$201,$M435)&gt;0,
    COUNTIFS($X$3:$X$201,$M435)&gt;0,
    COUNTIFS($Y$3:$Y$201,$M435)&gt;0,
    COUNTIFS($Z$3:$Z$201,$M435)&gt;0,
    COUNTIFS($AA$3:$AA$201,$M435)&gt;0,
    COUNTIFS($AB$3:$AB$201,$M435)&gt;0,
    COUNTIFS($AC$3:$AC$201,$M435)&gt;0,
    COUNTIFS($AD$3:$AD$201,$M435)&gt;0,
    COUNTIFS($AE$3:$AE$201,$M435)&gt;0,
    COUNTIFS($AF$3:$AF$201,$M435)&gt;0,
    COUNTIFS($AG$3:$AG$201,$M435)&gt;0,
    COUNTIFS($AH$3:$AH$201,$M435)&gt;0,
    COUNTIFS($AI$3:$AI$201,$M435)&gt;0,
    COUNTIFS($AJ$3:$AJ$201,$M435)&gt;0,
    COUNTIFS($AK$3:$AK$201,$M435)&gt;0,
    COUNTIFS($AL$3:$AL$201,$M435)&gt;0,
    COUNTIFS($AM$3:$AM$201,$M435)&gt;0,
    COUNTIFS($AN$3:$AN$201,$M435)&gt;0,
    COUNTIFS($AO$3:$AO$201,$M435)&gt;0,
    COUNTIFS($AP$3:$AP$201,$M435)&gt;0,
    COUNTIFS($AQ$3:$AQ$201,$M435)&gt;0,
    COUNTIFS($AR$3:$AR$201,$M435)&gt;0,
    COUNTIFS($AS$3:$AS$201,$M435)&gt;0,
    COUNTIFS($AT$3:$AT$201,$M435)&gt;0,
    COUNTIFS($AU$3:$AU$201,$M435)&gt;0,
    COUNTIFS($AV$3:$AV$201,$M435)&gt;0,
    COUNTIFS($AW$3:$AW$201,$M435)&gt;0,
    COUNTIFS($AX$3:$AX$201,$M435)&gt;0
   ),
  0)
 ),
"")</f>
        <v/>
      </c>
    </row>
    <row r="436" spans="1:15" x14ac:dyDescent="0.25">
      <c r="A436" t="str">
        <f ca="1"/>
        <v>Sunscorched Divide</v>
      </c>
      <c r="C436" s="2" t="str">
        <f t="shared" ca="1" si="25"/>
        <v/>
      </c>
      <c r="F436" s="2">
        <f t="shared" si="28"/>
        <v>0</v>
      </c>
      <c r="G436" s="2" t="str">
        <f t="shared" ca="1" si="26"/>
        <v/>
      </c>
      <c r="N436" s="2">
        <f t="shared" si="27"/>
        <v>0</v>
      </c>
      <c r="O436" s="2" t="str">
        <f>IFERROR(
 INDEX($U$2:$AX$2,
  MATCH(TRUE,
   CHOOSE({1;2;3;4;5;6;7;8;9;10;11;12;13;14;15;16;17;18;19;20;21;22;23;24;25;26;27;28;29;30;31;32},
    COUNTIFS($U$3:$U$201,$M436)&gt;0,
    COUNTIFS($V$3:$V$201,$M436)&gt;0,
    COUNTIFS($W$3:$W$201,$M436)&gt;0,
    COUNTIFS($X$3:$X$201,$M436)&gt;0,
    COUNTIFS($Y$3:$Y$201,$M436)&gt;0,
    COUNTIFS($Z$3:$Z$201,$M436)&gt;0,
    COUNTIFS($AA$3:$AA$201,$M436)&gt;0,
    COUNTIFS($AB$3:$AB$201,$M436)&gt;0,
    COUNTIFS($AC$3:$AC$201,$M436)&gt;0,
    COUNTIFS($AD$3:$AD$201,$M436)&gt;0,
    COUNTIFS($AE$3:$AE$201,$M436)&gt;0,
    COUNTIFS($AF$3:$AF$201,$M436)&gt;0,
    COUNTIFS($AG$3:$AG$201,$M436)&gt;0,
    COUNTIFS($AH$3:$AH$201,$M436)&gt;0,
    COUNTIFS($AI$3:$AI$201,$M436)&gt;0,
    COUNTIFS($AJ$3:$AJ$201,$M436)&gt;0,
    COUNTIFS($AK$3:$AK$201,$M436)&gt;0,
    COUNTIFS($AL$3:$AL$201,$M436)&gt;0,
    COUNTIFS($AM$3:$AM$201,$M436)&gt;0,
    COUNTIFS($AN$3:$AN$201,$M436)&gt;0,
    COUNTIFS($AO$3:$AO$201,$M436)&gt;0,
    COUNTIFS($AP$3:$AP$201,$M436)&gt;0,
    COUNTIFS($AQ$3:$AQ$201,$M436)&gt;0,
    COUNTIFS($AR$3:$AR$201,$M436)&gt;0,
    COUNTIFS($AS$3:$AS$201,$M436)&gt;0,
    COUNTIFS($AT$3:$AT$201,$M436)&gt;0,
    COUNTIFS($AU$3:$AU$201,$M436)&gt;0,
    COUNTIFS($AV$3:$AV$201,$M436)&gt;0,
    COUNTIFS($AW$3:$AW$201,$M436)&gt;0,
    COUNTIFS($AX$3:$AX$201,$M436)&gt;0
   ),
  0)
 ),
"")</f>
        <v/>
      </c>
    </row>
    <row r="437" spans="1:15" x14ac:dyDescent="0.25">
      <c r="A437" t="str">
        <f ca="1"/>
        <v>Susur Secundi, Void Altar</v>
      </c>
      <c r="C437" s="2" t="str">
        <f t="shared" ca="1" si="25"/>
        <v/>
      </c>
      <c r="F437" s="2">
        <f t="shared" si="28"/>
        <v>0</v>
      </c>
      <c r="G437" s="2" t="str">
        <f t="shared" ca="1" si="26"/>
        <v/>
      </c>
      <c r="N437" s="2">
        <f t="shared" si="27"/>
        <v>0</v>
      </c>
      <c r="O437" s="2" t="str">
        <f>IFERROR(
 INDEX($U$2:$AX$2,
  MATCH(TRUE,
   CHOOSE({1;2;3;4;5;6;7;8;9;10;11;12;13;14;15;16;17;18;19;20;21;22;23;24;25;26;27;28;29;30;31;32},
    COUNTIFS($U$3:$U$201,$M437)&gt;0,
    COUNTIFS($V$3:$V$201,$M437)&gt;0,
    COUNTIFS($W$3:$W$201,$M437)&gt;0,
    COUNTIFS($X$3:$X$201,$M437)&gt;0,
    COUNTIFS($Y$3:$Y$201,$M437)&gt;0,
    COUNTIFS($Z$3:$Z$201,$M437)&gt;0,
    COUNTIFS($AA$3:$AA$201,$M437)&gt;0,
    COUNTIFS($AB$3:$AB$201,$M437)&gt;0,
    COUNTIFS($AC$3:$AC$201,$M437)&gt;0,
    COUNTIFS($AD$3:$AD$201,$M437)&gt;0,
    COUNTIFS($AE$3:$AE$201,$M437)&gt;0,
    COUNTIFS($AF$3:$AF$201,$M437)&gt;0,
    COUNTIFS($AG$3:$AG$201,$M437)&gt;0,
    COUNTIFS($AH$3:$AH$201,$M437)&gt;0,
    COUNTIFS($AI$3:$AI$201,$M437)&gt;0,
    COUNTIFS($AJ$3:$AJ$201,$M437)&gt;0,
    COUNTIFS($AK$3:$AK$201,$M437)&gt;0,
    COUNTIFS($AL$3:$AL$201,$M437)&gt;0,
    COUNTIFS($AM$3:$AM$201,$M437)&gt;0,
    COUNTIFS($AN$3:$AN$201,$M437)&gt;0,
    COUNTIFS($AO$3:$AO$201,$M437)&gt;0,
    COUNTIFS($AP$3:$AP$201,$M437)&gt;0,
    COUNTIFS($AQ$3:$AQ$201,$M437)&gt;0,
    COUNTIFS($AR$3:$AR$201,$M437)&gt;0,
    COUNTIFS($AS$3:$AS$201,$M437)&gt;0,
    COUNTIFS($AT$3:$AT$201,$M437)&gt;0,
    COUNTIFS($AU$3:$AU$201,$M437)&gt;0,
    COUNTIFS($AV$3:$AV$201,$M437)&gt;0,
    COUNTIFS($AW$3:$AW$201,$M437)&gt;0,
    COUNTIFS($AX$3:$AX$201,$M437)&gt;0
   ),
  0)
 ),
"")</f>
        <v/>
      </c>
    </row>
    <row r="438" spans="1:15" x14ac:dyDescent="0.25">
      <c r="A438" t="str">
        <f ca="1"/>
        <v>Swamp</v>
      </c>
      <c r="C438" s="2" t="str">
        <f t="shared" ca="1" si="25"/>
        <v>Piratas</v>
      </c>
      <c r="F438" s="2">
        <f t="shared" si="28"/>
        <v>0</v>
      </c>
      <c r="G438" s="2" t="str">
        <f t="shared" ca="1" si="26"/>
        <v/>
      </c>
      <c r="N438" s="2">
        <f t="shared" si="27"/>
        <v>0</v>
      </c>
      <c r="O438" s="2" t="str">
        <f>IFERROR(
 INDEX($U$2:$AX$2,
  MATCH(TRUE,
   CHOOSE({1;2;3;4;5;6;7;8;9;10;11;12;13;14;15;16;17;18;19;20;21;22;23;24;25;26;27;28;29;30;31;32},
    COUNTIFS($U$3:$U$201,$M438)&gt;0,
    COUNTIFS($V$3:$V$201,$M438)&gt;0,
    COUNTIFS($W$3:$W$201,$M438)&gt;0,
    COUNTIFS($X$3:$X$201,$M438)&gt;0,
    COUNTIFS($Y$3:$Y$201,$M438)&gt;0,
    COUNTIFS($Z$3:$Z$201,$M438)&gt;0,
    COUNTIFS($AA$3:$AA$201,$M438)&gt;0,
    COUNTIFS($AB$3:$AB$201,$M438)&gt;0,
    COUNTIFS($AC$3:$AC$201,$M438)&gt;0,
    COUNTIFS($AD$3:$AD$201,$M438)&gt;0,
    COUNTIFS($AE$3:$AE$201,$M438)&gt;0,
    COUNTIFS($AF$3:$AF$201,$M438)&gt;0,
    COUNTIFS($AG$3:$AG$201,$M438)&gt;0,
    COUNTIFS($AH$3:$AH$201,$M438)&gt;0,
    COUNTIFS($AI$3:$AI$201,$M438)&gt;0,
    COUNTIFS($AJ$3:$AJ$201,$M438)&gt;0,
    COUNTIFS($AK$3:$AK$201,$M438)&gt;0,
    COUNTIFS($AL$3:$AL$201,$M438)&gt;0,
    COUNTIFS($AM$3:$AM$201,$M438)&gt;0,
    COUNTIFS($AN$3:$AN$201,$M438)&gt;0,
    COUNTIFS($AO$3:$AO$201,$M438)&gt;0,
    COUNTIFS($AP$3:$AP$201,$M438)&gt;0,
    COUNTIFS($AQ$3:$AQ$201,$M438)&gt;0,
    COUNTIFS($AR$3:$AR$201,$M438)&gt;0,
    COUNTIFS($AS$3:$AS$201,$M438)&gt;0,
    COUNTIFS($AT$3:$AT$201,$M438)&gt;0,
    COUNTIFS($AU$3:$AU$201,$M438)&gt;0,
    COUNTIFS($AV$3:$AV$201,$M438)&gt;0,
    COUNTIFS($AW$3:$AW$201,$M438)&gt;0,
    COUNTIFS($AX$3:$AX$201,$M438)&gt;0
   ),
  0)
 ),
"")</f>
        <v/>
      </c>
    </row>
    <row r="439" spans="1:15" x14ac:dyDescent="0.25">
      <c r="A439" t="str">
        <f ca="1"/>
        <v>Swan Song</v>
      </c>
      <c r="C439" s="2" t="str">
        <f t="shared" ca="1" si="25"/>
        <v/>
      </c>
      <c r="F439" s="2">
        <f t="shared" si="28"/>
        <v>0</v>
      </c>
      <c r="G439" s="2" t="str">
        <f t="shared" ca="1" si="26"/>
        <v/>
      </c>
      <c r="N439" s="2">
        <f t="shared" si="27"/>
        <v>0</v>
      </c>
      <c r="O439" s="2" t="str">
        <f>IFERROR(
 INDEX($U$2:$AX$2,
  MATCH(TRUE,
   CHOOSE({1;2;3;4;5;6;7;8;9;10;11;12;13;14;15;16;17;18;19;20;21;22;23;24;25;26;27;28;29;30;31;32},
    COUNTIFS($U$3:$U$201,$M439)&gt;0,
    COUNTIFS($V$3:$V$201,$M439)&gt;0,
    COUNTIFS($W$3:$W$201,$M439)&gt;0,
    COUNTIFS($X$3:$X$201,$M439)&gt;0,
    COUNTIFS($Y$3:$Y$201,$M439)&gt;0,
    COUNTIFS($Z$3:$Z$201,$M439)&gt;0,
    COUNTIFS($AA$3:$AA$201,$M439)&gt;0,
    COUNTIFS($AB$3:$AB$201,$M439)&gt;0,
    COUNTIFS($AC$3:$AC$201,$M439)&gt;0,
    COUNTIFS($AD$3:$AD$201,$M439)&gt;0,
    COUNTIFS($AE$3:$AE$201,$M439)&gt;0,
    COUNTIFS($AF$3:$AF$201,$M439)&gt;0,
    COUNTIFS($AG$3:$AG$201,$M439)&gt;0,
    COUNTIFS($AH$3:$AH$201,$M439)&gt;0,
    COUNTIFS($AI$3:$AI$201,$M439)&gt;0,
    COUNTIFS($AJ$3:$AJ$201,$M439)&gt;0,
    COUNTIFS($AK$3:$AK$201,$M439)&gt;0,
    COUNTIFS($AL$3:$AL$201,$M439)&gt;0,
    COUNTIFS($AM$3:$AM$201,$M439)&gt;0,
    COUNTIFS($AN$3:$AN$201,$M439)&gt;0,
    COUNTIFS($AO$3:$AO$201,$M439)&gt;0,
    COUNTIFS($AP$3:$AP$201,$M439)&gt;0,
    COUNTIFS($AQ$3:$AQ$201,$M439)&gt;0,
    COUNTIFS($AR$3:$AR$201,$M439)&gt;0,
    COUNTIFS($AS$3:$AS$201,$M439)&gt;0,
    COUNTIFS($AT$3:$AT$201,$M439)&gt;0,
    COUNTIFS($AU$3:$AU$201,$M439)&gt;0,
    COUNTIFS($AV$3:$AV$201,$M439)&gt;0,
    COUNTIFS($AW$3:$AW$201,$M439)&gt;0,
    COUNTIFS($AX$3:$AX$201,$M439)&gt;0
   ),
  0)
 ),
"")</f>
        <v/>
      </c>
    </row>
    <row r="440" spans="1:15" x14ac:dyDescent="0.25">
      <c r="A440" t="str">
        <f ca="1"/>
        <v>Sword of Feast and Famine</v>
      </c>
      <c r="C440" s="2" t="str">
        <f t="shared" ca="1" si="25"/>
        <v/>
      </c>
      <c r="F440" s="2">
        <f t="shared" si="28"/>
        <v>0</v>
      </c>
      <c r="G440" s="2" t="str">
        <f t="shared" ca="1" si="26"/>
        <v/>
      </c>
      <c r="N440" s="2">
        <f t="shared" si="27"/>
        <v>0</v>
      </c>
      <c r="O440" s="2" t="str">
        <f>IFERROR(
 INDEX($U$2:$AX$2,
  MATCH(TRUE,
   CHOOSE({1;2;3;4;5;6;7;8;9;10;11;12;13;14;15;16;17;18;19;20;21;22;23;24;25;26;27;28;29;30;31;32},
    COUNTIFS($U$3:$U$201,$M440)&gt;0,
    COUNTIFS($V$3:$V$201,$M440)&gt;0,
    COUNTIFS($W$3:$W$201,$M440)&gt;0,
    COUNTIFS($X$3:$X$201,$M440)&gt;0,
    COUNTIFS($Y$3:$Y$201,$M440)&gt;0,
    COUNTIFS($Z$3:$Z$201,$M440)&gt;0,
    COUNTIFS($AA$3:$AA$201,$M440)&gt;0,
    COUNTIFS($AB$3:$AB$201,$M440)&gt;0,
    COUNTIFS($AC$3:$AC$201,$M440)&gt;0,
    COUNTIFS($AD$3:$AD$201,$M440)&gt;0,
    COUNTIFS($AE$3:$AE$201,$M440)&gt;0,
    COUNTIFS($AF$3:$AF$201,$M440)&gt;0,
    COUNTIFS($AG$3:$AG$201,$M440)&gt;0,
    COUNTIFS($AH$3:$AH$201,$M440)&gt;0,
    COUNTIFS($AI$3:$AI$201,$M440)&gt;0,
    COUNTIFS($AJ$3:$AJ$201,$M440)&gt;0,
    COUNTIFS($AK$3:$AK$201,$M440)&gt;0,
    COUNTIFS($AL$3:$AL$201,$M440)&gt;0,
    COUNTIFS($AM$3:$AM$201,$M440)&gt;0,
    COUNTIFS($AN$3:$AN$201,$M440)&gt;0,
    COUNTIFS($AO$3:$AO$201,$M440)&gt;0,
    COUNTIFS($AP$3:$AP$201,$M440)&gt;0,
    COUNTIFS($AQ$3:$AQ$201,$M440)&gt;0,
    COUNTIFS($AR$3:$AR$201,$M440)&gt;0,
    COUNTIFS($AS$3:$AS$201,$M440)&gt;0,
    COUNTIFS($AT$3:$AT$201,$M440)&gt;0,
    COUNTIFS($AU$3:$AU$201,$M440)&gt;0,
    COUNTIFS($AV$3:$AV$201,$M440)&gt;0,
    COUNTIFS($AW$3:$AW$201,$M440)&gt;0,
    COUNTIFS($AX$3:$AX$201,$M440)&gt;0
   ),
  0)
 ),
"")</f>
        <v/>
      </c>
    </row>
    <row r="441" spans="1:15" x14ac:dyDescent="0.25">
      <c r="A441" t="str">
        <f ca="1"/>
        <v>Sword of Fire and Ice</v>
      </c>
      <c r="C441" s="2" t="str">
        <f t="shared" ca="1" si="25"/>
        <v/>
      </c>
      <c r="F441" s="2">
        <f t="shared" si="28"/>
        <v>0</v>
      </c>
      <c r="G441" s="2" t="str">
        <f t="shared" ca="1" si="26"/>
        <v/>
      </c>
      <c r="N441" s="2">
        <f t="shared" si="27"/>
        <v>0</v>
      </c>
      <c r="O441" s="2" t="str">
        <f>IFERROR(
 INDEX($U$2:$AX$2,
  MATCH(TRUE,
   CHOOSE({1;2;3;4;5;6;7;8;9;10;11;12;13;14;15;16;17;18;19;20;21;22;23;24;25;26;27;28;29;30;31;32},
    COUNTIFS($U$3:$U$201,$M441)&gt;0,
    COUNTIFS($V$3:$V$201,$M441)&gt;0,
    COUNTIFS($W$3:$W$201,$M441)&gt;0,
    COUNTIFS($X$3:$X$201,$M441)&gt;0,
    COUNTIFS($Y$3:$Y$201,$M441)&gt;0,
    COUNTIFS($Z$3:$Z$201,$M441)&gt;0,
    COUNTIFS($AA$3:$AA$201,$M441)&gt;0,
    COUNTIFS($AB$3:$AB$201,$M441)&gt;0,
    COUNTIFS($AC$3:$AC$201,$M441)&gt;0,
    COUNTIFS($AD$3:$AD$201,$M441)&gt;0,
    COUNTIFS($AE$3:$AE$201,$M441)&gt;0,
    COUNTIFS($AF$3:$AF$201,$M441)&gt;0,
    COUNTIFS($AG$3:$AG$201,$M441)&gt;0,
    COUNTIFS($AH$3:$AH$201,$M441)&gt;0,
    COUNTIFS($AI$3:$AI$201,$M441)&gt;0,
    COUNTIFS($AJ$3:$AJ$201,$M441)&gt;0,
    COUNTIFS($AK$3:$AK$201,$M441)&gt;0,
    COUNTIFS($AL$3:$AL$201,$M441)&gt;0,
    COUNTIFS($AM$3:$AM$201,$M441)&gt;0,
    COUNTIFS($AN$3:$AN$201,$M441)&gt;0,
    COUNTIFS($AO$3:$AO$201,$M441)&gt;0,
    COUNTIFS($AP$3:$AP$201,$M441)&gt;0,
    COUNTIFS($AQ$3:$AQ$201,$M441)&gt;0,
    COUNTIFS($AR$3:$AR$201,$M441)&gt;0,
    COUNTIFS($AS$3:$AS$201,$M441)&gt;0,
    COUNTIFS($AT$3:$AT$201,$M441)&gt;0,
    COUNTIFS($AU$3:$AU$201,$M441)&gt;0,
    COUNTIFS($AV$3:$AV$201,$M441)&gt;0,
    COUNTIFS($AW$3:$AW$201,$M441)&gt;0,
    COUNTIFS($AX$3:$AX$201,$M441)&gt;0
   ),
  0)
 ),
"")</f>
        <v/>
      </c>
    </row>
    <row r="442" spans="1:15" x14ac:dyDescent="0.25">
      <c r="A442" t="str">
        <f ca="1"/>
        <v>Sword of Light and Shadow</v>
      </c>
      <c r="C442" s="2" t="str">
        <f t="shared" ca="1" si="25"/>
        <v/>
      </c>
      <c r="F442" s="2">
        <f t="shared" si="28"/>
        <v>0</v>
      </c>
      <c r="G442" s="2" t="str">
        <f t="shared" ca="1" si="26"/>
        <v/>
      </c>
      <c r="N442" s="2">
        <f t="shared" si="27"/>
        <v>0</v>
      </c>
      <c r="O442" s="2" t="str">
        <f>IFERROR(
 INDEX($U$2:$AX$2,
  MATCH(TRUE,
   CHOOSE({1;2;3;4;5;6;7;8;9;10;11;12;13;14;15;16;17;18;19;20;21;22;23;24;25;26;27;28;29;30;31;32},
    COUNTIFS($U$3:$U$201,$M442)&gt;0,
    COUNTIFS($V$3:$V$201,$M442)&gt;0,
    COUNTIFS($W$3:$W$201,$M442)&gt;0,
    COUNTIFS($X$3:$X$201,$M442)&gt;0,
    COUNTIFS($Y$3:$Y$201,$M442)&gt;0,
    COUNTIFS($Z$3:$Z$201,$M442)&gt;0,
    COUNTIFS($AA$3:$AA$201,$M442)&gt;0,
    COUNTIFS($AB$3:$AB$201,$M442)&gt;0,
    COUNTIFS($AC$3:$AC$201,$M442)&gt;0,
    COUNTIFS($AD$3:$AD$201,$M442)&gt;0,
    COUNTIFS($AE$3:$AE$201,$M442)&gt;0,
    COUNTIFS($AF$3:$AF$201,$M442)&gt;0,
    COUNTIFS($AG$3:$AG$201,$M442)&gt;0,
    COUNTIFS($AH$3:$AH$201,$M442)&gt;0,
    COUNTIFS($AI$3:$AI$201,$M442)&gt;0,
    COUNTIFS($AJ$3:$AJ$201,$M442)&gt;0,
    COUNTIFS($AK$3:$AK$201,$M442)&gt;0,
    COUNTIFS($AL$3:$AL$201,$M442)&gt;0,
    COUNTIFS($AM$3:$AM$201,$M442)&gt;0,
    COUNTIFS($AN$3:$AN$201,$M442)&gt;0,
    COUNTIFS($AO$3:$AO$201,$M442)&gt;0,
    COUNTIFS($AP$3:$AP$201,$M442)&gt;0,
    COUNTIFS($AQ$3:$AQ$201,$M442)&gt;0,
    COUNTIFS($AR$3:$AR$201,$M442)&gt;0,
    COUNTIFS($AS$3:$AS$201,$M442)&gt;0,
    COUNTIFS($AT$3:$AT$201,$M442)&gt;0,
    COUNTIFS($AU$3:$AU$201,$M442)&gt;0,
    COUNTIFS($AV$3:$AV$201,$M442)&gt;0,
    COUNTIFS($AW$3:$AW$201,$M442)&gt;0,
    COUNTIFS($AX$3:$AX$201,$M442)&gt;0
   ),
  0)
 ),
"")</f>
        <v/>
      </c>
    </row>
    <row r="443" spans="1:15" x14ac:dyDescent="0.25">
      <c r="A443" t="str">
        <f ca="1"/>
        <v>Sword of Truth and Justice</v>
      </c>
      <c r="C443" s="2" t="str">
        <f t="shared" ca="1" si="25"/>
        <v/>
      </c>
      <c r="F443" s="2">
        <f t="shared" si="28"/>
        <v>0</v>
      </c>
      <c r="G443" s="2" t="str">
        <f t="shared" ca="1" si="26"/>
        <v/>
      </c>
      <c r="N443" s="2">
        <f t="shared" si="27"/>
        <v>0</v>
      </c>
      <c r="O443" s="2" t="str">
        <f>IFERROR(
 INDEX($U$2:$AX$2,
  MATCH(TRUE,
   CHOOSE({1;2;3;4;5;6;7;8;9;10;11;12;13;14;15;16;17;18;19;20;21;22;23;24;25;26;27;28;29;30;31;32},
    COUNTIFS($U$3:$U$201,$M443)&gt;0,
    COUNTIFS($V$3:$V$201,$M443)&gt;0,
    COUNTIFS($W$3:$W$201,$M443)&gt;0,
    COUNTIFS($X$3:$X$201,$M443)&gt;0,
    COUNTIFS($Y$3:$Y$201,$M443)&gt;0,
    COUNTIFS($Z$3:$Z$201,$M443)&gt;0,
    COUNTIFS($AA$3:$AA$201,$M443)&gt;0,
    COUNTIFS($AB$3:$AB$201,$M443)&gt;0,
    COUNTIFS($AC$3:$AC$201,$M443)&gt;0,
    COUNTIFS($AD$3:$AD$201,$M443)&gt;0,
    COUNTIFS($AE$3:$AE$201,$M443)&gt;0,
    COUNTIFS($AF$3:$AF$201,$M443)&gt;0,
    COUNTIFS($AG$3:$AG$201,$M443)&gt;0,
    COUNTIFS($AH$3:$AH$201,$M443)&gt;0,
    COUNTIFS($AI$3:$AI$201,$M443)&gt;0,
    COUNTIFS($AJ$3:$AJ$201,$M443)&gt;0,
    COUNTIFS($AK$3:$AK$201,$M443)&gt;0,
    COUNTIFS($AL$3:$AL$201,$M443)&gt;0,
    COUNTIFS($AM$3:$AM$201,$M443)&gt;0,
    COUNTIFS($AN$3:$AN$201,$M443)&gt;0,
    COUNTIFS($AO$3:$AO$201,$M443)&gt;0,
    COUNTIFS($AP$3:$AP$201,$M443)&gt;0,
    COUNTIFS($AQ$3:$AQ$201,$M443)&gt;0,
    COUNTIFS($AR$3:$AR$201,$M443)&gt;0,
    COUNTIFS($AS$3:$AS$201,$M443)&gt;0,
    COUNTIFS($AT$3:$AT$201,$M443)&gt;0,
    COUNTIFS($AU$3:$AU$201,$M443)&gt;0,
    COUNTIFS($AV$3:$AV$201,$M443)&gt;0,
    COUNTIFS($AW$3:$AW$201,$M443)&gt;0,
    COUNTIFS($AX$3:$AX$201,$M443)&gt;0
   ),
  0)
 ),
"")</f>
        <v/>
      </c>
    </row>
    <row r="444" spans="1:15" x14ac:dyDescent="0.25">
      <c r="A444" t="str">
        <f ca="1"/>
        <v>Sword of Wealth and Power</v>
      </c>
      <c r="C444" s="2" t="str">
        <f t="shared" ca="1" si="25"/>
        <v/>
      </c>
      <c r="F444" s="2">
        <f t="shared" si="28"/>
        <v>0</v>
      </c>
      <c r="G444" s="2" t="str">
        <f t="shared" ca="1" si="26"/>
        <v/>
      </c>
      <c r="N444" s="2">
        <f t="shared" si="27"/>
        <v>0</v>
      </c>
      <c r="O444" s="2" t="str">
        <f>IFERROR(
 INDEX($U$2:$AX$2,
  MATCH(TRUE,
   CHOOSE({1;2;3;4;5;6;7;8;9;10;11;12;13;14;15;16;17;18;19;20;21;22;23;24;25;26;27;28;29;30;31;32},
    COUNTIFS($U$3:$U$201,$M444)&gt;0,
    COUNTIFS($V$3:$V$201,$M444)&gt;0,
    COUNTIFS($W$3:$W$201,$M444)&gt;0,
    COUNTIFS($X$3:$X$201,$M444)&gt;0,
    COUNTIFS($Y$3:$Y$201,$M444)&gt;0,
    COUNTIFS($Z$3:$Z$201,$M444)&gt;0,
    COUNTIFS($AA$3:$AA$201,$M444)&gt;0,
    COUNTIFS($AB$3:$AB$201,$M444)&gt;0,
    COUNTIFS($AC$3:$AC$201,$M444)&gt;0,
    COUNTIFS($AD$3:$AD$201,$M444)&gt;0,
    COUNTIFS($AE$3:$AE$201,$M444)&gt;0,
    COUNTIFS($AF$3:$AF$201,$M444)&gt;0,
    COUNTIFS($AG$3:$AG$201,$M444)&gt;0,
    COUNTIFS($AH$3:$AH$201,$M444)&gt;0,
    COUNTIFS($AI$3:$AI$201,$M444)&gt;0,
    COUNTIFS($AJ$3:$AJ$201,$M444)&gt;0,
    COUNTIFS($AK$3:$AK$201,$M444)&gt;0,
    COUNTIFS($AL$3:$AL$201,$M444)&gt;0,
    COUNTIFS($AM$3:$AM$201,$M444)&gt;0,
    COUNTIFS($AN$3:$AN$201,$M444)&gt;0,
    COUNTIFS($AO$3:$AO$201,$M444)&gt;0,
    COUNTIFS($AP$3:$AP$201,$M444)&gt;0,
    COUNTIFS($AQ$3:$AQ$201,$M444)&gt;0,
    COUNTIFS($AR$3:$AR$201,$M444)&gt;0,
    COUNTIFS($AS$3:$AS$201,$M444)&gt;0,
    COUNTIFS($AT$3:$AT$201,$M444)&gt;0,
    COUNTIFS($AU$3:$AU$201,$M444)&gt;0,
    COUNTIFS($AV$3:$AV$201,$M444)&gt;0,
    COUNTIFS($AW$3:$AW$201,$M444)&gt;0,
    COUNTIFS($AX$3:$AX$201,$M444)&gt;0
   ),
  0)
 ),
"")</f>
        <v/>
      </c>
    </row>
    <row r="445" spans="1:15" x14ac:dyDescent="0.25">
      <c r="A445" t="str">
        <f ca="1"/>
        <v>Swords to Plowshares</v>
      </c>
      <c r="C445" s="2" t="str">
        <f t="shared" ca="1" si="25"/>
        <v/>
      </c>
      <c r="F445" s="2">
        <f t="shared" si="28"/>
        <v>0</v>
      </c>
      <c r="G445" s="2" t="str">
        <f t="shared" ca="1" si="26"/>
        <v/>
      </c>
      <c r="N445" s="2">
        <f t="shared" si="27"/>
        <v>0</v>
      </c>
      <c r="O445" s="2" t="str">
        <f>IFERROR(
 INDEX($U$2:$AX$2,
  MATCH(TRUE,
   CHOOSE({1;2;3;4;5;6;7;8;9;10;11;12;13;14;15;16;17;18;19;20;21;22;23;24;25;26;27;28;29;30;31;32},
    COUNTIFS($U$3:$U$201,$M445)&gt;0,
    COUNTIFS($V$3:$V$201,$M445)&gt;0,
    COUNTIFS($W$3:$W$201,$M445)&gt;0,
    COUNTIFS($X$3:$X$201,$M445)&gt;0,
    COUNTIFS($Y$3:$Y$201,$M445)&gt;0,
    COUNTIFS($Z$3:$Z$201,$M445)&gt;0,
    COUNTIFS($AA$3:$AA$201,$M445)&gt;0,
    COUNTIFS($AB$3:$AB$201,$M445)&gt;0,
    COUNTIFS($AC$3:$AC$201,$M445)&gt;0,
    COUNTIFS($AD$3:$AD$201,$M445)&gt;0,
    COUNTIFS($AE$3:$AE$201,$M445)&gt;0,
    COUNTIFS($AF$3:$AF$201,$M445)&gt;0,
    COUNTIFS($AG$3:$AG$201,$M445)&gt;0,
    COUNTIFS($AH$3:$AH$201,$M445)&gt;0,
    COUNTIFS($AI$3:$AI$201,$M445)&gt;0,
    COUNTIFS($AJ$3:$AJ$201,$M445)&gt;0,
    COUNTIFS($AK$3:$AK$201,$M445)&gt;0,
    COUNTIFS($AL$3:$AL$201,$M445)&gt;0,
    COUNTIFS($AM$3:$AM$201,$M445)&gt;0,
    COUNTIFS($AN$3:$AN$201,$M445)&gt;0,
    COUNTIFS($AO$3:$AO$201,$M445)&gt;0,
    COUNTIFS($AP$3:$AP$201,$M445)&gt;0,
    COUNTIFS($AQ$3:$AQ$201,$M445)&gt;0,
    COUNTIFS($AR$3:$AR$201,$M445)&gt;0,
    COUNTIFS($AS$3:$AS$201,$M445)&gt;0,
    COUNTIFS($AT$3:$AT$201,$M445)&gt;0,
    COUNTIFS($AU$3:$AU$201,$M445)&gt;0,
    COUNTIFS($AV$3:$AV$201,$M445)&gt;0,
    COUNTIFS($AW$3:$AW$201,$M445)&gt;0,
    COUNTIFS($AX$3:$AX$201,$M445)&gt;0
   ),
  0)
 ),
"")</f>
        <v/>
      </c>
    </row>
    <row r="446" spans="1:15" x14ac:dyDescent="0.25">
      <c r="A446" t="str">
        <f ca="1"/>
        <v>Synapse Sliver</v>
      </c>
      <c r="C446" s="2" t="str">
        <f t="shared" ca="1" si="25"/>
        <v/>
      </c>
      <c r="F446" s="2">
        <f t="shared" si="28"/>
        <v>0</v>
      </c>
      <c r="G446" s="2" t="str">
        <f t="shared" ca="1" si="26"/>
        <v/>
      </c>
      <c r="N446" s="2">
        <f t="shared" si="27"/>
        <v>0</v>
      </c>
      <c r="O446" s="2" t="str">
        <f>IFERROR(
 INDEX($U$2:$AX$2,
  MATCH(TRUE,
   CHOOSE({1;2;3;4;5;6;7;8;9;10;11;12;13;14;15;16;17;18;19;20;21;22;23;24;25;26;27;28;29;30;31;32},
    COUNTIFS($U$3:$U$201,$M446)&gt;0,
    COUNTIFS($V$3:$V$201,$M446)&gt;0,
    COUNTIFS($W$3:$W$201,$M446)&gt;0,
    COUNTIFS($X$3:$X$201,$M446)&gt;0,
    COUNTIFS($Y$3:$Y$201,$M446)&gt;0,
    COUNTIFS($Z$3:$Z$201,$M446)&gt;0,
    COUNTIFS($AA$3:$AA$201,$M446)&gt;0,
    COUNTIFS($AB$3:$AB$201,$M446)&gt;0,
    COUNTIFS($AC$3:$AC$201,$M446)&gt;0,
    COUNTIFS($AD$3:$AD$201,$M446)&gt;0,
    COUNTIFS($AE$3:$AE$201,$M446)&gt;0,
    COUNTIFS($AF$3:$AF$201,$M446)&gt;0,
    COUNTIFS($AG$3:$AG$201,$M446)&gt;0,
    COUNTIFS($AH$3:$AH$201,$M446)&gt;0,
    COUNTIFS($AI$3:$AI$201,$M446)&gt;0,
    COUNTIFS($AJ$3:$AJ$201,$M446)&gt;0,
    COUNTIFS($AK$3:$AK$201,$M446)&gt;0,
    COUNTIFS($AL$3:$AL$201,$M446)&gt;0,
    COUNTIFS($AM$3:$AM$201,$M446)&gt;0,
    COUNTIFS($AN$3:$AN$201,$M446)&gt;0,
    COUNTIFS($AO$3:$AO$201,$M446)&gt;0,
    COUNTIFS($AP$3:$AP$201,$M446)&gt;0,
    COUNTIFS($AQ$3:$AQ$201,$M446)&gt;0,
    COUNTIFS($AR$3:$AR$201,$M446)&gt;0,
    COUNTIFS($AS$3:$AS$201,$M446)&gt;0,
    COUNTIFS($AT$3:$AT$201,$M446)&gt;0,
    COUNTIFS($AU$3:$AU$201,$M446)&gt;0,
    COUNTIFS($AV$3:$AV$201,$M446)&gt;0,
    COUNTIFS($AW$3:$AW$201,$M446)&gt;0,
    COUNTIFS($AX$3:$AX$201,$M446)&gt;0
   ),
  0)
 ),
"")</f>
        <v/>
      </c>
    </row>
    <row r="447" spans="1:15" x14ac:dyDescent="0.25">
      <c r="A447" t="str">
        <f ca="1"/>
        <v>Syphon Sliver</v>
      </c>
      <c r="C447" s="2" t="str">
        <f t="shared" ca="1" si="25"/>
        <v/>
      </c>
      <c r="F447" s="2">
        <f t="shared" si="28"/>
        <v>0</v>
      </c>
      <c r="G447" s="2" t="str">
        <f t="shared" ca="1" si="26"/>
        <v/>
      </c>
      <c r="N447" s="2">
        <f t="shared" si="27"/>
        <v>0</v>
      </c>
      <c r="O447" s="2" t="str">
        <f>IFERROR(
 INDEX($U$2:$AX$2,
  MATCH(TRUE,
   CHOOSE({1;2;3;4;5;6;7;8;9;10;11;12;13;14;15;16;17;18;19;20;21;22;23;24;25;26;27;28;29;30;31;32},
    COUNTIFS($U$3:$U$201,$M447)&gt;0,
    COUNTIFS($V$3:$V$201,$M447)&gt;0,
    COUNTIFS($W$3:$W$201,$M447)&gt;0,
    COUNTIFS($X$3:$X$201,$M447)&gt;0,
    COUNTIFS($Y$3:$Y$201,$M447)&gt;0,
    COUNTIFS($Z$3:$Z$201,$M447)&gt;0,
    COUNTIFS($AA$3:$AA$201,$M447)&gt;0,
    COUNTIFS($AB$3:$AB$201,$M447)&gt;0,
    COUNTIFS($AC$3:$AC$201,$M447)&gt;0,
    COUNTIFS($AD$3:$AD$201,$M447)&gt;0,
    COUNTIFS($AE$3:$AE$201,$M447)&gt;0,
    COUNTIFS($AF$3:$AF$201,$M447)&gt;0,
    COUNTIFS($AG$3:$AG$201,$M447)&gt;0,
    COUNTIFS($AH$3:$AH$201,$M447)&gt;0,
    COUNTIFS($AI$3:$AI$201,$M447)&gt;0,
    COUNTIFS($AJ$3:$AJ$201,$M447)&gt;0,
    COUNTIFS($AK$3:$AK$201,$M447)&gt;0,
    COUNTIFS($AL$3:$AL$201,$M447)&gt;0,
    COUNTIFS($AM$3:$AM$201,$M447)&gt;0,
    COUNTIFS($AN$3:$AN$201,$M447)&gt;0,
    COUNTIFS($AO$3:$AO$201,$M447)&gt;0,
    COUNTIFS($AP$3:$AP$201,$M447)&gt;0,
    COUNTIFS($AQ$3:$AQ$201,$M447)&gt;0,
    COUNTIFS($AR$3:$AR$201,$M447)&gt;0,
    COUNTIFS($AS$3:$AS$201,$M447)&gt;0,
    COUNTIFS($AT$3:$AT$201,$M447)&gt;0,
    COUNTIFS($AU$3:$AU$201,$M447)&gt;0,
    COUNTIFS($AV$3:$AV$201,$M447)&gt;0,
    COUNTIFS($AW$3:$AW$201,$M447)&gt;0,
    COUNTIFS($AX$3:$AX$201,$M447)&gt;0
   ),
  0)
 ),
"")</f>
        <v/>
      </c>
    </row>
    <row r="448" spans="1:15" x14ac:dyDescent="0.25">
      <c r="A448" t="str">
        <f ca="1"/>
        <v>Tainted Field</v>
      </c>
      <c r="C448" s="2" t="str">
        <f t="shared" ca="1" si="25"/>
        <v/>
      </c>
      <c r="F448" s="2">
        <f t="shared" si="28"/>
        <v>0</v>
      </c>
      <c r="G448" s="2" t="str">
        <f t="shared" ca="1" si="26"/>
        <v/>
      </c>
      <c r="N448" s="2">
        <f t="shared" si="27"/>
        <v>0</v>
      </c>
      <c r="O448" s="2" t="str">
        <f>IFERROR(
 INDEX($U$2:$AX$2,
  MATCH(TRUE,
   CHOOSE({1;2;3;4;5;6;7;8;9;10;11;12;13;14;15;16;17;18;19;20;21;22;23;24;25;26;27;28;29;30;31;32},
    COUNTIFS($U$3:$U$201,$M448)&gt;0,
    COUNTIFS($V$3:$V$201,$M448)&gt;0,
    COUNTIFS($W$3:$W$201,$M448)&gt;0,
    COUNTIFS($X$3:$X$201,$M448)&gt;0,
    COUNTIFS($Y$3:$Y$201,$M448)&gt;0,
    COUNTIFS($Z$3:$Z$201,$M448)&gt;0,
    COUNTIFS($AA$3:$AA$201,$M448)&gt;0,
    COUNTIFS($AB$3:$AB$201,$M448)&gt;0,
    COUNTIFS($AC$3:$AC$201,$M448)&gt;0,
    COUNTIFS($AD$3:$AD$201,$M448)&gt;0,
    COUNTIFS($AE$3:$AE$201,$M448)&gt;0,
    COUNTIFS($AF$3:$AF$201,$M448)&gt;0,
    COUNTIFS($AG$3:$AG$201,$M448)&gt;0,
    COUNTIFS($AH$3:$AH$201,$M448)&gt;0,
    COUNTIFS($AI$3:$AI$201,$M448)&gt;0,
    COUNTIFS($AJ$3:$AJ$201,$M448)&gt;0,
    COUNTIFS($AK$3:$AK$201,$M448)&gt;0,
    COUNTIFS($AL$3:$AL$201,$M448)&gt;0,
    COUNTIFS($AM$3:$AM$201,$M448)&gt;0,
    COUNTIFS($AN$3:$AN$201,$M448)&gt;0,
    COUNTIFS($AO$3:$AO$201,$M448)&gt;0,
    COUNTIFS($AP$3:$AP$201,$M448)&gt;0,
    COUNTIFS($AQ$3:$AQ$201,$M448)&gt;0,
    COUNTIFS($AR$3:$AR$201,$M448)&gt;0,
    COUNTIFS($AS$3:$AS$201,$M448)&gt;0,
    COUNTIFS($AT$3:$AT$201,$M448)&gt;0,
    COUNTIFS($AU$3:$AU$201,$M448)&gt;0,
    COUNTIFS($AV$3:$AV$201,$M448)&gt;0,
    COUNTIFS($AW$3:$AW$201,$M448)&gt;0,
    COUNTIFS($AX$3:$AX$201,$M448)&gt;0
   ),
  0)
 ),
"")</f>
        <v/>
      </c>
    </row>
    <row r="449" spans="1:15" x14ac:dyDescent="0.25">
      <c r="A449" t="str">
        <f ca="1"/>
        <v>Takenuma, Abandoned Mire</v>
      </c>
      <c r="C449" s="2" t="str">
        <f t="shared" ca="1" si="25"/>
        <v/>
      </c>
      <c r="F449" s="2">
        <f t="shared" si="28"/>
        <v>0</v>
      </c>
      <c r="G449" s="2" t="str">
        <f t="shared" ca="1" si="26"/>
        <v/>
      </c>
      <c r="N449" s="2">
        <f t="shared" si="27"/>
        <v>0</v>
      </c>
      <c r="O449" s="2" t="str">
        <f>IFERROR(
 INDEX($U$2:$AX$2,
  MATCH(TRUE,
   CHOOSE({1;2;3;4;5;6;7;8;9;10;11;12;13;14;15;16;17;18;19;20;21;22;23;24;25;26;27;28;29;30;31;32},
    COUNTIFS($U$3:$U$201,$M449)&gt;0,
    COUNTIFS($V$3:$V$201,$M449)&gt;0,
    COUNTIFS($W$3:$W$201,$M449)&gt;0,
    COUNTIFS($X$3:$X$201,$M449)&gt;0,
    COUNTIFS($Y$3:$Y$201,$M449)&gt;0,
    COUNTIFS($Z$3:$Z$201,$M449)&gt;0,
    COUNTIFS($AA$3:$AA$201,$M449)&gt;0,
    COUNTIFS($AB$3:$AB$201,$M449)&gt;0,
    COUNTIFS($AC$3:$AC$201,$M449)&gt;0,
    COUNTIFS($AD$3:$AD$201,$M449)&gt;0,
    COUNTIFS($AE$3:$AE$201,$M449)&gt;0,
    COUNTIFS($AF$3:$AF$201,$M449)&gt;0,
    COUNTIFS($AG$3:$AG$201,$M449)&gt;0,
    COUNTIFS($AH$3:$AH$201,$M449)&gt;0,
    COUNTIFS($AI$3:$AI$201,$M449)&gt;0,
    COUNTIFS($AJ$3:$AJ$201,$M449)&gt;0,
    COUNTIFS($AK$3:$AK$201,$M449)&gt;0,
    COUNTIFS($AL$3:$AL$201,$M449)&gt;0,
    COUNTIFS($AM$3:$AM$201,$M449)&gt;0,
    COUNTIFS($AN$3:$AN$201,$M449)&gt;0,
    COUNTIFS($AO$3:$AO$201,$M449)&gt;0,
    COUNTIFS($AP$3:$AP$201,$M449)&gt;0,
    COUNTIFS($AQ$3:$AQ$201,$M449)&gt;0,
    COUNTIFS($AR$3:$AR$201,$M449)&gt;0,
    COUNTIFS($AS$3:$AS$201,$M449)&gt;0,
    COUNTIFS($AT$3:$AT$201,$M449)&gt;0,
    COUNTIFS($AU$3:$AU$201,$M449)&gt;0,
    COUNTIFS($AV$3:$AV$201,$M449)&gt;0,
    COUNTIFS($AW$3:$AW$201,$M449)&gt;0,
    COUNTIFS($AX$3:$AX$201,$M449)&gt;0
   ),
  0)
 ),
"")</f>
        <v/>
      </c>
    </row>
    <row r="450" spans="1:15" x14ac:dyDescent="0.25">
      <c r="A450" t="str">
        <f ca="1"/>
        <v>Tale of Katara and Toph</v>
      </c>
      <c r="C450" s="2" t="str">
        <f t="shared" ca="1" si="25"/>
        <v/>
      </c>
      <c r="F450" s="2">
        <f t="shared" si="28"/>
        <v>0</v>
      </c>
      <c r="G450" s="2" t="str">
        <f t="shared" ca="1" si="26"/>
        <v/>
      </c>
      <c r="N450" s="2">
        <f t="shared" si="27"/>
        <v>0</v>
      </c>
      <c r="O450" s="2" t="str">
        <f>IFERROR(
 INDEX($U$2:$AX$2,
  MATCH(TRUE,
   CHOOSE({1;2;3;4;5;6;7;8;9;10;11;12;13;14;15;16;17;18;19;20;21;22;23;24;25;26;27;28;29;30;31;32},
    COUNTIFS($U$3:$U$201,$M450)&gt;0,
    COUNTIFS($V$3:$V$201,$M450)&gt;0,
    COUNTIFS($W$3:$W$201,$M450)&gt;0,
    COUNTIFS($X$3:$X$201,$M450)&gt;0,
    COUNTIFS($Y$3:$Y$201,$M450)&gt;0,
    COUNTIFS($Z$3:$Z$201,$M450)&gt;0,
    COUNTIFS($AA$3:$AA$201,$M450)&gt;0,
    COUNTIFS($AB$3:$AB$201,$M450)&gt;0,
    COUNTIFS($AC$3:$AC$201,$M450)&gt;0,
    COUNTIFS($AD$3:$AD$201,$M450)&gt;0,
    COUNTIFS($AE$3:$AE$201,$M450)&gt;0,
    COUNTIFS($AF$3:$AF$201,$M450)&gt;0,
    COUNTIFS($AG$3:$AG$201,$M450)&gt;0,
    COUNTIFS($AH$3:$AH$201,$M450)&gt;0,
    COUNTIFS($AI$3:$AI$201,$M450)&gt;0,
    COUNTIFS($AJ$3:$AJ$201,$M450)&gt;0,
    COUNTIFS($AK$3:$AK$201,$M450)&gt;0,
    COUNTIFS($AL$3:$AL$201,$M450)&gt;0,
    COUNTIFS($AM$3:$AM$201,$M450)&gt;0,
    COUNTIFS($AN$3:$AN$201,$M450)&gt;0,
    COUNTIFS($AO$3:$AO$201,$M450)&gt;0,
    COUNTIFS($AP$3:$AP$201,$M450)&gt;0,
    COUNTIFS($AQ$3:$AQ$201,$M450)&gt;0,
    COUNTIFS($AR$3:$AR$201,$M450)&gt;0,
    COUNTIFS($AS$3:$AS$201,$M450)&gt;0,
    COUNTIFS($AT$3:$AT$201,$M450)&gt;0,
    COUNTIFS($AU$3:$AU$201,$M450)&gt;0,
    COUNTIFS($AV$3:$AV$201,$M450)&gt;0,
    COUNTIFS($AW$3:$AW$201,$M450)&gt;0,
    COUNTIFS($AX$3:$AX$201,$M450)&gt;0
   ),
  0)
 ),
"")</f>
        <v/>
      </c>
    </row>
    <row r="451" spans="1:15" x14ac:dyDescent="0.25">
      <c r="A451" t="str">
        <f ca="1"/>
        <v>Tana, the Bloodsower</v>
      </c>
      <c r="C451" s="2" t="str">
        <f t="shared" ref="C451:C500" ca="1" si="29">IFERROR(_xlfn.XLOOKUP($A451,$E:$E,$G:$G),"")</f>
        <v/>
      </c>
      <c r="F451" s="2">
        <f t="shared" si="28"/>
        <v>0</v>
      </c>
      <c r="G451" s="2" t="str">
        <f t="shared" ref="G451:G514" ca="1" si="30">_xlfn.XLOOKUP($E451,$M:$M,$O:$O,"Guardado")</f>
        <v/>
      </c>
      <c r="N451" s="2">
        <f t="shared" ref="N451:N452" si="31">COUNTIF(U:AX,M451)</f>
        <v>0</v>
      </c>
      <c r="O451" s="2" t="str">
        <f>IFERROR(
 INDEX($U$2:$AX$2,
  MATCH(TRUE,
   CHOOSE({1;2;3;4;5;6;7;8;9;10;11;12;13;14;15;16;17;18;19;20;21;22;23;24;25;26;27;28;29;30;31;32},
    COUNTIFS($U$3:$U$201,$M451)&gt;0,
    COUNTIFS($V$3:$V$201,$M451)&gt;0,
    COUNTIFS($W$3:$W$201,$M451)&gt;0,
    COUNTIFS($X$3:$X$201,$M451)&gt;0,
    COUNTIFS($Y$3:$Y$201,$M451)&gt;0,
    COUNTIFS($Z$3:$Z$201,$M451)&gt;0,
    COUNTIFS($AA$3:$AA$201,$M451)&gt;0,
    COUNTIFS($AB$3:$AB$201,$M451)&gt;0,
    COUNTIFS($AC$3:$AC$201,$M451)&gt;0,
    COUNTIFS($AD$3:$AD$201,$M451)&gt;0,
    COUNTIFS($AE$3:$AE$201,$M451)&gt;0,
    COUNTIFS($AF$3:$AF$201,$M451)&gt;0,
    COUNTIFS($AG$3:$AG$201,$M451)&gt;0,
    COUNTIFS($AH$3:$AH$201,$M451)&gt;0,
    COUNTIFS($AI$3:$AI$201,$M451)&gt;0,
    COUNTIFS($AJ$3:$AJ$201,$M451)&gt;0,
    COUNTIFS($AK$3:$AK$201,$M451)&gt;0,
    COUNTIFS($AL$3:$AL$201,$M451)&gt;0,
    COUNTIFS($AM$3:$AM$201,$M451)&gt;0,
    COUNTIFS($AN$3:$AN$201,$M451)&gt;0,
    COUNTIFS($AO$3:$AO$201,$M451)&gt;0,
    COUNTIFS($AP$3:$AP$201,$M451)&gt;0,
    COUNTIFS($AQ$3:$AQ$201,$M451)&gt;0,
    COUNTIFS($AR$3:$AR$201,$M451)&gt;0,
    COUNTIFS($AS$3:$AS$201,$M451)&gt;0,
    COUNTIFS($AT$3:$AT$201,$M451)&gt;0,
    COUNTIFS($AU$3:$AU$201,$M451)&gt;0,
    COUNTIFS($AV$3:$AV$201,$M451)&gt;0,
    COUNTIFS($AW$3:$AW$201,$M451)&gt;0,
    COUNTIFS($AX$3:$AX$201,$M451)&gt;0
   ),
  0)
 ),
"")</f>
        <v/>
      </c>
    </row>
    <row r="452" spans="1:15" x14ac:dyDescent="0.25">
      <c r="A452" t="str">
        <f ca="1"/>
        <v>Tarrian's Journal</v>
      </c>
      <c r="C452" s="2" t="str">
        <f t="shared" ca="1" si="29"/>
        <v/>
      </c>
      <c r="F452" s="2">
        <f t="shared" si="28"/>
        <v>0</v>
      </c>
      <c r="G452" s="2" t="str">
        <f t="shared" ca="1" si="30"/>
        <v/>
      </c>
      <c r="N452" s="2">
        <f t="shared" si="31"/>
        <v>0</v>
      </c>
      <c r="O452" s="2" t="str">
        <f>IFERROR(
 INDEX($U$2:$AX$2,
  MATCH(TRUE,
   CHOOSE({1;2;3;4;5;6;7;8;9;10;11;12;13;14;15;16;17;18;19;20;21;22;23;24;25;26;27;28;29;30;31;32},
    COUNTIFS($U$3:$U$201,$M452)&gt;0,
    COUNTIFS($V$3:$V$201,$M452)&gt;0,
    COUNTIFS($W$3:$W$201,$M452)&gt;0,
    COUNTIFS($X$3:$X$201,$M452)&gt;0,
    COUNTIFS($Y$3:$Y$201,$M452)&gt;0,
    COUNTIFS($Z$3:$Z$201,$M452)&gt;0,
    COUNTIFS($AA$3:$AA$201,$M452)&gt;0,
    COUNTIFS($AB$3:$AB$201,$M452)&gt;0,
    COUNTIFS($AC$3:$AC$201,$M452)&gt;0,
    COUNTIFS($AD$3:$AD$201,$M452)&gt;0,
    COUNTIFS($AE$3:$AE$201,$M452)&gt;0,
    COUNTIFS($AF$3:$AF$201,$M452)&gt;0,
    COUNTIFS($AG$3:$AG$201,$M452)&gt;0,
    COUNTIFS($AH$3:$AH$201,$M452)&gt;0,
    COUNTIFS($AI$3:$AI$201,$M452)&gt;0,
    COUNTIFS($AJ$3:$AJ$201,$M452)&gt;0,
    COUNTIFS($AK$3:$AK$201,$M452)&gt;0,
    COUNTIFS($AL$3:$AL$201,$M452)&gt;0,
    COUNTIFS($AM$3:$AM$201,$M452)&gt;0,
    COUNTIFS($AN$3:$AN$201,$M452)&gt;0,
    COUNTIFS($AO$3:$AO$201,$M452)&gt;0,
    COUNTIFS($AP$3:$AP$201,$M452)&gt;0,
    COUNTIFS($AQ$3:$AQ$201,$M452)&gt;0,
    COUNTIFS($AR$3:$AR$201,$M452)&gt;0,
    COUNTIFS($AS$3:$AS$201,$M452)&gt;0,
    COUNTIFS($AT$3:$AT$201,$M452)&gt;0,
    COUNTIFS($AU$3:$AU$201,$M452)&gt;0,
    COUNTIFS($AV$3:$AV$201,$M452)&gt;0,
    COUNTIFS($AW$3:$AW$201,$M452)&gt;0,
    COUNTIFS($AX$3:$AX$201,$M452)&gt;0
   ),
  0)
 ),
"")</f>
        <v/>
      </c>
    </row>
    <row r="453" spans="1:15" x14ac:dyDescent="0.25">
      <c r="A453" t="str">
        <f ca="1"/>
        <v>Taunting Sliver</v>
      </c>
      <c r="C453" s="2" t="str">
        <f t="shared" ca="1" si="29"/>
        <v/>
      </c>
      <c r="F453" s="2">
        <f t="shared" si="28"/>
        <v>0</v>
      </c>
      <c r="G453" s="2" t="str">
        <f t="shared" ca="1" si="30"/>
        <v/>
      </c>
    </row>
    <row r="454" spans="1:15" x14ac:dyDescent="0.25">
      <c r="A454" t="str">
        <f ca="1"/>
        <v>Tear Asunder</v>
      </c>
      <c r="C454" s="2" t="str">
        <f t="shared" ca="1" si="29"/>
        <v/>
      </c>
      <c r="F454" s="2">
        <f t="shared" si="28"/>
        <v>0</v>
      </c>
      <c r="G454" s="2" t="str">
        <f t="shared" ca="1" si="30"/>
        <v/>
      </c>
    </row>
    <row r="455" spans="1:15" x14ac:dyDescent="0.25">
      <c r="A455" t="str">
        <f ca="1"/>
        <v>Teferi's Ageless Insight</v>
      </c>
      <c r="C455" s="2" t="str">
        <f t="shared" ca="1" si="29"/>
        <v/>
      </c>
      <c r="F455" s="2">
        <f t="shared" si="28"/>
        <v>0</v>
      </c>
      <c r="G455" s="2" t="str">
        <f t="shared" ca="1" si="30"/>
        <v/>
      </c>
    </row>
    <row r="456" spans="1:15" x14ac:dyDescent="0.25">
      <c r="A456" t="str">
        <f ca="1"/>
        <v>Telekinetic Sliver</v>
      </c>
      <c r="C456" s="2" t="str">
        <f t="shared" ca="1" si="29"/>
        <v/>
      </c>
      <c r="F456" s="2">
        <f t="shared" si="28"/>
        <v>0</v>
      </c>
      <c r="G456" s="2" t="str">
        <f t="shared" ca="1" si="30"/>
        <v/>
      </c>
    </row>
    <row r="457" spans="1:15" x14ac:dyDescent="0.25">
      <c r="A457" t="str">
        <f ca="1"/>
        <v>Temple Garden</v>
      </c>
      <c r="C457" s="2" t="str">
        <f t="shared" ca="1" si="29"/>
        <v/>
      </c>
      <c r="F457" s="2">
        <f t="shared" si="28"/>
        <v>0</v>
      </c>
      <c r="G457" s="2" t="str">
        <f t="shared" ca="1" si="30"/>
        <v/>
      </c>
    </row>
    <row r="458" spans="1:15" x14ac:dyDescent="0.25">
      <c r="A458" t="str">
        <f ca="1"/>
        <v>Temple of Malice</v>
      </c>
      <c r="C458" s="2" t="str">
        <f t="shared" ca="1" si="29"/>
        <v/>
      </c>
      <c r="F458" s="2">
        <f t="shared" si="28"/>
        <v>0</v>
      </c>
      <c r="G458" s="2" t="str">
        <f t="shared" ca="1" si="30"/>
        <v/>
      </c>
    </row>
    <row r="459" spans="1:15" x14ac:dyDescent="0.25">
      <c r="A459" t="str">
        <f ca="1"/>
        <v>Temple of the False God</v>
      </c>
      <c r="C459" s="2" t="str">
        <f t="shared" ca="1" si="29"/>
        <v/>
      </c>
      <c r="F459" s="2">
        <f t="shared" si="28"/>
        <v>0</v>
      </c>
      <c r="G459" s="2" t="str">
        <f t="shared" ca="1" si="30"/>
        <v/>
      </c>
    </row>
    <row r="460" spans="1:15" x14ac:dyDescent="0.25">
      <c r="A460" t="str">
        <f ca="1"/>
        <v>Temporal Manipulation</v>
      </c>
      <c r="C460" s="2" t="str">
        <f t="shared" ca="1" si="29"/>
        <v/>
      </c>
      <c r="F460" s="2">
        <f t="shared" si="28"/>
        <v>0</v>
      </c>
      <c r="G460" s="2" t="str">
        <f t="shared" ca="1" si="30"/>
        <v/>
      </c>
    </row>
    <row r="461" spans="1:15" x14ac:dyDescent="0.25">
      <c r="A461" t="str">
        <f ca="1"/>
        <v>Temporal Trespass</v>
      </c>
      <c r="C461" s="2" t="str">
        <f t="shared" ca="1" si="29"/>
        <v/>
      </c>
      <c r="F461" s="2">
        <f t="shared" si="28"/>
        <v>0</v>
      </c>
      <c r="G461" s="2" t="str">
        <f t="shared" ca="1" si="30"/>
        <v/>
      </c>
    </row>
    <row r="462" spans="1:15" x14ac:dyDescent="0.25">
      <c r="A462" t="str">
        <f ca="1"/>
        <v>Terminate</v>
      </c>
      <c r="C462" s="2" t="str">
        <f t="shared" ca="1" si="29"/>
        <v/>
      </c>
      <c r="F462" s="2">
        <f t="shared" si="28"/>
        <v>0</v>
      </c>
      <c r="G462" s="2" t="str">
        <f t="shared" ca="1" si="30"/>
        <v/>
      </c>
    </row>
    <row r="463" spans="1:15" x14ac:dyDescent="0.25">
      <c r="A463" t="str">
        <f ca="1"/>
        <v>Terra Eternal</v>
      </c>
      <c r="C463" s="2" t="str">
        <f t="shared" ca="1" si="29"/>
        <v/>
      </c>
      <c r="F463" s="2">
        <f t="shared" si="28"/>
        <v>0</v>
      </c>
      <c r="G463" s="2" t="str">
        <f t="shared" ca="1" si="30"/>
        <v/>
      </c>
    </row>
    <row r="464" spans="1:15" x14ac:dyDescent="0.25">
      <c r="A464" t="str">
        <f ca="1"/>
        <v>Teysa Karlov</v>
      </c>
      <c r="C464" s="2" t="str">
        <f t="shared" ca="1" si="29"/>
        <v/>
      </c>
      <c r="F464" s="2">
        <f t="shared" si="28"/>
        <v>0</v>
      </c>
      <c r="G464" s="2" t="str">
        <f t="shared" ca="1" si="30"/>
        <v/>
      </c>
    </row>
    <row r="465" spans="1:7" x14ac:dyDescent="0.25">
      <c r="A465" t="str">
        <f ca="1"/>
        <v>Teysa, Opulent Oligarch</v>
      </c>
      <c r="C465" s="2" t="str">
        <f t="shared" ca="1" si="29"/>
        <v/>
      </c>
      <c r="F465" s="2">
        <f t="shared" si="28"/>
        <v>0</v>
      </c>
      <c r="G465" s="2" t="str">
        <f t="shared" ca="1" si="30"/>
        <v/>
      </c>
    </row>
    <row r="466" spans="1:7" x14ac:dyDescent="0.25">
      <c r="A466" t="str">
        <f ca="1"/>
        <v>Teysa, Orzhov Scion</v>
      </c>
      <c r="C466" s="2" t="str">
        <f t="shared" ca="1" si="29"/>
        <v/>
      </c>
      <c r="F466" s="2">
        <f t="shared" si="28"/>
        <v>0</v>
      </c>
      <c r="G466" s="2" t="str">
        <f t="shared" ca="1" si="30"/>
        <v/>
      </c>
    </row>
    <row r="467" spans="1:7" x14ac:dyDescent="0.25">
      <c r="A467" t="str">
        <f ca="1"/>
        <v>The Battle of Bywater</v>
      </c>
      <c r="C467" s="2" t="str">
        <f t="shared" ca="1" si="29"/>
        <v/>
      </c>
      <c r="F467" s="2">
        <f t="shared" si="28"/>
        <v>0</v>
      </c>
      <c r="G467" s="2" t="str">
        <f t="shared" ca="1" si="30"/>
        <v/>
      </c>
    </row>
    <row r="468" spans="1:7" x14ac:dyDescent="0.25">
      <c r="A468" t="str">
        <f ca="1"/>
        <v>The Cabbage Merchant</v>
      </c>
      <c r="C468" s="2" t="str">
        <f t="shared" ca="1" si="29"/>
        <v/>
      </c>
      <c r="F468" s="2">
        <f t="shared" si="28"/>
        <v>0</v>
      </c>
      <c r="G468" s="2" t="str">
        <f t="shared" ca="1" si="30"/>
        <v/>
      </c>
    </row>
    <row r="469" spans="1:7" x14ac:dyDescent="0.25">
      <c r="A469" t="str">
        <f ca="1"/>
        <v>The Duke, Rebel Sentry</v>
      </c>
      <c r="C469" s="2" t="str">
        <f t="shared" ca="1" si="29"/>
        <v/>
      </c>
      <c r="F469" s="2">
        <f t="shared" si="28"/>
        <v>0</v>
      </c>
      <c r="G469" s="2" t="str">
        <f t="shared" ca="1" si="30"/>
        <v/>
      </c>
    </row>
    <row r="470" spans="1:7" x14ac:dyDescent="0.25">
      <c r="A470" t="str">
        <f ca="1"/>
        <v>The Emperor of Palamecia</v>
      </c>
      <c r="C470" s="2" t="str">
        <f t="shared" ca="1" si="29"/>
        <v/>
      </c>
      <c r="F470" s="2">
        <f t="shared" si="28"/>
        <v>0</v>
      </c>
      <c r="G470" s="2" t="str">
        <f t="shared" ca="1" si="30"/>
        <v/>
      </c>
    </row>
    <row r="471" spans="1:7" x14ac:dyDescent="0.25">
      <c r="A471" t="str">
        <f ca="1"/>
        <v>The Enigma Jewel</v>
      </c>
      <c r="C471" s="2" t="str">
        <f t="shared" ca="1" si="29"/>
        <v/>
      </c>
      <c r="F471" s="2">
        <f t="shared" si="28"/>
        <v>0</v>
      </c>
      <c r="G471" s="2" t="str">
        <f t="shared" ca="1" si="30"/>
        <v/>
      </c>
    </row>
    <row r="472" spans="1:7" x14ac:dyDescent="0.25">
      <c r="A472" t="str">
        <f ca="1"/>
        <v>The First Sliver</v>
      </c>
      <c r="C472" s="2" t="str">
        <f t="shared" ca="1" si="29"/>
        <v/>
      </c>
      <c r="F472" s="2">
        <f t="shared" si="28"/>
        <v>0</v>
      </c>
      <c r="G472" s="2" t="str">
        <f t="shared" ca="1" si="30"/>
        <v/>
      </c>
    </row>
    <row r="473" spans="1:7" x14ac:dyDescent="0.25">
      <c r="A473" t="str">
        <f ca="1"/>
        <v>The Gold Saucer</v>
      </c>
      <c r="C473" s="2" t="str">
        <f t="shared" ca="1" si="29"/>
        <v/>
      </c>
      <c r="F473" s="2">
        <f t="shared" si="28"/>
        <v>0</v>
      </c>
      <c r="G473" s="2" t="str">
        <f t="shared" ca="1" si="30"/>
        <v/>
      </c>
    </row>
    <row r="474" spans="1:7" x14ac:dyDescent="0.25">
      <c r="A474" t="str">
        <f ca="1"/>
        <v>The Great Henge</v>
      </c>
      <c r="C474" s="2" t="str">
        <f t="shared" ca="1" si="29"/>
        <v/>
      </c>
      <c r="F474" s="2">
        <f t="shared" si="28"/>
        <v>0</v>
      </c>
      <c r="G474" s="2" t="str">
        <f t="shared" ca="1" si="30"/>
        <v/>
      </c>
    </row>
    <row r="475" spans="1:7" x14ac:dyDescent="0.25">
      <c r="A475" t="str">
        <f ca="1"/>
        <v>The Legend of Roku</v>
      </c>
      <c r="C475" s="2" t="str">
        <f t="shared" ca="1" si="29"/>
        <v/>
      </c>
      <c r="F475" s="2">
        <f t="shared" si="28"/>
        <v>0</v>
      </c>
      <c r="G475" s="2" t="str">
        <f t="shared" ca="1" si="30"/>
        <v/>
      </c>
    </row>
    <row r="476" spans="1:7" x14ac:dyDescent="0.25">
      <c r="A476" t="str">
        <f ca="1"/>
        <v>The Lord of Pain</v>
      </c>
      <c r="C476" s="2" t="str">
        <f t="shared" ca="1" si="29"/>
        <v/>
      </c>
      <c r="F476" s="2">
        <f t="shared" si="28"/>
        <v>0</v>
      </c>
      <c r="G476" s="2" t="str">
        <f t="shared" ca="1" si="30"/>
        <v/>
      </c>
    </row>
    <row r="477" spans="1:7" x14ac:dyDescent="0.25">
      <c r="A477" t="str">
        <f ca="1"/>
        <v>The Mycosynth Gardens</v>
      </c>
      <c r="C477" s="2" t="str">
        <f t="shared" ca="1" si="29"/>
        <v/>
      </c>
      <c r="F477" s="2">
        <f t="shared" ref="F477:F540" si="32">COUNTIF(U:CF,E477)+COUNTIF(K:K,E477)</f>
        <v>0</v>
      </c>
      <c r="G477" s="2" t="str">
        <f t="shared" ca="1" si="30"/>
        <v/>
      </c>
    </row>
    <row r="478" spans="1:7" x14ac:dyDescent="0.25">
      <c r="A478" t="str">
        <f ca="1"/>
        <v>The Peregrine Dynamo</v>
      </c>
      <c r="C478" s="2" t="str">
        <f t="shared" ca="1" si="29"/>
        <v/>
      </c>
      <c r="F478" s="2">
        <f t="shared" si="32"/>
        <v>0</v>
      </c>
      <c r="G478" s="2" t="str">
        <f t="shared" ca="1" si="30"/>
        <v/>
      </c>
    </row>
    <row r="479" spans="1:7" x14ac:dyDescent="0.25">
      <c r="A479" t="str">
        <f ca="1"/>
        <v>The Shire</v>
      </c>
      <c r="C479" s="2" t="str">
        <f t="shared" ca="1" si="29"/>
        <v/>
      </c>
      <c r="F479" s="2">
        <f t="shared" si="32"/>
        <v>0</v>
      </c>
      <c r="G479" s="2" t="str">
        <f t="shared" ca="1" si="30"/>
        <v/>
      </c>
    </row>
    <row r="480" spans="1:7" x14ac:dyDescent="0.25">
      <c r="A480" t="str">
        <f ca="1"/>
        <v>The Soul Stone</v>
      </c>
      <c r="C480" s="2" t="str">
        <f t="shared" ca="1" si="29"/>
        <v/>
      </c>
      <c r="F480" s="2">
        <f t="shared" si="32"/>
        <v>0</v>
      </c>
      <c r="G480" s="2" t="str">
        <f t="shared" ca="1" si="30"/>
        <v/>
      </c>
    </row>
    <row r="481" spans="1:7" x14ac:dyDescent="0.25">
      <c r="A481" t="str">
        <f ca="1"/>
        <v>The Tenth Doctor</v>
      </c>
      <c r="C481" s="2" t="str">
        <f t="shared" ca="1" si="29"/>
        <v/>
      </c>
      <c r="F481" s="2">
        <f t="shared" si="32"/>
        <v>0</v>
      </c>
      <c r="G481" s="2" t="str">
        <f t="shared" ca="1" si="30"/>
        <v/>
      </c>
    </row>
    <row r="482" spans="1:7" x14ac:dyDescent="0.25">
      <c r="A482" t="str">
        <f ca="1"/>
        <v>The Water Crystal</v>
      </c>
      <c r="C482" s="2" t="str">
        <f t="shared" ca="1" si="29"/>
        <v/>
      </c>
      <c r="F482" s="2">
        <f t="shared" si="32"/>
        <v>0</v>
      </c>
      <c r="G482" s="2" t="str">
        <f t="shared" ca="1" si="30"/>
        <v/>
      </c>
    </row>
    <row r="483" spans="1:7" x14ac:dyDescent="0.25">
      <c r="A483" t="str">
        <f ca="1"/>
        <v>Thopter Shop</v>
      </c>
      <c r="C483" s="2" t="str">
        <f t="shared" ca="1" si="29"/>
        <v/>
      </c>
      <c r="F483" s="2">
        <f t="shared" si="32"/>
        <v>0</v>
      </c>
      <c r="G483" s="2" t="str">
        <f t="shared" ca="1" si="30"/>
        <v/>
      </c>
    </row>
    <row r="484" spans="1:7" x14ac:dyDescent="0.25">
      <c r="A484" t="str">
        <f ca="1"/>
        <v>Thorncaster Sliver</v>
      </c>
      <c r="C484" s="2" t="str">
        <f t="shared" ca="1" si="29"/>
        <v/>
      </c>
      <c r="F484" s="2">
        <f t="shared" si="32"/>
        <v>0</v>
      </c>
      <c r="G484" s="2" t="str">
        <f t="shared" ca="1" si="30"/>
        <v/>
      </c>
    </row>
    <row r="485" spans="1:7" x14ac:dyDescent="0.25">
      <c r="A485" t="str">
        <f ca="1"/>
        <v>Thought Vessel</v>
      </c>
      <c r="C485" s="2" t="str">
        <f t="shared" ca="1" si="29"/>
        <v/>
      </c>
      <c r="F485" s="2">
        <f t="shared" si="32"/>
        <v>0</v>
      </c>
      <c r="G485" s="2" t="str">
        <f t="shared" ca="1" si="30"/>
        <v/>
      </c>
    </row>
    <row r="486" spans="1:7" x14ac:dyDescent="0.25">
      <c r="A486" t="str">
        <f ca="1"/>
        <v>Thousand-Year Elixir</v>
      </c>
      <c r="C486" s="2" t="str">
        <f t="shared" ca="1" si="29"/>
        <v/>
      </c>
      <c r="F486" s="2">
        <f t="shared" si="32"/>
        <v>0</v>
      </c>
      <c r="G486" s="2" t="str">
        <f t="shared" ca="1" si="30"/>
        <v/>
      </c>
    </row>
    <row r="487" spans="1:7" x14ac:dyDescent="0.25">
      <c r="A487" t="str">
        <f ca="1"/>
        <v>Thran Dynamo</v>
      </c>
      <c r="C487" s="2" t="str">
        <f t="shared" ca="1" si="29"/>
        <v/>
      </c>
      <c r="F487" s="2">
        <f t="shared" si="32"/>
        <v>0</v>
      </c>
      <c r="G487" s="2" t="str">
        <f t="shared" ca="1" si="30"/>
        <v/>
      </c>
    </row>
    <row r="488" spans="1:7" x14ac:dyDescent="0.25">
      <c r="A488" t="str">
        <f ca="1"/>
        <v>Three Steps Ahead</v>
      </c>
      <c r="C488" s="2" t="str">
        <f t="shared" ca="1" si="29"/>
        <v/>
      </c>
      <c r="F488" s="2">
        <f t="shared" si="32"/>
        <v>0</v>
      </c>
      <c r="G488" s="2" t="str">
        <f t="shared" ca="1" si="30"/>
        <v/>
      </c>
    </row>
    <row r="489" spans="1:7" x14ac:dyDescent="0.25">
      <c r="A489" t="str">
        <f ca="1"/>
        <v>Three Tree City</v>
      </c>
      <c r="C489" s="2" t="str">
        <f t="shared" ca="1" si="29"/>
        <v/>
      </c>
      <c r="F489" s="2">
        <f t="shared" si="32"/>
        <v>0</v>
      </c>
      <c r="G489" s="2" t="str">
        <f t="shared" ca="1" si="30"/>
        <v/>
      </c>
    </row>
    <row r="490" spans="1:7" x14ac:dyDescent="0.25">
      <c r="A490" t="str">
        <f ca="1"/>
        <v>Thrumming Hivepool</v>
      </c>
      <c r="C490" s="2" t="str">
        <f t="shared" ca="1" si="29"/>
        <v/>
      </c>
      <c r="F490" s="2">
        <f t="shared" si="32"/>
        <v>0</v>
      </c>
      <c r="G490" s="2" t="str">
        <f t="shared" ca="1" si="30"/>
        <v/>
      </c>
    </row>
    <row r="491" spans="1:7" x14ac:dyDescent="0.25">
      <c r="A491" t="str">
        <f ca="1"/>
        <v>Titania, Voice of Gaea</v>
      </c>
      <c r="C491" s="2" t="str">
        <f t="shared" ca="1" si="29"/>
        <v/>
      </c>
      <c r="F491" s="2">
        <f t="shared" si="32"/>
        <v>0</v>
      </c>
      <c r="G491" s="2" t="str">
        <f t="shared" ca="1" si="30"/>
        <v/>
      </c>
    </row>
    <row r="492" spans="1:7" x14ac:dyDescent="0.25">
      <c r="A492" t="str">
        <f ca="1"/>
        <v>Tocasia's Welcome</v>
      </c>
      <c r="C492" s="2" t="str">
        <f t="shared" ca="1" si="29"/>
        <v>Tayam</v>
      </c>
      <c r="F492" s="2">
        <f t="shared" si="32"/>
        <v>0</v>
      </c>
      <c r="G492" s="2" t="str">
        <f t="shared" ca="1" si="30"/>
        <v/>
      </c>
    </row>
    <row r="493" spans="1:7" x14ac:dyDescent="0.25">
      <c r="A493" t="str">
        <f ca="1"/>
        <v>Toski, Bearer of Secrets</v>
      </c>
      <c r="C493" s="2" t="str">
        <f t="shared" ca="1" si="29"/>
        <v/>
      </c>
      <c r="F493" s="2">
        <f t="shared" si="32"/>
        <v>0</v>
      </c>
      <c r="G493" s="2" t="str">
        <f t="shared" ca="1" si="30"/>
        <v/>
      </c>
    </row>
    <row r="494" spans="1:7" x14ac:dyDescent="0.25">
      <c r="A494" t="str">
        <f ca="1"/>
        <v>Toxic Deluge</v>
      </c>
      <c r="C494" s="2" t="str">
        <f t="shared" ca="1" si="29"/>
        <v/>
      </c>
      <c r="F494" s="2">
        <f t="shared" si="32"/>
        <v>0</v>
      </c>
      <c r="G494" s="2" t="str">
        <f t="shared" ca="1" si="30"/>
        <v/>
      </c>
    </row>
    <row r="495" spans="1:7" x14ac:dyDescent="0.25">
      <c r="A495" t="str">
        <f ca="1"/>
        <v>Treasure Vault</v>
      </c>
      <c r="C495" s="2" t="str">
        <f t="shared" ca="1" si="29"/>
        <v/>
      </c>
      <c r="F495" s="2">
        <f t="shared" si="32"/>
        <v>0</v>
      </c>
      <c r="G495" s="2" t="str">
        <f t="shared" ca="1" si="30"/>
        <v/>
      </c>
    </row>
    <row r="496" spans="1:7" x14ac:dyDescent="0.25">
      <c r="A496" t="str">
        <f ca="1"/>
        <v>Tree of Tales</v>
      </c>
      <c r="C496" s="2" t="str">
        <f t="shared" ca="1" si="29"/>
        <v/>
      </c>
      <c r="F496" s="2">
        <f t="shared" si="32"/>
        <v>0</v>
      </c>
      <c r="G496" s="2" t="str">
        <f t="shared" ca="1" si="30"/>
        <v/>
      </c>
    </row>
    <row r="497" spans="1:7" x14ac:dyDescent="0.25">
      <c r="A497" t="str">
        <f ca="1"/>
        <v>Tymna the Weaver</v>
      </c>
      <c r="C497" s="2" t="str">
        <f t="shared" ca="1" si="29"/>
        <v/>
      </c>
      <c r="F497" s="2">
        <f t="shared" si="32"/>
        <v>0</v>
      </c>
      <c r="G497" s="2" t="str">
        <f t="shared" ca="1" si="30"/>
        <v/>
      </c>
    </row>
    <row r="498" spans="1:7" x14ac:dyDescent="0.25">
      <c r="A498" t="str">
        <f ca="1"/>
        <v>Ulamog, the Defiler</v>
      </c>
      <c r="C498" s="2" t="str">
        <f t="shared" ca="1" si="29"/>
        <v/>
      </c>
      <c r="F498" s="2">
        <f t="shared" si="32"/>
        <v>0</v>
      </c>
      <c r="G498" s="2" t="str">
        <f t="shared" ca="1" si="30"/>
        <v/>
      </c>
    </row>
    <row r="499" spans="1:7" x14ac:dyDescent="0.25">
      <c r="A499" t="str">
        <f ca="1"/>
        <v>Ulamog, the Infinite Gyre</v>
      </c>
      <c r="C499" s="2" t="str">
        <f t="shared" ca="1" si="29"/>
        <v/>
      </c>
      <c r="F499" s="2">
        <f t="shared" si="32"/>
        <v>0</v>
      </c>
      <c r="G499" s="2" t="str">
        <f t="shared" ca="1" si="30"/>
        <v/>
      </c>
    </row>
    <row r="500" spans="1:7" x14ac:dyDescent="0.25">
      <c r="A500" t="str">
        <f ca="1"/>
        <v>Ulamog's Dreadsire</v>
      </c>
      <c r="C500" s="2" t="str">
        <f t="shared" ca="1" si="29"/>
        <v/>
      </c>
      <c r="F500" s="2">
        <f t="shared" si="32"/>
        <v>0</v>
      </c>
      <c r="G500" s="2" t="str">
        <f t="shared" ca="1" si="30"/>
        <v/>
      </c>
    </row>
    <row r="501" spans="1:7" x14ac:dyDescent="0.25">
      <c r="A501" t="str">
        <f ca="1"/>
        <v>Ultimate Magic: Holy</v>
      </c>
      <c r="F501" s="2">
        <f t="shared" si="32"/>
        <v>0</v>
      </c>
      <c r="G501" s="2" t="str">
        <f t="shared" ca="1" si="30"/>
        <v/>
      </c>
    </row>
    <row r="502" spans="1:7" x14ac:dyDescent="0.25">
      <c r="A502" t="str">
        <f ca="1"/>
        <v>Unbreakable Formation</v>
      </c>
      <c r="F502" s="2">
        <f t="shared" si="32"/>
        <v>0</v>
      </c>
      <c r="G502" s="2" t="str">
        <f t="shared" ca="1" si="30"/>
        <v/>
      </c>
    </row>
    <row r="503" spans="1:7" x14ac:dyDescent="0.25">
      <c r="A503" t="str">
        <f ca="1"/>
        <v>Unholy Annex // Ritual Chamber</v>
      </c>
      <c r="F503" s="2">
        <f t="shared" si="32"/>
        <v>0</v>
      </c>
      <c r="G503" s="2" t="str">
        <f t="shared" ca="1" si="30"/>
        <v/>
      </c>
    </row>
    <row r="504" spans="1:7" x14ac:dyDescent="0.25">
      <c r="A504" t="str">
        <f ca="1"/>
        <v>Unsettled Mariner</v>
      </c>
      <c r="F504" s="2">
        <f t="shared" si="32"/>
        <v>0</v>
      </c>
      <c r="G504" s="2" t="str">
        <f t="shared" ca="1" si="30"/>
        <v/>
      </c>
    </row>
    <row r="505" spans="1:7" x14ac:dyDescent="0.25">
      <c r="A505" t="str">
        <f ca="1"/>
        <v>Unwind</v>
      </c>
      <c r="F505" s="2">
        <f t="shared" si="32"/>
        <v>0</v>
      </c>
      <c r="G505" s="2" t="str">
        <f t="shared" ca="1" si="30"/>
        <v/>
      </c>
    </row>
    <row r="506" spans="1:7" x14ac:dyDescent="0.25">
      <c r="A506" t="str">
        <f ca="1"/>
        <v>Valfenda</v>
      </c>
      <c r="F506" s="2">
        <f t="shared" si="32"/>
        <v>0</v>
      </c>
      <c r="G506" s="2" t="str">
        <f t="shared" ca="1" si="30"/>
        <v/>
      </c>
    </row>
    <row r="507" spans="1:7" x14ac:dyDescent="0.25">
      <c r="A507" t="str">
        <f ca="1"/>
        <v>Vault of Champions</v>
      </c>
      <c r="F507" s="2">
        <f t="shared" si="32"/>
        <v>0</v>
      </c>
      <c r="G507" s="2" t="str">
        <f t="shared" ca="1" si="30"/>
        <v/>
      </c>
    </row>
    <row r="508" spans="1:7" x14ac:dyDescent="0.25">
      <c r="A508" t="str">
        <f ca="1"/>
        <v>Vault of the Archangel</v>
      </c>
      <c r="F508" s="2">
        <f t="shared" si="32"/>
        <v>0</v>
      </c>
      <c r="G508" s="2" t="str">
        <f t="shared" ca="1" si="30"/>
        <v/>
      </c>
    </row>
    <row r="509" spans="1:7" x14ac:dyDescent="0.25">
      <c r="A509" t="str">
        <f ca="1"/>
        <v>Vedalken Mastermind</v>
      </c>
      <c r="F509" s="2">
        <f t="shared" si="32"/>
        <v>0</v>
      </c>
      <c r="G509" s="2" t="str">
        <f t="shared" ca="1" si="30"/>
        <v/>
      </c>
    </row>
    <row r="510" spans="1:7" x14ac:dyDescent="0.25">
      <c r="A510" t="str">
        <f ca="1"/>
        <v>Vedalken Orrery</v>
      </c>
      <c r="F510" s="2">
        <f t="shared" si="32"/>
        <v>0</v>
      </c>
      <c r="G510" s="2" t="str">
        <f t="shared" ca="1" si="30"/>
        <v/>
      </c>
    </row>
    <row r="511" spans="1:7" x14ac:dyDescent="0.25">
      <c r="A511" t="str">
        <f ca="1"/>
        <v>Venom Sliver</v>
      </c>
      <c r="F511" s="2">
        <f t="shared" si="32"/>
        <v>0</v>
      </c>
      <c r="G511" s="2" t="str">
        <f t="shared" ca="1" si="30"/>
        <v/>
      </c>
    </row>
    <row r="512" spans="1:7" x14ac:dyDescent="0.25">
      <c r="A512" t="str">
        <f ca="1"/>
        <v>Veteran Soldier</v>
      </c>
      <c r="F512" s="2">
        <f t="shared" si="32"/>
        <v>0</v>
      </c>
      <c r="G512" s="2" t="str">
        <f t="shared" ca="1" si="30"/>
        <v/>
      </c>
    </row>
    <row r="513" spans="1:7" x14ac:dyDescent="0.25">
      <c r="A513" t="str">
        <f ca="1"/>
        <v>Vexing Puzzlebox</v>
      </c>
      <c r="F513" s="2">
        <f t="shared" si="32"/>
        <v>0</v>
      </c>
      <c r="G513" s="2" t="str">
        <f t="shared" ca="1" si="30"/>
        <v/>
      </c>
    </row>
    <row r="514" spans="1:7" x14ac:dyDescent="0.25">
      <c r="A514" t="str">
        <f ca="1"/>
        <v>Virtue of Knowledge // Vantress Visions</v>
      </c>
      <c r="F514" s="2">
        <f t="shared" si="32"/>
        <v>0</v>
      </c>
      <c r="G514" s="2" t="str">
        <f t="shared" ca="1" si="30"/>
        <v/>
      </c>
    </row>
    <row r="515" spans="1:7" x14ac:dyDescent="0.25">
      <c r="A515" t="str">
        <f ca="1"/>
        <v>Virtue of Loyalty // Ardenvale Fealty</v>
      </c>
      <c r="F515" s="2">
        <f t="shared" si="32"/>
        <v>0</v>
      </c>
      <c r="G515" s="2" t="str">
        <f t="shared" ref="G515:G578" ca="1" si="33">_xlfn.XLOOKUP($E515,$M:$M,$O:$O,"Guardado")</f>
        <v/>
      </c>
    </row>
    <row r="516" spans="1:7" x14ac:dyDescent="0.25">
      <c r="A516" t="str">
        <f ca="1"/>
        <v>Vona's Hunger</v>
      </c>
      <c r="F516" s="2">
        <f t="shared" si="32"/>
        <v>0</v>
      </c>
      <c r="G516" s="2" t="str">
        <f t="shared" ca="1" si="33"/>
        <v/>
      </c>
    </row>
    <row r="517" spans="1:7" x14ac:dyDescent="0.25">
      <c r="A517" t="str">
        <f ca="1"/>
        <v>Vronos, Masked Inquisitor</v>
      </c>
      <c r="F517" s="2">
        <f t="shared" si="32"/>
        <v>0</v>
      </c>
      <c r="G517" s="2" t="str">
        <f t="shared" ca="1" si="33"/>
        <v/>
      </c>
    </row>
    <row r="518" spans="1:7" x14ac:dyDescent="0.25">
      <c r="A518" t="str">
        <f ca="1"/>
        <v>Wan Shi Tong, Librarian</v>
      </c>
      <c r="F518" s="2">
        <f t="shared" si="32"/>
        <v>0</v>
      </c>
      <c r="G518" s="2" t="str">
        <f t="shared" ca="1" si="33"/>
        <v/>
      </c>
    </row>
    <row r="519" spans="1:7" x14ac:dyDescent="0.25">
      <c r="A519" t="str">
        <f ca="1"/>
        <v>Ward Sliver</v>
      </c>
      <c r="F519" s="2">
        <f t="shared" si="32"/>
        <v>0</v>
      </c>
      <c r="G519" s="2" t="str">
        <f t="shared" ca="1" si="33"/>
        <v/>
      </c>
    </row>
    <row r="520" spans="1:7" x14ac:dyDescent="0.25">
      <c r="A520" t="str">
        <f ca="1"/>
        <v>Warleader's Call</v>
      </c>
      <c r="F520" s="2">
        <f t="shared" si="32"/>
        <v>0</v>
      </c>
      <c r="G520" s="2" t="str">
        <f t="shared" ca="1" si="33"/>
        <v/>
      </c>
    </row>
    <row r="521" spans="1:7" x14ac:dyDescent="0.25">
      <c r="A521" t="str">
        <f ca="1"/>
        <v>Warren Soultrader</v>
      </c>
      <c r="F521" s="2">
        <f t="shared" si="32"/>
        <v>0</v>
      </c>
      <c r="G521" s="2" t="str">
        <f t="shared" ca="1" si="33"/>
        <v/>
      </c>
    </row>
    <row r="522" spans="1:7" x14ac:dyDescent="0.25">
      <c r="A522" t="str">
        <f ca="1"/>
        <v>Warren Torchmaster</v>
      </c>
      <c r="F522" s="2">
        <f t="shared" si="32"/>
        <v>0</v>
      </c>
      <c r="G522" s="2" t="str">
        <f t="shared" ca="1" si="33"/>
        <v/>
      </c>
    </row>
    <row r="523" spans="1:7" x14ac:dyDescent="0.25">
      <c r="A523" t="str">
        <f ca="1"/>
        <v>Water Tribe Rallier</v>
      </c>
      <c r="F523" s="2">
        <f t="shared" si="32"/>
        <v>0</v>
      </c>
      <c r="G523" s="2" t="str">
        <f t="shared" ca="1" si="33"/>
        <v/>
      </c>
    </row>
    <row r="524" spans="1:7" x14ac:dyDescent="0.25">
      <c r="A524" t="str">
        <f ca="1"/>
        <v>Waterbender's Restoration</v>
      </c>
      <c r="F524" s="2">
        <f t="shared" si="32"/>
        <v>0</v>
      </c>
      <c r="G524" s="2" t="str">
        <f t="shared" ca="1" si="33"/>
        <v/>
      </c>
    </row>
    <row r="525" spans="1:7" x14ac:dyDescent="0.25">
      <c r="A525" t="str">
        <f ca="1"/>
        <v>Watery Grave</v>
      </c>
      <c r="F525" s="2">
        <f t="shared" si="32"/>
        <v>0</v>
      </c>
      <c r="G525" s="2" t="str">
        <f t="shared" ca="1" si="33"/>
        <v/>
      </c>
    </row>
    <row r="526" spans="1:7" x14ac:dyDescent="0.25">
      <c r="A526" t="str">
        <f ca="1"/>
        <v>Windbrisk Heights</v>
      </c>
      <c r="F526" s="2">
        <f t="shared" si="32"/>
        <v>0</v>
      </c>
      <c r="G526" s="2" t="str">
        <f t="shared" ca="1" si="33"/>
        <v/>
      </c>
    </row>
    <row r="527" spans="1:7" x14ac:dyDescent="0.25">
      <c r="A527" t="str">
        <f ca="1"/>
        <v>Windcrag Siege</v>
      </c>
      <c r="F527" s="2">
        <f t="shared" si="32"/>
        <v>0</v>
      </c>
      <c r="G527" s="2" t="str">
        <f t="shared" ca="1" si="33"/>
        <v/>
      </c>
    </row>
    <row r="528" spans="1:7" x14ac:dyDescent="0.25">
      <c r="A528" t="str">
        <f ca="1"/>
        <v>Windgrace's Judgment</v>
      </c>
      <c r="F528" s="2">
        <f t="shared" si="32"/>
        <v>0</v>
      </c>
      <c r="G528" s="2" t="str">
        <f t="shared" ca="1" si="33"/>
        <v/>
      </c>
    </row>
    <row r="529" spans="1:7" x14ac:dyDescent="0.25">
      <c r="A529" t="str">
        <f ca="1"/>
        <v>Winged Sliver</v>
      </c>
      <c r="F529" s="2">
        <f t="shared" si="32"/>
        <v>0</v>
      </c>
      <c r="G529" s="2" t="str">
        <f t="shared" ca="1" si="33"/>
        <v/>
      </c>
    </row>
    <row r="530" spans="1:7" x14ac:dyDescent="0.25">
      <c r="A530" t="str">
        <f ca="1"/>
        <v>Wispdrinker Vampire</v>
      </c>
      <c r="F530" s="2">
        <f t="shared" si="32"/>
        <v>0</v>
      </c>
      <c r="G530" s="2" t="str">
        <f t="shared" ca="1" si="33"/>
        <v/>
      </c>
    </row>
    <row r="531" spans="1:7" x14ac:dyDescent="0.25">
      <c r="A531" t="str">
        <f ca="1"/>
        <v>Witherbloom Apprentice</v>
      </c>
      <c r="F531" s="2">
        <f t="shared" si="32"/>
        <v>0</v>
      </c>
      <c r="G531" s="2" t="str">
        <f t="shared" ca="1" si="33"/>
        <v/>
      </c>
    </row>
    <row r="532" spans="1:7" x14ac:dyDescent="0.25">
      <c r="A532" t="str">
        <f ca="1"/>
        <v>Within Range</v>
      </c>
      <c r="F532" s="2">
        <f t="shared" si="32"/>
        <v>0</v>
      </c>
      <c r="G532" s="2" t="str">
        <f t="shared" ca="1" si="33"/>
        <v/>
      </c>
    </row>
    <row r="533" spans="1:7" x14ac:dyDescent="0.25">
      <c r="A533" t="str">
        <f ca="1"/>
        <v>Woodland Cemetery</v>
      </c>
      <c r="F533" s="2">
        <f t="shared" si="32"/>
        <v>0</v>
      </c>
      <c r="G533" s="2" t="str">
        <f t="shared" ca="1" si="33"/>
        <v/>
      </c>
    </row>
    <row r="534" spans="1:7" x14ac:dyDescent="0.25">
      <c r="A534" t="str">
        <f ca="1"/>
        <v>World at War</v>
      </c>
      <c r="F534" s="2">
        <f t="shared" si="32"/>
        <v>0</v>
      </c>
      <c r="G534" s="2" t="str">
        <f t="shared" ca="1" si="33"/>
        <v/>
      </c>
    </row>
    <row r="535" spans="1:7" x14ac:dyDescent="0.25">
      <c r="A535" t="str">
        <f ca="1"/>
        <v>Xander's Lounge</v>
      </c>
      <c r="F535" s="2">
        <f t="shared" si="32"/>
        <v>0</v>
      </c>
      <c r="G535" s="2" t="str">
        <f t="shared" ca="1" si="33"/>
        <v/>
      </c>
    </row>
    <row r="536" spans="1:7" x14ac:dyDescent="0.25">
      <c r="A536" t="str">
        <f ca="1"/>
        <v>Yavimaya, Cradle of Growth</v>
      </c>
      <c r="F536" s="2">
        <f t="shared" si="32"/>
        <v>0</v>
      </c>
      <c r="G536" s="2" t="str">
        <f t="shared" ca="1" si="33"/>
        <v/>
      </c>
    </row>
    <row r="537" spans="1:7" x14ac:dyDescent="0.25">
      <c r="A537" t="str">
        <f ca="1"/>
        <v>Yawgmoth, Thran Physician</v>
      </c>
      <c r="F537" s="2">
        <f t="shared" si="32"/>
        <v>0</v>
      </c>
      <c r="G537" s="2" t="str">
        <f t="shared" ca="1" si="33"/>
        <v/>
      </c>
    </row>
    <row r="538" spans="1:7" x14ac:dyDescent="0.25">
      <c r="A538" t="str">
        <f ca="1"/>
        <v>Zagoth Triome</v>
      </c>
      <c r="F538" s="2">
        <f t="shared" si="32"/>
        <v>0</v>
      </c>
      <c r="G538" s="2" t="str">
        <f t="shared" ca="1" si="33"/>
        <v/>
      </c>
    </row>
    <row r="539" spans="1:7" x14ac:dyDescent="0.25">
      <c r="A539" t="str">
        <f ca="1"/>
        <v>Zellix, Sanity Flayer</v>
      </c>
      <c r="F539" s="2">
        <f t="shared" si="32"/>
        <v>0</v>
      </c>
      <c r="G539" s="2" t="str">
        <f t="shared" ca="1" si="33"/>
        <v/>
      </c>
    </row>
    <row r="540" spans="1:7" x14ac:dyDescent="0.25">
      <c r="A540" t="str">
        <f ca="1"/>
        <v>Ziatora's Proving Ground</v>
      </c>
      <c r="F540" s="2">
        <f t="shared" si="32"/>
        <v>0</v>
      </c>
      <c r="G540" s="2" t="str">
        <f t="shared" ca="1" si="33"/>
        <v/>
      </c>
    </row>
    <row r="541" spans="1:7" x14ac:dyDescent="0.25">
      <c r="A541" t="str">
        <f ca="1"/>
        <v>Zurgo Stormrender</v>
      </c>
      <c r="F541" s="2">
        <f t="shared" ref="F541:F600" si="34">COUNTIF(U:CF,E541)+COUNTIF(K:K,E541)</f>
        <v>0</v>
      </c>
      <c r="G541" s="2" t="str">
        <f t="shared" ca="1" si="33"/>
        <v/>
      </c>
    </row>
    <row r="542" spans="1:7" x14ac:dyDescent="0.25">
      <c r="A542" t="str">
        <f ca="1"/>
        <v>Zurgo, Thunder's Decree</v>
      </c>
      <c r="F542" s="2">
        <f t="shared" si="34"/>
        <v>0</v>
      </c>
      <c r="G542" s="2" t="str">
        <f t="shared" ca="1" si="33"/>
        <v/>
      </c>
    </row>
    <row r="543" spans="1:7" x14ac:dyDescent="0.25">
      <c r="A543" t="e">
        <f ca="1"/>
        <v>#REF!</v>
      </c>
      <c r="F543" s="2">
        <f t="shared" si="34"/>
        <v>0</v>
      </c>
      <c r="G543" s="2" t="str">
        <f t="shared" ca="1" si="33"/>
        <v/>
      </c>
    </row>
    <row r="544" spans="1:7" x14ac:dyDescent="0.25">
      <c r="F544" s="2">
        <f t="shared" si="34"/>
        <v>0</v>
      </c>
      <c r="G544" s="2" t="str">
        <f t="shared" ca="1" si="33"/>
        <v/>
      </c>
    </row>
    <row r="545" spans="6:7" x14ac:dyDescent="0.25">
      <c r="F545" s="2">
        <f t="shared" si="34"/>
        <v>0</v>
      </c>
      <c r="G545" s="2" t="str">
        <f t="shared" ca="1" si="33"/>
        <v/>
      </c>
    </row>
    <row r="546" spans="6:7" x14ac:dyDescent="0.25">
      <c r="F546" s="2">
        <f t="shared" si="34"/>
        <v>0</v>
      </c>
      <c r="G546" s="2" t="str">
        <f t="shared" ca="1" si="33"/>
        <v/>
      </c>
    </row>
    <row r="547" spans="6:7" x14ac:dyDescent="0.25">
      <c r="F547" s="2">
        <f t="shared" si="34"/>
        <v>0</v>
      </c>
      <c r="G547" s="2" t="str">
        <f t="shared" ca="1" si="33"/>
        <v/>
      </c>
    </row>
    <row r="548" spans="6:7" x14ac:dyDescent="0.25">
      <c r="F548" s="2">
        <f t="shared" si="34"/>
        <v>0</v>
      </c>
      <c r="G548" s="2" t="str">
        <f t="shared" ca="1" si="33"/>
        <v/>
      </c>
    </row>
    <row r="549" spans="6:7" x14ac:dyDescent="0.25">
      <c r="F549" s="2">
        <f t="shared" si="34"/>
        <v>0</v>
      </c>
      <c r="G549" s="2" t="str">
        <f t="shared" ca="1" si="33"/>
        <v/>
      </c>
    </row>
    <row r="550" spans="6:7" x14ac:dyDescent="0.25">
      <c r="F550" s="2">
        <f t="shared" si="34"/>
        <v>0</v>
      </c>
      <c r="G550" s="2" t="str">
        <f t="shared" ca="1" si="33"/>
        <v/>
      </c>
    </row>
    <row r="551" spans="6:7" x14ac:dyDescent="0.25">
      <c r="F551" s="2">
        <f t="shared" si="34"/>
        <v>0</v>
      </c>
      <c r="G551" s="2" t="str">
        <f t="shared" ca="1" si="33"/>
        <v/>
      </c>
    </row>
    <row r="552" spans="6:7" x14ac:dyDescent="0.25">
      <c r="F552" s="2">
        <f t="shared" si="34"/>
        <v>0</v>
      </c>
      <c r="G552" s="2" t="str">
        <f t="shared" ca="1" si="33"/>
        <v/>
      </c>
    </row>
    <row r="553" spans="6:7" x14ac:dyDescent="0.25">
      <c r="F553" s="2">
        <f t="shared" si="34"/>
        <v>0</v>
      </c>
      <c r="G553" s="2" t="str">
        <f t="shared" ca="1" si="33"/>
        <v/>
      </c>
    </row>
    <row r="554" spans="6:7" x14ac:dyDescent="0.25">
      <c r="F554" s="2">
        <f t="shared" si="34"/>
        <v>0</v>
      </c>
      <c r="G554" s="2" t="str">
        <f t="shared" ca="1" si="33"/>
        <v/>
      </c>
    </row>
    <row r="555" spans="6:7" x14ac:dyDescent="0.25">
      <c r="F555" s="2">
        <f t="shared" si="34"/>
        <v>0</v>
      </c>
      <c r="G555" s="2" t="str">
        <f t="shared" ca="1" si="33"/>
        <v/>
      </c>
    </row>
    <row r="556" spans="6:7" x14ac:dyDescent="0.25">
      <c r="F556" s="2">
        <f t="shared" si="34"/>
        <v>0</v>
      </c>
      <c r="G556" s="2" t="str">
        <f t="shared" ca="1" si="33"/>
        <v/>
      </c>
    </row>
    <row r="557" spans="6:7" x14ac:dyDescent="0.25">
      <c r="F557" s="2">
        <f t="shared" si="34"/>
        <v>0</v>
      </c>
      <c r="G557" s="2" t="str">
        <f t="shared" ca="1" si="33"/>
        <v/>
      </c>
    </row>
    <row r="558" spans="6:7" x14ac:dyDescent="0.25">
      <c r="F558" s="2">
        <f t="shared" si="34"/>
        <v>0</v>
      </c>
      <c r="G558" s="2" t="str">
        <f t="shared" ca="1" si="33"/>
        <v/>
      </c>
    </row>
    <row r="559" spans="6:7" x14ac:dyDescent="0.25">
      <c r="F559" s="2">
        <f t="shared" si="34"/>
        <v>0</v>
      </c>
      <c r="G559" s="2" t="str">
        <f t="shared" ca="1" si="33"/>
        <v/>
      </c>
    </row>
    <row r="560" spans="6:7" x14ac:dyDescent="0.25">
      <c r="F560" s="2">
        <f t="shared" si="34"/>
        <v>0</v>
      </c>
      <c r="G560" s="2" t="str">
        <f t="shared" ca="1" si="33"/>
        <v/>
      </c>
    </row>
    <row r="561" spans="6:7" x14ac:dyDescent="0.25">
      <c r="F561" s="2">
        <f t="shared" si="34"/>
        <v>0</v>
      </c>
      <c r="G561" s="2" t="str">
        <f t="shared" ca="1" si="33"/>
        <v/>
      </c>
    </row>
    <row r="562" spans="6:7" x14ac:dyDescent="0.25">
      <c r="F562" s="2">
        <f t="shared" si="34"/>
        <v>0</v>
      </c>
      <c r="G562" s="2" t="str">
        <f t="shared" ca="1" si="33"/>
        <v/>
      </c>
    </row>
    <row r="563" spans="6:7" x14ac:dyDescent="0.25">
      <c r="F563" s="2">
        <f t="shared" si="34"/>
        <v>0</v>
      </c>
      <c r="G563" s="2" t="str">
        <f t="shared" ca="1" si="33"/>
        <v/>
      </c>
    </row>
    <row r="564" spans="6:7" x14ac:dyDescent="0.25">
      <c r="F564" s="2">
        <f t="shared" si="34"/>
        <v>0</v>
      </c>
      <c r="G564" s="2" t="str">
        <f t="shared" ca="1" si="33"/>
        <v/>
      </c>
    </row>
    <row r="565" spans="6:7" x14ac:dyDescent="0.25">
      <c r="F565" s="2">
        <f t="shared" si="34"/>
        <v>0</v>
      </c>
      <c r="G565" s="2" t="str">
        <f t="shared" ca="1" si="33"/>
        <v/>
      </c>
    </row>
    <row r="566" spans="6:7" x14ac:dyDescent="0.25">
      <c r="F566" s="2">
        <f t="shared" si="34"/>
        <v>0</v>
      </c>
      <c r="G566" s="2" t="str">
        <f t="shared" ca="1" si="33"/>
        <v/>
      </c>
    </row>
    <row r="567" spans="6:7" x14ac:dyDescent="0.25">
      <c r="F567" s="2">
        <f t="shared" si="34"/>
        <v>0</v>
      </c>
      <c r="G567" s="2" t="str">
        <f t="shared" ca="1" si="33"/>
        <v/>
      </c>
    </row>
    <row r="568" spans="6:7" x14ac:dyDescent="0.25">
      <c r="F568" s="2">
        <f t="shared" si="34"/>
        <v>0</v>
      </c>
      <c r="G568" s="2" t="str">
        <f t="shared" ca="1" si="33"/>
        <v/>
      </c>
    </row>
    <row r="569" spans="6:7" x14ac:dyDescent="0.25">
      <c r="F569" s="2">
        <f t="shared" si="34"/>
        <v>0</v>
      </c>
      <c r="G569" s="2" t="str">
        <f t="shared" ca="1" si="33"/>
        <v/>
      </c>
    </row>
    <row r="570" spans="6:7" x14ac:dyDescent="0.25">
      <c r="F570" s="2">
        <f t="shared" si="34"/>
        <v>0</v>
      </c>
      <c r="G570" s="2" t="str">
        <f t="shared" ca="1" si="33"/>
        <v/>
      </c>
    </row>
    <row r="571" spans="6:7" x14ac:dyDescent="0.25">
      <c r="F571" s="2">
        <f t="shared" si="34"/>
        <v>0</v>
      </c>
      <c r="G571" s="2" t="str">
        <f t="shared" ca="1" si="33"/>
        <v/>
      </c>
    </row>
    <row r="572" spans="6:7" x14ac:dyDescent="0.25">
      <c r="F572" s="2">
        <f t="shared" si="34"/>
        <v>0</v>
      </c>
      <c r="G572" s="2" t="str">
        <f t="shared" ca="1" si="33"/>
        <v/>
      </c>
    </row>
    <row r="573" spans="6:7" x14ac:dyDescent="0.25">
      <c r="F573" s="2">
        <f t="shared" si="34"/>
        <v>0</v>
      </c>
      <c r="G573" s="2" t="str">
        <f t="shared" ca="1" si="33"/>
        <v/>
      </c>
    </row>
    <row r="574" spans="6:7" x14ac:dyDescent="0.25">
      <c r="F574" s="2">
        <f t="shared" si="34"/>
        <v>0</v>
      </c>
      <c r="G574" s="2" t="str">
        <f t="shared" ca="1" si="33"/>
        <v/>
      </c>
    </row>
    <row r="575" spans="6:7" x14ac:dyDescent="0.25">
      <c r="F575" s="2">
        <f t="shared" si="34"/>
        <v>0</v>
      </c>
      <c r="G575" s="2" t="str">
        <f t="shared" ca="1" si="33"/>
        <v/>
      </c>
    </row>
    <row r="576" spans="6:7" x14ac:dyDescent="0.25">
      <c r="F576" s="2">
        <f t="shared" si="34"/>
        <v>0</v>
      </c>
      <c r="G576" s="2" t="str">
        <f t="shared" ca="1" si="33"/>
        <v/>
      </c>
    </row>
    <row r="577" spans="6:7" x14ac:dyDescent="0.25">
      <c r="F577" s="2">
        <f t="shared" si="34"/>
        <v>0</v>
      </c>
      <c r="G577" s="2" t="str">
        <f t="shared" ca="1" si="33"/>
        <v/>
      </c>
    </row>
    <row r="578" spans="6:7" x14ac:dyDescent="0.25">
      <c r="F578" s="2">
        <f t="shared" si="34"/>
        <v>0</v>
      </c>
      <c r="G578" s="2" t="str">
        <f t="shared" ca="1" si="33"/>
        <v/>
      </c>
    </row>
    <row r="579" spans="6:7" x14ac:dyDescent="0.25">
      <c r="F579" s="2">
        <f t="shared" si="34"/>
        <v>0</v>
      </c>
      <c r="G579" s="2" t="str">
        <f t="shared" ref="G579:G600" ca="1" si="35">_xlfn.XLOOKUP($E579,$M:$M,$O:$O,"Guardado")</f>
        <v/>
      </c>
    </row>
    <row r="580" spans="6:7" x14ac:dyDescent="0.25">
      <c r="F580" s="2">
        <f t="shared" si="34"/>
        <v>0</v>
      </c>
      <c r="G580" s="2" t="str">
        <f t="shared" ca="1" si="35"/>
        <v/>
      </c>
    </row>
    <row r="581" spans="6:7" x14ac:dyDescent="0.25">
      <c r="F581" s="2">
        <f t="shared" si="34"/>
        <v>0</v>
      </c>
      <c r="G581" s="2" t="str">
        <f t="shared" ca="1" si="35"/>
        <v/>
      </c>
    </row>
    <row r="582" spans="6:7" x14ac:dyDescent="0.25">
      <c r="F582" s="2">
        <f t="shared" si="34"/>
        <v>0</v>
      </c>
      <c r="G582" s="2" t="str">
        <f t="shared" ca="1" si="35"/>
        <v/>
      </c>
    </row>
    <row r="583" spans="6:7" x14ac:dyDescent="0.25">
      <c r="F583" s="2">
        <f t="shared" si="34"/>
        <v>0</v>
      </c>
      <c r="G583" s="2" t="str">
        <f t="shared" ca="1" si="35"/>
        <v/>
      </c>
    </row>
    <row r="584" spans="6:7" x14ac:dyDescent="0.25">
      <c r="F584" s="2">
        <f t="shared" si="34"/>
        <v>0</v>
      </c>
      <c r="G584" s="2" t="str">
        <f t="shared" ca="1" si="35"/>
        <v/>
      </c>
    </row>
    <row r="585" spans="6:7" x14ac:dyDescent="0.25">
      <c r="F585" s="2">
        <f t="shared" si="34"/>
        <v>0</v>
      </c>
      <c r="G585" s="2" t="str">
        <f t="shared" ca="1" si="35"/>
        <v/>
      </c>
    </row>
    <row r="586" spans="6:7" x14ac:dyDescent="0.25">
      <c r="F586" s="2">
        <f t="shared" si="34"/>
        <v>0</v>
      </c>
      <c r="G586" s="2" t="str">
        <f t="shared" ca="1" si="35"/>
        <v/>
      </c>
    </row>
    <row r="587" spans="6:7" x14ac:dyDescent="0.25">
      <c r="F587" s="2">
        <f t="shared" si="34"/>
        <v>0</v>
      </c>
      <c r="G587" s="2" t="str">
        <f t="shared" ca="1" si="35"/>
        <v/>
      </c>
    </row>
    <row r="588" spans="6:7" x14ac:dyDescent="0.25">
      <c r="F588" s="2">
        <f t="shared" si="34"/>
        <v>0</v>
      </c>
      <c r="G588" s="2" t="str">
        <f t="shared" ca="1" si="35"/>
        <v/>
      </c>
    </row>
    <row r="589" spans="6:7" x14ac:dyDescent="0.25">
      <c r="F589" s="2">
        <f t="shared" si="34"/>
        <v>0</v>
      </c>
      <c r="G589" s="2" t="str">
        <f t="shared" ca="1" si="35"/>
        <v/>
      </c>
    </row>
    <row r="590" spans="6:7" x14ac:dyDescent="0.25">
      <c r="F590" s="2">
        <f t="shared" si="34"/>
        <v>0</v>
      </c>
      <c r="G590" s="2" t="str">
        <f t="shared" ca="1" si="35"/>
        <v/>
      </c>
    </row>
    <row r="591" spans="6:7" x14ac:dyDescent="0.25">
      <c r="F591" s="2">
        <f t="shared" si="34"/>
        <v>0</v>
      </c>
      <c r="G591" s="2" t="str">
        <f t="shared" ca="1" si="35"/>
        <v/>
      </c>
    </row>
    <row r="592" spans="6:7" x14ac:dyDescent="0.25">
      <c r="F592" s="2">
        <f t="shared" si="34"/>
        <v>0</v>
      </c>
      <c r="G592" s="2" t="str">
        <f t="shared" ca="1" si="35"/>
        <v/>
      </c>
    </row>
    <row r="593" spans="6:7" x14ac:dyDescent="0.25">
      <c r="F593" s="2">
        <f t="shared" si="34"/>
        <v>0</v>
      </c>
      <c r="G593" s="2" t="str">
        <f t="shared" ca="1" si="35"/>
        <v/>
      </c>
    </row>
    <row r="594" spans="6:7" x14ac:dyDescent="0.25">
      <c r="F594" s="2">
        <f t="shared" si="34"/>
        <v>0</v>
      </c>
      <c r="G594" s="2" t="str">
        <f t="shared" ca="1" si="35"/>
        <v/>
      </c>
    </row>
    <row r="595" spans="6:7" x14ac:dyDescent="0.25">
      <c r="F595" s="2">
        <f t="shared" si="34"/>
        <v>0</v>
      </c>
      <c r="G595" s="2" t="str">
        <f t="shared" ca="1" si="35"/>
        <v/>
      </c>
    </row>
    <row r="596" spans="6:7" x14ac:dyDescent="0.25">
      <c r="F596" s="2">
        <f t="shared" si="34"/>
        <v>0</v>
      </c>
      <c r="G596" s="2" t="str">
        <f t="shared" ca="1" si="35"/>
        <v/>
      </c>
    </row>
    <row r="597" spans="6:7" x14ac:dyDescent="0.25">
      <c r="F597" s="2">
        <f t="shared" si="34"/>
        <v>0</v>
      </c>
      <c r="G597" s="2" t="str">
        <f t="shared" ca="1" si="35"/>
        <v/>
      </c>
    </row>
    <row r="598" spans="6:7" x14ac:dyDescent="0.25">
      <c r="F598" s="2">
        <f t="shared" si="34"/>
        <v>0</v>
      </c>
      <c r="G598" s="2" t="str">
        <f t="shared" ca="1" si="35"/>
        <v/>
      </c>
    </row>
    <row r="599" spans="6:7" x14ac:dyDescent="0.25">
      <c r="F599" s="2">
        <f t="shared" si="34"/>
        <v>0</v>
      </c>
      <c r="G599" s="2" t="str">
        <f t="shared" ca="1" si="35"/>
        <v/>
      </c>
    </row>
    <row r="600" spans="6:7" x14ac:dyDescent="0.25">
      <c r="F600" s="2">
        <f t="shared" si="34"/>
        <v>0</v>
      </c>
      <c r="G600" s="2" t="str">
        <f t="shared" ca="1" si="35"/>
        <v/>
      </c>
    </row>
  </sheetData>
  <autoFilter ref="A2:C500" xr:uid="{CAA15B14-1536-4277-960A-D11029F8CB99}"/>
  <mergeCells count="4">
    <mergeCell ref="E1:G1"/>
    <mergeCell ref="I1:K1"/>
    <mergeCell ref="M1:O1"/>
    <mergeCell ref="A1:C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53FC2-4EEB-4CBA-B8B3-4FF958526392}">
  <sheetPr codeName="Planilha4"/>
  <dimension ref="A1:S31"/>
  <sheetViews>
    <sheetView workbookViewId="0">
      <selection activeCell="K8" sqref="K8"/>
    </sheetView>
  </sheetViews>
  <sheetFormatPr defaultRowHeight="15" x14ac:dyDescent="0.25"/>
  <cols>
    <col min="1" max="1" width="10.7109375" bestFit="1" customWidth="1"/>
    <col min="2" max="9" width="11.28515625" customWidth="1"/>
    <col min="10" max="10" width="11" style="2" customWidth="1"/>
    <col min="11" max="11" width="12.140625" style="2" bestFit="1" customWidth="1"/>
    <col min="13" max="13" width="12.140625" bestFit="1" customWidth="1"/>
    <col min="15" max="15" width="11.5703125" style="8" bestFit="1" customWidth="1"/>
    <col min="19" max="19" width="11.5703125" style="2" bestFit="1" customWidth="1"/>
  </cols>
  <sheetData>
    <row r="1" spans="1:19" s="2" customFormat="1" x14ac:dyDescent="0.25">
      <c r="A1" s="2" t="s">
        <v>113</v>
      </c>
      <c r="B1" s="2" t="s">
        <v>112</v>
      </c>
      <c r="C1" s="2" t="s">
        <v>74</v>
      </c>
      <c r="D1" s="2" t="s">
        <v>111</v>
      </c>
      <c r="E1" s="2" t="s">
        <v>73</v>
      </c>
      <c r="F1" s="2" t="s">
        <v>110</v>
      </c>
      <c r="G1" s="2" t="s">
        <v>72</v>
      </c>
      <c r="H1" s="2" t="s">
        <v>109</v>
      </c>
      <c r="I1" s="2" t="s">
        <v>71</v>
      </c>
      <c r="J1" s="21" t="s">
        <v>108</v>
      </c>
      <c r="K1" s="21"/>
      <c r="M1" s="2" t="s">
        <v>80</v>
      </c>
      <c r="N1" s="2" t="s">
        <v>106</v>
      </c>
      <c r="O1" s="8" t="s">
        <v>105</v>
      </c>
      <c r="Q1" s="2" t="s">
        <v>107</v>
      </c>
      <c r="R1" s="2" t="s">
        <v>106</v>
      </c>
      <c r="S1" s="2" t="s">
        <v>105</v>
      </c>
    </row>
    <row r="2" spans="1:19" x14ac:dyDescent="0.25">
      <c r="A2" s="9">
        <v>45587</v>
      </c>
      <c r="B2" t="s">
        <v>99</v>
      </c>
      <c r="C2" t="s">
        <v>28</v>
      </c>
      <c r="D2" t="s">
        <v>98</v>
      </c>
      <c r="E2" t="s">
        <v>49</v>
      </c>
      <c r="F2" t="s">
        <v>103</v>
      </c>
      <c r="G2" t="s">
        <v>92</v>
      </c>
      <c r="H2" t="s">
        <v>101</v>
      </c>
      <c r="I2" t="s">
        <v>94</v>
      </c>
      <c r="J2" s="2" t="s">
        <v>99</v>
      </c>
      <c r="K2" s="2" t="s">
        <v>28</v>
      </c>
      <c r="M2" t="s">
        <v>34</v>
      </c>
      <c r="N2" s="2">
        <f t="shared" ref="N2:N31" si="0">COUNTIF(C:C,M2)+COUNTIF(E:E,M2)+COUNTIF(G:G,M2)+COUNTIF(I:I,M2)</f>
        <v>2</v>
      </c>
      <c r="O2" s="8" t="str">
        <f t="shared" ref="O2:O31" si="1">IF(N2&gt;=10,(COUNTIF(K:K,M2)/N2),"Insuficiente")</f>
        <v>Insuficiente</v>
      </c>
      <c r="Q2" t="s">
        <v>99</v>
      </c>
      <c r="R2" s="2">
        <f t="shared" ref="R2:R9" si="2">COUNTIF(B:B,Q2)+COUNTIF(D:D,Q2)+COUNTIF(F:F,Q2)+COUNTIF(H:H,Q2)</f>
        <v>13</v>
      </c>
      <c r="S2" s="8">
        <f t="shared" ref="S2:S9" si="3">IF(R2&gt;=10, (COUNTIF(J:J,Q2)/R2), "Insuficiente")</f>
        <v>0.38461538461538464</v>
      </c>
    </row>
    <row r="3" spans="1:19" x14ac:dyDescent="0.25">
      <c r="A3" s="9">
        <v>45594</v>
      </c>
      <c r="B3" t="s">
        <v>99</v>
      </c>
      <c r="C3" t="s">
        <v>16</v>
      </c>
      <c r="D3" t="s">
        <v>98</v>
      </c>
      <c r="E3" t="s">
        <v>49</v>
      </c>
      <c r="F3" t="s">
        <v>103</v>
      </c>
      <c r="G3" t="s">
        <v>92</v>
      </c>
      <c r="H3" t="s">
        <v>101</v>
      </c>
      <c r="I3" t="s">
        <v>90</v>
      </c>
      <c r="J3" s="2" t="s">
        <v>98</v>
      </c>
      <c r="K3" s="2" t="s">
        <v>49</v>
      </c>
      <c r="M3" t="s">
        <v>10</v>
      </c>
      <c r="N3" s="2">
        <f t="shared" si="0"/>
        <v>1</v>
      </c>
      <c r="O3" s="8" t="str">
        <f t="shared" si="1"/>
        <v>Insuficiente</v>
      </c>
      <c r="Q3" t="s">
        <v>98</v>
      </c>
      <c r="R3" s="2">
        <f t="shared" si="2"/>
        <v>12</v>
      </c>
      <c r="S3" s="8">
        <f t="shared" si="3"/>
        <v>0.25</v>
      </c>
    </row>
    <row r="4" spans="1:19" x14ac:dyDescent="0.25">
      <c r="A4" s="9">
        <v>45594</v>
      </c>
      <c r="B4" t="s">
        <v>99</v>
      </c>
      <c r="C4" t="s">
        <v>89</v>
      </c>
      <c r="D4" t="s">
        <v>98</v>
      </c>
      <c r="E4" t="s">
        <v>49</v>
      </c>
      <c r="F4" t="s">
        <v>103</v>
      </c>
      <c r="G4" t="s">
        <v>92</v>
      </c>
      <c r="H4" t="s">
        <v>104</v>
      </c>
      <c r="I4" t="s">
        <v>43</v>
      </c>
      <c r="J4" s="2" t="s">
        <v>99</v>
      </c>
      <c r="K4" s="2" t="s">
        <v>89</v>
      </c>
      <c r="M4" t="s">
        <v>61</v>
      </c>
      <c r="N4" s="2">
        <f t="shared" si="0"/>
        <v>1</v>
      </c>
      <c r="O4" s="8" t="str">
        <f t="shared" si="1"/>
        <v>Insuficiente</v>
      </c>
      <c r="Q4" t="s">
        <v>103</v>
      </c>
      <c r="R4" s="2">
        <f t="shared" si="2"/>
        <v>6</v>
      </c>
      <c r="S4" s="8" t="str">
        <f t="shared" si="3"/>
        <v>Insuficiente</v>
      </c>
    </row>
    <row r="5" spans="1:19" x14ac:dyDescent="0.25">
      <c r="A5" s="9">
        <v>45594</v>
      </c>
      <c r="B5" t="s">
        <v>99</v>
      </c>
      <c r="C5" t="s">
        <v>34</v>
      </c>
      <c r="D5" t="s">
        <v>98</v>
      </c>
      <c r="E5" t="s">
        <v>49</v>
      </c>
      <c r="F5" t="s">
        <v>103</v>
      </c>
      <c r="G5" t="s">
        <v>61</v>
      </c>
      <c r="H5" t="s">
        <v>104</v>
      </c>
      <c r="I5" t="s">
        <v>51</v>
      </c>
      <c r="J5" s="2" t="s">
        <v>99</v>
      </c>
      <c r="K5" s="2" t="s">
        <v>34</v>
      </c>
      <c r="M5" t="s">
        <v>16</v>
      </c>
      <c r="N5" s="2">
        <f t="shared" si="0"/>
        <v>1</v>
      </c>
      <c r="O5" s="8" t="str">
        <f t="shared" si="1"/>
        <v>Insuficiente</v>
      </c>
      <c r="Q5" t="s">
        <v>101</v>
      </c>
      <c r="R5" s="2">
        <f t="shared" si="2"/>
        <v>7</v>
      </c>
      <c r="S5" s="8" t="str">
        <f t="shared" si="3"/>
        <v>Insuficiente</v>
      </c>
    </row>
    <row r="6" spans="1:19" x14ac:dyDescent="0.25">
      <c r="A6" s="9">
        <v>45597</v>
      </c>
      <c r="B6" t="s">
        <v>99</v>
      </c>
      <c r="C6" t="s">
        <v>36</v>
      </c>
      <c r="D6" t="s">
        <v>98</v>
      </c>
      <c r="E6" t="s">
        <v>49</v>
      </c>
      <c r="F6" t="s">
        <v>103</v>
      </c>
      <c r="G6" t="s">
        <v>92</v>
      </c>
      <c r="H6" t="s">
        <v>97</v>
      </c>
      <c r="I6" t="s">
        <v>86</v>
      </c>
      <c r="J6" s="2" t="s">
        <v>97</v>
      </c>
      <c r="K6" s="2" t="s">
        <v>86</v>
      </c>
      <c r="M6" t="s">
        <v>28</v>
      </c>
      <c r="N6" s="2">
        <f t="shared" si="0"/>
        <v>1</v>
      </c>
      <c r="O6" s="8" t="str">
        <f t="shared" si="1"/>
        <v>Insuficiente</v>
      </c>
      <c r="Q6" t="s">
        <v>104</v>
      </c>
      <c r="R6" s="2">
        <f t="shared" si="2"/>
        <v>2</v>
      </c>
      <c r="S6" s="8" t="str">
        <f t="shared" si="3"/>
        <v>Insuficiente</v>
      </c>
    </row>
    <row r="7" spans="1:19" x14ac:dyDescent="0.25">
      <c r="A7" s="9">
        <v>45597</v>
      </c>
      <c r="B7" t="s">
        <v>99</v>
      </c>
      <c r="C7" t="s">
        <v>40</v>
      </c>
      <c r="D7" t="s">
        <v>98</v>
      </c>
      <c r="E7" t="s">
        <v>49</v>
      </c>
      <c r="F7" t="s">
        <v>103</v>
      </c>
      <c r="G7" t="s">
        <v>92</v>
      </c>
      <c r="H7" t="s">
        <v>97</v>
      </c>
      <c r="I7" t="s">
        <v>86</v>
      </c>
      <c r="J7" s="2" t="s">
        <v>98</v>
      </c>
      <c r="K7" s="2" t="s">
        <v>49</v>
      </c>
      <c r="M7" t="s">
        <v>96</v>
      </c>
      <c r="N7" s="2">
        <f t="shared" si="0"/>
        <v>3</v>
      </c>
      <c r="O7" s="8" t="str">
        <f t="shared" si="1"/>
        <v>Insuficiente</v>
      </c>
      <c r="Q7" t="s">
        <v>102</v>
      </c>
      <c r="R7" s="2">
        <f t="shared" si="2"/>
        <v>4</v>
      </c>
      <c r="S7" s="8" t="str">
        <f t="shared" si="3"/>
        <v>Insuficiente</v>
      </c>
    </row>
    <row r="8" spans="1:19" x14ac:dyDescent="0.25">
      <c r="A8" s="9">
        <v>45599</v>
      </c>
      <c r="B8" t="s">
        <v>99</v>
      </c>
      <c r="C8" t="s">
        <v>62</v>
      </c>
      <c r="D8" t="s">
        <v>98</v>
      </c>
      <c r="E8" t="s">
        <v>10</v>
      </c>
      <c r="F8" t="s">
        <v>101</v>
      </c>
      <c r="G8" t="s">
        <v>87</v>
      </c>
      <c r="H8" t="s">
        <v>102</v>
      </c>
      <c r="I8" t="s">
        <v>88</v>
      </c>
      <c r="J8" s="2" t="s">
        <v>98</v>
      </c>
      <c r="K8" s="2" t="s">
        <v>10</v>
      </c>
      <c r="M8" t="s">
        <v>100</v>
      </c>
      <c r="N8" s="2">
        <f t="shared" si="0"/>
        <v>1</v>
      </c>
      <c r="O8" s="8" t="str">
        <f t="shared" si="1"/>
        <v>Insuficiente</v>
      </c>
      <c r="Q8" t="s">
        <v>97</v>
      </c>
      <c r="R8" s="2">
        <f t="shared" si="2"/>
        <v>6</v>
      </c>
      <c r="S8" s="8" t="str">
        <f t="shared" si="3"/>
        <v>Insuficiente</v>
      </c>
    </row>
    <row r="9" spans="1:19" x14ac:dyDescent="0.25">
      <c r="A9" s="9">
        <v>45599</v>
      </c>
      <c r="B9" t="s">
        <v>99</v>
      </c>
      <c r="C9" t="s">
        <v>91</v>
      </c>
      <c r="D9" t="s">
        <v>98</v>
      </c>
      <c r="E9" t="s">
        <v>34</v>
      </c>
      <c r="F9" t="s">
        <v>101</v>
      </c>
      <c r="G9" t="s">
        <v>87</v>
      </c>
      <c r="H9" t="s">
        <v>102</v>
      </c>
      <c r="I9" t="s">
        <v>93</v>
      </c>
      <c r="J9" s="2" t="s">
        <v>102</v>
      </c>
      <c r="K9" s="2" t="s">
        <v>93</v>
      </c>
      <c r="M9" t="s">
        <v>36</v>
      </c>
      <c r="N9" s="2">
        <f t="shared" si="0"/>
        <v>1</v>
      </c>
      <c r="O9" s="8" t="str">
        <f t="shared" si="1"/>
        <v>Insuficiente</v>
      </c>
      <c r="Q9" t="s">
        <v>95</v>
      </c>
      <c r="R9" s="2">
        <f t="shared" si="2"/>
        <v>2</v>
      </c>
      <c r="S9" s="2" t="str">
        <f t="shared" si="3"/>
        <v>Insuficiente</v>
      </c>
    </row>
    <row r="10" spans="1:19" x14ac:dyDescent="0.25">
      <c r="A10" s="9">
        <v>45835</v>
      </c>
      <c r="B10" t="s">
        <v>99</v>
      </c>
      <c r="C10" t="s">
        <v>8</v>
      </c>
      <c r="D10" t="s">
        <v>98</v>
      </c>
      <c r="E10" t="s">
        <v>26</v>
      </c>
      <c r="F10" t="s">
        <v>101</v>
      </c>
      <c r="G10" t="s">
        <v>87</v>
      </c>
      <c r="H10" t="s">
        <v>102</v>
      </c>
      <c r="I10" t="s">
        <v>88</v>
      </c>
      <c r="J10" s="2" t="s">
        <v>101</v>
      </c>
      <c r="K10" s="2" t="s">
        <v>87</v>
      </c>
      <c r="M10" t="s">
        <v>26</v>
      </c>
      <c r="N10" s="2">
        <f t="shared" si="0"/>
        <v>1</v>
      </c>
      <c r="O10" s="8" t="str">
        <f t="shared" si="1"/>
        <v>Insuficiente</v>
      </c>
    </row>
    <row r="11" spans="1:19" x14ac:dyDescent="0.25">
      <c r="A11" s="9">
        <v>45864</v>
      </c>
      <c r="B11" t="s">
        <v>99</v>
      </c>
      <c r="C11" t="s">
        <v>43</v>
      </c>
      <c r="D11" t="s">
        <v>98</v>
      </c>
      <c r="E11" t="s">
        <v>49</v>
      </c>
      <c r="F11" t="s">
        <v>95</v>
      </c>
      <c r="G11" t="s">
        <v>100</v>
      </c>
      <c r="H11" t="s">
        <v>97</v>
      </c>
      <c r="I11" t="s">
        <v>96</v>
      </c>
      <c r="J11" s="2" t="s">
        <v>99</v>
      </c>
      <c r="K11" s="2" t="s">
        <v>43</v>
      </c>
      <c r="M11" t="s">
        <v>94</v>
      </c>
      <c r="N11" s="2">
        <f t="shared" si="0"/>
        <v>2</v>
      </c>
      <c r="O11" s="8" t="str">
        <f t="shared" si="1"/>
        <v>Insuficiente</v>
      </c>
    </row>
    <row r="12" spans="1:19" x14ac:dyDescent="0.25">
      <c r="A12" s="9">
        <v>45864</v>
      </c>
      <c r="B12" t="s">
        <v>99</v>
      </c>
      <c r="C12" t="s">
        <v>32</v>
      </c>
      <c r="D12" t="s">
        <v>98</v>
      </c>
      <c r="E12" t="s">
        <v>49</v>
      </c>
      <c r="F12" t="s">
        <v>95</v>
      </c>
      <c r="G12" t="s">
        <v>94</v>
      </c>
      <c r="H12" t="s">
        <v>97</v>
      </c>
      <c r="I12" t="s">
        <v>96</v>
      </c>
      <c r="J12" s="2" t="s">
        <v>95</v>
      </c>
      <c r="K12" s="2" t="s">
        <v>94</v>
      </c>
      <c r="M12" t="s">
        <v>51</v>
      </c>
      <c r="N12" s="2">
        <f t="shared" si="0"/>
        <v>1</v>
      </c>
      <c r="O12" s="8" t="str">
        <f t="shared" si="1"/>
        <v>Insuficiente</v>
      </c>
    </row>
    <row r="13" spans="1:19" x14ac:dyDescent="0.25">
      <c r="A13" s="9">
        <v>45955</v>
      </c>
      <c r="B13" t="s">
        <v>99</v>
      </c>
      <c r="C13" t="s">
        <v>5</v>
      </c>
      <c r="D13" t="s">
        <v>97</v>
      </c>
      <c r="E13" t="s">
        <v>183</v>
      </c>
      <c r="F13" t="s">
        <v>101</v>
      </c>
      <c r="G13" t="s">
        <v>185</v>
      </c>
      <c r="H13" t="s">
        <v>102</v>
      </c>
      <c r="I13" t="s">
        <v>88</v>
      </c>
      <c r="J13" s="2" t="s">
        <v>99</v>
      </c>
      <c r="K13" s="2" t="s">
        <v>5</v>
      </c>
      <c r="M13" t="s">
        <v>93</v>
      </c>
      <c r="N13" s="2">
        <f t="shared" si="0"/>
        <v>1</v>
      </c>
      <c r="O13" s="8" t="str">
        <f t="shared" si="1"/>
        <v>Insuficiente</v>
      </c>
    </row>
    <row r="14" spans="1:19" x14ac:dyDescent="0.25">
      <c r="A14" s="9">
        <v>45957</v>
      </c>
      <c r="B14" t="s">
        <v>99</v>
      </c>
      <c r="C14" t="s">
        <v>184</v>
      </c>
      <c r="D14" t="s">
        <v>98</v>
      </c>
      <c r="E14" t="s">
        <v>57</v>
      </c>
      <c r="F14" t="s">
        <v>101</v>
      </c>
      <c r="G14" t="s">
        <v>183</v>
      </c>
      <c r="H14" t="s">
        <v>97</v>
      </c>
      <c r="I14" t="s">
        <v>96</v>
      </c>
      <c r="J14" s="2" t="s">
        <v>101</v>
      </c>
      <c r="K14" s="2" t="s">
        <v>183</v>
      </c>
      <c r="M14" t="s">
        <v>43</v>
      </c>
      <c r="N14" s="2">
        <f t="shared" si="0"/>
        <v>2</v>
      </c>
      <c r="O14" s="8" t="str">
        <f t="shared" si="1"/>
        <v>Insuficiente</v>
      </c>
    </row>
    <row r="15" spans="1:19" x14ac:dyDescent="0.25">
      <c r="M15" t="s">
        <v>62</v>
      </c>
      <c r="N15" s="2">
        <f t="shared" si="0"/>
        <v>1</v>
      </c>
      <c r="O15" s="8" t="str">
        <f t="shared" si="1"/>
        <v>Insuficiente</v>
      </c>
    </row>
    <row r="16" spans="1:19" x14ac:dyDescent="0.25">
      <c r="M16" t="s">
        <v>92</v>
      </c>
      <c r="N16" s="2">
        <f t="shared" si="0"/>
        <v>5</v>
      </c>
      <c r="O16" s="8" t="str">
        <f t="shared" si="1"/>
        <v>Insuficiente</v>
      </c>
    </row>
    <row r="17" spans="13:15" x14ac:dyDescent="0.25">
      <c r="M17" t="s">
        <v>32</v>
      </c>
      <c r="N17" s="2">
        <f t="shared" si="0"/>
        <v>1</v>
      </c>
      <c r="O17" s="8" t="str">
        <f t="shared" si="1"/>
        <v>Insuficiente</v>
      </c>
    </row>
    <row r="18" spans="13:15" x14ac:dyDescent="0.25">
      <c r="M18" t="s">
        <v>91</v>
      </c>
      <c r="N18" s="2">
        <f t="shared" si="0"/>
        <v>1</v>
      </c>
      <c r="O18" s="8" t="str">
        <f t="shared" si="1"/>
        <v>Insuficiente</v>
      </c>
    </row>
    <row r="19" spans="13:15" x14ac:dyDescent="0.25">
      <c r="M19" t="s">
        <v>90</v>
      </c>
      <c r="N19" s="2">
        <f t="shared" si="0"/>
        <v>1</v>
      </c>
      <c r="O19" s="8" t="str">
        <f t="shared" si="1"/>
        <v>Insuficiente</v>
      </c>
    </row>
    <row r="20" spans="13:15" x14ac:dyDescent="0.25">
      <c r="M20" t="s">
        <v>89</v>
      </c>
      <c r="N20" s="2">
        <f t="shared" si="0"/>
        <v>1</v>
      </c>
      <c r="O20" s="8" t="str">
        <f t="shared" si="1"/>
        <v>Insuficiente</v>
      </c>
    </row>
    <row r="21" spans="13:15" x14ac:dyDescent="0.25">
      <c r="M21" t="s">
        <v>88</v>
      </c>
      <c r="N21" s="2">
        <f t="shared" si="0"/>
        <v>3</v>
      </c>
      <c r="O21" s="8" t="str">
        <f t="shared" si="1"/>
        <v>Insuficiente</v>
      </c>
    </row>
    <row r="22" spans="13:15" x14ac:dyDescent="0.25">
      <c r="M22" t="s">
        <v>87</v>
      </c>
      <c r="N22" s="2">
        <f t="shared" si="0"/>
        <v>3</v>
      </c>
      <c r="O22" s="8" t="str">
        <f t="shared" si="1"/>
        <v>Insuficiente</v>
      </c>
    </row>
    <row r="23" spans="13:15" x14ac:dyDescent="0.25">
      <c r="M23" t="s">
        <v>86</v>
      </c>
      <c r="N23" s="2">
        <f t="shared" si="0"/>
        <v>2</v>
      </c>
      <c r="O23" s="8" t="str">
        <f t="shared" si="1"/>
        <v>Insuficiente</v>
      </c>
    </row>
    <row r="24" spans="13:15" x14ac:dyDescent="0.25">
      <c r="M24" t="s">
        <v>40</v>
      </c>
      <c r="N24" s="2">
        <f t="shared" si="0"/>
        <v>1</v>
      </c>
      <c r="O24" s="8" t="str">
        <f t="shared" si="1"/>
        <v>Insuficiente</v>
      </c>
    </row>
    <row r="25" spans="13:15" x14ac:dyDescent="0.25">
      <c r="M25" t="s">
        <v>8</v>
      </c>
      <c r="N25" s="2">
        <f t="shared" si="0"/>
        <v>1</v>
      </c>
      <c r="O25" s="8" t="str">
        <f t="shared" si="1"/>
        <v>Insuficiente</v>
      </c>
    </row>
    <row r="26" spans="13:15" x14ac:dyDescent="0.25">
      <c r="M26" t="s">
        <v>49</v>
      </c>
      <c r="N26" s="2">
        <f t="shared" si="0"/>
        <v>8</v>
      </c>
      <c r="O26" s="8" t="str">
        <f t="shared" si="1"/>
        <v>Insuficiente</v>
      </c>
    </row>
    <row r="27" spans="13:15" x14ac:dyDescent="0.25">
      <c r="M27" t="s">
        <v>185</v>
      </c>
      <c r="N27" s="2">
        <f t="shared" si="0"/>
        <v>1</v>
      </c>
      <c r="O27" s="8" t="str">
        <f t="shared" si="1"/>
        <v>Insuficiente</v>
      </c>
    </row>
    <row r="28" spans="13:15" x14ac:dyDescent="0.25">
      <c r="M28" t="s">
        <v>183</v>
      </c>
      <c r="N28" s="2">
        <f t="shared" si="0"/>
        <v>2</v>
      </c>
      <c r="O28" s="8" t="str">
        <f t="shared" si="1"/>
        <v>Insuficiente</v>
      </c>
    </row>
    <row r="29" spans="13:15" x14ac:dyDescent="0.25">
      <c r="M29" t="s">
        <v>184</v>
      </c>
      <c r="N29" s="2">
        <f t="shared" si="0"/>
        <v>1</v>
      </c>
      <c r="O29" s="8" t="str">
        <f t="shared" si="1"/>
        <v>Insuficiente</v>
      </c>
    </row>
    <row r="30" spans="13:15" x14ac:dyDescent="0.25">
      <c r="M30" t="s">
        <v>57</v>
      </c>
      <c r="N30" s="2">
        <f t="shared" si="0"/>
        <v>1</v>
      </c>
      <c r="O30" s="8" t="str">
        <f t="shared" si="1"/>
        <v>Insuficiente</v>
      </c>
    </row>
    <row r="31" spans="13:15" x14ac:dyDescent="0.25">
      <c r="M31" t="s">
        <v>5</v>
      </c>
      <c r="N31" s="2">
        <f t="shared" si="0"/>
        <v>1</v>
      </c>
      <c r="O31" s="8" t="str">
        <f t="shared" si="1"/>
        <v>Insuficiente</v>
      </c>
    </row>
  </sheetData>
  <mergeCells count="1">
    <mergeCell ref="J1:K1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7738B-DE8C-42DB-AAA5-D25D7A7EDF1B}">
  <sheetPr codeName="Planilha5"/>
  <dimension ref="A1:I27"/>
  <sheetViews>
    <sheetView topLeftCell="A9" workbookViewId="0">
      <selection activeCell="A28" sqref="A28"/>
    </sheetView>
  </sheetViews>
  <sheetFormatPr defaultRowHeight="15" x14ac:dyDescent="0.25"/>
  <cols>
    <col min="1" max="1" width="26.140625" bestFit="1" customWidth="1"/>
    <col min="2" max="6" width="4.140625" style="2" customWidth="1"/>
    <col min="7" max="7" width="13.85546875" bestFit="1" customWidth="1"/>
    <col min="8" max="8" width="11.85546875" style="10" bestFit="1" customWidth="1"/>
    <col min="9" max="9" width="10.5703125" bestFit="1" customWidth="1"/>
  </cols>
  <sheetData>
    <row r="1" spans="1:9" s="4" customFormat="1" x14ac:dyDescent="0.25">
      <c r="A1" s="4" t="s">
        <v>70</v>
      </c>
      <c r="B1" s="22" t="s">
        <v>163</v>
      </c>
      <c r="C1" s="22"/>
      <c r="D1" s="22"/>
      <c r="E1" s="22"/>
      <c r="F1" s="22"/>
      <c r="G1" s="4" t="s">
        <v>162</v>
      </c>
      <c r="H1" s="4" t="s">
        <v>161</v>
      </c>
      <c r="I1" s="4" t="s">
        <v>160</v>
      </c>
    </row>
    <row r="2" spans="1:9" x14ac:dyDescent="0.25">
      <c r="A2" t="s">
        <v>159</v>
      </c>
      <c r="B2" s="2" t="s">
        <v>3</v>
      </c>
      <c r="C2" s="2" t="s">
        <v>3</v>
      </c>
      <c r="D2" s="2" t="s">
        <v>3</v>
      </c>
      <c r="E2" s="2" t="s">
        <v>3</v>
      </c>
      <c r="F2" s="2" t="s">
        <v>3</v>
      </c>
      <c r="G2" t="s">
        <v>124</v>
      </c>
      <c r="H2" s="10" t="s">
        <v>115</v>
      </c>
      <c r="I2" t="s">
        <v>137</v>
      </c>
    </row>
    <row r="3" spans="1:9" x14ac:dyDescent="0.25">
      <c r="A3" t="s">
        <v>158</v>
      </c>
      <c r="B3" s="2" t="s">
        <v>3</v>
      </c>
      <c r="C3" s="2" t="s">
        <v>3</v>
      </c>
      <c r="D3" s="2" t="s">
        <v>2</v>
      </c>
      <c r="E3" s="2" t="s">
        <v>3</v>
      </c>
      <c r="F3" s="2" t="s">
        <v>3</v>
      </c>
      <c r="G3" t="s">
        <v>116</v>
      </c>
      <c r="H3" s="10" t="s">
        <v>142</v>
      </c>
      <c r="I3" t="s">
        <v>139</v>
      </c>
    </row>
    <row r="4" spans="1:9" x14ac:dyDescent="0.25">
      <c r="A4" t="s">
        <v>157</v>
      </c>
      <c r="B4" s="2" t="s">
        <v>3</v>
      </c>
      <c r="C4" s="2" t="s">
        <v>3</v>
      </c>
      <c r="D4" s="2" t="s">
        <v>3</v>
      </c>
      <c r="E4" s="2" t="s">
        <v>3</v>
      </c>
      <c r="F4" s="2" t="s">
        <v>2</v>
      </c>
      <c r="G4" t="s">
        <v>144</v>
      </c>
      <c r="H4" s="10" t="s">
        <v>7</v>
      </c>
      <c r="I4" t="s">
        <v>156</v>
      </c>
    </row>
    <row r="5" spans="1:9" x14ac:dyDescent="0.25">
      <c r="A5" t="s">
        <v>155</v>
      </c>
      <c r="B5" s="2" t="s">
        <v>3</v>
      </c>
      <c r="C5" s="2" t="s">
        <v>3</v>
      </c>
      <c r="D5" s="2" t="s">
        <v>2</v>
      </c>
      <c r="E5" s="2" t="s">
        <v>3</v>
      </c>
      <c r="F5" s="2" t="s">
        <v>3</v>
      </c>
      <c r="G5" t="s">
        <v>116</v>
      </c>
      <c r="H5" s="10" t="s">
        <v>154</v>
      </c>
      <c r="I5" t="s">
        <v>150</v>
      </c>
    </row>
    <row r="6" spans="1:9" x14ac:dyDescent="0.25">
      <c r="A6" t="s">
        <v>153</v>
      </c>
      <c r="B6" s="2" t="s">
        <v>3</v>
      </c>
      <c r="C6" s="2" t="s">
        <v>3</v>
      </c>
      <c r="D6" s="2" t="s">
        <v>3</v>
      </c>
      <c r="E6" s="2" t="s">
        <v>2</v>
      </c>
      <c r="F6" s="2" t="s">
        <v>3</v>
      </c>
      <c r="G6" t="s">
        <v>116</v>
      </c>
      <c r="H6" s="10" t="s">
        <v>115</v>
      </c>
      <c r="I6" t="s">
        <v>114</v>
      </c>
    </row>
    <row r="7" spans="1:9" x14ac:dyDescent="0.25">
      <c r="A7" t="s">
        <v>152</v>
      </c>
      <c r="B7" s="2" t="s">
        <v>3</v>
      </c>
      <c r="C7" s="2" t="s">
        <v>3</v>
      </c>
      <c r="D7" s="2" t="s">
        <v>2</v>
      </c>
      <c r="E7" s="2" t="s">
        <v>3</v>
      </c>
      <c r="F7" s="2" t="s">
        <v>3</v>
      </c>
      <c r="G7" t="s">
        <v>120</v>
      </c>
      <c r="H7" s="10" t="s">
        <v>66</v>
      </c>
      <c r="I7" t="s">
        <v>151</v>
      </c>
    </row>
    <row r="8" spans="1:9" x14ac:dyDescent="0.25">
      <c r="A8" t="s">
        <v>149</v>
      </c>
      <c r="B8" s="2" t="s">
        <v>3</v>
      </c>
      <c r="C8" s="2" t="s">
        <v>2</v>
      </c>
      <c r="D8" s="2" t="s">
        <v>3</v>
      </c>
      <c r="E8" s="2" t="s">
        <v>3</v>
      </c>
      <c r="F8" s="2" t="s">
        <v>3</v>
      </c>
      <c r="G8" t="s">
        <v>120</v>
      </c>
      <c r="H8" s="10" t="s">
        <v>148</v>
      </c>
      <c r="I8" t="s">
        <v>147</v>
      </c>
    </row>
    <row r="9" spans="1:9" x14ac:dyDescent="0.25">
      <c r="A9" t="s">
        <v>146</v>
      </c>
      <c r="B9" s="2" t="s">
        <v>3</v>
      </c>
      <c r="C9" s="2" t="s">
        <v>3</v>
      </c>
      <c r="D9" s="2" t="s">
        <v>2</v>
      </c>
      <c r="E9" s="2" t="s">
        <v>3</v>
      </c>
      <c r="F9" s="2" t="s">
        <v>3</v>
      </c>
      <c r="G9" t="s">
        <v>144</v>
      </c>
      <c r="H9" s="10" t="s">
        <v>142</v>
      </c>
      <c r="I9" t="s">
        <v>114</v>
      </c>
    </row>
    <row r="10" spans="1:9" x14ac:dyDescent="0.25">
      <c r="A10" t="s">
        <v>145</v>
      </c>
      <c r="B10" s="2" t="s">
        <v>3</v>
      </c>
      <c r="C10" s="2" t="s">
        <v>3</v>
      </c>
      <c r="D10" s="2" t="s">
        <v>3</v>
      </c>
      <c r="E10" s="2" t="s">
        <v>3</v>
      </c>
      <c r="F10" s="2" t="s">
        <v>2</v>
      </c>
      <c r="G10" t="s">
        <v>144</v>
      </c>
      <c r="H10" s="10" t="s">
        <v>7</v>
      </c>
      <c r="I10" t="s">
        <v>139</v>
      </c>
    </row>
    <row r="11" spans="1:9" x14ac:dyDescent="0.25">
      <c r="A11" t="s">
        <v>143</v>
      </c>
      <c r="B11" s="2" t="s">
        <v>2</v>
      </c>
      <c r="C11" s="2" t="s">
        <v>3</v>
      </c>
      <c r="D11" s="2" t="s">
        <v>3</v>
      </c>
      <c r="E11" s="2" t="s">
        <v>3</v>
      </c>
      <c r="F11" s="2" t="s">
        <v>3</v>
      </c>
      <c r="G11" t="s">
        <v>120</v>
      </c>
      <c r="H11" s="10" t="s">
        <v>142</v>
      </c>
      <c r="I11" t="s">
        <v>141</v>
      </c>
    </row>
    <row r="12" spans="1:9" x14ac:dyDescent="0.25">
      <c r="A12" t="s">
        <v>140</v>
      </c>
      <c r="B12" s="2" t="s">
        <v>3</v>
      </c>
      <c r="C12" s="2" t="s">
        <v>3</v>
      </c>
      <c r="D12" s="2" t="s">
        <v>3</v>
      </c>
      <c r="E12" s="2" t="s">
        <v>3</v>
      </c>
      <c r="F12" s="2" t="s">
        <v>2</v>
      </c>
      <c r="G12" t="s">
        <v>139</v>
      </c>
      <c r="H12" s="10" t="s">
        <v>123</v>
      </c>
      <c r="I12" t="s">
        <v>114</v>
      </c>
    </row>
    <row r="13" spans="1:9" x14ac:dyDescent="0.25">
      <c r="A13" t="s">
        <v>138</v>
      </c>
      <c r="B13" s="2" t="s">
        <v>3</v>
      </c>
      <c r="C13" s="2" t="s">
        <v>2</v>
      </c>
      <c r="D13" s="2" t="s">
        <v>3</v>
      </c>
      <c r="E13" s="2" t="s">
        <v>3</v>
      </c>
      <c r="F13" s="2" t="s">
        <v>3</v>
      </c>
      <c r="G13" t="s">
        <v>116</v>
      </c>
      <c r="H13" s="10" t="s">
        <v>7</v>
      </c>
      <c r="I13" t="s">
        <v>137</v>
      </c>
    </row>
    <row r="14" spans="1:9" x14ac:dyDescent="0.25">
      <c r="A14" t="s">
        <v>136</v>
      </c>
      <c r="B14" s="2" t="s">
        <v>3</v>
      </c>
      <c r="C14" s="2" t="s">
        <v>3</v>
      </c>
      <c r="D14" s="2" t="s">
        <v>3</v>
      </c>
      <c r="E14" s="2" t="s">
        <v>3</v>
      </c>
      <c r="F14" s="2" t="s">
        <v>2</v>
      </c>
      <c r="G14" t="s">
        <v>120</v>
      </c>
      <c r="H14" s="10" t="s">
        <v>123</v>
      </c>
      <c r="I14" t="s">
        <v>114</v>
      </c>
    </row>
    <row r="15" spans="1:9" x14ac:dyDescent="0.25">
      <c r="A15" t="s">
        <v>135</v>
      </c>
      <c r="B15" s="2" t="s">
        <v>3</v>
      </c>
      <c r="C15" s="2" t="s">
        <v>3</v>
      </c>
      <c r="D15" s="2" t="s">
        <v>3</v>
      </c>
      <c r="E15" s="2" t="s">
        <v>3</v>
      </c>
      <c r="F15" s="2" t="s">
        <v>2</v>
      </c>
      <c r="G15" t="s">
        <v>124</v>
      </c>
      <c r="H15" s="10" t="s">
        <v>7</v>
      </c>
      <c r="I15" t="s">
        <v>114</v>
      </c>
    </row>
    <row r="16" spans="1:9" x14ac:dyDescent="0.25">
      <c r="A16" t="s">
        <v>134</v>
      </c>
      <c r="B16" s="2" t="s">
        <v>2</v>
      </c>
      <c r="C16" s="2" t="s">
        <v>3</v>
      </c>
      <c r="D16" s="2" t="s">
        <v>3</v>
      </c>
      <c r="E16" s="2" t="s">
        <v>3</v>
      </c>
      <c r="F16" s="2" t="s">
        <v>3</v>
      </c>
      <c r="G16" t="s">
        <v>116</v>
      </c>
      <c r="H16" s="10" t="s">
        <v>115</v>
      </c>
      <c r="I16" t="s">
        <v>114</v>
      </c>
    </row>
    <row r="17" spans="1:9" x14ac:dyDescent="0.25">
      <c r="A17" t="s">
        <v>133</v>
      </c>
      <c r="B17" s="2" t="s">
        <v>3</v>
      </c>
      <c r="C17" s="2" t="s">
        <v>3</v>
      </c>
      <c r="D17" s="2" t="s">
        <v>3</v>
      </c>
      <c r="E17" s="2" t="s">
        <v>2</v>
      </c>
      <c r="F17" s="2" t="s">
        <v>3</v>
      </c>
      <c r="G17" t="s">
        <v>116</v>
      </c>
      <c r="H17" s="10" t="s">
        <v>132</v>
      </c>
      <c r="I17" t="s">
        <v>114</v>
      </c>
    </row>
    <row r="18" spans="1:9" x14ac:dyDescent="0.25">
      <c r="A18" t="s">
        <v>131</v>
      </c>
      <c r="B18" s="2" t="s">
        <v>3</v>
      </c>
      <c r="C18" s="2" t="s">
        <v>3</v>
      </c>
      <c r="D18" s="2" t="s">
        <v>3</v>
      </c>
      <c r="E18" s="2" t="s">
        <v>3</v>
      </c>
      <c r="F18" s="2" t="s">
        <v>2</v>
      </c>
      <c r="G18" t="s">
        <v>128</v>
      </c>
      <c r="H18" s="10" t="s">
        <v>130</v>
      </c>
      <c r="I18" t="s">
        <v>114</v>
      </c>
    </row>
    <row r="19" spans="1:9" x14ac:dyDescent="0.25">
      <c r="A19" t="s">
        <v>129</v>
      </c>
      <c r="B19" s="2" t="s">
        <v>3</v>
      </c>
      <c r="C19" s="2" t="s">
        <v>3</v>
      </c>
      <c r="D19" s="2" t="s">
        <v>3</v>
      </c>
      <c r="E19" s="2" t="s">
        <v>2</v>
      </c>
      <c r="F19" s="2" t="s">
        <v>3</v>
      </c>
      <c r="G19" t="s">
        <v>128</v>
      </c>
      <c r="H19" s="10" t="s">
        <v>127</v>
      </c>
      <c r="I19" t="s">
        <v>126</v>
      </c>
    </row>
    <row r="20" spans="1:9" x14ac:dyDescent="0.25">
      <c r="A20" t="s">
        <v>125</v>
      </c>
      <c r="B20" s="2" t="s">
        <v>3</v>
      </c>
      <c r="C20" s="2" t="s">
        <v>3</v>
      </c>
      <c r="D20" s="2" t="s">
        <v>3</v>
      </c>
      <c r="E20" s="2" t="s">
        <v>3</v>
      </c>
      <c r="F20" s="2" t="s">
        <v>3</v>
      </c>
      <c r="G20" t="s">
        <v>124</v>
      </c>
      <c r="H20" s="10" t="s">
        <v>123</v>
      </c>
      <c r="I20" t="s">
        <v>122</v>
      </c>
    </row>
    <row r="21" spans="1:9" x14ac:dyDescent="0.25">
      <c r="A21" t="s">
        <v>121</v>
      </c>
      <c r="B21" s="2" t="s">
        <v>3</v>
      </c>
      <c r="C21" s="2" t="s">
        <v>3</v>
      </c>
      <c r="D21" s="2" t="s">
        <v>3</v>
      </c>
      <c r="E21" s="2" t="s">
        <v>3</v>
      </c>
      <c r="F21" s="2" t="s">
        <v>2</v>
      </c>
      <c r="G21" t="s">
        <v>120</v>
      </c>
      <c r="H21" s="10" t="s">
        <v>119</v>
      </c>
      <c r="I21" t="s">
        <v>118</v>
      </c>
    </row>
    <row r="22" spans="1:9" x14ac:dyDescent="0.25">
      <c r="A22" t="s">
        <v>117</v>
      </c>
      <c r="B22" s="2" t="s">
        <v>3</v>
      </c>
      <c r="C22" s="2" t="s">
        <v>3</v>
      </c>
      <c r="D22" s="2" t="s">
        <v>2</v>
      </c>
      <c r="E22" s="2" t="s">
        <v>3</v>
      </c>
      <c r="F22" s="2" t="s">
        <v>3</v>
      </c>
      <c r="G22" t="s">
        <v>116</v>
      </c>
      <c r="H22" s="10" t="s">
        <v>115</v>
      </c>
      <c r="I22" t="s">
        <v>114</v>
      </c>
    </row>
    <row r="23" spans="1:9" x14ac:dyDescent="0.25">
      <c r="A23" t="s">
        <v>385</v>
      </c>
      <c r="B23" s="2" t="s">
        <v>3</v>
      </c>
      <c r="C23" s="2" t="s">
        <v>2</v>
      </c>
      <c r="D23" s="2" t="s">
        <v>3</v>
      </c>
      <c r="E23" s="2" t="s">
        <v>3</v>
      </c>
      <c r="F23" s="2" t="s">
        <v>3</v>
      </c>
      <c r="G23" s="10" t="s">
        <v>128</v>
      </c>
      <c r="H23" s="10" t="s">
        <v>386</v>
      </c>
      <c r="I23" t="s">
        <v>137</v>
      </c>
    </row>
    <row r="24" spans="1:9" x14ac:dyDescent="0.25">
      <c r="A24" t="s">
        <v>387</v>
      </c>
      <c r="B24" s="2" t="s">
        <v>3</v>
      </c>
      <c r="C24" s="2" t="s">
        <v>3</v>
      </c>
      <c r="D24" s="2" t="s">
        <v>3</v>
      </c>
      <c r="E24" s="2" t="s">
        <v>2</v>
      </c>
      <c r="F24" s="2" t="s">
        <v>2</v>
      </c>
      <c r="G24" t="s">
        <v>128</v>
      </c>
      <c r="H24" s="10" t="s">
        <v>119</v>
      </c>
      <c r="I24" t="s">
        <v>114</v>
      </c>
    </row>
    <row r="25" spans="1:9" x14ac:dyDescent="0.25">
      <c r="A25" t="s">
        <v>388</v>
      </c>
      <c r="B25" s="2" t="s">
        <v>3</v>
      </c>
      <c r="C25" s="2" t="s">
        <v>3</v>
      </c>
      <c r="D25" s="2" t="s">
        <v>3</v>
      </c>
      <c r="E25" s="2" t="s">
        <v>2</v>
      </c>
      <c r="F25" s="2" t="s">
        <v>3</v>
      </c>
      <c r="G25" t="s">
        <v>116</v>
      </c>
      <c r="H25" s="10" t="s">
        <v>130</v>
      </c>
      <c r="I25" t="s">
        <v>137</v>
      </c>
    </row>
    <row r="26" spans="1:9" x14ac:dyDescent="0.25">
      <c r="A26" t="s">
        <v>389</v>
      </c>
      <c r="B26" s="2" t="s">
        <v>3</v>
      </c>
      <c r="C26" s="2" t="s">
        <v>2</v>
      </c>
      <c r="D26" s="2" t="s">
        <v>2</v>
      </c>
      <c r="E26" s="2" t="s">
        <v>2</v>
      </c>
      <c r="F26" s="2" t="s">
        <v>3</v>
      </c>
      <c r="G26" t="s">
        <v>128</v>
      </c>
      <c r="H26" s="10" t="s">
        <v>390</v>
      </c>
      <c r="I26" t="s">
        <v>391</v>
      </c>
    </row>
    <row r="27" spans="1:9" x14ac:dyDescent="0.25">
      <c r="A27" t="s">
        <v>392</v>
      </c>
      <c r="B27" s="2" t="s">
        <v>3</v>
      </c>
      <c r="C27" s="2" t="s">
        <v>3</v>
      </c>
      <c r="D27" s="2" t="s">
        <v>2</v>
      </c>
      <c r="E27" s="2" t="s">
        <v>2</v>
      </c>
      <c r="F27" s="2" t="s">
        <v>3</v>
      </c>
      <c r="G27" t="s">
        <v>128</v>
      </c>
      <c r="H27" s="10" t="s">
        <v>390</v>
      </c>
      <c r="I27" t="s">
        <v>0</v>
      </c>
    </row>
  </sheetData>
  <mergeCells count="1">
    <mergeCell ref="B1:F1"/>
  </mergeCells>
  <conditionalFormatting sqref="B1:B1048576">
    <cfRule type="containsText" dxfId="5" priority="6" operator="containsText" text="Sim">
      <formula>NOT(ISERROR(SEARCH("Sim",B1)))</formula>
    </cfRule>
  </conditionalFormatting>
  <conditionalFormatting sqref="H5 B1:F1048576 G23">
    <cfRule type="containsText" dxfId="4" priority="1" operator="containsText" text="Não">
      <formula>NOT(ISERROR(SEARCH("Não",B1)))</formula>
    </cfRule>
  </conditionalFormatting>
  <conditionalFormatting sqref="C1:C1048576">
    <cfRule type="containsText" dxfId="3" priority="5" operator="containsText" text="Sim">
      <formula>NOT(ISERROR(SEARCH("Sim",C1)))</formula>
    </cfRule>
  </conditionalFormatting>
  <conditionalFormatting sqref="D1:D1048576">
    <cfRule type="containsText" dxfId="2" priority="2" operator="containsText" text="Sim">
      <formula>NOT(ISERROR(SEARCH("Sim",D1)))</formula>
    </cfRule>
  </conditionalFormatting>
  <conditionalFormatting sqref="E1:E1048576 G23">
    <cfRule type="containsText" dxfId="1" priority="3" operator="containsText" text="Sim">
      <formula>NOT(ISERROR(SEARCH("Sim",E1)))</formula>
    </cfRule>
  </conditionalFormatting>
  <conditionalFormatting sqref="H5 F1:F1048576">
    <cfRule type="containsText" dxfId="0" priority="4" operator="containsText" text="Sim">
      <formula>NOT(ISERROR(SEARCH("Sim",F1)))</formula>
    </cfRule>
  </conditionalFormatting>
  <conditionalFormatting sqref="B2:F28 H5 G23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381BA-5F06-43A2-B794-A8DFCFB620D8}">
  <dimension ref="A1:AS143"/>
  <sheetViews>
    <sheetView workbookViewId="0">
      <pane xSplit="7" ySplit="1" topLeftCell="I130" activePane="bottomRight" state="frozen"/>
      <selection pane="topRight" activeCell="H1" sqref="H1"/>
      <selection pane="bottomLeft" activeCell="A2" sqref="A2"/>
      <selection pane="bottomRight" activeCell="A143" sqref="A143"/>
    </sheetView>
  </sheetViews>
  <sheetFormatPr defaultRowHeight="15" x14ac:dyDescent="0.25"/>
  <cols>
    <col min="1" max="1" width="9.140625" style="19"/>
    <col min="2" max="2" width="14.28515625" style="19" bestFit="1" customWidth="1"/>
    <col min="3" max="9" width="9.140625" style="19"/>
    <col min="10" max="10" width="10.28515625" style="19" bestFit="1" customWidth="1"/>
    <col min="11" max="11" width="12" style="19" bestFit="1" customWidth="1"/>
    <col min="12" max="16384" width="9.140625" style="19"/>
  </cols>
  <sheetData>
    <row r="1" spans="1:45" x14ac:dyDescent="0.25">
      <c r="A1" s="19" t="s">
        <v>162</v>
      </c>
      <c r="B1" s="19" t="s">
        <v>229</v>
      </c>
      <c r="C1" s="19" t="s">
        <v>230</v>
      </c>
      <c r="D1" s="19" t="s">
        <v>271</v>
      </c>
      <c r="E1" s="19" t="s">
        <v>231</v>
      </c>
      <c r="F1" s="19" t="s">
        <v>232</v>
      </c>
      <c r="G1" s="19" t="s">
        <v>233</v>
      </c>
      <c r="H1" s="19" t="s">
        <v>233</v>
      </c>
      <c r="I1" s="19" t="s">
        <v>234</v>
      </c>
      <c r="J1" s="19" t="s">
        <v>239</v>
      </c>
      <c r="K1" s="19" t="s">
        <v>238</v>
      </c>
      <c r="L1" s="19" t="s">
        <v>226</v>
      </c>
      <c r="M1" s="19" t="s">
        <v>34</v>
      </c>
      <c r="N1" s="19" t="s">
        <v>12</v>
      </c>
      <c r="O1" s="19" t="s">
        <v>10</v>
      </c>
      <c r="P1" s="19" t="s">
        <v>61</v>
      </c>
      <c r="Q1" s="19" t="s">
        <v>16</v>
      </c>
      <c r="R1" s="19" t="s">
        <v>55</v>
      </c>
      <c r="S1" s="19" t="s">
        <v>28</v>
      </c>
      <c r="T1" s="19" t="s">
        <v>24</v>
      </c>
      <c r="U1" s="19" t="s">
        <v>188</v>
      </c>
      <c r="V1" s="19" t="s">
        <v>36</v>
      </c>
      <c r="W1" s="19" t="s">
        <v>26</v>
      </c>
      <c r="X1" s="19" t="s">
        <v>47</v>
      </c>
      <c r="Y1" s="19" t="s">
        <v>18</v>
      </c>
      <c r="Z1" s="19" t="s">
        <v>51</v>
      </c>
      <c r="AA1" s="19" t="s">
        <v>222</v>
      </c>
      <c r="AB1" s="19" t="s">
        <v>5</v>
      </c>
      <c r="AC1" s="19" t="s">
        <v>43</v>
      </c>
      <c r="AD1" s="19" t="s">
        <v>62</v>
      </c>
      <c r="AE1" s="19" t="s">
        <v>223</v>
      </c>
      <c r="AF1" s="19" t="s">
        <v>21</v>
      </c>
      <c r="AG1" s="19" t="s">
        <v>14</v>
      </c>
      <c r="AH1" s="19" t="s">
        <v>57</v>
      </c>
      <c r="AI1" s="19" t="s">
        <v>53</v>
      </c>
      <c r="AJ1" s="19" t="s">
        <v>22</v>
      </c>
      <c r="AK1" s="19" t="s">
        <v>32</v>
      </c>
      <c r="AL1" s="19" t="s">
        <v>59</v>
      </c>
      <c r="AM1" s="19" t="s">
        <v>30</v>
      </c>
      <c r="AN1" s="19" t="s">
        <v>42</v>
      </c>
      <c r="AO1" s="19" t="s">
        <v>182</v>
      </c>
      <c r="AP1" s="19" t="s">
        <v>40</v>
      </c>
      <c r="AQ1" s="19" t="s">
        <v>8</v>
      </c>
      <c r="AR1" s="19" t="s">
        <v>49</v>
      </c>
      <c r="AS1" s="19" t="s">
        <v>186</v>
      </c>
    </row>
    <row r="2" spans="1:45" x14ac:dyDescent="0.25">
      <c r="A2" s="19" t="s">
        <v>247</v>
      </c>
      <c r="B2" s="19" t="s">
        <v>377</v>
      </c>
      <c r="C2" s="19" t="s">
        <v>263</v>
      </c>
      <c r="D2" s="20" t="s">
        <v>38</v>
      </c>
      <c r="E2" s="20">
        <v>2</v>
      </c>
      <c r="F2" s="20">
        <v>2</v>
      </c>
      <c r="G2" s="20" t="s">
        <v>38</v>
      </c>
      <c r="H2" s="20" t="s">
        <v>38</v>
      </c>
      <c r="I2" s="20" t="s">
        <v>38</v>
      </c>
      <c r="K2" s="19">
        <f t="shared" ref="K2:K33" si="0">COUNTIF(L2:BD2,"&gt;0")</f>
        <v>1</v>
      </c>
      <c r="AS2" s="19">
        <v>2</v>
      </c>
    </row>
    <row r="3" spans="1:45" x14ac:dyDescent="0.25">
      <c r="A3" s="19" t="s">
        <v>247</v>
      </c>
      <c r="B3" s="19" t="s">
        <v>293</v>
      </c>
      <c r="C3" s="19" t="s">
        <v>237</v>
      </c>
      <c r="D3" s="20" t="s">
        <v>38</v>
      </c>
      <c r="E3" s="20">
        <v>1</v>
      </c>
      <c r="F3" s="20">
        <v>1</v>
      </c>
      <c r="G3" s="20" t="s">
        <v>38</v>
      </c>
      <c r="H3" s="20" t="s">
        <v>38</v>
      </c>
      <c r="I3" s="20" t="s">
        <v>38</v>
      </c>
      <c r="K3" s="19">
        <f t="shared" si="0"/>
        <v>2</v>
      </c>
      <c r="P3" s="19">
        <v>2</v>
      </c>
      <c r="AQ3" s="19">
        <v>1</v>
      </c>
    </row>
    <row r="4" spans="1:45" x14ac:dyDescent="0.25">
      <c r="A4" s="19" t="s">
        <v>247</v>
      </c>
      <c r="B4" s="19" t="s">
        <v>287</v>
      </c>
      <c r="C4" s="19" t="s">
        <v>255</v>
      </c>
      <c r="D4" s="20" t="s">
        <v>38</v>
      </c>
      <c r="E4" s="19">
        <v>4</v>
      </c>
      <c r="F4" s="19">
        <v>4</v>
      </c>
      <c r="G4" s="19" t="s">
        <v>260</v>
      </c>
      <c r="H4" s="20" t="s">
        <v>38</v>
      </c>
      <c r="I4" s="20" t="s">
        <v>38</v>
      </c>
      <c r="K4" s="19">
        <f t="shared" si="0"/>
        <v>1</v>
      </c>
      <c r="N4" s="19">
        <v>2</v>
      </c>
    </row>
    <row r="5" spans="1:45" x14ac:dyDescent="0.25">
      <c r="A5" s="19" t="s">
        <v>247</v>
      </c>
      <c r="B5" s="19" t="s">
        <v>374</v>
      </c>
      <c r="C5" s="19" t="s">
        <v>249</v>
      </c>
      <c r="D5" s="20" t="s">
        <v>38</v>
      </c>
      <c r="E5" s="20">
        <v>3</v>
      </c>
      <c r="F5" s="20">
        <v>3</v>
      </c>
      <c r="G5" s="20" t="s">
        <v>38</v>
      </c>
      <c r="H5" s="20" t="s">
        <v>38</v>
      </c>
      <c r="I5" s="20" t="s">
        <v>38</v>
      </c>
      <c r="K5" s="19">
        <f t="shared" si="0"/>
        <v>2</v>
      </c>
      <c r="L5" s="19">
        <v>1</v>
      </c>
      <c r="W5" s="19">
        <v>1</v>
      </c>
    </row>
    <row r="6" spans="1:45" x14ac:dyDescent="0.25">
      <c r="A6" s="19" t="s">
        <v>247</v>
      </c>
      <c r="B6" s="19" t="s">
        <v>325</v>
      </c>
      <c r="C6" s="19" t="s">
        <v>282</v>
      </c>
      <c r="D6" s="20" t="s">
        <v>38</v>
      </c>
      <c r="E6" s="19">
        <v>1</v>
      </c>
      <c r="F6" s="19">
        <v>1</v>
      </c>
      <c r="G6" s="20" t="s">
        <v>38</v>
      </c>
      <c r="H6" s="20" t="s">
        <v>38</v>
      </c>
      <c r="I6" s="20" t="s">
        <v>326</v>
      </c>
      <c r="K6" s="19">
        <f t="shared" si="0"/>
        <v>1</v>
      </c>
      <c r="AK6" s="19">
        <v>1</v>
      </c>
    </row>
    <row r="7" spans="1:45" x14ac:dyDescent="0.25">
      <c r="A7" s="19" t="s">
        <v>247</v>
      </c>
      <c r="B7" s="19" t="s">
        <v>294</v>
      </c>
      <c r="C7" s="19" t="s">
        <v>282</v>
      </c>
      <c r="D7" s="20" t="s">
        <v>38</v>
      </c>
      <c r="E7" s="19">
        <v>1</v>
      </c>
      <c r="F7" s="19">
        <v>1</v>
      </c>
      <c r="G7" s="20" t="s">
        <v>260</v>
      </c>
      <c r="H7" s="20" t="s">
        <v>38</v>
      </c>
      <c r="I7" s="20" t="s">
        <v>38</v>
      </c>
      <c r="K7" s="19">
        <f t="shared" si="0"/>
        <v>1</v>
      </c>
      <c r="R7" s="19">
        <v>1</v>
      </c>
    </row>
    <row r="8" spans="1:45" x14ac:dyDescent="0.25">
      <c r="A8" s="19" t="s">
        <v>247</v>
      </c>
      <c r="B8" s="19" t="s">
        <v>250</v>
      </c>
      <c r="C8" s="19" t="s">
        <v>249</v>
      </c>
      <c r="D8" s="20" t="s">
        <v>38</v>
      </c>
      <c r="E8" s="19">
        <v>2</v>
      </c>
      <c r="F8" s="19">
        <v>2</v>
      </c>
      <c r="G8" s="20" t="s">
        <v>38</v>
      </c>
      <c r="H8" s="20" t="s">
        <v>38</v>
      </c>
      <c r="I8" s="20" t="s">
        <v>38</v>
      </c>
      <c r="K8" s="19">
        <f t="shared" si="0"/>
        <v>1</v>
      </c>
      <c r="U8" s="19">
        <v>1</v>
      </c>
    </row>
    <row r="9" spans="1:45" x14ac:dyDescent="0.25">
      <c r="A9" s="19" t="s">
        <v>247</v>
      </c>
      <c r="B9" s="19" t="s">
        <v>250</v>
      </c>
      <c r="C9" s="19" t="s">
        <v>249</v>
      </c>
      <c r="D9" s="20" t="s">
        <v>38</v>
      </c>
      <c r="E9" s="19">
        <v>4</v>
      </c>
      <c r="F9" s="19">
        <v>4</v>
      </c>
      <c r="G9" s="20" t="s">
        <v>38</v>
      </c>
      <c r="H9" s="20" t="s">
        <v>38</v>
      </c>
      <c r="I9" s="20" t="s">
        <v>38</v>
      </c>
      <c r="K9" s="19">
        <f t="shared" si="0"/>
        <v>1</v>
      </c>
      <c r="AB9" s="19">
        <v>1</v>
      </c>
    </row>
    <row r="10" spans="1:45" x14ac:dyDescent="0.25">
      <c r="A10" s="19" t="s">
        <v>247</v>
      </c>
      <c r="B10" s="19" t="s">
        <v>300</v>
      </c>
      <c r="C10" s="19" t="s">
        <v>249</v>
      </c>
      <c r="D10" s="20" t="s">
        <v>38</v>
      </c>
      <c r="E10" s="19">
        <v>3</v>
      </c>
      <c r="F10" s="19">
        <v>3</v>
      </c>
      <c r="G10" s="20" t="s">
        <v>38</v>
      </c>
      <c r="H10" s="20" t="s">
        <v>38</v>
      </c>
      <c r="I10" s="20" t="s">
        <v>38</v>
      </c>
      <c r="K10" s="19">
        <f t="shared" si="0"/>
        <v>5</v>
      </c>
      <c r="L10" s="19">
        <v>1</v>
      </c>
      <c r="P10" s="19">
        <v>1</v>
      </c>
      <c r="Y10" s="19">
        <v>1</v>
      </c>
      <c r="Z10" s="19">
        <v>1</v>
      </c>
      <c r="AR10" s="19">
        <v>1</v>
      </c>
    </row>
    <row r="11" spans="1:45" x14ac:dyDescent="0.25">
      <c r="A11" s="19" t="s">
        <v>247</v>
      </c>
      <c r="B11" s="19" t="s">
        <v>257</v>
      </c>
      <c r="C11" s="19" t="s">
        <v>256</v>
      </c>
      <c r="D11" s="20" t="s">
        <v>38</v>
      </c>
      <c r="E11" s="19">
        <v>2</v>
      </c>
      <c r="F11" s="19">
        <v>2</v>
      </c>
      <c r="G11" s="20" t="s">
        <v>260</v>
      </c>
      <c r="H11" s="20" t="s">
        <v>38</v>
      </c>
      <c r="I11" s="20" t="s">
        <v>38</v>
      </c>
      <c r="K11" s="19">
        <f t="shared" si="0"/>
        <v>2</v>
      </c>
      <c r="W11" s="19">
        <v>1</v>
      </c>
      <c r="AJ11" s="19">
        <v>2</v>
      </c>
    </row>
    <row r="12" spans="1:45" x14ac:dyDescent="0.25">
      <c r="A12" s="19" t="s">
        <v>247</v>
      </c>
      <c r="B12" s="19" t="s">
        <v>257</v>
      </c>
      <c r="C12" s="19" t="s">
        <v>255</v>
      </c>
      <c r="D12" s="20" t="s">
        <v>38</v>
      </c>
      <c r="E12" s="19">
        <v>1</v>
      </c>
      <c r="F12" s="19">
        <v>1</v>
      </c>
      <c r="G12" s="20" t="s">
        <v>260</v>
      </c>
      <c r="H12" s="20" t="s">
        <v>38</v>
      </c>
      <c r="I12" s="20" t="s">
        <v>38</v>
      </c>
      <c r="K12" s="19">
        <f t="shared" si="0"/>
        <v>1</v>
      </c>
      <c r="V12" s="19">
        <v>1</v>
      </c>
    </row>
    <row r="13" spans="1:45" x14ac:dyDescent="0.25">
      <c r="A13" s="19" t="s">
        <v>247</v>
      </c>
      <c r="B13" s="19" t="s">
        <v>353</v>
      </c>
      <c r="C13" s="19" t="s">
        <v>249</v>
      </c>
      <c r="D13" s="20" t="s">
        <v>38</v>
      </c>
      <c r="E13" s="19">
        <v>2</v>
      </c>
      <c r="F13" s="19">
        <v>2</v>
      </c>
      <c r="G13" s="20" t="s">
        <v>38</v>
      </c>
      <c r="H13" s="20" t="s">
        <v>38</v>
      </c>
      <c r="I13" s="20" t="s">
        <v>38</v>
      </c>
      <c r="K13" s="19">
        <f t="shared" si="0"/>
        <v>1</v>
      </c>
      <c r="AR13" s="19">
        <v>1</v>
      </c>
    </row>
    <row r="14" spans="1:45" x14ac:dyDescent="0.25">
      <c r="A14" s="19" t="s">
        <v>275</v>
      </c>
      <c r="B14" s="19" t="s">
        <v>328</v>
      </c>
      <c r="C14" s="20" t="s">
        <v>38</v>
      </c>
      <c r="D14" s="20" t="s">
        <v>38</v>
      </c>
      <c r="E14" s="20" t="s">
        <v>38</v>
      </c>
      <c r="F14" s="20" t="s">
        <v>38</v>
      </c>
      <c r="G14" s="20" t="s">
        <v>38</v>
      </c>
      <c r="H14" s="20" t="s">
        <v>38</v>
      </c>
      <c r="I14" s="20" t="s">
        <v>38</v>
      </c>
      <c r="K14" s="19">
        <f t="shared" si="0"/>
        <v>1</v>
      </c>
      <c r="AK14" s="19">
        <v>1</v>
      </c>
    </row>
    <row r="15" spans="1:45" x14ac:dyDescent="0.25">
      <c r="A15" s="19" t="s">
        <v>247</v>
      </c>
      <c r="B15" s="19" t="s">
        <v>270</v>
      </c>
      <c r="C15" s="19" t="s">
        <v>249</v>
      </c>
      <c r="D15" s="20" t="s">
        <v>255</v>
      </c>
      <c r="E15" s="19">
        <v>1</v>
      </c>
      <c r="F15" s="19">
        <v>1</v>
      </c>
      <c r="G15" s="20" t="s">
        <v>38</v>
      </c>
      <c r="H15" s="20" t="s">
        <v>38</v>
      </c>
      <c r="I15" s="20" t="s">
        <v>38</v>
      </c>
      <c r="K15" s="19">
        <f t="shared" si="0"/>
        <v>6</v>
      </c>
      <c r="M15" s="19">
        <v>1</v>
      </c>
      <c r="P15" s="19">
        <v>2</v>
      </c>
      <c r="Q15" s="19">
        <v>1</v>
      </c>
      <c r="R15" s="19">
        <v>1</v>
      </c>
      <c r="AA15" s="19">
        <v>2</v>
      </c>
      <c r="AG15" s="19">
        <v>2</v>
      </c>
    </row>
    <row r="16" spans="1:45" x14ac:dyDescent="0.25">
      <c r="A16" s="19" t="s">
        <v>247</v>
      </c>
      <c r="B16" s="19" t="s">
        <v>261</v>
      </c>
      <c r="C16" s="19" t="s">
        <v>237</v>
      </c>
      <c r="D16" s="20" t="s">
        <v>38</v>
      </c>
      <c r="E16" s="19" t="s">
        <v>262</v>
      </c>
      <c r="F16" s="19" t="s">
        <v>262</v>
      </c>
      <c r="G16" s="20" t="s">
        <v>38</v>
      </c>
      <c r="H16" s="20" t="s">
        <v>38</v>
      </c>
      <c r="I16" s="20" t="s">
        <v>38</v>
      </c>
      <c r="K16" s="19">
        <f t="shared" si="0"/>
        <v>10</v>
      </c>
      <c r="M16" s="19">
        <v>1</v>
      </c>
      <c r="N16" s="19">
        <v>1</v>
      </c>
      <c r="Q16" s="19">
        <v>1</v>
      </c>
      <c r="V16" s="19">
        <v>3</v>
      </c>
      <c r="AB16" s="19">
        <v>1</v>
      </c>
      <c r="AF16" s="19">
        <v>2</v>
      </c>
      <c r="AG16" s="19">
        <v>2</v>
      </c>
      <c r="AH16" s="19">
        <v>2</v>
      </c>
      <c r="AO16" s="19">
        <v>2</v>
      </c>
      <c r="AR16" s="19">
        <v>2</v>
      </c>
    </row>
    <row r="17" spans="1:45" x14ac:dyDescent="0.25">
      <c r="A17" s="19" t="s">
        <v>236</v>
      </c>
      <c r="B17" s="19" t="s">
        <v>240</v>
      </c>
      <c r="C17" s="19" t="s">
        <v>237</v>
      </c>
      <c r="D17" s="20" t="s">
        <v>38</v>
      </c>
      <c r="E17" s="20" t="s">
        <v>38</v>
      </c>
      <c r="F17" s="20" t="s">
        <v>38</v>
      </c>
      <c r="G17" s="20" t="s">
        <v>38</v>
      </c>
      <c r="H17" s="20" t="s">
        <v>38</v>
      </c>
      <c r="I17" s="20" t="s">
        <v>38</v>
      </c>
      <c r="K17" s="19">
        <f t="shared" si="0"/>
        <v>9</v>
      </c>
      <c r="P17" s="19">
        <v>2</v>
      </c>
      <c r="Q17" s="19">
        <v>1</v>
      </c>
      <c r="AA17" s="19">
        <v>1</v>
      </c>
      <c r="AG17" s="19">
        <v>2</v>
      </c>
      <c r="AH17" s="19">
        <v>2</v>
      </c>
      <c r="AI17" s="19">
        <v>2</v>
      </c>
      <c r="AM17" s="19">
        <v>1</v>
      </c>
      <c r="AR17" s="19">
        <v>1</v>
      </c>
      <c r="AS17" s="19">
        <v>2</v>
      </c>
    </row>
    <row r="18" spans="1:45" x14ac:dyDescent="0.25">
      <c r="A18" s="19" t="s">
        <v>247</v>
      </c>
      <c r="B18" s="19" t="s">
        <v>265</v>
      </c>
      <c r="C18" s="19" t="s">
        <v>237</v>
      </c>
      <c r="D18" s="20" t="s">
        <v>38</v>
      </c>
      <c r="E18" s="19">
        <v>0</v>
      </c>
      <c r="F18" s="19">
        <v>0</v>
      </c>
      <c r="G18" s="20" t="s">
        <v>38</v>
      </c>
      <c r="H18" s="20" t="s">
        <v>38</v>
      </c>
      <c r="I18" s="20" t="s">
        <v>266</v>
      </c>
      <c r="K18" s="19">
        <f t="shared" si="0"/>
        <v>2</v>
      </c>
      <c r="M18" s="19">
        <v>1</v>
      </c>
      <c r="Q18" s="19">
        <v>2</v>
      </c>
    </row>
    <row r="19" spans="1:45" x14ac:dyDescent="0.25">
      <c r="A19" s="19" t="s">
        <v>247</v>
      </c>
      <c r="B19" s="19" t="s">
        <v>265</v>
      </c>
      <c r="C19" s="19" t="s">
        <v>237</v>
      </c>
      <c r="D19" s="20" t="s">
        <v>38</v>
      </c>
      <c r="E19" s="19">
        <v>1</v>
      </c>
      <c r="F19" s="19">
        <v>1</v>
      </c>
      <c r="G19" s="20" t="s">
        <v>38</v>
      </c>
      <c r="H19" s="20" t="s">
        <v>38</v>
      </c>
      <c r="I19" s="20" t="s">
        <v>38</v>
      </c>
      <c r="K19" s="19">
        <f t="shared" si="0"/>
        <v>1</v>
      </c>
      <c r="Q19" s="19">
        <v>2</v>
      </c>
    </row>
    <row r="20" spans="1:45" x14ac:dyDescent="0.25">
      <c r="A20" s="19" t="s">
        <v>247</v>
      </c>
      <c r="B20" s="19" t="s">
        <v>265</v>
      </c>
      <c r="C20" s="19" t="s">
        <v>237</v>
      </c>
      <c r="D20" s="20" t="s">
        <v>38</v>
      </c>
      <c r="E20" s="19">
        <v>1</v>
      </c>
      <c r="F20" s="19">
        <v>1</v>
      </c>
      <c r="G20" s="20" t="s">
        <v>308</v>
      </c>
      <c r="H20" s="20" t="s">
        <v>38</v>
      </c>
      <c r="I20" s="20" t="s">
        <v>38</v>
      </c>
      <c r="K20" s="19">
        <f t="shared" si="0"/>
        <v>1</v>
      </c>
      <c r="Q20" s="19">
        <v>2</v>
      </c>
    </row>
    <row r="21" spans="1:45" x14ac:dyDescent="0.25">
      <c r="A21" s="19" t="s">
        <v>247</v>
      </c>
      <c r="B21" s="19" t="s">
        <v>265</v>
      </c>
      <c r="C21" s="19" t="s">
        <v>237</v>
      </c>
      <c r="D21" s="20" t="s">
        <v>38</v>
      </c>
      <c r="E21" s="19">
        <v>4</v>
      </c>
      <c r="F21" s="19">
        <v>4</v>
      </c>
      <c r="G21" s="20" t="s">
        <v>38</v>
      </c>
      <c r="H21" s="20" t="s">
        <v>38</v>
      </c>
      <c r="I21" s="20" t="s">
        <v>38</v>
      </c>
      <c r="K21" s="19">
        <f t="shared" si="0"/>
        <v>1</v>
      </c>
      <c r="Q21" s="19">
        <v>2</v>
      </c>
    </row>
    <row r="22" spans="1:45" x14ac:dyDescent="0.25">
      <c r="A22" s="19" t="s">
        <v>247</v>
      </c>
      <c r="B22" s="19" t="s">
        <v>265</v>
      </c>
      <c r="C22" s="19" t="s">
        <v>237</v>
      </c>
      <c r="D22" s="20" t="s">
        <v>38</v>
      </c>
      <c r="E22" s="20">
        <v>2</v>
      </c>
      <c r="F22" s="20">
        <v>2</v>
      </c>
      <c r="G22" s="20" t="s">
        <v>38</v>
      </c>
      <c r="H22" s="20" t="s">
        <v>38</v>
      </c>
      <c r="I22" s="20" t="s">
        <v>38</v>
      </c>
      <c r="K22" s="19">
        <f t="shared" si="0"/>
        <v>1</v>
      </c>
      <c r="P22" s="19">
        <v>2</v>
      </c>
    </row>
    <row r="23" spans="1:45" x14ac:dyDescent="0.25">
      <c r="A23" s="19" t="s">
        <v>247</v>
      </c>
      <c r="B23" s="19" t="s">
        <v>259</v>
      </c>
      <c r="C23" s="19" t="s">
        <v>256</v>
      </c>
      <c r="D23" s="20" t="s">
        <v>38</v>
      </c>
      <c r="E23" s="19">
        <v>0</v>
      </c>
      <c r="F23" s="19">
        <v>3</v>
      </c>
      <c r="G23" s="20" t="s">
        <v>38</v>
      </c>
      <c r="H23" s="20" t="s">
        <v>38</v>
      </c>
      <c r="I23" s="20" t="s">
        <v>38</v>
      </c>
      <c r="K23" s="19">
        <f t="shared" si="0"/>
        <v>2</v>
      </c>
      <c r="V23" s="19">
        <v>1</v>
      </c>
      <c r="AJ23" s="19">
        <v>1</v>
      </c>
    </row>
    <row r="24" spans="1:45" x14ac:dyDescent="0.25">
      <c r="A24" s="19" t="s">
        <v>247</v>
      </c>
      <c r="B24" s="19" t="s">
        <v>295</v>
      </c>
      <c r="C24" s="19" t="s">
        <v>282</v>
      </c>
      <c r="D24" s="20" t="s">
        <v>38</v>
      </c>
      <c r="E24" s="19">
        <v>1</v>
      </c>
      <c r="F24" s="19">
        <v>1</v>
      </c>
      <c r="G24" s="20" t="s">
        <v>260</v>
      </c>
      <c r="H24" s="20" t="s">
        <v>38</v>
      </c>
      <c r="I24" s="20" t="s">
        <v>38</v>
      </c>
      <c r="K24" s="19">
        <f t="shared" si="0"/>
        <v>2</v>
      </c>
      <c r="R24" s="19">
        <v>1</v>
      </c>
      <c r="AA24" s="19">
        <v>1</v>
      </c>
    </row>
    <row r="25" spans="1:45" x14ac:dyDescent="0.25">
      <c r="A25" s="19" t="s">
        <v>247</v>
      </c>
      <c r="B25" s="19" t="s">
        <v>324</v>
      </c>
      <c r="C25" s="19" t="s">
        <v>282</v>
      </c>
      <c r="D25" s="20" t="s">
        <v>38</v>
      </c>
      <c r="E25" s="19">
        <v>3</v>
      </c>
      <c r="F25" s="19">
        <v>3</v>
      </c>
      <c r="G25" s="20" t="s">
        <v>38</v>
      </c>
      <c r="H25" s="20" t="s">
        <v>38</v>
      </c>
      <c r="I25" s="20" t="s">
        <v>38</v>
      </c>
      <c r="K25" s="19">
        <f t="shared" si="0"/>
        <v>1</v>
      </c>
      <c r="AK25" s="19">
        <v>1</v>
      </c>
    </row>
    <row r="26" spans="1:45" x14ac:dyDescent="0.25">
      <c r="A26" s="19" t="s">
        <v>247</v>
      </c>
      <c r="B26" s="19" t="s">
        <v>342</v>
      </c>
      <c r="C26" s="19" t="s">
        <v>255</v>
      </c>
      <c r="D26" s="20" t="s">
        <v>282</v>
      </c>
      <c r="E26" s="19">
        <v>4</v>
      </c>
      <c r="F26" s="19">
        <v>3</v>
      </c>
      <c r="G26" s="20" t="s">
        <v>260</v>
      </c>
      <c r="H26" s="20" t="s">
        <v>38</v>
      </c>
      <c r="I26" s="20" t="s">
        <v>38</v>
      </c>
      <c r="K26" s="19">
        <f t="shared" si="0"/>
        <v>1</v>
      </c>
      <c r="AG26" s="19">
        <v>2</v>
      </c>
    </row>
    <row r="27" spans="1:45" x14ac:dyDescent="0.25">
      <c r="A27" s="19" t="s">
        <v>247</v>
      </c>
      <c r="B27" s="19" t="s">
        <v>329</v>
      </c>
      <c r="C27" s="19" t="s">
        <v>263</v>
      </c>
      <c r="D27" s="20" t="s">
        <v>38</v>
      </c>
      <c r="E27" s="19">
        <v>4</v>
      </c>
      <c r="F27" s="19">
        <v>4</v>
      </c>
      <c r="G27" s="20" t="s">
        <v>260</v>
      </c>
      <c r="H27" s="20" t="s">
        <v>38</v>
      </c>
      <c r="I27" s="20" t="s">
        <v>38</v>
      </c>
      <c r="K27" s="19">
        <f t="shared" si="0"/>
        <v>1</v>
      </c>
      <c r="AK27" s="19">
        <v>1</v>
      </c>
    </row>
    <row r="28" spans="1:45" x14ac:dyDescent="0.25">
      <c r="A28" s="19" t="s">
        <v>247</v>
      </c>
      <c r="B28" s="19" t="s">
        <v>329</v>
      </c>
      <c r="C28" s="19" t="s">
        <v>263</v>
      </c>
      <c r="D28" s="20" t="s">
        <v>38</v>
      </c>
      <c r="E28" s="20">
        <v>4</v>
      </c>
      <c r="F28" s="20">
        <v>4</v>
      </c>
      <c r="G28" s="20" t="s">
        <v>260</v>
      </c>
      <c r="H28" s="20" t="s">
        <v>379</v>
      </c>
      <c r="I28" s="20" t="s">
        <v>38</v>
      </c>
      <c r="K28" s="19">
        <f t="shared" si="0"/>
        <v>1</v>
      </c>
      <c r="AS28" s="19">
        <v>2</v>
      </c>
    </row>
    <row r="29" spans="1:45" x14ac:dyDescent="0.25">
      <c r="A29" s="19" t="s">
        <v>247</v>
      </c>
      <c r="B29" s="19" t="s">
        <v>312</v>
      </c>
      <c r="C29" s="19" t="s">
        <v>263</v>
      </c>
      <c r="D29" s="20" t="s">
        <v>38</v>
      </c>
      <c r="E29" s="19">
        <v>4</v>
      </c>
      <c r="F29" s="19">
        <v>4</v>
      </c>
      <c r="G29" s="20" t="s">
        <v>260</v>
      </c>
      <c r="H29" s="20" t="s">
        <v>313</v>
      </c>
      <c r="I29" s="20" t="s">
        <v>38</v>
      </c>
      <c r="K29" s="19">
        <f t="shared" si="0"/>
        <v>2</v>
      </c>
      <c r="AE29" s="19">
        <v>1</v>
      </c>
      <c r="AI29" s="19">
        <v>1</v>
      </c>
    </row>
    <row r="30" spans="1:45" x14ac:dyDescent="0.25">
      <c r="A30" s="19" t="s">
        <v>247</v>
      </c>
      <c r="B30" s="19" t="s">
        <v>350</v>
      </c>
      <c r="C30" s="19" t="s">
        <v>256</v>
      </c>
      <c r="D30" s="20" t="s">
        <v>38</v>
      </c>
      <c r="E30" s="19">
        <v>2</v>
      </c>
      <c r="F30" s="19">
        <v>2</v>
      </c>
      <c r="G30" s="19" t="s">
        <v>260</v>
      </c>
      <c r="H30" s="20" t="s">
        <v>38</v>
      </c>
      <c r="I30" s="20" t="s">
        <v>38</v>
      </c>
      <c r="K30" s="19">
        <f t="shared" si="0"/>
        <v>1</v>
      </c>
      <c r="Z30" s="19">
        <v>2</v>
      </c>
    </row>
    <row r="31" spans="1:45" x14ac:dyDescent="0.25">
      <c r="A31" s="19" t="s">
        <v>275</v>
      </c>
      <c r="B31" s="19" t="s">
        <v>382</v>
      </c>
      <c r="C31" s="20" t="s">
        <v>38</v>
      </c>
      <c r="D31" s="20" t="s">
        <v>38</v>
      </c>
      <c r="E31" s="20" t="s">
        <v>38</v>
      </c>
      <c r="F31" s="20" t="s">
        <v>38</v>
      </c>
      <c r="G31" s="20" t="s">
        <v>38</v>
      </c>
      <c r="H31" s="20" t="s">
        <v>38</v>
      </c>
      <c r="I31" s="20" t="s">
        <v>38</v>
      </c>
      <c r="K31" s="19">
        <f t="shared" si="0"/>
        <v>1</v>
      </c>
      <c r="AS31" s="19">
        <v>1</v>
      </c>
    </row>
    <row r="32" spans="1:45" x14ac:dyDescent="0.25">
      <c r="A32" s="19" t="s">
        <v>247</v>
      </c>
      <c r="B32" s="19" t="s">
        <v>372</v>
      </c>
      <c r="C32" s="19" t="s">
        <v>263</v>
      </c>
      <c r="D32" s="20" t="s">
        <v>38</v>
      </c>
      <c r="E32" s="20">
        <v>1</v>
      </c>
      <c r="F32" s="20">
        <v>1</v>
      </c>
      <c r="G32" s="20" t="s">
        <v>38</v>
      </c>
      <c r="H32" s="20" t="s">
        <v>38</v>
      </c>
      <c r="I32" s="20" t="s">
        <v>38</v>
      </c>
      <c r="K32" s="19">
        <f t="shared" si="0"/>
        <v>1</v>
      </c>
      <c r="P32" s="19">
        <v>1</v>
      </c>
    </row>
    <row r="33" spans="1:45" x14ac:dyDescent="0.25">
      <c r="A33" s="19" t="s">
        <v>247</v>
      </c>
      <c r="B33" s="19" t="s">
        <v>336</v>
      </c>
      <c r="C33" s="19" t="s">
        <v>237</v>
      </c>
      <c r="D33" s="20" t="s">
        <v>38</v>
      </c>
      <c r="E33" s="19">
        <v>0</v>
      </c>
      <c r="F33" s="19">
        <v>1</v>
      </c>
      <c r="G33" s="20" t="s">
        <v>38</v>
      </c>
      <c r="H33" s="20" t="s">
        <v>38</v>
      </c>
      <c r="I33" s="20" t="s">
        <v>338</v>
      </c>
      <c r="K33" s="19">
        <f t="shared" si="0"/>
        <v>2</v>
      </c>
      <c r="AG33" s="19">
        <v>2</v>
      </c>
      <c r="AR33" s="19">
        <v>1</v>
      </c>
    </row>
    <row r="34" spans="1:45" x14ac:dyDescent="0.25">
      <c r="A34" s="19" t="s">
        <v>247</v>
      </c>
      <c r="B34" s="19" t="s">
        <v>330</v>
      </c>
      <c r="C34" s="19" t="s">
        <v>255</v>
      </c>
      <c r="D34" s="20" t="s">
        <v>249</v>
      </c>
      <c r="E34" s="19">
        <v>8</v>
      </c>
      <c r="F34" s="19">
        <v>8</v>
      </c>
      <c r="G34" s="20" t="s">
        <v>288</v>
      </c>
      <c r="H34" s="20" t="s">
        <v>38</v>
      </c>
      <c r="I34" s="20" t="s">
        <v>38</v>
      </c>
      <c r="K34" s="19">
        <f t="shared" ref="K34:K65" si="1">COUNTIF(L34:BD34,"&gt;0")</f>
        <v>1</v>
      </c>
      <c r="AG34" s="19">
        <v>2</v>
      </c>
    </row>
    <row r="35" spans="1:45" x14ac:dyDescent="0.25">
      <c r="A35" s="19" t="s">
        <v>247</v>
      </c>
      <c r="B35" s="19" t="s">
        <v>330</v>
      </c>
      <c r="C35" s="19" t="s">
        <v>263</v>
      </c>
      <c r="D35" s="20" t="s">
        <v>38</v>
      </c>
      <c r="E35" s="20">
        <v>1</v>
      </c>
      <c r="F35" s="20">
        <v>1</v>
      </c>
      <c r="G35" s="20" t="s">
        <v>38</v>
      </c>
      <c r="H35" s="20" t="s">
        <v>38</v>
      </c>
      <c r="I35" s="20" t="s">
        <v>367</v>
      </c>
      <c r="K35" s="19">
        <f t="shared" si="1"/>
        <v>1</v>
      </c>
      <c r="P35" s="19">
        <v>2</v>
      </c>
    </row>
    <row r="36" spans="1:45" x14ac:dyDescent="0.25">
      <c r="A36" s="19" t="s">
        <v>247</v>
      </c>
      <c r="B36" s="19" t="s">
        <v>330</v>
      </c>
      <c r="C36" s="19" t="s">
        <v>263</v>
      </c>
      <c r="D36" s="20" t="s">
        <v>38</v>
      </c>
      <c r="E36" s="19">
        <v>2</v>
      </c>
      <c r="F36" s="19">
        <v>1</v>
      </c>
      <c r="G36" s="20" t="s">
        <v>313</v>
      </c>
      <c r="H36" s="20" t="s">
        <v>280</v>
      </c>
      <c r="I36" s="20" t="s">
        <v>38</v>
      </c>
      <c r="K36" s="19">
        <f t="shared" si="1"/>
        <v>1</v>
      </c>
      <c r="AA36" s="19">
        <v>2</v>
      </c>
    </row>
    <row r="37" spans="1:45" x14ac:dyDescent="0.25">
      <c r="A37" s="19" t="s">
        <v>247</v>
      </c>
      <c r="B37" s="19" t="s">
        <v>248</v>
      </c>
      <c r="C37" s="19" t="s">
        <v>249</v>
      </c>
      <c r="D37" s="20" t="s">
        <v>38</v>
      </c>
      <c r="E37" s="19">
        <v>3</v>
      </c>
      <c r="F37" s="19">
        <v>3</v>
      </c>
      <c r="G37" s="20" t="s">
        <v>38</v>
      </c>
      <c r="H37" s="20" t="s">
        <v>38</v>
      </c>
      <c r="I37" s="20" t="s">
        <v>38</v>
      </c>
      <c r="K37" s="19">
        <f t="shared" si="1"/>
        <v>4</v>
      </c>
      <c r="P37" s="19">
        <v>1</v>
      </c>
      <c r="AD37" s="19">
        <v>1</v>
      </c>
      <c r="AM37" s="19">
        <v>1</v>
      </c>
      <c r="AS37" s="19">
        <v>1</v>
      </c>
    </row>
    <row r="38" spans="1:45" x14ac:dyDescent="0.25">
      <c r="A38" s="19" t="s">
        <v>247</v>
      </c>
      <c r="B38" s="19" t="s">
        <v>252</v>
      </c>
      <c r="C38" s="19" t="s">
        <v>249</v>
      </c>
      <c r="D38" s="20" t="s">
        <v>38</v>
      </c>
      <c r="E38" s="19">
        <v>1</v>
      </c>
      <c r="F38" s="19">
        <v>1</v>
      </c>
      <c r="G38" s="20" t="s">
        <v>38</v>
      </c>
      <c r="H38" s="20" t="s">
        <v>38</v>
      </c>
      <c r="K38" s="19">
        <f t="shared" si="1"/>
        <v>2</v>
      </c>
      <c r="S38" s="19">
        <v>2</v>
      </c>
      <c r="AG38" s="19">
        <v>2</v>
      </c>
    </row>
    <row r="39" spans="1:45" x14ac:dyDescent="0.25">
      <c r="A39" s="19" t="s">
        <v>247</v>
      </c>
      <c r="B39" s="19" t="s">
        <v>253</v>
      </c>
      <c r="C39" s="19" t="s">
        <v>249</v>
      </c>
      <c r="D39" s="20" t="s">
        <v>38</v>
      </c>
      <c r="E39" s="19">
        <v>1</v>
      </c>
      <c r="F39" s="19">
        <v>1</v>
      </c>
      <c r="G39" s="20" t="s">
        <v>38</v>
      </c>
      <c r="H39" s="20" t="s">
        <v>38</v>
      </c>
      <c r="I39" s="19" t="s">
        <v>254</v>
      </c>
      <c r="K39" s="19">
        <f t="shared" si="1"/>
        <v>2</v>
      </c>
      <c r="S39" s="19">
        <v>2</v>
      </c>
      <c r="AK39" s="19">
        <v>1</v>
      </c>
    </row>
    <row r="40" spans="1:45" x14ac:dyDescent="0.25">
      <c r="A40" s="19" t="s">
        <v>247</v>
      </c>
      <c r="B40" s="19" t="s">
        <v>371</v>
      </c>
      <c r="C40" s="19" t="s">
        <v>249</v>
      </c>
      <c r="D40" s="20" t="s">
        <v>38</v>
      </c>
      <c r="E40" s="20">
        <v>1</v>
      </c>
      <c r="F40" s="20">
        <v>1</v>
      </c>
      <c r="G40" s="20" t="s">
        <v>38</v>
      </c>
      <c r="H40" s="20" t="s">
        <v>38</v>
      </c>
      <c r="I40" s="20" t="s">
        <v>38</v>
      </c>
      <c r="K40" s="19">
        <f t="shared" si="1"/>
        <v>2</v>
      </c>
      <c r="P40" s="19">
        <v>2</v>
      </c>
      <c r="AE40" s="19">
        <v>1</v>
      </c>
    </row>
    <row r="41" spans="1:45" x14ac:dyDescent="0.25">
      <c r="A41" s="19" t="s">
        <v>275</v>
      </c>
      <c r="B41" s="19" t="s">
        <v>276</v>
      </c>
      <c r="C41" s="20" t="s">
        <v>38</v>
      </c>
      <c r="D41" s="20" t="s">
        <v>38</v>
      </c>
      <c r="E41" s="20" t="s">
        <v>38</v>
      </c>
      <c r="F41" s="20" t="s">
        <v>38</v>
      </c>
      <c r="G41" s="20" t="s">
        <v>38</v>
      </c>
      <c r="H41" s="20" t="s">
        <v>38</v>
      </c>
      <c r="I41" s="20" t="s">
        <v>38</v>
      </c>
      <c r="K41" s="19">
        <f t="shared" si="1"/>
        <v>2</v>
      </c>
      <c r="Q41" s="19">
        <v>1</v>
      </c>
      <c r="AB41" s="19">
        <v>1</v>
      </c>
    </row>
    <row r="42" spans="1:45" x14ac:dyDescent="0.25">
      <c r="A42" s="19" t="s">
        <v>247</v>
      </c>
      <c r="B42" s="19" t="s">
        <v>279</v>
      </c>
      <c r="C42" s="19" t="s">
        <v>256</v>
      </c>
      <c r="D42" s="20" t="s">
        <v>282</v>
      </c>
      <c r="E42" s="19">
        <v>1</v>
      </c>
      <c r="F42" s="19">
        <v>1</v>
      </c>
      <c r="G42" s="20" t="s">
        <v>260</v>
      </c>
      <c r="H42" s="20" t="s">
        <v>38</v>
      </c>
      <c r="I42" s="20" t="s">
        <v>38</v>
      </c>
      <c r="K42" s="19">
        <f t="shared" si="1"/>
        <v>5</v>
      </c>
      <c r="Z42" s="19">
        <v>1</v>
      </c>
      <c r="AA42" s="19">
        <v>2</v>
      </c>
      <c r="AF42" s="19">
        <v>2</v>
      </c>
      <c r="AN42" s="19">
        <v>1</v>
      </c>
      <c r="AR42" s="19">
        <v>1</v>
      </c>
    </row>
    <row r="43" spans="1:45" x14ac:dyDescent="0.25">
      <c r="A43" s="19" t="s">
        <v>247</v>
      </c>
      <c r="B43" s="19" t="s">
        <v>279</v>
      </c>
      <c r="C43" s="19" t="s">
        <v>256</v>
      </c>
      <c r="D43" s="20" t="s">
        <v>38</v>
      </c>
      <c r="E43" s="19">
        <v>1</v>
      </c>
      <c r="F43" s="19">
        <v>1</v>
      </c>
      <c r="G43" s="19" t="s">
        <v>260</v>
      </c>
      <c r="H43" s="20" t="s">
        <v>38</v>
      </c>
      <c r="I43" s="20" t="s">
        <v>38</v>
      </c>
      <c r="K43" s="19">
        <f t="shared" si="1"/>
        <v>3</v>
      </c>
      <c r="N43" s="19">
        <v>2</v>
      </c>
      <c r="AJ43" s="19">
        <v>1</v>
      </c>
      <c r="AP43" s="19">
        <v>1</v>
      </c>
    </row>
    <row r="44" spans="1:45" x14ac:dyDescent="0.25">
      <c r="A44" s="19" t="s">
        <v>247</v>
      </c>
      <c r="B44" s="19" t="s">
        <v>320</v>
      </c>
      <c r="C44" s="19" t="s">
        <v>256</v>
      </c>
      <c r="D44" s="20" t="s">
        <v>38</v>
      </c>
      <c r="E44" s="19">
        <v>1</v>
      </c>
      <c r="F44" s="19">
        <v>1</v>
      </c>
      <c r="G44" s="20" t="s">
        <v>260</v>
      </c>
      <c r="H44" s="20" t="s">
        <v>38</v>
      </c>
      <c r="I44" s="20" t="s">
        <v>38</v>
      </c>
      <c r="K44" s="19">
        <f t="shared" si="1"/>
        <v>1</v>
      </c>
      <c r="AK44" s="19">
        <v>1</v>
      </c>
    </row>
    <row r="45" spans="1:45" x14ac:dyDescent="0.25">
      <c r="A45" s="19" t="s">
        <v>247</v>
      </c>
      <c r="B45" s="19" t="s">
        <v>289</v>
      </c>
      <c r="C45" s="19" t="s">
        <v>282</v>
      </c>
      <c r="D45" s="20" t="s">
        <v>38</v>
      </c>
      <c r="E45" s="19">
        <v>1</v>
      </c>
      <c r="F45" s="19">
        <v>1</v>
      </c>
      <c r="G45" s="19" t="s">
        <v>260</v>
      </c>
      <c r="H45" s="20" t="s">
        <v>38</v>
      </c>
      <c r="I45" s="20" t="s">
        <v>38</v>
      </c>
      <c r="K45" s="19">
        <f t="shared" si="1"/>
        <v>2</v>
      </c>
      <c r="N45" s="19">
        <v>1</v>
      </c>
      <c r="AF45" s="19">
        <v>2</v>
      </c>
    </row>
    <row r="46" spans="1:45" x14ac:dyDescent="0.25">
      <c r="A46" s="19" t="s">
        <v>236</v>
      </c>
      <c r="B46" s="19" t="s">
        <v>241</v>
      </c>
      <c r="C46" s="19" t="s">
        <v>237</v>
      </c>
      <c r="D46" s="20" t="s">
        <v>38</v>
      </c>
      <c r="E46" s="20" t="s">
        <v>38</v>
      </c>
      <c r="F46" s="20" t="s">
        <v>38</v>
      </c>
      <c r="G46" s="20" t="s">
        <v>38</v>
      </c>
      <c r="H46" s="20" t="s">
        <v>38</v>
      </c>
      <c r="I46" s="20" t="s">
        <v>38</v>
      </c>
      <c r="K46" s="19">
        <f t="shared" si="1"/>
        <v>9</v>
      </c>
      <c r="P46" s="19">
        <v>2</v>
      </c>
      <c r="AA46" s="19">
        <v>1</v>
      </c>
      <c r="AG46" s="19">
        <v>2</v>
      </c>
      <c r="AH46" s="19">
        <v>2</v>
      </c>
      <c r="AI46" s="19">
        <v>1</v>
      </c>
      <c r="AK46" s="19">
        <v>1</v>
      </c>
      <c r="AM46" s="19">
        <v>1</v>
      </c>
      <c r="AQ46" s="19">
        <v>1</v>
      </c>
      <c r="AR46" s="19">
        <v>1</v>
      </c>
    </row>
    <row r="47" spans="1:45" x14ac:dyDescent="0.25">
      <c r="A47" s="19" t="s">
        <v>247</v>
      </c>
      <c r="B47" s="19" t="s">
        <v>323</v>
      </c>
      <c r="C47" s="19" t="s">
        <v>256</v>
      </c>
      <c r="D47" s="20" t="s">
        <v>249</v>
      </c>
      <c r="E47" s="19">
        <v>0</v>
      </c>
      <c r="F47" s="19">
        <v>0</v>
      </c>
      <c r="G47" s="20" t="s">
        <v>38</v>
      </c>
      <c r="H47" s="20" t="s">
        <v>38</v>
      </c>
      <c r="I47" s="20" t="s">
        <v>38</v>
      </c>
      <c r="K47" s="19">
        <f t="shared" si="1"/>
        <v>1</v>
      </c>
      <c r="AK47" s="19">
        <v>1</v>
      </c>
    </row>
    <row r="48" spans="1:45" x14ac:dyDescent="0.25">
      <c r="A48" s="19" t="s">
        <v>247</v>
      </c>
      <c r="B48" s="19" t="s">
        <v>335</v>
      </c>
      <c r="C48" s="19" t="s">
        <v>249</v>
      </c>
      <c r="D48" s="20" t="s">
        <v>38</v>
      </c>
      <c r="E48" s="19">
        <v>1</v>
      </c>
      <c r="F48" s="19">
        <v>1</v>
      </c>
      <c r="G48" s="20" t="s">
        <v>38</v>
      </c>
      <c r="H48" s="20" t="s">
        <v>38</v>
      </c>
      <c r="I48" s="20" t="s">
        <v>38</v>
      </c>
      <c r="K48" s="19">
        <f t="shared" si="1"/>
        <v>1</v>
      </c>
      <c r="AG48" s="19">
        <v>2</v>
      </c>
    </row>
    <row r="49" spans="1:45" x14ac:dyDescent="0.25">
      <c r="A49" s="19" t="s">
        <v>247</v>
      </c>
      <c r="B49" s="19" t="s">
        <v>339</v>
      </c>
      <c r="C49" s="19" t="s">
        <v>237</v>
      </c>
      <c r="D49" s="20" t="s">
        <v>38</v>
      </c>
      <c r="E49" s="19">
        <v>1</v>
      </c>
      <c r="F49" s="19">
        <v>1</v>
      </c>
      <c r="G49" s="20" t="s">
        <v>38</v>
      </c>
      <c r="H49" s="20" t="s">
        <v>38</v>
      </c>
      <c r="I49" s="20" t="s">
        <v>38</v>
      </c>
      <c r="K49" s="19">
        <f t="shared" si="1"/>
        <v>4</v>
      </c>
      <c r="P49" s="19">
        <v>2</v>
      </c>
      <c r="AA49" s="19">
        <v>2</v>
      </c>
      <c r="AG49" s="19">
        <v>2</v>
      </c>
      <c r="AS49" s="19">
        <v>3</v>
      </c>
    </row>
    <row r="50" spans="1:45" x14ac:dyDescent="0.25">
      <c r="A50" s="19" t="s">
        <v>247</v>
      </c>
      <c r="B50" s="19" t="s">
        <v>301</v>
      </c>
      <c r="C50" s="19" t="s">
        <v>255</v>
      </c>
      <c r="D50" s="20" t="s">
        <v>38</v>
      </c>
      <c r="E50" s="19" t="s">
        <v>262</v>
      </c>
      <c r="F50" s="19" t="s">
        <v>262</v>
      </c>
      <c r="G50" s="20" t="s">
        <v>38</v>
      </c>
      <c r="H50" s="20" t="s">
        <v>38</v>
      </c>
      <c r="I50" s="20" t="s">
        <v>302</v>
      </c>
      <c r="K50" s="19">
        <f t="shared" si="1"/>
        <v>1</v>
      </c>
      <c r="Q50" s="19">
        <v>2</v>
      </c>
    </row>
    <row r="51" spans="1:45" x14ac:dyDescent="0.25">
      <c r="A51" s="19" t="s">
        <v>247</v>
      </c>
      <c r="B51" s="19" t="s">
        <v>277</v>
      </c>
      <c r="C51" s="19" t="s">
        <v>255</v>
      </c>
      <c r="D51" s="20" t="s">
        <v>38</v>
      </c>
      <c r="E51" s="19">
        <v>0</v>
      </c>
      <c r="F51" s="19">
        <v>1</v>
      </c>
      <c r="G51" s="20" t="s">
        <v>38</v>
      </c>
      <c r="H51" s="20" t="s">
        <v>38</v>
      </c>
      <c r="I51" s="20" t="s">
        <v>38</v>
      </c>
      <c r="K51" s="19">
        <f t="shared" si="1"/>
        <v>2</v>
      </c>
      <c r="Y51" s="19">
        <v>1</v>
      </c>
      <c r="AB51" s="19">
        <v>1</v>
      </c>
    </row>
    <row r="52" spans="1:45" x14ac:dyDescent="0.25">
      <c r="A52" s="19" t="s">
        <v>247</v>
      </c>
      <c r="B52" s="19" t="s">
        <v>274</v>
      </c>
      <c r="C52" s="19" t="s">
        <v>263</v>
      </c>
      <c r="D52" s="20" t="s">
        <v>38</v>
      </c>
      <c r="E52" s="19">
        <v>1</v>
      </c>
      <c r="F52" s="19">
        <v>1</v>
      </c>
      <c r="G52" s="20" t="s">
        <v>38</v>
      </c>
      <c r="H52" s="20" t="s">
        <v>38</v>
      </c>
      <c r="I52" s="20" t="s">
        <v>309</v>
      </c>
      <c r="K52" s="19">
        <f t="shared" si="1"/>
        <v>3</v>
      </c>
      <c r="AA52" s="19">
        <v>2</v>
      </c>
      <c r="AD52" s="19">
        <v>1</v>
      </c>
      <c r="AI52" s="19">
        <v>1</v>
      </c>
    </row>
    <row r="53" spans="1:45" x14ac:dyDescent="0.25">
      <c r="A53" s="19" t="s">
        <v>247</v>
      </c>
      <c r="B53" s="19" t="s">
        <v>274</v>
      </c>
      <c r="C53" s="19" t="s">
        <v>263</v>
      </c>
      <c r="D53" s="20" t="s">
        <v>38</v>
      </c>
      <c r="E53" s="19">
        <v>1</v>
      </c>
      <c r="F53" s="19">
        <v>1</v>
      </c>
      <c r="G53" s="20" t="s">
        <v>38</v>
      </c>
      <c r="H53" s="20" t="s">
        <v>38</v>
      </c>
      <c r="I53" s="20" t="s">
        <v>38</v>
      </c>
      <c r="K53" s="19">
        <f t="shared" si="1"/>
        <v>2</v>
      </c>
      <c r="M53" s="19">
        <v>1</v>
      </c>
      <c r="AS53" s="19">
        <v>3</v>
      </c>
    </row>
    <row r="54" spans="1:45" x14ac:dyDescent="0.25">
      <c r="A54" s="19" t="s">
        <v>236</v>
      </c>
      <c r="B54" s="19" t="s">
        <v>246</v>
      </c>
      <c r="C54" s="19" t="s">
        <v>237</v>
      </c>
      <c r="D54" s="20" t="s">
        <v>38</v>
      </c>
      <c r="E54" s="20" t="s">
        <v>38</v>
      </c>
      <c r="F54" s="20" t="s">
        <v>38</v>
      </c>
      <c r="G54" s="20" t="s">
        <v>38</v>
      </c>
      <c r="H54" s="20" t="s">
        <v>38</v>
      </c>
      <c r="I54" s="20" t="s">
        <v>38</v>
      </c>
      <c r="K54" s="19">
        <f t="shared" si="1"/>
        <v>4</v>
      </c>
      <c r="P54" s="19">
        <v>2</v>
      </c>
      <c r="W54" s="19">
        <v>1</v>
      </c>
      <c r="X54" s="19">
        <v>1</v>
      </c>
      <c r="AI54" s="19">
        <v>1</v>
      </c>
    </row>
    <row r="55" spans="1:45" x14ac:dyDescent="0.25">
      <c r="A55" s="19" t="s">
        <v>247</v>
      </c>
      <c r="B55" s="19" t="s">
        <v>365</v>
      </c>
      <c r="C55" s="19" t="s">
        <v>255</v>
      </c>
      <c r="D55" s="20" t="s">
        <v>38</v>
      </c>
      <c r="E55" s="20">
        <v>1</v>
      </c>
      <c r="F55" s="20">
        <v>1</v>
      </c>
      <c r="G55" s="20" t="s">
        <v>38</v>
      </c>
      <c r="H55" s="20" t="s">
        <v>38</v>
      </c>
      <c r="I55" s="20" t="s">
        <v>38</v>
      </c>
      <c r="K55" s="19">
        <f t="shared" si="1"/>
        <v>1</v>
      </c>
      <c r="P55" s="19">
        <v>2</v>
      </c>
    </row>
    <row r="56" spans="1:45" x14ac:dyDescent="0.25">
      <c r="A56" s="19" t="s">
        <v>247</v>
      </c>
      <c r="B56" s="19" t="s">
        <v>366</v>
      </c>
      <c r="C56" s="19" t="s">
        <v>237</v>
      </c>
      <c r="D56" s="20" t="s">
        <v>38</v>
      </c>
      <c r="E56" s="20">
        <v>1</v>
      </c>
      <c r="F56" s="20">
        <v>1</v>
      </c>
      <c r="G56" s="20" t="s">
        <v>38</v>
      </c>
      <c r="H56" s="20" t="s">
        <v>38</v>
      </c>
      <c r="I56" s="20" t="s">
        <v>38</v>
      </c>
      <c r="K56" s="19">
        <f t="shared" si="1"/>
        <v>1</v>
      </c>
      <c r="P56" s="19">
        <v>2</v>
      </c>
    </row>
    <row r="57" spans="1:45" x14ac:dyDescent="0.25">
      <c r="A57" s="19" t="s">
        <v>247</v>
      </c>
      <c r="B57" s="19" t="s">
        <v>357</v>
      </c>
      <c r="C57" s="19" t="s">
        <v>256</v>
      </c>
      <c r="D57" s="20" t="s">
        <v>38</v>
      </c>
      <c r="E57" s="20" t="s">
        <v>38</v>
      </c>
      <c r="F57" s="20" t="s">
        <v>38</v>
      </c>
      <c r="G57" s="20" t="s">
        <v>38</v>
      </c>
      <c r="H57" s="20" t="s">
        <v>38</v>
      </c>
      <c r="I57" s="20" t="s">
        <v>38</v>
      </c>
      <c r="K57" s="19">
        <f t="shared" si="1"/>
        <v>1</v>
      </c>
      <c r="AR57" s="19">
        <v>1</v>
      </c>
    </row>
    <row r="58" spans="1:45" x14ac:dyDescent="0.25">
      <c r="A58" s="19" t="s">
        <v>247</v>
      </c>
      <c r="B58" s="19" t="s">
        <v>345</v>
      </c>
      <c r="C58" s="19" t="s">
        <v>282</v>
      </c>
      <c r="D58" s="20" t="s">
        <v>38</v>
      </c>
      <c r="E58" s="19">
        <v>1</v>
      </c>
      <c r="F58" s="19">
        <v>1</v>
      </c>
      <c r="G58" s="20" t="s">
        <v>38</v>
      </c>
      <c r="H58" s="20" t="s">
        <v>38</v>
      </c>
      <c r="I58" s="20" t="s">
        <v>38</v>
      </c>
      <c r="K58" s="19">
        <f t="shared" si="1"/>
        <v>1</v>
      </c>
      <c r="AD58" s="19">
        <v>1</v>
      </c>
    </row>
    <row r="59" spans="1:45" x14ac:dyDescent="0.25">
      <c r="A59" s="19" t="s">
        <v>247</v>
      </c>
      <c r="B59" s="19" t="s">
        <v>284</v>
      </c>
      <c r="C59" s="19" t="s">
        <v>255</v>
      </c>
      <c r="D59" s="20" t="s">
        <v>38</v>
      </c>
      <c r="E59" s="19">
        <v>1</v>
      </c>
      <c r="F59" s="19">
        <v>1</v>
      </c>
      <c r="G59" s="20" t="s">
        <v>38</v>
      </c>
      <c r="H59" s="20" t="s">
        <v>38</v>
      </c>
      <c r="I59" s="20" t="s">
        <v>38</v>
      </c>
      <c r="K59" s="19">
        <f t="shared" si="1"/>
        <v>6</v>
      </c>
      <c r="N59" s="19">
        <v>1</v>
      </c>
      <c r="P59" s="19">
        <v>2</v>
      </c>
      <c r="AA59" s="19">
        <v>2</v>
      </c>
      <c r="AD59" s="19">
        <v>1</v>
      </c>
      <c r="AN59" s="19">
        <v>1</v>
      </c>
      <c r="AS59" s="19">
        <v>3</v>
      </c>
    </row>
    <row r="60" spans="1:45" x14ac:dyDescent="0.25">
      <c r="A60" s="19" t="s">
        <v>247</v>
      </c>
      <c r="B60" s="19" t="s">
        <v>285</v>
      </c>
      <c r="C60" s="19" t="s">
        <v>255</v>
      </c>
      <c r="D60" s="19" t="s">
        <v>282</v>
      </c>
      <c r="E60" s="19">
        <v>1</v>
      </c>
      <c r="F60" s="19">
        <v>1</v>
      </c>
      <c r="G60" s="20" t="s">
        <v>38</v>
      </c>
      <c r="H60" s="20" t="s">
        <v>38</v>
      </c>
      <c r="I60" s="20" t="s">
        <v>38</v>
      </c>
      <c r="K60" s="19">
        <f t="shared" si="1"/>
        <v>2</v>
      </c>
      <c r="N60" s="19">
        <v>1</v>
      </c>
      <c r="AG60" s="19">
        <v>2</v>
      </c>
    </row>
    <row r="61" spans="1:45" x14ac:dyDescent="0.25">
      <c r="A61" s="19" t="s">
        <v>247</v>
      </c>
      <c r="B61" s="19" t="s">
        <v>333</v>
      </c>
      <c r="C61" s="19" t="s">
        <v>255</v>
      </c>
      <c r="D61" s="20" t="s">
        <v>38</v>
      </c>
      <c r="E61" s="19">
        <v>1</v>
      </c>
      <c r="F61" s="19">
        <v>1</v>
      </c>
      <c r="G61" s="20" t="s">
        <v>38</v>
      </c>
      <c r="H61" s="20" t="s">
        <v>38</v>
      </c>
      <c r="I61" s="20" t="s">
        <v>38</v>
      </c>
      <c r="K61" s="19">
        <f t="shared" si="1"/>
        <v>1</v>
      </c>
      <c r="AG61" s="19">
        <v>2</v>
      </c>
    </row>
    <row r="62" spans="1:45" x14ac:dyDescent="0.25">
      <c r="A62" s="19" t="s">
        <v>247</v>
      </c>
      <c r="B62" s="19" t="s">
        <v>355</v>
      </c>
      <c r="C62" s="19" t="s">
        <v>256</v>
      </c>
      <c r="D62" s="20" t="s">
        <v>38</v>
      </c>
      <c r="E62" s="19">
        <v>1</v>
      </c>
      <c r="F62" s="19">
        <v>1</v>
      </c>
      <c r="G62" s="20" t="s">
        <v>38</v>
      </c>
      <c r="H62" s="20" t="s">
        <v>38</v>
      </c>
      <c r="I62" s="20" t="s">
        <v>359</v>
      </c>
      <c r="K62" s="19">
        <f t="shared" si="1"/>
        <v>1</v>
      </c>
      <c r="AR62" s="19">
        <v>1</v>
      </c>
    </row>
    <row r="63" spans="1:45" x14ac:dyDescent="0.25">
      <c r="A63" s="19" t="s">
        <v>247</v>
      </c>
      <c r="B63" s="19" t="s">
        <v>251</v>
      </c>
      <c r="C63" s="19" t="s">
        <v>249</v>
      </c>
      <c r="D63" s="20" t="s">
        <v>38</v>
      </c>
      <c r="E63" s="19">
        <v>1</v>
      </c>
      <c r="F63" s="19">
        <v>1</v>
      </c>
      <c r="G63" s="20" t="s">
        <v>38</v>
      </c>
      <c r="H63" s="20" t="s">
        <v>38</v>
      </c>
      <c r="I63" s="20" t="s">
        <v>38</v>
      </c>
      <c r="K63" s="19">
        <f t="shared" si="1"/>
        <v>3</v>
      </c>
      <c r="U63" s="19">
        <v>1</v>
      </c>
      <c r="AG63" s="19">
        <v>2</v>
      </c>
      <c r="AR63" s="19">
        <v>1</v>
      </c>
    </row>
    <row r="64" spans="1:45" x14ac:dyDescent="0.25">
      <c r="A64" s="19" t="s">
        <v>247</v>
      </c>
      <c r="B64" s="19" t="s">
        <v>251</v>
      </c>
      <c r="C64" s="19" t="s">
        <v>249</v>
      </c>
      <c r="D64" s="19" t="s">
        <v>282</v>
      </c>
      <c r="E64" s="19">
        <v>1</v>
      </c>
      <c r="F64" s="19">
        <v>1</v>
      </c>
      <c r="G64" s="20" t="s">
        <v>38</v>
      </c>
      <c r="H64" s="20" t="s">
        <v>38</v>
      </c>
      <c r="I64" s="20" t="s">
        <v>38</v>
      </c>
      <c r="K64" s="19">
        <f t="shared" si="1"/>
        <v>2</v>
      </c>
      <c r="AA64" s="19">
        <v>2</v>
      </c>
      <c r="AR64" s="19">
        <v>1</v>
      </c>
    </row>
    <row r="65" spans="1:45" x14ac:dyDescent="0.25">
      <c r="A65" s="19" t="s">
        <v>247</v>
      </c>
      <c r="B65" s="19" t="s">
        <v>251</v>
      </c>
      <c r="C65" s="19" t="s">
        <v>282</v>
      </c>
      <c r="D65" s="20" t="s">
        <v>38</v>
      </c>
      <c r="E65" s="19">
        <v>1</v>
      </c>
      <c r="F65" s="19">
        <v>1</v>
      </c>
      <c r="G65" s="20" t="s">
        <v>38</v>
      </c>
      <c r="H65" s="20" t="s">
        <v>38</v>
      </c>
      <c r="I65" s="20" t="s">
        <v>38</v>
      </c>
      <c r="K65" s="19">
        <f t="shared" si="1"/>
        <v>1</v>
      </c>
      <c r="AE65" s="19">
        <v>2</v>
      </c>
    </row>
    <row r="66" spans="1:45" x14ac:dyDescent="0.25">
      <c r="A66" s="19" t="s">
        <v>236</v>
      </c>
      <c r="B66" s="19" t="s">
        <v>376</v>
      </c>
      <c r="C66" s="19" t="s">
        <v>237</v>
      </c>
      <c r="D66" s="20" t="s">
        <v>38</v>
      </c>
      <c r="E66" s="20" t="s">
        <v>38</v>
      </c>
      <c r="F66" s="20" t="s">
        <v>38</v>
      </c>
      <c r="G66" s="20" t="s">
        <v>38</v>
      </c>
      <c r="H66" s="20" t="s">
        <v>38</v>
      </c>
      <c r="I66" s="20" t="s">
        <v>38</v>
      </c>
      <c r="K66" s="19">
        <f t="shared" ref="K66:K97" si="2">COUNTIF(L66:BD66,"&gt;0")</f>
        <v>1</v>
      </c>
      <c r="AS66" s="19">
        <v>1</v>
      </c>
    </row>
    <row r="67" spans="1:45" x14ac:dyDescent="0.25">
      <c r="A67" s="19" t="s">
        <v>247</v>
      </c>
      <c r="B67" s="19" t="s">
        <v>331</v>
      </c>
      <c r="C67" s="19" t="s">
        <v>255</v>
      </c>
      <c r="D67" s="20" t="s">
        <v>249</v>
      </c>
      <c r="E67" s="19">
        <v>1</v>
      </c>
      <c r="F67" s="19">
        <v>1</v>
      </c>
      <c r="G67" s="20" t="s">
        <v>38</v>
      </c>
      <c r="H67" s="20" t="s">
        <v>38</v>
      </c>
      <c r="I67" s="20" t="s">
        <v>38</v>
      </c>
      <c r="K67" s="19">
        <f t="shared" si="2"/>
        <v>1</v>
      </c>
      <c r="AG67" s="19">
        <v>2</v>
      </c>
    </row>
    <row r="68" spans="1:45" x14ac:dyDescent="0.25">
      <c r="A68" s="19" t="s">
        <v>247</v>
      </c>
      <c r="B68" s="19" t="s">
        <v>361</v>
      </c>
      <c r="C68" s="19" t="s">
        <v>255</v>
      </c>
      <c r="D68" s="20" t="s">
        <v>38</v>
      </c>
      <c r="E68" s="20">
        <v>2</v>
      </c>
      <c r="F68" s="20">
        <v>2</v>
      </c>
      <c r="G68" s="20" t="s">
        <v>288</v>
      </c>
      <c r="H68" s="20" t="s">
        <v>38</v>
      </c>
      <c r="I68" s="20" t="s">
        <v>38</v>
      </c>
      <c r="K68" s="19">
        <f t="shared" si="2"/>
        <v>1</v>
      </c>
      <c r="P68" s="19">
        <v>2</v>
      </c>
    </row>
    <row r="69" spans="1:45" x14ac:dyDescent="0.25">
      <c r="A69" s="19" t="s">
        <v>247</v>
      </c>
      <c r="B69" s="19" t="s">
        <v>360</v>
      </c>
      <c r="C69" s="19" t="s">
        <v>263</v>
      </c>
      <c r="D69" s="20" t="s">
        <v>38</v>
      </c>
      <c r="E69" s="20">
        <v>0</v>
      </c>
      <c r="F69" s="20">
        <v>1</v>
      </c>
      <c r="G69" s="20" t="s">
        <v>38</v>
      </c>
      <c r="H69" s="20" t="s">
        <v>38</v>
      </c>
      <c r="I69" s="20" t="s">
        <v>38</v>
      </c>
      <c r="K69" s="19">
        <f t="shared" si="2"/>
        <v>1</v>
      </c>
      <c r="P69" s="19">
        <v>1</v>
      </c>
    </row>
    <row r="70" spans="1:45" x14ac:dyDescent="0.25">
      <c r="A70" s="19" t="s">
        <v>247</v>
      </c>
      <c r="B70" s="19" t="s">
        <v>273</v>
      </c>
      <c r="C70" s="19" t="s">
        <v>255</v>
      </c>
      <c r="D70" s="20" t="s">
        <v>38</v>
      </c>
      <c r="E70" s="19">
        <v>1</v>
      </c>
      <c r="F70" s="19">
        <v>1</v>
      </c>
      <c r="G70" s="20" t="s">
        <v>38</v>
      </c>
      <c r="H70" s="20" t="s">
        <v>38</v>
      </c>
      <c r="I70" s="20" t="s">
        <v>38</v>
      </c>
      <c r="K70" s="19">
        <f t="shared" si="2"/>
        <v>2</v>
      </c>
      <c r="M70" s="19">
        <v>1</v>
      </c>
      <c r="AD70" s="19">
        <v>1</v>
      </c>
    </row>
    <row r="71" spans="1:45" x14ac:dyDescent="0.25">
      <c r="A71" s="19" t="s">
        <v>247</v>
      </c>
      <c r="B71" s="19" t="s">
        <v>281</v>
      </c>
      <c r="C71" s="19" t="s">
        <v>256</v>
      </c>
      <c r="D71" s="20" t="s">
        <v>38</v>
      </c>
      <c r="E71" s="19">
        <v>1</v>
      </c>
      <c r="F71" s="19">
        <v>1</v>
      </c>
      <c r="G71" s="19" t="s">
        <v>280</v>
      </c>
      <c r="H71" s="20" t="s">
        <v>38</v>
      </c>
      <c r="I71" s="20" t="s">
        <v>38</v>
      </c>
      <c r="K71" s="19">
        <f t="shared" si="2"/>
        <v>2</v>
      </c>
      <c r="AF71" s="19">
        <v>2</v>
      </c>
      <c r="AJ71" s="19">
        <v>1</v>
      </c>
    </row>
    <row r="72" spans="1:45" x14ac:dyDescent="0.25">
      <c r="A72" s="19" t="s">
        <v>247</v>
      </c>
      <c r="B72" s="19" t="s">
        <v>281</v>
      </c>
      <c r="C72" s="19" t="s">
        <v>256</v>
      </c>
      <c r="D72" s="20" t="s">
        <v>38</v>
      </c>
      <c r="E72" s="19">
        <v>8</v>
      </c>
      <c r="F72" s="19">
        <v>8</v>
      </c>
      <c r="G72" s="20" t="s">
        <v>38</v>
      </c>
      <c r="H72" s="20" t="s">
        <v>38</v>
      </c>
      <c r="I72" s="20" t="s">
        <v>38</v>
      </c>
      <c r="K72" s="19">
        <f t="shared" si="2"/>
        <v>2</v>
      </c>
      <c r="AJ72" s="19">
        <v>1</v>
      </c>
      <c r="AP72" s="19">
        <v>1</v>
      </c>
    </row>
    <row r="73" spans="1:45" x14ac:dyDescent="0.25">
      <c r="A73" s="19" t="s">
        <v>236</v>
      </c>
      <c r="B73" s="19" t="s">
        <v>243</v>
      </c>
      <c r="C73" s="19" t="s">
        <v>237</v>
      </c>
      <c r="D73" s="20" t="s">
        <v>38</v>
      </c>
      <c r="E73" s="20" t="s">
        <v>38</v>
      </c>
      <c r="F73" s="20" t="s">
        <v>38</v>
      </c>
      <c r="G73" s="20" t="s">
        <v>38</v>
      </c>
      <c r="H73" s="20" t="s">
        <v>38</v>
      </c>
      <c r="I73" s="20" t="s">
        <v>38</v>
      </c>
      <c r="K73" s="19">
        <f t="shared" si="2"/>
        <v>1</v>
      </c>
      <c r="AR73" s="19">
        <v>1</v>
      </c>
    </row>
    <row r="74" spans="1:45" x14ac:dyDescent="0.25">
      <c r="A74" s="19" t="s">
        <v>247</v>
      </c>
      <c r="B74" s="19" t="s">
        <v>373</v>
      </c>
      <c r="C74" s="19" t="s">
        <v>249</v>
      </c>
      <c r="D74" s="20" t="s">
        <v>38</v>
      </c>
      <c r="E74" s="20">
        <v>3</v>
      </c>
      <c r="F74" s="20">
        <v>3</v>
      </c>
      <c r="G74" s="20" t="s">
        <v>38</v>
      </c>
      <c r="H74" s="20" t="s">
        <v>38</v>
      </c>
      <c r="I74" s="20" t="s">
        <v>38</v>
      </c>
      <c r="K74" s="19">
        <f t="shared" si="2"/>
        <v>2</v>
      </c>
      <c r="W74" s="19">
        <v>1</v>
      </c>
      <c r="X74" s="19">
        <v>1</v>
      </c>
    </row>
    <row r="75" spans="1:45" x14ac:dyDescent="0.25">
      <c r="A75" s="19" t="s">
        <v>275</v>
      </c>
      <c r="B75" s="19" t="s">
        <v>380</v>
      </c>
      <c r="C75" s="20" t="s">
        <v>38</v>
      </c>
      <c r="D75" s="20" t="s">
        <v>38</v>
      </c>
      <c r="E75" s="20" t="s">
        <v>38</v>
      </c>
      <c r="F75" s="20" t="s">
        <v>38</v>
      </c>
      <c r="G75" s="20" t="s">
        <v>38</v>
      </c>
      <c r="H75" s="20" t="s">
        <v>38</v>
      </c>
      <c r="I75" s="20" t="s">
        <v>38</v>
      </c>
      <c r="K75" s="19">
        <f t="shared" si="2"/>
        <v>1</v>
      </c>
      <c r="AS75" s="19">
        <v>1</v>
      </c>
    </row>
    <row r="76" spans="1:45" x14ac:dyDescent="0.25">
      <c r="A76" s="19" t="s">
        <v>236</v>
      </c>
      <c r="B76" s="19" t="s">
        <v>244</v>
      </c>
      <c r="C76" s="19" t="s">
        <v>237</v>
      </c>
      <c r="D76" s="20" t="s">
        <v>38</v>
      </c>
      <c r="E76" s="20" t="s">
        <v>38</v>
      </c>
      <c r="F76" s="20" t="s">
        <v>38</v>
      </c>
      <c r="G76" s="20" t="s">
        <v>38</v>
      </c>
      <c r="H76" s="20" t="s">
        <v>38</v>
      </c>
      <c r="I76" s="20" t="s">
        <v>38</v>
      </c>
      <c r="K76" s="19">
        <f t="shared" si="2"/>
        <v>2</v>
      </c>
      <c r="Q76" s="19">
        <v>1</v>
      </c>
      <c r="AH76" s="19">
        <v>2</v>
      </c>
    </row>
    <row r="77" spans="1:45" x14ac:dyDescent="0.25">
      <c r="A77" s="19" t="s">
        <v>314</v>
      </c>
      <c r="B77" s="19" t="s">
        <v>315</v>
      </c>
      <c r="C77" s="19" t="s">
        <v>263</v>
      </c>
      <c r="D77" s="20" t="s">
        <v>38</v>
      </c>
      <c r="E77" s="20" t="s">
        <v>38</v>
      </c>
      <c r="F77" s="20" t="s">
        <v>38</v>
      </c>
      <c r="G77" s="20" t="s">
        <v>38</v>
      </c>
      <c r="H77" s="20" t="s">
        <v>38</v>
      </c>
      <c r="I77" s="20" t="s">
        <v>316</v>
      </c>
      <c r="K77" s="19">
        <f t="shared" si="2"/>
        <v>1</v>
      </c>
      <c r="AI77" s="19">
        <v>6</v>
      </c>
    </row>
    <row r="78" spans="1:45" x14ac:dyDescent="0.25">
      <c r="A78" s="19" t="s">
        <v>247</v>
      </c>
      <c r="B78" s="19" t="s">
        <v>351</v>
      </c>
      <c r="C78" s="19" t="s">
        <v>256</v>
      </c>
      <c r="D78" s="20" t="s">
        <v>38</v>
      </c>
      <c r="E78" s="19">
        <v>1</v>
      </c>
      <c r="F78" s="19">
        <v>1</v>
      </c>
      <c r="G78" s="19" t="s">
        <v>352</v>
      </c>
      <c r="H78" s="20" t="s">
        <v>38</v>
      </c>
      <c r="I78" s="20" t="s">
        <v>38</v>
      </c>
      <c r="K78" s="19">
        <f t="shared" si="2"/>
        <v>1</v>
      </c>
      <c r="Z78" s="19">
        <v>2</v>
      </c>
    </row>
    <row r="79" spans="1:45" x14ac:dyDescent="0.25">
      <c r="A79" s="19" t="s">
        <v>247</v>
      </c>
      <c r="B79" s="19" t="s">
        <v>351</v>
      </c>
      <c r="C79" s="19" t="s">
        <v>256</v>
      </c>
      <c r="D79" s="20" t="s">
        <v>38</v>
      </c>
      <c r="E79" s="19">
        <v>1</v>
      </c>
      <c r="F79" s="19">
        <v>1</v>
      </c>
      <c r="G79" s="20" t="s">
        <v>38</v>
      </c>
      <c r="H79" s="20" t="s">
        <v>38</v>
      </c>
      <c r="I79" s="20" t="s">
        <v>38</v>
      </c>
      <c r="K79" s="19">
        <f t="shared" si="2"/>
        <v>1</v>
      </c>
      <c r="Z79" s="19">
        <v>2</v>
      </c>
    </row>
    <row r="80" spans="1:45" x14ac:dyDescent="0.25">
      <c r="A80" s="19" t="s">
        <v>247</v>
      </c>
      <c r="B80" s="19" t="s">
        <v>346</v>
      </c>
      <c r="C80" s="19" t="s">
        <v>255</v>
      </c>
      <c r="D80" s="20" t="s">
        <v>38</v>
      </c>
      <c r="E80" s="19">
        <v>1</v>
      </c>
      <c r="F80" s="19">
        <v>1</v>
      </c>
      <c r="G80" s="20" t="s">
        <v>38</v>
      </c>
      <c r="H80" s="20" t="s">
        <v>38</v>
      </c>
      <c r="I80" s="20" t="s">
        <v>347</v>
      </c>
      <c r="K80" s="19">
        <f t="shared" si="2"/>
        <v>2</v>
      </c>
      <c r="AD80" s="19">
        <v>1</v>
      </c>
      <c r="AS80" s="19">
        <v>3</v>
      </c>
    </row>
    <row r="81" spans="1:45" x14ac:dyDescent="0.25">
      <c r="A81" s="19" t="s">
        <v>236</v>
      </c>
      <c r="B81" s="19" t="s">
        <v>245</v>
      </c>
      <c r="C81" s="19" t="s">
        <v>237</v>
      </c>
      <c r="D81" s="20" t="s">
        <v>38</v>
      </c>
      <c r="E81" s="20" t="s">
        <v>38</v>
      </c>
      <c r="F81" s="20" t="s">
        <v>38</v>
      </c>
      <c r="G81" s="20" t="s">
        <v>38</v>
      </c>
      <c r="H81" s="20" t="s">
        <v>38</v>
      </c>
      <c r="I81" s="20" t="s">
        <v>38</v>
      </c>
      <c r="K81" s="19">
        <f t="shared" si="2"/>
        <v>1</v>
      </c>
      <c r="Q81" s="19">
        <v>1</v>
      </c>
    </row>
    <row r="82" spans="1:45" x14ac:dyDescent="0.25">
      <c r="A82" s="19" t="s">
        <v>348</v>
      </c>
      <c r="B82" s="19" t="s">
        <v>349</v>
      </c>
      <c r="C82" s="19" t="s">
        <v>237</v>
      </c>
      <c r="D82" s="20" t="s">
        <v>38</v>
      </c>
      <c r="E82" s="20" t="s">
        <v>38</v>
      </c>
      <c r="F82" s="20" t="s">
        <v>38</v>
      </c>
      <c r="G82" s="20" t="s">
        <v>38</v>
      </c>
      <c r="H82" s="20" t="s">
        <v>38</v>
      </c>
      <c r="I82" s="20" t="s">
        <v>38</v>
      </c>
      <c r="K82" s="19">
        <f t="shared" si="2"/>
        <v>1</v>
      </c>
      <c r="Z82" s="19">
        <v>1</v>
      </c>
    </row>
    <row r="83" spans="1:45" x14ac:dyDescent="0.25">
      <c r="A83" s="19" t="s">
        <v>247</v>
      </c>
      <c r="B83" s="19" t="s">
        <v>306</v>
      </c>
      <c r="C83" s="19" t="s">
        <v>282</v>
      </c>
      <c r="D83" s="20" t="s">
        <v>38</v>
      </c>
      <c r="E83" s="19">
        <v>2</v>
      </c>
      <c r="F83" s="19">
        <v>2</v>
      </c>
      <c r="G83" s="20" t="s">
        <v>38</v>
      </c>
      <c r="H83" s="20" t="s">
        <v>38</v>
      </c>
      <c r="I83" s="20" t="s">
        <v>38</v>
      </c>
      <c r="K83" s="19">
        <f t="shared" si="2"/>
        <v>1</v>
      </c>
      <c r="Q83" s="19">
        <v>2</v>
      </c>
    </row>
    <row r="84" spans="1:45" x14ac:dyDescent="0.25">
      <c r="A84" s="19" t="s">
        <v>247</v>
      </c>
      <c r="B84" s="19" t="s">
        <v>311</v>
      </c>
      <c r="C84" s="19" t="s">
        <v>263</v>
      </c>
      <c r="D84" s="20" t="s">
        <v>38</v>
      </c>
      <c r="E84" s="19">
        <v>3</v>
      </c>
      <c r="F84" s="19">
        <v>3</v>
      </c>
      <c r="G84" s="20" t="s">
        <v>38</v>
      </c>
      <c r="H84" s="20" t="s">
        <v>38</v>
      </c>
      <c r="I84" s="20" t="s">
        <v>38</v>
      </c>
      <c r="K84" s="19">
        <f t="shared" si="2"/>
        <v>1</v>
      </c>
      <c r="AI84" s="19">
        <v>1</v>
      </c>
    </row>
    <row r="85" spans="1:45" x14ac:dyDescent="0.25">
      <c r="A85" s="19" t="s">
        <v>247</v>
      </c>
      <c r="B85" s="19" t="s">
        <v>341</v>
      </c>
      <c r="C85" s="19" t="s">
        <v>282</v>
      </c>
      <c r="D85" s="20" t="s">
        <v>249</v>
      </c>
      <c r="E85" s="19">
        <v>1</v>
      </c>
      <c r="F85" s="19">
        <v>1</v>
      </c>
      <c r="G85" s="20" t="s">
        <v>38</v>
      </c>
      <c r="H85" s="20" t="s">
        <v>38</v>
      </c>
      <c r="I85" s="20" t="s">
        <v>340</v>
      </c>
      <c r="K85" s="19">
        <f t="shared" si="2"/>
        <v>2</v>
      </c>
      <c r="P85" s="19">
        <v>2</v>
      </c>
      <c r="AG85" s="19">
        <v>2</v>
      </c>
    </row>
    <row r="86" spans="1:45" x14ac:dyDescent="0.25">
      <c r="A86" s="19" t="s">
        <v>247</v>
      </c>
      <c r="B86" s="19" t="s">
        <v>370</v>
      </c>
      <c r="C86" s="19" t="s">
        <v>237</v>
      </c>
      <c r="D86" s="20" t="s">
        <v>38</v>
      </c>
      <c r="E86" s="20">
        <v>1</v>
      </c>
      <c r="F86" s="20">
        <v>1</v>
      </c>
      <c r="G86" s="20" t="s">
        <v>38</v>
      </c>
      <c r="H86" s="20" t="s">
        <v>38</v>
      </c>
      <c r="I86" s="20" t="s">
        <v>38</v>
      </c>
      <c r="K86" s="19">
        <f t="shared" si="2"/>
        <v>1</v>
      </c>
      <c r="P86" s="19">
        <v>2</v>
      </c>
    </row>
    <row r="87" spans="1:45" x14ac:dyDescent="0.25">
      <c r="A87" s="19" t="s">
        <v>247</v>
      </c>
      <c r="B87" s="19" t="s">
        <v>307</v>
      </c>
      <c r="C87" s="19" t="s">
        <v>256</v>
      </c>
      <c r="D87" s="20" t="s">
        <v>38</v>
      </c>
      <c r="E87" s="19">
        <v>2</v>
      </c>
      <c r="F87" s="19">
        <v>1</v>
      </c>
      <c r="G87" s="20" t="s">
        <v>38</v>
      </c>
      <c r="H87" s="20" t="s">
        <v>38</v>
      </c>
      <c r="I87" s="20" t="s">
        <v>38</v>
      </c>
      <c r="K87" s="19">
        <f t="shared" si="2"/>
        <v>1</v>
      </c>
      <c r="Q87" s="19">
        <v>2</v>
      </c>
    </row>
    <row r="88" spans="1:45" x14ac:dyDescent="0.25">
      <c r="A88" s="19" t="s">
        <v>247</v>
      </c>
      <c r="B88" s="19" t="s">
        <v>344</v>
      </c>
      <c r="C88" s="19" t="s">
        <v>237</v>
      </c>
      <c r="D88" s="20" t="s">
        <v>38</v>
      </c>
      <c r="E88" s="19">
        <v>1</v>
      </c>
      <c r="F88" s="19">
        <v>1</v>
      </c>
      <c r="G88" s="20" t="s">
        <v>38</v>
      </c>
      <c r="H88" s="20" t="s">
        <v>38</v>
      </c>
      <c r="I88" s="20" t="s">
        <v>343</v>
      </c>
      <c r="K88" s="19">
        <f t="shared" si="2"/>
        <v>1</v>
      </c>
      <c r="AD88" s="19">
        <v>1</v>
      </c>
    </row>
    <row r="89" spans="1:45" x14ac:dyDescent="0.25">
      <c r="A89" s="19" t="s">
        <v>247</v>
      </c>
      <c r="B89" s="19" t="s">
        <v>305</v>
      </c>
      <c r="C89" s="19" t="s">
        <v>237</v>
      </c>
      <c r="D89" s="20" t="s">
        <v>38</v>
      </c>
      <c r="E89" s="19">
        <v>2</v>
      </c>
      <c r="F89" s="19">
        <v>2</v>
      </c>
      <c r="G89" s="20" t="s">
        <v>38</v>
      </c>
      <c r="H89" s="20" t="s">
        <v>38</v>
      </c>
      <c r="I89" s="20" t="s">
        <v>38</v>
      </c>
      <c r="K89" s="19">
        <f t="shared" si="2"/>
        <v>1</v>
      </c>
      <c r="Q89" s="19">
        <v>2</v>
      </c>
    </row>
    <row r="90" spans="1:45" x14ac:dyDescent="0.25">
      <c r="A90" s="19" t="s">
        <v>247</v>
      </c>
      <c r="B90" s="19" t="s">
        <v>332</v>
      </c>
      <c r="C90" s="19" t="s">
        <v>249</v>
      </c>
      <c r="D90" s="20" t="s">
        <v>38</v>
      </c>
      <c r="E90" s="19">
        <v>0</v>
      </c>
      <c r="F90" s="19">
        <v>1</v>
      </c>
      <c r="G90" s="20" t="s">
        <v>38</v>
      </c>
      <c r="H90" s="20" t="s">
        <v>38</v>
      </c>
      <c r="I90" s="20" t="s">
        <v>38</v>
      </c>
      <c r="K90" s="19">
        <f t="shared" si="2"/>
        <v>3</v>
      </c>
      <c r="P90" s="19">
        <v>2</v>
      </c>
      <c r="AG90" s="19">
        <v>2</v>
      </c>
      <c r="AR90" s="19">
        <v>1</v>
      </c>
    </row>
    <row r="91" spans="1:45" x14ac:dyDescent="0.25">
      <c r="A91" s="19" t="s">
        <v>247</v>
      </c>
      <c r="B91" s="19" t="s">
        <v>332</v>
      </c>
      <c r="C91" s="19" t="s">
        <v>249</v>
      </c>
      <c r="D91" s="20" t="s">
        <v>38</v>
      </c>
      <c r="E91" s="20">
        <v>1</v>
      </c>
      <c r="F91" s="20">
        <v>1</v>
      </c>
      <c r="G91" s="20" t="s">
        <v>38</v>
      </c>
      <c r="H91" s="20" t="s">
        <v>38</v>
      </c>
      <c r="I91" s="20" t="s">
        <v>38</v>
      </c>
      <c r="K91" s="19">
        <f t="shared" si="2"/>
        <v>1</v>
      </c>
      <c r="AL91" s="19">
        <v>3</v>
      </c>
    </row>
    <row r="92" spans="1:45" x14ac:dyDescent="0.25">
      <c r="A92" s="19" t="s">
        <v>236</v>
      </c>
      <c r="B92" s="19" t="s">
        <v>242</v>
      </c>
      <c r="C92" s="19" t="s">
        <v>237</v>
      </c>
      <c r="D92" s="20" t="s">
        <v>38</v>
      </c>
      <c r="E92" s="20" t="s">
        <v>38</v>
      </c>
      <c r="F92" s="20" t="s">
        <v>38</v>
      </c>
      <c r="G92" s="20" t="s">
        <v>38</v>
      </c>
      <c r="H92" s="20" t="s">
        <v>38</v>
      </c>
      <c r="I92" s="20" t="s">
        <v>38</v>
      </c>
      <c r="K92" s="19">
        <f t="shared" si="2"/>
        <v>3</v>
      </c>
      <c r="AF92" s="19">
        <v>2</v>
      </c>
      <c r="AM92" s="19">
        <v>1</v>
      </c>
      <c r="AS92" s="19">
        <v>1</v>
      </c>
    </row>
    <row r="93" spans="1:45" x14ac:dyDescent="0.25">
      <c r="A93" s="19" t="s">
        <v>247</v>
      </c>
      <c r="B93" s="19" t="s">
        <v>368</v>
      </c>
      <c r="C93" s="19" t="s">
        <v>255</v>
      </c>
      <c r="D93" s="20" t="s">
        <v>38</v>
      </c>
      <c r="E93" s="20">
        <v>1</v>
      </c>
      <c r="F93" s="20">
        <v>1</v>
      </c>
      <c r="G93" s="20" t="s">
        <v>38</v>
      </c>
      <c r="H93" s="20" t="s">
        <v>38</v>
      </c>
      <c r="I93" s="20" t="s">
        <v>38</v>
      </c>
      <c r="K93" s="19">
        <f t="shared" si="2"/>
        <v>2</v>
      </c>
      <c r="P93" s="19">
        <v>2</v>
      </c>
      <c r="AO93" s="19">
        <v>5</v>
      </c>
    </row>
    <row r="94" spans="1:45" x14ac:dyDescent="0.25">
      <c r="A94" s="19" t="s">
        <v>247</v>
      </c>
      <c r="B94" s="19" t="s">
        <v>337</v>
      </c>
      <c r="C94" s="19" t="s">
        <v>282</v>
      </c>
      <c r="D94" s="20" t="s">
        <v>38</v>
      </c>
      <c r="E94" s="19">
        <v>1</v>
      </c>
      <c r="F94" s="19">
        <v>1</v>
      </c>
      <c r="G94" s="20" t="s">
        <v>38</v>
      </c>
      <c r="H94" s="20" t="s">
        <v>38</v>
      </c>
      <c r="I94" s="20" t="s">
        <v>38</v>
      </c>
      <c r="K94" s="19">
        <f t="shared" si="2"/>
        <v>1</v>
      </c>
      <c r="AG94" s="19">
        <v>2</v>
      </c>
    </row>
    <row r="95" spans="1:45" x14ac:dyDescent="0.25">
      <c r="A95" s="19" t="s">
        <v>247</v>
      </c>
      <c r="B95" s="19" t="s">
        <v>264</v>
      </c>
      <c r="C95" s="19" t="s">
        <v>263</v>
      </c>
      <c r="D95" s="20" t="s">
        <v>38</v>
      </c>
      <c r="E95" s="19">
        <v>2</v>
      </c>
      <c r="F95" s="19">
        <v>2</v>
      </c>
      <c r="G95" s="20" t="s">
        <v>38</v>
      </c>
      <c r="H95" s="20" t="s">
        <v>38</v>
      </c>
      <c r="I95" s="20" t="s">
        <v>38</v>
      </c>
      <c r="K95" s="19">
        <f t="shared" si="2"/>
        <v>1</v>
      </c>
      <c r="M95" s="19">
        <v>1</v>
      </c>
    </row>
    <row r="96" spans="1:45" x14ac:dyDescent="0.25">
      <c r="A96" s="19" t="s">
        <v>247</v>
      </c>
      <c r="B96" s="19" t="s">
        <v>369</v>
      </c>
      <c r="C96" s="19" t="s">
        <v>249</v>
      </c>
      <c r="D96" s="20" t="s">
        <v>38</v>
      </c>
      <c r="E96" s="20">
        <v>4</v>
      </c>
      <c r="F96" s="20">
        <v>4</v>
      </c>
      <c r="G96" s="20" t="s">
        <v>38</v>
      </c>
      <c r="H96" s="20" t="s">
        <v>38</v>
      </c>
      <c r="I96" s="20" t="s">
        <v>38</v>
      </c>
      <c r="K96" s="19">
        <f t="shared" si="2"/>
        <v>1</v>
      </c>
      <c r="P96" s="19">
        <v>2</v>
      </c>
    </row>
    <row r="97" spans="1:45" x14ac:dyDescent="0.25">
      <c r="A97" s="19" t="s">
        <v>247</v>
      </c>
      <c r="B97" s="19" t="s">
        <v>375</v>
      </c>
      <c r="C97" s="19" t="s">
        <v>256</v>
      </c>
      <c r="D97" s="20" t="s">
        <v>38</v>
      </c>
      <c r="E97" s="20">
        <v>4</v>
      </c>
      <c r="F97" s="20">
        <v>3</v>
      </c>
      <c r="G97" s="20" t="s">
        <v>38</v>
      </c>
      <c r="H97" s="20" t="s">
        <v>38</v>
      </c>
      <c r="I97" s="20" t="s">
        <v>38</v>
      </c>
      <c r="K97" s="19">
        <f t="shared" si="2"/>
        <v>1</v>
      </c>
      <c r="AH97" s="19">
        <v>2</v>
      </c>
    </row>
    <row r="98" spans="1:45" x14ac:dyDescent="0.25">
      <c r="A98" s="19" t="s">
        <v>247</v>
      </c>
      <c r="B98" s="19" t="s">
        <v>299</v>
      </c>
      <c r="C98" s="19" t="s">
        <v>249</v>
      </c>
      <c r="D98" s="20" t="s">
        <v>38</v>
      </c>
      <c r="E98" s="19">
        <v>1</v>
      </c>
      <c r="F98" s="19">
        <v>1</v>
      </c>
      <c r="G98" s="20" t="s">
        <v>38</v>
      </c>
      <c r="H98" s="20" t="s">
        <v>38</v>
      </c>
      <c r="I98" s="20" t="s">
        <v>38</v>
      </c>
      <c r="K98" s="19">
        <f t="shared" ref="K98:K129" si="3">COUNTIF(L98:BD98,"&gt;0")</f>
        <v>6</v>
      </c>
      <c r="P98" s="19">
        <v>2</v>
      </c>
      <c r="Y98" s="19">
        <v>1</v>
      </c>
      <c r="AA98" s="19">
        <v>2</v>
      </c>
      <c r="AE98" s="19">
        <v>1</v>
      </c>
      <c r="AG98" s="19">
        <v>2</v>
      </c>
      <c r="AR98" s="19">
        <v>1</v>
      </c>
    </row>
    <row r="99" spans="1:45" x14ac:dyDescent="0.25">
      <c r="A99" s="19" t="s">
        <v>247</v>
      </c>
      <c r="B99" s="19" t="s">
        <v>383</v>
      </c>
      <c r="C99" s="19" t="s">
        <v>237</v>
      </c>
      <c r="D99" s="20" t="s">
        <v>38</v>
      </c>
      <c r="E99" s="19">
        <v>2</v>
      </c>
      <c r="F99" s="19">
        <v>2</v>
      </c>
      <c r="G99" s="20" t="s">
        <v>38</v>
      </c>
      <c r="H99" s="20" t="s">
        <v>38</v>
      </c>
      <c r="I99" s="20" t="s">
        <v>38</v>
      </c>
      <c r="K99" s="19">
        <f t="shared" si="3"/>
        <v>1</v>
      </c>
      <c r="AE99" s="19">
        <v>2</v>
      </c>
    </row>
    <row r="100" spans="1:45" x14ac:dyDescent="0.25">
      <c r="A100" s="19" t="s">
        <v>247</v>
      </c>
      <c r="B100" s="19" t="s">
        <v>354</v>
      </c>
      <c r="C100" s="19" t="s">
        <v>249</v>
      </c>
      <c r="D100" s="20" t="s">
        <v>38</v>
      </c>
      <c r="E100" s="20" t="s">
        <v>38</v>
      </c>
      <c r="F100" s="20" t="s">
        <v>38</v>
      </c>
      <c r="G100" s="20" t="s">
        <v>38</v>
      </c>
      <c r="H100" s="20" t="s">
        <v>38</v>
      </c>
      <c r="I100" s="20" t="s">
        <v>38</v>
      </c>
      <c r="K100" s="19">
        <f t="shared" si="3"/>
        <v>1</v>
      </c>
      <c r="AR100" s="19">
        <v>1</v>
      </c>
    </row>
    <row r="101" spans="1:45" x14ac:dyDescent="0.25">
      <c r="A101" s="19" t="s">
        <v>247</v>
      </c>
      <c r="B101" s="19" t="s">
        <v>304</v>
      </c>
      <c r="C101" s="19" t="s">
        <v>237</v>
      </c>
      <c r="D101" s="20" t="s">
        <v>38</v>
      </c>
      <c r="E101" s="19">
        <v>1</v>
      </c>
      <c r="F101" s="19">
        <v>1</v>
      </c>
      <c r="G101" s="20" t="s">
        <v>38</v>
      </c>
      <c r="H101" s="20" t="s">
        <v>38</v>
      </c>
      <c r="I101" s="20" t="s">
        <v>38</v>
      </c>
      <c r="K101" s="19">
        <f t="shared" si="3"/>
        <v>3</v>
      </c>
      <c r="P101" s="19">
        <v>2</v>
      </c>
      <c r="Q101" s="19">
        <v>2</v>
      </c>
      <c r="AD101" s="19">
        <v>1</v>
      </c>
    </row>
    <row r="102" spans="1:45" x14ac:dyDescent="0.25">
      <c r="A102" s="19" t="s">
        <v>247</v>
      </c>
      <c r="B102" s="19" t="s">
        <v>291</v>
      </c>
      <c r="C102" s="19" t="s">
        <v>237</v>
      </c>
      <c r="D102" s="20" t="s">
        <v>38</v>
      </c>
      <c r="E102" s="19">
        <v>1</v>
      </c>
      <c r="F102" s="19">
        <v>1</v>
      </c>
      <c r="G102" s="20" t="s">
        <v>292</v>
      </c>
      <c r="H102" s="20" t="s">
        <v>38</v>
      </c>
      <c r="I102" s="20" t="s">
        <v>38</v>
      </c>
      <c r="K102" s="19">
        <f t="shared" si="3"/>
        <v>2</v>
      </c>
      <c r="P102" s="19">
        <v>2</v>
      </c>
      <c r="AG102" s="19">
        <v>2</v>
      </c>
    </row>
    <row r="103" spans="1:45" x14ac:dyDescent="0.25">
      <c r="A103" s="19" t="s">
        <v>247</v>
      </c>
      <c r="B103" s="19" t="s">
        <v>291</v>
      </c>
      <c r="C103" s="19" t="s">
        <v>256</v>
      </c>
      <c r="D103" s="20" t="s">
        <v>38</v>
      </c>
      <c r="E103" s="19">
        <v>2</v>
      </c>
      <c r="F103" s="19">
        <v>2</v>
      </c>
      <c r="G103" s="20" t="s">
        <v>292</v>
      </c>
      <c r="H103" s="20" t="s">
        <v>38</v>
      </c>
      <c r="I103" s="20" t="s">
        <v>38</v>
      </c>
      <c r="K103" s="19">
        <f t="shared" si="3"/>
        <v>1</v>
      </c>
      <c r="AP103" s="19">
        <v>1</v>
      </c>
    </row>
    <row r="104" spans="1:45" x14ac:dyDescent="0.25">
      <c r="A104" s="19" t="s">
        <v>247</v>
      </c>
      <c r="B104" s="19" t="s">
        <v>356</v>
      </c>
      <c r="C104" s="19" t="s">
        <v>282</v>
      </c>
      <c r="D104" s="20" t="s">
        <v>38</v>
      </c>
      <c r="E104" s="19">
        <v>1</v>
      </c>
      <c r="F104" s="19">
        <v>1</v>
      </c>
      <c r="G104" s="19" t="s">
        <v>358</v>
      </c>
      <c r="H104" s="20" t="s">
        <v>38</v>
      </c>
      <c r="I104" s="20" t="s">
        <v>38</v>
      </c>
      <c r="K104" s="19">
        <f t="shared" si="3"/>
        <v>1</v>
      </c>
      <c r="AR104" s="19">
        <v>1</v>
      </c>
    </row>
    <row r="105" spans="1:45" x14ac:dyDescent="0.25">
      <c r="A105" s="19" t="s">
        <v>247</v>
      </c>
      <c r="B105" s="19" t="s">
        <v>356</v>
      </c>
      <c r="C105" s="19" t="s">
        <v>249</v>
      </c>
      <c r="D105" s="20" t="s">
        <v>38</v>
      </c>
      <c r="E105" s="19">
        <v>1</v>
      </c>
      <c r="F105" s="19">
        <v>1</v>
      </c>
      <c r="G105" s="19" t="s">
        <v>358</v>
      </c>
      <c r="H105" s="20" t="s">
        <v>38</v>
      </c>
      <c r="I105" s="20" t="s">
        <v>38</v>
      </c>
      <c r="J105" s="20"/>
      <c r="K105" s="19">
        <f t="shared" si="3"/>
        <v>1</v>
      </c>
      <c r="AE105" s="19">
        <v>2</v>
      </c>
    </row>
    <row r="106" spans="1:45" x14ac:dyDescent="0.25">
      <c r="A106" s="19" t="s">
        <v>247</v>
      </c>
      <c r="B106" s="19" t="s">
        <v>267</v>
      </c>
      <c r="C106" s="19" t="s">
        <v>255</v>
      </c>
      <c r="D106" s="20" t="s">
        <v>38</v>
      </c>
      <c r="E106" s="19">
        <v>1</v>
      </c>
      <c r="F106" s="19">
        <v>1</v>
      </c>
      <c r="G106" s="20" t="s">
        <v>38</v>
      </c>
      <c r="H106" s="20" t="s">
        <v>38</v>
      </c>
      <c r="I106" s="20" t="s">
        <v>38</v>
      </c>
      <c r="K106" s="19">
        <f t="shared" si="3"/>
        <v>6</v>
      </c>
      <c r="M106" s="19">
        <v>1</v>
      </c>
      <c r="P106" s="19">
        <v>2</v>
      </c>
      <c r="AA106" s="19">
        <v>2</v>
      </c>
      <c r="AG106" s="19">
        <v>2</v>
      </c>
      <c r="AK106" s="19">
        <v>1</v>
      </c>
      <c r="AQ106" s="19">
        <v>1</v>
      </c>
    </row>
    <row r="107" spans="1:45" x14ac:dyDescent="0.25">
      <c r="A107" s="19" t="s">
        <v>247</v>
      </c>
      <c r="B107" s="19" t="s">
        <v>267</v>
      </c>
      <c r="C107" s="19" t="s">
        <v>263</v>
      </c>
      <c r="D107" s="20" t="s">
        <v>38</v>
      </c>
      <c r="E107" s="19">
        <v>2</v>
      </c>
      <c r="F107" s="19">
        <v>2</v>
      </c>
      <c r="G107" s="19" t="s">
        <v>268</v>
      </c>
      <c r="H107" s="20" t="s">
        <v>38</v>
      </c>
      <c r="I107" s="20" t="s">
        <v>38</v>
      </c>
      <c r="K107" s="19">
        <f t="shared" si="3"/>
        <v>5</v>
      </c>
      <c r="M107" s="19">
        <v>1</v>
      </c>
      <c r="AA107" s="19">
        <v>1</v>
      </c>
      <c r="AD107" s="19">
        <v>1</v>
      </c>
      <c r="AI107" s="19">
        <v>1</v>
      </c>
      <c r="AS107" s="19">
        <v>1</v>
      </c>
    </row>
    <row r="108" spans="1:45" x14ac:dyDescent="0.25">
      <c r="A108" s="19" t="s">
        <v>247</v>
      </c>
      <c r="B108" s="19" t="s">
        <v>267</v>
      </c>
      <c r="C108" s="19" t="s">
        <v>237</v>
      </c>
      <c r="D108" s="20" t="s">
        <v>38</v>
      </c>
      <c r="E108" s="19">
        <v>1</v>
      </c>
      <c r="F108" s="19">
        <v>1</v>
      </c>
      <c r="G108" s="20" t="s">
        <v>38</v>
      </c>
      <c r="H108" s="20" t="s">
        <v>38</v>
      </c>
      <c r="I108" s="20" t="s">
        <v>38</v>
      </c>
      <c r="K108" s="19">
        <f t="shared" si="3"/>
        <v>2</v>
      </c>
      <c r="AA108" s="19">
        <v>2</v>
      </c>
      <c r="AD108" s="19">
        <v>1</v>
      </c>
    </row>
    <row r="109" spans="1:45" x14ac:dyDescent="0.25">
      <c r="A109" s="19" t="s">
        <v>247</v>
      </c>
      <c r="B109" s="19" t="s">
        <v>267</v>
      </c>
      <c r="C109" s="19" t="s">
        <v>255</v>
      </c>
      <c r="D109" s="20" t="s">
        <v>38</v>
      </c>
      <c r="E109" s="20">
        <v>1</v>
      </c>
      <c r="F109" s="20">
        <v>1</v>
      </c>
      <c r="G109" s="20" t="s">
        <v>364</v>
      </c>
      <c r="H109" s="20" t="s">
        <v>38</v>
      </c>
      <c r="I109" s="20" t="s">
        <v>38</v>
      </c>
      <c r="K109" s="19">
        <f t="shared" si="3"/>
        <v>1</v>
      </c>
      <c r="P109" s="19">
        <v>2</v>
      </c>
    </row>
    <row r="110" spans="1:45" x14ac:dyDescent="0.25">
      <c r="A110" s="19" t="s">
        <v>247</v>
      </c>
      <c r="B110" s="19" t="s">
        <v>267</v>
      </c>
      <c r="C110" s="19" t="s">
        <v>263</v>
      </c>
      <c r="D110" s="20" t="s">
        <v>255</v>
      </c>
      <c r="E110" s="19">
        <v>1</v>
      </c>
      <c r="F110" s="19">
        <v>1</v>
      </c>
      <c r="G110" s="20" t="s">
        <v>313</v>
      </c>
      <c r="H110" s="20" t="s">
        <v>38</v>
      </c>
      <c r="I110" s="20" t="s">
        <v>38</v>
      </c>
      <c r="K110" s="19">
        <f t="shared" si="3"/>
        <v>1</v>
      </c>
      <c r="AA110" s="19">
        <v>2</v>
      </c>
    </row>
    <row r="111" spans="1:45" x14ac:dyDescent="0.25">
      <c r="A111" s="19" t="s">
        <v>247</v>
      </c>
      <c r="B111" s="19" t="s">
        <v>334</v>
      </c>
      <c r="C111" s="19" t="s">
        <v>237</v>
      </c>
      <c r="D111" s="20" t="s">
        <v>38</v>
      </c>
      <c r="E111" s="19">
        <v>2</v>
      </c>
      <c r="F111" s="19">
        <v>2</v>
      </c>
      <c r="G111" s="20" t="s">
        <v>38</v>
      </c>
      <c r="H111" s="20" t="s">
        <v>38</v>
      </c>
      <c r="I111" s="20" t="s">
        <v>38</v>
      </c>
      <c r="K111" s="19">
        <f t="shared" si="3"/>
        <v>1</v>
      </c>
      <c r="AG111" s="19">
        <v>2</v>
      </c>
    </row>
    <row r="112" spans="1:45" x14ac:dyDescent="0.25">
      <c r="A112" s="19" t="s">
        <v>247</v>
      </c>
      <c r="B112" s="19" t="s">
        <v>317</v>
      </c>
      <c r="C112" s="19" t="s">
        <v>282</v>
      </c>
      <c r="D112" s="20" t="s">
        <v>38</v>
      </c>
      <c r="E112" s="19">
        <v>2</v>
      </c>
      <c r="F112" s="19">
        <v>1</v>
      </c>
      <c r="G112" s="20" t="s">
        <v>318</v>
      </c>
      <c r="H112" s="20" t="s">
        <v>319</v>
      </c>
      <c r="I112" s="20" t="s">
        <v>38</v>
      </c>
      <c r="K112" s="19">
        <f t="shared" si="3"/>
        <v>1</v>
      </c>
      <c r="AK112" s="19">
        <v>1</v>
      </c>
    </row>
    <row r="113" spans="1:45" x14ac:dyDescent="0.25">
      <c r="A113" s="19" t="s">
        <v>247</v>
      </c>
      <c r="B113" s="19" t="s">
        <v>317</v>
      </c>
      <c r="C113" s="19" t="s">
        <v>249</v>
      </c>
      <c r="D113" s="20" t="s">
        <v>38</v>
      </c>
      <c r="E113" s="20">
        <v>1</v>
      </c>
      <c r="F113" s="20">
        <v>2</v>
      </c>
      <c r="G113" s="20" t="s">
        <v>319</v>
      </c>
      <c r="H113" s="20" t="s">
        <v>38</v>
      </c>
      <c r="I113" s="20" t="s">
        <v>38</v>
      </c>
      <c r="K113" s="19">
        <f t="shared" si="3"/>
        <v>1</v>
      </c>
      <c r="P113" s="19">
        <v>2</v>
      </c>
    </row>
    <row r="114" spans="1:45" x14ac:dyDescent="0.25">
      <c r="A114" s="19" t="s">
        <v>247</v>
      </c>
      <c r="B114" s="19" t="s">
        <v>278</v>
      </c>
      <c r="C114" s="19" t="s">
        <v>255</v>
      </c>
      <c r="D114" s="20" t="s">
        <v>38</v>
      </c>
      <c r="E114" s="19">
        <v>1</v>
      </c>
      <c r="F114" s="19">
        <v>1</v>
      </c>
      <c r="G114" s="19" t="s">
        <v>260</v>
      </c>
      <c r="H114" s="20" t="s">
        <v>38</v>
      </c>
      <c r="I114" s="20" t="s">
        <v>38</v>
      </c>
      <c r="K114" s="19">
        <f t="shared" si="3"/>
        <v>5</v>
      </c>
      <c r="N114" s="19">
        <v>1</v>
      </c>
      <c r="AA114" s="19">
        <v>2</v>
      </c>
      <c r="AD114" s="19">
        <v>1</v>
      </c>
      <c r="AG114" s="19">
        <v>2</v>
      </c>
      <c r="AK114" s="19">
        <v>1</v>
      </c>
    </row>
    <row r="115" spans="1:45" x14ac:dyDescent="0.25">
      <c r="A115" s="19" t="s">
        <v>247</v>
      </c>
      <c r="B115" s="19" t="s">
        <v>278</v>
      </c>
      <c r="C115" s="19" t="s">
        <v>255</v>
      </c>
      <c r="D115" s="19" t="s">
        <v>282</v>
      </c>
      <c r="E115" s="19">
        <v>1</v>
      </c>
      <c r="F115" s="19">
        <v>1</v>
      </c>
      <c r="G115" s="19" t="s">
        <v>260</v>
      </c>
      <c r="H115" s="20" t="s">
        <v>38</v>
      </c>
      <c r="I115" s="20" t="s">
        <v>38</v>
      </c>
      <c r="K115" s="19">
        <f t="shared" si="3"/>
        <v>4</v>
      </c>
      <c r="N115" s="19">
        <v>1</v>
      </c>
      <c r="Q115" s="19">
        <v>1</v>
      </c>
      <c r="AA115" s="19">
        <v>2</v>
      </c>
      <c r="AG115" s="19">
        <v>2</v>
      </c>
    </row>
    <row r="116" spans="1:45" x14ac:dyDescent="0.25">
      <c r="A116" s="19" t="s">
        <v>247</v>
      </c>
      <c r="B116" s="19" t="s">
        <v>278</v>
      </c>
      <c r="C116" s="19" t="s">
        <v>237</v>
      </c>
      <c r="D116" s="20" t="s">
        <v>38</v>
      </c>
      <c r="E116" s="19">
        <v>1</v>
      </c>
      <c r="F116" s="19">
        <v>1</v>
      </c>
      <c r="G116" s="20" t="s">
        <v>38</v>
      </c>
      <c r="H116" s="20" t="s">
        <v>38</v>
      </c>
      <c r="I116" s="20" t="s">
        <v>38</v>
      </c>
      <c r="K116" s="19">
        <f t="shared" si="3"/>
        <v>2</v>
      </c>
      <c r="AD116" s="19">
        <v>1</v>
      </c>
      <c r="AJ116" s="19">
        <v>1</v>
      </c>
    </row>
    <row r="117" spans="1:45" x14ac:dyDescent="0.25">
      <c r="A117" s="19" t="s">
        <v>247</v>
      </c>
      <c r="B117" s="19" t="s">
        <v>278</v>
      </c>
      <c r="C117" s="19" t="s">
        <v>237</v>
      </c>
      <c r="D117" s="20" t="s">
        <v>38</v>
      </c>
      <c r="E117" s="19">
        <v>2</v>
      </c>
      <c r="F117" s="19">
        <v>2</v>
      </c>
      <c r="G117" s="20" t="s">
        <v>38</v>
      </c>
      <c r="H117" s="20" t="s">
        <v>38</v>
      </c>
      <c r="I117" s="20" t="s">
        <v>38</v>
      </c>
      <c r="K117" s="19">
        <f t="shared" si="3"/>
        <v>1</v>
      </c>
      <c r="AK117" s="19">
        <v>1</v>
      </c>
    </row>
    <row r="118" spans="1:45" x14ac:dyDescent="0.25">
      <c r="A118" s="19" t="s">
        <v>247</v>
      </c>
      <c r="B118" s="19" t="s">
        <v>278</v>
      </c>
      <c r="C118" s="19" t="s">
        <v>255</v>
      </c>
      <c r="D118" s="20" t="s">
        <v>38</v>
      </c>
      <c r="E118" s="19">
        <v>1</v>
      </c>
      <c r="F118" s="19">
        <v>1</v>
      </c>
      <c r="G118" s="20" t="s">
        <v>38</v>
      </c>
      <c r="H118" s="20" t="s">
        <v>38</v>
      </c>
      <c r="I118" s="20" t="s">
        <v>38</v>
      </c>
      <c r="K118" s="19">
        <f t="shared" si="3"/>
        <v>1</v>
      </c>
      <c r="AA118" s="19">
        <v>2</v>
      </c>
    </row>
    <row r="119" spans="1:45" x14ac:dyDescent="0.25">
      <c r="A119" s="19" t="s">
        <v>247</v>
      </c>
      <c r="B119" s="19" t="s">
        <v>378</v>
      </c>
      <c r="C119" s="19" t="s">
        <v>263</v>
      </c>
      <c r="D119" s="20" t="s">
        <v>38</v>
      </c>
      <c r="E119" s="20">
        <v>5</v>
      </c>
      <c r="F119" s="20">
        <v>5</v>
      </c>
      <c r="G119" s="20" t="s">
        <v>260</v>
      </c>
      <c r="H119" s="20" t="s">
        <v>38</v>
      </c>
      <c r="I119" s="20" t="s">
        <v>38</v>
      </c>
      <c r="K119" s="19">
        <f t="shared" si="3"/>
        <v>1</v>
      </c>
      <c r="AS119" s="19">
        <v>2</v>
      </c>
    </row>
    <row r="120" spans="1:45" x14ac:dyDescent="0.25">
      <c r="A120" s="19" t="s">
        <v>247</v>
      </c>
      <c r="B120" s="19" t="s">
        <v>258</v>
      </c>
      <c r="C120" s="19" t="s">
        <v>249</v>
      </c>
      <c r="D120" s="20" t="s">
        <v>38</v>
      </c>
      <c r="E120" s="19">
        <v>1</v>
      </c>
      <c r="F120" s="19">
        <v>1</v>
      </c>
      <c r="G120" s="20" t="s">
        <v>38</v>
      </c>
      <c r="H120" s="20" t="s">
        <v>38</v>
      </c>
      <c r="I120" s="20" t="s">
        <v>38</v>
      </c>
      <c r="K120" s="19">
        <f t="shared" si="3"/>
        <v>6</v>
      </c>
      <c r="P120" s="19">
        <v>2</v>
      </c>
      <c r="V120" s="19">
        <v>1</v>
      </c>
      <c r="AA120" s="19">
        <v>2</v>
      </c>
      <c r="AG120" s="19">
        <v>2</v>
      </c>
      <c r="AL120" s="19">
        <v>2</v>
      </c>
      <c r="AR120" s="19">
        <v>1</v>
      </c>
    </row>
    <row r="121" spans="1:45" x14ac:dyDescent="0.25">
      <c r="A121" s="19" t="s">
        <v>247</v>
      </c>
      <c r="B121" s="19" t="s">
        <v>297</v>
      </c>
      <c r="C121" s="19" t="s">
        <v>282</v>
      </c>
      <c r="D121" s="20" t="s">
        <v>38</v>
      </c>
      <c r="E121" s="19">
        <v>1</v>
      </c>
      <c r="F121" s="19">
        <v>1</v>
      </c>
      <c r="G121" s="20" t="s">
        <v>260</v>
      </c>
      <c r="H121" s="20" t="s">
        <v>38</v>
      </c>
      <c r="I121" s="20" t="s">
        <v>38</v>
      </c>
      <c r="K121" s="19">
        <f t="shared" si="3"/>
        <v>1</v>
      </c>
      <c r="R121" s="19">
        <v>1</v>
      </c>
    </row>
    <row r="122" spans="1:45" x14ac:dyDescent="0.25">
      <c r="A122" s="19" t="s">
        <v>275</v>
      </c>
      <c r="B122" s="19" t="s">
        <v>296</v>
      </c>
      <c r="C122" s="20" t="s">
        <v>38</v>
      </c>
      <c r="D122" s="20" t="s">
        <v>38</v>
      </c>
      <c r="E122" s="20" t="s">
        <v>38</v>
      </c>
      <c r="F122" s="20" t="s">
        <v>38</v>
      </c>
      <c r="G122" s="20" t="s">
        <v>38</v>
      </c>
      <c r="H122" s="20" t="s">
        <v>38</v>
      </c>
      <c r="I122" s="20" t="s">
        <v>38</v>
      </c>
      <c r="K122" s="19">
        <f t="shared" si="3"/>
        <v>1</v>
      </c>
      <c r="R122" s="19">
        <v>1</v>
      </c>
    </row>
    <row r="123" spans="1:45" x14ac:dyDescent="0.25">
      <c r="A123" s="19" t="s">
        <v>247</v>
      </c>
      <c r="B123" s="19" t="s">
        <v>283</v>
      </c>
      <c r="C123" s="19" t="s">
        <v>282</v>
      </c>
      <c r="D123" s="20" t="s">
        <v>38</v>
      </c>
      <c r="E123" s="19">
        <v>2</v>
      </c>
      <c r="F123" s="19">
        <v>2</v>
      </c>
      <c r="G123" s="20" t="s">
        <v>38</v>
      </c>
      <c r="H123" s="20" t="s">
        <v>38</v>
      </c>
      <c r="I123" s="20" t="s">
        <v>38</v>
      </c>
      <c r="K123" s="19">
        <f t="shared" si="3"/>
        <v>1</v>
      </c>
      <c r="AJ123" s="19">
        <v>1</v>
      </c>
    </row>
    <row r="124" spans="1:45" x14ac:dyDescent="0.25">
      <c r="A124" s="19" t="s">
        <v>247</v>
      </c>
      <c r="B124" s="19" t="s">
        <v>269</v>
      </c>
      <c r="C124" s="19" t="s">
        <v>237</v>
      </c>
      <c r="D124" s="20" t="s">
        <v>38</v>
      </c>
      <c r="E124" s="19">
        <v>1</v>
      </c>
      <c r="F124" s="19">
        <v>1</v>
      </c>
      <c r="G124" s="19" t="s">
        <v>260</v>
      </c>
      <c r="H124" s="20" t="s">
        <v>38</v>
      </c>
      <c r="I124" s="20" t="s">
        <v>38</v>
      </c>
      <c r="K124" s="19">
        <f t="shared" si="3"/>
        <v>7</v>
      </c>
      <c r="M124" s="19">
        <v>1</v>
      </c>
      <c r="P124" s="19">
        <v>2</v>
      </c>
      <c r="Q124" s="19">
        <v>2</v>
      </c>
      <c r="AA124" s="19">
        <v>2</v>
      </c>
      <c r="AB124" s="19">
        <v>1</v>
      </c>
      <c r="AG124" s="19">
        <v>2</v>
      </c>
      <c r="AS124" s="19">
        <v>3</v>
      </c>
    </row>
    <row r="125" spans="1:45" x14ac:dyDescent="0.25">
      <c r="A125" s="19" t="s">
        <v>247</v>
      </c>
      <c r="B125" s="19" t="s">
        <v>269</v>
      </c>
      <c r="C125" s="19" t="s">
        <v>256</v>
      </c>
      <c r="D125" s="20" t="s">
        <v>38</v>
      </c>
      <c r="E125" s="19">
        <v>1</v>
      </c>
      <c r="F125" s="19">
        <v>1</v>
      </c>
      <c r="G125" s="20" t="s">
        <v>260</v>
      </c>
      <c r="H125" s="20" t="s">
        <v>38</v>
      </c>
      <c r="I125" s="20" t="s">
        <v>38</v>
      </c>
      <c r="K125" s="19">
        <f t="shared" si="3"/>
        <v>1</v>
      </c>
      <c r="Q125" s="19">
        <v>2</v>
      </c>
    </row>
    <row r="126" spans="1:45" x14ac:dyDescent="0.25">
      <c r="A126" s="19" t="s">
        <v>275</v>
      </c>
      <c r="B126" s="19" t="s">
        <v>381</v>
      </c>
      <c r="C126" s="20" t="s">
        <v>38</v>
      </c>
      <c r="D126" s="20" t="s">
        <v>38</v>
      </c>
      <c r="E126" s="20" t="s">
        <v>38</v>
      </c>
      <c r="F126" s="20" t="s">
        <v>38</v>
      </c>
      <c r="G126" s="20" t="s">
        <v>38</v>
      </c>
      <c r="H126" s="20" t="s">
        <v>38</v>
      </c>
      <c r="I126" s="20" t="s">
        <v>38</v>
      </c>
      <c r="K126" s="19">
        <f t="shared" si="3"/>
        <v>1</v>
      </c>
      <c r="AS126" s="19">
        <v>1</v>
      </c>
    </row>
    <row r="127" spans="1:45" x14ac:dyDescent="0.25">
      <c r="A127" s="19" t="s">
        <v>247</v>
      </c>
      <c r="B127" s="19" t="s">
        <v>303</v>
      </c>
      <c r="C127" s="19" t="s">
        <v>255</v>
      </c>
      <c r="D127" s="20" t="s">
        <v>38</v>
      </c>
      <c r="E127" s="19">
        <v>1</v>
      </c>
      <c r="F127" s="19">
        <v>1</v>
      </c>
      <c r="G127" s="20" t="s">
        <v>38</v>
      </c>
      <c r="H127" s="20" t="s">
        <v>38</v>
      </c>
      <c r="I127" s="20" t="s">
        <v>38</v>
      </c>
      <c r="K127" s="19">
        <f t="shared" si="3"/>
        <v>3</v>
      </c>
      <c r="Q127" s="19">
        <v>2</v>
      </c>
      <c r="AA127" s="19">
        <v>2</v>
      </c>
      <c r="AG127" s="19">
        <v>2</v>
      </c>
    </row>
    <row r="128" spans="1:45" x14ac:dyDescent="0.25">
      <c r="A128" s="19" t="s">
        <v>236</v>
      </c>
      <c r="B128" s="19" t="s">
        <v>235</v>
      </c>
      <c r="C128" s="19" t="s">
        <v>237</v>
      </c>
      <c r="D128" s="20" t="s">
        <v>38</v>
      </c>
      <c r="E128" s="20" t="s">
        <v>38</v>
      </c>
      <c r="F128" s="20" t="s">
        <v>38</v>
      </c>
      <c r="G128" s="20" t="s">
        <v>38</v>
      </c>
      <c r="H128" s="20" t="s">
        <v>38</v>
      </c>
      <c r="I128" s="20" t="s">
        <v>38</v>
      </c>
      <c r="J128" s="20"/>
      <c r="K128" s="19">
        <f t="shared" si="3"/>
        <v>23</v>
      </c>
      <c r="M128" s="19">
        <v>1</v>
      </c>
      <c r="N128" s="19">
        <v>1</v>
      </c>
      <c r="P128" s="19">
        <v>2</v>
      </c>
      <c r="Q128" s="19">
        <v>1</v>
      </c>
      <c r="R128" s="19">
        <v>1</v>
      </c>
      <c r="V128" s="19">
        <v>1</v>
      </c>
      <c r="W128" s="19">
        <v>1</v>
      </c>
      <c r="X128" s="19">
        <v>1</v>
      </c>
      <c r="AA128" s="19">
        <v>2</v>
      </c>
      <c r="AB128" s="19">
        <v>1</v>
      </c>
      <c r="AE128" s="19">
        <v>1</v>
      </c>
      <c r="AG128" s="19">
        <v>2</v>
      </c>
      <c r="AH128" s="19">
        <v>2</v>
      </c>
      <c r="AI128" s="19">
        <v>1</v>
      </c>
      <c r="AJ128" s="19">
        <v>1</v>
      </c>
      <c r="AK128" s="19">
        <v>1</v>
      </c>
      <c r="AM128" s="19">
        <v>1</v>
      </c>
      <c r="AN128" s="19">
        <v>1</v>
      </c>
      <c r="AO128" s="19">
        <v>1</v>
      </c>
      <c r="AP128" s="19">
        <v>1</v>
      </c>
      <c r="AQ128" s="19">
        <v>1</v>
      </c>
      <c r="AR128" s="19">
        <v>1</v>
      </c>
      <c r="AS128" s="19">
        <v>1</v>
      </c>
    </row>
    <row r="129" spans="1:44" x14ac:dyDescent="0.25">
      <c r="A129" s="19" t="s">
        <v>247</v>
      </c>
      <c r="B129" s="19" t="s">
        <v>363</v>
      </c>
      <c r="C129" s="19" t="s">
        <v>255</v>
      </c>
      <c r="D129" s="20" t="s">
        <v>38</v>
      </c>
      <c r="E129" s="20">
        <v>1</v>
      </c>
      <c r="F129" s="20">
        <v>1</v>
      </c>
      <c r="G129" s="20" t="s">
        <v>364</v>
      </c>
      <c r="H129" s="20" t="s">
        <v>38</v>
      </c>
      <c r="I129" s="20" t="s">
        <v>38</v>
      </c>
      <c r="K129" s="19">
        <f t="shared" si="3"/>
        <v>1</v>
      </c>
      <c r="P129" s="19">
        <v>2</v>
      </c>
    </row>
    <row r="130" spans="1:44" x14ac:dyDescent="0.25">
      <c r="A130" s="19" t="s">
        <v>247</v>
      </c>
      <c r="B130" s="19" t="s">
        <v>362</v>
      </c>
      <c r="C130" s="19" t="s">
        <v>255</v>
      </c>
      <c r="D130" s="20" t="s">
        <v>282</v>
      </c>
      <c r="E130" s="20">
        <v>4</v>
      </c>
      <c r="F130" s="20">
        <v>3</v>
      </c>
      <c r="G130" s="20" t="s">
        <v>260</v>
      </c>
      <c r="H130" s="20" t="s">
        <v>38</v>
      </c>
      <c r="I130" s="20" t="s">
        <v>38</v>
      </c>
      <c r="K130" s="19">
        <f t="shared" ref="K130:K143" si="4">COUNTIF(L130:BD130,"&gt;0")</f>
        <v>1</v>
      </c>
      <c r="P130" s="19">
        <v>1</v>
      </c>
    </row>
    <row r="131" spans="1:44" x14ac:dyDescent="0.25">
      <c r="A131" s="19" t="s">
        <v>247</v>
      </c>
      <c r="B131" s="19" t="s">
        <v>290</v>
      </c>
      <c r="C131" s="19" t="s">
        <v>255</v>
      </c>
      <c r="D131" s="20" t="s">
        <v>38</v>
      </c>
      <c r="E131" s="19">
        <v>0</v>
      </c>
      <c r="F131" s="19">
        <v>3</v>
      </c>
      <c r="G131" s="20" t="s">
        <v>308</v>
      </c>
      <c r="H131" s="20" t="s">
        <v>38</v>
      </c>
      <c r="I131" s="20" t="s">
        <v>38</v>
      </c>
      <c r="K131" s="19">
        <f t="shared" si="4"/>
        <v>1</v>
      </c>
      <c r="O131" s="19">
        <v>1</v>
      </c>
    </row>
    <row r="132" spans="1:44" x14ac:dyDescent="0.25">
      <c r="A132" s="19" t="s">
        <v>247</v>
      </c>
      <c r="B132" s="19" t="s">
        <v>290</v>
      </c>
      <c r="C132" s="19" t="s">
        <v>255</v>
      </c>
      <c r="D132" s="20" t="s">
        <v>38</v>
      </c>
      <c r="E132" s="19">
        <v>0</v>
      </c>
      <c r="F132" s="19">
        <v>4</v>
      </c>
      <c r="G132" s="19" t="s">
        <v>308</v>
      </c>
      <c r="H132" s="20" t="s">
        <v>260</v>
      </c>
      <c r="I132" s="20" t="s">
        <v>38</v>
      </c>
      <c r="K132" s="19">
        <f t="shared" si="4"/>
        <v>1</v>
      </c>
      <c r="O132" s="19">
        <v>1</v>
      </c>
    </row>
    <row r="133" spans="1:44" x14ac:dyDescent="0.25">
      <c r="A133" s="19" t="s">
        <v>247</v>
      </c>
      <c r="B133" s="19" t="s">
        <v>290</v>
      </c>
      <c r="C133" s="19" t="s">
        <v>255</v>
      </c>
      <c r="D133" s="20" t="s">
        <v>38</v>
      </c>
      <c r="E133" s="19">
        <v>1</v>
      </c>
      <c r="F133" s="19">
        <v>3</v>
      </c>
      <c r="G133" s="20" t="s">
        <v>308</v>
      </c>
      <c r="H133" s="20" t="s">
        <v>38</v>
      </c>
      <c r="I133" s="20" t="s">
        <v>38</v>
      </c>
      <c r="K133" s="19">
        <f t="shared" si="4"/>
        <v>1</v>
      </c>
      <c r="O133" s="19">
        <v>1</v>
      </c>
    </row>
    <row r="134" spans="1:44" x14ac:dyDescent="0.25">
      <c r="A134" s="19" t="s">
        <v>247</v>
      </c>
      <c r="B134" s="19" t="s">
        <v>298</v>
      </c>
      <c r="C134" s="19" t="s">
        <v>255</v>
      </c>
      <c r="D134" s="20" t="s">
        <v>38</v>
      </c>
      <c r="E134" s="19">
        <v>1</v>
      </c>
      <c r="F134" s="19">
        <v>1</v>
      </c>
      <c r="G134" s="20" t="s">
        <v>288</v>
      </c>
      <c r="H134" s="20" t="s">
        <v>38</v>
      </c>
      <c r="I134" s="20" t="s">
        <v>38</v>
      </c>
      <c r="K134" s="19">
        <f t="shared" si="4"/>
        <v>3</v>
      </c>
      <c r="R134" s="19">
        <v>1</v>
      </c>
      <c r="AA134" s="19">
        <v>2</v>
      </c>
      <c r="AG134" s="19">
        <v>2</v>
      </c>
    </row>
    <row r="135" spans="1:44" x14ac:dyDescent="0.25">
      <c r="A135" s="19" t="s">
        <v>247</v>
      </c>
      <c r="B135" s="19" t="s">
        <v>298</v>
      </c>
      <c r="C135" s="19" t="s">
        <v>255</v>
      </c>
      <c r="D135" s="20" t="s">
        <v>38</v>
      </c>
      <c r="E135" s="20">
        <v>1</v>
      </c>
      <c r="F135" s="20">
        <v>1</v>
      </c>
      <c r="G135" s="20" t="s">
        <v>38</v>
      </c>
      <c r="H135" s="20" t="s">
        <v>38</v>
      </c>
      <c r="I135" s="20" t="s">
        <v>38</v>
      </c>
      <c r="K135" s="19">
        <f t="shared" si="4"/>
        <v>1</v>
      </c>
      <c r="P135" s="19">
        <v>2</v>
      </c>
    </row>
    <row r="136" spans="1:44" x14ac:dyDescent="0.25">
      <c r="A136" s="19" t="s">
        <v>247</v>
      </c>
      <c r="B136" s="19" t="s">
        <v>298</v>
      </c>
      <c r="C136" s="19" t="s">
        <v>263</v>
      </c>
      <c r="D136" s="20" t="s">
        <v>38</v>
      </c>
      <c r="E136" s="19">
        <v>1</v>
      </c>
      <c r="F136" s="19">
        <v>1</v>
      </c>
      <c r="G136" s="20" t="s">
        <v>38</v>
      </c>
      <c r="H136" s="20" t="s">
        <v>38</v>
      </c>
      <c r="I136" s="20" t="s">
        <v>38</v>
      </c>
      <c r="K136" s="19">
        <f t="shared" si="4"/>
        <v>1</v>
      </c>
      <c r="AA136" s="19">
        <v>2</v>
      </c>
    </row>
    <row r="137" spans="1:44" x14ac:dyDescent="0.25">
      <c r="A137" s="19" t="s">
        <v>236</v>
      </c>
      <c r="B137" s="19" t="s">
        <v>286</v>
      </c>
      <c r="C137" s="19" t="s">
        <v>255</v>
      </c>
      <c r="D137" s="20" t="s">
        <v>38</v>
      </c>
      <c r="E137" s="20" t="s">
        <v>38</v>
      </c>
      <c r="F137" s="20" t="s">
        <v>38</v>
      </c>
      <c r="G137" s="20" t="s">
        <v>38</v>
      </c>
      <c r="H137" s="20" t="s">
        <v>38</v>
      </c>
      <c r="I137" s="20" t="s">
        <v>38</v>
      </c>
      <c r="K137" s="19">
        <f t="shared" si="4"/>
        <v>1</v>
      </c>
      <c r="N137" s="19">
        <v>1</v>
      </c>
    </row>
    <row r="138" spans="1:44" x14ac:dyDescent="0.25">
      <c r="A138" s="19" t="s">
        <v>247</v>
      </c>
      <c r="B138" s="19" t="s">
        <v>322</v>
      </c>
      <c r="C138" s="19" t="s">
        <v>263</v>
      </c>
      <c r="D138" s="20" t="s">
        <v>38</v>
      </c>
      <c r="E138" s="19">
        <v>1</v>
      </c>
      <c r="F138" s="19">
        <v>1</v>
      </c>
      <c r="G138" s="20" t="s">
        <v>38</v>
      </c>
      <c r="H138" s="20" t="s">
        <v>38</v>
      </c>
      <c r="I138" s="20" t="s">
        <v>321</v>
      </c>
      <c r="K138" s="19">
        <f t="shared" si="4"/>
        <v>1</v>
      </c>
      <c r="AK138" s="19">
        <v>1</v>
      </c>
    </row>
    <row r="139" spans="1:44" x14ac:dyDescent="0.25">
      <c r="A139" s="19" t="s">
        <v>247</v>
      </c>
      <c r="B139" s="19" t="s">
        <v>272</v>
      </c>
      <c r="C139" s="19" t="s">
        <v>249</v>
      </c>
      <c r="D139" s="20" t="s">
        <v>38</v>
      </c>
      <c r="E139" s="19">
        <v>2</v>
      </c>
      <c r="F139" s="19">
        <v>2</v>
      </c>
      <c r="G139" s="20" t="s">
        <v>38</v>
      </c>
      <c r="H139" s="20" t="s">
        <v>38</v>
      </c>
      <c r="I139" s="20" t="s">
        <v>38</v>
      </c>
      <c r="K139" s="19">
        <f t="shared" si="4"/>
        <v>1</v>
      </c>
      <c r="M139" s="19">
        <v>1</v>
      </c>
    </row>
    <row r="140" spans="1:44" x14ac:dyDescent="0.25">
      <c r="A140" s="19" t="s">
        <v>247</v>
      </c>
      <c r="B140" s="19" t="s">
        <v>272</v>
      </c>
      <c r="C140" s="19" t="s">
        <v>249</v>
      </c>
      <c r="D140" s="20" t="s">
        <v>282</v>
      </c>
      <c r="E140" s="19">
        <v>2</v>
      </c>
      <c r="F140" s="19">
        <v>2</v>
      </c>
      <c r="G140" s="20" t="s">
        <v>38</v>
      </c>
      <c r="H140" s="20" t="s">
        <v>38</v>
      </c>
      <c r="I140" s="20" t="s">
        <v>327</v>
      </c>
      <c r="K140" s="19">
        <f t="shared" si="4"/>
        <v>1</v>
      </c>
      <c r="AK140" s="19">
        <v>1</v>
      </c>
    </row>
    <row r="141" spans="1:44" x14ac:dyDescent="0.25">
      <c r="A141" s="19" t="s">
        <v>247</v>
      </c>
      <c r="B141" s="19" t="s">
        <v>310</v>
      </c>
      <c r="C141" s="19" t="s">
        <v>282</v>
      </c>
      <c r="D141" s="20" t="s">
        <v>38</v>
      </c>
      <c r="E141" s="19">
        <v>2</v>
      </c>
      <c r="F141" s="19">
        <v>2</v>
      </c>
      <c r="G141" s="20" t="s">
        <v>38</v>
      </c>
      <c r="H141" s="20" t="s">
        <v>38</v>
      </c>
      <c r="I141" s="20" t="s">
        <v>38</v>
      </c>
      <c r="K141" s="19">
        <f t="shared" si="4"/>
        <v>3</v>
      </c>
      <c r="AI141" s="19">
        <v>1</v>
      </c>
      <c r="AK141" s="19">
        <v>1</v>
      </c>
      <c r="AR141" s="19">
        <v>1</v>
      </c>
    </row>
    <row r="142" spans="1:44" x14ac:dyDescent="0.25">
      <c r="A142" s="19" t="s">
        <v>247</v>
      </c>
      <c r="B142" s="19" t="s">
        <v>393</v>
      </c>
      <c r="C142" s="19" t="s">
        <v>263</v>
      </c>
      <c r="D142" s="20" t="s">
        <v>38</v>
      </c>
      <c r="E142" s="19">
        <v>1</v>
      </c>
      <c r="F142" s="19">
        <v>1</v>
      </c>
      <c r="G142" s="20" t="s">
        <v>38</v>
      </c>
      <c r="H142" s="20" t="s">
        <v>38</v>
      </c>
      <c r="I142" s="20" t="s">
        <v>38</v>
      </c>
      <c r="K142" s="19">
        <f t="shared" si="4"/>
        <v>1</v>
      </c>
      <c r="L142" s="19">
        <v>1</v>
      </c>
    </row>
    <row r="143" spans="1:44" x14ac:dyDescent="0.25">
      <c r="A143" s="19" t="s">
        <v>247</v>
      </c>
      <c r="B143" s="19" t="s">
        <v>414</v>
      </c>
      <c r="C143" s="19" t="s">
        <v>237</v>
      </c>
      <c r="D143" s="20" t="s">
        <v>38</v>
      </c>
      <c r="E143" s="19">
        <v>1</v>
      </c>
      <c r="F143" s="19">
        <v>1</v>
      </c>
      <c r="G143" s="20" t="s">
        <v>38</v>
      </c>
      <c r="H143" s="20" t="s">
        <v>38</v>
      </c>
      <c r="I143" s="20" t="s">
        <v>38</v>
      </c>
      <c r="K143" s="19">
        <f t="shared" si="4"/>
        <v>1</v>
      </c>
      <c r="T143" s="19">
        <v>4</v>
      </c>
    </row>
  </sheetData>
  <autoFilter ref="A1:AS1" xr:uid="{B70381BA-5F06-43A2-B794-A8DFCFB620D8}">
    <sortState xmlns:xlrd2="http://schemas.microsoft.com/office/spreadsheetml/2017/richdata2" ref="A2:AS141">
      <sortCondition ref="B1"/>
    </sortState>
  </autoFilter>
  <sortState xmlns:xlrd2="http://schemas.microsoft.com/office/spreadsheetml/2017/richdata2" ref="L1:L33">
    <sortCondition ref="L1:L33"/>
  </sortState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E89092-51C8-45A6-BDDF-E7D5AEF9AE5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COMPRAS</vt:lpstr>
      <vt:lpstr>Tabela2</vt:lpstr>
      <vt:lpstr>RESUMO</vt:lpstr>
      <vt:lpstr>COLEÇÃO</vt:lpstr>
      <vt:lpstr>STATS</vt:lpstr>
      <vt:lpstr>WATCH</vt:lpstr>
      <vt:lpstr>TOKENS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Marcelo Fernandes Scalvi</dc:creator>
  <cp:lastModifiedBy>Marcelo Fernandes Scalvi</cp:lastModifiedBy>
  <cp:lastPrinted>2025-09-21T17:56:07Z</cp:lastPrinted>
  <dcterms:created xsi:type="dcterms:W3CDTF">2025-08-29T21:10:10Z</dcterms:created>
  <dcterms:modified xsi:type="dcterms:W3CDTF">2026-01-27T14:00:15Z</dcterms:modified>
</cp:coreProperties>
</file>