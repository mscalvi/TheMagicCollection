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Magic\"/>
    </mc:Choice>
  </mc:AlternateContent>
  <xr:revisionPtr revIDLastSave="0" documentId="13_ncr:1_{C6D951FF-E163-417B-8556-678BB813E053}" xr6:coauthVersionLast="47" xr6:coauthVersionMax="47" xr10:uidLastSave="{00000000-0000-0000-0000-000000000000}"/>
  <bookViews>
    <workbookView xWindow="-120" yWindow="-120" windowWidth="29040" windowHeight="15720" tabRatio="835" activeTab="13" xr2:uid="{CC72415A-D2E5-4D77-82BF-05A7B4384BC9}"/>
  </bookViews>
  <sheets>
    <sheet name="COMPRAS" sheetId="19" r:id="rId1"/>
    <sheet name="RESUMO" sheetId="18" state="hidden" r:id="rId2"/>
    <sheet name="RESUMO (2)" sheetId="45" state="hidden" r:id="rId3"/>
    <sheet name="HardenedScalesEx" sheetId="71" state="hidden" r:id="rId4"/>
    <sheet name="Jund Food" sheetId="51" r:id="rId5"/>
    <sheet name="Planilha1" sheetId="70" state="hidden" r:id="rId6"/>
    <sheet name="ElfoNeer" sheetId="52" r:id="rId7"/>
    <sheet name="CoCo Army" sheetId="54" state="hidden" r:id="rId8"/>
    <sheet name="AbzanCoCoCo" sheetId="55" state="hidden" r:id="rId9"/>
    <sheet name="AbzanCoCoCo (2)" sheetId="57" state="hidden" r:id="rId10"/>
    <sheet name="AbzanCoCoCo (3)" sheetId="58" state="hidden" r:id="rId11"/>
    <sheet name="AbzanCoCoCo (4)" sheetId="61" state="hidden" r:id="rId12"/>
    <sheet name="AbzanCoCoCo (5)" sheetId="62" state="hidden" r:id="rId13"/>
    <sheet name="4c Tolkien Company" sheetId="63" r:id="rId14"/>
    <sheet name="5c Tolkien Company" sheetId="67" state="hidden" r:id="rId15"/>
    <sheet name="CoCo Slivers" sheetId="66" r:id="rId16"/>
    <sheet name="CoCo Knights" sheetId="64" state="hidden" r:id="rId17"/>
    <sheet name="SquirrelFood" sheetId="68" state="hidden" r:id="rId18"/>
    <sheet name="EsperBeaters" sheetId="69" state="hidden" r:id="rId19"/>
    <sheet name="Affinity" sheetId="59" state="hidden" r:id="rId20"/>
    <sheet name="Hardened Scales" sheetId="60" r:id="rId21"/>
  </sheets>
  <definedNames>
    <definedName name="_xlnm._FilterDatabase" localSheetId="1" hidden="1">RESUMO!$A$2:$C$213</definedName>
    <definedName name="_xlnm._FilterDatabase" localSheetId="2" hidden="1">'RESUMO (2)'!$A$2:$C$213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1" i="71" l="1"/>
  <c r="D42" i="71"/>
  <c r="D43" i="71"/>
  <c r="D77" i="71"/>
  <c r="D76" i="71"/>
  <c r="D75" i="71"/>
  <c r="D74" i="71"/>
  <c r="D73" i="71"/>
  <c r="D72" i="71"/>
  <c r="D71" i="71"/>
  <c r="D70" i="71"/>
  <c r="D69" i="71"/>
  <c r="D68" i="71"/>
  <c r="D67" i="71"/>
  <c r="D66" i="71"/>
  <c r="D65" i="71"/>
  <c r="D64" i="71"/>
  <c r="D63" i="71"/>
  <c r="D62" i="71"/>
  <c r="D61" i="71"/>
  <c r="D60" i="71"/>
  <c r="D59" i="71"/>
  <c r="D58" i="71"/>
  <c r="D57" i="71"/>
  <c r="D56" i="71"/>
  <c r="D55" i="71"/>
  <c r="D54" i="71"/>
  <c r="D53" i="71"/>
  <c r="D52" i="71"/>
  <c r="D51" i="71"/>
  <c r="D50" i="71"/>
  <c r="D49" i="71"/>
  <c r="D48" i="71"/>
  <c r="D47" i="71"/>
  <c r="D46" i="71"/>
  <c r="D45" i="71"/>
  <c r="D44" i="71"/>
  <c r="D40" i="71"/>
  <c r="D39" i="71"/>
  <c r="D38" i="71"/>
  <c r="D37" i="71"/>
  <c r="D36" i="71"/>
  <c r="D35" i="71"/>
  <c r="D34" i="71"/>
  <c r="D33" i="71"/>
  <c r="D32" i="71"/>
  <c r="D31" i="71"/>
  <c r="D30" i="71"/>
  <c r="D29" i="71"/>
  <c r="D28" i="71"/>
  <c r="D27" i="71"/>
  <c r="D26" i="71"/>
  <c r="D25" i="71"/>
  <c r="D24" i="71"/>
  <c r="D23" i="71"/>
  <c r="D22" i="71"/>
  <c r="D21" i="71"/>
  <c r="D20" i="71"/>
  <c r="D19" i="71"/>
  <c r="D18" i="71"/>
  <c r="D17" i="71"/>
  <c r="D16" i="71"/>
  <c r="D15" i="71"/>
  <c r="D14" i="71"/>
  <c r="D13" i="71"/>
  <c r="D12" i="71"/>
  <c r="G11" i="71"/>
  <c r="D11" i="71"/>
  <c r="G10" i="71"/>
  <c r="D10" i="71"/>
  <c r="G9" i="71"/>
  <c r="D9" i="71"/>
  <c r="G8" i="71"/>
  <c r="D8" i="71"/>
  <c r="G7" i="71"/>
  <c r="D7" i="71"/>
  <c r="D6" i="71"/>
  <c r="D5" i="71"/>
  <c r="D4" i="71"/>
  <c r="D3" i="71"/>
  <c r="G12" i="69"/>
  <c r="D77" i="69"/>
  <c r="D76" i="69"/>
  <c r="D75" i="69"/>
  <c r="D74" i="69"/>
  <c r="D73" i="69"/>
  <c r="D72" i="69"/>
  <c r="D71" i="69"/>
  <c r="D70" i="69"/>
  <c r="D69" i="69"/>
  <c r="D68" i="69"/>
  <c r="D67" i="69"/>
  <c r="D66" i="69"/>
  <c r="D65" i="69"/>
  <c r="D64" i="69"/>
  <c r="D63" i="69"/>
  <c r="D62" i="69"/>
  <c r="D61" i="69"/>
  <c r="D60" i="69"/>
  <c r="D59" i="69"/>
  <c r="D58" i="69"/>
  <c r="D57" i="69"/>
  <c r="D56" i="69"/>
  <c r="D55" i="69"/>
  <c r="D54" i="69"/>
  <c r="D53" i="69"/>
  <c r="D52" i="69"/>
  <c r="D51" i="69"/>
  <c r="D50" i="69"/>
  <c r="D49" i="69"/>
  <c r="D48" i="69"/>
  <c r="D47" i="69"/>
  <c r="D46" i="69"/>
  <c r="D45" i="69"/>
  <c r="D44" i="69"/>
  <c r="D43" i="69"/>
  <c r="D42" i="69"/>
  <c r="D41" i="69"/>
  <c r="D40" i="69"/>
  <c r="D39" i="69"/>
  <c r="D38" i="69"/>
  <c r="D37" i="69"/>
  <c r="D36" i="69"/>
  <c r="D35" i="69"/>
  <c r="D34" i="69"/>
  <c r="D33" i="69"/>
  <c r="D32" i="69"/>
  <c r="D31" i="69"/>
  <c r="D30" i="69"/>
  <c r="D29" i="69"/>
  <c r="D28" i="69"/>
  <c r="D27" i="69"/>
  <c r="D26" i="69"/>
  <c r="D25" i="69"/>
  <c r="D24" i="69"/>
  <c r="D23" i="69"/>
  <c r="D22" i="69"/>
  <c r="D21" i="69"/>
  <c r="D20" i="69"/>
  <c r="D19" i="69"/>
  <c r="D18" i="69"/>
  <c r="D17" i="69"/>
  <c r="D16" i="69"/>
  <c r="D15" i="69"/>
  <c r="G3" i="69" s="1"/>
  <c r="D14" i="69"/>
  <c r="D13" i="69"/>
  <c r="D12" i="69"/>
  <c r="G11" i="69"/>
  <c r="D11" i="69"/>
  <c r="G10" i="69"/>
  <c r="D10" i="69"/>
  <c r="G9" i="69"/>
  <c r="D9" i="69"/>
  <c r="G8" i="69"/>
  <c r="D8" i="69"/>
  <c r="G7" i="69"/>
  <c r="D7" i="69"/>
  <c r="D6" i="69"/>
  <c r="D5" i="69"/>
  <c r="D4" i="69"/>
  <c r="D3" i="69"/>
  <c r="D77" i="68"/>
  <c r="D76" i="68"/>
  <c r="D75" i="68"/>
  <c r="D74" i="68"/>
  <c r="D73" i="68"/>
  <c r="D72" i="68"/>
  <c r="D71" i="68"/>
  <c r="D70" i="68"/>
  <c r="D69" i="68"/>
  <c r="D68" i="68"/>
  <c r="D67" i="68"/>
  <c r="D66" i="68"/>
  <c r="D65" i="68"/>
  <c r="D64" i="68"/>
  <c r="D63" i="68"/>
  <c r="D62" i="68"/>
  <c r="D61" i="68"/>
  <c r="D60" i="68"/>
  <c r="D59" i="68"/>
  <c r="D58" i="68"/>
  <c r="D57" i="68"/>
  <c r="D56" i="68"/>
  <c r="D55" i="68"/>
  <c r="D54" i="68"/>
  <c r="D53" i="68"/>
  <c r="D52" i="68"/>
  <c r="D51" i="68"/>
  <c r="D50" i="68"/>
  <c r="D49" i="68"/>
  <c r="D48" i="68"/>
  <c r="D47" i="68"/>
  <c r="D46" i="68"/>
  <c r="D45" i="68"/>
  <c r="D44" i="68"/>
  <c r="D43" i="68"/>
  <c r="D42" i="68"/>
  <c r="D41" i="68"/>
  <c r="D40" i="68"/>
  <c r="D39" i="68"/>
  <c r="D38" i="68"/>
  <c r="D37" i="68"/>
  <c r="D36" i="68"/>
  <c r="D35" i="68"/>
  <c r="D34" i="68"/>
  <c r="D33" i="68"/>
  <c r="D32" i="68"/>
  <c r="D31" i="68"/>
  <c r="D30" i="68"/>
  <c r="D29" i="68"/>
  <c r="D28" i="68"/>
  <c r="D27" i="68"/>
  <c r="D26" i="68"/>
  <c r="D25" i="68"/>
  <c r="D24" i="68"/>
  <c r="D23" i="68"/>
  <c r="D22" i="68"/>
  <c r="D21" i="68"/>
  <c r="D20" i="68"/>
  <c r="D19" i="68"/>
  <c r="D18" i="68"/>
  <c r="D17" i="68"/>
  <c r="D16" i="68"/>
  <c r="D15" i="68"/>
  <c r="D14" i="68"/>
  <c r="D13" i="68"/>
  <c r="D12" i="68"/>
  <c r="G11" i="68"/>
  <c r="D11" i="68"/>
  <c r="G10" i="68"/>
  <c r="D10" i="68"/>
  <c r="G9" i="68"/>
  <c r="D9" i="68"/>
  <c r="G8" i="68"/>
  <c r="D8" i="68"/>
  <c r="G7" i="68"/>
  <c r="D7" i="68"/>
  <c r="D6" i="68"/>
  <c r="D5" i="68"/>
  <c r="D4" i="68"/>
  <c r="D3" i="68"/>
  <c r="D77" i="67"/>
  <c r="D76" i="67"/>
  <c r="D75" i="67"/>
  <c r="D74" i="67"/>
  <c r="D73" i="67"/>
  <c r="D72" i="67"/>
  <c r="D71" i="67"/>
  <c r="D70" i="67"/>
  <c r="D69" i="67"/>
  <c r="D68" i="67"/>
  <c r="D67" i="67"/>
  <c r="D66" i="67"/>
  <c r="D65" i="67"/>
  <c r="D64" i="67"/>
  <c r="D63" i="67"/>
  <c r="D62" i="67"/>
  <c r="D61" i="67"/>
  <c r="D60" i="67"/>
  <c r="D59" i="67"/>
  <c r="D58" i="67"/>
  <c r="D57" i="67"/>
  <c r="D56" i="67"/>
  <c r="D55" i="67"/>
  <c r="D54" i="67"/>
  <c r="D53" i="67"/>
  <c r="D52" i="67"/>
  <c r="D51" i="67"/>
  <c r="D50" i="67"/>
  <c r="D49" i="67"/>
  <c r="D48" i="67"/>
  <c r="D47" i="67"/>
  <c r="D46" i="67"/>
  <c r="D45" i="67"/>
  <c r="D44" i="67"/>
  <c r="D43" i="67"/>
  <c r="D42" i="67"/>
  <c r="D41" i="67"/>
  <c r="D40" i="67"/>
  <c r="D39" i="67"/>
  <c r="D38" i="67"/>
  <c r="D37" i="67"/>
  <c r="D36" i="67"/>
  <c r="D35" i="67"/>
  <c r="D34" i="67"/>
  <c r="D33" i="67"/>
  <c r="D32" i="67"/>
  <c r="D31" i="67"/>
  <c r="D30" i="67"/>
  <c r="D29" i="67"/>
  <c r="D28" i="67"/>
  <c r="D27" i="67"/>
  <c r="D26" i="67"/>
  <c r="D25" i="67"/>
  <c r="D24" i="67"/>
  <c r="D23" i="67"/>
  <c r="D22" i="67"/>
  <c r="D21" i="67"/>
  <c r="D20" i="67"/>
  <c r="D19" i="67"/>
  <c r="D18" i="67"/>
  <c r="D17" i="67"/>
  <c r="D16" i="67"/>
  <c r="D15" i="67"/>
  <c r="D14" i="67"/>
  <c r="D13" i="67"/>
  <c r="D12" i="67"/>
  <c r="G11" i="67"/>
  <c r="D11" i="67"/>
  <c r="G10" i="67"/>
  <c r="D10" i="67"/>
  <c r="G9" i="67"/>
  <c r="D9" i="67"/>
  <c r="G8" i="67"/>
  <c r="D8" i="67"/>
  <c r="G7" i="67"/>
  <c r="D7" i="67"/>
  <c r="D6" i="67"/>
  <c r="D5" i="67"/>
  <c r="D4" i="67"/>
  <c r="G3" i="67"/>
  <c r="D3" i="67"/>
  <c r="D77" i="66"/>
  <c r="D76" i="66"/>
  <c r="D75" i="66"/>
  <c r="D74" i="66"/>
  <c r="D73" i="66"/>
  <c r="D72" i="66"/>
  <c r="D71" i="66"/>
  <c r="D70" i="66"/>
  <c r="D69" i="66"/>
  <c r="D68" i="66"/>
  <c r="D67" i="66"/>
  <c r="D66" i="66"/>
  <c r="D65" i="66"/>
  <c r="D64" i="66"/>
  <c r="D63" i="66"/>
  <c r="D62" i="66"/>
  <c r="D61" i="66"/>
  <c r="D60" i="66"/>
  <c r="D59" i="66"/>
  <c r="D58" i="66"/>
  <c r="D57" i="66"/>
  <c r="D56" i="66"/>
  <c r="D55" i="66"/>
  <c r="D54" i="66"/>
  <c r="D53" i="66"/>
  <c r="D52" i="66"/>
  <c r="D51" i="66"/>
  <c r="D50" i="66"/>
  <c r="D49" i="66"/>
  <c r="D48" i="66"/>
  <c r="D47" i="66"/>
  <c r="D46" i="66"/>
  <c r="D45" i="66"/>
  <c r="D44" i="66"/>
  <c r="D43" i="66"/>
  <c r="D42" i="66"/>
  <c r="D41" i="66"/>
  <c r="D40" i="66"/>
  <c r="D39" i="66"/>
  <c r="D38" i="66"/>
  <c r="D37" i="66"/>
  <c r="D36" i="66"/>
  <c r="D35" i="66"/>
  <c r="D34" i="66"/>
  <c r="D33" i="66"/>
  <c r="D32" i="66"/>
  <c r="D31" i="66"/>
  <c r="D30" i="66"/>
  <c r="D29" i="66"/>
  <c r="D28" i="66"/>
  <c r="D27" i="66"/>
  <c r="D26" i="66"/>
  <c r="D25" i="66"/>
  <c r="D24" i="66"/>
  <c r="D23" i="66"/>
  <c r="D22" i="66"/>
  <c r="D21" i="66"/>
  <c r="D20" i="66"/>
  <c r="D19" i="66"/>
  <c r="D18" i="66"/>
  <c r="D17" i="66"/>
  <c r="D16" i="66"/>
  <c r="D15" i="66"/>
  <c r="D14" i="66"/>
  <c r="D13" i="66"/>
  <c r="D12" i="66"/>
  <c r="G11" i="66"/>
  <c r="D11" i="66"/>
  <c r="G10" i="66"/>
  <c r="D10" i="66"/>
  <c r="G9" i="66"/>
  <c r="D9" i="66"/>
  <c r="G8" i="66"/>
  <c r="D8" i="66"/>
  <c r="G7" i="66"/>
  <c r="D7" i="66"/>
  <c r="D6" i="66"/>
  <c r="D5" i="66"/>
  <c r="D4" i="66"/>
  <c r="D3" i="66"/>
  <c r="D77" i="64"/>
  <c r="D76" i="64"/>
  <c r="D75" i="64"/>
  <c r="D74" i="64"/>
  <c r="D73" i="64"/>
  <c r="D72" i="64"/>
  <c r="D71" i="64"/>
  <c r="D70" i="64"/>
  <c r="D69" i="64"/>
  <c r="D68" i="64"/>
  <c r="D67" i="64"/>
  <c r="D66" i="64"/>
  <c r="D65" i="64"/>
  <c r="D64" i="64"/>
  <c r="D63" i="64"/>
  <c r="D62" i="64"/>
  <c r="D61" i="64"/>
  <c r="D60" i="64"/>
  <c r="D59" i="64"/>
  <c r="D58" i="64"/>
  <c r="D57" i="64"/>
  <c r="D56" i="64"/>
  <c r="D55" i="64"/>
  <c r="D54" i="64"/>
  <c r="D53" i="64"/>
  <c r="D52" i="64"/>
  <c r="D51" i="64"/>
  <c r="D50" i="64"/>
  <c r="D49" i="64"/>
  <c r="D48" i="64"/>
  <c r="D47" i="64"/>
  <c r="D46" i="64"/>
  <c r="D45" i="64"/>
  <c r="D44" i="64"/>
  <c r="D43" i="64"/>
  <c r="D42" i="64"/>
  <c r="D41" i="64"/>
  <c r="D40" i="64"/>
  <c r="D39" i="64"/>
  <c r="D38" i="64"/>
  <c r="D37" i="64"/>
  <c r="D36" i="64"/>
  <c r="D35" i="64"/>
  <c r="D34" i="64"/>
  <c r="D33" i="64"/>
  <c r="D32" i="64"/>
  <c r="D31" i="64"/>
  <c r="D30" i="64"/>
  <c r="D29" i="64"/>
  <c r="D28" i="64"/>
  <c r="D27" i="64"/>
  <c r="D26" i="64"/>
  <c r="D25" i="64"/>
  <c r="D24" i="64"/>
  <c r="D23" i="64"/>
  <c r="D22" i="64"/>
  <c r="D21" i="64"/>
  <c r="D20" i="64"/>
  <c r="D19" i="64"/>
  <c r="D18" i="64"/>
  <c r="D17" i="64"/>
  <c r="D16" i="64"/>
  <c r="D15" i="64"/>
  <c r="D14" i="64"/>
  <c r="D13" i="64"/>
  <c r="D12" i="64"/>
  <c r="G11" i="64"/>
  <c r="D11" i="64"/>
  <c r="G10" i="64"/>
  <c r="D10" i="64"/>
  <c r="G9" i="64"/>
  <c r="D9" i="64"/>
  <c r="G8" i="64"/>
  <c r="D8" i="64"/>
  <c r="G7" i="64"/>
  <c r="D7" i="64"/>
  <c r="D6" i="64"/>
  <c r="D5" i="64"/>
  <c r="D4" i="64"/>
  <c r="D3" i="64"/>
  <c r="G4" i="71" l="1"/>
  <c r="G3" i="71"/>
  <c r="G4" i="69"/>
  <c r="G4" i="68"/>
  <c r="G3" i="68"/>
  <c r="G4" i="67"/>
  <c r="G4" i="66"/>
  <c r="G3" i="66"/>
  <c r="G3" i="64"/>
  <c r="G4" i="64"/>
  <c r="D77" i="63"/>
  <c r="D76" i="63"/>
  <c r="D75" i="63"/>
  <c r="D74" i="63"/>
  <c r="D73" i="63"/>
  <c r="D72" i="63"/>
  <c r="D71" i="63"/>
  <c r="D70" i="63"/>
  <c r="D69" i="63"/>
  <c r="D68" i="63"/>
  <c r="D67" i="63"/>
  <c r="D66" i="63"/>
  <c r="D65" i="63"/>
  <c r="D64" i="63"/>
  <c r="D63" i="63"/>
  <c r="D62" i="63"/>
  <c r="D61" i="63"/>
  <c r="D60" i="63"/>
  <c r="D59" i="63"/>
  <c r="D58" i="63"/>
  <c r="D57" i="63"/>
  <c r="D56" i="63"/>
  <c r="D55" i="63"/>
  <c r="D54" i="63"/>
  <c r="D53" i="63"/>
  <c r="D52" i="63"/>
  <c r="D51" i="63"/>
  <c r="D50" i="63"/>
  <c r="D49" i="63"/>
  <c r="D48" i="63"/>
  <c r="D47" i="63"/>
  <c r="D46" i="63"/>
  <c r="D45" i="63"/>
  <c r="D44" i="63"/>
  <c r="D43" i="63"/>
  <c r="D42" i="63"/>
  <c r="D41" i="63"/>
  <c r="D40" i="63"/>
  <c r="D39" i="63"/>
  <c r="D38" i="63"/>
  <c r="D37" i="63"/>
  <c r="D36" i="63"/>
  <c r="D35" i="63"/>
  <c r="D34" i="63"/>
  <c r="D33" i="63"/>
  <c r="D32" i="63"/>
  <c r="D31" i="63"/>
  <c r="D30" i="63"/>
  <c r="D29" i="63"/>
  <c r="D28" i="63"/>
  <c r="D27" i="63"/>
  <c r="D26" i="63"/>
  <c r="D25" i="63"/>
  <c r="D24" i="63"/>
  <c r="D23" i="63"/>
  <c r="D22" i="63"/>
  <c r="D21" i="63"/>
  <c r="D20" i="63"/>
  <c r="D19" i="63"/>
  <c r="D18" i="63"/>
  <c r="D17" i="63"/>
  <c r="D16" i="63"/>
  <c r="D15" i="63"/>
  <c r="D14" i="63"/>
  <c r="D13" i="63"/>
  <c r="D12" i="63"/>
  <c r="G11" i="63"/>
  <c r="D11" i="63"/>
  <c r="G10" i="63"/>
  <c r="D10" i="63"/>
  <c r="G9" i="63"/>
  <c r="D9" i="63"/>
  <c r="G8" i="63"/>
  <c r="D8" i="63"/>
  <c r="G7" i="63"/>
  <c r="D7" i="63"/>
  <c r="D6" i="63"/>
  <c r="D5" i="63"/>
  <c r="D4" i="63"/>
  <c r="D3" i="63"/>
  <c r="D70" i="62"/>
  <c r="D71" i="62"/>
  <c r="D72" i="62"/>
  <c r="D73" i="62"/>
  <c r="D74" i="62"/>
  <c r="D75" i="62"/>
  <c r="D77" i="62"/>
  <c r="D76" i="62"/>
  <c r="D69" i="62"/>
  <c r="D68" i="62"/>
  <c r="D67" i="62"/>
  <c r="D66" i="62"/>
  <c r="D65" i="62"/>
  <c r="D64" i="62"/>
  <c r="D63" i="62"/>
  <c r="D62" i="62"/>
  <c r="D61" i="62"/>
  <c r="D60" i="62"/>
  <c r="D59" i="62"/>
  <c r="D58" i="62"/>
  <c r="D57" i="62"/>
  <c r="D56" i="62"/>
  <c r="D55" i="62"/>
  <c r="D54" i="62"/>
  <c r="D53" i="62"/>
  <c r="D52" i="62"/>
  <c r="D51" i="62"/>
  <c r="D50" i="62"/>
  <c r="D49" i="62"/>
  <c r="D48" i="62"/>
  <c r="D47" i="62"/>
  <c r="D46" i="62"/>
  <c r="D45" i="62"/>
  <c r="D44" i="62"/>
  <c r="D43" i="62"/>
  <c r="D42" i="62"/>
  <c r="D41" i="62"/>
  <c r="D40" i="62"/>
  <c r="D39" i="62"/>
  <c r="D38" i="62"/>
  <c r="D37" i="62"/>
  <c r="D36" i="62"/>
  <c r="D35" i="62"/>
  <c r="D34" i="62"/>
  <c r="D33" i="62"/>
  <c r="D32" i="62"/>
  <c r="D31" i="62"/>
  <c r="D30" i="62"/>
  <c r="D29" i="62"/>
  <c r="D28" i="62"/>
  <c r="D27" i="62"/>
  <c r="D26" i="62"/>
  <c r="D25" i="62"/>
  <c r="D24" i="62"/>
  <c r="D23" i="62"/>
  <c r="D22" i="62"/>
  <c r="D21" i="62"/>
  <c r="D20" i="62"/>
  <c r="D19" i="62"/>
  <c r="D18" i="62"/>
  <c r="D17" i="62"/>
  <c r="D16" i="62"/>
  <c r="D15" i="62"/>
  <c r="D14" i="62"/>
  <c r="D13" i="62"/>
  <c r="D12" i="62"/>
  <c r="G11" i="62"/>
  <c r="D11" i="62"/>
  <c r="G10" i="62"/>
  <c r="D10" i="62"/>
  <c r="G9" i="62"/>
  <c r="D9" i="62"/>
  <c r="G8" i="62"/>
  <c r="D8" i="62"/>
  <c r="G7" i="62"/>
  <c r="G4" i="62" s="1"/>
  <c r="D7" i="62"/>
  <c r="D6" i="62"/>
  <c r="D5" i="62"/>
  <c r="D4" i="62"/>
  <c r="G3" i="62"/>
  <c r="D3" i="62"/>
  <c r="D77" i="61"/>
  <c r="D76" i="61"/>
  <c r="D75" i="61"/>
  <c r="D74" i="61"/>
  <c r="D73" i="61"/>
  <c r="D72" i="61"/>
  <c r="D71" i="61"/>
  <c r="D70" i="61"/>
  <c r="D69" i="61"/>
  <c r="D68" i="61"/>
  <c r="D67" i="61"/>
  <c r="D66" i="61"/>
  <c r="D65" i="61"/>
  <c r="D64" i="61"/>
  <c r="D63" i="61"/>
  <c r="D62" i="61"/>
  <c r="D61" i="61"/>
  <c r="D60" i="61"/>
  <c r="D59" i="61"/>
  <c r="D58" i="61"/>
  <c r="D57" i="61"/>
  <c r="D56" i="61"/>
  <c r="D55" i="61"/>
  <c r="D54" i="61"/>
  <c r="D53" i="61"/>
  <c r="D52" i="61"/>
  <c r="D51" i="61"/>
  <c r="D50" i="61"/>
  <c r="D49" i="61"/>
  <c r="D48" i="61"/>
  <c r="D47" i="61"/>
  <c r="D46" i="61"/>
  <c r="D45" i="61"/>
  <c r="D44" i="61"/>
  <c r="D43" i="61"/>
  <c r="D42" i="61"/>
  <c r="D41" i="61"/>
  <c r="D40" i="61"/>
  <c r="D39" i="61"/>
  <c r="D38" i="61"/>
  <c r="D37" i="61"/>
  <c r="D36" i="61"/>
  <c r="D35" i="61"/>
  <c r="D34" i="61"/>
  <c r="D33" i="61"/>
  <c r="D32" i="61"/>
  <c r="D31" i="61"/>
  <c r="D30" i="61"/>
  <c r="D29" i="61"/>
  <c r="D28" i="61"/>
  <c r="D27" i="61"/>
  <c r="D26" i="61"/>
  <c r="D25" i="61"/>
  <c r="D24" i="61"/>
  <c r="D23" i="61"/>
  <c r="D22" i="61"/>
  <c r="D21" i="61"/>
  <c r="D20" i="61"/>
  <c r="D19" i="61"/>
  <c r="D18" i="61"/>
  <c r="D17" i="61"/>
  <c r="D16" i="61"/>
  <c r="D15" i="61"/>
  <c r="D14" i="61"/>
  <c r="D13" i="61"/>
  <c r="D12" i="61"/>
  <c r="G11" i="61"/>
  <c r="D11" i="61"/>
  <c r="G10" i="61"/>
  <c r="D10" i="61"/>
  <c r="G9" i="61"/>
  <c r="D9" i="61"/>
  <c r="G8" i="61"/>
  <c r="D8" i="61"/>
  <c r="G7" i="61"/>
  <c r="D7" i="61"/>
  <c r="D6" i="61"/>
  <c r="D5" i="61"/>
  <c r="D4" i="61"/>
  <c r="D3" i="61"/>
  <c r="D77" i="60"/>
  <c r="D76" i="60"/>
  <c r="D75" i="60"/>
  <c r="D74" i="60"/>
  <c r="D73" i="60"/>
  <c r="D72" i="60"/>
  <c r="D71" i="60"/>
  <c r="D70" i="60"/>
  <c r="D69" i="60"/>
  <c r="D68" i="60"/>
  <c r="D67" i="60"/>
  <c r="D66" i="60"/>
  <c r="D65" i="60"/>
  <c r="D64" i="60"/>
  <c r="D63" i="60"/>
  <c r="D62" i="60"/>
  <c r="D61" i="60"/>
  <c r="D60" i="60"/>
  <c r="D59" i="60"/>
  <c r="D58" i="60"/>
  <c r="D57" i="60"/>
  <c r="D56" i="60"/>
  <c r="D55" i="60"/>
  <c r="D54" i="60"/>
  <c r="D53" i="60"/>
  <c r="D52" i="60"/>
  <c r="D51" i="60"/>
  <c r="D50" i="60"/>
  <c r="D49" i="60"/>
  <c r="D48" i="60"/>
  <c r="D47" i="60"/>
  <c r="D46" i="60"/>
  <c r="D45" i="60"/>
  <c r="D44" i="60"/>
  <c r="D43" i="60"/>
  <c r="D42" i="60"/>
  <c r="D41" i="60"/>
  <c r="D40" i="60"/>
  <c r="D39" i="60"/>
  <c r="D38" i="60"/>
  <c r="D37" i="60"/>
  <c r="D36" i="60"/>
  <c r="D35" i="60"/>
  <c r="D34" i="60"/>
  <c r="D33" i="60"/>
  <c r="D32" i="60"/>
  <c r="D31" i="60"/>
  <c r="D30" i="60"/>
  <c r="D29" i="60"/>
  <c r="D28" i="60"/>
  <c r="D27" i="60"/>
  <c r="D26" i="60"/>
  <c r="D25" i="60"/>
  <c r="D24" i="60"/>
  <c r="D23" i="60"/>
  <c r="D22" i="60"/>
  <c r="D21" i="60"/>
  <c r="D20" i="60"/>
  <c r="D19" i="60"/>
  <c r="D18" i="60"/>
  <c r="D17" i="60"/>
  <c r="D16" i="60"/>
  <c r="D15" i="60"/>
  <c r="D14" i="60"/>
  <c r="D13" i="60"/>
  <c r="G12" i="60"/>
  <c r="D12" i="60"/>
  <c r="G11" i="60"/>
  <c r="D11" i="60"/>
  <c r="G10" i="60"/>
  <c r="D10" i="60"/>
  <c r="G9" i="60"/>
  <c r="D9" i="60"/>
  <c r="G8" i="60"/>
  <c r="D8" i="60"/>
  <c r="G7" i="60"/>
  <c r="D7" i="60"/>
  <c r="D6" i="60"/>
  <c r="D5" i="60"/>
  <c r="D4" i="60"/>
  <c r="D3" i="60"/>
  <c r="G4" i="63" l="1"/>
  <c r="G3" i="63"/>
  <c r="G3" i="61"/>
  <c r="G4" i="61"/>
  <c r="G4" i="60"/>
  <c r="G3" i="60"/>
  <c r="D77" i="59"/>
  <c r="D76" i="59"/>
  <c r="D75" i="59"/>
  <c r="D74" i="59"/>
  <c r="D73" i="59"/>
  <c r="D72" i="59"/>
  <c r="D71" i="59"/>
  <c r="D70" i="59"/>
  <c r="D69" i="59"/>
  <c r="D68" i="59"/>
  <c r="D67" i="59"/>
  <c r="D66" i="59"/>
  <c r="D65" i="59"/>
  <c r="D64" i="59"/>
  <c r="D63" i="59"/>
  <c r="D62" i="59"/>
  <c r="D61" i="59"/>
  <c r="D60" i="59"/>
  <c r="D59" i="59"/>
  <c r="D58" i="59"/>
  <c r="D57" i="59"/>
  <c r="D56" i="59"/>
  <c r="D55" i="59"/>
  <c r="D54" i="59"/>
  <c r="D53" i="59"/>
  <c r="D52" i="59"/>
  <c r="D51" i="59"/>
  <c r="D50" i="59"/>
  <c r="D49" i="59"/>
  <c r="D48" i="59"/>
  <c r="D47" i="59"/>
  <c r="D46" i="59"/>
  <c r="D45" i="59"/>
  <c r="D44" i="59"/>
  <c r="D43" i="59"/>
  <c r="D42" i="59"/>
  <c r="D41" i="59"/>
  <c r="D40" i="59"/>
  <c r="D39" i="59"/>
  <c r="D38" i="59"/>
  <c r="D37" i="59"/>
  <c r="D36" i="59"/>
  <c r="D35" i="59"/>
  <c r="D34" i="59"/>
  <c r="D33" i="59"/>
  <c r="D32" i="59"/>
  <c r="D31" i="59"/>
  <c r="D30" i="59"/>
  <c r="D29" i="59"/>
  <c r="D28" i="59"/>
  <c r="D27" i="59"/>
  <c r="D26" i="59"/>
  <c r="D25" i="59"/>
  <c r="D24" i="59"/>
  <c r="D23" i="59"/>
  <c r="D22" i="59"/>
  <c r="D21" i="59"/>
  <c r="D20" i="59"/>
  <c r="D19" i="59"/>
  <c r="D18" i="59"/>
  <c r="D17" i="59"/>
  <c r="D16" i="59"/>
  <c r="D15" i="59"/>
  <c r="D14" i="59"/>
  <c r="D13" i="59"/>
  <c r="G12" i="59"/>
  <c r="D12" i="59"/>
  <c r="G11" i="59"/>
  <c r="D11" i="59"/>
  <c r="G10" i="59"/>
  <c r="D10" i="59"/>
  <c r="G9" i="59"/>
  <c r="D9" i="59"/>
  <c r="G8" i="59"/>
  <c r="D8" i="59"/>
  <c r="G7" i="59"/>
  <c r="D7" i="59"/>
  <c r="D6" i="59"/>
  <c r="D5" i="59"/>
  <c r="D4" i="59"/>
  <c r="D3" i="59"/>
  <c r="D77" i="58"/>
  <c r="D76" i="58"/>
  <c r="D75" i="58"/>
  <c r="D74" i="58"/>
  <c r="D73" i="58"/>
  <c r="D72" i="58"/>
  <c r="D71" i="58"/>
  <c r="D70" i="58"/>
  <c r="D69" i="58"/>
  <c r="D68" i="58"/>
  <c r="D67" i="58"/>
  <c r="D66" i="58"/>
  <c r="D65" i="58"/>
  <c r="D64" i="58"/>
  <c r="D63" i="58"/>
  <c r="D62" i="58"/>
  <c r="D61" i="58"/>
  <c r="D60" i="58"/>
  <c r="D59" i="58"/>
  <c r="D58" i="58"/>
  <c r="D57" i="58"/>
  <c r="D56" i="58"/>
  <c r="D55" i="58"/>
  <c r="D54" i="58"/>
  <c r="D53" i="58"/>
  <c r="D52" i="58"/>
  <c r="D51" i="58"/>
  <c r="D50" i="58"/>
  <c r="D49" i="58"/>
  <c r="D48" i="58"/>
  <c r="D47" i="58"/>
  <c r="D46" i="58"/>
  <c r="D45" i="58"/>
  <c r="D44" i="58"/>
  <c r="D43" i="58"/>
  <c r="D42" i="58"/>
  <c r="D41" i="58"/>
  <c r="D40" i="58"/>
  <c r="D39" i="58"/>
  <c r="D38" i="58"/>
  <c r="D37" i="58"/>
  <c r="D36" i="58"/>
  <c r="D35" i="58"/>
  <c r="D34" i="58"/>
  <c r="D33" i="58"/>
  <c r="D32" i="58"/>
  <c r="D31" i="58"/>
  <c r="D30" i="58"/>
  <c r="D29" i="58"/>
  <c r="D28" i="58"/>
  <c r="D27" i="58"/>
  <c r="D26" i="58"/>
  <c r="D25" i="58"/>
  <c r="D24" i="58"/>
  <c r="D23" i="58"/>
  <c r="D22" i="58"/>
  <c r="D21" i="58"/>
  <c r="D20" i="58"/>
  <c r="D19" i="58"/>
  <c r="D18" i="58"/>
  <c r="D17" i="58"/>
  <c r="D16" i="58"/>
  <c r="D15" i="58"/>
  <c r="D14" i="58"/>
  <c r="D13" i="58"/>
  <c r="D12" i="58"/>
  <c r="G11" i="58"/>
  <c r="D11" i="58"/>
  <c r="G10" i="58"/>
  <c r="D10" i="58"/>
  <c r="G9" i="58"/>
  <c r="D9" i="58"/>
  <c r="G8" i="58"/>
  <c r="D8" i="58"/>
  <c r="G7" i="58"/>
  <c r="D7" i="58"/>
  <c r="D6" i="58"/>
  <c r="D5" i="58"/>
  <c r="D4" i="58"/>
  <c r="G3" i="58"/>
  <c r="D3" i="58"/>
  <c r="D77" i="57"/>
  <c r="D76" i="57"/>
  <c r="D75" i="57"/>
  <c r="D74" i="57"/>
  <c r="D73" i="57"/>
  <c r="D72" i="57"/>
  <c r="D71" i="57"/>
  <c r="D70" i="57"/>
  <c r="D69" i="57"/>
  <c r="D68" i="57"/>
  <c r="D67" i="57"/>
  <c r="D66" i="57"/>
  <c r="D65" i="57"/>
  <c r="D64" i="57"/>
  <c r="D63" i="57"/>
  <c r="D62" i="57"/>
  <c r="D61" i="57"/>
  <c r="D60" i="57"/>
  <c r="D59" i="57"/>
  <c r="D58" i="57"/>
  <c r="D57" i="57"/>
  <c r="D56" i="57"/>
  <c r="D55" i="57"/>
  <c r="D54" i="57"/>
  <c r="D53" i="57"/>
  <c r="D52" i="57"/>
  <c r="D51" i="57"/>
  <c r="D50" i="57"/>
  <c r="D49" i="57"/>
  <c r="D48" i="57"/>
  <c r="D47" i="57"/>
  <c r="D46" i="57"/>
  <c r="D45" i="57"/>
  <c r="D44" i="57"/>
  <c r="D43" i="57"/>
  <c r="D42" i="57"/>
  <c r="D41" i="57"/>
  <c r="D40" i="57"/>
  <c r="D39" i="57"/>
  <c r="D38" i="57"/>
  <c r="D37" i="57"/>
  <c r="D36" i="57"/>
  <c r="D35" i="57"/>
  <c r="D34" i="57"/>
  <c r="D33" i="57"/>
  <c r="D32" i="57"/>
  <c r="D31" i="57"/>
  <c r="D30" i="57"/>
  <c r="D29" i="57"/>
  <c r="D28" i="57"/>
  <c r="D27" i="57"/>
  <c r="D26" i="57"/>
  <c r="D25" i="57"/>
  <c r="D24" i="57"/>
  <c r="D23" i="57"/>
  <c r="D22" i="57"/>
  <c r="D21" i="57"/>
  <c r="D20" i="57"/>
  <c r="D19" i="57"/>
  <c r="D18" i="57"/>
  <c r="D17" i="57"/>
  <c r="D16" i="57"/>
  <c r="D15" i="57"/>
  <c r="D14" i="57"/>
  <c r="D13" i="57"/>
  <c r="D12" i="57"/>
  <c r="G11" i="57"/>
  <c r="D11" i="57"/>
  <c r="G10" i="57"/>
  <c r="D10" i="57"/>
  <c r="G9" i="57"/>
  <c r="D9" i="57"/>
  <c r="G8" i="57"/>
  <c r="D8" i="57"/>
  <c r="G7" i="57"/>
  <c r="D7" i="57"/>
  <c r="D6" i="57"/>
  <c r="D5" i="57"/>
  <c r="D4" i="57"/>
  <c r="D3" i="57"/>
  <c r="G3" i="59" l="1"/>
  <c r="G4" i="59"/>
  <c r="G4" i="58"/>
  <c r="G4" i="57"/>
  <c r="G3" i="57"/>
  <c r="D30" i="55"/>
  <c r="D31" i="55"/>
  <c r="D32" i="55"/>
  <c r="D33" i="55"/>
  <c r="D34" i="55"/>
  <c r="D35" i="55"/>
  <c r="D36" i="55"/>
  <c r="D37" i="55"/>
  <c r="D77" i="55"/>
  <c r="D76" i="55"/>
  <c r="D75" i="55"/>
  <c r="D74" i="55"/>
  <c r="D73" i="55"/>
  <c r="D72" i="55"/>
  <c r="D71" i="55"/>
  <c r="D70" i="55"/>
  <c r="D69" i="55"/>
  <c r="D68" i="55"/>
  <c r="D67" i="55"/>
  <c r="D66" i="55"/>
  <c r="D65" i="55"/>
  <c r="D64" i="55"/>
  <c r="D63" i="55"/>
  <c r="D62" i="55"/>
  <c r="D61" i="55"/>
  <c r="D60" i="55"/>
  <c r="D59" i="55"/>
  <c r="D58" i="55"/>
  <c r="D57" i="55"/>
  <c r="D56" i="55"/>
  <c r="D55" i="55"/>
  <c r="D54" i="55"/>
  <c r="D53" i="55"/>
  <c r="D52" i="55"/>
  <c r="D51" i="55"/>
  <c r="D50" i="55"/>
  <c r="D49" i="55"/>
  <c r="D48" i="55"/>
  <c r="D47" i="55"/>
  <c r="D46" i="55"/>
  <c r="D45" i="55"/>
  <c r="D44" i="55"/>
  <c r="D43" i="55"/>
  <c r="D42" i="55"/>
  <c r="D41" i="55"/>
  <c r="D40" i="55"/>
  <c r="D39" i="55"/>
  <c r="D38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G11" i="55"/>
  <c r="D11" i="55"/>
  <c r="G10" i="55"/>
  <c r="D10" i="55"/>
  <c r="G9" i="55"/>
  <c r="D9" i="55"/>
  <c r="G8" i="55"/>
  <c r="D8" i="55"/>
  <c r="G7" i="55"/>
  <c r="D7" i="55"/>
  <c r="D6" i="55"/>
  <c r="D5" i="55"/>
  <c r="D4" i="55"/>
  <c r="D3" i="55"/>
  <c r="D77" i="54"/>
  <c r="D76" i="54"/>
  <c r="D75" i="54"/>
  <c r="D74" i="54"/>
  <c r="D73" i="54"/>
  <c r="D72" i="54"/>
  <c r="D71" i="54"/>
  <c r="D70" i="54"/>
  <c r="D69" i="54"/>
  <c r="D68" i="54"/>
  <c r="D67" i="54"/>
  <c r="D66" i="54"/>
  <c r="D65" i="54"/>
  <c r="D64" i="54"/>
  <c r="D63" i="54"/>
  <c r="D62" i="54"/>
  <c r="D61" i="54"/>
  <c r="D60" i="54"/>
  <c r="D59" i="54"/>
  <c r="D58" i="54"/>
  <c r="D57" i="54"/>
  <c r="D56" i="54"/>
  <c r="D55" i="54"/>
  <c r="D54" i="54"/>
  <c r="D53" i="54"/>
  <c r="D52" i="54"/>
  <c r="D51" i="54"/>
  <c r="D50" i="54"/>
  <c r="D49" i="54"/>
  <c r="D48" i="54"/>
  <c r="D47" i="54"/>
  <c r="D46" i="54"/>
  <c r="D45" i="54"/>
  <c r="D44" i="54"/>
  <c r="D43" i="54"/>
  <c r="D42" i="54"/>
  <c r="D41" i="54"/>
  <c r="D40" i="54"/>
  <c r="D39" i="54"/>
  <c r="D38" i="54"/>
  <c r="D37" i="54"/>
  <c r="D36" i="54"/>
  <c r="D35" i="54"/>
  <c r="D34" i="54"/>
  <c r="D33" i="54"/>
  <c r="D32" i="54"/>
  <c r="D31" i="54"/>
  <c r="D30" i="54"/>
  <c r="D29" i="54"/>
  <c r="D28" i="54"/>
  <c r="D27" i="54"/>
  <c r="D26" i="54"/>
  <c r="D25" i="54"/>
  <c r="D24" i="54"/>
  <c r="D23" i="54"/>
  <c r="D22" i="54"/>
  <c r="D21" i="54"/>
  <c r="D20" i="54"/>
  <c r="D19" i="54"/>
  <c r="D18" i="54"/>
  <c r="D17" i="54"/>
  <c r="D16" i="54"/>
  <c r="D15" i="54"/>
  <c r="D14" i="54"/>
  <c r="D13" i="54"/>
  <c r="D12" i="54"/>
  <c r="G11" i="54"/>
  <c r="D11" i="54"/>
  <c r="G10" i="54"/>
  <c r="D10" i="54"/>
  <c r="G9" i="54"/>
  <c r="D9" i="54"/>
  <c r="G8" i="54"/>
  <c r="D8" i="54"/>
  <c r="G7" i="54"/>
  <c r="D7" i="54"/>
  <c r="D6" i="54"/>
  <c r="D5" i="54"/>
  <c r="D4" i="54"/>
  <c r="D3" i="54"/>
  <c r="O5" i="45"/>
  <c r="O6" i="45"/>
  <c r="O7" i="45"/>
  <c r="O8" i="45"/>
  <c r="O9" i="45"/>
  <c r="O13" i="45"/>
  <c r="O14" i="45"/>
  <c r="O15" i="45"/>
  <c r="O20" i="45"/>
  <c r="O21" i="45"/>
  <c r="O22" i="45"/>
  <c r="O23" i="45"/>
  <c r="O24" i="45"/>
  <c r="O25" i="45"/>
  <c r="O26" i="45"/>
  <c r="O27" i="45"/>
  <c r="O28" i="45"/>
  <c r="O29" i="45"/>
  <c r="O30" i="45"/>
  <c r="O31" i="45"/>
  <c r="O32" i="45"/>
  <c r="O33" i="45"/>
  <c r="O34" i="45"/>
  <c r="O35" i="45"/>
  <c r="O36" i="45"/>
  <c r="O37" i="45"/>
  <c r="O38" i="45"/>
  <c r="O39" i="45"/>
  <c r="O41" i="45"/>
  <c r="O42" i="45"/>
  <c r="O43" i="45"/>
  <c r="O44" i="45"/>
  <c r="O45" i="45"/>
  <c r="O46" i="45"/>
  <c r="O47" i="45"/>
  <c r="O48" i="45"/>
  <c r="O49" i="45"/>
  <c r="O50" i="45"/>
  <c r="O51" i="45"/>
  <c r="O52" i="45"/>
  <c r="O53" i="45"/>
  <c r="O54" i="45"/>
  <c r="O55" i="45"/>
  <c r="O56" i="45"/>
  <c r="O61" i="45"/>
  <c r="O62" i="45"/>
  <c r="O63" i="45"/>
  <c r="O64" i="45"/>
  <c r="O65" i="45"/>
  <c r="O66" i="45"/>
  <c r="O67" i="45"/>
  <c r="O68" i="45"/>
  <c r="O69" i="45"/>
  <c r="O70" i="45"/>
  <c r="O72" i="45"/>
  <c r="O73" i="45"/>
  <c r="O74" i="45"/>
  <c r="O75" i="45"/>
  <c r="O76" i="45"/>
  <c r="O77" i="45"/>
  <c r="O78" i="45"/>
  <c r="O79" i="45"/>
  <c r="O80" i="45"/>
  <c r="O81" i="45"/>
  <c r="O82" i="45"/>
  <c r="O83" i="45"/>
  <c r="O84" i="45"/>
  <c r="O85" i="45"/>
  <c r="O86" i="45"/>
  <c r="O87" i="45"/>
  <c r="O88" i="45"/>
  <c r="O89" i="45"/>
  <c r="O90" i="45"/>
  <c r="O91" i="45"/>
  <c r="O92" i="45"/>
  <c r="O93" i="45"/>
  <c r="O94" i="45"/>
  <c r="O95" i="45"/>
  <c r="O96" i="45"/>
  <c r="O97" i="45"/>
  <c r="O98" i="45"/>
  <c r="O99" i="45"/>
  <c r="O100" i="45"/>
  <c r="O101" i="45"/>
  <c r="O102" i="45"/>
  <c r="O103" i="45"/>
  <c r="O104" i="45"/>
  <c r="O105" i="45"/>
  <c r="O106" i="45"/>
  <c r="O107" i="45"/>
  <c r="O108" i="45"/>
  <c r="O109" i="45"/>
  <c r="O110" i="45"/>
  <c r="O111" i="45"/>
  <c r="O112" i="45"/>
  <c r="O113" i="45"/>
  <c r="O114" i="45"/>
  <c r="O115" i="45"/>
  <c r="O116" i="45"/>
  <c r="O117" i="45"/>
  <c r="O118" i="45"/>
  <c r="O119" i="45"/>
  <c r="O120" i="45"/>
  <c r="O121" i="45"/>
  <c r="O122" i="45"/>
  <c r="O123" i="45"/>
  <c r="O124" i="45"/>
  <c r="O125" i="45"/>
  <c r="O126" i="45"/>
  <c r="O127" i="45"/>
  <c r="O128" i="45"/>
  <c r="G3" i="55" l="1"/>
  <c r="G4" i="55"/>
  <c r="G3" i="54"/>
  <c r="G4" i="54"/>
  <c r="D76" i="52"/>
  <c r="D77" i="52"/>
  <c r="D75" i="52"/>
  <c r="D74" i="52"/>
  <c r="D73" i="52"/>
  <c r="D72" i="52"/>
  <c r="D71" i="52"/>
  <c r="O71" i="45" s="1"/>
  <c r="D70" i="52"/>
  <c r="D69" i="52"/>
  <c r="D68" i="52"/>
  <c r="D67" i="52"/>
  <c r="D66" i="52"/>
  <c r="D65" i="52"/>
  <c r="D64" i="52"/>
  <c r="D63" i="52"/>
  <c r="D62" i="52"/>
  <c r="D61" i="52"/>
  <c r="D60" i="52"/>
  <c r="O60" i="45" s="1"/>
  <c r="D59" i="52"/>
  <c r="O59" i="45" s="1"/>
  <c r="D58" i="52"/>
  <c r="O58" i="45" s="1"/>
  <c r="D57" i="52"/>
  <c r="O57" i="45" s="1"/>
  <c r="D56" i="52"/>
  <c r="D55" i="52"/>
  <c r="D54" i="52"/>
  <c r="D53" i="52"/>
  <c r="D52" i="52"/>
  <c r="D51" i="52"/>
  <c r="D50" i="52"/>
  <c r="D49" i="52"/>
  <c r="D48" i="52"/>
  <c r="D47" i="52"/>
  <c r="D46" i="52"/>
  <c r="D45" i="52"/>
  <c r="D44" i="52"/>
  <c r="D43" i="52"/>
  <c r="D42" i="52"/>
  <c r="D41" i="52"/>
  <c r="D40" i="52"/>
  <c r="O40" i="45" s="1"/>
  <c r="D39" i="52"/>
  <c r="D38" i="52"/>
  <c r="D37" i="52"/>
  <c r="D36" i="52"/>
  <c r="D35" i="52"/>
  <c r="D34" i="52"/>
  <c r="D33" i="52"/>
  <c r="D32" i="52"/>
  <c r="D31" i="52"/>
  <c r="D30" i="52"/>
  <c r="D29" i="52"/>
  <c r="D28" i="52"/>
  <c r="D27" i="52"/>
  <c r="D26" i="52"/>
  <c r="D25" i="52"/>
  <c r="D24" i="52"/>
  <c r="D23" i="52"/>
  <c r="D22" i="52"/>
  <c r="D21" i="52"/>
  <c r="D20" i="52"/>
  <c r="D19" i="52"/>
  <c r="O19" i="45" s="1"/>
  <c r="D18" i="52"/>
  <c r="O18" i="45" s="1"/>
  <c r="D17" i="52"/>
  <c r="O17" i="45" s="1"/>
  <c r="D16" i="52"/>
  <c r="O16" i="45" s="1"/>
  <c r="D15" i="52"/>
  <c r="D14" i="52"/>
  <c r="D13" i="52"/>
  <c r="G12" i="52"/>
  <c r="D12" i="52"/>
  <c r="O12" i="45" s="1"/>
  <c r="G11" i="52"/>
  <c r="D11" i="52"/>
  <c r="O11" i="45" s="1"/>
  <c r="G10" i="52"/>
  <c r="D10" i="52"/>
  <c r="O10" i="45" s="1"/>
  <c r="G9" i="52"/>
  <c r="D9" i="52"/>
  <c r="G8" i="52"/>
  <c r="D8" i="52"/>
  <c r="G7" i="52"/>
  <c r="D7" i="52"/>
  <c r="D6" i="52"/>
  <c r="D5" i="52"/>
  <c r="D4" i="52"/>
  <c r="O4" i="45" s="1"/>
  <c r="D3" i="52"/>
  <c r="O3" i="45" s="1"/>
  <c r="K78" i="45"/>
  <c r="K79" i="45"/>
  <c r="K80" i="45"/>
  <c r="K81" i="45"/>
  <c r="K82" i="45"/>
  <c r="K83" i="45"/>
  <c r="K84" i="45"/>
  <c r="K85" i="45"/>
  <c r="K86" i="45"/>
  <c r="G78" i="45"/>
  <c r="G79" i="45"/>
  <c r="G80" i="45"/>
  <c r="G81" i="45"/>
  <c r="G82" i="45"/>
  <c r="G83" i="45"/>
  <c r="G84" i="45"/>
  <c r="C63" i="45"/>
  <c r="C64" i="45"/>
  <c r="C65" i="45"/>
  <c r="C66" i="45"/>
  <c r="C67" i="45"/>
  <c r="C68" i="45"/>
  <c r="C69" i="45"/>
  <c r="C70" i="45"/>
  <c r="C73" i="45"/>
  <c r="C74" i="45"/>
  <c r="C75" i="45"/>
  <c r="C76" i="45"/>
  <c r="C77" i="45"/>
  <c r="C78" i="45"/>
  <c r="C79" i="45"/>
  <c r="C80" i="45"/>
  <c r="C81" i="45"/>
  <c r="C82" i="45"/>
  <c r="C83" i="45"/>
  <c r="C84" i="45"/>
  <c r="C85" i="45"/>
  <c r="C86" i="45"/>
  <c r="C87" i="45"/>
  <c r="C88" i="45"/>
  <c r="C89" i="45"/>
  <c r="C90" i="45"/>
  <c r="C91" i="45"/>
  <c r="C92" i="45"/>
  <c r="C93" i="45"/>
  <c r="C94" i="45"/>
  <c r="C95" i="45"/>
  <c r="C96" i="45"/>
  <c r="C97" i="45"/>
  <c r="C98" i="45"/>
  <c r="C99" i="45"/>
  <c r="C100" i="45"/>
  <c r="C101" i="45"/>
  <c r="C102" i="45"/>
  <c r="C103" i="45"/>
  <c r="C104" i="45"/>
  <c r="C105" i="45"/>
  <c r="C106" i="45"/>
  <c r="C107" i="45"/>
  <c r="C108" i="45"/>
  <c r="C109" i="45"/>
  <c r="C110" i="45"/>
  <c r="C111" i="45"/>
  <c r="C112" i="45"/>
  <c r="C113" i="45"/>
  <c r="C114" i="45"/>
  <c r="C115" i="45"/>
  <c r="C116" i="45"/>
  <c r="C117" i="45"/>
  <c r="C118" i="45"/>
  <c r="C119" i="45"/>
  <c r="C120" i="45"/>
  <c r="C121" i="45"/>
  <c r="C122" i="45"/>
  <c r="C123" i="45"/>
  <c r="C124" i="45"/>
  <c r="C125" i="45"/>
  <c r="C126" i="45"/>
  <c r="C127" i="45"/>
  <c r="C128" i="45"/>
  <c r="C129" i="45"/>
  <c r="C130" i="45"/>
  <c r="C131" i="45"/>
  <c r="C132" i="45"/>
  <c r="C133" i="45"/>
  <c r="C134" i="45"/>
  <c r="C135" i="45"/>
  <c r="C136" i="45"/>
  <c r="C137" i="45"/>
  <c r="C138" i="45"/>
  <c r="C139" i="45"/>
  <c r="C140" i="45"/>
  <c r="C141" i="45"/>
  <c r="C142" i="45"/>
  <c r="D50" i="51"/>
  <c r="K50" i="45" s="1"/>
  <c r="D37" i="51"/>
  <c r="K37" i="45" s="1"/>
  <c r="D30" i="51"/>
  <c r="K30" i="45" s="1"/>
  <c r="D31" i="51"/>
  <c r="K31" i="45" s="1"/>
  <c r="D77" i="51"/>
  <c r="K77" i="45" s="1"/>
  <c r="D76" i="51"/>
  <c r="K76" i="45" s="1"/>
  <c r="D75" i="51"/>
  <c r="K75" i="45" s="1"/>
  <c r="D74" i="51"/>
  <c r="K74" i="45" s="1"/>
  <c r="D73" i="51"/>
  <c r="K73" i="45" s="1"/>
  <c r="D72" i="51"/>
  <c r="K72" i="45" s="1"/>
  <c r="D71" i="51"/>
  <c r="K71" i="45" s="1"/>
  <c r="D70" i="51"/>
  <c r="K70" i="45" s="1"/>
  <c r="D69" i="51"/>
  <c r="K69" i="45" s="1"/>
  <c r="D68" i="51"/>
  <c r="K68" i="45" s="1"/>
  <c r="D67" i="51"/>
  <c r="K67" i="45" s="1"/>
  <c r="D66" i="51"/>
  <c r="K66" i="45" s="1"/>
  <c r="D65" i="51"/>
  <c r="K65" i="45" s="1"/>
  <c r="D64" i="51"/>
  <c r="K64" i="45" s="1"/>
  <c r="D63" i="51"/>
  <c r="K63" i="45" s="1"/>
  <c r="D62" i="51"/>
  <c r="K62" i="45" s="1"/>
  <c r="D61" i="51"/>
  <c r="K61" i="45" s="1"/>
  <c r="D60" i="51"/>
  <c r="K60" i="45" s="1"/>
  <c r="D59" i="51"/>
  <c r="K59" i="45" s="1"/>
  <c r="D58" i="51"/>
  <c r="K58" i="45" s="1"/>
  <c r="D57" i="51"/>
  <c r="K57" i="45" s="1"/>
  <c r="D56" i="51"/>
  <c r="K56" i="45" s="1"/>
  <c r="D55" i="51"/>
  <c r="K55" i="45" s="1"/>
  <c r="D54" i="51"/>
  <c r="K54" i="45" s="1"/>
  <c r="D53" i="51"/>
  <c r="K53" i="45" s="1"/>
  <c r="D52" i="51"/>
  <c r="K52" i="45" s="1"/>
  <c r="D51" i="51"/>
  <c r="K51" i="45" s="1"/>
  <c r="D49" i="51"/>
  <c r="K49" i="45" s="1"/>
  <c r="D48" i="51"/>
  <c r="K48" i="45" s="1"/>
  <c r="D47" i="51"/>
  <c r="K47" i="45" s="1"/>
  <c r="D46" i="51"/>
  <c r="K46" i="45" s="1"/>
  <c r="D45" i="51"/>
  <c r="K45" i="45" s="1"/>
  <c r="D44" i="51"/>
  <c r="K44" i="45" s="1"/>
  <c r="D43" i="51"/>
  <c r="K43" i="45" s="1"/>
  <c r="D42" i="51"/>
  <c r="K42" i="45" s="1"/>
  <c r="D41" i="51"/>
  <c r="K41" i="45" s="1"/>
  <c r="D40" i="51"/>
  <c r="K40" i="45" s="1"/>
  <c r="D39" i="51"/>
  <c r="K39" i="45" s="1"/>
  <c r="D38" i="51"/>
  <c r="K38" i="45" s="1"/>
  <c r="D36" i="51"/>
  <c r="K36" i="45" s="1"/>
  <c r="D35" i="51"/>
  <c r="K35" i="45" s="1"/>
  <c r="D34" i="51"/>
  <c r="K34" i="45" s="1"/>
  <c r="D33" i="51"/>
  <c r="K33" i="45" s="1"/>
  <c r="D32" i="51"/>
  <c r="K32" i="45" s="1"/>
  <c r="D29" i="51"/>
  <c r="K29" i="45" s="1"/>
  <c r="D28" i="51"/>
  <c r="K28" i="45" s="1"/>
  <c r="D27" i="51"/>
  <c r="K27" i="45" s="1"/>
  <c r="D26" i="51"/>
  <c r="K26" i="45" s="1"/>
  <c r="D25" i="51"/>
  <c r="K25" i="45" s="1"/>
  <c r="D24" i="51"/>
  <c r="K24" i="45" s="1"/>
  <c r="D23" i="51"/>
  <c r="K23" i="45" s="1"/>
  <c r="D22" i="51"/>
  <c r="K22" i="45" s="1"/>
  <c r="D21" i="51"/>
  <c r="K21" i="45" s="1"/>
  <c r="D20" i="51"/>
  <c r="K20" i="45" s="1"/>
  <c r="D19" i="51"/>
  <c r="K19" i="45" s="1"/>
  <c r="D18" i="51"/>
  <c r="K18" i="45" s="1"/>
  <c r="D17" i="51"/>
  <c r="K17" i="45" s="1"/>
  <c r="D16" i="51"/>
  <c r="K16" i="45" s="1"/>
  <c r="D15" i="51"/>
  <c r="K15" i="45" s="1"/>
  <c r="D14" i="51"/>
  <c r="K14" i="45" s="1"/>
  <c r="D13" i="51"/>
  <c r="K13" i="45" s="1"/>
  <c r="G12" i="51"/>
  <c r="D12" i="51"/>
  <c r="K12" i="45" s="1"/>
  <c r="G11" i="51"/>
  <c r="D11" i="51"/>
  <c r="K11" i="45" s="1"/>
  <c r="G10" i="51"/>
  <c r="D10" i="51"/>
  <c r="K10" i="45" s="1"/>
  <c r="G9" i="51"/>
  <c r="D9" i="51"/>
  <c r="K9" i="45" s="1"/>
  <c r="G8" i="51"/>
  <c r="D8" i="51"/>
  <c r="K8" i="45" s="1"/>
  <c r="G7" i="51"/>
  <c r="D7" i="51"/>
  <c r="K7" i="45" s="1"/>
  <c r="D6" i="51"/>
  <c r="K6" i="45" s="1"/>
  <c r="D5" i="51"/>
  <c r="K5" i="45" s="1"/>
  <c r="D4" i="51"/>
  <c r="K4" i="45" s="1"/>
  <c r="D3" i="51"/>
  <c r="K3" i="45" s="1"/>
  <c r="C36" i="45"/>
  <c r="C34" i="45"/>
  <c r="C35" i="45"/>
  <c r="N3" i="45" l="1" a="1"/>
  <c r="N3" i="45" s="1"/>
  <c r="G3" i="52"/>
  <c r="G4" i="52"/>
  <c r="J3" i="45" a="1"/>
  <c r="J3" i="45" s="1"/>
  <c r="G4" i="51"/>
  <c r="G3" i="51"/>
  <c r="G51" i="45"/>
  <c r="G52" i="45"/>
  <c r="G53" i="45"/>
  <c r="G54" i="45"/>
  <c r="G77" i="45"/>
  <c r="G76" i="45"/>
  <c r="G75" i="45"/>
  <c r="G74" i="45"/>
  <c r="G73" i="45"/>
  <c r="G72" i="45"/>
  <c r="G71" i="45"/>
  <c r="G70" i="45"/>
  <c r="G69" i="45"/>
  <c r="G68" i="45"/>
  <c r="G67" i="45"/>
  <c r="G66" i="45"/>
  <c r="G65" i="45"/>
  <c r="G64" i="45"/>
  <c r="G63" i="45"/>
  <c r="G62" i="45"/>
  <c r="G61" i="45"/>
  <c r="G60" i="45"/>
  <c r="G59" i="45"/>
  <c r="G58" i="45"/>
  <c r="G57" i="45"/>
  <c r="G56" i="45"/>
  <c r="G55" i="45"/>
  <c r="G50" i="45"/>
  <c r="G49" i="45"/>
  <c r="G48" i="45"/>
  <c r="G47" i="45"/>
  <c r="G46" i="45"/>
  <c r="G45" i="45"/>
  <c r="G44" i="45"/>
  <c r="G43" i="45"/>
  <c r="G42" i="45"/>
  <c r="G41" i="45"/>
  <c r="G40" i="45"/>
  <c r="G39" i="45"/>
  <c r="G38" i="45"/>
  <c r="G37" i="45"/>
  <c r="G36" i="45"/>
  <c r="G35" i="45"/>
  <c r="G34" i="45"/>
  <c r="G33" i="45"/>
  <c r="G32" i="45"/>
  <c r="G31" i="45"/>
  <c r="G30" i="45"/>
  <c r="G29" i="45"/>
  <c r="G28" i="45"/>
  <c r="G27" i="45"/>
  <c r="G26" i="45"/>
  <c r="G25" i="45"/>
  <c r="G24" i="45"/>
  <c r="G23" i="45"/>
  <c r="G22" i="45"/>
  <c r="G21" i="45"/>
  <c r="G20" i="45"/>
  <c r="G19" i="45"/>
  <c r="G18" i="45"/>
  <c r="G17" i="45"/>
  <c r="G16" i="45"/>
  <c r="G15" i="45"/>
  <c r="G14" i="45"/>
  <c r="G13" i="45"/>
  <c r="G12" i="45"/>
  <c r="G11" i="45"/>
  <c r="G10" i="45"/>
  <c r="G9" i="45"/>
  <c r="G8" i="45"/>
  <c r="G7" i="45"/>
  <c r="G6" i="45"/>
  <c r="G5" i="45"/>
  <c r="G4" i="45"/>
  <c r="G3" i="45"/>
  <c r="C143" i="45"/>
  <c r="C72" i="45"/>
  <c r="C71" i="45"/>
  <c r="C62" i="45"/>
  <c r="C61" i="45"/>
  <c r="C60" i="45"/>
  <c r="C59" i="45"/>
  <c r="C58" i="45"/>
  <c r="C57" i="45"/>
  <c r="C56" i="45"/>
  <c r="C55" i="45"/>
  <c r="C54" i="45"/>
  <c r="C53" i="45"/>
  <c r="C52" i="45"/>
  <c r="C51" i="45"/>
  <c r="C50" i="45"/>
  <c r="C49" i="45"/>
  <c r="C48" i="45"/>
  <c r="C47" i="45"/>
  <c r="C46" i="45"/>
  <c r="C45" i="45"/>
  <c r="C44" i="45"/>
  <c r="C43" i="45"/>
  <c r="C42" i="45"/>
  <c r="C41" i="45"/>
  <c r="C40" i="45"/>
  <c r="C39" i="45"/>
  <c r="C38" i="45"/>
  <c r="C37" i="45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C3" i="45"/>
  <c r="G78" i="18"/>
  <c r="G79" i="18"/>
  <c r="G80" i="18"/>
  <c r="G81" i="18"/>
  <c r="G82" i="18"/>
  <c r="G83" i="18"/>
  <c r="G84" i="18"/>
  <c r="G85" i="18"/>
  <c r="G86" i="18"/>
  <c r="B3" i="45" l="1" a="1"/>
  <c r="B3" i="45" s="1"/>
  <c r="F3" i="45" a="1"/>
  <c r="F3" i="45" s="1"/>
  <c r="A4" i="45"/>
  <c r="S86" i="18"/>
  <c r="S85" i="18"/>
  <c r="S84" i="18"/>
  <c r="S83" i="18"/>
  <c r="S82" i="18"/>
  <c r="S81" i="18"/>
  <c r="S80" i="18"/>
  <c r="S79" i="18"/>
  <c r="S78" i="18"/>
  <c r="S77" i="18"/>
  <c r="S76" i="18"/>
  <c r="S75" i="18"/>
  <c r="S74" i="18"/>
  <c r="S73" i="18"/>
  <c r="S72" i="18"/>
  <c r="S71" i="18"/>
  <c r="S70" i="18"/>
  <c r="S69" i="18"/>
  <c r="S68" i="18"/>
  <c r="S67" i="18"/>
  <c r="S66" i="18"/>
  <c r="S65" i="18"/>
  <c r="S64" i="18"/>
  <c r="S63" i="18"/>
  <c r="S62" i="18"/>
  <c r="S61" i="18"/>
  <c r="S60" i="18"/>
  <c r="S59" i="18"/>
  <c r="S58" i="18"/>
  <c r="S57" i="18"/>
  <c r="S56" i="18"/>
  <c r="S55" i="18"/>
  <c r="S54" i="18"/>
  <c r="S53" i="18"/>
  <c r="S52" i="18"/>
  <c r="S51" i="18"/>
  <c r="S50" i="18"/>
  <c r="S49" i="18"/>
  <c r="S48" i="18"/>
  <c r="S47" i="18"/>
  <c r="S46" i="18"/>
  <c r="S45" i="18"/>
  <c r="S44" i="18"/>
  <c r="S43" i="18"/>
  <c r="S42" i="18"/>
  <c r="S41" i="18"/>
  <c r="S40" i="18"/>
  <c r="S39" i="18"/>
  <c r="S38" i="18"/>
  <c r="S37" i="18"/>
  <c r="S36" i="18"/>
  <c r="S35" i="18"/>
  <c r="S34" i="18"/>
  <c r="S33" i="18"/>
  <c r="S32" i="18"/>
  <c r="S31" i="18"/>
  <c r="S30" i="18"/>
  <c r="S29" i="18"/>
  <c r="S28" i="18"/>
  <c r="S27" i="18"/>
  <c r="S26" i="18"/>
  <c r="S25" i="18"/>
  <c r="S24" i="18"/>
  <c r="S23" i="18"/>
  <c r="S22" i="18"/>
  <c r="S21" i="18"/>
  <c r="S20" i="18"/>
  <c r="S19" i="18"/>
  <c r="S18" i="18"/>
  <c r="S17" i="18"/>
  <c r="S16" i="18"/>
  <c r="S15" i="18"/>
  <c r="S14" i="18"/>
  <c r="S13" i="18"/>
  <c r="S12" i="18"/>
  <c r="S11" i="18"/>
  <c r="S10" i="18"/>
  <c r="S9" i="18"/>
  <c r="S8" i="18"/>
  <c r="S7" i="18"/>
  <c r="S6" i="18"/>
  <c r="S5" i="18"/>
  <c r="S4" i="18"/>
  <c r="W86" i="18"/>
  <c r="W85" i="18"/>
  <c r="W84" i="18"/>
  <c r="W83" i="18"/>
  <c r="W82" i="18"/>
  <c r="W81" i="18"/>
  <c r="W80" i="18"/>
  <c r="W79" i="18"/>
  <c r="W78" i="18"/>
  <c r="W77" i="18"/>
  <c r="W76" i="18"/>
  <c r="W75" i="18"/>
  <c r="W74" i="18"/>
  <c r="W73" i="18"/>
  <c r="W72" i="18"/>
  <c r="W71" i="18"/>
  <c r="W70" i="18"/>
  <c r="W69" i="18"/>
  <c r="W68" i="18"/>
  <c r="W67" i="18"/>
  <c r="W66" i="18"/>
  <c r="W65" i="18"/>
  <c r="W64" i="18"/>
  <c r="W63" i="18"/>
  <c r="W62" i="18"/>
  <c r="W61" i="18"/>
  <c r="W60" i="18"/>
  <c r="W59" i="18"/>
  <c r="W58" i="18"/>
  <c r="W57" i="18"/>
  <c r="W56" i="18"/>
  <c r="W55" i="18"/>
  <c r="W54" i="18"/>
  <c r="W53" i="18"/>
  <c r="W52" i="18"/>
  <c r="W51" i="18"/>
  <c r="W50" i="18"/>
  <c r="W49" i="18"/>
  <c r="W48" i="18"/>
  <c r="W47" i="18"/>
  <c r="W46" i="18"/>
  <c r="W45" i="18"/>
  <c r="W44" i="18"/>
  <c r="W43" i="18"/>
  <c r="W42" i="18"/>
  <c r="W41" i="18"/>
  <c r="W40" i="18"/>
  <c r="W39" i="18"/>
  <c r="W38" i="18"/>
  <c r="W37" i="18"/>
  <c r="W36" i="18"/>
  <c r="W35" i="18"/>
  <c r="W34" i="18"/>
  <c r="W33" i="18"/>
  <c r="W32" i="18"/>
  <c r="W31" i="18"/>
  <c r="W30" i="18"/>
  <c r="W29" i="18"/>
  <c r="W28" i="18"/>
  <c r="W27" i="18"/>
  <c r="W26" i="18"/>
  <c r="W25" i="18"/>
  <c r="W24" i="18"/>
  <c r="W23" i="18"/>
  <c r="W22" i="18"/>
  <c r="W21" i="18"/>
  <c r="W20" i="18"/>
  <c r="W19" i="18"/>
  <c r="W18" i="18"/>
  <c r="W17" i="18"/>
  <c r="W16" i="18"/>
  <c r="W15" i="18"/>
  <c r="W14" i="18"/>
  <c r="W13" i="18"/>
  <c r="W12" i="18"/>
  <c r="W11" i="18"/>
  <c r="W10" i="18"/>
  <c r="W9" i="18"/>
  <c r="W8" i="18"/>
  <c r="W7" i="18"/>
  <c r="W6" i="18"/>
  <c r="W5" i="18"/>
  <c r="W4" i="18"/>
  <c r="W3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G77" i="18"/>
  <c r="G76" i="18"/>
  <c r="G75" i="18"/>
  <c r="G74" i="18"/>
  <c r="G73" i="18"/>
  <c r="G72" i="18"/>
  <c r="G71" i="18"/>
  <c r="G70" i="18"/>
  <c r="G69" i="18"/>
  <c r="G68" i="18"/>
  <c r="G67" i="18"/>
  <c r="G66" i="18"/>
  <c r="G65" i="18"/>
  <c r="G64" i="18"/>
  <c r="G63" i="18"/>
  <c r="G62" i="18"/>
  <c r="G61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O70" i="18"/>
  <c r="O78" i="18"/>
  <c r="O79" i="18"/>
  <c r="O80" i="18"/>
  <c r="O81" i="18"/>
  <c r="O82" i="18"/>
  <c r="O83" i="18"/>
  <c r="O84" i="18"/>
  <c r="O85" i="18"/>
  <c r="O86" i="18"/>
  <c r="O87" i="18"/>
  <c r="O88" i="18"/>
  <c r="O63" i="18"/>
  <c r="O64" i="18"/>
  <c r="O65" i="18"/>
  <c r="O66" i="18"/>
  <c r="O67" i="18"/>
  <c r="O68" i="18"/>
  <c r="O69" i="18"/>
  <c r="O71" i="18"/>
  <c r="O72" i="18"/>
  <c r="O73" i="18"/>
  <c r="O74" i="18"/>
  <c r="O75" i="18"/>
  <c r="O76" i="18"/>
  <c r="O77" i="18"/>
  <c r="E4" i="18" l="1"/>
  <c r="Q4" i="18"/>
  <c r="S3" i="18"/>
  <c r="U4" i="18"/>
  <c r="A4" i="18"/>
  <c r="I4" i="18"/>
  <c r="W1" i="19"/>
  <c r="C20" i="19" s="1"/>
  <c r="V1" i="19"/>
  <c r="C19" i="19" s="1"/>
  <c r="U1" i="19"/>
  <c r="C18" i="19" s="1"/>
  <c r="T1" i="19"/>
  <c r="R1" i="19"/>
  <c r="Q1" i="19"/>
  <c r="P1" i="19"/>
  <c r="O1" i="19"/>
  <c r="M1" i="19"/>
  <c r="C10" i="19" s="1"/>
  <c r="L1" i="19"/>
  <c r="C9" i="19" s="1"/>
  <c r="K1" i="19"/>
  <c r="C8" i="19" s="1"/>
  <c r="J1" i="19"/>
  <c r="H1" i="19"/>
  <c r="C5" i="19" s="1"/>
  <c r="G1" i="19"/>
  <c r="C4" i="19" s="1"/>
  <c r="F1" i="19"/>
  <c r="C3" i="19" s="1"/>
  <c r="E1" i="19"/>
  <c r="A8" i="19"/>
  <c r="A13" i="19"/>
  <c r="C13" i="19"/>
  <c r="C14" i="19"/>
  <c r="C15" i="19"/>
  <c r="A18" i="19"/>
  <c r="A3" i="19"/>
  <c r="C12" i="19" l="1"/>
  <c r="C2" i="19"/>
  <c r="C17" i="19"/>
  <c r="C7" i="19"/>
  <c r="B1" i="19" l="1"/>
  <c r="R3" i="18" l="1" a="1"/>
  <c r="R3" i="18" s="1"/>
  <c r="O62" i="18" l="1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M4" i="18" l="1"/>
  <c r="V3" i="18" l="1" a="1"/>
  <c r="V3" i="18" s="1"/>
  <c r="N3" i="18" a="1"/>
  <c r="N3" i="18" s="1"/>
  <c r="J3" i="18" l="1" a="1"/>
  <c r="J3" i="18" s="1"/>
  <c r="F3" i="18" l="1" a="1"/>
  <c r="F3" i="18" s="1"/>
  <c r="B3" i="18" a="1"/>
  <c r="B3" i="1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<sst xmlns="http://schemas.openxmlformats.org/spreadsheetml/2006/main" count="3560" uniqueCount="350">
  <si>
    <t>Função</t>
  </si>
  <si>
    <t>Terreno</t>
  </si>
  <si>
    <t>Island</t>
  </si>
  <si>
    <t>Funções</t>
  </si>
  <si>
    <t>Draw</t>
  </si>
  <si>
    <t>Remoção</t>
  </si>
  <si>
    <t>Mountain</t>
  </si>
  <si>
    <t>Carta Final</t>
  </si>
  <si>
    <t>Carta Atual</t>
  </si>
  <si>
    <t>Carta Ideal</t>
  </si>
  <si>
    <t>Mudanças Faltando</t>
  </si>
  <si>
    <t>Total de Cartas</t>
  </si>
  <si>
    <t>Swamp</t>
  </si>
  <si>
    <t>Forest</t>
  </si>
  <si>
    <t>Plains</t>
  </si>
  <si>
    <t>Vida</t>
  </si>
  <si>
    <t>Soul Warden</t>
  </si>
  <si>
    <t>Soul's Attendant</t>
  </si>
  <si>
    <t>Suture Priest</t>
  </si>
  <si>
    <t>Fractius</t>
  </si>
  <si>
    <t>Total</t>
  </si>
  <si>
    <t>Total:</t>
  </si>
  <si>
    <t>Marcelo</t>
  </si>
  <si>
    <t>Legacy</t>
  </si>
  <si>
    <t>Overrun</t>
  </si>
  <si>
    <t>Jonathan</t>
  </si>
  <si>
    <t>Total Lojas:</t>
  </si>
  <si>
    <t>Ephemerate</t>
  </si>
  <si>
    <t>Rustvale Bridge</t>
  </si>
  <si>
    <t>Galvanic Blast</t>
  </si>
  <si>
    <t>Hamster</t>
  </si>
  <si>
    <t>Liga</t>
  </si>
  <si>
    <t>MTG Cards Games</t>
  </si>
  <si>
    <t>Mana Vai</t>
  </si>
  <si>
    <t>Sideboard</t>
  </si>
  <si>
    <t>Knights</t>
  </si>
  <si>
    <t>Modular</t>
  </si>
  <si>
    <t>Fadas</t>
  </si>
  <si>
    <t>Allyes</t>
  </si>
  <si>
    <t>Thoughtcast</t>
  </si>
  <si>
    <t>Relic of Progenitus</t>
  </si>
  <si>
    <t>Temur Control</t>
  </si>
  <si>
    <t>Finalizador</t>
  </si>
  <si>
    <t>Valor</t>
  </si>
  <si>
    <t>Cauldron Familiar</t>
  </si>
  <si>
    <t>Witch's Oven</t>
  </si>
  <si>
    <t>Fatal Push</t>
  </si>
  <si>
    <t>Deadly Dispute</t>
  </si>
  <si>
    <t>Gilded Goose</t>
  </si>
  <si>
    <t>Trail of Crumbs</t>
  </si>
  <si>
    <t>Mayhem Devil</t>
  </si>
  <si>
    <t>Blood Crypt</t>
  </si>
  <si>
    <t>Assassin's Trophy</t>
  </si>
  <si>
    <t>Stomping Ground</t>
  </si>
  <si>
    <t>Cragcrown Pathway</t>
  </si>
  <si>
    <t>Blightstep Pathway</t>
  </si>
  <si>
    <t>Overgrown Tomb</t>
  </si>
  <si>
    <t>Jund Pioneer</t>
  </si>
  <si>
    <t>Fable of the Mirror-Breaker</t>
  </si>
  <si>
    <t>Darkbore Pathway</t>
  </si>
  <si>
    <t>Woodland Cemetery</t>
  </si>
  <si>
    <t>Rootbound Crag</t>
  </si>
  <si>
    <t>Dragonskull Summit</t>
  </si>
  <si>
    <t>Go Blank</t>
  </si>
  <si>
    <t>Damping Sphere</t>
  </si>
  <si>
    <t>Jund Food - Pioneer</t>
  </si>
  <si>
    <t>Korvold, Fae-Cursed King</t>
  </si>
  <si>
    <t>Questing Beast</t>
  </si>
  <si>
    <t>Binding the Old Gods</t>
  </si>
  <si>
    <t>Jund Food</t>
  </si>
  <si>
    <t>Bonecrusher Giant // Stomp</t>
  </si>
  <si>
    <t>Claim the Firstborn</t>
  </si>
  <si>
    <t>Silverbluff Bridge</t>
  </si>
  <si>
    <t>Metallic Rebuke</t>
  </si>
  <si>
    <t>Interessantes</t>
  </si>
  <si>
    <t>Elfos - Pioneer</t>
  </si>
  <si>
    <t>Elvish Mystic</t>
  </si>
  <si>
    <t>Jaspera Sentinel</t>
  </si>
  <si>
    <t>Llanowar Elves</t>
  </si>
  <si>
    <t>Paradise Druid</t>
  </si>
  <si>
    <t>Leaf-Crowned Visionary</t>
  </si>
  <si>
    <t>Elvish Warmaster</t>
  </si>
  <si>
    <t>Elvish Visionary</t>
  </si>
  <si>
    <t>Rumor Gatherer</t>
  </si>
  <si>
    <t>Llanowar Visionary</t>
  </si>
  <si>
    <t>Tyvar, Jubilant Brawler</t>
  </si>
  <si>
    <t>Paradox Engine</t>
  </si>
  <si>
    <t>Lair of the Hydra</t>
  </si>
  <si>
    <t>Brushland</t>
  </si>
  <si>
    <t>Temple Garden</t>
  </si>
  <si>
    <t>Sunpetal Grove</t>
  </si>
  <si>
    <t>Shaman of the Pack</t>
  </si>
  <si>
    <t>Collected Company</t>
  </si>
  <si>
    <t>Mana</t>
  </si>
  <si>
    <t>Wincon</t>
  </si>
  <si>
    <t>Combo</t>
  </si>
  <si>
    <t>Tamiyo's Safekeeping</t>
  </si>
  <si>
    <t>Extraction Specialist</t>
  </si>
  <si>
    <t>Reclamation Sage</t>
  </si>
  <si>
    <t>Patch Up</t>
  </si>
  <si>
    <t>Portal to Phyrexia</t>
  </si>
  <si>
    <t>Realmwalker</t>
  </si>
  <si>
    <t>Sapo</t>
  </si>
  <si>
    <t>OwA</t>
  </si>
  <si>
    <t>Trakiri</t>
  </si>
  <si>
    <t>ElfoNeer</t>
  </si>
  <si>
    <t>Nykthos, Shrine to Nyx</t>
  </si>
  <si>
    <t>Unclaimed Territory</t>
  </si>
  <si>
    <t>Sylvan Caryatid</t>
  </si>
  <si>
    <t>ETB</t>
  </si>
  <si>
    <t>Eternal Witness</t>
  </si>
  <si>
    <t>Fiend Hunter</t>
  </si>
  <si>
    <t>Grand Abolisher</t>
  </si>
  <si>
    <t>Charming Prince</t>
  </si>
  <si>
    <t>Wall of Omens</t>
  </si>
  <si>
    <t>Wall of Blossoms</t>
  </si>
  <si>
    <t>Knight of Autumn</t>
  </si>
  <si>
    <t>Skyclave Apparition</t>
  </si>
  <si>
    <t>Guardian of Faith</t>
  </si>
  <si>
    <t>Scavenging Ooze</t>
  </si>
  <si>
    <t>Ranger-Captain of Eos</t>
  </si>
  <si>
    <t>Chord of Calling</t>
  </si>
  <si>
    <t>Spike Feeder</t>
  </si>
  <si>
    <t>Heliod, Sun-Crowded</t>
  </si>
  <si>
    <t>Walking Ballista</t>
  </si>
  <si>
    <t>Airlift Chaplain</t>
  </si>
  <si>
    <t>Anointed Peacekeeper</t>
  </si>
  <si>
    <t>Arboreal Grazer</t>
  </si>
  <si>
    <t>Scurry Oak</t>
  </si>
  <si>
    <t>Rosie Cotton of South Lane</t>
  </si>
  <si>
    <t>Auriok Champion</t>
  </si>
  <si>
    <t>Aven Riftwatcher</t>
  </si>
  <si>
    <t>Carven Caryatid</t>
  </si>
  <si>
    <t>Champion of Lambholt</t>
  </si>
  <si>
    <t>Elite Spellbinder</t>
  </si>
  <si>
    <t>.</t>
  </si>
  <si>
    <t>Samwise Gamgee</t>
  </si>
  <si>
    <t>Viscera Seer</t>
  </si>
  <si>
    <t>Peregrin Took</t>
  </si>
  <si>
    <t>Abrupt Decay</t>
  </si>
  <si>
    <t>Back to Nature</t>
  </si>
  <si>
    <t>Verdant Catacombs</t>
  </si>
  <si>
    <t>Godless Shrine</t>
  </si>
  <si>
    <t>Leyline of the Void</t>
  </si>
  <si>
    <t>Pithing Needle</t>
  </si>
  <si>
    <t>Isolated Chapel</t>
  </si>
  <si>
    <t>Abzan CoCoCo</t>
  </si>
  <si>
    <t>Alela</t>
  </si>
  <si>
    <t>Tragic Slip</t>
  </si>
  <si>
    <t>Chatterfang, Squirrel General</t>
  </si>
  <si>
    <t>Academy Manufactor</t>
  </si>
  <si>
    <t>Invasion of Ikoria</t>
  </si>
  <si>
    <t>Lonis, Cryptozoologist</t>
  </si>
  <si>
    <t>Haywire Mite</t>
  </si>
  <si>
    <t>Path to Exile</t>
  </si>
  <si>
    <t>Nature's Claim</t>
  </si>
  <si>
    <t>Jirina, Dauntless General</t>
  </si>
  <si>
    <t>Cemetery Prowler</t>
  </si>
  <si>
    <t>Dryad Arbor</t>
  </si>
  <si>
    <t>Boseiju, Who Endures</t>
  </si>
  <si>
    <t>Gala Greeters</t>
  </si>
  <si>
    <t>Indatha Triome</t>
  </si>
  <si>
    <t>Windswept Heath</t>
  </si>
  <si>
    <t>Marsh Flats</t>
  </si>
  <si>
    <t>Tutor</t>
  </si>
  <si>
    <t>Liliana, Heretical Healer</t>
  </si>
  <si>
    <t>Old Rutstein</t>
  </si>
  <si>
    <t>Polukranos Reborn</t>
  </si>
  <si>
    <t>Thalia, Heretic Cathar</t>
  </si>
  <si>
    <t>Sarinth Steelseeker</t>
  </si>
  <si>
    <t>Corpse Knight</t>
  </si>
  <si>
    <t>Elas-il Kor, Sadistic Pilgrim</t>
  </si>
  <si>
    <t>Essence Warden</t>
  </si>
  <si>
    <t>Reckless Fireweaver</t>
  </si>
  <si>
    <t>Prosperous Innkeeper</t>
  </si>
  <si>
    <t>CoCo Army - Modern</t>
  </si>
  <si>
    <t>Abzan CoCoCo - Modern</t>
  </si>
  <si>
    <t>Memnite</t>
  </si>
  <si>
    <t>Ornithopter</t>
  </si>
  <si>
    <t>Arcbound Ravager</t>
  </si>
  <si>
    <t>Frogmite</t>
  </si>
  <si>
    <t>Thought Monitor</t>
  </si>
  <si>
    <t>Welding Jar</t>
  </si>
  <si>
    <t>Springleaf Drum</t>
  </si>
  <si>
    <t>Shadowspear</t>
  </si>
  <si>
    <t>Cranial Plating</t>
  </si>
  <si>
    <t>Nettlecyst</t>
  </si>
  <si>
    <t>Darksteel Citadel</t>
  </si>
  <si>
    <t>Mistvault Bridge</t>
  </si>
  <si>
    <t>Tanglepool Bridge</t>
  </si>
  <si>
    <t>Dismember</t>
  </si>
  <si>
    <t>Soulless Jailer</t>
  </si>
  <si>
    <t>Mishra's Bauble</t>
  </si>
  <si>
    <t>Maybe</t>
  </si>
  <si>
    <t>Patchwork Automaton</t>
  </si>
  <si>
    <t>Aether Spellbomb</t>
  </si>
  <si>
    <t>Etched Champion</t>
  </si>
  <si>
    <t>Spire of Industry</t>
  </si>
  <si>
    <t>Sojourner's Companion</t>
  </si>
  <si>
    <t>Gingerbrute</t>
  </si>
  <si>
    <t>Moonsnare Prototype</t>
  </si>
  <si>
    <t>Urza's Saga</t>
  </si>
  <si>
    <t>Urza, Lord HighArtificer</t>
  </si>
  <si>
    <t>Hard Evidence</t>
  </si>
  <si>
    <t>Affinity - Modern</t>
  </si>
  <si>
    <t>Hangarback Walker</t>
  </si>
  <si>
    <t>Zabaz, the Glimmerwasp</t>
  </si>
  <si>
    <t>The Ozolith</t>
  </si>
  <si>
    <t>Ozolith, the Shattered Spire</t>
  </si>
  <si>
    <t>Hardened Scales</t>
  </si>
  <si>
    <t>Thornglint Bridge</t>
  </si>
  <si>
    <t>Slagwoods Bridge</t>
  </si>
  <si>
    <t>Ancient Strings</t>
  </si>
  <si>
    <t>Karplusan Forest</t>
  </si>
  <si>
    <t>Phyrexia's Core</t>
  </si>
  <si>
    <t>Inkmoth Nexus</t>
  </si>
  <si>
    <t>Fabled Passage</t>
  </si>
  <si>
    <t>Shivan Reef</t>
  </si>
  <si>
    <t>Hardened Scales - Modern</t>
  </si>
  <si>
    <t>Drossforge Bridge</t>
  </si>
  <si>
    <t>Ecological Apreciation</t>
  </si>
  <si>
    <t>Empurrão Fatal</t>
  </si>
  <si>
    <t>Vampire Hexmage</t>
  </si>
  <si>
    <t>Phyrexian Metamorph</t>
  </si>
  <si>
    <t>Damn</t>
  </si>
  <si>
    <t>Retornar as Fileiras</t>
  </si>
  <si>
    <t>Emry, Lurker of the Loch</t>
  </si>
  <si>
    <t>Lanterna Guia-almas</t>
  </si>
  <si>
    <t>Negate?</t>
  </si>
  <si>
    <t>Myr Enforcer</t>
  </si>
  <si>
    <t>4c CoCoCo - Modern</t>
  </si>
  <si>
    <t>Birds of Paradise</t>
  </si>
  <si>
    <t>Breeding Pool</t>
  </si>
  <si>
    <t>Misty Rainforest</t>
  </si>
  <si>
    <t>Hinterland Harbor</t>
  </si>
  <si>
    <t>Gingerbread Cabin</t>
  </si>
  <si>
    <t>Spara's Headquarters</t>
  </si>
  <si>
    <t>Cavaleira do Outono</t>
  </si>
  <si>
    <t>Passagem Fabulosa</t>
  </si>
  <si>
    <t>The Battle of Bywater</t>
  </si>
  <si>
    <t>Phyrexian Revoker</t>
  </si>
  <si>
    <t>Lavinia, Azorius Renegade</t>
  </si>
  <si>
    <t>Necromentia</t>
  </si>
  <si>
    <t>Unmmored Ego</t>
  </si>
  <si>
    <t>Orcish Bowmasters</t>
  </si>
  <si>
    <t>Voice of Resurgence</t>
  </si>
  <si>
    <t>Eidolon of Rethoric</t>
  </si>
  <si>
    <t>City of Brass</t>
  </si>
  <si>
    <t>Chalice of the Void</t>
  </si>
  <si>
    <t>Soul-Guide Lantern</t>
  </si>
  <si>
    <t>Endurance</t>
  </si>
  <si>
    <t>Voz da Ressurgência</t>
  </si>
  <si>
    <t>Yavimaya, Cradle of Growth</t>
  </si>
  <si>
    <t>Force of Vigor</t>
  </si>
  <si>
    <t>Desprezador de Mágicas</t>
  </si>
  <si>
    <t>Tear Asunder</t>
  </si>
  <si>
    <t>Especialista em Resgates</t>
  </si>
  <si>
    <t>Boromir, Warden of the Tower</t>
  </si>
  <si>
    <t xml:space="preserve">The Underworld Cookbook </t>
  </si>
  <si>
    <t>Asmoranomardicadaistinaculdacar</t>
  </si>
  <si>
    <t>Phantasmal Image</t>
  </si>
  <si>
    <t>Desprezador de Mágica</t>
  </si>
  <si>
    <t>Cavalgada</t>
  </si>
  <si>
    <t>Knight Exemplar</t>
  </si>
  <si>
    <t>Fiendslayer Paladin</t>
  </si>
  <si>
    <t>Rest in Peace</t>
  </si>
  <si>
    <t>History of Benalia</t>
  </si>
  <si>
    <t>Leyline of Sanctity</t>
  </si>
  <si>
    <t>Inspiring Veteran</t>
  </si>
  <si>
    <t>Acclaimed Contender</t>
  </si>
  <si>
    <t>Benalish Marshal</t>
  </si>
  <si>
    <t>Mirran Crusader</t>
  </si>
  <si>
    <t>Ghost Quarter</t>
  </si>
  <si>
    <t>Ardenvale Tactician</t>
  </si>
  <si>
    <t>Rem Karolus, Stalwart Slayer</t>
  </si>
  <si>
    <t>Syr Ginger, the Meal Ender</t>
  </si>
  <si>
    <t>Sacred Foundry</t>
  </si>
  <si>
    <t>Werefox Bodyguard</t>
  </si>
  <si>
    <t>Worthy Knight</t>
  </si>
  <si>
    <t>Arid Mesa</t>
  </si>
  <si>
    <t>Cavalgada Naya</t>
  </si>
  <si>
    <t>CoCo Slivers</t>
  </si>
  <si>
    <t>Predatory Sliver</t>
  </si>
  <si>
    <t>Sinew Sliver</t>
  </si>
  <si>
    <t>Diffusion Sliver</t>
  </si>
  <si>
    <t>Gemhide Sliver</t>
  </si>
  <si>
    <t>Manaweft Sliver</t>
  </si>
  <si>
    <t>Dregscape Sliver</t>
  </si>
  <si>
    <t>Leeching Sliver</t>
  </si>
  <si>
    <t>Cloudshredder Sliver</t>
  </si>
  <si>
    <t>Striking Sliver</t>
  </si>
  <si>
    <t>Harmonic Sliver</t>
  </si>
  <si>
    <t>Syphon Sliver</t>
  </si>
  <si>
    <t>Frenetic Sliver</t>
  </si>
  <si>
    <t>Surge of Salvation</t>
  </si>
  <si>
    <t>Necrotic Sliver</t>
  </si>
  <si>
    <t>Opaline Sliver</t>
  </si>
  <si>
    <t>Sedge Sliver</t>
  </si>
  <si>
    <t>Ninhada</t>
  </si>
  <si>
    <t>Iteração Expressiva</t>
  </si>
  <si>
    <t>Unsettled Mariner</t>
  </si>
  <si>
    <t>Sliver Hive</t>
  </si>
  <si>
    <t>Pitiless Plunderer</t>
  </si>
  <si>
    <t>Thraben Inspector</t>
  </si>
  <si>
    <t>5c CoCoCo - Modern</t>
  </si>
  <si>
    <t>SquirrelFood - Modern</t>
  </si>
  <si>
    <t>Verdante Catacombs</t>
  </si>
  <si>
    <t>Candy Trail</t>
  </si>
  <si>
    <t>Night of the Sweets' Revenge</t>
  </si>
  <si>
    <t>Tough Cookie</t>
  </si>
  <si>
    <t>Food</t>
  </si>
  <si>
    <t>The Witch's vanity</t>
  </si>
  <si>
    <t>Wicked Wolf</t>
  </si>
  <si>
    <t>Hollow Scavenger // Backery Raid</t>
  </si>
  <si>
    <t>Raffine, Scheming Seer</t>
  </si>
  <si>
    <t>Sheoldred, the Apocalypse</t>
  </si>
  <si>
    <t>Ledger Shredder</t>
  </si>
  <si>
    <t>Lingering Souls</t>
  </si>
  <si>
    <t>Dauthi Voidwalker</t>
  </si>
  <si>
    <t>Esper Sentinel</t>
  </si>
  <si>
    <t>Giver of Runes</t>
  </si>
  <si>
    <t>Skrelv's Hive</t>
  </si>
  <si>
    <t>Bitterblossom</t>
  </si>
  <si>
    <t>Token</t>
  </si>
  <si>
    <t>Beater</t>
  </si>
  <si>
    <t>Bloodghast</t>
  </si>
  <si>
    <t>Flooded Strand</t>
  </si>
  <si>
    <t>Polluted Delta</t>
  </si>
  <si>
    <t>Watery Grave</t>
  </si>
  <si>
    <t>Hallowed Fountain</t>
  </si>
  <si>
    <t>Orcish Bowmasteres</t>
  </si>
  <si>
    <t>Sanctifier en-Vec</t>
  </si>
  <si>
    <t>Lavinia, Renegada Azorius</t>
  </si>
  <si>
    <t>Wall of Roots</t>
  </si>
  <si>
    <t>Hardened Scales - Explorer</t>
  </si>
  <si>
    <t>Steel Overseer</t>
  </si>
  <si>
    <t>Patchwork Automation</t>
  </si>
  <si>
    <t>Stonecoil Serpent</t>
  </si>
  <si>
    <t>Iron Apprentice</t>
  </si>
  <si>
    <t>Animation Module</t>
  </si>
  <si>
    <t>Unlicensed Hearse</t>
  </si>
  <si>
    <t>Lion Sash</t>
  </si>
  <si>
    <t>Hopeful Initiate</t>
  </si>
  <si>
    <t>Undying Malice</t>
  </si>
  <si>
    <t>Unexpected Fangs</t>
  </si>
  <si>
    <t>Feral Encounter</t>
  </si>
  <si>
    <t>Elvish Archivist</t>
  </si>
  <si>
    <t>Tarrian's Soulcleaver</t>
  </si>
  <si>
    <t>Voltaic Servant</t>
  </si>
  <si>
    <t>Chief of the Foundry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</si>
</sst>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;[Red]&quot;R$ &quot;#,##0.00"/>
    <numFmt numFmtId="165" formatCode="&quot;R$&quot;#,##0.00"/>
    <numFmt numFmtId="166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165" fontId="0" fillId="0" borderId="0" xfId="0" applyNumberFormat="1"/>
    <xf numFmtId="165" fontId="0" fillId="2" borderId="0" xfId="0" applyNumberFormat="1" applyFill="1"/>
    <xf numFmtId="166" fontId="0" fillId="0" borderId="0" xfId="0" applyNumberFormat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C9C2-80EC-490F-B169-A635168C3A31}">
  <dimension ref="A1:AA230"/>
  <sheetViews>
    <sheetView workbookViewId="0">
      <selection activeCell="E13" sqref="E13"/>
    </sheetView>
  </sheetViews>
  <sheetFormatPr defaultRowHeight="15" x14ac:dyDescent="0.25"/>
  <cols>
    <col min="2" max="2" width="16" bestFit="1" customWidth="1"/>
    <col min="4" max="4" width="3.7109375" style="9" customWidth="1"/>
    <col min="5" max="5" width="27.28515625" bestFit="1" customWidth="1"/>
    <col min="6" max="6" width="8.85546875" style="12"/>
    <col min="7" max="7" width="9.28515625" style="12" customWidth="1"/>
    <col min="8" max="8" width="8.85546875" style="12"/>
    <col min="9" max="9" width="3.7109375" style="9" customWidth="1"/>
    <col min="10" max="10" width="22" bestFit="1" customWidth="1"/>
    <col min="14" max="14" width="3.7109375" style="9" customWidth="1"/>
    <col min="19" max="19" width="3.7109375" style="9" customWidth="1"/>
  </cols>
  <sheetData>
    <row r="1" spans="1:27" x14ac:dyDescent="0.25">
      <c r="A1" t="s">
        <v>21</v>
      </c>
      <c r="B1" s="10">
        <f>C2+C7+C12+C17+C22+C27+C32+C37+C42+C55</f>
        <v>0</v>
      </c>
      <c r="C1" s="10"/>
      <c r="E1" t="str">
        <f>A2</f>
        <v>Marcelo</v>
      </c>
      <c r="F1" s="12" t="str">
        <f>B3</f>
        <v>MTG Cards Games</v>
      </c>
      <c r="G1" s="12" t="str">
        <f>B4</f>
        <v>Legacy</v>
      </c>
      <c r="H1" s="12" t="str">
        <f>B5</f>
        <v>Mana Vai</v>
      </c>
      <c r="J1" t="str">
        <f>A7</f>
        <v>Interessantes</v>
      </c>
      <c r="K1" t="str">
        <f>B8</f>
        <v>Liga</v>
      </c>
      <c r="L1" t="str">
        <f>B9</f>
        <v>Legacy</v>
      </c>
      <c r="M1" t="str">
        <f>B10</f>
        <v>Overrun</v>
      </c>
      <c r="O1" t="str">
        <f>A12</f>
        <v>Jonathan</v>
      </c>
      <c r="P1" t="str">
        <f>B13</f>
        <v>Liga</v>
      </c>
      <c r="Q1" t="str">
        <f>B14</f>
        <v>Legacy</v>
      </c>
      <c r="R1" t="str">
        <f>B15</f>
        <v>Overrun</v>
      </c>
      <c r="T1" t="str">
        <f>A17</f>
        <v>Hamster</v>
      </c>
      <c r="U1" t="str">
        <f>B18</f>
        <v>Liga</v>
      </c>
      <c r="V1" t="str">
        <f>B19</f>
        <v>Legacy</v>
      </c>
      <c r="W1" t="str">
        <f>B20</f>
        <v>Overrun</v>
      </c>
    </row>
    <row r="2" spans="1:27" x14ac:dyDescent="0.25">
      <c r="A2" t="s">
        <v>22</v>
      </c>
      <c r="B2" t="s">
        <v>26</v>
      </c>
      <c r="C2" s="10">
        <f>SUM(C3:C5)</f>
        <v>0</v>
      </c>
      <c r="I2" s="11"/>
      <c r="K2" s="10"/>
      <c r="L2" s="10"/>
      <c r="M2" s="10"/>
      <c r="N2" s="11"/>
      <c r="P2" s="10"/>
      <c r="Q2" s="10"/>
      <c r="R2" s="10"/>
      <c r="U2" s="10"/>
      <c r="V2" s="10"/>
      <c r="W2" s="10"/>
      <c r="Z2" s="10"/>
      <c r="AA2" s="10"/>
    </row>
    <row r="3" spans="1:27" x14ac:dyDescent="0.25">
      <c r="A3">
        <f>COUNTA(E2:E175)</f>
        <v>0</v>
      </c>
      <c r="B3" t="s">
        <v>32</v>
      </c>
      <c r="C3" s="10">
        <f>SUM(F:F)</f>
        <v>0</v>
      </c>
      <c r="I3" s="11"/>
      <c r="K3" s="10"/>
      <c r="L3" s="10"/>
      <c r="M3" s="10"/>
      <c r="N3" s="11"/>
      <c r="P3" s="10"/>
      <c r="Q3" s="10"/>
      <c r="R3" s="10"/>
      <c r="U3" s="10"/>
      <c r="V3" s="10"/>
      <c r="W3" s="10"/>
      <c r="Z3" s="10"/>
      <c r="AA3" s="10"/>
    </row>
    <row r="4" spans="1:27" x14ac:dyDescent="0.25">
      <c r="B4" t="s">
        <v>23</v>
      </c>
      <c r="C4" s="10">
        <f>SUM(G:G)</f>
        <v>0</v>
      </c>
      <c r="I4" s="11"/>
      <c r="K4" s="10"/>
      <c r="L4" s="10"/>
      <c r="M4" s="10"/>
      <c r="N4" s="11"/>
      <c r="P4" s="10"/>
      <c r="Q4" s="10"/>
      <c r="R4" s="10"/>
      <c r="U4" s="10"/>
      <c r="V4" s="10"/>
      <c r="W4" s="10"/>
      <c r="Z4" s="10"/>
      <c r="AA4" s="10"/>
    </row>
    <row r="5" spans="1:27" x14ac:dyDescent="0.25">
      <c r="B5" t="s">
        <v>33</v>
      </c>
      <c r="C5" s="10">
        <f>SUM(H:H)</f>
        <v>0</v>
      </c>
      <c r="I5" s="11"/>
      <c r="K5" s="10"/>
      <c r="L5" s="10"/>
      <c r="M5" s="10"/>
      <c r="N5" s="11"/>
      <c r="P5" s="10"/>
      <c r="Q5" s="10"/>
      <c r="R5" s="10"/>
      <c r="U5" s="10"/>
      <c r="V5" s="10"/>
      <c r="W5" s="10"/>
      <c r="Z5" s="10"/>
      <c r="AA5" s="10"/>
    </row>
    <row r="6" spans="1:27" x14ac:dyDescent="0.25">
      <c r="I6" s="11"/>
      <c r="K6" s="10"/>
      <c r="L6" s="10"/>
      <c r="M6" s="10"/>
      <c r="N6" s="11"/>
      <c r="P6" s="10"/>
      <c r="Q6" s="10"/>
      <c r="R6" s="10"/>
      <c r="U6" s="10"/>
      <c r="V6" s="10"/>
      <c r="W6" s="10"/>
      <c r="Z6" s="10"/>
      <c r="AA6" s="10"/>
    </row>
    <row r="7" spans="1:27" x14ac:dyDescent="0.25">
      <c r="A7" t="s">
        <v>74</v>
      </c>
      <c r="B7" t="s">
        <v>26</v>
      </c>
      <c r="C7" s="10">
        <f>SUM(C9:C10)</f>
        <v>0</v>
      </c>
      <c r="I7" s="11"/>
      <c r="K7" s="10"/>
      <c r="L7" s="10"/>
      <c r="M7" s="10"/>
      <c r="N7" s="11"/>
      <c r="P7" s="10"/>
      <c r="Q7" s="10"/>
      <c r="R7" s="10"/>
      <c r="U7" s="10"/>
      <c r="V7" s="10"/>
      <c r="W7" s="10"/>
      <c r="Z7" s="10"/>
      <c r="AA7" s="10"/>
    </row>
    <row r="8" spans="1:27" x14ac:dyDescent="0.25">
      <c r="A8">
        <f>COUNTA(J2:J193)</f>
        <v>0</v>
      </c>
      <c r="B8" t="s">
        <v>31</v>
      </c>
      <c r="C8" s="10">
        <f>SUM(K:K)</f>
        <v>0</v>
      </c>
      <c r="I8" s="11"/>
      <c r="K8" s="10"/>
      <c r="L8" s="10"/>
      <c r="M8" s="10"/>
      <c r="N8" s="11"/>
      <c r="P8" s="10"/>
      <c r="Q8" s="10"/>
      <c r="R8" s="10"/>
      <c r="U8" s="10"/>
      <c r="V8" s="10"/>
      <c r="W8" s="10"/>
      <c r="Z8" s="10"/>
      <c r="AA8" s="10"/>
    </row>
    <row r="9" spans="1:27" x14ac:dyDescent="0.25">
      <c r="B9" t="s">
        <v>23</v>
      </c>
      <c r="C9" s="10">
        <f>SUM(L:L)</f>
        <v>0</v>
      </c>
      <c r="I9" s="11"/>
      <c r="K9" s="10"/>
      <c r="L9" s="10"/>
      <c r="M9" s="10"/>
      <c r="N9" s="11"/>
      <c r="O9" s="10"/>
      <c r="P9" s="10"/>
      <c r="Q9" s="10"/>
      <c r="R9" s="10"/>
      <c r="U9" s="10"/>
      <c r="V9" s="10"/>
      <c r="W9" s="10"/>
      <c r="Z9" s="10"/>
      <c r="AA9" s="10"/>
    </row>
    <row r="10" spans="1:27" x14ac:dyDescent="0.25">
      <c r="B10" t="s">
        <v>24</v>
      </c>
      <c r="C10" s="10">
        <f>SUM(M:M)</f>
        <v>0</v>
      </c>
      <c r="I10" s="11"/>
      <c r="K10" s="10"/>
      <c r="L10" s="10"/>
      <c r="M10" s="10"/>
      <c r="N10" s="11"/>
      <c r="O10" s="10"/>
      <c r="P10" s="10"/>
      <c r="Q10" s="10"/>
      <c r="R10" s="10"/>
      <c r="U10" s="10"/>
      <c r="V10" s="10"/>
      <c r="W10" s="10"/>
      <c r="Z10" s="10"/>
      <c r="AA10" s="10"/>
    </row>
    <row r="11" spans="1:27" x14ac:dyDescent="0.25">
      <c r="I11" s="11"/>
      <c r="K11" s="10"/>
      <c r="L11" s="10"/>
      <c r="M11" s="10"/>
      <c r="N11" s="11"/>
      <c r="P11" s="10"/>
      <c r="Q11" s="10"/>
      <c r="R11" s="10"/>
      <c r="U11" s="10"/>
      <c r="V11" s="10"/>
      <c r="W11" s="10"/>
      <c r="Z11" s="10"/>
      <c r="AA11" s="10"/>
    </row>
    <row r="12" spans="1:27" x14ac:dyDescent="0.25">
      <c r="A12" t="s">
        <v>25</v>
      </c>
      <c r="B12" t="s">
        <v>26</v>
      </c>
      <c r="C12" s="10">
        <f>SUM(C14:C15)</f>
        <v>0</v>
      </c>
      <c r="I12" s="11"/>
      <c r="K12" s="10"/>
      <c r="L12" s="10"/>
      <c r="M12" s="10"/>
      <c r="N12" s="11"/>
      <c r="O12" s="10"/>
      <c r="P12" s="10"/>
      <c r="Q12" s="10"/>
      <c r="R12" s="10"/>
      <c r="U12" s="10"/>
      <c r="V12" s="10"/>
      <c r="W12" s="10"/>
      <c r="Z12" s="10"/>
      <c r="AA12" s="10"/>
    </row>
    <row r="13" spans="1:27" x14ac:dyDescent="0.25">
      <c r="A13">
        <f>COUNTA(O2:O193)</f>
        <v>0</v>
      </c>
      <c r="B13" t="s">
        <v>31</v>
      </c>
      <c r="C13" s="10">
        <f>SUM(P2:P993)</f>
        <v>0</v>
      </c>
      <c r="I13" s="11"/>
      <c r="K13" s="10"/>
      <c r="L13" s="10"/>
      <c r="M13" s="10"/>
      <c r="N13" s="11"/>
      <c r="P13" s="10"/>
      <c r="Q13" s="10"/>
      <c r="R13" s="10"/>
      <c r="U13" s="10"/>
      <c r="V13" s="10"/>
      <c r="W13" s="10"/>
      <c r="Z13" s="10"/>
      <c r="AA13" s="10"/>
    </row>
    <row r="14" spans="1:27" x14ac:dyDescent="0.25">
      <c r="B14" t="s">
        <v>23</v>
      </c>
      <c r="C14" s="10">
        <f>SUM(Q2:Q9993)</f>
        <v>0</v>
      </c>
      <c r="I14" s="11"/>
      <c r="K14" s="10"/>
      <c r="L14" s="10"/>
      <c r="M14" s="10"/>
      <c r="N14" s="11"/>
      <c r="O14" s="10"/>
      <c r="P14" s="10"/>
      <c r="Q14" s="10"/>
      <c r="R14" s="10"/>
      <c r="U14" s="10"/>
      <c r="V14" s="10"/>
      <c r="W14" s="10"/>
      <c r="Z14" s="10"/>
      <c r="AA14" s="10"/>
    </row>
    <row r="15" spans="1:27" x14ac:dyDescent="0.25">
      <c r="B15" t="s">
        <v>24</v>
      </c>
      <c r="C15" s="10">
        <f>SUM(R2:R9993)</f>
        <v>0</v>
      </c>
      <c r="I15" s="11"/>
      <c r="K15" s="10"/>
      <c r="L15" s="10"/>
      <c r="M15" s="10"/>
      <c r="N15" s="11"/>
      <c r="P15" s="10"/>
      <c r="Q15" s="10"/>
      <c r="R15" s="10"/>
      <c r="U15" s="10"/>
      <c r="V15" s="10"/>
      <c r="W15" s="10"/>
      <c r="Z15" s="10"/>
      <c r="AA15" s="10"/>
    </row>
    <row r="16" spans="1:27" x14ac:dyDescent="0.25">
      <c r="I16" s="11"/>
      <c r="K16" s="10"/>
      <c r="L16" s="10"/>
      <c r="M16" s="10"/>
      <c r="N16" s="11"/>
      <c r="O16" s="10"/>
      <c r="P16" s="10"/>
      <c r="Q16" s="10"/>
      <c r="R16" s="10"/>
      <c r="U16" s="10"/>
      <c r="V16" s="10"/>
      <c r="W16" s="10"/>
      <c r="Z16" s="10"/>
      <c r="AA16" s="10"/>
    </row>
    <row r="17" spans="1:27" x14ac:dyDescent="0.25">
      <c r="A17" t="s">
        <v>30</v>
      </c>
      <c r="B17" t="s">
        <v>26</v>
      </c>
      <c r="C17" s="10">
        <f>SUM(C19:C20)</f>
        <v>0</v>
      </c>
      <c r="I17" s="11"/>
      <c r="K17" s="10"/>
      <c r="L17" s="10"/>
      <c r="M17" s="10"/>
      <c r="N17" s="11"/>
      <c r="P17" s="10"/>
      <c r="Q17" s="10"/>
      <c r="R17" s="10"/>
      <c r="U17" s="10"/>
      <c r="V17" s="10"/>
      <c r="W17" s="10"/>
      <c r="Z17" s="10"/>
      <c r="AA17" s="10"/>
    </row>
    <row r="18" spans="1:27" x14ac:dyDescent="0.25">
      <c r="A18">
        <f>COUNTA(T2:T193)</f>
        <v>0</v>
      </c>
      <c r="B18" t="s">
        <v>31</v>
      </c>
      <c r="C18" s="10">
        <f>SUM(U1:U9993)</f>
        <v>0</v>
      </c>
      <c r="I18" s="11"/>
      <c r="K18" s="10"/>
      <c r="L18" s="10"/>
      <c r="M18" s="10"/>
      <c r="N18" s="11"/>
      <c r="P18" s="10"/>
      <c r="Q18" s="10"/>
      <c r="R18" s="10"/>
      <c r="U18" s="10"/>
      <c r="V18" s="10"/>
      <c r="W18" s="10"/>
      <c r="Z18" s="10"/>
      <c r="AA18" s="10"/>
    </row>
    <row r="19" spans="1:27" x14ac:dyDescent="0.25">
      <c r="B19" t="s">
        <v>23</v>
      </c>
      <c r="C19" s="10">
        <f>SUM(V1:V9998)</f>
        <v>0</v>
      </c>
      <c r="I19" s="11"/>
      <c r="K19" s="10"/>
      <c r="L19" s="10"/>
      <c r="M19" s="10"/>
      <c r="N19" s="11"/>
      <c r="P19" s="10"/>
      <c r="Q19" s="10"/>
      <c r="R19" s="10"/>
      <c r="U19" s="10"/>
      <c r="V19" s="10"/>
      <c r="W19" s="10"/>
      <c r="Z19" s="10"/>
      <c r="AA19" s="10"/>
    </row>
    <row r="20" spans="1:27" x14ac:dyDescent="0.25">
      <c r="B20" t="s">
        <v>24</v>
      </c>
      <c r="C20" s="10">
        <f>SUM(W1:W9993)</f>
        <v>0</v>
      </c>
      <c r="I20" s="11"/>
      <c r="K20" s="10"/>
      <c r="L20" s="10"/>
      <c r="M20" s="10"/>
      <c r="N20" s="11"/>
      <c r="P20" s="10"/>
      <c r="Q20" s="10"/>
      <c r="R20" s="10"/>
      <c r="U20" s="10"/>
      <c r="V20" s="10"/>
      <c r="W20" s="10"/>
      <c r="Z20" s="10"/>
      <c r="AA20" s="10"/>
    </row>
    <row r="21" spans="1:27" x14ac:dyDescent="0.25">
      <c r="I21" s="11"/>
      <c r="K21" s="10"/>
      <c r="L21" s="10"/>
      <c r="M21" s="10"/>
      <c r="N21" s="11"/>
      <c r="P21" s="10"/>
      <c r="Q21" s="10"/>
      <c r="R21" s="10"/>
      <c r="U21" s="10"/>
      <c r="V21" s="10"/>
      <c r="W21" s="10"/>
      <c r="Z21" s="10"/>
      <c r="AA21" s="10"/>
    </row>
    <row r="22" spans="1:27" x14ac:dyDescent="0.25">
      <c r="C22" s="10"/>
      <c r="I22" s="11"/>
      <c r="K22" s="10"/>
      <c r="L22" s="10"/>
      <c r="M22" s="10"/>
      <c r="N22" s="11"/>
      <c r="P22" s="10"/>
      <c r="Q22" s="10"/>
      <c r="R22" s="10"/>
      <c r="U22" s="10"/>
      <c r="V22" s="10"/>
      <c r="W22" s="10"/>
      <c r="Z22" s="10"/>
      <c r="AA22" s="10"/>
    </row>
    <row r="23" spans="1:27" x14ac:dyDescent="0.25">
      <c r="C23" s="10"/>
      <c r="I23" s="11"/>
      <c r="K23" s="10"/>
      <c r="L23" s="10"/>
      <c r="M23" s="10"/>
      <c r="N23" s="11"/>
      <c r="P23" s="10"/>
      <c r="Q23" s="10"/>
      <c r="R23" s="10"/>
      <c r="U23" s="10"/>
      <c r="V23" s="10"/>
      <c r="W23" s="10"/>
      <c r="Z23" s="10"/>
      <c r="AA23" s="10"/>
    </row>
    <row r="24" spans="1:27" x14ac:dyDescent="0.25">
      <c r="C24" s="10"/>
      <c r="I24" s="11"/>
      <c r="K24" s="10"/>
      <c r="L24" s="10"/>
      <c r="M24" s="10"/>
      <c r="N24" s="11"/>
      <c r="P24" s="10"/>
      <c r="Q24" s="10"/>
      <c r="R24" s="10"/>
      <c r="U24" s="10"/>
      <c r="V24" s="10"/>
      <c r="W24" s="10"/>
      <c r="Z24" s="10"/>
      <c r="AA24" s="10"/>
    </row>
    <row r="25" spans="1:27" x14ac:dyDescent="0.25">
      <c r="C25" s="10"/>
      <c r="I25" s="11"/>
      <c r="K25" s="10"/>
      <c r="L25" s="10"/>
      <c r="M25" s="10"/>
      <c r="N25" s="11"/>
      <c r="P25" s="10"/>
      <c r="Q25" s="10"/>
      <c r="R25" s="10"/>
      <c r="U25" s="10"/>
      <c r="V25" s="10"/>
      <c r="W25" s="10"/>
      <c r="Z25" s="10"/>
      <c r="AA25" s="10"/>
    </row>
    <row r="26" spans="1:27" x14ac:dyDescent="0.25">
      <c r="I26" s="11"/>
      <c r="K26" s="10"/>
      <c r="L26" s="10"/>
      <c r="M26" s="10"/>
      <c r="N26" s="11"/>
      <c r="P26" s="10"/>
      <c r="Q26" s="10"/>
      <c r="R26" s="10"/>
      <c r="U26" s="10"/>
      <c r="V26" s="10"/>
      <c r="W26" s="10"/>
      <c r="Z26" s="10"/>
      <c r="AA26" s="10"/>
    </row>
    <row r="27" spans="1:27" x14ac:dyDescent="0.25">
      <c r="C27" s="10"/>
      <c r="I27" s="11"/>
      <c r="K27" s="10"/>
      <c r="L27" s="10"/>
      <c r="M27" s="10"/>
      <c r="N27" s="11"/>
      <c r="P27" s="10"/>
      <c r="Q27" s="10"/>
      <c r="R27" s="10"/>
      <c r="U27" s="10"/>
      <c r="V27" s="10"/>
      <c r="W27" s="10"/>
      <c r="Z27" s="10"/>
      <c r="AA27" s="10"/>
    </row>
    <row r="28" spans="1:27" x14ac:dyDescent="0.25">
      <c r="C28" s="10"/>
      <c r="I28" s="11"/>
      <c r="K28" s="10"/>
      <c r="L28" s="10"/>
      <c r="M28" s="10"/>
      <c r="N28" s="11"/>
      <c r="O28" s="10"/>
      <c r="P28" s="10"/>
      <c r="Q28" s="10"/>
      <c r="R28" s="10"/>
      <c r="U28" s="10"/>
      <c r="V28" s="10"/>
      <c r="W28" s="10"/>
      <c r="Z28" s="10"/>
      <c r="AA28" s="10"/>
    </row>
    <row r="29" spans="1:27" x14ac:dyDescent="0.25">
      <c r="C29" s="10"/>
      <c r="I29" s="11"/>
      <c r="K29" s="10"/>
      <c r="L29" s="10"/>
      <c r="M29" s="10"/>
      <c r="N29" s="11"/>
      <c r="P29" s="10"/>
      <c r="Q29" s="10"/>
      <c r="R29" s="10"/>
      <c r="U29" s="10"/>
      <c r="V29" s="10"/>
      <c r="W29" s="10"/>
      <c r="Z29" s="10"/>
      <c r="AA29" s="10"/>
    </row>
    <row r="30" spans="1:27" x14ac:dyDescent="0.25">
      <c r="C30" s="10"/>
      <c r="I30" s="11"/>
      <c r="K30" s="10"/>
      <c r="L30" s="10"/>
      <c r="M30" s="10"/>
      <c r="N30" s="11"/>
      <c r="P30" s="10"/>
      <c r="Q30" s="10"/>
      <c r="R30" s="10"/>
      <c r="U30" s="10"/>
      <c r="V30" s="10"/>
      <c r="W30" s="10"/>
      <c r="Z30" s="10"/>
      <c r="AA30" s="10"/>
    </row>
    <row r="31" spans="1:27" x14ac:dyDescent="0.25">
      <c r="K31" s="10"/>
      <c r="L31" s="10"/>
      <c r="M31" s="10"/>
      <c r="P31" s="10"/>
      <c r="Q31" s="10"/>
      <c r="R31" s="10"/>
      <c r="U31" s="10"/>
      <c r="V31" s="10"/>
      <c r="W31" s="10"/>
      <c r="Z31" s="10"/>
      <c r="AA31" s="10"/>
    </row>
    <row r="32" spans="1:27" x14ac:dyDescent="0.25">
      <c r="C32" s="10"/>
      <c r="K32" s="10"/>
      <c r="L32" s="10"/>
      <c r="M32" s="10"/>
      <c r="P32" s="10"/>
      <c r="Q32" s="10"/>
      <c r="R32" s="10"/>
      <c r="U32" s="10"/>
      <c r="V32" s="10"/>
      <c r="W32" s="10"/>
      <c r="Z32" s="10"/>
      <c r="AA32" s="10"/>
    </row>
    <row r="33" spans="3:27" x14ac:dyDescent="0.25">
      <c r="C33" s="10"/>
      <c r="K33" s="10"/>
      <c r="L33" s="10"/>
      <c r="M33" s="10"/>
      <c r="P33" s="10"/>
      <c r="Q33" s="10"/>
      <c r="R33" s="10"/>
      <c r="U33" s="10"/>
      <c r="V33" s="10"/>
      <c r="W33" s="10"/>
      <c r="Z33" s="10"/>
      <c r="AA33" s="10"/>
    </row>
    <row r="34" spans="3:27" x14ac:dyDescent="0.25">
      <c r="C34" s="10"/>
      <c r="K34" s="10"/>
      <c r="L34" s="10"/>
      <c r="M34" s="10"/>
      <c r="P34" s="10"/>
      <c r="Q34" s="10"/>
      <c r="R34" s="10"/>
      <c r="U34" s="10"/>
      <c r="V34" s="10"/>
      <c r="W34" s="10"/>
      <c r="Z34" s="10"/>
      <c r="AA34" s="10"/>
    </row>
    <row r="35" spans="3:27" x14ac:dyDescent="0.25">
      <c r="C35" s="10"/>
      <c r="K35" s="10"/>
      <c r="L35" s="10"/>
      <c r="M35" s="10"/>
      <c r="P35" s="10"/>
      <c r="Q35" s="10"/>
      <c r="R35" s="10"/>
      <c r="U35" s="10"/>
      <c r="V35" s="10"/>
      <c r="W35" s="10"/>
      <c r="Z35" s="10"/>
      <c r="AA35" s="10"/>
    </row>
    <row r="36" spans="3:27" x14ac:dyDescent="0.25">
      <c r="C36" s="10"/>
      <c r="K36" s="10"/>
      <c r="L36" s="10"/>
      <c r="M36" s="10"/>
      <c r="P36" s="10"/>
      <c r="Q36" s="10"/>
      <c r="R36" s="10"/>
      <c r="U36" s="10"/>
      <c r="V36" s="10"/>
      <c r="W36" s="10"/>
      <c r="Z36" s="10"/>
      <c r="AA36" s="10"/>
    </row>
    <row r="37" spans="3:27" x14ac:dyDescent="0.25">
      <c r="C37" s="10"/>
      <c r="K37" s="10"/>
      <c r="L37" s="10"/>
      <c r="M37" s="10"/>
      <c r="P37" s="10"/>
      <c r="Q37" s="10"/>
      <c r="R37" s="10"/>
      <c r="U37" s="10"/>
      <c r="V37" s="10"/>
      <c r="W37" s="10"/>
      <c r="Z37" s="10"/>
      <c r="AA37" s="10"/>
    </row>
    <row r="38" spans="3:27" x14ac:dyDescent="0.25">
      <c r="C38" s="10"/>
      <c r="K38" s="10"/>
      <c r="L38" s="10"/>
      <c r="M38" s="10"/>
      <c r="P38" s="10"/>
      <c r="Q38" s="10"/>
      <c r="R38" s="10"/>
      <c r="U38" s="10"/>
      <c r="V38" s="10"/>
      <c r="W38" s="10"/>
      <c r="Z38" s="10"/>
      <c r="AA38" s="10"/>
    </row>
    <row r="39" spans="3:27" x14ac:dyDescent="0.25">
      <c r="C39" s="10"/>
      <c r="K39" s="10"/>
      <c r="L39" s="10"/>
      <c r="M39" s="10"/>
      <c r="P39" s="10"/>
      <c r="Q39" s="10"/>
      <c r="R39" s="10"/>
      <c r="U39" s="10"/>
      <c r="V39" s="10"/>
      <c r="W39" s="10"/>
      <c r="Z39" s="10"/>
      <c r="AA39" s="10"/>
    </row>
    <row r="40" spans="3:27" x14ac:dyDescent="0.25">
      <c r="C40" s="10"/>
      <c r="K40" s="10"/>
      <c r="L40" s="10"/>
      <c r="M40" s="10"/>
      <c r="P40" s="10"/>
      <c r="Q40" s="10"/>
      <c r="R40" s="10"/>
      <c r="U40" s="10"/>
      <c r="V40" s="10"/>
      <c r="W40" s="10"/>
      <c r="Z40" s="10"/>
      <c r="AA40" s="10"/>
    </row>
    <row r="41" spans="3:27" x14ac:dyDescent="0.25">
      <c r="C41" s="10"/>
      <c r="K41" s="10"/>
      <c r="L41" s="10"/>
      <c r="M41" s="10"/>
      <c r="P41" s="10"/>
      <c r="Q41" s="10"/>
      <c r="R41" s="10"/>
      <c r="U41" s="10"/>
      <c r="V41" s="10"/>
      <c r="W41" s="10"/>
      <c r="Z41" s="10"/>
      <c r="AA41" s="10"/>
    </row>
    <row r="42" spans="3:27" x14ac:dyDescent="0.25">
      <c r="C42" s="10"/>
      <c r="K42" s="10"/>
      <c r="L42" s="10"/>
      <c r="M42" s="10"/>
      <c r="P42" s="10"/>
      <c r="Q42" s="10"/>
      <c r="R42" s="10"/>
      <c r="U42" s="10"/>
      <c r="V42" s="10"/>
      <c r="W42" s="10"/>
      <c r="Z42" s="10"/>
      <c r="AA42" s="10"/>
    </row>
    <row r="43" spans="3:27" x14ac:dyDescent="0.25">
      <c r="C43" s="10"/>
      <c r="K43" s="10"/>
      <c r="L43" s="10"/>
      <c r="M43" s="10"/>
      <c r="P43" s="10"/>
      <c r="Q43" s="10"/>
      <c r="R43" s="10"/>
      <c r="U43" s="10"/>
      <c r="V43" s="10"/>
      <c r="W43" s="10"/>
      <c r="Z43" s="10"/>
      <c r="AA43" s="10"/>
    </row>
    <row r="44" spans="3:27" x14ac:dyDescent="0.25">
      <c r="C44" s="10"/>
      <c r="K44" s="10"/>
      <c r="L44" s="10"/>
      <c r="M44" s="10"/>
      <c r="P44" s="10"/>
      <c r="Q44" s="10"/>
      <c r="R44" s="10"/>
      <c r="U44" s="10"/>
      <c r="V44" s="10"/>
      <c r="W44" s="10"/>
      <c r="Z44" s="10"/>
      <c r="AA44" s="10"/>
    </row>
    <row r="45" spans="3:27" x14ac:dyDescent="0.25">
      <c r="C45" s="10"/>
      <c r="K45" s="10"/>
      <c r="L45" s="10"/>
      <c r="M45" s="10"/>
      <c r="P45" s="10"/>
      <c r="Q45" s="10"/>
      <c r="R45" s="10"/>
      <c r="U45" s="10"/>
      <c r="V45" s="10"/>
      <c r="W45" s="10"/>
      <c r="Z45" s="10"/>
      <c r="AA45" s="10"/>
    </row>
    <row r="46" spans="3:27" x14ac:dyDescent="0.25">
      <c r="C46" s="10"/>
      <c r="K46" s="10"/>
      <c r="L46" s="10"/>
      <c r="M46" s="10"/>
      <c r="P46" s="10"/>
      <c r="Q46" s="10"/>
      <c r="R46" s="10"/>
      <c r="U46" s="10"/>
      <c r="V46" s="10"/>
      <c r="W46" s="10"/>
      <c r="Z46" s="10"/>
      <c r="AA46" s="10"/>
    </row>
    <row r="47" spans="3:27" x14ac:dyDescent="0.25">
      <c r="C47" s="10"/>
      <c r="K47" s="10"/>
      <c r="L47" s="10"/>
      <c r="M47" s="10"/>
      <c r="P47" s="10"/>
      <c r="Q47" s="10"/>
      <c r="R47" s="10"/>
      <c r="U47" s="10"/>
      <c r="V47" s="10"/>
      <c r="W47" s="10"/>
      <c r="Z47" s="10"/>
      <c r="AA47" s="10"/>
    </row>
    <row r="48" spans="3:27" x14ac:dyDescent="0.25">
      <c r="C48" s="10"/>
      <c r="K48" s="10"/>
      <c r="L48" s="10"/>
      <c r="M48" s="10"/>
      <c r="P48" s="10"/>
      <c r="Q48" s="10"/>
      <c r="R48" s="10"/>
      <c r="U48" s="10"/>
      <c r="V48" s="10"/>
      <c r="W48" s="10"/>
      <c r="Z48" s="10"/>
      <c r="AA48" s="10"/>
    </row>
    <row r="49" spans="3:27" x14ac:dyDescent="0.25">
      <c r="C49" s="10"/>
      <c r="K49" s="10"/>
      <c r="L49" s="10"/>
      <c r="M49" s="10"/>
      <c r="P49" s="10"/>
      <c r="Q49" s="10"/>
      <c r="R49" s="10"/>
      <c r="U49" s="10"/>
      <c r="V49" s="10"/>
      <c r="W49" s="10"/>
      <c r="Z49" s="10"/>
      <c r="AA49" s="10"/>
    </row>
    <row r="50" spans="3:27" x14ac:dyDescent="0.25">
      <c r="C50" s="10"/>
      <c r="K50" s="10"/>
      <c r="L50" s="10"/>
      <c r="M50" s="10"/>
      <c r="P50" s="10"/>
      <c r="Q50" s="10"/>
      <c r="R50" s="10"/>
      <c r="U50" s="10"/>
      <c r="V50" s="10"/>
      <c r="W50" s="10"/>
      <c r="Z50" s="10"/>
      <c r="AA50" s="10"/>
    </row>
    <row r="51" spans="3:27" x14ac:dyDescent="0.25">
      <c r="C51" s="10"/>
      <c r="K51" s="10"/>
      <c r="L51" s="10"/>
      <c r="M51" s="10"/>
      <c r="P51" s="10"/>
      <c r="Q51" s="10"/>
      <c r="R51" s="10"/>
      <c r="U51" s="10"/>
      <c r="V51" s="10"/>
      <c r="W51" s="10"/>
      <c r="Z51" s="10"/>
      <c r="AA51" s="10"/>
    </row>
    <row r="52" spans="3:27" x14ac:dyDescent="0.25">
      <c r="C52" s="10"/>
      <c r="K52" s="10"/>
      <c r="L52" s="10"/>
      <c r="M52" s="10"/>
      <c r="P52" s="10"/>
      <c r="Q52" s="10"/>
      <c r="R52" s="10"/>
      <c r="U52" s="10"/>
      <c r="V52" s="10"/>
      <c r="W52" s="10"/>
      <c r="Z52" s="10"/>
      <c r="AA52" s="10"/>
    </row>
    <row r="53" spans="3:27" x14ac:dyDescent="0.25">
      <c r="C53" s="10"/>
      <c r="K53" s="10"/>
      <c r="L53" s="10"/>
      <c r="M53" s="10"/>
      <c r="P53" s="10"/>
      <c r="Q53" s="10"/>
      <c r="R53" s="10"/>
      <c r="U53" s="10"/>
      <c r="V53" s="10"/>
      <c r="W53" s="10"/>
      <c r="Z53" s="10"/>
      <c r="AA53" s="10"/>
    </row>
    <row r="54" spans="3:27" x14ac:dyDescent="0.25">
      <c r="C54" s="10"/>
      <c r="K54" s="10"/>
      <c r="L54" s="10"/>
      <c r="M54" s="10"/>
      <c r="P54" s="10"/>
      <c r="Q54" s="10"/>
      <c r="R54" s="10"/>
      <c r="U54" s="10"/>
      <c r="V54" s="10"/>
      <c r="W54" s="10"/>
      <c r="Z54" s="10"/>
      <c r="AA54" s="10"/>
    </row>
    <row r="55" spans="3:27" x14ac:dyDescent="0.25">
      <c r="C55" s="10"/>
      <c r="K55" s="10"/>
      <c r="L55" s="10"/>
      <c r="M55" s="10"/>
      <c r="P55" s="10"/>
      <c r="Q55" s="10"/>
      <c r="R55" s="10"/>
      <c r="U55" s="10"/>
      <c r="V55" s="10"/>
      <c r="W55" s="10"/>
      <c r="Z55" s="10"/>
      <c r="AA55" s="10"/>
    </row>
    <row r="56" spans="3:27" x14ac:dyDescent="0.25">
      <c r="C56" s="10"/>
      <c r="I56" s="11"/>
      <c r="K56" s="10"/>
      <c r="L56" s="10"/>
      <c r="M56" s="10"/>
      <c r="N56" s="11"/>
      <c r="P56" s="10"/>
      <c r="Q56" s="10"/>
      <c r="R56" s="10"/>
      <c r="U56" s="10"/>
      <c r="V56" s="10"/>
      <c r="W56" s="10"/>
      <c r="Z56" s="10"/>
      <c r="AA56" s="10"/>
    </row>
    <row r="57" spans="3:27" x14ac:dyDescent="0.25">
      <c r="C57" s="10"/>
      <c r="I57" s="11"/>
      <c r="K57" s="10"/>
      <c r="L57" s="10"/>
      <c r="M57" s="10"/>
      <c r="N57" s="11"/>
      <c r="P57" s="10"/>
      <c r="Q57" s="10"/>
      <c r="R57" s="10"/>
      <c r="U57" s="10"/>
      <c r="V57" s="10"/>
      <c r="W57" s="10"/>
      <c r="Z57" s="10"/>
      <c r="AA57" s="10"/>
    </row>
    <row r="58" spans="3:27" x14ac:dyDescent="0.25">
      <c r="C58" s="10"/>
      <c r="I58" s="11"/>
      <c r="K58" s="10"/>
      <c r="L58" s="10"/>
      <c r="M58" s="10"/>
      <c r="N58" s="11"/>
      <c r="P58" s="10"/>
      <c r="Q58" s="10"/>
      <c r="R58" s="10"/>
      <c r="U58" s="10"/>
      <c r="V58" s="10"/>
      <c r="W58" s="10"/>
      <c r="Z58" s="10"/>
      <c r="AA58" s="10"/>
    </row>
    <row r="59" spans="3:27" x14ac:dyDescent="0.25">
      <c r="C59" s="10"/>
      <c r="I59" s="11"/>
      <c r="K59" s="10"/>
      <c r="L59" s="10"/>
      <c r="M59" s="10"/>
      <c r="N59" s="11"/>
      <c r="P59" s="10"/>
      <c r="Q59" s="10"/>
      <c r="R59" s="10"/>
      <c r="U59" s="10"/>
      <c r="V59" s="10"/>
      <c r="W59" s="10"/>
      <c r="Z59" s="10"/>
      <c r="AA59" s="10"/>
    </row>
    <row r="60" spans="3:27" x14ac:dyDescent="0.25">
      <c r="C60" s="10"/>
      <c r="I60" s="11"/>
      <c r="K60" s="10"/>
      <c r="L60" s="10"/>
      <c r="M60" s="10"/>
      <c r="N60" s="11"/>
      <c r="P60" s="10"/>
      <c r="Q60" s="10"/>
      <c r="R60" s="10"/>
      <c r="U60" s="10"/>
      <c r="V60" s="10"/>
      <c r="W60" s="10"/>
      <c r="Z60" s="10"/>
      <c r="AA60" s="10"/>
    </row>
    <row r="61" spans="3:27" x14ac:dyDescent="0.25">
      <c r="C61" s="10"/>
      <c r="I61" s="11"/>
      <c r="K61" s="10"/>
      <c r="L61" s="10"/>
      <c r="M61" s="10"/>
      <c r="N61" s="11"/>
      <c r="P61" s="10"/>
      <c r="Q61" s="10"/>
      <c r="R61" s="10"/>
      <c r="U61" s="10"/>
      <c r="V61" s="10"/>
      <c r="W61" s="10"/>
      <c r="Z61" s="10"/>
      <c r="AA61" s="10"/>
    </row>
    <row r="62" spans="3:27" x14ac:dyDescent="0.25">
      <c r="C62" s="10"/>
      <c r="I62" s="11"/>
      <c r="K62" s="10"/>
      <c r="L62" s="10"/>
      <c r="M62" s="10"/>
      <c r="N62" s="11"/>
      <c r="P62" s="10"/>
      <c r="Q62" s="10"/>
      <c r="R62" s="10"/>
      <c r="U62" s="10"/>
      <c r="V62" s="10"/>
      <c r="W62" s="10"/>
      <c r="Z62" s="10"/>
      <c r="AA62" s="10"/>
    </row>
    <row r="63" spans="3:27" x14ac:dyDescent="0.25">
      <c r="C63" s="10"/>
      <c r="I63" s="11"/>
      <c r="K63" s="10"/>
      <c r="L63" s="10"/>
      <c r="M63" s="10"/>
      <c r="N63" s="11"/>
      <c r="P63" s="10"/>
      <c r="Q63" s="10"/>
      <c r="R63" s="10"/>
      <c r="U63" s="10"/>
      <c r="V63" s="10"/>
      <c r="W63" s="10"/>
      <c r="Z63" s="10"/>
      <c r="AA63" s="10"/>
    </row>
    <row r="64" spans="3:27" x14ac:dyDescent="0.25">
      <c r="C64" s="10"/>
      <c r="I64" s="11"/>
      <c r="K64" s="10"/>
      <c r="L64" s="10"/>
      <c r="M64" s="10"/>
      <c r="N64" s="11"/>
      <c r="P64" s="10"/>
      <c r="Q64" s="10"/>
      <c r="R64" s="10"/>
      <c r="U64" s="10"/>
      <c r="V64" s="10"/>
      <c r="W64" s="10"/>
      <c r="Z64" s="10"/>
      <c r="AA64" s="10"/>
    </row>
    <row r="65" spans="3:27" x14ac:dyDescent="0.25">
      <c r="C65" s="10"/>
      <c r="I65" s="11"/>
      <c r="K65" s="10"/>
      <c r="L65" s="10"/>
      <c r="M65" s="10"/>
      <c r="N65" s="11"/>
      <c r="P65" s="10"/>
      <c r="Q65" s="10"/>
      <c r="R65" s="10"/>
      <c r="U65" s="10"/>
      <c r="V65" s="10"/>
      <c r="W65" s="10"/>
      <c r="Z65" s="10"/>
      <c r="AA65" s="10"/>
    </row>
    <row r="66" spans="3:27" x14ac:dyDescent="0.25">
      <c r="C66" s="10"/>
      <c r="I66" s="11"/>
      <c r="K66" s="10"/>
      <c r="L66" s="10"/>
      <c r="M66" s="10"/>
      <c r="N66" s="11"/>
      <c r="P66" s="10"/>
      <c r="Q66" s="10"/>
      <c r="R66" s="10"/>
      <c r="U66" s="10"/>
      <c r="V66" s="10"/>
      <c r="W66" s="10"/>
      <c r="Z66" s="10"/>
      <c r="AA66" s="10"/>
    </row>
    <row r="67" spans="3:27" x14ac:dyDescent="0.25">
      <c r="C67" s="10"/>
      <c r="I67" s="11"/>
      <c r="K67" s="10"/>
      <c r="L67" s="10"/>
      <c r="M67" s="10"/>
      <c r="N67" s="11"/>
      <c r="P67" s="10"/>
      <c r="Q67" s="10"/>
      <c r="R67" s="10"/>
      <c r="U67" s="10"/>
      <c r="V67" s="10"/>
      <c r="W67" s="10"/>
      <c r="Z67" s="10"/>
      <c r="AA67" s="10"/>
    </row>
    <row r="68" spans="3:27" x14ac:dyDescent="0.25">
      <c r="C68" s="10"/>
      <c r="I68" s="11"/>
      <c r="K68" s="10"/>
      <c r="L68" s="10"/>
      <c r="M68" s="10"/>
      <c r="N68" s="11"/>
      <c r="P68" s="10"/>
      <c r="Q68" s="10"/>
      <c r="R68" s="10"/>
      <c r="U68" s="10"/>
      <c r="V68" s="10"/>
      <c r="W68" s="10"/>
      <c r="Z68" s="10"/>
      <c r="AA68" s="10"/>
    </row>
    <row r="69" spans="3:27" x14ac:dyDescent="0.25">
      <c r="C69" s="10"/>
      <c r="I69" s="11"/>
      <c r="K69" s="10"/>
      <c r="L69" s="10"/>
      <c r="M69" s="10"/>
      <c r="N69" s="11"/>
      <c r="P69" s="10"/>
      <c r="Q69" s="10"/>
      <c r="R69" s="10"/>
      <c r="U69" s="10"/>
      <c r="V69" s="10"/>
      <c r="W69" s="10"/>
      <c r="Z69" s="10"/>
      <c r="AA69" s="10"/>
    </row>
    <row r="70" spans="3:27" x14ac:dyDescent="0.25">
      <c r="C70" s="10"/>
      <c r="I70" s="11"/>
      <c r="K70" s="10"/>
      <c r="L70" s="10"/>
      <c r="M70" s="10"/>
      <c r="N70" s="11"/>
      <c r="P70" s="10"/>
      <c r="Q70" s="10"/>
      <c r="R70" s="10"/>
      <c r="U70" s="10"/>
      <c r="V70" s="10"/>
      <c r="W70" s="10"/>
      <c r="Z70" s="10"/>
      <c r="AA70" s="10"/>
    </row>
    <row r="71" spans="3:27" x14ac:dyDescent="0.25">
      <c r="C71" s="10"/>
      <c r="I71" s="11"/>
      <c r="K71" s="10"/>
      <c r="L71" s="10"/>
      <c r="M71" s="10"/>
      <c r="N71" s="11"/>
      <c r="P71" s="10"/>
      <c r="Q71" s="10"/>
      <c r="R71" s="10"/>
      <c r="U71" s="10"/>
      <c r="V71" s="10"/>
      <c r="W71" s="10"/>
      <c r="Z71" s="10"/>
      <c r="AA71" s="10"/>
    </row>
    <row r="72" spans="3:27" x14ac:dyDescent="0.25">
      <c r="C72" s="10"/>
      <c r="I72" s="11"/>
      <c r="K72" s="10"/>
      <c r="L72" s="10"/>
      <c r="M72" s="10"/>
      <c r="N72" s="11"/>
      <c r="P72" s="10"/>
      <c r="Q72" s="10"/>
      <c r="R72" s="10"/>
      <c r="U72" s="10"/>
      <c r="V72" s="10"/>
      <c r="W72" s="10"/>
      <c r="Z72" s="10"/>
      <c r="AA72" s="10"/>
    </row>
    <row r="73" spans="3:27" x14ac:dyDescent="0.25">
      <c r="C73" s="10"/>
      <c r="I73" s="11"/>
      <c r="K73" s="10"/>
      <c r="L73" s="10"/>
      <c r="M73" s="10"/>
      <c r="N73" s="11"/>
      <c r="P73" s="10"/>
      <c r="Q73" s="10"/>
      <c r="R73" s="10"/>
      <c r="U73" s="10"/>
      <c r="V73" s="10"/>
      <c r="W73" s="10"/>
      <c r="Z73" s="10"/>
      <c r="AA73" s="10"/>
    </row>
    <row r="74" spans="3:27" x14ac:dyDescent="0.25">
      <c r="C74" s="10"/>
      <c r="I74" s="11"/>
      <c r="K74" s="10"/>
      <c r="L74" s="10"/>
      <c r="M74" s="10"/>
      <c r="N74" s="11"/>
      <c r="P74" s="10"/>
      <c r="Q74" s="10"/>
      <c r="R74" s="10"/>
      <c r="U74" s="10"/>
      <c r="V74" s="10"/>
      <c r="W74" s="10"/>
      <c r="Z74" s="10"/>
      <c r="AA74" s="10"/>
    </row>
    <row r="75" spans="3:27" x14ac:dyDescent="0.25">
      <c r="C75" s="10"/>
      <c r="I75" s="11"/>
      <c r="K75" s="10"/>
      <c r="L75" s="10"/>
      <c r="M75" s="10"/>
      <c r="N75" s="11"/>
      <c r="P75" s="10"/>
      <c r="Q75" s="10"/>
      <c r="R75" s="10"/>
      <c r="U75" s="10"/>
      <c r="V75" s="10"/>
      <c r="W75" s="10"/>
      <c r="Z75" s="10"/>
      <c r="AA75" s="10"/>
    </row>
    <row r="76" spans="3:27" x14ac:dyDescent="0.25">
      <c r="C76" s="10"/>
      <c r="I76" s="11"/>
      <c r="K76" s="10"/>
      <c r="L76" s="10"/>
      <c r="M76" s="10"/>
      <c r="N76" s="11"/>
      <c r="P76" s="10"/>
      <c r="Q76" s="10"/>
      <c r="R76" s="10"/>
      <c r="U76" s="10"/>
      <c r="V76" s="10"/>
      <c r="W76" s="10"/>
      <c r="Z76" s="10"/>
      <c r="AA76" s="10"/>
    </row>
    <row r="77" spans="3:27" x14ac:dyDescent="0.25">
      <c r="C77" s="10"/>
      <c r="I77" s="11"/>
      <c r="J77" s="10"/>
      <c r="K77" s="10"/>
      <c r="L77" s="10"/>
      <c r="M77" s="10"/>
      <c r="N77" s="11"/>
      <c r="P77" s="10"/>
      <c r="Q77" s="10"/>
      <c r="R77" s="10"/>
      <c r="U77" s="10"/>
      <c r="V77" s="10"/>
      <c r="W77" s="10"/>
      <c r="Z77" s="10"/>
      <c r="AA77" s="10"/>
    </row>
    <row r="78" spans="3:27" x14ac:dyDescent="0.25">
      <c r="C78" s="10"/>
      <c r="I78" s="11"/>
      <c r="K78" s="10"/>
      <c r="L78" s="10"/>
      <c r="M78" s="10"/>
      <c r="N78" s="11"/>
      <c r="P78" s="10"/>
      <c r="Q78" s="10"/>
      <c r="R78" s="10"/>
      <c r="U78" s="10"/>
      <c r="V78" s="10"/>
      <c r="W78" s="10"/>
      <c r="Z78" s="10"/>
      <c r="AA78" s="10"/>
    </row>
    <row r="79" spans="3:27" x14ac:dyDescent="0.25">
      <c r="K79" s="10"/>
      <c r="L79" s="10"/>
      <c r="M79" s="10"/>
      <c r="P79" s="10"/>
      <c r="Q79" s="10"/>
      <c r="R79" s="10"/>
      <c r="U79" s="10"/>
      <c r="V79" s="10"/>
      <c r="W79" s="10"/>
      <c r="Z79" s="10"/>
      <c r="AA79" s="10"/>
    </row>
    <row r="80" spans="3:27" x14ac:dyDescent="0.25">
      <c r="K80" s="10"/>
      <c r="L80" s="10"/>
      <c r="M80" s="10"/>
      <c r="P80" s="10"/>
      <c r="Q80" s="10"/>
      <c r="R80" s="10"/>
      <c r="U80" s="10"/>
      <c r="V80" s="10"/>
      <c r="W80" s="10"/>
      <c r="Z80" s="10"/>
      <c r="AA80" s="10"/>
    </row>
    <row r="81" spans="11:27" x14ac:dyDescent="0.25">
      <c r="K81" s="10"/>
      <c r="L81" s="10"/>
      <c r="M81" s="10"/>
      <c r="P81" s="10"/>
      <c r="Q81" s="10"/>
      <c r="R81" s="10"/>
      <c r="U81" s="10"/>
      <c r="V81" s="10"/>
      <c r="W81" s="10"/>
      <c r="Z81" s="10"/>
      <c r="AA81" s="10"/>
    </row>
    <row r="82" spans="11:27" x14ac:dyDescent="0.25">
      <c r="K82" s="10"/>
      <c r="L82" s="10"/>
      <c r="M82" s="10"/>
      <c r="P82" s="10"/>
      <c r="Q82" s="10"/>
      <c r="R82" s="10"/>
      <c r="U82" s="10"/>
      <c r="V82" s="10"/>
      <c r="W82" s="10"/>
      <c r="Z82" s="10"/>
      <c r="AA82" s="10"/>
    </row>
    <row r="83" spans="11:27" x14ac:dyDescent="0.25">
      <c r="K83" s="10"/>
      <c r="L83" s="10"/>
      <c r="M83" s="10"/>
      <c r="P83" s="10"/>
      <c r="Q83" s="10"/>
      <c r="R83" s="10"/>
      <c r="U83" s="10"/>
      <c r="V83" s="10"/>
      <c r="W83" s="10"/>
      <c r="Z83" s="10"/>
      <c r="AA83" s="10"/>
    </row>
    <row r="84" spans="11:27" x14ac:dyDescent="0.25">
      <c r="K84" s="10"/>
      <c r="L84" s="10"/>
      <c r="M84" s="10"/>
      <c r="P84" s="10"/>
      <c r="Q84" s="10"/>
      <c r="R84" s="10"/>
      <c r="U84" s="10"/>
      <c r="V84" s="10"/>
      <c r="W84" s="10"/>
      <c r="Z84" s="10"/>
      <c r="AA84" s="10"/>
    </row>
    <row r="85" spans="11:27" x14ac:dyDescent="0.25">
      <c r="K85" s="10"/>
      <c r="L85" s="10"/>
      <c r="M85" s="10"/>
      <c r="P85" s="10"/>
      <c r="Q85" s="10"/>
      <c r="R85" s="10"/>
      <c r="U85" s="10"/>
      <c r="V85" s="10"/>
      <c r="W85" s="10"/>
      <c r="Z85" s="10"/>
      <c r="AA85" s="10"/>
    </row>
    <row r="86" spans="11:27" x14ac:dyDescent="0.25">
      <c r="K86" s="10"/>
      <c r="L86" s="10"/>
      <c r="M86" s="10"/>
      <c r="P86" s="10"/>
      <c r="Q86" s="10"/>
      <c r="R86" s="10"/>
      <c r="U86" s="10"/>
      <c r="V86" s="10"/>
      <c r="W86" s="10"/>
      <c r="Z86" s="10"/>
      <c r="AA86" s="10"/>
    </row>
    <row r="87" spans="11:27" x14ac:dyDescent="0.25">
      <c r="K87" s="10"/>
      <c r="L87" s="10"/>
      <c r="M87" s="10"/>
      <c r="P87" s="10"/>
      <c r="Q87" s="10"/>
      <c r="R87" s="10"/>
      <c r="U87" s="10"/>
      <c r="V87" s="10"/>
      <c r="W87" s="10"/>
      <c r="Z87" s="10"/>
      <c r="AA87" s="10"/>
    </row>
    <row r="88" spans="11:27" x14ac:dyDescent="0.25">
      <c r="K88" s="10"/>
      <c r="L88" s="10"/>
      <c r="M88" s="10"/>
      <c r="P88" s="10"/>
      <c r="Q88" s="10"/>
      <c r="R88" s="10"/>
      <c r="U88" s="10"/>
      <c r="V88" s="10"/>
      <c r="W88" s="10"/>
      <c r="Z88" s="10"/>
      <c r="AA88" s="10"/>
    </row>
    <row r="89" spans="11:27" x14ac:dyDescent="0.25">
      <c r="K89" s="10"/>
      <c r="L89" s="10"/>
      <c r="M89" s="10"/>
      <c r="P89" s="10"/>
      <c r="Q89" s="10"/>
      <c r="R89" s="10"/>
      <c r="U89" s="10"/>
      <c r="V89" s="10"/>
      <c r="W89" s="10"/>
      <c r="Z89" s="10"/>
      <c r="AA89" s="10"/>
    </row>
    <row r="90" spans="11:27" x14ac:dyDescent="0.25">
      <c r="K90" s="10"/>
      <c r="L90" s="10"/>
      <c r="M90" s="10"/>
      <c r="P90" s="10"/>
      <c r="Q90" s="10"/>
      <c r="R90" s="10"/>
      <c r="U90" s="10"/>
      <c r="V90" s="10"/>
      <c r="W90" s="10"/>
      <c r="Z90" s="10"/>
      <c r="AA90" s="10"/>
    </row>
    <row r="91" spans="11:27" x14ac:dyDescent="0.25">
      <c r="K91" s="10"/>
      <c r="L91" s="10"/>
      <c r="M91" s="10"/>
      <c r="P91" s="10"/>
      <c r="Q91" s="10"/>
      <c r="R91" s="10"/>
      <c r="U91" s="10"/>
      <c r="V91" s="10"/>
      <c r="W91" s="10"/>
      <c r="Z91" s="10"/>
      <c r="AA91" s="10"/>
    </row>
    <row r="92" spans="11:27" x14ac:dyDescent="0.25">
      <c r="K92" s="10"/>
      <c r="L92" s="10"/>
      <c r="M92" s="10"/>
      <c r="P92" s="10"/>
      <c r="Q92" s="10"/>
      <c r="R92" s="10"/>
      <c r="U92" s="10"/>
      <c r="V92" s="10"/>
      <c r="W92" s="10"/>
      <c r="Z92" s="10"/>
      <c r="AA92" s="10"/>
    </row>
    <row r="93" spans="11:27" x14ac:dyDescent="0.25">
      <c r="K93" s="10"/>
      <c r="L93" s="10"/>
      <c r="M93" s="10"/>
      <c r="P93" s="10"/>
      <c r="Q93" s="10"/>
      <c r="R93" s="10"/>
      <c r="U93" s="10"/>
      <c r="V93" s="10"/>
      <c r="W93" s="10"/>
      <c r="Z93" s="10"/>
      <c r="AA93" s="10"/>
    </row>
    <row r="94" spans="11:27" x14ac:dyDescent="0.25">
      <c r="K94" s="10"/>
      <c r="L94" s="10"/>
      <c r="M94" s="10"/>
      <c r="P94" s="10"/>
      <c r="Q94" s="10"/>
      <c r="R94" s="10"/>
      <c r="U94" s="10"/>
      <c r="V94" s="10"/>
      <c r="W94" s="10"/>
      <c r="Z94" s="10"/>
      <c r="AA94" s="10"/>
    </row>
    <row r="95" spans="11:27" x14ac:dyDescent="0.25">
      <c r="K95" s="10"/>
      <c r="L95" s="10"/>
      <c r="M95" s="10"/>
      <c r="P95" s="10"/>
      <c r="Q95" s="10"/>
      <c r="R95" s="10"/>
      <c r="U95" s="10"/>
      <c r="V95" s="10"/>
      <c r="W95" s="10"/>
      <c r="Z95" s="10"/>
      <c r="AA95" s="10"/>
    </row>
    <row r="96" spans="11:27" x14ac:dyDescent="0.25">
      <c r="K96" s="10"/>
      <c r="L96" s="10"/>
      <c r="M96" s="10"/>
      <c r="P96" s="10"/>
      <c r="Q96" s="10"/>
      <c r="R96" s="10"/>
      <c r="U96" s="10"/>
      <c r="V96" s="10"/>
      <c r="W96" s="10"/>
      <c r="Z96" s="10"/>
      <c r="AA96" s="10"/>
    </row>
    <row r="97" spans="11:27" x14ac:dyDescent="0.25">
      <c r="K97" s="10"/>
      <c r="L97" s="10"/>
      <c r="M97" s="10"/>
      <c r="P97" s="10"/>
      <c r="Q97" s="10"/>
      <c r="R97" s="10"/>
      <c r="U97" s="10"/>
      <c r="V97" s="10"/>
      <c r="W97" s="10"/>
      <c r="Z97" s="10"/>
      <c r="AA97" s="10"/>
    </row>
    <row r="98" spans="11:27" x14ac:dyDescent="0.25">
      <c r="K98" s="10"/>
      <c r="L98" s="10"/>
      <c r="M98" s="10"/>
      <c r="P98" s="10"/>
      <c r="Q98" s="10"/>
      <c r="R98" s="10"/>
      <c r="U98" s="10"/>
      <c r="V98" s="10"/>
      <c r="W98" s="10"/>
      <c r="Z98" s="10"/>
      <c r="AA98" s="10"/>
    </row>
    <row r="99" spans="11:27" x14ac:dyDescent="0.25">
      <c r="K99" s="10"/>
      <c r="L99" s="10"/>
      <c r="M99" s="10"/>
      <c r="P99" s="10"/>
      <c r="Q99" s="10"/>
      <c r="R99" s="10"/>
      <c r="U99" s="10"/>
      <c r="V99" s="10"/>
      <c r="W99" s="10"/>
      <c r="Z99" s="10"/>
      <c r="AA99" s="10"/>
    </row>
    <row r="100" spans="11:27" x14ac:dyDescent="0.25">
      <c r="K100" s="10"/>
      <c r="L100" s="10"/>
      <c r="M100" s="10"/>
      <c r="P100" s="10"/>
      <c r="Q100" s="10"/>
      <c r="R100" s="10"/>
      <c r="U100" s="10"/>
      <c r="V100" s="10"/>
      <c r="W100" s="10"/>
      <c r="Z100" s="10"/>
      <c r="AA100" s="10"/>
    </row>
    <row r="101" spans="11:27" x14ac:dyDescent="0.25">
      <c r="K101" s="10"/>
      <c r="L101" s="10"/>
      <c r="M101" s="10"/>
      <c r="P101" s="10"/>
      <c r="Q101" s="10"/>
      <c r="R101" s="10"/>
      <c r="U101" s="10"/>
      <c r="V101" s="10"/>
      <c r="W101" s="10"/>
      <c r="Z101" s="10"/>
      <c r="AA101" s="10"/>
    </row>
    <row r="102" spans="11:27" x14ac:dyDescent="0.25">
      <c r="K102" s="10"/>
      <c r="L102" s="10"/>
      <c r="M102" s="10"/>
      <c r="P102" s="10"/>
      <c r="Q102" s="10"/>
      <c r="R102" s="10"/>
      <c r="U102" s="10"/>
      <c r="V102" s="10"/>
      <c r="W102" s="10"/>
      <c r="Z102" s="10"/>
      <c r="AA102" s="10"/>
    </row>
    <row r="103" spans="11:27" x14ac:dyDescent="0.25">
      <c r="K103" s="10"/>
      <c r="L103" s="10"/>
      <c r="M103" s="10"/>
      <c r="P103" s="10"/>
      <c r="Q103" s="10"/>
      <c r="R103" s="10"/>
      <c r="U103" s="10"/>
      <c r="V103" s="10"/>
      <c r="W103" s="10"/>
      <c r="Z103" s="10"/>
      <c r="AA103" s="10"/>
    </row>
    <row r="104" spans="11:27" x14ac:dyDescent="0.25">
      <c r="K104" s="10"/>
      <c r="L104" s="10"/>
      <c r="M104" s="10"/>
      <c r="P104" s="10"/>
      <c r="Q104" s="10"/>
      <c r="R104" s="10"/>
      <c r="U104" s="10"/>
      <c r="V104" s="10"/>
      <c r="W104" s="10"/>
      <c r="Z104" s="10"/>
      <c r="AA104" s="10"/>
    </row>
    <row r="105" spans="11:27" x14ac:dyDescent="0.25">
      <c r="K105" s="10"/>
      <c r="L105" s="10"/>
      <c r="M105" s="10"/>
      <c r="P105" s="10"/>
      <c r="Q105" s="10"/>
      <c r="R105" s="10"/>
      <c r="U105" s="10"/>
      <c r="V105" s="10"/>
      <c r="W105" s="10"/>
      <c r="Z105" s="10"/>
      <c r="AA105" s="10"/>
    </row>
    <row r="106" spans="11:27" x14ac:dyDescent="0.25">
      <c r="K106" s="10"/>
      <c r="L106" s="10"/>
      <c r="M106" s="10"/>
      <c r="P106" s="10"/>
      <c r="Q106" s="10"/>
      <c r="R106" s="10"/>
      <c r="U106" s="10"/>
      <c r="V106" s="10"/>
      <c r="W106" s="10"/>
      <c r="Z106" s="10"/>
      <c r="AA106" s="10"/>
    </row>
    <row r="107" spans="11:27" x14ac:dyDescent="0.25">
      <c r="K107" s="10"/>
      <c r="L107" s="10"/>
      <c r="M107" s="10"/>
      <c r="P107" s="10"/>
      <c r="Q107" s="10"/>
      <c r="R107" s="10"/>
      <c r="U107" s="10"/>
      <c r="V107" s="10"/>
      <c r="W107" s="10"/>
      <c r="Z107" s="10"/>
      <c r="AA107" s="10"/>
    </row>
    <row r="108" spans="11:27" x14ac:dyDescent="0.25">
      <c r="K108" s="10"/>
      <c r="L108" s="10"/>
      <c r="M108" s="10"/>
      <c r="P108" s="10"/>
      <c r="Q108" s="10"/>
      <c r="R108" s="10"/>
      <c r="U108" s="10"/>
      <c r="V108" s="10"/>
      <c r="W108" s="10"/>
      <c r="Z108" s="10"/>
      <c r="AA108" s="10"/>
    </row>
    <row r="109" spans="11:27" x14ac:dyDescent="0.25">
      <c r="K109" s="10"/>
      <c r="L109" s="10"/>
      <c r="M109" s="10"/>
      <c r="P109" s="10"/>
      <c r="Q109" s="10"/>
      <c r="R109" s="10"/>
      <c r="U109" s="10"/>
      <c r="V109" s="10"/>
      <c r="W109" s="10"/>
      <c r="Z109" s="10"/>
      <c r="AA109" s="10"/>
    </row>
    <row r="110" spans="11:27" x14ac:dyDescent="0.25">
      <c r="K110" s="10"/>
      <c r="L110" s="10"/>
      <c r="M110" s="10"/>
      <c r="P110" s="10"/>
      <c r="Q110" s="10"/>
      <c r="R110" s="10"/>
      <c r="U110" s="10"/>
      <c r="V110" s="10"/>
      <c r="W110" s="10"/>
      <c r="Z110" s="10"/>
      <c r="AA110" s="10"/>
    </row>
    <row r="111" spans="11:27" x14ac:dyDescent="0.25">
      <c r="K111" s="10"/>
      <c r="L111" s="10"/>
      <c r="M111" s="10"/>
      <c r="P111" s="10"/>
      <c r="Q111" s="10"/>
      <c r="R111" s="10"/>
      <c r="U111" s="10"/>
      <c r="V111" s="10"/>
      <c r="W111" s="10"/>
      <c r="Z111" s="10"/>
      <c r="AA111" s="10"/>
    </row>
    <row r="112" spans="11:27" x14ac:dyDescent="0.25">
      <c r="K112" s="10"/>
      <c r="L112" s="10"/>
      <c r="M112" s="10"/>
      <c r="P112" s="10"/>
      <c r="Q112" s="10"/>
      <c r="R112" s="10"/>
      <c r="U112" s="10"/>
      <c r="V112" s="10"/>
      <c r="W112" s="10"/>
      <c r="Z112" s="10"/>
      <c r="AA112" s="10"/>
    </row>
    <row r="113" spans="11:27" x14ac:dyDescent="0.25">
      <c r="K113" s="10"/>
      <c r="L113" s="10"/>
      <c r="M113" s="10"/>
      <c r="P113" s="10"/>
      <c r="Q113" s="10"/>
      <c r="R113" s="10"/>
      <c r="U113" s="10"/>
      <c r="V113" s="10"/>
      <c r="W113" s="10"/>
      <c r="Z113" s="10"/>
      <c r="AA113" s="10"/>
    </row>
    <row r="114" spans="11:27" x14ac:dyDescent="0.25">
      <c r="K114" s="10"/>
      <c r="L114" s="10"/>
      <c r="M114" s="10"/>
      <c r="P114" s="10"/>
      <c r="Q114" s="10"/>
      <c r="R114" s="10"/>
      <c r="U114" s="10"/>
      <c r="V114" s="10"/>
      <c r="W114" s="10"/>
      <c r="Z114" s="10"/>
      <c r="AA114" s="10"/>
    </row>
    <row r="115" spans="11:27" x14ac:dyDescent="0.25">
      <c r="K115" s="10"/>
      <c r="L115" s="10"/>
      <c r="M115" s="10"/>
      <c r="P115" s="10"/>
      <c r="Q115" s="10"/>
      <c r="R115" s="10"/>
      <c r="U115" s="10"/>
      <c r="V115" s="10"/>
      <c r="W115" s="10"/>
      <c r="Z115" s="10"/>
      <c r="AA115" s="10"/>
    </row>
    <row r="116" spans="11:27" x14ac:dyDescent="0.25">
      <c r="K116" s="10"/>
      <c r="L116" s="10"/>
      <c r="M116" s="10"/>
      <c r="P116" s="10"/>
      <c r="Q116" s="10"/>
      <c r="R116" s="10"/>
      <c r="U116" s="10"/>
      <c r="V116" s="10"/>
      <c r="W116" s="10"/>
      <c r="Z116" s="10"/>
      <c r="AA116" s="10"/>
    </row>
    <row r="117" spans="11:27" x14ac:dyDescent="0.25">
      <c r="K117" s="10"/>
      <c r="L117" s="10"/>
      <c r="M117" s="10"/>
      <c r="P117" s="10"/>
      <c r="Q117" s="10"/>
      <c r="R117" s="10"/>
      <c r="U117" s="10"/>
      <c r="V117" s="10"/>
      <c r="W117" s="10"/>
      <c r="Z117" s="10"/>
      <c r="AA117" s="10"/>
    </row>
    <row r="118" spans="11:27" x14ac:dyDescent="0.25">
      <c r="K118" s="10"/>
      <c r="L118" s="10"/>
      <c r="M118" s="10"/>
      <c r="P118" s="10"/>
      <c r="Q118" s="10"/>
      <c r="R118" s="10"/>
      <c r="U118" s="10"/>
      <c r="V118" s="10"/>
      <c r="W118" s="10"/>
      <c r="Z118" s="10"/>
      <c r="AA118" s="10"/>
    </row>
    <row r="119" spans="11:27" x14ac:dyDescent="0.25">
      <c r="K119" s="10"/>
      <c r="L119" s="10"/>
      <c r="M119" s="10"/>
      <c r="P119" s="10"/>
      <c r="Q119" s="10"/>
      <c r="R119" s="10"/>
      <c r="U119" s="10"/>
      <c r="V119" s="10"/>
      <c r="W119" s="10"/>
      <c r="Z119" s="10"/>
      <c r="AA119" s="10"/>
    </row>
    <row r="120" spans="11:27" x14ac:dyDescent="0.25">
      <c r="K120" s="10"/>
      <c r="L120" s="10"/>
      <c r="M120" s="10"/>
      <c r="P120" s="10"/>
      <c r="Q120" s="10"/>
      <c r="R120" s="10"/>
      <c r="U120" s="10"/>
      <c r="V120" s="10"/>
      <c r="W120" s="10"/>
      <c r="Z120" s="10"/>
      <c r="AA120" s="10"/>
    </row>
    <row r="121" spans="11:27" x14ac:dyDescent="0.25">
      <c r="K121" s="10"/>
      <c r="L121" s="10"/>
      <c r="M121" s="10"/>
      <c r="P121" s="10"/>
      <c r="Q121" s="10"/>
      <c r="R121" s="10"/>
      <c r="U121" s="10"/>
      <c r="V121" s="10"/>
      <c r="W121" s="10"/>
      <c r="Z121" s="10"/>
      <c r="AA121" s="10"/>
    </row>
    <row r="122" spans="11:27" x14ac:dyDescent="0.25">
      <c r="K122" s="10"/>
      <c r="L122" s="10"/>
      <c r="M122" s="10"/>
      <c r="P122" s="10"/>
      <c r="Q122" s="10"/>
      <c r="R122" s="10"/>
      <c r="U122" s="10"/>
      <c r="V122" s="10"/>
      <c r="W122" s="10"/>
      <c r="Z122" s="10"/>
      <c r="AA122" s="10"/>
    </row>
    <row r="123" spans="11:27" x14ac:dyDescent="0.25">
      <c r="K123" s="10"/>
      <c r="L123" s="10"/>
      <c r="M123" s="10"/>
      <c r="P123" s="10"/>
      <c r="Q123" s="10"/>
      <c r="R123" s="10"/>
      <c r="U123" s="10"/>
      <c r="V123" s="10"/>
      <c r="W123" s="10"/>
      <c r="Z123" s="10"/>
      <c r="AA123" s="10"/>
    </row>
    <row r="124" spans="11:27" x14ac:dyDescent="0.25">
      <c r="K124" s="10"/>
      <c r="L124" s="10"/>
      <c r="M124" s="10"/>
      <c r="P124" s="10"/>
      <c r="Q124" s="10"/>
      <c r="R124" s="10"/>
      <c r="U124" s="10"/>
      <c r="V124" s="10"/>
      <c r="W124" s="10"/>
      <c r="Z124" s="10"/>
      <c r="AA124" s="10"/>
    </row>
    <row r="125" spans="11:27" x14ac:dyDescent="0.25">
      <c r="K125" s="10"/>
      <c r="L125" s="10"/>
      <c r="M125" s="10"/>
      <c r="P125" s="10"/>
      <c r="Q125" s="10"/>
      <c r="R125" s="10"/>
      <c r="U125" s="10"/>
      <c r="V125" s="10"/>
      <c r="W125" s="10"/>
      <c r="Z125" s="10"/>
      <c r="AA125" s="10"/>
    </row>
    <row r="126" spans="11:27" x14ac:dyDescent="0.25">
      <c r="K126" s="10"/>
      <c r="L126" s="10"/>
      <c r="M126" s="10"/>
      <c r="P126" s="10"/>
      <c r="Q126" s="10"/>
      <c r="R126" s="10"/>
      <c r="U126" s="10"/>
      <c r="V126" s="10"/>
      <c r="W126" s="10"/>
      <c r="Z126" s="10"/>
      <c r="AA126" s="10"/>
    </row>
    <row r="127" spans="11:27" x14ac:dyDescent="0.25">
      <c r="K127" s="10"/>
      <c r="L127" s="10"/>
      <c r="M127" s="10"/>
      <c r="P127" s="10"/>
      <c r="Q127" s="10"/>
      <c r="R127" s="10"/>
      <c r="U127" s="10"/>
      <c r="V127" s="10"/>
      <c r="W127" s="10"/>
      <c r="Z127" s="10"/>
      <c r="AA127" s="10"/>
    </row>
    <row r="128" spans="11:27" x14ac:dyDescent="0.25">
      <c r="K128" s="10"/>
      <c r="L128" s="10"/>
      <c r="M128" s="10"/>
      <c r="P128" s="10"/>
      <c r="Q128" s="10"/>
      <c r="R128" s="10"/>
      <c r="U128" s="10"/>
      <c r="V128" s="10"/>
      <c r="W128" s="10"/>
      <c r="Z128" s="10"/>
      <c r="AA128" s="10"/>
    </row>
    <row r="129" spans="11:27" x14ac:dyDescent="0.25">
      <c r="K129" s="10"/>
      <c r="L129" s="10"/>
      <c r="M129" s="10"/>
      <c r="P129" s="10"/>
      <c r="Q129" s="10"/>
      <c r="R129" s="10"/>
      <c r="U129" s="10"/>
      <c r="V129" s="10"/>
      <c r="W129" s="10"/>
      <c r="Z129" s="10"/>
      <c r="AA129" s="10"/>
    </row>
    <row r="130" spans="11:27" x14ac:dyDescent="0.25">
      <c r="K130" s="10"/>
      <c r="L130" s="10"/>
      <c r="M130" s="10"/>
      <c r="P130" s="10"/>
      <c r="Q130" s="10"/>
      <c r="R130" s="10"/>
      <c r="U130" s="10"/>
      <c r="V130" s="10"/>
      <c r="W130" s="10"/>
      <c r="Z130" s="10"/>
      <c r="AA130" s="10"/>
    </row>
    <row r="131" spans="11:27" x14ac:dyDescent="0.25">
      <c r="K131" s="10"/>
      <c r="L131" s="10"/>
      <c r="M131" s="10"/>
      <c r="P131" s="10"/>
      <c r="Q131" s="10"/>
      <c r="R131" s="10"/>
      <c r="U131" s="10"/>
      <c r="V131" s="10"/>
      <c r="W131" s="10"/>
      <c r="Z131" s="10"/>
      <c r="AA131" s="10"/>
    </row>
    <row r="132" spans="11:27" x14ac:dyDescent="0.25">
      <c r="K132" s="10"/>
      <c r="L132" s="10"/>
      <c r="M132" s="10"/>
      <c r="P132" s="10"/>
      <c r="Q132" s="10"/>
      <c r="R132" s="10"/>
      <c r="U132" s="10"/>
      <c r="V132" s="10"/>
      <c r="W132" s="10"/>
      <c r="Z132" s="10"/>
      <c r="AA132" s="10"/>
    </row>
    <row r="133" spans="11:27" x14ac:dyDescent="0.25">
      <c r="K133" s="10"/>
      <c r="L133" s="10"/>
      <c r="M133" s="10"/>
      <c r="P133" s="10"/>
      <c r="Q133" s="10"/>
      <c r="R133" s="10"/>
      <c r="U133" s="10"/>
      <c r="V133" s="10"/>
      <c r="W133" s="10"/>
      <c r="Z133" s="10"/>
      <c r="AA133" s="10"/>
    </row>
    <row r="134" spans="11:27" x14ac:dyDescent="0.25">
      <c r="K134" s="10"/>
      <c r="L134" s="10"/>
      <c r="M134" s="10"/>
      <c r="P134" s="10"/>
      <c r="Q134" s="10"/>
      <c r="R134" s="10"/>
      <c r="U134" s="10"/>
      <c r="V134" s="10"/>
      <c r="W134" s="10"/>
      <c r="Z134" s="10"/>
      <c r="AA134" s="10"/>
    </row>
    <row r="135" spans="11:27" x14ac:dyDescent="0.25">
      <c r="K135" s="10"/>
      <c r="L135" s="10"/>
      <c r="M135" s="10"/>
      <c r="P135" s="10"/>
      <c r="Q135" s="10"/>
      <c r="R135" s="10"/>
      <c r="U135" s="10"/>
      <c r="V135" s="10"/>
      <c r="W135" s="10"/>
      <c r="Z135" s="10"/>
      <c r="AA135" s="10"/>
    </row>
    <row r="136" spans="11:27" x14ac:dyDescent="0.25">
      <c r="K136" s="10"/>
      <c r="L136" s="10"/>
      <c r="M136" s="10"/>
      <c r="P136" s="10"/>
      <c r="Q136" s="10"/>
      <c r="R136" s="10"/>
      <c r="U136" s="10"/>
      <c r="V136" s="10"/>
      <c r="W136" s="10"/>
      <c r="Z136" s="10"/>
      <c r="AA136" s="10"/>
    </row>
    <row r="137" spans="11:27" x14ac:dyDescent="0.25">
      <c r="K137" s="10"/>
      <c r="L137" s="10"/>
      <c r="M137" s="10"/>
      <c r="P137" s="10"/>
      <c r="Q137" s="10"/>
      <c r="R137" s="10"/>
      <c r="U137" s="10"/>
      <c r="V137" s="10"/>
      <c r="W137" s="10"/>
      <c r="Z137" s="10"/>
      <c r="AA137" s="10"/>
    </row>
    <row r="138" spans="11:27" x14ac:dyDescent="0.25">
      <c r="K138" s="10"/>
      <c r="L138" s="10"/>
      <c r="M138" s="10"/>
      <c r="P138" s="10"/>
      <c r="Q138" s="10"/>
      <c r="R138" s="10"/>
      <c r="U138" s="10"/>
      <c r="V138" s="10"/>
      <c r="W138" s="10"/>
      <c r="Z138" s="10"/>
      <c r="AA138" s="10"/>
    </row>
    <row r="139" spans="11:27" x14ac:dyDescent="0.25">
      <c r="K139" s="10"/>
      <c r="L139" s="10"/>
      <c r="M139" s="10"/>
      <c r="P139" s="10"/>
      <c r="Q139" s="10"/>
      <c r="R139" s="10"/>
      <c r="U139" s="10"/>
      <c r="V139" s="10"/>
      <c r="W139" s="10"/>
      <c r="Z139" s="10"/>
      <c r="AA139" s="10"/>
    </row>
    <row r="140" spans="11:27" x14ac:dyDescent="0.25">
      <c r="K140" s="10"/>
      <c r="L140" s="10"/>
      <c r="M140" s="10"/>
      <c r="P140" s="10"/>
      <c r="Q140" s="10"/>
      <c r="R140" s="10"/>
      <c r="U140" s="10"/>
      <c r="V140" s="10"/>
      <c r="W140" s="10"/>
      <c r="Z140" s="10"/>
      <c r="AA140" s="10"/>
    </row>
    <row r="141" spans="11:27" x14ac:dyDescent="0.25">
      <c r="K141" s="10"/>
      <c r="L141" s="10"/>
      <c r="M141" s="10"/>
      <c r="P141" s="10"/>
      <c r="Q141" s="10"/>
      <c r="R141" s="10"/>
      <c r="U141" s="10"/>
      <c r="V141" s="10"/>
      <c r="W141" s="10"/>
      <c r="Z141" s="10"/>
      <c r="AA141" s="10"/>
    </row>
    <row r="142" spans="11:27" x14ac:dyDescent="0.25">
      <c r="K142" s="10"/>
      <c r="L142" s="10"/>
      <c r="M142" s="10"/>
      <c r="P142" s="10"/>
      <c r="Q142" s="10"/>
      <c r="R142" s="10"/>
      <c r="U142" s="10"/>
      <c r="V142" s="10"/>
      <c r="W142" s="10"/>
      <c r="Z142" s="10"/>
      <c r="AA142" s="10"/>
    </row>
    <row r="143" spans="11:27" x14ac:dyDescent="0.25">
      <c r="K143" s="10"/>
      <c r="L143" s="10"/>
      <c r="M143" s="10"/>
      <c r="P143" s="10"/>
      <c r="Q143" s="10"/>
      <c r="R143" s="10"/>
      <c r="U143" s="10"/>
      <c r="V143" s="10"/>
      <c r="W143" s="10"/>
      <c r="Z143" s="10"/>
      <c r="AA143" s="10"/>
    </row>
    <row r="144" spans="11:27" x14ac:dyDescent="0.25">
      <c r="K144" s="10"/>
      <c r="L144" s="10"/>
      <c r="M144" s="10"/>
      <c r="P144" s="10"/>
      <c r="Q144" s="10"/>
      <c r="R144" s="10"/>
      <c r="U144" s="10"/>
      <c r="V144" s="10"/>
      <c r="W144" s="10"/>
      <c r="Z144" s="10"/>
      <c r="AA144" s="10"/>
    </row>
    <row r="145" spans="11:27" x14ac:dyDescent="0.25">
      <c r="K145" s="10"/>
      <c r="L145" s="10"/>
      <c r="M145" s="10"/>
      <c r="P145" s="10"/>
      <c r="Q145" s="10"/>
      <c r="R145" s="10"/>
      <c r="U145" s="10"/>
      <c r="V145" s="10"/>
      <c r="W145" s="10"/>
      <c r="Z145" s="10"/>
      <c r="AA145" s="10"/>
    </row>
    <row r="146" spans="11:27" x14ac:dyDescent="0.25">
      <c r="K146" s="10"/>
      <c r="L146" s="10"/>
      <c r="M146" s="10"/>
      <c r="P146" s="10"/>
      <c r="Q146" s="10"/>
      <c r="R146" s="10"/>
      <c r="U146" s="10"/>
      <c r="V146" s="10"/>
      <c r="W146" s="10"/>
      <c r="Z146" s="10"/>
      <c r="AA146" s="10"/>
    </row>
    <row r="147" spans="11:27" x14ac:dyDescent="0.25">
      <c r="K147" s="10"/>
      <c r="L147" s="10"/>
      <c r="M147" s="10"/>
      <c r="P147" s="10"/>
      <c r="Q147" s="10"/>
      <c r="R147" s="10"/>
      <c r="U147" s="10"/>
      <c r="V147" s="10"/>
      <c r="W147" s="10"/>
      <c r="Z147" s="10"/>
      <c r="AA147" s="10"/>
    </row>
    <row r="148" spans="11:27" x14ac:dyDescent="0.25">
      <c r="K148" s="10"/>
      <c r="L148" s="10"/>
      <c r="M148" s="10"/>
      <c r="P148" s="10"/>
      <c r="Q148" s="10"/>
      <c r="R148" s="10"/>
      <c r="U148" s="10"/>
      <c r="V148" s="10"/>
      <c r="W148" s="10"/>
      <c r="Z148" s="10"/>
      <c r="AA148" s="10"/>
    </row>
    <row r="149" spans="11:27" x14ac:dyDescent="0.25">
      <c r="K149" s="10"/>
      <c r="L149" s="10"/>
      <c r="M149" s="10"/>
      <c r="P149" s="10"/>
      <c r="Q149" s="10"/>
      <c r="R149" s="10"/>
      <c r="U149" s="10"/>
      <c r="V149" s="10"/>
      <c r="W149" s="10"/>
      <c r="Z149" s="10"/>
      <c r="AA149" s="10"/>
    </row>
    <row r="150" spans="11:27" x14ac:dyDescent="0.25">
      <c r="K150" s="10"/>
      <c r="L150" s="10"/>
      <c r="M150" s="10"/>
      <c r="P150" s="10"/>
      <c r="Q150" s="10"/>
      <c r="R150" s="10"/>
      <c r="U150" s="10"/>
      <c r="V150" s="10"/>
      <c r="W150" s="10"/>
      <c r="Z150" s="10"/>
      <c r="AA150" s="10"/>
    </row>
    <row r="151" spans="11:27" x14ac:dyDescent="0.25">
      <c r="K151" s="10"/>
      <c r="L151" s="10"/>
      <c r="M151" s="10"/>
      <c r="P151" s="10"/>
      <c r="Q151" s="10"/>
      <c r="R151" s="10"/>
      <c r="U151" s="10"/>
      <c r="V151" s="10"/>
      <c r="W151" s="10"/>
      <c r="Z151" s="10"/>
      <c r="AA151" s="10"/>
    </row>
    <row r="152" spans="11:27" x14ac:dyDescent="0.25">
      <c r="K152" s="10"/>
      <c r="L152" s="10"/>
      <c r="M152" s="10"/>
      <c r="P152" s="10"/>
      <c r="Q152" s="10"/>
      <c r="R152" s="10"/>
      <c r="U152" s="10"/>
      <c r="V152" s="10"/>
      <c r="W152" s="10"/>
      <c r="Z152" s="10"/>
      <c r="AA152" s="10"/>
    </row>
    <row r="153" spans="11:27" x14ac:dyDescent="0.25">
      <c r="K153" s="10"/>
      <c r="L153" s="10"/>
      <c r="M153" s="10"/>
      <c r="P153" s="10"/>
      <c r="Q153" s="10"/>
      <c r="R153" s="10"/>
      <c r="U153" s="10"/>
      <c r="V153" s="10"/>
      <c r="W153" s="10"/>
      <c r="Z153" s="10"/>
      <c r="AA153" s="10"/>
    </row>
    <row r="154" spans="11:27" x14ac:dyDescent="0.25">
      <c r="K154" s="10"/>
      <c r="L154" s="10"/>
      <c r="M154" s="10"/>
      <c r="P154" s="10"/>
      <c r="Q154" s="10"/>
      <c r="R154" s="10"/>
      <c r="U154" s="10"/>
      <c r="V154" s="10"/>
      <c r="W154" s="10"/>
      <c r="Z154" s="10"/>
      <c r="AA154" s="10"/>
    </row>
    <row r="155" spans="11:27" x14ac:dyDescent="0.25">
      <c r="K155" s="10"/>
      <c r="L155" s="10"/>
      <c r="M155" s="10"/>
      <c r="P155" s="10"/>
      <c r="Q155" s="10"/>
      <c r="R155" s="10"/>
      <c r="U155" s="10"/>
      <c r="V155" s="10"/>
      <c r="W155" s="10"/>
      <c r="Z155" s="10"/>
      <c r="AA155" s="10"/>
    </row>
    <row r="156" spans="11:27" x14ac:dyDescent="0.25">
      <c r="K156" s="10"/>
      <c r="L156" s="10"/>
      <c r="M156" s="10"/>
      <c r="P156" s="10"/>
      <c r="Q156" s="10"/>
      <c r="R156" s="10"/>
      <c r="U156" s="10"/>
      <c r="V156" s="10"/>
      <c r="W156" s="10"/>
      <c r="Z156" s="10"/>
      <c r="AA156" s="10"/>
    </row>
    <row r="157" spans="11:27" x14ac:dyDescent="0.25">
      <c r="K157" s="10"/>
      <c r="L157" s="10"/>
      <c r="M157" s="10"/>
      <c r="P157" s="10"/>
      <c r="Q157" s="10"/>
      <c r="R157" s="10"/>
      <c r="U157" s="10"/>
      <c r="V157" s="10"/>
      <c r="W157" s="10"/>
      <c r="Z157" s="10"/>
      <c r="AA157" s="10"/>
    </row>
    <row r="158" spans="11:27" x14ac:dyDescent="0.25">
      <c r="K158" s="10"/>
      <c r="L158" s="10"/>
      <c r="M158" s="10"/>
      <c r="P158" s="10"/>
      <c r="Q158" s="10"/>
      <c r="R158" s="10"/>
      <c r="U158" s="10"/>
      <c r="V158" s="10"/>
      <c r="W158" s="10"/>
      <c r="Z158" s="10"/>
      <c r="AA158" s="10"/>
    </row>
    <row r="159" spans="11:27" x14ac:dyDescent="0.25">
      <c r="K159" s="10"/>
      <c r="L159" s="10"/>
      <c r="M159" s="10"/>
      <c r="P159" s="10"/>
      <c r="Q159" s="10"/>
      <c r="R159" s="10"/>
      <c r="U159" s="10"/>
      <c r="V159" s="10"/>
      <c r="W159" s="10"/>
      <c r="Z159" s="10"/>
      <c r="AA159" s="10"/>
    </row>
    <row r="160" spans="11:27" x14ac:dyDescent="0.25">
      <c r="K160" s="10"/>
      <c r="L160" s="10"/>
      <c r="M160" s="10"/>
      <c r="P160" s="10"/>
      <c r="Q160" s="10"/>
      <c r="R160" s="10"/>
      <c r="U160" s="10"/>
      <c r="V160" s="10"/>
      <c r="W160" s="10"/>
      <c r="Z160" s="10"/>
      <c r="AA160" s="10"/>
    </row>
    <row r="161" spans="11:27" x14ac:dyDescent="0.25">
      <c r="K161" s="10"/>
      <c r="L161" s="10"/>
      <c r="M161" s="10"/>
      <c r="P161" s="10"/>
      <c r="Q161" s="10"/>
      <c r="R161" s="10"/>
      <c r="U161" s="10"/>
      <c r="V161" s="10"/>
      <c r="W161" s="10"/>
      <c r="Z161" s="10"/>
      <c r="AA161" s="10"/>
    </row>
    <row r="162" spans="11:27" x14ac:dyDescent="0.25">
      <c r="K162" s="10"/>
      <c r="L162" s="10"/>
      <c r="M162" s="10"/>
      <c r="P162" s="10"/>
      <c r="Q162" s="10"/>
      <c r="R162" s="10"/>
      <c r="U162" s="10"/>
      <c r="V162" s="10"/>
      <c r="W162" s="10"/>
      <c r="Z162" s="10"/>
      <c r="AA162" s="10"/>
    </row>
    <row r="163" spans="11:27" x14ac:dyDescent="0.25">
      <c r="K163" s="10"/>
      <c r="L163" s="10"/>
      <c r="M163" s="10"/>
      <c r="P163" s="10"/>
      <c r="Q163" s="10"/>
      <c r="R163" s="10"/>
      <c r="U163" s="10"/>
      <c r="V163" s="10"/>
      <c r="W163" s="10"/>
      <c r="Z163" s="10"/>
      <c r="AA163" s="10"/>
    </row>
    <row r="164" spans="11:27" x14ac:dyDescent="0.25">
      <c r="K164" s="10"/>
      <c r="L164" s="10"/>
      <c r="M164" s="10"/>
      <c r="P164" s="10"/>
      <c r="Q164" s="10"/>
      <c r="R164" s="10"/>
      <c r="U164" s="10"/>
      <c r="V164" s="10"/>
      <c r="W164" s="10"/>
      <c r="Z164" s="10"/>
      <c r="AA164" s="10"/>
    </row>
    <row r="165" spans="11:27" x14ac:dyDescent="0.25">
      <c r="K165" s="10"/>
      <c r="L165" s="10"/>
      <c r="M165" s="10"/>
      <c r="P165" s="10"/>
      <c r="Q165" s="10"/>
      <c r="R165" s="10"/>
      <c r="U165" s="10"/>
      <c r="V165" s="10"/>
      <c r="W165" s="10"/>
      <c r="Z165" s="10"/>
      <c r="AA165" s="10"/>
    </row>
    <row r="166" spans="11:27" x14ac:dyDescent="0.25">
      <c r="K166" s="10"/>
      <c r="L166" s="10"/>
      <c r="M166" s="10"/>
      <c r="P166" s="10"/>
      <c r="Q166" s="10"/>
      <c r="R166" s="10"/>
      <c r="U166" s="10"/>
      <c r="V166" s="10"/>
      <c r="W166" s="10"/>
      <c r="Z166" s="10"/>
      <c r="AA166" s="10"/>
    </row>
    <row r="167" spans="11:27" x14ac:dyDescent="0.25">
      <c r="K167" s="10"/>
      <c r="L167" s="10"/>
      <c r="M167" s="10"/>
      <c r="P167" s="10"/>
      <c r="Q167" s="10"/>
      <c r="R167" s="10"/>
      <c r="U167" s="10"/>
      <c r="V167" s="10"/>
      <c r="W167" s="10"/>
      <c r="Z167" s="10"/>
      <c r="AA167" s="10"/>
    </row>
    <row r="168" spans="11:27" x14ac:dyDescent="0.25">
      <c r="K168" s="10"/>
      <c r="L168" s="10"/>
      <c r="M168" s="10"/>
      <c r="P168" s="10"/>
      <c r="Q168" s="10"/>
      <c r="R168" s="10"/>
      <c r="U168" s="10"/>
      <c r="V168" s="10"/>
      <c r="W168" s="10"/>
      <c r="Z168" s="10"/>
      <c r="AA168" s="10"/>
    </row>
    <row r="169" spans="11:27" x14ac:dyDescent="0.25">
      <c r="K169" s="10"/>
      <c r="L169" s="10"/>
      <c r="M169" s="10"/>
      <c r="P169" s="10"/>
      <c r="Q169" s="10"/>
      <c r="R169" s="10"/>
      <c r="U169" s="10"/>
      <c r="V169" s="10"/>
      <c r="W169" s="10"/>
      <c r="Z169" s="10"/>
      <c r="AA169" s="10"/>
    </row>
    <row r="170" spans="11:27" x14ac:dyDescent="0.25">
      <c r="K170" s="10"/>
      <c r="L170" s="10"/>
      <c r="M170" s="10"/>
      <c r="P170" s="10"/>
      <c r="Q170" s="10"/>
      <c r="R170" s="10"/>
      <c r="U170" s="10"/>
      <c r="V170" s="10"/>
      <c r="W170" s="10"/>
      <c r="Z170" s="10"/>
      <c r="AA170" s="10"/>
    </row>
    <row r="171" spans="11:27" x14ac:dyDescent="0.25">
      <c r="K171" s="10"/>
      <c r="L171" s="10"/>
      <c r="M171" s="10"/>
      <c r="P171" s="10"/>
      <c r="Q171" s="10"/>
      <c r="R171" s="10"/>
      <c r="U171" s="10"/>
      <c r="V171" s="10"/>
      <c r="W171" s="10"/>
      <c r="Z171" s="10"/>
      <c r="AA171" s="10"/>
    </row>
    <row r="172" spans="11:27" x14ac:dyDescent="0.25">
      <c r="K172" s="10"/>
      <c r="L172" s="10"/>
      <c r="M172" s="10"/>
      <c r="P172" s="10"/>
      <c r="Q172" s="10"/>
      <c r="R172" s="10"/>
      <c r="U172" s="10"/>
      <c r="V172" s="10"/>
      <c r="W172" s="10"/>
      <c r="Z172" s="10"/>
      <c r="AA172" s="10"/>
    </row>
    <row r="173" spans="11:27" x14ac:dyDescent="0.25">
      <c r="K173" s="10"/>
      <c r="L173" s="10"/>
      <c r="M173" s="10"/>
      <c r="P173" s="10"/>
      <c r="Q173" s="10"/>
      <c r="R173" s="10"/>
      <c r="U173" s="10"/>
      <c r="V173" s="10"/>
      <c r="W173" s="10"/>
      <c r="Z173" s="10"/>
      <c r="AA173" s="10"/>
    </row>
    <row r="174" spans="11:27" x14ac:dyDescent="0.25">
      <c r="K174" s="10"/>
      <c r="L174" s="10"/>
      <c r="M174" s="10"/>
      <c r="P174" s="10"/>
      <c r="Q174" s="10"/>
      <c r="R174" s="10"/>
      <c r="U174" s="10"/>
      <c r="V174" s="10"/>
      <c r="W174" s="10"/>
      <c r="Z174" s="10"/>
      <c r="AA174" s="10"/>
    </row>
    <row r="175" spans="11:27" x14ac:dyDescent="0.25">
      <c r="K175" s="10"/>
      <c r="L175" s="10"/>
      <c r="M175" s="10"/>
      <c r="P175" s="10"/>
      <c r="Q175" s="10"/>
      <c r="R175" s="10"/>
      <c r="U175" s="10"/>
      <c r="V175" s="10"/>
      <c r="W175" s="10"/>
      <c r="Z175" s="10"/>
      <c r="AA175" s="10"/>
    </row>
    <row r="176" spans="11:27" x14ac:dyDescent="0.25">
      <c r="K176" s="10"/>
      <c r="L176" s="10"/>
      <c r="M176" s="10"/>
      <c r="P176" s="10"/>
      <c r="Q176" s="10"/>
      <c r="R176" s="10"/>
      <c r="U176" s="10"/>
      <c r="V176" s="10"/>
      <c r="W176" s="10"/>
      <c r="Z176" s="10"/>
      <c r="AA176" s="10"/>
    </row>
    <row r="177" spans="11:27" x14ac:dyDescent="0.25">
      <c r="K177" s="10"/>
      <c r="L177" s="10"/>
      <c r="M177" s="10"/>
      <c r="P177" s="10"/>
      <c r="Q177" s="10"/>
      <c r="R177" s="10"/>
      <c r="U177" s="10"/>
      <c r="V177" s="10"/>
      <c r="W177" s="10"/>
      <c r="Z177" s="10"/>
      <c r="AA177" s="10"/>
    </row>
    <row r="178" spans="11:27" x14ac:dyDescent="0.25">
      <c r="K178" s="10"/>
      <c r="L178" s="10"/>
      <c r="M178" s="10"/>
      <c r="P178" s="10"/>
      <c r="Q178" s="10"/>
      <c r="R178" s="10"/>
      <c r="U178" s="10"/>
      <c r="V178" s="10"/>
      <c r="W178" s="10"/>
      <c r="Z178" s="10"/>
      <c r="AA178" s="10"/>
    </row>
    <row r="179" spans="11:27" x14ac:dyDescent="0.25">
      <c r="K179" s="10"/>
      <c r="L179" s="10"/>
      <c r="M179" s="10"/>
      <c r="P179" s="10"/>
      <c r="Q179" s="10"/>
      <c r="R179" s="10"/>
      <c r="U179" s="10"/>
      <c r="V179" s="10"/>
      <c r="W179" s="10"/>
      <c r="Z179" s="10"/>
      <c r="AA179" s="10"/>
    </row>
    <row r="180" spans="11:27" x14ac:dyDescent="0.25">
      <c r="K180" s="10"/>
      <c r="L180" s="10"/>
      <c r="M180" s="10"/>
      <c r="P180" s="10"/>
      <c r="Q180" s="10"/>
      <c r="R180" s="10"/>
      <c r="U180" s="10"/>
      <c r="V180" s="10"/>
      <c r="W180" s="10"/>
      <c r="Z180" s="10"/>
      <c r="AA180" s="10"/>
    </row>
    <row r="181" spans="11:27" x14ac:dyDescent="0.25">
      <c r="K181" s="10"/>
      <c r="L181" s="10"/>
      <c r="M181" s="10"/>
      <c r="P181" s="10"/>
      <c r="Q181" s="10"/>
      <c r="R181" s="10"/>
      <c r="U181" s="10"/>
      <c r="V181" s="10"/>
      <c r="W181" s="10"/>
      <c r="Z181" s="10"/>
      <c r="AA181" s="10"/>
    </row>
    <row r="182" spans="11:27" x14ac:dyDescent="0.25">
      <c r="K182" s="10"/>
      <c r="L182" s="10"/>
      <c r="M182" s="10"/>
      <c r="P182" s="10"/>
      <c r="Q182" s="10"/>
      <c r="R182" s="10"/>
      <c r="U182" s="10"/>
      <c r="V182" s="10"/>
      <c r="W182" s="10"/>
      <c r="Z182" s="10"/>
      <c r="AA182" s="10"/>
    </row>
    <row r="183" spans="11:27" x14ac:dyDescent="0.25">
      <c r="K183" s="10"/>
      <c r="L183" s="10"/>
      <c r="M183" s="10"/>
      <c r="P183" s="10"/>
      <c r="Q183" s="10"/>
      <c r="R183" s="10"/>
      <c r="U183" s="10"/>
      <c r="V183" s="10"/>
      <c r="W183" s="10"/>
      <c r="Z183" s="10"/>
      <c r="AA183" s="10"/>
    </row>
    <row r="184" spans="11:27" x14ac:dyDescent="0.25">
      <c r="K184" s="10"/>
      <c r="L184" s="10"/>
      <c r="M184" s="10"/>
      <c r="P184" s="10"/>
      <c r="Q184" s="10"/>
      <c r="R184" s="10"/>
      <c r="U184" s="10"/>
      <c r="V184" s="10"/>
      <c r="W184" s="10"/>
      <c r="Z184" s="10"/>
      <c r="AA184" s="10"/>
    </row>
    <row r="185" spans="11:27" x14ac:dyDescent="0.25">
      <c r="K185" s="10"/>
      <c r="L185" s="10"/>
      <c r="M185" s="10"/>
      <c r="P185" s="10"/>
      <c r="Q185" s="10"/>
      <c r="R185" s="10"/>
      <c r="U185" s="10"/>
      <c r="V185" s="10"/>
      <c r="W185" s="10"/>
      <c r="Z185" s="10"/>
      <c r="AA185" s="10"/>
    </row>
    <row r="186" spans="11:27" x14ac:dyDescent="0.25">
      <c r="K186" s="10"/>
      <c r="L186" s="10"/>
      <c r="M186" s="10"/>
      <c r="P186" s="10"/>
      <c r="Q186" s="10"/>
      <c r="R186" s="10"/>
      <c r="U186" s="10"/>
      <c r="V186" s="10"/>
      <c r="W186" s="10"/>
      <c r="Z186" s="10"/>
      <c r="AA186" s="10"/>
    </row>
    <row r="187" spans="11:27" x14ac:dyDescent="0.25">
      <c r="K187" s="10"/>
      <c r="L187" s="10"/>
      <c r="M187" s="10"/>
      <c r="P187" s="10"/>
      <c r="Q187" s="10"/>
      <c r="R187" s="10"/>
      <c r="U187" s="10"/>
      <c r="V187" s="10"/>
      <c r="W187" s="10"/>
      <c r="Z187" s="10"/>
      <c r="AA187" s="10"/>
    </row>
    <row r="188" spans="11:27" x14ac:dyDescent="0.25">
      <c r="K188" s="10"/>
      <c r="L188" s="10"/>
      <c r="M188" s="10"/>
      <c r="P188" s="10"/>
      <c r="Q188" s="10"/>
      <c r="R188" s="10"/>
      <c r="U188" s="10"/>
      <c r="V188" s="10"/>
      <c r="W188" s="10"/>
      <c r="Z188" s="10"/>
      <c r="AA188" s="10"/>
    </row>
    <row r="189" spans="11:27" x14ac:dyDescent="0.25">
      <c r="K189" s="10"/>
      <c r="L189" s="10"/>
      <c r="M189" s="10"/>
      <c r="P189" s="10"/>
      <c r="Q189" s="10"/>
      <c r="R189" s="10"/>
      <c r="U189" s="10"/>
      <c r="V189" s="10"/>
      <c r="W189" s="10"/>
      <c r="Z189" s="10"/>
      <c r="AA189" s="10"/>
    </row>
    <row r="190" spans="11:27" x14ac:dyDescent="0.25">
      <c r="K190" s="10"/>
      <c r="L190" s="10"/>
      <c r="M190" s="10"/>
      <c r="P190" s="10"/>
      <c r="Q190" s="10"/>
      <c r="R190" s="10"/>
      <c r="U190" s="10"/>
      <c r="V190" s="10"/>
      <c r="W190" s="10"/>
      <c r="Z190" s="10"/>
      <c r="AA190" s="10"/>
    </row>
    <row r="191" spans="11:27" x14ac:dyDescent="0.25">
      <c r="K191" s="10"/>
      <c r="L191" s="10"/>
      <c r="M191" s="10"/>
      <c r="P191" s="10"/>
      <c r="Q191" s="10"/>
      <c r="R191" s="10"/>
      <c r="U191" s="10"/>
      <c r="V191" s="10"/>
      <c r="W191" s="10"/>
      <c r="Z191" s="10"/>
      <c r="AA191" s="10"/>
    </row>
    <row r="192" spans="11:27" x14ac:dyDescent="0.25">
      <c r="K192" s="10"/>
      <c r="L192" s="10"/>
      <c r="M192" s="10"/>
      <c r="P192" s="10"/>
      <c r="Q192" s="10"/>
      <c r="R192" s="10"/>
      <c r="U192" s="10"/>
      <c r="V192" s="10"/>
      <c r="W192" s="10"/>
      <c r="Z192" s="10"/>
      <c r="AA192" s="10"/>
    </row>
    <row r="193" spans="11:27" x14ac:dyDescent="0.25">
      <c r="K193" s="10"/>
      <c r="L193" s="10"/>
      <c r="M193" s="10"/>
      <c r="P193" s="10"/>
      <c r="Q193" s="10"/>
      <c r="R193" s="10"/>
      <c r="U193" s="10"/>
      <c r="V193" s="10"/>
      <c r="W193" s="10"/>
      <c r="Z193" s="10"/>
      <c r="AA193" s="10"/>
    </row>
    <row r="194" spans="11:27" x14ac:dyDescent="0.25">
      <c r="K194" s="10"/>
      <c r="L194" s="10"/>
      <c r="M194" s="10"/>
      <c r="P194" s="10"/>
      <c r="Q194" s="10"/>
      <c r="R194" s="10"/>
      <c r="U194" s="10"/>
      <c r="V194" s="10"/>
      <c r="W194" s="10"/>
      <c r="Z194" s="10"/>
      <c r="AA194" s="10"/>
    </row>
    <row r="195" spans="11:27" x14ac:dyDescent="0.25">
      <c r="K195" s="10"/>
      <c r="L195" s="10"/>
      <c r="M195" s="10"/>
      <c r="P195" s="10"/>
      <c r="Q195" s="10"/>
      <c r="R195" s="10"/>
      <c r="U195" s="10"/>
      <c r="V195" s="10"/>
      <c r="W195" s="10"/>
      <c r="Z195" s="10"/>
      <c r="AA195" s="10"/>
    </row>
    <row r="196" spans="11:27" x14ac:dyDescent="0.25">
      <c r="K196" s="10"/>
      <c r="L196" s="10"/>
      <c r="M196" s="10"/>
      <c r="P196" s="10"/>
      <c r="Q196" s="10"/>
      <c r="R196" s="10"/>
      <c r="U196" s="10"/>
      <c r="V196" s="10"/>
      <c r="W196" s="10"/>
      <c r="Z196" s="10"/>
      <c r="AA196" s="10"/>
    </row>
    <row r="197" spans="11:27" x14ac:dyDescent="0.25">
      <c r="K197" s="10"/>
      <c r="L197" s="10"/>
      <c r="M197" s="10"/>
      <c r="P197" s="10"/>
      <c r="Q197" s="10"/>
      <c r="R197" s="10"/>
      <c r="U197" s="10"/>
      <c r="V197" s="10"/>
      <c r="W197" s="10"/>
      <c r="Z197" s="10"/>
      <c r="AA197" s="10"/>
    </row>
    <row r="198" spans="11:27" x14ac:dyDescent="0.25">
      <c r="K198" s="10"/>
      <c r="L198" s="10"/>
      <c r="M198" s="10"/>
      <c r="P198" s="10"/>
      <c r="Q198" s="10"/>
      <c r="R198" s="10"/>
      <c r="U198" s="10"/>
      <c r="V198" s="10"/>
      <c r="W198" s="10"/>
      <c r="Z198" s="10"/>
      <c r="AA198" s="10"/>
    </row>
    <row r="199" spans="11:27" x14ac:dyDescent="0.25">
      <c r="K199" s="10"/>
      <c r="L199" s="10"/>
      <c r="M199" s="10"/>
      <c r="P199" s="10"/>
      <c r="Q199" s="10"/>
      <c r="R199" s="10"/>
      <c r="U199" s="10"/>
      <c r="V199" s="10"/>
      <c r="W199" s="10"/>
      <c r="Z199" s="10"/>
      <c r="AA199" s="10"/>
    </row>
    <row r="200" spans="11:27" x14ac:dyDescent="0.25">
      <c r="K200" s="10"/>
      <c r="L200" s="10"/>
      <c r="M200" s="10"/>
      <c r="P200" s="10"/>
      <c r="Q200" s="10"/>
      <c r="R200" s="10"/>
      <c r="U200" s="10"/>
      <c r="V200" s="10"/>
      <c r="W200" s="10"/>
      <c r="Z200" s="10"/>
      <c r="AA200" s="10"/>
    </row>
    <row r="201" spans="11:27" x14ac:dyDescent="0.25">
      <c r="K201" s="10"/>
      <c r="L201" s="10"/>
      <c r="M201" s="10"/>
      <c r="P201" s="10"/>
      <c r="Q201" s="10"/>
      <c r="R201" s="10"/>
      <c r="U201" s="10"/>
      <c r="V201" s="10"/>
      <c r="W201" s="10"/>
      <c r="Z201" s="10"/>
      <c r="AA201" s="10"/>
    </row>
    <row r="202" spans="11:27" x14ac:dyDescent="0.25">
      <c r="K202" s="10"/>
      <c r="L202" s="10"/>
      <c r="M202" s="10"/>
      <c r="P202" s="10"/>
      <c r="Q202" s="10"/>
      <c r="R202" s="10"/>
      <c r="U202" s="10"/>
      <c r="V202" s="10"/>
      <c r="W202" s="10"/>
      <c r="Z202" s="10"/>
      <c r="AA202" s="10"/>
    </row>
    <row r="203" spans="11:27" x14ac:dyDescent="0.25">
      <c r="K203" s="10"/>
      <c r="L203" s="10"/>
      <c r="M203" s="10"/>
      <c r="P203" s="10"/>
      <c r="Q203" s="10"/>
      <c r="R203" s="10"/>
      <c r="U203" s="10"/>
      <c r="V203" s="10"/>
      <c r="W203" s="10"/>
      <c r="Z203" s="10"/>
      <c r="AA203" s="10"/>
    </row>
    <row r="204" spans="11:27" x14ac:dyDescent="0.25">
      <c r="K204" s="10"/>
      <c r="L204" s="10"/>
      <c r="M204" s="10"/>
      <c r="P204" s="10"/>
      <c r="Q204" s="10"/>
      <c r="R204" s="10"/>
      <c r="U204" s="10"/>
      <c r="V204" s="10"/>
      <c r="W204" s="10"/>
      <c r="Z204" s="10"/>
      <c r="AA204" s="10"/>
    </row>
    <row r="205" spans="11:27" x14ac:dyDescent="0.25">
      <c r="K205" s="10"/>
      <c r="L205" s="10"/>
      <c r="M205" s="10"/>
      <c r="P205" s="10"/>
      <c r="Q205" s="10"/>
      <c r="R205" s="10"/>
      <c r="U205" s="10"/>
      <c r="V205" s="10"/>
      <c r="W205" s="10"/>
      <c r="Z205" s="10"/>
      <c r="AA205" s="10"/>
    </row>
    <row r="206" spans="11:27" x14ac:dyDescent="0.25">
      <c r="K206" s="10"/>
      <c r="L206" s="10"/>
      <c r="M206" s="10"/>
      <c r="P206" s="10"/>
      <c r="Q206" s="10"/>
      <c r="R206" s="10"/>
      <c r="U206" s="10"/>
      <c r="V206" s="10"/>
      <c r="W206" s="10"/>
      <c r="Z206" s="10"/>
      <c r="AA206" s="10"/>
    </row>
    <row r="207" spans="11:27" x14ac:dyDescent="0.25">
      <c r="K207" s="10"/>
      <c r="L207" s="10"/>
      <c r="M207" s="10"/>
      <c r="P207" s="10"/>
      <c r="Q207" s="10"/>
      <c r="R207" s="10"/>
      <c r="U207" s="10"/>
      <c r="V207" s="10"/>
      <c r="W207" s="10"/>
      <c r="Z207" s="10"/>
      <c r="AA207" s="10"/>
    </row>
    <row r="208" spans="11:27" x14ac:dyDescent="0.25">
      <c r="K208" s="10"/>
      <c r="L208" s="10"/>
      <c r="M208" s="10"/>
      <c r="P208" s="10"/>
      <c r="Q208" s="10"/>
      <c r="R208" s="10"/>
      <c r="U208" s="10"/>
      <c r="V208" s="10"/>
      <c r="W208" s="10"/>
      <c r="Z208" s="10"/>
      <c r="AA208" s="10"/>
    </row>
    <row r="209" spans="11:27" x14ac:dyDescent="0.25">
      <c r="K209" s="10"/>
      <c r="L209" s="10"/>
      <c r="M209" s="10"/>
      <c r="P209" s="10"/>
      <c r="Q209" s="10"/>
      <c r="R209" s="10"/>
      <c r="U209" s="10"/>
      <c r="V209" s="10"/>
      <c r="W209" s="10"/>
      <c r="Z209" s="10"/>
      <c r="AA209" s="10"/>
    </row>
    <row r="210" spans="11:27" x14ac:dyDescent="0.25">
      <c r="K210" s="10"/>
      <c r="L210" s="10"/>
      <c r="M210" s="10"/>
      <c r="P210" s="10"/>
      <c r="Q210" s="10"/>
      <c r="R210" s="10"/>
      <c r="U210" s="10"/>
      <c r="V210" s="10"/>
      <c r="W210" s="10"/>
      <c r="Z210" s="10"/>
      <c r="AA210" s="10"/>
    </row>
    <row r="211" spans="11:27" x14ac:dyDescent="0.25">
      <c r="K211" s="10"/>
      <c r="L211" s="10"/>
      <c r="M211" s="10"/>
      <c r="P211" s="10"/>
      <c r="Q211" s="10"/>
      <c r="R211" s="10"/>
      <c r="U211" s="10"/>
      <c r="V211" s="10"/>
      <c r="W211" s="10"/>
      <c r="Z211" s="10"/>
      <c r="AA211" s="10"/>
    </row>
    <row r="212" spans="11:27" x14ac:dyDescent="0.25">
      <c r="K212" s="10"/>
      <c r="L212" s="10"/>
      <c r="M212" s="10"/>
      <c r="P212" s="10"/>
      <c r="Q212" s="10"/>
      <c r="R212" s="10"/>
      <c r="U212" s="10"/>
      <c r="V212" s="10"/>
      <c r="W212" s="10"/>
      <c r="Z212" s="10"/>
      <c r="AA212" s="10"/>
    </row>
    <row r="213" spans="11:27" x14ac:dyDescent="0.25">
      <c r="K213" s="10"/>
      <c r="L213" s="10"/>
      <c r="M213" s="10"/>
      <c r="P213" s="10"/>
      <c r="Q213" s="10"/>
      <c r="R213" s="10"/>
      <c r="U213" s="10"/>
      <c r="V213" s="10"/>
      <c r="W213" s="10"/>
      <c r="Z213" s="10"/>
      <c r="AA213" s="10"/>
    </row>
    <row r="214" spans="11:27" x14ac:dyDescent="0.25">
      <c r="K214" s="10"/>
      <c r="L214" s="10"/>
      <c r="M214" s="10"/>
      <c r="P214" s="10"/>
      <c r="Q214" s="10"/>
      <c r="R214" s="10"/>
      <c r="U214" s="10"/>
      <c r="V214" s="10"/>
      <c r="W214" s="10"/>
      <c r="Z214" s="10"/>
      <c r="AA214" s="10"/>
    </row>
    <row r="215" spans="11:27" x14ac:dyDescent="0.25">
      <c r="K215" s="10"/>
      <c r="L215" s="10"/>
      <c r="M215" s="10"/>
      <c r="P215" s="10"/>
      <c r="Q215" s="10"/>
      <c r="R215" s="10"/>
      <c r="U215" s="10"/>
      <c r="V215" s="10"/>
      <c r="W215" s="10"/>
      <c r="Z215" s="10"/>
      <c r="AA215" s="10"/>
    </row>
    <row r="216" spans="11:27" x14ac:dyDescent="0.25">
      <c r="K216" s="10"/>
      <c r="L216" s="10"/>
      <c r="M216" s="10"/>
      <c r="P216" s="10"/>
      <c r="Q216" s="10"/>
      <c r="R216" s="10"/>
      <c r="U216" s="10"/>
      <c r="V216" s="10"/>
      <c r="W216" s="10"/>
      <c r="Z216" s="10"/>
      <c r="AA216" s="10"/>
    </row>
    <row r="217" spans="11:27" x14ac:dyDescent="0.25">
      <c r="K217" s="10"/>
      <c r="L217" s="10"/>
      <c r="M217" s="10"/>
      <c r="P217" s="10"/>
      <c r="Q217" s="10"/>
      <c r="R217" s="10"/>
      <c r="U217" s="10"/>
      <c r="V217" s="10"/>
      <c r="W217" s="10"/>
      <c r="Z217" s="10"/>
      <c r="AA217" s="10"/>
    </row>
    <row r="218" spans="11:27" x14ac:dyDescent="0.25">
      <c r="K218" s="10"/>
      <c r="L218" s="10"/>
      <c r="M218" s="10"/>
      <c r="P218" s="10"/>
      <c r="Q218" s="10"/>
      <c r="R218" s="10"/>
      <c r="U218" s="10"/>
      <c r="V218" s="10"/>
      <c r="W218" s="10"/>
      <c r="Z218" s="10"/>
      <c r="AA218" s="10"/>
    </row>
    <row r="219" spans="11:27" x14ac:dyDescent="0.25">
      <c r="K219" s="10"/>
      <c r="L219" s="10"/>
      <c r="M219" s="10"/>
      <c r="P219" s="10"/>
      <c r="Q219" s="10"/>
      <c r="R219" s="10"/>
      <c r="U219" s="10"/>
      <c r="V219" s="10"/>
      <c r="W219" s="10"/>
      <c r="Z219" s="10"/>
      <c r="AA219" s="10"/>
    </row>
    <row r="220" spans="11:27" x14ac:dyDescent="0.25">
      <c r="K220" s="10"/>
      <c r="L220" s="10"/>
      <c r="M220" s="10"/>
      <c r="P220" s="10"/>
      <c r="Q220" s="10"/>
      <c r="R220" s="10"/>
      <c r="U220" s="10"/>
      <c r="V220" s="10"/>
      <c r="W220" s="10"/>
      <c r="Z220" s="10"/>
      <c r="AA220" s="10"/>
    </row>
    <row r="221" spans="11:27" x14ac:dyDescent="0.25">
      <c r="K221" s="10"/>
      <c r="L221" s="10"/>
      <c r="M221" s="10"/>
      <c r="P221" s="10"/>
      <c r="Q221" s="10"/>
      <c r="R221" s="10"/>
      <c r="U221" s="10"/>
      <c r="V221" s="10"/>
      <c r="W221" s="10"/>
      <c r="Z221" s="10"/>
      <c r="AA221" s="10"/>
    </row>
    <row r="222" spans="11:27" x14ac:dyDescent="0.25">
      <c r="K222" s="10"/>
      <c r="L222" s="10"/>
      <c r="M222" s="10"/>
      <c r="P222" s="10"/>
      <c r="Q222" s="10"/>
      <c r="R222" s="10"/>
      <c r="U222" s="10"/>
      <c r="V222" s="10"/>
      <c r="W222" s="10"/>
      <c r="Z222" s="10"/>
      <c r="AA222" s="10"/>
    </row>
    <row r="223" spans="11:27" x14ac:dyDescent="0.25">
      <c r="K223" s="10"/>
      <c r="L223" s="10"/>
      <c r="M223" s="10"/>
      <c r="P223" s="10"/>
      <c r="Q223" s="10"/>
      <c r="R223" s="10"/>
      <c r="U223" s="10"/>
      <c r="V223" s="10"/>
      <c r="W223" s="10"/>
      <c r="Z223" s="10"/>
      <c r="AA223" s="10"/>
    </row>
    <row r="224" spans="11:27" x14ac:dyDescent="0.25">
      <c r="K224" s="10"/>
      <c r="L224" s="10"/>
      <c r="M224" s="10"/>
      <c r="P224" s="10"/>
      <c r="Q224" s="10"/>
      <c r="R224" s="10"/>
      <c r="U224" s="10"/>
      <c r="V224" s="10"/>
      <c r="W224" s="10"/>
      <c r="Z224" s="10"/>
      <c r="AA224" s="10"/>
    </row>
    <row r="225" spans="11:27" x14ac:dyDescent="0.25">
      <c r="K225" s="10"/>
      <c r="L225" s="10"/>
      <c r="M225" s="10"/>
      <c r="P225" s="10"/>
      <c r="Q225" s="10"/>
      <c r="R225" s="10"/>
      <c r="U225" s="10"/>
      <c r="V225" s="10"/>
      <c r="W225" s="10"/>
      <c r="Z225" s="10"/>
      <c r="AA225" s="10"/>
    </row>
    <row r="226" spans="11:27" x14ac:dyDescent="0.25">
      <c r="K226" s="10"/>
      <c r="L226" s="10"/>
      <c r="M226" s="10"/>
      <c r="P226" s="10"/>
      <c r="Q226" s="10"/>
      <c r="R226" s="10"/>
      <c r="U226" s="10"/>
      <c r="V226" s="10"/>
      <c r="W226" s="10"/>
      <c r="Z226" s="10"/>
      <c r="AA226" s="10"/>
    </row>
    <row r="227" spans="11:27" x14ac:dyDescent="0.25">
      <c r="K227" s="10"/>
      <c r="L227" s="10"/>
      <c r="M227" s="10"/>
      <c r="P227" s="10"/>
      <c r="Q227" s="10"/>
      <c r="R227" s="10"/>
      <c r="U227" s="10"/>
      <c r="V227" s="10"/>
      <c r="W227" s="10"/>
      <c r="Z227" s="10"/>
      <c r="AA227" s="10"/>
    </row>
    <row r="228" spans="11:27" x14ac:dyDescent="0.25">
      <c r="K228" s="10"/>
      <c r="L228" s="10"/>
      <c r="M228" s="10"/>
      <c r="P228" s="10"/>
      <c r="Q228" s="10"/>
      <c r="R228" s="10"/>
      <c r="U228" s="10"/>
      <c r="V228" s="10"/>
      <c r="W228" s="10"/>
      <c r="Z228" s="10"/>
      <c r="AA228" s="10"/>
    </row>
    <row r="229" spans="11:27" x14ac:dyDescent="0.25">
      <c r="K229" s="10"/>
      <c r="L229" s="10"/>
      <c r="M229" s="10"/>
      <c r="P229" s="10"/>
      <c r="Q229" s="10"/>
      <c r="R229" s="10"/>
      <c r="U229" s="10"/>
      <c r="V229" s="10"/>
      <c r="W229" s="10"/>
      <c r="Z229" s="10"/>
      <c r="AA229" s="10"/>
    </row>
    <row r="230" spans="11:27" x14ac:dyDescent="0.25">
      <c r="K230" s="10"/>
      <c r="L230" s="10"/>
      <c r="M230" s="10"/>
      <c r="P230" s="10"/>
      <c r="Q230" s="10"/>
      <c r="R230" s="10"/>
      <c r="U230" s="10"/>
      <c r="V230" s="10"/>
      <c r="W230" s="10"/>
      <c r="Z230" s="10"/>
      <c r="AA230" s="10"/>
    </row>
  </sheetData>
  <sortState xmlns:xlrd2="http://schemas.microsoft.com/office/spreadsheetml/2017/richdata2" ref="E1:H1">
    <sortCondition descending="1" ref="H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38CA-C550-4170-87DA-8873DF864564}">
  <dimension ref="A1:X88"/>
  <sheetViews>
    <sheetView workbookViewId="0">
      <pane ySplit="2" topLeftCell="A3" activePane="bottomLeft" state="frozen"/>
      <selection pane="bottomLeft" activeCell="A9" sqref="A9"/>
    </sheetView>
  </sheetViews>
  <sheetFormatPr defaultRowHeight="15" x14ac:dyDescent="0.25"/>
  <cols>
    <col min="2" max="2" width="20.7109375" customWidth="1"/>
    <col min="3" max="3" width="14.7109375" hidden="1" customWidth="1"/>
    <col min="4" max="4" width="2.7109375" style="9" customWidth="1"/>
    <col min="5" max="5" width="8.85546875" customWidth="1"/>
    <col min="6" max="6" width="20.7109375" customWidth="1"/>
    <col min="7" max="7" width="14.7109375" hidden="1" customWidth="1"/>
    <col min="8" max="8" width="2.7109375" style="9" customWidth="1"/>
    <col min="9" max="9" width="8.85546875" customWidth="1"/>
    <col min="10" max="10" width="20.7109375" customWidth="1"/>
    <col min="11" max="11" width="14.7109375" hidden="1" customWidth="1"/>
    <col min="12" max="12" width="2.7109375" style="9" customWidth="1"/>
    <col min="13" max="13" width="8.85546875" customWidth="1"/>
    <col min="14" max="14" width="22" bestFit="1" customWidth="1"/>
    <col min="15" max="15" width="14.7109375" hidden="1" customWidth="1"/>
    <col min="16" max="16" width="2.7109375" style="9" customWidth="1"/>
    <col min="17" max="17" width="8.85546875" customWidth="1"/>
    <col min="18" max="18" width="20.7109375" customWidth="1"/>
    <col min="19" max="19" width="14.7109375" hidden="1" customWidth="1"/>
    <col min="20" max="20" width="2.7109375" style="9" customWidth="1"/>
    <col min="21" max="21" width="8.85546875" customWidth="1"/>
    <col min="22" max="22" width="20.7109375" customWidth="1"/>
    <col min="23" max="23" width="14.7109375" hidden="1" customWidth="1"/>
    <col min="24" max="24" width="2.7109375" style="9" customWidth="1"/>
    <col min="25" max="25" width="8.85546875" customWidth="1"/>
  </cols>
  <sheetData>
    <row r="1" spans="1:24" s="4" customFormat="1" x14ac:dyDescent="0.25">
      <c r="A1" s="18" t="s">
        <v>19</v>
      </c>
      <c r="B1" s="18"/>
      <c r="C1" s="18"/>
      <c r="D1" s="8"/>
      <c r="E1" s="18" t="s">
        <v>15</v>
      </c>
      <c r="F1" s="18"/>
      <c r="G1" s="18"/>
      <c r="H1" s="8"/>
      <c r="I1" s="18" t="s">
        <v>37</v>
      </c>
      <c r="J1" s="18"/>
      <c r="K1" s="18"/>
      <c r="L1" s="8"/>
      <c r="M1" s="18" t="s">
        <v>35</v>
      </c>
      <c r="N1" s="18"/>
      <c r="O1" s="18"/>
      <c r="P1" s="8"/>
      <c r="Q1" s="18" t="s">
        <v>36</v>
      </c>
      <c r="R1" s="18"/>
      <c r="S1" s="18"/>
      <c r="T1" s="8"/>
      <c r="U1" s="18" t="s">
        <v>38</v>
      </c>
      <c r="V1" s="18"/>
      <c r="W1" s="18"/>
      <c r="X1" s="8"/>
    </row>
    <row r="2" spans="1:24" s="4" customFormat="1" x14ac:dyDescent="0.25">
      <c r="A2" s="18"/>
      <c r="B2" s="18"/>
      <c r="C2" s="18"/>
      <c r="D2" s="8"/>
      <c r="E2" s="18"/>
      <c r="F2" s="18"/>
      <c r="G2" s="18"/>
      <c r="H2" s="8"/>
      <c r="I2" s="18"/>
      <c r="J2" s="18"/>
      <c r="K2" s="18"/>
      <c r="L2" s="8"/>
      <c r="M2" s="18"/>
      <c r="N2" s="18"/>
      <c r="O2" s="18"/>
      <c r="P2" s="8"/>
      <c r="Q2" s="18"/>
      <c r="R2" s="18"/>
      <c r="S2" s="18"/>
      <c r="T2" s="8"/>
      <c r="U2" s="18"/>
      <c r="V2" s="18"/>
      <c r="W2" s="18"/>
      <c r="X2" s="8"/>
    </row>
    <row r="3" spans="1:24" x14ac:dyDescent="0.25">
      <c r="A3" s="4" t="s">
        <v>20</v>
      </c>
      <c r="B3" t="e" cm="1">
        <f t="array" ref="B3:B86">_xlfn._xlws.SORT(C3:C86,1,-1,0)</f>
        <v>#REF!</v>
      </c>
      <c r="C3" t="e">
        <f>IF(#REF!="Não",#REF!, " ")</f>
        <v>#REF!</v>
      </c>
      <c r="E3" s="4" t="s">
        <v>20</v>
      </c>
      <c r="F3" t="e" cm="1">
        <f t="array" ref="F3:F86">_xlfn._xlws.SORT(G3:G86,1,-1,0)</f>
        <v>#REF!</v>
      </c>
      <c r="G3" t="e">
        <f>IF(#REF!="Não",#REF!, " ")</f>
        <v>#REF!</v>
      </c>
      <c r="I3" s="4" t="s">
        <v>20</v>
      </c>
      <c r="J3" t="e" cm="1">
        <f t="array" ref="J3:J86">_xlfn._xlws.SORT(K3:K86,1,-1,0)</f>
        <v>#REF!</v>
      </c>
      <c r="K3" t="e">
        <f>IF(#REF!="Não",#REF!, " ")</f>
        <v>#REF!</v>
      </c>
      <c r="M3" s="4" t="s">
        <v>20</v>
      </c>
      <c r="N3" t="e" cm="1">
        <f t="array" ref="N3:N86">_xlfn._xlws.SORT(O3:O86,1,-1,0)</f>
        <v>#REF!</v>
      </c>
      <c r="O3" t="e">
        <f>IF(#REF!="Não",#REF!, " ")</f>
        <v>#REF!</v>
      </c>
      <c r="Q3" s="4" t="s">
        <v>20</v>
      </c>
      <c r="R3" t="e" cm="1">
        <f t="array" ref="R3:R86">_xlfn._xlws.SORT(S3:S86,1,-1,0)</f>
        <v>#REF!</v>
      </c>
      <c r="S3" t="e">
        <f>IF(#REF!="Não",#REF!, " ")</f>
        <v>#REF!</v>
      </c>
      <c r="U3" s="4" t="s">
        <v>20</v>
      </c>
      <c r="V3" t="e" cm="1">
        <f t="array" ref="V3:V86">_xlfn._xlws.SORT(W3:W86,1,-1,0)</f>
        <v>#REF!</v>
      </c>
      <c r="W3" t="e">
        <f>IF(#REF!="Não",#REF!, " ")</f>
        <v>#REF!</v>
      </c>
    </row>
    <row r="4" spans="1:24" x14ac:dyDescent="0.25">
      <c r="A4" s="3" t="e">
        <f>#REF!</f>
        <v>#REF!</v>
      </c>
      <c r="B4" t="e">
        <v>#REF!</v>
      </c>
      <c r="C4" t="e">
        <f>IF(#REF!="Não",#REF!, " ")</f>
        <v>#REF!</v>
      </c>
      <c r="E4" s="3" t="e">
        <f>#REF!</f>
        <v>#REF!</v>
      </c>
      <c r="F4" t="e">
        <v>#REF!</v>
      </c>
      <c r="G4" t="e">
        <f>IF(#REF!="Não",#REF!, " ")</f>
        <v>#REF!</v>
      </c>
      <c r="I4" s="3" t="e">
        <f>#REF!</f>
        <v>#REF!</v>
      </c>
      <c r="J4" t="e">
        <v>#REF!</v>
      </c>
      <c r="K4" t="e">
        <f>IF(#REF!="Não",#REF!, " ")</f>
        <v>#REF!</v>
      </c>
      <c r="M4" s="3" t="e">
        <f>#REF!</f>
        <v>#REF!</v>
      </c>
      <c r="N4" t="e">
        <v>#REF!</v>
      </c>
      <c r="O4" t="e">
        <f>IF(#REF!="Não",#REF!, " ")</f>
        <v>#REF!</v>
      </c>
      <c r="Q4" s="3" t="e">
        <f>#REF!</f>
        <v>#REF!</v>
      </c>
      <c r="R4" t="e">
        <v>#REF!</v>
      </c>
      <c r="S4" t="e">
        <f>IF(#REF!="Não",#REF!, " ")</f>
        <v>#REF!</v>
      </c>
      <c r="U4" s="3" t="e">
        <f>#REF!</f>
        <v>#REF!</v>
      </c>
      <c r="V4" t="e">
        <v>#REF!</v>
      </c>
      <c r="W4" t="e">
        <f>IF(#REF!="Não",#REF!, " ")</f>
        <v>#REF!</v>
      </c>
    </row>
    <row r="5" spans="1:24" x14ac:dyDescent="0.25">
      <c r="B5" t="e">
        <v>#REF!</v>
      </c>
      <c r="C5" t="e">
        <f>IF(#REF!="Não",#REF!, " ")</f>
        <v>#REF!</v>
      </c>
      <c r="F5" t="e">
        <v>#REF!</v>
      </c>
      <c r="G5" t="e">
        <f>IF(#REF!="Não",#REF!, " ")</f>
        <v>#REF!</v>
      </c>
      <c r="J5" t="e">
        <v>#REF!</v>
      </c>
      <c r="K5" t="e">
        <f>IF(#REF!="Não",#REF!, " ")</f>
        <v>#REF!</v>
      </c>
      <c r="N5" t="e">
        <v>#REF!</v>
      </c>
      <c r="O5" t="e">
        <f>IF(#REF!="Não",#REF!, " ")</f>
        <v>#REF!</v>
      </c>
      <c r="R5" t="e">
        <v>#REF!</v>
      </c>
      <c r="S5" t="e">
        <f>IF(#REF!="Não",#REF!, " ")</f>
        <v>#REF!</v>
      </c>
      <c r="V5" t="e">
        <v>#REF!</v>
      </c>
      <c r="W5" t="e">
        <f>IF(#REF!="Não",#REF!, " ")</f>
        <v>#REF!</v>
      </c>
    </row>
    <row r="6" spans="1:24" x14ac:dyDescent="0.25">
      <c r="B6" t="e">
        <v>#REF!</v>
      </c>
      <c r="C6" t="e">
        <f>IF(#REF!="Não",#REF!, " ")</f>
        <v>#REF!</v>
      </c>
      <c r="F6" t="e">
        <v>#REF!</v>
      </c>
      <c r="G6" t="e">
        <f>IF(#REF!="Não",#REF!, " ")</f>
        <v>#REF!</v>
      </c>
      <c r="J6" t="e">
        <v>#REF!</v>
      </c>
      <c r="K6" t="e">
        <f>IF(#REF!="Não",#REF!, " ")</f>
        <v>#REF!</v>
      </c>
      <c r="N6" t="e">
        <v>#REF!</v>
      </c>
      <c r="O6" t="e">
        <f>IF(#REF!="Não",#REF!, " ")</f>
        <v>#REF!</v>
      </c>
      <c r="R6" t="e">
        <v>#REF!</v>
      </c>
      <c r="S6" t="e">
        <f>IF(#REF!="Não",#REF!, " ")</f>
        <v>#REF!</v>
      </c>
      <c r="V6" t="e">
        <v>#REF!</v>
      </c>
      <c r="W6" t="e">
        <f>IF(#REF!="Não",#REF!, " ")</f>
        <v>#REF!</v>
      </c>
    </row>
    <row r="7" spans="1:24" x14ac:dyDescent="0.25">
      <c r="B7" t="e">
        <v>#REF!</v>
      </c>
      <c r="C7" t="e">
        <f>IF(#REF!="Não",#REF!, " ")</f>
        <v>#REF!</v>
      </c>
      <c r="F7" t="e">
        <v>#REF!</v>
      </c>
      <c r="G7" t="e">
        <f>IF(#REF!="Não",#REF!, " ")</f>
        <v>#REF!</v>
      </c>
      <c r="J7" t="e">
        <v>#REF!</v>
      </c>
      <c r="K7" t="e">
        <f>IF(#REF!="Não",#REF!, " ")</f>
        <v>#REF!</v>
      </c>
      <c r="N7" t="e">
        <v>#REF!</v>
      </c>
      <c r="O7" t="e">
        <f>IF(#REF!="Não",#REF!, " ")</f>
        <v>#REF!</v>
      </c>
      <c r="R7" t="e">
        <v>#REF!</v>
      </c>
      <c r="S7" t="e">
        <f>IF(#REF!="Não",#REF!, " ")</f>
        <v>#REF!</v>
      </c>
      <c r="V7" t="e">
        <v>#REF!</v>
      </c>
      <c r="W7" t="e">
        <f>IF(#REF!="Não",#REF!, " ")</f>
        <v>#REF!</v>
      </c>
    </row>
    <row r="8" spans="1:24" x14ac:dyDescent="0.25">
      <c r="B8" t="e">
        <v>#REF!</v>
      </c>
      <c r="C8" t="e">
        <f>IF(#REF!="Não",#REF!, " ")</f>
        <v>#REF!</v>
      </c>
      <c r="F8" t="e">
        <v>#REF!</v>
      </c>
      <c r="G8" t="e">
        <f>IF(#REF!="Não",#REF!, " ")</f>
        <v>#REF!</v>
      </c>
      <c r="J8" t="e">
        <v>#REF!</v>
      </c>
      <c r="K8" t="e">
        <f>IF(#REF!="Não",#REF!, " ")</f>
        <v>#REF!</v>
      </c>
      <c r="N8" t="e">
        <v>#REF!</v>
      </c>
      <c r="O8" t="e">
        <f>IF(#REF!="Não",#REF!, " ")</f>
        <v>#REF!</v>
      </c>
      <c r="R8" t="e">
        <v>#REF!</v>
      </c>
      <c r="S8" t="e">
        <f>IF(#REF!="Não",#REF!, " ")</f>
        <v>#REF!</v>
      </c>
      <c r="V8" t="e">
        <v>#REF!</v>
      </c>
      <c r="W8" t="e">
        <f>IF(#REF!="Não",#REF!, " ")</f>
        <v>#REF!</v>
      </c>
    </row>
    <row r="9" spans="1:24" x14ac:dyDescent="0.25">
      <c r="B9" t="e">
        <v>#REF!</v>
      </c>
      <c r="C9" t="e">
        <f>IF(#REF!="Não",#REF!, " ")</f>
        <v>#REF!</v>
      </c>
      <c r="F9" t="e">
        <v>#REF!</v>
      </c>
      <c r="G9" t="e">
        <f>IF(#REF!="Não",#REF!, " ")</f>
        <v>#REF!</v>
      </c>
      <c r="J9" t="e">
        <v>#REF!</v>
      </c>
      <c r="K9" t="e">
        <f>IF(#REF!="Não",#REF!, " ")</f>
        <v>#REF!</v>
      </c>
      <c r="N9" t="e">
        <v>#REF!</v>
      </c>
      <c r="O9" t="e">
        <f>IF(#REF!="Não",#REF!, " ")</f>
        <v>#REF!</v>
      </c>
      <c r="R9" t="e">
        <v>#REF!</v>
      </c>
      <c r="S9" t="e">
        <f>IF(#REF!="Não",#REF!, " ")</f>
        <v>#REF!</v>
      </c>
      <c r="V9" t="e">
        <v>#REF!</v>
      </c>
      <c r="W9" t="e">
        <f>IF(#REF!="Não",#REF!, " ")</f>
        <v>#REF!</v>
      </c>
    </row>
    <row r="10" spans="1:24" x14ac:dyDescent="0.25">
      <c r="B10" t="e">
        <v>#REF!</v>
      </c>
      <c r="C10" t="e">
        <f>IF(#REF!="Não",#REF!, " ")</f>
        <v>#REF!</v>
      </c>
      <c r="F10" t="e">
        <v>#REF!</v>
      </c>
      <c r="G10" t="e">
        <f>IF(#REF!="Não",#REF!, " ")</f>
        <v>#REF!</v>
      </c>
      <c r="J10" t="e">
        <v>#REF!</v>
      </c>
      <c r="K10" t="e">
        <f>IF(#REF!="Não",#REF!, " ")</f>
        <v>#REF!</v>
      </c>
      <c r="N10" t="e">
        <v>#REF!</v>
      </c>
      <c r="O10" t="e">
        <f>IF(#REF!="Não",#REF!, " ")</f>
        <v>#REF!</v>
      </c>
      <c r="R10" t="e">
        <v>#REF!</v>
      </c>
      <c r="S10" t="e">
        <f>IF(#REF!="Não",#REF!, " ")</f>
        <v>#REF!</v>
      </c>
      <c r="V10" t="e">
        <v>#REF!</v>
      </c>
      <c r="W10" t="e">
        <f>IF(#REF!="Não",#REF!, " ")</f>
        <v>#REF!</v>
      </c>
    </row>
    <row r="11" spans="1:24" x14ac:dyDescent="0.25">
      <c r="B11" t="e">
        <v>#REF!</v>
      </c>
      <c r="C11" t="e">
        <f>IF(#REF!="Não",#REF!, " ")</f>
        <v>#REF!</v>
      </c>
      <c r="F11" t="e">
        <v>#REF!</v>
      </c>
      <c r="G11" t="e">
        <f>IF(#REF!="Não",#REF!, " ")</f>
        <v>#REF!</v>
      </c>
      <c r="J11" t="e">
        <v>#REF!</v>
      </c>
      <c r="K11" t="e">
        <f>IF(#REF!="Não",#REF!, " ")</f>
        <v>#REF!</v>
      </c>
      <c r="N11" t="e">
        <v>#REF!</v>
      </c>
      <c r="O11" t="e">
        <f>IF(#REF!="Não",#REF!, " ")</f>
        <v>#REF!</v>
      </c>
      <c r="R11" t="e">
        <v>#REF!</v>
      </c>
      <c r="S11" t="e">
        <f>IF(#REF!="Não",#REF!, " ")</f>
        <v>#REF!</v>
      </c>
      <c r="V11" t="e">
        <v>#REF!</v>
      </c>
      <c r="W11" t="e">
        <f>IF(#REF!="Não",#REF!, " ")</f>
        <v>#REF!</v>
      </c>
    </row>
    <row r="12" spans="1:24" x14ac:dyDescent="0.25">
      <c r="B12" t="e">
        <v>#REF!</v>
      </c>
      <c r="C12" t="e">
        <f>IF(#REF!="Não",#REF!, " ")</f>
        <v>#REF!</v>
      </c>
      <c r="F12" t="e">
        <v>#REF!</v>
      </c>
      <c r="G12" t="e">
        <f>IF(#REF!="Não",#REF!, " ")</f>
        <v>#REF!</v>
      </c>
      <c r="J12" t="e">
        <v>#REF!</v>
      </c>
      <c r="K12" t="e">
        <f>IF(#REF!="Não",#REF!, " ")</f>
        <v>#REF!</v>
      </c>
      <c r="N12" t="e">
        <v>#REF!</v>
      </c>
      <c r="O12" t="e">
        <f>IF(#REF!="Não",#REF!, " ")</f>
        <v>#REF!</v>
      </c>
      <c r="R12" t="e">
        <v>#REF!</v>
      </c>
      <c r="S12" t="e">
        <f>IF(#REF!="Não",#REF!, " ")</f>
        <v>#REF!</v>
      </c>
      <c r="V12" t="e">
        <v>#REF!</v>
      </c>
      <c r="W12" t="e">
        <f>IF(#REF!="Não",#REF!, " ")</f>
        <v>#REF!</v>
      </c>
    </row>
    <row r="13" spans="1:24" x14ac:dyDescent="0.25">
      <c r="B13" t="e">
        <v>#REF!</v>
      </c>
      <c r="C13" t="e">
        <f>IF(#REF!="Não",#REF!, " ")</f>
        <v>#REF!</v>
      </c>
      <c r="F13" t="e">
        <v>#REF!</v>
      </c>
      <c r="G13" t="e">
        <f>IF(#REF!="Não",#REF!, " ")</f>
        <v>#REF!</v>
      </c>
      <c r="J13" t="e">
        <v>#REF!</v>
      </c>
      <c r="K13" t="e">
        <f>IF(#REF!="Não",#REF!, " ")</f>
        <v>#REF!</v>
      </c>
      <c r="N13" t="e">
        <v>#REF!</v>
      </c>
      <c r="O13" t="e">
        <f>IF(#REF!="Não",#REF!, " ")</f>
        <v>#REF!</v>
      </c>
      <c r="R13" t="e">
        <v>#REF!</v>
      </c>
      <c r="S13" t="e">
        <f>IF(#REF!="Não",#REF!, " ")</f>
        <v>#REF!</v>
      </c>
      <c r="V13" t="e">
        <v>#REF!</v>
      </c>
      <c r="W13" t="e">
        <f>IF(#REF!="Não",#REF!, " ")</f>
        <v>#REF!</v>
      </c>
    </row>
    <row r="14" spans="1:24" x14ac:dyDescent="0.25">
      <c r="B14" t="e">
        <v>#REF!</v>
      </c>
      <c r="C14" t="e">
        <f>IF(#REF!="Não",#REF!, " ")</f>
        <v>#REF!</v>
      </c>
      <c r="F14" t="e">
        <v>#REF!</v>
      </c>
      <c r="G14" t="e">
        <f>IF(#REF!="Não",#REF!, " ")</f>
        <v>#REF!</v>
      </c>
      <c r="J14" t="e">
        <v>#REF!</v>
      </c>
      <c r="K14" t="e">
        <f>IF(#REF!="Não",#REF!, " ")</f>
        <v>#REF!</v>
      </c>
      <c r="N14" t="e">
        <v>#REF!</v>
      </c>
      <c r="O14" t="e">
        <f>IF(#REF!="Não",#REF!, " ")</f>
        <v>#REF!</v>
      </c>
      <c r="R14" t="e">
        <v>#REF!</v>
      </c>
      <c r="S14" t="e">
        <f>IF(#REF!="Não",#REF!, " ")</f>
        <v>#REF!</v>
      </c>
      <c r="V14" t="e">
        <v>#REF!</v>
      </c>
      <c r="W14" t="e">
        <f>IF(#REF!="Não",#REF!, " ")</f>
        <v>#REF!</v>
      </c>
    </row>
    <row r="15" spans="1:24" x14ac:dyDescent="0.25">
      <c r="B15" t="e">
        <v>#REF!</v>
      </c>
      <c r="C15" t="e">
        <f>IF(#REF!="Não",#REF!, " ")</f>
        <v>#REF!</v>
      </c>
      <c r="F15" t="e">
        <v>#REF!</v>
      </c>
      <c r="G15" t="e">
        <f>IF(#REF!="Não",#REF!, " ")</f>
        <v>#REF!</v>
      </c>
      <c r="J15" t="e">
        <v>#REF!</v>
      </c>
      <c r="K15" t="e">
        <f>IF(#REF!="Não",#REF!, " ")</f>
        <v>#REF!</v>
      </c>
      <c r="N15" t="e">
        <v>#REF!</v>
      </c>
      <c r="O15" t="e">
        <f>IF(#REF!="Não",#REF!, " ")</f>
        <v>#REF!</v>
      </c>
      <c r="R15" t="e">
        <v>#REF!</v>
      </c>
      <c r="S15" t="e">
        <f>IF(#REF!="Não",#REF!, " ")</f>
        <v>#REF!</v>
      </c>
      <c r="V15" t="e">
        <v>#REF!</v>
      </c>
      <c r="W15" t="e">
        <f>IF(#REF!="Não",#REF!, " ")</f>
        <v>#REF!</v>
      </c>
    </row>
    <row r="16" spans="1:24" x14ac:dyDescent="0.25">
      <c r="B16" t="e">
        <v>#REF!</v>
      </c>
      <c r="C16" t="e">
        <f>IF(#REF!="Não",#REF!, " ")</f>
        <v>#REF!</v>
      </c>
      <c r="F16" t="e">
        <v>#REF!</v>
      </c>
      <c r="G16" t="e">
        <f>IF(#REF!="Não",#REF!, " ")</f>
        <v>#REF!</v>
      </c>
      <c r="J16" t="e">
        <v>#REF!</v>
      </c>
      <c r="K16" t="e">
        <f>IF(#REF!="Não",#REF!, " ")</f>
        <v>#REF!</v>
      </c>
      <c r="N16" t="e">
        <v>#REF!</v>
      </c>
      <c r="O16" t="e">
        <f>IF(#REF!="Não",#REF!, " ")</f>
        <v>#REF!</v>
      </c>
      <c r="R16" t="e">
        <v>#REF!</v>
      </c>
      <c r="S16" t="e">
        <f>IF(#REF!="Não",#REF!, " ")</f>
        <v>#REF!</v>
      </c>
      <c r="V16" t="e">
        <v>#REF!</v>
      </c>
      <c r="W16" t="e">
        <f>IF(#REF!="Não",#REF!, " ")</f>
        <v>#REF!</v>
      </c>
    </row>
    <row r="17" spans="2:23" x14ac:dyDescent="0.25">
      <c r="B17" t="e">
        <v>#REF!</v>
      </c>
      <c r="C17" t="e">
        <f>IF(#REF!="Não",#REF!, " ")</f>
        <v>#REF!</v>
      </c>
      <c r="F17" t="e">
        <v>#REF!</v>
      </c>
      <c r="G17" t="e">
        <f>IF(#REF!="Não",#REF!, " ")</f>
        <v>#REF!</v>
      </c>
      <c r="J17" t="e">
        <v>#REF!</v>
      </c>
      <c r="K17" t="e">
        <f>IF(#REF!="Não",#REF!, " ")</f>
        <v>#REF!</v>
      </c>
      <c r="N17" t="e">
        <v>#REF!</v>
      </c>
      <c r="O17" t="e">
        <f>IF(#REF!="Não",#REF!, " ")</f>
        <v>#REF!</v>
      </c>
      <c r="R17" t="e">
        <v>#REF!</v>
      </c>
      <c r="S17" t="e">
        <f>IF(#REF!="Não",#REF!, " ")</f>
        <v>#REF!</v>
      </c>
      <c r="V17" t="e">
        <v>#REF!</v>
      </c>
      <c r="W17" t="e">
        <f>IF(#REF!="Não",#REF!, " ")</f>
        <v>#REF!</v>
      </c>
    </row>
    <row r="18" spans="2:23" x14ac:dyDescent="0.25">
      <c r="B18" t="e">
        <v>#REF!</v>
      </c>
      <c r="C18" t="e">
        <f>IF(#REF!="Não",#REF!, " ")</f>
        <v>#REF!</v>
      </c>
      <c r="F18" t="e">
        <v>#REF!</v>
      </c>
      <c r="G18" t="e">
        <f>IF(#REF!="Não",#REF!, " ")</f>
        <v>#REF!</v>
      </c>
      <c r="J18" t="e">
        <v>#REF!</v>
      </c>
      <c r="K18" t="e">
        <f>IF(#REF!="Não",#REF!, " ")</f>
        <v>#REF!</v>
      </c>
      <c r="N18" t="e">
        <v>#REF!</v>
      </c>
      <c r="O18" t="e">
        <f>IF(#REF!="Não",#REF!, " ")</f>
        <v>#REF!</v>
      </c>
      <c r="R18" t="e">
        <v>#REF!</v>
      </c>
      <c r="S18" t="e">
        <f>IF(#REF!="Não",#REF!, " ")</f>
        <v>#REF!</v>
      </c>
      <c r="V18" t="e">
        <v>#REF!</v>
      </c>
      <c r="W18" t="e">
        <f>IF(#REF!="Não",#REF!, " ")</f>
        <v>#REF!</v>
      </c>
    </row>
    <row r="19" spans="2:23" x14ac:dyDescent="0.25">
      <c r="B19" t="e">
        <v>#REF!</v>
      </c>
      <c r="C19" t="e">
        <f>IF(#REF!="Não",#REF!, " ")</f>
        <v>#REF!</v>
      </c>
      <c r="F19" t="e">
        <v>#REF!</v>
      </c>
      <c r="G19" t="e">
        <f>IF(#REF!="Não",#REF!, " ")</f>
        <v>#REF!</v>
      </c>
      <c r="J19" t="e">
        <v>#REF!</v>
      </c>
      <c r="K19" t="e">
        <f>IF(#REF!="Não",#REF!, " ")</f>
        <v>#REF!</v>
      </c>
      <c r="N19" t="e">
        <v>#REF!</v>
      </c>
      <c r="O19" t="e">
        <f>IF(#REF!="Não",#REF!, " ")</f>
        <v>#REF!</v>
      </c>
      <c r="R19" t="e">
        <v>#REF!</v>
      </c>
      <c r="S19" t="e">
        <f>IF(#REF!="Não",#REF!, " ")</f>
        <v>#REF!</v>
      </c>
      <c r="V19" t="e">
        <v>#REF!</v>
      </c>
      <c r="W19" t="e">
        <f>IF(#REF!="Não",#REF!, " ")</f>
        <v>#REF!</v>
      </c>
    </row>
    <row r="20" spans="2:23" x14ac:dyDescent="0.25">
      <c r="B20" t="e">
        <v>#REF!</v>
      </c>
      <c r="C20" t="e">
        <f>IF(#REF!="Não",#REF!, " ")</f>
        <v>#REF!</v>
      </c>
      <c r="F20" t="e">
        <v>#REF!</v>
      </c>
      <c r="G20" t="e">
        <f>IF(#REF!="Não",#REF!, " ")</f>
        <v>#REF!</v>
      </c>
      <c r="J20" t="e">
        <v>#REF!</v>
      </c>
      <c r="K20" t="e">
        <f>IF(#REF!="Não",#REF!, " ")</f>
        <v>#REF!</v>
      </c>
      <c r="N20" t="e">
        <v>#REF!</v>
      </c>
      <c r="O20" t="e">
        <f>IF(#REF!="Não",#REF!, " ")</f>
        <v>#REF!</v>
      </c>
      <c r="R20" t="e">
        <v>#REF!</v>
      </c>
      <c r="S20" t="e">
        <f>IF(#REF!="Não",#REF!, " ")</f>
        <v>#REF!</v>
      </c>
      <c r="V20" t="e">
        <v>#REF!</v>
      </c>
      <c r="W20" t="e">
        <f>IF(#REF!="Não",#REF!, " ")</f>
        <v>#REF!</v>
      </c>
    </row>
    <row r="21" spans="2:23" x14ac:dyDescent="0.25">
      <c r="B21" t="e">
        <v>#REF!</v>
      </c>
      <c r="C21" t="e">
        <f>IF(#REF!="Não",#REF!, " ")</f>
        <v>#REF!</v>
      </c>
      <c r="F21" t="e">
        <v>#REF!</v>
      </c>
      <c r="G21" t="e">
        <f>IF(#REF!="Não",#REF!, " ")</f>
        <v>#REF!</v>
      </c>
      <c r="J21" t="e">
        <v>#REF!</v>
      </c>
      <c r="K21" t="e">
        <f>IF(#REF!="Não",#REF!, " ")</f>
        <v>#REF!</v>
      </c>
      <c r="N21" t="e">
        <v>#REF!</v>
      </c>
      <c r="O21" t="e">
        <f>IF(#REF!="Não",#REF!, " ")</f>
        <v>#REF!</v>
      </c>
      <c r="R21" t="e">
        <v>#REF!</v>
      </c>
      <c r="S21" t="e">
        <f>IF(#REF!="Não",#REF!, " ")</f>
        <v>#REF!</v>
      </c>
      <c r="V21" t="e">
        <v>#REF!</v>
      </c>
      <c r="W21" t="e">
        <f>IF(#REF!="Não",#REF!, " ")</f>
        <v>#REF!</v>
      </c>
    </row>
    <row r="22" spans="2:23" x14ac:dyDescent="0.25">
      <c r="B22" t="e">
        <v>#REF!</v>
      </c>
      <c r="C22" t="e">
        <f>IF(#REF!="Não",#REF!, " ")</f>
        <v>#REF!</v>
      </c>
      <c r="F22" t="e">
        <v>#REF!</v>
      </c>
      <c r="G22" t="e">
        <f>IF(#REF!="Não",#REF!, " ")</f>
        <v>#REF!</v>
      </c>
      <c r="J22" t="e">
        <v>#REF!</v>
      </c>
      <c r="K22" t="e">
        <f>IF(#REF!="Não",#REF!, " ")</f>
        <v>#REF!</v>
      </c>
      <c r="N22" t="e">
        <v>#REF!</v>
      </c>
      <c r="O22" t="e">
        <f>IF(#REF!="Não",#REF!, " ")</f>
        <v>#REF!</v>
      </c>
      <c r="R22" t="e">
        <v>#REF!</v>
      </c>
      <c r="S22" t="e">
        <f>IF(#REF!="Não",#REF!, " ")</f>
        <v>#REF!</v>
      </c>
      <c r="V22" t="e">
        <v>#REF!</v>
      </c>
      <c r="W22" t="e">
        <f>IF(#REF!="Não",#REF!, " ")</f>
        <v>#REF!</v>
      </c>
    </row>
    <row r="23" spans="2:23" x14ac:dyDescent="0.25">
      <c r="B23" t="e">
        <v>#REF!</v>
      </c>
      <c r="C23" t="e">
        <f>IF(#REF!="Não",#REF!, " ")</f>
        <v>#REF!</v>
      </c>
      <c r="F23" t="e">
        <v>#REF!</v>
      </c>
      <c r="G23" t="e">
        <f>IF(#REF!="Não",#REF!, " ")</f>
        <v>#REF!</v>
      </c>
      <c r="J23" t="e">
        <v>#REF!</v>
      </c>
      <c r="K23" t="e">
        <f>IF(#REF!="Não",#REF!, " ")</f>
        <v>#REF!</v>
      </c>
      <c r="N23" t="e">
        <v>#REF!</v>
      </c>
      <c r="O23" t="e">
        <f>IF(#REF!="Não",#REF!, " ")</f>
        <v>#REF!</v>
      </c>
      <c r="R23" t="e">
        <v>#REF!</v>
      </c>
      <c r="S23" t="e">
        <f>IF(#REF!="Não",#REF!, " ")</f>
        <v>#REF!</v>
      </c>
      <c r="V23" t="e">
        <v>#REF!</v>
      </c>
      <c r="W23" t="e">
        <f>IF(#REF!="Não",#REF!, " ")</f>
        <v>#REF!</v>
      </c>
    </row>
    <row r="24" spans="2:23" x14ac:dyDescent="0.25">
      <c r="B24" t="e">
        <v>#REF!</v>
      </c>
      <c r="C24" t="e">
        <f>IF(#REF!="Não",#REF!, " ")</f>
        <v>#REF!</v>
      </c>
      <c r="F24" t="e">
        <v>#REF!</v>
      </c>
      <c r="G24" t="e">
        <f>IF(#REF!="Não",#REF!, " ")</f>
        <v>#REF!</v>
      </c>
      <c r="J24" t="e">
        <v>#REF!</v>
      </c>
      <c r="K24" t="e">
        <f>IF(#REF!="Não",#REF!, " ")</f>
        <v>#REF!</v>
      </c>
      <c r="N24" t="e">
        <v>#REF!</v>
      </c>
      <c r="O24" t="e">
        <f>IF(#REF!="Não",#REF!, " ")</f>
        <v>#REF!</v>
      </c>
      <c r="R24" t="e">
        <v>#REF!</v>
      </c>
      <c r="S24" t="e">
        <f>IF(#REF!="Não",#REF!, " ")</f>
        <v>#REF!</v>
      </c>
      <c r="V24" t="e">
        <v>#REF!</v>
      </c>
      <c r="W24" t="e">
        <f>IF(#REF!="Não",#REF!, " ")</f>
        <v>#REF!</v>
      </c>
    </row>
    <row r="25" spans="2:23" x14ac:dyDescent="0.25">
      <c r="B25" t="e">
        <v>#REF!</v>
      </c>
      <c r="C25" t="e">
        <f>IF(#REF!="Não",#REF!, " ")</f>
        <v>#REF!</v>
      </c>
      <c r="F25" t="e">
        <v>#REF!</v>
      </c>
      <c r="G25" t="e">
        <f>IF(#REF!="Não",#REF!, " ")</f>
        <v>#REF!</v>
      </c>
      <c r="J25" t="e">
        <v>#REF!</v>
      </c>
      <c r="K25" t="e">
        <f>IF(#REF!="Não",#REF!, " ")</f>
        <v>#REF!</v>
      </c>
      <c r="N25" t="e">
        <v>#REF!</v>
      </c>
      <c r="O25" t="e">
        <f>IF(#REF!="Não",#REF!, " ")</f>
        <v>#REF!</v>
      </c>
      <c r="R25" t="e">
        <v>#REF!</v>
      </c>
      <c r="S25" t="e">
        <f>IF(#REF!="Não",#REF!, " ")</f>
        <v>#REF!</v>
      </c>
      <c r="V25" t="e">
        <v>#REF!</v>
      </c>
      <c r="W25" t="e">
        <f>IF(#REF!="Não",#REF!, " ")</f>
        <v>#REF!</v>
      </c>
    </row>
    <row r="26" spans="2:23" x14ac:dyDescent="0.25">
      <c r="B26" t="e">
        <v>#REF!</v>
      </c>
      <c r="C26" t="e">
        <f>IF(#REF!="Não",#REF!, " ")</f>
        <v>#REF!</v>
      </c>
      <c r="F26" t="e">
        <v>#REF!</v>
      </c>
      <c r="G26" t="e">
        <f>IF(#REF!="Não",#REF!, " ")</f>
        <v>#REF!</v>
      </c>
      <c r="J26" t="e">
        <v>#REF!</v>
      </c>
      <c r="K26" t="e">
        <f>IF(#REF!="Não",#REF!, " ")</f>
        <v>#REF!</v>
      </c>
      <c r="N26" t="e">
        <v>#REF!</v>
      </c>
      <c r="O26" t="e">
        <f>IF(#REF!="Não",#REF!, " ")</f>
        <v>#REF!</v>
      </c>
      <c r="R26" t="e">
        <v>#REF!</v>
      </c>
      <c r="S26" t="e">
        <f>IF(#REF!="Não",#REF!, " ")</f>
        <v>#REF!</v>
      </c>
      <c r="V26" t="e">
        <v>#REF!</v>
      </c>
      <c r="W26" t="e">
        <f>IF(#REF!="Não",#REF!, " ")</f>
        <v>#REF!</v>
      </c>
    </row>
    <row r="27" spans="2:23" x14ac:dyDescent="0.25">
      <c r="B27" t="e">
        <v>#REF!</v>
      </c>
      <c r="C27" t="e">
        <f>IF(#REF!="Não",#REF!, " ")</f>
        <v>#REF!</v>
      </c>
      <c r="F27" t="e">
        <v>#REF!</v>
      </c>
      <c r="G27" t="e">
        <f>IF(#REF!="Não",#REF!, " ")</f>
        <v>#REF!</v>
      </c>
      <c r="J27" t="e">
        <v>#REF!</v>
      </c>
      <c r="K27" t="e">
        <f>IF(#REF!="Não",#REF!, " ")</f>
        <v>#REF!</v>
      </c>
      <c r="N27" t="e">
        <v>#REF!</v>
      </c>
      <c r="O27" t="e">
        <f>IF(#REF!="Não",#REF!, " ")</f>
        <v>#REF!</v>
      </c>
      <c r="R27" t="e">
        <v>#REF!</v>
      </c>
      <c r="S27" t="e">
        <f>IF(#REF!="Não",#REF!, " ")</f>
        <v>#REF!</v>
      </c>
      <c r="V27" t="e">
        <v>#REF!</v>
      </c>
      <c r="W27" t="e">
        <f>IF(#REF!="Não",#REF!, " ")</f>
        <v>#REF!</v>
      </c>
    </row>
    <row r="28" spans="2:23" x14ac:dyDescent="0.25">
      <c r="B28" t="e">
        <v>#REF!</v>
      </c>
      <c r="C28" t="e">
        <f>IF(#REF!="Não",#REF!, " ")</f>
        <v>#REF!</v>
      </c>
      <c r="F28" t="e">
        <v>#REF!</v>
      </c>
      <c r="G28" t="e">
        <f>IF(#REF!="Não",#REF!, " ")</f>
        <v>#REF!</v>
      </c>
      <c r="J28" t="e">
        <v>#REF!</v>
      </c>
      <c r="K28" t="e">
        <f>IF(#REF!="Não",#REF!, " ")</f>
        <v>#REF!</v>
      </c>
      <c r="N28" t="e">
        <v>#REF!</v>
      </c>
      <c r="O28" t="e">
        <f>IF(#REF!="Não",#REF!, " ")</f>
        <v>#REF!</v>
      </c>
      <c r="R28" t="e">
        <v>#REF!</v>
      </c>
      <c r="S28" t="e">
        <f>IF(#REF!="Não",#REF!, " ")</f>
        <v>#REF!</v>
      </c>
      <c r="V28" t="e">
        <v>#REF!</v>
      </c>
      <c r="W28" t="e">
        <f>IF(#REF!="Não",#REF!, " ")</f>
        <v>#REF!</v>
      </c>
    </row>
    <row r="29" spans="2:23" x14ac:dyDescent="0.25">
      <c r="B29" t="e">
        <v>#REF!</v>
      </c>
      <c r="C29" t="e">
        <f>IF(#REF!="Não",#REF!, " ")</f>
        <v>#REF!</v>
      </c>
      <c r="F29" t="e">
        <v>#REF!</v>
      </c>
      <c r="G29" t="e">
        <f>IF(#REF!="Não",#REF!, " ")</f>
        <v>#REF!</v>
      </c>
      <c r="J29" t="e">
        <v>#REF!</v>
      </c>
      <c r="K29" t="e">
        <f>IF(#REF!="Não",#REF!, " ")</f>
        <v>#REF!</v>
      </c>
      <c r="N29" t="e">
        <v>#REF!</v>
      </c>
      <c r="O29" t="e">
        <f>IF(#REF!="Não",#REF!, " ")</f>
        <v>#REF!</v>
      </c>
      <c r="R29" t="e">
        <v>#REF!</v>
      </c>
      <c r="S29" t="e">
        <f>IF(#REF!="Não",#REF!, " ")</f>
        <v>#REF!</v>
      </c>
      <c r="V29" t="e">
        <v>#REF!</v>
      </c>
      <c r="W29" t="e">
        <f>IF(#REF!="Não",#REF!, " ")</f>
        <v>#REF!</v>
      </c>
    </row>
    <row r="30" spans="2:23" x14ac:dyDescent="0.25">
      <c r="B30" t="e">
        <v>#REF!</v>
      </c>
      <c r="C30" t="e">
        <f>IF(#REF!="Não",#REF!, " ")</f>
        <v>#REF!</v>
      </c>
      <c r="F30" t="e">
        <v>#REF!</v>
      </c>
      <c r="G30" t="e">
        <f>IF(#REF!="Não",#REF!, " ")</f>
        <v>#REF!</v>
      </c>
      <c r="J30" t="e">
        <v>#REF!</v>
      </c>
      <c r="K30" t="e">
        <f>IF(#REF!="Não",#REF!, " ")</f>
        <v>#REF!</v>
      </c>
      <c r="N30" t="e">
        <v>#REF!</v>
      </c>
      <c r="O30" t="e">
        <f>IF(#REF!="Não",#REF!, " ")</f>
        <v>#REF!</v>
      </c>
      <c r="R30" t="e">
        <v>#REF!</v>
      </c>
      <c r="S30" t="e">
        <f>IF(#REF!="Não",#REF!, " ")</f>
        <v>#REF!</v>
      </c>
      <c r="V30" t="e">
        <v>#REF!</v>
      </c>
      <c r="W30" t="e">
        <f>IF(#REF!="Não",#REF!, " ")</f>
        <v>#REF!</v>
      </c>
    </row>
    <row r="31" spans="2:23" x14ac:dyDescent="0.25">
      <c r="B31" t="e">
        <v>#REF!</v>
      </c>
      <c r="C31" t="e">
        <f>IF(#REF!="Não",#REF!, " ")</f>
        <v>#REF!</v>
      </c>
      <c r="F31" t="e">
        <v>#REF!</v>
      </c>
      <c r="G31" t="e">
        <f>IF(#REF!="Não",#REF!, " ")</f>
        <v>#REF!</v>
      </c>
      <c r="J31" t="e">
        <v>#REF!</v>
      </c>
      <c r="K31" t="e">
        <f>IF(#REF!="Não",#REF!, " ")</f>
        <v>#REF!</v>
      </c>
      <c r="N31" t="e">
        <v>#REF!</v>
      </c>
      <c r="O31" t="e">
        <f>IF(#REF!="Não",#REF!, " ")</f>
        <v>#REF!</v>
      </c>
      <c r="R31" t="e">
        <v>#REF!</v>
      </c>
      <c r="S31" t="e">
        <f>IF(#REF!="Não",#REF!, " ")</f>
        <v>#REF!</v>
      </c>
      <c r="V31" t="e">
        <v>#REF!</v>
      </c>
      <c r="W31" t="e">
        <f>IF(#REF!="Não",#REF!, " ")</f>
        <v>#REF!</v>
      </c>
    </row>
    <row r="32" spans="2:23" x14ac:dyDescent="0.25">
      <c r="B32" t="e">
        <v>#REF!</v>
      </c>
      <c r="C32" t="e">
        <f>IF(#REF!="Não",#REF!, " ")</f>
        <v>#REF!</v>
      </c>
      <c r="F32" t="e">
        <v>#REF!</v>
      </c>
      <c r="G32" t="e">
        <f>IF(#REF!="Não",#REF!, " ")</f>
        <v>#REF!</v>
      </c>
      <c r="J32" t="e">
        <v>#REF!</v>
      </c>
      <c r="K32" t="e">
        <f>IF(#REF!="Não",#REF!, " ")</f>
        <v>#REF!</v>
      </c>
      <c r="N32" t="e">
        <v>#REF!</v>
      </c>
      <c r="O32" t="e">
        <f>IF(#REF!="Não",#REF!, " ")</f>
        <v>#REF!</v>
      </c>
      <c r="R32" t="e">
        <v>#REF!</v>
      </c>
      <c r="S32" t="e">
        <f>IF(#REF!="Não",#REF!, " ")</f>
        <v>#REF!</v>
      </c>
      <c r="V32" t="e">
        <v>#REF!</v>
      </c>
      <c r="W32" t="e">
        <f>IF(#REF!="Não",#REF!, " ")</f>
        <v>#REF!</v>
      </c>
    </row>
    <row r="33" spans="2:23" x14ac:dyDescent="0.25">
      <c r="B33" t="e">
        <v>#REF!</v>
      </c>
      <c r="C33" t="e">
        <f>IF(#REF!="Não",#REF!, " ")</f>
        <v>#REF!</v>
      </c>
      <c r="F33" t="e">
        <v>#REF!</v>
      </c>
      <c r="G33" t="e">
        <f>IF(#REF!="Não",#REF!, " ")</f>
        <v>#REF!</v>
      </c>
      <c r="J33" t="e">
        <v>#REF!</v>
      </c>
      <c r="K33" t="e">
        <f>IF(#REF!="Não",#REF!, " ")</f>
        <v>#REF!</v>
      </c>
      <c r="N33" t="e">
        <v>#REF!</v>
      </c>
      <c r="O33" t="e">
        <f>IF(#REF!="Não",#REF!, " ")</f>
        <v>#REF!</v>
      </c>
      <c r="R33" t="e">
        <v>#REF!</v>
      </c>
      <c r="S33" t="e">
        <f>IF(#REF!="Não",#REF!, " ")</f>
        <v>#REF!</v>
      </c>
      <c r="V33" t="e">
        <v>#REF!</v>
      </c>
      <c r="W33" t="e">
        <f>IF(#REF!="Não",#REF!, " ")</f>
        <v>#REF!</v>
      </c>
    </row>
    <row r="34" spans="2:23" x14ac:dyDescent="0.25">
      <c r="B34" t="e">
        <v>#REF!</v>
      </c>
      <c r="C34" t="e">
        <f>IF(#REF!="Não",#REF!, " ")</f>
        <v>#REF!</v>
      </c>
      <c r="F34" t="e">
        <v>#REF!</v>
      </c>
      <c r="G34" t="e">
        <f>IF(#REF!="Não",#REF!, " ")</f>
        <v>#REF!</v>
      </c>
      <c r="J34" t="e">
        <v>#REF!</v>
      </c>
      <c r="K34" t="e">
        <f>IF(#REF!="Não",#REF!, " ")</f>
        <v>#REF!</v>
      </c>
      <c r="N34" t="e">
        <v>#REF!</v>
      </c>
      <c r="O34" t="e">
        <f>IF(#REF!="Não",#REF!, " ")</f>
        <v>#REF!</v>
      </c>
      <c r="R34" t="e">
        <v>#REF!</v>
      </c>
      <c r="S34" t="e">
        <f>IF(#REF!="Não",#REF!, " ")</f>
        <v>#REF!</v>
      </c>
      <c r="V34" t="e">
        <v>#REF!</v>
      </c>
      <c r="W34" t="e">
        <f>IF(#REF!="Não",#REF!, " ")</f>
        <v>#REF!</v>
      </c>
    </row>
    <row r="35" spans="2:23" x14ac:dyDescent="0.25">
      <c r="B35" t="e">
        <v>#REF!</v>
      </c>
      <c r="C35" t="e">
        <f>IF(#REF!="Não",#REF!, " ")</f>
        <v>#REF!</v>
      </c>
      <c r="F35" t="e">
        <v>#REF!</v>
      </c>
      <c r="G35" t="e">
        <f>IF(#REF!="Não",#REF!, " ")</f>
        <v>#REF!</v>
      </c>
      <c r="J35" t="e">
        <v>#REF!</v>
      </c>
      <c r="K35" t="e">
        <f>IF(#REF!="Não",#REF!, " ")</f>
        <v>#REF!</v>
      </c>
      <c r="N35" t="e">
        <v>#REF!</v>
      </c>
      <c r="O35" t="e">
        <f>IF(#REF!="Não",#REF!, " ")</f>
        <v>#REF!</v>
      </c>
      <c r="R35" t="e">
        <v>#REF!</v>
      </c>
      <c r="S35" t="e">
        <f>IF(#REF!="Não",#REF!, " ")</f>
        <v>#REF!</v>
      </c>
      <c r="V35" t="e">
        <v>#REF!</v>
      </c>
      <c r="W35" t="e">
        <f>IF(#REF!="Não",#REF!, " ")</f>
        <v>#REF!</v>
      </c>
    </row>
    <row r="36" spans="2:23" x14ac:dyDescent="0.25">
      <c r="B36" t="e">
        <v>#REF!</v>
      </c>
      <c r="C36" t="e">
        <f>IF(#REF!="Não",#REF!, " ")</f>
        <v>#REF!</v>
      </c>
      <c r="F36" t="e">
        <v>#REF!</v>
      </c>
      <c r="G36" t="e">
        <f>IF(#REF!="Não",#REF!, " ")</f>
        <v>#REF!</v>
      </c>
      <c r="J36" t="e">
        <v>#REF!</v>
      </c>
      <c r="K36" t="e">
        <f>IF(#REF!="Não",#REF!, " ")</f>
        <v>#REF!</v>
      </c>
      <c r="N36" t="e">
        <v>#REF!</v>
      </c>
      <c r="O36" t="e">
        <f>IF(#REF!="Não",#REF!, " ")</f>
        <v>#REF!</v>
      </c>
      <c r="R36" t="e">
        <v>#REF!</v>
      </c>
      <c r="S36" t="e">
        <f>IF(#REF!="Não",#REF!, " ")</f>
        <v>#REF!</v>
      </c>
      <c r="V36" t="e">
        <v>#REF!</v>
      </c>
      <c r="W36" t="e">
        <f>IF(#REF!="Não",#REF!, " ")</f>
        <v>#REF!</v>
      </c>
    </row>
    <row r="37" spans="2:23" x14ac:dyDescent="0.25">
      <c r="B37" t="e">
        <v>#REF!</v>
      </c>
      <c r="C37" t="e">
        <f>IF(#REF!="Não",#REF!, " ")</f>
        <v>#REF!</v>
      </c>
      <c r="F37" t="e">
        <v>#REF!</v>
      </c>
      <c r="G37" t="e">
        <f>IF(#REF!="Não",#REF!, " ")</f>
        <v>#REF!</v>
      </c>
      <c r="J37" t="e">
        <v>#REF!</v>
      </c>
      <c r="K37" t="e">
        <f>IF(#REF!="Não",#REF!, " ")</f>
        <v>#REF!</v>
      </c>
      <c r="N37" t="e">
        <v>#REF!</v>
      </c>
      <c r="O37" t="e">
        <f>IF(#REF!="Não",#REF!, " ")</f>
        <v>#REF!</v>
      </c>
      <c r="R37" t="e">
        <v>#REF!</v>
      </c>
      <c r="S37" t="e">
        <f>IF(#REF!="Não",#REF!, " ")</f>
        <v>#REF!</v>
      </c>
      <c r="V37" t="e">
        <v>#REF!</v>
      </c>
      <c r="W37" t="e">
        <f>IF(#REF!="Não",#REF!, " ")</f>
        <v>#REF!</v>
      </c>
    </row>
    <row r="38" spans="2:23" x14ac:dyDescent="0.25">
      <c r="B38" t="e">
        <v>#REF!</v>
      </c>
      <c r="C38" t="e">
        <f>IF(#REF!="Não",#REF!, " ")</f>
        <v>#REF!</v>
      </c>
      <c r="F38" t="e">
        <v>#REF!</v>
      </c>
      <c r="G38" t="e">
        <f>IF(#REF!="Não",#REF!, " ")</f>
        <v>#REF!</v>
      </c>
      <c r="J38" t="e">
        <v>#REF!</v>
      </c>
      <c r="K38" t="e">
        <f>IF(#REF!="Não",#REF!, " ")</f>
        <v>#REF!</v>
      </c>
      <c r="N38" t="e">
        <v>#REF!</v>
      </c>
      <c r="O38" t="e">
        <f>IF(#REF!="Não",#REF!, " ")</f>
        <v>#REF!</v>
      </c>
      <c r="R38" t="e">
        <v>#REF!</v>
      </c>
      <c r="S38" t="e">
        <f>IF(#REF!="Não",#REF!, " ")</f>
        <v>#REF!</v>
      </c>
      <c r="V38" t="e">
        <v>#REF!</v>
      </c>
      <c r="W38" t="e">
        <f>IF(#REF!="Não",#REF!, " ")</f>
        <v>#REF!</v>
      </c>
    </row>
    <row r="39" spans="2:23" x14ac:dyDescent="0.25">
      <c r="B39" t="e">
        <v>#REF!</v>
      </c>
      <c r="C39" t="e">
        <f>IF(#REF!="Não",#REF!, " ")</f>
        <v>#REF!</v>
      </c>
      <c r="F39" t="e">
        <v>#REF!</v>
      </c>
      <c r="G39" t="e">
        <f>IF(#REF!="Não",#REF!, " ")</f>
        <v>#REF!</v>
      </c>
      <c r="J39" t="e">
        <v>#REF!</v>
      </c>
      <c r="K39" t="e">
        <f>IF(#REF!="Não",#REF!, " ")</f>
        <v>#REF!</v>
      </c>
      <c r="N39" t="e">
        <v>#REF!</v>
      </c>
      <c r="O39" t="e">
        <f>IF(#REF!="Não",#REF!, " ")</f>
        <v>#REF!</v>
      </c>
      <c r="R39" t="e">
        <v>#REF!</v>
      </c>
      <c r="S39" t="e">
        <f>IF(#REF!="Não",#REF!, " ")</f>
        <v>#REF!</v>
      </c>
      <c r="V39" t="e">
        <v>#REF!</v>
      </c>
      <c r="W39" t="e">
        <f>IF(#REF!="Não",#REF!, " ")</f>
        <v>#REF!</v>
      </c>
    </row>
    <row r="40" spans="2:23" x14ac:dyDescent="0.25">
      <c r="B40" t="e">
        <v>#REF!</v>
      </c>
      <c r="C40" t="e">
        <f>IF(#REF!="Não",#REF!, " ")</f>
        <v>#REF!</v>
      </c>
      <c r="F40" t="e">
        <v>#REF!</v>
      </c>
      <c r="G40" t="e">
        <f>IF(#REF!="Não",#REF!, " ")</f>
        <v>#REF!</v>
      </c>
      <c r="J40" t="e">
        <v>#REF!</v>
      </c>
      <c r="K40" t="e">
        <f>IF(#REF!="Não",#REF!, " ")</f>
        <v>#REF!</v>
      </c>
      <c r="N40" t="e">
        <v>#REF!</v>
      </c>
      <c r="O40" t="e">
        <f>IF(#REF!="Não",#REF!, " ")</f>
        <v>#REF!</v>
      </c>
      <c r="R40" t="e">
        <v>#REF!</v>
      </c>
      <c r="S40" t="e">
        <f>IF(#REF!="Não",#REF!, " ")</f>
        <v>#REF!</v>
      </c>
      <c r="V40" t="e">
        <v>#REF!</v>
      </c>
      <c r="W40" t="e">
        <f>IF(#REF!="Não",#REF!, " ")</f>
        <v>#REF!</v>
      </c>
    </row>
    <row r="41" spans="2:23" x14ac:dyDescent="0.25">
      <c r="B41" t="e">
        <v>#REF!</v>
      </c>
      <c r="C41" t="e">
        <f>IF(#REF!="Não",#REF!, " ")</f>
        <v>#REF!</v>
      </c>
      <c r="F41" t="e">
        <v>#REF!</v>
      </c>
      <c r="G41" t="e">
        <f>IF(#REF!="Não",#REF!, " ")</f>
        <v>#REF!</v>
      </c>
      <c r="J41" t="e">
        <v>#REF!</v>
      </c>
      <c r="K41" t="e">
        <f>IF(#REF!="Não",#REF!, " ")</f>
        <v>#REF!</v>
      </c>
      <c r="N41" t="e">
        <v>#REF!</v>
      </c>
      <c r="O41" t="e">
        <f>IF(#REF!="Não",#REF!, " ")</f>
        <v>#REF!</v>
      </c>
      <c r="R41" t="e">
        <v>#REF!</v>
      </c>
      <c r="S41" t="e">
        <f>IF(#REF!="Não",#REF!, " ")</f>
        <v>#REF!</v>
      </c>
      <c r="V41" t="e">
        <v>#REF!</v>
      </c>
      <c r="W41" t="e">
        <f>IF(#REF!="Não",#REF!, " ")</f>
        <v>#REF!</v>
      </c>
    </row>
    <row r="42" spans="2:23" x14ac:dyDescent="0.25">
      <c r="B42" t="e">
        <v>#REF!</v>
      </c>
      <c r="C42" t="e">
        <f>IF(#REF!="Não",#REF!, " ")</f>
        <v>#REF!</v>
      </c>
      <c r="F42" t="e">
        <v>#REF!</v>
      </c>
      <c r="G42" t="e">
        <f>IF(#REF!="Não",#REF!, " ")</f>
        <v>#REF!</v>
      </c>
      <c r="J42" t="e">
        <v>#REF!</v>
      </c>
      <c r="K42" t="e">
        <f>IF(#REF!="Não",#REF!, " ")</f>
        <v>#REF!</v>
      </c>
      <c r="N42" t="e">
        <v>#REF!</v>
      </c>
      <c r="O42" t="e">
        <f>IF(#REF!="Não",#REF!, " ")</f>
        <v>#REF!</v>
      </c>
      <c r="R42" t="e">
        <v>#REF!</v>
      </c>
      <c r="S42" t="e">
        <f>IF(#REF!="Não",#REF!, " ")</f>
        <v>#REF!</v>
      </c>
      <c r="V42" t="e">
        <v>#REF!</v>
      </c>
      <c r="W42" t="e">
        <f>IF(#REF!="Não",#REF!, " ")</f>
        <v>#REF!</v>
      </c>
    </row>
    <row r="43" spans="2:23" x14ac:dyDescent="0.25">
      <c r="B43" t="e">
        <v>#REF!</v>
      </c>
      <c r="C43" t="e">
        <f>IF(#REF!="Não",#REF!, " ")</f>
        <v>#REF!</v>
      </c>
      <c r="F43" t="e">
        <v>#REF!</v>
      </c>
      <c r="G43" t="e">
        <f>IF(#REF!="Não",#REF!, " ")</f>
        <v>#REF!</v>
      </c>
      <c r="J43" t="e">
        <v>#REF!</v>
      </c>
      <c r="K43" t="e">
        <f>IF(#REF!="Não",#REF!, " ")</f>
        <v>#REF!</v>
      </c>
      <c r="N43" t="e">
        <v>#REF!</v>
      </c>
      <c r="O43" t="e">
        <f>IF(#REF!="Não",#REF!, " ")</f>
        <v>#REF!</v>
      </c>
      <c r="R43" t="e">
        <v>#REF!</v>
      </c>
      <c r="S43" t="e">
        <f>IF(#REF!="Não",#REF!, " ")</f>
        <v>#REF!</v>
      </c>
      <c r="V43" t="e">
        <v>#REF!</v>
      </c>
      <c r="W43" t="e">
        <f>IF(#REF!="Não",#REF!, " ")</f>
        <v>#REF!</v>
      </c>
    </row>
    <row r="44" spans="2:23" x14ac:dyDescent="0.25">
      <c r="B44" t="e">
        <v>#REF!</v>
      </c>
      <c r="C44" t="e">
        <f>IF(#REF!="Não",#REF!, " ")</f>
        <v>#REF!</v>
      </c>
      <c r="F44" t="e">
        <v>#REF!</v>
      </c>
      <c r="G44" t="e">
        <f>IF(#REF!="Não",#REF!, " ")</f>
        <v>#REF!</v>
      </c>
      <c r="J44" t="e">
        <v>#REF!</v>
      </c>
      <c r="K44" t="e">
        <f>IF(#REF!="Não",#REF!, " ")</f>
        <v>#REF!</v>
      </c>
      <c r="N44" t="e">
        <v>#REF!</v>
      </c>
      <c r="O44" t="e">
        <f>IF(#REF!="Não",#REF!, " ")</f>
        <v>#REF!</v>
      </c>
      <c r="R44" t="e">
        <v>#REF!</v>
      </c>
      <c r="S44" t="e">
        <f>IF(#REF!="Não",#REF!, " ")</f>
        <v>#REF!</v>
      </c>
      <c r="V44" t="e">
        <v>#REF!</v>
      </c>
      <c r="W44" t="e">
        <f>IF(#REF!="Não",#REF!, " ")</f>
        <v>#REF!</v>
      </c>
    </row>
    <row r="45" spans="2:23" x14ac:dyDescent="0.25">
      <c r="B45" t="e">
        <v>#REF!</v>
      </c>
      <c r="C45" t="e">
        <f>IF(#REF!="Não",#REF!, " ")</f>
        <v>#REF!</v>
      </c>
      <c r="F45" t="e">
        <v>#REF!</v>
      </c>
      <c r="G45" t="e">
        <f>IF(#REF!="Não",#REF!, " ")</f>
        <v>#REF!</v>
      </c>
      <c r="J45" t="e">
        <v>#REF!</v>
      </c>
      <c r="K45" t="e">
        <f>IF(#REF!="Não",#REF!, " ")</f>
        <v>#REF!</v>
      </c>
      <c r="N45" t="e">
        <v>#REF!</v>
      </c>
      <c r="O45" t="e">
        <f>IF(#REF!="Não",#REF!, " ")</f>
        <v>#REF!</v>
      </c>
      <c r="R45" t="e">
        <v>#REF!</v>
      </c>
      <c r="S45" t="e">
        <f>IF(#REF!="Não",#REF!, " ")</f>
        <v>#REF!</v>
      </c>
      <c r="V45" t="e">
        <v>#REF!</v>
      </c>
      <c r="W45" t="e">
        <f>IF(#REF!="Não",#REF!, " ")</f>
        <v>#REF!</v>
      </c>
    </row>
    <row r="46" spans="2:23" x14ac:dyDescent="0.25">
      <c r="B46" t="e">
        <v>#REF!</v>
      </c>
      <c r="C46" t="e">
        <f>IF(#REF!="Não",#REF!, " ")</f>
        <v>#REF!</v>
      </c>
      <c r="F46" t="e">
        <v>#REF!</v>
      </c>
      <c r="G46" t="e">
        <f>IF(#REF!="Não",#REF!, " ")</f>
        <v>#REF!</v>
      </c>
      <c r="J46" t="e">
        <v>#REF!</v>
      </c>
      <c r="K46" t="e">
        <f>IF(#REF!="Não",#REF!, " ")</f>
        <v>#REF!</v>
      </c>
      <c r="N46" t="e">
        <v>#REF!</v>
      </c>
      <c r="O46" t="e">
        <f>IF(#REF!="Não",#REF!, " ")</f>
        <v>#REF!</v>
      </c>
      <c r="R46" t="e">
        <v>#REF!</v>
      </c>
      <c r="S46" t="e">
        <f>IF(#REF!="Não",#REF!, " ")</f>
        <v>#REF!</v>
      </c>
      <c r="V46" t="e">
        <v>#REF!</v>
      </c>
      <c r="W46" t="e">
        <f>IF(#REF!="Não",#REF!, " ")</f>
        <v>#REF!</v>
      </c>
    </row>
    <row r="47" spans="2:23" x14ac:dyDescent="0.25">
      <c r="B47" t="e">
        <v>#REF!</v>
      </c>
      <c r="C47" t="e">
        <f>IF(#REF!="Não",#REF!, " ")</f>
        <v>#REF!</v>
      </c>
      <c r="F47" t="e">
        <v>#REF!</v>
      </c>
      <c r="G47" t="e">
        <f>IF(#REF!="Não",#REF!, " ")</f>
        <v>#REF!</v>
      </c>
      <c r="J47" t="e">
        <v>#REF!</v>
      </c>
      <c r="K47" t="e">
        <f>IF(#REF!="Não",#REF!, " ")</f>
        <v>#REF!</v>
      </c>
      <c r="N47" t="e">
        <v>#REF!</v>
      </c>
      <c r="O47" t="e">
        <f>IF(#REF!="Não",#REF!, " ")</f>
        <v>#REF!</v>
      </c>
      <c r="R47" t="e">
        <v>#REF!</v>
      </c>
      <c r="S47" t="e">
        <f>IF(#REF!="Não",#REF!, " ")</f>
        <v>#REF!</v>
      </c>
      <c r="V47" t="e">
        <v>#REF!</v>
      </c>
      <c r="W47" t="e">
        <f>IF(#REF!="Não",#REF!, " ")</f>
        <v>#REF!</v>
      </c>
    </row>
    <row r="48" spans="2:23" x14ac:dyDescent="0.25">
      <c r="B48" t="e">
        <v>#REF!</v>
      </c>
      <c r="C48" t="e">
        <f>IF(#REF!="Não",#REF!, " ")</f>
        <v>#REF!</v>
      </c>
      <c r="F48" t="e">
        <v>#REF!</v>
      </c>
      <c r="G48" t="e">
        <f>IF(#REF!="Não",#REF!, " ")</f>
        <v>#REF!</v>
      </c>
      <c r="J48" t="e">
        <v>#REF!</v>
      </c>
      <c r="K48" t="e">
        <f>IF(#REF!="Não",#REF!, " ")</f>
        <v>#REF!</v>
      </c>
      <c r="N48" t="e">
        <v>#REF!</v>
      </c>
      <c r="O48" t="e">
        <f>IF(#REF!="Não",#REF!, " ")</f>
        <v>#REF!</v>
      </c>
      <c r="R48" t="e">
        <v>#REF!</v>
      </c>
      <c r="S48" t="e">
        <f>IF(#REF!="Não",#REF!, " ")</f>
        <v>#REF!</v>
      </c>
      <c r="V48" t="e">
        <v>#REF!</v>
      </c>
      <c r="W48" t="e">
        <f>IF(#REF!="Não",#REF!, " ")</f>
        <v>#REF!</v>
      </c>
    </row>
    <row r="49" spans="2:23" x14ac:dyDescent="0.25">
      <c r="B49" t="e">
        <v>#REF!</v>
      </c>
      <c r="C49" t="e">
        <f>IF(#REF!="Não",#REF!, " ")</f>
        <v>#REF!</v>
      </c>
      <c r="F49" t="e">
        <v>#REF!</v>
      </c>
      <c r="G49" t="e">
        <f>IF(#REF!="Não",#REF!, " ")</f>
        <v>#REF!</v>
      </c>
      <c r="J49" t="e">
        <v>#REF!</v>
      </c>
      <c r="K49" t="e">
        <f>IF(#REF!="Não",#REF!, " ")</f>
        <v>#REF!</v>
      </c>
      <c r="N49" t="e">
        <v>#REF!</v>
      </c>
      <c r="O49" t="e">
        <f>IF(#REF!="Não",#REF!, " ")</f>
        <v>#REF!</v>
      </c>
      <c r="R49" t="e">
        <v>#REF!</v>
      </c>
      <c r="S49" t="e">
        <f>IF(#REF!="Não",#REF!, " ")</f>
        <v>#REF!</v>
      </c>
      <c r="V49" t="e">
        <v>#REF!</v>
      </c>
      <c r="W49" t="e">
        <f>IF(#REF!="Não",#REF!, " ")</f>
        <v>#REF!</v>
      </c>
    </row>
    <row r="50" spans="2:23" x14ac:dyDescent="0.25">
      <c r="B50" t="e">
        <v>#REF!</v>
      </c>
      <c r="C50" t="e">
        <f>IF(#REF!="Não",#REF!, " ")</f>
        <v>#REF!</v>
      </c>
      <c r="F50" t="e">
        <v>#REF!</v>
      </c>
      <c r="G50" t="e">
        <f>IF(#REF!="Não",#REF!, " ")</f>
        <v>#REF!</v>
      </c>
      <c r="J50" t="e">
        <v>#REF!</v>
      </c>
      <c r="K50" t="e">
        <f>IF(#REF!="Não",#REF!, " ")</f>
        <v>#REF!</v>
      </c>
      <c r="N50" t="e">
        <v>#REF!</v>
      </c>
      <c r="O50" t="e">
        <f>IF(#REF!="Não",#REF!, " ")</f>
        <v>#REF!</v>
      </c>
      <c r="R50" t="e">
        <v>#REF!</v>
      </c>
      <c r="S50" t="e">
        <f>IF(#REF!="Não",#REF!, " ")</f>
        <v>#REF!</v>
      </c>
      <c r="V50" t="e">
        <v>#REF!</v>
      </c>
      <c r="W50" t="e">
        <f>IF(#REF!="Não",#REF!, " ")</f>
        <v>#REF!</v>
      </c>
    </row>
    <row r="51" spans="2:23" x14ac:dyDescent="0.25">
      <c r="B51" t="e">
        <v>#REF!</v>
      </c>
      <c r="C51" t="e">
        <f>IF(#REF!="Não",#REF!, " ")</f>
        <v>#REF!</v>
      </c>
      <c r="F51" t="e">
        <v>#REF!</v>
      </c>
      <c r="G51" t="e">
        <f>IF(#REF!="Não",#REF!, " ")</f>
        <v>#REF!</v>
      </c>
      <c r="J51" t="e">
        <v>#REF!</v>
      </c>
      <c r="K51" t="e">
        <f>IF(#REF!="Não",#REF!, " ")</f>
        <v>#REF!</v>
      </c>
      <c r="N51" t="e">
        <v>#REF!</v>
      </c>
      <c r="O51" t="e">
        <f>IF(#REF!="Não",#REF!, " ")</f>
        <v>#REF!</v>
      </c>
      <c r="R51" t="e">
        <v>#REF!</v>
      </c>
      <c r="S51" t="e">
        <f>IF(#REF!="Não",#REF!, " ")</f>
        <v>#REF!</v>
      </c>
      <c r="V51" t="e">
        <v>#REF!</v>
      </c>
      <c r="W51" t="e">
        <f>IF(#REF!="Não",#REF!, " ")</f>
        <v>#REF!</v>
      </c>
    </row>
    <row r="52" spans="2:23" x14ac:dyDescent="0.25">
      <c r="B52" t="e">
        <v>#REF!</v>
      </c>
      <c r="C52" t="e">
        <f>IF(#REF!="Não",#REF!, " ")</f>
        <v>#REF!</v>
      </c>
      <c r="F52" t="e">
        <v>#REF!</v>
      </c>
      <c r="G52" t="e">
        <f>IF(#REF!="Não",#REF!, " ")</f>
        <v>#REF!</v>
      </c>
      <c r="J52" t="e">
        <v>#REF!</v>
      </c>
      <c r="K52" t="e">
        <f>IF(#REF!="Não",#REF!, " ")</f>
        <v>#REF!</v>
      </c>
      <c r="N52" t="e">
        <v>#REF!</v>
      </c>
      <c r="O52" t="e">
        <f>IF(#REF!="Não",#REF!, " ")</f>
        <v>#REF!</v>
      </c>
      <c r="R52" t="e">
        <v>#REF!</v>
      </c>
      <c r="S52" t="e">
        <f>IF(#REF!="Não",#REF!, " ")</f>
        <v>#REF!</v>
      </c>
      <c r="V52" t="e">
        <v>#REF!</v>
      </c>
      <c r="W52" t="e">
        <f>IF(#REF!="Não",#REF!, " ")</f>
        <v>#REF!</v>
      </c>
    </row>
    <row r="53" spans="2:23" x14ac:dyDescent="0.25">
      <c r="B53" t="e">
        <v>#REF!</v>
      </c>
      <c r="C53" t="e">
        <f>IF(#REF!="Não",#REF!, " ")</f>
        <v>#REF!</v>
      </c>
      <c r="F53" t="e">
        <v>#REF!</v>
      </c>
      <c r="G53" t="e">
        <f>IF(#REF!="Não",#REF!, " ")</f>
        <v>#REF!</v>
      </c>
      <c r="J53" t="e">
        <v>#REF!</v>
      </c>
      <c r="K53" t="e">
        <f>IF(#REF!="Não",#REF!, " ")</f>
        <v>#REF!</v>
      </c>
      <c r="N53" t="e">
        <v>#REF!</v>
      </c>
      <c r="O53" t="e">
        <f>IF(#REF!="Não",#REF!, " ")</f>
        <v>#REF!</v>
      </c>
      <c r="R53" t="e">
        <v>#REF!</v>
      </c>
      <c r="S53" t="e">
        <f>IF(#REF!="Não",#REF!, " ")</f>
        <v>#REF!</v>
      </c>
      <c r="V53" t="e">
        <v>#REF!</v>
      </c>
      <c r="W53" t="e">
        <f>IF(#REF!="Não",#REF!, " ")</f>
        <v>#REF!</v>
      </c>
    </row>
    <row r="54" spans="2:23" x14ac:dyDescent="0.25">
      <c r="B54" t="e">
        <v>#REF!</v>
      </c>
      <c r="C54" t="e">
        <f>IF(#REF!="Não",#REF!, " ")</f>
        <v>#REF!</v>
      </c>
      <c r="F54" t="e">
        <v>#REF!</v>
      </c>
      <c r="G54" t="e">
        <f>IF(#REF!="Não",#REF!, " ")</f>
        <v>#REF!</v>
      </c>
      <c r="J54" t="e">
        <v>#REF!</v>
      </c>
      <c r="K54" t="e">
        <f>IF(#REF!="Não",#REF!, " ")</f>
        <v>#REF!</v>
      </c>
      <c r="N54" t="e">
        <v>#REF!</v>
      </c>
      <c r="O54" t="e">
        <f>IF(#REF!="Não",#REF!, " ")</f>
        <v>#REF!</v>
      </c>
      <c r="R54" t="e">
        <v>#REF!</v>
      </c>
      <c r="S54" t="e">
        <f>IF(#REF!="Não",#REF!, " ")</f>
        <v>#REF!</v>
      </c>
      <c r="V54" t="e">
        <v>#REF!</v>
      </c>
      <c r="W54" t="e">
        <f>IF(#REF!="Não",#REF!, " ")</f>
        <v>#REF!</v>
      </c>
    </row>
    <row r="55" spans="2:23" x14ac:dyDescent="0.25">
      <c r="B55" t="e">
        <v>#REF!</v>
      </c>
      <c r="C55" t="e">
        <f>IF(#REF!="Não",#REF!, " ")</f>
        <v>#REF!</v>
      </c>
      <c r="F55" t="e">
        <v>#REF!</v>
      </c>
      <c r="G55" t="e">
        <f>IF(#REF!="Não",#REF!, " ")</f>
        <v>#REF!</v>
      </c>
      <c r="J55" t="e">
        <v>#REF!</v>
      </c>
      <c r="K55" t="e">
        <f>IF(#REF!="Não",#REF!, " ")</f>
        <v>#REF!</v>
      </c>
      <c r="N55" t="e">
        <v>#REF!</v>
      </c>
      <c r="O55" t="e">
        <f>IF(#REF!="Não",#REF!, " ")</f>
        <v>#REF!</v>
      </c>
      <c r="R55" t="e">
        <v>#REF!</v>
      </c>
      <c r="S55" t="e">
        <f>IF(#REF!="Não",#REF!, " ")</f>
        <v>#REF!</v>
      </c>
      <c r="V55" t="e">
        <v>#REF!</v>
      </c>
      <c r="W55" t="e">
        <f>IF(#REF!="Não",#REF!, " ")</f>
        <v>#REF!</v>
      </c>
    </row>
    <row r="56" spans="2:23" x14ac:dyDescent="0.25">
      <c r="B56" t="e">
        <v>#REF!</v>
      </c>
      <c r="C56" t="e">
        <f>IF(#REF!="Não",#REF!, " ")</f>
        <v>#REF!</v>
      </c>
      <c r="F56" t="e">
        <v>#REF!</v>
      </c>
      <c r="G56" t="e">
        <f>IF(#REF!="Não",#REF!, " ")</f>
        <v>#REF!</v>
      </c>
      <c r="J56" t="e">
        <v>#REF!</v>
      </c>
      <c r="K56" t="e">
        <f>IF(#REF!="Não",#REF!, " ")</f>
        <v>#REF!</v>
      </c>
      <c r="N56" t="e">
        <v>#REF!</v>
      </c>
      <c r="O56" t="e">
        <f>IF(#REF!="Não",#REF!, " ")</f>
        <v>#REF!</v>
      </c>
      <c r="R56" t="e">
        <v>#REF!</v>
      </c>
      <c r="S56" t="e">
        <f>IF(#REF!="Não",#REF!, " ")</f>
        <v>#REF!</v>
      </c>
      <c r="V56" t="e">
        <v>#REF!</v>
      </c>
      <c r="W56" t="e">
        <f>IF(#REF!="Não",#REF!, " ")</f>
        <v>#REF!</v>
      </c>
    </row>
    <row r="57" spans="2:23" x14ac:dyDescent="0.25">
      <c r="B57" t="e">
        <v>#REF!</v>
      </c>
      <c r="C57" t="e">
        <f>IF(#REF!="Não",#REF!, " ")</f>
        <v>#REF!</v>
      </c>
      <c r="F57" t="e">
        <v>#REF!</v>
      </c>
      <c r="G57" t="e">
        <f>IF(#REF!="Não",#REF!, " ")</f>
        <v>#REF!</v>
      </c>
      <c r="J57" t="e">
        <v>#REF!</v>
      </c>
      <c r="K57" t="e">
        <f>IF(#REF!="Não",#REF!, " ")</f>
        <v>#REF!</v>
      </c>
      <c r="N57" t="e">
        <v>#REF!</v>
      </c>
      <c r="O57" t="e">
        <f>IF(#REF!="Não",#REF!, " ")</f>
        <v>#REF!</v>
      </c>
      <c r="R57" t="e">
        <v>#REF!</v>
      </c>
      <c r="S57" t="e">
        <f>IF(#REF!="Não",#REF!, " ")</f>
        <v>#REF!</v>
      </c>
      <c r="V57" t="e">
        <v>#REF!</v>
      </c>
      <c r="W57" t="e">
        <f>IF(#REF!="Não",#REF!, " ")</f>
        <v>#REF!</v>
      </c>
    </row>
    <row r="58" spans="2:23" x14ac:dyDescent="0.25">
      <c r="B58" t="e">
        <v>#REF!</v>
      </c>
      <c r="C58" t="e">
        <f>IF(#REF!="Não",#REF!, " ")</f>
        <v>#REF!</v>
      </c>
      <c r="F58" t="e">
        <v>#REF!</v>
      </c>
      <c r="G58" t="e">
        <f>IF(#REF!="Não",#REF!, " ")</f>
        <v>#REF!</v>
      </c>
      <c r="J58" t="e">
        <v>#REF!</v>
      </c>
      <c r="K58" t="e">
        <f>IF(#REF!="Não",#REF!, " ")</f>
        <v>#REF!</v>
      </c>
      <c r="N58" t="e">
        <v>#REF!</v>
      </c>
      <c r="O58" t="e">
        <f>IF(#REF!="Não",#REF!, " ")</f>
        <v>#REF!</v>
      </c>
      <c r="R58" t="e">
        <v>#REF!</v>
      </c>
      <c r="S58" t="e">
        <f>IF(#REF!="Não",#REF!, " ")</f>
        <v>#REF!</v>
      </c>
      <c r="V58" t="e">
        <v>#REF!</v>
      </c>
      <c r="W58" t="e">
        <f>IF(#REF!="Não",#REF!, " ")</f>
        <v>#REF!</v>
      </c>
    </row>
    <row r="59" spans="2:23" x14ac:dyDescent="0.25">
      <c r="B59" t="e">
        <v>#REF!</v>
      </c>
      <c r="C59" t="e">
        <f>IF(#REF!="Não",#REF!, " ")</f>
        <v>#REF!</v>
      </c>
      <c r="F59" t="e">
        <v>#REF!</v>
      </c>
      <c r="G59" t="e">
        <f>IF(#REF!="Não",#REF!, " ")</f>
        <v>#REF!</v>
      </c>
      <c r="J59" t="e">
        <v>#REF!</v>
      </c>
      <c r="K59" t="e">
        <f>IF(#REF!="Não",#REF!, " ")</f>
        <v>#REF!</v>
      </c>
      <c r="N59" t="e">
        <v>#REF!</v>
      </c>
      <c r="O59" t="e">
        <f>IF(#REF!="Não",#REF!, " ")</f>
        <v>#REF!</v>
      </c>
      <c r="R59" t="e">
        <v>#REF!</v>
      </c>
      <c r="S59" t="e">
        <f>IF(#REF!="Não",#REF!, " ")</f>
        <v>#REF!</v>
      </c>
      <c r="V59" t="e">
        <v>#REF!</v>
      </c>
      <c r="W59" t="e">
        <f>IF(#REF!="Não",#REF!, " ")</f>
        <v>#REF!</v>
      </c>
    </row>
    <row r="60" spans="2:23" x14ac:dyDescent="0.25">
      <c r="B60" t="e">
        <v>#REF!</v>
      </c>
      <c r="C60" t="e">
        <f>IF(#REF!="Não",#REF!, " ")</f>
        <v>#REF!</v>
      </c>
      <c r="F60" t="e">
        <v>#REF!</v>
      </c>
      <c r="G60" t="e">
        <f>IF(#REF!="Não",#REF!, " ")</f>
        <v>#REF!</v>
      </c>
      <c r="J60" t="e">
        <v>#REF!</v>
      </c>
      <c r="K60" t="e">
        <f>IF(#REF!="Não",#REF!, " ")</f>
        <v>#REF!</v>
      </c>
      <c r="N60" t="e">
        <v>#REF!</v>
      </c>
      <c r="O60" t="e">
        <f>IF(#REF!="Não",#REF!, " ")</f>
        <v>#REF!</v>
      </c>
      <c r="R60" t="e">
        <v>#REF!</v>
      </c>
      <c r="S60" t="e">
        <f>IF(#REF!="Não",#REF!, " ")</f>
        <v>#REF!</v>
      </c>
      <c r="V60" t="e">
        <v>#REF!</v>
      </c>
      <c r="W60" t="e">
        <f>IF(#REF!="Não",#REF!, " ")</f>
        <v>#REF!</v>
      </c>
    </row>
    <row r="61" spans="2:23" x14ac:dyDescent="0.25">
      <c r="B61" t="e">
        <v>#REF!</v>
      </c>
      <c r="C61" t="e">
        <f>IF(#REF!="Não",#REF!, " ")</f>
        <v>#REF!</v>
      </c>
      <c r="F61" t="e">
        <v>#REF!</v>
      </c>
      <c r="G61" t="e">
        <f>IF(#REF!="Não",#REF!, " ")</f>
        <v>#REF!</v>
      </c>
      <c r="J61" t="e">
        <v>#REF!</v>
      </c>
      <c r="K61" t="e">
        <f>IF(#REF!="Não",#REF!, " ")</f>
        <v>#REF!</v>
      </c>
      <c r="N61" t="e">
        <v>#REF!</v>
      </c>
      <c r="O61" t="e">
        <f>IF(#REF!="Não",#REF!, " ")</f>
        <v>#REF!</v>
      </c>
      <c r="R61" t="e">
        <v>#REF!</v>
      </c>
      <c r="S61" t="e">
        <f>IF(#REF!="Não",#REF!, " ")</f>
        <v>#REF!</v>
      </c>
      <c r="V61" t="e">
        <v>#REF!</v>
      </c>
      <c r="W61" t="e">
        <f>IF(#REF!="Não",#REF!, " ")</f>
        <v>#REF!</v>
      </c>
    </row>
    <row r="62" spans="2:23" x14ac:dyDescent="0.25">
      <c r="B62" t="e">
        <v>#REF!</v>
      </c>
      <c r="C62" t="e">
        <f>IF(#REF!="Não",#REF!, " ")</f>
        <v>#REF!</v>
      </c>
      <c r="F62" t="e">
        <v>#REF!</v>
      </c>
      <c r="G62" t="e">
        <f>IF(#REF!="Não",#REF!, " ")</f>
        <v>#REF!</v>
      </c>
      <c r="J62" t="e">
        <v>#REF!</v>
      </c>
      <c r="K62" t="e">
        <f>IF(#REF!="Não",#REF!, " ")</f>
        <v>#REF!</v>
      </c>
      <c r="N62" t="e">
        <v>#REF!</v>
      </c>
      <c r="O62" t="e">
        <f>IF(#REF!="Não",#REF!, " ")</f>
        <v>#REF!</v>
      </c>
      <c r="R62" t="e">
        <v>#REF!</v>
      </c>
      <c r="S62" t="e">
        <f>IF(#REF!="Não",#REF!, " ")</f>
        <v>#REF!</v>
      </c>
      <c r="V62" t="e">
        <v>#REF!</v>
      </c>
      <c r="W62" t="e">
        <f>IF(#REF!="Não",#REF!, " ")</f>
        <v>#REF!</v>
      </c>
    </row>
    <row r="63" spans="2:23" x14ac:dyDescent="0.25">
      <c r="B63" t="e">
        <v>#REF!</v>
      </c>
      <c r="C63" t="e">
        <f>IF(#REF!="Não",#REF!, " ")</f>
        <v>#REF!</v>
      </c>
      <c r="F63" t="e">
        <v>#REF!</v>
      </c>
      <c r="G63" t="e">
        <f>IF(#REF!="Não",#REF!, " ")</f>
        <v>#REF!</v>
      </c>
      <c r="J63" t="e">
        <v>#REF!</v>
      </c>
      <c r="K63" t="e">
        <f>IF(#REF!="Não",#REF!, " ")</f>
        <v>#REF!</v>
      </c>
      <c r="N63" t="e">
        <v>#REF!</v>
      </c>
      <c r="O63" t="e">
        <f>IF(#REF!="Não",#REF!, " ")</f>
        <v>#REF!</v>
      </c>
      <c r="R63" t="e">
        <v>#REF!</v>
      </c>
      <c r="S63" t="e">
        <f>IF(#REF!="Não",#REF!, " ")</f>
        <v>#REF!</v>
      </c>
      <c r="V63" t="e">
        <v>#REF!</v>
      </c>
      <c r="W63" t="e">
        <f>IF(#REF!="Não",#REF!, " ")</f>
        <v>#REF!</v>
      </c>
    </row>
    <row r="64" spans="2:23" x14ac:dyDescent="0.25">
      <c r="B64" t="e">
        <v>#REF!</v>
      </c>
      <c r="C64" t="e">
        <f>IF(#REF!="Não",#REF!, " ")</f>
        <v>#REF!</v>
      </c>
      <c r="F64" t="e">
        <v>#REF!</v>
      </c>
      <c r="G64" t="e">
        <f>IF(#REF!="Não",#REF!, " ")</f>
        <v>#REF!</v>
      </c>
      <c r="J64" t="e">
        <v>#REF!</v>
      </c>
      <c r="K64" t="e">
        <f>IF(#REF!="Não",#REF!, " ")</f>
        <v>#REF!</v>
      </c>
      <c r="N64" t="e">
        <v>#REF!</v>
      </c>
      <c r="O64" t="e">
        <f>IF(#REF!="Não",#REF!, " ")</f>
        <v>#REF!</v>
      </c>
      <c r="R64" t="e">
        <v>#REF!</v>
      </c>
      <c r="S64" t="e">
        <f>IF(#REF!="Não",#REF!, " ")</f>
        <v>#REF!</v>
      </c>
      <c r="V64" t="e">
        <v>#REF!</v>
      </c>
      <c r="W64" t="e">
        <f>IF(#REF!="Não",#REF!, " ")</f>
        <v>#REF!</v>
      </c>
    </row>
    <row r="65" spans="2:23" x14ac:dyDescent="0.25">
      <c r="B65" t="e">
        <v>#REF!</v>
      </c>
      <c r="C65" t="e">
        <f>IF(#REF!="Não",#REF!, " ")</f>
        <v>#REF!</v>
      </c>
      <c r="F65" t="e">
        <v>#REF!</v>
      </c>
      <c r="G65" t="e">
        <f>IF(#REF!="Não",#REF!, " ")</f>
        <v>#REF!</v>
      </c>
      <c r="J65" t="e">
        <v>#REF!</v>
      </c>
      <c r="K65" t="e">
        <f>IF(#REF!="Não",#REF!, " ")</f>
        <v>#REF!</v>
      </c>
      <c r="N65" t="e">
        <v>#REF!</v>
      </c>
      <c r="O65" t="e">
        <f>IF(#REF!="Não",#REF!, " ")</f>
        <v>#REF!</v>
      </c>
      <c r="R65" t="e">
        <v>#REF!</v>
      </c>
      <c r="S65" t="e">
        <f>IF(#REF!="Não",#REF!, " ")</f>
        <v>#REF!</v>
      </c>
      <c r="V65" t="e">
        <v>#REF!</v>
      </c>
      <c r="W65" t="e">
        <f>IF(#REF!="Não",#REF!, " ")</f>
        <v>#REF!</v>
      </c>
    </row>
    <row r="66" spans="2:23" x14ac:dyDescent="0.25">
      <c r="B66" t="e">
        <v>#REF!</v>
      </c>
      <c r="C66" t="e">
        <f>IF(#REF!="Não",#REF!, " ")</f>
        <v>#REF!</v>
      </c>
      <c r="F66" t="e">
        <v>#REF!</v>
      </c>
      <c r="G66" t="e">
        <f>IF(#REF!="Não",#REF!, " ")</f>
        <v>#REF!</v>
      </c>
      <c r="J66" t="e">
        <v>#REF!</v>
      </c>
      <c r="K66" t="e">
        <f>IF(#REF!="Não",#REF!, " ")</f>
        <v>#REF!</v>
      </c>
      <c r="N66" t="e">
        <v>#REF!</v>
      </c>
      <c r="O66" t="e">
        <f>IF(#REF!="Não",#REF!, " ")</f>
        <v>#REF!</v>
      </c>
      <c r="R66" t="e">
        <v>#REF!</v>
      </c>
      <c r="S66" t="e">
        <f>IF(#REF!="Não",#REF!, " ")</f>
        <v>#REF!</v>
      </c>
      <c r="V66" t="e">
        <v>#REF!</v>
      </c>
      <c r="W66" t="e">
        <f>IF(#REF!="Não",#REF!, " ")</f>
        <v>#REF!</v>
      </c>
    </row>
    <row r="67" spans="2:23" x14ac:dyDescent="0.25">
      <c r="B67" t="e">
        <v>#REF!</v>
      </c>
      <c r="C67" t="e">
        <f>IF(#REF!="Não",#REF!, " ")</f>
        <v>#REF!</v>
      </c>
      <c r="F67" t="e">
        <v>#REF!</v>
      </c>
      <c r="G67" t="e">
        <f>IF(#REF!="Não",#REF!, " ")</f>
        <v>#REF!</v>
      </c>
      <c r="J67" t="e">
        <v>#REF!</v>
      </c>
      <c r="K67" t="e">
        <f>IF(#REF!="Não",#REF!, " ")</f>
        <v>#REF!</v>
      </c>
      <c r="N67" t="e">
        <v>#REF!</v>
      </c>
      <c r="O67" t="e">
        <f>IF(#REF!="Não",#REF!, " ")</f>
        <v>#REF!</v>
      </c>
      <c r="R67" t="e">
        <v>#REF!</v>
      </c>
      <c r="S67" t="e">
        <f>IF(#REF!="Não",#REF!, " ")</f>
        <v>#REF!</v>
      </c>
      <c r="V67" t="e">
        <v>#REF!</v>
      </c>
      <c r="W67" t="e">
        <f>IF(#REF!="Não",#REF!, " ")</f>
        <v>#REF!</v>
      </c>
    </row>
    <row r="68" spans="2:23" x14ac:dyDescent="0.25">
      <c r="B68" t="e">
        <v>#REF!</v>
      </c>
      <c r="C68" t="e">
        <f>IF(#REF!="Não",#REF!, " ")</f>
        <v>#REF!</v>
      </c>
      <c r="F68" t="e">
        <v>#REF!</v>
      </c>
      <c r="G68" t="e">
        <f>IF(#REF!="Não",#REF!, " ")</f>
        <v>#REF!</v>
      </c>
      <c r="J68" t="e">
        <v>#REF!</v>
      </c>
      <c r="K68" t="e">
        <f>IF(#REF!="Não",#REF!, " ")</f>
        <v>#REF!</v>
      </c>
      <c r="N68" t="e">
        <v>#REF!</v>
      </c>
      <c r="O68" t="e">
        <f>IF(#REF!="Não",#REF!, " ")</f>
        <v>#REF!</v>
      </c>
      <c r="R68" t="e">
        <v>#REF!</v>
      </c>
      <c r="S68" t="e">
        <f>IF(#REF!="Não",#REF!, " ")</f>
        <v>#REF!</v>
      </c>
      <c r="V68" t="e">
        <v>#REF!</v>
      </c>
      <c r="W68" t="e">
        <f>IF(#REF!="Não",#REF!, " ")</f>
        <v>#REF!</v>
      </c>
    </row>
    <row r="69" spans="2:23" x14ac:dyDescent="0.25">
      <c r="B69" t="e">
        <v>#REF!</v>
      </c>
      <c r="C69" t="e">
        <f>IF(#REF!="Não",#REF!, " ")</f>
        <v>#REF!</v>
      </c>
      <c r="F69" t="e">
        <v>#REF!</v>
      </c>
      <c r="G69" t="e">
        <f>IF(#REF!="Não",#REF!, " ")</f>
        <v>#REF!</v>
      </c>
      <c r="J69" t="e">
        <v>#REF!</v>
      </c>
      <c r="K69" t="e">
        <f>IF(#REF!="Não",#REF!, " ")</f>
        <v>#REF!</v>
      </c>
      <c r="N69" t="e">
        <v>#REF!</v>
      </c>
      <c r="O69" t="e">
        <f>IF(#REF!="Não",#REF!, " ")</f>
        <v>#REF!</v>
      </c>
      <c r="R69" t="e">
        <v>#REF!</v>
      </c>
      <c r="S69" t="e">
        <f>IF(#REF!="Não",#REF!, " ")</f>
        <v>#REF!</v>
      </c>
      <c r="V69" t="e">
        <v>#REF!</v>
      </c>
      <c r="W69" t="e">
        <f>IF(#REF!="Não",#REF!, " ")</f>
        <v>#REF!</v>
      </c>
    </row>
    <row r="70" spans="2:23" x14ac:dyDescent="0.25">
      <c r="B70" t="e">
        <v>#REF!</v>
      </c>
      <c r="C70" t="e">
        <f>IF(#REF!="Não",#REF!, " ")</f>
        <v>#REF!</v>
      </c>
      <c r="F70" t="e">
        <v>#REF!</v>
      </c>
      <c r="G70" t="e">
        <f>IF(#REF!="Não",#REF!, " ")</f>
        <v>#REF!</v>
      </c>
      <c r="J70" t="e">
        <v>#REF!</v>
      </c>
      <c r="K70" t="e">
        <f>IF(#REF!="Não",#REF!, " ")</f>
        <v>#REF!</v>
      </c>
      <c r="N70" t="e">
        <v>#REF!</v>
      </c>
      <c r="O70" t="e">
        <f>IF(#REF!="Não",#REF!, " ")</f>
        <v>#REF!</v>
      </c>
      <c r="R70" t="e">
        <v>#REF!</v>
      </c>
      <c r="S70" t="e">
        <f>IF(#REF!="Não",#REF!, " ")</f>
        <v>#REF!</v>
      </c>
      <c r="V70" t="e">
        <v>#REF!</v>
      </c>
      <c r="W70" t="e">
        <f>IF(#REF!="Não",#REF!, " ")</f>
        <v>#REF!</v>
      </c>
    </row>
    <row r="71" spans="2:23" x14ac:dyDescent="0.25">
      <c r="B71" t="e">
        <v>#REF!</v>
      </c>
      <c r="C71" t="e">
        <f>IF(#REF!="Não",#REF!, " ")</f>
        <v>#REF!</v>
      </c>
      <c r="F71" t="e">
        <v>#REF!</v>
      </c>
      <c r="G71" t="e">
        <f>IF(#REF!="Não",#REF!, " ")</f>
        <v>#REF!</v>
      </c>
      <c r="J71" t="e">
        <v>#REF!</v>
      </c>
      <c r="K71" t="e">
        <f>IF(#REF!="Não",#REF!, " ")</f>
        <v>#REF!</v>
      </c>
      <c r="N71" t="e">
        <v>#REF!</v>
      </c>
      <c r="O71" t="e">
        <f>IF(#REF!="Não",#REF!, " ")</f>
        <v>#REF!</v>
      </c>
      <c r="R71" t="e">
        <v>#REF!</v>
      </c>
      <c r="S71" t="e">
        <f>IF(#REF!="Não",#REF!, " ")</f>
        <v>#REF!</v>
      </c>
      <c r="V71" t="e">
        <v>#REF!</v>
      </c>
      <c r="W71" t="e">
        <f>IF(#REF!="Não",#REF!, " ")</f>
        <v>#REF!</v>
      </c>
    </row>
    <row r="72" spans="2:23" x14ac:dyDescent="0.25">
      <c r="B72" t="e">
        <v>#REF!</v>
      </c>
      <c r="C72" t="e">
        <f>IF(#REF!="Não",#REF!, " ")</f>
        <v>#REF!</v>
      </c>
      <c r="F72" t="e">
        <v>#REF!</v>
      </c>
      <c r="G72" t="e">
        <f>IF(#REF!="Não",#REF!, " ")</f>
        <v>#REF!</v>
      </c>
      <c r="J72" t="e">
        <v>#REF!</v>
      </c>
      <c r="K72" t="e">
        <f>IF(#REF!="Não",#REF!, " ")</f>
        <v>#REF!</v>
      </c>
      <c r="N72" t="e">
        <v>#REF!</v>
      </c>
      <c r="O72" t="e">
        <f>IF(#REF!="Não",#REF!, " ")</f>
        <v>#REF!</v>
      </c>
      <c r="R72" t="e">
        <v>#REF!</v>
      </c>
      <c r="S72" t="e">
        <f>IF(#REF!="Não",#REF!, " ")</f>
        <v>#REF!</v>
      </c>
      <c r="V72" t="e">
        <v>#REF!</v>
      </c>
      <c r="W72" t="e">
        <f>IF(#REF!="Não",#REF!, " ")</f>
        <v>#REF!</v>
      </c>
    </row>
    <row r="73" spans="2:23" x14ac:dyDescent="0.25">
      <c r="B73" t="e">
        <v>#REF!</v>
      </c>
      <c r="C73" t="e">
        <f>IF(#REF!="Não",#REF!, " ")</f>
        <v>#REF!</v>
      </c>
      <c r="F73" t="e">
        <v>#REF!</v>
      </c>
      <c r="G73" t="e">
        <f>IF(#REF!="Não",#REF!, " ")</f>
        <v>#REF!</v>
      </c>
      <c r="J73" t="e">
        <v>#REF!</v>
      </c>
      <c r="K73" t="e">
        <f>IF(#REF!="Não",#REF!, " ")</f>
        <v>#REF!</v>
      </c>
      <c r="N73" t="e">
        <v>#REF!</v>
      </c>
      <c r="O73" t="e">
        <f>IF(#REF!="Não",#REF!, " ")</f>
        <v>#REF!</v>
      </c>
      <c r="R73" t="e">
        <v>#REF!</v>
      </c>
      <c r="S73" t="e">
        <f>IF(#REF!="Não",#REF!, " ")</f>
        <v>#REF!</v>
      </c>
      <c r="V73" t="e">
        <v>#REF!</v>
      </c>
      <c r="W73" t="e">
        <f>IF(#REF!="Não",#REF!, " ")</f>
        <v>#REF!</v>
      </c>
    </row>
    <row r="74" spans="2:23" x14ac:dyDescent="0.25">
      <c r="B74" t="e">
        <v>#REF!</v>
      </c>
      <c r="C74" t="e">
        <f>IF(#REF!="Não",#REF!, " ")</f>
        <v>#REF!</v>
      </c>
      <c r="F74" t="e">
        <v>#REF!</v>
      </c>
      <c r="G74" t="e">
        <f>IF(#REF!="Não",#REF!, " ")</f>
        <v>#REF!</v>
      </c>
      <c r="J74" t="e">
        <v>#REF!</v>
      </c>
      <c r="K74" t="e">
        <f>IF(#REF!="Não",#REF!, " ")</f>
        <v>#REF!</v>
      </c>
      <c r="N74" t="e">
        <v>#REF!</v>
      </c>
      <c r="O74" t="e">
        <f>IF(#REF!="Não",#REF!, " ")</f>
        <v>#REF!</v>
      </c>
      <c r="R74" t="e">
        <v>#REF!</v>
      </c>
      <c r="S74" t="e">
        <f>IF(#REF!="Não",#REF!, " ")</f>
        <v>#REF!</v>
      </c>
      <c r="V74" t="e">
        <v>#REF!</v>
      </c>
      <c r="W74" t="e">
        <f>IF(#REF!="Não",#REF!, " ")</f>
        <v>#REF!</v>
      </c>
    </row>
    <row r="75" spans="2:23" x14ac:dyDescent="0.25">
      <c r="B75" t="e">
        <v>#REF!</v>
      </c>
      <c r="C75" t="e">
        <f>IF(#REF!="Não",#REF!, " ")</f>
        <v>#REF!</v>
      </c>
      <c r="F75" t="e">
        <v>#REF!</v>
      </c>
      <c r="G75" t="e">
        <f>IF(#REF!="Não",#REF!, " ")</f>
        <v>#REF!</v>
      </c>
      <c r="J75" t="e">
        <v>#REF!</v>
      </c>
      <c r="K75" t="e">
        <f>IF(#REF!="Não",#REF!, " ")</f>
        <v>#REF!</v>
      </c>
      <c r="N75" t="e">
        <v>#REF!</v>
      </c>
      <c r="O75" t="e">
        <f>IF(#REF!="Não",#REF!, " ")</f>
        <v>#REF!</v>
      </c>
      <c r="R75" t="e">
        <v>#REF!</v>
      </c>
      <c r="S75" t="e">
        <f>IF(#REF!="Não",#REF!, " ")</f>
        <v>#REF!</v>
      </c>
      <c r="V75" t="e">
        <v>#REF!</v>
      </c>
      <c r="W75" t="e">
        <f>IF(#REF!="Não",#REF!, " ")</f>
        <v>#REF!</v>
      </c>
    </row>
    <row r="76" spans="2:23" x14ac:dyDescent="0.25">
      <c r="B76" t="e">
        <v>#REF!</v>
      </c>
      <c r="C76" t="e">
        <f>IF(#REF!="Não",#REF!, " ")</f>
        <v>#REF!</v>
      </c>
      <c r="F76" t="e">
        <v>#REF!</v>
      </c>
      <c r="G76" t="e">
        <f>IF(#REF!="Não",#REF!, " ")</f>
        <v>#REF!</v>
      </c>
      <c r="J76" t="e">
        <v>#REF!</v>
      </c>
      <c r="K76" t="e">
        <f>IF(#REF!="Não",#REF!, " ")</f>
        <v>#REF!</v>
      </c>
      <c r="N76" t="e">
        <v>#REF!</v>
      </c>
      <c r="O76" t="e">
        <f>IF(#REF!="Não",#REF!, " ")</f>
        <v>#REF!</v>
      </c>
      <c r="R76" t="e">
        <v>#REF!</v>
      </c>
      <c r="S76" t="e">
        <f>IF(#REF!="Não",#REF!, " ")</f>
        <v>#REF!</v>
      </c>
      <c r="V76" t="e">
        <v>#REF!</v>
      </c>
      <c r="W76" t="e">
        <f>IF(#REF!="Não",#REF!, " ")</f>
        <v>#REF!</v>
      </c>
    </row>
    <row r="77" spans="2:23" x14ac:dyDescent="0.25">
      <c r="B77" t="e">
        <v>#REF!</v>
      </c>
      <c r="C77" t="e">
        <f>IF(#REF!="Não",#REF!, " ")</f>
        <v>#REF!</v>
      </c>
      <c r="F77" t="e">
        <v>#REF!</v>
      </c>
      <c r="G77" t="e">
        <f>IF(#REF!="Não",#REF!, " ")</f>
        <v>#REF!</v>
      </c>
      <c r="J77" t="e">
        <v>#REF!</v>
      </c>
      <c r="K77" t="e">
        <f>IF(#REF!="Não",#REF!, " ")</f>
        <v>#REF!</v>
      </c>
      <c r="N77" t="e">
        <v>#REF!</v>
      </c>
      <c r="O77" t="e">
        <f>IF(#REF!="Não",#REF!, " ")</f>
        <v>#REF!</v>
      </c>
      <c r="R77" t="e">
        <v>#REF!</v>
      </c>
      <c r="S77" t="e">
        <f>IF(#REF!="Não",#REF!, " ")</f>
        <v>#REF!</v>
      </c>
      <c r="V77" t="e">
        <v>#REF!</v>
      </c>
      <c r="W77" t="e">
        <f>IF(#REF!="Não",#REF!, " ")</f>
        <v>#REF!</v>
      </c>
    </row>
    <row r="78" spans="2:23" x14ac:dyDescent="0.25">
      <c r="B78" t="e">
        <v>#REF!</v>
      </c>
      <c r="C78" t="e">
        <f>IF(#REF!="Não",#REF!, " ")</f>
        <v>#REF!</v>
      </c>
      <c r="F78" t="e">
        <v>#REF!</v>
      </c>
      <c r="G78" t="e">
        <f>IF(#REF!="Não",#REF!, " ")</f>
        <v>#REF!</v>
      </c>
      <c r="J78" t="e">
        <v>#REF!</v>
      </c>
      <c r="K78" t="e">
        <f>IF(#REF!="Não",#REF!, " ")</f>
        <v>#REF!</v>
      </c>
      <c r="N78" t="e">
        <v>#REF!</v>
      </c>
      <c r="O78" t="e">
        <f>IF(#REF!="Não",#REF!, " ")</f>
        <v>#REF!</v>
      </c>
      <c r="R78" t="e">
        <v>#REF!</v>
      </c>
      <c r="S78" t="e">
        <f>IF(#REF!="Não",#REF!, " ")</f>
        <v>#REF!</v>
      </c>
      <c r="V78" t="e">
        <v>#REF!</v>
      </c>
      <c r="W78" t="e">
        <f>IF(#REF!="Não",#REF!, " ")</f>
        <v>#REF!</v>
      </c>
    </row>
    <row r="79" spans="2:23" x14ac:dyDescent="0.25">
      <c r="B79" t="e">
        <v>#REF!</v>
      </c>
      <c r="C79" t="e">
        <f>IF(#REF!="Não",#REF!, " ")</f>
        <v>#REF!</v>
      </c>
      <c r="F79" t="e">
        <v>#REF!</v>
      </c>
      <c r="G79" t="e">
        <f>IF(#REF!="Não",#REF!, " ")</f>
        <v>#REF!</v>
      </c>
      <c r="J79" t="e">
        <v>#REF!</v>
      </c>
      <c r="K79" t="e">
        <f>IF(#REF!="Não",#REF!, " ")</f>
        <v>#REF!</v>
      </c>
      <c r="N79" t="e">
        <v>#REF!</v>
      </c>
      <c r="O79" t="e">
        <f>IF(#REF!="Não",#REF!, " ")</f>
        <v>#REF!</v>
      </c>
      <c r="R79" t="e">
        <v>#REF!</v>
      </c>
      <c r="S79" t="e">
        <f>IF(#REF!="Não",#REF!, " ")</f>
        <v>#REF!</v>
      </c>
      <c r="V79" t="e">
        <v>#REF!</v>
      </c>
      <c r="W79" t="e">
        <f>IF(#REF!="Não",#REF!, " ")</f>
        <v>#REF!</v>
      </c>
    </row>
    <row r="80" spans="2:23" x14ac:dyDescent="0.25">
      <c r="B80" t="e">
        <v>#REF!</v>
      </c>
      <c r="C80" t="e">
        <f>IF(#REF!="Não",#REF!, " ")</f>
        <v>#REF!</v>
      </c>
      <c r="F80" t="e">
        <v>#REF!</v>
      </c>
      <c r="G80" t="e">
        <f>IF(#REF!="Não",#REF!, " ")</f>
        <v>#REF!</v>
      </c>
      <c r="J80" t="e">
        <v>#REF!</v>
      </c>
      <c r="K80" t="e">
        <f>IF(#REF!="Não",#REF!, " ")</f>
        <v>#REF!</v>
      </c>
      <c r="N80" t="e">
        <v>#REF!</v>
      </c>
      <c r="O80" t="e">
        <f>IF(#REF!="Não",#REF!, " ")</f>
        <v>#REF!</v>
      </c>
      <c r="R80" t="e">
        <v>#REF!</v>
      </c>
      <c r="S80" t="e">
        <f>IF(#REF!="Não",#REF!, " ")</f>
        <v>#REF!</v>
      </c>
      <c r="V80" t="e">
        <v>#REF!</v>
      </c>
      <c r="W80" t="e">
        <f>IF(#REF!="Não",#REF!, " ")</f>
        <v>#REF!</v>
      </c>
    </row>
    <row r="81" spans="2:23" x14ac:dyDescent="0.25">
      <c r="B81" t="e">
        <v>#REF!</v>
      </c>
      <c r="C81" t="e">
        <f>IF(#REF!="Não",#REF!, " ")</f>
        <v>#REF!</v>
      </c>
      <c r="F81" t="e">
        <v>#REF!</v>
      </c>
      <c r="G81" t="e">
        <f>IF(#REF!="Não",#REF!, " ")</f>
        <v>#REF!</v>
      </c>
      <c r="J81" t="e">
        <v>#REF!</v>
      </c>
      <c r="K81" t="e">
        <f>IF(#REF!="Não",#REF!, " ")</f>
        <v>#REF!</v>
      </c>
      <c r="N81" t="e">
        <v>#REF!</v>
      </c>
      <c r="O81" t="e">
        <f>IF(#REF!="Não",#REF!, " ")</f>
        <v>#REF!</v>
      </c>
      <c r="R81" t="e">
        <v>#REF!</v>
      </c>
      <c r="S81" t="e">
        <f>IF(#REF!="Não",#REF!, " ")</f>
        <v>#REF!</v>
      </c>
      <c r="V81" t="e">
        <v>#REF!</v>
      </c>
      <c r="W81" t="e">
        <f>IF(#REF!="Não",#REF!, " ")</f>
        <v>#REF!</v>
      </c>
    </row>
    <row r="82" spans="2:23" x14ac:dyDescent="0.25">
      <c r="B82" t="e">
        <v>#REF!</v>
      </c>
      <c r="C82" t="e">
        <f>IF(#REF!="Não",#REF!, " ")</f>
        <v>#REF!</v>
      </c>
      <c r="F82" t="e">
        <v>#REF!</v>
      </c>
      <c r="G82" t="e">
        <f>IF(#REF!="Não",#REF!, " ")</f>
        <v>#REF!</v>
      </c>
      <c r="J82" t="e">
        <v>#REF!</v>
      </c>
      <c r="K82" t="e">
        <f>IF(#REF!="Não",#REF!, " ")</f>
        <v>#REF!</v>
      </c>
      <c r="N82" t="e">
        <v>#REF!</v>
      </c>
      <c r="O82" t="e">
        <f>IF(#REF!="Não",#REF!, " ")</f>
        <v>#REF!</v>
      </c>
      <c r="R82" t="e">
        <v>#REF!</v>
      </c>
      <c r="S82" t="e">
        <f>IF(#REF!="Não",#REF!, " ")</f>
        <v>#REF!</v>
      </c>
      <c r="V82" t="e">
        <v>#REF!</v>
      </c>
      <c r="W82" t="e">
        <f>IF(#REF!="Não",#REF!, " ")</f>
        <v>#REF!</v>
      </c>
    </row>
    <row r="83" spans="2:23" x14ac:dyDescent="0.25">
      <c r="B83" t="e">
        <v>#REF!</v>
      </c>
      <c r="C83" t="e">
        <f>IF(#REF!="Não",#REF!, " ")</f>
        <v>#REF!</v>
      </c>
      <c r="F83" t="e">
        <v>#REF!</v>
      </c>
      <c r="G83" t="e">
        <f>IF(#REF!="Não",#REF!, " ")</f>
        <v>#REF!</v>
      </c>
      <c r="J83" t="e">
        <v>#REF!</v>
      </c>
      <c r="K83" t="e">
        <f>IF(#REF!="Não",#REF!, " ")</f>
        <v>#REF!</v>
      </c>
      <c r="N83" t="e">
        <v>#REF!</v>
      </c>
      <c r="O83" t="e">
        <f>IF(#REF!="Não",#REF!, " ")</f>
        <v>#REF!</v>
      </c>
      <c r="R83" t="e">
        <v>#REF!</v>
      </c>
      <c r="S83" t="e">
        <f>IF(#REF!="Não",#REF!, " ")</f>
        <v>#REF!</v>
      </c>
      <c r="V83" t="e">
        <v>#REF!</v>
      </c>
      <c r="W83" t="e">
        <f>IF(#REF!="Não",#REF!, " ")</f>
        <v>#REF!</v>
      </c>
    </row>
    <row r="84" spans="2:23" x14ac:dyDescent="0.25">
      <c r="B84" t="e">
        <v>#REF!</v>
      </c>
      <c r="C84" t="e">
        <f>IF(#REF!="Não",#REF!, " ")</f>
        <v>#REF!</v>
      </c>
      <c r="F84" t="e">
        <v>#REF!</v>
      </c>
      <c r="G84" t="e">
        <f>IF(#REF!="Não",#REF!, " ")</f>
        <v>#REF!</v>
      </c>
      <c r="J84" t="e">
        <v>#REF!</v>
      </c>
      <c r="K84" t="e">
        <f>IF(#REF!="Não",#REF!, " ")</f>
        <v>#REF!</v>
      </c>
      <c r="N84" t="e">
        <v>#REF!</v>
      </c>
      <c r="O84" t="e">
        <f>IF(#REF!="Não",#REF!, " ")</f>
        <v>#REF!</v>
      </c>
      <c r="R84" t="e">
        <v>#REF!</v>
      </c>
      <c r="S84" t="e">
        <f>IF(#REF!="Não",#REF!, " ")</f>
        <v>#REF!</v>
      </c>
      <c r="V84" t="e">
        <v>#REF!</v>
      </c>
      <c r="W84" t="e">
        <f>IF(#REF!="Não",#REF!, " ")</f>
        <v>#REF!</v>
      </c>
    </row>
    <row r="85" spans="2:23" x14ac:dyDescent="0.25">
      <c r="B85" t="e">
        <v>#REF!</v>
      </c>
      <c r="C85" t="e">
        <f>IF(#REF!="Não",#REF!, " ")</f>
        <v>#REF!</v>
      </c>
      <c r="F85" t="e">
        <v>#REF!</v>
      </c>
      <c r="G85" t="e">
        <f>IF(#REF!="Não",#REF!, " ")</f>
        <v>#REF!</v>
      </c>
      <c r="J85" t="e">
        <v>#REF!</v>
      </c>
      <c r="K85" t="e">
        <f>IF(#REF!="Não",#REF!, " ")</f>
        <v>#REF!</v>
      </c>
      <c r="N85" t="e">
        <v>#REF!</v>
      </c>
      <c r="O85" t="e">
        <f>IF(#REF!="Não",#REF!, " ")</f>
        <v>#REF!</v>
      </c>
      <c r="R85" t="e">
        <v>#REF!</v>
      </c>
      <c r="S85" t="e">
        <f>IF(#REF!="Não",#REF!, " ")</f>
        <v>#REF!</v>
      </c>
      <c r="V85" t="e">
        <v>#REF!</v>
      </c>
      <c r="W85" t="e">
        <f>IF(#REF!="Não",#REF!, " ")</f>
        <v>#REF!</v>
      </c>
    </row>
    <row r="86" spans="2:23" x14ac:dyDescent="0.25">
      <c r="B86" t="e">
        <v>#REF!</v>
      </c>
      <c r="C86" t="e">
        <f>IF(#REF!="Não",#REF!, " ")</f>
        <v>#REF!</v>
      </c>
      <c r="F86" t="e">
        <v>#REF!</v>
      </c>
      <c r="G86" t="e">
        <f>IF(#REF!="Não",#REF!, " ")</f>
        <v>#REF!</v>
      </c>
      <c r="J86" t="e">
        <v>#REF!</v>
      </c>
      <c r="K86" t="e">
        <f>IF(#REF!="Não",#REF!, " ")</f>
        <v>#REF!</v>
      </c>
      <c r="N86" t="e">
        <v>#REF!</v>
      </c>
      <c r="O86" t="e">
        <f>IF(#REF!="Não",#REF!, " ")</f>
        <v>#REF!</v>
      </c>
      <c r="R86" t="e">
        <v>#REF!</v>
      </c>
      <c r="S86" t="e">
        <f>IF(#REF!="Não",#REF!, " ")</f>
        <v>#REF!</v>
      </c>
      <c r="V86" t="e">
        <v>#REF!</v>
      </c>
      <c r="W86" t="e">
        <f>IF(#REF!="Não",#REF!, " ")</f>
        <v>#REF!</v>
      </c>
    </row>
    <row r="87" spans="2:23" x14ac:dyDescent="0.25">
      <c r="O87" t="e">
        <f>IF(#REF!="Não",#REF!, " ")</f>
        <v>#REF!</v>
      </c>
    </row>
    <row r="88" spans="2:23" x14ac:dyDescent="0.25">
      <c r="O88" t="e">
        <f>IF(#REF!="Não",#REF!, " ")</f>
        <v>#REF!</v>
      </c>
    </row>
  </sheetData>
  <sortState xmlns:xlrd2="http://schemas.microsoft.com/office/spreadsheetml/2017/richdata2" ref="C3:C86">
    <sortCondition descending="1" ref="C3:C86"/>
  </sortState>
  <mergeCells count="6">
    <mergeCell ref="U1:W2"/>
    <mergeCell ref="A1:C2"/>
    <mergeCell ref="E1:G2"/>
    <mergeCell ref="I1:K2"/>
    <mergeCell ref="M1:O2"/>
    <mergeCell ref="Q1:S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E42A-461D-42E1-B774-7C3D8B592AED}">
  <dimension ref="A1:X143"/>
  <sheetViews>
    <sheetView workbookViewId="0">
      <pane ySplit="2" topLeftCell="A11" activePane="bottomLeft" state="frozen"/>
      <selection pane="bottomLeft" activeCell="N30" sqref="N30"/>
    </sheetView>
  </sheetViews>
  <sheetFormatPr defaultRowHeight="15" x14ac:dyDescent="0.25"/>
  <cols>
    <col min="2" max="2" width="20.7109375" customWidth="1"/>
    <col min="3" max="3" width="14.7109375" hidden="1" customWidth="1"/>
    <col min="4" max="4" width="2.7109375" style="9" customWidth="1"/>
    <col min="5" max="5" width="8.85546875" customWidth="1"/>
    <col min="6" max="6" width="28" bestFit="1" customWidth="1"/>
    <col min="7" max="7" width="14.7109375" hidden="1" customWidth="1"/>
    <col min="8" max="8" width="2.7109375" style="9" customWidth="1"/>
    <col min="9" max="9" width="8.85546875" customWidth="1"/>
    <col min="10" max="10" width="25.7109375" bestFit="1" customWidth="1"/>
    <col min="11" max="11" width="14.7109375" hidden="1" customWidth="1"/>
    <col min="12" max="12" width="2.7109375" style="9" customWidth="1"/>
    <col min="13" max="13" width="8.85546875" customWidth="1"/>
    <col min="14" max="14" width="25.7109375" bestFit="1" customWidth="1"/>
    <col min="15" max="15" width="14.7109375" hidden="1" customWidth="1"/>
    <col min="16" max="16" width="2.7109375" style="9" customWidth="1"/>
    <col min="17" max="17" width="8.85546875" customWidth="1"/>
    <col min="18" max="18" width="20.7109375" customWidth="1"/>
    <col min="19" max="19" width="14.7109375" hidden="1" customWidth="1"/>
    <col min="20" max="20" width="2.7109375" style="9" customWidth="1"/>
    <col min="21" max="21" width="8.85546875" customWidth="1"/>
    <col min="22" max="22" width="20.7109375" customWidth="1"/>
    <col min="23" max="23" width="14.7109375" hidden="1" customWidth="1"/>
    <col min="24" max="24" width="2.7109375" style="9" customWidth="1"/>
    <col min="25" max="25" width="8.85546875" customWidth="1"/>
  </cols>
  <sheetData>
    <row r="1" spans="1:24" s="4" customFormat="1" ht="15" customHeight="1" x14ac:dyDescent="0.25">
      <c r="A1" s="18" t="s">
        <v>41</v>
      </c>
      <c r="B1" s="18"/>
      <c r="C1" s="18"/>
      <c r="D1" s="8"/>
      <c r="E1" s="18" t="s">
        <v>57</v>
      </c>
      <c r="F1" s="18"/>
      <c r="G1" s="18"/>
      <c r="H1" s="8"/>
      <c r="I1" s="18" t="s">
        <v>69</v>
      </c>
      <c r="J1" s="18"/>
      <c r="K1" s="18"/>
      <c r="L1" s="8"/>
      <c r="M1" s="18" t="s">
        <v>105</v>
      </c>
      <c r="N1" s="18"/>
      <c r="O1" s="18"/>
      <c r="P1" s="8"/>
      <c r="Q1" s="18"/>
      <c r="R1" s="18"/>
      <c r="S1" s="18"/>
      <c r="T1" s="8"/>
      <c r="U1" s="18"/>
      <c r="V1" s="18"/>
      <c r="W1" s="18"/>
      <c r="X1" s="8"/>
    </row>
    <row r="2" spans="1:24" s="4" customFormat="1" ht="15" customHeight="1" x14ac:dyDescent="0.25">
      <c r="A2" s="18"/>
      <c r="B2" s="18"/>
      <c r="C2" s="18"/>
      <c r="D2" s="8"/>
      <c r="E2" s="18"/>
      <c r="F2" s="18"/>
      <c r="G2" s="18"/>
      <c r="H2" s="8"/>
      <c r="I2" s="18"/>
      <c r="J2" s="18"/>
      <c r="K2" s="18"/>
      <c r="L2" s="8"/>
      <c r="M2" s="18"/>
      <c r="N2" s="18"/>
      <c r="O2" s="18"/>
      <c r="P2" s="8"/>
      <c r="Q2" s="18"/>
      <c r="R2" s="18"/>
      <c r="S2" s="18"/>
      <c r="T2" s="8"/>
      <c r="U2" s="18"/>
      <c r="V2" s="18"/>
      <c r="W2" s="18"/>
      <c r="X2" s="8"/>
    </row>
    <row r="3" spans="1:24" x14ac:dyDescent="0.25">
      <c r="A3" s="4" t="s">
        <v>20</v>
      </c>
      <c r="B3" t="e" cm="1">
        <f t="array" ref="B3:B86">_xlfn._xlws.SORT(C3:C86,1,-1,0)</f>
        <v>#REF!</v>
      </c>
      <c r="C3" t="e">
        <f>IF(#REF!="Não",#REF!, " ")</f>
        <v>#REF!</v>
      </c>
      <c r="E3" s="4"/>
      <c r="F3" t="e" cm="1">
        <f t="array" ref="F3:F86">_xlfn._xlws.SORT(G3:G86,1,-1,0)</f>
        <v>#REF!</v>
      </c>
      <c r="G3" t="e">
        <f>IF(#REF!="Não",#REF!, " ")</f>
        <v>#REF!</v>
      </c>
      <c r="I3" s="4"/>
      <c r="J3" t="str" cm="1">
        <f t="array" ref="J3:J86">_xlfn._xlws.SORT(K3:K86,1,-1,0)</f>
        <v>Woodland Cemetery</v>
      </c>
      <c r="K3" t="str">
        <f>IF('Jund Food'!D3="Não",'Jund Food'!C3, " ")</f>
        <v xml:space="preserve"> </v>
      </c>
      <c r="M3" s="4"/>
      <c r="N3" t="str" cm="1">
        <f t="array" ref="N3:N86">_xlfn._xlws.SORT(O3:O86,1,-1,0)</f>
        <v>Tamiyo's Safekeeping</v>
      </c>
      <c r="O3" t="str">
        <f>IF(ElfoNeer!D3="Não",ElfoNeer!C3, " ")</f>
        <v>Lair of the Hydra</v>
      </c>
      <c r="Q3" s="4"/>
      <c r="U3" s="4"/>
    </row>
    <row r="4" spans="1:24" x14ac:dyDescent="0.25">
      <c r="A4" s="3" t="e">
        <f>#REF!</f>
        <v>#REF!</v>
      </c>
      <c r="B4" t="e">
        <v>#REF!</v>
      </c>
      <c r="C4" t="e">
        <f>IF(#REF!="Não",#REF!, " ")</f>
        <v>#REF!</v>
      </c>
      <c r="E4" s="3"/>
      <c r="F4" t="e">
        <v>#REF!</v>
      </c>
      <c r="G4" t="e">
        <f>IF(#REF!="Não",#REF!, " ")</f>
        <v>#REF!</v>
      </c>
      <c r="I4" s="3"/>
      <c r="J4" t="str">
        <v>Woodland Cemetery</v>
      </c>
      <c r="K4" t="str">
        <f>IF('Jund Food'!D4="Não",'Jund Food'!C4, " ")</f>
        <v>Blood Crypt</v>
      </c>
      <c r="M4" s="3"/>
      <c r="N4" t="str">
        <v>Tamiyo's Safekeeping</v>
      </c>
      <c r="O4" t="str">
        <f>IF(ElfoNeer!D4="Não",ElfoNeer!C4, " ")</f>
        <v>Lair of the Hydra</v>
      </c>
      <c r="Q4" s="3"/>
      <c r="U4" s="3"/>
    </row>
    <row r="5" spans="1:24" x14ac:dyDescent="0.25">
      <c r="B5" t="e">
        <v>#REF!</v>
      </c>
      <c r="C5" t="e">
        <f>IF(#REF!="Não",#REF!, " ")</f>
        <v>#REF!</v>
      </c>
      <c r="F5" t="e">
        <v>#REF!</v>
      </c>
      <c r="G5" t="e">
        <f>IF(#REF!="Não",#REF!, " ")</f>
        <v>#REF!</v>
      </c>
      <c r="J5" t="str">
        <v>Stomping Ground</v>
      </c>
      <c r="K5" t="str">
        <f>IF('Jund Food'!D5="Não",'Jund Food'!C5, " ")</f>
        <v>Blood Crypt</v>
      </c>
      <c r="N5" t="str">
        <v>Portal to Phyrexia</v>
      </c>
      <c r="O5" t="str">
        <f>IF(ElfoNeer!D5="Não",ElfoNeer!C5, " ")</f>
        <v xml:space="preserve"> </v>
      </c>
    </row>
    <row r="6" spans="1:24" x14ac:dyDescent="0.25">
      <c r="B6" t="e">
        <v>#REF!</v>
      </c>
      <c r="C6" t="e">
        <f>IF(#REF!="Não",#REF!, " ")</f>
        <v>#REF!</v>
      </c>
      <c r="F6" t="e">
        <v>#REF!</v>
      </c>
      <c r="G6" t="e">
        <f>IF(#REF!="Não",#REF!, " ")</f>
        <v>#REF!</v>
      </c>
      <c r="J6" t="str">
        <v>Stomping Ground</v>
      </c>
      <c r="K6" t="str">
        <f>IF('Jund Food'!D6="Não",'Jund Food'!C6, " ")</f>
        <v xml:space="preserve"> </v>
      </c>
      <c r="N6" t="str">
        <v>Portal to Phyrexia</v>
      </c>
      <c r="O6" t="str">
        <f>IF(ElfoNeer!D6="Não",ElfoNeer!C6, " ")</f>
        <v xml:space="preserve"> </v>
      </c>
    </row>
    <row r="7" spans="1:24" x14ac:dyDescent="0.25">
      <c r="B7" t="e">
        <v>#REF!</v>
      </c>
      <c r="C7" t="e">
        <f>IF(#REF!="Não",#REF!, " ")</f>
        <v>#REF!</v>
      </c>
      <c r="F7" t="e">
        <v>#REF!</v>
      </c>
      <c r="G7" t="e">
        <f>IF(#REF!="Não",#REF!, " ")</f>
        <v>#REF!</v>
      </c>
      <c r="J7" t="str">
        <v>Rootbound Crag</v>
      </c>
      <c r="K7" t="str">
        <f>IF('Jund Food'!D7="Não",'Jund Food'!C7, " ")</f>
        <v xml:space="preserve"> </v>
      </c>
      <c r="N7" t="str">
        <v>Patch Up</v>
      </c>
      <c r="O7" t="str">
        <f>IF(ElfoNeer!D7="Não",ElfoNeer!C7, " ")</f>
        <v xml:space="preserve"> </v>
      </c>
    </row>
    <row r="8" spans="1:24" x14ac:dyDescent="0.25">
      <c r="B8" t="e">
        <v>#REF!</v>
      </c>
      <c r="C8" t="e">
        <f>IF(#REF!="Não",#REF!, " ")</f>
        <v>#REF!</v>
      </c>
      <c r="F8" t="e">
        <v>#REF!</v>
      </c>
      <c r="G8" t="e">
        <f>IF(#REF!="Não",#REF!, " ")</f>
        <v>#REF!</v>
      </c>
      <c r="J8" t="str">
        <v>Rootbound Crag</v>
      </c>
      <c r="K8" t="str">
        <f>IF('Jund Food'!D8="Não",'Jund Food'!C8, " ")</f>
        <v xml:space="preserve"> </v>
      </c>
      <c r="N8" t="str">
        <v>Patch Up</v>
      </c>
      <c r="O8" t="str">
        <f>IF(ElfoNeer!D8="Não",ElfoNeer!C8, " ")</f>
        <v xml:space="preserve"> </v>
      </c>
    </row>
    <row r="9" spans="1:24" x14ac:dyDescent="0.25">
      <c r="B9" t="e">
        <v>#REF!</v>
      </c>
      <c r="C9" t="e">
        <f>IF(#REF!="Não",#REF!, " ")</f>
        <v>#REF!</v>
      </c>
      <c r="F9" t="e">
        <v>#REF!</v>
      </c>
      <c r="G9" t="e">
        <f>IF(#REF!="Não",#REF!, " ")</f>
        <v>#REF!</v>
      </c>
      <c r="J9" t="str">
        <v>Questing Beast</v>
      </c>
      <c r="K9" t="str">
        <f>IF('Jund Food'!D9="Não",'Jund Food'!C9, " ")</f>
        <v xml:space="preserve"> </v>
      </c>
      <c r="N9" t="str">
        <v>Patch Up</v>
      </c>
      <c r="O9" t="str">
        <f>IF(ElfoNeer!D9="Não",ElfoNeer!C9, " ")</f>
        <v xml:space="preserve"> </v>
      </c>
    </row>
    <row r="10" spans="1:24" x14ac:dyDescent="0.25">
      <c r="B10" t="e">
        <v>#REF!</v>
      </c>
      <c r="C10" t="e">
        <f>IF(#REF!="Não",#REF!, " ")</f>
        <v>#REF!</v>
      </c>
      <c r="F10" t="e">
        <v>#REF!</v>
      </c>
      <c r="G10" t="e">
        <f>IF(#REF!="Não",#REF!, " ")</f>
        <v>#REF!</v>
      </c>
      <c r="J10" t="str">
        <v>Questing Beast</v>
      </c>
      <c r="K10" t="str">
        <f>IF('Jund Food'!D10="Não",'Jund Food'!C10, " ")</f>
        <v>Stomping Ground</v>
      </c>
      <c r="N10" t="str">
        <v>Paradox Engine</v>
      </c>
      <c r="O10" t="str">
        <f>IF(ElfoNeer!D10="Não",ElfoNeer!C10, " ")</f>
        <v xml:space="preserve"> </v>
      </c>
    </row>
    <row r="11" spans="1:24" x14ac:dyDescent="0.25">
      <c r="B11" t="e">
        <v>#REF!</v>
      </c>
      <c r="C11" t="e">
        <f>IF(#REF!="Não",#REF!, " ")</f>
        <v>#REF!</v>
      </c>
      <c r="F11" t="e">
        <v>#REF!</v>
      </c>
      <c r="G11" t="e">
        <f>IF(#REF!="Não",#REF!, " ")</f>
        <v>#REF!</v>
      </c>
      <c r="J11" t="str">
        <v>Korvold, Fae-Cursed King</v>
      </c>
      <c r="K11" t="str">
        <f>IF('Jund Food'!D11="Não",'Jund Food'!C11, " ")</f>
        <v>Stomping Ground</v>
      </c>
      <c r="N11" t="str">
        <v>Leaf-Crowned Visionary</v>
      </c>
      <c r="O11" t="str">
        <f>IF(ElfoNeer!D11="Não",ElfoNeer!C11, " ")</f>
        <v xml:space="preserve"> </v>
      </c>
    </row>
    <row r="12" spans="1:24" x14ac:dyDescent="0.25">
      <c r="B12" t="e">
        <v>#REF!</v>
      </c>
      <c r="C12" t="e">
        <f>IF(#REF!="Não",#REF!, " ")</f>
        <v>#REF!</v>
      </c>
      <c r="F12" t="e">
        <v>#REF!</v>
      </c>
      <c r="G12" t="e">
        <f>IF(#REF!="Não",#REF!, " ")</f>
        <v>#REF!</v>
      </c>
      <c r="J12" t="str">
        <v>Korvold, Fae-Cursed King</v>
      </c>
      <c r="K12" t="str">
        <f>IF('Jund Food'!D12="Não",'Jund Food'!C12, " ")</f>
        <v>Darkbore Pathway</v>
      </c>
      <c r="N12" t="str">
        <v>Lair of the Hydra</v>
      </c>
      <c r="O12" t="str">
        <f>IF(ElfoNeer!D12="Não",ElfoNeer!C12, " ")</f>
        <v xml:space="preserve"> </v>
      </c>
    </row>
    <row r="13" spans="1:24" x14ac:dyDescent="0.25">
      <c r="B13" t="e">
        <v>#REF!</v>
      </c>
      <c r="C13" t="e">
        <f>IF(#REF!="Não",#REF!, " ")</f>
        <v>#REF!</v>
      </c>
      <c r="F13" t="e">
        <v>#REF!</v>
      </c>
      <c r="G13" t="e">
        <f>IF(#REF!="Não",#REF!, " ")</f>
        <v>#REF!</v>
      </c>
      <c r="J13" t="str">
        <v>Korvold, Fae-Cursed King</v>
      </c>
      <c r="K13" t="str">
        <f>IF('Jund Food'!D13="Não",'Jund Food'!C13, " ")</f>
        <v>Darkbore Pathway</v>
      </c>
      <c r="N13" t="str">
        <v>Lair of the Hydra</v>
      </c>
      <c r="O13" t="str">
        <f>IF(ElfoNeer!D13="Não",ElfoNeer!C13, " ")</f>
        <v xml:space="preserve"> </v>
      </c>
    </row>
    <row r="14" spans="1:24" x14ac:dyDescent="0.25">
      <c r="B14" t="e">
        <v>#REF!</v>
      </c>
      <c r="C14" t="e">
        <f>IF(#REF!="Não",#REF!, " ")</f>
        <v>#REF!</v>
      </c>
      <c r="F14" t="e">
        <v>#REF!</v>
      </c>
      <c r="G14" t="e">
        <f>IF(#REF!="Não",#REF!, " ")</f>
        <v>#REF!</v>
      </c>
      <c r="J14" t="str">
        <v>Korvold, Fae-Cursed King</v>
      </c>
      <c r="K14" t="str">
        <f>IF('Jund Food'!D14="Não",'Jund Food'!C14, " ")</f>
        <v>Cragcrown Pathway</v>
      </c>
      <c r="N14" t="str">
        <v>Extraction Specialist</v>
      </c>
      <c r="O14" t="str">
        <f>IF(ElfoNeer!D14="Não",ElfoNeer!C14, " ")</f>
        <v xml:space="preserve"> </v>
      </c>
    </row>
    <row r="15" spans="1:24" x14ac:dyDescent="0.25">
      <c r="B15" t="e">
        <v>#REF!</v>
      </c>
      <c r="C15" t="e">
        <f>IF(#REF!="Não",#REF!, " ")</f>
        <v>#REF!</v>
      </c>
      <c r="F15" t="e">
        <v>#REF!</v>
      </c>
      <c r="G15" t="e">
        <f>IF(#REF!="Não",#REF!, " ")</f>
        <v>#REF!</v>
      </c>
      <c r="J15" t="str">
        <v>Go Blank</v>
      </c>
      <c r="K15" t="str">
        <f>IF('Jund Food'!D15="Não",'Jund Food'!C15, " ")</f>
        <v>Blightstep Pathway</v>
      </c>
      <c r="N15" t="str">
        <v>Extraction Specialist</v>
      </c>
      <c r="O15" t="str">
        <f>IF(ElfoNeer!D15="Não",ElfoNeer!C15, " ")</f>
        <v xml:space="preserve"> </v>
      </c>
    </row>
    <row r="16" spans="1:24" x14ac:dyDescent="0.25">
      <c r="B16" t="e">
        <v>#REF!</v>
      </c>
      <c r="C16" t="e">
        <f>IF(#REF!="Não",#REF!, " ")</f>
        <v>#REF!</v>
      </c>
      <c r="F16" t="e">
        <v>#REF!</v>
      </c>
      <c r="G16" t="e">
        <f>IF(#REF!="Não",#REF!, " ")</f>
        <v>#REF!</v>
      </c>
      <c r="J16" t="str">
        <v>Fable of the Mirror-Breaker</v>
      </c>
      <c r="K16" t="str">
        <f>IF('Jund Food'!D16="Não",'Jund Food'!C16, " ")</f>
        <v>Woodland Cemetery</v>
      </c>
      <c r="N16" t="str">
        <v>Elvish Mystic</v>
      </c>
      <c r="O16" t="str">
        <f>IF(ElfoNeer!D16="Não",ElfoNeer!C16, " ")</f>
        <v xml:space="preserve"> </v>
      </c>
    </row>
    <row r="17" spans="2:15" x14ac:dyDescent="0.25">
      <c r="B17" t="e">
        <v>#REF!</v>
      </c>
      <c r="C17" t="e">
        <f>IF(#REF!="Não",#REF!, " ")</f>
        <v>#REF!</v>
      </c>
      <c r="F17" t="e">
        <v>#REF!</v>
      </c>
      <c r="G17" t="e">
        <f>IF(#REF!="Não",#REF!, " ")</f>
        <v>#REF!</v>
      </c>
      <c r="J17" t="str">
        <v>Fable of the Mirror-Breaker</v>
      </c>
      <c r="K17" t="str">
        <f>IF('Jund Food'!D17="Não",'Jund Food'!C17, " ")</f>
        <v>Woodland Cemetery</v>
      </c>
      <c r="N17" t="str">
        <v>Assassin's Trophy</v>
      </c>
      <c r="O17" t="str">
        <f>IF(ElfoNeer!D17="Não",ElfoNeer!C17, " ")</f>
        <v xml:space="preserve"> </v>
      </c>
    </row>
    <row r="18" spans="2:15" x14ac:dyDescent="0.25">
      <c r="B18" t="e">
        <v>#REF!</v>
      </c>
      <c r="C18" t="e">
        <f>IF(#REF!="Não",#REF!, " ")</f>
        <v>#REF!</v>
      </c>
      <c r="F18" t="e">
        <v>#REF!</v>
      </c>
      <c r="G18" t="e">
        <f>IF(#REF!="Não",#REF!, " ")</f>
        <v>#REF!</v>
      </c>
      <c r="J18" t="str">
        <v>Fable of the Mirror-Breaker</v>
      </c>
      <c r="K18" t="str">
        <f>IF('Jund Food'!D18="Não",'Jund Food'!C18, " ")</f>
        <v>Rootbound Crag</v>
      </c>
      <c r="N18" t="str">
        <v xml:space="preserve"> </v>
      </c>
      <c r="O18" t="str">
        <f>IF(ElfoNeer!D18="Não",ElfoNeer!C18, " ")</f>
        <v xml:space="preserve"> </v>
      </c>
    </row>
    <row r="19" spans="2:15" x14ac:dyDescent="0.25">
      <c r="B19" t="e">
        <v>#REF!</v>
      </c>
      <c r="C19" t="e">
        <f>IF(#REF!="Não",#REF!, " ")</f>
        <v>#REF!</v>
      </c>
      <c r="F19" t="e">
        <v>#REF!</v>
      </c>
      <c r="G19" t="e">
        <f>IF(#REF!="Não",#REF!, " ")</f>
        <v>#REF!</v>
      </c>
      <c r="J19" t="str">
        <v>Fable of the Mirror-Breaker</v>
      </c>
      <c r="K19" t="str">
        <f>IF('Jund Food'!D19="Não",'Jund Food'!C19, " ")</f>
        <v>Rootbound Crag</v>
      </c>
      <c r="N19" t="str">
        <v xml:space="preserve"> </v>
      </c>
      <c r="O19" t="str">
        <f>IF(ElfoNeer!D19="Não",ElfoNeer!C19, " ")</f>
        <v xml:space="preserve"> </v>
      </c>
    </row>
    <row r="20" spans="2:15" x14ac:dyDescent="0.25">
      <c r="B20" t="e">
        <v>#REF!</v>
      </c>
      <c r="C20" t="e">
        <f>IF(#REF!="Não",#REF!, " ")</f>
        <v>#REF!</v>
      </c>
      <c r="F20" t="e">
        <v>#REF!</v>
      </c>
      <c r="G20" t="e">
        <f>IF(#REF!="Não",#REF!, " ")</f>
        <v>#REF!</v>
      </c>
      <c r="J20" t="str">
        <v>Dragonskull Summit</v>
      </c>
      <c r="K20" t="str">
        <f>IF('Jund Food'!D20="Não",'Jund Food'!C20, " ")</f>
        <v>Dragonskull Summit</v>
      </c>
      <c r="N20" t="str">
        <v xml:space="preserve"> </v>
      </c>
      <c r="O20" t="str">
        <f>IF(ElfoNeer!D20="Não",ElfoNeer!C20, " ")</f>
        <v xml:space="preserve"> </v>
      </c>
    </row>
    <row r="21" spans="2:15" x14ac:dyDescent="0.25">
      <c r="B21" t="e">
        <v>#REF!</v>
      </c>
      <c r="C21" t="e">
        <f>IF(#REF!="Não",#REF!, " ")</f>
        <v>#REF!</v>
      </c>
      <c r="F21" t="e">
        <v>#REF!</v>
      </c>
      <c r="G21" t="e">
        <f>IF(#REF!="Não",#REF!, " ")</f>
        <v>#REF!</v>
      </c>
      <c r="J21" t="str">
        <v>Darkbore Pathway</v>
      </c>
      <c r="K21" t="str">
        <f>IF('Jund Food'!D21="Não",'Jund Food'!C21, " ")</f>
        <v xml:space="preserve"> </v>
      </c>
      <c r="N21" t="str">
        <v xml:space="preserve"> </v>
      </c>
      <c r="O21" t="str">
        <f>IF(ElfoNeer!D21="Não",ElfoNeer!C21, " ")</f>
        <v xml:space="preserve"> </v>
      </c>
    </row>
    <row r="22" spans="2:15" x14ac:dyDescent="0.25">
      <c r="B22" t="e">
        <v>#REF!</v>
      </c>
      <c r="C22" t="e">
        <f>IF(#REF!="Não",#REF!, " ")</f>
        <v>#REF!</v>
      </c>
      <c r="F22" t="e">
        <v>#REF!</v>
      </c>
      <c r="G22" t="e">
        <f>IF(#REF!="Não",#REF!, " ")</f>
        <v>#REF!</v>
      </c>
      <c r="J22" t="str">
        <v>Darkbore Pathway</v>
      </c>
      <c r="K22" t="str">
        <f>IF('Jund Food'!D22="Não",'Jund Food'!C22, " ")</f>
        <v xml:space="preserve"> </v>
      </c>
      <c r="N22" t="str">
        <v xml:space="preserve"> </v>
      </c>
      <c r="O22" t="str">
        <f>IF(ElfoNeer!D22="Não",ElfoNeer!C22, " ")</f>
        <v xml:space="preserve"> </v>
      </c>
    </row>
    <row r="23" spans="2:15" x14ac:dyDescent="0.25">
      <c r="B23" t="e">
        <v>#REF!</v>
      </c>
      <c r="C23" t="e">
        <f>IF(#REF!="Não",#REF!, " ")</f>
        <v>#REF!</v>
      </c>
      <c r="F23" t="e">
        <v>#REF!</v>
      </c>
      <c r="G23" t="e">
        <f>IF(#REF!="Não",#REF!, " ")</f>
        <v>#REF!</v>
      </c>
      <c r="J23" t="str">
        <v>Damping Sphere</v>
      </c>
      <c r="K23" t="str">
        <f>IF('Jund Food'!D23="Não",'Jund Food'!C23, " ")</f>
        <v xml:space="preserve"> </v>
      </c>
      <c r="N23" t="str">
        <v xml:space="preserve"> </v>
      </c>
      <c r="O23" t="str">
        <f>IF(ElfoNeer!D23="Não",ElfoNeer!C23, " ")</f>
        <v xml:space="preserve"> </v>
      </c>
    </row>
    <row r="24" spans="2:15" x14ac:dyDescent="0.25">
      <c r="B24" t="e">
        <v>#REF!</v>
      </c>
      <c r="C24" t="e">
        <f>IF(#REF!="Não",#REF!, " ")</f>
        <v>#REF!</v>
      </c>
      <c r="F24" t="e">
        <v>#REF!</v>
      </c>
      <c r="G24" t="e">
        <f>IF(#REF!="Não",#REF!, " ")</f>
        <v>#REF!</v>
      </c>
      <c r="J24" t="str">
        <v>Damping Sphere</v>
      </c>
      <c r="K24" t="str">
        <f>IF('Jund Food'!D24="Não",'Jund Food'!C24, " ")</f>
        <v xml:space="preserve"> </v>
      </c>
      <c r="N24" t="str">
        <v xml:space="preserve"> </v>
      </c>
      <c r="O24" t="str">
        <f>IF(ElfoNeer!D24="Não",ElfoNeer!C24, " ")</f>
        <v xml:space="preserve"> </v>
      </c>
    </row>
    <row r="25" spans="2:15" x14ac:dyDescent="0.25">
      <c r="B25" t="e">
        <v>#REF!</v>
      </c>
      <c r="C25" t="e">
        <f>IF(#REF!="Não",#REF!, " ")</f>
        <v>#REF!</v>
      </c>
      <c r="F25" t="e">
        <v>#REF!</v>
      </c>
      <c r="G25" t="e">
        <f>IF(#REF!="Não",#REF!, " ")</f>
        <v>#REF!</v>
      </c>
      <c r="J25" t="str">
        <v>Damping Sphere</v>
      </c>
      <c r="K25" t="str">
        <f>IF('Jund Food'!D25="Não",'Jund Food'!C25, " ")</f>
        <v xml:space="preserve"> </v>
      </c>
      <c r="N25" t="str">
        <v xml:space="preserve"> </v>
      </c>
      <c r="O25" t="str">
        <f>IF(ElfoNeer!D25="Não",ElfoNeer!C25, " ")</f>
        <v>Elvish Mystic</v>
      </c>
    </row>
    <row r="26" spans="2:15" x14ac:dyDescent="0.25">
      <c r="B26" t="e">
        <v>#REF!</v>
      </c>
      <c r="C26" t="e">
        <f>IF(#REF!="Não",#REF!, " ")</f>
        <v>#REF!</v>
      </c>
      <c r="F26" t="e">
        <v>#REF!</v>
      </c>
      <c r="G26" t="e">
        <f>IF(#REF!="Não",#REF!, " ")</f>
        <v>#REF!</v>
      </c>
      <c r="J26" t="str">
        <v>Cragcrown Pathway</v>
      </c>
      <c r="K26" t="str">
        <f>IF('Jund Food'!D26="Não",'Jund Food'!C26, " ")</f>
        <v xml:space="preserve"> </v>
      </c>
      <c r="N26" t="str">
        <v xml:space="preserve"> </v>
      </c>
      <c r="O26" t="str">
        <f>IF(ElfoNeer!D26="Não",ElfoNeer!C26, " ")</f>
        <v xml:space="preserve"> </v>
      </c>
    </row>
    <row r="27" spans="2:15" x14ac:dyDescent="0.25">
      <c r="B27" t="e">
        <v>#REF!</v>
      </c>
      <c r="C27" t="e">
        <f>IF(#REF!="Não",#REF!, " ")</f>
        <v>#REF!</v>
      </c>
      <c r="F27" t="e">
        <v>#REF!</v>
      </c>
      <c r="G27" t="e">
        <f>IF(#REF!="Não",#REF!, " ")</f>
        <v>#REF!</v>
      </c>
      <c r="J27" t="str">
        <v>Blood Crypt</v>
      </c>
      <c r="K27" t="str">
        <f>IF('Jund Food'!D27="Não",'Jund Food'!C27, " ")</f>
        <v xml:space="preserve"> </v>
      </c>
      <c r="N27" t="str">
        <v xml:space="preserve"> </v>
      </c>
      <c r="O27" t="str">
        <f>IF(ElfoNeer!D27="Não",ElfoNeer!C27, " ")</f>
        <v xml:space="preserve"> </v>
      </c>
    </row>
    <row r="28" spans="2:15" x14ac:dyDescent="0.25">
      <c r="B28" t="e">
        <v>#REF!</v>
      </c>
      <c r="C28" t="e">
        <f>IF(#REF!="Não",#REF!, " ")</f>
        <v>#REF!</v>
      </c>
      <c r="F28" t="e">
        <v>#REF!</v>
      </c>
      <c r="G28" t="e">
        <f>IF(#REF!="Não",#REF!, " ")</f>
        <v>#REF!</v>
      </c>
      <c r="J28" t="str">
        <v>Blood Crypt</v>
      </c>
      <c r="K28" t="str">
        <f>IF('Jund Food'!D28="Não",'Jund Food'!C28, " ")</f>
        <v xml:space="preserve"> </v>
      </c>
      <c r="N28" t="str">
        <v xml:space="preserve"> </v>
      </c>
      <c r="O28" t="str">
        <f>IF(ElfoNeer!D28="Não",ElfoNeer!C28, " ")</f>
        <v xml:space="preserve"> </v>
      </c>
    </row>
    <row r="29" spans="2:15" x14ac:dyDescent="0.25">
      <c r="B29" t="e">
        <v>#REF!</v>
      </c>
      <c r="C29" t="e">
        <f>IF(#REF!="Não",#REF!, " ")</f>
        <v>#REF!</v>
      </c>
      <c r="F29" t="e">
        <v>#REF!</v>
      </c>
      <c r="G29" t="e">
        <f>IF(#REF!="Não",#REF!, " ")</f>
        <v>#REF!</v>
      </c>
      <c r="J29" t="str">
        <v>Blightstep Pathway</v>
      </c>
      <c r="K29" t="str">
        <f>IF('Jund Food'!D29="Não",'Jund Food'!C29, " ")</f>
        <v xml:space="preserve"> </v>
      </c>
      <c r="N29" t="str">
        <v xml:space="preserve"> </v>
      </c>
      <c r="O29" t="str">
        <f>IF(ElfoNeer!D29="Não",ElfoNeer!C29, " ")</f>
        <v xml:space="preserve"> </v>
      </c>
    </row>
    <row r="30" spans="2:15" x14ac:dyDescent="0.25">
      <c r="B30" t="e">
        <v>#REF!</v>
      </c>
      <c r="C30" t="e">
        <f>IF(#REF!="Não",#REF!, " ")</f>
        <v>#REF!</v>
      </c>
      <c r="F30" t="e">
        <v>#REF!</v>
      </c>
      <c r="G30" t="e">
        <f>IF(#REF!="Não",#REF!, " ")</f>
        <v>#REF!</v>
      </c>
      <c r="J30" t="str">
        <v xml:space="preserve"> </v>
      </c>
      <c r="K30" t="str">
        <f>IF('Jund Food'!D30="Não",'Jund Food'!C30, " ")</f>
        <v xml:space="preserve"> </v>
      </c>
      <c r="N30" t="str">
        <v xml:space="preserve"> </v>
      </c>
      <c r="O30" t="str">
        <f>IF(ElfoNeer!D30="Não",ElfoNeer!C30, " ")</f>
        <v xml:space="preserve"> </v>
      </c>
    </row>
    <row r="31" spans="2:15" x14ac:dyDescent="0.25">
      <c r="B31" t="e">
        <v>#REF!</v>
      </c>
      <c r="C31" t="e">
        <f>IF(#REF!="Não",#REF!, " ")</f>
        <v>#REF!</v>
      </c>
      <c r="F31" t="e">
        <v>#REF!</v>
      </c>
      <c r="G31" t="e">
        <f>IF(#REF!="Não",#REF!, " ")</f>
        <v>#REF!</v>
      </c>
      <c r="J31" t="str">
        <v xml:space="preserve"> </v>
      </c>
      <c r="K31" t="str">
        <f>IF('Jund Food'!D31="Não",'Jund Food'!C31, " ")</f>
        <v xml:space="preserve"> </v>
      </c>
      <c r="N31" t="str">
        <v xml:space="preserve"> </v>
      </c>
      <c r="O31" t="str">
        <f>IF(ElfoNeer!D31="Não",ElfoNeer!C31, " ")</f>
        <v xml:space="preserve"> </v>
      </c>
    </row>
    <row r="32" spans="2:15" x14ac:dyDescent="0.25">
      <c r="B32" t="e">
        <v>#REF!</v>
      </c>
      <c r="C32" t="e">
        <f>IF(#REF!="Não",#REF!, " ")</f>
        <v>#REF!</v>
      </c>
      <c r="F32" t="e">
        <v>#REF!</v>
      </c>
      <c r="G32" t="e">
        <f>IF(#REF!="Não",#REF!, " ")</f>
        <v>#REF!</v>
      </c>
      <c r="J32" t="str">
        <v xml:space="preserve"> </v>
      </c>
      <c r="K32" t="str">
        <f>IF('Jund Food'!D32="Não",'Jund Food'!C32, " ")</f>
        <v xml:space="preserve"> </v>
      </c>
      <c r="N32" t="str">
        <v xml:space="preserve"> </v>
      </c>
      <c r="O32" t="str">
        <f>IF(ElfoNeer!D32="Não",ElfoNeer!C32, " ")</f>
        <v xml:space="preserve"> </v>
      </c>
    </row>
    <row r="33" spans="2:15" x14ac:dyDescent="0.25">
      <c r="B33" t="e">
        <v>#REF!</v>
      </c>
      <c r="C33" t="e">
        <f>IF(#REF!="Não",#REF!, " ")</f>
        <v>#REF!</v>
      </c>
      <c r="F33" t="e">
        <v>#REF!</v>
      </c>
      <c r="G33" t="e">
        <f>IF(#REF!="Não",#REF!, " ")</f>
        <v>#REF!</v>
      </c>
      <c r="J33" t="str">
        <v xml:space="preserve"> </v>
      </c>
      <c r="K33" t="str">
        <f>IF('Jund Food'!D33="Não",'Jund Food'!C33, " ")</f>
        <v xml:space="preserve"> </v>
      </c>
      <c r="N33" t="str">
        <v xml:space="preserve"> </v>
      </c>
      <c r="O33" t="str">
        <f>IF(ElfoNeer!D33="Não",ElfoNeer!C33, " ")</f>
        <v xml:space="preserve"> </v>
      </c>
    </row>
    <row r="34" spans="2:15" x14ac:dyDescent="0.25">
      <c r="B34" t="e">
        <v>#REF!</v>
      </c>
      <c r="C34" t="e">
        <f>IF(#REF!="Não",#REF!, " ")</f>
        <v>#REF!</v>
      </c>
      <c r="F34" t="e">
        <v>#REF!</v>
      </c>
      <c r="G34" t="e">
        <f>IF(#REF!="Não",#REF!, " ")</f>
        <v>#REF!</v>
      </c>
      <c r="J34" t="str">
        <v xml:space="preserve"> </v>
      </c>
      <c r="K34" t="str">
        <f>IF('Jund Food'!D34="Não",'Jund Food'!C34, " ")</f>
        <v xml:space="preserve"> </v>
      </c>
      <c r="N34" t="str">
        <v xml:space="preserve"> </v>
      </c>
      <c r="O34" t="str">
        <f>IF(ElfoNeer!D34="Não",ElfoNeer!C34, " ")</f>
        <v xml:space="preserve"> </v>
      </c>
    </row>
    <row r="35" spans="2:15" x14ac:dyDescent="0.25">
      <c r="B35" t="e">
        <v>#REF!</v>
      </c>
      <c r="C35" t="e">
        <f>IF(#REF!="Não",#REF!, " ")</f>
        <v>#REF!</v>
      </c>
      <c r="F35" t="e">
        <v>#REF!</v>
      </c>
      <c r="G35" t="e">
        <f>IF(#REF!="Não",#REF!, " ")</f>
        <v>#REF!</v>
      </c>
      <c r="J35" t="str">
        <v xml:space="preserve"> </v>
      </c>
      <c r="K35" t="str">
        <f>IF('Jund Food'!D35="Não",'Jund Food'!C35, " ")</f>
        <v xml:space="preserve"> </v>
      </c>
      <c r="N35" t="str">
        <v xml:space="preserve"> </v>
      </c>
      <c r="O35" t="str">
        <f>IF(ElfoNeer!D35="Não",ElfoNeer!C35, " ")</f>
        <v xml:space="preserve"> </v>
      </c>
    </row>
    <row r="36" spans="2:15" x14ac:dyDescent="0.25">
      <c r="B36" t="e">
        <v>#REF!</v>
      </c>
      <c r="C36" t="e">
        <f>IF(#REF!="Não",#REF!, " ")</f>
        <v>#REF!</v>
      </c>
      <c r="F36" t="e">
        <v>#REF!</v>
      </c>
      <c r="G36" t="e">
        <f>IF(#REF!="Não",#REF!, " ")</f>
        <v>#REF!</v>
      </c>
      <c r="J36" t="str">
        <v xml:space="preserve"> </v>
      </c>
      <c r="K36" t="str">
        <f>IF('Jund Food'!D36="Não",'Jund Food'!C36, " ")</f>
        <v xml:space="preserve"> </v>
      </c>
      <c r="N36" t="str">
        <v xml:space="preserve"> </v>
      </c>
      <c r="O36" t="str">
        <f>IF(ElfoNeer!D36="Não",ElfoNeer!C36, " ")</f>
        <v xml:space="preserve"> </v>
      </c>
    </row>
    <row r="37" spans="2:15" x14ac:dyDescent="0.25">
      <c r="B37" t="e">
        <v>#REF!</v>
      </c>
      <c r="C37" t="e">
        <f>IF(#REF!="Não",#REF!, " ")</f>
        <v>#REF!</v>
      </c>
      <c r="F37" t="e">
        <v>#REF!</v>
      </c>
      <c r="G37" t="e">
        <f>IF(#REF!="Não",#REF!, " ")</f>
        <v>#REF!</v>
      </c>
      <c r="J37" t="str">
        <v xml:space="preserve"> </v>
      </c>
      <c r="K37" t="str">
        <f>IF('Jund Food'!D37="Não",'Jund Food'!C37, " ")</f>
        <v>Fable of the Mirror-Breaker</v>
      </c>
      <c r="N37" t="str">
        <v xml:space="preserve"> </v>
      </c>
      <c r="O37" t="str">
        <f>IF(ElfoNeer!D37="Não",ElfoNeer!C37, " ")</f>
        <v xml:space="preserve"> </v>
      </c>
    </row>
    <row r="38" spans="2:15" x14ac:dyDescent="0.25">
      <c r="B38" t="e">
        <v>#REF!</v>
      </c>
      <c r="C38" t="e">
        <f>IF(#REF!="Não",#REF!, " ")</f>
        <v>#REF!</v>
      </c>
      <c r="F38" t="e">
        <v>#REF!</v>
      </c>
      <c r="G38" t="e">
        <f>IF(#REF!="Não",#REF!, " ")</f>
        <v>#REF!</v>
      </c>
      <c r="J38" t="str">
        <v xml:space="preserve"> </v>
      </c>
      <c r="K38" t="str">
        <f>IF('Jund Food'!D38="Não",'Jund Food'!C38, " ")</f>
        <v>Fable of the Mirror-Breaker</v>
      </c>
      <c r="N38" t="str">
        <v xml:space="preserve"> </v>
      </c>
      <c r="O38" t="str">
        <f>IF(ElfoNeer!D38="Não",ElfoNeer!C38, " ")</f>
        <v xml:space="preserve"> </v>
      </c>
    </row>
    <row r="39" spans="2:15" x14ac:dyDescent="0.25">
      <c r="B39" t="e">
        <v>#REF!</v>
      </c>
      <c r="C39" t="e">
        <f>IF(#REF!="Não",#REF!, " ")</f>
        <v>#REF!</v>
      </c>
      <c r="F39" t="e">
        <v>#REF!</v>
      </c>
      <c r="G39" t="e">
        <f>IF(#REF!="Não",#REF!, " ")</f>
        <v>#REF!</v>
      </c>
      <c r="J39" t="str">
        <v xml:space="preserve"> </v>
      </c>
      <c r="K39" t="str">
        <f>IF('Jund Food'!D39="Não",'Jund Food'!C39, " ")</f>
        <v>Fable of the Mirror-Breaker</v>
      </c>
      <c r="N39" t="str">
        <v xml:space="preserve"> </v>
      </c>
      <c r="O39" t="str">
        <f>IF(ElfoNeer!D39="Não",ElfoNeer!C39, " ")</f>
        <v>Leaf-Crowned Visionary</v>
      </c>
    </row>
    <row r="40" spans="2:15" x14ac:dyDescent="0.25">
      <c r="B40" t="e">
        <v>#REF!</v>
      </c>
      <c r="C40" t="e">
        <f>IF(#REF!="Não",#REF!, " ")</f>
        <v>#REF!</v>
      </c>
      <c r="F40" t="e">
        <v>#REF!</v>
      </c>
      <c r="G40" t="e">
        <f>IF(#REF!="Não",#REF!, " ")</f>
        <v>#REF!</v>
      </c>
      <c r="J40" t="str">
        <v xml:space="preserve"> </v>
      </c>
      <c r="K40" t="str">
        <f>IF('Jund Food'!D40="Não",'Jund Food'!C40, " ")</f>
        <v>Fable of the Mirror-Breaker</v>
      </c>
      <c r="N40" t="str">
        <v xml:space="preserve"> </v>
      </c>
      <c r="O40" t="str">
        <f>IF(ElfoNeer!D40="Não",ElfoNeer!C40, " ")</f>
        <v xml:space="preserve"> </v>
      </c>
    </row>
    <row r="41" spans="2:15" x14ac:dyDescent="0.25">
      <c r="B41" t="e">
        <v>#REF!</v>
      </c>
      <c r="C41" t="e">
        <f>IF(#REF!="Não",#REF!, " ")</f>
        <v>#REF!</v>
      </c>
      <c r="F41" t="e">
        <v>#REF!</v>
      </c>
      <c r="G41" t="e">
        <f>IF(#REF!="Não",#REF!, " ")</f>
        <v>#REF!</v>
      </c>
      <c r="J41" t="str">
        <v xml:space="preserve"> </v>
      </c>
      <c r="K41" t="str">
        <f>IF('Jund Food'!D41="Não",'Jund Food'!C41, " ")</f>
        <v xml:space="preserve"> </v>
      </c>
      <c r="N41" t="str">
        <v xml:space="preserve"> </v>
      </c>
      <c r="O41" t="str">
        <f>IF(ElfoNeer!D41="Não",ElfoNeer!C41, " ")</f>
        <v xml:space="preserve"> </v>
      </c>
    </row>
    <row r="42" spans="2:15" x14ac:dyDescent="0.25">
      <c r="B42" t="e">
        <v>#REF!</v>
      </c>
      <c r="C42" t="e">
        <f>IF(#REF!="Não",#REF!, " ")</f>
        <v>#REF!</v>
      </c>
      <c r="F42" t="e">
        <v>#REF!</v>
      </c>
      <c r="G42" t="e">
        <f>IF(#REF!="Não",#REF!, " ")</f>
        <v>#REF!</v>
      </c>
      <c r="J42" t="str">
        <v xml:space="preserve"> </v>
      </c>
      <c r="K42" t="str">
        <f>IF('Jund Food'!D42="Não",'Jund Food'!C42, " ")</f>
        <v xml:space="preserve"> </v>
      </c>
      <c r="N42" t="str">
        <v xml:space="preserve"> </v>
      </c>
      <c r="O42" t="str">
        <f>IF(ElfoNeer!D42="Não",ElfoNeer!C42, " ")</f>
        <v xml:space="preserve"> </v>
      </c>
    </row>
    <row r="43" spans="2:15" x14ac:dyDescent="0.25">
      <c r="B43" t="e">
        <v>#REF!</v>
      </c>
      <c r="C43" t="e">
        <f>IF(#REF!="Não",#REF!, " ")</f>
        <v>#REF!</v>
      </c>
      <c r="F43" t="e">
        <v>#REF!</v>
      </c>
      <c r="G43" t="e">
        <f>IF(#REF!="Não",#REF!, " ")</f>
        <v>#REF!</v>
      </c>
      <c r="J43" t="str">
        <v xml:space="preserve"> </v>
      </c>
      <c r="K43" t="str">
        <f>IF('Jund Food'!D43="Não",'Jund Food'!C43, " ")</f>
        <v xml:space="preserve"> </v>
      </c>
      <c r="N43" t="str">
        <v xml:space="preserve"> </v>
      </c>
      <c r="O43" t="str">
        <f>IF(ElfoNeer!D43="Não",ElfoNeer!C43, " ")</f>
        <v xml:space="preserve"> </v>
      </c>
    </row>
    <row r="44" spans="2:15" x14ac:dyDescent="0.25">
      <c r="B44" t="e">
        <v>#REF!</v>
      </c>
      <c r="C44" t="e">
        <f>IF(#REF!="Não",#REF!, " ")</f>
        <v>#REF!</v>
      </c>
      <c r="F44" t="e">
        <v>#REF!</v>
      </c>
      <c r="G44" t="e">
        <f>IF(#REF!="Não",#REF!, " ")</f>
        <v>#REF!</v>
      </c>
      <c r="J44" t="str">
        <v xml:space="preserve"> </v>
      </c>
      <c r="K44" t="str">
        <f>IF('Jund Food'!D44="Não",'Jund Food'!C44, " ")</f>
        <v xml:space="preserve"> </v>
      </c>
      <c r="N44" t="str">
        <v xml:space="preserve"> </v>
      </c>
      <c r="O44" t="str">
        <f>IF(ElfoNeer!D44="Não",ElfoNeer!C44, " ")</f>
        <v xml:space="preserve"> </v>
      </c>
    </row>
    <row r="45" spans="2:15" x14ac:dyDescent="0.25">
      <c r="B45" t="e">
        <v>#REF!</v>
      </c>
      <c r="C45" t="e">
        <f>IF(#REF!="Não",#REF!, " ")</f>
        <v>#REF!</v>
      </c>
      <c r="F45" t="e">
        <v>#REF!</v>
      </c>
      <c r="G45" t="e">
        <f>IF(#REF!="Não",#REF!, " ")</f>
        <v>#REF!</v>
      </c>
      <c r="J45" t="str">
        <v xml:space="preserve"> </v>
      </c>
      <c r="K45" t="str">
        <f>IF('Jund Food'!D45="Não",'Jund Food'!C45, " ")</f>
        <v>Korvold, Fae-Cursed King</v>
      </c>
      <c r="N45" t="str">
        <v xml:space="preserve"> </v>
      </c>
      <c r="O45" t="str">
        <f>IF(ElfoNeer!D45="Não",ElfoNeer!C45, " ")</f>
        <v xml:space="preserve"> </v>
      </c>
    </row>
    <row r="46" spans="2:15" x14ac:dyDescent="0.25">
      <c r="B46" t="e">
        <v>#REF!</v>
      </c>
      <c r="C46" t="e">
        <f>IF(#REF!="Não",#REF!, " ")</f>
        <v>#REF!</v>
      </c>
      <c r="F46" t="e">
        <v>#REF!</v>
      </c>
      <c r="G46" t="e">
        <f>IF(#REF!="Não",#REF!, " ")</f>
        <v>#REF!</v>
      </c>
      <c r="J46" t="str">
        <v xml:space="preserve"> </v>
      </c>
      <c r="K46" t="str">
        <f>IF('Jund Food'!D46="Não",'Jund Food'!C46, " ")</f>
        <v>Korvold, Fae-Cursed King</v>
      </c>
      <c r="N46" t="str">
        <v xml:space="preserve"> </v>
      </c>
      <c r="O46" t="str">
        <f>IF(ElfoNeer!D46="Não",ElfoNeer!C46, " ")</f>
        <v xml:space="preserve"> </v>
      </c>
    </row>
    <row r="47" spans="2:15" x14ac:dyDescent="0.25">
      <c r="B47" t="e">
        <v>#REF!</v>
      </c>
      <c r="C47" t="e">
        <f>IF(#REF!="Não",#REF!, " ")</f>
        <v>#REF!</v>
      </c>
      <c r="F47" t="e">
        <v>#REF!</v>
      </c>
      <c r="G47" t="e">
        <f>IF(#REF!="Não",#REF!, " ")</f>
        <v>#REF!</v>
      </c>
      <c r="J47" t="str">
        <v xml:space="preserve"> </v>
      </c>
      <c r="K47" t="str">
        <f>IF('Jund Food'!D47="Não",'Jund Food'!C47, " ")</f>
        <v>Korvold, Fae-Cursed King</v>
      </c>
      <c r="N47" t="str">
        <v xml:space="preserve"> </v>
      </c>
      <c r="O47" t="str">
        <f>IF(ElfoNeer!D47="Não",ElfoNeer!C47, " ")</f>
        <v xml:space="preserve"> </v>
      </c>
    </row>
    <row r="48" spans="2:15" x14ac:dyDescent="0.25">
      <c r="B48" t="e">
        <v>#REF!</v>
      </c>
      <c r="C48" t="e">
        <f>IF(#REF!="Não",#REF!, " ")</f>
        <v>#REF!</v>
      </c>
      <c r="F48" t="e">
        <v>#REF!</v>
      </c>
      <c r="G48" t="e">
        <f>IF(#REF!="Não",#REF!, " ")</f>
        <v>#REF!</v>
      </c>
      <c r="J48" t="str">
        <v xml:space="preserve"> </v>
      </c>
      <c r="K48" t="str">
        <f>IF('Jund Food'!D48="Não",'Jund Food'!C48, " ")</f>
        <v xml:space="preserve"> </v>
      </c>
      <c r="N48" t="str">
        <v xml:space="preserve"> </v>
      </c>
      <c r="O48" t="str">
        <f>IF(ElfoNeer!D48="Não",ElfoNeer!C48, " ")</f>
        <v xml:space="preserve"> </v>
      </c>
    </row>
    <row r="49" spans="2:15" x14ac:dyDescent="0.25">
      <c r="B49" t="e">
        <v>#REF!</v>
      </c>
      <c r="C49" t="e">
        <f>IF(#REF!="Não",#REF!, " ")</f>
        <v>#REF!</v>
      </c>
      <c r="F49" t="e">
        <v>#REF!</v>
      </c>
      <c r="G49" t="e">
        <f>IF(#REF!="Não",#REF!, " ")</f>
        <v>#REF!</v>
      </c>
      <c r="J49" t="str">
        <v xml:space="preserve"> </v>
      </c>
      <c r="K49" t="str">
        <f>IF('Jund Food'!D49="Não",'Jund Food'!C49, " ")</f>
        <v xml:space="preserve"> </v>
      </c>
      <c r="N49" t="str">
        <v xml:space="preserve"> </v>
      </c>
      <c r="O49" t="str">
        <f>IF(ElfoNeer!D49="Não",ElfoNeer!C49, " ")</f>
        <v xml:space="preserve"> </v>
      </c>
    </row>
    <row r="50" spans="2:15" x14ac:dyDescent="0.25">
      <c r="B50" t="e">
        <v>#REF!</v>
      </c>
      <c r="C50" t="e">
        <f>IF(#REF!="Não",#REF!, " ")</f>
        <v>#REF!</v>
      </c>
      <c r="F50" t="e">
        <v>#REF!</v>
      </c>
      <c r="G50" t="e">
        <f>IF(#REF!="Não",#REF!, " ")</f>
        <v>#REF!</v>
      </c>
      <c r="J50" t="str">
        <v xml:space="preserve"> </v>
      </c>
      <c r="K50" t="str">
        <f>IF('Jund Food'!D50="Não",'Jund Food'!C50, " ")</f>
        <v xml:space="preserve"> </v>
      </c>
      <c r="N50" t="str">
        <v xml:space="preserve"> </v>
      </c>
      <c r="O50" t="str">
        <f>IF(ElfoNeer!D50="Não",ElfoNeer!C50, " ")</f>
        <v xml:space="preserve"> </v>
      </c>
    </row>
    <row r="51" spans="2:15" x14ac:dyDescent="0.25">
      <c r="B51" t="e">
        <v>#REF!</v>
      </c>
      <c r="C51" t="e">
        <f>IF(#REF!="Não",#REF!, " ")</f>
        <v>#REF!</v>
      </c>
      <c r="F51" t="e">
        <v>#REF!</v>
      </c>
      <c r="G51" t="e">
        <f>IF(#REF!="Não",#REF!, " ")</f>
        <v>#REF!</v>
      </c>
      <c r="J51" t="str">
        <v xml:space="preserve"> </v>
      </c>
      <c r="K51" t="str">
        <f>IF('Jund Food'!D51="Não",'Jund Food'!C51, " ")</f>
        <v xml:space="preserve"> </v>
      </c>
      <c r="N51" t="str">
        <v xml:space="preserve"> </v>
      </c>
      <c r="O51" t="str">
        <f>IF(ElfoNeer!D51="Não",ElfoNeer!C51, " ")</f>
        <v xml:space="preserve"> </v>
      </c>
    </row>
    <row r="52" spans="2:15" x14ac:dyDescent="0.25">
      <c r="B52" t="e">
        <v>#REF!</v>
      </c>
      <c r="C52" t="e">
        <f>IF(#REF!="Não",#REF!, " ")</f>
        <v>#REF!</v>
      </c>
      <c r="F52" t="e">
        <v>#REF!</v>
      </c>
      <c r="G52" t="e">
        <f>IF(#REF!="Não",#REF!, " ")</f>
        <v>#REF!</v>
      </c>
      <c r="J52" t="str">
        <v xml:space="preserve"> </v>
      </c>
      <c r="K52" t="str">
        <f>IF('Jund Food'!D52="Não",'Jund Food'!C52, " ")</f>
        <v xml:space="preserve"> </v>
      </c>
      <c r="N52" t="str">
        <v xml:space="preserve"> </v>
      </c>
      <c r="O52" t="str">
        <f>IF(ElfoNeer!D52="Não",ElfoNeer!C52, " ")</f>
        <v xml:space="preserve"> </v>
      </c>
    </row>
    <row r="53" spans="2:15" x14ac:dyDescent="0.25">
      <c r="B53" t="e">
        <v>#REF!</v>
      </c>
      <c r="C53" t="e">
        <f>IF(#REF!="Não",#REF!, " ")</f>
        <v>#REF!</v>
      </c>
      <c r="F53" t="e">
        <v>#REF!</v>
      </c>
      <c r="G53" t="e">
        <f>IF(#REF!="Não",#REF!, " ")</f>
        <v>#REF!</v>
      </c>
      <c r="J53" t="str">
        <v xml:space="preserve"> </v>
      </c>
      <c r="K53" t="str">
        <f>IF('Jund Food'!D53="Não",'Jund Food'!C53, " ")</f>
        <v xml:space="preserve"> </v>
      </c>
      <c r="N53" t="str">
        <v xml:space="preserve"> </v>
      </c>
      <c r="O53" t="str">
        <f>IF(ElfoNeer!D53="Não",ElfoNeer!C53, " ")</f>
        <v xml:space="preserve"> </v>
      </c>
    </row>
    <row r="54" spans="2:15" x14ac:dyDescent="0.25">
      <c r="B54" t="e">
        <v>#REF!</v>
      </c>
      <c r="C54" t="e">
        <f>IF(#REF!="Não",#REF!, " ")</f>
        <v>#REF!</v>
      </c>
      <c r="F54" t="e">
        <v>#REF!</v>
      </c>
      <c r="G54" t="e">
        <f>IF(#REF!="Não",#REF!, " ")</f>
        <v>#REF!</v>
      </c>
      <c r="J54" t="str">
        <v xml:space="preserve"> </v>
      </c>
      <c r="K54" t="str">
        <f>IF('Jund Food'!D54="Não",'Jund Food'!C54, " ")</f>
        <v xml:space="preserve"> </v>
      </c>
      <c r="N54" t="str">
        <v xml:space="preserve"> </v>
      </c>
      <c r="O54" t="str">
        <f>IF(ElfoNeer!D54="Não",ElfoNeer!C54, " ")</f>
        <v xml:space="preserve"> </v>
      </c>
    </row>
    <row r="55" spans="2:15" x14ac:dyDescent="0.25">
      <c r="B55" t="e">
        <v>#REF!</v>
      </c>
      <c r="C55" t="e">
        <f>IF(#REF!="Não",#REF!, " ")</f>
        <v>#REF!</v>
      </c>
      <c r="F55" t="e">
        <v>#REF!</v>
      </c>
      <c r="G55" t="e">
        <f>IF(#REF!="Não",#REF!, " ")</f>
        <v>#REF!</v>
      </c>
      <c r="J55" t="str">
        <v xml:space="preserve"> </v>
      </c>
      <c r="K55" t="str">
        <f>IF('Jund Food'!D55="Não",'Jund Food'!C55, " ")</f>
        <v xml:space="preserve"> </v>
      </c>
      <c r="N55" t="str">
        <v xml:space="preserve"> </v>
      </c>
      <c r="O55" t="str">
        <f>IF(ElfoNeer!D55="Não",ElfoNeer!C55, " ")</f>
        <v xml:space="preserve"> </v>
      </c>
    </row>
    <row r="56" spans="2:15" x14ac:dyDescent="0.25">
      <c r="B56" t="e">
        <v>#REF!</v>
      </c>
      <c r="C56" t="e">
        <f>IF(#REF!="Não",#REF!, " ")</f>
        <v>#REF!</v>
      </c>
      <c r="F56" t="e">
        <v>#REF!</v>
      </c>
      <c r="G56" t="e">
        <f>IF(#REF!="Não",#REF!, " ")</f>
        <v>#REF!</v>
      </c>
      <c r="J56" t="str">
        <v xml:space="preserve"> </v>
      </c>
      <c r="K56" t="str">
        <f>IF('Jund Food'!D56="Não",'Jund Food'!C56, " ")</f>
        <v xml:space="preserve"> </v>
      </c>
      <c r="N56" t="str">
        <v xml:space="preserve"> </v>
      </c>
      <c r="O56" t="str">
        <f>IF(ElfoNeer!D56="Não",ElfoNeer!C56, " ")</f>
        <v xml:space="preserve"> </v>
      </c>
    </row>
    <row r="57" spans="2:15" x14ac:dyDescent="0.25">
      <c r="B57" t="e">
        <v>#REF!</v>
      </c>
      <c r="C57" t="e">
        <f>IF(#REF!="Não",#REF!, " ")</f>
        <v>#REF!</v>
      </c>
      <c r="F57" t="e">
        <v>#REF!</v>
      </c>
      <c r="G57" t="e">
        <f>IF(#REF!="Não",#REF!, " ")</f>
        <v>#REF!</v>
      </c>
      <c r="J57" t="str">
        <v xml:space="preserve"> </v>
      </c>
      <c r="K57" t="str">
        <f>IF('Jund Food'!D57="Não",'Jund Food'!C57, " ")</f>
        <v xml:space="preserve"> </v>
      </c>
      <c r="N57" t="str">
        <v xml:space="preserve"> </v>
      </c>
      <c r="O57" t="str">
        <f>IF(ElfoNeer!D57="Não",ElfoNeer!C57, " ")</f>
        <v xml:space="preserve"> </v>
      </c>
    </row>
    <row r="58" spans="2:15" x14ac:dyDescent="0.25">
      <c r="B58" t="e">
        <v>#REF!</v>
      </c>
      <c r="C58" t="e">
        <f>IF(#REF!="Não",#REF!, " ")</f>
        <v>#REF!</v>
      </c>
      <c r="F58" t="e">
        <v>#REF!</v>
      </c>
      <c r="G58" t="e">
        <f>IF(#REF!="Não",#REF!, " ")</f>
        <v>#REF!</v>
      </c>
      <c r="J58" t="str">
        <v xml:space="preserve"> </v>
      </c>
      <c r="K58" t="str">
        <f>IF('Jund Food'!D58="Não",'Jund Food'!C58, " ")</f>
        <v xml:space="preserve"> </v>
      </c>
      <c r="N58" t="str">
        <v xml:space="preserve"> </v>
      </c>
      <c r="O58" t="str">
        <f>IF(ElfoNeer!D58="Não",ElfoNeer!C58, " ")</f>
        <v xml:space="preserve"> </v>
      </c>
    </row>
    <row r="59" spans="2:15" x14ac:dyDescent="0.25">
      <c r="B59" t="e">
        <v>#REF!</v>
      </c>
      <c r="C59" t="e">
        <f>IF(#REF!="Não",#REF!, " ")</f>
        <v>#REF!</v>
      </c>
      <c r="F59" t="e">
        <v>#REF!</v>
      </c>
      <c r="G59" t="e">
        <f>IF(#REF!="Não",#REF!, " ")</f>
        <v>#REF!</v>
      </c>
      <c r="J59" t="str">
        <v xml:space="preserve"> </v>
      </c>
      <c r="K59" t="str">
        <f>IF('Jund Food'!D59="Não",'Jund Food'!C59, " ")</f>
        <v xml:space="preserve"> </v>
      </c>
      <c r="N59" t="str">
        <v xml:space="preserve"> </v>
      </c>
      <c r="O59" t="str">
        <f>IF(ElfoNeer!D59="Não",ElfoNeer!C59, " ")</f>
        <v xml:space="preserve"> </v>
      </c>
    </row>
    <row r="60" spans="2:15" x14ac:dyDescent="0.25">
      <c r="B60" t="e">
        <v>#REF!</v>
      </c>
      <c r="C60" t="e">
        <f>IF(#REF!="Não",#REF!, " ")</f>
        <v>#REF!</v>
      </c>
      <c r="F60" t="e">
        <v>#REF!</v>
      </c>
      <c r="G60" t="e">
        <f>IF(#REF!="Não",#REF!, " ")</f>
        <v>#REF!</v>
      </c>
      <c r="J60" t="str">
        <v xml:space="preserve"> </v>
      </c>
      <c r="K60" t="str">
        <f>IF('Jund Food'!D60="Não",'Jund Food'!C60, " ")</f>
        <v xml:space="preserve"> </v>
      </c>
      <c r="N60" t="str">
        <v xml:space="preserve"> </v>
      </c>
      <c r="O60" t="str">
        <f>IF(ElfoNeer!D60="Não",ElfoNeer!C60, " ")</f>
        <v xml:space="preserve"> </v>
      </c>
    </row>
    <row r="61" spans="2:15" x14ac:dyDescent="0.25">
      <c r="B61" t="e">
        <v>#REF!</v>
      </c>
      <c r="C61" t="e">
        <f>IF(#REF!="Não",#REF!, " ")</f>
        <v>#REF!</v>
      </c>
      <c r="F61" t="e">
        <v>#REF!</v>
      </c>
      <c r="G61" t="e">
        <f>IF(#REF!="Não",#REF!, " ")</f>
        <v>#REF!</v>
      </c>
      <c r="J61" t="str">
        <v xml:space="preserve"> </v>
      </c>
      <c r="K61" t="str">
        <f>IF('Jund Food'!D61="Não",'Jund Food'!C61, " ")</f>
        <v xml:space="preserve"> </v>
      </c>
      <c r="N61" t="str">
        <v xml:space="preserve"> </v>
      </c>
      <c r="O61" t="str">
        <f>IF(ElfoNeer!D61="Não",ElfoNeer!C61, " ")</f>
        <v xml:space="preserve"> </v>
      </c>
    </row>
    <row r="62" spans="2:15" x14ac:dyDescent="0.25">
      <c r="B62" t="e">
        <v>#REF!</v>
      </c>
      <c r="C62" t="e">
        <f>IF(#REF!="Não",#REF!, " ")</f>
        <v>#REF!</v>
      </c>
      <c r="F62" t="e">
        <v>#REF!</v>
      </c>
      <c r="G62" t="e">
        <f>IF(#REF!="Não",#REF!, " ")</f>
        <v>#REF!</v>
      </c>
      <c r="J62" t="str">
        <v xml:space="preserve"> </v>
      </c>
      <c r="K62" t="str">
        <f>IF('Jund Food'!D62="Não",'Jund Food'!C62, " ")</f>
        <v xml:space="preserve"> </v>
      </c>
      <c r="N62" t="str">
        <v xml:space="preserve"> </v>
      </c>
      <c r="O62" t="str">
        <f>IF(ElfoNeer!D62="Não",ElfoNeer!C62, " ")</f>
        <v xml:space="preserve"> </v>
      </c>
    </row>
    <row r="63" spans="2:15" x14ac:dyDescent="0.25">
      <c r="B63" t="e">
        <v>#REF!</v>
      </c>
      <c r="C63" t="e">
        <f>IF(#REF!="Não",#REF!, " ")</f>
        <v>#REF!</v>
      </c>
      <c r="F63" t="e">
        <v>#REF!</v>
      </c>
      <c r="G63" t="e">
        <f>IF(#REF!="Não",#REF!, " ")</f>
        <v>#REF!</v>
      </c>
      <c r="J63" t="str">
        <v xml:space="preserve"> </v>
      </c>
      <c r="K63" t="str">
        <f>IF('Jund Food'!D63="Não",'Jund Food'!C63, " ")</f>
        <v>Korvold, Fae-Cursed King</v>
      </c>
      <c r="N63" t="str">
        <v xml:space="preserve"> </v>
      </c>
      <c r="O63" t="str">
        <f>IF(ElfoNeer!D63="Não",ElfoNeer!C63, " ")</f>
        <v>Tamiyo's Safekeeping</v>
      </c>
    </row>
    <row r="64" spans="2:15" x14ac:dyDescent="0.25">
      <c r="B64" t="e">
        <v>#REF!</v>
      </c>
      <c r="C64" t="e">
        <f>IF(#REF!="Não",#REF!, " ")</f>
        <v>#REF!</v>
      </c>
      <c r="F64" t="e">
        <v>#REF!</v>
      </c>
      <c r="G64" t="e">
        <f>IF(#REF!="Não",#REF!, " ")</f>
        <v>#REF!</v>
      </c>
      <c r="J64" t="str">
        <v xml:space="preserve"> </v>
      </c>
      <c r="K64" t="str">
        <f>IF('Jund Food'!D64="Não",'Jund Food'!C64, " ")</f>
        <v xml:space="preserve"> </v>
      </c>
      <c r="N64" t="str">
        <v xml:space="preserve"> </v>
      </c>
      <c r="O64" t="str">
        <f>IF(ElfoNeer!D64="Não",ElfoNeer!C64, " ")</f>
        <v>Tamiyo's Safekeeping</v>
      </c>
    </row>
    <row r="65" spans="2:15" x14ac:dyDescent="0.25">
      <c r="B65" t="e">
        <v>#REF!</v>
      </c>
      <c r="C65" t="e">
        <f>IF(#REF!="Não",#REF!, " ")</f>
        <v>#REF!</v>
      </c>
      <c r="F65" t="e">
        <v>#REF!</v>
      </c>
      <c r="G65" t="e">
        <f>IF(#REF!="Não",#REF!, " ")</f>
        <v>#REF!</v>
      </c>
      <c r="J65" t="str">
        <v xml:space="preserve"> </v>
      </c>
      <c r="K65" t="str">
        <f>IF('Jund Food'!D65="Não",'Jund Food'!C65, " ")</f>
        <v xml:space="preserve"> </v>
      </c>
      <c r="N65" t="str">
        <v xml:space="preserve"> </v>
      </c>
      <c r="O65" t="str">
        <f>IF(ElfoNeer!D65="Não",ElfoNeer!C65, " ")</f>
        <v>Extraction Specialist</v>
      </c>
    </row>
    <row r="66" spans="2:15" x14ac:dyDescent="0.25">
      <c r="B66" t="e">
        <v>#REF!</v>
      </c>
      <c r="C66" t="e">
        <f>IF(#REF!="Não",#REF!, " ")</f>
        <v>#REF!</v>
      </c>
      <c r="F66" t="e">
        <v>#REF!</v>
      </c>
      <c r="G66" t="e">
        <f>IF(#REF!="Não",#REF!, " ")</f>
        <v>#REF!</v>
      </c>
      <c r="J66" t="str">
        <v xml:space="preserve"> </v>
      </c>
      <c r="K66" t="str">
        <f>IF('Jund Food'!D66="Não",'Jund Food'!C66, " ")</f>
        <v xml:space="preserve"> </v>
      </c>
      <c r="N66" t="str">
        <v xml:space="preserve"> </v>
      </c>
      <c r="O66" t="str">
        <f>IF(ElfoNeer!D66="Não",ElfoNeer!C66, " ")</f>
        <v>Extraction Specialist</v>
      </c>
    </row>
    <row r="67" spans="2:15" x14ac:dyDescent="0.25">
      <c r="B67" t="e">
        <v>#REF!</v>
      </c>
      <c r="C67" t="e">
        <f>IF(#REF!="Não",#REF!, " ")</f>
        <v>#REF!</v>
      </c>
      <c r="F67" t="e">
        <v>#REF!</v>
      </c>
      <c r="G67" t="e">
        <f>IF(#REF!="Não",#REF!, " ")</f>
        <v>#REF!</v>
      </c>
      <c r="J67" t="str">
        <v xml:space="preserve"> </v>
      </c>
      <c r="K67" t="str">
        <f>IF('Jund Food'!D67="Não",'Jund Food'!C67, " ")</f>
        <v xml:space="preserve"> </v>
      </c>
      <c r="N67" t="str">
        <v xml:space="preserve"> </v>
      </c>
      <c r="O67" t="str">
        <f>IF(ElfoNeer!D67="Não",ElfoNeer!C67, " ")</f>
        <v xml:space="preserve"> </v>
      </c>
    </row>
    <row r="68" spans="2:15" x14ac:dyDescent="0.25">
      <c r="B68" t="e">
        <v>#REF!</v>
      </c>
      <c r="C68" t="e">
        <f>IF(#REF!="Não",#REF!, " ")</f>
        <v>#REF!</v>
      </c>
      <c r="F68" t="e">
        <v>#REF!</v>
      </c>
      <c r="G68" t="e">
        <f>IF(#REF!="Não",#REF!, " ")</f>
        <v>#REF!</v>
      </c>
      <c r="J68" t="str">
        <v xml:space="preserve"> </v>
      </c>
      <c r="K68" t="str">
        <f>IF('Jund Food'!D68="Não",'Jund Food'!C68, " ")</f>
        <v xml:space="preserve"> </v>
      </c>
      <c r="N68" t="str">
        <v xml:space="preserve"> </v>
      </c>
      <c r="O68" t="str">
        <f>IF(ElfoNeer!D68="Não",ElfoNeer!C68, " ")</f>
        <v xml:space="preserve"> </v>
      </c>
    </row>
    <row r="69" spans="2:15" x14ac:dyDescent="0.25">
      <c r="B69" t="e">
        <v>#REF!</v>
      </c>
      <c r="C69" t="e">
        <f>IF(#REF!="Não",#REF!, " ")</f>
        <v>#REF!</v>
      </c>
      <c r="F69" t="e">
        <v>#REF!</v>
      </c>
      <c r="G69" t="e">
        <f>IF(#REF!="Não",#REF!, " ")</f>
        <v>#REF!</v>
      </c>
      <c r="J69" t="str">
        <v xml:space="preserve"> </v>
      </c>
      <c r="K69" t="str">
        <f>IF('Jund Food'!D69="Não",'Jund Food'!C69, " ")</f>
        <v xml:space="preserve"> </v>
      </c>
      <c r="N69" t="str">
        <v xml:space="preserve"> </v>
      </c>
      <c r="O69" t="str">
        <f>IF(ElfoNeer!D69="Não",ElfoNeer!C69, " ")</f>
        <v xml:space="preserve"> </v>
      </c>
    </row>
    <row r="70" spans="2:15" x14ac:dyDescent="0.25">
      <c r="B70" t="e">
        <v>#REF!</v>
      </c>
      <c r="C70" t="e">
        <f>IF(#REF!="Não",#REF!, " ")</f>
        <v>#REF!</v>
      </c>
      <c r="F70" t="e">
        <v>#REF!</v>
      </c>
      <c r="G70" t="e">
        <f>IF(#REF!="Não",#REF!, " ")</f>
        <v>#REF!</v>
      </c>
      <c r="J70" t="str">
        <v xml:space="preserve"> </v>
      </c>
      <c r="K70" t="str">
        <f>IF('Jund Food'!D70="Não",'Jund Food'!C70, " ")</f>
        <v>Damping Sphere</v>
      </c>
      <c r="N70" t="str">
        <v xml:space="preserve"> </v>
      </c>
      <c r="O70" t="str">
        <f>IF(ElfoNeer!D70="Não",ElfoNeer!C70, " ")</f>
        <v>Paradox Engine</v>
      </c>
    </row>
    <row r="71" spans="2:15" x14ac:dyDescent="0.25">
      <c r="B71" t="e">
        <v>#REF!</v>
      </c>
      <c r="C71" t="e">
        <f>IF(#REF!="Não",#REF!, " ")</f>
        <v>#REF!</v>
      </c>
      <c r="F71" t="e">
        <v>#REF!</v>
      </c>
      <c r="G71" t="e">
        <f>IF(#REF!="Não",#REF!, " ")</f>
        <v>#REF!</v>
      </c>
      <c r="J71" t="str">
        <v xml:space="preserve"> </v>
      </c>
      <c r="K71" t="str">
        <f>IF('Jund Food'!D71="Não",'Jund Food'!C71, " ")</f>
        <v>Damping Sphere</v>
      </c>
      <c r="N71" t="str">
        <v xml:space="preserve"> </v>
      </c>
      <c r="O71" t="str">
        <f>IF(ElfoNeer!D71="Não",ElfoNeer!C71, " ")</f>
        <v xml:space="preserve"> </v>
      </c>
    </row>
    <row r="72" spans="2:15" x14ac:dyDescent="0.25">
      <c r="B72" t="e">
        <v>#REF!</v>
      </c>
      <c r="C72" t="e">
        <f>IF(#REF!="Não",#REF!, " ")</f>
        <v>#REF!</v>
      </c>
      <c r="F72" t="e">
        <v>#REF!</v>
      </c>
      <c r="G72" t="e">
        <f>IF(#REF!="Não",#REF!, " ")</f>
        <v>#REF!</v>
      </c>
      <c r="J72" t="str">
        <v xml:space="preserve"> </v>
      </c>
      <c r="K72" t="str">
        <f>IF('Jund Food'!D72="Não",'Jund Food'!C72, " ")</f>
        <v>Damping Sphere</v>
      </c>
      <c r="N72" t="str">
        <v xml:space="preserve"> </v>
      </c>
      <c r="O72" t="str">
        <f>IF(ElfoNeer!D72="Não",ElfoNeer!C72, " ")</f>
        <v>Assassin's Trophy</v>
      </c>
    </row>
    <row r="73" spans="2:15" x14ac:dyDescent="0.25">
      <c r="B73" t="e">
        <v>#REF!</v>
      </c>
      <c r="C73" t="e">
        <f>IF(#REF!="Não",#REF!, " ")</f>
        <v>#REF!</v>
      </c>
      <c r="F73" t="e">
        <v>#REF!</v>
      </c>
      <c r="G73" t="e">
        <f>IF(#REF!="Não",#REF!, " ")</f>
        <v>#REF!</v>
      </c>
      <c r="J73" t="str">
        <v xml:space="preserve"> </v>
      </c>
      <c r="K73" t="str">
        <f>IF('Jund Food'!D73="Não",'Jund Food'!C73, " ")</f>
        <v>Questing Beast</v>
      </c>
      <c r="N73" t="str">
        <v xml:space="preserve"> </v>
      </c>
      <c r="O73" t="str">
        <f>IF(ElfoNeer!D73="Não",ElfoNeer!C73, " ")</f>
        <v>Patch Up</v>
      </c>
    </row>
    <row r="74" spans="2:15" x14ac:dyDescent="0.25">
      <c r="B74" t="e">
        <v>#REF!</v>
      </c>
      <c r="C74" t="e">
        <f>IF(#REF!="Não",#REF!, " ")</f>
        <v>#REF!</v>
      </c>
      <c r="F74" t="e">
        <v>#REF!</v>
      </c>
      <c r="G74" t="e">
        <f>IF(#REF!="Não",#REF!, " ")</f>
        <v>#REF!</v>
      </c>
      <c r="J74" t="str">
        <v xml:space="preserve"> </v>
      </c>
      <c r="K74" t="str">
        <f>IF('Jund Food'!D74="Não",'Jund Food'!C74, " ")</f>
        <v>Questing Beast</v>
      </c>
      <c r="N74" t="str">
        <v xml:space="preserve"> </v>
      </c>
      <c r="O74" t="str">
        <f>IF(ElfoNeer!D74="Não",ElfoNeer!C74, " ")</f>
        <v>Patch Up</v>
      </c>
    </row>
    <row r="75" spans="2:15" x14ac:dyDescent="0.25">
      <c r="B75" t="e">
        <v>#REF!</v>
      </c>
      <c r="C75" t="e">
        <f>IF(#REF!="Não",#REF!, " ")</f>
        <v>#REF!</v>
      </c>
      <c r="F75" t="e">
        <v>#REF!</v>
      </c>
      <c r="G75" t="e">
        <f>IF(#REF!="Não",#REF!, " ")</f>
        <v>#REF!</v>
      </c>
      <c r="J75" t="str">
        <v xml:space="preserve"> </v>
      </c>
      <c r="K75" t="str">
        <f>IF('Jund Food'!D75="Não",'Jund Food'!C75, " ")</f>
        <v xml:space="preserve"> </v>
      </c>
      <c r="N75" t="str">
        <v xml:space="preserve"> </v>
      </c>
      <c r="O75" t="str">
        <f>IF(ElfoNeer!D75="Não",ElfoNeer!C75, " ")</f>
        <v>Patch Up</v>
      </c>
    </row>
    <row r="76" spans="2:15" x14ac:dyDescent="0.25">
      <c r="B76" t="e">
        <v>#REF!</v>
      </c>
      <c r="C76" t="e">
        <f>IF(#REF!="Não",#REF!, " ")</f>
        <v>#REF!</v>
      </c>
      <c r="F76" t="e">
        <v>#REF!</v>
      </c>
      <c r="G76" t="e">
        <f>IF(#REF!="Não",#REF!, " ")</f>
        <v>#REF!</v>
      </c>
      <c r="J76" t="str">
        <v xml:space="preserve"> </v>
      </c>
      <c r="K76" t="str">
        <f>IF('Jund Food'!D76="Não",'Jund Food'!C76, " ")</f>
        <v xml:space="preserve"> </v>
      </c>
      <c r="N76" t="str">
        <v xml:space="preserve"> </v>
      </c>
      <c r="O76" t="str">
        <f>IF(ElfoNeer!D76="Não",ElfoNeer!C76, " ")</f>
        <v>Portal to Phyrexia</v>
      </c>
    </row>
    <row r="77" spans="2:15" x14ac:dyDescent="0.25">
      <c r="B77" t="e">
        <v>#REF!</v>
      </c>
      <c r="C77" t="e">
        <f>IF(#REF!="Não",#REF!, " ")</f>
        <v>#REF!</v>
      </c>
      <c r="F77" t="e">
        <v>#REF!</v>
      </c>
      <c r="G77" t="e">
        <f>IF(#REF!="Não",#REF!, " ")</f>
        <v>#REF!</v>
      </c>
      <c r="J77" t="str">
        <v xml:space="preserve"> </v>
      </c>
      <c r="K77" t="str">
        <f>IF('Jund Food'!D77="Não",'Jund Food'!C77, " ")</f>
        <v>Go Blank</v>
      </c>
      <c r="N77" t="str">
        <v xml:space="preserve"> </v>
      </c>
      <c r="O77" t="str">
        <f>IF(ElfoNeer!D77="Não",ElfoNeer!C77, " ")</f>
        <v>Portal to Phyrexia</v>
      </c>
    </row>
    <row r="78" spans="2:15" x14ac:dyDescent="0.25">
      <c r="B78" t="e">
        <v>#REF!</v>
      </c>
      <c r="C78" t="e">
        <f>IF(#REF!="Não",#REF!, " ")</f>
        <v>#REF!</v>
      </c>
      <c r="F78" t="e">
        <v>#REF!</v>
      </c>
      <c r="G78" t="e">
        <f>IF(#REF!="Não",#REF!, " ")</f>
        <v>#REF!</v>
      </c>
      <c r="J78" t="str">
        <v xml:space="preserve"> </v>
      </c>
      <c r="K78" t="str">
        <f>IF('Jund Food'!I78="Não",'Jund Food'!H78, " ")</f>
        <v xml:space="preserve"> </v>
      </c>
      <c r="N78" t="str">
        <v xml:space="preserve"> </v>
      </c>
      <c r="O78" t="str">
        <f>IF(ElfoNeer!D78="Não",ElfoNeer!C78, " ")</f>
        <v xml:space="preserve"> </v>
      </c>
    </row>
    <row r="79" spans="2:15" x14ac:dyDescent="0.25">
      <c r="B79" t="e">
        <v>#REF!</v>
      </c>
      <c r="C79" t="e">
        <f>IF(#REF!="Não",#REF!, " ")</f>
        <v>#REF!</v>
      </c>
      <c r="F79" t="e">
        <v>#REF!</v>
      </c>
      <c r="G79" t="e">
        <f>IF(#REF!="Não",#REF!, " ")</f>
        <v>#REF!</v>
      </c>
      <c r="J79" t="str">
        <v xml:space="preserve"> </v>
      </c>
      <c r="K79" t="str">
        <f>IF('Jund Food'!I79="Não",'Jund Food'!H79, " ")</f>
        <v xml:space="preserve"> </v>
      </c>
      <c r="N79" t="str">
        <v xml:space="preserve"> </v>
      </c>
      <c r="O79" t="str">
        <f>IF(ElfoNeer!D79="Não",ElfoNeer!C79, " ")</f>
        <v xml:space="preserve"> </v>
      </c>
    </row>
    <row r="80" spans="2:15" x14ac:dyDescent="0.25">
      <c r="B80" t="e">
        <v>#REF!</v>
      </c>
      <c r="C80" t="e">
        <f>IF(#REF!="Não",#REF!, " ")</f>
        <v>#REF!</v>
      </c>
      <c r="F80" t="e">
        <v>#REF!</v>
      </c>
      <c r="G80" t="e">
        <f>IF(#REF!="Não",#REF!, " ")</f>
        <v>#REF!</v>
      </c>
      <c r="J80" t="str">
        <v xml:space="preserve"> </v>
      </c>
      <c r="K80" t="str">
        <f>IF('Jund Food'!I80="Não",'Jund Food'!H80, " ")</f>
        <v xml:space="preserve"> </v>
      </c>
      <c r="N80" t="str">
        <v xml:space="preserve"> </v>
      </c>
      <c r="O80" t="str">
        <f>IF(ElfoNeer!D80="Não",ElfoNeer!C80, " ")</f>
        <v xml:space="preserve"> </v>
      </c>
    </row>
    <row r="81" spans="2:15" x14ac:dyDescent="0.25">
      <c r="B81" t="e">
        <v>#REF!</v>
      </c>
      <c r="C81" t="e">
        <f>IF(#REF!="Não",#REF!, " ")</f>
        <v>#REF!</v>
      </c>
      <c r="F81" t="e">
        <v>#REF!</v>
      </c>
      <c r="G81" t="e">
        <f>IF(#REF!="Não",#REF!, " ")</f>
        <v>#REF!</v>
      </c>
      <c r="J81" t="str">
        <v xml:space="preserve"> </v>
      </c>
      <c r="K81" t="str">
        <f>IF('Jund Food'!I81="Não",'Jund Food'!H81, " ")</f>
        <v xml:space="preserve"> </v>
      </c>
      <c r="N81" t="str">
        <v xml:space="preserve"> </v>
      </c>
      <c r="O81" t="str">
        <f>IF(ElfoNeer!D81="Não",ElfoNeer!C81, " ")</f>
        <v xml:space="preserve"> </v>
      </c>
    </row>
    <row r="82" spans="2:15" x14ac:dyDescent="0.25">
      <c r="B82" t="e">
        <v>#REF!</v>
      </c>
      <c r="C82" t="e">
        <f>IF(#REF!="Não",#REF!, " ")</f>
        <v>#REF!</v>
      </c>
      <c r="F82" t="e">
        <v>#REF!</v>
      </c>
      <c r="G82" t="e">
        <f>IF(#REF!="Não",#REF!, " ")</f>
        <v>#REF!</v>
      </c>
      <c r="J82" t="str">
        <v xml:space="preserve"> </v>
      </c>
      <c r="K82" t="str">
        <f>IF('Jund Food'!I82="Não",'Jund Food'!H82, " ")</f>
        <v xml:space="preserve"> </v>
      </c>
      <c r="N82" t="str">
        <v xml:space="preserve"> </v>
      </c>
      <c r="O82" t="str">
        <f>IF(ElfoNeer!D82="Não",ElfoNeer!C82, " ")</f>
        <v xml:space="preserve"> </v>
      </c>
    </row>
    <row r="83" spans="2:15" x14ac:dyDescent="0.25">
      <c r="B83" t="e">
        <v>#REF!</v>
      </c>
      <c r="C83" t="e">
        <f>IF(#REF!="Não",#REF!, " ")</f>
        <v>#REF!</v>
      </c>
      <c r="F83" t="e">
        <v>#REF!</v>
      </c>
      <c r="G83" t="e">
        <f>IF(#REF!="Não",#REF!, " ")</f>
        <v>#REF!</v>
      </c>
      <c r="J83" t="str">
        <v xml:space="preserve"> </v>
      </c>
      <c r="K83" t="str">
        <f>IF('Jund Food'!I83="Não",'Jund Food'!H83, " ")</f>
        <v xml:space="preserve"> </v>
      </c>
      <c r="N83" t="str">
        <v xml:space="preserve"> </v>
      </c>
      <c r="O83" t="str">
        <f>IF(ElfoNeer!D83="Não",ElfoNeer!C83, " ")</f>
        <v xml:space="preserve"> </v>
      </c>
    </row>
    <row r="84" spans="2:15" x14ac:dyDescent="0.25">
      <c r="B84" t="e">
        <v>#REF!</v>
      </c>
      <c r="C84" t="e">
        <f>IF(#REF!="Não",#REF!, " ")</f>
        <v>#REF!</v>
      </c>
      <c r="F84" t="e">
        <v>#REF!</v>
      </c>
      <c r="G84" t="e">
        <f>IF(#REF!="Não",#REF!, " ")</f>
        <v>#REF!</v>
      </c>
      <c r="J84" t="str">
        <v xml:space="preserve"> </v>
      </c>
      <c r="K84" t="str">
        <f>IF('Jund Food'!I84="Não",'Jund Food'!H84, " ")</f>
        <v xml:space="preserve"> </v>
      </c>
      <c r="N84" t="str">
        <v xml:space="preserve"> </v>
      </c>
      <c r="O84" t="str">
        <f>IF(ElfoNeer!D84="Não",ElfoNeer!C84, " ")</f>
        <v xml:space="preserve"> </v>
      </c>
    </row>
    <row r="85" spans="2:15" x14ac:dyDescent="0.25">
      <c r="B85" t="e">
        <v>#REF!</v>
      </c>
      <c r="C85" t="e">
        <f>IF(#REF!="Não",#REF!, " ")</f>
        <v>#REF!</v>
      </c>
      <c r="F85">
        <v>0</v>
      </c>
      <c r="J85" t="str">
        <v xml:space="preserve"> </v>
      </c>
      <c r="K85" t="str">
        <f>IF('Jund Food'!I85="Não",'Jund Food'!H85, " ")</f>
        <v xml:space="preserve"> </v>
      </c>
      <c r="N85" t="str">
        <v xml:space="preserve"> </v>
      </c>
      <c r="O85" t="str">
        <f>IF(ElfoNeer!D85="Não",ElfoNeer!C85, " ")</f>
        <v xml:space="preserve"> </v>
      </c>
    </row>
    <row r="86" spans="2:15" x14ac:dyDescent="0.25">
      <c r="B86" t="e">
        <v>#REF!</v>
      </c>
      <c r="C86" t="e">
        <f>IF(#REF!="Não",#REF!, " ")</f>
        <v>#REF!</v>
      </c>
      <c r="F86">
        <v>0</v>
      </c>
      <c r="J86" t="str">
        <v xml:space="preserve"> </v>
      </c>
      <c r="K86" t="str">
        <f>IF('Jund Food'!I86="Não",'Jund Food'!H86, " ")</f>
        <v xml:space="preserve"> </v>
      </c>
      <c r="N86" t="str">
        <v xml:space="preserve"> </v>
      </c>
      <c r="O86" t="str">
        <f>IF(ElfoNeer!D86="Não",ElfoNeer!C86, " ")</f>
        <v xml:space="preserve"> </v>
      </c>
    </row>
    <row r="87" spans="2:15" x14ac:dyDescent="0.25">
      <c r="C87" t="e">
        <f>IF(#REF!="Não",#REF!, " ")</f>
        <v>#REF!</v>
      </c>
      <c r="O87" t="str">
        <f>IF(ElfoNeer!D87="Não",ElfoNeer!C87, " ")</f>
        <v xml:space="preserve"> </v>
      </c>
    </row>
    <row r="88" spans="2:15" x14ac:dyDescent="0.25">
      <c r="C88" t="e">
        <f>IF(#REF!="Não",#REF!, " ")</f>
        <v>#REF!</v>
      </c>
      <c r="O88" t="str">
        <f>IF(ElfoNeer!D88="Não",ElfoNeer!C88, " ")</f>
        <v xml:space="preserve"> </v>
      </c>
    </row>
    <row r="89" spans="2:15" x14ac:dyDescent="0.25">
      <c r="C89" t="e">
        <f>IF(#REF!="Não",#REF!, " ")</f>
        <v>#REF!</v>
      </c>
      <c r="O89" t="str">
        <f>IF(ElfoNeer!D89="Não",ElfoNeer!C89, " ")</f>
        <v xml:space="preserve"> </v>
      </c>
    </row>
    <row r="90" spans="2:15" x14ac:dyDescent="0.25">
      <c r="C90" t="e">
        <f>IF(#REF!="Não",#REF!, " ")</f>
        <v>#REF!</v>
      </c>
      <c r="O90" t="str">
        <f>IF(ElfoNeer!D90="Não",ElfoNeer!C90, " ")</f>
        <v xml:space="preserve"> </v>
      </c>
    </row>
    <row r="91" spans="2:15" x14ac:dyDescent="0.25">
      <c r="C91" t="e">
        <f>IF(#REF!="Não",#REF!, " ")</f>
        <v>#REF!</v>
      </c>
      <c r="O91" t="str">
        <f>IF(ElfoNeer!D91="Não",ElfoNeer!C91, " ")</f>
        <v xml:space="preserve"> </v>
      </c>
    </row>
    <row r="92" spans="2:15" x14ac:dyDescent="0.25">
      <c r="C92" t="e">
        <f>IF(#REF!="Não",#REF!, " ")</f>
        <v>#REF!</v>
      </c>
      <c r="O92" t="str">
        <f>IF(ElfoNeer!D92="Não",ElfoNeer!C92, " ")</f>
        <v xml:space="preserve"> </v>
      </c>
    </row>
    <row r="93" spans="2:15" x14ac:dyDescent="0.25">
      <c r="C93" t="e">
        <f>IF(#REF!="Não",#REF!, " ")</f>
        <v>#REF!</v>
      </c>
      <c r="O93" t="str">
        <f>IF(ElfoNeer!D93="Não",ElfoNeer!C93, " ")</f>
        <v xml:space="preserve"> </v>
      </c>
    </row>
    <row r="94" spans="2:15" x14ac:dyDescent="0.25">
      <c r="C94" t="e">
        <f>IF(#REF!="Não",#REF!, " ")</f>
        <v>#REF!</v>
      </c>
      <c r="O94" t="str">
        <f>IF(ElfoNeer!D94="Não",ElfoNeer!C94, " ")</f>
        <v xml:space="preserve"> </v>
      </c>
    </row>
    <row r="95" spans="2:15" x14ac:dyDescent="0.25">
      <c r="C95" t="e">
        <f>IF(#REF!="Não",#REF!, " ")</f>
        <v>#REF!</v>
      </c>
      <c r="O95" t="str">
        <f>IF(ElfoNeer!D95="Não",ElfoNeer!C95, " ")</f>
        <v xml:space="preserve"> </v>
      </c>
    </row>
    <row r="96" spans="2:15" x14ac:dyDescent="0.25">
      <c r="C96" t="e">
        <f>IF(#REF!="Não",#REF!, " ")</f>
        <v>#REF!</v>
      </c>
      <c r="O96" t="str">
        <f>IF(ElfoNeer!D96="Não",ElfoNeer!C96, " ")</f>
        <v xml:space="preserve"> </v>
      </c>
    </row>
    <row r="97" spans="3:15" x14ac:dyDescent="0.25">
      <c r="C97" t="e">
        <f>IF(#REF!="Não",#REF!, " ")</f>
        <v>#REF!</v>
      </c>
      <c r="O97" t="str">
        <f>IF(ElfoNeer!D97="Não",ElfoNeer!C97, " ")</f>
        <v xml:space="preserve"> </v>
      </c>
    </row>
    <row r="98" spans="3:15" x14ac:dyDescent="0.25">
      <c r="C98" t="e">
        <f>IF(#REF!="Não",#REF!, " ")</f>
        <v>#REF!</v>
      </c>
      <c r="O98" t="str">
        <f>IF(ElfoNeer!D98="Não",ElfoNeer!C98, " ")</f>
        <v xml:space="preserve"> </v>
      </c>
    </row>
    <row r="99" spans="3:15" x14ac:dyDescent="0.25">
      <c r="C99" t="e">
        <f>IF(#REF!="Não",#REF!, " ")</f>
        <v>#REF!</v>
      </c>
      <c r="O99" t="str">
        <f>IF(ElfoNeer!D99="Não",ElfoNeer!C99, " ")</f>
        <v xml:space="preserve"> </v>
      </c>
    </row>
    <row r="100" spans="3:15" x14ac:dyDescent="0.25">
      <c r="C100" t="e">
        <f>IF(#REF!="Não",#REF!, " ")</f>
        <v>#REF!</v>
      </c>
      <c r="O100" t="str">
        <f>IF(ElfoNeer!D100="Não",ElfoNeer!C100, " ")</f>
        <v xml:space="preserve"> </v>
      </c>
    </row>
    <row r="101" spans="3:15" x14ac:dyDescent="0.25">
      <c r="C101" t="e">
        <f>IF(#REF!="Não",#REF!, " ")</f>
        <v>#REF!</v>
      </c>
      <c r="O101" t="str">
        <f>IF(ElfoNeer!D101="Não",ElfoNeer!C101, " ")</f>
        <v xml:space="preserve"> </v>
      </c>
    </row>
    <row r="102" spans="3:15" x14ac:dyDescent="0.25">
      <c r="C102" t="e">
        <f>IF(#REF!="Não",#REF!, " ")</f>
        <v>#REF!</v>
      </c>
      <c r="O102" t="str">
        <f>IF(ElfoNeer!D102="Não",ElfoNeer!C102, " ")</f>
        <v xml:space="preserve"> </v>
      </c>
    </row>
    <row r="103" spans="3:15" x14ac:dyDescent="0.25">
      <c r="C103" t="e">
        <f>IF(#REF!="Não",#REF!, " ")</f>
        <v>#REF!</v>
      </c>
      <c r="O103" t="str">
        <f>IF(ElfoNeer!D103="Não",ElfoNeer!C103, " ")</f>
        <v xml:space="preserve"> </v>
      </c>
    </row>
    <row r="104" spans="3:15" x14ac:dyDescent="0.25">
      <c r="C104" t="e">
        <f>IF(#REF!="Não",#REF!, " ")</f>
        <v>#REF!</v>
      </c>
      <c r="O104" t="str">
        <f>IF(ElfoNeer!D104="Não",ElfoNeer!C104, " ")</f>
        <v xml:space="preserve"> </v>
      </c>
    </row>
    <row r="105" spans="3:15" x14ac:dyDescent="0.25">
      <c r="C105" t="e">
        <f>IF(#REF!="Não",#REF!, " ")</f>
        <v>#REF!</v>
      </c>
      <c r="O105" t="str">
        <f>IF(ElfoNeer!D105="Não",ElfoNeer!C105, " ")</f>
        <v xml:space="preserve"> </v>
      </c>
    </row>
    <row r="106" spans="3:15" x14ac:dyDescent="0.25">
      <c r="C106" t="e">
        <f>IF(#REF!="Não",#REF!, " ")</f>
        <v>#REF!</v>
      </c>
      <c r="O106" t="str">
        <f>IF(ElfoNeer!D106="Não",ElfoNeer!C106, " ")</f>
        <v xml:space="preserve"> </v>
      </c>
    </row>
    <row r="107" spans="3:15" x14ac:dyDescent="0.25">
      <c r="C107" t="e">
        <f>IF(#REF!="Não",#REF!, " ")</f>
        <v>#REF!</v>
      </c>
      <c r="O107" t="str">
        <f>IF(ElfoNeer!D107="Não",ElfoNeer!C107, " ")</f>
        <v xml:space="preserve"> </v>
      </c>
    </row>
    <row r="108" spans="3:15" x14ac:dyDescent="0.25">
      <c r="C108" t="e">
        <f>IF(#REF!="Não",#REF!, " ")</f>
        <v>#REF!</v>
      </c>
      <c r="O108" t="str">
        <f>IF(ElfoNeer!D108="Não",ElfoNeer!C108, " ")</f>
        <v xml:space="preserve"> </v>
      </c>
    </row>
    <row r="109" spans="3:15" x14ac:dyDescent="0.25">
      <c r="C109" t="e">
        <f>IF(#REF!="Não",#REF!, " ")</f>
        <v>#REF!</v>
      </c>
      <c r="O109" t="str">
        <f>IF(ElfoNeer!D109="Não",ElfoNeer!C109, " ")</f>
        <v xml:space="preserve"> </v>
      </c>
    </row>
    <row r="110" spans="3:15" x14ac:dyDescent="0.25">
      <c r="C110" t="e">
        <f>IF(#REF!="Não",#REF!, " ")</f>
        <v>#REF!</v>
      </c>
      <c r="O110" t="str">
        <f>IF(ElfoNeer!D110="Não",ElfoNeer!C110, " ")</f>
        <v xml:space="preserve"> </v>
      </c>
    </row>
    <row r="111" spans="3:15" x14ac:dyDescent="0.25">
      <c r="C111" t="e">
        <f>IF(#REF!="Não",#REF!, " ")</f>
        <v>#REF!</v>
      </c>
      <c r="O111" t="str">
        <f>IF(ElfoNeer!D111="Não",ElfoNeer!C111, " ")</f>
        <v xml:space="preserve"> </v>
      </c>
    </row>
    <row r="112" spans="3:15" x14ac:dyDescent="0.25">
      <c r="C112" t="e">
        <f>IF(#REF!="Não",#REF!, " ")</f>
        <v>#REF!</v>
      </c>
      <c r="O112" t="str">
        <f>IF(ElfoNeer!D112="Não",ElfoNeer!C112, " ")</f>
        <v xml:space="preserve"> </v>
      </c>
    </row>
    <row r="113" spans="3:15" x14ac:dyDescent="0.25">
      <c r="C113" t="e">
        <f>IF(#REF!="Não",#REF!, " ")</f>
        <v>#REF!</v>
      </c>
      <c r="O113" t="str">
        <f>IF(ElfoNeer!D113="Não",ElfoNeer!C113, " ")</f>
        <v xml:space="preserve"> </v>
      </c>
    </row>
    <row r="114" spans="3:15" x14ac:dyDescent="0.25">
      <c r="C114" t="e">
        <f>IF(#REF!="Não",#REF!, " ")</f>
        <v>#REF!</v>
      </c>
      <c r="O114" t="str">
        <f>IF(ElfoNeer!D114="Não",ElfoNeer!C114, " ")</f>
        <v xml:space="preserve"> </v>
      </c>
    </row>
    <row r="115" spans="3:15" x14ac:dyDescent="0.25">
      <c r="C115" t="e">
        <f>IF(#REF!="Não",#REF!, " ")</f>
        <v>#REF!</v>
      </c>
      <c r="O115" t="str">
        <f>IF(ElfoNeer!D115="Não",ElfoNeer!C115, " ")</f>
        <v xml:space="preserve"> </v>
      </c>
    </row>
    <row r="116" spans="3:15" x14ac:dyDescent="0.25">
      <c r="C116" t="e">
        <f>IF(#REF!="Não",#REF!, " ")</f>
        <v>#REF!</v>
      </c>
      <c r="O116" t="str">
        <f>IF(ElfoNeer!D116="Não",ElfoNeer!C116, " ")</f>
        <v xml:space="preserve"> </v>
      </c>
    </row>
    <row r="117" spans="3:15" x14ac:dyDescent="0.25">
      <c r="C117" t="e">
        <f>IF(#REF!="Não",#REF!, " ")</f>
        <v>#REF!</v>
      </c>
      <c r="O117" t="str">
        <f>IF(ElfoNeer!D117="Não",ElfoNeer!C117, " ")</f>
        <v xml:space="preserve"> </v>
      </c>
    </row>
    <row r="118" spans="3:15" x14ac:dyDescent="0.25">
      <c r="C118" t="e">
        <f>IF(#REF!="Não",#REF!, " ")</f>
        <v>#REF!</v>
      </c>
      <c r="O118" t="str">
        <f>IF(ElfoNeer!D118="Não",ElfoNeer!C118, " ")</f>
        <v xml:space="preserve"> </v>
      </c>
    </row>
    <row r="119" spans="3:15" x14ac:dyDescent="0.25">
      <c r="C119" t="e">
        <f>IF(#REF!="Não",#REF!, " ")</f>
        <v>#REF!</v>
      </c>
      <c r="O119" t="str">
        <f>IF(ElfoNeer!D119="Não",ElfoNeer!C119, " ")</f>
        <v xml:space="preserve"> </v>
      </c>
    </row>
    <row r="120" spans="3:15" x14ac:dyDescent="0.25">
      <c r="C120" t="e">
        <f>IF(#REF!="Não",#REF!, " ")</f>
        <v>#REF!</v>
      </c>
      <c r="O120" t="str">
        <f>IF(ElfoNeer!D120="Não",ElfoNeer!C120, " ")</f>
        <v xml:space="preserve"> </v>
      </c>
    </row>
    <row r="121" spans="3:15" x14ac:dyDescent="0.25">
      <c r="C121" t="e">
        <f>IF(#REF!="Não",#REF!, " ")</f>
        <v>#REF!</v>
      </c>
      <c r="O121" t="str">
        <f>IF(ElfoNeer!D121="Não",ElfoNeer!C121, " ")</f>
        <v xml:space="preserve"> </v>
      </c>
    </row>
    <row r="122" spans="3:15" x14ac:dyDescent="0.25">
      <c r="C122" t="e">
        <f>IF(#REF!="Não",#REF!, " ")</f>
        <v>#REF!</v>
      </c>
      <c r="O122" t="str">
        <f>IF(ElfoNeer!D122="Não",ElfoNeer!C122, " ")</f>
        <v xml:space="preserve"> </v>
      </c>
    </row>
    <row r="123" spans="3:15" x14ac:dyDescent="0.25">
      <c r="C123" t="e">
        <f>IF(#REF!="Não",#REF!, " ")</f>
        <v>#REF!</v>
      </c>
      <c r="O123" t="str">
        <f>IF(ElfoNeer!D123="Não",ElfoNeer!C123, " ")</f>
        <v xml:space="preserve"> </v>
      </c>
    </row>
    <row r="124" spans="3:15" x14ac:dyDescent="0.25">
      <c r="C124" t="e">
        <f>IF(#REF!="Não",#REF!, " ")</f>
        <v>#REF!</v>
      </c>
      <c r="O124" t="str">
        <f>IF(ElfoNeer!D124="Não",ElfoNeer!C124, " ")</f>
        <v xml:space="preserve"> </v>
      </c>
    </row>
    <row r="125" spans="3:15" x14ac:dyDescent="0.25">
      <c r="C125" t="e">
        <f>IF(#REF!="Não",#REF!, " ")</f>
        <v>#REF!</v>
      </c>
      <c r="O125" t="str">
        <f>IF(ElfoNeer!H125="Não",ElfoNeer!G125, " ")</f>
        <v xml:space="preserve"> </v>
      </c>
    </row>
    <row r="126" spans="3:15" x14ac:dyDescent="0.25">
      <c r="C126" t="e">
        <f>IF(#REF!="Não",#REF!, " ")</f>
        <v>#REF!</v>
      </c>
      <c r="O126" t="str">
        <f>IF(ElfoNeer!H126="Não",ElfoNeer!G126, " ")</f>
        <v xml:space="preserve"> </v>
      </c>
    </row>
    <row r="127" spans="3:15" x14ac:dyDescent="0.25">
      <c r="C127" t="e">
        <f>IF(#REF!="Não",#REF!, " ")</f>
        <v>#REF!</v>
      </c>
      <c r="O127" t="str">
        <f>IF(ElfoNeer!H127="Não",ElfoNeer!G127, " ")</f>
        <v xml:space="preserve"> </v>
      </c>
    </row>
    <row r="128" spans="3:15" x14ac:dyDescent="0.25">
      <c r="C128" t="e">
        <f>IF(#REF!="Não",#REF!, " ")</f>
        <v>#REF!</v>
      </c>
      <c r="O128" t="str">
        <f>IF(ElfoNeer!H128="Não",ElfoNeer!G128, " ")</f>
        <v xml:space="preserve"> </v>
      </c>
    </row>
    <row r="129" spans="3:3" x14ac:dyDescent="0.25">
      <c r="C129" t="e">
        <f>IF(#REF!="Não",#REF!, " ")</f>
        <v>#REF!</v>
      </c>
    </row>
    <row r="130" spans="3:3" x14ac:dyDescent="0.25">
      <c r="C130" t="e">
        <f>IF(#REF!="Não",#REF!, " ")</f>
        <v>#REF!</v>
      </c>
    </row>
    <row r="131" spans="3:3" x14ac:dyDescent="0.25">
      <c r="C131" t="e">
        <f>IF(#REF!="Não",#REF!, " ")</f>
        <v>#REF!</v>
      </c>
    </row>
    <row r="132" spans="3:3" x14ac:dyDescent="0.25">
      <c r="C132" t="e">
        <f>IF(#REF!="Não",#REF!, " ")</f>
        <v>#REF!</v>
      </c>
    </row>
    <row r="133" spans="3:3" x14ac:dyDescent="0.25">
      <c r="C133" t="e">
        <f>IF(#REF!="Não",#REF!, " ")</f>
        <v>#REF!</v>
      </c>
    </row>
    <row r="134" spans="3:3" x14ac:dyDescent="0.25">
      <c r="C134" t="e">
        <f>IF(#REF!="Não",#REF!, " ")</f>
        <v>#REF!</v>
      </c>
    </row>
    <row r="135" spans="3:3" x14ac:dyDescent="0.25">
      <c r="C135" t="e">
        <f>IF(#REF!="Não",#REF!, " ")</f>
        <v>#REF!</v>
      </c>
    </row>
    <row r="136" spans="3:3" x14ac:dyDescent="0.25">
      <c r="C136" t="e">
        <f>IF(#REF!="Não",#REF!, " ")</f>
        <v>#REF!</v>
      </c>
    </row>
    <row r="137" spans="3:3" x14ac:dyDescent="0.25">
      <c r="C137" t="e">
        <f>IF(#REF!="Não",#REF!, " ")</f>
        <v>#REF!</v>
      </c>
    </row>
    <row r="138" spans="3:3" x14ac:dyDescent="0.25">
      <c r="C138" t="e">
        <f>IF(#REF!="Não",#REF!, " ")</f>
        <v>#REF!</v>
      </c>
    </row>
    <row r="139" spans="3:3" x14ac:dyDescent="0.25">
      <c r="C139" t="e">
        <f>IF(#REF!="Não",#REF!, " ")</f>
        <v>#REF!</v>
      </c>
    </row>
    <row r="140" spans="3:3" x14ac:dyDescent="0.25">
      <c r="C140" t="e">
        <f>IF(#REF!="Não",#REF!, " ")</f>
        <v>#REF!</v>
      </c>
    </row>
    <row r="141" spans="3:3" x14ac:dyDescent="0.25">
      <c r="C141" t="e">
        <f>IF(#REF!="Não",#REF!, " ")</f>
        <v>#REF!</v>
      </c>
    </row>
    <row r="142" spans="3:3" x14ac:dyDescent="0.25">
      <c r="C142" t="e">
        <f>IF(#REF!="Não",#REF!, " ")</f>
        <v>#REF!</v>
      </c>
    </row>
    <row r="143" spans="3:3" x14ac:dyDescent="0.25">
      <c r="C143" t="e">
        <f>IF(#REF!="Não",#REF!, " ")</f>
        <v>#REF!</v>
      </c>
    </row>
  </sheetData>
  <mergeCells count="6">
    <mergeCell ref="U1:W2"/>
    <mergeCell ref="A1:C2"/>
    <mergeCell ref="E1:G2"/>
    <mergeCell ref="I1:K2"/>
    <mergeCell ref="M1:O2"/>
    <mergeCell ref="Q1:S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FD1B-8F07-42AB-A888-A18727D6AB85}">
  <dimension ref="A1:I94"/>
  <sheetViews>
    <sheetView topLeftCell="A27" workbookViewId="0">
      <selection activeCell="C24" sqref="C24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  <col min="9" max="9" width="24.5703125" bestFit="1" customWidth="1"/>
  </cols>
  <sheetData>
    <row r="1" spans="1:9" ht="21" x14ac:dyDescent="0.25">
      <c r="A1" s="19" t="s">
        <v>334</v>
      </c>
      <c r="B1" s="19"/>
      <c r="C1" s="19"/>
      <c r="D1" s="19"/>
      <c r="E1" s="19"/>
      <c r="F1" s="19"/>
      <c r="G1" s="19"/>
    </row>
    <row r="2" spans="1:9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9" x14ac:dyDescent="0.25">
      <c r="A3" t="s">
        <v>1</v>
      </c>
      <c r="B3" t="s">
        <v>56</v>
      </c>
      <c r="C3" t="s">
        <v>56</v>
      </c>
      <c r="D3" t="str">
        <f t="shared" ref="D3:D66" si="0">IF(B3=C3, "Sim", "Não")</f>
        <v>Sim</v>
      </c>
      <c r="F3" s="4" t="s">
        <v>10</v>
      </c>
      <c r="G3" s="3">
        <f>COUNTIF(D3:D99,"Não")</f>
        <v>16</v>
      </c>
      <c r="I3" t="s">
        <v>345</v>
      </c>
    </row>
    <row r="4" spans="1:9" x14ac:dyDescent="0.25">
      <c r="A4" t="s">
        <v>1</v>
      </c>
      <c r="B4" t="s">
        <v>56</v>
      </c>
      <c r="C4" t="s">
        <v>56</v>
      </c>
      <c r="D4" t="str">
        <f t="shared" si="0"/>
        <v>Sim</v>
      </c>
      <c r="F4" s="4" t="s">
        <v>11</v>
      </c>
      <c r="G4" s="3">
        <f>SUM(G7:G21)</f>
        <v>35</v>
      </c>
      <c r="I4" t="s">
        <v>346</v>
      </c>
    </row>
    <row r="5" spans="1:9" x14ac:dyDescent="0.25">
      <c r="A5" t="s">
        <v>1</v>
      </c>
      <c r="B5" t="s">
        <v>56</v>
      </c>
      <c r="C5" t="s">
        <v>56</v>
      </c>
      <c r="D5" t="str">
        <f t="shared" si="0"/>
        <v>Sim</v>
      </c>
      <c r="I5" t="s">
        <v>347</v>
      </c>
    </row>
    <row r="6" spans="1:9" x14ac:dyDescent="0.25">
      <c r="A6" t="s">
        <v>1</v>
      </c>
      <c r="B6" t="s">
        <v>56</v>
      </c>
      <c r="C6" t="s">
        <v>56</v>
      </c>
      <c r="D6" t="str">
        <f t="shared" si="0"/>
        <v>Sim</v>
      </c>
      <c r="F6" s="6" t="s">
        <v>3</v>
      </c>
      <c r="G6" s="1"/>
    </row>
    <row r="7" spans="1:9" x14ac:dyDescent="0.25">
      <c r="A7" t="s">
        <v>1</v>
      </c>
      <c r="D7" t="str">
        <f t="shared" si="0"/>
        <v>Sim</v>
      </c>
      <c r="F7" s="7" t="s">
        <v>1</v>
      </c>
      <c r="G7" s="2">
        <f t="shared" ref="G7:G11" si="1">COUNTIF(A:A,F7)</f>
        <v>20</v>
      </c>
    </row>
    <row r="8" spans="1:9" x14ac:dyDescent="0.25">
      <c r="A8" t="s">
        <v>1</v>
      </c>
      <c r="D8" t="str">
        <f t="shared" si="0"/>
        <v>Sim</v>
      </c>
      <c r="F8" s="7" t="s">
        <v>43</v>
      </c>
      <c r="G8" s="2">
        <f t="shared" si="1"/>
        <v>0</v>
      </c>
    </row>
    <row r="9" spans="1:9" x14ac:dyDescent="0.25">
      <c r="A9" t="s">
        <v>1</v>
      </c>
      <c r="D9" t="str">
        <f t="shared" si="0"/>
        <v>Sim</v>
      </c>
      <c r="F9" s="7" t="s">
        <v>95</v>
      </c>
      <c r="G9" s="2">
        <f t="shared" si="1"/>
        <v>0</v>
      </c>
    </row>
    <row r="10" spans="1:9" x14ac:dyDescent="0.25">
      <c r="A10" t="s">
        <v>1</v>
      </c>
      <c r="D10" t="str">
        <f t="shared" si="0"/>
        <v>Sim</v>
      </c>
      <c r="F10" s="7" t="s">
        <v>164</v>
      </c>
      <c r="G10" s="2">
        <f t="shared" si="1"/>
        <v>0</v>
      </c>
    </row>
    <row r="11" spans="1:9" x14ac:dyDescent="0.25">
      <c r="A11" t="s">
        <v>1</v>
      </c>
      <c r="D11" t="str">
        <f t="shared" si="0"/>
        <v>Sim</v>
      </c>
      <c r="F11" s="7" t="s">
        <v>34</v>
      </c>
      <c r="G11" s="2">
        <f t="shared" si="1"/>
        <v>15</v>
      </c>
    </row>
    <row r="12" spans="1:9" x14ac:dyDescent="0.25">
      <c r="A12" t="s">
        <v>1</v>
      </c>
      <c r="D12" t="str">
        <f t="shared" si="0"/>
        <v>Sim</v>
      </c>
      <c r="F12" s="7"/>
      <c r="G12" s="2"/>
    </row>
    <row r="13" spans="1:9" x14ac:dyDescent="0.25">
      <c r="A13" t="s">
        <v>1</v>
      </c>
      <c r="D13" t="str">
        <f t="shared" si="0"/>
        <v>Sim</v>
      </c>
      <c r="F13" s="7"/>
      <c r="G13" s="2"/>
    </row>
    <row r="14" spans="1:9" x14ac:dyDescent="0.25">
      <c r="A14" t="s">
        <v>1</v>
      </c>
      <c r="D14" t="str">
        <f t="shared" si="0"/>
        <v>Sim</v>
      </c>
      <c r="F14" s="7"/>
      <c r="G14" s="2"/>
    </row>
    <row r="15" spans="1:9" x14ac:dyDescent="0.25">
      <c r="A15" t="s">
        <v>1</v>
      </c>
      <c r="D15" t="str">
        <f t="shared" si="0"/>
        <v>Sim</v>
      </c>
      <c r="F15" s="5"/>
      <c r="G15" s="2"/>
    </row>
    <row r="16" spans="1:9" x14ac:dyDescent="0.25">
      <c r="A16" t="s">
        <v>1</v>
      </c>
      <c r="D16" t="str">
        <f t="shared" si="0"/>
        <v>Sim</v>
      </c>
      <c r="F16" s="5"/>
      <c r="G16" s="2"/>
    </row>
    <row r="17" spans="1:7" x14ac:dyDescent="0.25">
      <c r="A17" t="s">
        <v>1</v>
      </c>
      <c r="D17" t="str">
        <f t="shared" si="0"/>
        <v>Sim</v>
      </c>
      <c r="F17" s="5"/>
      <c r="G17" s="2"/>
    </row>
    <row r="18" spans="1:7" x14ac:dyDescent="0.25">
      <c r="A18" t="s">
        <v>1</v>
      </c>
      <c r="B18" t="s">
        <v>13</v>
      </c>
      <c r="C18" t="s">
        <v>13</v>
      </c>
      <c r="D18" t="str">
        <f t="shared" si="0"/>
        <v>Sim</v>
      </c>
      <c r="F18" s="5"/>
    </row>
    <row r="19" spans="1:7" x14ac:dyDescent="0.25">
      <c r="A19" t="s">
        <v>1</v>
      </c>
      <c r="B19" t="s">
        <v>13</v>
      </c>
      <c r="C19" t="s">
        <v>13</v>
      </c>
      <c r="D19" t="str">
        <f t="shared" si="0"/>
        <v>Sim</v>
      </c>
      <c r="F19" s="5"/>
    </row>
    <row r="20" spans="1:7" x14ac:dyDescent="0.25">
      <c r="A20" t="s">
        <v>1</v>
      </c>
      <c r="B20" t="s">
        <v>13</v>
      </c>
      <c r="C20" t="s">
        <v>13</v>
      </c>
      <c r="D20" t="str">
        <f t="shared" si="0"/>
        <v>Sim</v>
      </c>
      <c r="F20" s="5"/>
    </row>
    <row r="21" spans="1:7" x14ac:dyDescent="0.25">
      <c r="A21" t="s">
        <v>1</v>
      </c>
      <c r="B21" t="s">
        <v>13</v>
      </c>
      <c r="C21" t="s">
        <v>13</v>
      </c>
      <c r="D21" t="str">
        <f t="shared" si="0"/>
        <v>Sim</v>
      </c>
      <c r="F21" s="5"/>
    </row>
    <row r="22" spans="1:7" x14ac:dyDescent="0.25">
      <c r="A22" t="s">
        <v>1</v>
      </c>
      <c r="B22" t="s">
        <v>13</v>
      </c>
      <c r="C22" t="s">
        <v>13</v>
      </c>
      <c r="D22" t="str">
        <f t="shared" si="0"/>
        <v>Sim</v>
      </c>
      <c r="F22" s="5"/>
    </row>
    <row r="23" spans="1:7" x14ac:dyDescent="0.25">
      <c r="A23"/>
      <c r="B23" t="s">
        <v>209</v>
      </c>
      <c r="C23" t="s">
        <v>209</v>
      </c>
      <c r="D23" t="str">
        <f t="shared" si="0"/>
        <v>Sim</v>
      </c>
      <c r="F23" s="5"/>
    </row>
    <row r="24" spans="1:7" x14ac:dyDescent="0.25">
      <c r="A24"/>
      <c r="B24" t="s">
        <v>209</v>
      </c>
      <c r="C24" t="s">
        <v>209</v>
      </c>
      <c r="D24" t="str">
        <f>IF(B24=C24, "Sim", "Não")</f>
        <v>Sim</v>
      </c>
      <c r="F24" s="5"/>
    </row>
    <row r="25" spans="1:7" x14ac:dyDescent="0.25">
      <c r="A25"/>
      <c r="B25" t="s">
        <v>209</v>
      </c>
      <c r="C25" t="s">
        <v>209</v>
      </c>
      <c r="D25" t="str">
        <f>IF(B25=C25, "Sim", "Não")</f>
        <v>Sim</v>
      </c>
      <c r="F25" s="5"/>
    </row>
    <row r="26" spans="1:7" x14ac:dyDescent="0.25">
      <c r="A26"/>
      <c r="B26" t="s">
        <v>209</v>
      </c>
      <c r="C26" t="s">
        <v>209</v>
      </c>
      <c r="D26" t="str">
        <f t="shared" si="0"/>
        <v>Sim</v>
      </c>
      <c r="F26" s="5"/>
    </row>
    <row r="27" spans="1:7" x14ac:dyDescent="0.25">
      <c r="A27"/>
      <c r="B27" t="s">
        <v>207</v>
      </c>
      <c r="C27" t="s">
        <v>207</v>
      </c>
      <c r="D27" t="str">
        <f t="shared" si="0"/>
        <v>Sim</v>
      </c>
      <c r="F27" s="5"/>
    </row>
    <row r="28" spans="1:7" x14ac:dyDescent="0.25">
      <c r="A28"/>
      <c r="B28" t="s">
        <v>207</v>
      </c>
      <c r="C28" t="s">
        <v>207</v>
      </c>
      <c r="D28" t="str">
        <f t="shared" si="0"/>
        <v>Sim</v>
      </c>
      <c r="F28" s="5"/>
    </row>
    <row r="29" spans="1:7" x14ac:dyDescent="0.25">
      <c r="A29"/>
      <c r="B29" t="s">
        <v>208</v>
      </c>
      <c r="C29" t="s">
        <v>208</v>
      </c>
      <c r="D29" t="str">
        <f t="shared" si="0"/>
        <v>Sim</v>
      </c>
      <c r="F29" s="5"/>
    </row>
    <row r="30" spans="1:7" x14ac:dyDescent="0.25">
      <c r="A30"/>
      <c r="B30" t="s">
        <v>208</v>
      </c>
      <c r="C30" t="s">
        <v>208</v>
      </c>
      <c r="D30" t="str">
        <f t="shared" si="0"/>
        <v>Sim</v>
      </c>
      <c r="F30" s="5"/>
    </row>
    <row r="31" spans="1:7" x14ac:dyDescent="0.25">
      <c r="A31"/>
      <c r="B31" t="s">
        <v>205</v>
      </c>
      <c r="C31" t="s">
        <v>205</v>
      </c>
      <c r="D31" t="str">
        <f t="shared" si="0"/>
        <v>Sim</v>
      </c>
      <c r="F31" s="5"/>
    </row>
    <row r="32" spans="1:7" x14ac:dyDescent="0.25">
      <c r="A32"/>
      <c r="B32" t="s">
        <v>205</v>
      </c>
      <c r="C32" t="s">
        <v>205</v>
      </c>
      <c r="D32" t="str">
        <f t="shared" si="0"/>
        <v>Sim</v>
      </c>
      <c r="F32" s="5"/>
    </row>
    <row r="33" spans="1:6" x14ac:dyDescent="0.25">
      <c r="A33"/>
      <c r="B33" t="s">
        <v>205</v>
      </c>
      <c r="C33" t="s">
        <v>205</v>
      </c>
      <c r="D33" t="str">
        <f t="shared" si="0"/>
        <v>Sim</v>
      </c>
      <c r="F33" s="5"/>
    </row>
    <row r="34" spans="1:6" x14ac:dyDescent="0.25">
      <c r="A34"/>
      <c r="B34" t="s">
        <v>205</v>
      </c>
      <c r="C34" t="s">
        <v>205</v>
      </c>
      <c r="D34" t="str">
        <f t="shared" si="0"/>
        <v>Sim</v>
      </c>
      <c r="F34" s="5"/>
    </row>
    <row r="35" spans="1:6" x14ac:dyDescent="0.25">
      <c r="A35"/>
      <c r="B35" t="s">
        <v>348</v>
      </c>
      <c r="C35" t="s">
        <v>348</v>
      </c>
      <c r="D35" t="str">
        <f t="shared" si="0"/>
        <v>Sim</v>
      </c>
      <c r="F35" s="5"/>
    </row>
    <row r="36" spans="1:6" x14ac:dyDescent="0.25">
      <c r="A36"/>
      <c r="B36" t="s">
        <v>348</v>
      </c>
      <c r="C36" t="s">
        <v>348</v>
      </c>
      <c r="D36" t="str">
        <f t="shared" si="0"/>
        <v>Sim</v>
      </c>
      <c r="F36" s="5"/>
    </row>
    <row r="37" spans="1:6" x14ac:dyDescent="0.25">
      <c r="A37"/>
      <c r="B37" t="s">
        <v>348</v>
      </c>
      <c r="C37" t="s">
        <v>348</v>
      </c>
      <c r="D37" t="str">
        <f t="shared" si="0"/>
        <v>Sim</v>
      </c>
      <c r="F37" s="5"/>
    </row>
    <row r="38" spans="1:6" x14ac:dyDescent="0.25">
      <c r="A38"/>
      <c r="B38" t="s">
        <v>348</v>
      </c>
      <c r="C38" t="s">
        <v>348</v>
      </c>
      <c r="D38" t="str">
        <f t="shared" si="0"/>
        <v>Sim</v>
      </c>
      <c r="F38" s="5"/>
    </row>
    <row r="39" spans="1:6" x14ac:dyDescent="0.25">
      <c r="A39"/>
      <c r="B39" t="s">
        <v>339</v>
      </c>
      <c r="C39" t="s">
        <v>339</v>
      </c>
      <c r="D39" t="str">
        <f t="shared" si="0"/>
        <v>Sim</v>
      </c>
      <c r="F39" s="5"/>
    </row>
    <row r="40" spans="1:6" x14ac:dyDescent="0.25">
      <c r="A40"/>
      <c r="C40" t="s">
        <v>339</v>
      </c>
      <c r="D40" t="str">
        <f t="shared" si="0"/>
        <v>Não</v>
      </c>
      <c r="F40" s="5"/>
    </row>
    <row r="41" spans="1:6" x14ac:dyDescent="0.25">
      <c r="A41"/>
      <c r="B41" t="s">
        <v>338</v>
      </c>
      <c r="C41" t="s">
        <v>338</v>
      </c>
      <c r="D41" t="str">
        <f t="shared" si="0"/>
        <v>Sim</v>
      </c>
      <c r="F41" s="5"/>
    </row>
    <row r="42" spans="1:6" x14ac:dyDescent="0.25">
      <c r="A42"/>
      <c r="B42" t="s">
        <v>338</v>
      </c>
      <c r="C42" t="s">
        <v>338</v>
      </c>
      <c r="D42" t="str">
        <f t="shared" si="0"/>
        <v>Sim</v>
      </c>
      <c r="F42" s="5"/>
    </row>
    <row r="43" spans="1:6" x14ac:dyDescent="0.25">
      <c r="A43"/>
      <c r="B43" t="s">
        <v>338</v>
      </c>
      <c r="C43" t="s">
        <v>338</v>
      </c>
      <c r="D43" t="str">
        <f t="shared" si="0"/>
        <v>Sim</v>
      </c>
      <c r="F43" s="5"/>
    </row>
    <row r="44" spans="1:6" x14ac:dyDescent="0.25">
      <c r="A44"/>
      <c r="B44" t="s">
        <v>338</v>
      </c>
      <c r="C44" t="s">
        <v>338</v>
      </c>
      <c r="D44" t="str">
        <f t="shared" si="0"/>
        <v>Sim</v>
      </c>
      <c r="F44" s="5"/>
    </row>
    <row r="45" spans="1:6" x14ac:dyDescent="0.25">
      <c r="A45"/>
      <c r="B45" t="s">
        <v>337</v>
      </c>
      <c r="C45" t="s">
        <v>337</v>
      </c>
      <c r="D45" t="str">
        <f t="shared" si="0"/>
        <v>Sim</v>
      </c>
      <c r="F45" s="5"/>
    </row>
    <row r="46" spans="1:6" x14ac:dyDescent="0.25">
      <c r="A46"/>
      <c r="B46" t="s">
        <v>337</v>
      </c>
      <c r="C46" t="s">
        <v>337</v>
      </c>
      <c r="D46" t="str">
        <f t="shared" si="0"/>
        <v>Sim</v>
      </c>
      <c r="F46" s="5"/>
    </row>
    <row r="47" spans="1:6" x14ac:dyDescent="0.25">
      <c r="A47"/>
      <c r="B47" t="s">
        <v>337</v>
      </c>
      <c r="C47" t="s">
        <v>337</v>
      </c>
      <c r="D47" t="str">
        <f t="shared" si="0"/>
        <v>Sim</v>
      </c>
      <c r="F47" s="5"/>
    </row>
    <row r="48" spans="1:6" x14ac:dyDescent="0.25">
      <c r="A48"/>
      <c r="B48" t="s">
        <v>337</v>
      </c>
      <c r="C48" t="s">
        <v>337</v>
      </c>
      <c r="D48" t="str">
        <f t="shared" si="0"/>
        <v>Sim</v>
      </c>
      <c r="F48" s="5"/>
    </row>
    <row r="49" spans="1:6" x14ac:dyDescent="0.25">
      <c r="A49"/>
      <c r="B49" t="s">
        <v>336</v>
      </c>
      <c r="C49" t="s">
        <v>336</v>
      </c>
      <c r="D49" t="str">
        <f t="shared" si="0"/>
        <v>Sim</v>
      </c>
      <c r="F49" s="5"/>
    </row>
    <row r="50" spans="1:6" x14ac:dyDescent="0.25">
      <c r="A50"/>
      <c r="B50" t="s">
        <v>336</v>
      </c>
      <c r="C50" t="s">
        <v>336</v>
      </c>
      <c r="D50" t="str">
        <f t="shared" si="0"/>
        <v>Sim</v>
      </c>
      <c r="F50" s="5"/>
    </row>
    <row r="51" spans="1:6" x14ac:dyDescent="0.25">
      <c r="A51"/>
      <c r="B51" t="s">
        <v>336</v>
      </c>
      <c r="C51" t="s">
        <v>336</v>
      </c>
      <c r="D51" t="str">
        <f t="shared" si="0"/>
        <v>Sim</v>
      </c>
      <c r="F51" s="5"/>
    </row>
    <row r="52" spans="1:6" x14ac:dyDescent="0.25">
      <c r="A52"/>
      <c r="B52" t="s">
        <v>336</v>
      </c>
      <c r="C52" t="s">
        <v>336</v>
      </c>
      <c r="D52" t="str">
        <f t="shared" si="0"/>
        <v>Sim</v>
      </c>
      <c r="F52" s="5"/>
    </row>
    <row r="53" spans="1:6" x14ac:dyDescent="0.25">
      <c r="A53"/>
      <c r="B53" t="s">
        <v>335</v>
      </c>
      <c r="C53" t="s">
        <v>335</v>
      </c>
      <c r="D53" t="str">
        <f t="shared" si="0"/>
        <v>Sim</v>
      </c>
      <c r="F53" s="5"/>
    </row>
    <row r="54" spans="1:6" x14ac:dyDescent="0.25">
      <c r="A54"/>
      <c r="B54" t="s">
        <v>335</v>
      </c>
      <c r="C54" t="s">
        <v>335</v>
      </c>
      <c r="D54" t="str">
        <f t="shared" si="0"/>
        <v>Sim</v>
      </c>
      <c r="F54" s="5"/>
    </row>
    <row r="55" spans="1:6" x14ac:dyDescent="0.25">
      <c r="A55"/>
      <c r="B55" t="s">
        <v>335</v>
      </c>
      <c r="C55" t="s">
        <v>335</v>
      </c>
      <c r="D55" t="str">
        <f t="shared" si="0"/>
        <v>Sim</v>
      </c>
      <c r="F55" s="5"/>
    </row>
    <row r="56" spans="1:6" x14ac:dyDescent="0.25">
      <c r="A56"/>
      <c r="B56" t="s">
        <v>349</v>
      </c>
      <c r="C56" t="s">
        <v>335</v>
      </c>
      <c r="D56" t="str">
        <f t="shared" si="0"/>
        <v>Não</v>
      </c>
      <c r="F56" s="5"/>
    </row>
    <row r="57" spans="1:6" x14ac:dyDescent="0.25">
      <c r="A57"/>
      <c r="B57" t="s">
        <v>47</v>
      </c>
      <c r="C57" t="s">
        <v>47</v>
      </c>
      <c r="D57" t="str">
        <f t="shared" si="0"/>
        <v>Sim</v>
      </c>
      <c r="F57" s="5"/>
    </row>
    <row r="58" spans="1:6" x14ac:dyDescent="0.25">
      <c r="A58"/>
      <c r="B58" t="s">
        <v>47</v>
      </c>
      <c r="C58" t="s">
        <v>47</v>
      </c>
      <c r="D58" t="str">
        <f t="shared" si="0"/>
        <v>Sim</v>
      </c>
      <c r="F58" s="5"/>
    </row>
    <row r="59" spans="1:6" x14ac:dyDescent="0.25">
      <c r="A59"/>
      <c r="B59" t="s">
        <v>47</v>
      </c>
      <c r="C59" t="s">
        <v>47</v>
      </c>
      <c r="D59" t="str">
        <f t="shared" si="0"/>
        <v>Sim</v>
      </c>
      <c r="F59" s="5"/>
    </row>
    <row r="60" spans="1:6" x14ac:dyDescent="0.25">
      <c r="A60"/>
      <c r="B60" t="s">
        <v>47</v>
      </c>
      <c r="C60" t="s">
        <v>47</v>
      </c>
      <c r="D60" t="str">
        <f t="shared" si="0"/>
        <v>Sim</v>
      </c>
      <c r="F60" s="5"/>
    </row>
    <row r="61" spans="1:6" x14ac:dyDescent="0.25">
      <c r="A61"/>
      <c r="B61" t="s">
        <v>349</v>
      </c>
      <c r="D61" t="str">
        <f t="shared" si="0"/>
        <v>Não</v>
      </c>
      <c r="F61" s="5"/>
    </row>
    <row r="62" spans="1:6" x14ac:dyDescent="0.25">
      <c r="A62"/>
      <c r="B62" t="s">
        <v>349</v>
      </c>
      <c r="D62" t="str">
        <f t="shared" si="0"/>
        <v>Não</v>
      </c>
      <c r="F62" s="5"/>
    </row>
    <row r="63" spans="1:6" x14ac:dyDescent="0.25">
      <c r="A63" t="s">
        <v>34</v>
      </c>
      <c r="B63" t="s">
        <v>341</v>
      </c>
      <c r="C63" t="s">
        <v>341</v>
      </c>
      <c r="D63" t="str">
        <f t="shared" si="0"/>
        <v>Sim</v>
      </c>
      <c r="F63" s="5"/>
    </row>
    <row r="64" spans="1:6" x14ac:dyDescent="0.25">
      <c r="A64" t="s">
        <v>34</v>
      </c>
      <c r="C64" t="s">
        <v>341</v>
      </c>
      <c r="D64" t="str">
        <f t="shared" si="0"/>
        <v>Não</v>
      </c>
      <c r="F64" s="5"/>
    </row>
    <row r="65" spans="1:6" x14ac:dyDescent="0.25">
      <c r="A65" t="s">
        <v>34</v>
      </c>
      <c r="B65" t="s">
        <v>343</v>
      </c>
      <c r="C65" t="s">
        <v>340</v>
      </c>
      <c r="D65" t="str">
        <f t="shared" si="0"/>
        <v>Não</v>
      </c>
      <c r="F65"/>
    </row>
    <row r="66" spans="1:6" x14ac:dyDescent="0.25">
      <c r="A66" t="s">
        <v>34</v>
      </c>
      <c r="B66" t="s">
        <v>343</v>
      </c>
      <c r="C66" t="s">
        <v>340</v>
      </c>
      <c r="D66" t="str">
        <f t="shared" si="0"/>
        <v>Não</v>
      </c>
      <c r="F66"/>
    </row>
    <row r="67" spans="1:6" x14ac:dyDescent="0.25">
      <c r="A67" t="s">
        <v>34</v>
      </c>
      <c r="B67" t="s">
        <v>344</v>
      </c>
      <c r="C67" t="s">
        <v>153</v>
      </c>
      <c r="D67" t="str">
        <f t="shared" ref="D67:D77" si="2">IF(B67=C67, "Sim", "Não")</f>
        <v>Não</v>
      </c>
      <c r="F67"/>
    </row>
    <row r="68" spans="1:6" x14ac:dyDescent="0.25">
      <c r="A68" t="s">
        <v>34</v>
      </c>
      <c r="B68" t="s">
        <v>344</v>
      </c>
      <c r="C68" t="s">
        <v>153</v>
      </c>
      <c r="D68" t="str">
        <f t="shared" si="2"/>
        <v>Não</v>
      </c>
      <c r="F68"/>
    </row>
    <row r="69" spans="1:6" x14ac:dyDescent="0.25">
      <c r="A69" t="s">
        <v>34</v>
      </c>
      <c r="C69" t="s">
        <v>153</v>
      </c>
      <c r="D69" t="str">
        <f t="shared" si="2"/>
        <v>Não</v>
      </c>
      <c r="F69" s="5"/>
    </row>
    <row r="70" spans="1:6" x14ac:dyDescent="0.25">
      <c r="A70" t="s">
        <v>34</v>
      </c>
      <c r="C70" t="s">
        <v>153</v>
      </c>
      <c r="D70" t="str">
        <f t="shared" si="2"/>
        <v>Não</v>
      </c>
      <c r="F70" s="5"/>
    </row>
    <row r="71" spans="1:6" x14ac:dyDescent="0.25">
      <c r="A71" t="s">
        <v>34</v>
      </c>
      <c r="B71" t="s">
        <v>342</v>
      </c>
      <c r="C71" t="s">
        <v>342</v>
      </c>
      <c r="D71" t="str">
        <f t="shared" si="2"/>
        <v>Sim</v>
      </c>
      <c r="F71" s="5"/>
    </row>
    <row r="72" spans="1:6" x14ac:dyDescent="0.25">
      <c r="A72" t="s">
        <v>34</v>
      </c>
      <c r="B72" t="s">
        <v>342</v>
      </c>
      <c r="C72" t="s">
        <v>342</v>
      </c>
      <c r="D72" t="str">
        <f t="shared" si="2"/>
        <v>Sim</v>
      </c>
      <c r="F72"/>
    </row>
    <row r="73" spans="1:6" x14ac:dyDescent="0.25">
      <c r="A73" t="s">
        <v>34</v>
      </c>
      <c r="C73" t="s">
        <v>144</v>
      </c>
      <c r="D73" t="str">
        <f t="shared" si="2"/>
        <v>Não</v>
      </c>
      <c r="F73"/>
    </row>
    <row r="74" spans="1:6" x14ac:dyDescent="0.25">
      <c r="A74" t="s">
        <v>34</v>
      </c>
      <c r="C74" t="s">
        <v>144</v>
      </c>
      <c r="D74" t="str">
        <f t="shared" si="2"/>
        <v>Não</v>
      </c>
      <c r="F74"/>
    </row>
    <row r="75" spans="1:6" x14ac:dyDescent="0.25">
      <c r="A75" t="s">
        <v>34</v>
      </c>
      <c r="C75" t="s">
        <v>275</v>
      </c>
      <c r="D75" t="str">
        <f t="shared" si="2"/>
        <v>Não</v>
      </c>
      <c r="F75"/>
    </row>
    <row r="76" spans="1:6" x14ac:dyDescent="0.25">
      <c r="A76" t="s">
        <v>34</v>
      </c>
      <c r="C76" t="s">
        <v>275</v>
      </c>
      <c r="D76" t="str">
        <f t="shared" si="2"/>
        <v>Não</v>
      </c>
      <c r="F76"/>
    </row>
    <row r="77" spans="1:6" x14ac:dyDescent="0.25">
      <c r="A77" t="s">
        <v>34</v>
      </c>
      <c r="C77" t="s">
        <v>275</v>
      </c>
      <c r="D77" t="str">
        <f t="shared" si="2"/>
        <v>Não</v>
      </c>
      <c r="F77"/>
    </row>
    <row r="78" spans="1:6" x14ac:dyDescent="0.25">
      <c r="A78"/>
      <c r="F78"/>
    </row>
    <row r="79" spans="1:6" x14ac:dyDescent="0.25">
      <c r="A79"/>
      <c r="F79"/>
    </row>
    <row r="80" spans="1:6" x14ac:dyDescent="0.25">
      <c r="A80"/>
      <c r="F80" s="5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1067-ECAE-4AB6-AC5F-8BDA4F7B3AC3}">
  <dimension ref="A1:G98"/>
  <sheetViews>
    <sheetView workbookViewId="0">
      <selection activeCell="C18" sqref="C18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9" t="s">
        <v>65</v>
      </c>
      <c r="B1" s="19"/>
      <c r="C1" s="19"/>
      <c r="D1" s="19"/>
      <c r="E1" s="19"/>
      <c r="F1" s="19"/>
      <c r="G1" s="19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B3" t="s">
        <v>51</v>
      </c>
      <c r="C3" t="s">
        <v>51</v>
      </c>
      <c r="D3" t="str">
        <f t="shared" ref="D3:D29" si="0">IF(B3=C3, "Sim", "Não")</f>
        <v>Sim</v>
      </c>
      <c r="F3" s="4" t="s">
        <v>10</v>
      </c>
      <c r="G3" s="3">
        <f>COUNTIF(D3:D103,"Não")</f>
        <v>27</v>
      </c>
    </row>
    <row r="4" spans="1:7" x14ac:dyDescent="0.25">
      <c r="A4" t="s">
        <v>1</v>
      </c>
      <c r="C4" t="s">
        <v>51</v>
      </c>
      <c r="D4" t="str">
        <f t="shared" si="0"/>
        <v>Não</v>
      </c>
      <c r="F4" s="4" t="s">
        <v>11</v>
      </c>
      <c r="G4" s="3">
        <f>SUM(G7:G24)</f>
        <v>75</v>
      </c>
    </row>
    <row r="5" spans="1:7" x14ac:dyDescent="0.25">
      <c r="A5" t="s">
        <v>1</v>
      </c>
      <c r="C5" t="s">
        <v>51</v>
      </c>
      <c r="D5" t="str">
        <f t="shared" si="0"/>
        <v>Não</v>
      </c>
    </row>
    <row r="6" spans="1:7" x14ac:dyDescent="0.25">
      <c r="A6" t="s">
        <v>1</v>
      </c>
      <c r="B6" t="s">
        <v>56</v>
      </c>
      <c r="C6" t="s">
        <v>56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B7" t="s">
        <v>56</v>
      </c>
      <c r="C7" t="s">
        <v>56</v>
      </c>
      <c r="D7" t="str">
        <f t="shared" si="0"/>
        <v>Sim</v>
      </c>
      <c r="F7" s="7" t="s">
        <v>1</v>
      </c>
      <c r="G7" s="2">
        <f t="shared" ref="G7:G12" si="1">COUNTIF(A:A,F7)</f>
        <v>22</v>
      </c>
    </row>
    <row r="8" spans="1:7" x14ac:dyDescent="0.25">
      <c r="A8" t="s">
        <v>1</v>
      </c>
      <c r="B8" t="s">
        <v>56</v>
      </c>
      <c r="C8" t="s">
        <v>56</v>
      </c>
      <c r="D8" t="str">
        <f t="shared" si="0"/>
        <v>Sim</v>
      </c>
      <c r="F8" s="7" t="s">
        <v>43</v>
      </c>
      <c r="G8" s="2">
        <f t="shared" si="1"/>
        <v>16</v>
      </c>
    </row>
    <row r="9" spans="1:7" x14ac:dyDescent="0.25">
      <c r="A9" t="s">
        <v>1</v>
      </c>
      <c r="B9" t="s">
        <v>56</v>
      </c>
      <c r="C9" t="s">
        <v>56</v>
      </c>
      <c r="D9" t="str">
        <f t="shared" si="0"/>
        <v>Sim</v>
      </c>
      <c r="F9" s="7" t="s">
        <v>5</v>
      </c>
      <c r="G9" s="2">
        <f t="shared" si="1"/>
        <v>7</v>
      </c>
    </row>
    <row r="10" spans="1:7" x14ac:dyDescent="0.25">
      <c r="A10" t="s">
        <v>1</v>
      </c>
      <c r="C10" t="s">
        <v>53</v>
      </c>
      <c r="D10" t="str">
        <f t="shared" si="0"/>
        <v>Não</v>
      </c>
      <c r="F10" s="7" t="s">
        <v>4</v>
      </c>
      <c r="G10" s="2">
        <f t="shared" si="1"/>
        <v>8</v>
      </c>
    </row>
    <row r="11" spans="1:7" x14ac:dyDescent="0.25">
      <c r="A11" t="s">
        <v>1</v>
      </c>
      <c r="C11" t="s">
        <v>53</v>
      </c>
      <c r="D11" t="str">
        <f t="shared" si="0"/>
        <v>Não</v>
      </c>
      <c r="F11" s="7" t="s">
        <v>42</v>
      </c>
      <c r="G11" s="2">
        <f t="shared" si="1"/>
        <v>7</v>
      </c>
    </row>
    <row r="12" spans="1:7" x14ac:dyDescent="0.25">
      <c r="A12" t="s">
        <v>1</v>
      </c>
      <c r="C12" t="s">
        <v>59</v>
      </c>
      <c r="D12" t="str">
        <f t="shared" si="0"/>
        <v>Não</v>
      </c>
      <c r="F12" s="7" t="s">
        <v>34</v>
      </c>
      <c r="G12" s="2">
        <f t="shared" si="1"/>
        <v>15</v>
      </c>
    </row>
    <row r="13" spans="1:7" x14ac:dyDescent="0.25">
      <c r="A13" t="s">
        <v>1</v>
      </c>
      <c r="C13" t="s">
        <v>59</v>
      </c>
      <c r="D13" t="str">
        <f t="shared" si="0"/>
        <v>Não</v>
      </c>
      <c r="F13" s="7"/>
      <c r="G13" s="2"/>
    </row>
    <row r="14" spans="1:7" x14ac:dyDescent="0.25">
      <c r="A14" t="s">
        <v>1</v>
      </c>
      <c r="C14" t="s">
        <v>54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55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60</v>
      </c>
      <c r="D16" t="str">
        <f t="shared" si="0"/>
        <v>Não</v>
      </c>
      <c r="F16" s="4"/>
      <c r="G16" s="2"/>
    </row>
    <row r="17" spans="1:7" x14ac:dyDescent="0.25">
      <c r="A17" t="s">
        <v>1</v>
      </c>
      <c r="C17" t="s">
        <v>60</v>
      </c>
      <c r="D17" t="str">
        <f t="shared" si="0"/>
        <v>Não</v>
      </c>
      <c r="G17" s="2"/>
    </row>
    <row r="18" spans="1:7" x14ac:dyDescent="0.25">
      <c r="A18" t="s">
        <v>1</v>
      </c>
      <c r="C18" t="s">
        <v>61</v>
      </c>
      <c r="D18" t="str">
        <f t="shared" si="0"/>
        <v>Não</v>
      </c>
      <c r="G18" s="2"/>
    </row>
    <row r="19" spans="1:7" x14ac:dyDescent="0.25">
      <c r="A19" t="s">
        <v>1</v>
      </c>
      <c r="C19" t="s">
        <v>61</v>
      </c>
      <c r="D19" t="str">
        <f t="shared" si="0"/>
        <v>Não</v>
      </c>
      <c r="G19" s="2"/>
    </row>
    <row r="20" spans="1:7" x14ac:dyDescent="0.25">
      <c r="A20" t="s">
        <v>1</v>
      </c>
      <c r="C20" t="s">
        <v>62</v>
      </c>
      <c r="D20" t="str">
        <f t="shared" si="0"/>
        <v>Não</v>
      </c>
      <c r="G20" s="2"/>
    </row>
    <row r="21" spans="1:7" x14ac:dyDescent="0.25">
      <c r="A21" t="s">
        <v>1</v>
      </c>
      <c r="B21" t="s">
        <v>6</v>
      </c>
      <c r="C21" t="s">
        <v>6</v>
      </c>
      <c r="D21" t="str">
        <f t="shared" si="0"/>
        <v>Sim</v>
      </c>
    </row>
    <row r="22" spans="1:7" x14ac:dyDescent="0.25">
      <c r="A22" t="s">
        <v>1</v>
      </c>
      <c r="B22" t="s">
        <v>12</v>
      </c>
      <c r="C22" t="s">
        <v>12</v>
      </c>
      <c r="D22" t="str">
        <f t="shared" si="0"/>
        <v>Sim</v>
      </c>
    </row>
    <row r="23" spans="1:7" x14ac:dyDescent="0.25">
      <c r="A23" t="s">
        <v>1</v>
      </c>
      <c r="B23" t="s">
        <v>13</v>
      </c>
      <c r="C23" t="s">
        <v>13</v>
      </c>
      <c r="D23" t="str">
        <f t="shared" si="0"/>
        <v>Sim</v>
      </c>
    </row>
    <row r="24" spans="1:7" x14ac:dyDescent="0.25">
      <c r="A24" t="s">
        <v>1</v>
      </c>
      <c r="B24" t="s">
        <v>13</v>
      </c>
      <c r="C24" t="s">
        <v>13</v>
      </c>
      <c r="D24" t="str">
        <f t="shared" si="0"/>
        <v>Sim</v>
      </c>
    </row>
    <row r="25" spans="1:7" x14ac:dyDescent="0.25">
      <c r="A25" t="s">
        <v>43</v>
      </c>
      <c r="B25" t="s">
        <v>44</v>
      </c>
      <c r="C25" t="s">
        <v>44</v>
      </c>
      <c r="D25" t="str">
        <f t="shared" si="0"/>
        <v>Sim</v>
      </c>
    </row>
    <row r="26" spans="1:7" x14ac:dyDescent="0.25">
      <c r="A26" t="s">
        <v>43</v>
      </c>
      <c r="B26" t="s">
        <v>44</v>
      </c>
      <c r="C26" t="s">
        <v>44</v>
      </c>
      <c r="D26" t="str">
        <f t="shared" si="0"/>
        <v>Sim</v>
      </c>
    </row>
    <row r="27" spans="1:7" x14ac:dyDescent="0.25">
      <c r="A27" t="s">
        <v>43</v>
      </c>
      <c r="B27" t="s">
        <v>44</v>
      </c>
      <c r="C27" t="s">
        <v>44</v>
      </c>
      <c r="D27" t="str">
        <f t="shared" si="0"/>
        <v>Sim</v>
      </c>
    </row>
    <row r="28" spans="1:7" x14ac:dyDescent="0.25">
      <c r="A28" t="s">
        <v>43</v>
      </c>
      <c r="B28" t="s">
        <v>44</v>
      </c>
      <c r="C28" t="s">
        <v>44</v>
      </c>
      <c r="D28" t="str">
        <f t="shared" si="0"/>
        <v>Sim</v>
      </c>
    </row>
    <row r="29" spans="1:7" x14ac:dyDescent="0.25">
      <c r="A29" t="s">
        <v>43</v>
      </c>
      <c r="B29" t="s">
        <v>45</v>
      </c>
      <c r="C29" t="s">
        <v>45</v>
      </c>
      <c r="D29" t="str">
        <f t="shared" si="0"/>
        <v>Sim</v>
      </c>
    </row>
    <row r="30" spans="1:7" x14ac:dyDescent="0.25">
      <c r="A30" t="s">
        <v>43</v>
      </c>
      <c r="B30" t="s">
        <v>45</v>
      </c>
      <c r="C30" t="s">
        <v>45</v>
      </c>
      <c r="D30" t="str">
        <f t="shared" ref="D30:D31" si="2">IF(B30=C30, "Sim", "Não")</f>
        <v>Sim</v>
      </c>
    </row>
    <row r="31" spans="1:7" x14ac:dyDescent="0.25">
      <c r="A31" t="s">
        <v>43</v>
      </c>
      <c r="B31" t="s">
        <v>45</v>
      </c>
      <c r="C31" t="s">
        <v>45</v>
      </c>
      <c r="D31" t="str">
        <f t="shared" si="2"/>
        <v>Sim</v>
      </c>
    </row>
    <row r="32" spans="1:7" x14ac:dyDescent="0.25">
      <c r="A32" t="s">
        <v>43</v>
      </c>
      <c r="B32" t="s">
        <v>45</v>
      </c>
      <c r="C32" t="s">
        <v>45</v>
      </c>
      <c r="D32" t="str">
        <f t="shared" ref="D32:D77" si="3">IF(B32=C32, "Sim", "Não")</f>
        <v>Sim</v>
      </c>
    </row>
    <row r="33" spans="1:4" x14ac:dyDescent="0.25">
      <c r="A33" t="s">
        <v>43</v>
      </c>
      <c r="B33" t="s">
        <v>48</v>
      </c>
      <c r="C33" t="s">
        <v>48</v>
      </c>
      <c r="D33" t="str">
        <f t="shared" si="3"/>
        <v>Sim</v>
      </c>
    </row>
    <row r="34" spans="1:4" x14ac:dyDescent="0.25">
      <c r="A34" t="s">
        <v>43</v>
      </c>
      <c r="B34" t="s">
        <v>48</v>
      </c>
      <c r="C34" t="s">
        <v>48</v>
      </c>
      <c r="D34" t="str">
        <f t="shared" si="3"/>
        <v>Sim</v>
      </c>
    </row>
    <row r="35" spans="1:4" x14ac:dyDescent="0.25">
      <c r="A35" t="s">
        <v>43</v>
      </c>
      <c r="B35" t="s">
        <v>48</v>
      </c>
      <c r="C35" t="s">
        <v>48</v>
      </c>
      <c r="D35" t="str">
        <f t="shared" si="3"/>
        <v>Sim</v>
      </c>
    </row>
    <row r="36" spans="1:4" x14ac:dyDescent="0.25">
      <c r="A36" t="s">
        <v>43</v>
      </c>
      <c r="B36" t="s">
        <v>48</v>
      </c>
      <c r="C36" t="s">
        <v>48</v>
      </c>
      <c r="D36" t="str">
        <f t="shared" si="3"/>
        <v>Sim</v>
      </c>
    </row>
    <row r="37" spans="1:4" x14ac:dyDescent="0.25">
      <c r="A37" t="s">
        <v>43</v>
      </c>
      <c r="C37" t="s">
        <v>58</v>
      </c>
      <c r="D37" t="str">
        <f t="shared" si="3"/>
        <v>Não</v>
      </c>
    </row>
    <row r="38" spans="1:4" x14ac:dyDescent="0.25">
      <c r="A38" t="s">
        <v>43</v>
      </c>
      <c r="C38" t="s">
        <v>58</v>
      </c>
      <c r="D38" t="str">
        <f t="shared" si="3"/>
        <v>Não</v>
      </c>
    </row>
    <row r="39" spans="1:4" x14ac:dyDescent="0.25">
      <c r="A39" t="s">
        <v>43</v>
      </c>
      <c r="C39" t="s">
        <v>58</v>
      </c>
      <c r="D39" t="str">
        <f t="shared" si="3"/>
        <v>Não</v>
      </c>
    </row>
    <row r="40" spans="1:4" x14ac:dyDescent="0.25">
      <c r="A40" t="s">
        <v>43</v>
      </c>
      <c r="C40" t="s">
        <v>58</v>
      </c>
      <c r="D40" t="str">
        <f t="shared" si="3"/>
        <v>Não</v>
      </c>
    </row>
    <row r="41" spans="1:4" x14ac:dyDescent="0.25">
      <c r="A41" t="s">
        <v>42</v>
      </c>
      <c r="B41" t="s">
        <v>50</v>
      </c>
      <c r="C41" t="s">
        <v>50</v>
      </c>
      <c r="D41" t="str">
        <f t="shared" si="3"/>
        <v>Sim</v>
      </c>
    </row>
    <row r="42" spans="1:4" x14ac:dyDescent="0.25">
      <c r="A42" t="s">
        <v>42</v>
      </c>
      <c r="B42" t="s">
        <v>50</v>
      </c>
      <c r="C42" t="s">
        <v>50</v>
      </c>
      <c r="D42" t="str">
        <f t="shared" si="3"/>
        <v>Sim</v>
      </c>
    </row>
    <row r="43" spans="1:4" x14ac:dyDescent="0.25">
      <c r="A43" t="s">
        <v>42</v>
      </c>
      <c r="B43" t="s">
        <v>50</v>
      </c>
      <c r="C43" t="s">
        <v>50</v>
      </c>
      <c r="D43" t="str">
        <f t="shared" si="3"/>
        <v>Sim</v>
      </c>
    </row>
    <row r="44" spans="1:4" x14ac:dyDescent="0.25">
      <c r="A44" t="s">
        <v>42</v>
      </c>
      <c r="B44" t="s">
        <v>50</v>
      </c>
      <c r="C44" t="s">
        <v>50</v>
      </c>
      <c r="D44" t="str">
        <f t="shared" si="3"/>
        <v>Sim</v>
      </c>
    </row>
    <row r="45" spans="1:4" x14ac:dyDescent="0.25">
      <c r="A45" t="s">
        <v>42</v>
      </c>
      <c r="C45" t="s">
        <v>66</v>
      </c>
      <c r="D45" t="str">
        <f t="shared" si="3"/>
        <v>Não</v>
      </c>
    </row>
    <row r="46" spans="1:4" x14ac:dyDescent="0.25">
      <c r="A46" t="s">
        <v>42</v>
      </c>
      <c r="C46" t="s">
        <v>66</v>
      </c>
      <c r="D46" t="str">
        <f t="shared" si="3"/>
        <v>Não</v>
      </c>
    </row>
    <row r="47" spans="1:4" x14ac:dyDescent="0.25">
      <c r="A47" t="s">
        <v>42</v>
      </c>
      <c r="C47" t="s">
        <v>66</v>
      </c>
      <c r="D47" t="str">
        <f t="shared" si="3"/>
        <v>Não</v>
      </c>
    </row>
    <row r="48" spans="1:4" x14ac:dyDescent="0.25">
      <c r="A48" t="s">
        <v>5</v>
      </c>
      <c r="B48" t="s">
        <v>46</v>
      </c>
      <c r="C48" t="s">
        <v>46</v>
      </c>
      <c r="D48" t="str">
        <f t="shared" si="3"/>
        <v>Sim</v>
      </c>
    </row>
    <row r="49" spans="1:4" x14ac:dyDescent="0.25">
      <c r="A49" t="s">
        <v>5</v>
      </c>
      <c r="B49" t="s">
        <v>46</v>
      </c>
      <c r="C49" t="s">
        <v>46</v>
      </c>
      <c r="D49" t="str">
        <f t="shared" si="3"/>
        <v>Sim</v>
      </c>
    </row>
    <row r="50" spans="1:4" x14ac:dyDescent="0.25">
      <c r="A50" t="s">
        <v>5</v>
      </c>
      <c r="B50" t="s">
        <v>46</v>
      </c>
      <c r="C50" t="s">
        <v>46</v>
      </c>
      <c r="D50" t="str">
        <f t="shared" si="3"/>
        <v>Sim</v>
      </c>
    </row>
    <row r="51" spans="1:4" x14ac:dyDescent="0.25">
      <c r="A51" t="s">
        <v>5</v>
      </c>
      <c r="B51" t="s">
        <v>71</v>
      </c>
      <c r="C51" t="s">
        <v>71</v>
      </c>
      <c r="D51" t="str">
        <f t="shared" si="3"/>
        <v>Sim</v>
      </c>
    </row>
    <row r="52" spans="1:4" x14ac:dyDescent="0.25">
      <c r="A52" t="s">
        <v>5</v>
      </c>
      <c r="B52" t="s">
        <v>71</v>
      </c>
      <c r="C52" t="s">
        <v>71</v>
      </c>
      <c r="D52" t="str">
        <f t="shared" si="3"/>
        <v>Sim</v>
      </c>
    </row>
    <row r="53" spans="1:4" x14ac:dyDescent="0.25">
      <c r="A53" t="s">
        <v>5</v>
      </c>
      <c r="B53" t="s">
        <v>71</v>
      </c>
      <c r="C53" t="s">
        <v>71</v>
      </c>
      <c r="D53" t="str">
        <f t="shared" si="3"/>
        <v>Sim</v>
      </c>
    </row>
    <row r="54" spans="1:4" x14ac:dyDescent="0.25">
      <c r="A54" t="s">
        <v>5</v>
      </c>
      <c r="B54" t="s">
        <v>71</v>
      </c>
      <c r="C54" t="s">
        <v>71</v>
      </c>
      <c r="D54" t="str">
        <f t="shared" si="3"/>
        <v>Sim</v>
      </c>
    </row>
    <row r="55" spans="1:4" x14ac:dyDescent="0.25">
      <c r="A55" t="s">
        <v>4</v>
      </c>
      <c r="B55" t="s">
        <v>47</v>
      </c>
      <c r="C55" t="s">
        <v>47</v>
      </c>
      <c r="D55" t="str">
        <f t="shared" si="3"/>
        <v>Sim</v>
      </c>
    </row>
    <row r="56" spans="1:4" x14ac:dyDescent="0.25">
      <c r="A56" t="s">
        <v>4</v>
      </c>
      <c r="B56" t="s">
        <v>47</v>
      </c>
      <c r="C56" t="s">
        <v>47</v>
      </c>
      <c r="D56" t="str">
        <f t="shared" si="3"/>
        <v>Sim</v>
      </c>
    </row>
    <row r="57" spans="1:4" x14ac:dyDescent="0.25">
      <c r="A57" t="s">
        <v>4</v>
      </c>
      <c r="B57" t="s">
        <v>47</v>
      </c>
      <c r="C57" t="s">
        <v>47</v>
      </c>
      <c r="D57" t="str">
        <f t="shared" si="3"/>
        <v>Sim</v>
      </c>
    </row>
    <row r="58" spans="1:4" x14ac:dyDescent="0.25">
      <c r="A58" t="s">
        <v>4</v>
      </c>
      <c r="B58" t="s">
        <v>47</v>
      </c>
      <c r="C58" t="s">
        <v>47</v>
      </c>
      <c r="D58" t="str">
        <f t="shared" si="3"/>
        <v>Sim</v>
      </c>
    </row>
    <row r="59" spans="1:4" x14ac:dyDescent="0.25">
      <c r="A59" t="s">
        <v>4</v>
      </c>
      <c r="B59" t="s">
        <v>49</v>
      </c>
      <c r="C59" t="s">
        <v>49</v>
      </c>
      <c r="D59" t="str">
        <f t="shared" si="3"/>
        <v>Sim</v>
      </c>
    </row>
    <row r="60" spans="1:4" x14ac:dyDescent="0.25">
      <c r="A60" t="s">
        <v>4</v>
      </c>
      <c r="B60" t="s">
        <v>49</v>
      </c>
      <c r="C60" t="s">
        <v>49</v>
      </c>
      <c r="D60" t="str">
        <f t="shared" si="3"/>
        <v>Sim</v>
      </c>
    </row>
    <row r="61" spans="1:4" x14ac:dyDescent="0.25">
      <c r="A61" t="s">
        <v>4</v>
      </c>
      <c r="B61" t="s">
        <v>49</v>
      </c>
      <c r="C61" t="s">
        <v>49</v>
      </c>
      <c r="D61" t="str">
        <f t="shared" si="3"/>
        <v>Sim</v>
      </c>
    </row>
    <row r="62" spans="1:4" x14ac:dyDescent="0.25">
      <c r="A62" t="s">
        <v>4</v>
      </c>
      <c r="B62" t="s">
        <v>49</v>
      </c>
      <c r="C62" t="s">
        <v>49</v>
      </c>
      <c r="D62" t="str">
        <f t="shared" si="3"/>
        <v>Sim</v>
      </c>
    </row>
    <row r="63" spans="1:4" x14ac:dyDescent="0.25">
      <c r="A63" t="s">
        <v>34</v>
      </c>
      <c r="C63" t="s">
        <v>66</v>
      </c>
      <c r="D63" t="str">
        <f t="shared" si="3"/>
        <v>Não</v>
      </c>
    </row>
    <row r="64" spans="1:4" x14ac:dyDescent="0.25">
      <c r="A64" t="s">
        <v>34</v>
      </c>
      <c r="B64" t="s">
        <v>70</v>
      </c>
      <c r="C64" t="s">
        <v>70</v>
      </c>
      <c r="D64" t="str">
        <f t="shared" si="3"/>
        <v>Sim</v>
      </c>
    </row>
    <row r="65" spans="1:6" x14ac:dyDescent="0.25">
      <c r="A65" t="s">
        <v>34</v>
      </c>
      <c r="B65" t="s">
        <v>70</v>
      </c>
      <c r="C65" t="s">
        <v>70</v>
      </c>
      <c r="D65" t="str">
        <f t="shared" si="3"/>
        <v>Sim</v>
      </c>
    </row>
    <row r="66" spans="1:6" x14ac:dyDescent="0.25">
      <c r="A66" t="s">
        <v>34</v>
      </c>
      <c r="B66" t="s">
        <v>70</v>
      </c>
      <c r="C66" t="s">
        <v>70</v>
      </c>
      <c r="D66" t="str">
        <f t="shared" si="3"/>
        <v>Sim</v>
      </c>
    </row>
    <row r="67" spans="1:6" x14ac:dyDescent="0.25">
      <c r="A67" t="s">
        <v>34</v>
      </c>
      <c r="B67" t="s">
        <v>70</v>
      </c>
      <c r="C67" t="s">
        <v>70</v>
      </c>
      <c r="D67" t="str">
        <f t="shared" si="3"/>
        <v>Sim</v>
      </c>
    </row>
    <row r="68" spans="1:6" x14ac:dyDescent="0.25">
      <c r="A68" t="s">
        <v>34</v>
      </c>
      <c r="B68" t="s">
        <v>68</v>
      </c>
      <c r="C68" t="s">
        <v>68</v>
      </c>
      <c r="D68" t="str">
        <f t="shared" si="3"/>
        <v>Sim</v>
      </c>
    </row>
    <row r="69" spans="1:6" x14ac:dyDescent="0.25">
      <c r="A69" t="s">
        <v>34</v>
      </c>
      <c r="B69" t="s">
        <v>68</v>
      </c>
      <c r="C69" t="s">
        <v>68</v>
      </c>
      <c r="D69" t="str">
        <f t="shared" si="3"/>
        <v>Sim</v>
      </c>
    </row>
    <row r="70" spans="1:6" x14ac:dyDescent="0.25">
      <c r="A70" t="s">
        <v>34</v>
      </c>
      <c r="C70" t="s">
        <v>64</v>
      </c>
      <c r="D70" t="str">
        <f t="shared" si="3"/>
        <v>Não</v>
      </c>
    </row>
    <row r="71" spans="1:6" x14ac:dyDescent="0.25">
      <c r="A71" t="s">
        <v>34</v>
      </c>
      <c r="C71" t="s">
        <v>64</v>
      </c>
      <c r="D71" t="str">
        <f t="shared" si="3"/>
        <v>Não</v>
      </c>
      <c r="F71"/>
    </row>
    <row r="72" spans="1:6" x14ac:dyDescent="0.25">
      <c r="A72" t="s">
        <v>34</v>
      </c>
      <c r="C72" t="s">
        <v>64</v>
      </c>
      <c r="D72" t="str">
        <f t="shared" si="3"/>
        <v>Não</v>
      </c>
    </row>
    <row r="73" spans="1:6" x14ac:dyDescent="0.25">
      <c r="A73" t="s">
        <v>34</v>
      </c>
      <c r="C73" t="s">
        <v>67</v>
      </c>
      <c r="D73" t="str">
        <f t="shared" si="3"/>
        <v>Não</v>
      </c>
    </row>
    <row r="74" spans="1:6" x14ac:dyDescent="0.25">
      <c r="A74" t="s">
        <v>34</v>
      </c>
      <c r="C74" t="s">
        <v>67</v>
      </c>
      <c r="D74" t="str">
        <f t="shared" si="3"/>
        <v>Não</v>
      </c>
    </row>
    <row r="75" spans="1:6" x14ac:dyDescent="0.25">
      <c r="A75" t="s">
        <v>34</v>
      </c>
      <c r="B75" t="s">
        <v>63</v>
      </c>
      <c r="C75" t="s">
        <v>63</v>
      </c>
      <c r="D75" t="str">
        <f t="shared" si="3"/>
        <v>Sim</v>
      </c>
    </row>
    <row r="76" spans="1:6" x14ac:dyDescent="0.25">
      <c r="A76" t="s">
        <v>34</v>
      </c>
      <c r="B76" t="s">
        <v>63</v>
      </c>
      <c r="C76" t="s">
        <v>63</v>
      </c>
      <c r="D76" t="str">
        <f t="shared" si="3"/>
        <v>Sim</v>
      </c>
    </row>
    <row r="77" spans="1:6" x14ac:dyDescent="0.25">
      <c r="A77" t="s">
        <v>34</v>
      </c>
      <c r="C77" t="s">
        <v>63</v>
      </c>
      <c r="D77" t="str">
        <f t="shared" si="3"/>
        <v>Não</v>
      </c>
    </row>
    <row r="78" spans="1:6" x14ac:dyDescent="0.25">
      <c r="A78"/>
    </row>
    <row r="79" spans="1:6" x14ac:dyDescent="0.25">
      <c r="A79"/>
    </row>
    <row r="80" spans="1:6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7A97-F584-4475-B3ED-EB296DA90C3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C94B-AF8D-4BCC-83B6-1F551E909628}">
  <dimension ref="A1:G94"/>
  <sheetViews>
    <sheetView workbookViewId="0">
      <selection activeCell="C64" sqref="C64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9" t="s">
        <v>75</v>
      </c>
      <c r="B1" s="19"/>
      <c r="C1" s="19"/>
      <c r="D1" s="19"/>
      <c r="E1" s="19"/>
      <c r="F1" s="19"/>
      <c r="G1" s="19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B3" t="s">
        <v>13</v>
      </c>
      <c r="C3" t="s">
        <v>87</v>
      </c>
      <c r="D3" t="str">
        <f t="shared" ref="D3:D62" si="0">IF(B3=C3, "Sim", "Não")</f>
        <v>Não</v>
      </c>
      <c r="F3" s="4" t="s">
        <v>10</v>
      </c>
      <c r="G3" s="3">
        <f>COUNTIF(D3:D99,"Não")</f>
        <v>15</v>
      </c>
    </row>
    <row r="4" spans="1:7" x14ac:dyDescent="0.25">
      <c r="A4" t="s">
        <v>1</v>
      </c>
      <c r="B4" t="s">
        <v>13</v>
      </c>
      <c r="C4" t="s">
        <v>87</v>
      </c>
      <c r="D4" t="str">
        <f t="shared" si="0"/>
        <v>Não</v>
      </c>
      <c r="F4" s="4" t="s">
        <v>11</v>
      </c>
      <c r="G4" s="3">
        <f>SUM(G7:G21)</f>
        <v>75</v>
      </c>
    </row>
    <row r="5" spans="1:7" x14ac:dyDescent="0.25">
      <c r="A5" t="s">
        <v>1</v>
      </c>
      <c r="B5" t="s">
        <v>56</v>
      </c>
      <c r="C5" t="s">
        <v>56</v>
      </c>
      <c r="D5" t="str">
        <f t="shared" si="0"/>
        <v>Sim</v>
      </c>
    </row>
    <row r="6" spans="1:7" x14ac:dyDescent="0.25">
      <c r="A6" t="s">
        <v>1</v>
      </c>
      <c r="B6" t="s">
        <v>56</v>
      </c>
      <c r="C6" t="s">
        <v>56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B7" t="s">
        <v>56</v>
      </c>
      <c r="C7" t="s">
        <v>56</v>
      </c>
      <c r="D7" t="str">
        <f t="shared" si="0"/>
        <v>Sim</v>
      </c>
      <c r="F7" s="7" t="s">
        <v>1</v>
      </c>
      <c r="G7" s="2">
        <f t="shared" ref="G7:G12" si="1">COUNTIF(A:A,F7)</f>
        <v>19</v>
      </c>
    </row>
    <row r="8" spans="1:7" x14ac:dyDescent="0.25">
      <c r="A8" t="s">
        <v>1</v>
      </c>
      <c r="B8" t="s">
        <v>56</v>
      </c>
      <c r="C8" t="s">
        <v>56</v>
      </c>
      <c r="D8" t="str">
        <f t="shared" si="0"/>
        <v>Sim</v>
      </c>
      <c r="F8" s="7" t="s">
        <v>93</v>
      </c>
      <c r="G8" s="2">
        <f t="shared" si="1"/>
        <v>18</v>
      </c>
    </row>
    <row r="9" spans="1:7" x14ac:dyDescent="0.25">
      <c r="A9" t="s">
        <v>1</v>
      </c>
      <c r="B9" t="s">
        <v>89</v>
      </c>
      <c r="C9" t="s">
        <v>89</v>
      </c>
      <c r="D9" t="str">
        <f t="shared" si="0"/>
        <v>Sim</v>
      </c>
      <c r="F9" s="7" t="s">
        <v>94</v>
      </c>
      <c r="G9" s="2">
        <f t="shared" si="1"/>
        <v>4</v>
      </c>
    </row>
    <row r="10" spans="1:7" x14ac:dyDescent="0.25">
      <c r="A10" t="s">
        <v>1</v>
      </c>
      <c r="B10" t="s">
        <v>89</v>
      </c>
      <c r="C10" t="s">
        <v>89</v>
      </c>
      <c r="D10" t="str">
        <f t="shared" si="0"/>
        <v>Sim</v>
      </c>
      <c r="F10" s="7" t="s">
        <v>4</v>
      </c>
      <c r="G10" s="2">
        <f t="shared" si="1"/>
        <v>16</v>
      </c>
    </row>
    <row r="11" spans="1:7" x14ac:dyDescent="0.25">
      <c r="A11" t="s">
        <v>1</v>
      </c>
      <c r="B11" t="s">
        <v>88</v>
      </c>
      <c r="C11" t="s">
        <v>88</v>
      </c>
      <c r="D11" t="str">
        <f t="shared" si="0"/>
        <v>Sim</v>
      </c>
      <c r="F11" s="7" t="s">
        <v>95</v>
      </c>
      <c r="G11" s="2">
        <f t="shared" si="1"/>
        <v>3</v>
      </c>
    </row>
    <row r="12" spans="1:7" x14ac:dyDescent="0.25">
      <c r="A12" t="s">
        <v>1</v>
      </c>
      <c r="B12" t="s">
        <v>106</v>
      </c>
      <c r="C12" t="s">
        <v>106</v>
      </c>
      <c r="D12" t="str">
        <f t="shared" si="0"/>
        <v>Sim</v>
      </c>
      <c r="F12" s="7" t="s">
        <v>34</v>
      </c>
      <c r="G12" s="2">
        <f t="shared" si="1"/>
        <v>15</v>
      </c>
    </row>
    <row r="13" spans="1:7" x14ac:dyDescent="0.25">
      <c r="A13" t="s">
        <v>1</v>
      </c>
      <c r="B13" t="s">
        <v>90</v>
      </c>
      <c r="C13" t="s">
        <v>90</v>
      </c>
      <c r="D13" t="str">
        <f t="shared" si="0"/>
        <v>Sim</v>
      </c>
      <c r="F13" s="7"/>
      <c r="G13" s="2"/>
    </row>
    <row r="14" spans="1:7" x14ac:dyDescent="0.25">
      <c r="A14" t="s">
        <v>1</v>
      </c>
      <c r="B14" t="s">
        <v>90</v>
      </c>
      <c r="C14" t="s">
        <v>90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60</v>
      </c>
      <c r="C15" t="s">
        <v>60</v>
      </c>
      <c r="D15" t="str">
        <f t="shared" si="0"/>
        <v>Sim</v>
      </c>
      <c r="G15" s="2"/>
    </row>
    <row r="16" spans="1:7" x14ac:dyDescent="0.25">
      <c r="A16" t="s">
        <v>1</v>
      </c>
      <c r="B16" t="s">
        <v>107</v>
      </c>
      <c r="C16" t="s">
        <v>107</v>
      </c>
      <c r="D16" t="str">
        <f t="shared" si="0"/>
        <v>Sim</v>
      </c>
      <c r="G16" s="2"/>
    </row>
    <row r="17" spans="1:7" x14ac:dyDescent="0.25">
      <c r="A17" t="s">
        <v>1</v>
      </c>
      <c r="B17" t="s">
        <v>107</v>
      </c>
      <c r="C17" t="s">
        <v>107</v>
      </c>
      <c r="D17" t="str">
        <f t="shared" si="0"/>
        <v>Sim</v>
      </c>
      <c r="G17" s="2"/>
    </row>
    <row r="18" spans="1:7" x14ac:dyDescent="0.25">
      <c r="A18" t="s">
        <v>1</v>
      </c>
      <c r="B18" t="s">
        <v>107</v>
      </c>
      <c r="C18" t="s">
        <v>107</v>
      </c>
      <c r="D18" t="str">
        <f t="shared" si="0"/>
        <v>Sim</v>
      </c>
    </row>
    <row r="19" spans="1:7" x14ac:dyDescent="0.25">
      <c r="A19" t="s">
        <v>1</v>
      </c>
      <c r="B19" t="s">
        <v>107</v>
      </c>
      <c r="C19" t="s">
        <v>107</v>
      </c>
      <c r="D19" t="str">
        <f t="shared" si="0"/>
        <v>Sim</v>
      </c>
    </row>
    <row r="20" spans="1:7" x14ac:dyDescent="0.25">
      <c r="A20" t="s">
        <v>1</v>
      </c>
      <c r="B20" t="s">
        <v>13</v>
      </c>
      <c r="C20" t="s">
        <v>13</v>
      </c>
      <c r="D20" t="str">
        <f t="shared" si="0"/>
        <v>Sim</v>
      </c>
    </row>
    <row r="21" spans="1:7" x14ac:dyDescent="0.25">
      <c r="A21" t="s">
        <v>1</v>
      </c>
      <c r="B21" t="s">
        <v>13</v>
      </c>
      <c r="C21" t="s">
        <v>13</v>
      </c>
      <c r="D21" t="str">
        <f t="shared" si="0"/>
        <v>Sim</v>
      </c>
    </row>
    <row r="22" spans="1:7" x14ac:dyDescent="0.25">
      <c r="A22" t="s">
        <v>93</v>
      </c>
      <c r="B22" t="s">
        <v>76</v>
      </c>
      <c r="C22" t="s">
        <v>76</v>
      </c>
      <c r="D22" t="str">
        <f t="shared" si="0"/>
        <v>Sim</v>
      </c>
    </row>
    <row r="23" spans="1:7" x14ac:dyDescent="0.25">
      <c r="A23" t="s">
        <v>93</v>
      </c>
      <c r="B23" t="s">
        <v>76</v>
      </c>
      <c r="C23" t="s">
        <v>76</v>
      </c>
      <c r="D23" t="str">
        <f t="shared" si="0"/>
        <v>Sim</v>
      </c>
    </row>
    <row r="24" spans="1:7" x14ac:dyDescent="0.25">
      <c r="A24" t="s">
        <v>93</v>
      </c>
      <c r="B24" t="s">
        <v>76</v>
      </c>
      <c r="C24" t="s">
        <v>76</v>
      </c>
      <c r="D24" t="str">
        <f t="shared" si="0"/>
        <v>Sim</v>
      </c>
    </row>
    <row r="25" spans="1:7" x14ac:dyDescent="0.25">
      <c r="A25" t="s">
        <v>93</v>
      </c>
      <c r="C25" t="s">
        <v>76</v>
      </c>
      <c r="D25" t="str">
        <f t="shared" si="0"/>
        <v>Não</v>
      </c>
    </row>
    <row r="26" spans="1:7" x14ac:dyDescent="0.25">
      <c r="A26" t="s">
        <v>93</v>
      </c>
      <c r="B26" t="s">
        <v>77</v>
      </c>
      <c r="C26" t="s">
        <v>77</v>
      </c>
      <c r="D26" t="str">
        <f t="shared" si="0"/>
        <v>Sim</v>
      </c>
    </row>
    <row r="27" spans="1:7" x14ac:dyDescent="0.25">
      <c r="A27" t="s">
        <v>93</v>
      </c>
      <c r="B27" t="s">
        <v>77</v>
      </c>
      <c r="C27" t="s">
        <v>77</v>
      </c>
      <c r="D27" t="str">
        <f t="shared" si="0"/>
        <v>Sim</v>
      </c>
    </row>
    <row r="28" spans="1:7" x14ac:dyDescent="0.25">
      <c r="A28" t="s">
        <v>93</v>
      </c>
      <c r="B28" t="s">
        <v>77</v>
      </c>
      <c r="C28" t="s">
        <v>77</v>
      </c>
      <c r="D28" t="str">
        <f t="shared" si="0"/>
        <v>Sim</v>
      </c>
    </row>
    <row r="29" spans="1:7" x14ac:dyDescent="0.25">
      <c r="A29" t="s">
        <v>93</v>
      </c>
      <c r="B29" t="s">
        <v>77</v>
      </c>
      <c r="C29" t="s">
        <v>77</v>
      </c>
      <c r="D29" t="str">
        <f t="shared" si="0"/>
        <v>Sim</v>
      </c>
    </row>
    <row r="30" spans="1:7" x14ac:dyDescent="0.25">
      <c r="A30" t="s">
        <v>93</v>
      </c>
      <c r="B30" t="s">
        <v>78</v>
      </c>
      <c r="C30" t="s">
        <v>78</v>
      </c>
      <c r="D30" t="str">
        <f t="shared" si="0"/>
        <v>Sim</v>
      </c>
    </row>
    <row r="31" spans="1:7" x14ac:dyDescent="0.25">
      <c r="A31" t="s">
        <v>93</v>
      </c>
      <c r="B31" t="s">
        <v>78</v>
      </c>
      <c r="C31" t="s">
        <v>78</v>
      </c>
      <c r="D31" t="str">
        <f t="shared" si="0"/>
        <v>Sim</v>
      </c>
    </row>
    <row r="32" spans="1:7" x14ac:dyDescent="0.25">
      <c r="A32" t="s">
        <v>93</v>
      </c>
      <c r="B32" t="s">
        <v>78</v>
      </c>
      <c r="C32" t="s">
        <v>78</v>
      </c>
      <c r="D32" t="str">
        <f t="shared" si="0"/>
        <v>Sim</v>
      </c>
    </row>
    <row r="33" spans="1:4" x14ac:dyDescent="0.25">
      <c r="A33" t="s">
        <v>93</v>
      </c>
      <c r="B33" t="s">
        <v>78</v>
      </c>
      <c r="C33" t="s">
        <v>78</v>
      </c>
      <c r="D33" t="str">
        <f t="shared" si="0"/>
        <v>Sim</v>
      </c>
    </row>
    <row r="34" spans="1:4" x14ac:dyDescent="0.25">
      <c r="A34" t="s">
        <v>93</v>
      </c>
      <c r="B34" t="s">
        <v>79</v>
      </c>
      <c r="C34" t="s">
        <v>79</v>
      </c>
      <c r="D34" t="str">
        <f t="shared" si="0"/>
        <v>Sim</v>
      </c>
    </row>
    <row r="35" spans="1:4" x14ac:dyDescent="0.25">
      <c r="A35" t="s">
        <v>93</v>
      </c>
      <c r="B35" t="s">
        <v>79</v>
      </c>
      <c r="C35" t="s">
        <v>79</v>
      </c>
      <c r="D35" t="str">
        <f t="shared" si="0"/>
        <v>Sim</v>
      </c>
    </row>
    <row r="36" spans="1:4" x14ac:dyDescent="0.25">
      <c r="A36" t="s">
        <v>93</v>
      </c>
      <c r="B36" t="s">
        <v>79</v>
      </c>
      <c r="C36" t="s">
        <v>79</v>
      </c>
      <c r="D36" t="str">
        <f t="shared" si="0"/>
        <v>Sim</v>
      </c>
    </row>
    <row r="37" spans="1:4" x14ac:dyDescent="0.25">
      <c r="A37" t="s">
        <v>4</v>
      </c>
      <c r="B37" t="s">
        <v>80</v>
      </c>
      <c r="C37" t="s">
        <v>80</v>
      </c>
      <c r="D37" t="str">
        <f t="shared" si="0"/>
        <v>Sim</v>
      </c>
    </row>
    <row r="38" spans="1:4" x14ac:dyDescent="0.25">
      <c r="A38" t="s">
        <v>4</v>
      </c>
      <c r="B38" t="s">
        <v>80</v>
      </c>
      <c r="C38" t="s">
        <v>80</v>
      </c>
      <c r="D38" t="str">
        <f t="shared" si="0"/>
        <v>Sim</v>
      </c>
    </row>
    <row r="39" spans="1:4" x14ac:dyDescent="0.25">
      <c r="A39" t="s">
        <v>4</v>
      </c>
      <c r="B39" t="s">
        <v>101</v>
      </c>
      <c r="C39" t="s">
        <v>80</v>
      </c>
      <c r="D39" t="str">
        <f t="shared" si="0"/>
        <v>Não</v>
      </c>
    </row>
    <row r="40" spans="1:4" x14ac:dyDescent="0.25">
      <c r="A40" t="s">
        <v>4</v>
      </c>
      <c r="B40" t="s">
        <v>80</v>
      </c>
      <c r="C40" t="s">
        <v>80</v>
      </c>
      <c r="D40" t="str">
        <f t="shared" si="0"/>
        <v>Sim</v>
      </c>
    </row>
    <row r="41" spans="1:4" x14ac:dyDescent="0.25">
      <c r="A41" t="s">
        <v>94</v>
      </c>
      <c r="B41" t="s">
        <v>81</v>
      </c>
      <c r="C41" t="s">
        <v>81</v>
      </c>
      <c r="D41" t="str">
        <f t="shared" si="0"/>
        <v>Sim</v>
      </c>
    </row>
    <row r="42" spans="1:4" x14ac:dyDescent="0.25">
      <c r="A42" t="s">
        <v>4</v>
      </c>
      <c r="B42" t="s">
        <v>82</v>
      </c>
      <c r="C42" t="s">
        <v>82</v>
      </c>
      <c r="D42" t="str">
        <f t="shared" si="0"/>
        <v>Sim</v>
      </c>
    </row>
    <row r="43" spans="1:4" x14ac:dyDescent="0.25">
      <c r="A43" t="s">
        <v>4</v>
      </c>
      <c r="B43" t="s">
        <v>82</v>
      </c>
      <c r="C43" t="s">
        <v>82</v>
      </c>
      <c r="D43" t="str">
        <f t="shared" si="0"/>
        <v>Sim</v>
      </c>
    </row>
    <row r="44" spans="1:4" x14ac:dyDescent="0.25">
      <c r="A44" t="s">
        <v>4</v>
      </c>
      <c r="B44" t="s">
        <v>82</v>
      </c>
      <c r="C44" t="s">
        <v>82</v>
      </c>
      <c r="D44" t="str">
        <f t="shared" si="0"/>
        <v>Sim</v>
      </c>
    </row>
    <row r="45" spans="1:4" x14ac:dyDescent="0.25">
      <c r="A45" t="s">
        <v>4</v>
      </c>
      <c r="B45" t="s">
        <v>82</v>
      </c>
      <c r="C45" t="s">
        <v>82</v>
      </c>
      <c r="D45" t="str">
        <f t="shared" si="0"/>
        <v>Sim</v>
      </c>
    </row>
    <row r="46" spans="1:4" x14ac:dyDescent="0.25">
      <c r="A46" t="s">
        <v>4</v>
      </c>
      <c r="B46" t="s">
        <v>83</v>
      </c>
      <c r="C46" t="s">
        <v>83</v>
      </c>
      <c r="D46" t="str">
        <f t="shared" si="0"/>
        <v>Sim</v>
      </c>
    </row>
    <row r="47" spans="1:4" x14ac:dyDescent="0.25">
      <c r="A47" t="s">
        <v>4</v>
      </c>
      <c r="B47" t="s">
        <v>83</v>
      </c>
      <c r="C47" t="s">
        <v>83</v>
      </c>
      <c r="D47" t="str">
        <f t="shared" si="0"/>
        <v>Sim</v>
      </c>
    </row>
    <row r="48" spans="1:4" x14ac:dyDescent="0.25">
      <c r="A48" t="s">
        <v>4</v>
      </c>
      <c r="B48" t="s">
        <v>83</v>
      </c>
      <c r="C48" t="s">
        <v>83</v>
      </c>
      <c r="D48" t="str">
        <f t="shared" si="0"/>
        <v>Sim</v>
      </c>
    </row>
    <row r="49" spans="1:4" x14ac:dyDescent="0.25">
      <c r="A49" t="s">
        <v>4</v>
      </c>
      <c r="B49" t="s">
        <v>84</v>
      </c>
      <c r="C49" t="s">
        <v>84</v>
      </c>
      <c r="D49" t="str">
        <f t="shared" si="0"/>
        <v>Sim</v>
      </c>
    </row>
    <row r="50" spans="1:4" x14ac:dyDescent="0.25">
      <c r="A50" t="s">
        <v>93</v>
      </c>
      <c r="B50" t="s">
        <v>84</v>
      </c>
      <c r="C50" t="s">
        <v>84</v>
      </c>
      <c r="D50" t="str">
        <f t="shared" si="0"/>
        <v>Sim</v>
      </c>
    </row>
    <row r="51" spans="1:4" x14ac:dyDescent="0.25">
      <c r="A51" t="s">
        <v>93</v>
      </c>
      <c r="B51" t="s">
        <v>84</v>
      </c>
      <c r="C51" t="s">
        <v>84</v>
      </c>
      <c r="D51" t="str">
        <f t="shared" si="0"/>
        <v>Sim</v>
      </c>
    </row>
    <row r="52" spans="1:4" x14ac:dyDescent="0.25">
      <c r="A52" t="s">
        <v>93</v>
      </c>
      <c r="B52" t="s">
        <v>84</v>
      </c>
      <c r="C52" t="s">
        <v>84</v>
      </c>
      <c r="D52" t="str">
        <f t="shared" si="0"/>
        <v>Sim</v>
      </c>
    </row>
    <row r="53" spans="1:4" x14ac:dyDescent="0.25">
      <c r="A53" t="s">
        <v>94</v>
      </c>
      <c r="B53" t="s">
        <v>91</v>
      </c>
      <c r="C53" t="s">
        <v>91</v>
      </c>
      <c r="D53" t="str">
        <f t="shared" si="0"/>
        <v>Sim</v>
      </c>
    </row>
    <row r="54" spans="1:4" x14ac:dyDescent="0.25">
      <c r="A54" t="s">
        <v>94</v>
      </c>
      <c r="B54" t="s">
        <v>91</v>
      </c>
      <c r="C54" t="s">
        <v>91</v>
      </c>
      <c r="D54" t="str">
        <f t="shared" si="0"/>
        <v>Sim</v>
      </c>
    </row>
    <row r="55" spans="1:4" x14ac:dyDescent="0.25">
      <c r="A55" t="s">
        <v>94</v>
      </c>
      <c r="B55" t="s">
        <v>91</v>
      </c>
      <c r="C55" t="s">
        <v>91</v>
      </c>
      <c r="D55" t="str">
        <f t="shared" si="0"/>
        <v>Sim</v>
      </c>
    </row>
    <row r="56" spans="1:4" x14ac:dyDescent="0.25">
      <c r="A56" t="s">
        <v>95</v>
      </c>
      <c r="B56" t="s">
        <v>85</v>
      </c>
      <c r="C56" t="s">
        <v>85</v>
      </c>
      <c r="D56" t="str">
        <f t="shared" si="0"/>
        <v>Sim</v>
      </c>
    </row>
    <row r="57" spans="1:4" x14ac:dyDescent="0.25">
      <c r="A57" t="s">
        <v>4</v>
      </c>
      <c r="B57" t="s">
        <v>92</v>
      </c>
      <c r="C57" t="s">
        <v>92</v>
      </c>
      <c r="D57" t="str">
        <f t="shared" si="0"/>
        <v>Sim</v>
      </c>
    </row>
    <row r="58" spans="1:4" x14ac:dyDescent="0.25">
      <c r="A58" t="s">
        <v>4</v>
      </c>
      <c r="B58" t="s">
        <v>92</v>
      </c>
      <c r="C58" t="s">
        <v>92</v>
      </c>
      <c r="D58" t="str">
        <f t="shared" si="0"/>
        <v>Sim</v>
      </c>
    </row>
    <row r="59" spans="1:4" x14ac:dyDescent="0.25">
      <c r="A59" t="s">
        <v>4</v>
      </c>
      <c r="B59" t="s">
        <v>92</v>
      </c>
      <c r="C59" t="s">
        <v>92</v>
      </c>
      <c r="D59" t="str">
        <f t="shared" si="0"/>
        <v>Sim</v>
      </c>
    </row>
    <row r="60" spans="1:4" x14ac:dyDescent="0.25">
      <c r="A60" t="s">
        <v>4</v>
      </c>
      <c r="B60" t="s">
        <v>92</v>
      </c>
      <c r="C60" t="s">
        <v>92</v>
      </c>
      <c r="D60" t="str">
        <f t="shared" si="0"/>
        <v>Sim</v>
      </c>
    </row>
    <row r="61" spans="1:4" x14ac:dyDescent="0.25">
      <c r="A61" t="s">
        <v>95</v>
      </c>
      <c r="B61" t="s">
        <v>86</v>
      </c>
      <c r="C61" t="s">
        <v>86</v>
      </c>
      <c r="D61" t="str">
        <f t="shared" si="0"/>
        <v>Sim</v>
      </c>
    </row>
    <row r="62" spans="1:4" x14ac:dyDescent="0.25">
      <c r="A62" t="s">
        <v>95</v>
      </c>
      <c r="B62" t="s">
        <v>86</v>
      </c>
      <c r="C62" t="s">
        <v>86</v>
      </c>
      <c r="D62" t="str">
        <f t="shared" si="0"/>
        <v>Sim</v>
      </c>
    </row>
    <row r="63" spans="1:4" x14ac:dyDescent="0.25">
      <c r="A63" t="s">
        <v>34</v>
      </c>
      <c r="C63" t="s">
        <v>96</v>
      </c>
      <c r="D63" t="str">
        <f t="shared" ref="D63:D77" si="2">IF(B63=C63, "Sim", "Não")</f>
        <v>Não</v>
      </c>
    </row>
    <row r="64" spans="1:4" x14ac:dyDescent="0.25">
      <c r="A64" t="s">
        <v>34</v>
      </c>
      <c r="C64" t="s">
        <v>96</v>
      </c>
      <c r="D64" t="str">
        <f t="shared" si="2"/>
        <v>Não</v>
      </c>
    </row>
    <row r="65" spans="1:6" x14ac:dyDescent="0.25">
      <c r="A65" t="s">
        <v>34</v>
      </c>
      <c r="C65" t="s">
        <v>97</v>
      </c>
      <c r="D65" t="str">
        <f t="shared" si="2"/>
        <v>Não</v>
      </c>
    </row>
    <row r="66" spans="1:6" x14ac:dyDescent="0.25">
      <c r="A66" t="s">
        <v>34</v>
      </c>
      <c r="C66" t="s">
        <v>97</v>
      </c>
      <c r="D66" t="str">
        <f t="shared" si="2"/>
        <v>Não</v>
      </c>
    </row>
    <row r="67" spans="1:6" x14ac:dyDescent="0.25">
      <c r="A67" t="s">
        <v>34</v>
      </c>
      <c r="B67" t="s">
        <v>98</v>
      </c>
      <c r="C67" t="s">
        <v>98</v>
      </c>
      <c r="D67" t="str">
        <f t="shared" si="2"/>
        <v>Sim</v>
      </c>
      <c r="F67"/>
    </row>
    <row r="68" spans="1:6" x14ac:dyDescent="0.25">
      <c r="A68" t="s">
        <v>34</v>
      </c>
      <c r="B68" t="s">
        <v>98</v>
      </c>
      <c r="C68" t="s">
        <v>98</v>
      </c>
      <c r="D68" t="str">
        <f t="shared" si="2"/>
        <v>Sim</v>
      </c>
    </row>
    <row r="69" spans="1:6" x14ac:dyDescent="0.25">
      <c r="A69" t="s">
        <v>34</v>
      </c>
      <c r="B69" t="s">
        <v>98</v>
      </c>
      <c r="C69" t="s">
        <v>98</v>
      </c>
      <c r="D69" t="str">
        <f t="shared" si="2"/>
        <v>Sim</v>
      </c>
    </row>
    <row r="70" spans="1:6" x14ac:dyDescent="0.25">
      <c r="A70" t="s">
        <v>34</v>
      </c>
      <c r="C70" t="s">
        <v>86</v>
      </c>
      <c r="D70" t="str">
        <f t="shared" si="2"/>
        <v>Não</v>
      </c>
    </row>
    <row r="71" spans="1:6" x14ac:dyDescent="0.25">
      <c r="A71" t="s">
        <v>34</v>
      </c>
      <c r="B71" t="s">
        <v>52</v>
      </c>
      <c r="C71" t="s">
        <v>52</v>
      </c>
      <c r="D71" t="str">
        <f t="shared" si="2"/>
        <v>Sim</v>
      </c>
    </row>
    <row r="72" spans="1:6" x14ac:dyDescent="0.25">
      <c r="A72" t="s">
        <v>34</v>
      </c>
      <c r="C72" t="s">
        <v>52</v>
      </c>
      <c r="D72" t="str">
        <f t="shared" si="2"/>
        <v>Não</v>
      </c>
    </row>
    <row r="73" spans="1:6" x14ac:dyDescent="0.25">
      <c r="A73" t="s">
        <v>34</v>
      </c>
      <c r="C73" t="s">
        <v>99</v>
      </c>
      <c r="D73" t="str">
        <f t="shared" si="2"/>
        <v>Não</v>
      </c>
    </row>
    <row r="74" spans="1:6" x14ac:dyDescent="0.25">
      <c r="A74" t="s">
        <v>34</v>
      </c>
      <c r="C74" t="s">
        <v>99</v>
      </c>
      <c r="D74" t="str">
        <f t="shared" si="2"/>
        <v>Não</v>
      </c>
    </row>
    <row r="75" spans="1:6" x14ac:dyDescent="0.25">
      <c r="A75" t="s">
        <v>34</v>
      </c>
      <c r="C75" t="s">
        <v>99</v>
      </c>
      <c r="D75" t="str">
        <f t="shared" si="2"/>
        <v>Não</v>
      </c>
    </row>
    <row r="76" spans="1:6" x14ac:dyDescent="0.25">
      <c r="A76" t="s">
        <v>34</v>
      </c>
      <c r="C76" t="s">
        <v>100</v>
      </c>
      <c r="D76" t="str">
        <f t="shared" si="2"/>
        <v>Não</v>
      </c>
    </row>
    <row r="77" spans="1:6" x14ac:dyDescent="0.25">
      <c r="A77" t="s">
        <v>34</v>
      </c>
      <c r="C77" t="s">
        <v>100</v>
      </c>
      <c r="D77" t="str">
        <f t="shared" si="2"/>
        <v>Não</v>
      </c>
    </row>
    <row r="78" spans="1:6" x14ac:dyDescent="0.25">
      <c r="A78"/>
    </row>
    <row r="79" spans="1:6" x14ac:dyDescent="0.25">
      <c r="A79"/>
    </row>
    <row r="80" spans="1:6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064C-D276-4D34-945B-1D091E0992AB}">
  <dimension ref="A1:G94"/>
  <sheetViews>
    <sheetView workbookViewId="0">
      <selection activeCell="H2" sqref="H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9" t="s">
        <v>175</v>
      </c>
      <c r="B1" s="19"/>
      <c r="C1" s="19"/>
      <c r="D1" s="19"/>
      <c r="E1" s="19"/>
      <c r="F1" s="19"/>
      <c r="G1" s="19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C3" t="s">
        <v>87</v>
      </c>
      <c r="D3" t="str">
        <f t="shared" ref="D3:D66" si="0">IF(B3=C3, "Sim", "Não")</f>
        <v>Não</v>
      </c>
      <c r="F3" s="4" t="s">
        <v>10</v>
      </c>
      <c r="G3" s="3">
        <f>COUNTIF(D3:D99,"Não")</f>
        <v>58</v>
      </c>
    </row>
    <row r="4" spans="1:7" x14ac:dyDescent="0.25">
      <c r="A4" t="s">
        <v>1</v>
      </c>
      <c r="C4" t="s">
        <v>87</v>
      </c>
      <c r="D4" t="str">
        <f t="shared" si="0"/>
        <v>Não</v>
      </c>
      <c r="F4" s="4" t="s">
        <v>11</v>
      </c>
      <c r="G4" s="3">
        <f>SUM(G7:G21)</f>
        <v>75</v>
      </c>
    </row>
    <row r="5" spans="1:7" x14ac:dyDescent="0.25">
      <c r="A5" t="s">
        <v>1</v>
      </c>
      <c r="C5" t="s">
        <v>89</v>
      </c>
      <c r="D5" t="str">
        <f t="shared" si="0"/>
        <v>Não</v>
      </c>
    </row>
    <row r="6" spans="1:7" x14ac:dyDescent="0.25">
      <c r="A6" t="s">
        <v>1</v>
      </c>
      <c r="C6" t="s">
        <v>89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88</v>
      </c>
      <c r="D7" t="str">
        <f t="shared" si="0"/>
        <v>Não</v>
      </c>
      <c r="F7" s="7" t="s">
        <v>1</v>
      </c>
      <c r="G7" s="2">
        <f t="shared" ref="G7:G11" si="1">COUNTIF(A:A,F7)</f>
        <v>23</v>
      </c>
    </row>
    <row r="8" spans="1:7" x14ac:dyDescent="0.25">
      <c r="A8" t="s">
        <v>1</v>
      </c>
      <c r="C8" t="s">
        <v>88</v>
      </c>
      <c r="D8" t="str">
        <f t="shared" si="0"/>
        <v>Não</v>
      </c>
      <c r="F8" s="7" t="s">
        <v>109</v>
      </c>
      <c r="G8" s="2">
        <f t="shared" si="1"/>
        <v>12</v>
      </c>
    </row>
    <row r="9" spans="1:7" x14ac:dyDescent="0.25">
      <c r="A9" t="s">
        <v>1</v>
      </c>
      <c r="C9" t="s">
        <v>90</v>
      </c>
      <c r="D9" t="str">
        <f t="shared" si="0"/>
        <v>Não</v>
      </c>
      <c r="F9" s="7" t="s">
        <v>95</v>
      </c>
      <c r="G9" s="2">
        <f t="shared" si="1"/>
        <v>9</v>
      </c>
    </row>
    <row r="10" spans="1:7" x14ac:dyDescent="0.25">
      <c r="A10" t="s">
        <v>1</v>
      </c>
      <c r="C10" t="s">
        <v>90</v>
      </c>
      <c r="D10" t="str">
        <f t="shared" si="0"/>
        <v>Não</v>
      </c>
      <c r="F10" s="7" t="s">
        <v>4</v>
      </c>
      <c r="G10" s="2">
        <f t="shared" si="1"/>
        <v>16</v>
      </c>
    </row>
    <row r="11" spans="1:7" x14ac:dyDescent="0.25">
      <c r="A11" t="s">
        <v>1</v>
      </c>
      <c r="D11" t="str">
        <f t="shared" si="0"/>
        <v>Sim</v>
      </c>
      <c r="F11" s="7" t="s">
        <v>34</v>
      </c>
      <c r="G11" s="2">
        <f t="shared" si="1"/>
        <v>15</v>
      </c>
    </row>
    <row r="12" spans="1:7" x14ac:dyDescent="0.25">
      <c r="A12" t="s">
        <v>1</v>
      </c>
      <c r="D12" t="str">
        <f t="shared" si="0"/>
        <v>Sim</v>
      </c>
      <c r="F12" s="7"/>
      <c r="G12" s="2"/>
    </row>
    <row r="13" spans="1:7" x14ac:dyDescent="0.25">
      <c r="A13" t="s">
        <v>1</v>
      </c>
      <c r="D13" t="str">
        <f t="shared" si="0"/>
        <v>Sim</v>
      </c>
      <c r="F13" s="7"/>
      <c r="G13" s="2"/>
    </row>
    <row r="14" spans="1:7" x14ac:dyDescent="0.25">
      <c r="A14" t="s">
        <v>1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D15" t="str">
        <f t="shared" si="0"/>
        <v>Sim</v>
      </c>
      <c r="G15" s="2"/>
    </row>
    <row r="16" spans="1:7" x14ac:dyDescent="0.25">
      <c r="A16" t="s">
        <v>1</v>
      </c>
      <c r="D16" t="str">
        <f t="shared" si="0"/>
        <v>Sim</v>
      </c>
      <c r="G16" s="2"/>
    </row>
    <row r="17" spans="1:7" x14ac:dyDescent="0.25">
      <c r="A17" t="s">
        <v>1</v>
      </c>
      <c r="D17" t="str">
        <f t="shared" si="0"/>
        <v>Sim</v>
      </c>
      <c r="G17" s="2"/>
    </row>
    <row r="18" spans="1:7" x14ac:dyDescent="0.25">
      <c r="A18" t="s">
        <v>1</v>
      </c>
      <c r="D18" t="str">
        <f t="shared" si="0"/>
        <v>Sim</v>
      </c>
    </row>
    <row r="19" spans="1:7" x14ac:dyDescent="0.25">
      <c r="A19" t="s">
        <v>1</v>
      </c>
      <c r="D19" t="str">
        <f t="shared" si="0"/>
        <v>Sim</v>
      </c>
    </row>
    <row r="20" spans="1:7" x14ac:dyDescent="0.25">
      <c r="A20" t="s">
        <v>1</v>
      </c>
      <c r="D20" t="str">
        <f t="shared" si="0"/>
        <v>Sim</v>
      </c>
    </row>
    <row r="21" spans="1:7" x14ac:dyDescent="0.25">
      <c r="A21" t="s">
        <v>1</v>
      </c>
      <c r="D21" t="str">
        <f t="shared" si="0"/>
        <v>Sim</v>
      </c>
    </row>
    <row r="22" spans="1:7" x14ac:dyDescent="0.25">
      <c r="A22" t="s">
        <v>1</v>
      </c>
      <c r="D22" t="str">
        <f t="shared" si="0"/>
        <v>Sim</v>
      </c>
    </row>
    <row r="23" spans="1:7" x14ac:dyDescent="0.25">
      <c r="A23" t="s">
        <v>1</v>
      </c>
      <c r="D23" t="str">
        <f t="shared" si="0"/>
        <v>Sim</v>
      </c>
    </row>
    <row r="24" spans="1:7" x14ac:dyDescent="0.25">
      <c r="A24" t="s">
        <v>1</v>
      </c>
      <c r="D24" t="str">
        <f t="shared" si="0"/>
        <v>Sim</v>
      </c>
    </row>
    <row r="25" spans="1:7" x14ac:dyDescent="0.25">
      <c r="A25" t="s">
        <v>1</v>
      </c>
      <c r="D25" t="str">
        <f t="shared" si="0"/>
        <v>Sim</v>
      </c>
    </row>
    <row r="26" spans="1:7" x14ac:dyDescent="0.25">
      <c r="A26" t="s">
        <v>4</v>
      </c>
      <c r="C26" t="s">
        <v>84</v>
      </c>
      <c r="D26" t="str">
        <f t="shared" si="0"/>
        <v>Não</v>
      </c>
    </row>
    <row r="27" spans="1:7" x14ac:dyDescent="0.25">
      <c r="A27" t="s">
        <v>4</v>
      </c>
      <c r="C27" t="s">
        <v>84</v>
      </c>
      <c r="D27" t="str">
        <f t="shared" si="0"/>
        <v>Não</v>
      </c>
    </row>
    <row r="28" spans="1:7" x14ac:dyDescent="0.25">
      <c r="A28" t="s">
        <v>4</v>
      </c>
      <c r="C28" t="s">
        <v>84</v>
      </c>
      <c r="D28" t="str">
        <f t="shared" si="0"/>
        <v>Não</v>
      </c>
    </row>
    <row r="29" spans="1:7" x14ac:dyDescent="0.25">
      <c r="A29" t="s">
        <v>4</v>
      </c>
      <c r="C29" t="s">
        <v>84</v>
      </c>
      <c r="D29" t="str">
        <f t="shared" si="0"/>
        <v>Não</v>
      </c>
    </row>
    <row r="30" spans="1:7" x14ac:dyDescent="0.25">
      <c r="A30" t="s">
        <v>4</v>
      </c>
      <c r="C30" t="s">
        <v>92</v>
      </c>
      <c r="D30" t="str">
        <f t="shared" si="0"/>
        <v>Não</v>
      </c>
    </row>
    <row r="31" spans="1:7" x14ac:dyDescent="0.25">
      <c r="A31" t="s">
        <v>4</v>
      </c>
      <c r="C31" t="s">
        <v>92</v>
      </c>
      <c r="D31" t="str">
        <f t="shared" si="0"/>
        <v>Não</v>
      </c>
    </row>
    <row r="32" spans="1:7" x14ac:dyDescent="0.25">
      <c r="A32" t="s">
        <v>4</v>
      </c>
      <c r="C32" t="s">
        <v>92</v>
      </c>
      <c r="D32" t="str">
        <f t="shared" si="0"/>
        <v>Não</v>
      </c>
    </row>
    <row r="33" spans="1:6" x14ac:dyDescent="0.25">
      <c r="A33" t="s">
        <v>4</v>
      </c>
      <c r="C33" t="s">
        <v>92</v>
      </c>
      <c r="D33" t="str">
        <f t="shared" si="0"/>
        <v>Não</v>
      </c>
    </row>
    <row r="34" spans="1:6" x14ac:dyDescent="0.25">
      <c r="A34" t="s">
        <v>4</v>
      </c>
      <c r="C34" t="s">
        <v>114</v>
      </c>
      <c r="D34" t="str">
        <f t="shared" si="0"/>
        <v>Não</v>
      </c>
    </row>
    <row r="35" spans="1:6" x14ac:dyDescent="0.25">
      <c r="A35" t="s">
        <v>4</v>
      </c>
      <c r="C35" t="s">
        <v>114</v>
      </c>
      <c r="D35" t="str">
        <f t="shared" si="0"/>
        <v>Não</v>
      </c>
    </row>
    <row r="36" spans="1:6" x14ac:dyDescent="0.25">
      <c r="A36" t="s">
        <v>4</v>
      </c>
      <c r="C36" t="s">
        <v>114</v>
      </c>
      <c r="D36" t="str">
        <f t="shared" si="0"/>
        <v>Não</v>
      </c>
    </row>
    <row r="37" spans="1:6" x14ac:dyDescent="0.25">
      <c r="A37" t="s">
        <v>4</v>
      </c>
      <c r="C37" t="s">
        <v>114</v>
      </c>
      <c r="D37" t="str">
        <f t="shared" si="0"/>
        <v>Não</v>
      </c>
    </row>
    <row r="38" spans="1:6" x14ac:dyDescent="0.25">
      <c r="A38" t="s">
        <v>4</v>
      </c>
      <c r="C38" t="s">
        <v>115</v>
      </c>
      <c r="D38" t="str">
        <f t="shared" si="0"/>
        <v>Não</v>
      </c>
    </row>
    <row r="39" spans="1:6" x14ac:dyDescent="0.25">
      <c r="A39" t="s">
        <v>4</v>
      </c>
      <c r="C39" t="s">
        <v>115</v>
      </c>
      <c r="D39" t="str">
        <f t="shared" si="0"/>
        <v>Não</v>
      </c>
    </row>
    <row r="40" spans="1:6" x14ac:dyDescent="0.25">
      <c r="A40" t="s">
        <v>4</v>
      </c>
      <c r="C40" t="s">
        <v>115</v>
      </c>
      <c r="D40" t="str">
        <f t="shared" si="0"/>
        <v>Não</v>
      </c>
    </row>
    <row r="41" spans="1:6" x14ac:dyDescent="0.25">
      <c r="A41" t="s">
        <v>4</v>
      </c>
      <c r="C41" t="s">
        <v>115</v>
      </c>
      <c r="D41" t="str">
        <f t="shared" si="0"/>
        <v>Não</v>
      </c>
    </row>
    <row r="42" spans="1:6" x14ac:dyDescent="0.25">
      <c r="A42" t="s">
        <v>109</v>
      </c>
      <c r="C42" t="s">
        <v>117</v>
      </c>
      <c r="D42" t="str">
        <f t="shared" si="0"/>
        <v>Não</v>
      </c>
    </row>
    <row r="43" spans="1:6" x14ac:dyDescent="0.25">
      <c r="A43" t="s">
        <v>109</v>
      </c>
      <c r="C43" t="s">
        <v>117</v>
      </c>
      <c r="D43" t="str">
        <f t="shared" si="0"/>
        <v>Não</v>
      </c>
    </row>
    <row r="44" spans="1:6" x14ac:dyDescent="0.25">
      <c r="A44" t="s">
        <v>109</v>
      </c>
      <c r="C44" t="s">
        <v>117</v>
      </c>
      <c r="D44" t="str">
        <f t="shared" si="0"/>
        <v>Não</v>
      </c>
    </row>
    <row r="45" spans="1:6" x14ac:dyDescent="0.25">
      <c r="A45" t="s">
        <v>109</v>
      </c>
      <c r="C45" t="s">
        <v>117</v>
      </c>
      <c r="D45" t="str">
        <f t="shared" si="0"/>
        <v>Não</v>
      </c>
    </row>
    <row r="46" spans="1:6" x14ac:dyDescent="0.25">
      <c r="A46" t="s">
        <v>109</v>
      </c>
      <c r="C46" t="s">
        <v>133</v>
      </c>
      <c r="D46" t="str">
        <f t="shared" si="0"/>
        <v>Não</v>
      </c>
    </row>
    <row r="47" spans="1:6" x14ac:dyDescent="0.25">
      <c r="A47" t="s">
        <v>109</v>
      </c>
      <c r="C47" t="s">
        <v>133</v>
      </c>
      <c r="D47" t="str">
        <f t="shared" si="0"/>
        <v>Não</v>
      </c>
      <c r="F47" s="3" t="s">
        <v>135</v>
      </c>
    </row>
    <row r="48" spans="1:6" x14ac:dyDescent="0.25">
      <c r="A48" t="s">
        <v>109</v>
      </c>
      <c r="C48" t="s">
        <v>133</v>
      </c>
      <c r="D48" t="str">
        <f t="shared" si="0"/>
        <v>Não</v>
      </c>
    </row>
    <row r="49" spans="1:6" x14ac:dyDescent="0.25">
      <c r="A49" t="s">
        <v>109</v>
      </c>
      <c r="C49" t="s">
        <v>133</v>
      </c>
      <c r="D49" t="str">
        <f t="shared" si="0"/>
        <v>Não</v>
      </c>
    </row>
    <row r="50" spans="1:6" x14ac:dyDescent="0.25">
      <c r="A50" t="s">
        <v>109</v>
      </c>
      <c r="C50" t="s">
        <v>116</v>
      </c>
      <c r="D50" t="str">
        <f t="shared" si="0"/>
        <v>Não</v>
      </c>
    </row>
    <row r="51" spans="1:6" x14ac:dyDescent="0.25">
      <c r="A51" t="s">
        <v>109</v>
      </c>
      <c r="C51" t="s">
        <v>116</v>
      </c>
      <c r="D51" t="str">
        <f t="shared" si="0"/>
        <v>Não</v>
      </c>
    </row>
    <row r="52" spans="1:6" x14ac:dyDescent="0.25">
      <c r="A52" t="s">
        <v>109</v>
      </c>
      <c r="C52" t="s">
        <v>116</v>
      </c>
      <c r="D52" t="str">
        <f t="shared" si="0"/>
        <v>Não</v>
      </c>
    </row>
    <row r="53" spans="1:6" x14ac:dyDescent="0.25">
      <c r="A53" t="s">
        <v>109</v>
      </c>
      <c r="C53" t="s">
        <v>116</v>
      </c>
      <c r="D53" t="str">
        <f t="shared" si="0"/>
        <v>Não</v>
      </c>
    </row>
    <row r="54" spans="1:6" x14ac:dyDescent="0.25">
      <c r="A54" t="s">
        <v>95</v>
      </c>
      <c r="C54" t="s">
        <v>128</v>
      </c>
      <c r="D54" t="str">
        <f t="shared" si="0"/>
        <v>Não</v>
      </c>
    </row>
    <row r="55" spans="1:6" x14ac:dyDescent="0.25">
      <c r="A55" t="s">
        <v>95</v>
      </c>
      <c r="C55" t="s">
        <v>128</v>
      </c>
      <c r="D55" t="str">
        <f t="shared" si="0"/>
        <v>Não</v>
      </c>
    </row>
    <row r="56" spans="1:6" x14ac:dyDescent="0.25">
      <c r="A56" t="s">
        <v>95</v>
      </c>
      <c r="B56" t="s">
        <v>129</v>
      </c>
      <c r="C56" t="s">
        <v>129</v>
      </c>
      <c r="D56" t="str">
        <f t="shared" si="0"/>
        <v>Sim</v>
      </c>
    </row>
    <row r="57" spans="1:6" x14ac:dyDescent="0.25">
      <c r="A57" t="s">
        <v>95</v>
      </c>
      <c r="B57" t="s">
        <v>129</v>
      </c>
      <c r="C57" t="s">
        <v>129</v>
      </c>
      <c r="D57" t="str">
        <f t="shared" si="0"/>
        <v>Sim</v>
      </c>
    </row>
    <row r="58" spans="1:6" x14ac:dyDescent="0.25">
      <c r="A58" t="s">
        <v>95</v>
      </c>
      <c r="C58" t="s">
        <v>124</v>
      </c>
      <c r="D58" t="str">
        <f t="shared" si="0"/>
        <v>Não</v>
      </c>
    </row>
    <row r="59" spans="1:6" x14ac:dyDescent="0.25">
      <c r="A59" t="s">
        <v>95</v>
      </c>
      <c r="C59" t="s">
        <v>122</v>
      </c>
      <c r="D59" t="str">
        <f t="shared" si="0"/>
        <v>Não</v>
      </c>
    </row>
    <row r="60" spans="1:6" x14ac:dyDescent="0.25">
      <c r="A60" t="s">
        <v>95</v>
      </c>
      <c r="C60" t="s">
        <v>122</v>
      </c>
      <c r="D60" t="str">
        <f t="shared" si="0"/>
        <v>Não</v>
      </c>
    </row>
    <row r="61" spans="1:6" x14ac:dyDescent="0.25">
      <c r="A61" t="s">
        <v>95</v>
      </c>
      <c r="C61" t="s">
        <v>123</v>
      </c>
      <c r="D61" t="str">
        <f t="shared" si="0"/>
        <v>Não</v>
      </c>
    </row>
    <row r="62" spans="1:6" x14ac:dyDescent="0.25">
      <c r="A62" t="s">
        <v>95</v>
      </c>
      <c r="C62" t="s">
        <v>123</v>
      </c>
      <c r="D62" t="str">
        <f t="shared" si="0"/>
        <v>Não</v>
      </c>
    </row>
    <row r="63" spans="1:6" x14ac:dyDescent="0.25">
      <c r="A63" t="s">
        <v>34</v>
      </c>
      <c r="C63" t="s">
        <v>119</v>
      </c>
      <c r="D63" t="str">
        <f t="shared" si="0"/>
        <v>Não</v>
      </c>
      <c r="F63"/>
    </row>
    <row r="64" spans="1:6" x14ac:dyDescent="0.25">
      <c r="A64" t="s">
        <v>34</v>
      </c>
      <c r="C64" t="s">
        <v>119</v>
      </c>
      <c r="D64" t="str">
        <f t="shared" si="0"/>
        <v>Não</v>
      </c>
      <c r="F64" t="s">
        <v>125</v>
      </c>
    </row>
    <row r="65" spans="1:6" x14ac:dyDescent="0.25">
      <c r="A65" t="s">
        <v>34</v>
      </c>
      <c r="C65" t="s">
        <v>119</v>
      </c>
      <c r="D65" t="str">
        <f t="shared" si="0"/>
        <v>Não</v>
      </c>
      <c r="F65" t="s">
        <v>108</v>
      </c>
    </row>
    <row r="66" spans="1:6" x14ac:dyDescent="0.25">
      <c r="A66" t="s">
        <v>34</v>
      </c>
      <c r="C66" t="s">
        <v>119</v>
      </c>
      <c r="D66" t="str">
        <f t="shared" si="0"/>
        <v>Não</v>
      </c>
      <c r="F66" s="5" t="s">
        <v>134</v>
      </c>
    </row>
    <row r="67" spans="1:6" x14ac:dyDescent="0.25">
      <c r="A67" t="s">
        <v>34</v>
      </c>
      <c r="C67" t="s">
        <v>110</v>
      </c>
      <c r="D67" t="str">
        <f t="shared" ref="D67:D77" si="2">IF(B67=C67, "Sim", "Não")</f>
        <v>Não</v>
      </c>
      <c r="F67" t="s">
        <v>112</v>
      </c>
    </row>
    <row r="68" spans="1:6" x14ac:dyDescent="0.25">
      <c r="A68" t="s">
        <v>34</v>
      </c>
      <c r="C68" t="s">
        <v>110</v>
      </c>
      <c r="D68" t="str">
        <f t="shared" si="2"/>
        <v>Não</v>
      </c>
      <c r="F68" t="s">
        <v>27</v>
      </c>
    </row>
    <row r="69" spans="1:6" x14ac:dyDescent="0.25">
      <c r="A69" t="s">
        <v>34</v>
      </c>
      <c r="C69" t="s">
        <v>110</v>
      </c>
      <c r="D69" t="str">
        <f t="shared" si="2"/>
        <v>Não</v>
      </c>
      <c r="F69" t="s">
        <v>132</v>
      </c>
    </row>
    <row r="70" spans="1:6" x14ac:dyDescent="0.25">
      <c r="A70" t="s">
        <v>34</v>
      </c>
      <c r="C70" t="s">
        <v>110</v>
      </c>
      <c r="D70" t="str">
        <f t="shared" si="2"/>
        <v>Não</v>
      </c>
      <c r="F70" t="s">
        <v>126</v>
      </c>
    </row>
    <row r="71" spans="1:6" x14ac:dyDescent="0.25">
      <c r="A71" t="s">
        <v>34</v>
      </c>
      <c r="C71" t="s">
        <v>111</v>
      </c>
      <c r="D71" t="str">
        <f t="shared" si="2"/>
        <v>Não</v>
      </c>
      <c r="F71" t="s">
        <v>118</v>
      </c>
    </row>
    <row r="72" spans="1:6" x14ac:dyDescent="0.25">
      <c r="A72" t="s">
        <v>34</v>
      </c>
      <c r="C72" t="s">
        <v>111</v>
      </c>
      <c r="D72" t="str">
        <f t="shared" si="2"/>
        <v>Não</v>
      </c>
      <c r="F72" t="s">
        <v>127</v>
      </c>
    </row>
    <row r="73" spans="1:6" x14ac:dyDescent="0.25">
      <c r="A73" t="s">
        <v>34</v>
      </c>
      <c r="C73" t="s">
        <v>111</v>
      </c>
      <c r="D73" t="str">
        <f t="shared" si="2"/>
        <v>Não</v>
      </c>
      <c r="F73" t="s">
        <v>120</v>
      </c>
    </row>
    <row r="74" spans="1:6" x14ac:dyDescent="0.25">
      <c r="A74" t="s">
        <v>34</v>
      </c>
      <c r="C74" t="s">
        <v>111</v>
      </c>
      <c r="D74" t="str">
        <f t="shared" si="2"/>
        <v>Não</v>
      </c>
      <c r="F74" t="s">
        <v>121</v>
      </c>
    </row>
    <row r="75" spans="1:6" x14ac:dyDescent="0.25">
      <c r="A75" t="s">
        <v>34</v>
      </c>
      <c r="C75" t="s">
        <v>113</v>
      </c>
      <c r="D75" t="str">
        <f t="shared" si="2"/>
        <v>Não</v>
      </c>
      <c r="F75" t="s">
        <v>117</v>
      </c>
    </row>
    <row r="76" spans="1:6" x14ac:dyDescent="0.25">
      <c r="A76" t="s">
        <v>34</v>
      </c>
      <c r="C76" t="s">
        <v>113</v>
      </c>
      <c r="D76" t="str">
        <f t="shared" si="2"/>
        <v>Não</v>
      </c>
      <c r="F76" t="s">
        <v>130</v>
      </c>
    </row>
    <row r="77" spans="1:6" x14ac:dyDescent="0.25">
      <c r="A77" t="s">
        <v>34</v>
      </c>
      <c r="C77" t="s">
        <v>113</v>
      </c>
      <c r="D77" t="str">
        <f t="shared" si="2"/>
        <v>Não</v>
      </c>
      <c r="F77" t="s">
        <v>131</v>
      </c>
    </row>
    <row r="78" spans="1:6" x14ac:dyDescent="0.25">
      <c r="A78"/>
      <c r="F78"/>
    </row>
    <row r="79" spans="1:6" x14ac:dyDescent="0.25">
      <c r="A79"/>
      <c r="F79"/>
    </row>
    <row r="80" spans="1:6" x14ac:dyDescent="0.25">
      <c r="A80"/>
      <c r="F80" s="5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4779-1D10-4436-AE7B-261C41DF854B}">
  <dimension ref="A1:G94"/>
  <sheetViews>
    <sheetView workbookViewId="0">
      <selection activeCell="C2" sqref="C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9" t="s">
        <v>176</v>
      </c>
      <c r="B1" s="19"/>
      <c r="C1" s="19"/>
      <c r="D1" s="19"/>
      <c r="E1" s="19"/>
      <c r="F1" s="19"/>
      <c r="G1" s="19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B3" t="s">
        <v>141</v>
      </c>
      <c r="C3" t="s">
        <v>141</v>
      </c>
      <c r="D3" t="str">
        <f t="shared" ref="D3:D66" si="0">IF(B3=C3, "Sim", "Não")</f>
        <v>Sim</v>
      </c>
      <c r="F3" s="4" t="s">
        <v>10</v>
      </c>
      <c r="G3" s="3">
        <f>COUNTIF(D3:D99,"Não")</f>
        <v>13</v>
      </c>
    </row>
    <row r="4" spans="1:7" x14ac:dyDescent="0.25">
      <c r="A4" t="s">
        <v>1</v>
      </c>
      <c r="B4" t="s">
        <v>141</v>
      </c>
      <c r="C4" t="s">
        <v>141</v>
      </c>
      <c r="D4" t="str">
        <f t="shared" si="0"/>
        <v>Sim</v>
      </c>
      <c r="F4" s="4" t="s">
        <v>11</v>
      </c>
      <c r="G4" s="3">
        <f>SUM(G7:G21)</f>
        <v>75</v>
      </c>
    </row>
    <row r="5" spans="1:7" x14ac:dyDescent="0.25">
      <c r="A5" t="s">
        <v>1</v>
      </c>
      <c r="B5" t="s">
        <v>141</v>
      </c>
      <c r="C5" t="s">
        <v>141</v>
      </c>
      <c r="D5" t="str">
        <f t="shared" si="0"/>
        <v>Sim</v>
      </c>
    </row>
    <row r="6" spans="1:7" x14ac:dyDescent="0.25">
      <c r="A6" t="s">
        <v>1</v>
      </c>
      <c r="B6" t="s">
        <v>141</v>
      </c>
      <c r="C6" t="s">
        <v>141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B7" t="s">
        <v>89</v>
      </c>
      <c r="C7" t="s">
        <v>89</v>
      </c>
      <c r="D7" t="str">
        <f t="shared" si="0"/>
        <v>Sim</v>
      </c>
      <c r="E7" t="s">
        <v>104</v>
      </c>
      <c r="F7" s="7" t="s">
        <v>1</v>
      </c>
      <c r="G7" s="2">
        <f t="shared" ref="G7:G11" si="1">COUNTIF(A:A,F7)</f>
        <v>22</v>
      </c>
    </row>
    <row r="8" spans="1:7" x14ac:dyDescent="0.25">
      <c r="A8" t="s">
        <v>1</v>
      </c>
      <c r="B8" t="s">
        <v>89</v>
      </c>
      <c r="C8" t="s">
        <v>89</v>
      </c>
      <c r="D8" t="str">
        <f t="shared" si="0"/>
        <v>Sim</v>
      </c>
      <c r="F8" s="7" t="s">
        <v>43</v>
      </c>
      <c r="G8" s="2">
        <f t="shared" si="1"/>
        <v>10</v>
      </c>
    </row>
    <row r="9" spans="1:7" x14ac:dyDescent="0.25">
      <c r="A9" t="s">
        <v>1</v>
      </c>
      <c r="B9" t="s">
        <v>142</v>
      </c>
      <c r="C9" t="s">
        <v>142</v>
      </c>
      <c r="D9" t="str">
        <f t="shared" si="0"/>
        <v>Sim</v>
      </c>
      <c r="E9" t="s">
        <v>147</v>
      </c>
      <c r="F9" s="7" t="s">
        <v>95</v>
      </c>
      <c r="G9" s="2">
        <f t="shared" si="1"/>
        <v>20</v>
      </c>
    </row>
    <row r="10" spans="1:7" x14ac:dyDescent="0.25">
      <c r="A10" t="s">
        <v>1</v>
      </c>
      <c r="B10" t="s">
        <v>145</v>
      </c>
      <c r="C10" t="s">
        <v>145</v>
      </c>
      <c r="D10" t="str">
        <f t="shared" si="0"/>
        <v>Sim</v>
      </c>
      <c r="F10" s="7" t="s">
        <v>4</v>
      </c>
      <c r="G10" s="2">
        <f t="shared" si="1"/>
        <v>8</v>
      </c>
    </row>
    <row r="11" spans="1:7" x14ac:dyDescent="0.25">
      <c r="A11" t="s">
        <v>1</v>
      </c>
      <c r="B11" t="s">
        <v>145</v>
      </c>
      <c r="C11" t="s">
        <v>145</v>
      </c>
      <c r="D11" t="str">
        <f t="shared" si="0"/>
        <v>Sim</v>
      </c>
      <c r="E11" t="s">
        <v>103</v>
      </c>
      <c r="F11" s="7" t="s">
        <v>34</v>
      </c>
      <c r="G11" s="2">
        <f t="shared" si="1"/>
        <v>15</v>
      </c>
    </row>
    <row r="12" spans="1:7" x14ac:dyDescent="0.25">
      <c r="A12" t="s">
        <v>1</v>
      </c>
      <c r="B12" t="s">
        <v>60</v>
      </c>
      <c r="C12" t="s">
        <v>60</v>
      </c>
      <c r="D12" t="str">
        <f t="shared" si="0"/>
        <v>Sim</v>
      </c>
      <c r="E12" t="s">
        <v>102</v>
      </c>
      <c r="F12" s="7"/>
      <c r="G12" s="2"/>
    </row>
    <row r="13" spans="1:7" x14ac:dyDescent="0.25">
      <c r="A13" t="s">
        <v>1</v>
      </c>
      <c r="B13" t="s">
        <v>60</v>
      </c>
      <c r="C13" t="s">
        <v>60</v>
      </c>
      <c r="D13" t="str">
        <f t="shared" si="0"/>
        <v>Sim</v>
      </c>
      <c r="E13" t="s">
        <v>103</v>
      </c>
      <c r="F13" s="7"/>
      <c r="G13" s="2"/>
    </row>
    <row r="14" spans="1:7" x14ac:dyDescent="0.25">
      <c r="A14" t="s">
        <v>1</v>
      </c>
      <c r="B14" t="s">
        <v>90</v>
      </c>
      <c r="C14" t="s">
        <v>90</v>
      </c>
      <c r="D14" t="str">
        <f t="shared" si="0"/>
        <v>Sim</v>
      </c>
      <c r="E14" t="s">
        <v>103</v>
      </c>
      <c r="F14" s="7"/>
      <c r="G14" s="2"/>
    </row>
    <row r="15" spans="1:7" x14ac:dyDescent="0.25">
      <c r="A15" t="s">
        <v>1</v>
      </c>
      <c r="B15" t="s">
        <v>90</v>
      </c>
      <c r="C15" t="s">
        <v>90</v>
      </c>
      <c r="D15" t="str">
        <f t="shared" si="0"/>
        <v>Sim</v>
      </c>
      <c r="E15" t="s">
        <v>104</v>
      </c>
      <c r="F15" s="5"/>
      <c r="G15" s="2"/>
    </row>
    <row r="16" spans="1:7" x14ac:dyDescent="0.25">
      <c r="A16" t="s">
        <v>1</v>
      </c>
      <c r="B16" t="s">
        <v>13</v>
      </c>
      <c r="C16" t="s">
        <v>13</v>
      </c>
      <c r="D16" t="str">
        <f t="shared" si="0"/>
        <v>Sim</v>
      </c>
      <c r="F16" s="5"/>
      <c r="G16" s="2"/>
    </row>
    <row r="17" spans="1:7" x14ac:dyDescent="0.25">
      <c r="A17" t="s">
        <v>1</v>
      </c>
      <c r="B17" t="s">
        <v>13</v>
      </c>
      <c r="C17" t="s">
        <v>13</v>
      </c>
      <c r="D17" t="str">
        <f t="shared" si="0"/>
        <v>Sim</v>
      </c>
      <c r="F17" s="5"/>
      <c r="G17" s="2"/>
    </row>
    <row r="18" spans="1:7" x14ac:dyDescent="0.25">
      <c r="A18" t="s">
        <v>1</v>
      </c>
      <c r="B18" t="s">
        <v>13</v>
      </c>
      <c r="C18" t="s">
        <v>13</v>
      </c>
      <c r="D18" t="str">
        <f t="shared" si="0"/>
        <v>Sim</v>
      </c>
      <c r="F18" s="5"/>
    </row>
    <row r="19" spans="1:7" x14ac:dyDescent="0.25">
      <c r="A19" t="s">
        <v>1</v>
      </c>
      <c r="B19" t="s">
        <v>13</v>
      </c>
      <c r="C19" t="s">
        <v>13</v>
      </c>
      <c r="D19" t="str">
        <f t="shared" si="0"/>
        <v>Sim</v>
      </c>
      <c r="F19" s="5"/>
    </row>
    <row r="20" spans="1:7" x14ac:dyDescent="0.25">
      <c r="A20" t="s">
        <v>1</v>
      </c>
      <c r="B20" t="s">
        <v>13</v>
      </c>
      <c r="C20" t="s">
        <v>13</v>
      </c>
      <c r="D20" t="str">
        <f t="shared" si="0"/>
        <v>Sim</v>
      </c>
      <c r="F20" s="5"/>
    </row>
    <row r="21" spans="1:7" x14ac:dyDescent="0.25">
      <c r="A21" t="s">
        <v>1</v>
      </c>
      <c r="B21" t="s">
        <v>12</v>
      </c>
      <c r="C21" t="s">
        <v>12</v>
      </c>
      <c r="D21" t="str">
        <f t="shared" si="0"/>
        <v>Sim</v>
      </c>
      <c r="F21" s="5"/>
    </row>
    <row r="22" spans="1:7" x14ac:dyDescent="0.25">
      <c r="A22" t="s">
        <v>1</v>
      </c>
      <c r="B22" t="s">
        <v>12</v>
      </c>
      <c r="C22" t="s">
        <v>12</v>
      </c>
      <c r="D22" t="str">
        <f t="shared" si="0"/>
        <v>Sim</v>
      </c>
      <c r="F22" s="5"/>
    </row>
    <row r="23" spans="1:7" x14ac:dyDescent="0.25">
      <c r="A23" t="s">
        <v>1</v>
      </c>
      <c r="B23" t="s">
        <v>14</v>
      </c>
      <c r="C23" t="s">
        <v>14</v>
      </c>
      <c r="D23" t="str">
        <f t="shared" si="0"/>
        <v>Sim</v>
      </c>
      <c r="F23" s="5"/>
    </row>
    <row r="24" spans="1:7" x14ac:dyDescent="0.25">
      <c r="A24" t="s">
        <v>1</v>
      </c>
      <c r="B24" t="s">
        <v>14</v>
      </c>
      <c r="C24" t="s">
        <v>14</v>
      </c>
      <c r="D24" t="str">
        <f t="shared" si="0"/>
        <v>Sim</v>
      </c>
      <c r="F24" s="5"/>
    </row>
    <row r="25" spans="1:7" x14ac:dyDescent="0.25">
      <c r="A25" t="s">
        <v>43</v>
      </c>
      <c r="B25" t="s">
        <v>48</v>
      </c>
      <c r="C25" t="s">
        <v>48</v>
      </c>
      <c r="D25" t="str">
        <f t="shared" si="0"/>
        <v>Sim</v>
      </c>
      <c r="F25" s="5"/>
    </row>
    <row r="26" spans="1:7" x14ac:dyDescent="0.25">
      <c r="A26" t="s">
        <v>43</v>
      </c>
      <c r="B26" t="s">
        <v>48</v>
      </c>
      <c r="C26" t="s">
        <v>48</v>
      </c>
      <c r="D26" t="str">
        <f t="shared" si="0"/>
        <v>Sim</v>
      </c>
      <c r="F26" s="5"/>
    </row>
    <row r="27" spans="1:7" x14ac:dyDescent="0.25">
      <c r="A27" t="s">
        <v>43</v>
      </c>
      <c r="B27" t="s">
        <v>48</v>
      </c>
      <c r="C27" t="s">
        <v>48</v>
      </c>
      <c r="D27" t="str">
        <f t="shared" si="0"/>
        <v>Sim</v>
      </c>
      <c r="F27" s="5"/>
    </row>
    <row r="28" spans="1:7" x14ac:dyDescent="0.25">
      <c r="A28" t="s">
        <v>43</v>
      </c>
      <c r="B28" t="s">
        <v>48</v>
      </c>
      <c r="C28" t="s">
        <v>48</v>
      </c>
      <c r="D28" t="str">
        <f t="shared" si="0"/>
        <v>Sim</v>
      </c>
      <c r="E28" t="s">
        <v>102</v>
      </c>
      <c r="F28" s="5"/>
    </row>
    <row r="29" spans="1:7" x14ac:dyDescent="0.25">
      <c r="A29" t="s">
        <v>4</v>
      </c>
      <c r="B29" t="s">
        <v>92</v>
      </c>
      <c r="C29" t="s">
        <v>92</v>
      </c>
      <c r="D29" t="str">
        <f t="shared" si="0"/>
        <v>Sim</v>
      </c>
      <c r="F29" s="5"/>
    </row>
    <row r="30" spans="1:7" x14ac:dyDescent="0.25">
      <c r="A30" t="s">
        <v>4</v>
      </c>
      <c r="B30" t="s">
        <v>92</v>
      </c>
      <c r="C30" t="s">
        <v>92</v>
      </c>
      <c r="D30" t="str">
        <f t="shared" si="0"/>
        <v>Sim</v>
      </c>
      <c r="F30" s="5"/>
    </row>
    <row r="31" spans="1:7" x14ac:dyDescent="0.25">
      <c r="A31" t="s">
        <v>4</v>
      </c>
      <c r="B31" t="s">
        <v>92</v>
      </c>
      <c r="C31" t="s">
        <v>92</v>
      </c>
      <c r="D31" t="str">
        <f t="shared" si="0"/>
        <v>Sim</v>
      </c>
      <c r="F31" s="5"/>
    </row>
    <row r="32" spans="1:7" x14ac:dyDescent="0.25">
      <c r="A32" t="s">
        <v>4</v>
      </c>
      <c r="B32" t="s">
        <v>92</v>
      </c>
      <c r="C32" t="s">
        <v>92</v>
      </c>
      <c r="D32" t="str">
        <f t="shared" si="0"/>
        <v>Sim</v>
      </c>
      <c r="F32" s="5"/>
    </row>
    <row r="33" spans="1:6" x14ac:dyDescent="0.25">
      <c r="A33" t="s">
        <v>4</v>
      </c>
      <c r="B33" t="s">
        <v>49</v>
      </c>
      <c r="C33" t="s">
        <v>49</v>
      </c>
      <c r="D33" t="str">
        <f t="shared" si="0"/>
        <v>Sim</v>
      </c>
      <c r="F33" s="5"/>
    </row>
    <row r="34" spans="1:6" x14ac:dyDescent="0.25">
      <c r="A34" t="s">
        <v>4</v>
      </c>
      <c r="B34" t="s">
        <v>49</v>
      </c>
      <c r="C34" t="s">
        <v>49</v>
      </c>
      <c r="D34" t="str">
        <f t="shared" si="0"/>
        <v>Sim</v>
      </c>
      <c r="F34" s="5"/>
    </row>
    <row r="35" spans="1:6" x14ac:dyDescent="0.25">
      <c r="A35" t="s">
        <v>4</v>
      </c>
      <c r="B35" t="s">
        <v>49</v>
      </c>
      <c r="C35" t="s">
        <v>49</v>
      </c>
      <c r="D35" t="str">
        <f t="shared" si="0"/>
        <v>Sim</v>
      </c>
      <c r="F35" s="5"/>
    </row>
    <row r="36" spans="1:6" x14ac:dyDescent="0.25">
      <c r="A36" t="s">
        <v>4</v>
      </c>
      <c r="B36" t="s">
        <v>49</v>
      </c>
      <c r="C36" t="s">
        <v>49</v>
      </c>
      <c r="D36" t="str">
        <f t="shared" si="0"/>
        <v>Sim</v>
      </c>
      <c r="F36" s="5"/>
    </row>
    <row r="37" spans="1:6" x14ac:dyDescent="0.25">
      <c r="A37" t="s">
        <v>43</v>
      </c>
      <c r="B37" t="s">
        <v>45</v>
      </c>
      <c r="C37" t="s">
        <v>45</v>
      </c>
      <c r="D37" t="str">
        <f t="shared" si="0"/>
        <v>Sim</v>
      </c>
      <c r="F37" s="5"/>
    </row>
    <row r="38" spans="1:6" x14ac:dyDescent="0.25">
      <c r="A38" t="s">
        <v>43</v>
      </c>
      <c r="B38" t="s">
        <v>45</v>
      </c>
      <c r="C38" t="s">
        <v>45</v>
      </c>
      <c r="D38" t="str">
        <f t="shared" si="0"/>
        <v>Sim</v>
      </c>
      <c r="F38" s="5"/>
    </row>
    <row r="39" spans="1:6" x14ac:dyDescent="0.25">
      <c r="A39" t="s">
        <v>43</v>
      </c>
      <c r="B39" t="s">
        <v>45</v>
      </c>
      <c r="C39" t="s">
        <v>45</v>
      </c>
      <c r="D39" t="str">
        <f t="shared" si="0"/>
        <v>Sim</v>
      </c>
      <c r="F39" s="5"/>
    </row>
    <row r="40" spans="1:6" x14ac:dyDescent="0.25">
      <c r="A40" t="s">
        <v>43</v>
      </c>
      <c r="B40" t="s">
        <v>45</v>
      </c>
      <c r="C40" t="s">
        <v>45</v>
      </c>
      <c r="D40" t="str">
        <f t="shared" si="0"/>
        <v>Sim</v>
      </c>
      <c r="F40" s="5"/>
    </row>
    <row r="41" spans="1:6" x14ac:dyDescent="0.25">
      <c r="A41" t="s">
        <v>43</v>
      </c>
      <c r="B41" t="s">
        <v>138</v>
      </c>
      <c r="C41" t="s">
        <v>138</v>
      </c>
      <c r="D41" t="str">
        <f t="shared" si="0"/>
        <v>Sim</v>
      </c>
      <c r="F41" s="5"/>
    </row>
    <row r="42" spans="1:6" x14ac:dyDescent="0.25">
      <c r="A42" t="s">
        <v>43</v>
      </c>
      <c r="B42" t="s">
        <v>138</v>
      </c>
      <c r="C42" t="s">
        <v>138</v>
      </c>
      <c r="D42" t="str">
        <f t="shared" si="0"/>
        <v>Sim</v>
      </c>
      <c r="F42" s="5"/>
    </row>
    <row r="43" spans="1:6" x14ac:dyDescent="0.25">
      <c r="A43" t="s">
        <v>95</v>
      </c>
      <c r="B43" t="s">
        <v>128</v>
      </c>
      <c r="C43" t="s">
        <v>128</v>
      </c>
      <c r="D43" t="str">
        <f t="shared" si="0"/>
        <v>Sim</v>
      </c>
      <c r="F43" s="5"/>
    </row>
    <row r="44" spans="1:6" x14ac:dyDescent="0.25">
      <c r="A44" t="s">
        <v>95</v>
      </c>
      <c r="B44" t="s">
        <v>128</v>
      </c>
      <c r="C44" t="s">
        <v>128</v>
      </c>
      <c r="D44" t="str">
        <f t="shared" si="0"/>
        <v>Sim</v>
      </c>
      <c r="F44" s="5"/>
    </row>
    <row r="45" spans="1:6" x14ac:dyDescent="0.25">
      <c r="A45" t="s">
        <v>95</v>
      </c>
      <c r="B45" t="s">
        <v>128</v>
      </c>
      <c r="C45" t="s">
        <v>128</v>
      </c>
      <c r="D45" t="str">
        <f t="shared" si="0"/>
        <v>Sim</v>
      </c>
      <c r="F45" s="5"/>
    </row>
    <row r="46" spans="1:6" x14ac:dyDescent="0.25">
      <c r="A46" t="s">
        <v>95</v>
      </c>
      <c r="B46" t="s">
        <v>128</v>
      </c>
      <c r="C46" t="s">
        <v>128</v>
      </c>
      <c r="D46" t="str">
        <f t="shared" si="0"/>
        <v>Sim</v>
      </c>
      <c r="F46" s="5"/>
    </row>
    <row r="47" spans="1:6" x14ac:dyDescent="0.25">
      <c r="A47" t="s">
        <v>95</v>
      </c>
      <c r="B47" t="s">
        <v>129</v>
      </c>
      <c r="C47" t="s">
        <v>129</v>
      </c>
      <c r="D47" t="str">
        <f t="shared" si="0"/>
        <v>Sim</v>
      </c>
      <c r="F47" s="5"/>
    </row>
    <row r="48" spans="1:6" x14ac:dyDescent="0.25">
      <c r="A48" t="s">
        <v>95</v>
      </c>
      <c r="B48" t="s">
        <v>129</v>
      </c>
      <c r="C48" t="s">
        <v>129</v>
      </c>
      <c r="D48" t="str">
        <f t="shared" si="0"/>
        <v>Sim</v>
      </c>
      <c r="F48" s="5"/>
    </row>
    <row r="49" spans="1:6" x14ac:dyDescent="0.25">
      <c r="A49" t="s">
        <v>95</v>
      </c>
      <c r="B49" t="s">
        <v>129</v>
      </c>
      <c r="C49" t="s">
        <v>129</v>
      </c>
      <c r="D49" t="str">
        <f t="shared" si="0"/>
        <v>Sim</v>
      </c>
      <c r="F49" s="5"/>
    </row>
    <row r="50" spans="1:6" x14ac:dyDescent="0.25">
      <c r="A50" t="s">
        <v>95</v>
      </c>
      <c r="B50" t="s">
        <v>129</v>
      </c>
      <c r="C50" t="s">
        <v>129</v>
      </c>
      <c r="D50" t="str">
        <f t="shared" si="0"/>
        <v>Sim</v>
      </c>
      <c r="F50" s="5"/>
    </row>
    <row r="51" spans="1:6" x14ac:dyDescent="0.25">
      <c r="A51" t="s">
        <v>95</v>
      </c>
      <c r="B51" t="s">
        <v>137</v>
      </c>
      <c r="C51" t="s">
        <v>137</v>
      </c>
      <c r="D51" t="str">
        <f t="shared" si="0"/>
        <v>Sim</v>
      </c>
      <c r="F51" s="5"/>
    </row>
    <row r="52" spans="1:6" x14ac:dyDescent="0.25">
      <c r="A52" t="s">
        <v>95</v>
      </c>
      <c r="B52" t="s">
        <v>137</v>
      </c>
      <c r="C52" t="s">
        <v>137</v>
      </c>
      <c r="D52" t="str">
        <f t="shared" si="0"/>
        <v>Sim</v>
      </c>
      <c r="F52" s="5"/>
    </row>
    <row r="53" spans="1:6" x14ac:dyDescent="0.25">
      <c r="A53" t="s">
        <v>95</v>
      </c>
      <c r="B53" t="s">
        <v>137</v>
      </c>
      <c r="C53" t="s">
        <v>137</v>
      </c>
      <c r="D53" t="str">
        <f t="shared" si="0"/>
        <v>Sim</v>
      </c>
      <c r="F53" s="5"/>
    </row>
    <row r="54" spans="1:6" x14ac:dyDescent="0.25">
      <c r="A54" t="s">
        <v>95</v>
      </c>
      <c r="B54" t="s">
        <v>137</v>
      </c>
      <c r="C54" t="s">
        <v>137</v>
      </c>
      <c r="D54" t="str">
        <f t="shared" si="0"/>
        <v>Sim</v>
      </c>
      <c r="F54" s="5"/>
    </row>
    <row r="55" spans="1:6" x14ac:dyDescent="0.25">
      <c r="A55" t="s">
        <v>95</v>
      </c>
      <c r="B55" t="s">
        <v>136</v>
      </c>
      <c r="C55" t="s">
        <v>136</v>
      </c>
      <c r="D55" t="str">
        <f t="shared" si="0"/>
        <v>Sim</v>
      </c>
      <c r="F55" s="5"/>
    </row>
    <row r="56" spans="1:6" x14ac:dyDescent="0.25">
      <c r="A56" t="s">
        <v>95</v>
      </c>
      <c r="B56" t="s">
        <v>136</v>
      </c>
      <c r="C56" t="s">
        <v>136</v>
      </c>
      <c r="D56" t="str">
        <f t="shared" si="0"/>
        <v>Sim</v>
      </c>
      <c r="F56" s="5"/>
    </row>
    <row r="57" spans="1:6" x14ac:dyDescent="0.25">
      <c r="A57" t="s">
        <v>95</v>
      </c>
      <c r="B57" t="s">
        <v>136</v>
      </c>
      <c r="C57" t="s">
        <v>136</v>
      </c>
      <c r="D57" t="str">
        <f t="shared" si="0"/>
        <v>Sim</v>
      </c>
      <c r="F57" s="5"/>
    </row>
    <row r="58" spans="1:6" x14ac:dyDescent="0.25">
      <c r="A58" t="s">
        <v>95</v>
      </c>
      <c r="B58" t="s">
        <v>136</v>
      </c>
      <c r="C58" t="s">
        <v>136</v>
      </c>
      <c r="D58" t="str">
        <f t="shared" si="0"/>
        <v>Sim</v>
      </c>
      <c r="E58" t="s">
        <v>103</v>
      </c>
      <c r="F58" s="5"/>
    </row>
    <row r="59" spans="1:6" x14ac:dyDescent="0.25">
      <c r="A59" t="s">
        <v>95</v>
      </c>
      <c r="B59" t="s">
        <v>44</v>
      </c>
      <c r="C59" t="s">
        <v>44</v>
      </c>
      <c r="D59" t="str">
        <f t="shared" si="0"/>
        <v>Sim</v>
      </c>
      <c r="F59" s="5"/>
    </row>
    <row r="60" spans="1:6" x14ac:dyDescent="0.25">
      <c r="A60" t="s">
        <v>95</v>
      </c>
      <c r="B60" t="s">
        <v>44</v>
      </c>
      <c r="C60" t="s">
        <v>44</v>
      </c>
      <c r="D60" t="str">
        <f t="shared" si="0"/>
        <v>Sim</v>
      </c>
      <c r="F60" s="5"/>
    </row>
    <row r="61" spans="1:6" x14ac:dyDescent="0.25">
      <c r="A61" t="s">
        <v>95</v>
      </c>
      <c r="B61" t="s">
        <v>44</v>
      </c>
      <c r="C61" t="s">
        <v>44</v>
      </c>
      <c r="D61" t="str">
        <f t="shared" si="0"/>
        <v>Sim</v>
      </c>
      <c r="F61" s="5"/>
    </row>
    <row r="62" spans="1:6" x14ac:dyDescent="0.25">
      <c r="A62" t="s">
        <v>95</v>
      </c>
      <c r="B62" t="s">
        <v>44</v>
      </c>
      <c r="C62" t="s">
        <v>44</v>
      </c>
      <c r="D62" t="str">
        <f t="shared" si="0"/>
        <v>Sim</v>
      </c>
      <c r="F62" s="5"/>
    </row>
    <row r="63" spans="1:6" x14ac:dyDescent="0.25">
      <c r="A63" t="s">
        <v>34</v>
      </c>
      <c r="C63" t="s">
        <v>148</v>
      </c>
      <c r="D63" t="str">
        <f t="shared" si="0"/>
        <v>Não</v>
      </c>
      <c r="F63" s="5"/>
    </row>
    <row r="64" spans="1:6" x14ac:dyDescent="0.25">
      <c r="A64" t="s">
        <v>34</v>
      </c>
      <c r="C64" t="s">
        <v>148</v>
      </c>
      <c r="D64" t="str">
        <f t="shared" si="0"/>
        <v>Não</v>
      </c>
      <c r="F64" s="5"/>
    </row>
    <row r="65" spans="1:6" x14ac:dyDescent="0.25">
      <c r="A65" t="s">
        <v>34</v>
      </c>
      <c r="C65" t="s">
        <v>148</v>
      </c>
      <c r="D65" t="str">
        <f t="shared" si="0"/>
        <v>Não</v>
      </c>
      <c r="F65" s="5"/>
    </row>
    <row r="66" spans="1:6" x14ac:dyDescent="0.25">
      <c r="A66" t="s">
        <v>34</v>
      </c>
      <c r="C66" t="s">
        <v>148</v>
      </c>
      <c r="D66" t="str">
        <f t="shared" si="0"/>
        <v>Não</v>
      </c>
      <c r="F66" s="5"/>
    </row>
    <row r="67" spans="1:6" x14ac:dyDescent="0.25">
      <c r="A67" t="s">
        <v>34</v>
      </c>
      <c r="C67" t="s">
        <v>140</v>
      </c>
      <c r="D67" t="str">
        <f t="shared" ref="D67:D77" si="2">IF(B67=C67, "Sim", "Não")</f>
        <v>Não</v>
      </c>
      <c r="F67" s="5"/>
    </row>
    <row r="68" spans="1:6" x14ac:dyDescent="0.25">
      <c r="A68" t="s">
        <v>34</v>
      </c>
      <c r="C68" t="s">
        <v>140</v>
      </c>
      <c r="D68" t="str">
        <f t="shared" si="2"/>
        <v>Não</v>
      </c>
      <c r="F68" s="5"/>
    </row>
    <row r="69" spans="1:6" x14ac:dyDescent="0.25">
      <c r="A69" t="s">
        <v>34</v>
      </c>
      <c r="D69" t="str">
        <f t="shared" si="2"/>
        <v>Sim</v>
      </c>
      <c r="F69" s="5"/>
    </row>
    <row r="70" spans="1:6" x14ac:dyDescent="0.25">
      <c r="A70" t="s">
        <v>34</v>
      </c>
      <c r="D70" t="str">
        <f t="shared" si="2"/>
        <v>Sim</v>
      </c>
      <c r="F70" s="5"/>
    </row>
    <row r="71" spans="1:6" x14ac:dyDescent="0.25">
      <c r="A71" t="s">
        <v>34</v>
      </c>
      <c r="C71" t="s">
        <v>143</v>
      </c>
      <c r="D71" t="str">
        <f t="shared" si="2"/>
        <v>Não</v>
      </c>
      <c r="F71" s="5"/>
    </row>
    <row r="72" spans="1:6" x14ac:dyDescent="0.25">
      <c r="A72" t="s">
        <v>34</v>
      </c>
      <c r="C72" t="s">
        <v>143</v>
      </c>
      <c r="D72" t="str">
        <f t="shared" si="2"/>
        <v>Não</v>
      </c>
      <c r="F72"/>
    </row>
    <row r="73" spans="1:6" x14ac:dyDescent="0.25">
      <c r="A73" t="s">
        <v>34</v>
      </c>
      <c r="C73" t="s">
        <v>144</v>
      </c>
      <c r="D73" t="str">
        <f t="shared" si="2"/>
        <v>Não</v>
      </c>
      <c r="F73"/>
    </row>
    <row r="74" spans="1:6" x14ac:dyDescent="0.25">
      <c r="A74" t="s">
        <v>34</v>
      </c>
      <c r="C74" t="s">
        <v>144</v>
      </c>
      <c r="D74" t="str">
        <f t="shared" si="2"/>
        <v>Não</v>
      </c>
      <c r="F74"/>
    </row>
    <row r="75" spans="1:6" x14ac:dyDescent="0.25">
      <c r="A75" t="s">
        <v>34</v>
      </c>
      <c r="C75" t="s">
        <v>116</v>
      </c>
      <c r="D75" t="str">
        <f t="shared" si="2"/>
        <v>Não</v>
      </c>
      <c r="F75"/>
    </row>
    <row r="76" spans="1:6" x14ac:dyDescent="0.25">
      <c r="A76" t="s">
        <v>34</v>
      </c>
      <c r="C76" t="s">
        <v>116</v>
      </c>
      <c r="D76" t="str">
        <f t="shared" si="2"/>
        <v>Não</v>
      </c>
      <c r="F76"/>
    </row>
    <row r="77" spans="1:6" x14ac:dyDescent="0.25">
      <c r="A77" t="s">
        <v>34</v>
      </c>
      <c r="C77" t="s">
        <v>116</v>
      </c>
      <c r="D77" t="str">
        <f t="shared" si="2"/>
        <v>Não</v>
      </c>
      <c r="F77"/>
    </row>
    <row r="78" spans="1:6" x14ac:dyDescent="0.25">
      <c r="A78"/>
      <c r="F78"/>
    </row>
    <row r="79" spans="1:6" x14ac:dyDescent="0.25">
      <c r="A79"/>
      <c r="F79"/>
    </row>
    <row r="80" spans="1:6" x14ac:dyDescent="0.25">
      <c r="A80"/>
      <c r="F80" s="5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E1F8-FAD4-4AAF-97F3-87299FDD1265}">
  <dimension ref="A1:G94"/>
  <sheetViews>
    <sheetView topLeftCell="A30" workbookViewId="0">
      <selection activeCell="C39" sqref="C39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9" t="s">
        <v>146</v>
      </c>
      <c r="B1" s="19"/>
      <c r="C1" s="19"/>
      <c r="D1" s="19"/>
      <c r="E1" s="19"/>
      <c r="F1" s="19"/>
      <c r="G1" s="19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C3" t="s">
        <v>56</v>
      </c>
      <c r="D3" t="str">
        <f t="shared" ref="D3:D66" si="0">IF(B3=C3, "Sim", "Não")</f>
        <v>Não</v>
      </c>
      <c r="F3" s="4" t="s">
        <v>10</v>
      </c>
      <c r="G3" s="3">
        <f>COUNTIF(D3:D99,"Não")</f>
        <v>75</v>
      </c>
    </row>
    <row r="4" spans="1:7" x14ac:dyDescent="0.25">
      <c r="A4" t="s">
        <v>1</v>
      </c>
      <c r="C4" t="s">
        <v>56</v>
      </c>
      <c r="D4" t="str">
        <f t="shared" si="0"/>
        <v>Não</v>
      </c>
      <c r="F4" s="4" t="s">
        <v>11</v>
      </c>
      <c r="G4" s="3">
        <f>SUM(G7:G21)</f>
        <v>75</v>
      </c>
    </row>
    <row r="5" spans="1:7" x14ac:dyDescent="0.25">
      <c r="A5" t="s">
        <v>1</v>
      </c>
      <c r="C5" t="s">
        <v>56</v>
      </c>
      <c r="D5" t="str">
        <f t="shared" si="0"/>
        <v>Não</v>
      </c>
    </row>
    <row r="6" spans="1:7" x14ac:dyDescent="0.25">
      <c r="A6" t="s">
        <v>1</v>
      </c>
      <c r="C6" t="s">
        <v>56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89</v>
      </c>
      <c r="D7" t="str">
        <f t="shared" si="0"/>
        <v>Não</v>
      </c>
      <c r="F7" s="7" t="s">
        <v>1</v>
      </c>
      <c r="G7" s="2">
        <f t="shared" ref="G7:G11" si="1">COUNTIF(A:A,F7)</f>
        <v>21</v>
      </c>
    </row>
    <row r="8" spans="1:7" x14ac:dyDescent="0.25">
      <c r="A8" t="s">
        <v>1</v>
      </c>
      <c r="C8" t="s">
        <v>89</v>
      </c>
      <c r="D8" t="str">
        <f t="shared" si="0"/>
        <v>Não</v>
      </c>
      <c r="F8" s="7" t="s">
        <v>43</v>
      </c>
      <c r="G8" s="2">
        <f t="shared" si="1"/>
        <v>9</v>
      </c>
    </row>
    <row r="9" spans="1:7" x14ac:dyDescent="0.25">
      <c r="A9" t="s">
        <v>1</v>
      </c>
      <c r="C9" t="s">
        <v>142</v>
      </c>
      <c r="D9" t="str">
        <f t="shared" si="0"/>
        <v>Não</v>
      </c>
      <c r="F9" s="7" t="s">
        <v>95</v>
      </c>
      <c r="G9" s="2">
        <f t="shared" si="1"/>
        <v>20</v>
      </c>
    </row>
    <row r="10" spans="1:7" x14ac:dyDescent="0.25">
      <c r="A10" t="s">
        <v>1</v>
      </c>
      <c r="C10" t="s">
        <v>145</v>
      </c>
      <c r="D10" t="str">
        <f t="shared" si="0"/>
        <v>Não</v>
      </c>
      <c r="F10" s="7" t="s">
        <v>4</v>
      </c>
      <c r="G10" s="2">
        <f t="shared" si="1"/>
        <v>10</v>
      </c>
    </row>
    <row r="11" spans="1:7" x14ac:dyDescent="0.25">
      <c r="A11" t="s">
        <v>1</v>
      </c>
      <c r="C11" t="s">
        <v>145</v>
      </c>
      <c r="D11" t="str">
        <f t="shared" si="0"/>
        <v>Não</v>
      </c>
      <c r="F11" s="7" t="s">
        <v>34</v>
      </c>
      <c r="G11" s="2">
        <f t="shared" si="1"/>
        <v>15</v>
      </c>
    </row>
    <row r="12" spans="1:7" x14ac:dyDescent="0.25">
      <c r="A12" t="s">
        <v>1</v>
      </c>
      <c r="C12" t="s">
        <v>60</v>
      </c>
      <c r="D12" t="str">
        <f t="shared" si="0"/>
        <v>Não</v>
      </c>
      <c r="F12" s="7"/>
      <c r="G12" s="2"/>
    </row>
    <row r="13" spans="1:7" x14ac:dyDescent="0.25">
      <c r="A13" t="s">
        <v>1</v>
      </c>
      <c r="C13" t="s">
        <v>60</v>
      </c>
      <c r="D13" t="str">
        <f t="shared" si="0"/>
        <v>Não</v>
      </c>
      <c r="F13" s="7"/>
      <c r="G13" s="2"/>
    </row>
    <row r="14" spans="1:7" x14ac:dyDescent="0.25">
      <c r="A14" t="s">
        <v>1</v>
      </c>
      <c r="C14" t="s">
        <v>90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90</v>
      </c>
      <c r="D15" t="str">
        <f t="shared" si="0"/>
        <v>Não</v>
      </c>
      <c r="F15" s="5"/>
      <c r="G15" s="2"/>
    </row>
    <row r="16" spans="1:7" x14ac:dyDescent="0.25">
      <c r="A16" t="s">
        <v>1</v>
      </c>
      <c r="C16" t="s">
        <v>13</v>
      </c>
      <c r="D16" t="str">
        <f t="shared" si="0"/>
        <v>Não</v>
      </c>
      <c r="F16" s="5"/>
      <c r="G16" s="2"/>
    </row>
    <row r="17" spans="1:7" x14ac:dyDescent="0.25">
      <c r="A17" t="s">
        <v>1</v>
      </c>
      <c r="C17" t="s">
        <v>13</v>
      </c>
      <c r="D17" t="str">
        <f t="shared" si="0"/>
        <v>Não</v>
      </c>
      <c r="F17" s="5"/>
      <c r="G17" s="2"/>
    </row>
    <row r="18" spans="1:7" x14ac:dyDescent="0.25">
      <c r="A18" t="s">
        <v>1</v>
      </c>
      <c r="C18" t="s">
        <v>13</v>
      </c>
      <c r="D18" t="str">
        <f t="shared" si="0"/>
        <v>Não</v>
      </c>
      <c r="F18" s="5"/>
    </row>
    <row r="19" spans="1:7" x14ac:dyDescent="0.25">
      <c r="A19" t="s">
        <v>1</v>
      </c>
      <c r="C19" t="s">
        <v>13</v>
      </c>
      <c r="D19" t="str">
        <f t="shared" si="0"/>
        <v>Não</v>
      </c>
      <c r="F19" s="5"/>
    </row>
    <row r="20" spans="1:7" x14ac:dyDescent="0.25">
      <c r="A20" t="s">
        <v>1</v>
      </c>
      <c r="C20" t="s">
        <v>12</v>
      </c>
      <c r="D20" t="str">
        <f t="shared" si="0"/>
        <v>Não</v>
      </c>
      <c r="F20" s="5"/>
    </row>
    <row r="21" spans="1:7" x14ac:dyDescent="0.25">
      <c r="A21" t="s">
        <v>1</v>
      </c>
      <c r="C21" t="s">
        <v>12</v>
      </c>
      <c r="D21" t="str">
        <f t="shared" si="0"/>
        <v>Não</v>
      </c>
      <c r="F21" s="5"/>
    </row>
    <row r="22" spans="1:7" x14ac:dyDescent="0.25">
      <c r="A22" t="s">
        <v>1</v>
      </c>
      <c r="C22" t="s">
        <v>14</v>
      </c>
      <c r="D22" t="str">
        <f t="shared" si="0"/>
        <v>Não</v>
      </c>
      <c r="F22" s="5"/>
    </row>
    <row r="23" spans="1:7" x14ac:dyDescent="0.25">
      <c r="A23" t="s">
        <v>1</v>
      </c>
      <c r="C23" t="s">
        <v>14</v>
      </c>
      <c r="D23" t="str">
        <f t="shared" si="0"/>
        <v>Não</v>
      </c>
      <c r="F23" s="5"/>
    </row>
    <row r="24" spans="1:7" x14ac:dyDescent="0.25">
      <c r="A24" t="s">
        <v>43</v>
      </c>
      <c r="C24" t="s">
        <v>48</v>
      </c>
      <c r="D24" t="str">
        <f t="shared" si="0"/>
        <v>Não</v>
      </c>
      <c r="F24" s="5"/>
    </row>
    <row r="25" spans="1:7" x14ac:dyDescent="0.25">
      <c r="A25" t="s">
        <v>43</v>
      </c>
      <c r="C25" t="s">
        <v>48</v>
      </c>
      <c r="D25" t="str">
        <f t="shared" si="0"/>
        <v>Não</v>
      </c>
      <c r="F25" s="5"/>
    </row>
    <row r="26" spans="1:7" x14ac:dyDescent="0.25">
      <c r="A26" t="s">
        <v>43</v>
      </c>
      <c r="C26" t="s">
        <v>48</v>
      </c>
      <c r="D26" t="str">
        <f t="shared" si="0"/>
        <v>Não</v>
      </c>
      <c r="F26" s="5"/>
    </row>
    <row r="27" spans="1:7" x14ac:dyDescent="0.25">
      <c r="A27" t="s">
        <v>43</v>
      </c>
      <c r="C27" t="s">
        <v>48</v>
      </c>
      <c r="D27" t="str">
        <f t="shared" si="0"/>
        <v>Não</v>
      </c>
      <c r="F27" s="5"/>
    </row>
    <row r="28" spans="1:7" x14ac:dyDescent="0.25">
      <c r="A28" t="s">
        <v>4</v>
      </c>
      <c r="C28" t="s">
        <v>92</v>
      </c>
      <c r="D28" t="str">
        <f t="shared" si="0"/>
        <v>Não</v>
      </c>
      <c r="F28" s="5"/>
    </row>
    <row r="29" spans="1:7" x14ac:dyDescent="0.25">
      <c r="A29" t="s">
        <v>4</v>
      </c>
      <c r="C29" t="s">
        <v>92</v>
      </c>
      <c r="D29" t="str">
        <f t="shared" si="0"/>
        <v>Não</v>
      </c>
      <c r="F29" s="5"/>
    </row>
    <row r="30" spans="1:7" x14ac:dyDescent="0.25">
      <c r="A30" t="s">
        <v>4</v>
      </c>
      <c r="C30" t="s">
        <v>92</v>
      </c>
      <c r="D30" t="str">
        <f t="shared" si="0"/>
        <v>Não</v>
      </c>
      <c r="F30" s="5"/>
    </row>
    <row r="31" spans="1:7" x14ac:dyDescent="0.25">
      <c r="A31" t="s">
        <v>4</v>
      </c>
      <c r="C31" t="s">
        <v>92</v>
      </c>
      <c r="D31" t="str">
        <f t="shared" si="0"/>
        <v>Não</v>
      </c>
      <c r="F31" s="5"/>
    </row>
    <row r="32" spans="1:7" x14ac:dyDescent="0.25">
      <c r="A32" t="s">
        <v>4</v>
      </c>
      <c r="C32" t="s">
        <v>49</v>
      </c>
      <c r="D32" t="str">
        <f t="shared" si="0"/>
        <v>Não</v>
      </c>
      <c r="F32" s="5"/>
    </row>
    <row r="33" spans="1:6" x14ac:dyDescent="0.25">
      <c r="A33" t="s">
        <v>4</v>
      </c>
      <c r="C33" t="s">
        <v>151</v>
      </c>
      <c r="D33" t="str">
        <f t="shared" si="0"/>
        <v>Não</v>
      </c>
      <c r="F33" s="5"/>
    </row>
    <row r="34" spans="1:6" x14ac:dyDescent="0.25">
      <c r="A34" t="s">
        <v>4</v>
      </c>
      <c r="C34" t="s">
        <v>121</v>
      </c>
      <c r="D34" t="str">
        <f t="shared" si="0"/>
        <v>Não</v>
      </c>
      <c r="F34" s="5"/>
    </row>
    <row r="35" spans="1:6" x14ac:dyDescent="0.25">
      <c r="A35" t="s">
        <v>4</v>
      </c>
      <c r="C35" t="s">
        <v>121</v>
      </c>
      <c r="D35" t="str">
        <f t="shared" si="0"/>
        <v>Não</v>
      </c>
      <c r="F35" s="5"/>
    </row>
    <row r="36" spans="1:6" x14ac:dyDescent="0.25">
      <c r="A36" t="s">
        <v>4</v>
      </c>
      <c r="C36" t="s">
        <v>121</v>
      </c>
      <c r="D36" t="str">
        <f t="shared" si="0"/>
        <v>Não</v>
      </c>
      <c r="F36" s="5"/>
    </row>
    <row r="37" spans="1:6" x14ac:dyDescent="0.25">
      <c r="A37" t="s">
        <v>4</v>
      </c>
      <c r="C37" t="s">
        <v>121</v>
      </c>
      <c r="D37" t="str">
        <f t="shared" si="0"/>
        <v>Não</v>
      </c>
      <c r="F37" s="5"/>
    </row>
    <row r="38" spans="1:6" x14ac:dyDescent="0.25">
      <c r="A38" t="s">
        <v>43</v>
      </c>
      <c r="C38" t="s">
        <v>45</v>
      </c>
      <c r="D38" t="str">
        <f t="shared" si="0"/>
        <v>Não</v>
      </c>
      <c r="F38" s="5"/>
    </row>
    <row r="39" spans="1:6" x14ac:dyDescent="0.25">
      <c r="A39" t="s">
        <v>43</v>
      </c>
      <c r="C39" t="s">
        <v>138</v>
      </c>
      <c r="D39" t="str">
        <f t="shared" si="0"/>
        <v>Não</v>
      </c>
      <c r="F39" s="5"/>
    </row>
    <row r="40" spans="1:6" x14ac:dyDescent="0.25">
      <c r="A40" t="s">
        <v>43</v>
      </c>
      <c r="C40" t="s">
        <v>117</v>
      </c>
      <c r="D40" t="str">
        <f t="shared" si="0"/>
        <v>Não</v>
      </c>
      <c r="F40" s="5"/>
    </row>
    <row r="41" spans="1:6" x14ac:dyDescent="0.25">
      <c r="A41" t="s">
        <v>43</v>
      </c>
      <c r="C41" t="s">
        <v>117</v>
      </c>
      <c r="D41" t="str">
        <f t="shared" si="0"/>
        <v>Não</v>
      </c>
      <c r="F41" s="5"/>
    </row>
    <row r="42" spans="1:6" x14ac:dyDescent="0.25">
      <c r="A42" t="s">
        <v>43</v>
      </c>
      <c r="C42" t="s">
        <v>117</v>
      </c>
      <c r="D42" t="str">
        <f>IF(B42=C42, "Sim", "Não")</f>
        <v>Não</v>
      </c>
      <c r="F42" s="5"/>
    </row>
    <row r="43" spans="1:6" x14ac:dyDescent="0.25">
      <c r="A43" t="s">
        <v>95</v>
      </c>
      <c r="C43" t="s">
        <v>117</v>
      </c>
      <c r="D43" t="str">
        <f t="shared" si="0"/>
        <v>Não</v>
      </c>
      <c r="F43" s="5"/>
    </row>
    <row r="44" spans="1:6" x14ac:dyDescent="0.25">
      <c r="A44" t="s">
        <v>95</v>
      </c>
      <c r="C44" t="s">
        <v>149</v>
      </c>
      <c r="D44" t="str">
        <f>IF(B44=C44, "Sim", "Não")</f>
        <v>Não</v>
      </c>
      <c r="F44" s="5"/>
    </row>
    <row r="45" spans="1:6" x14ac:dyDescent="0.25">
      <c r="A45" t="s">
        <v>95</v>
      </c>
      <c r="C45" t="s">
        <v>149</v>
      </c>
      <c r="D45" t="str">
        <f t="shared" si="0"/>
        <v>Não</v>
      </c>
      <c r="F45" s="5"/>
    </row>
    <row r="46" spans="1:6" x14ac:dyDescent="0.25">
      <c r="A46" t="s">
        <v>95</v>
      </c>
      <c r="C46" t="s">
        <v>150</v>
      </c>
      <c r="D46" t="str">
        <f t="shared" si="0"/>
        <v>Não</v>
      </c>
      <c r="F46" s="5"/>
    </row>
    <row r="47" spans="1:6" x14ac:dyDescent="0.25">
      <c r="A47" t="s">
        <v>95</v>
      </c>
      <c r="C47" t="s">
        <v>128</v>
      </c>
      <c r="D47" t="str">
        <f t="shared" si="0"/>
        <v>Não</v>
      </c>
      <c r="F47" s="5"/>
    </row>
    <row r="48" spans="1:6" x14ac:dyDescent="0.25">
      <c r="A48" t="s">
        <v>95</v>
      </c>
      <c r="C48" t="s">
        <v>128</v>
      </c>
      <c r="D48" t="str">
        <f t="shared" si="0"/>
        <v>Não</v>
      </c>
      <c r="F48" s="5"/>
    </row>
    <row r="49" spans="1:6" x14ac:dyDescent="0.25">
      <c r="A49" t="s">
        <v>95</v>
      </c>
      <c r="C49" t="s">
        <v>129</v>
      </c>
      <c r="D49" t="str">
        <f t="shared" si="0"/>
        <v>Não</v>
      </c>
      <c r="F49" s="5"/>
    </row>
    <row r="50" spans="1:6" x14ac:dyDescent="0.25">
      <c r="A50" t="s">
        <v>95</v>
      </c>
      <c r="C50" t="s">
        <v>129</v>
      </c>
      <c r="D50" t="str">
        <f t="shared" si="0"/>
        <v>Não</v>
      </c>
      <c r="F50" s="5"/>
    </row>
    <row r="51" spans="1:6" x14ac:dyDescent="0.25">
      <c r="A51" t="s">
        <v>95</v>
      </c>
      <c r="C51" t="s">
        <v>137</v>
      </c>
      <c r="D51" t="str">
        <f t="shared" si="0"/>
        <v>Não</v>
      </c>
      <c r="F51" s="5"/>
    </row>
    <row r="52" spans="1:6" x14ac:dyDescent="0.25">
      <c r="A52" t="s">
        <v>95</v>
      </c>
      <c r="C52" t="s">
        <v>137</v>
      </c>
      <c r="D52" t="str">
        <f t="shared" si="0"/>
        <v>Não</v>
      </c>
      <c r="F52" s="5"/>
    </row>
    <row r="53" spans="1:6" x14ac:dyDescent="0.25">
      <c r="A53" t="s">
        <v>95</v>
      </c>
      <c r="C53" t="s">
        <v>137</v>
      </c>
      <c r="D53" t="str">
        <f t="shared" si="0"/>
        <v>Não</v>
      </c>
      <c r="F53" s="5"/>
    </row>
    <row r="54" spans="1:6" x14ac:dyDescent="0.25">
      <c r="A54" t="s">
        <v>95</v>
      </c>
      <c r="C54" t="s">
        <v>137</v>
      </c>
      <c r="D54" t="str">
        <f t="shared" si="0"/>
        <v>Não</v>
      </c>
      <c r="F54" s="5"/>
    </row>
    <row r="55" spans="1:6" x14ac:dyDescent="0.25">
      <c r="A55" t="s">
        <v>95</v>
      </c>
      <c r="C55" t="s">
        <v>136</v>
      </c>
      <c r="D55" t="str">
        <f t="shared" si="0"/>
        <v>Não</v>
      </c>
      <c r="F55" s="5"/>
    </row>
    <row r="56" spans="1:6" x14ac:dyDescent="0.25">
      <c r="A56" t="s">
        <v>95</v>
      </c>
      <c r="C56" t="s">
        <v>136</v>
      </c>
      <c r="D56" t="str">
        <f t="shared" si="0"/>
        <v>Não</v>
      </c>
      <c r="F56" s="5"/>
    </row>
    <row r="57" spans="1:6" x14ac:dyDescent="0.25">
      <c r="A57" t="s">
        <v>95</v>
      </c>
      <c r="C57" t="s">
        <v>136</v>
      </c>
      <c r="D57" t="str">
        <f t="shared" si="0"/>
        <v>Não</v>
      </c>
      <c r="F57" s="5"/>
    </row>
    <row r="58" spans="1:6" x14ac:dyDescent="0.25">
      <c r="A58" t="s">
        <v>95</v>
      </c>
      <c r="C58" t="s">
        <v>136</v>
      </c>
      <c r="D58" t="str">
        <f t="shared" si="0"/>
        <v>Não</v>
      </c>
      <c r="F58" s="5"/>
    </row>
    <row r="59" spans="1:6" x14ac:dyDescent="0.25">
      <c r="A59" t="s">
        <v>95</v>
      </c>
      <c r="C59" t="s">
        <v>44</v>
      </c>
      <c r="D59" t="str">
        <f t="shared" si="0"/>
        <v>Não</v>
      </c>
      <c r="F59" s="5"/>
    </row>
    <row r="60" spans="1:6" x14ac:dyDescent="0.25">
      <c r="A60" t="s">
        <v>95</v>
      </c>
      <c r="C60" t="s">
        <v>44</v>
      </c>
      <c r="D60" t="str">
        <f t="shared" si="0"/>
        <v>Não</v>
      </c>
      <c r="F60" s="5"/>
    </row>
    <row r="61" spans="1:6" x14ac:dyDescent="0.25">
      <c r="A61" t="s">
        <v>95</v>
      </c>
      <c r="C61" t="s">
        <v>44</v>
      </c>
      <c r="D61" t="str">
        <f t="shared" si="0"/>
        <v>Não</v>
      </c>
      <c r="F61" s="5"/>
    </row>
    <row r="62" spans="1:6" x14ac:dyDescent="0.25">
      <c r="A62" t="s">
        <v>95</v>
      </c>
      <c r="C62" t="s">
        <v>44</v>
      </c>
      <c r="D62" t="str">
        <f t="shared" si="0"/>
        <v>Não</v>
      </c>
      <c r="F62" s="5"/>
    </row>
    <row r="63" spans="1:6" x14ac:dyDescent="0.25">
      <c r="A63" t="s">
        <v>34</v>
      </c>
      <c r="C63" t="s">
        <v>139</v>
      </c>
      <c r="D63" t="str">
        <f t="shared" si="0"/>
        <v>Não</v>
      </c>
      <c r="F63" s="5"/>
    </row>
    <row r="64" spans="1:6" x14ac:dyDescent="0.25">
      <c r="A64" t="s">
        <v>34</v>
      </c>
      <c r="C64" t="s">
        <v>52</v>
      </c>
      <c r="D64" t="str">
        <f t="shared" si="0"/>
        <v>Não</v>
      </c>
      <c r="F64" s="5"/>
    </row>
    <row r="65" spans="1:6" x14ac:dyDescent="0.25">
      <c r="A65" t="s">
        <v>34</v>
      </c>
      <c r="C65" t="s">
        <v>154</v>
      </c>
      <c r="D65" t="str">
        <f t="shared" si="0"/>
        <v>Não</v>
      </c>
      <c r="F65" s="5"/>
    </row>
    <row r="66" spans="1:6" x14ac:dyDescent="0.25">
      <c r="A66" t="s">
        <v>34</v>
      </c>
      <c r="C66" t="s">
        <v>154</v>
      </c>
      <c r="D66" t="str">
        <f t="shared" si="0"/>
        <v>Não</v>
      </c>
      <c r="F66" s="5"/>
    </row>
    <row r="67" spans="1:6" x14ac:dyDescent="0.25">
      <c r="A67" t="s">
        <v>34</v>
      </c>
      <c r="C67" t="s">
        <v>155</v>
      </c>
      <c r="D67" t="str">
        <f t="shared" ref="D67:D77" si="2">IF(B67=C67, "Sim", "Não")</f>
        <v>Não</v>
      </c>
      <c r="F67" s="5"/>
    </row>
    <row r="68" spans="1:6" x14ac:dyDescent="0.25">
      <c r="A68" t="s">
        <v>34</v>
      </c>
      <c r="C68" t="s">
        <v>155</v>
      </c>
      <c r="D68" t="str">
        <f t="shared" si="2"/>
        <v>Não</v>
      </c>
      <c r="F68" s="5"/>
    </row>
    <row r="69" spans="1:6" x14ac:dyDescent="0.25">
      <c r="A69" t="s">
        <v>34</v>
      </c>
      <c r="C69" t="s">
        <v>155</v>
      </c>
      <c r="D69" t="str">
        <f t="shared" si="2"/>
        <v>Não</v>
      </c>
      <c r="F69" s="5"/>
    </row>
    <row r="70" spans="1:6" x14ac:dyDescent="0.25">
      <c r="A70" t="s">
        <v>34</v>
      </c>
      <c r="C70" t="s">
        <v>119</v>
      </c>
      <c r="D70" t="str">
        <f t="shared" si="2"/>
        <v>Não</v>
      </c>
      <c r="F70" s="5"/>
    </row>
    <row r="71" spans="1:6" x14ac:dyDescent="0.25">
      <c r="A71" t="s">
        <v>34</v>
      </c>
      <c r="C71" t="s">
        <v>119</v>
      </c>
      <c r="D71" t="str">
        <f t="shared" si="2"/>
        <v>Não</v>
      </c>
      <c r="F71" s="5"/>
    </row>
    <row r="72" spans="1:6" x14ac:dyDescent="0.25">
      <c r="A72" t="s">
        <v>34</v>
      </c>
      <c r="C72" t="s">
        <v>143</v>
      </c>
      <c r="D72" t="str">
        <f t="shared" si="2"/>
        <v>Não</v>
      </c>
      <c r="F72"/>
    </row>
    <row r="73" spans="1:6" x14ac:dyDescent="0.25">
      <c r="A73" t="s">
        <v>34</v>
      </c>
      <c r="C73" t="s">
        <v>144</v>
      </c>
      <c r="D73" t="str">
        <f t="shared" si="2"/>
        <v>Não</v>
      </c>
      <c r="F73"/>
    </row>
    <row r="74" spans="1:6" x14ac:dyDescent="0.25">
      <c r="A74" t="s">
        <v>34</v>
      </c>
      <c r="C74" t="s">
        <v>144</v>
      </c>
      <c r="D74" t="str">
        <f t="shared" si="2"/>
        <v>Não</v>
      </c>
      <c r="F74"/>
    </row>
    <row r="75" spans="1:6" x14ac:dyDescent="0.25">
      <c r="A75" t="s">
        <v>34</v>
      </c>
      <c r="C75" t="s">
        <v>116</v>
      </c>
      <c r="D75" t="str">
        <f t="shared" si="2"/>
        <v>Não</v>
      </c>
      <c r="F75"/>
    </row>
    <row r="76" spans="1:6" x14ac:dyDescent="0.25">
      <c r="A76" t="s">
        <v>34</v>
      </c>
      <c r="C76" t="s">
        <v>116</v>
      </c>
      <c r="D76" t="str">
        <f t="shared" si="2"/>
        <v>Não</v>
      </c>
      <c r="F76"/>
    </row>
    <row r="77" spans="1:6" x14ac:dyDescent="0.25">
      <c r="A77" t="s">
        <v>34</v>
      </c>
      <c r="C77" t="s">
        <v>116</v>
      </c>
      <c r="D77" t="str">
        <f t="shared" si="2"/>
        <v>Não</v>
      </c>
      <c r="F77"/>
    </row>
    <row r="78" spans="1:6" x14ac:dyDescent="0.25">
      <c r="A78"/>
      <c r="F78"/>
    </row>
    <row r="79" spans="1:6" x14ac:dyDescent="0.25">
      <c r="A79"/>
      <c r="F79"/>
    </row>
    <row r="80" spans="1:6" x14ac:dyDescent="0.25">
      <c r="A80"/>
      <c r="F80" s="5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A44E-DC72-47D6-81CA-BB6FB8462634}">
  <dimension ref="A1:I94"/>
  <sheetViews>
    <sheetView workbookViewId="0">
      <selection activeCell="B3" sqref="B3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  <col min="9" max="9" width="24.5703125" bestFit="1" customWidth="1"/>
  </cols>
  <sheetData>
    <row r="1" spans="1:9" ht="21" x14ac:dyDescent="0.25">
      <c r="A1" s="19" t="s">
        <v>176</v>
      </c>
      <c r="B1" s="19"/>
      <c r="C1" s="19"/>
      <c r="D1" s="19"/>
      <c r="E1" s="19"/>
      <c r="F1" s="19"/>
      <c r="G1" s="19"/>
    </row>
    <row r="2" spans="1:9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9" x14ac:dyDescent="0.25">
      <c r="A3" t="s">
        <v>1</v>
      </c>
      <c r="B3" t="s">
        <v>56</v>
      </c>
      <c r="C3" t="s">
        <v>56</v>
      </c>
      <c r="D3" t="str">
        <f t="shared" ref="D3:D66" si="0">IF(B3=C3, "Sim", "Não")</f>
        <v>Sim</v>
      </c>
      <c r="F3" s="4" t="s">
        <v>10</v>
      </c>
      <c r="G3" s="3">
        <f>COUNTIF(D3:D99,"Não")</f>
        <v>21</v>
      </c>
      <c r="I3" t="s">
        <v>152</v>
      </c>
    </row>
    <row r="4" spans="1:9" x14ac:dyDescent="0.25">
      <c r="A4" t="s">
        <v>1</v>
      </c>
      <c r="B4" t="s">
        <v>56</v>
      </c>
      <c r="C4" t="s">
        <v>56</v>
      </c>
      <c r="D4" t="str">
        <f t="shared" si="0"/>
        <v>Sim</v>
      </c>
      <c r="F4" s="4" t="s">
        <v>11</v>
      </c>
      <c r="G4" s="3">
        <f>SUM(G7:G21)</f>
        <v>75</v>
      </c>
      <c r="I4" t="s">
        <v>166</v>
      </c>
    </row>
    <row r="5" spans="1:9" x14ac:dyDescent="0.25">
      <c r="A5" t="s">
        <v>1</v>
      </c>
      <c r="B5" t="s">
        <v>56</v>
      </c>
      <c r="C5" t="s">
        <v>56</v>
      </c>
      <c r="D5" t="str">
        <f t="shared" si="0"/>
        <v>Sim</v>
      </c>
      <c r="I5" t="s">
        <v>167</v>
      </c>
    </row>
    <row r="6" spans="1:9" x14ac:dyDescent="0.25">
      <c r="A6" t="s">
        <v>1</v>
      </c>
      <c r="B6" t="s">
        <v>56</v>
      </c>
      <c r="C6" t="s">
        <v>56</v>
      </c>
      <c r="D6" t="str">
        <f t="shared" si="0"/>
        <v>Sim</v>
      </c>
      <c r="F6" s="6" t="s">
        <v>3</v>
      </c>
      <c r="G6" s="1"/>
      <c r="I6" t="s">
        <v>168</v>
      </c>
    </row>
    <row r="7" spans="1:9" x14ac:dyDescent="0.25">
      <c r="A7" t="s">
        <v>1</v>
      </c>
      <c r="B7" t="s">
        <v>89</v>
      </c>
      <c r="C7" t="s">
        <v>89</v>
      </c>
      <c r="D7" t="str">
        <f t="shared" si="0"/>
        <v>Sim</v>
      </c>
      <c r="F7" s="7" t="s">
        <v>1</v>
      </c>
      <c r="G7" s="2">
        <f t="shared" ref="G7:G11" si="1">COUNTIF(A:A,F7)</f>
        <v>20</v>
      </c>
      <c r="I7" t="s">
        <v>169</v>
      </c>
    </row>
    <row r="8" spans="1:9" x14ac:dyDescent="0.25">
      <c r="A8" t="s">
        <v>1</v>
      </c>
      <c r="B8" t="s">
        <v>89</v>
      </c>
      <c r="C8" t="s">
        <v>89</v>
      </c>
      <c r="D8" t="str">
        <f t="shared" si="0"/>
        <v>Sim</v>
      </c>
      <c r="F8" s="7" t="s">
        <v>43</v>
      </c>
      <c r="G8" s="2">
        <f t="shared" si="1"/>
        <v>20</v>
      </c>
      <c r="I8" t="s">
        <v>18</v>
      </c>
    </row>
    <row r="9" spans="1:9" x14ac:dyDescent="0.25">
      <c r="A9" t="s">
        <v>1</v>
      </c>
      <c r="B9" t="s">
        <v>142</v>
      </c>
      <c r="C9" t="s">
        <v>142</v>
      </c>
      <c r="D9" t="str">
        <f t="shared" si="0"/>
        <v>Sim</v>
      </c>
      <c r="F9" s="7" t="s">
        <v>95</v>
      </c>
      <c r="G9" s="2">
        <f t="shared" si="1"/>
        <v>10</v>
      </c>
      <c r="I9" t="s">
        <v>170</v>
      </c>
    </row>
    <row r="10" spans="1:9" x14ac:dyDescent="0.25">
      <c r="A10" t="s">
        <v>1</v>
      </c>
      <c r="B10" t="s">
        <v>14</v>
      </c>
      <c r="C10" t="s">
        <v>161</v>
      </c>
      <c r="D10" t="str">
        <f t="shared" si="0"/>
        <v>Não</v>
      </c>
      <c r="F10" s="7" t="s">
        <v>164</v>
      </c>
      <c r="G10" s="2">
        <f t="shared" si="1"/>
        <v>10</v>
      </c>
      <c r="I10" t="s">
        <v>171</v>
      </c>
    </row>
    <row r="11" spans="1:9" x14ac:dyDescent="0.25">
      <c r="A11" t="s">
        <v>1</v>
      </c>
      <c r="B11" t="s">
        <v>60</v>
      </c>
      <c r="C11" t="s">
        <v>141</v>
      </c>
      <c r="D11" t="str">
        <f t="shared" si="0"/>
        <v>Não</v>
      </c>
      <c r="F11" s="7" t="s">
        <v>34</v>
      </c>
      <c r="G11" s="2">
        <f t="shared" si="1"/>
        <v>15</v>
      </c>
      <c r="I11" t="s">
        <v>172</v>
      </c>
    </row>
    <row r="12" spans="1:9" x14ac:dyDescent="0.25">
      <c r="A12" t="s">
        <v>1</v>
      </c>
      <c r="B12" t="s">
        <v>60</v>
      </c>
      <c r="C12" t="s">
        <v>141</v>
      </c>
      <c r="D12" t="str">
        <f t="shared" si="0"/>
        <v>Não</v>
      </c>
      <c r="F12" s="7"/>
      <c r="G12" s="2"/>
      <c r="I12" t="s">
        <v>17</v>
      </c>
    </row>
    <row r="13" spans="1:9" x14ac:dyDescent="0.25">
      <c r="A13" t="s">
        <v>1</v>
      </c>
      <c r="B13" t="s">
        <v>90</v>
      </c>
      <c r="C13" t="s">
        <v>162</v>
      </c>
      <c r="D13" t="str">
        <f t="shared" si="0"/>
        <v>Não</v>
      </c>
      <c r="F13" s="7"/>
      <c r="G13" s="2"/>
      <c r="I13" t="s">
        <v>16</v>
      </c>
    </row>
    <row r="14" spans="1:9" x14ac:dyDescent="0.25">
      <c r="A14" t="s">
        <v>1</v>
      </c>
      <c r="B14" t="s">
        <v>90</v>
      </c>
      <c r="C14" t="s">
        <v>162</v>
      </c>
      <c r="D14" t="str">
        <f t="shared" si="0"/>
        <v>Não</v>
      </c>
      <c r="F14" s="7"/>
      <c r="G14" s="2"/>
      <c r="I14" t="s">
        <v>173</v>
      </c>
    </row>
    <row r="15" spans="1:9" x14ac:dyDescent="0.25">
      <c r="A15" t="s">
        <v>1</v>
      </c>
      <c r="B15" t="s">
        <v>145</v>
      </c>
      <c r="C15" t="s">
        <v>163</v>
      </c>
      <c r="D15" t="str">
        <f t="shared" si="0"/>
        <v>Não</v>
      </c>
      <c r="F15" s="5"/>
      <c r="G15" s="2"/>
      <c r="I15" t="s">
        <v>165</v>
      </c>
    </row>
    <row r="16" spans="1:9" x14ac:dyDescent="0.25">
      <c r="A16" t="s">
        <v>1</v>
      </c>
      <c r="B16" t="s">
        <v>145</v>
      </c>
      <c r="C16" t="s">
        <v>163</v>
      </c>
      <c r="D16" t="str">
        <f t="shared" si="0"/>
        <v>Não</v>
      </c>
      <c r="F16" s="5"/>
      <c r="G16" s="2"/>
    </row>
    <row r="17" spans="1:7" x14ac:dyDescent="0.25">
      <c r="A17" t="s">
        <v>1</v>
      </c>
      <c r="B17" t="s">
        <v>158</v>
      </c>
      <c r="C17" t="s">
        <v>158</v>
      </c>
      <c r="D17" t="str">
        <f t="shared" si="0"/>
        <v>Sim</v>
      </c>
      <c r="F17" s="5"/>
      <c r="G17" s="2"/>
    </row>
    <row r="18" spans="1:7" x14ac:dyDescent="0.25">
      <c r="A18" t="s">
        <v>1</v>
      </c>
      <c r="B18" t="s">
        <v>13</v>
      </c>
      <c r="C18" t="s">
        <v>159</v>
      </c>
      <c r="D18" t="str">
        <f t="shared" si="0"/>
        <v>Não</v>
      </c>
      <c r="F18" s="5"/>
    </row>
    <row r="19" spans="1:7" x14ac:dyDescent="0.25">
      <c r="A19" t="s">
        <v>1</v>
      </c>
      <c r="B19" t="s">
        <v>13</v>
      </c>
      <c r="C19" t="s">
        <v>13</v>
      </c>
      <c r="D19" t="str">
        <f t="shared" si="0"/>
        <v>Sim</v>
      </c>
      <c r="F19" s="5"/>
    </row>
    <row r="20" spans="1:7" x14ac:dyDescent="0.25">
      <c r="A20" t="s">
        <v>1</v>
      </c>
      <c r="B20" t="s">
        <v>13</v>
      </c>
      <c r="C20" t="s">
        <v>13</v>
      </c>
      <c r="D20" t="str">
        <f t="shared" si="0"/>
        <v>Sim</v>
      </c>
      <c r="F20" s="5"/>
    </row>
    <row r="21" spans="1:7" x14ac:dyDescent="0.25">
      <c r="A21" t="s">
        <v>1</v>
      </c>
      <c r="B21" t="s">
        <v>12</v>
      </c>
      <c r="C21" t="s">
        <v>12</v>
      </c>
      <c r="D21" t="str">
        <f t="shared" si="0"/>
        <v>Sim</v>
      </c>
      <c r="F21" s="5"/>
    </row>
    <row r="22" spans="1:7" x14ac:dyDescent="0.25">
      <c r="A22" t="s">
        <v>1</v>
      </c>
      <c r="B22" t="s">
        <v>14</v>
      </c>
      <c r="C22" t="s">
        <v>14</v>
      </c>
      <c r="D22" t="str">
        <f t="shared" si="0"/>
        <v>Sim</v>
      </c>
      <c r="F22" s="5"/>
    </row>
    <row r="23" spans="1:7" x14ac:dyDescent="0.25">
      <c r="A23" t="s">
        <v>164</v>
      </c>
      <c r="B23" t="s">
        <v>151</v>
      </c>
      <c r="C23" t="s">
        <v>151</v>
      </c>
      <c r="D23" t="str">
        <f t="shared" si="0"/>
        <v>Sim</v>
      </c>
      <c r="E23" t="s">
        <v>220</v>
      </c>
      <c r="F23" s="5"/>
    </row>
    <row r="24" spans="1:7" x14ac:dyDescent="0.25">
      <c r="A24" t="s">
        <v>164</v>
      </c>
      <c r="B24" t="s">
        <v>151</v>
      </c>
      <c r="C24" t="s">
        <v>151</v>
      </c>
      <c r="D24" t="str">
        <f t="shared" si="0"/>
        <v>Sim</v>
      </c>
      <c r="F24" s="5"/>
    </row>
    <row r="25" spans="1:7" x14ac:dyDescent="0.25">
      <c r="A25" t="s">
        <v>164</v>
      </c>
      <c r="B25" t="s">
        <v>92</v>
      </c>
      <c r="C25" t="s">
        <v>92</v>
      </c>
      <c r="D25" t="str">
        <f t="shared" si="0"/>
        <v>Sim</v>
      </c>
      <c r="F25" s="5"/>
    </row>
    <row r="26" spans="1:7" x14ac:dyDescent="0.25">
      <c r="A26" t="s">
        <v>164</v>
      </c>
      <c r="B26" t="s">
        <v>92</v>
      </c>
      <c r="C26" t="s">
        <v>92</v>
      </c>
      <c r="D26" t="str">
        <f t="shared" si="0"/>
        <v>Sim</v>
      </c>
      <c r="F26" s="5"/>
    </row>
    <row r="27" spans="1:7" x14ac:dyDescent="0.25">
      <c r="A27" t="s">
        <v>164</v>
      </c>
      <c r="B27" t="s">
        <v>92</v>
      </c>
      <c r="C27" t="s">
        <v>92</v>
      </c>
      <c r="D27" t="str">
        <f t="shared" si="0"/>
        <v>Sim</v>
      </c>
      <c r="F27" s="5"/>
    </row>
    <row r="28" spans="1:7" x14ac:dyDescent="0.25">
      <c r="A28" t="s">
        <v>164</v>
      </c>
      <c r="B28" t="s">
        <v>92</v>
      </c>
      <c r="C28" t="s">
        <v>92</v>
      </c>
      <c r="D28" t="str">
        <f t="shared" si="0"/>
        <v>Sim</v>
      </c>
      <c r="F28" s="5"/>
    </row>
    <row r="29" spans="1:7" x14ac:dyDescent="0.25">
      <c r="A29" t="s">
        <v>164</v>
      </c>
      <c r="B29" t="s">
        <v>121</v>
      </c>
      <c r="C29" t="s">
        <v>121</v>
      </c>
      <c r="D29" t="str">
        <f t="shared" si="0"/>
        <v>Sim</v>
      </c>
      <c r="F29" s="5"/>
    </row>
    <row r="30" spans="1:7" x14ac:dyDescent="0.25">
      <c r="A30" t="s">
        <v>164</v>
      </c>
      <c r="B30" t="s">
        <v>121</v>
      </c>
      <c r="C30" t="s">
        <v>121</v>
      </c>
      <c r="D30" t="str">
        <f t="shared" si="0"/>
        <v>Sim</v>
      </c>
      <c r="F30" s="5"/>
    </row>
    <row r="31" spans="1:7" x14ac:dyDescent="0.25">
      <c r="A31" t="s">
        <v>164</v>
      </c>
      <c r="B31" t="s">
        <v>121</v>
      </c>
      <c r="C31" t="s">
        <v>121</v>
      </c>
      <c r="D31" t="str">
        <f t="shared" si="0"/>
        <v>Sim</v>
      </c>
      <c r="F31" s="5"/>
    </row>
    <row r="32" spans="1:7" x14ac:dyDescent="0.25">
      <c r="A32" t="s">
        <v>164</v>
      </c>
      <c r="B32" t="s">
        <v>121</v>
      </c>
      <c r="C32" t="s">
        <v>121</v>
      </c>
      <c r="D32" t="str">
        <f t="shared" si="0"/>
        <v>Sim</v>
      </c>
      <c r="F32" s="5"/>
    </row>
    <row r="33" spans="1:6" x14ac:dyDescent="0.25">
      <c r="A33" t="s">
        <v>43</v>
      </c>
      <c r="B33" t="s">
        <v>117</v>
      </c>
      <c r="C33" t="s">
        <v>117</v>
      </c>
      <c r="D33" t="str">
        <f t="shared" si="0"/>
        <v>Sim</v>
      </c>
      <c r="F33" s="5"/>
    </row>
    <row r="34" spans="1:6" x14ac:dyDescent="0.25">
      <c r="A34" t="s">
        <v>43</v>
      </c>
      <c r="B34" t="s">
        <v>117</v>
      </c>
      <c r="C34" t="s">
        <v>117</v>
      </c>
      <c r="D34" t="str">
        <f t="shared" si="0"/>
        <v>Sim</v>
      </c>
      <c r="F34" s="5"/>
    </row>
    <row r="35" spans="1:6" x14ac:dyDescent="0.25">
      <c r="A35" t="s">
        <v>43</v>
      </c>
      <c r="B35" t="s">
        <v>117</v>
      </c>
      <c r="C35" t="s">
        <v>117</v>
      </c>
      <c r="D35" t="str">
        <f t="shared" si="0"/>
        <v>Sim</v>
      </c>
      <c r="F35" s="5"/>
    </row>
    <row r="36" spans="1:6" x14ac:dyDescent="0.25">
      <c r="A36" t="s">
        <v>43</v>
      </c>
      <c r="B36" t="s">
        <v>117</v>
      </c>
      <c r="C36" t="s">
        <v>117</v>
      </c>
      <c r="D36" t="str">
        <f t="shared" si="0"/>
        <v>Sim</v>
      </c>
      <c r="F36" s="5"/>
    </row>
    <row r="37" spans="1:6" x14ac:dyDescent="0.25">
      <c r="A37" t="s">
        <v>43</v>
      </c>
      <c r="B37" t="s">
        <v>48</v>
      </c>
      <c r="C37" t="s">
        <v>48</v>
      </c>
      <c r="D37" t="str">
        <f t="shared" si="0"/>
        <v>Sim</v>
      </c>
      <c r="F37" s="5"/>
    </row>
    <row r="38" spans="1:6" x14ac:dyDescent="0.25">
      <c r="A38" t="s">
        <v>43</v>
      </c>
      <c r="B38" t="s">
        <v>48</v>
      </c>
      <c r="C38" t="s">
        <v>48</v>
      </c>
      <c r="D38" t="str">
        <f t="shared" si="0"/>
        <v>Sim</v>
      </c>
      <c r="F38" s="5"/>
    </row>
    <row r="39" spans="1:6" x14ac:dyDescent="0.25">
      <c r="A39" t="s">
        <v>43</v>
      </c>
      <c r="B39" t="s">
        <v>48</v>
      </c>
      <c r="C39" t="s">
        <v>48</v>
      </c>
      <c r="D39" t="str">
        <f t="shared" si="0"/>
        <v>Sim</v>
      </c>
      <c r="F39" s="5"/>
    </row>
    <row r="40" spans="1:6" x14ac:dyDescent="0.25">
      <c r="A40" t="s">
        <v>43</v>
      </c>
      <c r="B40" t="s">
        <v>48</v>
      </c>
      <c r="C40" t="s">
        <v>48</v>
      </c>
      <c r="D40" t="str">
        <f t="shared" si="0"/>
        <v>Sim</v>
      </c>
      <c r="F40" s="5"/>
    </row>
    <row r="41" spans="1:6" x14ac:dyDescent="0.25">
      <c r="A41" t="s">
        <v>43</v>
      </c>
      <c r="B41" t="s">
        <v>149</v>
      </c>
      <c r="C41" t="s">
        <v>149</v>
      </c>
      <c r="D41" t="str">
        <f t="shared" si="0"/>
        <v>Sim</v>
      </c>
      <c r="F41" s="5"/>
    </row>
    <row r="42" spans="1:6" x14ac:dyDescent="0.25">
      <c r="A42" t="s">
        <v>43</v>
      </c>
      <c r="B42" t="s">
        <v>149</v>
      </c>
      <c r="C42" t="s">
        <v>149</v>
      </c>
      <c r="D42" t="str">
        <f t="shared" si="0"/>
        <v>Sim</v>
      </c>
      <c r="F42" s="5"/>
    </row>
    <row r="43" spans="1:6" x14ac:dyDescent="0.25">
      <c r="A43" t="s">
        <v>43</v>
      </c>
      <c r="B43" t="s">
        <v>150</v>
      </c>
      <c r="C43" t="s">
        <v>150</v>
      </c>
      <c r="D43" t="str">
        <f t="shared" si="0"/>
        <v>Sim</v>
      </c>
      <c r="F43" s="5"/>
    </row>
    <row r="44" spans="1:6" x14ac:dyDescent="0.25">
      <c r="A44" t="s">
        <v>43</v>
      </c>
      <c r="B44" t="s">
        <v>12</v>
      </c>
      <c r="C44" t="s">
        <v>150</v>
      </c>
      <c r="D44" t="str">
        <f t="shared" si="0"/>
        <v>Não</v>
      </c>
      <c r="F44" s="5"/>
    </row>
    <row r="45" spans="1:6" x14ac:dyDescent="0.25">
      <c r="A45" t="s">
        <v>43</v>
      </c>
      <c r="B45" t="s">
        <v>150</v>
      </c>
      <c r="C45" t="s">
        <v>150</v>
      </c>
      <c r="D45" t="str">
        <f t="shared" si="0"/>
        <v>Sim</v>
      </c>
      <c r="E45" t="s">
        <v>221</v>
      </c>
      <c r="F45" s="5"/>
    </row>
    <row r="46" spans="1:6" x14ac:dyDescent="0.25">
      <c r="A46" t="s">
        <v>43</v>
      </c>
      <c r="B46" t="s">
        <v>44</v>
      </c>
      <c r="C46" t="s">
        <v>150</v>
      </c>
      <c r="D46" t="str">
        <f t="shared" si="0"/>
        <v>Não</v>
      </c>
      <c r="F46" s="5"/>
    </row>
    <row r="47" spans="1:6" x14ac:dyDescent="0.25">
      <c r="A47" t="s">
        <v>43</v>
      </c>
      <c r="B47" t="s">
        <v>137</v>
      </c>
      <c r="C47" s="5" t="s">
        <v>160</v>
      </c>
      <c r="D47" t="str">
        <f t="shared" si="0"/>
        <v>Não</v>
      </c>
      <c r="F47" s="5"/>
    </row>
    <row r="48" spans="1:6" x14ac:dyDescent="0.25">
      <c r="A48" t="s">
        <v>43</v>
      </c>
      <c r="B48" t="s">
        <v>129</v>
      </c>
      <c r="C48" s="5" t="s">
        <v>160</v>
      </c>
      <c r="D48" t="str">
        <f t="shared" si="0"/>
        <v>Não</v>
      </c>
      <c r="F48" s="5"/>
    </row>
    <row r="49" spans="1:6" x14ac:dyDescent="0.25">
      <c r="A49" t="s">
        <v>43</v>
      </c>
      <c r="B49" s="5" t="s">
        <v>174</v>
      </c>
      <c r="C49" s="5" t="s">
        <v>174</v>
      </c>
      <c r="D49" t="str">
        <f t="shared" si="0"/>
        <v>Sim</v>
      </c>
      <c r="F49" s="5"/>
    </row>
    <row r="50" spans="1:6" x14ac:dyDescent="0.25">
      <c r="A50" t="s">
        <v>43</v>
      </c>
      <c r="B50" s="5" t="s">
        <v>174</v>
      </c>
      <c r="C50" s="5" t="s">
        <v>174</v>
      </c>
      <c r="D50" t="str">
        <f t="shared" si="0"/>
        <v>Sim</v>
      </c>
      <c r="F50" s="5"/>
    </row>
    <row r="51" spans="1:6" x14ac:dyDescent="0.25">
      <c r="A51" t="s">
        <v>43</v>
      </c>
      <c r="B51" t="s">
        <v>128</v>
      </c>
      <c r="C51" t="s">
        <v>120</v>
      </c>
      <c r="D51" t="str">
        <f t="shared" si="0"/>
        <v>Não</v>
      </c>
      <c r="F51" s="5"/>
    </row>
    <row r="52" spans="1:6" x14ac:dyDescent="0.25">
      <c r="A52" t="s">
        <v>43</v>
      </c>
      <c r="B52" t="s">
        <v>129</v>
      </c>
      <c r="C52" t="s">
        <v>120</v>
      </c>
      <c r="D52" t="str">
        <f t="shared" si="0"/>
        <v>Não</v>
      </c>
      <c r="F52" s="5"/>
    </row>
    <row r="53" spans="1:6" x14ac:dyDescent="0.25">
      <c r="A53" t="s">
        <v>95</v>
      </c>
      <c r="B53" t="s">
        <v>128</v>
      </c>
      <c r="C53" t="s">
        <v>128</v>
      </c>
      <c r="D53" t="str">
        <f t="shared" si="0"/>
        <v>Sim</v>
      </c>
      <c r="F53" s="5"/>
    </row>
    <row r="54" spans="1:6" x14ac:dyDescent="0.25">
      <c r="A54" t="s">
        <v>95</v>
      </c>
      <c r="B54" t="s">
        <v>129</v>
      </c>
      <c r="C54" t="s">
        <v>129</v>
      </c>
      <c r="D54" t="str">
        <f t="shared" si="0"/>
        <v>Sim</v>
      </c>
      <c r="F54" s="5"/>
    </row>
    <row r="55" spans="1:6" x14ac:dyDescent="0.25">
      <c r="A55" t="s">
        <v>95</v>
      </c>
      <c r="B55" t="s">
        <v>136</v>
      </c>
      <c r="C55" t="s">
        <v>136</v>
      </c>
      <c r="D55" t="str">
        <f t="shared" si="0"/>
        <v>Sim</v>
      </c>
      <c r="F55" s="5"/>
    </row>
    <row r="56" spans="1:6" x14ac:dyDescent="0.25">
      <c r="A56" t="s">
        <v>95</v>
      </c>
      <c r="B56" t="s">
        <v>136</v>
      </c>
      <c r="C56" t="s">
        <v>136</v>
      </c>
      <c r="D56" t="str">
        <f t="shared" si="0"/>
        <v>Sim</v>
      </c>
      <c r="F56" s="5"/>
    </row>
    <row r="57" spans="1:6" x14ac:dyDescent="0.25">
      <c r="A57" t="s">
        <v>95</v>
      </c>
      <c r="B57" t="s">
        <v>136</v>
      </c>
      <c r="C57" t="s">
        <v>136</v>
      </c>
      <c r="D57" t="str">
        <f t="shared" si="0"/>
        <v>Sim</v>
      </c>
      <c r="F57" s="5"/>
    </row>
    <row r="58" spans="1:6" x14ac:dyDescent="0.25">
      <c r="A58" t="s">
        <v>95</v>
      </c>
      <c r="B58" t="s">
        <v>136</v>
      </c>
      <c r="C58" t="s">
        <v>136</v>
      </c>
      <c r="D58" t="str">
        <f t="shared" si="0"/>
        <v>Sim</v>
      </c>
      <c r="F58" s="5"/>
    </row>
    <row r="59" spans="1:6" x14ac:dyDescent="0.25">
      <c r="A59" t="s">
        <v>95</v>
      </c>
      <c r="B59" t="s">
        <v>137</v>
      </c>
      <c r="C59" t="s">
        <v>137</v>
      </c>
      <c r="D59" t="str">
        <f t="shared" si="0"/>
        <v>Sim</v>
      </c>
      <c r="F59" s="5"/>
    </row>
    <row r="60" spans="1:6" x14ac:dyDescent="0.25">
      <c r="A60" t="s">
        <v>95</v>
      </c>
      <c r="B60" t="s">
        <v>137</v>
      </c>
      <c r="C60" t="s">
        <v>137</v>
      </c>
      <c r="D60" t="str">
        <f t="shared" si="0"/>
        <v>Sim</v>
      </c>
      <c r="F60" s="5"/>
    </row>
    <row r="61" spans="1:6" x14ac:dyDescent="0.25">
      <c r="A61" t="s">
        <v>95</v>
      </c>
      <c r="B61" t="s">
        <v>44</v>
      </c>
      <c r="C61" t="s">
        <v>44</v>
      </c>
      <c r="D61" t="str">
        <f t="shared" si="0"/>
        <v>Sim</v>
      </c>
      <c r="F61" s="5"/>
    </row>
    <row r="62" spans="1:6" x14ac:dyDescent="0.25">
      <c r="A62" t="s">
        <v>95</v>
      </c>
      <c r="B62" t="s">
        <v>44</v>
      </c>
      <c r="C62" t="s">
        <v>44</v>
      </c>
      <c r="D62" t="str">
        <f t="shared" si="0"/>
        <v>Sim</v>
      </c>
      <c r="F62" s="5"/>
    </row>
    <row r="63" spans="1:6" x14ac:dyDescent="0.25">
      <c r="A63" t="s">
        <v>34</v>
      </c>
      <c r="B63" t="s">
        <v>224</v>
      </c>
      <c r="C63" t="s">
        <v>224</v>
      </c>
      <c r="D63" t="str">
        <f t="shared" si="0"/>
        <v>Sim</v>
      </c>
      <c r="E63" t="s">
        <v>221</v>
      </c>
      <c r="F63" s="5"/>
    </row>
    <row r="64" spans="1:6" x14ac:dyDescent="0.25">
      <c r="A64" t="s">
        <v>34</v>
      </c>
      <c r="B64" t="s">
        <v>224</v>
      </c>
      <c r="C64" t="s">
        <v>224</v>
      </c>
      <c r="D64" t="str">
        <f t="shared" si="0"/>
        <v>Sim</v>
      </c>
      <c r="E64" t="s">
        <v>221</v>
      </c>
      <c r="F64" s="5"/>
    </row>
    <row r="65" spans="1:6" x14ac:dyDescent="0.25">
      <c r="A65" t="s">
        <v>34</v>
      </c>
      <c r="B65" t="s">
        <v>139</v>
      </c>
      <c r="C65" t="s">
        <v>139</v>
      </c>
      <c r="D65" t="str">
        <f t="shared" si="0"/>
        <v>Sim</v>
      </c>
      <c r="F65" s="5"/>
    </row>
    <row r="66" spans="1:6" x14ac:dyDescent="0.25">
      <c r="A66" t="s">
        <v>34</v>
      </c>
      <c r="B66" t="s">
        <v>223</v>
      </c>
      <c r="C66" t="s">
        <v>139</v>
      </c>
      <c r="D66" t="str">
        <f t="shared" si="0"/>
        <v>Não</v>
      </c>
      <c r="F66" s="5"/>
    </row>
    <row r="67" spans="1:6" x14ac:dyDescent="0.25">
      <c r="A67" t="s">
        <v>34</v>
      </c>
      <c r="B67" t="s">
        <v>139</v>
      </c>
      <c r="C67" t="s">
        <v>139</v>
      </c>
      <c r="D67" t="str">
        <f t="shared" ref="D67:D77" si="2">IF(B67=C67, "Sim", "Não")</f>
        <v>Sim</v>
      </c>
      <c r="E67" t="s">
        <v>119</v>
      </c>
      <c r="F67" s="5"/>
    </row>
    <row r="68" spans="1:6" x14ac:dyDescent="0.25">
      <c r="A68" t="s">
        <v>34</v>
      </c>
      <c r="B68" t="s">
        <v>225</v>
      </c>
      <c r="C68" t="s">
        <v>139</v>
      </c>
      <c r="D68" t="str">
        <f t="shared" si="2"/>
        <v>Não</v>
      </c>
      <c r="F68" s="5"/>
    </row>
    <row r="69" spans="1:6" x14ac:dyDescent="0.25">
      <c r="A69" t="s">
        <v>34</v>
      </c>
      <c r="B69" t="s">
        <v>155</v>
      </c>
      <c r="C69" t="s">
        <v>155</v>
      </c>
      <c r="D69" t="str">
        <f t="shared" si="2"/>
        <v>Sim</v>
      </c>
      <c r="F69" s="5"/>
    </row>
    <row r="70" spans="1:6" x14ac:dyDescent="0.25">
      <c r="A70" t="s">
        <v>34</v>
      </c>
      <c r="B70" t="s">
        <v>155</v>
      </c>
      <c r="C70" t="s">
        <v>155</v>
      </c>
      <c r="D70" t="str">
        <f t="shared" si="2"/>
        <v>Sim</v>
      </c>
      <c r="F70" s="5"/>
    </row>
    <row r="71" spans="1:6" x14ac:dyDescent="0.25">
      <c r="A71" t="s">
        <v>34</v>
      </c>
      <c r="B71" t="s">
        <v>119</v>
      </c>
      <c r="C71" t="s">
        <v>156</v>
      </c>
      <c r="D71" t="str">
        <f t="shared" si="2"/>
        <v>Não</v>
      </c>
      <c r="F71" s="5"/>
    </row>
    <row r="72" spans="1:6" x14ac:dyDescent="0.25">
      <c r="A72" t="s">
        <v>34</v>
      </c>
      <c r="B72" t="s">
        <v>119</v>
      </c>
      <c r="C72" t="s">
        <v>156</v>
      </c>
      <c r="D72" t="str">
        <f t="shared" si="2"/>
        <v>Não</v>
      </c>
      <c r="F72"/>
    </row>
    <row r="73" spans="1:6" x14ac:dyDescent="0.25">
      <c r="A73" t="s">
        <v>34</v>
      </c>
      <c r="B73" t="s">
        <v>144</v>
      </c>
      <c r="C73" t="s">
        <v>144</v>
      </c>
      <c r="D73" t="str">
        <f t="shared" si="2"/>
        <v>Sim</v>
      </c>
      <c r="F73"/>
    </row>
    <row r="74" spans="1:6" x14ac:dyDescent="0.25">
      <c r="A74" t="s">
        <v>34</v>
      </c>
      <c r="B74" t="s">
        <v>144</v>
      </c>
      <c r="C74" t="s">
        <v>144</v>
      </c>
      <c r="D74" t="str">
        <f t="shared" si="2"/>
        <v>Sim</v>
      </c>
      <c r="F74"/>
    </row>
    <row r="75" spans="1:6" x14ac:dyDescent="0.25">
      <c r="A75" t="s">
        <v>34</v>
      </c>
      <c r="B75" t="s">
        <v>237</v>
      </c>
      <c r="C75" t="s">
        <v>157</v>
      </c>
      <c r="D75" t="str">
        <f t="shared" si="2"/>
        <v>Não</v>
      </c>
      <c r="F75"/>
    </row>
    <row r="76" spans="1:6" x14ac:dyDescent="0.25">
      <c r="A76" t="s">
        <v>34</v>
      </c>
      <c r="B76" t="s">
        <v>98</v>
      </c>
      <c r="C76" t="s">
        <v>153</v>
      </c>
      <c r="D76" t="str">
        <f t="shared" si="2"/>
        <v>Não</v>
      </c>
      <c r="F76"/>
    </row>
    <row r="77" spans="1:6" x14ac:dyDescent="0.25">
      <c r="A77" t="s">
        <v>34</v>
      </c>
      <c r="B77" t="s">
        <v>222</v>
      </c>
      <c r="C77" t="s">
        <v>153</v>
      </c>
      <c r="D77" t="str">
        <f t="shared" si="2"/>
        <v>Não</v>
      </c>
      <c r="F77"/>
    </row>
    <row r="78" spans="1:6" x14ac:dyDescent="0.25">
      <c r="A78"/>
      <c r="F78"/>
    </row>
    <row r="79" spans="1:6" x14ac:dyDescent="0.25">
      <c r="A79"/>
      <c r="F79"/>
    </row>
    <row r="80" spans="1:6" x14ac:dyDescent="0.25">
      <c r="A80"/>
      <c r="F80" s="5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A617-7D06-4DC0-88EB-72B489EEE4CC}">
  <dimension ref="A1:I94"/>
  <sheetViews>
    <sheetView topLeftCell="A45" workbookViewId="0">
      <selection activeCell="C66" sqref="C66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  <col min="9" max="9" width="24.5703125" bestFit="1" customWidth="1"/>
  </cols>
  <sheetData>
    <row r="1" spans="1:9" ht="21" x14ac:dyDescent="0.25">
      <c r="A1" s="19" t="s">
        <v>230</v>
      </c>
      <c r="B1" s="19"/>
      <c r="C1" s="19"/>
      <c r="D1" s="19"/>
      <c r="E1" s="19"/>
      <c r="F1" s="19"/>
      <c r="G1" s="19"/>
    </row>
    <row r="2" spans="1:9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9" x14ac:dyDescent="0.25">
      <c r="A3" t="s">
        <v>1</v>
      </c>
      <c r="B3" t="s">
        <v>56</v>
      </c>
      <c r="C3" t="s">
        <v>56</v>
      </c>
      <c r="D3" t="str">
        <f t="shared" ref="D3:D66" si="0">IF(B3=C3, "Sim", "Não")</f>
        <v>Sim</v>
      </c>
      <c r="F3" s="4" t="s">
        <v>10</v>
      </c>
      <c r="G3" s="3">
        <f>COUNTIF(D3:D99,"Não")</f>
        <v>16</v>
      </c>
      <c r="I3" t="s">
        <v>242</v>
      </c>
    </row>
    <row r="4" spans="1:9" x14ac:dyDescent="0.25">
      <c r="A4" t="s">
        <v>1</v>
      </c>
      <c r="B4" t="s">
        <v>56</v>
      </c>
      <c r="C4" t="s">
        <v>56</v>
      </c>
      <c r="D4" t="str">
        <f t="shared" si="0"/>
        <v>Sim</v>
      </c>
      <c r="F4" s="4" t="s">
        <v>11</v>
      </c>
      <c r="G4" s="3">
        <f>SUM(G7:G21)</f>
        <v>75</v>
      </c>
      <c r="I4" t="s">
        <v>166</v>
      </c>
    </row>
    <row r="5" spans="1:9" x14ac:dyDescent="0.25">
      <c r="A5" t="s">
        <v>1</v>
      </c>
      <c r="B5" t="s">
        <v>232</v>
      </c>
      <c r="C5" t="s">
        <v>232</v>
      </c>
      <c r="D5" t="str">
        <f t="shared" si="0"/>
        <v>Sim</v>
      </c>
      <c r="I5" t="s">
        <v>243</v>
      </c>
    </row>
    <row r="6" spans="1:9" x14ac:dyDescent="0.25">
      <c r="A6" t="s">
        <v>1</v>
      </c>
      <c r="B6" t="s">
        <v>13</v>
      </c>
      <c r="C6" t="s">
        <v>232</v>
      </c>
      <c r="D6" t="str">
        <f t="shared" si="0"/>
        <v>Não</v>
      </c>
      <c r="F6" s="6" t="s">
        <v>3</v>
      </c>
      <c r="G6" s="1"/>
      <c r="I6" t="s">
        <v>173</v>
      </c>
    </row>
    <row r="7" spans="1:9" x14ac:dyDescent="0.25">
      <c r="A7" t="s">
        <v>1</v>
      </c>
      <c r="B7" t="s">
        <v>89</v>
      </c>
      <c r="C7" t="s">
        <v>89</v>
      </c>
      <c r="D7" t="str">
        <f t="shared" si="0"/>
        <v>Sim</v>
      </c>
      <c r="F7" s="7" t="s">
        <v>1</v>
      </c>
      <c r="G7" s="2">
        <f t="shared" ref="G7:G11" si="1">COUNTIF(A:A,F7)</f>
        <v>21</v>
      </c>
      <c r="I7" t="s">
        <v>244</v>
      </c>
    </row>
    <row r="8" spans="1:9" x14ac:dyDescent="0.25">
      <c r="A8" t="s">
        <v>1</v>
      </c>
      <c r="B8" t="s">
        <v>89</v>
      </c>
      <c r="C8" t="s">
        <v>89</v>
      </c>
      <c r="D8" t="str">
        <f t="shared" si="0"/>
        <v>Sim</v>
      </c>
      <c r="F8" s="7" t="s">
        <v>43</v>
      </c>
      <c r="G8" s="2">
        <f t="shared" si="1"/>
        <v>20</v>
      </c>
      <c r="I8" t="s">
        <v>245</v>
      </c>
    </row>
    <row r="9" spans="1:9" x14ac:dyDescent="0.25">
      <c r="A9" t="s">
        <v>1</v>
      </c>
      <c r="B9" t="s">
        <v>236</v>
      </c>
      <c r="C9" t="s">
        <v>236</v>
      </c>
      <c r="D9" t="str">
        <f t="shared" si="0"/>
        <v>Sim</v>
      </c>
      <c r="F9" s="7" t="s">
        <v>95</v>
      </c>
      <c r="G9" s="2">
        <f t="shared" si="1"/>
        <v>10</v>
      </c>
      <c r="I9" t="s">
        <v>246</v>
      </c>
    </row>
    <row r="10" spans="1:9" x14ac:dyDescent="0.25">
      <c r="A10" t="s">
        <v>1</v>
      </c>
      <c r="B10" t="s">
        <v>238</v>
      </c>
      <c r="C10" t="s">
        <v>161</v>
      </c>
      <c r="D10" t="str">
        <f t="shared" si="0"/>
        <v>Não</v>
      </c>
      <c r="F10" s="7" t="s">
        <v>164</v>
      </c>
      <c r="G10" s="2">
        <f t="shared" si="1"/>
        <v>9</v>
      </c>
      <c r="I10" t="s">
        <v>120</v>
      </c>
    </row>
    <row r="11" spans="1:9" x14ac:dyDescent="0.25">
      <c r="A11" t="s">
        <v>1</v>
      </c>
      <c r="B11" t="s">
        <v>234</v>
      </c>
      <c r="C11" t="s">
        <v>233</v>
      </c>
      <c r="D11" t="str">
        <f t="shared" si="0"/>
        <v>Não</v>
      </c>
      <c r="F11" s="7" t="s">
        <v>34</v>
      </c>
      <c r="G11" s="2">
        <f t="shared" si="1"/>
        <v>15</v>
      </c>
    </row>
    <row r="12" spans="1:9" x14ac:dyDescent="0.25">
      <c r="A12" t="s">
        <v>1</v>
      </c>
      <c r="B12" t="s">
        <v>234</v>
      </c>
      <c r="C12" t="s">
        <v>233</v>
      </c>
      <c r="D12" t="str">
        <f t="shared" si="0"/>
        <v>Não</v>
      </c>
      <c r="F12" s="7"/>
      <c r="G12" s="2"/>
    </row>
    <row r="13" spans="1:9" x14ac:dyDescent="0.25">
      <c r="A13" t="s">
        <v>1</v>
      </c>
      <c r="B13" t="s">
        <v>56</v>
      </c>
      <c r="C13" t="s">
        <v>141</v>
      </c>
      <c r="D13" t="str">
        <f t="shared" si="0"/>
        <v>Não</v>
      </c>
      <c r="F13" s="7"/>
      <c r="G13" s="2"/>
    </row>
    <row r="14" spans="1:9" x14ac:dyDescent="0.25">
      <c r="A14" t="s">
        <v>1</v>
      </c>
      <c r="B14" t="s">
        <v>56</v>
      </c>
      <c r="C14" t="s">
        <v>141</v>
      </c>
      <c r="D14" t="str">
        <f t="shared" si="0"/>
        <v>Não</v>
      </c>
      <c r="F14" s="7"/>
      <c r="G14" s="2"/>
    </row>
    <row r="15" spans="1:9" x14ac:dyDescent="0.25">
      <c r="A15" t="s">
        <v>1</v>
      </c>
      <c r="B15" t="s">
        <v>60</v>
      </c>
      <c r="C15" t="s">
        <v>141</v>
      </c>
      <c r="D15" t="str">
        <f t="shared" si="0"/>
        <v>Não</v>
      </c>
      <c r="F15" s="5"/>
      <c r="G15" s="2"/>
    </row>
    <row r="16" spans="1:9" x14ac:dyDescent="0.25">
      <c r="A16" t="s">
        <v>1</v>
      </c>
      <c r="B16" t="s">
        <v>60</v>
      </c>
      <c r="C16" t="s">
        <v>162</v>
      </c>
      <c r="D16" t="str">
        <f t="shared" si="0"/>
        <v>Não</v>
      </c>
      <c r="F16" s="5"/>
      <c r="G16" s="2"/>
    </row>
    <row r="17" spans="1:7" x14ac:dyDescent="0.25">
      <c r="A17" t="s">
        <v>1</v>
      </c>
      <c r="B17" t="s">
        <v>90</v>
      </c>
      <c r="C17" t="s">
        <v>162</v>
      </c>
      <c r="D17" t="str">
        <f t="shared" si="0"/>
        <v>Não</v>
      </c>
      <c r="F17" s="5"/>
      <c r="G17" s="2"/>
    </row>
    <row r="18" spans="1:7" x14ac:dyDescent="0.25">
      <c r="A18" t="s">
        <v>1</v>
      </c>
      <c r="B18" t="s">
        <v>90</v>
      </c>
      <c r="C18" t="s">
        <v>162</v>
      </c>
      <c r="D18" t="str">
        <f t="shared" si="0"/>
        <v>Não</v>
      </c>
      <c r="F18" s="5"/>
    </row>
    <row r="19" spans="1:7" x14ac:dyDescent="0.25">
      <c r="A19" t="s">
        <v>1</v>
      </c>
      <c r="B19" t="s">
        <v>247</v>
      </c>
      <c r="C19" t="s">
        <v>162</v>
      </c>
      <c r="D19" t="str">
        <f t="shared" si="0"/>
        <v>Não</v>
      </c>
      <c r="F19" s="5"/>
    </row>
    <row r="20" spans="1:7" x14ac:dyDescent="0.25">
      <c r="A20" t="s">
        <v>1</v>
      </c>
      <c r="B20" t="s">
        <v>235</v>
      </c>
      <c r="C20" t="s">
        <v>235</v>
      </c>
      <c r="D20" t="str">
        <f t="shared" si="0"/>
        <v>Sim</v>
      </c>
      <c r="F20" s="5"/>
    </row>
    <row r="21" spans="1:7" x14ac:dyDescent="0.25">
      <c r="A21" t="s">
        <v>1</v>
      </c>
      <c r="B21" t="s">
        <v>158</v>
      </c>
      <c r="C21" t="s">
        <v>158</v>
      </c>
      <c r="D21" t="str">
        <f t="shared" si="0"/>
        <v>Sim</v>
      </c>
      <c r="F21" s="5"/>
    </row>
    <row r="22" spans="1:7" x14ac:dyDescent="0.25">
      <c r="A22" t="s">
        <v>1</v>
      </c>
      <c r="B22" t="s">
        <v>14</v>
      </c>
      <c r="C22" t="s">
        <v>14</v>
      </c>
      <c r="D22" t="str">
        <f t="shared" si="0"/>
        <v>Sim</v>
      </c>
      <c r="F22" s="5"/>
    </row>
    <row r="23" spans="1:7" x14ac:dyDescent="0.25">
      <c r="A23" t="s">
        <v>1</v>
      </c>
      <c r="B23" t="s">
        <v>12</v>
      </c>
      <c r="C23" t="s">
        <v>12</v>
      </c>
      <c r="D23" t="str">
        <f t="shared" si="0"/>
        <v>Sim</v>
      </c>
      <c r="F23" s="5"/>
    </row>
    <row r="24" spans="1:7" x14ac:dyDescent="0.25">
      <c r="A24" t="s">
        <v>164</v>
      </c>
      <c r="B24" t="s">
        <v>92</v>
      </c>
      <c r="C24" t="s">
        <v>92</v>
      </c>
      <c r="D24" t="str">
        <f t="shared" ref="D24:D31" si="2">IF(B24=C24, "Sim", "Não")</f>
        <v>Sim</v>
      </c>
      <c r="F24" s="5"/>
    </row>
    <row r="25" spans="1:7" x14ac:dyDescent="0.25">
      <c r="A25" t="s">
        <v>164</v>
      </c>
      <c r="B25" t="s">
        <v>92</v>
      </c>
      <c r="C25" t="s">
        <v>92</v>
      </c>
      <c r="D25" t="str">
        <f t="shared" si="2"/>
        <v>Sim</v>
      </c>
      <c r="F25" s="5"/>
    </row>
    <row r="26" spans="1:7" x14ac:dyDescent="0.25">
      <c r="A26" t="s">
        <v>164</v>
      </c>
      <c r="B26" t="s">
        <v>92</v>
      </c>
      <c r="C26" t="s">
        <v>92</v>
      </c>
      <c r="D26" t="str">
        <f t="shared" si="2"/>
        <v>Sim</v>
      </c>
      <c r="F26" s="5"/>
    </row>
    <row r="27" spans="1:7" x14ac:dyDescent="0.25">
      <c r="A27" t="s">
        <v>164</v>
      </c>
      <c r="B27" t="s">
        <v>92</v>
      </c>
      <c r="C27" t="s">
        <v>92</v>
      </c>
      <c r="D27" t="str">
        <f t="shared" si="2"/>
        <v>Sim</v>
      </c>
      <c r="F27" s="5"/>
    </row>
    <row r="28" spans="1:7" x14ac:dyDescent="0.25">
      <c r="A28" t="s">
        <v>164</v>
      </c>
      <c r="B28" t="s">
        <v>121</v>
      </c>
      <c r="C28" t="s">
        <v>121</v>
      </c>
      <c r="D28" t="str">
        <f t="shared" si="2"/>
        <v>Sim</v>
      </c>
      <c r="F28" s="5"/>
    </row>
    <row r="29" spans="1:7" x14ac:dyDescent="0.25">
      <c r="A29" t="s">
        <v>164</v>
      </c>
      <c r="B29" t="s">
        <v>121</v>
      </c>
      <c r="C29" t="s">
        <v>121</v>
      </c>
      <c r="D29" t="str">
        <f t="shared" si="2"/>
        <v>Sim</v>
      </c>
      <c r="F29" s="5"/>
    </row>
    <row r="30" spans="1:7" x14ac:dyDescent="0.25">
      <c r="A30" t="s">
        <v>164</v>
      </c>
      <c r="B30" t="s">
        <v>121</v>
      </c>
      <c r="C30" t="s">
        <v>121</v>
      </c>
      <c r="D30" t="str">
        <f t="shared" si="2"/>
        <v>Sim</v>
      </c>
      <c r="F30" s="5"/>
    </row>
    <row r="31" spans="1:7" x14ac:dyDescent="0.25">
      <c r="A31" t="s">
        <v>164</v>
      </c>
      <c r="B31" t="s">
        <v>121</v>
      </c>
      <c r="C31" t="s">
        <v>121</v>
      </c>
      <c r="D31" t="str">
        <f t="shared" si="2"/>
        <v>Sim</v>
      </c>
      <c r="F31" s="5"/>
    </row>
    <row r="32" spans="1:7" x14ac:dyDescent="0.25">
      <c r="A32" t="s">
        <v>164</v>
      </c>
      <c r="B32" t="s">
        <v>231</v>
      </c>
      <c r="C32" t="s">
        <v>231</v>
      </c>
      <c r="D32" t="str">
        <f t="shared" si="0"/>
        <v>Sim</v>
      </c>
      <c r="F32" s="5"/>
    </row>
    <row r="33" spans="1:6" x14ac:dyDescent="0.25">
      <c r="A33" t="s">
        <v>43</v>
      </c>
      <c r="B33" t="s">
        <v>231</v>
      </c>
      <c r="C33" t="s">
        <v>231</v>
      </c>
      <c r="D33" t="str">
        <f t="shared" si="0"/>
        <v>Sim</v>
      </c>
      <c r="F33" s="5"/>
    </row>
    <row r="34" spans="1:6" x14ac:dyDescent="0.25">
      <c r="A34" t="s">
        <v>43</v>
      </c>
      <c r="B34" t="s">
        <v>231</v>
      </c>
      <c r="C34" t="s">
        <v>231</v>
      </c>
      <c r="D34" t="str">
        <f t="shared" si="0"/>
        <v>Sim</v>
      </c>
      <c r="F34" s="5"/>
    </row>
    <row r="35" spans="1:6" x14ac:dyDescent="0.25">
      <c r="A35" t="s">
        <v>43</v>
      </c>
      <c r="B35" t="s">
        <v>231</v>
      </c>
      <c r="C35" t="s">
        <v>231</v>
      </c>
      <c r="D35" t="str">
        <f t="shared" si="0"/>
        <v>Sim</v>
      </c>
      <c r="F35" s="5"/>
    </row>
    <row r="36" spans="1:6" x14ac:dyDescent="0.25">
      <c r="A36" t="s">
        <v>43</v>
      </c>
      <c r="B36" t="s">
        <v>45</v>
      </c>
      <c r="C36" t="s">
        <v>45</v>
      </c>
      <c r="D36" t="str">
        <f t="shared" si="0"/>
        <v>Sim</v>
      </c>
      <c r="F36" s="5"/>
    </row>
    <row r="37" spans="1:6" x14ac:dyDescent="0.25">
      <c r="A37" t="s">
        <v>43</v>
      </c>
      <c r="B37" t="s">
        <v>48</v>
      </c>
      <c r="C37" t="s">
        <v>48</v>
      </c>
      <c r="D37" t="str">
        <f t="shared" si="0"/>
        <v>Sim</v>
      </c>
      <c r="F37" s="5"/>
    </row>
    <row r="38" spans="1:6" x14ac:dyDescent="0.25">
      <c r="A38" t="s">
        <v>43</v>
      </c>
      <c r="B38" t="s">
        <v>48</v>
      </c>
      <c r="C38" t="s">
        <v>48</v>
      </c>
      <c r="D38" t="str">
        <f t="shared" si="0"/>
        <v>Sim</v>
      </c>
      <c r="F38" s="5"/>
    </row>
    <row r="39" spans="1:6" x14ac:dyDescent="0.25">
      <c r="A39" t="s">
        <v>43</v>
      </c>
      <c r="B39" t="s">
        <v>48</v>
      </c>
      <c r="C39" t="s">
        <v>48</v>
      </c>
      <c r="D39" t="str">
        <f t="shared" si="0"/>
        <v>Sim</v>
      </c>
      <c r="F39" s="5"/>
    </row>
    <row r="40" spans="1:6" x14ac:dyDescent="0.25">
      <c r="A40" t="s">
        <v>43</v>
      </c>
      <c r="B40" t="s">
        <v>48</v>
      </c>
      <c r="C40" t="s">
        <v>48</v>
      </c>
      <c r="D40" t="str">
        <f t="shared" si="0"/>
        <v>Sim</v>
      </c>
      <c r="F40" s="5"/>
    </row>
    <row r="41" spans="1:6" x14ac:dyDescent="0.25">
      <c r="A41" t="s">
        <v>43</v>
      </c>
      <c r="B41" t="s">
        <v>149</v>
      </c>
      <c r="C41" t="s">
        <v>149</v>
      </c>
      <c r="D41" t="str">
        <f t="shared" si="0"/>
        <v>Sim</v>
      </c>
      <c r="F41" s="5"/>
    </row>
    <row r="42" spans="1:6" x14ac:dyDescent="0.25">
      <c r="A42" t="s">
        <v>43</v>
      </c>
      <c r="B42" t="s">
        <v>149</v>
      </c>
      <c r="C42" t="s">
        <v>149</v>
      </c>
      <c r="D42" t="str">
        <f t="shared" si="0"/>
        <v>Sim</v>
      </c>
      <c r="F42" s="5"/>
    </row>
    <row r="43" spans="1:6" x14ac:dyDescent="0.25">
      <c r="A43" t="s">
        <v>43</v>
      </c>
      <c r="B43" t="s">
        <v>149</v>
      </c>
      <c r="C43" t="s">
        <v>149</v>
      </c>
      <c r="D43" t="str">
        <f t="shared" si="0"/>
        <v>Sim</v>
      </c>
      <c r="F43" s="5"/>
    </row>
    <row r="44" spans="1:6" x14ac:dyDescent="0.25">
      <c r="A44" t="s">
        <v>43</v>
      </c>
      <c r="B44" t="s">
        <v>149</v>
      </c>
      <c r="C44" t="s">
        <v>149</v>
      </c>
      <c r="D44" t="str">
        <f t="shared" si="0"/>
        <v>Sim</v>
      </c>
      <c r="F44" s="5"/>
    </row>
    <row r="45" spans="1:6" x14ac:dyDescent="0.25">
      <c r="A45" t="s">
        <v>43</v>
      </c>
      <c r="B45" t="s">
        <v>150</v>
      </c>
      <c r="C45" t="s">
        <v>150</v>
      </c>
      <c r="D45" t="str">
        <f t="shared" si="0"/>
        <v>Sim</v>
      </c>
      <c r="F45" s="5"/>
    </row>
    <row r="46" spans="1:6" x14ac:dyDescent="0.25">
      <c r="A46" t="s">
        <v>43</v>
      </c>
      <c r="B46" t="s">
        <v>150</v>
      </c>
      <c r="C46" t="s">
        <v>150</v>
      </c>
      <c r="D46" t="str">
        <f t="shared" si="0"/>
        <v>Sim</v>
      </c>
      <c r="F46" s="5"/>
    </row>
    <row r="47" spans="1:6" x14ac:dyDescent="0.25">
      <c r="A47" t="s">
        <v>43</v>
      </c>
      <c r="B47" t="s">
        <v>150</v>
      </c>
      <c r="C47" t="s">
        <v>150</v>
      </c>
      <c r="D47" t="str">
        <f t="shared" si="0"/>
        <v>Sim</v>
      </c>
      <c r="F47" s="5"/>
    </row>
    <row r="48" spans="1:6" x14ac:dyDescent="0.25">
      <c r="A48" t="s">
        <v>43</v>
      </c>
      <c r="B48" t="s">
        <v>150</v>
      </c>
      <c r="C48" t="s">
        <v>150</v>
      </c>
      <c r="D48" t="str">
        <f t="shared" si="0"/>
        <v>Sim</v>
      </c>
      <c r="F48" s="5"/>
    </row>
    <row r="49" spans="1:6" x14ac:dyDescent="0.25">
      <c r="A49" t="s">
        <v>43</v>
      </c>
      <c r="B49" s="5" t="s">
        <v>174</v>
      </c>
      <c r="C49" s="5" t="s">
        <v>174</v>
      </c>
      <c r="D49" t="str">
        <f t="shared" si="0"/>
        <v>Sim</v>
      </c>
      <c r="F49" s="5"/>
    </row>
    <row r="50" spans="1:6" x14ac:dyDescent="0.25">
      <c r="A50" t="s">
        <v>43</v>
      </c>
      <c r="B50" t="s">
        <v>160</v>
      </c>
      <c r="C50" t="s">
        <v>160</v>
      </c>
      <c r="D50" t="str">
        <f t="shared" si="0"/>
        <v>Sim</v>
      </c>
      <c r="F50" s="5"/>
    </row>
    <row r="51" spans="1:6" x14ac:dyDescent="0.25">
      <c r="A51" t="s">
        <v>43</v>
      </c>
      <c r="B51" t="s">
        <v>160</v>
      </c>
      <c r="C51" t="s">
        <v>160</v>
      </c>
      <c r="D51" t="str">
        <f t="shared" si="0"/>
        <v>Sim</v>
      </c>
      <c r="F51" s="5"/>
    </row>
    <row r="52" spans="1:6" x14ac:dyDescent="0.25">
      <c r="A52" t="s">
        <v>43</v>
      </c>
      <c r="B52" t="s">
        <v>152</v>
      </c>
      <c r="C52" t="s">
        <v>152</v>
      </c>
      <c r="D52" t="str">
        <f t="shared" si="0"/>
        <v>Sim</v>
      </c>
      <c r="F52" s="5"/>
    </row>
    <row r="53" spans="1:6" x14ac:dyDescent="0.25">
      <c r="A53" t="s">
        <v>95</v>
      </c>
      <c r="B53" t="s">
        <v>152</v>
      </c>
      <c r="C53" t="s">
        <v>152</v>
      </c>
      <c r="D53" t="str">
        <f t="shared" si="0"/>
        <v>Sim</v>
      </c>
      <c r="F53" s="5"/>
    </row>
    <row r="54" spans="1:6" x14ac:dyDescent="0.25">
      <c r="A54" t="s">
        <v>95</v>
      </c>
      <c r="B54" t="s">
        <v>152</v>
      </c>
      <c r="C54" t="s">
        <v>152</v>
      </c>
      <c r="D54" t="str">
        <f t="shared" si="0"/>
        <v>Sim</v>
      </c>
      <c r="F54" s="5"/>
    </row>
    <row r="55" spans="1:6" x14ac:dyDescent="0.25">
      <c r="A55" t="s">
        <v>95</v>
      </c>
      <c r="B55" t="s">
        <v>136</v>
      </c>
      <c r="C55" t="s">
        <v>136</v>
      </c>
      <c r="D55" t="str">
        <f t="shared" si="0"/>
        <v>Sim</v>
      </c>
      <c r="F55" s="5"/>
    </row>
    <row r="56" spans="1:6" x14ac:dyDescent="0.25">
      <c r="A56" t="s">
        <v>95</v>
      </c>
      <c r="B56" t="s">
        <v>136</v>
      </c>
      <c r="C56" t="s">
        <v>136</v>
      </c>
      <c r="D56" t="str">
        <f t="shared" si="0"/>
        <v>Sim</v>
      </c>
      <c r="F56" s="5"/>
    </row>
    <row r="57" spans="1:6" x14ac:dyDescent="0.25">
      <c r="A57" t="s">
        <v>95</v>
      </c>
      <c r="B57" t="s">
        <v>136</v>
      </c>
      <c r="C57" t="s">
        <v>136</v>
      </c>
      <c r="D57" t="str">
        <f t="shared" si="0"/>
        <v>Sim</v>
      </c>
      <c r="F57" s="5"/>
    </row>
    <row r="58" spans="1:6" x14ac:dyDescent="0.25">
      <c r="A58" t="s">
        <v>95</v>
      </c>
      <c r="B58" t="s">
        <v>136</v>
      </c>
      <c r="C58" t="s">
        <v>136</v>
      </c>
      <c r="D58" t="str">
        <f t="shared" si="0"/>
        <v>Sim</v>
      </c>
      <c r="F58" s="5"/>
    </row>
    <row r="59" spans="1:6" x14ac:dyDescent="0.25">
      <c r="A59" t="s">
        <v>95</v>
      </c>
      <c r="B59" t="s">
        <v>137</v>
      </c>
      <c r="C59" t="s">
        <v>137</v>
      </c>
      <c r="D59" t="str">
        <f t="shared" si="0"/>
        <v>Sim</v>
      </c>
      <c r="F59" s="5"/>
    </row>
    <row r="60" spans="1:6" x14ac:dyDescent="0.25">
      <c r="A60" t="s">
        <v>95</v>
      </c>
      <c r="B60" t="s">
        <v>44</v>
      </c>
      <c r="C60" t="s">
        <v>44</v>
      </c>
      <c r="D60" t="str">
        <f t="shared" si="0"/>
        <v>Sim</v>
      </c>
      <c r="F60" s="5"/>
    </row>
    <row r="61" spans="1:6" x14ac:dyDescent="0.25">
      <c r="A61" t="s">
        <v>95</v>
      </c>
      <c r="B61" t="s">
        <v>44</v>
      </c>
      <c r="C61" t="s">
        <v>44</v>
      </c>
      <c r="D61" t="str">
        <f t="shared" si="0"/>
        <v>Sim</v>
      </c>
      <c r="F61" s="5"/>
    </row>
    <row r="62" spans="1:6" x14ac:dyDescent="0.25">
      <c r="A62" t="s">
        <v>95</v>
      </c>
      <c r="B62" t="s">
        <v>44</v>
      </c>
      <c r="C62" t="s">
        <v>44</v>
      </c>
      <c r="D62" t="str">
        <f t="shared" si="0"/>
        <v>Sim</v>
      </c>
      <c r="F62" s="5"/>
    </row>
    <row r="63" spans="1:6" x14ac:dyDescent="0.25">
      <c r="A63" t="s">
        <v>34</v>
      </c>
      <c r="B63" t="s">
        <v>224</v>
      </c>
      <c r="C63" t="s">
        <v>224</v>
      </c>
      <c r="D63" t="str">
        <f t="shared" si="0"/>
        <v>Sim</v>
      </c>
      <c r="F63" s="5"/>
    </row>
    <row r="64" spans="1:6" x14ac:dyDescent="0.25">
      <c r="A64" t="s">
        <v>34</v>
      </c>
      <c r="B64" t="s">
        <v>224</v>
      </c>
      <c r="C64" t="s">
        <v>224</v>
      </c>
      <c r="D64" t="str">
        <f t="shared" si="0"/>
        <v>Sim</v>
      </c>
      <c r="F64" s="5"/>
    </row>
    <row r="65" spans="1:6" x14ac:dyDescent="0.25">
      <c r="A65" t="s">
        <v>34</v>
      </c>
      <c r="B65" t="s">
        <v>139</v>
      </c>
      <c r="C65" t="s">
        <v>139</v>
      </c>
      <c r="D65" t="str">
        <f t="shared" si="0"/>
        <v>Sim</v>
      </c>
      <c r="F65"/>
    </row>
    <row r="66" spans="1:6" x14ac:dyDescent="0.25">
      <c r="A66" t="s">
        <v>34</v>
      </c>
      <c r="B66" t="s">
        <v>139</v>
      </c>
      <c r="C66" t="s">
        <v>139</v>
      </c>
      <c r="D66" t="str">
        <f t="shared" si="0"/>
        <v>Sim</v>
      </c>
      <c r="F66"/>
    </row>
    <row r="67" spans="1:6" x14ac:dyDescent="0.25">
      <c r="A67" t="s">
        <v>34</v>
      </c>
      <c r="B67" t="s">
        <v>155</v>
      </c>
      <c r="C67" t="s">
        <v>241</v>
      </c>
      <c r="D67" t="str">
        <f t="shared" ref="D67:D77" si="3">IF(B67=C67, "Sim", "Não")</f>
        <v>Não</v>
      </c>
      <c r="F67"/>
    </row>
    <row r="68" spans="1:6" x14ac:dyDescent="0.25">
      <c r="A68" t="s">
        <v>34</v>
      </c>
      <c r="B68" t="s">
        <v>239</v>
      </c>
      <c r="C68" t="s">
        <v>241</v>
      </c>
      <c r="D68" t="str">
        <f t="shared" si="3"/>
        <v>Não</v>
      </c>
      <c r="F68"/>
    </row>
    <row r="69" spans="1:6" x14ac:dyDescent="0.25">
      <c r="A69" t="s">
        <v>34</v>
      </c>
      <c r="B69" t="s">
        <v>117</v>
      </c>
      <c r="C69" t="s">
        <v>117</v>
      </c>
      <c r="D69" t="str">
        <f t="shared" si="3"/>
        <v>Sim</v>
      </c>
      <c r="F69" s="5"/>
    </row>
    <row r="70" spans="1:6" x14ac:dyDescent="0.25">
      <c r="A70" t="s">
        <v>34</v>
      </c>
      <c r="B70" t="s">
        <v>117</v>
      </c>
      <c r="C70" t="s">
        <v>117</v>
      </c>
      <c r="D70" t="str">
        <f t="shared" si="3"/>
        <v>Sim</v>
      </c>
      <c r="F70" s="5"/>
    </row>
    <row r="71" spans="1:6" x14ac:dyDescent="0.25">
      <c r="A71" t="s">
        <v>34</v>
      </c>
      <c r="B71" t="s">
        <v>117</v>
      </c>
      <c r="C71" t="s">
        <v>117</v>
      </c>
      <c r="D71" t="str">
        <f t="shared" si="3"/>
        <v>Sim</v>
      </c>
      <c r="F71" s="5"/>
    </row>
    <row r="72" spans="1:6" x14ac:dyDescent="0.25">
      <c r="A72" t="s">
        <v>34</v>
      </c>
      <c r="B72" t="s">
        <v>117</v>
      </c>
      <c r="C72" t="s">
        <v>117</v>
      </c>
      <c r="D72" t="str">
        <f t="shared" si="3"/>
        <v>Sim</v>
      </c>
      <c r="F72"/>
    </row>
    <row r="73" spans="1:6" x14ac:dyDescent="0.25">
      <c r="A73" t="s">
        <v>34</v>
      </c>
      <c r="B73" t="s">
        <v>144</v>
      </c>
      <c r="C73" t="s">
        <v>240</v>
      </c>
      <c r="D73" t="str">
        <f t="shared" si="3"/>
        <v>Não</v>
      </c>
      <c r="F73"/>
    </row>
    <row r="74" spans="1:6" x14ac:dyDescent="0.25">
      <c r="A74" t="s">
        <v>34</v>
      </c>
      <c r="B74" t="s">
        <v>144</v>
      </c>
      <c r="C74" t="s">
        <v>240</v>
      </c>
      <c r="D74" t="str">
        <f t="shared" si="3"/>
        <v>Não</v>
      </c>
      <c r="F74"/>
    </row>
    <row r="75" spans="1:6" x14ac:dyDescent="0.25">
      <c r="A75" t="s">
        <v>34</v>
      </c>
      <c r="B75" t="s">
        <v>119</v>
      </c>
      <c r="C75" t="s">
        <v>156</v>
      </c>
      <c r="D75" t="str">
        <f t="shared" si="3"/>
        <v>Não</v>
      </c>
      <c r="F75"/>
    </row>
    <row r="76" spans="1:6" x14ac:dyDescent="0.25">
      <c r="A76" t="s">
        <v>34</v>
      </c>
      <c r="B76" t="s">
        <v>119</v>
      </c>
      <c r="C76" t="s">
        <v>119</v>
      </c>
      <c r="D76" t="str">
        <f t="shared" si="3"/>
        <v>Sim</v>
      </c>
      <c r="F76"/>
    </row>
    <row r="77" spans="1:6" x14ac:dyDescent="0.25">
      <c r="A77" t="s">
        <v>34</v>
      </c>
      <c r="B77" t="s">
        <v>119</v>
      </c>
      <c r="C77" t="s">
        <v>119</v>
      </c>
      <c r="D77" t="str">
        <f t="shared" si="3"/>
        <v>Sim</v>
      </c>
      <c r="F77"/>
    </row>
    <row r="78" spans="1:6" x14ac:dyDescent="0.25">
      <c r="A78"/>
      <c r="F78"/>
    </row>
    <row r="79" spans="1:6" x14ac:dyDescent="0.25">
      <c r="A79"/>
      <c r="F79"/>
    </row>
    <row r="80" spans="1:6" x14ac:dyDescent="0.25">
      <c r="A80"/>
      <c r="F80" s="5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7C8E-19A0-42F8-9659-5F8527BA835A}">
  <dimension ref="A1:I94"/>
  <sheetViews>
    <sheetView workbookViewId="0">
      <selection activeCell="I12" sqref="I1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  <col min="9" max="9" width="24.5703125" bestFit="1" customWidth="1"/>
  </cols>
  <sheetData>
    <row r="1" spans="1:9" ht="21" x14ac:dyDescent="0.25">
      <c r="A1" s="19" t="s">
        <v>230</v>
      </c>
      <c r="B1" s="19"/>
      <c r="C1" s="19"/>
      <c r="D1" s="19"/>
      <c r="E1" s="19"/>
      <c r="F1" s="19"/>
      <c r="G1" s="19"/>
    </row>
    <row r="2" spans="1:9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9" x14ac:dyDescent="0.25">
      <c r="A3" t="s">
        <v>1</v>
      </c>
      <c r="B3" t="s">
        <v>56</v>
      </c>
      <c r="C3" t="s">
        <v>56</v>
      </c>
      <c r="D3" t="str">
        <f t="shared" ref="D3:D66" si="0">IF(B3=C3, "Sim", "Não")</f>
        <v>Sim</v>
      </c>
      <c r="F3" s="4" t="s">
        <v>10</v>
      </c>
      <c r="G3" s="3">
        <f>COUNTIF(D3:D99,"Não")</f>
        <v>16</v>
      </c>
      <c r="I3" t="s">
        <v>257</v>
      </c>
    </row>
    <row r="4" spans="1:9" x14ac:dyDescent="0.25">
      <c r="A4" t="s">
        <v>1</v>
      </c>
      <c r="B4" t="s">
        <v>56</v>
      </c>
      <c r="C4" t="s">
        <v>56</v>
      </c>
      <c r="D4" t="str">
        <f t="shared" si="0"/>
        <v>Sim</v>
      </c>
      <c r="F4" s="4" t="s">
        <v>11</v>
      </c>
      <c r="G4" s="3">
        <f>SUM(G7:G21)</f>
        <v>75</v>
      </c>
      <c r="I4" t="s">
        <v>166</v>
      </c>
    </row>
    <row r="5" spans="1:9" x14ac:dyDescent="0.25">
      <c r="A5" t="s">
        <v>1</v>
      </c>
      <c r="B5" t="s">
        <v>232</v>
      </c>
      <c r="C5" t="s">
        <v>232</v>
      </c>
      <c r="D5" t="str">
        <f t="shared" si="0"/>
        <v>Sim</v>
      </c>
      <c r="I5" t="s">
        <v>256</v>
      </c>
    </row>
    <row r="6" spans="1:9" x14ac:dyDescent="0.25">
      <c r="A6" t="s">
        <v>1</v>
      </c>
      <c r="B6" t="s">
        <v>89</v>
      </c>
      <c r="C6" t="s">
        <v>89</v>
      </c>
      <c r="D6" t="str">
        <f t="shared" si="0"/>
        <v>Sim</v>
      </c>
      <c r="F6" s="6" t="s">
        <v>3</v>
      </c>
      <c r="G6" s="1"/>
      <c r="I6" t="s">
        <v>173</v>
      </c>
    </row>
    <row r="7" spans="1:9" x14ac:dyDescent="0.25">
      <c r="A7" t="s">
        <v>1</v>
      </c>
      <c r="B7" t="s">
        <v>252</v>
      </c>
      <c r="C7" t="s">
        <v>252</v>
      </c>
      <c r="D7" t="str">
        <f t="shared" si="0"/>
        <v>Sim</v>
      </c>
      <c r="F7" s="7" t="s">
        <v>1</v>
      </c>
      <c r="G7" s="2">
        <f t="shared" ref="G7:G11" si="1">COUNTIF(A:A,F7)</f>
        <v>21</v>
      </c>
      <c r="I7" t="s">
        <v>244</v>
      </c>
    </row>
    <row r="8" spans="1:9" x14ac:dyDescent="0.25">
      <c r="A8" t="s">
        <v>1</v>
      </c>
      <c r="B8" t="s">
        <v>236</v>
      </c>
      <c r="C8" t="s">
        <v>236</v>
      </c>
      <c r="D8" t="str">
        <f t="shared" si="0"/>
        <v>Sim</v>
      </c>
      <c r="F8" s="7" t="s">
        <v>43</v>
      </c>
      <c r="G8" s="2">
        <f t="shared" si="1"/>
        <v>20</v>
      </c>
      <c r="I8" t="s">
        <v>245</v>
      </c>
    </row>
    <row r="9" spans="1:9" x14ac:dyDescent="0.25">
      <c r="A9" t="s">
        <v>1</v>
      </c>
      <c r="B9" t="s">
        <v>13</v>
      </c>
      <c r="C9" t="s">
        <v>201</v>
      </c>
      <c r="D9" t="str">
        <f t="shared" si="0"/>
        <v>Não</v>
      </c>
      <c r="F9" s="7" t="s">
        <v>95</v>
      </c>
      <c r="G9" s="2">
        <f t="shared" si="1"/>
        <v>10</v>
      </c>
      <c r="I9" t="s">
        <v>246</v>
      </c>
    </row>
    <row r="10" spans="1:9" x14ac:dyDescent="0.25">
      <c r="A10" t="s">
        <v>1</v>
      </c>
      <c r="B10" t="s">
        <v>56</v>
      </c>
      <c r="C10" t="s">
        <v>201</v>
      </c>
      <c r="D10" t="str">
        <f t="shared" si="0"/>
        <v>Não</v>
      </c>
      <c r="F10" s="7" t="s">
        <v>164</v>
      </c>
      <c r="G10" s="2">
        <f t="shared" si="1"/>
        <v>9</v>
      </c>
      <c r="I10" t="s">
        <v>120</v>
      </c>
    </row>
    <row r="11" spans="1:9" x14ac:dyDescent="0.25">
      <c r="A11" t="s">
        <v>1</v>
      </c>
      <c r="B11" t="s">
        <v>56</v>
      </c>
      <c r="C11" t="s">
        <v>233</v>
      </c>
      <c r="D11" t="str">
        <f t="shared" si="0"/>
        <v>Não</v>
      </c>
      <c r="F11" s="7" t="s">
        <v>34</v>
      </c>
      <c r="G11" s="2">
        <f t="shared" si="1"/>
        <v>15</v>
      </c>
    </row>
    <row r="12" spans="1:9" x14ac:dyDescent="0.25">
      <c r="A12" t="s">
        <v>1</v>
      </c>
      <c r="B12" t="s">
        <v>234</v>
      </c>
      <c r="C12" t="s">
        <v>233</v>
      </c>
      <c r="D12" t="str">
        <f t="shared" si="0"/>
        <v>Não</v>
      </c>
      <c r="F12" s="7"/>
      <c r="G12" s="2"/>
    </row>
    <row r="13" spans="1:9" x14ac:dyDescent="0.25">
      <c r="A13" t="s">
        <v>1</v>
      </c>
      <c r="B13" t="s">
        <v>141</v>
      </c>
      <c r="C13" t="s">
        <v>141</v>
      </c>
      <c r="D13" t="str">
        <f t="shared" si="0"/>
        <v>Sim</v>
      </c>
      <c r="F13" s="7"/>
      <c r="G13" s="2"/>
    </row>
    <row r="14" spans="1:9" x14ac:dyDescent="0.25">
      <c r="A14" t="s">
        <v>1</v>
      </c>
      <c r="B14" t="s">
        <v>89</v>
      </c>
      <c r="C14" t="s">
        <v>141</v>
      </c>
      <c r="D14" t="str">
        <f t="shared" si="0"/>
        <v>Não</v>
      </c>
      <c r="F14" s="7"/>
      <c r="G14" s="2"/>
    </row>
    <row r="15" spans="1:9" x14ac:dyDescent="0.25">
      <c r="A15" t="s">
        <v>1</v>
      </c>
      <c r="B15" t="s">
        <v>141</v>
      </c>
      <c r="C15" t="s">
        <v>141</v>
      </c>
      <c r="D15" t="str">
        <f t="shared" si="0"/>
        <v>Sim</v>
      </c>
      <c r="F15" s="5"/>
      <c r="G15" s="2"/>
    </row>
    <row r="16" spans="1:9" x14ac:dyDescent="0.25">
      <c r="A16" t="s">
        <v>1</v>
      </c>
      <c r="B16" t="s">
        <v>162</v>
      </c>
      <c r="C16" t="s">
        <v>162</v>
      </c>
      <c r="D16" t="str">
        <f t="shared" si="0"/>
        <v>Sim</v>
      </c>
      <c r="F16" s="5"/>
      <c r="G16" s="2"/>
    </row>
    <row r="17" spans="1:7" x14ac:dyDescent="0.25">
      <c r="A17" t="s">
        <v>1</v>
      </c>
      <c r="B17" t="s">
        <v>162</v>
      </c>
      <c r="C17" t="s">
        <v>162</v>
      </c>
      <c r="D17" t="str">
        <f t="shared" si="0"/>
        <v>Sim</v>
      </c>
      <c r="F17" s="5"/>
      <c r="G17" s="2"/>
    </row>
    <row r="18" spans="1:7" x14ac:dyDescent="0.25">
      <c r="A18" t="s">
        <v>1</v>
      </c>
      <c r="B18" t="s">
        <v>162</v>
      </c>
      <c r="C18" t="s">
        <v>162</v>
      </c>
      <c r="D18" t="str">
        <f t="shared" si="0"/>
        <v>Sim</v>
      </c>
      <c r="F18" s="5"/>
    </row>
    <row r="19" spans="1:7" x14ac:dyDescent="0.25">
      <c r="A19" t="s">
        <v>1</v>
      </c>
      <c r="B19" t="s">
        <v>162</v>
      </c>
      <c r="C19" t="s">
        <v>162</v>
      </c>
      <c r="D19" t="str">
        <f t="shared" si="0"/>
        <v>Sim</v>
      </c>
      <c r="F19" s="5"/>
    </row>
    <row r="20" spans="1:7" x14ac:dyDescent="0.25">
      <c r="A20" t="s">
        <v>1</v>
      </c>
      <c r="B20" t="s">
        <v>235</v>
      </c>
      <c r="C20" t="s">
        <v>235</v>
      </c>
      <c r="D20" t="str">
        <f t="shared" si="0"/>
        <v>Sim</v>
      </c>
      <c r="F20" s="5"/>
    </row>
    <row r="21" spans="1:7" x14ac:dyDescent="0.25">
      <c r="A21" t="s">
        <v>1</v>
      </c>
      <c r="B21" t="s">
        <v>158</v>
      </c>
      <c r="C21" t="s">
        <v>158</v>
      </c>
      <c r="D21" t="str">
        <f t="shared" si="0"/>
        <v>Sim</v>
      </c>
      <c r="F21" s="5"/>
    </row>
    <row r="22" spans="1:7" x14ac:dyDescent="0.25">
      <c r="A22" t="s">
        <v>1</v>
      </c>
      <c r="B22" t="s">
        <v>13</v>
      </c>
      <c r="C22" t="s">
        <v>13</v>
      </c>
      <c r="D22" t="str">
        <f t="shared" si="0"/>
        <v>Sim</v>
      </c>
      <c r="F22" s="5"/>
    </row>
    <row r="23" spans="1:7" x14ac:dyDescent="0.25">
      <c r="A23" t="s">
        <v>1</v>
      </c>
      <c r="B23" t="s">
        <v>13</v>
      </c>
      <c r="C23" t="s">
        <v>13</v>
      </c>
      <c r="D23" t="str">
        <f t="shared" si="0"/>
        <v>Sim</v>
      </c>
      <c r="F23" s="5"/>
    </row>
    <row r="24" spans="1:7" x14ac:dyDescent="0.25">
      <c r="A24" t="s">
        <v>164</v>
      </c>
      <c r="B24" t="s">
        <v>92</v>
      </c>
      <c r="C24" t="s">
        <v>92</v>
      </c>
      <c r="D24" t="str">
        <f t="shared" si="0"/>
        <v>Sim</v>
      </c>
      <c r="F24" s="5"/>
    </row>
    <row r="25" spans="1:7" x14ac:dyDescent="0.25">
      <c r="A25" t="s">
        <v>164</v>
      </c>
      <c r="B25" t="s">
        <v>92</v>
      </c>
      <c r="C25" t="s">
        <v>92</v>
      </c>
      <c r="D25" t="str">
        <f t="shared" si="0"/>
        <v>Sim</v>
      </c>
      <c r="F25" s="5"/>
    </row>
    <row r="26" spans="1:7" x14ac:dyDescent="0.25">
      <c r="A26" t="s">
        <v>164</v>
      </c>
      <c r="B26" t="s">
        <v>92</v>
      </c>
      <c r="C26" t="s">
        <v>92</v>
      </c>
      <c r="D26" t="str">
        <f t="shared" si="0"/>
        <v>Sim</v>
      </c>
      <c r="F26" s="5"/>
    </row>
    <row r="27" spans="1:7" x14ac:dyDescent="0.25">
      <c r="A27" t="s">
        <v>164</v>
      </c>
      <c r="B27" t="s">
        <v>92</v>
      </c>
      <c r="C27" t="s">
        <v>92</v>
      </c>
      <c r="D27" t="str">
        <f t="shared" si="0"/>
        <v>Sim</v>
      </c>
      <c r="F27" s="5"/>
    </row>
    <row r="28" spans="1:7" x14ac:dyDescent="0.25">
      <c r="A28" t="s">
        <v>164</v>
      </c>
      <c r="B28" t="s">
        <v>121</v>
      </c>
      <c r="C28" t="s">
        <v>121</v>
      </c>
      <c r="D28" t="str">
        <f t="shared" si="0"/>
        <v>Sim</v>
      </c>
      <c r="F28" s="5"/>
    </row>
    <row r="29" spans="1:7" x14ac:dyDescent="0.25">
      <c r="A29" t="s">
        <v>164</v>
      </c>
      <c r="B29" t="s">
        <v>121</v>
      </c>
      <c r="C29" t="s">
        <v>121</v>
      </c>
      <c r="D29" t="str">
        <f t="shared" si="0"/>
        <v>Sim</v>
      </c>
      <c r="F29" s="5"/>
    </row>
    <row r="30" spans="1:7" x14ac:dyDescent="0.25">
      <c r="A30" t="s">
        <v>164</v>
      </c>
      <c r="B30" t="s">
        <v>121</v>
      </c>
      <c r="C30" t="s">
        <v>121</v>
      </c>
      <c r="D30" t="str">
        <f t="shared" si="0"/>
        <v>Sim</v>
      </c>
      <c r="F30" s="5"/>
    </row>
    <row r="31" spans="1:7" x14ac:dyDescent="0.25">
      <c r="A31" t="s">
        <v>164</v>
      </c>
      <c r="B31" t="s">
        <v>121</v>
      </c>
      <c r="C31" t="s">
        <v>121</v>
      </c>
      <c r="D31" t="str">
        <f t="shared" si="0"/>
        <v>Sim</v>
      </c>
      <c r="F31" s="5"/>
    </row>
    <row r="32" spans="1:7" x14ac:dyDescent="0.25">
      <c r="A32" t="s">
        <v>164</v>
      </c>
      <c r="B32" t="s">
        <v>231</v>
      </c>
      <c r="C32" t="s">
        <v>231</v>
      </c>
      <c r="D32" t="str">
        <f t="shared" si="0"/>
        <v>Sim</v>
      </c>
      <c r="F32" s="5"/>
    </row>
    <row r="33" spans="1:6" x14ac:dyDescent="0.25">
      <c r="A33" t="s">
        <v>43</v>
      </c>
      <c r="B33" t="s">
        <v>231</v>
      </c>
      <c r="C33" t="s">
        <v>231</v>
      </c>
      <c r="D33" t="str">
        <f t="shared" si="0"/>
        <v>Sim</v>
      </c>
      <c r="F33" s="5"/>
    </row>
    <row r="34" spans="1:6" x14ac:dyDescent="0.25">
      <c r="A34" t="s">
        <v>43</v>
      </c>
      <c r="B34" t="s">
        <v>231</v>
      </c>
      <c r="C34" t="s">
        <v>231</v>
      </c>
      <c r="D34" t="str">
        <f t="shared" si="0"/>
        <v>Sim</v>
      </c>
      <c r="F34" s="5"/>
    </row>
    <row r="35" spans="1:6" x14ac:dyDescent="0.25">
      <c r="A35" t="s">
        <v>43</v>
      </c>
      <c r="B35" t="s">
        <v>231</v>
      </c>
      <c r="C35" t="s">
        <v>231</v>
      </c>
      <c r="D35" t="str">
        <f t="shared" si="0"/>
        <v>Sim</v>
      </c>
      <c r="F35" s="5"/>
    </row>
    <row r="36" spans="1:6" x14ac:dyDescent="0.25">
      <c r="A36" t="s">
        <v>43</v>
      </c>
      <c r="B36" t="s">
        <v>48</v>
      </c>
      <c r="C36" t="s">
        <v>48</v>
      </c>
      <c r="D36" t="str">
        <f t="shared" si="0"/>
        <v>Sim</v>
      </c>
      <c r="F36" s="5"/>
    </row>
    <row r="37" spans="1:6" x14ac:dyDescent="0.25">
      <c r="A37" t="s">
        <v>43</v>
      </c>
      <c r="B37" t="s">
        <v>48</v>
      </c>
      <c r="C37" t="s">
        <v>48</v>
      </c>
      <c r="D37" t="str">
        <f t="shared" si="0"/>
        <v>Sim</v>
      </c>
      <c r="F37" s="5"/>
    </row>
    <row r="38" spans="1:6" x14ac:dyDescent="0.25">
      <c r="A38" t="s">
        <v>43</v>
      </c>
      <c r="B38" t="s">
        <v>48</v>
      </c>
      <c r="C38" t="s">
        <v>48</v>
      </c>
      <c r="D38" t="str">
        <f t="shared" si="0"/>
        <v>Sim</v>
      </c>
      <c r="F38" s="5"/>
    </row>
    <row r="39" spans="1:6" x14ac:dyDescent="0.25">
      <c r="A39" t="s">
        <v>43</v>
      </c>
      <c r="B39" t="s">
        <v>48</v>
      </c>
      <c r="C39" t="s">
        <v>48</v>
      </c>
      <c r="D39" t="str">
        <f t="shared" si="0"/>
        <v>Sim</v>
      </c>
      <c r="F39" s="5"/>
    </row>
    <row r="40" spans="1:6" x14ac:dyDescent="0.25">
      <c r="A40" t="s">
        <v>43</v>
      </c>
      <c r="B40" t="s">
        <v>45</v>
      </c>
      <c r="C40" t="s">
        <v>45</v>
      </c>
      <c r="D40" t="str">
        <f t="shared" si="0"/>
        <v>Sim</v>
      </c>
      <c r="F40" s="5"/>
    </row>
    <row r="41" spans="1:6" x14ac:dyDescent="0.25">
      <c r="A41" t="s">
        <v>43</v>
      </c>
      <c r="B41" t="s">
        <v>45</v>
      </c>
      <c r="C41" t="s">
        <v>45</v>
      </c>
      <c r="D41" t="str">
        <f t="shared" si="0"/>
        <v>Sim</v>
      </c>
      <c r="F41" s="5"/>
    </row>
    <row r="42" spans="1:6" x14ac:dyDescent="0.25">
      <c r="A42" t="s">
        <v>43</v>
      </c>
      <c r="B42" t="s">
        <v>149</v>
      </c>
      <c r="C42" t="s">
        <v>149</v>
      </c>
      <c r="D42" t="str">
        <f t="shared" si="0"/>
        <v>Sim</v>
      </c>
      <c r="F42" s="5"/>
    </row>
    <row r="43" spans="1:6" x14ac:dyDescent="0.25">
      <c r="A43" t="s">
        <v>43</v>
      </c>
      <c r="B43" t="s">
        <v>149</v>
      </c>
      <c r="C43" t="s">
        <v>149</v>
      </c>
      <c r="D43" t="str">
        <f t="shared" si="0"/>
        <v>Sim</v>
      </c>
      <c r="F43" s="5"/>
    </row>
    <row r="44" spans="1:6" x14ac:dyDescent="0.25">
      <c r="A44" t="s">
        <v>43</v>
      </c>
      <c r="B44" t="s">
        <v>149</v>
      </c>
      <c r="C44" t="s">
        <v>149</v>
      </c>
      <c r="D44" t="str">
        <f t="shared" si="0"/>
        <v>Sim</v>
      </c>
      <c r="F44" s="5"/>
    </row>
    <row r="45" spans="1:6" x14ac:dyDescent="0.25">
      <c r="A45" t="s">
        <v>43</v>
      </c>
      <c r="B45" t="s">
        <v>149</v>
      </c>
      <c r="C45" t="s">
        <v>149</v>
      </c>
      <c r="D45" t="str">
        <f t="shared" si="0"/>
        <v>Sim</v>
      </c>
      <c r="F45" s="5"/>
    </row>
    <row r="46" spans="1:6" x14ac:dyDescent="0.25">
      <c r="A46" t="s">
        <v>43</v>
      </c>
      <c r="B46" t="s">
        <v>150</v>
      </c>
      <c r="C46" t="s">
        <v>150</v>
      </c>
      <c r="D46" t="str">
        <f t="shared" si="0"/>
        <v>Sim</v>
      </c>
      <c r="F46" s="5"/>
    </row>
    <row r="47" spans="1:6" x14ac:dyDescent="0.25">
      <c r="A47" t="s">
        <v>43</v>
      </c>
      <c r="B47" t="s">
        <v>150</v>
      </c>
      <c r="C47" t="s">
        <v>150</v>
      </c>
      <c r="D47" t="str">
        <f t="shared" si="0"/>
        <v>Sim</v>
      </c>
      <c r="F47" s="5"/>
    </row>
    <row r="48" spans="1:6" x14ac:dyDescent="0.25">
      <c r="A48" t="s">
        <v>43</v>
      </c>
      <c r="B48" t="s">
        <v>150</v>
      </c>
      <c r="C48" t="s">
        <v>150</v>
      </c>
      <c r="D48" t="str">
        <f t="shared" si="0"/>
        <v>Sim</v>
      </c>
      <c r="F48" s="5"/>
    </row>
    <row r="49" spans="1:6" x14ac:dyDescent="0.25">
      <c r="A49" t="s">
        <v>43</v>
      </c>
      <c r="B49" t="s">
        <v>150</v>
      </c>
      <c r="C49" t="s">
        <v>150</v>
      </c>
      <c r="D49" t="str">
        <f t="shared" si="0"/>
        <v>Sim</v>
      </c>
      <c r="F49" s="5"/>
    </row>
    <row r="50" spans="1:6" x14ac:dyDescent="0.25">
      <c r="A50" t="s">
        <v>43</v>
      </c>
      <c r="B50" t="s">
        <v>152</v>
      </c>
      <c r="C50" t="s">
        <v>152</v>
      </c>
      <c r="D50" t="str">
        <f t="shared" si="0"/>
        <v>Sim</v>
      </c>
      <c r="F50" s="5"/>
    </row>
    <row r="51" spans="1:6" x14ac:dyDescent="0.25">
      <c r="A51" t="s">
        <v>43</v>
      </c>
      <c r="B51" t="s">
        <v>152</v>
      </c>
      <c r="C51" t="s">
        <v>152</v>
      </c>
      <c r="D51" t="str">
        <f t="shared" si="0"/>
        <v>Sim</v>
      </c>
      <c r="F51" s="5"/>
    </row>
    <row r="52" spans="1:6" x14ac:dyDescent="0.25">
      <c r="A52" t="s">
        <v>43</v>
      </c>
      <c r="B52" t="s">
        <v>152</v>
      </c>
      <c r="C52" t="s">
        <v>152</v>
      </c>
      <c r="D52" t="str">
        <f t="shared" si="0"/>
        <v>Sim</v>
      </c>
      <c r="F52" s="5"/>
    </row>
    <row r="53" spans="1:6" x14ac:dyDescent="0.25">
      <c r="A53" t="s">
        <v>95</v>
      </c>
      <c r="B53" t="s">
        <v>153</v>
      </c>
      <c r="C53" t="s">
        <v>153</v>
      </c>
      <c r="D53" t="str">
        <f t="shared" si="0"/>
        <v>Sim</v>
      </c>
      <c r="F53" s="5"/>
    </row>
    <row r="54" spans="1:6" x14ac:dyDescent="0.25">
      <c r="A54" t="s">
        <v>95</v>
      </c>
      <c r="B54" t="s">
        <v>138</v>
      </c>
      <c r="C54" t="s">
        <v>138</v>
      </c>
      <c r="D54" t="str">
        <f t="shared" si="0"/>
        <v>Sim</v>
      </c>
      <c r="F54" s="5"/>
    </row>
    <row r="55" spans="1:6" x14ac:dyDescent="0.25">
      <c r="A55" t="s">
        <v>95</v>
      </c>
      <c r="B55" t="s">
        <v>136</v>
      </c>
      <c r="C55" t="s">
        <v>136</v>
      </c>
      <c r="D55" t="str">
        <f t="shared" si="0"/>
        <v>Sim</v>
      </c>
      <c r="F55" s="5"/>
    </row>
    <row r="56" spans="1:6" x14ac:dyDescent="0.25">
      <c r="A56" t="s">
        <v>95</v>
      </c>
      <c r="B56" t="s">
        <v>136</v>
      </c>
      <c r="C56" t="s">
        <v>136</v>
      </c>
      <c r="D56" t="str">
        <f t="shared" si="0"/>
        <v>Sim</v>
      </c>
      <c r="F56" s="5"/>
    </row>
    <row r="57" spans="1:6" x14ac:dyDescent="0.25">
      <c r="A57" t="s">
        <v>95</v>
      </c>
      <c r="B57" t="s">
        <v>136</v>
      </c>
      <c r="C57" t="s">
        <v>136</v>
      </c>
      <c r="D57" t="str">
        <f t="shared" si="0"/>
        <v>Sim</v>
      </c>
      <c r="F57" s="5"/>
    </row>
    <row r="58" spans="1:6" x14ac:dyDescent="0.25">
      <c r="A58" t="s">
        <v>95</v>
      </c>
      <c r="B58" t="s">
        <v>136</v>
      </c>
      <c r="C58" t="s">
        <v>136</v>
      </c>
      <c r="D58" t="str">
        <f t="shared" si="0"/>
        <v>Sim</v>
      </c>
      <c r="F58" s="5"/>
    </row>
    <row r="59" spans="1:6" x14ac:dyDescent="0.25">
      <c r="A59" t="s">
        <v>95</v>
      </c>
      <c r="B59" t="s">
        <v>137</v>
      </c>
      <c r="C59" t="s">
        <v>137</v>
      </c>
      <c r="D59" t="str">
        <f t="shared" si="0"/>
        <v>Sim</v>
      </c>
      <c r="F59" s="5"/>
    </row>
    <row r="60" spans="1:6" x14ac:dyDescent="0.25">
      <c r="A60" t="s">
        <v>95</v>
      </c>
      <c r="B60" t="s">
        <v>44</v>
      </c>
      <c r="C60" t="s">
        <v>44</v>
      </c>
      <c r="D60" t="str">
        <f t="shared" si="0"/>
        <v>Sim</v>
      </c>
      <c r="F60" s="5"/>
    </row>
    <row r="61" spans="1:6" x14ac:dyDescent="0.25">
      <c r="A61" t="s">
        <v>95</v>
      </c>
      <c r="B61" t="s">
        <v>44</v>
      </c>
      <c r="C61" t="s">
        <v>44</v>
      </c>
      <c r="D61" t="str">
        <f t="shared" si="0"/>
        <v>Sim</v>
      </c>
      <c r="F61" s="5"/>
    </row>
    <row r="62" spans="1:6" x14ac:dyDescent="0.25">
      <c r="A62" t="s">
        <v>95</v>
      </c>
      <c r="B62" t="s">
        <v>44</v>
      </c>
      <c r="C62" t="s">
        <v>44</v>
      </c>
      <c r="D62" t="str">
        <f t="shared" si="0"/>
        <v>Sim</v>
      </c>
      <c r="F62" s="5"/>
    </row>
    <row r="63" spans="1:6" x14ac:dyDescent="0.25">
      <c r="A63" t="s">
        <v>34</v>
      </c>
      <c r="B63" t="s">
        <v>46</v>
      </c>
      <c r="C63" t="s">
        <v>46</v>
      </c>
      <c r="D63" t="str">
        <f t="shared" si="0"/>
        <v>Sim</v>
      </c>
      <c r="F63" s="5"/>
    </row>
    <row r="64" spans="1:6" x14ac:dyDescent="0.25">
      <c r="A64" t="s">
        <v>34</v>
      </c>
      <c r="B64" t="s">
        <v>46</v>
      </c>
      <c r="C64" t="s">
        <v>46</v>
      </c>
      <c r="D64" t="str">
        <f t="shared" si="0"/>
        <v>Sim</v>
      </c>
      <c r="F64" s="5"/>
    </row>
    <row r="65" spans="1:6" x14ac:dyDescent="0.25">
      <c r="A65" t="s">
        <v>34</v>
      </c>
      <c r="B65" t="s">
        <v>46</v>
      </c>
      <c r="C65" t="s">
        <v>253</v>
      </c>
      <c r="D65" t="str">
        <f t="shared" si="0"/>
        <v>Não</v>
      </c>
      <c r="F65"/>
    </row>
    <row r="66" spans="1:6" x14ac:dyDescent="0.25">
      <c r="A66" t="s">
        <v>34</v>
      </c>
      <c r="B66" t="s">
        <v>254</v>
      </c>
      <c r="C66" t="s">
        <v>253</v>
      </c>
      <c r="D66" t="str">
        <f t="shared" si="0"/>
        <v>Não</v>
      </c>
      <c r="F66"/>
    </row>
    <row r="67" spans="1:6" x14ac:dyDescent="0.25">
      <c r="A67" t="s">
        <v>34</v>
      </c>
      <c r="B67" t="s">
        <v>255</v>
      </c>
      <c r="C67" t="s">
        <v>250</v>
      </c>
      <c r="D67" t="str">
        <f t="shared" ref="D67:D77" si="2">IF(B67=C67, "Sim", "Não")</f>
        <v>Não</v>
      </c>
      <c r="F67"/>
    </row>
    <row r="68" spans="1:6" x14ac:dyDescent="0.25">
      <c r="A68" t="s">
        <v>34</v>
      </c>
      <c r="B68" t="s">
        <v>251</v>
      </c>
      <c r="C68" t="s">
        <v>250</v>
      </c>
      <c r="D68" t="str">
        <f t="shared" si="2"/>
        <v>Não</v>
      </c>
      <c r="F68"/>
    </row>
    <row r="69" spans="1:6" x14ac:dyDescent="0.25">
      <c r="A69" t="s">
        <v>34</v>
      </c>
      <c r="B69" t="s">
        <v>251</v>
      </c>
      <c r="C69" t="s">
        <v>250</v>
      </c>
      <c r="D69" t="str">
        <f t="shared" si="2"/>
        <v>Não</v>
      </c>
      <c r="F69" s="5"/>
    </row>
    <row r="70" spans="1:6" x14ac:dyDescent="0.25">
      <c r="A70" t="s">
        <v>34</v>
      </c>
      <c r="B70" t="s">
        <v>251</v>
      </c>
      <c r="C70" t="s">
        <v>250</v>
      </c>
      <c r="D70" t="str">
        <f t="shared" si="2"/>
        <v>Não</v>
      </c>
      <c r="F70" s="5"/>
    </row>
    <row r="71" spans="1:6" x14ac:dyDescent="0.25">
      <c r="A71" t="s">
        <v>34</v>
      </c>
      <c r="B71" t="s">
        <v>241</v>
      </c>
      <c r="C71" t="s">
        <v>241</v>
      </c>
      <c r="D71" t="str">
        <f t="shared" si="2"/>
        <v>Sim</v>
      </c>
      <c r="F71" s="5"/>
    </row>
    <row r="72" spans="1:6" x14ac:dyDescent="0.25">
      <c r="A72" t="s">
        <v>34</v>
      </c>
      <c r="B72" t="s">
        <v>240</v>
      </c>
      <c r="C72" t="s">
        <v>248</v>
      </c>
      <c r="D72" t="str">
        <f t="shared" si="2"/>
        <v>Não</v>
      </c>
      <c r="F72"/>
    </row>
    <row r="73" spans="1:6" x14ac:dyDescent="0.25">
      <c r="A73" t="s">
        <v>34</v>
      </c>
      <c r="B73" t="s">
        <v>240</v>
      </c>
      <c r="C73" t="s">
        <v>248</v>
      </c>
      <c r="D73" t="str">
        <f t="shared" si="2"/>
        <v>Não</v>
      </c>
      <c r="F73"/>
    </row>
    <row r="74" spans="1:6" x14ac:dyDescent="0.25">
      <c r="A74" t="s">
        <v>34</v>
      </c>
      <c r="B74" t="s">
        <v>155</v>
      </c>
      <c r="C74" t="s">
        <v>153</v>
      </c>
      <c r="D74" t="str">
        <f t="shared" si="2"/>
        <v>Não</v>
      </c>
      <c r="F74"/>
    </row>
    <row r="75" spans="1:6" x14ac:dyDescent="0.25">
      <c r="A75" t="s">
        <v>34</v>
      </c>
      <c r="B75" t="s">
        <v>144</v>
      </c>
      <c r="C75" t="s">
        <v>144</v>
      </c>
      <c r="D75" t="str">
        <f t="shared" si="2"/>
        <v>Sim</v>
      </c>
      <c r="F75"/>
    </row>
    <row r="76" spans="1:6" x14ac:dyDescent="0.25">
      <c r="A76" t="s">
        <v>34</v>
      </c>
      <c r="B76" t="s">
        <v>119</v>
      </c>
      <c r="C76" t="s">
        <v>249</v>
      </c>
      <c r="D76" t="str">
        <f t="shared" si="2"/>
        <v>Não</v>
      </c>
      <c r="F76"/>
    </row>
    <row r="77" spans="1:6" x14ac:dyDescent="0.25">
      <c r="A77" t="s">
        <v>34</v>
      </c>
      <c r="B77" t="s">
        <v>119</v>
      </c>
      <c r="C77" t="s">
        <v>249</v>
      </c>
      <c r="D77" t="str">
        <f t="shared" si="2"/>
        <v>Não</v>
      </c>
      <c r="F77"/>
    </row>
    <row r="78" spans="1:6" x14ac:dyDescent="0.25">
      <c r="A78"/>
      <c r="F78"/>
    </row>
    <row r="79" spans="1:6" x14ac:dyDescent="0.25">
      <c r="A79"/>
      <c r="F79"/>
    </row>
    <row r="80" spans="1:6" x14ac:dyDescent="0.25">
      <c r="A80"/>
      <c r="F80" s="5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BE1F-749F-4066-81D8-0E0CA2FB5609}">
  <dimension ref="A1:I94"/>
  <sheetViews>
    <sheetView tabSelected="1" topLeftCell="A45" workbookViewId="0">
      <selection activeCell="F70" sqref="F70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  <col min="9" max="9" width="24.5703125" bestFit="1" customWidth="1"/>
  </cols>
  <sheetData>
    <row r="1" spans="1:9" ht="21" x14ac:dyDescent="0.25">
      <c r="A1" s="19" t="s">
        <v>230</v>
      </c>
      <c r="B1" s="19"/>
      <c r="C1" s="19"/>
      <c r="D1" s="19"/>
      <c r="E1" s="19"/>
      <c r="F1" s="19"/>
      <c r="G1" s="19"/>
    </row>
    <row r="2" spans="1:9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9" x14ac:dyDescent="0.25">
      <c r="A3" t="s">
        <v>1</v>
      </c>
      <c r="B3" t="s">
        <v>56</v>
      </c>
      <c r="C3" t="s">
        <v>56</v>
      </c>
      <c r="D3" t="str">
        <f t="shared" ref="D3:D66" si="0">IF(B3=C3, "Sim", "Não")</f>
        <v>Sim</v>
      </c>
      <c r="F3" s="4" t="s">
        <v>10</v>
      </c>
      <c r="G3" s="3">
        <f>COUNTIF(D3:D99,"Não")</f>
        <v>6</v>
      </c>
      <c r="I3" t="s">
        <v>257</v>
      </c>
    </row>
    <row r="4" spans="1:9" x14ac:dyDescent="0.25">
      <c r="A4" t="s">
        <v>1</v>
      </c>
      <c r="B4" t="s">
        <v>232</v>
      </c>
      <c r="C4" t="s">
        <v>232</v>
      </c>
      <c r="D4" t="str">
        <f t="shared" si="0"/>
        <v>Sim</v>
      </c>
      <c r="F4" s="4" t="s">
        <v>11</v>
      </c>
      <c r="G4" s="3">
        <f>SUM(G7:G21)</f>
        <v>75</v>
      </c>
      <c r="I4" t="s">
        <v>166</v>
      </c>
    </row>
    <row r="5" spans="1:9" x14ac:dyDescent="0.25">
      <c r="A5" t="s">
        <v>1</v>
      </c>
      <c r="B5" t="s">
        <v>89</v>
      </c>
      <c r="C5" t="s">
        <v>89</v>
      </c>
      <c r="D5" t="str">
        <f t="shared" si="0"/>
        <v>Sim</v>
      </c>
      <c r="I5" t="s">
        <v>256</v>
      </c>
    </row>
    <row r="6" spans="1:9" x14ac:dyDescent="0.25">
      <c r="A6" t="s">
        <v>1</v>
      </c>
      <c r="B6" t="s">
        <v>252</v>
      </c>
      <c r="C6" t="s">
        <v>252</v>
      </c>
      <c r="D6" t="str">
        <f t="shared" si="0"/>
        <v>Sim</v>
      </c>
      <c r="F6" s="6" t="s">
        <v>3</v>
      </c>
      <c r="G6" s="1"/>
      <c r="I6" t="s">
        <v>173</v>
      </c>
    </row>
    <row r="7" spans="1:9" x14ac:dyDescent="0.25">
      <c r="A7" t="s">
        <v>1</v>
      </c>
      <c r="B7" t="s">
        <v>201</v>
      </c>
      <c r="C7" t="s">
        <v>201</v>
      </c>
      <c r="D7" t="str">
        <f t="shared" si="0"/>
        <v>Sim</v>
      </c>
      <c r="F7" s="7" t="s">
        <v>1</v>
      </c>
      <c r="G7" s="2">
        <f t="shared" ref="G7:G11" si="1">COUNTIF(A:A,F7)</f>
        <v>20</v>
      </c>
      <c r="I7" t="s">
        <v>244</v>
      </c>
    </row>
    <row r="8" spans="1:9" x14ac:dyDescent="0.25">
      <c r="A8" t="s">
        <v>1</v>
      </c>
      <c r="B8" t="s">
        <v>201</v>
      </c>
      <c r="C8" t="s">
        <v>201</v>
      </c>
      <c r="D8" t="str">
        <f t="shared" si="0"/>
        <v>Sim</v>
      </c>
      <c r="F8" s="7" t="s">
        <v>43</v>
      </c>
      <c r="G8" s="2">
        <f t="shared" si="1"/>
        <v>22</v>
      </c>
      <c r="I8" t="s">
        <v>245</v>
      </c>
    </row>
    <row r="9" spans="1:9" x14ac:dyDescent="0.25">
      <c r="A9" t="s">
        <v>1</v>
      </c>
      <c r="B9" t="s">
        <v>233</v>
      </c>
      <c r="C9" t="s">
        <v>233</v>
      </c>
      <c r="D9" t="str">
        <f t="shared" si="0"/>
        <v>Sim</v>
      </c>
      <c r="F9" s="7" t="s">
        <v>95</v>
      </c>
      <c r="G9" s="2">
        <f t="shared" si="1"/>
        <v>10</v>
      </c>
      <c r="I9" t="s">
        <v>246</v>
      </c>
    </row>
    <row r="10" spans="1:9" x14ac:dyDescent="0.25">
      <c r="A10" t="s">
        <v>1</v>
      </c>
      <c r="B10" t="s">
        <v>233</v>
      </c>
      <c r="C10" t="s">
        <v>233</v>
      </c>
      <c r="D10" t="str">
        <f t="shared" si="0"/>
        <v>Sim</v>
      </c>
      <c r="F10" s="7" t="s">
        <v>164</v>
      </c>
      <c r="G10" s="2">
        <f t="shared" si="1"/>
        <v>8</v>
      </c>
      <c r="I10" t="s">
        <v>120</v>
      </c>
    </row>
    <row r="11" spans="1:9" x14ac:dyDescent="0.25">
      <c r="A11" t="s">
        <v>1</v>
      </c>
      <c r="B11" t="s">
        <v>141</v>
      </c>
      <c r="C11" t="s">
        <v>141</v>
      </c>
      <c r="D11" t="str">
        <f t="shared" si="0"/>
        <v>Sim</v>
      </c>
      <c r="F11" s="7" t="s">
        <v>34</v>
      </c>
      <c r="G11" s="2">
        <f t="shared" si="1"/>
        <v>15</v>
      </c>
    </row>
    <row r="12" spans="1:9" x14ac:dyDescent="0.25">
      <c r="A12" t="s">
        <v>1</v>
      </c>
      <c r="B12" t="s">
        <v>141</v>
      </c>
      <c r="C12" t="s">
        <v>141</v>
      </c>
      <c r="D12" t="str">
        <f t="shared" si="0"/>
        <v>Sim</v>
      </c>
      <c r="F12" s="7"/>
      <c r="G12" s="2"/>
    </row>
    <row r="13" spans="1:9" x14ac:dyDescent="0.25">
      <c r="A13" t="s">
        <v>1</v>
      </c>
      <c r="B13" t="s">
        <v>141</v>
      </c>
      <c r="C13" t="s">
        <v>141</v>
      </c>
      <c r="D13" t="str">
        <f t="shared" si="0"/>
        <v>Sim</v>
      </c>
      <c r="F13" s="7"/>
      <c r="G13" s="2"/>
    </row>
    <row r="14" spans="1:9" x14ac:dyDescent="0.25">
      <c r="A14" t="s">
        <v>1</v>
      </c>
      <c r="B14" t="s">
        <v>162</v>
      </c>
      <c r="C14" t="s">
        <v>162</v>
      </c>
      <c r="D14" t="str">
        <f t="shared" si="0"/>
        <v>Sim</v>
      </c>
      <c r="F14" s="7"/>
      <c r="G14" s="2"/>
    </row>
    <row r="15" spans="1:9" x14ac:dyDescent="0.25">
      <c r="A15" t="s">
        <v>1</v>
      </c>
      <c r="B15" t="s">
        <v>162</v>
      </c>
      <c r="C15" t="s">
        <v>162</v>
      </c>
      <c r="D15" t="str">
        <f t="shared" si="0"/>
        <v>Sim</v>
      </c>
      <c r="F15" s="5"/>
      <c r="G15" s="2"/>
    </row>
    <row r="16" spans="1:9" x14ac:dyDescent="0.25">
      <c r="A16" t="s">
        <v>1</v>
      </c>
      <c r="B16" t="s">
        <v>162</v>
      </c>
      <c r="C16" t="s">
        <v>162</v>
      </c>
      <c r="D16" t="str">
        <f t="shared" si="0"/>
        <v>Sim</v>
      </c>
      <c r="F16" s="5"/>
      <c r="G16" s="2"/>
    </row>
    <row r="17" spans="1:7" x14ac:dyDescent="0.25">
      <c r="A17" t="s">
        <v>1</v>
      </c>
      <c r="B17" t="s">
        <v>162</v>
      </c>
      <c r="C17" t="s">
        <v>162</v>
      </c>
      <c r="D17" t="str">
        <f t="shared" si="0"/>
        <v>Sim</v>
      </c>
      <c r="F17" s="5"/>
      <c r="G17" s="2"/>
    </row>
    <row r="18" spans="1:7" x14ac:dyDescent="0.25">
      <c r="A18" t="s">
        <v>1</v>
      </c>
      <c r="B18" t="s">
        <v>235</v>
      </c>
      <c r="C18" t="s">
        <v>235</v>
      </c>
      <c r="D18" t="str">
        <f t="shared" si="0"/>
        <v>Sim</v>
      </c>
      <c r="F18" s="5"/>
    </row>
    <row r="19" spans="1:7" x14ac:dyDescent="0.25">
      <c r="A19" t="s">
        <v>1</v>
      </c>
      <c r="B19" t="s">
        <v>235</v>
      </c>
      <c r="C19" t="s">
        <v>235</v>
      </c>
      <c r="D19" t="str">
        <f t="shared" si="0"/>
        <v>Sim</v>
      </c>
      <c r="F19" s="5"/>
    </row>
    <row r="20" spans="1:7" x14ac:dyDescent="0.25">
      <c r="A20" t="s">
        <v>1</v>
      </c>
      <c r="B20" t="s">
        <v>158</v>
      </c>
      <c r="C20" t="s">
        <v>158</v>
      </c>
      <c r="D20" t="str">
        <f t="shared" si="0"/>
        <v>Sim</v>
      </c>
      <c r="F20" s="5"/>
    </row>
    <row r="21" spans="1:7" x14ac:dyDescent="0.25">
      <c r="A21" t="s">
        <v>1</v>
      </c>
      <c r="B21" t="s">
        <v>13</v>
      </c>
      <c r="C21" t="s">
        <v>13</v>
      </c>
      <c r="D21" t="str">
        <f t="shared" si="0"/>
        <v>Sim</v>
      </c>
      <c r="F21" s="5"/>
    </row>
    <row r="22" spans="1:7" x14ac:dyDescent="0.25">
      <c r="A22" t="s">
        <v>1</v>
      </c>
      <c r="B22" t="s">
        <v>13</v>
      </c>
      <c r="C22" t="s">
        <v>13</v>
      </c>
      <c r="D22" t="str">
        <f t="shared" si="0"/>
        <v>Sim</v>
      </c>
      <c r="F22" s="5"/>
    </row>
    <row r="23" spans="1:7" x14ac:dyDescent="0.25">
      <c r="A23" t="s">
        <v>164</v>
      </c>
      <c r="B23" t="s">
        <v>92</v>
      </c>
      <c r="C23" t="s">
        <v>92</v>
      </c>
      <c r="D23" t="str">
        <f t="shared" si="0"/>
        <v>Sim</v>
      </c>
      <c r="F23" s="5"/>
    </row>
    <row r="24" spans="1:7" x14ac:dyDescent="0.25">
      <c r="A24" t="s">
        <v>164</v>
      </c>
      <c r="B24" t="s">
        <v>92</v>
      </c>
      <c r="C24" t="s">
        <v>92</v>
      </c>
      <c r="D24" t="str">
        <f t="shared" si="0"/>
        <v>Sim</v>
      </c>
      <c r="F24" s="5"/>
    </row>
    <row r="25" spans="1:7" x14ac:dyDescent="0.25">
      <c r="A25" t="s">
        <v>164</v>
      </c>
      <c r="B25" t="s">
        <v>92</v>
      </c>
      <c r="C25" t="s">
        <v>92</v>
      </c>
      <c r="D25" t="str">
        <f t="shared" si="0"/>
        <v>Sim</v>
      </c>
      <c r="F25" s="5"/>
    </row>
    <row r="26" spans="1:7" x14ac:dyDescent="0.25">
      <c r="A26" t="s">
        <v>164</v>
      </c>
      <c r="B26" t="s">
        <v>92</v>
      </c>
      <c r="C26" t="s">
        <v>92</v>
      </c>
      <c r="D26" t="str">
        <f t="shared" si="0"/>
        <v>Sim</v>
      </c>
      <c r="F26" s="5"/>
    </row>
    <row r="27" spans="1:7" x14ac:dyDescent="0.25">
      <c r="A27" t="s">
        <v>164</v>
      </c>
      <c r="B27" t="s">
        <v>121</v>
      </c>
      <c r="C27" t="s">
        <v>121</v>
      </c>
      <c r="D27" t="str">
        <f t="shared" si="0"/>
        <v>Sim</v>
      </c>
      <c r="F27" s="5"/>
    </row>
    <row r="28" spans="1:7" x14ac:dyDescent="0.25">
      <c r="A28" t="s">
        <v>164</v>
      </c>
      <c r="B28" t="s">
        <v>121</v>
      </c>
      <c r="C28" t="s">
        <v>121</v>
      </c>
      <c r="D28" t="str">
        <f t="shared" si="0"/>
        <v>Sim</v>
      </c>
      <c r="F28" s="5"/>
    </row>
    <row r="29" spans="1:7" x14ac:dyDescent="0.25">
      <c r="A29" t="s">
        <v>164</v>
      </c>
      <c r="B29" t="s">
        <v>121</v>
      </c>
      <c r="C29" t="s">
        <v>121</v>
      </c>
      <c r="D29" t="str">
        <f t="shared" si="0"/>
        <v>Sim</v>
      </c>
      <c r="F29" s="5"/>
    </row>
    <row r="30" spans="1:7" x14ac:dyDescent="0.25">
      <c r="A30" t="s">
        <v>164</v>
      </c>
      <c r="B30" t="s">
        <v>121</v>
      </c>
      <c r="C30" t="s">
        <v>121</v>
      </c>
      <c r="D30" t="str">
        <f t="shared" si="0"/>
        <v>Sim</v>
      </c>
      <c r="F30" s="5"/>
    </row>
    <row r="31" spans="1:7" x14ac:dyDescent="0.25">
      <c r="A31" t="s">
        <v>43</v>
      </c>
      <c r="B31" t="s">
        <v>333</v>
      </c>
      <c r="C31" t="s">
        <v>231</v>
      </c>
      <c r="D31" t="str">
        <f t="shared" si="0"/>
        <v>Não</v>
      </c>
      <c r="F31" s="5"/>
    </row>
    <row r="32" spans="1:7" x14ac:dyDescent="0.25">
      <c r="A32" t="s">
        <v>43</v>
      </c>
      <c r="B32" t="s">
        <v>333</v>
      </c>
      <c r="C32" t="s">
        <v>231</v>
      </c>
      <c r="D32" t="str">
        <f t="shared" si="0"/>
        <v>Não</v>
      </c>
      <c r="F32" s="5"/>
    </row>
    <row r="33" spans="1:6" x14ac:dyDescent="0.25">
      <c r="A33" t="s">
        <v>43</v>
      </c>
      <c r="B33" t="s">
        <v>333</v>
      </c>
      <c r="C33" t="s">
        <v>231</v>
      </c>
      <c r="D33" t="str">
        <f t="shared" si="0"/>
        <v>Não</v>
      </c>
      <c r="F33" s="5"/>
    </row>
    <row r="34" spans="1:6" x14ac:dyDescent="0.25">
      <c r="A34" t="s">
        <v>43</v>
      </c>
      <c r="B34" t="s">
        <v>333</v>
      </c>
      <c r="C34" t="s">
        <v>231</v>
      </c>
      <c r="D34" t="str">
        <f t="shared" si="0"/>
        <v>Não</v>
      </c>
      <c r="F34" s="5"/>
    </row>
    <row r="35" spans="1:6" x14ac:dyDescent="0.25">
      <c r="A35" t="s">
        <v>43</v>
      </c>
      <c r="B35" t="s">
        <v>48</v>
      </c>
      <c r="C35" t="s">
        <v>48</v>
      </c>
      <c r="D35" t="str">
        <f t="shared" si="0"/>
        <v>Sim</v>
      </c>
      <c r="F35" s="5"/>
    </row>
    <row r="36" spans="1:6" x14ac:dyDescent="0.25">
      <c r="A36" t="s">
        <v>43</v>
      </c>
      <c r="B36" t="s">
        <v>48</v>
      </c>
      <c r="C36" t="s">
        <v>48</v>
      </c>
      <c r="D36" t="str">
        <f t="shared" si="0"/>
        <v>Sim</v>
      </c>
      <c r="F36" s="5"/>
    </row>
    <row r="37" spans="1:6" x14ac:dyDescent="0.25">
      <c r="A37" t="s">
        <v>43</v>
      </c>
      <c r="B37" t="s">
        <v>48</v>
      </c>
      <c r="C37" t="s">
        <v>48</v>
      </c>
      <c r="D37" t="str">
        <f t="shared" si="0"/>
        <v>Sim</v>
      </c>
      <c r="F37" s="5"/>
    </row>
    <row r="38" spans="1:6" x14ac:dyDescent="0.25">
      <c r="A38" t="s">
        <v>43</v>
      </c>
      <c r="B38" t="s">
        <v>48</v>
      </c>
      <c r="C38" t="s">
        <v>48</v>
      </c>
      <c r="D38" t="str">
        <f t="shared" si="0"/>
        <v>Sim</v>
      </c>
      <c r="F38" s="5"/>
    </row>
    <row r="39" spans="1:6" x14ac:dyDescent="0.25">
      <c r="A39" t="s">
        <v>43</v>
      </c>
      <c r="B39" t="s">
        <v>258</v>
      </c>
      <c r="C39" t="s">
        <v>258</v>
      </c>
      <c r="D39" t="str">
        <f t="shared" si="0"/>
        <v>Sim</v>
      </c>
      <c r="F39" s="5"/>
    </row>
    <row r="40" spans="1:6" x14ac:dyDescent="0.25">
      <c r="A40" t="s">
        <v>43</v>
      </c>
      <c r="B40" t="s">
        <v>45</v>
      </c>
      <c r="C40" t="s">
        <v>45</v>
      </c>
      <c r="D40" t="str">
        <f t="shared" si="0"/>
        <v>Sim</v>
      </c>
      <c r="F40" s="5"/>
    </row>
    <row r="41" spans="1:6" x14ac:dyDescent="0.25">
      <c r="A41" t="s">
        <v>43</v>
      </c>
      <c r="B41" t="s">
        <v>149</v>
      </c>
      <c r="C41" t="s">
        <v>149</v>
      </c>
      <c r="D41" t="str">
        <f t="shared" si="0"/>
        <v>Sim</v>
      </c>
      <c r="F41" s="5"/>
    </row>
    <row r="42" spans="1:6" x14ac:dyDescent="0.25">
      <c r="A42" t="s">
        <v>43</v>
      </c>
      <c r="B42" t="s">
        <v>149</v>
      </c>
      <c r="C42" t="s">
        <v>149</v>
      </c>
      <c r="D42" t="str">
        <f t="shared" si="0"/>
        <v>Sim</v>
      </c>
      <c r="F42" s="5"/>
    </row>
    <row r="43" spans="1:6" x14ac:dyDescent="0.25">
      <c r="A43" t="s">
        <v>43</v>
      </c>
      <c r="B43" t="s">
        <v>149</v>
      </c>
      <c r="C43" t="s">
        <v>149</v>
      </c>
      <c r="D43" t="str">
        <f t="shared" si="0"/>
        <v>Sim</v>
      </c>
      <c r="F43" s="5"/>
    </row>
    <row r="44" spans="1:6" x14ac:dyDescent="0.25">
      <c r="A44" t="s">
        <v>43</v>
      </c>
      <c r="B44" t="s">
        <v>149</v>
      </c>
      <c r="C44" t="s">
        <v>149</v>
      </c>
      <c r="D44" t="str">
        <f t="shared" si="0"/>
        <v>Sim</v>
      </c>
      <c r="F44" s="5"/>
    </row>
    <row r="45" spans="1:6" x14ac:dyDescent="0.25">
      <c r="A45" t="s">
        <v>43</v>
      </c>
      <c r="B45" t="s">
        <v>150</v>
      </c>
      <c r="C45" t="s">
        <v>150</v>
      </c>
      <c r="D45" t="str">
        <f t="shared" si="0"/>
        <v>Sim</v>
      </c>
      <c r="F45" s="5"/>
    </row>
    <row r="46" spans="1:6" x14ac:dyDescent="0.25">
      <c r="A46" t="s">
        <v>43</v>
      </c>
      <c r="B46" t="s">
        <v>150</v>
      </c>
      <c r="C46" t="s">
        <v>150</v>
      </c>
      <c r="D46" t="str">
        <f t="shared" si="0"/>
        <v>Sim</v>
      </c>
      <c r="F46" s="5"/>
    </row>
    <row r="47" spans="1:6" x14ac:dyDescent="0.25">
      <c r="A47" t="s">
        <v>43</v>
      </c>
      <c r="B47" t="s">
        <v>150</v>
      </c>
      <c r="C47" t="s">
        <v>150</v>
      </c>
      <c r="D47" t="str">
        <f t="shared" si="0"/>
        <v>Sim</v>
      </c>
      <c r="F47" s="5"/>
    </row>
    <row r="48" spans="1:6" x14ac:dyDescent="0.25">
      <c r="A48" t="s">
        <v>43</v>
      </c>
      <c r="B48" t="s">
        <v>150</v>
      </c>
      <c r="C48" t="s">
        <v>150</v>
      </c>
      <c r="D48" t="str">
        <f t="shared" si="0"/>
        <v>Sim</v>
      </c>
      <c r="F48" s="5"/>
    </row>
    <row r="49" spans="1:6" x14ac:dyDescent="0.25">
      <c r="A49" t="s">
        <v>43</v>
      </c>
      <c r="B49" t="s">
        <v>152</v>
      </c>
      <c r="C49" t="s">
        <v>152</v>
      </c>
      <c r="D49" t="str">
        <f t="shared" si="0"/>
        <v>Sim</v>
      </c>
      <c r="F49" s="5"/>
    </row>
    <row r="50" spans="1:6" x14ac:dyDescent="0.25">
      <c r="A50" t="s">
        <v>43</v>
      </c>
      <c r="B50" t="s">
        <v>152</v>
      </c>
      <c r="C50" t="s">
        <v>152</v>
      </c>
      <c r="D50" t="str">
        <f t="shared" si="0"/>
        <v>Sim</v>
      </c>
      <c r="F50" s="5"/>
    </row>
    <row r="51" spans="1:6" x14ac:dyDescent="0.25">
      <c r="A51" t="s">
        <v>43</v>
      </c>
      <c r="B51" t="s">
        <v>152</v>
      </c>
      <c r="C51" t="s">
        <v>152</v>
      </c>
      <c r="D51" t="str">
        <f t="shared" si="0"/>
        <v>Sim</v>
      </c>
      <c r="F51" s="5"/>
    </row>
    <row r="52" spans="1:6" x14ac:dyDescent="0.25">
      <c r="A52" t="s">
        <v>43</v>
      </c>
      <c r="B52" t="s">
        <v>260</v>
      </c>
      <c r="C52" t="s">
        <v>260</v>
      </c>
      <c r="D52" t="str">
        <f t="shared" si="0"/>
        <v>Sim</v>
      </c>
      <c r="F52" s="5"/>
    </row>
    <row r="53" spans="1:6" x14ac:dyDescent="0.25">
      <c r="A53" t="s">
        <v>95</v>
      </c>
      <c r="B53" t="s">
        <v>153</v>
      </c>
      <c r="C53" t="s">
        <v>153</v>
      </c>
      <c r="D53" t="str">
        <f t="shared" si="0"/>
        <v>Sim</v>
      </c>
      <c r="F53" s="5"/>
    </row>
    <row r="54" spans="1:6" x14ac:dyDescent="0.25">
      <c r="A54" t="s">
        <v>95</v>
      </c>
      <c r="B54" t="s">
        <v>138</v>
      </c>
      <c r="C54" t="s">
        <v>138</v>
      </c>
      <c r="D54" t="str">
        <f t="shared" si="0"/>
        <v>Sim</v>
      </c>
      <c r="F54" s="5"/>
    </row>
    <row r="55" spans="1:6" x14ac:dyDescent="0.25">
      <c r="A55" t="s">
        <v>95</v>
      </c>
      <c r="B55" t="s">
        <v>136</v>
      </c>
      <c r="C55" t="s">
        <v>136</v>
      </c>
      <c r="D55" t="str">
        <f t="shared" si="0"/>
        <v>Sim</v>
      </c>
      <c r="F55" s="5"/>
    </row>
    <row r="56" spans="1:6" x14ac:dyDescent="0.25">
      <c r="A56" t="s">
        <v>95</v>
      </c>
      <c r="B56" t="s">
        <v>136</v>
      </c>
      <c r="C56" t="s">
        <v>136</v>
      </c>
      <c r="D56" t="str">
        <f t="shared" si="0"/>
        <v>Sim</v>
      </c>
      <c r="F56" s="5"/>
    </row>
    <row r="57" spans="1:6" x14ac:dyDescent="0.25">
      <c r="A57" t="s">
        <v>95</v>
      </c>
      <c r="B57" t="s">
        <v>136</v>
      </c>
      <c r="C57" t="s">
        <v>136</v>
      </c>
      <c r="D57" t="str">
        <f t="shared" si="0"/>
        <v>Sim</v>
      </c>
      <c r="F57" s="5"/>
    </row>
    <row r="58" spans="1:6" x14ac:dyDescent="0.25">
      <c r="A58" t="s">
        <v>95</v>
      </c>
      <c r="B58" t="s">
        <v>136</v>
      </c>
      <c r="C58" t="s">
        <v>136</v>
      </c>
      <c r="D58" t="str">
        <f t="shared" si="0"/>
        <v>Sim</v>
      </c>
      <c r="F58" s="5"/>
    </row>
    <row r="59" spans="1:6" x14ac:dyDescent="0.25">
      <c r="A59" t="s">
        <v>95</v>
      </c>
      <c r="B59" t="s">
        <v>137</v>
      </c>
      <c r="C59" t="s">
        <v>137</v>
      </c>
      <c r="D59" t="str">
        <f t="shared" si="0"/>
        <v>Sim</v>
      </c>
      <c r="F59" s="5"/>
    </row>
    <row r="60" spans="1:6" x14ac:dyDescent="0.25">
      <c r="A60" t="s">
        <v>95</v>
      </c>
      <c r="B60" t="s">
        <v>259</v>
      </c>
      <c r="C60" t="s">
        <v>259</v>
      </c>
      <c r="D60" t="str">
        <f t="shared" si="0"/>
        <v>Sim</v>
      </c>
      <c r="F60" s="5"/>
    </row>
    <row r="61" spans="1:6" x14ac:dyDescent="0.25">
      <c r="A61" t="s">
        <v>95</v>
      </c>
      <c r="B61" t="s">
        <v>44</v>
      </c>
      <c r="C61" t="s">
        <v>44</v>
      </c>
      <c r="D61" t="str">
        <f t="shared" si="0"/>
        <v>Sim</v>
      </c>
      <c r="F61" s="5"/>
    </row>
    <row r="62" spans="1:6" x14ac:dyDescent="0.25">
      <c r="A62" t="s">
        <v>95</v>
      </c>
      <c r="B62" t="s">
        <v>44</v>
      </c>
      <c r="C62" t="s">
        <v>44</v>
      </c>
      <c r="D62" t="str">
        <f t="shared" si="0"/>
        <v>Sim</v>
      </c>
      <c r="F62" s="5"/>
    </row>
    <row r="63" spans="1:6" x14ac:dyDescent="0.25">
      <c r="A63" t="s">
        <v>34</v>
      </c>
      <c r="B63" t="s">
        <v>46</v>
      </c>
      <c r="C63" t="s">
        <v>139</v>
      </c>
      <c r="D63" t="str">
        <f t="shared" si="0"/>
        <v>Não</v>
      </c>
      <c r="F63" s="5"/>
    </row>
    <row r="64" spans="1:6" x14ac:dyDescent="0.25">
      <c r="A64" t="s">
        <v>34</v>
      </c>
      <c r="B64" t="s">
        <v>139</v>
      </c>
      <c r="C64" t="s">
        <v>139</v>
      </c>
      <c r="D64" t="str">
        <f t="shared" si="0"/>
        <v>Sim</v>
      </c>
      <c r="F64" s="5"/>
    </row>
    <row r="65" spans="1:6" x14ac:dyDescent="0.25">
      <c r="A65" t="s">
        <v>34</v>
      </c>
      <c r="B65" t="s">
        <v>139</v>
      </c>
      <c r="C65" t="s">
        <v>139</v>
      </c>
      <c r="D65" t="str">
        <f t="shared" si="0"/>
        <v>Sim</v>
      </c>
      <c r="F65"/>
    </row>
    <row r="66" spans="1:6" x14ac:dyDescent="0.25">
      <c r="A66" t="s">
        <v>34</v>
      </c>
      <c r="B66" t="s">
        <v>139</v>
      </c>
      <c r="C66" t="s">
        <v>139</v>
      </c>
      <c r="D66" t="str">
        <f t="shared" si="0"/>
        <v>Sim</v>
      </c>
      <c r="F66"/>
    </row>
    <row r="67" spans="1:6" x14ac:dyDescent="0.25">
      <c r="A67" t="s">
        <v>34</v>
      </c>
      <c r="B67" t="s">
        <v>261</v>
      </c>
      <c r="C67" t="s">
        <v>261</v>
      </c>
      <c r="D67" t="str">
        <f t="shared" ref="D67:D77" si="2">IF(B67=C67, "Sim", "Não")</f>
        <v>Sim</v>
      </c>
      <c r="F67"/>
    </row>
    <row r="68" spans="1:6" x14ac:dyDescent="0.25">
      <c r="A68" t="s">
        <v>34</v>
      </c>
      <c r="B68" t="s">
        <v>261</v>
      </c>
      <c r="C68" t="s">
        <v>261</v>
      </c>
      <c r="D68" t="str">
        <f t="shared" si="2"/>
        <v>Sim</v>
      </c>
      <c r="F68"/>
    </row>
    <row r="69" spans="1:6" x14ac:dyDescent="0.25">
      <c r="A69" t="s">
        <v>34</v>
      </c>
      <c r="B69" t="s">
        <v>251</v>
      </c>
      <c r="C69" t="s">
        <v>251</v>
      </c>
      <c r="D69" t="str">
        <f t="shared" si="2"/>
        <v>Sim</v>
      </c>
      <c r="F69" s="5"/>
    </row>
    <row r="70" spans="1:6" x14ac:dyDescent="0.25">
      <c r="A70" t="s">
        <v>34</v>
      </c>
      <c r="B70" t="s">
        <v>251</v>
      </c>
      <c r="C70" t="s">
        <v>251</v>
      </c>
      <c r="D70" t="str">
        <f t="shared" si="2"/>
        <v>Sim</v>
      </c>
      <c r="F70" s="5"/>
    </row>
    <row r="71" spans="1:6" x14ac:dyDescent="0.25">
      <c r="A71" t="s">
        <v>34</v>
      </c>
      <c r="B71" t="s">
        <v>251</v>
      </c>
      <c r="C71" t="s">
        <v>251</v>
      </c>
      <c r="D71" t="str">
        <f t="shared" si="2"/>
        <v>Sim</v>
      </c>
      <c r="F71" s="5"/>
    </row>
    <row r="72" spans="1:6" x14ac:dyDescent="0.25">
      <c r="A72" t="s">
        <v>34</v>
      </c>
      <c r="B72" t="s">
        <v>153</v>
      </c>
      <c r="C72" t="s">
        <v>153</v>
      </c>
      <c r="D72" t="str">
        <f t="shared" si="2"/>
        <v>Sim</v>
      </c>
      <c r="F72"/>
    </row>
    <row r="73" spans="1:6" x14ac:dyDescent="0.25">
      <c r="A73" t="s">
        <v>34</v>
      </c>
      <c r="B73" t="s">
        <v>240</v>
      </c>
      <c r="C73" t="s">
        <v>240</v>
      </c>
      <c r="D73" t="str">
        <f t="shared" si="2"/>
        <v>Sim</v>
      </c>
      <c r="F73"/>
    </row>
    <row r="74" spans="1:6" x14ac:dyDescent="0.25">
      <c r="A74" t="s">
        <v>34</v>
      </c>
      <c r="B74" t="s">
        <v>332</v>
      </c>
      <c r="C74" t="s">
        <v>240</v>
      </c>
      <c r="D74" t="str">
        <f t="shared" si="2"/>
        <v>Não</v>
      </c>
      <c r="F74"/>
    </row>
    <row r="75" spans="1:6" x14ac:dyDescent="0.25">
      <c r="A75" t="s">
        <v>34</v>
      </c>
      <c r="B75" t="s">
        <v>144</v>
      </c>
      <c r="C75" t="s">
        <v>144</v>
      </c>
      <c r="D75" t="str">
        <f t="shared" si="2"/>
        <v>Sim</v>
      </c>
      <c r="F75"/>
    </row>
    <row r="76" spans="1:6" x14ac:dyDescent="0.25">
      <c r="A76" t="s">
        <v>34</v>
      </c>
      <c r="B76" t="s">
        <v>119</v>
      </c>
      <c r="C76" t="s">
        <v>119</v>
      </c>
      <c r="D76" t="str">
        <f t="shared" si="2"/>
        <v>Sim</v>
      </c>
      <c r="F76"/>
    </row>
    <row r="77" spans="1:6" x14ac:dyDescent="0.25">
      <c r="A77" t="s">
        <v>34</v>
      </c>
      <c r="B77" t="s">
        <v>119</v>
      </c>
      <c r="C77" t="s">
        <v>119</v>
      </c>
      <c r="D77" t="str">
        <f t="shared" si="2"/>
        <v>Sim</v>
      </c>
      <c r="F77"/>
    </row>
    <row r="78" spans="1:6" x14ac:dyDescent="0.25">
      <c r="A78"/>
      <c r="F78"/>
    </row>
    <row r="79" spans="1:6" x14ac:dyDescent="0.25">
      <c r="A79"/>
      <c r="F79"/>
    </row>
    <row r="80" spans="1:6" x14ac:dyDescent="0.25">
      <c r="A80"/>
      <c r="F80" s="5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1AEC-D8B2-4505-978A-E15F89017289}">
  <dimension ref="A1:I94"/>
  <sheetViews>
    <sheetView workbookViewId="0">
      <selection activeCell="C37" sqref="C37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  <col min="9" max="9" width="24.5703125" bestFit="1" customWidth="1"/>
  </cols>
  <sheetData>
    <row r="1" spans="1:9" ht="21" x14ac:dyDescent="0.25">
      <c r="A1" s="19" t="s">
        <v>304</v>
      </c>
      <c r="B1" s="19"/>
      <c r="C1" s="19"/>
      <c r="D1" s="19"/>
      <c r="E1" s="19"/>
      <c r="F1" s="19"/>
      <c r="G1" s="19"/>
    </row>
    <row r="2" spans="1:9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9" x14ac:dyDescent="0.25">
      <c r="A3" t="s">
        <v>1</v>
      </c>
      <c r="C3" t="s">
        <v>56</v>
      </c>
      <c r="D3" t="str">
        <f t="shared" ref="D3:D66" si="0">IF(B3=C3, "Sim", "Não")</f>
        <v>Não</v>
      </c>
      <c r="F3" s="4" t="s">
        <v>10</v>
      </c>
      <c r="G3" s="3">
        <f>COUNTIF(D3:D99,"Não")</f>
        <v>68</v>
      </c>
      <c r="I3" t="s">
        <v>257</v>
      </c>
    </row>
    <row r="4" spans="1:9" x14ac:dyDescent="0.25">
      <c r="A4" t="s">
        <v>1</v>
      </c>
      <c r="C4" t="s">
        <v>232</v>
      </c>
      <c r="D4" t="str">
        <f t="shared" si="0"/>
        <v>Não</v>
      </c>
      <c r="F4" s="4" t="s">
        <v>11</v>
      </c>
      <c r="G4" s="3">
        <f>SUM(G7:G21)</f>
        <v>75</v>
      </c>
      <c r="I4" t="s">
        <v>166</v>
      </c>
    </row>
    <row r="5" spans="1:9" x14ac:dyDescent="0.25">
      <c r="A5" t="s">
        <v>1</v>
      </c>
      <c r="C5" t="s">
        <v>89</v>
      </c>
      <c r="D5" t="str">
        <f t="shared" si="0"/>
        <v>Não</v>
      </c>
      <c r="I5" t="s">
        <v>256</v>
      </c>
    </row>
    <row r="6" spans="1:9" x14ac:dyDescent="0.25">
      <c r="A6" t="s">
        <v>1</v>
      </c>
      <c r="C6" t="s">
        <v>53</v>
      </c>
      <c r="D6" t="str">
        <f t="shared" si="0"/>
        <v>Não</v>
      </c>
      <c r="F6" s="6" t="s">
        <v>3</v>
      </c>
      <c r="G6" s="1"/>
      <c r="I6" t="s">
        <v>173</v>
      </c>
    </row>
    <row r="7" spans="1:9" x14ac:dyDescent="0.25">
      <c r="A7" t="s">
        <v>1</v>
      </c>
      <c r="C7" t="s">
        <v>252</v>
      </c>
      <c r="D7" t="str">
        <f t="shared" si="0"/>
        <v>Não</v>
      </c>
      <c r="F7" s="7" t="s">
        <v>1</v>
      </c>
      <c r="G7" s="2">
        <f t="shared" ref="G7:G11" si="1">COUNTIF(A:A,F7)</f>
        <v>20</v>
      </c>
      <c r="I7" t="s">
        <v>244</v>
      </c>
    </row>
    <row r="8" spans="1:9" x14ac:dyDescent="0.25">
      <c r="A8" t="s">
        <v>1</v>
      </c>
      <c r="C8" t="s">
        <v>201</v>
      </c>
      <c r="D8" t="str">
        <f t="shared" si="0"/>
        <v>Não</v>
      </c>
      <c r="F8" s="7" t="s">
        <v>43</v>
      </c>
      <c r="G8" s="2">
        <f t="shared" si="1"/>
        <v>22</v>
      </c>
      <c r="I8" t="s">
        <v>245</v>
      </c>
    </row>
    <row r="9" spans="1:9" x14ac:dyDescent="0.25">
      <c r="A9" t="s">
        <v>1</v>
      </c>
      <c r="C9" t="s">
        <v>201</v>
      </c>
      <c r="D9" t="str">
        <f t="shared" si="0"/>
        <v>Não</v>
      </c>
      <c r="F9" s="7" t="s">
        <v>95</v>
      </c>
      <c r="G9" s="2">
        <f t="shared" si="1"/>
        <v>7</v>
      </c>
      <c r="I9" t="s">
        <v>246</v>
      </c>
    </row>
    <row r="10" spans="1:9" x14ac:dyDescent="0.25">
      <c r="A10" t="s">
        <v>1</v>
      </c>
      <c r="C10" t="s">
        <v>233</v>
      </c>
      <c r="D10" t="str">
        <f t="shared" si="0"/>
        <v>Não</v>
      </c>
      <c r="F10" s="7" t="s">
        <v>164</v>
      </c>
      <c r="G10" s="2">
        <f t="shared" si="1"/>
        <v>11</v>
      </c>
      <c r="I10" t="s">
        <v>120</v>
      </c>
    </row>
    <row r="11" spans="1:9" x14ac:dyDescent="0.25">
      <c r="A11" t="s">
        <v>1</v>
      </c>
      <c r="C11" t="s">
        <v>233</v>
      </c>
      <c r="D11" t="str">
        <f t="shared" si="0"/>
        <v>Não</v>
      </c>
      <c r="F11" s="7" t="s">
        <v>34</v>
      </c>
      <c r="G11" s="2">
        <f t="shared" si="1"/>
        <v>15</v>
      </c>
    </row>
    <row r="12" spans="1:9" x14ac:dyDescent="0.25">
      <c r="A12" t="s">
        <v>1</v>
      </c>
      <c r="C12" t="s">
        <v>141</v>
      </c>
      <c r="D12" t="str">
        <f t="shared" si="0"/>
        <v>Não</v>
      </c>
      <c r="F12" s="7"/>
      <c r="G12" s="2"/>
    </row>
    <row r="13" spans="1:9" x14ac:dyDescent="0.25">
      <c r="A13" t="s">
        <v>1</v>
      </c>
      <c r="C13" t="s">
        <v>141</v>
      </c>
      <c r="D13" t="str">
        <f t="shared" si="0"/>
        <v>Não</v>
      </c>
      <c r="F13" s="7"/>
      <c r="G13" s="2"/>
    </row>
    <row r="14" spans="1:9" x14ac:dyDescent="0.25">
      <c r="A14" t="s">
        <v>1</v>
      </c>
      <c r="C14" t="s">
        <v>141</v>
      </c>
      <c r="D14" t="str">
        <f t="shared" si="0"/>
        <v>Não</v>
      </c>
      <c r="F14" s="7"/>
      <c r="G14" s="2"/>
    </row>
    <row r="15" spans="1:9" x14ac:dyDescent="0.25">
      <c r="A15" t="s">
        <v>1</v>
      </c>
      <c r="C15" t="s">
        <v>162</v>
      </c>
      <c r="D15" t="str">
        <f t="shared" si="0"/>
        <v>Não</v>
      </c>
      <c r="F15" s="5"/>
      <c r="G15" s="2"/>
    </row>
    <row r="16" spans="1:9" x14ac:dyDescent="0.25">
      <c r="A16" t="s">
        <v>1</v>
      </c>
      <c r="C16" t="s">
        <v>162</v>
      </c>
      <c r="D16" t="str">
        <f t="shared" si="0"/>
        <v>Não</v>
      </c>
      <c r="F16" s="5"/>
      <c r="G16" s="2"/>
    </row>
    <row r="17" spans="1:7" x14ac:dyDescent="0.25">
      <c r="A17" t="s">
        <v>1</v>
      </c>
      <c r="C17" t="s">
        <v>162</v>
      </c>
      <c r="D17" t="str">
        <f t="shared" si="0"/>
        <v>Não</v>
      </c>
      <c r="F17" s="5"/>
      <c r="G17" s="2"/>
    </row>
    <row r="18" spans="1:7" x14ac:dyDescent="0.25">
      <c r="A18" t="s">
        <v>1</v>
      </c>
      <c r="C18" t="s">
        <v>162</v>
      </c>
      <c r="D18" t="str">
        <f t="shared" si="0"/>
        <v>Não</v>
      </c>
      <c r="F18" s="5"/>
    </row>
    <row r="19" spans="1:7" x14ac:dyDescent="0.25">
      <c r="A19" t="s">
        <v>1</v>
      </c>
      <c r="C19" t="s">
        <v>235</v>
      </c>
      <c r="D19" t="str">
        <f t="shared" si="0"/>
        <v>Não</v>
      </c>
      <c r="F19" s="5"/>
    </row>
    <row r="20" spans="1:7" x14ac:dyDescent="0.25">
      <c r="A20" t="s">
        <v>1</v>
      </c>
      <c r="C20" t="s">
        <v>158</v>
      </c>
      <c r="D20" t="str">
        <f t="shared" si="0"/>
        <v>Não</v>
      </c>
      <c r="F20" s="5"/>
    </row>
    <row r="21" spans="1:7" x14ac:dyDescent="0.25">
      <c r="A21" t="s">
        <v>1</v>
      </c>
      <c r="C21" t="s">
        <v>13</v>
      </c>
      <c r="D21" t="str">
        <f t="shared" si="0"/>
        <v>Não</v>
      </c>
      <c r="F21" s="5"/>
    </row>
    <row r="22" spans="1:7" x14ac:dyDescent="0.25">
      <c r="A22" t="s">
        <v>1</v>
      </c>
      <c r="C22" t="s">
        <v>13</v>
      </c>
      <c r="D22" t="str">
        <f t="shared" si="0"/>
        <v>Não</v>
      </c>
      <c r="F22" s="5"/>
    </row>
    <row r="23" spans="1:7" x14ac:dyDescent="0.25">
      <c r="A23" t="s">
        <v>164</v>
      </c>
      <c r="C23" t="s">
        <v>92</v>
      </c>
      <c r="D23" t="str">
        <f t="shared" si="0"/>
        <v>Não</v>
      </c>
      <c r="F23" s="5"/>
    </row>
    <row r="24" spans="1:7" x14ac:dyDescent="0.25">
      <c r="A24" t="s">
        <v>164</v>
      </c>
      <c r="C24" t="s">
        <v>92</v>
      </c>
      <c r="D24" t="str">
        <f t="shared" si="0"/>
        <v>Não</v>
      </c>
      <c r="F24" s="5"/>
    </row>
    <row r="25" spans="1:7" x14ac:dyDescent="0.25">
      <c r="A25" t="s">
        <v>164</v>
      </c>
      <c r="C25" t="s">
        <v>92</v>
      </c>
      <c r="D25" t="str">
        <f t="shared" si="0"/>
        <v>Não</v>
      </c>
      <c r="F25" s="5"/>
    </row>
    <row r="26" spans="1:7" x14ac:dyDescent="0.25">
      <c r="A26" t="s">
        <v>164</v>
      </c>
      <c r="C26" t="s">
        <v>92</v>
      </c>
      <c r="D26" t="str">
        <f t="shared" si="0"/>
        <v>Não</v>
      </c>
      <c r="F26" s="5"/>
    </row>
    <row r="27" spans="1:7" x14ac:dyDescent="0.25">
      <c r="A27" t="s">
        <v>164</v>
      </c>
      <c r="C27" t="s">
        <v>121</v>
      </c>
      <c r="D27" t="str">
        <f t="shared" si="0"/>
        <v>Não</v>
      </c>
      <c r="F27" s="5"/>
    </row>
    <row r="28" spans="1:7" x14ac:dyDescent="0.25">
      <c r="A28" t="s">
        <v>164</v>
      </c>
      <c r="C28" t="s">
        <v>121</v>
      </c>
      <c r="D28" t="str">
        <f t="shared" si="0"/>
        <v>Não</v>
      </c>
      <c r="F28" s="5"/>
    </row>
    <row r="29" spans="1:7" x14ac:dyDescent="0.25">
      <c r="A29" t="s">
        <v>164</v>
      </c>
      <c r="C29" t="s">
        <v>121</v>
      </c>
      <c r="D29" t="str">
        <f t="shared" si="0"/>
        <v>Não</v>
      </c>
      <c r="F29" s="5"/>
    </row>
    <row r="30" spans="1:7" x14ac:dyDescent="0.25">
      <c r="A30" t="s">
        <v>164</v>
      </c>
      <c r="C30" t="s">
        <v>47</v>
      </c>
      <c r="D30" t="str">
        <f t="shared" si="0"/>
        <v>Não</v>
      </c>
      <c r="F30" s="5"/>
    </row>
    <row r="31" spans="1:7" x14ac:dyDescent="0.25">
      <c r="A31" t="s">
        <v>164</v>
      </c>
      <c r="C31" t="s">
        <v>47</v>
      </c>
      <c r="D31" t="str">
        <f t="shared" si="0"/>
        <v>Não</v>
      </c>
      <c r="F31" s="5"/>
    </row>
    <row r="32" spans="1:7" x14ac:dyDescent="0.25">
      <c r="A32" t="s">
        <v>164</v>
      </c>
      <c r="C32" t="s">
        <v>47</v>
      </c>
      <c r="D32" t="str">
        <f t="shared" si="0"/>
        <v>Não</v>
      </c>
      <c r="F32" s="5"/>
    </row>
    <row r="33" spans="1:6" x14ac:dyDescent="0.25">
      <c r="A33" t="s">
        <v>164</v>
      </c>
      <c r="C33" t="s">
        <v>47</v>
      </c>
      <c r="D33" t="str">
        <f t="shared" si="0"/>
        <v>Não</v>
      </c>
      <c r="F33" s="5"/>
    </row>
    <row r="34" spans="1:6" x14ac:dyDescent="0.25">
      <c r="A34" t="s">
        <v>43</v>
      </c>
      <c r="C34" t="s">
        <v>258</v>
      </c>
      <c r="D34" t="str">
        <f t="shared" si="0"/>
        <v>Não</v>
      </c>
      <c r="F34" s="5"/>
    </row>
    <row r="35" spans="1:6" x14ac:dyDescent="0.25">
      <c r="A35" t="s">
        <v>43</v>
      </c>
      <c r="C35" t="s">
        <v>45</v>
      </c>
      <c r="D35" t="str">
        <f t="shared" si="0"/>
        <v>Não</v>
      </c>
      <c r="F35" s="5"/>
    </row>
    <row r="36" spans="1:6" x14ac:dyDescent="0.25">
      <c r="A36" t="s">
        <v>43</v>
      </c>
      <c r="C36" t="s">
        <v>48</v>
      </c>
      <c r="D36" t="str">
        <f t="shared" si="0"/>
        <v>Não</v>
      </c>
      <c r="F36" s="5"/>
    </row>
    <row r="37" spans="1:6" x14ac:dyDescent="0.25">
      <c r="A37" t="s">
        <v>43</v>
      </c>
      <c r="C37" t="s">
        <v>48</v>
      </c>
      <c r="D37" t="str">
        <f t="shared" si="0"/>
        <v>Não</v>
      </c>
      <c r="F37" s="5"/>
    </row>
    <row r="38" spans="1:6" x14ac:dyDescent="0.25">
      <c r="A38" t="s">
        <v>43</v>
      </c>
      <c r="C38" t="s">
        <v>48</v>
      </c>
      <c r="D38" t="str">
        <f t="shared" si="0"/>
        <v>Não</v>
      </c>
      <c r="F38" s="5"/>
    </row>
    <row r="39" spans="1:6" x14ac:dyDescent="0.25">
      <c r="A39" t="s">
        <v>43</v>
      </c>
      <c r="C39" t="s">
        <v>48</v>
      </c>
      <c r="D39" t="str">
        <f t="shared" si="0"/>
        <v>Não</v>
      </c>
      <c r="F39" s="5"/>
    </row>
    <row r="40" spans="1:6" x14ac:dyDescent="0.25">
      <c r="A40" t="s">
        <v>43</v>
      </c>
      <c r="C40" t="s">
        <v>303</v>
      </c>
      <c r="D40" t="str">
        <f t="shared" si="0"/>
        <v>Não</v>
      </c>
      <c r="F40" s="5"/>
    </row>
    <row r="41" spans="1:6" x14ac:dyDescent="0.25">
      <c r="A41" t="s">
        <v>43</v>
      </c>
      <c r="C41" t="s">
        <v>303</v>
      </c>
      <c r="D41" t="str">
        <f t="shared" si="0"/>
        <v>Não</v>
      </c>
      <c r="F41" s="5"/>
    </row>
    <row r="42" spans="1:6" x14ac:dyDescent="0.25">
      <c r="A42" t="s">
        <v>43</v>
      </c>
      <c r="C42" t="s">
        <v>303</v>
      </c>
      <c r="D42" t="str">
        <f t="shared" si="0"/>
        <v>Não</v>
      </c>
      <c r="F42" s="5"/>
    </row>
    <row r="43" spans="1:6" x14ac:dyDescent="0.25">
      <c r="A43" t="s">
        <v>43</v>
      </c>
      <c r="C43" t="s">
        <v>303</v>
      </c>
      <c r="D43" t="str">
        <f t="shared" si="0"/>
        <v>Não</v>
      </c>
      <c r="F43" s="5"/>
    </row>
    <row r="44" spans="1:6" x14ac:dyDescent="0.25">
      <c r="A44" t="s">
        <v>43</v>
      </c>
      <c r="C44" t="s">
        <v>150</v>
      </c>
      <c r="D44" t="str">
        <f t="shared" si="0"/>
        <v>Não</v>
      </c>
      <c r="F44" s="5"/>
    </row>
    <row r="45" spans="1:6" x14ac:dyDescent="0.25">
      <c r="A45" t="s">
        <v>43</v>
      </c>
      <c r="C45" t="s">
        <v>150</v>
      </c>
      <c r="D45" t="str">
        <f t="shared" si="0"/>
        <v>Não</v>
      </c>
      <c r="F45" s="5"/>
    </row>
    <row r="46" spans="1:6" x14ac:dyDescent="0.25">
      <c r="A46" t="s">
        <v>43</v>
      </c>
      <c r="C46" t="s">
        <v>150</v>
      </c>
      <c r="D46" t="str">
        <f t="shared" si="0"/>
        <v>Não</v>
      </c>
      <c r="F46" s="5"/>
    </row>
    <row r="47" spans="1:6" x14ac:dyDescent="0.25">
      <c r="A47" t="s">
        <v>43</v>
      </c>
      <c r="C47" t="s">
        <v>150</v>
      </c>
      <c r="D47" t="str">
        <f t="shared" si="0"/>
        <v>Não</v>
      </c>
      <c r="F47" s="5"/>
    </row>
    <row r="48" spans="1:6" x14ac:dyDescent="0.25">
      <c r="A48" t="s">
        <v>43</v>
      </c>
      <c r="C48" t="s">
        <v>152</v>
      </c>
      <c r="D48" t="str">
        <f t="shared" si="0"/>
        <v>Não</v>
      </c>
      <c r="F48" s="5"/>
    </row>
    <row r="49" spans="1:6" x14ac:dyDescent="0.25">
      <c r="A49" t="s">
        <v>43</v>
      </c>
      <c r="C49" t="s">
        <v>152</v>
      </c>
      <c r="D49" t="str">
        <f t="shared" si="0"/>
        <v>Não</v>
      </c>
      <c r="F49" s="5"/>
    </row>
    <row r="50" spans="1:6" x14ac:dyDescent="0.25">
      <c r="A50" t="s">
        <v>43</v>
      </c>
      <c r="C50" t="s">
        <v>152</v>
      </c>
      <c r="D50" t="str">
        <f t="shared" si="0"/>
        <v>Não</v>
      </c>
      <c r="F50" s="5"/>
    </row>
    <row r="51" spans="1:6" x14ac:dyDescent="0.25">
      <c r="A51" t="s">
        <v>43</v>
      </c>
      <c r="C51" t="s">
        <v>149</v>
      </c>
      <c r="D51" t="str">
        <f t="shared" si="0"/>
        <v>Não</v>
      </c>
      <c r="F51" s="5"/>
    </row>
    <row r="52" spans="1:6" x14ac:dyDescent="0.25">
      <c r="A52" t="s">
        <v>43</v>
      </c>
      <c r="C52" t="s">
        <v>149</v>
      </c>
      <c r="D52" t="str">
        <f t="shared" si="0"/>
        <v>Não</v>
      </c>
      <c r="F52" s="5"/>
    </row>
    <row r="53" spans="1:6" x14ac:dyDescent="0.25">
      <c r="A53" t="s">
        <v>43</v>
      </c>
      <c r="C53" t="s">
        <v>173</v>
      </c>
      <c r="D53" t="str">
        <f t="shared" si="0"/>
        <v>Não</v>
      </c>
      <c r="F53" s="5"/>
    </row>
    <row r="54" spans="1:6" x14ac:dyDescent="0.25">
      <c r="A54" t="s">
        <v>43</v>
      </c>
      <c r="C54" t="s">
        <v>173</v>
      </c>
      <c r="D54" t="str">
        <f t="shared" si="0"/>
        <v>Não</v>
      </c>
      <c r="F54" s="5"/>
    </row>
    <row r="55" spans="1:6" x14ac:dyDescent="0.25">
      <c r="A55" t="s">
        <v>43</v>
      </c>
      <c r="C55" t="s">
        <v>259</v>
      </c>
      <c r="D55" t="str">
        <f t="shared" si="0"/>
        <v>Não</v>
      </c>
      <c r="F55" s="5"/>
    </row>
    <row r="56" spans="1:6" x14ac:dyDescent="0.25">
      <c r="A56" t="s">
        <v>95</v>
      </c>
      <c r="C56" t="s">
        <v>136</v>
      </c>
      <c r="D56" t="str">
        <f t="shared" si="0"/>
        <v>Não</v>
      </c>
      <c r="F56" s="5"/>
    </row>
    <row r="57" spans="1:6" x14ac:dyDescent="0.25">
      <c r="A57" t="s">
        <v>95</v>
      </c>
      <c r="C57" t="s">
        <v>136</v>
      </c>
      <c r="D57" t="str">
        <f t="shared" si="0"/>
        <v>Não</v>
      </c>
      <c r="F57" s="5"/>
    </row>
    <row r="58" spans="1:6" x14ac:dyDescent="0.25">
      <c r="A58" t="s">
        <v>95</v>
      </c>
      <c r="C58" t="s">
        <v>136</v>
      </c>
      <c r="D58" t="str">
        <f t="shared" si="0"/>
        <v>Não</v>
      </c>
      <c r="F58" s="5"/>
    </row>
    <row r="59" spans="1:6" x14ac:dyDescent="0.25">
      <c r="A59" t="s">
        <v>95</v>
      </c>
      <c r="C59" t="s">
        <v>136</v>
      </c>
      <c r="D59" t="str">
        <f t="shared" si="0"/>
        <v>Não</v>
      </c>
      <c r="F59" s="5"/>
    </row>
    <row r="60" spans="1:6" x14ac:dyDescent="0.25">
      <c r="A60" t="s">
        <v>95</v>
      </c>
      <c r="C60" t="s">
        <v>302</v>
      </c>
      <c r="D60" t="str">
        <f t="shared" si="0"/>
        <v>Não</v>
      </c>
      <c r="F60" s="5"/>
    </row>
    <row r="61" spans="1:6" x14ac:dyDescent="0.25">
      <c r="A61" t="s">
        <v>95</v>
      </c>
      <c r="C61" t="s">
        <v>137</v>
      </c>
      <c r="D61" t="str">
        <f t="shared" si="0"/>
        <v>Não</v>
      </c>
      <c r="F61" s="5"/>
    </row>
    <row r="62" spans="1:6" x14ac:dyDescent="0.25">
      <c r="A62" t="s">
        <v>95</v>
      </c>
      <c r="C62" t="s">
        <v>44</v>
      </c>
      <c r="D62" t="str">
        <f t="shared" si="0"/>
        <v>Não</v>
      </c>
      <c r="F62" s="5"/>
    </row>
    <row r="63" spans="1:6" x14ac:dyDescent="0.25">
      <c r="A63" t="s">
        <v>34</v>
      </c>
      <c r="C63" t="s">
        <v>139</v>
      </c>
      <c r="D63" t="str">
        <f t="shared" si="0"/>
        <v>Não</v>
      </c>
      <c r="F63" s="5"/>
    </row>
    <row r="64" spans="1:6" x14ac:dyDescent="0.25">
      <c r="A64" t="s">
        <v>34</v>
      </c>
      <c r="C64" t="s">
        <v>139</v>
      </c>
      <c r="D64" t="str">
        <f t="shared" si="0"/>
        <v>Não</v>
      </c>
      <c r="F64" s="5"/>
    </row>
    <row r="65" spans="1:6" x14ac:dyDescent="0.25">
      <c r="A65" t="s">
        <v>34</v>
      </c>
      <c r="C65" t="s">
        <v>139</v>
      </c>
      <c r="D65" t="str">
        <f t="shared" si="0"/>
        <v>Não</v>
      </c>
      <c r="F65"/>
    </row>
    <row r="66" spans="1:6" x14ac:dyDescent="0.25">
      <c r="A66" t="s">
        <v>34</v>
      </c>
      <c r="C66" t="s">
        <v>261</v>
      </c>
      <c r="D66" t="str">
        <f t="shared" si="0"/>
        <v>Não</v>
      </c>
      <c r="F66"/>
    </row>
    <row r="67" spans="1:6" x14ac:dyDescent="0.25">
      <c r="A67" t="s">
        <v>34</v>
      </c>
      <c r="C67" t="s">
        <v>261</v>
      </c>
      <c r="D67" t="str">
        <f t="shared" ref="D67:D77" si="2">IF(B67=C67, "Sim", "Não")</f>
        <v>Não</v>
      </c>
      <c r="F67"/>
    </row>
    <row r="68" spans="1:6" x14ac:dyDescent="0.25">
      <c r="A68" t="s">
        <v>34</v>
      </c>
      <c r="B68" t="s">
        <v>254</v>
      </c>
      <c r="C68" t="s">
        <v>261</v>
      </c>
      <c r="D68" t="str">
        <f t="shared" si="2"/>
        <v>Não</v>
      </c>
      <c r="F68"/>
    </row>
    <row r="69" spans="1:6" x14ac:dyDescent="0.25">
      <c r="A69" t="s">
        <v>34</v>
      </c>
      <c r="B69" t="s">
        <v>251</v>
      </c>
      <c r="C69" t="s">
        <v>251</v>
      </c>
      <c r="D69" t="str">
        <f t="shared" si="2"/>
        <v>Sim</v>
      </c>
      <c r="F69" s="5"/>
    </row>
    <row r="70" spans="1:6" x14ac:dyDescent="0.25">
      <c r="A70" t="s">
        <v>34</v>
      </c>
      <c r="B70" t="s">
        <v>251</v>
      </c>
      <c r="C70" t="s">
        <v>251</v>
      </c>
      <c r="D70" t="str">
        <f t="shared" si="2"/>
        <v>Sim</v>
      </c>
      <c r="F70" s="5"/>
    </row>
    <row r="71" spans="1:6" x14ac:dyDescent="0.25">
      <c r="A71" t="s">
        <v>34</v>
      </c>
      <c r="B71" t="s">
        <v>251</v>
      </c>
      <c r="C71" t="s">
        <v>251</v>
      </c>
      <c r="D71" t="str">
        <f t="shared" si="2"/>
        <v>Sim</v>
      </c>
      <c r="F71" s="5"/>
    </row>
    <row r="72" spans="1:6" x14ac:dyDescent="0.25">
      <c r="A72" t="s">
        <v>34</v>
      </c>
      <c r="B72" t="s">
        <v>241</v>
      </c>
      <c r="C72" t="s">
        <v>153</v>
      </c>
      <c r="D72" t="str">
        <f t="shared" si="2"/>
        <v>Não</v>
      </c>
      <c r="F72"/>
    </row>
    <row r="73" spans="1:6" x14ac:dyDescent="0.25">
      <c r="A73" t="s">
        <v>34</v>
      </c>
      <c r="B73" t="s">
        <v>240</v>
      </c>
      <c r="C73" t="s">
        <v>153</v>
      </c>
      <c r="D73" t="str">
        <f t="shared" si="2"/>
        <v>Não</v>
      </c>
      <c r="F73"/>
    </row>
    <row r="74" spans="1:6" x14ac:dyDescent="0.25">
      <c r="A74" t="s">
        <v>34</v>
      </c>
      <c r="B74" t="s">
        <v>240</v>
      </c>
      <c r="C74" t="s">
        <v>240</v>
      </c>
      <c r="D74" t="str">
        <f t="shared" si="2"/>
        <v>Sim</v>
      </c>
      <c r="F74"/>
    </row>
    <row r="75" spans="1:6" x14ac:dyDescent="0.25">
      <c r="A75" t="s">
        <v>34</v>
      </c>
      <c r="B75" t="s">
        <v>144</v>
      </c>
      <c r="C75" t="s">
        <v>144</v>
      </c>
      <c r="D75" t="str">
        <f t="shared" si="2"/>
        <v>Sim</v>
      </c>
      <c r="F75"/>
    </row>
    <row r="76" spans="1:6" x14ac:dyDescent="0.25">
      <c r="A76" t="s">
        <v>34</v>
      </c>
      <c r="B76" t="s">
        <v>119</v>
      </c>
      <c r="C76" t="s">
        <v>119</v>
      </c>
      <c r="D76" t="str">
        <f t="shared" si="2"/>
        <v>Sim</v>
      </c>
      <c r="F76"/>
    </row>
    <row r="77" spans="1:6" x14ac:dyDescent="0.25">
      <c r="A77" t="s">
        <v>34</v>
      </c>
      <c r="B77" t="s">
        <v>119</v>
      </c>
      <c r="C77" t="s">
        <v>119</v>
      </c>
      <c r="D77" t="str">
        <f t="shared" si="2"/>
        <v>Sim</v>
      </c>
      <c r="F77"/>
    </row>
    <row r="78" spans="1:6" x14ac:dyDescent="0.25">
      <c r="A78"/>
      <c r="F78"/>
    </row>
    <row r="79" spans="1:6" x14ac:dyDescent="0.25">
      <c r="A79"/>
      <c r="F79"/>
    </row>
    <row r="80" spans="1:6" x14ac:dyDescent="0.25">
      <c r="A80"/>
      <c r="F80" s="5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D6DC-3775-4E77-8F9D-1CE8281B38E8}">
  <dimension ref="A1:G94"/>
  <sheetViews>
    <sheetView workbookViewId="0">
      <selection activeCell="C60" sqref="C60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  <col min="9" max="9" width="24.5703125" bestFit="1" customWidth="1"/>
  </cols>
  <sheetData>
    <row r="1" spans="1:7" ht="21" x14ac:dyDescent="0.25">
      <c r="A1" s="19" t="s">
        <v>281</v>
      </c>
      <c r="B1" s="19"/>
      <c r="C1" s="19"/>
      <c r="D1" s="19"/>
      <c r="E1" s="19"/>
      <c r="F1" s="19"/>
      <c r="G1" s="19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B3" t="s">
        <v>301</v>
      </c>
      <c r="C3" t="s">
        <v>301</v>
      </c>
      <c r="D3" t="str">
        <f t="shared" ref="D3:D66" si="0">IF(B3=C3, "Sim", "Não")</f>
        <v>Sim</v>
      </c>
      <c r="F3" s="4" t="s">
        <v>10</v>
      </c>
      <c r="G3" s="3">
        <f>COUNTIF(D3:D99,"Não")</f>
        <v>15</v>
      </c>
    </row>
    <row r="4" spans="1:7" x14ac:dyDescent="0.25">
      <c r="A4" t="s">
        <v>1</v>
      </c>
      <c r="B4" t="s">
        <v>301</v>
      </c>
      <c r="C4" t="s">
        <v>301</v>
      </c>
      <c r="D4" t="str">
        <f t="shared" si="0"/>
        <v>Sim</v>
      </c>
      <c r="F4" s="4" t="s">
        <v>11</v>
      </c>
      <c r="G4" s="3">
        <f>SUM(G7:G21)</f>
        <v>35</v>
      </c>
    </row>
    <row r="5" spans="1:7" x14ac:dyDescent="0.25">
      <c r="A5" t="s">
        <v>1</v>
      </c>
      <c r="B5" t="s">
        <v>301</v>
      </c>
      <c r="C5" t="s">
        <v>301</v>
      </c>
      <c r="D5" t="str">
        <f t="shared" si="0"/>
        <v>Sim</v>
      </c>
    </row>
    <row r="6" spans="1:7" x14ac:dyDescent="0.25">
      <c r="A6" t="s">
        <v>1</v>
      </c>
      <c r="B6" t="s">
        <v>89</v>
      </c>
      <c r="C6" t="s">
        <v>89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B7" t="s">
        <v>232</v>
      </c>
      <c r="C7" t="s">
        <v>232</v>
      </c>
      <c r="D7" t="str">
        <f t="shared" si="0"/>
        <v>Sim</v>
      </c>
      <c r="F7" s="7" t="s">
        <v>1</v>
      </c>
      <c r="G7" s="2">
        <f t="shared" ref="G7:G11" si="1">COUNTIF(A:A,F7)</f>
        <v>20</v>
      </c>
    </row>
    <row r="8" spans="1:7" x14ac:dyDescent="0.25">
      <c r="A8" t="s">
        <v>1</v>
      </c>
      <c r="B8" t="s">
        <v>142</v>
      </c>
      <c r="C8" t="s">
        <v>142</v>
      </c>
      <c r="D8" t="str">
        <f t="shared" si="0"/>
        <v>Sim</v>
      </c>
      <c r="F8" s="7" t="s">
        <v>43</v>
      </c>
      <c r="G8" s="2">
        <f t="shared" si="1"/>
        <v>0</v>
      </c>
    </row>
    <row r="9" spans="1:7" x14ac:dyDescent="0.25">
      <c r="A9" t="s">
        <v>1</v>
      </c>
      <c r="B9" t="s">
        <v>329</v>
      </c>
      <c r="C9" t="s">
        <v>329</v>
      </c>
      <c r="D9" t="str">
        <f t="shared" si="0"/>
        <v>Sim</v>
      </c>
      <c r="F9" s="7" t="s">
        <v>95</v>
      </c>
      <c r="G9" s="2">
        <f t="shared" si="1"/>
        <v>0</v>
      </c>
    </row>
    <row r="10" spans="1:7" x14ac:dyDescent="0.25">
      <c r="A10" t="s">
        <v>1</v>
      </c>
      <c r="B10" t="s">
        <v>53</v>
      </c>
      <c r="C10" t="s">
        <v>53</v>
      </c>
      <c r="D10" t="str">
        <f t="shared" si="0"/>
        <v>Sim</v>
      </c>
      <c r="F10" s="7" t="s">
        <v>164</v>
      </c>
      <c r="G10" s="2">
        <f t="shared" si="1"/>
        <v>0</v>
      </c>
    </row>
    <row r="11" spans="1:7" x14ac:dyDescent="0.25">
      <c r="A11" t="s">
        <v>1</v>
      </c>
      <c r="B11" t="s">
        <v>56</v>
      </c>
      <c r="C11" t="s">
        <v>56</v>
      </c>
      <c r="D11" t="str">
        <f t="shared" si="0"/>
        <v>Sim</v>
      </c>
      <c r="F11" s="7" t="s">
        <v>34</v>
      </c>
      <c r="G11" s="2">
        <f t="shared" si="1"/>
        <v>15</v>
      </c>
    </row>
    <row r="12" spans="1:7" x14ac:dyDescent="0.25">
      <c r="A12" t="s">
        <v>1</v>
      </c>
      <c r="B12" t="s">
        <v>162</v>
      </c>
      <c r="C12" t="s">
        <v>162</v>
      </c>
      <c r="D12" t="str">
        <f t="shared" si="0"/>
        <v>Sim</v>
      </c>
      <c r="F12" s="7"/>
      <c r="G12" s="2"/>
    </row>
    <row r="13" spans="1:7" x14ac:dyDescent="0.25">
      <c r="A13" t="s">
        <v>1</v>
      </c>
      <c r="B13" t="s">
        <v>162</v>
      </c>
      <c r="C13" t="s">
        <v>162</v>
      </c>
      <c r="D13" t="str">
        <f t="shared" si="0"/>
        <v>Sim</v>
      </c>
      <c r="F13" s="7"/>
      <c r="G13" s="2"/>
    </row>
    <row r="14" spans="1:7" x14ac:dyDescent="0.25">
      <c r="A14" t="s">
        <v>1</v>
      </c>
      <c r="B14" t="s">
        <v>162</v>
      </c>
      <c r="C14" t="s">
        <v>162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162</v>
      </c>
      <c r="C15" t="s">
        <v>162</v>
      </c>
      <c r="D15" t="str">
        <f t="shared" si="0"/>
        <v>Sim</v>
      </c>
      <c r="F15" s="5"/>
      <c r="G15" s="2"/>
    </row>
    <row r="16" spans="1:7" x14ac:dyDescent="0.25">
      <c r="A16" t="s">
        <v>1</v>
      </c>
      <c r="B16" t="s">
        <v>233</v>
      </c>
      <c r="C16" t="s">
        <v>233</v>
      </c>
      <c r="D16" t="str">
        <f t="shared" si="0"/>
        <v>Sim</v>
      </c>
      <c r="F16" s="5"/>
      <c r="G16" s="2"/>
    </row>
    <row r="17" spans="1:7" x14ac:dyDescent="0.25">
      <c r="A17" t="s">
        <v>1</v>
      </c>
      <c r="B17" t="s">
        <v>233</v>
      </c>
      <c r="C17" t="s">
        <v>233</v>
      </c>
      <c r="D17" t="str">
        <f t="shared" si="0"/>
        <v>Sim</v>
      </c>
      <c r="F17" s="5"/>
      <c r="G17" s="2"/>
    </row>
    <row r="18" spans="1:7" x14ac:dyDescent="0.25">
      <c r="A18" t="s">
        <v>1</v>
      </c>
      <c r="B18" t="s">
        <v>141</v>
      </c>
      <c r="C18" t="s">
        <v>141</v>
      </c>
      <c r="D18" t="str">
        <f t="shared" si="0"/>
        <v>Sim</v>
      </c>
      <c r="F18" s="5"/>
    </row>
    <row r="19" spans="1:7" x14ac:dyDescent="0.25">
      <c r="A19" t="s">
        <v>1</v>
      </c>
      <c r="B19" t="s">
        <v>141</v>
      </c>
      <c r="C19" t="s">
        <v>141</v>
      </c>
      <c r="D19" t="str">
        <f t="shared" si="0"/>
        <v>Sim</v>
      </c>
      <c r="F19" s="5"/>
    </row>
    <row r="20" spans="1:7" x14ac:dyDescent="0.25">
      <c r="A20" t="s">
        <v>1</v>
      </c>
      <c r="B20" t="s">
        <v>141</v>
      </c>
      <c r="C20" t="s">
        <v>141</v>
      </c>
      <c r="D20" t="str">
        <f t="shared" si="0"/>
        <v>Sim</v>
      </c>
      <c r="F20" s="5"/>
    </row>
    <row r="21" spans="1:7" x14ac:dyDescent="0.25">
      <c r="A21" t="s">
        <v>1</v>
      </c>
      <c r="B21" t="s">
        <v>13</v>
      </c>
      <c r="C21" t="s">
        <v>13</v>
      </c>
      <c r="D21" t="str">
        <f t="shared" si="0"/>
        <v>Sim</v>
      </c>
      <c r="F21" s="5"/>
    </row>
    <row r="22" spans="1:7" x14ac:dyDescent="0.25">
      <c r="A22" t="s">
        <v>1</v>
      </c>
      <c r="B22" t="s">
        <v>13</v>
      </c>
      <c r="C22" t="s">
        <v>13</v>
      </c>
      <c r="D22" t="str">
        <f t="shared" si="0"/>
        <v>Sim</v>
      </c>
      <c r="F22" s="5"/>
    </row>
    <row r="23" spans="1:7" x14ac:dyDescent="0.25">
      <c r="A23" t="s">
        <v>4</v>
      </c>
      <c r="B23" t="s">
        <v>92</v>
      </c>
      <c r="C23" t="s">
        <v>92</v>
      </c>
      <c r="D23" t="str">
        <f t="shared" si="0"/>
        <v>Sim</v>
      </c>
      <c r="F23" s="5"/>
    </row>
    <row r="24" spans="1:7" x14ac:dyDescent="0.25">
      <c r="A24" t="s">
        <v>4</v>
      </c>
      <c r="B24" t="s">
        <v>92</v>
      </c>
      <c r="C24" t="s">
        <v>92</v>
      </c>
      <c r="D24" t="str">
        <f t="shared" si="0"/>
        <v>Sim</v>
      </c>
      <c r="F24" s="5"/>
    </row>
    <row r="25" spans="1:7" x14ac:dyDescent="0.25">
      <c r="A25" t="s">
        <v>4</v>
      </c>
      <c r="B25" t="s">
        <v>92</v>
      </c>
      <c r="C25" t="s">
        <v>92</v>
      </c>
      <c r="D25" t="str">
        <f t="shared" si="0"/>
        <v>Sim</v>
      </c>
      <c r="F25" s="5"/>
    </row>
    <row r="26" spans="1:7" x14ac:dyDescent="0.25">
      <c r="A26" t="s">
        <v>4</v>
      </c>
      <c r="B26" t="s">
        <v>92</v>
      </c>
      <c r="C26" t="s">
        <v>92</v>
      </c>
      <c r="D26" t="str">
        <f t="shared" si="0"/>
        <v>Sim</v>
      </c>
      <c r="F26" s="5"/>
    </row>
    <row r="27" spans="1:7" x14ac:dyDescent="0.25">
      <c r="A27" t="s">
        <v>4</v>
      </c>
      <c r="B27" t="s">
        <v>299</v>
      </c>
      <c r="C27" t="s">
        <v>299</v>
      </c>
      <c r="D27" t="str">
        <f t="shared" si="0"/>
        <v>Sim</v>
      </c>
      <c r="F27" s="5"/>
    </row>
    <row r="28" spans="1:7" x14ac:dyDescent="0.25">
      <c r="A28" t="s">
        <v>4</v>
      </c>
      <c r="B28" t="s">
        <v>299</v>
      </c>
      <c r="C28" t="s">
        <v>299</v>
      </c>
      <c r="D28" t="str">
        <f t="shared" si="0"/>
        <v>Sim</v>
      </c>
      <c r="F28" s="5"/>
    </row>
    <row r="29" spans="1:7" x14ac:dyDescent="0.25">
      <c r="A29" t="s">
        <v>4</v>
      </c>
      <c r="B29" t="s">
        <v>299</v>
      </c>
      <c r="C29" t="s">
        <v>299</v>
      </c>
      <c r="D29" t="str">
        <f t="shared" si="0"/>
        <v>Sim</v>
      </c>
      <c r="F29" s="5"/>
    </row>
    <row r="30" spans="1:7" x14ac:dyDescent="0.25">
      <c r="A30" t="s">
        <v>4</v>
      </c>
      <c r="B30" t="s">
        <v>299</v>
      </c>
      <c r="C30" t="s">
        <v>299</v>
      </c>
      <c r="D30" t="str">
        <f t="shared" si="0"/>
        <v>Sim</v>
      </c>
      <c r="F30" s="5"/>
    </row>
    <row r="31" spans="1:7" x14ac:dyDescent="0.25">
      <c r="A31" t="s">
        <v>298</v>
      </c>
      <c r="B31" t="s">
        <v>282</v>
      </c>
      <c r="C31" t="s">
        <v>282</v>
      </c>
      <c r="D31" t="str">
        <f t="shared" si="0"/>
        <v>Sim</v>
      </c>
      <c r="F31" s="5"/>
    </row>
    <row r="32" spans="1:7" x14ac:dyDescent="0.25">
      <c r="A32" t="s">
        <v>298</v>
      </c>
      <c r="B32" t="s">
        <v>282</v>
      </c>
      <c r="C32" t="s">
        <v>282</v>
      </c>
      <c r="D32" t="str">
        <f t="shared" si="0"/>
        <v>Sim</v>
      </c>
      <c r="F32" s="5"/>
    </row>
    <row r="33" spans="1:6" x14ac:dyDescent="0.25">
      <c r="A33" t="s">
        <v>298</v>
      </c>
      <c r="B33" t="s">
        <v>282</v>
      </c>
      <c r="C33" t="s">
        <v>282</v>
      </c>
      <c r="D33" t="str">
        <f t="shared" si="0"/>
        <v>Sim</v>
      </c>
      <c r="F33" s="5"/>
    </row>
    <row r="34" spans="1:6" x14ac:dyDescent="0.25">
      <c r="A34" t="s">
        <v>298</v>
      </c>
      <c r="B34" t="s">
        <v>282</v>
      </c>
      <c r="C34" t="s">
        <v>282</v>
      </c>
      <c r="D34" t="str">
        <f t="shared" si="0"/>
        <v>Sim</v>
      </c>
      <c r="F34" s="5"/>
    </row>
    <row r="35" spans="1:6" x14ac:dyDescent="0.25">
      <c r="A35" t="s">
        <v>298</v>
      </c>
      <c r="B35" t="s">
        <v>283</v>
      </c>
      <c r="C35" t="s">
        <v>283</v>
      </c>
      <c r="D35" t="str">
        <f t="shared" si="0"/>
        <v>Sim</v>
      </c>
      <c r="F35" s="5"/>
    </row>
    <row r="36" spans="1:6" x14ac:dyDescent="0.25">
      <c r="A36" t="s">
        <v>298</v>
      </c>
      <c r="B36" t="s">
        <v>283</v>
      </c>
      <c r="C36" t="s">
        <v>283</v>
      </c>
      <c r="D36" t="str">
        <f t="shared" si="0"/>
        <v>Sim</v>
      </c>
      <c r="F36" s="5"/>
    </row>
    <row r="37" spans="1:6" x14ac:dyDescent="0.25">
      <c r="A37" t="s">
        <v>298</v>
      </c>
      <c r="B37" t="s">
        <v>283</v>
      </c>
      <c r="C37" t="s">
        <v>283</v>
      </c>
      <c r="D37" t="str">
        <f t="shared" si="0"/>
        <v>Sim</v>
      </c>
      <c r="F37" s="5"/>
    </row>
    <row r="38" spans="1:6" x14ac:dyDescent="0.25">
      <c r="A38" t="s">
        <v>298</v>
      </c>
      <c r="B38" t="s">
        <v>283</v>
      </c>
      <c r="C38" t="s">
        <v>283</v>
      </c>
      <c r="D38" t="str">
        <f t="shared" si="0"/>
        <v>Sim</v>
      </c>
      <c r="F38" s="5"/>
    </row>
    <row r="39" spans="1:6" x14ac:dyDescent="0.25">
      <c r="A39" t="s">
        <v>298</v>
      </c>
      <c r="B39" t="s">
        <v>288</v>
      </c>
      <c r="C39" t="s">
        <v>288</v>
      </c>
      <c r="D39" t="str">
        <f t="shared" si="0"/>
        <v>Sim</v>
      </c>
      <c r="F39" s="5"/>
    </row>
    <row r="40" spans="1:6" x14ac:dyDescent="0.25">
      <c r="A40" t="s">
        <v>298</v>
      </c>
      <c r="B40" t="s">
        <v>288</v>
      </c>
      <c r="C40" t="s">
        <v>288</v>
      </c>
      <c r="D40" t="str">
        <f t="shared" si="0"/>
        <v>Sim</v>
      </c>
      <c r="F40" s="5"/>
    </row>
    <row r="41" spans="1:6" x14ac:dyDescent="0.25">
      <c r="A41" t="s">
        <v>298</v>
      </c>
      <c r="B41" t="s">
        <v>288</v>
      </c>
      <c r="C41" t="s">
        <v>288</v>
      </c>
      <c r="D41" t="str">
        <f t="shared" si="0"/>
        <v>Sim</v>
      </c>
      <c r="F41" s="5"/>
    </row>
    <row r="42" spans="1:6" x14ac:dyDescent="0.25">
      <c r="A42" t="s">
        <v>298</v>
      </c>
      <c r="C42" t="s">
        <v>288</v>
      </c>
      <c r="D42" t="str">
        <f t="shared" si="0"/>
        <v>Não</v>
      </c>
      <c r="F42" s="5"/>
    </row>
    <row r="43" spans="1:6" x14ac:dyDescent="0.25">
      <c r="A43" t="s">
        <v>298</v>
      </c>
      <c r="B43" t="s">
        <v>284</v>
      </c>
      <c r="C43" t="s">
        <v>284</v>
      </c>
      <c r="D43" t="str">
        <f t="shared" si="0"/>
        <v>Sim</v>
      </c>
      <c r="F43" s="5"/>
    </row>
    <row r="44" spans="1:6" x14ac:dyDescent="0.25">
      <c r="A44" t="s">
        <v>298</v>
      </c>
      <c r="B44" t="s">
        <v>284</v>
      </c>
      <c r="C44" t="s">
        <v>284</v>
      </c>
      <c r="D44" t="str">
        <f t="shared" si="0"/>
        <v>Sim</v>
      </c>
      <c r="F44" s="5"/>
    </row>
    <row r="45" spans="1:6" x14ac:dyDescent="0.25">
      <c r="A45" t="s">
        <v>298</v>
      </c>
      <c r="B45" t="s">
        <v>284</v>
      </c>
      <c r="C45" t="s">
        <v>284</v>
      </c>
      <c r="D45" t="str">
        <f t="shared" si="0"/>
        <v>Sim</v>
      </c>
      <c r="F45" s="5"/>
    </row>
    <row r="46" spans="1:6" x14ac:dyDescent="0.25">
      <c r="A46" t="s">
        <v>298</v>
      </c>
      <c r="B46" t="s">
        <v>284</v>
      </c>
      <c r="C46" t="s">
        <v>284</v>
      </c>
      <c r="D46" t="str">
        <f t="shared" si="0"/>
        <v>Sim</v>
      </c>
      <c r="F46" s="5"/>
    </row>
    <row r="47" spans="1:6" x14ac:dyDescent="0.25">
      <c r="A47" t="s">
        <v>298</v>
      </c>
      <c r="B47" t="s">
        <v>289</v>
      </c>
      <c r="C47" t="s">
        <v>289</v>
      </c>
      <c r="D47" t="str">
        <f t="shared" si="0"/>
        <v>Sim</v>
      </c>
      <c r="F47" s="5"/>
    </row>
    <row r="48" spans="1:6" x14ac:dyDescent="0.25">
      <c r="A48" t="s">
        <v>298</v>
      </c>
      <c r="B48" t="s">
        <v>289</v>
      </c>
      <c r="C48" t="s">
        <v>289</v>
      </c>
      <c r="D48" t="str">
        <f t="shared" si="0"/>
        <v>Sim</v>
      </c>
      <c r="F48" s="5"/>
    </row>
    <row r="49" spans="1:6" x14ac:dyDescent="0.25">
      <c r="A49" t="s">
        <v>298</v>
      </c>
      <c r="C49" t="s">
        <v>289</v>
      </c>
      <c r="D49" t="str">
        <f t="shared" si="0"/>
        <v>Não</v>
      </c>
      <c r="F49" s="5"/>
    </row>
    <row r="50" spans="1:6" x14ac:dyDescent="0.25">
      <c r="A50" t="s">
        <v>298</v>
      </c>
      <c r="C50" t="s">
        <v>289</v>
      </c>
      <c r="D50" t="str">
        <f t="shared" si="0"/>
        <v>Não</v>
      </c>
      <c r="F50" s="5"/>
    </row>
    <row r="51" spans="1:6" x14ac:dyDescent="0.25">
      <c r="A51" t="s">
        <v>298</v>
      </c>
      <c r="B51" t="s">
        <v>290</v>
      </c>
      <c r="C51" t="s">
        <v>290</v>
      </c>
      <c r="D51" t="str">
        <f t="shared" si="0"/>
        <v>Sim</v>
      </c>
      <c r="F51" s="5"/>
    </row>
    <row r="52" spans="1:6" x14ac:dyDescent="0.25">
      <c r="A52" t="s">
        <v>298</v>
      </c>
      <c r="B52" t="s">
        <v>290</v>
      </c>
      <c r="C52" t="s">
        <v>290</v>
      </c>
      <c r="D52" t="str">
        <f t="shared" si="0"/>
        <v>Sim</v>
      </c>
      <c r="F52" s="5"/>
    </row>
    <row r="53" spans="1:6" x14ac:dyDescent="0.25">
      <c r="A53" t="s">
        <v>298</v>
      </c>
      <c r="C53" t="s">
        <v>300</v>
      </c>
      <c r="D53" t="str">
        <f t="shared" si="0"/>
        <v>Não</v>
      </c>
      <c r="F53" s="5"/>
    </row>
    <row r="54" spans="1:6" x14ac:dyDescent="0.25">
      <c r="A54" t="s">
        <v>298</v>
      </c>
      <c r="C54" t="s">
        <v>300</v>
      </c>
      <c r="D54" t="str">
        <f t="shared" si="0"/>
        <v>Não</v>
      </c>
      <c r="F54" s="5"/>
    </row>
    <row r="55" spans="1:6" x14ac:dyDescent="0.25">
      <c r="A55" t="s">
        <v>298</v>
      </c>
      <c r="C55" t="s">
        <v>300</v>
      </c>
      <c r="D55" t="str">
        <f t="shared" si="0"/>
        <v>Não</v>
      </c>
      <c r="F55" s="5"/>
    </row>
    <row r="56" spans="1:6" x14ac:dyDescent="0.25">
      <c r="A56" t="s">
        <v>298</v>
      </c>
      <c r="C56" t="s">
        <v>300</v>
      </c>
      <c r="D56" t="str">
        <f t="shared" si="0"/>
        <v>Não</v>
      </c>
      <c r="F56" s="5"/>
    </row>
    <row r="57" spans="1:6" x14ac:dyDescent="0.25">
      <c r="A57" t="s">
        <v>298</v>
      </c>
      <c r="B57" t="s">
        <v>297</v>
      </c>
      <c r="C57" t="s">
        <v>297</v>
      </c>
      <c r="D57" t="str">
        <f t="shared" si="0"/>
        <v>Sim</v>
      </c>
      <c r="F57" s="5"/>
    </row>
    <row r="58" spans="1:6" x14ac:dyDescent="0.25">
      <c r="A58" t="s">
        <v>298</v>
      </c>
      <c r="B58" t="s">
        <v>297</v>
      </c>
      <c r="C58" t="s">
        <v>297</v>
      </c>
      <c r="D58" t="str">
        <f t="shared" si="0"/>
        <v>Sim</v>
      </c>
      <c r="F58" s="5"/>
    </row>
    <row r="59" spans="1:6" x14ac:dyDescent="0.25">
      <c r="A59" t="s">
        <v>298</v>
      </c>
      <c r="B59" t="s">
        <v>297</v>
      </c>
      <c r="C59" t="s">
        <v>297</v>
      </c>
      <c r="D59" t="str">
        <f t="shared" si="0"/>
        <v>Sim</v>
      </c>
      <c r="F59" s="5"/>
    </row>
    <row r="60" spans="1:6" x14ac:dyDescent="0.25">
      <c r="A60" t="s">
        <v>298</v>
      </c>
      <c r="C60" t="s">
        <v>297</v>
      </c>
      <c r="D60" t="str">
        <f t="shared" si="0"/>
        <v>Não</v>
      </c>
      <c r="F60" s="5"/>
    </row>
    <row r="61" spans="1:6" x14ac:dyDescent="0.25">
      <c r="A61" t="s">
        <v>298</v>
      </c>
      <c r="B61" t="s">
        <v>285</v>
      </c>
      <c r="C61" t="s">
        <v>285</v>
      </c>
      <c r="D61" t="str">
        <f t="shared" si="0"/>
        <v>Sim</v>
      </c>
      <c r="F61" s="5"/>
    </row>
    <row r="62" spans="1:6" x14ac:dyDescent="0.25">
      <c r="A62" t="s">
        <v>298</v>
      </c>
      <c r="B62" t="s">
        <v>286</v>
      </c>
      <c r="C62" t="s">
        <v>286</v>
      </c>
      <c r="D62" t="str">
        <f t="shared" si="0"/>
        <v>Sim</v>
      </c>
      <c r="F62" s="5"/>
    </row>
    <row r="63" spans="1:6" x14ac:dyDescent="0.25">
      <c r="A63" t="s">
        <v>34</v>
      </c>
      <c r="B63" t="s">
        <v>291</v>
      </c>
      <c r="C63" t="s">
        <v>291</v>
      </c>
      <c r="D63" t="str">
        <f t="shared" si="0"/>
        <v>Sim</v>
      </c>
      <c r="F63" s="5"/>
    </row>
    <row r="64" spans="1:6" x14ac:dyDescent="0.25">
      <c r="A64" t="s">
        <v>34</v>
      </c>
      <c r="B64" t="s">
        <v>291</v>
      </c>
      <c r="C64" t="s">
        <v>291</v>
      </c>
      <c r="D64" t="str">
        <f t="shared" si="0"/>
        <v>Sim</v>
      </c>
      <c r="F64" s="5"/>
    </row>
    <row r="65" spans="1:6" x14ac:dyDescent="0.25">
      <c r="A65" t="s">
        <v>34</v>
      </c>
      <c r="B65" t="s">
        <v>291</v>
      </c>
      <c r="C65" t="s">
        <v>291</v>
      </c>
      <c r="D65" t="str">
        <f t="shared" si="0"/>
        <v>Sim</v>
      </c>
      <c r="F65"/>
    </row>
    <row r="66" spans="1:6" x14ac:dyDescent="0.25">
      <c r="A66" t="s">
        <v>34</v>
      </c>
      <c r="B66" t="s">
        <v>291</v>
      </c>
      <c r="C66" t="s">
        <v>291</v>
      </c>
      <c r="D66" t="str">
        <f t="shared" si="0"/>
        <v>Sim</v>
      </c>
      <c r="F66"/>
    </row>
    <row r="67" spans="1:6" x14ac:dyDescent="0.25">
      <c r="A67" t="s">
        <v>34</v>
      </c>
      <c r="B67" t="s">
        <v>287</v>
      </c>
      <c r="C67" t="s">
        <v>287</v>
      </c>
      <c r="D67" t="str">
        <f t="shared" ref="D67:D77" si="2">IF(B67=C67, "Sim", "Não")</f>
        <v>Sim</v>
      </c>
      <c r="F67"/>
    </row>
    <row r="68" spans="1:6" x14ac:dyDescent="0.25">
      <c r="A68" t="s">
        <v>34</v>
      </c>
      <c r="B68" t="s">
        <v>287</v>
      </c>
      <c r="C68" t="s">
        <v>287</v>
      </c>
      <c r="D68" t="str">
        <f t="shared" si="2"/>
        <v>Sim</v>
      </c>
      <c r="F68"/>
    </row>
    <row r="69" spans="1:6" x14ac:dyDescent="0.25">
      <c r="A69" t="s">
        <v>34</v>
      </c>
      <c r="B69" t="s">
        <v>292</v>
      </c>
      <c r="C69" t="s">
        <v>292</v>
      </c>
      <c r="D69" t="str">
        <f t="shared" si="2"/>
        <v>Sim</v>
      </c>
      <c r="F69" s="5"/>
    </row>
    <row r="70" spans="1:6" x14ac:dyDescent="0.25">
      <c r="A70" t="s">
        <v>34</v>
      </c>
      <c r="B70" t="s">
        <v>295</v>
      </c>
      <c r="C70" t="s">
        <v>295</v>
      </c>
      <c r="D70" t="str">
        <f t="shared" si="2"/>
        <v>Sim</v>
      </c>
      <c r="F70" s="5"/>
    </row>
    <row r="71" spans="1:6" x14ac:dyDescent="0.25">
      <c r="A71" t="s">
        <v>34</v>
      </c>
      <c r="C71" t="s">
        <v>296</v>
      </c>
      <c r="D71" t="str">
        <f t="shared" si="2"/>
        <v>Não</v>
      </c>
      <c r="F71" s="5"/>
    </row>
    <row r="72" spans="1:6" x14ac:dyDescent="0.25">
      <c r="A72" t="s">
        <v>34</v>
      </c>
      <c r="C72" t="s">
        <v>296</v>
      </c>
      <c r="D72" t="str">
        <f t="shared" si="2"/>
        <v>Não</v>
      </c>
      <c r="F72"/>
    </row>
    <row r="73" spans="1:6" x14ac:dyDescent="0.25">
      <c r="A73" t="s">
        <v>34</v>
      </c>
      <c r="C73" t="s">
        <v>293</v>
      </c>
      <c r="D73" t="str">
        <f t="shared" si="2"/>
        <v>Não</v>
      </c>
      <c r="F73"/>
    </row>
    <row r="74" spans="1:6" x14ac:dyDescent="0.25">
      <c r="A74" t="s">
        <v>34</v>
      </c>
      <c r="C74" t="s">
        <v>293</v>
      </c>
      <c r="D74" t="str">
        <f t="shared" si="2"/>
        <v>Não</v>
      </c>
      <c r="F74"/>
    </row>
    <row r="75" spans="1:6" x14ac:dyDescent="0.25">
      <c r="A75" t="s">
        <v>34</v>
      </c>
      <c r="C75" t="s">
        <v>294</v>
      </c>
      <c r="D75" t="str">
        <f t="shared" si="2"/>
        <v>Não</v>
      </c>
      <c r="F75"/>
    </row>
    <row r="76" spans="1:6" x14ac:dyDescent="0.25">
      <c r="A76" t="s">
        <v>34</v>
      </c>
      <c r="C76" t="s">
        <v>294</v>
      </c>
      <c r="D76" t="str">
        <f t="shared" si="2"/>
        <v>Não</v>
      </c>
      <c r="F76"/>
    </row>
    <row r="77" spans="1:6" x14ac:dyDescent="0.25">
      <c r="A77" t="s">
        <v>34</v>
      </c>
      <c r="C77" t="s">
        <v>294</v>
      </c>
      <c r="D77" t="str">
        <f t="shared" si="2"/>
        <v>Não</v>
      </c>
      <c r="F77"/>
    </row>
    <row r="78" spans="1:6" x14ac:dyDescent="0.25">
      <c r="A78"/>
      <c r="F78"/>
    </row>
    <row r="79" spans="1:6" x14ac:dyDescent="0.25">
      <c r="A79"/>
      <c r="F79"/>
    </row>
    <row r="80" spans="1:6" x14ac:dyDescent="0.25">
      <c r="A80"/>
      <c r="F80" s="5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5450-3F62-4FC6-BDE0-F28AD98409EC}">
  <dimension ref="A1:G94"/>
  <sheetViews>
    <sheetView topLeftCell="A2" workbookViewId="0">
      <selection activeCell="C3" sqref="C3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  <col min="9" max="9" width="24.5703125" bestFit="1" customWidth="1"/>
  </cols>
  <sheetData>
    <row r="1" spans="1:7" ht="21" x14ac:dyDescent="0.25">
      <c r="A1" s="19" t="s">
        <v>280</v>
      </c>
      <c r="B1" s="19"/>
      <c r="C1" s="19"/>
      <c r="D1" s="19"/>
      <c r="E1" s="19"/>
      <c r="F1" s="19"/>
      <c r="G1" s="19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B3" t="s">
        <v>107</v>
      </c>
      <c r="C3" t="s">
        <v>107</v>
      </c>
      <c r="D3" t="str">
        <f t="shared" ref="D3:D66" si="0">IF(B3=C3, "Sim", "Não")</f>
        <v>Sim</v>
      </c>
      <c r="F3" s="4" t="s">
        <v>10</v>
      </c>
      <c r="G3" s="3">
        <f>COUNTIF(D3:D99,"Não")</f>
        <v>56</v>
      </c>
    </row>
    <row r="4" spans="1:7" x14ac:dyDescent="0.25">
      <c r="A4" t="s">
        <v>1</v>
      </c>
      <c r="B4" t="s">
        <v>107</v>
      </c>
      <c r="C4" t="s">
        <v>107</v>
      </c>
      <c r="D4" t="str">
        <f t="shared" si="0"/>
        <v>Sim</v>
      </c>
      <c r="F4" s="4" t="s">
        <v>11</v>
      </c>
      <c r="G4" s="3">
        <f>SUM(G7:G21)</f>
        <v>75</v>
      </c>
    </row>
    <row r="5" spans="1:7" x14ac:dyDescent="0.25">
      <c r="A5" t="s">
        <v>1</v>
      </c>
      <c r="B5" t="s">
        <v>107</v>
      </c>
      <c r="C5" t="s">
        <v>107</v>
      </c>
      <c r="D5" t="str">
        <f t="shared" si="0"/>
        <v>Sim</v>
      </c>
    </row>
    <row r="6" spans="1:7" x14ac:dyDescent="0.25">
      <c r="A6" t="s">
        <v>1</v>
      </c>
      <c r="C6" t="s">
        <v>272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272</v>
      </c>
      <c r="D7" t="str">
        <f t="shared" si="0"/>
        <v>Não</v>
      </c>
      <c r="F7" s="7" t="s">
        <v>1</v>
      </c>
      <c r="G7" s="2">
        <f t="shared" ref="G7:G11" si="1">COUNTIF(A:A,F7)</f>
        <v>22</v>
      </c>
    </row>
    <row r="8" spans="1:7" x14ac:dyDescent="0.25">
      <c r="A8" t="s">
        <v>1</v>
      </c>
      <c r="C8" t="s">
        <v>272</v>
      </c>
      <c r="D8" t="str">
        <f t="shared" si="0"/>
        <v>Não</v>
      </c>
      <c r="F8" s="7" t="s">
        <v>4</v>
      </c>
      <c r="G8" s="2">
        <f t="shared" si="1"/>
        <v>8</v>
      </c>
    </row>
    <row r="9" spans="1:7" x14ac:dyDescent="0.25">
      <c r="A9" t="s">
        <v>1</v>
      </c>
      <c r="B9" t="s">
        <v>89</v>
      </c>
      <c r="C9" t="s">
        <v>89</v>
      </c>
      <c r="D9" t="str">
        <f t="shared" si="0"/>
        <v>Sim</v>
      </c>
      <c r="F9" s="7" t="s">
        <v>262</v>
      </c>
      <c r="G9" s="2">
        <f t="shared" si="1"/>
        <v>30</v>
      </c>
    </row>
    <row r="10" spans="1:7" x14ac:dyDescent="0.25">
      <c r="A10" t="s">
        <v>1</v>
      </c>
      <c r="B10" t="s">
        <v>89</v>
      </c>
      <c r="C10" t="s">
        <v>89</v>
      </c>
      <c r="D10" t="str">
        <f t="shared" si="0"/>
        <v>Sim</v>
      </c>
      <c r="F10" s="7" t="s">
        <v>164</v>
      </c>
      <c r="G10" s="2">
        <f t="shared" si="1"/>
        <v>0</v>
      </c>
    </row>
    <row r="11" spans="1:7" x14ac:dyDescent="0.25">
      <c r="A11" t="s">
        <v>1</v>
      </c>
      <c r="C11" t="s">
        <v>276</v>
      </c>
      <c r="D11" t="str">
        <f t="shared" si="0"/>
        <v>Não</v>
      </c>
      <c r="F11" s="7" t="s">
        <v>34</v>
      </c>
      <c r="G11" s="2">
        <f t="shared" si="1"/>
        <v>15</v>
      </c>
    </row>
    <row r="12" spans="1:7" x14ac:dyDescent="0.25">
      <c r="A12" t="s">
        <v>1</v>
      </c>
      <c r="B12" t="s">
        <v>276</v>
      </c>
      <c r="C12" t="s">
        <v>276</v>
      </c>
      <c r="D12" t="str">
        <f t="shared" si="0"/>
        <v>Sim</v>
      </c>
      <c r="F12" s="7"/>
      <c r="G12" s="2"/>
    </row>
    <row r="13" spans="1:7" x14ac:dyDescent="0.25">
      <c r="A13" t="s">
        <v>1</v>
      </c>
      <c r="B13" t="s">
        <v>6</v>
      </c>
      <c r="C13" t="s">
        <v>6</v>
      </c>
      <c r="D13" t="str">
        <f t="shared" si="0"/>
        <v>Sim</v>
      </c>
      <c r="F13" s="7"/>
      <c r="G13" s="2"/>
    </row>
    <row r="14" spans="1:7" x14ac:dyDescent="0.25">
      <c r="A14" t="s">
        <v>1</v>
      </c>
      <c r="B14" t="s">
        <v>13</v>
      </c>
      <c r="C14" t="s">
        <v>13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14</v>
      </c>
      <c r="C15" t="s">
        <v>14</v>
      </c>
      <c r="D15" t="str">
        <f t="shared" si="0"/>
        <v>Sim</v>
      </c>
      <c r="F15" s="5"/>
      <c r="G15" s="2"/>
    </row>
    <row r="16" spans="1:7" x14ac:dyDescent="0.25">
      <c r="A16" t="s">
        <v>1</v>
      </c>
      <c r="B16" t="s">
        <v>14</v>
      </c>
      <c r="C16" t="s">
        <v>14</v>
      </c>
      <c r="D16" t="str">
        <f t="shared" si="0"/>
        <v>Sim</v>
      </c>
      <c r="F16" s="5"/>
      <c r="G16" s="2"/>
    </row>
    <row r="17" spans="1:7" x14ac:dyDescent="0.25">
      <c r="A17" t="s">
        <v>1</v>
      </c>
      <c r="B17" t="s">
        <v>14</v>
      </c>
      <c r="C17" t="s">
        <v>14</v>
      </c>
      <c r="D17" t="str">
        <f t="shared" si="0"/>
        <v>Sim</v>
      </c>
      <c r="F17" s="5"/>
      <c r="G17" s="2"/>
    </row>
    <row r="18" spans="1:7" x14ac:dyDescent="0.25">
      <c r="A18" t="s">
        <v>1</v>
      </c>
      <c r="B18" t="s">
        <v>162</v>
      </c>
      <c r="C18" t="s">
        <v>162</v>
      </c>
      <c r="D18" t="str">
        <f t="shared" si="0"/>
        <v>Sim</v>
      </c>
      <c r="F18" s="5"/>
    </row>
    <row r="19" spans="1:7" x14ac:dyDescent="0.25">
      <c r="A19" t="s">
        <v>1</v>
      </c>
      <c r="B19" t="s">
        <v>162</v>
      </c>
      <c r="C19" t="s">
        <v>162</v>
      </c>
      <c r="D19" t="str">
        <f t="shared" si="0"/>
        <v>Sim</v>
      </c>
      <c r="F19" s="5"/>
    </row>
    <row r="20" spans="1:7" x14ac:dyDescent="0.25">
      <c r="A20" t="s">
        <v>1</v>
      </c>
      <c r="B20" t="s">
        <v>162</v>
      </c>
      <c r="C20" t="s">
        <v>162</v>
      </c>
      <c r="D20" t="str">
        <f t="shared" si="0"/>
        <v>Sim</v>
      </c>
      <c r="F20" s="5"/>
    </row>
    <row r="21" spans="1:7" x14ac:dyDescent="0.25">
      <c r="A21" t="s">
        <v>1</v>
      </c>
      <c r="B21" t="s">
        <v>162</v>
      </c>
      <c r="C21" t="s">
        <v>162</v>
      </c>
      <c r="D21" t="str">
        <f t="shared" si="0"/>
        <v>Sim</v>
      </c>
      <c r="F21" s="5"/>
    </row>
    <row r="22" spans="1:7" x14ac:dyDescent="0.25">
      <c r="A22" t="s">
        <v>1</v>
      </c>
      <c r="C22" t="s">
        <v>279</v>
      </c>
      <c r="D22" t="str">
        <f t="shared" si="0"/>
        <v>Não</v>
      </c>
      <c r="F22" s="5"/>
    </row>
    <row r="23" spans="1:7" x14ac:dyDescent="0.25">
      <c r="A23" t="s">
        <v>1</v>
      </c>
      <c r="C23" t="s">
        <v>279</v>
      </c>
      <c r="D23" t="str">
        <f t="shared" si="0"/>
        <v>Não</v>
      </c>
      <c r="F23" s="5"/>
    </row>
    <row r="24" spans="1:7" x14ac:dyDescent="0.25">
      <c r="A24" t="s">
        <v>1</v>
      </c>
      <c r="C24" t="s">
        <v>279</v>
      </c>
      <c r="D24" t="str">
        <f t="shared" si="0"/>
        <v>Não</v>
      </c>
      <c r="F24" s="5"/>
    </row>
    <row r="25" spans="1:7" x14ac:dyDescent="0.25">
      <c r="A25" t="s">
        <v>4</v>
      </c>
      <c r="B25" t="s">
        <v>92</v>
      </c>
      <c r="C25" t="s">
        <v>92</v>
      </c>
      <c r="D25" t="str">
        <f t="shared" si="0"/>
        <v>Sim</v>
      </c>
      <c r="F25" s="5"/>
    </row>
    <row r="26" spans="1:7" x14ac:dyDescent="0.25">
      <c r="A26" t="s">
        <v>4</v>
      </c>
      <c r="B26" t="s">
        <v>92</v>
      </c>
      <c r="C26" t="s">
        <v>92</v>
      </c>
      <c r="D26" t="str">
        <f t="shared" si="0"/>
        <v>Sim</v>
      </c>
      <c r="F26" s="5"/>
    </row>
    <row r="27" spans="1:7" x14ac:dyDescent="0.25">
      <c r="A27" t="s">
        <v>4</v>
      </c>
      <c r="B27" t="s">
        <v>92</v>
      </c>
      <c r="C27" t="s">
        <v>92</v>
      </c>
      <c r="D27" t="str">
        <f t="shared" si="0"/>
        <v>Sim</v>
      </c>
      <c r="F27" s="5"/>
    </row>
    <row r="28" spans="1:7" x14ac:dyDescent="0.25">
      <c r="A28" t="s">
        <v>4</v>
      </c>
      <c r="B28" t="s">
        <v>92</v>
      </c>
      <c r="C28" t="s">
        <v>92</v>
      </c>
      <c r="D28" t="str">
        <f t="shared" si="0"/>
        <v>Sim</v>
      </c>
      <c r="F28" s="5"/>
    </row>
    <row r="29" spans="1:7" x14ac:dyDescent="0.25">
      <c r="A29" t="s">
        <v>4</v>
      </c>
      <c r="C29" t="s">
        <v>269</v>
      </c>
      <c r="D29" t="str">
        <f t="shared" si="0"/>
        <v>Não</v>
      </c>
      <c r="F29" s="5"/>
    </row>
    <row r="30" spans="1:7" x14ac:dyDescent="0.25">
      <c r="A30" t="s">
        <v>4</v>
      </c>
      <c r="C30" t="s">
        <v>269</v>
      </c>
      <c r="D30" t="str">
        <f t="shared" si="0"/>
        <v>Não</v>
      </c>
      <c r="F30" s="5"/>
    </row>
    <row r="31" spans="1:7" x14ac:dyDescent="0.25">
      <c r="A31" t="s">
        <v>4</v>
      </c>
      <c r="C31" t="s">
        <v>269</v>
      </c>
      <c r="D31" t="str">
        <f t="shared" si="0"/>
        <v>Não</v>
      </c>
      <c r="F31" s="5"/>
    </row>
    <row r="32" spans="1:7" x14ac:dyDescent="0.25">
      <c r="A32" t="s">
        <v>4</v>
      </c>
      <c r="C32" t="s">
        <v>269</v>
      </c>
      <c r="D32" t="str">
        <f t="shared" si="0"/>
        <v>Não</v>
      </c>
      <c r="F32" s="5"/>
    </row>
    <row r="33" spans="1:6" x14ac:dyDescent="0.25">
      <c r="A33" t="s">
        <v>262</v>
      </c>
      <c r="C33" t="s">
        <v>263</v>
      </c>
      <c r="D33" t="str">
        <f t="shared" si="0"/>
        <v>Não</v>
      </c>
      <c r="F33" s="5"/>
    </row>
    <row r="34" spans="1:6" x14ac:dyDescent="0.25">
      <c r="A34" t="s">
        <v>262</v>
      </c>
      <c r="C34" t="s">
        <v>263</v>
      </c>
      <c r="D34" t="str">
        <f t="shared" si="0"/>
        <v>Não</v>
      </c>
      <c r="F34" s="5"/>
    </row>
    <row r="35" spans="1:6" x14ac:dyDescent="0.25">
      <c r="A35" t="s">
        <v>262</v>
      </c>
      <c r="C35" t="s">
        <v>263</v>
      </c>
      <c r="D35" t="str">
        <f t="shared" si="0"/>
        <v>Não</v>
      </c>
      <c r="F35" s="5"/>
    </row>
    <row r="36" spans="1:6" x14ac:dyDescent="0.25">
      <c r="A36" t="s">
        <v>262</v>
      </c>
      <c r="C36" t="s">
        <v>263</v>
      </c>
      <c r="D36" t="str">
        <f t="shared" si="0"/>
        <v>Não</v>
      </c>
      <c r="F36" s="5"/>
    </row>
    <row r="37" spans="1:6" x14ac:dyDescent="0.25">
      <c r="A37" t="s">
        <v>262</v>
      </c>
      <c r="C37" t="s">
        <v>271</v>
      </c>
      <c r="D37" t="str">
        <f t="shared" si="0"/>
        <v>Não</v>
      </c>
      <c r="F37" s="5"/>
    </row>
    <row r="38" spans="1:6" x14ac:dyDescent="0.25">
      <c r="A38" t="s">
        <v>262</v>
      </c>
      <c r="C38" t="s">
        <v>271</v>
      </c>
      <c r="D38" t="str">
        <f t="shared" si="0"/>
        <v>Não</v>
      </c>
      <c r="F38" s="5"/>
    </row>
    <row r="39" spans="1:6" x14ac:dyDescent="0.25">
      <c r="A39" t="s">
        <v>262</v>
      </c>
      <c r="C39" t="s">
        <v>271</v>
      </c>
      <c r="D39" t="str">
        <f t="shared" si="0"/>
        <v>Não</v>
      </c>
      <c r="F39" s="5"/>
    </row>
    <row r="40" spans="1:6" x14ac:dyDescent="0.25">
      <c r="A40" t="s">
        <v>262</v>
      </c>
      <c r="C40" t="s">
        <v>271</v>
      </c>
      <c r="D40" t="str">
        <f t="shared" si="0"/>
        <v>Não</v>
      </c>
      <c r="F40" s="5"/>
    </row>
    <row r="41" spans="1:6" x14ac:dyDescent="0.25">
      <c r="A41" t="s">
        <v>262</v>
      </c>
      <c r="C41" t="s">
        <v>116</v>
      </c>
      <c r="D41" t="str">
        <f t="shared" si="0"/>
        <v>Não</v>
      </c>
      <c r="F41" s="5"/>
    </row>
    <row r="42" spans="1:6" x14ac:dyDescent="0.25">
      <c r="A42" t="s">
        <v>262</v>
      </c>
      <c r="C42" t="s">
        <v>116</v>
      </c>
      <c r="D42" t="str">
        <f t="shared" si="0"/>
        <v>Não</v>
      </c>
      <c r="F42" s="5"/>
    </row>
    <row r="43" spans="1:6" x14ac:dyDescent="0.25">
      <c r="A43" t="s">
        <v>262</v>
      </c>
      <c r="C43" t="s">
        <v>116</v>
      </c>
      <c r="D43" t="str">
        <f t="shared" si="0"/>
        <v>Não</v>
      </c>
      <c r="F43" s="5"/>
    </row>
    <row r="44" spans="1:6" x14ac:dyDescent="0.25">
      <c r="A44" t="s">
        <v>262</v>
      </c>
      <c r="C44" t="s">
        <v>116</v>
      </c>
      <c r="D44" t="str">
        <f t="shared" si="0"/>
        <v>Não</v>
      </c>
      <c r="F44" s="5"/>
    </row>
    <row r="45" spans="1:6" x14ac:dyDescent="0.25">
      <c r="A45" t="s">
        <v>262</v>
      </c>
      <c r="C45" t="s">
        <v>268</v>
      </c>
      <c r="D45" t="str">
        <f t="shared" si="0"/>
        <v>Não</v>
      </c>
      <c r="F45" s="5"/>
    </row>
    <row r="46" spans="1:6" x14ac:dyDescent="0.25">
      <c r="A46" t="s">
        <v>262</v>
      </c>
      <c r="C46" t="s">
        <v>268</v>
      </c>
      <c r="D46" t="str">
        <f t="shared" si="0"/>
        <v>Não</v>
      </c>
      <c r="F46" s="5"/>
    </row>
    <row r="47" spans="1:6" x14ac:dyDescent="0.25">
      <c r="A47" t="s">
        <v>262</v>
      </c>
      <c r="C47" t="s">
        <v>268</v>
      </c>
      <c r="D47" t="str">
        <f t="shared" si="0"/>
        <v>Não</v>
      </c>
      <c r="F47" s="5"/>
    </row>
    <row r="48" spans="1:6" x14ac:dyDescent="0.25">
      <c r="A48" t="s">
        <v>262</v>
      </c>
      <c r="C48" t="s">
        <v>268</v>
      </c>
      <c r="D48" t="str">
        <f t="shared" si="0"/>
        <v>Não</v>
      </c>
      <c r="F48" s="5"/>
    </row>
    <row r="49" spans="1:6" x14ac:dyDescent="0.25">
      <c r="A49" t="s">
        <v>262</v>
      </c>
      <c r="C49" t="s">
        <v>266</v>
      </c>
      <c r="D49" t="str">
        <f t="shared" si="0"/>
        <v>Não</v>
      </c>
      <c r="F49" s="5"/>
    </row>
    <row r="50" spans="1:6" x14ac:dyDescent="0.25">
      <c r="A50" t="s">
        <v>262</v>
      </c>
      <c r="C50" t="s">
        <v>266</v>
      </c>
      <c r="D50" t="str">
        <f t="shared" si="0"/>
        <v>Não</v>
      </c>
      <c r="F50" s="5"/>
    </row>
    <row r="51" spans="1:6" x14ac:dyDescent="0.25">
      <c r="A51" t="s">
        <v>262</v>
      </c>
      <c r="C51" t="s">
        <v>266</v>
      </c>
      <c r="D51" t="str">
        <f t="shared" si="0"/>
        <v>Não</v>
      </c>
      <c r="F51" s="5"/>
    </row>
    <row r="52" spans="1:6" x14ac:dyDescent="0.25">
      <c r="A52" t="s">
        <v>262</v>
      </c>
      <c r="C52" t="s">
        <v>266</v>
      </c>
      <c r="D52" t="str">
        <f t="shared" si="0"/>
        <v>Não</v>
      </c>
      <c r="F52" s="5"/>
    </row>
    <row r="53" spans="1:6" x14ac:dyDescent="0.25">
      <c r="A53" t="s">
        <v>262</v>
      </c>
      <c r="C53" t="s">
        <v>270</v>
      </c>
      <c r="D53" t="str">
        <f t="shared" si="0"/>
        <v>Não</v>
      </c>
      <c r="F53" s="5"/>
    </row>
    <row r="54" spans="1:6" x14ac:dyDescent="0.25">
      <c r="A54" t="s">
        <v>262</v>
      </c>
      <c r="C54" t="s">
        <v>270</v>
      </c>
      <c r="D54" t="str">
        <f t="shared" si="0"/>
        <v>Não</v>
      </c>
      <c r="F54" s="5"/>
    </row>
    <row r="55" spans="1:6" x14ac:dyDescent="0.25">
      <c r="A55" t="s">
        <v>262</v>
      </c>
      <c r="C55" t="s">
        <v>270</v>
      </c>
      <c r="D55" t="str">
        <f t="shared" si="0"/>
        <v>Não</v>
      </c>
      <c r="F55" s="5"/>
    </row>
    <row r="56" spans="1:6" x14ac:dyDescent="0.25">
      <c r="A56" t="s">
        <v>262</v>
      </c>
      <c r="C56" t="s">
        <v>270</v>
      </c>
      <c r="D56" t="str">
        <f t="shared" si="0"/>
        <v>Não</v>
      </c>
      <c r="F56" s="5"/>
    </row>
    <row r="57" spans="1:6" x14ac:dyDescent="0.25">
      <c r="A57" t="s">
        <v>262</v>
      </c>
      <c r="C57" t="s">
        <v>264</v>
      </c>
      <c r="D57" t="str">
        <f t="shared" si="0"/>
        <v>Não</v>
      </c>
      <c r="F57" s="5"/>
    </row>
    <row r="58" spans="1:6" x14ac:dyDescent="0.25">
      <c r="A58" t="s">
        <v>262</v>
      </c>
      <c r="C58" t="s">
        <v>264</v>
      </c>
      <c r="D58" t="str">
        <f t="shared" si="0"/>
        <v>Não</v>
      </c>
      <c r="F58" s="5"/>
    </row>
    <row r="59" spans="1:6" x14ac:dyDescent="0.25">
      <c r="A59" t="s">
        <v>262</v>
      </c>
      <c r="C59" t="s">
        <v>278</v>
      </c>
      <c r="D59" t="str">
        <f t="shared" si="0"/>
        <v>Não</v>
      </c>
      <c r="F59" s="5"/>
    </row>
    <row r="60" spans="1:6" x14ac:dyDescent="0.25">
      <c r="A60" t="s">
        <v>262</v>
      </c>
      <c r="C60" t="s">
        <v>278</v>
      </c>
      <c r="D60" t="str">
        <f t="shared" si="0"/>
        <v>Não</v>
      </c>
      <c r="F60" s="5"/>
    </row>
    <row r="61" spans="1:6" x14ac:dyDescent="0.25">
      <c r="A61" t="s">
        <v>262</v>
      </c>
      <c r="C61" t="s">
        <v>273</v>
      </c>
      <c r="D61" t="str">
        <f t="shared" si="0"/>
        <v>Não</v>
      </c>
      <c r="F61" s="5"/>
    </row>
    <row r="62" spans="1:6" x14ac:dyDescent="0.25">
      <c r="A62" t="s">
        <v>262</v>
      </c>
      <c r="C62" t="s">
        <v>273</v>
      </c>
      <c r="D62" t="str">
        <f t="shared" si="0"/>
        <v>Não</v>
      </c>
      <c r="F62" s="5"/>
    </row>
    <row r="63" spans="1:6" x14ac:dyDescent="0.25">
      <c r="A63" t="s">
        <v>34</v>
      </c>
      <c r="C63" t="s">
        <v>275</v>
      </c>
      <c r="D63" t="str">
        <f t="shared" si="0"/>
        <v>Não</v>
      </c>
      <c r="F63" s="5"/>
    </row>
    <row r="64" spans="1:6" x14ac:dyDescent="0.25">
      <c r="A64" t="s">
        <v>34</v>
      </c>
      <c r="C64" t="s">
        <v>275</v>
      </c>
      <c r="D64" t="str">
        <f t="shared" si="0"/>
        <v>Não</v>
      </c>
      <c r="F64" s="5"/>
    </row>
    <row r="65" spans="1:6" x14ac:dyDescent="0.25">
      <c r="A65" t="s">
        <v>34</v>
      </c>
      <c r="C65" t="s">
        <v>240</v>
      </c>
      <c r="D65" t="str">
        <f t="shared" si="0"/>
        <v>Não</v>
      </c>
      <c r="F65"/>
    </row>
    <row r="66" spans="1:6" x14ac:dyDescent="0.25">
      <c r="A66" t="s">
        <v>34</v>
      </c>
      <c r="C66" t="s">
        <v>240</v>
      </c>
      <c r="D66" t="str">
        <f t="shared" si="0"/>
        <v>Não</v>
      </c>
      <c r="F66"/>
    </row>
    <row r="67" spans="1:6" x14ac:dyDescent="0.25">
      <c r="A67" t="s">
        <v>34</v>
      </c>
      <c r="C67" t="s">
        <v>118</v>
      </c>
      <c r="D67" t="str">
        <f t="shared" ref="D67:D77" si="2">IF(B67=C67, "Sim", "Não")</f>
        <v>Não</v>
      </c>
      <c r="F67"/>
    </row>
    <row r="68" spans="1:6" x14ac:dyDescent="0.25">
      <c r="A68" t="s">
        <v>34</v>
      </c>
      <c r="C68" t="s">
        <v>118</v>
      </c>
      <c r="D68" t="str">
        <f t="shared" si="2"/>
        <v>Não</v>
      </c>
      <c r="F68"/>
    </row>
    <row r="69" spans="1:6" x14ac:dyDescent="0.25">
      <c r="A69" t="s">
        <v>34</v>
      </c>
      <c r="C69" t="s">
        <v>118</v>
      </c>
      <c r="D69" t="str">
        <f t="shared" si="2"/>
        <v>Não</v>
      </c>
      <c r="F69" s="5"/>
    </row>
    <row r="70" spans="1:6" x14ac:dyDescent="0.25">
      <c r="A70" t="s">
        <v>34</v>
      </c>
      <c r="C70" t="s">
        <v>265</v>
      </c>
      <c r="D70" t="str">
        <f t="shared" si="2"/>
        <v>Não</v>
      </c>
      <c r="F70" s="5"/>
    </row>
    <row r="71" spans="1:6" x14ac:dyDescent="0.25">
      <c r="A71" t="s">
        <v>34</v>
      </c>
      <c r="C71" t="s">
        <v>265</v>
      </c>
      <c r="D71" t="str">
        <f t="shared" si="2"/>
        <v>Não</v>
      </c>
      <c r="F71" s="5"/>
    </row>
    <row r="72" spans="1:6" x14ac:dyDescent="0.25">
      <c r="A72" t="s">
        <v>34</v>
      </c>
      <c r="C72" t="s">
        <v>265</v>
      </c>
      <c r="D72" t="str">
        <f t="shared" si="2"/>
        <v>Não</v>
      </c>
      <c r="F72"/>
    </row>
    <row r="73" spans="1:6" x14ac:dyDescent="0.25">
      <c r="A73" t="s">
        <v>34</v>
      </c>
      <c r="C73" t="s">
        <v>274</v>
      </c>
      <c r="D73" t="str">
        <f t="shared" si="2"/>
        <v>Não</v>
      </c>
      <c r="F73"/>
    </row>
    <row r="74" spans="1:6" x14ac:dyDescent="0.25">
      <c r="A74" t="s">
        <v>34</v>
      </c>
      <c r="C74" t="s">
        <v>274</v>
      </c>
      <c r="D74" t="str">
        <f t="shared" si="2"/>
        <v>Não</v>
      </c>
      <c r="F74"/>
    </row>
    <row r="75" spans="1:6" x14ac:dyDescent="0.25">
      <c r="A75" t="s">
        <v>34</v>
      </c>
      <c r="C75" t="s">
        <v>267</v>
      </c>
      <c r="D75" t="str">
        <f t="shared" si="2"/>
        <v>Não</v>
      </c>
      <c r="F75"/>
    </row>
    <row r="76" spans="1:6" x14ac:dyDescent="0.25">
      <c r="A76" t="s">
        <v>34</v>
      </c>
      <c r="C76" t="s">
        <v>277</v>
      </c>
      <c r="D76" t="str">
        <f t="shared" si="2"/>
        <v>Não</v>
      </c>
      <c r="F76"/>
    </row>
    <row r="77" spans="1:6" x14ac:dyDescent="0.25">
      <c r="A77" t="s">
        <v>34</v>
      </c>
      <c r="C77" t="s">
        <v>277</v>
      </c>
      <c r="D77" t="str">
        <f t="shared" si="2"/>
        <v>Não</v>
      </c>
      <c r="F77"/>
    </row>
    <row r="78" spans="1:6" x14ac:dyDescent="0.25">
      <c r="A78"/>
      <c r="F78"/>
    </row>
    <row r="79" spans="1:6" x14ac:dyDescent="0.25">
      <c r="A79"/>
      <c r="F79"/>
    </row>
    <row r="80" spans="1:6" x14ac:dyDescent="0.25">
      <c r="A80"/>
      <c r="F80" s="5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66EA-A4F3-4939-8923-A8FD74CF6116}">
  <dimension ref="A1:G94"/>
  <sheetViews>
    <sheetView topLeftCell="A2" workbookViewId="0">
      <selection activeCell="C2" sqref="C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  <col min="9" max="9" width="24.5703125" bestFit="1" customWidth="1"/>
  </cols>
  <sheetData>
    <row r="1" spans="1:7" ht="21" x14ac:dyDescent="0.25">
      <c r="A1" s="19" t="s">
        <v>305</v>
      </c>
      <c r="B1" s="19"/>
      <c r="C1" s="19"/>
      <c r="D1" s="19"/>
      <c r="E1" s="19"/>
      <c r="F1" s="19"/>
      <c r="G1" s="19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B3" t="s">
        <v>235</v>
      </c>
      <c r="C3" t="s">
        <v>235</v>
      </c>
      <c r="D3" t="str">
        <f t="shared" ref="D3:D66" si="0">IF(B3=C3, "Sim", "Não")</f>
        <v>Sim</v>
      </c>
      <c r="F3" s="4" t="s">
        <v>10</v>
      </c>
      <c r="G3" s="3">
        <f>COUNTIF(D3:D99,"Não")</f>
        <v>28</v>
      </c>
    </row>
    <row r="4" spans="1:7" x14ac:dyDescent="0.25">
      <c r="A4" t="s">
        <v>1</v>
      </c>
      <c r="B4" t="s">
        <v>235</v>
      </c>
      <c r="C4" t="s">
        <v>235</v>
      </c>
      <c r="D4" t="str">
        <f t="shared" si="0"/>
        <v>Sim</v>
      </c>
      <c r="F4" s="4" t="s">
        <v>11</v>
      </c>
      <c r="G4" s="3">
        <f>SUM(G7:G21)</f>
        <v>51</v>
      </c>
    </row>
    <row r="5" spans="1:7" x14ac:dyDescent="0.25">
      <c r="A5" t="s">
        <v>1</v>
      </c>
      <c r="B5" t="s">
        <v>56</v>
      </c>
      <c r="C5" t="s">
        <v>56</v>
      </c>
      <c r="D5" t="str">
        <f t="shared" si="0"/>
        <v>Sim</v>
      </c>
    </row>
    <row r="6" spans="1:7" x14ac:dyDescent="0.25">
      <c r="A6" t="s">
        <v>1</v>
      </c>
      <c r="B6" t="s">
        <v>56</v>
      </c>
      <c r="C6" t="s">
        <v>56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B7" t="s">
        <v>233</v>
      </c>
      <c r="C7" t="s">
        <v>233</v>
      </c>
      <c r="D7" t="str">
        <f t="shared" si="0"/>
        <v>Sim</v>
      </c>
      <c r="F7" s="7" t="s">
        <v>1</v>
      </c>
      <c r="G7" s="2">
        <f t="shared" ref="G7:G11" si="1">COUNTIF(A:A,F7)</f>
        <v>20</v>
      </c>
    </row>
    <row r="8" spans="1:7" x14ac:dyDescent="0.25">
      <c r="A8" t="s">
        <v>1</v>
      </c>
      <c r="B8" t="s">
        <v>233</v>
      </c>
      <c r="C8" t="s">
        <v>233</v>
      </c>
      <c r="D8" t="str">
        <f t="shared" si="0"/>
        <v>Sim</v>
      </c>
      <c r="F8" s="7" t="s">
        <v>43</v>
      </c>
      <c r="G8" s="2">
        <f t="shared" si="1"/>
        <v>12</v>
      </c>
    </row>
    <row r="9" spans="1:7" x14ac:dyDescent="0.25">
      <c r="A9" t="s">
        <v>1</v>
      </c>
      <c r="B9" t="s">
        <v>306</v>
      </c>
      <c r="C9" t="s">
        <v>306</v>
      </c>
      <c r="D9" t="str">
        <f t="shared" si="0"/>
        <v>Sim</v>
      </c>
      <c r="F9" s="7" t="s">
        <v>95</v>
      </c>
      <c r="G9" s="2">
        <f t="shared" si="1"/>
        <v>0</v>
      </c>
    </row>
    <row r="10" spans="1:7" x14ac:dyDescent="0.25">
      <c r="A10" t="s">
        <v>1</v>
      </c>
      <c r="B10" t="s">
        <v>306</v>
      </c>
      <c r="C10" t="s">
        <v>306</v>
      </c>
      <c r="D10" t="str">
        <f t="shared" si="0"/>
        <v>Sim</v>
      </c>
      <c r="F10" s="7" t="s">
        <v>164</v>
      </c>
      <c r="G10" s="2">
        <f t="shared" si="1"/>
        <v>4</v>
      </c>
    </row>
    <row r="11" spans="1:7" x14ac:dyDescent="0.25">
      <c r="A11" t="s">
        <v>1</v>
      </c>
      <c r="B11" t="s">
        <v>306</v>
      </c>
      <c r="C11" t="s">
        <v>306</v>
      </c>
      <c r="D11" t="str">
        <f t="shared" si="0"/>
        <v>Sim</v>
      </c>
      <c r="F11" s="7" t="s">
        <v>34</v>
      </c>
      <c r="G11" s="2">
        <f t="shared" si="1"/>
        <v>15</v>
      </c>
    </row>
    <row r="12" spans="1:7" x14ac:dyDescent="0.25">
      <c r="A12" t="s">
        <v>1</v>
      </c>
      <c r="B12" t="s">
        <v>162</v>
      </c>
      <c r="C12" t="s">
        <v>162</v>
      </c>
      <c r="D12" t="str">
        <f t="shared" si="0"/>
        <v>Sim</v>
      </c>
      <c r="F12" s="7"/>
      <c r="G12" s="2"/>
    </row>
    <row r="13" spans="1:7" x14ac:dyDescent="0.25">
      <c r="A13" t="s">
        <v>1</v>
      </c>
      <c r="B13" t="s">
        <v>162</v>
      </c>
      <c r="C13" t="s">
        <v>162</v>
      </c>
      <c r="D13" t="str">
        <f t="shared" si="0"/>
        <v>Sim</v>
      </c>
      <c r="F13" s="7"/>
      <c r="G13" s="2"/>
    </row>
    <row r="14" spans="1:7" x14ac:dyDescent="0.25">
      <c r="A14" t="s">
        <v>1</v>
      </c>
      <c r="B14" t="s">
        <v>162</v>
      </c>
      <c r="C14" t="s">
        <v>162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162</v>
      </c>
      <c r="C15" t="s">
        <v>162</v>
      </c>
      <c r="D15" t="str">
        <f t="shared" si="0"/>
        <v>Sim</v>
      </c>
      <c r="F15" s="5"/>
      <c r="G15" s="2"/>
    </row>
    <row r="16" spans="1:7" x14ac:dyDescent="0.25">
      <c r="A16" t="s">
        <v>1</v>
      </c>
      <c r="B16" t="s">
        <v>158</v>
      </c>
      <c r="C16" t="s">
        <v>158</v>
      </c>
      <c r="D16" t="str">
        <f t="shared" si="0"/>
        <v>Sim</v>
      </c>
      <c r="F16" s="5"/>
      <c r="G16" s="2"/>
    </row>
    <row r="17" spans="1:7" x14ac:dyDescent="0.25">
      <c r="A17" t="s">
        <v>1</v>
      </c>
      <c r="B17" t="s">
        <v>252</v>
      </c>
      <c r="C17" t="s">
        <v>252</v>
      </c>
      <c r="D17" t="str">
        <f t="shared" si="0"/>
        <v>Sim</v>
      </c>
      <c r="F17" s="5"/>
      <c r="G17" s="2"/>
    </row>
    <row r="18" spans="1:7" x14ac:dyDescent="0.25">
      <c r="A18" t="s">
        <v>1</v>
      </c>
      <c r="B18" t="s">
        <v>201</v>
      </c>
      <c r="C18" t="s">
        <v>201</v>
      </c>
      <c r="D18" t="str">
        <f t="shared" si="0"/>
        <v>Sim</v>
      </c>
      <c r="F18" s="5"/>
    </row>
    <row r="19" spans="1:7" x14ac:dyDescent="0.25">
      <c r="A19" t="s">
        <v>1</v>
      </c>
      <c r="B19" t="s">
        <v>201</v>
      </c>
      <c r="C19" t="s">
        <v>201</v>
      </c>
      <c r="D19" t="str">
        <f t="shared" si="0"/>
        <v>Sim</v>
      </c>
      <c r="F19" s="5"/>
    </row>
    <row r="20" spans="1:7" x14ac:dyDescent="0.25">
      <c r="A20" t="s">
        <v>1</v>
      </c>
      <c r="B20" t="s">
        <v>13</v>
      </c>
      <c r="C20" t="s">
        <v>13</v>
      </c>
      <c r="D20" t="str">
        <f t="shared" si="0"/>
        <v>Sim</v>
      </c>
      <c r="F20" s="5"/>
    </row>
    <row r="21" spans="1:7" x14ac:dyDescent="0.25">
      <c r="A21" t="s">
        <v>1</v>
      </c>
      <c r="B21" t="s">
        <v>13</v>
      </c>
      <c r="C21" t="s">
        <v>13</v>
      </c>
      <c r="D21" t="str">
        <f t="shared" si="0"/>
        <v>Sim</v>
      </c>
      <c r="F21" s="5"/>
    </row>
    <row r="22" spans="1:7" x14ac:dyDescent="0.25">
      <c r="A22" t="s">
        <v>1</v>
      </c>
      <c r="B22" t="s">
        <v>13</v>
      </c>
      <c r="C22" t="s">
        <v>13</v>
      </c>
      <c r="D22" t="str">
        <f t="shared" si="0"/>
        <v>Sim</v>
      </c>
      <c r="F22" s="5"/>
    </row>
    <row r="23" spans="1:7" x14ac:dyDescent="0.25">
      <c r="A23" t="s">
        <v>164</v>
      </c>
      <c r="B23" t="s">
        <v>92</v>
      </c>
      <c r="C23" t="s">
        <v>92</v>
      </c>
      <c r="D23" t="str">
        <f t="shared" si="0"/>
        <v>Sim</v>
      </c>
      <c r="F23" s="5"/>
    </row>
    <row r="24" spans="1:7" x14ac:dyDescent="0.25">
      <c r="A24" t="s">
        <v>164</v>
      </c>
      <c r="B24" t="s">
        <v>92</v>
      </c>
      <c r="C24" t="s">
        <v>92</v>
      </c>
      <c r="D24" t="str">
        <f t="shared" si="0"/>
        <v>Sim</v>
      </c>
      <c r="F24" s="5"/>
    </row>
    <row r="25" spans="1:7" x14ac:dyDescent="0.25">
      <c r="A25" t="s">
        <v>164</v>
      </c>
      <c r="B25" t="s">
        <v>92</v>
      </c>
      <c r="C25" t="s">
        <v>92</v>
      </c>
      <c r="D25" t="str">
        <f t="shared" si="0"/>
        <v>Sim</v>
      </c>
      <c r="F25" s="5"/>
    </row>
    <row r="26" spans="1:7" x14ac:dyDescent="0.25">
      <c r="A26" t="s">
        <v>164</v>
      </c>
      <c r="B26" t="s">
        <v>92</v>
      </c>
      <c r="C26" t="s">
        <v>92</v>
      </c>
      <c r="D26" t="str">
        <f t="shared" si="0"/>
        <v>Sim</v>
      </c>
      <c r="F26" s="5"/>
    </row>
    <row r="27" spans="1:7" x14ac:dyDescent="0.25">
      <c r="A27" t="s">
        <v>310</v>
      </c>
      <c r="C27" t="s">
        <v>307</v>
      </c>
      <c r="D27" t="str">
        <f t="shared" si="0"/>
        <v>Não</v>
      </c>
      <c r="F27" s="5"/>
    </row>
    <row r="28" spans="1:7" x14ac:dyDescent="0.25">
      <c r="A28" t="s">
        <v>310</v>
      </c>
      <c r="C28" t="s">
        <v>307</v>
      </c>
      <c r="D28" t="str">
        <f t="shared" si="0"/>
        <v>Não</v>
      </c>
      <c r="F28" s="5"/>
    </row>
    <row r="29" spans="1:7" x14ac:dyDescent="0.25">
      <c r="A29" t="s">
        <v>310</v>
      </c>
      <c r="C29" t="s">
        <v>307</v>
      </c>
      <c r="D29" t="str">
        <f t="shared" si="0"/>
        <v>Não</v>
      </c>
      <c r="F29" s="5"/>
    </row>
    <row r="30" spans="1:7" x14ac:dyDescent="0.25">
      <c r="A30" t="s">
        <v>310</v>
      </c>
      <c r="C30" t="s">
        <v>307</v>
      </c>
      <c r="D30" t="str">
        <f t="shared" si="0"/>
        <v>Não</v>
      </c>
      <c r="F30" s="5"/>
    </row>
    <row r="31" spans="1:7" x14ac:dyDescent="0.25">
      <c r="A31" t="s">
        <v>310</v>
      </c>
      <c r="B31" t="s">
        <v>308</v>
      </c>
      <c r="C31" t="s">
        <v>308</v>
      </c>
      <c r="D31" t="str">
        <f t="shared" si="0"/>
        <v>Sim</v>
      </c>
      <c r="F31" s="5"/>
    </row>
    <row r="32" spans="1:7" x14ac:dyDescent="0.25">
      <c r="A32" t="s">
        <v>310</v>
      </c>
      <c r="C32" t="s">
        <v>308</v>
      </c>
      <c r="D32" t="str">
        <f t="shared" si="0"/>
        <v>Não</v>
      </c>
      <c r="F32" s="5"/>
    </row>
    <row r="33" spans="1:6" x14ac:dyDescent="0.25">
      <c r="A33" t="s">
        <v>310</v>
      </c>
      <c r="C33" t="s">
        <v>308</v>
      </c>
      <c r="D33" t="str">
        <f t="shared" si="0"/>
        <v>Não</v>
      </c>
      <c r="F33" s="5"/>
    </row>
    <row r="34" spans="1:6" x14ac:dyDescent="0.25">
      <c r="A34" t="s">
        <v>310</v>
      </c>
      <c r="C34" t="s">
        <v>308</v>
      </c>
      <c r="D34" t="str">
        <f t="shared" si="0"/>
        <v>Não</v>
      </c>
      <c r="F34" s="5"/>
    </row>
    <row r="35" spans="1:6" x14ac:dyDescent="0.25">
      <c r="A35" t="s">
        <v>310</v>
      </c>
      <c r="B35" t="s">
        <v>48</v>
      </c>
      <c r="C35" t="s">
        <v>48</v>
      </c>
      <c r="D35" t="str">
        <f t="shared" si="0"/>
        <v>Sim</v>
      </c>
      <c r="F35" s="5"/>
    </row>
    <row r="36" spans="1:6" x14ac:dyDescent="0.25">
      <c r="A36" t="s">
        <v>310</v>
      </c>
      <c r="B36" t="s">
        <v>48</v>
      </c>
      <c r="C36" t="s">
        <v>48</v>
      </c>
      <c r="D36" t="str">
        <f t="shared" si="0"/>
        <v>Sim</v>
      </c>
      <c r="F36" s="5"/>
    </row>
    <row r="37" spans="1:6" x14ac:dyDescent="0.25">
      <c r="A37" t="s">
        <v>310</v>
      </c>
      <c r="B37" t="s">
        <v>48</v>
      </c>
      <c r="C37" t="s">
        <v>48</v>
      </c>
      <c r="D37" t="str">
        <f t="shared" si="0"/>
        <v>Sim</v>
      </c>
      <c r="F37" s="5"/>
    </row>
    <row r="38" spans="1:6" x14ac:dyDescent="0.25">
      <c r="A38" t="s">
        <v>310</v>
      </c>
      <c r="B38" t="s">
        <v>48</v>
      </c>
      <c r="C38" t="s">
        <v>48</v>
      </c>
      <c r="D38" t="str">
        <f t="shared" si="0"/>
        <v>Sim</v>
      </c>
      <c r="F38" s="5"/>
    </row>
    <row r="39" spans="1:6" x14ac:dyDescent="0.25">
      <c r="A39" t="s">
        <v>310</v>
      </c>
      <c r="C39" t="s">
        <v>199</v>
      </c>
      <c r="D39" t="str">
        <f t="shared" si="0"/>
        <v>Não</v>
      </c>
      <c r="F39" s="5"/>
    </row>
    <row r="40" spans="1:6" x14ac:dyDescent="0.25">
      <c r="A40" t="s">
        <v>310</v>
      </c>
      <c r="C40" t="s">
        <v>199</v>
      </c>
      <c r="D40" t="str">
        <f t="shared" si="0"/>
        <v>Não</v>
      </c>
      <c r="F40" s="5"/>
    </row>
    <row r="41" spans="1:6" x14ac:dyDescent="0.25">
      <c r="A41" t="s">
        <v>310</v>
      </c>
      <c r="C41" t="s">
        <v>199</v>
      </c>
      <c r="D41" t="str">
        <f t="shared" si="0"/>
        <v>Não</v>
      </c>
      <c r="F41" s="5"/>
    </row>
    <row r="42" spans="1:6" x14ac:dyDescent="0.25">
      <c r="A42" t="s">
        <v>310</v>
      </c>
      <c r="C42" t="s">
        <v>199</v>
      </c>
      <c r="D42" t="str">
        <f t="shared" si="0"/>
        <v>Não</v>
      </c>
      <c r="F42" s="5"/>
    </row>
    <row r="43" spans="1:6" x14ac:dyDescent="0.25">
      <c r="A43" t="s">
        <v>310</v>
      </c>
      <c r="C43" t="s">
        <v>313</v>
      </c>
      <c r="D43" t="str">
        <f t="shared" si="0"/>
        <v>Não</v>
      </c>
      <c r="F43" s="5"/>
    </row>
    <row r="44" spans="1:6" x14ac:dyDescent="0.25">
      <c r="A44" t="s">
        <v>310</v>
      </c>
      <c r="C44" t="s">
        <v>313</v>
      </c>
      <c r="D44" t="str">
        <f t="shared" si="0"/>
        <v>Não</v>
      </c>
      <c r="F44" s="5"/>
    </row>
    <row r="45" spans="1:6" x14ac:dyDescent="0.25">
      <c r="A45" t="s">
        <v>310</v>
      </c>
      <c r="C45" t="s">
        <v>313</v>
      </c>
      <c r="D45" t="str">
        <f t="shared" si="0"/>
        <v>Não</v>
      </c>
      <c r="F45" s="5"/>
    </row>
    <row r="46" spans="1:6" x14ac:dyDescent="0.25">
      <c r="A46" t="s">
        <v>310</v>
      </c>
      <c r="C46" t="s">
        <v>313</v>
      </c>
      <c r="D46" t="str">
        <f t="shared" si="0"/>
        <v>Não</v>
      </c>
      <c r="F46" s="5"/>
    </row>
    <row r="47" spans="1:6" x14ac:dyDescent="0.25">
      <c r="A47" t="s">
        <v>310</v>
      </c>
      <c r="C47" t="s">
        <v>309</v>
      </c>
      <c r="D47" t="str">
        <f t="shared" si="0"/>
        <v>Não</v>
      </c>
      <c r="F47" s="5"/>
    </row>
    <row r="48" spans="1:6" x14ac:dyDescent="0.25">
      <c r="A48" t="s">
        <v>310</v>
      </c>
      <c r="C48" t="s">
        <v>309</v>
      </c>
      <c r="D48" t="str">
        <f t="shared" si="0"/>
        <v>Não</v>
      </c>
      <c r="F48" s="5"/>
    </row>
    <row r="49" spans="1:6" x14ac:dyDescent="0.25">
      <c r="A49" t="s">
        <v>310</v>
      </c>
      <c r="C49" t="s">
        <v>309</v>
      </c>
      <c r="D49" t="str">
        <f t="shared" si="0"/>
        <v>Não</v>
      </c>
      <c r="F49" s="5"/>
    </row>
    <row r="50" spans="1:6" x14ac:dyDescent="0.25">
      <c r="A50" t="s">
        <v>310</v>
      </c>
      <c r="C50" t="s">
        <v>309</v>
      </c>
      <c r="D50" t="str">
        <f t="shared" si="0"/>
        <v>Não</v>
      </c>
      <c r="F50" s="5"/>
    </row>
    <row r="51" spans="1:6" x14ac:dyDescent="0.25">
      <c r="A51" t="s">
        <v>43</v>
      </c>
      <c r="B51" t="s">
        <v>149</v>
      </c>
      <c r="C51" t="s">
        <v>149</v>
      </c>
      <c r="D51" t="str">
        <f t="shared" si="0"/>
        <v>Sim</v>
      </c>
      <c r="F51" s="5"/>
    </row>
    <row r="52" spans="1:6" x14ac:dyDescent="0.25">
      <c r="A52" t="s">
        <v>43</v>
      </c>
      <c r="B52" t="s">
        <v>149</v>
      </c>
      <c r="C52" t="s">
        <v>149</v>
      </c>
      <c r="D52" t="str">
        <f t="shared" si="0"/>
        <v>Sim</v>
      </c>
      <c r="F52" s="5"/>
    </row>
    <row r="53" spans="1:6" x14ac:dyDescent="0.25">
      <c r="A53" t="s">
        <v>43</v>
      </c>
      <c r="B53" t="s">
        <v>149</v>
      </c>
      <c r="C53" t="s">
        <v>149</v>
      </c>
      <c r="D53" t="str">
        <f t="shared" si="0"/>
        <v>Sim</v>
      </c>
      <c r="F53" s="5"/>
    </row>
    <row r="54" spans="1:6" x14ac:dyDescent="0.25">
      <c r="A54" t="s">
        <v>43</v>
      </c>
      <c r="B54" t="s">
        <v>149</v>
      </c>
      <c r="C54" t="s">
        <v>149</v>
      </c>
      <c r="D54" t="str">
        <f t="shared" si="0"/>
        <v>Sim</v>
      </c>
      <c r="F54" s="5"/>
    </row>
    <row r="55" spans="1:6" x14ac:dyDescent="0.25">
      <c r="A55" t="s">
        <v>43</v>
      </c>
      <c r="B55" t="s">
        <v>150</v>
      </c>
      <c r="C55" t="s">
        <v>150</v>
      </c>
      <c r="D55" t="str">
        <f t="shared" si="0"/>
        <v>Sim</v>
      </c>
      <c r="F55" s="5"/>
    </row>
    <row r="56" spans="1:6" x14ac:dyDescent="0.25">
      <c r="A56" t="s">
        <v>43</v>
      </c>
      <c r="B56" t="s">
        <v>150</v>
      </c>
      <c r="C56" t="s">
        <v>150</v>
      </c>
      <c r="D56" t="str">
        <f t="shared" si="0"/>
        <v>Sim</v>
      </c>
      <c r="F56" s="5"/>
    </row>
    <row r="57" spans="1:6" x14ac:dyDescent="0.25">
      <c r="A57" t="s">
        <v>43</v>
      </c>
      <c r="B57" t="s">
        <v>150</v>
      </c>
      <c r="C57" t="s">
        <v>150</v>
      </c>
      <c r="D57" t="str">
        <f t="shared" si="0"/>
        <v>Sim</v>
      </c>
      <c r="F57" s="5"/>
    </row>
    <row r="58" spans="1:6" x14ac:dyDescent="0.25">
      <c r="A58" t="s">
        <v>43</v>
      </c>
      <c r="B58" t="s">
        <v>150</v>
      </c>
      <c r="C58" t="s">
        <v>150</v>
      </c>
      <c r="D58" t="str">
        <f t="shared" si="0"/>
        <v>Sim</v>
      </c>
      <c r="F58" s="5"/>
    </row>
    <row r="59" spans="1:6" x14ac:dyDescent="0.25">
      <c r="A59" t="s">
        <v>43</v>
      </c>
      <c r="C59" t="s">
        <v>312</v>
      </c>
      <c r="D59" t="str">
        <f t="shared" si="0"/>
        <v>Não</v>
      </c>
      <c r="F59" s="5"/>
    </row>
    <row r="60" spans="1:6" x14ac:dyDescent="0.25">
      <c r="A60" t="s">
        <v>43</v>
      </c>
      <c r="C60" t="s">
        <v>312</v>
      </c>
      <c r="D60" t="str">
        <f t="shared" si="0"/>
        <v>Não</v>
      </c>
      <c r="F60" s="5"/>
    </row>
    <row r="61" spans="1:6" x14ac:dyDescent="0.25">
      <c r="A61" t="s">
        <v>43</v>
      </c>
      <c r="C61" t="s">
        <v>312</v>
      </c>
      <c r="D61" t="str">
        <f t="shared" si="0"/>
        <v>Não</v>
      </c>
      <c r="F61" s="5"/>
    </row>
    <row r="62" spans="1:6" x14ac:dyDescent="0.25">
      <c r="A62" t="s">
        <v>43</v>
      </c>
      <c r="C62" t="s">
        <v>312</v>
      </c>
      <c r="D62" t="str">
        <f t="shared" si="0"/>
        <v>Não</v>
      </c>
      <c r="F62" s="5"/>
    </row>
    <row r="63" spans="1:6" x14ac:dyDescent="0.25">
      <c r="A63" t="s">
        <v>34</v>
      </c>
      <c r="B63" t="s">
        <v>249</v>
      </c>
      <c r="C63" t="s">
        <v>249</v>
      </c>
      <c r="D63" t="str">
        <f t="shared" si="0"/>
        <v>Sim</v>
      </c>
      <c r="F63" s="5"/>
    </row>
    <row r="64" spans="1:6" x14ac:dyDescent="0.25">
      <c r="A64" t="s">
        <v>34</v>
      </c>
      <c r="B64" t="s">
        <v>249</v>
      </c>
      <c r="C64" t="s">
        <v>249</v>
      </c>
      <c r="D64" t="str">
        <f t="shared" si="0"/>
        <v>Sim</v>
      </c>
      <c r="F64" s="5"/>
    </row>
    <row r="65" spans="1:6" x14ac:dyDescent="0.25">
      <c r="A65" t="s">
        <v>34</v>
      </c>
      <c r="B65" t="s">
        <v>275</v>
      </c>
      <c r="C65" t="s">
        <v>275</v>
      </c>
      <c r="D65" t="str">
        <f t="shared" si="0"/>
        <v>Sim</v>
      </c>
      <c r="F65"/>
    </row>
    <row r="66" spans="1:6" x14ac:dyDescent="0.25">
      <c r="A66" t="s">
        <v>34</v>
      </c>
      <c r="C66" t="s">
        <v>275</v>
      </c>
      <c r="D66" t="str">
        <f t="shared" si="0"/>
        <v>Não</v>
      </c>
      <c r="F66"/>
    </row>
    <row r="67" spans="1:6" x14ac:dyDescent="0.25">
      <c r="A67" t="s">
        <v>34</v>
      </c>
      <c r="C67" t="s">
        <v>311</v>
      </c>
      <c r="D67" t="str">
        <f t="shared" ref="D67:D77" si="2">IF(B67=C67, "Sim", "Não")</f>
        <v>Não</v>
      </c>
      <c r="F67"/>
    </row>
    <row r="68" spans="1:6" x14ac:dyDescent="0.25">
      <c r="A68" t="s">
        <v>34</v>
      </c>
      <c r="C68" t="s">
        <v>311</v>
      </c>
      <c r="D68" t="str">
        <f t="shared" si="2"/>
        <v>Não</v>
      </c>
      <c r="F68"/>
    </row>
    <row r="69" spans="1:6" x14ac:dyDescent="0.25">
      <c r="A69" t="s">
        <v>34</v>
      </c>
      <c r="B69" t="s">
        <v>139</v>
      </c>
      <c r="C69" t="s">
        <v>139</v>
      </c>
      <c r="D69" t="str">
        <f t="shared" si="2"/>
        <v>Sim</v>
      </c>
      <c r="F69" s="5"/>
    </row>
    <row r="70" spans="1:6" x14ac:dyDescent="0.25">
      <c r="A70" t="s">
        <v>34</v>
      </c>
      <c r="B70" t="s">
        <v>139</v>
      </c>
      <c r="C70" t="s">
        <v>139</v>
      </c>
      <c r="D70" t="str">
        <f t="shared" si="2"/>
        <v>Sim</v>
      </c>
      <c r="F70" s="5"/>
    </row>
    <row r="71" spans="1:6" x14ac:dyDescent="0.25">
      <c r="A71" t="s">
        <v>34</v>
      </c>
      <c r="B71" t="s">
        <v>153</v>
      </c>
      <c r="C71" t="s">
        <v>153</v>
      </c>
      <c r="D71" t="str">
        <f t="shared" si="2"/>
        <v>Sim</v>
      </c>
      <c r="F71" s="5"/>
    </row>
    <row r="72" spans="1:6" x14ac:dyDescent="0.25">
      <c r="A72" t="s">
        <v>34</v>
      </c>
      <c r="B72" t="s">
        <v>153</v>
      </c>
      <c r="C72" t="s">
        <v>153</v>
      </c>
      <c r="D72" t="str">
        <f t="shared" si="2"/>
        <v>Sim</v>
      </c>
      <c r="F72"/>
    </row>
    <row r="73" spans="1:6" x14ac:dyDescent="0.25">
      <c r="A73" t="s">
        <v>34</v>
      </c>
      <c r="B73" t="s">
        <v>144</v>
      </c>
      <c r="C73" t="s">
        <v>144</v>
      </c>
      <c r="D73" t="str">
        <f t="shared" si="2"/>
        <v>Sim</v>
      </c>
      <c r="F73"/>
    </row>
    <row r="74" spans="1:6" x14ac:dyDescent="0.25">
      <c r="A74" t="s">
        <v>34</v>
      </c>
      <c r="C74" t="s">
        <v>144</v>
      </c>
      <c r="D74" t="str">
        <f t="shared" si="2"/>
        <v>Não</v>
      </c>
      <c r="F74"/>
    </row>
    <row r="75" spans="1:6" x14ac:dyDescent="0.25">
      <c r="A75" t="s">
        <v>34</v>
      </c>
      <c r="B75" t="s">
        <v>261</v>
      </c>
      <c r="C75" t="s">
        <v>261</v>
      </c>
      <c r="D75" t="str">
        <f t="shared" si="2"/>
        <v>Sim</v>
      </c>
      <c r="F75"/>
    </row>
    <row r="76" spans="1:6" x14ac:dyDescent="0.25">
      <c r="A76" t="s">
        <v>34</v>
      </c>
      <c r="B76" t="s">
        <v>261</v>
      </c>
      <c r="C76" t="s">
        <v>261</v>
      </c>
      <c r="D76" t="str">
        <f t="shared" si="2"/>
        <v>Sim</v>
      </c>
      <c r="F76"/>
    </row>
    <row r="77" spans="1:6" x14ac:dyDescent="0.25">
      <c r="A77" t="s">
        <v>34</v>
      </c>
      <c r="C77" t="s">
        <v>261</v>
      </c>
      <c r="D77" t="str">
        <f t="shared" si="2"/>
        <v>Não</v>
      </c>
      <c r="F77"/>
    </row>
    <row r="78" spans="1:6" x14ac:dyDescent="0.25">
      <c r="A78"/>
      <c r="F78"/>
    </row>
    <row r="79" spans="1:6" x14ac:dyDescent="0.25">
      <c r="A79"/>
      <c r="F79"/>
    </row>
    <row r="80" spans="1:6" x14ac:dyDescent="0.25">
      <c r="A80"/>
      <c r="F80" s="5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89B7-3B6E-4C2E-BB1B-B1C160C1D691}">
  <dimension ref="A1:G94"/>
  <sheetViews>
    <sheetView topLeftCell="A42" workbookViewId="0">
      <selection activeCell="C63" sqref="C63:C66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  <col min="9" max="9" width="24.5703125" bestFit="1" customWidth="1"/>
  </cols>
  <sheetData>
    <row r="1" spans="1:7" ht="21" x14ac:dyDescent="0.25">
      <c r="A1" s="19" t="s">
        <v>305</v>
      </c>
      <c r="B1" s="19"/>
      <c r="C1" s="19"/>
      <c r="D1" s="19"/>
      <c r="E1" s="19"/>
      <c r="F1" s="19"/>
      <c r="G1" s="19"/>
    </row>
    <row r="2" spans="1:7" x14ac:dyDescent="0.25">
      <c r="A2" s="4" t="s">
        <v>0</v>
      </c>
      <c r="B2" s="4" t="s">
        <v>8</v>
      </c>
      <c r="C2" s="4" t="s">
        <v>9</v>
      </c>
      <c r="D2" s="4" t="s">
        <v>7</v>
      </c>
    </row>
    <row r="3" spans="1:7" x14ac:dyDescent="0.25">
      <c r="A3" t="s">
        <v>1</v>
      </c>
      <c r="C3" t="s">
        <v>326</v>
      </c>
      <c r="D3" t="str">
        <f t="shared" ref="D3:D66" si="0">IF(B3=C3, "Sim", "Não")</f>
        <v>Não</v>
      </c>
      <c r="F3" s="4" t="s">
        <v>10</v>
      </c>
      <c r="G3" s="3">
        <f>COUNTIF(D3:D99,"Não")</f>
        <v>75</v>
      </c>
    </row>
    <row r="4" spans="1:7" x14ac:dyDescent="0.25">
      <c r="A4" t="s">
        <v>1</v>
      </c>
      <c r="C4" t="s">
        <v>326</v>
      </c>
      <c r="D4" t="str">
        <f t="shared" si="0"/>
        <v>Não</v>
      </c>
      <c r="F4" s="4" t="s">
        <v>11</v>
      </c>
      <c r="G4" s="3">
        <f>SUM(G7:G21)</f>
        <v>75</v>
      </c>
    </row>
    <row r="5" spans="1:7" x14ac:dyDescent="0.25">
      <c r="A5" t="s">
        <v>1</v>
      </c>
      <c r="C5" t="s">
        <v>326</v>
      </c>
      <c r="D5" t="str">
        <f t="shared" si="0"/>
        <v>Não</v>
      </c>
    </row>
    <row r="6" spans="1:7" x14ac:dyDescent="0.25">
      <c r="A6" t="s">
        <v>1</v>
      </c>
      <c r="C6" t="s">
        <v>326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327</v>
      </c>
      <c r="D7" t="str">
        <f t="shared" si="0"/>
        <v>Não</v>
      </c>
      <c r="F7" s="7" t="s">
        <v>1</v>
      </c>
      <c r="G7" s="2">
        <f t="shared" ref="G7:G12" si="1">COUNTIF(A:A,F7)</f>
        <v>20</v>
      </c>
    </row>
    <row r="8" spans="1:7" x14ac:dyDescent="0.25">
      <c r="A8" t="s">
        <v>1</v>
      </c>
      <c r="C8" t="s">
        <v>327</v>
      </c>
      <c r="D8" t="str">
        <f t="shared" si="0"/>
        <v>Não</v>
      </c>
      <c r="F8" s="7" t="s">
        <v>4</v>
      </c>
      <c r="G8" s="2">
        <f t="shared" si="1"/>
        <v>8</v>
      </c>
    </row>
    <row r="9" spans="1:7" x14ac:dyDescent="0.25">
      <c r="A9" t="s">
        <v>1</v>
      </c>
      <c r="C9" t="s">
        <v>327</v>
      </c>
      <c r="D9" t="str">
        <f t="shared" si="0"/>
        <v>Não</v>
      </c>
      <c r="F9" s="7" t="s">
        <v>324</v>
      </c>
      <c r="G9" s="2">
        <f t="shared" si="1"/>
        <v>12</v>
      </c>
    </row>
    <row r="10" spans="1:7" x14ac:dyDescent="0.25">
      <c r="A10" t="s">
        <v>1</v>
      </c>
      <c r="C10" t="s">
        <v>327</v>
      </c>
      <c r="D10" t="str">
        <f t="shared" si="0"/>
        <v>Não</v>
      </c>
      <c r="F10" s="7" t="s">
        <v>323</v>
      </c>
      <c r="G10" s="2">
        <f t="shared" si="1"/>
        <v>16</v>
      </c>
    </row>
    <row r="11" spans="1:7" x14ac:dyDescent="0.25">
      <c r="A11" t="s">
        <v>1</v>
      </c>
      <c r="C11" t="s">
        <v>163</v>
      </c>
      <c r="D11" t="str">
        <f t="shared" si="0"/>
        <v>Não</v>
      </c>
      <c r="F11" s="7" t="s">
        <v>43</v>
      </c>
      <c r="G11" s="2">
        <f t="shared" si="1"/>
        <v>4</v>
      </c>
    </row>
    <row r="12" spans="1:7" x14ac:dyDescent="0.25">
      <c r="A12" t="s">
        <v>1</v>
      </c>
      <c r="C12" t="s">
        <v>163</v>
      </c>
      <c r="D12" t="str">
        <f t="shared" si="0"/>
        <v>Não</v>
      </c>
      <c r="F12" s="7" t="s">
        <v>34</v>
      </c>
      <c r="G12" s="2">
        <f t="shared" si="1"/>
        <v>15</v>
      </c>
    </row>
    <row r="13" spans="1:7" x14ac:dyDescent="0.25">
      <c r="A13" t="s">
        <v>1</v>
      </c>
      <c r="C13" t="s">
        <v>236</v>
      </c>
      <c r="D13" t="str">
        <f t="shared" si="0"/>
        <v>Não</v>
      </c>
      <c r="F13" s="7"/>
      <c r="G13" s="2"/>
    </row>
    <row r="14" spans="1:7" x14ac:dyDescent="0.25">
      <c r="A14" t="s">
        <v>1</v>
      </c>
      <c r="C14" t="s">
        <v>328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329</v>
      </c>
      <c r="D15" t="str">
        <f t="shared" si="0"/>
        <v>Não</v>
      </c>
      <c r="F15" s="5"/>
      <c r="G15" s="2"/>
    </row>
    <row r="16" spans="1:7" x14ac:dyDescent="0.25">
      <c r="A16" t="s">
        <v>1</v>
      </c>
      <c r="C16" t="s">
        <v>142</v>
      </c>
      <c r="D16" t="str">
        <f t="shared" si="0"/>
        <v>Não</v>
      </c>
      <c r="F16" s="5"/>
      <c r="G16" s="2"/>
    </row>
    <row r="17" spans="1:7" x14ac:dyDescent="0.25">
      <c r="A17" t="s">
        <v>1</v>
      </c>
      <c r="C17" t="s">
        <v>2</v>
      </c>
      <c r="D17" t="str">
        <f t="shared" si="0"/>
        <v>Não</v>
      </c>
      <c r="F17" s="5"/>
      <c r="G17" s="2"/>
    </row>
    <row r="18" spans="1:7" x14ac:dyDescent="0.25">
      <c r="A18" t="s">
        <v>1</v>
      </c>
      <c r="C18" t="s">
        <v>2</v>
      </c>
      <c r="D18" t="str">
        <f t="shared" si="0"/>
        <v>Não</v>
      </c>
      <c r="F18" s="5"/>
    </row>
    <row r="19" spans="1:7" x14ac:dyDescent="0.25">
      <c r="A19" t="s">
        <v>1</v>
      </c>
      <c r="C19" t="s">
        <v>14</v>
      </c>
      <c r="D19" t="str">
        <f t="shared" si="0"/>
        <v>Não</v>
      </c>
      <c r="F19" s="5"/>
    </row>
    <row r="20" spans="1:7" x14ac:dyDescent="0.25">
      <c r="A20" t="s">
        <v>1</v>
      </c>
      <c r="C20" t="s">
        <v>14</v>
      </c>
      <c r="D20" t="str">
        <f t="shared" si="0"/>
        <v>Não</v>
      </c>
      <c r="F20" s="5"/>
    </row>
    <row r="21" spans="1:7" x14ac:dyDescent="0.25">
      <c r="A21" t="s">
        <v>1</v>
      </c>
      <c r="C21" t="s">
        <v>14</v>
      </c>
      <c r="D21" t="str">
        <f t="shared" si="0"/>
        <v>Não</v>
      </c>
      <c r="F21" s="5"/>
    </row>
    <row r="22" spans="1:7" x14ac:dyDescent="0.25">
      <c r="A22" t="s">
        <v>1</v>
      </c>
      <c r="C22" t="s">
        <v>12</v>
      </c>
      <c r="D22" t="str">
        <f t="shared" si="0"/>
        <v>Não</v>
      </c>
      <c r="F22" s="5"/>
    </row>
    <row r="23" spans="1:7" x14ac:dyDescent="0.25">
      <c r="A23" t="s">
        <v>4</v>
      </c>
      <c r="C23" t="s">
        <v>319</v>
      </c>
      <c r="D23" t="str">
        <f t="shared" si="0"/>
        <v>Não</v>
      </c>
      <c r="F23" s="5"/>
    </row>
    <row r="24" spans="1:7" x14ac:dyDescent="0.25">
      <c r="A24" t="s">
        <v>4</v>
      </c>
      <c r="C24" t="s">
        <v>319</v>
      </c>
      <c r="D24" t="str">
        <f t="shared" si="0"/>
        <v>Não</v>
      </c>
      <c r="F24" s="5"/>
    </row>
    <row r="25" spans="1:7" x14ac:dyDescent="0.25">
      <c r="A25" t="s">
        <v>4</v>
      </c>
      <c r="C25" t="s">
        <v>319</v>
      </c>
      <c r="D25" t="str">
        <f t="shared" si="0"/>
        <v>Não</v>
      </c>
      <c r="F25" s="5"/>
    </row>
    <row r="26" spans="1:7" x14ac:dyDescent="0.25">
      <c r="A26" t="s">
        <v>4</v>
      </c>
      <c r="C26" t="s">
        <v>319</v>
      </c>
      <c r="D26" t="str">
        <f t="shared" si="0"/>
        <v>Não</v>
      </c>
      <c r="F26" s="5"/>
    </row>
    <row r="27" spans="1:7" x14ac:dyDescent="0.25">
      <c r="A27" t="s">
        <v>4</v>
      </c>
      <c r="C27" t="s">
        <v>303</v>
      </c>
      <c r="D27" t="str">
        <f t="shared" si="0"/>
        <v>Não</v>
      </c>
      <c r="F27" s="5"/>
    </row>
    <row r="28" spans="1:7" x14ac:dyDescent="0.25">
      <c r="A28" t="s">
        <v>4</v>
      </c>
      <c r="C28" t="s">
        <v>303</v>
      </c>
      <c r="D28" t="str">
        <f t="shared" si="0"/>
        <v>Não</v>
      </c>
      <c r="F28" s="5"/>
    </row>
    <row r="29" spans="1:7" x14ac:dyDescent="0.25">
      <c r="A29" t="s">
        <v>4</v>
      </c>
      <c r="C29" t="s">
        <v>303</v>
      </c>
      <c r="D29" t="str">
        <f t="shared" si="0"/>
        <v>Não</v>
      </c>
      <c r="F29" s="5"/>
    </row>
    <row r="30" spans="1:7" x14ac:dyDescent="0.25">
      <c r="A30" t="s">
        <v>4</v>
      </c>
      <c r="C30" t="s">
        <v>303</v>
      </c>
      <c r="D30" t="str">
        <f t="shared" si="0"/>
        <v>Não</v>
      </c>
      <c r="F30" s="5"/>
    </row>
    <row r="31" spans="1:7" x14ac:dyDescent="0.25">
      <c r="A31" t="s">
        <v>43</v>
      </c>
      <c r="C31" t="s">
        <v>320</v>
      </c>
      <c r="D31" t="str">
        <f t="shared" si="0"/>
        <v>Não</v>
      </c>
      <c r="F31" s="5"/>
    </row>
    <row r="32" spans="1:7" x14ac:dyDescent="0.25">
      <c r="A32" t="s">
        <v>43</v>
      </c>
      <c r="C32" t="s">
        <v>320</v>
      </c>
      <c r="D32" t="str">
        <f t="shared" si="0"/>
        <v>Não</v>
      </c>
      <c r="F32" s="5"/>
    </row>
    <row r="33" spans="1:6" x14ac:dyDescent="0.25">
      <c r="A33" t="s">
        <v>43</v>
      </c>
      <c r="C33" t="s">
        <v>320</v>
      </c>
      <c r="D33" t="str">
        <f t="shared" si="0"/>
        <v>Não</v>
      </c>
      <c r="F33" s="5"/>
    </row>
    <row r="34" spans="1:6" x14ac:dyDescent="0.25">
      <c r="A34" t="s">
        <v>43</v>
      </c>
      <c r="C34" t="s">
        <v>320</v>
      </c>
      <c r="D34" t="str">
        <f t="shared" si="0"/>
        <v>Não</v>
      </c>
      <c r="F34" s="5"/>
    </row>
    <row r="35" spans="1:6" x14ac:dyDescent="0.25">
      <c r="A35" t="s">
        <v>324</v>
      </c>
      <c r="C35" t="s">
        <v>325</v>
      </c>
      <c r="D35" t="str">
        <f t="shared" si="0"/>
        <v>Não</v>
      </c>
      <c r="F35" s="5"/>
    </row>
    <row r="36" spans="1:6" x14ac:dyDescent="0.25">
      <c r="A36" t="s">
        <v>324</v>
      </c>
      <c r="C36" t="s">
        <v>325</v>
      </c>
      <c r="D36" t="str">
        <f t="shared" si="0"/>
        <v>Não</v>
      </c>
      <c r="F36" s="5"/>
    </row>
    <row r="37" spans="1:6" x14ac:dyDescent="0.25">
      <c r="A37" t="s">
        <v>324</v>
      </c>
      <c r="C37" t="s">
        <v>325</v>
      </c>
      <c r="D37" t="str">
        <f t="shared" si="0"/>
        <v>Não</v>
      </c>
      <c r="F37" s="5"/>
    </row>
    <row r="38" spans="1:6" x14ac:dyDescent="0.25">
      <c r="A38" t="s">
        <v>324</v>
      </c>
      <c r="C38" t="s">
        <v>325</v>
      </c>
      <c r="D38" t="str">
        <f t="shared" si="0"/>
        <v>Não</v>
      </c>
      <c r="F38" s="5"/>
    </row>
    <row r="39" spans="1:6" x14ac:dyDescent="0.25">
      <c r="A39" t="s">
        <v>324</v>
      </c>
      <c r="C39" t="s">
        <v>315</v>
      </c>
      <c r="D39" t="str">
        <f t="shared" si="0"/>
        <v>Não</v>
      </c>
      <c r="F39" s="5"/>
    </row>
    <row r="40" spans="1:6" x14ac:dyDescent="0.25">
      <c r="A40" t="s">
        <v>324</v>
      </c>
      <c r="C40" t="s">
        <v>315</v>
      </c>
      <c r="D40" t="str">
        <f t="shared" si="0"/>
        <v>Não</v>
      </c>
      <c r="F40" s="5"/>
    </row>
    <row r="41" spans="1:6" x14ac:dyDescent="0.25">
      <c r="A41" t="s">
        <v>324</v>
      </c>
      <c r="C41" t="s">
        <v>316</v>
      </c>
      <c r="D41" t="str">
        <f t="shared" si="0"/>
        <v>Não</v>
      </c>
      <c r="F41" s="5"/>
    </row>
    <row r="42" spans="1:6" x14ac:dyDescent="0.25">
      <c r="A42" t="s">
        <v>324</v>
      </c>
      <c r="C42" t="s">
        <v>316</v>
      </c>
      <c r="D42" t="str">
        <f t="shared" si="0"/>
        <v>Não</v>
      </c>
      <c r="F42" s="5"/>
    </row>
    <row r="43" spans="1:6" x14ac:dyDescent="0.25">
      <c r="A43" t="s">
        <v>324</v>
      </c>
      <c r="C43" t="s">
        <v>316</v>
      </c>
      <c r="D43" t="str">
        <f t="shared" si="0"/>
        <v>Não</v>
      </c>
      <c r="F43" s="5"/>
    </row>
    <row r="44" spans="1:6" x14ac:dyDescent="0.25">
      <c r="A44" t="s">
        <v>324</v>
      </c>
      <c r="C44" t="s">
        <v>316</v>
      </c>
      <c r="D44" t="str">
        <f t="shared" si="0"/>
        <v>Não</v>
      </c>
      <c r="F44" s="5"/>
    </row>
    <row r="45" spans="1:6" x14ac:dyDescent="0.25">
      <c r="A45" t="s">
        <v>324</v>
      </c>
      <c r="C45" t="s">
        <v>314</v>
      </c>
      <c r="D45" t="str">
        <f t="shared" si="0"/>
        <v>Não</v>
      </c>
      <c r="F45" s="5"/>
    </row>
    <row r="46" spans="1:6" x14ac:dyDescent="0.25">
      <c r="A46" t="s">
        <v>324</v>
      </c>
      <c r="C46" t="s">
        <v>314</v>
      </c>
      <c r="D46" t="str">
        <f t="shared" si="0"/>
        <v>Não</v>
      </c>
      <c r="F46" s="5"/>
    </row>
    <row r="47" spans="1:6" x14ac:dyDescent="0.25">
      <c r="A47" t="s">
        <v>323</v>
      </c>
      <c r="C47" t="s">
        <v>314</v>
      </c>
      <c r="D47" t="str">
        <f t="shared" si="0"/>
        <v>Não</v>
      </c>
      <c r="F47" s="5"/>
    </row>
    <row r="48" spans="1:6" x14ac:dyDescent="0.25">
      <c r="A48" t="s">
        <v>323</v>
      </c>
      <c r="C48" t="s">
        <v>314</v>
      </c>
      <c r="D48" t="str">
        <f t="shared" si="0"/>
        <v>Não</v>
      </c>
      <c r="F48" s="5"/>
    </row>
    <row r="49" spans="1:6" x14ac:dyDescent="0.25">
      <c r="A49" t="s">
        <v>323</v>
      </c>
      <c r="C49" t="s">
        <v>330</v>
      </c>
      <c r="D49" t="str">
        <f t="shared" si="0"/>
        <v>Não</v>
      </c>
      <c r="F49" s="5"/>
    </row>
    <row r="50" spans="1:6" x14ac:dyDescent="0.25">
      <c r="A50" t="s">
        <v>323</v>
      </c>
      <c r="C50" t="s">
        <v>330</v>
      </c>
      <c r="D50" t="str">
        <f t="shared" si="0"/>
        <v>Não</v>
      </c>
      <c r="F50" s="5"/>
    </row>
    <row r="51" spans="1:6" x14ac:dyDescent="0.25">
      <c r="A51" t="s">
        <v>323</v>
      </c>
      <c r="C51" t="s">
        <v>330</v>
      </c>
      <c r="D51" t="str">
        <f t="shared" si="0"/>
        <v>Não</v>
      </c>
      <c r="F51" s="5"/>
    </row>
    <row r="52" spans="1:6" x14ac:dyDescent="0.25">
      <c r="A52" t="s">
        <v>323</v>
      </c>
      <c r="C52" t="s">
        <v>330</v>
      </c>
      <c r="D52" t="str">
        <f t="shared" si="0"/>
        <v>Não</v>
      </c>
      <c r="F52" s="5"/>
    </row>
    <row r="53" spans="1:6" x14ac:dyDescent="0.25">
      <c r="A53" t="s">
        <v>323</v>
      </c>
      <c r="C53" t="s">
        <v>317</v>
      </c>
      <c r="D53" t="str">
        <f t="shared" si="0"/>
        <v>Não</v>
      </c>
      <c r="F53" s="5"/>
    </row>
    <row r="54" spans="1:6" x14ac:dyDescent="0.25">
      <c r="A54" t="s">
        <v>323</v>
      </c>
      <c r="C54" t="s">
        <v>317</v>
      </c>
      <c r="D54" t="str">
        <f t="shared" si="0"/>
        <v>Não</v>
      </c>
      <c r="F54" s="5"/>
    </row>
    <row r="55" spans="1:6" x14ac:dyDescent="0.25">
      <c r="A55" t="s">
        <v>323</v>
      </c>
      <c r="C55" t="s">
        <v>321</v>
      </c>
      <c r="D55" t="str">
        <f t="shared" si="0"/>
        <v>Não</v>
      </c>
      <c r="F55" s="5"/>
    </row>
    <row r="56" spans="1:6" x14ac:dyDescent="0.25">
      <c r="A56" t="s">
        <v>323</v>
      </c>
      <c r="C56" t="s">
        <v>321</v>
      </c>
      <c r="D56" t="str">
        <f t="shared" si="0"/>
        <v>Não</v>
      </c>
      <c r="F56" s="5"/>
    </row>
    <row r="57" spans="1:6" x14ac:dyDescent="0.25">
      <c r="A57" t="s">
        <v>323</v>
      </c>
      <c r="C57" t="s">
        <v>321</v>
      </c>
      <c r="D57" t="str">
        <f t="shared" si="0"/>
        <v>Não</v>
      </c>
      <c r="F57" s="5"/>
    </row>
    <row r="58" spans="1:6" x14ac:dyDescent="0.25">
      <c r="A58" t="s">
        <v>323</v>
      </c>
      <c r="C58" t="s">
        <v>321</v>
      </c>
      <c r="D58" t="str">
        <f t="shared" si="0"/>
        <v>Não</v>
      </c>
      <c r="F58" s="5"/>
    </row>
    <row r="59" spans="1:6" x14ac:dyDescent="0.25">
      <c r="A59" t="s">
        <v>323</v>
      </c>
      <c r="C59" t="s">
        <v>322</v>
      </c>
      <c r="D59" t="str">
        <f t="shared" si="0"/>
        <v>Não</v>
      </c>
      <c r="F59" s="5"/>
    </row>
    <row r="60" spans="1:6" x14ac:dyDescent="0.25">
      <c r="A60" t="s">
        <v>323</v>
      </c>
      <c r="C60" t="s">
        <v>322</v>
      </c>
      <c r="D60" t="str">
        <f t="shared" si="0"/>
        <v>Não</v>
      </c>
      <c r="F60" s="5"/>
    </row>
    <row r="61" spans="1:6" x14ac:dyDescent="0.25">
      <c r="A61" t="s">
        <v>323</v>
      </c>
      <c r="C61" t="s">
        <v>322</v>
      </c>
      <c r="D61" t="str">
        <f t="shared" si="0"/>
        <v>Não</v>
      </c>
      <c r="F61" s="5"/>
    </row>
    <row r="62" spans="1:6" x14ac:dyDescent="0.25">
      <c r="A62" t="s">
        <v>323</v>
      </c>
      <c r="C62" t="s">
        <v>322</v>
      </c>
      <c r="D62" t="str">
        <f t="shared" si="0"/>
        <v>Não</v>
      </c>
      <c r="F62" s="5"/>
    </row>
    <row r="63" spans="1:6" x14ac:dyDescent="0.25">
      <c r="A63" t="s">
        <v>34</v>
      </c>
      <c r="C63" t="s">
        <v>331</v>
      </c>
      <c r="D63" t="str">
        <f t="shared" si="0"/>
        <v>Não</v>
      </c>
      <c r="F63" s="5"/>
    </row>
    <row r="64" spans="1:6" x14ac:dyDescent="0.25">
      <c r="A64" t="s">
        <v>34</v>
      </c>
      <c r="C64" t="s">
        <v>331</v>
      </c>
      <c r="D64" t="str">
        <f t="shared" si="0"/>
        <v>Não</v>
      </c>
      <c r="F64" s="5"/>
    </row>
    <row r="65" spans="1:6" x14ac:dyDescent="0.25">
      <c r="A65" t="s">
        <v>34</v>
      </c>
      <c r="C65" t="s">
        <v>331</v>
      </c>
      <c r="D65" t="str">
        <f t="shared" si="0"/>
        <v>Não</v>
      </c>
      <c r="F65"/>
    </row>
    <row r="66" spans="1:6" x14ac:dyDescent="0.25">
      <c r="A66" t="s">
        <v>34</v>
      </c>
      <c r="C66" t="s">
        <v>331</v>
      </c>
      <c r="D66" t="str">
        <f t="shared" si="0"/>
        <v>Não</v>
      </c>
      <c r="F66"/>
    </row>
    <row r="67" spans="1:6" x14ac:dyDescent="0.25">
      <c r="A67" t="s">
        <v>34</v>
      </c>
      <c r="C67" t="s">
        <v>318</v>
      </c>
      <c r="D67" t="str">
        <f t="shared" ref="D67:D77" si="2">IF(B67=C67, "Sim", "Não")</f>
        <v>Não</v>
      </c>
      <c r="F67"/>
    </row>
    <row r="68" spans="1:6" x14ac:dyDescent="0.25">
      <c r="A68" t="s">
        <v>34</v>
      </c>
      <c r="C68" t="s">
        <v>318</v>
      </c>
      <c r="D68" t="str">
        <f t="shared" si="2"/>
        <v>Não</v>
      </c>
      <c r="F68"/>
    </row>
    <row r="69" spans="1:6" x14ac:dyDescent="0.25">
      <c r="A69" t="s">
        <v>34</v>
      </c>
      <c r="C69" t="s">
        <v>318</v>
      </c>
      <c r="D69" t="str">
        <f t="shared" si="2"/>
        <v>Não</v>
      </c>
      <c r="F69" s="5"/>
    </row>
    <row r="70" spans="1:6" x14ac:dyDescent="0.25">
      <c r="A70" t="s">
        <v>34</v>
      </c>
      <c r="C70" t="s">
        <v>318</v>
      </c>
      <c r="D70" t="str">
        <f t="shared" si="2"/>
        <v>Não</v>
      </c>
      <c r="F70" s="5"/>
    </row>
    <row r="71" spans="1:6" x14ac:dyDescent="0.25">
      <c r="A71" t="s">
        <v>34</v>
      </c>
      <c r="C71" t="s">
        <v>257</v>
      </c>
      <c r="D71" t="str">
        <f t="shared" si="2"/>
        <v>Não</v>
      </c>
      <c r="F71" s="5"/>
    </row>
    <row r="72" spans="1:6" x14ac:dyDescent="0.25">
      <c r="A72" t="s">
        <v>34</v>
      </c>
      <c r="C72" t="s">
        <v>257</v>
      </c>
      <c r="D72" t="str">
        <f t="shared" si="2"/>
        <v>Não</v>
      </c>
      <c r="F72"/>
    </row>
    <row r="73" spans="1:6" x14ac:dyDescent="0.25">
      <c r="A73" t="s">
        <v>34</v>
      </c>
      <c r="C73" t="s">
        <v>257</v>
      </c>
      <c r="D73" t="str">
        <f t="shared" si="2"/>
        <v>Não</v>
      </c>
      <c r="F73"/>
    </row>
    <row r="74" spans="1:6" x14ac:dyDescent="0.25">
      <c r="A74" t="s">
        <v>34</v>
      </c>
      <c r="C74" t="s">
        <v>257</v>
      </c>
      <c r="D74" t="str">
        <f t="shared" si="2"/>
        <v>Não</v>
      </c>
      <c r="F74"/>
    </row>
    <row r="75" spans="1:6" x14ac:dyDescent="0.25">
      <c r="A75" t="s">
        <v>34</v>
      </c>
      <c r="C75" t="s">
        <v>241</v>
      </c>
      <c r="D75" t="str">
        <f t="shared" si="2"/>
        <v>Não</v>
      </c>
      <c r="F75"/>
    </row>
    <row r="76" spans="1:6" x14ac:dyDescent="0.25">
      <c r="A76" t="s">
        <v>34</v>
      </c>
      <c r="C76" t="s">
        <v>241</v>
      </c>
      <c r="D76" t="str">
        <f t="shared" si="2"/>
        <v>Não</v>
      </c>
      <c r="F76"/>
    </row>
    <row r="77" spans="1:6" x14ac:dyDescent="0.25">
      <c r="A77" t="s">
        <v>34</v>
      </c>
      <c r="C77" t="s">
        <v>241</v>
      </c>
      <c r="D77" t="str">
        <f t="shared" si="2"/>
        <v>Não</v>
      </c>
      <c r="F77"/>
    </row>
    <row r="78" spans="1:6" x14ac:dyDescent="0.25">
      <c r="A78"/>
      <c r="F78"/>
    </row>
    <row r="79" spans="1:6" x14ac:dyDescent="0.25">
      <c r="A79"/>
      <c r="F79"/>
    </row>
    <row r="80" spans="1:6" x14ac:dyDescent="0.25">
      <c r="A80"/>
      <c r="F80" s="5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7AA7-84CC-485B-BC8C-E4BF44AD2111}">
  <dimension ref="A1:I77"/>
  <sheetViews>
    <sheetView topLeftCell="A48" workbookViewId="0">
      <selection activeCell="B68" sqref="B68"/>
    </sheetView>
  </sheetViews>
  <sheetFormatPr defaultRowHeight="15" x14ac:dyDescent="0.25"/>
  <cols>
    <col min="1" max="1" width="10.7109375" bestFit="1" customWidth="1"/>
    <col min="2" max="2" width="35.7109375" customWidth="1"/>
    <col min="3" max="3" width="36.85546875" customWidth="1"/>
    <col min="4" max="4" width="10.28515625" bestFit="1" customWidth="1"/>
    <col min="6" max="6" width="18.42578125" bestFit="1" customWidth="1"/>
    <col min="9" max="9" width="22" bestFit="1" customWidth="1"/>
  </cols>
  <sheetData>
    <row r="1" spans="1:9" ht="21" x14ac:dyDescent="0.25">
      <c r="A1" s="19" t="s">
        <v>204</v>
      </c>
      <c r="B1" s="19"/>
      <c r="C1" s="19"/>
      <c r="D1" s="19"/>
      <c r="E1" s="19"/>
      <c r="F1" s="19"/>
      <c r="G1" s="19"/>
    </row>
    <row r="2" spans="1:9" x14ac:dyDescent="0.25">
      <c r="A2" s="4" t="s">
        <v>0</v>
      </c>
      <c r="B2" s="4" t="s">
        <v>8</v>
      </c>
      <c r="C2" s="4" t="s">
        <v>9</v>
      </c>
      <c r="D2" s="4" t="s">
        <v>7</v>
      </c>
      <c r="F2" s="3"/>
      <c r="I2" s="13" t="s">
        <v>193</v>
      </c>
    </row>
    <row r="3" spans="1:9" x14ac:dyDescent="0.25">
      <c r="A3" t="s">
        <v>1</v>
      </c>
      <c r="B3" s="14" t="s">
        <v>187</v>
      </c>
      <c r="C3" t="s">
        <v>187</v>
      </c>
      <c r="D3" t="str">
        <f t="shared" ref="D3:D66" si="0">IF(B3=C3, "Sim", "Não")</f>
        <v>Sim</v>
      </c>
      <c r="F3" s="4" t="s">
        <v>10</v>
      </c>
      <c r="G3" s="3">
        <f>COUNTIF(D3:D103,"Não")</f>
        <v>11</v>
      </c>
      <c r="I3" t="s">
        <v>179</v>
      </c>
    </row>
    <row r="4" spans="1:9" x14ac:dyDescent="0.25">
      <c r="A4" t="s">
        <v>1</v>
      </c>
      <c r="B4" s="14" t="s">
        <v>187</v>
      </c>
      <c r="C4" t="s">
        <v>187</v>
      </c>
      <c r="D4" t="str">
        <f t="shared" si="0"/>
        <v>Sim</v>
      </c>
      <c r="F4" s="4" t="s">
        <v>11</v>
      </c>
      <c r="G4" s="3">
        <f>SUM(G7:G24)</f>
        <v>75</v>
      </c>
      <c r="I4" t="s">
        <v>195</v>
      </c>
    </row>
    <row r="5" spans="1:9" x14ac:dyDescent="0.25">
      <c r="A5" t="s">
        <v>1</v>
      </c>
      <c r="B5" s="14" t="s">
        <v>187</v>
      </c>
      <c r="C5" t="s">
        <v>187</v>
      </c>
      <c r="D5" t="str">
        <f t="shared" si="0"/>
        <v>Sim</v>
      </c>
      <c r="F5" s="3"/>
      <c r="I5" t="s">
        <v>196</v>
      </c>
    </row>
    <row r="6" spans="1:9" x14ac:dyDescent="0.25">
      <c r="A6" t="s">
        <v>1</v>
      </c>
      <c r="B6" s="14" t="s">
        <v>187</v>
      </c>
      <c r="C6" t="s">
        <v>187</v>
      </c>
      <c r="D6" t="str">
        <f t="shared" si="0"/>
        <v>Sim</v>
      </c>
      <c r="F6" s="6" t="s">
        <v>3</v>
      </c>
      <c r="G6" s="1"/>
      <c r="I6" t="s">
        <v>198</v>
      </c>
    </row>
    <row r="7" spans="1:9" x14ac:dyDescent="0.25">
      <c r="A7" t="s">
        <v>1</v>
      </c>
      <c r="B7" s="14" t="s">
        <v>197</v>
      </c>
      <c r="C7" t="s">
        <v>197</v>
      </c>
      <c r="D7" t="str">
        <f t="shared" si="0"/>
        <v>Sim</v>
      </c>
      <c r="F7" s="7" t="s">
        <v>1</v>
      </c>
      <c r="G7" s="2">
        <f t="shared" ref="G7:G12" si="1">COUNTIF(A:A,F7)</f>
        <v>16</v>
      </c>
      <c r="I7" t="s">
        <v>199</v>
      </c>
    </row>
    <row r="8" spans="1:9" x14ac:dyDescent="0.25">
      <c r="A8" t="s">
        <v>1</v>
      </c>
      <c r="B8" s="14" t="s">
        <v>197</v>
      </c>
      <c r="C8" t="s">
        <v>197</v>
      </c>
      <c r="D8" t="str">
        <f t="shared" si="0"/>
        <v>Sim</v>
      </c>
      <c r="F8" s="7" t="s">
        <v>43</v>
      </c>
      <c r="G8" s="2">
        <f t="shared" si="1"/>
        <v>20</v>
      </c>
      <c r="I8" t="s">
        <v>200</v>
      </c>
    </row>
    <row r="9" spans="1:9" x14ac:dyDescent="0.25">
      <c r="A9" t="s">
        <v>1</v>
      </c>
      <c r="B9" s="14" t="s">
        <v>188</v>
      </c>
      <c r="C9" t="s">
        <v>188</v>
      </c>
      <c r="D9" t="str">
        <f t="shared" si="0"/>
        <v>Sim</v>
      </c>
      <c r="F9" s="7" t="s">
        <v>5</v>
      </c>
      <c r="G9" s="2">
        <f t="shared" si="1"/>
        <v>4</v>
      </c>
      <c r="I9" t="s">
        <v>202</v>
      </c>
    </row>
    <row r="10" spans="1:9" x14ac:dyDescent="0.25">
      <c r="A10" t="s">
        <v>1</v>
      </c>
      <c r="B10" s="17" t="s">
        <v>188</v>
      </c>
      <c r="C10" t="s">
        <v>188</v>
      </c>
      <c r="D10" t="str">
        <f t="shared" si="0"/>
        <v>Sim</v>
      </c>
      <c r="F10" s="7" t="s">
        <v>4</v>
      </c>
      <c r="G10" s="2">
        <f t="shared" si="1"/>
        <v>12</v>
      </c>
      <c r="I10" t="s">
        <v>201</v>
      </c>
    </row>
    <row r="11" spans="1:9" x14ac:dyDescent="0.25">
      <c r="A11" t="s">
        <v>1</v>
      </c>
      <c r="B11" s="17" t="s">
        <v>188</v>
      </c>
      <c r="C11" t="s">
        <v>188</v>
      </c>
      <c r="D11" t="str">
        <f t="shared" si="0"/>
        <v>Sim</v>
      </c>
      <c r="F11" s="7" t="s">
        <v>42</v>
      </c>
      <c r="G11" s="2">
        <f t="shared" si="1"/>
        <v>8</v>
      </c>
      <c r="I11" t="s">
        <v>203</v>
      </c>
    </row>
    <row r="12" spans="1:9" x14ac:dyDescent="0.25">
      <c r="A12" t="s">
        <v>1</v>
      </c>
      <c r="B12" s="17" t="s">
        <v>188</v>
      </c>
      <c r="C12" t="s">
        <v>188</v>
      </c>
      <c r="D12" t="str">
        <f t="shared" si="0"/>
        <v>Sim</v>
      </c>
      <c r="F12" s="7" t="s">
        <v>34</v>
      </c>
      <c r="G12" s="2">
        <f t="shared" si="1"/>
        <v>15</v>
      </c>
      <c r="I12" t="s">
        <v>182</v>
      </c>
    </row>
    <row r="13" spans="1:9" x14ac:dyDescent="0.25">
      <c r="A13" t="s">
        <v>1</v>
      </c>
      <c r="B13" s="14" t="s">
        <v>219</v>
      </c>
      <c r="C13" t="s">
        <v>219</v>
      </c>
      <c r="D13" t="str">
        <f t="shared" si="0"/>
        <v>Sim</v>
      </c>
      <c r="F13" s="7"/>
      <c r="G13" s="2"/>
    </row>
    <row r="14" spans="1:9" x14ac:dyDescent="0.25">
      <c r="A14" t="s">
        <v>1</v>
      </c>
      <c r="B14" s="15" t="s">
        <v>189</v>
      </c>
      <c r="C14" t="s">
        <v>189</v>
      </c>
      <c r="D14" t="str">
        <f t="shared" si="0"/>
        <v>Sim</v>
      </c>
      <c r="F14" s="7"/>
      <c r="G14" s="2"/>
    </row>
    <row r="15" spans="1:9" x14ac:dyDescent="0.25">
      <c r="A15" t="s">
        <v>1</v>
      </c>
      <c r="B15" s="14" t="s">
        <v>72</v>
      </c>
      <c r="C15" t="s">
        <v>72</v>
      </c>
      <c r="D15" t="str">
        <f t="shared" si="0"/>
        <v>Sim</v>
      </c>
      <c r="F15" s="4"/>
      <c r="G15" s="2"/>
    </row>
    <row r="16" spans="1:9" x14ac:dyDescent="0.25">
      <c r="A16" t="s">
        <v>1</v>
      </c>
      <c r="B16" s="14" t="s">
        <v>72</v>
      </c>
      <c r="C16" t="s">
        <v>72</v>
      </c>
      <c r="D16" t="str">
        <f t="shared" si="0"/>
        <v>Sim</v>
      </c>
      <c r="F16" s="4"/>
      <c r="G16" s="2"/>
    </row>
    <row r="17" spans="1:7" x14ac:dyDescent="0.25">
      <c r="A17" t="s">
        <v>1</v>
      </c>
      <c r="B17" s="14" t="s">
        <v>72</v>
      </c>
      <c r="C17" t="s">
        <v>72</v>
      </c>
      <c r="D17" t="str">
        <f t="shared" si="0"/>
        <v>Sim</v>
      </c>
      <c r="F17" s="3"/>
      <c r="G17" s="2"/>
    </row>
    <row r="18" spans="1:7" x14ac:dyDescent="0.25">
      <c r="A18" t="s">
        <v>1</v>
      </c>
      <c r="B18" s="14" t="s">
        <v>72</v>
      </c>
      <c r="C18" t="s">
        <v>72</v>
      </c>
      <c r="D18" t="str">
        <f t="shared" si="0"/>
        <v>Sim</v>
      </c>
      <c r="F18" s="3"/>
      <c r="G18" s="2"/>
    </row>
    <row r="19" spans="1:7" x14ac:dyDescent="0.25">
      <c r="A19" t="s">
        <v>5</v>
      </c>
      <c r="B19" s="14" t="s">
        <v>29</v>
      </c>
      <c r="C19" t="s">
        <v>29</v>
      </c>
      <c r="D19" t="str">
        <f t="shared" si="0"/>
        <v>Sim</v>
      </c>
      <c r="F19" s="3"/>
      <c r="G19" s="2"/>
    </row>
    <row r="20" spans="1:7" x14ac:dyDescent="0.25">
      <c r="A20" t="s">
        <v>5</v>
      </c>
      <c r="B20" s="14" t="s">
        <v>29</v>
      </c>
      <c r="C20" t="s">
        <v>29</v>
      </c>
      <c r="D20" t="str">
        <f t="shared" si="0"/>
        <v>Sim</v>
      </c>
      <c r="F20" s="3"/>
      <c r="G20" s="2"/>
    </row>
    <row r="21" spans="1:7" x14ac:dyDescent="0.25">
      <c r="A21" t="s">
        <v>5</v>
      </c>
      <c r="B21" s="14" t="s">
        <v>29</v>
      </c>
      <c r="C21" t="s">
        <v>29</v>
      </c>
      <c r="D21" t="str">
        <f t="shared" si="0"/>
        <v>Sim</v>
      </c>
      <c r="F21" s="3"/>
    </row>
    <row r="22" spans="1:7" x14ac:dyDescent="0.25">
      <c r="A22" t="s">
        <v>5</v>
      </c>
      <c r="B22" s="14" t="s">
        <v>29</v>
      </c>
      <c r="C22" t="s">
        <v>29</v>
      </c>
      <c r="D22" t="str">
        <f t="shared" si="0"/>
        <v>Sim</v>
      </c>
      <c r="F22" s="3"/>
    </row>
    <row r="23" spans="1:7" x14ac:dyDescent="0.25">
      <c r="A23" t="s">
        <v>4</v>
      </c>
      <c r="B23" s="14" t="s">
        <v>39</v>
      </c>
      <c r="C23" t="s">
        <v>39</v>
      </c>
      <c r="D23" t="str">
        <f t="shared" si="0"/>
        <v>Sim</v>
      </c>
      <c r="F23" s="3"/>
    </row>
    <row r="24" spans="1:7" x14ac:dyDescent="0.25">
      <c r="A24" t="s">
        <v>4</v>
      </c>
      <c r="B24" s="14" t="s">
        <v>39</v>
      </c>
      <c r="C24" t="s">
        <v>39</v>
      </c>
      <c r="D24" t="str">
        <f t="shared" si="0"/>
        <v>Sim</v>
      </c>
      <c r="F24" s="3"/>
    </row>
    <row r="25" spans="1:7" x14ac:dyDescent="0.25">
      <c r="A25" t="s">
        <v>4</v>
      </c>
      <c r="B25" s="14" t="s">
        <v>39</v>
      </c>
      <c r="C25" t="s">
        <v>39</v>
      </c>
      <c r="D25" t="str">
        <f t="shared" si="0"/>
        <v>Sim</v>
      </c>
      <c r="F25" s="3"/>
    </row>
    <row r="26" spans="1:7" x14ac:dyDescent="0.25">
      <c r="A26" t="s">
        <v>4</v>
      </c>
      <c r="B26" s="14" t="s">
        <v>39</v>
      </c>
      <c r="C26" t="s">
        <v>39</v>
      </c>
      <c r="D26" t="str">
        <f t="shared" si="0"/>
        <v>Sim</v>
      </c>
      <c r="F26" s="3"/>
    </row>
    <row r="27" spans="1:7" x14ac:dyDescent="0.25">
      <c r="A27" t="s">
        <v>4</v>
      </c>
      <c r="B27" s="15" t="s">
        <v>192</v>
      </c>
      <c r="C27" t="s">
        <v>192</v>
      </c>
      <c r="D27" t="str">
        <f t="shared" si="0"/>
        <v>Sim</v>
      </c>
      <c r="F27" s="3"/>
    </row>
    <row r="28" spans="1:7" x14ac:dyDescent="0.25">
      <c r="A28" t="s">
        <v>4</v>
      </c>
      <c r="B28" s="15" t="s">
        <v>192</v>
      </c>
      <c r="C28" t="s">
        <v>192</v>
      </c>
      <c r="D28" t="str">
        <f t="shared" si="0"/>
        <v>Sim</v>
      </c>
      <c r="F28" s="3"/>
    </row>
    <row r="29" spans="1:7" x14ac:dyDescent="0.25">
      <c r="A29" t="s">
        <v>4</v>
      </c>
      <c r="B29" s="15" t="s">
        <v>192</v>
      </c>
      <c r="C29" t="s">
        <v>192</v>
      </c>
      <c r="D29" t="str">
        <f t="shared" si="0"/>
        <v>Sim</v>
      </c>
      <c r="F29" s="3"/>
    </row>
    <row r="30" spans="1:7" x14ac:dyDescent="0.25">
      <c r="A30" t="s">
        <v>4</v>
      </c>
      <c r="B30" s="15" t="s">
        <v>192</v>
      </c>
      <c r="C30" t="s">
        <v>192</v>
      </c>
      <c r="D30" t="str">
        <f t="shared" si="0"/>
        <v>Sim</v>
      </c>
      <c r="F30" s="3"/>
    </row>
    <row r="31" spans="1:7" x14ac:dyDescent="0.25">
      <c r="A31" t="s">
        <v>4</v>
      </c>
      <c r="B31" s="17" t="s">
        <v>181</v>
      </c>
      <c r="C31" t="s">
        <v>181</v>
      </c>
      <c r="D31" t="str">
        <f t="shared" si="0"/>
        <v>Sim</v>
      </c>
      <c r="F31" s="3"/>
    </row>
    <row r="32" spans="1:7" x14ac:dyDescent="0.25">
      <c r="A32" t="s">
        <v>4</v>
      </c>
      <c r="B32" s="17" t="s">
        <v>181</v>
      </c>
      <c r="C32" t="s">
        <v>181</v>
      </c>
      <c r="D32" t="str">
        <f t="shared" si="0"/>
        <v>Sim</v>
      </c>
      <c r="F32" s="3"/>
    </row>
    <row r="33" spans="1:6" x14ac:dyDescent="0.25">
      <c r="A33" t="s">
        <v>4</v>
      </c>
      <c r="B33" s="17" t="s">
        <v>181</v>
      </c>
      <c r="C33" t="s">
        <v>181</v>
      </c>
      <c r="D33" t="str">
        <f t="shared" si="0"/>
        <v>Sim</v>
      </c>
      <c r="F33" s="3"/>
    </row>
    <row r="34" spans="1:6" x14ac:dyDescent="0.25">
      <c r="A34" t="s">
        <v>4</v>
      </c>
      <c r="B34" s="17" t="s">
        <v>181</v>
      </c>
      <c r="C34" t="s">
        <v>181</v>
      </c>
      <c r="D34" t="str">
        <f t="shared" si="0"/>
        <v>Sim</v>
      </c>
      <c r="F34" s="3"/>
    </row>
    <row r="35" spans="1:6" x14ac:dyDescent="0.25">
      <c r="A35" t="s">
        <v>43</v>
      </c>
      <c r="B35" s="14" t="s">
        <v>177</v>
      </c>
      <c r="C35" t="s">
        <v>177</v>
      </c>
      <c r="D35" t="str">
        <f t="shared" si="0"/>
        <v>Sim</v>
      </c>
      <c r="F35" s="3"/>
    </row>
    <row r="36" spans="1:6" x14ac:dyDescent="0.25">
      <c r="A36" t="s">
        <v>43</v>
      </c>
      <c r="B36" s="14" t="s">
        <v>177</v>
      </c>
      <c r="C36" t="s">
        <v>177</v>
      </c>
      <c r="D36" t="str">
        <f t="shared" si="0"/>
        <v>Sim</v>
      </c>
      <c r="F36" s="3"/>
    </row>
    <row r="37" spans="1:6" x14ac:dyDescent="0.25">
      <c r="A37" t="s">
        <v>43</v>
      </c>
      <c r="B37" t="s">
        <v>177</v>
      </c>
      <c r="C37" t="s">
        <v>177</v>
      </c>
      <c r="D37" t="str">
        <f t="shared" si="0"/>
        <v>Sim</v>
      </c>
      <c r="F37" s="3"/>
    </row>
    <row r="38" spans="1:6" x14ac:dyDescent="0.25">
      <c r="A38" t="s">
        <v>43</v>
      </c>
      <c r="B38" s="14" t="s">
        <v>226</v>
      </c>
      <c r="C38" t="s">
        <v>177</v>
      </c>
      <c r="D38" t="str">
        <f t="shared" si="0"/>
        <v>Não</v>
      </c>
      <c r="F38" s="3"/>
    </row>
    <row r="39" spans="1:6" x14ac:dyDescent="0.25">
      <c r="A39" t="s">
        <v>43</v>
      </c>
      <c r="B39" t="s">
        <v>178</v>
      </c>
      <c r="C39" t="s">
        <v>178</v>
      </c>
      <c r="D39" t="str">
        <f t="shared" si="0"/>
        <v>Sim</v>
      </c>
      <c r="F39" s="3"/>
    </row>
    <row r="40" spans="1:6" x14ac:dyDescent="0.25">
      <c r="A40" t="s">
        <v>43</v>
      </c>
      <c r="B40" s="14" t="s">
        <v>178</v>
      </c>
      <c r="C40" t="s">
        <v>178</v>
      </c>
      <c r="D40" t="str">
        <f t="shared" si="0"/>
        <v>Sim</v>
      </c>
      <c r="F40" s="3"/>
    </row>
    <row r="41" spans="1:6" x14ac:dyDescent="0.25">
      <c r="A41" t="s">
        <v>43</v>
      </c>
      <c r="B41" s="14" t="s">
        <v>178</v>
      </c>
      <c r="C41" t="s">
        <v>178</v>
      </c>
      <c r="D41" t="str">
        <f t="shared" si="0"/>
        <v>Sim</v>
      </c>
      <c r="F41" s="3"/>
    </row>
    <row r="42" spans="1:6" x14ac:dyDescent="0.25">
      <c r="A42" t="s">
        <v>43</v>
      </c>
      <c r="B42" s="14" t="s">
        <v>178</v>
      </c>
      <c r="C42" t="s">
        <v>178</v>
      </c>
      <c r="D42" t="str">
        <f t="shared" si="0"/>
        <v>Sim</v>
      </c>
      <c r="F42" s="3"/>
    </row>
    <row r="43" spans="1:6" x14ac:dyDescent="0.25">
      <c r="A43" t="s">
        <v>43</v>
      </c>
      <c r="B43" s="14" t="s">
        <v>180</v>
      </c>
      <c r="C43" t="s">
        <v>180</v>
      </c>
      <c r="D43" t="str">
        <f t="shared" si="0"/>
        <v>Sim</v>
      </c>
      <c r="F43" s="3"/>
    </row>
    <row r="44" spans="1:6" x14ac:dyDescent="0.25">
      <c r="A44" t="s">
        <v>43</v>
      </c>
      <c r="B44" s="14" t="s">
        <v>180</v>
      </c>
      <c r="C44" t="s">
        <v>180</v>
      </c>
      <c r="D44" t="str">
        <f t="shared" si="0"/>
        <v>Sim</v>
      </c>
      <c r="F44" s="3"/>
    </row>
    <row r="45" spans="1:6" x14ac:dyDescent="0.25">
      <c r="A45" t="s">
        <v>43</v>
      </c>
      <c r="B45" s="15" t="s">
        <v>180</v>
      </c>
      <c r="C45" t="s">
        <v>180</v>
      </c>
      <c r="D45" t="str">
        <f t="shared" si="0"/>
        <v>Sim</v>
      </c>
      <c r="F45" s="3"/>
    </row>
    <row r="46" spans="1:6" x14ac:dyDescent="0.25">
      <c r="A46" t="s">
        <v>43</v>
      </c>
      <c r="B46" s="15" t="s">
        <v>180</v>
      </c>
      <c r="C46" t="s">
        <v>180</v>
      </c>
      <c r="D46" t="str">
        <f t="shared" si="0"/>
        <v>Sim</v>
      </c>
      <c r="F46" s="3"/>
    </row>
    <row r="47" spans="1:6" x14ac:dyDescent="0.25">
      <c r="A47" t="s">
        <v>43</v>
      </c>
      <c r="B47" s="15" t="s">
        <v>183</v>
      </c>
      <c r="C47" t="s">
        <v>183</v>
      </c>
      <c r="D47" t="str">
        <f t="shared" si="0"/>
        <v>Sim</v>
      </c>
      <c r="F47" s="3"/>
    </row>
    <row r="48" spans="1:6" x14ac:dyDescent="0.25">
      <c r="A48" t="s">
        <v>43</v>
      </c>
      <c r="B48" s="15" t="s">
        <v>183</v>
      </c>
      <c r="C48" t="s">
        <v>183</v>
      </c>
      <c r="D48" t="str">
        <f t="shared" si="0"/>
        <v>Sim</v>
      </c>
      <c r="F48" s="3"/>
    </row>
    <row r="49" spans="1:6" x14ac:dyDescent="0.25">
      <c r="A49" t="s">
        <v>43</v>
      </c>
      <c r="B49" s="15" t="s">
        <v>183</v>
      </c>
      <c r="C49" t="s">
        <v>183</v>
      </c>
      <c r="D49" t="str">
        <f t="shared" si="0"/>
        <v>Sim</v>
      </c>
      <c r="F49" s="3"/>
    </row>
    <row r="50" spans="1:6" x14ac:dyDescent="0.25">
      <c r="A50" t="s">
        <v>43</v>
      </c>
      <c r="B50" s="15" t="s">
        <v>183</v>
      </c>
      <c r="C50" t="s">
        <v>183</v>
      </c>
      <c r="D50" t="str">
        <f t="shared" si="0"/>
        <v>Sim</v>
      </c>
      <c r="F50" s="3"/>
    </row>
    <row r="51" spans="1:6" x14ac:dyDescent="0.25">
      <c r="A51" t="s">
        <v>43</v>
      </c>
      <c r="B51" s="15" t="s">
        <v>198</v>
      </c>
      <c r="C51" t="s">
        <v>198</v>
      </c>
      <c r="D51" t="str">
        <f t="shared" si="0"/>
        <v>Sim</v>
      </c>
      <c r="F51" s="3"/>
    </row>
    <row r="52" spans="1:6" x14ac:dyDescent="0.25">
      <c r="A52" t="s">
        <v>43</v>
      </c>
      <c r="B52" s="15" t="s">
        <v>198</v>
      </c>
      <c r="C52" t="s">
        <v>198</v>
      </c>
      <c r="D52" t="str">
        <f t="shared" si="0"/>
        <v>Sim</v>
      </c>
      <c r="F52" s="3"/>
    </row>
    <row r="53" spans="1:6" x14ac:dyDescent="0.25">
      <c r="A53" t="s">
        <v>43</v>
      </c>
      <c r="B53" s="15" t="s">
        <v>198</v>
      </c>
      <c r="C53" t="s">
        <v>198</v>
      </c>
      <c r="D53" t="str">
        <f t="shared" si="0"/>
        <v>Sim</v>
      </c>
      <c r="F53" s="3"/>
    </row>
    <row r="54" spans="1:6" x14ac:dyDescent="0.25">
      <c r="A54" t="s">
        <v>43</v>
      </c>
      <c r="B54" s="15" t="s">
        <v>198</v>
      </c>
      <c r="C54" t="s">
        <v>198</v>
      </c>
      <c r="D54" t="str">
        <f t="shared" si="0"/>
        <v>Sim</v>
      </c>
      <c r="F54" s="3"/>
    </row>
    <row r="55" spans="1:6" x14ac:dyDescent="0.25">
      <c r="A55" t="s">
        <v>42</v>
      </c>
      <c r="B55" s="15" t="s">
        <v>194</v>
      </c>
      <c r="C55" t="s">
        <v>194</v>
      </c>
      <c r="D55" t="str">
        <f t="shared" si="0"/>
        <v>Sim</v>
      </c>
      <c r="F55" s="3"/>
    </row>
    <row r="56" spans="1:6" x14ac:dyDescent="0.25">
      <c r="A56" t="s">
        <v>42</v>
      </c>
      <c r="B56" s="15" t="s">
        <v>194</v>
      </c>
      <c r="C56" t="s">
        <v>194</v>
      </c>
      <c r="D56" t="str">
        <f t="shared" si="0"/>
        <v>Sim</v>
      </c>
      <c r="F56" s="3"/>
    </row>
    <row r="57" spans="1:6" x14ac:dyDescent="0.25">
      <c r="A57" t="s">
        <v>42</v>
      </c>
      <c r="B57" s="14" t="s">
        <v>229</v>
      </c>
      <c r="C57" t="s">
        <v>186</v>
      </c>
      <c r="D57" t="str">
        <f t="shared" si="0"/>
        <v>Não</v>
      </c>
      <c r="F57" s="3"/>
    </row>
    <row r="58" spans="1:6" x14ac:dyDescent="0.25">
      <c r="A58" t="s">
        <v>42</v>
      </c>
      <c r="B58" s="14" t="s">
        <v>229</v>
      </c>
      <c r="C58" t="s">
        <v>184</v>
      </c>
      <c r="D58" t="str">
        <f t="shared" si="0"/>
        <v>Não</v>
      </c>
      <c r="F58" s="3"/>
    </row>
    <row r="59" spans="1:6" x14ac:dyDescent="0.25">
      <c r="A59" t="s">
        <v>42</v>
      </c>
      <c r="B59" s="15" t="s">
        <v>185</v>
      </c>
      <c r="C59" t="s">
        <v>185</v>
      </c>
      <c r="D59" t="str">
        <f t="shared" si="0"/>
        <v>Sim</v>
      </c>
      <c r="F59" s="3"/>
    </row>
    <row r="60" spans="1:6" x14ac:dyDescent="0.25">
      <c r="A60" t="s">
        <v>42</v>
      </c>
      <c r="B60" s="15" t="s">
        <v>185</v>
      </c>
      <c r="C60" t="s">
        <v>185</v>
      </c>
      <c r="D60" t="str">
        <f t="shared" si="0"/>
        <v>Sim</v>
      </c>
      <c r="F60" s="3"/>
    </row>
    <row r="61" spans="1:6" x14ac:dyDescent="0.25">
      <c r="A61" t="s">
        <v>42</v>
      </c>
      <c r="B61" s="15" t="s">
        <v>185</v>
      </c>
      <c r="C61" t="s">
        <v>185</v>
      </c>
      <c r="D61" t="str">
        <f t="shared" si="0"/>
        <v>Sim</v>
      </c>
      <c r="F61" s="3"/>
    </row>
    <row r="62" spans="1:6" x14ac:dyDescent="0.25">
      <c r="A62" t="s">
        <v>42</v>
      </c>
      <c r="B62" s="15" t="s">
        <v>185</v>
      </c>
      <c r="C62" t="s">
        <v>185</v>
      </c>
      <c r="D62" t="str">
        <f t="shared" si="0"/>
        <v>Sim</v>
      </c>
      <c r="F62" s="3"/>
    </row>
    <row r="63" spans="1:6" x14ac:dyDescent="0.25">
      <c r="A63" t="s">
        <v>34</v>
      </c>
      <c r="B63" s="14" t="s">
        <v>73</v>
      </c>
      <c r="C63" t="s">
        <v>73</v>
      </c>
      <c r="D63" t="str">
        <f t="shared" si="0"/>
        <v>Sim</v>
      </c>
      <c r="F63" s="3"/>
    </row>
    <row r="64" spans="1:6" x14ac:dyDescent="0.25">
      <c r="A64" t="s">
        <v>34</v>
      </c>
      <c r="B64" s="14" t="s">
        <v>73</v>
      </c>
      <c r="C64" t="s">
        <v>73</v>
      </c>
      <c r="D64" t="str">
        <f t="shared" si="0"/>
        <v>Sim</v>
      </c>
      <c r="F64" s="3"/>
    </row>
    <row r="65" spans="1:6" x14ac:dyDescent="0.25">
      <c r="A65" t="s">
        <v>34</v>
      </c>
      <c r="B65" s="14" t="s">
        <v>73</v>
      </c>
      <c r="C65" t="s">
        <v>73</v>
      </c>
      <c r="D65" t="str">
        <f t="shared" si="0"/>
        <v>Sim</v>
      </c>
      <c r="F65" s="3"/>
    </row>
    <row r="66" spans="1:6" x14ac:dyDescent="0.25">
      <c r="A66" t="s">
        <v>34</v>
      </c>
      <c r="B66" t="s">
        <v>73</v>
      </c>
      <c r="C66" t="s">
        <v>73</v>
      </c>
      <c r="D66" t="str">
        <f t="shared" si="0"/>
        <v>Sim</v>
      </c>
      <c r="F66" s="3"/>
    </row>
    <row r="67" spans="1:6" x14ac:dyDescent="0.25">
      <c r="A67" t="s">
        <v>34</v>
      </c>
      <c r="B67" s="14" t="s">
        <v>196</v>
      </c>
      <c r="C67" t="s">
        <v>144</v>
      </c>
      <c r="D67" t="str">
        <f t="shared" ref="D67:D77" si="2">IF(B67=C67, "Sim", "Não")</f>
        <v>Não</v>
      </c>
      <c r="F67" s="3"/>
    </row>
    <row r="68" spans="1:6" x14ac:dyDescent="0.25">
      <c r="A68" t="s">
        <v>34</v>
      </c>
      <c r="B68" s="14" t="s">
        <v>199</v>
      </c>
      <c r="C68" t="s">
        <v>144</v>
      </c>
      <c r="D68" t="str">
        <f t="shared" si="2"/>
        <v>Não</v>
      </c>
      <c r="F68" s="3"/>
    </row>
    <row r="69" spans="1:6" x14ac:dyDescent="0.25">
      <c r="A69" t="s">
        <v>34</v>
      </c>
      <c r="B69" s="16" t="s">
        <v>190</v>
      </c>
      <c r="C69" t="s">
        <v>190</v>
      </c>
      <c r="D69" t="str">
        <f t="shared" si="2"/>
        <v>Sim</v>
      </c>
      <c r="F69" s="3"/>
    </row>
    <row r="70" spans="1:6" x14ac:dyDescent="0.25">
      <c r="A70" t="s">
        <v>34</v>
      </c>
      <c r="B70" s="16" t="s">
        <v>190</v>
      </c>
      <c r="C70" t="s">
        <v>190</v>
      </c>
      <c r="D70" t="str">
        <f t="shared" si="2"/>
        <v>Sim</v>
      </c>
      <c r="F70" s="3"/>
    </row>
    <row r="71" spans="1:6" x14ac:dyDescent="0.25">
      <c r="A71" t="s">
        <v>34</v>
      </c>
      <c r="B71" s="16" t="s">
        <v>190</v>
      </c>
      <c r="C71" t="s">
        <v>190</v>
      </c>
      <c r="D71" t="str">
        <f t="shared" si="2"/>
        <v>Sim</v>
      </c>
    </row>
    <row r="72" spans="1:6" x14ac:dyDescent="0.25">
      <c r="A72" t="s">
        <v>34</v>
      </c>
      <c r="B72" s="14" t="s">
        <v>63</v>
      </c>
      <c r="C72" t="s">
        <v>40</v>
      </c>
      <c r="D72" t="str">
        <f t="shared" si="2"/>
        <v>Não</v>
      </c>
      <c r="F72" s="3"/>
    </row>
    <row r="73" spans="1:6" x14ac:dyDescent="0.25">
      <c r="A73" t="s">
        <v>34</v>
      </c>
      <c r="B73" s="14" t="s">
        <v>63</v>
      </c>
      <c r="C73" t="s">
        <v>40</v>
      </c>
      <c r="D73" t="str">
        <f t="shared" si="2"/>
        <v>Não</v>
      </c>
      <c r="F73" s="3"/>
    </row>
    <row r="74" spans="1:6" x14ac:dyDescent="0.25">
      <c r="A74" t="s">
        <v>34</v>
      </c>
      <c r="B74" s="14" t="s">
        <v>228</v>
      </c>
      <c r="C74" t="s">
        <v>153</v>
      </c>
      <c r="D74" t="str">
        <f t="shared" si="2"/>
        <v>Não</v>
      </c>
      <c r="F74" s="3"/>
    </row>
    <row r="75" spans="1:6" x14ac:dyDescent="0.25">
      <c r="A75" t="s">
        <v>34</v>
      </c>
      <c r="B75" s="14" t="s">
        <v>228</v>
      </c>
      <c r="C75" t="s">
        <v>153</v>
      </c>
      <c r="D75" t="str">
        <f t="shared" si="2"/>
        <v>Não</v>
      </c>
      <c r="F75" s="3"/>
    </row>
    <row r="76" spans="1:6" x14ac:dyDescent="0.25">
      <c r="A76" t="s">
        <v>34</v>
      </c>
      <c r="B76" s="14" t="s">
        <v>143</v>
      </c>
      <c r="C76" t="s">
        <v>191</v>
      </c>
      <c r="D76" t="str">
        <f t="shared" si="2"/>
        <v>Não</v>
      </c>
      <c r="F76" s="3"/>
    </row>
    <row r="77" spans="1:6" x14ac:dyDescent="0.25">
      <c r="A77" t="s">
        <v>34</v>
      </c>
      <c r="B77" s="14" t="s">
        <v>227</v>
      </c>
      <c r="C77" t="s">
        <v>191</v>
      </c>
      <c r="D77" t="str">
        <f t="shared" si="2"/>
        <v>Não</v>
      </c>
      <c r="F77" s="3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1E66-7DD3-4822-BE14-E8AB37598957}">
  <dimension ref="A1:I77"/>
  <sheetViews>
    <sheetView workbookViewId="0">
      <selection activeCell="C33" sqref="C33"/>
    </sheetView>
  </sheetViews>
  <sheetFormatPr defaultRowHeight="15" x14ac:dyDescent="0.25"/>
  <cols>
    <col min="1" max="1" width="12.28515625" customWidth="1"/>
    <col min="2" max="2" width="32" customWidth="1"/>
    <col min="3" max="3" width="28.140625" customWidth="1"/>
    <col min="4" max="4" width="10.28515625" bestFit="1" customWidth="1"/>
    <col min="6" max="6" width="18.42578125" bestFit="1" customWidth="1"/>
    <col min="9" max="9" width="22" bestFit="1" customWidth="1"/>
  </cols>
  <sheetData>
    <row r="1" spans="1:9" ht="21" x14ac:dyDescent="0.25">
      <c r="A1" s="19" t="s">
        <v>218</v>
      </c>
      <c r="B1" s="19"/>
      <c r="C1" s="19"/>
      <c r="D1" s="19"/>
      <c r="E1" s="19"/>
      <c r="F1" s="19"/>
      <c r="G1" s="19"/>
    </row>
    <row r="2" spans="1:9" x14ac:dyDescent="0.25">
      <c r="A2" s="4" t="s">
        <v>0</v>
      </c>
      <c r="B2" s="4" t="s">
        <v>8</v>
      </c>
      <c r="C2" s="4" t="s">
        <v>9</v>
      </c>
      <c r="D2" s="4" t="s">
        <v>7</v>
      </c>
      <c r="F2" s="3"/>
      <c r="I2" s="13" t="s">
        <v>193</v>
      </c>
    </row>
    <row r="3" spans="1:9" x14ac:dyDescent="0.25">
      <c r="A3" t="s">
        <v>1</v>
      </c>
      <c r="C3" t="s">
        <v>189</v>
      </c>
      <c r="D3" t="str">
        <f t="shared" ref="D3:D66" si="0">IF(B3=C3, "Sim", "Não")</f>
        <v>Não</v>
      </c>
      <c r="F3" s="4" t="s">
        <v>10</v>
      </c>
      <c r="G3" s="3">
        <f>COUNTIF(D3:D103,"Não")</f>
        <v>60</v>
      </c>
      <c r="I3" t="s">
        <v>196</v>
      </c>
    </row>
    <row r="4" spans="1:9" x14ac:dyDescent="0.25">
      <c r="A4" t="s">
        <v>1</v>
      </c>
      <c r="C4" t="s">
        <v>189</v>
      </c>
      <c r="D4" t="str">
        <f t="shared" si="0"/>
        <v>Não</v>
      </c>
      <c r="F4" s="4" t="s">
        <v>11</v>
      </c>
      <c r="G4" s="3">
        <f>SUM(G7:G24)</f>
        <v>75</v>
      </c>
      <c r="I4" t="s">
        <v>212</v>
      </c>
    </row>
    <row r="5" spans="1:9" x14ac:dyDescent="0.25">
      <c r="A5" t="s">
        <v>1</v>
      </c>
      <c r="C5" t="s">
        <v>189</v>
      </c>
      <c r="D5" t="str">
        <f t="shared" si="0"/>
        <v>Não</v>
      </c>
      <c r="F5" s="3"/>
      <c r="I5" t="s">
        <v>215</v>
      </c>
    </row>
    <row r="6" spans="1:9" x14ac:dyDescent="0.25">
      <c r="A6" t="s">
        <v>1</v>
      </c>
      <c r="C6" t="s">
        <v>189</v>
      </c>
      <c r="D6" t="str">
        <f t="shared" si="0"/>
        <v>Não</v>
      </c>
      <c r="F6" s="6" t="s">
        <v>3</v>
      </c>
      <c r="G6" s="1"/>
    </row>
    <row r="7" spans="1:9" x14ac:dyDescent="0.25">
      <c r="A7" t="s">
        <v>1</v>
      </c>
      <c r="C7" t="s">
        <v>210</v>
      </c>
      <c r="D7" t="str">
        <f t="shared" si="0"/>
        <v>Não</v>
      </c>
      <c r="F7" s="7" t="s">
        <v>1</v>
      </c>
      <c r="G7" s="2">
        <f t="shared" ref="G7:G12" si="1">COUNTIF(A:A,F7)</f>
        <v>22</v>
      </c>
    </row>
    <row r="8" spans="1:9" x14ac:dyDescent="0.25">
      <c r="A8" t="s">
        <v>1</v>
      </c>
      <c r="C8" t="s">
        <v>211</v>
      </c>
      <c r="D8" t="str">
        <f t="shared" si="0"/>
        <v>Não</v>
      </c>
      <c r="F8" s="7" t="s">
        <v>43</v>
      </c>
      <c r="G8" s="2">
        <f t="shared" si="1"/>
        <v>23</v>
      </c>
    </row>
    <row r="9" spans="1:9" x14ac:dyDescent="0.25">
      <c r="A9" t="s">
        <v>1</v>
      </c>
      <c r="C9" t="s">
        <v>28</v>
      </c>
      <c r="D9" t="str">
        <f t="shared" si="0"/>
        <v>Não</v>
      </c>
      <c r="F9" s="7" t="s">
        <v>5</v>
      </c>
      <c r="G9" s="2">
        <f t="shared" si="1"/>
        <v>0</v>
      </c>
    </row>
    <row r="10" spans="1:9" x14ac:dyDescent="0.25">
      <c r="A10" t="s">
        <v>1</v>
      </c>
      <c r="C10" t="s">
        <v>72</v>
      </c>
      <c r="D10" t="str">
        <f t="shared" si="0"/>
        <v>Não</v>
      </c>
      <c r="F10" s="7" t="s">
        <v>4</v>
      </c>
      <c r="G10" s="2">
        <f t="shared" si="1"/>
        <v>7</v>
      </c>
    </row>
    <row r="11" spans="1:9" x14ac:dyDescent="0.25">
      <c r="A11" t="s">
        <v>1</v>
      </c>
      <c r="C11" t="s">
        <v>213</v>
      </c>
      <c r="D11" t="str">
        <f t="shared" si="0"/>
        <v>Não</v>
      </c>
      <c r="F11" s="7" t="s">
        <v>42</v>
      </c>
      <c r="G11" s="2">
        <f t="shared" si="1"/>
        <v>8</v>
      </c>
    </row>
    <row r="12" spans="1:9" x14ac:dyDescent="0.25">
      <c r="A12" t="s">
        <v>1</v>
      </c>
      <c r="C12" t="s">
        <v>213</v>
      </c>
      <c r="D12" t="str">
        <f t="shared" si="0"/>
        <v>Não</v>
      </c>
      <c r="F12" s="7" t="s">
        <v>34</v>
      </c>
      <c r="G12" s="2">
        <f t="shared" si="1"/>
        <v>15</v>
      </c>
    </row>
    <row r="13" spans="1:9" x14ac:dyDescent="0.25">
      <c r="A13" t="s">
        <v>1</v>
      </c>
      <c r="C13" t="s">
        <v>214</v>
      </c>
      <c r="D13" t="str">
        <f t="shared" si="0"/>
        <v>Não</v>
      </c>
      <c r="F13" s="7"/>
      <c r="G13" s="2"/>
    </row>
    <row r="14" spans="1:9" x14ac:dyDescent="0.25">
      <c r="A14" t="s">
        <v>1</v>
      </c>
      <c r="C14" t="s">
        <v>216</v>
      </c>
      <c r="D14" t="str">
        <f t="shared" si="0"/>
        <v>Não</v>
      </c>
      <c r="F14" s="7"/>
      <c r="G14" s="2"/>
    </row>
    <row r="15" spans="1:9" x14ac:dyDescent="0.25">
      <c r="A15" t="s">
        <v>1</v>
      </c>
      <c r="C15" t="s">
        <v>217</v>
      </c>
      <c r="D15" t="str">
        <f t="shared" si="0"/>
        <v>Não</v>
      </c>
      <c r="F15" s="4"/>
      <c r="G15" s="2"/>
    </row>
    <row r="16" spans="1:9" x14ac:dyDescent="0.25">
      <c r="A16" t="s">
        <v>1</v>
      </c>
      <c r="C16" t="s">
        <v>217</v>
      </c>
      <c r="D16" t="str">
        <f t="shared" si="0"/>
        <v>Não</v>
      </c>
      <c r="F16" s="4"/>
      <c r="G16" s="2"/>
    </row>
    <row r="17" spans="1:7" x14ac:dyDescent="0.25">
      <c r="A17" t="s">
        <v>1</v>
      </c>
      <c r="C17" t="s">
        <v>217</v>
      </c>
      <c r="D17" t="str">
        <f t="shared" si="0"/>
        <v>Não</v>
      </c>
      <c r="F17" s="3"/>
      <c r="G17" s="2"/>
    </row>
    <row r="18" spans="1:7" x14ac:dyDescent="0.25">
      <c r="A18" t="s">
        <v>1</v>
      </c>
      <c r="C18" t="s">
        <v>217</v>
      </c>
      <c r="D18" t="str">
        <f t="shared" si="0"/>
        <v>Não</v>
      </c>
      <c r="F18" s="3"/>
      <c r="G18" s="2"/>
    </row>
    <row r="19" spans="1:7" x14ac:dyDescent="0.25">
      <c r="A19" t="s">
        <v>1</v>
      </c>
      <c r="C19" t="s">
        <v>6</v>
      </c>
      <c r="D19" t="str">
        <f t="shared" si="0"/>
        <v>Não</v>
      </c>
      <c r="F19" s="3"/>
      <c r="G19" s="2"/>
    </row>
    <row r="20" spans="1:7" x14ac:dyDescent="0.25">
      <c r="A20" t="s">
        <v>1</v>
      </c>
      <c r="C20" t="s">
        <v>2</v>
      </c>
      <c r="D20" t="str">
        <f t="shared" si="0"/>
        <v>Não</v>
      </c>
      <c r="F20" s="3"/>
      <c r="G20" s="2"/>
    </row>
    <row r="21" spans="1:7" x14ac:dyDescent="0.25">
      <c r="A21" t="s">
        <v>1</v>
      </c>
      <c r="C21" t="s">
        <v>13</v>
      </c>
      <c r="D21" t="str">
        <f t="shared" si="0"/>
        <v>Não</v>
      </c>
      <c r="F21" s="3"/>
    </row>
    <row r="22" spans="1:7" x14ac:dyDescent="0.25">
      <c r="A22" t="s">
        <v>1</v>
      </c>
      <c r="C22" t="s">
        <v>13</v>
      </c>
      <c r="D22" t="str">
        <f t="shared" si="0"/>
        <v>Não</v>
      </c>
      <c r="F22" s="3"/>
    </row>
    <row r="23" spans="1:7" x14ac:dyDescent="0.25">
      <c r="A23" t="s">
        <v>1</v>
      </c>
      <c r="C23" t="s">
        <v>13</v>
      </c>
      <c r="D23" t="str">
        <f t="shared" si="0"/>
        <v>Não</v>
      </c>
      <c r="F23" s="3"/>
    </row>
    <row r="24" spans="1:7" x14ac:dyDescent="0.25">
      <c r="A24" t="s">
        <v>1</v>
      </c>
      <c r="C24" t="s">
        <v>13</v>
      </c>
      <c r="D24" t="str">
        <f t="shared" si="0"/>
        <v>Não</v>
      </c>
      <c r="F24" s="3"/>
    </row>
    <row r="25" spans="1:7" x14ac:dyDescent="0.25">
      <c r="A25" t="s">
        <v>4</v>
      </c>
      <c r="C25" t="s">
        <v>181</v>
      </c>
      <c r="D25" t="str">
        <f t="shared" si="0"/>
        <v>Não</v>
      </c>
      <c r="F25" s="3"/>
    </row>
    <row r="26" spans="1:7" x14ac:dyDescent="0.25">
      <c r="A26" t="s">
        <v>4</v>
      </c>
      <c r="C26" t="s">
        <v>181</v>
      </c>
      <c r="D26" t="str">
        <f t="shared" si="0"/>
        <v>Não</v>
      </c>
      <c r="F26" s="3"/>
    </row>
    <row r="27" spans="1:7" x14ac:dyDescent="0.25">
      <c r="A27" t="s">
        <v>4</v>
      </c>
      <c r="C27" t="s">
        <v>181</v>
      </c>
      <c r="D27" t="str">
        <f t="shared" si="0"/>
        <v>Não</v>
      </c>
      <c r="F27" s="3"/>
    </row>
    <row r="28" spans="1:7" x14ac:dyDescent="0.25">
      <c r="A28" t="s">
        <v>4</v>
      </c>
      <c r="C28" t="s">
        <v>181</v>
      </c>
      <c r="D28" t="str">
        <f t="shared" si="0"/>
        <v>Não</v>
      </c>
      <c r="F28" s="3"/>
    </row>
    <row r="29" spans="1:7" x14ac:dyDescent="0.25">
      <c r="A29" t="s">
        <v>4</v>
      </c>
      <c r="C29" t="s">
        <v>39</v>
      </c>
      <c r="D29" t="str">
        <f t="shared" si="0"/>
        <v>Não</v>
      </c>
      <c r="F29" s="3"/>
    </row>
    <row r="30" spans="1:7" x14ac:dyDescent="0.25">
      <c r="A30" t="s">
        <v>4</v>
      </c>
      <c r="C30" t="s">
        <v>39</v>
      </c>
      <c r="D30" t="str">
        <f t="shared" si="0"/>
        <v>Não</v>
      </c>
      <c r="F30" s="3"/>
    </row>
    <row r="31" spans="1:7" x14ac:dyDescent="0.25">
      <c r="A31" t="s">
        <v>4</v>
      </c>
      <c r="C31" t="s">
        <v>39</v>
      </c>
      <c r="D31" t="str">
        <f t="shared" si="0"/>
        <v>Não</v>
      </c>
      <c r="F31" s="3"/>
    </row>
    <row r="32" spans="1:7" x14ac:dyDescent="0.25">
      <c r="A32" t="s">
        <v>43</v>
      </c>
      <c r="C32" t="s">
        <v>39</v>
      </c>
      <c r="D32" t="str">
        <f t="shared" si="0"/>
        <v>Não</v>
      </c>
      <c r="F32" s="3"/>
    </row>
    <row r="33" spans="1:6" x14ac:dyDescent="0.25">
      <c r="A33" t="s">
        <v>43</v>
      </c>
      <c r="C33" t="s">
        <v>209</v>
      </c>
      <c r="D33" t="str">
        <f t="shared" si="0"/>
        <v>Não</v>
      </c>
      <c r="F33" s="3"/>
    </row>
    <row r="34" spans="1:6" x14ac:dyDescent="0.25">
      <c r="A34" t="s">
        <v>43</v>
      </c>
      <c r="C34" t="s">
        <v>209</v>
      </c>
      <c r="D34" t="str">
        <f t="shared" si="0"/>
        <v>Não</v>
      </c>
      <c r="F34" s="3"/>
    </row>
    <row r="35" spans="1:6" x14ac:dyDescent="0.25">
      <c r="A35" t="s">
        <v>43</v>
      </c>
      <c r="C35" t="s">
        <v>209</v>
      </c>
      <c r="D35" t="str">
        <f t="shared" si="0"/>
        <v>Não</v>
      </c>
      <c r="F35" s="3"/>
    </row>
    <row r="36" spans="1:6" x14ac:dyDescent="0.25">
      <c r="A36" t="s">
        <v>43</v>
      </c>
      <c r="C36" t="s">
        <v>209</v>
      </c>
      <c r="D36" t="str">
        <f t="shared" si="0"/>
        <v>Não</v>
      </c>
      <c r="F36" s="3"/>
    </row>
    <row r="37" spans="1:6" x14ac:dyDescent="0.25">
      <c r="A37" t="s">
        <v>43</v>
      </c>
      <c r="C37" t="s">
        <v>208</v>
      </c>
      <c r="D37" t="str">
        <f t="shared" si="0"/>
        <v>Não</v>
      </c>
      <c r="F37" s="3"/>
    </row>
    <row r="38" spans="1:6" x14ac:dyDescent="0.25">
      <c r="A38" t="s">
        <v>43</v>
      </c>
      <c r="C38" t="s">
        <v>208</v>
      </c>
      <c r="D38" t="str">
        <f t="shared" si="0"/>
        <v>Não</v>
      </c>
      <c r="F38" s="3"/>
    </row>
    <row r="39" spans="1:6" x14ac:dyDescent="0.25">
      <c r="A39" t="s">
        <v>43</v>
      </c>
      <c r="C39" t="s">
        <v>207</v>
      </c>
      <c r="D39" t="str">
        <f t="shared" si="0"/>
        <v>Não</v>
      </c>
      <c r="F39" s="3"/>
    </row>
    <row r="40" spans="1:6" x14ac:dyDescent="0.25">
      <c r="A40" t="s">
        <v>43</v>
      </c>
      <c r="C40" t="s">
        <v>207</v>
      </c>
      <c r="D40" t="str">
        <f t="shared" si="0"/>
        <v>Não</v>
      </c>
      <c r="F40" s="3"/>
    </row>
    <row r="41" spans="1:6" x14ac:dyDescent="0.25">
      <c r="A41" t="s">
        <v>43</v>
      </c>
      <c r="C41" t="s">
        <v>182</v>
      </c>
      <c r="D41" t="str">
        <f t="shared" si="0"/>
        <v>Não</v>
      </c>
      <c r="F41" s="3"/>
    </row>
    <row r="42" spans="1:6" x14ac:dyDescent="0.25">
      <c r="A42" t="s">
        <v>43</v>
      </c>
      <c r="C42" t="s">
        <v>182</v>
      </c>
      <c r="D42" t="str">
        <f t="shared" si="0"/>
        <v>Não</v>
      </c>
      <c r="F42" s="3"/>
    </row>
    <row r="43" spans="1:6" x14ac:dyDescent="0.25">
      <c r="A43" t="s">
        <v>43</v>
      </c>
      <c r="C43" t="s">
        <v>179</v>
      </c>
      <c r="D43" t="str">
        <f t="shared" si="0"/>
        <v>Não</v>
      </c>
      <c r="F43" s="3"/>
    </row>
    <row r="44" spans="1:6" x14ac:dyDescent="0.25">
      <c r="A44" t="s">
        <v>43</v>
      </c>
      <c r="C44" t="s">
        <v>179</v>
      </c>
      <c r="D44" t="str">
        <f t="shared" si="0"/>
        <v>Não</v>
      </c>
      <c r="F44" s="3"/>
    </row>
    <row r="45" spans="1:6" x14ac:dyDescent="0.25">
      <c r="A45" t="s">
        <v>43</v>
      </c>
      <c r="C45" t="s">
        <v>179</v>
      </c>
      <c r="D45" t="str">
        <f t="shared" si="0"/>
        <v>Não</v>
      </c>
      <c r="F45" s="3"/>
    </row>
    <row r="46" spans="1:6" x14ac:dyDescent="0.25">
      <c r="A46" t="s">
        <v>43</v>
      </c>
      <c r="C46" t="s">
        <v>179</v>
      </c>
      <c r="D46" t="str">
        <f t="shared" si="0"/>
        <v>Não</v>
      </c>
      <c r="F46" s="3"/>
    </row>
    <row r="47" spans="1:6" x14ac:dyDescent="0.25">
      <c r="A47" t="s">
        <v>43</v>
      </c>
      <c r="C47" t="s">
        <v>206</v>
      </c>
      <c r="D47" t="str">
        <f t="shared" si="0"/>
        <v>Não</v>
      </c>
      <c r="F47" s="3"/>
    </row>
    <row r="48" spans="1:6" x14ac:dyDescent="0.25">
      <c r="A48" t="s">
        <v>43</v>
      </c>
      <c r="C48" t="s">
        <v>206</v>
      </c>
      <c r="D48" t="str">
        <f t="shared" si="0"/>
        <v>Não</v>
      </c>
      <c r="F48" s="3"/>
    </row>
    <row r="49" spans="1:6" x14ac:dyDescent="0.25">
      <c r="A49" t="s">
        <v>43</v>
      </c>
      <c r="C49" t="s">
        <v>206</v>
      </c>
      <c r="D49" t="str">
        <f t="shared" si="0"/>
        <v>Não</v>
      </c>
      <c r="F49" s="3"/>
    </row>
    <row r="50" spans="1:6" x14ac:dyDescent="0.25">
      <c r="A50" t="s">
        <v>43</v>
      </c>
      <c r="C50" t="s">
        <v>206</v>
      </c>
      <c r="D50" t="str">
        <f t="shared" si="0"/>
        <v>Não</v>
      </c>
      <c r="F50" s="3"/>
    </row>
    <row r="51" spans="1:6" x14ac:dyDescent="0.25">
      <c r="A51" t="s">
        <v>43</v>
      </c>
      <c r="C51" t="s">
        <v>205</v>
      </c>
      <c r="D51" t="str">
        <f t="shared" si="0"/>
        <v>Não</v>
      </c>
      <c r="F51" s="3"/>
    </row>
    <row r="52" spans="1:6" x14ac:dyDescent="0.25">
      <c r="A52" t="s">
        <v>43</v>
      </c>
      <c r="C52" t="s">
        <v>205</v>
      </c>
      <c r="D52" t="str">
        <f t="shared" si="0"/>
        <v>Não</v>
      </c>
      <c r="F52" s="3"/>
    </row>
    <row r="53" spans="1:6" x14ac:dyDescent="0.25">
      <c r="A53" t="s">
        <v>43</v>
      </c>
      <c r="C53" t="s">
        <v>205</v>
      </c>
      <c r="D53" t="str">
        <f t="shared" si="0"/>
        <v>Não</v>
      </c>
      <c r="F53" s="3"/>
    </row>
    <row r="54" spans="1:6" x14ac:dyDescent="0.25">
      <c r="A54" t="s">
        <v>43</v>
      </c>
      <c r="C54" t="s">
        <v>205</v>
      </c>
      <c r="D54" t="str">
        <f t="shared" si="0"/>
        <v>Não</v>
      </c>
      <c r="F54" s="3"/>
    </row>
    <row r="55" spans="1:6" x14ac:dyDescent="0.25">
      <c r="A55" t="s">
        <v>42</v>
      </c>
      <c r="C55" t="s">
        <v>124</v>
      </c>
      <c r="D55" t="str">
        <f t="shared" si="0"/>
        <v>Não</v>
      </c>
      <c r="F55" s="3"/>
    </row>
    <row r="56" spans="1:6" x14ac:dyDescent="0.25">
      <c r="A56" t="s">
        <v>42</v>
      </c>
      <c r="C56" t="s">
        <v>124</v>
      </c>
      <c r="D56" t="str">
        <f t="shared" si="0"/>
        <v>Não</v>
      </c>
      <c r="F56" s="3"/>
    </row>
    <row r="57" spans="1:6" x14ac:dyDescent="0.25">
      <c r="A57" t="s">
        <v>42</v>
      </c>
      <c r="C57" t="s">
        <v>124</v>
      </c>
      <c r="D57" t="str">
        <f t="shared" si="0"/>
        <v>Não</v>
      </c>
      <c r="F57" s="3"/>
    </row>
    <row r="58" spans="1:6" x14ac:dyDescent="0.25">
      <c r="A58" t="s">
        <v>42</v>
      </c>
      <c r="C58" t="s">
        <v>124</v>
      </c>
      <c r="D58" t="str">
        <f t="shared" si="0"/>
        <v>Não</v>
      </c>
      <c r="F58" s="3"/>
    </row>
    <row r="59" spans="1:6" x14ac:dyDescent="0.25">
      <c r="A59" t="s">
        <v>42</v>
      </c>
      <c r="C59" t="s">
        <v>194</v>
      </c>
      <c r="D59" t="str">
        <f t="shared" si="0"/>
        <v>Não</v>
      </c>
      <c r="F59" s="3"/>
    </row>
    <row r="60" spans="1:6" x14ac:dyDescent="0.25">
      <c r="A60" t="s">
        <v>42</v>
      </c>
      <c r="C60" t="s">
        <v>194</v>
      </c>
      <c r="D60" t="str">
        <f t="shared" si="0"/>
        <v>Não</v>
      </c>
      <c r="F60" s="3"/>
    </row>
    <row r="61" spans="1:6" x14ac:dyDescent="0.25">
      <c r="A61" t="s">
        <v>42</v>
      </c>
      <c r="C61" t="s">
        <v>194</v>
      </c>
      <c r="D61" t="str">
        <f t="shared" si="0"/>
        <v>Não</v>
      </c>
      <c r="F61" s="3"/>
    </row>
    <row r="62" spans="1:6" x14ac:dyDescent="0.25">
      <c r="A62" t="s">
        <v>42</v>
      </c>
      <c r="C62" t="s">
        <v>194</v>
      </c>
      <c r="D62" t="str">
        <f t="shared" si="0"/>
        <v>Não</v>
      </c>
      <c r="F62" s="3"/>
    </row>
    <row r="63" spans="1:6" x14ac:dyDescent="0.25">
      <c r="A63" t="s">
        <v>34</v>
      </c>
      <c r="D63" t="str">
        <f t="shared" si="0"/>
        <v>Sim</v>
      </c>
      <c r="F63" s="3"/>
    </row>
    <row r="64" spans="1:6" x14ac:dyDescent="0.25">
      <c r="A64" t="s">
        <v>34</v>
      </c>
      <c r="D64" t="str">
        <f t="shared" si="0"/>
        <v>Sim</v>
      </c>
      <c r="F64" s="3"/>
    </row>
    <row r="65" spans="1:6" x14ac:dyDescent="0.25">
      <c r="A65" t="s">
        <v>34</v>
      </c>
      <c r="D65" t="str">
        <f t="shared" si="0"/>
        <v>Sim</v>
      </c>
      <c r="F65" s="3"/>
    </row>
    <row r="66" spans="1:6" x14ac:dyDescent="0.25">
      <c r="A66" t="s">
        <v>34</v>
      </c>
      <c r="D66" t="str">
        <f t="shared" si="0"/>
        <v>Sim</v>
      </c>
      <c r="F66" s="3"/>
    </row>
    <row r="67" spans="1:6" x14ac:dyDescent="0.25">
      <c r="A67" t="s">
        <v>34</v>
      </c>
      <c r="D67" t="str">
        <f t="shared" ref="D67:D77" si="2">IF(B67=C67, "Sim", "Não")</f>
        <v>Sim</v>
      </c>
      <c r="F67" s="3"/>
    </row>
    <row r="68" spans="1:6" x14ac:dyDescent="0.25">
      <c r="A68" t="s">
        <v>34</v>
      </c>
      <c r="D68" t="str">
        <f t="shared" si="2"/>
        <v>Sim</v>
      </c>
      <c r="F68" s="3"/>
    </row>
    <row r="69" spans="1:6" x14ac:dyDescent="0.25">
      <c r="A69" t="s">
        <v>34</v>
      </c>
      <c r="D69" t="str">
        <f t="shared" si="2"/>
        <v>Sim</v>
      </c>
      <c r="F69" s="3"/>
    </row>
    <row r="70" spans="1:6" x14ac:dyDescent="0.25">
      <c r="A70" t="s">
        <v>34</v>
      </c>
      <c r="D70" t="str">
        <f t="shared" si="2"/>
        <v>Sim</v>
      </c>
      <c r="F70" s="3"/>
    </row>
    <row r="71" spans="1:6" x14ac:dyDescent="0.25">
      <c r="A71" t="s">
        <v>34</v>
      </c>
      <c r="D71" t="str">
        <f t="shared" si="2"/>
        <v>Sim</v>
      </c>
    </row>
    <row r="72" spans="1:6" x14ac:dyDescent="0.25">
      <c r="A72" t="s">
        <v>34</v>
      </c>
      <c r="D72" t="str">
        <f t="shared" si="2"/>
        <v>Sim</v>
      </c>
      <c r="F72" s="3"/>
    </row>
    <row r="73" spans="1:6" x14ac:dyDescent="0.25">
      <c r="A73" t="s">
        <v>34</v>
      </c>
      <c r="D73" t="str">
        <f t="shared" si="2"/>
        <v>Sim</v>
      </c>
      <c r="F73" s="3"/>
    </row>
    <row r="74" spans="1:6" x14ac:dyDescent="0.25">
      <c r="A74" t="s">
        <v>34</v>
      </c>
      <c r="D74" t="str">
        <f t="shared" si="2"/>
        <v>Sim</v>
      </c>
      <c r="F74" s="3"/>
    </row>
    <row r="75" spans="1:6" x14ac:dyDescent="0.25">
      <c r="A75" t="s">
        <v>34</v>
      </c>
      <c r="D75" t="str">
        <f t="shared" si="2"/>
        <v>Sim</v>
      </c>
      <c r="F75" s="3"/>
    </row>
    <row r="76" spans="1:6" x14ac:dyDescent="0.25">
      <c r="A76" t="s">
        <v>34</v>
      </c>
      <c r="D76" t="str">
        <f t="shared" si="2"/>
        <v>Sim</v>
      </c>
      <c r="F76" s="3"/>
    </row>
    <row r="77" spans="1:6" x14ac:dyDescent="0.25">
      <c r="A77" t="s">
        <v>34</v>
      </c>
      <c r="D77" t="str">
        <f t="shared" si="2"/>
        <v>Sim</v>
      </c>
      <c r="F77" s="3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COMPRAS</vt:lpstr>
      <vt:lpstr>RESUMO</vt:lpstr>
      <vt:lpstr>RESUMO (2)</vt:lpstr>
      <vt:lpstr>HardenedScalesEx</vt:lpstr>
      <vt:lpstr>Jund Food</vt:lpstr>
      <vt:lpstr>Planilha1</vt:lpstr>
      <vt:lpstr>ElfoNeer</vt:lpstr>
      <vt:lpstr>CoCo Army</vt:lpstr>
      <vt:lpstr>AbzanCoCoCo</vt:lpstr>
      <vt:lpstr>AbzanCoCoCo (2)</vt:lpstr>
      <vt:lpstr>AbzanCoCoCo (3)</vt:lpstr>
      <vt:lpstr>AbzanCoCoCo (4)</vt:lpstr>
      <vt:lpstr>AbzanCoCoCo (5)</vt:lpstr>
      <vt:lpstr>4c Tolkien Company</vt:lpstr>
      <vt:lpstr>5c Tolkien Company</vt:lpstr>
      <vt:lpstr>CoCo Slivers</vt:lpstr>
      <vt:lpstr>CoCo Knights</vt:lpstr>
      <vt:lpstr>SquirrelFood</vt:lpstr>
      <vt:lpstr>EsperBeaters</vt:lpstr>
      <vt:lpstr>Affinity</vt:lpstr>
      <vt:lpstr>Hardened Scales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Scalvi</dc:creator>
  <cp:lastModifiedBy>Marcelo Fernandes Scalvi</cp:lastModifiedBy>
  <dcterms:created xsi:type="dcterms:W3CDTF">2021-12-09T15:36:16Z</dcterms:created>
  <dcterms:modified xsi:type="dcterms:W3CDTF">2024-07-02T05:36:07Z</dcterms:modified>
</cp:coreProperties>
</file>