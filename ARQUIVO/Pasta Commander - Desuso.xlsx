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Magic\"/>
    </mc:Choice>
  </mc:AlternateContent>
  <xr:revisionPtr revIDLastSave="0" documentId="13_ncr:1_{8E441D0A-661A-4F90-A24E-831B85C83F47}" xr6:coauthVersionLast="47" xr6:coauthVersionMax="47" xr10:uidLastSave="{00000000-0000-0000-0000-000000000000}"/>
  <bookViews>
    <workbookView xWindow="-120" yWindow="-120" windowWidth="29040" windowHeight="15720" tabRatio="814" xr2:uid="{CC72415A-D2E5-4D77-82BF-05A7B4384BC9}"/>
  </bookViews>
  <sheets>
    <sheet name="COMPRAS" sheetId="19" r:id="rId1"/>
    <sheet name="STATS" sheetId="52" r:id="rId2"/>
    <sheet name="RESUMO" sheetId="18" r:id="rId3"/>
    <sheet name="RESUMO2" sheetId="37" r:id="rId4"/>
    <sheet name="RESUMO3" sheetId="38" r:id="rId5"/>
    <sheet name="RESUMO4" sheetId="43" r:id="rId6"/>
    <sheet name="RESUMO5" sheetId="50" r:id="rId7"/>
    <sheet name="Piratas" sheetId="59" state="hidden" r:id="rId8"/>
    <sheet name="Rani" sheetId="57" state="hidden" r:id="rId9"/>
    <sheet name="Bichão" sheetId="58" state="hidden" r:id="rId10"/>
    <sheet name="OWA" sheetId="22" state="hidden" r:id="rId11"/>
    <sheet name="Zimone" sheetId="49" state="hidden" r:id="rId12"/>
    <sheet name="Narset" sheetId="46" state="hidden" r:id="rId13"/>
    <sheet name="Baylen" sheetId="51" state="hidden" r:id="rId14"/>
    <sheet name="Thrakiri" sheetId="20" state="hidden" r:id="rId15"/>
    <sheet name="Gitrog" sheetId="21" state="hidden" r:id="rId16"/>
    <sheet name="Elfos" sheetId="23" state="hidden" r:id="rId17"/>
    <sheet name="Breya" sheetId="39" state="hidden" r:id="rId18"/>
    <sheet name="Fractius" sheetId="32" state="hidden" r:id="rId19"/>
    <sheet name="Muzzio" sheetId="25" state="hidden" r:id="rId20"/>
    <sheet name="Rielle" sheetId="1" state="hidden" r:id="rId21"/>
    <sheet name="Alela" sheetId="26" state="hidden" r:id="rId22"/>
    <sheet name="Arcades" sheetId="28" state="hidden" r:id="rId23"/>
    <sheet name="Jhoira" sheetId="24" state="hidden" r:id="rId24"/>
    <sheet name="Yuriko" sheetId="30" state="hidden" r:id="rId25"/>
    <sheet name="VialIshai" sheetId="31" state="hidden" r:id="rId26"/>
    <sheet name="Tayam" sheetId="53" state="hidden" r:id="rId27"/>
    <sheet name="Zedruu" sheetId="27" state="hidden" r:id="rId28"/>
    <sheet name="Inalla" sheetId="29" state="hidden" r:id="rId29"/>
    <sheet name="Carlos" sheetId="33" state="hidden" r:id="rId30"/>
    <sheet name="Kresh" sheetId="34" state="hidden" r:id="rId31"/>
    <sheet name="Sisay" sheetId="44" state="hidden" r:id="rId32"/>
    <sheet name="Akiri" sheetId="35" state="hidden" r:id="rId33"/>
    <sheet name="Oona" sheetId="40" state="hidden" r:id="rId34"/>
    <sheet name="Kumena" sheetId="47" state="hidden" r:id="rId35"/>
  </sheets>
  <definedNames>
    <definedName name="_xlnm._FilterDatabase" localSheetId="0" hidden="1">COMPRAS!$E$1:$J$1</definedName>
    <definedName name="_xlnm._FilterDatabase" localSheetId="2" hidden="1">RESUMO!$A$2:$C$230</definedName>
    <definedName name="_xlnm._FilterDatabase" localSheetId="3" hidden="1">RESUMO2!$A$2:$C$230</definedName>
    <definedName name="_xlnm._FilterDatabase" localSheetId="4" hidden="1">RESUMO3!$A$2:$C$230</definedName>
    <definedName name="_xlnm._FilterDatabase" localSheetId="5" hidden="1">RESUMO4!$A$2:$C$230</definedName>
    <definedName name="_xlnm._FilterDatabase" localSheetId="6" hidden="1">RESUMO5!$A$2:$C$230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2" i="50" l="1"/>
  <c r="O93" i="50"/>
  <c r="O3" i="50"/>
  <c r="C4" i="50"/>
  <c r="K3" i="50"/>
  <c r="G3" i="50"/>
  <c r="K4" i="43"/>
  <c r="G4" i="43"/>
  <c r="C4" i="43"/>
  <c r="C4" i="38"/>
  <c r="W4" i="43"/>
  <c r="S4" i="43"/>
  <c r="O4" i="43"/>
  <c r="W4" i="38"/>
  <c r="S4" i="38"/>
  <c r="O4" i="38"/>
  <c r="K4" i="38"/>
  <c r="G4" i="38"/>
  <c r="W4" i="37"/>
  <c r="S4" i="37"/>
  <c r="O4" i="37"/>
  <c r="K4" i="37"/>
  <c r="G4" i="37"/>
  <c r="C4" i="37"/>
  <c r="W4" i="18"/>
  <c r="S4" i="18"/>
  <c r="K4" i="18"/>
  <c r="G4" i="18"/>
  <c r="C4" i="18"/>
  <c r="O3" i="18"/>
  <c r="D3" i="53"/>
  <c r="D3" i="24"/>
  <c r="D3" i="58"/>
  <c r="D3" i="59"/>
  <c r="D4" i="59"/>
  <c r="O101" i="50"/>
  <c r="G18" i="59" l="1"/>
  <c r="G14" i="59"/>
  <c r="G15" i="59"/>
  <c r="G16" i="59"/>
  <c r="G17" i="59"/>
  <c r="D102" i="59"/>
  <c r="O100" i="50" s="1"/>
  <c r="D101" i="59"/>
  <c r="O99" i="50" s="1"/>
  <c r="D100" i="59"/>
  <c r="O98" i="50" s="1"/>
  <c r="D99" i="59"/>
  <c r="O97" i="50" s="1"/>
  <c r="D97" i="59"/>
  <c r="O95" i="50" s="1"/>
  <c r="D96" i="59"/>
  <c r="O94" i="50" s="1"/>
  <c r="D95" i="59"/>
  <c r="D94" i="59"/>
  <c r="D93" i="59"/>
  <c r="O91" i="50" s="1"/>
  <c r="D92" i="59"/>
  <c r="O90" i="50" s="1"/>
  <c r="D91" i="59"/>
  <c r="O89" i="50" s="1"/>
  <c r="D90" i="59"/>
  <c r="O88" i="50" s="1"/>
  <c r="D89" i="59"/>
  <c r="O87" i="50" s="1"/>
  <c r="D88" i="59"/>
  <c r="O86" i="50" s="1"/>
  <c r="D87" i="59"/>
  <c r="O85" i="50" s="1"/>
  <c r="D86" i="59"/>
  <c r="O84" i="50" s="1"/>
  <c r="D85" i="59"/>
  <c r="O83" i="50" s="1"/>
  <c r="D84" i="59"/>
  <c r="O82" i="50" s="1"/>
  <c r="D83" i="59"/>
  <c r="O81" i="50" s="1"/>
  <c r="D98" i="59"/>
  <c r="O96" i="50" s="1"/>
  <c r="D82" i="59"/>
  <c r="O80" i="50" s="1"/>
  <c r="D81" i="59"/>
  <c r="O79" i="50" s="1"/>
  <c r="D80" i="59"/>
  <c r="O78" i="50" s="1"/>
  <c r="D79" i="59"/>
  <c r="O77" i="50" s="1"/>
  <c r="D78" i="59"/>
  <c r="O76" i="50" s="1"/>
  <c r="D77" i="59"/>
  <c r="O75" i="50" s="1"/>
  <c r="D76" i="59"/>
  <c r="O74" i="50" s="1"/>
  <c r="D75" i="59"/>
  <c r="O73" i="50" s="1"/>
  <c r="D74" i="59"/>
  <c r="O72" i="50" s="1"/>
  <c r="D73" i="59"/>
  <c r="O71" i="50" s="1"/>
  <c r="D72" i="59"/>
  <c r="O70" i="50" s="1"/>
  <c r="D71" i="59"/>
  <c r="O69" i="50" s="1"/>
  <c r="D70" i="59"/>
  <c r="O68" i="50" s="1"/>
  <c r="D69" i="59"/>
  <c r="O67" i="50" s="1"/>
  <c r="D68" i="59"/>
  <c r="O66" i="50" s="1"/>
  <c r="D67" i="59"/>
  <c r="O65" i="50" s="1"/>
  <c r="D66" i="59"/>
  <c r="O64" i="50" s="1"/>
  <c r="D65" i="59"/>
  <c r="O63" i="50" s="1"/>
  <c r="D64" i="59"/>
  <c r="O62" i="50" s="1"/>
  <c r="D63" i="59"/>
  <c r="O61" i="50" s="1"/>
  <c r="D62" i="59"/>
  <c r="O60" i="50" s="1"/>
  <c r="D61" i="59"/>
  <c r="O59" i="50" s="1"/>
  <c r="D60" i="59"/>
  <c r="O58" i="50" s="1"/>
  <c r="D59" i="59"/>
  <c r="O57" i="50" s="1"/>
  <c r="D58" i="59"/>
  <c r="O56" i="50" s="1"/>
  <c r="D57" i="59"/>
  <c r="O55" i="50" s="1"/>
  <c r="D56" i="59"/>
  <c r="O54" i="50" s="1"/>
  <c r="D55" i="59"/>
  <c r="O53" i="50" s="1"/>
  <c r="D54" i="59"/>
  <c r="O52" i="50" s="1"/>
  <c r="D53" i="59"/>
  <c r="O51" i="50" s="1"/>
  <c r="D52" i="59"/>
  <c r="O50" i="50" s="1"/>
  <c r="D51" i="59"/>
  <c r="O49" i="50" s="1"/>
  <c r="D50" i="59"/>
  <c r="O48" i="50" s="1"/>
  <c r="D49" i="59"/>
  <c r="O47" i="50" s="1"/>
  <c r="D48" i="59"/>
  <c r="O46" i="50" s="1"/>
  <c r="D47" i="59"/>
  <c r="O45" i="50" s="1"/>
  <c r="D46" i="59"/>
  <c r="O44" i="50" s="1"/>
  <c r="D45" i="59"/>
  <c r="O43" i="50" s="1"/>
  <c r="D44" i="59"/>
  <c r="O42" i="50" s="1"/>
  <c r="D43" i="59"/>
  <c r="O41" i="50" s="1"/>
  <c r="D42" i="59"/>
  <c r="O40" i="50" s="1"/>
  <c r="D41" i="59"/>
  <c r="O39" i="50" s="1"/>
  <c r="D40" i="59"/>
  <c r="O38" i="50" s="1"/>
  <c r="D39" i="59"/>
  <c r="O37" i="50" s="1"/>
  <c r="D38" i="59"/>
  <c r="O36" i="50" s="1"/>
  <c r="D37" i="59"/>
  <c r="O35" i="50" s="1"/>
  <c r="D36" i="59"/>
  <c r="O34" i="50" s="1"/>
  <c r="D35" i="59"/>
  <c r="O33" i="50" s="1"/>
  <c r="D34" i="59"/>
  <c r="O32" i="50" s="1"/>
  <c r="D33" i="59"/>
  <c r="O31" i="50" s="1"/>
  <c r="D32" i="59"/>
  <c r="O30" i="50" s="1"/>
  <c r="D31" i="59"/>
  <c r="O29" i="50" s="1"/>
  <c r="D30" i="59"/>
  <c r="O28" i="50" s="1"/>
  <c r="D29" i="59"/>
  <c r="O27" i="50" s="1"/>
  <c r="D28" i="59"/>
  <c r="O26" i="50" s="1"/>
  <c r="D27" i="59"/>
  <c r="O25" i="50" s="1"/>
  <c r="D26" i="59"/>
  <c r="O24" i="50" s="1"/>
  <c r="D25" i="59"/>
  <c r="O23" i="50" s="1"/>
  <c r="D24" i="59"/>
  <c r="O22" i="50" s="1"/>
  <c r="D23" i="59"/>
  <c r="O21" i="50" s="1"/>
  <c r="D22" i="59"/>
  <c r="O20" i="50" s="1"/>
  <c r="D21" i="59"/>
  <c r="O19" i="50" s="1"/>
  <c r="D20" i="59"/>
  <c r="O18" i="50" s="1"/>
  <c r="D19" i="59"/>
  <c r="O17" i="50" s="1"/>
  <c r="D18" i="59"/>
  <c r="O16" i="50" s="1"/>
  <c r="D17" i="59"/>
  <c r="O15" i="50" s="1"/>
  <c r="D16" i="59"/>
  <c r="O14" i="50" s="1"/>
  <c r="D15" i="59"/>
  <c r="O13" i="50" s="1"/>
  <c r="D14" i="59"/>
  <c r="O12" i="50" s="1"/>
  <c r="G13" i="59"/>
  <c r="D13" i="59"/>
  <c r="O11" i="50" s="1"/>
  <c r="G12" i="59"/>
  <c r="D12" i="59"/>
  <c r="O10" i="50" s="1"/>
  <c r="G11" i="59"/>
  <c r="D11" i="59"/>
  <c r="O9" i="50" s="1"/>
  <c r="G10" i="59"/>
  <c r="D10" i="59"/>
  <c r="O8" i="50" s="1"/>
  <c r="G9" i="59"/>
  <c r="D9" i="59"/>
  <c r="O7" i="50" s="1"/>
  <c r="D8" i="59"/>
  <c r="O6" i="50" s="1"/>
  <c r="D7" i="59"/>
  <c r="O5" i="50" s="1"/>
  <c r="D6" i="59"/>
  <c r="O4" i="50" s="1"/>
  <c r="D5" i="59"/>
  <c r="R9" i="52"/>
  <c r="S9" i="52" s="1"/>
  <c r="N7" i="52"/>
  <c r="O7" i="52" s="1"/>
  <c r="N8" i="52"/>
  <c r="O8" i="52" s="1"/>
  <c r="N17" i="52"/>
  <c r="O17" i="52" s="1"/>
  <c r="G17" i="51"/>
  <c r="G15" i="22"/>
  <c r="D102" i="58"/>
  <c r="K101" i="50" s="1"/>
  <c r="D101" i="58"/>
  <c r="K100" i="50" s="1"/>
  <c r="D100" i="58"/>
  <c r="K99" i="50" s="1"/>
  <c r="D96" i="58"/>
  <c r="K95" i="50" s="1"/>
  <c r="D95" i="58"/>
  <c r="K94" i="50" s="1"/>
  <c r="D94" i="58"/>
  <c r="K93" i="50" s="1"/>
  <c r="D93" i="58"/>
  <c r="K92" i="50" s="1"/>
  <c r="D92" i="58"/>
  <c r="K91" i="50" s="1"/>
  <c r="D89" i="58"/>
  <c r="K88" i="50" s="1"/>
  <c r="D88" i="58"/>
  <c r="K87" i="50" s="1"/>
  <c r="D87" i="58"/>
  <c r="K86" i="50" s="1"/>
  <c r="D86" i="58"/>
  <c r="K85" i="50" s="1"/>
  <c r="D85" i="58"/>
  <c r="K84" i="50" s="1"/>
  <c r="D84" i="58"/>
  <c r="K83" i="50" s="1"/>
  <c r="D83" i="58"/>
  <c r="K82" i="50" s="1"/>
  <c r="D82" i="58"/>
  <c r="K81" i="50" s="1"/>
  <c r="D81" i="58"/>
  <c r="K80" i="50" s="1"/>
  <c r="D80" i="58"/>
  <c r="K79" i="50" s="1"/>
  <c r="D79" i="58"/>
  <c r="K78" i="50" s="1"/>
  <c r="D78" i="58"/>
  <c r="K77" i="50" s="1"/>
  <c r="D77" i="58"/>
  <c r="K76" i="50" s="1"/>
  <c r="D76" i="58"/>
  <c r="K75" i="50" s="1"/>
  <c r="D75" i="58"/>
  <c r="K74" i="50" s="1"/>
  <c r="D74" i="58"/>
  <c r="K73" i="50" s="1"/>
  <c r="D73" i="58"/>
  <c r="K72" i="50" s="1"/>
  <c r="D72" i="58"/>
  <c r="K71" i="50" s="1"/>
  <c r="D71" i="58"/>
  <c r="K70" i="50" s="1"/>
  <c r="D70" i="58"/>
  <c r="K69" i="50" s="1"/>
  <c r="D69" i="58"/>
  <c r="K68" i="50" s="1"/>
  <c r="D68" i="58"/>
  <c r="K67" i="50" s="1"/>
  <c r="D67" i="58"/>
  <c r="K66" i="50" s="1"/>
  <c r="D66" i="58"/>
  <c r="K65" i="50" s="1"/>
  <c r="D65" i="58"/>
  <c r="K64" i="50" s="1"/>
  <c r="D64" i="58"/>
  <c r="K63" i="50" s="1"/>
  <c r="D63" i="58"/>
  <c r="K62" i="50" s="1"/>
  <c r="D62" i="58"/>
  <c r="K61" i="50" s="1"/>
  <c r="D61" i="58"/>
  <c r="K60" i="50" s="1"/>
  <c r="D60" i="58"/>
  <c r="K59" i="50" s="1"/>
  <c r="D59" i="58"/>
  <c r="K58" i="50" s="1"/>
  <c r="D58" i="58"/>
  <c r="K57" i="50" s="1"/>
  <c r="D57" i="58"/>
  <c r="K56" i="50" s="1"/>
  <c r="D56" i="58"/>
  <c r="K55" i="50" s="1"/>
  <c r="D55" i="58"/>
  <c r="K54" i="50" s="1"/>
  <c r="D54" i="58"/>
  <c r="K53" i="50" s="1"/>
  <c r="D53" i="58"/>
  <c r="K52" i="50" s="1"/>
  <c r="D52" i="58"/>
  <c r="K51" i="50" s="1"/>
  <c r="D99" i="58"/>
  <c r="K98" i="50" s="1"/>
  <c r="D98" i="58"/>
  <c r="K97" i="50" s="1"/>
  <c r="D97" i="58"/>
  <c r="K96" i="50" s="1"/>
  <c r="D51" i="58"/>
  <c r="K50" i="50" s="1"/>
  <c r="D50" i="58"/>
  <c r="K49" i="50" s="1"/>
  <c r="D49" i="58"/>
  <c r="K48" i="50" s="1"/>
  <c r="D48" i="58"/>
  <c r="K47" i="50" s="1"/>
  <c r="D47" i="58"/>
  <c r="K46" i="50" s="1"/>
  <c r="D46" i="58"/>
  <c r="K45" i="50" s="1"/>
  <c r="D45" i="58"/>
  <c r="K44" i="50" s="1"/>
  <c r="D44" i="58"/>
  <c r="K43" i="50" s="1"/>
  <c r="D43" i="58"/>
  <c r="K42" i="50" s="1"/>
  <c r="D42" i="58"/>
  <c r="K41" i="50" s="1"/>
  <c r="D41" i="58"/>
  <c r="K40" i="50" s="1"/>
  <c r="D40" i="58"/>
  <c r="K39" i="50" s="1"/>
  <c r="D39" i="58"/>
  <c r="K38" i="50" s="1"/>
  <c r="D91" i="58"/>
  <c r="K90" i="50" s="1"/>
  <c r="D90" i="58"/>
  <c r="K89" i="50" s="1"/>
  <c r="D38" i="58"/>
  <c r="K37" i="50" s="1"/>
  <c r="D37" i="58"/>
  <c r="K36" i="50" s="1"/>
  <c r="D36" i="58"/>
  <c r="K35" i="50" s="1"/>
  <c r="D35" i="58"/>
  <c r="K34" i="50" s="1"/>
  <c r="D34" i="58"/>
  <c r="K33" i="50" s="1"/>
  <c r="D33" i="58"/>
  <c r="K32" i="50" s="1"/>
  <c r="D32" i="58"/>
  <c r="K31" i="50" s="1"/>
  <c r="D31" i="58"/>
  <c r="K30" i="50" s="1"/>
  <c r="D30" i="58"/>
  <c r="K29" i="50" s="1"/>
  <c r="D29" i="58"/>
  <c r="K28" i="50" s="1"/>
  <c r="D28" i="58"/>
  <c r="K27" i="50" s="1"/>
  <c r="D27" i="58"/>
  <c r="K26" i="50" s="1"/>
  <c r="D26" i="58"/>
  <c r="K25" i="50" s="1"/>
  <c r="D25" i="58"/>
  <c r="K24" i="50" s="1"/>
  <c r="D24" i="58"/>
  <c r="K23" i="50" s="1"/>
  <c r="D23" i="58"/>
  <c r="K22" i="50" s="1"/>
  <c r="D22" i="58"/>
  <c r="K21" i="50" s="1"/>
  <c r="D21" i="58"/>
  <c r="K20" i="50" s="1"/>
  <c r="D20" i="58"/>
  <c r="K19" i="50" s="1"/>
  <c r="D19" i="58"/>
  <c r="K18" i="50" s="1"/>
  <c r="D18" i="58"/>
  <c r="K17" i="50" s="1"/>
  <c r="D17" i="58"/>
  <c r="K16" i="50" s="1"/>
  <c r="D16" i="58"/>
  <c r="K15" i="50" s="1"/>
  <c r="D15" i="58"/>
  <c r="K14" i="50" s="1"/>
  <c r="D14" i="58"/>
  <c r="K13" i="50" s="1"/>
  <c r="G13" i="58"/>
  <c r="D13" i="58"/>
  <c r="K12" i="50" s="1"/>
  <c r="G12" i="58"/>
  <c r="D12" i="58"/>
  <c r="K11" i="50" s="1"/>
  <c r="G11" i="58"/>
  <c r="D11" i="58"/>
  <c r="K10" i="50" s="1"/>
  <c r="G10" i="58"/>
  <c r="D10" i="58"/>
  <c r="K9" i="50" s="1"/>
  <c r="G9" i="58"/>
  <c r="D9" i="58"/>
  <c r="K8" i="50" s="1"/>
  <c r="G8" i="58"/>
  <c r="D8" i="58"/>
  <c r="K7" i="50" s="1"/>
  <c r="D7" i="58"/>
  <c r="K6" i="50" s="1"/>
  <c r="D6" i="58"/>
  <c r="K5" i="50" s="1"/>
  <c r="D5" i="58"/>
  <c r="K4" i="50" s="1"/>
  <c r="D4" i="58"/>
  <c r="G11" i="22"/>
  <c r="N10" i="52"/>
  <c r="O10" i="52" s="1"/>
  <c r="N25" i="52"/>
  <c r="O25" i="52" s="1"/>
  <c r="C102" i="43"/>
  <c r="D3" i="57"/>
  <c r="C3" i="43" s="1"/>
  <c r="D4" i="57"/>
  <c r="D5" i="57"/>
  <c r="C5" i="43" s="1"/>
  <c r="D6" i="57"/>
  <c r="D7" i="57"/>
  <c r="C7" i="43" s="1"/>
  <c r="G7" i="57"/>
  <c r="D8" i="57"/>
  <c r="C8" i="43" s="1"/>
  <c r="G8" i="57"/>
  <c r="D9" i="57"/>
  <c r="C9" i="43" s="1"/>
  <c r="G9" i="57"/>
  <c r="D10" i="57"/>
  <c r="C10" i="43" s="1"/>
  <c r="G10" i="57"/>
  <c r="D11" i="57"/>
  <c r="C11" i="43" s="1"/>
  <c r="G11" i="57"/>
  <c r="D12" i="57"/>
  <c r="C12" i="43" s="1"/>
  <c r="G12" i="57"/>
  <c r="D13" i="57"/>
  <c r="C13" i="43" s="1"/>
  <c r="D14" i="57"/>
  <c r="C14" i="43" s="1"/>
  <c r="D15" i="57"/>
  <c r="C15" i="43" s="1"/>
  <c r="D16" i="57"/>
  <c r="C16" i="43" s="1"/>
  <c r="D17" i="57"/>
  <c r="C17" i="43" s="1"/>
  <c r="D18" i="57"/>
  <c r="C18" i="43" s="1"/>
  <c r="D85" i="57"/>
  <c r="C19" i="43" s="1"/>
  <c r="D19" i="57"/>
  <c r="C20" i="43" s="1"/>
  <c r="D20" i="57"/>
  <c r="C21" i="43" s="1"/>
  <c r="D21" i="57"/>
  <c r="C22" i="43" s="1"/>
  <c r="D22" i="57"/>
  <c r="C23" i="43" s="1"/>
  <c r="D23" i="57"/>
  <c r="C24" i="43" s="1"/>
  <c r="D24" i="57"/>
  <c r="C25" i="43" s="1"/>
  <c r="D25" i="57"/>
  <c r="C26" i="43" s="1"/>
  <c r="D26" i="57"/>
  <c r="C27" i="43" s="1"/>
  <c r="D27" i="57"/>
  <c r="C28" i="43" s="1"/>
  <c r="D28" i="57"/>
  <c r="C29" i="43" s="1"/>
  <c r="D29" i="57"/>
  <c r="C30" i="43" s="1"/>
  <c r="D30" i="57"/>
  <c r="C31" i="43" s="1"/>
  <c r="D31" i="57"/>
  <c r="C32" i="43" s="1"/>
  <c r="D32" i="57"/>
  <c r="C33" i="43" s="1"/>
  <c r="D33" i="57"/>
  <c r="C34" i="43" s="1"/>
  <c r="D34" i="57"/>
  <c r="C35" i="43" s="1"/>
  <c r="D35" i="57"/>
  <c r="C36" i="43" s="1"/>
  <c r="D36" i="57"/>
  <c r="C37" i="43" s="1"/>
  <c r="D37" i="57"/>
  <c r="C38" i="43" s="1"/>
  <c r="D38" i="57"/>
  <c r="C39" i="43" s="1"/>
  <c r="D39" i="57"/>
  <c r="C40" i="43" s="1"/>
  <c r="D40" i="57"/>
  <c r="C41" i="43" s="1"/>
  <c r="D41" i="57"/>
  <c r="C42" i="43" s="1"/>
  <c r="D42" i="57"/>
  <c r="C43" i="43" s="1"/>
  <c r="D43" i="57"/>
  <c r="C44" i="43" s="1"/>
  <c r="D44" i="57"/>
  <c r="C45" i="43" s="1"/>
  <c r="D45" i="57"/>
  <c r="C46" i="43" s="1"/>
  <c r="D46" i="57"/>
  <c r="C47" i="43" s="1"/>
  <c r="D47" i="57"/>
  <c r="C48" i="43" s="1"/>
  <c r="D48" i="57"/>
  <c r="C49" i="43" s="1"/>
  <c r="D49" i="57"/>
  <c r="C50" i="43" s="1"/>
  <c r="D50" i="57"/>
  <c r="C51" i="43" s="1"/>
  <c r="D51" i="57"/>
  <c r="C52" i="43" s="1"/>
  <c r="D52" i="57"/>
  <c r="C53" i="43" s="1"/>
  <c r="D53" i="57"/>
  <c r="C54" i="43" s="1"/>
  <c r="D54" i="57"/>
  <c r="C55" i="43" s="1"/>
  <c r="D55" i="57"/>
  <c r="C56" i="43" s="1"/>
  <c r="D56" i="57"/>
  <c r="C57" i="43" s="1"/>
  <c r="D57" i="57"/>
  <c r="C58" i="43" s="1"/>
  <c r="D58" i="57"/>
  <c r="C59" i="43" s="1"/>
  <c r="D59" i="57"/>
  <c r="C60" i="43" s="1"/>
  <c r="D60" i="57"/>
  <c r="C61" i="43" s="1"/>
  <c r="D61" i="57"/>
  <c r="C62" i="43" s="1"/>
  <c r="D62" i="57"/>
  <c r="C63" i="43" s="1"/>
  <c r="D63" i="57"/>
  <c r="C64" i="43" s="1"/>
  <c r="D64" i="57"/>
  <c r="C65" i="43" s="1"/>
  <c r="D65" i="57"/>
  <c r="C66" i="43" s="1"/>
  <c r="D66" i="57"/>
  <c r="C67" i="43" s="1"/>
  <c r="D67" i="57"/>
  <c r="C68" i="43" s="1"/>
  <c r="D68" i="57"/>
  <c r="C69" i="43" s="1"/>
  <c r="D69" i="57"/>
  <c r="C70" i="43" s="1"/>
  <c r="D70" i="57"/>
  <c r="C71" i="43" s="1"/>
  <c r="D71" i="57"/>
  <c r="C72" i="43" s="1"/>
  <c r="D72" i="57"/>
  <c r="C73" i="43" s="1"/>
  <c r="D73" i="57"/>
  <c r="C74" i="43" s="1"/>
  <c r="D74" i="57"/>
  <c r="C75" i="43" s="1"/>
  <c r="D75" i="57"/>
  <c r="C76" i="43" s="1"/>
  <c r="D76" i="57"/>
  <c r="C77" i="43" s="1"/>
  <c r="D77" i="57"/>
  <c r="C78" i="43" s="1"/>
  <c r="D78" i="57"/>
  <c r="C79" i="43" s="1"/>
  <c r="D79" i="57"/>
  <c r="C80" i="43" s="1"/>
  <c r="D80" i="57"/>
  <c r="C81" i="43" s="1"/>
  <c r="D81" i="57"/>
  <c r="C82" i="43" s="1"/>
  <c r="D82" i="57"/>
  <c r="C83" i="43" s="1"/>
  <c r="D83" i="57"/>
  <c r="C84" i="43" s="1"/>
  <c r="D84" i="57"/>
  <c r="C85" i="43" s="1"/>
  <c r="D86" i="57"/>
  <c r="C86" i="43" s="1"/>
  <c r="D87" i="57"/>
  <c r="C87" i="43" s="1"/>
  <c r="D88" i="57"/>
  <c r="C88" i="43" s="1"/>
  <c r="D89" i="57"/>
  <c r="C89" i="43" s="1"/>
  <c r="D90" i="57"/>
  <c r="C90" i="43" s="1"/>
  <c r="D91" i="57"/>
  <c r="C91" i="43" s="1"/>
  <c r="D92" i="57"/>
  <c r="C92" i="43" s="1"/>
  <c r="D93" i="57"/>
  <c r="C93" i="43" s="1"/>
  <c r="D94" i="57"/>
  <c r="C94" i="43" s="1"/>
  <c r="D95" i="57"/>
  <c r="C95" i="43" s="1"/>
  <c r="D96" i="57"/>
  <c r="C96" i="43" s="1"/>
  <c r="D97" i="57"/>
  <c r="C97" i="43" s="1"/>
  <c r="D98" i="57"/>
  <c r="C98" i="43" s="1"/>
  <c r="D99" i="57"/>
  <c r="C99" i="43" s="1"/>
  <c r="D100" i="57"/>
  <c r="C100" i="43" s="1"/>
  <c r="D101" i="57"/>
  <c r="C101" i="43" s="1"/>
  <c r="N3" i="50" l="1" a="1"/>
  <c r="N3" i="50" s="1"/>
  <c r="G5" i="59"/>
  <c r="M4" i="50" s="1"/>
  <c r="G6" i="59"/>
  <c r="G4" i="57"/>
  <c r="G3" i="57"/>
  <c r="A4" i="43" s="1"/>
  <c r="G4" i="58"/>
  <c r="I4" i="50" s="1"/>
  <c r="G5" i="58"/>
  <c r="C6" i="43"/>
  <c r="D53" i="49"/>
  <c r="W52" i="43" s="1"/>
  <c r="D4" i="49" l="1"/>
  <c r="D5" i="49"/>
  <c r="W5" i="43" s="1"/>
  <c r="D6" i="49"/>
  <c r="W6" i="43" s="1"/>
  <c r="D7" i="49"/>
  <c r="W7" i="43" s="1"/>
  <c r="D8" i="49"/>
  <c r="W8" i="43" s="1"/>
  <c r="D9" i="49"/>
  <c r="W9" i="43" s="1"/>
  <c r="D10" i="49"/>
  <c r="W10" i="43" s="1"/>
  <c r="D11" i="49"/>
  <c r="W11" i="43" s="1"/>
  <c r="D12" i="49"/>
  <c r="W12" i="43" s="1"/>
  <c r="D13" i="49"/>
  <c r="W13" i="43" s="1"/>
  <c r="D14" i="49"/>
  <c r="W14" i="43" s="1"/>
  <c r="D15" i="49"/>
  <c r="W15" i="43" s="1"/>
  <c r="D16" i="49"/>
  <c r="W16" i="43" s="1"/>
  <c r="D17" i="49"/>
  <c r="W17" i="43" s="1"/>
  <c r="D18" i="49"/>
  <c r="W18" i="43" s="1"/>
  <c r="D19" i="49"/>
  <c r="W19" i="43" s="1"/>
  <c r="D20" i="49"/>
  <c r="W20" i="43" s="1"/>
  <c r="D21" i="49"/>
  <c r="W21" i="43" s="1"/>
  <c r="D22" i="49"/>
  <c r="W22" i="43" s="1"/>
  <c r="D23" i="49"/>
  <c r="W23" i="43" s="1"/>
  <c r="D24" i="49"/>
  <c r="W24" i="43" s="1"/>
  <c r="D25" i="49"/>
  <c r="W25" i="43" s="1"/>
  <c r="D26" i="49"/>
  <c r="W26" i="43" s="1"/>
  <c r="D27" i="49"/>
  <c r="W27" i="43" s="1"/>
  <c r="D28" i="49"/>
  <c r="W28" i="43" s="1"/>
  <c r="D29" i="49"/>
  <c r="W29" i="43" s="1"/>
  <c r="D30" i="49"/>
  <c r="W30" i="43" s="1"/>
  <c r="D31" i="49"/>
  <c r="W31" i="43" s="1"/>
  <c r="D33" i="49"/>
  <c r="W32" i="43" s="1"/>
  <c r="D34" i="49"/>
  <c r="W33" i="43" s="1"/>
  <c r="D35" i="49"/>
  <c r="W34" i="43" s="1"/>
  <c r="D36" i="49"/>
  <c r="W35" i="43" s="1"/>
  <c r="D37" i="49"/>
  <c r="W36" i="43" s="1"/>
  <c r="D38" i="49"/>
  <c r="W37" i="43" s="1"/>
  <c r="D39" i="49"/>
  <c r="W38" i="43" s="1"/>
  <c r="D40" i="49"/>
  <c r="W39" i="43" s="1"/>
  <c r="D41" i="49"/>
  <c r="W40" i="43" s="1"/>
  <c r="D42" i="49"/>
  <c r="W41" i="43" s="1"/>
  <c r="D43" i="49"/>
  <c r="W42" i="43" s="1"/>
  <c r="D44" i="49"/>
  <c r="W43" i="43" s="1"/>
  <c r="D45" i="49"/>
  <c r="W44" i="43" s="1"/>
  <c r="D46" i="49"/>
  <c r="W45" i="43" s="1"/>
  <c r="D47" i="49"/>
  <c r="W46" i="43" s="1"/>
  <c r="D48" i="49"/>
  <c r="W47" i="43" s="1"/>
  <c r="D49" i="49"/>
  <c r="W48" i="43" s="1"/>
  <c r="D50" i="49"/>
  <c r="W49" i="43" s="1"/>
  <c r="D51" i="49"/>
  <c r="W50" i="43" s="1"/>
  <c r="D52" i="49"/>
  <c r="W51" i="43" s="1"/>
  <c r="D90" i="49"/>
  <c r="W53" i="43" s="1"/>
  <c r="D54" i="49"/>
  <c r="W54" i="43" s="1"/>
  <c r="D55" i="49"/>
  <c r="W55" i="43" s="1"/>
  <c r="D56" i="49"/>
  <c r="W56" i="43" s="1"/>
  <c r="D57" i="49"/>
  <c r="W57" i="43" s="1"/>
  <c r="D58" i="49"/>
  <c r="W58" i="43" s="1"/>
  <c r="D59" i="49"/>
  <c r="W59" i="43" s="1"/>
  <c r="D60" i="49"/>
  <c r="W60" i="43" s="1"/>
  <c r="D61" i="49"/>
  <c r="W61" i="43" s="1"/>
  <c r="D62" i="49"/>
  <c r="W62" i="43" s="1"/>
  <c r="D63" i="49"/>
  <c r="W63" i="43" s="1"/>
  <c r="D65" i="49"/>
  <c r="W64" i="43" s="1"/>
  <c r="D66" i="49"/>
  <c r="W65" i="43" s="1"/>
  <c r="D67" i="49"/>
  <c r="W66" i="43" s="1"/>
  <c r="D68" i="49"/>
  <c r="W67" i="43" s="1"/>
  <c r="D69" i="49"/>
  <c r="W68" i="43" s="1"/>
  <c r="D32" i="49"/>
  <c r="W69" i="43" s="1"/>
  <c r="D70" i="49"/>
  <c r="W70" i="43" s="1"/>
  <c r="D71" i="49"/>
  <c r="W71" i="43" s="1"/>
  <c r="D72" i="49"/>
  <c r="W72" i="43" s="1"/>
  <c r="D73" i="49"/>
  <c r="W73" i="43" s="1"/>
  <c r="D74" i="49"/>
  <c r="W74" i="43" s="1"/>
  <c r="D75" i="49"/>
  <c r="W75" i="43" s="1"/>
  <c r="D76" i="49"/>
  <c r="W76" i="43" s="1"/>
  <c r="D77" i="49"/>
  <c r="W77" i="43" s="1"/>
  <c r="D78" i="49"/>
  <c r="W78" i="43" s="1"/>
  <c r="D79" i="49"/>
  <c r="W79" i="43" s="1"/>
  <c r="D80" i="49"/>
  <c r="W80" i="43" s="1"/>
  <c r="D81" i="49"/>
  <c r="W81" i="43" s="1"/>
  <c r="D82" i="49"/>
  <c r="W82" i="43" s="1"/>
  <c r="D83" i="49"/>
  <c r="W83" i="43" s="1"/>
  <c r="D64" i="49"/>
  <c r="W84" i="43" s="1"/>
  <c r="D84" i="49"/>
  <c r="W85" i="43" s="1"/>
  <c r="D85" i="49"/>
  <c r="W86" i="43" s="1"/>
  <c r="D86" i="49"/>
  <c r="W87" i="43" s="1"/>
  <c r="D87" i="49"/>
  <c r="W88" i="43" s="1"/>
  <c r="D88" i="49"/>
  <c r="W89" i="43" s="1"/>
  <c r="D89" i="49"/>
  <c r="W90" i="43" s="1"/>
  <c r="D91" i="49"/>
  <c r="W91" i="43" s="1"/>
  <c r="D92" i="49"/>
  <c r="W92" i="43" s="1"/>
  <c r="D93" i="49"/>
  <c r="W93" i="43" s="1"/>
  <c r="D94" i="49"/>
  <c r="W94" i="43" s="1"/>
  <c r="D95" i="49"/>
  <c r="W95" i="43" s="1"/>
  <c r="D96" i="49"/>
  <c r="W96" i="43" s="1"/>
  <c r="D97" i="49"/>
  <c r="W97" i="43" s="1"/>
  <c r="D98" i="49"/>
  <c r="W98" i="43" s="1"/>
  <c r="D99" i="49"/>
  <c r="W99" i="43" s="1"/>
  <c r="D100" i="49"/>
  <c r="W100" i="43" s="1"/>
  <c r="D101" i="49"/>
  <c r="W101" i="43" s="1"/>
  <c r="G16" i="46"/>
  <c r="D102" i="53"/>
  <c r="G101" i="50" s="1"/>
  <c r="D101" i="53"/>
  <c r="G100" i="50" s="1"/>
  <c r="D100" i="53"/>
  <c r="G99" i="50" s="1"/>
  <c r="D45" i="53"/>
  <c r="G98" i="50" s="1"/>
  <c r="D99" i="53"/>
  <c r="G97" i="50" s="1"/>
  <c r="D98" i="53"/>
  <c r="G96" i="50" s="1"/>
  <c r="D97" i="53"/>
  <c r="G95" i="50" s="1"/>
  <c r="D96" i="53"/>
  <c r="G94" i="50" s="1"/>
  <c r="D95" i="53"/>
  <c r="G93" i="50" s="1"/>
  <c r="D94" i="53"/>
  <c r="G92" i="50" s="1"/>
  <c r="D93" i="53"/>
  <c r="G91" i="50" s="1"/>
  <c r="D92" i="53"/>
  <c r="G90" i="50" s="1"/>
  <c r="D91" i="53"/>
  <c r="G89" i="50" s="1"/>
  <c r="D90" i="53"/>
  <c r="G88" i="50" s="1"/>
  <c r="D89" i="53"/>
  <c r="G87" i="50" s="1"/>
  <c r="D88" i="53"/>
  <c r="G86" i="50" s="1"/>
  <c r="D87" i="53"/>
  <c r="G85" i="50" s="1"/>
  <c r="D58" i="53"/>
  <c r="G84" i="50" s="1"/>
  <c r="D57" i="53"/>
  <c r="G83" i="50" s="1"/>
  <c r="D56" i="53"/>
  <c r="G82" i="50" s="1"/>
  <c r="D55" i="53"/>
  <c r="G81" i="50" s="1"/>
  <c r="D73" i="53"/>
  <c r="G80" i="50" s="1"/>
  <c r="D72" i="53"/>
  <c r="G79" i="50" s="1"/>
  <c r="D71" i="53"/>
  <c r="G78" i="50" s="1"/>
  <c r="D70" i="53"/>
  <c r="G77" i="50" s="1"/>
  <c r="D86" i="53"/>
  <c r="G76" i="50" s="1"/>
  <c r="D85" i="53"/>
  <c r="G75" i="50" s="1"/>
  <c r="D84" i="53"/>
  <c r="G74" i="50" s="1"/>
  <c r="D83" i="53"/>
  <c r="G73" i="50" s="1"/>
  <c r="D82" i="53"/>
  <c r="G72" i="50" s="1"/>
  <c r="D81" i="53"/>
  <c r="G71" i="50" s="1"/>
  <c r="D80" i="53"/>
  <c r="G70" i="50" s="1"/>
  <c r="D79" i="53"/>
  <c r="G69" i="50" s="1"/>
  <c r="D78" i="53"/>
  <c r="G68" i="50" s="1"/>
  <c r="D77" i="53"/>
  <c r="G67" i="50" s="1"/>
  <c r="D76" i="53"/>
  <c r="G66" i="50" s="1"/>
  <c r="D75" i="53"/>
  <c r="G65" i="50" s="1"/>
  <c r="D74" i="53"/>
  <c r="G64" i="50" s="1"/>
  <c r="D69" i="53"/>
  <c r="G63" i="50" s="1"/>
  <c r="D68" i="53"/>
  <c r="G62" i="50" s="1"/>
  <c r="D67" i="53"/>
  <c r="G61" i="50" s="1"/>
  <c r="D66" i="53"/>
  <c r="G60" i="50" s="1"/>
  <c r="D65" i="53"/>
  <c r="G59" i="50" s="1"/>
  <c r="D64" i="53"/>
  <c r="G58" i="50" s="1"/>
  <c r="D63" i="53"/>
  <c r="G57" i="50" s="1"/>
  <c r="D62" i="53"/>
  <c r="G56" i="50" s="1"/>
  <c r="D61" i="53"/>
  <c r="G55" i="50" s="1"/>
  <c r="D60" i="53"/>
  <c r="G54" i="50" s="1"/>
  <c r="D59" i="53"/>
  <c r="G53" i="50" s="1"/>
  <c r="D54" i="53"/>
  <c r="G52" i="50" s="1"/>
  <c r="D53" i="53"/>
  <c r="G51" i="50" s="1"/>
  <c r="D52" i="53"/>
  <c r="G50" i="50" s="1"/>
  <c r="D51" i="53"/>
  <c r="G49" i="50" s="1"/>
  <c r="D50" i="53"/>
  <c r="G48" i="50" s="1"/>
  <c r="D49" i="53"/>
  <c r="G47" i="50" s="1"/>
  <c r="D48" i="53"/>
  <c r="G46" i="50" s="1"/>
  <c r="D47" i="53"/>
  <c r="G45" i="50" s="1"/>
  <c r="D46" i="53"/>
  <c r="G44" i="50" s="1"/>
  <c r="D44" i="53"/>
  <c r="G43" i="50" s="1"/>
  <c r="D43" i="53"/>
  <c r="G42" i="50" s="1"/>
  <c r="D42" i="53"/>
  <c r="G41" i="50" s="1"/>
  <c r="D41" i="53"/>
  <c r="G40" i="50" s="1"/>
  <c r="D40" i="53"/>
  <c r="G39" i="50" s="1"/>
  <c r="D39" i="53"/>
  <c r="G38" i="50" s="1"/>
  <c r="D38" i="53"/>
  <c r="G37" i="50" s="1"/>
  <c r="D37" i="53"/>
  <c r="G36" i="50" s="1"/>
  <c r="D36" i="53"/>
  <c r="G35" i="50" s="1"/>
  <c r="D35" i="53"/>
  <c r="G34" i="50" s="1"/>
  <c r="D34" i="53"/>
  <c r="G33" i="50" s="1"/>
  <c r="D33" i="53"/>
  <c r="G32" i="50" s="1"/>
  <c r="D32" i="53"/>
  <c r="G31" i="50" s="1"/>
  <c r="D31" i="53"/>
  <c r="G30" i="50" s="1"/>
  <c r="D30" i="53"/>
  <c r="G29" i="50" s="1"/>
  <c r="D29" i="53"/>
  <c r="G28" i="50" s="1"/>
  <c r="D28" i="53"/>
  <c r="G27" i="50" s="1"/>
  <c r="D27" i="53"/>
  <c r="G26" i="50" s="1"/>
  <c r="D26" i="53"/>
  <c r="G25" i="50" s="1"/>
  <c r="D25" i="53"/>
  <c r="G24" i="50" s="1"/>
  <c r="D24" i="53"/>
  <c r="G23" i="50" s="1"/>
  <c r="D23" i="53"/>
  <c r="G22" i="50" s="1"/>
  <c r="D22" i="53"/>
  <c r="G21" i="50" s="1"/>
  <c r="D21" i="53"/>
  <c r="G20" i="50" s="1"/>
  <c r="D20" i="53"/>
  <c r="G19" i="50" s="1"/>
  <c r="D19" i="53"/>
  <c r="G18" i="50" s="1"/>
  <c r="D18" i="53"/>
  <c r="G17" i="50" s="1"/>
  <c r="D17" i="53"/>
  <c r="G16" i="50" s="1"/>
  <c r="D16" i="53"/>
  <c r="G15" i="50" s="1"/>
  <c r="D15" i="53"/>
  <c r="G14" i="50" s="1"/>
  <c r="G14" i="53"/>
  <c r="D14" i="53"/>
  <c r="G13" i="50" s="1"/>
  <c r="G13" i="53"/>
  <c r="D13" i="53"/>
  <c r="G12" i="50" s="1"/>
  <c r="G12" i="53"/>
  <c r="D12" i="53"/>
  <c r="G11" i="50" s="1"/>
  <c r="G11" i="53"/>
  <c r="D11" i="53"/>
  <c r="G10" i="50" s="1"/>
  <c r="G10" i="53"/>
  <c r="D10" i="53"/>
  <c r="G9" i="50" s="1"/>
  <c r="G9" i="53"/>
  <c r="D9" i="53"/>
  <c r="G8" i="50" s="1"/>
  <c r="G8" i="53"/>
  <c r="D8" i="53"/>
  <c r="G7" i="50" s="1"/>
  <c r="D7" i="53"/>
  <c r="G6" i="50" s="1"/>
  <c r="D6" i="53"/>
  <c r="G5" i="50" s="1"/>
  <c r="D5" i="53"/>
  <c r="G4" i="50" s="1"/>
  <c r="D4" i="53"/>
  <c r="N18" i="52"/>
  <c r="O18" i="52" s="1"/>
  <c r="N15" i="52"/>
  <c r="O15" i="52" s="1"/>
  <c r="N22" i="52"/>
  <c r="O22" i="52" s="1"/>
  <c r="N21" i="52"/>
  <c r="O21" i="52" s="1"/>
  <c r="N13" i="52"/>
  <c r="O13" i="52" s="1"/>
  <c r="N3" i="52"/>
  <c r="O3" i="52" s="1"/>
  <c r="N23" i="52"/>
  <c r="O23" i="52" s="1"/>
  <c r="N24" i="52"/>
  <c r="O24" i="52" s="1"/>
  <c r="N9" i="52"/>
  <c r="O9" i="52" s="1"/>
  <c r="N5" i="52"/>
  <c r="O5" i="52" s="1"/>
  <c r="N20" i="52"/>
  <c r="O20" i="52" s="1"/>
  <c r="N2" i="52"/>
  <c r="O2" i="52" s="1"/>
  <c r="N26" i="52"/>
  <c r="O26" i="52" s="1"/>
  <c r="N16" i="52"/>
  <c r="O16" i="52" s="1"/>
  <c r="N4" i="52"/>
  <c r="O4" i="52" s="1"/>
  <c r="N11" i="52"/>
  <c r="O11" i="52" s="1"/>
  <c r="N19" i="52"/>
  <c r="O19" i="52" s="1"/>
  <c r="N14" i="52"/>
  <c r="O14" i="52" s="1"/>
  <c r="N12" i="52"/>
  <c r="O12" i="52" s="1"/>
  <c r="N6" i="52"/>
  <c r="O6" i="52" s="1"/>
  <c r="R3" i="52"/>
  <c r="S3" i="52" s="1"/>
  <c r="R4" i="52"/>
  <c r="S4" i="52" s="1"/>
  <c r="R5" i="52"/>
  <c r="S5" i="52" s="1"/>
  <c r="R6" i="52"/>
  <c r="S6" i="52" s="1"/>
  <c r="R7" i="52"/>
  <c r="S7" i="52" s="1"/>
  <c r="R8" i="52"/>
  <c r="S8" i="52" s="1"/>
  <c r="R2" i="52"/>
  <c r="S2" i="52" s="1"/>
  <c r="D61" i="51"/>
  <c r="C61" i="50" s="1"/>
  <c r="D87" i="51"/>
  <c r="C87" i="50" s="1"/>
  <c r="D88" i="51"/>
  <c r="C88" i="50" s="1"/>
  <c r="G16" i="51"/>
  <c r="D90" i="51"/>
  <c r="C90" i="50" s="1"/>
  <c r="D94" i="51"/>
  <c r="C94" i="50" s="1"/>
  <c r="D95" i="51"/>
  <c r="C95" i="50" s="1"/>
  <c r="D96" i="51"/>
  <c r="C96" i="50" s="1"/>
  <c r="D97" i="51"/>
  <c r="C97" i="50" s="1"/>
  <c r="C102" i="50"/>
  <c r="D101" i="51"/>
  <c r="C101" i="50" s="1"/>
  <c r="D100" i="51"/>
  <c r="C100" i="50" s="1"/>
  <c r="D99" i="51"/>
  <c r="C99" i="50" s="1"/>
  <c r="D98" i="51"/>
  <c r="C98" i="50" s="1"/>
  <c r="D93" i="51"/>
  <c r="C93" i="50" s="1"/>
  <c r="D92" i="51"/>
  <c r="C92" i="50" s="1"/>
  <c r="D91" i="51"/>
  <c r="C91" i="50" s="1"/>
  <c r="D89" i="51"/>
  <c r="C89" i="50" s="1"/>
  <c r="D86" i="51"/>
  <c r="C86" i="50" s="1"/>
  <c r="D85" i="51"/>
  <c r="C85" i="50" s="1"/>
  <c r="D84" i="51"/>
  <c r="C84" i="50" s="1"/>
  <c r="D83" i="51"/>
  <c r="C83" i="50" s="1"/>
  <c r="D82" i="51"/>
  <c r="C82" i="50" s="1"/>
  <c r="D58" i="51"/>
  <c r="C81" i="50" s="1"/>
  <c r="D81" i="51"/>
  <c r="C80" i="50" s="1"/>
  <c r="D79" i="51"/>
  <c r="C79" i="50" s="1"/>
  <c r="D78" i="51"/>
  <c r="C78" i="50" s="1"/>
  <c r="D77" i="51"/>
  <c r="C77" i="50" s="1"/>
  <c r="D76" i="51"/>
  <c r="C76" i="50" s="1"/>
  <c r="D75" i="51"/>
  <c r="C75" i="50" s="1"/>
  <c r="D74" i="51"/>
  <c r="C74" i="50" s="1"/>
  <c r="D73" i="51"/>
  <c r="C73" i="50" s="1"/>
  <c r="D72" i="51"/>
  <c r="C72" i="50" s="1"/>
  <c r="D71" i="51"/>
  <c r="C71" i="50" s="1"/>
  <c r="D70" i="51"/>
  <c r="C70" i="50" s="1"/>
  <c r="D69" i="51"/>
  <c r="C69" i="50" s="1"/>
  <c r="D68" i="51"/>
  <c r="C68" i="50" s="1"/>
  <c r="D67" i="51"/>
  <c r="C67" i="50" s="1"/>
  <c r="D66" i="51"/>
  <c r="C66" i="50" s="1"/>
  <c r="D65" i="51"/>
  <c r="C65" i="50" s="1"/>
  <c r="D64" i="51"/>
  <c r="C64" i="50" s="1"/>
  <c r="D63" i="51"/>
  <c r="C63" i="50" s="1"/>
  <c r="D62" i="51"/>
  <c r="C62" i="50" s="1"/>
  <c r="D59" i="51"/>
  <c r="C60" i="50" s="1"/>
  <c r="D60" i="51"/>
  <c r="C59" i="50" s="1"/>
  <c r="D57" i="51"/>
  <c r="C58" i="50" s="1"/>
  <c r="D56" i="51"/>
  <c r="C57" i="50" s="1"/>
  <c r="D55" i="51"/>
  <c r="C56" i="50" s="1"/>
  <c r="D54" i="51"/>
  <c r="C55" i="50" s="1"/>
  <c r="D53" i="51"/>
  <c r="C54" i="50" s="1"/>
  <c r="D52" i="51"/>
  <c r="C53" i="50" s="1"/>
  <c r="D51" i="51"/>
  <c r="C52" i="50" s="1"/>
  <c r="D50" i="51"/>
  <c r="C51" i="50" s="1"/>
  <c r="D49" i="51"/>
  <c r="C50" i="50" s="1"/>
  <c r="D48" i="51"/>
  <c r="C49" i="50" s="1"/>
  <c r="D47" i="51"/>
  <c r="C48" i="50" s="1"/>
  <c r="D80" i="51"/>
  <c r="C47" i="50" s="1"/>
  <c r="D46" i="51"/>
  <c r="C46" i="50" s="1"/>
  <c r="D45" i="51"/>
  <c r="C45" i="50" s="1"/>
  <c r="D44" i="51"/>
  <c r="C44" i="50" s="1"/>
  <c r="D43" i="51"/>
  <c r="C43" i="50" s="1"/>
  <c r="D42" i="51"/>
  <c r="C42" i="50" s="1"/>
  <c r="D41" i="51"/>
  <c r="C41" i="50" s="1"/>
  <c r="D40" i="51"/>
  <c r="C40" i="50" s="1"/>
  <c r="D39" i="51"/>
  <c r="C39" i="50" s="1"/>
  <c r="D38" i="51"/>
  <c r="C38" i="50" s="1"/>
  <c r="D37" i="51"/>
  <c r="C37" i="50" s="1"/>
  <c r="D36" i="51"/>
  <c r="C36" i="50" s="1"/>
  <c r="D35" i="51"/>
  <c r="C35" i="50" s="1"/>
  <c r="D34" i="51"/>
  <c r="C34" i="50" s="1"/>
  <c r="D33" i="51"/>
  <c r="C33" i="50" s="1"/>
  <c r="D32" i="51"/>
  <c r="C32" i="50" s="1"/>
  <c r="D31" i="51"/>
  <c r="C31" i="50" s="1"/>
  <c r="D30" i="51"/>
  <c r="C30" i="50" s="1"/>
  <c r="D29" i="51"/>
  <c r="C29" i="50" s="1"/>
  <c r="D28" i="51"/>
  <c r="C28" i="50" s="1"/>
  <c r="D27" i="51"/>
  <c r="C27" i="50" s="1"/>
  <c r="D26" i="51"/>
  <c r="C26" i="50" s="1"/>
  <c r="D25" i="51"/>
  <c r="C25" i="50" s="1"/>
  <c r="D24" i="51"/>
  <c r="C24" i="50" s="1"/>
  <c r="D23" i="51"/>
  <c r="C23" i="50" s="1"/>
  <c r="D22" i="51"/>
  <c r="C22" i="50" s="1"/>
  <c r="D21" i="51"/>
  <c r="C21" i="50" s="1"/>
  <c r="D20" i="51"/>
  <c r="C20" i="50" s="1"/>
  <c r="D19" i="51"/>
  <c r="C19" i="50" s="1"/>
  <c r="D18" i="51"/>
  <c r="C18" i="50" s="1"/>
  <c r="D17" i="51"/>
  <c r="C17" i="50" s="1"/>
  <c r="D16" i="51"/>
  <c r="C16" i="50" s="1"/>
  <c r="G15" i="51"/>
  <c r="D15" i="51"/>
  <c r="C15" i="50" s="1"/>
  <c r="G14" i="51"/>
  <c r="D14" i="51"/>
  <c r="C14" i="50" s="1"/>
  <c r="G13" i="51"/>
  <c r="D13" i="51"/>
  <c r="C13" i="50" s="1"/>
  <c r="G12" i="51"/>
  <c r="D12" i="51"/>
  <c r="C12" i="50" s="1"/>
  <c r="G11" i="51"/>
  <c r="D11" i="51"/>
  <c r="C11" i="50" s="1"/>
  <c r="G10" i="51"/>
  <c r="D10" i="51"/>
  <c r="C10" i="50" s="1"/>
  <c r="G9" i="51"/>
  <c r="D9" i="51"/>
  <c r="C9" i="50" s="1"/>
  <c r="G8" i="51"/>
  <c r="D8" i="51"/>
  <c r="C8" i="50" s="1"/>
  <c r="G7" i="51"/>
  <c r="D7" i="51"/>
  <c r="C7" i="50" s="1"/>
  <c r="D6" i="51"/>
  <c r="C6" i="50" s="1"/>
  <c r="D5" i="51"/>
  <c r="C5" i="50" s="1"/>
  <c r="D4" i="51"/>
  <c r="D3" i="51"/>
  <c r="C3" i="50" s="1"/>
  <c r="C103" i="50"/>
  <c r="O102" i="43"/>
  <c r="O103" i="43"/>
  <c r="O104" i="43"/>
  <c r="O105" i="43"/>
  <c r="O106" i="43"/>
  <c r="O107" i="43"/>
  <c r="O108" i="43"/>
  <c r="O109" i="43"/>
  <c r="O110" i="43"/>
  <c r="O111" i="43"/>
  <c r="O112" i="43"/>
  <c r="O113" i="43"/>
  <c r="O114" i="43"/>
  <c r="O115" i="43"/>
  <c r="O116" i="43"/>
  <c r="O117" i="43"/>
  <c r="O118" i="43"/>
  <c r="O119" i="43"/>
  <c r="O120" i="43"/>
  <c r="O121" i="43"/>
  <c r="O122" i="43"/>
  <c r="O123" i="43"/>
  <c r="O124" i="43"/>
  <c r="O125" i="43"/>
  <c r="O126" i="43"/>
  <c r="O127" i="43"/>
  <c r="O128" i="43"/>
  <c r="O129" i="43"/>
  <c r="O130" i="43"/>
  <c r="O131" i="43"/>
  <c r="O132" i="43"/>
  <c r="O133" i="43"/>
  <c r="O134" i="43"/>
  <c r="O135" i="43"/>
  <c r="O136" i="43"/>
  <c r="O137" i="43"/>
  <c r="O138" i="43"/>
  <c r="O139" i="43"/>
  <c r="O140" i="43"/>
  <c r="O141" i="43"/>
  <c r="O142" i="43"/>
  <c r="O143" i="43"/>
  <c r="O144" i="43"/>
  <c r="O145" i="43"/>
  <c r="O146" i="43"/>
  <c r="O147" i="43"/>
  <c r="O148" i="43"/>
  <c r="O149" i="43"/>
  <c r="O150" i="43"/>
  <c r="O151" i="43"/>
  <c r="O152" i="43"/>
  <c r="O153" i="43"/>
  <c r="O154" i="43"/>
  <c r="O155" i="43"/>
  <c r="O156" i="43"/>
  <c r="O157" i="43"/>
  <c r="O158" i="43"/>
  <c r="O159" i="43"/>
  <c r="O160" i="43"/>
  <c r="O161" i="43"/>
  <c r="O162" i="43"/>
  <c r="O163" i="43"/>
  <c r="O164" i="43"/>
  <c r="O165" i="43"/>
  <c r="O166" i="43"/>
  <c r="O167" i="43"/>
  <c r="O168" i="43"/>
  <c r="O169" i="43"/>
  <c r="O170" i="43"/>
  <c r="O171" i="43"/>
  <c r="O172" i="43"/>
  <c r="O173" i="43"/>
  <c r="O174" i="43"/>
  <c r="O175" i="43"/>
  <c r="O176" i="43"/>
  <c r="O177" i="43"/>
  <c r="O178" i="43"/>
  <c r="O179" i="43"/>
  <c r="D4" i="46"/>
  <c r="D5" i="46"/>
  <c r="O5" i="43" s="1"/>
  <c r="D6" i="46"/>
  <c r="O6" i="43" s="1"/>
  <c r="D7" i="46"/>
  <c r="O7" i="43" s="1"/>
  <c r="D8" i="46"/>
  <c r="O8" i="43" s="1"/>
  <c r="D9" i="46"/>
  <c r="O9" i="43" s="1"/>
  <c r="D10" i="46"/>
  <c r="O10" i="43" s="1"/>
  <c r="D11" i="46"/>
  <c r="O11" i="43" s="1"/>
  <c r="D12" i="46"/>
  <c r="O12" i="43" s="1"/>
  <c r="D13" i="46"/>
  <c r="O13" i="43" s="1"/>
  <c r="D14" i="46"/>
  <c r="O14" i="43" s="1"/>
  <c r="D15" i="46"/>
  <c r="O15" i="43" s="1"/>
  <c r="D16" i="46"/>
  <c r="O16" i="43" s="1"/>
  <c r="D17" i="46"/>
  <c r="O17" i="43" s="1"/>
  <c r="D18" i="46"/>
  <c r="O18" i="43" s="1"/>
  <c r="D19" i="46"/>
  <c r="O19" i="43" s="1"/>
  <c r="D20" i="46"/>
  <c r="O20" i="43" s="1"/>
  <c r="D21" i="46"/>
  <c r="O21" i="43" s="1"/>
  <c r="D22" i="46"/>
  <c r="O22" i="43" s="1"/>
  <c r="D23" i="46"/>
  <c r="O23" i="43" s="1"/>
  <c r="D24" i="46"/>
  <c r="O24" i="43" s="1"/>
  <c r="D25" i="46"/>
  <c r="O25" i="43" s="1"/>
  <c r="D26" i="46"/>
  <c r="O26" i="43" s="1"/>
  <c r="D27" i="46"/>
  <c r="O27" i="43" s="1"/>
  <c r="D28" i="46"/>
  <c r="O28" i="43" s="1"/>
  <c r="D29" i="46"/>
  <c r="O29" i="43" s="1"/>
  <c r="D30" i="46"/>
  <c r="O30" i="43" s="1"/>
  <c r="D31" i="46"/>
  <c r="O31" i="43" s="1"/>
  <c r="D32" i="46"/>
  <c r="O32" i="43" s="1"/>
  <c r="D33" i="46"/>
  <c r="O33" i="43" s="1"/>
  <c r="D34" i="46"/>
  <c r="O34" i="43" s="1"/>
  <c r="D35" i="46"/>
  <c r="O35" i="43" s="1"/>
  <c r="D36" i="46"/>
  <c r="O36" i="43" s="1"/>
  <c r="D37" i="46"/>
  <c r="O37" i="43" s="1"/>
  <c r="D38" i="46"/>
  <c r="O38" i="43" s="1"/>
  <c r="D39" i="46"/>
  <c r="O39" i="43" s="1"/>
  <c r="D40" i="46"/>
  <c r="O40" i="43" s="1"/>
  <c r="D41" i="46"/>
  <c r="O41" i="43" s="1"/>
  <c r="D42" i="46"/>
  <c r="O42" i="43" s="1"/>
  <c r="D43" i="46"/>
  <c r="O43" i="43" s="1"/>
  <c r="D45" i="46"/>
  <c r="O44" i="43" s="1"/>
  <c r="D46" i="46"/>
  <c r="O45" i="43" s="1"/>
  <c r="D47" i="46"/>
  <c r="O46" i="43" s="1"/>
  <c r="D48" i="46"/>
  <c r="O47" i="43" s="1"/>
  <c r="D93" i="46"/>
  <c r="O48" i="43" s="1"/>
  <c r="D49" i="46"/>
  <c r="O49" i="43" s="1"/>
  <c r="D50" i="46"/>
  <c r="O50" i="43" s="1"/>
  <c r="D97" i="46"/>
  <c r="O51" i="43" s="1"/>
  <c r="D51" i="46"/>
  <c r="O52" i="43" s="1"/>
  <c r="D52" i="46"/>
  <c r="O53" i="43" s="1"/>
  <c r="D53" i="46"/>
  <c r="O54" i="43" s="1"/>
  <c r="D54" i="46"/>
  <c r="O55" i="43" s="1"/>
  <c r="D55" i="46"/>
  <c r="O56" i="43" s="1"/>
  <c r="D56" i="46"/>
  <c r="O57" i="43" s="1"/>
  <c r="D57" i="46"/>
  <c r="O58" i="43" s="1"/>
  <c r="D58" i="46"/>
  <c r="O59" i="43" s="1"/>
  <c r="D59" i="46"/>
  <c r="O60" i="43" s="1"/>
  <c r="D60" i="46"/>
  <c r="O61" i="43" s="1"/>
  <c r="D61" i="46"/>
  <c r="O62" i="43" s="1"/>
  <c r="D44" i="46"/>
  <c r="O63" i="43" s="1"/>
  <c r="D62" i="46"/>
  <c r="O64" i="43" s="1"/>
  <c r="D63" i="46"/>
  <c r="O65" i="43" s="1"/>
  <c r="D64" i="46"/>
  <c r="O66" i="43" s="1"/>
  <c r="D65" i="46"/>
  <c r="O67" i="43" s="1"/>
  <c r="D95" i="46"/>
  <c r="O68" i="43" s="1"/>
  <c r="D96" i="46"/>
  <c r="O69" i="43" s="1"/>
  <c r="D66" i="46"/>
  <c r="O70" i="43" s="1"/>
  <c r="D67" i="46"/>
  <c r="O71" i="43" s="1"/>
  <c r="D68" i="46"/>
  <c r="O72" i="43" s="1"/>
  <c r="D69" i="46"/>
  <c r="O73" i="43" s="1"/>
  <c r="D70" i="46"/>
  <c r="O74" i="43" s="1"/>
  <c r="D71" i="46"/>
  <c r="O75" i="43" s="1"/>
  <c r="D72" i="46"/>
  <c r="O76" i="43" s="1"/>
  <c r="D73" i="46"/>
  <c r="O77" i="43" s="1"/>
  <c r="D79" i="46"/>
  <c r="O78" i="43" s="1"/>
  <c r="D74" i="46"/>
  <c r="O79" i="43" s="1"/>
  <c r="D75" i="46"/>
  <c r="O80" i="43" s="1"/>
  <c r="D76" i="46"/>
  <c r="O81" i="43" s="1"/>
  <c r="D77" i="46"/>
  <c r="O82" i="43" s="1"/>
  <c r="D80" i="46"/>
  <c r="O83" i="43" s="1"/>
  <c r="D99" i="46"/>
  <c r="O84" i="43" s="1"/>
  <c r="D78" i="46"/>
  <c r="O85" i="43" s="1"/>
  <c r="D81" i="46"/>
  <c r="O86" i="43" s="1"/>
  <c r="D82" i="46"/>
  <c r="O87" i="43" s="1"/>
  <c r="D83" i="46"/>
  <c r="O88" i="43" s="1"/>
  <c r="D84" i="46"/>
  <c r="O89" i="43" s="1"/>
  <c r="D85" i="46"/>
  <c r="O90" i="43" s="1"/>
  <c r="D86" i="46"/>
  <c r="O91" i="43" s="1"/>
  <c r="D87" i="46"/>
  <c r="O92" i="43" s="1"/>
  <c r="D88" i="46"/>
  <c r="O93" i="43" s="1"/>
  <c r="D94" i="46"/>
  <c r="O94" i="43" s="1"/>
  <c r="D89" i="46"/>
  <c r="O95" i="43" s="1"/>
  <c r="D90" i="46"/>
  <c r="O96" i="43" s="1"/>
  <c r="D91" i="46"/>
  <c r="O97" i="43" s="1"/>
  <c r="D92" i="46"/>
  <c r="O98" i="43" s="1"/>
  <c r="D98" i="46"/>
  <c r="O99" i="43" s="1"/>
  <c r="D100" i="46"/>
  <c r="O100" i="43" s="1"/>
  <c r="D101" i="46"/>
  <c r="O101" i="43" s="1"/>
  <c r="G15" i="46"/>
  <c r="G10" i="49"/>
  <c r="W102" i="43"/>
  <c r="G14" i="49"/>
  <c r="G13" i="49"/>
  <c r="G12" i="49"/>
  <c r="G11" i="49"/>
  <c r="G9" i="49"/>
  <c r="G8" i="49"/>
  <c r="G7" i="49"/>
  <c r="D3" i="49"/>
  <c r="W3" i="43" s="1"/>
  <c r="W103" i="43"/>
  <c r="W104" i="43"/>
  <c r="W105" i="43"/>
  <c r="W106" i="43"/>
  <c r="W107" i="43"/>
  <c r="W108" i="43"/>
  <c r="W109" i="43"/>
  <c r="W110" i="43"/>
  <c r="W111" i="43"/>
  <c r="W112" i="43"/>
  <c r="W113" i="43"/>
  <c r="W114" i="43"/>
  <c r="W115" i="43"/>
  <c r="W116" i="43"/>
  <c r="W117" i="43"/>
  <c r="W118" i="43"/>
  <c r="W119" i="43"/>
  <c r="W120" i="43"/>
  <c r="W121" i="43"/>
  <c r="W122" i="43"/>
  <c r="W123" i="43"/>
  <c r="W124" i="43"/>
  <c r="W125" i="43"/>
  <c r="W126" i="43"/>
  <c r="W127" i="43"/>
  <c r="W128" i="43"/>
  <c r="W129" i="43"/>
  <c r="W130" i="43"/>
  <c r="W131" i="43"/>
  <c r="W132" i="43"/>
  <c r="W133" i="43"/>
  <c r="W134" i="43"/>
  <c r="W135" i="43"/>
  <c r="W136" i="43"/>
  <c r="W137" i="43"/>
  <c r="W138" i="43"/>
  <c r="W139" i="43"/>
  <c r="W140" i="43"/>
  <c r="W141" i="43"/>
  <c r="W142" i="43"/>
  <c r="W143" i="43"/>
  <c r="W144" i="43"/>
  <c r="W145" i="43"/>
  <c r="W146" i="43"/>
  <c r="W147" i="43"/>
  <c r="W148" i="43"/>
  <c r="W149" i="43"/>
  <c r="W150" i="43"/>
  <c r="W151" i="43"/>
  <c r="W152" i="43"/>
  <c r="W153" i="43"/>
  <c r="W154" i="43"/>
  <c r="W155" i="43"/>
  <c r="W156" i="43"/>
  <c r="W157" i="43"/>
  <c r="W158" i="43"/>
  <c r="W159" i="43"/>
  <c r="W160" i="43"/>
  <c r="W161" i="43"/>
  <c r="W162" i="43"/>
  <c r="W163" i="43"/>
  <c r="W164" i="43"/>
  <c r="W165" i="43"/>
  <c r="W166" i="43"/>
  <c r="W167" i="43"/>
  <c r="W168" i="43"/>
  <c r="W169" i="43"/>
  <c r="W170" i="43"/>
  <c r="W171" i="43"/>
  <c r="W172" i="43"/>
  <c r="W173" i="43"/>
  <c r="W174" i="43"/>
  <c r="W175" i="43"/>
  <c r="W176" i="43"/>
  <c r="W177" i="43"/>
  <c r="W178" i="43"/>
  <c r="W179" i="43"/>
  <c r="W180" i="43"/>
  <c r="W181" i="43"/>
  <c r="W182" i="43"/>
  <c r="W183" i="43"/>
  <c r="W184" i="43"/>
  <c r="W185" i="43"/>
  <c r="W186" i="43"/>
  <c r="W187" i="43"/>
  <c r="W188" i="43"/>
  <c r="W189" i="43"/>
  <c r="F3" i="50" l="1" a="1"/>
  <c r="F3" i="50" s="1"/>
  <c r="V3" i="43" a="1"/>
  <c r="V3" i="43" s="1"/>
  <c r="G4" i="53"/>
  <c r="E4" i="50" s="1"/>
  <c r="J3" i="50" a="1"/>
  <c r="J3" i="50" s="1"/>
  <c r="G5" i="53"/>
  <c r="G3" i="51"/>
  <c r="A4" i="50" s="1"/>
  <c r="B3" i="50" a="1"/>
  <c r="B3" i="50" s="1"/>
  <c r="G4" i="51"/>
  <c r="G4" i="49"/>
  <c r="G3" i="49"/>
  <c r="U4" i="43" s="1"/>
  <c r="G14" i="22"/>
  <c r="S189" i="43" l="1"/>
  <c r="S188" i="43"/>
  <c r="S187" i="43"/>
  <c r="S186" i="43"/>
  <c r="S185" i="43"/>
  <c r="S184" i="43"/>
  <c r="S183" i="43"/>
  <c r="S182" i="43"/>
  <c r="S181" i="43"/>
  <c r="S180" i="43"/>
  <c r="S179" i="43"/>
  <c r="S178" i="43"/>
  <c r="S177" i="43"/>
  <c r="S176" i="43"/>
  <c r="S175" i="43"/>
  <c r="S174" i="43"/>
  <c r="S173" i="43"/>
  <c r="S172" i="43"/>
  <c r="S171" i="43"/>
  <c r="S170" i="43"/>
  <c r="S169" i="43"/>
  <c r="S168" i="43"/>
  <c r="S167" i="43"/>
  <c r="S166" i="43"/>
  <c r="S165" i="43"/>
  <c r="S164" i="43"/>
  <c r="S163" i="43"/>
  <c r="S162" i="43"/>
  <c r="S161" i="43"/>
  <c r="S160" i="43"/>
  <c r="S159" i="43"/>
  <c r="S158" i="43"/>
  <c r="S157" i="43"/>
  <c r="S156" i="43"/>
  <c r="S155" i="43"/>
  <c r="S154" i="43"/>
  <c r="S153" i="43"/>
  <c r="S152" i="43"/>
  <c r="S151" i="43"/>
  <c r="S150" i="43"/>
  <c r="S149" i="43"/>
  <c r="S148" i="43"/>
  <c r="S147" i="43"/>
  <c r="S146" i="43"/>
  <c r="S145" i="43"/>
  <c r="S144" i="43"/>
  <c r="S143" i="43"/>
  <c r="S142" i="43"/>
  <c r="S141" i="43"/>
  <c r="S140" i="43"/>
  <c r="S139" i="43"/>
  <c r="S138" i="43"/>
  <c r="S137" i="43"/>
  <c r="S136" i="43"/>
  <c r="S135" i="43"/>
  <c r="S134" i="43"/>
  <c r="S133" i="43"/>
  <c r="S132" i="43"/>
  <c r="S131" i="43"/>
  <c r="S130" i="43"/>
  <c r="S129" i="43"/>
  <c r="S128" i="43"/>
  <c r="S127" i="43"/>
  <c r="S126" i="43"/>
  <c r="S125" i="43"/>
  <c r="S124" i="43"/>
  <c r="S123" i="43"/>
  <c r="S122" i="43"/>
  <c r="S121" i="43"/>
  <c r="S120" i="43"/>
  <c r="S119" i="43"/>
  <c r="S118" i="43"/>
  <c r="S117" i="43"/>
  <c r="S116" i="43"/>
  <c r="S115" i="43"/>
  <c r="S114" i="43"/>
  <c r="S113" i="43"/>
  <c r="S112" i="43"/>
  <c r="S111" i="43"/>
  <c r="S110" i="43"/>
  <c r="S109" i="43"/>
  <c r="S108" i="43"/>
  <c r="S107" i="43"/>
  <c r="S106" i="43"/>
  <c r="S105" i="43"/>
  <c r="S104" i="43"/>
  <c r="S103" i="43"/>
  <c r="D101" i="47"/>
  <c r="S101" i="43" s="1"/>
  <c r="D100" i="47"/>
  <c r="S100" i="43" s="1"/>
  <c r="D99" i="47"/>
  <c r="S99" i="43" s="1"/>
  <c r="D98" i="47"/>
  <c r="S98" i="43" s="1"/>
  <c r="D97" i="47"/>
  <c r="S97" i="43" s="1"/>
  <c r="D96" i="47"/>
  <c r="S96" i="43" s="1"/>
  <c r="D95" i="47"/>
  <c r="S95" i="43" s="1"/>
  <c r="D94" i="47"/>
  <c r="S94" i="43" s="1"/>
  <c r="D93" i="47"/>
  <c r="S93" i="43" s="1"/>
  <c r="D92" i="47"/>
  <c r="S92" i="43" s="1"/>
  <c r="D91" i="47"/>
  <c r="S91" i="43" s="1"/>
  <c r="D90" i="47"/>
  <c r="S90" i="43" s="1"/>
  <c r="D89" i="47"/>
  <c r="S89" i="43" s="1"/>
  <c r="D88" i="47"/>
  <c r="S88" i="43" s="1"/>
  <c r="D87" i="47"/>
  <c r="S87" i="43" s="1"/>
  <c r="D86" i="47"/>
  <c r="S86" i="43" s="1"/>
  <c r="D85" i="47"/>
  <c r="S85" i="43" s="1"/>
  <c r="D84" i="47"/>
  <c r="S84" i="43" s="1"/>
  <c r="D83" i="47"/>
  <c r="S83" i="43" s="1"/>
  <c r="D82" i="47"/>
  <c r="S82" i="43" s="1"/>
  <c r="D81" i="47"/>
  <c r="S81" i="43" s="1"/>
  <c r="D80" i="47"/>
  <c r="S80" i="43" s="1"/>
  <c r="D79" i="47"/>
  <c r="S79" i="43" s="1"/>
  <c r="D78" i="47"/>
  <c r="S78" i="43" s="1"/>
  <c r="D77" i="47"/>
  <c r="S77" i="43" s="1"/>
  <c r="D76" i="47"/>
  <c r="S76" i="43" s="1"/>
  <c r="D75" i="47"/>
  <c r="S75" i="43" s="1"/>
  <c r="D74" i="47"/>
  <c r="S74" i="43" s="1"/>
  <c r="D73" i="47"/>
  <c r="S73" i="43" s="1"/>
  <c r="D72" i="47"/>
  <c r="S72" i="43" s="1"/>
  <c r="D71" i="47"/>
  <c r="S71" i="43" s="1"/>
  <c r="D70" i="47"/>
  <c r="S70" i="43" s="1"/>
  <c r="D69" i="47"/>
  <c r="S69" i="43" s="1"/>
  <c r="D68" i="47"/>
  <c r="S68" i="43" s="1"/>
  <c r="D67" i="47"/>
  <c r="S67" i="43" s="1"/>
  <c r="D66" i="47"/>
  <c r="S66" i="43" s="1"/>
  <c r="D65" i="47"/>
  <c r="S65" i="43" s="1"/>
  <c r="D64" i="47"/>
  <c r="S64" i="43" s="1"/>
  <c r="D63" i="47"/>
  <c r="S63" i="43" s="1"/>
  <c r="D62" i="47"/>
  <c r="S62" i="43" s="1"/>
  <c r="D61" i="47"/>
  <c r="S61" i="43" s="1"/>
  <c r="D60" i="47"/>
  <c r="S60" i="43" s="1"/>
  <c r="D59" i="47"/>
  <c r="S59" i="43" s="1"/>
  <c r="D58" i="47"/>
  <c r="S58" i="43" s="1"/>
  <c r="D57" i="47"/>
  <c r="S57" i="43" s="1"/>
  <c r="D56" i="47"/>
  <c r="S56" i="43" s="1"/>
  <c r="D55" i="47"/>
  <c r="S55" i="43" s="1"/>
  <c r="D54" i="47"/>
  <c r="S54" i="43" s="1"/>
  <c r="D53" i="47"/>
  <c r="S53" i="43" s="1"/>
  <c r="D52" i="47"/>
  <c r="S52" i="43" s="1"/>
  <c r="D51" i="47"/>
  <c r="S51" i="43" s="1"/>
  <c r="D50" i="47"/>
  <c r="S50" i="43" s="1"/>
  <c r="D49" i="47"/>
  <c r="S49" i="43" s="1"/>
  <c r="D48" i="47"/>
  <c r="S48" i="43" s="1"/>
  <c r="D47" i="47"/>
  <c r="S47" i="43" s="1"/>
  <c r="D46" i="47"/>
  <c r="S46" i="43" s="1"/>
  <c r="D45" i="47"/>
  <c r="S45" i="43" s="1"/>
  <c r="D44" i="47"/>
  <c r="S44" i="43" s="1"/>
  <c r="D43" i="47"/>
  <c r="S43" i="43" s="1"/>
  <c r="D42" i="47"/>
  <c r="S42" i="43" s="1"/>
  <c r="D41" i="47"/>
  <c r="S41" i="43" s="1"/>
  <c r="D40" i="47"/>
  <c r="S40" i="43" s="1"/>
  <c r="D39" i="47"/>
  <c r="S39" i="43" s="1"/>
  <c r="D38" i="47"/>
  <c r="S38" i="43" s="1"/>
  <c r="D37" i="47"/>
  <c r="S37" i="43" s="1"/>
  <c r="D36" i="47"/>
  <c r="S36" i="43" s="1"/>
  <c r="D35" i="47"/>
  <c r="S35" i="43" s="1"/>
  <c r="D34" i="47"/>
  <c r="S34" i="43" s="1"/>
  <c r="D33" i="47"/>
  <c r="S33" i="43" s="1"/>
  <c r="D32" i="47"/>
  <c r="S32" i="43" s="1"/>
  <c r="D31" i="47"/>
  <c r="S31" i="43" s="1"/>
  <c r="D30" i="47"/>
  <c r="S30" i="43" s="1"/>
  <c r="D29" i="47"/>
  <c r="S29" i="43" s="1"/>
  <c r="D28" i="47"/>
  <c r="S28" i="43" s="1"/>
  <c r="D27" i="47"/>
  <c r="S27" i="43" s="1"/>
  <c r="D26" i="47"/>
  <c r="S26" i="43" s="1"/>
  <c r="D25" i="47"/>
  <c r="S25" i="43" s="1"/>
  <c r="D24" i="47"/>
  <c r="S24" i="43" s="1"/>
  <c r="D23" i="47"/>
  <c r="S23" i="43" s="1"/>
  <c r="D22" i="47"/>
  <c r="S22" i="43" s="1"/>
  <c r="D21" i="47"/>
  <c r="S21" i="43" s="1"/>
  <c r="D20" i="47"/>
  <c r="S20" i="43" s="1"/>
  <c r="D19" i="47"/>
  <c r="S19" i="43" s="1"/>
  <c r="D18" i="47"/>
  <c r="S18" i="43" s="1"/>
  <c r="D17" i="47"/>
  <c r="S17" i="43" s="1"/>
  <c r="D16" i="47"/>
  <c r="S16" i="43" s="1"/>
  <c r="D15" i="47"/>
  <c r="S15" i="43" s="1"/>
  <c r="D14" i="47"/>
  <c r="S14" i="43" s="1"/>
  <c r="D13" i="47"/>
  <c r="S13" i="43" s="1"/>
  <c r="G12" i="47"/>
  <c r="D12" i="47"/>
  <c r="S12" i="43" s="1"/>
  <c r="G11" i="47"/>
  <c r="D11" i="47"/>
  <c r="S11" i="43" s="1"/>
  <c r="G10" i="47"/>
  <c r="D10" i="47"/>
  <c r="S10" i="43" s="1"/>
  <c r="G9" i="47"/>
  <c r="D9" i="47"/>
  <c r="S9" i="43" s="1"/>
  <c r="G8" i="47"/>
  <c r="D8" i="47"/>
  <c r="S8" i="43" s="1"/>
  <c r="G7" i="47"/>
  <c r="D7" i="47"/>
  <c r="S7" i="43" s="1"/>
  <c r="D6" i="47"/>
  <c r="S6" i="43" s="1"/>
  <c r="D5" i="47"/>
  <c r="S5" i="43" s="1"/>
  <c r="D4" i="47"/>
  <c r="D3" i="47"/>
  <c r="S3" i="43" s="1"/>
  <c r="G14" i="46"/>
  <c r="O180" i="43"/>
  <c r="O181" i="43"/>
  <c r="O182" i="43"/>
  <c r="O183" i="43"/>
  <c r="O184" i="43"/>
  <c r="O185" i="43"/>
  <c r="O186" i="43"/>
  <c r="O187" i="43"/>
  <c r="O188" i="43"/>
  <c r="O189" i="43"/>
  <c r="G13" i="46"/>
  <c r="G12" i="46"/>
  <c r="G11" i="46"/>
  <c r="G10" i="46"/>
  <c r="G9" i="46"/>
  <c r="G8" i="46"/>
  <c r="G7" i="46"/>
  <c r="D3" i="46"/>
  <c r="O3" i="43" s="1"/>
  <c r="D66" i="22"/>
  <c r="R3" i="43" l="1" a="1"/>
  <c r="R3" i="43" s="1"/>
  <c r="G4" i="47"/>
  <c r="G3" i="47"/>
  <c r="Q4" i="43" s="1"/>
  <c r="G3" i="46"/>
  <c r="M4" i="43" s="1"/>
  <c r="N3" i="43" a="1"/>
  <c r="N3" i="43" s="1"/>
  <c r="G4" i="46"/>
  <c r="AI1" i="19"/>
  <c r="C31" i="19" s="1"/>
  <c r="K101" i="43" l="1"/>
  <c r="K102" i="43"/>
  <c r="K103" i="43"/>
  <c r="K104" i="43"/>
  <c r="K105" i="43"/>
  <c r="K106" i="43"/>
  <c r="K107" i="43"/>
  <c r="K108" i="43"/>
  <c r="K109" i="43"/>
  <c r="K110" i="43"/>
  <c r="K111" i="43"/>
  <c r="K112" i="43"/>
  <c r="K113" i="43"/>
  <c r="K114" i="43"/>
  <c r="K115" i="43"/>
  <c r="K116" i="43"/>
  <c r="K117" i="43"/>
  <c r="K118" i="43"/>
  <c r="K119" i="43"/>
  <c r="K120" i="43"/>
  <c r="K121" i="43"/>
  <c r="K122" i="43"/>
  <c r="K123" i="43"/>
  <c r="K124" i="43"/>
  <c r="K125" i="43"/>
  <c r="K126" i="43"/>
  <c r="K127" i="43"/>
  <c r="K128" i="43"/>
  <c r="K129" i="43"/>
  <c r="K130" i="43"/>
  <c r="K131" i="43"/>
  <c r="K132" i="43"/>
  <c r="K133" i="43"/>
  <c r="K134" i="43"/>
  <c r="K135" i="43"/>
  <c r="K136" i="43"/>
  <c r="K137" i="43"/>
  <c r="K138" i="43"/>
  <c r="K139" i="43"/>
  <c r="K140" i="43"/>
  <c r="K141" i="43"/>
  <c r="K142" i="43"/>
  <c r="K143" i="43"/>
  <c r="K144" i="43"/>
  <c r="K145" i="43"/>
  <c r="K146" i="43"/>
  <c r="K147" i="43"/>
  <c r="K148" i="43"/>
  <c r="K149" i="43"/>
  <c r="K150" i="43"/>
  <c r="K151" i="43"/>
  <c r="K152" i="43"/>
  <c r="K153" i="43"/>
  <c r="K154" i="43"/>
  <c r="K155" i="43"/>
  <c r="K156" i="43"/>
  <c r="K157" i="43"/>
  <c r="K158" i="43"/>
  <c r="K159" i="43"/>
  <c r="K160" i="43"/>
  <c r="K161" i="43"/>
  <c r="K162" i="43"/>
  <c r="K163" i="43"/>
  <c r="K164" i="43"/>
  <c r="K165" i="43"/>
  <c r="K166" i="43"/>
  <c r="K167" i="43"/>
  <c r="K168" i="43"/>
  <c r="K169" i="43"/>
  <c r="K170" i="43"/>
  <c r="K171" i="43"/>
  <c r="K172" i="43"/>
  <c r="K173" i="43"/>
  <c r="K174" i="43"/>
  <c r="K175" i="43"/>
  <c r="K176" i="43"/>
  <c r="K177" i="43"/>
  <c r="K178" i="43"/>
  <c r="K179" i="43"/>
  <c r="K180" i="43"/>
  <c r="K181" i="43"/>
  <c r="K182" i="43"/>
  <c r="K183" i="43"/>
  <c r="K184" i="43"/>
  <c r="K185" i="43"/>
  <c r="K186" i="43"/>
  <c r="K187" i="43"/>
  <c r="K188" i="43"/>
  <c r="K189" i="43"/>
  <c r="K190" i="43"/>
  <c r="K191" i="43"/>
  <c r="K192" i="43"/>
  <c r="K193" i="43"/>
  <c r="K200" i="43"/>
  <c r="K199" i="43"/>
  <c r="K198" i="43"/>
  <c r="K197" i="43"/>
  <c r="K196" i="43"/>
  <c r="K195" i="43"/>
  <c r="K194" i="43"/>
  <c r="D4" i="22"/>
  <c r="D5" i="22"/>
  <c r="K5" i="43" s="1"/>
  <c r="D6" i="22"/>
  <c r="K6" i="43" s="1"/>
  <c r="D7" i="22"/>
  <c r="K7" i="43" s="1"/>
  <c r="D8" i="22"/>
  <c r="K8" i="43" s="1"/>
  <c r="D9" i="22"/>
  <c r="K9" i="43" s="1"/>
  <c r="D10" i="22"/>
  <c r="K10" i="43" s="1"/>
  <c r="D11" i="22"/>
  <c r="K11" i="43" s="1"/>
  <c r="D12" i="22"/>
  <c r="K12" i="43" s="1"/>
  <c r="D13" i="22"/>
  <c r="K13" i="43" s="1"/>
  <c r="D14" i="22"/>
  <c r="K14" i="43" s="1"/>
  <c r="D15" i="22"/>
  <c r="K15" i="43" s="1"/>
  <c r="D16" i="22"/>
  <c r="K16" i="43" s="1"/>
  <c r="D17" i="22"/>
  <c r="K17" i="43" s="1"/>
  <c r="D18" i="22"/>
  <c r="K18" i="43" s="1"/>
  <c r="D19" i="22"/>
  <c r="K19" i="43" s="1"/>
  <c r="D20" i="22"/>
  <c r="K20" i="43" s="1"/>
  <c r="D21" i="22"/>
  <c r="K21" i="43" s="1"/>
  <c r="D22" i="22"/>
  <c r="K22" i="43" s="1"/>
  <c r="D23" i="22"/>
  <c r="K23" i="43" s="1"/>
  <c r="D24" i="22"/>
  <c r="K24" i="43" s="1"/>
  <c r="D25" i="22"/>
  <c r="K25" i="43" s="1"/>
  <c r="D26" i="22"/>
  <c r="K26" i="43" s="1"/>
  <c r="D27" i="22"/>
  <c r="K27" i="43" s="1"/>
  <c r="D28" i="22"/>
  <c r="K28" i="43" s="1"/>
  <c r="D30" i="22"/>
  <c r="K29" i="43" s="1"/>
  <c r="D31" i="22"/>
  <c r="K30" i="43" s="1"/>
  <c r="D32" i="22"/>
  <c r="K31" i="43" s="1"/>
  <c r="D33" i="22"/>
  <c r="K32" i="43" s="1"/>
  <c r="D69" i="22"/>
  <c r="K33" i="43" s="1"/>
  <c r="D34" i="22"/>
  <c r="K34" i="43" s="1"/>
  <c r="D35" i="22"/>
  <c r="K35" i="43" s="1"/>
  <c r="D37" i="22"/>
  <c r="K36" i="43" s="1"/>
  <c r="D65" i="22"/>
  <c r="K37" i="43" s="1"/>
  <c r="D38" i="22"/>
  <c r="K38" i="43" s="1"/>
  <c r="D39" i="22"/>
  <c r="K39" i="43" s="1"/>
  <c r="D40" i="22"/>
  <c r="K40" i="43" s="1"/>
  <c r="D77" i="22"/>
  <c r="K41" i="43" s="1"/>
  <c r="D95" i="22"/>
  <c r="K42" i="43" s="1"/>
  <c r="D41" i="22"/>
  <c r="K43" i="43" s="1"/>
  <c r="D42" i="22"/>
  <c r="K44" i="43" s="1"/>
  <c r="D43" i="22"/>
  <c r="K45" i="43" s="1"/>
  <c r="D44" i="22"/>
  <c r="K46" i="43" s="1"/>
  <c r="D36" i="22"/>
  <c r="K47" i="43" s="1"/>
  <c r="D45" i="22"/>
  <c r="K48" i="43" s="1"/>
  <c r="D74" i="22"/>
  <c r="K49" i="43" s="1"/>
  <c r="D49" i="22"/>
  <c r="D50" i="22"/>
  <c r="K51" i="43" s="1"/>
  <c r="D51" i="22"/>
  <c r="K52" i="43" s="1"/>
  <c r="D94" i="22"/>
  <c r="K53" i="43" s="1"/>
  <c r="D52" i="22"/>
  <c r="K54" i="43" s="1"/>
  <c r="D53" i="22"/>
  <c r="K55" i="43" s="1"/>
  <c r="D54" i="22"/>
  <c r="K56" i="43" s="1"/>
  <c r="D64" i="22"/>
  <c r="K57" i="43" s="1"/>
  <c r="D87" i="22"/>
  <c r="K58" i="43" s="1"/>
  <c r="D46" i="22"/>
  <c r="K59" i="43" s="1"/>
  <c r="D29" i="22"/>
  <c r="K60" i="43" s="1"/>
  <c r="D48" i="22"/>
  <c r="K61" i="43" s="1"/>
  <c r="D55" i="22"/>
  <c r="K62" i="43" s="1"/>
  <c r="D56" i="22"/>
  <c r="K63" i="43" s="1"/>
  <c r="D57" i="22"/>
  <c r="K64" i="43" s="1"/>
  <c r="D58" i="22"/>
  <c r="K65" i="43" s="1"/>
  <c r="D59" i="22"/>
  <c r="K66" i="43" s="1"/>
  <c r="D93" i="22"/>
  <c r="K67" i="43" s="1"/>
  <c r="D60" i="22"/>
  <c r="K68" i="43" s="1"/>
  <c r="D61" i="22"/>
  <c r="K69" i="43" s="1"/>
  <c r="D91" i="22"/>
  <c r="K70" i="43" s="1"/>
  <c r="D62" i="22"/>
  <c r="K71" i="43" s="1"/>
  <c r="K72" i="43"/>
  <c r="D88" i="22"/>
  <c r="K73" i="43" s="1"/>
  <c r="D67" i="22"/>
  <c r="K74" i="43" s="1"/>
  <c r="D79" i="22"/>
  <c r="K75" i="43" s="1"/>
  <c r="D85" i="22"/>
  <c r="K76" i="43" s="1"/>
  <c r="D68" i="22"/>
  <c r="K77" i="43" s="1"/>
  <c r="D84" i="22"/>
  <c r="K78" i="43" s="1"/>
  <c r="D71" i="22"/>
  <c r="K79" i="43" s="1"/>
  <c r="D72" i="22"/>
  <c r="K80" i="43" s="1"/>
  <c r="D75" i="22"/>
  <c r="K81" i="43" s="1"/>
  <c r="D76" i="22"/>
  <c r="K82" i="43" s="1"/>
  <c r="D73" i="22"/>
  <c r="K83" i="43" s="1"/>
  <c r="D81" i="22"/>
  <c r="K84" i="43" s="1"/>
  <c r="D70" i="22"/>
  <c r="K85" i="43" s="1"/>
  <c r="D80" i="22"/>
  <c r="K86" i="43" s="1"/>
  <c r="D82" i="22"/>
  <c r="K87" i="43" s="1"/>
  <c r="D86" i="22"/>
  <c r="K88" i="43" s="1"/>
  <c r="D83" i="22"/>
  <c r="K89" i="43" s="1"/>
  <c r="D89" i="22"/>
  <c r="K90" i="43" s="1"/>
  <c r="D92" i="22"/>
  <c r="K91" i="43" s="1"/>
  <c r="D47" i="22"/>
  <c r="K92" i="43" s="1"/>
  <c r="D96" i="22"/>
  <c r="K93" i="43" s="1"/>
  <c r="D78" i="22"/>
  <c r="K94" i="43" s="1"/>
  <c r="D97" i="22"/>
  <c r="K95" i="43" s="1"/>
  <c r="D90" i="22"/>
  <c r="K96" i="43" s="1"/>
  <c r="D98" i="22"/>
  <c r="K97" i="43" s="1"/>
  <c r="D63" i="22"/>
  <c r="K98" i="43" s="1"/>
  <c r="D99" i="22"/>
  <c r="K99" i="43" s="1"/>
  <c r="D100" i="22"/>
  <c r="K100" i="43" s="1"/>
  <c r="G13" i="22"/>
  <c r="G12" i="22"/>
  <c r="K50" i="43" l="1"/>
  <c r="AG1" i="19"/>
  <c r="C29" i="19" s="1"/>
  <c r="AH1" i="19"/>
  <c r="C30" i="19" s="1"/>
  <c r="AD1" i="19"/>
  <c r="C26" i="19" s="1"/>
  <c r="AC1" i="19"/>
  <c r="C25" i="19" s="1"/>
  <c r="AB1" i="19"/>
  <c r="C24" i="19" s="1"/>
  <c r="AF1" i="19"/>
  <c r="AA1" i="19"/>
  <c r="A29" i="19"/>
  <c r="A24" i="19"/>
  <c r="Q1" i="19"/>
  <c r="L1" i="19"/>
  <c r="C28" i="19" l="1"/>
  <c r="C23" i="19"/>
  <c r="G102" i="43" l="1"/>
  <c r="G103" i="43"/>
  <c r="G104" i="43"/>
  <c r="G105" i="43"/>
  <c r="G106" i="43"/>
  <c r="G107" i="43"/>
  <c r="G108" i="43"/>
  <c r="G109" i="43"/>
  <c r="G110" i="43"/>
  <c r="G111" i="43"/>
  <c r="G112" i="43"/>
  <c r="G113" i="43"/>
  <c r="G114" i="43"/>
  <c r="G115" i="43"/>
  <c r="G116" i="43"/>
  <c r="G117" i="43"/>
  <c r="G118" i="43"/>
  <c r="G119" i="43"/>
  <c r="G120" i="43"/>
  <c r="G121" i="43"/>
  <c r="G122" i="43"/>
  <c r="G123" i="43"/>
  <c r="G124" i="43"/>
  <c r="G125" i="43"/>
  <c r="G126" i="43"/>
  <c r="G127" i="43"/>
  <c r="G128" i="43"/>
  <c r="G129" i="43"/>
  <c r="G130" i="43"/>
  <c r="G131" i="43"/>
  <c r="G132" i="43"/>
  <c r="G133" i="43"/>
  <c r="G134" i="43"/>
  <c r="G135" i="43"/>
  <c r="G136" i="43"/>
  <c r="G137" i="43"/>
  <c r="G138" i="43"/>
  <c r="G139" i="43"/>
  <c r="G140" i="43"/>
  <c r="G141" i="43"/>
  <c r="G142" i="43"/>
  <c r="G143" i="43"/>
  <c r="G144" i="43"/>
  <c r="G145" i="43"/>
  <c r="G146" i="43"/>
  <c r="G147" i="43"/>
  <c r="G148" i="43"/>
  <c r="G149" i="43"/>
  <c r="G150" i="43"/>
  <c r="G151" i="43"/>
  <c r="G152" i="43"/>
  <c r="G153" i="43"/>
  <c r="G154" i="43"/>
  <c r="G155" i="43"/>
  <c r="G156" i="43"/>
  <c r="G157" i="43"/>
  <c r="G158" i="43"/>
  <c r="G159" i="43"/>
  <c r="G160" i="43"/>
  <c r="G161" i="43"/>
  <c r="G162" i="43"/>
  <c r="G163" i="43"/>
  <c r="G164" i="43"/>
  <c r="G165" i="43"/>
  <c r="G166" i="43"/>
  <c r="G167" i="43"/>
  <c r="G168" i="43"/>
  <c r="G169" i="43"/>
  <c r="G170" i="43"/>
  <c r="G171" i="43"/>
  <c r="G172" i="43"/>
  <c r="G173" i="43"/>
  <c r="G174" i="43"/>
  <c r="G175" i="43"/>
  <c r="G176" i="43"/>
  <c r="G177" i="43"/>
  <c r="G178" i="43"/>
  <c r="G179" i="43"/>
  <c r="G180" i="43"/>
  <c r="G181" i="43"/>
  <c r="G182" i="43"/>
  <c r="G183" i="43"/>
  <c r="G184" i="43"/>
  <c r="G185" i="43"/>
  <c r="G186" i="43"/>
  <c r="G187" i="43"/>
  <c r="G188" i="43"/>
  <c r="G189" i="43"/>
  <c r="G190" i="43"/>
  <c r="G191" i="43"/>
  <c r="G192" i="43"/>
  <c r="G193" i="43"/>
  <c r="G194" i="43"/>
  <c r="G195" i="43"/>
  <c r="G196" i="43"/>
  <c r="G197" i="43"/>
  <c r="G198" i="43"/>
  <c r="G199" i="43"/>
  <c r="G200" i="43"/>
  <c r="G14" i="44"/>
  <c r="D101" i="44"/>
  <c r="G101" i="43" s="1"/>
  <c r="D100" i="44"/>
  <c r="G100" i="43" s="1"/>
  <c r="D99" i="44"/>
  <c r="G99" i="43" s="1"/>
  <c r="D98" i="44"/>
  <c r="G98" i="43" s="1"/>
  <c r="D97" i="44"/>
  <c r="G97" i="43" s="1"/>
  <c r="D96" i="44"/>
  <c r="G96" i="43" s="1"/>
  <c r="D95" i="44"/>
  <c r="G95" i="43" s="1"/>
  <c r="D94" i="44"/>
  <c r="G94" i="43" s="1"/>
  <c r="D93" i="44"/>
  <c r="G93" i="43" s="1"/>
  <c r="D92" i="44"/>
  <c r="G92" i="43" s="1"/>
  <c r="D91" i="44"/>
  <c r="G91" i="43" s="1"/>
  <c r="D90" i="44"/>
  <c r="G90" i="43" s="1"/>
  <c r="D89" i="44"/>
  <c r="G89" i="43" s="1"/>
  <c r="D88" i="44"/>
  <c r="G88" i="43" s="1"/>
  <c r="D87" i="44"/>
  <c r="G87" i="43" s="1"/>
  <c r="D86" i="44"/>
  <c r="G86" i="43" s="1"/>
  <c r="D85" i="44"/>
  <c r="G85" i="43" s="1"/>
  <c r="D84" i="44"/>
  <c r="G84" i="43" s="1"/>
  <c r="D83" i="44"/>
  <c r="G83" i="43" s="1"/>
  <c r="D82" i="44"/>
  <c r="G82" i="43" s="1"/>
  <c r="D81" i="44"/>
  <c r="G81" i="43" s="1"/>
  <c r="D80" i="44"/>
  <c r="G80" i="43" s="1"/>
  <c r="D79" i="44"/>
  <c r="G79" i="43" s="1"/>
  <c r="D78" i="44"/>
  <c r="G78" i="43" s="1"/>
  <c r="D77" i="44"/>
  <c r="G77" i="43" s="1"/>
  <c r="D76" i="44"/>
  <c r="G76" i="43" s="1"/>
  <c r="D75" i="44"/>
  <c r="G75" i="43" s="1"/>
  <c r="D74" i="44"/>
  <c r="G74" i="43" s="1"/>
  <c r="D73" i="44"/>
  <c r="G73" i="43" s="1"/>
  <c r="D72" i="44"/>
  <c r="G72" i="43" s="1"/>
  <c r="D71" i="44"/>
  <c r="G71" i="43" s="1"/>
  <c r="D70" i="44"/>
  <c r="G70" i="43" s="1"/>
  <c r="D69" i="44"/>
  <c r="G69" i="43" s="1"/>
  <c r="D68" i="44"/>
  <c r="G68" i="43" s="1"/>
  <c r="D67" i="44"/>
  <c r="G67" i="43" s="1"/>
  <c r="D66" i="44"/>
  <c r="G66" i="43" s="1"/>
  <c r="D65" i="44"/>
  <c r="G65" i="43" s="1"/>
  <c r="D64" i="44"/>
  <c r="G64" i="43" s="1"/>
  <c r="D63" i="44"/>
  <c r="G63" i="43" s="1"/>
  <c r="D62" i="44"/>
  <c r="G62" i="43" s="1"/>
  <c r="D61" i="44"/>
  <c r="G61" i="43" s="1"/>
  <c r="D60" i="44"/>
  <c r="G60" i="43" s="1"/>
  <c r="D59" i="44"/>
  <c r="G59" i="43" s="1"/>
  <c r="D58" i="44"/>
  <c r="G58" i="43" s="1"/>
  <c r="D57" i="44"/>
  <c r="G57" i="43" s="1"/>
  <c r="D56" i="44"/>
  <c r="G56" i="43" s="1"/>
  <c r="D55" i="44"/>
  <c r="G55" i="43" s="1"/>
  <c r="D54" i="44"/>
  <c r="G54" i="43" s="1"/>
  <c r="D53" i="44"/>
  <c r="G53" i="43" s="1"/>
  <c r="D52" i="44"/>
  <c r="G52" i="43" s="1"/>
  <c r="D51" i="44"/>
  <c r="G51" i="43" s="1"/>
  <c r="D50" i="44"/>
  <c r="G50" i="43" s="1"/>
  <c r="D49" i="44"/>
  <c r="G49" i="43" s="1"/>
  <c r="D48" i="44"/>
  <c r="G48" i="43" s="1"/>
  <c r="D47" i="44"/>
  <c r="G47" i="43" s="1"/>
  <c r="D46" i="44"/>
  <c r="G46" i="43" s="1"/>
  <c r="D45" i="44"/>
  <c r="G45" i="43" s="1"/>
  <c r="D44" i="44"/>
  <c r="G44" i="43" s="1"/>
  <c r="D43" i="44"/>
  <c r="G43" i="43" s="1"/>
  <c r="D42" i="44"/>
  <c r="G42" i="43" s="1"/>
  <c r="D41" i="44"/>
  <c r="G41" i="43" s="1"/>
  <c r="D40" i="44"/>
  <c r="G40" i="43" s="1"/>
  <c r="D39" i="44"/>
  <c r="G39" i="43" s="1"/>
  <c r="D38" i="44"/>
  <c r="G38" i="43" s="1"/>
  <c r="D37" i="44"/>
  <c r="G37" i="43" s="1"/>
  <c r="D36" i="44"/>
  <c r="G36" i="43" s="1"/>
  <c r="D35" i="44"/>
  <c r="G35" i="43" s="1"/>
  <c r="D34" i="44"/>
  <c r="G34" i="43" s="1"/>
  <c r="D33" i="44"/>
  <c r="G33" i="43" s="1"/>
  <c r="D32" i="44"/>
  <c r="G32" i="43" s="1"/>
  <c r="D31" i="44"/>
  <c r="G31" i="43" s="1"/>
  <c r="D30" i="44"/>
  <c r="G30" i="43" s="1"/>
  <c r="D29" i="44"/>
  <c r="G29" i="43" s="1"/>
  <c r="D28" i="44"/>
  <c r="G28" i="43" s="1"/>
  <c r="D27" i="44"/>
  <c r="G27" i="43" s="1"/>
  <c r="D26" i="44"/>
  <c r="G26" i="43" s="1"/>
  <c r="D25" i="44"/>
  <c r="G25" i="43" s="1"/>
  <c r="D24" i="44"/>
  <c r="G24" i="43" s="1"/>
  <c r="D23" i="44"/>
  <c r="G23" i="43" s="1"/>
  <c r="D22" i="44"/>
  <c r="G22" i="43" s="1"/>
  <c r="D21" i="44"/>
  <c r="G21" i="43" s="1"/>
  <c r="D20" i="44"/>
  <c r="G20" i="43" s="1"/>
  <c r="D19" i="44"/>
  <c r="G19" i="43" s="1"/>
  <c r="D18" i="44"/>
  <c r="G18" i="43" s="1"/>
  <c r="D17" i="44"/>
  <c r="G17" i="43" s="1"/>
  <c r="D16" i="44"/>
  <c r="G16" i="43" s="1"/>
  <c r="D15" i="44"/>
  <c r="G15" i="43" s="1"/>
  <c r="D14" i="44"/>
  <c r="G14" i="43" s="1"/>
  <c r="G13" i="44"/>
  <c r="D13" i="44"/>
  <c r="G13" i="43" s="1"/>
  <c r="G12" i="44"/>
  <c r="D12" i="44"/>
  <c r="G12" i="43" s="1"/>
  <c r="G11" i="44"/>
  <c r="D11" i="44"/>
  <c r="G11" i="43" s="1"/>
  <c r="G10" i="44"/>
  <c r="D10" i="44"/>
  <c r="G10" i="43" s="1"/>
  <c r="G9" i="44"/>
  <c r="D9" i="44"/>
  <c r="G9" i="43" s="1"/>
  <c r="G8" i="44"/>
  <c r="D8" i="44"/>
  <c r="G8" i="43" s="1"/>
  <c r="G7" i="44"/>
  <c r="D7" i="44"/>
  <c r="G7" i="43" s="1"/>
  <c r="D6" i="44"/>
  <c r="G6" i="43" s="1"/>
  <c r="D5" i="44"/>
  <c r="G5" i="43" s="1"/>
  <c r="D4" i="44"/>
  <c r="D3" i="44"/>
  <c r="G3" i="43" s="1"/>
  <c r="D89" i="1"/>
  <c r="D79" i="25"/>
  <c r="W52" i="18" s="1"/>
  <c r="N1" i="19"/>
  <c r="C10" i="19" s="1"/>
  <c r="A14" i="19"/>
  <c r="O101" i="37"/>
  <c r="O102" i="37"/>
  <c r="O103" i="37"/>
  <c r="O104" i="37"/>
  <c r="O105" i="37"/>
  <c r="D4" i="31"/>
  <c r="D5" i="31"/>
  <c r="O5" i="37" s="1"/>
  <c r="D6" i="31"/>
  <c r="O6" i="37" s="1"/>
  <c r="D7" i="31"/>
  <c r="O7" i="37" s="1"/>
  <c r="D8" i="31"/>
  <c r="O8" i="37" s="1"/>
  <c r="D9" i="31"/>
  <c r="O9" i="37" s="1"/>
  <c r="D10" i="31"/>
  <c r="O10" i="37" s="1"/>
  <c r="D11" i="31"/>
  <c r="O11" i="37" s="1"/>
  <c r="D12" i="31"/>
  <c r="O12" i="37" s="1"/>
  <c r="D13" i="31"/>
  <c r="O13" i="37" s="1"/>
  <c r="D14" i="31"/>
  <c r="O14" i="37" s="1"/>
  <c r="D15" i="31"/>
  <c r="O15" i="37" s="1"/>
  <c r="D16" i="31"/>
  <c r="O16" i="37" s="1"/>
  <c r="D17" i="31"/>
  <c r="O17" i="37" s="1"/>
  <c r="D18" i="31"/>
  <c r="O18" i="37" s="1"/>
  <c r="D19" i="31"/>
  <c r="O19" i="37" s="1"/>
  <c r="D20" i="31"/>
  <c r="O20" i="37" s="1"/>
  <c r="D21" i="31"/>
  <c r="O21" i="37" s="1"/>
  <c r="D22" i="31"/>
  <c r="O22" i="37" s="1"/>
  <c r="D23" i="31"/>
  <c r="O23" i="37" s="1"/>
  <c r="D24" i="31"/>
  <c r="O24" i="37" s="1"/>
  <c r="D25" i="31"/>
  <c r="O25" i="37" s="1"/>
  <c r="D26" i="31"/>
  <c r="O26" i="37" s="1"/>
  <c r="D27" i="31"/>
  <c r="O27" i="37" s="1"/>
  <c r="D28" i="31"/>
  <c r="O28" i="37" s="1"/>
  <c r="D29" i="31"/>
  <c r="O29" i="37" s="1"/>
  <c r="D30" i="31"/>
  <c r="O30" i="37" s="1"/>
  <c r="D31" i="31"/>
  <c r="O31" i="37" s="1"/>
  <c r="D34" i="31"/>
  <c r="O32" i="37" s="1"/>
  <c r="D35" i="31"/>
  <c r="O33" i="37" s="1"/>
  <c r="D36" i="31"/>
  <c r="O34" i="37" s="1"/>
  <c r="D37" i="31"/>
  <c r="O35" i="37" s="1"/>
  <c r="D38" i="31"/>
  <c r="O36" i="37" s="1"/>
  <c r="D39" i="31"/>
  <c r="O37" i="37" s="1"/>
  <c r="D40" i="31"/>
  <c r="O38" i="37" s="1"/>
  <c r="D41" i="31"/>
  <c r="O39" i="37" s="1"/>
  <c r="D42" i="31"/>
  <c r="O40" i="37" s="1"/>
  <c r="D43" i="31"/>
  <c r="O41" i="37" s="1"/>
  <c r="D44" i="31"/>
  <c r="O42" i="37" s="1"/>
  <c r="D46" i="31"/>
  <c r="O43" i="37" s="1"/>
  <c r="D47" i="31"/>
  <c r="O44" i="37" s="1"/>
  <c r="D48" i="31"/>
  <c r="O45" i="37" s="1"/>
  <c r="D49" i="31"/>
  <c r="O46" i="37" s="1"/>
  <c r="D50" i="31"/>
  <c r="O47" i="37" s="1"/>
  <c r="D51" i="31"/>
  <c r="O48" i="37" s="1"/>
  <c r="D52" i="31"/>
  <c r="O49" i="37" s="1"/>
  <c r="D53" i="31"/>
  <c r="O50" i="37" s="1"/>
  <c r="D54" i="31"/>
  <c r="O51" i="37" s="1"/>
  <c r="D55" i="31"/>
  <c r="O52" i="37" s="1"/>
  <c r="D58" i="31"/>
  <c r="O53" i="37" s="1"/>
  <c r="D59" i="31"/>
  <c r="O54" i="37" s="1"/>
  <c r="D95" i="31"/>
  <c r="O55" i="37" s="1"/>
  <c r="D56" i="31"/>
  <c r="O56" i="37" s="1"/>
  <c r="D97" i="31"/>
  <c r="O57" i="37" s="1"/>
  <c r="D60" i="31"/>
  <c r="O58" i="37" s="1"/>
  <c r="D61" i="31"/>
  <c r="O59" i="37" s="1"/>
  <c r="D84" i="31"/>
  <c r="O60" i="37" s="1"/>
  <c r="D85" i="31"/>
  <c r="O61" i="37" s="1"/>
  <c r="D62" i="31"/>
  <c r="O62" i="37" s="1"/>
  <c r="D91" i="31"/>
  <c r="O63" i="37" s="1"/>
  <c r="D57" i="31"/>
  <c r="O64" i="37" s="1"/>
  <c r="D63" i="31"/>
  <c r="O65" i="37" s="1"/>
  <c r="D64" i="31"/>
  <c r="O66" i="37" s="1"/>
  <c r="D65" i="31"/>
  <c r="O67" i="37" s="1"/>
  <c r="D66" i="31"/>
  <c r="O68" i="37" s="1"/>
  <c r="D67" i="31"/>
  <c r="O69" i="37" s="1"/>
  <c r="D68" i="31"/>
  <c r="O70" i="37" s="1"/>
  <c r="D69" i="31"/>
  <c r="O71" i="37" s="1"/>
  <c r="D70" i="31"/>
  <c r="O72" i="37" s="1"/>
  <c r="D71" i="31"/>
  <c r="O73" i="37" s="1"/>
  <c r="D45" i="31"/>
  <c r="O74" i="37" s="1"/>
  <c r="D72" i="31"/>
  <c r="O75" i="37" s="1"/>
  <c r="D73" i="31"/>
  <c r="O76" i="37" s="1"/>
  <c r="D74" i="31"/>
  <c r="O77" i="37" s="1"/>
  <c r="D75" i="31"/>
  <c r="O78" i="37" s="1"/>
  <c r="D76" i="31"/>
  <c r="O79" i="37" s="1"/>
  <c r="D77" i="31"/>
  <c r="O80" i="37" s="1"/>
  <c r="D78" i="31"/>
  <c r="O81" i="37" s="1"/>
  <c r="D79" i="31"/>
  <c r="O82" i="37" s="1"/>
  <c r="D83" i="31"/>
  <c r="O83" i="37" s="1"/>
  <c r="D99" i="31"/>
  <c r="O84" i="37" s="1"/>
  <c r="D80" i="31"/>
  <c r="O85" i="37" s="1"/>
  <c r="D81" i="31"/>
  <c r="O86" i="37" s="1"/>
  <c r="D32" i="31"/>
  <c r="O87" i="37" s="1"/>
  <c r="D33" i="31"/>
  <c r="O88" i="37" s="1"/>
  <c r="D82" i="31"/>
  <c r="O89" i="37" s="1"/>
  <c r="D86" i="31"/>
  <c r="O90" i="37" s="1"/>
  <c r="D94" i="31"/>
  <c r="O91" i="37" s="1"/>
  <c r="D87" i="31"/>
  <c r="O92" i="37" s="1"/>
  <c r="D88" i="31"/>
  <c r="O93" i="37" s="1"/>
  <c r="D89" i="31"/>
  <c r="O94" i="37" s="1"/>
  <c r="D90" i="31"/>
  <c r="O95" i="37" s="1"/>
  <c r="D96" i="31"/>
  <c r="O96" i="37" s="1"/>
  <c r="D92" i="31"/>
  <c r="O97" i="37" s="1"/>
  <c r="D93" i="31"/>
  <c r="O98" i="37" s="1"/>
  <c r="D98" i="31"/>
  <c r="O99" i="37" s="1"/>
  <c r="D100" i="31"/>
  <c r="O100" i="37" s="1"/>
  <c r="D4" i="29"/>
  <c r="D5" i="29"/>
  <c r="C5" i="38" s="1"/>
  <c r="D6" i="29"/>
  <c r="C6" i="38" s="1"/>
  <c r="D7" i="29"/>
  <c r="C7" i="38" s="1"/>
  <c r="D8" i="29"/>
  <c r="C8" i="38" s="1"/>
  <c r="D9" i="29"/>
  <c r="C9" i="38" s="1"/>
  <c r="D10" i="29"/>
  <c r="C10" i="38" s="1"/>
  <c r="D11" i="29"/>
  <c r="C11" i="38" s="1"/>
  <c r="D12" i="29"/>
  <c r="C12" i="38" s="1"/>
  <c r="D13" i="29"/>
  <c r="C13" i="38" s="1"/>
  <c r="D14" i="29"/>
  <c r="C14" i="38" s="1"/>
  <c r="D15" i="29"/>
  <c r="C15" i="38" s="1"/>
  <c r="D16" i="29"/>
  <c r="C16" i="38" s="1"/>
  <c r="D17" i="29"/>
  <c r="C17" i="38" s="1"/>
  <c r="D18" i="29"/>
  <c r="C18" i="38" s="1"/>
  <c r="D19" i="29"/>
  <c r="C19" i="38" s="1"/>
  <c r="D20" i="29"/>
  <c r="C20" i="38" s="1"/>
  <c r="D21" i="29"/>
  <c r="C21" i="38" s="1"/>
  <c r="D22" i="29"/>
  <c r="C22" i="38" s="1"/>
  <c r="D23" i="29"/>
  <c r="C23" i="38" s="1"/>
  <c r="D24" i="29"/>
  <c r="C24" i="38" s="1"/>
  <c r="D25" i="29"/>
  <c r="C25" i="38" s="1"/>
  <c r="D26" i="29"/>
  <c r="C26" i="38" s="1"/>
  <c r="D27" i="29"/>
  <c r="C27" i="38" s="1"/>
  <c r="D28" i="29"/>
  <c r="C28" i="38" s="1"/>
  <c r="D29" i="29"/>
  <c r="C29" i="38" s="1"/>
  <c r="D30" i="29"/>
  <c r="C30" i="38" s="1"/>
  <c r="D31" i="29"/>
  <c r="C31" i="38" s="1"/>
  <c r="D32" i="29"/>
  <c r="C32" i="38" s="1"/>
  <c r="D33" i="29"/>
  <c r="C33" i="38" s="1"/>
  <c r="D34" i="29"/>
  <c r="C34" i="38" s="1"/>
  <c r="D35" i="29"/>
  <c r="C35" i="38" s="1"/>
  <c r="D36" i="29"/>
  <c r="C36" i="38" s="1"/>
  <c r="D37" i="29"/>
  <c r="C37" i="38" s="1"/>
  <c r="D46" i="29"/>
  <c r="C38" i="38" s="1"/>
  <c r="D47" i="29"/>
  <c r="C39" i="38" s="1"/>
  <c r="D74" i="29"/>
  <c r="C40" i="38" s="1"/>
  <c r="D56" i="29"/>
  <c r="C41" i="38" s="1"/>
  <c r="D57" i="29"/>
  <c r="C42" i="38" s="1"/>
  <c r="D48" i="29"/>
  <c r="C43" i="38" s="1"/>
  <c r="D49" i="29"/>
  <c r="C44" i="38" s="1"/>
  <c r="D50" i="29"/>
  <c r="C45" i="38" s="1"/>
  <c r="D42" i="29"/>
  <c r="C46" i="38" s="1"/>
  <c r="D55" i="29"/>
  <c r="C47" i="38" s="1"/>
  <c r="D72" i="29"/>
  <c r="C48" i="38" s="1"/>
  <c r="D73" i="29"/>
  <c r="C49" i="38" s="1"/>
  <c r="D51" i="29"/>
  <c r="C50" i="38" s="1"/>
  <c r="D52" i="29"/>
  <c r="C51" i="38" s="1"/>
  <c r="D53" i="29"/>
  <c r="C52" i="38" s="1"/>
  <c r="D54" i="29"/>
  <c r="C53" i="38" s="1"/>
  <c r="D58" i="29"/>
  <c r="C54" i="38" s="1"/>
  <c r="D96" i="29"/>
  <c r="C55" i="38" s="1"/>
  <c r="D59" i="29"/>
  <c r="C56" i="38" s="1"/>
  <c r="D60" i="29"/>
  <c r="C57" i="38" s="1"/>
  <c r="D61" i="29"/>
  <c r="C58" i="38" s="1"/>
  <c r="D62" i="29"/>
  <c r="C59" i="38" s="1"/>
  <c r="D63" i="29"/>
  <c r="C60" i="38" s="1"/>
  <c r="D64" i="29"/>
  <c r="C61" i="38" s="1"/>
  <c r="D65" i="29"/>
  <c r="C62" i="38" s="1"/>
  <c r="D80" i="29"/>
  <c r="C63" i="38" s="1"/>
  <c r="D66" i="29"/>
  <c r="C64" i="38" s="1"/>
  <c r="D67" i="29"/>
  <c r="C65" i="38" s="1"/>
  <c r="D68" i="29"/>
  <c r="C66" i="38" s="1"/>
  <c r="D70" i="29"/>
  <c r="C67" i="38" s="1"/>
  <c r="D71" i="29"/>
  <c r="C68" i="38" s="1"/>
  <c r="D83" i="29"/>
  <c r="C69" i="38" s="1"/>
  <c r="D69" i="29"/>
  <c r="C70" i="38" s="1"/>
  <c r="D75" i="29"/>
  <c r="C71" i="38" s="1"/>
  <c r="D76" i="29"/>
  <c r="C72" i="38" s="1"/>
  <c r="D77" i="29"/>
  <c r="C73" i="38" s="1"/>
  <c r="D78" i="29"/>
  <c r="C74" i="38" s="1"/>
  <c r="D79" i="29"/>
  <c r="C75" i="38" s="1"/>
  <c r="D43" i="29"/>
  <c r="C76" i="38" s="1"/>
  <c r="D44" i="29"/>
  <c r="C77" i="38" s="1"/>
  <c r="D97" i="29"/>
  <c r="C78" i="38" s="1"/>
  <c r="D38" i="29"/>
  <c r="C79" i="38" s="1"/>
  <c r="D39" i="29"/>
  <c r="C80" i="38" s="1"/>
  <c r="D40" i="29"/>
  <c r="C81" i="38" s="1"/>
  <c r="D41" i="29"/>
  <c r="C82" i="38" s="1"/>
  <c r="D45" i="29"/>
  <c r="C83" i="38" s="1"/>
  <c r="D88" i="29"/>
  <c r="C84" i="38" s="1"/>
  <c r="D89" i="29"/>
  <c r="C85" i="38" s="1"/>
  <c r="D90" i="29"/>
  <c r="C86" i="38" s="1"/>
  <c r="D91" i="29"/>
  <c r="C87" i="38" s="1"/>
  <c r="D92" i="29"/>
  <c r="C88" i="38" s="1"/>
  <c r="D93" i="29"/>
  <c r="C89" i="38" s="1"/>
  <c r="D94" i="29"/>
  <c r="C90" i="38" s="1"/>
  <c r="D98" i="29"/>
  <c r="C91" i="38" s="1"/>
  <c r="D81" i="29"/>
  <c r="C92" i="38" s="1"/>
  <c r="D100" i="29"/>
  <c r="C93" i="38" s="1"/>
  <c r="D82" i="29"/>
  <c r="C94" i="38" s="1"/>
  <c r="D84" i="29"/>
  <c r="C95" i="38" s="1"/>
  <c r="D85" i="29"/>
  <c r="C96" i="38" s="1"/>
  <c r="D99" i="29"/>
  <c r="C97" i="38" s="1"/>
  <c r="D86" i="29"/>
  <c r="C98" i="38" s="1"/>
  <c r="D87" i="29"/>
  <c r="C99" i="38" s="1"/>
  <c r="D95" i="29"/>
  <c r="C100" i="38" s="1"/>
  <c r="D101" i="29"/>
  <c r="C101" i="38" s="1"/>
  <c r="G14" i="31"/>
  <c r="D10" i="35"/>
  <c r="S10" i="38" s="1"/>
  <c r="D11" i="35"/>
  <c r="S11" i="38" s="1"/>
  <c r="D12" i="35"/>
  <c r="S12" i="38" s="1"/>
  <c r="D13" i="35"/>
  <c r="S13" i="38" s="1"/>
  <c r="D14" i="35"/>
  <c r="S14" i="38" s="1"/>
  <c r="D15" i="35"/>
  <c r="S15" i="38" s="1"/>
  <c r="D3" i="21"/>
  <c r="G3" i="18" s="1"/>
  <c r="D4" i="21"/>
  <c r="D5" i="21"/>
  <c r="G5" i="18" s="1"/>
  <c r="D6" i="21"/>
  <c r="G6" i="18" s="1"/>
  <c r="D7" i="21"/>
  <c r="G7" i="18" s="1"/>
  <c r="D8" i="21"/>
  <c r="G8" i="18" s="1"/>
  <c r="D9" i="21"/>
  <c r="G9" i="18" s="1"/>
  <c r="D10" i="21"/>
  <c r="G10" i="18" s="1"/>
  <c r="D11" i="21"/>
  <c r="G11" i="18" s="1"/>
  <c r="D12" i="21"/>
  <c r="G12" i="18" s="1"/>
  <c r="D13" i="21"/>
  <c r="G13" i="18" s="1"/>
  <c r="D14" i="21"/>
  <c r="G14" i="18" s="1"/>
  <c r="D15" i="21"/>
  <c r="G15" i="18" s="1"/>
  <c r="D16" i="21"/>
  <c r="G16" i="18" s="1"/>
  <c r="D17" i="21"/>
  <c r="G17" i="18" s="1"/>
  <c r="D18" i="21"/>
  <c r="G18" i="18" s="1"/>
  <c r="D19" i="21"/>
  <c r="G19" i="18" s="1"/>
  <c r="D20" i="21"/>
  <c r="G20" i="18" s="1"/>
  <c r="D21" i="21"/>
  <c r="G21" i="18" s="1"/>
  <c r="D22" i="21"/>
  <c r="G22" i="18" s="1"/>
  <c r="D23" i="21"/>
  <c r="G23" i="18" s="1"/>
  <c r="D83" i="21"/>
  <c r="G24" i="18" s="1"/>
  <c r="D24" i="21"/>
  <c r="G25" i="18" s="1"/>
  <c r="D25" i="21"/>
  <c r="G26" i="18" s="1"/>
  <c r="D26" i="21"/>
  <c r="G27" i="18" s="1"/>
  <c r="D27" i="21"/>
  <c r="G28" i="18" s="1"/>
  <c r="D28" i="21"/>
  <c r="G29" i="18" s="1"/>
  <c r="D29" i="21"/>
  <c r="G30" i="18" s="1"/>
  <c r="D30" i="21"/>
  <c r="G31" i="18" s="1"/>
  <c r="D31" i="21"/>
  <c r="G32" i="18" s="1"/>
  <c r="D32" i="21"/>
  <c r="G33" i="18" s="1"/>
  <c r="D33" i="21"/>
  <c r="G34" i="18" s="1"/>
  <c r="D34" i="21"/>
  <c r="G35" i="18" s="1"/>
  <c r="D35" i="21"/>
  <c r="G36" i="18" s="1"/>
  <c r="D36" i="21"/>
  <c r="G37" i="18" s="1"/>
  <c r="D37" i="21"/>
  <c r="G38" i="18" s="1"/>
  <c r="D38" i="21"/>
  <c r="G39" i="18" s="1"/>
  <c r="D39" i="21"/>
  <c r="G40" i="18" s="1"/>
  <c r="C103" i="43"/>
  <c r="J1" i="19"/>
  <c r="C6" i="19" s="1"/>
  <c r="I1" i="19"/>
  <c r="C5" i="19" s="1"/>
  <c r="F1" i="19"/>
  <c r="D4" i="39"/>
  <c r="D5" i="39"/>
  <c r="W5" i="38" s="1"/>
  <c r="D6" i="39"/>
  <c r="W6" i="38" s="1"/>
  <c r="D7" i="39"/>
  <c r="W7" i="38" s="1"/>
  <c r="D8" i="39"/>
  <c r="W8" i="38" s="1"/>
  <c r="D9" i="39"/>
  <c r="W9" i="38" s="1"/>
  <c r="D10" i="39"/>
  <c r="W10" i="38" s="1"/>
  <c r="D11" i="39"/>
  <c r="W11" i="38" s="1"/>
  <c r="D12" i="39"/>
  <c r="W12" i="38" s="1"/>
  <c r="D13" i="39"/>
  <c r="W13" i="38" s="1"/>
  <c r="D14" i="39"/>
  <c r="W14" i="38" s="1"/>
  <c r="D15" i="39"/>
  <c r="W15" i="38" s="1"/>
  <c r="D16" i="39"/>
  <c r="W16" i="38" s="1"/>
  <c r="D17" i="39"/>
  <c r="W17" i="38" s="1"/>
  <c r="D18" i="39"/>
  <c r="W36" i="38" s="1"/>
  <c r="D19" i="39"/>
  <c r="W19" i="38" s="1"/>
  <c r="D20" i="39"/>
  <c r="W20" i="38" s="1"/>
  <c r="D21" i="39"/>
  <c r="W31" i="38" s="1"/>
  <c r="D22" i="39"/>
  <c r="W21" i="38" s="1"/>
  <c r="D23" i="39"/>
  <c r="W23" i="38" s="1"/>
  <c r="D24" i="39"/>
  <c r="W22" i="38" s="1"/>
  <c r="D25" i="39"/>
  <c r="W27" i="38" s="1"/>
  <c r="D26" i="39"/>
  <c r="D27" i="39"/>
  <c r="W35" i="38" s="1"/>
  <c r="D28" i="39"/>
  <c r="W33" i="38" s="1"/>
  <c r="D29" i="39"/>
  <c r="W28" i="38" s="1"/>
  <c r="D30" i="39"/>
  <c r="W18" i="38" s="1"/>
  <c r="D31" i="39"/>
  <c r="W24" i="38" s="1"/>
  <c r="D32" i="39"/>
  <c r="W25" i="38" s="1"/>
  <c r="D33" i="39"/>
  <c r="W26" i="38" s="1"/>
  <c r="D34" i="39"/>
  <c r="W29" i="38" s="1"/>
  <c r="D35" i="39"/>
  <c r="W30" i="38" s="1"/>
  <c r="D36" i="39"/>
  <c r="W34" i="38" s="1"/>
  <c r="D37" i="39"/>
  <c r="W37" i="38" s="1"/>
  <c r="D38" i="39"/>
  <c r="W38" i="38" s="1"/>
  <c r="D46" i="39"/>
  <c r="W39" i="38" s="1"/>
  <c r="D40" i="39"/>
  <c r="W40" i="38" s="1"/>
  <c r="D41" i="39"/>
  <c r="W41" i="38" s="1"/>
  <c r="D42" i="39"/>
  <c r="W42" i="38" s="1"/>
  <c r="D43" i="39"/>
  <c r="W43" i="38" s="1"/>
  <c r="D44" i="39"/>
  <c r="W44" i="38" s="1"/>
  <c r="D45" i="39"/>
  <c r="W45" i="38" s="1"/>
  <c r="D84" i="39"/>
  <c r="W46" i="38" s="1"/>
  <c r="D94" i="39"/>
  <c r="W47" i="38" s="1"/>
  <c r="D48" i="39"/>
  <c r="W48" i="38" s="1"/>
  <c r="D64" i="39"/>
  <c r="W49" i="38" s="1"/>
  <c r="D39" i="39"/>
  <c r="W79" i="38" s="1"/>
  <c r="D49" i="39"/>
  <c r="W74" i="38" s="1"/>
  <c r="D63" i="39"/>
  <c r="W50" i="38" s="1"/>
  <c r="D50" i="39"/>
  <c r="W51" i="38" s="1"/>
  <c r="D51" i="39"/>
  <c r="W52" i="38" s="1"/>
  <c r="D52" i="39"/>
  <c r="W53" i="38" s="1"/>
  <c r="D53" i="39"/>
  <c r="W54" i="38" s="1"/>
  <c r="D56" i="39"/>
  <c r="W55" i="38" s="1"/>
  <c r="D57" i="39"/>
  <c r="W56" i="38" s="1"/>
  <c r="D58" i="39"/>
  <c r="W57" i="38" s="1"/>
  <c r="D59" i="39"/>
  <c r="W58" i="38" s="1"/>
  <c r="D60" i="39"/>
  <c r="W59" i="38" s="1"/>
  <c r="D61" i="39"/>
  <c r="W60" i="38" s="1"/>
  <c r="D55" i="39"/>
  <c r="W65" i="38" s="1"/>
  <c r="D65" i="39"/>
  <c r="W61" i="38" s="1"/>
  <c r="D66" i="39"/>
  <c r="W62" i="38" s="1"/>
  <c r="D67" i="39"/>
  <c r="W63" i="38" s="1"/>
  <c r="D68" i="39"/>
  <c r="W64" i="38" s="1"/>
  <c r="D62" i="39"/>
  <c r="W66" i="38" s="1"/>
  <c r="D69" i="39"/>
  <c r="W67" i="38" s="1"/>
  <c r="D70" i="39"/>
  <c r="W68" i="38" s="1"/>
  <c r="D71" i="39"/>
  <c r="W70" i="38" s="1"/>
  <c r="D72" i="39"/>
  <c r="W71" i="38" s="1"/>
  <c r="D74" i="39"/>
  <c r="W72" i="38" s="1"/>
  <c r="D96" i="39"/>
  <c r="W73" i="38" s="1"/>
  <c r="D77" i="39"/>
  <c r="W75" i="38" s="1"/>
  <c r="D75" i="39"/>
  <c r="W76" i="38" s="1"/>
  <c r="D79" i="39"/>
  <c r="W77" i="38" s="1"/>
  <c r="D80" i="39"/>
  <c r="W78" i="38" s="1"/>
  <c r="D83" i="39"/>
  <c r="W80" i="38" s="1"/>
  <c r="D85" i="39"/>
  <c r="W81" i="38" s="1"/>
  <c r="D95" i="39"/>
  <c r="W82" i="38" s="1"/>
  <c r="D73" i="39"/>
  <c r="W83" i="38" s="1"/>
  <c r="D86" i="39"/>
  <c r="W84" i="38" s="1"/>
  <c r="D87" i="39"/>
  <c r="W85" i="38" s="1"/>
  <c r="D88" i="39"/>
  <c r="W86" i="38" s="1"/>
  <c r="D89" i="39"/>
  <c r="W88" i="38" s="1"/>
  <c r="D90" i="39"/>
  <c r="W89" i="38" s="1"/>
  <c r="D76" i="39"/>
  <c r="W90" i="38" s="1"/>
  <c r="D91" i="39"/>
  <c r="W91" i="38" s="1"/>
  <c r="D78" i="39"/>
  <c r="W93" i="38" s="1"/>
  <c r="D93" i="39"/>
  <c r="W94" i="38" s="1"/>
  <c r="D97" i="39"/>
  <c r="W92" i="38" s="1"/>
  <c r="D98" i="39"/>
  <c r="W95" i="38" s="1"/>
  <c r="D92" i="39"/>
  <c r="W87" i="38" s="1"/>
  <c r="D54" i="39"/>
  <c r="W69" i="38" s="1"/>
  <c r="D99" i="39"/>
  <c r="W96" i="38" s="1"/>
  <c r="D100" i="39"/>
  <c r="W97" i="38" s="1"/>
  <c r="D82" i="39"/>
  <c r="W98" i="38" s="1"/>
  <c r="D101" i="39"/>
  <c r="W99" i="38" s="1"/>
  <c r="D47" i="39"/>
  <c r="W100" i="38" s="1"/>
  <c r="D81" i="39"/>
  <c r="W101" i="38" s="1"/>
  <c r="D57" i="27"/>
  <c r="W56" i="37" s="1"/>
  <c r="S102" i="37"/>
  <c r="S103" i="37"/>
  <c r="S104" i="37"/>
  <c r="S105" i="37"/>
  <c r="S106" i="37"/>
  <c r="D4" i="30"/>
  <c r="D5" i="30"/>
  <c r="S5" i="37" s="1"/>
  <c r="D6" i="30"/>
  <c r="S6" i="37" s="1"/>
  <c r="D7" i="30"/>
  <c r="S7" i="37" s="1"/>
  <c r="D8" i="30"/>
  <c r="S8" i="37" s="1"/>
  <c r="D9" i="30"/>
  <c r="S9" i="37" s="1"/>
  <c r="D10" i="30"/>
  <c r="S10" i="37" s="1"/>
  <c r="D11" i="30"/>
  <c r="S11" i="37" s="1"/>
  <c r="D12" i="30"/>
  <c r="S12" i="37" s="1"/>
  <c r="D13" i="30"/>
  <c r="S13" i="37" s="1"/>
  <c r="D14" i="30"/>
  <c r="S14" i="37" s="1"/>
  <c r="D15" i="30"/>
  <c r="S15" i="37" s="1"/>
  <c r="D16" i="30"/>
  <c r="S16" i="37" s="1"/>
  <c r="D17" i="30"/>
  <c r="S17" i="37" s="1"/>
  <c r="D18" i="30"/>
  <c r="S18" i="37" s="1"/>
  <c r="D19" i="30"/>
  <c r="S19" i="37" s="1"/>
  <c r="D20" i="30"/>
  <c r="S20" i="37" s="1"/>
  <c r="D21" i="30"/>
  <c r="S21" i="37" s="1"/>
  <c r="D22" i="30"/>
  <c r="S22" i="37" s="1"/>
  <c r="D23" i="30"/>
  <c r="S23" i="37" s="1"/>
  <c r="D24" i="30"/>
  <c r="S24" i="37" s="1"/>
  <c r="D25" i="30"/>
  <c r="S25" i="37" s="1"/>
  <c r="D26" i="30"/>
  <c r="S26" i="37" s="1"/>
  <c r="D27" i="30"/>
  <c r="S27" i="37" s="1"/>
  <c r="D28" i="30"/>
  <c r="S28" i="37" s="1"/>
  <c r="D29" i="30"/>
  <c r="S29" i="37" s="1"/>
  <c r="D30" i="30"/>
  <c r="S30" i="37" s="1"/>
  <c r="D31" i="30"/>
  <c r="S31" i="37" s="1"/>
  <c r="D32" i="30"/>
  <c r="S32" i="37" s="1"/>
  <c r="D33" i="30"/>
  <c r="S33" i="37" s="1"/>
  <c r="D34" i="30"/>
  <c r="S34" i="37" s="1"/>
  <c r="D35" i="30"/>
  <c r="S35" i="37" s="1"/>
  <c r="D36" i="30"/>
  <c r="S36" i="37" s="1"/>
  <c r="D37" i="30"/>
  <c r="S37" i="37" s="1"/>
  <c r="D38" i="30"/>
  <c r="S38" i="37" s="1"/>
  <c r="D39" i="30"/>
  <c r="S39" i="37" s="1"/>
  <c r="D40" i="30"/>
  <c r="S40" i="37" s="1"/>
  <c r="D42" i="30"/>
  <c r="S41" i="37" s="1"/>
  <c r="D43" i="30"/>
  <c r="S42" i="37" s="1"/>
  <c r="D44" i="30"/>
  <c r="S43" i="37" s="1"/>
  <c r="D45" i="30"/>
  <c r="S44" i="37" s="1"/>
  <c r="D46" i="30"/>
  <c r="S45" i="37" s="1"/>
  <c r="D47" i="30"/>
  <c r="S46" i="37" s="1"/>
  <c r="D48" i="30"/>
  <c r="S47" i="37" s="1"/>
  <c r="D49" i="30"/>
  <c r="S48" i="37" s="1"/>
  <c r="D50" i="30"/>
  <c r="S49" i="37" s="1"/>
  <c r="D51" i="30"/>
  <c r="S50" i="37" s="1"/>
  <c r="D52" i="30"/>
  <c r="S51" i="37" s="1"/>
  <c r="D53" i="30"/>
  <c r="S52" i="37" s="1"/>
  <c r="D54" i="30"/>
  <c r="S53" i="37" s="1"/>
  <c r="D55" i="30"/>
  <c r="S54" i="37" s="1"/>
  <c r="D56" i="30"/>
  <c r="S55" i="37" s="1"/>
  <c r="D57" i="30"/>
  <c r="S56" i="37" s="1"/>
  <c r="D58" i="30"/>
  <c r="S57" i="37" s="1"/>
  <c r="D59" i="30"/>
  <c r="S58" i="37" s="1"/>
  <c r="D60" i="30"/>
  <c r="S59" i="37" s="1"/>
  <c r="D61" i="30"/>
  <c r="S60" i="37" s="1"/>
  <c r="D62" i="30"/>
  <c r="S61" i="37" s="1"/>
  <c r="D63" i="30"/>
  <c r="S62" i="37" s="1"/>
  <c r="D64" i="30"/>
  <c r="S63" i="37" s="1"/>
  <c r="D65" i="30"/>
  <c r="S64" i="37" s="1"/>
  <c r="D66" i="30"/>
  <c r="S65" i="37" s="1"/>
  <c r="D67" i="30"/>
  <c r="S66" i="37" s="1"/>
  <c r="D68" i="30"/>
  <c r="S67" i="37" s="1"/>
  <c r="D69" i="30"/>
  <c r="S68" i="37" s="1"/>
  <c r="D70" i="30"/>
  <c r="S69" i="37" s="1"/>
  <c r="D71" i="30"/>
  <c r="S70" i="37" s="1"/>
  <c r="D72" i="30"/>
  <c r="S71" i="37" s="1"/>
  <c r="D73" i="30"/>
  <c r="S72" i="37" s="1"/>
  <c r="D74" i="30"/>
  <c r="S73" i="37" s="1"/>
  <c r="D75" i="30"/>
  <c r="S74" i="37" s="1"/>
  <c r="D76" i="30"/>
  <c r="S75" i="37" s="1"/>
  <c r="D77" i="30"/>
  <c r="S76" i="37" s="1"/>
  <c r="D78" i="30"/>
  <c r="S77" i="37" s="1"/>
  <c r="D79" i="30"/>
  <c r="S78" i="37" s="1"/>
  <c r="D80" i="30"/>
  <c r="S79" i="37" s="1"/>
  <c r="D81" i="30"/>
  <c r="S80" i="37" s="1"/>
  <c r="D82" i="30"/>
  <c r="S81" i="37" s="1"/>
  <c r="D83" i="30"/>
  <c r="S82" i="37" s="1"/>
  <c r="D84" i="30"/>
  <c r="S83" i="37" s="1"/>
  <c r="D85" i="30"/>
  <c r="S84" i="37" s="1"/>
  <c r="D86" i="30"/>
  <c r="S85" i="37" s="1"/>
  <c r="D87" i="30"/>
  <c r="S86" i="37" s="1"/>
  <c r="D88" i="30"/>
  <c r="S87" i="37" s="1"/>
  <c r="D89" i="30"/>
  <c r="S88" i="37" s="1"/>
  <c r="D90" i="30"/>
  <c r="S89" i="37" s="1"/>
  <c r="D91" i="30"/>
  <c r="S90" i="37" s="1"/>
  <c r="D92" i="30"/>
  <c r="S91" i="37" s="1"/>
  <c r="D93" i="30"/>
  <c r="S92" i="37" s="1"/>
  <c r="D94" i="30"/>
  <c r="S93" i="37" s="1"/>
  <c r="D95" i="30"/>
  <c r="S94" i="37" s="1"/>
  <c r="D41" i="30"/>
  <c r="S95" i="37" s="1"/>
  <c r="D96" i="30"/>
  <c r="S96" i="37" s="1"/>
  <c r="D97" i="30"/>
  <c r="S97" i="37" s="1"/>
  <c r="D98" i="30"/>
  <c r="S98" i="37" s="1"/>
  <c r="D99" i="30"/>
  <c r="S99" i="37" s="1"/>
  <c r="D100" i="30"/>
  <c r="S100" i="37" s="1"/>
  <c r="D101" i="30"/>
  <c r="S101" i="37" s="1"/>
  <c r="D102" i="24"/>
  <c r="O101" i="18" s="1"/>
  <c r="W102" i="38"/>
  <c r="W103" i="38"/>
  <c r="W104" i="38"/>
  <c r="W105" i="38"/>
  <c r="K102" i="38"/>
  <c r="K103" i="38"/>
  <c r="K104" i="38"/>
  <c r="K105" i="38"/>
  <c r="D76" i="40"/>
  <c r="K101" i="38" s="1"/>
  <c r="D101" i="40"/>
  <c r="K100" i="38" s="1"/>
  <c r="D100" i="40"/>
  <c r="K99" i="38" s="1"/>
  <c r="D98" i="40"/>
  <c r="K98" i="38" s="1"/>
  <c r="D97" i="40"/>
  <c r="K97" i="38" s="1"/>
  <c r="D96" i="40"/>
  <c r="K96" i="38" s="1"/>
  <c r="D95" i="40"/>
  <c r="K95" i="38" s="1"/>
  <c r="D94" i="40"/>
  <c r="K94" i="38" s="1"/>
  <c r="D93" i="40"/>
  <c r="K93" i="38" s="1"/>
  <c r="D73" i="40"/>
  <c r="K92" i="38" s="1"/>
  <c r="D92" i="40"/>
  <c r="K91" i="38" s="1"/>
  <c r="D91" i="40"/>
  <c r="K90" i="38" s="1"/>
  <c r="D90" i="40"/>
  <c r="K89" i="38" s="1"/>
  <c r="D89" i="40"/>
  <c r="K88" i="38" s="1"/>
  <c r="D88" i="40"/>
  <c r="K87" i="38" s="1"/>
  <c r="D99" i="40"/>
  <c r="K86" i="38" s="1"/>
  <c r="D86" i="40"/>
  <c r="K85" i="38" s="1"/>
  <c r="D84" i="40"/>
  <c r="K84" i="38" s="1"/>
  <c r="D83" i="40"/>
  <c r="K83" i="38" s="1"/>
  <c r="D82" i="40"/>
  <c r="K82" i="38" s="1"/>
  <c r="D81" i="40"/>
  <c r="K81" i="38" s="1"/>
  <c r="D80" i="40"/>
  <c r="K80" i="38" s="1"/>
  <c r="D79" i="40"/>
  <c r="K79" i="38" s="1"/>
  <c r="D78" i="40"/>
  <c r="K78" i="38" s="1"/>
  <c r="D77" i="40"/>
  <c r="K77" i="38" s="1"/>
  <c r="D74" i="40"/>
  <c r="K76" i="38" s="1"/>
  <c r="D72" i="40"/>
  <c r="K75" i="38" s="1"/>
  <c r="D71" i="40"/>
  <c r="K74" i="38" s="1"/>
  <c r="D70" i="40"/>
  <c r="K73" i="38" s="1"/>
  <c r="D69" i="40"/>
  <c r="K72" i="38" s="1"/>
  <c r="D68" i="40"/>
  <c r="K71" i="38" s="1"/>
  <c r="D67" i="40"/>
  <c r="K70" i="38" s="1"/>
  <c r="D66" i="40"/>
  <c r="K69" i="38" s="1"/>
  <c r="D65" i="40"/>
  <c r="K68" i="38" s="1"/>
  <c r="D75" i="40"/>
  <c r="K67" i="38" s="1"/>
  <c r="D64" i="40"/>
  <c r="K66" i="38" s="1"/>
  <c r="D60" i="40"/>
  <c r="K65" i="38" s="1"/>
  <c r="D63" i="40"/>
  <c r="K64" i="38" s="1"/>
  <c r="D85" i="40"/>
  <c r="K63" i="38" s="1"/>
  <c r="D87" i="40"/>
  <c r="K62" i="38" s="1"/>
  <c r="D62" i="40"/>
  <c r="K61" i="38" s="1"/>
  <c r="D61" i="40"/>
  <c r="K60" i="38" s="1"/>
  <c r="D59" i="40"/>
  <c r="K59" i="38" s="1"/>
  <c r="D58" i="40"/>
  <c r="K58" i="38" s="1"/>
  <c r="D57" i="40"/>
  <c r="K57" i="38" s="1"/>
  <c r="D56" i="40"/>
  <c r="K56" i="38" s="1"/>
  <c r="D37" i="40"/>
  <c r="K55" i="38" s="1"/>
  <c r="D55" i="40"/>
  <c r="K54" i="38" s="1"/>
  <c r="D48" i="40"/>
  <c r="K53" i="38" s="1"/>
  <c r="D47" i="40"/>
  <c r="K52" i="38" s="1"/>
  <c r="D46" i="40"/>
  <c r="K51" i="38" s="1"/>
  <c r="D54" i="40"/>
  <c r="K50" i="38" s="1"/>
  <c r="D53" i="40"/>
  <c r="K49" i="38" s="1"/>
  <c r="D52" i="40"/>
  <c r="K48" i="38" s="1"/>
  <c r="D45" i="40"/>
  <c r="K47" i="38" s="1"/>
  <c r="D51" i="40"/>
  <c r="K46" i="38" s="1"/>
  <c r="D44" i="40"/>
  <c r="K45" i="38" s="1"/>
  <c r="D43" i="40"/>
  <c r="K44" i="38" s="1"/>
  <c r="D42" i="40"/>
  <c r="K43" i="38" s="1"/>
  <c r="D41" i="40"/>
  <c r="K42" i="38" s="1"/>
  <c r="D40" i="40"/>
  <c r="K41" i="38" s="1"/>
  <c r="D39" i="40"/>
  <c r="K40" i="38" s="1"/>
  <c r="D50" i="40"/>
  <c r="K39" i="38" s="1"/>
  <c r="D38" i="40"/>
  <c r="K38" i="38" s="1"/>
  <c r="D49" i="40"/>
  <c r="K37" i="38" s="1"/>
  <c r="D36" i="40"/>
  <c r="K36" i="38" s="1"/>
  <c r="D35" i="40"/>
  <c r="K35" i="38" s="1"/>
  <c r="D34" i="40"/>
  <c r="K34" i="38" s="1"/>
  <c r="D33" i="40"/>
  <c r="K33" i="38" s="1"/>
  <c r="D32" i="40"/>
  <c r="K32" i="38" s="1"/>
  <c r="D31" i="40"/>
  <c r="K31" i="38" s="1"/>
  <c r="D30" i="40"/>
  <c r="K30" i="38" s="1"/>
  <c r="D29" i="40"/>
  <c r="K29" i="38" s="1"/>
  <c r="D28" i="40"/>
  <c r="K28" i="38" s="1"/>
  <c r="D27" i="40"/>
  <c r="K27" i="38" s="1"/>
  <c r="D26" i="40"/>
  <c r="K26" i="38" s="1"/>
  <c r="D25" i="40"/>
  <c r="K25" i="38" s="1"/>
  <c r="D24" i="40"/>
  <c r="K24" i="38" s="1"/>
  <c r="D23" i="40"/>
  <c r="K23" i="38" s="1"/>
  <c r="D22" i="40"/>
  <c r="K22" i="38" s="1"/>
  <c r="D21" i="40"/>
  <c r="K21" i="38" s="1"/>
  <c r="D20" i="40"/>
  <c r="K20" i="38" s="1"/>
  <c r="D19" i="40"/>
  <c r="K19" i="38" s="1"/>
  <c r="D18" i="40"/>
  <c r="K18" i="38" s="1"/>
  <c r="D17" i="40"/>
  <c r="K17" i="38" s="1"/>
  <c r="D16" i="40"/>
  <c r="K16" i="38" s="1"/>
  <c r="D15" i="40"/>
  <c r="K15" i="38" s="1"/>
  <c r="D14" i="40"/>
  <c r="K14" i="38" s="1"/>
  <c r="D13" i="40"/>
  <c r="K13" i="38" s="1"/>
  <c r="G12" i="40"/>
  <c r="D12" i="40"/>
  <c r="K12" i="38" s="1"/>
  <c r="G11" i="40"/>
  <c r="D11" i="40"/>
  <c r="K11" i="38" s="1"/>
  <c r="G10" i="40"/>
  <c r="D10" i="40"/>
  <c r="K10" i="38" s="1"/>
  <c r="G9" i="40"/>
  <c r="D9" i="40"/>
  <c r="K9" i="38" s="1"/>
  <c r="G8" i="40"/>
  <c r="D8" i="40"/>
  <c r="K8" i="38" s="1"/>
  <c r="G7" i="40"/>
  <c r="D7" i="40"/>
  <c r="K7" i="38" s="1"/>
  <c r="D6" i="40"/>
  <c r="K6" i="38" s="1"/>
  <c r="D5" i="40"/>
  <c r="K5" i="38" s="1"/>
  <c r="D4" i="40"/>
  <c r="D3" i="40"/>
  <c r="K3" i="38" s="1"/>
  <c r="W32" i="38"/>
  <c r="G14" i="39"/>
  <c r="G13" i="39"/>
  <c r="G12" i="39"/>
  <c r="G11" i="39"/>
  <c r="G10" i="39"/>
  <c r="G9" i="39"/>
  <c r="G8" i="39"/>
  <c r="G7" i="39"/>
  <c r="D3" i="39"/>
  <c r="W3" i="38" s="1"/>
  <c r="G15" i="30"/>
  <c r="D101" i="28"/>
  <c r="K101" i="37" s="1"/>
  <c r="D100" i="32"/>
  <c r="S100" i="18" s="1"/>
  <c r="D101" i="32"/>
  <c r="S101" i="18" s="1"/>
  <c r="D101" i="34"/>
  <c r="O101" i="38" s="1"/>
  <c r="D101" i="33"/>
  <c r="G101" i="38" s="1"/>
  <c r="D101" i="27"/>
  <c r="W101" i="37" s="1"/>
  <c r="Y1" i="19"/>
  <c r="C21" i="19" s="1"/>
  <c r="X1" i="19"/>
  <c r="C20" i="19" s="1"/>
  <c r="W1" i="19"/>
  <c r="C19" i="19" s="1"/>
  <c r="V1" i="19"/>
  <c r="T1" i="19"/>
  <c r="C16" i="19" s="1"/>
  <c r="S1" i="19"/>
  <c r="C15" i="19" s="1"/>
  <c r="R1" i="19"/>
  <c r="C14" i="19" s="1"/>
  <c r="O1" i="19"/>
  <c r="C11" i="19" s="1"/>
  <c r="M1" i="19"/>
  <c r="C9" i="19" s="1"/>
  <c r="H1" i="19"/>
  <c r="C4" i="19" s="1"/>
  <c r="G1" i="19"/>
  <c r="C3" i="19" s="1"/>
  <c r="A9" i="19"/>
  <c r="A19" i="19"/>
  <c r="C102" i="38"/>
  <c r="C103" i="38"/>
  <c r="G102" i="38"/>
  <c r="G103" i="38"/>
  <c r="G104" i="38"/>
  <c r="G105" i="38"/>
  <c r="G106" i="38"/>
  <c r="G107" i="38"/>
  <c r="G108" i="38"/>
  <c r="G109" i="38"/>
  <c r="G110" i="38"/>
  <c r="G111" i="38"/>
  <c r="G112" i="38"/>
  <c r="G113" i="38"/>
  <c r="G114" i="38"/>
  <c r="G115" i="38"/>
  <c r="G116" i="38"/>
  <c r="G117" i="38"/>
  <c r="G118" i="38"/>
  <c r="G119" i="38"/>
  <c r="G120" i="38"/>
  <c r="G121" i="38"/>
  <c r="G122" i="38"/>
  <c r="G123" i="38"/>
  <c r="G124" i="38"/>
  <c r="G125" i="38"/>
  <c r="G126" i="38"/>
  <c r="G127" i="38"/>
  <c r="G128" i="38"/>
  <c r="G129" i="38"/>
  <c r="G130" i="38"/>
  <c r="G131" i="38"/>
  <c r="G132" i="38"/>
  <c r="G133" i="38"/>
  <c r="G134" i="38"/>
  <c r="G135" i="38"/>
  <c r="G136" i="38"/>
  <c r="G137" i="38"/>
  <c r="G138" i="38"/>
  <c r="G139" i="38"/>
  <c r="G140" i="38"/>
  <c r="G141" i="38"/>
  <c r="G142" i="38"/>
  <c r="G143" i="38"/>
  <c r="G144" i="38"/>
  <c r="G145" i="38"/>
  <c r="G146" i="38"/>
  <c r="G147" i="38"/>
  <c r="G148" i="38"/>
  <c r="G149" i="38"/>
  <c r="G150" i="38"/>
  <c r="G151" i="38"/>
  <c r="G152" i="38"/>
  <c r="G153" i="38"/>
  <c r="G154" i="38"/>
  <c r="G155" i="38"/>
  <c r="G156" i="38"/>
  <c r="G157" i="38"/>
  <c r="G158" i="38"/>
  <c r="G159" i="38"/>
  <c r="G160" i="38"/>
  <c r="G161" i="38"/>
  <c r="G162" i="38"/>
  <c r="G163" i="38"/>
  <c r="G164" i="38"/>
  <c r="G165" i="38"/>
  <c r="G166" i="38"/>
  <c r="G167" i="38"/>
  <c r="G168" i="38"/>
  <c r="G169" i="38"/>
  <c r="G170" i="38"/>
  <c r="G171" i="38"/>
  <c r="G172" i="38"/>
  <c r="G173" i="38"/>
  <c r="G174" i="38"/>
  <c r="G175" i="38"/>
  <c r="G176" i="38"/>
  <c r="G177" i="38"/>
  <c r="G178" i="38"/>
  <c r="G179" i="38"/>
  <c r="G180" i="38"/>
  <c r="G181" i="38"/>
  <c r="G182" i="38"/>
  <c r="G183" i="38"/>
  <c r="G184" i="38"/>
  <c r="G185" i="38"/>
  <c r="G186" i="38"/>
  <c r="G187" i="38"/>
  <c r="G188" i="38"/>
  <c r="G189" i="38"/>
  <c r="G190" i="38"/>
  <c r="G191" i="38"/>
  <c r="G192" i="38"/>
  <c r="G193" i="38"/>
  <c r="G194" i="38"/>
  <c r="G195" i="38"/>
  <c r="G196" i="38"/>
  <c r="G197" i="38"/>
  <c r="G198" i="38"/>
  <c r="G199" i="38"/>
  <c r="G200" i="38"/>
  <c r="O102" i="38"/>
  <c r="O103" i="38"/>
  <c r="O104" i="38"/>
  <c r="C101" i="18"/>
  <c r="C102" i="18"/>
  <c r="K101" i="18"/>
  <c r="D101" i="35"/>
  <c r="S101" i="38" s="1"/>
  <c r="D54" i="25"/>
  <c r="W100" i="18" s="1"/>
  <c r="D101" i="25"/>
  <c r="W101" i="18" s="1"/>
  <c r="D100" i="35"/>
  <c r="S100" i="38" s="1"/>
  <c r="D99" i="35"/>
  <c r="S99" i="38" s="1"/>
  <c r="D98" i="35"/>
  <c r="S98" i="38" s="1"/>
  <c r="D97" i="35"/>
  <c r="S97" i="38" s="1"/>
  <c r="D96" i="35"/>
  <c r="S96" i="38" s="1"/>
  <c r="D95" i="35"/>
  <c r="S95" i="38" s="1"/>
  <c r="D94" i="35"/>
  <c r="S94" i="38" s="1"/>
  <c r="D93" i="35"/>
  <c r="S93" i="38" s="1"/>
  <c r="D92" i="35"/>
  <c r="S92" i="38" s="1"/>
  <c r="D91" i="35"/>
  <c r="S91" i="38" s="1"/>
  <c r="D90" i="35"/>
  <c r="S90" i="38" s="1"/>
  <c r="D89" i="35"/>
  <c r="S89" i="38" s="1"/>
  <c r="D88" i="35"/>
  <c r="S88" i="38" s="1"/>
  <c r="D85" i="35"/>
  <c r="S87" i="38" s="1"/>
  <c r="D84" i="35"/>
  <c r="S86" i="38" s="1"/>
  <c r="D87" i="35"/>
  <c r="S85" i="38" s="1"/>
  <c r="D86" i="35"/>
  <c r="S84" i="38" s="1"/>
  <c r="D83" i="35"/>
  <c r="S83" i="38" s="1"/>
  <c r="D82" i="35"/>
  <c r="S82" i="38" s="1"/>
  <c r="D81" i="35"/>
  <c r="S81" i="38" s="1"/>
  <c r="D80" i="35"/>
  <c r="S80" i="38" s="1"/>
  <c r="D79" i="35"/>
  <c r="S79" i="38" s="1"/>
  <c r="D78" i="35"/>
  <c r="S78" i="38" s="1"/>
  <c r="D77" i="35"/>
  <c r="S77" i="38" s="1"/>
  <c r="D74" i="35"/>
  <c r="S76" i="38" s="1"/>
  <c r="D73" i="35"/>
  <c r="S75" i="38" s="1"/>
  <c r="D72" i="35"/>
  <c r="S74" i="38" s="1"/>
  <c r="D71" i="35"/>
  <c r="S73" i="38" s="1"/>
  <c r="D70" i="35"/>
  <c r="S72" i="38" s="1"/>
  <c r="D69" i="35"/>
  <c r="S71" i="38" s="1"/>
  <c r="D68" i="35"/>
  <c r="S70" i="38" s="1"/>
  <c r="D67" i="35"/>
  <c r="S69" i="38" s="1"/>
  <c r="D66" i="35"/>
  <c r="S68" i="38" s="1"/>
  <c r="D65" i="35"/>
  <c r="S67" i="38" s="1"/>
  <c r="D64" i="35"/>
  <c r="S66" i="38" s="1"/>
  <c r="D63" i="35"/>
  <c r="S65" i="38" s="1"/>
  <c r="D62" i="35"/>
  <c r="S64" i="38" s="1"/>
  <c r="D61" i="35"/>
  <c r="S63" i="38" s="1"/>
  <c r="D60" i="35"/>
  <c r="S62" i="38" s="1"/>
  <c r="D59" i="35"/>
  <c r="S61" i="38" s="1"/>
  <c r="D58" i="35"/>
  <c r="S60" i="38" s="1"/>
  <c r="D48" i="35"/>
  <c r="S59" i="38" s="1"/>
  <c r="D54" i="35"/>
  <c r="S58" i="38" s="1"/>
  <c r="D45" i="35"/>
  <c r="S57" i="38" s="1"/>
  <c r="D56" i="35"/>
  <c r="S55" i="38" s="1"/>
  <c r="D53" i="35"/>
  <c r="S54" i="38" s="1"/>
  <c r="D57" i="35"/>
  <c r="S56" i="38" s="1"/>
  <c r="D52" i="35"/>
  <c r="S53" i="38" s="1"/>
  <c r="D55" i="35"/>
  <c r="S52" i="38" s="1"/>
  <c r="D51" i="35"/>
  <c r="S51" i="38" s="1"/>
  <c r="D50" i="35"/>
  <c r="S50" i="38" s="1"/>
  <c r="D76" i="35"/>
  <c r="S49" i="38" s="1"/>
  <c r="D75" i="35"/>
  <c r="S48" i="38" s="1"/>
  <c r="D49" i="35"/>
  <c r="S47" i="38" s="1"/>
  <c r="D47" i="35"/>
  <c r="S46" i="38" s="1"/>
  <c r="D46" i="35"/>
  <c r="S45" i="38" s="1"/>
  <c r="D44" i="35"/>
  <c r="S44" i="38" s="1"/>
  <c r="D43" i="35"/>
  <c r="S43" i="38" s="1"/>
  <c r="D42" i="35"/>
  <c r="S42" i="38" s="1"/>
  <c r="D41" i="35"/>
  <c r="S41" i="38" s="1"/>
  <c r="D40" i="35"/>
  <c r="S40" i="38" s="1"/>
  <c r="D39" i="35"/>
  <c r="S39" i="38" s="1"/>
  <c r="D38" i="35"/>
  <c r="S38" i="38" s="1"/>
  <c r="D37" i="35"/>
  <c r="S37" i="38" s="1"/>
  <c r="D36" i="35"/>
  <c r="S36" i="38" s="1"/>
  <c r="D35" i="35"/>
  <c r="S35" i="38" s="1"/>
  <c r="D34" i="35"/>
  <c r="S34" i="38" s="1"/>
  <c r="D33" i="35"/>
  <c r="S33" i="38" s="1"/>
  <c r="D32" i="35"/>
  <c r="S32" i="38" s="1"/>
  <c r="D31" i="35"/>
  <c r="S31" i="38" s="1"/>
  <c r="D30" i="35"/>
  <c r="S30" i="38" s="1"/>
  <c r="D29" i="35"/>
  <c r="S29" i="38" s="1"/>
  <c r="D28" i="35"/>
  <c r="S28" i="38" s="1"/>
  <c r="D27" i="35"/>
  <c r="S27" i="38" s="1"/>
  <c r="D26" i="35"/>
  <c r="S26" i="38" s="1"/>
  <c r="D25" i="35"/>
  <c r="S25" i="38" s="1"/>
  <c r="D24" i="35"/>
  <c r="S24" i="38" s="1"/>
  <c r="D23" i="35"/>
  <c r="S23" i="38" s="1"/>
  <c r="D22" i="35"/>
  <c r="S22" i="38" s="1"/>
  <c r="D21" i="35"/>
  <c r="S21" i="38" s="1"/>
  <c r="D20" i="35"/>
  <c r="S20" i="38" s="1"/>
  <c r="D19" i="35"/>
  <c r="S19" i="38" s="1"/>
  <c r="D18" i="35"/>
  <c r="S18" i="38" s="1"/>
  <c r="D17" i="35"/>
  <c r="S17" i="38" s="1"/>
  <c r="G16" i="35"/>
  <c r="D16" i="35"/>
  <c r="S16" i="38" s="1"/>
  <c r="G15" i="35"/>
  <c r="G14" i="35"/>
  <c r="G13" i="35"/>
  <c r="G12" i="35"/>
  <c r="G11" i="35"/>
  <c r="G10" i="35"/>
  <c r="G9" i="35"/>
  <c r="D9" i="35"/>
  <c r="S9" i="38" s="1"/>
  <c r="G8" i="35"/>
  <c r="D8" i="35"/>
  <c r="S8" i="38" s="1"/>
  <c r="G7" i="35"/>
  <c r="D7" i="35"/>
  <c r="S7" i="38" s="1"/>
  <c r="D6" i="35"/>
  <c r="S6" i="38" s="1"/>
  <c r="D5" i="35"/>
  <c r="S5" i="38" s="1"/>
  <c r="D4" i="35"/>
  <c r="D3" i="35"/>
  <c r="D100" i="34"/>
  <c r="O100" i="38" s="1"/>
  <c r="D99" i="34"/>
  <c r="O99" i="38" s="1"/>
  <c r="D98" i="34"/>
  <c r="O98" i="38" s="1"/>
  <c r="D97" i="34"/>
  <c r="O97" i="38" s="1"/>
  <c r="D96" i="34"/>
  <c r="O96" i="38" s="1"/>
  <c r="D95" i="34"/>
  <c r="O95" i="38" s="1"/>
  <c r="D94" i="34"/>
  <c r="O94" i="38" s="1"/>
  <c r="D93" i="34"/>
  <c r="O93" i="38" s="1"/>
  <c r="D92" i="34"/>
  <c r="O92" i="38" s="1"/>
  <c r="D91" i="34"/>
  <c r="O91" i="38" s="1"/>
  <c r="D90" i="34"/>
  <c r="O90" i="38" s="1"/>
  <c r="D89" i="34"/>
  <c r="O89" i="38" s="1"/>
  <c r="D88" i="34"/>
  <c r="O88" i="38" s="1"/>
  <c r="D87" i="34"/>
  <c r="O87" i="38" s="1"/>
  <c r="D86" i="34"/>
  <c r="O86" i="38" s="1"/>
  <c r="D85" i="34"/>
  <c r="O85" i="38" s="1"/>
  <c r="D84" i="34"/>
  <c r="O84" i="38" s="1"/>
  <c r="D83" i="34"/>
  <c r="O83" i="38" s="1"/>
  <c r="D82" i="34"/>
  <c r="O82" i="38" s="1"/>
  <c r="D81" i="34"/>
  <c r="O81" i="38" s="1"/>
  <c r="D80" i="34"/>
  <c r="O80" i="38" s="1"/>
  <c r="D79" i="34"/>
  <c r="O79" i="38" s="1"/>
  <c r="D78" i="34"/>
  <c r="O78" i="38" s="1"/>
  <c r="D77" i="34"/>
  <c r="O77" i="38" s="1"/>
  <c r="D76" i="34"/>
  <c r="O76" i="38" s="1"/>
  <c r="D75" i="34"/>
  <c r="O75" i="38" s="1"/>
  <c r="D74" i="34"/>
  <c r="O74" i="38" s="1"/>
  <c r="D73" i="34"/>
  <c r="O73" i="38" s="1"/>
  <c r="D72" i="34"/>
  <c r="O72" i="38" s="1"/>
  <c r="D71" i="34"/>
  <c r="O71" i="38" s="1"/>
  <c r="D70" i="34"/>
  <c r="O70" i="38" s="1"/>
  <c r="D69" i="34"/>
  <c r="O69" i="38" s="1"/>
  <c r="D68" i="34"/>
  <c r="O68" i="38" s="1"/>
  <c r="D67" i="34"/>
  <c r="O67" i="38" s="1"/>
  <c r="D66" i="34"/>
  <c r="O66" i="38" s="1"/>
  <c r="D65" i="34"/>
  <c r="O65" i="38" s="1"/>
  <c r="D64" i="34"/>
  <c r="O64" i="38" s="1"/>
  <c r="D63" i="34"/>
  <c r="O63" i="38" s="1"/>
  <c r="D62" i="34"/>
  <c r="O62" i="38" s="1"/>
  <c r="D61" i="34"/>
  <c r="O61" i="38" s="1"/>
  <c r="D60" i="34"/>
  <c r="O60" i="38" s="1"/>
  <c r="D59" i="34"/>
  <c r="O59" i="38" s="1"/>
  <c r="D58" i="34"/>
  <c r="O58" i="38" s="1"/>
  <c r="D57" i="34"/>
  <c r="O57" i="38" s="1"/>
  <c r="D56" i="34"/>
  <c r="O56" i="38" s="1"/>
  <c r="D55" i="34"/>
  <c r="O55" i="38" s="1"/>
  <c r="D54" i="34"/>
  <c r="O54" i="38" s="1"/>
  <c r="D53" i="34"/>
  <c r="O53" i="38" s="1"/>
  <c r="D52" i="34"/>
  <c r="O52" i="38" s="1"/>
  <c r="D51" i="34"/>
  <c r="O51" i="38" s="1"/>
  <c r="D50" i="34"/>
  <c r="O50" i="38" s="1"/>
  <c r="D49" i="34"/>
  <c r="O49" i="38" s="1"/>
  <c r="D48" i="34"/>
  <c r="O48" i="38" s="1"/>
  <c r="D47" i="34"/>
  <c r="O47" i="38" s="1"/>
  <c r="D46" i="34"/>
  <c r="O46" i="38" s="1"/>
  <c r="D45" i="34"/>
  <c r="O45" i="38" s="1"/>
  <c r="D44" i="34"/>
  <c r="O44" i="38" s="1"/>
  <c r="D43" i="34"/>
  <c r="O43" i="38" s="1"/>
  <c r="D42" i="34"/>
  <c r="O42" i="38" s="1"/>
  <c r="D41" i="34"/>
  <c r="O41" i="38" s="1"/>
  <c r="D40" i="34"/>
  <c r="O40" i="38" s="1"/>
  <c r="D39" i="34"/>
  <c r="O39" i="38" s="1"/>
  <c r="D38" i="34"/>
  <c r="O38" i="38" s="1"/>
  <c r="D37" i="34"/>
  <c r="O37" i="38" s="1"/>
  <c r="D36" i="34"/>
  <c r="O36" i="38" s="1"/>
  <c r="D35" i="34"/>
  <c r="O35" i="38" s="1"/>
  <c r="D34" i="34"/>
  <c r="O34" i="38" s="1"/>
  <c r="D33" i="34"/>
  <c r="O33" i="38" s="1"/>
  <c r="D32" i="34"/>
  <c r="O32" i="38" s="1"/>
  <c r="D31" i="34"/>
  <c r="O31" i="38" s="1"/>
  <c r="D30" i="34"/>
  <c r="O30" i="38" s="1"/>
  <c r="D29" i="34"/>
  <c r="O29" i="38" s="1"/>
  <c r="D28" i="34"/>
  <c r="O28" i="38" s="1"/>
  <c r="D27" i="34"/>
  <c r="O27" i="38" s="1"/>
  <c r="D26" i="34"/>
  <c r="O26" i="38" s="1"/>
  <c r="D25" i="34"/>
  <c r="O25" i="38" s="1"/>
  <c r="D24" i="34"/>
  <c r="O24" i="38" s="1"/>
  <c r="D23" i="34"/>
  <c r="O23" i="38" s="1"/>
  <c r="D22" i="34"/>
  <c r="O22" i="38" s="1"/>
  <c r="D21" i="34"/>
  <c r="O21" i="38" s="1"/>
  <c r="D20" i="34"/>
  <c r="O20" i="38" s="1"/>
  <c r="D19" i="34"/>
  <c r="O19" i="38" s="1"/>
  <c r="D18" i="34"/>
  <c r="O18" i="38" s="1"/>
  <c r="D17" i="34"/>
  <c r="O17" i="38" s="1"/>
  <c r="D16" i="34"/>
  <c r="O16" i="38" s="1"/>
  <c r="G15" i="34"/>
  <c r="D15" i="34"/>
  <c r="O15" i="38" s="1"/>
  <c r="G14" i="34"/>
  <c r="D14" i="34"/>
  <c r="O14" i="38" s="1"/>
  <c r="G13" i="34"/>
  <c r="D13" i="34"/>
  <c r="O13" i="38" s="1"/>
  <c r="G12" i="34"/>
  <c r="D12" i="34"/>
  <c r="O12" i="38" s="1"/>
  <c r="G11" i="34"/>
  <c r="D11" i="34"/>
  <c r="O11" i="38" s="1"/>
  <c r="G10" i="34"/>
  <c r="D10" i="34"/>
  <c r="O10" i="38" s="1"/>
  <c r="G9" i="34"/>
  <c r="D9" i="34"/>
  <c r="O9" i="38" s="1"/>
  <c r="G8" i="34"/>
  <c r="D8" i="34"/>
  <c r="O8" i="38" s="1"/>
  <c r="G7" i="34"/>
  <c r="D7" i="34"/>
  <c r="O7" i="38" s="1"/>
  <c r="D6" i="34"/>
  <c r="O6" i="38" s="1"/>
  <c r="D5" i="34"/>
  <c r="O5" i="38" s="1"/>
  <c r="D4" i="34"/>
  <c r="D3" i="34"/>
  <c r="O3" i="38" s="1"/>
  <c r="G13" i="32"/>
  <c r="D100" i="33"/>
  <c r="G100" i="38" s="1"/>
  <c r="D99" i="33"/>
  <c r="G99" i="38" s="1"/>
  <c r="D98" i="33"/>
  <c r="G98" i="38" s="1"/>
  <c r="D97" i="33"/>
  <c r="G97" i="38" s="1"/>
  <c r="D96" i="33"/>
  <c r="G96" i="38" s="1"/>
  <c r="D95" i="33"/>
  <c r="G95" i="38" s="1"/>
  <c r="D94" i="33"/>
  <c r="G94" i="38" s="1"/>
  <c r="D93" i="33"/>
  <c r="G93" i="38" s="1"/>
  <c r="D92" i="33"/>
  <c r="G92" i="38" s="1"/>
  <c r="D91" i="33"/>
  <c r="G91" i="38" s="1"/>
  <c r="D90" i="33"/>
  <c r="G90" i="38" s="1"/>
  <c r="D89" i="33"/>
  <c r="G89" i="38" s="1"/>
  <c r="D88" i="33"/>
  <c r="G88" i="38" s="1"/>
  <c r="D87" i="33"/>
  <c r="G87" i="38" s="1"/>
  <c r="D86" i="33"/>
  <c r="G86" i="38" s="1"/>
  <c r="D85" i="33"/>
  <c r="G85" i="38" s="1"/>
  <c r="D84" i="33"/>
  <c r="G84" i="38" s="1"/>
  <c r="D83" i="33"/>
  <c r="G83" i="38" s="1"/>
  <c r="D82" i="33"/>
  <c r="G82" i="38" s="1"/>
  <c r="D81" i="33"/>
  <c r="G81" i="38" s="1"/>
  <c r="D80" i="33"/>
  <c r="G80" i="38" s="1"/>
  <c r="D79" i="33"/>
  <c r="G79" i="38" s="1"/>
  <c r="D78" i="33"/>
  <c r="G78" i="38" s="1"/>
  <c r="D77" i="33"/>
  <c r="G77" i="38" s="1"/>
  <c r="D76" i="33"/>
  <c r="G76" i="38" s="1"/>
  <c r="D75" i="33"/>
  <c r="G75" i="38" s="1"/>
  <c r="D74" i="33"/>
  <c r="G74" i="38" s="1"/>
  <c r="D73" i="33"/>
  <c r="G73" i="38" s="1"/>
  <c r="D72" i="33"/>
  <c r="G72" i="38" s="1"/>
  <c r="D71" i="33"/>
  <c r="G71" i="38" s="1"/>
  <c r="D70" i="33"/>
  <c r="G70" i="38" s="1"/>
  <c r="D69" i="33"/>
  <c r="G69" i="38" s="1"/>
  <c r="D68" i="33"/>
  <c r="G68" i="38" s="1"/>
  <c r="D66" i="33"/>
  <c r="G67" i="38" s="1"/>
  <c r="D65" i="33"/>
  <c r="G66" i="38" s="1"/>
  <c r="D64" i="33"/>
  <c r="G65" i="38" s="1"/>
  <c r="D63" i="33"/>
  <c r="G64" i="38" s="1"/>
  <c r="D62" i="33"/>
  <c r="G63" i="38" s="1"/>
  <c r="D61" i="33"/>
  <c r="G62" i="38" s="1"/>
  <c r="D60" i="33"/>
  <c r="G61" i="38" s="1"/>
  <c r="D59" i="33"/>
  <c r="G60" i="38" s="1"/>
  <c r="D58" i="33"/>
  <c r="G59" i="38" s="1"/>
  <c r="D57" i="33"/>
  <c r="G58" i="38" s="1"/>
  <c r="D56" i="33"/>
  <c r="G57" i="38" s="1"/>
  <c r="D55" i="33"/>
  <c r="G56" i="38" s="1"/>
  <c r="D54" i="33"/>
  <c r="G55" i="38" s="1"/>
  <c r="D53" i="33"/>
  <c r="G54" i="38" s="1"/>
  <c r="D41" i="33"/>
  <c r="G53" i="38" s="1"/>
  <c r="D40" i="33"/>
  <c r="G52" i="38" s="1"/>
  <c r="D39" i="33"/>
  <c r="G51" i="38" s="1"/>
  <c r="D38" i="33"/>
  <c r="G50" i="38" s="1"/>
  <c r="D52" i="33"/>
  <c r="G49" i="38" s="1"/>
  <c r="D67" i="33"/>
  <c r="G48" i="38" s="1"/>
  <c r="D51" i="33"/>
  <c r="G47" i="38" s="1"/>
  <c r="D50" i="33"/>
  <c r="G46" i="38" s="1"/>
  <c r="D49" i="33"/>
  <c r="G45" i="38" s="1"/>
  <c r="D48" i="33"/>
  <c r="G44" i="38" s="1"/>
  <c r="D47" i="33"/>
  <c r="G43" i="38" s="1"/>
  <c r="D46" i="33"/>
  <c r="G42" i="38" s="1"/>
  <c r="D45" i="33"/>
  <c r="G41" i="38" s="1"/>
  <c r="D44" i="33"/>
  <c r="G40" i="38" s="1"/>
  <c r="D43" i="33"/>
  <c r="G39" i="38" s="1"/>
  <c r="D42" i="33"/>
  <c r="G38" i="38" s="1"/>
  <c r="D37" i="33"/>
  <c r="G37" i="38" s="1"/>
  <c r="D36" i="33"/>
  <c r="G36" i="38" s="1"/>
  <c r="D35" i="33"/>
  <c r="G35" i="38" s="1"/>
  <c r="D34" i="33"/>
  <c r="G34" i="38" s="1"/>
  <c r="D33" i="33"/>
  <c r="G33" i="38" s="1"/>
  <c r="D32" i="33"/>
  <c r="G32" i="38" s="1"/>
  <c r="D31" i="33"/>
  <c r="G31" i="38" s="1"/>
  <c r="D30" i="33"/>
  <c r="G30" i="38" s="1"/>
  <c r="D29" i="33"/>
  <c r="G29" i="38" s="1"/>
  <c r="D28" i="33"/>
  <c r="G28" i="38" s="1"/>
  <c r="D27" i="33"/>
  <c r="G27" i="38" s="1"/>
  <c r="D26" i="33"/>
  <c r="G26" i="38" s="1"/>
  <c r="D25" i="33"/>
  <c r="G25" i="38" s="1"/>
  <c r="D24" i="33"/>
  <c r="G24" i="38" s="1"/>
  <c r="D23" i="33"/>
  <c r="G23" i="38" s="1"/>
  <c r="D22" i="33"/>
  <c r="G22" i="38" s="1"/>
  <c r="D21" i="33"/>
  <c r="G21" i="38" s="1"/>
  <c r="D20" i="33"/>
  <c r="G20" i="38" s="1"/>
  <c r="D19" i="33"/>
  <c r="G19" i="38" s="1"/>
  <c r="D18" i="33"/>
  <c r="G18" i="38" s="1"/>
  <c r="D17" i="33"/>
  <c r="G17" i="38" s="1"/>
  <c r="D16" i="33"/>
  <c r="G16" i="38" s="1"/>
  <c r="D15" i="33"/>
  <c r="G15" i="38" s="1"/>
  <c r="G14" i="33"/>
  <c r="D14" i="33"/>
  <c r="G14" i="38" s="1"/>
  <c r="G13" i="33"/>
  <c r="D13" i="33"/>
  <c r="G13" i="38" s="1"/>
  <c r="G12" i="33"/>
  <c r="D12" i="33"/>
  <c r="G12" i="38" s="1"/>
  <c r="G11" i="33"/>
  <c r="D11" i="33"/>
  <c r="G11" i="38" s="1"/>
  <c r="G10" i="33"/>
  <c r="D10" i="33"/>
  <c r="G10" i="38" s="1"/>
  <c r="G9" i="33"/>
  <c r="D9" i="33"/>
  <c r="G9" i="38" s="1"/>
  <c r="G8" i="33"/>
  <c r="D8" i="33"/>
  <c r="G8" i="38" s="1"/>
  <c r="G7" i="33"/>
  <c r="D7" i="33"/>
  <c r="G7" i="38" s="1"/>
  <c r="D6" i="33"/>
  <c r="G6" i="38" s="1"/>
  <c r="D5" i="33"/>
  <c r="G5" i="38" s="1"/>
  <c r="D4" i="33"/>
  <c r="D3" i="33"/>
  <c r="G3" i="38" s="1"/>
  <c r="D99" i="32"/>
  <c r="S99" i="18" s="1"/>
  <c r="D98" i="32"/>
  <c r="S98" i="18" s="1"/>
  <c r="D96" i="32"/>
  <c r="S97" i="18" s="1"/>
  <c r="D95" i="32"/>
  <c r="S96" i="18" s="1"/>
  <c r="D94" i="32"/>
  <c r="S95" i="18" s="1"/>
  <c r="D93" i="32"/>
  <c r="S94" i="18" s="1"/>
  <c r="D92" i="32"/>
  <c r="S93" i="18" s="1"/>
  <c r="D91" i="32"/>
  <c r="S92" i="18" s="1"/>
  <c r="D90" i="32"/>
  <c r="S91" i="18" s="1"/>
  <c r="D89" i="32"/>
  <c r="S90" i="18" s="1"/>
  <c r="D88" i="32"/>
  <c r="D86" i="32"/>
  <c r="S88" i="18" s="1"/>
  <c r="D85" i="32"/>
  <c r="S87" i="18" s="1"/>
  <c r="D70" i="32"/>
  <c r="S86" i="18" s="1"/>
  <c r="D83" i="32"/>
  <c r="S85" i="18" s="1"/>
  <c r="D72" i="32"/>
  <c r="S84" i="18" s="1"/>
  <c r="D97" i="32"/>
  <c r="S83" i="18" s="1"/>
  <c r="D81" i="32"/>
  <c r="S82" i="18" s="1"/>
  <c r="D80" i="32"/>
  <c r="S81" i="18" s="1"/>
  <c r="D84" i="32"/>
  <c r="S80" i="18" s="1"/>
  <c r="D82" i="32"/>
  <c r="S79" i="18" s="1"/>
  <c r="D41" i="32"/>
  <c r="S78" i="18" s="1"/>
  <c r="D79" i="32"/>
  <c r="S77" i="18" s="1"/>
  <c r="D78" i="32"/>
  <c r="S76" i="18" s="1"/>
  <c r="D77" i="32"/>
  <c r="S75" i="18" s="1"/>
  <c r="D76" i="32"/>
  <c r="S74" i="18" s="1"/>
  <c r="D75" i="32"/>
  <c r="S73" i="18" s="1"/>
  <c r="D74" i="32"/>
  <c r="S72" i="18" s="1"/>
  <c r="D73" i="32"/>
  <c r="S71" i="18" s="1"/>
  <c r="D71" i="32"/>
  <c r="S70" i="18" s="1"/>
  <c r="D69" i="32"/>
  <c r="S69" i="18" s="1"/>
  <c r="D68" i="32"/>
  <c r="S68" i="18" s="1"/>
  <c r="D67" i="32"/>
  <c r="S67" i="18" s="1"/>
  <c r="D66" i="32"/>
  <c r="S66" i="18" s="1"/>
  <c r="D65" i="32"/>
  <c r="S65" i="18" s="1"/>
  <c r="D64" i="32"/>
  <c r="S64" i="18" s="1"/>
  <c r="D63" i="32"/>
  <c r="S63" i="18" s="1"/>
  <c r="D62" i="32"/>
  <c r="S62" i="18" s="1"/>
  <c r="D61" i="32"/>
  <c r="S61" i="18" s="1"/>
  <c r="D60" i="32"/>
  <c r="S60" i="18" s="1"/>
  <c r="D59" i="32"/>
  <c r="S59" i="18" s="1"/>
  <c r="D58" i="32"/>
  <c r="S58" i="18" s="1"/>
  <c r="D57" i="32"/>
  <c r="S57" i="18" s="1"/>
  <c r="D56" i="32"/>
  <c r="S56" i="18" s="1"/>
  <c r="D55" i="32"/>
  <c r="S55" i="18" s="1"/>
  <c r="D54" i="32"/>
  <c r="S54" i="18" s="1"/>
  <c r="D53" i="32"/>
  <c r="S53" i="18" s="1"/>
  <c r="D52" i="32"/>
  <c r="S52" i="18" s="1"/>
  <c r="D51" i="32"/>
  <c r="S51" i="18" s="1"/>
  <c r="D50" i="32"/>
  <c r="S50" i="18" s="1"/>
  <c r="D49" i="32"/>
  <c r="S49" i="18" s="1"/>
  <c r="D48" i="32"/>
  <c r="S48" i="18" s="1"/>
  <c r="D47" i="32"/>
  <c r="S47" i="18" s="1"/>
  <c r="D46" i="32"/>
  <c r="S46" i="18" s="1"/>
  <c r="D45" i="32"/>
  <c r="S45" i="18" s="1"/>
  <c r="D44" i="32"/>
  <c r="S44" i="18" s="1"/>
  <c r="D43" i="32"/>
  <c r="S43" i="18" s="1"/>
  <c r="D42" i="32"/>
  <c r="S42" i="18" s="1"/>
  <c r="D40" i="32"/>
  <c r="S41" i="18" s="1"/>
  <c r="D39" i="32"/>
  <c r="S40" i="18" s="1"/>
  <c r="D38" i="32"/>
  <c r="S39" i="18" s="1"/>
  <c r="D37" i="32"/>
  <c r="S38" i="18" s="1"/>
  <c r="D36" i="32"/>
  <c r="S37" i="18" s="1"/>
  <c r="D35" i="32"/>
  <c r="S36" i="18" s="1"/>
  <c r="D34" i="32"/>
  <c r="S35" i="18" s="1"/>
  <c r="D33" i="32"/>
  <c r="S34" i="18" s="1"/>
  <c r="D32" i="32"/>
  <c r="S33" i="18" s="1"/>
  <c r="D31" i="32"/>
  <c r="S32" i="18" s="1"/>
  <c r="D30" i="32"/>
  <c r="S31" i="18" s="1"/>
  <c r="D29" i="32"/>
  <c r="S30" i="18" s="1"/>
  <c r="D87" i="32"/>
  <c r="S29" i="18" s="1"/>
  <c r="D28" i="32"/>
  <c r="S28" i="18" s="1"/>
  <c r="D27" i="32"/>
  <c r="S27" i="18" s="1"/>
  <c r="D26" i="32"/>
  <c r="S26" i="18" s="1"/>
  <c r="D25" i="32"/>
  <c r="S25" i="18" s="1"/>
  <c r="D24" i="32"/>
  <c r="S24" i="18" s="1"/>
  <c r="D23" i="32"/>
  <c r="S23" i="18" s="1"/>
  <c r="D22" i="32"/>
  <c r="S22" i="18" s="1"/>
  <c r="D21" i="32"/>
  <c r="S21" i="18" s="1"/>
  <c r="D20" i="32"/>
  <c r="S20" i="18" s="1"/>
  <c r="D19" i="32"/>
  <c r="S19" i="18" s="1"/>
  <c r="D18" i="32"/>
  <c r="S18" i="18" s="1"/>
  <c r="D17" i="32"/>
  <c r="S17" i="18" s="1"/>
  <c r="D16" i="32"/>
  <c r="S16" i="18" s="1"/>
  <c r="D15" i="32"/>
  <c r="S15" i="18" s="1"/>
  <c r="D14" i="32"/>
  <c r="S14" i="18" s="1"/>
  <c r="D13" i="32"/>
  <c r="S13" i="18" s="1"/>
  <c r="G12" i="32"/>
  <c r="D12" i="32"/>
  <c r="S12" i="18" s="1"/>
  <c r="G11" i="32"/>
  <c r="D11" i="32"/>
  <c r="S11" i="18" s="1"/>
  <c r="G10" i="32"/>
  <c r="D10" i="32"/>
  <c r="S10" i="18" s="1"/>
  <c r="G9" i="32"/>
  <c r="D9" i="32"/>
  <c r="S9" i="18" s="1"/>
  <c r="G8" i="32"/>
  <c r="D8" i="32"/>
  <c r="S8" i="18" s="1"/>
  <c r="G7" i="32"/>
  <c r="D7" i="32"/>
  <c r="S7" i="18" s="1"/>
  <c r="D6" i="32"/>
  <c r="S6" i="18" s="1"/>
  <c r="D5" i="32"/>
  <c r="S5" i="18" s="1"/>
  <c r="D4" i="32"/>
  <c r="D3" i="32"/>
  <c r="S3" i="18" s="1"/>
  <c r="G13" i="31"/>
  <c r="G12" i="31"/>
  <c r="G11" i="31"/>
  <c r="G10" i="31"/>
  <c r="G9" i="31"/>
  <c r="G8" i="31"/>
  <c r="G7" i="31"/>
  <c r="D3" i="31"/>
  <c r="O3" i="37" s="1"/>
  <c r="G8" i="30"/>
  <c r="G14" i="29"/>
  <c r="G14" i="30"/>
  <c r="G13" i="30"/>
  <c r="G12" i="30"/>
  <c r="G11" i="30"/>
  <c r="G10" i="30"/>
  <c r="G9" i="30"/>
  <c r="G7" i="30"/>
  <c r="D3" i="30"/>
  <c r="S3" i="37" s="1"/>
  <c r="G13" i="29"/>
  <c r="G12" i="29"/>
  <c r="G11" i="29"/>
  <c r="G10" i="29"/>
  <c r="G9" i="29"/>
  <c r="G8" i="29"/>
  <c r="G7" i="29"/>
  <c r="D3" i="29"/>
  <c r="C3" i="38" s="1"/>
  <c r="D100" i="28"/>
  <c r="K100" i="37" s="1"/>
  <c r="D99" i="28"/>
  <c r="K99" i="37" s="1"/>
  <c r="D98" i="28"/>
  <c r="K98" i="37" s="1"/>
  <c r="D97" i="28"/>
  <c r="K97" i="37" s="1"/>
  <c r="D96" i="28"/>
  <c r="K96" i="37" s="1"/>
  <c r="D93" i="28"/>
  <c r="K95" i="37" s="1"/>
  <c r="D92" i="28"/>
  <c r="K94" i="37" s="1"/>
  <c r="D91" i="28"/>
  <c r="K93" i="37" s="1"/>
  <c r="D89" i="28"/>
  <c r="K92" i="37" s="1"/>
  <c r="D87" i="28"/>
  <c r="K91" i="37" s="1"/>
  <c r="D86" i="28"/>
  <c r="K90" i="37" s="1"/>
  <c r="D85" i="28"/>
  <c r="K89" i="37" s="1"/>
  <c r="D84" i="28"/>
  <c r="K88" i="37" s="1"/>
  <c r="D83" i="28"/>
  <c r="K87" i="37" s="1"/>
  <c r="D82" i="28"/>
  <c r="K86" i="37" s="1"/>
  <c r="D76" i="28"/>
  <c r="K85" i="37" s="1"/>
  <c r="D74" i="28"/>
  <c r="K84" i="37" s="1"/>
  <c r="D90" i="28"/>
  <c r="K83" i="37" s="1"/>
  <c r="D73" i="28"/>
  <c r="K82" i="37" s="1"/>
  <c r="D72" i="28"/>
  <c r="K81" i="37" s="1"/>
  <c r="D71" i="28"/>
  <c r="K80" i="37" s="1"/>
  <c r="D70" i="28"/>
  <c r="K79" i="37" s="1"/>
  <c r="D69" i="28"/>
  <c r="K78" i="37" s="1"/>
  <c r="D68" i="28"/>
  <c r="K77" i="37" s="1"/>
  <c r="D67" i="28"/>
  <c r="K76" i="37" s="1"/>
  <c r="D66" i="28"/>
  <c r="K75" i="37" s="1"/>
  <c r="D75" i="28"/>
  <c r="K74" i="37" s="1"/>
  <c r="D65" i="28"/>
  <c r="K73" i="37" s="1"/>
  <c r="D64" i="28"/>
  <c r="K72" i="37" s="1"/>
  <c r="D63" i="28"/>
  <c r="K71" i="37" s="1"/>
  <c r="D62" i="28"/>
  <c r="K70" i="37" s="1"/>
  <c r="D61" i="28"/>
  <c r="K69" i="37" s="1"/>
  <c r="D60" i="28"/>
  <c r="K68" i="37" s="1"/>
  <c r="D59" i="28"/>
  <c r="K67" i="37" s="1"/>
  <c r="D58" i="28"/>
  <c r="K66" i="37" s="1"/>
  <c r="D57" i="28"/>
  <c r="K65" i="37" s="1"/>
  <c r="D56" i="28"/>
  <c r="K64" i="37" s="1"/>
  <c r="D95" i="28"/>
  <c r="K63" i="37" s="1"/>
  <c r="D55" i="28"/>
  <c r="K62" i="37" s="1"/>
  <c r="D48" i="28"/>
  <c r="K61" i="37" s="1"/>
  <c r="D53" i="28"/>
  <c r="K60" i="37" s="1"/>
  <c r="D52" i="28"/>
  <c r="K59" i="37" s="1"/>
  <c r="D94" i="28"/>
  <c r="K58" i="37" s="1"/>
  <c r="D51" i="28"/>
  <c r="K57" i="37" s="1"/>
  <c r="D50" i="28"/>
  <c r="K56" i="37" s="1"/>
  <c r="D49" i="28"/>
  <c r="K55" i="37" s="1"/>
  <c r="D79" i="28"/>
  <c r="K54" i="37" s="1"/>
  <c r="D81" i="28"/>
  <c r="K53" i="37" s="1"/>
  <c r="D47" i="28"/>
  <c r="K52" i="37" s="1"/>
  <c r="D80" i="28"/>
  <c r="K51" i="37" s="1"/>
  <c r="D77" i="28"/>
  <c r="K50" i="37" s="1"/>
  <c r="D46" i="28"/>
  <c r="K49" i="37" s="1"/>
  <c r="D45" i="28"/>
  <c r="K48" i="37" s="1"/>
  <c r="D44" i="28"/>
  <c r="K47" i="37" s="1"/>
  <c r="D54" i="28"/>
  <c r="K46" i="37" s="1"/>
  <c r="D78" i="28"/>
  <c r="K45" i="37" s="1"/>
  <c r="D43" i="28"/>
  <c r="K44" i="37" s="1"/>
  <c r="D42" i="28"/>
  <c r="K43" i="37" s="1"/>
  <c r="D41" i="28"/>
  <c r="K42" i="37" s="1"/>
  <c r="D40" i="28"/>
  <c r="K41" i="37" s="1"/>
  <c r="D39" i="28"/>
  <c r="K40" i="37" s="1"/>
  <c r="D38" i="28"/>
  <c r="K39" i="37" s="1"/>
  <c r="D37" i="28"/>
  <c r="K38" i="37" s="1"/>
  <c r="D88" i="28"/>
  <c r="K37" i="37" s="1"/>
  <c r="D36" i="28"/>
  <c r="K36" i="37" s="1"/>
  <c r="D35" i="28"/>
  <c r="K35" i="37" s="1"/>
  <c r="D34" i="28"/>
  <c r="K34" i="37" s="1"/>
  <c r="D33" i="28"/>
  <c r="K33" i="37" s="1"/>
  <c r="D32" i="28"/>
  <c r="K32" i="37" s="1"/>
  <c r="D31" i="28"/>
  <c r="K31" i="37" s="1"/>
  <c r="D30" i="28"/>
  <c r="K30" i="37" s="1"/>
  <c r="D29" i="28"/>
  <c r="K29" i="37" s="1"/>
  <c r="D28" i="28"/>
  <c r="K28" i="37" s="1"/>
  <c r="D27" i="28"/>
  <c r="K27" i="37" s="1"/>
  <c r="D26" i="28"/>
  <c r="K26" i="37" s="1"/>
  <c r="D25" i="28"/>
  <c r="K25" i="37" s="1"/>
  <c r="D24" i="28"/>
  <c r="K24" i="37" s="1"/>
  <c r="D23" i="28"/>
  <c r="K23" i="37" s="1"/>
  <c r="D22" i="28"/>
  <c r="K22" i="37" s="1"/>
  <c r="D21" i="28"/>
  <c r="K21" i="37" s="1"/>
  <c r="D20" i="28"/>
  <c r="K20" i="37" s="1"/>
  <c r="D19" i="28"/>
  <c r="K19" i="37" s="1"/>
  <c r="D18" i="28"/>
  <c r="K18" i="37" s="1"/>
  <c r="D17" i="28"/>
  <c r="K17" i="37" s="1"/>
  <c r="D16" i="28"/>
  <c r="K16" i="37" s="1"/>
  <c r="G15" i="28"/>
  <c r="D15" i="28"/>
  <c r="K15" i="37" s="1"/>
  <c r="G14" i="28"/>
  <c r="D14" i="28"/>
  <c r="K14" i="37" s="1"/>
  <c r="G13" i="28"/>
  <c r="D13" i="28"/>
  <c r="K13" i="37" s="1"/>
  <c r="G12" i="28"/>
  <c r="D12" i="28"/>
  <c r="K12" i="37" s="1"/>
  <c r="G11" i="28"/>
  <c r="D11" i="28"/>
  <c r="K11" i="37" s="1"/>
  <c r="G10" i="28"/>
  <c r="D10" i="28"/>
  <c r="K10" i="37" s="1"/>
  <c r="G9" i="28"/>
  <c r="D9" i="28"/>
  <c r="K9" i="37" s="1"/>
  <c r="G8" i="28"/>
  <c r="D8" i="28"/>
  <c r="K8" i="37" s="1"/>
  <c r="G7" i="28"/>
  <c r="D7" i="28"/>
  <c r="K7" i="37" s="1"/>
  <c r="D6" i="28"/>
  <c r="K6" i="37" s="1"/>
  <c r="D5" i="28"/>
  <c r="K5" i="37" s="1"/>
  <c r="D4" i="28"/>
  <c r="D3" i="28"/>
  <c r="K3" i="37" s="1"/>
  <c r="D100" i="27"/>
  <c r="W100" i="37" s="1"/>
  <c r="D99" i="27"/>
  <c r="W99" i="37" s="1"/>
  <c r="D98" i="27"/>
  <c r="W98" i="37" s="1"/>
  <c r="D97" i="27"/>
  <c r="W97" i="37" s="1"/>
  <c r="D89" i="27"/>
  <c r="W96" i="37" s="1"/>
  <c r="D64" i="27"/>
  <c r="W95" i="37" s="1"/>
  <c r="D65" i="27"/>
  <c r="W94" i="37" s="1"/>
  <c r="D87" i="27"/>
  <c r="W93" i="37" s="1"/>
  <c r="D85" i="27"/>
  <c r="W92" i="37" s="1"/>
  <c r="D63" i="27"/>
  <c r="W91" i="37" s="1"/>
  <c r="D88" i="27"/>
  <c r="W90" i="37" s="1"/>
  <c r="D68" i="27"/>
  <c r="W89" i="37" s="1"/>
  <c r="D86" i="27"/>
  <c r="W88" i="37" s="1"/>
  <c r="D84" i="27"/>
  <c r="W87" i="37" s="1"/>
  <c r="D83" i="27"/>
  <c r="W86" i="37" s="1"/>
  <c r="D82" i="27"/>
  <c r="W85" i="37" s="1"/>
  <c r="D81" i="27"/>
  <c r="W84" i="37" s="1"/>
  <c r="D80" i="27"/>
  <c r="W83" i="37" s="1"/>
  <c r="D79" i="27"/>
  <c r="W82" i="37" s="1"/>
  <c r="D78" i="27"/>
  <c r="W81" i="37" s="1"/>
  <c r="D77" i="27"/>
  <c r="W80" i="37" s="1"/>
  <c r="D76" i="27"/>
  <c r="W79" i="37" s="1"/>
  <c r="D75" i="27"/>
  <c r="W78" i="37" s="1"/>
  <c r="D46" i="27"/>
  <c r="W77" i="37" s="1"/>
  <c r="D74" i="27"/>
  <c r="W76" i="37" s="1"/>
  <c r="D73" i="27"/>
  <c r="W75" i="37" s="1"/>
  <c r="D72" i="27"/>
  <c r="W74" i="37" s="1"/>
  <c r="D96" i="27"/>
  <c r="W73" i="37" s="1"/>
  <c r="D95" i="27"/>
  <c r="W72" i="37" s="1"/>
  <c r="D69" i="27"/>
  <c r="W71" i="37" s="1"/>
  <c r="D94" i="27"/>
  <c r="W70" i="37" s="1"/>
  <c r="D93" i="27"/>
  <c r="W69" i="37" s="1"/>
  <c r="D92" i="27"/>
  <c r="W68" i="37" s="1"/>
  <c r="D91" i="27"/>
  <c r="W67" i="37" s="1"/>
  <c r="D90" i="27"/>
  <c r="W66" i="37" s="1"/>
  <c r="D71" i="27"/>
  <c r="W65" i="37" s="1"/>
  <c r="D70" i="27"/>
  <c r="W64" i="37" s="1"/>
  <c r="D67" i="27"/>
  <c r="W63" i="37" s="1"/>
  <c r="D66" i="27"/>
  <c r="W62" i="37" s="1"/>
  <c r="D62" i="27"/>
  <c r="W61" i="37" s="1"/>
  <c r="D61" i="27"/>
  <c r="W60" i="37" s="1"/>
  <c r="D60" i="27"/>
  <c r="W59" i="37" s="1"/>
  <c r="D59" i="27"/>
  <c r="W58" i="37" s="1"/>
  <c r="D58" i="27"/>
  <c r="W57" i="37" s="1"/>
  <c r="D47" i="27"/>
  <c r="W55" i="37" s="1"/>
  <c r="D56" i="27"/>
  <c r="W54" i="37" s="1"/>
  <c r="D55" i="27"/>
  <c r="W53" i="37" s="1"/>
  <c r="D54" i="27"/>
  <c r="W52" i="37" s="1"/>
  <c r="D53" i="27"/>
  <c r="W51" i="37" s="1"/>
  <c r="D52" i="27"/>
  <c r="W50" i="37" s="1"/>
  <c r="D51" i="27"/>
  <c r="W49" i="37" s="1"/>
  <c r="D50" i="27"/>
  <c r="W48" i="37" s="1"/>
  <c r="D49" i="27"/>
  <c r="W47" i="37" s="1"/>
  <c r="D48" i="27"/>
  <c r="W46" i="37" s="1"/>
  <c r="D45" i="27"/>
  <c r="W45" i="37" s="1"/>
  <c r="D44" i="27"/>
  <c r="D43" i="27"/>
  <c r="W43" i="37" s="1"/>
  <c r="D42" i="27"/>
  <c r="W42" i="37" s="1"/>
  <c r="D41" i="27"/>
  <c r="W41" i="37" s="1"/>
  <c r="D40" i="27"/>
  <c r="W40" i="37" s="1"/>
  <c r="D39" i="27"/>
  <c r="W39" i="37" s="1"/>
  <c r="D38" i="27"/>
  <c r="W38" i="37" s="1"/>
  <c r="D37" i="27"/>
  <c r="W37" i="37" s="1"/>
  <c r="D36" i="27"/>
  <c r="W36" i="37" s="1"/>
  <c r="D35" i="27"/>
  <c r="W35" i="37" s="1"/>
  <c r="D34" i="27"/>
  <c r="W34" i="37" s="1"/>
  <c r="D33" i="27"/>
  <c r="W33" i="37" s="1"/>
  <c r="D32" i="27"/>
  <c r="W32" i="37" s="1"/>
  <c r="D31" i="27"/>
  <c r="W31" i="37" s="1"/>
  <c r="D30" i="27"/>
  <c r="W30" i="37" s="1"/>
  <c r="D29" i="27"/>
  <c r="W29" i="37" s="1"/>
  <c r="D28" i="27"/>
  <c r="W28" i="37" s="1"/>
  <c r="D27" i="27"/>
  <c r="W27" i="37" s="1"/>
  <c r="D26" i="27"/>
  <c r="W26" i="37" s="1"/>
  <c r="D25" i="27"/>
  <c r="W25" i="37" s="1"/>
  <c r="D24" i="27"/>
  <c r="W24" i="37" s="1"/>
  <c r="D23" i="27"/>
  <c r="W23" i="37" s="1"/>
  <c r="D22" i="27"/>
  <c r="W22" i="37" s="1"/>
  <c r="D21" i="27"/>
  <c r="W21" i="37" s="1"/>
  <c r="D20" i="27"/>
  <c r="W20" i="37" s="1"/>
  <c r="D19" i="27"/>
  <c r="W19" i="37" s="1"/>
  <c r="D18" i="27"/>
  <c r="W18" i="37" s="1"/>
  <c r="D17" i="27"/>
  <c r="W17" i="37" s="1"/>
  <c r="G16" i="27"/>
  <c r="D16" i="27"/>
  <c r="W16" i="37" s="1"/>
  <c r="G15" i="27"/>
  <c r="D15" i="27"/>
  <c r="W15" i="37" s="1"/>
  <c r="G14" i="27"/>
  <c r="D14" i="27"/>
  <c r="W14" i="37" s="1"/>
  <c r="G13" i="27"/>
  <c r="D13" i="27"/>
  <c r="W13" i="37" s="1"/>
  <c r="G12" i="27"/>
  <c r="D12" i="27"/>
  <c r="W12" i="37" s="1"/>
  <c r="G11" i="27"/>
  <c r="D11" i="27"/>
  <c r="W11" i="37" s="1"/>
  <c r="G10" i="27"/>
  <c r="D10" i="27"/>
  <c r="W10" i="37" s="1"/>
  <c r="G9" i="27"/>
  <c r="D9" i="27"/>
  <c r="W9" i="37" s="1"/>
  <c r="G8" i="27"/>
  <c r="D8" i="27"/>
  <c r="W8" i="37" s="1"/>
  <c r="G7" i="27"/>
  <c r="D7" i="27"/>
  <c r="W7" i="37" s="1"/>
  <c r="D6" i="27"/>
  <c r="W6" i="37" s="1"/>
  <c r="D5" i="27"/>
  <c r="W5" i="37" s="1"/>
  <c r="D4" i="27"/>
  <c r="D3" i="27"/>
  <c r="W3" i="37" s="1"/>
  <c r="D60" i="26"/>
  <c r="G101" i="37" s="1"/>
  <c r="D101" i="26"/>
  <c r="G100" i="37" s="1"/>
  <c r="D98" i="26"/>
  <c r="G99" i="37" s="1"/>
  <c r="D97" i="26"/>
  <c r="G98" i="37" s="1"/>
  <c r="D96" i="26"/>
  <c r="G97" i="37" s="1"/>
  <c r="D95" i="26"/>
  <c r="G96" i="37" s="1"/>
  <c r="D94" i="26"/>
  <c r="G95" i="37" s="1"/>
  <c r="D93" i="26"/>
  <c r="G94" i="37" s="1"/>
  <c r="D92" i="26"/>
  <c r="G93" i="37" s="1"/>
  <c r="D91" i="26"/>
  <c r="G92" i="37" s="1"/>
  <c r="D90" i="26"/>
  <c r="G91" i="37" s="1"/>
  <c r="D89" i="26"/>
  <c r="G90" i="37" s="1"/>
  <c r="D88" i="26"/>
  <c r="G89" i="37" s="1"/>
  <c r="D87" i="26"/>
  <c r="G88" i="37" s="1"/>
  <c r="D86" i="26"/>
  <c r="G87" i="37" s="1"/>
  <c r="D85" i="26"/>
  <c r="G86" i="37" s="1"/>
  <c r="D84" i="26"/>
  <c r="G85" i="37" s="1"/>
  <c r="D83" i="26"/>
  <c r="G84" i="37" s="1"/>
  <c r="D82" i="26"/>
  <c r="G83" i="37" s="1"/>
  <c r="D81" i="26"/>
  <c r="G82" i="37" s="1"/>
  <c r="D80" i="26"/>
  <c r="G81" i="37" s="1"/>
  <c r="D79" i="26"/>
  <c r="G80" i="37" s="1"/>
  <c r="D78" i="26"/>
  <c r="G79" i="37" s="1"/>
  <c r="D77" i="26"/>
  <c r="G78" i="37" s="1"/>
  <c r="D76" i="26"/>
  <c r="G77" i="37" s="1"/>
  <c r="D99" i="26"/>
  <c r="G76" i="37" s="1"/>
  <c r="D75" i="26"/>
  <c r="G75" i="37" s="1"/>
  <c r="D74" i="26"/>
  <c r="G74" i="37" s="1"/>
  <c r="D73" i="26"/>
  <c r="G73" i="37" s="1"/>
  <c r="D72" i="26"/>
  <c r="G72" i="37" s="1"/>
  <c r="D71" i="26"/>
  <c r="G71" i="37" s="1"/>
  <c r="D70" i="26"/>
  <c r="G70" i="37" s="1"/>
  <c r="D44" i="26"/>
  <c r="G69" i="37" s="1"/>
  <c r="D61" i="26"/>
  <c r="G68" i="37" s="1"/>
  <c r="D69" i="26"/>
  <c r="G67" i="37" s="1"/>
  <c r="D68" i="26"/>
  <c r="G66" i="37" s="1"/>
  <c r="D67" i="26"/>
  <c r="G65" i="37" s="1"/>
  <c r="D66" i="26"/>
  <c r="G64" i="37" s="1"/>
  <c r="D100" i="26"/>
  <c r="G63" i="37" s="1"/>
  <c r="D33" i="26"/>
  <c r="G62" i="37" s="1"/>
  <c r="D48" i="26"/>
  <c r="G61" i="37" s="1"/>
  <c r="D65" i="26"/>
  <c r="G60" i="37" s="1"/>
  <c r="D64" i="26"/>
  <c r="G59" i="37" s="1"/>
  <c r="D63" i="26"/>
  <c r="G58" i="37" s="1"/>
  <c r="D62" i="26"/>
  <c r="G57" i="37" s="1"/>
  <c r="D59" i="26"/>
  <c r="G56" i="37" s="1"/>
  <c r="D58" i="26"/>
  <c r="G55" i="37" s="1"/>
  <c r="D57" i="26"/>
  <c r="G54" i="37" s="1"/>
  <c r="D56" i="26"/>
  <c r="G53" i="37" s="1"/>
  <c r="D55" i="26"/>
  <c r="G52" i="37" s="1"/>
  <c r="D54" i="26"/>
  <c r="G51" i="37" s="1"/>
  <c r="D53" i="26"/>
  <c r="G50" i="37" s="1"/>
  <c r="D52" i="26"/>
  <c r="G49" i="37" s="1"/>
  <c r="D51" i="26"/>
  <c r="G48" i="37" s="1"/>
  <c r="D50" i="26"/>
  <c r="G47" i="37" s="1"/>
  <c r="D49" i="26"/>
  <c r="G46" i="37" s="1"/>
  <c r="D47" i="26"/>
  <c r="G45" i="37" s="1"/>
  <c r="D46" i="26"/>
  <c r="G44" i="37" s="1"/>
  <c r="D45" i="26"/>
  <c r="G43" i="37" s="1"/>
  <c r="D43" i="26"/>
  <c r="G42" i="37" s="1"/>
  <c r="D42" i="26"/>
  <c r="G41" i="37" s="1"/>
  <c r="D41" i="26"/>
  <c r="G40" i="37" s="1"/>
  <c r="D40" i="26"/>
  <c r="G39" i="37" s="1"/>
  <c r="D39" i="26"/>
  <c r="G38" i="37" s="1"/>
  <c r="D38" i="26"/>
  <c r="G37" i="37" s="1"/>
  <c r="D37" i="26"/>
  <c r="G36" i="37" s="1"/>
  <c r="D36" i="26"/>
  <c r="G35" i="37" s="1"/>
  <c r="D26" i="26"/>
  <c r="G34" i="37" s="1"/>
  <c r="D34" i="26"/>
  <c r="G33" i="37" s="1"/>
  <c r="D32" i="26"/>
  <c r="G32" i="37" s="1"/>
  <c r="D31" i="26"/>
  <c r="G31" i="37" s="1"/>
  <c r="D27" i="26"/>
  <c r="G30" i="37" s="1"/>
  <c r="D30" i="26"/>
  <c r="G29" i="37" s="1"/>
  <c r="D29" i="26"/>
  <c r="G28" i="37" s="1"/>
  <c r="D28" i="26"/>
  <c r="G27" i="37" s="1"/>
  <c r="D25" i="26"/>
  <c r="G26" i="37" s="1"/>
  <c r="D24" i="26"/>
  <c r="G25" i="37" s="1"/>
  <c r="D23" i="26"/>
  <c r="G24" i="37" s="1"/>
  <c r="D22" i="26"/>
  <c r="G23" i="37" s="1"/>
  <c r="D35" i="26"/>
  <c r="G22" i="37" s="1"/>
  <c r="D21" i="26"/>
  <c r="G21" i="37" s="1"/>
  <c r="D20" i="26"/>
  <c r="G20" i="37" s="1"/>
  <c r="D19" i="26"/>
  <c r="G19" i="37" s="1"/>
  <c r="D18" i="26"/>
  <c r="G18" i="37" s="1"/>
  <c r="D17" i="26"/>
  <c r="G17" i="37" s="1"/>
  <c r="D16" i="26"/>
  <c r="G16" i="37" s="1"/>
  <c r="D15" i="26"/>
  <c r="G15" i="37" s="1"/>
  <c r="G14" i="26"/>
  <c r="D14" i="26"/>
  <c r="G14" i="37" s="1"/>
  <c r="G13" i="26"/>
  <c r="D13" i="26"/>
  <c r="G13" i="37" s="1"/>
  <c r="G12" i="26"/>
  <c r="D12" i="26"/>
  <c r="G12" i="37" s="1"/>
  <c r="G11" i="26"/>
  <c r="D11" i="26"/>
  <c r="G11" i="37" s="1"/>
  <c r="G10" i="26"/>
  <c r="D10" i="26"/>
  <c r="G10" i="37" s="1"/>
  <c r="G9" i="26"/>
  <c r="D9" i="26"/>
  <c r="G9" i="37" s="1"/>
  <c r="G8" i="26"/>
  <c r="D8" i="26"/>
  <c r="G8" i="37" s="1"/>
  <c r="G7" i="26"/>
  <c r="D7" i="26"/>
  <c r="G7" i="37" s="1"/>
  <c r="D6" i="26"/>
  <c r="G6" i="37" s="1"/>
  <c r="D5" i="26"/>
  <c r="G5" i="37" s="1"/>
  <c r="D4" i="26"/>
  <c r="D3" i="26"/>
  <c r="G3" i="37" s="1"/>
  <c r="D100" i="25"/>
  <c r="W99" i="18" s="1"/>
  <c r="D99" i="25"/>
  <c r="W98" i="18" s="1"/>
  <c r="D98" i="25"/>
  <c r="W97" i="18" s="1"/>
  <c r="D97" i="25"/>
  <c r="W96" i="18" s="1"/>
  <c r="D96" i="25"/>
  <c r="W95" i="18" s="1"/>
  <c r="D95" i="25"/>
  <c r="W94" i="18" s="1"/>
  <c r="D55" i="25"/>
  <c r="W54" i="18" s="1"/>
  <c r="D68" i="25"/>
  <c r="W93" i="18" s="1"/>
  <c r="D94" i="25"/>
  <c r="W92" i="18" s="1"/>
  <c r="D93" i="25"/>
  <c r="W91" i="18" s="1"/>
  <c r="D92" i="25"/>
  <c r="W90" i="18" s="1"/>
  <c r="D91" i="25"/>
  <c r="W89" i="18" s="1"/>
  <c r="D90" i="25"/>
  <c r="W88" i="18" s="1"/>
  <c r="D89" i="25"/>
  <c r="W87" i="18" s="1"/>
  <c r="D88" i="25"/>
  <c r="W86" i="18" s="1"/>
  <c r="D87" i="25"/>
  <c r="W85" i="18" s="1"/>
  <c r="D86" i="25"/>
  <c r="W84" i="18" s="1"/>
  <c r="D85" i="25"/>
  <c r="W83" i="18" s="1"/>
  <c r="D83" i="25"/>
  <c r="W82" i="18" s="1"/>
  <c r="D82" i="25"/>
  <c r="W81" i="18" s="1"/>
  <c r="D81" i="25"/>
  <c r="W80" i="18" s="1"/>
  <c r="D80" i="25"/>
  <c r="W79" i="18" s="1"/>
  <c r="D78" i="25"/>
  <c r="W78" i="18" s="1"/>
  <c r="D75" i="25"/>
  <c r="W77" i="18" s="1"/>
  <c r="D74" i="25"/>
  <c r="W76" i="18" s="1"/>
  <c r="D73" i="25"/>
  <c r="W75" i="18" s="1"/>
  <c r="D72" i="25"/>
  <c r="W74" i="18" s="1"/>
  <c r="D71" i="25"/>
  <c r="W73" i="18" s="1"/>
  <c r="D70" i="25"/>
  <c r="W72" i="18" s="1"/>
  <c r="D69" i="25"/>
  <c r="W71" i="18" s="1"/>
  <c r="D67" i="25"/>
  <c r="W70" i="18" s="1"/>
  <c r="D32" i="25"/>
  <c r="W69" i="18" s="1"/>
  <c r="D66" i="25"/>
  <c r="W68" i="18" s="1"/>
  <c r="D65" i="25"/>
  <c r="W67" i="18" s="1"/>
  <c r="D76" i="25"/>
  <c r="D64" i="25"/>
  <c r="W65" i="18" s="1"/>
  <c r="D63" i="25"/>
  <c r="W64" i="18" s="1"/>
  <c r="D62" i="25"/>
  <c r="W63" i="18" s="1"/>
  <c r="D61" i="25"/>
  <c r="W62" i="18" s="1"/>
  <c r="D59" i="25"/>
  <c r="W61" i="18" s="1"/>
  <c r="D77" i="25"/>
  <c r="W60" i="18" s="1"/>
  <c r="D60" i="25"/>
  <c r="W59" i="18" s="1"/>
  <c r="D58" i="25"/>
  <c r="W58" i="18" s="1"/>
  <c r="D57" i="25"/>
  <c r="W57" i="18" s="1"/>
  <c r="D56" i="25"/>
  <c r="W56" i="18" s="1"/>
  <c r="D84" i="25"/>
  <c r="W55" i="18" s="1"/>
  <c r="D53" i="25"/>
  <c r="W53" i="18" s="1"/>
  <c r="D36" i="25"/>
  <c r="W51" i="18" s="1"/>
  <c r="D37" i="25"/>
  <c r="W50" i="18" s="1"/>
  <c r="D43" i="25"/>
  <c r="W49" i="18" s="1"/>
  <c r="D44" i="25"/>
  <c r="W48" i="18" s="1"/>
  <c r="D51" i="25"/>
  <c r="W47" i="18" s="1"/>
  <c r="D47" i="25"/>
  <c r="W46" i="18" s="1"/>
  <c r="D35" i="25"/>
  <c r="W45" i="18" s="1"/>
  <c r="D42" i="25"/>
  <c r="W44" i="18" s="1"/>
  <c r="D41" i="25"/>
  <c r="W43" i="18" s="1"/>
  <c r="D40" i="25"/>
  <c r="W42" i="18" s="1"/>
  <c r="D34" i="25"/>
  <c r="W41" i="18" s="1"/>
  <c r="D38" i="25"/>
  <c r="W40" i="18" s="1"/>
  <c r="D52" i="25"/>
  <c r="W39" i="18" s="1"/>
  <c r="D46" i="25"/>
  <c r="W38" i="18" s="1"/>
  <c r="D48" i="25"/>
  <c r="W37" i="18" s="1"/>
  <c r="D45" i="25"/>
  <c r="W36" i="18" s="1"/>
  <c r="D49" i="25"/>
  <c r="W35" i="18" s="1"/>
  <c r="D50" i="25"/>
  <c r="W34" i="18" s="1"/>
  <c r="D39" i="25"/>
  <c r="W33" i="18" s="1"/>
  <c r="D33" i="25"/>
  <c r="W32" i="18" s="1"/>
  <c r="D31" i="25"/>
  <c r="W31" i="18" s="1"/>
  <c r="D30" i="25"/>
  <c r="W30" i="18" s="1"/>
  <c r="D29" i="25"/>
  <c r="W29" i="18" s="1"/>
  <c r="D28" i="25"/>
  <c r="W28" i="18" s="1"/>
  <c r="D27" i="25"/>
  <c r="W27" i="18" s="1"/>
  <c r="D26" i="25"/>
  <c r="W26" i="18" s="1"/>
  <c r="D25" i="25"/>
  <c r="W25" i="18" s="1"/>
  <c r="D24" i="25"/>
  <c r="W24" i="18" s="1"/>
  <c r="D23" i="25"/>
  <c r="W23" i="18" s="1"/>
  <c r="D22" i="25"/>
  <c r="W22" i="18" s="1"/>
  <c r="D21" i="25"/>
  <c r="W21" i="18" s="1"/>
  <c r="D20" i="25"/>
  <c r="W20" i="18" s="1"/>
  <c r="D19" i="25"/>
  <c r="W19" i="18" s="1"/>
  <c r="D18" i="25"/>
  <c r="W18" i="18" s="1"/>
  <c r="D17" i="25"/>
  <c r="W17" i="18" s="1"/>
  <c r="D16" i="25"/>
  <c r="W16" i="18" s="1"/>
  <c r="D15" i="25"/>
  <c r="W15" i="18" s="1"/>
  <c r="D14" i="25"/>
  <c r="W14" i="18" s="1"/>
  <c r="D13" i="25"/>
  <c r="W13" i="18" s="1"/>
  <c r="G12" i="25"/>
  <c r="D12" i="25"/>
  <c r="W12" i="18" s="1"/>
  <c r="G11" i="25"/>
  <c r="D11" i="25"/>
  <c r="W11" i="18" s="1"/>
  <c r="G10" i="25"/>
  <c r="D10" i="25"/>
  <c r="W10" i="18" s="1"/>
  <c r="G9" i="25"/>
  <c r="D9" i="25"/>
  <c r="W9" i="18" s="1"/>
  <c r="G8" i="25"/>
  <c r="D8" i="25"/>
  <c r="W8" i="18" s="1"/>
  <c r="G7" i="25"/>
  <c r="D7" i="25"/>
  <c r="W7" i="18" s="1"/>
  <c r="D6" i="25"/>
  <c r="W6" i="18" s="1"/>
  <c r="D5" i="25"/>
  <c r="W5" i="18" s="1"/>
  <c r="D4" i="25"/>
  <c r="D3" i="25"/>
  <c r="W3" i="18" s="1"/>
  <c r="D101" i="24"/>
  <c r="O100" i="18" s="1"/>
  <c r="D100" i="24"/>
  <c r="O99" i="18" s="1"/>
  <c r="D99" i="24"/>
  <c r="O98" i="18" s="1"/>
  <c r="D97" i="24"/>
  <c r="O97" i="18" s="1"/>
  <c r="D96" i="24"/>
  <c r="O96" i="18" s="1"/>
  <c r="D95" i="24"/>
  <c r="O95" i="18" s="1"/>
  <c r="D94" i="24"/>
  <c r="O94" i="18" s="1"/>
  <c r="D93" i="24"/>
  <c r="O93" i="18" s="1"/>
  <c r="D91" i="24"/>
  <c r="O92" i="18" s="1"/>
  <c r="D90" i="24"/>
  <c r="O91" i="18" s="1"/>
  <c r="D89" i="24"/>
  <c r="O90" i="18" s="1"/>
  <c r="D88" i="24"/>
  <c r="O89" i="18" s="1"/>
  <c r="D87" i="24"/>
  <c r="O88" i="18" s="1"/>
  <c r="D86" i="24"/>
  <c r="O87" i="18" s="1"/>
  <c r="D85" i="24"/>
  <c r="O86" i="18" s="1"/>
  <c r="D84" i="24"/>
  <c r="O85" i="18" s="1"/>
  <c r="D83" i="24"/>
  <c r="O84" i="18" s="1"/>
  <c r="D82" i="24"/>
  <c r="O83" i="18" s="1"/>
  <c r="D81" i="24"/>
  <c r="O82" i="18" s="1"/>
  <c r="D80" i="24"/>
  <c r="O81" i="18" s="1"/>
  <c r="D79" i="24"/>
  <c r="O80" i="18" s="1"/>
  <c r="D78" i="24"/>
  <c r="O79" i="18" s="1"/>
  <c r="D77" i="24"/>
  <c r="O78" i="18" s="1"/>
  <c r="D76" i="24"/>
  <c r="O77" i="18" s="1"/>
  <c r="D75" i="24"/>
  <c r="O76" i="18" s="1"/>
  <c r="D74" i="24"/>
  <c r="O75" i="18" s="1"/>
  <c r="D72" i="24"/>
  <c r="O74" i="18" s="1"/>
  <c r="D71" i="24"/>
  <c r="O73" i="18" s="1"/>
  <c r="D54" i="24"/>
  <c r="O72" i="18" s="1"/>
  <c r="D70" i="24"/>
  <c r="O71" i="18" s="1"/>
  <c r="D69" i="24"/>
  <c r="O70" i="18" s="1"/>
  <c r="D68" i="24"/>
  <c r="O69" i="18" s="1"/>
  <c r="D67" i="24"/>
  <c r="O68" i="18" s="1"/>
  <c r="D66" i="24"/>
  <c r="O67" i="18" s="1"/>
  <c r="D92" i="24"/>
  <c r="O66" i="18" s="1"/>
  <c r="D65" i="24"/>
  <c r="O65" i="18" s="1"/>
  <c r="D64" i="24"/>
  <c r="O64" i="18" s="1"/>
  <c r="D63" i="24"/>
  <c r="O63" i="18" s="1"/>
  <c r="D62" i="24"/>
  <c r="O62" i="18" s="1"/>
  <c r="D61" i="24"/>
  <c r="O61" i="18" s="1"/>
  <c r="D60" i="24"/>
  <c r="O60" i="18" s="1"/>
  <c r="D59" i="24"/>
  <c r="O59" i="18" s="1"/>
  <c r="D58" i="24"/>
  <c r="O58" i="18" s="1"/>
  <c r="D57" i="24"/>
  <c r="O57" i="18" s="1"/>
  <c r="D55" i="24"/>
  <c r="O56" i="18" s="1"/>
  <c r="D53" i="24"/>
  <c r="O55" i="18" s="1"/>
  <c r="D52" i="24"/>
  <c r="O54" i="18" s="1"/>
  <c r="D51" i="24"/>
  <c r="O53" i="18" s="1"/>
  <c r="D50" i="24"/>
  <c r="O52" i="18" s="1"/>
  <c r="D49" i="24"/>
  <c r="O51" i="18" s="1"/>
  <c r="D98" i="24"/>
  <c r="O50" i="18" s="1"/>
  <c r="D56" i="24"/>
  <c r="O49" i="18" s="1"/>
  <c r="D73" i="24"/>
  <c r="O48" i="18" s="1"/>
  <c r="D48" i="24"/>
  <c r="O47" i="18" s="1"/>
  <c r="D37" i="24"/>
  <c r="O46" i="18" s="1"/>
  <c r="D47" i="24"/>
  <c r="O45" i="18" s="1"/>
  <c r="D46" i="24"/>
  <c r="O44" i="18" s="1"/>
  <c r="D45" i="24"/>
  <c r="O43" i="18" s="1"/>
  <c r="D44" i="24"/>
  <c r="O42" i="18" s="1"/>
  <c r="D42" i="24"/>
  <c r="O41" i="18" s="1"/>
  <c r="D43" i="24"/>
  <c r="O40" i="18" s="1"/>
  <c r="D41" i="24"/>
  <c r="O39" i="18" s="1"/>
  <c r="D40" i="24"/>
  <c r="O38" i="18" s="1"/>
  <c r="D39" i="24"/>
  <c r="O37" i="18" s="1"/>
  <c r="D38" i="24"/>
  <c r="O36" i="18" s="1"/>
  <c r="D36" i="24"/>
  <c r="O35" i="18" s="1"/>
  <c r="D35" i="24"/>
  <c r="O34" i="18" s="1"/>
  <c r="D34" i="24"/>
  <c r="O33" i="18" s="1"/>
  <c r="D33" i="24"/>
  <c r="O32" i="18" s="1"/>
  <c r="D32" i="24"/>
  <c r="O31" i="18" s="1"/>
  <c r="D31" i="24"/>
  <c r="O30" i="18" s="1"/>
  <c r="D30" i="24"/>
  <c r="O29" i="18" s="1"/>
  <c r="D29" i="24"/>
  <c r="O28" i="18" s="1"/>
  <c r="D28" i="24"/>
  <c r="O27" i="18" s="1"/>
  <c r="D27" i="24"/>
  <c r="O26" i="18" s="1"/>
  <c r="D26" i="24"/>
  <c r="O25" i="18" s="1"/>
  <c r="D25" i="24"/>
  <c r="O24" i="18" s="1"/>
  <c r="D24" i="24"/>
  <c r="O23" i="18" s="1"/>
  <c r="D23" i="24"/>
  <c r="O22" i="18" s="1"/>
  <c r="D22" i="24"/>
  <c r="O21" i="18" s="1"/>
  <c r="D21" i="24"/>
  <c r="O20" i="18" s="1"/>
  <c r="D20" i="24"/>
  <c r="O19" i="18" s="1"/>
  <c r="D19" i="24"/>
  <c r="O18" i="18" s="1"/>
  <c r="D18" i="24"/>
  <c r="O17" i="18" s="1"/>
  <c r="D17" i="24"/>
  <c r="O16" i="18" s="1"/>
  <c r="G16" i="24"/>
  <c r="D16" i="24"/>
  <c r="O15" i="18" s="1"/>
  <c r="G15" i="24"/>
  <c r="D15" i="24"/>
  <c r="O14" i="18" s="1"/>
  <c r="G14" i="24"/>
  <c r="D14" i="24"/>
  <c r="O13" i="18" s="1"/>
  <c r="G13" i="24"/>
  <c r="D13" i="24"/>
  <c r="O12" i="18" s="1"/>
  <c r="G12" i="24"/>
  <c r="D12" i="24"/>
  <c r="O11" i="18" s="1"/>
  <c r="G11" i="24"/>
  <c r="D11" i="24"/>
  <c r="O10" i="18" s="1"/>
  <c r="G10" i="24"/>
  <c r="D10" i="24"/>
  <c r="O9" i="18" s="1"/>
  <c r="G9" i="24"/>
  <c r="D9" i="24"/>
  <c r="O8" i="18" s="1"/>
  <c r="G8" i="24"/>
  <c r="D8" i="24"/>
  <c r="D7" i="24"/>
  <c r="O6" i="18" s="1"/>
  <c r="D6" i="24"/>
  <c r="O5" i="18" s="1"/>
  <c r="D5" i="24"/>
  <c r="O4" i="18" s="1"/>
  <c r="D4" i="24"/>
  <c r="G13" i="21"/>
  <c r="G12" i="21"/>
  <c r="G11" i="21"/>
  <c r="G10" i="21"/>
  <c r="G9" i="21"/>
  <c r="G8" i="21"/>
  <c r="G7" i="21"/>
  <c r="G13" i="1"/>
  <c r="G12" i="1"/>
  <c r="G11" i="1"/>
  <c r="G10" i="1"/>
  <c r="G9" i="1"/>
  <c r="G8" i="1"/>
  <c r="G7" i="1"/>
  <c r="G13" i="20"/>
  <c r="G12" i="20"/>
  <c r="G11" i="20"/>
  <c r="G10" i="20"/>
  <c r="G9" i="20"/>
  <c r="G8" i="20"/>
  <c r="G7" i="20"/>
  <c r="D3" i="22"/>
  <c r="K3" i="43" s="1"/>
  <c r="G10" i="22"/>
  <c r="G9" i="22"/>
  <c r="G8" i="22"/>
  <c r="G7" i="22"/>
  <c r="G15" i="23"/>
  <c r="G16" i="23"/>
  <c r="G8" i="23"/>
  <c r="G9" i="23"/>
  <c r="G10" i="23"/>
  <c r="G11" i="23"/>
  <c r="G12" i="23"/>
  <c r="G13" i="23"/>
  <c r="G14" i="23"/>
  <c r="G7" i="23"/>
  <c r="D4" i="23"/>
  <c r="D5" i="23"/>
  <c r="K5" i="18" s="1"/>
  <c r="D6" i="23"/>
  <c r="K6" i="18" s="1"/>
  <c r="D7" i="23"/>
  <c r="K7" i="18" s="1"/>
  <c r="D8" i="23"/>
  <c r="K8" i="18" s="1"/>
  <c r="D9" i="23"/>
  <c r="K9" i="18" s="1"/>
  <c r="D10" i="23"/>
  <c r="K10" i="18" s="1"/>
  <c r="D11" i="23"/>
  <c r="K11" i="18" s="1"/>
  <c r="D12" i="23"/>
  <c r="K12" i="18" s="1"/>
  <c r="D13" i="23"/>
  <c r="K13" i="18" s="1"/>
  <c r="D14" i="23"/>
  <c r="K14" i="18" s="1"/>
  <c r="D15" i="23"/>
  <c r="K15" i="18" s="1"/>
  <c r="D16" i="23"/>
  <c r="K16" i="18" s="1"/>
  <c r="D17" i="23"/>
  <c r="K17" i="18" s="1"/>
  <c r="D18" i="23"/>
  <c r="K18" i="18" s="1"/>
  <c r="D19" i="23"/>
  <c r="K19" i="18" s="1"/>
  <c r="D20" i="23"/>
  <c r="K20" i="18" s="1"/>
  <c r="D21" i="23"/>
  <c r="K21" i="18" s="1"/>
  <c r="D22" i="23"/>
  <c r="K22" i="18" s="1"/>
  <c r="D23" i="23"/>
  <c r="K23" i="18" s="1"/>
  <c r="D24" i="23"/>
  <c r="K24" i="18" s="1"/>
  <c r="D25" i="23"/>
  <c r="K25" i="18" s="1"/>
  <c r="D26" i="23"/>
  <c r="K26" i="18" s="1"/>
  <c r="D27" i="23"/>
  <c r="K27" i="18" s="1"/>
  <c r="D28" i="23"/>
  <c r="K28" i="18" s="1"/>
  <c r="D29" i="23"/>
  <c r="K29" i="18" s="1"/>
  <c r="D30" i="23"/>
  <c r="K30" i="18" s="1"/>
  <c r="D31" i="23"/>
  <c r="K31" i="18" s="1"/>
  <c r="D32" i="23"/>
  <c r="K32" i="18" s="1"/>
  <c r="D33" i="23"/>
  <c r="K33" i="18" s="1"/>
  <c r="D34" i="23"/>
  <c r="K34" i="18" s="1"/>
  <c r="D35" i="23"/>
  <c r="K35" i="18" s="1"/>
  <c r="D36" i="23"/>
  <c r="K36" i="18" s="1"/>
  <c r="D37" i="23"/>
  <c r="K37" i="18" s="1"/>
  <c r="D38" i="23"/>
  <c r="K38" i="18" s="1"/>
  <c r="D39" i="23"/>
  <c r="K39" i="18" s="1"/>
  <c r="D40" i="23"/>
  <c r="K40" i="18" s="1"/>
  <c r="D41" i="23"/>
  <c r="K41" i="18" s="1"/>
  <c r="D42" i="23"/>
  <c r="K42" i="18" s="1"/>
  <c r="D43" i="23"/>
  <c r="K43" i="18" s="1"/>
  <c r="D44" i="23"/>
  <c r="K44" i="18" s="1"/>
  <c r="D45" i="23"/>
  <c r="K45" i="18" s="1"/>
  <c r="D46" i="23"/>
  <c r="K46" i="18" s="1"/>
  <c r="D47" i="23"/>
  <c r="K47" i="18" s="1"/>
  <c r="D48" i="23"/>
  <c r="K48" i="18" s="1"/>
  <c r="D49" i="23"/>
  <c r="K49" i="18" s="1"/>
  <c r="D50" i="23"/>
  <c r="K50" i="18" s="1"/>
  <c r="D51" i="23"/>
  <c r="K51" i="18" s="1"/>
  <c r="D52" i="23"/>
  <c r="K52" i="18" s="1"/>
  <c r="D53" i="23"/>
  <c r="K53" i="18" s="1"/>
  <c r="D54" i="23"/>
  <c r="K54" i="18" s="1"/>
  <c r="D55" i="23"/>
  <c r="K55" i="18" s="1"/>
  <c r="D56" i="23"/>
  <c r="K56" i="18" s="1"/>
  <c r="D57" i="23"/>
  <c r="K57" i="18" s="1"/>
  <c r="D58" i="23"/>
  <c r="K58" i="18" s="1"/>
  <c r="D60" i="23"/>
  <c r="K59" i="18" s="1"/>
  <c r="D61" i="23"/>
  <c r="K60" i="18" s="1"/>
  <c r="D62" i="23"/>
  <c r="K61" i="18" s="1"/>
  <c r="D63" i="23"/>
  <c r="K62" i="18" s="1"/>
  <c r="D64" i="23"/>
  <c r="K63" i="18" s="1"/>
  <c r="D65" i="23"/>
  <c r="K64" i="18" s="1"/>
  <c r="D66" i="23"/>
  <c r="K65" i="18" s="1"/>
  <c r="D67" i="23"/>
  <c r="K66" i="18" s="1"/>
  <c r="D68" i="23"/>
  <c r="K67" i="18" s="1"/>
  <c r="D69" i="23"/>
  <c r="K68" i="18" s="1"/>
  <c r="D70" i="23"/>
  <c r="K69" i="18" s="1"/>
  <c r="D71" i="23"/>
  <c r="K70" i="18" s="1"/>
  <c r="D72" i="23"/>
  <c r="K71" i="18" s="1"/>
  <c r="D73" i="23"/>
  <c r="K72" i="18" s="1"/>
  <c r="D74" i="23"/>
  <c r="K73" i="18" s="1"/>
  <c r="D75" i="23"/>
  <c r="K74" i="18" s="1"/>
  <c r="D76" i="23"/>
  <c r="K75" i="18" s="1"/>
  <c r="D77" i="23"/>
  <c r="K76" i="18" s="1"/>
  <c r="D78" i="23"/>
  <c r="K77" i="18" s="1"/>
  <c r="D79" i="23"/>
  <c r="K78" i="18" s="1"/>
  <c r="D80" i="23"/>
  <c r="K79" i="18" s="1"/>
  <c r="D81" i="23"/>
  <c r="K80" i="18" s="1"/>
  <c r="D59" i="23"/>
  <c r="K81" i="18" s="1"/>
  <c r="D82" i="23"/>
  <c r="K82" i="18" s="1"/>
  <c r="D83" i="23"/>
  <c r="K83" i="18" s="1"/>
  <c r="D84" i="23"/>
  <c r="K84" i="18" s="1"/>
  <c r="D85" i="23"/>
  <c r="K85" i="18" s="1"/>
  <c r="D86" i="23"/>
  <c r="K86" i="18" s="1"/>
  <c r="D87" i="23"/>
  <c r="K87" i="18" s="1"/>
  <c r="D88" i="23"/>
  <c r="K88" i="18" s="1"/>
  <c r="D89" i="23"/>
  <c r="K89" i="18" s="1"/>
  <c r="D90" i="23"/>
  <c r="K90" i="18" s="1"/>
  <c r="D91" i="23"/>
  <c r="K91" i="18" s="1"/>
  <c r="D92" i="23"/>
  <c r="K92" i="18" s="1"/>
  <c r="D93" i="23"/>
  <c r="K93" i="18" s="1"/>
  <c r="D94" i="23"/>
  <c r="K94" i="18" s="1"/>
  <c r="D95" i="23"/>
  <c r="K95" i="18" s="1"/>
  <c r="D96" i="23"/>
  <c r="K96" i="18" s="1"/>
  <c r="D97" i="23"/>
  <c r="K97" i="18" s="1"/>
  <c r="D98" i="23"/>
  <c r="K98" i="18" s="1"/>
  <c r="D99" i="23"/>
  <c r="K99" i="18" s="1"/>
  <c r="D100" i="23"/>
  <c r="K100" i="18" s="1"/>
  <c r="D3" i="23"/>
  <c r="K3" i="18" s="1"/>
  <c r="D101" i="21"/>
  <c r="G101" i="18" s="1"/>
  <c r="D100" i="21"/>
  <c r="G100" i="18" s="1"/>
  <c r="D99" i="21"/>
  <c r="G99" i="18" s="1"/>
  <c r="D98" i="21"/>
  <c r="G98" i="18" s="1"/>
  <c r="D97" i="21"/>
  <c r="G97" i="18" s="1"/>
  <c r="D96" i="21"/>
  <c r="G96" i="18" s="1"/>
  <c r="D95" i="21"/>
  <c r="G95" i="18" s="1"/>
  <c r="D94" i="21"/>
  <c r="G94" i="18" s="1"/>
  <c r="D93" i="21"/>
  <c r="G93" i="18" s="1"/>
  <c r="D92" i="21"/>
  <c r="G92" i="18" s="1"/>
  <c r="D91" i="21"/>
  <c r="G91" i="18" s="1"/>
  <c r="D90" i="21"/>
  <c r="G90" i="18" s="1"/>
  <c r="D89" i="21"/>
  <c r="G89" i="18" s="1"/>
  <c r="D88" i="21"/>
  <c r="G88" i="18" s="1"/>
  <c r="D87" i="21"/>
  <c r="G87" i="18" s="1"/>
  <c r="D86" i="21"/>
  <c r="G86" i="18" s="1"/>
  <c r="D85" i="21"/>
  <c r="G85" i="18" s="1"/>
  <c r="D84" i="21"/>
  <c r="G84" i="18" s="1"/>
  <c r="D82" i="21"/>
  <c r="G83" i="18" s="1"/>
  <c r="D81" i="21"/>
  <c r="G82" i="18" s="1"/>
  <c r="D80" i="21"/>
  <c r="G81" i="18" s="1"/>
  <c r="D79" i="21"/>
  <c r="G80" i="18" s="1"/>
  <c r="D78" i="21"/>
  <c r="G79" i="18" s="1"/>
  <c r="D77" i="21"/>
  <c r="G78" i="18" s="1"/>
  <c r="D75" i="21"/>
  <c r="G77" i="18" s="1"/>
  <c r="D74" i="21"/>
  <c r="G76" i="18" s="1"/>
  <c r="D73" i="21"/>
  <c r="G75" i="18" s="1"/>
  <c r="D72" i="21"/>
  <c r="G74" i="18" s="1"/>
  <c r="D71" i="21"/>
  <c r="G73" i="18" s="1"/>
  <c r="D70" i="21"/>
  <c r="G72" i="18" s="1"/>
  <c r="D69" i="21"/>
  <c r="G71" i="18" s="1"/>
  <c r="D68" i="21"/>
  <c r="G70" i="18" s="1"/>
  <c r="D67" i="21"/>
  <c r="G69" i="18" s="1"/>
  <c r="D66" i="21"/>
  <c r="G68" i="18" s="1"/>
  <c r="D76" i="21"/>
  <c r="G67" i="18" s="1"/>
  <c r="D65" i="21"/>
  <c r="G66" i="18" s="1"/>
  <c r="D64" i="21"/>
  <c r="G65" i="18" s="1"/>
  <c r="D63" i="21"/>
  <c r="G64" i="18" s="1"/>
  <c r="D62" i="21"/>
  <c r="G63" i="18" s="1"/>
  <c r="D61" i="21"/>
  <c r="G62" i="18" s="1"/>
  <c r="D60" i="21"/>
  <c r="G61" i="18" s="1"/>
  <c r="D59" i="21"/>
  <c r="G60" i="18" s="1"/>
  <c r="D58" i="21"/>
  <c r="G59" i="18" s="1"/>
  <c r="D57" i="21"/>
  <c r="G58" i="18" s="1"/>
  <c r="D56" i="21"/>
  <c r="G57" i="18" s="1"/>
  <c r="D55" i="21"/>
  <c r="G56" i="18" s="1"/>
  <c r="D54" i="21"/>
  <c r="G55" i="18" s="1"/>
  <c r="D53" i="21"/>
  <c r="G54" i="18" s="1"/>
  <c r="D52" i="21"/>
  <c r="G53" i="18" s="1"/>
  <c r="D51" i="21"/>
  <c r="G52" i="18" s="1"/>
  <c r="D50" i="21"/>
  <c r="G51" i="18" s="1"/>
  <c r="D49" i="21"/>
  <c r="G50" i="18" s="1"/>
  <c r="D48" i="21"/>
  <c r="G49" i="18" s="1"/>
  <c r="D47" i="21"/>
  <c r="G48" i="18" s="1"/>
  <c r="D46" i="21"/>
  <c r="G47" i="18" s="1"/>
  <c r="D45" i="21"/>
  <c r="G46" i="18" s="1"/>
  <c r="D44" i="21"/>
  <c r="G45" i="18" s="1"/>
  <c r="D43" i="21"/>
  <c r="G44" i="18" s="1"/>
  <c r="D42" i="21"/>
  <c r="G43" i="18" s="1"/>
  <c r="D41" i="21"/>
  <c r="G42" i="18" s="1"/>
  <c r="D40" i="21"/>
  <c r="G41" i="18" s="1"/>
  <c r="D100" i="20"/>
  <c r="C100" i="18" s="1"/>
  <c r="D99" i="20"/>
  <c r="C99" i="18" s="1"/>
  <c r="D98" i="20"/>
  <c r="C98" i="18" s="1"/>
  <c r="D97" i="20"/>
  <c r="C97" i="18" s="1"/>
  <c r="D55" i="20"/>
  <c r="C96" i="18" s="1"/>
  <c r="D96" i="20"/>
  <c r="C95" i="18" s="1"/>
  <c r="D95" i="20"/>
  <c r="C94" i="18" s="1"/>
  <c r="D94" i="20"/>
  <c r="C93" i="18" s="1"/>
  <c r="D93" i="20"/>
  <c r="C92" i="18" s="1"/>
  <c r="D92" i="20"/>
  <c r="C91" i="18" s="1"/>
  <c r="D91" i="20"/>
  <c r="C90" i="18" s="1"/>
  <c r="D90" i="20"/>
  <c r="C89" i="18" s="1"/>
  <c r="D89" i="20"/>
  <c r="C88" i="18" s="1"/>
  <c r="D88" i="20"/>
  <c r="C87" i="18" s="1"/>
  <c r="D87" i="20"/>
  <c r="C86" i="18" s="1"/>
  <c r="D86" i="20"/>
  <c r="C85" i="18" s="1"/>
  <c r="D85" i="20"/>
  <c r="C84" i="18" s="1"/>
  <c r="D84" i="20"/>
  <c r="C83" i="18" s="1"/>
  <c r="D83" i="20"/>
  <c r="C82" i="18" s="1"/>
  <c r="D82" i="20"/>
  <c r="C81" i="18" s="1"/>
  <c r="D81" i="20"/>
  <c r="C80" i="18" s="1"/>
  <c r="D80" i="20"/>
  <c r="C79" i="18" s="1"/>
  <c r="D79" i="20"/>
  <c r="C78" i="18" s="1"/>
  <c r="D78" i="20"/>
  <c r="C77" i="18" s="1"/>
  <c r="D77" i="20"/>
  <c r="C76" i="18" s="1"/>
  <c r="D76" i="20"/>
  <c r="C75" i="18" s="1"/>
  <c r="D74" i="20"/>
  <c r="C74" i="18" s="1"/>
  <c r="D73" i="20"/>
  <c r="C73" i="18" s="1"/>
  <c r="D72" i="20"/>
  <c r="C72" i="18" s="1"/>
  <c r="D71" i="20"/>
  <c r="C71" i="18" s="1"/>
  <c r="D70" i="20"/>
  <c r="C70" i="18" s="1"/>
  <c r="D68" i="20"/>
  <c r="C69" i="18" s="1"/>
  <c r="D67" i="20"/>
  <c r="C68" i="18" s="1"/>
  <c r="D66" i="20"/>
  <c r="C67" i="18" s="1"/>
  <c r="D65" i="20"/>
  <c r="C66" i="18" s="1"/>
  <c r="D64" i="20"/>
  <c r="C65" i="18" s="1"/>
  <c r="D63" i="20"/>
  <c r="C64" i="18" s="1"/>
  <c r="D62" i="20"/>
  <c r="C63" i="18" s="1"/>
  <c r="D61" i="20"/>
  <c r="C62" i="18" s="1"/>
  <c r="D60" i="20"/>
  <c r="C61" i="18" s="1"/>
  <c r="D59" i="20"/>
  <c r="C60" i="18" s="1"/>
  <c r="D58" i="20"/>
  <c r="C59" i="18" s="1"/>
  <c r="D57" i="20"/>
  <c r="C58" i="18" s="1"/>
  <c r="D19" i="20"/>
  <c r="C57" i="18" s="1"/>
  <c r="D75" i="20"/>
  <c r="C56" i="18" s="1"/>
  <c r="D69" i="20"/>
  <c r="C55" i="18" s="1"/>
  <c r="D56" i="20"/>
  <c r="C54" i="18" s="1"/>
  <c r="D54" i="20"/>
  <c r="C53" i="18" s="1"/>
  <c r="D53" i="20"/>
  <c r="C52" i="18" s="1"/>
  <c r="D52" i="20"/>
  <c r="C51" i="18" s="1"/>
  <c r="D51" i="20"/>
  <c r="C50" i="18" s="1"/>
  <c r="D50" i="20"/>
  <c r="C49" i="18" s="1"/>
  <c r="D17" i="20"/>
  <c r="C48" i="18" s="1"/>
  <c r="D49" i="20"/>
  <c r="C47" i="18" s="1"/>
  <c r="D48" i="20"/>
  <c r="C46" i="18" s="1"/>
  <c r="D47" i="20"/>
  <c r="C45" i="18" s="1"/>
  <c r="D46" i="20"/>
  <c r="C44" i="18" s="1"/>
  <c r="D45" i="20"/>
  <c r="C43" i="18" s="1"/>
  <c r="D44" i="20"/>
  <c r="C42" i="18" s="1"/>
  <c r="D43" i="20"/>
  <c r="C41" i="18" s="1"/>
  <c r="D42" i="20"/>
  <c r="C40" i="18" s="1"/>
  <c r="D41" i="20"/>
  <c r="C39" i="18" s="1"/>
  <c r="D40" i="20"/>
  <c r="C38" i="18" s="1"/>
  <c r="D39" i="20"/>
  <c r="C37" i="18" s="1"/>
  <c r="D38" i="20"/>
  <c r="C36" i="18" s="1"/>
  <c r="D37" i="20"/>
  <c r="C35" i="18" s="1"/>
  <c r="D36" i="20"/>
  <c r="C34" i="18" s="1"/>
  <c r="D35" i="20"/>
  <c r="C33" i="18" s="1"/>
  <c r="D34" i="20"/>
  <c r="C32" i="18" s="1"/>
  <c r="D33" i="20"/>
  <c r="C31" i="18" s="1"/>
  <c r="D18" i="20"/>
  <c r="C30" i="18" s="1"/>
  <c r="D32" i="20"/>
  <c r="C29" i="18" s="1"/>
  <c r="D31" i="20"/>
  <c r="C28" i="18" s="1"/>
  <c r="D30" i="20"/>
  <c r="C27" i="18" s="1"/>
  <c r="D29" i="20"/>
  <c r="C26" i="18" s="1"/>
  <c r="D28" i="20"/>
  <c r="C25" i="18" s="1"/>
  <c r="D27" i="20"/>
  <c r="C24" i="18" s="1"/>
  <c r="D26" i="20"/>
  <c r="C23" i="18" s="1"/>
  <c r="D25" i="20"/>
  <c r="C22" i="18" s="1"/>
  <c r="D24" i="20"/>
  <c r="C21" i="18" s="1"/>
  <c r="D23" i="20"/>
  <c r="C20" i="18" s="1"/>
  <c r="D22" i="20"/>
  <c r="C19" i="18" s="1"/>
  <c r="D21" i="20"/>
  <c r="C18" i="18" s="1"/>
  <c r="D20" i="20"/>
  <c r="C17" i="18" s="1"/>
  <c r="D16" i="20"/>
  <c r="C16" i="18" s="1"/>
  <c r="D15" i="20"/>
  <c r="C15" i="18" s="1"/>
  <c r="D14" i="20"/>
  <c r="C14" i="18" s="1"/>
  <c r="D13" i="20"/>
  <c r="C13" i="18" s="1"/>
  <c r="D12" i="20"/>
  <c r="C12" i="18" s="1"/>
  <c r="D11" i="20"/>
  <c r="C11" i="18" s="1"/>
  <c r="D10" i="20"/>
  <c r="C10" i="18" s="1"/>
  <c r="D9" i="20"/>
  <c r="C9" i="18" s="1"/>
  <c r="D8" i="20"/>
  <c r="C8" i="18" s="1"/>
  <c r="D7" i="20"/>
  <c r="C7" i="18" s="1"/>
  <c r="D6" i="20"/>
  <c r="C6" i="18" s="1"/>
  <c r="D5" i="20"/>
  <c r="C5" i="18" s="1"/>
  <c r="D4" i="20"/>
  <c r="D3" i="20"/>
  <c r="C3" i="18" s="1"/>
  <c r="D101" i="1"/>
  <c r="C101" i="37" s="1"/>
  <c r="D100" i="1"/>
  <c r="C100" i="37" s="1"/>
  <c r="D99" i="1"/>
  <c r="C99" i="37" s="1"/>
  <c r="D98" i="1"/>
  <c r="C98" i="37" s="1"/>
  <c r="D97" i="1"/>
  <c r="C97" i="37" s="1"/>
  <c r="D96" i="1"/>
  <c r="C96" i="37" s="1"/>
  <c r="D95" i="1"/>
  <c r="C95" i="37" s="1"/>
  <c r="D93" i="1"/>
  <c r="C94" i="37" s="1"/>
  <c r="D92" i="1"/>
  <c r="C93" i="37" s="1"/>
  <c r="D37" i="1"/>
  <c r="C92" i="37" s="1"/>
  <c r="D91" i="1"/>
  <c r="C91" i="37" s="1"/>
  <c r="D90" i="1"/>
  <c r="C90" i="37" s="1"/>
  <c r="D88" i="1"/>
  <c r="C89" i="37" s="1"/>
  <c r="D59" i="1"/>
  <c r="C88" i="37" s="1"/>
  <c r="D87" i="1"/>
  <c r="C87" i="37" s="1"/>
  <c r="D86" i="1"/>
  <c r="C86" i="37" s="1"/>
  <c r="D85" i="1"/>
  <c r="C85" i="37" s="1"/>
  <c r="D84" i="1"/>
  <c r="C84" i="37" s="1"/>
  <c r="D83" i="1"/>
  <c r="C83" i="37" s="1"/>
  <c r="D82" i="1"/>
  <c r="C82" i="37" s="1"/>
  <c r="D81" i="1"/>
  <c r="C81" i="37" s="1"/>
  <c r="D80" i="1"/>
  <c r="C80" i="37" s="1"/>
  <c r="D79" i="1"/>
  <c r="C79" i="37" s="1"/>
  <c r="D78" i="1"/>
  <c r="C78" i="37" s="1"/>
  <c r="D77" i="1"/>
  <c r="C77" i="37" s="1"/>
  <c r="D76" i="1"/>
  <c r="C76" i="37" s="1"/>
  <c r="D75" i="1"/>
  <c r="C75" i="37" s="1"/>
  <c r="D74" i="1"/>
  <c r="C74" i="37" s="1"/>
  <c r="D73" i="1"/>
  <c r="C73" i="37" s="1"/>
  <c r="D72" i="1"/>
  <c r="C72" i="37" s="1"/>
  <c r="D71" i="1"/>
  <c r="C71" i="37" s="1"/>
  <c r="D70" i="1"/>
  <c r="C70" i="37" s="1"/>
  <c r="D69" i="1"/>
  <c r="C69" i="37" s="1"/>
  <c r="D68" i="1"/>
  <c r="C68" i="37" s="1"/>
  <c r="D67" i="1"/>
  <c r="C67" i="37" s="1"/>
  <c r="D66" i="1"/>
  <c r="C66" i="37" s="1"/>
  <c r="D65" i="1"/>
  <c r="C65" i="37" s="1"/>
  <c r="D64" i="1"/>
  <c r="C64" i="37" s="1"/>
  <c r="D63" i="1"/>
  <c r="C63" i="37" s="1"/>
  <c r="D62" i="1"/>
  <c r="C62" i="37" s="1"/>
  <c r="D61" i="1"/>
  <c r="C61" i="37" s="1"/>
  <c r="D60" i="1"/>
  <c r="C60" i="37" s="1"/>
  <c r="D58" i="1"/>
  <c r="C59" i="37" s="1"/>
  <c r="D57" i="1"/>
  <c r="C58" i="37" s="1"/>
  <c r="D56" i="1"/>
  <c r="C57" i="37" s="1"/>
  <c r="D55" i="1"/>
  <c r="C56" i="37" s="1"/>
  <c r="D54" i="1"/>
  <c r="C55" i="37" s="1"/>
  <c r="D53" i="1"/>
  <c r="C54" i="37" s="1"/>
  <c r="D52" i="1"/>
  <c r="C53" i="37" s="1"/>
  <c r="D51" i="1"/>
  <c r="C52" i="37" s="1"/>
  <c r="D50" i="1"/>
  <c r="C51" i="37" s="1"/>
  <c r="D49" i="1"/>
  <c r="C50" i="37" s="1"/>
  <c r="D48" i="1"/>
  <c r="C49" i="37" s="1"/>
  <c r="D47" i="1"/>
  <c r="C48" i="37" s="1"/>
  <c r="D46" i="1"/>
  <c r="C47" i="37" s="1"/>
  <c r="D45" i="1"/>
  <c r="C46" i="37" s="1"/>
  <c r="D44" i="1"/>
  <c r="C45" i="37" s="1"/>
  <c r="D43" i="1"/>
  <c r="C44" i="37" s="1"/>
  <c r="D42" i="1"/>
  <c r="C43" i="37" s="1"/>
  <c r="D41" i="1"/>
  <c r="C42" i="37" s="1"/>
  <c r="D40" i="1"/>
  <c r="C41" i="37" s="1"/>
  <c r="D39" i="1"/>
  <c r="C40" i="37" s="1"/>
  <c r="D94" i="1"/>
  <c r="C39" i="37" s="1"/>
  <c r="D38" i="1"/>
  <c r="C38" i="37" s="1"/>
  <c r="C37" i="37"/>
  <c r="D36" i="1"/>
  <c r="C36" i="37" s="1"/>
  <c r="D35" i="1"/>
  <c r="C35" i="37" s="1"/>
  <c r="D34" i="1"/>
  <c r="C34" i="37" s="1"/>
  <c r="D33" i="1"/>
  <c r="C33" i="37" s="1"/>
  <c r="D32" i="1"/>
  <c r="C32" i="37" s="1"/>
  <c r="D31" i="1"/>
  <c r="C31" i="37" s="1"/>
  <c r="D30" i="1"/>
  <c r="C30" i="37" s="1"/>
  <c r="D29" i="1"/>
  <c r="C29" i="37" s="1"/>
  <c r="D28" i="1"/>
  <c r="C28" i="37" s="1"/>
  <c r="D27" i="1"/>
  <c r="C27" i="37" s="1"/>
  <c r="D26" i="1"/>
  <c r="C26" i="37" s="1"/>
  <c r="D25" i="1"/>
  <c r="C25" i="37" s="1"/>
  <c r="D24" i="1"/>
  <c r="C24" i="37" s="1"/>
  <c r="D23" i="1"/>
  <c r="C23" i="37" s="1"/>
  <c r="D22" i="1"/>
  <c r="C22" i="37" s="1"/>
  <c r="D21" i="1"/>
  <c r="C21" i="37" s="1"/>
  <c r="D20" i="1"/>
  <c r="C20" i="37" s="1"/>
  <c r="D19" i="1"/>
  <c r="C19" i="37" s="1"/>
  <c r="D18" i="1"/>
  <c r="C18" i="37" s="1"/>
  <c r="D17" i="1"/>
  <c r="C17" i="37" s="1"/>
  <c r="D16" i="1"/>
  <c r="C16" i="37" s="1"/>
  <c r="D15" i="1"/>
  <c r="C15" i="37" s="1"/>
  <c r="D14" i="1"/>
  <c r="C14" i="37" s="1"/>
  <c r="D13" i="1"/>
  <c r="C13" i="37" s="1"/>
  <c r="D12" i="1"/>
  <c r="C12" i="37" s="1"/>
  <c r="D11" i="1"/>
  <c r="C11" i="37" s="1"/>
  <c r="D10" i="1"/>
  <c r="C10" i="37" s="1"/>
  <c r="D9" i="1"/>
  <c r="C9" i="37" s="1"/>
  <c r="D8" i="1"/>
  <c r="C8" i="37" s="1"/>
  <c r="D7" i="1"/>
  <c r="C7" i="37" s="1"/>
  <c r="D6" i="1"/>
  <c r="C6" i="37" s="1"/>
  <c r="D5" i="1"/>
  <c r="C5" i="37" s="1"/>
  <c r="D4" i="1"/>
  <c r="D3" i="1"/>
  <c r="C3" i="37" s="1"/>
  <c r="G4" i="25" l="1"/>
  <c r="G4" i="34"/>
  <c r="G4" i="27"/>
  <c r="G4" i="23"/>
  <c r="G4" i="29"/>
  <c r="C2" i="19"/>
  <c r="G5" i="24"/>
  <c r="B3" i="43" a="1"/>
  <c r="B3" i="43" s="1"/>
  <c r="G4" i="21"/>
  <c r="G3" i="27"/>
  <c r="U4" i="37" s="1"/>
  <c r="W44" i="37"/>
  <c r="V3" i="37" s="1" a="1"/>
  <c r="G4" i="30"/>
  <c r="G3" i="30"/>
  <c r="Q4" i="37" s="1"/>
  <c r="G4" i="44"/>
  <c r="G4" i="28"/>
  <c r="G3" i="28"/>
  <c r="I4" i="37" s="1"/>
  <c r="J3" i="37" a="1"/>
  <c r="G4" i="26"/>
  <c r="R3" i="37" a="1"/>
  <c r="G4" i="24"/>
  <c r="M4" i="18" s="1"/>
  <c r="O7" i="18"/>
  <c r="N3" i="18" s="1" a="1"/>
  <c r="G3" i="26"/>
  <c r="E4" i="37" s="1"/>
  <c r="G3" i="31"/>
  <c r="M4" i="37" s="1"/>
  <c r="G4" i="31"/>
  <c r="N3" i="37" a="1"/>
  <c r="G3" i="1"/>
  <c r="A4" i="37" s="1"/>
  <c r="G3" i="25"/>
  <c r="U4" i="18" s="1"/>
  <c r="G3" i="35"/>
  <c r="Q4" i="38" s="1"/>
  <c r="G4" i="35"/>
  <c r="S3" i="38"/>
  <c r="R3" i="38" s="1" a="1"/>
  <c r="G4" i="20"/>
  <c r="G3" i="34"/>
  <c r="M4" i="38" s="1"/>
  <c r="G3" i="32"/>
  <c r="Q4" i="18" s="1"/>
  <c r="N3" i="38" a="1"/>
  <c r="G4" i="32"/>
  <c r="S89" i="18"/>
  <c r="R3" i="18" s="1" a="1"/>
  <c r="G3" i="21"/>
  <c r="E4" i="18" s="1"/>
  <c r="G4" i="1"/>
  <c r="B3" i="37" a="1"/>
  <c r="W66" i="18"/>
  <c r="V3" i="18" s="1" a="1"/>
  <c r="V3" i="18" s="1"/>
  <c r="G3" i="29"/>
  <c r="A4" i="38" s="1"/>
  <c r="B3" i="38" a="1"/>
  <c r="J3" i="43" a="1"/>
  <c r="G3" i="22"/>
  <c r="I4" i="43" s="1"/>
  <c r="F3" i="18" a="1"/>
  <c r="G4" i="33"/>
  <c r="G3" i="33"/>
  <c r="E4" i="38" s="1"/>
  <c r="G3" i="23"/>
  <c r="I4" i="18" s="1"/>
  <c r="G4" i="40"/>
  <c r="G3" i="40"/>
  <c r="I4" i="38" s="1"/>
  <c r="J3" i="38" a="1"/>
  <c r="J3" i="18" a="1"/>
  <c r="F3" i="37" a="1"/>
  <c r="F3" i="38" a="1"/>
  <c r="G3" i="44"/>
  <c r="E4" i="43" s="1"/>
  <c r="B3" i="18" a="1"/>
  <c r="G3" i="20"/>
  <c r="A4" i="18" s="1"/>
  <c r="C13" i="19"/>
  <c r="G4" i="22"/>
  <c r="C18" i="19"/>
  <c r="C8" i="19"/>
  <c r="F3" i="43" a="1"/>
  <c r="G3" i="39"/>
  <c r="U4" i="38" s="1"/>
  <c r="G4" i="39"/>
  <c r="V3" i="38" a="1"/>
  <c r="R3" i="18" l="1"/>
  <c r="B3" i="38"/>
  <c r="F3" i="18"/>
  <c r="N3" i="38"/>
  <c r="N3" i="18"/>
  <c r="R3" i="37"/>
  <c r="B3" i="18"/>
  <c r="B3" i="37"/>
  <c r="J3" i="37"/>
  <c r="N3" i="37"/>
  <c r="F3" i="38"/>
  <c r="V3" i="38"/>
  <c r="V3" i="37"/>
  <c r="J3" i="43"/>
  <c r="R3" i="38"/>
  <c r="J3" i="38"/>
  <c r="F3" i="37"/>
  <c r="J3" i="18"/>
  <c r="F3" i="43"/>
  <c r="B1" i="19"/>
  <c r="A3" i="1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<sst xmlns="http://schemas.openxmlformats.org/spreadsheetml/2006/main" count="8883" uniqueCount="2092">
  <si>
    <t>Total:</t>
  </si>
  <si>
    <t>Deck</t>
  </si>
  <si>
    <t>Marcelo</t>
  </si>
  <si>
    <t>Total Lojas:</t>
  </si>
  <si>
    <t>Liga</t>
  </si>
  <si>
    <t>Interessantes</t>
  </si>
  <si>
    <t>Valor</t>
  </si>
  <si>
    <t>Loja 1</t>
  </si>
  <si>
    <t>Player 3</t>
  </si>
  <si>
    <t>Rayearth</t>
  </si>
  <si>
    <t>Mineral</t>
  </si>
  <si>
    <t>CardTutor</t>
  </si>
  <si>
    <t>Player 4</t>
  </si>
  <si>
    <t>Player 5</t>
  </si>
  <si>
    <t>Player 6</t>
  </si>
  <si>
    <t>Thrakiri</t>
  </si>
  <si>
    <t>Gitrog</t>
  </si>
  <si>
    <t>Elfos</t>
  </si>
  <si>
    <t>Jhoira</t>
  </si>
  <si>
    <t>Fractius</t>
  </si>
  <si>
    <t>Muzzio</t>
  </si>
  <si>
    <t>Total</t>
  </si>
  <si>
    <t>Rielle</t>
  </si>
  <si>
    <t>Alela</t>
  </si>
  <si>
    <t>Arcades</t>
  </si>
  <si>
    <t>Vial Ishai</t>
  </si>
  <si>
    <t>Yuriko</t>
  </si>
  <si>
    <t>Zedruu</t>
  </si>
  <si>
    <t>Inalla</t>
  </si>
  <si>
    <t>Carlos</t>
  </si>
  <si>
    <t>Oona</t>
  </si>
  <si>
    <t>Kresh</t>
  </si>
  <si>
    <t>Akiri</t>
  </si>
  <si>
    <t>Breya</t>
  </si>
  <si>
    <t>Função</t>
  </si>
  <si>
    <t>Carta Atual</t>
  </si>
  <si>
    <t>Carta Ideal</t>
  </si>
  <si>
    <t>Carta Final</t>
  </si>
  <si>
    <t>Terreno</t>
  </si>
  <si>
    <t>Mudanças Faltando</t>
  </si>
  <si>
    <t>Total de Cartas</t>
  </si>
  <si>
    <t>Ancient Ziggurat</t>
  </si>
  <si>
    <t>Funções</t>
  </si>
  <si>
    <t>Command Tower</t>
  </si>
  <si>
    <t>Ramp</t>
  </si>
  <si>
    <t>Draw</t>
  </si>
  <si>
    <t>Remoção</t>
  </si>
  <si>
    <t>Planície</t>
  </si>
  <si>
    <t>Ilha</t>
  </si>
  <si>
    <t>Montanha</t>
  </si>
  <si>
    <t>Pântano</t>
  </si>
  <si>
    <t>Floresta</t>
  </si>
  <si>
    <t>Anule</t>
  </si>
  <si>
    <t>Global</t>
  </si>
  <si>
    <t>Blink</t>
  </si>
  <si>
    <t>Thantis</t>
  </si>
  <si>
    <t>Sisay</t>
  </si>
  <si>
    <t>OWA</t>
  </si>
  <si>
    <t>Narset Mill</t>
  </si>
  <si>
    <t>Kumena</t>
  </si>
  <si>
    <t>Zimone e Dina</t>
  </si>
  <si>
    <t>Zimone e Dinah</t>
  </si>
  <si>
    <t>Field of the Dead</t>
  </si>
  <si>
    <t>Reliquary Tower</t>
  </si>
  <si>
    <t>Khalni Garden</t>
  </si>
  <si>
    <t>Simic Growth Chamber</t>
  </si>
  <si>
    <t>Golgari Rot Farm</t>
  </si>
  <si>
    <t>Dimir Aqueduct</t>
  </si>
  <si>
    <t>Fabled Passage</t>
  </si>
  <si>
    <t>Bala Ged Recovery</t>
  </si>
  <si>
    <t>Value</t>
  </si>
  <si>
    <t>Proteção</t>
  </si>
  <si>
    <t>Exotic Orchard</t>
  </si>
  <si>
    <t>Controle</t>
  </si>
  <si>
    <t>Bojuka Bog</t>
  </si>
  <si>
    <t>Tokens</t>
  </si>
  <si>
    <t>Zagoth Triome</t>
  </si>
  <si>
    <t>Watery Grave</t>
  </si>
  <si>
    <t>Breeding Pool</t>
  </si>
  <si>
    <t>Overgrown Tomb</t>
  </si>
  <si>
    <t>Bloodstained Mire</t>
  </si>
  <si>
    <t>Scalding Tarn</t>
  </si>
  <si>
    <t>Polluted Delta</t>
  </si>
  <si>
    <t>Windswept Heath</t>
  </si>
  <si>
    <t>Marsh Flats</t>
  </si>
  <si>
    <t>Wooded Foothills</t>
  </si>
  <si>
    <t>Flooded Strand</t>
  </si>
  <si>
    <t>Verdant Catacombs</t>
  </si>
  <si>
    <t>Misty Rainforest</t>
  </si>
  <si>
    <t>Island</t>
  </si>
  <si>
    <t>Swamp</t>
  </si>
  <si>
    <t>Forest</t>
  </si>
  <si>
    <t>Nature's Lore</t>
  </si>
  <si>
    <t>Rampant Growth</t>
  </si>
  <si>
    <t>Confim Outonal</t>
  </si>
  <si>
    <t>Entish Restoration</t>
  </si>
  <si>
    <t>Lotus Cobra</t>
  </si>
  <si>
    <t>Tireless Provisioner</t>
  </si>
  <si>
    <t>Morbid Opportunist</t>
  </si>
  <si>
    <t>Tatyova, Benthic Druid</t>
  </si>
  <si>
    <t>Tireless Tracker</t>
  </si>
  <si>
    <t>A Ascensão da Onda Faminta</t>
  </si>
  <si>
    <t>Deathreap Ritual</t>
  </si>
  <si>
    <t>Phyrexian Arena</t>
  </si>
  <si>
    <t>Teferi's Ageless Insight</t>
  </si>
  <si>
    <t>Chord of Calling</t>
  </si>
  <si>
    <t>Wight of the Reliquary</t>
  </si>
  <si>
    <t>Chasm Skulker</t>
  </si>
  <si>
    <t>Beledros Witherbloom</t>
  </si>
  <si>
    <t>Emrakul's Messenger</t>
  </si>
  <si>
    <t>Tendershoot Dryad</t>
  </si>
  <si>
    <t>Invasion of Tolvada</t>
  </si>
  <si>
    <t>Minn, Wily Illusionist</t>
  </si>
  <si>
    <t>Pawn of Ulamog</t>
  </si>
  <si>
    <t>Chatterfang, Squirrel General</t>
  </si>
  <si>
    <t>Alandra, Sky Dreamer</t>
  </si>
  <si>
    <t>Nemata, Primeval Warden</t>
  </si>
  <si>
    <t>Pitiless Plunderer</t>
  </si>
  <si>
    <t>Jolrael, Mwonvuli Recluse</t>
  </si>
  <si>
    <t>Springheart Nantuko</t>
  </si>
  <si>
    <t>Scute Swarm</t>
  </si>
  <si>
    <t>Illusionist's Bracers</t>
  </si>
  <si>
    <t>Retreat to Coralhelm</t>
  </si>
  <si>
    <t>Freestrider Lookout</t>
  </si>
  <si>
    <t>Quirion Ranger</t>
  </si>
  <si>
    <t>Reassembling Skeleton</t>
  </si>
  <si>
    <t>Woe Strider</t>
  </si>
  <si>
    <t>Amulet of Vigor</t>
  </si>
  <si>
    <t>Ancient Greenwarden</t>
  </si>
  <si>
    <t>Eternal Witness</t>
  </si>
  <si>
    <t>Swiftfoot Boots</t>
  </si>
  <si>
    <t>Lightning Greaves</t>
  </si>
  <si>
    <t>Countersquall</t>
  </si>
  <si>
    <t>Negate</t>
  </si>
  <si>
    <t>Beast Within</t>
  </si>
  <si>
    <t>Assassin's Trophy</t>
  </si>
  <si>
    <t>Torment of Hailfire</t>
  </si>
  <si>
    <t>Toxic Deluge</t>
  </si>
  <si>
    <t>Sultai Charm</t>
  </si>
  <si>
    <t>An Offer you Can't Refuse</t>
  </si>
  <si>
    <t>Abrupt Decay</t>
  </si>
  <si>
    <t>Mirkwood Bats</t>
  </si>
  <si>
    <t>Exsanguinate</t>
  </si>
  <si>
    <t>Nadier's Nightblade</t>
  </si>
  <si>
    <t>Kazuul's Fury</t>
  </si>
  <si>
    <t>Rogue's Passage</t>
  </si>
  <si>
    <t>Skarrg, the Rage Pits</t>
  </si>
  <si>
    <t>Kessig Wolf Run</t>
  </si>
  <si>
    <t>High Market</t>
  </si>
  <si>
    <t>Mosswort Bridge</t>
  </si>
  <si>
    <t>Llanowar Wastes</t>
  </si>
  <si>
    <t>Khalni Territory</t>
  </si>
  <si>
    <t>War</t>
  </si>
  <si>
    <t>Rootbound Crag</t>
  </si>
  <si>
    <t>Floresta Karplusana</t>
  </si>
  <si>
    <t>Evolving Wilds</t>
  </si>
  <si>
    <t>Suporte</t>
  </si>
  <si>
    <t>Paisagem Infinita</t>
  </si>
  <si>
    <t>Mountain</t>
  </si>
  <si>
    <t>Edge of Autumn</t>
  </si>
  <si>
    <t>Gruul Signet</t>
  </si>
  <si>
    <t>Golgari Signet</t>
  </si>
  <si>
    <t>Rakdos Signet</t>
  </si>
  <si>
    <t>Mind Stone</t>
  </si>
  <si>
    <t>Cultivate</t>
  </si>
  <si>
    <t>Prismatic Lens</t>
  </si>
  <si>
    <t>Kodama's Reach</t>
  </si>
  <si>
    <t>Brazen Cannonade</t>
  </si>
  <si>
    <t>Emberwilde Captain</t>
  </si>
  <si>
    <t>Marchesa's Decree</t>
  </si>
  <si>
    <t>Clackbridge Troll</t>
  </si>
  <si>
    <t>Karazikar, the Eye Tyrant</t>
  </si>
  <si>
    <t>Kardur, Doomscourge</t>
  </si>
  <si>
    <t>Agitator Ant</t>
  </si>
  <si>
    <t>Vengeful Ancestor</t>
  </si>
  <si>
    <t>Rite of the Raging Storm</t>
  </si>
  <si>
    <t>Geode Rager</t>
  </si>
  <si>
    <t>Disrupt Decorum</t>
  </si>
  <si>
    <t>Royal Assassin</t>
  </si>
  <si>
    <t>Tragic Slip</t>
  </si>
  <si>
    <t>Golgari Charm</t>
  </si>
  <si>
    <t>Terminate</t>
  </si>
  <si>
    <t>Sudden Spoiling</t>
  </si>
  <si>
    <t>Nature's Claim</t>
  </si>
  <si>
    <t>Rakdos Charm</t>
  </si>
  <si>
    <t>Kazuul, Tyrant of the Cliffs</t>
  </si>
  <si>
    <t>Curse of Disturbance</t>
  </si>
  <si>
    <t>Revenge of Ravens</t>
  </si>
  <si>
    <t>Hissing Miasma</t>
  </si>
  <si>
    <t>Opal Palace</t>
  </si>
  <si>
    <t>Sokenzan, Crucible of Defiance</t>
  </si>
  <si>
    <t>Slayers' Stronghold</t>
  </si>
  <si>
    <t>Sea of Clouds</t>
  </si>
  <si>
    <t>Training Center</t>
  </si>
  <si>
    <t>Wheel</t>
  </si>
  <si>
    <t>Spectator Seating</t>
  </si>
  <si>
    <t>Mill</t>
  </si>
  <si>
    <t>Sulfur Falls</t>
  </si>
  <si>
    <t>Utility</t>
  </si>
  <si>
    <t>Clifftop Retreat</t>
  </si>
  <si>
    <t>Protection</t>
  </si>
  <si>
    <t>Glacial Fortress</t>
  </si>
  <si>
    <t>Pump</t>
  </si>
  <si>
    <t>Shivan Reef</t>
  </si>
  <si>
    <t>Battlefield Forge</t>
  </si>
  <si>
    <t>Adarkar Wastes</t>
  </si>
  <si>
    <t>Azorius Chancery</t>
  </si>
  <si>
    <t>Boros Garrison</t>
  </si>
  <si>
    <t>Izzet Boilerworks</t>
  </si>
  <si>
    <t>Myriad Landscape</t>
  </si>
  <si>
    <t>Plains</t>
  </si>
  <si>
    <t>Sol Ring</t>
  </si>
  <si>
    <t>Arcane Signet</t>
  </si>
  <si>
    <t>Azorius Signet</t>
  </si>
  <si>
    <t>Boros Signet</t>
  </si>
  <si>
    <t>Izzet Signet</t>
  </si>
  <si>
    <t>Fellwar Stone</t>
  </si>
  <si>
    <t>Thought Vessel</t>
  </si>
  <si>
    <t>Realmbreaker, the Invasion Tree</t>
  </si>
  <si>
    <t>Sword of the Animist</t>
  </si>
  <si>
    <t>Faithless Looting</t>
  </si>
  <si>
    <t>Frantic Search</t>
  </si>
  <si>
    <t>Thrilling Discovery</t>
  </si>
  <si>
    <t>Sanctum of Calm Waters</t>
  </si>
  <si>
    <t>Shorikai, Genesis Engine</t>
  </si>
  <si>
    <t>Monastery Siege</t>
  </si>
  <si>
    <t>Treasure Cruise</t>
  </si>
  <si>
    <t>Whirlwind of Thought</t>
  </si>
  <si>
    <t>Heartwarming Redemption</t>
  </si>
  <si>
    <t>Mirrodin Besieged</t>
  </si>
  <si>
    <t>Windfall</t>
  </si>
  <si>
    <t>Collective Defiance</t>
  </si>
  <si>
    <t>Incendiary Command</t>
  </si>
  <si>
    <t>Khorvath's Fury</t>
  </si>
  <si>
    <t>Reforge the Soul</t>
  </si>
  <si>
    <t>Wheel of Fate</t>
  </si>
  <si>
    <t>Jace's Erasure</t>
  </si>
  <si>
    <t>Teferi's Tutelage</t>
  </si>
  <si>
    <t>Fraying Sanity</t>
  </si>
  <si>
    <t>Sphinx's Tutelage</t>
  </si>
  <si>
    <t>Mesmeric Orb</t>
  </si>
  <si>
    <t>Memory Erosion</t>
  </si>
  <si>
    <t>Tasha's Hideous Laughter</t>
  </si>
  <si>
    <t>Cut your Losses</t>
  </si>
  <si>
    <t>Traumatize</t>
  </si>
  <si>
    <t>Psychic Corrosion</t>
  </si>
  <si>
    <t>Ruin Crab</t>
  </si>
  <si>
    <t>Mindcrank</t>
  </si>
  <si>
    <t>Maddening Cacophony</t>
  </si>
  <si>
    <t>Fractured Sanity</t>
  </si>
  <si>
    <t>Mystic Redaction</t>
  </si>
  <si>
    <t>Spark Double</t>
  </si>
  <si>
    <t>Ominous Seas</t>
  </si>
  <si>
    <t>Strionic Resonator</t>
  </si>
  <si>
    <t>Irenicus's Vile Duplication</t>
  </si>
  <si>
    <t>Batida da Meia-Noite</t>
  </si>
  <si>
    <t>Tormod's Crypt</t>
  </si>
  <si>
    <t>Dovin's Veto</t>
  </si>
  <si>
    <t>Presente Generoso</t>
  </si>
  <si>
    <t>Time Wipe</t>
  </si>
  <si>
    <t>Propaganda</t>
  </si>
  <si>
    <t>Ghostly Prison</t>
  </si>
  <si>
    <t>Trepanation Blade</t>
  </si>
  <si>
    <t>Mask of the Schemer</t>
  </si>
  <si>
    <t>Whispersilk Cloak</t>
  </si>
  <si>
    <t>Othelm e Wernog</t>
  </si>
  <si>
    <t>Roubadas</t>
  </si>
  <si>
    <t>Original</t>
  </si>
  <si>
    <t>Castle Ardenvale</t>
  </si>
  <si>
    <t>Gavony Township</t>
  </si>
  <si>
    <t>Westvale Abbey</t>
  </si>
  <si>
    <t>Vitu-Ghazi, the City-Tree</t>
  </si>
  <si>
    <t>Grove of the Guardian</t>
  </si>
  <si>
    <t>Havengul Laboratory</t>
  </si>
  <si>
    <t>Canopy Vista</t>
  </si>
  <si>
    <t>Portão da Guilda Orzhov</t>
  </si>
  <si>
    <t>Scattered Groves</t>
  </si>
  <si>
    <t>Vida</t>
  </si>
  <si>
    <t>Isolated Chapel</t>
  </si>
  <si>
    <t>Untap</t>
  </si>
  <si>
    <t>Woodland Cemetery</t>
  </si>
  <si>
    <t>Sunpetal Grove</t>
  </si>
  <si>
    <t>Sacrifício</t>
  </si>
  <si>
    <t>Brushland</t>
  </si>
  <si>
    <t>Caves of Koilos</t>
  </si>
  <si>
    <t>Recursão</t>
  </si>
  <si>
    <t>Mirrodin's Core</t>
  </si>
  <si>
    <t>Temple of Plenty</t>
  </si>
  <si>
    <t>Temple of Malady</t>
  </si>
  <si>
    <t>Temple of Silence</t>
  </si>
  <si>
    <t>Recuperação de Bala Ged</t>
  </si>
  <si>
    <t>Mirrex</t>
  </si>
  <si>
    <t>Elvish Mystic</t>
  </si>
  <si>
    <t>Llanowar Elves</t>
  </si>
  <si>
    <t>Fyndhorn Elves</t>
  </si>
  <si>
    <t>Sakura-Tribe Elder</t>
  </si>
  <si>
    <t>Elves of Deep Shadow</t>
  </si>
  <si>
    <t>Cryptolith Rite</t>
  </si>
  <si>
    <t>Jaheira, Friend of the Forest</t>
  </si>
  <si>
    <t>Birds of Paradise</t>
  </si>
  <si>
    <t>Inspiring Statuary</t>
  </si>
  <si>
    <t>Oketra's Monument</t>
  </si>
  <si>
    <t>Insidious Roots</t>
  </si>
  <si>
    <t>Tocasia's Welcome</t>
  </si>
  <si>
    <t>Weatherlight Compleated</t>
  </si>
  <si>
    <t>Ulvenwald Mysteries</t>
  </si>
  <si>
    <t>Elven Chorus</t>
  </si>
  <si>
    <t>Elas il-Kor, Sadistic Pilgrim</t>
  </si>
  <si>
    <t>Commissar Severina Raine</t>
  </si>
  <si>
    <t>Kambal, Prefeito Especulador</t>
  </si>
  <si>
    <t>Ashnod's Altar</t>
  </si>
  <si>
    <t>Spawning Pit</t>
  </si>
  <si>
    <t>Martyr's Cause</t>
  </si>
  <si>
    <t>Twilight Drover</t>
  </si>
  <si>
    <t>Wolverine Riders</t>
  </si>
  <si>
    <t>Bramble Sovereign</t>
  </si>
  <si>
    <t>Academy Manufactor</t>
  </si>
  <si>
    <t>Ogre Slumlord</t>
  </si>
  <si>
    <t>Lotho, Corrupt Shirriff</t>
  </si>
  <si>
    <t>Queen Allenal of Ruadach</t>
  </si>
  <si>
    <t>Samwise Gamgee</t>
  </si>
  <si>
    <t>Preston, the Vanisher</t>
  </si>
  <si>
    <t>Thalisse, Reverent Medium</t>
  </si>
  <si>
    <t>Mondrak, Glory Dominus</t>
  </si>
  <si>
    <t>Doubling Season</t>
  </si>
  <si>
    <t>Nantuko do Coração Primaveril</t>
  </si>
  <si>
    <t>Halo Fountain</t>
  </si>
  <si>
    <t>Journey to Eternity</t>
  </si>
  <si>
    <t>Honest Rutstein</t>
  </si>
  <si>
    <t>Altar Argentado</t>
  </si>
  <si>
    <t>Cavalier of Night</t>
  </si>
  <si>
    <t>Living Death</t>
  </si>
  <si>
    <t>The Battle of Bywater</t>
  </si>
  <si>
    <t>Thrasios e Akiri</t>
  </si>
  <si>
    <t>Great Furnace</t>
  </si>
  <si>
    <t>Ancient Den</t>
  </si>
  <si>
    <t>Seat of the Synod</t>
  </si>
  <si>
    <t>Tree of Tales</t>
  </si>
  <si>
    <t>Darksteel Citadel</t>
  </si>
  <si>
    <t>Feira dos Inventores</t>
  </si>
  <si>
    <t>Urza's Saga</t>
  </si>
  <si>
    <t>Engine</t>
  </si>
  <si>
    <t>Ruína Enterrada</t>
  </si>
  <si>
    <t>Combo</t>
  </si>
  <si>
    <t>Pomar Exótico</t>
  </si>
  <si>
    <t>Utilidade</t>
  </si>
  <si>
    <t>Alchemist's Refuge</t>
  </si>
  <si>
    <t>Tutor</t>
  </si>
  <si>
    <t>Cidade de Bronze</t>
  </si>
  <si>
    <t>Torre do Relicário</t>
  </si>
  <si>
    <t>Ruínas da Academia</t>
  </si>
  <si>
    <t>Spire Garden</t>
  </si>
  <si>
    <t>Hinterland Harbor</t>
  </si>
  <si>
    <t>Hallowed Fountain</t>
  </si>
  <si>
    <t>Temple Garden</t>
  </si>
  <si>
    <t>Stomping Ground</t>
  </si>
  <si>
    <t>Steam Vents</t>
  </si>
  <si>
    <t>Sacred Foundry</t>
  </si>
  <si>
    <t>Spire of Industry</t>
  </si>
  <si>
    <t>The Mycosynth Gardens</t>
  </si>
  <si>
    <t>Selesnya Signet</t>
  </si>
  <si>
    <t>Simic Signet</t>
  </si>
  <si>
    <t>Basalt Monolith</t>
  </si>
  <si>
    <t>Urza, Lord Protector</t>
  </si>
  <si>
    <t>Lanterna Cromática</t>
  </si>
  <si>
    <t>Liquimetal Torque</t>
  </si>
  <si>
    <t>Gilded Lotus</t>
  </si>
  <si>
    <t>Thran Dynamo</t>
  </si>
  <si>
    <t>The Mightstone and Weakstone</t>
  </si>
  <si>
    <t>Guild Artisan</t>
  </si>
  <si>
    <t>Anciã de Toca das Fadas</t>
  </si>
  <si>
    <t>Swords to Plowshares</t>
  </si>
  <si>
    <t>Dispeller's Capsule</t>
  </si>
  <si>
    <t>Generous Gift</t>
  </si>
  <si>
    <t>Medalhão de Naya</t>
  </si>
  <si>
    <t>Magibomba de Éter</t>
  </si>
  <si>
    <t>Medalhão de Bant</t>
  </si>
  <si>
    <t>Hindering Light</t>
  </si>
  <si>
    <t>An Offer You Can't Refuse</t>
  </si>
  <si>
    <t>Silêncio</t>
  </si>
  <si>
    <t>Endless Detour</t>
  </si>
  <si>
    <t>Conqueror's Flail</t>
  </si>
  <si>
    <t>Seedborn Muse</t>
  </si>
  <si>
    <t>Zirda, the Dawnwaker</t>
  </si>
  <si>
    <t>Reconquista da Natureza</t>
  </si>
  <si>
    <t>Engenhoqueira Forense</t>
  </si>
  <si>
    <t>Espelho das Miragens</t>
  </si>
  <si>
    <t>Galadriel of Lothlórien</t>
  </si>
  <si>
    <t>Training Grounds</t>
  </si>
  <si>
    <t>Meria, Erudita da Antiguidade</t>
  </si>
  <si>
    <t>Sarinth Greatwurm</t>
  </si>
  <si>
    <t>Clock of Omens</t>
  </si>
  <si>
    <t>Relógio Reversor</t>
  </si>
  <si>
    <t>Familiar do Biomante</t>
  </si>
  <si>
    <t>Anéis dos Lareiluz</t>
  </si>
  <si>
    <t>Saheeli, Sublime Artificer</t>
  </si>
  <si>
    <t>Tezzeret, o Perseguidor</t>
  </si>
  <si>
    <t>Whir of Invention</t>
  </si>
  <si>
    <t>Bagunçar a Mistura</t>
  </si>
  <si>
    <t>Mago das Quinquilharias</t>
  </si>
  <si>
    <t>Maga dos Tributos</t>
  </si>
  <si>
    <t>Oswald Fiddlebender</t>
  </si>
  <si>
    <t>Wargate</t>
  </si>
  <si>
    <t>Reshape</t>
  </si>
  <si>
    <t>Isochron Scepter</t>
  </si>
  <si>
    <t>Reversão Dramática</t>
  </si>
  <si>
    <t>Walking Ballista</t>
  </si>
  <si>
    <t>Boros Charm</t>
  </si>
  <si>
    <t>Invadir a Câmara</t>
  </si>
  <si>
    <t>Encroaching Mycosynth</t>
  </si>
  <si>
    <t>Saheeli Rai</t>
  </si>
  <si>
    <t>The Gitrog Monster</t>
  </si>
  <si>
    <t>Argoth, Sanctum of Nature</t>
  </si>
  <si>
    <t>Tainted Wood</t>
  </si>
  <si>
    <t>Crystal Vein</t>
  </si>
  <si>
    <t>Dakmor Salvage</t>
  </si>
  <si>
    <t>Phyrexian Tower</t>
  </si>
  <si>
    <t>Descarte</t>
  </si>
  <si>
    <t>Peat Bog</t>
  </si>
  <si>
    <t>Hickory Woodlot</t>
  </si>
  <si>
    <t>Ash Barrens</t>
  </si>
  <si>
    <t>Petrified Field</t>
  </si>
  <si>
    <t>Ancient Tomb</t>
  </si>
  <si>
    <t>Demolition Field</t>
  </si>
  <si>
    <t>Ghost Quarter</t>
  </si>
  <si>
    <t>Strip Mine</t>
  </si>
  <si>
    <t>Blasted Landscape</t>
  </si>
  <si>
    <t>Wall of Roots</t>
  </si>
  <si>
    <t>Takenuma, Charco Abandonado</t>
  </si>
  <si>
    <t>Dryad Arbor</t>
  </si>
  <si>
    <t>Deathrite Shaman</t>
  </si>
  <si>
    <t>Priest of Titania</t>
  </si>
  <si>
    <t>Gilded Goose</t>
  </si>
  <si>
    <t>A Pedra Fellwar</t>
  </si>
  <si>
    <t>Mana Crypt</t>
  </si>
  <si>
    <t>Sinete Golgari</t>
  </si>
  <si>
    <t>Delighted Halfling</t>
  </si>
  <si>
    <t>Elvish Spirit Guide</t>
  </si>
  <si>
    <t>Tear Asunder</t>
  </si>
  <si>
    <t>Krosan Grip</t>
  </si>
  <si>
    <t>Darkblast</t>
  </si>
  <si>
    <t>Noose Constrictor</t>
  </si>
  <si>
    <t>Oblivion Crown</t>
  </si>
  <si>
    <t>Wild Mongrel</t>
  </si>
  <si>
    <t>Putrid Imp</t>
  </si>
  <si>
    <t>Dark Ritual</t>
  </si>
  <si>
    <t>Restituir</t>
  </si>
  <si>
    <t>Ulamog, the Infinite Gyre</t>
  </si>
  <si>
    <t>Gaea's Blessing</t>
  </si>
  <si>
    <t>Lotus Petal</t>
  </si>
  <si>
    <t>Geth's Verdict</t>
  </si>
  <si>
    <t>Cabal Ritual</t>
  </si>
  <si>
    <t>Seis</t>
  </si>
  <si>
    <t>Cemetery Tampering</t>
  </si>
  <si>
    <t>Life from the Loam</t>
  </si>
  <si>
    <t>Nyx Weaver</t>
  </si>
  <si>
    <t>Blessed Respite</t>
  </si>
  <si>
    <t>Riftsweeper</t>
  </si>
  <si>
    <t>Crawling Infestation</t>
  </si>
  <si>
    <t>Ondulações de Morte-Vida</t>
  </si>
  <si>
    <t>Conduit of Worlds</t>
  </si>
  <si>
    <t>Nostalgic Dreams</t>
  </si>
  <si>
    <t>Salvamento Macabro</t>
  </si>
  <si>
    <t>Titania, Voice of Gaea</t>
  </si>
  <si>
    <t>Autumn's Veil</t>
  </si>
  <si>
    <t>Shigeki, Visionário Jukai</t>
  </si>
  <si>
    <t>Splendid Reclamation</t>
  </si>
  <si>
    <t>Grimório Silvestre</t>
  </si>
  <si>
    <t>Ramunap Excavator</t>
  </si>
  <si>
    <t>Molda-mundo</t>
  </si>
  <si>
    <t>Crisol dos Mundos</t>
  </si>
  <si>
    <t>Worldly Tutor</t>
  </si>
  <si>
    <t>Crop Rotation</t>
  </si>
  <si>
    <t>Demonic Tutor</t>
  </si>
  <si>
    <t>Unmarked Grave</t>
  </si>
  <si>
    <t>Invasion of Ikoria</t>
  </si>
  <si>
    <t>Sylvan Scrying</t>
  </si>
  <si>
    <t>Buried Alive</t>
  </si>
  <si>
    <t>Entomb</t>
  </si>
  <si>
    <t>Green Sun's Zenith</t>
  </si>
  <si>
    <t>Eldritch Evolution</t>
  </si>
  <si>
    <t>Elfos - Thrasios e Miara</t>
  </si>
  <si>
    <t>Wirewood Lodge</t>
  </si>
  <si>
    <t>Path of Ancestry</t>
  </si>
  <si>
    <t>Yavimaya Coast</t>
  </si>
  <si>
    <t>Mortuary Mire</t>
  </si>
  <si>
    <t>Bala Ged Sanctuary</t>
  </si>
  <si>
    <t>Terras em Desenvolvimento</t>
  </si>
  <si>
    <t>Interação</t>
  </si>
  <si>
    <t>Port of Karfell</t>
  </si>
  <si>
    <t>Vastidão Morfoterrena</t>
  </si>
  <si>
    <t>Token</t>
  </si>
  <si>
    <t>Campos de Lótus</t>
  </si>
  <si>
    <t>Haste</t>
  </si>
  <si>
    <t>Nykthos, Shrine to Nyx</t>
  </si>
  <si>
    <t>Tumba Abandonada</t>
  </si>
  <si>
    <t>Circle of Dreams Druid</t>
  </si>
  <si>
    <t>Elvish Guidance</t>
  </si>
  <si>
    <t>Elvish Harbinger</t>
  </si>
  <si>
    <t>Marwyn, the Nurturer</t>
  </si>
  <si>
    <t>Elvish Archdruid</t>
  </si>
  <si>
    <t>Birchlore Rangers</t>
  </si>
  <si>
    <t>Wirewood Channeler</t>
  </si>
  <si>
    <t>Farhaven Elf</t>
  </si>
  <si>
    <t>Devoted Druid</t>
  </si>
  <si>
    <t>Wood Elves</t>
  </si>
  <si>
    <t>Springbloom Druid</t>
  </si>
  <si>
    <t>Arbor Elf</t>
  </si>
  <si>
    <t>Beastcaller Savant</t>
  </si>
  <si>
    <t>Joraga Treespeaker</t>
  </si>
  <si>
    <t>Rishkar, Renegado de Peema</t>
  </si>
  <si>
    <t>Llanowar Loamspeaker</t>
  </si>
  <si>
    <t>Tyvar Kell</t>
  </si>
  <si>
    <t>Rito do Criptólito</t>
  </si>
  <si>
    <t>Jaspera Sentinel</t>
  </si>
  <si>
    <t>Gwenna, Eyes of Gaea</t>
  </si>
  <si>
    <t>Imperious Perfect</t>
  </si>
  <si>
    <t>Lys Alana Huntmaster</t>
  </si>
  <si>
    <t>Riqueza Abominável</t>
  </si>
  <si>
    <t>Ezuri, Renegade Leader</t>
  </si>
  <si>
    <t>Apreciação Ecológica</t>
  </si>
  <si>
    <t>Evolutionary Leap</t>
  </si>
  <si>
    <t>Fauna Shaman</t>
  </si>
  <si>
    <t>Skyshroud Poacher</t>
  </si>
  <si>
    <t>Prime Speaker Vannifar</t>
  </si>
  <si>
    <t>Yisan, the Wanderer Bard</t>
  </si>
  <si>
    <t>Elvish Lyrist</t>
  </si>
  <si>
    <t>Elvish Scrapper</t>
  </si>
  <si>
    <t>Freyalise, Llanowar's Fury</t>
  </si>
  <si>
    <t>Reclamation Sage</t>
  </si>
  <si>
    <t>Masked Vandal</t>
  </si>
  <si>
    <t>Mirage Mirror</t>
  </si>
  <si>
    <t>Yeva, Nature's Herald</t>
  </si>
  <si>
    <t>Simic Charm</t>
  </si>
  <si>
    <t>Nissa, Resurgent Animist</t>
  </si>
  <si>
    <t>Wellwisher</t>
  </si>
  <si>
    <t>Intruder Alarm</t>
  </si>
  <si>
    <t>Seeker of Skybreak</t>
  </si>
  <si>
    <t>Copperhorn Scout</t>
  </si>
  <si>
    <t>Quest for Renewal</t>
  </si>
  <si>
    <t>Faces of the Past</t>
  </si>
  <si>
    <t>Teferi, Temporal Archmage</t>
  </si>
  <si>
    <t>Murkfiend Liege</t>
  </si>
  <si>
    <t>Kiora's Follower</t>
  </si>
  <si>
    <t>Wirewood Symbiote</t>
  </si>
  <si>
    <t>Nissa, Genesis Mage</t>
  </si>
  <si>
    <t>Elvish Soultiller</t>
  </si>
  <si>
    <t>Tyvar, Jubilant Brawler</t>
  </si>
  <si>
    <t>Thousand-Year Elixir</t>
  </si>
  <si>
    <t>Breya Foundry</t>
  </si>
  <si>
    <t>Vault of Whispers</t>
  </si>
  <si>
    <t>Buried Ruin</t>
  </si>
  <si>
    <t>Tumba do Dragão Espírito</t>
  </si>
  <si>
    <t>Power Depot</t>
  </si>
  <si>
    <t>Foundry</t>
  </si>
  <si>
    <t>Fundição dos Cônsules</t>
  </si>
  <si>
    <t>Reflecting Pool</t>
  </si>
  <si>
    <t>Goldmire Bridge</t>
  </si>
  <si>
    <t>Razortide Bridge</t>
  </si>
  <si>
    <t>Drossforge Bridge</t>
  </si>
  <si>
    <t>Win</t>
  </si>
  <si>
    <t>Rustvale Bridge</t>
  </si>
  <si>
    <t>Mistvault Bridge</t>
  </si>
  <si>
    <t>Silverbluff Bridge</t>
  </si>
  <si>
    <t>Castle Embereth</t>
  </si>
  <si>
    <t>Sulfurous Springs</t>
  </si>
  <si>
    <t>Underground River</t>
  </si>
  <si>
    <t>Orzhov Signet</t>
  </si>
  <si>
    <t>Dimir Signet</t>
  </si>
  <si>
    <t>Grand Architect</t>
  </si>
  <si>
    <t>Prosperous Partnership</t>
  </si>
  <si>
    <t>Chief Engineer</t>
  </si>
  <si>
    <t>Arcum Dagsson</t>
  </si>
  <si>
    <t>Aetherworks Marvel</t>
  </si>
  <si>
    <t>Skullclamp</t>
  </si>
  <si>
    <t>Grazilaxx, Illithid Scholar</t>
  </si>
  <si>
    <t>Losheel, Clockwork Scholar</t>
  </si>
  <si>
    <t>Kindred Discovery</t>
  </si>
  <si>
    <t>Curiosity Crafter</t>
  </si>
  <si>
    <t>Thopter Spy Network</t>
  </si>
  <si>
    <t>Bident of Thassa</t>
  </si>
  <si>
    <t>Loyal Apprentice</t>
  </si>
  <si>
    <t>Forja dos Mil Luas</t>
  </si>
  <si>
    <t>Elmo de Giramundo</t>
  </si>
  <si>
    <t>Pia and Kiran Nalaar</t>
  </si>
  <si>
    <t>Jan Jansen, Chaos Crafter</t>
  </si>
  <si>
    <t>Urza, Grão-lorde Artífice</t>
  </si>
  <si>
    <t>Skrelv's Hive</t>
  </si>
  <si>
    <t>Summoning Station</t>
  </si>
  <si>
    <t>Sharding Sphinx</t>
  </si>
  <si>
    <t>Biotransference</t>
  </si>
  <si>
    <t>Saheeli, the Gifted</t>
  </si>
  <si>
    <t>Hangarback Walker</t>
  </si>
  <si>
    <t>Brudiclad, Telchor Engineer</t>
  </si>
  <si>
    <t>Malcator, Purity Overseer</t>
  </si>
  <si>
    <t>Saheeli, Filigree Master</t>
  </si>
  <si>
    <t>Daretti, Ingenious Iconoclast</t>
  </si>
  <si>
    <t>Fundição Modificadora</t>
  </si>
  <si>
    <t>Spiteful Banditry</t>
  </si>
  <si>
    <t>Apropriação Abstrusa</t>
  </si>
  <si>
    <t>Anguished Unmaking</t>
  </si>
  <si>
    <t>Legislador Impiedoso</t>
  </si>
  <si>
    <t>Eldrazi Displacer</t>
  </si>
  <si>
    <t>Thassa, Deep-Dwelling</t>
  </si>
  <si>
    <t>Soulherder</t>
  </si>
  <si>
    <t>Nahiri's Resolve</t>
  </si>
  <si>
    <t>Teleportation Circle</t>
  </si>
  <si>
    <t>Venser, the Sojourner</t>
  </si>
  <si>
    <t>Mayhem Devil</t>
  </si>
  <si>
    <t>Time Sieve</t>
  </si>
  <si>
    <t>Tezzeret, Master of the Bridge</t>
  </si>
  <si>
    <t>Krark-Clan Ironworks</t>
  </si>
  <si>
    <t>The First Sliver</t>
  </si>
  <si>
    <t>Trioma de Ketria</t>
  </si>
  <si>
    <t>Palácio Opulento</t>
  </si>
  <si>
    <t>Trioma de Indatha</t>
  </si>
  <si>
    <t>Cidadela da Estepe Arenosa</t>
  </si>
  <si>
    <t>Trioma de Zagoth</t>
  </si>
  <si>
    <t>Panorama de Naya</t>
  </si>
  <si>
    <t>Trioma de Raugrin</t>
  </si>
  <si>
    <t>Trioma de Savai</t>
  </si>
  <si>
    <t>Raffine's Tower</t>
  </si>
  <si>
    <t>Xander's Lounge</t>
  </si>
  <si>
    <t>Ziatora's Proving Ground</t>
  </si>
  <si>
    <t>Jungle Shrine</t>
  </si>
  <si>
    <t>Jetmir's Garden</t>
  </si>
  <si>
    <t>Spara's Headquarters</t>
  </si>
  <si>
    <t>Caverna das Almas</t>
  </si>
  <si>
    <t>Terramorphic Expanse</t>
  </si>
  <si>
    <t>Desolação Fumegante</t>
  </si>
  <si>
    <t>Unclaimed Territory</t>
  </si>
  <si>
    <t>Sliver Hive</t>
  </si>
  <si>
    <t>Mina de Cristal</t>
  </si>
  <si>
    <t>Caminho da Ascendência</t>
  </si>
  <si>
    <t>Pátio Reservado</t>
  </si>
  <si>
    <t>Sliver Queen</t>
  </si>
  <si>
    <t>Sliver Hivelord</t>
  </si>
  <si>
    <t>Sliver Overlord</t>
  </si>
  <si>
    <t>Sliver Legion</t>
  </si>
  <si>
    <t>Sinew Sliver</t>
  </si>
  <si>
    <t>Sliver Gravemother</t>
  </si>
  <si>
    <t>Hibernation Sliver</t>
  </si>
  <si>
    <t>Necrotic Sliver</t>
  </si>
  <si>
    <t>Cloudshredder Sliver</t>
  </si>
  <si>
    <t>Dormant Sliver</t>
  </si>
  <si>
    <t>Harmonic Sliver</t>
  </si>
  <si>
    <t>Darkheart Sliver</t>
  </si>
  <si>
    <t>Lavabelly Sliver</t>
  </si>
  <si>
    <t>Sentinel Sliver</t>
  </si>
  <si>
    <t>Constricting Sliver</t>
  </si>
  <si>
    <t>Quilled Sliver</t>
  </si>
  <si>
    <t>Bonescythe Sliver</t>
  </si>
  <si>
    <t>Gemhide Sliver</t>
  </si>
  <si>
    <t>Venom Sliver</t>
  </si>
  <si>
    <t>Brood Sliver</t>
  </si>
  <si>
    <t>Manaweft Sliver</t>
  </si>
  <si>
    <t>Quick Sliver</t>
  </si>
  <si>
    <t>Root Sliver</t>
  </si>
  <si>
    <t>Basal Sliver</t>
  </si>
  <si>
    <t>Crypt Sliver</t>
  </si>
  <si>
    <t>Syphon Sliver</t>
  </si>
  <si>
    <t>Dregscape Sliver</t>
  </si>
  <si>
    <t>Heart Sliver</t>
  </si>
  <si>
    <t>Homing Sliver</t>
  </si>
  <si>
    <t>Blur Sliver</t>
  </si>
  <si>
    <t>Spiteful Sliver</t>
  </si>
  <si>
    <t>Magma Sliver</t>
  </si>
  <si>
    <t>Thorncaster Sliver</t>
  </si>
  <si>
    <t>Striking Sliver</t>
  </si>
  <si>
    <t>Opaline Sliver</t>
  </si>
  <si>
    <t>Diffusion Sliver</t>
  </si>
  <si>
    <t>Ward Sliver</t>
  </si>
  <si>
    <t>Winged Sliver</t>
  </si>
  <si>
    <t>Essence Sliver</t>
  </si>
  <si>
    <t>Galerider Sliver</t>
  </si>
  <si>
    <t>Crystalline Sliver</t>
  </si>
  <si>
    <t>Shifting Sliver</t>
  </si>
  <si>
    <t>Hatchery Sliver</t>
  </si>
  <si>
    <t>Taunting Sliver</t>
  </si>
  <si>
    <t>Eladamri's Call</t>
  </si>
  <si>
    <t>Signal the Clans</t>
  </si>
  <si>
    <t>Bring to Light</t>
  </si>
  <si>
    <t>Realmwalker</t>
  </si>
  <si>
    <t>Haunted Crossroads</t>
  </si>
  <si>
    <t>Rogues' Gallery</t>
  </si>
  <si>
    <t>Caminho dos Descendentes</t>
  </si>
  <si>
    <t>Marinheiro Instável</t>
  </si>
  <si>
    <t>Call to the Kindred</t>
  </si>
  <si>
    <t>Farseek</t>
  </si>
  <si>
    <t>Inventors' Fair</t>
  </si>
  <si>
    <t>Santuário Místico</t>
  </si>
  <si>
    <t>Santuário dos Deuses Esquecidos</t>
  </si>
  <si>
    <t>Minamo, School at Water's Edge</t>
  </si>
  <si>
    <t>Assento do Sínodo</t>
  </si>
  <si>
    <t>Profundezas de Halimar</t>
  </si>
  <si>
    <t>Rede dos Anéis de Mago</t>
  </si>
  <si>
    <t>Vazio Zhalfiriano</t>
  </si>
  <si>
    <t>Academy Ruins</t>
  </si>
  <si>
    <t>Arco da Inovação</t>
  </si>
  <si>
    <t>Everflowing Chalice</t>
  </si>
  <si>
    <t>Manoplas do Poder</t>
  </si>
  <si>
    <t>Urna de Mosco-lumes</t>
  </si>
  <si>
    <t>Autogerador Carregado</t>
  </si>
  <si>
    <t>Caged Sun</t>
  </si>
  <si>
    <t>Coldsteel Heart</t>
  </si>
  <si>
    <t>Worn Powerstone</t>
  </si>
  <si>
    <t>Relógio da Meia-Noite</t>
  </si>
  <si>
    <t>Planar Atlas</t>
  </si>
  <si>
    <t>Dreamstone Hedron</t>
  </si>
  <si>
    <t>Stonespeaker Crystal</t>
  </si>
  <si>
    <t>Patriar's Seal</t>
  </si>
  <si>
    <t>Sky Diamond</t>
  </si>
  <si>
    <t>Padeem, Consul of Innovation</t>
  </si>
  <si>
    <t>Herdeiro de Draco</t>
  </si>
  <si>
    <t>Master Transmuter</t>
  </si>
  <si>
    <t>Argivian Restoration</t>
  </si>
  <si>
    <t>Platinum Angel</t>
  </si>
  <si>
    <t>Spellskite</t>
  </si>
  <si>
    <t>The Stasis Coffin</t>
  </si>
  <si>
    <t>Brainstorm</t>
  </si>
  <si>
    <t>Brainstone</t>
  </si>
  <si>
    <t>Meteor Golem</t>
  </si>
  <si>
    <t>Counterspell</t>
  </si>
  <si>
    <t>Orbes de Proteção</t>
  </si>
  <si>
    <t>Spine of Ish Sah</t>
  </si>
  <si>
    <t>Duplicant</t>
  </si>
  <si>
    <t>Eterificar</t>
  </si>
  <si>
    <t>Portal to Phyrexia</t>
  </si>
  <si>
    <t>Rewind</t>
  </si>
  <si>
    <t>Desenrolar</t>
  </si>
  <si>
    <t>All is Dust</t>
  </si>
  <si>
    <t>Reality Shift</t>
  </si>
  <si>
    <t>Stoic Rebuttal</t>
  </si>
  <si>
    <t>Entreposto</t>
  </si>
  <si>
    <t>Mycosynth Golem</t>
  </si>
  <si>
    <t>Imposter Mech</t>
  </si>
  <si>
    <t>Colosso de Serralheria</t>
  </si>
  <si>
    <t>Filigree Sages</t>
  </si>
  <si>
    <t>Darksteel Forge</t>
  </si>
  <si>
    <t>Unwinding Clock</t>
  </si>
  <si>
    <t>Elixir da Imortalidade</t>
  </si>
  <si>
    <t>Magewright's Stone</t>
  </si>
  <si>
    <t>Nevinyrral's Disk</t>
  </si>
  <si>
    <t>Pentavus</t>
  </si>
  <si>
    <t>Phyrexian Metamorph</t>
  </si>
  <si>
    <t>Campos de Treinamento</t>
  </si>
  <si>
    <t>Chave Múltipla</t>
  </si>
  <si>
    <t>O Calendário do Milênio</t>
  </si>
  <si>
    <t>Memnarch</t>
  </si>
  <si>
    <t>Voltaic Key</t>
  </si>
  <si>
    <t>Mycosynth Lattice</t>
  </si>
  <si>
    <t>Chimil, o Sol Interior</t>
  </si>
  <si>
    <t>Thran Temporal Gateway</t>
  </si>
  <si>
    <t>Rielle, the Everwise</t>
  </si>
  <si>
    <t>Mystic Sanctuary</t>
  </si>
  <si>
    <t>Lonely Sandbar</t>
  </si>
  <si>
    <t>Forgotten Cave</t>
  </si>
  <si>
    <t>Desolate Lighthouse</t>
  </si>
  <si>
    <t>Remote Isle</t>
  </si>
  <si>
    <t>Smoldering Crater</t>
  </si>
  <si>
    <t>Desert of the Mindful</t>
  </si>
  <si>
    <t>Desert of the Fervent</t>
  </si>
  <si>
    <t>Combate</t>
  </si>
  <si>
    <t>Temple of the False God</t>
  </si>
  <si>
    <t>Terraço do Condado</t>
  </si>
  <si>
    <t>Sokenzan, Crisol da Afronta</t>
  </si>
  <si>
    <t>Riptide Laboratory</t>
  </si>
  <si>
    <t>Afundar em Estupor</t>
  </si>
  <si>
    <t>The Celestus</t>
  </si>
  <si>
    <t>Diamond Lion</t>
  </si>
  <si>
    <t>Anger</t>
  </si>
  <si>
    <t>Ataque Flamejante</t>
  </si>
  <si>
    <t>Archmage Ascension</t>
  </si>
  <si>
    <t>Ledger Shredder</t>
  </si>
  <si>
    <t>Magmatic Insight</t>
  </si>
  <si>
    <t>Tolarian Winds</t>
  </si>
  <si>
    <t>Breakthrough</t>
  </si>
  <si>
    <t>Careful Study</t>
  </si>
  <si>
    <t>Desperate Ravings</t>
  </si>
  <si>
    <t>Burning Inquiry</t>
  </si>
  <si>
    <t>Cathartic Reunion</t>
  </si>
  <si>
    <t>Dangerous Wager</t>
  </si>
  <si>
    <t>Thrill of Possibility</t>
  </si>
  <si>
    <t>Thirst for Meaning</t>
  </si>
  <si>
    <t>Scuttletide</t>
  </si>
  <si>
    <t>Read the Runes</t>
  </si>
  <si>
    <t>Reforma Tectônica</t>
  </si>
  <si>
    <t>Muralha da Academia</t>
  </si>
  <si>
    <t>Pensamento Sombrio</t>
  </si>
  <si>
    <t>Tatuzão da Bronze</t>
  </si>
  <si>
    <t>Gravar // Memória</t>
  </si>
  <si>
    <t>Defabricate</t>
  </si>
  <si>
    <t>Forbid</t>
  </si>
  <si>
    <t>Rites of Refusal</t>
  </si>
  <si>
    <t>Izzet Charm</t>
  </si>
  <si>
    <t>Whirlwind Denial</t>
  </si>
  <si>
    <t>Nimble Obstructionist</t>
  </si>
  <si>
    <t>Serenata das Estriges</t>
  </si>
  <si>
    <t>Foil</t>
  </si>
  <si>
    <t>Arcane Denial</t>
  </si>
  <si>
    <t>Wizard's Retort</t>
  </si>
  <si>
    <t>Turn Aside</t>
  </si>
  <si>
    <t>Stubborn Denial</t>
  </si>
  <si>
    <t>Delay</t>
  </si>
  <si>
    <t>Glorious Gale</t>
  </si>
  <si>
    <t>Unwind</t>
  </si>
  <si>
    <t>Perfurar Mágica</t>
  </si>
  <si>
    <t>Counterflux</t>
  </si>
  <si>
    <t>Chandra's Ignition</t>
  </si>
  <si>
    <t>Nahiri's Wrath</t>
  </si>
  <si>
    <t>Chaos Warp</t>
  </si>
  <si>
    <t>Fateful Showdown</t>
  </si>
  <si>
    <t>Turbulent Dreams</t>
  </si>
  <si>
    <t>Divide by Zero</t>
  </si>
  <si>
    <t>Aliança Impensável</t>
  </si>
  <si>
    <t>Ojer Pakpatiq, Era Profunda</t>
  </si>
  <si>
    <t>Storm-Kiln Artist</t>
  </si>
  <si>
    <t>Collector's Vault</t>
  </si>
  <si>
    <t>Hot Soup</t>
  </si>
  <si>
    <t>Wings of Hubris</t>
  </si>
  <si>
    <t>Invasion of Segovia</t>
  </si>
  <si>
    <t>Key to the City</t>
  </si>
  <si>
    <t>Currency Converter</t>
  </si>
  <si>
    <t>Mares Ameaçadores</t>
  </si>
  <si>
    <t>Surly Badgersaur</t>
  </si>
  <si>
    <t>Hall of Heliod's Generosity</t>
  </si>
  <si>
    <t>Godless Shrine</t>
  </si>
  <si>
    <t>Stax</t>
  </si>
  <si>
    <t>Drowned Catacomb</t>
  </si>
  <si>
    <t>Fort</t>
  </si>
  <si>
    <t>Castelo do Vale Arden</t>
  </si>
  <si>
    <t>Manto do Crepúsculo, Casa das Sombras</t>
  </si>
  <si>
    <t>Panorama de Esper</t>
  </si>
  <si>
    <t>Morphic Pool</t>
  </si>
  <si>
    <t>Urborg, Tumba de Yawgmoth</t>
  </si>
  <si>
    <t>Poças Calciformes</t>
  </si>
  <si>
    <t>Dreadship Reef</t>
  </si>
  <si>
    <t>Passagem Fabulosa</t>
  </si>
  <si>
    <t>Lagoa Espelhada</t>
  </si>
  <si>
    <t>Strixhaven Stadium</t>
  </si>
  <si>
    <t>Heraldic Banner</t>
  </si>
  <si>
    <t>Smothering Tithe</t>
  </si>
  <si>
    <t>Rhystic Study</t>
  </si>
  <si>
    <t>Enlightened Tutor</t>
  </si>
  <si>
    <t>Descoberta da Estirpe</t>
  </si>
  <si>
    <t>Tutor Idílico</t>
  </si>
  <si>
    <t>Bidente de Tassa</t>
  </si>
  <si>
    <t>Missão de Reconhecimento</t>
  </si>
  <si>
    <t>Artífice de Curiosidades</t>
  </si>
  <si>
    <t>Wedding Ring</t>
  </si>
  <si>
    <t>Profeta do Crepúsculo</t>
  </si>
  <si>
    <t>Obediência Cega</t>
  </si>
  <si>
    <t>Torpor Orb</t>
  </si>
  <si>
    <t>Mana Web</t>
  </si>
  <si>
    <t>Matriz Amortecedora</t>
  </si>
  <si>
    <t>The Immortal Sun</t>
  </si>
  <si>
    <t>Rest in Peace</t>
  </si>
  <si>
    <t>Gossamer Chains</t>
  </si>
  <si>
    <t>Eidolon of Rhetoric</t>
  </si>
  <si>
    <t>Frozen Aether</t>
  </si>
  <si>
    <t>Fora do Tempo</t>
  </si>
  <si>
    <t>Oubliette</t>
  </si>
  <si>
    <t>Aura of Silence</t>
  </si>
  <si>
    <t>Seal of Cleansing</t>
  </si>
  <si>
    <t>Capsula do Dispersor</t>
  </si>
  <si>
    <t>Seal of Doom</t>
  </si>
  <si>
    <t>Darksteel Mutation</t>
  </si>
  <si>
    <t>Imprisoned in the Moon</t>
  </si>
  <si>
    <t>Detention Sphere</t>
  </si>
  <si>
    <t>Grasp of Fate</t>
  </si>
  <si>
    <t>Steal Enchantment</t>
  </si>
  <si>
    <t>Scion of Oona</t>
  </si>
  <si>
    <t>Brave the Sands</t>
  </si>
  <si>
    <t>Intangible Virtue</t>
  </si>
  <si>
    <t>Divine Visitation</t>
  </si>
  <si>
    <t>Archetype of Courage</t>
  </si>
  <si>
    <t>Etchings of the Chosen</t>
  </si>
  <si>
    <t>Gravitational Shift</t>
  </si>
  <si>
    <t>Radiant Destiny</t>
  </si>
  <si>
    <t>Corte da Graça</t>
  </si>
  <si>
    <t>Luminarch Ascension</t>
  </si>
  <si>
    <t>Heliod, the Radiant Dawn</t>
  </si>
  <si>
    <t>Copy Enchantment</t>
  </si>
  <si>
    <t>Kabira Takedown</t>
  </si>
  <si>
    <t>Panorama de Bant</t>
  </si>
  <si>
    <t>Windbrisk Heights</t>
  </si>
  <si>
    <t>Calciform Pools</t>
  </si>
  <si>
    <t>Irrigated Farmland</t>
  </si>
  <si>
    <t>Nimbus Maze</t>
  </si>
  <si>
    <t>Orla Krosana</t>
  </si>
  <si>
    <t>Saltcrusted Steppe</t>
  </si>
  <si>
    <t>Access Tunnel</t>
  </si>
  <si>
    <t>Wall of Denial</t>
  </si>
  <si>
    <t>Tree of Redemption</t>
  </si>
  <si>
    <t>Barreira de Estilhaços</t>
  </si>
  <si>
    <t>Hover Barrier</t>
  </si>
  <si>
    <t>Cobaia de Ludevic</t>
  </si>
  <si>
    <t>Drift of Phantasms</t>
  </si>
  <si>
    <t>Barreira Angelical</t>
  </si>
  <si>
    <t>Teyo, Geometric Tactician</t>
  </si>
  <si>
    <t>Stalwart Shield-Bearers</t>
  </si>
  <si>
    <t>Barreira de Identidade Roubada</t>
  </si>
  <si>
    <t>Wall of Reverence</t>
  </si>
  <si>
    <t>The Pride of Hull Clade</t>
  </si>
  <si>
    <t>Orador de Ojutai</t>
  </si>
  <si>
    <t>Tetsuko Umezawa, Fugitive</t>
  </si>
  <si>
    <t>Mother of Runes</t>
  </si>
  <si>
    <t>Traproot Kami</t>
  </si>
  <si>
    <t>Midnight Pathlighter</t>
  </si>
  <si>
    <t>Weathered Sentinels</t>
  </si>
  <si>
    <t>Ponte Levadiça Esmagadora</t>
  </si>
  <si>
    <t>Overgrown Battlement</t>
  </si>
  <si>
    <t>Axebane Guardian</t>
  </si>
  <si>
    <t>Sunscape Familiar</t>
  </si>
  <si>
    <t>Muro do Luto</t>
  </si>
  <si>
    <t>Teyo, Mago dos Escudos</t>
  </si>
  <si>
    <t>Resolute Watchdog</t>
  </si>
  <si>
    <t>Jeskai Barricade</t>
  </si>
  <si>
    <t>Soulsworn Jury</t>
  </si>
  <si>
    <t>Barreira de Flores</t>
  </si>
  <si>
    <t>Wall of Omens</t>
  </si>
  <si>
    <t>Sentinela da Barreira de Escudos</t>
  </si>
  <si>
    <t>Mirari's Wake</t>
  </si>
  <si>
    <t>Sylvan Caryatid</t>
  </si>
  <si>
    <t>Slaughter the Strong</t>
  </si>
  <si>
    <t>Dusk // Dawn</t>
  </si>
  <si>
    <t>Vaga de Retribuição</t>
  </si>
  <si>
    <t>Ventos do Abandono</t>
  </si>
  <si>
    <t>True Conviction</t>
  </si>
  <si>
    <t>Stoneskin</t>
  </si>
  <si>
    <t>Concerted Effort</t>
  </si>
  <si>
    <t>Path to Exile</t>
  </si>
  <si>
    <t>Aura Shards</t>
  </si>
  <si>
    <t>Invasão de Ikoria</t>
  </si>
  <si>
    <t>Tamiyo, Pesquisadora de Campo</t>
  </si>
  <si>
    <t>Rigo, Streetwise Mentor</t>
  </si>
  <si>
    <t>Projeto Guardião</t>
  </si>
  <si>
    <t>Duplicata de Centelha</t>
  </si>
  <si>
    <t>Vivien, Campeã da Natureza</t>
  </si>
  <si>
    <t>Lae'zel's Acrobatics</t>
  </si>
  <si>
    <t>Amuleto Simic</t>
  </si>
  <si>
    <t>High Alert</t>
  </si>
  <si>
    <t>Assault Formation</t>
  </si>
  <si>
    <t>Jhoira of the Ghitu</t>
  </si>
  <si>
    <t>Colina da Rocha Espinhosa</t>
  </si>
  <si>
    <t>Silundi Vision</t>
  </si>
  <si>
    <t>Valfenda</t>
  </si>
  <si>
    <t>Bichão</t>
  </si>
  <si>
    <t>Final</t>
  </si>
  <si>
    <t>Emrakul, the Promised End</t>
  </si>
  <si>
    <t>Consecrated Sphinx</t>
  </si>
  <si>
    <t>Emrakul, um Novo Mundo</t>
  </si>
  <si>
    <t>Kozilek, Butcher of Truth</t>
  </si>
  <si>
    <t>Kozilek, the Great Distortion</t>
  </si>
  <si>
    <t>Ulamog, the Ceaseless Hunger</t>
  </si>
  <si>
    <t>Nezahal, Maré Primordial</t>
  </si>
  <si>
    <t>Ulamog, o Profanador</t>
  </si>
  <si>
    <t>Etali, Tormenta Primordial</t>
  </si>
  <si>
    <t>Blightsteel Colossus</t>
  </si>
  <si>
    <t>Pathrazer of Ulamog</t>
  </si>
  <si>
    <t>Void Winnower</t>
  </si>
  <si>
    <t>Jin-Gitaxias, Core Augur</t>
  </si>
  <si>
    <t>It That Betrays</t>
  </si>
  <si>
    <t>Omniscience</t>
  </si>
  <si>
    <t>Aminatou's Augury</t>
  </si>
  <si>
    <t>Dilatação da Mente</t>
  </si>
  <si>
    <t>Obliterate</t>
  </si>
  <si>
    <t>Worldfire</t>
  </si>
  <si>
    <t>Apocalipse</t>
  </si>
  <si>
    <t>Jokulhaups</t>
  </si>
  <si>
    <t>Decree of Annihilation</t>
  </si>
  <si>
    <t>Consuming Tide</t>
  </si>
  <si>
    <t>Whelming Wave</t>
  </si>
  <si>
    <t>Evacuação</t>
  </si>
  <si>
    <t>Chain Reaction</t>
  </si>
  <si>
    <t>Blasphemous Act</t>
  </si>
  <si>
    <t>Devastation Tide</t>
  </si>
  <si>
    <t>Inundação de Lágrimas</t>
  </si>
  <si>
    <t>Curse of Opulence</t>
  </si>
  <si>
    <t>Wibbly-Wobbly, Timey-wimey</t>
  </si>
  <si>
    <t>Elemental da Fenda</t>
  </si>
  <si>
    <t>Medalhão da Fúria</t>
  </si>
  <si>
    <t>Clockspinning</t>
  </si>
  <si>
    <t>Timecrafting</t>
  </si>
  <si>
    <t>Jhoira's Timebug</t>
  </si>
  <si>
    <t>Negação Vorticosa</t>
  </si>
  <si>
    <t>Anular</t>
  </si>
  <si>
    <t>Verdade Reverberante</t>
  </si>
  <si>
    <t>Desvio de Realidade</t>
  </si>
  <si>
    <t>Rapid Hybridization</t>
  </si>
  <si>
    <t>Mana Leak</t>
  </si>
  <si>
    <t>Brincadeira da Polimorfista</t>
  </si>
  <si>
    <t>Cyber Conversion</t>
  </si>
  <si>
    <t>Pongify</t>
  </si>
  <si>
    <t>Suspend</t>
  </si>
  <si>
    <t>Atrasar</t>
  </si>
  <si>
    <t>Swan Song</t>
  </si>
  <si>
    <t>Crawlspace</t>
  </si>
  <si>
    <t>Solve the Equation</t>
  </si>
  <si>
    <t>Preordain</t>
  </si>
  <si>
    <t>Mystical Tutor</t>
  </si>
  <si>
    <t>Telling Time</t>
  </si>
  <si>
    <t>Academy Loremaster</t>
  </si>
  <si>
    <t>Visões do Soro</t>
  </si>
  <si>
    <t>Antecipar</t>
  </si>
  <si>
    <t>Impulso</t>
  </si>
  <si>
    <t>Castle Vantress</t>
  </si>
  <si>
    <t>Shizo, Death's Storehouse</t>
  </si>
  <si>
    <t>Sea Gate Restoration</t>
  </si>
  <si>
    <t>Zof Bloodbog</t>
  </si>
  <si>
    <t>Halimar Depths</t>
  </si>
  <si>
    <t>Batedor</t>
  </si>
  <si>
    <t>Creeping Tar Pit</t>
  </si>
  <si>
    <t>Tolaria West</t>
  </si>
  <si>
    <t>Turns</t>
  </si>
  <si>
    <t>Faerie Conclave</t>
  </si>
  <si>
    <t>Unb</t>
  </si>
  <si>
    <t>Mutavault</t>
  </si>
  <si>
    <t>Temple of Deceit</t>
  </si>
  <si>
    <t>Simetria Subterfugiosa</t>
  </si>
  <si>
    <t>Protection Racket</t>
  </si>
  <si>
    <t>Varragoth, Bloodsky Sire</t>
  </si>
  <si>
    <t>Personal Tutor</t>
  </si>
  <si>
    <t>Dig Through Time</t>
  </si>
  <si>
    <t>Changeling Outcast</t>
  </si>
  <si>
    <t>Slither Blade</t>
  </si>
  <si>
    <t>Thalakos Seer</t>
  </si>
  <si>
    <t>Siren Stormtamer</t>
  </si>
  <si>
    <t>Tormented Soul</t>
  </si>
  <si>
    <t>Gengibruto</t>
  </si>
  <si>
    <t>Sombra de Mil Faces</t>
  </si>
  <si>
    <t>Convocadora da Brisa de Oboro</t>
  </si>
  <si>
    <t>Mothdust Changeling</t>
  </si>
  <si>
    <t>Faerie Seer</t>
  </si>
  <si>
    <t>Thieves' Tools</t>
  </si>
  <si>
    <t>Asas da Arrogância</t>
  </si>
  <si>
    <t>Wingcrafter</t>
  </si>
  <si>
    <t>Sword Coast Sailor</t>
  </si>
  <si>
    <t>Smoke Shroud</t>
  </si>
  <si>
    <t>Faerie Slumber Party</t>
  </si>
  <si>
    <t>Inundar</t>
  </si>
  <si>
    <t>Coastal Breach</t>
  </si>
  <si>
    <t>Abraço dos Tentáculos</t>
  </si>
  <si>
    <t>Crotalus Mortífero</t>
  </si>
  <si>
    <t>Bone Splinters</t>
  </si>
  <si>
    <t>Familiar's Ruse</t>
  </si>
  <si>
    <t>Comido Vivo</t>
  </si>
  <si>
    <t>Spark Harvest</t>
  </si>
  <si>
    <t>Bone Shards</t>
  </si>
  <si>
    <t>Dismember</t>
  </si>
  <si>
    <t>Murderous Cut</t>
  </si>
  <si>
    <t>Abjure</t>
  </si>
  <si>
    <t>Despedaçamento Temporal de Jarn</t>
  </si>
  <si>
    <t>Temporal Trespass</t>
  </si>
  <si>
    <t>Temporal Mastery</t>
  </si>
  <si>
    <t>Time Warp</t>
  </si>
  <si>
    <t>Repartir o Véu D'Água</t>
  </si>
  <si>
    <t>Walk the Aeons</t>
  </si>
  <si>
    <t>Temporal Manipulation</t>
  </si>
  <si>
    <t>Conspiracy</t>
  </si>
  <si>
    <t>Maskwood Nexus</t>
  </si>
  <si>
    <t>Arcane Adaptation</t>
  </si>
  <si>
    <t>Vile Consumption</t>
  </si>
  <si>
    <t>Prosperous Thief</t>
  </si>
  <si>
    <t>Nashi, Herdeiro da Sábia da Lua</t>
  </si>
  <si>
    <t>Call of the Ring</t>
  </si>
  <si>
    <t>Thassa, God of the Sea</t>
  </si>
  <si>
    <t>Tampo de Adivinhação do Sensei</t>
  </si>
  <si>
    <t>Amoeboid Changeling</t>
  </si>
  <si>
    <t>God-Eternal Kefnet</t>
  </si>
  <si>
    <t>Scroll Rack</t>
  </si>
  <si>
    <t>Homeward Path</t>
  </si>
  <si>
    <t>Mystic Monastery</t>
  </si>
  <si>
    <t>Madness</t>
  </si>
  <si>
    <t>Group</t>
  </si>
  <si>
    <t>Improve</t>
  </si>
  <si>
    <t>AutoPass</t>
  </si>
  <si>
    <t>Discerning Financier</t>
  </si>
  <si>
    <t>Garrafa da Água Infinita</t>
  </si>
  <si>
    <t>Pacto de Negação</t>
  </si>
  <si>
    <t>Acorrentado as Rochas</t>
  </si>
  <si>
    <t>Slash the Ranks</t>
  </si>
  <si>
    <t>Queda Solar</t>
  </si>
  <si>
    <t>Fumigate</t>
  </si>
  <si>
    <t>Cair sobre os Pecadores</t>
  </si>
  <si>
    <t>Out of Time</t>
  </si>
  <si>
    <t>One with the Stars</t>
  </si>
  <si>
    <t>Swift Reconfiguration</t>
  </si>
  <si>
    <t>Hithlain Rope</t>
  </si>
  <si>
    <t>Role Reversal</t>
  </si>
  <si>
    <t>Dragolâmpago Volátil</t>
  </si>
  <si>
    <t>Cavalo de Ácros</t>
  </si>
  <si>
    <t>Solitary Confinement</t>
  </si>
  <si>
    <t>Aether Flash</t>
  </si>
  <si>
    <t>Lightmine Field</t>
  </si>
  <si>
    <t>Divine Presence</t>
  </si>
  <si>
    <t>Pramikon, Ameias Celestes</t>
  </si>
  <si>
    <t>Reins of Power</t>
  </si>
  <si>
    <t>Words of War</t>
  </si>
  <si>
    <t>Aetherflux Reservoir</t>
  </si>
  <si>
    <t>Descent into Avernus</t>
  </si>
  <si>
    <t>Hive Mind</t>
  </si>
  <si>
    <t>Shared Fate</t>
  </si>
  <si>
    <t>Possibility Storm</t>
  </si>
  <si>
    <t>Conjured Currency</t>
  </si>
  <si>
    <t>Share the Spoils</t>
  </si>
  <si>
    <t>Knowledge Pool</t>
  </si>
  <si>
    <t>Perplexing Chimera</t>
  </si>
  <si>
    <t>Puca's Mischief</t>
  </si>
  <si>
    <t>Plargg and Nassari</t>
  </si>
  <si>
    <t>Custody Battle</t>
  </si>
  <si>
    <t>Confusão nas Fileiras</t>
  </si>
  <si>
    <t>Manabarbs</t>
  </si>
  <si>
    <t>Imunidade Diplomática</t>
  </si>
  <si>
    <t>Nove Vidas</t>
  </si>
  <si>
    <t>Venser's Journal</t>
  </si>
  <si>
    <t>Alhammarret's Archive</t>
  </si>
  <si>
    <t>Paradox Haze</t>
  </si>
  <si>
    <t>Archmage Inalla</t>
  </si>
  <si>
    <t>Casebre da Bruxa</t>
  </si>
  <si>
    <t>Grixis Panorama</t>
  </si>
  <si>
    <t>Recurso</t>
  </si>
  <si>
    <t>Escória Fundida</t>
  </si>
  <si>
    <t>Grande Fornalha</t>
  </si>
  <si>
    <t>Vivid Marsh</t>
  </si>
  <si>
    <t>Arcane Lighthouse</t>
  </si>
  <si>
    <t>Núcleo de Mirrodin</t>
  </si>
  <si>
    <t>Glasspool Mimic</t>
  </si>
  <si>
    <t>Porto de Karfell</t>
  </si>
  <si>
    <t>Azami, Lady of Scrolls</t>
  </si>
  <si>
    <t>Sea Gate Oracle</t>
  </si>
  <si>
    <t>Master of Death</t>
  </si>
  <si>
    <t>Trinket Mage</t>
  </si>
  <si>
    <t>Discípulo de Nicol Bolas</t>
  </si>
  <si>
    <t>Riverwise Augur</t>
  </si>
  <si>
    <t>Vedalken Aethermage</t>
  </si>
  <si>
    <t>Trophy Mage</t>
  </si>
  <si>
    <t>Bloodline Necromancer</t>
  </si>
  <si>
    <t>Archaeomancer</t>
  </si>
  <si>
    <t>Visionário do Soro</t>
  </si>
  <si>
    <t>Tumbamorfo</t>
  </si>
  <si>
    <t>Vigia do Amanhã</t>
  </si>
  <si>
    <t>Vidente Nubígena</t>
  </si>
  <si>
    <t>Fiel de Sidisi</t>
  </si>
  <si>
    <t>Devastador de Basalto</t>
  </si>
  <si>
    <t>Winter Eladrin</t>
  </si>
  <si>
    <t>Aether Channeler</t>
  </si>
  <si>
    <t>Galecaster Colossus</t>
  </si>
  <si>
    <t>Exclusion Mage</t>
  </si>
  <si>
    <t>Barrin, Arquimago Tolariano</t>
  </si>
  <si>
    <t>Aether Adept</t>
  </si>
  <si>
    <t>Venser, Shaper Savant</t>
  </si>
  <si>
    <t>Aprendiz de Mago de Centelhas</t>
  </si>
  <si>
    <t>Ruthless Technomancer</t>
  </si>
  <si>
    <t>Naban, Dean of Iteration</t>
  </si>
  <si>
    <t>Harmonic Prodigy</t>
  </si>
  <si>
    <t>Teferi, Mage of Zhalfir</t>
  </si>
  <si>
    <t>Dualcaster Mage</t>
  </si>
  <si>
    <t>Quasiduplicata</t>
  </si>
  <si>
    <t>Negociador de Almas do Viveiro</t>
  </si>
  <si>
    <t>Amoque Morfolóide</t>
  </si>
  <si>
    <t>Specimen Collector</t>
  </si>
  <si>
    <t>Wanderwine Prophets</t>
  </si>
  <si>
    <t>Alferes de Riacho Rochoso</t>
  </si>
  <si>
    <t>Corneta do Arauto</t>
  </si>
  <si>
    <t>Portão Enigmático</t>
  </si>
  <si>
    <t>Oversold Cemetery</t>
  </si>
  <si>
    <t>Industrial Advancement</t>
  </si>
  <si>
    <t>Tremores de Impacto</t>
  </si>
  <si>
    <t>Panharmonicon</t>
  </si>
  <si>
    <t>Goblin Bombardment</t>
  </si>
  <si>
    <t>Cackling Counterpart</t>
  </si>
  <si>
    <t>Crystal Shard</t>
  </si>
  <si>
    <t>Persistir</t>
  </si>
  <si>
    <t>Ghostly Flicker</t>
  </si>
  <si>
    <t>Comando do Patriarca</t>
  </si>
  <si>
    <t>Diário de Tarrian</t>
  </si>
  <si>
    <t>Radiant Fountain</t>
  </si>
  <si>
    <t>Kabira Crossroads</t>
  </si>
  <si>
    <t>Blighted Steppe</t>
  </si>
  <si>
    <t>Shambling Vent</t>
  </si>
  <si>
    <t>Scoured Barrens</t>
  </si>
  <si>
    <t>Malakir Rebirth</t>
  </si>
  <si>
    <t>Memorial to Folly</t>
  </si>
  <si>
    <t>Japaland</t>
  </si>
  <si>
    <t>Vault of the Archangel</t>
  </si>
  <si>
    <t>Morte</t>
  </si>
  <si>
    <t>Retorno</t>
  </si>
  <si>
    <t>Obscura Storefront</t>
  </si>
  <si>
    <t>Campo Contaminado</t>
  </si>
  <si>
    <t>Necropotence</t>
  </si>
  <si>
    <t>Dark Confidant</t>
  </si>
  <si>
    <t>Guardiã da Aurora de Gavony</t>
  </si>
  <si>
    <t>Ranger of Eos</t>
  </si>
  <si>
    <t>Dark Tutelage</t>
  </si>
  <si>
    <t>Welcoming Vampire</t>
  </si>
  <si>
    <t>Sanctuary Warden</t>
  </si>
  <si>
    <t>Tymaret, Chosen from Death</t>
  </si>
  <si>
    <t>Ayli, Eternal Pilgrim</t>
  </si>
  <si>
    <t>High Priest of Penance</t>
  </si>
  <si>
    <t>Dawnbringer Cleric</t>
  </si>
  <si>
    <t>Iniciado Esperançoso</t>
  </si>
  <si>
    <t>Callous Bloodmage</t>
  </si>
  <si>
    <t>Soul Warden</t>
  </si>
  <si>
    <t>Soul's Attendant</t>
  </si>
  <si>
    <t>Suture Priest</t>
  </si>
  <si>
    <t>Kambal, Consul of Allocation</t>
  </si>
  <si>
    <t>Veterano Lunarca</t>
  </si>
  <si>
    <t>Reaper's Talisman</t>
  </si>
  <si>
    <t>Guia das Almas</t>
  </si>
  <si>
    <t>Daxos, Blessed by the Sun</t>
  </si>
  <si>
    <t>Distinguished Conjurer</t>
  </si>
  <si>
    <t>Orim's Prayer</t>
  </si>
  <si>
    <t>Boas-vindas de Ajani</t>
  </si>
  <si>
    <t>Sorin da Casa Markov</t>
  </si>
  <si>
    <t>Skyclave Cleric</t>
  </si>
  <si>
    <t>Autoridade dos Cônsules</t>
  </si>
  <si>
    <t>Trespasser's Curse</t>
  </si>
  <si>
    <t>Deathgreeter</t>
  </si>
  <si>
    <t>Sun Droplet</t>
  </si>
  <si>
    <t>Elas il-Kor, Peregrina Sádica</t>
  </si>
  <si>
    <t>Ashes of the Abhorrent</t>
  </si>
  <si>
    <t>Spectrum Sentinel</t>
  </si>
  <si>
    <t>Case of the Uneaten Feast</t>
  </si>
  <si>
    <t>Speaker of the Heavens</t>
  </si>
  <si>
    <t>Vito, Thorn of the Dusk Rose</t>
  </si>
  <si>
    <t>Marauding Blight-Priest</t>
  </si>
  <si>
    <t>Redemption Choir</t>
  </si>
  <si>
    <t>Phyrexian Reclamation</t>
  </si>
  <si>
    <t>Veinwitch Coven</t>
  </si>
  <si>
    <t>Sorin, Vengeful Bloodlord</t>
  </si>
  <si>
    <t>Corte do Vale Arden</t>
  </si>
  <si>
    <t>Servidão Imortal</t>
  </si>
  <si>
    <t>Lurrus da Toca Onírica</t>
  </si>
  <si>
    <t>Sun Titan</t>
  </si>
  <si>
    <t>Extraction Specialist</t>
  </si>
  <si>
    <t>Nutridor de Heliósporo</t>
  </si>
  <si>
    <t>Vizkopa Guildmage</t>
  </si>
  <si>
    <t>Cleric Class</t>
  </si>
  <si>
    <t>Athreos, God of Passage</t>
  </si>
  <si>
    <t>Pega</t>
  </si>
  <si>
    <t>Revitalizing Repast</t>
  </si>
  <si>
    <t>Solemn Simulacrum</t>
  </si>
  <si>
    <t>Dawntreader Elk</t>
  </si>
  <si>
    <t>Sabedoria da Natureza</t>
  </si>
  <si>
    <t>Asceticism</t>
  </si>
  <si>
    <t>Ritmo dos Selvagens</t>
  </si>
  <si>
    <t>Shriekmaw</t>
  </si>
  <si>
    <t>Ravenous Chupacabra</t>
  </si>
  <si>
    <t>Magus of the Abyss</t>
  </si>
  <si>
    <t>Libertadora Forasteira</t>
  </si>
  <si>
    <t>Ginete Homicida</t>
  </si>
  <si>
    <t>Caustic Caterpillar</t>
  </si>
  <si>
    <t>Ingot Chewer</t>
  </si>
  <si>
    <t>Thrashing Brontodon</t>
  </si>
  <si>
    <t>Deadly Brew</t>
  </si>
  <si>
    <t>Plaguecrafter</t>
  </si>
  <si>
    <t>Ascensão do Rei-bruxo</t>
  </si>
  <si>
    <t>Fleshbag Marauder</t>
  </si>
  <si>
    <t>Merciless Executioner</t>
  </si>
  <si>
    <t>Tumulume</t>
  </si>
  <si>
    <t>Saqueador Amaldiçoado</t>
  </si>
  <si>
    <t>Demon's Disciple</t>
  </si>
  <si>
    <t>Soul Shatter</t>
  </si>
  <si>
    <t>Mogis, God of Slaughter</t>
  </si>
  <si>
    <t>Archfiend of Depravity</t>
  </si>
  <si>
    <t>Storm's Wrath</t>
  </si>
  <si>
    <t>Bane of Progress</t>
  </si>
  <si>
    <t>Ritual da Fuligem</t>
  </si>
  <si>
    <t>Savage Twister</t>
  </si>
  <si>
    <t>Pestilence</t>
  </si>
  <si>
    <t>Volcanic Fallout</t>
  </si>
  <si>
    <t>Incite Rebellion</t>
  </si>
  <si>
    <t>Colossal Majesty</t>
  </si>
  <si>
    <t>Jarad's Orders</t>
  </si>
  <si>
    <t>Trol da Ponte Ribombante</t>
  </si>
  <si>
    <t>Drumhunter</t>
  </si>
  <si>
    <t>Life's Legacy</t>
  </si>
  <si>
    <t>Soul's Majesty</t>
  </si>
  <si>
    <t>Oportunista Mórbida</t>
  </si>
  <si>
    <t>Rancor</t>
  </si>
  <si>
    <t>Procissão de Carniçais</t>
  </si>
  <si>
    <t>Feldon of the Third Path</t>
  </si>
  <si>
    <t>Loxodon Warhammer</t>
  </si>
  <si>
    <t>Brawn</t>
  </si>
  <si>
    <t>Arcbond</t>
  </si>
  <si>
    <t>Jarad, Golgari Lich Lord</t>
  </si>
  <si>
    <t>Mage Slayer</t>
  </si>
  <si>
    <t>Soul's Fire</t>
  </si>
  <si>
    <t>Thud</t>
  </si>
  <si>
    <t>Rite of Consumption</t>
  </si>
  <si>
    <t>Essence Harvest</t>
  </si>
  <si>
    <t>Fling</t>
  </si>
  <si>
    <t>Arcane Sanctum</t>
  </si>
  <si>
    <t>Seaside Citadel</t>
  </si>
  <si>
    <t>Crumbling Necropolis</t>
  </si>
  <si>
    <t>Savage Lands</t>
  </si>
  <si>
    <t>Nomad Outpost</t>
  </si>
  <si>
    <t>Draw PW</t>
  </si>
  <si>
    <t>Sandsteppe Citadel</t>
  </si>
  <si>
    <t>Remoção PW</t>
  </si>
  <si>
    <t>Opulent Palace</t>
  </si>
  <si>
    <t>Valor PW</t>
  </si>
  <si>
    <t>Frontier Bivouac</t>
  </si>
  <si>
    <t>Vitória PW</t>
  </si>
  <si>
    <t>Temple of Enlightenment</t>
  </si>
  <si>
    <t>Temple of Malice</t>
  </si>
  <si>
    <t>Temple of Abandon</t>
  </si>
  <si>
    <t>Temple of Epiphany</t>
  </si>
  <si>
    <t>Temple of Triumph</t>
  </si>
  <si>
    <t>Temple of Mystery</t>
  </si>
  <si>
    <t>Karn's Bastion</t>
  </si>
  <si>
    <t>Seguro de Vida</t>
  </si>
  <si>
    <t>Lolth, Rainha Aranha</t>
  </si>
  <si>
    <t>Sorin, Grim Nemesis</t>
  </si>
  <si>
    <t>Elminster</t>
  </si>
  <si>
    <t>Ajani Unyielding</t>
  </si>
  <si>
    <t>Liliana Vess</t>
  </si>
  <si>
    <t>Kasmina, Enigma Sage</t>
  </si>
  <si>
    <t>Commodore Guff</t>
  </si>
  <si>
    <t>Jace, Unraveler of Secrets</t>
  </si>
  <si>
    <t>Tasha, the Witch Queen</t>
  </si>
  <si>
    <t>Tamiyo, the Moon Sage</t>
  </si>
  <si>
    <t>Ob Nixilis Reignited</t>
  </si>
  <si>
    <t>Dihada, Binder of Wills</t>
  </si>
  <si>
    <t>Kaya the Inexorable</t>
  </si>
  <si>
    <t>O Ancião Renascido</t>
  </si>
  <si>
    <t>Elspeth, Sun's Champion</t>
  </si>
  <si>
    <t>Vraska the Unseen</t>
  </si>
  <si>
    <t>Ral Zarek</t>
  </si>
  <si>
    <t>The Wanderer</t>
  </si>
  <si>
    <t>Garruk, Cursed Huntsman</t>
  </si>
  <si>
    <t>Angrath, the Flame-Chained</t>
  </si>
  <si>
    <t>Dakkon, Shadow Slayer</t>
  </si>
  <si>
    <t>Ugin, the Ineffable</t>
  </si>
  <si>
    <t>Explosão Ruinosa de Urza</t>
  </si>
  <si>
    <t>Oko, Thief of Crowns</t>
  </si>
  <si>
    <t>Nicol Bolas, Dragon-God</t>
  </si>
  <si>
    <t>Supreme Verdict</t>
  </si>
  <si>
    <t>Vronos, Masked Inquisitor</t>
  </si>
  <si>
    <t>Venser, o Visitante</t>
  </si>
  <si>
    <t>Dovin, Hand of Control</t>
  </si>
  <si>
    <t>Karn Liberated</t>
  </si>
  <si>
    <t>Wrenn and Realmbreaker</t>
  </si>
  <si>
    <t>Aminatou, the Fateshifter</t>
  </si>
  <si>
    <t>Ashiok, Dream Render</t>
  </si>
  <si>
    <t>Narset, Parter of Veils</t>
  </si>
  <si>
    <t>Sarkhan the Masterless</t>
  </si>
  <si>
    <t>Chandra, Awakened Inferno</t>
  </si>
  <si>
    <t>Djeru, With Eyes Open</t>
  </si>
  <si>
    <t>Jodah, the Unifier</t>
  </si>
  <si>
    <t>Rings of Brighthearth</t>
  </si>
  <si>
    <t>Canalizadora de Fluxos</t>
  </si>
  <si>
    <t>Ripples of Potential</t>
  </si>
  <si>
    <t>Urza Assembles the Titans</t>
  </si>
  <si>
    <t>Carth the Lion</t>
  </si>
  <si>
    <t>Mila, Crafty Companion</t>
  </si>
  <si>
    <t>Brokers Ascendancy</t>
  </si>
  <si>
    <t>Gold-Forged Thopteryx</t>
  </si>
  <si>
    <t>Kethis, the Hidden Hand</t>
  </si>
  <si>
    <t>Oath of Chandra</t>
  </si>
  <si>
    <t>Oath of Ajani</t>
  </si>
  <si>
    <t>Oath of Nissa</t>
  </si>
  <si>
    <t>Oath of Teferi</t>
  </si>
  <si>
    <t>Oath of Gideon</t>
  </si>
  <si>
    <t>Oath of Kaya</t>
  </si>
  <si>
    <t>Oath of Jace</t>
  </si>
  <si>
    <t>Oath of Liliana</t>
  </si>
  <si>
    <t>Fearless Akiri</t>
  </si>
  <si>
    <t>Fúria de Kazuul</t>
  </si>
  <si>
    <t>Axgard Armory</t>
  </si>
  <si>
    <t>Redutor</t>
  </si>
  <si>
    <t>Agressivo</t>
  </si>
  <si>
    <t>Defensivo</t>
  </si>
  <si>
    <t>Espada</t>
  </si>
  <si>
    <t>Bruenor Battlehammer</t>
  </si>
  <si>
    <t>Forge Anew</t>
  </si>
  <si>
    <t>Danitha Capashen, Paragon</t>
  </si>
  <si>
    <t>Chicote de Guerra de Bladehold</t>
  </si>
  <si>
    <t>Puresteel Paladin</t>
  </si>
  <si>
    <t>Ardenn, Arqueólogo Intrépido</t>
  </si>
  <si>
    <t>Brass Squire</t>
  </si>
  <si>
    <t>Auriok Steelshaper</t>
  </si>
  <si>
    <t>Open the Armory</t>
  </si>
  <si>
    <t>Caçadora Celeste Armadurada</t>
  </si>
  <si>
    <t>Forja Mística</t>
  </si>
  <si>
    <t>Sram, Senior Edificer</t>
  </si>
  <si>
    <t>Fighter Class</t>
  </si>
  <si>
    <t>A Forja da Espada de Tyrita</t>
  </si>
  <si>
    <t>Sombra Mutável</t>
  </si>
  <si>
    <t>Kellan, the Fae-Blooded // Birthright Boon</t>
  </si>
  <si>
    <t>Leonin Shikari</t>
  </si>
  <si>
    <t xml:space="preserve">Engenheira do Sítio de Escavação </t>
  </si>
  <si>
    <t>Astor, Portador das Lâminas</t>
  </si>
  <si>
    <t>Horn of Valhalla</t>
  </si>
  <si>
    <t>Lightning Spear</t>
  </si>
  <si>
    <t>Lion Sash</t>
  </si>
  <si>
    <t>Citizen's Crowbar</t>
  </si>
  <si>
    <t>Dispatch</t>
  </si>
  <si>
    <t>Wrath of God</t>
  </si>
  <si>
    <t>Vanquish the Horde</t>
  </si>
  <si>
    <t>Shatter the Sky</t>
  </si>
  <si>
    <t>Day of Judgment</t>
  </si>
  <si>
    <t>Fell the Mighty</t>
  </si>
  <si>
    <t>Winds of Rath</t>
  </si>
  <si>
    <t>Garras do Capitão</t>
  </si>
  <si>
    <t>Espada de Verdade e Justiça</t>
  </si>
  <si>
    <t>Kusari-Gama</t>
  </si>
  <si>
    <t>Espada de Passado e Futuro</t>
  </si>
  <si>
    <t>Tenza, Godo's Maul</t>
  </si>
  <si>
    <t>Espada de Fogo e Gelo</t>
  </si>
  <si>
    <t>Espada de Banquete e Fome</t>
  </si>
  <si>
    <t>Espada de Forja e Fronteira</t>
  </si>
  <si>
    <t>Espada de Lar e Morada</t>
  </si>
  <si>
    <t>Espada de Guerra e Paz</t>
  </si>
  <si>
    <t>Espada de Corpo e Mente</t>
  </si>
  <si>
    <t>Espada de Aço e Tendão</t>
  </si>
  <si>
    <t>Umezawa's Jitte</t>
  </si>
  <si>
    <t>Lizard Blades</t>
  </si>
  <si>
    <t>Jitte Perdida</t>
  </si>
  <si>
    <t>Barbed Spike</t>
  </si>
  <si>
    <t>Espada da Riqueza e do Poder</t>
  </si>
  <si>
    <t>Estrela da Manhã dos Goblins</t>
  </si>
  <si>
    <t>Armadura de Placas</t>
  </si>
  <si>
    <t>Leather Armor</t>
  </si>
  <si>
    <t>Glimmer Lens</t>
  </si>
  <si>
    <t>Mask of Memory</t>
  </si>
  <si>
    <t>Infiltration Lens</t>
  </si>
  <si>
    <t>Beamtown Beatstick</t>
  </si>
  <si>
    <t>Komainu Battle Armor</t>
  </si>
  <si>
    <t>Goldvein Pick</t>
  </si>
  <si>
    <t>Basilisk Collar</t>
  </si>
  <si>
    <t>Prying Blade</t>
  </si>
  <si>
    <t>Explorer's Scope</t>
  </si>
  <si>
    <t>Vial Smasher e Ishai</t>
  </si>
  <si>
    <t>Cascading Cataracts</t>
  </si>
  <si>
    <t>Grande Coliseu</t>
  </si>
  <si>
    <t>Arid Mesa</t>
  </si>
  <si>
    <t>Blood Crypt</t>
  </si>
  <si>
    <t>Ondu Inversion</t>
  </si>
  <si>
    <t>Equilibrio de Poderes</t>
  </si>
  <si>
    <t>Archivist of Oghma</t>
  </si>
  <si>
    <t>Sygg, River Cutthroat</t>
  </si>
  <si>
    <t>Tandem Lookout</t>
  </si>
  <si>
    <t>Inspiring Refrain</t>
  </si>
  <si>
    <t>Cruzeiro do Tesouro</t>
  </si>
  <si>
    <t>Sphinx's Revelation</t>
  </si>
  <si>
    <t>Crackling Doom</t>
  </si>
  <si>
    <t>Pile On</t>
  </si>
  <si>
    <t>Void Rend</t>
  </si>
  <si>
    <t>Mystic Reflection</t>
  </si>
  <si>
    <t>Sculpted Sunburst</t>
  </si>
  <si>
    <t>Subjugar a Horda</t>
  </si>
  <si>
    <t>Terminus</t>
  </si>
  <si>
    <t>Mito de Snapdax</t>
  </si>
  <si>
    <t>Exquisite Blood</t>
  </si>
  <si>
    <t>Pain Magnification</t>
  </si>
  <si>
    <t>Keranos, God of Storms</t>
  </si>
  <si>
    <t>Coisa no Gelo</t>
  </si>
  <si>
    <t>Ascensão do Grão-Vampiro</t>
  </si>
  <si>
    <t>Settle the Wreckage</t>
  </si>
  <si>
    <t>Aetherize</t>
  </si>
  <si>
    <t>Lagoas Fétidas</t>
  </si>
  <si>
    <t>Hall of Tagsin</t>
  </si>
  <si>
    <t>Mirror</t>
  </si>
  <si>
    <t>Thran Spider</t>
  </si>
  <si>
    <t>Sol Talisman</t>
  </si>
  <si>
    <t>Charcoal Diamond</t>
  </si>
  <si>
    <t>Ur-Golem's Eye</t>
  </si>
  <si>
    <t>Sisay's Ring</t>
  </si>
  <si>
    <t>Lotus-de-Nyx</t>
  </si>
  <si>
    <t>Estandarte Heráldico</t>
  </si>
  <si>
    <t>Midnight Clock</t>
  </si>
  <si>
    <t>Blinkmoth Urn</t>
  </si>
  <si>
    <t>Fragmento de Pedra de Energia</t>
  </si>
  <si>
    <t>Liliana dos Reinos Sombrios</t>
  </si>
  <si>
    <t>Karn, Living Legacy</t>
  </si>
  <si>
    <t>Gagueira Mágica</t>
  </si>
  <si>
    <t>Três Passos à Frente</t>
  </si>
  <si>
    <t>Resculpt</t>
  </si>
  <si>
    <t>Terisiare's Devastation</t>
  </si>
  <si>
    <t>Repreensão Metálica</t>
  </si>
  <si>
    <t>Redirecionamento de Gale</t>
  </si>
  <si>
    <t>Mirrormade</t>
  </si>
  <si>
    <t>Técnica de Replicação</t>
  </si>
  <si>
    <t>Sculpting Steel</t>
  </si>
  <si>
    <t>Clever Impersonator</t>
  </si>
  <si>
    <t>Masterful Replication</t>
  </si>
  <si>
    <t>Chave Voltaica</t>
  </si>
  <si>
    <t>Piscar de Olhos</t>
  </si>
  <si>
    <t>Oblivion Sower</t>
  </si>
  <si>
    <t>Notorious Throng</t>
  </si>
  <si>
    <t>Mind Grind</t>
  </si>
  <si>
    <t>Fabricate</t>
  </si>
  <si>
    <t>Dire Undercurrents</t>
  </si>
  <si>
    <t>Gerador da Estagnação</t>
  </si>
  <si>
    <t>Ayara, First of Locthwain</t>
  </si>
  <si>
    <t>Chave de Prata Lunar</t>
  </si>
  <si>
    <t>Merfolk</t>
  </si>
  <si>
    <t>Jiang Yanggu, Wildcrafter</t>
  </si>
  <si>
    <t>Harvest Season</t>
  </si>
  <si>
    <t>Vanquisher's Banner</t>
  </si>
  <si>
    <t>Bred for the Hunt</t>
  </si>
  <si>
    <t>Reconnaissance Mission</t>
  </si>
  <si>
    <t>Lifecrafter's Bestiary</t>
  </si>
  <si>
    <t>Seahunter</t>
  </si>
  <si>
    <t>Zegana, Utopian Speaker</t>
  </si>
  <si>
    <t>Prime Speaker Zegana</t>
  </si>
  <si>
    <t>Thada Adel, Acquisitor</t>
  </si>
  <si>
    <t>Svyelun of Sea and Sky</t>
  </si>
  <si>
    <t>Kopala, Warden of Waves</t>
  </si>
  <si>
    <t>Tishana, Voice of Thunder</t>
  </si>
  <si>
    <t>Emperor Mihail II</t>
  </si>
  <si>
    <t>Coralhelm Commander</t>
  </si>
  <si>
    <t>Hakbal da Alma Crescente</t>
  </si>
  <si>
    <t>Master of the Pearl Trident</t>
  </si>
  <si>
    <t>Vodalian Hexcatcher</t>
  </si>
  <si>
    <t>Merrow Reejerey</t>
  </si>
  <si>
    <t>Merfolk Mistbinder</t>
  </si>
  <si>
    <t>Lord of Atlantis</t>
  </si>
  <si>
    <t>Metallic Mimic</t>
  </si>
  <si>
    <t>Adaptive Automaton</t>
  </si>
  <si>
    <t>Lullmage Mentor</t>
  </si>
  <si>
    <t>Deeproot Waters</t>
  </si>
  <si>
    <t>Seafloor Oracle</t>
  </si>
  <si>
    <t>Stonybrook Banneret</t>
  </si>
  <si>
    <t>Peregrinação a Raiz Profunda</t>
  </si>
  <si>
    <t>Herald of Secret Streams</t>
  </si>
  <si>
    <t>Forerunner of the Heralds</t>
  </si>
  <si>
    <t>Merrow Harbinger</t>
  </si>
  <si>
    <t>Merfolk Sovereign</t>
  </si>
  <si>
    <t>Cold-Eyed Selkie</t>
  </si>
  <si>
    <t>Wake Thrasher</t>
  </si>
  <si>
    <t>Deeproot Historian</t>
  </si>
  <si>
    <t>Surgespanner</t>
  </si>
  <si>
    <t>Singer of Swift Rivers</t>
  </si>
  <si>
    <t>Icon of Ancestry</t>
  </si>
  <si>
    <t>Throne of the God-Pharaoh</t>
  </si>
  <si>
    <t>Door of Destinies</t>
  </si>
  <si>
    <t>Merrow Commerce</t>
  </si>
  <si>
    <t>Filter Out</t>
  </si>
  <si>
    <t>Ashaya, Soul of the Wild</t>
  </si>
  <si>
    <t>Falcão Cobiçado</t>
  </si>
  <si>
    <t>Invasão de Segóvia</t>
  </si>
  <si>
    <t>Floresta Flagelada</t>
  </si>
  <si>
    <t>Espada de Luz e Sombra</t>
  </si>
  <si>
    <t>Army</t>
  </si>
  <si>
    <t>Mentor do Monastério</t>
  </si>
  <si>
    <t>Saheeli, Artífice Sublime</t>
  </si>
  <si>
    <t>Kykar, Fúria do Vento</t>
  </si>
  <si>
    <t>Iconoclasta da Terceira Via</t>
  </si>
  <si>
    <t>Young Pyromancer</t>
  </si>
  <si>
    <t>Resposta // Ressurgimento</t>
  </si>
  <si>
    <t>Ascendência Jeskai</t>
  </si>
  <si>
    <t>Tought Vessel</t>
  </si>
  <si>
    <t>Alfinetador de Pecados</t>
  </si>
  <si>
    <t>Optar</t>
  </si>
  <si>
    <t>Omen of the Sea</t>
  </si>
  <si>
    <t>Inferno Duplo</t>
  </si>
  <si>
    <t>Botas do Desbravador</t>
  </si>
  <si>
    <t>Surto da Salvação</t>
  </si>
  <si>
    <t>Niv-Mizzet, Dracogênio</t>
  </si>
  <si>
    <t>Artist's Talent</t>
  </si>
  <si>
    <t>Lifecreed Duo</t>
  </si>
  <si>
    <t>Darkstar Augur</t>
  </si>
  <si>
    <t>Gossip's Talent</t>
  </si>
  <si>
    <t>Dour Port-Mage</t>
  </si>
  <si>
    <t>Season of Weaving</t>
  </si>
  <si>
    <t>Presságio da Calamidade</t>
  </si>
  <si>
    <t>Baylen</t>
  </si>
  <si>
    <t>HighTokens</t>
  </si>
  <si>
    <t>Starscape Cleric</t>
  </si>
  <si>
    <t>For the Common Good</t>
  </si>
  <si>
    <t>Farmer Cotton</t>
  </si>
  <si>
    <t>Artifact Mutation</t>
  </si>
  <si>
    <t>Aura Mutation</t>
  </si>
  <si>
    <t>Peregrin Took</t>
  </si>
  <si>
    <t>Cadira, Caller of the Small</t>
  </si>
  <si>
    <t>March of the Multitudes</t>
  </si>
  <si>
    <t>Second Harvest</t>
  </si>
  <si>
    <t>Rosie Cotton of South Lane</t>
  </si>
  <si>
    <t>DoubleTokens</t>
  </si>
  <si>
    <t>AlwaysTokens</t>
  </si>
  <si>
    <t>InstaTokens</t>
  </si>
  <si>
    <t>Jacked Rabbit</t>
  </si>
  <si>
    <t>Arasta of the Endless Web</t>
  </si>
  <si>
    <t>Samwise Gangee</t>
  </si>
  <si>
    <t>Secure the Wastes</t>
  </si>
  <si>
    <t>Teferi's Protection</t>
  </si>
  <si>
    <t>Sundering Growth</t>
  </si>
  <si>
    <t>Crash the Party</t>
  </si>
  <si>
    <t>Cabaretti Charm</t>
  </si>
  <si>
    <t>Rootborn Defenses</t>
  </si>
  <si>
    <t>Pest Infestation</t>
  </si>
  <si>
    <t>Wildfire Awakener</t>
  </si>
  <si>
    <t>KillMachine</t>
  </si>
  <si>
    <t>Impact Tremors</t>
  </si>
  <si>
    <t>Warleader's Call</t>
  </si>
  <si>
    <t>Rabble Rousing</t>
  </si>
  <si>
    <t>Virtue of Loyalty</t>
  </si>
  <si>
    <t>Jetmir, Nexus of Revels</t>
  </si>
  <si>
    <t>Purphoros, God of the Forge</t>
  </si>
  <si>
    <t>Gala Greeters</t>
  </si>
  <si>
    <t>Many Partings</t>
  </si>
  <si>
    <t>The Shire</t>
  </si>
  <si>
    <t>Kher Keep</t>
  </si>
  <si>
    <t>Sheltering Landscape</t>
  </si>
  <si>
    <t>Mossfire Valley</t>
  </si>
  <si>
    <t>Sungrass Prairie</t>
  </si>
  <si>
    <t>Cinder Glade</t>
  </si>
  <si>
    <t>Sunscorched Divide</t>
  </si>
  <si>
    <t>Oltec Matterweaver</t>
  </si>
  <si>
    <t>Comando de Kayla</t>
  </si>
  <si>
    <t>Especialidade de Sram</t>
  </si>
  <si>
    <t>Illustrious Wanderglyph</t>
  </si>
  <si>
    <t>Mina dos Anões</t>
  </si>
  <si>
    <t>Casinha de Doces</t>
  </si>
  <si>
    <t>Ghired, Mirror of the Wilds</t>
  </si>
  <si>
    <t>Tempestade Serelepe</t>
  </si>
  <si>
    <t>Horda Germinal</t>
  </si>
  <si>
    <t>Horn of Valhalla // Ysgard's Call</t>
  </si>
  <si>
    <t>Ophiomancer</t>
  </si>
  <si>
    <t>Thirst for Knowledge</t>
  </si>
  <si>
    <t>Baylen, o  Coelho</t>
  </si>
  <si>
    <t>Pedra de Erech</t>
  </si>
  <si>
    <t>Hidetsugu, o Grande Devorador</t>
  </si>
  <si>
    <t>Teysa, Oligarca Opulenta</t>
  </si>
  <si>
    <t>Cephalid Coliseum</t>
  </si>
  <si>
    <t>Enduring Innocence</t>
  </si>
  <si>
    <t>Leyline of Hope</t>
  </si>
  <si>
    <t>Unholy Annex // Ritual Chamber</t>
  </si>
  <si>
    <t>Dazzling Theater // Prop Room</t>
  </si>
  <si>
    <t>Dollmaker's Shop // Porcelain Gallery</t>
  </si>
  <si>
    <t>Enduring Curiosity</t>
  </si>
  <si>
    <t>Marvin, Murderous Mimic</t>
  </si>
  <si>
    <t>Hedge Shredder</t>
  </si>
  <si>
    <t>Leyline of Transformation</t>
  </si>
  <si>
    <t>Silent Hallcreeper</t>
  </si>
  <si>
    <t>The Mindskinner</t>
  </si>
  <si>
    <t>Sokrates, Atheinan Teacher</t>
  </si>
  <si>
    <t>Three Tree City</t>
  </si>
  <si>
    <t>Time of Need</t>
  </si>
  <si>
    <t>Powerbalance</t>
  </si>
  <si>
    <t>Midnight Guard</t>
  </si>
  <si>
    <t>Insidious Fungus</t>
  </si>
  <si>
    <t>Restricted Office // Lecture Hall</t>
  </si>
  <si>
    <t>Zimone, Mystery Unraveler</t>
  </si>
  <si>
    <t>Crib Swap</t>
  </si>
  <si>
    <t>Scavenging Ooze</t>
  </si>
  <si>
    <t>Garra Krosana</t>
  </si>
  <si>
    <t>Scurry Oak</t>
  </si>
  <si>
    <t>Estorrar</t>
  </si>
  <si>
    <t>Noite da Vingança dos Doces</t>
  </si>
  <si>
    <t>Bolsa de Nobre</t>
  </si>
  <si>
    <t>Titanic Ultimatum</t>
  </si>
  <si>
    <t>Revive the Shire</t>
  </si>
  <si>
    <t>Saciar</t>
  </si>
  <si>
    <t>Augúrio do Sol</t>
  </si>
  <si>
    <t>Campanha de Recrutamento</t>
  </si>
  <si>
    <t>Trilha de Migalhas</t>
  </si>
  <si>
    <t>Investigação Minuciosa</t>
  </si>
  <si>
    <t>Forno da Bruxa</t>
  </si>
  <si>
    <t>Taverneiro Prospero</t>
  </si>
  <si>
    <t>Contrabandear Gado</t>
  </si>
  <si>
    <t>Vitu-Ghazi, a Árvore-cidade</t>
  </si>
  <si>
    <t>Praia Inundada</t>
  </si>
  <si>
    <t>Selesnya Sanctuary</t>
  </si>
  <si>
    <t>Gleba Gruul</t>
  </si>
  <si>
    <t>Presença de Gond</t>
  </si>
  <si>
    <t>Dia</t>
  </si>
  <si>
    <t>Player 1</t>
  </si>
  <si>
    <t>Deck 1</t>
  </si>
  <si>
    <t>Player 2</t>
  </si>
  <si>
    <t>Deck 2</t>
  </si>
  <si>
    <t>Deck 3</t>
  </si>
  <si>
    <t>Deck 4</t>
  </si>
  <si>
    <t>Vitória</t>
  </si>
  <si>
    <t>Vivian</t>
  </si>
  <si>
    <t>Zimone</t>
  </si>
  <si>
    <t>Renato</t>
  </si>
  <si>
    <t>Dexter</t>
  </si>
  <si>
    <t>Kaalia</t>
  </si>
  <si>
    <t>Raffine</t>
  </si>
  <si>
    <t>Tovolar</t>
  </si>
  <si>
    <t>Hamster</t>
  </si>
  <si>
    <t>Trakiri</t>
  </si>
  <si>
    <t>Partidas</t>
  </si>
  <si>
    <t>Winrate</t>
  </si>
  <si>
    <t>Player</t>
  </si>
  <si>
    <t>Talita</t>
  </si>
  <si>
    <t>João</t>
  </si>
  <si>
    <t>Bloodghast</t>
  </si>
  <si>
    <t>Scryb Ranger</t>
  </si>
  <si>
    <t>Jadar, Ghoulcaller of Nephalia</t>
  </si>
  <si>
    <t>Nether Traitor</t>
  </si>
  <si>
    <t>Oathsworn Vampire</t>
  </si>
  <si>
    <t>Kraken do Nadir</t>
  </si>
  <si>
    <t>Winota</t>
  </si>
  <si>
    <t>Ladinos</t>
  </si>
  <si>
    <t>Who Time</t>
  </si>
  <si>
    <t>Who Villains</t>
  </si>
  <si>
    <t>Narset</t>
  </si>
  <si>
    <t>High-Society Hunter</t>
  </si>
  <si>
    <t>Homunculus Horde</t>
  </si>
  <si>
    <t>Crystal Barricade</t>
  </si>
  <si>
    <t>Scrawling Crawler</t>
  </si>
  <si>
    <t>Rev, Tithe Extractor</t>
  </si>
  <si>
    <t>Dionus, Elvish Archdruid</t>
  </si>
  <si>
    <t>Elvish Regrower</t>
  </si>
  <si>
    <t>Tayan</t>
  </si>
  <si>
    <t>Protection Magic</t>
  </si>
  <si>
    <t>Sphere Grid</t>
  </si>
  <si>
    <t>Maester Seymour</t>
  </si>
  <si>
    <t>Tromell, Seymour's Butler</t>
  </si>
  <si>
    <t>Ardbert, Warrior of Darkness</t>
  </si>
  <si>
    <t>Shelinda, Yevon Acolyte</t>
  </si>
  <si>
    <t>Luminous Broodmoth</t>
  </si>
  <si>
    <t>Resourceful Defense</t>
  </si>
  <si>
    <t>Scholar of New Horizons</t>
  </si>
  <si>
    <t>Inspiring Call</t>
  </si>
  <si>
    <t>Gyre Sage</t>
  </si>
  <si>
    <t>Incubation Druid</t>
  </si>
  <si>
    <t>Dever Além da Morte</t>
  </si>
  <si>
    <t>Muldrotha, the Gravetide</t>
  </si>
  <si>
    <t>Grave Pact</t>
  </si>
  <si>
    <t>Elvish Reclaimer</t>
  </si>
  <si>
    <t>Dictate of Erebos</t>
  </si>
  <si>
    <t>Ecological Appreciation</t>
  </si>
  <si>
    <t>Return</t>
  </si>
  <si>
    <t>Hollowmurk Siege</t>
  </si>
  <si>
    <t>Bulwark Ox</t>
  </si>
  <si>
    <t>Thunderous Velocipede</t>
  </si>
  <si>
    <t>Zack Fair</t>
  </si>
  <si>
    <t>Fog</t>
  </si>
  <si>
    <t>The Emperor of Palamecia</t>
  </si>
  <si>
    <t>Luxury Suite</t>
  </si>
  <si>
    <t>Inevitable Defeat</t>
  </si>
  <si>
    <t>Mangara, the Diplomat</t>
  </si>
  <si>
    <t>Comeuppance</t>
  </si>
  <si>
    <t>Take the Bait</t>
  </si>
  <si>
    <t>Blind Obedience</t>
  </si>
  <si>
    <t>Dawn Charm</t>
  </si>
  <si>
    <t>Batwing Brume</t>
  </si>
  <si>
    <t>Riot Control</t>
  </si>
  <si>
    <t>Deflecting Palm</t>
  </si>
  <si>
    <t>Mandate of Peace</t>
  </si>
  <si>
    <t>Prismatic Strands</t>
  </si>
  <si>
    <t>Promise of Loyalty</t>
  </si>
  <si>
    <t>Ever-Watching Threshold</t>
  </si>
  <si>
    <t>Amphibian Downpour</t>
  </si>
  <si>
    <t>Matoya, Archon Elder</t>
  </si>
  <si>
    <t>Champions from Beyond</t>
  </si>
  <si>
    <t>Cid, Freeflier Pilot</t>
  </si>
  <si>
    <t>Firion, Wild Rose Warrior</t>
  </si>
  <si>
    <t>Bureau Headmaster</t>
  </si>
  <si>
    <t>Cloud, Midgar Mercenary</t>
  </si>
  <si>
    <t>Dragonfire Blade</t>
  </si>
  <si>
    <t>Stiltzkin, Moogle Merchant</t>
  </si>
  <si>
    <t>Yes Man, Personal Securitron</t>
  </si>
  <si>
    <t>The Second Doctor</t>
  </si>
  <si>
    <t>Treasure Nabber</t>
  </si>
  <si>
    <t>Árbitro Silencioso</t>
  </si>
  <si>
    <t>Genji Glove</t>
  </si>
  <si>
    <t>Jidoor, Aristocratic Capital</t>
  </si>
  <si>
    <t>The Water Crystal</t>
  </si>
  <si>
    <t>Aligned Heart</t>
  </si>
  <si>
    <t>Windcrag Siege</t>
  </si>
  <si>
    <t>Riverchurn Monument</t>
  </si>
  <si>
    <t>Full Throttle</t>
  </si>
  <si>
    <t>Relentless Assault</t>
  </si>
  <si>
    <t>World at War</t>
  </si>
  <si>
    <t>Broodheart Engine</t>
  </si>
  <si>
    <t>Tegwyll, Duke of Splendor</t>
  </si>
  <si>
    <t>Renewed Solidarity</t>
  </si>
  <si>
    <t>Baral, Chief of Compliance</t>
  </si>
  <si>
    <t>Gogo, Master of Mimicry</t>
  </si>
  <si>
    <t>Repurposing Bay</t>
  </si>
  <si>
    <t>Sonic Screwdriver</t>
  </si>
  <si>
    <t>Unstoppable Plan</t>
  </si>
  <si>
    <t>Jidoor, Aristocratic Capital // Overture</t>
  </si>
  <si>
    <t>Obyra, Dreaming Duelist</t>
  </si>
  <si>
    <t>Mistrise Village</t>
  </si>
  <si>
    <t>Louisoix's Sacrifice</t>
  </si>
  <si>
    <t>Satoru, the Infiltrator</t>
  </si>
  <si>
    <t>Ingenious Prodigy</t>
  </si>
  <si>
    <t>Mausoleum Wanderer</t>
  </si>
  <si>
    <t>Golbez, Crystal Collector</t>
  </si>
  <si>
    <t>Mahadi, Emporium Master</t>
  </si>
  <si>
    <t>Marionette Apprentice</t>
  </si>
  <si>
    <t>Stridehangar Automaton</t>
  </si>
  <si>
    <t>Cayth, Famed Mechanist</t>
  </si>
  <si>
    <t>Frostcliff Siege</t>
  </si>
  <si>
    <t>Adventurer's Inn</t>
  </si>
  <si>
    <t>Mother of runes</t>
  </si>
  <si>
    <t>Giver of Runes</t>
  </si>
  <si>
    <t>Exemplar of Light</t>
  </si>
  <si>
    <t>Hierofante de Elenda</t>
  </si>
  <si>
    <t>Hinterland Sanctifier</t>
  </si>
  <si>
    <t>Bugenhagen, Wise Elder</t>
  </si>
  <si>
    <t>Red XIII, Proud Warrior</t>
  </si>
  <si>
    <t>Nibelheim Aflame</t>
  </si>
  <si>
    <t>The Masamune</t>
  </si>
  <si>
    <t>Jenova, Ancient Calamity</t>
  </si>
  <si>
    <t>Ironwill Forger</t>
  </si>
  <si>
    <t>Taigam, Master Opportunist</t>
  </si>
  <si>
    <t>Bedrock Tortoise</t>
  </si>
  <si>
    <t>Quina, Qu Gourmet</t>
  </si>
  <si>
    <t>Spinner of Souls</t>
  </si>
  <si>
    <t>Fanatical Devotion</t>
  </si>
  <si>
    <t>Warren Soultrader</t>
  </si>
  <si>
    <t>Sidisi, Regent of the Mire</t>
  </si>
  <si>
    <t>Grow</t>
  </si>
  <si>
    <t>Control</t>
  </si>
  <si>
    <t>Together Forever</t>
  </si>
  <si>
    <t>Summon: Ixion</t>
  </si>
  <si>
    <t>Summon: Fenrir</t>
  </si>
  <si>
    <t>Rishkar, Peema Renegade</t>
  </si>
  <si>
    <t>Managorger Hydra</t>
  </si>
  <si>
    <t>Winding Constrictor</t>
  </si>
  <si>
    <t>Cankerbloom</t>
  </si>
  <si>
    <t>Hardened Scales</t>
  </si>
  <si>
    <t>Warden of the Grove</t>
  </si>
  <si>
    <t>Knight of Autumn</t>
  </si>
  <si>
    <t>Champion of Lambholt</t>
  </si>
  <si>
    <t>Kami of Whispered Hopes</t>
  </si>
  <si>
    <t>Basking Broodscale</t>
  </si>
  <si>
    <t>Metastatic Evangel</t>
  </si>
  <si>
    <t>Anafenza, Kin-Tree Spirit</t>
  </si>
  <si>
    <t>Lae'zel, Vlaakith's Champion</t>
  </si>
  <si>
    <t>Conclave Mentor</t>
  </si>
  <si>
    <t>Felothar, Dawn of the Abzan</t>
  </si>
  <si>
    <t>Abzan Falconer</t>
  </si>
  <si>
    <t>Breena, the Demagogue</t>
  </si>
  <si>
    <t>Botanical Brawler</t>
  </si>
  <si>
    <t>Skyclave Apparition</t>
  </si>
  <si>
    <t>Armored Scrapgorger</t>
  </si>
  <si>
    <t>Unbreakable Formation</t>
  </si>
  <si>
    <t>Damn</t>
  </si>
  <si>
    <t>Ozolith, the Shattered Spire</t>
  </si>
  <si>
    <t>Master Chef</t>
  </si>
  <si>
    <t>Branching Evolution</t>
  </si>
  <si>
    <t>Vraska Joins Up</t>
  </si>
  <si>
    <t>Thran Vigil</t>
  </si>
  <si>
    <t>Song of Freyalise</t>
  </si>
  <si>
    <t>Retribution of the Ancients</t>
  </si>
  <si>
    <t>Llanowar Reborn</t>
  </si>
  <si>
    <t>Duskshell Crawler</t>
  </si>
  <si>
    <t>Reyhan, Last of the Abzan</t>
  </si>
  <si>
    <t>Hydraw's Growth</t>
  </si>
  <si>
    <t>Stocking the Pantry</t>
  </si>
  <si>
    <t>Deceptive Landscape</t>
  </si>
  <si>
    <t>Arwen, Weaver of Hope</t>
  </si>
  <si>
    <t>Illusionist's Gambit</t>
  </si>
  <si>
    <t>Dissipation Field</t>
  </si>
  <si>
    <t>Tayam</t>
  </si>
  <si>
    <t>Bruma Etérea</t>
  </si>
  <si>
    <t>Haywire Mite</t>
  </si>
  <si>
    <t>Yavimaya, Berço de Crescimento</t>
  </si>
  <si>
    <t>The Rani's Force</t>
  </si>
  <si>
    <t>Rani</t>
  </si>
  <si>
    <t>Curse of Verbosity</t>
  </si>
  <si>
    <t>Eye of Nidhogg</t>
  </si>
  <si>
    <t>Bothersome Quasit</t>
  </si>
  <si>
    <t>Firkraag, Cunning Instigator</t>
  </si>
  <si>
    <t>Bloodthirsty Blade</t>
  </si>
  <si>
    <t>Ghoulish Impetus</t>
  </si>
  <si>
    <t>Hot Pursuit</t>
  </si>
  <si>
    <t>Renegade Silent</t>
  </si>
  <si>
    <t>Red Death, Shipwrecker</t>
  </si>
  <si>
    <t>Bjorna, Nightfall Alchemist</t>
  </si>
  <si>
    <t>Hateful Eidolon</t>
  </si>
  <si>
    <t>Life of the Party</t>
  </si>
  <si>
    <t>Grenzo, Havoc Raiser</t>
  </si>
  <si>
    <t>Sly Instigator</t>
  </si>
  <si>
    <t>Erdwal Illuminator</t>
  </si>
  <si>
    <t>Martha Jones</t>
  </si>
  <si>
    <t>Xantcha, Agente Adormecida</t>
  </si>
  <si>
    <t>Laurine, the Diversion</t>
  </si>
  <si>
    <t>Sontaran General</t>
  </si>
  <si>
    <t>Marchesa, Dealer of Death</t>
  </si>
  <si>
    <t>Coronation of Chaos</t>
  </si>
  <si>
    <t>Maestros Confluence</t>
  </si>
  <si>
    <t>Day of the Moon</t>
  </si>
  <si>
    <t>Archway of Innovation</t>
  </si>
  <si>
    <t>Trenzalore Clocktower</t>
  </si>
  <si>
    <t>Laser Screwdriver</t>
  </si>
  <si>
    <t>Dragonskull Summit</t>
  </si>
  <si>
    <t>Gallifrey Council Chamber</t>
  </si>
  <si>
    <t>Frenzied Gorespawn</t>
  </si>
  <si>
    <t>Mundo TCG</t>
  </si>
  <si>
    <t>Overrun</t>
  </si>
  <si>
    <t>Mega</t>
  </si>
  <si>
    <t>Jhoira Bichão</t>
  </si>
  <si>
    <t>Kozilek, the Broken Reality</t>
  </si>
  <si>
    <t>Time Beetle</t>
  </si>
  <si>
    <t>The Tenth Doctor</t>
  </si>
  <si>
    <t>Nezahal, Primal Tide</t>
  </si>
  <si>
    <t>Ulamog's Dreadsire</t>
  </si>
  <si>
    <t>Sibylline Soothsayer</t>
  </si>
  <si>
    <t>Inevitable Betrayal</t>
  </si>
  <si>
    <t>Rise of the Eldrazi</t>
  </si>
  <si>
    <t>Hit the Mother Lode</t>
  </si>
  <si>
    <t>Rotating Fireplace</t>
  </si>
  <si>
    <t>Mox Tantalite</t>
  </si>
  <si>
    <t>Estudo Rístico</t>
  </si>
  <si>
    <t>Three Visits</t>
  </si>
  <si>
    <t>Mestre de Cerimonias</t>
  </si>
  <si>
    <t>Utilidades</t>
  </si>
  <si>
    <t>Elesh Norn</t>
  </si>
  <si>
    <t>Ganso Dourado</t>
  </si>
  <si>
    <t>Drumbellower</t>
  </si>
  <si>
    <t>River's Rebuke</t>
  </si>
  <si>
    <t>Horror Quebra-Casco</t>
  </si>
  <si>
    <t>Esmoecer</t>
  </si>
  <si>
    <t>Coiling Oracle</t>
  </si>
  <si>
    <t>Scavengng Ooze</t>
  </si>
  <si>
    <t>Máscara de Longevisão</t>
  </si>
  <si>
    <t>Imagem Espelhada</t>
  </si>
  <si>
    <t>Mergulhadora Celeste Ladra</t>
  </si>
  <si>
    <t>Espiral de Crescimento</t>
  </si>
  <si>
    <t>Eureka Moment</t>
  </si>
  <si>
    <t>Espelho dos Antepassados</t>
  </si>
  <si>
    <t>Distant Melody</t>
  </si>
  <si>
    <t>Reversão de Narset</t>
  </si>
  <si>
    <t>Lanterna Guia-Almas</t>
  </si>
  <si>
    <t>Elrond, Lord of Rivendell</t>
  </si>
  <si>
    <t>Encontro de Mentes</t>
  </si>
  <si>
    <t>Augúrio do Mar</t>
  </si>
  <si>
    <t>Deep Analysis</t>
  </si>
  <si>
    <t>Repudiar // Replicar</t>
  </si>
  <si>
    <t>Retorno à Natureza</t>
  </si>
  <si>
    <t>Barreira Psíquica</t>
  </si>
  <si>
    <t>Deliberar</t>
  </si>
  <si>
    <t>Lonis, Cryptozoologist</t>
  </si>
  <si>
    <t>Garrafa de Água Infinita</t>
  </si>
  <si>
    <t>Aether Spellbomb</t>
  </si>
  <si>
    <t>Summon: Leviathan</t>
  </si>
  <si>
    <t>Keen Duelist</t>
  </si>
  <si>
    <t>Stoneforge Mystic</t>
  </si>
  <si>
    <t>Angelic Renewal</t>
  </si>
  <si>
    <t>Molten Echoes</t>
  </si>
  <si>
    <t>Burnt Offering</t>
  </si>
  <si>
    <t>Saw in Half</t>
  </si>
  <si>
    <t>Mistbind Clique</t>
  </si>
  <si>
    <t>Altar Phyrexiano</t>
  </si>
  <si>
    <t>Saffi Eriksdotter</t>
  </si>
  <si>
    <t>Tribute Mage</t>
  </si>
  <si>
    <t>Merchant of Secrets</t>
  </si>
  <si>
    <t>Mana Echoes</t>
  </si>
  <si>
    <t>Detective's Satchel</t>
  </si>
  <si>
    <t>Fumiko, the Lowblood</t>
  </si>
  <si>
    <t>Espião-mestre Goblin</t>
  </si>
  <si>
    <t>Ginete Bronco Exaltado</t>
  </si>
  <si>
    <t>Horizon Explorer</t>
  </si>
  <si>
    <t>Sothera, the Supervoid</t>
  </si>
  <si>
    <t>Thrumming Hivepool</t>
  </si>
  <si>
    <t>Dúplice Debochada</t>
  </si>
  <si>
    <t>Long-Range Sensor</t>
  </si>
  <si>
    <t>Pain for All</t>
  </si>
  <si>
    <t>Adagia, Windswept Bastion</t>
  </si>
  <si>
    <t>Weapons Manufacturing</t>
  </si>
  <si>
    <t>Patrolling Peacemaker</t>
  </si>
  <si>
    <t>Equilíbrio de Poderes</t>
  </si>
  <si>
    <t>Vontade Dominadora</t>
  </si>
  <si>
    <t>Chronomantic Escape</t>
  </si>
  <si>
    <t>Planetary Annihilation</t>
  </si>
  <si>
    <t>Evendo, Waking Haven</t>
  </si>
  <si>
    <t>Susur Secundi, Void Altar</t>
  </si>
  <si>
    <t>Olho de Ojer Taq</t>
  </si>
  <si>
    <t>Promessa de Aclazotz</t>
  </si>
  <si>
    <t>OwA</t>
  </si>
  <si>
    <t>Marcha dos Canonizados</t>
  </si>
  <si>
    <t>Karplusan Forest</t>
  </si>
  <si>
    <t>Uthros, Titanic Godcore</t>
  </si>
  <si>
    <t>The Eternity Elevator</t>
  </si>
  <si>
    <t>Obelisco de Obsidiana</t>
  </si>
  <si>
    <t>Shaku da Honra Desgastada</t>
  </si>
  <si>
    <t>Exalted Sunborn</t>
  </si>
  <si>
    <t>Kutzil, Malamet Exemplar</t>
  </si>
  <si>
    <t>Terrasymbiosis</t>
  </si>
  <si>
    <t>Starter</t>
  </si>
  <si>
    <t>Syr Vondam, Sunstar Exemplar</t>
  </si>
  <si>
    <t>Philips</t>
  </si>
  <si>
    <t>Hashaton</t>
  </si>
  <si>
    <t>FF Counters</t>
  </si>
  <si>
    <t>Moonlit Meditation</t>
  </si>
  <si>
    <t>Scour for Scrap</t>
  </si>
  <si>
    <t>Haliya, Guided by Light</t>
  </si>
  <si>
    <t>Ascensão do Avernus</t>
  </si>
  <si>
    <t>Extinguisher Battleship</t>
  </si>
  <si>
    <t>Dauntless Scrapbot</t>
  </si>
  <si>
    <t>Pingente de Ampulheta de Gerrard</t>
  </si>
  <si>
    <t>Caixa Enigmática Desconcertante</t>
  </si>
  <si>
    <t>A Joia do Enigma</t>
  </si>
  <si>
    <t>O Dínamo Peregrino</t>
  </si>
  <si>
    <t>Nicol Bolas, God-Pharaoh</t>
  </si>
  <si>
    <t>Enlistamento</t>
  </si>
  <si>
    <t>Pirataria</t>
  </si>
  <si>
    <t>Vaan, Street Thief</t>
  </si>
  <si>
    <t>Lightning-Rig Crew</t>
  </si>
  <si>
    <t>Spectral Sailor</t>
  </si>
  <si>
    <t>Breeches, Eager Pillager</t>
  </si>
  <si>
    <t>Glint-Horn Buccaneer</t>
  </si>
  <si>
    <t>Revel in Riches</t>
  </si>
  <si>
    <t>Forerunner of the Coalition</t>
  </si>
  <si>
    <t>Warkite Marauder</t>
  </si>
  <si>
    <t>Breeches, Brazen Plunderer</t>
  </si>
  <si>
    <t>Hostage Taker</t>
  </si>
  <si>
    <t>Coercive Recruiter</t>
  </si>
  <si>
    <t>Ramirez DePietro, Pillager</t>
  </si>
  <si>
    <t>Kitesail Larcenist</t>
  </si>
  <si>
    <t>Captain Storm, Cosmium Raider</t>
  </si>
  <si>
    <t>Professional Face-Breaker</t>
  </si>
  <si>
    <t>Departed Deckhand</t>
  </si>
  <si>
    <t>Admiral Beckett Brass</t>
  </si>
  <si>
    <t>Gemcutter Buccaneer</t>
  </si>
  <si>
    <t>Reckless Fireweaver</t>
  </si>
  <si>
    <t>Spyglass Siren</t>
  </si>
  <si>
    <t>Timestream Navigator</t>
  </si>
  <si>
    <t>Xorn</t>
  </si>
  <si>
    <t>Breeches, the Blastmaker</t>
  </si>
  <si>
    <t>Kitesail Freebooter</t>
  </si>
  <si>
    <t>Broadside Bombardiers</t>
  </si>
  <si>
    <t>Captain Vargus Wrath</t>
  </si>
  <si>
    <t>Cutthroat Negotiator</t>
  </si>
  <si>
    <t>Storm Fleet Negotiator</t>
  </si>
  <si>
    <t>Deadeye Tracker</t>
  </si>
  <si>
    <t>Planejamento</t>
  </si>
  <si>
    <t>Marujo</t>
  </si>
  <si>
    <t>Todo Mundo é Pirata</t>
  </si>
  <si>
    <t>Prancha</t>
  </si>
  <si>
    <t>Boa Vida</t>
  </si>
  <si>
    <t>Recruta</t>
  </si>
  <si>
    <t>Coastline Marauders</t>
  </si>
  <si>
    <t>Invert Polarity</t>
  </si>
  <si>
    <t>Walk the Plank</t>
  </si>
  <si>
    <t>Back in Town</t>
  </si>
  <si>
    <t>The Indomitable</t>
  </si>
  <si>
    <t>Treasure Map</t>
  </si>
  <si>
    <t>Captain's Hook</t>
  </si>
  <si>
    <t>Coastal Piracy</t>
  </si>
  <si>
    <t>Storm the Vault</t>
  </si>
  <si>
    <t>Rain of Riches</t>
  </si>
  <si>
    <t>Treasure Vault</t>
  </si>
  <si>
    <t>Mines of Moria</t>
  </si>
  <si>
    <t>Lavagem</t>
  </si>
  <si>
    <t>Malcolm, Alluring Scoundrel</t>
  </si>
  <si>
    <t>Bucaneiro</t>
  </si>
  <si>
    <t>Tesouros</t>
  </si>
  <si>
    <t>Dano</t>
  </si>
  <si>
    <t>Piratas pra Bater</t>
  </si>
  <si>
    <t>Piratas pra Putaria</t>
  </si>
  <si>
    <t>Oficial</t>
  </si>
  <si>
    <t>Malcolm, the Eyes</t>
  </si>
  <si>
    <t>Amphin Mutineer</t>
  </si>
  <si>
    <t>Laughing Jasper Flint</t>
  </si>
  <si>
    <t>Hedron Detonator</t>
  </si>
  <si>
    <t>Weftstalker Ardent</t>
  </si>
  <si>
    <t>Secluded Courtyard</t>
  </si>
  <si>
    <t>Seething Landscape</t>
  </si>
  <si>
    <t>Go for the Throat</t>
  </si>
  <si>
    <t>Shoot the Sheriff</t>
  </si>
  <si>
    <t>Evolution Sage</t>
  </si>
  <si>
    <t>Zellix, Sanity Flayer</t>
  </si>
  <si>
    <t>Emergency Eject</t>
  </si>
  <si>
    <t>Smuggler's Share</t>
  </si>
  <si>
    <t>Piratas</t>
  </si>
  <si>
    <t>Commander</t>
  </si>
  <si>
    <t>Dross Scorpion</t>
  </si>
  <si>
    <t>Exploração de Cavernas</t>
  </si>
  <si>
    <t>Deprive</t>
  </si>
  <si>
    <t>Zona de Emergência</t>
  </si>
  <si>
    <t>Recifes de Nau-Terror</t>
  </si>
  <si>
    <t>Charneca Estéril</t>
  </si>
  <si>
    <t>Panorama de Grixis</t>
  </si>
  <si>
    <t>Afogar no Lago</t>
  </si>
  <si>
    <t>Arcanis, o Onipotente</t>
  </si>
  <si>
    <t>Akal Pakal, First Among Equals</t>
  </si>
  <si>
    <t>Ameoboid Changeling</t>
  </si>
  <si>
    <t>Diamante R</t>
  </si>
  <si>
    <t>Diamante U</t>
  </si>
  <si>
    <t>Diamante B</t>
  </si>
  <si>
    <t>Shield Roxo</t>
  </si>
  <si>
    <t>Brumas do Paradoxo</t>
  </si>
  <si>
    <t>Visão Transbordante</t>
  </si>
  <si>
    <t>Flagelo do Vale de Skola</t>
  </si>
  <si>
    <t>Rogues Class</t>
  </si>
  <si>
    <t>Shield Vermelho Crimson?</t>
  </si>
  <si>
    <t>Vial Smasher the Fierce</t>
  </si>
  <si>
    <t>Malcolm, Navegador da Hipervisão</t>
  </si>
  <si>
    <t>Tayam, Enigma Luminoso</t>
  </si>
  <si>
    <t>Blood Artist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</si>
</sst>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$&quot;* #,##0.00_-;\-&quot;R$&quot;* #,##0.00_-;_-&quot;R$&quot;* &quot;-&quot;??_-;_-@_-"/>
    <numFmt numFmtId="165" formatCode="&quot;R$ &quot;#,##0.00;[Red]&quot;R$ &quot;#,##0.00"/>
    <numFmt numFmtId="166" formatCode="&quot;R$&quot;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62A"/>
      <name val="Segoe UI"/>
      <family val="2"/>
    </font>
    <font>
      <b/>
      <sz val="14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30">
    <xf numFmtId="0" fontId="0" fillId="0" borderId="0" xfId="0"/>
    <xf numFmtId="165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165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166" fontId="0" fillId="0" borderId="0" xfId="0" applyNumberFormat="1"/>
    <xf numFmtId="166" fontId="0" fillId="2" borderId="0" xfId="0" applyNumberFormat="1" applyFill="1"/>
    <xf numFmtId="0" fontId="4" fillId="0" borderId="0" xfId="0" applyFont="1"/>
    <xf numFmtId="164" fontId="0" fillId="0" borderId="0" xfId="1" applyFont="1"/>
    <xf numFmtId="0" fontId="0" fillId="0" borderId="0" xfId="0" quotePrefix="1"/>
    <xf numFmtId="164" fontId="0" fillId="0" borderId="0" xfId="1" applyFont="1" applyFill="1"/>
    <xf numFmtId="164" fontId="0" fillId="0" borderId="0" xfId="1" applyFont="1" applyAlignment="1">
      <alignment horizontal="center"/>
    </xf>
    <xf numFmtId="0" fontId="7" fillId="0" borderId="0" xfId="0" applyFont="1"/>
    <xf numFmtId="164" fontId="0" fillId="0" borderId="0" xfId="1" quotePrefix="1" applyFont="1" applyFill="1"/>
    <xf numFmtId="164" fontId="0" fillId="0" borderId="0" xfId="1" applyFont="1" applyFill="1" applyAlignment="1">
      <alignment horizontal="left"/>
    </xf>
    <xf numFmtId="164" fontId="0" fillId="0" borderId="0" xfId="1" applyFont="1" applyAlignment="1">
      <alignment horizontal="left"/>
    </xf>
    <xf numFmtId="14" fontId="0" fillId="0" borderId="0" xfId="0" applyNumberFormat="1"/>
    <xf numFmtId="9" fontId="0" fillId="0" borderId="0" xfId="2" applyFont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eetMetadata" Target="metadata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C9C2-80EC-490F-B169-A635168C3A31}">
  <sheetPr codeName="Planilha1"/>
  <dimension ref="A1:AI262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4" sqref="E4"/>
    </sheetView>
  </sheetViews>
  <sheetFormatPr defaultRowHeight="15" x14ac:dyDescent="0.25"/>
  <cols>
    <col min="1" max="1" width="11.42578125" bestFit="1" customWidth="1"/>
    <col min="2" max="2" width="16" bestFit="1" customWidth="1"/>
    <col min="3" max="3" width="11.7109375" style="13" bestFit="1" customWidth="1"/>
    <col min="4" max="4" width="3.7109375" style="9" customWidth="1"/>
    <col min="5" max="5" width="8.5703125" bestFit="1" customWidth="1"/>
    <col min="6" max="6" width="37.28515625" bestFit="1" customWidth="1"/>
    <col min="7" max="7" width="10.140625" style="13" customWidth="1"/>
    <col min="8" max="8" width="9.140625" style="13" customWidth="1"/>
    <col min="9" max="9" width="9.140625" style="13"/>
    <col min="10" max="10" width="10.140625" style="13" bestFit="1" customWidth="1"/>
    <col min="11" max="11" width="3.7109375" style="9" customWidth="1"/>
    <col min="12" max="12" width="25.85546875" bestFit="1" customWidth="1"/>
    <col min="13" max="15" width="10.140625" style="13" bestFit="1" customWidth="1"/>
    <col min="16" max="16" width="3.7109375" style="9" customWidth="1"/>
    <col min="17" max="17" width="28" customWidth="1"/>
    <col min="18" max="20" width="9.140625" style="13" customWidth="1"/>
    <col min="21" max="21" width="3.7109375" style="9" customWidth="1"/>
    <col min="22" max="22" width="27.85546875" bestFit="1" customWidth="1"/>
    <col min="23" max="25" width="9.140625" style="13"/>
    <col min="26" max="26" width="3.7109375" style="9" customWidth="1"/>
    <col min="27" max="27" width="27.85546875" bestFit="1" customWidth="1"/>
    <col min="28" max="30" width="9.140625" style="13"/>
    <col min="31" max="31" width="3.7109375" style="9" customWidth="1"/>
    <col min="32" max="32" width="27.85546875" bestFit="1" customWidth="1"/>
    <col min="33" max="35" width="9.140625" style="13"/>
  </cols>
  <sheetData>
    <row r="1" spans="1:35" x14ac:dyDescent="0.25">
      <c r="A1" t="s">
        <v>0</v>
      </c>
      <c r="B1" s="10">
        <f>C2+C8+C13+C18+C23+C28+C32+C34+C38+C50</f>
        <v>0</v>
      </c>
      <c r="E1" t="s">
        <v>1</v>
      </c>
      <c r="F1" t="str">
        <f>A2</f>
        <v>Marcelo</v>
      </c>
      <c r="G1" s="19" t="str">
        <f>B3</f>
        <v>Mega</v>
      </c>
      <c r="H1" s="15" t="str">
        <f>B4</f>
        <v>Overrun</v>
      </c>
      <c r="I1" s="15" t="str">
        <f>B5</f>
        <v>Mundo TCG</v>
      </c>
      <c r="J1" s="15" t="str">
        <f>B6</f>
        <v>Liga</v>
      </c>
      <c r="L1" t="str">
        <f>A8</f>
        <v>Interessantes</v>
      </c>
      <c r="M1" s="13" t="str">
        <f>B9</f>
        <v>Valor</v>
      </c>
      <c r="N1" s="13" t="str">
        <f>B10</f>
        <v>Liga</v>
      </c>
      <c r="O1" s="13" t="str">
        <f>B11</f>
        <v>Loja 1</v>
      </c>
      <c r="Q1" t="str">
        <f>A13</f>
        <v>Player 3</v>
      </c>
      <c r="R1" s="13" t="str">
        <f>B14</f>
        <v>Rayearth</v>
      </c>
      <c r="S1" s="13" t="str">
        <f>B15</f>
        <v>Mineral</v>
      </c>
      <c r="T1" s="13" t="str">
        <f>B16</f>
        <v>CardTutor</v>
      </c>
      <c r="V1" t="str">
        <f>A18</f>
        <v>Player 4</v>
      </c>
      <c r="W1" s="16" t="str">
        <f>B19</f>
        <v>Rayearth</v>
      </c>
      <c r="X1" s="16" t="str">
        <f>B20</f>
        <v>Mineral</v>
      </c>
      <c r="Y1" s="16" t="str">
        <f>B21</f>
        <v>CardTutor</v>
      </c>
      <c r="AA1" t="str">
        <f>A23</f>
        <v>Player 5</v>
      </c>
      <c r="AB1" s="13" t="str">
        <f>B24</f>
        <v>Rayearth</v>
      </c>
      <c r="AC1" s="13" t="str">
        <f>B25</f>
        <v>Mineral</v>
      </c>
      <c r="AD1" s="13" t="str">
        <f>B26</f>
        <v>CardTutor</v>
      </c>
      <c r="AF1" t="str">
        <f>A28</f>
        <v>Player 6</v>
      </c>
      <c r="AG1" s="13" t="str">
        <f>B29</f>
        <v>Rayearth</v>
      </c>
      <c r="AH1" s="13" t="str">
        <f>B30</f>
        <v>Mineral</v>
      </c>
      <c r="AI1" s="13" t="str">
        <f>B31</f>
        <v>CardTutor</v>
      </c>
    </row>
    <row r="2" spans="1:35" x14ac:dyDescent="0.25">
      <c r="A2" s="3" t="s">
        <v>2</v>
      </c>
      <c r="B2" t="s">
        <v>3</v>
      </c>
      <c r="C2" s="13">
        <f>SUM(C3:C6)</f>
        <v>0</v>
      </c>
      <c r="E2" t="s">
        <v>1859</v>
      </c>
      <c r="F2" t="s">
        <v>2082</v>
      </c>
      <c r="K2" s="11"/>
      <c r="P2" s="11"/>
      <c r="S2" s="15"/>
      <c r="T2" s="15"/>
      <c r="W2" s="15"/>
      <c r="X2" s="15"/>
      <c r="Y2" s="15"/>
      <c r="AB2" s="15"/>
      <c r="AC2" s="15"/>
      <c r="AD2" s="15"/>
      <c r="AG2" s="15"/>
      <c r="AH2" s="15"/>
      <c r="AI2" s="15"/>
    </row>
    <row r="3" spans="1:35" x14ac:dyDescent="0.25">
      <c r="A3" s="3">
        <f>COUNTA(F2:F217)</f>
        <v>2</v>
      </c>
      <c r="B3" s="14" t="s">
        <v>1891</v>
      </c>
      <c r="C3" s="13">
        <f>SUM(G:G)</f>
        <v>0</v>
      </c>
      <c r="E3" t="s">
        <v>947</v>
      </c>
      <c r="F3" t="s">
        <v>2087</v>
      </c>
      <c r="K3" s="11"/>
      <c r="P3" s="11"/>
      <c r="R3" s="15"/>
      <c r="S3" s="15"/>
      <c r="T3" s="15"/>
      <c r="W3" s="15"/>
      <c r="X3" s="15"/>
      <c r="Y3" s="15"/>
      <c r="AB3" s="15"/>
      <c r="AC3" s="15"/>
      <c r="AD3" s="15"/>
      <c r="AG3" s="15"/>
      <c r="AH3" s="15"/>
      <c r="AI3" s="15"/>
    </row>
    <row r="4" spans="1:35" x14ac:dyDescent="0.25">
      <c r="A4" s="3"/>
      <c r="B4" s="14" t="s">
        <v>1890</v>
      </c>
      <c r="C4" s="13">
        <f>SUM(H:H)</f>
        <v>0</v>
      </c>
      <c r="K4" s="11"/>
      <c r="O4" s="15"/>
      <c r="P4" s="11"/>
      <c r="R4" s="15"/>
      <c r="S4" s="15"/>
      <c r="T4" s="15"/>
      <c r="W4" s="15"/>
      <c r="X4" s="15"/>
      <c r="Y4" s="15"/>
      <c r="AB4" s="15"/>
      <c r="AC4" s="15"/>
      <c r="AD4" s="15"/>
      <c r="AG4" s="15"/>
      <c r="AH4" s="15"/>
      <c r="AI4" s="15"/>
    </row>
    <row r="5" spans="1:35" x14ac:dyDescent="0.25">
      <c r="A5" s="3"/>
      <c r="B5" s="14" t="s">
        <v>1889</v>
      </c>
      <c r="C5" s="13">
        <f>SUM(I:I)</f>
        <v>0</v>
      </c>
      <c r="N5" s="15"/>
      <c r="R5" s="15"/>
      <c r="S5" s="15"/>
      <c r="T5" s="15"/>
      <c r="W5" s="15"/>
      <c r="X5" s="15"/>
      <c r="Y5" s="15"/>
      <c r="AB5" s="15"/>
      <c r="AC5" s="15"/>
      <c r="AD5" s="15"/>
      <c r="AG5" s="15"/>
      <c r="AH5" s="15"/>
      <c r="AI5" s="15"/>
    </row>
    <row r="6" spans="1:35" x14ac:dyDescent="0.25">
      <c r="A6" s="3"/>
      <c r="B6" s="14" t="s">
        <v>4</v>
      </c>
      <c r="C6" s="13">
        <f>SUM(J:J)</f>
        <v>0</v>
      </c>
      <c r="R6" s="15"/>
      <c r="S6" s="15"/>
      <c r="T6" s="15"/>
      <c r="W6" s="18"/>
      <c r="X6" s="15"/>
      <c r="Y6" s="15"/>
      <c r="AB6" s="15"/>
      <c r="AC6" s="15"/>
      <c r="AD6" s="15"/>
      <c r="AG6" s="15"/>
      <c r="AH6" s="15"/>
      <c r="AI6" s="15"/>
    </row>
    <row r="7" spans="1:35" x14ac:dyDescent="0.25">
      <c r="A7" s="3"/>
      <c r="B7" s="14"/>
      <c r="O7" s="15"/>
      <c r="R7" s="15"/>
      <c r="S7" s="15"/>
      <c r="T7" s="15"/>
      <c r="W7" s="15"/>
      <c r="X7" s="15"/>
      <c r="Y7" s="15"/>
      <c r="AB7" s="15"/>
      <c r="AC7" s="15"/>
      <c r="AD7" s="15"/>
      <c r="AG7" s="15"/>
      <c r="AH7" s="15"/>
      <c r="AI7" s="15"/>
    </row>
    <row r="8" spans="1:35" x14ac:dyDescent="0.25">
      <c r="A8" s="3" t="s">
        <v>5</v>
      </c>
      <c r="B8" t="s">
        <v>3</v>
      </c>
      <c r="C8" s="13">
        <f>SUM(C9:C11)</f>
        <v>0</v>
      </c>
      <c r="F8" s="5"/>
      <c r="O8" s="15"/>
      <c r="R8" s="15"/>
      <c r="S8" s="15"/>
      <c r="T8" s="15"/>
      <c r="W8" s="15"/>
      <c r="X8" s="15"/>
      <c r="Y8" s="15"/>
      <c r="AB8" s="15"/>
      <c r="AC8" s="15"/>
      <c r="AD8" s="15"/>
      <c r="AG8" s="15"/>
      <c r="AH8" s="15"/>
      <c r="AI8" s="15"/>
    </row>
    <row r="9" spans="1:35" x14ac:dyDescent="0.25">
      <c r="A9" s="3">
        <f>COUNTA(L2:L173)</f>
        <v>0</v>
      </c>
      <c r="B9" s="14" t="s">
        <v>6</v>
      </c>
      <c r="C9" s="13">
        <f>SUM(M:M)</f>
        <v>0</v>
      </c>
      <c r="K9" s="11"/>
      <c r="P9" s="11"/>
      <c r="R9" s="15"/>
      <c r="S9" s="15"/>
      <c r="T9" s="15"/>
      <c r="W9" s="15"/>
      <c r="X9" s="15"/>
      <c r="Y9" s="15"/>
      <c r="AB9" s="15"/>
      <c r="AC9" s="15"/>
      <c r="AD9" s="15"/>
      <c r="AG9" s="15"/>
      <c r="AH9" s="15"/>
      <c r="AI9" s="15"/>
    </row>
    <row r="10" spans="1:35" x14ac:dyDescent="0.25">
      <c r="A10" s="3"/>
      <c r="B10" s="14" t="s">
        <v>4</v>
      </c>
      <c r="C10" s="13">
        <f>SUM(N:N)</f>
        <v>0</v>
      </c>
      <c r="K10" s="11"/>
      <c r="M10" s="15"/>
      <c r="P10" s="11"/>
      <c r="R10" s="15"/>
      <c r="S10" s="15"/>
      <c r="T10" s="15"/>
      <c r="W10" s="15"/>
      <c r="X10" s="18"/>
      <c r="Y10" s="15"/>
      <c r="AB10" s="15"/>
      <c r="AC10" s="15"/>
      <c r="AD10" s="15"/>
      <c r="AG10" s="15"/>
      <c r="AH10" s="15"/>
      <c r="AI10" s="15"/>
    </row>
    <row r="11" spans="1:35" x14ac:dyDescent="0.25">
      <c r="A11" s="3"/>
      <c r="B11" s="14" t="s">
        <v>7</v>
      </c>
      <c r="C11" s="13">
        <f>SUM(O:O)</f>
        <v>0</v>
      </c>
      <c r="K11" s="11"/>
      <c r="O11" s="15"/>
      <c r="P11" s="11"/>
      <c r="R11" s="15"/>
      <c r="S11" s="15"/>
      <c r="T11" s="15"/>
      <c r="W11" s="15"/>
      <c r="X11" s="15"/>
      <c r="Y11" s="15"/>
      <c r="AB11" s="15"/>
      <c r="AC11" s="15"/>
      <c r="AD11" s="15"/>
      <c r="AG11" s="15"/>
      <c r="AH11" s="15"/>
      <c r="AI11" s="15"/>
    </row>
    <row r="12" spans="1:35" x14ac:dyDescent="0.25">
      <c r="A12" s="3"/>
      <c r="R12" s="15"/>
      <c r="S12" s="15"/>
      <c r="T12" s="15"/>
      <c r="W12" s="15"/>
      <c r="X12" s="15"/>
      <c r="Y12" s="15"/>
      <c r="AB12" s="15"/>
      <c r="AC12" s="15"/>
      <c r="AD12" s="15"/>
      <c r="AG12" s="15"/>
      <c r="AH12" s="15"/>
      <c r="AI12" s="15"/>
    </row>
    <row r="13" spans="1:35" x14ac:dyDescent="0.25">
      <c r="A13" s="3" t="s">
        <v>8</v>
      </c>
      <c r="B13" t="s">
        <v>3</v>
      </c>
      <c r="C13" s="13">
        <f>SUM(C14:C16)</f>
        <v>0</v>
      </c>
      <c r="K13" s="11"/>
      <c r="P13" s="11"/>
      <c r="T13" s="15"/>
      <c r="W13" s="18"/>
      <c r="X13" s="15"/>
      <c r="Y13" s="15"/>
      <c r="AB13" s="15"/>
      <c r="AC13" s="15"/>
      <c r="AD13" s="15"/>
      <c r="AG13" s="15"/>
      <c r="AH13" s="15"/>
      <c r="AI13" s="15"/>
    </row>
    <row r="14" spans="1:35" x14ac:dyDescent="0.25">
      <c r="A14" s="3">
        <f>COUNTA(Q2:Q173)</f>
        <v>0</v>
      </c>
      <c r="B14" s="14" t="s">
        <v>9</v>
      </c>
      <c r="C14" s="13">
        <f>SUM(R:R)</f>
        <v>0</v>
      </c>
      <c r="K14" s="11"/>
      <c r="O14" s="15"/>
      <c r="P14" s="11"/>
      <c r="R14" s="15"/>
      <c r="S14" s="15"/>
      <c r="T14" s="15"/>
      <c r="W14" s="15"/>
      <c r="X14" s="15"/>
      <c r="Y14" s="15"/>
      <c r="AB14" s="15"/>
      <c r="AC14" s="15"/>
      <c r="AD14" s="15"/>
      <c r="AG14" s="15"/>
      <c r="AH14" s="15"/>
      <c r="AI14" s="15"/>
    </row>
    <row r="15" spans="1:35" x14ac:dyDescent="0.25">
      <c r="A15" s="3"/>
      <c r="B15" s="14" t="s">
        <v>10</v>
      </c>
      <c r="C15" s="13">
        <f>SUM(S:S)</f>
        <v>0</v>
      </c>
      <c r="K15" s="11"/>
      <c r="P15" s="11"/>
      <c r="R15" s="15"/>
      <c r="S15" s="15"/>
      <c r="T15" s="15"/>
      <c r="W15" s="15"/>
      <c r="X15" s="15"/>
      <c r="Y15" s="15"/>
      <c r="AG15" s="15"/>
      <c r="AH15" s="15"/>
      <c r="AI15" s="15"/>
    </row>
    <row r="16" spans="1:35" x14ac:dyDescent="0.25">
      <c r="A16" s="3"/>
      <c r="B16" s="14" t="s">
        <v>11</v>
      </c>
      <c r="C16" s="13">
        <f>SUM(T:T)</f>
        <v>0</v>
      </c>
      <c r="K16" s="11"/>
      <c r="P16" s="11"/>
      <c r="R16" s="15"/>
      <c r="S16" s="15"/>
      <c r="T16" s="15"/>
      <c r="W16" s="15"/>
      <c r="X16" s="15"/>
      <c r="Y16" s="15"/>
      <c r="AG16" s="15"/>
      <c r="AH16" s="15"/>
      <c r="AI16" s="15"/>
    </row>
    <row r="17" spans="1:35" x14ac:dyDescent="0.25">
      <c r="A17" s="3"/>
      <c r="K17" s="11"/>
      <c r="P17" s="11"/>
      <c r="T17" s="15"/>
      <c r="W17" s="15"/>
      <c r="X17" s="15"/>
      <c r="Y17" s="15"/>
      <c r="AG17" s="15"/>
      <c r="AH17" s="15"/>
      <c r="AI17" s="15"/>
    </row>
    <row r="18" spans="1:35" x14ac:dyDescent="0.25">
      <c r="A18" s="3" t="s">
        <v>12</v>
      </c>
      <c r="B18" t="s">
        <v>3</v>
      </c>
      <c r="C18" s="13">
        <f>SUM(C19:C21)</f>
        <v>0</v>
      </c>
      <c r="M18" s="15"/>
      <c r="O18" s="15"/>
      <c r="R18" s="15"/>
      <c r="S18" s="15"/>
      <c r="T18" s="15"/>
      <c r="W18" s="15"/>
      <c r="X18" s="15"/>
      <c r="Y18" s="15"/>
      <c r="AG18" s="15"/>
      <c r="AH18" s="15"/>
      <c r="AI18" s="15"/>
    </row>
    <row r="19" spans="1:35" x14ac:dyDescent="0.25">
      <c r="A19" s="3">
        <f>COUNTA(V2:V173)</f>
        <v>0</v>
      </c>
      <c r="B19" s="14" t="s">
        <v>9</v>
      </c>
      <c r="C19" s="13">
        <f>SUM(W1:W9973)</f>
        <v>0</v>
      </c>
      <c r="N19" s="15"/>
      <c r="R19" s="15"/>
      <c r="S19" s="15"/>
      <c r="T19" s="15"/>
      <c r="W19" s="15"/>
      <c r="X19" s="15"/>
      <c r="Y19" s="15"/>
      <c r="AG19" s="15"/>
      <c r="AH19" s="15"/>
      <c r="AI19" s="15"/>
    </row>
    <row r="20" spans="1:35" x14ac:dyDescent="0.25">
      <c r="A20" s="3"/>
      <c r="B20" s="14" t="s">
        <v>10</v>
      </c>
      <c r="C20" s="13">
        <f>SUM(X1:X9978)</f>
        <v>0</v>
      </c>
      <c r="K20" s="11"/>
      <c r="P20" s="11"/>
      <c r="R20" s="15"/>
      <c r="S20" s="15"/>
      <c r="T20" s="15"/>
      <c r="W20" s="15"/>
      <c r="X20" s="15"/>
      <c r="Y20" s="15"/>
      <c r="AG20" s="15"/>
      <c r="AH20" s="15"/>
      <c r="AI20" s="15"/>
    </row>
    <row r="21" spans="1:35" x14ac:dyDescent="0.25">
      <c r="A21" s="3"/>
      <c r="B21" s="14" t="s">
        <v>11</v>
      </c>
      <c r="C21" s="13">
        <f>SUM(Y:Y)</f>
        <v>0</v>
      </c>
      <c r="R21" s="15"/>
      <c r="S21" s="15"/>
      <c r="T21" s="15"/>
      <c r="W21" s="15"/>
      <c r="X21" s="15"/>
      <c r="Y21" s="15"/>
      <c r="AG21" s="15"/>
      <c r="AH21" s="15"/>
      <c r="AI21" s="15"/>
    </row>
    <row r="22" spans="1:35" ht="15" customHeight="1" x14ac:dyDescent="0.25">
      <c r="A22" s="3"/>
      <c r="O22" s="15"/>
      <c r="R22" s="15"/>
      <c r="S22" s="15"/>
      <c r="T22" s="15"/>
      <c r="W22" s="15"/>
      <c r="X22" s="15"/>
      <c r="Y22" s="15"/>
      <c r="AG22" s="18"/>
      <c r="AH22" s="15"/>
      <c r="AI22" s="15"/>
    </row>
    <row r="23" spans="1:35" ht="15" customHeight="1" x14ac:dyDescent="0.25">
      <c r="A23" s="3" t="s">
        <v>13</v>
      </c>
      <c r="B23" t="s">
        <v>3</v>
      </c>
      <c r="C23" s="13">
        <f>SUM(C24:C26)</f>
        <v>0</v>
      </c>
      <c r="O23" s="15"/>
      <c r="R23" s="15"/>
      <c r="S23" s="15"/>
      <c r="T23" s="15"/>
      <c r="W23" s="15"/>
      <c r="X23" s="15"/>
      <c r="Y23" s="15"/>
      <c r="AG23" s="15"/>
      <c r="AH23" s="15"/>
      <c r="AI23" s="15"/>
    </row>
    <row r="24" spans="1:35" x14ac:dyDescent="0.25">
      <c r="A24" s="3">
        <f>COUNTA(V7:V178)</f>
        <v>0</v>
      </c>
      <c r="B24" s="14" t="s">
        <v>9</v>
      </c>
      <c r="C24" s="13">
        <f>SUM(AB:AB)</f>
        <v>0</v>
      </c>
      <c r="R24" s="15"/>
      <c r="S24" s="15"/>
      <c r="T24" s="15"/>
      <c r="W24" s="15"/>
      <c r="X24" s="15"/>
      <c r="Y24" s="15"/>
      <c r="AG24" s="15"/>
      <c r="AH24" s="15"/>
      <c r="AI24" s="15"/>
    </row>
    <row r="25" spans="1:35" x14ac:dyDescent="0.25">
      <c r="A25" s="3"/>
      <c r="B25" s="14" t="s">
        <v>10</v>
      </c>
      <c r="C25" s="13">
        <f>SUM(AC:AC)</f>
        <v>0</v>
      </c>
      <c r="K25" s="11"/>
      <c r="M25" s="15"/>
      <c r="P25" s="11"/>
      <c r="R25" s="15"/>
      <c r="T25" s="15"/>
      <c r="W25" s="15"/>
      <c r="X25" s="15"/>
      <c r="Y25" s="15"/>
      <c r="AG25" s="15"/>
      <c r="AH25" s="15"/>
      <c r="AI25" s="15"/>
    </row>
    <row r="26" spans="1:35" x14ac:dyDescent="0.25">
      <c r="A26" s="3"/>
      <c r="B26" s="14" t="s">
        <v>11</v>
      </c>
      <c r="C26" s="13">
        <f>SUM(AD:AD)</f>
        <v>0</v>
      </c>
      <c r="R26" s="15"/>
      <c r="S26" s="15"/>
      <c r="T26" s="15"/>
      <c r="W26" s="15"/>
      <c r="X26" s="15"/>
      <c r="Y26" s="15"/>
      <c r="AG26" s="15"/>
      <c r="AH26" s="15"/>
      <c r="AI26" s="15"/>
    </row>
    <row r="27" spans="1:35" x14ac:dyDescent="0.25">
      <c r="A27" s="3"/>
      <c r="M27" s="15"/>
      <c r="R27" s="15"/>
      <c r="S27" s="15"/>
      <c r="T27" s="15"/>
      <c r="W27" s="15"/>
      <c r="X27" s="15"/>
      <c r="Y27" s="15"/>
      <c r="AG27" s="15"/>
      <c r="AH27" s="15"/>
      <c r="AI27" s="15"/>
    </row>
    <row r="28" spans="1:35" x14ac:dyDescent="0.25">
      <c r="A28" s="3" t="s">
        <v>14</v>
      </c>
      <c r="B28" t="s">
        <v>3</v>
      </c>
      <c r="C28" s="13">
        <f>SUM(C29:C31)</f>
        <v>0</v>
      </c>
      <c r="M28" s="15"/>
      <c r="R28" s="15"/>
      <c r="S28" s="15"/>
      <c r="T28" s="15"/>
      <c r="W28" s="15"/>
      <c r="X28" s="15"/>
      <c r="Y28" s="15"/>
      <c r="AG28" s="15"/>
      <c r="AH28" s="15"/>
      <c r="AI28" s="15"/>
    </row>
    <row r="29" spans="1:35" x14ac:dyDescent="0.25">
      <c r="A29" s="3">
        <f>COUNTA(V11:V183)</f>
        <v>0</v>
      </c>
      <c r="B29" s="14" t="s">
        <v>9</v>
      </c>
      <c r="C29" s="13">
        <f>SUM(AG:AG)</f>
        <v>0</v>
      </c>
      <c r="R29" s="15"/>
      <c r="S29" s="15"/>
      <c r="T29" s="15"/>
      <c r="W29" s="15"/>
      <c r="X29" s="15"/>
      <c r="Y29" s="15"/>
      <c r="AG29" s="15"/>
      <c r="AH29" s="15"/>
      <c r="AI29" s="15"/>
    </row>
    <row r="30" spans="1:35" x14ac:dyDescent="0.25">
      <c r="B30" s="14" t="s">
        <v>10</v>
      </c>
      <c r="C30" s="13">
        <f>SUM(AH:AH)</f>
        <v>0</v>
      </c>
      <c r="M30" s="15"/>
      <c r="R30" s="15"/>
      <c r="S30" s="15"/>
      <c r="T30" s="15"/>
      <c r="W30" s="18"/>
      <c r="X30" s="15"/>
      <c r="Y30" s="15"/>
      <c r="AG30" s="15"/>
      <c r="AH30" s="15"/>
      <c r="AI30" s="15"/>
    </row>
    <row r="31" spans="1:35" x14ac:dyDescent="0.25">
      <c r="B31" s="14" t="s">
        <v>11</v>
      </c>
      <c r="C31" s="13">
        <f>SUM(AI:AI)</f>
        <v>0</v>
      </c>
      <c r="K31" s="11"/>
      <c r="N31" s="15"/>
      <c r="P31" s="11"/>
      <c r="R31" s="15"/>
      <c r="S31" s="15"/>
      <c r="T31" s="15"/>
      <c r="W31" s="15"/>
      <c r="X31" s="15"/>
      <c r="Y31" s="15"/>
      <c r="AG31" s="15"/>
      <c r="AH31" s="15"/>
      <c r="AI31" s="15"/>
    </row>
    <row r="32" spans="1:35" x14ac:dyDescent="0.25">
      <c r="K32" s="11"/>
      <c r="P32" s="11"/>
      <c r="R32" s="15"/>
      <c r="S32" s="15"/>
      <c r="T32" s="15"/>
      <c r="W32" s="15"/>
      <c r="X32" s="15"/>
      <c r="Y32" s="15"/>
      <c r="AG32" s="15"/>
      <c r="AH32" s="15"/>
      <c r="AI32" s="15"/>
    </row>
    <row r="33" spans="11:35" x14ac:dyDescent="0.25">
      <c r="K33" s="11"/>
      <c r="P33" s="11"/>
      <c r="R33" s="15"/>
      <c r="S33" s="15"/>
      <c r="T33" s="15"/>
      <c r="W33" s="15"/>
      <c r="X33" s="15"/>
      <c r="Y33" s="15"/>
      <c r="AG33" s="15"/>
      <c r="AH33" s="15"/>
      <c r="AI33" s="15"/>
    </row>
    <row r="34" spans="11:35" x14ac:dyDescent="0.25">
      <c r="K34" s="11"/>
      <c r="M34" s="15"/>
      <c r="O34" s="15"/>
      <c r="P34" s="11"/>
      <c r="R34" s="15"/>
      <c r="T34" s="15"/>
      <c r="W34" s="15"/>
      <c r="X34" s="15"/>
      <c r="Y34" s="15"/>
      <c r="AG34" s="15"/>
      <c r="AH34" s="15"/>
      <c r="AI34" s="15"/>
    </row>
    <row r="35" spans="11:35" x14ac:dyDescent="0.25">
      <c r="N35" s="15"/>
      <c r="R35" s="15"/>
      <c r="S35" s="15"/>
      <c r="T35" s="15"/>
      <c r="W35" s="15"/>
      <c r="X35" s="15"/>
      <c r="Y35" s="15"/>
      <c r="AG35" s="15"/>
      <c r="AH35" s="15"/>
      <c r="AI35" s="15"/>
    </row>
    <row r="36" spans="11:35" x14ac:dyDescent="0.25">
      <c r="M36" s="15"/>
      <c r="R36" s="15"/>
      <c r="S36" s="15"/>
      <c r="T36" s="15"/>
      <c r="W36" s="15"/>
      <c r="X36" s="15"/>
      <c r="Y36" s="15"/>
      <c r="AG36" s="15"/>
      <c r="AH36" s="15"/>
      <c r="AI36" s="15"/>
    </row>
    <row r="37" spans="11:35" x14ac:dyDescent="0.25">
      <c r="K37" s="11"/>
      <c r="O37" s="15"/>
      <c r="P37" s="11"/>
      <c r="S37" s="15"/>
      <c r="T37" s="15"/>
      <c r="W37" s="15"/>
      <c r="X37" s="15"/>
      <c r="Y37" s="15"/>
      <c r="AG37" s="15"/>
      <c r="AH37" s="15"/>
      <c r="AI37" s="15"/>
    </row>
    <row r="38" spans="11:35" x14ac:dyDescent="0.25">
      <c r="K38" s="11"/>
      <c r="P38" s="11"/>
      <c r="R38" s="15"/>
      <c r="S38" s="15"/>
      <c r="T38" s="15"/>
      <c r="W38" s="15"/>
      <c r="X38" s="15"/>
      <c r="Y38" s="15"/>
      <c r="AG38" s="15"/>
      <c r="AH38" s="15"/>
      <c r="AI38" s="15"/>
    </row>
    <row r="39" spans="11:35" x14ac:dyDescent="0.25">
      <c r="K39" s="11"/>
      <c r="P39" s="11"/>
      <c r="T39" s="15"/>
      <c r="W39" s="15"/>
      <c r="X39" s="15"/>
      <c r="Y39" s="15"/>
      <c r="AG39" s="15"/>
      <c r="AH39" s="15"/>
      <c r="AI39" s="15"/>
    </row>
    <row r="40" spans="11:35" x14ac:dyDescent="0.25">
      <c r="K40" s="11"/>
      <c r="N40" s="15"/>
      <c r="P40" s="11"/>
      <c r="T40" s="15"/>
      <c r="W40" s="15"/>
      <c r="X40" s="15"/>
      <c r="Y40" s="15"/>
      <c r="AG40" s="15"/>
      <c r="AH40" s="15"/>
      <c r="AI40" s="15"/>
    </row>
    <row r="41" spans="11:35" x14ac:dyDescent="0.25">
      <c r="K41" s="11"/>
      <c r="P41" s="11"/>
      <c r="R41" s="15"/>
      <c r="S41" s="15"/>
      <c r="T41" s="15"/>
      <c r="W41" s="18"/>
      <c r="X41" s="15"/>
      <c r="Y41" s="15"/>
      <c r="AG41" s="15"/>
      <c r="AH41" s="15"/>
      <c r="AI41" s="15"/>
    </row>
    <row r="42" spans="11:35" x14ac:dyDescent="0.25">
      <c r="K42" s="11"/>
      <c r="P42" s="11"/>
      <c r="T42" s="15"/>
      <c r="W42" s="15"/>
      <c r="X42" s="15"/>
      <c r="Y42" s="15"/>
      <c r="AG42" s="18"/>
      <c r="AH42" s="15"/>
      <c r="AI42" s="15"/>
    </row>
    <row r="43" spans="11:35" x14ac:dyDescent="0.25">
      <c r="M43" s="15"/>
      <c r="O43" s="15"/>
      <c r="R43" s="15"/>
      <c r="S43" s="15"/>
      <c r="T43" s="15"/>
      <c r="V43" s="17"/>
      <c r="W43" s="15"/>
      <c r="X43" s="15"/>
      <c r="Y43" s="15"/>
      <c r="AH43" s="15"/>
      <c r="AI43" s="15"/>
    </row>
    <row r="44" spans="11:35" x14ac:dyDescent="0.25">
      <c r="K44" s="11"/>
      <c r="N44" s="15"/>
      <c r="P44" s="11"/>
      <c r="R44" s="15"/>
      <c r="S44" s="15"/>
      <c r="T44" s="15"/>
      <c r="W44" s="15"/>
      <c r="X44" s="15"/>
      <c r="Y44" s="15"/>
      <c r="AH44" s="15"/>
      <c r="AI44" s="15"/>
    </row>
    <row r="45" spans="11:35" x14ac:dyDescent="0.25">
      <c r="K45" s="11"/>
      <c r="P45" s="11"/>
      <c r="R45" s="15"/>
      <c r="S45" s="15"/>
      <c r="T45" s="15"/>
    </row>
    <row r="46" spans="11:35" x14ac:dyDescent="0.25">
      <c r="K46" s="11"/>
      <c r="P46" s="11"/>
      <c r="Q46" s="10"/>
      <c r="R46" s="15"/>
      <c r="S46" s="15"/>
      <c r="T46" s="15"/>
      <c r="V46" s="17"/>
    </row>
    <row r="47" spans="11:35" x14ac:dyDescent="0.25">
      <c r="K47" s="11"/>
      <c r="O47" s="15"/>
      <c r="P47" s="11"/>
      <c r="Q47" s="10"/>
      <c r="R47" s="15"/>
      <c r="S47" s="15"/>
      <c r="T47" s="15"/>
      <c r="V47" s="17"/>
    </row>
    <row r="48" spans="11:35" x14ac:dyDescent="0.25">
      <c r="K48" s="11"/>
      <c r="P48" s="11"/>
      <c r="R48" s="15"/>
      <c r="T48" s="15"/>
    </row>
    <row r="49" spans="6:22" x14ac:dyDescent="0.25">
      <c r="F49" s="5"/>
      <c r="Q49" s="10"/>
      <c r="R49" s="15"/>
      <c r="S49" s="15"/>
      <c r="T49" s="15"/>
    </row>
    <row r="50" spans="6:22" x14ac:dyDescent="0.25">
      <c r="R50" s="15"/>
      <c r="S50" s="15"/>
      <c r="T50" s="15"/>
    </row>
    <row r="51" spans="6:22" x14ac:dyDescent="0.25">
      <c r="K51" s="11"/>
      <c r="P51" s="11"/>
      <c r="Q51" s="10"/>
      <c r="R51" s="15"/>
      <c r="S51" s="15"/>
      <c r="T51" s="15"/>
    </row>
    <row r="52" spans="6:22" x14ac:dyDescent="0.25">
      <c r="K52" s="11"/>
      <c r="P52" s="11"/>
      <c r="R52" s="15"/>
      <c r="S52" s="15"/>
      <c r="T52" s="15"/>
    </row>
    <row r="53" spans="6:22" x14ac:dyDescent="0.25">
      <c r="K53" s="11"/>
      <c r="P53" s="11"/>
      <c r="Q53" s="10"/>
      <c r="R53" s="15"/>
      <c r="S53" s="15"/>
      <c r="T53" s="15"/>
    </row>
    <row r="54" spans="6:22" x14ac:dyDescent="0.25">
      <c r="K54" s="11"/>
      <c r="P54" s="11"/>
      <c r="R54" s="15"/>
      <c r="S54" s="15"/>
      <c r="T54" s="15"/>
      <c r="V54" s="17"/>
    </row>
    <row r="55" spans="6:22" x14ac:dyDescent="0.25">
      <c r="K55" s="11"/>
      <c r="P55" s="11"/>
      <c r="R55" s="15"/>
      <c r="S55" s="15"/>
      <c r="T55" s="15"/>
      <c r="V55" s="17"/>
    </row>
    <row r="56" spans="6:22" x14ac:dyDescent="0.25">
      <c r="K56" s="11"/>
      <c r="P56" s="11"/>
      <c r="R56" s="15"/>
      <c r="S56" s="15"/>
      <c r="T56" s="15"/>
    </row>
    <row r="57" spans="6:22" x14ac:dyDescent="0.25">
      <c r="K57" s="11"/>
      <c r="P57" s="11"/>
    </row>
    <row r="58" spans="6:22" x14ac:dyDescent="0.25">
      <c r="K58" s="11"/>
      <c r="P58" s="11"/>
    </row>
    <row r="59" spans="6:22" x14ac:dyDescent="0.25">
      <c r="K59" s="11"/>
      <c r="P59" s="11"/>
    </row>
    <row r="60" spans="6:22" x14ac:dyDescent="0.25">
      <c r="K60" s="11"/>
      <c r="P60" s="11"/>
    </row>
    <row r="61" spans="6:22" x14ac:dyDescent="0.25">
      <c r="K61" s="11"/>
      <c r="P61" s="11"/>
    </row>
    <row r="62" spans="6:22" x14ac:dyDescent="0.25">
      <c r="K62" s="11"/>
      <c r="P62" s="11"/>
    </row>
    <row r="63" spans="6:22" x14ac:dyDescent="0.25">
      <c r="K63" s="11"/>
      <c r="P63" s="11"/>
    </row>
    <row r="64" spans="6:22" x14ac:dyDescent="0.25">
      <c r="K64" s="11"/>
      <c r="P64" s="11"/>
    </row>
    <row r="65" spans="6:16" x14ac:dyDescent="0.25">
      <c r="K65" s="11"/>
      <c r="P65" s="11"/>
    </row>
    <row r="66" spans="6:16" x14ac:dyDescent="0.25">
      <c r="K66" s="11"/>
      <c r="P66" s="11"/>
    </row>
    <row r="67" spans="6:16" x14ac:dyDescent="0.25">
      <c r="F67" s="5"/>
      <c r="K67" s="11"/>
      <c r="P67" s="11"/>
    </row>
    <row r="68" spans="6:16" x14ac:dyDescent="0.25">
      <c r="K68" s="11"/>
      <c r="P68" s="11"/>
    </row>
    <row r="69" spans="6:16" x14ac:dyDescent="0.25">
      <c r="K69" s="11"/>
      <c r="P69" s="11"/>
    </row>
    <row r="70" spans="6:16" x14ac:dyDescent="0.25">
      <c r="K70" s="11"/>
      <c r="P70" s="11"/>
    </row>
    <row r="71" spans="6:16" x14ac:dyDescent="0.25">
      <c r="K71" s="11"/>
      <c r="P71" s="11"/>
    </row>
    <row r="72" spans="6:16" x14ac:dyDescent="0.25">
      <c r="K72" s="11"/>
      <c r="P72" s="11"/>
    </row>
    <row r="73" spans="6:16" x14ac:dyDescent="0.25">
      <c r="K73" s="11"/>
      <c r="P73" s="11"/>
    </row>
    <row r="92" spans="7:10" x14ac:dyDescent="0.25">
      <c r="G92" s="20"/>
      <c r="H92" s="20"/>
      <c r="I92" s="20"/>
      <c r="J92" s="20"/>
    </row>
    <row r="93" spans="7:10" x14ac:dyDescent="0.25">
      <c r="G93" s="20"/>
      <c r="H93" s="20"/>
      <c r="I93" s="20"/>
      <c r="J93" s="20"/>
    </row>
    <row r="94" spans="7:10" x14ac:dyDescent="0.25">
      <c r="G94" s="20"/>
      <c r="H94" s="20"/>
      <c r="I94" s="20"/>
      <c r="J94" s="20"/>
    </row>
    <row r="95" spans="7:10" x14ac:dyDescent="0.25">
      <c r="G95" s="20"/>
      <c r="H95" s="20"/>
      <c r="I95" s="20"/>
      <c r="J95" s="20"/>
    </row>
    <row r="96" spans="7:10" x14ac:dyDescent="0.25">
      <c r="G96" s="20"/>
      <c r="H96" s="20"/>
      <c r="I96" s="20"/>
      <c r="J96" s="20"/>
    </row>
    <row r="97" spans="7:10" x14ac:dyDescent="0.25">
      <c r="G97" s="20"/>
      <c r="H97" s="20"/>
      <c r="I97" s="20"/>
      <c r="J97" s="20"/>
    </row>
    <row r="98" spans="7:10" x14ac:dyDescent="0.25">
      <c r="G98" s="20"/>
      <c r="H98" s="20"/>
      <c r="I98" s="20"/>
      <c r="J98" s="20"/>
    </row>
    <row r="99" spans="7:10" x14ac:dyDescent="0.25">
      <c r="G99" s="20"/>
      <c r="H99" s="20"/>
      <c r="I99" s="20"/>
      <c r="J99" s="20"/>
    </row>
    <row r="100" spans="7:10" x14ac:dyDescent="0.25">
      <c r="G100" s="20"/>
      <c r="H100" s="20"/>
      <c r="I100" s="20"/>
      <c r="J100" s="20"/>
    </row>
    <row r="101" spans="7:10" x14ac:dyDescent="0.25">
      <c r="G101" s="20"/>
      <c r="H101" s="20"/>
      <c r="I101" s="20"/>
      <c r="J101" s="20"/>
    </row>
    <row r="102" spans="7:10" x14ac:dyDescent="0.25">
      <c r="G102" s="20"/>
      <c r="H102" s="20"/>
      <c r="I102" s="20"/>
      <c r="J102" s="20"/>
    </row>
    <row r="103" spans="7:10" x14ac:dyDescent="0.25">
      <c r="G103" s="20"/>
      <c r="H103" s="20"/>
      <c r="I103" s="20"/>
      <c r="J103" s="20"/>
    </row>
    <row r="104" spans="7:10" x14ac:dyDescent="0.25">
      <c r="G104" s="20"/>
      <c r="H104" s="20"/>
      <c r="I104" s="20"/>
      <c r="J104" s="20"/>
    </row>
    <row r="250" spans="7:10" x14ac:dyDescent="0.25">
      <c r="G250" s="20"/>
      <c r="H250" s="20"/>
      <c r="I250" s="20"/>
      <c r="J250" s="20"/>
    </row>
    <row r="251" spans="7:10" x14ac:dyDescent="0.25">
      <c r="G251" s="20"/>
      <c r="H251" s="20"/>
      <c r="I251" s="20"/>
      <c r="J251" s="20"/>
    </row>
    <row r="252" spans="7:10" x14ac:dyDescent="0.25">
      <c r="G252" s="20"/>
      <c r="H252" s="20"/>
      <c r="I252" s="20"/>
      <c r="J252" s="20"/>
    </row>
    <row r="253" spans="7:10" x14ac:dyDescent="0.25">
      <c r="G253" s="20"/>
      <c r="H253" s="20"/>
      <c r="I253" s="20"/>
      <c r="J253" s="20"/>
    </row>
    <row r="254" spans="7:10" x14ac:dyDescent="0.25">
      <c r="G254" s="20"/>
      <c r="H254" s="20"/>
      <c r="I254" s="20"/>
      <c r="J254" s="20"/>
    </row>
    <row r="255" spans="7:10" x14ac:dyDescent="0.25">
      <c r="G255" s="20"/>
      <c r="H255" s="20"/>
      <c r="I255" s="20"/>
      <c r="J255" s="20"/>
    </row>
    <row r="256" spans="7:10" x14ac:dyDescent="0.25">
      <c r="G256" s="20"/>
      <c r="H256" s="20"/>
      <c r="I256" s="20"/>
      <c r="J256" s="20"/>
    </row>
    <row r="257" spans="7:10" x14ac:dyDescent="0.25">
      <c r="G257" s="20"/>
      <c r="H257" s="20"/>
      <c r="I257" s="20"/>
      <c r="J257" s="20"/>
    </row>
    <row r="258" spans="7:10" x14ac:dyDescent="0.25">
      <c r="G258" s="20"/>
      <c r="H258" s="20"/>
      <c r="I258" s="20"/>
      <c r="J258" s="20"/>
    </row>
    <row r="259" spans="7:10" x14ac:dyDescent="0.25">
      <c r="G259" s="20"/>
      <c r="H259" s="20"/>
      <c r="I259" s="20"/>
      <c r="J259" s="20"/>
    </row>
    <row r="260" spans="7:10" x14ac:dyDescent="0.25">
      <c r="H260" s="20"/>
      <c r="I260" s="20"/>
      <c r="J260" s="20"/>
    </row>
    <row r="261" spans="7:10" x14ac:dyDescent="0.25">
      <c r="H261" s="20"/>
      <c r="I261" s="20"/>
      <c r="J261" s="20"/>
    </row>
    <row r="262" spans="7:10" x14ac:dyDescent="0.25">
      <c r="G262" s="20"/>
      <c r="H262" s="20"/>
      <c r="I262" s="20"/>
      <c r="J262" s="20"/>
    </row>
  </sheetData>
  <autoFilter ref="E1:J25" xr:uid="{ECA3C9C2-80EC-490F-B169-A635168C3A31}">
    <sortState xmlns:xlrd2="http://schemas.microsoft.com/office/spreadsheetml/2017/richdata2" ref="E2:J42">
      <sortCondition ref="E1:E25"/>
    </sortState>
  </autoFilter>
  <sortState xmlns:xlrd2="http://schemas.microsoft.com/office/spreadsheetml/2017/richdata2" ref="F4:F66">
    <sortCondition ref="F3:F66"/>
  </sortState>
  <phoneticPr fontId="6" type="noConversion"/>
  <conditionalFormatting sqref="L77:L78 L80 L53:L54 L50 L36:L48">
    <cfRule type="duplicateValues" dxfId="0" priority="24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5D4F7-4D99-4EC2-9D24-FABB22B75A9C}">
  <dimension ref="A1:S27"/>
  <sheetViews>
    <sheetView workbookViewId="0">
      <selection activeCell="I28" sqref="I28"/>
    </sheetView>
  </sheetViews>
  <sheetFormatPr defaultRowHeight="15" x14ac:dyDescent="0.25"/>
  <cols>
    <col min="1" max="1" width="10.7109375" bestFit="1" customWidth="1"/>
    <col min="2" max="9" width="11.28515625" customWidth="1"/>
    <col min="10" max="10" width="11" style="3" customWidth="1"/>
    <col min="11" max="11" width="12.140625" style="3" bestFit="1" customWidth="1"/>
    <col min="13" max="13" width="12.140625" bestFit="1" customWidth="1"/>
    <col min="15" max="15" width="11.5703125" style="22" bestFit="1" customWidth="1"/>
    <col min="19" max="19" width="11.5703125" style="3" bestFit="1" customWidth="1"/>
  </cols>
  <sheetData>
    <row r="1" spans="1:19" s="3" customFormat="1" x14ac:dyDescent="0.25">
      <c r="A1" s="3" t="s">
        <v>1669</v>
      </c>
      <c r="B1" s="3" t="s">
        <v>1670</v>
      </c>
      <c r="C1" s="3" t="s">
        <v>1671</v>
      </c>
      <c r="D1" s="3" t="s">
        <v>1672</v>
      </c>
      <c r="E1" s="3" t="s">
        <v>1673</v>
      </c>
      <c r="F1" s="3" t="s">
        <v>8</v>
      </c>
      <c r="G1" s="3" t="s">
        <v>1674</v>
      </c>
      <c r="H1" s="3" t="s">
        <v>12</v>
      </c>
      <c r="I1" s="3" t="s">
        <v>1675</v>
      </c>
      <c r="J1" s="26" t="s">
        <v>1676</v>
      </c>
      <c r="K1" s="26"/>
      <c r="M1" s="3" t="s">
        <v>1</v>
      </c>
      <c r="N1" s="3" t="s">
        <v>1686</v>
      </c>
      <c r="O1" s="22" t="s">
        <v>1687</v>
      </c>
      <c r="Q1" s="3" t="s">
        <v>1688</v>
      </c>
      <c r="R1" s="3" t="s">
        <v>1686</v>
      </c>
      <c r="S1" s="3" t="s">
        <v>1687</v>
      </c>
    </row>
    <row r="2" spans="1:19" x14ac:dyDescent="0.25">
      <c r="A2" s="21">
        <v>45587</v>
      </c>
      <c r="B2" t="s">
        <v>2</v>
      </c>
      <c r="C2" t="s">
        <v>17</v>
      </c>
      <c r="D2" t="s">
        <v>1677</v>
      </c>
      <c r="E2" t="s">
        <v>1678</v>
      </c>
      <c r="F2" t="s">
        <v>1679</v>
      </c>
      <c r="G2" t="s">
        <v>1682</v>
      </c>
      <c r="H2" t="s">
        <v>1680</v>
      </c>
      <c r="I2" t="s">
        <v>1681</v>
      </c>
      <c r="J2" s="3" t="s">
        <v>2</v>
      </c>
      <c r="K2" s="3" t="s">
        <v>17</v>
      </c>
      <c r="M2" t="s">
        <v>32</v>
      </c>
      <c r="N2" s="3">
        <f t="shared" ref="N2:N26" si="0">COUNTIF(C:C,M2)+COUNTIF(E:E,M2)+COUNTIF(G:G,M2)+COUNTIF(I:I,M2)</f>
        <v>2</v>
      </c>
      <c r="O2" s="22" t="str">
        <f t="shared" ref="O2:O26" si="1">IF(N2&gt;=10,(COUNTIF(K:K,M2)/N2),"Insuficiente")</f>
        <v>Insuficiente</v>
      </c>
      <c r="Q2" t="s">
        <v>2</v>
      </c>
      <c r="R2" s="3">
        <f>COUNTIF(B:B,Q2)+COUNTIF(D:D,Q2)+COUNTIF(F:F,Q2)+COUNTIF(H:H,Q2)</f>
        <v>11</v>
      </c>
      <c r="S2" s="22">
        <f>IF(R2&gt;=10, (COUNTIF(J:J,Q2)/R2), "Insuficiente")</f>
        <v>0.36363636363636365</v>
      </c>
    </row>
    <row r="3" spans="1:19" x14ac:dyDescent="0.25">
      <c r="A3" s="21">
        <v>45594</v>
      </c>
      <c r="B3" t="s">
        <v>2</v>
      </c>
      <c r="C3" t="s">
        <v>33</v>
      </c>
      <c r="D3" t="s">
        <v>1677</v>
      </c>
      <c r="E3" t="s">
        <v>1678</v>
      </c>
      <c r="F3" t="s">
        <v>1679</v>
      </c>
      <c r="G3" t="s">
        <v>1682</v>
      </c>
      <c r="H3" t="s">
        <v>1680</v>
      </c>
      <c r="I3" t="s">
        <v>1683</v>
      </c>
      <c r="J3" s="3" t="s">
        <v>1677</v>
      </c>
      <c r="K3" s="3" t="s">
        <v>1678</v>
      </c>
      <c r="M3" t="s">
        <v>24</v>
      </c>
      <c r="N3" s="3">
        <f t="shared" si="0"/>
        <v>1</v>
      </c>
      <c r="O3" s="22" t="str">
        <f t="shared" si="1"/>
        <v>Insuficiente</v>
      </c>
      <c r="Q3" t="s">
        <v>1677</v>
      </c>
      <c r="R3" s="3">
        <f t="shared" ref="R3:R9" si="2">COUNTIF(B:B,Q3)+COUNTIF(D:D,Q3)+COUNTIF(F:F,Q3)+COUNTIF(H:H,Q3)</f>
        <v>11</v>
      </c>
      <c r="S3" s="22">
        <f t="shared" ref="S3:S9" si="3">IF(R3&gt;=10, (COUNTIF(J:J,Q3)/R3), "Insuficiente")</f>
        <v>0.27272727272727271</v>
      </c>
    </row>
    <row r="4" spans="1:19" x14ac:dyDescent="0.25">
      <c r="A4" s="21">
        <v>45594</v>
      </c>
      <c r="B4" t="s">
        <v>2</v>
      </c>
      <c r="C4" t="s">
        <v>1685</v>
      </c>
      <c r="D4" t="s">
        <v>1677</v>
      </c>
      <c r="E4" t="s">
        <v>1678</v>
      </c>
      <c r="F4" t="s">
        <v>1679</v>
      </c>
      <c r="G4" t="s">
        <v>1682</v>
      </c>
      <c r="H4" t="s">
        <v>1684</v>
      </c>
      <c r="I4" t="s">
        <v>20</v>
      </c>
      <c r="J4" s="3" t="s">
        <v>2</v>
      </c>
      <c r="K4" s="3" t="s">
        <v>1685</v>
      </c>
      <c r="M4" t="s">
        <v>1569</v>
      </c>
      <c r="N4" s="3">
        <f t="shared" si="0"/>
        <v>1</v>
      </c>
      <c r="O4" s="22" t="str">
        <f t="shared" si="1"/>
        <v>Insuficiente</v>
      </c>
      <c r="Q4" t="s">
        <v>1679</v>
      </c>
      <c r="R4" s="3">
        <f t="shared" si="2"/>
        <v>6</v>
      </c>
      <c r="S4" s="22" t="str">
        <f t="shared" si="3"/>
        <v>Insuficiente</v>
      </c>
    </row>
    <row r="5" spans="1:19" x14ac:dyDescent="0.25">
      <c r="A5" s="21">
        <v>45594</v>
      </c>
      <c r="B5" t="s">
        <v>2</v>
      </c>
      <c r="C5" t="s">
        <v>32</v>
      </c>
      <c r="D5" t="s">
        <v>1677</v>
      </c>
      <c r="E5" t="s">
        <v>1678</v>
      </c>
      <c r="F5" t="s">
        <v>1679</v>
      </c>
      <c r="G5" t="s">
        <v>1569</v>
      </c>
      <c r="H5" t="s">
        <v>1684</v>
      </c>
      <c r="I5" t="s">
        <v>59</v>
      </c>
      <c r="J5" s="3" t="s">
        <v>2</v>
      </c>
      <c r="K5" s="3" t="s">
        <v>32</v>
      </c>
      <c r="M5" t="s">
        <v>33</v>
      </c>
      <c r="N5" s="3">
        <f t="shared" si="0"/>
        <v>1</v>
      </c>
      <c r="O5" s="22" t="str">
        <f t="shared" si="1"/>
        <v>Insuficiente</v>
      </c>
      <c r="Q5" t="s">
        <v>1680</v>
      </c>
      <c r="R5" s="3">
        <f t="shared" si="2"/>
        <v>5</v>
      </c>
      <c r="S5" s="22" t="str">
        <f t="shared" si="3"/>
        <v>Insuficiente</v>
      </c>
    </row>
    <row r="6" spans="1:19" x14ac:dyDescent="0.25">
      <c r="A6" s="21">
        <v>45597</v>
      </c>
      <c r="B6" t="s">
        <v>2</v>
      </c>
      <c r="C6" t="s">
        <v>28</v>
      </c>
      <c r="D6" t="s">
        <v>1677</v>
      </c>
      <c r="E6" t="s">
        <v>1678</v>
      </c>
      <c r="F6" t="s">
        <v>1679</v>
      </c>
      <c r="G6" t="s">
        <v>1682</v>
      </c>
      <c r="H6" t="s">
        <v>1690</v>
      </c>
      <c r="I6" t="s">
        <v>1697</v>
      </c>
      <c r="J6" s="3" t="s">
        <v>1690</v>
      </c>
      <c r="K6" s="3" t="s">
        <v>1697</v>
      </c>
      <c r="M6" t="s">
        <v>17</v>
      </c>
      <c r="N6" s="3">
        <f t="shared" si="0"/>
        <v>1</v>
      </c>
      <c r="O6" s="22" t="str">
        <f t="shared" si="1"/>
        <v>Insuficiente</v>
      </c>
      <c r="Q6" t="s">
        <v>1684</v>
      </c>
      <c r="R6" s="3">
        <f t="shared" si="2"/>
        <v>2</v>
      </c>
      <c r="S6" s="22" t="str">
        <f t="shared" si="3"/>
        <v>Insuficiente</v>
      </c>
    </row>
    <row r="7" spans="1:19" x14ac:dyDescent="0.25">
      <c r="A7" s="21">
        <v>45597</v>
      </c>
      <c r="B7" t="s">
        <v>2</v>
      </c>
      <c r="C7" t="s">
        <v>26</v>
      </c>
      <c r="D7" t="s">
        <v>1677</v>
      </c>
      <c r="E7" t="s">
        <v>1678</v>
      </c>
      <c r="F7" t="s">
        <v>1679</v>
      </c>
      <c r="G7" t="s">
        <v>1682</v>
      </c>
      <c r="H7" t="s">
        <v>1690</v>
      </c>
      <c r="I7" t="s">
        <v>1697</v>
      </c>
      <c r="J7" s="3" t="s">
        <v>1677</v>
      </c>
      <c r="K7" s="3" t="s">
        <v>1678</v>
      </c>
      <c r="M7" t="s">
        <v>1984</v>
      </c>
      <c r="N7" s="3">
        <f t="shared" si="0"/>
        <v>2</v>
      </c>
      <c r="O7" s="22" t="str">
        <f t="shared" si="1"/>
        <v>Insuficiente</v>
      </c>
      <c r="Q7" t="s">
        <v>1689</v>
      </c>
      <c r="R7" s="3">
        <f t="shared" si="2"/>
        <v>3</v>
      </c>
      <c r="S7" s="22" t="str">
        <f t="shared" si="3"/>
        <v>Insuficiente</v>
      </c>
    </row>
    <row r="8" spans="1:19" x14ac:dyDescent="0.25">
      <c r="A8" s="21">
        <v>45599</v>
      </c>
      <c r="B8" t="s">
        <v>2</v>
      </c>
      <c r="C8" t="s">
        <v>1701</v>
      </c>
      <c r="D8" t="s">
        <v>1677</v>
      </c>
      <c r="E8" t="s">
        <v>24</v>
      </c>
      <c r="F8" t="s">
        <v>1680</v>
      </c>
      <c r="G8" t="s">
        <v>1700</v>
      </c>
      <c r="H8" t="s">
        <v>1689</v>
      </c>
      <c r="I8" t="s">
        <v>1699</v>
      </c>
      <c r="J8" s="3" t="s">
        <v>1677</v>
      </c>
      <c r="K8" s="3" t="s">
        <v>24</v>
      </c>
      <c r="M8" t="s">
        <v>1983</v>
      </c>
      <c r="N8" s="3">
        <f t="shared" si="0"/>
        <v>1</v>
      </c>
      <c r="O8" s="22" t="str">
        <f t="shared" si="1"/>
        <v>Insuficiente</v>
      </c>
      <c r="Q8" t="s">
        <v>1690</v>
      </c>
      <c r="R8" s="3">
        <f t="shared" si="2"/>
        <v>4</v>
      </c>
      <c r="S8" s="22" t="str">
        <f t="shared" si="3"/>
        <v>Insuficiente</v>
      </c>
    </row>
    <row r="9" spans="1:19" x14ac:dyDescent="0.25">
      <c r="A9" s="21">
        <v>45599</v>
      </c>
      <c r="B9" t="s">
        <v>2</v>
      </c>
      <c r="C9" t="s">
        <v>55</v>
      </c>
      <c r="D9" t="s">
        <v>1677</v>
      </c>
      <c r="E9" t="s">
        <v>32</v>
      </c>
      <c r="F9" t="s">
        <v>1680</v>
      </c>
      <c r="G9" t="s">
        <v>1700</v>
      </c>
      <c r="H9" t="s">
        <v>1689</v>
      </c>
      <c r="I9" t="s">
        <v>1698</v>
      </c>
      <c r="J9" s="3" t="s">
        <v>1689</v>
      </c>
      <c r="K9" s="3" t="s">
        <v>1698</v>
      </c>
      <c r="M9" t="s">
        <v>28</v>
      </c>
      <c r="N9" s="3">
        <f t="shared" si="0"/>
        <v>1</v>
      </c>
      <c r="O9" s="22" t="str">
        <f t="shared" si="1"/>
        <v>Insuficiente</v>
      </c>
      <c r="Q9" t="s">
        <v>1982</v>
      </c>
      <c r="R9" s="3">
        <f t="shared" si="2"/>
        <v>2</v>
      </c>
      <c r="S9" s="3" t="str">
        <f t="shared" si="3"/>
        <v>Insuficiente</v>
      </c>
    </row>
    <row r="10" spans="1:19" x14ac:dyDescent="0.25">
      <c r="A10" s="21">
        <v>45835</v>
      </c>
      <c r="B10" t="s">
        <v>2</v>
      </c>
      <c r="C10" t="s">
        <v>27</v>
      </c>
      <c r="D10" t="s">
        <v>1677</v>
      </c>
      <c r="E10" t="s">
        <v>18</v>
      </c>
      <c r="F10" t="s">
        <v>1680</v>
      </c>
      <c r="G10" t="s">
        <v>1700</v>
      </c>
      <c r="H10" t="s">
        <v>1689</v>
      </c>
      <c r="I10" t="s">
        <v>1699</v>
      </c>
      <c r="J10" s="3" t="s">
        <v>1680</v>
      </c>
      <c r="K10" s="3" t="s">
        <v>1700</v>
      </c>
      <c r="M10" t="s">
        <v>18</v>
      </c>
      <c r="N10" s="3">
        <f t="shared" si="0"/>
        <v>1</v>
      </c>
      <c r="O10" s="22" t="str">
        <f t="shared" si="1"/>
        <v>Insuficiente</v>
      </c>
    </row>
    <row r="11" spans="1:19" x14ac:dyDescent="0.25">
      <c r="A11" s="21">
        <v>45864</v>
      </c>
      <c r="B11" t="s">
        <v>2</v>
      </c>
      <c r="C11" t="s">
        <v>20</v>
      </c>
      <c r="D11" t="s">
        <v>1677</v>
      </c>
      <c r="E11" t="s">
        <v>1678</v>
      </c>
      <c r="F11" t="s">
        <v>1982</v>
      </c>
      <c r="G11" t="s">
        <v>1983</v>
      </c>
      <c r="H11" t="s">
        <v>1690</v>
      </c>
      <c r="I11" t="s">
        <v>1984</v>
      </c>
      <c r="J11" s="3" t="s">
        <v>2</v>
      </c>
      <c r="K11" s="3" t="s">
        <v>20</v>
      </c>
      <c r="M11" t="s">
        <v>1681</v>
      </c>
      <c r="N11" s="3">
        <f t="shared" si="0"/>
        <v>2</v>
      </c>
      <c r="O11" s="22" t="str">
        <f t="shared" si="1"/>
        <v>Insuficiente</v>
      </c>
    </row>
    <row r="12" spans="1:19" x14ac:dyDescent="0.25">
      <c r="A12" s="21">
        <v>45864</v>
      </c>
      <c r="B12" t="s">
        <v>2</v>
      </c>
      <c r="C12" t="s">
        <v>56</v>
      </c>
      <c r="D12" t="s">
        <v>1677</v>
      </c>
      <c r="E12" t="s">
        <v>1678</v>
      </c>
      <c r="F12" t="s">
        <v>1982</v>
      </c>
      <c r="G12" t="s">
        <v>1681</v>
      </c>
      <c r="H12" t="s">
        <v>1690</v>
      </c>
      <c r="I12" t="s">
        <v>1984</v>
      </c>
      <c r="J12" s="3" t="s">
        <v>1982</v>
      </c>
      <c r="K12" s="3" t="s">
        <v>1681</v>
      </c>
      <c r="M12" t="s">
        <v>59</v>
      </c>
      <c r="N12" s="3">
        <f t="shared" si="0"/>
        <v>1</v>
      </c>
      <c r="O12" s="22" t="str">
        <f t="shared" si="1"/>
        <v>Insuficiente</v>
      </c>
    </row>
    <row r="13" spans="1:19" x14ac:dyDescent="0.25">
      <c r="M13" t="s">
        <v>1698</v>
      </c>
      <c r="N13" s="3">
        <f t="shared" si="0"/>
        <v>1</v>
      </c>
      <c r="O13" s="22" t="str">
        <f t="shared" si="1"/>
        <v>Insuficiente</v>
      </c>
    </row>
    <row r="14" spans="1:19" x14ac:dyDescent="0.25">
      <c r="M14" t="s">
        <v>20</v>
      </c>
      <c r="N14" s="3">
        <f t="shared" si="0"/>
        <v>2</v>
      </c>
      <c r="O14" s="22" t="str">
        <f t="shared" si="1"/>
        <v>Insuficiente</v>
      </c>
    </row>
    <row r="15" spans="1:19" x14ac:dyDescent="0.25">
      <c r="M15" t="s">
        <v>1701</v>
      </c>
      <c r="N15" s="3">
        <f t="shared" si="0"/>
        <v>1</v>
      </c>
      <c r="O15" s="22" t="str">
        <f t="shared" si="1"/>
        <v>Insuficiente</v>
      </c>
    </row>
    <row r="16" spans="1:19" x14ac:dyDescent="0.25">
      <c r="M16" t="s">
        <v>1682</v>
      </c>
      <c r="N16" s="3">
        <f t="shared" si="0"/>
        <v>5</v>
      </c>
      <c r="O16" s="22" t="str">
        <f t="shared" si="1"/>
        <v>Insuficiente</v>
      </c>
    </row>
    <row r="17" spans="13:15" x14ac:dyDescent="0.25">
      <c r="M17" t="s">
        <v>56</v>
      </c>
      <c r="N17" s="3">
        <f t="shared" si="0"/>
        <v>1</v>
      </c>
      <c r="O17" s="22" t="str">
        <f t="shared" si="1"/>
        <v>Insuficiente</v>
      </c>
    </row>
    <row r="18" spans="13:15" x14ac:dyDescent="0.25">
      <c r="M18" t="s">
        <v>55</v>
      </c>
      <c r="N18" s="3">
        <f t="shared" si="0"/>
        <v>1</v>
      </c>
      <c r="O18" s="22" t="str">
        <f t="shared" si="1"/>
        <v>Insuficiente</v>
      </c>
    </row>
    <row r="19" spans="13:15" x14ac:dyDescent="0.25">
      <c r="M19" t="s">
        <v>1683</v>
      </c>
      <c r="N19" s="3">
        <f t="shared" si="0"/>
        <v>1</v>
      </c>
      <c r="O19" s="22" t="str">
        <f t="shared" si="1"/>
        <v>Insuficiente</v>
      </c>
    </row>
    <row r="20" spans="13:15" x14ac:dyDescent="0.25">
      <c r="M20" t="s">
        <v>1685</v>
      </c>
      <c r="N20" s="3">
        <f t="shared" si="0"/>
        <v>1</v>
      </c>
      <c r="O20" s="22" t="str">
        <f t="shared" si="1"/>
        <v>Insuficiente</v>
      </c>
    </row>
    <row r="21" spans="13:15" x14ac:dyDescent="0.25">
      <c r="M21" t="s">
        <v>1699</v>
      </c>
      <c r="N21" s="3">
        <f t="shared" si="0"/>
        <v>2</v>
      </c>
      <c r="O21" s="22" t="str">
        <f t="shared" si="1"/>
        <v>Insuficiente</v>
      </c>
    </row>
    <row r="22" spans="13:15" x14ac:dyDescent="0.25">
      <c r="M22" t="s">
        <v>1700</v>
      </c>
      <c r="N22" s="3">
        <f t="shared" si="0"/>
        <v>3</v>
      </c>
      <c r="O22" s="22" t="str">
        <f t="shared" si="1"/>
        <v>Insuficiente</v>
      </c>
    </row>
    <row r="23" spans="13:15" x14ac:dyDescent="0.25">
      <c r="M23" t="s">
        <v>1697</v>
      </c>
      <c r="N23" s="3">
        <f t="shared" si="0"/>
        <v>2</v>
      </c>
      <c r="O23" s="22" t="str">
        <f t="shared" si="1"/>
        <v>Insuficiente</v>
      </c>
    </row>
    <row r="24" spans="13:15" x14ac:dyDescent="0.25">
      <c r="M24" t="s">
        <v>26</v>
      </c>
      <c r="N24" s="3">
        <f t="shared" si="0"/>
        <v>1</v>
      </c>
      <c r="O24" s="22" t="str">
        <f t="shared" si="1"/>
        <v>Insuficiente</v>
      </c>
    </row>
    <row r="25" spans="13:15" x14ac:dyDescent="0.25">
      <c r="M25" t="s">
        <v>27</v>
      </c>
      <c r="N25" s="3">
        <f t="shared" si="0"/>
        <v>1</v>
      </c>
      <c r="O25" s="22" t="str">
        <f t="shared" si="1"/>
        <v>Insuficiente</v>
      </c>
    </row>
    <row r="26" spans="13:15" x14ac:dyDescent="0.25">
      <c r="M26" t="s">
        <v>1678</v>
      </c>
      <c r="N26" s="3">
        <f t="shared" si="0"/>
        <v>8</v>
      </c>
      <c r="O26" s="22" t="str">
        <f t="shared" si="1"/>
        <v>Insuficiente</v>
      </c>
    </row>
    <row r="27" spans="13:15" x14ac:dyDescent="0.25">
      <c r="N27" s="3"/>
    </row>
  </sheetData>
  <sortState xmlns:xlrd2="http://schemas.microsoft.com/office/spreadsheetml/2017/richdata2" ref="M2:O26">
    <sortCondition ref="M2:M26"/>
  </sortState>
  <mergeCells count="1">
    <mergeCell ref="J1:K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438CA-C550-4170-87DA-8873DF864564}">
  <sheetPr codeName="Planilha3"/>
  <dimension ref="A1:X102"/>
  <sheetViews>
    <sheetView workbookViewId="0">
      <pane ySplit="2" topLeftCell="A3" activePane="bottomLeft" state="frozen"/>
      <selection pane="bottomLeft" activeCell="O3" sqref="O3"/>
    </sheetView>
  </sheetViews>
  <sheetFormatPr defaultRowHeight="15" x14ac:dyDescent="0.25"/>
  <cols>
    <col min="2" max="2" width="20.7109375" customWidth="1"/>
    <col min="3" max="3" width="14.7109375" hidden="1" customWidth="1"/>
    <col min="4" max="4" width="2.7109375" style="9" customWidth="1"/>
    <col min="5" max="5" width="8.85546875" customWidth="1"/>
    <col min="6" max="6" width="29.42578125" bestFit="1" customWidth="1"/>
    <col min="7" max="7" width="14.7109375" hidden="1" customWidth="1"/>
    <col min="8" max="8" width="2.7109375" style="9" customWidth="1"/>
    <col min="9" max="9" width="8.85546875" customWidth="1"/>
    <col min="10" max="10" width="20.7109375" customWidth="1"/>
    <col min="11" max="11" width="14.7109375" hidden="1" customWidth="1"/>
    <col min="12" max="12" width="2.7109375" style="9" customWidth="1"/>
    <col min="13" max="13" width="8.85546875" customWidth="1"/>
    <col min="14" max="14" width="20.7109375" customWidth="1"/>
    <col min="15" max="15" width="14.7109375" hidden="1" customWidth="1"/>
    <col min="16" max="16" width="2.7109375" style="9" customWidth="1"/>
    <col min="17" max="17" width="8.85546875" customWidth="1"/>
    <col min="18" max="18" width="23" bestFit="1" customWidth="1"/>
    <col min="19" max="19" width="14.7109375" hidden="1" customWidth="1"/>
    <col min="20" max="20" width="2.7109375" style="9" customWidth="1"/>
    <col min="21" max="21" width="8.85546875" customWidth="1"/>
    <col min="22" max="22" width="27.7109375" bestFit="1" customWidth="1"/>
    <col min="23" max="23" width="14.7109375" hidden="1" customWidth="1"/>
    <col min="24" max="24" width="2.7109375" style="9" customWidth="1"/>
    <col min="25" max="25" width="8.85546875" customWidth="1"/>
  </cols>
  <sheetData>
    <row r="1" spans="1:24" s="4" customFormat="1" x14ac:dyDescent="0.25">
      <c r="A1" s="27" t="s">
        <v>15</v>
      </c>
      <c r="B1" s="27"/>
      <c r="C1" s="27"/>
      <c r="D1" s="8"/>
      <c r="E1" s="27" t="s">
        <v>16</v>
      </c>
      <c r="F1" s="27"/>
      <c r="G1" s="27"/>
      <c r="H1" s="8"/>
      <c r="I1" s="27" t="s">
        <v>17</v>
      </c>
      <c r="J1" s="27"/>
      <c r="K1" s="27"/>
      <c r="L1" s="8"/>
      <c r="M1" s="27" t="s">
        <v>18</v>
      </c>
      <c r="N1" s="27"/>
      <c r="O1" s="27"/>
      <c r="P1" s="8"/>
      <c r="Q1" s="27" t="s">
        <v>19</v>
      </c>
      <c r="R1" s="27"/>
      <c r="S1" s="27"/>
      <c r="T1" s="8"/>
      <c r="U1" s="27" t="s">
        <v>20</v>
      </c>
      <c r="V1" s="27"/>
      <c r="W1" s="27"/>
      <c r="X1" s="8"/>
    </row>
    <row r="2" spans="1:24" s="4" customFormat="1" x14ac:dyDescent="0.25">
      <c r="A2" s="27"/>
      <c r="B2" s="27"/>
      <c r="C2" s="27"/>
      <c r="D2" s="8"/>
      <c r="E2" s="27"/>
      <c r="F2" s="27"/>
      <c r="G2" s="27"/>
      <c r="H2" s="8"/>
      <c r="I2" s="27"/>
      <c r="J2" s="27"/>
      <c r="K2" s="27"/>
      <c r="L2" s="8"/>
      <c r="M2" s="27"/>
      <c r="N2" s="27"/>
      <c r="O2" s="27"/>
      <c r="P2" s="8"/>
      <c r="Q2" s="27"/>
      <c r="R2" s="27"/>
      <c r="S2" s="27"/>
      <c r="T2" s="8"/>
      <c r="U2" s="27"/>
      <c r="V2" s="27"/>
      <c r="W2" s="27"/>
      <c r="X2" s="8"/>
    </row>
    <row r="3" spans="1:24" x14ac:dyDescent="0.25">
      <c r="A3" s="4" t="s">
        <v>21</v>
      </c>
      <c r="B3" t="str" cm="1">
        <f t="array" ref="B3:B101">_xlfn._xlws.SORT(C3:C101,1,-1,0)</f>
        <v>Uthros, Titanic Godcore</v>
      </c>
      <c r="C3" t="str">
        <f>IF(Thrakiri!D3="Não",Thrakiri!C3, " ")</f>
        <v xml:space="preserve"> </v>
      </c>
      <c r="E3" s="4" t="s">
        <v>21</v>
      </c>
      <c r="F3" t="str" cm="1">
        <f t="array" ref="F3:F101">_xlfn._xlws.SORT(G3:G101,1,-1,0)</f>
        <v>Ulamog, the Infinite Gyre</v>
      </c>
      <c r="G3" t="str">
        <f>IF(Gitrog!D3="Não",Gitrog!C3, " ")</f>
        <v xml:space="preserve"> </v>
      </c>
      <c r="I3" s="4" t="s">
        <v>21</v>
      </c>
      <c r="J3" t="str" cm="1">
        <f t="array" ref="J3:J101">_xlfn._xlws.SORT(K3:K101,1,-1,0)</f>
        <v>Zagoth Triome</v>
      </c>
      <c r="K3" t="str">
        <f>IF(Elfos!D3="Não",Elfos!C3, " ")</f>
        <v xml:space="preserve"> </v>
      </c>
      <c r="M3" s="4" t="s">
        <v>21</v>
      </c>
      <c r="N3" t="str" cm="1">
        <f t="array" ref="N3:N101">_xlfn._xlws.SORT(O3:O101,1,-1,0)</f>
        <v>Valfenda</v>
      </c>
      <c r="O3" t="str">
        <f>IF(Jhoira!D3="Não",Jhoira!C4, " ")</f>
        <v xml:space="preserve"> </v>
      </c>
      <c r="Q3" s="4" t="s">
        <v>21</v>
      </c>
      <c r="R3" t="str" cm="1">
        <f t="array" ref="R3:R101">_xlfn._xlws.SORT(S3:S101,1,-1,0)</f>
        <v>Trioma de Zagoth</v>
      </c>
      <c r="S3" t="str">
        <f>IF(Fractius!D3="Não",Fractius!C3, " ")</f>
        <v xml:space="preserve"> </v>
      </c>
      <c r="U3" s="4" t="s">
        <v>21</v>
      </c>
      <c r="V3" t="str" cm="1">
        <f t="array" ref="V3:V101">_xlfn._xlws.SORT(W3:W101,1,-1,0)</f>
        <v>The Mycosynth Gardens</v>
      </c>
      <c r="W3" t="str">
        <f>IF(Muzzio!D3="Não",Muzzio!C3, " ")</f>
        <v xml:space="preserve"> </v>
      </c>
    </row>
    <row r="4" spans="1:24" x14ac:dyDescent="0.25">
      <c r="A4" s="3">
        <f>Thrakiri!G3</f>
        <v>6</v>
      </c>
      <c r="B4" t="str">
        <v>The Mycosynth Gardens</v>
      </c>
      <c r="C4" t="str">
        <f>IF(Thrakiri!D3="Não",Thrakiri!C4, " ")</f>
        <v xml:space="preserve"> </v>
      </c>
      <c r="E4" s="3">
        <f>Gitrog!G3</f>
        <v>12</v>
      </c>
      <c r="F4" t="str">
        <v>Titania, Voice of Gaea</v>
      </c>
      <c r="G4" t="str">
        <f>IF(Gitrog!D3="Não",Gitrog!C4, " ")</f>
        <v xml:space="preserve"> </v>
      </c>
      <c r="I4" s="3">
        <f>Elfos!G3</f>
        <v>6</v>
      </c>
      <c r="J4" t="str">
        <v>Three Tree City</v>
      </c>
      <c r="K4" t="str">
        <f>IF(Elfos!D3="Não",Elfos!C4, " ")</f>
        <v xml:space="preserve"> </v>
      </c>
      <c r="M4" s="3">
        <f>Jhoira!G4</f>
        <v>6</v>
      </c>
      <c r="N4" t="str">
        <v>Ulamog, o Profanador</v>
      </c>
      <c r="O4" t="str">
        <f>IF(Jhoira!D5="Não",Jhoira!C5, " ")</f>
        <v xml:space="preserve"> </v>
      </c>
      <c r="Q4" s="3">
        <f>Fractius!G3</f>
        <v>9</v>
      </c>
      <c r="R4" t="str">
        <v>Trioma de Raugrin</v>
      </c>
      <c r="S4" t="str">
        <f>IF(Fractius!D3="Não",Fractius!C4, " ")</f>
        <v xml:space="preserve"> </v>
      </c>
      <c r="U4" s="3">
        <f>Muzzio!G3</f>
        <v>14</v>
      </c>
      <c r="V4" t="str">
        <v>Sonic Screwdriver</v>
      </c>
      <c r="W4" t="str">
        <f>IF(Muzzio!D3="Não",Muzzio!C4, " ")</f>
        <v xml:space="preserve"> </v>
      </c>
    </row>
    <row r="5" spans="1:24" x14ac:dyDescent="0.25">
      <c r="B5" t="str">
        <v>The Eternity Elevator</v>
      </c>
      <c r="C5" t="str">
        <f>IF(Thrakiri!D5="Não",Thrakiri!C5, " ")</f>
        <v xml:space="preserve"> </v>
      </c>
      <c r="F5" t="str">
        <v>Takenuma, Charco Abandonado</v>
      </c>
      <c r="G5" t="str">
        <f>IF(Gitrog!D5="Não",Gitrog!C5, " ")</f>
        <v xml:space="preserve"> </v>
      </c>
      <c r="J5" t="str">
        <v>Nissa, Resurgent Animist</v>
      </c>
      <c r="K5" t="str">
        <f>IF(Elfos!D5="Não",Elfos!C5, " ")</f>
        <v xml:space="preserve"> </v>
      </c>
      <c r="N5" t="str">
        <v>Planetary Annihilation</v>
      </c>
      <c r="O5" t="str">
        <f>IF(Jhoira!D6="Não",Jhoira!C6, " ")</f>
        <v xml:space="preserve"> </v>
      </c>
      <c r="R5" t="str">
        <v>Thrumming Hivepool</v>
      </c>
      <c r="S5" t="str">
        <f>IF(Fractius!D5="Não",Fractius!C5, " ")</f>
        <v>Trioma de Zagoth</v>
      </c>
      <c r="V5" t="str">
        <v>Rings of Brighthearth</v>
      </c>
      <c r="W5" t="str">
        <f>IF(Muzzio!D5="Não",Muzzio!C5, " ")</f>
        <v xml:space="preserve"> </v>
      </c>
    </row>
    <row r="6" spans="1:24" x14ac:dyDescent="0.25">
      <c r="B6" t="str">
        <v>Shaku da Honra Desgastada</v>
      </c>
      <c r="C6" t="str">
        <f>IF(Thrakiri!D6="Não",Thrakiri!C6, " ")</f>
        <v xml:space="preserve"> </v>
      </c>
      <c r="F6" t="str">
        <v>Phyrexian Tower</v>
      </c>
      <c r="G6" t="str">
        <f>IF(Gitrog!D6="Não",Gitrog!C6, " ")</f>
        <v xml:space="preserve"> </v>
      </c>
      <c r="J6" t="str">
        <v>Evendo, Waking Haven</v>
      </c>
      <c r="K6" t="str">
        <f>IF(Elfos!D6="Não",Elfos!C6, " ")</f>
        <v>Alchemist's Refuge</v>
      </c>
      <c r="N6" t="str">
        <v>Mistrise Village</v>
      </c>
      <c r="O6" t="str">
        <f>IF(Jhoira!D7="Não",Jhoira!C7, " ")</f>
        <v xml:space="preserve"> </v>
      </c>
      <c r="R6" t="str">
        <v>Sliver Gravemother</v>
      </c>
      <c r="S6" t="str">
        <f>IF(Fractius!D6="Não",Fractius!C6, " ")</f>
        <v>Trioma de Raugrin</v>
      </c>
      <c r="V6" t="str">
        <v>Portal to Phyrexia</v>
      </c>
      <c r="W6" t="str">
        <f>IF(Muzzio!D6="Não",Muzzio!C6, " ")</f>
        <v xml:space="preserve"> </v>
      </c>
    </row>
    <row r="7" spans="1:24" x14ac:dyDescent="0.25">
      <c r="B7" t="str">
        <v>Obelisco de Obsidiana</v>
      </c>
      <c r="C7" t="str">
        <f>IF(Thrakiri!D7="Não",Thrakiri!C7, " ")</f>
        <v xml:space="preserve"> </v>
      </c>
      <c r="F7" t="str">
        <v>Petrified Field</v>
      </c>
      <c r="G7" t="str">
        <f>IF(Gitrog!D7="Não",Gitrog!C7, " ")</f>
        <v xml:space="preserve"> </v>
      </c>
      <c r="J7" t="str">
        <v>Dionus, Elvish Archdruid</v>
      </c>
      <c r="K7" t="str">
        <f>IF(Elfos!D7="Não",Elfos!C7, " ")</f>
        <v xml:space="preserve"> </v>
      </c>
      <c r="N7" t="str">
        <v>Emrakul, um Novo Mundo</v>
      </c>
      <c r="O7" t="str">
        <f>IF(Jhoira!D8="Não",Jhoira!C8, " ")</f>
        <v xml:space="preserve"> </v>
      </c>
      <c r="R7" t="str">
        <v>Rakdos Signet</v>
      </c>
      <c r="S7" t="str">
        <f>IF(Fractius!D7="Não",Fractius!C7, " ")</f>
        <v xml:space="preserve"> </v>
      </c>
      <c r="V7" t="str">
        <v>Pingente de Ampulheta de Gerrard</v>
      </c>
      <c r="W7" t="str">
        <f>IF(Muzzio!D7="Não",Muzzio!C7, " ")</f>
        <v xml:space="preserve"> </v>
      </c>
    </row>
    <row r="8" spans="1:24" x14ac:dyDescent="0.25">
      <c r="B8" t="str">
        <v>Matoya, Archon Elder</v>
      </c>
      <c r="C8" t="str">
        <f>IF(Thrakiri!D8="Não",Thrakiri!C8, " ")</f>
        <v xml:space="preserve"> </v>
      </c>
      <c r="F8" t="str">
        <v>Ondulações de Morte-Vida</v>
      </c>
      <c r="G8" t="str">
        <f>IF(Gitrog!D8="Não",Gitrog!C8, " ")</f>
        <v xml:space="preserve"> </v>
      </c>
      <c r="J8" t="str">
        <v>Alchemist's Refuge</v>
      </c>
      <c r="K8" t="str">
        <f>IF(Elfos!D8="Não",Elfos!C8, " ")</f>
        <v xml:space="preserve"> </v>
      </c>
      <c r="N8" t="str">
        <v>Cyber Conversion</v>
      </c>
      <c r="O8" t="str">
        <f>IF(Jhoira!D9="Não",Jhoira!C9, " ")</f>
        <v>Valfenda</v>
      </c>
      <c r="R8" t="str">
        <v>Raffine's Tower</v>
      </c>
      <c r="S8" t="str">
        <f>IF(Fractius!D8="Não",Fractius!C8, " ")</f>
        <v>Raffine's Tower</v>
      </c>
      <c r="V8" t="str">
        <v>Mirrex</v>
      </c>
      <c r="W8" t="str">
        <f>IF(Muzzio!D8="Não",Muzzio!C8, " ")</f>
        <v xml:space="preserve"> </v>
      </c>
    </row>
    <row r="9" spans="1:24" x14ac:dyDescent="0.25">
      <c r="B9" t="str">
        <v xml:space="preserve"> </v>
      </c>
      <c r="C9" t="str">
        <f>IF(Thrakiri!D9="Não",Thrakiri!C9, " ")</f>
        <v xml:space="preserve"> </v>
      </c>
      <c r="F9" t="str">
        <v>Hedge Shredder</v>
      </c>
      <c r="G9" t="str">
        <f>IF(Gitrog!D9="Não",Gitrog!C9, " ")</f>
        <v xml:space="preserve"> </v>
      </c>
      <c r="J9" t="str">
        <v xml:space="preserve"> </v>
      </c>
      <c r="K9" t="str">
        <f>IF(Elfos!D9="Não",Elfos!C9, " ")</f>
        <v xml:space="preserve"> </v>
      </c>
      <c r="N9" t="str">
        <v xml:space="preserve"> </v>
      </c>
      <c r="O9" t="str">
        <f>IF(Jhoira!D10="Não",Jhoira!C10, " ")</f>
        <v>Mistrise Village</v>
      </c>
      <c r="R9" t="str">
        <v>Jetmir's Garden</v>
      </c>
      <c r="S9" t="str">
        <f>IF(Fractius!D9="Não",Fractius!C9, " ")</f>
        <v xml:space="preserve"> </v>
      </c>
      <c r="V9" t="str">
        <v>Gogo, Master of Mimicry</v>
      </c>
      <c r="W9" t="str">
        <f>IF(Muzzio!D9="Não",Muzzio!C9, " ")</f>
        <v xml:space="preserve"> </v>
      </c>
    </row>
    <row r="10" spans="1:24" x14ac:dyDescent="0.25">
      <c r="B10" t="str">
        <v xml:space="preserve"> </v>
      </c>
      <c r="C10" t="str">
        <f>IF(Thrakiri!D10="Não",Thrakiri!C10, " ")</f>
        <v xml:space="preserve"> </v>
      </c>
      <c r="F10" t="str">
        <v>Entomb</v>
      </c>
      <c r="G10" t="str">
        <f>IF(Gitrog!D10="Não",Gitrog!C10, " ")</f>
        <v xml:space="preserve"> </v>
      </c>
      <c r="J10" t="str">
        <v xml:space="preserve"> </v>
      </c>
      <c r="K10" t="str">
        <f>IF(Elfos!D10="Não",Elfos!C10, " ")</f>
        <v xml:space="preserve"> </v>
      </c>
      <c r="N10" t="str">
        <v xml:space="preserve"> </v>
      </c>
      <c r="O10" t="str">
        <f>IF(Jhoira!D11="Não",Jhoira!C11, " ")</f>
        <v xml:space="preserve"> </v>
      </c>
      <c r="R10" t="str">
        <v>Caverna das Almas</v>
      </c>
      <c r="S10" t="str">
        <f>IF(Fractius!D10="Não",Fractius!C10, " ")</f>
        <v xml:space="preserve"> </v>
      </c>
      <c r="V10" t="str">
        <v>Extinguisher Battleship</v>
      </c>
      <c r="W10" t="str">
        <f>IF(Muzzio!D10="Não",Muzzio!C10, " ")</f>
        <v xml:space="preserve"> </v>
      </c>
    </row>
    <row r="11" spans="1:24" x14ac:dyDescent="0.25">
      <c r="B11" t="str">
        <v xml:space="preserve"> </v>
      </c>
      <c r="C11" t="str">
        <f>IF(Thrakiri!D11="Não",Thrakiri!C11, " ")</f>
        <v xml:space="preserve"> </v>
      </c>
      <c r="F11" t="str">
        <v>Delighted Halfling</v>
      </c>
      <c r="G11" t="str">
        <f>IF(Gitrog!D11="Não",Gitrog!C11, " ")</f>
        <v xml:space="preserve"> </v>
      </c>
      <c r="J11" t="str">
        <v xml:space="preserve"> </v>
      </c>
      <c r="K11" t="str">
        <f>IF(Elfos!D11="Não",Elfos!C11, " ")</f>
        <v xml:space="preserve"> </v>
      </c>
      <c r="N11" t="str">
        <v xml:space="preserve"> </v>
      </c>
      <c r="O11" t="str">
        <f>IF(Jhoira!D12="Não",Jhoira!C12, " ")</f>
        <v xml:space="preserve"> </v>
      </c>
      <c r="R11" t="str">
        <v xml:space="preserve"> </v>
      </c>
      <c r="S11" t="str">
        <f>IF(Fractius!D11="Não",Fractius!C11, " ")</f>
        <v>Jetmir's Garden</v>
      </c>
      <c r="V11" t="str">
        <v>Dauntless Scrapbot</v>
      </c>
      <c r="W11" t="str">
        <f>IF(Muzzio!D11="Não",Muzzio!C11, " ")</f>
        <v xml:space="preserve"> </v>
      </c>
    </row>
    <row r="12" spans="1:24" x14ac:dyDescent="0.25">
      <c r="B12" t="str">
        <v xml:space="preserve"> </v>
      </c>
      <c r="C12" t="str">
        <f>IF(Thrakiri!D12="Não",Thrakiri!C12, " ")</f>
        <v xml:space="preserve"> </v>
      </c>
      <c r="F12" t="str">
        <v>Crisol dos Mundos</v>
      </c>
      <c r="G12" t="str">
        <f>IF(Gitrog!D12="Não",Gitrog!C12, " ")</f>
        <v xml:space="preserve"> </v>
      </c>
      <c r="J12" t="str">
        <v xml:space="preserve"> </v>
      </c>
      <c r="K12" t="str">
        <f>IF(Elfos!D12="Não",Elfos!C12, " ")</f>
        <v xml:space="preserve"> </v>
      </c>
      <c r="N12" t="str">
        <v xml:space="preserve"> </v>
      </c>
      <c r="O12" t="str">
        <f>IF(Jhoira!D13="Não",Jhoira!C13, " ")</f>
        <v xml:space="preserve"> </v>
      </c>
      <c r="R12" t="str">
        <v xml:space="preserve"> </v>
      </c>
      <c r="S12" t="str">
        <f>IF(Fractius!D12="Não",Fractius!C12, " ")</f>
        <v xml:space="preserve"> </v>
      </c>
      <c r="V12" t="str">
        <v>Chimil, o Sol Interior</v>
      </c>
      <c r="W12" t="str">
        <f>IF(Muzzio!D12="Não",Muzzio!C12, " ")</f>
        <v xml:space="preserve"> </v>
      </c>
    </row>
    <row r="13" spans="1:24" x14ac:dyDescent="0.25">
      <c r="B13" t="str">
        <v xml:space="preserve"> </v>
      </c>
      <c r="C13" t="str">
        <f>IF(Thrakiri!D13="Não",Thrakiri!C13, " ")</f>
        <v xml:space="preserve"> </v>
      </c>
      <c r="F13" t="str">
        <v>Broodheart Engine</v>
      </c>
      <c r="G13" t="str">
        <f>IF(Gitrog!D13="Não",Gitrog!C13, " ")</f>
        <v>Phyrexian Tower</v>
      </c>
      <c r="J13" t="str">
        <v xml:space="preserve"> </v>
      </c>
      <c r="K13" t="str">
        <f>IF(Elfos!D13="Não",Elfos!C13, " ")</f>
        <v>Zagoth Triome</v>
      </c>
      <c r="N13" t="str">
        <v xml:space="preserve"> </v>
      </c>
      <c r="O13" t="str">
        <f>IF(Jhoira!D14="Não",Jhoira!C14, " ")</f>
        <v xml:space="preserve"> </v>
      </c>
      <c r="R13" t="str">
        <v xml:space="preserve"> </v>
      </c>
      <c r="S13" t="str">
        <f>IF(Fractius!D13="Não",Fractius!C13, " ")</f>
        <v>Caverna das Almas</v>
      </c>
      <c r="V13" t="str">
        <v>Caixa Enigmática Desconcertante</v>
      </c>
      <c r="W13" t="str">
        <f>IF(Muzzio!D13="Não",Muzzio!C13, " ")</f>
        <v>Academy Ruins</v>
      </c>
    </row>
    <row r="14" spans="1:24" x14ac:dyDescent="0.25">
      <c r="B14" t="str">
        <v xml:space="preserve"> </v>
      </c>
      <c r="C14" t="str">
        <f>IF(Thrakiri!D14="Não",Thrakiri!C14, " ")</f>
        <v xml:space="preserve"> </v>
      </c>
      <c r="F14" t="str">
        <v>Ancient Tomb</v>
      </c>
      <c r="G14" t="str">
        <f>IF(Gitrog!D14="Não",Gitrog!C14, " ")</f>
        <v xml:space="preserve"> </v>
      </c>
      <c r="J14" t="str">
        <v xml:space="preserve"> </v>
      </c>
      <c r="K14" t="str">
        <f>IF(Elfos!D14="Não",Elfos!C14, " ")</f>
        <v xml:space="preserve"> </v>
      </c>
      <c r="N14" t="str">
        <v xml:space="preserve"> </v>
      </c>
      <c r="O14" t="str">
        <f>IF(Jhoira!D15="Não",Jhoira!C15, " ")</f>
        <v xml:space="preserve"> </v>
      </c>
      <c r="R14" t="str">
        <v xml:space="preserve"> </v>
      </c>
      <c r="S14" t="str">
        <f>IF(Fractius!D14="Não",Fractius!C14, " ")</f>
        <v xml:space="preserve"> </v>
      </c>
      <c r="V14" t="str">
        <v>Academy Ruins</v>
      </c>
      <c r="W14" t="str">
        <f>IF(Muzzio!D14="Não",Muzzio!C14, " ")</f>
        <v xml:space="preserve"> </v>
      </c>
    </row>
    <row r="15" spans="1:24" x14ac:dyDescent="0.25">
      <c r="B15" t="str">
        <v xml:space="preserve"> </v>
      </c>
      <c r="C15" t="str">
        <f>IF(Thrakiri!D15="Não",Thrakiri!C15, " ")</f>
        <v xml:space="preserve"> </v>
      </c>
      <c r="F15" t="str">
        <v xml:space="preserve"> </v>
      </c>
      <c r="G15" t="str">
        <f>IF(Gitrog!D15="Não",Gitrog!C15, " ")</f>
        <v xml:space="preserve"> </v>
      </c>
      <c r="J15" t="str">
        <v xml:space="preserve"> </v>
      </c>
      <c r="K15" t="str">
        <f>IF(Elfos!D15="Não",Elfos!C15, " ")</f>
        <v xml:space="preserve"> </v>
      </c>
      <c r="N15" t="str">
        <v xml:space="preserve"> </v>
      </c>
      <c r="O15" t="str">
        <f>IF(Jhoira!D16="Não",Jhoira!C16, " ")</f>
        <v xml:space="preserve"> </v>
      </c>
      <c r="R15" t="str">
        <v xml:space="preserve"> </v>
      </c>
      <c r="S15" t="str">
        <f>IF(Fractius!D15="Não",Fractius!C15, " ")</f>
        <v xml:space="preserve"> </v>
      </c>
      <c r="V15" t="str">
        <v>A Joia do Enigma</v>
      </c>
      <c r="W15" t="str">
        <f>IF(Muzzio!D15="Não",Muzzio!C15, " ")</f>
        <v>Mirrex</v>
      </c>
    </row>
    <row r="16" spans="1:24" x14ac:dyDescent="0.25">
      <c r="B16" t="str">
        <v xml:space="preserve"> </v>
      </c>
      <c r="C16" t="str">
        <f>IF(Thrakiri!D16="Não",Thrakiri!C16, " ")</f>
        <v xml:space="preserve"> </v>
      </c>
      <c r="F16" t="str">
        <v xml:space="preserve"> </v>
      </c>
      <c r="G16" t="str">
        <f>IF(Gitrog!D16="Não",Gitrog!C16, " ")</f>
        <v xml:space="preserve"> </v>
      </c>
      <c r="J16" t="str">
        <v xml:space="preserve"> </v>
      </c>
      <c r="K16" t="str">
        <f>IF(Elfos!D16="Não",Elfos!C16, " ")</f>
        <v xml:space="preserve"> </v>
      </c>
      <c r="N16" t="str">
        <v xml:space="preserve"> </v>
      </c>
      <c r="O16" t="str">
        <f>IF(Jhoira!D17="Não",Jhoira!C17, " ")</f>
        <v xml:space="preserve"> </v>
      </c>
      <c r="R16" t="str">
        <v xml:space="preserve"> </v>
      </c>
      <c r="S16" t="str">
        <f>IF(Fractius!D16="Não",Fractius!C16, " ")</f>
        <v xml:space="preserve"> </v>
      </c>
      <c r="V16" t="str">
        <v xml:space="preserve"> </v>
      </c>
      <c r="W16" t="str">
        <f>IF(Muzzio!D16="Não",Muzzio!C16, " ")</f>
        <v>The Mycosynth Gardens</v>
      </c>
    </row>
    <row r="17" spans="2:23" x14ac:dyDescent="0.25">
      <c r="B17" t="str">
        <v xml:space="preserve"> </v>
      </c>
      <c r="C17" t="str">
        <f>IF(Thrakiri!D20="Não",Thrakiri!C20, " ")</f>
        <v xml:space="preserve"> </v>
      </c>
      <c r="F17" t="str">
        <v xml:space="preserve"> </v>
      </c>
      <c r="G17" t="str">
        <f>IF(Gitrog!D17="Não",Gitrog!C17, " ")</f>
        <v>Petrified Field</v>
      </c>
      <c r="J17" t="str">
        <v xml:space="preserve"> </v>
      </c>
      <c r="K17" t="str">
        <f>IF(Elfos!D17="Não",Elfos!C17, " ")</f>
        <v xml:space="preserve"> </v>
      </c>
      <c r="N17" t="str">
        <v xml:space="preserve"> </v>
      </c>
      <c r="O17" t="str">
        <f>IF(Jhoira!D18="Não",Jhoira!C18, " ")</f>
        <v xml:space="preserve"> </v>
      </c>
      <c r="R17" t="str">
        <v xml:space="preserve"> </v>
      </c>
      <c r="S17" t="str">
        <f>IF(Fractius!D17="Não",Fractius!C17, " ")</f>
        <v xml:space="preserve"> </v>
      </c>
      <c r="V17" t="str">
        <v xml:space="preserve"> </v>
      </c>
      <c r="W17" t="str">
        <f>IF(Muzzio!D17="Não",Muzzio!C17, " ")</f>
        <v xml:space="preserve"> </v>
      </c>
    </row>
    <row r="18" spans="2:23" x14ac:dyDescent="0.25">
      <c r="B18" t="str">
        <v xml:space="preserve"> </v>
      </c>
      <c r="C18" t="str">
        <f>IF(Thrakiri!D21="Não",Thrakiri!C21, " ")</f>
        <v xml:space="preserve"> </v>
      </c>
      <c r="F18" t="str">
        <v xml:space="preserve"> </v>
      </c>
      <c r="G18" t="str">
        <f>IF(Gitrog!D18="Não",Gitrog!C18, " ")</f>
        <v>Ancient Tomb</v>
      </c>
      <c r="J18" t="str">
        <v xml:space="preserve"> </v>
      </c>
      <c r="K18" t="str">
        <f>IF(Elfos!D18="Não",Elfos!C18, " ")</f>
        <v xml:space="preserve"> </v>
      </c>
      <c r="N18" t="str">
        <v xml:space="preserve"> </v>
      </c>
      <c r="O18" t="str">
        <f>IF(Jhoira!D19="Não",Jhoira!C19, " ")</f>
        <v xml:space="preserve"> </v>
      </c>
      <c r="R18" t="str">
        <v xml:space="preserve"> </v>
      </c>
      <c r="S18" t="str">
        <f>IF(Fractius!D18="Não",Fractius!C18, " ")</f>
        <v xml:space="preserve"> </v>
      </c>
      <c r="V18" t="str">
        <v xml:space="preserve"> </v>
      </c>
      <c r="W18" t="str">
        <f>IF(Muzzio!D18="Não",Muzzio!C18, " ")</f>
        <v xml:space="preserve"> </v>
      </c>
    </row>
    <row r="19" spans="2:23" x14ac:dyDescent="0.25">
      <c r="B19" t="str">
        <v xml:space="preserve"> </v>
      </c>
      <c r="C19" t="str">
        <f>IF(Thrakiri!D22="Não",Thrakiri!C22, " ")</f>
        <v xml:space="preserve"> </v>
      </c>
      <c r="F19" t="str">
        <v xml:space="preserve"> </v>
      </c>
      <c r="G19" t="str">
        <f>IF(Gitrog!D19="Não",Gitrog!C19, " ")</f>
        <v xml:space="preserve"> </v>
      </c>
      <c r="J19" t="str">
        <v xml:space="preserve"> </v>
      </c>
      <c r="K19" t="str">
        <f>IF(Elfos!D19="Não",Elfos!C19, " ")</f>
        <v xml:space="preserve"> </v>
      </c>
      <c r="N19" t="str">
        <v xml:space="preserve"> </v>
      </c>
      <c r="O19" t="str">
        <f>IF(Jhoira!D20="Não",Jhoira!C20, " ")</f>
        <v xml:space="preserve"> </v>
      </c>
      <c r="R19" t="str">
        <v xml:space="preserve"> </v>
      </c>
      <c r="S19" t="str">
        <f>IF(Fractius!D19="Não",Fractius!C19, " ")</f>
        <v xml:space="preserve"> </v>
      </c>
      <c r="V19" t="str">
        <v xml:space="preserve"> </v>
      </c>
      <c r="W19" t="str">
        <f>IF(Muzzio!D19="Não",Muzzio!C19, " ")</f>
        <v xml:space="preserve"> </v>
      </c>
    </row>
    <row r="20" spans="2:23" x14ac:dyDescent="0.25">
      <c r="B20" t="str">
        <v xml:space="preserve"> </v>
      </c>
      <c r="C20" t="str">
        <f>IF(Thrakiri!D23="Não",Thrakiri!C23, " ")</f>
        <v xml:space="preserve"> </v>
      </c>
      <c r="F20" t="str">
        <v xml:space="preserve"> </v>
      </c>
      <c r="G20" t="str">
        <f>IF(Gitrog!D20="Não",Gitrog!C20, " ")</f>
        <v xml:space="preserve"> </v>
      </c>
      <c r="J20" t="str">
        <v xml:space="preserve"> </v>
      </c>
      <c r="K20" t="str">
        <f>IF(Elfos!D20="Não",Elfos!C20, " ")</f>
        <v>Three Tree City</v>
      </c>
      <c r="N20" t="str">
        <v xml:space="preserve"> </v>
      </c>
      <c r="O20" t="str">
        <f>IF(Jhoira!D21="Não",Jhoira!C21, " ")</f>
        <v xml:space="preserve"> </v>
      </c>
      <c r="R20" t="str">
        <v xml:space="preserve"> </v>
      </c>
      <c r="S20" t="str">
        <f>IF(Fractius!D20="Não",Fractius!C20, " ")</f>
        <v xml:space="preserve"> </v>
      </c>
      <c r="V20" t="str">
        <v xml:space="preserve"> </v>
      </c>
      <c r="W20" t="str">
        <f>IF(Muzzio!D20="Não",Muzzio!C20, " ")</f>
        <v xml:space="preserve"> </v>
      </c>
    </row>
    <row r="21" spans="2:23" x14ac:dyDescent="0.25">
      <c r="B21" t="str">
        <v xml:space="preserve"> </v>
      </c>
      <c r="C21" t="str">
        <f>IF(Thrakiri!D24="Não",Thrakiri!C24, " ")</f>
        <v xml:space="preserve"> </v>
      </c>
      <c r="F21" t="str">
        <v xml:space="preserve"> </v>
      </c>
      <c r="G21" t="str">
        <f>IF(Gitrog!D21="Não",Gitrog!C21, " ")</f>
        <v xml:space="preserve"> </v>
      </c>
      <c r="J21" t="str">
        <v xml:space="preserve"> </v>
      </c>
      <c r="K21" t="str">
        <f>IF(Elfos!D21="Não",Elfos!C21, " ")</f>
        <v>Evendo, Waking Haven</v>
      </c>
      <c r="N21" t="str">
        <v xml:space="preserve"> </v>
      </c>
      <c r="O21" t="str">
        <f>IF(Jhoira!D22="Não",Jhoira!C22, " ")</f>
        <v xml:space="preserve"> </v>
      </c>
      <c r="R21" t="str">
        <v xml:space="preserve"> </v>
      </c>
      <c r="S21" t="str">
        <f>IF(Fractius!D21="Não",Fractius!C21, " ")</f>
        <v xml:space="preserve"> </v>
      </c>
      <c r="V21" t="str">
        <v xml:space="preserve"> </v>
      </c>
      <c r="W21" t="str">
        <f>IF(Muzzio!D21="Não",Muzzio!C21, " ")</f>
        <v xml:space="preserve"> </v>
      </c>
    </row>
    <row r="22" spans="2:23" x14ac:dyDescent="0.25">
      <c r="B22" t="str">
        <v xml:space="preserve"> </v>
      </c>
      <c r="C22" t="str">
        <f>IF(Thrakiri!D25="Não",Thrakiri!C25, " ")</f>
        <v xml:space="preserve"> </v>
      </c>
      <c r="F22" t="str">
        <v xml:space="preserve"> </v>
      </c>
      <c r="G22" t="str">
        <f>IF(Gitrog!D22="Não",Gitrog!C22, " ")</f>
        <v xml:space="preserve"> </v>
      </c>
      <c r="J22" t="str">
        <v xml:space="preserve"> </v>
      </c>
      <c r="K22" t="str">
        <f>IF(Elfos!D22="Não",Elfos!C22, " ")</f>
        <v xml:space="preserve"> </v>
      </c>
      <c r="N22" t="str">
        <v xml:space="preserve"> </v>
      </c>
      <c r="O22" t="str">
        <f>IF(Jhoira!D23="Não",Jhoira!C23, " ")</f>
        <v xml:space="preserve"> </v>
      </c>
      <c r="R22" t="str">
        <v xml:space="preserve"> </v>
      </c>
      <c r="S22" t="str">
        <f>IF(Fractius!D22="Não",Fractius!C22, " ")</f>
        <v xml:space="preserve"> </v>
      </c>
      <c r="V22" t="str">
        <v xml:space="preserve"> </v>
      </c>
      <c r="W22" t="str">
        <f>IF(Muzzio!D22="Não",Muzzio!C22, " ")</f>
        <v xml:space="preserve"> </v>
      </c>
    </row>
    <row r="23" spans="2:23" x14ac:dyDescent="0.25">
      <c r="B23" t="str">
        <v xml:space="preserve"> </v>
      </c>
      <c r="C23" t="str">
        <f>IF(Thrakiri!D26="Não",Thrakiri!C26, " ")</f>
        <v xml:space="preserve"> </v>
      </c>
      <c r="F23" t="str">
        <v xml:space="preserve"> </v>
      </c>
      <c r="G23" t="str">
        <f>IF(Gitrog!D23="Não",Gitrog!C23, " ")</f>
        <v xml:space="preserve"> </v>
      </c>
      <c r="J23" t="str">
        <v xml:space="preserve"> </v>
      </c>
      <c r="K23" t="str">
        <f>IF(Elfos!D23="Não",Elfos!C23, " ")</f>
        <v xml:space="preserve"> </v>
      </c>
      <c r="N23" t="str">
        <v xml:space="preserve"> </v>
      </c>
      <c r="O23" t="str">
        <f>IF(Jhoira!D24="Não",Jhoira!C24, " ")</f>
        <v xml:space="preserve"> </v>
      </c>
      <c r="R23" t="str">
        <v xml:space="preserve"> </v>
      </c>
      <c r="S23" t="str">
        <f>IF(Fractius!D23="Não",Fractius!C23, " ")</f>
        <v xml:space="preserve"> </v>
      </c>
      <c r="V23" t="str">
        <v xml:space="preserve"> </v>
      </c>
      <c r="W23" t="str">
        <f>IF(Muzzio!D23="Não",Muzzio!C23, " ")</f>
        <v xml:space="preserve"> </v>
      </c>
    </row>
    <row r="24" spans="2:23" x14ac:dyDescent="0.25">
      <c r="B24" t="str">
        <v xml:space="preserve"> </v>
      </c>
      <c r="C24" t="str">
        <f>IF(Thrakiri!D27="Não",Thrakiri!C27, " ")</f>
        <v xml:space="preserve"> </v>
      </c>
      <c r="F24" t="str">
        <v xml:space="preserve"> </v>
      </c>
      <c r="G24" t="str">
        <f>IF(Gitrog!D83="Não",Gitrog!C83, " ")</f>
        <v xml:space="preserve"> </v>
      </c>
      <c r="J24" t="str">
        <v xml:space="preserve"> </v>
      </c>
      <c r="K24" t="str">
        <f>IF(Elfos!D24="Não",Elfos!C24, " ")</f>
        <v xml:space="preserve"> </v>
      </c>
      <c r="N24" t="str">
        <v xml:space="preserve"> </v>
      </c>
      <c r="O24" t="str">
        <f>IF(Jhoira!D25="Não",Jhoira!C25, " ")</f>
        <v xml:space="preserve"> </v>
      </c>
      <c r="R24" t="str">
        <v xml:space="preserve"> </v>
      </c>
      <c r="S24" t="str">
        <f>IF(Fractius!D24="Não",Fractius!C24, " ")</f>
        <v xml:space="preserve"> </v>
      </c>
      <c r="V24" t="str">
        <v xml:space="preserve"> </v>
      </c>
      <c r="W24" t="str">
        <f>IF(Muzzio!D24="Não",Muzzio!C24, " ")</f>
        <v xml:space="preserve"> </v>
      </c>
    </row>
    <row r="25" spans="2:23" x14ac:dyDescent="0.25">
      <c r="B25" t="str">
        <v xml:space="preserve"> </v>
      </c>
      <c r="C25" t="str">
        <f>IF(Thrakiri!D28="Não",Thrakiri!C28, " ")</f>
        <v xml:space="preserve"> </v>
      </c>
      <c r="F25" t="str">
        <v xml:space="preserve"> </v>
      </c>
      <c r="G25" t="str">
        <f>IF(Gitrog!D24="Não",Gitrog!C24, " ")</f>
        <v>Takenuma, Charco Abandonado</v>
      </c>
      <c r="J25" t="str">
        <v xml:space="preserve"> </v>
      </c>
      <c r="K25" t="str">
        <f>IF(Elfos!D25="Não",Elfos!C25, " ")</f>
        <v xml:space="preserve"> </v>
      </c>
      <c r="N25" t="str">
        <v xml:space="preserve"> </v>
      </c>
      <c r="O25" t="str">
        <f>IF(Jhoira!D26="Não",Jhoira!C26, " ")</f>
        <v xml:space="preserve"> </v>
      </c>
      <c r="R25" t="str">
        <v xml:space="preserve"> </v>
      </c>
      <c r="S25" t="str">
        <f>IF(Fractius!D25="Não",Fractius!C25, " ")</f>
        <v xml:space="preserve"> </v>
      </c>
      <c r="V25" t="str">
        <v xml:space="preserve"> </v>
      </c>
      <c r="W25" t="str">
        <f>IF(Muzzio!D25="Não",Muzzio!C25, " ")</f>
        <v xml:space="preserve"> </v>
      </c>
    </row>
    <row r="26" spans="2:23" x14ac:dyDescent="0.25">
      <c r="B26" t="str">
        <v xml:space="preserve"> </v>
      </c>
      <c r="C26" t="str">
        <f>IF(Thrakiri!D29="Não",Thrakiri!C29, " ")</f>
        <v xml:space="preserve"> </v>
      </c>
      <c r="F26" t="str">
        <v xml:space="preserve"> </v>
      </c>
      <c r="G26" t="str">
        <f>IF(Gitrog!D25="Não",Gitrog!C25, " ")</f>
        <v xml:space="preserve"> </v>
      </c>
      <c r="J26" t="str">
        <v xml:space="preserve"> </v>
      </c>
      <c r="K26" t="str">
        <f>IF(Elfos!D26="Não",Elfos!C26, " ")</f>
        <v xml:space="preserve"> </v>
      </c>
      <c r="N26" t="str">
        <v xml:space="preserve"> </v>
      </c>
      <c r="O26" t="str">
        <f>IF(Jhoira!D27="Não",Jhoira!C27, " ")</f>
        <v xml:space="preserve"> </v>
      </c>
      <c r="R26" t="str">
        <v xml:space="preserve"> </v>
      </c>
      <c r="S26" t="str">
        <f>IF(Fractius!D26="Não",Fractius!C26, " ")</f>
        <v xml:space="preserve"> </v>
      </c>
      <c r="V26" t="str">
        <v xml:space="preserve"> </v>
      </c>
      <c r="W26" t="str">
        <f>IF(Muzzio!D26="Não",Muzzio!C26, " ")</f>
        <v xml:space="preserve"> </v>
      </c>
    </row>
    <row r="27" spans="2:23" x14ac:dyDescent="0.25">
      <c r="B27" t="str">
        <v xml:space="preserve"> </v>
      </c>
      <c r="C27" t="str">
        <f>IF(Thrakiri!D30="Não",Thrakiri!C30, " ")</f>
        <v xml:space="preserve"> </v>
      </c>
      <c r="F27" t="str">
        <v xml:space="preserve"> </v>
      </c>
      <c r="G27" t="str">
        <f>IF(Gitrog!D26="Não",Gitrog!C26, " ")</f>
        <v xml:space="preserve"> </v>
      </c>
      <c r="J27" t="str">
        <v xml:space="preserve"> </v>
      </c>
      <c r="K27" t="str">
        <f>IF(Elfos!D27="Não",Elfos!C27, " ")</f>
        <v xml:space="preserve"> </v>
      </c>
      <c r="N27" t="str">
        <v xml:space="preserve"> </v>
      </c>
      <c r="O27" t="str">
        <f>IF(Jhoira!D28="Não",Jhoira!C28, " ")</f>
        <v xml:space="preserve"> </v>
      </c>
      <c r="R27" t="str">
        <v xml:space="preserve"> </v>
      </c>
      <c r="S27" t="str">
        <f>IF(Fractius!D27="Não",Fractius!C27, " ")</f>
        <v xml:space="preserve"> </v>
      </c>
      <c r="V27" t="str">
        <v xml:space="preserve"> </v>
      </c>
      <c r="W27" t="str">
        <f>IF(Muzzio!D27="Não",Muzzio!C27, " ")</f>
        <v xml:space="preserve"> </v>
      </c>
    </row>
    <row r="28" spans="2:23" x14ac:dyDescent="0.25">
      <c r="B28" t="str">
        <v xml:space="preserve"> </v>
      </c>
      <c r="C28" t="str">
        <f>IF(Thrakiri!D31="Não",Thrakiri!C31, " ")</f>
        <v xml:space="preserve"> </v>
      </c>
      <c r="F28" t="str">
        <v xml:space="preserve"> </v>
      </c>
      <c r="G28" t="str">
        <f>IF(Gitrog!D27="Não",Gitrog!C27, " ")</f>
        <v xml:space="preserve"> </v>
      </c>
      <c r="J28" t="str">
        <v xml:space="preserve"> </v>
      </c>
      <c r="K28" t="str">
        <f>IF(Elfos!D28="Não",Elfos!C28, " ")</f>
        <v xml:space="preserve"> </v>
      </c>
      <c r="N28" t="str">
        <v xml:space="preserve"> </v>
      </c>
      <c r="O28" t="str">
        <f>IF(Jhoira!D29="Não",Jhoira!C29, " ")</f>
        <v xml:space="preserve"> </v>
      </c>
      <c r="R28" t="str">
        <v xml:space="preserve"> </v>
      </c>
      <c r="S28" t="str">
        <f>IF(Fractius!D28="Não",Fractius!C28, " ")</f>
        <v xml:space="preserve"> </v>
      </c>
      <c r="V28" t="str">
        <v xml:space="preserve"> </v>
      </c>
      <c r="W28" t="str">
        <f>IF(Muzzio!D28="Não",Muzzio!C28, " ")</f>
        <v xml:space="preserve"> </v>
      </c>
    </row>
    <row r="29" spans="2:23" x14ac:dyDescent="0.25">
      <c r="B29" t="str">
        <v xml:space="preserve"> </v>
      </c>
      <c r="C29" t="str">
        <f>IF(Thrakiri!D32="Não",Thrakiri!C32, " ")</f>
        <v xml:space="preserve"> </v>
      </c>
      <c r="F29" t="str">
        <v xml:space="preserve"> </v>
      </c>
      <c r="G29" t="str">
        <f>IF(Gitrog!D28="Não",Gitrog!C28, " ")</f>
        <v xml:space="preserve"> </v>
      </c>
      <c r="J29" t="str">
        <v xml:space="preserve"> </v>
      </c>
      <c r="K29" t="str">
        <f>IF(Elfos!D29="Não",Elfos!C29, " ")</f>
        <v xml:space="preserve"> </v>
      </c>
      <c r="N29" t="str">
        <v xml:space="preserve"> </v>
      </c>
      <c r="O29" t="str">
        <f>IF(Jhoira!D30="Não",Jhoira!C30, " ")</f>
        <v xml:space="preserve"> </v>
      </c>
      <c r="R29" t="str">
        <v xml:space="preserve"> </v>
      </c>
      <c r="S29" t="str">
        <f>IF(Fractius!D87="Não",Fractius!C87, " ")</f>
        <v xml:space="preserve"> </v>
      </c>
      <c r="V29" t="str">
        <v xml:space="preserve"> </v>
      </c>
      <c r="W29" t="str">
        <f>IF(Muzzio!D29="Não",Muzzio!C29, " ")</f>
        <v xml:space="preserve"> </v>
      </c>
    </row>
    <row r="30" spans="2:23" x14ac:dyDescent="0.25">
      <c r="B30" t="str">
        <v xml:space="preserve"> </v>
      </c>
      <c r="C30" t="str">
        <f>IF(Thrakiri!D18="Não",Thrakiri!C18, " ")</f>
        <v xml:space="preserve"> </v>
      </c>
      <c r="F30" t="str">
        <v xml:space="preserve"> </v>
      </c>
      <c r="G30" t="str">
        <f>IF(Gitrog!D29="Não",Gitrog!C29, " ")</f>
        <v xml:space="preserve"> </v>
      </c>
      <c r="J30" t="str">
        <v xml:space="preserve"> </v>
      </c>
      <c r="K30" t="str">
        <f>IF(Elfos!D30="Não",Elfos!C30, " ")</f>
        <v xml:space="preserve"> </v>
      </c>
      <c r="N30" t="str">
        <v xml:space="preserve"> </v>
      </c>
      <c r="O30" t="str">
        <f>IF(Jhoira!D31="Não",Jhoira!C31, " ")</f>
        <v xml:space="preserve"> </v>
      </c>
      <c r="R30" t="str">
        <v xml:space="preserve"> </v>
      </c>
      <c r="S30" t="str">
        <f>IF(Fractius!D29="Não",Fractius!C29, " ")</f>
        <v xml:space="preserve"> </v>
      </c>
      <c r="V30" t="str">
        <v xml:space="preserve"> </v>
      </c>
      <c r="W30" t="str">
        <f>IF(Muzzio!D30="Não",Muzzio!C30, " ")</f>
        <v xml:space="preserve"> </v>
      </c>
    </row>
    <row r="31" spans="2:23" x14ac:dyDescent="0.25">
      <c r="B31" t="str">
        <v xml:space="preserve"> </v>
      </c>
      <c r="C31" t="str">
        <f>IF(Thrakiri!D33="Não",Thrakiri!C33, " ")</f>
        <v xml:space="preserve"> </v>
      </c>
      <c r="F31" t="str">
        <v xml:space="preserve"> </v>
      </c>
      <c r="G31" t="str">
        <f>IF(Gitrog!D30="Não",Gitrog!C30, " ")</f>
        <v xml:space="preserve"> </v>
      </c>
      <c r="J31" t="str">
        <v xml:space="preserve"> </v>
      </c>
      <c r="K31" t="str">
        <f>IF(Elfos!D31="Não",Elfos!C31, " ")</f>
        <v xml:space="preserve"> </v>
      </c>
      <c r="N31" t="str">
        <v xml:space="preserve"> </v>
      </c>
      <c r="O31" t="str">
        <f>IF(Jhoira!D32="Não",Jhoira!C32, " ")</f>
        <v xml:space="preserve"> </v>
      </c>
      <c r="R31" t="str">
        <v xml:space="preserve"> </v>
      </c>
      <c r="S31" t="str">
        <f>IF(Fractius!D30="Não",Fractius!C30, " ")</f>
        <v xml:space="preserve"> </v>
      </c>
      <c r="V31" t="str">
        <v xml:space="preserve"> </v>
      </c>
      <c r="W31" t="str">
        <f>IF(Muzzio!D31="Não",Muzzio!C31, " ")</f>
        <v xml:space="preserve"> </v>
      </c>
    </row>
    <row r="32" spans="2:23" x14ac:dyDescent="0.25">
      <c r="B32" t="str">
        <v xml:space="preserve"> </v>
      </c>
      <c r="C32" t="str">
        <f>IF(Thrakiri!D34="Não",Thrakiri!C34, " ")</f>
        <v xml:space="preserve"> </v>
      </c>
      <c r="F32" t="str">
        <v xml:space="preserve"> </v>
      </c>
      <c r="G32" t="str">
        <f>IF(Gitrog!D31="Não",Gitrog!C31, " ")</f>
        <v xml:space="preserve"> </v>
      </c>
      <c r="J32" t="str">
        <v xml:space="preserve"> </v>
      </c>
      <c r="K32" t="str">
        <f>IF(Elfos!D32="Não",Elfos!C32, " ")</f>
        <v xml:space="preserve"> </v>
      </c>
      <c r="N32" t="str">
        <v xml:space="preserve"> </v>
      </c>
      <c r="O32" t="str">
        <f>IF(Jhoira!D33="Não",Jhoira!C33, " ")</f>
        <v xml:space="preserve"> </v>
      </c>
      <c r="R32" t="str">
        <v xml:space="preserve"> </v>
      </c>
      <c r="S32" t="str">
        <f>IF(Fractius!D31="Não",Fractius!C31, " ")</f>
        <v xml:space="preserve"> </v>
      </c>
      <c r="V32" t="str">
        <v xml:space="preserve"> </v>
      </c>
      <c r="W32" t="str">
        <f>IF(Muzzio!D33="Não",Muzzio!C33, " ")</f>
        <v xml:space="preserve"> </v>
      </c>
    </row>
    <row r="33" spans="2:23" x14ac:dyDescent="0.25">
      <c r="B33" t="str">
        <v xml:space="preserve"> </v>
      </c>
      <c r="C33" t="str">
        <f>IF(Thrakiri!D35="Não",Thrakiri!C35, " ")</f>
        <v xml:space="preserve"> </v>
      </c>
      <c r="F33" t="str">
        <v xml:space="preserve"> </v>
      </c>
      <c r="G33" t="str">
        <f>IF(Gitrog!D32="Não",Gitrog!C32, " ")</f>
        <v xml:space="preserve"> </v>
      </c>
      <c r="J33" t="str">
        <v xml:space="preserve"> </v>
      </c>
      <c r="K33" t="str">
        <f>IF(Elfos!D33="Não",Elfos!C33, " ")</f>
        <v xml:space="preserve"> </v>
      </c>
      <c r="N33" t="str">
        <v xml:space="preserve"> </v>
      </c>
      <c r="O33" t="str">
        <f>IF(Jhoira!D34="Não",Jhoira!C34, " ")</f>
        <v xml:space="preserve"> </v>
      </c>
      <c r="R33" t="str">
        <v xml:space="preserve"> </v>
      </c>
      <c r="S33" t="str">
        <f>IF(Fractius!D32="Não",Fractius!C32, " ")</f>
        <v xml:space="preserve"> </v>
      </c>
      <c r="V33" t="str">
        <v xml:space="preserve"> </v>
      </c>
      <c r="W33" t="str">
        <f>IF(Muzzio!D39="Não",Muzzio!C39, " ")</f>
        <v xml:space="preserve"> </v>
      </c>
    </row>
    <row r="34" spans="2:23" x14ac:dyDescent="0.25">
      <c r="B34" t="str">
        <v xml:space="preserve"> </v>
      </c>
      <c r="C34" t="str">
        <f>IF(Thrakiri!D36="Não",Thrakiri!C36, " ")</f>
        <v xml:space="preserve"> </v>
      </c>
      <c r="F34" t="str">
        <v xml:space="preserve"> </v>
      </c>
      <c r="G34" t="str">
        <f>IF(Gitrog!D33="Não",Gitrog!C33, " ")</f>
        <v xml:space="preserve"> </v>
      </c>
      <c r="J34" t="str">
        <v xml:space="preserve"> </v>
      </c>
      <c r="K34" t="str">
        <f>IF(Elfos!D34="Não",Elfos!C34, " ")</f>
        <v xml:space="preserve"> </v>
      </c>
      <c r="N34" t="str">
        <v xml:space="preserve"> </v>
      </c>
      <c r="O34" t="str">
        <f>IF(Jhoira!D35="Não",Jhoira!C35, " ")</f>
        <v xml:space="preserve"> </v>
      </c>
      <c r="R34" t="str">
        <v xml:space="preserve"> </v>
      </c>
      <c r="S34" t="str">
        <f>IF(Fractius!D33="Não",Fractius!C33, " ")</f>
        <v xml:space="preserve"> </v>
      </c>
      <c r="V34" t="str">
        <v xml:space="preserve"> </v>
      </c>
      <c r="W34" t="str">
        <f>IF(Muzzio!D50="Não",Muzzio!C50, " ")</f>
        <v xml:space="preserve"> </v>
      </c>
    </row>
    <row r="35" spans="2:23" x14ac:dyDescent="0.25">
      <c r="B35" t="str">
        <v xml:space="preserve"> </v>
      </c>
      <c r="C35" t="str">
        <f>IF(Thrakiri!D37="Não",Thrakiri!C37, " ")</f>
        <v xml:space="preserve"> </v>
      </c>
      <c r="F35" t="str">
        <v xml:space="preserve"> </v>
      </c>
      <c r="G35" t="str">
        <f>IF(Gitrog!D34="Não",Gitrog!C34, " ")</f>
        <v xml:space="preserve"> </v>
      </c>
      <c r="J35" t="str">
        <v xml:space="preserve"> </v>
      </c>
      <c r="K35" t="str">
        <f>IF(Elfos!D35="Não",Elfos!C35, " ")</f>
        <v xml:space="preserve"> </v>
      </c>
      <c r="N35" t="str">
        <v xml:space="preserve"> </v>
      </c>
      <c r="O35" t="str">
        <f>IF(Jhoira!D36="Não",Jhoira!C36, " ")</f>
        <v xml:space="preserve"> </v>
      </c>
      <c r="R35" t="str">
        <v xml:space="preserve"> </v>
      </c>
      <c r="S35" t="str">
        <f>IF(Fractius!D34="Não",Fractius!C34, " ")</f>
        <v xml:space="preserve"> </v>
      </c>
      <c r="V35" t="str">
        <v xml:space="preserve"> </v>
      </c>
      <c r="W35" t="str">
        <f>IF(Muzzio!D49="Não",Muzzio!C49, " ")</f>
        <v>Caixa Enigmática Desconcertante</v>
      </c>
    </row>
    <row r="36" spans="2:23" x14ac:dyDescent="0.25">
      <c r="B36" t="str">
        <v xml:space="preserve"> </v>
      </c>
      <c r="C36" t="str">
        <f>IF(Thrakiri!D38="Não",Thrakiri!C38, " ")</f>
        <v xml:space="preserve"> </v>
      </c>
      <c r="F36" t="str">
        <v xml:space="preserve"> </v>
      </c>
      <c r="G36" t="str">
        <f>IF(Gitrog!D35="Não",Gitrog!C35, " ")</f>
        <v xml:space="preserve"> </v>
      </c>
      <c r="J36" t="str">
        <v xml:space="preserve"> </v>
      </c>
      <c r="K36" t="str">
        <f>IF(Elfos!D36="Não",Elfos!C36, " ")</f>
        <v xml:space="preserve"> </v>
      </c>
      <c r="N36" t="str">
        <v xml:space="preserve"> </v>
      </c>
      <c r="O36" t="str">
        <f>IF(Jhoira!D38="Não",Jhoira!C38, " ")</f>
        <v xml:space="preserve"> </v>
      </c>
      <c r="R36" t="str">
        <v xml:space="preserve"> </v>
      </c>
      <c r="S36" t="str">
        <f>IF(Fractius!D35="Não",Fractius!C35, " ")</f>
        <v xml:space="preserve"> </v>
      </c>
      <c r="V36" t="str">
        <v xml:space="preserve"> </v>
      </c>
      <c r="W36" t="str">
        <f>IF(Muzzio!D45="Não",Muzzio!C45, " ")</f>
        <v xml:space="preserve"> </v>
      </c>
    </row>
    <row r="37" spans="2:23" x14ac:dyDescent="0.25">
      <c r="B37" t="str">
        <v xml:space="preserve"> </v>
      </c>
      <c r="C37" t="str">
        <f>IF(Thrakiri!D39="Não",Thrakiri!C39, " ")</f>
        <v xml:space="preserve"> </v>
      </c>
      <c r="F37" t="str">
        <v xml:space="preserve"> </v>
      </c>
      <c r="G37" t="str">
        <f>IF(Gitrog!D36="Não",Gitrog!C36, " ")</f>
        <v xml:space="preserve"> </v>
      </c>
      <c r="J37" t="str">
        <v xml:space="preserve"> </v>
      </c>
      <c r="K37" t="str">
        <f>IF(Elfos!D37="Não",Elfos!C37, " ")</f>
        <v xml:space="preserve"> </v>
      </c>
      <c r="N37" t="str">
        <v xml:space="preserve"> </v>
      </c>
      <c r="O37" t="str">
        <f>IF(Jhoira!D39="Não",Jhoira!C39, " ")</f>
        <v xml:space="preserve"> </v>
      </c>
      <c r="R37" t="str">
        <v xml:space="preserve"> </v>
      </c>
      <c r="S37" t="str">
        <f>IF(Fractius!D36="Não",Fractius!C36, " ")</f>
        <v xml:space="preserve"> </v>
      </c>
      <c r="V37" t="str">
        <v xml:space="preserve"> </v>
      </c>
      <c r="W37" t="str">
        <f>IF(Muzzio!D48="Não",Muzzio!C48, " ")</f>
        <v xml:space="preserve"> </v>
      </c>
    </row>
    <row r="38" spans="2:23" x14ac:dyDescent="0.25">
      <c r="B38" t="str">
        <v xml:space="preserve"> </v>
      </c>
      <c r="C38" t="str">
        <f>IF(Thrakiri!D40="Não",Thrakiri!C40, " ")</f>
        <v xml:space="preserve"> </v>
      </c>
      <c r="F38" t="str">
        <v xml:space="preserve"> </v>
      </c>
      <c r="G38" t="str">
        <f>IF(Gitrog!D37="Não",Gitrog!C37, " ")</f>
        <v xml:space="preserve"> </v>
      </c>
      <c r="J38" t="str">
        <v xml:space="preserve"> </v>
      </c>
      <c r="K38" t="str">
        <f>IF(Elfos!D38="Não",Elfos!C38, " ")</f>
        <v xml:space="preserve"> </v>
      </c>
      <c r="N38" t="str">
        <v xml:space="preserve"> </v>
      </c>
      <c r="O38" t="str">
        <f>IF(Jhoira!D40="Não",Jhoira!C40, " ")</f>
        <v xml:space="preserve"> </v>
      </c>
      <c r="R38" t="str">
        <v xml:space="preserve"> </v>
      </c>
      <c r="S38" t="str">
        <f>IF(Fractius!D37="Não",Fractius!C37, " ")</f>
        <v xml:space="preserve"> </v>
      </c>
      <c r="V38" t="str">
        <v xml:space="preserve"> </v>
      </c>
      <c r="W38" t="str">
        <f>IF(Muzzio!D46="Não",Muzzio!C46, " ")</f>
        <v xml:space="preserve"> </v>
      </c>
    </row>
    <row r="39" spans="2:23" x14ac:dyDescent="0.25">
      <c r="B39" t="str">
        <v xml:space="preserve"> </v>
      </c>
      <c r="C39" t="str">
        <f>IF(Thrakiri!D41="Não",Thrakiri!C41, " ")</f>
        <v xml:space="preserve"> </v>
      </c>
      <c r="F39" t="str">
        <v xml:space="preserve"> </v>
      </c>
      <c r="G39" t="str">
        <f>IF(Gitrog!D38="Não",Gitrog!C38, " ")</f>
        <v xml:space="preserve"> </v>
      </c>
      <c r="J39" t="str">
        <v xml:space="preserve"> </v>
      </c>
      <c r="K39" t="str">
        <f>IF(Elfos!D39="Não",Elfos!C39, " ")</f>
        <v xml:space="preserve"> </v>
      </c>
      <c r="N39" t="str">
        <v xml:space="preserve"> </v>
      </c>
      <c r="O39" t="str">
        <f>IF(Jhoira!D41="Não",Jhoira!C41, " ")</f>
        <v xml:space="preserve"> </v>
      </c>
      <c r="R39" t="str">
        <v xml:space="preserve"> </v>
      </c>
      <c r="S39" t="str">
        <f>IF(Fractius!D38="Não",Fractius!C38, " ")</f>
        <v xml:space="preserve"> </v>
      </c>
      <c r="V39" t="str">
        <v xml:space="preserve"> </v>
      </c>
      <c r="W39" t="str">
        <f>IF(Muzzio!D52="Não",Muzzio!C52, " ")</f>
        <v xml:space="preserve"> </v>
      </c>
    </row>
    <row r="40" spans="2:23" x14ac:dyDescent="0.25">
      <c r="B40" t="str">
        <v xml:space="preserve"> </v>
      </c>
      <c r="C40" t="str">
        <f>IF(Thrakiri!D42="Não",Thrakiri!C42, " ")</f>
        <v xml:space="preserve"> </v>
      </c>
      <c r="F40" t="str">
        <v xml:space="preserve"> </v>
      </c>
      <c r="G40" t="str">
        <f>IF(Gitrog!D39="Não",Gitrog!C39, " ")</f>
        <v xml:space="preserve"> </v>
      </c>
      <c r="J40" t="str">
        <v xml:space="preserve"> </v>
      </c>
      <c r="K40" t="str">
        <f>IF(Elfos!D40="Não",Elfos!C40, " ")</f>
        <v xml:space="preserve"> </v>
      </c>
      <c r="N40" t="str">
        <v xml:space="preserve"> </v>
      </c>
      <c r="O40" t="str">
        <f>IF(Jhoira!D43="Não",Jhoira!C43, " ")</f>
        <v xml:space="preserve"> </v>
      </c>
      <c r="R40" t="str">
        <v xml:space="preserve"> </v>
      </c>
      <c r="S40" t="str">
        <f>IF(Fractius!D39="Não",Fractius!C39, " ")</f>
        <v xml:space="preserve"> </v>
      </c>
      <c r="V40" t="str">
        <v xml:space="preserve"> </v>
      </c>
      <c r="W40" t="str">
        <f>IF(Muzzio!D38="Não",Muzzio!C38, " ")</f>
        <v xml:space="preserve"> </v>
      </c>
    </row>
    <row r="41" spans="2:23" x14ac:dyDescent="0.25">
      <c r="B41" t="str">
        <v xml:space="preserve"> </v>
      </c>
      <c r="C41" t="str">
        <f>IF(Thrakiri!D43="Não",Thrakiri!C43, " ")</f>
        <v xml:space="preserve"> </v>
      </c>
      <c r="F41" t="str">
        <v xml:space="preserve"> </v>
      </c>
      <c r="G41" t="str">
        <f>IF(Gitrog!D40="Não",Gitrog!C40, " ")</f>
        <v xml:space="preserve"> </v>
      </c>
      <c r="J41" t="str">
        <v xml:space="preserve"> </v>
      </c>
      <c r="K41" t="str">
        <f>IF(Elfos!D41="Não",Elfos!C41, " ")</f>
        <v xml:space="preserve"> </v>
      </c>
      <c r="N41" t="str">
        <v xml:space="preserve"> </v>
      </c>
      <c r="O41" t="str">
        <f>IF(Jhoira!D42="Não",Jhoira!C42, " ")</f>
        <v>Ulamog, o Profanador</v>
      </c>
      <c r="R41" t="str">
        <v xml:space="preserve"> </v>
      </c>
      <c r="S41" t="str">
        <f>IF(Fractius!D40="Não",Fractius!C40, " ")</f>
        <v xml:space="preserve"> </v>
      </c>
      <c r="V41" t="str">
        <v xml:space="preserve"> </v>
      </c>
      <c r="W41" t="str">
        <f>IF(Muzzio!D34="Não",Muzzio!C34, " ")</f>
        <v xml:space="preserve"> </v>
      </c>
    </row>
    <row r="42" spans="2:23" x14ac:dyDescent="0.25">
      <c r="B42" t="str">
        <v xml:space="preserve"> </v>
      </c>
      <c r="C42" t="str">
        <f>IF(Thrakiri!D44="Não",Thrakiri!C44, " ")</f>
        <v xml:space="preserve"> </v>
      </c>
      <c r="F42" t="str">
        <v xml:space="preserve"> </v>
      </c>
      <c r="G42" t="str">
        <f>IF(Gitrog!D41="Não",Gitrog!C41, " ")</f>
        <v xml:space="preserve"> </v>
      </c>
      <c r="J42" t="str">
        <v xml:space="preserve"> </v>
      </c>
      <c r="K42" t="str">
        <f>IF(Elfos!D42="Não",Elfos!C42, " ")</f>
        <v xml:space="preserve"> </v>
      </c>
      <c r="N42" t="str">
        <v xml:space="preserve"> </v>
      </c>
      <c r="O42" t="str">
        <f>IF(Jhoira!D44="Não",Jhoira!C44, " ")</f>
        <v xml:space="preserve"> </v>
      </c>
      <c r="R42" t="str">
        <v xml:space="preserve"> </v>
      </c>
      <c r="S42" t="str">
        <f>IF(Fractius!D42="Não",Fractius!C42, " ")</f>
        <v xml:space="preserve"> </v>
      </c>
      <c r="V42" t="str">
        <v xml:space="preserve"> </v>
      </c>
      <c r="W42" t="str">
        <f>IF(Muzzio!D40="Não",Muzzio!C40, " ")</f>
        <v xml:space="preserve"> </v>
      </c>
    </row>
    <row r="43" spans="2:23" x14ac:dyDescent="0.25">
      <c r="B43" t="str">
        <v xml:space="preserve"> </v>
      </c>
      <c r="C43" t="str">
        <f>IF(Thrakiri!D45="Não",Thrakiri!C45, " ")</f>
        <v>Obelisco de Obsidiana</v>
      </c>
      <c r="F43" t="str">
        <v xml:space="preserve"> </v>
      </c>
      <c r="G43" t="str">
        <f>IF(Gitrog!D42="Não",Gitrog!C42, " ")</f>
        <v xml:space="preserve"> </v>
      </c>
      <c r="J43" t="str">
        <v xml:space="preserve"> </v>
      </c>
      <c r="K43" t="str">
        <f>IF(Elfos!D43="Não",Elfos!C43, " ")</f>
        <v xml:space="preserve"> </v>
      </c>
      <c r="N43" t="str">
        <v xml:space="preserve"> </v>
      </c>
      <c r="O43" t="str">
        <f>IF(Jhoira!D45="Não",Jhoira!C45, " ")</f>
        <v xml:space="preserve"> </v>
      </c>
      <c r="R43" t="str">
        <v xml:space="preserve"> </v>
      </c>
      <c r="S43" t="str">
        <f>IF(Fractius!D43="Não",Fractius!C43, " ")</f>
        <v xml:space="preserve"> </v>
      </c>
      <c r="V43" t="str">
        <v xml:space="preserve"> </v>
      </c>
      <c r="W43" t="str">
        <f>IF(Muzzio!D41="Não",Muzzio!C41, " ")</f>
        <v>Sonic Screwdriver</v>
      </c>
    </row>
    <row r="44" spans="2:23" x14ac:dyDescent="0.25">
      <c r="B44" t="str">
        <v xml:space="preserve"> </v>
      </c>
      <c r="C44" t="str">
        <f>IF(Thrakiri!D46="Não",Thrakiri!C46, " ")</f>
        <v xml:space="preserve"> </v>
      </c>
      <c r="F44" t="str">
        <v xml:space="preserve"> </v>
      </c>
      <c r="G44" t="str">
        <f>IF(Gitrog!D43="Não",Gitrog!C43, " ")</f>
        <v xml:space="preserve"> </v>
      </c>
      <c r="J44" t="str">
        <v xml:space="preserve"> </v>
      </c>
      <c r="K44" t="str">
        <f>IF(Elfos!D44="Não",Elfos!C44, " ")</f>
        <v xml:space="preserve"> </v>
      </c>
      <c r="N44" t="str">
        <v xml:space="preserve"> </v>
      </c>
      <c r="O44" t="str">
        <f>IF(Jhoira!D46="Não",Jhoira!C46, " ")</f>
        <v xml:space="preserve"> </v>
      </c>
      <c r="R44" t="str">
        <v xml:space="preserve"> </v>
      </c>
      <c r="S44" t="str">
        <f>IF(Fractius!D44="Não",Fractius!C44, " ")</f>
        <v xml:space="preserve"> </v>
      </c>
      <c r="V44" t="str">
        <v xml:space="preserve"> </v>
      </c>
      <c r="W44" t="str">
        <f>IF(Muzzio!D42="Não",Muzzio!C42, " ")</f>
        <v xml:space="preserve"> </v>
      </c>
    </row>
    <row r="45" spans="2:23" x14ac:dyDescent="0.25">
      <c r="B45" t="str">
        <v xml:space="preserve"> </v>
      </c>
      <c r="C45" t="str">
        <f>IF(Thrakiri!D47="Não",Thrakiri!C47, " ")</f>
        <v xml:space="preserve"> </v>
      </c>
      <c r="F45" t="str">
        <v xml:space="preserve"> </v>
      </c>
      <c r="G45" t="str">
        <f>IF(Gitrog!D44="Não",Gitrog!C44, " ")</f>
        <v xml:space="preserve"> </v>
      </c>
      <c r="J45" t="str">
        <v xml:space="preserve"> </v>
      </c>
      <c r="K45" t="str">
        <f>IF(Elfos!D45="Não",Elfos!C45, " ")</f>
        <v xml:space="preserve"> </v>
      </c>
      <c r="N45" t="str">
        <v xml:space="preserve"> </v>
      </c>
      <c r="O45" t="str">
        <f>IF(Jhoira!D47="Não",Jhoira!C47, " ")</f>
        <v xml:space="preserve"> </v>
      </c>
      <c r="R45" t="str">
        <v xml:space="preserve"> </v>
      </c>
      <c r="S45" t="str">
        <f>IF(Fractius!D45="Não",Fractius!C45, " ")</f>
        <v xml:space="preserve"> </v>
      </c>
      <c r="V45" t="str">
        <v xml:space="preserve"> </v>
      </c>
      <c r="W45" t="str">
        <f>IF(Muzzio!D35="Não",Muzzio!C35, " ")</f>
        <v xml:space="preserve"> </v>
      </c>
    </row>
    <row r="46" spans="2:23" x14ac:dyDescent="0.25">
      <c r="B46" t="str">
        <v xml:space="preserve"> </v>
      </c>
      <c r="C46" t="str">
        <f>IF(Thrakiri!D48="Não",Thrakiri!C48, " ")</f>
        <v xml:space="preserve"> </v>
      </c>
      <c r="F46" t="str">
        <v xml:space="preserve"> </v>
      </c>
      <c r="G46" t="str">
        <f>IF(Gitrog!D45="Não",Gitrog!C45, " ")</f>
        <v xml:space="preserve"> </v>
      </c>
      <c r="J46" t="str">
        <v xml:space="preserve"> </v>
      </c>
      <c r="K46" t="str">
        <f>IF(Elfos!D46="Não",Elfos!C46, " ")</f>
        <v xml:space="preserve"> </v>
      </c>
      <c r="N46" t="str">
        <v xml:space="preserve"> </v>
      </c>
      <c r="O46" t="str">
        <f>IF(Jhoira!D37="Não",Jhoira!C37, " ")</f>
        <v>Emrakul, um Novo Mundo</v>
      </c>
      <c r="R46" t="str">
        <v xml:space="preserve"> </v>
      </c>
      <c r="S46" t="str">
        <f>IF(Fractius!D46="Não",Fractius!C46, " ")</f>
        <v xml:space="preserve"> </v>
      </c>
      <c r="V46" t="str">
        <v xml:space="preserve"> </v>
      </c>
      <c r="W46" t="str">
        <f>IF(Muzzio!D47="Não",Muzzio!C47, " ")</f>
        <v xml:space="preserve"> </v>
      </c>
    </row>
    <row r="47" spans="2:23" x14ac:dyDescent="0.25">
      <c r="B47" t="str">
        <v xml:space="preserve"> </v>
      </c>
      <c r="C47" t="str">
        <f>IF(Thrakiri!D49="Não",Thrakiri!C49, " ")</f>
        <v xml:space="preserve"> </v>
      </c>
      <c r="F47" t="str">
        <v xml:space="preserve"> </v>
      </c>
      <c r="G47" t="str">
        <f>IF(Gitrog!D46="Não",Gitrog!C46, " ")</f>
        <v xml:space="preserve"> </v>
      </c>
      <c r="J47" t="str">
        <v xml:space="preserve"> </v>
      </c>
      <c r="K47" t="str">
        <f>IF(Elfos!D47="Não",Elfos!C47, " ")</f>
        <v xml:space="preserve"> </v>
      </c>
      <c r="N47" t="str">
        <v xml:space="preserve"> </v>
      </c>
      <c r="O47" t="str">
        <f>IF(Jhoira!D48="Não",Jhoira!C48, " ")</f>
        <v xml:space="preserve"> </v>
      </c>
      <c r="R47" t="str">
        <v xml:space="preserve"> </v>
      </c>
      <c r="S47" t="str">
        <f>IF(Fractius!D47="Não",Fractius!C47, " ")</f>
        <v xml:space="preserve"> </v>
      </c>
      <c r="V47" t="str">
        <v xml:space="preserve"> </v>
      </c>
      <c r="W47" t="str">
        <f>IF(Muzzio!D51="Não",Muzzio!C51, " ")</f>
        <v xml:space="preserve"> </v>
      </c>
    </row>
    <row r="48" spans="2:23" x14ac:dyDescent="0.25">
      <c r="B48" t="str">
        <v xml:space="preserve"> </v>
      </c>
      <c r="C48" t="str">
        <f>IF(Thrakiri!D17="Não",Thrakiri!C17, " ")</f>
        <v>Uthros, Titanic Godcore</v>
      </c>
      <c r="F48" t="str">
        <v xml:space="preserve"> </v>
      </c>
      <c r="G48" t="str">
        <f>IF(Gitrog!D47="Não",Gitrog!C47, " ")</f>
        <v xml:space="preserve"> </v>
      </c>
      <c r="J48" t="str">
        <v xml:space="preserve"> </v>
      </c>
      <c r="K48" t="str">
        <f>IF(Elfos!D48="Não",Elfos!C48, " ")</f>
        <v xml:space="preserve"> </v>
      </c>
      <c r="N48" t="str">
        <v xml:space="preserve"> </v>
      </c>
      <c r="O48" t="str">
        <f>IF(Jhoira!D73="Não",Jhoira!C73, " ")</f>
        <v xml:space="preserve"> </v>
      </c>
      <c r="R48" t="str">
        <v xml:space="preserve"> </v>
      </c>
      <c r="S48" t="str">
        <f>IF(Fractius!D48="Não",Fractius!C48, " ")</f>
        <v xml:space="preserve"> </v>
      </c>
      <c r="V48" t="str">
        <v xml:space="preserve"> </v>
      </c>
      <c r="W48" t="str">
        <f>IF(Muzzio!D44="Não",Muzzio!C44, " ")</f>
        <v xml:space="preserve"> </v>
      </c>
    </row>
    <row r="49" spans="2:23" x14ac:dyDescent="0.25">
      <c r="B49" t="str">
        <v xml:space="preserve"> </v>
      </c>
      <c r="C49" t="str">
        <f>IF(Thrakiri!D50="Não",Thrakiri!C50, " ")</f>
        <v xml:space="preserve"> </v>
      </c>
      <c r="F49" t="str">
        <v xml:space="preserve"> </v>
      </c>
      <c r="G49" t="str">
        <f>IF(Gitrog!D48="Não",Gitrog!C48, " ")</f>
        <v xml:space="preserve"> </v>
      </c>
      <c r="J49" t="str">
        <v xml:space="preserve"> </v>
      </c>
      <c r="K49" t="str">
        <f>IF(Elfos!D49="Não",Elfos!C49, " ")</f>
        <v xml:space="preserve"> </v>
      </c>
      <c r="N49" t="str">
        <v xml:space="preserve"> </v>
      </c>
      <c r="O49" t="str">
        <f>IF(Jhoira!D56="Não",Jhoira!C56, " ")</f>
        <v xml:space="preserve"> </v>
      </c>
      <c r="R49" t="str">
        <v xml:space="preserve"> </v>
      </c>
      <c r="S49" t="str">
        <f>IF(Fractius!D49="Não",Fractius!C49, " ")</f>
        <v xml:space="preserve"> </v>
      </c>
      <c r="V49" t="str">
        <v xml:space="preserve"> </v>
      </c>
      <c r="W49" t="str">
        <f>IF(Muzzio!D43="Não",Muzzio!C43, " ")</f>
        <v xml:space="preserve"> </v>
      </c>
    </row>
    <row r="50" spans="2:23" x14ac:dyDescent="0.25">
      <c r="B50" t="str">
        <v xml:space="preserve"> </v>
      </c>
      <c r="C50" t="str">
        <f>IF(Thrakiri!D51="Não",Thrakiri!C51, " ")</f>
        <v xml:space="preserve"> </v>
      </c>
      <c r="F50" t="str">
        <v xml:space="preserve"> </v>
      </c>
      <c r="G50" t="str">
        <f>IF(Gitrog!D49="Não",Gitrog!C49, " ")</f>
        <v xml:space="preserve"> </v>
      </c>
      <c r="J50" t="str">
        <v xml:space="preserve"> </v>
      </c>
      <c r="K50" t="str">
        <f>IF(Elfos!D50="Não",Elfos!C50, " ")</f>
        <v xml:space="preserve"> </v>
      </c>
      <c r="N50" t="str">
        <v xml:space="preserve"> </v>
      </c>
      <c r="O50" t="str">
        <f>IF(Jhoira!D98="Não",Jhoira!C98, " ")</f>
        <v xml:space="preserve"> </v>
      </c>
      <c r="R50" t="str">
        <v xml:space="preserve"> </v>
      </c>
      <c r="S50" t="str">
        <f>IF(Fractius!D50="Não",Fractius!C50, " ")</f>
        <v xml:space="preserve"> </v>
      </c>
      <c r="V50" t="str">
        <v xml:space="preserve"> </v>
      </c>
      <c r="W50" t="str">
        <f>IF(Muzzio!D37="Não",Muzzio!C37, " ")</f>
        <v xml:space="preserve"> </v>
      </c>
    </row>
    <row r="51" spans="2:23" x14ac:dyDescent="0.25">
      <c r="B51" t="str">
        <v xml:space="preserve"> </v>
      </c>
      <c r="C51" t="str">
        <f>IF(Thrakiri!D52="Não",Thrakiri!C52, " ")</f>
        <v>Shaku da Honra Desgastada</v>
      </c>
      <c r="F51" t="str">
        <v xml:space="preserve"> </v>
      </c>
      <c r="G51" t="str">
        <f>IF(Gitrog!D50="Não",Gitrog!C50, " ")</f>
        <v xml:space="preserve"> </v>
      </c>
      <c r="J51" t="str">
        <v xml:space="preserve"> </v>
      </c>
      <c r="K51" t="str">
        <f>IF(Elfos!D51="Não",Elfos!C51, " ")</f>
        <v xml:space="preserve"> </v>
      </c>
      <c r="N51" t="str">
        <v xml:space="preserve"> </v>
      </c>
      <c r="O51" t="str">
        <f>IF(Jhoira!D49="Não",Jhoira!C49, " ")</f>
        <v xml:space="preserve"> </v>
      </c>
      <c r="R51" t="str">
        <v xml:space="preserve"> </v>
      </c>
      <c r="S51" t="str">
        <f>IF(Fractius!D51="Não",Fractius!C51, " ")</f>
        <v xml:space="preserve"> </v>
      </c>
      <c r="V51" t="str">
        <v xml:space="preserve"> </v>
      </c>
      <c r="W51" t="str">
        <f>IF(Muzzio!D36="Não",Muzzio!C36, " ")</f>
        <v xml:space="preserve"> </v>
      </c>
    </row>
    <row r="52" spans="2:23" x14ac:dyDescent="0.25">
      <c r="B52" t="str">
        <v xml:space="preserve"> </v>
      </c>
      <c r="C52" t="str">
        <f>IF(Thrakiri!D53="Não",Thrakiri!C53, " ")</f>
        <v xml:space="preserve"> </v>
      </c>
      <c r="F52" t="str">
        <v xml:space="preserve"> </v>
      </c>
      <c r="G52" t="str">
        <f>IF(Gitrog!D51="Não",Gitrog!C51, " ")</f>
        <v xml:space="preserve"> </v>
      </c>
      <c r="J52" t="str">
        <v xml:space="preserve"> </v>
      </c>
      <c r="K52" t="str">
        <f>IF(Elfos!D52="Não",Elfos!C52, " ")</f>
        <v xml:space="preserve"> </v>
      </c>
      <c r="N52" t="str">
        <v xml:space="preserve"> </v>
      </c>
      <c r="O52" t="str">
        <f>IF(Jhoira!D50="Não",Jhoira!C50, " ")</f>
        <v xml:space="preserve"> </v>
      </c>
      <c r="R52" t="str">
        <v xml:space="preserve"> </v>
      </c>
      <c r="S52" t="str">
        <f>IF(Fractius!D52="Não",Fractius!C52, " ")</f>
        <v xml:space="preserve"> </v>
      </c>
      <c r="V52" t="str">
        <v xml:space="preserve"> </v>
      </c>
      <c r="W52" t="str">
        <f>IF(Muzzio!D79="Não",Muzzio!C79, " ")</f>
        <v xml:space="preserve"> </v>
      </c>
    </row>
    <row r="53" spans="2:23" x14ac:dyDescent="0.25">
      <c r="B53" t="str">
        <v xml:space="preserve"> </v>
      </c>
      <c r="C53" t="str">
        <f>IF(Thrakiri!D54="Não",Thrakiri!C54, " ")</f>
        <v xml:space="preserve"> </v>
      </c>
      <c r="F53" t="str">
        <v xml:space="preserve"> </v>
      </c>
      <c r="G53" t="str">
        <f>IF(Gitrog!D52="Não",Gitrog!C52, " ")</f>
        <v xml:space="preserve"> </v>
      </c>
      <c r="J53" t="str">
        <v xml:space="preserve"> </v>
      </c>
      <c r="K53" t="str">
        <f>IF(Elfos!D53="Não",Elfos!C53, " ")</f>
        <v xml:space="preserve"> </v>
      </c>
      <c r="N53" t="str">
        <v xml:space="preserve"> </v>
      </c>
      <c r="O53" t="str">
        <f>IF(Jhoira!D51="Não",Jhoira!C51, " ")</f>
        <v xml:space="preserve"> </v>
      </c>
      <c r="R53" t="str">
        <v xml:space="preserve"> </v>
      </c>
      <c r="S53" t="str">
        <f>IF(Fractius!D53="Não",Fractius!C53, " ")</f>
        <v xml:space="preserve"> </v>
      </c>
      <c r="V53" t="str">
        <v xml:space="preserve"> </v>
      </c>
      <c r="W53" t="str">
        <f>IF(Muzzio!D53="Não",Muzzio!C53, " ")</f>
        <v xml:space="preserve"> </v>
      </c>
    </row>
    <row r="54" spans="2:23" x14ac:dyDescent="0.25">
      <c r="B54" t="str">
        <v xml:space="preserve"> </v>
      </c>
      <c r="C54" t="str">
        <f>IF(Thrakiri!D56="Não",Thrakiri!C56, " ")</f>
        <v>The Eternity Elevator</v>
      </c>
      <c r="F54" t="str">
        <v xml:space="preserve"> </v>
      </c>
      <c r="G54" t="str">
        <f>IF(Gitrog!D53="Não",Gitrog!C53, " ")</f>
        <v xml:space="preserve"> </v>
      </c>
      <c r="J54" t="str">
        <v xml:space="preserve"> </v>
      </c>
      <c r="K54" t="str">
        <f>IF(Elfos!D54="Não",Elfos!C54, " ")</f>
        <v xml:space="preserve"> </v>
      </c>
      <c r="N54" t="str">
        <v xml:space="preserve"> </v>
      </c>
      <c r="O54" t="str">
        <f>IF(Jhoira!D52="Não",Jhoira!C52, " ")</f>
        <v xml:space="preserve"> </v>
      </c>
      <c r="R54" t="str">
        <v xml:space="preserve"> </v>
      </c>
      <c r="S54" t="str">
        <f>IF(Fractius!D54="Não",Fractius!C54, " ")</f>
        <v xml:space="preserve"> </v>
      </c>
      <c r="V54" t="str">
        <v xml:space="preserve"> </v>
      </c>
      <c r="W54" t="str">
        <f>IF(Muzzio!D55="Não",Muzzio!C55, " ")</f>
        <v xml:space="preserve"> </v>
      </c>
    </row>
    <row r="55" spans="2:23" x14ac:dyDescent="0.25">
      <c r="B55" t="str">
        <v xml:space="preserve"> </v>
      </c>
      <c r="C55" t="str">
        <f>IF(Thrakiri!D69="Não",Thrakiri!C69, " ")</f>
        <v xml:space="preserve"> </v>
      </c>
      <c r="F55" t="str">
        <v xml:space="preserve"> </v>
      </c>
      <c r="G55" t="str">
        <f>IF(Gitrog!D54="Não",Gitrog!C54, " ")</f>
        <v xml:space="preserve"> </v>
      </c>
      <c r="J55" t="str">
        <v xml:space="preserve"> </v>
      </c>
      <c r="K55" t="str">
        <f>IF(Elfos!D55="Não",Elfos!C55, " ")</f>
        <v xml:space="preserve"> </v>
      </c>
      <c r="N55" t="str">
        <v xml:space="preserve"> </v>
      </c>
      <c r="O55" t="str">
        <f>IF(Jhoira!D53="Não",Jhoira!C53, " ")</f>
        <v xml:space="preserve"> </v>
      </c>
      <c r="R55" t="str">
        <v xml:space="preserve"> </v>
      </c>
      <c r="S55" t="str">
        <f>IF(Fractius!D55="Não",Fractius!C55, " ")</f>
        <v xml:space="preserve"> </v>
      </c>
      <c r="V55" t="str">
        <v xml:space="preserve"> </v>
      </c>
      <c r="W55" t="str">
        <f>IF(Muzzio!D84="Não",Muzzio!C84, " ")</f>
        <v xml:space="preserve"> </v>
      </c>
    </row>
    <row r="56" spans="2:23" x14ac:dyDescent="0.25">
      <c r="B56" t="str">
        <v xml:space="preserve"> </v>
      </c>
      <c r="C56" t="str">
        <f>IF(Thrakiri!D75="Não",Thrakiri!C75, " ")</f>
        <v xml:space="preserve"> </v>
      </c>
      <c r="F56" t="str">
        <v xml:space="preserve"> </v>
      </c>
      <c r="G56" t="str">
        <f>IF(Gitrog!D55="Não",Gitrog!C55, " ")</f>
        <v xml:space="preserve"> </v>
      </c>
      <c r="J56" t="str">
        <v xml:space="preserve"> </v>
      </c>
      <c r="K56" t="str">
        <f>IF(Elfos!D56="Não",Elfos!C56, " ")</f>
        <v xml:space="preserve"> </v>
      </c>
      <c r="N56" t="str">
        <v xml:space="preserve"> </v>
      </c>
      <c r="O56" t="str">
        <f>IF(Jhoira!D55="Não",Jhoira!C55, " ")</f>
        <v xml:space="preserve"> </v>
      </c>
      <c r="R56" t="str">
        <v xml:space="preserve"> </v>
      </c>
      <c r="S56" t="str">
        <f>IF(Fractius!D56="Não",Fractius!C56, " ")</f>
        <v xml:space="preserve"> </v>
      </c>
      <c r="V56" t="str">
        <v xml:space="preserve"> </v>
      </c>
      <c r="W56" t="str">
        <f>IF(Muzzio!D56="Não",Muzzio!C56, " ")</f>
        <v xml:space="preserve"> </v>
      </c>
    </row>
    <row r="57" spans="2:23" x14ac:dyDescent="0.25">
      <c r="B57" t="str">
        <v xml:space="preserve"> </v>
      </c>
      <c r="C57" t="str">
        <f>IF(Thrakiri!D19="Não",Thrakiri!C19, " ")</f>
        <v>The Mycosynth Gardens</v>
      </c>
      <c r="F57" t="str">
        <v xml:space="preserve"> </v>
      </c>
      <c r="G57" t="str">
        <f>IF(Gitrog!D56="Não",Gitrog!C56, " ")</f>
        <v>Delighted Halfling</v>
      </c>
      <c r="J57" t="str">
        <v xml:space="preserve"> </v>
      </c>
      <c r="K57" t="str">
        <f>IF(Elfos!D57="Não",Elfos!C57, " ")</f>
        <v xml:space="preserve"> </v>
      </c>
      <c r="N57" t="str">
        <v xml:space="preserve"> </v>
      </c>
      <c r="O57" t="str">
        <f>IF(Jhoira!D57="Não",Jhoira!C57, " ")</f>
        <v xml:space="preserve"> </v>
      </c>
      <c r="R57" t="str">
        <v xml:space="preserve"> </v>
      </c>
      <c r="S57" t="str">
        <f>IF(Fractius!D57="Não",Fractius!C57, " ")</f>
        <v xml:space="preserve"> </v>
      </c>
      <c r="V57" t="str">
        <v xml:space="preserve"> </v>
      </c>
      <c r="W57" t="str">
        <f>IF(Muzzio!D57="Não",Muzzio!C57, " ")</f>
        <v xml:space="preserve"> </v>
      </c>
    </row>
    <row r="58" spans="2:23" x14ac:dyDescent="0.25">
      <c r="B58" t="str">
        <v xml:space="preserve"> </v>
      </c>
      <c r="C58" t="str">
        <f>IF(Thrakiri!D57="Não",Thrakiri!C57, " ")</f>
        <v xml:space="preserve"> </v>
      </c>
      <c r="F58" t="str">
        <v xml:space="preserve"> </v>
      </c>
      <c r="G58" t="str">
        <f>IF(Gitrog!D57="Não",Gitrog!C57, " ")</f>
        <v xml:space="preserve"> </v>
      </c>
      <c r="J58" t="str">
        <v xml:space="preserve"> </v>
      </c>
      <c r="K58" t="str">
        <f>IF(Elfos!D58="Não",Elfos!C58, " ")</f>
        <v xml:space="preserve"> </v>
      </c>
      <c r="N58" t="str">
        <v xml:space="preserve"> </v>
      </c>
      <c r="O58" t="str">
        <f>IF(Jhoira!D58="Não",Jhoira!C58, " ")</f>
        <v xml:space="preserve"> </v>
      </c>
      <c r="R58" t="str">
        <v xml:space="preserve"> </v>
      </c>
      <c r="S58" t="str">
        <f>IF(Fractius!D58="Não",Fractius!C58, " ")</f>
        <v xml:space="preserve"> </v>
      </c>
      <c r="V58" t="str">
        <v xml:space="preserve"> </v>
      </c>
      <c r="W58" t="str">
        <f>IF(Muzzio!D58="Não",Muzzio!C58, " ")</f>
        <v xml:space="preserve"> </v>
      </c>
    </row>
    <row r="59" spans="2:23" x14ac:dyDescent="0.25">
      <c r="B59" t="str">
        <v xml:space="preserve"> </v>
      </c>
      <c r="C59" t="str">
        <f>IF(Thrakiri!D58="Não",Thrakiri!C58, " ")</f>
        <v xml:space="preserve"> </v>
      </c>
      <c r="F59" t="str">
        <v xml:space="preserve"> </v>
      </c>
      <c r="G59" t="str">
        <f>IF(Gitrog!D58="Não",Gitrog!C58, " ")</f>
        <v xml:space="preserve"> </v>
      </c>
      <c r="J59" t="str">
        <v xml:space="preserve"> </v>
      </c>
      <c r="K59" t="str">
        <f>IF(Elfos!D60="Não",Elfos!C60, " ")</f>
        <v xml:space="preserve"> </v>
      </c>
      <c r="N59" t="str">
        <v xml:space="preserve"> </v>
      </c>
      <c r="O59" t="str">
        <f>IF(Jhoira!D59="Não",Jhoira!C59, " ")</f>
        <v xml:space="preserve"> </v>
      </c>
      <c r="R59" t="str">
        <v xml:space="preserve"> </v>
      </c>
      <c r="S59" t="str">
        <f>IF(Fractius!D59="Não",Fractius!C59, " ")</f>
        <v xml:space="preserve"> </v>
      </c>
      <c r="V59" t="str">
        <v xml:space="preserve"> </v>
      </c>
      <c r="W59" t="str">
        <f>IF(Muzzio!D60="Não",Muzzio!C60, " ")</f>
        <v xml:space="preserve"> </v>
      </c>
    </row>
    <row r="60" spans="2:23" x14ac:dyDescent="0.25">
      <c r="B60" t="str">
        <v xml:space="preserve"> </v>
      </c>
      <c r="C60" t="str">
        <f>IF(Thrakiri!D59="Não",Thrakiri!C59, " ")</f>
        <v xml:space="preserve"> </v>
      </c>
      <c r="F60" t="str">
        <v xml:space="preserve"> </v>
      </c>
      <c r="G60" t="str">
        <f>IF(Gitrog!D59="Não",Gitrog!C59, " ")</f>
        <v xml:space="preserve"> </v>
      </c>
      <c r="J60" t="str">
        <v xml:space="preserve"> </v>
      </c>
      <c r="K60" t="str">
        <f>IF(Elfos!D61="Não",Elfos!C61, " ")</f>
        <v xml:space="preserve"> </v>
      </c>
      <c r="N60" t="str">
        <v xml:space="preserve"> </v>
      </c>
      <c r="O60" t="str">
        <f>IF(Jhoira!D60="Não",Jhoira!C60, " ")</f>
        <v xml:space="preserve"> </v>
      </c>
      <c r="R60" t="str">
        <v xml:space="preserve"> </v>
      </c>
      <c r="S60" t="str">
        <f>IF(Fractius!D60="Não",Fractius!C60, " ")</f>
        <v xml:space="preserve"> </v>
      </c>
      <c r="V60" t="str">
        <v xml:space="preserve"> </v>
      </c>
      <c r="W60" t="str">
        <f>IF(Muzzio!D77="Não",Muzzio!C77, " ")</f>
        <v>A Joia do Enigma</v>
      </c>
    </row>
    <row r="61" spans="2:23" x14ac:dyDescent="0.25">
      <c r="B61" t="str">
        <v xml:space="preserve"> </v>
      </c>
      <c r="C61" t="str">
        <f>IF(Thrakiri!D60="Não",Thrakiri!C60, " ")</f>
        <v xml:space="preserve"> </v>
      </c>
      <c r="F61" t="str">
        <v xml:space="preserve"> </v>
      </c>
      <c r="G61" t="str">
        <f>IF(Gitrog!D60="Não",Gitrog!C60, " ")</f>
        <v xml:space="preserve"> </v>
      </c>
      <c r="J61" t="str">
        <v xml:space="preserve"> </v>
      </c>
      <c r="K61" t="str">
        <f>IF(Elfos!D62="Não",Elfos!C62, " ")</f>
        <v xml:space="preserve"> </v>
      </c>
      <c r="N61" t="str">
        <v xml:space="preserve"> </v>
      </c>
      <c r="O61" t="str">
        <f>IF(Jhoira!D61="Não",Jhoira!C61, " ")</f>
        <v xml:space="preserve"> </v>
      </c>
      <c r="R61" t="str">
        <v xml:space="preserve"> </v>
      </c>
      <c r="S61" t="str">
        <f>IF(Fractius!D61="Não",Fractius!C61, " ")</f>
        <v xml:space="preserve"> </v>
      </c>
      <c r="V61" t="str">
        <v xml:space="preserve"> </v>
      </c>
      <c r="W61" t="str">
        <f>IF(Muzzio!D59="Não",Muzzio!C59, " ")</f>
        <v xml:space="preserve"> </v>
      </c>
    </row>
    <row r="62" spans="2:23" x14ac:dyDescent="0.25">
      <c r="B62" t="str">
        <v xml:space="preserve"> </v>
      </c>
      <c r="C62" t="str">
        <f>IF(Thrakiri!D61="Não",Thrakiri!C61, " ")</f>
        <v xml:space="preserve"> </v>
      </c>
      <c r="F62" t="str">
        <v xml:space="preserve"> </v>
      </c>
      <c r="G62" t="str">
        <f>IF(Gitrog!D61="Não",Gitrog!C61, " ")</f>
        <v xml:space="preserve"> </v>
      </c>
      <c r="J62" t="str">
        <v xml:space="preserve"> </v>
      </c>
      <c r="K62" t="str">
        <f>IF(Elfos!D63="Não",Elfos!C63, " ")</f>
        <v xml:space="preserve"> </v>
      </c>
      <c r="N62" t="str">
        <v xml:space="preserve"> </v>
      </c>
      <c r="O62" t="str">
        <f>IF(Jhoira!D62="Não",Jhoira!C62, " ")</f>
        <v xml:space="preserve"> </v>
      </c>
      <c r="R62" t="str">
        <v xml:space="preserve"> </v>
      </c>
      <c r="S62" t="str">
        <f>IF(Fractius!D62="Não",Fractius!C62, " ")</f>
        <v xml:space="preserve"> </v>
      </c>
      <c r="V62" t="str">
        <v xml:space="preserve"> </v>
      </c>
      <c r="W62" t="str">
        <f>IF(Muzzio!D61="Não",Muzzio!C61, " ")</f>
        <v xml:space="preserve"> </v>
      </c>
    </row>
    <row r="63" spans="2:23" x14ac:dyDescent="0.25">
      <c r="B63" t="str">
        <v xml:space="preserve"> </v>
      </c>
      <c r="C63" t="str">
        <f>IF(Thrakiri!D62="Não",Thrakiri!C62, " ")</f>
        <v xml:space="preserve"> </v>
      </c>
      <c r="F63" t="str">
        <v xml:space="preserve"> </v>
      </c>
      <c r="G63" t="str">
        <f>IF(Gitrog!D62="Não",Gitrog!C62, " ")</f>
        <v xml:space="preserve"> </v>
      </c>
      <c r="J63" t="str">
        <v xml:space="preserve"> </v>
      </c>
      <c r="K63" t="str">
        <f>IF(Elfos!D64="Não",Elfos!C64, " ")</f>
        <v xml:space="preserve"> </v>
      </c>
      <c r="N63" t="str">
        <v xml:space="preserve"> </v>
      </c>
      <c r="O63" t="str">
        <f>IF(Jhoira!D63="Não",Jhoira!C63, " ")</f>
        <v>Planetary Annihilation</v>
      </c>
      <c r="R63" t="str">
        <v xml:space="preserve"> </v>
      </c>
      <c r="S63" t="str">
        <f>IF(Fractius!D63="Não",Fractius!C63, " ")</f>
        <v xml:space="preserve"> </v>
      </c>
      <c r="V63" t="str">
        <v xml:space="preserve"> </v>
      </c>
      <c r="W63" t="str">
        <f>IF(Muzzio!D62="Não",Muzzio!C62, " ")</f>
        <v xml:space="preserve"> </v>
      </c>
    </row>
    <row r="64" spans="2:23" x14ac:dyDescent="0.25">
      <c r="B64" t="str">
        <v xml:space="preserve"> </v>
      </c>
      <c r="C64" t="str">
        <f>IF(Thrakiri!D63="Não",Thrakiri!C63, " ")</f>
        <v xml:space="preserve"> </v>
      </c>
      <c r="F64" t="str">
        <v xml:space="preserve"> </v>
      </c>
      <c r="G64" t="str">
        <f>IF(Gitrog!D63="Não",Gitrog!C63, " ")</f>
        <v xml:space="preserve"> </v>
      </c>
      <c r="J64" t="str">
        <v xml:space="preserve"> </v>
      </c>
      <c r="K64" t="str">
        <f>IF(Elfos!D65="Não",Elfos!C65, " ")</f>
        <v xml:space="preserve"> </v>
      </c>
      <c r="N64" t="str">
        <v xml:space="preserve"> </v>
      </c>
      <c r="O64" t="str">
        <f>IF(Jhoira!D64="Não",Jhoira!C64, " ")</f>
        <v xml:space="preserve"> </v>
      </c>
      <c r="R64" t="str">
        <v xml:space="preserve"> </v>
      </c>
      <c r="S64" t="str">
        <f>IF(Fractius!D64="Não",Fractius!C64, " ")</f>
        <v xml:space="preserve"> </v>
      </c>
      <c r="V64" t="str">
        <v xml:space="preserve"> </v>
      </c>
      <c r="W64" t="str">
        <f>IF(Muzzio!D63="Não",Muzzio!C63, " ")</f>
        <v xml:space="preserve"> </v>
      </c>
    </row>
    <row r="65" spans="2:23" x14ac:dyDescent="0.25">
      <c r="B65" t="str">
        <v xml:space="preserve"> </v>
      </c>
      <c r="C65" t="str">
        <f>IF(Thrakiri!D64="Não",Thrakiri!C64, " ")</f>
        <v xml:space="preserve"> </v>
      </c>
      <c r="F65" t="str">
        <v xml:space="preserve"> </v>
      </c>
      <c r="G65" t="str">
        <f>IF(Gitrog!D64="Não",Gitrog!C64, " ")</f>
        <v xml:space="preserve"> </v>
      </c>
      <c r="J65" t="str">
        <v xml:space="preserve"> </v>
      </c>
      <c r="K65" t="str">
        <f>IF(Elfos!D66="Não",Elfos!C66, " ")</f>
        <v xml:space="preserve"> </v>
      </c>
      <c r="N65" t="str">
        <v xml:space="preserve"> </v>
      </c>
      <c r="O65" t="str">
        <f>IF(Jhoira!D65="Não",Jhoira!C65, " ")</f>
        <v xml:space="preserve"> </v>
      </c>
      <c r="R65" t="str">
        <v xml:space="preserve"> </v>
      </c>
      <c r="S65" t="str">
        <f>IF(Fractius!D65="Não",Fractius!C65, " ")</f>
        <v xml:space="preserve"> </v>
      </c>
      <c r="V65" t="str">
        <v xml:space="preserve"> </v>
      </c>
      <c r="W65" t="str">
        <f>IF(Muzzio!D64="Não",Muzzio!C64, " ")</f>
        <v xml:space="preserve"> </v>
      </c>
    </row>
    <row r="66" spans="2:23" x14ac:dyDescent="0.25">
      <c r="B66" t="str">
        <v xml:space="preserve"> </v>
      </c>
      <c r="C66" t="str">
        <f>IF(Thrakiri!D65="Não",Thrakiri!C65, " ")</f>
        <v xml:space="preserve"> </v>
      </c>
      <c r="F66" t="str">
        <v xml:space="preserve"> </v>
      </c>
      <c r="G66" t="str">
        <f>IF(Gitrog!D65="Não",Gitrog!C65, " ")</f>
        <v xml:space="preserve"> </v>
      </c>
      <c r="J66" t="str">
        <v xml:space="preserve"> </v>
      </c>
      <c r="K66" t="str">
        <f>IF(Elfos!D67="Não",Elfos!C67, " ")</f>
        <v xml:space="preserve"> </v>
      </c>
      <c r="N66" t="str">
        <v xml:space="preserve"> </v>
      </c>
      <c r="O66" t="str">
        <f>IF(Jhoira!D92="Não",Jhoira!C92, " ")</f>
        <v xml:space="preserve"> </v>
      </c>
      <c r="R66" t="str">
        <v xml:space="preserve"> </v>
      </c>
      <c r="S66" t="str">
        <f>IF(Fractius!D66="Não",Fractius!C66, " ")</f>
        <v xml:space="preserve"> </v>
      </c>
      <c r="V66" t="str">
        <v xml:space="preserve"> </v>
      </c>
      <c r="W66" t="str">
        <f>IF(Muzzio!D76="Não",Muzzio!C76, " ")</f>
        <v xml:space="preserve"> </v>
      </c>
    </row>
    <row r="67" spans="2:23" x14ac:dyDescent="0.25">
      <c r="B67" t="str">
        <v xml:space="preserve"> </v>
      </c>
      <c r="C67" t="str">
        <f>IF(Thrakiri!D66="Não",Thrakiri!C66, " ")</f>
        <v xml:space="preserve"> </v>
      </c>
      <c r="F67" t="str">
        <v xml:space="preserve"> </v>
      </c>
      <c r="G67" t="str">
        <f>IF(Gitrog!D76="Não",Gitrog!C76, " ")</f>
        <v xml:space="preserve"> </v>
      </c>
      <c r="J67" t="str">
        <v xml:space="preserve"> </v>
      </c>
      <c r="K67" t="str">
        <f>IF(Elfos!D68="Não",Elfos!C68, " ")</f>
        <v xml:space="preserve"> </v>
      </c>
      <c r="N67" t="str">
        <v xml:space="preserve"> </v>
      </c>
      <c r="O67" t="str">
        <f>IF(Jhoira!D66="Não",Jhoira!C66, " ")</f>
        <v xml:space="preserve"> </v>
      </c>
      <c r="R67" t="str">
        <v xml:space="preserve"> </v>
      </c>
      <c r="S67" t="str">
        <f>IF(Fractius!D67="Não",Fractius!C67, " ")</f>
        <v xml:space="preserve"> </v>
      </c>
      <c r="V67" t="str">
        <v xml:space="preserve"> </v>
      </c>
      <c r="W67" t="str">
        <f>IF(Muzzio!D65="Não",Muzzio!C65, " ")</f>
        <v xml:space="preserve"> </v>
      </c>
    </row>
    <row r="68" spans="2:23" x14ac:dyDescent="0.25">
      <c r="B68" t="str">
        <v xml:space="preserve"> </v>
      </c>
      <c r="C68" t="str">
        <f>IF(Thrakiri!D67="Não",Thrakiri!C67, " ")</f>
        <v xml:space="preserve"> </v>
      </c>
      <c r="F68" t="str">
        <v xml:space="preserve"> </v>
      </c>
      <c r="G68" t="str">
        <f>IF(Gitrog!D66="Não",Gitrog!C66, " ")</f>
        <v xml:space="preserve"> </v>
      </c>
      <c r="J68" t="str">
        <v xml:space="preserve"> </v>
      </c>
      <c r="K68" t="str">
        <f>IF(Elfos!D69="Não",Elfos!C69, " ")</f>
        <v xml:space="preserve"> </v>
      </c>
      <c r="N68" t="str">
        <v xml:space="preserve"> </v>
      </c>
      <c r="O68" t="str">
        <f>IF(Jhoira!D67="Não",Jhoira!C67, " ")</f>
        <v xml:space="preserve"> </v>
      </c>
      <c r="R68" t="str">
        <v xml:space="preserve"> </v>
      </c>
      <c r="S68" t="str">
        <f>IF(Fractius!D68="Não",Fractius!C68, " ")</f>
        <v xml:space="preserve"> </v>
      </c>
      <c r="V68" t="str">
        <v xml:space="preserve"> </v>
      </c>
      <c r="W68" t="str">
        <f>IF(Muzzio!D66="Não",Muzzio!C66, " ")</f>
        <v>Extinguisher Battleship</v>
      </c>
    </row>
    <row r="69" spans="2:23" x14ac:dyDescent="0.25">
      <c r="B69" t="str">
        <v xml:space="preserve"> </v>
      </c>
      <c r="C69" t="str">
        <f>IF(Thrakiri!D68="Não",Thrakiri!C68, " ")</f>
        <v xml:space="preserve"> </v>
      </c>
      <c r="F69" t="str">
        <v xml:space="preserve"> </v>
      </c>
      <c r="G69" t="str">
        <f>IF(Gitrog!D67="Não",Gitrog!C67, " ")</f>
        <v xml:space="preserve"> </v>
      </c>
      <c r="J69" t="str">
        <v xml:space="preserve"> </v>
      </c>
      <c r="K69" t="str">
        <f>IF(Elfos!D70="Não",Elfos!C70, " ")</f>
        <v xml:space="preserve"> </v>
      </c>
      <c r="N69" t="str">
        <v xml:space="preserve"> </v>
      </c>
      <c r="O69" t="str">
        <f>IF(Jhoira!D68="Não",Jhoira!C68, " ")</f>
        <v xml:space="preserve"> </v>
      </c>
      <c r="R69" t="str">
        <v xml:space="preserve"> </v>
      </c>
      <c r="S69" t="str">
        <f>IF(Fractius!D69="Não",Fractius!C69, " ")</f>
        <v xml:space="preserve"> </v>
      </c>
      <c r="V69" t="str">
        <v xml:space="preserve"> </v>
      </c>
      <c r="W69" t="str">
        <f>IF(Muzzio!D32="Não",Muzzio!C32, " ")</f>
        <v xml:space="preserve"> </v>
      </c>
    </row>
    <row r="70" spans="2:23" x14ac:dyDescent="0.25">
      <c r="B70" t="str">
        <v xml:space="preserve"> </v>
      </c>
      <c r="C70" t="str">
        <f>IF(Thrakiri!D70="Não",Thrakiri!C70, " ")</f>
        <v xml:space="preserve"> </v>
      </c>
      <c r="F70" t="str">
        <v xml:space="preserve"> </v>
      </c>
      <c r="G70" t="str">
        <f>IF(Gitrog!D68="Não",Gitrog!C68, " ")</f>
        <v xml:space="preserve"> </v>
      </c>
      <c r="J70" t="str">
        <v xml:space="preserve"> </v>
      </c>
      <c r="K70" t="str">
        <f>IF(Elfos!D71="Não",Elfos!C71, " ")</f>
        <v xml:space="preserve"> </v>
      </c>
      <c r="N70" t="str">
        <v xml:space="preserve"> </v>
      </c>
      <c r="O70" t="str">
        <f>IF(Jhoira!D69="Não",Jhoira!C69, " ")</f>
        <v xml:space="preserve"> </v>
      </c>
      <c r="R70" t="str">
        <v xml:space="preserve"> </v>
      </c>
      <c r="S70" t="str">
        <f>IF(Fractius!D71="Não",Fractius!C71, " ")</f>
        <v xml:space="preserve"> </v>
      </c>
      <c r="V70" t="str">
        <v xml:space="preserve"> </v>
      </c>
      <c r="W70" t="str">
        <f>IF(Muzzio!D67="Não",Muzzio!C67, " ")</f>
        <v>Portal to Phyrexia</v>
      </c>
    </row>
    <row r="71" spans="2:23" x14ac:dyDescent="0.25">
      <c r="B71" t="str">
        <v xml:space="preserve"> </v>
      </c>
      <c r="C71" t="str">
        <f>IF(Thrakiri!D71="Não",Thrakiri!C71, " ")</f>
        <v xml:space="preserve"> </v>
      </c>
      <c r="F71" t="str">
        <v xml:space="preserve"> </v>
      </c>
      <c r="G71" t="str">
        <f>IF(Gitrog!D69="Não",Gitrog!C69, " ")</f>
        <v xml:space="preserve"> </v>
      </c>
      <c r="J71" t="str">
        <v xml:space="preserve"> </v>
      </c>
      <c r="K71" t="str">
        <f>IF(Elfos!D72="Não",Elfos!C72, " ")</f>
        <v xml:space="preserve"> </v>
      </c>
      <c r="N71" t="str">
        <v xml:space="preserve"> </v>
      </c>
      <c r="O71" t="str">
        <f>IF(Jhoira!D70="Não",Jhoira!C70, " ")</f>
        <v xml:space="preserve"> </v>
      </c>
      <c r="R71" t="str">
        <v xml:space="preserve"> </v>
      </c>
      <c r="S71" t="str">
        <f>IF(Fractius!D73="Não",Fractius!C73, " ")</f>
        <v xml:space="preserve"> </v>
      </c>
      <c r="V71" t="str">
        <v xml:space="preserve"> </v>
      </c>
      <c r="W71" t="str">
        <f>IF(Muzzio!D69="Não",Muzzio!C69, " ")</f>
        <v xml:space="preserve"> </v>
      </c>
    </row>
    <row r="72" spans="2:23" x14ac:dyDescent="0.25">
      <c r="B72" t="str">
        <v xml:space="preserve"> </v>
      </c>
      <c r="C72" t="str">
        <f>IF(Thrakiri!D72="Não",Thrakiri!C72, " ")</f>
        <v xml:space="preserve"> </v>
      </c>
      <c r="F72" t="str">
        <v xml:space="preserve"> </v>
      </c>
      <c r="G72" t="str">
        <f>IF(Gitrog!D70="Não",Gitrog!C70, " ")</f>
        <v xml:space="preserve"> </v>
      </c>
      <c r="J72" t="str">
        <v xml:space="preserve"> </v>
      </c>
      <c r="K72" t="str">
        <f>IF(Elfos!D73="Não",Elfos!C73, " ")</f>
        <v xml:space="preserve"> </v>
      </c>
      <c r="N72" t="str">
        <v xml:space="preserve"> </v>
      </c>
      <c r="O72" t="str">
        <f>IF(Jhoira!D54="Não",Jhoira!C54, " ")</f>
        <v xml:space="preserve"> </v>
      </c>
      <c r="R72" t="str">
        <v xml:space="preserve"> </v>
      </c>
      <c r="S72" t="str">
        <f>IF(Fractius!D74="Não",Fractius!C74, " ")</f>
        <v xml:space="preserve"> </v>
      </c>
      <c r="V72" t="str">
        <v xml:space="preserve"> </v>
      </c>
      <c r="W72" t="str">
        <f>IF(Muzzio!D70="Não",Muzzio!C70, " ")</f>
        <v xml:space="preserve"> </v>
      </c>
    </row>
    <row r="73" spans="2:23" x14ac:dyDescent="0.25">
      <c r="B73" t="str">
        <v xml:space="preserve"> </v>
      </c>
      <c r="C73" t="str">
        <f>IF(Thrakiri!D73="Não",Thrakiri!C73, " ")</f>
        <v xml:space="preserve"> </v>
      </c>
      <c r="F73" t="str">
        <v xml:space="preserve"> </v>
      </c>
      <c r="G73" t="str">
        <f>IF(Gitrog!D71="Não",Gitrog!C71, " ")</f>
        <v>Ulamog, the Infinite Gyre</v>
      </c>
      <c r="J73" t="str">
        <v xml:space="preserve"> </v>
      </c>
      <c r="K73" t="str">
        <f>IF(Elfos!D74="Não",Elfos!C74, " ")</f>
        <v xml:space="preserve"> </v>
      </c>
      <c r="N73" t="str">
        <v xml:space="preserve"> </v>
      </c>
      <c r="O73" t="str">
        <f>IF(Jhoira!D71="Não",Jhoira!C71, " ")</f>
        <v xml:space="preserve"> </v>
      </c>
      <c r="R73" t="str">
        <v xml:space="preserve"> </v>
      </c>
      <c r="S73" t="str">
        <f>IF(Fractius!D75="Não",Fractius!C75, " ")</f>
        <v xml:space="preserve"> </v>
      </c>
      <c r="V73" t="str">
        <v xml:space="preserve"> </v>
      </c>
      <c r="W73" t="str">
        <f>IF(Muzzio!D71="Não",Muzzio!C71, " ")</f>
        <v xml:space="preserve"> </v>
      </c>
    </row>
    <row r="74" spans="2:23" x14ac:dyDescent="0.25">
      <c r="B74" t="str">
        <v xml:space="preserve"> </v>
      </c>
      <c r="C74" t="str">
        <f>IF(Thrakiri!D74="Não",Thrakiri!C74, " ")</f>
        <v xml:space="preserve"> </v>
      </c>
      <c r="F74" t="str">
        <v xml:space="preserve"> </v>
      </c>
      <c r="G74" t="str">
        <f>IF(Gitrog!D72="Não",Gitrog!C72, " ")</f>
        <v xml:space="preserve"> </v>
      </c>
      <c r="J74" t="str">
        <v xml:space="preserve"> </v>
      </c>
      <c r="K74" t="str">
        <f>IF(Elfos!D75="Não",Elfos!C75, " ")</f>
        <v xml:space="preserve"> </v>
      </c>
      <c r="N74" t="str">
        <v xml:space="preserve"> </v>
      </c>
      <c r="O74" t="str">
        <f>IF(Jhoira!D72="Não",Jhoira!C72, " ")</f>
        <v xml:space="preserve"> </v>
      </c>
      <c r="R74" t="str">
        <v xml:space="preserve"> </v>
      </c>
      <c r="S74" t="str">
        <f>IF(Fractius!D76="Não",Fractius!C76, " ")</f>
        <v xml:space="preserve"> </v>
      </c>
      <c r="V74" t="str">
        <v xml:space="preserve"> </v>
      </c>
      <c r="W74" t="str">
        <f>IF(Muzzio!D72="Não",Muzzio!C72, " ")</f>
        <v xml:space="preserve"> </v>
      </c>
    </row>
    <row r="75" spans="2:23" x14ac:dyDescent="0.25">
      <c r="B75" t="str">
        <v xml:space="preserve"> </v>
      </c>
      <c r="C75" t="str">
        <f>IF(Thrakiri!D76="Não",Thrakiri!C76, " ")</f>
        <v xml:space="preserve"> </v>
      </c>
      <c r="F75" t="str">
        <v xml:space="preserve"> </v>
      </c>
      <c r="G75" t="str">
        <f>IF(Gitrog!D73="Não",Gitrog!C73, " ")</f>
        <v xml:space="preserve"> </v>
      </c>
      <c r="J75" t="str">
        <v xml:space="preserve"> </v>
      </c>
      <c r="K75" t="str">
        <f>IF(Elfos!D76="Não",Elfos!C76, " ")</f>
        <v xml:space="preserve"> </v>
      </c>
      <c r="N75" t="str">
        <v xml:space="preserve"> </v>
      </c>
      <c r="O75" t="str">
        <f>IF(Jhoira!D74="Não",Jhoira!C74, " ")</f>
        <v xml:space="preserve"> </v>
      </c>
      <c r="R75" t="str">
        <v xml:space="preserve"> </v>
      </c>
      <c r="S75" t="str">
        <f>IF(Fractius!D77="Não",Fractius!C77, " ")</f>
        <v xml:space="preserve"> </v>
      </c>
      <c r="V75" t="str">
        <v xml:space="preserve"> </v>
      </c>
      <c r="W75" t="str">
        <f>IF(Muzzio!D73="Não",Muzzio!C73, " ")</f>
        <v xml:space="preserve"> </v>
      </c>
    </row>
    <row r="76" spans="2:23" x14ac:dyDescent="0.25">
      <c r="B76" t="str">
        <v xml:space="preserve"> </v>
      </c>
      <c r="C76" t="str">
        <f>IF(Thrakiri!D77="Não",Thrakiri!C77, " ")</f>
        <v xml:space="preserve"> </v>
      </c>
      <c r="F76" t="str">
        <v xml:space="preserve"> </v>
      </c>
      <c r="G76" t="str">
        <f>IF(Gitrog!D74="Não",Gitrog!C74, " ")</f>
        <v xml:space="preserve"> </v>
      </c>
      <c r="J76" t="str">
        <v xml:space="preserve"> </v>
      </c>
      <c r="K76" t="str">
        <f>IF(Elfos!D77="Não",Elfos!C77, " ")</f>
        <v xml:space="preserve"> </v>
      </c>
      <c r="N76" t="str">
        <v xml:space="preserve"> </v>
      </c>
      <c r="O76" t="str">
        <f>IF(Jhoira!D75="Não",Jhoira!C75, " ")</f>
        <v xml:space="preserve"> </v>
      </c>
      <c r="R76" t="str">
        <v xml:space="preserve"> </v>
      </c>
      <c r="S76" t="str">
        <f>IF(Fractius!D78="Não",Fractius!C78, " ")</f>
        <v xml:space="preserve"> </v>
      </c>
      <c r="V76" t="str">
        <v xml:space="preserve"> </v>
      </c>
      <c r="W76" t="str">
        <f>IF(Muzzio!D74="Não",Muzzio!C74, " ")</f>
        <v xml:space="preserve"> </v>
      </c>
    </row>
    <row r="77" spans="2:23" x14ac:dyDescent="0.25">
      <c r="B77" t="str">
        <v xml:space="preserve"> </v>
      </c>
      <c r="C77" t="str">
        <f>IF(Thrakiri!D78="Não",Thrakiri!C78, " ")</f>
        <v xml:space="preserve"> </v>
      </c>
      <c r="F77" t="str">
        <v xml:space="preserve"> </v>
      </c>
      <c r="G77" t="str">
        <f>IF(Gitrog!D75="Não",Gitrog!C75, " ")</f>
        <v xml:space="preserve"> </v>
      </c>
      <c r="J77" t="str">
        <v xml:space="preserve"> </v>
      </c>
      <c r="K77" t="str">
        <f>IF(Elfos!D78="Não",Elfos!C78, " ")</f>
        <v xml:space="preserve"> </v>
      </c>
      <c r="N77" t="str">
        <v xml:space="preserve"> </v>
      </c>
      <c r="O77" t="str">
        <f>IF(Jhoira!D76="Não",Jhoira!C76, " ")</f>
        <v xml:space="preserve"> </v>
      </c>
      <c r="R77" t="str">
        <v xml:space="preserve"> </v>
      </c>
      <c r="S77" t="str">
        <f>IF(Fractius!D79="Não",Fractius!C79, " ")</f>
        <v xml:space="preserve"> </v>
      </c>
      <c r="V77" t="str">
        <v xml:space="preserve"> </v>
      </c>
      <c r="W77" t="str">
        <f>IF(Muzzio!D75="Não",Muzzio!C75, " ")</f>
        <v xml:space="preserve"> </v>
      </c>
    </row>
    <row r="78" spans="2:23" x14ac:dyDescent="0.25">
      <c r="B78" t="str">
        <v xml:space="preserve"> </v>
      </c>
      <c r="C78" t="str">
        <f>IF(Thrakiri!D79="Não",Thrakiri!C79, " ")</f>
        <v>Matoya, Archon Elder</v>
      </c>
      <c r="F78" t="str">
        <v xml:space="preserve"> </v>
      </c>
      <c r="G78" t="str">
        <f>IF(Gitrog!D77="Não",Gitrog!C77, " ")</f>
        <v>Hedge Shredder</v>
      </c>
      <c r="J78" t="str">
        <v xml:space="preserve"> </v>
      </c>
      <c r="K78" t="str">
        <f>IF(Elfos!D79="Não",Elfos!C79, " ")</f>
        <v>Nissa, Resurgent Animist</v>
      </c>
      <c r="N78" t="str">
        <v xml:space="preserve"> </v>
      </c>
      <c r="O78" t="str">
        <f>IF(Jhoira!D77="Não",Jhoira!C77, " ")</f>
        <v xml:space="preserve"> </v>
      </c>
      <c r="R78" t="str">
        <v xml:space="preserve"> </v>
      </c>
      <c r="S78" t="str">
        <f>IF(Fractius!D41="Não",Fractius!C41, " ")</f>
        <v>Sliver Gravemother</v>
      </c>
      <c r="V78" t="str">
        <v xml:space="preserve"> </v>
      </c>
      <c r="W78" t="str">
        <f>IF(Muzzio!D78="Não",Muzzio!C78, " ")</f>
        <v xml:space="preserve"> </v>
      </c>
    </row>
    <row r="79" spans="2:23" x14ac:dyDescent="0.25">
      <c r="B79" t="str">
        <v xml:space="preserve"> </v>
      </c>
      <c r="C79" t="str">
        <f>IF(Thrakiri!D80="Não",Thrakiri!C80, " ")</f>
        <v xml:space="preserve"> </v>
      </c>
      <c r="F79" t="str">
        <v xml:space="preserve"> </v>
      </c>
      <c r="G79" t="str">
        <f>IF(Gitrog!D78="Não",Gitrog!C78, " ")</f>
        <v xml:space="preserve"> </v>
      </c>
      <c r="J79" t="str">
        <v xml:space="preserve"> </v>
      </c>
      <c r="K79" t="str">
        <f>IF(Elfos!D80="Não",Elfos!C80, " ")</f>
        <v xml:space="preserve"> </v>
      </c>
      <c r="N79" t="str">
        <v xml:space="preserve"> </v>
      </c>
      <c r="O79" t="str">
        <f>IF(Jhoira!D78="Não",Jhoira!C78, " ")</f>
        <v xml:space="preserve"> </v>
      </c>
      <c r="R79" t="str">
        <v xml:space="preserve"> </v>
      </c>
      <c r="S79" t="str">
        <f>IF(Fractius!D82="Não",Fractius!C82, " ")</f>
        <v xml:space="preserve"> </v>
      </c>
      <c r="V79" t="str">
        <v xml:space="preserve"> </v>
      </c>
      <c r="W79" t="str">
        <f>IF(Muzzio!D80="Não",Muzzio!C80, " ")</f>
        <v xml:space="preserve"> </v>
      </c>
    </row>
    <row r="80" spans="2:23" x14ac:dyDescent="0.25">
      <c r="B80" t="str">
        <v xml:space="preserve"> </v>
      </c>
      <c r="C80" t="str">
        <f>IF(Thrakiri!D81="Não",Thrakiri!C81, " ")</f>
        <v xml:space="preserve"> </v>
      </c>
      <c r="F80" t="str">
        <v xml:space="preserve"> </v>
      </c>
      <c r="G80" t="str">
        <f>IF(Gitrog!D79="Não",Gitrog!C79, " ")</f>
        <v>Broodheart Engine</v>
      </c>
      <c r="J80" t="str">
        <v xml:space="preserve"> </v>
      </c>
      <c r="K80" t="str">
        <f>IF(Elfos!D81="Não",Elfos!C81, " ")</f>
        <v xml:space="preserve"> </v>
      </c>
      <c r="N80" t="str">
        <v xml:space="preserve"> </v>
      </c>
      <c r="O80" t="str">
        <f>IF(Jhoira!D79="Não",Jhoira!C79, " ")</f>
        <v xml:space="preserve"> </v>
      </c>
      <c r="R80" t="str">
        <v xml:space="preserve"> </v>
      </c>
      <c r="S80" t="str">
        <f>IF(Fractius!D84="Não",Fractius!C84, " ")</f>
        <v xml:space="preserve"> </v>
      </c>
      <c r="V80" t="str">
        <v xml:space="preserve"> </v>
      </c>
      <c r="W80" t="str">
        <f>IF(Muzzio!D81="Não",Muzzio!C81, " ")</f>
        <v xml:space="preserve"> </v>
      </c>
    </row>
    <row r="81" spans="2:23" x14ac:dyDescent="0.25">
      <c r="B81" t="str">
        <v xml:space="preserve"> </v>
      </c>
      <c r="C81" t="str">
        <f>IF(Thrakiri!D82="Não",Thrakiri!C82, " ")</f>
        <v xml:space="preserve"> </v>
      </c>
      <c r="F81" t="str">
        <v xml:space="preserve"> </v>
      </c>
      <c r="G81" t="str">
        <f>IF(Gitrog!D80="Não",Gitrog!C80, " ")</f>
        <v xml:space="preserve"> </v>
      </c>
      <c r="J81" t="str">
        <v xml:space="preserve"> </v>
      </c>
      <c r="K81" t="str">
        <f>IF(Elfos!D59="Não",Elfos!C59, " ")</f>
        <v xml:space="preserve"> </v>
      </c>
      <c r="N81" t="str">
        <v xml:space="preserve"> </v>
      </c>
      <c r="O81" t="str">
        <f>IF(Jhoira!D80="Não",Jhoira!C80, " ")</f>
        <v xml:space="preserve"> </v>
      </c>
      <c r="R81" t="str">
        <v xml:space="preserve"> </v>
      </c>
      <c r="S81" t="str">
        <f>IF(Fractius!D80="Não",Fractius!C80, " ")</f>
        <v xml:space="preserve"> </v>
      </c>
      <c r="V81" t="str">
        <v xml:space="preserve"> </v>
      </c>
      <c r="W81" t="str">
        <f>IF(Muzzio!D82="Não",Muzzio!C82, " ")</f>
        <v xml:space="preserve"> </v>
      </c>
    </row>
    <row r="82" spans="2:23" x14ac:dyDescent="0.25">
      <c r="B82" t="str">
        <v xml:space="preserve"> </v>
      </c>
      <c r="C82" t="str">
        <f>IF(Thrakiri!D83="Não",Thrakiri!C83, " ")</f>
        <v xml:space="preserve"> </v>
      </c>
      <c r="F82" t="str">
        <v xml:space="preserve"> </v>
      </c>
      <c r="G82" t="str">
        <f>IF(Gitrog!D81="Não",Gitrog!C81, " ")</f>
        <v xml:space="preserve"> </v>
      </c>
      <c r="J82" t="str">
        <v xml:space="preserve"> </v>
      </c>
      <c r="K82" t="str">
        <f>IF(Elfos!D82="Não",Elfos!C82, " ")</f>
        <v xml:space="preserve"> </v>
      </c>
      <c r="N82" t="str">
        <v xml:space="preserve"> </v>
      </c>
      <c r="O82" t="str">
        <f>IF(Jhoira!D81="Não",Jhoira!C81, " ")</f>
        <v>Cyber Conversion</v>
      </c>
      <c r="R82" t="str">
        <v xml:space="preserve"> </v>
      </c>
      <c r="S82" t="str">
        <f>IF(Fractius!D81="Não",Fractius!C81, " ")</f>
        <v xml:space="preserve"> </v>
      </c>
      <c r="V82" t="str">
        <v xml:space="preserve"> </v>
      </c>
      <c r="W82" t="str">
        <f>IF(Muzzio!D83="Não",Muzzio!C83, " ")</f>
        <v xml:space="preserve"> </v>
      </c>
    </row>
    <row r="83" spans="2:23" x14ac:dyDescent="0.25">
      <c r="B83" t="str">
        <v xml:space="preserve"> </v>
      </c>
      <c r="C83" t="str">
        <f>IF(Thrakiri!D84="Não",Thrakiri!C84, " ")</f>
        <v xml:space="preserve"> </v>
      </c>
      <c r="F83" t="str">
        <v xml:space="preserve"> </v>
      </c>
      <c r="G83" t="str">
        <f>IF(Gitrog!D82="Não",Gitrog!C82, " ")</f>
        <v>Ondulações de Morte-Vida</v>
      </c>
      <c r="J83" t="str">
        <v xml:space="preserve"> </v>
      </c>
      <c r="K83" t="str">
        <f>IF(Elfos!D83="Não",Elfos!C83, " ")</f>
        <v xml:space="preserve"> </v>
      </c>
      <c r="N83" t="str">
        <v xml:space="preserve"> </v>
      </c>
      <c r="O83" t="str">
        <f>IF(Jhoira!D82="Não",Jhoira!C82, " ")</f>
        <v xml:space="preserve"> </v>
      </c>
      <c r="R83" t="str">
        <v xml:space="preserve"> </v>
      </c>
      <c r="S83" t="str">
        <f>IF(Fractius!D97="Não",Fractius!C97, " ")</f>
        <v>Rakdos Signet</v>
      </c>
      <c r="V83" t="str">
        <v xml:space="preserve"> </v>
      </c>
      <c r="W83" t="str">
        <f>IF(Muzzio!D85="Não",Muzzio!C85, " ")</f>
        <v xml:space="preserve"> </v>
      </c>
    </row>
    <row r="84" spans="2:23" x14ac:dyDescent="0.25">
      <c r="B84" t="str">
        <v xml:space="preserve"> </v>
      </c>
      <c r="C84" t="str">
        <f>IF(Thrakiri!D85="Não",Thrakiri!C85, " ")</f>
        <v xml:space="preserve"> </v>
      </c>
      <c r="F84" t="str">
        <v xml:space="preserve"> </v>
      </c>
      <c r="G84" t="str">
        <f>IF(Gitrog!D84="Não",Gitrog!C84, " ")</f>
        <v xml:space="preserve"> </v>
      </c>
      <c r="J84" t="str">
        <v xml:space="preserve"> </v>
      </c>
      <c r="K84" t="str">
        <f>IF(Elfos!D84="Não",Elfos!C84, " ")</f>
        <v xml:space="preserve"> </v>
      </c>
      <c r="N84" t="str">
        <v xml:space="preserve"> </v>
      </c>
      <c r="O84" t="str">
        <f>IF(Jhoira!D83="Não",Jhoira!C83, " ")</f>
        <v xml:space="preserve"> </v>
      </c>
      <c r="R84" t="str">
        <v xml:space="preserve"> </v>
      </c>
      <c r="S84" t="str">
        <f>IF(Fractius!D72="Não",Fractius!C72, " ")</f>
        <v xml:space="preserve"> </v>
      </c>
      <c r="V84" t="str">
        <v xml:space="preserve"> </v>
      </c>
      <c r="W84" t="str">
        <f>IF(Muzzio!D86="Não",Muzzio!C86, " ")</f>
        <v xml:space="preserve"> </v>
      </c>
    </row>
    <row r="85" spans="2:23" x14ac:dyDescent="0.25">
      <c r="B85" t="str">
        <v xml:space="preserve"> </v>
      </c>
      <c r="C85" t="str">
        <f>IF(Thrakiri!D86="Não",Thrakiri!C86, " ")</f>
        <v xml:space="preserve"> </v>
      </c>
      <c r="F85" t="str">
        <v xml:space="preserve"> </v>
      </c>
      <c r="G85" t="str">
        <f>IF(Gitrog!D85="Não",Gitrog!C85, " ")</f>
        <v>Titania, Voice of Gaea</v>
      </c>
      <c r="J85" t="str">
        <v xml:space="preserve"> </v>
      </c>
      <c r="K85" t="str">
        <f>IF(Elfos!D85="Não",Elfos!C85, " ")</f>
        <v xml:space="preserve"> </v>
      </c>
      <c r="N85" t="str">
        <v xml:space="preserve"> </v>
      </c>
      <c r="O85" t="str">
        <f>IF(Jhoira!D84="Não",Jhoira!C84, " ")</f>
        <v xml:space="preserve"> </v>
      </c>
      <c r="R85" t="str">
        <v xml:space="preserve"> </v>
      </c>
      <c r="S85" t="str">
        <f>IF(Fractius!D83="Não",Fractius!C83, " ")</f>
        <v xml:space="preserve"> </v>
      </c>
      <c r="V85" t="str">
        <v xml:space="preserve"> </v>
      </c>
      <c r="W85" t="str">
        <f>IF(Muzzio!D87="Não",Muzzio!C87, " ")</f>
        <v xml:space="preserve"> </v>
      </c>
    </row>
    <row r="86" spans="2:23" x14ac:dyDescent="0.25">
      <c r="B86" t="str">
        <v xml:space="preserve"> </v>
      </c>
      <c r="C86" t="str">
        <f>IF(Thrakiri!D87="Não",Thrakiri!C87, " ")</f>
        <v xml:space="preserve"> </v>
      </c>
      <c r="F86" t="str">
        <v xml:space="preserve"> </v>
      </c>
      <c r="G86" t="str">
        <f>IF(Gitrog!D86="Não",Gitrog!C86, " ")</f>
        <v xml:space="preserve"> </v>
      </c>
      <c r="J86" t="str">
        <v xml:space="preserve"> </v>
      </c>
      <c r="K86" t="str">
        <f>IF(Elfos!D86="Não",Elfos!C86, " ")</f>
        <v xml:space="preserve"> </v>
      </c>
      <c r="N86" t="str">
        <v xml:space="preserve"> </v>
      </c>
      <c r="O86" t="str">
        <f>IF(Jhoira!D85="Não",Jhoira!C85, " ")</f>
        <v xml:space="preserve"> </v>
      </c>
      <c r="R86" t="str">
        <v xml:space="preserve"> </v>
      </c>
      <c r="S86" t="str">
        <f>IF(Fractius!D70="Não",Fractius!C70, " ")</f>
        <v xml:space="preserve"> </v>
      </c>
      <c r="V86" t="str">
        <v xml:space="preserve"> </v>
      </c>
      <c r="W86" t="str">
        <f>IF(Muzzio!D88="Não",Muzzio!C88, " ")</f>
        <v xml:space="preserve"> </v>
      </c>
    </row>
    <row r="87" spans="2:23" x14ac:dyDescent="0.25">
      <c r="B87" t="str">
        <v xml:space="preserve"> </v>
      </c>
      <c r="C87" t="str">
        <f>IF(Thrakiri!D88="Não",Thrakiri!C88, " ")</f>
        <v xml:space="preserve"> </v>
      </c>
      <c r="F87" t="str">
        <v xml:space="preserve"> </v>
      </c>
      <c r="G87" t="str">
        <f>IF(Gitrog!D87="Não",Gitrog!C87, " ")</f>
        <v xml:space="preserve"> </v>
      </c>
      <c r="J87" t="str">
        <v xml:space="preserve"> </v>
      </c>
      <c r="K87" t="str">
        <f>IF(Elfos!D87="Não",Elfos!C87, " ")</f>
        <v xml:space="preserve"> </v>
      </c>
      <c r="N87" t="str">
        <v xml:space="preserve"> </v>
      </c>
      <c r="O87" t="str">
        <f>IF(Jhoira!D86="Não",Jhoira!C86, " ")</f>
        <v xml:space="preserve"> </v>
      </c>
      <c r="R87" t="str">
        <v xml:space="preserve"> </v>
      </c>
      <c r="S87" t="str">
        <f>IF(Fractius!D85="Não",Fractius!C85, " ")</f>
        <v xml:space="preserve"> </v>
      </c>
      <c r="V87" t="str">
        <v xml:space="preserve"> </v>
      </c>
      <c r="W87" t="str">
        <f>IF(Muzzio!D89="Não",Muzzio!C89, " ")</f>
        <v xml:space="preserve"> </v>
      </c>
    </row>
    <row r="88" spans="2:23" x14ac:dyDescent="0.25">
      <c r="B88" t="str">
        <v xml:space="preserve"> </v>
      </c>
      <c r="C88" t="str">
        <f>IF(Thrakiri!D89="Não",Thrakiri!C89, " ")</f>
        <v xml:space="preserve"> </v>
      </c>
      <c r="F88" t="str">
        <v xml:space="preserve"> </v>
      </c>
      <c r="G88" t="str">
        <f>IF(Gitrog!D88="Não",Gitrog!C88, " ")</f>
        <v xml:space="preserve"> </v>
      </c>
      <c r="J88" t="str">
        <v xml:space="preserve"> </v>
      </c>
      <c r="K88" t="str">
        <f>IF(Elfos!D88="Não",Elfos!C88, " ")</f>
        <v xml:space="preserve"> </v>
      </c>
      <c r="N88" t="str">
        <v xml:space="preserve"> </v>
      </c>
      <c r="O88" t="str">
        <f>IF(Jhoira!D87="Não",Jhoira!C87, " ")</f>
        <v xml:space="preserve"> </v>
      </c>
      <c r="R88" t="str">
        <v xml:space="preserve"> </v>
      </c>
      <c r="S88" t="str">
        <f>IF(Fractius!D86="Não",Fractius!C86, " ")</f>
        <v xml:space="preserve"> </v>
      </c>
      <c r="V88" t="str">
        <v xml:space="preserve"> </v>
      </c>
      <c r="W88" t="str">
        <f>IF(Muzzio!D90="Não",Muzzio!C90, " ")</f>
        <v>Rings of Brighthearth</v>
      </c>
    </row>
    <row r="89" spans="2:23" x14ac:dyDescent="0.25">
      <c r="B89" t="str">
        <v xml:space="preserve"> </v>
      </c>
      <c r="C89" t="str">
        <f>IF(Thrakiri!D90="Não",Thrakiri!C90, " ")</f>
        <v xml:space="preserve"> </v>
      </c>
      <c r="F89" t="str">
        <v xml:space="preserve"> </v>
      </c>
      <c r="G89" t="str">
        <f>IF(Gitrog!D89="Não",Gitrog!C89, " ")</f>
        <v xml:space="preserve"> </v>
      </c>
      <c r="J89" t="str">
        <v xml:space="preserve"> </v>
      </c>
      <c r="K89" t="str">
        <f>IF(Elfos!D89="Não",Elfos!C89, " ")</f>
        <v xml:space="preserve"> </v>
      </c>
      <c r="N89" t="str">
        <v xml:space="preserve"> </v>
      </c>
      <c r="O89" t="str">
        <f>IF(Jhoira!D88="Não",Jhoira!C88, " ")</f>
        <v xml:space="preserve"> </v>
      </c>
      <c r="R89" t="str">
        <v xml:space="preserve"> </v>
      </c>
      <c r="S89" t="str">
        <f>IF(Fractius!D88="Não",Fractius!C88, " ")</f>
        <v>Thrumming Hivepool</v>
      </c>
      <c r="V89" t="str">
        <v xml:space="preserve"> </v>
      </c>
      <c r="W89" t="str">
        <f>IF(Muzzio!D91="Não",Muzzio!C91, " ")</f>
        <v xml:space="preserve"> </v>
      </c>
    </row>
    <row r="90" spans="2:23" x14ac:dyDescent="0.25">
      <c r="B90" t="str">
        <v xml:space="preserve"> </v>
      </c>
      <c r="C90" t="str">
        <f>IF(Thrakiri!D91="Não",Thrakiri!C91, " ")</f>
        <v xml:space="preserve"> </v>
      </c>
      <c r="F90" t="str">
        <v xml:space="preserve"> </v>
      </c>
      <c r="G90" t="str">
        <f>IF(Gitrog!D90="Não",Gitrog!C90, " ")</f>
        <v xml:space="preserve"> </v>
      </c>
      <c r="J90" t="str">
        <v xml:space="preserve"> </v>
      </c>
      <c r="K90" t="str">
        <f>IF(Elfos!D90="Não",Elfos!C90, " ")</f>
        <v xml:space="preserve"> </v>
      </c>
      <c r="N90" t="str">
        <v xml:space="preserve"> </v>
      </c>
      <c r="O90" t="str">
        <f>IF(Jhoira!D89="Não",Jhoira!C89, " ")</f>
        <v xml:space="preserve"> </v>
      </c>
      <c r="R90" t="str">
        <v xml:space="preserve"> </v>
      </c>
      <c r="S90" t="str">
        <f>IF(Fractius!D89="Não",Fractius!C89, " ")</f>
        <v xml:space="preserve"> </v>
      </c>
      <c r="V90" t="str">
        <v xml:space="preserve"> </v>
      </c>
      <c r="W90" t="str">
        <f>IF(Muzzio!D92="Não",Muzzio!C92, " ")</f>
        <v xml:space="preserve"> </v>
      </c>
    </row>
    <row r="91" spans="2:23" x14ac:dyDescent="0.25">
      <c r="B91" t="str">
        <v xml:space="preserve"> </v>
      </c>
      <c r="C91" t="str">
        <f>IF(Thrakiri!D92="Não",Thrakiri!C92, " ")</f>
        <v xml:space="preserve"> </v>
      </c>
      <c r="F91" t="str">
        <v xml:space="preserve"> </v>
      </c>
      <c r="G91" t="str">
        <f>IF(Gitrog!D91="Não",Gitrog!C91, " ")</f>
        <v xml:space="preserve"> </v>
      </c>
      <c r="J91" t="str">
        <v xml:space="preserve"> </v>
      </c>
      <c r="K91" t="str">
        <f>IF(Elfos!D91="Não",Elfos!C91, " ")</f>
        <v xml:space="preserve"> </v>
      </c>
      <c r="N91" t="str">
        <v xml:space="preserve"> </v>
      </c>
      <c r="O91" t="str">
        <f>IF(Jhoira!D90="Não",Jhoira!C90, " ")</f>
        <v xml:space="preserve"> </v>
      </c>
      <c r="R91" t="str">
        <v xml:space="preserve"> </v>
      </c>
      <c r="S91" t="str">
        <f>IF(Fractius!D90="Não",Fractius!C90, " ")</f>
        <v xml:space="preserve"> </v>
      </c>
      <c r="V91" t="str">
        <v xml:space="preserve"> </v>
      </c>
      <c r="W91" t="str">
        <f>IF(Muzzio!D93="Não",Muzzio!C93, " ")</f>
        <v xml:space="preserve"> </v>
      </c>
    </row>
    <row r="92" spans="2:23" x14ac:dyDescent="0.25">
      <c r="B92" t="str">
        <v xml:space="preserve"> </v>
      </c>
      <c r="C92" t="str">
        <f>IF(Thrakiri!D93="Não",Thrakiri!C93, " ")</f>
        <v xml:space="preserve"> </v>
      </c>
      <c r="F92" t="str">
        <v xml:space="preserve"> </v>
      </c>
      <c r="G92" t="str">
        <f>IF(Gitrog!D92="Não",Gitrog!C92, " ")</f>
        <v>Crisol dos Mundos</v>
      </c>
      <c r="J92" t="str">
        <v xml:space="preserve"> </v>
      </c>
      <c r="K92" t="str">
        <f>IF(Elfos!D92="Não",Elfos!C92, " ")</f>
        <v>Dionus, Elvish Archdruid</v>
      </c>
      <c r="N92" t="str">
        <v xml:space="preserve"> </v>
      </c>
      <c r="O92" t="str">
        <f>IF(Jhoira!D91="Não",Jhoira!C91, " ")</f>
        <v xml:space="preserve"> </v>
      </c>
      <c r="R92" t="str">
        <v xml:space="preserve"> </v>
      </c>
      <c r="S92" t="str">
        <f>IF(Fractius!D91="Não",Fractius!C91, " ")</f>
        <v xml:space="preserve"> </v>
      </c>
      <c r="V92" t="str">
        <v xml:space="preserve"> </v>
      </c>
      <c r="W92" t="str">
        <f>IF(Muzzio!D94="Não",Muzzio!C94, " ")</f>
        <v>Gogo, Master of Mimicry</v>
      </c>
    </row>
    <row r="93" spans="2:23" x14ac:dyDescent="0.25">
      <c r="B93" t="str">
        <v xml:space="preserve"> </v>
      </c>
      <c r="C93" t="str">
        <f>IF(Thrakiri!D94="Não",Thrakiri!C94, " ")</f>
        <v xml:space="preserve"> </v>
      </c>
      <c r="F93" t="str">
        <v xml:space="preserve"> </v>
      </c>
      <c r="G93" t="str">
        <f>IF(Gitrog!D93="Não",Gitrog!C93, " ")</f>
        <v xml:space="preserve"> </v>
      </c>
      <c r="J93" t="str">
        <v xml:space="preserve"> </v>
      </c>
      <c r="K93" t="str">
        <f>IF(Elfos!D93="Não",Elfos!C93, " ")</f>
        <v xml:space="preserve"> </v>
      </c>
      <c r="N93" t="str">
        <v xml:space="preserve"> </v>
      </c>
      <c r="O93" t="str">
        <f>IF(Jhoira!D93="Não",Jhoira!C93, " ")</f>
        <v xml:space="preserve"> </v>
      </c>
      <c r="R93" t="str">
        <v xml:space="preserve"> </v>
      </c>
      <c r="S93" t="str">
        <f>IF(Fractius!D92="Não",Fractius!C92, " ")</f>
        <v xml:space="preserve"> </v>
      </c>
      <c r="V93" t="str">
        <v xml:space="preserve"> </v>
      </c>
      <c r="W93" t="str">
        <f>IF(Muzzio!D68="Não",Muzzio!C68, " ")</f>
        <v>Dauntless Scrapbot</v>
      </c>
    </row>
    <row r="94" spans="2:23" x14ac:dyDescent="0.25">
      <c r="B94" t="str">
        <v xml:space="preserve"> </v>
      </c>
      <c r="C94" t="str">
        <f>IF(Thrakiri!D95="Não",Thrakiri!C95, " ")</f>
        <v xml:space="preserve"> </v>
      </c>
      <c r="F94" t="str">
        <v xml:space="preserve"> </v>
      </c>
      <c r="G94" t="str">
        <f>IF(Gitrog!D94="Não",Gitrog!C94, " ")</f>
        <v xml:space="preserve"> </v>
      </c>
      <c r="J94" t="str">
        <v xml:space="preserve"> </v>
      </c>
      <c r="K94" t="str">
        <f>IF(Elfos!D94="Não",Elfos!C94, " ")</f>
        <v xml:space="preserve"> </v>
      </c>
      <c r="N94" t="str">
        <v xml:space="preserve"> </v>
      </c>
      <c r="O94" t="str">
        <f>IF(Jhoira!D94="Não",Jhoira!C94, " ")</f>
        <v xml:space="preserve"> </v>
      </c>
      <c r="R94" t="str">
        <v xml:space="preserve"> </v>
      </c>
      <c r="S94" t="str">
        <f>IF(Fractius!D93="Não",Fractius!C93, " ")</f>
        <v xml:space="preserve"> </v>
      </c>
      <c r="V94" t="str">
        <v xml:space="preserve"> </v>
      </c>
      <c r="W94" t="str">
        <f>IF(Muzzio!D95="Não",Muzzio!C95, " ")</f>
        <v xml:space="preserve"> </v>
      </c>
    </row>
    <row r="95" spans="2:23" x14ac:dyDescent="0.25">
      <c r="B95" t="str">
        <v xml:space="preserve"> </v>
      </c>
      <c r="C95" t="str">
        <f>IF(Thrakiri!D96="Não",Thrakiri!C96, " ")</f>
        <v xml:space="preserve"> </v>
      </c>
      <c r="F95" t="str">
        <v xml:space="preserve"> </v>
      </c>
      <c r="G95" t="str">
        <f>IF(Gitrog!D95="Não",Gitrog!C95, " ")</f>
        <v xml:space="preserve"> </v>
      </c>
      <c r="J95" t="str">
        <v xml:space="preserve"> </v>
      </c>
      <c r="K95" t="str">
        <f>IF(Elfos!D95="Não",Elfos!C95, " ")</f>
        <v xml:space="preserve"> </v>
      </c>
      <c r="N95" t="str">
        <v xml:space="preserve"> </v>
      </c>
      <c r="O95" t="str">
        <f>IF(Jhoira!D95="Não",Jhoira!C95, " ")</f>
        <v xml:space="preserve"> </v>
      </c>
      <c r="R95" t="str">
        <v xml:space="preserve"> </v>
      </c>
      <c r="S95" t="str">
        <f>IF(Fractius!D94="Não",Fractius!C94, " ")</f>
        <v xml:space="preserve"> </v>
      </c>
      <c r="V95" t="str">
        <v xml:space="preserve"> </v>
      </c>
      <c r="W95" t="str">
        <f>IF(Muzzio!D96="Não",Muzzio!C96, " ")</f>
        <v xml:space="preserve"> </v>
      </c>
    </row>
    <row r="96" spans="2:23" x14ac:dyDescent="0.25">
      <c r="B96" t="str">
        <v xml:space="preserve"> </v>
      </c>
      <c r="C96" t="str">
        <f>IF(Thrakiri!D55="Não",Thrakiri!C55, " ")</f>
        <v xml:space="preserve"> </v>
      </c>
      <c r="F96" t="str">
        <v xml:space="preserve"> </v>
      </c>
      <c r="G96" t="str">
        <f>IF(Gitrog!D96="Não",Gitrog!C96, " ")</f>
        <v xml:space="preserve"> </v>
      </c>
      <c r="J96" t="str">
        <v xml:space="preserve"> </v>
      </c>
      <c r="K96" t="str">
        <f>IF(Elfos!D96="Não",Elfos!C96, " ")</f>
        <v xml:space="preserve"> </v>
      </c>
      <c r="N96" t="str">
        <v xml:space="preserve"> </v>
      </c>
      <c r="O96" t="str">
        <f>IF(Jhoira!D96="Não",Jhoira!C96, " ")</f>
        <v xml:space="preserve"> </v>
      </c>
      <c r="R96" t="str">
        <v xml:space="preserve"> </v>
      </c>
      <c r="S96" t="str">
        <f>IF(Fractius!D95="Não",Fractius!C95, " ")</f>
        <v xml:space="preserve"> </v>
      </c>
      <c r="V96" t="str">
        <v xml:space="preserve"> </v>
      </c>
      <c r="W96" t="str">
        <f>IF(Muzzio!D97="Não",Muzzio!C97, " ")</f>
        <v xml:space="preserve"> </v>
      </c>
    </row>
    <row r="97" spans="2:23" x14ac:dyDescent="0.25">
      <c r="B97" t="str">
        <v xml:space="preserve"> </v>
      </c>
      <c r="C97" t="str">
        <f>IF(Thrakiri!D97="Não",Thrakiri!C97, " ")</f>
        <v xml:space="preserve"> </v>
      </c>
      <c r="F97" t="str">
        <v xml:space="preserve"> </v>
      </c>
      <c r="G97" t="str">
        <f>IF(Gitrog!D97="Não",Gitrog!C97, " ")</f>
        <v xml:space="preserve"> </v>
      </c>
      <c r="J97" t="str">
        <v xml:space="preserve"> </v>
      </c>
      <c r="K97" t="str">
        <f>IF(Elfos!D97="Não",Elfos!C97, " ")</f>
        <v xml:space="preserve"> </v>
      </c>
      <c r="N97" t="str">
        <v xml:space="preserve"> </v>
      </c>
      <c r="O97" t="str">
        <f>IF(Jhoira!D97="Não",Jhoira!C97, " ")</f>
        <v xml:space="preserve"> </v>
      </c>
      <c r="R97" t="str">
        <v xml:space="preserve"> </v>
      </c>
      <c r="S97" t="str">
        <f>IF(Fractius!D96="Não",Fractius!C96, " ")</f>
        <v xml:space="preserve"> </v>
      </c>
      <c r="V97" t="str">
        <v xml:space="preserve"> </v>
      </c>
      <c r="W97" t="str">
        <f>IF(Muzzio!D98="Não",Muzzio!C98, " ")</f>
        <v>Chimil, o Sol Interior</v>
      </c>
    </row>
    <row r="98" spans="2:23" x14ac:dyDescent="0.25">
      <c r="B98" t="str">
        <v xml:space="preserve"> </v>
      </c>
      <c r="C98" t="str">
        <f>IF(Thrakiri!D98="Não",Thrakiri!C98, " ")</f>
        <v xml:space="preserve"> </v>
      </c>
      <c r="F98" t="str">
        <v xml:space="preserve"> </v>
      </c>
      <c r="G98" t="str">
        <f>IF(Gitrog!D98="Não",Gitrog!C98, " ")</f>
        <v xml:space="preserve"> </v>
      </c>
      <c r="J98" t="str">
        <v xml:space="preserve"> </v>
      </c>
      <c r="K98" t="str">
        <f>IF(Elfos!D98="Não",Elfos!C98, " ")</f>
        <v xml:space="preserve"> </v>
      </c>
      <c r="N98" t="str">
        <v xml:space="preserve"> </v>
      </c>
      <c r="O98" t="str">
        <f>IF(Jhoira!D99="Não",Jhoira!C99, " ")</f>
        <v xml:space="preserve"> </v>
      </c>
      <c r="R98" t="str">
        <v xml:space="preserve"> </v>
      </c>
      <c r="S98" t="str">
        <f>IF(Fractius!D98="Não",Fractius!C98, " ")</f>
        <v xml:space="preserve"> </v>
      </c>
      <c r="V98" t="str">
        <v xml:space="preserve"> </v>
      </c>
      <c r="W98" t="str">
        <f>IF(Muzzio!D99="Não",Muzzio!C99, " ")</f>
        <v xml:space="preserve"> </v>
      </c>
    </row>
    <row r="99" spans="2:23" x14ac:dyDescent="0.25">
      <c r="B99" t="str">
        <v xml:space="preserve"> </v>
      </c>
      <c r="C99" t="str">
        <f>IF(Thrakiri!D99="Não",Thrakiri!C99, " ")</f>
        <v xml:space="preserve"> </v>
      </c>
      <c r="F99" t="str">
        <v xml:space="preserve"> </v>
      </c>
      <c r="G99" t="str">
        <f>IF(Gitrog!D99="Não",Gitrog!C99, " ")</f>
        <v>Entomb</v>
      </c>
      <c r="J99" t="str">
        <v xml:space="preserve"> </v>
      </c>
      <c r="K99" t="str">
        <f>IF(Elfos!D99="Não",Elfos!C99, " ")</f>
        <v xml:space="preserve"> </v>
      </c>
      <c r="N99" t="str">
        <v xml:space="preserve"> </v>
      </c>
      <c r="O99" t="str">
        <f>IF(Jhoira!D100="Não",Jhoira!C100, " ")</f>
        <v xml:space="preserve"> </v>
      </c>
      <c r="R99" t="str">
        <v xml:space="preserve"> </v>
      </c>
      <c r="S99" t="str">
        <f>IF(Fractius!D99="Não",Fractius!C99, " ")</f>
        <v xml:space="preserve"> </v>
      </c>
      <c r="V99" t="str">
        <v xml:space="preserve"> </v>
      </c>
      <c r="W99" t="str">
        <f>IF(Muzzio!D100="Não",Muzzio!C100, " ")</f>
        <v xml:space="preserve"> </v>
      </c>
    </row>
    <row r="100" spans="2:23" x14ac:dyDescent="0.25">
      <c r="B100" t="str">
        <v xml:space="preserve"> </v>
      </c>
      <c r="C100" t="str">
        <f>IF(Thrakiri!D100="Não",Thrakiri!C100, " ")</f>
        <v xml:space="preserve"> </v>
      </c>
      <c r="F100" t="str">
        <v xml:space="preserve"> </v>
      </c>
      <c r="G100" t="str">
        <f>IF(Gitrog!D100="Não",Gitrog!C100, " ")</f>
        <v xml:space="preserve"> </v>
      </c>
      <c r="J100" t="str">
        <v xml:space="preserve"> </v>
      </c>
      <c r="K100" t="str">
        <f>IF(Elfos!D100="Não",Elfos!C100, " ")</f>
        <v xml:space="preserve"> </v>
      </c>
      <c r="N100" t="str">
        <v xml:space="preserve"> </v>
      </c>
      <c r="O100" t="str">
        <f>IF(Jhoira!D101="Não",Jhoira!C101, " ")</f>
        <v xml:space="preserve"> </v>
      </c>
      <c r="R100" t="str">
        <v xml:space="preserve"> </v>
      </c>
      <c r="S100" t="str">
        <f>IF(Fractius!D100="Não",Fractius!C100, " ")</f>
        <v xml:space="preserve"> </v>
      </c>
      <c r="V100" t="str">
        <v xml:space="preserve"> </v>
      </c>
      <c r="W100" t="str">
        <f>IF(Muzzio!D54="Não",Muzzio!C54, " ")</f>
        <v>Pingente de Ampulheta de Gerrard</v>
      </c>
    </row>
    <row r="101" spans="2:23" x14ac:dyDescent="0.25">
      <c r="B101" t="str">
        <v xml:space="preserve"> </v>
      </c>
      <c r="C101" t="str">
        <f>IF(Thrakiri!D101="Não",Thrakiri!C101, " ")</f>
        <v xml:space="preserve"> </v>
      </c>
      <c r="F101" t="str">
        <v xml:space="preserve"> </v>
      </c>
      <c r="G101" t="str">
        <f>IF(Gitrog!D101="Não",Gitrog!C101, " ")</f>
        <v xml:space="preserve"> </v>
      </c>
      <c r="J101" t="str">
        <v xml:space="preserve"> </v>
      </c>
      <c r="K101" t="str">
        <f>IF(Elfos!D101="Não",Elfos!C101, " ")</f>
        <v xml:space="preserve"> </v>
      </c>
      <c r="N101" t="str">
        <v xml:space="preserve"> </v>
      </c>
      <c r="O101" t="str">
        <f>IF(Jhoira!D102="Não",Jhoira!C102, " ")</f>
        <v xml:space="preserve"> </v>
      </c>
      <c r="R101" t="str">
        <v xml:space="preserve"> </v>
      </c>
      <c r="S101" t="str">
        <f>IF(Fractius!D101="Não",Fractius!C101, " ")</f>
        <v xml:space="preserve"> </v>
      </c>
      <c r="V101" t="str">
        <v xml:space="preserve"> </v>
      </c>
      <c r="W101" t="str">
        <f>IF(Muzzio!D101="Não",Muzzio!C101, " ")</f>
        <v xml:space="preserve"> </v>
      </c>
    </row>
    <row r="102" spans="2:23" x14ac:dyDescent="0.25">
      <c r="C102" t="str">
        <f>IF(Thrakiri!D102="Não",Thrakiri!C102, " ")</f>
        <v xml:space="preserve"> </v>
      </c>
    </row>
  </sheetData>
  <sortState xmlns:xlrd2="http://schemas.microsoft.com/office/spreadsheetml/2017/richdata2" ref="C3:C101">
    <sortCondition descending="1" ref="C3:C101"/>
  </sortState>
  <mergeCells count="6">
    <mergeCell ref="U1:W2"/>
    <mergeCell ref="A1:C2"/>
    <mergeCell ref="E1:G2"/>
    <mergeCell ref="I1:K2"/>
    <mergeCell ref="M1:O2"/>
    <mergeCell ref="Q1:S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EABD5-AF25-46BB-B400-E072FADD0C53}">
  <sheetPr codeName="Planilha4"/>
  <dimension ref="A1:X106"/>
  <sheetViews>
    <sheetView workbookViewId="0">
      <pane ySplit="2" topLeftCell="A3" activePane="bottomLeft" state="frozen"/>
      <selection pane="bottomLeft" activeCell="A10" sqref="A10"/>
    </sheetView>
  </sheetViews>
  <sheetFormatPr defaultRowHeight="15" x14ac:dyDescent="0.25"/>
  <cols>
    <col min="2" max="2" width="25.7109375" bestFit="1" customWidth="1"/>
    <col min="3" max="3" width="14.7109375" hidden="1" customWidth="1"/>
    <col min="4" max="4" width="2.7109375" style="9" customWidth="1"/>
    <col min="6" max="6" width="23.7109375" bestFit="1" customWidth="1"/>
    <col min="7" max="7" width="14.7109375" hidden="1" customWidth="1"/>
    <col min="8" max="8" width="2.7109375" style="9" customWidth="1"/>
    <col min="10" max="10" width="20.7109375" customWidth="1"/>
    <col min="11" max="11" width="14.7109375" hidden="1" customWidth="1"/>
    <col min="12" max="12" width="2.7109375" style="9" customWidth="1"/>
    <col min="14" max="14" width="20.7109375" customWidth="1"/>
    <col min="15" max="15" width="14.7109375" hidden="1" customWidth="1"/>
    <col min="16" max="16" width="2.7109375" style="9" customWidth="1"/>
    <col min="18" max="18" width="27" bestFit="1" customWidth="1"/>
    <col min="19" max="19" width="14.7109375" hidden="1" customWidth="1"/>
    <col min="20" max="20" width="2.7109375" style="9" customWidth="1"/>
    <col min="22" max="22" width="24.28515625" bestFit="1" customWidth="1"/>
    <col min="23" max="23" width="14.7109375" hidden="1" customWidth="1"/>
    <col min="24" max="24" width="2.7109375" style="9" customWidth="1"/>
  </cols>
  <sheetData>
    <row r="1" spans="1:24" s="4" customFormat="1" x14ac:dyDescent="0.25">
      <c r="A1" s="27" t="s">
        <v>22</v>
      </c>
      <c r="B1" s="27"/>
      <c r="C1" s="27"/>
      <c r="D1" s="8"/>
      <c r="E1" s="27" t="s">
        <v>23</v>
      </c>
      <c r="F1" s="27"/>
      <c r="G1" s="27"/>
      <c r="H1" s="8"/>
      <c r="I1" s="27" t="s">
        <v>24</v>
      </c>
      <c r="J1" s="27"/>
      <c r="K1" s="27"/>
      <c r="L1" s="8"/>
      <c r="M1" s="27" t="s">
        <v>25</v>
      </c>
      <c r="N1" s="27"/>
      <c r="O1" s="27"/>
      <c r="P1" s="8"/>
      <c r="Q1" s="27" t="s">
        <v>26</v>
      </c>
      <c r="R1" s="27"/>
      <c r="S1" s="27"/>
      <c r="T1" s="8"/>
      <c r="U1" s="27" t="s">
        <v>27</v>
      </c>
      <c r="V1" s="27"/>
      <c r="W1" s="27"/>
      <c r="X1" s="8"/>
    </row>
    <row r="2" spans="1:24" s="4" customFormat="1" x14ac:dyDescent="0.25">
      <c r="A2" s="27"/>
      <c r="B2" s="27"/>
      <c r="C2" s="27"/>
      <c r="D2" s="8"/>
      <c r="E2" s="27"/>
      <c r="F2" s="27"/>
      <c r="G2" s="27"/>
      <c r="H2" s="8"/>
      <c r="I2" s="27"/>
      <c r="J2" s="27"/>
      <c r="K2" s="27"/>
      <c r="L2" s="8"/>
      <c r="M2" s="27"/>
      <c r="N2" s="27"/>
      <c r="O2" s="27"/>
      <c r="P2" s="8"/>
      <c r="Q2" s="27"/>
      <c r="R2" s="27"/>
      <c r="S2" s="27"/>
      <c r="T2" s="8"/>
      <c r="U2" s="27"/>
      <c r="V2" s="27"/>
      <c r="W2" s="27"/>
      <c r="X2" s="8"/>
    </row>
    <row r="3" spans="1:24" x14ac:dyDescent="0.25">
      <c r="A3" s="4" t="s">
        <v>21</v>
      </c>
      <c r="B3" t="str" cm="1">
        <f t="array" ref="B3:B101">_xlfn._xlws.SORT(C3:C101,1,-1,0)</f>
        <v>Sokenzan, Crisol da Afronta</v>
      </c>
      <c r="C3" t="str">
        <f>IF(Rielle!D3="Não",Rielle!C3, " ")</f>
        <v xml:space="preserve"> </v>
      </c>
      <c r="E3" s="4" t="s">
        <v>21</v>
      </c>
      <c r="F3" t="str" cm="1">
        <f t="array" ref="F3:F101">_xlfn._xlws.SORT(G3:G101,1,-1,0)</f>
        <v>Westvale Abbey</v>
      </c>
      <c r="G3" t="str">
        <f>IF(Alela!D3="Não",Alela!C3, " ")</f>
        <v xml:space="preserve"> </v>
      </c>
      <c r="I3" s="4" t="s">
        <v>21</v>
      </c>
      <c r="J3" t="str" cm="1">
        <f t="array" ref="J3:J101">_xlfn._xlws.SORT(K3:K101,1,-1,0)</f>
        <v>Teyo, Geometric Tactician</v>
      </c>
      <c r="K3" t="str">
        <f>IF(Arcades!D3="Não",Arcades!C3, " ")</f>
        <v xml:space="preserve"> </v>
      </c>
      <c r="M3" s="4" t="s">
        <v>21</v>
      </c>
      <c r="N3" t="str" cm="1">
        <f t="array" ref="N3:N101">_xlfn._xlws.SORT(O3:O101,1,-1,0)</f>
        <v>Watery Grave</v>
      </c>
      <c r="O3" t="str">
        <f>IF(VialIshai!D3="Não",VialIshai!C3, " ")</f>
        <v xml:space="preserve"> </v>
      </c>
      <c r="Q3" s="4" t="s">
        <v>21</v>
      </c>
      <c r="R3" t="str" cm="1">
        <f t="array" ref="R3:R101">_xlfn._xlws.SORT(S3:S101,1,-1,0)</f>
        <v>Watery Grave</v>
      </c>
      <c r="S3" t="str">
        <f>IF(Yuriko!D3="Não",Yuriko!C3, " ")</f>
        <v xml:space="preserve"> </v>
      </c>
      <c r="U3" s="4" t="s">
        <v>21</v>
      </c>
      <c r="V3" t="str" cm="1">
        <f t="array" ref="V3:V101">_xlfn._xlws.SORT(W3:W101,1,-1,0)</f>
        <v>Reliquary Tower</v>
      </c>
      <c r="W3" t="str">
        <f>IF(Zedruu!D3="Não",Zedruu!C3, " ")</f>
        <v>Homeward Path</v>
      </c>
    </row>
    <row r="4" spans="1:24" x14ac:dyDescent="0.25">
      <c r="A4" s="3">
        <f>Rielle!G3</f>
        <v>7</v>
      </c>
      <c r="B4" t="str">
        <v>Serenata das Estriges</v>
      </c>
      <c r="C4" t="str">
        <f>IF(Rielle!D3="Não",Rielle!C4, " ")</f>
        <v xml:space="preserve"> </v>
      </c>
      <c r="E4" s="3">
        <f>Alela!G3</f>
        <v>5</v>
      </c>
      <c r="F4" t="str">
        <v>Renewed Solidarity</v>
      </c>
      <c r="G4" t="str">
        <f>IF(Alela!D3="Não",Alela!C4, " ")</f>
        <v xml:space="preserve"> </v>
      </c>
      <c r="I4" s="3">
        <f>Arcades!G3</f>
        <v>2</v>
      </c>
      <c r="J4" t="str">
        <v>Alchemist's Refuge</v>
      </c>
      <c r="K4" t="str">
        <f>IF(Arcades!D3="Não",Arcades!C4, " ")</f>
        <v xml:space="preserve"> </v>
      </c>
      <c r="M4" s="3">
        <f>VialIshai!G3</f>
        <v>11</v>
      </c>
      <c r="N4" t="str">
        <v>Vontade Dominadora</v>
      </c>
      <c r="O4" t="str">
        <f>IF(VialIshai!D3="Não",VialIshai!C4, " ")</f>
        <v xml:space="preserve"> </v>
      </c>
      <c r="Q4" s="3">
        <f>Yuriko!G3</f>
        <v>14</v>
      </c>
      <c r="R4" t="str">
        <v>Valfenda</v>
      </c>
      <c r="S4" t="str">
        <f>IF(Yuriko!D3="Não",Yuriko!C4, " ")</f>
        <v xml:space="preserve"> </v>
      </c>
      <c r="U4" s="3">
        <f>Zedruu!G3</f>
        <v>3</v>
      </c>
      <c r="V4" t="str">
        <v>Homeward Path</v>
      </c>
      <c r="W4" t="str">
        <f>IF(Zedruu!D3="Não",Zedruu!C4, " ")</f>
        <v>Reliquary Tower</v>
      </c>
    </row>
    <row r="5" spans="1:24" x14ac:dyDescent="0.25">
      <c r="B5" t="str">
        <v>Ojer Pakpatiq, Era Profunda</v>
      </c>
      <c r="C5" t="str">
        <f>IF(Rielle!D5="Não",Rielle!C5, " ")</f>
        <v xml:space="preserve"> </v>
      </c>
      <c r="F5" t="str">
        <v>Olho de Ojer Taq</v>
      </c>
      <c r="G5" t="str">
        <f>IF(Alela!D5="Não",Alela!C5, " ")</f>
        <v xml:space="preserve"> </v>
      </c>
      <c r="J5" t="str">
        <v xml:space="preserve"> </v>
      </c>
      <c r="K5" t="str">
        <f>IF(Arcades!D5="Não",Arcades!C5, " ")</f>
        <v xml:space="preserve"> </v>
      </c>
      <c r="N5" t="str">
        <v>Spectator Seating</v>
      </c>
      <c r="O5" t="str">
        <f>IF(VialIshai!D5="Não",VialIshai!C5, " ")</f>
        <v xml:space="preserve"> </v>
      </c>
      <c r="R5" t="str">
        <v>Temporal Trespass</v>
      </c>
      <c r="S5" t="str">
        <f>IF(Yuriko!D5="Não",Yuriko!C5, " ")</f>
        <v>Shizo, Death's Storehouse</v>
      </c>
      <c r="V5" t="str">
        <v>Emergency Eject</v>
      </c>
      <c r="W5" t="str">
        <f>IF(Zedruu!D5="Não",Zedruu!C5, " ")</f>
        <v xml:space="preserve"> </v>
      </c>
    </row>
    <row r="6" spans="1:24" x14ac:dyDescent="0.25">
      <c r="B6" t="str">
        <v>Collector's Vault</v>
      </c>
      <c r="C6" t="str">
        <f>IF(Rielle!D6="Não",Rielle!C6, " ")</f>
        <v xml:space="preserve"> </v>
      </c>
      <c r="F6" t="str">
        <v>Lagoa Espelhada</v>
      </c>
      <c r="G6" t="str">
        <f>IF(Alela!D6="Não",Alela!C6, " ")</f>
        <v xml:space="preserve"> </v>
      </c>
      <c r="J6" t="str">
        <v xml:space="preserve"> </v>
      </c>
      <c r="K6" t="str">
        <f>IF(Arcades!D6="Não",Arcades!C6, " ")</f>
        <v xml:space="preserve"> </v>
      </c>
      <c r="N6" t="str">
        <v>Prismatic Strands</v>
      </c>
      <c r="O6" t="str">
        <f>IF(VialIshai!D6="Não",VialIshai!C6, " ")</f>
        <v xml:space="preserve"> </v>
      </c>
      <c r="R6" t="str">
        <v>Temporal Manipulation</v>
      </c>
      <c r="S6" t="str">
        <f>IF(Yuriko!D6="Não",Yuriko!C6, " ")</f>
        <v>Sea Gate Restoration</v>
      </c>
      <c r="V6" t="str">
        <v>Árbitro Silencioso</v>
      </c>
      <c r="W6" t="str">
        <f>IF(Zedruu!D6="Não",Zedruu!C6, " ")</f>
        <v xml:space="preserve"> </v>
      </c>
    </row>
    <row r="7" spans="1:24" x14ac:dyDescent="0.25">
      <c r="B7" t="str">
        <v>Careful Study</v>
      </c>
      <c r="C7" t="str">
        <f>IF(Rielle!D7="Não",Rielle!C7, " ")</f>
        <v xml:space="preserve"> </v>
      </c>
      <c r="F7" t="str">
        <v>Adagia, Windswept Bastion</v>
      </c>
      <c r="G7" t="str">
        <f>IF(Alela!D7="Não",Alela!C7, " ")</f>
        <v xml:space="preserve"> </v>
      </c>
      <c r="J7" t="str">
        <v xml:space="preserve"> </v>
      </c>
      <c r="K7" t="str">
        <f>IF(Arcades!D7="Não",Arcades!C7, " ")</f>
        <v xml:space="preserve"> </v>
      </c>
      <c r="N7" t="str">
        <v>Polluted Delta</v>
      </c>
      <c r="O7" t="str">
        <f>IF(VialIshai!D7="Não",VialIshai!C7, " ")</f>
        <v xml:space="preserve"> </v>
      </c>
      <c r="R7" t="str">
        <v>Shizo, Death's Storehouse</v>
      </c>
      <c r="S7" t="str">
        <f>IF(Yuriko!D7="Não",Yuriko!C7, " ")</f>
        <v xml:space="preserve"> </v>
      </c>
      <c r="V7" t="str">
        <v xml:space="preserve"> </v>
      </c>
      <c r="W7" t="str">
        <f>IF(Zedruu!D7="Não",Zedruu!C7, " ")</f>
        <v xml:space="preserve"> </v>
      </c>
    </row>
    <row r="8" spans="1:24" x14ac:dyDescent="0.25">
      <c r="B8" s="12" t="str">
        <v>Baral, Chief of Compliance</v>
      </c>
      <c r="C8" t="str">
        <f>IF(Rielle!D8="Não",Rielle!C8, " ")</f>
        <v xml:space="preserve"> </v>
      </c>
      <c r="F8" t="str">
        <v xml:space="preserve"> </v>
      </c>
      <c r="G8" t="str">
        <f>IF(Alela!D8="Não",Alela!C8, " ")</f>
        <v xml:space="preserve"> </v>
      </c>
      <c r="J8" t="str">
        <v xml:space="preserve"> </v>
      </c>
      <c r="K8" t="str">
        <f>IF(Arcades!D8="Não",Arcades!C8, " ")</f>
        <v xml:space="preserve"> </v>
      </c>
      <c r="N8" t="str">
        <v>Mandate of Peace</v>
      </c>
      <c r="O8" t="str">
        <f>IF(VialIshai!D8="Não",VialIshai!C8, " ")</f>
        <v xml:space="preserve"> </v>
      </c>
      <c r="R8" t="str">
        <v>Sea Gate Restoration</v>
      </c>
      <c r="S8" t="str">
        <f>IF(Yuriko!D8="Não",Yuriko!C8, " ")</f>
        <v>Morphic Pool</v>
      </c>
      <c r="V8" t="str">
        <v xml:space="preserve"> </v>
      </c>
      <c r="W8" t="str">
        <f>IF(Zedruu!D8="Não",Zedruu!C8, " ")</f>
        <v xml:space="preserve"> </v>
      </c>
    </row>
    <row r="9" spans="1:24" x14ac:dyDescent="0.25">
      <c r="B9" s="12" t="str">
        <v>Afundar em Estupor</v>
      </c>
      <c r="C9" t="str">
        <f>IF(Rielle!D9="Não",Rielle!C9, " ")</f>
        <v xml:space="preserve"> </v>
      </c>
      <c r="F9" t="str">
        <v xml:space="preserve"> </v>
      </c>
      <c r="G9" t="str">
        <f>IF(Alela!D9="Não",Alela!C9, " ")</f>
        <v xml:space="preserve"> </v>
      </c>
      <c r="J9" t="str">
        <v xml:space="preserve"> </v>
      </c>
      <c r="K9" t="str">
        <f>IF(Arcades!D9="Não",Arcades!C9, " ")</f>
        <v xml:space="preserve"> </v>
      </c>
      <c r="N9" t="str">
        <v>Luxury Suite</v>
      </c>
      <c r="O9" t="str">
        <f>IF(VialIshai!D9="Não",VialIshai!C9, " ")</f>
        <v xml:space="preserve"> </v>
      </c>
      <c r="R9" t="str">
        <v>Satoru, the Infiltrator</v>
      </c>
      <c r="S9" t="str">
        <f>IF(Yuriko!D9="Não",Yuriko!C9, " ")</f>
        <v xml:space="preserve"> </v>
      </c>
      <c r="V9" t="str">
        <v xml:space="preserve"> </v>
      </c>
      <c r="W9" t="str">
        <f>IF(Zedruu!D9="Não",Zedruu!C9, " ")</f>
        <v xml:space="preserve"> </v>
      </c>
    </row>
    <row r="10" spans="1:24" x14ac:dyDescent="0.25">
      <c r="B10" s="12" t="str">
        <v xml:space="preserve"> </v>
      </c>
      <c r="C10" t="str">
        <f>IF(Rielle!D10="Não",Rielle!C10, " ")</f>
        <v xml:space="preserve"> </v>
      </c>
      <c r="F10" t="str">
        <v xml:space="preserve"> </v>
      </c>
      <c r="G10" t="str">
        <f>IF(Alela!D10="Não",Alela!C10, " ")</f>
        <v xml:space="preserve"> </v>
      </c>
      <c r="J10" t="str">
        <v xml:space="preserve"> </v>
      </c>
      <c r="K10" t="str">
        <f>IF(Arcades!D10="Não",Arcades!C10, " ")</f>
        <v xml:space="preserve"> </v>
      </c>
      <c r="N10" t="str">
        <v>Chronomantic Escape</v>
      </c>
      <c r="O10" t="str">
        <f>IF(VialIshai!D10="Não",VialIshai!C10, " ")</f>
        <v xml:space="preserve"> </v>
      </c>
      <c r="R10" t="str">
        <v>Mystic Reflection</v>
      </c>
      <c r="S10" t="str">
        <f>IF(Yuriko!D10="Não",Yuriko!C10, " ")</f>
        <v xml:space="preserve"> </v>
      </c>
      <c r="V10" t="str">
        <v xml:space="preserve"> </v>
      </c>
      <c r="W10" t="str">
        <f>IF(Zedruu!D10="Não",Zedruu!C10, " ")</f>
        <v xml:space="preserve"> </v>
      </c>
    </row>
    <row r="11" spans="1:24" x14ac:dyDescent="0.25">
      <c r="B11" s="12" t="str">
        <v xml:space="preserve"> </v>
      </c>
      <c r="C11" t="str">
        <f>IF(Rielle!D11="Não",Rielle!C11, " ")</f>
        <v xml:space="preserve"> </v>
      </c>
      <c r="F11" t="str">
        <v xml:space="preserve"> </v>
      </c>
      <c r="G11" t="str">
        <f>IF(Alela!D11="Não",Alela!C11, " ")</f>
        <v xml:space="preserve"> </v>
      </c>
      <c r="J11" t="str">
        <v xml:space="preserve"> </v>
      </c>
      <c r="K11" t="str">
        <f>IF(Arcades!D11="Não",Arcades!C11, " ")</f>
        <v xml:space="preserve"> </v>
      </c>
      <c r="N11" t="str">
        <v>Batwing Brume</v>
      </c>
      <c r="O11" t="str">
        <f>IF(VialIshai!D11="Não",VialIshai!C11, " ")</f>
        <v xml:space="preserve"> </v>
      </c>
      <c r="R11" t="str">
        <v>Morphic Pool</v>
      </c>
      <c r="S11" t="str">
        <f>IF(Yuriko!D11="Não",Yuriko!C11, " ")</f>
        <v xml:space="preserve"> </v>
      </c>
      <c r="V11" t="str">
        <v xml:space="preserve"> </v>
      </c>
      <c r="W11" t="str">
        <f>IF(Zedruu!D11="Não",Zedruu!C11, " ")</f>
        <v xml:space="preserve"> </v>
      </c>
    </row>
    <row r="12" spans="1:24" x14ac:dyDescent="0.25">
      <c r="B12" s="12" t="str">
        <v xml:space="preserve"> </v>
      </c>
      <c r="C12" t="str">
        <f>IF(Rielle!D12="Não",Rielle!C12, " ")</f>
        <v xml:space="preserve"> </v>
      </c>
      <c r="F12" t="str">
        <v xml:space="preserve"> </v>
      </c>
      <c r="G12" t="str">
        <f>IF(Alela!D12="Não",Alela!C12, " ")</f>
        <v xml:space="preserve"> </v>
      </c>
      <c r="J12" t="str">
        <v xml:space="preserve"> </v>
      </c>
      <c r="K12" t="str">
        <f>IF(Arcades!D12="Não",Arcades!C12, " ")</f>
        <v xml:space="preserve"> </v>
      </c>
      <c r="N12" t="str">
        <v>Arid Mesa</v>
      </c>
      <c r="O12" t="str">
        <f>IF(VialIshai!D12="Não",VialIshai!C12, " ")</f>
        <v>Polluted Delta</v>
      </c>
      <c r="R12" t="str">
        <v>Louisoix's Sacrifice</v>
      </c>
      <c r="S12" t="str">
        <f>IF(Yuriko!D12="Não",Yuriko!C12, " ")</f>
        <v>Creeping Tar Pit</v>
      </c>
      <c r="V12" t="str">
        <v xml:space="preserve"> </v>
      </c>
      <c r="W12" t="str">
        <f>IF(Zedruu!D12="Não",Zedruu!C12, " ")</f>
        <v xml:space="preserve"> </v>
      </c>
    </row>
    <row r="13" spans="1:24" x14ac:dyDescent="0.25">
      <c r="B13" s="12" t="str">
        <v xml:space="preserve"> </v>
      </c>
      <c r="C13" t="str">
        <f>IF(Rielle!D13="Não",Rielle!C13, " ")</f>
        <v xml:space="preserve"> </v>
      </c>
      <c r="F13" t="str">
        <v xml:space="preserve"> </v>
      </c>
      <c r="G13" t="str">
        <f>IF(Alela!D13="Não",Alela!C13, " ")</f>
        <v xml:space="preserve"> </v>
      </c>
      <c r="J13" t="str">
        <v xml:space="preserve"> </v>
      </c>
      <c r="K13" t="str">
        <f>IF(Arcades!D13="Não",Arcades!C13, " ")</f>
        <v xml:space="preserve"> </v>
      </c>
      <c r="N13" t="str">
        <v>Amphibian Downpour</v>
      </c>
      <c r="O13" t="str">
        <f>IF(VialIshai!D13="Não",VialIshai!C13, " ")</f>
        <v xml:space="preserve"> </v>
      </c>
      <c r="R13" t="str">
        <v>Faerie Slumber Party</v>
      </c>
      <c r="S13" t="str">
        <f>IF(Yuriko!D13="Não",Yuriko!C13, " ")</f>
        <v xml:space="preserve"> </v>
      </c>
      <c r="V13" t="str">
        <v xml:space="preserve"> </v>
      </c>
      <c r="W13" t="str">
        <f>IF(Zedruu!D13="Não",Zedruu!C13, " ")</f>
        <v xml:space="preserve"> </v>
      </c>
    </row>
    <row r="14" spans="1:24" x14ac:dyDescent="0.25">
      <c r="B14" s="12" t="str">
        <v xml:space="preserve"> </v>
      </c>
      <c r="C14" t="str">
        <f>IF(Rielle!D14="Não",Rielle!C14, " ")</f>
        <v xml:space="preserve"> </v>
      </c>
      <c r="F14" t="str">
        <v xml:space="preserve"> </v>
      </c>
      <c r="G14" t="str">
        <f>IF(Alela!D14="Não",Alela!C14, " ")</f>
        <v xml:space="preserve"> </v>
      </c>
      <c r="J14" t="str">
        <v xml:space="preserve"> </v>
      </c>
      <c r="K14" t="str">
        <f>IF(Arcades!D14="Não",Arcades!C14, " ")</f>
        <v xml:space="preserve"> </v>
      </c>
      <c r="N14" t="str">
        <v xml:space="preserve"> </v>
      </c>
      <c r="O14" t="str">
        <f>IF(VialIshai!D14="Não",VialIshai!C14, " ")</f>
        <v xml:space="preserve"> </v>
      </c>
      <c r="R14" t="str">
        <v>Drowned Catacomb</v>
      </c>
      <c r="S14" t="str">
        <f>IF(Yuriko!D14="Não",Yuriko!C14, " ")</f>
        <v xml:space="preserve"> </v>
      </c>
      <c r="V14" t="str">
        <v xml:space="preserve"> </v>
      </c>
      <c r="W14" t="str">
        <f>IF(Zedruu!D14="Não",Zedruu!C14, " ")</f>
        <v xml:space="preserve"> </v>
      </c>
    </row>
    <row r="15" spans="1:24" x14ac:dyDescent="0.25">
      <c r="B15" t="str">
        <v xml:space="preserve"> </v>
      </c>
      <c r="C15" t="str">
        <f>IF(Rielle!D15="Não",Rielle!C15, " ")</f>
        <v xml:space="preserve"> </v>
      </c>
      <c r="F15" t="str">
        <v xml:space="preserve"> </v>
      </c>
      <c r="G15" t="str">
        <f>IF(Alela!D15="Não",Alela!C15, " ")</f>
        <v xml:space="preserve"> </v>
      </c>
      <c r="J15" t="str">
        <v xml:space="preserve"> </v>
      </c>
      <c r="K15" t="str">
        <f>IF(Arcades!D15="Não",Arcades!C15, " ")</f>
        <v xml:space="preserve"> </v>
      </c>
      <c r="N15" t="str">
        <v xml:space="preserve"> </v>
      </c>
      <c r="O15" t="str">
        <f>IF(VialIshai!D15="Não",VialIshai!C15, " ")</f>
        <v xml:space="preserve"> </v>
      </c>
      <c r="R15" t="str">
        <v>Dour Port-Mage</v>
      </c>
      <c r="S15" t="str">
        <f>IF(Yuriko!D15="Não",Yuriko!C15, " ")</f>
        <v xml:space="preserve"> </v>
      </c>
      <c r="V15" t="str">
        <v xml:space="preserve"> </v>
      </c>
      <c r="W15" t="str">
        <f>IF(Zedruu!D15="Não",Zedruu!C15, " ")</f>
        <v xml:space="preserve"> </v>
      </c>
    </row>
    <row r="16" spans="1:24" x14ac:dyDescent="0.25">
      <c r="B16" t="str">
        <v xml:space="preserve"> </v>
      </c>
      <c r="C16" t="str">
        <f>IF(Rielle!D16="Não",Rielle!C16, " ")</f>
        <v>Sokenzan, Crisol da Afronta</v>
      </c>
      <c r="F16" t="str">
        <v xml:space="preserve"> </v>
      </c>
      <c r="G16" t="str">
        <f>IF(Alela!D16="Não",Alela!C16, " ")</f>
        <v xml:space="preserve"> </v>
      </c>
      <c r="J16" t="str">
        <v xml:space="preserve"> </v>
      </c>
      <c r="K16" t="str">
        <f>IF(Arcades!D16="Não",Arcades!C16, " ")</f>
        <v xml:space="preserve"> </v>
      </c>
      <c r="N16" t="str">
        <v xml:space="preserve"> </v>
      </c>
      <c r="O16" t="str">
        <f>IF(VialIshai!D16="Não",VialIshai!C16, " ")</f>
        <v xml:space="preserve"> </v>
      </c>
      <c r="R16" t="str">
        <v>Creeping Tar Pit</v>
      </c>
      <c r="S16" t="str">
        <f>IF(Yuriko!D16="Não",Yuriko!C16, " ")</f>
        <v xml:space="preserve"> </v>
      </c>
      <c r="V16" t="str">
        <v xml:space="preserve"> </v>
      </c>
      <c r="W16" t="str">
        <f>IF(Zedruu!D16="Não",Zedruu!C16, " ")</f>
        <v xml:space="preserve"> </v>
      </c>
    </row>
    <row r="17" spans="2:23" x14ac:dyDescent="0.25">
      <c r="B17" t="str">
        <v xml:space="preserve"> </v>
      </c>
      <c r="C17" t="str">
        <f>IF(Rielle!D17="Não",Rielle!C17, " ")</f>
        <v xml:space="preserve"> </v>
      </c>
      <c r="F17" t="str">
        <v xml:space="preserve"> </v>
      </c>
      <c r="G17" t="str">
        <f>IF(Alela!D17="Não",Alela!C17, " ")</f>
        <v xml:space="preserve"> </v>
      </c>
      <c r="J17" t="str">
        <v xml:space="preserve"> </v>
      </c>
      <c r="K17" t="str">
        <f>IF(Arcades!D17="Não",Arcades!C17, " ")</f>
        <v xml:space="preserve"> </v>
      </c>
      <c r="N17" t="str">
        <v xml:space="preserve"> </v>
      </c>
      <c r="O17" t="str">
        <f>IF(VialIshai!D17="Não",VialIshai!C17, " ")</f>
        <v xml:space="preserve"> </v>
      </c>
      <c r="R17" t="str">
        <v xml:space="preserve"> </v>
      </c>
      <c r="S17" t="str">
        <f>IF(Yuriko!D17="Não",Yuriko!C17, " ")</f>
        <v xml:space="preserve"> </v>
      </c>
      <c r="V17" t="str">
        <v xml:space="preserve"> </v>
      </c>
      <c r="W17" t="str">
        <f>IF(Zedruu!D17="Não",Zedruu!C17, " ")</f>
        <v xml:space="preserve"> </v>
      </c>
    </row>
    <row r="18" spans="2:23" x14ac:dyDescent="0.25">
      <c r="B18" t="str">
        <v xml:space="preserve"> </v>
      </c>
      <c r="C18" t="str">
        <f>IF(Rielle!D18="Não",Rielle!C18, " ")</f>
        <v>Afundar em Estupor</v>
      </c>
      <c r="F18" t="str">
        <v xml:space="preserve"> </v>
      </c>
      <c r="G18" t="str">
        <f>IF(Alela!D18="Não",Alela!C18, " ")</f>
        <v>Westvale Abbey</v>
      </c>
      <c r="J18" t="str">
        <v xml:space="preserve"> </v>
      </c>
      <c r="K18" t="str">
        <f>IF(Arcades!D18="Não",Arcades!C18, " ")</f>
        <v xml:space="preserve"> </v>
      </c>
      <c r="N18" t="str">
        <v xml:space="preserve"> </v>
      </c>
      <c r="O18" t="str">
        <f>IF(VialIshai!D18="Não",VialIshai!C18, " ")</f>
        <v xml:space="preserve"> </v>
      </c>
      <c r="R18" t="str">
        <v xml:space="preserve"> </v>
      </c>
      <c r="S18" t="str">
        <f>IF(Yuriko!D18="Não",Yuriko!C18, " ")</f>
        <v>Watery Grave</v>
      </c>
      <c r="V18" t="str">
        <v xml:space="preserve"> </v>
      </c>
      <c r="W18" t="str">
        <f>IF(Zedruu!D18="Não",Zedruu!C18, " ")</f>
        <v xml:space="preserve"> </v>
      </c>
    </row>
    <row r="19" spans="2:23" x14ac:dyDescent="0.25">
      <c r="B19" t="str">
        <v xml:space="preserve"> </v>
      </c>
      <c r="C19" t="str">
        <f>IF(Rielle!D19="Não",Rielle!C19, " ")</f>
        <v xml:space="preserve"> </v>
      </c>
      <c r="F19" t="str">
        <v xml:space="preserve"> </v>
      </c>
      <c r="G19" t="str">
        <f>IF(Alela!D19="Não",Alela!C19, " ")</f>
        <v xml:space="preserve"> </v>
      </c>
      <c r="J19" t="str">
        <v xml:space="preserve"> </v>
      </c>
      <c r="K19" t="str">
        <f>IF(Arcades!D19="Não",Arcades!C19, " ")</f>
        <v xml:space="preserve"> </v>
      </c>
      <c r="N19" t="str">
        <v xml:space="preserve"> </v>
      </c>
      <c r="O19" t="str">
        <f>IF(VialIshai!D19="Não",VialIshai!C19, " ")</f>
        <v>Arid Mesa</v>
      </c>
      <c r="R19" t="str">
        <v xml:space="preserve"> </v>
      </c>
      <c r="S19" t="str">
        <f>IF(Yuriko!D19="Não",Yuriko!C19, " ")</f>
        <v>Drowned Catacomb</v>
      </c>
      <c r="V19" t="str">
        <v xml:space="preserve"> </v>
      </c>
      <c r="W19" t="str">
        <f>IF(Zedruu!D19="Não",Zedruu!C19, " ")</f>
        <v xml:space="preserve"> </v>
      </c>
    </row>
    <row r="20" spans="2:23" x14ac:dyDescent="0.25">
      <c r="B20" t="str">
        <v xml:space="preserve"> </v>
      </c>
      <c r="C20" t="str">
        <f>IF(Rielle!D20="Não",Rielle!C20, " ")</f>
        <v xml:space="preserve"> </v>
      </c>
      <c r="F20" t="str">
        <v xml:space="preserve"> </v>
      </c>
      <c r="G20" t="str">
        <f>IF(Alela!D20="Não",Alela!C20, " ")</f>
        <v xml:space="preserve"> </v>
      </c>
      <c r="J20" t="str">
        <v xml:space="preserve"> </v>
      </c>
      <c r="K20" t="str">
        <f>IF(Arcades!D20="Não",Arcades!C20, " ")</f>
        <v xml:space="preserve"> </v>
      </c>
      <c r="N20" t="str">
        <v xml:space="preserve"> </v>
      </c>
      <c r="O20" t="str">
        <f>IF(VialIshai!D20="Não",VialIshai!C20, " ")</f>
        <v xml:space="preserve"> </v>
      </c>
      <c r="R20" t="str">
        <v xml:space="preserve"> </v>
      </c>
      <c r="S20" t="str">
        <f>IF(Yuriko!D20="Não",Yuriko!C20, " ")</f>
        <v>Valfenda</v>
      </c>
      <c r="V20" t="str">
        <v xml:space="preserve"> </v>
      </c>
      <c r="W20" t="str">
        <f>IF(Zedruu!D20="Não",Zedruu!C20, " ")</f>
        <v xml:space="preserve"> </v>
      </c>
    </row>
    <row r="21" spans="2:23" x14ac:dyDescent="0.25">
      <c r="B21" t="str">
        <v xml:space="preserve"> </v>
      </c>
      <c r="C21" t="str">
        <f>IF(Rielle!D21="Não",Rielle!C21, " ")</f>
        <v xml:space="preserve"> </v>
      </c>
      <c r="F21" t="str">
        <v xml:space="preserve"> </v>
      </c>
      <c r="G21" t="str">
        <f>IF(Alela!D21="Não",Alela!C21, " ")</f>
        <v xml:space="preserve"> </v>
      </c>
      <c r="J21" t="str">
        <v xml:space="preserve"> </v>
      </c>
      <c r="K21" t="str">
        <f>IF(Arcades!D21="Não",Arcades!C21, " ")</f>
        <v xml:space="preserve"> </v>
      </c>
      <c r="N21" t="str">
        <v xml:space="preserve"> </v>
      </c>
      <c r="O21" t="str">
        <f>IF(VialIshai!D21="Não",VialIshai!C21, " ")</f>
        <v xml:space="preserve"> </v>
      </c>
      <c r="R21" t="str">
        <v xml:space="preserve"> </v>
      </c>
      <c r="S21" t="str">
        <f>IF(Yuriko!D21="Não",Yuriko!C21, " ")</f>
        <v xml:space="preserve"> </v>
      </c>
      <c r="V21" t="str">
        <v xml:space="preserve"> </v>
      </c>
      <c r="W21" t="str">
        <f>IF(Zedruu!D21="Não",Zedruu!C21, " ")</f>
        <v xml:space="preserve"> </v>
      </c>
    </row>
    <row r="22" spans="2:23" x14ac:dyDescent="0.25">
      <c r="B22" t="str">
        <v xml:space="preserve"> </v>
      </c>
      <c r="C22" t="str">
        <f>IF(Rielle!D22="Não",Rielle!C22, " ")</f>
        <v xml:space="preserve"> </v>
      </c>
      <c r="F22" t="str">
        <v xml:space="preserve"> </v>
      </c>
      <c r="G22" t="str">
        <f>IF(Alela!D35="Não",Alela!C35, " ")</f>
        <v xml:space="preserve"> </v>
      </c>
      <c r="J22" t="str">
        <v xml:space="preserve"> </v>
      </c>
      <c r="K22" t="str">
        <f>IF(Arcades!D22="Não",Arcades!C22, " ")</f>
        <v>Alchemist's Refuge</v>
      </c>
      <c r="N22" t="str">
        <v xml:space="preserve"> </v>
      </c>
      <c r="O22" t="str">
        <f>IF(VialIshai!D22="Não",VialIshai!C22, " ")</f>
        <v>Watery Grave</v>
      </c>
      <c r="R22" t="str">
        <v xml:space="preserve"> </v>
      </c>
      <c r="S22" t="str">
        <f>IF(Yuriko!D22="Não",Yuriko!C22, " ")</f>
        <v xml:space="preserve"> </v>
      </c>
      <c r="V22" t="str">
        <v xml:space="preserve"> </v>
      </c>
      <c r="W22" t="str">
        <f>IF(Zedruu!D22="Não",Zedruu!C22, " ")</f>
        <v xml:space="preserve"> </v>
      </c>
    </row>
    <row r="23" spans="2:23" x14ac:dyDescent="0.25">
      <c r="B23" t="str">
        <v xml:space="preserve"> </v>
      </c>
      <c r="C23" t="str">
        <f>IF(Rielle!D23="Não",Rielle!C23, " ")</f>
        <v xml:space="preserve"> </v>
      </c>
      <c r="F23" t="str">
        <v xml:space="preserve"> </v>
      </c>
      <c r="G23" t="str">
        <f>IF(Alela!D22="Não",Alela!C22, " ")</f>
        <v xml:space="preserve"> </v>
      </c>
      <c r="J23" t="str">
        <v xml:space="preserve"> </v>
      </c>
      <c r="K23" t="str">
        <f>IF(Arcades!D23="Não",Arcades!C23, " ")</f>
        <v xml:space="preserve"> </v>
      </c>
      <c r="N23" t="str">
        <v xml:space="preserve"> </v>
      </c>
      <c r="O23" t="str">
        <f>IF(VialIshai!D23="Não",VialIshai!C23, " ")</f>
        <v xml:space="preserve"> </v>
      </c>
      <c r="R23" t="str">
        <v xml:space="preserve"> </v>
      </c>
      <c r="S23" t="str">
        <f>IF(Yuriko!D23="Não",Yuriko!C23, " ")</f>
        <v xml:space="preserve"> </v>
      </c>
      <c r="V23" t="str">
        <v xml:space="preserve"> </v>
      </c>
      <c r="W23" t="str">
        <f>IF(Zedruu!D23="Não",Zedruu!C23, " ")</f>
        <v xml:space="preserve"> </v>
      </c>
    </row>
    <row r="24" spans="2:23" x14ac:dyDescent="0.25">
      <c r="B24" t="str">
        <v xml:space="preserve"> </v>
      </c>
      <c r="C24" t="str">
        <f>IF(Rielle!D24="Não",Rielle!C24, " ")</f>
        <v xml:space="preserve"> </v>
      </c>
      <c r="F24" t="str">
        <v xml:space="preserve"> </v>
      </c>
      <c r="G24" t="str">
        <f>IF(Alela!D23="Não",Alela!C23, " ")</f>
        <v>Lagoa Espelhada</v>
      </c>
      <c r="J24" t="str">
        <v xml:space="preserve"> </v>
      </c>
      <c r="K24" t="str">
        <f>IF(Arcades!D24="Não",Arcades!C24, " ")</f>
        <v xml:space="preserve"> </v>
      </c>
      <c r="N24" t="str">
        <v xml:space="preserve"> </v>
      </c>
      <c r="O24" t="str">
        <f>IF(VialIshai!D24="Não",VialIshai!C24, " ")</f>
        <v xml:space="preserve"> </v>
      </c>
      <c r="R24" t="str">
        <v xml:space="preserve"> </v>
      </c>
      <c r="S24" t="str">
        <f>IF(Yuriko!D24="Não",Yuriko!C24, " ")</f>
        <v xml:space="preserve"> </v>
      </c>
      <c r="V24" t="str">
        <v xml:space="preserve"> </v>
      </c>
      <c r="W24" t="str">
        <f>IF(Zedruu!D24="Não",Zedruu!C24, " ")</f>
        <v xml:space="preserve"> </v>
      </c>
    </row>
    <row r="25" spans="2:23" x14ac:dyDescent="0.25">
      <c r="B25" t="str">
        <v xml:space="preserve"> </v>
      </c>
      <c r="C25" t="str">
        <f>IF(Rielle!D25="Não",Rielle!C25, " ")</f>
        <v xml:space="preserve"> </v>
      </c>
      <c r="F25" t="str">
        <v xml:space="preserve"> </v>
      </c>
      <c r="G25" t="str">
        <f>IF(Alela!D24="Não",Alela!C24, " ")</f>
        <v>Adagia, Windswept Bastion</v>
      </c>
      <c r="J25" t="str">
        <v xml:space="preserve"> </v>
      </c>
      <c r="K25" t="str">
        <f>IF(Arcades!D25="Não",Arcades!C25, " ")</f>
        <v xml:space="preserve"> </v>
      </c>
      <c r="N25" t="str">
        <v xml:space="preserve"> </v>
      </c>
      <c r="O25" t="str">
        <f>IF(VialIshai!D25="Não",VialIshai!C25, " ")</f>
        <v xml:space="preserve"> </v>
      </c>
      <c r="R25" t="str">
        <v xml:space="preserve"> </v>
      </c>
      <c r="S25" t="str">
        <f>IF(Yuriko!D25="Não",Yuriko!C25, " ")</f>
        <v xml:space="preserve"> </v>
      </c>
      <c r="V25" t="str">
        <v xml:space="preserve"> </v>
      </c>
      <c r="W25" t="str">
        <f>IF(Zedruu!D25="Não",Zedruu!C25, " ")</f>
        <v xml:space="preserve"> </v>
      </c>
    </row>
    <row r="26" spans="2:23" x14ac:dyDescent="0.25">
      <c r="B26" t="str">
        <v xml:space="preserve"> </v>
      </c>
      <c r="C26" t="str">
        <f>IF(Rielle!D26="Não",Rielle!C26, " ")</f>
        <v xml:space="preserve"> </v>
      </c>
      <c r="F26" t="str">
        <v xml:space="preserve"> </v>
      </c>
      <c r="G26" t="str">
        <f>IF(Alela!D25="Não",Alela!C25, " ")</f>
        <v xml:space="preserve"> </v>
      </c>
      <c r="J26" t="str">
        <v xml:space="preserve"> </v>
      </c>
      <c r="K26" t="str">
        <f>IF(Arcades!D26="Não",Arcades!C26, " ")</f>
        <v xml:space="preserve"> </v>
      </c>
      <c r="N26" t="str">
        <v xml:space="preserve"> </v>
      </c>
      <c r="O26" t="str">
        <f>IF(VialIshai!D26="Não",VialIshai!C26, " ")</f>
        <v xml:space="preserve"> </v>
      </c>
      <c r="R26" t="str">
        <v xml:space="preserve"> </v>
      </c>
      <c r="S26" t="str">
        <f>IF(Yuriko!D26="Não",Yuriko!C26, " ")</f>
        <v xml:space="preserve"> </v>
      </c>
      <c r="V26" t="str">
        <v xml:space="preserve"> </v>
      </c>
      <c r="W26" t="str">
        <f>IF(Zedruu!D26="Não",Zedruu!C26, " ")</f>
        <v xml:space="preserve"> </v>
      </c>
    </row>
    <row r="27" spans="2:23" x14ac:dyDescent="0.25">
      <c r="B27" t="str">
        <v xml:space="preserve"> </v>
      </c>
      <c r="C27" t="str">
        <f>IF(Rielle!D27="Não",Rielle!C27, " ")</f>
        <v xml:space="preserve"> </v>
      </c>
      <c r="F27" t="str">
        <v xml:space="preserve"> </v>
      </c>
      <c r="G27" t="str">
        <f>IF(Alela!D28="Não",Alela!C28, " ")</f>
        <v xml:space="preserve"> </v>
      </c>
      <c r="J27" t="str">
        <v xml:space="preserve"> </v>
      </c>
      <c r="K27" t="str">
        <f>IF(Arcades!D27="Não",Arcades!C27, " ")</f>
        <v xml:space="preserve"> </v>
      </c>
      <c r="N27" t="str">
        <v xml:space="preserve"> </v>
      </c>
      <c r="O27" t="str">
        <f>IF(VialIshai!D27="Não",VialIshai!C27, " ")</f>
        <v xml:space="preserve"> </v>
      </c>
      <c r="R27" t="str">
        <v xml:space="preserve"> </v>
      </c>
      <c r="S27" t="str">
        <f>IF(Yuriko!D27="Não",Yuriko!C27, " ")</f>
        <v xml:space="preserve"> </v>
      </c>
      <c r="V27" t="str">
        <v xml:space="preserve"> </v>
      </c>
      <c r="W27" t="str">
        <f>IF(Zedruu!D27="Não",Zedruu!C27, " ")</f>
        <v xml:space="preserve"> </v>
      </c>
    </row>
    <row r="28" spans="2:23" x14ac:dyDescent="0.25">
      <c r="B28" t="str">
        <v xml:space="preserve"> </v>
      </c>
      <c r="C28" t="str">
        <f>IF(Rielle!D28="Não",Rielle!C28, " ")</f>
        <v xml:space="preserve"> </v>
      </c>
      <c r="F28" t="str">
        <v xml:space="preserve"> </v>
      </c>
      <c r="G28" t="str">
        <f>IF(Alela!D29="Não",Alela!C29, " ")</f>
        <v xml:space="preserve"> </v>
      </c>
      <c r="J28" t="str">
        <v xml:space="preserve"> </v>
      </c>
      <c r="K28" t="str">
        <f>IF(Arcades!D28="Não",Arcades!C28, " ")</f>
        <v xml:space="preserve"> </v>
      </c>
      <c r="N28" t="str">
        <v xml:space="preserve"> </v>
      </c>
      <c r="O28" t="str">
        <f>IF(VialIshai!D28="Não",VialIshai!C28, " ")</f>
        <v xml:space="preserve"> </v>
      </c>
      <c r="R28" t="str">
        <v xml:space="preserve"> </v>
      </c>
      <c r="S28" t="str">
        <f>IF(Yuriko!D28="Não",Yuriko!C28, " ")</f>
        <v xml:space="preserve"> </v>
      </c>
      <c r="V28" t="str">
        <v xml:space="preserve"> </v>
      </c>
      <c r="W28" t="str">
        <f>IF(Zedruu!D28="Não",Zedruu!C28, " ")</f>
        <v xml:space="preserve"> </v>
      </c>
    </row>
    <row r="29" spans="2:23" x14ac:dyDescent="0.25">
      <c r="B29" t="str">
        <v xml:space="preserve"> </v>
      </c>
      <c r="C29" t="str">
        <f>IF(Rielle!D29="Não",Rielle!C29, " ")</f>
        <v xml:space="preserve"> </v>
      </c>
      <c r="F29" t="str">
        <v xml:space="preserve"> </v>
      </c>
      <c r="G29" t="str">
        <f>IF(Alela!D30="Não",Alela!C30, " ")</f>
        <v xml:space="preserve"> </v>
      </c>
      <c r="J29" t="str">
        <v xml:space="preserve"> </v>
      </c>
      <c r="K29" t="str">
        <f>IF(Arcades!D29="Não",Arcades!C29, " ")</f>
        <v xml:space="preserve"> </v>
      </c>
      <c r="N29" t="str">
        <v xml:space="preserve"> </v>
      </c>
      <c r="O29" t="str">
        <f>IF(VialIshai!D29="Não",VialIshai!C29, " ")</f>
        <v xml:space="preserve"> </v>
      </c>
      <c r="R29" t="str">
        <v xml:space="preserve"> </v>
      </c>
      <c r="S29" t="str">
        <f>IF(Yuriko!D29="Não",Yuriko!C29, " ")</f>
        <v xml:space="preserve"> </v>
      </c>
      <c r="V29" t="str">
        <v xml:space="preserve"> </v>
      </c>
      <c r="W29" t="str">
        <f>IF(Zedruu!D29="Não",Zedruu!C29, " ")</f>
        <v xml:space="preserve"> </v>
      </c>
    </row>
    <row r="30" spans="2:23" x14ac:dyDescent="0.25">
      <c r="B30" t="str">
        <v xml:space="preserve"> </v>
      </c>
      <c r="C30" t="str">
        <f>IF(Rielle!D30="Não",Rielle!C30, " ")</f>
        <v xml:space="preserve"> </v>
      </c>
      <c r="F30" t="str">
        <v xml:space="preserve"> </v>
      </c>
      <c r="G30" t="str">
        <f>IF(Alela!D27="Não",Alela!C27, " ")</f>
        <v xml:space="preserve"> </v>
      </c>
      <c r="J30" t="str">
        <v xml:space="preserve"> </v>
      </c>
      <c r="K30" t="str">
        <f>IF(Arcades!D30="Não",Arcades!C30, " ")</f>
        <v xml:space="preserve"> </v>
      </c>
      <c r="N30" t="str">
        <v xml:space="preserve"> </v>
      </c>
      <c r="O30" t="str">
        <f>IF(VialIshai!D30="Não",VialIshai!C30, " ")</f>
        <v xml:space="preserve"> </v>
      </c>
      <c r="R30" t="str">
        <v xml:space="preserve"> </v>
      </c>
      <c r="S30" t="str">
        <f>IF(Yuriko!D30="Não",Yuriko!C30, " ")</f>
        <v xml:space="preserve"> </v>
      </c>
      <c r="V30" t="str">
        <v xml:space="preserve"> </v>
      </c>
      <c r="W30" t="str">
        <f>IF(Zedruu!D30="Não",Zedruu!C30, " ")</f>
        <v xml:space="preserve"> </v>
      </c>
    </row>
    <row r="31" spans="2:23" x14ac:dyDescent="0.25">
      <c r="B31" t="str">
        <v xml:space="preserve"> </v>
      </c>
      <c r="C31" t="str">
        <f>IF(Rielle!D31="Não",Rielle!C31, " ")</f>
        <v xml:space="preserve"> </v>
      </c>
      <c r="F31" t="str">
        <v xml:space="preserve"> </v>
      </c>
      <c r="G31" t="str">
        <f>IF(Alela!D31="Não",Alela!C31, " ")</f>
        <v xml:space="preserve"> </v>
      </c>
      <c r="J31" t="str">
        <v xml:space="preserve"> </v>
      </c>
      <c r="K31" t="str">
        <f>IF(Arcades!D31="Não",Arcades!C31, " ")</f>
        <v xml:space="preserve"> </v>
      </c>
      <c r="N31" t="str">
        <v xml:space="preserve"> </v>
      </c>
      <c r="O31" t="str">
        <f>IF(VialIshai!D31="Não",VialIshai!C31, " ")</f>
        <v xml:space="preserve"> </v>
      </c>
      <c r="R31" t="str">
        <v xml:space="preserve"> </v>
      </c>
      <c r="S31" t="str">
        <f>IF(Yuriko!D31="Não",Yuriko!C31, " ")</f>
        <v xml:space="preserve"> </v>
      </c>
      <c r="V31" t="str">
        <v xml:space="preserve"> </v>
      </c>
      <c r="W31" t="str">
        <f>IF(Zedruu!D31="Não",Zedruu!C31, " ")</f>
        <v xml:space="preserve"> </v>
      </c>
    </row>
    <row r="32" spans="2:23" x14ac:dyDescent="0.25">
      <c r="B32" t="str">
        <v xml:space="preserve"> </v>
      </c>
      <c r="C32" t="str">
        <f>IF(Rielle!D32="Não",Rielle!C32, " ")</f>
        <v xml:space="preserve"> </v>
      </c>
      <c r="F32" t="str">
        <v xml:space="preserve"> </v>
      </c>
      <c r="G32" t="str">
        <f>IF(Alela!D32="Não",Alela!C32, " ")</f>
        <v xml:space="preserve"> </v>
      </c>
      <c r="J32" t="str">
        <v xml:space="preserve"> </v>
      </c>
      <c r="K32" t="str">
        <f>IF(Arcades!D32="Não",Arcades!C32, " ")</f>
        <v xml:space="preserve"> </v>
      </c>
      <c r="N32" t="str">
        <v xml:space="preserve"> </v>
      </c>
      <c r="O32" t="str">
        <f>IF(VialIshai!D34="Não",VialIshai!C34, " ")</f>
        <v xml:space="preserve"> </v>
      </c>
      <c r="R32" t="str">
        <v xml:space="preserve"> </v>
      </c>
      <c r="S32" t="str">
        <f>IF(Yuriko!D32="Não",Yuriko!C32, " ")</f>
        <v xml:space="preserve"> </v>
      </c>
      <c r="V32" t="str">
        <v xml:space="preserve"> </v>
      </c>
      <c r="W32" t="str">
        <f>IF(Zedruu!D32="Não",Zedruu!C32, " ")</f>
        <v xml:space="preserve"> </v>
      </c>
    </row>
    <row r="33" spans="2:23" x14ac:dyDescent="0.25">
      <c r="B33" t="str">
        <v xml:space="preserve"> </v>
      </c>
      <c r="C33" t="str">
        <f>IF(Rielle!D33="Não",Rielle!C33, " ")</f>
        <v xml:space="preserve"> </v>
      </c>
      <c r="F33" t="str">
        <v xml:space="preserve"> </v>
      </c>
      <c r="G33" t="str">
        <f>IF(Alela!D34="Não",Alela!C34, " ")</f>
        <v xml:space="preserve"> </v>
      </c>
      <c r="J33" t="str">
        <v xml:space="preserve"> </v>
      </c>
      <c r="K33" t="str">
        <f>IF(Arcades!D33="Não",Arcades!C33, " ")</f>
        <v xml:space="preserve"> </v>
      </c>
      <c r="N33" t="str">
        <v xml:space="preserve"> </v>
      </c>
      <c r="O33" t="str">
        <f>IF(VialIshai!D35="Não",VialIshai!C35, " ")</f>
        <v xml:space="preserve"> </v>
      </c>
      <c r="R33" t="str">
        <v xml:space="preserve"> </v>
      </c>
      <c r="S33" t="str">
        <f>IF(Yuriko!D33="Não",Yuriko!C33, " ")</f>
        <v xml:space="preserve"> </v>
      </c>
      <c r="V33" t="str">
        <v xml:space="preserve"> </v>
      </c>
      <c r="W33" t="str">
        <f>IF(Zedruu!D33="Não",Zedruu!C33, " ")</f>
        <v xml:space="preserve"> </v>
      </c>
    </row>
    <row r="34" spans="2:23" x14ac:dyDescent="0.25">
      <c r="B34" t="str">
        <v xml:space="preserve"> </v>
      </c>
      <c r="C34" t="str">
        <f>IF(Rielle!D34="Não",Rielle!C34, " ")</f>
        <v xml:space="preserve"> </v>
      </c>
      <c r="F34" t="str">
        <v xml:space="preserve"> </v>
      </c>
      <c r="G34" t="str">
        <f>IF(Alela!D26="Não",Alela!C26, " ")</f>
        <v xml:space="preserve"> </v>
      </c>
      <c r="J34" t="str">
        <v xml:space="preserve"> </v>
      </c>
      <c r="K34" t="str">
        <f>IF(Arcades!D34="Não",Arcades!C34, " ")</f>
        <v xml:space="preserve"> </v>
      </c>
      <c r="N34" t="str">
        <v xml:space="preserve"> </v>
      </c>
      <c r="O34" t="str">
        <f>IF(VialIshai!D36="Não",VialIshai!C36, " ")</f>
        <v xml:space="preserve"> </v>
      </c>
      <c r="R34" t="str">
        <v xml:space="preserve"> </v>
      </c>
      <c r="S34" t="str">
        <f>IF(Yuriko!D34="Não",Yuriko!C34, " ")</f>
        <v xml:space="preserve"> </v>
      </c>
      <c r="V34" t="str">
        <v xml:space="preserve"> </v>
      </c>
      <c r="W34" t="str">
        <f>IF(Zedruu!D34="Não",Zedruu!C34, " ")</f>
        <v xml:space="preserve"> </v>
      </c>
    </row>
    <row r="35" spans="2:23" x14ac:dyDescent="0.25">
      <c r="B35" t="str">
        <v xml:space="preserve"> </v>
      </c>
      <c r="C35" t="str">
        <f>IF(Rielle!D35="Não",Rielle!C35, " ")</f>
        <v xml:space="preserve"> </v>
      </c>
      <c r="F35" t="str">
        <v xml:space="preserve"> </v>
      </c>
      <c r="G35" t="str">
        <f>IF(Alela!D36="Não",Alela!C36, " ")</f>
        <v xml:space="preserve"> </v>
      </c>
      <c r="J35" t="str">
        <v xml:space="preserve"> </v>
      </c>
      <c r="K35" t="str">
        <f>IF(Arcades!D35="Não",Arcades!C35, " ")</f>
        <v xml:space="preserve"> </v>
      </c>
      <c r="N35" t="str">
        <v xml:space="preserve"> </v>
      </c>
      <c r="O35" t="str">
        <f>IF(VialIshai!D37="Não",VialIshai!C37, " ")</f>
        <v xml:space="preserve"> </v>
      </c>
      <c r="R35" t="str">
        <v xml:space="preserve"> </v>
      </c>
      <c r="S35" t="str">
        <f>IF(Yuriko!D35="Não",Yuriko!C35, " ")</f>
        <v xml:space="preserve"> </v>
      </c>
      <c r="V35" t="str">
        <v xml:space="preserve"> </v>
      </c>
      <c r="W35" t="str">
        <f>IF(Zedruu!D35="Não",Zedruu!C35, " ")</f>
        <v xml:space="preserve"> </v>
      </c>
    </row>
    <row r="36" spans="2:23" x14ac:dyDescent="0.25">
      <c r="B36" t="str">
        <v xml:space="preserve"> </v>
      </c>
      <c r="C36" t="str">
        <f>IF(Rielle!D36="Não",Rielle!C36, " ")</f>
        <v xml:space="preserve"> </v>
      </c>
      <c r="F36" t="str">
        <v xml:space="preserve"> </v>
      </c>
      <c r="G36" t="str">
        <f>IF(Alela!D37="Não",Alela!C37, " ")</f>
        <v xml:space="preserve"> </v>
      </c>
      <c r="J36" t="str">
        <v xml:space="preserve"> </v>
      </c>
      <c r="K36" t="str">
        <f>IF(Arcades!D36="Não",Arcades!C36, " ")</f>
        <v xml:space="preserve"> </v>
      </c>
      <c r="N36" t="str">
        <v xml:space="preserve"> </v>
      </c>
      <c r="O36" t="str">
        <f>IF(VialIshai!D38="Não",VialIshai!C38, " ")</f>
        <v xml:space="preserve"> </v>
      </c>
      <c r="R36" t="str">
        <v xml:space="preserve"> </v>
      </c>
      <c r="S36" t="str">
        <f>IF(Yuriko!D36="Não",Yuriko!C36, " ")</f>
        <v xml:space="preserve"> </v>
      </c>
      <c r="V36" t="str">
        <v xml:space="preserve"> </v>
      </c>
      <c r="W36" t="str">
        <f>IF(Zedruu!D36="Não",Zedruu!C36, " ")</f>
        <v xml:space="preserve"> </v>
      </c>
    </row>
    <row r="37" spans="2:23" x14ac:dyDescent="0.25">
      <c r="B37" t="str">
        <v xml:space="preserve"> </v>
      </c>
      <c r="C37" t="str">
        <f>IF(Rielle!D89="Não",Rielle!C89, " ")</f>
        <v>Baral, Chief of Compliance</v>
      </c>
      <c r="F37" t="str">
        <v xml:space="preserve"> </v>
      </c>
      <c r="G37" t="str">
        <f>IF(Alela!D38="Não",Alela!C38, " ")</f>
        <v xml:space="preserve"> </v>
      </c>
      <c r="J37" t="str">
        <v xml:space="preserve"> </v>
      </c>
      <c r="K37" t="str">
        <f>IF(Arcades!D88="Não",Arcades!C88, " ")</f>
        <v xml:space="preserve"> </v>
      </c>
      <c r="N37" t="str">
        <v xml:space="preserve"> </v>
      </c>
      <c r="O37" t="str">
        <f>IF(VialIshai!D39="Não",VialIshai!C39, " ")</f>
        <v xml:space="preserve"> </v>
      </c>
      <c r="R37" t="str">
        <v xml:space="preserve"> </v>
      </c>
      <c r="S37" t="str">
        <f>IF(Yuriko!D37="Não",Yuriko!C37, " ")</f>
        <v>Satoru, the Infiltrator</v>
      </c>
      <c r="V37" t="str">
        <v xml:space="preserve"> </v>
      </c>
      <c r="W37" t="str">
        <f>IF(Zedruu!D37="Não",Zedruu!C37, " ")</f>
        <v xml:space="preserve"> </v>
      </c>
    </row>
    <row r="38" spans="2:23" x14ac:dyDescent="0.25">
      <c r="B38" t="str">
        <v xml:space="preserve"> </v>
      </c>
      <c r="C38" t="str">
        <f>IF(Rielle!D38="Não",Rielle!C38, " ")</f>
        <v xml:space="preserve"> </v>
      </c>
      <c r="F38" t="str">
        <v xml:space="preserve"> </v>
      </c>
      <c r="G38" t="str">
        <f>IF(Alela!D39="Não",Alela!C39, " ")</f>
        <v xml:space="preserve"> </v>
      </c>
      <c r="J38" t="str">
        <v xml:space="preserve"> </v>
      </c>
      <c r="K38" t="str">
        <f>IF(Arcades!D37="Não",Arcades!C37, " ")</f>
        <v xml:space="preserve"> </v>
      </c>
      <c r="N38" t="str">
        <v xml:space="preserve"> </v>
      </c>
      <c r="O38" t="str">
        <f>IF(VialIshai!D40="Não",VialIshai!C40, " ")</f>
        <v xml:space="preserve"> </v>
      </c>
      <c r="R38" t="str">
        <v xml:space="preserve"> </v>
      </c>
      <c r="S38" t="str">
        <f>IF(Yuriko!D38="Não",Yuriko!C38, " ")</f>
        <v xml:space="preserve"> </v>
      </c>
      <c r="V38" t="str">
        <v xml:space="preserve"> </v>
      </c>
      <c r="W38" t="str">
        <f>IF(Zedruu!D38="Não",Zedruu!C38, " ")</f>
        <v xml:space="preserve"> </v>
      </c>
    </row>
    <row r="39" spans="2:23" x14ac:dyDescent="0.25">
      <c r="B39" t="str">
        <v xml:space="preserve"> </v>
      </c>
      <c r="C39" t="str">
        <f>IF(Rielle!D94="Não",Rielle!C94, " ")</f>
        <v xml:space="preserve"> </v>
      </c>
      <c r="F39" t="str">
        <v xml:space="preserve"> </v>
      </c>
      <c r="G39" t="str">
        <f>IF(Alela!D40="Não",Alela!C40, " ")</f>
        <v xml:space="preserve"> </v>
      </c>
      <c r="J39" t="str">
        <v xml:space="preserve"> </v>
      </c>
      <c r="K39" t="str">
        <f>IF(Arcades!D38="Não",Arcades!C38, " ")</f>
        <v xml:space="preserve"> </v>
      </c>
      <c r="N39" t="str">
        <v xml:space="preserve"> </v>
      </c>
      <c r="O39" t="str">
        <f>IF(VialIshai!D41="Não",VialIshai!C41, " ")</f>
        <v xml:space="preserve"> </v>
      </c>
      <c r="R39" t="str">
        <v xml:space="preserve"> </v>
      </c>
      <c r="S39" t="str">
        <f>IF(Yuriko!D39="Não",Yuriko!C39, " ")</f>
        <v xml:space="preserve"> </v>
      </c>
      <c r="V39" t="str">
        <v xml:space="preserve"> </v>
      </c>
      <c r="W39" t="str">
        <f>IF(Zedruu!D39="Não",Zedruu!C39, " ")</f>
        <v xml:space="preserve"> </v>
      </c>
    </row>
    <row r="40" spans="2:23" x14ac:dyDescent="0.25">
      <c r="B40" t="str">
        <v xml:space="preserve"> </v>
      </c>
      <c r="C40" t="str">
        <f>IF(Rielle!D39="Não",Rielle!C39, " ")</f>
        <v xml:space="preserve"> </v>
      </c>
      <c r="F40" t="str">
        <v xml:space="preserve"> </v>
      </c>
      <c r="G40" t="str">
        <f>IF(Alela!D41="Não",Alela!C41, " ")</f>
        <v xml:space="preserve"> </v>
      </c>
      <c r="J40" t="str">
        <v xml:space="preserve"> </v>
      </c>
      <c r="K40" t="str">
        <f>IF(Arcades!D39="Não",Arcades!C39, " ")</f>
        <v xml:space="preserve"> </v>
      </c>
      <c r="N40" t="str">
        <v xml:space="preserve"> </v>
      </c>
      <c r="O40" t="str">
        <f>IF(VialIshai!D42="Não",VialIshai!C42, " ")</f>
        <v xml:space="preserve"> </v>
      </c>
      <c r="R40" t="str">
        <v xml:space="preserve"> </v>
      </c>
      <c r="S40" t="str">
        <f>IF(Yuriko!D40="Não",Yuriko!C40, " ")</f>
        <v xml:space="preserve"> </v>
      </c>
      <c r="V40" t="str">
        <v xml:space="preserve"> </v>
      </c>
      <c r="W40" t="str">
        <f>IF(Zedruu!D40="Não",Zedruu!C40, " ")</f>
        <v xml:space="preserve"> </v>
      </c>
    </row>
    <row r="41" spans="2:23" x14ac:dyDescent="0.25">
      <c r="B41" t="str">
        <v xml:space="preserve"> </v>
      </c>
      <c r="C41" t="str">
        <f>IF(Rielle!D40="Não",Rielle!C40, " ")</f>
        <v xml:space="preserve"> </v>
      </c>
      <c r="F41" t="str">
        <v xml:space="preserve"> </v>
      </c>
      <c r="G41" t="str">
        <f>IF(Alela!D42="Não",Alela!C42, " ")</f>
        <v xml:space="preserve"> </v>
      </c>
      <c r="J41" t="str">
        <v xml:space="preserve"> </v>
      </c>
      <c r="K41" t="str">
        <f>IF(Arcades!D40="Não",Arcades!C40, " ")</f>
        <v xml:space="preserve"> </v>
      </c>
      <c r="N41" t="str">
        <v xml:space="preserve"> </v>
      </c>
      <c r="O41" t="str">
        <f>IF(VialIshai!D43="Não",VialIshai!C43, " ")</f>
        <v xml:space="preserve"> </v>
      </c>
      <c r="R41" t="str">
        <v xml:space="preserve"> </v>
      </c>
      <c r="S41" t="str">
        <f>IF(Yuriko!D42="Não",Yuriko!C42, " ")</f>
        <v xml:space="preserve"> </v>
      </c>
      <c r="V41" t="str">
        <v xml:space="preserve"> </v>
      </c>
      <c r="W41" t="str">
        <f>IF(Zedruu!D41="Não",Zedruu!C41, " ")</f>
        <v xml:space="preserve"> </v>
      </c>
    </row>
    <row r="42" spans="2:23" x14ac:dyDescent="0.25">
      <c r="B42" t="str">
        <v xml:space="preserve"> </v>
      </c>
      <c r="C42" t="str">
        <f>IF(Rielle!D41="Não",Rielle!C41, " ")</f>
        <v xml:space="preserve"> </v>
      </c>
      <c r="F42" t="str">
        <v xml:space="preserve"> </v>
      </c>
      <c r="G42" t="str">
        <f>IF(Alela!D43="Não",Alela!C43, " ")</f>
        <v xml:space="preserve"> </v>
      </c>
      <c r="J42" t="str">
        <v xml:space="preserve"> </v>
      </c>
      <c r="K42" t="str">
        <f>IF(Arcades!D41="Não",Arcades!C41, " ")</f>
        <v xml:space="preserve"> </v>
      </c>
      <c r="N42" t="str">
        <v xml:space="preserve"> </v>
      </c>
      <c r="O42" t="str">
        <f>IF(VialIshai!D44="Não",VialIshai!C44, " ")</f>
        <v xml:space="preserve"> </v>
      </c>
      <c r="R42" t="str">
        <v xml:space="preserve"> </v>
      </c>
      <c r="S42" t="str">
        <f>IF(Yuriko!D43="Não",Yuriko!C43, " ")</f>
        <v xml:space="preserve"> </v>
      </c>
      <c r="V42" t="str">
        <v xml:space="preserve"> </v>
      </c>
      <c r="W42" t="str">
        <f>IF(Zedruu!D42="Não",Zedruu!C42, " ")</f>
        <v xml:space="preserve"> </v>
      </c>
    </row>
    <row r="43" spans="2:23" x14ac:dyDescent="0.25">
      <c r="B43" t="str">
        <v xml:space="preserve"> </v>
      </c>
      <c r="C43" t="str">
        <f>IF(Rielle!D42="Não",Rielle!C42, " ")</f>
        <v xml:space="preserve"> </v>
      </c>
      <c r="F43" t="str">
        <v xml:space="preserve"> </v>
      </c>
      <c r="G43" t="str">
        <f>IF(Alela!D45="Não",Alela!C45, " ")</f>
        <v xml:space="preserve"> </v>
      </c>
      <c r="J43" t="str">
        <v xml:space="preserve"> </v>
      </c>
      <c r="K43" t="str">
        <f>IF(Arcades!D42="Não",Arcades!C42, " ")</f>
        <v xml:space="preserve"> </v>
      </c>
      <c r="N43" t="str">
        <v xml:space="preserve"> </v>
      </c>
      <c r="O43" t="str">
        <f>IF(VialIshai!D46="Não",VialIshai!C46, " ")</f>
        <v xml:space="preserve"> </v>
      </c>
      <c r="R43" t="str">
        <v xml:space="preserve"> </v>
      </c>
      <c r="S43" t="str">
        <f>IF(Yuriko!D44="Não",Yuriko!C44, " ")</f>
        <v xml:space="preserve"> </v>
      </c>
      <c r="V43" t="str">
        <v xml:space="preserve"> </v>
      </c>
      <c r="W43" t="str">
        <f>IF(Zedruu!D43="Não",Zedruu!C43, " ")</f>
        <v xml:space="preserve"> </v>
      </c>
    </row>
    <row r="44" spans="2:23" x14ac:dyDescent="0.25">
      <c r="B44" t="str">
        <v xml:space="preserve"> </v>
      </c>
      <c r="C44" t="str">
        <f>IF(Rielle!D43="Não",Rielle!C43, " ")</f>
        <v xml:space="preserve"> </v>
      </c>
      <c r="F44" t="str">
        <v xml:space="preserve"> </v>
      </c>
      <c r="G44" t="str">
        <f>IF(Alela!D46="Não",Alela!C46, " ")</f>
        <v xml:space="preserve"> </v>
      </c>
      <c r="J44" t="str">
        <v xml:space="preserve"> </v>
      </c>
      <c r="K44" t="str">
        <f>IF(Arcades!D43="Não",Arcades!C43, " ")</f>
        <v>Teyo, Geometric Tactician</v>
      </c>
      <c r="N44" t="str">
        <v xml:space="preserve"> </v>
      </c>
      <c r="O44" t="str">
        <f>IF(VialIshai!D47="Não",VialIshai!C47, " ")</f>
        <v xml:space="preserve"> </v>
      </c>
      <c r="R44" t="str">
        <v xml:space="preserve"> </v>
      </c>
      <c r="S44" t="str">
        <f>IF(Yuriko!D45="Não",Yuriko!C45, " ")</f>
        <v xml:space="preserve"> </v>
      </c>
      <c r="V44" t="str">
        <v xml:space="preserve"> </v>
      </c>
      <c r="W44" t="str">
        <f>IF(Zedruu!D44="Não",Zedruu!C44, " ")</f>
        <v xml:space="preserve"> </v>
      </c>
    </row>
    <row r="45" spans="2:23" x14ac:dyDescent="0.25">
      <c r="B45" t="str">
        <v xml:space="preserve"> </v>
      </c>
      <c r="C45" t="str">
        <f>IF(Rielle!D44="Não",Rielle!C44, " ")</f>
        <v xml:space="preserve"> </v>
      </c>
      <c r="F45" t="str">
        <v xml:space="preserve"> </v>
      </c>
      <c r="G45" t="str">
        <f>IF(Alela!D47="Não",Alela!C47, " ")</f>
        <v xml:space="preserve"> </v>
      </c>
      <c r="J45" t="str">
        <v xml:space="preserve"> </v>
      </c>
      <c r="K45" t="str">
        <f>IF(Arcades!D78="Não",Arcades!C78, " ")</f>
        <v xml:space="preserve"> </v>
      </c>
      <c r="N45" t="str">
        <v xml:space="preserve"> </v>
      </c>
      <c r="O45" t="str">
        <f>IF(VialIshai!D48="Não",VialIshai!C48, " ")</f>
        <v xml:space="preserve"> </v>
      </c>
      <c r="R45" t="str">
        <v xml:space="preserve"> </v>
      </c>
      <c r="S45" t="str">
        <f>IF(Yuriko!D46="Não",Yuriko!C46, " ")</f>
        <v xml:space="preserve"> </v>
      </c>
      <c r="V45" t="str">
        <v xml:space="preserve"> </v>
      </c>
      <c r="W45" t="str">
        <f>IF(Zedruu!D45="Não",Zedruu!C45, " ")</f>
        <v xml:space="preserve"> </v>
      </c>
    </row>
    <row r="46" spans="2:23" x14ac:dyDescent="0.25">
      <c r="B46" t="str">
        <v xml:space="preserve"> </v>
      </c>
      <c r="C46" t="str">
        <f>IF(Rielle!D45="Não",Rielle!C45, " ")</f>
        <v xml:space="preserve"> </v>
      </c>
      <c r="F46" t="str">
        <v xml:space="preserve"> </v>
      </c>
      <c r="G46" t="str">
        <f>IF(Alela!D49="Não",Alela!C49, " ")</f>
        <v xml:space="preserve"> </v>
      </c>
      <c r="J46" t="str">
        <v xml:space="preserve"> </v>
      </c>
      <c r="K46" t="str">
        <f>IF(Arcades!D54="Não",Arcades!C54, " ")</f>
        <v xml:space="preserve"> </v>
      </c>
      <c r="N46" t="str">
        <v xml:space="preserve"> </v>
      </c>
      <c r="O46" t="str">
        <f>IF(VialIshai!D49="Não",VialIshai!C49, " ")</f>
        <v xml:space="preserve"> </v>
      </c>
      <c r="R46" t="str">
        <v xml:space="preserve"> </v>
      </c>
      <c r="S46" t="str">
        <f>IF(Yuriko!D47="Não",Yuriko!C47, " ")</f>
        <v xml:space="preserve"> </v>
      </c>
      <c r="V46" t="str">
        <v xml:space="preserve"> </v>
      </c>
      <c r="W46" t="str">
        <f>IF(Zedruu!D48="Não",Zedruu!C48, " ")</f>
        <v xml:space="preserve"> </v>
      </c>
    </row>
    <row r="47" spans="2:23" x14ac:dyDescent="0.25">
      <c r="B47" t="str">
        <v xml:space="preserve"> </v>
      </c>
      <c r="C47" t="str">
        <f>IF(Rielle!D46="Não",Rielle!C46, " ")</f>
        <v xml:space="preserve"> </v>
      </c>
      <c r="F47" t="str">
        <v xml:space="preserve"> </v>
      </c>
      <c r="G47" t="str">
        <f>IF(Alela!D50="Não",Alela!C50, " ")</f>
        <v xml:space="preserve"> </v>
      </c>
      <c r="J47" t="str">
        <v xml:space="preserve"> </v>
      </c>
      <c r="K47" t="str">
        <f>IF(Arcades!D44="Não",Arcades!C44, " ")</f>
        <v xml:space="preserve"> </v>
      </c>
      <c r="N47" t="str">
        <v xml:space="preserve"> </v>
      </c>
      <c r="O47" t="str">
        <f>IF(VialIshai!D50="Não",VialIshai!C50, " ")</f>
        <v xml:space="preserve"> </v>
      </c>
      <c r="R47" t="str">
        <v xml:space="preserve"> </v>
      </c>
      <c r="S47" t="str">
        <f>IF(Yuriko!D48="Não",Yuriko!C48, " ")</f>
        <v xml:space="preserve"> </v>
      </c>
      <c r="V47" t="str">
        <v xml:space="preserve"> </v>
      </c>
      <c r="W47" t="str">
        <f>IF(Zedruu!D49="Não",Zedruu!C49, " ")</f>
        <v xml:space="preserve"> </v>
      </c>
    </row>
    <row r="48" spans="2:23" x14ac:dyDescent="0.25">
      <c r="B48" t="str">
        <v xml:space="preserve"> </v>
      </c>
      <c r="C48" t="str">
        <f>IF(Rielle!D47="Não",Rielle!C47, " ")</f>
        <v>Careful Study</v>
      </c>
      <c r="F48" t="str">
        <v xml:space="preserve"> </v>
      </c>
      <c r="G48" t="str">
        <f>IF(Alela!D51="Não",Alela!C51, " ")</f>
        <v xml:space="preserve"> </v>
      </c>
      <c r="J48" t="str">
        <v xml:space="preserve"> </v>
      </c>
      <c r="K48" t="str">
        <f>IF(Arcades!D45="Não",Arcades!C45, " ")</f>
        <v xml:space="preserve"> </v>
      </c>
      <c r="N48" t="str">
        <v xml:space="preserve"> </v>
      </c>
      <c r="O48" t="str">
        <f>IF(VialIshai!D51="Não",VialIshai!C51, " ")</f>
        <v xml:space="preserve"> </v>
      </c>
      <c r="R48" t="str">
        <v xml:space="preserve"> </v>
      </c>
      <c r="S48" t="str">
        <f>IF(Yuriko!D49="Não",Yuriko!C49, " ")</f>
        <v xml:space="preserve"> </v>
      </c>
      <c r="V48" t="str">
        <v xml:space="preserve"> </v>
      </c>
      <c r="W48" t="str">
        <f>IF(Zedruu!D50="Não",Zedruu!C50, " ")</f>
        <v xml:space="preserve"> </v>
      </c>
    </row>
    <row r="49" spans="2:23" x14ac:dyDescent="0.25">
      <c r="B49" t="str">
        <v xml:space="preserve"> </v>
      </c>
      <c r="C49" t="str">
        <f>IF(Rielle!D48="Não",Rielle!C48, " ")</f>
        <v xml:space="preserve"> </v>
      </c>
      <c r="F49" t="str">
        <v xml:space="preserve"> </v>
      </c>
      <c r="G49" t="str">
        <f>IF(Alela!D52="Não",Alela!C52, " ")</f>
        <v xml:space="preserve"> </v>
      </c>
      <c r="J49" t="str">
        <v xml:space="preserve"> </v>
      </c>
      <c r="K49" t="str">
        <f>IF(Arcades!D46="Não",Arcades!C46, " ")</f>
        <v xml:space="preserve"> </v>
      </c>
      <c r="N49" t="str">
        <v xml:space="preserve"> </v>
      </c>
      <c r="O49" t="str">
        <f>IF(VialIshai!D52="Não",VialIshai!C52, " ")</f>
        <v xml:space="preserve"> </v>
      </c>
      <c r="R49" t="str">
        <v xml:space="preserve"> </v>
      </c>
      <c r="S49" t="str">
        <f>IF(Yuriko!D50="Não",Yuriko!C50, " ")</f>
        <v xml:space="preserve"> </v>
      </c>
      <c r="V49" t="str">
        <v xml:space="preserve"> </v>
      </c>
      <c r="W49" t="str">
        <f>IF(Zedruu!D51="Não",Zedruu!C51, " ")</f>
        <v xml:space="preserve"> </v>
      </c>
    </row>
    <row r="50" spans="2:23" x14ac:dyDescent="0.25">
      <c r="B50" t="str">
        <v xml:space="preserve"> </v>
      </c>
      <c r="C50" t="str">
        <f>IF(Rielle!D49="Não",Rielle!C49, " ")</f>
        <v xml:space="preserve"> </v>
      </c>
      <c r="F50" t="str">
        <v xml:space="preserve"> </v>
      </c>
      <c r="G50" t="str">
        <f>IF(Alela!D53="Não",Alela!C53, " ")</f>
        <v xml:space="preserve"> </v>
      </c>
      <c r="J50" t="str">
        <v xml:space="preserve"> </v>
      </c>
      <c r="K50" t="str">
        <f>IF(Arcades!D77="Não",Arcades!C77, " ")</f>
        <v xml:space="preserve"> </v>
      </c>
      <c r="N50" t="str">
        <v xml:space="preserve"> </v>
      </c>
      <c r="O50" t="str">
        <f>IF(VialIshai!D53="Não",VialIshai!C53, " ")</f>
        <v xml:space="preserve"> </v>
      </c>
      <c r="R50" t="str">
        <v xml:space="preserve"> </v>
      </c>
      <c r="S50" t="str">
        <f>IF(Yuriko!D51="Não",Yuriko!C51, " ")</f>
        <v xml:space="preserve"> </v>
      </c>
      <c r="V50" t="str">
        <v xml:space="preserve"> </v>
      </c>
      <c r="W50" t="str">
        <f>IF(Zedruu!D52="Não",Zedruu!C52, " ")</f>
        <v xml:space="preserve"> </v>
      </c>
    </row>
    <row r="51" spans="2:23" x14ac:dyDescent="0.25">
      <c r="B51" t="str">
        <v xml:space="preserve"> </v>
      </c>
      <c r="C51" t="str">
        <f>IF(Rielle!D50="Não",Rielle!C50, " ")</f>
        <v xml:space="preserve"> </v>
      </c>
      <c r="F51" t="str">
        <v xml:space="preserve"> </v>
      </c>
      <c r="G51" t="str">
        <f>IF(Alela!D54="Não",Alela!C54, " ")</f>
        <v xml:space="preserve"> </v>
      </c>
      <c r="J51" t="str">
        <v xml:space="preserve"> </v>
      </c>
      <c r="K51" t="str">
        <f>IF(Arcades!D80="Não",Arcades!C80, " ")</f>
        <v xml:space="preserve"> </v>
      </c>
      <c r="N51" t="str">
        <v xml:space="preserve"> </v>
      </c>
      <c r="O51" t="str">
        <f>IF(VialIshai!D54="Não",VialIshai!C54, " ")</f>
        <v xml:space="preserve"> </v>
      </c>
      <c r="R51" t="str">
        <v xml:space="preserve"> </v>
      </c>
      <c r="S51" t="str">
        <f>IF(Yuriko!D52="Não",Yuriko!C52, " ")</f>
        <v xml:space="preserve"> </v>
      </c>
      <c r="V51" t="str">
        <v xml:space="preserve"> </v>
      </c>
      <c r="W51" t="str">
        <f>IF(Zedruu!D53="Não",Zedruu!C53, " ")</f>
        <v xml:space="preserve"> </v>
      </c>
    </row>
    <row r="52" spans="2:23" x14ac:dyDescent="0.25">
      <c r="B52" t="str">
        <v xml:space="preserve"> </v>
      </c>
      <c r="C52" t="str">
        <f>IF(Rielle!D51="Não",Rielle!C51, " ")</f>
        <v xml:space="preserve"> </v>
      </c>
      <c r="F52" t="str">
        <v xml:space="preserve"> </v>
      </c>
      <c r="G52" t="str">
        <f>IF(Alela!D55="Não",Alela!C55, " ")</f>
        <v xml:space="preserve"> </v>
      </c>
      <c r="J52" t="str">
        <v xml:space="preserve"> </v>
      </c>
      <c r="K52" t="str">
        <f>IF(Arcades!D47="Não",Arcades!C47, " ")</f>
        <v xml:space="preserve"> </v>
      </c>
      <c r="N52" t="str">
        <v xml:space="preserve"> </v>
      </c>
      <c r="O52" t="str">
        <f>IF(VialIshai!D55="Não",VialIshai!C55, " ")</f>
        <v xml:space="preserve"> </v>
      </c>
      <c r="R52" t="str">
        <v xml:space="preserve"> </v>
      </c>
      <c r="S52" t="str">
        <f>IF(Yuriko!D53="Não",Yuriko!C53, " ")</f>
        <v xml:space="preserve"> </v>
      </c>
      <c r="V52" t="str">
        <v xml:space="preserve"> </v>
      </c>
      <c r="W52" t="str">
        <f>IF(Zedruu!D54="Não",Zedruu!C54, " ")</f>
        <v xml:space="preserve"> </v>
      </c>
    </row>
    <row r="53" spans="2:23" x14ac:dyDescent="0.25">
      <c r="B53" t="str">
        <v xml:space="preserve"> </v>
      </c>
      <c r="C53" t="str">
        <f>IF(Rielle!D52="Não",Rielle!C52, " ")</f>
        <v xml:space="preserve"> </v>
      </c>
      <c r="F53" t="str">
        <v xml:space="preserve"> </v>
      </c>
      <c r="G53" t="str">
        <f>IF(Alela!D56="Não",Alela!C56, " ")</f>
        <v xml:space="preserve"> </v>
      </c>
      <c r="J53" t="str">
        <v xml:space="preserve"> </v>
      </c>
      <c r="K53" t="str">
        <f>IF(Arcades!D81="Não",Arcades!C81, " ")</f>
        <v xml:space="preserve"> </v>
      </c>
      <c r="N53" t="str">
        <v xml:space="preserve"> </v>
      </c>
      <c r="O53" t="str">
        <f>IF(VialIshai!D58="Não",VialIshai!C58, " ")</f>
        <v xml:space="preserve"> </v>
      </c>
      <c r="R53" t="str">
        <v xml:space="preserve"> </v>
      </c>
      <c r="S53" t="str">
        <f>IF(Yuriko!D54="Não",Yuriko!C54, " ")</f>
        <v xml:space="preserve"> </v>
      </c>
      <c r="V53" t="str">
        <v xml:space="preserve"> </v>
      </c>
      <c r="W53" t="str">
        <f>IF(Zedruu!D55="Não",Zedruu!C55, " ")</f>
        <v xml:space="preserve"> </v>
      </c>
    </row>
    <row r="54" spans="2:23" x14ac:dyDescent="0.25">
      <c r="B54" t="str">
        <v xml:space="preserve"> </v>
      </c>
      <c r="C54" t="str">
        <f>IF(Rielle!D53="Não",Rielle!C53, " ")</f>
        <v xml:space="preserve"> </v>
      </c>
      <c r="F54" t="str">
        <v xml:space="preserve"> </v>
      </c>
      <c r="G54" t="str">
        <f>IF(Alela!D57="Não",Alela!C57, " ")</f>
        <v xml:space="preserve"> </v>
      </c>
      <c r="J54" t="str">
        <v xml:space="preserve"> </v>
      </c>
      <c r="K54" t="str">
        <f>IF(Arcades!D79="Não",Arcades!C79, " ")</f>
        <v xml:space="preserve"> </v>
      </c>
      <c r="N54" t="str">
        <v xml:space="preserve"> </v>
      </c>
      <c r="O54" t="str">
        <f>IF(VialIshai!D59="Não",VialIshai!C59, " ")</f>
        <v xml:space="preserve"> </v>
      </c>
      <c r="R54" t="str">
        <v xml:space="preserve"> </v>
      </c>
      <c r="S54" t="str">
        <f>IF(Yuriko!D55="Não",Yuriko!C55, " ")</f>
        <v xml:space="preserve"> </v>
      </c>
      <c r="V54" t="str">
        <v xml:space="preserve"> </v>
      </c>
      <c r="W54" t="str">
        <f>IF(Zedruu!D56="Não",Zedruu!C56, " ")</f>
        <v xml:space="preserve"> </v>
      </c>
    </row>
    <row r="55" spans="2:23" x14ac:dyDescent="0.25">
      <c r="B55" t="str">
        <v xml:space="preserve"> </v>
      </c>
      <c r="C55" t="str">
        <f>IF(Rielle!D54="Não",Rielle!C54, " ")</f>
        <v xml:space="preserve"> </v>
      </c>
      <c r="F55" t="str">
        <v xml:space="preserve"> </v>
      </c>
      <c r="G55" t="str">
        <f>IF(Alela!D58="Não",Alela!C58, " ")</f>
        <v xml:space="preserve"> </v>
      </c>
      <c r="J55" t="str">
        <v xml:space="preserve"> </v>
      </c>
      <c r="K55" t="str">
        <f>IF(Arcades!D49="Não",Arcades!C49, " ")</f>
        <v xml:space="preserve"> </v>
      </c>
      <c r="N55" t="str">
        <v xml:space="preserve"> </v>
      </c>
      <c r="O55" t="str">
        <f>IF(VialIshai!D95="Não",VialIshai!C95, " ")</f>
        <v xml:space="preserve"> </v>
      </c>
      <c r="R55" t="str">
        <v xml:space="preserve"> </v>
      </c>
      <c r="S55" t="str">
        <f>IF(Yuriko!D56="Não",Yuriko!C56, " ")</f>
        <v xml:space="preserve"> </v>
      </c>
      <c r="V55" t="str">
        <v xml:space="preserve"> </v>
      </c>
      <c r="W55" t="str">
        <f>IF(Zedruu!D47="Não",Zedruu!C47, " ")</f>
        <v xml:space="preserve"> </v>
      </c>
    </row>
    <row r="56" spans="2:23" x14ac:dyDescent="0.25">
      <c r="B56" t="str">
        <v xml:space="preserve"> </v>
      </c>
      <c r="C56" t="str">
        <f>IF(Rielle!D55="Não",Rielle!C55, " ")</f>
        <v xml:space="preserve"> </v>
      </c>
      <c r="F56" t="str">
        <v xml:space="preserve"> </v>
      </c>
      <c r="G56" t="str">
        <f>IF(Alela!D59="Não",Alela!C59, " ")</f>
        <v xml:space="preserve"> </v>
      </c>
      <c r="J56" t="str">
        <v xml:space="preserve"> </v>
      </c>
      <c r="K56" t="str">
        <f>IF(Arcades!D50="Não",Arcades!C50, " ")</f>
        <v xml:space="preserve"> </v>
      </c>
      <c r="N56" t="str">
        <v xml:space="preserve"> </v>
      </c>
      <c r="O56" t="str">
        <f>IF(VialIshai!D56="Não",VialIshai!C56, " ")</f>
        <v xml:space="preserve"> </v>
      </c>
      <c r="R56" t="str">
        <v xml:space="preserve"> </v>
      </c>
      <c r="S56" t="str">
        <f>IF(Yuriko!D57="Não",Yuriko!C57, " ")</f>
        <v xml:space="preserve"> </v>
      </c>
      <c r="V56" t="str">
        <v xml:space="preserve"> </v>
      </c>
      <c r="W56" t="str">
        <f>IF(Zedruu!D57="Não",Zedruu!C57, " ")</f>
        <v xml:space="preserve"> </v>
      </c>
    </row>
    <row r="57" spans="2:23" x14ac:dyDescent="0.25">
      <c r="B57" t="str">
        <v xml:space="preserve"> </v>
      </c>
      <c r="C57" t="str">
        <f>IF(Rielle!D56="Não",Rielle!C56, " ")</f>
        <v xml:space="preserve"> </v>
      </c>
      <c r="F57" t="str">
        <v xml:space="preserve"> </v>
      </c>
      <c r="G57" t="str">
        <f>IF(Alela!D62="Não",Alela!C62, " ")</f>
        <v xml:space="preserve"> </v>
      </c>
      <c r="J57" t="str">
        <v xml:space="preserve"> </v>
      </c>
      <c r="K57" t="str">
        <f>IF(Arcades!D51="Não",Arcades!C51, " ")</f>
        <v xml:space="preserve"> </v>
      </c>
      <c r="N57" t="str">
        <v xml:space="preserve"> </v>
      </c>
      <c r="O57" t="str">
        <f>IF(VialIshai!D97="Não",VialIshai!C97, " ")</f>
        <v xml:space="preserve"> </v>
      </c>
      <c r="R57" t="str">
        <v xml:space="preserve"> </v>
      </c>
      <c r="S57" t="str">
        <f>IF(Yuriko!D58="Não",Yuriko!C58, " ")</f>
        <v xml:space="preserve"> </v>
      </c>
      <c r="V57" t="str">
        <v xml:space="preserve"> </v>
      </c>
      <c r="W57" t="str">
        <f>IF(Zedruu!D58="Não",Zedruu!C58, " ")</f>
        <v xml:space="preserve"> </v>
      </c>
    </row>
    <row r="58" spans="2:23" x14ac:dyDescent="0.25">
      <c r="B58" t="str">
        <v xml:space="preserve"> </v>
      </c>
      <c r="C58" t="str">
        <f>IF(Rielle!D57="Não",Rielle!C57, " ")</f>
        <v xml:space="preserve"> </v>
      </c>
      <c r="F58" t="str">
        <v xml:space="preserve"> </v>
      </c>
      <c r="G58" t="str">
        <f>IF(Alela!D63="Não",Alela!C63, " ")</f>
        <v xml:space="preserve"> </v>
      </c>
      <c r="J58" t="str">
        <v xml:space="preserve"> </v>
      </c>
      <c r="K58" t="str">
        <f>IF(Arcades!D94="Não",Arcades!C94, " ")</f>
        <v xml:space="preserve"> </v>
      </c>
      <c r="N58" t="str">
        <v xml:space="preserve"> </v>
      </c>
      <c r="O58" t="str">
        <f>IF(VialIshai!D60="Não",VialIshai!C60, " ")</f>
        <v xml:space="preserve"> </v>
      </c>
      <c r="R58" t="str">
        <v xml:space="preserve"> </v>
      </c>
      <c r="S58" t="str">
        <f>IF(Yuriko!D59="Não",Yuriko!C59, " ")</f>
        <v xml:space="preserve"> </v>
      </c>
      <c r="V58" t="str">
        <v xml:space="preserve"> </v>
      </c>
      <c r="W58" t="str">
        <f>IF(Zedruu!D59="Não",Zedruu!C59, " ")</f>
        <v xml:space="preserve"> </v>
      </c>
    </row>
    <row r="59" spans="2:23" x14ac:dyDescent="0.25">
      <c r="B59" t="str">
        <v xml:space="preserve"> </v>
      </c>
      <c r="C59" t="str">
        <f>IF(Rielle!D58="Não",Rielle!C58, " ")</f>
        <v xml:space="preserve"> </v>
      </c>
      <c r="F59" t="str">
        <v xml:space="preserve"> </v>
      </c>
      <c r="G59" t="str">
        <f>IF(Alela!D64="Não",Alela!C64, " ")</f>
        <v xml:space="preserve"> </v>
      </c>
      <c r="J59" t="str">
        <v xml:space="preserve"> </v>
      </c>
      <c r="K59" t="str">
        <f>IF(Arcades!D52="Não",Arcades!C52, " ")</f>
        <v xml:space="preserve"> </v>
      </c>
      <c r="N59" t="str">
        <v xml:space="preserve"> </v>
      </c>
      <c r="O59" t="str">
        <f>IF(VialIshai!D61="Não",VialIshai!C61, " ")</f>
        <v xml:space="preserve"> </v>
      </c>
      <c r="R59" t="str">
        <v xml:space="preserve"> </v>
      </c>
      <c r="S59" t="str">
        <f>IF(Yuriko!D60="Não",Yuriko!C60, " ")</f>
        <v xml:space="preserve"> </v>
      </c>
      <c r="V59" t="str">
        <v xml:space="preserve"> </v>
      </c>
      <c r="W59" t="str">
        <f>IF(Zedruu!D60="Não",Zedruu!C60, " ")</f>
        <v>Emergency Eject</v>
      </c>
    </row>
    <row r="60" spans="2:23" x14ac:dyDescent="0.25">
      <c r="B60" t="str">
        <v xml:space="preserve"> </v>
      </c>
      <c r="C60" t="str">
        <f>IF(Rielle!D60="Não",Rielle!C60, " ")</f>
        <v>Collector's Vault</v>
      </c>
      <c r="F60" t="str">
        <v xml:space="preserve"> </v>
      </c>
      <c r="G60" t="str">
        <f>IF(Alela!D65="Não",Alela!C65, " ")</f>
        <v xml:space="preserve"> </v>
      </c>
      <c r="J60" t="str">
        <v xml:space="preserve"> </v>
      </c>
      <c r="K60" t="str">
        <f>IF(Arcades!D53="Não",Arcades!C53, " ")</f>
        <v xml:space="preserve"> </v>
      </c>
      <c r="N60" t="str">
        <v xml:space="preserve"> </v>
      </c>
      <c r="O60" t="str">
        <f>IF(VialIshai!D84="Não",VialIshai!C84, " ")</f>
        <v xml:space="preserve"> </v>
      </c>
      <c r="R60" t="str">
        <v xml:space="preserve"> </v>
      </c>
      <c r="S60" t="str">
        <f>IF(Yuriko!D61="Não",Yuriko!C61, " ")</f>
        <v xml:space="preserve"> </v>
      </c>
      <c r="V60" t="str">
        <v xml:space="preserve"> </v>
      </c>
      <c r="W60" t="str">
        <f>IF(Zedruu!D61="Não",Zedruu!C61, " ")</f>
        <v xml:space="preserve"> </v>
      </c>
    </row>
    <row r="61" spans="2:23" x14ac:dyDescent="0.25">
      <c r="B61" t="str">
        <v xml:space="preserve"> </v>
      </c>
      <c r="C61" t="str">
        <f>IF(Rielle!D61="Não",Rielle!C61, " ")</f>
        <v xml:space="preserve"> </v>
      </c>
      <c r="F61" t="str">
        <v xml:space="preserve"> </v>
      </c>
      <c r="G61" t="str">
        <f>IF(Alela!D48="Não",Alela!C48, " ")</f>
        <v>Olho de Ojer Taq</v>
      </c>
      <c r="J61" t="str">
        <v xml:space="preserve"> </v>
      </c>
      <c r="K61" t="str">
        <f>IF(Arcades!D48="Não",Arcades!C48, " ")</f>
        <v xml:space="preserve"> </v>
      </c>
      <c r="N61" t="str">
        <v xml:space="preserve"> </v>
      </c>
      <c r="O61" t="str">
        <f>IF(VialIshai!D85="Não",VialIshai!C85, " ")</f>
        <v xml:space="preserve"> </v>
      </c>
      <c r="R61" t="str">
        <v xml:space="preserve"> </v>
      </c>
      <c r="S61" t="str">
        <f>IF(Yuriko!D62="Não",Yuriko!C62, " ")</f>
        <v xml:space="preserve"> </v>
      </c>
      <c r="V61" t="str">
        <v xml:space="preserve"> </v>
      </c>
      <c r="W61" t="str">
        <f>IF(Zedruu!D62="Não",Zedruu!C62, " ")</f>
        <v xml:space="preserve"> </v>
      </c>
    </row>
    <row r="62" spans="2:23" x14ac:dyDescent="0.25">
      <c r="B62" t="str">
        <v xml:space="preserve"> </v>
      </c>
      <c r="C62" t="str">
        <f>IF(Rielle!D62="Não",Rielle!C62, " ")</f>
        <v xml:space="preserve"> </v>
      </c>
      <c r="F62" t="str">
        <v xml:space="preserve"> </v>
      </c>
      <c r="G62" t="str">
        <f>IF(Alela!D33="Não",Alela!C33, " ")</f>
        <v xml:space="preserve"> </v>
      </c>
      <c r="J62" t="str">
        <v xml:space="preserve"> </v>
      </c>
      <c r="K62" t="str">
        <f>IF(Arcades!D55="Não",Arcades!C55, " ")</f>
        <v xml:space="preserve"> </v>
      </c>
      <c r="N62" t="str">
        <v xml:space="preserve"> </v>
      </c>
      <c r="O62" t="str">
        <f>IF(VialIshai!D62="Não",VialIshai!C62, " ")</f>
        <v>Vontade Dominadora</v>
      </c>
      <c r="R62" t="str">
        <v xml:space="preserve"> </v>
      </c>
      <c r="S62" t="str">
        <f>IF(Yuriko!D63="Não",Yuriko!C63, " ")</f>
        <v xml:space="preserve"> </v>
      </c>
      <c r="V62" t="str">
        <v xml:space="preserve"> </v>
      </c>
      <c r="W62" t="str">
        <f>IF(Zedruu!D66="Não",Zedruu!C66, " ")</f>
        <v xml:space="preserve"> </v>
      </c>
    </row>
    <row r="63" spans="2:23" x14ac:dyDescent="0.25">
      <c r="B63" t="str">
        <v xml:space="preserve"> </v>
      </c>
      <c r="C63" t="str">
        <f>IF(Rielle!D63="Não",Rielle!C63, " ")</f>
        <v xml:space="preserve"> </v>
      </c>
      <c r="F63" t="str">
        <v xml:space="preserve"> </v>
      </c>
      <c r="G63" t="str">
        <f>IF(Alela!D100="Não",Alela!C100, " ")</f>
        <v xml:space="preserve"> </v>
      </c>
      <c r="J63" t="str">
        <v xml:space="preserve"> </v>
      </c>
      <c r="K63" t="str">
        <f>IF(Arcades!D95="Não",Arcades!C95, " ")</f>
        <v xml:space="preserve"> </v>
      </c>
      <c r="N63" t="str">
        <v xml:space="preserve"> </v>
      </c>
      <c r="O63" t="str">
        <f>IF(VialIshai!D91="Não",VialIshai!C91, " ")</f>
        <v xml:space="preserve"> </v>
      </c>
      <c r="R63" t="str">
        <v xml:space="preserve"> </v>
      </c>
      <c r="S63" t="str">
        <f>IF(Yuriko!D64="Não",Yuriko!C64, " ")</f>
        <v xml:space="preserve"> </v>
      </c>
      <c r="V63" t="str">
        <v xml:space="preserve"> </v>
      </c>
      <c r="W63" t="str">
        <f>IF(Zedruu!D67="Não",Zedruu!C67, " ")</f>
        <v xml:space="preserve"> </v>
      </c>
    </row>
    <row r="64" spans="2:23" x14ac:dyDescent="0.25">
      <c r="B64" t="str">
        <v xml:space="preserve"> </v>
      </c>
      <c r="C64" t="str">
        <f>IF(Rielle!D64="Não",Rielle!C64, " ")</f>
        <v xml:space="preserve"> </v>
      </c>
      <c r="F64" t="str">
        <v xml:space="preserve"> </v>
      </c>
      <c r="G64" t="str">
        <f>IF(Alela!D66="Não",Alela!C66, " ")</f>
        <v xml:space="preserve"> </v>
      </c>
      <c r="J64" t="str">
        <v xml:space="preserve"> </v>
      </c>
      <c r="K64" t="str">
        <f>IF(Arcades!D56="Não",Arcades!C56, " ")</f>
        <v xml:space="preserve"> </v>
      </c>
      <c r="N64" t="str">
        <v xml:space="preserve"> </v>
      </c>
      <c r="O64" t="str">
        <f>IF(VialIshai!D57="Não",VialIshai!C57, " ")</f>
        <v xml:space="preserve"> </v>
      </c>
      <c r="R64" t="str">
        <v xml:space="preserve"> </v>
      </c>
      <c r="S64" t="str">
        <f>IF(Yuriko!D65="Não",Yuriko!C65, " ")</f>
        <v xml:space="preserve"> </v>
      </c>
      <c r="V64" t="str">
        <v xml:space="preserve"> </v>
      </c>
      <c r="W64" t="str">
        <f>IF(Zedruu!D70="Não",Zedruu!C70, " ")</f>
        <v xml:space="preserve"> </v>
      </c>
    </row>
    <row r="65" spans="2:23" x14ac:dyDescent="0.25">
      <c r="B65" t="str">
        <v xml:space="preserve"> </v>
      </c>
      <c r="C65" t="str">
        <f>IF(Rielle!D65="Não",Rielle!C65, " ")</f>
        <v xml:space="preserve"> </v>
      </c>
      <c r="F65" t="str">
        <v xml:space="preserve"> </v>
      </c>
      <c r="G65" t="str">
        <f>IF(Alela!D67="Não",Alela!C67, " ")</f>
        <v xml:space="preserve"> </v>
      </c>
      <c r="J65" t="str">
        <v xml:space="preserve"> </v>
      </c>
      <c r="K65" t="str">
        <f>IF(Arcades!D57="Não",Arcades!C57, " ")</f>
        <v xml:space="preserve"> </v>
      </c>
      <c r="N65" t="str">
        <v xml:space="preserve"> </v>
      </c>
      <c r="O65" t="str">
        <f>IF(VialIshai!D63="Não",VialIshai!C63, " ")</f>
        <v xml:space="preserve"> </v>
      </c>
      <c r="R65" t="str">
        <v xml:space="preserve"> </v>
      </c>
      <c r="S65" t="str">
        <f>IF(Yuriko!D66="Não",Yuriko!C66, " ")</f>
        <v>Faerie Slumber Party</v>
      </c>
      <c r="V65" t="str">
        <v xml:space="preserve"> </v>
      </c>
      <c r="W65" t="str">
        <f>IF(Zedruu!D71="Não",Zedruu!C71, " ")</f>
        <v xml:space="preserve"> </v>
      </c>
    </row>
    <row r="66" spans="2:23" x14ac:dyDescent="0.25">
      <c r="B66" t="str">
        <v xml:space="preserve"> </v>
      </c>
      <c r="C66" t="str">
        <f>IF(Rielle!D66="Não",Rielle!C66, " ")</f>
        <v xml:space="preserve"> </v>
      </c>
      <c r="F66" t="str">
        <v xml:space="preserve"> </v>
      </c>
      <c r="G66" t="str">
        <f>IF(Alela!D68="Não",Alela!C68, " ")</f>
        <v xml:space="preserve"> </v>
      </c>
      <c r="J66" t="str">
        <v xml:space="preserve"> </v>
      </c>
      <c r="K66" t="str">
        <f>IF(Arcades!D58="Não",Arcades!C58, " ")</f>
        <v xml:space="preserve"> </v>
      </c>
      <c r="N66" t="str">
        <v xml:space="preserve"> </v>
      </c>
      <c r="O66" t="str">
        <f>IF(VialIshai!D64="Não",VialIshai!C64, " ")</f>
        <v xml:space="preserve"> </v>
      </c>
      <c r="R66" t="str">
        <v xml:space="preserve"> </v>
      </c>
      <c r="S66" t="str">
        <f>IF(Yuriko!D67="Não",Yuriko!C67, " ")</f>
        <v xml:space="preserve"> </v>
      </c>
      <c r="V66" t="str">
        <v xml:space="preserve"> </v>
      </c>
      <c r="W66" t="str">
        <f>IF(Zedruu!D90="Não",Zedruu!C90, " ")</f>
        <v xml:space="preserve"> </v>
      </c>
    </row>
    <row r="67" spans="2:23" x14ac:dyDescent="0.25">
      <c r="B67" t="str">
        <v xml:space="preserve"> </v>
      </c>
      <c r="C67" t="str">
        <f>IF(Rielle!D67="Não",Rielle!C67, " ")</f>
        <v xml:space="preserve"> </v>
      </c>
      <c r="F67" t="str">
        <v xml:space="preserve"> </v>
      </c>
      <c r="G67" t="str">
        <f>IF(Alela!D69="Não",Alela!C69, " ")</f>
        <v xml:space="preserve"> </v>
      </c>
      <c r="J67" t="str">
        <v xml:space="preserve"> </v>
      </c>
      <c r="K67" t="str">
        <f>IF(Arcades!D59="Não",Arcades!C59, " ")</f>
        <v xml:space="preserve"> </v>
      </c>
      <c r="N67" t="str">
        <v xml:space="preserve"> </v>
      </c>
      <c r="O67" t="str">
        <f>IF(VialIshai!D65="Não",VialIshai!C65, " ")</f>
        <v>Amphibian Downpour</v>
      </c>
      <c r="R67" t="str">
        <v xml:space="preserve"> </v>
      </c>
      <c r="S67" t="str">
        <f>IF(Yuriko!D68="Não",Yuriko!C68, " ")</f>
        <v xml:space="preserve"> </v>
      </c>
      <c r="V67" t="str">
        <v xml:space="preserve"> </v>
      </c>
      <c r="W67" t="str">
        <f>IF(Zedruu!D91="Não",Zedruu!C91, " ")</f>
        <v xml:space="preserve"> </v>
      </c>
    </row>
    <row r="68" spans="2:23" x14ac:dyDescent="0.25">
      <c r="B68" t="str">
        <v xml:space="preserve"> </v>
      </c>
      <c r="C68" t="str">
        <f>IF(Rielle!D68="Não",Rielle!C68, " ")</f>
        <v xml:space="preserve"> </v>
      </c>
      <c r="F68" t="str">
        <v xml:space="preserve"> </v>
      </c>
      <c r="G68" t="str">
        <f>IF(Alela!D61="Não",Alela!C61, " ")</f>
        <v xml:space="preserve"> </v>
      </c>
      <c r="J68" t="str">
        <v xml:space="preserve"> </v>
      </c>
      <c r="K68" t="str">
        <f>IF(Arcades!D60="Não",Arcades!C60, " ")</f>
        <v xml:space="preserve"> </v>
      </c>
      <c r="N68" t="str">
        <v xml:space="preserve"> </v>
      </c>
      <c r="O68" t="str">
        <f>IF(VialIshai!D66="Não",VialIshai!C66, " ")</f>
        <v xml:space="preserve"> </v>
      </c>
      <c r="R68" t="str">
        <v xml:space="preserve"> </v>
      </c>
      <c r="S68" t="str">
        <f>IF(Yuriko!D69="Não",Yuriko!C69, " ")</f>
        <v xml:space="preserve"> </v>
      </c>
      <c r="V68" t="str">
        <v xml:space="preserve"> </v>
      </c>
      <c r="W68" t="str">
        <f>IF(Zedruu!D92="Não",Zedruu!C92, " ")</f>
        <v xml:space="preserve"> </v>
      </c>
    </row>
    <row r="69" spans="2:23" x14ac:dyDescent="0.25">
      <c r="B69" t="str">
        <v xml:space="preserve"> </v>
      </c>
      <c r="C69" t="str">
        <f>IF(Rielle!D69="Não",Rielle!C69, " ")</f>
        <v>Serenata das Estriges</v>
      </c>
      <c r="F69" t="str">
        <v xml:space="preserve"> </v>
      </c>
      <c r="G69" t="str">
        <f>IF(Alela!D44="Não",Alela!C44, " ")</f>
        <v xml:space="preserve"> </v>
      </c>
      <c r="J69" t="str">
        <v xml:space="preserve"> </v>
      </c>
      <c r="K69" t="str">
        <f>IF(Arcades!D61="Não",Arcades!C61, " ")</f>
        <v xml:space="preserve"> </v>
      </c>
      <c r="N69" t="str">
        <v xml:space="preserve"> </v>
      </c>
      <c r="O69" t="str">
        <f>IF(VialIshai!D67="Não",VialIshai!C67, " ")</f>
        <v xml:space="preserve"> </v>
      </c>
      <c r="R69" t="str">
        <v xml:space="preserve"> </v>
      </c>
      <c r="S69" t="str">
        <f>IF(Yuriko!D70="Não",Yuriko!C70, " ")</f>
        <v xml:space="preserve"> </v>
      </c>
      <c r="V69" t="str">
        <v xml:space="preserve"> </v>
      </c>
      <c r="W69" t="str">
        <f>IF(Zedruu!D93="Não",Zedruu!C93, " ")</f>
        <v xml:space="preserve"> </v>
      </c>
    </row>
    <row r="70" spans="2:23" x14ac:dyDescent="0.25">
      <c r="B70" t="str">
        <v xml:space="preserve"> </v>
      </c>
      <c r="C70" t="str">
        <f>IF(Rielle!D70="Não",Rielle!C70, " ")</f>
        <v xml:space="preserve"> </v>
      </c>
      <c r="F70" t="str">
        <v xml:space="preserve"> </v>
      </c>
      <c r="G70" t="str">
        <f>IF(Alela!D70="Não",Alela!C70, " ")</f>
        <v xml:space="preserve"> </v>
      </c>
      <c r="J70" t="str">
        <v xml:space="preserve"> </v>
      </c>
      <c r="K70" t="str">
        <f>IF(Arcades!D62="Não",Arcades!C62, " ")</f>
        <v xml:space="preserve"> </v>
      </c>
      <c r="N70" t="str">
        <v xml:space="preserve"> </v>
      </c>
      <c r="O70" t="str">
        <f>IF(VialIshai!D68="Não",VialIshai!C68, " ")</f>
        <v xml:space="preserve"> </v>
      </c>
      <c r="R70" t="str">
        <v xml:space="preserve"> </v>
      </c>
      <c r="S70" t="str">
        <f>IF(Yuriko!D71="Não",Yuriko!C71, " ")</f>
        <v>Louisoix's Sacrifice</v>
      </c>
      <c r="V70" t="str">
        <v xml:space="preserve"> </v>
      </c>
      <c r="W70" t="str">
        <f>IF(Zedruu!D94="Não",Zedruu!C94, " ")</f>
        <v xml:space="preserve"> </v>
      </c>
    </row>
    <row r="71" spans="2:23" x14ac:dyDescent="0.25">
      <c r="B71" t="str">
        <v xml:space="preserve"> </v>
      </c>
      <c r="C71" t="str">
        <f>IF(Rielle!D71="Não",Rielle!C71, " ")</f>
        <v xml:space="preserve"> </v>
      </c>
      <c r="F71" t="str">
        <v xml:space="preserve"> </v>
      </c>
      <c r="G71" t="str">
        <f>IF(Alela!D71="Não",Alela!C71, " ")</f>
        <v xml:space="preserve"> </v>
      </c>
      <c r="J71" t="str">
        <v xml:space="preserve"> </v>
      </c>
      <c r="K71" t="str">
        <f>IF(Arcades!D63="Não",Arcades!C63, " ")</f>
        <v xml:space="preserve"> </v>
      </c>
      <c r="N71" t="str">
        <v xml:space="preserve"> </v>
      </c>
      <c r="O71" t="str">
        <f>IF(VialIshai!D69="Não",VialIshai!C69, " ")</f>
        <v xml:space="preserve"> </v>
      </c>
      <c r="R71" t="str">
        <v xml:space="preserve"> </v>
      </c>
      <c r="S71" t="str">
        <f>IF(Yuriko!D72="Não",Yuriko!C72, " ")</f>
        <v xml:space="preserve"> </v>
      </c>
      <c r="V71" t="str">
        <v xml:space="preserve"> </v>
      </c>
      <c r="W71" t="str">
        <f>IF(Zedruu!D69="Não",Zedruu!C69, " ")</f>
        <v xml:space="preserve"> </v>
      </c>
    </row>
    <row r="72" spans="2:23" x14ac:dyDescent="0.25">
      <c r="B72" t="str">
        <v xml:space="preserve"> </v>
      </c>
      <c r="C72" t="str">
        <f>IF(Rielle!D72="Não",Rielle!C72, " ")</f>
        <v xml:space="preserve"> </v>
      </c>
      <c r="F72" t="str">
        <v xml:space="preserve"> </v>
      </c>
      <c r="G72" t="str">
        <f>IF(Alela!D72="Não",Alela!C72, " ")</f>
        <v xml:space="preserve"> </v>
      </c>
      <c r="J72" t="str">
        <v xml:space="preserve"> </v>
      </c>
      <c r="K72" t="str">
        <f>IF(Arcades!D64="Não",Arcades!C64, " ")</f>
        <v xml:space="preserve"> </v>
      </c>
      <c r="N72" t="str">
        <v xml:space="preserve"> </v>
      </c>
      <c r="O72" t="str">
        <f>IF(VialIshai!D70="Não",VialIshai!C70, " ")</f>
        <v xml:space="preserve"> </v>
      </c>
      <c r="R72" t="str">
        <v xml:space="preserve"> </v>
      </c>
      <c r="S72" t="str">
        <f>IF(Yuriko!D73="Não",Yuriko!C73, " ")</f>
        <v>Mystic Reflection</v>
      </c>
      <c r="V72" t="str">
        <v xml:space="preserve"> </v>
      </c>
      <c r="W72" t="str">
        <f>IF(Zedruu!D95="Não",Zedruu!C95, " ")</f>
        <v xml:space="preserve"> </v>
      </c>
    </row>
    <row r="73" spans="2:23" x14ac:dyDescent="0.25">
      <c r="B73" t="str">
        <v xml:space="preserve"> </v>
      </c>
      <c r="C73" t="str">
        <f>IF(Rielle!D73="Não",Rielle!C73, " ")</f>
        <v xml:space="preserve"> </v>
      </c>
      <c r="F73" t="str">
        <v xml:space="preserve"> </v>
      </c>
      <c r="G73" t="str">
        <f>IF(Alela!D73="Não",Alela!C73, " ")</f>
        <v xml:space="preserve"> </v>
      </c>
      <c r="J73" t="str">
        <v xml:space="preserve"> </v>
      </c>
      <c r="K73" t="str">
        <f>IF(Arcades!D65="Não",Arcades!C65, " ")</f>
        <v xml:space="preserve"> </v>
      </c>
      <c r="N73" t="str">
        <v xml:space="preserve"> </v>
      </c>
      <c r="O73" t="str">
        <f>IF(VialIshai!D71="Não",VialIshai!C71, " ")</f>
        <v xml:space="preserve"> </v>
      </c>
      <c r="R73" t="str">
        <v xml:space="preserve"> </v>
      </c>
      <c r="S73" t="str">
        <f>IF(Yuriko!D74="Não",Yuriko!C74, " ")</f>
        <v xml:space="preserve"> </v>
      </c>
      <c r="V73" t="str">
        <v xml:space="preserve"> </v>
      </c>
      <c r="W73" t="str">
        <f>IF(Zedruu!D96="Não",Zedruu!C96, " ")</f>
        <v xml:space="preserve"> </v>
      </c>
    </row>
    <row r="74" spans="2:23" x14ac:dyDescent="0.25">
      <c r="B74" t="str">
        <v xml:space="preserve"> </v>
      </c>
      <c r="C74" t="str">
        <f>IF(Rielle!D74="Não",Rielle!C74, " ")</f>
        <v xml:space="preserve"> </v>
      </c>
      <c r="F74" t="str">
        <v xml:space="preserve"> </v>
      </c>
      <c r="G74" t="str">
        <f>IF(Alela!D74="Não",Alela!C74, " ")</f>
        <v xml:space="preserve"> </v>
      </c>
      <c r="J74" t="str">
        <v xml:space="preserve"> </v>
      </c>
      <c r="K74" t="str">
        <f>IF(Arcades!D75="Não",Arcades!C75, " ")</f>
        <v xml:space="preserve"> </v>
      </c>
      <c r="N74" t="str">
        <v xml:space="preserve"> </v>
      </c>
      <c r="O74" t="str">
        <f>IF(VialIshai!D45="Não",VialIshai!C45, " ")</f>
        <v xml:space="preserve"> </v>
      </c>
      <c r="R74" t="str">
        <v xml:space="preserve"> </v>
      </c>
      <c r="S74" t="str">
        <f>IF(Yuriko!D75="Não",Yuriko!C75, " ")</f>
        <v xml:space="preserve"> </v>
      </c>
      <c r="V74" t="str">
        <v xml:space="preserve"> </v>
      </c>
      <c r="W74" t="str">
        <f>IF(Zedruu!D72="Não",Zedruu!C72, " ")</f>
        <v xml:space="preserve"> </v>
      </c>
    </row>
    <row r="75" spans="2:23" x14ac:dyDescent="0.25">
      <c r="B75" t="str">
        <v xml:space="preserve"> </v>
      </c>
      <c r="C75" t="str">
        <f>IF(Rielle!D75="Não",Rielle!C75, " ")</f>
        <v xml:space="preserve"> </v>
      </c>
      <c r="F75" t="str">
        <v xml:space="preserve"> </v>
      </c>
      <c r="G75" t="str">
        <f>IF(Alela!D75="Não",Alela!C75, " ")</f>
        <v xml:space="preserve"> </v>
      </c>
      <c r="J75" t="str">
        <v xml:space="preserve"> </v>
      </c>
      <c r="K75" t="str">
        <f>IF(Arcades!D66="Não",Arcades!C66, " ")</f>
        <v xml:space="preserve"> </v>
      </c>
      <c r="N75" t="str">
        <v xml:space="preserve"> </v>
      </c>
      <c r="O75" t="str">
        <f>IF(VialIshai!D72="Não",VialIshai!C72, " ")</f>
        <v xml:space="preserve"> </v>
      </c>
      <c r="R75" t="str">
        <v xml:space="preserve"> </v>
      </c>
      <c r="S75" t="str">
        <f>IF(Yuriko!D76="Não",Yuriko!C76, " ")</f>
        <v xml:space="preserve"> </v>
      </c>
      <c r="V75" t="str">
        <v xml:space="preserve"> </v>
      </c>
      <c r="W75" t="str">
        <f>IF(Zedruu!D73="Não",Zedruu!C73, " ")</f>
        <v xml:space="preserve"> </v>
      </c>
    </row>
    <row r="76" spans="2:23" x14ac:dyDescent="0.25">
      <c r="B76" t="str">
        <v xml:space="preserve"> </v>
      </c>
      <c r="C76" t="str">
        <f>IF(Rielle!D76="Não",Rielle!C76, " ")</f>
        <v xml:space="preserve"> </v>
      </c>
      <c r="F76" t="str">
        <v xml:space="preserve"> </v>
      </c>
      <c r="G76" t="str">
        <f>IF(Alela!D99="Não",Alela!C99, " ")</f>
        <v xml:space="preserve"> </v>
      </c>
      <c r="J76" t="str">
        <v xml:space="preserve"> </v>
      </c>
      <c r="K76" t="str">
        <f>IF(Arcades!D67="Não",Arcades!C67, " ")</f>
        <v xml:space="preserve"> </v>
      </c>
      <c r="N76" t="str">
        <v xml:space="preserve"> </v>
      </c>
      <c r="O76" t="str">
        <f>IF(VialIshai!D73="Não",VialIshai!C73, " ")</f>
        <v xml:space="preserve"> </v>
      </c>
      <c r="R76" t="str">
        <v xml:space="preserve"> </v>
      </c>
      <c r="S76" t="str">
        <f>IF(Yuriko!D77="Não",Yuriko!C77, " ")</f>
        <v xml:space="preserve"> </v>
      </c>
      <c r="V76" t="str">
        <v xml:space="preserve"> </v>
      </c>
      <c r="W76" t="str">
        <f>IF(Zedruu!D74="Não",Zedruu!C74, " ")</f>
        <v xml:space="preserve"> </v>
      </c>
    </row>
    <row r="77" spans="2:23" x14ac:dyDescent="0.25">
      <c r="B77" t="str">
        <v xml:space="preserve"> </v>
      </c>
      <c r="C77" t="str">
        <f>IF(Rielle!D77="Não",Rielle!C77, " ")</f>
        <v xml:space="preserve"> </v>
      </c>
      <c r="F77" t="str">
        <v xml:space="preserve"> </v>
      </c>
      <c r="G77" t="str">
        <f>IF(Alela!D76="Não",Alela!C76, " ")</f>
        <v xml:space="preserve"> </v>
      </c>
      <c r="J77" t="str">
        <v xml:space="preserve"> </v>
      </c>
      <c r="K77" t="str">
        <f>IF(Arcades!D68="Não",Arcades!C68, " ")</f>
        <v xml:space="preserve"> </v>
      </c>
      <c r="N77" t="str">
        <v xml:space="preserve"> </v>
      </c>
      <c r="O77" t="str">
        <f>IF(VialIshai!D74="Não",VialIshai!C74, " ")</f>
        <v xml:space="preserve"> </v>
      </c>
      <c r="R77" t="str">
        <v xml:space="preserve"> </v>
      </c>
      <c r="S77" t="str">
        <f>IF(Yuriko!D78="Não",Yuriko!C78, " ")</f>
        <v xml:space="preserve"> </v>
      </c>
      <c r="V77" t="str">
        <v xml:space="preserve"> </v>
      </c>
      <c r="W77" t="str">
        <f>IF(Zedruu!D46="Não",Zedruu!C46, " ")</f>
        <v xml:space="preserve"> </v>
      </c>
    </row>
    <row r="78" spans="2:23" x14ac:dyDescent="0.25">
      <c r="B78" t="str">
        <v xml:space="preserve"> </v>
      </c>
      <c r="C78" t="str">
        <f>IF(Rielle!D78="Não",Rielle!C78, " ")</f>
        <v xml:space="preserve"> </v>
      </c>
      <c r="F78" t="str">
        <v xml:space="preserve"> </v>
      </c>
      <c r="G78" t="str">
        <f>IF(Alela!D77="Não",Alela!C77, " ")</f>
        <v xml:space="preserve"> </v>
      </c>
      <c r="J78" t="str">
        <v xml:space="preserve"> </v>
      </c>
      <c r="K78" t="str">
        <f>IF(Arcades!D69="Não",Arcades!C69, " ")</f>
        <v xml:space="preserve"> </v>
      </c>
      <c r="N78" t="str">
        <v xml:space="preserve"> </v>
      </c>
      <c r="O78" t="str">
        <f>IF(VialIshai!D75="Não",VialIshai!C75, " ")</f>
        <v xml:space="preserve"> </v>
      </c>
      <c r="R78" t="str">
        <v xml:space="preserve"> </v>
      </c>
      <c r="S78" t="str">
        <f>IF(Yuriko!D79="Não",Yuriko!C79, " ")</f>
        <v xml:space="preserve"> </v>
      </c>
      <c r="V78" t="str">
        <v xml:space="preserve"> </v>
      </c>
      <c r="W78" t="str">
        <f>IF(Zedruu!D75="Não",Zedruu!C75, " ")</f>
        <v xml:space="preserve"> </v>
      </c>
    </row>
    <row r="79" spans="2:23" x14ac:dyDescent="0.25">
      <c r="B79" t="str">
        <v xml:space="preserve"> </v>
      </c>
      <c r="C79" t="str">
        <f>IF(Rielle!D79="Não",Rielle!C79, " ")</f>
        <v xml:space="preserve"> </v>
      </c>
      <c r="F79" t="str">
        <v xml:space="preserve"> </v>
      </c>
      <c r="G79" t="str">
        <f>IF(Alela!D78="Não",Alela!C78, " ")</f>
        <v xml:space="preserve"> </v>
      </c>
      <c r="J79" t="str">
        <v xml:space="preserve"> </v>
      </c>
      <c r="K79" t="str">
        <f>IF(Arcades!D70="Não",Arcades!C70, " ")</f>
        <v xml:space="preserve"> </v>
      </c>
      <c r="N79" t="str">
        <v xml:space="preserve"> </v>
      </c>
      <c r="O79" t="str">
        <f>IF(VialIshai!D76="Não",VialIshai!C76, " ")</f>
        <v xml:space="preserve"> </v>
      </c>
      <c r="R79" t="str">
        <v xml:space="preserve"> </v>
      </c>
      <c r="S79" t="str">
        <f>IF(Yuriko!D80="Não",Yuriko!C80, " ")</f>
        <v xml:space="preserve"> </v>
      </c>
      <c r="V79" t="str">
        <v xml:space="preserve"> </v>
      </c>
      <c r="W79" t="str">
        <f>IF(Zedruu!D76="Não",Zedruu!C76, " ")</f>
        <v xml:space="preserve"> </v>
      </c>
    </row>
    <row r="80" spans="2:23" x14ac:dyDescent="0.25">
      <c r="B80" t="str">
        <v xml:space="preserve"> </v>
      </c>
      <c r="C80" t="str">
        <f>IF(Rielle!D80="Não",Rielle!C80, " ")</f>
        <v xml:space="preserve"> </v>
      </c>
      <c r="F80" t="str">
        <v xml:space="preserve"> </v>
      </c>
      <c r="G80" t="str">
        <f>IF(Alela!D79="Não",Alela!C79, " ")</f>
        <v xml:space="preserve"> </v>
      </c>
      <c r="J80" t="str">
        <v xml:space="preserve"> </v>
      </c>
      <c r="K80" t="str">
        <f>IF(Arcades!D71="Não",Arcades!C71, " ")</f>
        <v xml:space="preserve"> </v>
      </c>
      <c r="N80" t="str">
        <v xml:space="preserve"> </v>
      </c>
      <c r="O80" t="str">
        <f>IF(VialIshai!D77="Não",VialIshai!C77, " ")</f>
        <v xml:space="preserve"> </v>
      </c>
      <c r="R80" t="str">
        <v xml:space="preserve"> </v>
      </c>
      <c r="S80" t="str">
        <f>IF(Yuriko!D81="Não",Yuriko!C81, " ")</f>
        <v xml:space="preserve"> </v>
      </c>
      <c r="V80" t="str">
        <v xml:space="preserve"> </v>
      </c>
      <c r="W80" t="str">
        <f>IF(Zedruu!D77="Não",Zedruu!C77, " ")</f>
        <v xml:space="preserve"> </v>
      </c>
    </row>
    <row r="81" spans="2:23" x14ac:dyDescent="0.25">
      <c r="B81" t="str">
        <v xml:space="preserve"> </v>
      </c>
      <c r="C81" t="str">
        <f>IF(Rielle!D81="Não",Rielle!C81, " ")</f>
        <v xml:space="preserve"> </v>
      </c>
      <c r="F81" t="str">
        <v xml:space="preserve"> </v>
      </c>
      <c r="G81" t="str">
        <f>IF(Alela!D80="Não",Alela!C80, " ")</f>
        <v xml:space="preserve"> </v>
      </c>
      <c r="J81" t="str">
        <v xml:space="preserve"> </v>
      </c>
      <c r="K81" t="str">
        <f>IF(Arcades!D72="Não",Arcades!C72, " ")</f>
        <v xml:space="preserve"> </v>
      </c>
      <c r="N81" t="str">
        <v xml:space="preserve"> </v>
      </c>
      <c r="O81" t="str">
        <f>IF(VialIshai!D78="Não",VialIshai!C78, " ")</f>
        <v xml:space="preserve"> </v>
      </c>
      <c r="R81" t="str">
        <v xml:space="preserve"> </v>
      </c>
      <c r="S81" t="str">
        <f>IF(Yuriko!D82="Não",Yuriko!C82, " ")</f>
        <v xml:space="preserve"> </v>
      </c>
      <c r="V81" t="str">
        <v xml:space="preserve"> </v>
      </c>
      <c r="W81" t="str">
        <f>IF(Zedruu!D78="Não",Zedruu!C78, " ")</f>
        <v xml:space="preserve"> </v>
      </c>
    </row>
    <row r="82" spans="2:23" x14ac:dyDescent="0.25">
      <c r="B82" t="str">
        <v xml:space="preserve"> </v>
      </c>
      <c r="C82" t="str">
        <f>IF(Rielle!D82="Não",Rielle!C82, " ")</f>
        <v xml:space="preserve"> </v>
      </c>
      <c r="F82" t="str">
        <v xml:space="preserve"> </v>
      </c>
      <c r="G82" t="str">
        <f>IF(Alela!D81="Não",Alela!C81, " ")</f>
        <v xml:space="preserve"> </v>
      </c>
      <c r="J82" t="str">
        <v xml:space="preserve"> </v>
      </c>
      <c r="K82" t="str">
        <f>IF(Arcades!D73="Não",Arcades!C73, " ")</f>
        <v xml:space="preserve"> </v>
      </c>
      <c r="N82" t="str">
        <v xml:space="preserve"> </v>
      </c>
      <c r="O82" t="str">
        <f>IF(VialIshai!D79="Não",VialIshai!C79, " ")</f>
        <v xml:space="preserve"> </v>
      </c>
      <c r="R82" t="str">
        <v xml:space="preserve"> </v>
      </c>
      <c r="S82" t="str">
        <f>IF(Yuriko!D83="Não",Yuriko!C83, " ")</f>
        <v xml:space="preserve"> </v>
      </c>
      <c r="V82" t="str">
        <v xml:space="preserve"> </v>
      </c>
      <c r="W82" t="str">
        <f>IF(Zedruu!D79="Não",Zedruu!C79, " ")</f>
        <v xml:space="preserve"> </v>
      </c>
    </row>
    <row r="83" spans="2:23" x14ac:dyDescent="0.25">
      <c r="B83" t="str">
        <v xml:space="preserve"> </v>
      </c>
      <c r="C83" t="str">
        <f>IF(Rielle!D83="Não",Rielle!C83, " ")</f>
        <v xml:space="preserve"> </v>
      </c>
      <c r="F83" t="str">
        <v xml:space="preserve"> </v>
      </c>
      <c r="G83" t="str">
        <f>IF(Alela!D82="Não",Alela!C82, " ")</f>
        <v xml:space="preserve"> </v>
      </c>
      <c r="J83" t="str">
        <v xml:space="preserve"> </v>
      </c>
      <c r="K83" t="str">
        <f>IF(Arcades!D90="Não",Arcades!C90, " ")</f>
        <v xml:space="preserve"> </v>
      </c>
      <c r="N83" t="str">
        <v xml:space="preserve"> </v>
      </c>
      <c r="O83" t="str">
        <f>IF(VialIshai!D83="Não",VialIshai!C83, " ")</f>
        <v>Chronomantic Escape</v>
      </c>
      <c r="R83" t="str">
        <v xml:space="preserve"> </v>
      </c>
      <c r="S83" t="str">
        <f>IF(Yuriko!D84="Não",Yuriko!C84, " ")</f>
        <v>Temporal Trespass</v>
      </c>
      <c r="V83" t="str">
        <v xml:space="preserve"> </v>
      </c>
      <c r="W83" t="str">
        <f>IF(Zedruu!D80="Não",Zedruu!C80, " ")</f>
        <v xml:space="preserve"> </v>
      </c>
    </row>
    <row r="84" spans="2:23" x14ac:dyDescent="0.25">
      <c r="B84" t="str">
        <v xml:space="preserve"> </v>
      </c>
      <c r="C84" t="str">
        <f>IF(Rielle!D84="Não",Rielle!C84, " ")</f>
        <v xml:space="preserve"> </v>
      </c>
      <c r="F84" t="str">
        <v xml:space="preserve"> </v>
      </c>
      <c r="G84" t="str">
        <f>IF(Alela!D83="Não",Alela!C83, " ")</f>
        <v xml:space="preserve"> </v>
      </c>
      <c r="J84" t="str">
        <v xml:space="preserve"> </v>
      </c>
      <c r="K84" t="str">
        <f>IF(Arcades!D74="Não",Arcades!C74, " ")</f>
        <v xml:space="preserve"> </v>
      </c>
      <c r="N84" t="str">
        <v xml:space="preserve"> </v>
      </c>
      <c r="O84" t="str">
        <f>IF(VialIshai!D99="Não",VialIshai!C99, " ")</f>
        <v xml:space="preserve"> </v>
      </c>
      <c r="R84" t="str">
        <v xml:space="preserve"> </v>
      </c>
      <c r="S84" t="str">
        <f>IF(Yuriko!D85="Não",Yuriko!C85, " ")</f>
        <v xml:space="preserve"> </v>
      </c>
      <c r="V84" t="str">
        <v xml:space="preserve"> </v>
      </c>
      <c r="W84" t="str">
        <f>IF(Zedruu!D81="Não",Zedruu!C81, " ")</f>
        <v xml:space="preserve"> </v>
      </c>
    </row>
    <row r="85" spans="2:23" x14ac:dyDescent="0.25">
      <c r="B85" t="str">
        <v xml:space="preserve"> </v>
      </c>
      <c r="C85" t="str">
        <f>IF(Rielle!D85="Não",Rielle!C85, " ")</f>
        <v xml:space="preserve"> </v>
      </c>
      <c r="F85" t="str">
        <v xml:space="preserve"> </v>
      </c>
      <c r="G85" t="str">
        <f>IF(Alela!D84="Não",Alela!C84, " ")</f>
        <v xml:space="preserve"> </v>
      </c>
      <c r="J85" t="str">
        <v xml:space="preserve"> </v>
      </c>
      <c r="K85" t="str">
        <f>IF(Arcades!D76="Não",Arcades!C76, " ")</f>
        <v xml:space="preserve"> </v>
      </c>
      <c r="N85" t="str">
        <v xml:space="preserve"> </v>
      </c>
      <c r="O85" t="str">
        <f>IF(VialIshai!D80="Não",VialIshai!C80, " ")</f>
        <v xml:space="preserve"> </v>
      </c>
      <c r="R85" t="str">
        <v xml:space="preserve"> </v>
      </c>
      <c r="S85" t="str">
        <f>IF(Yuriko!D86="Não",Yuriko!C86, " ")</f>
        <v xml:space="preserve"> </v>
      </c>
      <c r="V85" t="str">
        <v xml:space="preserve"> </v>
      </c>
      <c r="W85" t="str">
        <f>IF(Zedruu!D82="Não",Zedruu!C82, " ")</f>
        <v xml:space="preserve"> </v>
      </c>
    </row>
    <row r="86" spans="2:23" x14ac:dyDescent="0.25">
      <c r="B86" t="str">
        <v xml:space="preserve"> </v>
      </c>
      <c r="C86" t="str">
        <f>IF(Rielle!D86="Não",Rielle!C86, " ")</f>
        <v xml:space="preserve"> </v>
      </c>
      <c r="F86" t="str">
        <v xml:space="preserve"> </v>
      </c>
      <c r="G86" t="str">
        <f>IF(Alela!D85="Não",Alela!C85, " ")</f>
        <v xml:space="preserve"> </v>
      </c>
      <c r="J86" t="str">
        <v xml:space="preserve"> </v>
      </c>
      <c r="K86" t="str">
        <f>IF(Arcades!D82="Não",Arcades!C82, " ")</f>
        <v xml:space="preserve"> </v>
      </c>
      <c r="N86" t="str">
        <v xml:space="preserve"> </v>
      </c>
      <c r="O86" t="str">
        <f>IF(VialIshai!D81="Não",VialIshai!C81, " ")</f>
        <v xml:space="preserve"> </v>
      </c>
      <c r="R86" t="str">
        <v xml:space="preserve"> </v>
      </c>
      <c r="S86" t="str">
        <f>IF(Yuriko!D87="Não",Yuriko!C87, " ")</f>
        <v>Temporal Manipulation</v>
      </c>
      <c r="V86" t="str">
        <v xml:space="preserve"> </v>
      </c>
      <c r="W86" t="str">
        <f>IF(Zedruu!D83="Não",Zedruu!C83, " ")</f>
        <v xml:space="preserve"> </v>
      </c>
    </row>
    <row r="87" spans="2:23" x14ac:dyDescent="0.25">
      <c r="B87" t="str">
        <v xml:space="preserve"> </v>
      </c>
      <c r="C87" t="str">
        <f>IF(Rielle!D87="Não",Rielle!C87, " ")</f>
        <v xml:space="preserve"> </v>
      </c>
      <c r="F87" t="str">
        <v xml:space="preserve"> </v>
      </c>
      <c r="G87" t="str">
        <f>IF(Alela!D86="Não",Alela!C86, " ")</f>
        <v xml:space="preserve"> </v>
      </c>
      <c r="J87" t="str">
        <v xml:space="preserve"> </v>
      </c>
      <c r="K87" t="str">
        <f>IF(Arcades!D83="Não",Arcades!C83, " ")</f>
        <v xml:space="preserve"> </v>
      </c>
      <c r="N87" t="str">
        <v xml:space="preserve"> </v>
      </c>
      <c r="O87" t="str">
        <f>IF(VialIshai!D32="Não",VialIshai!C32, " ")</f>
        <v>Luxury Suite</v>
      </c>
      <c r="R87" t="str">
        <v xml:space="preserve"> </v>
      </c>
      <c r="S87" t="str">
        <f>IF(Yuriko!D88="Não",Yuriko!C88, " ")</f>
        <v xml:space="preserve"> </v>
      </c>
      <c r="V87" t="str">
        <v xml:space="preserve"> </v>
      </c>
      <c r="W87" t="str">
        <f>IF(Zedruu!D84="Não",Zedruu!C84, " ")</f>
        <v xml:space="preserve"> </v>
      </c>
    </row>
    <row r="88" spans="2:23" x14ac:dyDescent="0.25">
      <c r="B88" t="str">
        <v xml:space="preserve"> </v>
      </c>
      <c r="C88" t="str">
        <f>IF(Rielle!D59="Não",Rielle!C59, " ")</f>
        <v xml:space="preserve"> </v>
      </c>
      <c r="F88" t="str">
        <v xml:space="preserve"> </v>
      </c>
      <c r="G88" t="str">
        <f>IF(Alela!D87="Não",Alela!C87, " ")</f>
        <v xml:space="preserve"> </v>
      </c>
      <c r="J88" t="str">
        <v xml:space="preserve"> </v>
      </c>
      <c r="K88" t="str">
        <f>IF(Arcades!D84="Não",Arcades!C84, " ")</f>
        <v xml:space="preserve"> </v>
      </c>
      <c r="N88" t="str">
        <v xml:space="preserve"> </v>
      </c>
      <c r="O88" t="str">
        <f>IF(VialIshai!D33="Não",VialIshai!C33, " ")</f>
        <v>Spectator Seating</v>
      </c>
      <c r="R88" t="str">
        <v xml:space="preserve"> </v>
      </c>
      <c r="S88" t="str">
        <f>IF(Yuriko!D89="Não",Yuriko!C89, " ")</f>
        <v xml:space="preserve"> </v>
      </c>
      <c r="V88" t="str">
        <v xml:space="preserve"> </v>
      </c>
      <c r="W88" t="str">
        <f>IF(Zedruu!D86="Não",Zedruu!C86, " ")</f>
        <v xml:space="preserve"> </v>
      </c>
    </row>
    <row r="89" spans="2:23" x14ac:dyDescent="0.25">
      <c r="B89" t="str">
        <v xml:space="preserve"> </v>
      </c>
      <c r="C89" t="str">
        <f>IF(Rielle!D88="Não",Rielle!C88, " ")</f>
        <v xml:space="preserve"> </v>
      </c>
      <c r="F89" t="str">
        <v xml:space="preserve"> </v>
      </c>
      <c r="G89" t="str">
        <f>IF(Alela!D88="Não",Alela!C88, " ")</f>
        <v xml:space="preserve"> </v>
      </c>
      <c r="J89" t="str">
        <v xml:space="preserve"> </v>
      </c>
      <c r="K89" t="str">
        <f>IF(Arcades!D85="Não",Arcades!C85, " ")</f>
        <v xml:space="preserve"> </v>
      </c>
      <c r="N89" t="str">
        <v xml:space="preserve"> </v>
      </c>
      <c r="O89" t="str">
        <f>IF(VialIshai!D82="Não",VialIshai!C82, " ")</f>
        <v xml:space="preserve"> </v>
      </c>
      <c r="R89" t="str">
        <v xml:space="preserve"> </v>
      </c>
      <c r="S89" t="str">
        <f>IF(Yuriko!D90="Não",Yuriko!C90, " ")</f>
        <v xml:space="preserve"> </v>
      </c>
      <c r="V89" t="str">
        <v xml:space="preserve"> </v>
      </c>
      <c r="W89" t="str">
        <f>IF(Zedruu!D68="Não",Zedruu!C68, " ")</f>
        <v xml:space="preserve"> </v>
      </c>
    </row>
    <row r="90" spans="2:23" x14ac:dyDescent="0.25">
      <c r="B90" t="str">
        <v xml:space="preserve"> </v>
      </c>
      <c r="C90" t="str">
        <f>IF(Rielle!D90="Não",Rielle!C90, " ")</f>
        <v xml:space="preserve"> </v>
      </c>
      <c r="F90" t="str">
        <v xml:space="preserve"> </v>
      </c>
      <c r="G90" t="str">
        <f>IF(Alela!D89="Não",Alela!C89, " ")</f>
        <v xml:space="preserve"> </v>
      </c>
      <c r="J90" t="str">
        <v xml:space="preserve"> </v>
      </c>
      <c r="K90" t="str">
        <f>IF(Arcades!D86="Não",Arcades!C86, " ")</f>
        <v xml:space="preserve"> </v>
      </c>
      <c r="N90" t="str">
        <v xml:space="preserve"> </v>
      </c>
      <c r="O90" t="str">
        <f>IF(VialIshai!D86="Não",VialIshai!C86, " ")</f>
        <v>Mandate of Peace</v>
      </c>
      <c r="R90" t="str">
        <v xml:space="preserve"> </v>
      </c>
      <c r="S90" t="str">
        <f>IF(Yuriko!D91="Não",Yuriko!C91, " ")</f>
        <v xml:space="preserve"> </v>
      </c>
      <c r="V90" t="str">
        <v xml:space="preserve"> </v>
      </c>
      <c r="W90" t="str">
        <f>IF(Zedruu!D88="Não",Zedruu!C88, " ")</f>
        <v>Árbitro Silencioso</v>
      </c>
    </row>
    <row r="91" spans="2:23" x14ac:dyDescent="0.25">
      <c r="B91" t="str">
        <v xml:space="preserve"> </v>
      </c>
      <c r="C91" t="str">
        <f>IF(Rielle!D91="Não",Rielle!C91, " ")</f>
        <v>Ojer Pakpatiq, Era Profunda</v>
      </c>
      <c r="F91" t="str">
        <v xml:space="preserve"> </v>
      </c>
      <c r="G91" t="str">
        <f>IF(Alela!D90="Não",Alela!C90, " ")</f>
        <v>Renewed Solidarity</v>
      </c>
      <c r="J91" t="str">
        <v xml:space="preserve"> </v>
      </c>
      <c r="K91" t="str">
        <f>IF(Arcades!D87="Não",Arcades!C87, " ")</f>
        <v xml:space="preserve"> </v>
      </c>
      <c r="N91" t="str">
        <v xml:space="preserve"> </v>
      </c>
      <c r="O91" t="str">
        <f>IF(VialIshai!D94="Não",VialIshai!C94, " ")</f>
        <v xml:space="preserve"> </v>
      </c>
      <c r="R91" t="str">
        <v xml:space="preserve"> </v>
      </c>
      <c r="S91" t="str">
        <f>IF(Yuriko!D92="Não",Yuriko!C92, " ")</f>
        <v xml:space="preserve"> </v>
      </c>
      <c r="V91" t="str">
        <v xml:space="preserve"> </v>
      </c>
      <c r="W91" t="str">
        <f>IF(Zedruu!D63="Não",Zedruu!C63, " ")</f>
        <v xml:space="preserve"> </v>
      </c>
    </row>
    <row r="92" spans="2:23" x14ac:dyDescent="0.25">
      <c r="B92" t="str">
        <v xml:space="preserve"> </v>
      </c>
      <c r="C92" t="str">
        <f>IF(Rielle!D37="Não",Rielle!C37, " ")</f>
        <v xml:space="preserve"> </v>
      </c>
      <c r="F92" t="str">
        <v xml:space="preserve"> </v>
      </c>
      <c r="G92" t="str">
        <f>IF(Alela!D91="Não",Alela!C91, " ")</f>
        <v xml:space="preserve"> </v>
      </c>
      <c r="J92" t="str">
        <v xml:space="preserve"> </v>
      </c>
      <c r="K92" t="str">
        <f>IF(Arcades!D89="Não",Arcades!C89, " ")</f>
        <v xml:space="preserve"> </v>
      </c>
      <c r="N92" t="str">
        <v xml:space="preserve"> </v>
      </c>
      <c r="O92" t="str">
        <f>IF(VialIshai!D87="Não",VialIshai!C87, " ")</f>
        <v>Prismatic Strands</v>
      </c>
      <c r="R92" t="str">
        <v xml:space="preserve"> </v>
      </c>
      <c r="S92" t="str">
        <f>IF(Yuriko!D93="Não",Yuriko!C93, " ")</f>
        <v xml:space="preserve"> </v>
      </c>
      <c r="V92" t="str">
        <v xml:space="preserve"> </v>
      </c>
      <c r="W92" t="str">
        <f>IF(Zedruu!D85="Não",Zedruu!C85, " ")</f>
        <v xml:space="preserve"> </v>
      </c>
    </row>
    <row r="93" spans="2:23" x14ac:dyDescent="0.25">
      <c r="B93" t="str">
        <v xml:space="preserve"> </v>
      </c>
      <c r="C93" t="str">
        <f>IF(Rielle!D92="Não",Rielle!C92, " ")</f>
        <v xml:space="preserve"> </v>
      </c>
      <c r="F93" t="str">
        <v xml:space="preserve"> </v>
      </c>
      <c r="G93" t="str">
        <f>IF(Alela!D92="Não",Alela!C92, " ")</f>
        <v xml:space="preserve"> </v>
      </c>
      <c r="J93" t="str">
        <v xml:space="preserve"> </v>
      </c>
      <c r="K93" t="str">
        <f>IF(Arcades!D91="Não",Arcades!C91, " ")</f>
        <v xml:space="preserve"> </v>
      </c>
      <c r="N93" t="str">
        <v xml:space="preserve"> </v>
      </c>
      <c r="O93" t="str">
        <f>IF(VialIshai!D88="Não",VialIshai!C88, " ")</f>
        <v xml:space="preserve"> </v>
      </c>
      <c r="R93" t="str">
        <v xml:space="preserve"> </v>
      </c>
      <c r="S93" t="str">
        <f>IF(Yuriko!D94="Não",Yuriko!C94, " ")</f>
        <v xml:space="preserve"> </v>
      </c>
      <c r="V93" t="str">
        <v xml:space="preserve"> </v>
      </c>
      <c r="W93" t="str">
        <f>IF(Zedruu!D87="Não",Zedruu!C87, " ")</f>
        <v xml:space="preserve"> </v>
      </c>
    </row>
    <row r="94" spans="2:23" x14ac:dyDescent="0.25">
      <c r="B94" t="str">
        <v xml:space="preserve"> </v>
      </c>
      <c r="C94" t="str">
        <f>IF(Rielle!D93="Não",Rielle!C93, " ")</f>
        <v xml:space="preserve"> </v>
      </c>
      <c r="F94" t="str">
        <v xml:space="preserve"> </v>
      </c>
      <c r="G94" t="str">
        <f>IF(Alela!D93="Não",Alela!C93, " ")</f>
        <v xml:space="preserve"> </v>
      </c>
      <c r="J94" t="str">
        <v xml:space="preserve"> </v>
      </c>
      <c r="K94" t="str">
        <f>IF(Arcades!D92="Não",Arcades!C92, " ")</f>
        <v xml:space="preserve"> </v>
      </c>
      <c r="N94" t="str">
        <v xml:space="preserve"> </v>
      </c>
      <c r="O94" t="str">
        <f>IF(VialIshai!D89="Não",VialIshai!C89, " ")</f>
        <v xml:space="preserve"> </v>
      </c>
      <c r="R94" t="str">
        <v xml:space="preserve"> </v>
      </c>
      <c r="S94" t="str">
        <f>IF(Yuriko!D95="Não",Yuriko!C95, " ")</f>
        <v xml:space="preserve"> </v>
      </c>
      <c r="V94" t="str">
        <v xml:space="preserve"> </v>
      </c>
      <c r="W94" t="str">
        <f>IF(Zedruu!D65="Não",Zedruu!C65, " ")</f>
        <v xml:space="preserve"> </v>
      </c>
    </row>
    <row r="95" spans="2:23" x14ac:dyDescent="0.25">
      <c r="B95" t="str">
        <v xml:space="preserve"> </v>
      </c>
      <c r="C95" t="str">
        <f>IF(Rielle!D95="Não",Rielle!C95, " ")</f>
        <v xml:space="preserve"> </v>
      </c>
      <c r="F95" t="str">
        <v xml:space="preserve"> </v>
      </c>
      <c r="G95" t="str">
        <f>IF(Alela!D94="Não",Alela!C94, " ")</f>
        <v xml:space="preserve"> </v>
      </c>
      <c r="J95" t="str">
        <v xml:space="preserve"> </v>
      </c>
      <c r="K95" t="str">
        <f>IF(Arcades!D93="Não",Arcades!C93, " ")</f>
        <v xml:space="preserve"> </v>
      </c>
      <c r="N95" t="str">
        <v xml:space="preserve"> </v>
      </c>
      <c r="O95" t="str">
        <f>IF(VialIshai!D90="Não",VialIshai!C90, " ")</f>
        <v xml:space="preserve"> </v>
      </c>
      <c r="R95" t="str">
        <v xml:space="preserve"> </v>
      </c>
      <c r="S95" t="str">
        <f>IF(Yuriko!D41="Não",Yuriko!C41, " ")</f>
        <v xml:space="preserve"> </v>
      </c>
      <c r="V95" t="str">
        <v xml:space="preserve"> </v>
      </c>
      <c r="W95" t="str">
        <f>IF(Zedruu!D64="Não",Zedruu!C64, " ")</f>
        <v xml:space="preserve"> </v>
      </c>
    </row>
    <row r="96" spans="2:23" x14ac:dyDescent="0.25">
      <c r="B96" t="str">
        <v xml:space="preserve"> </v>
      </c>
      <c r="C96" t="str">
        <f>IF(Rielle!D96="Não",Rielle!C96, " ")</f>
        <v xml:space="preserve"> </v>
      </c>
      <c r="F96" t="str">
        <v xml:space="preserve"> </v>
      </c>
      <c r="G96" t="str">
        <f>IF(Alela!D95="Não",Alela!C95, " ")</f>
        <v xml:space="preserve"> </v>
      </c>
      <c r="J96" t="str">
        <v xml:space="preserve"> </v>
      </c>
      <c r="K96" t="str">
        <f>IF(Arcades!D96="Não",Arcades!C96, " ")</f>
        <v xml:space="preserve"> </v>
      </c>
      <c r="N96" t="str">
        <v xml:space="preserve"> </v>
      </c>
      <c r="O96" t="str">
        <f>IF(VialIshai!D96="Não",VialIshai!C96, " ")</f>
        <v xml:space="preserve"> </v>
      </c>
      <c r="R96" t="str">
        <v xml:space="preserve"> </v>
      </c>
      <c r="S96" t="str">
        <f>IF(Yuriko!D96="Não",Yuriko!C96, " ")</f>
        <v xml:space="preserve"> </v>
      </c>
      <c r="V96" t="str">
        <v xml:space="preserve"> </v>
      </c>
      <c r="W96" t="str">
        <f>IF(Zedruu!D89="Não",Zedruu!C89, " ")</f>
        <v xml:space="preserve"> </v>
      </c>
    </row>
    <row r="97" spans="2:23" x14ac:dyDescent="0.25">
      <c r="B97" t="str">
        <v xml:space="preserve"> </v>
      </c>
      <c r="C97" t="str">
        <f>IF(Rielle!D97="Não",Rielle!C97, " ")</f>
        <v xml:space="preserve"> </v>
      </c>
      <c r="F97" t="str">
        <v xml:space="preserve"> </v>
      </c>
      <c r="G97" t="str">
        <f>IF(Alela!D96="Não",Alela!C96, " ")</f>
        <v xml:space="preserve"> </v>
      </c>
      <c r="J97" t="str">
        <v xml:space="preserve"> </v>
      </c>
      <c r="K97" t="str">
        <f>IF(Arcades!D97="Não",Arcades!C97, " ")</f>
        <v xml:space="preserve"> </v>
      </c>
      <c r="N97" t="str">
        <v xml:space="preserve"> </v>
      </c>
      <c r="O97" t="str">
        <f>IF(VialIshai!D92="Não",VialIshai!C92, " ")</f>
        <v>Batwing Brume</v>
      </c>
      <c r="R97" t="str">
        <v xml:space="preserve"> </v>
      </c>
      <c r="S97" t="str">
        <f>IF(Yuriko!D97="Não",Yuriko!C97, " ")</f>
        <v xml:space="preserve"> </v>
      </c>
      <c r="V97" t="str">
        <v xml:space="preserve"> </v>
      </c>
      <c r="W97" t="str">
        <f>IF(Zedruu!D97="Não",Zedruu!C97, " ")</f>
        <v xml:space="preserve"> </v>
      </c>
    </row>
    <row r="98" spans="2:23" x14ac:dyDescent="0.25">
      <c r="B98" t="str">
        <v xml:space="preserve"> </v>
      </c>
      <c r="C98" t="str">
        <f>IF(Rielle!D98="Não",Rielle!C98, " ")</f>
        <v xml:space="preserve"> </v>
      </c>
      <c r="F98" t="str">
        <v xml:space="preserve"> </v>
      </c>
      <c r="G98" t="str">
        <f>IF(Alela!D97="Não",Alela!C97, " ")</f>
        <v xml:space="preserve"> </v>
      </c>
      <c r="J98" t="str">
        <v xml:space="preserve"> </v>
      </c>
      <c r="K98" t="str">
        <f>IF(Arcades!D98="Não",Arcades!C98, " ")</f>
        <v xml:space="preserve"> </v>
      </c>
      <c r="N98" t="str">
        <v xml:space="preserve"> </v>
      </c>
      <c r="O98" t="str">
        <f>IF(VialIshai!D93="Não",VialIshai!C93, " ")</f>
        <v xml:space="preserve"> </v>
      </c>
      <c r="R98" t="str">
        <v xml:space="preserve"> </v>
      </c>
      <c r="S98" t="str">
        <f>IF(Yuriko!D98="Não",Yuriko!C98, " ")</f>
        <v xml:space="preserve"> </v>
      </c>
      <c r="V98" t="str">
        <v xml:space="preserve"> </v>
      </c>
      <c r="W98" t="str">
        <f>IF(Zedruu!D98="Não",Zedruu!C98, " ")</f>
        <v xml:space="preserve"> </v>
      </c>
    </row>
    <row r="99" spans="2:23" x14ac:dyDescent="0.25">
      <c r="B99" t="str">
        <v xml:space="preserve"> </v>
      </c>
      <c r="C99" t="str">
        <f>IF(Rielle!D99="Não",Rielle!C99, " ")</f>
        <v xml:space="preserve"> </v>
      </c>
      <c r="F99" t="str">
        <v xml:space="preserve"> </v>
      </c>
      <c r="G99" t="str">
        <f>IF(Alela!D98="Não",Alela!C98, " ")</f>
        <v xml:space="preserve"> </v>
      </c>
      <c r="J99" t="str">
        <v xml:space="preserve"> </v>
      </c>
      <c r="K99" t="str">
        <f>IF(Arcades!D99="Não",Arcades!C99, " ")</f>
        <v xml:space="preserve"> </v>
      </c>
      <c r="N99" t="str">
        <v xml:space="preserve"> </v>
      </c>
      <c r="O99" t="str">
        <f>IF(VialIshai!D98="Não",VialIshai!C98, " ")</f>
        <v xml:space="preserve"> </v>
      </c>
      <c r="R99" t="str">
        <v xml:space="preserve"> </v>
      </c>
      <c r="S99" t="str">
        <f>IF(Yuriko!D99="Não",Yuriko!C99, " ")</f>
        <v xml:space="preserve"> </v>
      </c>
      <c r="V99" t="str">
        <v xml:space="preserve"> </v>
      </c>
      <c r="W99" t="str">
        <f>IF(Zedruu!D99="Não",Zedruu!C99, " ")</f>
        <v xml:space="preserve"> </v>
      </c>
    </row>
    <row r="100" spans="2:23" x14ac:dyDescent="0.25">
      <c r="B100" t="str">
        <v xml:space="preserve"> </v>
      </c>
      <c r="C100" t="str">
        <f>IF(Rielle!D100="Não",Rielle!C100, " ")</f>
        <v xml:space="preserve"> </v>
      </c>
      <c r="F100" t="str">
        <v xml:space="preserve"> </v>
      </c>
      <c r="G100" t="str">
        <f>IF(Alela!D101="Não",Alela!C101, " ")</f>
        <v xml:space="preserve"> </v>
      </c>
      <c r="J100" t="str">
        <v xml:space="preserve"> </v>
      </c>
      <c r="K100" t="str">
        <f>IF(Arcades!D100="Não",Arcades!C100, " ")</f>
        <v xml:space="preserve"> </v>
      </c>
      <c r="N100" t="str">
        <v xml:space="preserve"> </v>
      </c>
      <c r="O100" t="str">
        <f>IF(VialIshai!D100="Não",VialIshai!C100, " ")</f>
        <v xml:space="preserve"> </v>
      </c>
      <c r="R100" t="str">
        <v xml:space="preserve"> </v>
      </c>
      <c r="S100" t="str">
        <f>IF(Yuriko!D100="Não",Yuriko!C100, " ")</f>
        <v>Dour Port-Mage</v>
      </c>
      <c r="V100" t="str">
        <v xml:space="preserve"> </v>
      </c>
      <c r="W100" t="str">
        <f>IF(Zedruu!D100="Não",Zedruu!C100, " ")</f>
        <v xml:space="preserve"> </v>
      </c>
    </row>
    <row r="101" spans="2:23" x14ac:dyDescent="0.25">
      <c r="B101" t="str">
        <v xml:space="preserve"> </v>
      </c>
      <c r="C101" t="str">
        <f>IF(Rielle!D101="Não",Rielle!C101, " ")</f>
        <v xml:space="preserve"> </v>
      </c>
      <c r="F101" t="str">
        <v xml:space="preserve"> </v>
      </c>
      <c r="G101" t="str">
        <f>IF(Alela!D60="Não",Alela!C60, " ")</f>
        <v xml:space="preserve"> </v>
      </c>
      <c r="J101" t="str">
        <v xml:space="preserve"> </v>
      </c>
      <c r="K101" t="str">
        <f>IF(Arcades!D101="Não",Arcades!C101, " ")</f>
        <v xml:space="preserve"> </v>
      </c>
      <c r="N101" t="str">
        <v xml:space="preserve"> </v>
      </c>
      <c r="O101" t="str">
        <f>IF(VialIshai!D101="Não",VialIshai!C101, " ")</f>
        <v xml:space="preserve"> </v>
      </c>
      <c r="R101" t="str">
        <v xml:space="preserve"> </v>
      </c>
      <c r="S101" t="str">
        <f>IF(Yuriko!D101="Não",Yuriko!C101, " ")</f>
        <v xml:space="preserve"> </v>
      </c>
      <c r="V101" t="str">
        <v xml:space="preserve"> </v>
      </c>
      <c r="W101" t="str">
        <f>IF(Zedruu!D101="Não",Zedruu!C101, " ")</f>
        <v xml:space="preserve"> </v>
      </c>
    </row>
    <row r="102" spans="2:23" x14ac:dyDescent="0.25">
      <c r="O102" t="str">
        <f>IF(VialIshai!D102="Não",VialIshai!C102, " ")</f>
        <v xml:space="preserve"> </v>
      </c>
      <c r="S102" t="str">
        <f>IF(Yuriko!D102="Não",Yuriko!C102, " ")</f>
        <v xml:space="preserve"> </v>
      </c>
    </row>
    <row r="103" spans="2:23" x14ac:dyDescent="0.25">
      <c r="O103" t="str">
        <f>IF(VialIshai!D103="Não",VialIshai!C103, " ")</f>
        <v xml:space="preserve"> </v>
      </c>
      <c r="S103" t="str">
        <f>IF(Yuriko!D103="Não",Yuriko!C103, " ")</f>
        <v xml:space="preserve"> </v>
      </c>
    </row>
    <row r="104" spans="2:23" x14ac:dyDescent="0.25">
      <c r="O104" t="str">
        <f>IF(VialIshai!D104="Não",VialIshai!C104, " ")</f>
        <v xml:space="preserve"> </v>
      </c>
      <c r="S104" t="str">
        <f>IF(Yuriko!D104="Não",Yuriko!C104, " ")</f>
        <v xml:space="preserve"> </v>
      </c>
    </row>
    <row r="105" spans="2:23" x14ac:dyDescent="0.25">
      <c r="O105" t="str">
        <f>IF(VialIshai!D105="Não",VialIshai!C105, " ")</f>
        <v xml:space="preserve"> </v>
      </c>
      <c r="S105" t="str">
        <f>IF(Yuriko!D105="Não",Yuriko!C105, " ")</f>
        <v xml:space="preserve"> </v>
      </c>
    </row>
    <row r="106" spans="2:23" x14ac:dyDescent="0.25">
      <c r="S106" t="str">
        <f>IF(Yuriko!D106="Não",Yuriko!C106, " ")</f>
        <v xml:space="preserve"> </v>
      </c>
    </row>
  </sheetData>
  <mergeCells count="6">
    <mergeCell ref="U1:W2"/>
    <mergeCell ref="A1:C2"/>
    <mergeCell ref="E1:G2"/>
    <mergeCell ref="I1:K2"/>
    <mergeCell ref="M1:O2"/>
    <mergeCell ref="Q1:S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D4EF2-0AB9-46E3-A851-1AC6288410C6}">
  <sheetPr codeName="Planilha5"/>
  <dimension ref="A1:X200"/>
  <sheetViews>
    <sheetView workbookViewId="0">
      <pane ySplit="2" topLeftCell="A3" activePane="bottomLeft" state="frozen"/>
      <selection activeCell="E39" sqref="E39"/>
      <selection pane="bottomLeft" activeCell="J15" sqref="J15"/>
    </sheetView>
  </sheetViews>
  <sheetFormatPr defaultRowHeight="15" x14ac:dyDescent="0.25"/>
  <cols>
    <col min="1" max="1" width="5.42578125" bestFit="1" customWidth="1"/>
    <col min="2" max="2" width="24.140625" bestFit="1" customWidth="1"/>
    <col min="3" max="3" width="14.7109375" hidden="1" customWidth="1"/>
    <col min="4" max="4" width="2.7109375" style="9" customWidth="1"/>
    <col min="5" max="5" width="5.42578125" bestFit="1" customWidth="1"/>
    <col min="6" max="6" width="29.42578125" bestFit="1" customWidth="1"/>
    <col min="7" max="7" width="14.7109375" hidden="1" customWidth="1"/>
    <col min="8" max="8" width="2.7109375" style="9" customWidth="1"/>
    <col min="9" max="9" width="5.42578125" bestFit="1" customWidth="1"/>
    <col min="10" max="10" width="22" bestFit="1" customWidth="1"/>
    <col min="11" max="11" width="14.7109375" hidden="1" customWidth="1"/>
    <col min="12" max="12" width="2.7109375" style="9" customWidth="1"/>
    <col min="13" max="13" width="5.42578125" bestFit="1" customWidth="1"/>
    <col min="14" max="14" width="20.7109375" customWidth="1"/>
    <col min="15" max="15" width="14.7109375" hidden="1" customWidth="1"/>
    <col min="16" max="16" width="2.7109375" style="9" customWidth="1"/>
    <col min="17" max="17" width="5.42578125" bestFit="1" customWidth="1"/>
    <col min="18" max="18" width="28.7109375" bestFit="1" customWidth="1"/>
    <col min="19" max="19" width="14.7109375" hidden="1" customWidth="1"/>
    <col min="20" max="20" width="2.7109375" style="9" customWidth="1"/>
    <col min="21" max="21" width="5.42578125" bestFit="1" customWidth="1"/>
    <col min="22" max="22" width="25.85546875" bestFit="1" customWidth="1"/>
    <col min="23" max="23" width="14.7109375" hidden="1" customWidth="1"/>
    <col min="24" max="24" width="2.7109375" style="9" customWidth="1"/>
  </cols>
  <sheetData>
    <row r="1" spans="1:24" s="4" customFormat="1" ht="14.45" customHeight="1" x14ac:dyDescent="0.25">
      <c r="A1" s="27" t="s">
        <v>28</v>
      </c>
      <c r="B1" s="27"/>
      <c r="C1" s="27"/>
      <c r="D1" s="8"/>
      <c r="E1" s="27" t="s">
        <v>29</v>
      </c>
      <c r="F1" s="27"/>
      <c r="G1" s="27"/>
      <c r="H1" s="8"/>
      <c r="I1" s="27" t="s">
        <v>30</v>
      </c>
      <c r="J1" s="27"/>
      <c r="K1" s="27"/>
      <c r="L1" s="8"/>
      <c r="M1" s="27" t="s">
        <v>31</v>
      </c>
      <c r="N1" s="27"/>
      <c r="O1" s="27"/>
      <c r="P1" s="8"/>
      <c r="Q1" s="27" t="s">
        <v>32</v>
      </c>
      <c r="R1" s="27"/>
      <c r="S1" s="27"/>
      <c r="T1" s="8"/>
      <c r="U1" s="27" t="s">
        <v>33</v>
      </c>
      <c r="V1" s="27"/>
      <c r="W1" s="27"/>
      <c r="X1" s="8"/>
    </row>
    <row r="2" spans="1:24" s="4" customFormat="1" ht="14.45" customHeight="1" x14ac:dyDescent="0.25">
      <c r="A2" s="27"/>
      <c r="B2" s="27"/>
      <c r="C2" s="27"/>
      <c r="D2" s="8"/>
      <c r="E2" s="27"/>
      <c r="F2" s="27"/>
      <c r="G2" s="27"/>
      <c r="H2" s="8"/>
      <c r="I2" s="27"/>
      <c r="J2" s="27"/>
      <c r="K2" s="27"/>
      <c r="L2" s="8"/>
      <c r="M2" s="27"/>
      <c r="N2" s="27"/>
      <c r="O2" s="27"/>
      <c r="P2" s="8"/>
      <c r="Q2" s="27"/>
      <c r="R2" s="27"/>
      <c r="S2" s="27"/>
      <c r="T2" s="8"/>
      <c r="U2" s="27"/>
      <c r="V2" s="27"/>
      <c r="W2" s="27"/>
      <c r="X2" s="8"/>
    </row>
    <row r="3" spans="1:24" x14ac:dyDescent="0.25">
      <c r="A3" s="4" t="s">
        <v>21</v>
      </c>
      <c r="B3" t="str" cm="1">
        <f t="array" ref="B3:B101">_xlfn._xlws.SORT(C3:C101,1,-1,0)</f>
        <v>Saw in Half</v>
      </c>
      <c r="C3" t="str">
        <f>IF(Inalla!D3="Não",Inalla!C3, "")</f>
        <v/>
      </c>
      <c r="E3" s="4" t="s">
        <v>21</v>
      </c>
      <c r="F3" t="str" cm="1">
        <f t="array" ref="F3:F101">_xlfn._xlws.SORT(G3:G101,1,-1,0)</f>
        <v>Vault of the Archangel</v>
      </c>
      <c r="G3" t="str">
        <f>IF(Carlos!D3="Não",Carlos!C3, " ")</f>
        <v xml:space="preserve"> </v>
      </c>
      <c r="I3" s="4" t="s">
        <v>21</v>
      </c>
      <c r="J3" t="str" cm="1">
        <f t="array" ref="J3:J101">_xlfn._xlws.SORT(K3:K101,1,-1,0)</f>
        <v>Unstoppable Plan</v>
      </c>
      <c r="K3" t="str">
        <f>IF(Oona!D3="Não",Oona!C3, " ")</f>
        <v>Jidoor, Aristocratic Capital // Overture</v>
      </c>
      <c r="M3" s="4" t="s">
        <v>21</v>
      </c>
      <c r="N3" t="str" cm="1">
        <f t="array" ref="N3:N101">_xlfn._xlws.SORT(O3:O101,1,-1,0)</f>
        <v>The Masamune</v>
      </c>
      <c r="O3" t="str">
        <f>IF(Kresh!D3="Não",Kresh!C3, " ")</f>
        <v xml:space="preserve"> </v>
      </c>
      <c r="Q3" s="4" t="s">
        <v>21</v>
      </c>
      <c r="R3" t="str" cm="1">
        <f t="array" ref="R3:R101">_xlfn._xlws.SORT(S3:S101,1,-1,0)</f>
        <v>Stoneforge Mystic</v>
      </c>
      <c r="S3" t="str">
        <f>IF(Akiri!D3="Não",Akiri!C3, " ")</f>
        <v xml:space="preserve"> </v>
      </c>
      <c r="U3" s="4" t="s">
        <v>21</v>
      </c>
      <c r="V3" t="str" cm="1">
        <f t="array" ref="V3:V101">_xlfn._xlws.SORT(W3:W101,1,-1,0)</f>
        <v>Weapons Manufacturing</v>
      </c>
      <c r="W3" t="str">
        <f>IF(Breya!D3="Não",Breya!C3, " ")</f>
        <v xml:space="preserve"> </v>
      </c>
    </row>
    <row r="4" spans="1:24" x14ac:dyDescent="0.25">
      <c r="A4" s="3">
        <f>Inalla!G3</f>
        <v>13</v>
      </c>
      <c r="B4" t="str">
        <v>Reliquary Tower</v>
      </c>
      <c r="C4" t="str">
        <f>IF(Inalla!D3="Não",Inalla!C3, "")</f>
        <v/>
      </c>
      <c r="E4" s="3">
        <f>Carlos!G3</f>
        <v>17</v>
      </c>
      <c r="F4" t="str">
        <v>Unholy Annex // Ritual Chamber</v>
      </c>
      <c r="G4" t="str">
        <f>IF(Carlos!D3="Não",Carlos!C4, " ")</f>
        <v xml:space="preserve"> </v>
      </c>
      <c r="I4" s="3">
        <f>Oona!G3</f>
        <v>9</v>
      </c>
      <c r="J4" t="str">
        <v>Três Passos à Frente</v>
      </c>
      <c r="K4" t="str">
        <f>IF(Oona!D3="Não",Oona!C4, " ")</f>
        <v>Santuário Místico</v>
      </c>
      <c r="M4" s="3">
        <f>Kresh!G3</f>
        <v>9</v>
      </c>
      <c r="N4" t="str">
        <v>Saqueador Amaldiçoado</v>
      </c>
      <c r="O4" t="str">
        <f>IF(Kresh!D3="Não",Kresh!C4, " ")</f>
        <v xml:space="preserve"> </v>
      </c>
      <c r="Q4" s="3">
        <f>Akiri!G3</f>
        <v>12</v>
      </c>
      <c r="R4" t="str">
        <v>Lightning Greaves</v>
      </c>
      <c r="S4" t="str">
        <f>IF(Akiri!D3="Não",Akiri!C4, " ")</f>
        <v xml:space="preserve"> </v>
      </c>
      <c r="U4" s="3">
        <f>Breya!G3</f>
        <v>6</v>
      </c>
      <c r="V4" t="str">
        <v>The Mycosynth Gardens</v>
      </c>
      <c r="W4" t="str">
        <f>IF(Breya!D3="Não",Breya!C4, " ")</f>
        <v xml:space="preserve"> </v>
      </c>
    </row>
    <row r="5" spans="1:24" x14ac:dyDescent="0.25">
      <c r="B5" t="str">
        <v>Negociador de Almas do Viveiro</v>
      </c>
      <c r="C5" t="str">
        <f>IF(Inalla!D5="Não",Inalla!C5, "")</f>
        <v/>
      </c>
      <c r="F5" t="str">
        <v>Terramorphic Expanse</v>
      </c>
      <c r="G5" t="str">
        <f>IF(Carlos!D5="Não",Carlos!C5, " ")</f>
        <v xml:space="preserve"> </v>
      </c>
      <c r="J5" t="str">
        <v>The Eternity Elevator</v>
      </c>
      <c r="K5" t="str">
        <f>IF(Oona!D5="Não",Oona!C5, " ")</f>
        <v xml:space="preserve"> </v>
      </c>
      <c r="N5" t="str">
        <v>Red XIII, Proud Warrior</v>
      </c>
      <c r="O5" t="str">
        <f>IF(Kresh!D5="Não",Kresh!C5, " ")</f>
        <v xml:space="preserve"> </v>
      </c>
      <c r="R5" t="str">
        <v>Kellan, the Fae-Blooded // Birthright Boon</v>
      </c>
      <c r="S5" t="str">
        <f>IF(Akiri!D5="Não",Akiri!C5, " ")</f>
        <v xml:space="preserve"> </v>
      </c>
      <c r="V5" t="str">
        <v>Reflecting Pool</v>
      </c>
      <c r="W5" t="str">
        <f>IF(Breya!D5="Não",Breya!C5, " ")</f>
        <v xml:space="preserve"> </v>
      </c>
    </row>
    <row r="6" spans="1:24" x14ac:dyDescent="0.25">
      <c r="B6" t="str">
        <v>Molten Echoes</v>
      </c>
      <c r="C6" t="str">
        <f>IF(Inalla!D6="Não",Inalla!C6, "")</f>
        <v/>
      </c>
      <c r="F6" t="str">
        <v>Takenuma, Charco Abandonado</v>
      </c>
      <c r="G6" t="str">
        <f>IF(Carlos!D6="Não",Carlos!C6, " ")</f>
        <v>Terramorphic Expanse</v>
      </c>
      <c r="J6" t="str">
        <v>Sonic Screwdriver</v>
      </c>
      <c r="K6" t="str">
        <f>IF(Oona!D6="Não",Oona!C6, " ")</f>
        <v xml:space="preserve"> </v>
      </c>
      <c r="N6" t="str">
        <v>Pain for All</v>
      </c>
      <c r="O6" t="str">
        <f>IF(Kresh!D6="Não",Kresh!C6, " ")</f>
        <v xml:space="preserve"> </v>
      </c>
      <c r="R6" t="str">
        <v>Jitte Perdida</v>
      </c>
      <c r="S6" t="str">
        <f>IF(Akiri!D6="Não",Akiri!C6, " ")</f>
        <v xml:space="preserve"> </v>
      </c>
      <c r="V6" t="str">
        <v>Long-Range Sensor</v>
      </c>
      <c r="W6" t="str">
        <f>IF(Breya!D6="Não",Breya!C6, " ")</f>
        <v xml:space="preserve"> </v>
      </c>
    </row>
    <row r="7" spans="1:24" x14ac:dyDescent="0.25">
      <c r="B7" t="str">
        <v>Mistbind Clique</v>
      </c>
      <c r="C7" t="str">
        <f>IF(Inalla!D7="Não",Inalla!C7, "")</f>
        <v/>
      </c>
      <c r="F7" t="str">
        <v>Sorin da Casa Markov</v>
      </c>
      <c r="G7" t="str">
        <f>IF(Carlos!D7="Não",Carlos!C7, " ")</f>
        <v xml:space="preserve"> </v>
      </c>
      <c r="J7" t="str">
        <v>Season of Weaving</v>
      </c>
      <c r="K7" t="str">
        <f>IF(Oona!D7="Não",Oona!C7, " ")</f>
        <v xml:space="preserve"> </v>
      </c>
      <c r="N7" t="str">
        <v>Nibelheim Aflame</v>
      </c>
      <c r="O7" t="str">
        <f>IF(Kresh!D7="Não",Kresh!C7, " ")</f>
        <v xml:space="preserve"> </v>
      </c>
      <c r="R7" t="str">
        <v>Firion, Wild Rose Warrior</v>
      </c>
      <c r="S7" t="str">
        <f>IF(Akiri!D7="Não",Akiri!C7, " ")</f>
        <v xml:space="preserve"> </v>
      </c>
      <c r="V7" t="str">
        <v>Daretti, Ingenious Iconoclast</v>
      </c>
      <c r="W7" t="str">
        <f>IF(Breya!D7="Não",Breya!C7, " ")</f>
        <v xml:space="preserve"> </v>
      </c>
    </row>
    <row r="8" spans="1:24" x14ac:dyDescent="0.25">
      <c r="B8" t="str">
        <v>Merchant of Secrets</v>
      </c>
      <c r="C8" t="str">
        <f>IF(Inalla!D8="Não",Inalla!C8, "")</f>
        <v/>
      </c>
      <c r="F8" t="str">
        <v>Mother of runes</v>
      </c>
      <c r="G8" t="str">
        <f>IF(Carlos!D8="Não",Carlos!C8, " ")</f>
        <v>Bojuka Bog</v>
      </c>
      <c r="J8" t="str">
        <v>Scour for Scrap</v>
      </c>
      <c r="K8" t="str">
        <f>IF(Oona!D8="Não",Oona!C8, " ")</f>
        <v xml:space="preserve"> </v>
      </c>
      <c r="N8" t="str">
        <v>Jenova, Ancient Calamity</v>
      </c>
      <c r="O8" t="str">
        <f>IF(Kresh!D8="Não",Kresh!C8, " ")</f>
        <v xml:space="preserve"> </v>
      </c>
      <c r="R8" t="str">
        <v>Espada de Verdade e Justiça</v>
      </c>
      <c r="S8" t="str">
        <f>IF(Akiri!D8="Não",Akiri!C8, " ")</f>
        <v xml:space="preserve"> </v>
      </c>
      <c r="V8" t="str">
        <v>Adagia, Windswept Bastion</v>
      </c>
      <c r="W8" t="str">
        <f>IF(Breya!D8="Não",Breya!C8, " ")</f>
        <v xml:space="preserve"> </v>
      </c>
    </row>
    <row r="9" spans="1:24" x14ac:dyDescent="0.25">
      <c r="B9" t="str">
        <v>Glasspool Mimic</v>
      </c>
      <c r="C9" t="str">
        <f>IF(Inalla!D9="Não",Inalla!C9, "")</f>
        <v/>
      </c>
      <c r="F9" t="str">
        <v>Keen Duelist</v>
      </c>
      <c r="G9" t="str">
        <f>IF(Carlos!D9="Não",Carlos!C9, " ")</f>
        <v xml:space="preserve"> </v>
      </c>
      <c r="J9" t="str">
        <v>Santuário Místico</v>
      </c>
      <c r="K9" t="str">
        <f>IF(Oona!D9="Não",Oona!C9, " ")</f>
        <v xml:space="preserve"> </v>
      </c>
      <c r="N9" t="str">
        <v>High-Society Hunter</v>
      </c>
      <c r="O9" t="str">
        <f>IF(Kresh!D9="Não",Kresh!C9, " ")</f>
        <v xml:space="preserve"> </v>
      </c>
      <c r="R9" t="str">
        <v>Espada de Luz e Sombra</v>
      </c>
      <c r="S9" t="str">
        <f>IF(Akiri!D9="Não",Akiri!C9, " ")</f>
        <v xml:space="preserve"> </v>
      </c>
      <c r="V9" t="str">
        <v xml:space="preserve"> </v>
      </c>
      <c r="W9" t="str">
        <f>IF(Breya!D9="Não",Breya!C9, " ")</f>
        <v>The Mycosynth Gardens</v>
      </c>
    </row>
    <row r="10" spans="1:24" x14ac:dyDescent="0.25">
      <c r="B10" t="str">
        <v>Dour Port-Mage</v>
      </c>
      <c r="C10" t="str">
        <f>IF(Inalla!D10="Não",Inalla!C10, "")</f>
        <v>Reliquary Tower</v>
      </c>
      <c r="F10" t="str">
        <v>Hierofante de Elenda</v>
      </c>
      <c r="G10" t="str">
        <f>IF(Carlos!D10="Não",Carlos!C10, " ")</f>
        <v xml:space="preserve"> </v>
      </c>
      <c r="J10" t="str">
        <v>Moonlit Meditation</v>
      </c>
      <c r="K10" t="str">
        <f>IF(Oona!D10="Não",Oona!C10, " ")</f>
        <v xml:space="preserve"> </v>
      </c>
      <c r="N10" t="str">
        <v>Chandra's Ignition</v>
      </c>
      <c r="O10" t="str">
        <f>IF(Kresh!D10="Não",Kresh!C10, " ")</f>
        <v xml:space="preserve"> </v>
      </c>
      <c r="R10" t="str">
        <v>Espada de Fogo e Gelo</v>
      </c>
      <c r="S10" t="str">
        <f>IF(Akiri!D10="Não",Akiri!C10, " ")</f>
        <v xml:space="preserve"> </v>
      </c>
      <c r="V10" t="str">
        <v xml:space="preserve"> </v>
      </c>
      <c r="W10" t="str">
        <f>IF(Breya!D10="Não",Breya!C10, " ")</f>
        <v xml:space="preserve"> </v>
      </c>
    </row>
    <row r="11" spans="1:24" x14ac:dyDescent="0.25">
      <c r="B11" t="str">
        <v>Diário de Tarrian</v>
      </c>
      <c r="C11" t="str">
        <f>IF(Inalla!D11="Não",Inalla!C11, "")</f>
        <v/>
      </c>
      <c r="F11" t="str">
        <v>Haliya, Guided by Light</v>
      </c>
      <c r="G11" t="str">
        <f>IF(Carlos!D11="Não",Carlos!C11, " ")</f>
        <v xml:space="preserve"> </v>
      </c>
      <c r="J11" t="str">
        <v>Jidoor, Aristocratic Capital // Overture</v>
      </c>
      <c r="K11" t="str">
        <f>IF(Oona!D11="Não",Oona!C11, " ")</f>
        <v xml:space="preserve"> </v>
      </c>
      <c r="N11" t="str">
        <v>Bugenhagen, Wise Elder</v>
      </c>
      <c r="O11" t="str">
        <f>IF(Kresh!D11="Não",Kresh!C11, " ")</f>
        <v xml:space="preserve"> </v>
      </c>
      <c r="R11" t="str">
        <v>Espada de Banquete e Fome</v>
      </c>
      <c r="S11" t="str">
        <f>IF(Akiri!D11="Não",Akiri!C11, " ")</f>
        <v xml:space="preserve"> </v>
      </c>
      <c r="V11" t="str">
        <v xml:space="preserve"> </v>
      </c>
      <c r="W11" t="str">
        <f>IF(Breya!D11="Não",Breya!C11, " ")</f>
        <v>Reflecting Pool</v>
      </c>
    </row>
    <row r="12" spans="1:24" x14ac:dyDescent="0.25">
      <c r="B12" t="str">
        <v>Burnt Offering</v>
      </c>
      <c r="C12" t="str">
        <f>IF(Inalla!D12="Não",Inalla!C12, "")</f>
        <v/>
      </c>
      <c r="F12" t="str">
        <v>Guia das Almas</v>
      </c>
      <c r="G12" t="str">
        <f>IF(Carlos!D12="Não",Carlos!C12, " ")</f>
        <v xml:space="preserve"> </v>
      </c>
      <c r="J12" t="str">
        <v>Invasion of Segovia</v>
      </c>
      <c r="K12" t="str">
        <f>IF(Oona!D12="Não",Oona!C12, " ")</f>
        <v xml:space="preserve"> </v>
      </c>
      <c r="N12" t="str">
        <v xml:space="preserve"> </v>
      </c>
      <c r="O12" t="str">
        <f>IF(Kresh!D12="Não",Kresh!C12, " ")</f>
        <v xml:space="preserve"> </v>
      </c>
      <c r="R12" t="str">
        <v>Espada da Riqueza e do Poder</v>
      </c>
      <c r="S12" t="str">
        <f>IF(Akiri!D12="Não",Akiri!C12, " ")</f>
        <v xml:space="preserve"> </v>
      </c>
      <c r="V12" t="str">
        <v xml:space="preserve"> </v>
      </c>
      <c r="W12" t="str">
        <f>IF(Breya!D12="Não",Breya!C12, " ")</f>
        <v xml:space="preserve"> </v>
      </c>
    </row>
    <row r="13" spans="1:24" x14ac:dyDescent="0.25">
      <c r="B13" t="str">
        <v>Bojuka Bog</v>
      </c>
      <c r="C13" t="str">
        <f>IF(Inalla!D13="Não",Inalla!C13, "")</f>
        <v/>
      </c>
      <c r="F13" t="str">
        <v>Giver of Runes</v>
      </c>
      <c r="G13" t="str">
        <f>IF(Carlos!D13="Não",Carlos!C13, " ")</f>
        <v>Vault of the Archangel</v>
      </c>
      <c r="J13" t="str">
        <v xml:space="preserve"> </v>
      </c>
      <c r="K13" t="str">
        <f>IF(Oona!D13="Não",Oona!C13, " ")</f>
        <v xml:space="preserve"> </v>
      </c>
      <c r="N13" t="str">
        <v xml:space="preserve"> </v>
      </c>
      <c r="O13" t="str">
        <f>IF(Kresh!D13="Não",Kresh!C13, " ")</f>
        <v xml:space="preserve"> </v>
      </c>
      <c r="R13" t="str">
        <v>Cloud, Midgar Mercenary</v>
      </c>
      <c r="S13" t="str">
        <f>IF(Akiri!D13="Não",Akiri!C13, " ")</f>
        <v xml:space="preserve"> </v>
      </c>
      <c r="V13" t="str">
        <v xml:space="preserve"> </v>
      </c>
      <c r="W13" t="str">
        <f>IF(Breya!D13="Não",Breya!C13, " ")</f>
        <v xml:space="preserve"> </v>
      </c>
    </row>
    <row r="14" spans="1:24" x14ac:dyDescent="0.25">
      <c r="B14" t="str">
        <v>Arcane Signet</v>
      </c>
      <c r="C14" t="str">
        <f>IF(Inalla!D14="Não",Inalla!C14, "")</f>
        <v/>
      </c>
      <c r="F14" t="str">
        <v>Exemplar of Light</v>
      </c>
      <c r="G14" t="str">
        <f>IF(Carlos!D14="Não",Carlos!C14, " ")</f>
        <v xml:space="preserve"> </v>
      </c>
      <c r="J14" t="str">
        <v xml:space="preserve"> </v>
      </c>
      <c r="K14" t="str">
        <f>IF(Oona!D14="Não",Oona!C14, " ")</f>
        <v xml:space="preserve"> </v>
      </c>
      <c r="N14" t="str">
        <v xml:space="preserve"> </v>
      </c>
      <c r="O14" t="str">
        <f>IF(Kresh!D14="Não",Kresh!C14, " ")</f>
        <v xml:space="preserve"> </v>
      </c>
      <c r="R14" t="str">
        <v>Cid, Freeflier Pilot</v>
      </c>
      <c r="S14" t="str">
        <f>IF(Akiri!D14="Não",Akiri!C14, " ")</f>
        <v xml:space="preserve"> </v>
      </c>
      <c r="V14" t="str">
        <v xml:space="preserve"> </v>
      </c>
      <c r="W14" t="str">
        <f>IF(Breya!D14="Não",Breya!C14, " ")</f>
        <v xml:space="preserve"> </v>
      </c>
    </row>
    <row r="15" spans="1:24" x14ac:dyDescent="0.25">
      <c r="B15" t="str">
        <v>Arcane Lighthouse</v>
      </c>
      <c r="C15" t="str">
        <f>IF(Inalla!D15="Não",Inalla!C15, "")</f>
        <v/>
      </c>
      <c r="F15" t="str">
        <v>Evolving Wilds</v>
      </c>
      <c r="G15" t="str">
        <f>IF(Carlos!D15="Não",Carlos!C15, " ")</f>
        <v xml:space="preserve"> </v>
      </c>
      <c r="J15" t="str">
        <v xml:space="preserve"> </v>
      </c>
      <c r="K15" t="str">
        <f>IF(Oona!D15="Não",Oona!C15, " ")</f>
        <v xml:space="preserve"> </v>
      </c>
      <c r="N15" t="str">
        <v xml:space="preserve"> </v>
      </c>
      <c r="O15" t="str">
        <f>IF(Kresh!D15="Não",Kresh!C15, " ")</f>
        <v xml:space="preserve"> </v>
      </c>
      <c r="R15" t="str">
        <v xml:space="preserve"> </v>
      </c>
      <c r="S15" t="str">
        <f>IF(Akiri!D15="Não",Akiri!C15, " ")</f>
        <v xml:space="preserve"> </v>
      </c>
      <c r="V15" t="str">
        <v xml:space="preserve"> </v>
      </c>
      <c r="W15" t="str">
        <f>IF(Breya!D15="Não",Breya!C15, " ")</f>
        <v xml:space="preserve"> </v>
      </c>
    </row>
    <row r="16" spans="1:24" x14ac:dyDescent="0.25">
      <c r="B16" t="str">
        <v/>
      </c>
      <c r="C16" t="str">
        <f>IF(Inalla!D16="Não",Inalla!C16, "")</f>
        <v/>
      </c>
      <c r="F16" t="str">
        <v>Enduring Innocence</v>
      </c>
      <c r="G16" t="str">
        <f>IF(Carlos!D16="Não",Carlos!C16, " ")</f>
        <v xml:space="preserve"> </v>
      </c>
      <c r="J16" t="str">
        <v xml:space="preserve"> </v>
      </c>
      <c r="K16" t="str">
        <f>IF(Oona!D16="Não",Oona!C16, " ")</f>
        <v xml:space="preserve"> </v>
      </c>
      <c r="N16" t="str">
        <v xml:space="preserve"> </v>
      </c>
      <c r="O16" t="str">
        <f>IF(Kresh!D16="Não",Kresh!C16, " ")</f>
        <v xml:space="preserve"> </v>
      </c>
      <c r="R16" t="str">
        <v xml:space="preserve"> </v>
      </c>
      <c r="S16" t="str">
        <f>IF(Akiri!D16="Não",Akiri!C16, " ")</f>
        <v xml:space="preserve"> </v>
      </c>
      <c r="V16" t="str">
        <v xml:space="preserve"> </v>
      </c>
      <c r="W16" t="str">
        <f>IF(Breya!D16="Não",Breya!C16, " ")</f>
        <v xml:space="preserve"> </v>
      </c>
    </row>
    <row r="17" spans="2:23" x14ac:dyDescent="0.25">
      <c r="B17" t="str">
        <v/>
      </c>
      <c r="C17" t="str">
        <f>IF(Inalla!D17="Não",Inalla!C17, "")</f>
        <v/>
      </c>
      <c r="F17" t="str">
        <v>Bojuka Bog</v>
      </c>
      <c r="G17" t="str">
        <f>IF(Carlos!D17="Não",Carlos!C17, " ")</f>
        <v>Takenuma, Charco Abandonado</v>
      </c>
      <c r="J17" t="str">
        <v xml:space="preserve"> </v>
      </c>
      <c r="K17" t="str">
        <f>IF(Oona!D17="Não",Oona!C17, " ")</f>
        <v xml:space="preserve"> </v>
      </c>
      <c r="N17" t="str">
        <v xml:space="preserve"> </v>
      </c>
      <c r="O17" t="str">
        <f>IF(Kresh!D17="Não",Kresh!C17, " ")</f>
        <v xml:space="preserve"> </v>
      </c>
      <c r="R17" t="str">
        <v xml:space="preserve"> </v>
      </c>
      <c r="S17" t="str">
        <f>IF(Akiri!D17="Não",Akiri!C17, " ")</f>
        <v xml:space="preserve"> </v>
      </c>
      <c r="V17" t="str">
        <v xml:space="preserve"> </v>
      </c>
      <c r="W17" t="str">
        <f>IF(Breya!D17="Não",Breya!C17, " ")</f>
        <v xml:space="preserve"> </v>
      </c>
    </row>
    <row r="18" spans="2:23" x14ac:dyDescent="0.25">
      <c r="B18" t="str">
        <v/>
      </c>
      <c r="C18" t="str">
        <f>IF(Inalla!D18="Não",Inalla!C18, "")</f>
        <v/>
      </c>
      <c r="F18" t="str">
        <v>Autoridade dos Cônsules</v>
      </c>
      <c r="G18" t="str">
        <f>IF(Carlos!D18="Não",Carlos!C18, " ")</f>
        <v xml:space="preserve"> </v>
      </c>
      <c r="J18" t="str">
        <v xml:space="preserve"> </v>
      </c>
      <c r="K18" t="str">
        <f>IF(Oona!D18="Não",Oona!C18, " ")</f>
        <v xml:space="preserve"> </v>
      </c>
      <c r="N18" t="str">
        <v xml:space="preserve"> </v>
      </c>
      <c r="O18" t="str">
        <f>IF(Kresh!D18="Não",Kresh!C18, " ")</f>
        <v xml:space="preserve"> </v>
      </c>
      <c r="R18" t="str">
        <v xml:space="preserve"> </v>
      </c>
      <c r="S18" t="str">
        <f>IF(Akiri!D18="Não",Akiri!C18, " ")</f>
        <v xml:space="preserve"> </v>
      </c>
      <c r="V18" t="str">
        <v xml:space="preserve"> </v>
      </c>
      <c r="W18" t="str">
        <f>IF(Breya!D30="Não",Breya!C30, " ")</f>
        <v xml:space="preserve"> </v>
      </c>
    </row>
    <row r="19" spans="2:23" x14ac:dyDescent="0.25">
      <c r="B19" t="str">
        <v/>
      </c>
      <c r="C19" t="str">
        <f>IF(Inalla!D19="Não",Inalla!C19, "")</f>
        <v>Bojuka Bog</v>
      </c>
      <c r="F19" t="str">
        <v>Ascensão do Avernus</v>
      </c>
      <c r="G19" t="str">
        <f>IF(Carlos!D19="Não",Carlos!C19, " ")</f>
        <v xml:space="preserve"> </v>
      </c>
      <c r="J19" t="str">
        <v xml:space="preserve"> </v>
      </c>
      <c r="K19" t="str">
        <f>IF(Oona!D19="Não",Oona!C19, " ")</f>
        <v xml:space="preserve"> </v>
      </c>
      <c r="N19" t="str">
        <v xml:space="preserve"> </v>
      </c>
      <c r="O19" t="str">
        <f>IF(Kresh!D19="Não",Kresh!C19, " ")</f>
        <v xml:space="preserve"> </v>
      </c>
      <c r="R19" t="str">
        <v xml:space="preserve"> </v>
      </c>
      <c r="S19" t="str">
        <f>IF(Akiri!D19="Não",Akiri!C19, " ")</f>
        <v xml:space="preserve"> </v>
      </c>
      <c r="V19" t="str">
        <v xml:space="preserve"> </v>
      </c>
      <c r="W19" t="str">
        <f>IF(Breya!D19="Não",Breya!C19, " ")</f>
        <v xml:space="preserve"> </v>
      </c>
    </row>
    <row r="20" spans="2:23" x14ac:dyDescent="0.25">
      <c r="B20" t="str">
        <v/>
      </c>
      <c r="C20" t="str">
        <f>IF(Inalla!D20="Não",Inalla!C20, "")</f>
        <v>Arcane Lighthouse</v>
      </c>
      <c r="F20" t="str">
        <v xml:space="preserve"> </v>
      </c>
      <c r="G20" t="str">
        <f>IF(Carlos!D20="Não",Carlos!C20, " ")</f>
        <v xml:space="preserve"> </v>
      </c>
      <c r="J20" t="str">
        <v xml:space="preserve"> </v>
      </c>
      <c r="K20" t="str">
        <f>IF(Oona!D20="Não",Oona!C20, " ")</f>
        <v xml:space="preserve"> </v>
      </c>
      <c r="N20" t="str">
        <v xml:space="preserve"> </v>
      </c>
      <c r="O20" t="str">
        <f>IF(Kresh!D20="Não",Kresh!C20, " ")</f>
        <v xml:space="preserve"> </v>
      </c>
      <c r="R20" t="str">
        <v xml:space="preserve"> </v>
      </c>
      <c r="S20" t="str">
        <f>IF(Akiri!D20="Não",Akiri!C20, " ")</f>
        <v xml:space="preserve"> </v>
      </c>
      <c r="V20" t="str">
        <v xml:space="preserve"> </v>
      </c>
      <c r="W20" t="str">
        <f>IF(Breya!D20="Não",Breya!C20, " ")</f>
        <v xml:space="preserve"> </v>
      </c>
    </row>
    <row r="21" spans="2:23" x14ac:dyDescent="0.25">
      <c r="B21" t="str">
        <v/>
      </c>
      <c r="C21" t="str">
        <f>IF(Inalla!D21="Não",Inalla!C21, "")</f>
        <v/>
      </c>
      <c r="F21" t="str">
        <v xml:space="preserve"> </v>
      </c>
      <c r="G21" t="str">
        <f>IF(Carlos!D21="Não",Carlos!C21, " ")</f>
        <v xml:space="preserve"> </v>
      </c>
      <c r="J21" t="str">
        <v xml:space="preserve"> </v>
      </c>
      <c r="K21" t="str">
        <f>IF(Oona!D21="Não",Oona!C21, " ")</f>
        <v xml:space="preserve"> </v>
      </c>
      <c r="N21" t="str">
        <v xml:space="preserve"> </v>
      </c>
      <c r="O21" t="str">
        <f>IF(Kresh!D21="Não",Kresh!C21, " ")</f>
        <v xml:space="preserve"> </v>
      </c>
      <c r="R21" t="str">
        <v xml:space="preserve"> </v>
      </c>
      <c r="S21" t="str">
        <f>IF(Akiri!D21="Não",Akiri!C21, " ")</f>
        <v xml:space="preserve"> </v>
      </c>
      <c r="V21" t="str">
        <v xml:space="preserve"> </v>
      </c>
      <c r="W21" t="str">
        <f>IF(Breya!D22="Não",Breya!C22, " ")</f>
        <v xml:space="preserve"> </v>
      </c>
    </row>
    <row r="22" spans="2:23" x14ac:dyDescent="0.25">
      <c r="B22" t="str">
        <v/>
      </c>
      <c r="C22" t="str">
        <f>IF(Inalla!D22="Não",Inalla!C22, "")</f>
        <v/>
      </c>
      <c r="F22" t="str">
        <v xml:space="preserve"> </v>
      </c>
      <c r="G22" t="str">
        <f>IF(Carlos!D22="Não",Carlos!C22, " ")</f>
        <v xml:space="preserve"> </v>
      </c>
      <c r="J22" t="str">
        <v xml:space="preserve"> </v>
      </c>
      <c r="K22" t="str">
        <f>IF(Oona!D22="Não",Oona!C22, " ")</f>
        <v xml:space="preserve"> </v>
      </c>
      <c r="N22" t="str">
        <v xml:space="preserve"> </v>
      </c>
      <c r="O22" t="str">
        <f>IF(Kresh!D22="Não",Kresh!C22, " ")</f>
        <v xml:space="preserve"> </v>
      </c>
      <c r="R22" t="str">
        <v xml:space="preserve"> </v>
      </c>
      <c r="S22" t="str">
        <f>IF(Akiri!D22="Não",Akiri!C22, " ")</f>
        <v xml:space="preserve"> </v>
      </c>
      <c r="V22" t="str">
        <v xml:space="preserve"> </v>
      </c>
      <c r="W22" t="str">
        <f>IF(Breya!D24="Não",Breya!C24, " ")</f>
        <v xml:space="preserve"> </v>
      </c>
    </row>
    <row r="23" spans="2:23" x14ac:dyDescent="0.25">
      <c r="B23" t="str">
        <v/>
      </c>
      <c r="C23" t="str">
        <f>IF(Inalla!D23="Não",Inalla!C23, "")</f>
        <v>Glasspool Mimic</v>
      </c>
      <c r="F23" t="str">
        <v xml:space="preserve"> </v>
      </c>
      <c r="G23" t="str">
        <f>IF(Carlos!D23="Não",Carlos!C23, " ")</f>
        <v xml:space="preserve"> </v>
      </c>
      <c r="J23" t="str">
        <v xml:space="preserve"> </v>
      </c>
      <c r="K23" t="str">
        <f>IF(Oona!D23="Não",Oona!C23, " ")</f>
        <v xml:space="preserve"> </v>
      </c>
      <c r="N23" t="str">
        <v xml:space="preserve"> </v>
      </c>
      <c r="O23" t="str">
        <f>IF(Kresh!D23="Não",Kresh!C23, " ")</f>
        <v xml:space="preserve"> </v>
      </c>
      <c r="R23" t="str">
        <v xml:space="preserve"> </v>
      </c>
      <c r="S23" t="str">
        <f>IF(Akiri!D23="Não",Akiri!C23, " ")</f>
        <v xml:space="preserve"> </v>
      </c>
      <c r="V23" t="str">
        <v xml:space="preserve"> </v>
      </c>
      <c r="W23" t="str">
        <f>IF(Breya!D23="Não",Breya!C23, " ")</f>
        <v xml:space="preserve"> </v>
      </c>
    </row>
    <row r="24" spans="2:23" x14ac:dyDescent="0.25">
      <c r="B24" t="str">
        <v/>
      </c>
      <c r="C24" t="str">
        <f>IF(Inalla!D24="Não",Inalla!C24, "")</f>
        <v/>
      </c>
      <c r="F24" t="str">
        <v xml:space="preserve"> </v>
      </c>
      <c r="G24" t="str">
        <f>IF(Carlos!D24="Não",Carlos!C24, " ")</f>
        <v xml:space="preserve"> </v>
      </c>
      <c r="J24" t="str">
        <v xml:space="preserve"> </v>
      </c>
      <c r="K24" t="str">
        <f>IF(Oona!D24="Não",Oona!C24, " ")</f>
        <v xml:space="preserve"> </v>
      </c>
      <c r="N24" t="str">
        <v xml:space="preserve"> </v>
      </c>
      <c r="O24" t="str">
        <f>IF(Kresh!D24="Não",Kresh!C24, " ")</f>
        <v xml:space="preserve"> </v>
      </c>
      <c r="R24" t="str">
        <v xml:space="preserve"> </v>
      </c>
      <c r="S24" t="str">
        <f>IF(Akiri!D24="Não",Akiri!C24, " ")</f>
        <v xml:space="preserve"> </v>
      </c>
      <c r="V24" t="str">
        <v xml:space="preserve"> </v>
      </c>
      <c r="W24" t="str">
        <f>IF(Breya!D31="Não",Breya!C31, " ")</f>
        <v>Adagia, Windswept Bastion</v>
      </c>
    </row>
    <row r="25" spans="2:23" x14ac:dyDescent="0.25">
      <c r="B25" t="str">
        <v/>
      </c>
      <c r="C25" t="str">
        <f>IF(Inalla!D25="Não",Inalla!C25, "")</f>
        <v/>
      </c>
      <c r="F25" t="str">
        <v xml:space="preserve"> </v>
      </c>
      <c r="G25" t="str">
        <f>IF(Carlos!D25="Não",Carlos!C25, " ")</f>
        <v>Evolving Wilds</v>
      </c>
      <c r="J25" t="str">
        <v xml:space="preserve"> </v>
      </c>
      <c r="K25" t="str">
        <f>IF(Oona!D25="Não",Oona!C25, " ")</f>
        <v xml:space="preserve"> </v>
      </c>
      <c r="N25" t="str">
        <v xml:space="preserve"> </v>
      </c>
      <c r="O25" t="str">
        <f>IF(Kresh!D25="Não",Kresh!C25, " ")</f>
        <v xml:space="preserve"> </v>
      </c>
      <c r="R25" t="str">
        <v xml:space="preserve"> </v>
      </c>
      <c r="S25" t="str">
        <f>IF(Akiri!D25="Não",Akiri!C25, " ")</f>
        <v xml:space="preserve"> </v>
      </c>
      <c r="V25" t="str">
        <v xml:space="preserve"> </v>
      </c>
      <c r="W25" t="str">
        <f>IF(Breya!D32="Não",Breya!C32, " ")</f>
        <v xml:space="preserve"> </v>
      </c>
    </row>
    <row r="26" spans="2:23" x14ac:dyDescent="0.25">
      <c r="B26" t="str">
        <v/>
      </c>
      <c r="C26" t="str">
        <f>IF(Inalla!D26="Não",Inalla!C26, "")</f>
        <v/>
      </c>
      <c r="F26" t="str">
        <v xml:space="preserve"> </v>
      </c>
      <c r="G26" t="str">
        <f>IF(Carlos!D26="Não",Carlos!C26, " ")</f>
        <v xml:space="preserve"> </v>
      </c>
      <c r="J26" t="str">
        <v xml:space="preserve"> </v>
      </c>
      <c r="K26" t="str">
        <f>IF(Oona!D26="Não",Oona!C26, " ")</f>
        <v xml:space="preserve"> </v>
      </c>
      <c r="N26" t="str">
        <v xml:space="preserve"> </v>
      </c>
      <c r="O26" t="str">
        <f>IF(Kresh!D26="Não",Kresh!C26, " ")</f>
        <v xml:space="preserve"> </v>
      </c>
      <c r="R26" t="str">
        <v xml:space="preserve"> </v>
      </c>
      <c r="S26" t="str">
        <f>IF(Akiri!D26="Não",Akiri!C26, " ")</f>
        <v xml:space="preserve"> </v>
      </c>
      <c r="V26" t="str">
        <v xml:space="preserve"> </v>
      </c>
      <c r="W26" t="str">
        <f>IF(Breya!D33="Não",Breya!C33, " ")</f>
        <v xml:space="preserve"> </v>
      </c>
    </row>
    <row r="27" spans="2:23" x14ac:dyDescent="0.25">
      <c r="B27" t="str">
        <v/>
      </c>
      <c r="C27" t="str">
        <f>IF(Inalla!D27="Não",Inalla!C27, "")</f>
        <v/>
      </c>
      <c r="F27" t="str">
        <v xml:space="preserve"> </v>
      </c>
      <c r="G27" t="str">
        <f>IF(Carlos!D27="Não",Carlos!C27, " ")</f>
        <v xml:space="preserve"> </v>
      </c>
      <c r="J27" t="str">
        <v xml:space="preserve"> </v>
      </c>
      <c r="K27" t="str">
        <f>IF(Oona!D27="Não",Oona!C27, " ")</f>
        <v xml:space="preserve"> </v>
      </c>
      <c r="N27" t="str">
        <v xml:space="preserve"> </v>
      </c>
      <c r="O27" t="str">
        <f>IF(Kresh!D27="Não",Kresh!C27, " ")</f>
        <v xml:space="preserve"> </v>
      </c>
      <c r="R27" t="str">
        <v xml:space="preserve"> </v>
      </c>
      <c r="S27" t="str">
        <f>IF(Akiri!D27="Não",Akiri!C27, " ")</f>
        <v xml:space="preserve"> </v>
      </c>
      <c r="V27" t="str">
        <v xml:space="preserve"> </v>
      </c>
      <c r="W27" t="str">
        <f>IF(Breya!D25="Não",Breya!C25, " ")</f>
        <v xml:space="preserve"> </v>
      </c>
    </row>
    <row r="28" spans="2:23" x14ac:dyDescent="0.25">
      <c r="B28" t="str">
        <v/>
      </c>
      <c r="C28" t="str">
        <f>IF(Inalla!D28="Não",Inalla!C28, "")</f>
        <v/>
      </c>
      <c r="F28" t="str">
        <v xml:space="preserve"> </v>
      </c>
      <c r="G28" t="str">
        <f>IF(Carlos!D28="Não",Carlos!C28, " ")</f>
        <v xml:space="preserve"> </v>
      </c>
      <c r="J28" t="str">
        <v xml:space="preserve"> </v>
      </c>
      <c r="K28" t="str">
        <f>IF(Oona!D28="Não",Oona!C28, " ")</f>
        <v xml:space="preserve"> </v>
      </c>
      <c r="N28" t="str">
        <v xml:space="preserve"> </v>
      </c>
      <c r="O28" t="str">
        <f>IF(Kresh!D28="Não",Kresh!C28, " ")</f>
        <v xml:space="preserve"> </v>
      </c>
      <c r="R28" t="str">
        <v xml:space="preserve"> </v>
      </c>
      <c r="S28" t="str">
        <f>IF(Akiri!D28="Não",Akiri!C28, " ")</f>
        <v xml:space="preserve"> </v>
      </c>
      <c r="V28" t="str">
        <v xml:space="preserve"> </v>
      </c>
      <c r="W28" t="str">
        <f>IF(Breya!D29="Não",Breya!C29, " ")</f>
        <v xml:space="preserve"> </v>
      </c>
    </row>
    <row r="29" spans="2:23" x14ac:dyDescent="0.25">
      <c r="B29" t="str">
        <v/>
      </c>
      <c r="C29" t="str">
        <f>IF(Inalla!D29="Não",Inalla!C29, "")</f>
        <v/>
      </c>
      <c r="F29" t="str">
        <v xml:space="preserve"> </v>
      </c>
      <c r="G29" t="str">
        <f>IF(Carlos!D29="Não",Carlos!C29, " ")</f>
        <v xml:space="preserve"> </v>
      </c>
      <c r="J29" t="str">
        <v xml:space="preserve"> </v>
      </c>
      <c r="K29" t="str">
        <f>IF(Oona!D29="Não",Oona!C29, " ")</f>
        <v xml:space="preserve"> </v>
      </c>
      <c r="N29" t="str">
        <v xml:space="preserve"> </v>
      </c>
      <c r="O29" t="str">
        <f>IF(Kresh!D29="Não",Kresh!C29, " ")</f>
        <v xml:space="preserve"> </v>
      </c>
      <c r="R29" t="str">
        <v xml:space="preserve"> </v>
      </c>
      <c r="S29" t="str">
        <f>IF(Akiri!D29="Não",Akiri!C29, " ")</f>
        <v xml:space="preserve"> </v>
      </c>
      <c r="V29" t="str">
        <v xml:space="preserve"> </v>
      </c>
      <c r="W29" t="str">
        <f>IF(Breya!D34="Não",Breya!C34, " ")</f>
        <v xml:space="preserve"> </v>
      </c>
    </row>
    <row r="30" spans="2:23" x14ac:dyDescent="0.25">
      <c r="B30" t="str">
        <v/>
      </c>
      <c r="C30" t="str">
        <f>IF(Inalla!D30="Não",Inalla!C30, "")</f>
        <v/>
      </c>
      <c r="F30" t="str">
        <v xml:space="preserve"> </v>
      </c>
      <c r="G30" t="str">
        <f>IF(Carlos!D30="Não",Carlos!C30, " ")</f>
        <v xml:space="preserve"> </v>
      </c>
      <c r="J30" t="str">
        <v xml:space="preserve"> </v>
      </c>
      <c r="K30" t="str">
        <f>IF(Oona!D30="Não",Oona!C30, " ")</f>
        <v xml:space="preserve"> </v>
      </c>
      <c r="N30" t="str">
        <v xml:space="preserve"> </v>
      </c>
      <c r="O30" t="str">
        <f>IF(Kresh!D30="Não",Kresh!C30, " ")</f>
        <v xml:space="preserve"> </v>
      </c>
      <c r="R30" t="str">
        <v xml:space="preserve"> </v>
      </c>
      <c r="S30" t="str">
        <f>IF(Akiri!D30="Não",Akiri!C30, " ")</f>
        <v xml:space="preserve"> </v>
      </c>
      <c r="V30" t="str">
        <v xml:space="preserve"> </v>
      </c>
      <c r="W30" t="str">
        <f>IF(Breya!D35="Não",Breya!C35, " ")</f>
        <v xml:space="preserve"> </v>
      </c>
    </row>
    <row r="31" spans="2:23" x14ac:dyDescent="0.25">
      <c r="B31" t="str">
        <v/>
      </c>
      <c r="C31" t="str">
        <f>IF(Inalla!D31="Não",Inalla!C31, "")</f>
        <v/>
      </c>
      <c r="F31" t="str">
        <v xml:space="preserve"> </v>
      </c>
      <c r="G31" t="str">
        <f>IF(Carlos!D31="Não",Carlos!C31, " ")</f>
        <v xml:space="preserve"> </v>
      </c>
      <c r="J31" t="str">
        <v xml:space="preserve"> </v>
      </c>
      <c r="K31" t="str">
        <f>IF(Oona!D31="Não",Oona!C31, " ")</f>
        <v xml:space="preserve"> </v>
      </c>
      <c r="N31" t="str">
        <v xml:space="preserve"> </v>
      </c>
      <c r="O31" t="str">
        <f>IF(Kresh!D31="Não",Kresh!C31, " ")</f>
        <v xml:space="preserve"> </v>
      </c>
      <c r="R31" t="str">
        <v xml:space="preserve"> </v>
      </c>
      <c r="S31" t="str">
        <f>IF(Akiri!D31="Não",Akiri!C31, " ")</f>
        <v xml:space="preserve"> </v>
      </c>
      <c r="V31" t="str">
        <v xml:space="preserve"> </v>
      </c>
      <c r="W31" t="str">
        <f>IF(Breya!D21="Não",Breya!C21, " ")</f>
        <v xml:space="preserve"> </v>
      </c>
    </row>
    <row r="32" spans="2:23" x14ac:dyDescent="0.25">
      <c r="B32" t="str">
        <v/>
      </c>
      <c r="C32" t="str">
        <f>IF(Inalla!D32="Não",Inalla!C32, "")</f>
        <v/>
      </c>
      <c r="F32" t="str">
        <v xml:space="preserve"> </v>
      </c>
      <c r="G32" t="str">
        <f>IF(Carlos!D32="Não",Carlos!C32, " ")</f>
        <v xml:space="preserve"> </v>
      </c>
      <c r="J32" t="str">
        <v xml:space="preserve"> </v>
      </c>
      <c r="K32" t="str">
        <f>IF(Oona!D32="Não",Oona!C32, " ")</f>
        <v xml:space="preserve"> </v>
      </c>
      <c r="N32" t="str">
        <v xml:space="preserve"> </v>
      </c>
      <c r="O32" t="str">
        <f>IF(Kresh!D32="Não",Kresh!C32, " ")</f>
        <v xml:space="preserve"> </v>
      </c>
      <c r="R32" t="str">
        <v xml:space="preserve"> </v>
      </c>
      <c r="S32" t="str">
        <f>IF(Akiri!D32="Não",Akiri!C32, " ")</f>
        <v xml:space="preserve"> </v>
      </c>
      <c r="V32" t="str">
        <v xml:space="preserve"> </v>
      </c>
      <c r="W32" t="str">
        <f>IF(Breya!D26="Não",Breya!C26, " ")</f>
        <v xml:space="preserve"> </v>
      </c>
    </row>
    <row r="33" spans="2:23" x14ac:dyDescent="0.25">
      <c r="B33" t="str">
        <v/>
      </c>
      <c r="C33" t="str">
        <f>IF(Inalla!D33="Não",Inalla!C33, "")</f>
        <v/>
      </c>
      <c r="F33" t="str">
        <v xml:space="preserve"> </v>
      </c>
      <c r="G33" t="str">
        <f>IF(Carlos!D33="Não",Carlos!C33, " ")</f>
        <v xml:space="preserve"> </v>
      </c>
      <c r="J33" t="str">
        <v xml:space="preserve"> </v>
      </c>
      <c r="K33" t="str">
        <f>IF(Oona!D33="Não",Oona!C33, " ")</f>
        <v xml:space="preserve"> </v>
      </c>
      <c r="N33" t="str">
        <v xml:space="preserve"> </v>
      </c>
      <c r="O33" t="str">
        <f>IF(Kresh!D33="Não",Kresh!C33, " ")</f>
        <v xml:space="preserve"> </v>
      </c>
      <c r="R33" t="str">
        <v xml:space="preserve"> </v>
      </c>
      <c r="S33" t="str">
        <f>IF(Akiri!D33="Não",Akiri!C33, " ")</f>
        <v xml:space="preserve"> </v>
      </c>
      <c r="V33" t="str">
        <v xml:space="preserve"> </v>
      </c>
      <c r="W33" t="str">
        <f>IF(Breya!D28="Não",Breya!C28, " ")</f>
        <v xml:space="preserve"> </v>
      </c>
    </row>
    <row r="34" spans="2:23" x14ac:dyDescent="0.25">
      <c r="B34" t="str">
        <v/>
      </c>
      <c r="C34" t="str">
        <f>IF(Inalla!D34="Não",Inalla!C34, "")</f>
        <v/>
      </c>
      <c r="F34" t="str">
        <v xml:space="preserve"> </v>
      </c>
      <c r="G34" t="str">
        <f>IF(Carlos!D34="Não",Carlos!C34, " ")</f>
        <v xml:space="preserve"> </v>
      </c>
      <c r="J34" t="str">
        <v xml:space="preserve"> </v>
      </c>
      <c r="K34" t="str">
        <f>IF(Oona!D34="Não",Oona!C34, " ")</f>
        <v xml:space="preserve"> </v>
      </c>
      <c r="N34" t="str">
        <v xml:space="preserve"> </v>
      </c>
      <c r="O34" t="str">
        <f>IF(Kresh!D34="Não",Kresh!C34, " ")</f>
        <v xml:space="preserve"> </v>
      </c>
      <c r="R34" t="str">
        <v xml:space="preserve"> </v>
      </c>
      <c r="S34" t="str">
        <f>IF(Akiri!D34="Não",Akiri!C34, " ")</f>
        <v xml:space="preserve"> </v>
      </c>
      <c r="V34" t="str">
        <v xml:space="preserve"> </v>
      </c>
      <c r="W34" t="str">
        <f>IF(Breya!D36="Não",Breya!C36, " ")</f>
        <v xml:space="preserve"> </v>
      </c>
    </row>
    <row r="35" spans="2:23" x14ac:dyDescent="0.25">
      <c r="B35" t="str">
        <v/>
      </c>
      <c r="C35" t="str">
        <f>IF(Inalla!D35="Não",Inalla!C35, "")</f>
        <v/>
      </c>
      <c r="F35" t="str">
        <v xml:space="preserve"> </v>
      </c>
      <c r="G35" t="str">
        <f>IF(Carlos!D35="Não",Carlos!C35, " ")</f>
        <v xml:space="preserve"> </v>
      </c>
      <c r="J35" t="str">
        <v xml:space="preserve"> </v>
      </c>
      <c r="K35" t="str">
        <f>IF(Oona!D35="Não",Oona!C35, " ")</f>
        <v xml:space="preserve"> </v>
      </c>
      <c r="N35" t="str">
        <v xml:space="preserve"> </v>
      </c>
      <c r="O35" t="str">
        <f>IF(Kresh!D35="Não",Kresh!C35, " ")</f>
        <v xml:space="preserve"> </v>
      </c>
      <c r="R35" t="str">
        <v xml:space="preserve"> </v>
      </c>
      <c r="S35" t="str">
        <f>IF(Akiri!D35="Não",Akiri!C35, " ")</f>
        <v xml:space="preserve"> </v>
      </c>
      <c r="V35" t="str">
        <v xml:space="preserve"> </v>
      </c>
      <c r="W35" t="str">
        <f>IF(Breya!D27="Não",Breya!C27, " ")</f>
        <v xml:space="preserve"> </v>
      </c>
    </row>
    <row r="36" spans="2:23" x14ac:dyDescent="0.25">
      <c r="B36" t="str">
        <v/>
      </c>
      <c r="C36" t="str">
        <f>IF(Inalla!D36="Não",Inalla!C36, "")</f>
        <v/>
      </c>
      <c r="F36" t="str">
        <v xml:space="preserve"> </v>
      </c>
      <c r="G36" t="str">
        <f>IF(Carlos!D36="Não",Carlos!C36, " ")</f>
        <v xml:space="preserve"> </v>
      </c>
      <c r="J36" t="str">
        <v xml:space="preserve"> </v>
      </c>
      <c r="K36" t="str">
        <f>IF(Oona!D36="Não",Oona!C36, " ")</f>
        <v xml:space="preserve"> </v>
      </c>
      <c r="N36" t="str">
        <v xml:space="preserve"> </v>
      </c>
      <c r="O36" t="str">
        <f>IF(Kresh!D36="Não",Kresh!C36, " ")</f>
        <v xml:space="preserve"> </v>
      </c>
      <c r="R36" t="str">
        <v xml:space="preserve"> </v>
      </c>
      <c r="S36" t="str">
        <f>IF(Akiri!D36="Não",Akiri!C36, " ")</f>
        <v xml:space="preserve"> </v>
      </c>
      <c r="V36" t="str">
        <v xml:space="preserve"> </v>
      </c>
      <c r="W36" t="str">
        <f>IF(Breya!D18="Não",Breya!C18, " ")</f>
        <v xml:space="preserve"> </v>
      </c>
    </row>
    <row r="37" spans="2:23" x14ac:dyDescent="0.25">
      <c r="B37" t="str">
        <v/>
      </c>
      <c r="C37" t="str">
        <f>IF(Inalla!D37="Não",Inalla!C37, "")</f>
        <v/>
      </c>
      <c r="F37" t="str">
        <v xml:space="preserve"> </v>
      </c>
      <c r="G37" t="str">
        <f>IF(Carlos!D37="Não",Carlos!C37, " ")</f>
        <v xml:space="preserve"> </v>
      </c>
      <c r="J37" t="str">
        <v xml:space="preserve"> </v>
      </c>
      <c r="K37" t="str">
        <f>IF(Oona!D49="Não",Oona!C49, " ")</f>
        <v>The Eternity Elevator</v>
      </c>
      <c r="N37" t="str">
        <v xml:space="preserve"> </v>
      </c>
      <c r="O37" t="str">
        <f>IF(Kresh!D37="Não",Kresh!C37, " ")</f>
        <v xml:space="preserve"> </v>
      </c>
      <c r="R37" t="str">
        <v xml:space="preserve"> </v>
      </c>
      <c r="S37" t="str">
        <f>IF(Akiri!D37="Não",Akiri!C37, " ")</f>
        <v xml:space="preserve"> </v>
      </c>
      <c r="V37" t="str">
        <v xml:space="preserve"> </v>
      </c>
      <c r="W37" t="str">
        <f>IF(Breya!D37="Não",Breya!C37, " ")</f>
        <v xml:space="preserve"> </v>
      </c>
    </row>
    <row r="38" spans="2:23" x14ac:dyDescent="0.25">
      <c r="B38" t="str">
        <v/>
      </c>
      <c r="C38" t="str">
        <f>IF(Inalla!D46="Não",Inalla!C46, "")</f>
        <v/>
      </c>
      <c r="F38" t="str">
        <v xml:space="preserve"> </v>
      </c>
      <c r="G38" t="str">
        <f>IF(Carlos!D42="Não",Carlos!C42, " ")</f>
        <v xml:space="preserve"> </v>
      </c>
      <c r="J38" t="str">
        <v xml:space="preserve"> </v>
      </c>
      <c r="K38" t="str">
        <f>IF(Oona!D38="Não",Oona!C38, " ")</f>
        <v xml:space="preserve"> </v>
      </c>
      <c r="N38" t="str">
        <v xml:space="preserve"> </v>
      </c>
      <c r="O38" t="str">
        <f>IF(Kresh!D38="Não",Kresh!C38, " ")</f>
        <v xml:space="preserve"> </v>
      </c>
      <c r="R38" t="str">
        <v xml:space="preserve"> </v>
      </c>
      <c r="S38" t="str">
        <f>IF(Akiri!D38="Não",Akiri!C38, " ")</f>
        <v xml:space="preserve"> </v>
      </c>
      <c r="V38" t="str">
        <v xml:space="preserve"> </v>
      </c>
      <c r="W38" t="str">
        <f>IF(Breya!D38="Não",Breya!C38, " ")</f>
        <v xml:space="preserve"> </v>
      </c>
    </row>
    <row r="39" spans="2:23" x14ac:dyDescent="0.25">
      <c r="B39" t="str">
        <v/>
      </c>
      <c r="C39" t="str">
        <f>IF(Inalla!D47="Não",Inalla!C47, "")</f>
        <v/>
      </c>
      <c r="F39" t="str">
        <v xml:space="preserve"> </v>
      </c>
      <c r="G39" t="str">
        <f>IF(Carlos!D43="Não",Carlos!C43, " ")</f>
        <v xml:space="preserve"> </v>
      </c>
      <c r="J39" t="str">
        <v xml:space="preserve"> </v>
      </c>
      <c r="K39" t="str">
        <f>IF(Oona!D50="Não",Oona!C50, " ")</f>
        <v xml:space="preserve"> </v>
      </c>
      <c r="N39" t="str">
        <v xml:space="preserve"> </v>
      </c>
      <c r="O39" t="str">
        <f>IF(Kresh!D39="Não",Kresh!C39, " ")</f>
        <v xml:space="preserve"> </v>
      </c>
      <c r="R39" t="str">
        <v xml:space="preserve"> </v>
      </c>
      <c r="S39" t="str">
        <f>IF(Akiri!D39="Não",Akiri!C39, " ")</f>
        <v xml:space="preserve"> </v>
      </c>
      <c r="V39" t="str">
        <v xml:space="preserve"> </v>
      </c>
      <c r="W39" t="str">
        <f>IF(Breya!D46="Não",Breya!C46, " ")</f>
        <v xml:space="preserve"> </v>
      </c>
    </row>
    <row r="40" spans="2:23" x14ac:dyDescent="0.25">
      <c r="B40" t="str">
        <v/>
      </c>
      <c r="C40" t="str">
        <f>IF(Inalla!D74="Não",Inalla!C74, "")</f>
        <v>Mistbind Clique</v>
      </c>
      <c r="F40" t="str">
        <v xml:space="preserve"> </v>
      </c>
      <c r="G40" t="str">
        <f>IF(Carlos!D44="Não",Carlos!C44, " ")</f>
        <v xml:space="preserve"> </v>
      </c>
      <c r="J40" t="str">
        <v xml:space="preserve"> </v>
      </c>
      <c r="K40" t="str">
        <f>IF(Oona!D39="Não",Oona!C39, " ")</f>
        <v xml:space="preserve"> </v>
      </c>
      <c r="N40" t="str">
        <v xml:space="preserve"> </v>
      </c>
      <c r="O40" t="str">
        <f>IF(Kresh!D40="Não",Kresh!C40, " ")</f>
        <v xml:space="preserve"> </v>
      </c>
      <c r="R40" t="str">
        <v xml:space="preserve"> </v>
      </c>
      <c r="S40" t="str">
        <f>IF(Akiri!D40="Não",Akiri!C40, " ")</f>
        <v>Cid, Freeflier Pilot</v>
      </c>
      <c r="V40" t="str">
        <v xml:space="preserve"> </v>
      </c>
      <c r="W40" t="str">
        <f>IF(Breya!D40="Não",Breya!C40, " ")</f>
        <v xml:space="preserve"> </v>
      </c>
    </row>
    <row r="41" spans="2:23" x14ac:dyDescent="0.25">
      <c r="B41" t="str">
        <v/>
      </c>
      <c r="C41" t="str">
        <f>IF(Inalla!D56="Não",Inalla!C56, "")</f>
        <v/>
      </c>
      <c r="F41" t="str">
        <v xml:space="preserve"> </v>
      </c>
      <c r="G41" t="str">
        <f>IF(Carlos!D45="Não",Carlos!C45, " ")</f>
        <v xml:space="preserve"> </v>
      </c>
      <c r="J41" t="str">
        <v xml:space="preserve"> </v>
      </c>
      <c r="K41" t="str">
        <f>IF(Oona!D40="Não",Oona!C40, " ")</f>
        <v xml:space="preserve"> </v>
      </c>
      <c r="N41" t="str">
        <v xml:space="preserve"> </v>
      </c>
      <c r="O41" t="str">
        <f>IF(Kresh!D41="Não",Kresh!C41, " ")</f>
        <v xml:space="preserve"> </v>
      </c>
      <c r="R41" t="str">
        <v xml:space="preserve"> </v>
      </c>
      <c r="S41" t="str">
        <f>IF(Akiri!D41="Não",Akiri!C41, " ")</f>
        <v xml:space="preserve"> </v>
      </c>
      <c r="V41" t="str">
        <v xml:space="preserve"> </v>
      </c>
      <c r="W41" t="str">
        <f>IF(Breya!D41="Não",Breya!C41, " ")</f>
        <v xml:space="preserve"> </v>
      </c>
    </row>
    <row r="42" spans="2:23" x14ac:dyDescent="0.25">
      <c r="B42" t="str">
        <v/>
      </c>
      <c r="C42" t="str">
        <f>IF(Inalla!D57="Não",Inalla!C57, "")</f>
        <v/>
      </c>
      <c r="F42" t="str">
        <v xml:space="preserve"> </v>
      </c>
      <c r="G42" t="str">
        <f>IF(Carlos!D46="Não",Carlos!C46, " ")</f>
        <v>Unholy Annex // Ritual Chamber</v>
      </c>
      <c r="J42" t="str">
        <v xml:space="preserve"> </v>
      </c>
      <c r="K42" t="str">
        <f>IF(Oona!D41="Não",Oona!C41, " ")</f>
        <v xml:space="preserve"> </v>
      </c>
      <c r="N42" t="str">
        <v xml:space="preserve"> </v>
      </c>
      <c r="O42" t="str">
        <f>IF(Kresh!D42="Não",Kresh!C42, " ")</f>
        <v xml:space="preserve"> </v>
      </c>
      <c r="R42" t="str">
        <v xml:space="preserve"> </v>
      </c>
      <c r="S42" t="str">
        <f>IF(Akiri!D42="Não",Akiri!C42, " ")</f>
        <v xml:space="preserve"> </v>
      </c>
      <c r="V42" t="str">
        <v xml:space="preserve"> </v>
      </c>
      <c r="W42" t="str">
        <f>IF(Breya!D42="Não",Breya!C42, " ")</f>
        <v xml:space="preserve"> </v>
      </c>
    </row>
    <row r="43" spans="2:23" x14ac:dyDescent="0.25">
      <c r="B43" t="str">
        <v/>
      </c>
      <c r="C43" t="str">
        <f>IF(Inalla!D48="Não",Inalla!C48, "")</f>
        <v/>
      </c>
      <c r="F43" t="str">
        <v xml:space="preserve"> </v>
      </c>
      <c r="G43" t="str">
        <f>IF(Carlos!D47="Não",Carlos!C47, " ")</f>
        <v>Enduring Innocence</v>
      </c>
      <c r="J43" t="str">
        <v xml:space="preserve"> </v>
      </c>
      <c r="K43" t="str">
        <f>IF(Oona!D42="Não",Oona!C42, " ")</f>
        <v xml:space="preserve"> </v>
      </c>
      <c r="N43" t="str">
        <v xml:space="preserve"> </v>
      </c>
      <c r="O43" t="str">
        <f>IF(Kresh!D43="Não",Kresh!C43, " ")</f>
        <v xml:space="preserve"> </v>
      </c>
      <c r="R43" t="str">
        <v xml:space="preserve"> </v>
      </c>
      <c r="S43" t="str">
        <f>IF(Akiri!D43="Não",Akiri!C43, " ")</f>
        <v xml:space="preserve"> </v>
      </c>
      <c r="V43" t="str">
        <v xml:space="preserve"> </v>
      </c>
      <c r="W43" t="str">
        <f>IF(Breya!D43="Não",Breya!C43, " ")</f>
        <v xml:space="preserve"> </v>
      </c>
    </row>
    <row r="44" spans="2:23" x14ac:dyDescent="0.25">
      <c r="B44" t="str">
        <v/>
      </c>
      <c r="C44" t="str">
        <f>IF(Inalla!D49="Não",Inalla!C49, "")</f>
        <v>Dour Port-Mage</v>
      </c>
      <c r="F44" t="str">
        <v xml:space="preserve"> </v>
      </c>
      <c r="G44" t="str">
        <f>IF(Carlos!D48="Não",Carlos!C48, " ")</f>
        <v>Keen Duelist</v>
      </c>
      <c r="J44" t="str">
        <v xml:space="preserve"> </v>
      </c>
      <c r="K44" t="str">
        <f>IF(Oona!D43="Não",Oona!C43, " ")</f>
        <v xml:space="preserve"> </v>
      </c>
      <c r="N44" t="str">
        <v xml:space="preserve"> </v>
      </c>
      <c r="O44" t="str">
        <f>IF(Kresh!D44="Não",Kresh!C44, " ")</f>
        <v xml:space="preserve"> </v>
      </c>
      <c r="R44" t="str">
        <v xml:space="preserve"> </v>
      </c>
      <c r="S44" t="str">
        <f>IF(Akiri!D44="Não",Akiri!C44, " ")</f>
        <v xml:space="preserve"> </v>
      </c>
      <c r="V44" t="str">
        <v xml:space="preserve"> </v>
      </c>
      <c r="W44" t="str">
        <f>IF(Breya!D44="Não",Breya!C44, " ")</f>
        <v xml:space="preserve"> </v>
      </c>
    </row>
    <row r="45" spans="2:23" x14ac:dyDescent="0.25">
      <c r="B45" t="str">
        <v/>
      </c>
      <c r="C45" t="str">
        <f>IF(Inalla!D50="Não",Inalla!C50, "")</f>
        <v>Merchant of Secrets</v>
      </c>
      <c r="F45" t="str">
        <v xml:space="preserve"> </v>
      </c>
      <c r="G45" t="str">
        <f>IF(Carlos!D49="Não",Carlos!C49, " ")</f>
        <v xml:space="preserve"> </v>
      </c>
      <c r="J45" t="str">
        <v xml:space="preserve"> </v>
      </c>
      <c r="K45" t="str">
        <f>IF(Oona!D44="Não",Oona!C44, " ")</f>
        <v xml:space="preserve"> </v>
      </c>
      <c r="N45" t="str">
        <v xml:space="preserve"> </v>
      </c>
      <c r="O45" t="str">
        <f>IF(Kresh!D45="Não",Kresh!C45, " ")</f>
        <v xml:space="preserve"> </v>
      </c>
      <c r="R45" t="str">
        <v xml:space="preserve"> </v>
      </c>
      <c r="S45" t="str">
        <f>IF(Akiri!D46="Não",Akiri!C46, " ")</f>
        <v xml:space="preserve"> </v>
      </c>
      <c r="V45" t="str">
        <v xml:space="preserve"> </v>
      </c>
      <c r="W45" t="str">
        <f>IF(Breya!D45="Não",Breya!C45, " ")</f>
        <v xml:space="preserve"> </v>
      </c>
    </row>
    <row r="46" spans="2:23" x14ac:dyDescent="0.25">
      <c r="B46" t="str">
        <v/>
      </c>
      <c r="C46" t="str">
        <f>IF(Inalla!D42="Não",Inalla!C42, "")</f>
        <v>Arcane Signet</v>
      </c>
      <c r="F46" t="str">
        <v xml:space="preserve"> </v>
      </c>
      <c r="G46" t="str">
        <f>IF(Carlos!D50="Não",Carlos!C50, " ")</f>
        <v xml:space="preserve"> </v>
      </c>
      <c r="J46" t="str">
        <v xml:space="preserve"> </v>
      </c>
      <c r="K46" t="str">
        <f>IF(Oona!D51="Não",Oona!C51, " ")</f>
        <v xml:space="preserve"> </v>
      </c>
      <c r="N46" t="str">
        <v xml:space="preserve"> </v>
      </c>
      <c r="O46" t="str">
        <f>IF(Kresh!D46="Não",Kresh!C46, " ")</f>
        <v>Bugenhagen, Wise Elder</v>
      </c>
      <c r="R46" t="str">
        <v xml:space="preserve"> </v>
      </c>
      <c r="S46" t="str">
        <f>IF(Akiri!D47="Não",Akiri!C47, " ")</f>
        <v xml:space="preserve"> </v>
      </c>
      <c r="V46" t="str">
        <v xml:space="preserve"> </v>
      </c>
      <c r="W46" t="str">
        <f>IF(Breya!D84="Não",Breya!C84, " ")</f>
        <v xml:space="preserve"> </v>
      </c>
    </row>
    <row r="47" spans="2:23" x14ac:dyDescent="0.25">
      <c r="B47" t="str">
        <v/>
      </c>
      <c r="C47" t="str">
        <f>IF(Inalla!D55="Não",Inalla!C55, "")</f>
        <v/>
      </c>
      <c r="F47" t="str">
        <v xml:space="preserve"> </v>
      </c>
      <c r="G47" t="str">
        <f>IF(Carlos!D51="Não",Carlos!C51, " ")</f>
        <v xml:space="preserve"> </v>
      </c>
      <c r="J47" t="str">
        <v xml:space="preserve"> </v>
      </c>
      <c r="K47" t="str">
        <f>IF(Oona!D45="Não",Oona!C45, " ")</f>
        <v>Sonic Screwdriver</v>
      </c>
      <c r="N47" t="str">
        <v xml:space="preserve"> </v>
      </c>
      <c r="O47" t="str">
        <f>IF(Kresh!D47="Não",Kresh!C47, " ")</f>
        <v xml:space="preserve"> </v>
      </c>
      <c r="R47" t="str">
        <v xml:space="preserve"> </v>
      </c>
      <c r="S47" t="str">
        <f>IF(Akiri!D49="Não",Akiri!C49, " ")</f>
        <v xml:space="preserve"> </v>
      </c>
      <c r="V47" t="str">
        <v xml:space="preserve"> </v>
      </c>
      <c r="W47" t="str">
        <f>IF(Breya!D94="Não",Breya!C94, " ")</f>
        <v xml:space="preserve"> </v>
      </c>
    </row>
    <row r="48" spans="2:23" x14ac:dyDescent="0.25">
      <c r="B48" t="str">
        <v/>
      </c>
      <c r="C48" t="str">
        <f>IF(Inalla!D72="Não",Inalla!C72, "")</f>
        <v/>
      </c>
      <c r="F48" t="str">
        <v xml:space="preserve"> </v>
      </c>
      <c r="G48" t="str">
        <f>IF(Carlos!D67="Não",Carlos!C67, " ")</f>
        <v>Guia das Almas</v>
      </c>
      <c r="J48" t="str">
        <v xml:space="preserve"> </v>
      </c>
      <c r="K48" t="str">
        <f>IF(Oona!D52="Não",Oona!C52, " ")</f>
        <v xml:space="preserve"> </v>
      </c>
      <c r="N48" t="str">
        <v xml:space="preserve"> </v>
      </c>
      <c r="O48" t="str">
        <f>IF(Kresh!D48="Não",Kresh!C48, " ")</f>
        <v xml:space="preserve"> </v>
      </c>
      <c r="R48" t="str">
        <v xml:space="preserve"> </v>
      </c>
      <c r="S48" t="str">
        <f>IF(Akiri!D75="Não",Akiri!C75, " ")</f>
        <v xml:space="preserve"> </v>
      </c>
      <c r="V48" t="str">
        <v xml:space="preserve"> </v>
      </c>
      <c r="W48" t="str">
        <f>IF(Breya!D48="Não",Breya!C48, " ")</f>
        <v xml:space="preserve"> </v>
      </c>
    </row>
    <row r="49" spans="2:23" x14ac:dyDescent="0.25">
      <c r="B49" t="str">
        <v/>
      </c>
      <c r="C49" t="str">
        <f>IF(Inalla!D73="Não",Inalla!C73, "")</f>
        <v/>
      </c>
      <c r="F49" t="str">
        <v xml:space="preserve"> </v>
      </c>
      <c r="G49" t="str">
        <f>IF(Carlos!D52="Não",Carlos!C52, " ")</f>
        <v>Exemplar of Light</v>
      </c>
      <c r="J49" t="str">
        <v xml:space="preserve"> </v>
      </c>
      <c r="K49" t="str">
        <f>IF(Oona!D53="Não",Oona!C53, " ")</f>
        <v xml:space="preserve"> </v>
      </c>
      <c r="N49" t="str">
        <v xml:space="preserve"> </v>
      </c>
      <c r="O49" t="str">
        <f>IF(Kresh!D49="Não",Kresh!C49, " ")</f>
        <v xml:space="preserve"> </v>
      </c>
      <c r="R49" t="str">
        <v xml:space="preserve"> </v>
      </c>
      <c r="S49" t="str">
        <f>IF(Akiri!D76="Não",Akiri!C76, " ")</f>
        <v>Espada de Luz e Sombra</v>
      </c>
      <c r="V49" t="str">
        <v xml:space="preserve"> </v>
      </c>
      <c r="W49" t="str">
        <f>IF(Breya!D64="Não",Breya!C64, " ")</f>
        <v xml:space="preserve"> </v>
      </c>
    </row>
    <row r="50" spans="2:23" x14ac:dyDescent="0.25">
      <c r="B50" t="str">
        <v/>
      </c>
      <c r="C50" t="str">
        <f>IF(Inalla!D51="Não",Inalla!C51, "")</f>
        <v/>
      </c>
      <c r="F50" t="str">
        <v xml:space="preserve"> </v>
      </c>
      <c r="G50" t="str">
        <f>IF(Carlos!D38="Não",Carlos!C38, " ")</f>
        <v xml:space="preserve"> </v>
      </c>
      <c r="J50" t="str">
        <v xml:space="preserve"> </v>
      </c>
      <c r="K50" t="str">
        <f>IF(Oona!D54="Não",Oona!C54, " ")</f>
        <v xml:space="preserve"> </v>
      </c>
      <c r="N50" t="str">
        <v xml:space="preserve"> </v>
      </c>
      <c r="O50" t="str">
        <f>IF(Kresh!D50="Não",Kresh!C50, " ")</f>
        <v xml:space="preserve"> </v>
      </c>
      <c r="R50" t="str">
        <v xml:space="preserve"> </v>
      </c>
      <c r="S50" t="str">
        <f>IF(Akiri!D50="Não",Akiri!C50, " ")</f>
        <v xml:space="preserve"> </v>
      </c>
      <c r="V50" t="str">
        <v xml:space="preserve"> </v>
      </c>
      <c r="W50" t="str">
        <f>IF(Breya!D63="Não",Breya!C63, " ")</f>
        <v xml:space="preserve"> </v>
      </c>
    </row>
    <row r="51" spans="2:23" x14ac:dyDescent="0.25">
      <c r="B51" t="str">
        <v/>
      </c>
      <c r="C51" t="str">
        <f>IF(Inalla!D52="Não",Inalla!C52, "")</f>
        <v/>
      </c>
      <c r="F51" t="str">
        <v xml:space="preserve"> </v>
      </c>
      <c r="G51" t="str">
        <f>IF(Carlos!D39="Não",Carlos!C39, " ")</f>
        <v xml:space="preserve"> </v>
      </c>
      <c r="J51" t="str">
        <v xml:space="preserve"> </v>
      </c>
      <c r="K51" t="str">
        <f>IF(Oona!D46="Não",Oona!C46, " ")</f>
        <v xml:space="preserve"> </v>
      </c>
      <c r="N51" t="str">
        <v xml:space="preserve"> </v>
      </c>
      <c r="O51" t="str">
        <f>IF(Kresh!D51="Não",Kresh!C51, " ")</f>
        <v xml:space="preserve"> </v>
      </c>
      <c r="R51" t="str">
        <v xml:space="preserve"> </v>
      </c>
      <c r="S51" t="str">
        <f>IF(Akiri!D51="Não",Akiri!C51, " ")</f>
        <v>Cloud, Midgar Mercenary</v>
      </c>
      <c r="V51" t="str">
        <v xml:space="preserve"> </v>
      </c>
      <c r="W51" t="str">
        <f>IF(Breya!D50="Não",Breya!C50, " ")</f>
        <v xml:space="preserve"> </v>
      </c>
    </row>
    <row r="52" spans="2:23" x14ac:dyDescent="0.25">
      <c r="B52" t="str">
        <v/>
      </c>
      <c r="C52" t="str">
        <f>IF(Inalla!D53="Não",Inalla!C53, "")</f>
        <v/>
      </c>
      <c r="F52" t="str">
        <v xml:space="preserve"> </v>
      </c>
      <c r="G52" t="str">
        <f>IF(Carlos!D40="Não",Carlos!C40, " ")</f>
        <v xml:space="preserve"> </v>
      </c>
      <c r="J52" t="str">
        <v xml:space="preserve"> </v>
      </c>
      <c r="K52" t="str">
        <f>IF(Oona!D47="Não",Oona!C47, " ")</f>
        <v xml:space="preserve"> </v>
      </c>
      <c r="N52" t="str">
        <v xml:space="preserve"> </v>
      </c>
      <c r="O52" t="str">
        <f>IF(Kresh!D52="Não",Kresh!C52, " ")</f>
        <v xml:space="preserve"> </v>
      </c>
      <c r="R52" t="str">
        <v xml:space="preserve"> </v>
      </c>
      <c r="S52" t="str">
        <f>IF(Akiri!D55="Não",Akiri!C55, " ")</f>
        <v xml:space="preserve"> </v>
      </c>
      <c r="V52" t="str">
        <v xml:space="preserve"> </v>
      </c>
      <c r="W52" t="str">
        <f>IF(Breya!D51="Não",Breya!C51, " ")</f>
        <v xml:space="preserve"> </v>
      </c>
    </row>
    <row r="53" spans="2:23" x14ac:dyDescent="0.25">
      <c r="B53" t="str">
        <v/>
      </c>
      <c r="C53" t="str">
        <f>IF(Inalla!D54="Não",Inalla!C54, "")</f>
        <v/>
      </c>
      <c r="F53" t="str">
        <v xml:space="preserve"> </v>
      </c>
      <c r="G53" t="str">
        <f>IF(Carlos!D41="Não",Carlos!C41, " ")</f>
        <v xml:space="preserve"> </v>
      </c>
      <c r="J53" t="str">
        <v xml:space="preserve"> </v>
      </c>
      <c r="K53" t="str">
        <f>IF(Oona!D48="Não",Oona!C48, " ")</f>
        <v xml:space="preserve"> </v>
      </c>
      <c r="N53" t="str">
        <v xml:space="preserve"> </v>
      </c>
      <c r="O53" t="str">
        <f>IF(Kresh!D53="Não",Kresh!C53, " ")</f>
        <v xml:space="preserve"> </v>
      </c>
      <c r="R53" t="str">
        <v xml:space="preserve"> </v>
      </c>
      <c r="S53" t="str">
        <f>IF(Akiri!D52="Não",Akiri!C52, " ")</f>
        <v xml:space="preserve"> </v>
      </c>
      <c r="V53" t="str">
        <v xml:space="preserve"> </v>
      </c>
      <c r="W53" t="str">
        <f>IF(Breya!D52="Não",Breya!C52, " ")</f>
        <v xml:space="preserve"> </v>
      </c>
    </row>
    <row r="54" spans="2:23" x14ac:dyDescent="0.25">
      <c r="B54" t="str">
        <v/>
      </c>
      <c r="C54" t="str">
        <f>IF(Inalla!D58="Não",Inalla!C58, "")</f>
        <v/>
      </c>
      <c r="F54" t="str">
        <v xml:space="preserve"> </v>
      </c>
      <c r="G54" t="str">
        <f>IF(Carlos!D53="Não",Carlos!C53, " ")</f>
        <v xml:space="preserve"> </v>
      </c>
      <c r="J54" t="str">
        <v xml:space="preserve"> </v>
      </c>
      <c r="K54" t="str">
        <f>IF(Oona!D55="Não",Oona!C55, " ")</f>
        <v xml:space="preserve"> </v>
      </c>
      <c r="N54" t="str">
        <v xml:space="preserve"> </v>
      </c>
      <c r="O54" t="str">
        <f>IF(Kresh!D54="Não",Kresh!C54, " ")</f>
        <v xml:space="preserve"> </v>
      </c>
      <c r="R54" t="str">
        <v xml:space="preserve"> </v>
      </c>
      <c r="S54" t="str">
        <f>IF(Akiri!D53="Não",Akiri!C53, " ")</f>
        <v xml:space="preserve"> </v>
      </c>
      <c r="V54" t="str">
        <v xml:space="preserve"> </v>
      </c>
      <c r="W54" t="str">
        <f>IF(Breya!D53="Não",Breya!C53, " ")</f>
        <v>Long-Range Sensor</v>
      </c>
    </row>
    <row r="55" spans="2:23" x14ac:dyDescent="0.25">
      <c r="B55" t="str">
        <v/>
      </c>
      <c r="C55" t="str">
        <f>IF(Inalla!D96="Não",Inalla!C96, "")</f>
        <v/>
      </c>
      <c r="F55" t="str">
        <v xml:space="preserve"> </v>
      </c>
      <c r="G55" t="str">
        <f>IF(Carlos!D54="Não",Carlos!C54, " ")</f>
        <v xml:space="preserve"> </v>
      </c>
      <c r="J55" t="str">
        <v xml:space="preserve"> </v>
      </c>
      <c r="K55" t="str">
        <f>IF(Oona!D37="Não",Oona!C37, " ")</f>
        <v xml:space="preserve"> </v>
      </c>
      <c r="N55" t="str">
        <v xml:space="preserve"> </v>
      </c>
      <c r="O55" t="str">
        <f>IF(Kresh!D55="Não",Kresh!C55, " ")</f>
        <v xml:space="preserve"> </v>
      </c>
      <c r="R55" t="str">
        <v xml:space="preserve"> </v>
      </c>
      <c r="S55" t="str">
        <f>IF(Akiri!D56="Não",Akiri!C56, " ")</f>
        <v xml:space="preserve"> </v>
      </c>
      <c r="V55" t="str">
        <v xml:space="preserve"> </v>
      </c>
      <c r="W55" t="str">
        <f>IF(Breya!D56="Não",Breya!C56, " ")</f>
        <v xml:space="preserve"> </v>
      </c>
    </row>
    <row r="56" spans="2:23" x14ac:dyDescent="0.25">
      <c r="B56" t="str">
        <v/>
      </c>
      <c r="C56" t="str">
        <f>IF(Inalla!D59="Não",Inalla!C59, "")</f>
        <v/>
      </c>
      <c r="F56" t="str">
        <v xml:space="preserve"> </v>
      </c>
      <c r="G56" t="str">
        <f>IF(Carlos!D55="Não",Carlos!C55, " ")</f>
        <v>Giver of Runes</v>
      </c>
      <c r="J56" t="str">
        <v xml:space="preserve"> </v>
      </c>
      <c r="K56" t="str">
        <f>IF(Oona!D56="Não",Oona!C56, " ")</f>
        <v xml:space="preserve"> </v>
      </c>
      <c r="N56" t="str">
        <v xml:space="preserve"> </v>
      </c>
      <c r="O56" t="str">
        <f>IF(Kresh!D56="Não",Kresh!C56, " ")</f>
        <v xml:space="preserve"> </v>
      </c>
      <c r="R56" t="str">
        <v xml:space="preserve"> </v>
      </c>
      <c r="S56" t="str">
        <f>IF(Akiri!D57="Não",Akiri!C57, " ")</f>
        <v>Firion, Wild Rose Warrior</v>
      </c>
      <c r="V56" t="str">
        <v xml:space="preserve"> </v>
      </c>
      <c r="W56" t="str">
        <f>IF(Breya!D57="Não",Breya!C57, " ")</f>
        <v xml:space="preserve"> </v>
      </c>
    </row>
    <row r="57" spans="2:23" x14ac:dyDescent="0.25">
      <c r="B57" t="str">
        <v/>
      </c>
      <c r="C57" t="str">
        <f>IF(Inalla!D60="Não",Inalla!C60, "")</f>
        <v/>
      </c>
      <c r="F57" t="str">
        <v xml:space="preserve"> </v>
      </c>
      <c r="G57" t="str">
        <f>IF(Carlos!D56="Não",Carlos!C56, " ")</f>
        <v xml:space="preserve"> </v>
      </c>
      <c r="J57" t="str">
        <v xml:space="preserve"> </v>
      </c>
      <c r="K57" t="str">
        <f>IF(Oona!D57="Não",Oona!C57, " ")</f>
        <v xml:space="preserve"> </v>
      </c>
      <c r="N57" t="str">
        <v xml:space="preserve"> </v>
      </c>
      <c r="O57" t="str">
        <f>IF(Kresh!D57="Não",Kresh!C57, " ")</f>
        <v xml:space="preserve"> </v>
      </c>
      <c r="R57" t="str">
        <v xml:space="preserve"> </v>
      </c>
      <c r="S57" t="str">
        <f>IF(Akiri!D45="Não",Akiri!C45, " ")</f>
        <v xml:space="preserve"> </v>
      </c>
      <c r="V57" t="str">
        <v xml:space="preserve"> </v>
      </c>
      <c r="W57" t="str">
        <f>IF(Breya!D58="Não",Breya!C58, " ")</f>
        <v xml:space="preserve"> </v>
      </c>
    </row>
    <row r="58" spans="2:23" x14ac:dyDescent="0.25">
      <c r="B58" t="str">
        <v/>
      </c>
      <c r="C58" t="str">
        <f>IF(Inalla!D61="Não",Inalla!C61, "")</f>
        <v/>
      </c>
      <c r="F58" t="str">
        <v xml:space="preserve"> </v>
      </c>
      <c r="G58" t="str">
        <f>IF(Carlos!D57="Não",Carlos!C57, " ")</f>
        <v xml:space="preserve"> </v>
      </c>
      <c r="J58" t="str">
        <v xml:space="preserve"> </v>
      </c>
      <c r="K58" t="str">
        <f>IF(Oona!D58="Não",Oona!C58, " ")</f>
        <v xml:space="preserve"> </v>
      </c>
      <c r="N58" t="str">
        <v xml:space="preserve"> </v>
      </c>
      <c r="O58" t="str">
        <f>IF(Kresh!D58="Não",Kresh!C58, " ")</f>
        <v>Pain for All</v>
      </c>
      <c r="R58" t="str">
        <v xml:space="preserve"> </v>
      </c>
      <c r="S58" t="str">
        <f>IF(Akiri!D54="Não",Akiri!C54, " ")</f>
        <v>Kellan, the Fae-Blooded // Birthright Boon</v>
      </c>
      <c r="V58" t="str">
        <v xml:space="preserve"> </v>
      </c>
      <c r="W58" t="str">
        <f>IF(Breya!D59="Não",Breya!C59, " ")</f>
        <v xml:space="preserve"> </v>
      </c>
    </row>
    <row r="59" spans="2:23" x14ac:dyDescent="0.25">
      <c r="B59" t="str">
        <v/>
      </c>
      <c r="C59" t="str">
        <f>IF(Inalla!D62="Não",Inalla!C62, "")</f>
        <v/>
      </c>
      <c r="F59" t="str">
        <v xml:space="preserve"> </v>
      </c>
      <c r="G59" t="str">
        <f>IF(Carlos!D58="Não",Carlos!C58, " ")</f>
        <v xml:space="preserve"> </v>
      </c>
      <c r="J59" t="str">
        <v xml:space="preserve"> </v>
      </c>
      <c r="K59" t="str">
        <f>IF(Oona!D59="Não",Oona!C59, " ")</f>
        <v xml:space="preserve"> </v>
      </c>
      <c r="N59" t="str">
        <v xml:space="preserve"> </v>
      </c>
      <c r="O59" t="str">
        <f>IF(Kresh!D59="Não",Kresh!C59, " ")</f>
        <v xml:space="preserve"> </v>
      </c>
      <c r="R59" t="str">
        <v xml:space="preserve"> </v>
      </c>
      <c r="S59" t="str">
        <f>IF(Akiri!D48="Não",Akiri!C48, " ")</f>
        <v>Stoneforge Mystic</v>
      </c>
      <c r="V59" t="str">
        <v xml:space="preserve"> </v>
      </c>
      <c r="W59" t="str">
        <f>IF(Breya!D60="Não",Breya!C60, " ")</f>
        <v xml:space="preserve"> </v>
      </c>
    </row>
    <row r="60" spans="2:23" x14ac:dyDescent="0.25">
      <c r="B60" t="str">
        <v/>
      </c>
      <c r="C60" t="str">
        <f>IF(Inalla!D63="Não",Inalla!C63, "")</f>
        <v/>
      </c>
      <c r="F60" t="str">
        <v xml:space="preserve"> </v>
      </c>
      <c r="G60" t="str">
        <f>IF(Carlos!D59="Não",Carlos!C59, " ")</f>
        <v xml:space="preserve"> </v>
      </c>
      <c r="J60" t="str">
        <v xml:space="preserve"> </v>
      </c>
      <c r="K60" t="str">
        <f>IF(Oona!D61="Não",Oona!C61, " ")</f>
        <v xml:space="preserve"> </v>
      </c>
      <c r="N60" t="str">
        <v xml:space="preserve"> </v>
      </c>
      <c r="O60" t="str">
        <f>IF(Kresh!D60="Não",Kresh!C60, " ")</f>
        <v xml:space="preserve"> </v>
      </c>
      <c r="R60" t="str">
        <v xml:space="preserve"> </v>
      </c>
      <c r="S60" t="str">
        <f>IF(Akiri!D58="Não",Akiri!C58, " ")</f>
        <v xml:space="preserve"> </v>
      </c>
      <c r="V60" t="str">
        <v xml:space="preserve"> </v>
      </c>
      <c r="W60" t="str">
        <f>IF(Breya!D61="Não",Breya!C61, " ")</f>
        <v xml:space="preserve"> </v>
      </c>
    </row>
    <row r="61" spans="2:23" x14ac:dyDescent="0.25">
      <c r="B61" t="str">
        <v/>
      </c>
      <c r="C61" t="str">
        <f>IF(Inalla!D64="Não",Inalla!C64, "")</f>
        <v/>
      </c>
      <c r="F61" t="str">
        <v xml:space="preserve"> </v>
      </c>
      <c r="G61" t="str">
        <f>IF(Carlos!D60="Não",Carlos!C60, " ")</f>
        <v>Mother of runes</v>
      </c>
      <c r="J61" t="str">
        <v xml:space="preserve"> </v>
      </c>
      <c r="K61" t="str">
        <f>IF(Oona!D62="Não",Oona!C62, " ")</f>
        <v>Três Passos à Frente</v>
      </c>
      <c r="N61" t="str">
        <v xml:space="preserve"> </v>
      </c>
      <c r="O61" t="str">
        <f>IF(Kresh!D61="Não",Kresh!C61, " ")</f>
        <v xml:space="preserve"> </v>
      </c>
      <c r="R61" t="str">
        <v xml:space="preserve"> </v>
      </c>
      <c r="S61" t="str">
        <f>IF(Akiri!D59="Não",Akiri!C59, " ")</f>
        <v xml:space="preserve"> </v>
      </c>
      <c r="V61" t="str">
        <v xml:space="preserve"> </v>
      </c>
      <c r="W61" t="str">
        <f>IF(Breya!D65="Não",Breya!C65, " ")</f>
        <v xml:space="preserve"> </v>
      </c>
    </row>
    <row r="62" spans="2:23" x14ac:dyDescent="0.25">
      <c r="B62" t="str">
        <v/>
      </c>
      <c r="C62" t="str">
        <f>IF(Inalla!D65="Não",Inalla!C65, "")</f>
        <v/>
      </c>
      <c r="F62" t="str">
        <v xml:space="preserve"> </v>
      </c>
      <c r="G62" t="str">
        <f>IF(Carlos!D61="Não",Carlos!C61, " ")</f>
        <v xml:space="preserve"> </v>
      </c>
      <c r="J62" t="str">
        <v xml:space="preserve"> </v>
      </c>
      <c r="K62" t="str">
        <f>IF(Oona!D87="Não",Oona!C87, " ")</f>
        <v xml:space="preserve"> </v>
      </c>
      <c r="N62" t="str">
        <v xml:space="preserve"> </v>
      </c>
      <c r="O62" t="str">
        <f>IF(Kresh!D62="Não",Kresh!C62, " ")</f>
        <v xml:space="preserve"> </v>
      </c>
      <c r="R62" t="str">
        <v xml:space="preserve"> </v>
      </c>
      <c r="S62" t="str">
        <f>IF(Akiri!D60="Não",Akiri!C60, " ")</f>
        <v xml:space="preserve"> </v>
      </c>
      <c r="V62" t="str">
        <v xml:space="preserve"> </v>
      </c>
      <c r="W62" t="str">
        <f>IF(Breya!D66="Não",Breya!C66, " ")</f>
        <v xml:space="preserve"> </v>
      </c>
    </row>
    <row r="63" spans="2:23" x14ac:dyDescent="0.25">
      <c r="B63" t="str">
        <v/>
      </c>
      <c r="C63" t="str">
        <f>IF(Inalla!D80="Não",Inalla!C80, "")</f>
        <v>Burnt Offering</v>
      </c>
      <c r="F63" t="str">
        <v xml:space="preserve"> </v>
      </c>
      <c r="G63" t="str">
        <f>IF(Carlos!D62="Não",Carlos!C62, " ")</f>
        <v xml:space="preserve"> </v>
      </c>
      <c r="J63" t="str">
        <v xml:space="preserve"> </v>
      </c>
      <c r="K63" t="str">
        <f>IF(Oona!D85="Não",Oona!C85, " ")</f>
        <v>Invasion of Segovia</v>
      </c>
      <c r="N63" t="str">
        <v xml:space="preserve"> </v>
      </c>
      <c r="O63" t="str">
        <f>IF(Kresh!D63="Não",Kresh!C63, " ")</f>
        <v xml:space="preserve"> </v>
      </c>
      <c r="R63" t="str">
        <v xml:space="preserve"> </v>
      </c>
      <c r="S63" t="str">
        <f>IF(Akiri!D61="Não",Akiri!C61, " ")</f>
        <v xml:space="preserve"> </v>
      </c>
      <c r="V63" t="str">
        <v xml:space="preserve"> </v>
      </c>
      <c r="W63" t="str">
        <f>IF(Breya!D67="Não",Breya!C67, " ")</f>
        <v xml:space="preserve"> </v>
      </c>
    </row>
    <row r="64" spans="2:23" x14ac:dyDescent="0.25">
      <c r="B64" t="str">
        <v/>
      </c>
      <c r="C64" t="str">
        <f>IF(Inalla!D66="Não",Inalla!C66, "")</f>
        <v/>
      </c>
      <c r="F64" t="str">
        <v xml:space="preserve"> </v>
      </c>
      <c r="G64" t="str">
        <f>IF(Carlos!D63="Não",Carlos!C63, " ")</f>
        <v xml:space="preserve"> </v>
      </c>
      <c r="J64" t="str">
        <v xml:space="preserve"> </v>
      </c>
      <c r="K64" t="str">
        <f>IF(Oona!D63="Não",Oona!C63, " ")</f>
        <v xml:space="preserve"> </v>
      </c>
      <c r="N64" t="str">
        <v xml:space="preserve"> </v>
      </c>
      <c r="O64" t="str">
        <f>IF(Kresh!D64="Não",Kresh!C64, " ")</f>
        <v xml:space="preserve"> </v>
      </c>
      <c r="R64" t="str">
        <v xml:space="preserve"> </v>
      </c>
      <c r="S64" t="str">
        <f>IF(Akiri!D62="Não",Akiri!C62, " ")</f>
        <v xml:space="preserve"> </v>
      </c>
      <c r="V64" t="str">
        <v xml:space="preserve"> </v>
      </c>
      <c r="W64" t="str">
        <f>IF(Breya!D68="Não",Breya!C68, " ")</f>
        <v xml:space="preserve"> </v>
      </c>
    </row>
    <row r="65" spans="2:23" x14ac:dyDescent="0.25">
      <c r="B65" t="str">
        <v/>
      </c>
      <c r="C65" t="str">
        <f>IF(Inalla!D67="Não",Inalla!C67, "")</f>
        <v/>
      </c>
      <c r="F65" t="str">
        <v xml:space="preserve"> </v>
      </c>
      <c r="G65" t="str">
        <f>IF(Carlos!D64="Não",Carlos!C64, " ")</f>
        <v xml:space="preserve"> </v>
      </c>
      <c r="J65" t="str">
        <v xml:space="preserve"> </v>
      </c>
      <c r="K65" t="str">
        <f>IF(Oona!D60="Não",Oona!C60, " ")</f>
        <v xml:space="preserve"> </v>
      </c>
      <c r="N65" t="str">
        <v xml:space="preserve"> </v>
      </c>
      <c r="O65" t="str">
        <f>IF(Kresh!D65="Não",Kresh!C65, " ")</f>
        <v xml:space="preserve"> </v>
      </c>
      <c r="R65" t="str">
        <v xml:space="preserve"> </v>
      </c>
      <c r="S65" t="str">
        <f>IF(Akiri!D63="Não",Akiri!C63, " ")</f>
        <v xml:space="preserve"> </v>
      </c>
      <c r="V65" t="str">
        <v xml:space="preserve"> </v>
      </c>
      <c r="W65" t="str">
        <f>IF(Breya!D55="Não",Breya!C55, " ")</f>
        <v xml:space="preserve"> </v>
      </c>
    </row>
    <row r="66" spans="2:23" x14ac:dyDescent="0.25">
      <c r="B66" t="str">
        <v/>
      </c>
      <c r="C66" t="str">
        <f>IF(Inalla!D68="Não",Inalla!C68, "")</f>
        <v/>
      </c>
      <c r="F66" t="str">
        <v xml:space="preserve"> </v>
      </c>
      <c r="G66" t="str">
        <f>IF(Carlos!D65="Não",Carlos!C65, " ")</f>
        <v xml:space="preserve"> </v>
      </c>
      <c r="J66" t="str">
        <v xml:space="preserve"> </v>
      </c>
      <c r="K66" t="str">
        <f>IF(Oona!D64="Não",Oona!C64, " ")</f>
        <v xml:space="preserve"> </v>
      </c>
      <c r="N66" t="str">
        <v xml:space="preserve"> </v>
      </c>
      <c r="O66" t="str">
        <f>IF(Kresh!D66="Não",Kresh!C66, " ")</f>
        <v xml:space="preserve"> </v>
      </c>
      <c r="R66" t="str">
        <v xml:space="preserve"> </v>
      </c>
      <c r="S66" t="str">
        <f>IF(Akiri!D64="Não",Akiri!C64, " ")</f>
        <v xml:space="preserve"> </v>
      </c>
      <c r="V66" t="str">
        <v xml:space="preserve"> </v>
      </c>
      <c r="W66" t="str">
        <f>IF(Breya!D62="Não",Breya!C62, " ")</f>
        <v xml:space="preserve"> </v>
      </c>
    </row>
    <row r="67" spans="2:23" x14ac:dyDescent="0.25">
      <c r="B67" t="str">
        <v/>
      </c>
      <c r="C67" t="str">
        <f>IF(Inalla!D70="Não",Inalla!C70, "")</f>
        <v/>
      </c>
      <c r="F67" t="str">
        <v xml:space="preserve"> </v>
      </c>
      <c r="G67" t="str">
        <f>IF(Carlos!D66="Não",Carlos!C66, " ")</f>
        <v xml:space="preserve"> </v>
      </c>
      <c r="J67" t="str">
        <v xml:space="preserve"> </v>
      </c>
      <c r="K67" t="str">
        <f>IF(Oona!D75="Não",Oona!C75, " ")</f>
        <v xml:space="preserve"> </v>
      </c>
      <c r="N67" t="str">
        <v xml:space="preserve"> </v>
      </c>
      <c r="O67" t="str">
        <f>IF(Kresh!D67="Não",Kresh!C67, " ")</f>
        <v xml:space="preserve"> </v>
      </c>
      <c r="R67" t="str">
        <v xml:space="preserve"> </v>
      </c>
      <c r="S67" t="str">
        <f>IF(Akiri!D65="Não",Akiri!C65, " ")</f>
        <v xml:space="preserve"> </v>
      </c>
      <c r="V67" t="str">
        <v xml:space="preserve"> </v>
      </c>
      <c r="W67" t="str">
        <f>IF(Breya!D69="Não",Breya!C69, " ")</f>
        <v xml:space="preserve"> </v>
      </c>
    </row>
    <row r="68" spans="2:23" x14ac:dyDescent="0.25">
      <c r="B68" t="str">
        <v/>
      </c>
      <c r="C68" t="str">
        <f>IF(Inalla!D71="Não",Inalla!C71, "")</f>
        <v/>
      </c>
      <c r="F68" t="str">
        <v xml:space="preserve"> </v>
      </c>
      <c r="G68" t="str">
        <f>IF(Carlos!D68="Não",Carlos!C68, " ")</f>
        <v xml:space="preserve"> </v>
      </c>
      <c r="J68" t="str">
        <v xml:space="preserve"> </v>
      </c>
      <c r="K68" t="str">
        <f>IF(Oona!D65="Não",Oona!C65, " ")</f>
        <v xml:space="preserve"> </v>
      </c>
      <c r="N68" t="str">
        <v xml:space="preserve"> </v>
      </c>
      <c r="O68" t="str">
        <f>IF(Kresh!D68="Não",Kresh!C68, " ")</f>
        <v>Saqueador Amaldiçoado</v>
      </c>
      <c r="R68" t="str">
        <v xml:space="preserve"> </v>
      </c>
      <c r="S68" t="str">
        <f>IF(Akiri!D66="Não",Akiri!C66, " ")</f>
        <v xml:space="preserve"> </v>
      </c>
      <c r="V68" t="str">
        <v xml:space="preserve"> </v>
      </c>
      <c r="W68" t="str">
        <f>IF(Breya!D70="Não",Breya!C70, " ")</f>
        <v xml:space="preserve"> </v>
      </c>
    </row>
    <row r="69" spans="2:23" x14ac:dyDescent="0.25">
      <c r="B69" t="str">
        <v/>
      </c>
      <c r="C69" t="str">
        <f>IF(Inalla!D83="Não",Inalla!C83, "")</f>
        <v/>
      </c>
      <c r="F69" t="str">
        <v xml:space="preserve"> </v>
      </c>
      <c r="G69" t="str">
        <f>IF(Carlos!D69="Não",Carlos!C69, " ")</f>
        <v xml:space="preserve"> </v>
      </c>
      <c r="J69" t="str">
        <v xml:space="preserve"> </v>
      </c>
      <c r="K69" t="str">
        <f>IF(Oona!D66="Não",Oona!C66, " ")</f>
        <v xml:space="preserve"> </v>
      </c>
      <c r="N69" t="str">
        <v xml:space="preserve"> </v>
      </c>
      <c r="O69" t="str">
        <f>IF(Kresh!D69="Não",Kresh!C69, " ")</f>
        <v xml:space="preserve"> </v>
      </c>
      <c r="R69" t="str">
        <v xml:space="preserve"> </v>
      </c>
      <c r="S69" t="str">
        <f>IF(Akiri!D67="Não",Akiri!C67, " ")</f>
        <v xml:space="preserve"> </v>
      </c>
      <c r="V69" t="str">
        <v xml:space="preserve"> </v>
      </c>
      <c r="W69" t="str">
        <f>IF(Breya!D54="Não",Breya!C54, " ")</f>
        <v xml:space="preserve"> </v>
      </c>
    </row>
    <row r="70" spans="2:23" x14ac:dyDescent="0.25">
      <c r="B70" t="str">
        <v/>
      </c>
      <c r="C70" t="str">
        <f>IF(Inalla!D69="Não",Inalla!C69, "")</f>
        <v/>
      </c>
      <c r="F70" t="str">
        <v xml:space="preserve"> </v>
      </c>
      <c r="G70" t="str">
        <f>IF(Carlos!D70="Não",Carlos!C70, " ")</f>
        <v xml:space="preserve"> </v>
      </c>
      <c r="J70" t="str">
        <v xml:space="preserve"> </v>
      </c>
      <c r="K70" t="str">
        <f>IF(Oona!D67="Não",Oona!C67, " ")</f>
        <v xml:space="preserve"> </v>
      </c>
      <c r="N70" t="str">
        <v xml:space="preserve"> </v>
      </c>
      <c r="O70" t="str">
        <f>IF(Kresh!D70="Não",Kresh!C70, " ")</f>
        <v xml:space="preserve"> </v>
      </c>
      <c r="R70" t="str">
        <v xml:space="preserve"> </v>
      </c>
      <c r="S70" t="str">
        <f>IF(Akiri!D68="Não",Akiri!C68, " ")</f>
        <v xml:space="preserve"> </v>
      </c>
      <c r="V70" t="str">
        <v xml:space="preserve"> </v>
      </c>
      <c r="W70" t="str">
        <f>IF(Breya!D71="Não",Breya!C71, " ")</f>
        <v xml:space="preserve"> </v>
      </c>
    </row>
    <row r="71" spans="2:23" x14ac:dyDescent="0.25">
      <c r="B71" t="str">
        <v/>
      </c>
      <c r="C71" t="str">
        <f>IF(Inalla!D75="Não",Inalla!C75, "")</f>
        <v/>
      </c>
      <c r="F71" t="str">
        <v xml:space="preserve"> </v>
      </c>
      <c r="G71" t="str">
        <f>IF(Carlos!D71="Não",Carlos!C71, " ")</f>
        <v xml:space="preserve"> </v>
      </c>
      <c r="J71" t="str">
        <v xml:space="preserve"> </v>
      </c>
      <c r="K71" t="str">
        <f>IF(Oona!D68="Não",Oona!C68, " ")</f>
        <v xml:space="preserve"> </v>
      </c>
      <c r="N71" t="str">
        <v xml:space="preserve"> </v>
      </c>
      <c r="O71" t="str">
        <f>IF(Kresh!D71="Não",Kresh!C71, " ")</f>
        <v xml:space="preserve"> </v>
      </c>
      <c r="R71" t="str">
        <v xml:space="preserve"> </v>
      </c>
      <c r="S71" t="str">
        <f>IF(Akiri!D69="Não",Akiri!C69, " ")</f>
        <v xml:space="preserve"> </v>
      </c>
      <c r="V71" t="str">
        <v xml:space="preserve"> </v>
      </c>
      <c r="W71" t="str">
        <f>IF(Breya!D72="Não",Breya!C72, " ")</f>
        <v xml:space="preserve"> </v>
      </c>
    </row>
    <row r="72" spans="2:23" x14ac:dyDescent="0.25">
      <c r="B72" t="str">
        <v/>
      </c>
      <c r="C72" t="str">
        <f>IF(Inalla!D76="Não",Inalla!C76, "")</f>
        <v>Negociador de Almas do Viveiro</v>
      </c>
      <c r="F72" t="str">
        <v xml:space="preserve"> </v>
      </c>
      <c r="G72" t="str">
        <f>IF(Carlos!D72="Não",Carlos!C72, " ")</f>
        <v>Sorin da Casa Markov</v>
      </c>
      <c r="J72" t="str">
        <v xml:space="preserve"> </v>
      </c>
      <c r="K72" t="str">
        <f>IF(Oona!D69="Não",Oona!C69, " ")</f>
        <v xml:space="preserve"> </v>
      </c>
      <c r="N72" t="str">
        <v xml:space="preserve"> </v>
      </c>
      <c r="O72" t="str">
        <f>IF(Kresh!D72="Não",Kresh!C72, " ")</f>
        <v xml:space="preserve"> </v>
      </c>
      <c r="R72" t="str">
        <v xml:space="preserve"> </v>
      </c>
      <c r="S72" t="str">
        <f>IF(Akiri!D70="Não",Akiri!C70, " ")</f>
        <v xml:space="preserve"> </v>
      </c>
      <c r="V72" t="str">
        <v xml:space="preserve"> </v>
      </c>
      <c r="W72" t="str">
        <f>IF(Breya!D74="Não",Breya!C74, " ")</f>
        <v xml:space="preserve"> </v>
      </c>
    </row>
    <row r="73" spans="2:23" x14ac:dyDescent="0.25">
      <c r="B73" t="str">
        <v/>
      </c>
      <c r="C73" t="str">
        <f>IF(Inalla!D77="Não",Inalla!C77, "")</f>
        <v/>
      </c>
      <c r="F73" t="str">
        <v xml:space="preserve"> </v>
      </c>
      <c r="G73" t="str">
        <f>IF(Carlos!D73="Não",Carlos!C73, " ")</f>
        <v>Autoridade dos Cônsules</v>
      </c>
      <c r="J73" t="str">
        <v xml:space="preserve"> </v>
      </c>
      <c r="K73" t="str">
        <f>IF(Oona!D70="Não",Oona!C70, " ")</f>
        <v xml:space="preserve"> </v>
      </c>
      <c r="N73" t="str">
        <v xml:space="preserve"> </v>
      </c>
      <c r="O73" t="str">
        <f>IF(Kresh!D73="Não",Kresh!C73, " ")</f>
        <v>Chandra's Ignition</v>
      </c>
      <c r="R73" t="str">
        <v xml:space="preserve"> </v>
      </c>
      <c r="S73" t="str">
        <f>IF(Akiri!D71="Não",Akiri!C71, " ")</f>
        <v xml:space="preserve"> </v>
      </c>
      <c r="V73" t="str">
        <v xml:space="preserve"> </v>
      </c>
      <c r="W73" t="str">
        <f>IF(Breya!D96="Não",Breya!C96, " ")</f>
        <v xml:space="preserve"> </v>
      </c>
    </row>
    <row r="74" spans="2:23" x14ac:dyDescent="0.25">
      <c r="B74" t="str">
        <v/>
      </c>
      <c r="C74" t="str">
        <f>IF(Inalla!D78="Não",Inalla!C78, "")</f>
        <v/>
      </c>
      <c r="F74" t="str">
        <v xml:space="preserve"> </v>
      </c>
      <c r="G74" t="str">
        <f>IF(Carlos!D74="Não",Carlos!C74, " ")</f>
        <v>Haliya, Guided by Light</v>
      </c>
      <c r="J74" t="str">
        <v xml:space="preserve"> </v>
      </c>
      <c r="K74" t="str">
        <f>IF(Oona!D71="Não",Oona!C71, " ")</f>
        <v xml:space="preserve"> </v>
      </c>
      <c r="N74" t="str">
        <v xml:space="preserve"> </v>
      </c>
      <c r="O74" t="str">
        <f>IF(Kresh!D74="Não",Kresh!C74, " ")</f>
        <v xml:space="preserve"> </v>
      </c>
      <c r="R74" t="str">
        <v xml:space="preserve"> </v>
      </c>
      <c r="S74" t="str">
        <f>IF(Akiri!D72="Não",Akiri!C72, " ")</f>
        <v xml:space="preserve"> </v>
      </c>
      <c r="V74" t="str">
        <v xml:space="preserve"> </v>
      </c>
      <c r="W74" t="str">
        <f>IF(Breya!D49="Não",Breya!C49, " ")</f>
        <v xml:space="preserve"> </v>
      </c>
    </row>
    <row r="75" spans="2:23" x14ac:dyDescent="0.25">
      <c r="B75" t="str">
        <v/>
      </c>
      <c r="C75" t="str">
        <f>IF(Inalla!D79="Não",Inalla!C79, "")</f>
        <v/>
      </c>
      <c r="F75" t="str">
        <v xml:space="preserve"> </v>
      </c>
      <c r="G75" t="str">
        <f>IF(Carlos!D75="Não",Carlos!C75, " ")</f>
        <v xml:space="preserve"> </v>
      </c>
      <c r="J75" t="str">
        <v xml:space="preserve"> </v>
      </c>
      <c r="K75" t="str">
        <f>IF(Oona!D72="Não",Oona!C72, " ")</f>
        <v xml:space="preserve"> </v>
      </c>
      <c r="N75" t="str">
        <v xml:space="preserve"> </v>
      </c>
      <c r="O75" t="str">
        <f>IF(Kresh!D75="Não",Kresh!C75, " ")</f>
        <v xml:space="preserve"> </v>
      </c>
      <c r="R75" t="str">
        <v xml:space="preserve"> </v>
      </c>
      <c r="S75" t="str">
        <f>IF(Akiri!D73="Não",Akiri!C73, " ")</f>
        <v xml:space="preserve"> </v>
      </c>
      <c r="V75" t="str">
        <v xml:space="preserve"> </v>
      </c>
      <c r="W75" t="str">
        <f>IF(Breya!D77="Não",Breya!C77, " ")</f>
        <v xml:space="preserve"> </v>
      </c>
    </row>
    <row r="76" spans="2:23" x14ac:dyDescent="0.25">
      <c r="B76" t="str">
        <v/>
      </c>
      <c r="C76" t="str">
        <f>IF(Inalla!D43="Não",Inalla!C43, "")</f>
        <v/>
      </c>
      <c r="F76" t="str">
        <v xml:space="preserve"> </v>
      </c>
      <c r="G76" t="str">
        <f>IF(Carlos!D76="Não",Carlos!C76, " ")</f>
        <v xml:space="preserve"> </v>
      </c>
      <c r="J76" t="str">
        <v xml:space="preserve"> </v>
      </c>
      <c r="K76" t="str">
        <f>IF(Oona!D74="Não",Oona!C74, " ")</f>
        <v xml:space="preserve"> </v>
      </c>
      <c r="N76" t="str">
        <v xml:space="preserve"> </v>
      </c>
      <c r="O76" t="str">
        <f>IF(Kresh!D76="Não",Kresh!C76, " ")</f>
        <v xml:space="preserve"> </v>
      </c>
      <c r="R76" t="str">
        <v xml:space="preserve"> </v>
      </c>
      <c r="S76" t="str">
        <f>IF(Akiri!D74="Não",Akiri!C74, " ")</f>
        <v>Espada de Verdade e Justiça</v>
      </c>
      <c r="V76" t="str">
        <v xml:space="preserve"> </v>
      </c>
      <c r="W76" t="str">
        <f>IF(Breya!D75="Não",Breya!C75, " ")</f>
        <v xml:space="preserve"> </v>
      </c>
    </row>
    <row r="77" spans="2:23" x14ac:dyDescent="0.25">
      <c r="B77" t="str">
        <v/>
      </c>
      <c r="C77" t="str">
        <f>IF(Inalla!D44="Não",Inalla!C44, "")</f>
        <v/>
      </c>
      <c r="F77" t="str">
        <v xml:space="preserve"> </v>
      </c>
      <c r="G77" t="str">
        <f>IF(Carlos!D77="Não",Carlos!C77, " ")</f>
        <v xml:space="preserve"> </v>
      </c>
      <c r="J77" t="str">
        <v xml:space="preserve"> </v>
      </c>
      <c r="K77" t="str">
        <f>IF(Oona!D77="Não",Oona!C77, " ")</f>
        <v xml:space="preserve"> </v>
      </c>
      <c r="N77" t="str">
        <v xml:space="preserve"> </v>
      </c>
      <c r="O77" t="str">
        <f>IF(Kresh!D77="Não",Kresh!C77, " ")</f>
        <v>Nibelheim Aflame</v>
      </c>
      <c r="R77" t="str">
        <v xml:space="preserve"> </v>
      </c>
      <c r="S77" t="str">
        <f>IF(Akiri!D77="Não",Akiri!C77, " ")</f>
        <v>Espada de Fogo e Gelo</v>
      </c>
      <c r="V77" t="str">
        <v xml:space="preserve"> </v>
      </c>
      <c r="W77" t="str">
        <f>IF(Breya!D79="Não",Breya!C79, " ")</f>
        <v xml:space="preserve"> </v>
      </c>
    </row>
    <row r="78" spans="2:23" x14ac:dyDescent="0.25">
      <c r="B78" t="str">
        <v/>
      </c>
      <c r="C78" t="str">
        <f>IF(Inalla!D97="Não",Inalla!C97, "")</f>
        <v/>
      </c>
      <c r="F78" t="str">
        <v xml:space="preserve"> </v>
      </c>
      <c r="G78" t="str">
        <f>IF(Carlos!D78="Não",Carlos!C78, " ")</f>
        <v xml:space="preserve"> </v>
      </c>
      <c r="J78" t="str">
        <v xml:space="preserve"> </v>
      </c>
      <c r="K78" t="str">
        <f>IF(Oona!D78="Não",Oona!C78, " ")</f>
        <v xml:space="preserve"> </v>
      </c>
      <c r="N78" t="str">
        <v xml:space="preserve"> </v>
      </c>
      <c r="O78" t="str">
        <f>IF(Kresh!D78="Não",Kresh!C78, " ")</f>
        <v xml:space="preserve"> </v>
      </c>
      <c r="R78" t="str">
        <v xml:space="preserve"> </v>
      </c>
      <c r="S78" t="str">
        <f>IF(Akiri!D78="Não",Akiri!C78, " ")</f>
        <v>Espada de Banquete e Fome</v>
      </c>
      <c r="V78" t="str">
        <v xml:space="preserve"> </v>
      </c>
      <c r="W78" t="str">
        <f>IF(Breya!D80="Não",Breya!C80, " ")</f>
        <v>Weapons Manufacturing</v>
      </c>
    </row>
    <row r="79" spans="2:23" x14ac:dyDescent="0.25">
      <c r="B79" t="str">
        <v/>
      </c>
      <c r="C79" t="str">
        <f>IF(Inalla!D38="Não",Inalla!C38, "")</f>
        <v/>
      </c>
      <c r="F79" t="str">
        <v xml:space="preserve"> </v>
      </c>
      <c r="G79" t="str">
        <f>IF(Carlos!D79="Não",Carlos!C79, " ")</f>
        <v xml:space="preserve"> </v>
      </c>
      <c r="J79" t="str">
        <v xml:space="preserve"> </v>
      </c>
      <c r="K79" t="str">
        <f>IF(Oona!D79="Não",Oona!C79, " ")</f>
        <v xml:space="preserve"> </v>
      </c>
      <c r="N79" t="str">
        <v xml:space="preserve"> </v>
      </c>
      <c r="O79" t="str">
        <f>IF(Kresh!D79="Não",Kresh!C79, " ")</f>
        <v xml:space="preserve"> </v>
      </c>
      <c r="R79" t="str">
        <v xml:space="preserve"> </v>
      </c>
      <c r="S79" t="str">
        <f>IF(Akiri!D79="Não",Akiri!C79, " ")</f>
        <v xml:space="preserve"> </v>
      </c>
      <c r="V79" t="str">
        <v xml:space="preserve"> </v>
      </c>
      <c r="W79" t="str">
        <f>IF(Breya!D39="Não",Breya!C39, " ")</f>
        <v xml:space="preserve"> </v>
      </c>
    </row>
    <row r="80" spans="2:23" x14ac:dyDescent="0.25">
      <c r="B80" t="str">
        <v/>
      </c>
      <c r="C80" t="str">
        <f>IF(Inalla!D39="Não",Inalla!C39, "")</f>
        <v/>
      </c>
      <c r="F80" t="str">
        <v xml:space="preserve"> </v>
      </c>
      <c r="G80" t="str">
        <f>IF(Carlos!D80="Não",Carlos!C80, " ")</f>
        <v xml:space="preserve"> </v>
      </c>
      <c r="J80" t="str">
        <v xml:space="preserve"> </v>
      </c>
      <c r="K80" t="str">
        <f>IF(Oona!D80="Não",Oona!C80, " ")</f>
        <v xml:space="preserve"> </v>
      </c>
      <c r="N80" t="str">
        <v xml:space="preserve"> </v>
      </c>
      <c r="O80" t="str">
        <f>IF(Kresh!D80="Não",Kresh!C80, " ")</f>
        <v xml:space="preserve"> </v>
      </c>
      <c r="R80" t="str">
        <v xml:space="preserve"> </v>
      </c>
      <c r="S80" t="str">
        <f>IF(Akiri!D80="Não",Akiri!C80, " ")</f>
        <v xml:space="preserve"> </v>
      </c>
      <c r="V80" t="str">
        <v xml:space="preserve"> </v>
      </c>
      <c r="W80" t="str">
        <f>IF(Breya!D83="Não",Breya!C83, " ")</f>
        <v xml:space="preserve"> </v>
      </c>
    </row>
    <row r="81" spans="2:23" x14ac:dyDescent="0.25">
      <c r="B81" t="str">
        <v/>
      </c>
      <c r="C81" t="str">
        <f>IF(Inalla!D40="Não",Inalla!C40, "")</f>
        <v/>
      </c>
      <c r="F81" t="str">
        <v xml:space="preserve"> </v>
      </c>
      <c r="G81" t="str">
        <f>IF(Carlos!D81="Não",Carlos!C81, " ")</f>
        <v xml:space="preserve"> </v>
      </c>
      <c r="J81" t="str">
        <v xml:space="preserve"> </v>
      </c>
      <c r="K81" t="str">
        <f>IF(Oona!D81="Não",Oona!C81, " ")</f>
        <v>Season of Weaving</v>
      </c>
      <c r="N81" t="str">
        <v xml:space="preserve"> </v>
      </c>
      <c r="O81" t="str">
        <f>IF(Kresh!D81="Não",Kresh!C81, " ")</f>
        <v xml:space="preserve"> </v>
      </c>
      <c r="R81" t="str">
        <v xml:space="preserve"> </v>
      </c>
      <c r="S81" t="str">
        <f>IF(Akiri!D81="Não",Akiri!C81, " ")</f>
        <v xml:space="preserve"> </v>
      </c>
      <c r="V81" t="str">
        <v xml:space="preserve"> </v>
      </c>
      <c r="W81" t="str">
        <f>IF(Breya!D85="Não",Breya!C85, " ")</f>
        <v xml:space="preserve"> </v>
      </c>
    </row>
    <row r="82" spans="2:23" x14ac:dyDescent="0.25">
      <c r="B82" t="str">
        <v/>
      </c>
      <c r="C82" t="str">
        <f>IF(Inalla!D41="Não",Inalla!C41, "")</f>
        <v/>
      </c>
      <c r="F82" t="str">
        <v xml:space="preserve"> </v>
      </c>
      <c r="G82" t="str">
        <f>IF(Carlos!D82="Não",Carlos!C82, " ")</f>
        <v xml:space="preserve"> </v>
      </c>
      <c r="J82" t="str">
        <v xml:space="preserve"> </v>
      </c>
      <c r="K82" t="str">
        <f>IF(Oona!D82="Não",Oona!C82, " ")</f>
        <v xml:space="preserve"> </v>
      </c>
      <c r="N82" t="str">
        <v xml:space="preserve"> </v>
      </c>
      <c r="O82" t="str">
        <f>IF(Kresh!D82="Não",Kresh!C82, " ")</f>
        <v>High-Society Hunter</v>
      </c>
      <c r="R82" t="str">
        <v xml:space="preserve"> </v>
      </c>
      <c r="S82" t="str">
        <f>IF(Akiri!D82="Não",Akiri!C82, " ")</f>
        <v xml:space="preserve"> </v>
      </c>
      <c r="V82" t="str">
        <v xml:space="preserve"> </v>
      </c>
      <c r="W82" t="str">
        <f>IF(Breya!D95="Não",Breya!C95, " ")</f>
        <v xml:space="preserve"> </v>
      </c>
    </row>
    <row r="83" spans="2:23" x14ac:dyDescent="0.25">
      <c r="B83" t="str">
        <v/>
      </c>
      <c r="C83" t="str">
        <f>IF(Inalla!D45="Não",Inalla!C45, "")</f>
        <v/>
      </c>
      <c r="F83" t="str">
        <v xml:space="preserve"> </v>
      </c>
      <c r="G83" t="str">
        <f>IF(Carlos!D83="Não",Carlos!C83, " ")</f>
        <v xml:space="preserve"> </v>
      </c>
      <c r="J83" t="str">
        <v xml:space="preserve"> </v>
      </c>
      <c r="K83" t="str">
        <f>IF(Oona!D83="Não",Oona!C83, " ")</f>
        <v xml:space="preserve"> </v>
      </c>
      <c r="N83" t="str">
        <v xml:space="preserve"> </v>
      </c>
      <c r="O83" t="str">
        <f>IF(Kresh!D83="Não",Kresh!C83, " ")</f>
        <v xml:space="preserve"> </v>
      </c>
      <c r="R83" t="str">
        <v xml:space="preserve"> </v>
      </c>
      <c r="S83" t="str">
        <f>IF(Akiri!D83="Não",Akiri!C83, " ")</f>
        <v xml:space="preserve"> </v>
      </c>
      <c r="V83" t="str">
        <v xml:space="preserve"> </v>
      </c>
      <c r="W83" t="str">
        <f>IF(Breya!D73="Não",Breya!C73, " ")</f>
        <v xml:space="preserve"> </v>
      </c>
    </row>
    <row r="84" spans="2:23" x14ac:dyDescent="0.25">
      <c r="B84" t="str">
        <v/>
      </c>
      <c r="C84" t="str">
        <f>IF(Inalla!D88="Não",Inalla!C88, "")</f>
        <v/>
      </c>
      <c r="F84" t="str">
        <v xml:space="preserve"> </v>
      </c>
      <c r="G84" t="str">
        <f>IF(Carlos!D84="Não",Carlos!C84, " ")</f>
        <v xml:space="preserve"> </v>
      </c>
      <c r="J84" t="str">
        <v xml:space="preserve"> </v>
      </c>
      <c r="K84" t="str">
        <f>IF(Oona!D84="Não",Oona!C84, " ")</f>
        <v>Unstoppable Plan</v>
      </c>
      <c r="N84" t="str">
        <v xml:space="preserve"> </v>
      </c>
      <c r="O84" t="str">
        <f>IF(Kresh!D84="Não",Kresh!C84, " ")</f>
        <v xml:space="preserve"> </v>
      </c>
      <c r="R84" t="str">
        <v xml:space="preserve"> </v>
      </c>
      <c r="S84" t="str">
        <f>IF(Akiri!D86="Não",Akiri!C86, " ")</f>
        <v xml:space="preserve"> </v>
      </c>
      <c r="V84" t="str">
        <v xml:space="preserve"> </v>
      </c>
      <c r="W84" t="str">
        <f>IF(Breya!D86="Não",Breya!C86, " ")</f>
        <v xml:space="preserve"> </v>
      </c>
    </row>
    <row r="85" spans="2:23" x14ac:dyDescent="0.25">
      <c r="B85" t="str">
        <v/>
      </c>
      <c r="C85" t="str">
        <f>IF(Inalla!D89="Não",Inalla!C89, "")</f>
        <v/>
      </c>
      <c r="F85" t="str">
        <v xml:space="preserve"> </v>
      </c>
      <c r="G85" t="str">
        <f>IF(Carlos!D85="Não",Carlos!C85, " ")</f>
        <v xml:space="preserve"> </v>
      </c>
      <c r="J85" t="str">
        <v xml:space="preserve"> </v>
      </c>
      <c r="K85" t="str">
        <f>IF(Oona!D86="Não",Oona!C86, " ")</f>
        <v xml:space="preserve"> </v>
      </c>
      <c r="N85" t="str">
        <v xml:space="preserve"> </v>
      </c>
      <c r="O85" t="str">
        <f>IF(Kresh!D85="Não",Kresh!C85, " ")</f>
        <v xml:space="preserve"> </v>
      </c>
      <c r="R85" t="str">
        <v xml:space="preserve"> </v>
      </c>
      <c r="S85" t="str">
        <f>IF(Akiri!D87="Não",Akiri!C87, " ")</f>
        <v>Jitte Perdida</v>
      </c>
      <c r="V85" t="str">
        <v xml:space="preserve"> </v>
      </c>
      <c r="W85" t="str">
        <f>IF(Breya!D87="Não",Breya!C87, " ")</f>
        <v xml:space="preserve"> </v>
      </c>
    </row>
    <row r="86" spans="2:23" x14ac:dyDescent="0.25">
      <c r="B86" t="str">
        <v/>
      </c>
      <c r="C86" t="str">
        <f>IF(Inalla!D90="Não",Inalla!C90, "")</f>
        <v/>
      </c>
      <c r="F86" t="str">
        <v xml:space="preserve"> </v>
      </c>
      <c r="G86" t="str">
        <f>IF(Carlos!D86="Não",Carlos!C86, " ")</f>
        <v xml:space="preserve"> </v>
      </c>
      <c r="J86" t="str">
        <v xml:space="preserve"> </v>
      </c>
      <c r="K86" t="str">
        <f>IF(Oona!D99="Não",Oona!C99, " ")</f>
        <v xml:space="preserve"> </v>
      </c>
      <c r="N86" t="str">
        <v xml:space="preserve"> </v>
      </c>
      <c r="O86" t="str">
        <f>IF(Kresh!D86="Não",Kresh!C86, " ")</f>
        <v xml:space="preserve"> </v>
      </c>
      <c r="R86" t="str">
        <v xml:space="preserve"> </v>
      </c>
      <c r="S86" t="str">
        <f>IF(Akiri!D84="Não",Akiri!C84, " ")</f>
        <v>Espada da Riqueza e do Poder</v>
      </c>
      <c r="V86" t="str">
        <v xml:space="preserve"> </v>
      </c>
      <c r="W86" t="str">
        <f>IF(Breya!D88="Não",Breya!C88, " ")</f>
        <v xml:space="preserve"> </v>
      </c>
    </row>
    <row r="87" spans="2:23" x14ac:dyDescent="0.25">
      <c r="B87" t="str">
        <v/>
      </c>
      <c r="C87" t="str">
        <f>IF(Inalla!D91="Não",Inalla!C91, "")</f>
        <v/>
      </c>
      <c r="F87" t="str">
        <v xml:space="preserve"> </v>
      </c>
      <c r="G87" t="str">
        <f>IF(Carlos!D87="Não",Carlos!C87, " ")</f>
        <v xml:space="preserve"> </v>
      </c>
      <c r="J87" t="str">
        <v xml:space="preserve"> </v>
      </c>
      <c r="K87" t="str">
        <f>IF(Oona!D88="Não",Oona!C88, " ")</f>
        <v xml:space="preserve"> </v>
      </c>
      <c r="N87" t="str">
        <v xml:space="preserve"> </v>
      </c>
      <c r="O87" t="str">
        <f>IF(Kresh!D87="Não",Kresh!C87, " ")</f>
        <v>Jenova, Ancient Calamity</v>
      </c>
      <c r="R87" t="str">
        <v xml:space="preserve"> </v>
      </c>
      <c r="S87" t="str">
        <f>IF(Akiri!D85="Não",Akiri!C85, " ")</f>
        <v xml:space="preserve"> </v>
      </c>
      <c r="V87" t="str">
        <v xml:space="preserve"> </v>
      </c>
      <c r="W87" t="str">
        <f>IF(Breya!D92="Não",Breya!C92, " ")</f>
        <v xml:space="preserve"> </v>
      </c>
    </row>
    <row r="88" spans="2:23" x14ac:dyDescent="0.25">
      <c r="B88" t="str">
        <v/>
      </c>
      <c r="C88" t="str">
        <f>IF(Inalla!D92="Não",Inalla!C92, "")</f>
        <v/>
      </c>
      <c r="F88" t="str">
        <v xml:space="preserve"> </v>
      </c>
      <c r="G88" t="str">
        <f>IF(Carlos!D88="Não",Carlos!C88, " ")</f>
        <v xml:space="preserve"> </v>
      </c>
      <c r="J88" t="str">
        <v xml:space="preserve"> </v>
      </c>
      <c r="K88" t="str">
        <f>IF(Oona!D89="Não",Oona!C89, " ")</f>
        <v xml:space="preserve"> </v>
      </c>
      <c r="N88" t="str">
        <v xml:space="preserve"> </v>
      </c>
      <c r="O88" t="str">
        <f>IF(Kresh!D88="Não",Kresh!C88, " ")</f>
        <v xml:space="preserve"> </v>
      </c>
      <c r="R88" t="str">
        <v xml:space="preserve"> </v>
      </c>
      <c r="S88" t="str">
        <f>IF(Akiri!D88="Não",Akiri!C88, " ")</f>
        <v xml:space="preserve"> </v>
      </c>
      <c r="V88" t="str">
        <v xml:space="preserve"> </v>
      </c>
      <c r="W88" t="str">
        <f>IF(Breya!D89="Não",Breya!C89, " ")</f>
        <v xml:space="preserve"> </v>
      </c>
    </row>
    <row r="89" spans="2:23" x14ac:dyDescent="0.25">
      <c r="B89" t="str">
        <v/>
      </c>
      <c r="C89" t="str">
        <f>IF(Inalla!D93="Não",Inalla!C93, "")</f>
        <v/>
      </c>
      <c r="F89" t="str">
        <v xml:space="preserve"> </v>
      </c>
      <c r="G89" t="str">
        <f>IF(Carlos!D89="Não",Carlos!C89, " ")</f>
        <v xml:space="preserve"> </v>
      </c>
      <c r="J89" t="str">
        <v xml:space="preserve"> </v>
      </c>
      <c r="K89" t="str">
        <f>IF(Oona!D90="Não",Oona!C90, " ")</f>
        <v xml:space="preserve"> </v>
      </c>
      <c r="N89" t="str">
        <v xml:space="preserve"> </v>
      </c>
      <c r="O89" t="str">
        <f>IF(Kresh!D89="Não",Kresh!C89, " ")</f>
        <v xml:space="preserve"> </v>
      </c>
      <c r="R89" t="str">
        <v xml:space="preserve"> </v>
      </c>
      <c r="S89" t="str">
        <f>IF(Akiri!D89="Não",Akiri!C89, " ")</f>
        <v xml:space="preserve"> </v>
      </c>
      <c r="V89" t="str">
        <v xml:space="preserve"> </v>
      </c>
      <c r="W89" t="str">
        <f>IF(Breya!D90="Não",Breya!C90, " ")</f>
        <v xml:space="preserve"> </v>
      </c>
    </row>
    <row r="90" spans="2:23" x14ac:dyDescent="0.25">
      <c r="B90" t="str">
        <v/>
      </c>
      <c r="C90" t="str">
        <f>IF(Inalla!D94="Não",Inalla!C94, "")</f>
        <v>Saw in Half</v>
      </c>
      <c r="F90" t="str">
        <v xml:space="preserve"> </v>
      </c>
      <c r="G90" t="str">
        <f>IF(Carlos!D90="Não",Carlos!C90, " ")</f>
        <v xml:space="preserve"> </v>
      </c>
      <c r="J90" t="str">
        <v xml:space="preserve"> </v>
      </c>
      <c r="K90" t="str">
        <f>IF(Oona!D91="Não",Oona!C91, " ")</f>
        <v xml:space="preserve"> </v>
      </c>
      <c r="N90" t="str">
        <v xml:space="preserve"> </v>
      </c>
      <c r="O90" t="str">
        <f>IF(Kresh!D90="Não",Kresh!C90, " ")</f>
        <v>The Masamune</v>
      </c>
      <c r="R90" t="str">
        <v xml:space="preserve"> </v>
      </c>
      <c r="S90" t="str">
        <f>IF(Akiri!D90="Não",Akiri!C90, " ")</f>
        <v xml:space="preserve"> </v>
      </c>
      <c r="V90" t="str">
        <v xml:space="preserve"> </v>
      </c>
      <c r="W90" t="str">
        <f>IF(Breya!D76="Não",Breya!C76, " ")</f>
        <v xml:space="preserve"> </v>
      </c>
    </row>
    <row r="91" spans="2:23" x14ac:dyDescent="0.25">
      <c r="B91" t="str">
        <v/>
      </c>
      <c r="C91" t="str">
        <f>IF(Inalla!D98="Não",Inalla!C98, "")</f>
        <v/>
      </c>
      <c r="F91" t="str">
        <v xml:space="preserve"> </v>
      </c>
      <c r="G91" t="str">
        <f>IF(Carlos!D91="Não",Carlos!C91, " ")</f>
        <v>Ascensão do Avernus</v>
      </c>
      <c r="J91" t="str">
        <v xml:space="preserve"> </v>
      </c>
      <c r="K91" t="str">
        <f>IF(Oona!D92="Não",Oona!C92, " ")</f>
        <v xml:space="preserve"> </v>
      </c>
      <c r="N91" t="str">
        <v xml:space="preserve"> </v>
      </c>
      <c r="O91" t="str">
        <f>IF(Kresh!D91="Não",Kresh!C91, " ")</f>
        <v>Red XIII, Proud Warrior</v>
      </c>
      <c r="R91" t="str">
        <v xml:space="preserve"> </v>
      </c>
      <c r="S91" t="str">
        <f>IF(Akiri!D91="Não",Akiri!C91, " ")</f>
        <v xml:space="preserve"> </v>
      </c>
      <c r="V91" t="str">
        <v xml:space="preserve"> </v>
      </c>
      <c r="W91" t="str">
        <f>IF(Breya!D91="Não",Breya!C91, " ")</f>
        <v xml:space="preserve"> </v>
      </c>
    </row>
    <row r="92" spans="2:23" x14ac:dyDescent="0.25">
      <c r="B92" t="str">
        <v/>
      </c>
      <c r="C92" t="str">
        <f>IF(Inalla!D81="Não",Inalla!C81, "")</f>
        <v>Molten Echoes</v>
      </c>
      <c r="F92" t="str">
        <v xml:space="preserve"> </v>
      </c>
      <c r="G92" t="str">
        <f>IF(Carlos!D92="Não",Carlos!C92, " ")</f>
        <v xml:space="preserve"> </v>
      </c>
      <c r="J92" t="str">
        <v xml:space="preserve"> </v>
      </c>
      <c r="K92" t="str">
        <f>IF(Oona!D73="Não",Oona!C73, " ")</f>
        <v xml:space="preserve"> </v>
      </c>
      <c r="N92" t="str">
        <v xml:space="preserve"> </v>
      </c>
      <c r="O92" t="str">
        <f>IF(Kresh!D92="Não",Kresh!C92, " ")</f>
        <v xml:space="preserve"> </v>
      </c>
      <c r="R92" t="str">
        <v xml:space="preserve"> </v>
      </c>
      <c r="S92" t="str">
        <f>IF(Akiri!D92="Não",Akiri!C92, " ")</f>
        <v>Lightning Greaves</v>
      </c>
      <c r="V92" t="str">
        <v xml:space="preserve"> </v>
      </c>
      <c r="W92" t="str">
        <f>IF(Breya!D97="Não",Breya!C97, " ")</f>
        <v xml:space="preserve"> </v>
      </c>
    </row>
    <row r="93" spans="2:23" x14ac:dyDescent="0.25">
      <c r="B93" t="str">
        <v/>
      </c>
      <c r="C93" t="str">
        <f>IF(Inalla!D100="Não",Inalla!C100, "")</f>
        <v/>
      </c>
      <c r="F93" t="str">
        <v xml:space="preserve"> </v>
      </c>
      <c r="G93" t="str">
        <f>IF(Carlos!D93="Não",Carlos!C93, " ")</f>
        <v xml:space="preserve"> </v>
      </c>
      <c r="J93" t="str">
        <v xml:space="preserve"> </v>
      </c>
      <c r="K93" t="str">
        <f>IF(Oona!D93="Não",Oona!C93, " ")</f>
        <v>Scour for Scrap</v>
      </c>
      <c r="N93" t="str">
        <v xml:space="preserve"> </v>
      </c>
      <c r="O93" t="str">
        <f>IF(Kresh!D93="Não",Kresh!C93, " ")</f>
        <v xml:space="preserve"> </v>
      </c>
      <c r="R93" t="str">
        <v xml:space="preserve"> </v>
      </c>
      <c r="S93" t="str">
        <f>IF(Akiri!D93="Não",Akiri!C93, " ")</f>
        <v xml:space="preserve"> </v>
      </c>
      <c r="V93" t="str">
        <v xml:space="preserve"> </v>
      </c>
      <c r="W93" t="str">
        <f>IF(Breya!D78="Não",Breya!C78, " ")</f>
        <v xml:space="preserve"> </v>
      </c>
    </row>
    <row r="94" spans="2:23" x14ac:dyDescent="0.25">
      <c r="B94" t="str">
        <v/>
      </c>
      <c r="C94" t="str">
        <f>IF(Inalla!D82="Não",Inalla!C82, "")</f>
        <v/>
      </c>
      <c r="F94" t="str">
        <v xml:space="preserve"> </v>
      </c>
      <c r="G94" t="str">
        <f>IF(Carlos!D94="Não",Carlos!C94, " ")</f>
        <v xml:space="preserve"> </v>
      </c>
      <c r="J94" t="str">
        <v xml:space="preserve"> </v>
      </c>
      <c r="K94" t="str">
        <f>IF(Oona!D94="Não",Oona!C94, " ")</f>
        <v xml:space="preserve"> </v>
      </c>
      <c r="N94" t="str">
        <v xml:space="preserve"> </v>
      </c>
      <c r="O94" t="str">
        <f>IF(Kresh!D94="Não",Kresh!C94, " ")</f>
        <v xml:space="preserve"> </v>
      </c>
      <c r="R94" t="str">
        <v xml:space="preserve"> </v>
      </c>
      <c r="S94" t="str">
        <f>IF(Akiri!D94="Não",Akiri!C94, " ")</f>
        <v xml:space="preserve"> </v>
      </c>
      <c r="V94" t="str">
        <v xml:space="preserve"> </v>
      </c>
      <c r="W94" t="str">
        <f>IF(Breya!D93="Não",Breya!C93, " ")</f>
        <v xml:space="preserve"> </v>
      </c>
    </row>
    <row r="95" spans="2:23" x14ac:dyDescent="0.25">
      <c r="B95" t="str">
        <v/>
      </c>
      <c r="C95" t="str">
        <f>IF(Inalla!D84="Não",Inalla!C84, "")</f>
        <v/>
      </c>
      <c r="F95" t="str">
        <v xml:space="preserve"> </v>
      </c>
      <c r="G95" t="str">
        <f>IF(Carlos!D95="Não",Carlos!C95, " ")</f>
        <v xml:space="preserve"> </v>
      </c>
      <c r="J95" t="str">
        <v xml:space="preserve"> </v>
      </c>
      <c r="K95" t="str">
        <f>IF(Oona!D95="Não",Oona!C95, " ")</f>
        <v xml:space="preserve"> </v>
      </c>
      <c r="N95" t="str">
        <v xml:space="preserve"> </v>
      </c>
      <c r="O95" t="str">
        <f>IF(Kresh!D95="Não",Kresh!C95, " ")</f>
        <v xml:space="preserve"> </v>
      </c>
      <c r="R95" t="str">
        <v xml:space="preserve"> </v>
      </c>
      <c r="S95" t="str">
        <f>IF(Akiri!D95="Não",Akiri!C95, " ")</f>
        <v xml:space="preserve"> </v>
      </c>
      <c r="V95" t="str">
        <v xml:space="preserve"> </v>
      </c>
      <c r="W95" t="str">
        <f>IF(Breya!D98="Não",Breya!C98, " ")</f>
        <v xml:space="preserve"> </v>
      </c>
    </row>
    <row r="96" spans="2:23" x14ac:dyDescent="0.25">
      <c r="B96" t="str">
        <v/>
      </c>
      <c r="C96" t="str">
        <f>IF(Inalla!D85="Não",Inalla!C85, "")</f>
        <v/>
      </c>
      <c r="F96" t="str">
        <v xml:space="preserve"> </v>
      </c>
      <c r="G96" t="str">
        <f>IF(Carlos!D96="Não",Carlos!C96, " ")</f>
        <v xml:space="preserve"> </v>
      </c>
      <c r="J96" t="str">
        <v xml:space="preserve"> </v>
      </c>
      <c r="K96" t="str">
        <f>IF(Oona!D96="Não",Oona!C96, " ")</f>
        <v xml:space="preserve"> </v>
      </c>
      <c r="N96" t="str">
        <v xml:space="preserve"> </v>
      </c>
      <c r="O96" t="str">
        <f>IF(Kresh!D96="Não",Kresh!C96, " ")</f>
        <v xml:space="preserve"> </v>
      </c>
      <c r="R96" t="str">
        <v xml:space="preserve"> </v>
      </c>
      <c r="S96" t="str">
        <f>IF(Akiri!D96="Não",Akiri!C96, " ")</f>
        <v xml:space="preserve"> </v>
      </c>
      <c r="V96" t="str">
        <v xml:space="preserve"> </v>
      </c>
      <c r="W96" t="str">
        <f>IF(Breya!D99="Não",Breya!C99, " ")</f>
        <v xml:space="preserve"> </v>
      </c>
    </row>
    <row r="97" spans="2:23" x14ac:dyDescent="0.25">
      <c r="B97" t="str">
        <v/>
      </c>
      <c r="C97" t="str">
        <f>IF(Inalla!D99="Não",Inalla!C99, "")</f>
        <v/>
      </c>
      <c r="F97" t="str">
        <v xml:space="preserve"> </v>
      </c>
      <c r="G97" t="str">
        <f>IF(Carlos!D97="Não",Carlos!C97, " ")</f>
        <v xml:space="preserve"> </v>
      </c>
      <c r="J97" t="str">
        <v xml:space="preserve"> </v>
      </c>
      <c r="K97" t="str">
        <f>IF(Oona!D97="Não",Oona!C97, " ")</f>
        <v xml:space="preserve"> </v>
      </c>
      <c r="N97" t="str">
        <v xml:space="preserve"> </v>
      </c>
      <c r="O97" t="str">
        <f>IF(Kresh!D97="Não",Kresh!C97, " ")</f>
        <v xml:space="preserve"> </v>
      </c>
      <c r="R97" t="str">
        <v xml:space="preserve"> </v>
      </c>
      <c r="S97" t="str">
        <f>IF(Akiri!D97="Não",Akiri!C97, " ")</f>
        <v xml:space="preserve"> </v>
      </c>
      <c r="V97" t="str">
        <v xml:space="preserve"> </v>
      </c>
      <c r="W97" t="str">
        <f>IF(Breya!D100="Não",Breya!C100, " ")</f>
        <v xml:space="preserve"> </v>
      </c>
    </row>
    <row r="98" spans="2:23" x14ac:dyDescent="0.25">
      <c r="B98" t="str">
        <v/>
      </c>
      <c r="C98" t="str">
        <f>IF(Inalla!D86="Não",Inalla!C86, "")</f>
        <v/>
      </c>
      <c r="F98" t="str">
        <v xml:space="preserve"> </v>
      </c>
      <c r="G98" t="str">
        <f>IF(Carlos!D98="Não",Carlos!C98, " ")</f>
        <v xml:space="preserve"> </v>
      </c>
      <c r="J98" t="str">
        <v xml:space="preserve"> </v>
      </c>
      <c r="K98" t="str">
        <f>IF(Oona!D98="Não",Oona!C98, " ")</f>
        <v xml:space="preserve"> </v>
      </c>
      <c r="N98" t="str">
        <v xml:space="preserve"> </v>
      </c>
      <c r="O98" t="str">
        <f>IF(Kresh!D98="Não",Kresh!C98, " ")</f>
        <v xml:space="preserve"> </v>
      </c>
      <c r="R98" t="str">
        <v xml:space="preserve"> </v>
      </c>
      <c r="S98" t="str">
        <f>IF(Akiri!D98="Não",Akiri!C98, " ")</f>
        <v xml:space="preserve"> </v>
      </c>
      <c r="V98" t="str">
        <v xml:space="preserve"> </v>
      </c>
      <c r="W98" t="str">
        <f>IF(Breya!D82="Não",Breya!C82, " ")</f>
        <v xml:space="preserve"> </v>
      </c>
    </row>
    <row r="99" spans="2:23" x14ac:dyDescent="0.25">
      <c r="B99" t="str">
        <v/>
      </c>
      <c r="C99" t="str">
        <f>IF(Inalla!D87="Não",Inalla!C87, "")</f>
        <v/>
      </c>
      <c r="F99" t="str">
        <v xml:space="preserve"> </v>
      </c>
      <c r="G99" t="str">
        <f>IF(Carlos!D99="Não",Carlos!C99, " ")</f>
        <v xml:space="preserve"> </v>
      </c>
      <c r="J99" t="str">
        <v xml:space="preserve"> </v>
      </c>
      <c r="K99" t="str">
        <f>IF(Oona!D100="Não",Oona!C100, " ")</f>
        <v xml:space="preserve"> </v>
      </c>
      <c r="N99" t="str">
        <v xml:space="preserve"> </v>
      </c>
      <c r="O99" t="str">
        <f>IF(Kresh!D99="Não",Kresh!C99, " ")</f>
        <v xml:space="preserve"> </v>
      </c>
      <c r="R99" t="str">
        <v xml:space="preserve"> </v>
      </c>
      <c r="S99" t="str">
        <f>IF(Akiri!D99="Não",Akiri!C99, " ")</f>
        <v xml:space="preserve"> </v>
      </c>
      <c r="V99" t="str">
        <v xml:space="preserve"> </v>
      </c>
      <c r="W99" t="str">
        <f>IF(Breya!D101="Não",Breya!C101, " ")</f>
        <v xml:space="preserve"> </v>
      </c>
    </row>
    <row r="100" spans="2:23" x14ac:dyDescent="0.25">
      <c r="B100" t="str">
        <v/>
      </c>
      <c r="C100" t="str">
        <f>IF(Inalla!D95="Não",Inalla!C95, "")</f>
        <v/>
      </c>
      <c r="F100" t="str">
        <v xml:space="preserve"> </v>
      </c>
      <c r="G100" t="str">
        <f>IF(Carlos!D100="Não",Carlos!C100, " ")</f>
        <v xml:space="preserve"> </v>
      </c>
      <c r="J100" t="str">
        <v xml:space="preserve"> </v>
      </c>
      <c r="K100" t="str">
        <f>IF(Oona!D101="Não",Oona!C101, " ")</f>
        <v xml:space="preserve"> </v>
      </c>
      <c r="N100" t="str">
        <v xml:space="preserve"> </v>
      </c>
      <c r="O100" t="str">
        <f>IF(Kresh!D100="Não",Kresh!C100, " ")</f>
        <v xml:space="preserve"> </v>
      </c>
      <c r="R100" t="str">
        <v xml:space="preserve"> </v>
      </c>
      <c r="S100" t="str">
        <f>IF(Akiri!D100="Não",Akiri!C100, " ")</f>
        <v xml:space="preserve"> </v>
      </c>
      <c r="V100" t="str">
        <v xml:space="preserve"> </v>
      </c>
      <c r="W100" t="str">
        <f>IF(Breya!D47="Não",Breya!C47, " ")</f>
        <v xml:space="preserve"> </v>
      </c>
    </row>
    <row r="101" spans="2:23" x14ac:dyDescent="0.25">
      <c r="B101" t="str">
        <v/>
      </c>
      <c r="C101" t="str">
        <f>IF(Inalla!D101="Não",Inalla!C101, "")</f>
        <v>Diário de Tarrian</v>
      </c>
      <c r="F101" t="str">
        <v xml:space="preserve"> </v>
      </c>
      <c r="G101" t="str">
        <f>IF(Carlos!D101="Não",Carlos!C101, " ")</f>
        <v>Hierofante de Elenda</v>
      </c>
      <c r="J101" t="str">
        <v xml:space="preserve"> </v>
      </c>
      <c r="K101" t="str">
        <f>IF(Oona!D76="Não",Oona!C76, " ")</f>
        <v>Moonlit Meditation</v>
      </c>
      <c r="N101" t="str">
        <v xml:space="preserve"> </v>
      </c>
      <c r="O101" t="str">
        <f>IF(Kresh!D101="Não",Kresh!C101, " ")</f>
        <v xml:space="preserve"> </v>
      </c>
      <c r="R101" t="str">
        <v xml:space="preserve"> </v>
      </c>
      <c r="S101" t="str">
        <f>IF(Akiri!D101="Não",Akiri!C101, " ")</f>
        <v xml:space="preserve"> </v>
      </c>
      <c r="V101" t="str">
        <v xml:space="preserve"> </v>
      </c>
      <c r="W101" t="str">
        <f>IF(Breya!D81="Não",Breya!C81, " ")</f>
        <v>Daretti, Ingenious Iconoclast</v>
      </c>
    </row>
    <row r="102" spans="2:23" x14ac:dyDescent="0.25">
      <c r="C102" t="str">
        <f>IF(Inalla!D102="Não",Inalla!C102, "")</f>
        <v/>
      </c>
      <c r="G102" t="str">
        <f>IF(Carlos!D102="Não",Carlos!C102, " ")</f>
        <v xml:space="preserve"> </v>
      </c>
      <c r="K102" t="str">
        <f>IF(Oona!D102="Não",Oona!C102, " ")</f>
        <v xml:space="preserve"> </v>
      </c>
      <c r="O102" t="str">
        <f>IF(Kresh!D102="Não",Kresh!C102, " ")</f>
        <v xml:space="preserve"> </v>
      </c>
      <c r="W102" t="str">
        <f>IF(Breya!D102="Não",Breya!C102, " ")</f>
        <v xml:space="preserve"> </v>
      </c>
    </row>
    <row r="103" spans="2:23" x14ac:dyDescent="0.25">
      <c r="C103" t="str">
        <f>IF(Inalla!D103="Não",Inalla!C103, "")</f>
        <v/>
      </c>
      <c r="G103" t="str">
        <f>IF(Carlos!D103="Não",Carlos!C103, " ")</f>
        <v xml:space="preserve"> </v>
      </c>
      <c r="K103" t="str">
        <f>IF(Oona!D103="Não",Oona!C103, " ")</f>
        <v xml:space="preserve"> </v>
      </c>
      <c r="O103" t="str">
        <f>IF(Kresh!D103="Não",Kresh!C103, " ")</f>
        <v xml:space="preserve"> </v>
      </c>
      <c r="W103" t="str">
        <f>IF(Breya!D103="Não",Breya!C103, " ")</f>
        <v xml:space="preserve"> </v>
      </c>
    </row>
    <row r="104" spans="2:23" x14ac:dyDescent="0.25">
      <c r="G104" t="str">
        <f>IF(Carlos!D104="Não",Carlos!C104, " ")</f>
        <v xml:space="preserve"> </v>
      </c>
      <c r="K104" t="str">
        <f>IF(Oona!D104="Não",Oona!C104, " ")</f>
        <v xml:space="preserve"> </v>
      </c>
      <c r="O104" t="str">
        <f>IF(Kresh!D104="Não",Kresh!C104, " ")</f>
        <v xml:space="preserve"> </v>
      </c>
      <c r="W104" t="str">
        <f>IF(Breya!D104="Não",Breya!C104, " ")</f>
        <v xml:space="preserve"> </v>
      </c>
    </row>
    <row r="105" spans="2:23" x14ac:dyDescent="0.25">
      <c r="G105" t="str">
        <f>IF(Carlos!D105="Não",Carlos!C105, " ")</f>
        <v xml:space="preserve"> </v>
      </c>
      <c r="K105" t="str">
        <f>IF(Oona!D105="Não",Oona!C105, " ")</f>
        <v xml:space="preserve"> </v>
      </c>
      <c r="W105" t="str">
        <f>IF(Breya!D105="Não",Breya!C105, " ")</f>
        <v xml:space="preserve"> </v>
      </c>
    </row>
    <row r="106" spans="2:23" x14ac:dyDescent="0.25">
      <c r="G106" t="str">
        <f>IF(Carlos!D106="Não",Carlos!C106, " ")</f>
        <v xml:space="preserve"> </v>
      </c>
    </row>
    <row r="107" spans="2:23" x14ac:dyDescent="0.25">
      <c r="G107" t="str">
        <f>IF(Carlos!D107="Não",Carlos!C107, " ")</f>
        <v xml:space="preserve"> </v>
      </c>
    </row>
    <row r="108" spans="2:23" x14ac:dyDescent="0.25">
      <c r="G108" t="str">
        <f>IF(Carlos!D108="Não",Carlos!C108, " ")</f>
        <v xml:space="preserve"> </v>
      </c>
    </row>
    <row r="109" spans="2:23" x14ac:dyDescent="0.25">
      <c r="G109" t="str">
        <f>IF(Carlos!D109="Não",Carlos!C109, " ")</f>
        <v xml:space="preserve"> </v>
      </c>
    </row>
    <row r="110" spans="2:23" x14ac:dyDescent="0.25">
      <c r="G110" t="str">
        <f>IF(Carlos!D110="Não",Carlos!C110, " ")</f>
        <v xml:space="preserve"> </v>
      </c>
    </row>
    <row r="111" spans="2:23" x14ac:dyDescent="0.25">
      <c r="G111" t="str">
        <f>IF(Carlos!D111="Não",Carlos!C111, " ")</f>
        <v xml:space="preserve"> </v>
      </c>
    </row>
    <row r="112" spans="2:23" x14ac:dyDescent="0.25">
      <c r="G112" t="str">
        <f>IF(Carlos!D112="Não",Carlos!C112, " ")</f>
        <v xml:space="preserve"> </v>
      </c>
    </row>
    <row r="113" spans="7:7" x14ac:dyDescent="0.25">
      <c r="G113" t="str">
        <f>IF(Carlos!D113="Não",Carlos!C113, " ")</f>
        <v xml:space="preserve"> </v>
      </c>
    </row>
    <row r="114" spans="7:7" x14ac:dyDescent="0.25">
      <c r="G114" t="str">
        <f>IF(Carlos!D114="Não",Carlos!C114, " ")</f>
        <v xml:space="preserve"> </v>
      </c>
    </row>
    <row r="115" spans="7:7" x14ac:dyDescent="0.25">
      <c r="G115" t="str">
        <f>IF(Carlos!D115="Não",Carlos!C115, " ")</f>
        <v xml:space="preserve"> </v>
      </c>
    </row>
    <row r="116" spans="7:7" x14ac:dyDescent="0.25">
      <c r="G116" t="str">
        <f>IF(Carlos!D116="Não",Carlos!C116, " ")</f>
        <v xml:space="preserve"> </v>
      </c>
    </row>
    <row r="117" spans="7:7" x14ac:dyDescent="0.25">
      <c r="G117" t="str">
        <f>IF(Carlos!D117="Não",Carlos!C117, " ")</f>
        <v xml:space="preserve"> </v>
      </c>
    </row>
    <row r="118" spans="7:7" x14ac:dyDescent="0.25">
      <c r="G118" t="str">
        <f>IF(Carlos!D118="Não",Carlos!C118, " ")</f>
        <v xml:space="preserve"> </v>
      </c>
    </row>
    <row r="119" spans="7:7" x14ac:dyDescent="0.25">
      <c r="G119" t="str">
        <f>IF(Carlos!D119="Não",Carlos!C119, " ")</f>
        <v xml:space="preserve"> </v>
      </c>
    </row>
    <row r="120" spans="7:7" x14ac:dyDescent="0.25">
      <c r="G120" t="str">
        <f>IF(Carlos!D120="Não",Carlos!C120, " ")</f>
        <v xml:space="preserve"> </v>
      </c>
    </row>
    <row r="121" spans="7:7" x14ac:dyDescent="0.25">
      <c r="G121" t="str">
        <f>IF(Carlos!D121="Não",Carlos!C121, " ")</f>
        <v xml:space="preserve"> </v>
      </c>
    </row>
    <row r="122" spans="7:7" x14ac:dyDescent="0.25">
      <c r="G122" t="str">
        <f>IF(Carlos!D122="Não",Carlos!C122, " ")</f>
        <v xml:space="preserve"> </v>
      </c>
    </row>
    <row r="123" spans="7:7" x14ac:dyDescent="0.25">
      <c r="G123" t="str">
        <f>IF(Carlos!D123="Não",Carlos!C123, " ")</f>
        <v xml:space="preserve"> </v>
      </c>
    </row>
    <row r="124" spans="7:7" x14ac:dyDescent="0.25">
      <c r="G124" t="str">
        <f>IF(Carlos!D124="Não",Carlos!C124, " ")</f>
        <v xml:space="preserve"> </v>
      </c>
    </row>
    <row r="125" spans="7:7" x14ac:dyDescent="0.25">
      <c r="G125" t="str">
        <f>IF(Carlos!D125="Não",Carlos!C125, " ")</f>
        <v xml:space="preserve"> </v>
      </c>
    </row>
    <row r="126" spans="7:7" x14ac:dyDescent="0.25">
      <c r="G126" t="str">
        <f>IF(Carlos!D126="Não",Carlos!C126, " ")</f>
        <v xml:space="preserve"> </v>
      </c>
    </row>
    <row r="127" spans="7:7" x14ac:dyDescent="0.25">
      <c r="G127" t="str">
        <f>IF(Carlos!D127="Não",Carlos!C127, " ")</f>
        <v xml:space="preserve"> </v>
      </c>
    </row>
    <row r="128" spans="7:7" x14ac:dyDescent="0.25">
      <c r="G128" t="str">
        <f>IF(Carlos!D128="Não",Carlos!C128, " ")</f>
        <v xml:space="preserve"> </v>
      </c>
    </row>
    <row r="129" spans="7:7" x14ac:dyDescent="0.25">
      <c r="G129" t="str">
        <f>IF(Carlos!D129="Não",Carlos!C129, " ")</f>
        <v xml:space="preserve"> </v>
      </c>
    </row>
    <row r="130" spans="7:7" x14ac:dyDescent="0.25">
      <c r="G130" t="str">
        <f>IF(Carlos!D130="Não",Carlos!C130, " ")</f>
        <v xml:space="preserve"> </v>
      </c>
    </row>
    <row r="131" spans="7:7" x14ac:dyDescent="0.25">
      <c r="G131" t="str">
        <f>IF(Carlos!D131="Não",Carlos!C131, " ")</f>
        <v xml:space="preserve"> </v>
      </c>
    </row>
    <row r="132" spans="7:7" x14ac:dyDescent="0.25">
      <c r="G132" t="str">
        <f>IF(Carlos!D132="Não",Carlos!C132, " ")</f>
        <v xml:space="preserve"> </v>
      </c>
    </row>
    <row r="133" spans="7:7" x14ac:dyDescent="0.25">
      <c r="G133" t="str">
        <f>IF(Carlos!D133="Não",Carlos!C133, " ")</f>
        <v xml:space="preserve"> </v>
      </c>
    </row>
    <row r="134" spans="7:7" x14ac:dyDescent="0.25">
      <c r="G134" t="str">
        <f>IF(Carlos!D134="Não",Carlos!C134, " ")</f>
        <v xml:space="preserve"> </v>
      </c>
    </row>
    <row r="135" spans="7:7" x14ac:dyDescent="0.25">
      <c r="G135" t="str">
        <f>IF(Carlos!D135="Não",Carlos!C135, " ")</f>
        <v xml:space="preserve"> </v>
      </c>
    </row>
    <row r="136" spans="7:7" x14ac:dyDescent="0.25">
      <c r="G136" t="str">
        <f>IF(Carlos!D136="Não",Carlos!C136, " ")</f>
        <v xml:space="preserve"> </v>
      </c>
    </row>
    <row r="137" spans="7:7" x14ac:dyDescent="0.25">
      <c r="G137" t="str">
        <f>IF(Carlos!D137="Não",Carlos!C137, " ")</f>
        <v xml:space="preserve"> </v>
      </c>
    </row>
    <row r="138" spans="7:7" x14ac:dyDescent="0.25">
      <c r="G138" t="str">
        <f>IF(Carlos!D138="Não",Carlos!C138, " ")</f>
        <v xml:space="preserve"> </v>
      </c>
    </row>
    <row r="139" spans="7:7" x14ac:dyDescent="0.25">
      <c r="G139" t="str">
        <f>IF(Carlos!D139="Não",Carlos!C139, " ")</f>
        <v xml:space="preserve"> </v>
      </c>
    </row>
    <row r="140" spans="7:7" x14ac:dyDescent="0.25">
      <c r="G140" t="str">
        <f>IF(Carlos!D140="Não",Carlos!C140, " ")</f>
        <v xml:space="preserve"> </v>
      </c>
    </row>
    <row r="141" spans="7:7" x14ac:dyDescent="0.25">
      <c r="G141" t="str">
        <f>IF(Carlos!D141="Não",Carlos!C141, " ")</f>
        <v xml:space="preserve"> </v>
      </c>
    </row>
    <row r="142" spans="7:7" x14ac:dyDescent="0.25">
      <c r="G142" t="str">
        <f>IF(Carlos!D142="Não",Carlos!C142, " ")</f>
        <v xml:space="preserve"> </v>
      </c>
    </row>
    <row r="143" spans="7:7" x14ac:dyDescent="0.25">
      <c r="G143" t="str">
        <f>IF(Carlos!D143="Não",Carlos!C143, " ")</f>
        <v xml:space="preserve"> </v>
      </c>
    </row>
    <row r="144" spans="7:7" x14ac:dyDescent="0.25">
      <c r="G144" t="str">
        <f>IF(Carlos!D144="Não",Carlos!C144, " ")</f>
        <v xml:space="preserve"> </v>
      </c>
    </row>
    <row r="145" spans="7:7" x14ac:dyDescent="0.25">
      <c r="G145" t="str">
        <f>IF(Carlos!D145="Não",Carlos!C145, " ")</f>
        <v xml:space="preserve"> </v>
      </c>
    </row>
    <row r="146" spans="7:7" x14ac:dyDescent="0.25">
      <c r="G146" t="str">
        <f>IF(Carlos!D146="Não",Carlos!C146, " ")</f>
        <v xml:space="preserve"> </v>
      </c>
    </row>
    <row r="147" spans="7:7" x14ac:dyDescent="0.25">
      <c r="G147" t="str">
        <f>IF(Carlos!D147="Não",Carlos!C147, " ")</f>
        <v xml:space="preserve"> </v>
      </c>
    </row>
    <row r="148" spans="7:7" x14ac:dyDescent="0.25">
      <c r="G148" t="str">
        <f>IF(Carlos!D148="Não",Carlos!C148, " ")</f>
        <v xml:space="preserve"> </v>
      </c>
    </row>
    <row r="149" spans="7:7" x14ac:dyDescent="0.25">
      <c r="G149" t="str">
        <f>IF(Carlos!D149="Não",Carlos!C149, " ")</f>
        <v xml:space="preserve"> </v>
      </c>
    </row>
    <row r="150" spans="7:7" x14ac:dyDescent="0.25">
      <c r="G150" t="str">
        <f>IF(Carlos!D150="Não",Carlos!C150, " ")</f>
        <v xml:space="preserve"> </v>
      </c>
    </row>
    <row r="151" spans="7:7" x14ac:dyDescent="0.25">
      <c r="G151" t="str">
        <f>IF(Carlos!D151="Não",Carlos!C151, " ")</f>
        <v xml:space="preserve"> </v>
      </c>
    </row>
    <row r="152" spans="7:7" x14ac:dyDescent="0.25">
      <c r="G152" t="str">
        <f>IF(Carlos!D152="Não",Carlos!C152, " ")</f>
        <v xml:space="preserve"> </v>
      </c>
    </row>
    <row r="153" spans="7:7" x14ac:dyDescent="0.25">
      <c r="G153" t="str">
        <f>IF(Carlos!D153="Não",Carlos!C153, " ")</f>
        <v xml:space="preserve"> </v>
      </c>
    </row>
    <row r="154" spans="7:7" x14ac:dyDescent="0.25">
      <c r="G154" t="str">
        <f>IF(Carlos!D154="Não",Carlos!C154, " ")</f>
        <v xml:space="preserve"> </v>
      </c>
    </row>
    <row r="155" spans="7:7" x14ac:dyDescent="0.25">
      <c r="G155" t="str">
        <f>IF(Carlos!D155="Não",Carlos!C155, " ")</f>
        <v xml:space="preserve"> </v>
      </c>
    </row>
    <row r="156" spans="7:7" x14ac:dyDescent="0.25">
      <c r="G156" t="str">
        <f>IF(Carlos!D156="Não",Carlos!C156, " ")</f>
        <v xml:space="preserve"> </v>
      </c>
    </row>
    <row r="157" spans="7:7" x14ac:dyDescent="0.25">
      <c r="G157" t="str">
        <f>IF(Carlos!D157="Não",Carlos!C157, " ")</f>
        <v xml:space="preserve"> </v>
      </c>
    </row>
    <row r="158" spans="7:7" x14ac:dyDescent="0.25">
      <c r="G158" t="str">
        <f>IF(Carlos!D158="Não",Carlos!C158, " ")</f>
        <v xml:space="preserve"> </v>
      </c>
    </row>
    <row r="159" spans="7:7" x14ac:dyDescent="0.25">
      <c r="G159" t="str">
        <f>IF(Carlos!D159="Não",Carlos!C159, " ")</f>
        <v xml:space="preserve"> </v>
      </c>
    </row>
    <row r="160" spans="7:7" x14ac:dyDescent="0.25">
      <c r="G160" t="str">
        <f>IF(Carlos!D160="Não",Carlos!C160, " ")</f>
        <v xml:space="preserve"> </v>
      </c>
    </row>
    <row r="161" spans="7:7" x14ac:dyDescent="0.25">
      <c r="G161" t="str">
        <f>IF(Carlos!D161="Não",Carlos!C161, " ")</f>
        <v xml:space="preserve"> </v>
      </c>
    </row>
    <row r="162" spans="7:7" x14ac:dyDescent="0.25">
      <c r="G162" t="str">
        <f>IF(Carlos!D162="Não",Carlos!C162, " ")</f>
        <v xml:space="preserve"> </v>
      </c>
    </row>
    <row r="163" spans="7:7" x14ac:dyDescent="0.25">
      <c r="G163" t="str">
        <f>IF(Carlos!D163="Não",Carlos!C163, " ")</f>
        <v xml:space="preserve"> </v>
      </c>
    </row>
    <row r="164" spans="7:7" x14ac:dyDescent="0.25">
      <c r="G164" t="str">
        <f>IF(Carlos!D164="Não",Carlos!C164, " ")</f>
        <v xml:space="preserve"> </v>
      </c>
    </row>
    <row r="165" spans="7:7" x14ac:dyDescent="0.25">
      <c r="G165" t="str">
        <f>IF(Carlos!D165="Não",Carlos!C165, " ")</f>
        <v xml:space="preserve"> </v>
      </c>
    </row>
    <row r="166" spans="7:7" x14ac:dyDescent="0.25">
      <c r="G166" t="str">
        <f>IF(Carlos!D166="Não",Carlos!C166, " ")</f>
        <v xml:space="preserve"> </v>
      </c>
    </row>
    <row r="167" spans="7:7" x14ac:dyDescent="0.25">
      <c r="G167" t="str">
        <f>IF(Carlos!D167="Não",Carlos!C167, " ")</f>
        <v xml:space="preserve"> </v>
      </c>
    </row>
    <row r="168" spans="7:7" x14ac:dyDescent="0.25">
      <c r="G168" t="str">
        <f>IF(Carlos!D168="Não",Carlos!C168, " ")</f>
        <v xml:space="preserve"> </v>
      </c>
    </row>
    <row r="169" spans="7:7" x14ac:dyDescent="0.25">
      <c r="G169" t="str">
        <f>IF(Carlos!D169="Não",Carlos!C169, " ")</f>
        <v xml:space="preserve"> </v>
      </c>
    </row>
    <row r="170" spans="7:7" x14ac:dyDescent="0.25">
      <c r="G170" t="str">
        <f>IF(Carlos!D170="Não",Carlos!C170, " ")</f>
        <v xml:space="preserve"> </v>
      </c>
    </row>
    <row r="171" spans="7:7" x14ac:dyDescent="0.25">
      <c r="G171" t="str">
        <f>IF(Carlos!D171="Não",Carlos!C171, " ")</f>
        <v xml:space="preserve"> </v>
      </c>
    </row>
    <row r="172" spans="7:7" x14ac:dyDescent="0.25">
      <c r="G172" t="str">
        <f>IF(Carlos!D172="Não",Carlos!C172, " ")</f>
        <v xml:space="preserve"> </v>
      </c>
    </row>
    <row r="173" spans="7:7" x14ac:dyDescent="0.25">
      <c r="G173" t="str">
        <f>IF(Carlos!D173="Não",Carlos!C173, " ")</f>
        <v xml:space="preserve"> </v>
      </c>
    </row>
    <row r="174" spans="7:7" x14ac:dyDescent="0.25">
      <c r="G174" t="str">
        <f>IF(Carlos!D174="Não",Carlos!C174, " ")</f>
        <v xml:space="preserve"> </v>
      </c>
    </row>
    <row r="175" spans="7:7" x14ac:dyDescent="0.25">
      <c r="G175" t="str">
        <f>IF(Carlos!D175="Não",Carlos!C175, " ")</f>
        <v xml:space="preserve"> </v>
      </c>
    </row>
    <row r="176" spans="7:7" x14ac:dyDescent="0.25">
      <c r="G176" t="str">
        <f>IF(Carlos!D176="Não",Carlos!C176, " ")</f>
        <v xml:space="preserve"> </v>
      </c>
    </row>
    <row r="177" spans="7:7" x14ac:dyDescent="0.25">
      <c r="G177" t="str">
        <f>IF(Carlos!D177="Não",Carlos!C177, " ")</f>
        <v xml:space="preserve"> </v>
      </c>
    </row>
    <row r="178" spans="7:7" x14ac:dyDescent="0.25">
      <c r="G178" t="str">
        <f>IF(Carlos!D178="Não",Carlos!C178, " ")</f>
        <v xml:space="preserve"> </v>
      </c>
    </row>
    <row r="179" spans="7:7" x14ac:dyDescent="0.25">
      <c r="G179" t="str">
        <f>IF(Carlos!D179="Não",Carlos!C179, " ")</f>
        <v xml:space="preserve"> </v>
      </c>
    </row>
    <row r="180" spans="7:7" x14ac:dyDescent="0.25">
      <c r="G180" t="str">
        <f>IF(Carlos!D180="Não",Carlos!C180, " ")</f>
        <v xml:space="preserve"> </v>
      </c>
    </row>
    <row r="181" spans="7:7" x14ac:dyDescent="0.25">
      <c r="G181" t="str">
        <f>IF(Carlos!D181="Não",Carlos!C181, " ")</f>
        <v xml:space="preserve"> </v>
      </c>
    </row>
    <row r="182" spans="7:7" x14ac:dyDescent="0.25">
      <c r="G182" t="str">
        <f>IF(Carlos!D182="Não",Carlos!C182, " ")</f>
        <v xml:space="preserve"> </v>
      </c>
    </row>
    <row r="183" spans="7:7" x14ac:dyDescent="0.25">
      <c r="G183" t="str">
        <f>IF(Carlos!D183="Não",Carlos!C183, " ")</f>
        <v xml:space="preserve"> </v>
      </c>
    </row>
    <row r="184" spans="7:7" x14ac:dyDescent="0.25">
      <c r="G184" t="str">
        <f>IF(Carlos!D184="Não",Carlos!C184, " ")</f>
        <v xml:space="preserve"> </v>
      </c>
    </row>
    <row r="185" spans="7:7" x14ac:dyDescent="0.25">
      <c r="G185" t="str">
        <f>IF(Carlos!D185="Não",Carlos!C185, " ")</f>
        <v xml:space="preserve"> </v>
      </c>
    </row>
    <row r="186" spans="7:7" x14ac:dyDescent="0.25">
      <c r="G186" t="str">
        <f>IF(Carlos!D186="Não",Carlos!C186, " ")</f>
        <v xml:space="preserve"> </v>
      </c>
    </row>
    <row r="187" spans="7:7" x14ac:dyDescent="0.25">
      <c r="G187" t="str">
        <f>IF(Carlos!D187="Não",Carlos!C187, " ")</f>
        <v xml:space="preserve"> </v>
      </c>
    </row>
    <row r="188" spans="7:7" x14ac:dyDescent="0.25">
      <c r="G188" t="str">
        <f>IF(Carlos!D188="Não",Carlos!C188, " ")</f>
        <v xml:space="preserve"> </v>
      </c>
    </row>
    <row r="189" spans="7:7" x14ac:dyDescent="0.25">
      <c r="G189" t="str">
        <f>IF(Carlos!D189="Não",Carlos!C189, " ")</f>
        <v xml:space="preserve"> </v>
      </c>
    </row>
    <row r="190" spans="7:7" x14ac:dyDescent="0.25">
      <c r="G190" t="str">
        <f>IF(Carlos!D190="Não",Carlos!C190, " ")</f>
        <v xml:space="preserve"> </v>
      </c>
    </row>
    <row r="191" spans="7:7" x14ac:dyDescent="0.25">
      <c r="G191" t="str">
        <f>IF(Carlos!D191="Não",Carlos!C191, " ")</f>
        <v xml:space="preserve"> </v>
      </c>
    </row>
    <row r="192" spans="7:7" x14ac:dyDescent="0.25">
      <c r="G192" t="str">
        <f>IF(Carlos!D192="Não",Carlos!C192, " ")</f>
        <v xml:space="preserve"> </v>
      </c>
    </row>
    <row r="193" spans="7:7" x14ac:dyDescent="0.25">
      <c r="G193" t="str">
        <f>IF(Carlos!D193="Não",Carlos!C193, " ")</f>
        <v xml:space="preserve"> </v>
      </c>
    </row>
    <row r="194" spans="7:7" x14ac:dyDescent="0.25">
      <c r="G194" t="str">
        <f>IF(Carlos!D194="Não",Carlos!C194, " ")</f>
        <v xml:space="preserve"> </v>
      </c>
    </row>
    <row r="195" spans="7:7" x14ac:dyDescent="0.25">
      <c r="G195" t="str">
        <f>IF(Carlos!D195="Não",Carlos!C195, " ")</f>
        <v xml:space="preserve"> </v>
      </c>
    </row>
    <row r="196" spans="7:7" x14ac:dyDescent="0.25">
      <c r="G196" t="str">
        <f>IF(Carlos!D196="Não",Carlos!C196, " ")</f>
        <v xml:space="preserve"> </v>
      </c>
    </row>
    <row r="197" spans="7:7" x14ac:dyDescent="0.25">
      <c r="G197" t="str">
        <f>IF(Carlos!D197="Não",Carlos!C197, " ")</f>
        <v xml:space="preserve"> </v>
      </c>
    </row>
    <row r="198" spans="7:7" x14ac:dyDescent="0.25">
      <c r="G198" t="str">
        <f>IF(Carlos!D198="Não",Carlos!C198, " ")</f>
        <v xml:space="preserve"> </v>
      </c>
    </row>
    <row r="199" spans="7:7" x14ac:dyDescent="0.25">
      <c r="G199" t="str">
        <f>IF(Carlos!D199="Não",Carlos!C199, " ")</f>
        <v xml:space="preserve"> </v>
      </c>
    </row>
    <row r="200" spans="7:7" x14ac:dyDescent="0.25">
      <c r="G200" t="str">
        <f>IF(Carlos!D200="Não",Carlos!C200, " ")</f>
        <v xml:space="preserve"> </v>
      </c>
    </row>
  </sheetData>
  <mergeCells count="6">
    <mergeCell ref="U1:W2"/>
    <mergeCell ref="A1:C2"/>
    <mergeCell ref="E1:G2"/>
    <mergeCell ref="I1:K2"/>
    <mergeCell ref="M1:O2"/>
    <mergeCell ref="Q1:S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69FF9-8EDE-43D0-B199-308CBECAA6FD}">
  <sheetPr codeName="Planilha6"/>
  <dimension ref="A1:X200"/>
  <sheetViews>
    <sheetView workbookViewId="0">
      <pane ySplit="2" topLeftCell="A3" activePane="bottomLeft" state="frozen"/>
      <selection pane="bottomLeft" activeCell="F20" sqref="F20"/>
    </sheetView>
  </sheetViews>
  <sheetFormatPr defaultRowHeight="15" x14ac:dyDescent="0.25"/>
  <cols>
    <col min="2" max="2" width="26.5703125" bestFit="1" customWidth="1"/>
    <col min="3" max="3" width="14.7109375" hidden="1" customWidth="1"/>
    <col min="4" max="4" width="2.7109375" style="9" customWidth="1"/>
    <col min="6" max="6" width="27.28515625" bestFit="1" customWidth="1"/>
    <col min="7" max="7" width="14.7109375" hidden="1" customWidth="1"/>
    <col min="8" max="8" width="2.7109375" style="9" customWidth="1"/>
    <col min="10" max="10" width="27.28515625" bestFit="1" customWidth="1"/>
    <col min="11" max="11" width="14.7109375" hidden="1" customWidth="1"/>
    <col min="12" max="12" width="2.7109375" style="9" customWidth="1"/>
    <col min="14" max="14" width="30.42578125" bestFit="1" customWidth="1"/>
    <col min="15" max="15" width="14.7109375" hidden="1" customWidth="1"/>
    <col min="16" max="16" width="2.7109375" style="9" customWidth="1"/>
    <col min="18" max="18" width="25.5703125" bestFit="1" customWidth="1"/>
    <col min="19" max="19" width="14.7109375" hidden="1" customWidth="1"/>
    <col min="20" max="20" width="2.7109375" style="9" customWidth="1"/>
    <col min="22" max="22" width="25.5703125" bestFit="1" customWidth="1"/>
    <col min="23" max="23" width="14.7109375" hidden="1" customWidth="1"/>
    <col min="24" max="24" width="2.7109375" style="9" customWidth="1"/>
  </cols>
  <sheetData>
    <row r="1" spans="1:24" s="4" customFormat="1" ht="14.45" customHeight="1" x14ac:dyDescent="0.25">
      <c r="A1" s="27" t="s">
        <v>1859</v>
      </c>
      <c r="B1" s="27"/>
      <c r="C1" s="27"/>
      <c r="D1" s="8"/>
      <c r="E1" s="27" t="s">
        <v>56</v>
      </c>
      <c r="F1" s="27"/>
      <c r="G1" s="27"/>
      <c r="H1" s="8"/>
      <c r="I1" s="27" t="s">
        <v>57</v>
      </c>
      <c r="J1" s="27"/>
      <c r="K1" s="27"/>
      <c r="L1" s="8"/>
      <c r="M1" s="27" t="s">
        <v>58</v>
      </c>
      <c r="N1" s="27"/>
      <c r="O1" s="27"/>
      <c r="P1" s="8"/>
      <c r="Q1" s="27" t="s">
        <v>59</v>
      </c>
      <c r="R1" s="27"/>
      <c r="S1" s="27"/>
      <c r="T1" s="8"/>
      <c r="U1" s="27" t="s">
        <v>60</v>
      </c>
      <c r="V1" s="27"/>
      <c r="W1" s="27"/>
      <c r="X1" s="8"/>
    </row>
    <row r="2" spans="1:24" s="4" customFormat="1" ht="14.45" customHeight="1" x14ac:dyDescent="0.25">
      <c r="A2" s="27"/>
      <c r="B2" s="27"/>
      <c r="C2" s="27"/>
      <c r="D2" s="8"/>
      <c r="E2" s="27"/>
      <c r="F2" s="27"/>
      <c r="G2" s="27"/>
      <c r="H2" s="8"/>
      <c r="I2" s="27"/>
      <c r="J2" s="27"/>
      <c r="K2" s="27"/>
      <c r="L2" s="8"/>
      <c r="M2" s="27"/>
      <c r="N2" s="27"/>
      <c r="O2" s="27"/>
      <c r="P2" s="8"/>
      <c r="Q2" s="27"/>
      <c r="R2" s="27"/>
      <c r="S2" s="27"/>
      <c r="T2" s="8"/>
      <c r="U2" s="27"/>
      <c r="V2" s="27"/>
      <c r="W2" s="27"/>
      <c r="X2" s="8"/>
    </row>
    <row r="3" spans="1:24" x14ac:dyDescent="0.25">
      <c r="A3" s="4" t="s">
        <v>21</v>
      </c>
      <c r="B3" t="str" cm="1">
        <f t="array" ref="B3:B101">_xlfn._xlws.SORT(C3:C101,1,-1,0)</f>
        <v>Xantcha, Agente Adormecida</v>
      </c>
      <c r="C3" t="str">
        <f>IF(Rani!D3="Não",Rani!C3, "")</f>
        <v>Rogue's Passage</v>
      </c>
      <c r="E3" s="4" t="s">
        <v>21</v>
      </c>
      <c r="F3" t="str" cm="1">
        <f t="array" ref="F3:F101">_xlfn._xlws.SORT(G3:G101,1,-1,0)</f>
        <v>Vronos, Masked Inquisitor</v>
      </c>
      <c r="G3" t="str">
        <f>IF(Sisay!D3="Não",Sisay!C3, "")</f>
        <v/>
      </c>
      <c r="I3" s="4" t="s">
        <v>21</v>
      </c>
      <c r="J3" t="str" cm="1">
        <f t="array" ref="J3:J101">_xlfn._xlws.SORT(K3:K101,1,-1,0)</f>
        <v>Warren Soultrader</v>
      </c>
      <c r="K3" t="str">
        <f>IF(OWA!D3="Não",OWA!C3, "")</f>
        <v/>
      </c>
      <c r="M3" s="4" t="s">
        <v>21</v>
      </c>
      <c r="N3" t="str" cm="1">
        <f t="array" ref="N3:N101">_xlfn._xlws.SORT(O3:O101,1,-1,0)</f>
        <v>Zellix, Sanity Flayer</v>
      </c>
      <c r="O3" t="str">
        <f>IF(Narset!D3="Não",Narset!C3,"")</f>
        <v/>
      </c>
      <c r="Q3" s="4" t="s">
        <v>21</v>
      </c>
      <c r="R3" t="str" cm="1">
        <f t="array" ref="R3:R101">_xlfn._xlws.SORT(S3:S101,1,-1,0)</f>
        <v>Vanquisher's Banner</v>
      </c>
      <c r="S3" t="str">
        <f>IF(Kumena!D3="Não",Kumena!C3,"")</f>
        <v>Reliquary Tower</v>
      </c>
      <c r="U3" s="4" t="s">
        <v>21</v>
      </c>
      <c r="V3" t="str" cm="1">
        <f t="array" ref="V3:V101">_xlfn._xlws.SORT(W3:W101,1,-1,0)</f>
        <v>Zagoth Triome</v>
      </c>
      <c r="W3" t="str">
        <f>IF(Zimone!D3="Não",Zimone!C3,"")</f>
        <v/>
      </c>
    </row>
    <row r="4" spans="1:24" x14ac:dyDescent="0.25">
      <c r="A4" s="3">
        <f>Rani!G3</f>
        <v>20</v>
      </c>
      <c r="B4" t="str">
        <v>Trenzalore Clocktower</v>
      </c>
      <c r="C4" t="str">
        <f>IF(Rani!D3="Não",Rani!C3, "")</f>
        <v>Rogue's Passage</v>
      </c>
      <c r="E4" s="3">
        <f>Sisay!G3</f>
        <v>11</v>
      </c>
      <c r="F4" t="str">
        <v>Ripples of Potential</v>
      </c>
      <c r="G4" t="str">
        <f>IF(Sisay!D3="Não",Sisay!C3, "")</f>
        <v/>
      </c>
      <c r="I4" s="3">
        <f>OWA!G3</f>
        <v>7</v>
      </c>
      <c r="J4" t="str">
        <v>Susur Secundi, Void Altar</v>
      </c>
      <c r="K4" t="str">
        <f>IF(OWA!D3="Não",OWA!C3, "")</f>
        <v/>
      </c>
      <c r="M4" s="3">
        <f>Narset!G3</f>
        <v>32</v>
      </c>
      <c r="N4" t="str">
        <v>World at War</v>
      </c>
      <c r="O4" t="str">
        <f>IF(Narset!D3="Não",Narset!C4,"")</f>
        <v/>
      </c>
      <c r="Q4" s="3">
        <f>Kumena!G3</f>
        <v>26</v>
      </c>
      <c r="R4" t="str">
        <v>Tishana, Voice of Thunder</v>
      </c>
      <c r="S4" t="str">
        <f>IF(Kumena!D3="Não",Kumena!C4,"")</f>
        <v>Command Tower</v>
      </c>
      <c r="U4" s="3">
        <f>Zimone!G3</f>
        <v>17</v>
      </c>
      <c r="V4" t="str">
        <v>Three Visits</v>
      </c>
      <c r="W4" t="str">
        <f>IF(Zimone!D3="Não",Zimone!C4,"")</f>
        <v/>
      </c>
    </row>
    <row r="5" spans="1:24" x14ac:dyDescent="0.25">
      <c r="B5" t="str">
        <v>Thought Vessel</v>
      </c>
      <c r="C5" t="str">
        <f>IF(Rani!D5="Não",Rani!C5, "")</f>
        <v/>
      </c>
      <c r="F5" t="str">
        <v>Oko, Thief of Crowns</v>
      </c>
      <c r="G5" t="str">
        <f>IF(Sisay!D5="Não",Sisay!C5, "")</f>
        <v/>
      </c>
      <c r="J5" t="str">
        <v>Stridehangar Automaton</v>
      </c>
      <c r="K5" t="str">
        <f>IF(OWA!D5="Não",OWA!C5, "")</f>
        <v/>
      </c>
      <c r="N5" t="str">
        <v>Windcrag Siege</v>
      </c>
      <c r="O5" t="str">
        <f>IF(Narset!D5="Não",Narset!C5,"")</f>
        <v/>
      </c>
      <c r="R5" t="str">
        <v>Throne of the God-Pharaoh</v>
      </c>
      <c r="S5" t="str">
        <f>IF(Kumena!D5="Não",Kumena!C5,"")</f>
        <v/>
      </c>
      <c r="V5" t="str">
        <v>Thousand-Year Elixir</v>
      </c>
      <c r="W5" t="str">
        <f>IF(Zimone!D5="Não",Zimone!C5,"")</f>
        <v/>
      </c>
    </row>
    <row r="6" spans="1:24" x14ac:dyDescent="0.25">
      <c r="B6" t="str">
        <v>Sulfur Falls</v>
      </c>
      <c r="C6" t="str">
        <f>IF(Rani!D6="Não",Rani!C6, "")</f>
        <v/>
      </c>
      <c r="F6" t="str">
        <v>O Dínamo Peregrino</v>
      </c>
      <c r="G6" t="str">
        <f>IF(Sisay!D6="Não",Sisay!C6, "")</f>
        <v/>
      </c>
      <c r="J6" t="str">
        <v>Scattered Groves</v>
      </c>
      <c r="K6" t="str">
        <f>IF(OWA!D6="Não",OWA!C6, "")</f>
        <v/>
      </c>
      <c r="N6" t="str">
        <v>Training Center</v>
      </c>
      <c r="O6" t="str">
        <f>IF(Narset!D6="Não",Narset!C6,"")</f>
        <v/>
      </c>
      <c r="R6" t="str">
        <v>Surgespanner</v>
      </c>
      <c r="S6" t="str">
        <f>IF(Kumena!D6="Não",Kumena!C6,"")</f>
        <v/>
      </c>
      <c r="V6" t="str">
        <v>Teferi's Ageless Insight</v>
      </c>
      <c r="W6" t="str">
        <f>IF(Zimone!D6="Não",Zimone!C6,"")</f>
        <v/>
      </c>
    </row>
    <row r="7" spans="1:24" x14ac:dyDescent="0.25">
      <c r="B7" t="str">
        <v>Sol Ring</v>
      </c>
      <c r="C7" t="str">
        <f>IF(Rani!D7="Não",Rani!C7, "")</f>
        <v/>
      </c>
      <c r="F7" t="str">
        <v>Nicol Bolas, God-Pharaoh</v>
      </c>
      <c r="G7" t="str">
        <f>IF(Sisay!D7="Não",Sisay!C7, "")</f>
        <v/>
      </c>
      <c r="J7" t="str">
        <v>Promessa de Aclazotz</v>
      </c>
      <c r="K7" t="str">
        <f>IF(OWA!D7="Não",OWA!C7, "")</f>
        <v/>
      </c>
      <c r="N7" t="str">
        <v>The Water Crystal</v>
      </c>
      <c r="O7" t="str">
        <f>IF(Narset!D7="Não",Narset!C7,"")</f>
        <v>Sokenzan, Crucible of Defiance</v>
      </c>
      <c r="R7" t="str">
        <v>Summon: Leviathan</v>
      </c>
      <c r="S7" t="str">
        <f>IF(Kumena!D7="Não",Kumena!C7,"")</f>
        <v/>
      </c>
      <c r="V7" t="str">
        <v>Sothera, the Supervoid</v>
      </c>
      <c r="W7" t="str">
        <f>IF(Zimone!D7="Não",Zimone!C7,"")</f>
        <v/>
      </c>
    </row>
    <row r="8" spans="1:24" x14ac:dyDescent="0.25">
      <c r="B8" t="str">
        <v>Rogue's Passage</v>
      </c>
      <c r="C8" t="str">
        <f>IF(Rani!D8="Não",Rani!C8, "")</f>
        <v>Archway of Innovation</v>
      </c>
      <c r="F8" t="str">
        <v>Lolth, Rainha Aranha</v>
      </c>
      <c r="G8" t="str">
        <f>IF(Sisay!D8="Não",Sisay!C8, "")</f>
        <v/>
      </c>
      <c r="J8" t="str">
        <v>Illustrious Wanderglyph</v>
      </c>
      <c r="K8" t="str">
        <f>IF(OWA!D8="Não",OWA!C8, "")</f>
        <v/>
      </c>
      <c r="N8" t="str">
        <v>Subjugar a Horda</v>
      </c>
      <c r="O8" t="str">
        <f>IF(Narset!D8="Não",Narset!C8,"")</f>
        <v>Slayers' Stronghold</v>
      </c>
      <c r="R8" t="str">
        <v>Stonybrook Banneret</v>
      </c>
      <c r="S8" t="str">
        <f>IF(Kumena!D8="Não",Kumena!C8,"")</f>
        <v/>
      </c>
      <c r="V8" t="str">
        <v>Scalding Tarn</v>
      </c>
      <c r="W8" t="str">
        <f>IF(Zimone!D8="Não",Zimone!C8,"")</f>
        <v/>
      </c>
    </row>
    <row r="9" spans="1:24" x14ac:dyDescent="0.25">
      <c r="B9" t="str">
        <v>Rogue's Passage</v>
      </c>
      <c r="C9" t="str">
        <f>IF(Rani!D9="Não",Rani!C9, "")</f>
        <v>Trenzalore Clocktower</v>
      </c>
      <c r="F9" t="str">
        <v>Kaya the Inexorable</v>
      </c>
      <c r="G9" t="str">
        <f>IF(Sisay!D9="Não",Sisay!C9, "")</f>
        <v/>
      </c>
      <c r="J9" t="str">
        <v>Dollmaker's Shop // Porcelain Gallery</v>
      </c>
      <c r="K9" t="str">
        <f>IF(OWA!D9="Não",OWA!C9, "")</f>
        <v/>
      </c>
      <c r="N9" t="str">
        <v>Spectator Seating</v>
      </c>
      <c r="O9" t="str">
        <f>IF(Narset!D9="Não",Narset!C9,"")</f>
        <v>Sea of Clouds</v>
      </c>
      <c r="R9" t="str">
        <v>Sol Ring</v>
      </c>
      <c r="S9" t="str">
        <f>IF(Kumena!D9="Não",Kumena!C9,"")</f>
        <v/>
      </c>
      <c r="V9" t="str">
        <v>Polluted Delta</v>
      </c>
      <c r="W9" t="str">
        <f>IF(Zimone!D9="Não",Zimone!C9,"")</f>
        <v>Fabled Passage</v>
      </c>
    </row>
    <row r="10" spans="1:24" x14ac:dyDescent="0.25">
      <c r="B10" t="str">
        <v>Reliquary Tower</v>
      </c>
      <c r="C10" t="str">
        <f>IF(Rani!D10="Não",Rani!C10, "")</f>
        <v>Havengul Laboratory</v>
      </c>
      <c r="F10" t="str">
        <v>Karn Liberated</v>
      </c>
      <c r="G10" t="str">
        <f>IF(Sisay!D10="Não",Sisay!C10, "")</f>
        <v/>
      </c>
      <c r="J10" t="str">
        <v/>
      </c>
      <c r="K10" t="str">
        <f>IF(OWA!D10="Não",OWA!C10, "")</f>
        <v>Scattered Groves</v>
      </c>
      <c r="N10" t="str">
        <v>Spark Double</v>
      </c>
      <c r="O10" t="str">
        <f>IF(Narset!D10="Não",Narset!C10,"")</f>
        <v>Training Center</v>
      </c>
      <c r="R10" t="str">
        <v>Singer of Swift Rivers</v>
      </c>
      <c r="S10" t="str">
        <f>IF(Kumena!D10="Não",Kumena!C10,"")</f>
        <v/>
      </c>
      <c r="V10" t="str">
        <v>Oathsworn Vampire</v>
      </c>
      <c r="W10" t="str">
        <f>IF(Zimone!D10="Não",Zimone!C10,"")</f>
        <v>Bala Ged Recovery</v>
      </c>
    </row>
    <row r="11" spans="1:24" x14ac:dyDescent="0.25">
      <c r="B11" t="str">
        <v>Life of the Party</v>
      </c>
      <c r="C11" t="str">
        <f>IF(Rani!D11="Não",Rani!C11, "")</f>
        <v>Bojuka Bog</v>
      </c>
      <c r="F11" t="str">
        <v>Freyalise, Llanowar's Fury</v>
      </c>
      <c r="G11" t="str">
        <f>IF(Sisay!D11="Não",Sisay!C11, "")</f>
        <v/>
      </c>
      <c r="J11" t="str">
        <v/>
      </c>
      <c r="K11" t="str">
        <f>IF(OWA!D11="Não",OWA!C11, "")</f>
        <v/>
      </c>
      <c r="N11" t="str">
        <v>Sol Ring</v>
      </c>
      <c r="O11" t="str">
        <f>IF(Narset!D11="Não",Narset!C11,"")</f>
        <v>Spectator Seating</v>
      </c>
      <c r="R11" t="str">
        <v>Simic Charm</v>
      </c>
      <c r="S11" t="str">
        <f>IF(Kumena!D11="Não",Kumena!C11,"")</f>
        <v/>
      </c>
      <c r="V11" t="str">
        <v>Misty Rainforest</v>
      </c>
      <c r="W11" t="str">
        <f>IF(Zimone!D11="Não",Zimone!C11,"")</f>
        <v/>
      </c>
    </row>
    <row r="12" spans="1:24" x14ac:dyDescent="0.25">
      <c r="B12" t="str">
        <v>Havengul Laboratory</v>
      </c>
      <c r="C12" t="str">
        <f>IF(Rani!D12="Não",Rani!C12, "")</f>
        <v>Reliquary Tower</v>
      </c>
      <c r="F12" t="str">
        <v>Elspeth, Sun's Champion</v>
      </c>
      <c r="G12" t="str">
        <f>IF(Sisay!D12="Não",Sisay!C12, "")</f>
        <v/>
      </c>
      <c r="J12" t="str">
        <v/>
      </c>
      <c r="K12" t="str">
        <f>IF(OWA!D12="Não",OWA!C12, "")</f>
        <v/>
      </c>
      <c r="N12" t="str">
        <v>Sokenzan, Crucible of Defiance</v>
      </c>
      <c r="O12" t="str">
        <f>IF(Narset!D12="Não",Narset!C12,"")</f>
        <v/>
      </c>
      <c r="R12" t="str">
        <v>Seahunter</v>
      </c>
      <c r="S12" t="str">
        <f>IF(Kumena!D12="Não",Kumena!C12,"")</f>
        <v/>
      </c>
      <c r="V12" t="str">
        <v>Marvin, Murderous Mimic</v>
      </c>
      <c r="W12" t="str">
        <f>IF(Zimone!D12="Não",Zimone!C12,"")</f>
        <v/>
      </c>
    </row>
    <row r="13" spans="1:24" x14ac:dyDescent="0.25">
      <c r="B13" t="str">
        <v>Gallifrey Council Chamber</v>
      </c>
      <c r="C13" t="str">
        <f>IF(Rani!D13="Não",Rani!C13, "")</f>
        <v>Access Tunnel</v>
      </c>
      <c r="F13" t="str">
        <v>Commodore Guff</v>
      </c>
      <c r="G13" t="str">
        <f>IF(Sisay!D13="Não",Sisay!C13, "")</f>
        <v/>
      </c>
      <c r="J13" t="str">
        <v/>
      </c>
      <c r="K13" t="str">
        <f>IF(OWA!D13="Não",OWA!C13, "")</f>
        <v/>
      </c>
      <c r="N13" t="str">
        <v>Smuggler's Share</v>
      </c>
      <c r="O13" t="str">
        <f>IF(Narset!D13="Não",Narset!C13,"")</f>
        <v>Clifftop Retreat</v>
      </c>
      <c r="R13" t="str">
        <v>Reliquary Tower</v>
      </c>
      <c r="S13" t="str">
        <f>IF(Kumena!D13="Não",Kumena!C13,"")</f>
        <v/>
      </c>
      <c r="V13" t="str">
        <v>Jadar, Ghoulcaller of Nephalia</v>
      </c>
      <c r="W13" t="str">
        <f>IF(Zimone!D13="Não",Zimone!C13,"")</f>
        <v/>
      </c>
    </row>
    <row r="14" spans="1:24" x14ac:dyDescent="0.25">
      <c r="B14" t="str">
        <v>Frenzied Gorespawn</v>
      </c>
      <c r="C14" t="str">
        <f>IF(Rani!D14="Não",Rani!C14, "")</f>
        <v/>
      </c>
      <c r="F14" t="str">
        <v/>
      </c>
      <c r="G14" t="str">
        <f>IF(Sisay!D14="Não",Sisay!C14, "")</f>
        <v/>
      </c>
      <c r="J14" t="str">
        <v/>
      </c>
      <c r="K14" t="str">
        <f>IF(OWA!D14="Não",OWA!C14, "")</f>
        <v/>
      </c>
      <c r="N14" t="str">
        <v>Slayers' Stronghold</v>
      </c>
      <c r="O14" t="str">
        <f>IF(Narset!D14="Não",Narset!C14,"")</f>
        <v/>
      </c>
      <c r="R14" t="str">
        <v>Metallic Mimic</v>
      </c>
      <c r="S14" t="str">
        <f>IF(Kumena!D14="Não",Kumena!C14,"")</f>
        <v/>
      </c>
      <c r="V14" t="str">
        <v>Horizon Explorer</v>
      </c>
      <c r="W14" t="str">
        <f>IF(Zimone!D14="Não",Zimone!C14,"")</f>
        <v>Zagoth Triome</v>
      </c>
    </row>
    <row r="15" spans="1:24" x14ac:dyDescent="0.25">
      <c r="B15" t="str">
        <v>Fellwar Stone</v>
      </c>
      <c r="C15" t="str">
        <f>IF(Rani!D15="Não",Rani!C15, "")</f>
        <v>Drowned Catacomb</v>
      </c>
      <c r="F15" t="str">
        <v/>
      </c>
      <c r="G15" t="str">
        <f>IF(Sisay!D15="Não",Sisay!C15, "")</f>
        <v/>
      </c>
      <c r="J15" t="str">
        <v/>
      </c>
      <c r="K15" t="str">
        <f>IF(OWA!D15="Não",OWA!C15, "")</f>
        <v/>
      </c>
      <c r="N15" t="str">
        <v>Slash the Ranks</v>
      </c>
      <c r="O15" t="str">
        <f>IF(Narset!D15="Não",Narset!C15,"")</f>
        <v/>
      </c>
      <c r="R15" t="str">
        <v>Merrow Harbinger</v>
      </c>
      <c r="S15" t="str">
        <f>IF(Kumena!D15="Não",Kumena!C15,"")</f>
        <v/>
      </c>
      <c r="V15" t="str">
        <v>Grave Pact</v>
      </c>
      <c r="W15" t="str">
        <f>IF(Zimone!D15="Não",Zimone!C15,"")</f>
        <v/>
      </c>
    </row>
    <row r="16" spans="1:24" x14ac:dyDescent="0.25">
      <c r="B16" t="str">
        <v>Equilíbrio de Poderes</v>
      </c>
      <c r="C16" t="str">
        <f>IF(Rani!D16="Não",Rani!C16, "")</f>
        <v>Sulfur Falls</v>
      </c>
      <c r="F16" t="str">
        <v/>
      </c>
      <c r="G16" t="str">
        <f>IF(Sisay!D16="Não",Sisay!C16, "")</f>
        <v/>
      </c>
      <c r="J16" t="str">
        <v/>
      </c>
      <c r="K16" t="str">
        <f>IF(OWA!D16="Não",OWA!C16, "")</f>
        <v/>
      </c>
      <c r="N16" t="str">
        <v>Sea of Clouds</v>
      </c>
      <c r="O16" t="str">
        <f>IF(Narset!D16="Não",Narset!C16,"")</f>
        <v/>
      </c>
      <c r="R16" t="str">
        <v>Merrow Commerce</v>
      </c>
      <c r="S16" t="str">
        <f>IF(Kumena!D16="Não",Kumena!C16,"")</f>
        <v/>
      </c>
      <c r="V16" t="str">
        <v>Fabled Passage</v>
      </c>
      <c r="W16" t="str">
        <f>IF(Zimone!D16="Não",Zimone!C16,"")</f>
        <v>Breeding Pool</v>
      </c>
    </row>
    <row r="17" spans="2:23" x14ac:dyDescent="0.25">
      <c r="B17" t="str">
        <v>Dúplice Debochada</v>
      </c>
      <c r="C17" t="str">
        <f>IF(Rani!D17="Não",Rani!C17, "")</f>
        <v>Gallifrey Council Chamber</v>
      </c>
      <c r="F17" t="str">
        <v/>
      </c>
      <c r="G17" t="str">
        <f>IF(Sisay!D17="Não",Sisay!C17, "")</f>
        <v/>
      </c>
      <c r="J17" t="str">
        <v/>
      </c>
      <c r="K17" t="str">
        <f>IF(OWA!D17="Não",OWA!C17, "")</f>
        <v/>
      </c>
      <c r="N17" t="str">
        <v>Sculpted Sunburst</v>
      </c>
      <c r="O17" t="str">
        <f>IF(Narset!D17="Não",Narset!C17,"")</f>
        <v>Adarkar Wastes</v>
      </c>
      <c r="R17" t="str">
        <v>Master of the Pearl Trident</v>
      </c>
      <c r="S17" t="str">
        <f>IF(Kumena!D17="Não",Kumena!C17,"")</f>
        <v/>
      </c>
      <c r="V17" t="str">
        <v>Breeding Pool</v>
      </c>
      <c r="W17" t="str">
        <f>IF(Zimone!D17="Não",Zimone!C17,"")</f>
        <v/>
      </c>
    </row>
    <row r="18" spans="2:23" x14ac:dyDescent="0.25">
      <c r="B18" t="str">
        <v>Drowned Catacomb</v>
      </c>
      <c r="C18" t="str">
        <f>IF(Rani!D18="Não",Rani!C18, "")</f>
        <v/>
      </c>
      <c r="F18" t="str">
        <v/>
      </c>
      <c r="G18" t="str">
        <f>IF(Sisay!D18="Não",Sisay!C18, "")</f>
        <v/>
      </c>
      <c r="J18" t="str">
        <v/>
      </c>
      <c r="K18" t="str">
        <f>IF(OWA!D18="Não",OWA!C18, "")</f>
        <v/>
      </c>
      <c r="N18" t="str">
        <v>Relentless Assault</v>
      </c>
      <c r="O18" t="str">
        <f>IF(Narset!D18="Não",Narset!C18,"")</f>
        <v/>
      </c>
      <c r="R18" t="str">
        <v>Lullmage Mentor</v>
      </c>
      <c r="S18" t="str">
        <f>IF(Kumena!D18="Não",Kumena!C18,"")</f>
        <v/>
      </c>
      <c r="V18" t="str">
        <v>Bloodstained Mire</v>
      </c>
      <c r="W18" t="str">
        <f>IF(Zimone!D18="Não",Zimone!C18,"")</f>
        <v>Bloodstained Mire</v>
      </c>
    </row>
    <row r="19" spans="2:23" x14ac:dyDescent="0.25">
      <c r="B19" t="str">
        <v>Cyber Conversion</v>
      </c>
      <c r="C19" t="str">
        <f>IF(Rani!D85="Não",Rani!C85, "")</f>
        <v/>
      </c>
      <c r="F19" t="str">
        <v/>
      </c>
      <c r="G19" t="str">
        <f>IF(Sisay!D19="Não",Sisay!C19, "")</f>
        <v/>
      </c>
      <c r="J19" t="str">
        <v/>
      </c>
      <c r="K19" t="str">
        <f>IF(OWA!D19="Não",OWA!C19, "")</f>
        <v/>
      </c>
      <c r="N19" t="str">
        <v>Reforge the Soul</v>
      </c>
      <c r="O19" t="str">
        <f>IF(Narset!D19="Não",Narset!C19,"")</f>
        <v/>
      </c>
      <c r="R19" t="str">
        <v>Lord of Atlantis</v>
      </c>
      <c r="S19" t="str">
        <f>IF(Kumena!D19="Não",Kumena!C19,"")</f>
        <v/>
      </c>
      <c r="V19" t="str">
        <v>Bala Ged Recovery</v>
      </c>
      <c r="W19" t="str">
        <f>IF(Zimone!D19="Não",Zimone!C19,"")</f>
        <v>Scalding Tarn</v>
      </c>
    </row>
    <row r="20" spans="2:23" x14ac:dyDescent="0.25">
      <c r="B20" t="str">
        <v>Counterspell</v>
      </c>
      <c r="C20" t="str">
        <f>IF(Rani!D19="Não",Rani!C19, "")</f>
        <v/>
      </c>
      <c r="F20" t="str">
        <v/>
      </c>
      <c r="G20" t="str">
        <f>IF(Sisay!D20="Não",Sisay!C20, "")</f>
        <v/>
      </c>
      <c r="J20" t="str">
        <v/>
      </c>
      <c r="K20" t="str">
        <f>IF(OWA!D20="Não",OWA!C20, "")</f>
        <v/>
      </c>
      <c r="N20" t="str">
        <v>Psychic Corrosion</v>
      </c>
      <c r="O20" t="str">
        <f>IF(Narset!D20="Não",Narset!C20,"")</f>
        <v/>
      </c>
      <c r="R20" t="str">
        <v>Kodama's Reach</v>
      </c>
      <c r="S20" t="str">
        <f>IF(Kumena!D20="Não",Kumena!C20,"")</f>
        <v/>
      </c>
      <c r="V20" t="str">
        <v>Ancient Greenwarden</v>
      </c>
      <c r="W20" t="str">
        <f>IF(Zimone!D20="Não",Zimone!C20,"")</f>
        <v>Polluted Delta</v>
      </c>
    </row>
    <row r="21" spans="2:23" x14ac:dyDescent="0.25">
      <c r="B21" t="str">
        <v>Bojuka Bog</v>
      </c>
      <c r="C21" t="str">
        <f>IF(Rani!D20="Não",Rani!C20, "")</f>
        <v/>
      </c>
      <c r="F21" t="str">
        <v/>
      </c>
      <c r="G21" t="str">
        <f>IF(Sisay!D21="Não",Sisay!C21, "")</f>
        <v/>
      </c>
      <c r="J21" t="str">
        <v/>
      </c>
      <c r="K21" t="str">
        <f>IF(OWA!D21="Não",OWA!C21, "")</f>
        <v/>
      </c>
      <c r="N21" t="str">
        <v>Monastery Siege</v>
      </c>
      <c r="O21" t="str">
        <f>IF(Narset!D21="Não",Narset!C21,"")</f>
        <v/>
      </c>
      <c r="R21" t="str">
        <v>Herald of Secret Streams</v>
      </c>
      <c r="S21" t="str">
        <f>IF(Kumena!D21="Não",Kumena!C21,"")</f>
        <v/>
      </c>
      <c r="V21" t="str">
        <v/>
      </c>
      <c r="W21" t="str">
        <f>IF(Zimone!D21="Não",Zimone!C21,"")</f>
        <v/>
      </c>
    </row>
    <row r="22" spans="2:23" x14ac:dyDescent="0.25">
      <c r="B22" t="str">
        <v>Archway of Innovation</v>
      </c>
      <c r="C22" t="str">
        <f>IF(Rani!D21="Não",Rani!C21, "")</f>
        <v/>
      </c>
      <c r="F22" t="str">
        <v/>
      </c>
      <c r="G22" t="str">
        <f>IF(Sisay!D22="Não",Sisay!C22, "")</f>
        <v/>
      </c>
      <c r="J22" t="str">
        <v/>
      </c>
      <c r="K22" t="str">
        <f>IF(OWA!D22="Não",OWA!C22, "")</f>
        <v/>
      </c>
      <c r="N22" t="str">
        <v>Memory Erosion</v>
      </c>
      <c r="O22" t="str">
        <f>IF(Narset!D22="Não",Narset!C22,"")</f>
        <v>Jidoor, Aristocratic Capital</v>
      </c>
      <c r="R22" t="str">
        <v>Harvest Season</v>
      </c>
      <c r="S22" t="str">
        <f>IF(Kumena!D22="Não",Kumena!C22,"")</f>
        <v/>
      </c>
      <c r="V22" t="str">
        <v/>
      </c>
      <c r="W22" t="str">
        <f>IF(Zimone!D22="Não",Zimone!C22,"")</f>
        <v/>
      </c>
    </row>
    <row r="23" spans="2:23" x14ac:dyDescent="0.25">
      <c r="B23" t="str">
        <v>Access Tunnel</v>
      </c>
      <c r="C23" t="str">
        <f>IF(Rani!D22="Não",Rani!C22, "")</f>
        <v/>
      </c>
      <c r="F23" t="str">
        <v/>
      </c>
      <c r="G23" t="str">
        <f>IF(Sisay!D23="Não",Sisay!C23, "")</f>
        <v/>
      </c>
      <c r="J23" t="str">
        <v/>
      </c>
      <c r="K23" t="str">
        <f>IF(OWA!D23="Não",OWA!C23, "")</f>
        <v/>
      </c>
      <c r="N23" t="str">
        <v>Maddening Cacophony</v>
      </c>
      <c r="O23" t="str">
        <f>IF(Narset!D23="Não",Narset!C23,"")</f>
        <v/>
      </c>
      <c r="R23" t="str">
        <v>Hakbal da Alma Crescente</v>
      </c>
      <c r="S23" t="str">
        <f>IF(Kumena!D23="Não",Kumena!C23,"")</f>
        <v/>
      </c>
      <c r="V23" t="str">
        <v/>
      </c>
      <c r="W23" t="str">
        <f>IF(Zimone!D23="Não",Zimone!C23,"")</f>
        <v/>
      </c>
    </row>
    <row r="24" spans="2:23" x14ac:dyDescent="0.25">
      <c r="B24" t="str">
        <v/>
      </c>
      <c r="C24" t="str">
        <f>IF(Rani!D23="Não",Rani!C23, "")</f>
        <v/>
      </c>
      <c r="F24" t="str">
        <v/>
      </c>
      <c r="G24" t="str">
        <f>IF(Sisay!D24="Não",Sisay!C24, "")</f>
        <v/>
      </c>
      <c r="J24" t="str">
        <v/>
      </c>
      <c r="K24" t="str">
        <f>IF(OWA!D24="Não",OWA!C24, "")</f>
        <v/>
      </c>
      <c r="N24" t="str">
        <v>Lightning Greaves</v>
      </c>
      <c r="O24" t="str">
        <f>IF(Narset!D24="Não",Narset!C24,"")</f>
        <v/>
      </c>
      <c r="R24" t="str">
        <v>Emperor Mihail II</v>
      </c>
      <c r="S24" t="str">
        <f>IF(Kumena!D24="Não",Kumena!C24,"")</f>
        <v/>
      </c>
      <c r="V24" t="str">
        <v/>
      </c>
      <c r="W24" t="str">
        <f>IF(Zimone!D24="Não",Zimone!C24,"")</f>
        <v/>
      </c>
    </row>
    <row r="25" spans="2:23" x14ac:dyDescent="0.25">
      <c r="B25" t="str">
        <v/>
      </c>
      <c r="C25" t="str">
        <f>IF(Rani!D24="Não",Rani!C24, "")</f>
        <v/>
      </c>
      <c r="F25" t="str">
        <v/>
      </c>
      <c r="G25" t="str">
        <f>IF(Sisay!D25="Não",Sisay!C25, "")</f>
        <v/>
      </c>
      <c r="J25" t="str">
        <v/>
      </c>
      <c r="K25" t="str">
        <f>IF(OWA!D25="Não",OWA!C25, "")</f>
        <v/>
      </c>
      <c r="N25" t="str">
        <v>Khorvath's Fury</v>
      </c>
      <c r="O25" t="str">
        <f>IF(Narset!D25="Não",Narset!C25,"")</f>
        <v/>
      </c>
      <c r="R25" t="str">
        <v>Deeproot Historian</v>
      </c>
      <c r="S25" t="str">
        <f>IF(Kumena!D25="Não",Kumena!C25,"")</f>
        <v/>
      </c>
      <c r="V25" t="str">
        <v/>
      </c>
      <c r="W25" t="str">
        <f>IF(Zimone!D25="Não",Zimone!C25,"")</f>
        <v/>
      </c>
    </row>
    <row r="26" spans="2:23" x14ac:dyDescent="0.25">
      <c r="B26" t="str">
        <v/>
      </c>
      <c r="C26" t="str">
        <f>IF(Rani!D25="Não",Rani!C25, "")</f>
        <v/>
      </c>
      <c r="F26" t="str">
        <v/>
      </c>
      <c r="G26" t="str">
        <f>IF(Sisay!D26="Não",Sisay!C26, "")</f>
        <v/>
      </c>
      <c r="J26" t="str">
        <v/>
      </c>
      <c r="K26" t="str">
        <f>IF(OWA!D26="Não",OWA!C26, "")</f>
        <v/>
      </c>
      <c r="N26" t="str">
        <v>Jidoor, Aristocratic Capital</v>
      </c>
      <c r="O26" t="str">
        <f>IF(Narset!D26="Não",Narset!C26,"")</f>
        <v/>
      </c>
      <c r="R26" t="str">
        <v>Coralhelm Commander</v>
      </c>
      <c r="S26" t="str">
        <f>IF(Kumena!D26="Não",Kumena!C26,"")</f>
        <v/>
      </c>
      <c r="V26" t="str">
        <v/>
      </c>
      <c r="W26" t="str">
        <f>IF(Zimone!D26="Não",Zimone!C26,"")</f>
        <v>Misty Rainforest</v>
      </c>
    </row>
    <row r="27" spans="2:23" x14ac:dyDescent="0.25">
      <c r="B27" t="str">
        <v/>
      </c>
      <c r="C27" t="str">
        <f>IF(Rani!D26="Não",Rani!C26, "")</f>
        <v/>
      </c>
      <c r="F27" t="str">
        <v/>
      </c>
      <c r="G27" t="str">
        <f>IF(Sisay!D27="Não",Sisay!C27, "")</f>
        <v/>
      </c>
      <c r="J27" t="str">
        <v/>
      </c>
      <c r="K27" t="str">
        <f>IF(OWA!D27="Não",OWA!C27, "")</f>
        <v>Susur Secundi, Void Altar</v>
      </c>
      <c r="N27" t="str">
        <v>Irenicus's Vile Duplication</v>
      </c>
      <c r="O27" t="str">
        <f>IF(Narset!D27="Não",Narset!C27,"")</f>
        <v/>
      </c>
      <c r="R27" t="str">
        <v>Command Tower</v>
      </c>
      <c r="S27" t="str">
        <f>IF(Kumena!D27="Não",Kumena!C27,"")</f>
        <v/>
      </c>
      <c r="V27" t="str">
        <v/>
      </c>
      <c r="W27" t="str">
        <f>IF(Zimone!D27="Não",Zimone!C27,"")</f>
        <v/>
      </c>
    </row>
    <row r="28" spans="2:23" x14ac:dyDescent="0.25">
      <c r="B28" t="str">
        <v/>
      </c>
      <c r="C28" t="str">
        <f>IF(Rani!D27="Não",Rani!C27, "")</f>
        <v/>
      </c>
      <c r="F28" t="str">
        <v/>
      </c>
      <c r="G28" t="str">
        <f>IF(Sisay!D28="Não",Sisay!C28, "")</f>
        <v/>
      </c>
      <c r="J28" t="str">
        <v/>
      </c>
      <c r="K28" t="str">
        <f>IF(OWA!D28="Não",OWA!C28, "")</f>
        <v/>
      </c>
      <c r="N28" t="str">
        <v>Incendiary Command</v>
      </c>
      <c r="O28" t="str">
        <f>IF(Narset!D28="Não",Narset!C28,"")</f>
        <v/>
      </c>
      <c r="R28" t="str">
        <v>Call to the Kindred</v>
      </c>
      <c r="S28" t="str">
        <f>IF(Kumena!D28="Não",Kumena!C28,"")</f>
        <v/>
      </c>
      <c r="V28" t="str">
        <v/>
      </c>
      <c r="W28" t="str">
        <f>IF(Zimone!D28="Não",Zimone!C28,"")</f>
        <v/>
      </c>
    </row>
    <row r="29" spans="2:23" x14ac:dyDescent="0.25">
      <c r="B29" t="str">
        <v/>
      </c>
      <c r="C29" t="str">
        <f>IF(Rani!D28="Não",Rani!C28, "")</f>
        <v/>
      </c>
      <c r="F29" t="str">
        <v/>
      </c>
      <c r="G29" t="str">
        <f>IF(Sisay!D29="Não",Sisay!C29, "")</f>
        <v/>
      </c>
      <c r="J29" t="str">
        <v/>
      </c>
      <c r="K29" t="str">
        <f>IF(OWA!D30="Não",OWA!C30, "")</f>
        <v/>
      </c>
      <c r="N29" t="str">
        <v>Ghostly Prison</v>
      </c>
      <c r="O29" t="str">
        <f>IF(Narset!D29="Não",Narset!C29,"")</f>
        <v/>
      </c>
      <c r="R29" t="str">
        <v>Beast Within</v>
      </c>
      <c r="S29" t="str">
        <f>IF(Kumena!D29="Não",Kumena!C29,"")</f>
        <v/>
      </c>
      <c r="V29" t="str">
        <v/>
      </c>
      <c r="W29" t="str">
        <f>IF(Zimone!D29="Não",Zimone!C29,"")</f>
        <v/>
      </c>
    </row>
    <row r="30" spans="2:23" x14ac:dyDescent="0.25">
      <c r="B30" t="str">
        <v/>
      </c>
      <c r="C30" t="str">
        <f>IF(Rani!D29="Não",Rani!C29, "")</f>
        <v/>
      </c>
      <c r="F30" t="str">
        <v/>
      </c>
      <c r="G30" t="str">
        <f>IF(Sisay!D30="Não",Sisay!C30, "")</f>
        <v/>
      </c>
      <c r="J30" t="str">
        <v/>
      </c>
      <c r="K30" t="str">
        <f>IF(OWA!D31="Não",OWA!C31, "")</f>
        <v/>
      </c>
      <c r="N30" t="str">
        <v>Genji Glove</v>
      </c>
      <c r="O30" t="str">
        <f>IF(Narset!D30="Não",Narset!C30,"")</f>
        <v/>
      </c>
      <c r="R30" t="str">
        <v/>
      </c>
      <c r="S30" t="str">
        <f>IF(Kumena!D30="Não",Kumena!C30,"")</f>
        <v/>
      </c>
      <c r="V30" t="str">
        <v/>
      </c>
      <c r="W30" t="str">
        <f>IF(Zimone!D30="Não",Zimone!C30,"")</f>
        <v/>
      </c>
    </row>
    <row r="31" spans="2:23" x14ac:dyDescent="0.25">
      <c r="B31" t="str">
        <v/>
      </c>
      <c r="C31" t="str">
        <f>IF(Rani!D30="Não",Rani!C30, "")</f>
        <v/>
      </c>
      <c r="F31" t="str">
        <v/>
      </c>
      <c r="G31" t="str">
        <f>IF(Sisay!D31="Não",Sisay!C31, "")</f>
        <v/>
      </c>
      <c r="J31" t="str">
        <v/>
      </c>
      <c r="K31" t="str">
        <f>IF(OWA!D32="Não",OWA!C32, "")</f>
        <v/>
      </c>
      <c r="N31" t="str">
        <v>Full Throttle</v>
      </c>
      <c r="O31" t="str">
        <f>IF(Narset!D31="Não",Narset!C31,"")</f>
        <v/>
      </c>
      <c r="R31" t="str">
        <v/>
      </c>
      <c r="S31" t="str">
        <f>IF(Kumena!D31="Não",Kumena!C31,"")</f>
        <v/>
      </c>
      <c r="V31" t="str">
        <v/>
      </c>
      <c r="W31" t="str">
        <f>IF(Zimone!D31="Não",Zimone!C31,"")</f>
        <v/>
      </c>
    </row>
    <row r="32" spans="2:23" x14ac:dyDescent="0.25">
      <c r="B32" t="str">
        <v/>
      </c>
      <c r="C32" t="str">
        <f>IF(Rani!D31="Não",Rani!C31, "")</f>
        <v/>
      </c>
      <c r="F32" t="str">
        <v/>
      </c>
      <c r="G32" t="str">
        <f>IF(Sisay!D32="Não",Sisay!C32, "")</f>
        <v/>
      </c>
      <c r="J32" t="str">
        <v/>
      </c>
      <c r="K32" t="str">
        <f>IF(OWA!D33="Não",OWA!C33, "")</f>
        <v/>
      </c>
      <c r="N32" t="str">
        <v>Clifftop Retreat</v>
      </c>
      <c r="O32" t="str">
        <f>IF(Narset!D32="Não",Narset!C32,"")</f>
        <v/>
      </c>
      <c r="R32" t="str">
        <v/>
      </c>
      <c r="S32" t="str">
        <f>IF(Kumena!D32="Não",Kumena!C32,"")</f>
        <v/>
      </c>
      <c r="V32" t="str">
        <v/>
      </c>
      <c r="W32" t="str">
        <f>IF(Zimone!D33="Não",Zimone!C33,"")</f>
        <v/>
      </c>
    </row>
    <row r="33" spans="2:23" x14ac:dyDescent="0.25">
      <c r="B33" t="str">
        <v/>
      </c>
      <c r="C33" t="str">
        <f>IF(Rani!D32="Não",Rani!C32, "")</f>
        <v/>
      </c>
      <c r="F33" t="str">
        <v/>
      </c>
      <c r="G33" t="str">
        <f>IF(Sisay!D33="Não",Sisay!C33, "")</f>
        <v/>
      </c>
      <c r="J33" t="str">
        <v/>
      </c>
      <c r="K33" t="str">
        <f>IF(OWA!D69="Não",OWA!C69, "")</f>
        <v/>
      </c>
      <c r="N33" t="str">
        <v>Aligned Heart</v>
      </c>
      <c r="O33" t="str">
        <f>IF(Narset!D33="Não",Narset!C33,"")</f>
        <v/>
      </c>
      <c r="R33" t="str">
        <v/>
      </c>
      <c r="S33" t="str">
        <f>IF(Kumena!D33="Não",Kumena!C33,"")</f>
        <v/>
      </c>
      <c r="V33" t="str">
        <v/>
      </c>
      <c r="W33" t="str">
        <f>IF(Zimone!D34="Não",Zimone!C34,"")</f>
        <v/>
      </c>
    </row>
    <row r="34" spans="2:23" x14ac:dyDescent="0.25">
      <c r="B34" t="str">
        <v/>
      </c>
      <c r="C34" t="str">
        <f>IF(Rani!D33="Não",Rani!C33, "")</f>
        <v/>
      </c>
      <c r="F34" t="str">
        <v/>
      </c>
      <c r="G34" t="str">
        <f>IF(Sisay!D34="Não",Sisay!C34, "")</f>
        <v/>
      </c>
      <c r="J34" t="str">
        <v/>
      </c>
      <c r="K34" t="str">
        <f>IF(OWA!D34="Não",OWA!C34, "")</f>
        <v/>
      </c>
      <c r="N34" t="str">
        <v>Adarkar Wastes</v>
      </c>
      <c r="O34" t="str">
        <f>IF(Narset!D34="Não",Narset!C34,"")</f>
        <v/>
      </c>
      <c r="R34" t="str">
        <v/>
      </c>
      <c r="S34" t="str">
        <f>IF(Kumena!D34="Não",Kumena!C34,"")</f>
        <v/>
      </c>
      <c r="V34" t="str">
        <v/>
      </c>
      <c r="W34" t="str">
        <f>IF(Zimone!D35="Não",Zimone!C35,"")</f>
        <v/>
      </c>
    </row>
    <row r="35" spans="2:23" x14ac:dyDescent="0.25">
      <c r="B35" t="str">
        <v/>
      </c>
      <c r="C35" t="str">
        <f>IF(Rani!D34="Não",Rani!C34, "")</f>
        <v/>
      </c>
      <c r="F35" t="str">
        <v/>
      </c>
      <c r="G35" t="str">
        <f>IF(Sisay!D35="Não",Sisay!C35, "")</f>
        <v/>
      </c>
      <c r="J35" t="str">
        <v/>
      </c>
      <c r="K35" t="str">
        <f>IF(OWA!D35="Não",OWA!C35, "")</f>
        <v/>
      </c>
      <c r="N35" t="str">
        <v/>
      </c>
      <c r="O35" t="str">
        <f>IF(Narset!D35="Não",Narset!C35,"")</f>
        <v/>
      </c>
      <c r="R35" t="str">
        <v/>
      </c>
      <c r="S35" t="str">
        <f>IF(Kumena!D35="Não",Kumena!C35,"")</f>
        <v/>
      </c>
      <c r="V35" t="str">
        <v/>
      </c>
      <c r="W35" t="str">
        <f>IF(Zimone!D36="Não",Zimone!C36,"")</f>
        <v/>
      </c>
    </row>
    <row r="36" spans="2:23" x14ac:dyDescent="0.25">
      <c r="B36" t="str">
        <v/>
      </c>
      <c r="C36" t="str">
        <f>IF(Rani!D35="Não",Rani!C35, "")</f>
        <v/>
      </c>
      <c r="F36" t="str">
        <v/>
      </c>
      <c r="G36" t="str">
        <f>IF(Sisay!D36="Não",Sisay!C36, "")</f>
        <v/>
      </c>
      <c r="J36" t="str">
        <v/>
      </c>
      <c r="K36" t="str">
        <f>IF(OWA!D37="Não",OWA!C37, "")</f>
        <v/>
      </c>
      <c r="N36" t="str">
        <v/>
      </c>
      <c r="O36" t="str">
        <f>IF(Narset!D36="Não",Narset!C36,"")</f>
        <v/>
      </c>
      <c r="R36" t="str">
        <v/>
      </c>
      <c r="S36" t="str">
        <f>IF(Kumena!D36="Não",Kumena!C36,"")</f>
        <v>Sol Ring</v>
      </c>
      <c r="V36" t="str">
        <v/>
      </c>
      <c r="W36" t="str">
        <f>IF(Zimone!D37="Não",Zimone!C37,"")</f>
        <v/>
      </c>
    </row>
    <row r="37" spans="2:23" x14ac:dyDescent="0.25">
      <c r="B37" t="str">
        <v/>
      </c>
      <c r="C37" t="str">
        <f>IF(Rani!D36="Não",Rani!C36, "")</f>
        <v/>
      </c>
      <c r="F37" t="str">
        <v/>
      </c>
      <c r="G37" t="str">
        <f>IF(Sisay!D37="Não",Sisay!C37, "")</f>
        <v/>
      </c>
      <c r="J37" t="str">
        <v/>
      </c>
      <c r="K37" t="str">
        <f>IF(OWA!D65="Não",OWA!C65, "")</f>
        <v/>
      </c>
      <c r="N37" t="str">
        <v/>
      </c>
      <c r="O37" t="str">
        <f>IF(Narset!D37="Não",Narset!C37,"")</f>
        <v/>
      </c>
      <c r="R37" t="str">
        <v/>
      </c>
      <c r="S37" t="str">
        <f>IF(Kumena!D37="Não",Kumena!C37,"")</f>
        <v/>
      </c>
      <c r="V37" t="str">
        <v/>
      </c>
      <c r="W37" t="str">
        <f>IF(Zimone!D38="Não",Zimone!C38,"")</f>
        <v/>
      </c>
    </row>
    <row r="38" spans="2:23" x14ac:dyDescent="0.25">
      <c r="B38" t="str">
        <v/>
      </c>
      <c r="C38" t="str">
        <f>IF(Rani!D37="Não",Rani!C37, "")</f>
        <v/>
      </c>
      <c r="F38" t="str">
        <v/>
      </c>
      <c r="G38" t="str">
        <f>IF(Sisay!D38="Não",Sisay!C38, "")</f>
        <v/>
      </c>
      <c r="J38" t="str">
        <v/>
      </c>
      <c r="K38" t="str">
        <f>IF(OWA!D38="Não",OWA!C38, "")</f>
        <v/>
      </c>
      <c r="N38" t="str">
        <v/>
      </c>
      <c r="O38" t="str">
        <f>IF(Narset!D38="Não",Narset!C38,"")</f>
        <v>Sol Ring</v>
      </c>
      <c r="R38" t="str">
        <v/>
      </c>
      <c r="S38" t="str">
        <f>IF(Kumena!D38="Não",Kumena!C38,"")</f>
        <v/>
      </c>
      <c r="V38" t="str">
        <v/>
      </c>
      <c r="W38" t="str">
        <f>IF(Zimone!D39="Não",Zimone!C39,"")</f>
        <v/>
      </c>
    </row>
    <row r="39" spans="2:23" x14ac:dyDescent="0.25">
      <c r="B39" t="str">
        <v/>
      </c>
      <c r="C39" t="str">
        <f>IF(Rani!D38="Não",Rani!C38, "")</f>
        <v/>
      </c>
      <c r="F39" t="str">
        <v/>
      </c>
      <c r="G39" t="str">
        <f>IF(Sisay!D39="Não",Sisay!C39, "")</f>
        <v/>
      </c>
      <c r="J39" t="str">
        <v/>
      </c>
      <c r="K39" t="str">
        <f>IF(OWA!D39="Não",OWA!C39, "")</f>
        <v/>
      </c>
      <c r="N39" t="str">
        <v/>
      </c>
      <c r="O39" t="str">
        <f>IF(Narset!D39="Não",Narset!C39,"")</f>
        <v/>
      </c>
      <c r="R39" t="str">
        <v/>
      </c>
      <c r="S39" t="str">
        <f>IF(Kumena!D39="Não",Kumena!C39,"")</f>
        <v/>
      </c>
      <c r="V39" t="str">
        <v/>
      </c>
      <c r="W39" t="str">
        <f>IF(Zimone!D40="Não",Zimone!C40,"")</f>
        <v/>
      </c>
    </row>
    <row r="40" spans="2:23" x14ac:dyDescent="0.25">
      <c r="B40" t="str">
        <v/>
      </c>
      <c r="C40" t="str">
        <f>IF(Rani!D39="Não",Rani!C39, "")</f>
        <v/>
      </c>
      <c r="F40" t="str">
        <v/>
      </c>
      <c r="G40" t="str">
        <f>IF(Sisay!D40="Não",Sisay!C40, "")</f>
        <v/>
      </c>
      <c r="J40" t="str">
        <v/>
      </c>
      <c r="K40" t="str">
        <f>IF(OWA!D40="Não",OWA!C40, "")</f>
        <v/>
      </c>
      <c r="N40" t="str">
        <v/>
      </c>
      <c r="O40" t="str">
        <f>IF(Narset!D40="Não",Narset!C40,"")</f>
        <v/>
      </c>
      <c r="R40" t="str">
        <v/>
      </c>
      <c r="S40" t="str">
        <f>IF(Kumena!D40="Não",Kumena!C40,"")</f>
        <v/>
      </c>
      <c r="V40" t="str">
        <v/>
      </c>
      <c r="W40" t="str">
        <f>IF(Zimone!D41="Não",Zimone!C41,"")</f>
        <v/>
      </c>
    </row>
    <row r="41" spans="2:23" x14ac:dyDescent="0.25">
      <c r="B41" t="str">
        <v/>
      </c>
      <c r="C41" t="str">
        <f>IF(Rani!D40="Não",Rani!C40, "")</f>
        <v/>
      </c>
      <c r="F41" t="str">
        <v/>
      </c>
      <c r="G41" t="str">
        <f>IF(Sisay!D41="Não",Sisay!C41, "")</f>
        <v/>
      </c>
      <c r="J41" t="str">
        <v/>
      </c>
      <c r="K41" t="str">
        <f>IF(OWA!D77="Não",OWA!C77, "")</f>
        <v/>
      </c>
      <c r="N41" t="str">
        <v/>
      </c>
      <c r="O41" t="str">
        <f>IF(Narset!D41="Não",Narset!C41,"")</f>
        <v/>
      </c>
      <c r="R41" t="str">
        <v/>
      </c>
      <c r="S41" t="str">
        <f>IF(Kumena!D41="Não",Kumena!C41,"")</f>
        <v/>
      </c>
      <c r="V41" t="str">
        <v/>
      </c>
      <c r="W41" t="str">
        <f>IF(Zimone!D42="Não",Zimone!C42,"")</f>
        <v/>
      </c>
    </row>
    <row r="42" spans="2:23" x14ac:dyDescent="0.25">
      <c r="B42" t="str">
        <v/>
      </c>
      <c r="C42" t="str">
        <f>IF(Rani!D41="Não",Rani!C41, "")</f>
        <v>Sol Ring</v>
      </c>
      <c r="F42" t="str">
        <v/>
      </c>
      <c r="G42" t="str">
        <f>IF(Sisay!D42="Não",Sisay!C42, "")</f>
        <v/>
      </c>
      <c r="J42" t="str">
        <v/>
      </c>
      <c r="K42" t="str">
        <f>IF(OWA!D95="Não",OWA!C95, "")</f>
        <v/>
      </c>
      <c r="N42" t="str">
        <v/>
      </c>
      <c r="O42" t="str">
        <f>IF(Narset!D42="Não",Narset!C42,"")</f>
        <v/>
      </c>
      <c r="R42" t="str">
        <v/>
      </c>
      <c r="S42" t="str">
        <f>IF(Kumena!D42="Não",Kumena!C42,"")</f>
        <v/>
      </c>
      <c r="V42" t="str">
        <v/>
      </c>
      <c r="W42" t="str">
        <f>IF(Zimone!D43="Não",Zimone!C43,"")</f>
        <v>Three Visits</v>
      </c>
    </row>
    <row r="43" spans="2:23" x14ac:dyDescent="0.25">
      <c r="B43" t="str">
        <v/>
      </c>
      <c r="C43" t="str">
        <f>IF(Rani!D42="Não",Rani!C42, "")</f>
        <v/>
      </c>
      <c r="F43" t="str">
        <v/>
      </c>
      <c r="G43" t="str">
        <f>IF(Sisay!D43="Não",Sisay!C43, "")</f>
        <v/>
      </c>
      <c r="J43" t="str">
        <v/>
      </c>
      <c r="K43" t="str">
        <f>IF(OWA!D41="Não",OWA!C41, "")</f>
        <v/>
      </c>
      <c r="N43" t="str">
        <v/>
      </c>
      <c r="O43" t="str">
        <f>IF(Narset!D43="Não",Narset!C43,"")</f>
        <v/>
      </c>
      <c r="R43" t="str">
        <v/>
      </c>
      <c r="S43" t="str">
        <f>IF(Kumena!D43="Não",Kumena!C43,"")</f>
        <v>Kodama's Reach</v>
      </c>
      <c r="V43" t="str">
        <v/>
      </c>
      <c r="W43" t="str">
        <f>IF(Zimone!D44="Não",Zimone!C44,"")</f>
        <v/>
      </c>
    </row>
    <row r="44" spans="2:23" x14ac:dyDescent="0.25">
      <c r="B44" t="str">
        <v/>
      </c>
      <c r="C44" t="str">
        <f>IF(Rani!D43="Não",Rani!C43, "")</f>
        <v/>
      </c>
      <c r="F44" t="str">
        <v/>
      </c>
      <c r="G44" t="str">
        <f>IF(Sisay!D44="Não",Sisay!C44, "")</f>
        <v/>
      </c>
      <c r="J44" t="str">
        <v/>
      </c>
      <c r="K44" t="str">
        <f>IF(OWA!D42="Não",OWA!C42, "")</f>
        <v/>
      </c>
      <c r="N44" t="str">
        <v/>
      </c>
      <c r="O44" t="str">
        <f>IF(Narset!D45="Não",Narset!C45,"")</f>
        <v>The Water Crystal</v>
      </c>
      <c r="R44" t="str">
        <v/>
      </c>
      <c r="S44" t="str">
        <f>IF(Kumena!D44="Não",Kumena!C44,"")</f>
        <v/>
      </c>
      <c r="V44" t="str">
        <v/>
      </c>
      <c r="W44" t="str">
        <f>IF(Zimone!D45="Não",Zimone!C45,"")</f>
        <v/>
      </c>
    </row>
    <row r="45" spans="2:23" x14ac:dyDescent="0.25">
      <c r="B45" t="str">
        <v/>
      </c>
      <c r="C45" t="str">
        <f>IF(Rani!D44="Não",Rani!C44, "")</f>
        <v/>
      </c>
      <c r="F45" t="str">
        <v/>
      </c>
      <c r="G45" t="str">
        <f>IF(Sisay!D45="Não",Sisay!C45, "")</f>
        <v/>
      </c>
      <c r="J45" t="str">
        <v/>
      </c>
      <c r="K45" t="str">
        <f>IF(OWA!D43="Não",OWA!C43, "")</f>
        <v/>
      </c>
      <c r="N45" t="str">
        <v/>
      </c>
      <c r="O45" t="str">
        <f>IF(Narset!D46="Não",Narset!C46,"")</f>
        <v/>
      </c>
      <c r="R45" t="str">
        <v/>
      </c>
      <c r="S45" t="str">
        <f>IF(Kumena!D45="Não",Kumena!C45,"")</f>
        <v>Harvest Season</v>
      </c>
      <c r="V45" t="str">
        <v/>
      </c>
      <c r="W45" t="str">
        <f>IF(Zimone!D46="Não",Zimone!C46,"")</f>
        <v/>
      </c>
    </row>
    <row r="46" spans="2:23" x14ac:dyDescent="0.25">
      <c r="B46" t="str">
        <v/>
      </c>
      <c r="C46" t="str">
        <f>IF(Rani!D45="Não",Rani!C45, "")</f>
        <v/>
      </c>
      <c r="F46" t="str">
        <v/>
      </c>
      <c r="G46" t="str">
        <f>IF(Sisay!D46="Não",Sisay!C46, "")</f>
        <v/>
      </c>
      <c r="J46" t="str">
        <v/>
      </c>
      <c r="K46" t="str">
        <f>IF(OWA!D44="Não",OWA!C44, "")</f>
        <v/>
      </c>
      <c r="N46" t="str">
        <v/>
      </c>
      <c r="O46" t="str">
        <f>IF(Narset!D47="Não",Narset!C47,"")</f>
        <v/>
      </c>
      <c r="R46" t="str">
        <v/>
      </c>
      <c r="S46" t="str">
        <f>IF(Kumena!D46="Não",Kumena!C46,"")</f>
        <v/>
      </c>
      <c r="V46" t="str">
        <v/>
      </c>
      <c r="W46" t="str">
        <f>IF(Zimone!D47="Não",Zimone!C47,"")</f>
        <v/>
      </c>
    </row>
    <row r="47" spans="2:23" x14ac:dyDescent="0.25">
      <c r="B47" t="str">
        <v/>
      </c>
      <c r="C47" t="str">
        <f>IF(Rani!D46="Não",Rani!C46, "")</f>
        <v/>
      </c>
      <c r="F47" t="str">
        <v/>
      </c>
      <c r="G47" t="str">
        <f>IF(Sisay!D47="Não",Sisay!C47, "")</f>
        <v/>
      </c>
      <c r="J47" t="str">
        <v/>
      </c>
      <c r="K47" t="str">
        <f>IF(OWA!D36="Não",OWA!C36, "")</f>
        <v/>
      </c>
      <c r="N47" t="str">
        <v/>
      </c>
      <c r="O47" t="str">
        <f>IF(Narset!D48="Não",Narset!C48,"")</f>
        <v>Smuggler's Share</v>
      </c>
      <c r="R47" t="str">
        <v/>
      </c>
      <c r="S47" t="str">
        <f>IF(Kumena!D47="Não",Kumena!C47,"")</f>
        <v>Vanquisher's Banner</v>
      </c>
      <c r="V47" t="str">
        <v/>
      </c>
      <c r="W47" t="str">
        <f>IF(Zimone!D48="Não",Zimone!C48,"")</f>
        <v/>
      </c>
    </row>
    <row r="48" spans="2:23" x14ac:dyDescent="0.25">
      <c r="B48" t="str">
        <v/>
      </c>
      <c r="C48" t="str">
        <f>IF(Rani!D47="Não",Rani!C47, "")</f>
        <v>Fellwar Stone</v>
      </c>
      <c r="F48" t="str">
        <v/>
      </c>
      <c r="G48" t="str">
        <f>IF(Sisay!D48="Não",Sisay!C48, "")</f>
        <v/>
      </c>
      <c r="J48" t="str">
        <v/>
      </c>
      <c r="K48" t="str">
        <f>IF(OWA!D45="Não",OWA!C45, "")</f>
        <v/>
      </c>
      <c r="N48" t="str">
        <v/>
      </c>
      <c r="O48" t="str">
        <f>IF(Narset!D93="Não",Narset!C93,"")</f>
        <v>Slash the Ranks</v>
      </c>
      <c r="R48" t="str">
        <v/>
      </c>
      <c r="S48" t="str">
        <f>IF(Kumena!D48="Não",Kumena!C48,"")</f>
        <v/>
      </c>
      <c r="V48" t="str">
        <v/>
      </c>
      <c r="W48" t="str">
        <f>IF(Zimone!D49="Não",Zimone!C49,"")</f>
        <v/>
      </c>
    </row>
    <row r="49" spans="2:23" x14ac:dyDescent="0.25">
      <c r="B49" t="str">
        <v/>
      </c>
      <c r="C49" t="str">
        <f>IF(Rani!D48="Não",Rani!C48, "")</f>
        <v>Thought Vessel</v>
      </c>
      <c r="F49" t="str">
        <v/>
      </c>
      <c r="G49" t="str">
        <f>IF(Sisay!D49="Não",Sisay!C49, "")</f>
        <v/>
      </c>
      <c r="J49" t="str">
        <v/>
      </c>
      <c r="K49" t="str">
        <f>IF(OWA!D74="Não",OWA!C74, "")</f>
        <v/>
      </c>
      <c r="N49" t="str">
        <v/>
      </c>
      <c r="O49" t="str">
        <f>IF(Narset!D49="Não",Narset!C49,"")</f>
        <v/>
      </c>
      <c r="R49" t="str">
        <v/>
      </c>
      <c r="S49" t="str">
        <f>IF(Kumena!D49="Não",Kumena!C49,"")</f>
        <v/>
      </c>
      <c r="V49" t="str">
        <v/>
      </c>
      <c r="W49" t="str">
        <f>IF(Zimone!D50="Não",Zimone!C50,"")</f>
        <v/>
      </c>
    </row>
    <row r="50" spans="2:23" x14ac:dyDescent="0.25">
      <c r="B50" t="str">
        <v/>
      </c>
      <c r="C50" t="str">
        <f>IF(Rani!D49="Não",Rani!C49, "")</f>
        <v/>
      </c>
      <c r="F50" t="str">
        <v/>
      </c>
      <c r="G50" t="str">
        <f>IF(Sisay!D50="Não",Sisay!C50, "")</f>
        <v>Lolth, Rainha Aranha</v>
      </c>
      <c r="J50" t="str">
        <v/>
      </c>
      <c r="K50" t="str">
        <f>IF(OWA!D49="Não",OWA!C49, "")</f>
        <v/>
      </c>
      <c r="N50" t="str">
        <v/>
      </c>
      <c r="O50" t="str">
        <f>IF(Narset!D50="Não",Narset!C50,"")</f>
        <v>Monastery Siege</v>
      </c>
      <c r="R50" t="str">
        <v/>
      </c>
      <c r="S50" t="str">
        <f>IF(Kumena!D50="Não",Kumena!C50,"")</f>
        <v/>
      </c>
      <c r="V50" t="str">
        <v/>
      </c>
      <c r="W50" t="str">
        <f>IF(Zimone!D51="Não",Zimone!C51,"")</f>
        <v/>
      </c>
    </row>
    <row r="51" spans="2:23" x14ac:dyDescent="0.25">
      <c r="B51" t="str">
        <v/>
      </c>
      <c r="C51" t="str">
        <f>IF(Rani!D50="Não",Rani!C50, "")</f>
        <v/>
      </c>
      <c r="F51" t="str">
        <v/>
      </c>
      <c r="G51" t="str">
        <f>IF(Sisay!D51="Não",Sisay!C51, "")</f>
        <v/>
      </c>
      <c r="J51" t="str">
        <v/>
      </c>
      <c r="K51" t="str">
        <f>IF(OWA!D50="Não",OWA!C50, "")</f>
        <v/>
      </c>
      <c r="N51" t="str">
        <v/>
      </c>
      <c r="O51" t="str">
        <f>IF(Narset!D97="Não",Narset!C97,"")</f>
        <v>Sculpted Sunburst</v>
      </c>
      <c r="R51" t="str">
        <v/>
      </c>
      <c r="S51" t="str">
        <f>IF(Kumena!D51="Não",Kumena!C51,"")</f>
        <v/>
      </c>
      <c r="V51" t="str">
        <v/>
      </c>
      <c r="W51" t="str">
        <f>IF(Zimone!D52="Não",Zimone!C52,"")</f>
        <v>Teferi's Ageless Insight</v>
      </c>
    </row>
    <row r="52" spans="2:23" x14ac:dyDescent="0.25">
      <c r="B52" t="str">
        <v/>
      </c>
      <c r="C52" t="str">
        <f>IF(Rani!D51="Não",Rani!C51, "")</f>
        <v/>
      </c>
      <c r="F52" t="str">
        <v/>
      </c>
      <c r="G52" t="str">
        <f>IF(Sisay!D52="Não",Sisay!C52, "")</f>
        <v/>
      </c>
      <c r="J52" t="str">
        <v/>
      </c>
      <c r="K52" t="str">
        <f>IF(OWA!D51="Não",OWA!C51, "")</f>
        <v/>
      </c>
      <c r="N52" t="str">
        <v/>
      </c>
      <c r="O52" t="str">
        <f>IF(Narset!D51="Não",Narset!C51,"")</f>
        <v/>
      </c>
      <c r="R52" t="str">
        <v/>
      </c>
      <c r="S52" t="str">
        <f>IF(Kumena!D52="Não",Kumena!C52,"")</f>
        <v>Seahunter</v>
      </c>
      <c r="V52" t="str">
        <v/>
      </c>
      <c r="W52" t="str">
        <f>IF(Zimone!D53="Não",Zimone!C53,"")</f>
        <v/>
      </c>
    </row>
    <row r="53" spans="2:23" x14ac:dyDescent="0.25">
      <c r="B53" t="str">
        <v/>
      </c>
      <c r="C53" t="str">
        <f>IF(Rani!D52="Não",Rani!C52, "")</f>
        <v/>
      </c>
      <c r="F53" t="str">
        <v/>
      </c>
      <c r="G53" t="str">
        <f>IF(Sisay!D53="Não",Sisay!C53, "")</f>
        <v/>
      </c>
      <c r="J53" t="str">
        <v/>
      </c>
      <c r="K53" t="str">
        <f>IF(OWA!D94="Não",OWA!C94, "")</f>
        <v/>
      </c>
      <c r="N53" t="str">
        <v/>
      </c>
      <c r="O53" t="str">
        <f>IF(Narset!D52="Não",Narset!C52,"")</f>
        <v/>
      </c>
      <c r="R53" t="str">
        <v/>
      </c>
      <c r="S53" t="str">
        <f>IF(Kumena!D53="Não",Kumena!C53,"")</f>
        <v>Call to the Kindred</v>
      </c>
      <c r="V53" t="str">
        <v/>
      </c>
      <c r="W53" t="str">
        <f>IF(Zimone!D90="Não",Zimone!C90,"")</f>
        <v/>
      </c>
    </row>
    <row r="54" spans="2:23" x14ac:dyDescent="0.25">
      <c r="B54" t="str">
        <v/>
      </c>
      <c r="C54" t="str">
        <f>IF(Rani!D53="Não",Rani!C53, "")</f>
        <v/>
      </c>
      <c r="F54" t="str">
        <v/>
      </c>
      <c r="G54" t="str">
        <f>IF(Sisay!D54="Não",Sisay!C54, "")</f>
        <v/>
      </c>
      <c r="J54" t="str">
        <v/>
      </c>
      <c r="K54" t="str">
        <f>IF(OWA!D52="Não",OWA!C52, "")</f>
        <v/>
      </c>
      <c r="N54" t="str">
        <v/>
      </c>
      <c r="O54" t="str">
        <f>IF(Narset!D53="Não",Narset!C53,"")</f>
        <v/>
      </c>
      <c r="R54" t="str">
        <v/>
      </c>
      <c r="S54" t="str">
        <f>IF(Kumena!D54="Não",Kumena!C54,"")</f>
        <v/>
      </c>
      <c r="V54" t="str">
        <v/>
      </c>
      <c r="W54" t="str">
        <f>IF(Zimone!D54="Não",Zimone!C54,"")</f>
        <v/>
      </c>
    </row>
    <row r="55" spans="2:23" x14ac:dyDescent="0.25">
      <c r="B55" t="str">
        <v/>
      </c>
      <c r="C55" t="str">
        <f>IF(Rani!D54="Não",Rani!C54, "")</f>
        <v/>
      </c>
      <c r="F55" t="str">
        <v/>
      </c>
      <c r="G55" t="str">
        <f>IF(Sisay!D55="Não",Sisay!C55, "")</f>
        <v>Commodore Guff</v>
      </c>
      <c r="J55" t="str">
        <v/>
      </c>
      <c r="K55" t="str">
        <f>IF(OWA!D53="Não",OWA!C53, "")</f>
        <v/>
      </c>
      <c r="N55" t="str">
        <v/>
      </c>
      <c r="O55" t="str">
        <f>IF(Narset!D54="Não",Narset!C54,"")</f>
        <v/>
      </c>
      <c r="R55" t="str">
        <v/>
      </c>
      <c r="S55" t="str">
        <f>IF(Kumena!D55="Não",Kumena!C55,"")</f>
        <v/>
      </c>
      <c r="V55" t="str">
        <v/>
      </c>
      <c r="W55" t="str">
        <f>IF(Zimone!D55="Não",Zimone!C55,"")</f>
        <v/>
      </c>
    </row>
    <row r="56" spans="2:23" x14ac:dyDescent="0.25">
      <c r="B56" t="str">
        <v/>
      </c>
      <c r="C56" t="str">
        <f>IF(Rani!D55="Não",Rani!C55, "")</f>
        <v/>
      </c>
      <c r="F56" t="str">
        <v/>
      </c>
      <c r="G56" t="str">
        <f>IF(Sisay!D56="Não",Sisay!C56, "")</f>
        <v/>
      </c>
      <c r="J56" t="str">
        <v/>
      </c>
      <c r="K56" t="str">
        <f>IF(OWA!D54="Não",OWA!C54, "")</f>
        <v/>
      </c>
      <c r="N56" t="str">
        <v/>
      </c>
      <c r="O56" t="str">
        <f>IF(Narset!D55="Não",Narset!C55,"")</f>
        <v/>
      </c>
      <c r="R56" t="str">
        <v/>
      </c>
      <c r="S56" t="str">
        <f>IF(Kumena!D56="Não",Kumena!C56,"")</f>
        <v/>
      </c>
      <c r="V56" t="str">
        <v/>
      </c>
      <c r="W56" t="str">
        <f>IF(Zimone!D56="Não",Zimone!C56,"")</f>
        <v/>
      </c>
    </row>
    <row r="57" spans="2:23" x14ac:dyDescent="0.25">
      <c r="B57" t="str">
        <v/>
      </c>
      <c r="C57" t="str">
        <f>IF(Rani!D56="Não",Rani!C56, "")</f>
        <v/>
      </c>
      <c r="F57" t="str">
        <v/>
      </c>
      <c r="G57" t="str">
        <f>IF(Sisay!D57="Não",Sisay!C57, "")</f>
        <v/>
      </c>
      <c r="J57" t="str">
        <v/>
      </c>
      <c r="K57" t="str">
        <f>IF(OWA!D64="Não",OWA!C64, "")</f>
        <v/>
      </c>
      <c r="N57" t="str">
        <v/>
      </c>
      <c r="O57" t="str">
        <f>IF(Narset!D56="Não",Narset!C56,"")</f>
        <v>Incendiary Command</v>
      </c>
      <c r="R57" t="str">
        <v/>
      </c>
      <c r="S57" t="str">
        <f>IF(Kumena!D57="Não",Kumena!C57,"")</f>
        <v/>
      </c>
      <c r="V57" t="str">
        <v/>
      </c>
      <c r="W57" t="str">
        <f>IF(Zimone!D57="Não",Zimone!C57,"")</f>
        <v/>
      </c>
    </row>
    <row r="58" spans="2:23" x14ac:dyDescent="0.25">
      <c r="B58" t="str">
        <v/>
      </c>
      <c r="C58" t="str">
        <f>IF(Rani!D57="Não",Rani!C57, "")</f>
        <v/>
      </c>
      <c r="F58" t="str">
        <v/>
      </c>
      <c r="G58" t="str">
        <f>IF(Sisay!D58="Não",Sisay!C58, "")</f>
        <v/>
      </c>
      <c r="J58" t="str">
        <v/>
      </c>
      <c r="K58" t="str">
        <f>IF(OWA!D87="Não",OWA!C87, "")</f>
        <v/>
      </c>
      <c r="N58" t="str">
        <v/>
      </c>
      <c r="O58" t="str">
        <f>IF(Narset!D57="Não",Narset!C57,"")</f>
        <v>Khorvath's Fury</v>
      </c>
      <c r="R58" t="str">
        <v/>
      </c>
      <c r="S58" t="str">
        <f>IF(Kumena!D58="Não",Kumena!C58,"")</f>
        <v/>
      </c>
      <c r="V58" t="str">
        <v/>
      </c>
      <c r="W58" t="str">
        <f>IF(Zimone!D58="Não",Zimone!C58,"")</f>
        <v/>
      </c>
    </row>
    <row r="59" spans="2:23" x14ac:dyDescent="0.25">
      <c r="B59" t="str">
        <v/>
      </c>
      <c r="C59" t="str">
        <f>IF(Rani!D58="Não",Rani!C58, "")</f>
        <v/>
      </c>
      <c r="F59" t="str">
        <v/>
      </c>
      <c r="G59" t="str">
        <f>IF(Sisay!D59="Não",Sisay!C59, "")</f>
        <v/>
      </c>
      <c r="J59" t="str">
        <v/>
      </c>
      <c r="K59" t="str">
        <f>IF(OWA!D46="Não",OWA!C46, "")</f>
        <v/>
      </c>
      <c r="N59" t="str">
        <v/>
      </c>
      <c r="O59" t="str">
        <f>IF(Narset!D58="Não",Narset!C58,"")</f>
        <v>Reforge the Soul</v>
      </c>
      <c r="R59" t="str">
        <v/>
      </c>
      <c r="S59" t="str">
        <f>IF(Kumena!D59="Não",Kumena!C59,"")</f>
        <v/>
      </c>
      <c r="V59" t="str">
        <v/>
      </c>
      <c r="W59" t="str">
        <f>IF(Zimone!D59="Não",Zimone!C59,"")</f>
        <v/>
      </c>
    </row>
    <row r="60" spans="2:23" x14ac:dyDescent="0.25">
      <c r="B60" t="str">
        <v/>
      </c>
      <c r="C60" t="str">
        <f>IF(Rani!D59="Não",Rani!C59, "")</f>
        <v/>
      </c>
      <c r="F60" t="str">
        <v/>
      </c>
      <c r="G60" t="str">
        <f>IF(Sisay!D60="Não",Sisay!C60, "")</f>
        <v/>
      </c>
      <c r="J60" t="str">
        <v/>
      </c>
      <c r="K60" t="str">
        <f>IF(OWA!D29="Não",OWA!C29, "")</f>
        <v/>
      </c>
      <c r="N60" t="str">
        <v/>
      </c>
      <c r="O60" t="str">
        <f>IF(Narset!D59="Não",Narset!C59,"")</f>
        <v/>
      </c>
      <c r="R60" t="str">
        <v/>
      </c>
      <c r="S60" t="str">
        <f>IF(Kumena!D60="Não",Kumena!C60,"")</f>
        <v>Tishana, Voice of Thunder</v>
      </c>
      <c r="V60" t="str">
        <v/>
      </c>
      <c r="W60" t="str">
        <f>IF(Zimone!D60="Não",Zimone!C60,"")</f>
        <v>Jadar, Ghoulcaller of Nephalia</v>
      </c>
    </row>
    <row r="61" spans="2:23" x14ac:dyDescent="0.25">
      <c r="B61" t="str">
        <v/>
      </c>
      <c r="C61" t="str">
        <f>IF(Rani!D60="Não",Rani!C60, "")</f>
        <v/>
      </c>
      <c r="F61" t="str">
        <v/>
      </c>
      <c r="G61" t="str">
        <f>IF(Sisay!D61="Não",Sisay!C61, "")</f>
        <v/>
      </c>
      <c r="J61" t="str">
        <v/>
      </c>
      <c r="K61" t="str">
        <f>IF(OWA!D48="Não",OWA!C48, "")</f>
        <v/>
      </c>
      <c r="N61" t="str">
        <v/>
      </c>
      <c r="O61" t="str">
        <f>IF(Narset!D60="Não",Narset!C60,"")</f>
        <v/>
      </c>
      <c r="R61" t="str">
        <v/>
      </c>
      <c r="S61" t="str">
        <f>IF(Kumena!D61="Não",Kumena!C61,"")</f>
        <v/>
      </c>
      <c r="V61" t="str">
        <v/>
      </c>
      <c r="W61" t="str">
        <f>IF(Zimone!D61="Não",Zimone!C61,"")</f>
        <v/>
      </c>
    </row>
    <row r="62" spans="2:23" x14ac:dyDescent="0.25">
      <c r="B62" t="str">
        <v/>
      </c>
      <c r="C62" t="str">
        <f>IF(Rani!D61="Não",Rani!C61, "")</f>
        <v/>
      </c>
      <c r="F62" t="str">
        <v/>
      </c>
      <c r="G62" t="str">
        <f>IF(Sisay!D62="Não",Sisay!C62, "")</f>
        <v>Kaya the Inexorable</v>
      </c>
      <c r="J62" t="str">
        <v/>
      </c>
      <c r="K62" t="str">
        <f>IF(OWA!D55="Não",OWA!C55, "")</f>
        <v/>
      </c>
      <c r="N62" t="str">
        <v/>
      </c>
      <c r="O62" t="str">
        <f>IF(Narset!D61="Não",Narset!C61,"")</f>
        <v/>
      </c>
      <c r="R62" t="str">
        <v/>
      </c>
      <c r="S62" t="str">
        <f>IF(Kumena!D62="Não",Kumena!C62,"")</f>
        <v>Emperor Mihail II</v>
      </c>
      <c r="V62" t="str">
        <v/>
      </c>
      <c r="W62" t="str">
        <f>IF(Zimone!D62="Não",Zimone!C62,"")</f>
        <v/>
      </c>
    </row>
    <row r="63" spans="2:23" x14ac:dyDescent="0.25">
      <c r="B63" t="str">
        <v/>
      </c>
      <c r="C63" t="str">
        <f>IF(Rani!D62="Não",Rani!C62, "")</f>
        <v/>
      </c>
      <c r="F63" t="str">
        <v/>
      </c>
      <c r="G63" t="str">
        <f>IF(Sisay!D63="Não",Sisay!C63, "")</f>
        <v>Elspeth, Sun's Champion</v>
      </c>
      <c r="J63" t="str">
        <v/>
      </c>
      <c r="K63" t="str">
        <f>IF(OWA!D56="Não",OWA!C56, "")</f>
        <v/>
      </c>
      <c r="N63" t="str">
        <v/>
      </c>
      <c r="O63" t="str">
        <f>IF(Narset!D44="Não",Narset!C44,"")</f>
        <v/>
      </c>
      <c r="R63" t="str">
        <v/>
      </c>
      <c r="S63" t="str">
        <f>IF(Kumena!D63="Não",Kumena!C63,"")</f>
        <v>Coralhelm Commander</v>
      </c>
      <c r="V63" t="str">
        <v/>
      </c>
      <c r="W63" t="str">
        <f>IF(Zimone!D63="Não",Zimone!C63,"")</f>
        <v/>
      </c>
    </row>
    <row r="64" spans="2:23" x14ac:dyDescent="0.25">
      <c r="B64" t="str">
        <v/>
      </c>
      <c r="C64" t="str">
        <f>IF(Rani!D63="Não",Rani!C63, "")</f>
        <v/>
      </c>
      <c r="F64" t="str">
        <v/>
      </c>
      <c r="G64" t="str">
        <f>IF(Sisay!D64="Não",Sisay!C64, "")</f>
        <v>Freyalise, Llanowar's Fury</v>
      </c>
      <c r="J64" t="str">
        <v/>
      </c>
      <c r="K64" t="str">
        <f>IF(OWA!D57="Não",OWA!C57, "")</f>
        <v/>
      </c>
      <c r="N64" t="str">
        <v/>
      </c>
      <c r="O64" t="str">
        <f>IF(Narset!D62="Não",Narset!C62,"")</f>
        <v/>
      </c>
      <c r="R64" t="str">
        <v/>
      </c>
      <c r="S64" t="str">
        <f>IF(Kumena!D64="Não",Kumena!C64,"")</f>
        <v>Hakbal da Alma Crescente</v>
      </c>
      <c r="V64" t="str">
        <v/>
      </c>
      <c r="W64" t="str">
        <f>IF(Zimone!D65="Não",Zimone!C65,"")</f>
        <v/>
      </c>
    </row>
    <row r="65" spans="2:23" x14ac:dyDescent="0.25">
      <c r="B65" t="str">
        <v/>
      </c>
      <c r="C65" t="str">
        <f>IF(Rani!D64="Não",Rani!C64, "")</f>
        <v>Counterspell</v>
      </c>
      <c r="F65" t="str">
        <v/>
      </c>
      <c r="G65" t="str">
        <f>IF(Sisay!D65="Não",Sisay!C65, "")</f>
        <v/>
      </c>
      <c r="J65" t="str">
        <v/>
      </c>
      <c r="K65" t="str">
        <f>IF(OWA!D58="Não",OWA!C58, "")</f>
        <v/>
      </c>
      <c r="N65" t="str">
        <v/>
      </c>
      <c r="O65" t="str">
        <f>IF(Narset!D63="Não",Narset!C63,"")</f>
        <v/>
      </c>
      <c r="R65" t="str">
        <v/>
      </c>
      <c r="S65" t="str">
        <f>IF(Kumena!D65="Não",Kumena!C65,"")</f>
        <v>Master of the Pearl Trident</v>
      </c>
      <c r="V65" t="str">
        <v/>
      </c>
      <c r="W65" t="str">
        <f>IF(Zimone!D66="Não",Zimone!C66,"")</f>
        <v/>
      </c>
    </row>
    <row r="66" spans="2:23" x14ac:dyDescent="0.25">
      <c r="B66" t="str">
        <v/>
      </c>
      <c r="C66" t="str">
        <f>IF(Rani!D65="Não",Rani!C65, "")</f>
        <v>Cyber Conversion</v>
      </c>
      <c r="F66" t="str">
        <v/>
      </c>
      <c r="G66" t="str">
        <f>IF(Sisay!D66="Não",Sisay!C66, "")</f>
        <v/>
      </c>
      <c r="J66" t="str">
        <v/>
      </c>
      <c r="K66" t="str">
        <f>IF(OWA!D59="Não",OWA!C59, "")</f>
        <v/>
      </c>
      <c r="N66" t="str">
        <v/>
      </c>
      <c r="O66" t="str">
        <f>IF(Narset!D64="Não",Narset!C64,"")</f>
        <v>Memory Erosion</v>
      </c>
      <c r="R66" t="str">
        <v/>
      </c>
      <c r="S66" t="str">
        <f>IF(Kumena!D66="Não",Kumena!C66,"")</f>
        <v/>
      </c>
      <c r="V66" t="str">
        <v/>
      </c>
      <c r="W66" t="str">
        <f>IF(Zimone!D67="Não",Zimone!C67,"")</f>
        <v/>
      </c>
    </row>
    <row r="67" spans="2:23" x14ac:dyDescent="0.25">
      <c r="B67" t="str">
        <v/>
      </c>
      <c r="C67" t="str">
        <f>IF(Rani!D66="Não",Rani!C66, "")</f>
        <v/>
      </c>
      <c r="F67" t="str">
        <v/>
      </c>
      <c r="G67" t="str">
        <f>IF(Sisay!D67="Não",Sisay!C67, "")</f>
        <v/>
      </c>
      <c r="J67" t="str">
        <v/>
      </c>
      <c r="K67" t="str">
        <f>IF(OWA!D93="Não",OWA!C93, "")</f>
        <v/>
      </c>
      <c r="N67" t="str">
        <v/>
      </c>
      <c r="O67" t="str">
        <f>IF(Narset!D65="Não",Narset!C65,"")</f>
        <v/>
      </c>
      <c r="R67" t="str">
        <v/>
      </c>
      <c r="S67" t="str">
        <f>IF(Kumena!D67="Não",Kumena!C67,"")</f>
        <v/>
      </c>
      <c r="V67" t="str">
        <v/>
      </c>
      <c r="W67" t="str">
        <f>IF(Zimone!D68="Não",Zimone!C68,"")</f>
        <v/>
      </c>
    </row>
    <row r="68" spans="2:23" x14ac:dyDescent="0.25">
      <c r="B68" t="str">
        <v/>
      </c>
      <c r="C68" t="str">
        <f>IF(Rani!D67="Não",Rani!C67, "")</f>
        <v/>
      </c>
      <c r="F68" t="str">
        <v/>
      </c>
      <c r="G68" t="str">
        <f>IF(Sisay!D68="Não",Sisay!C68, "")</f>
        <v/>
      </c>
      <c r="J68" t="str">
        <v/>
      </c>
      <c r="K68" t="str">
        <f>IF(OWA!D60="Não",OWA!C60, "")</f>
        <v/>
      </c>
      <c r="N68" t="str">
        <v/>
      </c>
      <c r="O68" t="str">
        <f>IF(Narset!D95="Não",Narset!C95,"")</f>
        <v>Subjugar a Horda</v>
      </c>
      <c r="R68" t="str">
        <v/>
      </c>
      <c r="S68" t="str">
        <f>IF(Kumena!D68="Não",Kumena!C68,"")</f>
        <v/>
      </c>
      <c r="V68" t="str">
        <v/>
      </c>
      <c r="W68" t="str">
        <f>IF(Zimone!D69="Não",Zimone!C69,"")</f>
        <v/>
      </c>
    </row>
    <row r="69" spans="2:23" x14ac:dyDescent="0.25">
      <c r="B69" t="str">
        <v/>
      </c>
      <c r="C69" t="str">
        <f>IF(Rani!D68="Não",Rani!C68, "")</f>
        <v/>
      </c>
      <c r="F69" t="str">
        <v/>
      </c>
      <c r="G69" t="str">
        <f>IF(Sisay!D69="Não",Sisay!C69, "")</f>
        <v/>
      </c>
      <c r="J69" t="str">
        <v/>
      </c>
      <c r="K69" t="str">
        <f>IF(OWA!D61="Não",OWA!C61, "")</f>
        <v/>
      </c>
      <c r="N69" t="str">
        <v/>
      </c>
      <c r="O69" t="str">
        <f>IF(Narset!D96="Não",Narset!C96,"")</f>
        <v/>
      </c>
      <c r="R69" t="str">
        <v/>
      </c>
      <c r="S69" t="str">
        <f>IF(Kumena!D69="Não",Kumena!C69,"")</f>
        <v>Lord of Atlantis</v>
      </c>
      <c r="V69" t="str">
        <v/>
      </c>
      <c r="W69" t="str">
        <f>IF(Zimone!D32="Não",Zimone!C32,"")</f>
        <v/>
      </c>
    </row>
    <row r="70" spans="2:23" x14ac:dyDescent="0.25">
      <c r="B70" t="str">
        <v/>
      </c>
      <c r="C70" t="str">
        <f>IF(Rani!D69="Não",Rani!C69, "")</f>
        <v/>
      </c>
      <c r="F70" t="str">
        <v/>
      </c>
      <c r="G70" t="str">
        <f>IF(Sisay!D70="Não",Sisay!C70, "")</f>
        <v/>
      </c>
      <c r="J70" t="str">
        <v/>
      </c>
      <c r="K70" t="str">
        <f>IF(OWA!D91="Não",OWA!C91, "")</f>
        <v/>
      </c>
      <c r="N70" t="str">
        <v/>
      </c>
      <c r="O70" t="str">
        <f>IF(Narset!D66="Não",Narset!C66,"")</f>
        <v>Psychic Corrosion</v>
      </c>
      <c r="R70" t="str">
        <v/>
      </c>
      <c r="S70" t="str">
        <f>IF(Kumena!D70="Não",Kumena!C70,"")</f>
        <v>Metallic Mimic</v>
      </c>
      <c r="V70" t="str">
        <v/>
      </c>
      <c r="W70" t="str">
        <f>IF(Zimone!D70="Não",Zimone!C70,"")</f>
        <v/>
      </c>
    </row>
    <row r="71" spans="2:23" x14ac:dyDescent="0.25">
      <c r="B71" t="str">
        <v/>
      </c>
      <c r="C71" t="str">
        <f>IF(Rani!D70="Não",Rani!C70, "")</f>
        <v/>
      </c>
      <c r="F71" t="str">
        <v/>
      </c>
      <c r="G71" t="str">
        <f>IF(Sisay!D71="Não",Sisay!C71, "")</f>
        <v/>
      </c>
      <c r="J71" t="str">
        <v/>
      </c>
      <c r="K71" t="str">
        <f>IF(OWA!D62="Não",OWA!C62, "")</f>
        <v>Warren Soultrader</v>
      </c>
      <c r="N71" t="str">
        <v/>
      </c>
      <c r="O71" t="str">
        <f>IF(Narset!D67="Não",Narset!C67,"")</f>
        <v/>
      </c>
      <c r="R71" t="str">
        <v/>
      </c>
      <c r="S71" t="str">
        <f>IF(Kumena!D71="Não",Kumena!C71,"")</f>
        <v/>
      </c>
      <c r="V71" t="str">
        <v/>
      </c>
      <c r="W71" t="str">
        <f>IF(Zimone!D71="Não",Zimone!C71,"")</f>
        <v/>
      </c>
    </row>
    <row r="72" spans="2:23" x14ac:dyDescent="0.25">
      <c r="B72" t="str">
        <v/>
      </c>
      <c r="C72" t="str">
        <f>IF(Rani!D71="Não",Rani!C71, "")</f>
        <v/>
      </c>
      <c r="F72" t="str">
        <v/>
      </c>
      <c r="G72" t="str">
        <f>IF(Sisay!D72="Não",Sisay!C72, "")</f>
        <v>Oko, Thief of Crowns</v>
      </c>
      <c r="J72" t="str">
        <v/>
      </c>
      <c r="K72" t="str">
        <f>IF(OWA!D66="Não",OWA!C66, "")</f>
        <v>Dollmaker's Shop // Porcelain Gallery</v>
      </c>
      <c r="N72" t="str">
        <v/>
      </c>
      <c r="O72" t="str">
        <f>IF(Narset!D68="Não",Narset!C68,"")</f>
        <v/>
      </c>
      <c r="R72" t="str">
        <v/>
      </c>
      <c r="S72" t="str">
        <f>IF(Kumena!D72="Não",Kumena!C72,"")</f>
        <v>Lullmage Mentor</v>
      </c>
      <c r="V72" t="str">
        <v/>
      </c>
      <c r="W72" t="str">
        <f>IF(Zimone!D72="Não",Zimone!C72,"")</f>
        <v>Oathsworn Vampire</v>
      </c>
    </row>
    <row r="73" spans="2:23" x14ac:dyDescent="0.25">
      <c r="B73" t="str">
        <v/>
      </c>
      <c r="C73" t="str">
        <f>IF(Rani!D72="Não",Rani!C72, "")</f>
        <v/>
      </c>
      <c r="F73" t="str">
        <v/>
      </c>
      <c r="G73" t="str">
        <f>IF(Sisay!D73="Não",Sisay!C73, "")</f>
        <v>Nicol Bolas, God-Pharaoh</v>
      </c>
      <c r="J73" t="str">
        <v/>
      </c>
      <c r="K73" t="str">
        <f>IF(OWA!D88="Não",OWA!C88, "")</f>
        <v>Promessa de Aclazotz</v>
      </c>
      <c r="N73" t="str">
        <v/>
      </c>
      <c r="O73" t="str">
        <f>IF(Narset!D69="Não",Narset!C69,"")</f>
        <v/>
      </c>
      <c r="R73" t="str">
        <v/>
      </c>
      <c r="S73" t="str">
        <f>IF(Kumena!D73="Não",Kumena!C73,"")</f>
        <v/>
      </c>
      <c r="V73" t="str">
        <v/>
      </c>
      <c r="W73" t="str">
        <f>IF(Zimone!D73="Não",Zimone!C73,"")</f>
        <v/>
      </c>
    </row>
    <row r="74" spans="2:23" x14ac:dyDescent="0.25">
      <c r="B74" t="str">
        <v/>
      </c>
      <c r="C74" t="str">
        <f>IF(Rani!D73="Não",Rani!C73, "")</f>
        <v/>
      </c>
      <c r="F74" t="str">
        <v/>
      </c>
      <c r="G74" t="str">
        <f>IF(Sisay!D74="Não",Sisay!C74, "")</f>
        <v>Vronos, Masked Inquisitor</v>
      </c>
      <c r="J74" t="str">
        <v/>
      </c>
      <c r="K74" t="str">
        <f>IF(OWA!D67="Não",OWA!C67, "")</f>
        <v/>
      </c>
      <c r="N74" t="str">
        <v/>
      </c>
      <c r="O74" t="str">
        <f>IF(Narset!D70="Não",Narset!C70,"")</f>
        <v/>
      </c>
      <c r="R74" t="str">
        <v/>
      </c>
      <c r="S74" t="str">
        <f>IF(Kumena!D74="Não",Kumena!C74,"")</f>
        <v/>
      </c>
      <c r="V74" t="str">
        <v/>
      </c>
      <c r="W74" t="str">
        <f>IF(Zimone!D74="Não",Zimone!C74,"")</f>
        <v/>
      </c>
    </row>
    <row r="75" spans="2:23" x14ac:dyDescent="0.25">
      <c r="B75" t="str">
        <v/>
      </c>
      <c r="C75" t="str">
        <f>IF(Rani!D74="Não",Rani!C74, "")</f>
        <v/>
      </c>
      <c r="F75" t="str">
        <v/>
      </c>
      <c r="G75" t="str">
        <f>IF(Sisay!D75="Não",Sisay!C75, "")</f>
        <v/>
      </c>
      <c r="J75" t="str">
        <v/>
      </c>
      <c r="K75" t="str">
        <f>IF(OWA!D79="Não",OWA!C79, "")</f>
        <v/>
      </c>
      <c r="N75" t="str">
        <v/>
      </c>
      <c r="O75" t="str">
        <f>IF(Narset!D71="Não",Narset!C71,"")</f>
        <v/>
      </c>
      <c r="R75" t="str">
        <v/>
      </c>
      <c r="S75" t="str">
        <f>IF(Kumena!D75="Não",Kumena!C75,"")</f>
        <v>Stonybrook Banneret</v>
      </c>
      <c r="V75" t="str">
        <v/>
      </c>
      <c r="W75" t="str">
        <f>IF(Zimone!D75="Não",Zimone!C75,"")</f>
        <v/>
      </c>
    </row>
    <row r="76" spans="2:23" x14ac:dyDescent="0.25">
      <c r="B76" t="str">
        <v/>
      </c>
      <c r="C76" t="str">
        <f>IF(Rani!D75="Não",Rani!C75, "")</f>
        <v/>
      </c>
      <c r="F76" t="str">
        <v/>
      </c>
      <c r="G76" t="str">
        <f>IF(Sisay!D76="Não",Sisay!C76, "")</f>
        <v/>
      </c>
      <c r="J76" t="str">
        <v/>
      </c>
      <c r="K76" t="str">
        <f>IF(OWA!D85="Não",OWA!C85, "")</f>
        <v/>
      </c>
      <c r="N76" t="str">
        <v/>
      </c>
      <c r="O76" t="str">
        <f>IF(Narset!D72="Não",Narset!C72,"")</f>
        <v>Maddening Cacophony</v>
      </c>
      <c r="R76" t="str">
        <v/>
      </c>
      <c r="S76" t="str">
        <f>IF(Kumena!D76="Não",Kumena!C76,"")</f>
        <v/>
      </c>
      <c r="V76" t="str">
        <v/>
      </c>
      <c r="W76" t="str">
        <f>IF(Zimone!D76="Não",Zimone!C76,"")</f>
        <v/>
      </c>
    </row>
    <row r="77" spans="2:23" x14ac:dyDescent="0.25">
      <c r="B77" t="str">
        <v/>
      </c>
      <c r="C77" t="str">
        <f>IF(Rani!D76="Não",Rani!C76, "")</f>
        <v/>
      </c>
      <c r="F77" t="str">
        <v/>
      </c>
      <c r="G77" t="str">
        <f>IF(Sisay!D77="Não",Sisay!C77, "")</f>
        <v>Karn Liberated</v>
      </c>
      <c r="J77" t="str">
        <v/>
      </c>
      <c r="K77" t="str">
        <f>IF(OWA!D68="Não",OWA!C68, "")</f>
        <v/>
      </c>
      <c r="N77" t="str">
        <v/>
      </c>
      <c r="O77" t="str">
        <f>IF(Narset!D73="Não",Narset!C73,"")</f>
        <v/>
      </c>
      <c r="R77" t="str">
        <v/>
      </c>
      <c r="S77" t="str">
        <f>IF(Kumena!D77="Não",Kumena!C77,"")</f>
        <v>Herald of Secret Streams</v>
      </c>
      <c r="V77" t="str">
        <v/>
      </c>
      <c r="W77" t="str">
        <f>IF(Zimone!D77="Não",Zimone!C77,"")</f>
        <v>Horizon Explorer</v>
      </c>
    </row>
    <row r="78" spans="2:23" x14ac:dyDescent="0.25">
      <c r="B78" t="str">
        <v/>
      </c>
      <c r="C78" t="str">
        <f>IF(Rani!D77="Não",Rani!C77, "")</f>
        <v/>
      </c>
      <c r="F78" t="str">
        <v/>
      </c>
      <c r="G78" t="str">
        <f>IF(Sisay!D78="Não",Sisay!C78, "")</f>
        <v/>
      </c>
      <c r="J78" t="str">
        <v/>
      </c>
      <c r="K78" t="str">
        <f>IF(OWA!D84="Não",OWA!C84, "")</f>
        <v/>
      </c>
      <c r="N78" t="str">
        <v/>
      </c>
      <c r="O78" t="str">
        <f>IF(Narset!D79="Não",Narset!C79,"")</f>
        <v>Spark Double</v>
      </c>
      <c r="R78" t="str">
        <v/>
      </c>
      <c r="S78" t="str">
        <f>IF(Kumena!D78="Não",Kumena!C78,"")</f>
        <v/>
      </c>
      <c r="V78" t="str">
        <v/>
      </c>
      <c r="W78" t="str">
        <f>IF(Zimone!D78="Não",Zimone!C78,"")</f>
        <v>Ancient Greenwarden</v>
      </c>
    </row>
    <row r="79" spans="2:23" x14ac:dyDescent="0.25">
      <c r="B79" t="str">
        <v/>
      </c>
      <c r="C79" t="str">
        <f>IF(Rani!D78="Não",Rani!C78, "")</f>
        <v/>
      </c>
      <c r="F79" t="str">
        <v/>
      </c>
      <c r="G79" t="str">
        <f>IF(Sisay!D79="Não",Sisay!C79, "")</f>
        <v/>
      </c>
      <c r="J79" t="str">
        <v/>
      </c>
      <c r="K79" t="str">
        <f>IF(OWA!D71="Não",OWA!C71, "")</f>
        <v/>
      </c>
      <c r="N79" t="str">
        <v/>
      </c>
      <c r="O79" t="str">
        <f>IF(Narset!D74="Não",Narset!C74,"")</f>
        <v/>
      </c>
      <c r="R79" t="str">
        <v/>
      </c>
      <c r="S79" t="str">
        <f>IF(Kumena!D79="Não",Kumena!C79,"")</f>
        <v>Merrow Harbinger</v>
      </c>
      <c r="V79" t="str">
        <v/>
      </c>
      <c r="W79" t="str">
        <f>IF(Zimone!D79="Não",Zimone!C79,"")</f>
        <v/>
      </c>
    </row>
    <row r="80" spans="2:23" x14ac:dyDescent="0.25">
      <c r="B80" t="str">
        <v/>
      </c>
      <c r="C80" t="str">
        <f>IF(Rani!D79="Não",Rani!C79, "")</f>
        <v>Dúplice Debochada</v>
      </c>
      <c r="F80" t="str">
        <v/>
      </c>
      <c r="G80" t="str">
        <f>IF(Sisay!D80="Não",Sisay!C80, "")</f>
        <v/>
      </c>
      <c r="J80" t="str">
        <v/>
      </c>
      <c r="K80" t="str">
        <f>IF(OWA!D72="Não",OWA!C72, "")</f>
        <v/>
      </c>
      <c r="N80" t="str">
        <v/>
      </c>
      <c r="O80" t="str">
        <f>IF(Narset!D75="Não",Narset!C75,"")</f>
        <v/>
      </c>
      <c r="R80" t="str">
        <v/>
      </c>
      <c r="S80" t="str">
        <f>IF(Kumena!D80="Não",Kumena!C80,"")</f>
        <v/>
      </c>
      <c r="V80" t="str">
        <v/>
      </c>
      <c r="W80" t="str">
        <f>IF(Zimone!D80="Não",Zimone!C80,"")</f>
        <v/>
      </c>
    </row>
    <row r="81" spans="2:23" x14ac:dyDescent="0.25">
      <c r="B81" t="str">
        <v/>
      </c>
      <c r="C81" t="str">
        <f>IF(Rani!D80="Não",Rani!C80, "")</f>
        <v/>
      </c>
      <c r="F81" t="str">
        <v/>
      </c>
      <c r="G81" t="str">
        <f>IF(Sisay!D81="Não",Sisay!C81, "")</f>
        <v/>
      </c>
      <c r="J81" t="str">
        <v/>
      </c>
      <c r="K81" t="str">
        <f>IF(OWA!D75="Não",OWA!C75, "")</f>
        <v/>
      </c>
      <c r="N81" t="str">
        <v/>
      </c>
      <c r="O81" t="str">
        <f>IF(Narset!D76="Não",Narset!C76,"")</f>
        <v>Zellix, Sanity Flayer</v>
      </c>
      <c r="R81" t="str">
        <v/>
      </c>
      <c r="S81" t="str">
        <f>IF(Kumena!D81="Não",Kumena!C81,"")</f>
        <v/>
      </c>
      <c r="V81" t="str">
        <v/>
      </c>
      <c r="W81" t="str">
        <f>IF(Zimone!D81="Não",Zimone!C81,"")</f>
        <v/>
      </c>
    </row>
    <row r="82" spans="2:23" x14ac:dyDescent="0.25">
      <c r="B82" t="str">
        <v/>
      </c>
      <c r="C82" t="str">
        <f>IF(Rani!D81="Não",Rani!C81, "")</f>
        <v>Life of the Party</v>
      </c>
      <c r="F82" t="str">
        <v/>
      </c>
      <c r="G82" t="str">
        <f>IF(Sisay!D82="Não",Sisay!C82, "")</f>
        <v/>
      </c>
      <c r="J82" t="str">
        <v/>
      </c>
      <c r="K82" t="str">
        <f>IF(OWA!D76="Não",OWA!C76, "")</f>
        <v/>
      </c>
      <c r="N82" t="str">
        <v/>
      </c>
      <c r="O82" t="str">
        <f>IF(Narset!D77="Não",Narset!C77,"")</f>
        <v/>
      </c>
      <c r="R82" t="str">
        <v/>
      </c>
      <c r="S82" t="str">
        <f>IF(Kumena!D82="Não",Kumena!C82,"")</f>
        <v/>
      </c>
      <c r="V82" t="str">
        <v/>
      </c>
      <c r="W82" t="str">
        <f>IF(Zimone!D82="Não",Zimone!C82,"")</f>
        <v/>
      </c>
    </row>
    <row r="83" spans="2:23" x14ac:dyDescent="0.25">
      <c r="B83" t="str">
        <v/>
      </c>
      <c r="C83" t="str">
        <f>IF(Rani!D82="Não",Rani!C82, "")</f>
        <v/>
      </c>
      <c r="F83" t="str">
        <v/>
      </c>
      <c r="G83" t="str">
        <f>IF(Sisay!D83="Não",Sisay!C83, "")</f>
        <v/>
      </c>
      <c r="J83" t="str">
        <v/>
      </c>
      <c r="K83" t="str">
        <f>IF(OWA!D73="Não",OWA!C73, "")</f>
        <v/>
      </c>
      <c r="N83" t="str">
        <v/>
      </c>
      <c r="O83" t="str">
        <f>IF(Narset!D80="Não",Narset!C80,"")</f>
        <v/>
      </c>
      <c r="R83" t="str">
        <v/>
      </c>
      <c r="S83" t="str">
        <f>IF(Kumena!D83="Não",Kumena!C83,"")</f>
        <v>Deeproot Historian</v>
      </c>
      <c r="V83" t="str">
        <v/>
      </c>
      <c r="W83" t="str">
        <f>IF(Zimone!D83="Não",Zimone!C83,"")</f>
        <v/>
      </c>
    </row>
    <row r="84" spans="2:23" x14ac:dyDescent="0.25">
      <c r="B84" t="str">
        <v/>
      </c>
      <c r="C84" t="str">
        <f>IF(Rani!D83="Não",Rani!C83, "")</f>
        <v>Frenzied Gorespawn</v>
      </c>
      <c r="F84" t="str">
        <v/>
      </c>
      <c r="G84" t="str">
        <f>IF(Sisay!D84="Não",Sisay!C84, "")</f>
        <v/>
      </c>
      <c r="J84" t="str">
        <v/>
      </c>
      <c r="K84" t="str">
        <f>IF(OWA!D81="Não",OWA!C81, "")</f>
        <v/>
      </c>
      <c r="N84" t="str">
        <v/>
      </c>
      <c r="O84" t="str">
        <f>IF(Narset!D99="Não",Narset!C99,"")</f>
        <v>World at War</v>
      </c>
      <c r="R84" t="str">
        <v/>
      </c>
      <c r="S84" t="str">
        <f>IF(Kumena!D84="Não",Kumena!C84,"")</f>
        <v>Surgespanner</v>
      </c>
      <c r="V84" t="str">
        <v/>
      </c>
      <c r="W84" t="str">
        <f>IF(Zimone!D64="Não",Zimone!C64,"")</f>
        <v/>
      </c>
    </row>
    <row r="85" spans="2:23" x14ac:dyDescent="0.25">
      <c r="B85" t="str">
        <v/>
      </c>
      <c r="C85" t="str">
        <f>IF(Rani!D84="Não",Rani!C84, "")</f>
        <v/>
      </c>
      <c r="F85" t="str">
        <v/>
      </c>
      <c r="G85" t="str">
        <f>IF(Sisay!D85="Não",Sisay!C85, "")</f>
        <v/>
      </c>
      <c r="J85" t="str">
        <v/>
      </c>
      <c r="K85" t="str">
        <f>IF(OWA!D70="Não",OWA!C70, "")</f>
        <v>Stridehangar Automaton</v>
      </c>
      <c r="N85" t="str">
        <v/>
      </c>
      <c r="O85" t="str">
        <f>IF(Narset!D78="Não",Narset!C78,"")</f>
        <v>Aligned Heart</v>
      </c>
      <c r="R85" t="str">
        <v/>
      </c>
      <c r="S85" t="str">
        <f>IF(Kumena!D85="Não",Kumena!C85,"")</f>
        <v>Singer of Swift Rivers</v>
      </c>
      <c r="V85" t="str">
        <v/>
      </c>
      <c r="W85" t="str">
        <f>IF(Zimone!D84="Não",Zimone!C84,"")</f>
        <v/>
      </c>
    </row>
    <row r="86" spans="2:23" x14ac:dyDescent="0.25">
      <c r="B86" t="str">
        <v/>
      </c>
      <c r="C86" t="str">
        <f>IF(Rani!D86="Não",Rani!C86, "")</f>
        <v/>
      </c>
      <c r="F86" t="str">
        <v/>
      </c>
      <c r="G86" t="str">
        <f>IF(Sisay!D86="Não",Sisay!C86, "")</f>
        <v/>
      </c>
      <c r="J86" t="str">
        <v/>
      </c>
      <c r="K86" t="str">
        <f>IF(OWA!D80="Não",OWA!C80, "")</f>
        <v/>
      </c>
      <c r="N86" t="str">
        <v/>
      </c>
      <c r="O86" t="str">
        <f>IF(Narset!D81="Não",Narset!C81,"")</f>
        <v>Windcrag Siege</v>
      </c>
      <c r="R86" t="str">
        <v/>
      </c>
      <c r="S86" t="str">
        <f>IF(Kumena!D86="Não",Kumena!C86,"")</f>
        <v/>
      </c>
      <c r="V86" t="str">
        <v/>
      </c>
      <c r="W86" t="str">
        <f>IF(Zimone!D85="Não",Zimone!C85,"")</f>
        <v>Grave Pact</v>
      </c>
    </row>
    <row r="87" spans="2:23" x14ac:dyDescent="0.25">
      <c r="B87" t="str">
        <v/>
      </c>
      <c r="C87" t="str">
        <f>IF(Rani!D87="Não",Rani!C87, "")</f>
        <v/>
      </c>
      <c r="F87" t="str">
        <v/>
      </c>
      <c r="G87" t="str">
        <f>IF(Sisay!D87="Não",Sisay!C87, "")</f>
        <v>Ripples of Potential</v>
      </c>
      <c r="J87" t="str">
        <v/>
      </c>
      <c r="K87" t="str">
        <f>IF(OWA!D82="Não",OWA!C82, "")</f>
        <v/>
      </c>
      <c r="N87" t="str">
        <v/>
      </c>
      <c r="O87" t="str">
        <f>IF(Narset!D82="Não",Narset!C82,"")</f>
        <v/>
      </c>
      <c r="R87" t="str">
        <v/>
      </c>
      <c r="S87" t="str">
        <f>IF(Kumena!D87="Não",Kumena!C87,"")</f>
        <v>Throne of the God-Pharaoh</v>
      </c>
      <c r="V87" t="str">
        <v/>
      </c>
      <c r="W87" t="str">
        <f>IF(Zimone!D86="Não",Zimone!C86,"")</f>
        <v>Sothera, the Supervoid</v>
      </c>
    </row>
    <row r="88" spans="2:23" x14ac:dyDescent="0.25">
      <c r="B88" t="str">
        <v/>
      </c>
      <c r="C88" t="str">
        <f>IF(Rani!D88="Não",Rani!C88, "")</f>
        <v/>
      </c>
      <c r="F88" t="str">
        <v/>
      </c>
      <c r="G88" t="str">
        <f>IF(Sisay!D88="Não",Sisay!C88, "")</f>
        <v>O Dínamo Peregrino</v>
      </c>
      <c r="J88" t="str">
        <v/>
      </c>
      <c r="K88" t="str">
        <f>IF(OWA!D86="Não",OWA!C86, "")</f>
        <v/>
      </c>
      <c r="N88" t="str">
        <v/>
      </c>
      <c r="O88" t="str">
        <f>IF(Narset!D83="Não",Narset!C83,"")</f>
        <v>Irenicus's Vile Duplication</v>
      </c>
      <c r="R88" t="str">
        <v/>
      </c>
      <c r="S88" t="str">
        <f>IF(Kumena!D88="Não",Kumena!C88,"")</f>
        <v/>
      </c>
      <c r="V88" t="str">
        <v/>
      </c>
      <c r="W88" t="str">
        <f>IF(Zimone!D87="Não",Zimone!C87,"")</f>
        <v/>
      </c>
    </row>
    <row r="89" spans="2:23" x14ac:dyDescent="0.25">
      <c r="B89" t="str">
        <v/>
      </c>
      <c r="C89" t="str">
        <f>IF(Rani!D89="Não",Rani!C89, "")</f>
        <v/>
      </c>
      <c r="F89" t="str">
        <v/>
      </c>
      <c r="G89" t="str">
        <f>IF(Sisay!D89="Não",Sisay!C89, "")</f>
        <v/>
      </c>
      <c r="J89" t="str">
        <v/>
      </c>
      <c r="K89" t="str">
        <f>IF(OWA!D83="Não",OWA!C83, "")</f>
        <v>Illustrious Wanderglyph</v>
      </c>
      <c r="N89" t="str">
        <v/>
      </c>
      <c r="O89" t="str">
        <f>IF(Narset!D84="Não",Narset!C84,"")</f>
        <v/>
      </c>
      <c r="R89" t="str">
        <v/>
      </c>
      <c r="S89" t="str">
        <f>IF(Kumena!D89="Não",Kumena!C89,"")</f>
        <v>Simic Charm</v>
      </c>
      <c r="V89" t="str">
        <v/>
      </c>
      <c r="W89" t="str">
        <f>IF(Zimone!D88="Não",Zimone!C88,"")</f>
        <v/>
      </c>
    </row>
    <row r="90" spans="2:23" x14ac:dyDescent="0.25">
      <c r="B90" t="str">
        <v/>
      </c>
      <c r="C90" t="str">
        <f>IF(Rani!D90="Não",Rani!C90, "")</f>
        <v/>
      </c>
      <c r="F90" t="str">
        <v/>
      </c>
      <c r="G90" t="str">
        <f>IF(Sisay!D90="Não",Sisay!C90, "")</f>
        <v/>
      </c>
      <c r="J90" t="str">
        <v/>
      </c>
      <c r="K90" t="str">
        <f>IF(OWA!D89="Não",OWA!C89, "")</f>
        <v/>
      </c>
      <c r="N90" t="str">
        <v/>
      </c>
      <c r="O90" t="str">
        <f>IF(Narset!D85="Não",Narset!C85,"")</f>
        <v/>
      </c>
      <c r="R90" t="str">
        <v/>
      </c>
      <c r="S90" t="str">
        <f>IF(Kumena!D90="Não",Kumena!C90,"")</f>
        <v/>
      </c>
      <c r="V90" t="str">
        <v/>
      </c>
      <c r="W90" t="str">
        <f>IF(Zimone!D89="Não",Zimone!C89,"")</f>
        <v/>
      </c>
    </row>
    <row r="91" spans="2:23" x14ac:dyDescent="0.25">
      <c r="B91" t="str">
        <v/>
      </c>
      <c r="C91" t="str">
        <f>IF(Rani!D91="Não",Rani!C91, "")</f>
        <v/>
      </c>
      <c r="F91" t="str">
        <v/>
      </c>
      <c r="G91" t="str">
        <f>IF(Sisay!D91="Não",Sisay!C91, "")</f>
        <v/>
      </c>
      <c r="J91" t="str">
        <v/>
      </c>
      <c r="K91" t="str">
        <f>IF(OWA!D92="Não",OWA!C92, "")</f>
        <v/>
      </c>
      <c r="N91" t="str">
        <v/>
      </c>
      <c r="O91" t="str">
        <f>IF(Narset!D86="Não",Narset!C86,"")</f>
        <v/>
      </c>
      <c r="R91" t="str">
        <v/>
      </c>
      <c r="S91" t="str">
        <f>IF(Kumena!D91="Não",Kumena!C91,"")</f>
        <v/>
      </c>
      <c r="V91" t="str">
        <v/>
      </c>
      <c r="W91" t="str">
        <f>IF(Zimone!D91="Não",Zimone!C91,"")</f>
        <v/>
      </c>
    </row>
    <row r="92" spans="2:23" x14ac:dyDescent="0.25">
      <c r="B92" t="str">
        <v/>
      </c>
      <c r="C92" t="str">
        <f>IF(Rani!D92="Não",Rani!C92, "")</f>
        <v/>
      </c>
      <c r="F92" t="str">
        <v/>
      </c>
      <c r="G92" t="str">
        <f>IF(Sisay!D92="Não",Sisay!C92, "")</f>
        <v/>
      </c>
      <c r="J92" t="str">
        <v/>
      </c>
      <c r="K92" t="str">
        <f>IF(OWA!D47="Não",OWA!C47, "")</f>
        <v/>
      </c>
      <c r="N92" t="str">
        <v/>
      </c>
      <c r="O92" t="str">
        <f>IF(Narset!D87="Não",Narset!C87,"")</f>
        <v/>
      </c>
      <c r="R92" t="str">
        <v/>
      </c>
      <c r="S92" t="str">
        <f>IF(Kumena!D92="Não",Kumena!C92,"")</f>
        <v/>
      </c>
      <c r="V92" t="str">
        <v/>
      </c>
      <c r="W92" t="str">
        <f>IF(Zimone!D92="Não",Zimone!C92,"")</f>
        <v/>
      </c>
    </row>
    <row r="93" spans="2:23" x14ac:dyDescent="0.25">
      <c r="B93" t="str">
        <v/>
      </c>
      <c r="C93" t="str">
        <f>IF(Rani!D93="Não",Rani!C93, "")</f>
        <v>Xantcha, Agente Adormecida</v>
      </c>
      <c r="F93" t="str">
        <v/>
      </c>
      <c r="G93" t="str">
        <f>IF(Sisay!D93="Não",Sisay!C93, "")</f>
        <v/>
      </c>
      <c r="J93" t="str">
        <v/>
      </c>
      <c r="K93" t="str">
        <f>IF(OWA!D96="Não",OWA!C96, "")</f>
        <v/>
      </c>
      <c r="N93" t="str">
        <v/>
      </c>
      <c r="O93" t="str">
        <f>IF(Narset!D88="Não",Narset!C88,"")</f>
        <v/>
      </c>
      <c r="R93" t="str">
        <v/>
      </c>
      <c r="S93" t="str">
        <f>IF(Kumena!D93="Não",Kumena!C93,"")</f>
        <v>Merrow Commerce</v>
      </c>
      <c r="V93" t="str">
        <v/>
      </c>
      <c r="W93" t="str">
        <f>IF(Zimone!D93="Não",Zimone!C93,"")</f>
        <v/>
      </c>
    </row>
    <row r="94" spans="2:23" x14ac:dyDescent="0.25">
      <c r="B94" t="str">
        <v/>
      </c>
      <c r="C94" t="str">
        <f>IF(Rani!D94="Não",Rani!C94, "")</f>
        <v/>
      </c>
      <c r="F94" t="str">
        <v/>
      </c>
      <c r="G94" t="str">
        <f>IF(Sisay!D94="Não",Sisay!C94, "")</f>
        <v/>
      </c>
      <c r="J94" t="str">
        <v/>
      </c>
      <c r="K94" t="str">
        <f>IF(OWA!D78="Não",OWA!C78, "")</f>
        <v/>
      </c>
      <c r="N94" t="str">
        <v/>
      </c>
      <c r="O94" t="str">
        <f>IF(Narset!D94="Não",Narset!C94,"")</f>
        <v/>
      </c>
      <c r="R94" t="str">
        <v/>
      </c>
      <c r="S94" t="str">
        <f>IF(Kumena!D94="Não",Kumena!C94,"")</f>
        <v>Summon: Leviathan</v>
      </c>
      <c r="V94" t="str">
        <v/>
      </c>
      <c r="W94" t="str">
        <f>IF(Zimone!D94="Não",Zimone!C94,"")</f>
        <v/>
      </c>
    </row>
    <row r="95" spans="2:23" x14ac:dyDescent="0.25">
      <c r="B95" t="str">
        <v/>
      </c>
      <c r="C95" t="str">
        <f>IF(Rani!D95="Não",Rani!C95, "")</f>
        <v/>
      </c>
      <c r="F95" t="str">
        <v/>
      </c>
      <c r="G95" t="str">
        <f>IF(Sisay!D95="Não",Sisay!C95, "")</f>
        <v/>
      </c>
      <c r="J95" t="str">
        <v/>
      </c>
      <c r="K95" t="str">
        <f>IF(OWA!D97="Não",OWA!C97, "")</f>
        <v/>
      </c>
      <c r="N95" t="str">
        <v/>
      </c>
      <c r="O95" t="str">
        <f>IF(Narset!D89="Não",Narset!C89,"")</f>
        <v>Lightning Greaves</v>
      </c>
      <c r="R95" t="str">
        <v/>
      </c>
      <c r="S95" t="str">
        <f>IF(Kumena!D95="Não",Kumena!C95,"")</f>
        <v/>
      </c>
      <c r="V95" t="str">
        <v/>
      </c>
      <c r="W95" t="str">
        <f>IF(Zimone!D95="Não",Zimone!C95,"")</f>
        <v/>
      </c>
    </row>
    <row r="96" spans="2:23" x14ac:dyDescent="0.25">
      <c r="B96" t="str">
        <v/>
      </c>
      <c r="C96" t="str">
        <f>IF(Rani!D96="Não",Rani!C96, "")</f>
        <v/>
      </c>
      <c r="F96" t="str">
        <v/>
      </c>
      <c r="G96" t="str">
        <f>IF(Sisay!D96="Não",Sisay!C96, "")</f>
        <v/>
      </c>
      <c r="J96" t="str">
        <v/>
      </c>
      <c r="K96" t="str">
        <f>IF(OWA!D90="Não",OWA!C90, "")</f>
        <v/>
      </c>
      <c r="N96" t="str">
        <v/>
      </c>
      <c r="O96" t="str">
        <f>IF(Narset!D90="Não",Narset!C90,"")</f>
        <v/>
      </c>
      <c r="R96" t="str">
        <v/>
      </c>
      <c r="S96" t="str">
        <f>IF(Kumena!D96="Não",Kumena!C96,"")</f>
        <v/>
      </c>
      <c r="V96" t="str">
        <v/>
      </c>
      <c r="W96" t="str">
        <f>IF(Zimone!D96="Não",Zimone!C96,"")</f>
        <v/>
      </c>
    </row>
    <row r="97" spans="2:23" x14ac:dyDescent="0.25">
      <c r="B97" t="str">
        <v/>
      </c>
      <c r="C97" t="str">
        <f>IF(Rani!D97="Não",Rani!C97, "")</f>
        <v/>
      </c>
      <c r="F97" t="str">
        <v/>
      </c>
      <c r="G97" t="str">
        <f>IF(Sisay!D97="Não",Sisay!C97, "")</f>
        <v/>
      </c>
      <c r="J97" t="str">
        <v/>
      </c>
      <c r="K97" t="str">
        <f>IF(OWA!D98="Não",OWA!C98, "")</f>
        <v/>
      </c>
      <c r="N97" t="str">
        <v/>
      </c>
      <c r="O97" t="str">
        <f>IF(Narset!D91="Não",Narset!C91,"")</f>
        <v/>
      </c>
      <c r="R97" t="str">
        <v/>
      </c>
      <c r="S97" t="str">
        <f>IF(Kumena!D97="Não",Kumena!C97,"")</f>
        <v/>
      </c>
      <c r="V97" t="str">
        <v/>
      </c>
      <c r="W97" t="str">
        <f>IF(Zimone!D97="Não",Zimone!C97,"")</f>
        <v/>
      </c>
    </row>
    <row r="98" spans="2:23" x14ac:dyDescent="0.25">
      <c r="B98" t="str">
        <v/>
      </c>
      <c r="C98" t="str">
        <f>IF(Rani!D98="Não",Rani!C98, "")</f>
        <v/>
      </c>
      <c r="F98" t="str">
        <v/>
      </c>
      <c r="G98" t="str">
        <f>IF(Sisay!D98="Não",Sisay!C98, "")</f>
        <v/>
      </c>
      <c r="J98" t="str">
        <v/>
      </c>
      <c r="K98" t="str">
        <f>IF(OWA!D63="Não",OWA!C63, "")</f>
        <v/>
      </c>
      <c r="N98" t="str">
        <v/>
      </c>
      <c r="O98" t="str">
        <f>IF(Narset!D92="Não",Narset!C92,"")</f>
        <v>Ghostly Prison</v>
      </c>
      <c r="R98" t="str">
        <v/>
      </c>
      <c r="S98" t="str">
        <f>IF(Kumena!D98="Não",Kumena!C98,"")</f>
        <v/>
      </c>
      <c r="V98" t="str">
        <v/>
      </c>
      <c r="W98" t="str">
        <f>IF(Zimone!D98="Não",Zimone!C98,"")</f>
        <v>Marvin, Murderous Mimic</v>
      </c>
    </row>
    <row r="99" spans="2:23" x14ac:dyDescent="0.25">
      <c r="B99" t="str">
        <v/>
      </c>
      <c r="C99" t="str">
        <f>IF(Rani!D99="Não",Rani!C99, "")</f>
        <v/>
      </c>
      <c r="F99" t="str">
        <v/>
      </c>
      <c r="G99" t="str">
        <f>IF(Sisay!D99="Não",Sisay!C99, "")</f>
        <v/>
      </c>
      <c r="J99" t="str">
        <v/>
      </c>
      <c r="K99" t="str">
        <f>IF(OWA!D99="Não",OWA!C99, "")</f>
        <v/>
      </c>
      <c r="N99" t="str">
        <v/>
      </c>
      <c r="O99" t="str">
        <f>IF(Narset!D98="Não",Narset!C98,"")</f>
        <v>Full Throttle</v>
      </c>
      <c r="R99" t="str">
        <v/>
      </c>
      <c r="S99" t="str">
        <f>IF(Kumena!D99="Não",Kumena!C99,"")</f>
        <v/>
      </c>
      <c r="V99" t="str">
        <v/>
      </c>
      <c r="W99" t="str">
        <f>IF(Zimone!D99="Não",Zimone!C99,"")</f>
        <v/>
      </c>
    </row>
    <row r="100" spans="2:23" x14ac:dyDescent="0.25">
      <c r="B100" t="str">
        <v/>
      </c>
      <c r="C100" t="str">
        <f>IF(Rani!D100="Não",Rani!C100, "")</f>
        <v>Equilíbrio de Poderes</v>
      </c>
      <c r="F100" t="str">
        <v/>
      </c>
      <c r="G100" t="str">
        <f>IF(Sisay!D100="Não",Sisay!C100, "")</f>
        <v/>
      </c>
      <c r="J100" t="str">
        <v/>
      </c>
      <c r="K100" t="str">
        <f>IF(OWA!D100="Não",OWA!C100, "")</f>
        <v/>
      </c>
      <c r="N100" t="str">
        <v/>
      </c>
      <c r="O100" t="str">
        <f>IF(Narset!D100="Não",Narset!C100,"")</f>
        <v>Relentless Assault</v>
      </c>
      <c r="R100" t="str">
        <v/>
      </c>
      <c r="S100" t="str">
        <f>IF(Kumena!D100="Não",Kumena!C100,"")</f>
        <v/>
      </c>
      <c r="V100" t="str">
        <v/>
      </c>
      <c r="W100" t="str">
        <f>IF(Zimone!D100="Não",Zimone!C100,"")</f>
        <v/>
      </c>
    </row>
    <row r="101" spans="2:23" x14ac:dyDescent="0.25">
      <c r="B101" t="str">
        <v/>
      </c>
      <c r="C101" t="str">
        <f>IF(Rani!D101="Não",Rani!C101, "")</f>
        <v/>
      </c>
      <c r="F101" t="str">
        <v/>
      </c>
      <c r="G101" t="str">
        <f>IF(Sisay!D101="Não",Sisay!C101, "")</f>
        <v/>
      </c>
      <c r="J101" t="str">
        <v/>
      </c>
      <c r="K101" t="str">
        <f>IF(OWA!D101="Não",OWA!C101, "")</f>
        <v/>
      </c>
      <c r="N101" t="str">
        <v/>
      </c>
      <c r="O101" t="str">
        <f>IF(Narset!D101="Não",Narset!C101,"")</f>
        <v>Genji Glove</v>
      </c>
      <c r="R101" t="str">
        <v/>
      </c>
      <c r="S101" t="str">
        <f>IF(Kumena!D101="Não",Kumena!C101,"")</f>
        <v>Beast Within</v>
      </c>
      <c r="V101" t="str">
        <v/>
      </c>
      <c r="W101" t="str">
        <f>IF(Zimone!D101="Não",Zimone!C101,"")</f>
        <v>Thousand-Year Elixir</v>
      </c>
    </row>
    <row r="102" spans="2:23" x14ac:dyDescent="0.25">
      <c r="C102" t="str">
        <f>IF(Rani!D102="Não",Rani!C102, "")</f>
        <v/>
      </c>
      <c r="G102" t="str">
        <f>IF(Sisay!D102="Não",Sisay!C102, "")</f>
        <v/>
      </c>
      <c r="K102" t="str">
        <f>IF(OWA!D102="Não",OWA!C102, "")</f>
        <v/>
      </c>
      <c r="O102" t="str">
        <f>IF(Narset!D102="Não",Narset!C102,"")</f>
        <v/>
      </c>
      <c r="W102" t="str">
        <f>IF(Zimone!D102="Não",Zimone!C102,"")</f>
        <v/>
      </c>
    </row>
    <row r="103" spans="2:23" x14ac:dyDescent="0.25">
      <c r="C103" t="str">
        <f>IF(Inalla!D103="Não",Inalla!C103, "")</f>
        <v/>
      </c>
      <c r="G103" t="str">
        <f>IF(Sisay!D103="Não",Sisay!C103, "")</f>
        <v/>
      </c>
      <c r="K103" t="str">
        <f>IF(OWA!D103="Não",OWA!C103, "")</f>
        <v/>
      </c>
      <c r="O103" t="str">
        <f>IF(Narset!D103="Não",Narset!C103,"")</f>
        <v/>
      </c>
      <c r="S103" t="str">
        <f>IF(Narset!H103="Não",Narset!G103,"")</f>
        <v/>
      </c>
      <c r="W103" t="str">
        <f>IF(Narset!L103="Não",Narset!K103,"")</f>
        <v/>
      </c>
    </row>
    <row r="104" spans="2:23" x14ac:dyDescent="0.25">
      <c r="G104" t="str">
        <f>IF(Sisay!D104="Não",Sisay!C104, "")</f>
        <v/>
      </c>
      <c r="K104" t="str">
        <f>IF(OWA!D104="Não",OWA!C104, "")</f>
        <v/>
      </c>
      <c r="O104" t="str">
        <f>IF(Narset!D104="Não",Narset!C104,"")</f>
        <v/>
      </c>
      <c r="S104" t="str">
        <f>IF(Narset!H104="Não",Narset!G104,"")</f>
        <v/>
      </c>
      <c r="W104" t="str">
        <f>IF(Narset!L104="Não",Narset!K104,"")</f>
        <v/>
      </c>
    </row>
    <row r="105" spans="2:23" x14ac:dyDescent="0.25">
      <c r="G105" t="str">
        <f>IF(Sisay!D105="Não",Sisay!C105, "")</f>
        <v/>
      </c>
      <c r="K105" t="str">
        <f>IF(OWA!D105="Não",OWA!C105, "")</f>
        <v/>
      </c>
      <c r="O105" t="str">
        <f>IF(Narset!D105="Não",Narset!C105,"")</f>
        <v/>
      </c>
      <c r="S105" t="str">
        <f>IF(Narset!H105="Não",Narset!G105,"")</f>
        <v/>
      </c>
      <c r="W105" t="str">
        <f>IF(Narset!L105="Não",Narset!K105,"")</f>
        <v/>
      </c>
    </row>
    <row r="106" spans="2:23" x14ac:dyDescent="0.25">
      <c r="G106" t="str">
        <f>IF(Sisay!D106="Não",Sisay!C106, "")</f>
        <v/>
      </c>
      <c r="K106" t="str">
        <f>IF(OWA!D106="Não",OWA!C106, "")</f>
        <v/>
      </c>
      <c r="O106" t="str">
        <f>IF(Narset!D106="Não",Narset!C106,"")</f>
        <v/>
      </c>
      <c r="S106" t="str">
        <f>IF(Narset!H106="Não",Narset!G106,"")</f>
        <v/>
      </c>
      <c r="W106" t="str">
        <f>IF(Narset!L106="Não",Narset!K106,"")</f>
        <v/>
      </c>
    </row>
    <row r="107" spans="2:23" x14ac:dyDescent="0.25">
      <c r="G107" t="str">
        <f>IF(Sisay!D107="Não",Sisay!C107, "")</f>
        <v/>
      </c>
      <c r="K107" t="str">
        <f>IF(OWA!D107="Não",OWA!C107, "")</f>
        <v/>
      </c>
      <c r="O107" t="str">
        <f>IF(Narset!D107="Não",Narset!C107,"")</f>
        <v/>
      </c>
      <c r="S107" t="str">
        <f>IF(Narset!H107="Não",Narset!G107,"")</f>
        <v/>
      </c>
      <c r="W107" t="str">
        <f>IF(Narset!L107="Não",Narset!K107,"")</f>
        <v/>
      </c>
    </row>
    <row r="108" spans="2:23" x14ac:dyDescent="0.25">
      <c r="G108" t="str">
        <f>IF(Sisay!D108="Não",Sisay!C108, "")</f>
        <v/>
      </c>
      <c r="K108" t="str">
        <f>IF(OWA!D108="Não",OWA!C108, "")</f>
        <v/>
      </c>
      <c r="O108" t="str">
        <f>IF(Narset!D108="Não",Narset!C108,"")</f>
        <v/>
      </c>
      <c r="S108" t="str">
        <f>IF(Narset!H108="Não",Narset!G108,"")</f>
        <v/>
      </c>
      <c r="W108" t="str">
        <f>IF(Narset!L108="Não",Narset!K108,"")</f>
        <v/>
      </c>
    </row>
    <row r="109" spans="2:23" x14ac:dyDescent="0.25">
      <c r="G109" t="str">
        <f>IF(Sisay!D109="Não",Sisay!C109, "")</f>
        <v/>
      </c>
      <c r="K109" t="str">
        <f>IF(OWA!D109="Não",OWA!C109, "")</f>
        <v/>
      </c>
      <c r="O109" t="str">
        <f>IF(Narset!D109="Não",Narset!C109,"")</f>
        <v/>
      </c>
      <c r="S109" t="str">
        <f>IF(Narset!H109="Não",Narset!G109,"")</f>
        <v/>
      </c>
      <c r="W109" t="str">
        <f>IF(Narset!L109="Não",Narset!K109,"")</f>
        <v/>
      </c>
    </row>
    <row r="110" spans="2:23" x14ac:dyDescent="0.25">
      <c r="G110" t="str">
        <f>IF(Sisay!D110="Não",Sisay!C110, "")</f>
        <v/>
      </c>
      <c r="K110" t="str">
        <f>IF(OWA!D110="Não",OWA!C110, "")</f>
        <v/>
      </c>
      <c r="O110" t="str">
        <f>IF(Narset!D110="Não",Narset!C110,"")</f>
        <v/>
      </c>
      <c r="S110" t="str">
        <f>IF(Narset!H110="Não",Narset!G110,"")</f>
        <v/>
      </c>
      <c r="W110" t="str">
        <f>IF(Narset!L110="Não",Narset!K110,"")</f>
        <v/>
      </c>
    </row>
    <row r="111" spans="2:23" x14ac:dyDescent="0.25">
      <c r="G111" t="str">
        <f>IF(Sisay!D111="Não",Sisay!C111, "")</f>
        <v/>
      </c>
      <c r="K111" t="str">
        <f>IF(OWA!D111="Não",OWA!C111, "")</f>
        <v/>
      </c>
      <c r="O111" t="str">
        <f>IF(Narset!D111="Não",Narset!C111,"")</f>
        <v/>
      </c>
      <c r="S111" t="str">
        <f>IF(Narset!H111="Não",Narset!G111,"")</f>
        <v/>
      </c>
      <c r="W111" t="str">
        <f>IF(Narset!L111="Não",Narset!K111,"")</f>
        <v/>
      </c>
    </row>
    <row r="112" spans="2:23" x14ac:dyDescent="0.25">
      <c r="G112" t="str">
        <f>IF(Sisay!D112="Não",Sisay!C112, "")</f>
        <v/>
      </c>
      <c r="K112" t="str">
        <f>IF(OWA!D112="Não",OWA!C112, "")</f>
        <v/>
      </c>
      <c r="O112" t="str">
        <f>IF(Narset!D112="Não",Narset!C112,"")</f>
        <v/>
      </c>
      <c r="S112" t="str">
        <f>IF(Narset!H112="Não",Narset!G112,"")</f>
        <v/>
      </c>
      <c r="W112" t="str">
        <f>IF(Narset!L112="Não",Narset!K112,"")</f>
        <v/>
      </c>
    </row>
    <row r="113" spans="7:23" x14ac:dyDescent="0.25">
      <c r="G113" t="str">
        <f>IF(Sisay!D113="Não",Sisay!C113, "")</f>
        <v/>
      </c>
      <c r="K113" t="str">
        <f>IF(OWA!D113="Não",OWA!C113, "")</f>
        <v/>
      </c>
      <c r="O113" t="str">
        <f>IF(Narset!D113="Não",Narset!C113,"")</f>
        <v/>
      </c>
      <c r="S113" t="str">
        <f>IF(Narset!H113="Não",Narset!G113,"")</f>
        <v/>
      </c>
      <c r="W113" t="str">
        <f>IF(Narset!L113="Não",Narset!K113,"")</f>
        <v/>
      </c>
    </row>
    <row r="114" spans="7:23" x14ac:dyDescent="0.25">
      <c r="G114" t="str">
        <f>IF(Sisay!D114="Não",Sisay!C114, "")</f>
        <v/>
      </c>
      <c r="K114" t="str">
        <f>IF(OWA!D114="Não",OWA!C114, "")</f>
        <v/>
      </c>
      <c r="O114" t="str">
        <f>IF(Narset!D114="Não",Narset!C114,"")</f>
        <v/>
      </c>
      <c r="S114" t="str">
        <f>IF(Narset!H114="Não",Narset!G114,"")</f>
        <v/>
      </c>
      <c r="W114" t="str">
        <f>IF(Narset!L114="Não",Narset!K114,"")</f>
        <v/>
      </c>
    </row>
    <row r="115" spans="7:23" x14ac:dyDescent="0.25">
      <c r="G115" t="str">
        <f>IF(Sisay!D115="Não",Sisay!C115, "")</f>
        <v/>
      </c>
      <c r="K115" t="str">
        <f>IF(OWA!D115="Não",OWA!C115, "")</f>
        <v/>
      </c>
      <c r="O115" t="str">
        <f>IF(Narset!D115="Não",Narset!C115,"")</f>
        <v/>
      </c>
      <c r="S115" t="str">
        <f>IF(Narset!H115="Não",Narset!G115,"")</f>
        <v/>
      </c>
      <c r="W115" t="str">
        <f>IF(Narset!L115="Não",Narset!K115,"")</f>
        <v/>
      </c>
    </row>
    <row r="116" spans="7:23" x14ac:dyDescent="0.25">
      <c r="G116" t="str">
        <f>IF(Sisay!D116="Não",Sisay!C116, "")</f>
        <v/>
      </c>
      <c r="K116" t="str">
        <f>IF(OWA!D116="Não",OWA!C116, "")</f>
        <v/>
      </c>
      <c r="O116" t="str">
        <f>IF(Narset!D116="Não",Narset!C116,"")</f>
        <v/>
      </c>
      <c r="S116" t="str">
        <f>IF(Narset!H116="Não",Narset!G116,"")</f>
        <v/>
      </c>
      <c r="W116" t="str">
        <f>IF(Narset!L116="Não",Narset!K116,"")</f>
        <v/>
      </c>
    </row>
    <row r="117" spans="7:23" x14ac:dyDescent="0.25">
      <c r="G117" t="str">
        <f>IF(Sisay!D117="Não",Sisay!C117, "")</f>
        <v/>
      </c>
      <c r="K117" t="str">
        <f>IF(OWA!D117="Não",OWA!C117, "")</f>
        <v/>
      </c>
      <c r="O117" t="str">
        <f>IF(Narset!D117="Não",Narset!C117,"")</f>
        <v/>
      </c>
      <c r="S117" t="str">
        <f>IF(Narset!H117="Não",Narset!G117,"")</f>
        <v/>
      </c>
      <c r="W117" t="str">
        <f>IF(Narset!L117="Não",Narset!K117,"")</f>
        <v/>
      </c>
    </row>
    <row r="118" spans="7:23" x14ac:dyDescent="0.25">
      <c r="G118" t="str">
        <f>IF(Sisay!D118="Não",Sisay!C118, "")</f>
        <v/>
      </c>
      <c r="K118" t="str">
        <f>IF(OWA!D118="Não",OWA!C118, "")</f>
        <v/>
      </c>
      <c r="O118" t="str">
        <f>IF(Narset!D118="Não",Narset!C118,"")</f>
        <v/>
      </c>
      <c r="S118" t="str">
        <f>IF(Narset!H118="Não",Narset!G118,"")</f>
        <v/>
      </c>
      <c r="W118" t="str">
        <f>IF(Narset!L118="Não",Narset!K118,"")</f>
        <v/>
      </c>
    </row>
    <row r="119" spans="7:23" x14ac:dyDescent="0.25">
      <c r="G119" t="str">
        <f>IF(Sisay!D119="Não",Sisay!C119, "")</f>
        <v/>
      </c>
      <c r="K119" t="str">
        <f>IF(OWA!D119="Não",OWA!C119, "")</f>
        <v/>
      </c>
      <c r="O119" t="str">
        <f>IF(Narset!D119="Não",Narset!C119,"")</f>
        <v/>
      </c>
      <c r="S119" t="str">
        <f>IF(Narset!H119="Não",Narset!G119,"")</f>
        <v/>
      </c>
      <c r="W119" t="str">
        <f>IF(Narset!L119="Não",Narset!K119,"")</f>
        <v/>
      </c>
    </row>
    <row r="120" spans="7:23" x14ac:dyDescent="0.25">
      <c r="G120" t="str">
        <f>IF(Sisay!D120="Não",Sisay!C120, "")</f>
        <v/>
      </c>
      <c r="K120" t="str">
        <f>IF(OWA!D120="Não",OWA!C120, "")</f>
        <v/>
      </c>
      <c r="O120" t="str">
        <f>IF(Narset!D120="Não",Narset!C120,"")</f>
        <v/>
      </c>
      <c r="S120" t="str">
        <f>IF(Narset!H120="Não",Narset!G120,"")</f>
        <v/>
      </c>
      <c r="W120" t="str">
        <f>IF(Narset!L120="Não",Narset!K120,"")</f>
        <v/>
      </c>
    </row>
    <row r="121" spans="7:23" x14ac:dyDescent="0.25">
      <c r="G121" t="str">
        <f>IF(Sisay!D121="Não",Sisay!C121, "")</f>
        <v/>
      </c>
      <c r="K121" t="str">
        <f>IF(OWA!D121="Não",OWA!C121, "")</f>
        <v/>
      </c>
      <c r="O121" t="str">
        <f>IF(Narset!D121="Não",Narset!C121,"")</f>
        <v/>
      </c>
      <c r="S121" t="str">
        <f>IF(Narset!H121="Não",Narset!G121,"")</f>
        <v/>
      </c>
      <c r="W121" t="str">
        <f>IF(Narset!L121="Não",Narset!K121,"")</f>
        <v/>
      </c>
    </row>
    <row r="122" spans="7:23" x14ac:dyDescent="0.25">
      <c r="G122" t="str">
        <f>IF(Sisay!D122="Não",Sisay!C122, "")</f>
        <v/>
      </c>
      <c r="K122" t="str">
        <f>IF(OWA!D122="Não",OWA!C122, "")</f>
        <v/>
      </c>
      <c r="O122" t="str">
        <f>IF(Narset!D122="Não",Narset!C122,"")</f>
        <v/>
      </c>
      <c r="S122" t="str">
        <f>IF(Narset!H122="Não",Narset!G122,"")</f>
        <v/>
      </c>
      <c r="W122" t="str">
        <f>IF(Narset!L122="Não",Narset!K122,"")</f>
        <v/>
      </c>
    </row>
    <row r="123" spans="7:23" x14ac:dyDescent="0.25">
      <c r="G123" t="str">
        <f>IF(Sisay!D123="Não",Sisay!C123, "")</f>
        <v/>
      </c>
      <c r="K123" t="str">
        <f>IF(OWA!D123="Não",OWA!C123, "")</f>
        <v/>
      </c>
      <c r="O123" t="str">
        <f>IF(Narset!D123="Não",Narset!C123,"")</f>
        <v/>
      </c>
      <c r="S123" t="str">
        <f>IF(Narset!H123="Não",Narset!G123,"")</f>
        <v/>
      </c>
      <c r="W123" t="str">
        <f>IF(Narset!L123="Não",Narset!K123,"")</f>
        <v/>
      </c>
    </row>
    <row r="124" spans="7:23" x14ac:dyDescent="0.25">
      <c r="G124" t="str">
        <f>IF(Sisay!D124="Não",Sisay!C124, "")</f>
        <v/>
      </c>
      <c r="K124" t="str">
        <f>IF(OWA!D124="Não",OWA!C124, "")</f>
        <v/>
      </c>
      <c r="O124" t="str">
        <f>IF(Narset!D124="Não",Narset!C124,"")</f>
        <v/>
      </c>
      <c r="S124" t="str">
        <f>IF(Narset!H124="Não",Narset!G124,"")</f>
        <v/>
      </c>
      <c r="W124" t="str">
        <f>IF(Narset!L124="Não",Narset!K124,"")</f>
        <v/>
      </c>
    </row>
    <row r="125" spans="7:23" x14ac:dyDescent="0.25">
      <c r="G125" t="str">
        <f>IF(Sisay!D125="Não",Sisay!C125, "")</f>
        <v/>
      </c>
      <c r="K125" t="str">
        <f>IF(OWA!D125="Não",OWA!C125, "")</f>
        <v/>
      </c>
      <c r="O125" t="str">
        <f>IF(Narset!D125="Não",Narset!C125,"")</f>
        <v/>
      </c>
      <c r="S125" t="str">
        <f>IF(Narset!H125="Não",Narset!G125,"")</f>
        <v/>
      </c>
      <c r="W125" t="str">
        <f>IF(Narset!L125="Não",Narset!K125,"")</f>
        <v/>
      </c>
    </row>
    <row r="126" spans="7:23" x14ac:dyDescent="0.25">
      <c r="G126" t="str">
        <f>IF(Sisay!D126="Não",Sisay!C126, "")</f>
        <v/>
      </c>
      <c r="K126" t="str">
        <f>IF(OWA!D126="Não",OWA!C126, "")</f>
        <v/>
      </c>
      <c r="O126" t="str">
        <f>IF(Narset!D126="Não",Narset!C126,"")</f>
        <v/>
      </c>
      <c r="S126" t="str">
        <f>IF(Narset!H126="Não",Narset!G126,"")</f>
        <v/>
      </c>
      <c r="W126" t="str">
        <f>IF(Narset!L126="Não",Narset!K126,"")</f>
        <v/>
      </c>
    </row>
    <row r="127" spans="7:23" x14ac:dyDescent="0.25">
      <c r="G127" t="str">
        <f>IF(Sisay!D127="Não",Sisay!C127, "")</f>
        <v/>
      </c>
      <c r="K127" t="str">
        <f>IF(OWA!D127="Não",OWA!C127, "")</f>
        <v/>
      </c>
      <c r="O127" t="str">
        <f>IF(Narset!D127="Não",Narset!C127,"")</f>
        <v/>
      </c>
      <c r="S127" t="str">
        <f>IF(Narset!H127="Não",Narset!G127,"")</f>
        <v/>
      </c>
      <c r="W127" t="str">
        <f>IF(Narset!L127="Não",Narset!K127,"")</f>
        <v/>
      </c>
    </row>
    <row r="128" spans="7:23" x14ac:dyDescent="0.25">
      <c r="G128" t="str">
        <f>IF(Sisay!D128="Não",Sisay!C128, "")</f>
        <v/>
      </c>
      <c r="K128" t="str">
        <f>IF(OWA!D128="Não",OWA!C128, "")</f>
        <v/>
      </c>
      <c r="O128" t="str">
        <f>IF(Narset!D128="Não",Narset!C128,"")</f>
        <v/>
      </c>
      <c r="S128" t="str">
        <f>IF(Narset!H128="Não",Narset!G128,"")</f>
        <v/>
      </c>
      <c r="W128" t="str">
        <f>IF(Narset!L128="Não",Narset!K128,"")</f>
        <v/>
      </c>
    </row>
    <row r="129" spans="7:23" x14ac:dyDescent="0.25">
      <c r="G129" t="str">
        <f>IF(Sisay!D129="Não",Sisay!C129, "")</f>
        <v/>
      </c>
      <c r="K129" t="str">
        <f>IF(OWA!D129="Não",OWA!C129, "")</f>
        <v/>
      </c>
      <c r="O129" t="str">
        <f>IF(Narset!D129="Não",Narset!C129,"")</f>
        <v/>
      </c>
      <c r="S129" t="str">
        <f>IF(Narset!H129="Não",Narset!G129,"")</f>
        <v/>
      </c>
      <c r="W129" t="str">
        <f>IF(Narset!L129="Não",Narset!K129,"")</f>
        <v/>
      </c>
    </row>
    <row r="130" spans="7:23" x14ac:dyDescent="0.25">
      <c r="G130" t="str">
        <f>IF(Sisay!D130="Não",Sisay!C130, "")</f>
        <v/>
      </c>
      <c r="K130" t="str">
        <f>IF(OWA!D130="Não",OWA!C130, "")</f>
        <v/>
      </c>
      <c r="O130" t="str">
        <f>IF(Narset!D130="Não",Narset!C130,"")</f>
        <v/>
      </c>
      <c r="S130" t="str">
        <f>IF(Narset!H130="Não",Narset!G130,"")</f>
        <v/>
      </c>
      <c r="W130" t="str">
        <f>IF(Narset!L130="Não",Narset!K130,"")</f>
        <v/>
      </c>
    </row>
    <row r="131" spans="7:23" x14ac:dyDescent="0.25">
      <c r="G131" t="str">
        <f>IF(Sisay!D131="Não",Sisay!C131, "")</f>
        <v/>
      </c>
      <c r="K131" t="str">
        <f>IF(OWA!D131="Não",OWA!C131, "")</f>
        <v/>
      </c>
      <c r="O131" t="str">
        <f>IF(Narset!D131="Não",Narset!C131,"")</f>
        <v/>
      </c>
      <c r="S131" t="str">
        <f>IF(Narset!H131="Não",Narset!G131,"")</f>
        <v/>
      </c>
      <c r="W131" t="str">
        <f>IF(Narset!L131="Não",Narset!K131,"")</f>
        <v/>
      </c>
    </row>
    <row r="132" spans="7:23" x14ac:dyDescent="0.25">
      <c r="G132" t="str">
        <f>IF(Sisay!D132="Não",Sisay!C132, "")</f>
        <v/>
      </c>
      <c r="K132" t="str">
        <f>IF(OWA!D132="Não",OWA!C132, "")</f>
        <v/>
      </c>
      <c r="O132" t="str">
        <f>IF(Narset!D132="Não",Narset!C132,"")</f>
        <v/>
      </c>
      <c r="S132" t="str">
        <f>IF(Narset!H132="Não",Narset!G132,"")</f>
        <v/>
      </c>
      <c r="W132" t="str">
        <f>IF(Narset!L132="Não",Narset!K132,"")</f>
        <v/>
      </c>
    </row>
    <row r="133" spans="7:23" x14ac:dyDescent="0.25">
      <c r="G133" t="str">
        <f>IF(Sisay!D133="Não",Sisay!C133, "")</f>
        <v/>
      </c>
      <c r="K133" t="str">
        <f>IF(OWA!D133="Não",OWA!C133, "")</f>
        <v/>
      </c>
      <c r="O133" t="str">
        <f>IF(Narset!D133="Não",Narset!C133,"")</f>
        <v/>
      </c>
      <c r="S133" t="str">
        <f>IF(Narset!H133="Não",Narset!G133,"")</f>
        <v/>
      </c>
      <c r="W133" t="str">
        <f>IF(Narset!L133="Não",Narset!K133,"")</f>
        <v/>
      </c>
    </row>
    <row r="134" spans="7:23" x14ac:dyDescent="0.25">
      <c r="G134" t="str">
        <f>IF(Sisay!D134="Não",Sisay!C134, "")</f>
        <v/>
      </c>
      <c r="K134" t="str">
        <f>IF(OWA!D134="Não",OWA!C134, "")</f>
        <v/>
      </c>
      <c r="O134" t="str">
        <f>IF(Narset!D134="Não",Narset!C134,"")</f>
        <v/>
      </c>
      <c r="S134" t="str">
        <f>IF(Narset!H134="Não",Narset!G134,"")</f>
        <v/>
      </c>
      <c r="W134" t="str">
        <f>IF(Narset!L134="Não",Narset!K134,"")</f>
        <v/>
      </c>
    </row>
    <row r="135" spans="7:23" x14ac:dyDescent="0.25">
      <c r="G135" t="str">
        <f>IF(Sisay!D135="Não",Sisay!C135, "")</f>
        <v/>
      </c>
      <c r="K135" t="str">
        <f>IF(OWA!D135="Não",OWA!C135, "")</f>
        <v/>
      </c>
      <c r="O135" t="str">
        <f>IF(Narset!D135="Não",Narset!C135,"")</f>
        <v/>
      </c>
      <c r="S135" t="str">
        <f>IF(Narset!H135="Não",Narset!G135,"")</f>
        <v/>
      </c>
      <c r="W135" t="str">
        <f>IF(Narset!L135="Não",Narset!K135,"")</f>
        <v/>
      </c>
    </row>
    <row r="136" spans="7:23" x14ac:dyDescent="0.25">
      <c r="G136" t="str">
        <f>IF(Sisay!D136="Não",Sisay!C136, "")</f>
        <v/>
      </c>
      <c r="K136" t="str">
        <f>IF(OWA!D136="Não",OWA!C136, "")</f>
        <v/>
      </c>
      <c r="O136" t="str">
        <f>IF(Narset!D136="Não",Narset!C136,"")</f>
        <v/>
      </c>
      <c r="S136" t="str">
        <f>IF(Narset!H136="Não",Narset!G136,"")</f>
        <v/>
      </c>
      <c r="W136" t="str">
        <f>IF(Narset!L136="Não",Narset!K136,"")</f>
        <v/>
      </c>
    </row>
    <row r="137" spans="7:23" x14ac:dyDescent="0.25">
      <c r="G137" t="str">
        <f>IF(Sisay!D137="Não",Sisay!C137, "")</f>
        <v/>
      </c>
      <c r="K137" t="str">
        <f>IF(OWA!D137="Não",OWA!C137, "")</f>
        <v/>
      </c>
      <c r="O137" t="str">
        <f>IF(Narset!D137="Não",Narset!C137,"")</f>
        <v/>
      </c>
      <c r="S137" t="str">
        <f>IF(Narset!H137="Não",Narset!G137,"")</f>
        <v/>
      </c>
      <c r="W137" t="str">
        <f>IF(Narset!L137="Não",Narset!K137,"")</f>
        <v/>
      </c>
    </row>
    <row r="138" spans="7:23" x14ac:dyDescent="0.25">
      <c r="G138" t="str">
        <f>IF(Sisay!D138="Não",Sisay!C138, "")</f>
        <v/>
      </c>
      <c r="K138" t="str">
        <f>IF(OWA!D138="Não",OWA!C138, "")</f>
        <v/>
      </c>
      <c r="O138" t="str">
        <f>IF(Narset!D138="Não",Narset!C138,"")</f>
        <v/>
      </c>
      <c r="S138" t="str">
        <f>IF(Narset!H138="Não",Narset!G138,"")</f>
        <v/>
      </c>
      <c r="W138" t="str">
        <f>IF(Narset!L138="Não",Narset!K138,"")</f>
        <v/>
      </c>
    </row>
    <row r="139" spans="7:23" x14ac:dyDescent="0.25">
      <c r="G139" t="str">
        <f>IF(Sisay!D139="Não",Sisay!C139, "")</f>
        <v/>
      </c>
      <c r="K139" t="str">
        <f>IF(OWA!D139="Não",OWA!C139, "")</f>
        <v/>
      </c>
      <c r="O139" t="str">
        <f>IF(Narset!D139="Não",Narset!C139,"")</f>
        <v/>
      </c>
      <c r="S139" t="str">
        <f>IF(Narset!H139="Não",Narset!G139,"")</f>
        <v/>
      </c>
      <c r="W139" t="str">
        <f>IF(Narset!L139="Não",Narset!K139,"")</f>
        <v/>
      </c>
    </row>
    <row r="140" spans="7:23" x14ac:dyDescent="0.25">
      <c r="G140" t="str">
        <f>IF(Sisay!D140="Não",Sisay!C140, "")</f>
        <v/>
      </c>
      <c r="K140" t="str">
        <f>IF(OWA!D140="Não",OWA!C140, "")</f>
        <v/>
      </c>
      <c r="O140" t="str">
        <f>IF(Narset!D140="Não",Narset!C140,"")</f>
        <v/>
      </c>
      <c r="S140" t="str">
        <f>IF(Narset!H140="Não",Narset!G140,"")</f>
        <v/>
      </c>
      <c r="W140" t="str">
        <f>IF(Narset!L140="Não",Narset!K140,"")</f>
        <v/>
      </c>
    </row>
    <row r="141" spans="7:23" x14ac:dyDescent="0.25">
      <c r="G141" t="str">
        <f>IF(Sisay!D141="Não",Sisay!C141, "")</f>
        <v/>
      </c>
      <c r="K141" t="str">
        <f>IF(OWA!D141="Não",OWA!C141, "")</f>
        <v/>
      </c>
      <c r="O141" t="str">
        <f>IF(Narset!D141="Não",Narset!C141,"")</f>
        <v/>
      </c>
      <c r="S141" t="str">
        <f>IF(Narset!H141="Não",Narset!G141,"")</f>
        <v/>
      </c>
      <c r="W141" t="str">
        <f>IF(Narset!L141="Não",Narset!K141,"")</f>
        <v/>
      </c>
    </row>
    <row r="142" spans="7:23" x14ac:dyDescent="0.25">
      <c r="G142" t="str">
        <f>IF(Sisay!D142="Não",Sisay!C142, "")</f>
        <v/>
      </c>
      <c r="K142" t="str">
        <f>IF(OWA!D142="Não",OWA!C142, "")</f>
        <v/>
      </c>
      <c r="O142" t="str">
        <f>IF(Narset!D142="Não",Narset!C142,"")</f>
        <v/>
      </c>
      <c r="S142" t="str">
        <f>IF(Narset!H142="Não",Narset!G142,"")</f>
        <v/>
      </c>
      <c r="W142" t="str">
        <f>IF(Narset!L142="Não",Narset!K142,"")</f>
        <v/>
      </c>
    </row>
    <row r="143" spans="7:23" x14ac:dyDescent="0.25">
      <c r="G143" t="str">
        <f>IF(Sisay!D143="Não",Sisay!C143, "")</f>
        <v/>
      </c>
      <c r="K143" t="str">
        <f>IF(OWA!D143="Não",OWA!C143, "")</f>
        <v/>
      </c>
      <c r="O143" t="str">
        <f>IF(Narset!D143="Não",Narset!C143,"")</f>
        <v/>
      </c>
      <c r="S143" t="str">
        <f>IF(Narset!H143="Não",Narset!G143,"")</f>
        <v/>
      </c>
      <c r="W143" t="str">
        <f>IF(Narset!L143="Não",Narset!K143,"")</f>
        <v/>
      </c>
    </row>
    <row r="144" spans="7:23" x14ac:dyDescent="0.25">
      <c r="G144" t="str">
        <f>IF(Sisay!D144="Não",Sisay!C144, "")</f>
        <v/>
      </c>
      <c r="K144" t="str">
        <f>IF(OWA!D144="Não",OWA!C144, "")</f>
        <v/>
      </c>
      <c r="O144" t="str">
        <f>IF(Narset!D144="Não",Narset!C144,"")</f>
        <v/>
      </c>
      <c r="S144" t="str">
        <f>IF(Narset!H144="Não",Narset!G144,"")</f>
        <v/>
      </c>
      <c r="W144" t="str">
        <f>IF(Narset!L144="Não",Narset!K144,"")</f>
        <v/>
      </c>
    </row>
    <row r="145" spans="7:23" x14ac:dyDescent="0.25">
      <c r="G145" t="str">
        <f>IF(Sisay!D145="Não",Sisay!C145, "")</f>
        <v/>
      </c>
      <c r="K145" t="str">
        <f>IF(OWA!D145="Não",OWA!C145, "")</f>
        <v/>
      </c>
      <c r="O145" t="str">
        <f>IF(Narset!D145="Não",Narset!C145,"")</f>
        <v/>
      </c>
      <c r="S145" t="str">
        <f>IF(Narset!H145="Não",Narset!G145,"")</f>
        <v/>
      </c>
      <c r="W145" t="str">
        <f>IF(Narset!L145="Não",Narset!K145,"")</f>
        <v/>
      </c>
    </row>
    <row r="146" spans="7:23" x14ac:dyDescent="0.25">
      <c r="G146" t="str">
        <f>IF(Sisay!D146="Não",Sisay!C146, "")</f>
        <v/>
      </c>
      <c r="K146" t="str">
        <f>IF(OWA!D146="Não",OWA!C146, "")</f>
        <v/>
      </c>
      <c r="O146" t="str">
        <f>IF(Narset!D146="Não",Narset!C146,"")</f>
        <v/>
      </c>
      <c r="S146" t="str">
        <f>IF(Narset!H146="Não",Narset!G146,"")</f>
        <v/>
      </c>
      <c r="W146" t="str">
        <f>IF(Narset!L146="Não",Narset!K146,"")</f>
        <v/>
      </c>
    </row>
    <row r="147" spans="7:23" x14ac:dyDescent="0.25">
      <c r="G147" t="str">
        <f>IF(Sisay!D147="Não",Sisay!C147, "")</f>
        <v/>
      </c>
      <c r="K147" t="str">
        <f>IF(OWA!D147="Não",OWA!C147, "")</f>
        <v/>
      </c>
      <c r="O147" t="str">
        <f>IF(Narset!D147="Não",Narset!C147,"")</f>
        <v/>
      </c>
      <c r="S147" t="str">
        <f>IF(Narset!H147="Não",Narset!G147,"")</f>
        <v/>
      </c>
      <c r="W147" t="str">
        <f>IF(Narset!L147="Não",Narset!K147,"")</f>
        <v/>
      </c>
    </row>
    <row r="148" spans="7:23" x14ac:dyDescent="0.25">
      <c r="G148" t="str">
        <f>IF(Sisay!D148="Não",Sisay!C148, "")</f>
        <v/>
      </c>
      <c r="K148" t="str">
        <f>IF(OWA!D148="Não",OWA!C148, "")</f>
        <v/>
      </c>
      <c r="O148" t="str">
        <f>IF(Narset!D148="Não",Narset!C148,"")</f>
        <v/>
      </c>
      <c r="S148" t="str">
        <f>IF(Narset!H148="Não",Narset!G148,"")</f>
        <v/>
      </c>
      <c r="W148" t="str">
        <f>IF(Narset!L148="Não",Narset!K148,"")</f>
        <v/>
      </c>
    </row>
    <row r="149" spans="7:23" x14ac:dyDescent="0.25">
      <c r="G149" t="str">
        <f>IF(Sisay!D149="Não",Sisay!C149, "")</f>
        <v/>
      </c>
      <c r="K149" t="str">
        <f>IF(OWA!D149="Não",OWA!C149, "")</f>
        <v/>
      </c>
      <c r="O149" t="str">
        <f>IF(Narset!D149="Não",Narset!C149,"")</f>
        <v/>
      </c>
      <c r="S149" t="str">
        <f>IF(Narset!H149="Não",Narset!G149,"")</f>
        <v/>
      </c>
      <c r="W149" t="str">
        <f>IF(Narset!L149="Não",Narset!K149,"")</f>
        <v/>
      </c>
    </row>
    <row r="150" spans="7:23" x14ac:dyDescent="0.25">
      <c r="G150" t="str">
        <f>IF(Sisay!D150="Não",Sisay!C150, "")</f>
        <v/>
      </c>
      <c r="K150" t="str">
        <f>IF(OWA!D150="Não",OWA!C150, "")</f>
        <v/>
      </c>
      <c r="O150" t="str">
        <f>IF(Narset!D150="Não",Narset!C150,"")</f>
        <v/>
      </c>
      <c r="S150" t="str">
        <f>IF(Narset!H150="Não",Narset!G150,"")</f>
        <v/>
      </c>
      <c r="W150" t="str">
        <f>IF(Narset!L150="Não",Narset!K150,"")</f>
        <v/>
      </c>
    </row>
    <row r="151" spans="7:23" x14ac:dyDescent="0.25">
      <c r="G151" t="str">
        <f>IF(Sisay!D151="Não",Sisay!C151, "")</f>
        <v/>
      </c>
      <c r="K151" t="str">
        <f>IF(OWA!D151="Não",OWA!C151, "")</f>
        <v/>
      </c>
      <c r="O151" t="str">
        <f>IF(Narset!D151="Não",Narset!C151,"")</f>
        <v/>
      </c>
      <c r="S151" t="str">
        <f>IF(Narset!H151="Não",Narset!G151,"")</f>
        <v/>
      </c>
      <c r="W151" t="str">
        <f>IF(Narset!L151="Não",Narset!K151,"")</f>
        <v/>
      </c>
    </row>
    <row r="152" spans="7:23" x14ac:dyDescent="0.25">
      <c r="G152" t="str">
        <f>IF(Sisay!D152="Não",Sisay!C152, "")</f>
        <v/>
      </c>
      <c r="K152" t="str">
        <f>IF(OWA!D152="Não",OWA!C152, "")</f>
        <v/>
      </c>
      <c r="O152" t="str">
        <f>IF(Narset!D152="Não",Narset!C152,"")</f>
        <v/>
      </c>
      <c r="S152" t="str">
        <f>IF(Narset!H152="Não",Narset!G152,"")</f>
        <v/>
      </c>
      <c r="W152" t="str">
        <f>IF(Narset!L152="Não",Narset!K152,"")</f>
        <v/>
      </c>
    </row>
    <row r="153" spans="7:23" x14ac:dyDescent="0.25">
      <c r="G153" t="str">
        <f>IF(Sisay!D153="Não",Sisay!C153, "")</f>
        <v/>
      </c>
      <c r="K153" t="str">
        <f>IF(OWA!D153="Não",OWA!C153, "")</f>
        <v/>
      </c>
      <c r="O153" t="str">
        <f>IF(Narset!D153="Não",Narset!C153,"")</f>
        <v/>
      </c>
      <c r="S153" t="str">
        <f>IF(Narset!H153="Não",Narset!G153,"")</f>
        <v/>
      </c>
      <c r="W153" t="str">
        <f>IF(Narset!L153="Não",Narset!K153,"")</f>
        <v/>
      </c>
    </row>
    <row r="154" spans="7:23" x14ac:dyDescent="0.25">
      <c r="G154" t="str">
        <f>IF(Sisay!D154="Não",Sisay!C154, "")</f>
        <v/>
      </c>
      <c r="K154" t="str">
        <f>IF(OWA!D154="Não",OWA!C154, "")</f>
        <v/>
      </c>
      <c r="O154" t="str">
        <f>IF(Narset!D154="Não",Narset!C154,"")</f>
        <v/>
      </c>
      <c r="S154" t="str">
        <f>IF(Narset!H154="Não",Narset!G154,"")</f>
        <v/>
      </c>
      <c r="W154" t="str">
        <f>IF(Narset!L154="Não",Narset!K154,"")</f>
        <v/>
      </c>
    </row>
    <row r="155" spans="7:23" x14ac:dyDescent="0.25">
      <c r="G155" t="str">
        <f>IF(Sisay!D155="Não",Sisay!C155, "")</f>
        <v/>
      </c>
      <c r="K155" t="str">
        <f>IF(OWA!D155="Não",OWA!C155, "")</f>
        <v/>
      </c>
      <c r="O155" t="str">
        <f>IF(Narset!D155="Não",Narset!C155,"")</f>
        <v/>
      </c>
      <c r="S155" t="str">
        <f>IF(Narset!H155="Não",Narset!G155,"")</f>
        <v/>
      </c>
      <c r="W155" t="str">
        <f>IF(Narset!L155="Não",Narset!K155,"")</f>
        <v/>
      </c>
    </row>
    <row r="156" spans="7:23" x14ac:dyDescent="0.25">
      <c r="G156" t="str">
        <f>IF(Sisay!D156="Não",Sisay!C156, "")</f>
        <v/>
      </c>
      <c r="K156" t="str">
        <f>IF(OWA!D156="Não",OWA!C156, "")</f>
        <v/>
      </c>
      <c r="O156" t="str">
        <f>IF(Narset!D156="Não",Narset!C156,"")</f>
        <v/>
      </c>
      <c r="S156" t="str">
        <f>IF(Narset!H156="Não",Narset!G156,"")</f>
        <v/>
      </c>
      <c r="W156" t="str">
        <f>IF(Narset!L156="Não",Narset!K156,"")</f>
        <v/>
      </c>
    </row>
    <row r="157" spans="7:23" x14ac:dyDescent="0.25">
      <c r="G157" t="str">
        <f>IF(Sisay!D157="Não",Sisay!C157, "")</f>
        <v/>
      </c>
      <c r="K157" t="str">
        <f>IF(OWA!D157="Não",OWA!C157, "")</f>
        <v/>
      </c>
      <c r="O157" t="str">
        <f>IF(Narset!D157="Não",Narset!C157,"")</f>
        <v/>
      </c>
      <c r="S157" t="str">
        <f>IF(Narset!H157="Não",Narset!G157,"")</f>
        <v/>
      </c>
      <c r="W157" t="str">
        <f>IF(Narset!L157="Não",Narset!K157,"")</f>
        <v/>
      </c>
    </row>
    <row r="158" spans="7:23" x14ac:dyDescent="0.25">
      <c r="G158" t="str">
        <f>IF(Sisay!D158="Não",Sisay!C158, "")</f>
        <v/>
      </c>
      <c r="K158" t="str">
        <f>IF(OWA!D158="Não",OWA!C158, "")</f>
        <v/>
      </c>
      <c r="O158" t="str">
        <f>IF(Narset!D158="Não",Narset!C158,"")</f>
        <v/>
      </c>
      <c r="S158" t="str">
        <f>IF(Narset!H158="Não",Narset!G158,"")</f>
        <v/>
      </c>
      <c r="W158" t="str">
        <f>IF(Narset!L158="Não",Narset!K158,"")</f>
        <v/>
      </c>
    </row>
    <row r="159" spans="7:23" x14ac:dyDescent="0.25">
      <c r="G159" t="str">
        <f>IF(Sisay!D159="Não",Sisay!C159, "")</f>
        <v/>
      </c>
      <c r="K159" t="str">
        <f>IF(OWA!D159="Não",OWA!C159, "")</f>
        <v/>
      </c>
      <c r="O159" t="str">
        <f>IF(Narset!D159="Não",Narset!C159,"")</f>
        <v/>
      </c>
      <c r="S159" t="str">
        <f>IF(Narset!H159="Não",Narset!G159,"")</f>
        <v/>
      </c>
      <c r="W159" t="str">
        <f>IF(Narset!L159="Não",Narset!K159,"")</f>
        <v/>
      </c>
    </row>
    <row r="160" spans="7:23" x14ac:dyDescent="0.25">
      <c r="G160" t="str">
        <f>IF(Sisay!D160="Não",Sisay!C160, "")</f>
        <v/>
      </c>
      <c r="K160" t="str">
        <f>IF(OWA!D160="Não",OWA!C160, "")</f>
        <v/>
      </c>
      <c r="O160" t="str">
        <f>IF(Narset!D160="Não",Narset!C160,"")</f>
        <v/>
      </c>
      <c r="S160" t="str">
        <f>IF(Narset!H160="Não",Narset!G160,"")</f>
        <v/>
      </c>
      <c r="W160" t="str">
        <f>IF(Narset!L160="Não",Narset!K160,"")</f>
        <v/>
      </c>
    </row>
    <row r="161" spans="7:23" x14ac:dyDescent="0.25">
      <c r="G161" t="str">
        <f>IF(Sisay!D161="Não",Sisay!C161, "")</f>
        <v/>
      </c>
      <c r="K161" t="str">
        <f>IF(OWA!D161="Não",OWA!C161, "")</f>
        <v/>
      </c>
      <c r="O161" t="str">
        <f>IF(Narset!D161="Não",Narset!C161,"")</f>
        <v/>
      </c>
      <c r="S161" t="str">
        <f>IF(Narset!H161="Não",Narset!G161,"")</f>
        <v/>
      </c>
      <c r="W161" t="str">
        <f>IF(Narset!L161="Não",Narset!K161,"")</f>
        <v/>
      </c>
    </row>
    <row r="162" spans="7:23" x14ac:dyDescent="0.25">
      <c r="G162" t="str">
        <f>IF(Sisay!D162="Não",Sisay!C162, "")</f>
        <v/>
      </c>
      <c r="K162" t="str">
        <f>IF(OWA!D162="Não",OWA!C162, "")</f>
        <v/>
      </c>
      <c r="O162" t="str">
        <f>IF(Narset!D162="Não",Narset!C162,"")</f>
        <v/>
      </c>
      <c r="S162" t="str">
        <f>IF(Narset!H162="Não",Narset!G162,"")</f>
        <v/>
      </c>
      <c r="W162" t="str">
        <f>IF(Narset!L162="Não",Narset!K162,"")</f>
        <v/>
      </c>
    </row>
    <row r="163" spans="7:23" x14ac:dyDescent="0.25">
      <c r="G163" t="str">
        <f>IF(Sisay!D163="Não",Sisay!C163, "")</f>
        <v/>
      </c>
      <c r="K163" t="str">
        <f>IF(OWA!D163="Não",OWA!C163, "")</f>
        <v/>
      </c>
      <c r="O163" t="str">
        <f>IF(Narset!D163="Não",Narset!C163,"")</f>
        <v/>
      </c>
      <c r="S163" t="str">
        <f>IF(Narset!H163="Não",Narset!G163,"")</f>
        <v/>
      </c>
      <c r="W163" t="str">
        <f>IF(Narset!L163="Não",Narset!K163,"")</f>
        <v/>
      </c>
    </row>
    <row r="164" spans="7:23" x14ac:dyDescent="0.25">
      <c r="G164" t="str">
        <f>IF(Sisay!D164="Não",Sisay!C164, "")</f>
        <v/>
      </c>
      <c r="K164" t="str">
        <f>IF(OWA!D164="Não",OWA!C164, "")</f>
        <v/>
      </c>
      <c r="O164" t="str">
        <f>IF(Narset!D164="Não",Narset!C164,"")</f>
        <v/>
      </c>
      <c r="S164" t="str">
        <f>IF(Narset!H164="Não",Narset!G164,"")</f>
        <v/>
      </c>
      <c r="W164" t="str">
        <f>IF(Narset!L164="Não",Narset!K164,"")</f>
        <v/>
      </c>
    </row>
    <row r="165" spans="7:23" x14ac:dyDescent="0.25">
      <c r="G165" t="str">
        <f>IF(Sisay!D165="Não",Sisay!C165, "")</f>
        <v/>
      </c>
      <c r="K165" t="str">
        <f>IF(OWA!D165="Não",OWA!C165, "")</f>
        <v/>
      </c>
      <c r="O165" t="str">
        <f>IF(Narset!D165="Não",Narset!C165,"")</f>
        <v/>
      </c>
      <c r="S165" t="str">
        <f>IF(Narset!H165="Não",Narset!G165,"")</f>
        <v/>
      </c>
      <c r="W165" t="str">
        <f>IF(Narset!L165="Não",Narset!K165,"")</f>
        <v/>
      </c>
    </row>
    <row r="166" spans="7:23" x14ac:dyDescent="0.25">
      <c r="G166" t="str">
        <f>IF(Sisay!D166="Não",Sisay!C166, "")</f>
        <v/>
      </c>
      <c r="K166" t="str">
        <f>IF(OWA!D166="Não",OWA!C166, "")</f>
        <v/>
      </c>
      <c r="O166" t="str">
        <f>IF(Narset!D166="Não",Narset!C166,"")</f>
        <v/>
      </c>
      <c r="S166" t="str">
        <f>IF(Narset!H166="Não",Narset!G166,"")</f>
        <v/>
      </c>
      <c r="W166" t="str">
        <f>IF(Narset!L166="Não",Narset!K166,"")</f>
        <v/>
      </c>
    </row>
    <row r="167" spans="7:23" x14ac:dyDescent="0.25">
      <c r="G167" t="str">
        <f>IF(Sisay!D167="Não",Sisay!C167, "")</f>
        <v/>
      </c>
      <c r="K167" t="str">
        <f>IF(OWA!D167="Não",OWA!C167, "")</f>
        <v/>
      </c>
      <c r="O167" t="str">
        <f>IF(Narset!D167="Não",Narset!C167,"")</f>
        <v/>
      </c>
      <c r="S167" t="str">
        <f>IF(Narset!H167="Não",Narset!G167,"")</f>
        <v/>
      </c>
      <c r="W167" t="str">
        <f>IF(Narset!L167="Não",Narset!K167,"")</f>
        <v/>
      </c>
    </row>
    <row r="168" spans="7:23" x14ac:dyDescent="0.25">
      <c r="G168" t="str">
        <f>IF(Sisay!D168="Não",Sisay!C168, "")</f>
        <v/>
      </c>
      <c r="K168" t="str">
        <f>IF(OWA!D168="Não",OWA!C168, "")</f>
        <v/>
      </c>
      <c r="O168" t="str">
        <f>IF(Narset!D168="Não",Narset!C168,"")</f>
        <v/>
      </c>
      <c r="S168" t="str">
        <f>IF(Narset!H168="Não",Narset!G168,"")</f>
        <v/>
      </c>
      <c r="W168" t="str">
        <f>IF(Narset!L168="Não",Narset!K168,"")</f>
        <v/>
      </c>
    </row>
    <row r="169" spans="7:23" x14ac:dyDescent="0.25">
      <c r="G169" t="str">
        <f>IF(Sisay!D169="Não",Sisay!C169, "")</f>
        <v/>
      </c>
      <c r="K169" t="str">
        <f>IF(OWA!D169="Não",OWA!C169, "")</f>
        <v/>
      </c>
      <c r="O169" t="str">
        <f>IF(Narset!D169="Não",Narset!C169,"")</f>
        <v/>
      </c>
      <c r="S169" t="str">
        <f>IF(Narset!H169="Não",Narset!G169,"")</f>
        <v/>
      </c>
      <c r="W169" t="str">
        <f>IF(Narset!L169="Não",Narset!K169,"")</f>
        <v/>
      </c>
    </row>
    <row r="170" spans="7:23" x14ac:dyDescent="0.25">
      <c r="G170" t="str">
        <f>IF(Sisay!D170="Não",Sisay!C170, "")</f>
        <v/>
      </c>
      <c r="K170" t="str">
        <f>IF(OWA!D170="Não",OWA!C170, "")</f>
        <v/>
      </c>
      <c r="O170" t="str">
        <f>IF(Narset!D170="Não",Narset!C170,"")</f>
        <v/>
      </c>
      <c r="S170" t="str">
        <f>IF(Narset!H170="Não",Narset!G170,"")</f>
        <v/>
      </c>
      <c r="W170" t="str">
        <f>IF(Narset!L170="Não",Narset!K170,"")</f>
        <v/>
      </c>
    </row>
    <row r="171" spans="7:23" x14ac:dyDescent="0.25">
      <c r="G171" t="str">
        <f>IF(Sisay!D171="Não",Sisay!C171, "")</f>
        <v/>
      </c>
      <c r="K171" t="str">
        <f>IF(OWA!D171="Não",OWA!C171, "")</f>
        <v/>
      </c>
      <c r="O171" t="str">
        <f>IF(Narset!D171="Não",Narset!C171,"")</f>
        <v/>
      </c>
      <c r="S171" t="str">
        <f>IF(Narset!H171="Não",Narset!G171,"")</f>
        <v/>
      </c>
      <c r="W171" t="str">
        <f>IF(Narset!L171="Não",Narset!K171,"")</f>
        <v/>
      </c>
    </row>
    <row r="172" spans="7:23" x14ac:dyDescent="0.25">
      <c r="G172" t="str">
        <f>IF(Sisay!D172="Não",Sisay!C172, "")</f>
        <v/>
      </c>
      <c r="K172" t="str">
        <f>IF(OWA!D172="Não",OWA!C172, "")</f>
        <v/>
      </c>
      <c r="O172" t="str">
        <f>IF(Narset!D172="Não",Narset!C172,"")</f>
        <v/>
      </c>
      <c r="S172" t="str">
        <f>IF(Narset!H172="Não",Narset!G172,"")</f>
        <v/>
      </c>
      <c r="W172" t="str">
        <f>IF(Narset!L172="Não",Narset!K172,"")</f>
        <v/>
      </c>
    </row>
    <row r="173" spans="7:23" x14ac:dyDescent="0.25">
      <c r="G173" t="str">
        <f>IF(Sisay!D173="Não",Sisay!C173, "")</f>
        <v/>
      </c>
      <c r="K173" t="str">
        <f>IF(OWA!D173="Não",OWA!C173, "")</f>
        <v/>
      </c>
      <c r="O173" t="str">
        <f>IF(Narset!D173="Não",Narset!C173,"")</f>
        <v/>
      </c>
      <c r="S173" t="str">
        <f>IF(Narset!H173="Não",Narset!G173,"")</f>
        <v/>
      </c>
      <c r="W173" t="str">
        <f>IF(Narset!L173="Não",Narset!K173,"")</f>
        <v/>
      </c>
    </row>
    <row r="174" spans="7:23" x14ac:dyDescent="0.25">
      <c r="G174" t="str">
        <f>IF(Sisay!D174="Não",Sisay!C174, "")</f>
        <v/>
      </c>
      <c r="K174" t="str">
        <f>IF(OWA!D174="Não",OWA!C174, "")</f>
        <v/>
      </c>
      <c r="O174" t="str">
        <f>IF(Narset!D174="Não",Narset!C174,"")</f>
        <v/>
      </c>
      <c r="S174" t="str">
        <f>IF(Narset!H174="Não",Narset!G174,"")</f>
        <v/>
      </c>
      <c r="W174" t="str">
        <f>IF(Narset!L174="Não",Narset!K174,"")</f>
        <v/>
      </c>
    </row>
    <row r="175" spans="7:23" x14ac:dyDescent="0.25">
      <c r="G175" t="str">
        <f>IF(Sisay!D175="Não",Sisay!C175, "")</f>
        <v/>
      </c>
      <c r="K175" t="str">
        <f>IF(OWA!D175="Não",OWA!C175, "")</f>
        <v/>
      </c>
      <c r="O175" t="str">
        <f>IF(Narset!D175="Não",Narset!C175,"")</f>
        <v/>
      </c>
      <c r="S175" t="str">
        <f>IF(Narset!H175="Não",Narset!G175,"")</f>
        <v/>
      </c>
      <c r="W175" t="str">
        <f>IF(Narset!L175="Não",Narset!K175,"")</f>
        <v/>
      </c>
    </row>
    <row r="176" spans="7:23" x14ac:dyDescent="0.25">
      <c r="G176" t="str">
        <f>IF(Sisay!D176="Não",Sisay!C176, "")</f>
        <v/>
      </c>
      <c r="K176" t="str">
        <f>IF(OWA!D176="Não",OWA!C176, "")</f>
        <v/>
      </c>
      <c r="O176" t="str">
        <f>IF(Narset!D176="Não",Narset!C176,"")</f>
        <v/>
      </c>
      <c r="S176" t="str">
        <f>IF(Narset!H176="Não",Narset!G176,"")</f>
        <v/>
      </c>
      <c r="W176" t="str">
        <f>IF(Narset!L176="Não",Narset!K176,"")</f>
        <v/>
      </c>
    </row>
    <row r="177" spans="7:23" x14ac:dyDescent="0.25">
      <c r="G177" t="str">
        <f>IF(Sisay!D177="Não",Sisay!C177, "")</f>
        <v/>
      </c>
      <c r="K177" t="str">
        <f>IF(OWA!D177="Não",OWA!C177, "")</f>
        <v/>
      </c>
      <c r="O177" t="str">
        <f>IF(Narset!D177="Não",Narset!C177,"")</f>
        <v/>
      </c>
      <c r="S177" t="str">
        <f>IF(Narset!H177="Não",Narset!G177,"")</f>
        <v/>
      </c>
      <c r="W177" t="str">
        <f>IF(Narset!L177="Não",Narset!K177,"")</f>
        <v/>
      </c>
    </row>
    <row r="178" spans="7:23" x14ac:dyDescent="0.25">
      <c r="G178" t="str">
        <f>IF(Sisay!D178="Não",Sisay!C178, "")</f>
        <v/>
      </c>
      <c r="K178" t="str">
        <f>IF(OWA!D178="Não",OWA!C178, "")</f>
        <v/>
      </c>
      <c r="O178" t="str">
        <f>IF(Narset!D178="Não",Narset!C178,"")</f>
        <v/>
      </c>
      <c r="S178" t="str">
        <f>IF(Narset!H178="Não",Narset!G178,"")</f>
        <v/>
      </c>
      <c r="W178" t="str">
        <f>IF(Narset!L178="Não",Narset!K178,"")</f>
        <v/>
      </c>
    </row>
    <row r="179" spans="7:23" x14ac:dyDescent="0.25">
      <c r="G179" t="str">
        <f>IF(Sisay!D179="Não",Sisay!C179, "")</f>
        <v/>
      </c>
      <c r="K179" t="str">
        <f>IF(OWA!D179="Não",OWA!C179, "")</f>
        <v/>
      </c>
      <c r="O179" t="str">
        <f>IF(Narset!D179="Não",Narset!C179,"")</f>
        <v/>
      </c>
      <c r="S179" t="str">
        <f>IF(Narset!H179="Não",Narset!G179,"")</f>
        <v/>
      </c>
      <c r="W179" t="str">
        <f>IF(Narset!L179="Não",Narset!K179,"")</f>
        <v/>
      </c>
    </row>
    <row r="180" spans="7:23" x14ac:dyDescent="0.25">
      <c r="G180" t="str">
        <f>IF(Sisay!D180="Não",Sisay!C180, "")</f>
        <v/>
      </c>
      <c r="K180" t="str">
        <f>IF(OWA!D180="Não",OWA!C180, "")</f>
        <v/>
      </c>
      <c r="O180" t="str">
        <f>IF(Narset!D180="Não",Narset!C180,"")</f>
        <v/>
      </c>
      <c r="S180" t="str">
        <f>IF(Narset!H180="Não",Narset!G180,"")</f>
        <v/>
      </c>
      <c r="W180" t="str">
        <f>IF(Narset!L180="Não",Narset!K180,"")</f>
        <v/>
      </c>
    </row>
    <row r="181" spans="7:23" x14ac:dyDescent="0.25">
      <c r="G181" t="str">
        <f>IF(Sisay!D181="Não",Sisay!C181, "")</f>
        <v/>
      </c>
      <c r="K181" t="str">
        <f>IF(OWA!D181="Não",OWA!C181, "")</f>
        <v/>
      </c>
      <c r="O181" t="str">
        <f>IF(Narset!D181="Não",Narset!C181,"")</f>
        <v/>
      </c>
      <c r="S181" t="str">
        <f>IF(Narset!H181="Não",Narset!G181,"")</f>
        <v/>
      </c>
      <c r="W181" t="str">
        <f>IF(Narset!L181="Não",Narset!K181,"")</f>
        <v/>
      </c>
    </row>
    <row r="182" spans="7:23" x14ac:dyDescent="0.25">
      <c r="G182" t="str">
        <f>IF(Sisay!D182="Não",Sisay!C182, "")</f>
        <v/>
      </c>
      <c r="K182" t="str">
        <f>IF(OWA!D182="Não",OWA!C182, "")</f>
        <v/>
      </c>
      <c r="O182" t="str">
        <f>IF(Narset!D182="Não",Narset!C182,"")</f>
        <v/>
      </c>
      <c r="S182" t="str">
        <f>IF(Narset!H182="Não",Narset!G182,"")</f>
        <v/>
      </c>
      <c r="W182" t="str">
        <f>IF(Narset!L182="Não",Narset!K182,"")</f>
        <v/>
      </c>
    </row>
    <row r="183" spans="7:23" x14ac:dyDescent="0.25">
      <c r="G183" t="str">
        <f>IF(Sisay!D183="Não",Sisay!C183, "")</f>
        <v/>
      </c>
      <c r="K183" t="str">
        <f>IF(OWA!D183="Não",OWA!C183, "")</f>
        <v/>
      </c>
      <c r="O183" t="str">
        <f>IF(Narset!D183="Não",Narset!C183,"")</f>
        <v/>
      </c>
      <c r="S183" t="str">
        <f>IF(Narset!H183="Não",Narset!G183,"")</f>
        <v/>
      </c>
      <c r="W183" t="str">
        <f>IF(Narset!L183="Não",Narset!K183,"")</f>
        <v/>
      </c>
    </row>
    <row r="184" spans="7:23" x14ac:dyDescent="0.25">
      <c r="G184" t="str">
        <f>IF(Sisay!D184="Não",Sisay!C184, "")</f>
        <v/>
      </c>
      <c r="K184" t="str">
        <f>IF(OWA!D184="Não",OWA!C184, "")</f>
        <v/>
      </c>
      <c r="O184" t="str">
        <f>IF(Narset!D184="Não",Narset!C184,"")</f>
        <v/>
      </c>
      <c r="S184" t="str">
        <f>IF(Narset!H184="Não",Narset!G184,"")</f>
        <v/>
      </c>
      <c r="W184" t="str">
        <f>IF(Narset!L184="Não",Narset!K184,"")</f>
        <v/>
      </c>
    </row>
    <row r="185" spans="7:23" x14ac:dyDescent="0.25">
      <c r="G185" t="str">
        <f>IF(Sisay!D185="Não",Sisay!C185, "")</f>
        <v/>
      </c>
      <c r="K185" t="str">
        <f>IF(OWA!D185="Não",OWA!C185, "")</f>
        <v/>
      </c>
      <c r="O185" t="str">
        <f>IF(Narset!D185="Não",Narset!C185,"")</f>
        <v/>
      </c>
      <c r="S185" t="str">
        <f>IF(Narset!H185="Não",Narset!G185,"")</f>
        <v/>
      </c>
      <c r="W185" t="str">
        <f>IF(Narset!L185="Não",Narset!K185,"")</f>
        <v/>
      </c>
    </row>
    <row r="186" spans="7:23" x14ac:dyDescent="0.25">
      <c r="G186" t="str">
        <f>IF(Sisay!D186="Não",Sisay!C186, "")</f>
        <v/>
      </c>
      <c r="K186" t="str">
        <f>IF(OWA!D186="Não",OWA!C186, "")</f>
        <v/>
      </c>
      <c r="O186" t="str">
        <f>IF(Narset!D186="Não",Narset!C186,"")</f>
        <v/>
      </c>
      <c r="S186" t="str">
        <f>IF(Narset!H186="Não",Narset!G186,"")</f>
        <v/>
      </c>
      <c r="W186" t="str">
        <f>IF(Narset!L186="Não",Narset!K186,"")</f>
        <v/>
      </c>
    </row>
    <row r="187" spans="7:23" x14ac:dyDescent="0.25">
      <c r="G187" t="str">
        <f>IF(Sisay!D187="Não",Sisay!C187, "")</f>
        <v/>
      </c>
      <c r="K187" t="str">
        <f>IF(OWA!D187="Não",OWA!C187, "")</f>
        <v/>
      </c>
      <c r="O187" t="str">
        <f>IF(Narset!D187="Não",Narset!C187,"")</f>
        <v/>
      </c>
      <c r="S187" t="str">
        <f>IF(Narset!H187="Não",Narset!G187,"")</f>
        <v/>
      </c>
      <c r="W187" t="str">
        <f>IF(Narset!L187="Não",Narset!K187,"")</f>
        <v/>
      </c>
    </row>
    <row r="188" spans="7:23" x14ac:dyDescent="0.25">
      <c r="G188" t="str">
        <f>IF(Sisay!D188="Não",Sisay!C188, "")</f>
        <v/>
      </c>
      <c r="K188" t="str">
        <f>IF(OWA!D188="Não",OWA!C188, "")</f>
        <v/>
      </c>
      <c r="O188" t="str">
        <f>IF(Narset!D188="Não",Narset!C188,"")</f>
        <v/>
      </c>
      <c r="S188" t="str">
        <f>IF(Narset!H188="Não",Narset!G188,"")</f>
        <v/>
      </c>
      <c r="W188" t="str">
        <f>IF(Narset!L188="Não",Narset!K188,"")</f>
        <v/>
      </c>
    </row>
    <row r="189" spans="7:23" x14ac:dyDescent="0.25">
      <c r="G189" t="str">
        <f>IF(Sisay!D189="Não",Sisay!C189, "")</f>
        <v/>
      </c>
      <c r="K189" t="str">
        <f>IF(OWA!D189="Não",OWA!C189, "")</f>
        <v/>
      </c>
      <c r="O189" t="str">
        <f>IF(Narset!D189="Não",Narset!C189,"")</f>
        <v/>
      </c>
      <c r="S189" t="str">
        <f>IF(Narset!H189="Não",Narset!G189,"")</f>
        <v/>
      </c>
      <c r="W189" t="str">
        <f>IF(Narset!L189="Não",Narset!K189,"")</f>
        <v/>
      </c>
    </row>
    <row r="190" spans="7:23" x14ac:dyDescent="0.25">
      <c r="G190" t="str">
        <f>IF(Sisay!D190="Não",Sisay!C190, "")</f>
        <v/>
      </c>
      <c r="K190" t="str">
        <f>IF(OWA!D190="Não",OWA!C190, "")</f>
        <v/>
      </c>
    </row>
    <row r="191" spans="7:23" x14ac:dyDescent="0.25">
      <c r="G191" t="str">
        <f>IF(Sisay!D191="Não",Sisay!C191, "")</f>
        <v/>
      </c>
      <c r="K191" t="str">
        <f>IF(OWA!D191="Não",OWA!C191, "")</f>
        <v/>
      </c>
    </row>
    <row r="192" spans="7:23" x14ac:dyDescent="0.25">
      <c r="G192" t="str">
        <f>IF(Sisay!D192="Não",Sisay!C192, "")</f>
        <v/>
      </c>
      <c r="K192" t="str">
        <f>IF(OWA!D192="Não",OWA!C192, "")</f>
        <v/>
      </c>
    </row>
    <row r="193" spans="7:11" x14ac:dyDescent="0.25">
      <c r="G193" t="str">
        <f>IF(Sisay!D193="Não",Sisay!C193, "")</f>
        <v/>
      </c>
      <c r="K193" t="str">
        <f>IF(OWA!D193="Não",OWA!C193, "")</f>
        <v/>
      </c>
    </row>
    <row r="194" spans="7:11" x14ac:dyDescent="0.25">
      <c r="G194" t="str">
        <f>IF(Sisay!D194="Não",Sisay!C194, "")</f>
        <v/>
      </c>
      <c r="K194" t="str">
        <f>IF(Sisay!H194="Não",Sisay!G194, "")</f>
        <v/>
      </c>
    </row>
    <row r="195" spans="7:11" x14ac:dyDescent="0.25">
      <c r="G195" t="str">
        <f>IF(Sisay!D195="Não",Sisay!C195, "")</f>
        <v/>
      </c>
      <c r="K195" t="str">
        <f>IF(Sisay!H195="Não",Sisay!G195, "")</f>
        <v/>
      </c>
    </row>
    <row r="196" spans="7:11" x14ac:dyDescent="0.25">
      <c r="G196" t="str">
        <f>IF(Sisay!D196="Não",Sisay!C196, "")</f>
        <v/>
      </c>
      <c r="K196" t="str">
        <f>IF(Sisay!H196="Não",Sisay!G196, "")</f>
        <v/>
      </c>
    </row>
    <row r="197" spans="7:11" x14ac:dyDescent="0.25">
      <c r="G197" t="str">
        <f>IF(Sisay!D197="Não",Sisay!C197, "")</f>
        <v/>
      </c>
      <c r="K197" t="str">
        <f>IF(Sisay!H197="Não",Sisay!G197, "")</f>
        <v/>
      </c>
    </row>
    <row r="198" spans="7:11" x14ac:dyDescent="0.25">
      <c r="G198" t="str">
        <f>IF(Sisay!D198="Não",Sisay!C198, "")</f>
        <v/>
      </c>
      <c r="K198" t="str">
        <f>IF(Sisay!H198="Não",Sisay!G198, "")</f>
        <v/>
      </c>
    </row>
    <row r="199" spans="7:11" x14ac:dyDescent="0.25">
      <c r="G199" t="str">
        <f>IF(Sisay!D199="Não",Sisay!C199, "")</f>
        <v/>
      </c>
      <c r="K199" t="str">
        <f>IF(Sisay!H199="Não",Sisay!G199, "")</f>
        <v/>
      </c>
    </row>
    <row r="200" spans="7:11" x14ac:dyDescent="0.25">
      <c r="G200" t="str">
        <f>IF(Sisay!D200="Não",Sisay!C200, "")</f>
        <v/>
      </c>
      <c r="K200" t="str">
        <f>IF(Sisay!H200="Não",Sisay!G200, "")</f>
        <v/>
      </c>
    </row>
  </sheetData>
  <mergeCells count="6">
    <mergeCell ref="U1:W2"/>
    <mergeCell ref="A1:C2"/>
    <mergeCell ref="E1:G2"/>
    <mergeCell ref="I1:K2"/>
    <mergeCell ref="M1:O2"/>
    <mergeCell ref="Q1:S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9D2D8-C77C-4DC9-9CE2-616312B46CBA}">
  <dimension ref="A1:P103"/>
  <sheetViews>
    <sheetView workbookViewId="0">
      <pane ySplit="2" topLeftCell="A3" activePane="bottomLeft" state="frozen"/>
      <selection pane="bottomLeft" activeCell="N20" sqref="N20"/>
    </sheetView>
  </sheetViews>
  <sheetFormatPr defaultRowHeight="15" x14ac:dyDescent="0.25"/>
  <cols>
    <col min="2" max="2" width="26.5703125" bestFit="1" customWidth="1"/>
    <col min="3" max="3" width="14.7109375" hidden="1" customWidth="1"/>
    <col min="4" max="4" width="2.7109375" style="9" customWidth="1"/>
    <col min="6" max="6" width="27.28515625" bestFit="1" customWidth="1"/>
    <col min="7" max="7" width="14.7109375" hidden="1" customWidth="1"/>
    <col min="8" max="8" width="2.7109375" style="9" customWidth="1"/>
    <col min="10" max="10" width="27.28515625" bestFit="1" customWidth="1"/>
    <col min="11" max="11" width="14.7109375" hidden="1" customWidth="1"/>
    <col min="12" max="12" width="2.7109375" style="9" customWidth="1"/>
    <col min="14" max="14" width="30.42578125" bestFit="1" customWidth="1"/>
    <col min="15" max="15" width="14.7109375" hidden="1" customWidth="1"/>
    <col min="16" max="16" width="2.7109375" style="9" customWidth="1"/>
  </cols>
  <sheetData>
    <row r="1" spans="1:16" s="4" customFormat="1" ht="14.45" customHeight="1" x14ac:dyDescent="0.25">
      <c r="A1" s="27" t="s">
        <v>1569</v>
      </c>
      <c r="B1" s="27"/>
      <c r="C1" s="27"/>
      <c r="D1" s="8"/>
      <c r="E1" s="27" t="s">
        <v>1709</v>
      </c>
      <c r="F1" s="27"/>
      <c r="G1" s="27"/>
      <c r="H1" s="8"/>
      <c r="I1" s="27" t="s">
        <v>1892</v>
      </c>
      <c r="J1" s="27"/>
      <c r="K1" s="27"/>
      <c r="L1" s="8"/>
      <c r="M1" s="27" t="s">
        <v>2066</v>
      </c>
      <c r="N1" s="27"/>
      <c r="O1" s="27"/>
      <c r="P1" s="8"/>
    </row>
    <row r="2" spans="1:16" s="4" customFormat="1" ht="14.45" customHeight="1" x14ac:dyDescent="0.25">
      <c r="A2" s="27"/>
      <c r="B2" s="27"/>
      <c r="C2" s="27"/>
      <c r="D2" s="8"/>
      <c r="E2" s="27"/>
      <c r="F2" s="27"/>
      <c r="G2" s="27"/>
      <c r="H2" s="8"/>
      <c r="I2" s="27"/>
      <c r="J2" s="27"/>
      <c r="K2" s="27"/>
      <c r="L2" s="8"/>
      <c r="M2" s="27"/>
      <c r="N2" s="27"/>
      <c r="O2" s="27"/>
      <c r="P2" s="8"/>
    </row>
    <row r="3" spans="1:16" x14ac:dyDescent="0.25">
      <c r="A3" s="4" t="s">
        <v>21</v>
      </c>
      <c r="B3" t="str" cm="1">
        <f t="array" ref="B3:B101">_xlfn._xlws.SORT(C3:C101,1,-1,0)</f>
        <v>Warleader's Call</v>
      </c>
      <c r="C3" t="str">
        <f>IF(Baylen!D3="Não",Baylen!C3, "")</f>
        <v/>
      </c>
      <c r="E3" s="4" t="s">
        <v>21</v>
      </c>
      <c r="F3" t="str" cm="1">
        <f t="array" ref="F3:F101">_xlfn._xlws.SORT(G3:G101,1,-1,0)</f>
        <v>Zack Fair</v>
      </c>
      <c r="G3" t="str">
        <f>IF(Tayam!D3="Não",Tayam!C3, "")</f>
        <v>Tayam, Enigma Luminoso</v>
      </c>
      <c r="I3" s="4" t="s">
        <v>21</v>
      </c>
      <c r="J3" t="str" cm="1">
        <f t="array" ref="J3:J101">_xlfn._xlws.SORT(K3:K101,1,-1,0)</f>
        <v>Valfenda</v>
      </c>
      <c r="K3" t="str">
        <f>IF(Bichão!D3="Não",Bichão!C3, "")</f>
        <v/>
      </c>
      <c r="M3" s="4" t="s">
        <v>21</v>
      </c>
      <c r="N3" t="str" cm="1">
        <f t="array" ref="N3:N101">_xlfn._xlws.SORT(O3:O101,1,-1,0)</f>
        <v>Xorn</v>
      </c>
      <c r="O3" t="str">
        <f>IF(Piratas!D3="Não",Piratas!C3, "")</f>
        <v/>
      </c>
    </row>
    <row r="4" spans="1:16" x14ac:dyDescent="0.25">
      <c r="A4" s="3">
        <f>Baylen!G3</f>
        <v>34</v>
      </c>
      <c r="B4" t="str">
        <v>Virtue of Loyalty</v>
      </c>
      <c r="C4" t="str">
        <f>IF(Baylen!D3="Não",Baylen!C3, "")</f>
        <v/>
      </c>
      <c r="E4" s="3">
        <f>Tayam!G4</f>
        <v>56</v>
      </c>
      <c r="F4" t="str">
        <v>Winding Constrictor</v>
      </c>
      <c r="G4" t="str">
        <f>IF(Tayam!D5="Não",Tayam!C5, "")</f>
        <v>Llanowar Reborn</v>
      </c>
      <c r="I4" s="3">
        <f>Bichão!G4</f>
        <v>20</v>
      </c>
      <c r="J4" t="str">
        <v>Ulamog's Dreadsire</v>
      </c>
      <c r="K4" t="str">
        <f>IF(Bichão!D5="Não",Bichão!C5, "")</f>
        <v/>
      </c>
      <c r="M4" s="3">
        <f>Piratas!G5</f>
        <v>71</v>
      </c>
      <c r="N4" t="str">
        <v>Weftstalker Ardent</v>
      </c>
      <c r="O4" t="str">
        <f>IF(Piratas!D6="Não",Piratas!C6, "")</f>
        <v>Access Tunnel</v>
      </c>
    </row>
    <row r="5" spans="1:16" x14ac:dyDescent="0.25">
      <c r="B5" t="str">
        <v>Time of Need</v>
      </c>
      <c r="C5" t="str">
        <f>IF(Baylen!D5="Não",Baylen!C5, "")</f>
        <v>The Shire</v>
      </c>
      <c r="F5" t="str">
        <v>Warden of the Grove</v>
      </c>
      <c r="G5" t="str">
        <f>IF(Tayam!D6="Não",Tayam!C6, "")</f>
        <v>Command Tower</v>
      </c>
      <c r="J5" t="str">
        <v>Ulamog, o Profanador</v>
      </c>
      <c r="K5" t="str">
        <f>IF(Bichão!D6="Não",Bichão!C6, "")</f>
        <v/>
      </c>
      <c r="N5" t="str">
        <v>Warkite Marauder</v>
      </c>
      <c r="O5" t="str">
        <f>IF(Piratas!D7="Não",Piratas!C7, "")</f>
        <v>Bojuka Bog</v>
      </c>
    </row>
    <row r="6" spans="1:16" x14ac:dyDescent="0.25">
      <c r="B6" t="str">
        <v>The Shire</v>
      </c>
      <c r="C6" t="str">
        <f>IF(Baylen!D6="Não",Baylen!C6, "")</f>
        <v/>
      </c>
      <c r="F6" t="str">
        <v>Unbreakable Formation</v>
      </c>
      <c r="G6" t="str">
        <f>IF(Tayam!D7="Não",Tayam!C7, "")</f>
        <v>Exotic Orchard</v>
      </c>
      <c r="J6" t="str">
        <v>Trenzalore Clocktower</v>
      </c>
      <c r="K6" t="str">
        <f>IF(Bichão!D7="Não",Bichão!C7, "")</f>
        <v>Exotic Orchard</v>
      </c>
      <c r="N6" t="str">
        <v>Walk the Plank</v>
      </c>
      <c r="O6" t="str">
        <f>IF(Piratas!D8="Não",Piratas!C8, "")</f>
        <v>Treasure Vault</v>
      </c>
    </row>
    <row r="7" spans="1:16" x14ac:dyDescent="0.25">
      <c r="B7" t="str">
        <v>Teferi's Protection</v>
      </c>
      <c r="C7" t="str">
        <f>IF(Baylen!D7="Não",Baylen!C7, "")</f>
        <v>Castle Ardenvale</v>
      </c>
      <c r="F7" t="str">
        <v>Tromell, Seymour's Butler</v>
      </c>
      <c r="G7" t="str">
        <f>IF(Tayam!D8="Não",Tayam!C8, "")</f>
        <v>Canopy Vista</v>
      </c>
      <c r="J7" t="str">
        <v>Thran Dynamo</v>
      </c>
      <c r="K7" t="str">
        <f>IF(Bichão!D8="Não",Bichão!C8, "")</f>
        <v/>
      </c>
      <c r="N7" t="str">
        <v>Vaan, Street Thief</v>
      </c>
      <c r="O7" t="str">
        <f>IF(Piratas!D9="Não",Piratas!C9, "")</f>
        <v>Reliquary Tower</v>
      </c>
    </row>
    <row r="8" spans="1:16" x14ac:dyDescent="0.25">
      <c r="B8" t="str">
        <v>Sunscorched Divide</v>
      </c>
      <c r="C8" t="str">
        <f>IF(Baylen!D8="Não",Baylen!C8, "")</f>
        <v/>
      </c>
      <c r="F8" t="str">
        <v>Thunderous Velocipede</v>
      </c>
      <c r="G8" t="str">
        <f>IF(Tayam!D9="Não",Tayam!C9, "")</f>
        <v>Deceptive Landscape</v>
      </c>
      <c r="J8" t="str">
        <v>Thought Vessel</v>
      </c>
      <c r="K8" t="str">
        <f>IF(Bichão!D9="Não",Bichão!C9, "")</f>
        <v>Valfenda</v>
      </c>
      <c r="N8" t="str">
        <v>Treasure Vault</v>
      </c>
      <c r="O8" t="str">
        <f>IF(Piratas!D10="Não",Piratas!C10, "")</f>
        <v>Mines of Moria</v>
      </c>
    </row>
    <row r="9" spans="1:16" x14ac:dyDescent="0.25">
      <c r="B9" t="str">
        <v>Sheltering Landscape</v>
      </c>
      <c r="C9" t="str">
        <f>IF(Baylen!D9="Não",Baylen!C9, "")</f>
        <v>Gavony Township</v>
      </c>
      <c r="F9" t="str">
        <v>Thran Vigil</v>
      </c>
      <c r="G9" t="str">
        <f>IF(Tayam!D10="Não",Tayam!C10, "")</f>
        <v/>
      </c>
      <c r="J9" t="str">
        <v>The Tenth Doctor</v>
      </c>
      <c r="K9" t="str">
        <f>IF(Bichão!D10="Não",Bichão!C10, "")</f>
        <v>Mistrise Village</v>
      </c>
      <c r="N9" t="str">
        <v>Treasure Map</v>
      </c>
      <c r="O9" t="str">
        <f>IF(Piratas!D11="Não",Piratas!C11, "")</f>
        <v>Archway of Innovation</v>
      </c>
    </row>
    <row r="10" spans="1:16" x14ac:dyDescent="0.25">
      <c r="B10" t="str">
        <v>Seedborn Muse</v>
      </c>
      <c r="C10" t="str">
        <f>IF(Baylen!D10="Não",Baylen!C10, "")</f>
        <v>Rogue's Passage</v>
      </c>
      <c r="F10" t="str">
        <v>Terrasymbiosis</v>
      </c>
      <c r="G10" t="str">
        <f>IF(Tayam!D11="Não",Tayam!C11, "")</f>
        <v/>
      </c>
      <c r="J10" t="str">
        <v>Temple of the False God</v>
      </c>
      <c r="K10" t="str">
        <f>IF(Bichão!D11="Não",Bichão!C11, "")</f>
        <v>Temple of the False God</v>
      </c>
      <c r="N10" t="str">
        <v>Timestream Navigator</v>
      </c>
      <c r="O10" t="str">
        <f>IF(Piratas!D12="Não",Piratas!C12, "")</f>
        <v>Exotic Orchard</v>
      </c>
    </row>
    <row r="11" spans="1:16" x14ac:dyDescent="0.25">
      <c r="B11" t="str">
        <v>Second Harvest</v>
      </c>
      <c r="C11" t="str">
        <f>IF(Baylen!D11="Não",Baylen!C11, "")</f>
        <v/>
      </c>
      <c r="F11" t="str">
        <v>Tayam, Enigma Luminoso</v>
      </c>
      <c r="G11" t="str">
        <f>IF(Tayam!D12="Não",Tayam!C12, "")</f>
        <v/>
      </c>
      <c r="J11" t="str">
        <v>Sol Talisman</v>
      </c>
      <c r="K11" t="str">
        <f>IF(Bichão!D12="Não",Bichão!C12, "")</f>
        <v>Trenzalore Clocktower</v>
      </c>
      <c r="N11" t="str">
        <v>Time Sieve</v>
      </c>
      <c r="O11" t="str">
        <f>IF(Piratas!D13="Não",Piratas!C13, "")</f>
        <v>Command Tower</v>
      </c>
    </row>
    <row r="12" spans="1:16" x14ac:dyDescent="0.25">
      <c r="B12" t="str">
        <v>Rogue's Passage</v>
      </c>
      <c r="C12" t="str">
        <f>IF(Baylen!D12="Não",Baylen!C12, "")</f>
        <v/>
      </c>
      <c r="F12" t="str">
        <v>Syr Vondam, Sunstar Exemplar</v>
      </c>
      <c r="G12" t="str">
        <f>IF(Tayam!D13="Não",Tayam!C13, "")</f>
        <v/>
      </c>
      <c r="J12" t="str">
        <v>Rotating Fireplace</v>
      </c>
      <c r="K12" t="str">
        <f>IF(Bichão!D13="Não",Bichão!C13, "")</f>
        <v/>
      </c>
      <c r="N12" t="str">
        <v>The Indomitable</v>
      </c>
      <c r="O12" t="str">
        <f>IF(Piratas!D14="Não",Piratas!C14, "")</f>
        <v>Path of Ancestry</v>
      </c>
    </row>
    <row r="13" spans="1:16" x14ac:dyDescent="0.25">
      <c r="B13" t="str">
        <v>Purphoros, God of the Forge</v>
      </c>
      <c r="C13" t="str">
        <f>IF(Baylen!D13="Não",Baylen!C13, "")</f>
        <v>Sheltering Landscape</v>
      </c>
      <c r="F13" t="str">
        <v>Summon: Ixion</v>
      </c>
      <c r="G13" t="str">
        <f>IF(Tayam!D14="Não",Tayam!C14, "")</f>
        <v/>
      </c>
      <c r="J13" t="str">
        <v>Rise of the Eldrazi</v>
      </c>
      <c r="K13" t="str">
        <f>IF(Bichão!D14="Não",Bichão!C14, "")</f>
        <v/>
      </c>
      <c r="N13" t="str">
        <v>Temple of Malice</v>
      </c>
      <c r="O13" t="str">
        <f>IF(Piratas!D15="Não",Piratas!C15, "")</f>
        <v/>
      </c>
    </row>
    <row r="14" spans="1:16" x14ac:dyDescent="0.25">
      <c r="B14" t="str">
        <v>Prosperous Partnership</v>
      </c>
      <c r="C14" t="str">
        <f>IF(Baylen!D14="Não",Baylen!C14, "")</f>
        <v>Mossfire Valley</v>
      </c>
      <c r="F14" t="str">
        <v>Summon: Fenrir</v>
      </c>
      <c r="G14" t="str">
        <f>IF(Tayam!D15="Não",Tayam!C15, "")</f>
        <v/>
      </c>
      <c r="J14" t="str">
        <v>Mox Tantalite</v>
      </c>
      <c r="K14" t="str">
        <f>IF(Bichão!D15="Não",Bichão!C15, "")</f>
        <v/>
      </c>
      <c r="N14" t="str">
        <v>Temple of Epiphany</v>
      </c>
      <c r="O14" t="str">
        <f>IF(Piratas!D16="Não",Piratas!C16, "")</f>
        <v>Secluded Courtyard</v>
      </c>
    </row>
    <row r="15" spans="1:16" x14ac:dyDescent="0.25">
      <c r="B15" t="str">
        <v>Nature's Lore</v>
      </c>
      <c r="C15" t="str">
        <f>IF(Baylen!D15="Não",Baylen!C15, "")</f>
        <v/>
      </c>
      <c r="F15" t="str">
        <v>Stocking the Pantry</v>
      </c>
      <c r="G15" t="str">
        <f>IF(Tayam!D16="Não",Tayam!C16, "")</f>
        <v/>
      </c>
      <c r="J15" t="str">
        <v>Mistrise Village</v>
      </c>
      <c r="K15" t="str">
        <f>IF(Bichão!D16="Não",Bichão!C16, "")</f>
        <v/>
      </c>
      <c r="N15" t="str">
        <v>Temple of Deceit</v>
      </c>
      <c r="O15" t="str">
        <f>IF(Piratas!D17="Não",Piratas!C17, "")</f>
        <v>Seething Landscape</v>
      </c>
    </row>
    <row r="16" spans="1:16" x14ac:dyDescent="0.25">
      <c r="B16" t="str">
        <v>Mossfire Valley</v>
      </c>
      <c r="C16" t="str">
        <f>IF(Baylen!D16="Não",Baylen!C16, "")</f>
        <v>Sunscorched Divide</v>
      </c>
      <c r="F16" t="str">
        <v>Sphere Grid</v>
      </c>
      <c r="G16" t="str">
        <f>IF(Tayam!D17="Não",Tayam!C17, "")</f>
        <v/>
      </c>
      <c r="J16" t="str">
        <v>Kozilek, the Broken Reality</v>
      </c>
      <c r="K16" t="str">
        <f>IF(Bichão!D17="Não",Bichão!C17, "")</f>
        <v/>
      </c>
      <c r="N16" t="str">
        <v>Storm the Vault</v>
      </c>
      <c r="O16" t="str">
        <f>IF(Piratas!D18="Não",Piratas!C18, "")</f>
        <v>Spire of Industry</v>
      </c>
    </row>
    <row r="17" spans="2:15" x14ac:dyDescent="0.25">
      <c r="B17" t="str">
        <v>Marcha dos Canonizados</v>
      </c>
      <c r="C17" t="str">
        <f>IF(Baylen!D17="Não",Baylen!C17, "")</f>
        <v>Cinder Glade</v>
      </c>
      <c r="F17" t="str">
        <v>Song of Freyalise</v>
      </c>
      <c r="G17" t="str">
        <f>IF(Tayam!D18="Não",Tayam!C18, "")</f>
        <v/>
      </c>
      <c r="J17" t="str">
        <v>Izzet Signet</v>
      </c>
      <c r="K17" t="str">
        <f>IF(Bichão!D18="Não",Bichão!C18, "")</f>
        <v/>
      </c>
      <c r="N17" t="str">
        <v>Storm Fleet Negotiator</v>
      </c>
      <c r="O17" t="str">
        <f>IF(Piratas!D19="Não",Piratas!C19, "")</f>
        <v>Temple of Deceit</v>
      </c>
    </row>
    <row r="18" spans="2:15" x14ac:dyDescent="0.25">
      <c r="B18" t="str">
        <v>Lightning Greaves</v>
      </c>
      <c r="C18" t="str">
        <f>IF(Baylen!D18="Não",Baylen!C18, "")</f>
        <v>Canopy Vista</v>
      </c>
      <c r="F18" t="str">
        <v>Shelinda, Yevon Acolyte</v>
      </c>
      <c r="G18" t="str">
        <f>IF(Tayam!D19="Não",Tayam!C19, "")</f>
        <v/>
      </c>
      <c r="J18" t="str">
        <v>Inevitable Betrayal</v>
      </c>
      <c r="K18" t="str">
        <f>IF(Bichão!D19="Não",Bichão!C19, "")</f>
        <v/>
      </c>
      <c r="N18" t="str">
        <v>Spyglass Siren</v>
      </c>
      <c r="O18" t="str">
        <f>IF(Piratas!D20="Não",Piratas!C20, "")</f>
        <v>Temple of Malice</v>
      </c>
    </row>
    <row r="19" spans="2:15" x14ac:dyDescent="0.25">
      <c r="B19" t="str">
        <v>Karplusan Forest</v>
      </c>
      <c r="C19" t="str">
        <f>IF(Baylen!D19="Não",Baylen!C19, "")</f>
        <v/>
      </c>
      <c r="F19" t="str">
        <v>Scholar of New Horizons</v>
      </c>
      <c r="G19" t="str">
        <f>IF(Tayam!D20="Não",Tayam!C20, "")</f>
        <v/>
      </c>
      <c r="J19" t="str">
        <v>Gilded Lotus</v>
      </c>
      <c r="K19" t="str">
        <f>IF(Bichão!D20="Não",Bichão!C20, "")</f>
        <v/>
      </c>
      <c r="N19" t="str">
        <v>Spire of Industry</v>
      </c>
      <c r="O19" t="str">
        <f>IF(Piratas!D21="Não",Piratas!C21, "")</f>
        <v>Temple of Epiphany</v>
      </c>
    </row>
    <row r="20" spans="2:15" x14ac:dyDescent="0.25">
      <c r="B20" t="str">
        <v>Jetmir, Nexus of Revels</v>
      </c>
      <c r="C20" t="str">
        <f>IF(Baylen!D20="Não",Baylen!C20, "")</f>
        <v/>
      </c>
      <c r="F20" t="str">
        <v>Sakura-Tribe Elder</v>
      </c>
      <c r="G20" t="str">
        <f>IF(Tayam!D21="Não",Tayam!C21, "")</f>
        <v/>
      </c>
      <c r="J20" t="str">
        <v>Exotic Orchard</v>
      </c>
      <c r="K20" t="str">
        <f>IF(Bichão!D21="Não",Bichão!C21, "")</f>
        <v/>
      </c>
      <c r="N20" t="str">
        <v>Siren Stormtamer</v>
      </c>
      <c r="O20" t="str">
        <f>IF(Piratas!D22="Não",Piratas!C22, "")</f>
        <v/>
      </c>
    </row>
    <row r="21" spans="2:15" x14ac:dyDescent="0.25">
      <c r="B21" t="str">
        <v>Jacked Rabbit</v>
      </c>
      <c r="C21" t="str">
        <f>IF(Baylen!D21="Não",Baylen!C21, "")</f>
        <v/>
      </c>
      <c r="F21" t="str">
        <v>Rishkar, Peema Renegade</v>
      </c>
      <c r="G21" t="str">
        <f>IF(Tayam!D22="Não",Tayam!C22, "")</f>
        <v/>
      </c>
      <c r="J21" t="str">
        <v>Emrakul, um Novo Mundo</v>
      </c>
      <c r="K21" t="str">
        <f>IF(Bichão!D22="Não",Bichão!C22, "")</f>
        <v/>
      </c>
      <c r="N21" t="str">
        <v>Shoot the Sheriff</v>
      </c>
      <c r="O21" t="str">
        <f>IF(Piratas!D23="Não",Piratas!C23, "")</f>
        <v>Evolving Wilds</v>
      </c>
    </row>
    <row r="22" spans="2:15" x14ac:dyDescent="0.25">
      <c r="B22" t="str">
        <v>Generous Gift</v>
      </c>
      <c r="C22" t="str">
        <f>IF(Baylen!D22="Não",Baylen!C22, "")</f>
        <v>Karplusan Forest</v>
      </c>
      <c r="F22" t="str">
        <v>Reyhan, Last of the Abzan</v>
      </c>
      <c r="G22" t="str">
        <f>IF(Tayam!D23="Não",Tayam!C23, "")</f>
        <v/>
      </c>
      <c r="J22" t="str">
        <v>Arcane Signet</v>
      </c>
      <c r="K22" t="str">
        <f>IF(Bichão!D23="Não",Bichão!C23, "")</f>
        <v/>
      </c>
      <c r="N22" t="str">
        <v>Seething Landscape</v>
      </c>
      <c r="O22" t="str">
        <f>IF(Piratas!D24="Não",Piratas!C24, "")</f>
        <v>Fabled Passage</v>
      </c>
    </row>
    <row r="23" spans="2:15" x14ac:dyDescent="0.25">
      <c r="B23" t="str">
        <v>Gavony Township</v>
      </c>
      <c r="C23" t="str">
        <f>IF(Baylen!D23="Não",Baylen!C23, "")</f>
        <v>Brushland</v>
      </c>
      <c r="F23" t="str">
        <v>Retribution of the Ancients</v>
      </c>
      <c r="G23" t="str">
        <f>IF(Tayam!D24="Não",Tayam!C24, "")</f>
        <v/>
      </c>
      <c r="J23" t="str">
        <v/>
      </c>
      <c r="K23" t="str">
        <f>IF(Bichão!D24="Não",Bichão!C24, "")</f>
        <v/>
      </c>
      <c r="N23" t="str">
        <v>Secluded Courtyard</v>
      </c>
      <c r="O23" t="str">
        <f>IF(Piratas!D25="Não",Piratas!C25, "")</f>
        <v/>
      </c>
    </row>
    <row r="24" spans="2:15" x14ac:dyDescent="0.25">
      <c r="B24" t="str">
        <v>Farseek</v>
      </c>
      <c r="C24" t="str">
        <f>IF(Baylen!D24="Não",Baylen!C24, "")</f>
        <v/>
      </c>
      <c r="F24" t="str">
        <v>Resourceful Defense</v>
      </c>
      <c r="G24" t="str">
        <f>IF(Tayam!D25="Não",Tayam!C25, "")</f>
        <v/>
      </c>
      <c r="J24" t="str">
        <v/>
      </c>
      <c r="K24" t="str">
        <f>IF(Bichão!D25="Não",Bichão!C25, "")</f>
        <v/>
      </c>
      <c r="N24" t="str">
        <v>Reliquary Tower</v>
      </c>
      <c r="O24" t="str">
        <f>IF(Piratas!D26="Não",Piratas!C26, "")</f>
        <v/>
      </c>
    </row>
    <row r="25" spans="2:15" x14ac:dyDescent="0.25">
      <c r="B25" t="str">
        <v>Farmer Cotton</v>
      </c>
      <c r="C25" t="str">
        <f>IF(Baylen!D25="Não",Baylen!C25, "")</f>
        <v/>
      </c>
      <c r="F25" t="str">
        <v>Protection Magic</v>
      </c>
      <c r="G25" t="str">
        <f>IF(Tayam!D26="Não",Tayam!C26, "")</f>
        <v/>
      </c>
      <c r="J25" t="str">
        <v/>
      </c>
      <c r="K25" t="str">
        <f>IF(Bichão!D26="Não",Bichão!C26, "")</f>
        <v/>
      </c>
      <c r="N25" t="str">
        <v>Reckless Fireweaver</v>
      </c>
      <c r="O25" t="str">
        <f>IF(Piratas!D27="Não",Piratas!C27, "")</f>
        <v/>
      </c>
    </row>
    <row r="26" spans="2:15" x14ac:dyDescent="0.25">
      <c r="B26" t="str">
        <v>Exalted Sunborn</v>
      </c>
      <c r="C26" t="str">
        <f>IF(Baylen!D26="Não",Baylen!C26, "")</f>
        <v/>
      </c>
      <c r="F26" t="str">
        <v>Patrolling Peacemaker</v>
      </c>
      <c r="G26" t="str">
        <f>IF(Tayam!D27="Não",Tayam!C27, "")</f>
        <v/>
      </c>
      <c r="J26" t="str">
        <v/>
      </c>
      <c r="K26" t="str">
        <f>IF(Bichão!D27="Não",Bichão!C27, "")</f>
        <v/>
      </c>
      <c r="N26" t="str">
        <v>Ramirez DePietro, Pillager</v>
      </c>
      <c r="O26" t="str">
        <f>IF(Piratas!D28="Não",Piratas!C28, "")</f>
        <v/>
      </c>
    </row>
    <row r="27" spans="2:15" x14ac:dyDescent="0.25">
      <c r="B27" t="str">
        <v>Elesh Norn</v>
      </c>
      <c r="C27" t="str">
        <f>IF(Baylen!D27="Não",Baylen!C27, "")</f>
        <v/>
      </c>
      <c r="F27" t="str">
        <v>Ozolith, the Shattered Spire</v>
      </c>
      <c r="G27" t="str">
        <f>IF(Tayam!D28="Não",Tayam!C28, "")</f>
        <v/>
      </c>
      <c r="J27" t="str">
        <v/>
      </c>
      <c r="K27" t="str">
        <f>IF(Bichão!D28="Não",Bichão!C28, "")</f>
        <v/>
      </c>
      <c r="N27" t="str">
        <v>Rain of Riches</v>
      </c>
      <c r="O27" t="str">
        <f>IF(Piratas!D29="Não",Piratas!C29, "")</f>
        <v/>
      </c>
    </row>
    <row r="28" spans="2:15" x14ac:dyDescent="0.25">
      <c r="B28" t="str">
        <v>Crash the Party</v>
      </c>
      <c r="C28" t="str">
        <f>IF(Baylen!D28="Não",Baylen!C28, "")</f>
        <v/>
      </c>
      <c r="F28" t="str">
        <v>Metastatic Evangel</v>
      </c>
      <c r="G28" t="str">
        <f>IF(Tayam!D29="Não",Tayam!C29, "")</f>
        <v/>
      </c>
      <c r="J28" t="str">
        <v/>
      </c>
      <c r="K28" t="str">
        <f>IF(Bichão!D29="Não",Bichão!C29, "")</f>
        <v/>
      </c>
      <c r="N28" t="str">
        <v>Professional Face-Breaker</v>
      </c>
      <c r="O28" t="str">
        <f>IF(Piratas!D30="Não",Piratas!C30, "")</f>
        <v/>
      </c>
    </row>
    <row r="29" spans="2:15" x14ac:dyDescent="0.25">
      <c r="B29" t="str">
        <v>Cinder Glade</v>
      </c>
      <c r="C29" t="str">
        <f>IF(Baylen!D29="Não",Baylen!C29, "")</f>
        <v/>
      </c>
      <c r="F29" t="str">
        <v>Managorger Hydra</v>
      </c>
      <c r="G29" t="str">
        <f>IF(Tayam!D30="Não",Tayam!C30, "")</f>
        <v/>
      </c>
      <c r="J29" t="str">
        <v/>
      </c>
      <c r="K29" t="str">
        <f>IF(Bichão!D30="Não",Bichão!C30, "")</f>
        <v/>
      </c>
      <c r="N29" t="str">
        <v>Path of Ancestry</v>
      </c>
      <c r="O29" t="str">
        <f>IF(Piratas!D31="Não",Piratas!C31, "")</f>
        <v/>
      </c>
    </row>
    <row r="30" spans="2:15" x14ac:dyDescent="0.25">
      <c r="B30" t="str">
        <v>Champions from Beyond</v>
      </c>
      <c r="C30" t="str">
        <f>IF(Baylen!D30="Não",Baylen!C30, "")</f>
        <v/>
      </c>
      <c r="F30" t="str">
        <v>Maester Seymour</v>
      </c>
      <c r="G30" t="str">
        <f>IF(Tayam!D31="Não",Tayam!C31, "")</f>
        <v/>
      </c>
      <c r="J30" t="str">
        <v/>
      </c>
      <c r="K30" t="str">
        <f>IF(Bichão!D31="Não",Bichão!C31, "")</f>
        <v/>
      </c>
      <c r="N30" t="str">
        <v>Mines of Moria</v>
      </c>
      <c r="O30" t="str">
        <f>IF(Piratas!D32="Não",Piratas!C32, "")</f>
        <v/>
      </c>
    </row>
    <row r="31" spans="2:15" x14ac:dyDescent="0.25">
      <c r="B31" t="str">
        <v>Castle Ardenvale</v>
      </c>
      <c r="C31" t="str">
        <f>IF(Baylen!D31="Não",Baylen!C31, "")</f>
        <v/>
      </c>
      <c r="F31" t="str">
        <v>Llanowar Reborn</v>
      </c>
      <c r="G31" t="str">
        <f>IF(Tayam!D32="Não",Tayam!C32, "")</f>
        <v/>
      </c>
      <c r="J31" t="str">
        <v/>
      </c>
      <c r="K31" t="str">
        <f>IF(Bichão!D32="Não",Bichão!C32, "")</f>
        <v/>
      </c>
      <c r="N31" t="str">
        <v>Malcolm, the Eyes</v>
      </c>
      <c r="O31" t="str">
        <f>IF(Piratas!D33="Não",Piratas!C33, "")</f>
        <v/>
      </c>
    </row>
    <row r="32" spans="2:15" x14ac:dyDescent="0.25">
      <c r="B32" t="str">
        <v>Canopy Vista</v>
      </c>
      <c r="C32" t="str">
        <f>IF(Baylen!D32="Não",Baylen!C32, "")</f>
        <v/>
      </c>
      <c r="F32" t="str">
        <v>Lae'zel, Vlaakith's Champion</v>
      </c>
      <c r="G32" t="str">
        <f>IF(Tayam!D33="Não",Tayam!C33, "")</f>
        <v/>
      </c>
      <c r="J32" t="str">
        <v/>
      </c>
      <c r="K32" t="str">
        <f>IF(Bichão!D33="Não",Bichão!C33, "")</f>
        <v/>
      </c>
      <c r="N32" t="str">
        <v>Malcolm, Alluring Scoundrel</v>
      </c>
      <c r="O32" t="str">
        <f>IF(Piratas!D34="Não",Piratas!C34, "")</f>
        <v/>
      </c>
    </row>
    <row r="33" spans="2:15" x14ac:dyDescent="0.25">
      <c r="B33" t="str">
        <v>Brushland</v>
      </c>
      <c r="C33" t="str">
        <f>IF(Baylen!D33="Não",Baylen!C33, "")</f>
        <v/>
      </c>
      <c r="F33" t="str">
        <v>Kutzil, Malamet Exemplar</v>
      </c>
      <c r="G33" t="str">
        <f>IF(Tayam!D34="Não",Tayam!C34, "")</f>
        <v/>
      </c>
      <c r="J33" t="str">
        <v/>
      </c>
      <c r="K33" t="str">
        <f>IF(Bichão!D34="Não",Bichão!C34, "")</f>
        <v/>
      </c>
      <c r="N33" t="str">
        <v>Lightning-Rig Crew</v>
      </c>
      <c r="O33" t="str">
        <f>IF(Piratas!D35="Não",Piratas!C35, "")</f>
        <v/>
      </c>
    </row>
    <row r="34" spans="2:15" x14ac:dyDescent="0.25">
      <c r="B34" t="str">
        <v>Boros Charm</v>
      </c>
      <c r="C34" t="str">
        <f>IF(Baylen!D34="Não",Baylen!C34, "")</f>
        <v/>
      </c>
      <c r="F34" t="str">
        <v>Inspiring Call</v>
      </c>
      <c r="G34" t="str">
        <f>IF(Tayam!D35="Não",Tayam!C35, "")</f>
        <v/>
      </c>
      <c r="J34" t="str">
        <v/>
      </c>
      <c r="K34" t="str">
        <f>IF(Bichão!D35="Não",Bichão!C35, "")</f>
        <v/>
      </c>
      <c r="N34" t="str">
        <v>Leyline of Transformation</v>
      </c>
      <c r="O34" t="str">
        <f>IF(Piratas!D36="Não",Piratas!C36, "")</f>
        <v/>
      </c>
    </row>
    <row r="35" spans="2:15" x14ac:dyDescent="0.25">
      <c r="B35" t="str">
        <v>Aura Mutation</v>
      </c>
      <c r="C35" t="str">
        <f>IF(Baylen!D35="Não",Baylen!C35, "")</f>
        <v/>
      </c>
      <c r="F35" t="str">
        <v>Incubation Druid</v>
      </c>
      <c r="G35" t="str">
        <f>IF(Tayam!D36="Não",Tayam!C36, "")</f>
        <v/>
      </c>
      <c r="J35" t="str">
        <v/>
      </c>
      <c r="K35" t="str">
        <f>IF(Bichão!D36="Não",Bichão!C36, "")</f>
        <v/>
      </c>
      <c r="N35" t="str">
        <v>Laughing Jasper Flint</v>
      </c>
      <c r="O35" t="str">
        <f>IF(Piratas!D37="Não",Piratas!C37, "")</f>
        <v/>
      </c>
    </row>
    <row r="36" spans="2:15" x14ac:dyDescent="0.25">
      <c r="B36" t="str">
        <v>Artifact Mutation</v>
      </c>
      <c r="C36" t="str">
        <f>IF(Baylen!D36="Não",Baylen!C36, "")</f>
        <v/>
      </c>
      <c r="F36" t="str">
        <v>Hollowmurk Siege</v>
      </c>
      <c r="G36" t="str">
        <f>IF(Tayam!D37="Não",Tayam!C37, "")</f>
        <v/>
      </c>
      <c r="J36" t="str">
        <v/>
      </c>
      <c r="K36" t="str">
        <f>IF(Bichão!D37="Não",Bichão!C37, "")</f>
        <v/>
      </c>
      <c r="N36" t="str">
        <v>Kitesail Larcenist</v>
      </c>
      <c r="O36" t="str">
        <f>IF(Piratas!D38="Não",Piratas!C38, "")</f>
        <v/>
      </c>
    </row>
    <row r="37" spans="2:15" x14ac:dyDescent="0.25">
      <c r="B37" t="str">
        <v/>
      </c>
      <c r="C37" t="str">
        <f>IF(Baylen!D37="Não",Baylen!C37, "")</f>
        <v/>
      </c>
      <c r="F37" t="str">
        <v>Hardened Scales</v>
      </c>
      <c r="G37" t="str">
        <f>IF(Tayam!D38="Não",Tayam!C38, "")</f>
        <v/>
      </c>
      <c r="J37" t="str">
        <v/>
      </c>
      <c r="K37" t="str">
        <f>IF(Bichão!D38="Não",Bichão!C38, "")</f>
        <v/>
      </c>
      <c r="N37" t="str">
        <v>Kitesail Freebooter</v>
      </c>
      <c r="O37" t="str">
        <f>IF(Piratas!D39="Não",Piratas!C39, "")</f>
        <v/>
      </c>
    </row>
    <row r="38" spans="2:15" x14ac:dyDescent="0.25">
      <c r="B38" t="str">
        <v/>
      </c>
      <c r="C38" t="str">
        <f>IF(Baylen!D38="Não",Baylen!C38, "")</f>
        <v/>
      </c>
      <c r="F38" t="str">
        <v>Gyre Sage</v>
      </c>
      <c r="G38" t="str">
        <f>IF(Tayam!D39="Não",Tayam!C39, "")</f>
        <v>Song of Freyalise</v>
      </c>
      <c r="J38" t="str">
        <v/>
      </c>
      <c r="K38" t="str">
        <f>IF(Bichão!D39="Não",Bichão!C39, "")</f>
        <v/>
      </c>
      <c r="N38" t="str">
        <v>Invert Polarity</v>
      </c>
      <c r="O38" t="str">
        <f>IF(Piratas!D40="Não",Piratas!C40, "")</f>
        <v/>
      </c>
    </row>
    <row r="39" spans="2:15" x14ac:dyDescent="0.25">
      <c r="B39" t="str">
        <v/>
      </c>
      <c r="C39" t="str">
        <f>IF(Baylen!D39="Não",Baylen!C39, "")</f>
        <v>Nature's Lore</v>
      </c>
      <c r="F39" t="str">
        <v>Felothar, Dawn of the Abzan</v>
      </c>
      <c r="G39" t="str">
        <f>IF(Tayam!D40="Não",Tayam!C40, "")</f>
        <v>Incubation Druid</v>
      </c>
      <c r="J39" t="str">
        <v/>
      </c>
      <c r="K39" t="str">
        <f>IF(Bichão!D40="Não",Bichão!C40, "")</f>
        <v>Arcane Signet</v>
      </c>
      <c r="N39" t="str">
        <v>Hostage Taker</v>
      </c>
      <c r="O39" t="str">
        <f>IF(Piratas!D41="Não",Piratas!C41, "")</f>
        <v/>
      </c>
    </row>
    <row r="40" spans="2:15" x14ac:dyDescent="0.25">
      <c r="B40" t="str">
        <v/>
      </c>
      <c r="C40" t="str">
        <f>IF(Baylen!D40="Não",Baylen!C40, "")</f>
        <v>Farseek</v>
      </c>
      <c r="F40" t="str">
        <v>Exotic Orchard</v>
      </c>
      <c r="G40" t="str">
        <f>IF(Tayam!D41="Não",Tayam!C41, "")</f>
        <v>Gyre Sage</v>
      </c>
      <c r="J40" t="str">
        <v/>
      </c>
      <c r="K40" t="str">
        <f>IF(Bichão!D41="Não",Bichão!C41, "")</f>
        <v>Izzet Signet</v>
      </c>
      <c r="N40" t="str">
        <v>Hedron Detonator</v>
      </c>
      <c r="O40" t="str">
        <f>IF(Piratas!D42="Não",Piratas!C42, "")</f>
        <v/>
      </c>
    </row>
    <row r="41" spans="2:15" x14ac:dyDescent="0.25">
      <c r="B41" t="str">
        <v/>
      </c>
      <c r="C41" t="str">
        <f>IF(Baylen!D41="Não",Baylen!C41, "")</f>
        <v/>
      </c>
      <c r="F41" t="str">
        <v>Duskshell Crawler</v>
      </c>
      <c r="G41" t="str">
        <f>IF(Tayam!D42="Não",Tayam!C42, "")</f>
        <v>Summon: Fenrir</v>
      </c>
      <c r="J41" t="str">
        <v/>
      </c>
      <c r="K41" t="str">
        <f>IF(Bichão!D42="Não",Bichão!C42, "")</f>
        <v>Thought Vessel</v>
      </c>
      <c r="N41" t="str">
        <v>Guild Artisan</v>
      </c>
      <c r="O41" t="str">
        <f>IF(Piratas!D43="Não",Piratas!C43, "")</f>
        <v>The Indomitable</v>
      </c>
    </row>
    <row r="42" spans="2:15" x14ac:dyDescent="0.25">
      <c r="B42" t="str">
        <v/>
      </c>
      <c r="C42" t="str">
        <f>IF(Baylen!D42="Não",Baylen!C42, "")</f>
        <v/>
      </c>
      <c r="F42" t="str">
        <v>Devoted Druid</v>
      </c>
      <c r="G42" t="str">
        <f>IF(Tayam!D43="Não",Tayam!C43, "")</f>
        <v>Devoted Druid</v>
      </c>
      <c r="J42" t="str">
        <v/>
      </c>
      <c r="K42" t="str">
        <f>IF(Bichão!D43="Não",Bichão!C43, "")</f>
        <v/>
      </c>
      <c r="N42" t="str">
        <v>Go for the Throat</v>
      </c>
      <c r="O42" t="str">
        <f>IF(Piratas!D44="Não",Piratas!C44, "")</f>
        <v>Bident of Thassa</v>
      </c>
    </row>
    <row r="43" spans="2:15" x14ac:dyDescent="0.25">
      <c r="B43" t="str">
        <v/>
      </c>
      <c r="C43" t="str">
        <f>IF(Baylen!D43="Não",Baylen!C43, "")</f>
        <v/>
      </c>
      <c r="F43" t="str">
        <v>Dever Além da Morte</v>
      </c>
      <c r="G43" t="str">
        <f>IF(Tayam!D44="Não",Tayam!C44, "")</f>
        <v>Rishkar, Peema Renegade</v>
      </c>
      <c r="J43" t="str">
        <v/>
      </c>
      <c r="K43" t="str">
        <f>IF(Bichão!D44="Não",Bichão!C44, "")</f>
        <v>Gilded Lotus</v>
      </c>
      <c r="N43" t="str">
        <v>Glint-Horn Buccaneer</v>
      </c>
      <c r="O43" t="str">
        <f>IF(Piratas!D45="Não",Piratas!C45, "")</f>
        <v>Treasure Map</v>
      </c>
    </row>
    <row r="44" spans="2:15" x14ac:dyDescent="0.25">
      <c r="B44" t="str">
        <v/>
      </c>
      <c r="C44" t="str">
        <f>IF(Baylen!D44="Não",Baylen!C44, "")</f>
        <v>Time of Need</v>
      </c>
      <c r="F44" t="str">
        <v>Deceptive Landscape</v>
      </c>
      <c r="G44" t="str">
        <f>IF(Tayam!D46="Não",Tayam!C46, "")</f>
        <v/>
      </c>
      <c r="J44" t="str">
        <v/>
      </c>
      <c r="K44" t="str">
        <f>IF(Bichão!D45="Não",Bichão!C45, "")</f>
        <v>Rotating Fireplace</v>
      </c>
      <c r="N44" t="str">
        <v>Gemcutter Buccaneer</v>
      </c>
      <c r="O44" t="str">
        <f>IF(Piratas!D46="Não",Piratas!C46, "")</f>
        <v>Coastal Piracy</v>
      </c>
    </row>
    <row r="45" spans="2:15" x14ac:dyDescent="0.25">
      <c r="B45" t="str">
        <v/>
      </c>
      <c r="C45" t="str">
        <f>IF(Baylen!D45="Não",Baylen!C45, "")</f>
        <v/>
      </c>
      <c r="F45" t="str">
        <v>Conclave Mentor</v>
      </c>
      <c r="G45" t="str">
        <f>IF(Tayam!D47="Não",Tayam!C47, "")</f>
        <v>Sakura-Tribe Elder</v>
      </c>
      <c r="J45" t="str">
        <v/>
      </c>
      <c r="K45" t="str">
        <f>IF(Bichão!D46="Não",Bichão!C46, "")</f>
        <v>Sol Talisman</v>
      </c>
      <c r="N45" t="str">
        <v>Forerunner of the Coalition</v>
      </c>
      <c r="O45" t="str">
        <f>IF(Piratas!D47="Não",Piratas!C47, "")</f>
        <v>Distant Melody</v>
      </c>
    </row>
    <row r="46" spans="2:15" x14ac:dyDescent="0.25">
      <c r="B46" t="str">
        <v/>
      </c>
      <c r="C46" t="str">
        <f>IF(Baylen!D46="Não",Baylen!C46, "")</f>
        <v>Jetmir, Nexus of Revels</v>
      </c>
      <c r="F46" t="str">
        <v>Command Tower</v>
      </c>
      <c r="G46" t="str">
        <f>IF(Tayam!D48="Não",Tayam!C48, "")</f>
        <v>Armored Scrapgorger</v>
      </c>
      <c r="J46" t="str">
        <v/>
      </c>
      <c r="K46" t="str">
        <f>IF(Bichão!D47="Não",Bichão!C47, "")</f>
        <v>Thran Dynamo</v>
      </c>
      <c r="N46" t="str">
        <v>Fabled Passage</v>
      </c>
      <c r="O46" t="str">
        <f>IF(Piratas!D48="Não",Piratas!C48, "")</f>
        <v>Laughing Jasper Flint</v>
      </c>
    </row>
    <row r="47" spans="2:15" x14ac:dyDescent="0.25">
      <c r="B47" t="str">
        <v/>
      </c>
      <c r="C47" t="str">
        <f>IF(Baylen!D80="Não",Baylen!C80, "")</f>
        <v>Marcha dos Canonizados</v>
      </c>
      <c r="F47" t="str">
        <v>Champion of Lambholt</v>
      </c>
      <c r="G47" t="str">
        <f>IF(Tayam!D49="Não",Tayam!C49, "")</f>
        <v>Terrasymbiosis</v>
      </c>
      <c r="J47" t="str">
        <v/>
      </c>
      <c r="K47" t="str">
        <f>IF(Bichão!D48="Não",Bichão!C48, "")</f>
        <v>Mox Tantalite</v>
      </c>
      <c r="N47" t="str">
        <v>Exotic Orchard</v>
      </c>
      <c r="O47" t="str">
        <f>IF(Piratas!D49="Não",Piratas!C49, "")</f>
        <v>Forerunner of the Coalition</v>
      </c>
    </row>
    <row r="48" spans="2:15" x14ac:dyDescent="0.25">
      <c r="B48" t="str">
        <v/>
      </c>
      <c r="C48" t="str">
        <f>IF(Baylen!D47="Não",Baylen!C47, "")</f>
        <v>Purphoros, God of the Forge</v>
      </c>
      <c r="F48" t="str">
        <v>Canopy Vista</v>
      </c>
      <c r="G48" t="str">
        <f>IF(Tayam!D50="Não",Tayam!C50, "")</f>
        <v>Stocking the Pantry</v>
      </c>
      <c r="J48" t="str">
        <v/>
      </c>
      <c r="K48" t="str">
        <f>IF(Bichão!D49="Não",Bichão!C49, "")</f>
        <v/>
      </c>
      <c r="N48" t="str">
        <v>Evolving Wilds</v>
      </c>
      <c r="O48" t="str">
        <f>IF(Piratas!D50="Não",Piratas!C50, "")</f>
        <v/>
      </c>
    </row>
    <row r="49" spans="2:15" x14ac:dyDescent="0.25">
      <c r="B49" t="str">
        <v/>
      </c>
      <c r="C49" t="str">
        <f>IF(Baylen!D48="Não",Baylen!C48, "")</f>
        <v>Warleader's Call</v>
      </c>
      <c r="F49" t="str">
        <v>Cankerbloom</v>
      </c>
      <c r="G49" t="str">
        <f>IF(Tayam!D51="Não",Tayam!C51, "")</f>
        <v>Kutzil, Malamet Exemplar</v>
      </c>
      <c r="J49" t="str">
        <v/>
      </c>
      <c r="K49" t="str">
        <f>IF(Bichão!D50="Não",Bichão!C50, "")</f>
        <v/>
      </c>
      <c r="N49" t="str">
        <v>Emberwilde Captain</v>
      </c>
      <c r="O49" t="str">
        <f>IF(Piratas!D51="Não",Piratas!C51, "")</f>
        <v>Malcolm, the Eyes</v>
      </c>
    </row>
    <row r="50" spans="2:15" x14ac:dyDescent="0.25">
      <c r="B50" t="str">
        <v/>
      </c>
      <c r="C50" t="str">
        <f>IF(Baylen!D49="Não",Baylen!C49, "")</f>
        <v/>
      </c>
      <c r="F50" t="str">
        <v>Bulwark Ox</v>
      </c>
      <c r="G50" t="str">
        <f>IF(Tayam!D52="Não",Tayam!C52, "")</f>
        <v/>
      </c>
      <c r="J50" t="str">
        <v/>
      </c>
      <c r="K50" t="str">
        <f>IF(Bichão!D51="Não",Bichão!C51, "")</f>
        <v/>
      </c>
      <c r="N50" t="str">
        <v>Distant Melody</v>
      </c>
      <c r="O50" t="str">
        <f>IF(Piratas!D52="Não",Piratas!C52, "")</f>
        <v>Emberwilde Captain</v>
      </c>
    </row>
    <row r="51" spans="2:15" x14ac:dyDescent="0.25">
      <c r="B51" t="str">
        <v/>
      </c>
      <c r="C51" t="str">
        <f>IF(Baylen!D50="Não",Baylen!C50, "")</f>
        <v/>
      </c>
      <c r="F51" t="str">
        <v>Branching Evolution</v>
      </c>
      <c r="G51" t="str">
        <f>IF(Tayam!D53="Não",Tayam!C53, "")</f>
        <v/>
      </c>
      <c r="J51" t="str">
        <v/>
      </c>
      <c r="K51" t="str">
        <f>IF(Bichão!D52="Não",Bichão!C52, "")</f>
        <v/>
      </c>
      <c r="N51" t="str">
        <v>Departed Deckhand</v>
      </c>
      <c r="O51" t="str">
        <f>IF(Piratas!D53="Não",Piratas!C53, "")</f>
        <v>Leyline of Transformation</v>
      </c>
    </row>
    <row r="52" spans="2:15" x14ac:dyDescent="0.25">
      <c r="B52" t="str">
        <v/>
      </c>
      <c r="C52" t="str">
        <f>IF(Baylen!D51="Não",Baylen!C51, "")</f>
        <v>Prosperous Partnership</v>
      </c>
      <c r="F52" t="str">
        <v>Botanical Brawler</v>
      </c>
      <c r="G52" t="str">
        <f>IF(Tayam!D54="Não",Tayam!C54, "")</f>
        <v>Maester Seymour</v>
      </c>
      <c r="J52" t="str">
        <v/>
      </c>
      <c r="K52" t="str">
        <f>IF(Bichão!D53="Não",Bichão!C53, "")</f>
        <v>Rise of the Eldrazi</v>
      </c>
      <c r="N52" t="str">
        <v>Deadeye Tracker</v>
      </c>
      <c r="O52" t="str">
        <f>IF(Piratas!D54="Não",Piratas!C54, "")</f>
        <v>Captain's Hook</v>
      </c>
    </row>
    <row r="53" spans="2:15" x14ac:dyDescent="0.25">
      <c r="B53" t="str">
        <v/>
      </c>
      <c r="C53" t="str">
        <f>IF(Baylen!D52="Não",Baylen!C52, "")</f>
        <v/>
      </c>
      <c r="F53" t="str">
        <v>Basking Broodscale</v>
      </c>
      <c r="G53" t="str">
        <f>IF(Tayam!D59="Não",Tayam!C59, "")</f>
        <v>Felothar, Dawn of the Abzan</v>
      </c>
      <c r="J53" t="str">
        <v/>
      </c>
      <c r="K53" t="str">
        <f>IF(Bichão!D54="Não",Bichão!C54, "")</f>
        <v/>
      </c>
      <c r="N53" t="str">
        <v>Cutthroat Negotiator</v>
      </c>
      <c r="O53" t="str">
        <f>IF(Piratas!D55="Não",Piratas!C55, "")</f>
        <v/>
      </c>
    </row>
    <row r="54" spans="2:15" x14ac:dyDescent="0.25">
      <c r="B54" t="str">
        <v/>
      </c>
      <c r="C54" t="str">
        <f>IF(Baylen!D53="Não",Baylen!C53, "")</f>
        <v/>
      </c>
      <c r="F54" t="str">
        <v>Arwen, Weaver of Hope</v>
      </c>
      <c r="G54" t="str">
        <f>IF(Tayam!D60="Não",Tayam!C60, "")</f>
        <v>Arwen, Weaver of Hope</v>
      </c>
      <c r="J54" t="str">
        <v/>
      </c>
      <c r="K54" t="str">
        <f>IF(Bichão!D55="Não",Bichão!C55, "")</f>
        <v/>
      </c>
      <c r="N54" t="str">
        <v>Command Tower</v>
      </c>
      <c r="O54" t="str">
        <f>IF(Piratas!D56="Não",Piratas!C56, "")</f>
        <v>Spyglass Siren</v>
      </c>
    </row>
    <row r="55" spans="2:15" x14ac:dyDescent="0.25">
      <c r="B55" t="str">
        <v/>
      </c>
      <c r="C55" t="str">
        <f>IF(Baylen!D54="Não",Baylen!C54, "")</f>
        <v/>
      </c>
      <c r="F55" t="str">
        <v>Armored Scrapgorger</v>
      </c>
      <c r="G55" t="str">
        <f>IF(Tayam!D61="Não",Tayam!C61, "")</f>
        <v>Anafenza, Kin-Tree Spirit</v>
      </c>
      <c r="J55" t="str">
        <v/>
      </c>
      <c r="K55" t="str">
        <f>IF(Bichão!D56="Não",Bichão!C56, "")</f>
        <v/>
      </c>
      <c r="N55" t="str">
        <v>Coercive Recruiter</v>
      </c>
      <c r="O55" t="str">
        <f>IF(Piratas!D57="Não",Piratas!C57, "")</f>
        <v>Changeling Outcast</v>
      </c>
    </row>
    <row r="56" spans="2:15" x14ac:dyDescent="0.25">
      <c r="B56" t="str">
        <v/>
      </c>
      <c r="C56" t="str">
        <f>IF(Baylen!D55="Não",Baylen!C55, "")</f>
        <v/>
      </c>
      <c r="F56" t="str">
        <v>Ardbert, Warrior of Darkness</v>
      </c>
      <c r="G56" t="str">
        <f>IF(Tayam!D62="Não",Tayam!C62, "")</f>
        <v>Botanical Brawler</v>
      </c>
      <c r="J56" t="str">
        <v/>
      </c>
      <c r="K56" t="str">
        <f>IF(Bichão!D57="Não",Bichão!C57, "")</f>
        <v/>
      </c>
      <c r="N56" t="str">
        <v>Coastline Marauders</v>
      </c>
      <c r="O56" t="str">
        <f>IF(Piratas!D58="Não",Piratas!C58, "")</f>
        <v>Siren Stormtamer</v>
      </c>
    </row>
    <row r="57" spans="2:15" x14ac:dyDescent="0.25">
      <c r="B57" t="str">
        <v/>
      </c>
      <c r="C57" t="str">
        <f>IF(Baylen!D56="Não",Baylen!C56, "")</f>
        <v>Crash the Party</v>
      </c>
      <c r="F57" t="str">
        <v>Anafenza, Kin-Tree Spirit</v>
      </c>
      <c r="G57" t="str">
        <f>IF(Tayam!D63="Não",Tayam!C63, "")</f>
        <v>Champion of Lambholt</v>
      </c>
      <c r="J57" t="str">
        <v/>
      </c>
      <c r="K57" t="str">
        <f>IF(Bichão!D58="Não",Bichão!C58, "")</f>
        <v/>
      </c>
      <c r="N57" t="str">
        <v>Coastal Piracy</v>
      </c>
      <c r="O57" t="str">
        <f>IF(Piratas!D59="Não",Piratas!C59, "")</f>
        <v>Kitesail Freebooter</v>
      </c>
    </row>
    <row r="58" spans="2:15" x14ac:dyDescent="0.25">
      <c r="B58" t="str">
        <v/>
      </c>
      <c r="C58" t="str">
        <f>IF(Baylen!D57="Não",Baylen!C57, "")</f>
        <v/>
      </c>
      <c r="F58" t="str">
        <v>Abzan Falconer</v>
      </c>
      <c r="G58" t="str">
        <f>IF(Tayam!D64="Não",Tayam!C64, "")</f>
        <v>Warden of the Grove</v>
      </c>
      <c r="J58" t="str">
        <v/>
      </c>
      <c r="K58" t="str">
        <f>IF(Bichão!D59="Não",Bichão!C59, "")</f>
        <v/>
      </c>
      <c r="N58" t="str">
        <v>Changeling Outcast</v>
      </c>
      <c r="O58" t="str">
        <f>IF(Piratas!D60="Não",Piratas!C60, "")</f>
        <v>Departed Deckhand</v>
      </c>
    </row>
    <row r="59" spans="2:15" x14ac:dyDescent="0.25">
      <c r="B59" t="str">
        <v/>
      </c>
      <c r="C59" t="str">
        <f>IF(Baylen!D60="Não",Baylen!C60, "")</f>
        <v/>
      </c>
      <c r="F59" t="str">
        <v/>
      </c>
      <c r="G59" t="str">
        <f>IF(Tayam!D65="Não",Tayam!C65, "")</f>
        <v>Managorger Hydra</v>
      </c>
      <c r="J59" t="str">
        <v/>
      </c>
      <c r="K59" t="str">
        <f>IF(Bichão!D60="Não",Bichão!C60, "")</f>
        <v/>
      </c>
      <c r="N59" t="str">
        <v>Captain's Hook</v>
      </c>
      <c r="O59" t="str">
        <f>IF(Piratas!D61="Não",Piratas!C61, "")</f>
        <v>Malcolm, Alluring Scoundrel</v>
      </c>
    </row>
    <row r="60" spans="2:15" x14ac:dyDescent="0.25">
      <c r="B60" t="str">
        <v/>
      </c>
      <c r="C60" t="str">
        <f>IF(Baylen!D59="Não",Baylen!C59, "")</f>
        <v>Second Harvest</v>
      </c>
      <c r="F60" t="str">
        <v/>
      </c>
      <c r="G60" t="str">
        <f>IF(Tayam!D66="Não",Tayam!C66, "")</f>
        <v/>
      </c>
      <c r="J60" t="str">
        <v/>
      </c>
      <c r="K60" t="str">
        <f>IF(Bichão!D61="Não",Bichão!C61, "")</f>
        <v/>
      </c>
      <c r="N60" t="str">
        <v>Captain Vargus Wrath</v>
      </c>
      <c r="O60" t="str">
        <f>IF(Piratas!D62="Não",Piratas!C62, "")</f>
        <v>Warkite Marauder</v>
      </c>
    </row>
    <row r="61" spans="2:15" x14ac:dyDescent="0.25">
      <c r="B61" t="str">
        <v/>
      </c>
      <c r="C61" t="str">
        <f>IF(Baylen!D61="Não",Baylen!C61, "")</f>
        <v/>
      </c>
      <c r="F61" t="str">
        <v/>
      </c>
      <c r="G61" t="str">
        <f>IF(Tayam!D67="Não",Tayam!C67, "")</f>
        <v>Duskshell Crawler</v>
      </c>
      <c r="J61" t="str">
        <v/>
      </c>
      <c r="K61" t="str">
        <f>IF(Bichão!D62="Não",Bichão!C62, "")</f>
        <v/>
      </c>
      <c r="N61" t="str">
        <v>Captain Storm, Cosmium Raider</v>
      </c>
      <c r="O61" t="str">
        <f>IF(Piratas!D63="Não",Piratas!C63, "")</f>
        <v>Broadside Bombardiers</v>
      </c>
    </row>
    <row r="62" spans="2:15" x14ac:dyDescent="0.25">
      <c r="B62" t="str">
        <v/>
      </c>
      <c r="C62" t="str">
        <f>IF(Baylen!D62="Não",Baylen!C62, "")</f>
        <v/>
      </c>
      <c r="F62" t="str">
        <v/>
      </c>
      <c r="G62" t="str">
        <f>IF(Tayam!D68="Não",Tayam!C68, "")</f>
        <v>Shelinda, Yevon Acolyte</v>
      </c>
      <c r="J62" t="str">
        <v/>
      </c>
      <c r="K62" t="str">
        <f>IF(Bichão!D63="Não",Bichão!C63, "")</f>
        <v/>
      </c>
      <c r="N62" t="str">
        <v>Broadside Bombardiers</v>
      </c>
      <c r="O62" t="str">
        <f>IF(Piratas!D64="Não",Piratas!C64, "")</f>
        <v>Breeches, Eager Pillager</v>
      </c>
    </row>
    <row r="63" spans="2:15" x14ac:dyDescent="0.25">
      <c r="B63" t="str">
        <v/>
      </c>
      <c r="C63" t="str">
        <f>IF(Baylen!D63="Não",Baylen!C63, "")</f>
        <v/>
      </c>
      <c r="F63" t="str">
        <v/>
      </c>
      <c r="G63" t="str">
        <f>IF(Tayam!D69="Não",Tayam!C69, "")</f>
        <v>Ardbert, Warrior of Darkness</v>
      </c>
      <c r="J63" t="str">
        <v/>
      </c>
      <c r="K63" t="str">
        <f>IF(Bichão!D64="Não",Bichão!C64, "")</f>
        <v/>
      </c>
      <c r="N63" t="str">
        <v>Breeches, the Blastmaker</v>
      </c>
      <c r="O63" t="str">
        <f>IF(Piratas!D65="Não",Piratas!C65, "")</f>
        <v>Kitesail Larcenist</v>
      </c>
    </row>
    <row r="64" spans="2:15" x14ac:dyDescent="0.25">
      <c r="B64" t="str">
        <v/>
      </c>
      <c r="C64" t="str">
        <f>IF(Baylen!D64="Não",Baylen!C64, "")</f>
        <v/>
      </c>
      <c r="F64" t="str">
        <v/>
      </c>
      <c r="G64" t="str">
        <f>IF(Tayam!D74="Não",Tayam!C74, "")</f>
        <v>Metastatic Evangel</v>
      </c>
      <c r="J64" t="str">
        <v/>
      </c>
      <c r="K64" t="str">
        <f>IF(Bichão!D65="Não",Bichão!C65, "")</f>
        <v>Emrakul, um Novo Mundo</v>
      </c>
      <c r="N64" t="str">
        <v>Breeches, Eager Pillager</v>
      </c>
      <c r="O64" t="str">
        <f>IF(Piratas!D66="Não",Piratas!C66, "")</f>
        <v>Storm Fleet Negotiator</v>
      </c>
    </row>
    <row r="65" spans="2:15" x14ac:dyDescent="0.25">
      <c r="B65" t="str">
        <v/>
      </c>
      <c r="C65" t="str">
        <f>IF(Baylen!D65="Não",Baylen!C65, "")</f>
        <v/>
      </c>
      <c r="F65" t="str">
        <v/>
      </c>
      <c r="G65" t="str">
        <f>IF(Tayam!D75="Não",Tayam!C75, "")</f>
        <v>Conclave Mentor</v>
      </c>
      <c r="J65" t="str">
        <v/>
      </c>
      <c r="K65" t="str">
        <f>IF(Bichão!D66="Não",Bichão!C66, "")</f>
        <v/>
      </c>
      <c r="N65" t="str">
        <v>Breeches, Brazen Plunderer</v>
      </c>
      <c r="O65" t="str">
        <f>IF(Piratas!D67="Não",Piratas!C67, "")</f>
        <v>Cutthroat Negotiator</v>
      </c>
    </row>
    <row r="66" spans="2:15" x14ac:dyDescent="0.25">
      <c r="B66" t="str">
        <v/>
      </c>
      <c r="C66" t="str">
        <f>IF(Baylen!D66="Não",Baylen!C66, "")</f>
        <v/>
      </c>
      <c r="F66" t="str">
        <v/>
      </c>
      <c r="G66" t="str">
        <f>IF(Tayam!D76="Não",Tayam!C76, "")</f>
        <v>Reyhan, Last of the Abzan</v>
      </c>
      <c r="J66" t="str">
        <v/>
      </c>
      <c r="K66" t="str">
        <f>IF(Bichão!D67="Não",Bichão!C67, "")</f>
        <v/>
      </c>
      <c r="N66" t="str">
        <v>Bojuka Bog</v>
      </c>
      <c r="O66" t="str">
        <f>IF(Piratas!D68="Não",Piratas!C68, "")</f>
        <v>Coastline Marauders</v>
      </c>
    </row>
    <row r="67" spans="2:15" x14ac:dyDescent="0.25">
      <c r="B67" t="str">
        <v/>
      </c>
      <c r="C67" t="str">
        <f>IF(Baylen!D67="Não",Baylen!C67, "")</f>
        <v/>
      </c>
      <c r="F67" t="str">
        <v/>
      </c>
      <c r="G67" t="str">
        <f>IF(Tayam!D77="Não",Tayam!C77, "")</f>
        <v>Lae'zel, Vlaakith's Champion</v>
      </c>
      <c r="J67" t="str">
        <v/>
      </c>
      <c r="K67" t="str">
        <f>IF(Bichão!D68="Não",Bichão!C68, "")</f>
        <v>Kozilek, the Broken Reality</v>
      </c>
      <c r="N67" t="str">
        <v>Bident of Thassa</v>
      </c>
      <c r="O67" t="str">
        <f>IF(Piratas!D69="Não",Piratas!C69, "")</f>
        <v>Admiral Beckett Brass</v>
      </c>
    </row>
    <row r="68" spans="2:15" x14ac:dyDescent="0.25">
      <c r="B68" t="str">
        <v/>
      </c>
      <c r="C68" t="str">
        <f>IF(Baylen!D68="Não",Baylen!C68, "")</f>
        <v/>
      </c>
      <c r="F68" t="str">
        <v/>
      </c>
      <c r="G68" t="str">
        <f>IF(Tayam!D78="Não",Tayam!C78, "")</f>
        <v>Branching Evolution</v>
      </c>
      <c r="J68" t="str">
        <v/>
      </c>
      <c r="K68" t="str">
        <f>IF(Bichão!D69="Não",Bichão!C69, "")</f>
        <v/>
      </c>
      <c r="N68" t="str">
        <v>Back in Town</v>
      </c>
      <c r="O68" t="str">
        <f>IF(Piratas!D70="Não",Piratas!C70, "")</f>
        <v>Captain Vargus Wrath</v>
      </c>
    </row>
    <row r="69" spans="2:15" x14ac:dyDescent="0.25">
      <c r="B69" t="str">
        <v/>
      </c>
      <c r="C69" t="str">
        <f>IF(Baylen!D69="Não",Baylen!C69, "")</f>
        <v/>
      </c>
      <c r="F69" t="str">
        <v/>
      </c>
      <c r="G69" t="str">
        <f>IF(Tayam!D79="Não",Tayam!C79, "")</f>
        <v>Ozolith, the Shattered Spire</v>
      </c>
      <c r="J69" t="str">
        <v/>
      </c>
      <c r="K69" t="str">
        <f>IF(Bichão!D70="Não",Bichão!C70, "")</f>
        <v/>
      </c>
      <c r="N69" t="str">
        <v>Archway of Innovation</v>
      </c>
      <c r="O69" t="str">
        <f>IF(Piratas!D71="Não",Piratas!C71, "")</f>
        <v>Captain Storm, Cosmium Raider</v>
      </c>
    </row>
    <row r="70" spans="2:15" x14ac:dyDescent="0.25">
      <c r="B70" t="str">
        <v/>
      </c>
      <c r="C70" t="str">
        <f>IF(Baylen!D70="Não",Baylen!C70, "")</f>
        <v/>
      </c>
      <c r="F70" t="str">
        <v/>
      </c>
      <c r="G70" t="str">
        <f>IF(Tayam!D80="Não",Tayam!C80, "")</f>
        <v/>
      </c>
      <c r="J70" t="str">
        <v/>
      </c>
      <c r="K70" t="str">
        <f>IF(Bichão!D71="Não",Bichão!C71, "")</f>
        <v>Ulamog, o Profanador</v>
      </c>
      <c r="N70" t="str">
        <v>Amphin Mutineer</v>
      </c>
      <c r="O70" t="str">
        <f>IF(Piratas!D72="Não",Piratas!C72, "")</f>
        <v>Gemcutter Buccaneer</v>
      </c>
    </row>
    <row r="71" spans="2:15" x14ac:dyDescent="0.25">
      <c r="B71" t="str">
        <v/>
      </c>
      <c r="C71" t="str">
        <f>IF(Baylen!D71="Não",Baylen!C71, "")</f>
        <v/>
      </c>
      <c r="F71" t="str">
        <v/>
      </c>
      <c r="G71" t="str">
        <f>IF(Tayam!D81="Não",Tayam!C81, "")</f>
        <v>Hardened Scales</v>
      </c>
      <c r="J71" t="str">
        <v/>
      </c>
      <c r="K71" t="str">
        <f>IF(Bichão!D72="Não",Bichão!C72, "")</f>
        <v/>
      </c>
      <c r="N71" t="str">
        <v>Admiral Beckett Brass</v>
      </c>
      <c r="O71" t="str">
        <f>IF(Piratas!D73="Não",Piratas!C73, "")</f>
        <v>Timestream Navigator</v>
      </c>
    </row>
    <row r="72" spans="2:15" x14ac:dyDescent="0.25">
      <c r="B72" t="str">
        <v/>
      </c>
      <c r="C72" t="str">
        <f>IF(Baylen!D72="Não",Baylen!C72, "")</f>
        <v/>
      </c>
      <c r="F72" t="str">
        <v/>
      </c>
      <c r="G72" t="str">
        <f>IF(Tayam!D82="Não",Tayam!C82, "")</f>
        <v>Basking Broodscale</v>
      </c>
      <c r="J72" t="str">
        <v/>
      </c>
      <c r="K72" t="str">
        <f>IF(Bichão!D73="Não",Bichão!C73, "")</f>
        <v/>
      </c>
      <c r="N72" t="str">
        <v>Access Tunnel</v>
      </c>
      <c r="O72" t="str">
        <f>IF(Piratas!D74="Não",Piratas!C74, "")</f>
        <v>Ramirez DePietro, Pillager</v>
      </c>
    </row>
    <row r="73" spans="2:15" x14ac:dyDescent="0.25">
      <c r="B73" t="str">
        <v/>
      </c>
      <c r="C73" t="str">
        <f>IF(Baylen!D73="Não",Baylen!C73, "")</f>
        <v/>
      </c>
      <c r="F73" t="str">
        <v/>
      </c>
      <c r="G73" t="str">
        <f>IF(Tayam!D83="Não",Tayam!C83, "")</f>
        <v>Winding Constrictor</v>
      </c>
      <c r="J73" t="str">
        <v/>
      </c>
      <c r="K73" t="str">
        <f>IF(Bichão!D74="Não",Bichão!C74, "")</f>
        <v/>
      </c>
      <c r="N73" t="str">
        <v/>
      </c>
      <c r="O73" t="str">
        <f>IF(Piratas!D75="Não",Piratas!C75, "")</f>
        <v>Glint-Horn Buccaneer</v>
      </c>
    </row>
    <row r="74" spans="2:15" x14ac:dyDescent="0.25">
      <c r="B74" t="str">
        <v/>
      </c>
      <c r="C74" t="str">
        <f>IF(Baylen!D74="Não",Baylen!C74, "")</f>
        <v>Jacked Rabbit</v>
      </c>
      <c r="F74" t="str">
        <v/>
      </c>
      <c r="G74" t="str">
        <f>IF(Tayam!D84="Não",Tayam!C84, "")</f>
        <v>Resourceful Defense</v>
      </c>
      <c r="J74" t="str">
        <v/>
      </c>
      <c r="K74" t="str">
        <f>IF(Bichão!D75="Não",Bichão!C75, "")</f>
        <v/>
      </c>
      <c r="N74" t="str">
        <v/>
      </c>
      <c r="O74" t="str">
        <f>IF(Piratas!D76="Não",Piratas!C76, "")</f>
        <v>Breeches, the Blastmaker</v>
      </c>
    </row>
    <row r="75" spans="2:15" x14ac:dyDescent="0.25">
      <c r="B75" t="str">
        <v/>
      </c>
      <c r="C75" t="str">
        <f>IF(Baylen!D75="Não",Baylen!C75, "")</f>
        <v/>
      </c>
      <c r="F75" t="str">
        <v/>
      </c>
      <c r="G75" t="str">
        <f>IF(Tayam!D85="Não",Tayam!C85, "")</f>
        <v>Scholar of New Horizons</v>
      </c>
      <c r="J75" t="str">
        <v/>
      </c>
      <c r="K75" t="str">
        <f>IF(Bichão!D76="Não",Bichão!C76, "")</f>
        <v/>
      </c>
      <c r="N75" t="str">
        <v/>
      </c>
      <c r="O75" t="str">
        <f>IF(Piratas!D77="Não",Piratas!C77, "")</f>
        <v>Breeches, Brazen Plunderer</v>
      </c>
    </row>
    <row r="76" spans="2:15" x14ac:dyDescent="0.25">
      <c r="B76" t="str">
        <v/>
      </c>
      <c r="C76" t="str">
        <f>IF(Baylen!D76="Não",Baylen!C76, "")</f>
        <v/>
      </c>
      <c r="F76" t="str">
        <v/>
      </c>
      <c r="G76" t="str">
        <f>IF(Tayam!D86="Não",Tayam!C86, "")</f>
        <v>Hollowmurk Siege</v>
      </c>
      <c r="J76" t="str">
        <v/>
      </c>
      <c r="K76" t="str">
        <f>IF(Bichão!D77="Não",Bichão!C77, "")</f>
        <v/>
      </c>
      <c r="N76" t="str">
        <v/>
      </c>
      <c r="O76" t="str">
        <f>IF(Piratas!D78="Não",Piratas!C78, "")</f>
        <v>Coercive Recruiter</v>
      </c>
    </row>
    <row r="77" spans="2:15" x14ac:dyDescent="0.25">
      <c r="B77" t="str">
        <v/>
      </c>
      <c r="C77" t="str">
        <f>IF(Baylen!D77="Não",Baylen!C77, "")</f>
        <v/>
      </c>
      <c r="F77" t="str">
        <v/>
      </c>
      <c r="G77" t="str">
        <f>IF(Tayam!D70="Não",Tayam!C70, "")</f>
        <v>Abzan Falconer</v>
      </c>
      <c r="J77" t="str">
        <v/>
      </c>
      <c r="K77" t="str">
        <f>IF(Bichão!D78="Não",Bichão!C78, "")</f>
        <v/>
      </c>
      <c r="N77" t="str">
        <v/>
      </c>
      <c r="O77" t="str">
        <f>IF(Piratas!D79="Não",Piratas!C79, "")</f>
        <v>Lightning-Rig Crew</v>
      </c>
    </row>
    <row r="78" spans="2:15" x14ac:dyDescent="0.25">
      <c r="B78" t="str">
        <v/>
      </c>
      <c r="C78" t="str">
        <f>IF(Baylen!D78="Não",Baylen!C78, "")</f>
        <v>Farmer Cotton</v>
      </c>
      <c r="F78" t="str">
        <v/>
      </c>
      <c r="G78" t="str">
        <f>IF(Tayam!D71="Não",Tayam!C71, "")</f>
        <v/>
      </c>
      <c r="J78" t="str">
        <v/>
      </c>
      <c r="K78" t="str">
        <f>IF(Bichão!D79="Não",Bichão!C79, "")</f>
        <v/>
      </c>
      <c r="N78" t="str">
        <v/>
      </c>
      <c r="O78" t="str">
        <f>IF(Piratas!D80="Não",Piratas!C80, "")</f>
        <v>Amphin Mutineer</v>
      </c>
    </row>
    <row r="79" spans="2:15" x14ac:dyDescent="0.25">
      <c r="B79" t="str">
        <v/>
      </c>
      <c r="C79" t="str">
        <f>IF(Baylen!D79="Não",Baylen!C79, "")</f>
        <v>Champions from Beyond</v>
      </c>
      <c r="F79" t="str">
        <v/>
      </c>
      <c r="G79" t="str">
        <f>IF(Tayam!D72="Não",Tayam!C72, "")</f>
        <v>Thran Vigil</v>
      </c>
      <c r="J79" t="str">
        <v/>
      </c>
      <c r="K79" t="str">
        <f>IF(Bichão!D80="Não",Bichão!C80, "")</f>
        <v/>
      </c>
      <c r="N79" t="str">
        <v/>
      </c>
      <c r="O79" t="str">
        <f>IF(Piratas!D81="Não",Piratas!C81, "")</f>
        <v>Hedron Detonator</v>
      </c>
    </row>
    <row r="80" spans="2:15" x14ac:dyDescent="0.25">
      <c r="B80" t="str">
        <v/>
      </c>
      <c r="C80" t="str">
        <f>IF(Baylen!D81="Não",Baylen!C81, "")</f>
        <v/>
      </c>
      <c r="F80" t="str">
        <v/>
      </c>
      <c r="G80" t="str">
        <f>IF(Tayam!D73="Não",Tayam!C73, "")</f>
        <v>Patrolling Peacemaker</v>
      </c>
      <c r="J80" t="str">
        <v/>
      </c>
      <c r="K80" t="str">
        <f>IF(Bichão!D81="Não",Bichão!C81, "")</f>
        <v/>
      </c>
      <c r="N80" t="str">
        <v/>
      </c>
      <c r="O80" t="str">
        <f>IF(Piratas!D82="Não",Piratas!C82, "")</f>
        <v>Weftstalker Ardent</v>
      </c>
    </row>
    <row r="81" spans="2:15" x14ac:dyDescent="0.25">
      <c r="B81" t="str">
        <v/>
      </c>
      <c r="C81" t="str">
        <f>IF(Baylen!D58="Não",Baylen!C58, "")</f>
        <v>Exalted Sunborn</v>
      </c>
      <c r="F81" t="str">
        <v/>
      </c>
      <c r="G81" t="str">
        <f>IF(Tayam!D55="Não",Tayam!C55, "")</f>
        <v>Thunderous Velocipede</v>
      </c>
      <c r="J81" t="str">
        <v/>
      </c>
      <c r="K81" t="str">
        <f>IF(Bichão!D82="Não",Bichão!C82, "")</f>
        <v>Ulamog's Dreadsire</v>
      </c>
      <c r="N81" t="str">
        <v/>
      </c>
      <c r="O81" t="str">
        <f>IF(Piratas!D83="Não",Piratas!C83, "")</f>
        <v>Reckless Fireweaver</v>
      </c>
    </row>
    <row r="82" spans="2:15" x14ac:dyDescent="0.25">
      <c r="B82" t="str">
        <v/>
      </c>
      <c r="C82" t="str">
        <f>IF(Baylen!D82="Não",Baylen!C82, "")</f>
        <v>Boros Charm</v>
      </c>
      <c r="F82" t="str">
        <v/>
      </c>
      <c r="G82" t="str">
        <f>IF(Tayam!D56="Não",Tayam!C56, "")</f>
        <v>Sphere Grid</v>
      </c>
      <c r="J82" t="str">
        <v/>
      </c>
      <c r="K82" t="str">
        <f>IF(Bichão!D83="Não",Bichão!C83, "")</f>
        <v/>
      </c>
      <c r="N82" t="str">
        <v/>
      </c>
      <c r="O82" t="str">
        <f>IF(Piratas!D84="Não",Piratas!C84, "")</f>
        <v/>
      </c>
    </row>
    <row r="83" spans="2:15" x14ac:dyDescent="0.25">
      <c r="B83" t="str">
        <v/>
      </c>
      <c r="C83" t="str">
        <f>IF(Baylen!D83="Não",Baylen!C83, "")</f>
        <v>Teferi's Protection</v>
      </c>
      <c r="F83" t="str">
        <v/>
      </c>
      <c r="G83" t="str">
        <f>IF(Tayam!D57="Não",Tayam!C57, "")</f>
        <v>Tromell, Seymour's Butler</v>
      </c>
      <c r="J83" t="str">
        <v/>
      </c>
      <c r="K83" t="str">
        <f>IF(Bichão!D84="Não",Bichão!C84, "")</f>
        <v/>
      </c>
      <c r="N83" t="str">
        <v/>
      </c>
      <c r="O83" t="str">
        <f>IF(Piratas!D85="Não",Piratas!C85, "")</f>
        <v>Xorn</v>
      </c>
    </row>
    <row r="84" spans="2:15" x14ac:dyDescent="0.25">
      <c r="B84" t="str">
        <v/>
      </c>
      <c r="C84" t="str">
        <f>IF(Baylen!D84="Não",Baylen!C84, "")</f>
        <v/>
      </c>
      <c r="F84" t="str">
        <v/>
      </c>
      <c r="G84" t="str">
        <f>IF(Tayam!D58="Não",Tayam!C58, "")</f>
        <v/>
      </c>
      <c r="J84" t="str">
        <v/>
      </c>
      <c r="K84" t="str">
        <f>IF(Bichão!D85="Não",Bichão!C85, "")</f>
        <v/>
      </c>
      <c r="N84" t="str">
        <v/>
      </c>
      <c r="O84" t="str">
        <f>IF(Piratas!D86="Não",Piratas!C86, "")</f>
        <v/>
      </c>
    </row>
    <row r="85" spans="2:15" x14ac:dyDescent="0.25">
      <c r="B85" t="str">
        <v/>
      </c>
      <c r="C85" t="str">
        <f>IF(Baylen!D85="Não",Baylen!C85, "")</f>
        <v/>
      </c>
      <c r="F85" t="str">
        <v/>
      </c>
      <c r="G85" t="str">
        <f>IF(Tayam!D87="Não",Tayam!C87, "")</f>
        <v>Protection Magic</v>
      </c>
      <c r="J85" t="str">
        <v/>
      </c>
      <c r="K85" t="str">
        <f>IF(Bichão!D86="Não",Bichão!C86, "")</f>
        <v/>
      </c>
      <c r="N85" t="str">
        <v/>
      </c>
      <c r="O85" t="str">
        <f>IF(Piratas!D87="Não",Piratas!C87, "")</f>
        <v>Professional Face-Breaker</v>
      </c>
    </row>
    <row r="86" spans="2:15" x14ac:dyDescent="0.25">
      <c r="B86" t="str">
        <v/>
      </c>
      <c r="C86" t="str">
        <f>IF(Baylen!D86="Não",Baylen!C86, "")</f>
        <v>Lightning Greaves</v>
      </c>
      <c r="F86" t="str">
        <v/>
      </c>
      <c r="G86" t="str">
        <f>IF(Tayam!D88="Não",Tayam!C88, "")</f>
        <v>Dever Além da Morte</v>
      </c>
      <c r="J86" t="str">
        <v/>
      </c>
      <c r="K86" t="str">
        <f>IF(Bichão!D87="Não",Bichão!C87, "")</f>
        <v/>
      </c>
      <c r="N86" t="str">
        <v/>
      </c>
      <c r="O86" t="str">
        <f>IF(Piratas!D88="Não",Piratas!C88, "")</f>
        <v>Vaan, Street Thief</v>
      </c>
    </row>
    <row r="87" spans="2:15" x14ac:dyDescent="0.25">
      <c r="B87" t="str">
        <v/>
      </c>
      <c r="C87" t="str">
        <f>IF(Baylen!D87="Não",Baylen!C87, "")</f>
        <v>Virtue of Loyalty</v>
      </c>
      <c r="F87" t="str">
        <v/>
      </c>
      <c r="G87" t="str">
        <f>IF(Tayam!D89="Não",Tayam!C89, "")</f>
        <v>Inspiring Call</v>
      </c>
      <c r="J87" t="str">
        <v/>
      </c>
      <c r="K87" t="str">
        <f>IF(Bichão!D88="Não",Bichão!C88, "")</f>
        <v/>
      </c>
      <c r="N87" t="str">
        <v/>
      </c>
      <c r="O87" t="str">
        <f>IF(Piratas!D89="Não",Piratas!C89, "")</f>
        <v>Back in Town</v>
      </c>
    </row>
    <row r="88" spans="2:15" x14ac:dyDescent="0.25">
      <c r="B88" t="str">
        <v/>
      </c>
      <c r="C88" t="str">
        <f>IF(Baylen!D88="Não",Baylen!C88, "")</f>
        <v/>
      </c>
      <c r="F88" t="str">
        <v/>
      </c>
      <c r="G88" t="str">
        <f>IF(Tayam!D90="Não",Tayam!C90, "")</f>
        <v>Unbreakable Formation</v>
      </c>
      <c r="J88" t="str">
        <v/>
      </c>
      <c r="K88" t="str">
        <f>IF(Bichão!D89="Não",Bichão!C89, "")</f>
        <v>The Tenth Doctor</v>
      </c>
      <c r="N88" t="str">
        <v/>
      </c>
      <c r="O88" t="str">
        <f>IF(Piratas!D90="Não",Piratas!C90, "")</f>
        <v>Guild Artisan</v>
      </c>
    </row>
    <row r="89" spans="2:15" x14ac:dyDescent="0.25">
      <c r="B89" t="str">
        <v/>
      </c>
      <c r="C89" t="str">
        <f>IF(Baylen!D89="Não",Baylen!C89, "")</f>
        <v>Seedborn Muse</v>
      </c>
      <c r="F89" t="str">
        <v/>
      </c>
      <c r="G89" t="str">
        <f>IF(Tayam!D91="Não",Tayam!C91, "")</f>
        <v>Bulwark Ox</v>
      </c>
      <c r="J89" t="str">
        <v/>
      </c>
      <c r="K89" t="str">
        <f>IF(Bichão!D90="Não",Bichão!C90, "")</f>
        <v/>
      </c>
      <c r="N89" t="str">
        <v/>
      </c>
      <c r="O89" t="str">
        <f>IF(Piratas!D91="Não",Piratas!C91, "")</f>
        <v>Storm the Vault</v>
      </c>
    </row>
    <row r="90" spans="2:15" x14ac:dyDescent="0.25">
      <c r="B90" t="str">
        <v/>
      </c>
      <c r="C90" t="str">
        <f>IF(Baylen!D90="Não",Baylen!C90, "")</f>
        <v/>
      </c>
      <c r="F90" t="str">
        <v/>
      </c>
      <c r="G90" t="str">
        <f>IF(Tayam!D92="Não",Tayam!C92, "")</f>
        <v>Zack Fair</v>
      </c>
      <c r="J90" t="str">
        <v/>
      </c>
      <c r="K90" t="str">
        <f>IF(Bichão!D91="Não",Bichão!C91, "")</f>
        <v/>
      </c>
      <c r="N90" t="str">
        <v/>
      </c>
      <c r="O90" t="str">
        <f>IF(Piratas!D92="Não",Piratas!C92, "")</f>
        <v>Rain of Riches</v>
      </c>
    </row>
    <row r="91" spans="2:15" x14ac:dyDescent="0.25">
      <c r="B91" t="str">
        <v/>
      </c>
      <c r="C91" t="str">
        <f>IF(Baylen!D91="Não",Baylen!C91, "")</f>
        <v/>
      </c>
      <c r="F91" t="str">
        <v/>
      </c>
      <c r="G91" t="str">
        <f>IF(Tayam!D93="Não",Tayam!C93, "")</f>
        <v>Summon: Ixion</v>
      </c>
      <c r="J91" t="str">
        <v/>
      </c>
      <c r="K91" t="str">
        <f>IF(Bichão!D92="Não",Bichão!C92, "")</f>
        <v/>
      </c>
      <c r="N91" t="str">
        <v/>
      </c>
      <c r="O91" t="str">
        <f>IF(Piratas!D93="Não",Piratas!C93, "")</f>
        <v>Time Sieve</v>
      </c>
    </row>
    <row r="92" spans="2:15" x14ac:dyDescent="0.25">
      <c r="B92" t="str">
        <v/>
      </c>
      <c r="C92" t="str">
        <f>IF(Baylen!D92="Não",Baylen!C92, "")</f>
        <v/>
      </c>
      <c r="F92" t="str">
        <v/>
      </c>
      <c r="G92" t="str">
        <f>IF(Tayam!D94="Não",Tayam!C94, "")</f>
        <v>Cankerbloom</v>
      </c>
      <c r="J92" t="str">
        <v/>
      </c>
      <c r="K92" t="str">
        <f>IF(Bichão!D93="Não",Bichão!C93, "")</f>
        <v/>
      </c>
      <c r="N92" t="str">
        <v/>
      </c>
      <c r="O92" t="str">
        <f>IF(Piratas!D94="Não",Piratas!C94, "")</f>
        <v/>
      </c>
    </row>
    <row r="93" spans="2:15" x14ac:dyDescent="0.25">
      <c r="B93" t="str">
        <v/>
      </c>
      <c r="C93" t="str">
        <f>IF(Baylen!D93="Não",Baylen!C93, "")</f>
        <v>Elesh Norn</v>
      </c>
      <c r="F93" t="str">
        <v/>
      </c>
      <c r="G93" t="str">
        <f>IF(Tayam!D95="Não",Tayam!C95, "")</f>
        <v/>
      </c>
      <c r="J93" t="str">
        <v/>
      </c>
      <c r="K93" t="str">
        <f>IF(Bichão!D94="Não",Bichão!C94, "")</f>
        <v/>
      </c>
      <c r="N93" t="str">
        <v/>
      </c>
      <c r="O93" t="str">
        <f>IF(Piratas!D95="Não",Piratas!C95, "")</f>
        <v/>
      </c>
    </row>
    <row r="94" spans="2:15" x14ac:dyDescent="0.25">
      <c r="B94" t="str">
        <v/>
      </c>
      <c r="C94" t="str">
        <f>IF(Baylen!D94="Não",Baylen!C94, "")</f>
        <v>Aura Mutation</v>
      </c>
      <c r="F94" t="str">
        <v/>
      </c>
      <c r="G94" t="str">
        <f>IF(Tayam!D96="Não",Tayam!C96, "")</f>
        <v/>
      </c>
      <c r="J94" t="str">
        <v/>
      </c>
      <c r="K94" t="str">
        <f>IF(Bichão!D95="Não",Bichão!C95, "")</f>
        <v/>
      </c>
      <c r="N94" t="str">
        <v/>
      </c>
      <c r="O94" t="str">
        <f>IF(Piratas!D96="Não",Piratas!C96, "")</f>
        <v/>
      </c>
    </row>
    <row r="95" spans="2:15" x14ac:dyDescent="0.25">
      <c r="B95" t="str">
        <v/>
      </c>
      <c r="C95" t="str">
        <f>IF(Baylen!D95="Não",Baylen!C95, "")</f>
        <v>Artifact Mutation</v>
      </c>
      <c r="F95" t="str">
        <v/>
      </c>
      <c r="G95" t="str">
        <f>IF(Tayam!D97="Não",Tayam!C97, "")</f>
        <v/>
      </c>
      <c r="J95" t="str">
        <v/>
      </c>
      <c r="K95" t="str">
        <f>IF(Bichão!D96="Não",Bichão!C96, "")</f>
        <v/>
      </c>
      <c r="N95" t="str">
        <v/>
      </c>
      <c r="O95" t="str">
        <f>IF(Piratas!D97="Não",Piratas!C97, "")</f>
        <v>Invert Polarity</v>
      </c>
    </row>
    <row r="96" spans="2:15" x14ac:dyDescent="0.25">
      <c r="B96" t="str">
        <v/>
      </c>
      <c r="C96" t="str">
        <f>IF(Baylen!D96="Não",Baylen!C96, "")</f>
        <v/>
      </c>
      <c r="F96" t="str">
        <v/>
      </c>
      <c r="G96" t="str">
        <f>IF(Tayam!D98="Não",Tayam!C98, "")</f>
        <v/>
      </c>
      <c r="J96" t="str">
        <v/>
      </c>
      <c r="K96" t="str">
        <f>IF(Bichão!D97="Não",Bichão!C97, "")</f>
        <v/>
      </c>
      <c r="N96" t="str">
        <v/>
      </c>
      <c r="O96" t="str">
        <f>IF(Piratas!D98="Não",Piratas!C98, "")</f>
        <v>Walk the Plank</v>
      </c>
    </row>
    <row r="97" spans="2:15" x14ac:dyDescent="0.25">
      <c r="B97" t="str">
        <v/>
      </c>
      <c r="C97" t="str">
        <f>IF(Baylen!D97="Não",Baylen!C97, "")</f>
        <v>Generous Gift</v>
      </c>
      <c r="F97" t="str">
        <v/>
      </c>
      <c r="G97" t="str">
        <f>IF(Tayam!D99="Não",Tayam!C99, "")</f>
        <v>Retribution of the Ancients</v>
      </c>
      <c r="J97" t="str">
        <v/>
      </c>
      <c r="K97" t="str">
        <f>IF(Bichão!D98="Não",Bichão!C98, "")</f>
        <v>Inevitable Betrayal</v>
      </c>
      <c r="N97" t="str">
        <v/>
      </c>
      <c r="O97" t="str">
        <f>IF(Piratas!D99="Não",Piratas!C99, "")</f>
        <v>Go for the Throat</v>
      </c>
    </row>
    <row r="98" spans="2:15" x14ac:dyDescent="0.25">
      <c r="B98" t="str">
        <v/>
      </c>
      <c r="C98" t="str">
        <f>IF(Baylen!D98="Não",Baylen!C98, "")</f>
        <v/>
      </c>
      <c r="F98" t="str">
        <v/>
      </c>
      <c r="G98" t="str">
        <f>IF(Tayam!D45="Não",Tayam!C45, "")</f>
        <v/>
      </c>
      <c r="J98" t="str">
        <v/>
      </c>
      <c r="K98" t="str">
        <f>IF(Bichão!D99="Não",Bichão!C99, "")</f>
        <v/>
      </c>
      <c r="N98" t="str">
        <v/>
      </c>
      <c r="O98" t="str">
        <f>IF(Piratas!D100="Não",Piratas!C100, "")</f>
        <v>Deadeye Tracker</v>
      </c>
    </row>
    <row r="99" spans="2:15" x14ac:dyDescent="0.25">
      <c r="B99" t="str">
        <v/>
      </c>
      <c r="C99" t="str">
        <f>IF(Baylen!D99="Não",Baylen!C99, "")</f>
        <v/>
      </c>
      <c r="F99" t="str">
        <v/>
      </c>
      <c r="G99" t="str">
        <f>IF(Tayam!D100="Não",Tayam!C100, "")</f>
        <v/>
      </c>
      <c r="J99" t="str">
        <v/>
      </c>
      <c r="K99" t="str">
        <f>IF(Bichão!D100="Não",Bichão!C100, "")</f>
        <v/>
      </c>
      <c r="N99" t="str">
        <v/>
      </c>
      <c r="O99" t="str">
        <f>IF(Piratas!D101="Não",Piratas!C101, "")</f>
        <v>Shoot the Sheriff</v>
      </c>
    </row>
    <row r="100" spans="2:15" x14ac:dyDescent="0.25">
      <c r="B100" t="str">
        <v/>
      </c>
      <c r="C100" t="str">
        <f>IF(Baylen!D100="Não",Baylen!C100, "")</f>
        <v/>
      </c>
      <c r="F100" t="str">
        <v/>
      </c>
      <c r="G100" t="str">
        <f>IF(Tayam!D101="Não",Tayam!C101, "")</f>
        <v>Syr Vondam, Sunstar Exemplar</v>
      </c>
      <c r="J100" t="str">
        <v/>
      </c>
      <c r="K100" t="str">
        <f>IF(Bichão!D101="Não",Bichão!C101, "")</f>
        <v/>
      </c>
      <c r="N100" t="str">
        <v/>
      </c>
      <c r="O100" t="str">
        <f>IF(Piratas!D102="Não",Piratas!C102, "")</f>
        <v>Hostage Taker</v>
      </c>
    </row>
    <row r="101" spans="2:15" x14ac:dyDescent="0.25">
      <c r="B101" t="str">
        <v/>
      </c>
      <c r="C101" t="str">
        <f>IF(Baylen!D101="Não",Baylen!C101, "")</f>
        <v/>
      </c>
      <c r="F101" t="str">
        <v/>
      </c>
      <c r="G101" t="str">
        <f>IF(Tayam!D102="Não",Tayam!C102, "")</f>
        <v/>
      </c>
      <c r="J101" t="str">
        <v/>
      </c>
      <c r="K101" t="str">
        <f>IF(Bichão!D102="Não",Bichão!C102, "")</f>
        <v/>
      </c>
      <c r="N101" t="str">
        <v/>
      </c>
      <c r="O101" t="str">
        <f>IF(Piratas!D103="Não",Piratas!C103, "")</f>
        <v/>
      </c>
    </row>
    <row r="102" spans="2:15" x14ac:dyDescent="0.25">
      <c r="C102" t="str">
        <f>IF(Baylen!D103="Não",Baylen!C103, "")</f>
        <v/>
      </c>
    </row>
    <row r="103" spans="2:15" x14ac:dyDescent="0.25">
      <c r="C103" t="str">
        <f>IF(Inalla!D103="Não",Inalla!C103, "")</f>
        <v/>
      </c>
    </row>
  </sheetData>
  <mergeCells count="4">
    <mergeCell ref="A1:C2"/>
    <mergeCell ref="E1:G2"/>
    <mergeCell ref="I1:K2"/>
    <mergeCell ref="M1:O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8DBD8-D14A-4713-8E05-F678CCB4D54C}">
  <dimension ref="A1:H102"/>
  <sheetViews>
    <sheetView workbookViewId="0">
      <selection activeCell="C4" sqref="C4"/>
    </sheetView>
  </sheetViews>
  <sheetFormatPr defaultRowHeight="15" x14ac:dyDescent="0.25"/>
  <cols>
    <col min="1" max="1" width="13.7109375" style="5" bestFit="1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8" ht="21" x14ac:dyDescent="0.25">
      <c r="A1" s="28" t="s">
        <v>1997</v>
      </c>
      <c r="B1" s="28"/>
      <c r="C1" s="28"/>
      <c r="D1" s="28"/>
      <c r="E1" s="28"/>
      <c r="F1" s="28"/>
      <c r="G1" s="28"/>
    </row>
    <row r="2" spans="1:8" x14ac:dyDescent="0.25">
      <c r="A2" s="4" t="s">
        <v>34</v>
      </c>
      <c r="B2" s="4" t="s">
        <v>35</v>
      </c>
      <c r="C2" s="4" t="s">
        <v>36</v>
      </c>
      <c r="D2" s="4" t="s">
        <v>37</v>
      </c>
    </row>
    <row r="3" spans="1:8" x14ac:dyDescent="0.25">
      <c r="A3" s="5" t="s">
        <v>2067</v>
      </c>
      <c r="B3" s="5" t="s">
        <v>2088</v>
      </c>
      <c r="C3" s="5" t="s">
        <v>2088</v>
      </c>
      <c r="D3" t="str">
        <f t="shared" ref="D3:D4" si="0">IF(B3=C3, "Sim", "Não")</f>
        <v>Sim</v>
      </c>
    </row>
    <row r="4" spans="1:8" x14ac:dyDescent="0.25">
      <c r="A4" s="5" t="s">
        <v>2067</v>
      </c>
      <c r="B4" s="4"/>
      <c r="C4" s="5" t="s">
        <v>2089</v>
      </c>
      <c r="D4" t="str">
        <f t="shared" si="0"/>
        <v>Não</v>
      </c>
    </row>
    <row r="5" spans="1:8" x14ac:dyDescent="0.25">
      <c r="A5" t="s">
        <v>38</v>
      </c>
      <c r="C5" t="s">
        <v>145</v>
      </c>
      <c r="D5" t="str">
        <f>IF(B5=C5, "Sim", "Não")</f>
        <v>Não</v>
      </c>
      <c r="F5" s="4" t="s">
        <v>39</v>
      </c>
      <c r="G5" s="3">
        <f>COUNTIF(D5:D106,"Não")</f>
        <v>71</v>
      </c>
    </row>
    <row r="6" spans="1:8" x14ac:dyDescent="0.25">
      <c r="A6" t="s">
        <v>38</v>
      </c>
      <c r="C6" t="s">
        <v>891</v>
      </c>
      <c r="D6" t="str">
        <f t="shared" ref="D6:D69" si="1">IF(B6=C6, "Sim", "Não")</f>
        <v>Não</v>
      </c>
      <c r="F6" s="4" t="s">
        <v>40</v>
      </c>
      <c r="G6" s="3">
        <f>SUM(G9:G27)</f>
        <v>98</v>
      </c>
    </row>
    <row r="7" spans="1:8" x14ac:dyDescent="0.25">
      <c r="A7" t="s">
        <v>38</v>
      </c>
      <c r="C7" t="s">
        <v>74</v>
      </c>
      <c r="D7" t="str">
        <f t="shared" si="1"/>
        <v>Não</v>
      </c>
    </row>
    <row r="8" spans="1:8" x14ac:dyDescent="0.25">
      <c r="A8" t="s">
        <v>38</v>
      </c>
      <c r="C8" t="s">
        <v>2043</v>
      </c>
      <c r="D8" t="str">
        <f t="shared" si="1"/>
        <v>Não</v>
      </c>
      <c r="F8" s="6" t="s">
        <v>42</v>
      </c>
      <c r="G8" s="1"/>
    </row>
    <row r="9" spans="1:8" x14ac:dyDescent="0.25">
      <c r="A9" t="s">
        <v>38</v>
      </c>
      <c r="C9" t="s">
        <v>63</v>
      </c>
      <c r="D9" t="str">
        <f t="shared" si="1"/>
        <v>Não</v>
      </c>
      <c r="F9" s="7" t="s">
        <v>38</v>
      </c>
      <c r="G9" s="2">
        <f t="shared" ref="G9:G18" si="2">COUNTIF(A:A,F9)</f>
        <v>37</v>
      </c>
    </row>
    <row r="10" spans="1:8" x14ac:dyDescent="0.25">
      <c r="A10" t="s">
        <v>38</v>
      </c>
      <c r="C10" t="s">
        <v>2044</v>
      </c>
      <c r="D10" t="str">
        <f t="shared" si="1"/>
        <v>Não</v>
      </c>
      <c r="F10" s="7" t="s">
        <v>2027</v>
      </c>
      <c r="G10" s="2">
        <f t="shared" si="2"/>
        <v>11</v>
      </c>
      <c r="H10" t="s">
        <v>45</v>
      </c>
    </row>
    <row r="11" spans="1:8" x14ac:dyDescent="0.25">
      <c r="A11" t="s">
        <v>38</v>
      </c>
      <c r="C11" t="s">
        <v>1883</v>
      </c>
      <c r="D11" t="str">
        <f t="shared" si="1"/>
        <v>Não</v>
      </c>
      <c r="F11" s="7" t="s">
        <v>1996</v>
      </c>
      <c r="G11" s="2">
        <f t="shared" si="2"/>
        <v>2</v>
      </c>
      <c r="H11" t="s">
        <v>2029</v>
      </c>
    </row>
    <row r="12" spans="1:8" x14ac:dyDescent="0.25">
      <c r="A12" t="s">
        <v>38</v>
      </c>
      <c r="C12" t="s">
        <v>72</v>
      </c>
      <c r="D12" t="str">
        <f t="shared" si="1"/>
        <v>Não</v>
      </c>
      <c r="F12" s="7" t="s">
        <v>2028</v>
      </c>
      <c r="G12" s="2">
        <f t="shared" si="2"/>
        <v>14</v>
      </c>
      <c r="H12" t="s">
        <v>2050</v>
      </c>
    </row>
    <row r="13" spans="1:8" x14ac:dyDescent="0.25">
      <c r="A13" t="s">
        <v>38</v>
      </c>
      <c r="C13" t="s">
        <v>43</v>
      </c>
      <c r="D13" t="str">
        <f t="shared" si="1"/>
        <v>Não</v>
      </c>
      <c r="F13" s="7" t="s">
        <v>2047</v>
      </c>
      <c r="G13" s="2">
        <f t="shared" si="2"/>
        <v>4</v>
      </c>
      <c r="H13" t="s">
        <v>202</v>
      </c>
    </row>
    <row r="14" spans="1:8" x14ac:dyDescent="0.25">
      <c r="A14" t="s">
        <v>38</v>
      </c>
      <c r="C14" t="s">
        <v>483</v>
      </c>
      <c r="D14" t="str">
        <f t="shared" si="1"/>
        <v>Não</v>
      </c>
      <c r="F14" s="7" t="s">
        <v>2052</v>
      </c>
      <c r="G14" s="2">
        <f t="shared" si="2"/>
        <v>8</v>
      </c>
      <c r="H14" t="s">
        <v>2051</v>
      </c>
    </row>
    <row r="15" spans="1:8" x14ac:dyDescent="0.25">
      <c r="A15" t="s">
        <v>38</v>
      </c>
      <c r="B15" t="s">
        <v>630</v>
      </c>
      <c r="C15" t="s">
        <v>630</v>
      </c>
      <c r="D15" t="str">
        <f t="shared" si="1"/>
        <v>Sim</v>
      </c>
      <c r="F15" s="7" t="s">
        <v>2045</v>
      </c>
      <c r="G15" s="2">
        <f t="shared" si="2"/>
        <v>4</v>
      </c>
      <c r="H15" t="s">
        <v>2048</v>
      </c>
    </row>
    <row r="16" spans="1:8" x14ac:dyDescent="0.25">
      <c r="A16" t="s">
        <v>38</v>
      </c>
      <c r="C16" t="s">
        <v>2058</v>
      </c>
      <c r="D16" t="str">
        <f t="shared" si="1"/>
        <v>Não</v>
      </c>
      <c r="F16" s="7" t="s">
        <v>2032</v>
      </c>
      <c r="G16" s="2">
        <f t="shared" si="2"/>
        <v>4</v>
      </c>
      <c r="H16" t="s">
        <v>2049</v>
      </c>
    </row>
    <row r="17" spans="1:8" x14ac:dyDescent="0.25">
      <c r="A17" t="s">
        <v>38</v>
      </c>
      <c r="C17" t="s">
        <v>2059</v>
      </c>
      <c r="D17" t="str">
        <f t="shared" si="1"/>
        <v>Não</v>
      </c>
      <c r="F17" s="7" t="s">
        <v>2031</v>
      </c>
      <c r="G17" s="2">
        <f t="shared" si="2"/>
        <v>8</v>
      </c>
      <c r="H17" t="s">
        <v>156</v>
      </c>
    </row>
    <row r="18" spans="1:8" x14ac:dyDescent="0.25">
      <c r="A18" t="s">
        <v>38</v>
      </c>
      <c r="C18" t="s">
        <v>358</v>
      </c>
      <c r="D18" t="str">
        <f t="shared" si="1"/>
        <v>Não</v>
      </c>
      <c r="F18" s="3" t="s">
        <v>2030</v>
      </c>
      <c r="G18" s="2">
        <f t="shared" si="2"/>
        <v>6</v>
      </c>
      <c r="H18" t="s">
        <v>46</v>
      </c>
    </row>
    <row r="19" spans="1:8" x14ac:dyDescent="0.25">
      <c r="A19" t="s">
        <v>38</v>
      </c>
      <c r="C19" t="s">
        <v>1018</v>
      </c>
      <c r="D19" t="str">
        <f t="shared" si="1"/>
        <v>Não</v>
      </c>
    </row>
    <row r="20" spans="1:8" x14ac:dyDescent="0.25">
      <c r="A20" t="s">
        <v>38</v>
      </c>
      <c r="C20" t="s">
        <v>1306</v>
      </c>
      <c r="D20" t="str">
        <f t="shared" si="1"/>
        <v>Não</v>
      </c>
    </row>
    <row r="21" spans="1:8" x14ac:dyDescent="0.25">
      <c r="A21" t="s">
        <v>38</v>
      </c>
      <c r="C21" t="s">
        <v>1308</v>
      </c>
      <c r="D21" t="str">
        <f t="shared" si="1"/>
        <v>Não</v>
      </c>
    </row>
    <row r="22" spans="1:8" x14ac:dyDescent="0.25">
      <c r="A22" t="s">
        <v>38</v>
      </c>
      <c r="B22" t="s">
        <v>628</v>
      </c>
      <c r="C22" t="s">
        <v>628</v>
      </c>
      <c r="D22" t="str">
        <f t="shared" si="1"/>
        <v>Sim</v>
      </c>
    </row>
    <row r="23" spans="1:8" x14ac:dyDescent="0.25">
      <c r="A23" t="s">
        <v>38</v>
      </c>
      <c r="C23" t="s">
        <v>155</v>
      </c>
      <c r="D23" t="str">
        <f t="shared" si="1"/>
        <v>Não</v>
      </c>
    </row>
    <row r="24" spans="1:8" x14ac:dyDescent="0.25">
      <c r="A24" t="s">
        <v>38</v>
      </c>
      <c r="C24" t="s">
        <v>68</v>
      </c>
      <c r="D24" t="str">
        <f t="shared" si="1"/>
        <v>Não</v>
      </c>
    </row>
    <row r="25" spans="1:8" x14ac:dyDescent="0.25">
      <c r="A25" t="s">
        <v>38</v>
      </c>
      <c r="B25" t="s">
        <v>89</v>
      </c>
      <c r="C25" t="s">
        <v>89</v>
      </c>
      <c r="D25" t="str">
        <f t="shared" si="1"/>
        <v>Sim</v>
      </c>
    </row>
    <row r="26" spans="1:8" x14ac:dyDescent="0.25">
      <c r="A26" t="s">
        <v>38</v>
      </c>
      <c r="B26" t="s">
        <v>89</v>
      </c>
      <c r="C26" t="s">
        <v>89</v>
      </c>
      <c r="D26" t="str">
        <f t="shared" si="1"/>
        <v>Sim</v>
      </c>
    </row>
    <row r="27" spans="1:8" x14ac:dyDescent="0.25">
      <c r="A27" t="s">
        <v>38</v>
      </c>
      <c r="B27" t="s">
        <v>89</v>
      </c>
      <c r="C27" t="s">
        <v>89</v>
      </c>
      <c r="D27" t="str">
        <f t="shared" si="1"/>
        <v>Sim</v>
      </c>
    </row>
    <row r="28" spans="1:8" x14ac:dyDescent="0.25">
      <c r="A28" t="s">
        <v>38</v>
      </c>
      <c r="B28" t="s">
        <v>89</v>
      </c>
      <c r="C28" t="s">
        <v>89</v>
      </c>
      <c r="D28" t="str">
        <f t="shared" si="1"/>
        <v>Sim</v>
      </c>
    </row>
    <row r="29" spans="1:8" x14ac:dyDescent="0.25">
      <c r="A29" t="s">
        <v>38</v>
      </c>
      <c r="B29" t="s">
        <v>89</v>
      </c>
      <c r="C29" t="s">
        <v>89</v>
      </c>
      <c r="D29" t="str">
        <f t="shared" si="1"/>
        <v>Sim</v>
      </c>
    </row>
    <row r="30" spans="1:8" x14ac:dyDescent="0.25">
      <c r="A30" t="s">
        <v>38</v>
      </c>
      <c r="B30" t="s">
        <v>89</v>
      </c>
      <c r="C30" t="s">
        <v>89</v>
      </c>
      <c r="D30" t="str">
        <f t="shared" si="1"/>
        <v>Sim</v>
      </c>
    </row>
    <row r="31" spans="1:8" x14ac:dyDescent="0.25">
      <c r="A31" t="s">
        <v>38</v>
      </c>
      <c r="B31" t="s">
        <v>90</v>
      </c>
      <c r="C31" t="s">
        <v>90</v>
      </c>
      <c r="D31" t="str">
        <f t="shared" si="1"/>
        <v>Sim</v>
      </c>
    </row>
    <row r="32" spans="1:8" x14ac:dyDescent="0.25">
      <c r="A32" t="s">
        <v>38</v>
      </c>
      <c r="B32" t="s">
        <v>90</v>
      </c>
      <c r="C32" t="s">
        <v>90</v>
      </c>
      <c r="D32" t="str">
        <f t="shared" si="1"/>
        <v>Sim</v>
      </c>
    </row>
    <row r="33" spans="1:4" x14ac:dyDescent="0.25">
      <c r="A33" t="s">
        <v>38</v>
      </c>
      <c r="B33" t="s">
        <v>90</v>
      </c>
      <c r="C33" t="s">
        <v>90</v>
      </c>
      <c r="D33" t="str">
        <f t="shared" si="1"/>
        <v>Sim</v>
      </c>
    </row>
    <row r="34" spans="1:4" x14ac:dyDescent="0.25">
      <c r="A34" t="s">
        <v>38</v>
      </c>
      <c r="B34" t="s">
        <v>90</v>
      </c>
      <c r="C34" t="s">
        <v>90</v>
      </c>
      <c r="D34" t="str">
        <f t="shared" si="1"/>
        <v>Sim</v>
      </c>
    </row>
    <row r="35" spans="1:4" x14ac:dyDescent="0.25">
      <c r="A35" t="s">
        <v>38</v>
      </c>
      <c r="B35" t="s">
        <v>90</v>
      </c>
      <c r="C35" t="s">
        <v>90</v>
      </c>
      <c r="D35" t="str">
        <f t="shared" si="1"/>
        <v>Sim</v>
      </c>
    </row>
    <row r="36" spans="1:4" x14ac:dyDescent="0.25">
      <c r="A36" t="s">
        <v>38</v>
      </c>
      <c r="B36" t="s">
        <v>158</v>
      </c>
      <c r="C36" t="s">
        <v>158</v>
      </c>
      <c r="D36" t="str">
        <f t="shared" si="1"/>
        <v>Sim</v>
      </c>
    </row>
    <row r="37" spans="1:4" x14ac:dyDescent="0.25">
      <c r="A37" t="s">
        <v>38</v>
      </c>
      <c r="B37" t="s">
        <v>158</v>
      </c>
      <c r="C37" t="s">
        <v>158</v>
      </c>
      <c r="D37" t="str">
        <f t="shared" si="1"/>
        <v>Sim</v>
      </c>
    </row>
    <row r="38" spans="1:4" x14ac:dyDescent="0.25">
      <c r="A38" t="s">
        <v>38</v>
      </c>
      <c r="B38" t="s">
        <v>158</v>
      </c>
      <c r="C38" t="s">
        <v>158</v>
      </c>
      <c r="D38" t="str">
        <f t="shared" si="1"/>
        <v>Sim</v>
      </c>
    </row>
    <row r="39" spans="1:4" x14ac:dyDescent="0.25">
      <c r="A39" t="s">
        <v>38</v>
      </c>
      <c r="B39" t="s">
        <v>158</v>
      </c>
      <c r="C39" t="s">
        <v>158</v>
      </c>
      <c r="D39" t="str">
        <f t="shared" si="1"/>
        <v>Sim</v>
      </c>
    </row>
    <row r="40" spans="1:4" x14ac:dyDescent="0.25">
      <c r="A40" t="s">
        <v>38</v>
      </c>
      <c r="B40" t="s">
        <v>158</v>
      </c>
      <c r="C40" t="s">
        <v>158</v>
      </c>
      <c r="D40" t="str">
        <f t="shared" si="1"/>
        <v>Sim</v>
      </c>
    </row>
    <row r="41" spans="1:4" x14ac:dyDescent="0.25">
      <c r="A41" t="s">
        <v>38</v>
      </c>
      <c r="B41" t="s">
        <v>158</v>
      </c>
      <c r="C41" t="s">
        <v>158</v>
      </c>
      <c r="D41" t="str">
        <f t="shared" si="1"/>
        <v>Sim</v>
      </c>
    </row>
    <row r="42" spans="1:4" x14ac:dyDescent="0.25">
      <c r="A42" t="s">
        <v>2027</v>
      </c>
      <c r="B42" t="s">
        <v>1194</v>
      </c>
      <c r="C42" t="s">
        <v>1194</v>
      </c>
      <c r="D42" t="str">
        <f t="shared" si="1"/>
        <v>Sim</v>
      </c>
    </row>
    <row r="43" spans="1:4" x14ac:dyDescent="0.25">
      <c r="A43" t="s">
        <v>2027</v>
      </c>
      <c r="B43" t="s">
        <v>2077</v>
      </c>
      <c r="C43" t="s">
        <v>2037</v>
      </c>
      <c r="D43" t="str">
        <f t="shared" si="1"/>
        <v>Não</v>
      </c>
    </row>
    <row r="44" spans="1:4" x14ac:dyDescent="0.25">
      <c r="A44" t="s">
        <v>2027</v>
      </c>
      <c r="C44" t="s">
        <v>580</v>
      </c>
      <c r="D44" t="str">
        <f t="shared" si="1"/>
        <v>Não</v>
      </c>
    </row>
    <row r="45" spans="1:4" x14ac:dyDescent="0.25">
      <c r="A45" t="s">
        <v>2027</v>
      </c>
      <c r="C45" t="s">
        <v>2038</v>
      </c>
      <c r="D45" t="str">
        <f t="shared" si="1"/>
        <v>Não</v>
      </c>
    </row>
    <row r="46" spans="1:4" x14ac:dyDescent="0.25">
      <c r="A46" t="s">
        <v>2027</v>
      </c>
      <c r="C46" t="s">
        <v>2040</v>
      </c>
      <c r="D46" t="str">
        <f t="shared" si="1"/>
        <v>Não</v>
      </c>
    </row>
    <row r="47" spans="1:4" x14ac:dyDescent="0.25">
      <c r="A47" t="s">
        <v>2027</v>
      </c>
      <c r="C47" t="s">
        <v>1922</v>
      </c>
      <c r="D47" t="str">
        <f t="shared" si="1"/>
        <v>Não</v>
      </c>
    </row>
    <row r="48" spans="1:4" x14ac:dyDescent="0.25">
      <c r="A48" t="s">
        <v>2027</v>
      </c>
      <c r="C48" t="s">
        <v>2055</v>
      </c>
      <c r="D48" t="str">
        <f t="shared" si="1"/>
        <v>Não</v>
      </c>
    </row>
    <row r="49" spans="1:6" x14ac:dyDescent="0.25">
      <c r="A49" t="s">
        <v>2027</v>
      </c>
      <c r="C49" t="s">
        <v>2004</v>
      </c>
      <c r="D49" t="str">
        <f t="shared" si="1"/>
        <v>Não</v>
      </c>
    </row>
    <row r="50" spans="1:6" x14ac:dyDescent="0.25">
      <c r="A50" t="s">
        <v>2027</v>
      </c>
      <c r="B50" t="s">
        <v>2086</v>
      </c>
      <c r="C50" t="s">
        <v>2086</v>
      </c>
      <c r="D50" t="str">
        <f t="shared" si="1"/>
        <v>Sim</v>
      </c>
    </row>
    <row r="51" spans="1:6" x14ac:dyDescent="0.25">
      <c r="A51" t="s">
        <v>2027</v>
      </c>
      <c r="C51" t="s">
        <v>2053</v>
      </c>
      <c r="D51" t="str">
        <f t="shared" si="1"/>
        <v>Não</v>
      </c>
    </row>
    <row r="52" spans="1:6" x14ac:dyDescent="0.25">
      <c r="A52" t="s">
        <v>2027</v>
      </c>
      <c r="C52" t="s">
        <v>168</v>
      </c>
      <c r="D52" t="str">
        <f t="shared" si="1"/>
        <v>Não</v>
      </c>
    </row>
    <row r="53" spans="1:6" x14ac:dyDescent="0.25">
      <c r="A53" t="s">
        <v>1996</v>
      </c>
      <c r="C53" t="s">
        <v>1636</v>
      </c>
      <c r="D53" t="str">
        <f t="shared" si="1"/>
        <v>Não</v>
      </c>
    </row>
    <row r="54" spans="1:6" x14ac:dyDescent="0.25">
      <c r="A54" t="s">
        <v>1996</v>
      </c>
      <c r="C54" t="s">
        <v>2039</v>
      </c>
      <c r="D54" t="str">
        <f t="shared" si="1"/>
        <v>Não</v>
      </c>
    </row>
    <row r="55" spans="1:6" x14ac:dyDescent="0.25">
      <c r="A55" t="s">
        <v>2028</v>
      </c>
      <c r="B55" t="s">
        <v>2000</v>
      </c>
      <c r="C55" t="s">
        <v>2000</v>
      </c>
      <c r="D55" t="str">
        <f t="shared" si="1"/>
        <v>Sim</v>
      </c>
      <c r="F55"/>
    </row>
    <row r="56" spans="1:6" x14ac:dyDescent="0.25">
      <c r="A56" t="s">
        <v>2028</v>
      </c>
      <c r="C56" t="s">
        <v>2017</v>
      </c>
      <c r="D56" t="str">
        <f t="shared" si="1"/>
        <v>Não</v>
      </c>
      <c r="F56"/>
    </row>
    <row r="57" spans="1:6" x14ac:dyDescent="0.25">
      <c r="A57" t="s">
        <v>2028</v>
      </c>
      <c r="C57" t="s">
        <v>1024</v>
      </c>
      <c r="D57" t="str">
        <f t="shared" si="1"/>
        <v>Não</v>
      </c>
      <c r="F57"/>
    </row>
    <row r="58" spans="1:6" x14ac:dyDescent="0.25">
      <c r="A58" t="s">
        <v>2028</v>
      </c>
      <c r="C58" t="s">
        <v>1027</v>
      </c>
      <c r="D58" t="str">
        <f t="shared" si="1"/>
        <v>Não</v>
      </c>
      <c r="F58"/>
    </row>
    <row r="59" spans="1:6" x14ac:dyDescent="0.25">
      <c r="A59" t="s">
        <v>2028</v>
      </c>
      <c r="C59" t="s">
        <v>2021</v>
      </c>
      <c r="D59" t="str">
        <f t="shared" si="1"/>
        <v>Não</v>
      </c>
      <c r="F59"/>
    </row>
    <row r="60" spans="1:6" x14ac:dyDescent="0.25">
      <c r="A60" t="s">
        <v>2028</v>
      </c>
      <c r="C60" t="s">
        <v>2013</v>
      </c>
      <c r="D60" t="str">
        <f t="shared" si="1"/>
        <v>Não</v>
      </c>
      <c r="F60"/>
    </row>
    <row r="61" spans="1:6" x14ac:dyDescent="0.25">
      <c r="A61" t="s">
        <v>2028</v>
      </c>
      <c r="C61" t="s">
        <v>2046</v>
      </c>
      <c r="D61" t="str">
        <f t="shared" si="1"/>
        <v>Não</v>
      </c>
      <c r="F61"/>
    </row>
    <row r="62" spans="1:6" x14ac:dyDescent="0.25">
      <c r="A62" t="s">
        <v>2028</v>
      </c>
      <c r="C62" t="s">
        <v>2005</v>
      </c>
      <c r="D62" t="str">
        <f t="shared" si="1"/>
        <v>Não</v>
      </c>
      <c r="F62"/>
    </row>
    <row r="63" spans="1:6" x14ac:dyDescent="0.25">
      <c r="A63" t="s">
        <v>2028</v>
      </c>
      <c r="C63" t="s">
        <v>2022</v>
      </c>
      <c r="D63" t="str">
        <f t="shared" si="1"/>
        <v>Não</v>
      </c>
      <c r="F63"/>
    </row>
    <row r="64" spans="1:6" x14ac:dyDescent="0.25">
      <c r="A64" t="s">
        <v>2028</v>
      </c>
      <c r="C64" t="s">
        <v>2001</v>
      </c>
      <c r="D64" t="str">
        <f t="shared" si="1"/>
        <v>Não</v>
      </c>
      <c r="F64"/>
    </row>
    <row r="65" spans="1:6" x14ac:dyDescent="0.25">
      <c r="A65" t="s">
        <v>2028</v>
      </c>
      <c r="C65" t="s">
        <v>2010</v>
      </c>
      <c r="D65" t="str">
        <f t="shared" si="1"/>
        <v>Não</v>
      </c>
      <c r="F65"/>
    </row>
    <row r="66" spans="1:6" x14ac:dyDescent="0.25">
      <c r="A66" t="s">
        <v>2028</v>
      </c>
      <c r="C66" t="s">
        <v>2025</v>
      </c>
      <c r="D66" t="str">
        <f t="shared" si="1"/>
        <v>Não</v>
      </c>
      <c r="F66"/>
    </row>
    <row r="67" spans="1:6" x14ac:dyDescent="0.25">
      <c r="A67" t="s">
        <v>2028</v>
      </c>
      <c r="C67" t="s">
        <v>2024</v>
      </c>
      <c r="D67" t="str">
        <f t="shared" si="1"/>
        <v>Não</v>
      </c>
      <c r="F67"/>
    </row>
    <row r="68" spans="1:6" x14ac:dyDescent="0.25">
      <c r="A68" t="s">
        <v>2028</v>
      </c>
      <c r="C68" t="s">
        <v>2033</v>
      </c>
      <c r="D68" t="str">
        <f t="shared" si="1"/>
        <v>Não</v>
      </c>
      <c r="F68"/>
    </row>
    <row r="69" spans="1:6" x14ac:dyDescent="0.25">
      <c r="A69" t="s">
        <v>2047</v>
      </c>
      <c r="C69" t="s">
        <v>2014</v>
      </c>
      <c r="D69" t="str">
        <f t="shared" si="1"/>
        <v>Não</v>
      </c>
      <c r="F69"/>
    </row>
    <row r="70" spans="1:6" x14ac:dyDescent="0.25">
      <c r="A70" t="s">
        <v>2047</v>
      </c>
      <c r="C70" t="s">
        <v>2023</v>
      </c>
      <c r="D70" t="str">
        <f t="shared" ref="D70:D102" si="3">IF(B70=C70, "Sim", "Não")</f>
        <v>Não</v>
      </c>
      <c r="F70"/>
    </row>
    <row r="71" spans="1:6" x14ac:dyDescent="0.25">
      <c r="A71" t="s">
        <v>2047</v>
      </c>
      <c r="C71" t="s">
        <v>2011</v>
      </c>
      <c r="D71" t="str">
        <f t="shared" si="3"/>
        <v>Não</v>
      </c>
      <c r="F71"/>
    </row>
    <row r="72" spans="1:6" x14ac:dyDescent="0.25">
      <c r="A72" t="s">
        <v>2047</v>
      </c>
      <c r="C72" t="s">
        <v>2015</v>
      </c>
      <c r="D72" t="str">
        <f t="shared" si="3"/>
        <v>Não</v>
      </c>
      <c r="F72"/>
    </row>
    <row r="73" spans="1:6" x14ac:dyDescent="0.25">
      <c r="A73" t="s">
        <v>2052</v>
      </c>
      <c r="C73" t="s">
        <v>2018</v>
      </c>
      <c r="D73" t="str">
        <f t="shared" si="3"/>
        <v>Não</v>
      </c>
      <c r="F73"/>
    </row>
    <row r="74" spans="1:6" x14ac:dyDescent="0.25">
      <c r="A74" t="s">
        <v>2052</v>
      </c>
      <c r="C74" t="s">
        <v>2009</v>
      </c>
      <c r="D74" t="str">
        <f t="shared" si="3"/>
        <v>Não</v>
      </c>
      <c r="F74"/>
    </row>
    <row r="75" spans="1:6" x14ac:dyDescent="0.25">
      <c r="A75" t="s">
        <v>2052</v>
      </c>
      <c r="C75" t="s">
        <v>2002</v>
      </c>
      <c r="D75" t="str">
        <f t="shared" si="3"/>
        <v>Não</v>
      </c>
      <c r="F75"/>
    </row>
    <row r="76" spans="1:6" x14ac:dyDescent="0.25">
      <c r="A76" t="s">
        <v>2052</v>
      </c>
      <c r="C76" t="s">
        <v>2020</v>
      </c>
      <c r="D76" t="str">
        <f t="shared" si="3"/>
        <v>Não</v>
      </c>
      <c r="F76"/>
    </row>
    <row r="77" spans="1:6" x14ac:dyDescent="0.25">
      <c r="A77" t="s">
        <v>2052</v>
      </c>
      <c r="C77" t="s">
        <v>2006</v>
      </c>
      <c r="D77" t="str">
        <f>IF(B77=C77, "Sim", "Não")</f>
        <v>Não</v>
      </c>
      <c r="F77"/>
    </row>
    <row r="78" spans="1:6" x14ac:dyDescent="0.25">
      <c r="A78" t="s">
        <v>2052</v>
      </c>
      <c r="C78" t="s">
        <v>2008</v>
      </c>
      <c r="D78" t="str">
        <f>IF(B78=C78, "Sim", "Não")</f>
        <v>Não</v>
      </c>
      <c r="F78"/>
    </row>
    <row r="79" spans="1:6" x14ac:dyDescent="0.25">
      <c r="A79" t="s">
        <v>2052</v>
      </c>
      <c r="C79" t="s">
        <v>1999</v>
      </c>
      <c r="D79" t="str">
        <f t="shared" si="3"/>
        <v>Não</v>
      </c>
      <c r="F79"/>
    </row>
    <row r="80" spans="1:6" x14ac:dyDescent="0.25">
      <c r="A80" t="s">
        <v>2052</v>
      </c>
      <c r="C80" t="s">
        <v>2054</v>
      </c>
      <c r="D80" t="str">
        <f t="shared" si="3"/>
        <v>Não</v>
      </c>
      <c r="F80"/>
    </row>
    <row r="81" spans="1:6" x14ac:dyDescent="0.25">
      <c r="A81" t="s">
        <v>2032</v>
      </c>
      <c r="C81" t="s">
        <v>2056</v>
      </c>
      <c r="D81" t="str">
        <f t="shared" si="3"/>
        <v>Não</v>
      </c>
      <c r="F81"/>
    </row>
    <row r="82" spans="1:6" x14ac:dyDescent="0.25">
      <c r="A82" t="s">
        <v>2032</v>
      </c>
      <c r="C82" t="s">
        <v>2057</v>
      </c>
      <c r="D82" t="str">
        <f t="shared" si="3"/>
        <v>Não</v>
      </c>
    </row>
    <row r="83" spans="1:6" x14ac:dyDescent="0.25">
      <c r="A83" t="s">
        <v>2032</v>
      </c>
      <c r="C83" t="s">
        <v>2016</v>
      </c>
      <c r="D83" t="str">
        <f t="shared" si="3"/>
        <v>Não</v>
      </c>
    </row>
    <row r="84" spans="1:6" x14ac:dyDescent="0.25">
      <c r="A84" t="s">
        <v>2032</v>
      </c>
      <c r="B84" t="s">
        <v>608</v>
      </c>
      <c r="C84" t="s">
        <v>608</v>
      </c>
      <c r="D84" t="str">
        <f t="shared" si="3"/>
        <v>Sim</v>
      </c>
    </row>
    <row r="85" spans="1:6" x14ac:dyDescent="0.25">
      <c r="A85" t="s">
        <v>2045</v>
      </c>
      <c r="C85" t="s">
        <v>2019</v>
      </c>
      <c r="D85" t="str">
        <f t="shared" si="3"/>
        <v>Não</v>
      </c>
    </row>
    <row r="86" spans="1:6" x14ac:dyDescent="0.25">
      <c r="A86" t="s">
        <v>2045</v>
      </c>
      <c r="B86" t="s">
        <v>316</v>
      </c>
      <c r="C86" t="s">
        <v>316</v>
      </c>
      <c r="D86" t="str">
        <f t="shared" si="3"/>
        <v>Sim</v>
      </c>
    </row>
    <row r="87" spans="1:6" x14ac:dyDescent="0.25">
      <c r="A87" t="s">
        <v>2045</v>
      </c>
      <c r="C87" t="s">
        <v>2012</v>
      </c>
      <c r="D87" t="str">
        <f t="shared" si="3"/>
        <v>Não</v>
      </c>
    </row>
    <row r="88" spans="1:6" x14ac:dyDescent="0.25">
      <c r="A88" t="s">
        <v>2045</v>
      </c>
      <c r="C88" t="s">
        <v>1998</v>
      </c>
      <c r="D88" t="str">
        <f t="shared" si="3"/>
        <v>Não</v>
      </c>
    </row>
    <row r="89" spans="1:6" x14ac:dyDescent="0.25">
      <c r="A89" t="s">
        <v>2031</v>
      </c>
      <c r="C89" t="s">
        <v>2036</v>
      </c>
      <c r="D89" t="str">
        <f t="shared" si="3"/>
        <v>Não</v>
      </c>
    </row>
    <row r="90" spans="1:6" x14ac:dyDescent="0.25">
      <c r="A90" t="s">
        <v>2031</v>
      </c>
      <c r="C90" t="s">
        <v>369</v>
      </c>
      <c r="D90" t="str">
        <f t="shared" si="3"/>
        <v>Não</v>
      </c>
    </row>
    <row r="91" spans="1:6" x14ac:dyDescent="0.25">
      <c r="A91" t="s">
        <v>2031</v>
      </c>
      <c r="C91" t="s">
        <v>2041</v>
      </c>
      <c r="D91" t="str">
        <f t="shared" si="3"/>
        <v>Não</v>
      </c>
    </row>
    <row r="92" spans="1:6" x14ac:dyDescent="0.25">
      <c r="A92" t="s">
        <v>2031</v>
      </c>
      <c r="C92" t="s">
        <v>2042</v>
      </c>
      <c r="D92" t="str">
        <f t="shared" si="3"/>
        <v>Não</v>
      </c>
    </row>
    <row r="93" spans="1:6" x14ac:dyDescent="0.25">
      <c r="A93" t="s">
        <v>2031</v>
      </c>
      <c r="B93" t="s">
        <v>2078</v>
      </c>
      <c r="C93" t="s">
        <v>609</v>
      </c>
      <c r="D93" t="str">
        <f t="shared" si="3"/>
        <v>Não</v>
      </c>
    </row>
    <row r="94" spans="1:6" x14ac:dyDescent="0.25">
      <c r="A94" t="s">
        <v>2031</v>
      </c>
      <c r="B94" t="s">
        <v>2003</v>
      </c>
      <c r="C94" t="s">
        <v>2003</v>
      </c>
      <c r="D94" t="str">
        <f t="shared" si="3"/>
        <v>Sim</v>
      </c>
    </row>
    <row r="95" spans="1:6" x14ac:dyDescent="0.25">
      <c r="A95" t="s">
        <v>2031</v>
      </c>
      <c r="B95" t="s">
        <v>142</v>
      </c>
      <c r="C95" t="s">
        <v>142</v>
      </c>
      <c r="D95" t="str">
        <f t="shared" si="3"/>
        <v>Sim</v>
      </c>
    </row>
    <row r="96" spans="1:6" x14ac:dyDescent="0.25">
      <c r="A96" t="s">
        <v>2031</v>
      </c>
      <c r="B96" t="s">
        <v>136</v>
      </c>
      <c r="C96" t="s">
        <v>136</v>
      </c>
      <c r="D96" t="str">
        <f t="shared" si="3"/>
        <v>Sim</v>
      </c>
    </row>
    <row r="97" spans="1:4" x14ac:dyDescent="0.25">
      <c r="A97" t="s">
        <v>2030</v>
      </c>
      <c r="C97" t="s">
        <v>2034</v>
      </c>
      <c r="D97" t="str">
        <f t="shared" si="3"/>
        <v>Não</v>
      </c>
    </row>
    <row r="98" spans="1:4" x14ac:dyDescent="0.25">
      <c r="A98" t="s">
        <v>2030</v>
      </c>
      <c r="C98" t="s">
        <v>2035</v>
      </c>
      <c r="D98" t="str">
        <f>IF(B98=C98, "Sim", "Não")</f>
        <v>Não</v>
      </c>
    </row>
    <row r="99" spans="1:4" x14ac:dyDescent="0.25">
      <c r="A99" t="s">
        <v>2030</v>
      </c>
      <c r="C99" t="s">
        <v>2060</v>
      </c>
      <c r="D99" t="str">
        <f t="shared" si="3"/>
        <v>Não</v>
      </c>
    </row>
    <row r="100" spans="1:4" x14ac:dyDescent="0.25">
      <c r="A100" t="s">
        <v>2030</v>
      </c>
      <c r="C100" t="s">
        <v>2026</v>
      </c>
      <c r="D100" t="str">
        <f t="shared" si="3"/>
        <v>Não</v>
      </c>
    </row>
    <row r="101" spans="1:4" x14ac:dyDescent="0.25">
      <c r="A101" t="s">
        <v>2030</v>
      </c>
      <c r="C101" t="s">
        <v>2061</v>
      </c>
      <c r="D101" t="str">
        <f t="shared" si="3"/>
        <v>Não</v>
      </c>
    </row>
    <row r="102" spans="1:4" x14ac:dyDescent="0.25">
      <c r="A102" s="5" t="s">
        <v>2030</v>
      </c>
      <c r="C102" t="s">
        <v>2007</v>
      </c>
      <c r="D102" t="str">
        <f t="shared" si="3"/>
        <v>Não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977A7-268E-4791-87BA-973927C302C7}">
  <dimension ref="A1:G101"/>
  <sheetViews>
    <sheetView workbookViewId="0">
      <selection activeCell="B42" sqref="B42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28" t="s">
        <v>1858</v>
      </c>
      <c r="B1" s="28"/>
      <c r="C1" s="28"/>
      <c r="D1" s="28"/>
      <c r="E1" s="28"/>
      <c r="F1" s="28"/>
      <c r="G1" s="28"/>
    </row>
    <row r="2" spans="1:7" x14ac:dyDescent="0.25">
      <c r="A2" s="4" t="s">
        <v>34</v>
      </c>
      <c r="B2" s="4" t="s">
        <v>35</v>
      </c>
      <c r="C2" s="4" t="s">
        <v>36</v>
      </c>
      <c r="D2" s="4" t="s">
        <v>37</v>
      </c>
    </row>
    <row r="3" spans="1:7" x14ac:dyDescent="0.25">
      <c r="A3" t="s">
        <v>38</v>
      </c>
      <c r="B3" t="s">
        <v>2071</v>
      </c>
      <c r="C3" t="s">
        <v>145</v>
      </c>
      <c r="D3" t="str">
        <f t="shared" ref="D3:D33" si="0">IF(B3=C3, "Sim", "Não")</f>
        <v>Não</v>
      </c>
      <c r="F3" s="4" t="s">
        <v>39</v>
      </c>
      <c r="G3" s="3">
        <f>COUNTIF(D3:D105,"Não")</f>
        <v>20</v>
      </c>
    </row>
    <row r="4" spans="1:7" x14ac:dyDescent="0.25">
      <c r="A4" t="s">
        <v>38</v>
      </c>
      <c r="B4" t="s">
        <v>43</v>
      </c>
      <c r="C4" t="s">
        <v>43</v>
      </c>
      <c r="D4" t="str">
        <f t="shared" si="0"/>
        <v>Sim</v>
      </c>
      <c r="F4" s="4" t="s">
        <v>40</v>
      </c>
      <c r="G4" s="3">
        <f>SUM(G7:G25)</f>
        <v>99</v>
      </c>
    </row>
    <row r="5" spans="1:7" x14ac:dyDescent="0.25">
      <c r="A5" t="s">
        <v>38</v>
      </c>
      <c r="B5" t="s">
        <v>72</v>
      </c>
      <c r="C5" t="s">
        <v>72</v>
      </c>
      <c r="D5" t="str">
        <f t="shared" si="0"/>
        <v>Sim</v>
      </c>
    </row>
    <row r="6" spans="1:7" x14ac:dyDescent="0.25">
      <c r="A6" t="s">
        <v>38</v>
      </c>
      <c r="B6" t="s">
        <v>157</v>
      </c>
      <c r="C6" t="s">
        <v>157</v>
      </c>
      <c r="D6" t="str">
        <f t="shared" si="0"/>
        <v>Sim</v>
      </c>
      <c r="F6" s="6" t="s">
        <v>42</v>
      </c>
      <c r="G6" s="1"/>
    </row>
    <row r="7" spans="1:7" x14ac:dyDescent="0.25">
      <c r="A7" t="s">
        <v>38</v>
      </c>
      <c r="B7" t="s">
        <v>144</v>
      </c>
      <c r="C7" t="s">
        <v>144</v>
      </c>
      <c r="D7" t="str">
        <f t="shared" si="0"/>
        <v>Sim</v>
      </c>
      <c r="F7" s="1" t="s">
        <v>38</v>
      </c>
      <c r="G7" s="2">
        <f t="shared" ref="G7:G12" si="1">COUNTIF(A:A,F7)</f>
        <v>38</v>
      </c>
    </row>
    <row r="8" spans="1:7" x14ac:dyDescent="0.25">
      <c r="A8" t="s">
        <v>38</v>
      </c>
      <c r="B8" t="s">
        <v>487</v>
      </c>
      <c r="C8" t="s">
        <v>1883</v>
      </c>
      <c r="D8" t="str">
        <f t="shared" si="0"/>
        <v>Não</v>
      </c>
      <c r="F8" s="1" t="s">
        <v>44</v>
      </c>
      <c r="G8" s="2">
        <f t="shared" si="1"/>
        <v>10</v>
      </c>
    </row>
    <row r="9" spans="1:7" x14ac:dyDescent="0.25">
      <c r="A9" t="s">
        <v>38</v>
      </c>
      <c r="B9" t="s">
        <v>1122</v>
      </c>
      <c r="C9" t="s">
        <v>1884</v>
      </c>
      <c r="D9" t="str">
        <f t="shared" si="0"/>
        <v>Não</v>
      </c>
      <c r="F9" s="1" t="s">
        <v>45</v>
      </c>
      <c r="G9" s="2">
        <f t="shared" si="1"/>
        <v>8</v>
      </c>
    </row>
    <row r="10" spans="1:7" x14ac:dyDescent="0.25">
      <c r="A10" t="s">
        <v>38</v>
      </c>
      <c r="B10" t="s">
        <v>2072</v>
      </c>
      <c r="C10" t="s">
        <v>273</v>
      </c>
      <c r="D10" t="str">
        <f t="shared" si="0"/>
        <v>Não</v>
      </c>
      <c r="F10" s="1" t="s">
        <v>73</v>
      </c>
      <c r="G10" s="2">
        <f t="shared" si="1"/>
        <v>8</v>
      </c>
    </row>
    <row r="11" spans="1:7" x14ac:dyDescent="0.25">
      <c r="A11" t="s">
        <v>38</v>
      </c>
      <c r="B11" t="s">
        <v>2073</v>
      </c>
      <c r="C11" t="s">
        <v>74</v>
      </c>
      <c r="D11" t="str">
        <f t="shared" si="0"/>
        <v>Não</v>
      </c>
      <c r="F11" s="1" t="s">
        <v>152</v>
      </c>
      <c r="G11" s="2">
        <f t="shared" si="1"/>
        <v>18</v>
      </c>
    </row>
    <row r="12" spans="1:7" x14ac:dyDescent="0.25">
      <c r="A12" t="s">
        <v>38</v>
      </c>
      <c r="B12" t="s">
        <v>2074</v>
      </c>
      <c r="C12" t="s">
        <v>63</v>
      </c>
      <c r="D12" t="str">
        <f t="shared" si="0"/>
        <v>Não</v>
      </c>
      <c r="F12" s="1" t="s">
        <v>156</v>
      </c>
      <c r="G12" s="2">
        <f t="shared" si="1"/>
        <v>17</v>
      </c>
    </row>
    <row r="13" spans="1:7" x14ac:dyDescent="0.25">
      <c r="A13" t="s">
        <v>38</v>
      </c>
      <c r="B13" t="s">
        <v>158</v>
      </c>
      <c r="C13" t="s">
        <v>891</v>
      </c>
      <c r="D13" t="str">
        <f t="shared" si="0"/>
        <v>Não</v>
      </c>
      <c r="F13" s="1"/>
      <c r="G13" s="2"/>
    </row>
    <row r="14" spans="1:7" x14ac:dyDescent="0.25">
      <c r="A14" t="s">
        <v>38</v>
      </c>
      <c r="B14" t="s">
        <v>1886</v>
      </c>
      <c r="C14" t="s">
        <v>1886</v>
      </c>
      <c r="D14" t="str">
        <f t="shared" si="0"/>
        <v>Sim</v>
      </c>
      <c r="F14" s="1"/>
      <c r="G14" s="2"/>
    </row>
    <row r="15" spans="1:7" x14ac:dyDescent="0.25">
      <c r="A15" t="s">
        <v>38</v>
      </c>
      <c r="B15" t="s">
        <v>90</v>
      </c>
      <c r="C15" t="s">
        <v>828</v>
      </c>
      <c r="D15" t="str">
        <f t="shared" si="0"/>
        <v>Não</v>
      </c>
      <c r="F15" s="5"/>
      <c r="G15" s="2"/>
    </row>
    <row r="16" spans="1:7" x14ac:dyDescent="0.25">
      <c r="A16" t="s">
        <v>38</v>
      </c>
      <c r="B16" t="s">
        <v>89</v>
      </c>
      <c r="C16" t="s">
        <v>197</v>
      </c>
      <c r="D16" t="str">
        <f t="shared" si="0"/>
        <v>Não</v>
      </c>
      <c r="F16" s="5"/>
      <c r="G16" s="2"/>
    </row>
    <row r="17" spans="1:4" x14ac:dyDescent="0.25">
      <c r="A17" t="s">
        <v>38</v>
      </c>
      <c r="B17" t="s">
        <v>89</v>
      </c>
      <c r="C17" t="s">
        <v>1887</v>
      </c>
      <c r="D17" t="str">
        <f t="shared" si="0"/>
        <v>Não</v>
      </c>
    </row>
    <row r="18" spans="1:4" x14ac:dyDescent="0.25">
      <c r="A18" t="s">
        <v>38</v>
      </c>
      <c r="B18" t="s">
        <v>89</v>
      </c>
      <c r="C18" t="s">
        <v>89</v>
      </c>
      <c r="D18" t="str">
        <f t="shared" si="0"/>
        <v>Sim</v>
      </c>
    </row>
    <row r="19" spans="1:4" x14ac:dyDescent="0.25">
      <c r="A19" t="s">
        <v>38</v>
      </c>
      <c r="B19" t="s">
        <v>89</v>
      </c>
      <c r="C19" t="s">
        <v>89</v>
      </c>
      <c r="D19" t="str">
        <f t="shared" si="0"/>
        <v>Sim</v>
      </c>
    </row>
    <row r="20" spans="1:4" x14ac:dyDescent="0.25">
      <c r="A20" t="s">
        <v>38</v>
      </c>
      <c r="B20" t="s">
        <v>89</v>
      </c>
      <c r="C20" t="s">
        <v>89</v>
      </c>
      <c r="D20" t="str">
        <f t="shared" si="0"/>
        <v>Sim</v>
      </c>
    </row>
    <row r="21" spans="1:4" x14ac:dyDescent="0.25">
      <c r="A21" t="s">
        <v>38</v>
      </c>
      <c r="B21" t="s">
        <v>89</v>
      </c>
      <c r="C21" t="s">
        <v>89</v>
      </c>
      <c r="D21" t="str">
        <f t="shared" si="0"/>
        <v>Sim</v>
      </c>
    </row>
    <row r="22" spans="1:4" x14ac:dyDescent="0.25">
      <c r="A22" t="s">
        <v>38</v>
      </c>
      <c r="B22" t="s">
        <v>89</v>
      </c>
      <c r="C22" t="s">
        <v>89</v>
      </c>
      <c r="D22" t="str">
        <f t="shared" si="0"/>
        <v>Sim</v>
      </c>
    </row>
    <row r="23" spans="1:4" x14ac:dyDescent="0.25">
      <c r="A23" t="s">
        <v>38</v>
      </c>
      <c r="B23" t="s">
        <v>89</v>
      </c>
      <c r="C23" t="s">
        <v>89</v>
      </c>
      <c r="D23" t="str">
        <f t="shared" si="0"/>
        <v>Sim</v>
      </c>
    </row>
    <row r="24" spans="1:4" x14ac:dyDescent="0.25">
      <c r="A24" t="s">
        <v>38</v>
      </c>
      <c r="B24" t="s">
        <v>89</v>
      </c>
      <c r="C24" t="s">
        <v>89</v>
      </c>
      <c r="D24" t="str">
        <f t="shared" si="0"/>
        <v>Sim</v>
      </c>
    </row>
    <row r="25" spans="1:4" x14ac:dyDescent="0.25">
      <c r="A25" t="s">
        <v>38</v>
      </c>
      <c r="B25" t="s">
        <v>89</v>
      </c>
      <c r="C25" t="s">
        <v>89</v>
      </c>
      <c r="D25" t="str">
        <f t="shared" si="0"/>
        <v>Sim</v>
      </c>
    </row>
    <row r="26" spans="1:4" x14ac:dyDescent="0.25">
      <c r="A26" t="s">
        <v>38</v>
      </c>
      <c r="B26" t="s">
        <v>90</v>
      </c>
      <c r="C26" t="s">
        <v>90</v>
      </c>
      <c r="D26" t="str">
        <f t="shared" si="0"/>
        <v>Sim</v>
      </c>
    </row>
    <row r="27" spans="1:4" x14ac:dyDescent="0.25">
      <c r="A27" t="s">
        <v>38</v>
      </c>
      <c r="B27" t="s">
        <v>90</v>
      </c>
      <c r="C27" t="s">
        <v>90</v>
      </c>
      <c r="D27" t="str">
        <f t="shared" si="0"/>
        <v>Sim</v>
      </c>
    </row>
    <row r="28" spans="1:4" x14ac:dyDescent="0.25">
      <c r="A28" t="s">
        <v>38</v>
      </c>
      <c r="B28" t="s">
        <v>90</v>
      </c>
      <c r="C28" t="s">
        <v>90</v>
      </c>
      <c r="D28" t="str">
        <f t="shared" si="0"/>
        <v>Sim</v>
      </c>
    </row>
    <row r="29" spans="1:4" x14ac:dyDescent="0.25">
      <c r="A29" t="s">
        <v>38</v>
      </c>
      <c r="B29" t="s">
        <v>90</v>
      </c>
      <c r="C29" t="s">
        <v>90</v>
      </c>
      <c r="D29" t="str">
        <f t="shared" si="0"/>
        <v>Sim</v>
      </c>
    </row>
    <row r="30" spans="1:4" x14ac:dyDescent="0.25">
      <c r="A30" t="s">
        <v>38</v>
      </c>
      <c r="B30" t="s">
        <v>90</v>
      </c>
      <c r="C30" t="s">
        <v>90</v>
      </c>
      <c r="D30" t="str">
        <f t="shared" si="0"/>
        <v>Sim</v>
      </c>
    </row>
    <row r="31" spans="1:4" x14ac:dyDescent="0.25">
      <c r="A31" t="s">
        <v>38</v>
      </c>
      <c r="B31" t="s">
        <v>90</v>
      </c>
      <c r="C31" t="s">
        <v>90</v>
      </c>
      <c r="D31" t="str">
        <f t="shared" si="0"/>
        <v>Sim</v>
      </c>
    </row>
    <row r="32" spans="1:4" x14ac:dyDescent="0.25">
      <c r="A32" t="s">
        <v>38</v>
      </c>
      <c r="B32" t="s">
        <v>90</v>
      </c>
      <c r="C32" t="s">
        <v>90</v>
      </c>
      <c r="D32" t="str">
        <f t="shared" si="0"/>
        <v>Sim</v>
      </c>
    </row>
    <row r="33" spans="1:6" x14ac:dyDescent="0.25">
      <c r="A33" t="s">
        <v>38</v>
      </c>
      <c r="B33" t="s">
        <v>90</v>
      </c>
      <c r="C33" t="s">
        <v>90</v>
      </c>
      <c r="D33" t="str">
        <f t="shared" si="0"/>
        <v>Sim</v>
      </c>
    </row>
    <row r="34" spans="1:6" x14ac:dyDescent="0.25">
      <c r="A34" t="s">
        <v>38</v>
      </c>
      <c r="B34" t="s">
        <v>158</v>
      </c>
      <c r="C34" t="s">
        <v>158</v>
      </c>
      <c r="D34" t="str">
        <f t="shared" ref="D34:D65" si="2">IF(B34=C34, "Sim", "Não")</f>
        <v>Sim</v>
      </c>
    </row>
    <row r="35" spans="1:6" x14ac:dyDescent="0.25">
      <c r="A35" t="s">
        <v>38</v>
      </c>
      <c r="B35" t="s">
        <v>158</v>
      </c>
      <c r="C35" t="s">
        <v>158</v>
      </c>
      <c r="D35" t="str">
        <f t="shared" si="2"/>
        <v>Sim</v>
      </c>
    </row>
    <row r="36" spans="1:6" x14ac:dyDescent="0.25">
      <c r="A36" t="s">
        <v>38</v>
      </c>
      <c r="B36" t="s">
        <v>158</v>
      </c>
      <c r="C36" t="s">
        <v>158</v>
      </c>
      <c r="D36" t="str">
        <f t="shared" si="2"/>
        <v>Sim</v>
      </c>
    </row>
    <row r="37" spans="1:6" x14ac:dyDescent="0.25">
      <c r="A37" t="s">
        <v>38</v>
      </c>
      <c r="B37" t="s">
        <v>158</v>
      </c>
      <c r="C37" t="s">
        <v>158</v>
      </c>
      <c r="D37" t="str">
        <f t="shared" si="2"/>
        <v>Sim</v>
      </c>
    </row>
    <row r="38" spans="1:6" x14ac:dyDescent="0.25">
      <c r="A38" t="s">
        <v>38</v>
      </c>
      <c r="B38" t="s">
        <v>158</v>
      </c>
      <c r="C38" t="s">
        <v>158</v>
      </c>
      <c r="D38" t="str">
        <f t="shared" si="2"/>
        <v>Sim</v>
      </c>
    </row>
    <row r="39" spans="1:6" x14ac:dyDescent="0.25">
      <c r="A39" t="s">
        <v>38</v>
      </c>
      <c r="B39" t="s">
        <v>158</v>
      </c>
      <c r="C39" t="s">
        <v>158</v>
      </c>
      <c r="D39" t="str">
        <f t="shared" si="2"/>
        <v>Sim</v>
      </c>
    </row>
    <row r="40" spans="1:6" x14ac:dyDescent="0.25">
      <c r="A40" t="s">
        <v>38</v>
      </c>
      <c r="B40" t="s">
        <v>158</v>
      </c>
      <c r="C40" t="s">
        <v>158</v>
      </c>
      <c r="D40" t="str">
        <f t="shared" si="2"/>
        <v>Sim</v>
      </c>
    </row>
    <row r="41" spans="1:6" x14ac:dyDescent="0.25">
      <c r="A41" t="s">
        <v>44</v>
      </c>
      <c r="B41" t="s">
        <v>2081</v>
      </c>
      <c r="C41" t="s">
        <v>211</v>
      </c>
      <c r="D41" t="str">
        <f t="shared" si="2"/>
        <v>Não</v>
      </c>
    </row>
    <row r="42" spans="1:6" x14ac:dyDescent="0.25">
      <c r="A42" t="s">
        <v>44</v>
      </c>
      <c r="B42" t="s">
        <v>162</v>
      </c>
      <c r="C42" t="s">
        <v>162</v>
      </c>
      <c r="D42" t="str">
        <f t="shared" si="2"/>
        <v>Sim</v>
      </c>
    </row>
    <row r="43" spans="1:6" x14ac:dyDescent="0.25">
      <c r="A43" t="s">
        <v>44</v>
      </c>
      <c r="B43" t="s">
        <v>215</v>
      </c>
      <c r="C43" t="s">
        <v>215</v>
      </c>
      <c r="D43" t="str">
        <f t="shared" si="2"/>
        <v>Sim</v>
      </c>
    </row>
    <row r="44" spans="1:6" x14ac:dyDescent="0.25">
      <c r="A44" t="s">
        <v>44</v>
      </c>
      <c r="B44" t="s">
        <v>568</v>
      </c>
      <c r="C44" t="s">
        <v>568</v>
      </c>
      <c r="D44" t="str">
        <f t="shared" si="2"/>
        <v>Sim</v>
      </c>
    </row>
    <row r="45" spans="1:6" x14ac:dyDescent="0.25">
      <c r="A45" t="s">
        <v>44</v>
      </c>
      <c r="B45" t="s">
        <v>163</v>
      </c>
      <c r="C45" t="s">
        <v>163</v>
      </c>
      <c r="D45" t="str">
        <f t="shared" si="2"/>
        <v>Sim</v>
      </c>
    </row>
    <row r="46" spans="1:6" x14ac:dyDescent="0.25">
      <c r="A46" t="s">
        <v>44</v>
      </c>
      <c r="B46" t="s">
        <v>165</v>
      </c>
      <c r="C46" t="s">
        <v>165</v>
      </c>
      <c r="D46" t="str">
        <f t="shared" si="2"/>
        <v>Sim</v>
      </c>
    </row>
    <row r="47" spans="1:6" x14ac:dyDescent="0.25">
      <c r="A47" t="s">
        <v>44</v>
      </c>
      <c r="B47" t="s">
        <v>2079</v>
      </c>
      <c r="C47" t="s">
        <v>216</v>
      </c>
      <c r="D47" t="str">
        <f t="shared" si="2"/>
        <v>Não</v>
      </c>
      <c r="F47"/>
    </row>
    <row r="48" spans="1:6" x14ac:dyDescent="0.25">
      <c r="A48" t="s">
        <v>44</v>
      </c>
      <c r="B48" t="s">
        <v>2080</v>
      </c>
      <c r="C48" t="s">
        <v>217</v>
      </c>
      <c r="D48" t="str">
        <f t="shared" si="2"/>
        <v>Não</v>
      </c>
    </row>
    <row r="49" spans="1:6" x14ac:dyDescent="0.25">
      <c r="A49" t="s">
        <v>44</v>
      </c>
      <c r="B49" t="s">
        <v>1885</v>
      </c>
      <c r="C49" t="s">
        <v>1885</v>
      </c>
      <c r="D49" t="str">
        <f t="shared" si="2"/>
        <v>Sim</v>
      </c>
    </row>
    <row r="50" spans="1:6" x14ac:dyDescent="0.25">
      <c r="A50" t="s">
        <v>44</v>
      </c>
      <c r="B50" t="s">
        <v>300</v>
      </c>
      <c r="C50" t="s">
        <v>300</v>
      </c>
      <c r="D50" t="str">
        <f t="shared" si="2"/>
        <v>Sim</v>
      </c>
    </row>
    <row r="51" spans="1:6" x14ac:dyDescent="0.25">
      <c r="A51" t="s">
        <v>45</v>
      </c>
      <c r="B51" t="s">
        <v>1879</v>
      </c>
      <c r="C51" t="s">
        <v>1879</v>
      </c>
      <c r="D51" t="str">
        <f t="shared" si="2"/>
        <v>Sim</v>
      </c>
    </row>
    <row r="52" spans="1:6" x14ac:dyDescent="0.25">
      <c r="A52" t="s">
        <v>45</v>
      </c>
      <c r="B52" t="s">
        <v>98</v>
      </c>
      <c r="C52" t="s">
        <v>98</v>
      </c>
      <c r="D52" t="str">
        <f t="shared" si="2"/>
        <v>Sim</v>
      </c>
    </row>
    <row r="53" spans="1:6" x14ac:dyDescent="0.25">
      <c r="A53" t="s">
        <v>45</v>
      </c>
      <c r="B53" t="s">
        <v>167</v>
      </c>
      <c r="C53" t="s">
        <v>167</v>
      </c>
      <c r="D53" t="str">
        <f t="shared" si="2"/>
        <v>Sim</v>
      </c>
      <c r="F53"/>
    </row>
    <row r="54" spans="1:6" x14ac:dyDescent="0.25">
      <c r="A54" t="s">
        <v>45</v>
      </c>
      <c r="B54" t="s">
        <v>168</v>
      </c>
      <c r="C54" t="s">
        <v>168</v>
      </c>
      <c r="D54" t="str">
        <f t="shared" si="2"/>
        <v>Sim</v>
      </c>
    </row>
    <row r="55" spans="1:6" x14ac:dyDescent="0.25">
      <c r="A55" t="s">
        <v>45</v>
      </c>
      <c r="B55" t="s">
        <v>169</v>
      </c>
      <c r="C55" t="s">
        <v>169</v>
      </c>
      <c r="D55" t="str">
        <f t="shared" si="2"/>
        <v>Sim</v>
      </c>
    </row>
    <row r="56" spans="1:6" x14ac:dyDescent="0.25">
      <c r="A56" t="s">
        <v>45</v>
      </c>
      <c r="B56" t="s">
        <v>170</v>
      </c>
      <c r="C56" t="s">
        <v>170</v>
      </c>
      <c r="D56" t="str">
        <f t="shared" si="2"/>
        <v>Sim</v>
      </c>
      <c r="E56" t="s">
        <v>1863</v>
      </c>
    </row>
    <row r="57" spans="1:6" x14ac:dyDescent="0.25">
      <c r="A57" t="s">
        <v>45</v>
      </c>
      <c r="B57" t="s">
        <v>171</v>
      </c>
      <c r="C57" t="s">
        <v>171</v>
      </c>
      <c r="D57" t="str">
        <f t="shared" si="2"/>
        <v>Sim</v>
      </c>
    </row>
    <row r="58" spans="1:6" x14ac:dyDescent="0.25">
      <c r="A58" t="s">
        <v>45</v>
      </c>
      <c r="B58" t="s">
        <v>1870</v>
      </c>
      <c r="C58" t="s">
        <v>1870</v>
      </c>
      <c r="D58" t="str">
        <f t="shared" si="2"/>
        <v>Sim</v>
      </c>
    </row>
    <row r="59" spans="1:6" x14ac:dyDescent="0.25">
      <c r="A59" t="s">
        <v>73</v>
      </c>
      <c r="B59" t="s">
        <v>179</v>
      </c>
      <c r="C59" t="s">
        <v>179</v>
      </c>
      <c r="D59" t="str">
        <f t="shared" si="2"/>
        <v>Sim</v>
      </c>
      <c r="F59"/>
    </row>
    <row r="60" spans="1:6" x14ac:dyDescent="0.25">
      <c r="A60" t="s">
        <v>73</v>
      </c>
      <c r="B60" t="s">
        <v>181</v>
      </c>
      <c r="C60" t="s">
        <v>181</v>
      </c>
      <c r="D60" t="str">
        <f t="shared" si="2"/>
        <v>Sim</v>
      </c>
      <c r="F60"/>
    </row>
    <row r="61" spans="1:6" x14ac:dyDescent="0.25">
      <c r="A61" t="s">
        <v>73</v>
      </c>
      <c r="B61" t="s">
        <v>182</v>
      </c>
      <c r="C61" t="s">
        <v>182</v>
      </c>
      <c r="D61" t="str">
        <f t="shared" si="2"/>
        <v>Sim</v>
      </c>
      <c r="F61"/>
    </row>
    <row r="62" spans="1:6" x14ac:dyDescent="0.25">
      <c r="A62" t="s">
        <v>73</v>
      </c>
      <c r="B62" t="s">
        <v>184</v>
      </c>
      <c r="C62" t="s">
        <v>184</v>
      </c>
      <c r="D62" t="str">
        <f t="shared" si="2"/>
        <v>Sim</v>
      </c>
      <c r="F62"/>
    </row>
    <row r="63" spans="1:6" x14ac:dyDescent="0.25">
      <c r="A63" t="s">
        <v>73</v>
      </c>
      <c r="B63" t="s">
        <v>133</v>
      </c>
      <c r="C63" t="s">
        <v>133</v>
      </c>
      <c r="D63" t="str">
        <f t="shared" si="2"/>
        <v>Sim</v>
      </c>
      <c r="F63"/>
    </row>
    <row r="64" spans="1:6" x14ac:dyDescent="0.25">
      <c r="A64" t="s">
        <v>73</v>
      </c>
      <c r="B64" t="s">
        <v>132</v>
      </c>
      <c r="C64" t="s">
        <v>722</v>
      </c>
      <c r="D64" t="str">
        <f t="shared" si="2"/>
        <v>Não</v>
      </c>
    </row>
    <row r="65" spans="1:6" x14ac:dyDescent="0.25">
      <c r="A65" t="s">
        <v>73</v>
      </c>
      <c r="B65" t="s">
        <v>807</v>
      </c>
      <c r="C65" t="s">
        <v>992</v>
      </c>
      <c r="D65" t="str">
        <f t="shared" si="2"/>
        <v>Não</v>
      </c>
      <c r="F65"/>
    </row>
    <row r="66" spans="1:6" x14ac:dyDescent="0.25">
      <c r="A66" t="s">
        <v>73</v>
      </c>
      <c r="B66" t="s">
        <v>1881</v>
      </c>
      <c r="C66" t="s">
        <v>1881</v>
      </c>
      <c r="D66" t="str">
        <f t="shared" ref="D66:D98" si="3">IF(B66=C66, "Sim", "Não")</f>
        <v>Sim</v>
      </c>
      <c r="F66"/>
    </row>
    <row r="67" spans="1:6" x14ac:dyDescent="0.25">
      <c r="A67" t="s">
        <v>152</v>
      </c>
      <c r="B67" t="s">
        <v>1868</v>
      </c>
      <c r="C67" t="s">
        <v>1868</v>
      </c>
      <c r="D67" t="str">
        <f t="shared" si="3"/>
        <v>Sim</v>
      </c>
      <c r="F67"/>
    </row>
    <row r="68" spans="1:6" x14ac:dyDescent="0.25">
      <c r="A68" t="s">
        <v>152</v>
      </c>
      <c r="B68" t="s">
        <v>1866</v>
      </c>
      <c r="C68" t="s">
        <v>1866</v>
      </c>
      <c r="D68" t="str">
        <f t="shared" si="3"/>
        <v>Sim</v>
      </c>
      <c r="F68"/>
    </row>
    <row r="69" spans="1:6" x14ac:dyDescent="0.25">
      <c r="A69" t="s">
        <v>152</v>
      </c>
      <c r="B69" t="s">
        <v>1869</v>
      </c>
      <c r="C69" t="s">
        <v>1869</v>
      </c>
      <c r="D69" t="str">
        <f t="shared" si="3"/>
        <v>Sim</v>
      </c>
      <c r="F69"/>
    </row>
    <row r="70" spans="1:6" x14ac:dyDescent="0.25">
      <c r="A70" t="s">
        <v>152</v>
      </c>
      <c r="B70" t="s">
        <v>1864</v>
      </c>
      <c r="C70" t="s">
        <v>1864</v>
      </c>
      <c r="D70" t="str">
        <f t="shared" si="3"/>
        <v>Sim</v>
      </c>
      <c r="F70"/>
    </row>
    <row r="71" spans="1:6" x14ac:dyDescent="0.25">
      <c r="A71" t="s">
        <v>152</v>
      </c>
      <c r="B71" t="s">
        <v>1882</v>
      </c>
      <c r="C71" t="s">
        <v>1882</v>
      </c>
      <c r="D71" t="str">
        <f t="shared" si="3"/>
        <v>Sim</v>
      </c>
      <c r="F71" s="5"/>
    </row>
    <row r="72" spans="1:6" x14ac:dyDescent="0.25">
      <c r="A72" t="s">
        <v>152</v>
      </c>
      <c r="B72" t="s">
        <v>1861</v>
      </c>
      <c r="C72" t="s">
        <v>1861</v>
      </c>
      <c r="D72" t="str">
        <f t="shared" si="3"/>
        <v>Sim</v>
      </c>
      <c r="F72" s="5"/>
    </row>
    <row r="73" spans="1:6" x14ac:dyDescent="0.25">
      <c r="A73" t="s">
        <v>152</v>
      </c>
      <c r="B73" t="s">
        <v>1877</v>
      </c>
      <c r="C73" t="s">
        <v>1877</v>
      </c>
      <c r="D73" t="str">
        <f t="shared" si="3"/>
        <v>Sim</v>
      </c>
      <c r="F73" s="5"/>
    </row>
    <row r="74" spans="1:6" x14ac:dyDescent="0.25">
      <c r="A74" t="s">
        <v>152</v>
      </c>
      <c r="B74" t="s">
        <v>172</v>
      </c>
      <c r="C74" t="s">
        <v>172</v>
      </c>
      <c r="D74" t="str">
        <f t="shared" si="3"/>
        <v>Sim</v>
      </c>
    </row>
    <row r="75" spans="1:6" x14ac:dyDescent="0.25">
      <c r="A75" t="s">
        <v>152</v>
      </c>
      <c r="B75" t="s">
        <v>177</v>
      </c>
      <c r="C75" t="s">
        <v>177</v>
      </c>
      <c r="D75" t="str">
        <f t="shared" si="3"/>
        <v>Sim</v>
      </c>
    </row>
    <row r="76" spans="1:6" x14ac:dyDescent="0.25">
      <c r="A76" t="s">
        <v>152</v>
      </c>
      <c r="B76" t="s">
        <v>174</v>
      </c>
      <c r="C76" t="s">
        <v>174</v>
      </c>
      <c r="D76" t="str">
        <f t="shared" si="3"/>
        <v>Sim</v>
      </c>
    </row>
    <row r="77" spans="1:6" x14ac:dyDescent="0.25">
      <c r="A77" t="s">
        <v>152</v>
      </c>
      <c r="B77" t="s">
        <v>1867</v>
      </c>
      <c r="C77" t="s">
        <v>1867</v>
      </c>
      <c r="D77" t="str">
        <f t="shared" si="3"/>
        <v>Sim</v>
      </c>
    </row>
    <row r="78" spans="1:6" x14ac:dyDescent="0.25">
      <c r="A78" t="s">
        <v>152</v>
      </c>
      <c r="B78" t="s">
        <v>1873</v>
      </c>
      <c r="C78" t="s">
        <v>1873</v>
      </c>
      <c r="D78" t="str">
        <f t="shared" si="3"/>
        <v>Sim</v>
      </c>
    </row>
    <row r="79" spans="1:6" x14ac:dyDescent="0.25">
      <c r="A79" t="s">
        <v>152</v>
      </c>
      <c r="B79" t="s">
        <v>1951</v>
      </c>
      <c r="C79" t="s">
        <v>1956</v>
      </c>
      <c r="D79" t="str">
        <f t="shared" si="3"/>
        <v>Não</v>
      </c>
      <c r="F79"/>
    </row>
    <row r="80" spans="1:6" x14ac:dyDescent="0.25">
      <c r="A80" t="s">
        <v>152</v>
      </c>
      <c r="B80" t="s">
        <v>1880</v>
      </c>
      <c r="C80" t="s">
        <v>1880</v>
      </c>
      <c r="D80" t="str">
        <f t="shared" si="3"/>
        <v>Sim</v>
      </c>
      <c r="E80" t="s">
        <v>1862</v>
      </c>
      <c r="F80"/>
    </row>
    <row r="81" spans="1:6" x14ac:dyDescent="0.25">
      <c r="A81" t="s">
        <v>152</v>
      </c>
      <c r="B81" t="s">
        <v>175</v>
      </c>
      <c r="C81" s="5" t="s">
        <v>1871</v>
      </c>
      <c r="D81" t="str">
        <f t="shared" si="3"/>
        <v>Não</v>
      </c>
      <c r="E81" s="5"/>
    </row>
    <row r="82" spans="1:6" x14ac:dyDescent="0.25">
      <c r="A82" t="s">
        <v>152</v>
      </c>
      <c r="B82" t="s">
        <v>1878</v>
      </c>
      <c r="C82" t="s">
        <v>1878</v>
      </c>
      <c r="D82" t="str">
        <f t="shared" si="3"/>
        <v>Sim</v>
      </c>
      <c r="E82" t="s">
        <v>1865</v>
      </c>
    </row>
    <row r="83" spans="1:6" x14ac:dyDescent="0.25">
      <c r="A83" t="s">
        <v>152</v>
      </c>
      <c r="B83" t="s">
        <v>1952</v>
      </c>
      <c r="C83" t="s">
        <v>1888</v>
      </c>
      <c r="D83" t="str">
        <f t="shared" si="3"/>
        <v>Não</v>
      </c>
    </row>
    <row r="84" spans="1:6" x14ac:dyDescent="0.25">
      <c r="A84" t="s">
        <v>152</v>
      </c>
      <c r="B84" t="s">
        <v>176</v>
      </c>
      <c r="C84" t="s">
        <v>176</v>
      </c>
      <c r="D84" t="str">
        <f t="shared" si="3"/>
        <v>Sim</v>
      </c>
      <c r="E84" s="5"/>
    </row>
    <row r="85" spans="1:6" x14ac:dyDescent="0.25">
      <c r="A85" t="s">
        <v>156</v>
      </c>
      <c r="B85" t="s">
        <v>253</v>
      </c>
      <c r="C85" t="s">
        <v>253</v>
      </c>
      <c r="D85" t="str">
        <f>IF(B85=C85, "Sim", "Não")</f>
        <v>Sim</v>
      </c>
    </row>
    <row r="86" spans="1:6" x14ac:dyDescent="0.25">
      <c r="A86" t="s">
        <v>156</v>
      </c>
      <c r="B86" t="s">
        <v>1565</v>
      </c>
      <c r="C86" t="s">
        <v>1565</v>
      </c>
      <c r="D86" t="str">
        <f t="shared" si="3"/>
        <v>Sim</v>
      </c>
      <c r="F86" s="5"/>
    </row>
    <row r="87" spans="1:6" x14ac:dyDescent="0.25">
      <c r="A87" t="s">
        <v>156</v>
      </c>
      <c r="B87" t="s">
        <v>1037</v>
      </c>
      <c r="C87" t="s">
        <v>1037</v>
      </c>
      <c r="D87" t="str">
        <f t="shared" si="3"/>
        <v>Sim</v>
      </c>
      <c r="F87" s="5"/>
    </row>
    <row r="88" spans="1:6" x14ac:dyDescent="0.25">
      <c r="A88" t="s">
        <v>156</v>
      </c>
      <c r="B88" t="s">
        <v>1874</v>
      </c>
      <c r="C88" t="s">
        <v>1874</v>
      </c>
      <c r="D88" t="str">
        <f t="shared" si="3"/>
        <v>Sim</v>
      </c>
      <c r="F88" s="5"/>
    </row>
    <row r="89" spans="1:6" x14ac:dyDescent="0.25">
      <c r="A89" t="s">
        <v>156</v>
      </c>
      <c r="B89" t="s">
        <v>173</v>
      </c>
      <c r="C89" t="s">
        <v>173</v>
      </c>
      <c r="D89" t="str">
        <f t="shared" si="3"/>
        <v>Sim</v>
      </c>
      <c r="F89" s="5"/>
    </row>
    <row r="90" spans="1:6" x14ac:dyDescent="0.25">
      <c r="A90" t="s">
        <v>156</v>
      </c>
      <c r="B90" t="s">
        <v>185</v>
      </c>
      <c r="C90" t="s">
        <v>185</v>
      </c>
      <c r="D90" t="str">
        <f t="shared" si="3"/>
        <v>Sim</v>
      </c>
      <c r="F90" s="5"/>
    </row>
    <row r="91" spans="1:6" x14ac:dyDescent="0.25">
      <c r="A91" t="s">
        <v>156</v>
      </c>
      <c r="B91" t="s">
        <v>178</v>
      </c>
      <c r="C91" t="s">
        <v>178</v>
      </c>
      <c r="D91" t="str">
        <f t="shared" si="3"/>
        <v>Sim</v>
      </c>
    </row>
    <row r="92" spans="1:6" x14ac:dyDescent="0.25">
      <c r="A92" t="s">
        <v>156</v>
      </c>
      <c r="B92" t="s">
        <v>187</v>
      </c>
      <c r="C92" t="s">
        <v>187</v>
      </c>
      <c r="D92" t="str">
        <f t="shared" si="3"/>
        <v>Sim</v>
      </c>
    </row>
    <row r="93" spans="1:6" x14ac:dyDescent="0.25">
      <c r="A93" t="s">
        <v>156</v>
      </c>
      <c r="B93" s="5" t="s">
        <v>1950</v>
      </c>
      <c r="C93" s="5" t="s">
        <v>1876</v>
      </c>
      <c r="D93" t="str">
        <f t="shared" si="3"/>
        <v>Não</v>
      </c>
    </row>
    <row r="94" spans="1:6" x14ac:dyDescent="0.25">
      <c r="A94" t="s">
        <v>156</v>
      </c>
      <c r="B94" t="s">
        <v>188</v>
      </c>
      <c r="C94" t="s">
        <v>188</v>
      </c>
      <c r="D94" t="str">
        <f t="shared" si="3"/>
        <v>Sim</v>
      </c>
      <c r="F94"/>
    </row>
    <row r="95" spans="1:6" x14ac:dyDescent="0.25">
      <c r="A95" t="s">
        <v>156</v>
      </c>
      <c r="B95" t="s">
        <v>1872</v>
      </c>
      <c r="C95" t="s">
        <v>1872</v>
      </c>
      <c r="D95" t="str">
        <f t="shared" si="3"/>
        <v>Sim</v>
      </c>
      <c r="F95"/>
    </row>
    <row r="96" spans="1:6" x14ac:dyDescent="0.25">
      <c r="A96" t="s">
        <v>156</v>
      </c>
      <c r="B96" t="s">
        <v>186</v>
      </c>
      <c r="C96" t="s">
        <v>186</v>
      </c>
      <c r="D96" t="str">
        <f t="shared" si="3"/>
        <v>Sim</v>
      </c>
      <c r="F96"/>
    </row>
    <row r="97" spans="1:4" x14ac:dyDescent="0.25">
      <c r="A97" t="s">
        <v>156</v>
      </c>
      <c r="B97" t="s">
        <v>978</v>
      </c>
      <c r="C97" t="s">
        <v>978</v>
      </c>
      <c r="D97" t="str">
        <f t="shared" si="3"/>
        <v>Sim</v>
      </c>
    </row>
    <row r="98" spans="1:4" x14ac:dyDescent="0.25">
      <c r="A98" t="s">
        <v>156</v>
      </c>
      <c r="B98" t="s">
        <v>1860</v>
      </c>
      <c r="C98" t="s">
        <v>1860</v>
      </c>
      <c r="D98" t="str">
        <f t="shared" si="3"/>
        <v>Sim</v>
      </c>
    </row>
    <row r="99" spans="1:4" x14ac:dyDescent="0.25">
      <c r="A99" t="s">
        <v>156</v>
      </c>
      <c r="B99" s="5" t="s">
        <v>1429</v>
      </c>
      <c r="C99" s="5" t="s">
        <v>1429</v>
      </c>
      <c r="D99" t="str">
        <f t="shared" ref="D99:D101" si="4">IF(B99=C99, "Sim", "Não")</f>
        <v>Sim</v>
      </c>
    </row>
    <row r="100" spans="1:4" x14ac:dyDescent="0.25">
      <c r="A100" t="s">
        <v>156</v>
      </c>
      <c r="B100" s="5" t="s">
        <v>2075</v>
      </c>
      <c r="C100" s="5" t="s">
        <v>1962</v>
      </c>
      <c r="D100" t="str">
        <f t="shared" si="4"/>
        <v>Não</v>
      </c>
    </row>
    <row r="101" spans="1:4" x14ac:dyDescent="0.25">
      <c r="A101" t="s">
        <v>156</v>
      </c>
      <c r="B101" s="5" t="s">
        <v>1875</v>
      </c>
      <c r="C101" s="5" t="s">
        <v>1875</v>
      </c>
      <c r="D101" t="str">
        <f t="shared" si="4"/>
        <v>Sim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BC2F7-1089-41C4-A2B4-B21C85C55814}">
  <dimension ref="A1:G102"/>
  <sheetViews>
    <sheetView workbookViewId="0">
      <selection activeCell="F27" sqref="F27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28" t="s">
        <v>1892</v>
      </c>
      <c r="B1" s="28"/>
      <c r="C1" s="28"/>
      <c r="D1" s="28"/>
      <c r="E1" s="28"/>
      <c r="F1" s="28"/>
      <c r="G1" s="28"/>
    </row>
    <row r="2" spans="1:7" x14ac:dyDescent="0.25">
      <c r="A2" s="4" t="s">
        <v>34</v>
      </c>
      <c r="B2" s="4" t="s">
        <v>35</v>
      </c>
      <c r="C2" s="4" t="s">
        <v>36</v>
      </c>
      <c r="D2" s="4" t="s">
        <v>37</v>
      </c>
    </row>
    <row r="3" spans="1:7" x14ac:dyDescent="0.25">
      <c r="A3" s="5" t="s">
        <v>2067</v>
      </c>
      <c r="B3" s="5" t="s">
        <v>943</v>
      </c>
      <c r="C3" s="5" t="s">
        <v>943</v>
      </c>
      <c r="D3" t="str">
        <f t="shared" ref="D3:D62" si="0">IF(B3=C3, "Sim", "Não")</f>
        <v>Sim</v>
      </c>
    </row>
    <row r="4" spans="1:7" x14ac:dyDescent="0.25">
      <c r="A4" t="s">
        <v>38</v>
      </c>
      <c r="B4" s="23" t="s">
        <v>944</v>
      </c>
      <c r="C4" s="23" t="s">
        <v>944</v>
      </c>
      <c r="D4" t="str">
        <f t="shared" si="0"/>
        <v>Sim</v>
      </c>
      <c r="F4" s="4" t="s">
        <v>39</v>
      </c>
      <c r="G4" s="3">
        <f>COUNTIF(D4:D106,"Não")</f>
        <v>20</v>
      </c>
    </row>
    <row r="5" spans="1:7" x14ac:dyDescent="0.25">
      <c r="A5" t="s">
        <v>38</v>
      </c>
      <c r="B5" s="23" t="s">
        <v>349</v>
      </c>
      <c r="C5" s="23" t="s">
        <v>349</v>
      </c>
      <c r="D5" t="str">
        <f t="shared" si="0"/>
        <v>Sim</v>
      </c>
      <c r="F5" s="4" t="s">
        <v>40</v>
      </c>
      <c r="G5" s="3">
        <f>SUM(G8:G27)</f>
        <v>94</v>
      </c>
    </row>
    <row r="6" spans="1:7" x14ac:dyDescent="0.25">
      <c r="A6" t="s">
        <v>38</v>
      </c>
      <c r="B6" s="23" t="s">
        <v>197</v>
      </c>
      <c r="C6" s="23" t="s">
        <v>197</v>
      </c>
      <c r="D6" t="str">
        <f t="shared" si="0"/>
        <v>Sim</v>
      </c>
    </row>
    <row r="7" spans="1:7" x14ac:dyDescent="0.25">
      <c r="A7" t="s">
        <v>38</v>
      </c>
      <c r="B7" t="s">
        <v>49</v>
      </c>
      <c r="C7" t="s">
        <v>72</v>
      </c>
      <c r="D7" t="str">
        <f t="shared" si="0"/>
        <v>Não</v>
      </c>
      <c r="F7" s="6" t="s">
        <v>42</v>
      </c>
      <c r="G7" s="1"/>
    </row>
    <row r="8" spans="1:7" x14ac:dyDescent="0.25">
      <c r="A8" t="s">
        <v>38</v>
      </c>
      <c r="B8" s="23" t="s">
        <v>43</v>
      </c>
      <c r="C8" s="23" t="s">
        <v>43</v>
      </c>
      <c r="D8" t="str">
        <f t="shared" si="0"/>
        <v>Sim</v>
      </c>
      <c r="F8" s="1" t="s">
        <v>38</v>
      </c>
      <c r="G8" s="2">
        <f t="shared" ref="G8:G13" si="1">COUNTIF(A:A,F8)</f>
        <v>35</v>
      </c>
    </row>
    <row r="9" spans="1:7" x14ac:dyDescent="0.25">
      <c r="A9" t="s">
        <v>38</v>
      </c>
      <c r="B9" t="s">
        <v>49</v>
      </c>
      <c r="C9" t="s">
        <v>946</v>
      </c>
      <c r="D9" t="str">
        <f t="shared" si="0"/>
        <v>Não</v>
      </c>
      <c r="F9" s="1" t="s">
        <v>44</v>
      </c>
      <c r="G9" s="2">
        <f t="shared" si="1"/>
        <v>10</v>
      </c>
    </row>
    <row r="10" spans="1:7" x14ac:dyDescent="0.25">
      <c r="A10" t="s">
        <v>38</v>
      </c>
      <c r="B10" t="s">
        <v>48</v>
      </c>
      <c r="C10" t="s">
        <v>1781</v>
      </c>
      <c r="D10" t="str">
        <f t="shared" si="0"/>
        <v>Não</v>
      </c>
      <c r="F10" s="1" t="s">
        <v>45</v>
      </c>
      <c r="G10" s="2">
        <f t="shared" si="1"/>
        <v>5</v>
      </c>
    </row>
    <row r="11" spans="1:7" x14ac:dyDescent="0.25">
      <c r="A11" t="s">
        <v>38</v>
      </c>
      <c r="B11" t="s">
        <v>48</v>
      </c>
      <c r="C11" t="s">
        <v>763</v>
      </c>
      <c r="D11" t="str">
        <f t="shared" si="0"/>
        <v>Não</v>
      </c>
      <c r="F11" s="1" t="s">
        <v>73</v>
      </c>
      <c r="G11" s="2">
        <f t="shared" si="1"/>
        <v>5</v>
      </c>
    </row>
    <row r="12" spans="1:7" x14ac:dyDescent="0.25">
      <c r="A12" t="s">
        <v>38</v>
      </c>
      <c r="B12" t="s">
        <v>48</v>
      </c>
      <c r="C12" t="s">
        <v>1884</v>
      </c>
      <c r="D12" t="str">
        <f t="shared" si="0"/>
        <v>Não</v>
      </c>
      <c r="F12" s="1" t="s">
        <v>947</v>
      </c>
      <c r="G12" s="2">
        <f t="shared" si="1"/>
        <v>19</v>
      </c>
    </row>
    <row r="13" spans="1:7" x14ac:dyDescent="0.25">
      <c r="A13" t="s">
        <v>38</v>
      </c>
      <c r="B13" t="s">
        <v>48</v>
      </c>
      <c r="C13" t="s">
        <v>48</v>
      </c>
      <c r="D13" t="str">
        <f t="shared" si="0"/>
        <v>Sim</v>
      </c>
      <c r="F13" s="1" t="s">
        <v>156</v>
      </c>
      <c r="G13" s="2">
        <f t="shared" si="1"/>
        <v>20</v>
      </c>
    </row>
    <row r="14" spans="1:7" x14ac:dyDescent="0.25">
      <c r="A14" t="s">
        <v>38</v>
      </c>
      <c r="B14" t="s">
        <v>48</v>
      </c>
      <c r="C14" t="s">
        <v>48</v>
      </c>
      <c r="D14" t="str">
        <f t="shared" si="0"/>
        <v>Sim</v>
      </c>
      <c r="F14" s="1"/>
      <c r="G14" s="2"/>
    </row>
    <row r="15" spans="1:7" x14ac:dyDescent="0.25">
      <c r="A15" t="s">
        <v>38</v>
      </c>
      <c r="B15" t="s">
        <v>48</v>
      </c>
      <c r="C15" t="s">
        <v>48</v>
      </c>
      <c r="D15" t="str">
        <f t="shared" si="0"/>
        <v>Sim</v>
      </c>
      <c r="F15" s="1"/>
      <c r="G15" s="2"/>
    </row>
    <row r="16" spans="1:7" x14ac:dyDescent="0.25">
      <c r="A16" t="s">
        <v>38</v>
      </c>
      <c r="B16" t="s">
        <v>48</v>
      </c>
      <c r="C16" t="s">
        <v>48</v>
      </c>
      <c r="D16" t="str">
        <f t="shared" si="0"/>
        <v>Sim</v>
      </c>
      <c r="F16" s="5"/>
      <c r="G16" s="2"/>
    </row>
    <row r="17" spans="1:7" x14ac:dyDescent="0.25">
      <c r="A17" t="s">
        <v>38</v>
      </c>
      <c r="B17" t="s">
        <v>48</v>
      </c>
      <c r="C17" t="s">
        <v>48</v>
      </c>
      <c r="D17" t="str">
        <f t="shared" si="0"/>
        <v>Sim</v>
      </c>
      <c r="F17" s="5"/>
      <c r="G17" s="2"/>
    </row>
    <row r="18" spans="1:7" x14ac:dyDescent="0.25">
      <c r="A18" t="s">
        <v>38</v>
      </c>
      <c r="B18" t="s">
        <v>48</v>
      </c>
      <c r="C18" t="s">
        <v>48</v>
      </c>
      <c r="D18" t="str">
        <f t="shared" si="0"/>
        <v>Sim</v>
      </c>
    </row>
    <row r="19" spans="1:7" x14ac:dyDescent="0.25">
      <c r="A19" t="s">
        <v>38</v>
      </c>
      <c r="B19" t="s">
        <v>48</v>
      </c>
      <c r="C19" t="s">
        <v>48</v>
      </c>
      <c r="D19" t="str">
        <f t="shared" si="0"/>
        <v>Sim</v>
      </c>
    </row>
    <row r="20" spans="1:7" x14ac:dyDescent="0.25">
      <c r="A20" t="s">
        <v>38</v>
      </c>
      <c r="B20" t="s">
        <v>48</v>
      </c>
      <c r="C20" t="s">
        <v>48</v>
      </c>
      <c r="D20" t="str">
        <f t="shared" si="0"/>
        <v>Sim</v>
      </c>
    </row>
    <row r="21" spans="1:7" x14ac:dyDescent="0.25">
      <c r="A21" t="s">
        <v>38</v>
      </c>
      <c r="B21" t="s">
        <v>48</v>
      </c>
      <c r="C21" t="s">
        <v>48</v>
      </c>
      <c r="D21" t="str">
        <f t="shared" si="0"/>
        <v>Sim</v>
      </c>
    </row>
    <row r="22" spans="1:7" x14ac:dyDescent="0.25">
      <c r="A22" t="s">
        <v>38</v>
      </c>
      <c r="B22" t="s">
        <v>48</v>
      </c>
      <c r="C22" t="s">
        <v>48</v>
      </c>
      <c r="D22" t="str">
        <f t="shared" si="0"/>
        <v>Sim</v>
      </c>
    </row>
    <row r="23" spans="1:7" x14ac:dyDescent="0.25">
      <c r="A23" t="s">
        <v>38</v>
      </c>
      <c r="B23" t="s">
        <v>48</v>
      </c>
      <c r="C23" t="s">
        <v>48</v>
      </c>
      <c r="D23" t="str">
        <f t="shared" si="0"/>
        <v>Sim</v>
      </c>
    </row>
    <row r="24" spans="1:7" x14ac:dyDescent="0.25">
      <c r="A24" t="s">
        <v>38</v>
      </c>
      <c r="B24" t="s">
        <v>48</v>
      </c>
      <c r="C24" t="s">
        <v>48</v>
      </c>
      <c r="D24" t="str">
        <f t="shared" si="0"/>
        <v>Sim</v>
      </c>
    </row>
    <row r="25" spans="1:7" x14ac:dyDescent="0.25">
      <c r="A25" t="s">
        <v>38</v>
      </c>
      <c r="B25" t="s">
        <v>48</v>
      </c>
      <c r="C25" t="s">
        <v>48</v>
      </c>
      <c r="D25" t="str">
        <f t="shared" si="0"/>
        <v>Sim</v>
      </c>
    </row>
    <row r="26" spans="1:7" x14ac:dyDescent="0.25">
      <c r="A26" t="s">
        <v>38</v>
      </c>
      <c r="B26" t="s">
        <v>48</v>
      </c>
      <c r="C26" t="s">
        <v>48</v>
      </c>
      <c r="D26" t="str">
        <f t="shared" si="0"/>
        <v>Sim</v>
      </c>
    </row>
    <row r="27" spans="1:7" x14ac:dyDescent="0.25">
      <c r="A27" t="s">
        <v>38</v>
      </c>
      <c r="B27" t="s">
        <v>49</v>
      </c>
      <c r="C27" t="s">
        <v>49</v>
      </c>
      <c r="D27" t="str">
        <f t="shared" si="0"/>
        <v>Sim</v>
      </c>
    </row>
    <row r="28" spans="1:7" x14ac:dyDescent="0.25">
      <c r="A28" t="s">
        <v>38</v>
      </c>
      <c r="B28" t="s">
        <v>49</v>
      </c>
      <c r="C28" t="s">
        <v>49</v>
      </c>
      <c r="D28" t="str">
        <f t="shared" si="0"/>
        <v>Sim</v>
      </c>
    </row>
    <row r="29" spans="1:7" x14ac:dyDescent="0.25">
      <c r="A29" t="s">
        <v>38</v>
      </c>
      <c r="B29" t="s">
        <v>49</v>
      </c>
      <c r="C29" t="s">
        <v>49</v>
      </c>
      <c r="D29" t="str">
        <f t="shared" si="0"/>
        <v>Sim</v>
      </c>
    </row>
    <row r="30" spans="1:7" x14ac:dyDescent="0.25">
      <c r="A30" t="s">
        <v>38</v>
      </c>
      <c r="B30" t="s">
        <v>49</v>
      </c>
      <c r="C30" t="s">
        <v>49</v>
      </c>
      <c r="D30" t="str">
        <f t="shared" si="0"/>
        <v>Sim</v>
      </c>
    </row>
    <row r="31" spans="1:7" x14ac:dyDescent="0.25">
      <c r="A31" t="s">
        <v>38</v>
      </c>
      <c r="B31" t="s">
        <v>49</v>
      </c>
      <c r="C31" t="s">
        <v>49</v>
      </c>
      <c r="D31" t="str">
        <f t="shared" si="0"/>
        <v>Sim</v>
      </c>
    </row>
    <row r="32" spans="1:7" x14ac:dyDescent="0.25">
      <c r="A32" t="s">
        <v>38</v>
      </c>
      <c r="B32" t="s">
        <v>49</v>
      </c>
      <c r="C32" t="s">
        <v>49</v>
      </c>
      <c r="D32" t="str">
        <f t="shared" si="0"/>
        <v>Sim</v>
      </c>
    </row>
    <row r="33" spans="1:6" x14ac:dyDescent="0.25">
      <c r="A33" t="s">
        <v>38</v>
      </c>
      <c r="B33" t="s">
        <v>49</v>
      </c>
      <c r="C33" t="s">
        <v>49</v>
      </c>
      <c r="D33" t="str">
        <f t="shared" si="0"/>
        <v>Sim</v>
      </c>
    </row>
    <row r="34" spans="1:6" x14ac:dyDescent="0.25">
      <c r="A34" t="s">
        <v>38</v>
      </c>
      <c r="B34" t="s">
        <v>49</v>
      </c>
      <c r="C34" t="s">
        <v>49</v>
      </c>
      <c r="D34" t="str">
        <f t="shared" si="0"/>
        <v>Sim</v>
      </c>
    </row>
    <row r="35" spans="1:6" x14ac:dyDescent="0.25">
      <c r="A35" t="s">
        <v>38</v>
      </c>
      <c r="B35" t="s">
        <v>49</v>
      </c>
      <c r="C35" t="s">
        <v>49</v>
      </c>
      <c r="D35" t="str">
        <f t="shared" si="0"/>
        <v>Sim</v>
      </c>
    </row>
    <row r="36" spans="1:6" x14ac:dyDescent="0.25">
      <c r="A36" t="s">
        <v>38</v>
      </c>
      <c r="B36" t="s">
        <v>49</v>
      </c>
      <c r="C36" t="s">
        <v>49</v>
      </c>
      <c r="D36" t="str">
        <f t="shared" si="0"/>
        <v>Sim</v>
      </c>
    </row>
    <row r="37" spans="1:6" x14ac:dyDescent="0.25">
      <c r="A37" t="s">
        <v>38</v>
      </c>
      <c r="B37" t="s">
        <v>49</v>
      </c>
      <c r="C37" t="s">
        <v>49</v>
      </c>
      <c r="D37" t="str">
        <f t="shared" si="0"/>
        <v>Sim</v>
      </c>
    </row>
    <row r="38" spans="1:6" x14ac:dyDescent="0.25">
      <c r="A38" t="s">
        <v>38</v>
      </c>
      <c r="B38" t="s">
        <v>49</v>
      </c>
      <c r="C38" t="s">
        <v>49</v>
      </c>
      <c r="D38" t="str">
        <f t="shared" si="0"/>
        <v>Sim</v>
      </c>
    </row>
    <row r="39" spans="1:6" x14ac:dyDescent="0.25">
      <c r="A39" t="s">
        <v>44</v>
      </c>
      <c r="B39" s="23" t="s">
        <v>211</v>
      </c>
      <c r="C39" s="23" t="s">
        <v>211</v>
      </c>
      <c r="D39" t="str">
        <f t="shared" si="0"/>
        <v>Sim</v>
      </c>
    </row>
    <row r="40" spans="1:6" x14ac:dyDescent="0.25">
      <c r="A40" t="s">
        <v>44</v>
      </c>
      <c r="C40" t="s">
        <v>212</v>
      </c>
      <c r="D40" t="str">
        <f t="shared" si="0"/>
        <v>Não</v>
      </c>
    </row>
    <row r="41" spans="1:6" x14ac:dyDescent="0.25">
      <c r="A41" t="s">
        <v>44</v>
      </c>
      <c r="C41" t="s">
        <v>215</v>
      </c>
      <c r="D41" t="str">
        <f t="shared" si="0"/>
        <v>Não</v>
      </c>
    </row>
    <row r="42" spans="1:6" x14ac:dyDescent="0.25">
      <c r="A42" t="s">
        <v>44</v>
      </c>
      <c r="C42" t="s">
        <v>217</v>
      </c>
      <c r="D42" t="str">
        <f t="shared" si="0"/>
        <v>Não</v>
      </c>
    </row>
    <row r="43" spans="1:6" x14ac:dyDescent="0.25">
      <c r="A43" t="s">
        <v>44</v>
      </c>
      <c r="B43" s="23" t="s">
        <v>978</v>
      </c>
      <c r="C43" s="23" t="s">
        <v>978</v>
      </c>
      <c r="D43" t="str">
        <f t="shared" si="0"/>
        <v>Sim</v>
      </c>
    </row>
    <row r="44" spans="1:6" x14ac:dyDescent="0.25">
      <c r="A44" t="s">
        <v>44</v>
      </c>
      <c r="C44" t="s">
        <v>366</v>
      </c>
      <c r="D44" t="str">
        <f t="shared" si="0"/>
        <v>Não</v>
      </c>
    </row>
    <row r="45" spans="1:6" x14ac:dyDescent="0.25">
      <c r="A45" t="s">
        <v>44</v>
      </c>
      <c r="C45" t="s">
        <v>1902</v>
      </c>
      <c r="D45" t="str">
        <f t="shared" si="0"/>
        <v>Não</v>
      </c>
    </row>
    <row r="46" spans="1:6" x14ac:dyDescent="0.25">
      <c r="A46" t="s">
        <v>44</v>
      </c>
      <c r="C46" t="s">
        <v>1466</v>
      </c>
      <c r="D46" t="str">
        <f t="shared" si="0"/>
        <v>Não</v>
      </c>
    </row>
    <row r="47" spans="1:6" x14ac:dyDescent="0.25">
      <c r="A47" t="s">
        <v>44</v>
      </c>
      <c r="C47" t="s">
        <v>367</v>
      </c>
      <c r="D47" t="str">
        <f t="shared" si="0"/>
        <v>Não</v>
      </c>
      <c r="F47"/>
    </row>
    <row r="48" spans="1:6" x14ac:dyDescent="0.25">
      <c r="A48" t="s">
        <v>44</v>
      </c>
      <c r="C48" t="s">
        <v>1903</v>
      </c>
      <c r="D48" t="str">
        <f t="shared" si="0"/>
        <v>Não</v>
      </c>
    </row>
    <row r="49" spans="1:6" x14ac:dyDescent="0.25">
      <c r="A49" t="s">
        <v>45</v>
      </c>
      <c r="B49" s="23" t="s">
        <v>842</v>
      </c>
      <c r="C49" s="23" t="s">
        <v>842</v>
      </c>
      <c r="D49" t="str">
        <f t="shared" si="0"/>
        <v>Sim</v>
      </c>
    </row>
    <row r="50" spans="1:6" x14ac:dyDescent="0.25">
      <c r="A50" t="s">
        <v>45</v>
      </c>
      <c r="B50" s="23" t="s">
        <v>1002</v>
      </c>
      <c r="C50" s="23" t="s">
        <v>1002</v>
      </c>
      <c r="D50" t="str">
        <f t="shared" si="0"/>
        <v>Sim</v>
      </c>
    </row>
    <row r="51" spans="1:6" x14ac:dyDescent="0.25">
      <c r="A51" t="s">
        <v>45</v>
      </c>
      <c r="B51" t="s">
        <v>2084</v>
      </c>
      <c r="C51" t="s">
        <v>2084</v>
      </c>
      <c r="D51" t="str">
        <f t="shared" si="0"/>
        <v>Sim</v>
      </c>
    </row>
    <row r="52" spans="1:6" x14ac:dyDescent="0.25">
      <c r="A52" t="s">
        <v>45</v>
      </c>
      <c r="B52" t="s">
        <v>2076</v>
      </c>
      <c r="C52" t="s">
        <v>2076</v>
      </c>
      <c r="D52" t="str">
        <f t="shared" si="0"/>
        <v>Sim</v>
      </c>
    </row>
    <row r="53" spans="1:6" x14ac:dyDescent="0.25">
      <c r="A53" t="s">
        <v>45</v>
      </c>
      <c r="C53" t="s">
        <v>1900</v>
      </c>
      <c r="D53" t="str">
        <f t="shared" si="0"/>
        <v>Não</v>
      </c>
    </row>
    <row r="54" spans="1:6" x14ac:dyDescent="0.25">
      <c r="A54" t="s">
        <v>53</v>
      </c>
      <c r="B54" s="23" t="s">
        <v>966</v>
      </c>
      <c r="C54" s="23" t="s">
        <v>966</v>
      </c>
      <c r="D54" t="str">
        <f t="shared" si="0"/>
        <v>Sim</v>
      </c>
    </row>
    <row r="55" spans="1:6" x14ac:dyDescent="0.25">
      <c r="A55" t="s">
        <v>53</v>
      </c>
      <c r="B55" s="23" t="s">
        <v>967</v>
      </c>
      <c r="C55" s="23" t="s">
        <v>967</v>
      </c>
      <c r="D55" t="str">
        <f t="shared" si="0"/>
        <v>Sim</v>
      </c>
    </row>
    <row r="56" spans="1:6" x14ac:dyDescent="0.25">
      <c r="A56" t="s">
        <v>53</v>
      </c>
      <c r="B56" s="23" t="s">
        <v>968</v>
      </c>
      <c r="C56" s="23" t="s">
        <v>968</v>
      </c>
      <c r="D56" t="str">
        <f t="shared" si="0"/>
        <v>Sim</v>
      </c>
      <c r="F56"/>
    </row>
    <row r="57" spans="1:6" x14ac:dyDescent="0.25">
      <c r="A57" t="s">
        <v>53</v>
      </c>
      <c r="B57" s="23" t="s">
        <v>969</v>
      </c>
      <c r="C57" s="23" t="s">
        <v>969</v>
      </c>
      <c r="D57" t="str">
        <f t="shared" si="0"/>
        <v>Sim</v>
      </c>
      <c r="F57"/>
    </row>
    <row r="58" spans="1:6" x14ac:dyDescent="0.25">
      <c r="A58" t="s">
        <v>53</v>
      </c>
      <c r="B58" s="23" t="s">
        <v>970</v>
      </c>
      <c r="C58" s="23" t="s">
        <v>970</v>
      </c>
      <c r="D58" t="str">
        <f t="shared" si="0"/>
        <v>Sim</v>
      </c>
      <c r="F58"/>
    </row>
    <row r="59" spans="1:6" x14ac:dyDescent="0.25">
      <c r="A59" t="s">
        <v>73</v>
      </c>
      <c r="B59" s="23" t="s">
        <v>378</v>
      </c>
      <c r="C59" s="23" t="s">
        <v>378</v>
      </c>
      <c r="D59" t="str">
        <f t="shared" si="0"/>
        <v>Sim</v>
      </c>
      <c r="F59"/>
    </row>
    <row r="60" spans="1:6" x14ac:dyDescent="0.25">
      <c r="A60" t="s">
        <v>73</v>
      </c>
      <c r="B60" s="23" t="s">
        <v>985</v>
      </c>
      <c r="C60" s="23" t="s">
        <v>985</v>
      </c>
      <c r="D60" t="str">
        <f t="shared" si="0"/>
        <v>Sim</v>
      </c>
      <c r="F60"/>
    </row>
    <row r="61" spans="1:6" x14ac:dyDescent="0.25">
      <c r="A61" t="s">
        <v>73</v>
      </c>
      <c r="B61" s="23" t="s">
        <v>810</v>
      </c>
      <c r="C61" s="23" t="s">
        <v>810</v>
      </c>
      <c r="D61" t="str">
        <f t="shared" si="0"/>
        <v>Sim</v>
      </c>
    </row>
    <row r="62" spans="1:6" x14ac:dyDescent="0.25">
      <c r="A62" t="s">
        <v>73</v>
      </c>
      <c r="B62" s="23" t="s">
        <v>133</v>
      </c>
      <c r="C62" s="23" t="s">
        <v>133</v>
      </c>
      <c r="D62" t="str">
        <f t="shared" si="0"/>
        <v>Sim</v>
      </c>
      <c r="F62"/>
    </row>
    <row r="63" spans="1:6" x14ac:dyDescent="0.25">
      <c r="A63" t="s">
        <v>73</v>
      </c>
      <c r="B63" s="23" t="s">
        <v>722</v>
      </c>
      <c r="C63" s="23" t="s">
        <v>722</v>
      </c>
      <c r="D63" t="str">
        <f t="shared" ref="D63:D102" si="2">IF(B63=C63, "Sim", "Não")</f>
        <v>Sim</v>
      </c>
      <c r="F63"/>
    </row>
    <row r="64" spans="1:6" x14ac:dyDescent="0.25">
      <c r="A64" t="s">
        <v>947</v>
      </c>
      <c r="B64" s="23" t="s">
        <v>949</v>
      </c>
      <c r="C64" s="23" t="s">
        <v>949</v>
      </c>
      <c r="D64" t="str">
        <f t="shared" si="2"/>
        <v>Sim</v>
      </c>
      <c r="F64"/>
    </row>
    <row r="65" spans="1:6" x14ac:dyDescent="0.25">
      <c r="A65" t="s">
        <v>947</v>
      </c>
      <c r="C65" t="s">
        <v>951</v>
      </c>
      <c r="D65" t="str">
        <f t="shared" si="2"/>
        <v>Não</v>
      </c>
      <c r="F65"/>
    </row>
    <row r="66" spans="1:6" x14ac:dyDescent="0.25">
      <c r="A66" t="s">
        <v>947</v>
      </c>
      <c r="B66" s="23" t="s">
        <v>952</v>
      </c>
      <c r="C66" s="23" t="s">
        <v>952</v>
      </c>
      <c r="D66" t="str">
        <f t="shared" si="2"/>
        <v>Sim</v>
      </c>
      <c r="F66"/>
    </row>
    <row r="67" spans="1:6" x14ac:dyDescent="0.25">
      <c r="A67" t="s">
        <v>947</v>
      </c>
      <c r="B67" s="23" t="s">
        <v>953</v>
      </c>
      <c r="C67" s="23" t="s">
        <v>953</v>
      </c>
      <c r="D67" t="str">
        <f t="shared" si="2"/>
        <v>Sim</v>
      </c>
      <c r="F67"/>
    </row>
    <row r="68" spans="1:6" x14ac:dyDescent="0.25">
      <c r="A68" t="s">
        <v>947</v>
      </c>
      <c r="C68" t="s">
        <v>1893</v>
      </c>
      <c r="D68" t="str">
        <f t="shared" si="2"/>
        <v>Não</v>
      </c>
      <c r="F68" s="5"/>
    </row>
    <row r="69" spans="1:6" x14ac:dyDescent="0.25">
      <c r="A69" t="s">
        <v>947</v>
      </c>
      <c r="B69" s="23" t="s">
        <v>447</v>
      </c>
      <c r="C69" s="23" t="s">
        <v>447</v>
      </c>
      <c r="D69" t="str">
        <f t="shared" si="2"/>
        <v>Sim</v>
      </c>
      <c r="F69" s="5"/>
    </row>
    <row r="70" spans="1:6" x14ac:dyDescent="0.25">
      <c r="A70" t="s">
        <v>947</v>
      </c>
      <c r="B70" s="23" t="s">
        <v>954</v>
      </c>
      <c r="C70" s="23" t="s">
        <v>954</v>
      </c>
      <c r="D70" t="str">
        <f t="shared" si="2"/>
        <v>Sim</v>
      </c>
      <c r="F70" s="5"/>
    </row>
    <row r="71" spans="1:6" x14ac:dyDescent="0.25">
      <c r="A71" t="s">
        <v>947</v>
      </c>
      <c r="C71" t="s">
        <v>956</v>
      </c>
      <c r="D71" t="str">
        <f t="shared" si="2"/>
        <v>Não</v>
      </c>
    </row>
    <row r="72" spans="1:6" x14ac:dyDescent="0.25">
      <c r="A72" t="s">
        <v>947</v>
      </c>
      <c r="B72" s="23" t="s">
        <v>957</v>
      </c>
      <c r="C72" s="23" t="s">
        <v>957</v>
      </c>
      <c r="D72" t="str">
        <f t="shared" si="2"/>
        <v>Sim</v>
      </c>
    </row>
    <row r="73" spans="1:6" x14ac:dyDescent="0.25">
      <c r="A73" t="s">
        <v>947</v>
      </c>
      <c r="B73" s="23" t="s">
        <v>958</v>
      </c>
      <c r="C73" s="23" t="s">
        <v>958</v>
      </c>
      <c r="D73" t="str">
        <f t="shared" si="2"/>
        <v>Sim</v>
      </c>
    </row>
    <row r="74" spans="1:6" x14ac:dyDescent="0.25">
      <c r="A74" t="s">
        <v>947</v>
      </c>
      <c r="B74" s="23" t="s">
        <v>959</v>
      </c>
      <c r="C74" s="23" t="s">
        <v>959</v>
      </c>
      <c r="D74" t="str">
        <f t="shared" si="2"/>
        <v>Sim</v>
      </c>
    </row>
    <row r="75" spans="1:6" x14ac:dyDescent="0.25">
      <c r="A75" t="s">
        <v>947</v>
      </c>
      <c r="B75" s="23" t="s">
        <v>960</v>
      </c>
      <c r="C75" s="23" t="s">
        <v>960</v>
      </c>
      <c r="D75" t="str">
        <f t="shared" si="2"/>
        <v>Sim</v>
      </c>
    </row>
    <row r="76" spans="1:6" x14ac:dyDescent="0.25">
      <c r="A76" t="s">
        <v>947</v>
      </c>
      <c r="B76" s="23" t="s">
        <v>961</v>
      </c>
      <c r="C76" s="23" t="s">
        <v>961</v>
      </c>
      <c r="D76" t="str">
        <f t="shared" si="2"/>
        <v>Sim</v>
      </c>
      <c r="F76"/>
    </row>
    <row r="77" spans="1:6" x14ac:dyDescent="0.25">
      <c r="A77" t="s">
        <v>947</v>
      </c>
      <c r="B77" s="23" t="s">
        <v>962</v>
      </c>
      <c r="C77" s="23" t="s">
        <v>962</v>
      </c>
      <c r="D77" t="str">
        <f t="shared" si="2"/>
        <v>Sim</v>
      </c>
      <c r="F77"/>
    </row>
    <row r="78" spans="1:6" x14ac:dyDescent="0.25">
      <c r="A78" t="s">
        <v>947</v>
      </c>
      <c r="B78" s="23" t="s">
        <v>963</v>
      </c>
      <c r="C78" s="23" t="s">
        <v>963</v>
      </c>
      <c r="D78" t="str">
        <f t="shared" si="2"/>
        <v>Sim</v>
      </c>
      <c r="E78" s="5"/>
    </row>
    <row r="79" spans="1:6" x14ac:dyDescent="0.25">
      <c r="A79" t="s">
        <v>947</v>
      </c>
      <c r="B79" s="23" t="s">
        <v>964</v>
      </c>
      <c r="C79" s="23" t="s">
        <v>964</v>
      </c>
      <c r="D79" t="str">
        <f t="shared" si="2"/>
        <v>Sim</v>
      </c>
    </row>
    <row r="80" spans="1:6" x14ac:dyDescent="0.25">
      <c r="A80" t="s">
        <v>947</v>
      </c>
      <c r="B80" s="23" t="s">
        <v>950</v>
      </c>
      <c r="C80" s="23" t="s">
        <v>950</v>
      </c>
      <c r="D80" t="str">
        <f t="shared" si="2"/>
        <v>Sim</v>
      </c>
    </row>
    <row r="81" spans="1:6" x14ac:dyDescent="0.25">
      <c r="A81" t="s">
        <v>947</v>
      </c>
      <c r="B81" s="23" t="s">
        <v>1896</v>
      </c>
      <c r="C81" s="23" t="s">
        <v>1896</v>
      </c>
      <c r="D81" t="str">
        <f t="shared" si="2"/>
        <v>Sim</v>
      </c>
      <c r="E81" s="5"/>
    </row>
    <row r="82" spans="1:6" x14ac:dyDescent="0.25">
      <c r="A82" t="s">
        <v>947</v>
      </c>
      <c r="C82" t="s">
        <v>1897</v>
      </c>
      <c r="D82" t="str">
        <f t="shared" si="2"/>
        <v>Não</v>
      </c>
      <c r="F82" s="5"/>
    </row>
    <row r="83" spans="1:6" x14ac:dyDescent="0.25">
      <c r="A83" t="s">
        <v>156</v>
      </c>
      <c r="B83" s="23" t="s">
        <v>975</v>
      </c>
      <c r="C83" s="23" t="s">
        <v>975</v>
      </c>
      <c r="D83" t="str">
        <f t="shared" si="2"/>
        <v>Sim</v>
      </c>
      <c r="F83" s="5"/>
    </row>
    <row r="84" spans="1:6" x14ac:dyDescent="0.25">
      <c r="A84" t="s">
        <v>156</v>
      </c>
      <c r="B84" s="23" t="s">
        <v>972</v>
      </c>
      <c r="C84" s="23" t="s">
        <v>972</v>
      </c>
      <c r="D84" t="str">
        <f t="shared" si="2"/>
        <v>Sim</v>
      </c>
      <c r="F84" s="5"/>
    </row>
    <row r="85" spans="1:6" x14ac:dyDescent="0.25">
      <c r="A85" t="s">
        <v>156</v>
      </c>
      <c r="B85" s="23" t="s">
        <v>971</v>
      </c>
      <c r="C85" s="23" t="s">
        <v>971</v>
      </c>
      <c r="D85" t="str">
        <f t="shared" si="2"/>
        <v>Sim</v>
      </c>
      <c r="F85" s="5"/>
    </row>
    <row r="86" spans="1:6" x14ac:dyDescent="0.25">
      <c r="A86" t="s">
        <v>156</v>
      </c>
      <c r="B86" s="23" t="s">
        <v>974</v>
      </c>
      <c r="C86" s="23" t="s">
        <v>974</v>
      </c>
      <c r="D86" t="str">
        <f t="shared" si="2"/>
        <v>Sim</v>
      </c>
      <c r="F86" s="5"/>
    </row>
    <row r="87" spans="1:6" x14ac:dyDescent="0.25">
      <c r="A87" t="s">
        <v>156</v>
      </c>
      <c r="B87" s="23" t="s">
        <v>976</v>
      </c>
      <c r="C87" s="23" t="s">
        <v>976</v>
      </c>
      <c r="D87" t="str">
        <f t="shared" si="2"/>
        <v>Sim</v>
      </c>
    </row>
    <row r="88" spans="1:6" x14ac:dyDescent="0.25">
      <c r="A88" t="s">
        <v>156</v>
      </c>
      <c r="B88" t="s">
        <v>2083</v>
      </c>
      <c r="C88" t="s">
        <v>2083</v>
      </c>
      <c r="D88" t="str">
        <f t="shared" si="2"/>
        <v>Sim</v>
      </c>
    </row>
    <row r="89" spans="1:6" x14ac:dyDescent="0.25">
      <c r="A89" t="s">
        <v>156</v>
      </c>
      <c r="C89" t="s">
        <v>1895</v>
      </c>
      <c r="D89" t="str">
        <f t="shared" si="2"/>
        <v>Não</v>
      </c>
    </row>
    <row r="90" spans="1:6" x14ac:dyDescent="0.25">
      <c r="A90" t="s">
        <v>156</v>
      </c>
      <c r="B90" s="23" t="s">
        <v>979</v>
      </c>
      <c r="C90" s="23" t="s">
        <v>979</v>
      </c>
      <c r="D90" t="str">
        <f>IF(B90=C90, "Sim", "Não")</f>
        <v>Sim</v>
      </c>
    </row>
    <row r="91" spans="1:6" x14ac:dyDescent="0.25">
      <c r="A91" t="s">
        <v>156</v>
      </c>
      <c r="B91" s="23" t="s">
        <v>980</v>
      </c>
      <c r="C91" s="23" t="s">
        <v>980</v>
      </c>
      <c r="D91" t="str">
        <f>IF(B91=C91, "Sim", "Não")</f>
        <v>Sim</v>
      </c>
    </row>
    <row r="92" spans="1:6" x14ac:dyDescent="0.25">
      <c r="A92" t="s">
        <v>156</v>
      </c>
      <c r="B92" s="23" t="s">
        <v>981</v>
      </c>
      <c r="C92" s="23" t="s">
        <v>981</v>
      </c>
      <c r="D92" t="str">
        <f t="shared" si="2"/>
        <v>Sim</v>
      </c>
      <c r="F92"/>
    </row>
    <row r="93" spans="1:6" x14ac:dyDescent="0.25">
      <c r="A93" t="s">
        <v>156</v>
      </c>
      <c r="B93" t="s">
        <v>982</v>
      </c>
      <c r="C93" t="s">
        <v>982</v>
      </c>
      <c r="D93" t="str">
        <f t="shared" si="2"/>
        <v>Sim</v>
      </c>
      <c r="F93"/>
    </row>
    <row r="94" spans="1:6" x14ac:dyDescent="0.25">
      <c r="A94" t="s">
        <v>156</v>
      </c>
      <c r="B94" s="23" t="s">
        <v>983</v>
      </c>
      <c r="C94" s="23" t="s">
        <v>983</v>
      </c>
      <c r="D94" t="str">
        <f t="shared" si="2"/>
        <v>Sim</v>
      </c>
      <c r="F94"/>
    </row>
    <row r="95" spans="1:6" x14ac:dyDescent="0.25">
      <c r="A95" t="s">
        <v>156</v>
      </c>
      <c r="B95" s="23" t="s">
        <v>984</v>
      </c>
      <c r="C95" s="23" t="s">
        <v>984</v>
      </c>
      <c r="D95" t="str">
        <f t="shared" si="2"/>
        <v>Sim</v>
      </c>
    </row>
    <row r="96" spans="1:6" x14ac:dyDescent="0.25">
      <c r="A96" t="s">
        <v>156</v>
      </c>
      <c r="B96" t="s">
        <v>1894</v>
      </c>
      <c r="C96" t="s">
        <v>1894</v>
      </c>
      <c r="D96" t="str">
        <f t="shared" si="2"/>
        <v>Sim</v>
      </c>
    </row>
    <row r="97" spans="1:6" x14ac:dyDescent="0.25">
      <c r="A97" t="s">
        <v>156</v>
      </c>
      <c r="B97" t="s">
        <v>1901</v>
      </c>
      <c r="C97" t="s">
        <v>1901</v>
      </c>
      <c r="D97" t="str">
        <f>IF(B97=C97, "Sim", "Não")</f>
        <v>Sim</v>
      </c>
    </row>
    <row r="98" spans="1:6" x14ac:dyDescent="0.25">
      <c r="A98" t="s">
        <v>156</v>
      </c>
      <c r="B98" s="5"/>
      <c r="C98" s="5" t="s">
        <v>1899</v>
      </c>
      <c r="D98" t="str">
        <f>IF(B98=C98, "Sim", "Não")</f>
        <v>Não</v>
      </c>
      <c r="F98"/>
    </row>
    <row r="99" spans="1:6" x14ac:dyDescent="0.25">
      <c r="A99" t="s">
        <v>156</v>
      </c>
      <c r="B99" s="5" t="s">
        <v>1898</v>
      </c>
      <c r="C99" s="5" t="s">
        <v>1898</v>
      </c>
      <c r="D99" t="str">
        <f>IF(B99=C99, "Sim", "Não")</f>
        <v>Sim</v>
      </c>
    </row>
    <row r="100" spans="1:6" x14ac:dyDescent="0.25">
      <c r="A100" t="s">
        <v>156</v>
      </c>
      <c r="B100" s="23" t="s">
        <v>260</v>
      </c>
      <c r="C100" s="23" t="s">
        <v>260</v>
      </c>
      <c r="D100" t="str">
        <f t="shared" si="2"/>
        <v>Sim</v>
      </c>
    </row>
    <row r="101" spans="1:6" x14ac:dyDescent="0.25">
      <c r="A101" t="s">
        <v>156</v>
      </c>
      <c r="B101" s="24" t="s">
        <v>997</v>
      </c>
      <c r="C101" s="24" t="s">
        <v>997</v>
      </c>
      <c r="D101" t="str">
        <f t="shared" si="2"/>
        <v>Sim</v>
      </c>
    </row>
    <row r="102" spans="1:6" x14ac:dyDescent="0.25">
      <c r="A102" t="s">
        <v>156</v>
      </c>
      <c r="B102" s="23" t="s">
        <v>1568</v>
      </c>
      <c r="C102" s="23" t="s">
        <v>1568</v>
      </c>
      <c r="D102" t="str">
        <f t="shared" si="2"/>
        <v>Sim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98A16-6CA0-4541-8314-7615E670E233}">
  <sheetPr codeName="Planilha8"/>
  <dimension ref="A1:J100"/>
  <sheetViews>
    <sheetView topLeftCell="A81" workbookViewId="0">
      <selection activeCell="C94" sqref="C94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style="3" customWidth="1"/>
    <col min="5" max="5" width="4.28515625" customWidth="1"/>
    <col min="6" max="6" width="22.7109375" style="3" customWidth="1"/>
    <col min="7" max="7" width="8.7109375" customWidth="1"/>
    <col min="9" max="9" width="22.28515625" style="3" bestFit="1" customWidth="1"/>
    <col min="10" max="10" width="9.140625" style="3"/>
  </cols>
  <sheetData>
    <row r="1" spans="1:10" ht="21" x14ac:dyDescent="0.25">
      <c r="A1" s="28" t="s">
        <v>265</v>
      </c>
      <c r="B1" s="28"/>
      <c r="C1" s="28"/>
      <c r="D1" s="28"/>
      <c r="E1" s="28"/>
      <c r="F1" s="28"/>
      <c r="G1" s="28"/>
      <c r="I1" s="29" t="s">
        <v>266</v>
      </c>
      <c r="J1" s="29"/>
    </row>
    <row r="2" spans="1:10" x14ac:dyDescent="0.25">
      <c r="A2" s="4" t="s">
        <v>34</v>
      </c>
      <c r="B2" s="4" t="s">
        <v>35</v>
      </c>
      <c r="C2" s="4" t="s">
        <v>36</v>
      </c>
      <c r="D2" s="4" t="s">
        <v>37</v>
      </c>
      <c r="I2" s="4" t="s">
        <v>267</v>
      </c>
      <c r="J2" s="4" t="s">
        <v>1</v>
      </c>
    </row>
    <row r="3" spans="1:10" x14ac:dyDescent="0.25">
      <c r="A3" t="s">
        <v>38</v>
      </c>
      <c r="B3" t="s">
        <v>268</v>
      </c>
      <c r="C3" t="s">
        <v>268</v>
      </c>
      <c r="D3" s="3" t="str">
        <f>IF(B3=C3, "Sim", "Não")</f>
        <v>Sim</v>
      </c>
      <c r="F3" s="4" t="s">
        <v>39</v>
      </c>
      <c r="G3" s="3">
        <f>COUNTIF(D3:D100,"Não")</f>
        <v>7</v>
      </c>
    </row>
    <row r="4" spans="1:10" x14ac:dyDescent="0.25">
      <c r="A4" t="s">
        <v>38</v>
      </c>
      <c r="B4" t="s">
        <v>269</v>
      </c>
      <c r="C4" t="s">
        <v>269</v>
      </c>
      <c r="D4" s="3" t="str">
        <f t="shared" ref="D4:D59" si="0">IF(B4=C4, "Sim", "Não")</f>
        <v>Sim</v>
      </c>
      <c r="F4" s="4" t="s">
        <v>40</v>
      </c>
      <c r="G4" s="3">
        <f>SUM(G7:G25)</f>
        <v>98</v>
      </c>
    </row>
    <row r="5" spans="1:10" x14ac:dyDescent="0.25">
      <c r="A5" t="s">
        <v>38</v>
      </c>
      <c r="B5" t="s">
        <v>270</v>
      </c>
      <c r="C5" t="s">
        <v>270</v>
      </c>
      <c r="D5" s="3" t="str">
        <f t="shared" si="0"/>
        <v>Sim</v>
      </c>
    </row>
    <row r="6" spans="1:10" x14ac:dyDescent="0.25">
      <c r="A6" t="s">
        <v>38</v>
      </c>
      <c r="B6" t="s">
        <v>271</v>
      </c>
      <c r="C6" t="s">
        <v>271</v>
      </c>
      <c r="D6" s="3" t="str">
        <f t="shared" si="0"/>
        <v>Sim</v>
      </c>
      <c r="F6" s="6" t="s">
        <v>42</v>
      </c>
      <c r="G6" s="1"/>
    </row>
    <row r="7" spans="1:10" x14ac:dyDescent="0.25">
      <c r="A7" t="s">
        <v>38</v>
      </c>
      <c r="B7" t="s">
        <v>272</v>
      </c>
      <c r="C7" t="s">
        <v>272</v>
      </c>
      <c r="D7" s="3" t="str">
        <f t="shared" si="0"/>
        <v>Sim</v>
      </c>
      <c r="F7" s="7" t="s">
        <v>38</v>
      </c>
      <c r="G7" s="2">
        <f t="shared" ref="G7:G15" si="1">COUNTIF(A:A,F7)</f>
        <v>34</v>
      </c>
    </row>
    <row r="8" spans="1:10" x14ac:dyDescent="0.25">
      <c r="A8" t="s">
        <v>38</v>
      </c>
      <c r="B8" t="s">
        <v>273</v>
      </c>
      <c r="C8" t="s">
        <v>273</v>
      </c>
      <c r="D8" s="3" t="str">
        <f t="shared" si="0"/>
        <v>Sim</v>
      </c>
      <c r="F8" s="7" t="s">
        <v>44</v>
      </c>
      <c r="G8" s="2">
        <f t="shared" si="1"/>
        <v>12</v>
      </c>
    </row>
    <row r="9" spans="1:10" x14ac:dyDescent="0.25">
      <c r="A9" t="s">
        <v>38</v>
      </c>
      <c r="B9" t="s">
        <v>274</v>
      </c>
      <c r="C9" t="s">
        <v>274</v>
      </c>
      <c r="D9" s="3" t="str">
        <f t="shared" si="0"/>
        <v>Sim</v>
      </c>
      <c r="F9" s="7" t="s">
        <v>45</v>
      </c>
      <c r="G9" s="2">
        <f t="shared" si="1"/>
        <v>6</v>
      </c>
    </row>
    <row r="10" spans="1:10" x14ac:dyDescent="0.25">
      <c r="A10" t="s">
        <v>38</v>
      </c>
      <c r="B10" t="s">
        <v>275</v>
      </c>
      <c r="C10" t="s">
        <v>276</v>
      </c>
      <c r="D10" s="3" t="str">
        <f t="shared" si="0"/>
        <v>Não</v>
      </c>
      <c r="F10" s="7" t="s">
        <v>277</v>
      </c>
      <c r="G10" s="2">
        <f t="shared" si="1"/>
        <v>4</v>
      </c>
    </row>
    <row r="11" spans="1:10" x14ac:dyDescent="0.25">
      <c r="A11" t="s">
        <v>38</v>
      </c>
      <c r="B11" t="s">
        <v>278</v>
      </c>
      <c r="C11" t="s">
        <v>278</v>
      </c>
      <c r="D11" s="3" t="str">
        <f t="shared" si="0"/>
        <v>Sim</v>
      </c>
      <c r="F11" s="3" t="s">
        <v>285</v>
      </c>
      <c r="G11" s="2">
        <f t="shared" si="1"/>
        <v>6</v>
      </c>
    </row>
    <row r="12" spans="1:10" x14ac:dyDescent="0.25">
      <c r="A12" t="s">
        <v>38</v>
      </c>
      <c r="B12" t="s">
        <v>280</v>
      </c>
      <c r="C12" t="s">
        <v>280</v>
      </c>
      <c r="D12" s="3" t="str">
        <f t="shared" si="0"/>
        <v>Sim</v>
      </c>
      <c r="F12" s="7" t="s">
        <v>46</v>
      </c>
      <c r="G12" s="2">
        <f t="shared" si="1"/>
        <v>5</v>
      </c>
    </row>
    <row r="13" spans="1:10" x14ac:dyDescent="0.25">
      <c r="A13" t="s">
        <v>38</v>
      </c>
      <c r="B13" t="s">
        <v>281</v>
      </c>
      <c r="C13" t="s">
        <v>281</v>
      </c>
      <c r="D13" s="3" t="str">
        <f t="shared" si="0"/>
        <v>Sim</v>
      </c>
      <c r="F13" s="7" t="s">
        <v>282</v>
      </c>
      <c r="G13" s="2">
        <f t="shared" si="1"/>
        <v>5</v>
      </c>
    </row>
    <row r="14" spans="1:10" x14ac:dyDescent="0.25">
      <c r="A14" t="s">
        <v>38</v>
      </c>
      <c r="B14" t="s">
        <v>283</v>
      </c>
      <c r="C14" t="s">
        <v>283</v>
      </c>
      <c r="D14" s="3" t="str">
        <f t="shared" si="0"/>
        <v>Sim</v>
      </c>
      <c r="F14" s="7" t="s">
        <v>75</v>
      </c>
      <c r="G14" s="2">
        <f t="shared" si="1"/>
        <v>22</v>
      </c>
    </row>
    <row r="15" spans="1:10" x14ac:dyDescent="0.25">
      <c r="A15" t="s">
        <v>38</v>
      </c>
      <c r="B15" t="s">
        <v>284</v>
      </c>
      <c r="C15" t="s">
        <v>284</v>
      </c>
      <c r="D15" s="3" t="str">
        <f t="shared" si="0"/>
        <v>Sim</v>
      </c>
      <c r="F15" s="3" t="s">
        <v>1907</v>
      </c>
      <c r="G15" s="2">
        <f t="shared" si="1"/>
        <v>4</v>
      </c>
    </row>
    <row r="16" spans="1:10" x14ac:dyDescent="0.25">
      <c r="A16" t="s">
        <v>38</v>
      </c>
      <c r="B16" t="s">
        <v>150</v>
      </c>
      <c r="C16" t="s">
        <v>150</v>
      </c>
      <c r="D16" s="3" t="str">
        <f t="shared" si="0"/>
        <v>Sim</v>
      </c>
      <c r="F16" s="4"/>
      <c r="G16" s="2"/>
    </row>
    <row r="17" spans="1:7" x14ac:dyDescent="0.25">
      <c r="A17" t="s">
        <v>38</v>
      </c>
      <c r="B17" t="s">
        <v>43</v>
      </c>
      <c r="C17" t="s">
        <v>43</v>
      </c>
      <c r="D17" s="3" t="str">
        <f t="shared" si="0"/>
        <v>Sim</v>
      </c>
      <c r="G17" s="2"/>
    </row>
    <row r="18" spans="1:7" x14ac:dyDescent="0.25">
      <c r="A18" t="s">
        <v>38</v>
      </c>
      <c r="B18" t="s">
        <v>72</v>
      </c>
      <c r="C18" t="s">
        <v>72</v>
      </c>
      <c r="D18" s="3" t="str">
        <f t="shared" si="0"/>
        <v>Sim</v>
      </c>
      <c r="G18" s="2"/>
    </row>
    <row r="19" spans="1:7" x14ac:dyDescent="0.25">
      <c r="A19" t="s">
        <v>38</v>
      </c>
      <c r="B19" t="s">
        <v>286</v>
      </c>
      <c r="C19" t="s">
        <v>286</v>
      </c>
      <c r="D19" s="3" t="str">
        <f t="shared" si="0"/>
        <v>Sim</v>
      </c>
      <c r="G19" s="2"/>
    </row>
    <row r="20" spans="1:7" x14ac:dyDescent="0.25">
      <c r="A20" t="s">
        <v>38</v>
      </c>
      <c r="B20" t="s">
        <v>148</v>
      </c>
      <c r="C20" t="s">
        <v>148</v>
      </c>
      <c r="D20" s="3" t="str">
        <f t="shared" si="0"/>
        <v>Sim</v>
      </c>
      <c r="G20" s="2"/>
    </row>
    <row r="21" spans="1:7" x14ac:dyDescent="0.25">
      <c r="A21" t="s">
        <v>38</v>
      </c>
      <c r="B21" t="s">
        <v>74</v>
      </c>
      <c r="C21" t="s">
        <v>74</v>
      </c>
      <c r="D21" s="3" t="str">
        <f t="shared" si="0"/>
        <v>Sim</v>
      </c>
      <c r="G21" s="2"/>
    </row>
    <row r="22" spans="1:7" x14ac:dyDescent="0.25">
      <c r="A22" t="s">
        <v>38</v>
      </c>
      <c r="B22" t="s">
        <v>287</v>
      </c>
      <c r="C22" t="s">
        <v>287</v>
      </c>
      <c r="D22" s="3" t="str">
        <f t="shared" si="0"/>
        <v>Sim</v>
      </c>
      <c r="G22" s="2"/>
    </row>
    <row r="23" spans="1:7" x14ac:dyDescent="0.25">
      <c r="A23" t="s">
        <v>38</v>
      </c>
      <c r="B23" t="s">
        <v>288</v>
      </c>
      <c r="C23" t="s">
        <v>288</v>
      </c>
      <c r="D23" s="3" t="str">
        <f t="shared" si="0"/>
        <v>Sim</v>
      </c>
      <c r="G23" s="2"/>
    </row>
    <row r="24" spans="1:7" x14ac:dyDescent="0.25">
      <c r="A24" t="s">
        <v>38</v>
      </c>
      <c r="B24" t="s">
        <v>289</v>
      </c>
      <c r="C24" t="s">
        <v>289</v>
      </c>
      <c r="D24" s="3" t="str">
        <f t="shared" si="0"/>
        <v>Sim</v>
      </c>
      <c r="G24" s="2"/>
    </row>
    <row r="25" spans="1:7" x14ac:dyDescent="0.25">
      <c r="A25" t="s">
        <v>38</v>
      </c>
      <c r="B25" t="s">
        <v>290</v>
      </c>
      <c r="C25" t="s">
        <v>290</v>
      </c>
      <c r="D25" s="3" t="str">
        <f t="shared" si="0"/>
        <v>Sim</v>
      </c>
      <c r="G25" s="2"/>
    </row>
    <row r="26" spans="1:7" x14ac:dyDescent="0.25">
      <c r="A26" t="s">
        <v>38</v>
      </c>
      <c r="B26" t="s">
        <v>63</v>
      </c>
      <c r="C26" t="s">
        <v>63</v>
      </c>
      <c r="D26" s="3" t="str">
        <f t="shared" si="0"/>
        <v>Sim</v>
      </c>
      <c r="G26" s="2"/>
    </row>
    <row r="27" spans="1:7" x14ac:dyDescent="0.25">
      <c r="A27" t="s">
        <v>38</v>
      </c>
      <c r="B27" t="s">
        <v>90</v>
      </c>
      <c r="C27" t="s">
        <v>1967</v>
      </c>
      <c r="D27" s="3" t="str">
        <f t="shared" si="0"/>
        <v>Não</v>
      </c>
      <c r="G27" s="2"/>
    </row>
    <row r="28" spans="1:7" x14ac:dyDescent="0.25">
      <c r="A28" t="s">
        <v>38</v>
      </c>
      <c r="B28" t="s">
        <v>210</v>
      </c>
      <c r="C28" t="s">
        <v>210</v>
      </c>
      <c r="D28" s="3" t="str">
        <f t="shared" si="0"/>
        <v>Sim</v>
      </c>
      <c r="G28" s="2"/>
    </row>
    <row r="29" spans="1:7" x14ac:dyDescent="0.25">
      <c r="A29" t="s">
        <v>38</v>
      </c>
      <c r="B29" t="s">
        <v>210</v>
      </c>
      <c r="C29" t="s">
        <v>210</v>
      </c>
      <c r="D29" s="3" t="str">
        <f>IF(B29=C29, "Sim", "Não")</f>
        <v>Sim</v>
      </c>
    </row>
    <row r="30" spans="1:7" x14ac:dyDescent="0.25">
      <c r="A30" t="s">
        <v>38</v>
      </c>
      <c r="B30" t="s">
        <v>91</v>
      </c>
      <c r="C30" t="s">
        <v>91</v>
      </c>
      <c r="D30" s="3" t="str">
        <f t="shared" si="0"/>
        <v>Sim</v>
      </c>
      <c r="G30" s="2"/>
    </row>
    <row r="31" spans="1:7" x14ac:dyDescent="0.25">
      <c r="A31" t="s">
        <v>38</v>
      </c>
      <c r="B31" t="s">
        <v>91</v>
      </c>
      <c r="C31" t="s">
        <v>91</v>
      </c>
      <c r="D31" s="3" t="str">
        <f t="shared" si="0"/>
        <v>Sim</v>
      </c>
      <c r="G31" s="2"/>
    </row>
    <row r="32" spans="1:7" x14ac:dyDescent="0.25">
      <c r="A32" t="s">
        <v>38</v>
      </c>
      <c r="B32" t="s">
        <v>91</v>
      </c>
      <c r="C32" t="s">
        <v>91</v>
      </c>
      <c r="D32" s="3" t="str">
        <f t="shared" si="0"/>
        <v>Sim</v>
      </c>
      <c r="G32" s="2"/>
    </row>
    <row r="33" spans="1:7" x14ac:dyDescent="0.25">
      <c r="A33" t="s">
        <v>38</v>
      </c>
      <c r="B33" t="s">
        <v>91</v>
      </c>
      <c r="C33" t="s">
        <v>91</v>
      </c>
      <c r="D33" s="3" t="str">
        <f t="shared" si="0"/>
        <v>Sim</v>
      </c>
      <c r="G33" s="2"/>
    </row>
    <row r="34" spans="1:7" x14ac:dyDescent="0.25">
      <c r="A34" t="s">
        <v>38</v>
      </c>
      <c r="B34" t="s">
        <v>90</v>
      </c>
      <c r="C34" t="s">
        <v>90</v>
      </c>
      <c r="D34" s="3" t="str">
        <f t="shared" si="0"/>
        <v>Sim</v>
      </c>
      <c r="G34" s="2"/>
    </row>
    <row r="35" spans="1:7" x14ac:dyDescent="0.25">
      <c r="A35" t="s">
        <v>38</v>
      </c>
      <c r="B35" t="s">
        <v>90</v>
      </c>
      <c r="C35" t="s">
        <v>90</v>
      </c>
      <c r="D35" s="3" t="str">
        <f t="shared" si="0"/>
        <v>Sim</v>
      </c>
      <c r="G35" s="2"/>
    </row>
    <row r="36" spans="1:7" x14ac:dyDescent="0.25">
      <c r="A36" t="s">
        <v>38</v>
      </c>
      <c r="B36" t="s">
        <v>90</v>
      </c>
      <c r="C36" t="s">
        <v>90</v>
      </c>
      <c r="D36" s="3" t="str">
        <f>IF(B36=C36, "Sim", "Não")</f>
        <v>Sim</v>
      </c>
    </row>
    <row r="37" spans="1:7" x14ac:dyDescent="0.25">
      <c r="A37" t="s">
        <v>44</v>
      </c>
      <c r="B37" t="s">
        <v>211</v>
      </c>
      <c r="C37" t="s">
        <v>211</v>
      </c>
      <c r="D37" s="3" t="str">
        <f t="shared" si="0"/>
        <v>Sim</v>
      </c>
      <c r="G37" s="2"/>
    </row>
    <row r="38" spans="1:7" x14ac:dyDescent="0.25">
      <c r="A38" t="s">
        <v>44</v>
      </c>
      <c r="B38" t="s">
        <v>292</v>
      </c>
      <c r="C38" t="s">
        <v>292</v>
      </c>
      <c r="D38" s="3" t="str">
        <f t="shared" si="0"/>
        <v>Sim</v>
      </c>
      <c r="G38" s="2"/>
    </row>
    <row r="39" spans="1:7" x14ac:dyDescent="0.25">
      <c r="A39" t="s">
        <v>44</v>
      </c>
      <c r="B39" t="s">
        <v>293</v>
      </c>
      <c r="C39" t="s">
        <v>293</v>
      </c>
      <c r="D39" s="3" t="str">
        <f t="shared" si="0"/>
        <v>Sim</v>
      </c>
    </row>
    <row r="40" spans="1:7" x14ac:dyDescent="0.25">
      <c r="A40" t="s">
        <v>44</v>
      </c>
      <c r="B40" t="s">
        <v>294</v>
      </c>
      <c r="C40" t="s">
        <v>294</v>
      </c>
      <c r="D40" s="3" t="str">
        <f t="shared" si="0"/>
        <v>Sim</v>
      </c>
    </row>
    <row r="41" spans="1:7" x14ac:dyDescent="0.25">
      <c r="A41" t="s">
        <v>44</v>
      </c>
      <c r="B41" t="s">
        <v>295</v>
      </c>
      <c r="C41" t="s">
        <v>295</v>
      </c>
      <c r="D41" s="3" t="str">
        <f t="shared" si="0"/>
        <v>Sim</v>
      </c>
    </row>
    <row r="42" spans="1:7" x14ac:dyDescent="0.25">
      <c r="A42" t="s">
        <v>44</v>
      </c>
      <c r="B42" t="s">
        <v>1631</v>
      </c>
      <c r="C42" t="s">
        <v>1631</v>
      </c>
      <c r="D42" s="3" t="str">
        <f t="shared" si="0"/>
        <v>Sim</v>
      </c>
    </row>
    <row r="43" spans="1:7" x14ac:dyDescent="0.25">
      <c r="A43" t="s">
        <v>44</v>
      </c>
      <c r="B43" t="s">
        <v>298</v>
      </c>
      <c r="C43" t="s">
        <v>298</v>
      </c>
      <c r="D43" s="3" t="str">
        <f t="shared" si="0"/>
        <v>Sim</v>
      </c>
    </row>
    <row r="44" spans="1:7" x14ac:dyDescent="0.25">
      <c r="A44" t="s">
        <v>44</v>
      </c>
      <c r="B44" t="s">
        <v>299</v>
      </c>
      <c r="C44" t="s">
        <v>299</v>
      </c>
      <c r="D44" s="3" t="str">
        <f t="shared" si="0"/>
        <v>Sim</v>
      </c>
    </row>
    <row r="45" spans="1:7" x14ac:dyDescent="0.25">
      <c r="A45" t="s">
        <v>44</v>
      </c>
      <c r="B45" t="s">
        <v>300</v>
      </c>
      <c r="C45" t="s">
        <v>300</v>
      </c>
      <c r="D45" s="3" t="str">
        <f t="shared" si="0"/>
        <v>Sim</v>
      </c>
    </row>
    <row r="46" spans="1:7" x14ac:dyDescent="0.25">
      <c r="A46" t="s">
        <v>44</v>
      </c>
      <c r="B46" t="s">
        <v>301</v>
      </c>
      <c r="C46" t="s">
        <v>301</v>
      </c>
      <c r="D46" s="3" t="str">
        <f>IF(B46=C46, "Sim", "Não")</f>
        <v>Sim</v>
      </c>
    </row>
    <row r="47" spans="1:7" x14ac:dyDescent="0.25">
      <c r="A47" t="s">
        <v>44</v>
      </c>
      <c r="B47" t="s">
        <v>318</v>
      </c>
      <c r="C47" t="s">
        <v>318</v>
      </c>
      <c r="D47" s="3" t="str">
        <f>IF(B47=C47, "Sim", "Não")</f>
        <v>Sim</v>
      </c>
    </row>
    <row r="48" spans="1:7" x14ac:dyDescent="0.25">
      <c r="A48" t="s">
        <v>44</v>
      </c>
      <c r="B48" t="s">
        <v>302</v>
      </c>
      <c r="C48" t="s">
        <v>302</v>
      </c>
      <c r="D48" s="3" t="str">
        <f>IF(B48=C48, "Sim", "Não")</f>
        <v>Sim</v>
      </c>
    </row>
    <row r="49" spans="1:6" x14ac:dyDescent="0.25">
      <c r="A49" t="s">
        <v>45</v>
      </c>
      <c r="B49" s="5" t="s">
        <v>1807</v>
      </c>
      <c r="C49" s="5" t="s">
        <v>1807</v>
      </c>
      <c r="D49" s="3" t="str">
        <f t="shared" si="0"/>
        <v>Sim</v>
      </c>
      <c r="F49" s="5"/>
    </row>
    <row r="50" spans="1:6" x14ac:dyDescent="0.25">
      <c r="A50" t="s">
        <v>45</v>
      </c>
      <c r="B50" t="s">
        <v>101</v>
      </c>
      <c r="C50" t="s">
        <v>101</v>
      </c>
      <c r="D50" s="3" t="str">
        <f t="shared" si="0"/>
        <v>Sim</v>
      </c>
    </row>
    <row r="51" spans="1:6" x14ac:dyDescent="0.25">
      <c r="A51" t="s">
        <v>45</v>
      </c>
      <c r="B51" t="s">
        <v>304</v>
      </c>
      <c r="C51" t="s">
        <v>304</v>
      </c>
      <c r="D51" s="3" t="str">
        <f t="shared" si="0"/>
        <v>Sim</v>
      </c>
    </row>
    <row r="52" spans="1:6" x14ac:dyDescent="0.25">
      <c r="A52" t="s">
        <v>45</v>
      </c>
      <c r="B52" t="s">
        <v>305</v>
      </c>
      <c r="C52" t="s">
        <v>305</v>
      </c>
      <c r="D52" s="3" t="str">
        <f t="shared" si="0"/>
        <v>Sim</v>
      </c>
    </row>
    <row r="53" spans="1:6" x14ac:dyDescent="0.25">
      <c r="A53" t="s">
        <v>45</v>
      </c>
      <c r="B53" t="s">
        <v>306</v>
      </c>
      <c r="C53" t="s">
        <v>306</v>
      </c>
      <c r="D53" s="3" t="str">
        <f t="shared" si="0"/>
        <v>Sim</v>
      </c>
    </row>
    <row r="54" spans="1:6" x14ac:dyDescent="0.25">
      <c r="A54" t="s">
        <v>45</v>
      </c>
      <c r="B54" t="s">
        <v>1626</v>
      </c>
      <c r="C54" t="s">
        <v>1626</v>
      </c>
      <c r="D54" s="3" t="str">
        <f t="shared" si="0"/>
        <v>Sim</v>
      </c>
    </row>
    <row r="55" spans="1:6" x14ac:dyDescent="0.25">
      <c r="A55" t="s">
        <v>277</v>
      </c>
      <c r="B55" t="s">
        <v>141</v>
      </c>
      <c r="C55" t="s">
        <v>141</v>
      </c>
      <c r="D55" s="3" t="str">
        <f t="shared" si="0"/>
        <v>Sim</v>
      </c>
    </row>
    <row r="56" spans="1:6" x14ac:dyDescent="0.25">
      <c r="A56" t="s">
        <v>277</v>
      </c>
      <c r="B56" t="s">
        <v>308</v>
      </c>
      <c r="C56" t="s">
        <v>308</v>
      </c>
      <c r="D56" s="3" t="str">
        <f t="shared" si="0"/>
        <v>Sim</v>
      </c>
    </row>
    <row r="57" spans="1:6" x14ac:dyDescent="0.25">
      <c r="A57" t="s">
        <v>277</v>
      </c>
      <c r="B57" t="s">
        <v>309</v>
      </c>
      <c r="C57" t="s">
        <v>309</v>
      </c>
      <c r="D57" s="3" t="str">
        <f t="shared" si="0"/>
        <v>Sim</v>
      </c>
    </row>
    <row r="58" spans="1:6" x14ac:dyDescent="0.25">
      <c r="A58" t="s">
        <v>277</v>
      </c>
      <c r="B58" t="s">
        <v>143</v>
      </c>
      <c r="C58" t="s">
        <v>143</v>
      </c>
      <c r="D58" s="3" t="str">
        <f t="shared" si="0"/>
        <v>Sim</v>
      </c>
    </row>
    <row r="59" spans="1:6" x14ac:dyDescent="0.25">
      <c r="A59" t="s">
        <v>282</v>
      </c>
      <c r="B59" s="5" t="s">
        <v>1810</v>
      </c>
      <c r="C59" s="5" t="s">
        <v>1810</v>
      </c>
      <c r="D59" s="3" t="str">
        <f t="shared" si="0"/>
        <v>Sim</v>
      </c>
    </row>
    <row r="60" spans="1:6" x14ac:dyDescent="0.25">
      <c r="A60" t="s">
        <v>282</v>
      </c>
      <c r="B60" t="s">
        <v>311</v>
      </c>
      <c r="C60" t="s">
        <v>311</v>
      </c>
      <c r="D60" s="3" t="str">
        <f t="shared" ref="D60:D100" si="2">IF(B60=C60, "Sim", "Não")</f>
        <v>Sim</v>
      </c>
    </row>
    <row r="61" spans="1:6" x14ac:dyDescent="0.25">
      <c r="A61" t="s">
        <v>282</v>
      </c>
      <c r="B61" s="5" t="s">
        <v>1808</v>
      </c>
      <c r="C61" s="5" t="s">
        <v>1808</v>
      </c>
      <c r="D61" s="3" t="str">
        <f t="shared" si="2"/>
        <v>Sim</v>
      </c>
    </row>
    <row r="62" spans="1:6" x14ac:dyDescent="0.25">
      <c r="A62" t="s">
        <v>282</v>
      </c>
      <c r="B62" t="s">
        <v>126</v>
      </c>
      <c r="C62" s="5" t="s">
        <v>1809</v>
      </c>
      <c r="D62" s="3" t="str">
        <f t="shared" si="2"/>
        <v>Não</v>
      </c>
    </row>
    <row r="63" spans="1:6" x14ac:dyDescent="0.25">
      <c r="A63" t="s">
        <v>282</v>
      </c>
      <c r="B63" t="s">
        <v>312</v>
      </c>
      <c r="C63" t="s">
        <v>312</v>
      </c>
      <c r="D63" s="3" t="str">
        <f>IF(B63=C63, "Sim", "Não")</f>
        <v>Sim</v>
      </c>
    </row>
    <row r="64" spans="1:6" x14ac:dyDescent="0.25">
      <c r="A64" t="s">
        <v>75</v>
      </c>
      <c r="B64" t="s">
        <v>320</v>
      </c>
      <c r="C64" t="s">
        <v>320</v>
      </c>
      <c r="D64" s="3" t="str">
        <f>IF(B64=C64, "Sim", "Não")</f>
        <v>Sim</v>
      </c>
    </row>
    <row r="65" spans="1:7" x14ac:dyDescent="0.25">
      <c r="A65" t="s">
        <v>75</v>
      </c>
      <c r="B65" t="s">
        <v>325</v>
      </c>
      <c r="C65" t="s">
        <v>325</v>
      </c>
      <c r="D65" s="3" t="str">
        <f>IF(B65=C65, "Sim", "Não")</f>
        <v>Sim</v>
      </c>
      <c r="G65" s="2"/>
    </row>
    <row r="66" spans="1:7" x14ac:dyDescent="0.25">
      <c r="A66" t="s">
        <v>75</v>
      </c>
      <c r="B66" t="s">
        <v>307</v>
      </c>
      <c r="C66" t="s">
        <v>1632</v>
      </c>
      <c r="D66" s="3" t="str">
        <f>IF(B66=C66, "Sim", "Não")</f>
        <v>Não</v>
      </c>
    </row>
    <row r="67" spans="1:7" x14ac:dyDescent="0.25">
      <c r="A67" t="s">
        <v>75</v>
      </c>
      <c r="B67" t="s">
        <v>313</v>
      </c>
      <c r="C67" t="s">
        <v>313</v>
      </c>
      <c r="D67" s="3" t="str">
        <f t="shared" si="2"/>
        <v>Sim</v>
      </c>
    </row>
    <row r="68" spans="1:7" x14ac:dyDescent="0.25">
      <c r="A68" t="s">
        <v>75</v>
      </c>
      <c r="B68" s="5" t="s">
        <v>1806</v>
      </c>
      <c r="C68" s="5" t="s">
        <v>1806</v>
      </c>
      <c r="D68" s="3" t="str">
        <f t="shared" si="2"/>
        <v>Sim</v>
      </c>
    </row>
    <row r="69" spans="1:7" x14ac:dyDescent="0.25">
      <c r="A69" t="s">
        <v>75</v>
      </c>
      <c r="B69" s="5" t="s">
        <v>1576</v>
      </c>
      <c r="C69" s="5" t="s">
        <v>1576</v>
      </c>
      <c r="D69" s="3" t="str">
        <f>IF(B69=C69, "Sim", "Não")</f>
        <v>Sim</v>
      </c>
      <c r="G69" s="2"/>
    </row>
    <row r="70" spans="1:7" x14ac:dyDescent="0.25">
      <c r="A70" t="s">
        <v>75</v>
      </c>
      <c r="B70" t="s">
        <v>296</v>
      </c>
      <c r="C70" s="5" t="s">
        <v>1789</v>
      </c>
      <c r="D70" s="3" t="str">
        <f>IF(B70=C70, "Sim", "Não")</f>
        <v>Não</v>
      </c>
      <c r="F70"/>
    </row>
    <row r="71" spans="1:7" x14ac:dyDescent="0.25">
      <c r="A71" t="s">
        <v>75</v>
      </c>
      <c r="B71" t="s">
        <v>113</v>
      </c>
      <c r="C71" t="s">
        <v>113</v>
      </c>
      <c r="D71" s="3" t="str">
        <f t="shared" si="2"/>
        <v>Sim</v>
      </c>
    </row>
    <row r="72" spans="1:7" x14ac:dyDescent="0.25">
      <c r="A72" t="s">
        <v>75</v>
      </c>
      <c r="B72" t="s">
        <v>114</v>
      </c>
      <c r="C72" t="s">
        <v>114</v>
      </c>
      <c r="D72" s="3" t="str">
        <f t="shared" si="2"/>
        <v>Sim</v>
      </c>
      <c r="F72"/>
    </row>
    <row r="73" spans="1:7" x14ac:dyDescent="0.25">
      <c r="A73" t="s">
        <v>75</v>
      </c>
      <c r="B73" t="s">
        <v>316</v>
      </c>
      <c r="C73" t="s">
        <v>316</v>
      </c>
      <c r="D73" s="3" t="str">
        <f t="shared" si="2"/>
        <v>Sim</v>
      </c>
      <c r="F73"/>
    </row>
    <row r="74" spans="1:7" x14ac:dyDescent="0.25">
      <c r="A74" t="s">
        <v>75</v>
      </c>
      <c r="B74" t="s">
        <v>319</v>
      </c>
      <c r="C74" t="s">
        <v>319</v>
      </c>
      <c r="D74" s="3" t="str">
        <f t="shared" ref="D74:D81" si="3">IF(B74=C74, "Sim", "Não")</f>
        <v>Sim</v>
      </c>
    </row>
    <row r="75" spans="1:7" x14ac:dyDescent="0.25">
      <c r="A75" t="s">
        <v>75</v>
      </c>
      <c r="B75" t="s">
        <v>116</v>
      </c>
      <c r="C75" t="s">
        <v>116</v>
      </c>
      <c r="D75" s="3" t="str">
        <f t="shared" si="3"/>
        <v>Sim</v>
      </c>
      <c r="F75"/>
    </row>
    <row r="76" spans="1:7" x14ac:dyDescent="0.25">
      <c r="A76" t="s">
        <v>75</v>
      </c>
      <c r="B76" t="s">
        <v>315</v>
      </c>
      <c r="C76" t="s">
        <v>315</v>
      </c>
      <c r="D76" s="3" t="str">
        <f t="shared" si="3"/>
        <v>Sim</v>
      </c>
      <c r="F76"/>
    </row>
    <row r="77" spans="1:7" x14ac:dyDescent="0.25">
      <c r="A77" t="s">
        <v>75</v>
      </c>
      <c r="B77" t="s">
        <v>321</v>
      </c>
      <c r="C77" t="s">
        <v>321</v>
      </c>
      <c r="D77" s="3" t="str">
        <f t="shared" si="3"/>
        <v>Sim</v>
      </c>
    </row>
    <row r="78" spans="1:7" x14ac:dyDescent="0.25">
      <c r="A78" t="s">
        <v>75</v>
      </c>
      <c r="B78" t="s">
        <v>117</v>
      </c>
      <c r="C78" t="s">
        <v>117</v>
      </c>
      <c r="D78" s="3" t="str">
        <f t="shared" si="3"/>
        <v>Sim</v>
      </c>
    </row>
    <row r="79" spans="1:7" x14ac:dyDescent="0.25">
      <c r="A79" t="s">
        <v>75</v>
      </c>
      <c r="B79" t="s">
        <v>110</v>
      </c>
      <c r="C79" t="s">
        <v>110</v>
      </c>
      <c r="D79" s="3" t="str">
        <f t="shared" si="3"/>
        <v>Sim</v>
      </c>
    </row>
    <row r="80" spans="1:7" x14ac:dyDescent="0.25">
      <c r="A80" t="s">
        <v>75</v>
      </c>
      <c r="B80" t="s">
        <v>322</v>
      </c>
      <c r="C80" t="s">
        <v>322</v>
      </c>
      <c r="D80" s="3" t="str">
        <f t="shared" si="3"/>
        <v>Sim</v>
      </c>
      <c r="F80"/>
    </row>
    <row r="81" spans="1:6" x14ac:dyDescent="0.25">
      <c r="A81" t="s">
        <v>75</v>
      </c>
      <c r="B81" t="s">
        <v>317</v>
      </c>
      <c r="C81" t="s">
        <v>317</v>
      </c>
      <c r="D81" s="3" t="str">
        <f t="shared" si="3"/>
        <v>Sim</v>
      </c>
      <c r="F81"/>
    </row>
    <row r="82" spans="1:6" x14ac:dyDescent="0.25">
      <c r="A82" t="s">
        <v>75</v>
      </c>
      <c r="B82" t="s">
        <v>323</v>
      </c>
      <c r="C82" t="s">
        <v>323</v>
      </c>
      <c r="D82" s="3" t="str">
        <f t="shared" si="2"/>
        <v>Sim</v>
      </c>
    </row>
    <row r="83" spans="1:6" x14ac:dyDescent="0.25">
      <c r="A83" t="s">
        <v>75</v>
      </c>
      <c r="B83" t="s">
        <v>1909</v>
      </c>
      <c r="C83" t="s">
        <v>1614</v>
      </c>
      <c r="D83" s="3" t="str">
        <f t="shared" ref="D83:D88" si="4">IF(B83=C83, "Sim", "Não")</f>
        <v>Não</v>
      </c>
    </row>
    <row r="84" spans="1:6" x14ac:dyDescent="0.25">
      <c r="A84" t="s">
        <v>75</v>
      </c>
      <c r="B84" t="s">
        <v>314</v>
      </c>
      <c r="C84" t="s">
        <v>314</v>
      </c>
      <c r="D84" s="3" t="str">
        <f t="shared" si="4"/>
        <v>Sim</v>
      </c>
      <c r="F84"/>
    </row>
    <row r="85" spans="1:6" x14ac:dyDescent="0.25">
      <c r="A85" t="s">
        <v>75</v>
      </c>
      <c r="B85" t="s">
        <v>108</v>
      </c>
      <c r="C85" t="s">
        <v>108</v>
      </c>
      <c r="D85" s="3" t="str">
        <f t="shared" si="4"/>
        <v>Sim</v>
      </c>
    </row>
    <row r="86" spans="1:6" x14ac:dyDescent="0.25">
      <c r="A86" t="s">
        <v>1907</v>
      </c>
      <c r="B86" s="5" t="s">
        <v>106</v>
      </c>
      <c r="C86" s="5" t="s">
        <v>106</v>
      </c>
      <c r="D86" s="3" t="str">
        <f t="shared" si="4"/>
        <v>Sim</v>
      </c>
    </row>
    <row r="87" spans="1:6" x14ac:dyDescent="0.25">
      <c r="A87" t="s">
        <v>1907</v>
      </c>
      <c r="B87" t="s">
        <v>1910</v>
      </c>
      <c r="C87" t="s">
        <v>1910</v>
      </c>
      <c r="D87" s="3" t="str">
        <f t="shared" si="4"/>
        <v>Sim</v>
      </c>
    </row>
    <row r="88" spans="1:6" x14ac:dyDescent="0.25">
      <c r="A88" t="s">
        <v>1907</v>
      </c>
      <c r="B88" s="5" t="s">
        <v>1908</v>
      </c>
      <c r="C88" s="5" t="s">
        <v>1969</v>
      </c>
      <c r="D88" s="3" t="str">
        <f t="shared" si="4"/>
        <v>Não</v>
      </c>
    </row>
    <row r="89" spans="1:6" x14ac:dyDescent="0.25">
      <c r="A89" t="s">
        <v>1907</v>
      </c>
      <c r="B89" t="s">
        <v>326</v>
      </c>
      <c r="C89" t="s">
        <v>326</v>
      </c>
      <c r="D89" s="3" t="str">
        <f t="shared" si="2"/>
        <v>Sim</v>
      </c>
    </row>
    <row r="90" spans="1:6" x14ac:dyDescent="0.25">
      <c r="A90" t="s">
        <v>285</v>
      </c>
      <c r="B90" s="5" t="s">
        <v>1716</v>
      </c>
      <c r="C90" s="5" t="s">
        <v>1716</v>
      </c>
      <c r="D90" s="3" t="str">
        <f>IF(B90=C90, "Sim", "Não")</f>
        <v>Sim</v>
      </c>
      <c r="F90"/>
    </row>
    <row r="91" spans="1:6" x14ac:dyDescent="0.25">
      <c r="A91" t="s">
        <v>285</v>
      </c>
      <c r="B91" t="s">
        <v>1945</v>
      </c>
      <c r="C91" t="s">
        <v>1945</v>
      </c>
      <c r="D91" s="3" t="str">
        <f>IF(B91=C91, "Sim", "Não")</f>
        <v>Sim</v>
      </c>
    </row>
    <row r="92" spans="1:6" x14ac:dyDescent="0.25">
      <c r="A92" t="s">
        <v>285</v>
      </c>
      <c r="B92" t="s">
        <v>111</v>
      </c>
      <c r="C92" t="s">
        <v>111</v>
      </c>
      <c r="D92" s="3" t="str">
        <f t="shared" si="2"/>
        <v>Sim</v>
      </c>
    </row>
    <row r="93" spans="1:6" x14ac:dyDescent="0.25">
      <c r="A93" t="s">
        <v>285</v>
      </c>
      <c r="B93" t="s">
        <v>1939</v>
      </c>
      <c r="C93" t="s">
        <v>1939</v>
      </c>
      <c r="D93" s="3" t="str">
        <f>IF(B93=C93, "Sim", "Não")</f>
        <v>Sim</v>
      </c>
    </row>
    <row r="94" spans="1:6" x14ac:dyDescent="0.25">
      <c r="A94" t="s">
        <v>285</v>
      </c>
      <c r="B94" t="s">
        <v>327</v>
      </c>
      <c r="C94" t="s">
        <v>327</v>
      </c>
      <c r="D94" s="3" t="str">
        <f>IF(B94=C94, "Sim", "Não")</f>
        <v>Sim</v>
      </c>
    </row>
    <row r="95" spans="1:6" x14ac:dyDescent="0.25">
      <c r="A95" t="s">
        <v>285</v>
      </c>
      <c r="B95" t="s">
        <v>328</v>
      </c>
      <c r="C95" t="s">
        <v>328</v>
      </c>
      <c r="D95" s="3" t="str">
        <f>IF(B95=C95, "Sim", "Não")</f>
        <v>Sim</v>
      </c>
    </row>
    <row r="96" spans="1:6" x14ac:dyDescent="0.25">
      <c r="A96" t="s">
        <v>46</v>
      </c>
      <c r="B96" t="s">
        <v>329</v>
      </c>
      <c r="C96" t="s">
        <v>329</v>
      </c>
      <c r="D96" s="3" t="str">
        <f t="shared" si="2"/>
        <v>Sim</v>
      </c>
    </row>
    <row r="97" spans="1:4" x14ac:dyDescent="0.25">
      <c r="A97" t="s">
        <v>46</v>
      </c>
      <c r="B97" t="s">
        <v>330</v>
      </c>
      <c r="C97" t="s">
        <v>330</v>
      </c>
      <c r="D97" s="3" t="str">
        <f t="shared" si="2"/>
        <v>Sim</v>
      </c>
    </row>
    <row r="98" spans="1:4" x14ac:dyDescent="0.25">
      <c r="A98" t="s">
        <v>46</v>
      </c>
      <c r="B98" t="s">
        <v>331</v>
      </c>
      <c r="C98" t="s">
        <v>331</v>
      </c>
      <c r="D98" s="3" t="str">
        <f t="shared" si="2"/>
        <v>Sim</v>
      </c>
    </row>
    <row r="99" spans="1:4" x14ac:dyDescent="0.25">
      <c r="A99" t="s">
        <v>46</v>
      </c>
      <c r="B99" t="s">
        <v>1856</v>
      </c>
      <c r="C99" t="s">
        <v>1856</v>
      </c>
      <c r="D99" s="3" t="str">
        <f t="shared" si="2"/>
        <v>Sim</v>
      </c>
    </row>
    <row r="100" spans="1:4" x14ac:dyDescent="0.25">
      <c r="A100" t="s">
        <v>46</v>
      </c>
      <c r="B100" t="s">
        <v>332</v>
      </c>
      <c r="C100" t="s">
        <v>332</v>
      </c>
      <c r="D100" s="3" t="str">
        <f t="shared" si="2"/>
        <v>Sim</v>
      </c>
    </row>
  </sheetData>
  <sortState xmlns:xlrd2="http://schemas.microsoft.com/office/spreadsheetml/2017/richdata2" ref="B101:C120">
    <sortCondition ref="C101:C120"/>
  </sortState>
  <mergeCells count="2">
    <mergeCell ref="A1:G1"/>
    <mergeCell ref="I1:J1"/>
  </mergeCells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0CD51-7718-44A5-9A26-1B365003972F}">
  <dimension ref="A1:J103"/>
  <sheetViews>
    <sheetView topLeftCell="A66" workbookViewId="0">
      <selection activeCell="C59" sqref="C59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style="3" customWidth="1"/>
    <col min="5" max="5" width="4.28515625" customWidth="1"/>
    <col min="6" max="6" width="22.7109375" style="3" customWidth="1"/>
    <col min="7" max="7" width="8.7109375" customWidth="1"/>
    <col min="9" max="9" width="22.28515625" style="3" bestFit="1" customWidth="1"/>
    <col min="10" max="10" width="9.140625" style="3"/>
  </cols>
  <sheetData>
    <row r="1" spans="1:10" ht="21" x14ac:dyDescent="0.25">
      <c r="A1" s="28" t="s">
        <v>61</v>
      </c>
      <c r="B1" s="28"/>
      <c r="C1" s="28"/>
      <c r="D1" s="28"/>
      <c r="E1" s="28"/>
      <c r="F1" s="28"/>
      <c r="G1" s="28"/>
      <c r="I1" s="29"/>
      <c r="J1" s="29"/>
    </row>
    <row r="2" spans="1:10" x14ac:dyDescent="0.25">
      <c r="A2" s="4" t="s">
        <v>34</v>
      </c>
      <c r="B2" s="4" t="s">
        <v>35</v>
      </c>
      <c r="C2" s="4" t="s">
        <v>36</v>
      </c>
      <c r="D2" s="4" t="s">
        <v>37</v>
      </c>
      <c r="I2" s="4"/>
      <c r="J2" s="4"/>
    </row>
    <row r="3" spans="1:10" x14ac:dyDescent="0.25">
      <c r="A3" t="s">
        <v>38</v>
      </c>
      <c r="B3" t="s">
        <v>62</v>
      </c>
      <c r="C3" t="s">
        <v>62</v>
      </c>
      <c r="D3" s="3" t="str">
        <f>IF(B3=C3, "Sim", "Não")</f>
        <v>Sim</v>
      </c>
      <c r="F3" s="4" t="s">
        <v>39</v>
      </c>
      <c r="G3" s="3">
        <f>COUNTIF(D3:D100,"Não")</f>
        <v>17</v>
      </c>
    </row>
    <row r="4" spans="1:10" x14ac:dyDescent="0.25">
      <c r="A4" t="s">
        <v>38</v>
      </c>
      <c r="B4" t="s">
        <v>63</v>
      </c>
      <c r="C4" t="s">
        <v>63</v>
      </c>
      <c r="D4" s="3" t="str">
        <f t="shared" ref="D4:D68" si="0">IF(B4=C4, "Sim", "Não")</f>
        <v>Sim</v>
      </c>
      <c r="F4" s="4" t="s">
        <v>40</v>
      </c>
      <c r="G4" s="3">
        <f>SUM(G7:G25)</f>
        <v>99</v>
      </c>
    </row>
    <row r="5" spans="1:10" x14ac:dyDescent="0.25">
      <c r="A5" t="s">
        <v>38</v>
      </c>
      <c r="B5" t="s">
        <v>64</v>
      </c>
      <c r="C5" t="s">
        <v>64</v>
      </c>
      <c r="D5" s="3" t="str">
        <f t="shared" si="0"/>
        <v>Sim</v>
      </c>
    </row>
    <row r="6" spans="1:10" x14ac:dyDescent="0.25">
      <c r="A6" t="s">
        <v>38</v>
      </c>
      <c r="B6" t="s">
        <v>65</v>
      </c>
      <c r="C6" t="s">
        <v>65</v>
      </c>
      <c r="D6" s="3" t="str">
        <f t="shared" si="0"/>
        <v>Sim</v>
      </c>
      <c r="F6" s="6" t="s">
        <v>42</v>
      </c>
      <c r="G6" s="1"/>
    </row>
    <row r="7" spans="1:10" x14ac:dyDescent="0.25">
      <c r="A7" t="s">
        <v>38</v>
      </c>
      <c r="B7" t="s">
        <v>66</v>
      </c>
      <c r="C7" t="s">
        <v>66</v>
      </c>
      <c r="D7" s="3" t="str">
        <f t="shared" si="0"/>
        <v>Sim</v>
      </c>
      <c r="F7" s="7" t="s">
        <v>38</v>
      </c>
      <c r="G7" s="2">
        <f t="shared" ref="G7:G14" si="1">COUNTIF(A:A,F7)</f>
        <v>36</v>
      </c>
    </row>
    <row r="8" spans="1:10" x14ac:dyDescent="0.25">
      <c r="A8" t="s">
        <v>38</v>
      </c>
      <c r="B8" t="s">
        <v>67</v>
      </c>
      <c r="C8" t="s">
        <v>67</v>
      </c>
      <c r="D8" s="3" t="str">
        <f t="shared" si="0"/>
        <v>Sim</v>
      </c>
      <c r="F8" s="7" t="s">
        <v>44</v>
      </c>
      <c r="G8" s="2">
        <f t="shared" si="1"/>
        <v>9</v>
      </c>
    </row>
    <row r="9" spans="1:10" x14ac:dyDescent="0.25">
      <c r="A9" t="s">
        <v>38</v>
      </c>
      <c r="C9" t="s">
        <v>68</v>
      </c>
      <c r="D9" s="3" t="str">
        <f t="shared" si="0"/>
        <v>Não</v>
      </c>
      <c r="F9" s="7" t="s">
        <v>45</v>
      </c>
      <c r="G9" s="2">
        <f t="shared" si="1"/>
        <v>9</v>
      </c>
    </row>
    <row r="10" spans="1:10" x14ac:dyDescent="0.25">
      <c r="A10" t="s">
        <v>38</v>
      </c>
      <c r="C10" t="s">
        <v>69</v>
      </c>
      <c r="D10" s="3" t="str">
        <f t="shared" si="0"/>
        <v>Não</v>
      </c>
      <c r="F10" s="3" t="s">
        <v>70</v>
      </c>
      <c r="G10" s="2">
        <f t="shared" si="1"/>
        <v>10</v>
      </c>
    </row>
    <row r="11" spans="1:10" x14ac:dyDescent="0.25">
      <c r="A11" t="s">
        <v>38</v>
      </c>
      <c r="B11" t="s">
        <v>43</v>
      </c>
      <c r="C11" t="s">
        <v>43</v>
      </c>
      <c r="D11" s="3" t="str">
        <f t="shared" si="0"/>
        <v>Sim</v>
      </c>
      <c r="F11" s="7" t="s">
        <v>279</v>
      </c>
      <c r="G11" s="2">
        <f t="shared" si="1"/>
        <v>5</v>
      </c>
    </row>
    <row r="12" spans="1:10" x14ac:dyDescent="0.25">
      <c r="A12" t="s">
        <v>38</v>
      </c>
      <c r="B12" t="s">
        <v>72</v>
      </c>
      <c r="C12" t="s">
        <v>72</v>
      </c>
      <c r="D12" s="3" t="str">
        <f t="shared" si="0"/>
        <v>Sim</v>
      </c>
      <c r="F12" s="7" t="s">
        <v>73</v>
      </c>
      <c r="G12" s="2">
        <f t="shared" si="1"/>
        <v>13</v>
      </c>
    </row>
    <row r="13" spans="1:10" x14ac:dyDescent="0.25">
      <c r="A13" t="s">
        <v>38</v>
      </c>
      <c r="B13" t="s">
        <v>74</v>
      </c>
      <c r="C13" t="s">
        <v>74</v>
      </c>
      <c r="D13" s="3" t="str">
        <f t="shared" si="0"/>
        <v>Sim</v>
      </c>
      <c r="F13" s="7" t="s">
        <v>1728</v>
      </c>
      <c r="G13" s="2">
        <f t="shared" si="1"/>
        <v>4</v>
      </c>
    </row>
    <row r="14" spans="1:10" x14ac:dyDescent="0.25">
      <c r="A14" t="s">
        <v>38</v>
      </c>
      <c r="C14" t="s">
        <v>76</v>
      </c>
      <c r="D14" s="3" t="str">
        <f t="shared" si="0"/>
        <v>Não</v>
      </c>
      <c r="F14" s="7" t="s">
        <v>491</v>
      </c>
      <c r="G14" s="2">
        <f t="shared" si="1"/>
        <v>13</v>
      </c>
    </row>
    <row r="15" spans="1:10" x14ac:dyDescent="0.25">
      <c r="A15" t="s">
        <v>38</v>
      </c>
      <c r="B15" t="s">
        <v>77</v>
      </c>
      <c r="C15" t="s">
        <v>77</v>
      </c>
      <c r="D15" s="3" t="str">
        <f t="shared" si="0"/>
        <v>Sim</v>
      </c>
      <c r="G15" s="2"/>
    </row>
    <row r="16" spans="1:10" x14ac:dyDescent="0.25">
      <c r="A16" t="s">
        <v>38</v>
      </c>
      <c r="C16" t="s">
        <v>78</v>
      </c>
      <c r="D16" s="3" t="str">
        <f t="shared" si="0"/>
        <v>Não</v>
      </c>
      <c r="G16" s="2"/>
    </row>
    <row r="17" spans="1:9" x14ac:dyDescent="0.25">
      <c r="A17" t="s">
        <v>38</v>
      </c>
      <c r="B17" t="s">
        <v>79</v>
      </c>
      <c r="C17" t="s">
        <v>79</v>
      </c>
      <c r="D17" s="3" t="str">
        <f t="shared" si="0"/>
        <v>Sim</v>
      </c>
      <c r="G17" s="2"/>
    </row>
    <row r="18" spans="1:9" x14ac:dyDescent="0.25">
      <c r="A18" t="s">
        <v>38</v>
      </c>
      <c r="C18" t="s">
        <v>80</v>
      </c>
      <c r="D18" s="3" t="str">
        <f t="shared" si="0"/>
        <v>Não</v>
      </c>
      <c r="G18" s="2"/>
    </row>
    <row r="19" spans="1:9" x14ac:dyDescent="0.25">
      <c r="A19" t="s">
        <v>38</v>
      </c>
      <c r="C19" t="s">
        <v>81</v>
      </c>
      <c r="D19" s="3" t="str">
        <f t="shared" si="0"/>
        <v>Não</v>
      </c>
      <c r="G19" s="2"/>
    </row>
    <row r="20" spans="1:9" x14ac:dyDescent="0.25">
      <c r="A20" t="s">
        <v>38</v>
      </c>
      <c r="C20" t="s">
        <v>82</v>
      </c>
      <c r="D20" s="3" t="str">
        <f t="shared" si="0"/>
        <v>Não</v>
      </c>
      <c r="G20" s="2"/>
    </row>
    <row r="21" spans="1:9" x14ac:dyDescent="0.25">
      <c r="A21" t="s">
        <v>38</v>
      </c>
      <c r="B21" t="s">
        <v>83</v>
      </c>
      <c r="C21" t="s">
        <v>83</v>
      </c>
      <c r="D21" s="3" t="str">
        <f t="shared" si="0"/>
        <v>Sim</v>
      </c>
      <c r="G21" s="2"/>
    </row>
    <row r="22" spans="1:9" x14ac:dyDescent="0.25">
      <c r="A22" t="s">
        <v>38</v>
      </c>
      <c r="B22" t="s">
        <v>84</v>
      </c>
      <c r="C22" t="s">
        <v>84</v>
      </c>
      <c r="D22" s="3" t="str">
        <f t="shared" si="0"/>
        <v>Sim</v>
      </c>
      <c r="G22" s="2"/>
    </row>
    <row r="23" spans="1:9" x14ac:dyDescent="0.25">
      <c r="A23" t="s">
        <v>38</v>
      </c>
      <c r="B23" t="s">
        <v>85</v>
      </c>
      <c r="C23" t="s">
        <v>85</v>
      </c>
      <c r="D23" s="3" t="str">
        <f t="shared" si="0"/>
        <v>Sim</v>
      </c>
      <c r="G23" s="2"/>
    </row>
    <row r="24" spans="1:9" x14ac:dyDescent="0.25">
      <c r="A24" t="s">
        <v>38</v>
      </c>
      <c r="B24" t="s">
        <v>86</v>
      </c>
      <c r="C24" t="s">
        <v>86</v>
      </c>
      <c r="D24" s="3" t="str">
        <f t="shared" si="0"/>
        <v>Sim</v>
      </c>
      <c r="G24" s="2"/>
    </row>
    <row r="25" spans="1:9" x14ac:dyDescent="0.25">
      <c r="A25" t="s">
        <v>38</v>
      </c>
      <c r="B25" t="s">
        <v>87</v>
      </c>
      <c r="C25" t="s">
        <v>87</v>
      </c>
      <c r="D25" s="3" t="str">
        <f t="shared" si="0"/>
        <v>Sim</v>
      </c>
      <c r="G25" s="2"/>
    </row>
    <row r="26" spans="1:9" x14ac:dyDescent="0.25">
      <c r="A26" t="s">
        <v>38</v>
      </c>
      <c r="C26" t="s">
        <v>88</v>
      </c>
      <c r="D26" s="3" t="str">
        <f t="shared" si="0"/>
        <v>Não</v>
      </c>
      <c r="G26" s="2"/>
    </row>
    <row r="27" spans="1:9" x14ac:dyDescent="0.25">
      <c r="A27" t="s">
        <v>38</v>
      </c>
      <c r="B27" t="s">
        <v>1857</v>
      </c>
      <c r="C27" t="s">
        <v>1857</v>
      </c>
      <c r="D27" s="3" t="str">
        <f t="shared" si="0"/>
        <v>Sim</v>
      </c>
      <c r="G27" s="2"/>
    </row>
    <row r="28" spans="1:9" x14ac:dyDescent="0.25">
      <c r="A28" t="s">
        <v>38</v>
      </c>
      <c r="B28" t="s">
        <v>89</v>
      </c>
      <c r="C28" t="s">
        <v>89</v>
      </c>
      <c r="D28" s="3" t="str">
        <f t="shared" si="0"/>
        <v>Sim</v>
      </c>
      <c r="G28" s="2"/>
    </row>
    <row r="29" spans="1:9" x14ac:dyDescent="0.25">
      <c r="A29" t="s">
        <v>38</v>
      </c>
      <c r="B29" t="s">
        <v>89</v>
      </c>
      <c r="C29" t="s">
        <v>89</v>
      </c>
      <c r="D29" s="3" t="str">
        <f t="shared" si="0"/>
        <v>Sim</v>
      </c>
    </row>
    <row r="30" spans="1:9" x14ac:dyDescent="0.25">
      <c r="A30" t="s">
        <v>38</v>
      </c>
      <c r="B30" t="s">
        <v>89</v>
      </c>
      <c r="C30" t="s">
        <v>89</v>
      </c>
      <c r="D30" s="3" t="str">
        <f t="shared" si="0"/>
        <v>Sim</v>
      </c>
      <c r="G30" s="2"/>
    </row>
    <row r="31" spans="1:9" x14ac:dyDescent="0.25">
      <c r="A31" t="s">
        <v>38</v>
      </c>
      <c r="B31" t="s">
        <v>90</v>
      </c>
      <c r="C31" t="s">
        <v>90</v>
      </c>
      <c r="D31" s="3" t="str">
        <f t="shared" si="0"/>
        <v>Sim</v>
      </c>
      <c r="G31" s="2"/>
    </row>
    <row r="32" spans="1:9" x14ac:dyDescent="0.25">
      <c r="A32" t="s">
        <v>38</v>
      </c>
      <c r="B32" s="5" t="s">
        <v>90</v>
      </c>
      <c r="C32" s="5" t="s">
        <v>90</v>
      </c>
      <c r="D32" s="3" t="str">
        <f>IF(B32=C32, "Sim", "Não")</f>
        <v>Sim</v>
      </c>
      <c r="F32"/>
      <c r="G32" s="5"/>
      <c r="I32"/>
    </row>
    <row r="33" spans="1:10" x14ac:dyDescent="0.25">
      <c r="A33" t="s">
        <v>38</v>
      </c>
      <c r="B33" t="s">
        <v>90</v>
      </c>
      <c r="C33" t="s">
        <v>90</v>
      </c>
      <c r="D33" s="3" t="str">
        <f t="shared" si="0"/>
        <v>Sim</v>
      </c>
      <c r="G33" s="2"/>
    </row>
    <row r="34" spans="1:10" x14ac:dyDescent="0.25">
      <c r="A34" t="s">
        <v>38</v>
      </c>
      <c r="B34" t="s">
        <v>90</v>
      </c>
      <c r="C34" t="s">
        <v>90</v>
      </c>
      <c r="D34" s="3" t="str">
        <f t="shared" si="0"/>
        <v>Sim</v>
      </c>
      <c r="G34" s="2"/>
    </row>
    <row r="35" spans="1:10" x14ac:dyDescent="0.25">
      <c r="A35" t="s">
        <v>38</v>
      </c>
      <c r="B35" t="s">
        <v>91</v>
      </c>
      <c r="C35" t="s">
        <v>91</v>
      </c>
      <c r="D35" s="3" t="str">
        <f t="shared" si="0"/>
        <v>Sim</v>
      </c>
      <c r="G35" s="2"/>
    </row>
    <row r="36" spans="1:10" x14ac:dyDescent="0.25">
      <c r="A36" t="s">
        <v>38</v>
      </c>
      <c r="B36" t="s">
        <v>91</v>
      </c>
      <c r="C36" t="s">
        <v>91</v>
      </c>
      <c r="D36" s="3" t="str">
        <f t="shared" si="0"/>
        <v>Sim</v>
      </c>
      <c r="G36" s="2"/>
    </row>
    <row r="37" spans="1:10" x14ac:dyDescent="0.25">
      <c r="A37" t="s">
        <v>38</v>
      </c>
      <c r="B37" t="s">
        <v>91</v>
      </c>
      <c r="C37" t="s">
        <v>91</v>
      </c>
      <c r="D37" s="3" t="str">
        <f t="shared" si="0"/>
        <v>Sim</v>
      </c>
    </row>
    <row r="38" spans="1:10" x14ac:dyDescent="0.25">
      <c r="A38" t="s">
        <v>38</v>
      </c>
      <c r="B38" t="s">
        <v>91</v>
      </c>
      <c r="C38" t="s">
        <v>91</v>
      </c>
      <c r="D38" s="3" t="str">
        <f t="shared" si="0"/>
        <v>Sim</v>
      </c>
      <c r="G38" s="2"/>
    </row>
    <row r="39" spans="1:10" x14ac:dyDescent="0.25">
      <c r="A39" t="s">
        <v>44</v>
      </c>
      <c r="B39" t="s">
        <v>92</v>
      </c>
      <c r="C39" t="s">
        <v>92</v>
      </c>
      <c r="D39" s="3" t="str">
        <f t="shared" si="0"/>
        <v>Sim</v>
      </c>
      <c r="F39"/>
      <c r="G39" s="2"/>
    </row>
    <row r="40" spans="1:10" x14ac:dyDescent="0.25">
      <c r="A40" t="s">
        <v>44</v>
      </c>
      <c r="B40" t="s">
        <v>93</v>
      </c>
      <c r="C40" t="s">
        <v>93</v>
      </c>
      <c r="D40" s="3" t="str">
        <f t="shared" si="0"/>
        <v>Sim</v>
      </c>
    </row>
    <row r="41" spans="1:10" x14ac:dyDescent="0.25">
      <c r="A41" t="s">
        <v>44</v>
      </c>
      <c r="B41" t="s">
        <v>94</v>
      </c>
      <c r="C41" t="s">
        <v>94</v>
      </c>
      <c r="D41" s="3" t="str">
        <f t="shared" si="0"/>
        <v>Sim</v>
      </c>
    </row>
    <row r="42" spans="1:10" x14ac:dyDescent="0.25">
      <c r="A42" t="s">
        <v>44</v>
      </c>
      <c r="B42" t="s">
        <v>688</v>
      </c>
      <c r="C42" t="s">
        <v>688</v>
      </c>
      <c r="D42" s="3" t="str">
        <f t="shared" si="0"/>
        <v>Sim</v>
      </c>
    </row>
    <row r="43" spans="1:10" x14ac:dyDescent="0.25">
      <c r="A43" t="s">
        <v>44</v>
      </c>
      <c r="C43" t="s">
        <v>1905</v>
      </c>
      <c r="D43" s="3" t="str">
        <f t="shared" si="0"/>
        <v>Não</v>
      </c>
    </row>
    <row r="44" spans="1:10" x14ac:dyDescent="0.25">
      <c r="A44" t="s">
        <v>44</v>
      </c>
      <c r="B44" t="s">
        <v>95</v>
      </c>
      <c r="C44" t="s">
        <v>95</v>
      </c>
      <c r="D44" s="3" t="str">
        <f t="shared" si="0"/>
        <v>Sim</v>
      </c>
    </row>
    <row r="45" spans="1:10" x14ac:dyDescent="0.25">
      <c r="A45" t="s">
        <v>44</v>
      </c>
      <c r="B45" t="s">
        <v>503</v>
      </c>
      <c r="C45" t="s">
        <v>503</v>
      </c>
      <c r="D45" s="3" t="str">
        <f t="shared" si="0"/>
        <v>Sim</v>
      </c>
    </row>
    <row r="46" spans="1:10" x14ac:dyDescent="0.25">
      <c r="A46" t="s">
        <v>44</v>
      </c>
      <c r="B46" t="s">
        <v>505</v>
      </c>
      <c r="C46" t="s">
        <v>505</v>
      </c>
      <c r="D46" s="3" t="str">
        <f t="shared" si="0"/>
        <v>Sim</v>
      </c>
    </row>
    <row r="47" spans="1:10" x14ac:dyDescent="0.25">
      <c r="A47" t="s">
        <v>44</v>
      </c>
      <c r="B47" t="s">
        <v>299</v>
      </c>
      <c r="C47" t="s">
        <v>299</v>
      </c>
      <c r="D47" s="3" t="str">
        <f t="shared" si="0"/>
        <v>Sim</v>
      </c>
      <c r="F47"/>
      <c r="I47"/>
      <c r="J47"/>
    </row>
    <row r="48" spans="1:10" x14ac:dyDescent="0.25">
      <c r="A48" t="s">
        <v>45</v>
      </c>
      <c r="B48" t="s">
        <v>1727</v>
      </c>
      <c r="C48" t="s">
        <v>1727</v>
      </c>
      <c r="D48" s="3" t="str">
        <f t="shared" si="0"/>
        <v>Sim</v>
      </c>
      <c r="F48"/>
    </row>
    <row r="49" spans="1:10" x14ac:dyDescent="0.25">
      <c r="A49" t="s">
        <v>45</v>
      </c>
      <c r="B49" s="5" t="s">
        <v>98</v>
      </c>
      <c r="C49" s="5" t="s">
        <v>98</v>
      </c>
      <c r="D49" s="3" t="str">
        <f t="shared" si="0"/>
        <v>Sim</v>
      </c>
      <c r="F49" s="5"/>
    </row>
    <row r="50" spans="1:10" x14ac:dyDescent="0.25">
      <c r="A50" t="s">
        <v>45</v>
      </c>
      <c r="B50" t="s">
        <v>99</v>
      </c>
      <c r="C50" t="s">
        <v>99</v>
      </c>
      <c r="D50" s="3" t="str">
        <f t="shared" si="0"/>
        <v>Sim</v>
      </c>
    </row>
    <row r="51" spans="1:10" x14ac:dyDescent="0.25">
      <c r="A51" t="s">
        <v>45</v>
      </c>
      <c r="B51" t="s">
        <v>100</v>
      </c>
      <c r="C51" t="s">
        <v>100</v>
      </c>
      <c r="D51" s="3" t="str">
        <f t="shared" si="0"/>
        <v>Sim</v>
      </c>
    </row>
    <row r="52" spans="1:10" x14ac:dyDescent="0.25">
      <c r="A52" t="s">
        <v>45</v>
      </c>
      <c r="B52" t="s">
        <v>101</v>
      </c>
      <c r="C52" t="s">
        <v>104</v>
      </c>
      <c r="D52" s="3" t="str">
        <f t="shared" si="0"/>
        <v>Não</v>
      </c>
    </row>
    <row r="53" spans="1:10" x14ac:dyDescent="0.25">
      <c r="A53" t="s">
        <v>45</v>
      </c>
      <c r="B53" t="s">
        <v>103</v>
      </c>
      <c r="C53" t="s">
        <v>103</v>
      </c>
      <c r="D53" s="3" t="str">
        <f t="shared" si="0"/>
        <v>Sim</v>
      </c>
    </row>
    <row r="54" spans="1:10" x14ac:dyDescent="0.25">
      <c r="A54" t="s">
        <v>45</v>
      </c>
      <c r="B54" t="s">
        <v>105</v>
      </c>
      <c r="C54" t="s">
        <v>105</v>
      </c>
      <c r="D54" s="3" t="str">
        <f t="shared" si="0"/>
        <v>Sim</v>
      </c>
    </row>
    <row r="55" spans="1:10" x14ac:dyDescent="0.25">
      <c r="A55" t="s">
        <v>45</v>
      </c>
      <c r="B55" t="s">
        <v>106</v>
      </c>
      <c r="C55" t="s">
        <v>106</v>
      </c>
      <c r="D55" s="3" t="str">
        <f t="shared" si="0"/>
        <v>Sim</v>
      </c>
      <c r="F55"/>
    </row>
    <row r="56" spans="1:10" x14ac:dyDescent="0.25">
      <c r="A56" t="s">
        <v>45</v>
      </c>
      <c r="B56" s="5" t="s">
        <v>1705</v>
      </c>
      <c r="C56" s="5" t="s">
        <v>1705</v>
      </c>
      <c r="D56" s="3" t="str">
        <f t="shared" si="0"/>
        <v>Sim</v>
      </c>
    </row>
    <row r="57" spans="1:10" x14ac:dyDescent="0.25">
      <c r="A57" t="s">
        <v>491</v>
      </c>
      <c r="B57" t="s">
        <v>109</v>
      </c>
      <c r="C57" t="s">
        <v>109</v>
      </c>
      <c r="D57" s="3" t="str">
        <f t="shared" si="0"/>
        <v>Sim</v>
      </c>
      <c r="F57" s="5"/>
      <c r="I57"/>
      <c r="J57"/>
    </row>
    <row r="58" spans="1:10" x14ac:dyDescent="0.25">
      <c r="A58" t="s">
        <v>491</v>
      </c>
      <c r="B58" t="s">
        <v>118</v>
      </c>
      <c r="C58" t="s">
        <v>118</v>
      </c>
      <c r="D58" s="3" t="str">
        <f t="shared" si="0"/>
        <v>Sim</v>
      </c>
      <c r="F58" s="5"/>
      <c r="I58"/>
    </row>
    <row r="59" spans="1:10" x14ac:dyDescent="0.25">
      <c r="A59" t="s">
        <v>491</v>
      </c>
      <c r="B59" t="s">
        <v>119</v>
      </c>
      <c r="C59" t="s">
        <v>119</v>
      </c>
      <c r="D59" s="3" t="str">
        <f t="shared" si="0"/>
        <v>Sim</v>
      </c>
      <c r="F59" s="5"/>
      <c r="I59"/>
    </row>
    <row r="60" spans="1:10" x14ac:dyDescent="0.25">
      <c r="A60" t="s">
        <v>491</v>
      </c>
      <c r="B60" s="5"/>
      <c r="C60" t="s">
        <v>1693</v>
      </c>
      <c r="D60" s="3" t="str">
        <f t="shared" si="0"/>
        <v>Não</v>
      </c>
      <c r="F60" s="5"/>
      <c r="I60"/>
    </row>
    <row r="61" spans="1:10" x14ac:dyDescent="0.25">
      <c r="A61" t="s">
        <v>491</v>
      </c>
      <c r="B61" s="5" t="s">
        <v>114</v>
      </c>
      <c r="C61" s="5" t="s">
        <v>114</v>
      </c>
      <c r="D61" s="3" t="str">
        <f t="shared" si="0"/>
        <v>Sim</v>
      </c>
      <c r="F61" s="5"/>
      <c r="I61"/>
    </row>
    <row r="62" spans="1:10" x14ac:dyDescent="0.25">
      <c r="A62" t="s">
        <v>491</v>
      </c>
      <c r="B62" t="s">
        <v>120</v>
      </c>
      <c r="C62" t="s">
        <v>120</v>
      </c>
      <c r="D62" s="3" t="str">
        <f t="shared" si="0"/>
        <v>Sim</v>
      </c>
      <c r="F62" s="5"/>
      <c r="I62"/>
    </row>
    <row r="63" spans="1:10" x14ac:dyDescent="0.25">
      <c r="A63" t="s">
        <v>491</v>
      </c>
      <c r="B63" t="s">
        <v>112</v>
      </c>
      <c r="C63" t="s">
        <v>112</v>
      </c>
      <c r="D63" s="3" t="str">
        <f t="shared" si="0"/>
        <v>Sim</v>
      </c>
      <c r="F63" s="5"/>
      <c r="I63"/>
    </row>
    <row r="64" spans="1:10" x14ac:dyDescent="0.25">
      <c r="A64" t="s">
        <v>491</v>
      </c>
      <c r="B64" t="s">
        <v>1621</v>
      </c>
      <c r="C64" t="s">
        <v>1621</v>
      </c>
      <c r="D64" s="3" t="str">
        <f>IF(B64=C64, "Sim", "Não")</f>
        <v>Sim</v>
      </c>
      <c r="F64" s="5"/>
    </row>
    <row r="65" spans="1:10" x14ac:dyDescent="0.25">
      <c r="A65" t="s">
        <v>491</v>
      </c>
      <c r="B65" s="5" t="s">
        <v>107</v>
      </c>
      <c r="C65" s="5" t="s">
        <v>107</v>
      </c>
      <c r="D65" s="3" t="str">
        <f t="shared" si="0"/>
        <v>Sim</v>
      </c>
      <c r="F65" s="5"/>
      <c r="I65"/>
    </row>
    <row r="66" spans="1:10" x14ac:dyDescent="0.25">
      <c r="A66" t="s">
        <v>491</v>
      </c>
      <c r="B66" t="s">
        <v>1696</v>
      </c>
      <c r="C66" t="s">
        <v>1696</v>
      </c>
      <c r="D66" s="3" t="str">
        <f t="shared" si="0"/>
        <v>Sim</v>
      </c>
      <c r="F66" s="5"/>
      <c r="I66"/>
    </row>
    <row r="67" spans="1:10" x14ac:dyDescent="0.25">
      <c r="A67" t="s">
        <v>491</v>
      </c>
      <c r="B67" s="5" t="s">
        <v>116</v>
      </c>
      <c r="C67" s="5" t="s">
        <v>116</v>
      </c>
      <c r="D67" s="3" t="str">
        <f t="shared" si="0"/>
        <v>Sim</v>
      </c>
      <c r="F67" s="5"/>
      <c r="I67"/>
    </row>
    <row r="68" spans="1:10" x14ac:dyDescent="0.25">
      <c r="A68" t="s">
        <v>491</v>
      </c>
      <c r="B68" t="s">
        <v>1646</v>
      </c>
      <c r="C68" t="s">
        <v>1646</v>
      </c>
      <c r="D68" s="3" t="str">
        <f t="shared" si="0"/>
        <v>Sim</v>
      </c>
      <c r="F68" s="5"/>
      <c r="I68"/>
      <c r="J68"/>
    </row>
    <row r="69" spans="1:10" x14ac:dyDescent="0.25">
      <c r="A69" t="s">
        <v>491</v>
      </c>
      <c r="B69" s="5" t="s">
        <v>1703</v>
      </c>
      <c r="C69" s="5" t="s">
        <v>1703</v>
      </c>
      <c r="D69" s="3" t="str">
        <f t="shared" ref="D69:D101" si="2">IF(B69=C69, "Sim", "Não")</f>
        <v>Sim</v>
      </c>
      <c r="F69" s="5"/>
      <c r="G69" s="5"/>
    </row>
    <row r="70" spans="1:10" x14ac:dyDescent="0.25">
      <c r="A70" t="s">
        <v>1728</v>
      </c>
      <c r="B70" t="s">
        <v>1691</v>
      </c>
      <c r="C70" t="s">
        <v>1691</v>
      </c>
      <c r="D70" s="3" t="str">
        <f t="shared" si="2"/>
        <v>Sim</v>
      </c>
      <c r="F70" s="5"/>
      <c r="G70" s="5"/>
    </row>
    <row r="71" spans="1:10" x14ac:dyDescent="0.25">
      <c r="A71" t="s">
        <v>1728</v>
      </c>
      <c r="B71" t="s">
        <v>125</v>
      </c>
      <c r="C71" t="s">
        <v>125</v>
      </c>
      <c r="D71" s="3" t="str">
        <f t="shared" si="2"/>
        <v>Sim</v>
      </c>
      <c r="F71"/>
    </row>
    <row r="72" spans="1:10" x14ac:dyDescent="0.25">
      <c r="A72" t="s">
        <v>1728</v>
      </c>
      <c r="C72" t="s">
        <v>1695</v>
      </c>
      <c r="D72" s="3" t="str">
        <f t="shared" si="2"/>
        <v>Não</v>
      </c>
      <c r="F72"/>
      <c r="I72"/>
    </row>
    <row r="73" spans="1:10" x14ac:dyDescent="0.25">
      <c r="A73" t="s">
        <v>1728</v>
      </c>
      <c r="B73" s="5" t="s">
        <v>1694</v>
      </c>
      <c r="C73" s="5" t="s">
        <v>1694</v>
      </c>
      <c r="D73" s="3" t="str">
        <f t="shared" si="2"/>
        <v>Sim</v>
      </c>
      <c r="F73"/>
    </row>
    <row r="74" spans="1:10" x14ac:dyDescent="0.25">
      <c r="A74" t="s">
        <v>70</v>
      </c>
      <c r="B74" t="s">
        <v>96</v>
      </c>
      <c r="C74" t="s">
        <v>96</v>
      </c>
      <c r="D74" s="3" t="str">
        <f t="shared" si="2"/>
        <v>Sim</v>
      </c>
      <c r="F74"/>
    </row>
    <row r="75" spans="1:10" x14ac:dyDescent="0.25">
      <c r="A75" t="s">
        <v>70</v>
      </c>
      <c r="B75" t="s">
        <v>97</v>
      </c>
      <c r="C75" t="s">
        <v>97</v>
      </c>
      <c r="D75" s="3" t="str">
        <f t="shared" si="2"/>
        <v>Sim</v>
      </c>
      <c r="F75"/>
    </row>
    <row r="76" spans="1:10" x14ac:dyDescent="0.25">
      <c r="A76" t="s">
        <v>70</v>
      </c>
      <c r="B76" t="s">
        <v>127</v>
      </c>
      <c r="C76" t="s">
        <v>127</v>
      </c>
      <c r="D76" s="3" t="str">
        <f t="shared" si="2"/>
        <v>Sim</v>
      </c>
      <c r="F76"/>
      <c r="J76"/>
    </row>
    <row r="77" spans="1:10" x14ac:dyDescent="0.25">
      <c r="A77" t="s">
        <v>70</v>
      </c>
      <c r="B77" t="s">
        <v>2069</v>
      </c>
      <c r="C77" t="s">
        <v>1953</v>
      </c>
      <c r="D77" s="3" t="str">
        <f t="shared" si="2"/>
        <v>Não</v>
      </c>
      <c r="F77"/>
    </row>
    <row r="78" spans="1:10" x14ac:dyDescent="0.25">
      <c r="A78" t="s">
        <v>70</v>
      </c>
      <c r="C78" t="s">
        <v>128</v>
      </c>
      <c r="D78" s="3" t="str">
        <f t="shared" si="2"/>
        <v>Não</v>
      </c>
      <c r="F78"/>
    </row>
    <row r="79" spans="1:10" x14ac:dyDescent="0.25">
      <c r="A79" t="s">
        <v>70</v>
      </c>
      <c r="B79" t="s">
        <v>123</v>
      </c>
      <c r="C79" t="s">
        <v>123</v>
      </c>
      <c r="D79" s="3" t="str">
        <f t="shared" si="2"/>
        <v>Sim</v>
      </c>
      <c r="F79" s="5"/>
    </row>
    <row r="80" spans="1:10" x14ac:dyDescent="0.25">
      <c r="A80" t="s">
        <v>70</v>
      </c>
      <c r="B80" t="s">
        <v>1541</v>
      </c>
      <c r="C80" t="s">
        <v>1541</v>
      </c>
      <c r="D80" s="3" t="str">
        <f t="shared" si="2"/>
        <v>Sim</v>
      </c>
      <c r="F80" s="5"/>
    </row>
    <row r="81" spans="1:10" x14ac:dyDescent="0.25">
      <c r="A81" t="s">
        <v>70</v>
      </c>
      <c r="B81" t="s">
        <v>1725</v>
      </c>
      <c r="C81" t="s">
        <v>1725</v>
      </c>
      <c r="D81" s="3" t="str">
        <f t="shared" si="2"/>
        <v>Sim</v>
      </c>
      <c r="F81"/>
      <c r="G81" s="5"/>
    </row>
    <row r="82" spans="1:10" x14ac:dyDescent="0.25">
      <c r="A82" t="s">
        <v>70</v>
      </c>
      <c r="B82" t="s">
        <v>468</v>
      </c>
      <c r="C82" t="s">
        <v>468</v>
      </c>
      <c r="D82" s="3" t="str">
        <f t="shared" si="2"/>
        <v>Sim</v>
      </c>
      <c r="F82" s="5"/>
    </row>
    <row r="83" spans="1:10" x14ac:dyDescent="0.25">
      <c r="A83" t="s">
        <v>70</v>
      </c>
      <c r="B83" t="s">
        <v>1723</v>
      </c>
      <c r="C83" t="s">
        <v>1723</v>
      </c>
      <c r="D83" s="3" t="str">
        <f t="shared" si="2"/>
        <v>Sim</v>
      </c>
      <c r="F83" s="5"/>
      <c r="G83" s="5"/>
      <c r="I83"/>
    </row>
    <row r="84" spans="1:10" x14ac:dyDescent="0.25">
      <c r="A84" t="s">
        <v>73</v>
      </c>
      <c r="B84" s="5" t="s">
        <v>1726</v>
      </c>
      <c r="C84" s="5" t="s">
        <v>1726</v>
      </c>
      <c r="D84" s="3" t="str">
        <f t="shared" si="2"/>
        <v>Sim</v>
      </c>
      <c r="F84"/>
      <c r="J84"/>
    </row>
    <row r="85" spans="1:10" x14ac:dyDescent="0.25">
      <c r="A85" t="s">
        <v>73</v>
      </c>
      <c r="B85" t="s">
        <v>1904</v>
      </c>
      <c r="C85" t="s">
        <v>1724</v>
      </c>
      <c r="D85" s="3" t="str">
        <f t="shared" si="2"/>
        <v>Não</v>
      </c>
    </row>
    <row r="86" spans="1:10" x14ac:dyDescent="0.25">
      <c r="A86" t="s">
        <v>73</v>
      </c>
      <c r="C86" t="s">
        <v>1954</v>
      </c>
      <c r="D86" s="3" t="str">
        <f t="shared" si="2"/>
        <v>Não</v>
      </c>
      <c r="F86"/>
    </row>
    <row r="87" spans="1:10" x14ac:dyDescent="0.25">
      <c r="A87" t="s">
        <v>73</v>
      </c>
      <c r="B87" t="s">
        <v>133</v>
      </c>
      <c r="C87" t="s">
        <v>133</v>
      </c>
      <c r="D87" s="3" t="str">
        <f t="shared" si="2"/>
        <v>Sim</v>
      </c>
      <c r="G87" s="2"/>
    </row>
    <row r="88" spans="1:10" x14ac:dyDescent="0.25">
      <c r="A88" t="s">
        <v>73</v>
      </c>
      <c r="B88" t="s">
        <v>134</v>
      </c>
      <c r="C88" t="s">
        <v>134</v>
      </c>
      <c r="D88" s="3" t="str">
        <f t="shared" si="2"/>
        <v>Sim</v>
      </c>
    </row>
    <row r="89" spans="1:10" x14ac:dyDescent="0.25">
      <c r="A89" t="s">
        <v>73</v>
      </c>
      <c r="B89" t="s">
        <v>1644</v>
      </c>
      <c r="C89" t="s">
        <v>1644</v>
      </c>
      <c r="D89" s="3" t="str">
        <f t="shared" si="2"/>
        <v>Sim</v>
      </c>
      <c r="G89" s="2"/>
    </row>
    <row r="90" spans="1:10" x14ac:dyDescent="0.25">
      <c r="A90" t="s">
        <v>73</v>
      </c>
      <c r="B90" t="s">
        <v>2070</v>
      </c>
      <c r="C90" t="s">
        <v>2070</v>
      </c>
      <c r="D90" s="3" t="str">
        <f>IF(B90=C90, "Sim", "Não")</f>
        <v>Sim</v>
      </c>
    </row>
    <row r="91" spans="1:10" x14ac:dyDescent="0.25">
      <c r="A91" t="s">
        <v>73</v>
      </c>
      <c r="B91" t="s">
        <v>135</v>
      </c>
      <c r="C91" t="s">
        <v>135</v>
      </c>
      <c r="D91" s="3" t="str">
        <f t="shared" si="2"/>
        <v>Sim</v>
      </c>
    </row>
    <row r="92" spans="1:10" x14ac:dyDescent="0.25">
      <c r="A92" t="s">
        <v>73</v>
      </c>
      <c r="B92" t="s">
        <v>799</v>
      </c>
      <c r="C92" t="s">
        <v>799</v>
      </c>
      <c r="D92" s="3" t="str">
        <f t="shared" si="2"/>
        <v>Sim</v>
      </c>
    </row>
    <row r="93" spans="1:10" x14ac:dyDescent="0.25">
      <c r="A93" t="s">
        <v>73</v>
      </c>
      <c r="B93" t="s">
        <v>137</v>
      </c>
      <c r="C93" t="s">
        <v>137</v>
      </c>
      <c r="D93" s="3" t="str">
        <f t="shared" si="2"/>
        <v>Sim</v>
      </c>
    </row>
    <row r="94" spans="1:10" x14ac:dyDescent="0.25">
      <c r="A94" t="s">
        <v>73</v>
      </c>
      <c r="B94" t="s">
        <v>138</v>
      </c>
      <c r="C94" t="s">
        <v>138</v>
      </c>
      <c r="D94" s="3" t="str">
        <f t="shared" si="2"/>
        <v>Sim</v>
      </c>
    </row>
    <row r="95" spans="1:10" x14ac:dyDescent="0.25">
      <c r="A95" t="s">
        <v>73</v>
      </c>
      <c r="B95" t="s">
        <v>139</v>
      </c>
      <c r="C95" t="s">
        <v>139</v>
      </c>
      <c r="D95" s="3" t="str">
        <f t="shared" si="2"/>
        <v>Sim</v>
      </c>
    </row>
    <row r="96" spans="1:10" x14ac:dyDescent="0.25">
      <c r="A96" t="s">
        <v>73</v>
      </c>
      <c r="B96" t="s">
        <v>140</v>
      </c>
      <c r="C96" t="s">
        <v>140</v>
      </c>
      <c r="D96" s="3" t="str">
        <f t="shared" si="2"/>
        <v>Sim</v>
      </c>
    </row>
    <row r="97" spans="1:6" x14ac:dyDescent="0.25">
      <c r="A97" t="s">
        <v>279</v>
      </c>
      <c r="B97" t="s">
        <v>124</v>
      </c>
      <c r="C97" t="s">
        <v>124</v>
      </c>
      <c r="D97" s="3" t="str">
        <f t="shared" si="2"/>
        <v>Sim</v>
      </c>
    </row>
    <row r="98" spans="1:6" x14ac:dyDescent="0.25">
      <c r="A98" t="s">
        <v>279</v>
      </c>
      <c r="B98" s="5"/>
      <c r="C98" s="5" t="s">
        <v>1634</v>
      </c>
      <c r="D98" s="3" t="str">
        <f t="shared" si="2"/>
        <v>Não</v>
      </c>
    </row>
    <row r="99" spans="1:6" x14ac:dyDescent="0.25">
      <c r="A99" t="s">
        <v>279</v>
      </c>
      <c r="B99" s="5" t="s">
        <v>1692</v>
      </c>
      <c r="C99" s="5" t="s">
        <v>1692</v>
      </c>
      <c r="D99" s="3" t="str">
        <f t="shared" si="2"/>
        <v>Sim</v>
      </c>
      <c r="F99" s="5"/>
    </row>
    <row r="100" spans="1:6" x14ac:dyDescent="0.25">
      <c r="A100" t="s">
        <v>279</v>
      </c>
      <c r="B100" t="s">
        <v>122</v>
      </c>
      <c r="C100" t="s">
        <v>122</v>
      </c>
      <c r="D100" s="3" t="str">
        <f t="shared" si="2"/>
        <v>Sim</v>
      </c>
      <c r="F100" s="5"/>
    </row>
    <row r="101" spans="1:6" x14ac:dyDescent="0.25">
      <c r="A101" s="5" t="s">
        <v>279</v>
      </c>
      <c r="B101" s="5"/>
      <c r="C101" t="s">
        <v>548</v>
      </c>
      <c r="D101" s="3" t="str">
        <f t="shared" si="2"/>
        <v>Não</v>
      </c>
      <c r="F101" s="5"/>
    </row>
    <row r="102" spans="1:6" x14ac:dyDescent="0.25">
      <c r="F102" s="5"/>
    </row>
    <row r="103" spans="1:6" x14ac:dyDescent="0.25">
      <c r="F103" s="5"/>
    </row>
  </sheetData>
  <mergeCells count="2">
    <mergeCell ref="A1:G1"/>
    <mergeCell ref="I1:J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5B683-7D3D-4093-B29D-814FD7AC6F59}">
  <sheetPr codeName="Planilha29"/>
  <dimension ref="A1:G101"/>
  <sheetViews>
    <sheetView topLeftCell="A38" workbookViewId="0">
      <selection activeCell="C49" sqref="C49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28" t="s">
        <v>58</v>
      </c>
      <c r="B1" s="28"/>
      <c r="C1" s="28"/>
      <c r="D1" s="28"/>
      <c r="E1" s="28"/>
      <c r="F1" s="28"/>
      <c r="G1" s="28"/>
    </row>
    <row r="2" spans="1:7" x14ac:dyDescent="0.25">
      <c r="A2" s="4" t="s">
        <v>34</v>
      </c>
      <c r="B2" s="4" t="s">
        <v>35</v>
      </c>
      <c r="C2" s="4" t="s">
        <v>36</v>
      </c>
      <c r="D2" s="4" t="s">
        <v>37</v>
      </c>
    </row>
    <row r="3" spans="1:7" x14ac:dyDescent="0.25">
      <c r="A3" t="s">
        <v>38</v>
      </c>
      <c r="B3" t="s">
        <v>43</v>
      </c>
      <c r="C3" t="s">
        <v>43</v>
      </c>
      <c r="D3" t="str">
        <f>IF(B3=C3, "Sim", "Não")</f>
        <v>Sim</v>
      </c>
      <c r="F3" s="4" t="s">
        <v>39</v>
      </c>
      <c r="G3" s="3">
        <f>COUNTIF(D3:D105,"Não")</f>
        <v>32</v>
      </c>
    </row>
    <row r="4" spans="1:7" x14ac:dyDescent="0.25">
      <c r="A4" t="s">
        <v>38</v>
      </c>
      <c r="B4" t="s">
        <v>72</v>
      </c>
      <c r="C4" t="s">
        <v>72</v>
      </c>
      <c r="D4" t="str">
        <f t="shared" ref="D4:D65" si="0">IF(B4=C4, "Sim", "Não")</f>
        <v>Sim</v>
      </c>
      <c r="F4" s="4" t="s">
        <v>40</v>
      </c>
      <c r="G4" s="3">
        <f>SUM(G7:G24)</f>
        <v>99</v>
      </c>
    </row>
    <row r="5" spans="1:7" x14ac:dyDescent="0.25">
      <c r="A5" t="s">
        <v>38</v>
      </c>
      <c r="B5" t="s">
        <v>189</v>
      </c>
      <c r="C5" t="s">
        <v>189</v>
      </c>
      <c r="D5" t="str">
        <f t="shared" si="0"/>
        <v>Sim</v>
      </c>
    </row>
    <row r="6" spans="1:7" x14ac:dyDescent="0.25">
      <c r="A6" t="s">
        <v>38</v>
      </c>
      <c r="B6" t="s">
        <v>145</v>
      </c>
      <c r="C6" t="s">
        <v>145</v>
      </c>
      <c r="D6" t="str">
        <f t="shared" si="0"/>
        <v>Sim</v>
      </c>
      <c r="F6" s="6" t="s">
        <v>42</v>
      </c>
      <c r="G6" s="1"/>
    </row>
    <row r="7" spans="1:7" x14ac:dyDescent="0.25">
      <c r="A7" t="s">
        <v>38</v>
      </c>
      <c r="B7" t="s">
        <v>210</v>
      </c>
      <c r="C7" t="s">
        <v>190</v>
      </c>
      <c r="D7" t="str">
        <f t="shared" si="0"/>
        <v>Não</v>
      </c>
      <c r="F7" s="1" t="s">
        <v>38</v>
      </c>
      <c r="G7" s="2">
        <f t="shared" ref="G7:G16" si="1">COUNTIF(A:A,F7)</f>
        <v>35</v>
      </c>
    </row>
    <row r="8" spans="1:7" x14ac:dyDescent="0.25">
      <c r="A8" t="s">
        <v>38</v>
      </c>
      <c r="B8" t="s">
        <v>210</v>
      </c>
      <c r="C8" t="s">
        <v>191</v>
      </c>
      <c r="D8" t="str">
        <f t="shared" si="0"/>
        <v>Não</v>
      </c>
      <c r="F8" s="1" t="s">
        <v>44</v>
      </c>
      <c r="G8" s="2">
        <f t="shared" si="1"/>
        <v>8</v>
      </c>
    </row>
    <row r="9" spans="1:7" x14ac:dyDescent="0.25">
      <c r="A9" t="s">
        <v>38</v>
      </c>
      <c r="B9" t="s">
        <v>158</v>
      </c>
      <c r="C9" t="s">
        <v>192</v>
      </c>
      <c r="D9" t="str">
        <f t="shared" si="0"/>
        <v>Não</v>
      </c>
      <c r="F9" s="1" t="s">
        <v>45</v>
      </c>
      <c r="G9" s="2">
        <f t="shared" si="1"/>
        <v>8</v>
      </c>
    </row>
    <row r="10" spans="1:7" x14ac:dyDescent="0.25">
      <c r="A10" t="s">
        <v>38</v>
      </c>
      <c r="B10" t="s">
        <v>158</v>
      </c>
      <c r="C10" t="s">
        <v>193</v>
      </c>
      <c r="D10" t="str">
        <f t="shared" si="0"/>
        <v>Não</v>
      </c>
      <c r="F10" s="1" t="s">
        <v>194</v>
      </c>
      <c r="G10" s="2">
        <f t="shared" si="1"/>
        <v>6</v>
      </c>
    </row>
    <row r="11" spans="1:7" x14ac:dyDescent="0.25">
      <c r="A11" t="s">
        <v>38</v>
      </c>
      <c r="B11" t="s">
        <v>158</v>
      </c>
      <c r="C11" t="s">
        <v>195</v>
      </c>
      <c r="D11" t="str">
        <f t="shared" si="0"/>
        <v>Não</v>
      </c>
      <c r="F11" s="1" t="s">
        <v>196</v>
      </c>
      <c r="G11" s="2">
        <f t="shared" si="1"/>
        <v>14</v>
      </c>
    </row>
    <row r="12" spans="1:7" x14ac:dyDescent="0.25">
      <c r="A12" t="s">
        <v>38</v>
      </c>
      <c r="B12" t="s">
        <v>197</v>
      </c>
      <c r="C12" t="s">
        <v>197</v>
      </c>
      <c r="D12" t="str">
        <f t="shared" si="0"/>
        <v>Sim</v>
      </c>
      <c r="F12" s="1" t="s">
        <v>198</v>
      </c>
      <c r="G12" s="2">
        <f t="shared" si="1"/>
        <v>5</v>
      </c>
    </row>
    <row r="13" spans="1:7" x14ac:dyDescent="0.25">
      <c r="A13" t="s">
        <v>38</v>
      </c>
      <c r="B13" t="s">
        <v>89</v>
      </c>
      <c r="C13" t="s">
        <v>199</v>
      </c>
      <c r="D13" t="str">
        <f t="shared" si="0"/>
        <v>Não</v>
      </c>
      <c r="F13" s="1" t="s">
        <v>200</v>
      </c>
      <c r="G13" s="2">
        <f t="shared" si="1"/>
        <v>9</v>
      </c>
    </row>
    <row r="14" spans="1:7" x14ac:dyDescent="0.25">
      <c r="A14" t="s">
        <v>38</v>
      </c>
      <c r="B14" t="s">
        <v>201</v>
      </c>
      <c r="C14" t="s">
        <v>201</v>
      </c>
      <c r="D14" t="str">
        <f t="shared" si="0"/>
        <v>Sim</v>
      </c>
      <c r="F14" s="1" t="s">
        <v>46</v>
      </c>
      <c r="G14" s="2">
        <f t="shared" si="1"/>
        <v>5</v>
      </c>
    </row>
    <row r="15" spans="1:7" x14ac:dyDescent="0.25">
      <c r="A15" t="s">
        <v>38</v>
      </c>
      <c r="B15" t="s">
        <v>203</v>
      </c>
      <c r="C15" t="s">
        <v>203</v>
      </c>
      <c r="D15" t="str">
        <f t="shared" si="0"/>
        <v>Sim</v>
      </c>
      <c r="F15" s="5" t="s">
        <v>1546</v>
      </c>
      <c r="G15" s="2">
        <f t="shared" si="1"/>
        <v>5</v>
      </c>
    </row>
    <row r="16" spans="1:7" x14ac:dyDescent="0.25">
      <c r="A16" t="s">
        <v>38</v>
      </c>
      <c r="B16" t="s">
        <v>204</v>
      </c>
      <c r="C16" t="s">
        <v>204</v>
      </c>
      <c r="D16" t="str">
        <f t="shared" si="0"/>
        <v>Sim</v>
      </c>
      <c r="F16" s="5" t="s">
        <v>762</v>
      </c>
      <c r="G16" s="2">
        <f t="shared" si="1"/>
        <v>4</v>
      </c>
    </row>
    <row r="17" spans="1:4" x14ac:dyDescent="0.25">
      <c r="A17" t="s">
        <v>38</v>
      </c>
      <c r="B17" t="s">
        <v>89</v>
      </c>
      <c r="C17" t="s">
        <v>205</v>
      </c>
      <c r="D17" t="str">
        <f t="shared" si="0"/>
        <v>Não</v>
      </c>
    </row>
    <row r="18" spans="1:4" x14ac:dyDescent="0.25">
      <c r="A18" t="s">
        <v>38</v>
      </c>
      <c r="B18" t="s">
        <v>206</v>
      </c>
      <c r="C18" t="s">
        <v>206</v>
      </c>
      <c r="D18" t="str">
        <f t="shared" si="0"/>
        <v>Sim</v>
      </c>
    </row>
    <row r="19" spans="1:4" x14ac:dyDescent="0.25">
      <c r="A19" t="s">
        <v>38</v>
      </c>
      <c r="B19" t="s">
        <v>207</v>
      </c>
      <c r="C19" t="s">
        <v>207</v>
      </c>
      <c r="D19" t="str">
        <f t="shared" si="0"/>
        <v>Sim</v>
      </c>
    </row>
    <row r="20" spans="1:4" x14ac:dyDescent="0.25">
      <c r="A20" t="s">
        <v>38</v>
      </c>
      <c r="B20" t="s">
        <v>208</v>
      </c>
      <c r="C20" t="s">
        <v>208</v>
      </c>
      <c r="D20" t="str">
        <f t="shared" si="0"/>
        <v>Sim</v>
      </c>
    </row>
    <row r="21" spans="1:4" x14ac:dyDescent="0.25">
      <c r="A21" t="s">
        <v>38</v>
      </c>
      <c r="B21" t="s">
        <v>209</v>
      </c>
      <c r="C21" t="s">
        <v>209</v>
      </c>
      <c r="D21" t="str">
        <f t="shared" si="0"/>
        <v>Sim</v>
      </c>
    </row>
    <row r="22" spans="1:4" x14ac:dyDescent="0.25">
      <c r="A22" t="s">
        <v>38</v>
      </c>
      <c r="B22" t="s">
        <v>89</v>
      </c>
      <c r="C22" t="s">
        <v>1763</v>
      </c>
      <c r="D22" t="str">
        <f t="shared" si="0"/>
        <v>Não</v>
      </c>
    </row>
    <row r="23" spans="1:4" x14ac:dyDescent="0.25">
      <c r="A23" t="s">
        <v>38</v>
      </c>
      <c r="B23" t="s">
        <v>210</v>
      </c>
      <c r="C23" t="s">
        <v>210</v>
      </c>
      <c r="D23" t="str">
        <f t="shared" si="0"/>
        <v>Sim</v>
      </c>
    </row>
    <row r="24" spans="1:4" x14ac:dyDescent="0.25">
      <c r="A24" t="s">
        <v>38</v>
      </c>
      <c r="B24" t="s">
        <v>210</v>
      </c>
      <c r="C24" t="s">
        <v>210</v>
      </c>
      <c r="D24" t="str">
        <f t="shared" si="0"/>
        <v>Sim</v>
      </c>
    </row>
    <row r="25" spans="1:4" x14ac:dyDescent="0.25">
      <c r="A25" t="s">
        <v>38</v>
      </c>
      <c r="B25" t="s">
        <v>210</v>
      </c>
      <c r="C25" t="s">
        <v>210</v>
      </c>
      <c r="D25" t="str">
        <f t="shared" si="0"/>
        <v>Sim</v>
      </c>
    </row>
    <row r="26" spans="1:4" x14ac:dyDescent="0.25">
      <c r="A26" t="s">
        <v>38</v>
      </c>
      <c r="B26" t="s">
        <v>210</v>
      </c>
      <c r="C26" t="s">
        <v>210</v>
      </c>
      <c r="D26" t="str">
        <f t="shared" si="0"/>
        <v>Sim</v>
      </c>
    </row>
    <row r="27" spans="1:4" x14ac:dyDescent="0.25">
      <c r="A27" t="s">
        <v>38</v>
      </c>
      <c r="B27" t="s">
        <v>89</v>
      </c>
      <c r="C27" t="s">
        <v>89</v>
      </c>
      <c r="D27" t="str">
        <f t="shared" si="0"/>
        <v>Sim</v>
      </c>
    </row>
    <row r="28" spans="1:4" x14ac:dyDescent="0.25">
      <c r="A28" t="s">
        <v>38</v>
      </c>
      <c r="B28" t="s">
        <v>89</v>
      </c>
      <c r="C28" t="s">
        <v>89</v>
      </c>
      <c r="D28" t="str">
        <f t="shared" si="0"/>
        <v>Sim</v>
      </c>
    </row>
    <row r="29" spans="1:4" x14ac:dyDescent="0.25">
      <c r="A29" t="s">
        <v>38</v>
      </c>
      <c r="B29" t="s">
        <v>89</v>
      </c>
      <c r="C29" t="s">
        <v>89</v>
      </c>
      <c r="D29" t="str">
        <f t="shared" si="0"/>
        <v>Sim</v>
      </c>
    </row>
    <row r="30" spans="1:4" x14ac:dyDescent="0.25">
      <c r="A30" t="s">
        <v>38</v>
      </c>
      <c r="B30" t="s">
        <v>89</v>
      </c>
      <c r="C30" t="s">
        <v>89</v>
      </c>
      <c r="D30" t="str">
        <f t="shared" si="0"/>
        <v>Sim</v>
      </c>
    </row>
    <row r="31" spans="1:4" x14ac:dyDescent="0.25">
      <c r="A31" t="s">
        <v>38</v>
      </c>
      <c r="B31" t="s">
        <v>89</v>
      </c>
      <c r="C31" t="s">
        <v>89</v>
      </c>
      <c r="D31" t="str">
        <f t="shared" si="0"/>
        <v>Sim</v>
      </c>
    </row>
    <row r="32" spans="1:4" x14ac:dyDescent="0.25">
      <c r="A32" t="s">
        <v>38</v>
      </c>
      <c r="B32" t="s">
        <v>89</v>
      </c>
      <c r="C32" t="s">
        <v>89</v>
      </c>
      <c r="D32" t="str">
        <f t="shared" si="0"/>
        <v>Sim</v>
      </c>
    </row>
    <row r="33" spans="1:6" x14ac:dyDescent="0.25">
      <c r="A33" t="s">
        <v>38</v>
      </c>
      <c r="B33" t="s">
        <v>158</v>
      </c>
      <c r="C33" t="s">
        <v>158</v>
      </c>
      <c r="D33" t="str">
        <f t="shared" si="0"/>
        <v>Sim</v>
      </c>
    </row>
    <row r="34" spans="1:6" x14ac:dyDescent="0.25">
      <c r="A34" t="s">
        <v>38</v>
      </c>
      <c r="B34" t="s">
        <v>158</v>
      </c>
      <c r="C34" t="s">
        <v>158</v>
      </c>
      <c r="D34" t="str">
        <f t="shared" si="0"/>
        <v>Sim</v>
      </c>
    </row>
    <row r="35" spans="1:6" x14ac:dyDescent="0.25">
      <c r="A35" t="s">
        <v>38</v>
      </c>
      <c r="B35" t="s">
        <v>158</v>
      </c>
      <c r="C35" t="s">
        <v>158</v>
      </c>
      <c r="D35" t="str">
        <f t="shared" si="0"/>
        <v>Sim</v>
      </c>
    </row>
    <row r="36" spans="1:6" x14ac:dyDescent="0.25">
      <c r="A36" t="s">
        <v>38</v>
      </c>
      <c r="B36" t="s">
        <v>158</v>
      </c>
      <c r="C36" t="s">
        <v>158</v>
      </c>
      <c r="D36" t="str">
        <f t="shared" si="0"/>
        <v>Sim</v>
      </c>
    </row>
    <row r="37" spans="1:6" x14ac:dyDescent="0.25">
      <c r="A37" t="s">
        <v>38</v>
      </c>
      <c r="B37" t="s">
        <v>158</v>
      </c>
      <c r="C37" t="s">
        <v>158</v>
      </c>
      <c r="D37" t="str">
        <f t="shared" si="0"/>
        <v>Sim</v>
      </c>
    </row>
    <row r="38" spans="1:6" x14ac:dyDescent="0.25">
      <c r="A38" t="s">
        <v>44</v>
      </c>
      <c r="B38" t="s">
        <v>1554</v>
      </c>
      <c r="C38" t="s">
        <v>211</v>
      </c>
      <c r="D38" t="str">
        <f t="shared" si="0"/>
        <v>Não</v>
      </c>
    </row>
    <row r="39" spans="1:6" x14ac:dyDescent="0.25">
      <c r="A39" t="s">
        <v>44</v>
      </c>
      <c r="B39" t="s">
        <v>212</v>
      </c>
      <c r="C39" t="s">
        <v>212</v>
      </c>
      <c r="D39" t="str">
        <f t="shared" si="0"/>
        <v>Sim</v>
      </c>
    </row>
    <row r="40" spans="1:6" x14ac:dyDescent="0.25">
      <c r="A40" t="s">
        <v>44</v>
      </c>
      <c r="B40" t="s">
        <v>213</v>
      </c>
      <c r="C40" t="s">
        <v>213</v>
      </c>
      <c r="D40" t="str">
        <f t="shared" si="0"/>
        <v>Sim</v>
      </c>
    </row>
    <row r="41" spans="1:6" x14ac:dyDescent="0.25">
      <c r="A41" t="s">
        <v>44</v>
      </c>
      <c r="B41" t="s">
        <v>214</v>
      </c>
      <c r="C41" t="s">
        <v>214</v>
      </c>
      <c r="D41" t="str">
        <f t="shared" si="0"/>
        <v>Sim</v>
      </c>
    </row>
    <row r="42" spans="1:6" x14ac:dyDescent="0.25">
      <c r="A42" t="s">
        <v>44</v>
      </c>
      <c r="B42" t="s">
        <v>215</v>
      </c>
      <c r="C42" t="s">
        <v>215</v>
      </c>
      <c r="D42" t="str">
        <f t="shared" si="0"/>
        <v>Sim</v>
      </c>
    </row>
    <row r="43" spans="1:6" x14ac:dyDescent="0.25">
      <c r="A43" t="s">
        <v>44</v>
      </c>
      <c r="B43" t="s">
        <v>216</v>
      </c>
      <c r="C43" t="s">
        <v>216</v>
      </c>
      <c r="D43" t="str">
        <f t="shared" si="0"/>
        <v>Sim</v>
      </c>
    </row>
    <row r="44" spans="1:6" x14ac:dyDescent="0.25">
      <c r="A44" t="s">
        <v>44</v>
      </c>
      <c r="B44" t="s">
        <v>163</v>
      </c>
      <c r="C44" t="s">
        <v>163</v>
      </c>
      <c r="D44" t="str">
        <f>IF(B44=C44, "Sim", "Não")</f>
        <v>Sim</v>
      </c>
      <c r="F44"/>
    </row>
    <row r="45" spans="1:6" x14ac:dyDescent="0.25">
      <c r="A45" t="s">
        <v>44</v>
      </c>
      <c r="B45" t="s">
        <v>218</v>
      </c>
      <c r="C45" t="s">
        <v>1764</v>
      </c>
      <c r="D45" t="str">
        <f t="shared" si="0"/>
        <v>Não</v>
      </c>
    </row>
    <row r="46" spans="1:6" x14ac:dyDescent="0.25">
      <c r="A46" t="s">
        <v>45</v>
      </c>
      <c r="B46" t="s">
        <v>220</v>
      </c>
      <c r="C46" t="s">
        <v>220</v>
      </c>
      <c r="D46" t="str">
        <f t="shared" si="0"/>
        <v>Sim</v>
      </c>
    </row>
    <row r="47" spans="1:6" x14ac:dyDescent="0.25">
      <c r="A47" t="s">
        <v>45</v>
      </c>
      <c r="B47" t="s">
        <v>221</v>
      </c>
      <c r="C47" t="s">
        <v>221</v>
      </c>
      <c r="D47" t="str">
        <f t="shared" si="0"/>
        <v>Sim</v>
      </c>
    </row>
    <row r="48" spans="1:6" x14ac:dyDescent="0.25">
      <c r="A48" t="s">
        <v>45</v>
      </c>
      <c r="B48" t="s">
        <v>222</v>
      </c>
      <c r="C48" t="s">
        <v>2065</v>
      </c>
      <c r="D48" t="str">
        <f t="shared" si="0"/>
        <v>Não</v>
      </c>
      <c r="F48"/>
    </row>
    <row r="49" spans="1:6" x14ac:dyDescent="0.25">
      <c r="A49" t="s">
        <v>45</v>
      </c>
      <c r="B49" t="s">
        <v>224</v>
      </c>
      <c r="C49" t="s">
        <v>224</v>
      </c>
      <c r="D49" t="str">
        <f t="shared" si="0"/>
        <v>Sim</v>
      </c>
    </row>
    <row r="50" spans="1:6" x14ac:dyDescent="0.25">
      <c r="A50" t="s">
        <v>45</v>
      </c>
      <c r="B50" t="s">
        <v>1555</v>
      </c>
      <c r="C50" t="s">
        <v>225</v>
      </c>
      <c r="D50" t="str">
        <f t="shared" si="0"/>
        <v>Não</v>
      </c>
    </row>
    <row r="51" spans="1:6" x14ac:dyDescent="0.25">
      <c r="A51" t="s">
        <v>45</v>
      </c>
      <c r="B51" t="s">
        <v>227</v>
      </c>
      <c r="C51" t="s">
        <v>227</v>
      </c>
      <c r="D51" t="str">
        <f t="shared" si="0"/>
        <v>Sim</v>
      </c>
    </row>
    <row r="52" spans="1:6" x14ac:dyDescent="0.25">
      <c r="A52" t="s">
        <v>45</v>
      </c>
      <c r="B52" t="s">
        <v>228</v>
      </c>
      <c r="C52" t="s">
        <v>228</v>
      </c>
      <c r="D52" t="str">
        <f t="shared" si="0"/>
        <v>Sim</v>
      </c>
    </row>
    <row r="53" spans="1:6" x14ac:dyDescent="0.25">
      <c r="A53" t="s">
        <v>45</v>
      </c>
      <c r="B53" t="s">
        <v>229</v>
      </c>
      <c r="C53" t="s">
        <v>229</v>
      </c>
      <c r="D53" t="str">
        <f t="shared" si="0"/>
        <v>Sim</v>
      </c>
    </row>
    <row r="54" spans="1:6" x14ac:dyDescent="0.25">
      <c r="A54" t="s">
        <v>194</v>
      </c>
      <c r="B54" t="s">
        <v>230</v>
      </c>
      <c r="C54" t="s">
        <v>230</v>
      </c>
      <c r="D54" t="str">
        <f t="shared" si="0"/>
        <v>Sim</v>
      </c>
      <c r="F54"/>
    </row>
    <row r="55" spans="1:6" x14ac:dyDescent="0.25">
      <c r="A55" t="s">
        <v>194</v>
      </c>
      <c r="B55" t="s">
        <v>231</v>
      </c>
      <c r="C55" t="s">
        <v>231</v>
      </c>
      <c r="D55" t="str">
        <f t="shared" si="0"/>
        <v>Sim</v>
      </c>
      <c r="F55"/>
    </row>
    <row r="56" spans="1:6" x14ac:dyDescent="0.25">
      <c r="A56" t="s">
        <v>194</v>
      </c>
      <c r="B56" t="s">
        <v>1004</v>
      </c>
      <c r="C56" t="s">
        <v>232</v>
      </c>
      <c r="D56" t="str">
        <f t="shared" si="0"/>
        <v>Não</v>
      </c>
      <c r="F56"/>
    </row>
    <row r="57" spans="1:6" x14ac:dyDescent="0.25">
      <c r="A57" t="s">
        <v>194</v>
      </c>
      <c r="B57" t="s">
        <v>1556</v>
      </c>
      <c r="C57" t="s">
        <v>233</v>
      </c>
      <c r="D57" t="str">
        <f t="shared" si="0"/>
        <v>Não</v>
      </c>
      <c r="F57"/>
    </row>
    <row r="58" spans="1:6" x14ac:dyDescent="0.25">
      <c r="A58" t="s">
        <v>194</v>
      </c>
      <c r="B58" t="s">
        <v>1557</v>
      </c>
      <c r="C58" t="s">
        <v>234</v>
      </c>
      <c r="D58" t="str">
        <f t="shared" si="0"/>
        <v>Não</v>
      </c>
      <c r="F58"/>
    </row>
    <row r="59" spans="1:6" x14ac:dyDescent="0.25">
      <c r="A59" t="s">
        <v>194</v>
      </c>
      <c r="B59" t="s">
        <v>235</v>
      </c>
      <c r="C59" t="s">
        <v>235</v>
      </c>
      <c r="D59" t="str">
        <f t="shared" si="0"/>
        <v>Sim</v>
      </c>
    </row>
    <row r="60" spans="1:6" x14ac:dyDescent="0.25">
      <c r="A60" t="s">
        <v>196</v>
      </c>
      <c r="B60" t="s">
        <v>236</v>
      </c>
      <c r="C60" t="s">
        <v>236</v>
      </c>
      <c r="D60" t="str">
        <f t="shared" si="0"/>
        <v>Sim</v>
      </c>
      <c r="F60"/>
    </row>
    <row r="61" spans="1:6" x14ac:dyDescent="0.25">
      <c r="A61" t="s">
        <v>196</v>
      </c>
      <c r="B61" t="s">
        <v>237</v>
      </c>
      <c r="C61" t="s">
        <v>237</v>
      </c>
      <c r="D61" t="str">
        <f t="shared" si="0"/>
        <v>Sim</v>
      </c>
      <c r="F61"/>
    </row>
    <row r="62" spans="1:6" x14ac:dyDescent="0.25">
      <c r="A62" t="s">
        <v>196</v>
      </c>
      <c r="B62" t="s">
        <v>239</v>
      </c>
      <c r="C62" t="s">
        <v>239</v>
      </c>
      <c r="D62" t="str">
        <f t="shared" si="0"/>
        <v>Sim</v>
      </c>
      <c r="F62"/>
    </row>
    <row r="63" spans="1:6" x14ac:dyDescent="0.25">
      <c r="A63" t="s">
        <v>196</v>
      </c>
      <c r="B63" t="s">
        <v>240</v>
      </c>
      <c r="C63" t="s">
        <v>240</v>
      </c>
      <c r="D63" t="str">
        <f t="shared" si="0"/>
        <v>Sim</v>
      </c>
      <c r="F63"/>
    </row>
    <row r="64" spans="1:6" x14ac:dyDescent="0.25">
      <c r="A64" t="s">
        <v>196</v>
      </c>
      <c r="B64" t="s">
        <v>910</v>
      </c>
      <c r="C64" t="s">
        <v>241</v>
      </c>
      <c r="D64" t="str">
        <f t="shared" si="0"/>
        <v>Não</v>
      </c>
    </row>
    <row r="65" spans="1:6" x14ac:dyDescent="0.25">
      <c r="A65" t="s">
        <v>196</v>
      </c>
      <c r="B65" t="s">
        <v>242</v>
      </c>
      <c r="C65" t="s">
        <v>242</v>
      </c>
      <c r="D65" t="str">
        <f t="shared" si="0"/>
        <v>Sim</v>
      </c>
      <c r="F65"/>
    </row>
    <row r="66" spans="1:6" x14ac:dyDescent="0.25">
      <c r="A66" t="s">
        <v>196</v>
      </c>
      <c r="B66" t="s">
        <v>1558</v>
      </c>
      <c r="C66" t="s">
        <v>245</v>
      </c>
      <c r="D66" t="str">
        <f t="shared" ref="D66:D101" si="2">IF(B66=C66, "Sim", "Não")</f>
        <v>Não</v>
      </c>
    </row>
    <row r="67" spans="1:6" x14ac:dyDescent="0.25">
      <c r="A67" t="s">
        <v>196</v>
      </c>
      <c r="B67" t="s">
        <v>246</v>
      </c>
      <c r="C67" t="s">
        <v>246</v>
      </c>
      <c r="D67" t="str">
        <f t="shared" si="2"/>
        <v>Sim</v>
      </c>
    </row>
    <row r="68" spans="1:6" x14ac:dyDescent="0.25">
      <c r="A68" t="s">
        <v>196</v>
      </c>
      <c r="B68" t="s">
        <v>1767</v>
      </c>
      <c r="C68" t="s">
        <v>1767</v>
      </c>
      <c r="D68" t="str">
        <f t="shared" si="2"/>
        <v>Sim</v>
      </c>
    </row>
    <row r="69" spans="1:6" x14ac:dyDescent="0.25">
      <c r="A69" t="s">
        <v>196</v>
      </c>
      <c r="B69" t="s">
        <v>247</v>
      </c>
      <c r="C69" t="s">
        <v>247</v>
      </c>
      <c r="D69" t="str">
        <f t="shared" si="2"/>
        <v>Sim</v>
      </c>
    </row>
    <row r="70" spans="1:6" x14ac:dyDescent="0.25">
      <c r="A70" t="s">
        <v>196</v>
      </c>
      <c r="B70" t="s">
        <v>250</v>
      </c>
      <c r="C70" t="s">
        <v>250</v>
      </c>
      <c r="D70" t="str">
        <f t="shared" si="2"/>
        <v>Sim</v>
      </c>
    </row>
    <row r="71" spans="1:6" x14ac:dyDescent="0.25">
      <c r="A71" t="s">
        <v>196</v>
      </c>
      <c r="B71" t="s">
        <v>249</v>
      </c>
      <c r="C71" t="s">
        <v>249</v>
      </c>
      <c r="D71" t="str">
        <f t="shared" si="2"/>
        <v>Sim</v>
      </c>
    </row>
    <row r="72" spans="1:6" x14ac:dyDescent="0.25">
      <c r="A72" t="s">
        <v>196</v>
      </c>
      <c r="B72" t="s">
        <v>1560</v>
      </c>
      <c r="C72" t="s">
        <v>248</v>
      </c>
      <c r="D72" t="str">
        <f t="shared" si="2"/>
        <v>Não</v>
      </c>
    </row>
    <row r="73" spans="1:6" x14ac:dyDescent="0.25">
      <c r="A73" t="s">
        <v>196</v>
      </c>
      <c r="B73" t="s">
        <v>1638</v>
      </c>
      <c r="C73" t="s">
        <v>1638</v>
      </c>
      <c r="D73" t="str">
        <f t="shared" si="2"/>
        <v>Sim</v>
      </c>
    </row>
    <row r="74" spans="1:6" x14ac:dyDescent="0.25">
      <c r="A74" t="s">
        <v>1546</v>
      </c>
      <c r="B74" t="s">
        <v>1550</v>
      </c>
      <c r="C74" t="s">
        <v>1550</v>
      </c>
      <c r="D74" t="str">
        <f t="shared" si="2"/>
        <v>Sim</v>
      </c>
    </row>
    <row r="75" spans="1:6" x14ac:dyDescent="0.25">
      <c r="A75" t="s">
        <v>1546</v>
      </c>
      <c r="B75" t="s">
        <v>1549</v>
      </c>
      <c r="C75" t="s">
        <v>1549</v>
      </c>
      <c r="D75" t="str">
        <f t="shared" si="2"/>
        <v>Sim</v>
      </c>
    </row>
    <row r="76" spans="1:6" x14ac:dyDescent="0.25">
      <c r="A76" t="s">
        <v>1546</v>
      </c>
      <c r="B76" t="s">
        <v>1548</v>
      </c>
      <c r="C76" t="s">
        <v>2063</v>
      </c>
      <c r="D76" t="str">
        <f t="shared" si="2"/>
        <v>Não</v>
      </c>
      <c r="F76"/>
    </row>
    <row r="77" spans="1:6" x14ac:dyDescent="0.25">
      <c r="A77" t="s">
        <v>1546</v>
      </c>
      <c r="B77" t="s">
        <v>1547</v>
      </c>
      <c r="C77" t="s">
        <v>1547</v>
      </c>
      <c r="D77" t="str">
        <f t="shared" si="2"/>
        <v>Sim</v>
      </c>
      <c r="F77"/>
    </row>
    <row r="78" spans="1:6" x14ac:dyDescent="0.25">
      <c r="A78" t="s">
        <v>1546</v>
      </c>
      <c r="B78" t="s">
        <v>1553</v>
      </c>
      <c r="C78" t="s">
        <v>1765</v>
      </c>
      <c r="D78" t="str">
        <f>IF(B78=C78, "Sim", "Não")</f>
        <v>Não</v>
      </c>
    </row>
    <row r="79" spans="1:6" x14ac:dyDescent="0.25">
      <c r="A79" t="s">
        <v>198</v>
      </c>
      <c r="B79" t="s">
        <v>1551</v>
      </c>
      <c r="C79" t="s">
        <v>251</v>
      </c>
      <c r="D79" t="str">
        <f>IF(B79=C79, "Sim", "Não")</f>
        <v>Não</v>
      </c>
    </row>
    <row r="80" spans="1:6" x14ac:dyDescent="0.25">
      <c r="A80" t="s">
        <v>198</v>
      </c>
      <c r="B80" t="s">
        <v>1543</v>
      </c>
      <c r="C80" t="s">
        <v>1543</v>
      </c>
      <c r="D80" t="str">
        <f t="shared" si="2"/>
        <v>Sim</v>
      </c>
    </row>
    <row r="81" spans="1:6" x14ac:dyDescent="0.25">
      <c r="A81" t="s">
        <v>198</v>
      </c>
      <c r="B81" t="s">
        <v>252</v>
      </c>
      <c r="C81" t="s">
        <v>1766</v>
      </c>
      <c r="D81" t="str">
        <f t="shared" si="2"/>
        <v>Não</v>
      </c>
    </row>
    <row r="82" spans="1:6" x14ac:dyDescent="0.25">
      <c r="A82" t="s">
        <v>198</v>
      </c>
      <c r="B82" t="s">
        <v>253</v>
      </c>
      <c r="C82" t="s">
        <v>253</v>
      </c>
      <c r="D82" t="str">
        <f t="shared" si="2"/>
        <v>Sim</v>
      </c>
    </row>
    <row r="83" spans="1:6" x14ac:dyDescent="0.25">
      <c r="A83" t="s">
        <v>198</v>
      </c>
      <c r="B83" t="s">
        <v>1559</v>
      </c>
      <c r="C83" t="s">
        <v>254</v>
      </c>
      <c r="D83" t="str">
        <f t="shared" si="2"/>
        <v>Não</v>
      </c>
    </row>
    <row r="84" spans="1:6" x14ac:dyDescent="0.25">
      <c r="A84" t="s">
        <v>46</v>
      </c>
      <c r="B84" t="s">
        <v>255</v>
      </c>
      <c r="C84" t="s">
        <v>255</v>
      </c>
      <c r="D84" t="str">
        <f t="shared" si="2"/>
        <v>Sim</v>
      </c>
    </row>
    <row r="85" spans="1:6" x14ac:dyDescent="0.25">
      <c r="A85" t="s">
        <v>46</v>
      </c>
      <c r="B85" t="s">
        <v>256</v>
      </c>
      <c r="C85" t="s">
        <v>256</v>
      </c>
      <c r="D85" t="str">
        <f t="shared" si="2"/>
        <v>Sim</v>
      </c>
    </row>
    <row r="86" spans="1:6" x14ac:dyDescent="0.25">
      <c r="A86" t="s">
        <v>46</v>
      </c>
      <c r="B86" t="s">
        <v>133</v>
      </c>
      <c r="C86" t="s">
        <v>133</v>
      </c>
      <c r="D86" t="str">
        <f t="shared" si="2"/>
        <v>Sim</v>
      </c>
    </row>
    <row r="87" spans="1:6" x14ac:dyDescent="0.25">
      <c r="A87" t="s">
        <v>46</v>
      </c>
      <c r="B87" t="s">
        <v>257</v>
      </c>
      <c r="C87" t="s">
        <v>257</v>
      </c>
      <c r="D87" t="str">
        <f t="shared" si="2"/>
        <v>Sim</v>
      </c>
    </row>
    <row r="88" spans="1:6" x14ac:dyDescent="0.25">
      <c r="A88" t="s">
        <v>46</v>
      </c>
      <c r="B88" t="s">
        <v>258</v>
      </c>
      <c r="C88" t="s">
        <v>258</v>
      </c>
      <c r="D88" t="str">
        <f t="shared" si="2"/>
        <v>Sim</v>
      </c>
    </row>
    <row r="89" spans="1:6" x14ac:dyDescent="0.25">
      <c r="A89" t="s">
        <v>200</v>
      </c>
      <c r="B89" t="s">
        <v>1561</v>
      </c>
      <c r="C89" t="s">
        <v>131</v>
      </c>
      <c r="D89" t="str">
        <f t="shared" si="2"/>
        <v>Não</v>
      </c>
    </row>
    <row r="90" spans="1:6" x14ac:dyDescent="0.25">
      <c r="A90" t="s">
        <v>200</v>
      </c>
      <c r="B90" t="s">
        <v>130</v>
      </c>
      <c r="C90" t="s">
        <v>130</v>
      </c>
      <c r="D90" t="str">
        <f t="shared" si="2"/>
        <v>Sim</v>
      </c>
    </row>
    <row r="91" spans="1:6" x14ac:dyDescent="0.25">
      <c r="A91" t="s">
        <v>200</v>
      </c>
      <c r="B91" t="s">
        <v>260</v>
      </c>
      <c r="C91" t="s">
        <v>260</v>
      </c>
      <c r="D91" t="str">
        <f t="shared" si="2"/>
        <v>Sim</v>
      </c>
    </row>
    <row r="92" spans="1:6" x14ac:dyDescent="0.25">
      <c r="A92" t="s">
        <v>200</v>
      </c>
      <c r="B92" t="s">
        <v>238</v>
      </c>
      <c r="C92" t="s">
        <v>261</v>
      </c>
      <c r="D92" t="str">
        <f t="shared" si="2"/>
        <v>Não</v>
      </c>
      <c r="F92"/>
    </row>
    <row r="93" spans="1:6" x14ac:dyDescent="0.25">
      <c r="A93" t="s">
        <v>200</v>
      </c>
      <c r="B93" t="s">
        <v>223</v>
      </c>
      <c r="C93" t="s">
        <v>1081</v>
      </c>
      <c r="D93" t="str">
        <f>IF(B93=C93, "Sim", "Não")</f>
        <v>Não</v>
      </c>
      <c r="F93"/>
    </row>
    <row r="94" spans="1:6" x14ac:dyDescent="0.25">
      <c r="A94" t="s">
        <v>200</v>
      </c>
      <c r="B94" t="s">
        <v>259</v>
      </c>
      <c r="C94" t="s">
        <v>259</v>
      </c>
      <c r="D94" t="str">
        <f>IF(B94=C94, "Sim", "Não")</f>
        <v>Sim</v>
      </c>
      <c r="F94"/>
    </row>
    <row r="95" spans="1:6" x14ac:dyDescent="0.25">
      <c r="A95" t="s">
        <v>200</v>
      </c>
      <c r="B95" t="s">
        <v>243</v>
      </c>
      <c r="C95" t="s">
        <v>1452</v>
      </c>
      <c r="D95" t="str">
        <f>IF(B95=C95, "Sim", "Não")</f>
        <v>Não</v>
      </c>
    </row>
    <row r="96" spans="1:6" x14ac:dyDescent="0.25">
      <c r="A96" t="s">
        <v>200</v>
      </c>
      <c r="B96" t="s">
        <v>1458</v>
      </c>
      <c r="C96" t="s">
        <v>1458</v>
      </c>
      <c r="D96" t="str">
        <f>IF(B96=C96, "Sim", "Não")</f>
        <v>Sim</v>
      </c>
    </row>
    <row r="97" spans="1:4" x14ac:dyDescent="0.25">
      <c r="A97" t="s">
        <v>200</v>
      </c>
      <c r="B97" t="s">
        <v>226</v>
      </c>
      <c r="C97" t="s">
        <v>1451</v>
      </c>
      <c r="D97" t="str">
        <f>IF(B97=C97, "Sim", "Não")</f>
        <v>Não</v>
      </c>
    </row>
    <row r="98" spans="1:4" x14ac:dyDescent="0.25">
      <c r="A98" t="s">
        <v>762</v>
      </c>
      <c r="B98" t="s">
        <v>262</v>
      </c>
      <c r="C98" t="s">
        <v>1768</v>
      </c>
      <c r="D98" t="str">
        <f t="shared" si="2"/>
        <v>Não</v>
      </c>
    </row>
    <row r="99" spans="1:4" x14ac:dyDescent="0.25">
      <c r="A99" t="s">
        <v>762</v>
      </c>
      <c r="B99" t="s">
        <v>1552</v>
      </c>
      <c r="C99" t="s">
        <v>1770</v>
      </c>
      <c r="D99" t="str">
        <f>IF(B99=C99, "Sim", "Não")</f>
        <v>Não</v>
      </c>
    </row>
    <row r="100" spans="1:4" x14ac:dyDescent="0.25">
      <c r="A100" t="s">
        <v>762</v>
      </c>
      <c r="B100" t="s">
        <v>263</v>
      </c>
      <c r="C100" t="s">
        <v>1769</v>
      </c>
      <c r="D100" t="str">
        <f t="shared" si="2"/>
        <v>Não</v>
      </c>
    </row>
    <row r="101" spans="1:4" x14ac:dyDescent="0.25">
      <c r="A101" t="s">
        <v>762</v>
      </c>
      <c r="B101" t="s">
        <v>244</v>
      </c>
      <c r="C101" t="s">
        <v>1762</v>
      </c>
      <c r="D101" t="str">
        <f t="shared" si="2"/>
        <v>Não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3312F-77B4-4E32-B259-BC7FC6CF6F07}">
  <dimension ref="A1:J101"/>
  <sheetViews>
    <sheetView topLeftCell="A57" workbookViewId="0">
      <selection activeCell="C58" sqref="C58"/>
    </sheetView>
  </sheetViews>
  <sheetFormatPr defaultRowHeight="15" x14ac:dyDescent="0.25"/>
  <cols>
    <col min="1" max="1" width="13.85546875" style="5" customWidth="1"/>
    <col min="2" max="3" width="38.7109375" customWidth="1"/>
    <col min="4" max="4" width="11.7109375" style="3" customWidth="1"/>
    <col min="5" max="5" width="4.28515625" customWidth="1"/>
    <col min="6" max="6" width="22.7109375" style="3" customWidth="1"/>
    <col min="7" max="7" width="8.7109375" customWidth="1"/>
    <col min="9" max="9" width="22.28515625" style="3" bestFit="1" customWidth="1"/>
    <col min="10" max="10" width="9.140625" style="3"/>
  </cols>
  <sheetData>
    <row r="1" spans="1:10" ht="21" x14ac:dyDescent="0.25">
      <c r="A1" s="28" t="s">
        <v>1623</v>
      </c>
      <c r="B1" s="28"/>
      <c r="C1" s="28"/>
      <c r="D1" s="28"/>
      <c r="E1" s="28"/>
      <c r="F1" s="28"/>
      <c r="G1" s="28"/>
      <c r="I1" s="29" t="s">
        <v>266</v>
      </c>
      <c r="J1" s="29"/>
    </row>
    <row r="2" spans="1:10" x14ac:dyDescent="0.25">
      <c r="A2" s="4" t="s">
        <v>34</v>
      </c>
      <c r="B2" s="4" t="s">
        <v>35</v>
      </c>
      <c r="C2" s="4" t="s">
        <v>36</v>
      </c>
      <c r="D2" s="4" t="s">
        <v>37</v>
      </c>
      <c r="I2" s="4" t="s">
        <v>267</v>
      </c>
      <c r="J2" s="4" t="s">
        <v>1</v>
      </c>
    </row>
    <row r="3" spans="1:10" x14ac:dyDescent="0.25">
      <c r="A3" t="s">
        <v>38</v>
      </c>
      <c r="B3" t="s">
        <v>64</v>
      </c>
      <c r="C3" t="s">
        <v>64</v>
      </c>
      <c r="D3" s="3" t="str">
        <f>IF(B3=C3, "Sim", "Não")</f>
        <v>Sim</v>
      </c>
      <c r="F3" s="4" t="s">
        <v>39</v>
      </c>
      <c r="G3" s="3">
        <f>COUNTIF(D3:D101,"Não")</f>
        <v>34</v>
      </c>
    </row>
    <row r="4" spans="1:10" x14ac:dyDescent="0.25">
      <c r="A4" t="s">
        <v>38</v>
      </c>
      <c r="B4" t="s">
        <v>63</v>
      </c>
      <c r="C4" t="s">
        <v>63</v>
      </c>
      <c r="D4" s="3" t="str">
        <f t="shared" ref="D4:D62" si="0">IF(B4=C4, "Sim", "Não")</f>
        <v>Sim</v>
      </c>
      <c r="F4" s="4" t="s">
        <v>40</v>
      </c>
      <c r="G4" s="3">
        <f>SUM(G7:G25)</f>
        <v>99</v>
      </c>
    </row>
    <row r="5" spans="1:10" x14ac:dyDescent="0.25">
      <c r="A5" t="s">
        <v>38</v>
      </c>
      <c r="B5" t="s">
        <v>1666</v>
      </c>
      <c r="C5" t="s">
        <v>1604</v>
      </c>
      <c r="D5" s="3" t="str">
        <f t="shared" si="0"/>
        <v>Não</v>
      </c>
    </row>
    <row r="6" spans="1:10" x14ac:dyDescent="0.25">
      <c r="A6" t="s">
        <v>38</v>
      </c>
      <c r="B6" t="s">
        <v>1605</v>
      </c>
      <c r="C6" t="s">
        <v>1605</v>
      </c>
      <c r="D6" s="3" t="str">
        <f t="shared" si="0"/>
        <v>Sim</v>
      </c>
      <c r="F6" s="6" t="s">
        <v>42</v>
      </c>
      <c r="G6" s="1"/>
    </row>
    <row r="7" spans="1:10" x14ac:dyDescent="0.25">
      <c r="A7" t="s">
        <v>38</v>
      </c>
      <c r="B7" t="s">
        <v>487</v>
      </c>
      <c r="C7" t="s">
        <v>268</v>
      </c>
      <c r="D7" s="3" t="str">
        <f t="shared" si="0"/>
        <v>Não</v>
      </c>
      <c r="F7" s="7" t="s">
        <v>38</v>
      </c>
      <c r="G7" s="2">
        <f t="shared" ref="G7:G17" si="1">COUNTIF(A:A,F7)</f>
        <v>35</v>
      </c>
    </row>
    <row r="8" spans="1:10" x14ac:dyDescent="0.25">
      <c r="A8" t="s">
        <v>38</v>
      </c>
      <c r="B8" t="s">
        <v>1664</v>
      </c>
      <c r="C8" t="s">
        <v>1664</v>
      </c>
      <c r="D8" s="3" t="str">
        <f t="shared" si="0"/>
        <v>Sim</v>
      </c>
      <c r="F8" s="7" t="s">
        <v>44</v>
      </c>
      <c r="G8" s="2">
        <f t="shared" si="1"/>
        <v>6</v>
      </c>
    </row>
    <row r="9" spans="1:10" x14ac:dyDescent="0.25">
      <c r="A9" t="s">
        <v>38</v>
      </c>
      <c r="B9" t="s">
        <v>1667</v>
      </c>
      <c r="C9" t="s">
        <v>269</v>
      </c>
      <c r="D9" s="3" t="str">
        <f t="shared" si="0"/>
        <v>Não</v>
      </c>
      <c r="F9" s="7" t="s">
        <v>347</v>
      </c>
      <c r="G9" s="2">
        <f t="shared" si="1"/>
        <v>2</v>
      </c>
    </row>
    <row r="10" spans="1:10" x14ac:dyDescent="0.25">
      <c r="A10" t="s">
        <v>38</v>
      </c>
      <c r="B10" t="s">
        <v>618</v>
      </c>
      <c r="C10" t="s">
        <v>145</v>
      </c>
      <c r="D10" s="3" t="str">
        <f t="shared" si="0"/>
        <v>Não</v>
      </c>
      <c r="F10" s="7" t="s">
        <v>1583</v>
      </c>
      <c r="G10" s="2">
        <f t="shared" si="1"/>
        <v>5</v>
      </c>
    </row>
    <row r="11" spans="1:10" x14ac:dyDescent="0.25">
      <c r="A11" t="s">
        <v>38</v>
      </c>
      <c r="B11" t="s">
        <v>43</v>
      </c>
      <c r="C11" t="s">
        <v>43</v>
      </c>
      <c r="D11" s="3" t="str">
        <f t="shared" si="0"/>
        <v>Sim</v>
      </c>
      <c r="F11" s="7" t="s">
        <v>1581</v>
      </c>
      <c r="G11" s="2">
        <f t="shared" si="1"/>
        <v>4</v>
      </c>
    </row>
    <row r="12" spans="1:10" x14ac:dyDescent="0.25">
      <c r="A12" t="s">
        <v>38</v>
      </c>
      <c r="B12" t="s">
        <v>72</v>
      </c>
      <c r="C12" t="s">
        <v>72</v>
      </c>
      <c r="D12" s="3" t="str">
        <f t="shared" si="0"/>
        <v>Sim</v>
      </c>
      <c r="F12" s="7" t="s">
        <v>1570</v>
      </c>
      <c r="G12" s="2">
        <f t="shared" si="1"/>
        <v>9</v>
      </c>
    </row>
    <row r="13" spans="1:10" x14ac:dyDescent="0.25">
      <c r="A13" t="s">
        <v>38</v>
      </c>
      <c r="B13" t="s">
        <v>1126</v>
      </c>
      <c r="C13" t="s">
        <v>1606</v>
      </c>
      <c r="D13" s="3" t="str">
        <f t="shared" si="0"/>
        <v>Não</v>
      </c>
      <c r="F13" s="7" t="s">
        <v>1582</v>
      </c>
      <c r="G13" s="2">
        <f t="shared" si="1"/>
        <v>13</v>
      </c>
    </row>
    <row r="14" spans="1:10" x14ac:dyDescent="0.25">
      <c r="A14" t="s">
        <v>38</v>
      </c>
      <c r="B14" t="s">
        <v>490</v>
      </c>
      <c r="C14" t="s">
        <v>1607</v>
      </c>
      <c r="D14" s="3" t="str">
        <f t="shared" si="0"/>
        <v>Não</v>
      </c>
      <c r="F14" s="7" t="s">
        <v>46</v>
      </c>
      <c r="G14" s="2">
        <f t="shared" si="1"/>
        <v>8</v>
      </c>
    </row>
    <row r="15" spans="1:10" x14ac:dyDescent="0.25">
      <c r="A15" t="s">
        <v>38</v>
      </c>
      <c r="B15" t="s">
        <v>1608</v>
      </c>
      <c r="C15" t="s">
        <v>1608</v>
      </c>
      <c r="D15" s="3" t="str">
        <f t="shared" si="0"/>
        <v>Sim</v>
      </c>
      <c r="F15" s="3" t="s">
        <v>70</v>
      </c>
      <c r="G15" s="2">
        <f t="shared" si="1"/>
        <v>7</v>
      </c>
    </row>
    <row r="16" spans="1:10" x14ac:dyDescent="0.25">
      <c r="A16" t="s">
        <v>38</v>
      </c>
      <c r="B16" t="s">
        <v>91</v>
      </c>
      <c r="C16" t="s">
        <v>1610</v>
      </c>
      <c r="D16" s="3" t="str">
        <f t="shared" si="0"/>
        <v>Não</v>
      </c>
      <c r="F16" s="7" t="s">
        <v>71</v>
      </c>
      <c r="G16" s="2">
        <f t="shared" si="1"/>
        <v>5</v>
      </c>
    </row>
    <row r="17" spans="1:7" x14ac:dyDescent="0.25">
      <c r="A17" t="s">
        <v>38</v>
      </c>
      <c r="B17" t="s">
        <v>210</v>
      </c>
      <c r="C17" t="s">
        <v>1609</v>
      </c>
      <c r="D17" s="3" t="str">
        <f t="shared" si="0"/>
        <v>Não</v>
      </c>
      <c r="F17" s="3" t="s">
        <v>1595</v>
      </c>
      <c r="G17" s="2">
        <f t="shared" si="1"/>
        <v>5</v>
      </c>
    </row>
    <row r="18" spans="1:7" x14ac:dyDescent="0.25">
      <c r="A18" t="s">
        <v>38</v>
      </c>
      <c r="B18" t="s">
        <v>158</v>
      </c>
      <c r="C18" t="s">
        <v>274</v>
      </c>
      <c r="D18" s="3" t="str">
        <f t="shared" si="0"/>
        <v>Não</v>
      </c>
      <c r="G18" s="2"/>
    </row>
    <row r="19" spans="1:7" x14ac:dyDescent="0.25">
      <c r="A19" t="s">
        <v>38</v>
      </c>
      <c r="B19" t="s">
        <v>1615</v>
      </c>
      <c r="C19" t="s">
        <v>1615</v>
      </c>
      <c r="D19" s="3" t="str">
        <f t="shared" si="0"/>
        <v>Sim</v>
      </c>
      <c r="G19" s="2"/>
    </row>
    <row r="20" spans="1:7" x14ac:dyDescent="0.25">
      <c r="A20" t="s">
        <v>38</v>
      </c>
      <c r="B20" t="s">
        <v>1616</v>
      </c>
      <c r="C20" t="s">
        <v>1616</v>
      </c>
      <c r="D20" s="3" t="str">
        <f t="shared" si="0"/>
        <v>Sim</v>
      </c>
      <c r="G20" s="2"/>
    </row>
    <row r="21" spans="1:7" x14ac:dyDescent="0.25">
      <c r="A21" t="s">
        <v>38</v>
      </c>
      <c r="B21" t="s">
        <v>204</v>
      </c>
      <c r="C21" t="s">
        <v>204</v>
      </c>
      <c r="D21" s="3" t="str">
        <f t="shared" si="0"/>
        <v>Sim</v>
      </c>
      <c r="G21" s="2"/>
    </row>
    <row r="22" spans="1:7" x14ac:dyDescent="0.25">
      <c r="A22" t="s">
        <v>38</v>
      </c>
      <c r="B22" t="s">
        <v>158</v>
      </c>
      <c r="C22" t="s">
        <v>1972</v>
      </c>
      <c r="D22" s="3" t="str">
        <f t="shared" si="0"/>
        <v>Não</v>
      </c>
      <c r="G22" s="2"/>
    </row>
    <row r="23" spans="1:7" x14ac:dyDescent="0.25">
      <c r="A23" t="s">
        <v>38</v>
      </c>
      <c r="B23" t="s">
        <v>210</v>
      </c>
      <c r="C23" t="s">
        <v>283</v>
      </c>
      <c r="D23" s="3" t="str">
        <f t="shared" si="0"/>
        <v>Não</v>
      </c>
      <c r="G23" s="2"/>
    </row>
    <row r="24" spans="1:7" x14ac:dyDescent="0.25">
      <c r="A24" t="s">
        <v>38</v>
      </c>
      <c r="B24" t="s">
        <v>91</v>
      </c>
      <c r="C24" t="s">
        <v>91</v>
      </c>
      <c r="D24" s="3" t="str">
        <f t="shared" si="0"/>
        <v>Sim</v>
      </c>
      <c r="G24" s="2"/>
    </row>
    <row r="25" spans="1:7" x14ac:dyDescent="0.25">
      <c r="A25" t="s">
        <v>38</v>
      </c>
      <c r="B25" t="s">
        <v>91</v>
      </c>
      <c r="C25" t="s">
        <v>91</v>
      </c>
      <c r="D25" s="3" t="str">
        <f t="shared" si="0"/>
        <v>Sim</v>
      </c>
      <c r="G25" s="2"/>
    </row>
    <row r="26" spans="1:7" x14ac:dyDescent="0.25">
      <c r="A26" t="s">
        <v>38</v>
      </c>
      <c r="B26" t="s">
        <v>91</v>
      </c>
      <c r="C26" t="s">
        <v>91</v>
      </c>
      <c r="D26" s="3" t="str">
        <f t="shared" si="0"/>
        <v>Sim</v>
      </c>
      <c r="G26" s="2"/>
    </row>
    <row r="27" spans="1:7" x14ac:dyDescent="0.25">
      <c r="A27" t="s">
        <v>38</v>
      </c>
      <c r="B27" t="s">
        <v>91</v>
      </c>
      <c r="C27" t="s">
        <v>91</v>
      </c>
      <c r="D27" s="3" t="str">
        <f t="shared" si="0"/>
        <v>Sim</v>
      </c>
      <c r="G27" s="2"/>
    </row>
    <row r="28" spans="1:7" x14ac:dyDescent="0.25">
      <c r="A28" t="s">
        <v>38</v>
      </c>
      <c r="B28" t="s">
        <v>91</v>
      </c>
      <c r="C28" t="s">
        <v>91</v>
      </c>
      <c r="D28" s="3" t="str">
        <f t="shared" si="0"/>
        <v>Sim</v>
      </c>
      <c r="G28" s="2"/>
    </row>
    <row r="29" spans="1:7" x14ac:dyDescent="0.25">
      <c r="A29" t="s">
        <v>38</v>
      </c>
      <c r="B29" t="s">
        <v>91</v>
      </c>
      <c r="C29" t="s">
        <v>91</v>
      </c>
      <c r="D29" s="3" t="str">
        <f>IF(B29=C29, "Sim", "Não")</f>
        <v>Sim</v>
      </c>
    </row>
    <row r="30" spans="1:7" x14ac:dyDescent="0.25">
      <c r="A30" t="s">
        <v>38</v>
      </c>
      <c r="B30" t="s">
        <v>158</v>
      </c>
      <c r="C30" t="s">
        <v>158</v>
      </c>
      <c r="D30" s="3" t="str">
        <f t="shared" si="0"/>
        <v>Sim</v>
      </c>
      <c r="G30" s="2"/>
    </row>
    <row r="31" spans="1:7" x14ac:dyDescent="0.25">
      <c r="A31" t="s">
        <v>38</v>
      </c>
      <c r="B31" t="s">
        <v>158</v>
      </c>
      <c r="C31" t="s">
        <v>158</v>
      </c>
      <c r="D31" s="3" t="str">
        <f t="shared" si="0"/>
        <v>Sim</v>
      </c>
      <c r="G31" s="2"/>
    </row>
    <row r="32" spans="1:7" x14ac:dyDescent="0.25">
      <c r="A32" t="s">
        <v>38</v>
      </c>
      <c r="B32" t="s">
        <v>158</v>
      </c>
      <c r="C32" t="s">
        <v>158</v>
      </c>
      <c r="D32" s="3" t="str">
        <f t="shared" si="0"/>
        <v>Sim</v>
      </c>
      <c r="G32" s="2"/>
    </row>
    <row r="33" spans="1:7" x14ac:dyDescent="0.25">
      <c r="A33" t="s">
        <v>38</v>
      </c>
      <c r="B33" t="s">
        <v>158</v>
      </c>
      <c r="C33" t="s">
        <v>158</v>
      </c>
      <c r="D33" s="3" t="str">
        <f t="shared" si="0"/>
        <v>Sim</v>
      </c>
      <c r="G33" s="2"/>
    </row>
    <row r="34" spans="1:7" x14ac:dyDescent="0.25">
      <c r="A34" t="s">
        <v>38</v>
      </c>
      <c r="B34" t="s">
        <v>210</v>
      </c>
      <c r="C34" t="s">
        <v>210</v>
      </c>
      <c r="D34" s="3" t="str">
        <f t="shared" si="0"/>
        <v>Sim</v>
      </c>
      <c r="G34" s="2"/>
    </row>
    <row r="35" spans="1:7" x14ac:dyDescent="0.25">
      <c r="A35" t="s">
        <v>38</v>
      </c>
      <c r="B35" t="s">
        <v>210</v>
      </c>
      <c r="C35" t="s">
        <v>210</v>
      </c>
      <c r="D35" s="3" t="str">
        <f t="shared" si="0"/>
        <v>Sim</v>
      </c>
      <c r="G35" s="2"/>
    </row>
    <row r="36" spans="1:7" x14ac:dyDescent="0.25">
      <c r="A36" t="s">
        <v>38</v>
      </c>
      <c r="B36" t="s">
        <v>210</v>
      </c>
      <c r="C36" t="s">
        <v>210</v>
      </c>
      <c r="D36" s="3" t="str">
        <f>IF(B36=C36, "Sim", "Não")</f>
        <v>Sim</v>
      </c>
    </row>
    <row r="37" spans="1:7" x14ac:dyDescent="0.25">
      <c r="A37" t="s">
        <v>38</v>
      </c>
      <c r="B37" t="s">
        <v>210</v>
      </c>
      <c r="C37" t="s">
        <v>210</v>
      </c>
      <c r="D37" s="3" t="str">
        <f t="shared" si="0"/>
        <v>Sim</v>
      </c>
      <c r="G37" s="2"/>
    </row>
    <row r="38" spans="1:7" x14ac:dyDescent="0.25">
      <c r="A38" t="s">
        <v>44</v>
      </c>
      <c r="B38" t="s">
        <v>93</v>
      </c>
      <c r="C38" t="s">
        <v>93</v>
      </c>
      <c r="D38" s="3" t="str">
        <f t="shared" si="0"/>
        <v>Sim</v>
      </c>
      <c r="G38" s="2"/>
    </row>
    <row r="39" spans="1:7" x14ac:dyDescent="0.25">
      <c r="A39" t="s">
        <v>44</v>
      </c>
      <c r="B39" t="s">
        <v>1653</v>
      </c>
      <c r="C39" t="s">
        <v>92</v>
      </c>
      <c r="D39" s="3" t="str">
        <f t="shared" si="0"/>
        <v>Não</v>
      </c>
    </row>
    <row r="40" spans="1:7" x14ac:dyDescent="0.25">
      <c r="A40" t="s">
        <v>44</v>
      </c>
      <c r="B40" t="s">
        <v>1651</v>
      </c>
      <c r="C40" t="s">
        <v>688</v>
      </c>
      <c r="D40" s="3" t="str">
        <f t="shared" si="0"/>
        <v>Não</v>
      </c>
    </row>
    <row r="41" spans="1:7" x14ac:dyDescent="0.25">
      <c r="A41" t="s">
        <v>44</v>
      </c>
      <c r="B41" t="s">
        <v>1603</v>
      </c>
      <c r="C41" t="s">
        <v>1603</v>
      </c>
      <c r="D41" s="3" t="str">
        <f t="shared" si="0"/>
        <v>Sim</v>
      </c>
    </row>
    <row r="42" spans="1:7" x14ac:dyDescent="0.25">
      <c r="A42" t="s">
        <v>44</v>
      </c>
      <c r="B42" t="s">
        <v>978</v>
      </c>
      <c r="C42" t="s">
        <v>978</v>
      </c>
      <c r="D42" s="3" t="str">
        <f t="shared" si="0"/>
        <v>Sim</v>
      </c>
    </row>
    <row r="43" spans="1:7" x14ac:dyDescent="0.25">
      <c r="A43" t="s">
        <v>44</v>
      </c>
      <c r="B43" t="s">
        <v>369</v>
      </c>
      <c r="C43" t="s">
        <v>369</v>
      </c>
      <c r="D43" s="3" t="str">
        <f t="shared" si="0"/>
        <v>Sim</v>
      </c>
    </row>
    <row r="44" spans="1:7" x14ac:dyDescent="0.25">
      <c r="A44" t="s">
        <v>347</v>
      </c>
      <c r="B44" t="s">
        <v>91</v>
      </c>
      <c r="C44" t="s">
        <v>1641</v>
      </c>
      <c r="D44" s="3" t="str">
        <f t="shared" si="0"/>
        <v>Não</v>
      </c>
    </row>
    <row r="45" spans="1:7" x14ac:dyDescent="0.25">
      <c r="A45" t="s">
        <v>347</v>
      </c>
      <c r="B45" t="s">
        <v>105</v>
      </c>
      <c r="C45" t="s">
        <v>105</v>
      </c>
      <c r="D45" s="3" t="str">
        <f t="shared" si="0"/>
        <v>Sim</v>
      </c>
    </row>
    <row r="46" spans="1:7" x14ac:dyDescent="0.25">
      <c r="A46" t="s">
        <v>1595</v>
      </c>
      <c r="B46" t="s">
        <v>1654</v>
      </c>
      <c r="C46" t="s">
        <v>1600</v>
      </c>
      <c r="D46" s="3" t="str">
        <f t="shared" si="0"/>
        <v>Não</v>
      </c>
    </row>
    <row r="47" spans="1:7" x14ac:dyDescent="0.25">
      <c r="A47" t="s">
        <v>1595</v>
      </c>
      <c r="B47" t="s">
        <v>1612</v>
      </c>
      <c r="C47" t="s">
        <v>1601</v>
      </c>
      <c r="D47" s="3" t="str">
        <f t="shared" si="0"/>
        <v>Não</v>
      </c>
    </row>
    <row r="48" spans="1:7" x14ac:dyDescent="0.25">
      <c r="A48" t="s">
        <v>1595</v>
      </c>
      <c r="B48" t="s">
        <v>1652</v>
      </c>
      <c r="C48" s="5" t="s">
        <v>1597</v>
      </c>
      <c r="D48" s="3" t="str">
        <f>IF(B48=C48, "Sim", "Não")</f>
        <v>Não</v>
      </c>
    </row>
    <row r="49" spans="1:6" x14ac:dyDescent="0.25">
      <c r="A49" t="s">
        <v>1595</v>
      </c>
      <c r="B49" t="s">
        <v>1596</v>
      </c>
      <c r="C49" t="s">
        <v>1596</v>
      </c>
      <c r="D49" s="3" t="str">
        <f>IF(B49=C49, "Sim", "Não")</f>
        <v>Sim</v>
      </c>
    </row>
    <row r="50" spans="1:6" x14ac:dyDescent="0.25">
      <c r="A50" t="s">
        <v>1595</v>
      </c>
      <c r="B50" t="s">
        <v>1620</v>
      </c>
      <c r="C50" t="s">
        <v>1620</v>
      </c>
      <c r="D50" s="3" t="str">
        <f t="shared" si="0"/>
        <v>Sim</v>
      </c>
    </row>
    <row r="51" spans="1:6" x14ac:dyDescent="0.25">
      <c r="A51" t="s">
        <v>1583</v>
      </c>
      <c r="B51" t="s">
        <v>1668</v>
      </c>
      <c r="C51" t="s">
        <v>570</v>
      </c>
      <c r="D51" s="3" t="str">
        <f t="shared" si="0"/>
        <v>Não</v>
      </c>
    </row>
    <row r="52" spans="1:6" x14ac:dyDescent="0.25">
      <c r="A52" t="s">
        <v>1583</v>
      </c>
      <c r="B52" t="s">
        <v>587</v>
      </c>
      <c r="C52" t="s">
        <v>587</v>
      </c>
      <c r="D52" s="3" t="str">
        <f t="shared" si="0"/>
        <v>Sim</v>
      </c>
    </row>
    <row r="53" spans="1:6" x14ac:dyDescent="0.25">
      <c r="A53" t="s">
        <v>1583</v>
      </c>
      <c r="B53" t="s">
        <v>1613</v>
      </c>
      <c r="C53" t="s">
        <v>1613</v>
      </c>
      <c r="D53" s="3" t="str">
        <f t="shared" si="0"/>
        <v>Sim</v>
      </c>
    </row>
    <row r="54" spans="1:6" x14ac:dyDescent="0.25">
      <c r="A54" t="s">
        <v>1583</v>
      </c>
      <c r="B54" t="s">
        <v>1580</v>
      </c>
      <c r="C54" t="s">
        <v>1580</v>
      </c>
      <c r="D54" s="3" t="str">
        <f t="shared" si="0"/>
        <v>Sim</v>
      </c>
    </row>
    <row r="55" spans="1:6" x14ac:dyDescent="0.25">
      <c r="A55" t="s">
        <v>1583</v>
      </c>
      <c r="B55" t="s">
        <v>432</v>
      </c>
      <c r="C55" t="s">
        <v>432</v>
      </c>
      <c r="D55" s="3" t="str">
        <f t="shared" si="0"/>
        <v>Sim</v>
      </c>
    </row>
    <row r="56" spans="1:6" x14ac:dyDescent="0.25">
      <c r="A56" t="s">
        <v>1581</v>
      </c>
      <c r="B56" t="s">
        <v>1658</v>
      </c>
      <c r="C56" t="s">
        <v>1590</v>
      </c>
      <c r="D56" s="3" t="str">
        <f t="shared" si="0"/>
        <v>Não</v>
      </c>
    </row>
    <row r="57" spans="1:6" x14ac:dyDescent="0.25">
      <c r="A57" t="s">
        <v>1581</v>
      </c>
      <c r="B57" t="s">
        <v>324</v>
      </c>
      <c r="C57" t="s">
        <v>324</v>
      </c>
      <c r="D57" s="3" t="str">
        <f t="shared" si="0"/>
        <v>Sim</v>
      </c>
    </row>
    <row r="58" spans="1:6" x14ac:dyDescent="0.25">
      <c r="A58" t="s">
        <v>1581</v>
      </c>
      <c r="B58" t="s">
        <v>374</v>
      </c>
      <c r="C58" t="s">
        <v>1977</v>
      </c>
      <c r="D58" s="3" t="str">
        <f>IF(B58=C58, "Sim", "Não")</f>
        <v>Não</v>
      </c>
      <c r="F58"/>
    </row>
    <row r="59" spans="1:6" x14ac:dyDescent="0.25">
      <c r="A59" t="s">
        <v>1581</v>
      </c>
      <c r="B59" t="s">
        <v>1659</v>
      </c>
      <c r="C59" t="s">
        <v>1579</v>
      </c>
      <c r="D59" s="3" t="str">
        <f>IF(B59=C59, "Sim", "Não")</f>
        <v>Não</v>
      </c>
    </row>
    <row r="60" spans="1:6" x14ac:dyDescent="0.25">
      <c r="A60" t="s">
        <v>1582</v>
      </c>
      <c r="B60" t="s">
        <v>581</v>
      </c>
      <c r="C60" t="s">
        <v>581</v>
      </c>
      <c r="D60" s="3" t="str">
        <f>IF(B60=C60, "Sim", "Não")</f>
        <v>Sim</v>
      </c>
    </row>
    <row r="61" spans="1:6" x14ac:dyDescent="0.25">
      <c r="A61" t="s">
        <v>1582</v>
      </c>
      <c r="B61" t="s">
        <v>1602</v>
      </c>
      <c r="C61" t="s">
        <v>1602</v>
      </c>
      <c r="D61" s="3" t="str">
        <f>IF(B61=C61, "Sim", "Não")</f>
        <v>Sim</v>
      </c>
    </row>
    <row r="62" spans="1:6" x14ac:dyDescent="0.25">
      <c r="A62" t="s">
        <v>1582</v>
      </c>
      <c r="B62" t="s">
        <v>100</v>
      </c>
      <c r="C62" t="s">
        <v>100</v>
      </c>
      <c r="D62" s="3" t="str">
        <f t="shared" si="0"/>
        <v>Sim</v>
      </c>
    </row>
    <row r="63" spans="1:6" x14ac:dyDescent="0.25">
      <c r="A63" t="s">
        <v>1582</v>
      </c>
      <c r="B63" t="s">
        <v>1617</v>
      </c>
      <c r="C63" t="s">
        <v>1617</v>
      </c>
      <c r="D63" s="3" t="str">
        <f t="shared" ref="D63:D101" si="2">IF(B63=C63, "Sim", "Não")</f>
        <v>Sim</v>
      </c>
    </row>
    <row r="64" spans="1:6" x14ac:dyDescent="0.25">
      <c r="A64" t="s">
        <v>1582</v>
      </c>
      <c r="B64" t="s">
        <v>97</v>
      </c>
      <c r="C64" t="s">
        <v>97</v>
      </c>
      <c r="D64" s="3" t="str">
        <f t="shared" si="2"/>
        <v>Sim</v>
      </c>
    </row>
    <row r="65" spans="1:6" x14ac:dyDescent="0.25">
      <c r="A65" t="s">
        <v>1582</v>
      </c>
      <c r="B65" t="s">
        <v>316</v>
      </c>
      <c r="C65" t="s">
        <v>316</v>
      </c>
      <c r="D65" s="3" t="str">
        <f t="shared" si="2"/>
        <v>Sim</v>
      </c>
    </row>
    <row r="66" spans="1:6" x14ac:dyDescent="0.25">
      <c r="A66" t="s">
        <v>1582</v>
      </c>
      <c r="B66" t="s">
        <v>1586</v>
      </c>
      <c r="C66" t="s">
        <v>1586</v>
      </c>
      <c r="D66" s="3" t="str">
        <f t="shared" si="2"/>
        <v>Sim</v>
      </c>
    </row>
    <row r="67" spans="1:6" x14ac:dyDescent="0.25">
      <c r="A67" t="s">
        <v>1582</v>
      </c>
      <c r="B67" t="s">
        <v>1585</v>
      </c>
      <c r="C67" t="s">
        <v>1585</v>
      </c>
      <c r="D67" s="3" t="str">
        <f t="shared" si="2"/>
        <v>Sim</v>
      </c>
    </row>
    <row r="68" spans="1:6" x14ac:dyDescent="0.25">
      <c r="A68" t="s">
        <v>1582</v>
      </c>
      <c r="B68" t="s">
        <v>319</v>
      </c>
      <c r="C68" t="s">
        <v>319</v>
      </c>
      <c r="D68" s="3" t="str">
        <f t="shared" si="2"/>
        <v>Sim</v>
      </c>
      <c r="F68"/>
    </row>
    <row r="69" spans="1:6" x14ac:dyDescent="0.25">
      <c r="A69" t="s">
        <v>1582</v>
      </c>
      <c r="B69" t="s">
        <v>841</v>
      </c>
      <c r="C69" t="s">
        <v>841</v>
      </c>
      <c r="D69" s="3" t="str">
        <f t="shared" si="2"/>
        <v>Sim</v>
      </c>
    </row>
    <row r="70" spans="1:6" x14ac:dyDescent="0.25">
      <c r="A70" t="s">
        <v>1582</v>
      </c>
      <c r="B70" t="s">
        <v>1576</v>
      </c>
      <c r="C70" t="s">
        <v>1576</v>
      </c>
      <c r="D70" s="3" t="str">
        <f t="shared" si="2"/>
        <v>Sim</v>
      </c>
      <c r="F70"/>
    </row>
    <row r="71" spans="1:6" x14ac:dyDescent="0.25">
      <c r="A71" t="s">
        <v>1582</v>
      </c>
      <c r="B71" t="s">
        <v>1577</v>
      </c>
      <c r="C71" t="s">
        <v>1577</v>
      </c>
      <c r="D71" s="3" t="str">
        <f t="shared" si="2"/>
        <v>Sim</v>
      </c>
      <c r="F71"/>
    </row>
    <row r="72" spans="1:6" x14ac:dyDescent="0.25">
      <c r="A72" t="s">
        <v>1582</v>
      </c>
      <c r="B72" t="s">
        <v>1611</v>
      </c>
      <c r="C72" t="s">
        <v>1611</v>
      </c>
      <c r="D72" s="3" t="str">
        <f t="shared" si="2"/>
        <v>Sim</v>
      </c>
      <c r="F72"/>
    </row>
    <row r="73" spans="1:6" x14ac:dyDescent="0.25">
      <c r="A73" t="s">
        <v>1570</v>
      </c>
      <c r="B73" t="s">
        <v>1598</v>
      </c>
      <c r="C73" t="s">
        <v>1598</v>
      </c>
      <c r="D73" s="3" t="str">
        <f t="shared" si="2"/>
        <v>Sim</v>
      </c>
      <c r="F73"/>
    </row>
    <row r="74" spans="1:6" x14ac:dyDescent="0.25">
      <c r="A74" t="s">
        <v>1570</v>
      </c>
      <c r="B74" t="s">
        <v>1657</v>
      </c>
      <c r="C74" t="s">
        <v>1584</v>
      </c>
      <c r="D74" s="3" t="str">
        <f t="shared" si="2"/>
        <v>Não</v>
      </c>
      <c r="F74"/>
    </row>
    <row r="75" spans="1:6" x14ac:dyDescent="0.25">
      <c r="A75" t="s">
        <v>1570</v>
      </c>
      <c r="B75" t="s">
        <v>1578</v>
      </c>
      <c r="C75" t="s">
        <v>1578</v>
      </c>
      <c r="D75" s="3" t="str">
        <f>IF(B75=C75, "Sim", "Não")</f>
        <v>Sim</v>
      </c>
    </row>
    <row r="76" spans="1:6" x14ac:dyDescent="0.25">
      <c r="A76" t="s">
        <v>1570</v>
      </c>
      <c r="B76" t="s">
        <v>1594</v>
      </c>
      <c r="C76" t="s">
        <v>1594</v>
      </c>
      <c r="D76" s="3" t="str">
        <f>IF(B76=C76, "Sim", "Não")</f>
        <v>Sim</v>
      </c>
    </row>
    <row r="77" spans="1:6" x14ac:dyDescent="0.25">
      <c r="A77" t="s">
        <v>1570</v>
      </c>
      <c r="B77" t="s">
        <v>1572</v>
      </c>
      <c r="C77" t="s">
        <v>1572</v>
      </c>
      <c r="D77" s="3" t="str">
        <f>IF(B77=C77, "Sim", "Não")</f>
        <v>Sim</v>
      </c>
    </row>
    <row r="78" spans="1:6" x14ac:dyDescent="0.25">
      <c r="A78" t="s">
        <v>1570</v>
      </c>
      <c r="B78" t="s">
        <v>1656</v>
      </c>
      <c r="C78" t="s">
        <v>1573</v>
      </c>
      <c r="D78" s="3" t="str">
        <f t="shared" si="2"/>
        <v>Não</v>
      </c>
      <c r="F78"/>
    </row>
    <row r="79" spans="1:6" x14ac:dyDescent="0.25">
      <c r="A79" t="s">
        <v>1570</v>
      </c>
      <c r="B79" t="s">
        <v>1619</v>
      </c>
      <c r="C79" t="s">
        <v>1751</v>
      </c>
      <c r="D79" s="3" t="str">
        <f>IF(B79=C79, "Sim", "Não")</f>
        <v>Não</v>
      </c>
    </row>
    <row r="80" spans="1:6" x14ac:dyDescent="0.25">
      <c r="A80" t="s">
        <v>1570</v>
      </c>
      <c r="B80" t="s">
        <v>1170</v>
      </c>
      <c r="C80" t="s">
        <v>1971</v>
      </c>
      <c r="D80" s="3" t="str">
        <f>IF(B80=C80, "Sim", "Não")</f>
        <v>Não</v>
      </c>
    </row>
    <row r="81" spans="1:7" x14ac:dyDescent="0.25">
      <c r="A81" t="s">
        <v>1570</v>
      </c>
      <c r="B81" t="s">
        <v>1587</v>
      </c>
      <c r="C81" t="s">
        <v>1587</v>
      </c>
      <c r="D81" s="3" t="str">
        <f>IF(B81=C81, "Sim", "Não")</f>
        <v>Sim</v>
      </c>
    </row>
    <row r="82" spans="1:7" x14ac:dyDescent="0.25">
      <c r="A82" t="s">
        <v>71</v>
      </c>
      <c r="B82" t="s">
        <v>1618</v>
      </c>
      <c r="C82" t="s">
        <v>407</v>
      </c>
      <c r="D82" s="3" t="str">
        <f>IF(B82=C82, "Sim", "Não")</f>
        <v>Não</v>
      </c>
      <c r="G82" s="2"/>
    </row>
    <row r="83" spans="1:7" x14ac:dyDescent="0.25">
      <c r="A83" t="s">
        <v>71</v>
      </c>
      <c r="B83" t="s">
        <v>1660</v>
      </c>
      <c r="C83" t="s">
        <v>1588</v>
      </c>
      <c r="D83" s="3" t="str">
        <f t="shared" si="2"/>
        <v>Não</v>
      </c>
    </row>
    <row r="84" spans="1:7" x14ac:dyDescent="0.25">
      <c r="A84" t="s">
        <v>71</v>
      </c>
      <c r="B84" t="s">
        <v>1592</v>
      </c>
      <c r="C84" t="s">
        <v>1592</v>
      </c>
      <c r="D84" s="3" t="str">
        <f>IF(B84=C84, "Sim", "Não")</f>
        <v>Sim</v>
      </c>
      <c r="G84" s="2"/>
    </row>
    <row r="85" spans="1:7" x14ac:dyDescent="0.25">
      <c r="A85" t="s">
        <v>71</v>
      </c>
      <c r="B85" t="s">
        <v>1591</v>
      </c>
      <c r="C85" t="s">
        <v>1591</v>
      </c>
      <c r="D85" s="3" t="str">
        <f t="shared" si="2"/>
        <v>Sim</v>
      </c>
    </row>
    <row r="86" spans="1:7" x14ac:dyDescent="0.25">
      <c r="A86" t="s">
        <v>71</v>
      </c>
      <c r="B86" t="s">
        <v>1661</v>
      </c>
      <c r="C86" t="s">
        <v>131</v>
      </c>
      <c r="D86" s="3" t="str">
        <f t="shared" si="2"/>
        <v>Não</v>
      </c>
    </row>
    <row r="87" spans="1:7" x14ac:dyDescent="0.25">
      <c r="A87" t="s">
        <v>70</v>
      </c>
      <c r="B87" t="s">
        <v>1662</v>
      </c>
      <c r="C87" t="s">
        <v>1599</v>
      </c>
      <c r="D87" s="3" t="str">
        <f t="shared" si="2"/>
        <v>Não</v>
      </c>
    </row>
    <row r="88" spans="1:7" x14ac:dyDescent="0.25">
      <c r="A88" t="s">
        <v>70</v>
      </c>
      <c r="B88" t="s">
        <v>1655</v>
      </c>
      <c r="C88" t="s">
        <v>1655</v>
      </c>
      <c r="D88" s="3" t="str">
        <f t="shared" si="2"/>
        <v>Sim</v>
      </c>
    </row>
    <row r="89" spans="1:7" x14ac:dyDescent="0.25">
      <c r="A89" t="s">
        <v>70</v>
      </c>
      <c r="B89" t="s">
        <v>1663</v>
      </c>
      <c r="C89" t="s">
        <v>382</v>
      </c>
      <c r="D89" s="3" t="str">
        <f t="shared" si="2"/>
        <v>Não</v>
      </c>
    </row>
    <row r="90" spans="1:7" x14ac:dyDescent="0.25">
      <c r="A90" t="s">
        <v>70</v>
      </c>
      <c r="B90" t="s">
        <v>298</v>
      </c>
      <c r="C90" t="s">
        <v>298</v>
      </c>
      <c r="D90" s="3" t="str">
        <f t="shared" si="2"/>
        <v>Sim</v>
      </c>
    </row>
    <row r="91" spans="1:7" x14ac:dyDescent="0.25">
      <c r="A91" t="s">
        <v>70</v>
      </c>
      <c r="B91" t="s">
        <v>1650</v>
      </c>
      <c r="C91" t="s">
        <v>1650</v>
      </c>
      <c r="D91" s="3" t="str">
        <f>IF(B91=C91, "Sim", "Não")</f>
        <v>Sim</v>
      </c>
    </row>
    <row r="92" spans="1:7" x14ac:dyDescent="0.25">
      <c r="A92" t="s">
        <v>70</v>
      </c>
      <c r="B92" t="s">
        <v>1631</v>
      </c>
      <c r="C92" t="s">
        <v>1631</v>
      </c>
      <c r="D92" s="3" t="str">
        <f>IF(B92=C92, "Sim", "Não")</f>
        <v>Sim</v>
      </c>
    </row>
    <row r="93" spans="1:7" x14ac:dyDescent="0.25">
      <c r="A93" t="s">
        <v>70</v>
      </c>
      <c r="B93" t="s">
        <v>1643</v>
      </c>
      <c r="C93" t="s">
        <v>1908</v>
      </c>
      <c r="D93" s="3" t="str">
        <f t="shared" si="2"/>
        <v>Não</v>
      </c>
      <c r="E93" t="s">
        <v>1970</v>
      </c>
    </row>
    <row r="94" spans="1:7" x14ac:dyDescent="0.25">
      <c r="A94" t="s">
        <v>46</v>
      </c>
      <c r="B94" t="s">
        <v>1649</v>
      </c>
      <c r="C94" t="s">
        <v>1575</v>
      </c>
      <c r="D94" s="3" t="str">
        <f t="shared" ref="D94:D97" si="3">IF(B94=C94, "Sim", "Não")</f>
        <v>Não</v>
      </c>
    </row>
    <row r="95" spans="1:7" x14ac:dyDescent="0.25">
      <c r="A95" t="s">
        <v>46</v>
      </c>
      <c r="B95" t="s">
        <v>1648</v>
      </c>
      <c r="C95" t="s">
        <v>1574</v>
      </c>
      <c r="D95" s="3" t="str">
        <f t="shared" si="3"/>
        <v>Não</v>
      </c>
    </row>
    <row r="96" spans="1:7" x14ac:dyDescent="0.25">
      <c r="A96" t="s">
        <v>46</v>
      </c>
      <c r="B96" t="s">
        <v>134</v>
      </c>
      <c r="C96" t="s">
        <v>134</v>
      </c>
      <c r="D96" s="3" t="str">
        <f t="shared" si="3"/>
        <v>Sim</v>
      </c>
    </row>
    <row r="97" spans="1:4" x14ac:dyDescent="0.25">
      <c r="A97" t="s">
        <v>46</v>
      </c>
      <c r="B97" t="s">
        <v>1647</v>
      </c>
      <c r="C97" t="s">
        <v>373</v>
      </c>
      <c r="D97" s="3" t="str">
        <f t="shared" si="3"/>
        <v>Não</v>
      </c>
    </row>
    <row r="98" spans="1:4" x14ac:dyDescent="0.25">
      <c r="A98" t="s">
        <v>46</v>
      </c>
      <c r="B98" t="s">
        <v>1589</v>
      </c>
      <c r="C98" t="s">
        <v>1589</v>
      </c>
      <c r="D98" s="3" t="str">
        <f t="shared" si="2"/>
        <v>Sim</v>
      </c>
    </row>
    <row r="99" spans="1:4" x14ac:dyDescent="0.25">
      <c r="A99" t="s">
        <v>46</v>
      </c>
      <c r="B99" t="s">
        <v>1593</v>
      </c>
      <c r="C99" t="s">
        <v>1593</v>
      </c>
      <c r="D99" s="3" t="str">
        <f t="shared" si="2"/>
        <v>Sim</v>
      </c>
    </row>
    <row r="100" spans="1:4" x14ac:dyDescent="0.25">
      <c r="A100" t="s">
        <v>46</v>
      </c>
      <c r="B100" t="s">
        <v>183</v>
      </c>
      <c r="C100" t="s">
        <v>183</v>
      </c>
      <c r="D100" s="3" t="str">
        <f t="shared" si="2"/>
        <v>Sim</v>
      </c>
    </row>
    <row r="101" spans="1:4" x14ac:dyDescent="0.25">
      <c r="A101" t="s">
        <v>46</v>
      </c>
      <c r="B101" t="s">
        <v>371</v>
      </c>
      <c r="C101" t="s">
        <v>371</v>
      </c>
      <c r="D101" s="3" t="str">
        <f t="shared" si="2"/>
        <v>Sim</v>
      </c>
    </row>
  </sheetData>
  <mergeCells count="2">
    <mergeCell ref="A1:G1"/>
    <mergeCell ref="I1:J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AC792-1D39-4A87-ADEA-9B9B29A33674}">
  <sheetPr codeName="Planilha10"/>
  <dimension ref="A1:G100"/>
  <sheetViews>
    <sheetView topLeftCell="A70" workbookViewId="0">
      <selection activeCell="C56" sqref="C56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28" t="s">
        <v>333</v>
      </c>
      <c r="B1" s="28"/>
      <c r="C1" s="28"/>
      <c r="D1" s="28"/>
      <c r="E1" s="28"/>
      <c r="F1" s="28"/>
      <c r="G1" s="28"/>
    </row>
    <row r="2" spans="1:7" x14ac:dyDescent="0.25">
      <c r="A2" s="4" t="s">
        <v>34</v>
      </c>
      <c r="B2" s="4" t="s">
        <v>35</v>
      </c>
      <c r="C2" s="4" t="s">
        <v>36</v>
      </c>
      <c r="D2" s="4" t="s">
        <v>37</v>
      </c>
    </row>
    <row r="3" spans="1:7" x14ac:dyDescent="0.25">
      <c r="A3" t="s">
        <v>38</v>
      </c>
      <c r="B3" t="s">
        <v>334</v>
      </c>
      <c r="C3" t="s">
        <v>334</v>
      </c>
      <c r="D3" t="str">
        <f>IF(B3=C3, "Sim", "Não")</f>
        <v>Sim</v>
      </c>
      <c r="F3" s="4" t="s">
        <v>39</v>
      </c>
      <c r="G3" s="3">
        <f>COUNTIF(D3:D105,"Não")</f>
        <v>6</v>
      </c>
    </row>
    <row r="4" spans="1:7" x14ac:dyDescent="0.25">
      <c r="A4" t="s">
        <v>38</v>
      </c>
      <c r="B4" t="s">
        <v>335</v>
      </c>
      <c r="C4" t="s">
        <v>335</v>
      </c>
      <c r="D4" t="str">
        <f t="shared" ref="D4:D66" si="0">IF(B4=C4, "Sim", "Não")</f>
        <v>Sim</v>
      </c>
      <c r="F4" s="4" t="s">
        <v>40</v>
      </c>
      <c r="G4" s="3">
        <f>SUM(G7:G28)</f>
        <v>98</v>
      </c>
    </row>
    <row r="5" spans="1:7" x14ac:dyDescent="0.25">
      <c r="A5" t="s">
        <v>38</v>
      </c>
      <c r="B5" t="s">
        <v>336</v>
      </c>
      <c r="C5" t="s">
        <v>336</v>
      </c>
      <c r="D5" t="str">
        <f t="shared" si="0"/>
        <v>Sim</v>
      </c>
    </row>
    <row r="6" spans="1:7" x14ac:dyDescent="0.25">
      <c r="A6" t="s">
        <v>38</v>
      </c>
      <c r="B6" t="s">
        <v>337</v>
      </c>
      <c r="C6" t="s">
        <v>337</v>
      </c>
      <c r="D6" t="str">
        <f t="shared" si="0"/>
        <v>Sim</v>
      </c>
      <c r="F6" s="6" t="s">
        <v>42</v>
      </c>
      <c r="G6" s="1"/>
    </row>
    <row r="7" spans="1:7" x14ac:dyDescent="0.25">
      <c r="A7" t="s">
        <v>38</v>
      </c>
      <c r="B7" t="s">
        <v>338</v>
      </c>
      <c r="C7" t="s">
        <v>338</v>
      </c>
      <c r="D7" t="str">
        <f t="shared" si="0"/>
        <v>Sim</v>
      </c>
      <c r="F7" s="7" t="s">
        <v>38</v>
      </c>
      <c r="G7" s="2">
        <f t="shared" ref="G7:G13" si="1">COUNTIF(A:A,F7)</f>
        <v>34</v>
      </c>
    </row>
    <row r="8" spans="1:7" x14ac:dyDescent="0.25">
      <c r="A8" t="s">
        <v>38</v>
      </c>
      <c r="B8" t="s">
        <v>339</v>
      </c>
      <c r="C8" t="s">
        <v>339</v>
      </c>
      <c r="D8" t="str">
        <f t="shared" si="0"/>
        <v>Sim</v>
      </c>
      <c r="F8" s="7" t="s">
        <v>44</v>
      </c>
      <c r="G8" s="2">
        <f t="shared" si="1"/>
        <v>20</v>
      </c>
    </row>
    <row r="9" spans="1:7" x14ac:dyDescent="0.25">
      <c r="A9" t="s">
        <v>38</v>
      </c>
      <c r="B9" t="s">
        <v>340</v>
      </c>
      <c r="C9" t="s">
        <v>340</v>
      </c>
      <c r="D9" t="str">
        <f t="shared" si="0"/>
        <v>Sim</v>
      </c>
      <c r="F9" s="7" t="s">
        <v>347</v>
      </c>
      <c r="G9" s="2">
        <f t="shared" si="1"/>
        <v>8</v>
      </c>
    </row>
    <row r="10" spans="1:7" x14ac:dyDescent="0.25">
      <c r="A10" t="s">
        <v>38</v>
      </c>
      <c r="B10" t="s">
        <v>147</v>
      </c>
      <c r="C10" t="s">
        <v>147</v>
      </c>
      <c r="D10" t="str">
        <f t="shared" si="0"/>
        <v>Sim</v>
      </c>
      <c r="F10" s="7" t="s">
        <v>341</v>
      </c>
      <c r="G10" s="2">
        <f t="shared" si="1"/>
        <v>17</v>
      </c>
    </row>
    <row r="11" spans="1:7" x14ac:dyDescent="0.25">
      <c r="A11" t="s">
        <v>38</v>
      </c>
      <c r="B11" t="s">
        <v>342</v>
      </c>
      <c r="C11" t="s">
        <v>342</v>
      </c>
      <c r="D11" t="str">
        <f t="shared" si="0"/>
        <v>Sim</v>
      </c>
      <c r="F11" s="7" t="s">
        <v>46</v>
      </c>
      <c r="G11" s="2">
        <f t="shared" si="1"/>
        <v>12</v>
      </c>
    </row>
    <row r="12" spans="1:7" x14ac:dyDescent="0.25">
      <c r="A12" t="s">
        <v>38</v>
      </c>
      <c r="B12" t="s">
        <v>43</v>
      </c>
      <c r="C12" t="s">
        <v>43</v>
      </c>
      <c r="D12" t="str">
        <f t="shared" si="0"/>
        <v>Sim</v>
      </c>
      <c r="F12" s="7" t="s">
        <v>343</v>
      </c>
      <c r="G12" s="2">
        <f t="shared" si="1"/>
        <v>3</v>
      </c>
    </row>
    <row r="13" spans="1:7" x14ac:dyDescent="0.25">
      <c r="A13" t="s">
        <v>38</v>
      </c>
      <c r="B13" t="s">
        <v>344</v>
      </c>
      <c r="C13" t="s">
        <v>344</v>
      </c>
      <c r="D13" t="str">
        <f t="shared" si="0"/>
        <v>Sim</v>
      </c>
      <c r="F13" s="7" t="s">
        <v>345</v>
      </c>
      <c r="G13" s="2">
        <f t="shared" si="1"/>
        <v>4</v>
      </c>
    </row>
    <row r="14" spans="1:7" x14ac:dyDescent="0.25">
      <c r="A14" t="s">
        <v>38</v>
      </c>
      <c r="B14" t="s">
        <v>346</v>
      </c>
      <c r="C14" t="s">
        <v>346</v>
      </c>
      <c r="D14" t="str">
        <f t="shared" si="0"/>
        <v>Sim</v>
      </c>
      <c r="F14" s="7"/>
      <c r="G14" s="2"/>
    </row>
    <row r="15" spans="1:7" x14ac:dyDescent="0.25">
      <c r="A15" t="s">
        <v>38</v>
      </c>
      <c r="B15" t="s">
        <v>348</v>
      </c>
      <c r="C15" t="s">
        <v>348</v>
      </c>
      <c r="D15" t="str">
        <f t="shared" si="0"/>
        <v>Sim</v>
      </c>
      <c r="F15" s="4"/>
      <c r="G15" s="2"/>
    </row>
    <row r="16" spans="1:7" x14ac:dyDescent="0.25">
      <c r="A16" t="s">
        <v>38</v>
      </c>
      <c r="B16" t="s">
        <v>349</v>
      </c>
      <c r="C16" t="s">
        <v>349</v>
      </c>
      <c r="D16" t="str">
        <f t="shared" si="0"/>
        <v>Sim</v>
      </c>
      <c r="F16" s="4"/>
      <c r="G16" s="2"/>
    </row>
    <row r="17" spans="1:4" x14ac:dyDescent="0.25">
      <c r="A17" t="s">
        <v>38</v>
      </c>
      <c r="B17" t="s">
        <v>364</v>
      </c>
      <c r="C17" t="s">
        <v>1973</v>
      </c>
      <c r="D17" t="str">
        <f>IF(B17=C17, "Sim", "Não")</f>
        <v>Não</v>
      </c>
    </row>
    <row r="18" spans="1:4" x14ac:dyDescent="0.25">
      <c r="A18" t="s">
        <v>38</v>
      </c>
      <c r="B18" t="s">
        <v>358</v>
      </c>
      <c r="C18" t="s">
        <v>358</v>
      </c>
      <c r="D18" t="str">
        <f>IF(B18=C18, "Sim", "Não")</f>
        <v>Sim</v>
      </c>
    </row>
    <row r="19" spans="1:4" x14ac:dyDescent="0.25">
      <c r="A19" t="s">
        <v>38</v>
      </c>
      <c r="B19" t="s">
        <v>48</v>
      </c>
      <c r="C19" t="s">
        <v>359</v>
      </c>
      <c r="D19" t="str">
        <f>IF(B19=C19, "Sim", "Não")</f>
        <v>Não</v>
      </c>
    </row>
    <row r="20" spans="1:4" x14ac:dyDescent="0.25">
      <c r="A20" t="s">
        <v>38</v>
      </c>
      <c r="B20" t="s">
        <v>350</v>
      </c>
      <c r="C20" t="s">
        <v>350</v>
      </c>
      <c r="D20" t="str">
        <f t="shared" si="0"/>
        <v>Sim</v>
      </c>
    </row>
    <row r="21" spans="1:4" x14ac:dyDescent="0.25">
      <c r="A21" t="s">
        <v>38</v>
      </c>
      <c r="B21" t="s">
        <v>201</v>
      </c>
      <c r="C21" t="s">
        <v>201</v>
      </c>
      <c r="D21" t="str">
        <f t="shared" si="0"/>
        <v>Sim</v>
      </c>
    </row>
    <row r="22" spans="1:4" x14ac:dyDescent="0.25">
      <c r="A22" t="s">
        <v>38</v>
      </c>
      <c r="B22" t="s">
        <v>281</v>
      </c>
      <c r="C22" t="s">
        <v>281</v>
      </c>
      <c r="D22" t="str">
        <f t="shared" si="0"/>
        <v>Sim</v>
      </c>
    </row>
    <row r="23" spans="1:4" x14ac:dyDescent="0.25">
      <c r="A23" t="s">
        <v>38</v>
      </c>
      <c r="B23" t="s">
        <v>351</v>
      </c>
      <c r="C23" t="s">
        <v>351</v>
      </c>
      <c r="D23" t="str">
        <f t="shared" si="0"/>
        <v>Sim</v>
      </c>
    </row>
    <row r="24" spans="1:4" x14ac:dyDescent="0.25">
      <c r="A24" t="s">
        <v>38</v>
      </c>
      <c r="B24" t="s">
        <v>199</v>
      </c>
      <c r="C24" t="s">
        <v>199</v>
      </c>
      <c r="D24" t="str">
        <f t="shared" si="0"/>
        <v>Sim</v>
      </c>
    </row>
    <row r="25" spans="1:4" x14ac:dyDescent="0.25">
      <c r="A25" t="s">
        <v>38</v>
      </c>
      <c r="B25" t="s">
        <v>197</v>
      </c>
      <c r="C25" t="s">
        <v>197</v>
      </c>
      <c r="D25" t="str">
        <f t="shared" si="0"/>
        <v>Sim</v>
      </c>
    </row>
    <row r="26" spans="1:4" x14ac:dyDescent="0.25">
      <c r="A26" t="s">
        <v>38</v>
      </c>
      <c r="B26" t="s">
        <v>352</v>
      </c>
      <c r="C26" t="s">
        <v>352</v>
      </c>
      <c r="D26" t="str">
        <f t="shared" si="0"/>
        <v>Sim</v>
      </c>
    </row>
    <row r="27" spans="1:4" x14ac:dyDescent="0.25">
      <c r="A27" t="s">
        <v>38</v>
      </c>
      <c r="B27" t="s">
        <v>353</v>
      </c>
      <c r="C27" t="s">
        <v>353</v>
      </c>
      <c r="D27" t="str">
        <f t="shared" si="0"/>
        <v>Sim</v>
      </c>
    </row>
    <row r="28" spans="1:4" x14ac:dyDescent="0.25">
      <c r="A28" t="s">
        <v>38</v>
      </c>
      <c r="B28" t="s">
        <v>354</v>
      </c>
      <c r="C28" t="s">
        <v>354</v>
      </c>
      <c r="D28" t="str">
        <f t="shared" si="0"/>
        <v>Sim</v>
      </c>
    </row>
    <row r="29" spans="1:4" x14ac:dyDescent="0.25">
      <c r="A29" t="s">
        <v>38</v>
      </c>
      <c r="B29" t="s">
        <v>355</v>
      </c>
      <c r="C29" t="s">
        <v>355</v>
      </c>
      <c r="D29" t="str">
        <f t="shared" si="0"/>
        <v>Sim</v>
      </c>
    </row>
    <row r="30" spans="1:4" x14ac:dyDescent="0.25">
      <c r="A30" t="s">
        <v>38</v>
      </c>
      <c r="B30" t="s">
        <v>78</v>
      </c>
      <c r="C30" t="s">
        <v>78</v>
      </c>
      <c r="D30" t="str">
        <f t="shared" si="0"/>
        <v>Sim</v>
      </c>
    </row>
    <row r="31" spans="1:4" x14ac:dyDescent="0.25">
      <c r="A31" t="s">
        <v>38</v>
      </c>
      <c r="B31" t="s">
        <v>356</v>
      </c>
      <c r="C31" t="s">
        <v>356</v>
      </c>
      <c r="D31" t="str">
        <f t="shared" si="0"/>
        <v>Sim</v>
      </c>
    </row>
    <row r="32" spans="1:4" x14ac:dyDescent="0.25">
      <c r="A32" t="s">
        <v>38</v>
      </c>
      <c r="B32" t="s">
        <v>357</v>
      </c>
      <c r="C32" t="s">
        <v>357</v>
      </c>
      <c r="D32" t="str">
        <f t="shared" si="0"/>
        <v>Sim</v>
      </c>
    </row>
    <row r="33" spans="1:4" x14ac:dyDescent="0.25">
      <c r="A33" t="s">
        <v>38</v>
      </c>
      <c r="B33" t="s">
        <v>51</v>
      </c>
      <c r="C33" t="s">
        <v>51</v>
      </c>
      <c r="D33" t="str">
        <f t="shared" si="0"/>
        <v>Sim</v>
      </c>
    </row>
    <row r="34" spans="1:4" x14ac:dyDescent="0.25">
      <c r="A34" t="s">
        <v>38</v>
      </c>
      <c r="B34" t="s">
        <v>47</v>
      </c>
      <c r="C34" t="s">
        <v>47</v>
      </c>
      <c r="D34" t="str">
        <f t="shared" si="0"/>
        <v>Sim</v>
      </c>
    </row>
    <row r="35" spans="1:4" x14ac:dyDescent="0.25">
      <c r="A35" t="s">
        <v>38</v>
      </c>
      <c r="B35" t="s">
        <v>48</v>
      </c>
      <c r="C35" t="s">
        <v>48</v>
      </c>
      <c r="D35" t="str">
        <f t="shared" si="0"/>
        <v>Sim</v>
      </c>
    </row>
    <row r="36" spans="1:4" x14ac:dyDescent="0.25">
      <c r="A36" t="s">
        <v>38</v>
      </c>
      <c r="B36" t="s">
        <v>49</v>
      </c>
      <c r="C36" t="s">
        <v>49</v>
      </c>
      <c r="D36" t="str">
        <f t="shared" si="0"/>
        <v>Sim</v>
      </c>
    </row>
    <row r="37" spans="1:4" x14ac:dyDescent="0.25">
      <c r="A37" t="s">
        <v>44</v>
      </c>
      <c r="B37" t="s">
        <v>214</v>
      </c>
      <c r="C37" t="s">
        <v>214</v>
      </c>
      <c r="D37" t="str">
        <f t="shared" si="0"/>
        <v>Sim</v>
      </c>
    </row>
    <row r="38" spans="1:4" x14ac:dyDescent="0.25">
      <c r="A38" t="s">
        <v>44</v>
      </c>
      <c r="B38" t="s">
        <v>160</v>
      </c>
      <c r="C38" t="s">
        <v>160</v>
      </c>
      <c r="D38" t="str">
        <f t="shared" si="0"/>
        <v>Sim</v>
      </c>
    </row>
    <row r="39" spans="1:4" x14ac:dyDescent="0.25">
      <c r="A39" t="s">
        <v>44</v>
      </c>
      <c r="B39" t="s">
        <v>215</v>
      </c>
      <c r="C39" t="s">
        <v>215</v>
      </c>
      <c r="D39" t="str">
        <f t="shared" si="0"/>
        <v>Sim</v>
      </c>
    </row>
    <row r="40" spans="1:4" x14ac:dyDescent="0.25">
      <c r="A40" t="s">
        <v>44</v>
      </c>
      <c r="B40" t="s">
        <v>213</v>
      </c>
      <c r="C40" t="s">
        <v>213</v>
      </c>
      <c r="D40" t="str">
        <f t="shared" si="0"/>
        <v>Sim</v>
      </c>
    </row>
    <row r="41" spans="1:4" x14ac:dyDescent="0.25">
      <c r="A41" t="s">
        <v>44</v>
      </c>
      <c r="B41" t="s">
        <v>360</v>
      </c>
      <c r="C41" t="s">
        <v>360</v>
      </c>
      <c r="D41" t="str">
        <f t="shared" si="0"/>
        <v>Sim</v>
      </c>
    </row>
    <row r="42" spans="1:4" x14ac:dyDescent="0.25">
      <c r="A42" t="s">
        <v>44</v>
      </c>
      <c r="B42" t="s">
        <v>361</v>
      </c>
      <c r="C42" t="s">
        <v>361</v>
      </c>
      <c r="D42" t="str">
        <f t="shared" si="0"/>
        <v>Sim</v>
      </c>
    </row>
    <row r="43" spans="1:4" x14ac:dyDescent="0.25">
      <c r="A43" t="s">
        <v>44</v>
      </c>
      <c r="B43" t="s">
        <v>216</v>
      </c>
      <c r="C43" t="s">
        <v>216</v>
      </c>
      <c r="D43" t="str">
        <f t="shared" si="0"/>
        <v>Sim</v>
      </c>
    </row>
    <row r="44" spans="1:4" x14ac:dyDescent="0.25">
      <c r="A44" t="s">
        <v>44</v>
      </c>
      <c r="B44" t="s">
        <v>217</v>
      </c>
      <c r="C44" t="s">
        <v>217</v>
      </c>
      <c r="D44" t="str">
        <f t="shared" si="0"/>
        <v>Sim</v>
      </c>
    </row>
    <row r="45" spans="1:4" x14ac:dyDescent="0.25">
      <c r="A45" t="s">
        <v>44</v>
      </c>
      <c r="B45" t="s">
        <v>165</v>
      </c>
      <c r="C45" t="s">
        <v>1975</v>
      </c>
      <c r="D45" t="str">
        <f t="shared" si="0"/>
        <v>Não</v>
      </c>
    </row>
    <row r="46" spans="1:4" x14ac:dyDescent="0.25">
      <c r="A46" t="s">
        <v>44</v>
      </c>
      <c r="B46" t="s">
        <v>211</v>
      </c>
      <c r="C46" t="s">
        <v>211</v>
      </c>
      <c r="D46" t="str">
        <f t="shared" si="0"/>
        <v>Sim</v>
      </c>
    </row>
    <row r="47" spans="1:4" x14ac:dyDescent="0.25">
      <c r="A47" t="s">
        <v>44</v>
      </c>
      <c r="B47" t="s">
        <v>212</v>
      </c>
      <c r="C47" t="s">
        <v>212</v>
      </c>
      <c r="D47" t="str">
        <f t="shared" si="0"/>
        <v>Sim</v>
      </c>
    </row>
    <row r="48" spans="1:4" x14ac:dyDescent="0.25">
      <c r="A48" t="s">
        <v>44</v>
      </c>
      <c r="B48" t="s">
        <v>362</v>
      </c>
      <c r="C48" t="s">
        <v>362</v>
      </c>
      <c r="D48" t="str">
        <f t="shared" si="0"/>
        <v>Sim</v>
      </c>
    </row>
    <row r="49" spans="1:4" x14ac:dyDescent="0.25">
      <c r="A49" t="s">
        <v>44</v>
      </c>
      <c r="B49" t="s">
        <v>363</v>
      </c>
      <c r="C49" t="s">
        <v>363</v>
      </c>
      <c r="D49" t="str">
        <f t="shared" si="0"/>
        <v>Sim</v>
      </c>
    </row>
    <row r="50" spans="1:4" x14ac:dyDescent="0.25">
      <c r="A50" t="s">
        <v>44</v>
      </c>
      <c r="B50" t="s">
        <v>163</v>
      </c>
      <c r="C50" t="s">
        <v>163</v>
      </c>
      <c r="D50" t="str">
        <f t="shared" si="0"/>
        <v>Sim</v>
      </c>
    </row>
    <row r="51" spans="1:4" x14ac:dyDescent="0.25">
      <c r="A51" t="s">
        <v>44</v>
      </c>
      <c r="B51" t="s">
        <v>365</v>
      </c>
      <c r="C51" t="s">
        <v>365</v>
      </c>
      <c r="D51" t="str">
        <f t="shared" si="0"/>
        <v>Sim</v>
      </c>
    </row>
    <row r="52" spans="1:4" x14ac:dyDescent="0.25">
      <c r="A52" t="s">
        <v>44</v>
      </c>
      <c r="B52" t="s">
        <v>366</v>
      </c>
      <c r="C52" t="s">
        <v>1976</v>
      </c>
      <c r="D52" t="str">
        <f t="shared" si="0"/>
        <v>Não</v>
      </c>
    </row>
    <row r="53" spans="1:4" x14ac:dyDescent="0.25">
      <c r="A53" t="s">
        <v>44</v>
      </c>
      <c r="B53" t="s">
        <v>367</v>
      </c>
      <c r="C53" t="s">
        <v>367</v>
      </c>
      <c r="D53" t="str">
        <f t="shared" si="0"/>
        <v>Sim</v>
      </c>
    </row>
    <row r="54" spans="1:4" x14ac:dyDescent="0.25">
      <c r="A54" t="s">
        <v>44</v>
      </c>
      <c r="B54" t="s">
        <v>368</v>
      </c>
      <c r="C54" t="s">
        <v>368</v>
      </c>
      <c r="D54" t="str">
        <f t="shared" si="0"/>
        <v>Sim</v>
      </c>
    </row>
    <row r="55" spans="1:4" x14ac:dyDescent="0.25">
      <c r="A55" t="s">
        <v>44</v>
      </c>
      <c r="B55" t="s">
        <v>369</v>
      </c>
      <c r="C55" t="s">
        <v>369</v>
      </c>
      <c r="D55" t="str">
        <f>IF(B55=C55, "Sim", "Não")</f>
        <v>Sim</v>
      </c>
    </row>
    <row r="56" spans="1:4" x14ac:dyDescent="0.25">
      <c r="A56" t="s">
        <v>44</v>
      </c>
      <c r="B56" t="s">
        <v>370</v>
      </c>
      <c r="C56" t="s">
        <v>1974</v>
      </c>
      <c r="D56" t="str">
        <f t="shared" si="0"/>
        <v>Não</v>
      </c>
    </row>
    <row r="57" spans="1:4" x14ac:dyDescent="0.25">
      <c r="A57" t="s">
        <v>46</v>
      </c>
      <c r="B57" t="s">
        <v>371</v>
      </c>
      <c r="C57" t="s">
        <v>371</v>
      </c>
      <c r="D57" t="str">
        <f t="shared" si="0"/>
        <v>Sim</v>
      </c>
    </row>
    <row r="58" spans="1:4" x14ac:dyDescent="0.25">
      <c r="A58" t="s">
        <v>46</v>
      </c>
      <c r="B58" t="s">
        <v>372</v>
      </c>
      <c r="C58" t="s">
        <v>372</v>
      </c>
      <c r="D58" t="str">
        <f t="shared" si="0"/>
        <v>Sim</v>
      </c>
    </row>
    <row r="59" spans="1:4" x14ac:dyDescent="0.25">
      <c r="A59" t="s">
        <v>46</v>
      </c>
      <c r="B59" t="s">
        <v>373</v>
      </c>
      <c r="C59" t="s">
        <v>373</v>
      </c>
      <c r="D59" t="str">
        <f t="shared" si="0"/>
        <v>Sim</v>
      </c>
    </row>
    <row r="60" spans="1:4" x14ac:dyDescent="0.25">
      <c r="A60" t="s">
        <v>46</v>
      </c>
      <c r="B60" t="s">
        <v>374</v>
      </c>
      <c r="C60" t="s">
        <v>374</v>
      </c>
      <c r="D60" t="str">
        <f t="shared" si="0"/>
        <v>Sim</v>
      </c>
    </row>
    <row r="61" spans="1:4" x14ac:dyDescent="0.25">
      <c r="A61" t="s">
        <v>46</v>
      </c>
      <c r="B61" t="s">
        <v>375</v>
      </c>
      <c r="C61" t="s">
        <v>375</v>
      </c>
      <c r="D61" t="str">
        <f t="shared" si="0"/>
        <v>Sim</v>
      </c>
    </row>
    <row r="62" spans="1:4" x14ac:dyDescent="0.25">
      <c r="A62" t="s">
        <v>46</v>
      </c>
      <c r="B62" t="s">
        <v>376</v>
      </c>
      <c r="C62" t="s">
        <v>376</v>
      </c>
      <c r="D62" t="str">
        <f t="shared" si="0"/>
        <v>Sim</v>
      </c>
    </row>
    <row r="63" spans="1:4" x14ac:dyDescent="0.25">
      <c r="A63" t="s">
        <v>46</v>
      </c>
      <c r="B63" t="s">
        <v>377</v>
      </c>
      <c r="C63" t="s">
        <v>377</v>
      </c>
      <c r="D63" t="str">
        <f t="shared" si="0"/>
        <v>Sim</v>
      </c>
    </row>
    <row r="64" spans="1:4" x14ac:dyDescent="0.25">
      <c r="A64" t="s">
        <v>46</v>
      </c>
      <c r="B64" t="s">
        <v>257</v>
      </c>
      <c r="C64" t="s">
        <v>257</v>
      </c>
      <c r="D64" t="str">
        <f t="shared" si="0"/>
        <v>Sim</v>
      </c>
    </row>
    <row r="65" spans="1:4" x14ac:dyDescent="0.25">
      <c r="A65" t="s">
        <v>46</v>
      </c>
      <c r="B65" t="s">
        <v>378</v>
      </c>
      <c r="C65" t="s">
        <v>378</v>
      </c>
      <c r="D65" t="str">
        <f t="shared" si="0"/>
        <v>Sim</v>
      </c>
    </row>
    <row r="66" spans="1:4" x14ac:dyDescent="0.25">
      <c r="A66" t="s">
        <v>46</v>
      </c>
      <c r="B66" t="s">
        <v>379</v>
      </c>
      <c r="C66" t="s">
        <v>379</v>
      </c>
      <c r="D66" t="str">
        <f t="shared" si="0"/>
        <v>Sim</v>
      </c>
    </row>
    <row r="67" spans="1:4" x14ac:dyDescent="0.25">
      <c r="A67" t="s">
        <v>46</v>
      </c>
      <c r="B67" t="s">
        <v>380</v>
      </c>
      <c r="C67" t="s">
        <v>380</v>
      </c>
      <c r="D67" t="str">
        <f t="shared" ref="D67:D100" si="2">IF(B67=C67, "Sim", "Não")</f>
        <v>Sim</v>
      </c>
    </row>
    <row r="68" spans="1:4" x14ac:dyDescent="0.25">
      <c r="A68" t="s">
        <v>46</v>
      </c>
      <c r="B68" t="s">
        <v>1624</v>
      </c>
      <c r="C68" t="s">
        <v>1624</v>
      </c>
      <c r="D68" t="str">
        <f t="shared" si="2"/>
        <v>Sim</v>
      </c>
    </row>
    <row r="69" spans="1:4" x14ac:dyDescent="0.25">
      <c r="A69" t="s">
        <v>341</v>
      </c>
      <c r="B69" t="s">
        <v>381</v>
      </c>
      <c r="C69" t="s">
        <v>381</v>
      </c>
      <c r="D69" t="str">
        <f>IF(B69=C69, "Sim", "Não")</f>
        <v>Sim</v>
      </c>
    </row>
    <row r="70" spans="1:4" x14ac:dyDescent="0.25">
      <c r="A70" t="s">
        <v>341</v>
      </c>
      <c r="B70" t="s">
        <v>382</v>
      </c>
      <c r="C70" t="s">
        <v>382</v>
      </c>
      <c r="D70" t="str">
        <f t="shared" si="2"/>
        <v>Sim</v>
      </c>
    </row>
    <row r="71" spans="1:4" x14ac:dyDescent="0.25">
      <c r="A71" t="s">
        <v>341</v>
      </c>
      <c r="B71" t="s">
        <v>383</v>
      </c>
      <c r="C71" t="s">
        <v>383</v>
      </c>
      <c r="D71" t="str">
        <f t="shared" si="2"/>
        <v>Sim</v>
      </c>
    </row>
    <row r="72" spans="1:4" x14ac:dyDescent="0.25">
      <c r="A72" t="s">
        <v>341</v>
      </c>
      <c r="B72" t="s">
        <v>384</v>
      </c>
      <c r="C72" t="s">
        <v>384</v>
      </c>
      <c r="D72" t="str">
        <f t="shared" si="2"/>
        <v>Sim</v>
      </c>
    </row>
    <row r="73" spans="1:4" x14ac:dyDescent="0.25">
      <c r="A73" t="s">
        <v>341</v>
      </c>
      <c r="B73" t="s">
        <v>385</v>
      </c>
      <c r="C73" t="s">
        <v>385</v>
      </c>
      <c r="D73" t="str">
        <f t="shared" si="2"/>
        <v>Sim</v>
      </c>
    </row>
    <row r="74" spans="1:4" x14ac:dyDescent="0.25">
      <c r="A74" t="s">
        <v>341</v>
      </c>
      <c r="B74" t="s">
        <v>386</v>
      </c>
      <c r="C74" t="s">
        <v>386</v>
      </c>
      <c r="D74" t="str">
        <f t="shared" si="2"/>
        <v>Sim</v>
      </c>
    </row>
    <row r="75" spans="1:4" x14ac:dyDescent="0.25">
      <c r="A75" t="s">
        <v>341</v>
      </c>
      <c r="B75" t="s">
        <v>387</v>
      </c>
      <c r="C75" t="s">
        <v>387</v>
      </c>
      <c r="D75" t="str">
        <f>IF(B75=C75, "Sim", "Não")</f>
        <v>Sim</v>
      </c>
    </row>
    <row r="76" spans="1:4" x14ac:dyDescent="0.25">
      <c r="A76" t="s">
        <v>341</v>
      </c>
      <c r="B76" t="s">
        <v>388</v>
      </c>
      <c r="C76" t="s">
        <v>388</v>
      </c>
      <c r="D76" t="str">
        <f t="shared" si="2"/>
        <v>Sim</v>
      </c>
    </row>
    <row r="77" spans="1:4" x14ac:dyDescent="0.25">
      <c r="A77" t="s">
        <v>341</v>
      </c>
      <c r="B77" t="s">
        <v>389</v>
      </c>
      <c r="C77" t="s">
        <v>389</v>
      </c>
      <c r="D77" t="str">
        <f t="shared" si="2"/>
        <v>Sim</v>
      </c>
    </row>
    <row r="78" spans="1:4" x14ac:dyDescent="0.25">
      <c r="A78" t="s">
        <v>341</v>
      </c>
      <c r="B78" t="s">
        <v>390</v>
      </c>
      <c r="C78" t="s">
        <v>390</v>
      </c>
      <c r="D78" t="str">
        <f t="shared" si="2"/>
        <v>Sim</v>
      </c>
    </row>
    <row r="79" spans="1:4" x14ac:dyDescent="0.25">
      <c r="A79" t="s">
        <v>341</v>
      </c>
      <c r="B79" t="s">
        <v>129</v>
      </c>
      <c r="C79" t="s">
        <v>1750</v>
      </c>
      <c r="D79" t="str">
        <f t="shared" si="2"/>
        <v>Não</v>
      </c>
    </row>
    <row r="80" spans="1:4" x14ac:dyDescent="0.25">
      <c r="A80" t="s">
        <v>341</v>
      </c>
      <c r="B80" t="s">
        <v>391</v>
      </c>
      <c r="C80" t="s">
        <v>391</v>
      </c>
      <c r="D80" t="str">
        <f t="shared" si="2"/>
        <v>Sim</v>
      </c>
    </row>
    <row r="81" spans="1:4" x14ac:dyDescent="0.25">
      <c r="A81" t="s">
        <v>341</v>
      </c>
      <c r="B81" t="s">
        <v>392</v>
      </c>
      <c r="C81" t="s">
        <v>392</v>
      </c>
      <c r="D81" t="str">
        <f t="shared" si="2"/>
        <v>Sim</v>
      </c>
    </row>
    <row r="82" spans="1:4" x14ac:dyDescent="0.25">
      <c r="A82" t="s">
        <v>341</v>
      </c>
      <c r="B82" t="s">
        <v>393</v>
      </c>
      <c r="C82" t="s">
        <v>393</v>
      </c>
      <c r="D82" t="str">
        <f t="shared" si="2"/>
        <v>Sim</v>
      </c>
    </row>
    <row r="83" spans="1:4" x14ac:dyDescent="0.25">
      <c r="A83" t="s">
        <v>341</v>
      </c>
      <c r="B83" t="s">
        <v>394</v>
      </c>
      <c r="C83" t="s">
        <v>394</v>
      </c>
      <c r="D83" t="str">
        <f t="shared" si="2"/>
        <v>Sim</v>
      </c>
    </row>
    <row r="84" spans="1:4" x14ac:dyDescent="0.25">
      <c r="A84" t="s">
        <v>341</v>
      </c>
      <c r="B84" t="s">
        <v>97</v>
      </c>
      <c r="C84" t="s">
        <v>97</v>
      </c>
      <c r="D84" t="str">
        <f t="shared" si="2"/>
        <v>Sim</v>
      </c>
    </row>
    <row r="85" spans="1:4" x14ac:dyDescent="0.25">
      <c r="A85" t="s">
        <v>341</v>
      </c>
      <c r="B85" t="s">
        <v>395</v>
      </c>
      <c r="C85" t="s">
        <v>395</v>
      </c>
      <c r="D85" t="str">
        <f t="shared" si="2"/>
        <v>Sim</v>
      </c>
    </row>
    <row r="86" spans="1:4" x14ac:dyDescent="0.25">
      <c r="A86" t="s">
        <v>347</v>
      </c>
      <c r="B86" t="s">
        <v>396</v>
      </c>
      <c r="C86" t="s">
        <v>396</v>
      </c>
      <c r="D86" t="str">
        <f t="shared" si="2"/>
        <v>Sim</v>
      </c>
    </row>
    <row r="87" spans="1:4" x14ac:dyDescent="0.25">
      <c r="A87" t="s">
        <v>347</v>
      </c>
      <c r="B87" t="s">
        <v>397</v>
      </c>
      <c r="C87" t="s">
        <v>397</v>
      </c>
      <c r="D87" t="str">
        <f t="shared" si="2"/>
        <v>Sim</v>
      </c>
    </row>
    <row r="88" spans="1:4" x14ac:dyDescent="0.25">
      <c r="A88" t="s">
        <v>347</v>
      </c>
      <c r="B88" t="s">
        <v>398</v>
      </c>
      <c r="C88" t="s">
        <v>398</v>
      </c>
      <c r="D88" t="str">
        <f t="shared" si="2"/>
        <v>Sim</v>
      </c>
    </row>
    <row r="89" spans="1:4" x14ac:dyDescent="0.25">
      <c r="A89" t="s">
        <v>347</v>
      </c>
      <c r="B89" t="s">
        <v>399</v>
      </c>
      <c r="C89" t="s">
        <v>399</v>
      </c>
      <c r="D89" t="str">
        <f t="shared" si="2"/>
        <v>Sim</v>
      </c>
    </row>
    <row r="90" spans="1:4" x14ac:dyDescent="0.25">
      <c r="A90" t="s">
        <v>347</v>
      </c>
      <c r="B90" t="s">
        <v>400</v>
      </c>
      <c r="C90" t="s">
        <v>400</v>
      </c>
      <c r="D90" t="str">
        <f t="shared" si="2"/>
        <v>Sim</v>
      </c>
    </row>
    <row r="91" spans="1:4" x14ac:dyDescent="0.25">
      <c r="A91" t="s">
        <v>347</v>
      </c>
      <c r="B91" t="s">
        <v>401</v>
      </c>
      <c r="C91" t="s">
        <v>401</v>
      </c>
      <c r="D91" t="str">
        <f t="shared" si="2"/>
        <v>Sim</v>
      </c>
    </row>
    <row r="92" spans="1:4" x14ac:dyDescent="0.25">
      <c r="A92" t="s">
        <v>347</v>
      </c>
      <c r="B92" t="s">
        <v>402</v>
      </c>
      <c r="C92" t="s">
        <v>402</v>
      </c>
      <c r="D92" t="str">
        <f t="shared" si="2"/>
        <v>Sim</v>
      </c>
    </row>
    <row r="93" spans="1:4" x14ac:dyDescent="0.25">
      <c r="A93" t="s">
        <v>347</v>
      </c>
      <c r="B93" t="s">
        <v>403</v>
      </c>
      <c r="C93" t="s">
        <v>403</v>
      </c>
      <c r="D93" t="str">
        <f t="shared" si="2"/>
        <v>Sim</v>
      </c>
    </row>
    <row r="94" spans="1:4" x14ac:dyDescent="0.25">
      <c r="A94" t="s">
        <v>343</v>
      </c>
      <c r="B94" t="s">
        <v>404</v>
      </c>
      <c r="C94" t="s">
        <v>404</v>
      </c>
      <c r="D94" t="str">
        <f t="shared" si="2"/>
        <v>Sim</v>
      </c>
    </row>
    <row r="95" spans="1:4" x14ac:dyDescent="0.25">
      <c r="A95" t="s">
        <v>343</v>
      </c>
      <c r="B95" t="s">
        <v>405</v>
      </c>
      <c r="C95" t="s">
        <v>405</v>
      </c>
      <c r="D95" t="str">
        <f t="shared" si="2"/>
        <v>Sim</v>
      </c>
    </row>
    <row r="96" spans="1:4" x14ac:dyDescent="0.25">
      <c r="A96" t="s">
        <v>343</v>
      </c>
      <c r="B96" t="s">
        <v>406</v>
      </c>
      <c r="C96" t="s">
        <v>406</v>
      </c>
      <c r="D96" t="str">
        <f t="shared" si="2"/>
        <v>Sim</v>
      </c>
    </row>
    <row r="97" spans="1:4" x14ac:dyDescent="0.25">
      <c r="A97" t="s">
        <v>345</v>
      </c>
      <c r="B97" t="s">
        <v>407</v>
      </c>
      <c r="C97" t="s">
        <v>407</v>
      </c>
      <c r="D97" t="str">
        <f t="shared" si="2"/>
        <v>Sim</v>
      </c>
    </row>
    <row r="98" spans="1:4" x14ac:dyDescent="0.25">
      <c r="A98" t="s">
        <v>345</v>
      </c>
      <c r="B98" t="s">
        <v>408</v>
      </c>
      <c r="C98" t="s">
        <v>408</v>
      </c>
      <c r="D98" t="str">
        <f t="shared" si="2"/>
        <v>Sim</v>
      </c>
    </row>
    <row r="99" spans="1:4" x14ac:dyDescent="0.25">
      <c r="A99" t="s">
        <v>345</v>
      </c>
      <c r="B99" t="s">
        <v>409</v>
      </c>
      <c r="C99" t="s">
        <v>409</v>
      </c>
      <c r="D99" t="str">
        <f t="shared" si="2"/>
        <v>Sim</v>
      </c>
    </row>
    <row r="100" spans="1:4" x14ac:dyDescent="0.25">
      <c r="A100" t="s">
        <v>345</v>
      </c>
      <c r="B100" t="s">
        <v>410</v>
      </c>
      <c r="C100" t="s">
        <v>410</v>
      </c>
      <c r="D100" t="str">
        <f t="shared" si="2"/>
        <v>Sim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6D87C-9A05-4A83-B394-B1C52A2E2B4C}">
  <sheetPr codeName="Planilha11"/>
  <dimension ref="A1:H101"/>
  <sheetViews>
    <sheetView workbookViewId="0">
      <selection activeCell="C49" sqref="C49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  <col min="9" max="9" width="9.85546875" bestFit="1" customWidth="1"/>
  </cols>
  <sheetData>
    <row r="1" spans="1:8" ht="21" customHeight="1" x14ac:dyDescent="0.25">
      <c r="A1" s="28" t="s">
        <v>411</v>
      </c>
      <c r="B1" s="28"/>
      <c r="C1" s="28"/>
      <c r="D1" s="28"/>
      <c r="E1" s="28"/>
      <c r="F1" s="28"/>
      <c r="G1" s="28"/>
    </row>
    <row r="2" spans="1:8" x14ac:dyDescent="0.25">
      <c r="A2" s="4" t="s">
        <v>34</v>
      </c>
      <c r="B2" s="4" t="s">
        <v>35</v>
      </c>
      <c r="C2" s="4" t="s">
        <v>36</v>
      </c>
      <c r="D2" s="4" t="s">
        <v>37</v>
      </c>
    </row>
    <row r="3" spans="1:8" x14ac:dyDescent="0.25">
      <c r="A3" t="s">
        <v>38</v>
      </c>
      <c r="B3" t="s">
        <v>209</v>
      </c>
      <c r="C3" t="s">
        <v>209</v>
      </c>
      <c r="D3" t="str">
        <f t="shared" ref="D3:D69" si="0">IF(B3=C3, "Sim", "Não")</f>
        <v>Sim</v>
      </c>
      <c r="F3" s="4" t="s">
        <v>39</v>
      </c>
      <c r="G3" s="3">
        <f>COUNTIF(D3:D106,"Não")</f>
        <v>12</v>
      </c>
    </row>
    <row r="4" spans="1:8" x14ac:dyDescent="0.25">
      <c r="A4" t="s">
        <v>38</v>
      </c>
      <c r="B4" t="s">
        <v>43</v>
      </c>
      <c r="C4" t="s">
        <v>43</v>
      </c>
      <c r="D4" t="str">
        <f t="shared" si="0"/>
        <v>Sim</v>
      </c>
      <c r="F4" s="4" t="s">
        <v>40</v>
      </c>
      <c r="G4" s="3">
        <f>SUM(G7:G24)</f>
        <v>99</v>
      </c>
    </row>
    <row r="5" spans="1:8" x14ac:dyDescent="0.25">
      <c r="A5" t="s">
        <v>38</v>
      </c>
      <c r="B5" t="s">
        <v>412</v>
      </c>
      <c r="C5" t="s">
        <v>412</v>
      </c>
      <c r="D5" t="str">
        <f t="shared" si="0"/>
        <v>Sim</v>
      </c>
    </row>
    <row r="6" spans="1:8" x14ac:dyDescent="0.25">
      <c r="A6" t="s">
        <v>38</v>
      </c>
      <c r="B6" t="s">
        <v>79</v>
      </c>
      <c r="C6" t="s">
        <v>79</v>
      </c>
      <c r="D6" t="str">
        <f t="shared" si="0"/>
        <v>Sim</v>
      </c>
      <c r="F6" s="6" t="s">
        <v>42</v>
      </c>
      <c r="G6" s="1"/>
    </row>
    <row r="7" spans="1:8" x14ac:dyDescent="0.25">
      <c r="A7" t="s">
        <v>38</v>
      </c>
      <c r="B7" t="s">
        <v>150</v>
      </c>
      <c r="C7" t="s">
        <v>150</v>
      </c>
      <c r="D7" t="str">
        <f t="shared" si="0"/>
        <v>Sim</v>
      </c>
      <c r="F7" s="7" t="s">
        <v>38</v>
      </c>
      <c r="G7" s="2">
        <f t="shared" ref="G7:G13" si="1">COUNTIF(A:A,F7)</f>
        <v>38</v>
      </c>
    </row>
    <row r="8" spans="1:8" x14ac:dyDescent="0.25">
      <c r="A8" t="s">
        <v>38</v>
      </c>
      <c r="B8" t="s">
        <v>280</v>
      </c>
      <c r="C8" t="s">
        <v>280</v>
      </c>
      <c r="D8" t="str">
        <f t="shared" si="0"/>
        <v>Sim</v>
      </c>
      <c r="F8" s="7" t="s">
        <v>44</v>
      </c>
      <c r="G8" s="2">
        <f t="shared" si="1"/>
        <v>17</v>
      </c>
    </row>
    <row r="9" spans="1:8" x14ac:dyDescent="0.25">
      <c r="A9" t="s">
        <v>38</v>
      </c>
      <c r="B9" t="s">
        <v>66</v>
      </c>
      <c r="C9" t="s">
        <v>66</v>
      </c>
      <c r="D9" t="str">
        <f t="shared" si="0"/>
        <v>Sim</v>
      </c>
      <c r="F9" s="7" t="s">
        <v>70</v>
      </c>
      <c r="G9" s="2">
        <f t="shared" si="1"/>
        <v>17</v>
      </c>
    </row>
    <row r="10" spans="1:8" x14ac:dyDescent="0.25">
      <c r="A10" t="s">
        <v>38</v>
      </c>
      <c r="B10" t="s">
        <v>413</v>
      </c>
      <c r="C10" t="s">
        <v>413</v>
      </c>
      <c r="D10" t="str">
        <f t="shared" si="0"/>
        <v>Sim</v>
      </c>
      <c r="F10" s="7" t="s">
        <v>347</v>
      </c>
      <c r="G10" s="2">
        <f t="shared" si="1"/>
        <v>9</v>
      </c>
    </row>
    <row r="11" spans="1:8" x14ac:dyDescent="0.25">
      <c r="A11" t="s">
        <v>38</v>
      </c>
      <c r="B11" t="s">
        <v>414</v>
      </c>
      <c r="C11" t="s">
        <v>414</v>
      </c>
      <c r="D11" t="str">
        <f t="shared" si="0"/>
        <v>Sim</v>
      </c>
      <c r="F11" s="7" t="s">
        <v>343</v>
      </c>
      <c r="G11" s="2">
        <f t="shared" si="1"/>
        <v>6</v>
      </c>
    </row>
    <row r="12" spans="1:8" x14ac:dyDescent="0.25">
      <c r="A12" t="s">
        <v>38</v>
      </c>
      <c r="B12" t="s">
        <v>415</v>
      </c>
      <c r="C12" t="s">
        <v>415</v>
      </c>
      <c r="D12" t="str">
        <f t="shared" si="0"/>
        <v>Sim</v>
      </c>
      <c r="F12" s="7" t="s">
        <v>73</v>
      </c>
      <c r="G12" s="2">
        <f t="shared" si="1"/>
        <v>8</v>
      </c>
    </row>
    <row r="13" spans="1:8" x14ac:dyDescent="0.25">
      <c r="A13" t="s">
        <v>38</v>
      </c>
      <c r="B13" t="s">
        <v>90</v>
      </c>
      <c r="C13" t="s">
        <v>416</v>
      </c>
      <c r="D13" t="str">
        <f t="shared" si="0"/>
        <v>Não</v>
      </c>
      <c r="F13" s="7" t="s">
        <v>417</v>
      </c>
      <c r="G13" s="2">
        <f t="shared" si="1"/>
        <v>4</v>
      </c>
    </row>
    <row r="14" spans="1:8" x14ac:dyDescent="0.25">
      <c r="A14" t="s">
        <v>38</v>
      </c>
      <c r="B14" t="s">
        <v>418</v>
      </c>
      <c r="C14" t="s">
        <v>418</v>
      </c>
      <c r="D14" t="str">
        <f t="shared" si="0"/>
        <v>Sim</v>
      </c>
      <c r="F14" s="7"/>
      <c r="G14" s="2"/>
      <c r="H14" s="3"/>
    </row>
    <row r="15" spans="1:8" x14ac:dyDescent="0.25">
      <c r="A15" t="s">
        <v>38</v>
      </c>
      <c r="B15" t="s">
        <v>419</v>
      </c>
      <c r="C15" t="s">
        <v>419</v>
      </c>
      <c r="D15" t="str">
        <f t="shared" si="0"/>
        <v>Sim</v>
      </c>
    </row>
    <row r="16" spans="1:8" x14ac:dyDescent="0.25">
      <c r="A16" t="s">
        <v>38</v>
      </c>
      <c r="B16" t="s">
        <v>420</v>
      </c>
      <c r="C16" t="s">
        <v>420</v>
      </c>
      <c r="D16" t="str">
        <f t="shared" si="0"/>
        <v>Sim</v>
      </c>
      <c r="F16" s="4"/>
      <c r="G16" s="2"/>
    </row>
    <row r="17" spans="1:4" x14ac:dyDescent="0.25">
      <c r="A17" t="s">
        <v>38</v>
      </c>
      <c r="B17" t="s">
        <v>91</v>
      </c>
      <c r="C17" t="s">
        <v>421</v>
      </c>
      <c r="D17" t="str">
        <f t="shared" si="0"/>
        <v>Não</v>
      </c>
    </row>
    <row r="18" spans="1:4" x14ac:dyDescent="0.25">
      <c r="A18" t="s">
        <v>38</v>
      </c>
      <c r="B18" t="s">
        <v>91</v>
      </c>
      <c r="C18" t="s">
        <v>422</v>
      </c>
      <c r="D18" t="str">
        <f t="shared" si="0"/>
        <v>Não</v>
      </c>
    </row>
    <row r="19" spans="1:4" x14ac:dyDescent="0.25">
      <c r="A19" t="s">
        <v>38</v>
      </c>
      <c r="B19" t="s">
        <v>423</v>
      </c>
      <c r="C19" t="s">
        <v>423</v>
      </c>
      <c r="D19" t="str">
        <f t="shared" si="0"/>
        <v>Sim</v>
      </c>
    </row>
    <row r="20" spans="1:4" x14ac:dyDescent="0.25">
      <c r="A20" t="s">
        <v>38</v>
      </c>
      <c r="B20" t="s">
        <v>424</v>
      </c>
      <c r="C20" t="s">
        <v>424</v>
      </c>
      <c r="D20" t="str">
        <f t="shared" si="0"/>
        <v>Sim</v>
      </c>
    </row>
    <row r="21" spans="1:4" x14ac:dyDescent="0.25">
      <c r="A21" t="s">
        <v>38</v>
      </c>
      <c r="B21" t="s">
        <v>425</v>
      </c>
      <c r="C21" t="s">
        <v>425</v>
      </c>
      <c r="D21" t="str">
        <f t="shared" si="0"/>
        <v>Sim</v>
      </c>
    </row>
    <row r="22" spans="1:4" x14ac:dyDescent="0.25">
      <c r="A22" t="s">
        <v>38</v>
      </c>
      <c r="B22" t="s">
        <v>426</v>
      </c>
      <c r="C22" t="s">
        <v>426</v>
      </c>
      <c r="D22" t="str">
        <f t="shared" si="0"/>
        <v>Sim</v>
      </c>
    </row>
    <row r="23" spans="1:4" x14ac:dyDescent="0.25">
      <c r="A23" t="s">
        <v>38</v>
      </c>
      <c r="B23" t="s">
        <v>68</v>
      </c>
      <c r="C23" t="s">
        <v>68</v>
      </c>
      <c r="D23" t="str">
        <f t="shared" si="0"/>
        <v>Sim</v>
      </c>
    </row>
    <row r="24" spans="1:4" x14ac:dyDescent="0.25">
      <c r="A24" t="s">
        <v>38</v>
      </c>
      <c r="B24" t="s">
        <v>427</v>
      </c>
      <c r="C24" t="s">
        <v>428</v>
      </c>
      <c r="D24" t="str">
        <f t="shared" si="0"/>
        <v>Não</v>
      </c>
    </row>
    <row r="25" spans="1:4" x14ac:dyDescent="0.25">
      <c r="A25" t="s">
        <v>38</v>
      </c>
      <c r="B25" t="s">
        <v>80</v>
      </c>
      <c r="C25" t="s">
        <v>80</v>
      </c>
      <c r="D25" t="str">
        <f t="shared" si="0"/>
        <v>Sim</v>
      </c>
    </row>
    <row r="26" spans="1:4" x14ac:dyDescent="0.25">
      <c r="A26" t="s">
        <v>38</v>
      </c>
      <c r="B26" t="s">
        <v>85</v>
      </c>
      <c r="C26" t="s">
        <v>85</v>
      </c>
      <c r="D26" t="str">
        <f t="shared" si="0"/>
        <v>Sim</v>
      </c>
    </row>
    <row r="27" spans="1:4" x14ac:dyDescent="0.25">
      <c r="A27" t="s">
        <v>38</v>
      </c>
      <c r="B27" t="s">
        <v>88</v>
      </c>
      <c r="C27" t="s">
        <v>88</v>
      </c>
      <c r="D27" t="str">
        <f t="shared" si="0"/>
        <v>Sim</v>
      </c>
    </row>
    <row r="28" spans="1:4" x14ac:dyDescent="0.25">
      <c r="A28" t="s">
        <v>38</v>
      </c>
      <c r="B28" t="s">
        <v>87</v>
      </c>
      <c r="C28" t="s">
        <v>87</v>
      </c>
      <c r="D28" t="str">
        <f t="shared" si="0"/>
        <v>Sim</v>
      </c>
    </row>
    <row r="29" spans="1:4" x14ac:dyDescent="0.25">
      <c r="A29" t="s">
        <v>38</v>
      </c>
      <c r="B29" t="s">
        <v>83</v>
      </c>
      <c r="C29" t="s">
        <v>83</v>
      </c>
      <c r="D29" t="str">
        <f t="shared" si="0"/>
        <v>Sim</v>
      </c>
    </row>
    <row r="30" spans="1:4" x14ac:dyDescent="0.25">
      <c r="A30" t="s">
        <v>38</v>
      </c>
      <c r="B30" t="s">
        <v>340</v>
      </c>
      <c r="C30" t="s">
        <v>340</v>
      </c>
      <c r="D30" t="str">
        <f t="shared" si="0"/>
        <v>Sim</v>
      </c>
    </row>
    <row r="31" spans="1:4" x14ac:dyDescent="0.25">
      <c r="A31" t="s">
        <v>38</v>
      </c>
      <c r="B31" t="s">
        <v>91</v>
      </c>
      <c r="C31" t="s">
        <v>91</v>
      </c>
      <c r="D31" t="str">
        <f t="shared" si="0"/>
        <v>Sim</v>
      </c>
    </row>
    <row r="32" spans="1:4" x14ac:dyDescent="0.25">
      <c r="A32" t="s">
        <v>38</v>
      </c>
      <c r="B32" t="s">
        <v>91</v>
      </c>
      <c r="C32" t="s">
        <v>91</v>
      </c>
      <c r="D32" t="str">
        <f t="shared" si="0"/>
        <v>Sim</v>
      </c>
    </row>
    <row r="33" spans="1:4" x14ac:dyDescent="0.25">
      <c r="A33" t="s">
        <v>38</v>
      </c>
      <c r="B33" t="s">
        <v>91</v>
      </c>
      <c r="C33" t="s">
        <v>91</v>
      </c>
      <c r="D33" t="str">
        <f t="shared" si="0"/>
        <v>Sim</v>
      </c>
    </row>
    <row r="34" spans="1:4" x14ac:dyDescent="0.25">
      <c r="A34" t="s">
        <v>38</v>
      </c>
      <c r="B34" t="s">
        <v>91</v>
      </c>
      <c r="C34" t="s">
        <v>91</v>
      </c>
      <c r="D34" t="str">
        <f t="shared" si="0"/>
        <v>Sim</v>
      </c>
    </row>
    <row r="35" spans="1:4" x14ac:dyDescent="0.25">
      <c r="A35" t="s">
        <v>38</v>
      </c>
      <c r="B35" t="s">
        <v>91</v>
      </c>
      <c r="C35" t="s">
        <v>91</v>
      </c>
      <c r="D35" t="str">
        <f t="shared" si="0"/>
        <v>Sim</v>
      </c>
    </row>
    <row r="36" spans="1:4" x14ac:dyDescent="0.25">
      <c r="A36" t="s">
        <v>38</v>
      </c>
      <c r="B36" t="s">
        <v>91</v>
      </c>
      <c r="C36" t="s">
        <v>91</v>
      </c>
      <c r="D36" t="str">
        <f t="shared" si="0"/>
        <v>Sim</v>
      </c>
    </row>
    <row r="37" spans="1:4" x14ac:dyDescent="0.25">
      <c r="A37" t="s">
        <v>38</v>
      </c>
      <c r="B37" t="s">
        <v>90</v>
      </c>
      <c r="C37" t="s">
        <v>90</v>
      </c>
      <c r="D37" t="str">
        <f t="shared" si="0"/>
        <v>Sim</v>
      </c>
    </row>
    <row r="38" spans="1:4" x14ac:dyDescent="0.25">
      <c r="A38" t="s">
        <v>38</v>
      </c>
      <c r="B38" t="s">
        <v>90</v>
      </c>
      <c r="C38" t="s">
        <v>90</v>
      </c>
      <c r="D38" t="str">
        <f t="shared" si="0"/>
        <v>Sim</v>
      </c>
    </row>
    <row r="39" spans="1:4" x14ac:dyDescent="0.25">
      <c r="A39" t="s">
        <v>38</v>
      </c>
      <c r="B39" t="s">
        <v>90</v>
      </c>
      <c r="C39" t="s">
        <v>90</v>
      </c>
      <c r="D39" t="str">
        <f t="shared" si="0"/>
        <v>Sim</v>
      </c>
    </row>
    <row r="40" spans="1:4" x14ac:dyDescent="0.25">
      <c r="A40" t="s">
        <v>38</v>
      </c>
      <c r="B40" t="s">
        <v>429</v>
      </c>
      <c r="C40" t="s">
        <v>429</v>
      </c>
      <c r="D40" t="str">
        <f t="shared" si="0"/>
        <v>Sim</v>
      </c>
    </row>
    <row r="41" spans="1:4" x14ac:dyDescent="0.25">
      <c r="A41" t="s">
        <v>44</v>
      </c>
      <c r="B41" t="s">
        <v>430</v>
      </c>
      <c r="C41" t="s">
        <v>430</v>
      </c>
      <c r="D41" t="str">
        <f t="shared" si="0"/>
        <v>Sim</v>
      </c>
    </row>
    <row r="42" spans="1:4" x14ac:dyDescent="0.25">
      <c r="A42" t="s">
        <v>44</v>
      </c>
      <c r="B42" t="s">
        <v>296</v>
      </c>
      <c r="C42" t="s">
        <v>296</v>
      </c>
      <c r="D42" t="str">
        <f t="shared" si="0"/>
        <v>Sim</v>
      </c>
    </row>
    <row r="43" spans="1:4" x14ac:dyDescent="0.25">
      <c r="A43" t="s">
        <v>44</v>
      </c>
      <c r="B43" t="s">
        <v>292</v>
      </c>
      <c r="C43" t="s">
        <v>292</v>
      </c>
      <c r="D43" t="str">
        <f t="shared" si="0"/>
        <v>Sim</v>
      </c>
    </row>
    <row r="44" spans="1:4" x14ac:dyDescent="0.25">
      <c r="A44" t="s">
        <v>44</v>
      </c>
      <c r="B44" t="s">
        <v>294</v>
      </c>
      <c r="C44" t="s">
        <v>294</v>
      </c>
      <c r="D44" t="str">
        <f t="shared" si="0"/>
        <v>Sim</v>
      </c>
    </row>
    <row r="45" spans="1:4" x14ac:dyDescent="0.25">
      <c r="A45" t="s">
        <v>44</v>
      </c>
      <c r="B45" t="s">
        <v>293</v>
      </c>
      <c r="C45" t="s">
        <v>293</v>
      </c>
      <c r="D45" t="str">
        <f t="shared" si="0"/>
        <v>Sim</v>
      </c>
    </row>
    <row r="46" spans="1:4" x14ac:dyDescent="0.25">
      <c r="A46" t="s">
        <v>44</v>
      </c>
      <c r="B46" t="s">
        <v>431</v>
      </c>
      <c r="C46" t="s">
        <v>431</v>
      </c>
      <c r="D46" t="str">
        <f t="shared" si="0"/>
        <v>Sim</v>
      </c>
    </row>
    <row r="47" spans="1:4" x14ac:dyDescent="0.25">
      <c r="A47" t="s">
        <v>44</v>
      </c>
      <c r="B47" t="s">
        <v>96</v>
      </c>
      <c r="C47" t="s">
        <v>96</v>
      </c>
      <c r="D47" t="str">
        <f t="shared" si="0"/>
        <v>Sim</v>
      </c>
    </row>
    <row r="48" spans="1:4" x14ac:dyDescent="0.25">
      <c r="A48" t="s">
        <v>44</v>
      </c>
      <c r="B48" t="s">
        <v>299</v>
      </c>
      <c r="C48" t="s">
        <v>299</v>
      </c>
      <c r="D48" t="str">
        <f t="shared" si="0"/>
        <v>Sim</v>
      </c>
    </row>
    <row r="49" spans="1:4" x14ac:dyDescent="0.25">
      <c r="A49" t="s">
        <v>44</v>
      </c>
      <c r="B49" t="s">
        <v>432</v>
      </c>
      <c r="C49" t="s">
        <v>432</v>
      </c>
      <c r="D49" t="str">
        <f t="shared" si="0"/>
        <v>Sim</v>
      </c>
    </row>
    <row r="50" spans="1:4" x14ac:dyDescent="0.25">
      <c r="A50" t="s">
        <v>44</v>
      </c>
      <c r="B50" t="s">
        <v>212</v>
      </c>
      <c r="C50" t="s">
        <v>212</v>
      </c>
      <c r="D50" t="str">
        <f t="shared" si="0"/>
        <v>Sim</v>
      </c>
    </row>
    <row r="51" spans="1:4" x14ac:dyDescent="0.25">
      <c r="A51" t="s">
        <v>44</v>
      </c>
      <c r="B51" t="s">
        <v>211</v>
      </c>
      <c r="C51" t="s">
        <v>211</v>
      </c>
      <c r="D51" t="str">
        <f t="shared" si="0"/>
        <v>Sim</v>
      </c>
    </row>
    <row r="52" spans="1:4" x14ac:dyDescent="0.25">
      <c r="A52" t="s">
        <v>44</v>
      </c>
      <c r="B52" t="s">
        <v>433</v>
      </c>
      <c r="C52" t="s">
        <v>433</v>
      </c>
      <c r="D52" t="str">
        <f t="shared" si="0"/>
        <v>Sim</v>
      </c>
    </row>
    <row r="53" spans="1:4" x14ac:dyDescent="0.25">
      <c r="A53" t="s">
        <v>44</v>
      </c>
      <c r="B53" t="s">
        <v>434</v>
      </c>
      <c r="C53" t="s">
        <v>434</v>
      </c>
      <c r="D53" t="str">
        <f t="shared" si="0"/>
        <v>Sim</v>
      </c>
    </row>
    <row r="54" spans="1:4" x14ac:dyDescent="0.25">
      <c r="A54" t="s">
        <v>44</v>
      </c>
      <c r="B54" t="s">
        <v>159</v>
      </c>
      <c r="C54" t="s">
        <v>159</v>
      </c>
      <c r="D54" t="str">
        <f t="shared" si="0"/>
        <v>Sim</v>
      </c>
    </row>
    <row r="55" spans="1:4" x14ac:dyDescent="0.25">
      <c r="A55" t="s">
        <v>44</v>
      </c>
      <c r="B55" t="s">
        <v>92</v>
      </c>
      <c r="C55" t="s">
        <v>92</v>
      </c>
      <c r="D55" t="str">
        <f t="shared" si="0"/>
        <v>Sim</v>
      </c>
    </row>
    <row r="56" spans="1:4" x14ac:dyDescent="0.25">
      <c r="A56" t="s">
        <v>44</v>
      </c>
      <c r="B56" t="s">
        <v>435</v>
      </c>
      <c r="C56" t="s">
        <v>436</v>
      </c>
      <c r="D56" t="str">
        <f>IF(B56=C56, "Sim", "Não")</f>
        <v>Não</v>
      </c>
    </row>
    <row r="57" spans="1:4" x14ac:dyDescent="0.25">
      <c r="A57" t="s">
        <v>44</v>
      </c>
      <c r="B57" t="s">
        <v>437</v>
      </c>
      <c r="C57" t="s">
        <v>437</v>
      </c>
      <c r="D57" t="str">
        <f>IF(B57=C57, "Sim", "Não")</f>
        <v>Sim</v>
      </c>
    </row>
    <row r="58" spans="1:4" x14ac:dyDescent="0.25">
      <c r="A58" t="s">
        <v>73</v>
      </c>
      <c r="B58" t="s">
        <v>135</v>
      </c>
      <c r="C58" t="s">
        <v>135</v>
      </c>
      <c r="D58" t="str">
        <f>IF(B58=C58, "Sim", "Não")</f>
        <v>Sim</v>
      </c>
    </row>
    <row r="59" spans="1:4" x14ac:dyDescent="0.25">
      <c r="A59" t="s">
        <v>73</v>
      </c>
      <c r="B59" t="s">
        <v>438</v>
      </c>
      <c r="C59" t="s">
        <v>438</v>
      </c>
      <c r="D59" t="str">
        <f t="shared" si="0"/>
        <v>Sim</v>
      </c>
    </row>
    <row r="60" spans="1:4" x14ac:dyDescent="0.25">
      <c r="A60" t="s">
        <v>73</v>
      </c>
      <c r="B60" t="s">
        <v>439</v>
      </c>
      <c r="C60" t="s">
        <v>439</v>
      </c>
      <c r="D60" t="str">
        <f t="shared" si="0"/>
        <v>Sim</v>
      </c>
    </row>
    <row r="61" spans="1:4" x14ac:dyDescent="0.25">
      <c r="A61" t="s">
        <v>73</v>
      </c>
      <c r="B61" t="s">
        <v>440</v>
      </c>
      <c r="C61" t="s">
        <v>440</v>
      </c>
      <c r="D61" t="str">
        <f t="shared" si="0"/>
        <v>Sim</v>
      </c>
    </row>
    <row r="62" spans="1:4" x14ac:dyDescent="0.25">
      <c r="A62" t="s">
        <v>73</v>
      </c>
      <c r="B62" t="s">
        <v>134</v>
      </c>
      <c r="C62" t="s">
        <v>134</v>
      </c>
      <c r="D62" t="str">
        <f t="shared" si="0"/>
        <v>Sim</v>
      </c>
    </row>
    <row r="63" spans="1:4" x14ac:dyDescent="0.25">
      <c r="A63" t="s">
        <v>73</v>
      </c>
      <c r="B63" t="s">
        <v>140</v>
      </c>
      <c r="C63" t="s">
        <v>140</v>
      </c>
      <c r="D63" t="str">
        <f t="shared" si="0"/>
        <v>Sim</v>
      </c>
    </row>
    <row r="64" spans="1:4" x14ac:dyDescent="0.25">
      <c r="A64" t="s">
        <v>73</v>
      </c>
      <c r="B64" t="s">
        <v>183</v>
      </c>
      <c r="C64" t="s">
        <v>183</v>
      </c>
      <c r="D64" t="str">
        <f t="shared" si="0"/>
        <v>Sim</v>
      </c>
    </row>
    <row r="65" spans="1:4" x14ac:dyDescent="0.25">
      <c r="A65" t="s">
        <v>73</v>
      </c>
      <c r="B65" t="s">
        <v>137</v>
      </c>
      <c r="C65" t="s">
        <v>137</v>
      </c>
      <c r="D65" t="str">
        <f t="shared" si="0"/>
        <v>Sim</v>
      </c>
    </row>
    <row r="66" spans="1:4" x14ac:dyDescent="0.25">
      <c r="A66" t="s">
        <v>417</v>
      </c>
      <c r="B66" t="s">
        <v>441</v>
      </c>
      <c r="C66" t="s">
        <v>441</v>
      </c>
      <c r="D66" t="str">
        <f t="shared" si="0"/>
        <v>Sim</v>
      </c>
    </row>
    <row r="67" spans="1:4" x14ac:dyDescent="0.25">
      <c r="A67" t="s">
        <v>417</v>
      </c>
      <c r="B67" t="s">
        <v>442</v>
      </c>
      <c r="C67" t="s">
        <v>442</v>
      </c>
      <c r="D67" t="str">
        <f t="shared" si="0"/>
        <v>Sim</v>
      </c>
    </row>
    <row r="68" spans="1:4" x14ac:dyDescent="0.25">
      <c r="A68" t="s">
        <v>417</v>
      </c>
      <c r="B68" t="s">
        <v>443</v>
      </c>
      <c r="C68" t="s">
        <v>443</v>
      </c>
      <c r="D68" t="str">
        <f t="shared" si="0"/>
        <v>Sim</v>
      </c>
    </row>
    <row r="69" spans="1:4" x14ac:dyDescent="0.25">
      <c r="A69" t="s">
        <v>417</v>
      </c>
      <c r="B69" t="s">
        <v>444</v>
      </c>
      <c r="C69" t="s">
        <v>444</v>
      </c>
      <c r="D69" t="str">
        <f t="shared" si="0"/>
        <v>Sim</v>
      </c>
    </row>
    <row r="70" spans="1:4" x14ac:dyDescent="0.25">
      <c r="A70" t="s">
        <v>343</v>
      </c>
      <c r="B70" t="s">
        <v>445</v>
      </c>
      <c r="C70" t="s">
        <v>445</v>
      </c>
      <c r="D70" t="str">
        <f t="shared" ref="D70:D100" si="2">IF(B70=C70, "Sim", "Não")</f>
        <v>Sim</v>
      </c>
    </row>
    <row r="71" spans="1:4" x14ac:dyDescent="0.25">
      <c r="A71" t="s">
        <v>343</v>
      </c>
      <c r="B71" t="s">
        <v>446</v>
      </c>
      <c r="C71" t="s">
        <v>447</v>
      </c>
      <c r="D71" t="str">
        <f t="shared" si="2"/>
        <v>Não</v>
      </c>
    </row>
    <row r="72" spans="1:4" x14ac:dyDescent="0.25">
      <c r="A72" t="s">
        <v>343</v>
      </c>
      <c r="B72" t="s">
        <v>448</v>
      </c>
      <c r="C72" t="s">
        <v>448</v>
      </c>
      <c r="D72" t="str">
        <f>IF(B72=C72, "Sim", "Não")</f>
        <v>Sim</v>
      </c>
    </row>
    <row r="73" spans="1:4" x14ac:dyDescent="0.25">
      <c r="A73" t="s">
        <v>343</v>
      </c>
      <c r="B73" t="s">
        <v>449</v>
      </c>
      <c r="C73" t="s">
        <v>449</v>
      </c>
      <c r="D73" t="str">
        <f t="shared" si="2"/>
        <v>Sim</v>
      </c>
    </row>
    <row r="74" spans="1:4" x14ac:dyDescent="0.25">
      <c r="A74" t="s">
        <v>343</v>
      </c>
      <c r="B74" t="s">
        <v>450</v>
      </c>
      <c r="C74" t="s">
        <v>450</v>
      </c>
      <c r="D74" t="str">
        <f t="shared" si="2"/>
        <v>Sim</v>
      </c>
    </row>
    <row r="75" spans="1:4" x14ac:dyDescent="0.25">
      <c r="A75" t="s">
        <v>343</v>
      </c>
      <c r="B75" t="s">
        <v>451</v>
      </c>
      <c r="C75" t="s">
        <v>451</v>
      </c>
      <c r="D75" t="str">
        <f t="shared" si="2"/>
        <v>Sim</v>
      </c>
    </row>
    <row r="76" spans="1:4" x14ac:dyDescent="0.25">
      <c r="A76" t="s">
        <v>70</v>
      </c>
      <c r="B76" t="s">
        <v>452</v>
      </c>
      <c r="C76" t="s">
        <v>452</v>
      </c>
      <c r="D76" t="str">
        <f>IF(B76=C76, "Sim", "Não")</f>
        <v>Sim</v>
      </c>
    </row>
    <row r="77" spans="1:4" x14ac:dyDescent="0.25">
      <c r="A77" t="s">
        <v>70</v>
      </c>
      <c r="B77" t="s">
        <v>453</v>
      </c>
      <c r="C77" t="s">
        <v>1635</v>
      </c>
      <c r="D77" t="str">
        <f t="shared" si="2"/>
        <v>Não</v>
      </c>
    </row>
    <row r="78" spans="1:4" x14ac:dyDescent="0.25">
      <c r="A78" t="s">
        <v>70</v>
      </c>
      <c r="B78" t="s">
        <v>454</v>
      </c>
      <c r="C78" t="s">
        <v>454</v>
      </c>
      <c r="D78" t="str">
        <f t="shared" si="2"/>
        <v>Sim</v>
      </c>
    </row>
    <row r="79" spans="1:4" x14ac:dyDescent="0.25">
      <c r="A79" t="s">
        <v>70</v>
      </c>
      <c r="B79" t="s">
        <v>455</v>
      </c>
      <c r="C79" t="s">
        <v>1771</v>
      </c>
      <c r="D79" t="str">
        <f t="shared" si="2"/>
        <v>Não</v>
      </c>
    </row>
    <row r="80" spans="1:4" x14ac:dyDescent="0.25">
      <c r="A80" t="s">
        <v>70</v>
      </c>
      <c r="B80" t="s">
        <v>456</v>
      </c>
      <c r="C80" t="s">
        <v>456</v>
      </c>
      <c r="D80" t="str">
        <f t="shared" si="2"/>
        <v>Sim</v>
      </c>
    </row>
    <row r="81" spans="1:4" x14ac:dyDescent="0.25">
      <c r="A81" t="s">
        <v>70</v>
      </c>
      <c r="B81" t="s">
        <v>457</v>
      </c>
      <c r="C81" t="s">
        <v>457</v>
      </c>
      <c r="D81" t="str">
        <f t="shared" si="2"/>
        <v>Sim</v>
      </c>
    </row>
    <row r="82" spans="1:4" x14ac:dyDescent="0.25">
      <c r="A82" t="s">
        <v>70</v>
      </c>
      <c r="B82" t="s">
        <v>458</v>
      </c>
      <c r="C82" t="s">
        <v>459</v>
      </c>
      <c r="D82" t="str">
        <f t="shared" si="2"/>
        <v>Não</v>
      </c>
    </row>
    <row r="83" spans="1:4" x14ac:dyDescent="0.25">
      <c r="A83" t="s">
        <v>70</v>
      </c>
      <c r="B83" t="s">
        <v>460</v>
      </c>
      <c r="C83" t="s">
        <v>460</v>
      </c>
      <c r="D83" t="str">
        <f>IF(B83=C83, "Sim", "Não")</f>
        <v>Sim</v>
      </c>
    </row>
    <row r="84" spans="1:4" x14ac:dyDescent="0.25">
      <c r="A84" t="s">
        <v>70</v>
      </c>
      <c r="B84" t="s">
        <v>461</v>
      </c>
      <c r="C84" t="s">
        <v>461</v>
      </c>
      <c r="D84" t="str">
        <f t="shared" si="2"/>
        <v>Sim</v>
      </c>
    </row>
    <row r="85" spans="1:4" x14ac:dyDescent="0.25">
      <c r="A85" t="s">
        <v>70</v>
      </c>
      <c r="B85" t="s">
        <v>462</v>
      </c>
      <c r="C85" t="s">
        <v>463</v>
      </c>
      <c r="D85" t="str">
        <f t="shared" si="2"/>
        <v>Não</v>
      </c>
    </row>
    <row r="86" spans="1:4" x14ac:dyDescent="0.25">
      <c r="A86" t="s">
        <v>70</v>
      </c>
      <c r="B86" t="s">
        <v>464</v>
      </c>
      <c r="C86" t="s">
        <v>464</v>
      </c>
      <c r="D86" t="str">
        <f t="shared" si="2"/>
        <v>Sim</v>
      </c>
    </row>
    <row r="87" spans="1:4" x14ac:dyDescent="0.25">
      <c r="A87" t="s">
        <v>70</v>
      </c>
      <c r="B87" s="5" t="s">
        <v>465</v>
      </c>
      <c r="C87" s="5" t="s">
        <v>465</v>
      </c>
      <c r="D87" t="str">
        <f t="shared" si="2"/>
        <v>Sim</v>
      </c>
    </row>
    <row r="88" spans="1:4" x14ac:dyDescent="0.25">
      <c r="A88" t="s">
        <v>70</v>
      </c>
      <c r="B88" t="s">
        <v>466</v>
      </c>
      <c r="C88" t="s">
        <v>466</v>
      </c>
      <c r="D88" t="str">
        <f t="shared" si="2"/>
        <v>Sim</v>
      </c>
    </row>
    <row r="89" spans="1:4" x14ac:dyDescent="0.25">
      <c r="A89" t="s">
        <v>70</v>
      </c>
      <c r="B89" t="s">
        <v>129</v>
      </c>
      <c r="C89" t="s">
        <v>129</v>
      </c>
      <c r="D89" t="str">
        <f t="shared" si="2"/>
        <v>Sim</v>
      </c>
    </row>
    <row r="90" spans="1:4" x14ac:dyDescent="0.25">
      <c r="A90" t="s">
        <v>70</v>
      </c>
      <c r="B90" t="s">
        <v>467</v>
      </c>
      <c r="C90" t="s">
        <v>467</v>
      </c>
      <c r="D90" t="str">
        <f t="shared" si="2"/>
        <v>Sim</v>
      </c>
    </row>
    <row r="91" spans="1:4" x14ac:dyDescent="0.25">
      <c r="A91" t="s">
        <v>70</v>
      </c>
      <c r="B91" t="s">
        <v>468</v>
      </c>
      <c r="C91" t="s">
        <v>468</v>
      </c>
      <c r="D91" t="str">
        <f t="shared" si="2"/>
        <v>Sim</v>
      </c>
    </row>
    <row r="92" spans="1:4" x14ac:dyDescent="0.25">
      <c r="A92" t="s">
        <v>70</v>
      </c>
      <c r="B92" t="s">
        <v>469</v>
      </c>
      <c r="C92" t="s">
        <v>470</v>
      </c>
      <c r="D92" t="str">
        <f>IF(B92=C92, "Sim", "Não")</f>
        <v>Não</v>
      </c>
    </row>
    <row r="93" spans="1:4" x14ac:dyDescent="0.25">
      <c r="A93" t="s">
        <v>347</v>
      </c>
      <c r="B93" t="s">
        <v>471</v>
      </c>
      <c r="C93" t="s">
        <v>471</v>
      </c>
      <c r="D93" t="str">
        <f>IF(B93=C93, "Sim", "Não")</f>
        <v>Sim</v>
      </c>
    </row>
    <row r="94" spans="1:4" x14ac:dyDescent="0.25">
      <c r="A94" t="s">
        <v>347</v>
      </c>
      <c r="B94" t="s">
        <v>472</v>
      </c>
      <c r="C94" t="s">
        <v>472</v>
      </c>
      <c r="D94" t="str">
        <f t="shared" si="2"/>
        <v>Sim</v>
      </c>
    </row>
    <row r="95" spans="1:4" x14ac:dyDescent="0.25">
      <c r="A95" t="s">
        <v>347</v>
      </c>
      <c r="B95" t="s">
        <v>473</v>
      </c>
      <c r="C95" t="s">
        <v>473</v>
      </c>
      <c r="D95" t="str">
        <f t="shared" si="2"/>
        <v>Sim</v>
      </c>
    </row>
    <row r="96" spans="1:4" x14ac:dyDescent="0.25">
      <c r="A96" t="s">
        <v>347</v>
      </c>
      <c r="B96" t="s">
        <v>474</v>
      </c>
      <c r="C96" t="s">
        <v>474</v>
      </c>
      <c r="D96" t="str">
        <f t="shared" si="2"/>
        <v>Sim</v>
      </c>
    </row>
    <row r="97" spans="1:4" x14ac:dyDescent="0.25">
      <c r="A97" t="s">
        <v>347</v>
      </c>
      <c r="B97" t="s">
        <v>475</v>
      </c>
      <c r="C97" t="s">
        <v>475</v>
      </c>
      <c r="D97" t="str">
        <f t="shared" si="2"/>
        <v>Sim</v>
      </c>
    </row>
    <row r="98" spans="1:4" x14ac:dyDescent="0.25">
      <c r="A98" t="s">
        <v>347</v>
      </c>
      <c r="B98" t="s">
        <v>476</v>
      </c>
      <c r="C98" t="s">
        <v>476</v>
      </c>
      <c r="D98" t="str">
        <f t="shared" si="2"/>
        <v>Sim</v>
      </c>
    </row>
    <row r="99" spans="1:4" x14ac:dyDescent="0.25">
      <c r="A99" t="s">
        <v>347</v>
      </c>
      <c r="B99" t="s">
        <v>477</v>
      </c>
      <c r="C99" t="s">
        <v>478</v>
      </c>
      <c r="D99" t="str">
        <f t="shared" si="2"/>
        <v>Não</v>
      </c>
    </row>
    <row r="100" spans="1:4" x14ac:dyDescent="0.25">
      <c r="A100" t="s">
        <v>347</v>
      </c>
      <c r="B100" t="s">
        <v>479</v>
      </c>
      <c r="C100" t="s">
        <v>479</v>
      </c>
      <c r="D100" t="str">
        <f t="shared" si="2"/>
        <v>Sim</v>
      </c>
    </row>
    <row r="101" spans="1:4" x14ac:dyDescent="0.25">
      <c r="A101" t="s">
        <v>347</v>
      </c>
      <c r="B101" t="s">
        <v>480</v>
      </c>
      <c r="C101" t="s">
        <v>480</v>
      </c>
      <c r="D101" t="str">
        <f>IF(B101=C101, "Sim", "Não")</f>
        <v>Sim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D8C8C-2C41-463C-9251-9D1347828DFA}">
  <sheetPr codeName="Planilha12"/>
  <dimension ref="A1:G100"/>
  <sheetViews>
    <sheetView topLeftCell="A23" workbookViewId="0">
      <selection activeCell="C23" sqref="C23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28" t="s">
        <v>481</v>
      </c>
      <c r="B1" s="28"/>
      <c r="C1" s="28"/>
      <c r="D1" s="28"/>
      <c r="E1" s="28"/>
      <c r="F1" s="28"/>
      <c r="G1" s="28"/>
    </row>
    <row r="2" spans="1:7" x14ac:dyDescent="0.25">
      <c r="A2" s="4" t="s">
        <v>34</v>
      </c>
      <c r="B2" s="4" t="s">
        <v>35</v>
      </c>
      <c r="C2" s="4" t="s">
        <v>36</v>
      </c>
      <c r="D2" s="4" t="s">
        <v>37</v>
      </c>
    </row>
    <row r="3" spans="1:7" x14ac:dyDescent="0.25">
      <c r="A3" t="s">
        <v>38</v>
      </c>
      <c r="B3" t="s">
        <v>63</v>
      </c>
      <c r="C3" t="s">
        <v>63</v>
      </c>
      <c r="D3" t="str">
        <f>IF(B3=C3, "Sim", "Não")</f>
        <v>Sim</v>
      </c>
      <c r="F3" s="4" t="s">
        <v>39</v>
      </c>
      <c r="G3" s="3">
        <f>COUNTIF(D3:D105,"Não")</f>
        <v>6</v>
      </c>
    </row>
    <row r="4" spans="1:7" x14ac:dyDescent="0.25">
      <c r="A4" t="s">
        <v>38</v>
      </c>
      <c r="B4" t="s">
        <v>482</v>
      </c>
      <c r="C4" t="s">
        <v>482</v>
      </c>
      <c r="D4" t="str">
        <f t="shared" ref="D4:D68" si="0">IF(B4=C4, "Sim", "Não")</f>
        <v>Sim</v>
      </c>
      <c r="F4" s="4" t="s">
        <v>40</v>
      </c>
      <c r="G4" s="3">
        <f>SUM(G7:G25)</f>
        <v>98</v>
      </c>
    </row>
    <row r="5" spans="1:7" x14ac:dyDescent="0.25">
      <c r="A5" t="s">
        <v>38</v>
      </c>
      <c r="B5" t="s">
        <v>483</v>
      </c>
      <c r="C5" t="s">
        <v>483</v>
      </c>
      <c r="D5" t="str">
        <f t="shared" si="0"/>
        <v>Sim</v>
      </c>
    </row>
    <row r="6" spans="1:7" x14ac:dyDescent="0.25">
      <c r="A6" t="s">
        <v>38</v>
      </c>
      <c r="B6" t="s">
        <v>90</v>
      </c>
      <c r="C6" t="s">
        <v>346</v>
      </c>
      <c r="D6" t="str">
        <f t="shared" si="0"/>
        <v>Não</v>
      </c>
      <c r="F6" s="6" t="s">
        <v>42</v>
      </c>
      <c r="G6" s="1"/>
    </row>
    <row r="7" spans="1:7" x14ac:dyDescent="0.25">
      <c r="A7" t="s">
        <v>38</v>
      </c>
      <c r="B7" t="s">
        <v>484</v>
      </c>
      <c r="C7" t="s">
        <v>484</v>
      </c>
      <c r="D7" t="str">
        <f t="shared" si="0"/>
        <v>Sim</v>
      </c>
      <c r="F7" s="1" t="s">
        <v>38</v>
      </c>
      <c r="G7" s="2">
        <f t="shared" ref="G7:G16" si="1">COUNTIF(A:A,F7)</f>
        <v>32</v>
      </c>
    </row>
    <row r="8" spans="1:7" x14ac:dyDescent="0.25">
      <c r="A8" t="s">
        <v>38</v>
      </c>
      <c r="B8" t="s">
        <v>72</v>
      </c>
      <c r="C8" t="s">
        <v>72</v>
      </c>
      <c r="D8" t="str">
        <f t="shared" si="0"/>
        <v>Sim</v>
      </c>
      <c r="F8" s="1" t="s">
        <v>71</v>
      </c>
      <c r="G8" s="2">
        <f t="shared" si="1"/>
        <v>2</v>
      </c>
    </row>
    <row r="9" spans="1:7" x14ac:dyDescent="0.25">
      <c r="A9" t="s">
        <v>38</v>
      </c>
      <c r="B9" t="s">
        <v>43</v>
      </c>
      <c r="C9" t="s">
        <v>43</v>
      </c>
      <c r="D9" t="str">
        <f t="shared" si="0"/>
        <v>Sim</v>
      </c>
      <c r="F9" s="1" t="s">
        <v>202</v>
      </c>
      <c r="G9" s="2">
        <f t="shared" si="1"/>
        <v>2</v>
      </c>
    </row>
    <row r="10" spans="1:7" x14ac:dyDescent="0.25">
      <c r="A10" t="s">
        <v>38</v>
      </c>
      <c r="B10" t="s">
        <v>150</v>
      </c>
      <c r="C10" t="s">
        <v>150</v>
      </c>
      <c r="D10" t="str">
        <f t="shared" si="0"/>
        <v>Sim</v>
      </c>
      <c r="F10" s="1" t="s">
        <v>45</v>
      </c>
      <c r="G10" s="2">
        <f t="shared" si="1"/>
        <v>6</v>
      </c>
    </row>
    <row r="11" spans="1:7" x14ac:dyDescent="0.25">
      <c r="A11" t="s">
        <v>38</v>
      </c>
      <c r="B11" t="s">
        <v>485</v>
      </c>
      <c r="C11" t="s">
        <v>485</v>
      </c>
      <c r="D11" t="str">
        <f t="shared" si="0"/>
        <v>Sim</v>
      </c>
      <c r="F11" s="1" t="s">
        <v>73</v>
      </c>
      <c r="G11" s="2">
        <f t="shared" si="1"/>
        <v>5</v>
      </c>
    </row>
    <row r="12" spans="1:7" x14ac:dyDescent="0.25">
      <c r="A12" t="s">
        <v>38</v>
      </c>
      <c r="B12" t="s">
        <v>486</v>
      </c>
      <c r="C12" t="s">
        <v>486</v>
      </c>
      <c r="D12" t="str">
        <f t="shared" si="0"/>
        <v>Sim</v>
      </c>
      <c r="F12" s="1" t="s">
        <v>279</v>
      </c>
      <c r="G12" s="2">
        <f t="shared" si="1"/>
        <v>13</v>
      </c>
    </row>
    <row r="13" spans="1:7" x14ac:dyDescent="0.25">
      <c r="A13" t="s">
        <v>38</v>
      </c>
      <c r="B13" t="s">
        <v>487</v>
      </c>
      <c r="C13" t="s">
        <v>76</v>
      </c>
      <c r="D13" t="str">
        <f t="shared" si="0"/>
        <v>Não</v>
      </c>
      <c r="F13" s="1" t="s">
        <v>488</v>
      </c>
      <c r="G13" s="2">
        <f t="shared" si="1"/>
        <v>7</v>
      </c>
    </row>
    <row r="14" spans="1:7" x14ac:dyDescent="0.25">
      <c r="A14" t="s">
        <v>38</v>
      </c>
      <c r="B14" t="s">
        <v>489</v>
      </c>
      <c r="C14" t="s">
        <v>489</v>
      </c>
      <c r="D14" t="str">
        <f t="shared" si="0"/>
        <v>Sim</v>
      </c>
      <c r="F14" s="1" t="s">
        <v>44</v>
      </c>
      <c r="G14" s="2">
        <f t="shared" si="1"/>
        <v>25</v>
      </c>
    </row>
    <row r="15" spans="1:7" x14ac:dyDescent="0.25">
      <c r="A15" t="s">
        <v>38</v>
      </c>
      <c r="B15" t="s">
        <v>490</v>
      </c>
      <c r="C15" t="s">
        <v>490</v>
      </c>
      <c r="D15" t="str">
        <f t="shared" si="0"/>
        <v>Sim</v>
      </c>
      <c r="F15" s="1" t="s">
        <v>491</v>
      </c>
      <c r="G15" s="2">
        <f t="shared" si="1"/>
        <v>2</v>
      </c>
    </row>
    <row r="16" spans="1:7" x14ac:dyDescent="0.25">
      <c r="A16" t="s">
        <v>38</v>
      </c>
      <c r="B16" t="s">
        <v>492</v>
      </c>
      <c r="C16" t="s">
        <v>492</v>
      </c>
      <c r="D16" t="str">
        <f t="shared" si="0"/>
        <v>Sim</v>
      </c>
      <c r="F16" s="1" t="s">
        <v>493</v>
      </c>
      <c r="G16" s="2">
        <f t="shared" si="1"/>
        <v>4</v>
      </c>
    </row>
    <row r="17" spans="1:4" x14ac:dyDescent="0.25">
      <c r="A17" t="s">
        <v>38</v>
      </c>
      <c r="B17" t="s">
        <v>280</v>
      </c>
      <c r="C17" t="s">
        <v>280</v>
      </c>
      <c r="D17" t="str">
        <f t="shared" si="0"/>
        <v>Sim</v>
      </c>
    </row>
    <row r="18" spans="1:4" x14ac:dyDescent="0.25">
      <c r="A18" t="s">
        <v>38</v>
      </c>
      <c r="B18" t="s">
        <v>494</v>
      </c>
      <c r="C18" t="s">
        <v>494</v>
      </c>
      <c r="D18" t="str">
        <f t="shared" si="0"/>
        <v>Sim</v>
      </c>
    </row>
    <row r="19" spans="1:4" x14ac:dyDescent="0.25">
      <c r="A19" t="s">
        <v>38</v>
      </c>
      <c r="B19" t="s">
        <v>495</v>
      </c>
      <c r="C19" t="s">
        <v>495</v>
      </c>
      <c r="D19" t="str">
        <f t="shared" si="0"/>
        <v>Sim</v>
      </c>
    </row>
    <row r="20" spans="1:4" x14ac:dyDescent="0.25">
      <c r="A20" t="s">
        <v>38</v>
      </c>
      <c r="B20" t="s">
        <v>89</v>
      </c>
      <c r="C20" t="s">
        <v>1640</v>
      </c>
      <c r="D20" t="str">
        <f t="shared" si="0"/>
        <v>Não</v>
      </c>
    </row>
    <row r="21" spans="1:4" x14ac:dyDescent="0.25">
      <c r="A21" t="s">
        <v>38</v>
      </c>
      <c r="B21" t="s">
        <v>91</v>
      </c>
      <c r="C21" t="s">
        <v>1966</v>
      </c>
      <c r="D21" t="str">
        <f t="shared" si="0"/>
        <v>Não</v>
      </c>
    </row>
    <row r="22" spans="1:4" x14ac:dyDescent="0.25">
      <c r="A22" t="s">
        <v>38</v>
      </c>
      <c r="B22" t="s">
        <v>91</v>
      </c>
      <c r="C22" t="s">
        <v>91</v>
      </c>
      <c r="D22" t="str">
        <f t="shared" si="0"/>
        <v>Sim</v>
      </c>
    </row>
    <row r="23" spans="1:4" x14ac:dyDescent="0.25">
      <c r="A23" t="s">
        <v>38</v>
      </c>
      <c r="B23" t="s">
        <v>91</v>
      </c>
      <c r="C23" t="s">
        <v>91</v>
      </c>
      <c r="D23" t="str">
        <f t="shared" si="0"/>
        <v>Sim</v>
      </c>
    </row>
    <row r="24" spans="1:4" x14ac:dyDescent="0.25">
      <c r="A24" t="s">
        <v>38</v>
      </c>
      <c r="B24" t="s">
        <v>91</v>
      </c>
      <c r="C24" t="s">
        <v>91</v>
      </c>
      <c r="D24" t="str">
        <f t="shared" si="0"/>
        <v>Sim</v>
      </c>
    </row>
    <row r="25" spans="1:4" x14ac:dyDescent="0.25">
      <c r="A25" t="s">
        <v>38</v>
      </c>
      <c r="B25" t="s">
        <v>91</v>
      </c>
      <c r="C25" t="s">
        <v>91</v>
      </c>
      <c r="D25" t="str">
        <f t="shared" si="0"/>
        <v>Sim</v>
      </c>
    </row>
    <row r="26" spans="1:4" x14ac:dyDescent="0.25">
      <c r="A26" t="s">
        <v>38</v>
      </c>
      <c r="B26" t="s">
        <v>91</v>
      </c>
      <c r="C26" t="s">
        <v>91</v>
      </c>
      <c r="D26" t="str">
        <f t="shared" si="0"/>
        <v>Sim</v>
      </c>
    </row>
    <row r="27" spans="1:4" x14ac:dyDescent="0.25">
      <c r="A27" t="s">
        <v>38</v>
      </c>
      <c r="B27" t="s">
        <v>91</v>
      </c>
      <c r="C27" t="s">
        <v>91</v>
      </c>
      <c r="D27" t="str">
        <f t="shared" si="0"/>
        <v>Sim</v>
      </c>
    </row>
    <row r="28" spans="1:4" x14ac:dyDescent="0.25">
      <c r="A28" t="s">
        <v>38</v>
      </c>
      <c r="B28" t="s">
        <v>91</v>
      </c>
      <c r="C28" t="s">
        <v>91</v>
      </c>
      <c r="D28" t="str">
        <f t="shared" si="0"/>
        <v>Sim</v>
      </c>
    </row>
    <row r="29" spans="1:4" x14ac:dyDescent="0.25">
      <c r="A29" t="s">
        <v>38</v>
      </c>
      <c r="B29" t="s">
        <v>89</v>
      </c>
      <c r="C29" t="s">
        <v>89</v>
      </c>
      <c r="D29" t="str">
        <f t="shared" si="0"/>
        <v>Sim</v>
      </c>
    </row>
    <row r="30" spans="1:4" x14ac:dyDescent="0.25">
      <c r="A30" t="s">
        <v>38</v>
      </c>
      <c r="B30" t="s">
        <v>89</v>
      </c>
      <c r="C30" t="s">
        <v>89</v>
      </c>
      <c r="D30" t="str">
        <f t="shared" si="0"/>
        <v>Sim</v>
      </c>
    </row>
    <row r="31" spans="1:4" x14ac:dyDescent="0.25">
      <c r="A31" t="s">
        <v>38</v>
      </c>
      <c r="B31" t="s">
        <v>89</v>
      </c>
      <c r="C31" t="s">
        <v>89</v>
      </c>
      <c r="D31" t="str">
        <f t="shared" si="0"/>
        <v>Sim</v>
      </c>
    </row>
    <row r="32" spans="1:4" x14ac:dyDescent="0.25">
      <c r="A32" t="s">
        <v>38</v>
      </c>
      <c r="B32" t="s">
        <v>90</v>
      </c>
      <c r="C32" t="s">
        <v>90</v>
      </c>
      <c r="D32" t="str">
        <f t="shared" si="0"/>
        <v>Sim</v>
      </c>
    </row>
    <row r="33" spans="1:4" x14ac:dyDescent="0.25">
      <c r="A33" t="s">
        <v>38</v>
      </c>
      <c r="B33" t="s">
        <v>90</v>
      </c>
      <c r="C33" t="s">
        <v>90</v>
      </c>
      <c r="D33" t="str">
        <f t="shared" si="0"/>
        <v>Sim</v>
      </c>
    </row>
    <row r="34" spans="1:4" x14ac:dyDescent="0.25">
      <c r="A34" t="s">
        <v>38</v>
      </c>
      <c r="B34" t="s">
        <v>90</v>
      </c>
      <c r="C34" t="s">
        <v>90</v>
      </c>
      <c r="D34" t="str">
        <f t="shared" si="0"/>
        <v>Sim</v>
      </c>
    </row>
    <row r="35" spans="1:4" x14ac:dyDescent="0.25">
      <c r="A35" t="s">
        <v>44</v>
      </c>
      <c r="B35" t="s">
        <v>496</v>
      </c>
      <c r="C35" t="s">
        <v>496</v>
      </c>
      <c r="D35" t="str">
        <f t="shared" si="0"/>
        <v>Sim</v>
      </c>
    </row>
    <row r="36" spans="1:4" x14ac:dyDescent="0.25">
      <c r="A36" t="s">
        <v>44</v>
      </c>
      <c r="B36" t="s">
        <v>497</v>
      </c>
      <c r="C36" t="s">
        <v>497</v>
      </c>
      <c r="D36" t="str">
        <f t="shared" si="0"/>
        <v>Sim</v>
      </c>
    </row>
    <row r="37" spans="1:4" x14ac:dyDescent="0.25">
      <c r="A37" t="s">
        <v>44</v>
      </c>
      <c r="B37" t="s">
        <v>498</v>
      </c>
      <c r="C37" t="s">
        <v>498</v>
      </c>
      <c r="D37" t="str">
        <f t="shared" si="0"/>
        <v>Sim</v>
      </c>
    </row>
    <row r="38" spans="1:4" x14ac:dyDescent="0.25">
      <c r="A38" t="s">
        <v>44</v>
      </c>
      <c r="B38" t="s">
        <v>499</v>
      </c>
      <c r="C38" t="s">
        <v>499</v>
      </c>
      <c r="D38" t="str">
        <f t="shared" si="0"/>
        <v>Sim</v>
      </c>
    </row>
    <row r="39" spans="1:4" x14ac:dyDescent="0.25">
      <c r="A39" t="s">
        <v>44</v>
      </c>
      <c r="B39" t="s">
        <v>500</v>
      </c>
      <c r="C39" t="s">
        <v>500</v>
      </c>
      <c r="D39" t="str">
        <f t="shared" si="0"/>
        <v>Sim</v>
      </c>
    </row>
    <row r="40" spans="1:4" x14ac:dyDescent="0.25">
      <c r="A40" t="s">
        <v>44</v>
      </c>
      <c r="B40" t="s">
        <v>501</v>
      </c>
      <c r="C40" t="s">
        <v>501</v>
      </c>
      <c r="D40" t="str">
        <f t="shared" si="0"/>
        <v>Sim</v>
      </c>
    </row>
    <row r="41" spans="1:4" x14ac:dyDescent="0.25">
      <c r="A41" t="s">
        <v>44</v>
      </c>
      <c r="B41" t="s">
        <v>293</v>
      </c>
      <c r="C41" t="s">
        <v>293</v>
      </c>
      <c r="D41" t="str">
        <f t="shared" si="0"/>
        <v>Sim</v>
      </c>
    </row>
    <row r="42" spans="1:4" x14ac:dyDescent="0.25">
      <c r="A42" t="s">
        <v>44</v>
      </c>
      <c r="B42" t="s">
        <v>431</v>
      </c>
      <c r="C42" t="s">
        <v>431</v>
      </c>
      <c r="D42" t="str">
        <f t="shared" si="0"/>
        <v>Sim</v>
      </c>
    </row>
    <row r="43" spans="1:4" x14ac:dyDescent="0.25">
      <c r="A43" t="s">
        <v>44</v>
      </c>
      <c r="B43" t="s">
        <v>292</v>
      </c>
      <c r="C43" t="s">
        <v>292</v>
      </c>
      <c r="D43" t="str">
        <f t="shared" si="0"/>
        <v>Sim</v>
      </c>
    </row>
    <row r="44" spans="1:4" x14ac:dyDescent="0.25">
      <c r="A44" t="s">
        <v>44</v>
      </c>
      <c r="B44" t="s">
        <v>502</v>
      </c>
      <c r="C44" t="s">
        <v>502</v>
      </c>
      <c r="D44" t="str">
        <f t="shared" si="0"/>
        <v>Sim</v>
      </c>
    </row>
    <row r="45" spans="1:4" x14ac:dyDescent="0.25">
      <c r="A45" t="s">
        <v>44</v>
      </c>
      <c r="B45" t="s">
        <v>503</v>
      </c>
      <c r="C45" t="s">
        <v>503</v>
      </c>
      <c r="D45" t="str">
        <f t="shared" si="0"/>
        <v>Sim</v>
      </c>
    </row>
    <row r="46" spans="1:4" x14ac:dyDescent="0.25">
      <c r="A46" t="s">
        <v>44</v>
      </c>
      <c r="B46" t="s">
        <v>504</v>
      </c>
      <c r="C46" t="s">
        <v>504</v>
      </c>
      <c r="D46" t="str">
        <f t="shared" si="0"/>
        <v>Sim</v>
      </c>
    </row>
    <row r="47" spans="1:4" x14ac:dyDescent="0.25">
      <c r="A47" t="s">
        <v>44</v>
      </c>
      <c r="B47" t="s">
        <v>505</v>
      </c>
      <c r="C47" t="s">
        <v>505</v>
      </c>
      <c r="D47" t="str">
        <f t="shared" si="0"/>
        <v>Sim</v>
      </c>
    </row>
    <row r="48" spans="1:4" x14ac:dyDescent="0.25">
      <c r="A48" t="s">
        <v>44</v>
      </c>
      <c r="B48" t="s">
        <v>506</v>
      </c>
      <c r="C48" t="s">
        <v>506</v>
      </c>
      <c r="D48" t="str">
        <f t="shared" si="0"/>
        <v>Sim</v>
      </c>
    </row>
    <row r="49" spans="1:4" x14ac:dyDescent="0.25">
      <c r="A49" t="s">
        <v>44</v>
      </c>
      <c r="B49" t="s">
        <v>507</v>
      </c>
      <c r="C49" t="s">
        <v>507</v>
      </c>
      <c r="D49" t="str">
        <f t="shared" si="0"/>
        <v>Sim</v>
      </c>
    </row>
    <row r="50" spans="1:4" x14ac:dyDescent="0.25">
      <c r="A50" t="s">
        <v>44</v>
      </c>
      <c r="B50" t="s">
        <v>296</v>
      </c>
      <c r="C50" t="s">
        <v>296</v>
      </c>
      <c r="D50" t="str">
        <f t="shared" si="0"/>
        <v>Sim</v>
      </c>
    </row>
    <row r="51" spans="1:4" x14ac:dyDescent="0.25">
      <c r="A51" t="s">
        <v>44</v>
      </c>
      <c r="B51" t="s">
        <v>508</v>
      </c>
      <c r="C51" t="s">
        <v>508</v>
      </c>
      <c r="D51" t="str">
        <f t="shared" si="0"/>
        <v>Sim</v>
      </c>
    </row>
    <row r="52" spans="1:4" x14ac:dyDescent="0.25">
      <c r="A52" t="s">
        <v>44</v>
      </c>
      <c r="B52" t="s">
        <v>509</v>
      </c>
      <c r="C52" t="s">
        <v>509</v>
      </c>
      <c r="D52" t="str">
        <f t="shared" si="0"/>
        <v>Sim</v>
      </c>
    </row>
    <row r="53" spans="1:4" x14ac:dyDescent="0.25">
      <c r="A53" t="s">
        <v>44</v>
      </c>
      <c r="B53" t="s">
        <v>510</v>
      </c>
      <c r="C53" t="s">
        <v>510</v>
      </c>
      <c r="D53" t="str">
        <f t="shared" si="0"/>
        <v>Sim</v>
      </c>
    </row>
    <row r="54" spans="1:4" x14ac:dyDescent="0.25">
      <c r="A54" t="s">
        <v>44</v>
      </c>
      <c r="B54" t="s">
        <v>511</v>
      </c>
      <c r="C54" t="s">
        <v>511</v>
      </c>
      <c r="D54" t="str">
        <f t="shared" si="0"/>
        <v>Sim</v>
      </c>
    </row>
    <row r="55" spans="1:4" x14ac:dyDescent="0.25">
      <c r="A55" t="s">
        <v>44</v>
      </c>
      <c r="B55" t="s">
        <v>512</v>
      </c>
      <c r="C55" t="s">
        <v>512</v>
      </c>
      <c r="D55" t="str">
        <f t="shared" si="0"/>
        <v>Sim</v>
      </c>
    </row>
    <row r="56" spans="1:4" x14ac:dyDescent="0.25">
      <c r="A56" t="s">
        <v>44</v>
      </c>
      <c r="B56" t="s">
        <v>513</v>
      </c>
      <c r="C56" t="s">
        <v>513</v>
      </c>
      <c r="D56" t="str">
        <f t="shared" si="0"/>
        <v>Sim</v>
      </c>
    </row>
    <row r="57" spans="1:4" x14ac:dyDescent="0.25">
      <c r="A57" t="s">
        <v>44</v>
      </c>
      <c r="B57" t="s">
        <v>294</v>
      </c>
      <c r="C57" t="s">
        <v>294</v>
      </c>
      <c r="D57" t="str">
        <f t="shared" si="0"/>
        <v>Sim</v>
      </c>
    </row>
    <row r="58" spans="1:4" x14ac:dyDescent="0.25">
      <c r="A58" t="s">
        <v>44</v>
      </c>
      <c r="B58" t="s">
        <v>514</v>
      </c>
      <c r="C58" t="s">
        <v>514</v>
      </c>
      <c r="D58" t="str">
        <f t="shared" si="0"/>
        <v>Sim</v>
      </c>
    </row>
    <row r="59" spans="1:4" x14ac:dyDescent="0.25">
      <c r="A59" t="s">
        <v>44</v>
      </c>
      <c r="B59" t="s">
        <v>515</v>
      </c>
      <c r="C59" t="s">
        <v>515</v>
      </c>
      <c r="D59" t="str">
        <f>IF(B59=C59, "Sim", "Não")</f>
        <v>Sim</v>
      </c>
    </row>
    <row r="60" spans="1:4" x14ac:dyDescent="0.25">
      <c r="A60" t="s">
        <v>491</v>
      </c>
      <c r="B60" t="s">
        <v>516</v>
      </c>
      <c r="C60" t="s">
        <v>516</v>
      </c>
      <c r="D60" t="str">
        <f t="shared" si="0"/>
        <v>Sim</v>
      </c>
    </row>
    <row r="61" spans="1:4" x14ac:dyDescent="0.25">
      <c r="A61" t="s">
        <v>491</v>
      </c>
      <c r="B61" t="s">
        <v>517</v>
      </c>
      <c r="C61" t="s">
        <v>517</v>
      </c>
      <c r="D61" t="str">
        <f>IF(B61=C61, "Sim", "Não")</f>
        <v>Sim</v>
      </c>
    </row>
    <row r="62" spans="1:4" x14ac:dyDescent="0.25">
      <c r="A62" t="s">
        <v>202</v>
      </c>
      <c r="B62" t="s">
        <v>518</v>
      </c>
      <c r="C62" t="s">
        <v>518</v>
      </c>
      <c r="D62" t="str">
        <f t="shared" si="0"/>
        <v>Sim</v>
      </c>
    </row>
    <row r="63" spans="1:4" x14ac:dyDescent="0.25">
      <c r="A63" t="s">
        <v>202</v>
      </c>
      <c r="B63" t="s">
        <v>519</v>
      </c>
      <c r="C63" t="s">
        <v>519</v>
      </c>
      <c r="D63" t="str">
        <f t="shared" si="0"/>
        <v>Sim</v>
      </c>
    </row>
    <row r="64" spans="1:4" x14ac:dyDescent="0.25">
      <c r="A64" t="s">
        <v>45</v>
      </c>
      <c r="B64" t="s">
        <v>520</v>
      </c>
      <c r="C64" t="s">
        <v>520</v>
      </c>
      <c r="D64" t="str">
        <f t="shared" si="0"/>
        <v>Sim</v>
      </c>
    </row>
    <row r="65" spans="1:4" x14ac:dyDescent="0.25">
      <c r="A65" t="s">
        <v>45</v>
      </c>
      <c r="B65" t="s">
        <v>521</v>
      </c>
      <c r="C65" t="s">
        <v>521</v>
      </c>
      <c r="D65" t="str">
        <f t="shared" si="0"/>
        <v>Sim</v>
      </c>
    </row>
    <row r="66" spans="1:4" x14ac:dyDescent="0.25">
      <c r="A66" t="s">
        <v>45</v>
      </c>
      <c r="B66" t="s">
        <v>522</v>
      </c>
      <c r="C66" t="s">
        <v>522</v>
      </c>
      <c r="D66" t="str">
        <f t="shared" si="0"/>
        <v>Sim</v>
      </c>
    </row>
    <row r="67" spans="1:4" x14ac:dyDescent="0.25">
      <c r="A67" t="s">
        <v>45</v>
      </c>
      <c r="B67" t="s">
        <v>523</v>
      </c>
      <c r="C67" t="s">
        <v>523</v>
      </c>
      <c r="D67" t="str">
        <f t="shared" si="0"/>
        <v>Sim</v>
      </c>
    </row>
    <row r="68" spans="1:4" x14ac:dyDescent="0.25">
      <c r="A68" t="s">
        <v>45</v>
      </c>
      <c r="B68" t="s">
        <v>524</v>
      </c>
      <c r="C68" t="s">
        <v>524</v>
      </c>
      <c r="D68" t="str">
        <f t="shared" si="0"/>
        <v>Sim</v>
      </c>
    </row>
    <row r="69" spans="1:4" x14ac:dyDescent="0.25">
      <c r="A69" t="s">
        <v>45</v>
      </c>
      <c r="B69" t="s">
        <v>525</v>
      </c>
      <c r="C69" t="s">
        <v>525</v>
      </c>
      <c r="D69" t="str">
        <f t="shared" ref="D69:D100" si="2">IF(B69=C69, "Sim", "Não")</f>
        <v>Sim</v>
      </c>
    </row>
    <row r="70" spans="1:4" x14ac:dyDescent="0.25">
      <c r="A70" t="s">
        <v>73</v>
      </c>
      <c r="B70" t="s">
        <v>526</v>
      </c>
      <c r="C70" t="s">
        <v>526</v>
      </c>
      <c r="D70" t="str">
        <f t="shared" si="2"/>
        <v>Sim</v>
      </c>
    </row>
    <row r="71" spans="1:4" x14ac:dyDescent="0.25">
      <c r="A71" t="s">
        <v>73</v>
      </c>
      <c r="B71" t="s">
        <v>527</v>
      </c>
      <c r="C71" t="s">
        <v>527</v>
      </c>
      <c r="D71" t="str">
        <f t="shared" si="2"/>
        <v>Sim</v>
      </c>
    </row>
    <row r="72" spans="1:4" x14ac:dyDescent="0.25">
      <c r="A72" t="s">
        <v>73</v>
      </c>
      <c r="B72" t="s">
        <v>528</v>
      </c>
      <c r="C72" t="s">
        <v>528</v>
      </c>
      <c r="D72" t="str">
        <f t="shared" si="2"/>
        <v>Sim</v>
      </c>
    </row>
    <row r="73" spans="1:4" x14ac:dyDescent="0.25">
      <c r="A73" t="s">
        <v>73</v>
      </c>
      <c r="B73" t="s">
        <v>529</v>
      </c>
      <c r="C73" t="s">
        <v>529</v>
      </c>
      <c r="D73" t="str">
        <f t="shared" si="2"/>
        <v>Sim</v>
      </c>
    </row>
    <row r="74" spans="1:4" x14ac:dyDescent="0.25">
      <c r="A74" t="s">
        <v>73</v>
      </c>
      <c r="B74" t="s">
        <v>530</v>
      </c>
      <c r="C74" t="s">
        <v>530</v>
      </c>
      <c r="D74" t="str">
        <f t="shared" si="2"/>
        <v>Sim</v>
      </c>
    </row>
    <row r="75" spans="1:4" x14ac:dyDescent="0.25">
      <c r="A75" t="s">
        <v>488</v>
      </c>
      <c r="B75" t="s">
        <v>388</v>
      </c>
      <c r="C75" t="s">
        <v>388</v>
      </c>
      <c r="D75" t="str">
        <f t="shared" si="2"/>
        <v>Sim</v>
      </c>
    </row>
    <row r="76" spans="1:4" x14ac:dyDescent="0.25">
      <c r="A76" t="s">
        <v>488</v>
      </c>
      <c r="B76" t="s">
        <v>531</v>
      </c>
      <c r="C76" t="s">
        <v>531</v>
      </c>
      <c r="D76" t="str">
        <f t="shared" si="2"/>
        <v>Sim</v>
      </c>
    </row>
    <row r="77" spans="1:4" x14ac:dyDescent="0.25">
      <c r="A77" t="s">
        <v>488</v>
      </c>
      <c r="B77" t="s">
        <v>1634</v>
      </c>
      <c r="C77" t="s">
        <v>1634</v>
      </c>
      <c r="D77" t="str">
        <f t="shared" si="2"/>
        <v>Sim</v>
      </c>
    </row>
    <row r="78" spans="1:4" x14ac:dyDescent="0.25">
      <c r="A78" t="s">
        <v>488</v>
      </c>
      <c r="B78" t="s">
        <v>532</v>
      </c>
      <c r="C78" t="s">
        <v>532</v>
      </c>
      <c r="D78" t="str">
        <f t="shared" si="2"/>
        <v>Sim</v>
      </c>
    </row>
    <row r="79" spans="1:4" x14ac:dyDescent="0.25">
      <c r="A79" t="s">
        <v>488</v>
      </c>
      <c r="B79" t="s">
        <v>533</v>
      </c>
      <c r="C79" t="s">
        <v>534</v>
      </c>
      <c r="D79" t="str">
        <f t="shared" si="2"/>
        <v>Não</v>
      </c>
    </row>
    <row r="80" spans="1:4" x14ac:dyDescent="0.25">
      <c r="A80" t="s">
        <v>488</v>
      </c>
      <c r="B80" s="5" t="s">
        <v>1708</v>
      </c>
      <c r="C80" s="5" t="s">
        <v>1708</v>
      </c>
      <c r="D80" t="str">
        <f t="shared" si="2"/>
        <v>Sim</v>
      </c>
    </row>
    <row r="81" spans="1:4" x14ac:dyDescent="0.25">
      <c r="A81" t="s">
        <v>488</v>
      </c>
      <c r="B81" t="s">
        <v>535</v>
      </c>
      <c r="C81" t="s">
        <v>535</v>
      </c>
      <c r="D81" t="str">
        <f t="shared" si="2"/>
        <v>Sim</v>
      </c>
    </row>
    <row r="82" spans="1:4" x14ac:dyDescent="0.25">
      <c r="A82" t="s">
        <v>279</v>
      </c>
      <c r="B82" t="s">
        <v>536</v>
      </c>
      <c r="C82" t="s">
        <v>536</v>
      </c>
      <c r="D82" t="str">
        <f t="shared" si="2"/>
        <v>Sim</v>
      </c>
    </row>
    <row r="83" spans="1:4" x14ac:dyDescent="0.25">
      <c r="A83" t="s">
        <v>279</v>
      </c>
      <c r="B83" t="s">
        <v>124</v>
      </c>
      <c r="C83" t="s">
        <v>124</v>
      </c>
      <c r="D83" t="str">
        <f t="shared" si="2"/>
        <v>Sim</v>
      </c>
    </row>
    <row r="84" spans="1:4" x14ac:dyDescent="0.25">
      <c r="A84" t="s">
        <v>279</v>
      </c>
      <c r="B84" t="s">
        <v>537</v>
      </c>
      <c r="C84" t="s">
        <v>537</v>
      </c>
      <c r="D84" t="str">
        <f t="shared" si="2"/>
        <v>Sim</v>
      </c>
    </row>
    <row r="85" spans="1:4" x14ac:dyDescent="0.25">
      <c r="A85" t="s">
        <v>279</v>
      </c>
      <c r="B85" t="s">
        <v>538</v>
      </c>
      <c r="C85" t="s">
        <v>538</v>
      </c>
      <c r="D85" t="str">
        <f t="shared" si="2"/>
        <v>Sim</v>
      </c>
    </row>
    <row r="86" spans="1:4" x14ac:dyDescent="0.25">
      <c r="A86" t="s">
        <v>279</v>
      </c>
      <c r="B86" t="s">
        <v>539</v>
      </c>
      <c r="C86" t="s">
        <v>539</v>
      </c>
      <c r="D86" t="str">
        <f t="shared" si="2"/>
        <v>Sim</v>
      </c>
    </row>
    <row r="87" spans="1:4" x14ac:dyDescent="0.25">
      <c r="A87" t="s">
        <v>279</v>
      </c>
      <c r="B87" t="s">
        <v>122</v>
      </c>
      <c r="C87" t="s">
        <v>122</v>
      </c>
      <c r="D87" t="str">
        <f t="shared" si="2"/>
        <v>Sim</v>
      </c>
    </row>
    <row r="88" spans="1:4" x14ac:dyDescent="0.25">
      <c r="A88" t="s">
        <v>279</v>
      </c>
      <c r="B88" t="s">
        <v>540</v>
      </c>
      <c r="C88" t="s">
        <v>540</v>
      </c>
      <c r="D88" t="str">
        <f t="shared" si="2"/>
        <v>Sim</v>
      </c>
    </row>
    <row r="89" spans="1:4" x14ac:dyDescent="0.25">
      <c r="A89" t="s">
        <v>279</v>
      </c>
      <c r="B89" t="s">
        <v>382</v>
      </c>
      <c r="C89" t="s">
        <v>382</v>
      </c>
      <c r="D89" t="str">
        <f t="shared" si="2"/>
        <v>Sim</v>
      </c>
    </row>
    <row r="90" spans="1:4" x14ac:dyDescent="0.25">
      <c r="A90" t="s">
        <v>279</v>
      </c>
      <c r="B90" t="s">
        <v>541</v>
      </c>
      <c r="C90" t="s">
        <v>541</v>
      </c>
      <c r="D90" t="str">
        <f t="shared" si="2"/>
        <v>Sim</v>
      </c>
    </row>
    <row r="91" spans="1:4" x14ac:dyDescent="0.25">
      <c r="A91" t="s">
        <v>279</v>
      </c>
      <c r="B91" t="s">
        <v>542</v>
      </c>
      <c r="C91" t="s">
        <v>542</v>
      </c>
      <c r="D91" t="str">
        <f t="shared" si="2"/>
        <v>Sim</v>
      </c>
    </row>
    <row r="92" spans="1:4" x14ac:dyDescent="0.25">
      <c r="A92" t="s">
        <v>279</v>
      </c>
      <c r="B92" t="s">
        <v>543</v>
      </c>
      <c r="C92" t="s">
        <v>1707</v>
      </c>
      <c r="D92" t="str">
        <f t="shared" si="2"/>
        <v>Não</v>
      </c>
    </row>
    <row r="93" spans="1:4" x14ac:dyDescent="0.25">
      <c r="A93" t="s">
        <v>279</v>
      </c>
      <c r="B93" t="s">
        <v>544</v>
      </c>
      <c r="C93" t="s">
        <v>544</v>
      </c>
      <c r="D93" t="str">
        <f t="shared" si="2"/>
        <v>Sim</v>
      </c>
    </row>
    <row r="94" spans="1:4" x14ac:dyDescent="0.25">
      <c r="A94" t="s">
        <v>279</v>
      </c>
      <c r="B94" t="s">
        <v>545</v>
      </c>
      <c r="C94" t="s">
        <v>545</v>
      </c>
      <c r="D94" t="str">
        <f t="shared" si="2"/>
        <v>Sim</v>
      </c>
    </row>
    <row r="95" spans="1:4" x14ac:dyDescent="0.25">
      <c r="A95" t="s">
        <v>71</v>
      </c>
      <c r="B95" t="s">
        <v>546</v>
      </c>
      <c r="C95" t="s">
        <v>546</v>
      </c>
      <c r="D95" t="str">
        <f t="shared" si="2"/>
        <v>Sim</v>
      </c>
    </row>
    <row r="96" spans="1:4" x14ac:dyDescent="0.25">
      <c r="A96" t="s">
        <v>71</v>
      </c>
      <c r="B96" t="s">
        <v>180</v>
      </c>
      <c r="C96" t="s">
        <v>180</v>
      </c>
      <c r="D96" t="str">
        <f t="shared" si="2"/>
        <v>Sim</v>
      </c>
    </row>
    <row r="97" spans="1:4" x14ac:dyDescent="0.25">
      <c r="A97" t="s">
        <v>493</v>
      </c>
      <c r="B97" t="s">
        <v>547</v>
      </c>
      <c r="C97" t="s">
        <v>547</v>
      </c>
      <c r="D97" t="str">
        <f t="shared" si="2"/>
        <v>Sim</v>
      </c>
    </row>
    <row r="98" spans="1:4" x14ac:dyDescent="0.25">
      <c r="A98" t="s">
        <v>493</v>
      </c>
      <c r="B98" t="s">
        <v>131</v>
      </c>
      <c r="C98" t="s">
        <v>131</v>
      </c>
      <c r="D98" t="str">
        <f t="shared" si="2"/>
        <v>Sim</v>
      </c>
    </row>
    <row r="99" spans="1:4" x14ac:dyDescent="0.25">
      <c r="A99" t="s">
        <v>493</v>
      </c>
      <c r="B99" t="s">
        <v>130</v>
      </c>
      <c r="C99" t="s">
        <v>130</v>
      </c>
      <c r="D99" t="str">
        <f t="shared" si="2"/>
        <v>Sim</v>
      </c>
    </row>
    <row r="100" spans="1:4" x14ac:dyDescent="0.25">
      <c r="A100" t="s">
        <v>493</v>
      </c>
      <c r="B100" t="s">
        <v>548</v>
      </c>
      <c r="C100" t="s">
        <v>548</v>
      </c>
      <c r="D100" t="str">
        <f t="shared" si="2"/>
        <v>Sim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08ED5-AC05-4B8F-8403-9806AB6A6B77}">
  <sheetPr codeName="Planilha13"/>
  <dimension ref="A1:G101"/>
  <sheetViews>
    <sheetView topLeftCell="A53" workbookViewId="0">
      <selection activeCell="C80" sqref="C80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28" t="s">
        <v>549</v>
      </c>
      <c r="B1" s="28"/>
      <c r="C1" s="28"/>
      <c r="D1" s="28"/>
      <c r="E1" s="28"/>
      <c r="F1" s="28"/>
      <c r="G1" s="28"/>
    </row>
    <row r="2" spans="1:7" x14ac:dyDescent="0.25">
      <c r="A2" s="4" t="s">
        <v>34</v>
      </c>
      <c r="B2" s="4" t="s">
        <v>35</v>
      </c>
      <c r="C2" s="4" t="s">
        <v>36</v>
      </c>
      <c r="D2" s="4" t="s">
        <v>37</v>
      </c>
    </row>
    <row r="3" spans="1:7" x14ac:dyDescent="0.25">
      <c r="A3" t="s">
        <v>38</v>
      </c>
      <c r="B3" t="s">
        <v>336</v>
      </c>
      <c r="C3" t="s">
        <v>336</v>
      </c>
      <c r="D3" t="str">
        <f>IF(B3=C3, "Sim", "Não")</f>
        <v>Sim</v>
      </c>
      <c r="F3" s="4" t="s">
        <v>39</v>
      </c>
      <c r="G3" s="3">
        <f>COUNTIF(D3:D105,"Não")</f>
        <v>6</v>
      </c>
    </row>
    <row r="4" spans="1:7" x14ac:dyDescent="0.25">
      <c r="A4" t="s">
        <v>38</v>
      </c>
      <c r="B4" t="s">
        <v>550</v>
      </c>
      <c r="C4" t="s">
        <v>550</v>
      </c>
      <c r="D4" t="str">
        <f t="shared" ref="D4:D68" si="0">IF(B4=C4, "Sim", "Não")</f>
        <v>Sim</v>
      </c>
      <c r="F4" s="4" t="s">
        <v>40</v>
      </c>
      <c r="G4" s="3">
        <f>SUM(G7:G32)</f>
        <v>99</v>
      </c>
    </row>
    <row r="5" spans="1:7" x14ac:dyDescent="0.25">
      <c r="A5" t="s">
        <v>38</v>
      </c>
      <c r="B5" t="s">
        <v>334</v>
      </c>
      <c r="C5" t="s">
        <v>334</v>
      </c>
      <c r="D5" t="str">
        <f t="shared" si="0"/>
        <v>Sim</v>
      </c>
    </row>
    <row r="6" spans="1:7" x14ac:dyDescent="0.25">
      <c r="A6" t="s">
        <v>38</v>
      </c>
      <c r="B6" t="s">
        <v>335</v>
      </c>
      <c r="C6" t="s">
        <v>335</v>
      </c>
      <c r="D6" t="str">
        <f t="shared" si="0"/>
        <v>Sim</v>
      </c>
      <c r="F6" s="6" t="s">
        <v>42</v>
      </c>
      <c r="G6" s="1"/>
    </row>
    <row r="7" spans="1:7" x14ac:dyDescent="0.25">
      <c r="A7" t="s">
        <v>38</v>
      </c>
      <c r="B7" t="s">
        <v>338</v>
      </c>
      <c r="C7" t="s">
        <v>338</v>
      </c>
      <c r="D7" t="str">
        <f t="shared" si="0"/>
        <v>Sim</v>
      </c>
      <c r="F7" s="7" t="s">
        <v>38</v>
      </c>
      <c r="G7" s="2">
        <f t="shared" ref="G7:G14" si="1">COUNTIF(A:A,F7)</f>
        <v>35</v>
      </c>
    </row>
    <row r="8" spans="1:7" x14ac:dyDescent="0.25">
      <c r="A8" t="s">
        <v>38</v>
      </c>
      <c r="B8" t="s">
        <v>551</v>
      </c>
      <c r="C8" t="s">
        <v>551</v>
      </c>
      <c r="D8" t="str">
        <f t="shared" si="0"/>
        <v>Sim</v>
      </c>
      <c r="F8" s="7" t="s">
        <v>44</v>
      </c>
      <c r="G8" s="2">
        <f t="shared" si="1"/>
        <v>12</v>
      </c>
    </row>
    <row r="9" spans="1:7" x14ac:dyDescent="0.25">
      <c r="A9" t="s">
        <v>38</v>
      </c>
      <c r="B9" t="s">
        <v>552</v>
      </c>
      <c r="C9" t="s">
        <v>359</v>
      </c>
      <c r="D9" t="str">
        <f t="shared" si="0"/>
        <v>Não</v>
      </c>
      <c r="F9" s="7" t="s">
        <v>45</v>
      </c>
      <c r="G9" s="2">
        <f t="shared" si="1"/>
        <v>11</v>
      </c>
    </row>
    <row r="10" spans="1:7" x14ac:dyDescent="0.25">
      <c r="A10" t="s">
        <v>38</v>
      </c>
      <c r="B10" t="s">
        <v>553</v>
      </c>
      <c r="C10" t="s">
        <v>553</v>
      </c>
      <c r="D10" t="str">
        <f t="shared" si="0"/>
        <v>Sim</v>
      </c>
      <c r="F10" s="7" t="s">
        <v>554</v>
      </c>
      <c r="G10" s="2">
        <f t="shared" si="1"/>
        <v>22</v>
      </c>
    </row>
    <row r="11" spans="1:7" x14ac:dyDescent="0.25">
      <c r="A11" t="s">
        <v>38</v>
      </c>
      <c r="B11" t="s">
        <v>555</v>
      </c>
      <c r="C11" t="s">
        <v>556</v>
      </c>
      <c r="D11" t="str">
        <f t="shared" si="0"/>
        <v>Não</v>
      </c>
      <c r="F11" s="7" t="s">
        <v>46</v>
      </c>
      <c r="G11" s="2">
        <f t="shared" si="1"/>
        <v>5</v>
      </c>
    </row>
    <row r="12" spans="1:7" x14ac:dyDescent="0.25">
      <c r="A12" t="s">
        <v>38</v>
      </c>
      <c r="B12" t="s">
        <v>557</v>
      </c>
      <c r="C12" t="s">
        <v>557</v>
      </c>
      <c r="D12" t="str">
        <f t="shared" si="0"/>
        <v>Sim</v>
      </c>
      <c r="F12" s="7" t="s">
        <v>345</v>
      </c>
      <c r="G12" s="2">
        <f t="shared" si="1"/>
        <v>8</v>
      </c>
    </row>
    <row r="13" spans="1:7" x14ac:dyDescent="0.25">
      <c r="A13" t="s">
        <v>38</v>
      </c>
      <c r="B13" t="s">
        <v>558</v>
      </c>
      <c r="C13" t="s">
        <v>558</v>
      </c>
      <c r="D13" t="str">
        <f t="shared" si="0"/>
        <v>Sim</v>
      </c>
      <c r="F13" s="7" t="s">
        <v>54</v>
      </c>
      <c r="G13" s="2">
        <f t="shared" si="1"/>
        <v>6</v>
      </c>
    </row>
    <row r="14" spans="1:7" x14ac:dyDescent="0.25">
      <c r="A14" t="s">
        <v>38</v>
      </c>
      <c r="B14" t="s">
        <v>559</v>
      </c>
      <c r="C14" t="s">
        <v>559</v>
      </c>
      <c r="D14" t="str">
        <f t="shared" si="0"/>
        <v>Sim</v>
      </c>
      <c r="F14" s="7" t="s">
        <v>560</v>
      </c>
      <c r="G14" s="2">
        <f t="shared" si="1"/>
        <v>0</v>
      </c>
    </row>
    <row r="15" spans="1:7" x14ac:dyDescent="0.25">
      <c r="A15" t="s">
        <v>38</v>
      </c>
      <c r="B15" t="s">
        <v>561</v>
      </c>
      <c r="C15" t="s">
        <v>561</v>
      </c>
      <c r="D15" t="str">
        <f t="shared" si="0"/>
        <v>Sim</v>
      </c>
      <c r="F15" s="4"/>
      <c r="G15" s="2"/>
    </row>
    <row r="16" spans="1:7" x14ac:dyDescent="0.25">
      <c r="A16" t="s">
        <v>38</v>
      </c>
      <c r="B16" t="s">
        <v>562</v>
      </c>
      <c r="C16" t="s">
        <v>562</v>
      </c>
      <c r="D16" t="str">
        <f t="shared" si="0"/>
        <v>Sim</v>
      </c>
      <c r="F16" s="4"/>
      <c r="G16" s="2"/>
    </row>
    <row r="17" spans="1:4" x14ac:dyDescent="0.25">
      <c r="A17" t="s">
        <v>38</v>
      </c>
      <c r="B17" t="s">
        <v>563</v>
      </c>
      <c r="C17" t="s">
        <v>563</v>
      </c>
      <c r="D17" t="str">
        <f t="shared" si="0"/>
        <v>Sim</v>
      </c>
    </row>
    <row r="18" spans="1:4" x14ac:dyDescent="0.25">
      <c r="A18" t="s">
        <v>38</v>
      </c>
      <c r="B18" t="s">
        <v>74</v>
      </c>
      <c r="C18" t="s">
        <v>74</v>
      </c>
      <c r="D18" t="str">
        <f t="shared" si="0"/>
        <v>Sim</v>
      </c>
    </row>
    <row r="19" spans="1:4" x14ac:dyDescent="0.25">
      <c r="A19" t="s">
        <v>38</v>
      </c>
      <c r="B19" t="s">
        <v>72</v>
      </c>
      <c r="C19" t="s">
        <v>72</v>
      </c>
      <c r="D19" t="str">
        <f t="shared" si="0"/>
        <v>Sim</v>
      </c>
    </row>
    <row r="20" spans="1:4" x14ac:dyDescent="0.25">
      <c r="A20" t="s">
        <v>38</v>
      </c>
      <c r="B20" t="s">
        <v>43</v>
      </c>
      <c r="C20" t="s">
        <v>43</v>
      </c>
      <c r="D20" t="str">
        <f t="shared" si="0"/>
        <v>Sim</v>
      </c>
    </row>
    <row r="21" spans="1:4" x14ac:dyDescent="0.25">
      <c r="A21" t="s">
        <v>38</v>
      </c>
      <c r="B21" t="s">
        <v>564</v>
      </c>
      <c r="C21" t="s">
        <v>564</v>
      </c>
      <c r="D21" t="str">
        <f t="shared" si="0"/>
        <v>Sim</v>
      </c>
    </row>
    <row r="22" spans="1:4" x14ac:dyDescent="0.25">
      <c r="A22" t="s">
        <v>38</v>
      </c>
      <c r="B22" t="s">
        <v>358</v>
      </c>
      <c r="C22" t="s">
        <v>358</v>
      </c>
      <c r="D22" t="str">
        <f t="shared" si="0"/>
        <v>Sim</v>
      </c>
    </row>
    <row r="23" spans="1:4" x14ac:dyDescent="0.25">
      <c r="A23" t="s">
        <v>38</v>
      </c>
      <c r="B23" t="s">
        <v>489</v>
      </c>
      <c r="C23" t="s">
        <v>489</v>
      </c>
      <c r="D23" t="str">
        <f t="shared" si="0"/>
        <v>Sim</v>
      </c>
    </row>
    <row r="24" spans="1:4" x14ac:dyDescent="0.25">
      <c r="A24" t="s">
        <v>38</v>
      </c>
      <c r="B24" t="s">
        <v>204</v>
      </c>
      <c r="C24" t="s">
        <v>204</v>
      </c>
      <c r="D24" t="str">
        <f t="shared" si="0"/>
        <v>Sim</v>
      </c>
    </row>
    <row r="25" spans="1:4" x14ac:dyDescent="0.25">
      <c r="A25" t="s">
        <v>38</v>
      </c>
      <c r="B25" t="s">
        <v>205</v>
      </c>
      <c r="C25" t="s">
        <v>205</v>
      </c>
      <c r="D25" t="str">
        <f t="shared" si="0"/>
        <v>Sim</v>
      </c>
    </row>
    <row r="26" spans="1:4" x14ac:dyDescent="0.25">
      <c r="A26" t="s">
        <v>38</v>
      </c>
      <c r="B26" t="s">
        <v>203</v>
      </c>
      <c r="C26" t="s">
        <v>203</v>
      </c>
      <c r="D26" t="str">
        <f t="shared" si="0"/>
        <v>Sim</v>
      </c>
    </row>
    <row r="27" spans="1:4" x14ac:dyDescent="0.25">
      <c r="A27" t="s">
        <v>38</v>
      </c>
      <c r="B27" t="s">
        <v>284</v>
      </c>
      <c r="C27" t="s">
        <v>284</v>
      </c>
      <c r="D27" t="str">
        <f t="shared" si="0"/>
        <v>Sim</v>
      </c>
    </row>
    <row r="28" spans="1:4" x14ac:dyDescent="0.25">
      <c r="A28" t="s">
        <v>38</v>
      </c>
      <c r="B28" t="s">
        <v>565</v>
      </c>
      <c r="C28" t="s">
        <v>565</v>
      </c>
      <c r="D28" t="str">
        <f t="shared" si="0"/>
        <v>Sim</v>
      </c>
    </row>
    <row r="29" spans="1:4" x14ac:dyDescent="0.25">
      <c r="A29" t="s">
        <v>38</v>
      </c>
      <c r="B29" t="s">
        <v>566</v>
      </c>
      <c r="C29" t="s">
        <v>566</v>
      </c>
      <c r="D29" t="str">
        <f t="shared" si="0"/>
        <v>Sim</v>
      </c>
    </row>
    <row r="30" spans="1:4" x14ac:dyDescent="0.25">
      <c r="A30" t="s">
        <v>38</v>
      </c>
      <c r="B30" t="s">
        <v>63</v>
      </c>
      <c r="C30" t="s">
        <v>63</v>
      </c>
      <c r="D30" t="str">
        <f t="shared" si="0"/>
        <v>Sim</v>
      </c>
    </row>
    <row r="31" spans="1:4" x14ac:dyDescent="0.25">
      <c r="A31" t="s">
        <v>38</v>
      </c>
      <c r="B31" t="s">
        <v>158</v>
      </c>
      <c r="C31" t="s">
        <v>1959</v>
      </c>
      <c r="D31" t="str">
        <f t="shared" si="0"/>
        <v>Não</v>
      </c>
    </row>
    <row r="32" spans="1:4" x14ac:dyDescent="0.25">
      <c r="A32" t="s">
        <v>38</v>
      </c>
      <c r="B32" t="s">
        <v>210</v>
      </c>
      <c r="C32" t="s">
        <v>210</v>
      </c>
      <c r="D32" t="str">
        <f t="shared" si="0"/>
        <v>Sim</v>
      </c>
    </row>
    <row r="33" spans="1:4" x14ac:dyDescent="0.25">
      <c r="A33" t="s">
        <v>38</v>
      </c>
      <c r="B33" t="s">
        <v>210</v>
      </c>
      <c r="C33" t="s">
        <v>210</v>
      </c>
      <c r="D33" t="str">
        <f t="shared" si="0"/>
        <v>Sim</v>
      </c>
    </row>
    <row r="34" spans="1:4" x14ac:dyDescent="0.25">
      <c r="A34" t="s">
        <v>38</v>
      </c>
      <c r="B34" t="s">
        <v>89</v>
      </c>
      <c r="C34" t="s">
        <v>89</v>
      </c>
      <c r="D34" t="str">
        <f t="shared" si="0"/>
        <v>Sim</v>
      </c>
    </row>
    <row r="35" spans="1:4" x14ac:dyDescent="0.25">
      <c r="A35" t="s">
        <v>38</v>
      </c>
      <c r="B35" t="s">
        <v>89</v>
      </c>
      <c r="C35" t="s">
        <v>89</v>
      </c>
      <c r="D35" t="str">
        <f t="shared" si="0"/>
        <v>Sim</v>
      </c>
    </row>
    <row r="36" spans="1:4" x14ac:dyDescent="0.25">
      <c r="A36" t="s">
        <v>38</v>
      </c>
      <c r="B36" t="s">
        <v>158</v>
      </c>
      <c r="C36" t="s">
        <v>158</v>
      </c>
      <c r="D36" t="str">
        <f t="shared" si="0"/>
        <v>Sim</v>
      </c>
    </row>
    <row r="37" spans="1:4" x14ac:dyDescent="0.25">
      <c r="A37" t="s">
        <v>38</v>
      </c>
      <c r="B37" t="s">
        <v>90</v>
      </c>
      <c r="C37" t="s">
        <v>90</v>
      </c>
      <c r="D37" t="str">
        <f t="shared" si="0"/>
        <v>Sim</v>
      </c>
    </row>
    <row r="38" spans="1:4" x14ac:dyDescent="0.25">
      <c r="A38" t="s">
        <v>44</v>
      </c>
      <c r="B38" t="s">
        <v>211</v>
      </c>
      <c r="C38" t="s">
        <v>211</v>
      </c>
      <c r="D38" t="str">
        <f t="shared" si="0"/>
        <v>Sim</v>
      </c>
    </row>
    <row r="39" spans="1:4" x14ac:dyDescent="0.25">
      <c r="A39" t="s">
        <v>44</v>
      </c>
      <c r="B39" t="s">
        <v>212</v>
      </c>
      <c r="C39" t="s">
        <v>212</v>
      </c>
      <c r="D39" t="str">
        <f>IF(B39=C39, "Sim", "Não")</f>
        <v>Sim</v>
      </c>
    </row>
    <row r="40" spans="1:4" x14ac:dyDescent="0.25">
      <c r="A40" t="s">
        <v>44</v>
      </c>
      <c r="B40" s="12" t="s">
        <v>214</v>
      </c>
      <c r="C40" s="12" t="s">
        <v>214</v>
      </c>
      <c r="D40" t="str">
        <f t="shared" si="0"/>
        <v>Sim</v>
      </c>
    </row>
    <row r="41" spans="1:4" x14ac:dyDescent="0.25">
      <c r="A41" t="s">
        <v>44</v>
      </c>
      <c r="B41" t="s">
        <v>213</v>
      </c>
      <c r="C41" t="s">
        <v>213</v>
      </c>
      <c r="D41" t="str">
        <f t="shared" si="0"/>
        <v>Sim</v>
      </c>
    </row>
    <row r="42" spans="1:4" x14ac:dyDescent="0.25">
      <c r="A42" t="s">
        <v>44</v>
      </c>
      <c r="B42" t="s">
        <v>215</v>
      </c>
      <c r="C42" t="s">
        <v>215</v>
      </c>
      <c r="D42" t="str">
        <f t="shared" si="0"/>
        <v>Sim</v>
      </c>
    </row>
    <row r="43" spans="1:4" x14ac:dyDescent="0.25">
      <c r="A43" t="s">
        <v>44</v>
      </c>
      <c r="B43" t="s">
        <v>567</v>
      </c>
      <c r="C43" t="s">
        <v>567</v>
      </c>
      <c r="D43" t="str">
        <f t="shared" si="0"/>
        <v>Sim</v>
      </c>
    </row>
    <row r="44" spans="1:4" x14ac:dyDescent="0.25">
      <c r="A44" t="s">
        <v>44</v>
      </c>
      <c r="B44" t="s">
        <v>162</v>
      </c>
      <c r="C44" t="s">
        <v>162</v>
      </c>
      <c r="D44" t="str">
        <f t="shared" si="0"/>
        <v>Sim</v>
      </c>
    </row>
    <row r="45" spans="1:4" x14ac:dyDescent="0.25">
      <c r="A45" t="s">
        <v>44</v>
      </c>
      <c r="B45" t="s">
        <v>568</v>
      </c>
      <c r="C45" t="s">
        <v>568</v>
      </c>
      <c r="D45" t="str">
        <f t="shared" si="0"/>
        <v>Sim</v>
      </c>
    </row>
    <row r="46" spans="1:4" x14ac:dyDescent="0.25">
      <c r="A46" t="s">
        <v>44</v>
      </c>
      <c r="B46" t="s">
        <v>365</v>
      </c>
      <c r="C46" t="s">
        <v>365</v>
      </c>
      <c r="D46" t="str">
        <f>IF(B46=C46, "Sim", "Não")</f>
        <v>Sim</v>
      </c>
    </row>
    <row r="47" spans="1:4" x14ac:dyDescent="0.25">
      <c r="A47" t="s">
        <v>44</v>
      </c>
      <c r="B47" t="s">
        <v>569</v>
      </c>
      <c r="C47" t="s">
        <v>569</v>
      </c>
      <c r="D47" t="str">
        <f>IF(B47=C47, "Sim", "Não")</f>
        <v>Sim</v>
      </c>
    </row>
    <row r="48" spans="1:4" x14ac:dyDescent="0.25">
      <c r="A48" t="s">
        <v>44</v>
      </c>
      <c r="B48" t="s">
        <v>216</v>
      </c>
      <c r="C48" t="s">
        <v>216</v>
      </c>
      <c r="D48" t="str">
        <f t="shared" si="0"/>
        <v>Sim</v>
      </c>
    </row>
    <row r="49" spans="1:4" x14ac:dyDescent="0.25">
      <c r="A49" t="s">
        <v>44</v>
      </c>
      <c r="B49" t="s">
        <v>571</v>
      </c>
      <c r="C49" t="s">
        <v>571</v>
      </c>
      <c r="D49" t="str">
        <f t="shared" si="0"/>
        <v>Sim</v>
      </c>
    </row>
    <row r="50" spans="1:4" x14ac:dyDescent="0.25">
      <c r="A50" t="s">
        <v>45</v>
      </c>
      <c r="B50" t="s">
        <v>572</v>
      </c>
      <c r="C50" t="s">
        <v>572</v>
      </c>
      <c r="D50" t="str">
        <f t="shared" si="0"/>
        <v>Sim</v>
      </c>
    </row>
    <row r="51" spans="1:4" x14ac:dyDescent="0.25">
      <c r="A51" t="s">
        <v>45</v>
      </c>
      <c r="B51" t="s">
        <v>573</v>
      </c>
      <c r="C51" t="s">
        <v>573</v>
      </c>
      <c r="D51" t="str">
        <f t="shared" si="0"/>
        <v>Sim</v>
      </c>
    </row>
    <row r="52" spans="1:4" x14ac:dyDescent="0.25">
      <c r="A52" t="s">
        <v>45</v>
      </c>
      <c r="B52" t="s">
        <v>574</v>
      </c>
      <c r="C52" t="s">
        <v>574</v>
      </c>
      <c r="D52" t="str">
        <f t="shared" si="0"/>
        <v>Sim</v>
      </c>
    </row>
    <row r="53" spans="1:4" x14ac:dyDescent="0.25">
      <c r="A53" t="s">
        <v>45</v>
      </c>
      <c r="B53" t="s">
        <v>575</v>
      </c>
      <c r="C53" t="s">
        <v>1957</v>
      </c>
      <c r="D53" t="str">
        <f t="shared" si="0"/>
        <v>Não</v>
      </c>
    </row>
    <row r="54" spans="1:4" x14ac:dyDescent="0.25">
      <c r="A54" t="s">
        <v>45</v>
      </c>
      <c r="B54" t="s">
        <v>576</v>
      </c>
      <c r="C54" t="s">
        <v>576</v>
      </c>
      <c r="D54" t="str">
        <f>IF(B54=C54, "Sim", "Não")</f>
        <v>Sim</v>
      </c>
    </row>
    <row r="55" spans="1:4" x14ac:dyDescent="0.25">
      <c r="A55" t="s">
        <v>45</v>
      </c>
      <c r="B55" t="s">
        <v>304</v>
      </c>
      <c r="C55" t="s">
        <v>304</v>
      </c>
      <c r="D55" t="str">
        <f>IF(B55=C55, "Sim", "Não")</f>
        <v>Sim</v>
      </c>
    </row>
    <row r="56" spans="1:4" x14ac:dyDescent="0.25">
      <c r="A56" t="s">
        <v>45</v>
      </c>
      <c r="B56" t="s">
        <v>1786</v>
      </c>
      <c r="C56" t="s">
        <v>1786</v>
      </c>
      <c r="D56" t="str">
        <f t="shared" si="0"/>
        <v>Sim</v>
      </c>
    </row>
    <row r="57" spans="1:4" x14ac:dyDescent="0.25">
      <c r="A57" t="s">
        <v>45</v>
      </c>
      <c r="B57" t="s">
        <v>578</v>
      </c>
      <c r="C57" t="s">
        <v>578</v>
      </c>
      <c r="D57" t="str">
        <f t="shared" si="0"/>
        <v>Sim</v>
      </c>
    </row>
    <row r="58" spans="1:4" x14ac:dyDescent="0.25">
      <c r="A58" t="s">
        <v>45</v>
      </c>
      <c r="B58" t="s">
        <v>579</v>
      </c>
      <c r="C58" t="s">
        <v>579</v>
      </c>
      <c r="D58" t="str">
        <f t="shared" si="0"/>
        <v>Sim</v>
      </c>
    </row>
    <row r="59" spans="1:4" x14ac:dyDescent="0.25">
      <c r="A59" t="s">
        <v>45</v>
      </c>
      <c r="B59" t="s">
        <v>1791</v>
      </c>
      <c r="C59" t="s">
        <v>1791</v>
      </c>
      <c r="D59" t="str">
        <f t="shared" si="0"/>
        <v>Sim</v>
      </c>
    </row>
    <row r="60" spans="1:4" x14ac:dyDescent="0.25">
      <c r="A60" t="s">
        <v>45</v>
      </c>
      <c r="B60" t="s">
        <v>580</v>
      </c>
      <c r="C60" t="s">
        <v>580</v>
      </c>
      <c r="D60" t="str">
        <f t="shared" si="0"/>
        <v>Sim</v>
      </c>
    </row>
    <row r="61" spans="1:4" x14ac:dyDescent="0.25">
      <c r="A61" t="s">
        <v>554</v>
      </c>
      <c r="B61" t="s">
        <v>1949</v>
      </c>
      <c r="C61" t="s">
        <v>1949</v>
      </c>
      <c r="D61" t="str">
        <f t="shared" si="0"/>
        <v>Sim</v>
      </c>
    </row>
    <row r="62" spans="1:4" x14ac:dyDescent="0.25">
      <c r="A62" t="s">
        <v>554</v>
      </c>
      <c r="B62" t="s">
        <v>1789</v>
      </c>
      <c r="C62" t="s">
        <v>1789</v>
      </c>
      <c r="D62" t="str">
        <f>IF(B62=C62, "Sim", "Não")</f>
        <v>Sim</v>
      </c>
    </row>
    <row r="63" spans="1:4" x14ac:dyDescent="0.25">
      <c r="A63" t="s">
        <v>554</v>
      </c>
      <c r="B63" t="s">
        <v>582</v>
      </c>
      <c r="C63" t="s">
        <v>582</v>
      </c>
      <c r="D63" t="str">
        <f>IF(B63=C63, "Sim", "Não")</f>
        <v>Sim</v>
      </c>
    </row>
    <row r="64" spans="1:4" x14ac:dyDescent="0.25">
      <c r="A64" t="s">
        <v>554</v>
      </c>
      <c r="B64" t="s">
        <v>1787</v>
      </c>
      <c r="C64" t="s">
        <v>1787</v>
      </c>
      <c r="D64" t="str">
        <f>IF(B64=C64, "Sim", "Não")</f>
        <v>Sim</v>
      </c>
    </row>
    <row r="65" spans="1:4" x14ac:dyDescent="0.25">
      <c r="A65" t="s">
        <v>554</v>
      </c>
      <c r="B65" t="s">
        <v>583</v>
      </c>
      <c r="C65" t="s">
        <v>583</v>
      </c>
      <c r="D65" t="str">
        <f t="shared" si="0"/>
        <v>Sim</v>
      </c>
    </row>
    <row r="66" spans="1:4" x14ac:dyDescent="0.25">
      <c r="A66" t="s">
        <v>554</v>
      </c>
      <c r="B66" t="s">
        <v>584</v>
      </c>
      <c r="C66" t="s">
        <v>584</v>
      </c>
      <c r="D66" t="str">
        <f t="shared" si="0"/>
        <v>Sim</v>
      </c>
    </row>
    <row r="67" spans="1:4" x14ac:dyDescent="0.25">
      <c r="A67" t="s">
        <v>554</v>
      </c>
      <c r="B67" t="s">
        <v>395</v>
      </c>
      <c r="C67" t="s">
        <v>395</v>
      </c>
      <c r="D67" t="str">
        <f t="shared" si="0"/>
        <v>Sim</v>
      </c>
    </row>
    <row r="68" spans="1:4" x14ac:dyDescent="0.25">
      <c r="A68" t="s">
        <v>554</v>
      </c>
      <c r="B68" t="s">
        <v>585</v>
      </c>
      <c r="C68" t="s">
        <v>585</v>
      </c>
      <c r="D68" t="str">
        <f t="shared" si="0"/>
        <v>Sim</v>
      </c>
    </row>
    <row r="69" spans="1:4" x14ac:dyDescent="0.25">
      <c r="A69" t="s">
        <v>554</v>
      </c>
      <c r="B69" t="s">
        <v>586</v>
      </c>
      <c r="C69" t="s">
        <v>586</v>
      </c>
      <c r="D69" t="str">
        <f t="shared" ref="D69:D101" si="2">IF(B69=C69, "Sim", "Não")</f>
        <v>Sim</v>
      </c>
    </row>
    <row r="70" spans="1:4" x14ac:dyDescent="0.25">
      <c r="A70" t="s">
        <v>554</v>
      </c>
      <c r="B70" t="s">
        <v>1632</v>
      </c>
      <c r="C70" t="s">
        <v>1632</v>
      </c>
      <c r="D70" t="str">
        <f t="shared" si="2"/>
        <v>Sim</v>
      </c>
    </row>
    <row r="71" spans="1:4" x14ac:dyDescent="0.25">
      <c r="A71" t="s">
        <v>554</v>
      </c>
      <c r="B71" t="s">
        <v>1788</v>
      </c>
      <c r="C71" t="s">
        <v>1788</v>
      </c>
      <c r="D71" t="str">
        <f t="shared" si="2"/>
        <v>Sim</v>
      </c>
    </row>
    <row r="72" spans="1:4" x14ac:dyDescent="0.25">
      <c r="A72" t="s">
        <v>554</v>
      </c>
      <c r="B72" t="s">
        <v>588</v>
      </c>
      <c r="C72" t="s">
        <v>588</v>
      </c>
      <c r="D72" t="str">
        <f t="shared" si="2"/>
        <v>Sim</v>
      </c>
    </row>
    <row r="73" spans="1:4" x14ac:dyDescent="0.25">
      <c r="A73" t="s">
        <v>554</v>
      </c>
      <c r="B73" t="s">
        <v>117</v>
      </c>
      <c r="C73" t="s">
        <v>117</v>
      </c>
      <c r="D73" t="str">
        <f>IF(B73=C73, "Sim", "Não")</f>
        <v>Sim</v>
      </c>
    </row>
    <row r="74" spans="1:4" x14ac:dyDescent="0.25">
      <c r="A74" t="s">
        <v>554</v>
      </c>
      <c r="B74" t="s">
        <v>589</v>
      </c>
      <c r="C74" t="s">
        <v>589</v>
      </c>
      <c r="D74" t="str">
        <f t="shared" si="2"/>
        <v>Sim</v>
      </c>
    </row>
    <row r="75" spans="1:4" x14ac:dyDescent="0.25">
      <c r="A75" t="s">
        <v>554</v>
      </c>
      <c r="B75" t="s">
        <v>590</v>
      </c>
      <c r="C75" t="s">
        <v>590</v>
      </c>
      <c r="D75" t="str">
        <f>IF(B75=C75, "Sim", "Não")</f>
        <v>Sim</v>
      </c>
    </row>
    <row r="76" spans="1:4" x14ac:dyDescent="0.25">
      <c r="A76" t="s">
        <v>554</v>
      </c>
      <c r="B76" t="s">
        <v>591</v>
      </c>
      <c r="C76" t="s">
        <v>591</v>
      </c>
      <c r="D76" t="str">
        <f>IF(B76=C76, "Sim", "Não")</f>
        <v>Sim</v>
      </c>
    </row>
    <row r="77" spans="1:4" x14ac:dyDescent="0.25">
      <c r="A77" t="s">
        <v>554</v>
      </c>
      <c r="B77" t="s">
        <v>592</v>
      </c>
      <c r="C77" t="s">
        <v>592</v>
      </c>
      <c r="D77" t="str">
        <f t="shared" si="2"/>
        <v>Sim</v>
      </c>
    </row>
    <row r="78" spans="1:4" x14ac:dyDescent="0.25">
      <c r="A78" t="s">
        <v>554</v>
      </c>
      <c r="B78" t="s">
        <v>1790</v>
      </c>
      <c r="C78" t="s">
        <v>1790</v>
      </c>
      <c r="D78" t="str">
        <f>IF(B78=C78, "Sim", "Não")</f>
        <v>Sim</v>
      </c>
    </row>
    <row r="79" spans="1:4" x14ac:dyDescent="0.25">
      <c r="A79" t="s">
        <v>554</v>
      </c>
      <c r="B79" t="s">
        <v>593</v>
      </c>
      <c r="C79" t="s">
        <v>593</v>
      </c>
      <c r="D79" t="str">
        <f t="shared" si="2"/>
        <v>Sim</v>
      </c>
    </row>
    <row r="80" spans="1:4" x14ac:dyDescent="0.25">
      <c r="A80" t="s">
        <v>554</v>
      </c>
      <c r="B80" t="s">
        <v>595</v>
      </c>
      <c r="C80" t="s">
        <v>1960</v>
      </c>
      <c r="D80" t="str">
        <f t="shared" si="2"/>
        <v>Não</v>
      </c>
    </row>
    <row r="81" spans="1:4" x14ac:dyDescent="0.25">
      <c r="A81" s="5" t="s">
        <v>554</v>
      </c>
      <c r="B81" t="s">
        <v>594</v>
      </c>
      <c r="C81" t="s">
        <v>596</v>
      </c>
      <c r="D81" t="str">
        <f>IF(B81=C81, "Sim", "Não")</f>
        <v>Não</v>
      </c>
    </row>
    <row r="82" spans="1:4" x14ac:dyDescent="0.25">
      <c r="A82" t="s">
        <v>554</v>
      </c>
      <c r="B82" t="s">
        <v>597</v>
      </c>
      <c r="C82" t="s">
        <v>597</v>
      </c>
      <c r="D82" t="str">
        <f>IF(B82=C82, "Sim", "Não")</f>
        <v>Sim</v>
      </c>
    </row>
    <row r="83" spans="1:4" x14ac:dyDescent="0.25">
      <c r="A83" t="s">
        <v>46</v>
      </c>
      <c r="B83" t="s">
        <v>598</v>
      </c>
      <c r="C83" t="s">
        <v>598</v>
      </c>
      <c r="D83" t="str">
        <f t="shared" si="2"/>
        <v>Sim</v>
      </c>
    </row>
    <row r="84" spans="1:4" x14ac:dyDescent="0.25">
      <c r="A84" t="s">
        <v>46</v>
      </c>
      <c r="B84" t="s">
        <v>599</v>
      </c>
      <c r="C84" t="s">
        <v>599</v>
      </c>
      <c r="D84" t="str">
        <f>IF(B84=C84, "Sim", "Não")</f>
        <v>Sim</v>
      </c>
    </row>
    <row r="85" spans="1:4" x14ac:dyDescent="0.25">
      <c r="A85" t="s">
        <v>46</v>
      </c>
      <c r="B85" t="s">
        <v>600</v>
      </c>
      <c r="C85" t="s">
        <v>600</v>
      </c>
      <c r="D85" t="str">
        <f t="shared" si="2"/>
        <v>Sim</v>
      </c>
    </row>
    <row r="86" spans="1:4" x14ac:dyDescent="0.25">
      <c r="A86" t="s">
        <v>46</v>
      </c>
      <c r="B86" t="s">
        <v>373</v>
      </c>
      <c r="C86" t="s">
        <v>373</v>
      </c>
      <c r="D86" t="str">
        <f t="shared" si="2"/>
        <v>Sim</v>
      </c>
    </row>
    <row r="87" spans="1:4" x14ac:dyDescent="0.25">
      <c r="A87" t="s">
        <v>46</v>
      </c>
      <c r="B87" t="s">
        <v>601</v>
      </c>
      <c r="C87" t="s">
        <v>601</v>
      </c>
      <c r="D87" t="str">
        <f t="shared" si="2"/>
        <v>Sim</v>
      </c>
    </row>
    <row r="88" spans="1:4" x14ac:dyDescent="0.25">
      <c r="A88" t="s">
        <v>54</v>
      </c>
      <c r="B88" t="s">
        <v>602</v>
      </c>
      <c r="C88" t="s">
        <v>602</v>
      </c>
      <c r="D88" t="str">
        <f t="shared" si="2"/>
        <v>Sim</v>
      </c>
    </row>
    <row r="89" spans="1:4" x14ac:dyDescent="0.25">
      <c r="A89" t="s">
        <v>54</v>
      </c>
      <c r="B89" t="s">
        <v>603</v>
      </c>
      <c r="C89" t="s">
        <v>603</v>
      </c>
      <c r="D89" t="str">
        <f t="shared" si="2"/>
        <v>Sim</v>
      </c>
    </row>
    <row r="90" spans="1:4" x14ac:dyDescent="0.25">
      <c r="A90" t="s">
        <v>54</v>
      </c>
      <c r="B90" t="s">
        <v>604</v>
      </c>
      <c r="C90" t="s">
        <v>604</v>
      </c>
      <c r="D90" t="str">
        <f t="shared" si="2"/>
        <v>Sim</v>
      </c>
    </row>
    <row r="91" spans="1:4" x14ac:dyDescent="0.25">
      <c r="A91" t="s">
        <v>54</v>
      </c>
      <c r="B91" t="s">
        <v>605</v>
      </c>
      <c r="C91" t="s">
        <v>605</v>
      </c>
      <c r="D91" t="str">
        <f t="shared" si="2"/>
        <v>Sim</v>
      </c>
    </row>
    <row r="92" spans="1:4" x14ac:dyDescent="0.25">
      <c r="A92" t="s">
        <v>54</v>
      </c>
      <c r="B92" t="s">
        <v>606</v>
      </c>
      <c r="C92" t="s">
        <v>606</v>
      </c>
      <c r="D92" t="str">
        <f>IF(B92=C92, "Sim", "Não")</f>
        <v>Sim</v>
      </c>
    </row>
    <row r="93" spans="1:4" x14ac:dyDescent="0.25">
      <c r="A93" t="s">
        <v>54</v>
      </c>
      <c r="B93" t="s">
        <v>607</v>
      </c>
      <c r="C93" t="s">
        <v>607</v>
      </c>
      <c r="D93" t="str">
        <f t="shared" si="2"/>
        <v>Sim</v>
      </c>
    </row>
    <row r="94" spans="1:4" x14ac:dyDescent="0.25">
      <c r="A94" t="s">
        <v>345</v>
      </c>
      <c r="B94" t="s">
        <v>570</v>
      </c>
      <c r="C94" t="s">
        <v>570</v>
      </c>
      <c r="D94" t="str">
        <f>IF(B94=C94, "Sim", "Não")</f>
        <v>Sim</v>
      </c>
    </row>
    <row r="95" spans="1:4" x14ac:dyDescent="0.25">
      <c r="A95" t="s">
        <v>345</v>
      </c>
      <c r="B95" t="s">
        <v>318</v>
      </c>
      <c r="C95" t="s">
        <v>318</v>
      </c>
      <c r="D95" t="str">
        <f>IF(B95=C95, "Sim", "Não")</f>
        <v>Sim</v>
      </c>
    </row>
    <row r="96" spans="1:4" x14ac:dyDescent="0.25">
      <c r="A96" t="s">
        <v>345</v>
      </c>
      <c r="B96" t="s">
        <v>111</v>
      </c>
      <c r="C96" t="s">
        <v>111</v>
      </c>
      <c r="D96" t="str">
        <f>IF(B96=C96, "Sim", "Não")</f>
        <v>Sim</v>
      </c>
    </row>
    <row r="97" spans="1:4" x14ac:dyDescent="0.25">
      <c r="A97" t="s">
        <v>345</v>
      </c>
      <c r="B97" t="s">
        <v>608</v>
      </c>
      <c r="C97" t="s">
        <v>608</v>
      </c>
      <c r="D97" t="str">
        <f t="shared" si="2"/>
        <v>Sim</v>
      </c>
    </row>
    <row r="98" spans="1:4" x14ac:dyDescent="0.25">
      <c r="A98" t="s">
        <v>345</v>
      </c>
      <c r="B98" t="s">
        <v>609</v>
      </c>
      <c r="C98" t="s">
        <v>609</v>
      </c>
      <c r="D98" t="str">
        <f t="shared" si="2"/>
        <v>Sim</v>
      </c>
    </row>
    <row r="99" spans="1:4" x14ac:dyDescent="0.25">
      <c r="A99" t="s">
        <v>345</v>
      </c>
      <c r="B99" t="s">
        <v>610</v>
      </c>
      <c r="C99" t="s">
        <v>610</v>
      </c>
      <c r="D99" t="str">
        <f t="shared" si="2"/>
        <v>Sim</v>
      </c>
    </row>
    <row r="100" spans="1:4" x14ac:dyDescent="0.25">
      <c r="A100" t="s">
        <v>345</v>
      </c>
      <c r="B100" t="s">
        <v>310</v>
      </c>
      <c r="C100" t="s">
        <v>310</v>
      </c>
      <c r="D100" t="str">
        <f t="shared" si="2"/>
        <v>Sim</v>
      </c>
    </row>
    <row r="101" spans="1:4" x14ac:dyDescent="0.25">
      <c r="A101" t="s">
        <v>345</v>
      </c>
      <c r="B101" t="s">
        <v>611</v>
      </c>
      <c r="C101" t="s">
        <v>611</v>
      </c>
      <c r="D101" t="str">
        <f t="shared" si="2"/>
        <v>Sim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EC13-7091-4996-9830-3CF40BEC1970}">
  <sheetPr codeName="Planilha14"/>
  <dimension ref="A1:G101"/>
  <sheetViews>
    <sheetView workbookViewId="0">
      <selection activeCell="B14" sqref="B14:C14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28" t="s">
        <v>612</v>
      </c>
      <c r="B1" s="28"/>
      <c r="C1" s="28"/>
      <c r="D1" s="28"/>
      <c r="E1" s="28"/>
      <c r="F1" s="28"/>
      <c r="G1" s="28"/>
    </row>
    <row r="2" spans="1:7" x14ac:dyDescent="0.25">
      <c r="A2" s="4" t="s">
        <v>34</v>
      </c>
      <c r="B2" s="4" t="s">
        <v>35</v>
      </c>
      <c r="C2" s="4" t="s">
        <v>36</v>
      </c>
      <c r="D2" s="4" t="s">
        <v>37</v>
      </c>
    </row>
    <row r="3" spans="1:7" x14ac:dyDescent="0.25">
      <c r="A3" t="s">
        <v>38</v>
      </c>
      <c r="B3" t="s">
        <v>613</v>
      </c>
      <c r="C3" t="s">
        <v>613</v>
      </c>
      <c r="D3" t="str">
        <f>IF(B3=C3, "Sim", "Não")</f>
        <v>Sim</v>
      </c>
      <c r="F3" s="4" t="s">
        <v>39</v>
      </c>
      <c r="G3" s="3">
        <f>COUNTIF(D3:D105,"Não")</f>
        <v>9</v>
      </c>
    </row>
    <row r="4" spans="1:7" x14ac:dyDescent="0.25">
      <c r="A4" t="s">
        <v>38</v>
      </c>
      <c r="B4" t="s">
        <v>614</v>
      </c>
      <c r="C4" t="s">
        <v>615</v>
      </c>
      <c r="D4" t="str">
        <f t="shared" ref="D4:D67" si="0">IF(B4=C4, "Sim", "Não")</f>
        <v>Não</v>
      </c>
      <c r="F4" s="4" t="s">
        <v>40</v>
      </c>
      <c r="G4" s="3">
        <f>SUM(G7:G25)</f>
        <v>99</v>
      </c>
    </row>
    <row r="5" spans="1:7" x14ac:dyDescent="0.25">
      <c r="A5" t="s">
        <v>38</v>
      </c>
      <c r="B5" t="s">
        <v>616</v>
      </c>
      <c r="C5" t="s">
        <v>617</v>
      </c>
      <c r="D5" t="str">
        <f t="shared" si="0"/>
        <v>Não</v>
      </c>
    </row>
    <row r="6" spans="1:7" x14ac:dyDescent="0.25">
      <c r="A6" t="s">
        <v>38</v>
      </c>
      <c r="B6" t="s">
        <v>357</v>
      </c>
      <c r="C6" t="s">
        <v>619</v>
      </c>
      <c r="D6" t="str">
        <f t="shared" si="0"/>
        <v>Não</v>
      </c>
      <c r="F6" s="6" t="s">
        <v>42</v>
      </c>
      <c r="G6" s="1"/>
    </row>
    <row r="7" spans="1:7" x14ac:dyDescent="0.25">
      <c r="A7" t="s">
        <v>38</v>
      </c>
      <c r="B7" t="s">
        <v>620</v>
      </c>
      <c r="C7" t="s">
        <v>620</v>
      </c>
      <c r="D7" t="str">
        <f t="shared" si="0"/>
        <v>Sim</v>
      </c>
      <c r="F7" s="1" t="s">
        <v>38</v>
      </c>
      <c r="G7" s="2">
        <f t="shared" ref="G7:G13" si="1">COUNTIF(A:A,F7)</f>
        <v>34</v>
      </c>
    </row>
    <row r="8" spans="1:7" x14ac:dyDescent="0.25">
      <c r="A8" t="s">
        <v>38</v>
      </c>
      <c r="B8" t="s">
        <v>1665</v>
      </c>
      <c r="C8" t="s">
        <v>621</v>
      </c>
      <c r="D8" t="str">
        <f t="shared" si="0"/>
        <v>Não</v>
      </c>
      <c r="F8" s="1" t="s">
        <v>19</v>
      </c>
      <c r="G8" s="2">
        <f t="shared" si="1"/>
        <v>43</v>
      </c>
    </row>
    <row r="9" spans="1:7" x14ac:dyDescent="0.25">
      <c r="A9" t="s">
        <v>38</v>
      </c>
      <c r="B9" t="s">
        <v>622</v>
      </c>
      <c r="C9" t="s">
        <v>622</v>
      </c>
      <c r="D9" t="str">
        <f t="shared" si="0"/>
        <v>Sim</v>
      </c>
      <c r="F9" s="1" t="s">
        <v>53</v>
      </c>
      <c r="G9" s="2">
        <f t="shared" si="1"/>
        <v>0</v>
      </c>
    </row>
    <row r="10" spans="1:7" x14ac:dyDescent="0.25">
      <c r="A10" t="s">
        <v>38</v>
      </c>
      <c r="B10" t="s">
        <v>623</v>
      </c>
      <c r="C10" t="s">
        <v>623</v>
      </c>
      <c r="D10" t="str">
        <f t="shared" si="0"/>
        <v>Sim</v>
      </c>
      <c r="F10" s="1" t="s">
        <v>347</v>
      </c>
      <c r="G10" s="2">
        <f t="shared" si="1"/>
        <v>2</v>
      </c>
    </row>
    <row r="11" spans="1:7" x14ac:dyDescent="0.25">
      <c r="A11" t="s">
        <v>38</v>
      </c>
      <c r="B11" t="s">
        <v>624</v>
      </c>
      <c r="C11" t="s">
        <v>625</v>
      </c>
      <c r="D11" t="str">
        <f t="shared" si="0"/>
        <v>Não</v>
      </c>
      <c r="F11" s="1" t="s">
        <v>156</v>
      </c>
      <c r="G11" s="2">
        <f t="shared" si="1"/>
        <v>7</v>
      </c>
    </row>
    <row r="12" spans="1:7" x14ac:dyDescent="0.25">
      <c r="A12" t="s">
        <v>38</v>
      </c>
      <c r="B12" t="s">
        <v>626</v>
      </c>
      <c r="C12" t="s">
        <v>626</v>
      </c>
      <c r="D12" t="str">
        <f t="shared" si="0"/>
        <v>Sim</v>
      </c>
      <c r="F12" s="1" t="s">
        <v>44</v>
      </c>
      <c r="G12" s="2">
        <f t="shared" si="1"/>
        <v>13</v>
      </c>
    </row>
    <row r="13" spans="1:7" x14ac:dyDescent="0.25">
      <c r="A13" t="s">
        <v>38</v>
      </c>
      <c r="B13" t="s">
        <v>826</v>
      </c>
      <c r="C13" t="s">
        <v>627</v>
      </c>
      <c r="D13" t="str">
        <f t="shared" si="0"/>
        <v>Não</v>
      </c>
      <c r="F13" s="1" t="s">
        <v>46</v>
      </c>
      <c r="G13" s="2">
        <f t="shared" si="1"/>
        <v>0</v>
      </c>
    </row>
    <row r="14" spans="1:7" x14ac:dyDescent="0.25">
      <c r="A14" t="s">
        <v>38</v>
      </c>
      <c r="B14" t="s">
        <v>155</v>
      </c>
      <c r="C14" t="s">
        <v>155</v>
      </c>
      <c r="D14" t="str">
        <f t="shared" si="0"/>
        <v>Sim</v>
      </c>
      <c r="F14" s="7"/>
      <c r="G14" s="2"/>
    </row>
    <row r="15" spans="1:7" x14ac:dyDescent="0.25">
      <c r="A15" t="s">
        <v>38</v>
      </c>
      <c r="B15" t="s">
        <v>41</v>
      </c>
      <c r="C15" t="s">
        <v>41</v>
      </c>
      <c r="D15" t="str">
        <f t="shared" si="0"/>
        <v>Sim</v>
      </c>
      <c r="F15" s="4"/>
      <c r="G15" s="2"/>
    </row>
    <row r="16" spans="1:7" x14ac:dyDescent="0.25">
      <c r="A16" t="s">
        <v>38</v>
      </c>
      <c r="B16" t="s">
        <v>43</v>
      </c>
      <c r="C16" t="s">
        <v>43</v>
      </c>
      <c r="D16" t="str">
        <f t="shared" si="0"/>
        <v>Sim</v>
      </c>
      <c r="F16" s="4"/>
      <c r="G16" s="2"/>
    </row>
    <row r="17" spans="1:4" x14ac:dyDescent="0.25">
      <c r="A17" t="s">
        <v>38</v>
      </c>
      <c r="B17" t="s">
        <v>629</v>
      </c>
      <c r="C17" t="s">
        <v>629</v>
      </c>
      <c r="D17" t="str">
        <f t="shared" si="0"/>
        <v>Sim</v>
      </c>
    </row>
    <row r="18" spans="1:4" x14ac:dyDescent="0.25">
      <c r="A18" t="s">
        <v>38</v>
      </c>
      <c r="B18" t="s">
        <v>630</v>
      </c>
      <c r="C18" t="s">
        <v>630</v>
      </c>
      <c r="D18" t="str">
        <f t="shared" si="0"/>
        <v>Sim</v>
      </c>
    </row>
    <row r="19" spans="1:4" x14ac:dyDescent="0.25">
      <c r="A19" t="s">
        <v>38</v>
      </c>
      <c r="B19" t="s">
        <v>631</v>
      </c>
      <c r="C19" t="s">
        <v>631</v>
      </c>
      <c r="D19" t="str">
        <f t="shared" si="0"/>
        <v>Sim</v>
      </c>
    </row>
    <row r="20" spans="1:4" x14ac:dyDescent="0.25">
      <c r="A20" t="s">
        <v>38</v>
      </c>
      <c r="B20" t="s">
        <v>72</v>
      </c>
      <c r="C20" t="s">
        <v>72</v>
      </c>
      <c r="D20" t="str">
        <f t="shared" si="0"/>
        <v>Sim</v>
      </c>
    </row>
    <row r="21" spans="1:4" x14ac:dyDescent="0.25">
      <c r="A21" t="s">
        <v>38</v>
      </c>
      <c r="B21" t="s">
        <v>632</v>
      </c>
      <c r="C21" t="s">
        <v>632</v>
      </c>
      <c r="D21" t="str">
        <f t="shared" si="0"/>
        <v>Sim</v>
      </c>
    </row>
    <row r="22" spans="1:4" x14ac:dyDescent="0.25">
      <c r="A22" t="s">
        <v>38</v>
      </c>
      <c r="B22" t="s">
        <v>633</v>
      </c>
      <c r="C22" t="s">
        <v>633</v>
      </c>
      <c r="D22" t="str">
        <f t="shared" si="0"/>
        <v>Sim</v>
      </c>
    </row>
    <row r="23" spans="1:4" x14ac:dyDescent="0.25">
      <c r="A23" t="s">
        <v>38</v>
      </c>
      <c r="B23" t="s">
        <v>634</v>
      </c>
      <c r="C23" t="s">
        <v>634</v>
      </c>
      <c r="D23" t="str">
        <f t="shared" si="0"/>
        <v>Sim</v>
      </c>
    </row>
    <row r="24" spans="1:4" x14ac:dyDescent="0.25">
      <c r="A24" t="s">
        <v>38</v>
      </c>
      <c r="B24" t="s">
        <v>69</v>
      </c>
      <c r="C24" t="s">
        <v>69</v>
      </c>
      <c r="D24" t="str">
        <f t="shared" si="0"/>
        <v>Sim</v>
      </c>
    </row>
    <row r="25" spans="1:4" x14ac:dyDescent="0.25">
      <c r="A25" t="s">
        <v>38</v>
      </c>
      <c r="B25" t="s">
        <v>68</v>
      </c>
      <c r="C25" t="s">
        <v>68</v>
      </c>
      <c r="D25" t="str">
        <f t="shared" si="0"/>
        <v>Sim</v>
      </c>
    </row>
    <row r="26" spans="1:4" x14ac:dyDescent="0.25">
      <c r="A26" t="s">
        <v>38</v>
      </c>
      <c r="B26" t="s">
        <v>91</v>
      </c>
      <c r="C26" t="s">
        <v>91</v>
      </c>
      <c r="D26" t="str">
        <f t="shared" si="0"/>
        <v>Sim</v>
      </c>
    </row>
    <row r="27" spans="1:4" x14ac:dyDescent="0.25">
      <c r="A27" t="s">
        <v>38</v>
      </c>
      <c r="B27" t="s">
        <v>91</v>
      </c>
      <c r="C27" t="s">
        <v>91</v>
      </c>
      <c r="D27" t="str">
        <f t="shared" si="0"/>
        <v>Sim</v>
      </c>
    </row>
    <row r="28" spans="1:4" x14ac:dyDescent="0.25">
      <c r="A28" t="s">
        <v>38</v>
      </c>
      <c r="B28" t="s">
        <v>89</v>
      </c>
      <c r="C28" t="s">
        <v>89</v>
      </c>
      <c r="D28" t="str">
        <f t="shared" si="0"/>
        <v>Sim</v>
      </c>
    </row>
    <row r="29" spans="1:4" x14ac:dyDescent="0.25">
      <c r="A29" t="s">
        <v>38</v>
      </c>
      <c r="B29" t="s">
        <v>89</v>
      </c>
      <c r="C29" t="s">
        <v>89</v>
      </c>
      <c r="D29" t="str">
        <f t="shared" si="0"/>
        <v>Sim</v>
      </c>
    </row>
    <row r="30" spans="1:4" x14ac:dyDescent="0.25">
      <c r="A30" t="s">
        <v>38</v>
      </c>
      <c r="B30" t="s">
        <v>158</v>
      </c>
      <c r="C30" t="s">
        <v>158</v>
      </c>
      <c r="D30" t="str">
        <f t="shared" si="0"/>
        <v>Sim</v>
      </c>
    </row>
    <row r="31" spans="1:4" x14ac:dyDescent="0.25">
      <c r="A31" t="s">
        <v>38</v>
      </c>
      <c r="B31" t="s">
        <v>158</v>
      </c>
      <c r="C31" t="s">
        <v>158</v>
      </c>
      <c r="D31" t="str">
        <f t="shared" si="0"/>
        <v>Sim</v>
      </c>
    </row>
    <row r="32" spans="1:4" x14ac:dyDescent="0.25">
      <c r="A32" t="s">
        <v>38</v>
      </c>
      <c r="B32" t="s">
        <v>90</v>
      </c>
      <c r="C32" t="s">
        <v>90</v>
      </c>
      <c r="D32" t="str">
        <f t="shared" si="0"/>
        <v>Sim</v>
      </c>
    </row>
    <row r="33" spans="1:4" x14ac:dyDescent="0.25">
      <c r="A33" t="s">
        <v>38</v>
      </c>
      <c r="B33" t="s">
        <v>90</v>
      </c>
      <c r="C33" t="s">
        <v>90</v>
      </c>
      <c r="D33" t="str">
        <f t="shared" si="0"/>
        <v>Sim</v>
      </c>
    </row>
    <row r="34" spans="1:4" x14ac:dyDescent="0.25">
      <c r="A34" t="s">
        <v>38</v>
      </c>
      <c r="B34" t="s">
        <v>90</v>
      </c>
      <c r="C34" t="s">
        <v>90</v>
      </c>
      <c r="D34" t="str">
        <f t="shared" si="0"/>
        <v>Sim</v>
      </c>
    </row>
    <row r="35" spans="1:4" x14ac:dyDescent="0.25">
      <c r="A35" t="s">
        <v>38</v>
      </c>
      <c r="B35" t="s">
        <v>210</v>
      </c>
      <c r="C35" t="s">
        <v>210</v>
      </c>
      <c r="D35" t="str">
        <f t="shared" si="0"/>
        <v>Sim</v>
      </c>
    </row>
    <row r="36" spans="1:4" x14ac:dyDescent="0.25">
      <c r="A36" t="s">
        <v>38</v>
      </c>
      <c r="B36" t="s">
        <v>210</v>
      </c>
      <c r="C36" t="s">
        <v>210</v>
      </c>
      <c r="D36" t="str">
        <f t="shared" si="0"/>
        <v>Sim</v>
      </c>
    </row>
    <row r="37" spans="1:4" x14ac:dyDescent="0.25">
      <c r="A37" t="s">
        <v>19</v>
      </c>
      <c r="B37" t="s">
        <v>635</v>
      </c>
      <c r="C37" t="s">
        <v>635</v>
      </c>
      <c r="D37" t="str">
        <f t="shared" si="0"/>
        <v>Sim</v>
      </c>
    </row>
    <row r="38" spans="1:4" x14ac:dyDescent="0.25">
      <c r="A38" t="s">
        <v>19</v>
      </c>
      <c r="B38" t="s">
        <v>636</v>
      </c>
      <c r="C38" t="s">
        <v>636</v>
      </c>
      <c r="D38" t="str">
        <f t="shared" si="0"/>
        <v>Sim</v>
      </c>
    </row>
    <row r="39" spans="1:4" x14ac:dyDescent="0.25">
      <c r="A39" t="s">
        <v>19</v>
      </c>
      <c r="B39" t="s">
        <v>637</v>
      </c>
      <c r="C39" t="s">
        <v>637</v>
      </c>
      <c r="D39" t="str">
        <f t="shared" si="0"/>
        <v>Sim</v>
      </c>
    </row>
    <row r="40" spans="1:4" x14ac:dyDescent="0.25">
      <c r="A40" t="s">
        <v>19</v>
      </c>
      <c r="B40" t="s">
        <v>638</v>
      </c>
      <c r="C40" t="s">
        <v>638</v>
      </c>
      <c r="D40" t="str">
        <f t="shared" si="0"/>
        <v>Sim</v>
      </c>
    </row>
    <row r="41" spans="1:4" x14ac:dyDescent="0.25">
      <c r="A41" t="s">
        <v>19</v>
      </c>
      <c r="B41" t="s">
        <v>639</v>
      </c>
      <c r="C41" t="s">
        <v>640</v>
      </c>
      <c r="D41" t="str">
        <f>IF(B41=C41, "Sim", "Não")</f>
        <v>Não</v>
      </c>
    </row>
    <row r="42" spans="1:4" x14ac:dyDescent="0.25">
      <c r="A42" t="s">
        <v>19</v>
      </c>
      <c r="B42" t="s">
        <v>641</v>
      </c>
      <c r="C42" t="s">
        <v>641</v>
      </c>
      <c r="D42" t="str">
        <f t="shared" si="0"/>
        <v>Sim</v>
      </c>
    </row>
    <row r="43" spans="1:4" x14ac:dyDescent="0.25">
      <c r="A43" t="s">
        <v>19</v>
      </c>
      <c r="B43" t="s">
        <v>642</v>
      </c>
      <c r="C43" t="s">
        <v>642</v>
      </c>
      <c r="D43" t="str">
        <f t="shared" si="0"/>
        <v>Sim</v>
      </c>
    </row>
    <row r="44" spans="1:4" x14ac:dyDescent="0.25">
      <c r="A44" t="s">
        <v>19</v>
      </c>
      <c r="B44" t="s">
        <v>643</v>
      </c>
      <c r="C44" t="s">
        <v>643</v>
      </c>
      <c r="D44" t="str">
        <f t="shared" si="0"/>
        <v>Sim</v>
      </c>
    </row>
    <row r="45" spans="1:4" x14ac:dyDescent="0.25">
      <c r="A45" t="s">
        <v>19</v>
      </c>
      <c r="B45" t="s">
        <v>644</v>
      </c>
      <c r="C45" t="s">
        <v>644</v>
      </c>
      <c r="D45" t="str">
        <f t="shared" si="0"/>
        <v>Sim</v>
      </c>
    </row>
    <row r="46" spans="1:4" x14ac:dyDescent="0.25">
      <c r="A46" t="s">
        <v>19</v>
      </c>
      <c r="B46" t="s">
        <v>645</v>
      </c>
      <c r="C46" t="s">
        <v>645</v>
      </c>
      <c r="D46" t="str">
        <f t="shared" si="0"/>
        <v>Sim</v>
      </c>
    </row>
    <row r="47" spans="1:4" x14ac:dyDescent="0.25">
      <c r="A47" t="s">
        <v>19</v>
      </c>
      <c r="B47" t="s">
        <v>646</v>
      </c>
      <c r="C47" t="s">
        <v>646</v>
      </c>
      <c r="D47" t="str">
        <f t="shared" si="0"/>
        <v>Sim</v>
      </c>
    </row>
    <row r="48" spans="1:4" x14ac:dyDescent="0.25">
      <c r="A48" t="s">
        <v>19</v>
      </c>
      <c r="B48" t="s">
        <v>647</v>
      </c>
      <c r="C48" t="s">
        <v>647</v>
      </c>
      <c r="D48" t="str">
        <f t="shared" si="0"/>
        <v>Sim</v>
      </c>
    </row>
    <row r="49" spans="1:4" x14ac:dyDescent="0.25">
      <c r="A49" t="s">
        <v>19</v>
      </c>
      <c r="B49" t="s">
        <v>648</v>
      </c>
      <c r="C49" t="s">
        <v>648</v>
      </c>
      <c r="D49" t="str">
        <f t="shared" si="0"/>
        <v>Sim</v>
      </c>
    </row>
    <row r="50" spans="1:4" x14ac:dyDescent="0.25">
      <c r="A50" t="s">
        <v>19</v>
      </c>
      <c r="B50" t="s">
        <v>649</v>
      </c>
      <c r="C50" t="s">
        <v>649</v>
      </c>
      <c r="D50" t="str">
        <f t="shared" si="0"/>
        <v>Sim</v>
      </c>
    </row>
    <row r="51" spans="1:4" x14ac:dyDescent="0.25">
      <c r="A51" t="s">
        <v>19</v>
      </c>
      <c r="B51" t="s">
        <v>650</v>
      </c>
      <c r="C51" t="s">
        <v>650</v>
      </c>
      <c r="D51" t="str">
        <f t="shared" si="0"/>
        <v>Sim</v>
      </c>
    </row>
    <row r="52" spans="1:4" x14ac:dyDescent="0.25">
      <c r="A52" t="s">
        <v>19</v>
      </c>
      <c r="B52" t="s">
        <v>651</v>
      </c>
      <c r="C52" t="s">
        <v>651</v>
      </c>
      <c r="D52" t="str">
        <f t="shared" si="0"/>
        <v>Sim</v>
      </c>
    </row>
    <row r="53" spans="1:4" x14ac:dyDescent="0.25">
      <c r="A53" t="s">
        <v>19</v>
      </c>
      <c r="B53" t="s">
        <v>652</v>
      </c>
      <c r="C53" t="s">
        <v>652</v>
      </c>
      <c r="D53" t="str">
        <f t="shared" si="0"/>
        <v>Sim</v>
      </c>
    </row>
    <row r="54" spans="1:4" x14ac:dyDescent="0.25">
      <c r="A54" t="s">
        <v>19</v>
      </c>
      <c r="B54" t="s">
        <v>653</v>
      </c>
      <c r="C54" t="s">
        <v>653</v>
      </c>
      <c r="D54" t="str">
        <f t="shared" si="0"/>
        <v>Sim</v>
      </c>
    </row>
    <row r="55" spans="1:4" x14ac:dyDescent="0.25">
      <c r="A55" t="s">
        <v>19</v>
      </c>
      <c r="B55" t="s">
        <v>654</v>
      </c>
      <c r="C55" t="s">
        <v>654</v>
      </c>
      <c r="D55" t="str">
        <f t="shared" si="0"/>
        <v>Sim</v>
      </c>
    </row>
    <row r="56" spans="1:4" x14ac:dyDescent="0.25">
      <c r="A56" t="s">
        <v>19</v>
      </c>
      <c r="B56" t="s">
        <v>655</v>
      </c>
      <c r="C56" t="s">
        <v>655</v>
      </c>
      <c r="D56" t="str">
        <f t="shared" si="0"/>
        <v>Sim</v>
      </c>
    </row>
    <row r="57" spans="1:4" x14ac:dyDescent="0.25">
      <c r="A57" t="s">
        <v>19</v>
      </c>
      <c r="B57" t="s">
        <v>656</v>
      </c>
      <c r="C57" t="s">
        <v>656</v>
      </c>
      <c r="D57" t="str">
        <f t="shared" si="0"/>
        <v>Sim</v>
      </c>
    </row>
    <row r="58" spans="1:4" x14ac:dyDescent="0.25">
      <c r="A58" t="s">
        <v>19</v>
      </c>
      <c r="B58" t="s">
        <v>657</v>
      </c>
      <c r="C58" t="s">
        <v>657</v>
      </c>
      <c r="D58" t="str">
        <f t="shared" si="0"/>
        <v>Sim</v>
      </c>
    </row>
    <row r="59" spans="1:4" x14ac:dyDescent="0.25">
      <c r="A59" t="s">
        <v>19</v>
      </c>
      <c r="B59" t="s">
        <v>658</v>
      </c>
      <c r="C59" t="s">
        <v>658</v>
      </c>
      <c r="D59" t="str">
        <f t="shared" si="0"/>
        <v>Sim</v>
      </c>
    </row>
    <row r="60" spans="1:4" x14ac:dyDescent="0.25">
      <c r="A60" t="s">
        <v>19</v>
      </c>
      <c r="B60" t="s">
        <v>659</v>
      </c>
      <c r="C60" t="s">
        <v>659</v>
      </c>
      <c r="D60" t="str">
        <f t="shared" si="0"/>
        <v>Sim</v>
      </c>
    </row>
    <row r="61" spans="1:4" x14ac:dyDescent="0.25">
      <c r="A61" t="s">
        <v>19</v>
      </c>
      <c r="B61" t="s">
        <v>660</v>
      </c>
      <c r="C61" t="s">
        <v>660</v>
      </c>
      <c r="D61" t="str">
        <f t="shared" si="0"/>
        <v>Sim</v>
      </c>
    </row>
    <row r="62" spans="1:4" x14ac:dyDescent="0.25">
      <c r="A62" t="s">
        <v>19</v>
      </c>
      <c r="B62" t="s">
        <v>661</v>
      </c>
      <c r="C62" t="s">
        <v>661</v>
      </c>
      <c r="D62" t="str">
        <f t="shared" si="0"/>
        <v>Sim</v>
      </c>
    </row>
    <row r="63" spans="1:4" x14ac:dyDescent="0.25">
      <c r="A63" t="s">
        <v>19</v>
      </c>
      <c r="B63" t="s">
        <v>662</v>
      </c>
      <c r="C63" t="s">
        <v>662</v>
      </c>
      <c r="D63" t="str">
        <f t="shared" si="0"/>
        <v>Sim</v>
      </c>
    </row>
    <row r="64" spans="1:4" x14ac:dyDescent="0.25">
      <c r="A64" t="s">
        <v>19</v>
      </c>
      <c r="B64" t="s">
        <v>663</v>
      </c>
      <c r="C64" t="s">
        <v>663</v>
      </c>
      <c r="D64" t="str">
        <f t="shared" si="0"/>
        <v>Sim</v>
      </c>
    </row>
    <row r="65" spans="1:4" x14ac:dyDescent="0.25">
      <c r="A65" t="s">
        <v>19</v>
      </c>
      <c r="B65" t="s">
        <v>664</v>
      </c>
      <c r="C65" t="s">
        <v>664</v>
      </c>
      <c r="D65" t="str">
        <f t="shared" si="0"/>
        <v>Sim</v>
      </c>
    </row>
    <row r="66" spans="1:4" x14ac:dyDescent="0.25">
      <c r="A66" t="s">
        <v>19</v>
      </c>
      <c r="B66" t="s">
        <v>665</v>
      </c>
      <c r="C66" t="s">
        <v>665</v>
      </c>
      <c r="D66" t="str">
        <f t="shared" si="0"/>
        <v>Sim</v>
      </c>
    </row>
    <row r="67" spans="1:4" x14ac:dyDescent="0.25">
      <c r="A67" t="s">
        <v>19</v>
      </c>
      <c r="B67" t="s">
        <v>666</v>
      </c>
      <c r="C67" t="s">
        <v>666</v>
      </c>
      <c r="D67" t="str">
        <f t="shared" si="0"/>
        <v>Sim</v>
      </c>
    </row>
    <row r="68" spans="1:4" x14ac:dyDescent="0.25">
      <c r="A68" t="s">
        <v>19</v>
      </c>
      <c r="B68" t="s">
        <v>667</v>
      </c>
      <c r="C68" t="s">
        <v>667</v>
      </c>
      <c r="D68" t="str">
        <f t="shared" ref="D68:D101" si="2">IF(B68=C68, "Sim", "Não")</f>
        <v>Sim</v>
      </c>
    </row>
    <row r="69" spans="1:4" x14ac:dyDescent="0.25">
      <c r="A69" t="s">
        <v>19</v>
      </c>
      <c r="B69" t="s">
        <v>668</v>
      </c>
      <c r="C69" t="s">
        <v>668</v>
      </c>
      <c r="D69" t="str">
        <f t="shared" si="2"/>
        <v>Sim</v>
      </c>
    </row>
    <row r="70" spans="1:4" x14ac:dyDescent="0.25">
      <c r="A70" t="s">
        <v>19</v>
      </c>
      <c r="B70" t="s">
        <v>669</v>
      </c>
      <c r="C70" t="s">
        <v>669</v>
      </c>
      <c r="D70" t="str">
        <f>IF(B70=C70, "Sim", "Não")</f>
        <v>Sim</v>
      </c>
    </row>
    <row r="71" spans="1:4" x14ac:dyDescent="0.25">
      <c r="A71" t="s">
        <v>19</v>
      </c>
      <c r="B71" t="s">
        <v>670</v>
      </c>
      <c r="C71" t="s">
        <v>670</v>
      </c>
      <c r="D71" t="str">
        <f t="shared" si="2"/>
        <v>Sim</v>
      </c>
    </row>
    <row r="72" spans="1:4" x14ac:dyDescent="0.25">
      <c r="A72" t="s">
        <v>19</v>
      </c>
      <c r="B72" t="s">
        <v>671</v>
      </c>
      <c r="C72" t="s">
        <v>671</v>
      </c>
      <c r="D72" t="str">
        <f>IF(B72=C72, "Sim", "Não")</f>
        <v>Sim</v>
      </c>
    </row>
    <row r="73" spans="1:4" x14ac:dyDescent="0.25">
      <c r="A73" t="s">
        <v>19</v>
      </c>
      <c r="B73" t="s">
        <v>672</v>
      </c>
      <c r="C73" t="s">
        <v>672</v>
      </c>
      <c r="D73" t="str">
        <f t="shared" si="2"/>
        <v>Sim</v>
      </c>
    </row>
    <row r="74" spans="1:4" x14ac:dyDescent="0.25">
      <c r="A74" t="s">
        <v>19</v>
      </c>
      <c r="B74" t="s">
        <v>673</v>
      </c>
      <c r="C74" t="s">
        <v>673</v>
      </c>
      <c r="D74" t="str">
        <f t="shared" si="2"/>
        <v>Sim</v>
      </c>
    </row>
    <row r="75" spans="1:4" x14ac:dyDescent="0.25">
      <c r="A75" t="s">
        <v>19</v>
      </c>
      <c r="B75" t="s">
        <v>674</v>
      </c>
      <c r="C75" t="s">
        <v>674</v>
      </c>
      <c r="D75" t="str">
        <f t="shared" si="2"/>
        <v>Sim</v>
      </c>
    </row>
    <row r="76" spans="1:4" x14ac:dyDescent="0.25">
      <c r="A76" t="s">
        <v>19</v>
      </c>
      <c r="B76" t="s">
        <v>675</v>
      </c>
      <c r="C76" t="s">
        <v>675</v>
      </c>
      <c r="D76" t="str">
        <f t="shared" si="2"/>
        <v>Sim</v>
      </c>
    </row>
    <row r="77" spans="1:4" x14ac:dyDescent="0.25">
      <c r="A77" t="s">
        <v>19</v>
      </c>
      <c r="B77" t="s">
        <v>676</v>
      </c>
      <c r="C77" t="s">
        <v>676</v>
      </c>
      <c r="D77" t="str">
        <f t="shared" si="2"/>
        <v>Sim</v>
      </c>
    </row>
    <row r="78" spans="1:4" x14ac:dyDescent="0.25">
      <c r="A78" t="s">
        <v>19</v>
      </c>
      <c r="B78" t="s">
        <v>677</v>
      </c>
      <c r="C78" t="s">
        <v>677</v>
      </c>
      <c r="D78" t="str">
        <f t="shared" si="2"/>
        <v>Sim</v>
      </c>
    </row>
    <row r="79" spans="1:4" x14ac:dyDescent="0.25">
      <c r="A79" t="s">
        <v>19</v>
      </c>
      <c r="B79" t="s">
        <v>678</v>
      </c>
      <c r="C79" t="s">
        <v>678</v>
      </c>
      <c r="D79" t="str">
        <f t="shared" si="2"/>
        <v>Sim</v>
      </c>
    </row>
    <row r="80" spans="1:4" x14ac:dyDescent="0.25">
      <c r="A80" t="s">
        <v>347</v>
      </c>
      <c r="B80" t="s">
        <v>679</v>
      </c>
      <c r="C80" t="s">
        <v>679</v>
      </c>
      <c r="D80" t="str">
        <f t="shared" si="2"/>
        <v>Sim</v>
      </c>
    </row>
    <row r="81" spans="1:4" x14ac:dyDescent="0.25">
      <c r="A81" t="s">
        <v>347</v>
      </c>
      <c r="B81" t="s">
        <v>680</v>
      </c>
      <c r="C81" t="s">
        <v>680</v>
      </c>
      <c r="D81" t="str">
        <f t="shared" si="2"/>
        <v>Sim</v>
      </c>
    </row>
    <row r="82" spans="1:4" x14ac:dyDescent="0.25">
      <c r="A82" t="s">
        <v>156</v>
      </c>
      <c r="B82" t="s">
        <v>682</v>
      </c>
      <c r="C82" t="s">
        <v>682</v>
      </c>
      <c r="D82" t="str">
        <f>IF(B82=C82, "Sim", "Não")</f>
        <v>Sim</v>
      </c>
    </row>
    <row r="83" spans="1:4" x14ac:dyDescent="0.25">
      <c r="A83" t="s">
        <v>156</v>
      </c>
      <c r="B83" t="s">
        <v>683</v>
      </c>
      <c r="C83" t="s">
        <v>683</v>
      </c>
      <c r="D83" t="str">
        <f t="shared" si="2"/>
        <v>Sim</v>
      </c>
    </row>
    <row r="84" spans="1:4" x14ac:dyDescent="0.25">
      <c r="A84" t="s">
        <v>156</v>
      </c>
      <c r="B84" t="s">
        <v>684</v>
      </c>
      <c r="C84" t="s">
        <v>684</v>
      </c>
      <c r="D84" t="str">
        <f>IF(B84=C84, "Sim", "Não")</f>
        <v>Sim</v>
      </c>
    </row>
    <row r="85" spans="1:4" x14ac:dyDescent="0.25">
      <c r="A85" t="s">
        <v>156</v>
      </c>
      <c r="B85" t="s">
        <v>685</v>
      </c>
      <c r="C85" t="s">
        <v>685</v>
      </c>
      <c r="D85" t="str">
        <f t="shared" si="2"/>
        <v>Sim</v>
      </c>
    </row>
    <row r="86" spans="1:4" x14ac:dyDescent="0.25">
      <c r="A86" t="s">
        <v>156</v>
      </c>
      <c r="B86" t="s">
        <v>297</v>
      </c>
      <c r="C86" t="s">
        <v>297</v>
      </c>
      <c r="D86" t="str">
        <f t="shared" si="2"/>
        <v>Sim</v>
      </c>
    </row>
    <row r="87" spans="1:4" x14ac:dyDescent="0.25">
      <c r="A87" t="s">
        <v>156</v>
      </c>
      <c r="B87" t="s">
        <v>686</v>
      </c>
      <c r="C87" t="s">
        <v>686</v>
      </c>
      <c r="D87" t="str">
        <f>IF(B87=C87, "Sim", "Não")</f>
        <v>Sim</v>
      </c>
    </row>
    <row r="88" spans="1:4" x14ac:dyDescent="0.25">
      <c r="A88" t="s">
        <v>156</v>
      </c>
      <c r="B88" t="s">
        <v>687</v>
      </c>
      <c r="C88" t="s">
        <v>1955</v>
      </c>
      <c r="D88" t="str">
        <f t="shared" si="2"/>
        <v>Não</v>
      </c>
    </row>
    <row r="89" spans="1:4" x14ac:dyDescent="0.25">
      <c r="A89" t="s">
        <v>44</v>
      </c>
      <c r="B89" t="s">
        <v>160</v>
      </c>
      <c r="C89" t="s">
        <v>160</v>
      </c>
      <c r="D89" t="str">
        <f t="shared" si="2"/>
        <v>Sim</v>
      </c>
    </row>
    <row r="90" spans="1:4" x14ac:dyDescent="0.25">
      <c r="A90" t="s">
        <v>44</v>
      </c>
      <c r="B90" t="s">
        <v>161</v>
      </c>
      <c r="C90" t="s">
        <v>161</v>
      </c>
      <c r="D90" t="str">
        <f t="shared" si="2"/>
        <v>Sim</v>
      </c>
    </row>
    <row r="91" spans="1:4" x14ac:dyDescent="0.25">
      <c r="A91" t="s">
        <v>44</v>
      </c>
      <c r="B91" t="s">
        <v>361</v>
      </c>
      <c r="C91" t="s">
        <v>361</v>
      </c>
      <c r="D91" t="str">
        <f t="shared" si="2"/>
        <v>Sim</v>
      </c>
    </row>
    <row r="92" spans="1:4" x14ac:dyDescent="0.25">
      <c r="A92" t="s">
        <v>44</v>
      </c>
      <c r="B92" t="s">
        <v>360</v>
      </c>
      <c r="C92" t="s">
        <v>360</v>
      </c>
      <c r="D92" t="str">
        <f t="shared" si="2"/>
        <v>Sim</v>
      </c>
    </row>
    <row r="93" spans="1:4" x14ac:dyDescent="0.25">
      <c r="A93" t="s">
        <v>44</v>
      </c>
      <c r="B93" t="s">
        <v>568</v>
      </c>
      <c r="C93" t="s">
        <v>568</v>
      </c>
      <c r="D93" t="str">
        <f t="shared" si="2"/>
        <v>Sim</v>
      </c>
    </row>
    <row r="94" spans="1:4" x14ac:dyDescent="0.25">
      <c r="A94" t="s">
        <v>44</v>
      </c>
      <c r="B94" t="s">
        <v>214</v>
      </c>
      <c r="C94" t="s">
        <v>214</v>
      </c>
      <c r="D94" t="str">
        <f t="shared" si="2"/>
        <v>Sim</v>
      </c>
    </row>
    <row r="95" spans="1:4" x14ac:dyDescent="0.25">
      <c r="A95" t="s">
        <v>44</v>
      </c>
      <c r="B95" t="s">
        <v>215</v>
      </c>
      <c r="C95" t="s">
        <v>215</v>
      </c>
      <c r="D95" t="str">
        <f t="shared" si="2"/>
        <v>Sim</v>
      </c>
    </row>
    <row r="96" spans="1:4" x14ac:dyDescent="0.25">
      <c r="A96" t="s">
        <v>44</v>
      </c>
      <c r="B96" t="s">
        <v>213</v>
      </c>
      <c r="C96" t="s">
        <v>213</v>
      </c>
      <c r="D96" t="str">
        <f t="shared" si="2"/>
        <v>Sim</v>
      </c>
    </row>
    <row r="97" spans="1:4" x14ac:dyDescent="0.25">
      <c r="A97" t="s">
        <v>44</v>
      </c>
      <c r="B97" t="s">
        <v>681</v>
      </c>
      <c r="C97" t="s">
        <v>162</v>
      </c>
      <c r="D97" t="str">
        <f>IF(B97=C97, "Sim", "Não")</f>
        <v>Não</v>
      </c>
    </row>
    <row r="98" spans="1:4" x14ac:dyDescent="0.25">
      <c r="A98" t="s">
        <v>44</v>
      </c>
      <c r="B98" t="s">
        <v>567</v>
      </c>
      <c r="C98" t="s">
        <v>567</v>
      </c>
      <c r="D98" t="str">
        <f t="shared" si="2"/>
        <v>Sim</v>
      </c>
    </row>
    <row r="99" spans="1:4" x14ac:dyDescent="0.25">
      <c r="A99" t="s">
        <v>44</v>
      </c>
      <c r="B99" t="s">
        <v>212</v>
      </c>
      <c r="C99" t="s">
        <v>212</v>
      </c>
      <c r="D99" t="str">
        <f t="shared" si="2"/>
        <v>Sim</v>
      </c>
    </row>
    <row r="100" spans="1:4" x14ac:dyDescent="0.25">
      <c r="A100" t="s">
        <v>44</v>
      </c>
      <c r="B100" t="s">
        <v>688</v>
      </c>
      <c r="C100" t="s">
        <v>688</v>
      </c>
      <c r="D100" t="str">
        <f t="shared" si="2"/>
        <v>Sim</v>
      </c>
    </row>
    <row r="101" spans="1:4" x14ac:dyDescent="0.25">
      <c r="A101" t="s">
        <v>44</v>
      </c>
      <c r="B101" t="s">
        <v>92</v>
      </c>
      <c r="C101" t="s">
        <v>92</v>
      </c>
      <c r="D101" t="str">
        <f t="shared" si="2"/>
        <v>Sim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EFDE-6504-40DC-97A6-AE499BEA990E}">
  <sheetPr codeName="Planilha15"/>
  <dimension ref="A1:G101"/>
  <sheetViews>
    <sheetView topLeftCell="A12" workbookViewId="0">
      <selection activeCell="C32" sqref="B32:C32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28" t="s">
        <v>20</v>
      </c>
      <c r="B1" s="28"/>
      <c r="C1" s="28"/>
      <c r="D1" s="28"/>
      <c r="E1" s="28"/>
      <c r="F1" s="28"/>
      <c r="G1" s="28"/>
    </row>
    <row r="2" spans="1:7" x14ac:dyDescent="0.25">
      <c r="A2" s="4" t="s">
        <v>34</v>
      </c>
      <c r="B2" s="4" t="s">
        <v>35</v>
      </c>
      <c r="C2" s="4" t="s">
        <v>36</v>
      </c>
      <c r="D2" s="4" t="s">
        <v>37</v>
      </c>
    </row>
    <row r="3" spans="1:7" x14ac:dyDescent="0.25">
      <c r="A3" t="s">
        <v>38</v>
      </c>
      <c r="B3" t="s">
        <v>338</v>
      </c>
      <c r="C3" t="s">
        <v>338</v>
      </c>
      <c r="D3" t="str">
        <f>IF(B3=C3, "Sim", "Não")</f>
        <v>Sim</v>
      </c>
      <c r="F3" s="4" t="s">
        <v>39</v>
      </c>
      <c r="G3" s="3">
        <f>COUNTIF(D3:D105,"Não")</f>
        <v>14</v>
      </c>
    </row>
    <row r="4" spans="1:7" x14ac:dyDescent="0.25">
      <c r="A4" t="s">
        <v>38</v>
      </c>
      <c r="B4" t="s">
        <v>48</v>
      </c>
      <c r="C4" t="s">
        <v>689</v>
      </c>
      <c r="D4" t="str">
        <f t="shared" ref="D4:D66" si="0">IF(B4=C4, "Sim", "Não")</f>
        <v>Não</v>
      </c>
      <c r="F4" s="4" t="s">
        <v>40</v>
      </c>
      <c r="G4" s="3">
        <f>SUM(G7:G25)</f>
        <v>99</v>
      </c>
    </row>
    <row r="5" spans="1:7" x14ac:dyDescent="0.25">
      <c r="A5" t="s">
        <v>38</v>
      </c>
      <c r="B5" t="s">
        <v>690</v>
      </c>
      <c r="C5" t="s">
        <v>690</v>
      </c>
      <c r="D5" t="str">
        <f t="shared" si="0"/>
        <v>Sim</v>
      </c>
    </row>
    <row r="6" spans="1:7" x14ac:dyDescent="0.25">
      <c r="A6" t="s">
        <v>38</v>
      </c>
      <c r="B6" t="s">
        <v>691</v>
      </c>
      <c r="C6" t="s">
        <v>691</v>
      </c>
      <c r="D6" t="str">
        <f t="shared" si="0"/>
        <v>Sim</v>
      </c>
      <c r="F6" s="6" t="s">
        <v>42</v>
      </c>
      <c r="G6" s="1"/>
    </row>
    <row r="7" spans="1:7" x14ac:dyDescent="0.25">
      <c r="A7" t="s">
        <v>38</v>
      </c>
      <c r="B7" t="s">
        <v>555</v>
      </c>
      <c r="C7" t="s">
        <v>555</v>
      </c>
      <c r="D7" t="str">
        <f t="shared" si="0"/>
        <v>Sim</v>
      </c>
      <c r="F7" s="1" t="s">
        <v>38</v>
      </c>
      <c r="G7" s="2">
        <f t="shared" ref="G7:G12" si="1">COUNTIF(A:A,F7)</f>
        <v>31</v>
      </c>
    </row>
    <row r="8" spans="1:7" x14ac:dyDescent="0.25">
      <c r="A8" t="s">
        <v>38</v>
      </c>
      <c r="B8" t="s">
        <v>692</v>
      </c>
      <c r="C8" t="s">
        <v>692</v>
      </c>
      <c r="D8" t="str">
        <f t="shared" si="0"/>
        <v>Sim</v>
      </c>
      <c r="F8" s="1" t="s">
        <v>44</v>
      </c>
      <c r="G8" s="2">
        <f t="shared" si="1"/>
        <v>19</v>
      </c>
    </row>
    <row r="9" spans="1:7" x14ac:dyDescent="0.25">
      <c r="A9" t="s">
        <v>38</v>
      </c>
      <c r="B9" t="s">
        <v>693</v>
      </c>
      <c r="C9" t="s">
        <v>693</v>
      </c>
      <c r="D9" t="str">
        <f t="shared" si="0"/>
        <v>Sim</v>
      </c>
      <c r="F9" s="1" t="s">
        <v>6</v>
      </c>
      <c r="G9" s="2">
        <f t="shared" si="1"/>
        <v>26</v>
      </c>
    </row>
    <row r="10" spans="1:7" x14ac:dyDescent="0.25">
      <c r="A10" t="s">
        <v>38</v>
      </c>
      <c r="B10" t="s">
        <v>694</v>
      </c>
      <c r="C10" t="s">
        <v>694</v>
      </c>
      <c r="D10" t="str">
        <f t="shared" si="0"/>
        <v>Sim</v>
      </c>
      <c r="F10" s="1" t="s">
        <v>347</v>
      </c>
      <c r="G10" s="2">
        <f t="shared" si="1"/>
        <v>2</v>
      </c>
    </row>
    <row r="11" spans="1:7" x14ac:dyDescent="0.25">
      <c r="A11" t="s">
        <v>38</v>
      </c>
      <c r="B11" t="s">
        <v>695</v>
      </c>
      <c r="C11" t="s">
        <v>695</v>
      </c>
      <c r="D11" t="str">
        <f t="shared" si="0"/>
        <v>Sim</v>
      </c>
      <c r="F11" s="1" t="s">
        <v>71</v>
      </c>
      <c r="G11" s="2">
        <f t="shared" si="1"/>
        <v>8</v>
      </c>
    </row>
    <row r="12" spans="1:7" x14ac:dyDescent="0.25">
      <c r="A12" t="s">
        <v>38</v>
      </c>
      <c r="B12" t="s">
        <v>696</v>
      </c>
      <c r="C12" t="s">
        <v>696</v>
      </c>
      <c r="D12" t="str">
        <f t="shared" si="0"/>
        <v>Sim</v>
      </c>
      <c r="F12" s="1" t="s">
        <v>73</v>
      </c>
      <c r="G12" s="2">
        <f t="shared" si="1"/>
        <v>13</v>
      </c>
    </row>
    <row r="13" spans="1:7" x14ac:dyDescent="0.25">
      <c r="A13" t="s">
        <v>38</v>
      </c>
      <c r="B13" t="s">
        <v>48</v>
      </c>
      <c r="C13" t="s">
        <v>697</v>
      </c>
      <c r="D13" t="str">
        <f t="shared" si="0"/>
        <v>Não</v>
      </c>
      <c r="F13" s="7"/>
      <c r="G13" s="2"/>
    </row>
    <row r="14" spans="1:7" x14ac:dyDescent="0.25">
      <c r="A14" t="s">
        <v>38</v>
      </c>
      <c r="B14" t="s">
        <v>551</v>
      </c>
      <c r="C14" t="s">
        <v>551</v>
      </c>
      <c r="D14" t="str">
        <f t="shared" si="0"/>
        <v>Sim</v>
      </c>
      <c r="F14" s="7"/>
      <c r="G14" s="2"/>
    </row>
    <row r="15" spans="1:7" x14ac:dyDescent="0.25">
      <c r="A15" t="s">
        <v>38</v>
      </c>
      <c r="B15" t="s">
        <v>48</v>
      </c>
      <c r="C15" t="s">
        <v>291</v>
      </c>
      <c r="D15" t="str">
        <f t="shared" si="0"/>
        <v>Não</v>
      </c>
      <c r="F15" s="4"/>
      <c r="G15" s="2"/>
    </row>
    <row r="16" spans="1:7" x14ac:dyDescent="0.25">
      <c r="A16" t="s">
        <v>38</v>
      </c>
      <c r="B16" t="s">
        <v>48</v>
      </c>
      <c r="C16" t="s">
        <v>359</v>
      </c>
      <c r="D16" t="str">
        <f t="shared" si="0"/>
        <v>Não</v>
      </c>
      <c r="F16" s="4"/>
      <c r="G16" s="2"/>
    </row>
    <row r="17" spans="1:4" x14ac:dyDescent="0.25">
      <c r="A17" t="s">
        <v>38</v>
      </c>
      <c r="B17" t="s">
        <v>209</v>
      </c>
      <c r="C17" t="s">
        <v>209</v>
      </c>
      <c r="D17" t="str">
        <f t="shared" si="0"/>
        <v>Sim</v>
      </c>
    </row>
    <row r="18" spans="1:4" x14ac:dyDescent="0.25">
      <c r="A18" t="s">
        <v>38</v>
      </c>
      <c r="B18" t="s">
        <v>698</v>
      </c>
      <c r="C18" t="s">
        <v>698</v>
      </c>
      <c r="D18" t="str">
        <f t="shared" si="0"/>
        <v>Sim</v>
      </c>
    </row>
    <row r="19" spans="1:4" x14ac:dyDescent="0.25">
      <c r="A19" t="s">
        <v>38</v>
      </c>
      <c r="B19" t="s">
        <v>48</v>
      </c>
      <c r="C19" t="s">
        <v>48</v>
      </c>
      <c r="D19" t="str">
        <f t="shared" si="0"/>
        <v>Sim</v>
      </c>
    </row>
    <row r="20" spans="1:4" x14ac:dyDescent="0.25">
      <c r="A20" t="s">
        <v>38</v>
      </c>
      <c r="B20" t="s">
        <v>48</v>
      </c>
      <c r="C20" t="s">
        <v>48</v>
      </c>
      <c r="D20" t="str">
        <f t="shared" si="0"/>
        <v>Sim</v>
      </c>
    </row>
    <row r="21" spans="1:4" x14ac:dyDescent="0.25">
      <c r="A21" t="s">
        <v>38</v>
      </c>
      <c r="B21" t="s">
        <v>48</v>
      </c>
      <c r="C21" t="s">
        <v>48</v>
      </c>
      <c r="D21" t="str">
        <f t="shared" si="0"/>
        <v>Sim</v>
      </c>
    </row>
    <row r="22" spans="1:4" x14ac:dyDescent="0.25">
      <c r="A22" t="s">
        <v>38</v>
      </c>
      <c r="B22" t="s">
        <v>48</v>
      </c>
      <c r="C22" t="s">
        <v>48</v>
      </c>
      <c r="D22" t="str">
        <f t="shared" si="0"/>
        <v>Sim</v>
      </c>
    </row>
    <row r="23" spans="1:4" x14ac:dyDescent="0.25">
      <c r="A23" t="s">
        <v>38</v>
      </c>
      <c r="B23" t="s">
        <v>48</v>
      </c>
      <c r="C23" t="s">
        <v>48</v>
      </c>
      <c r="D23" t="str">
        <f t="shared" si="0"/>
        <v>Sim</v>
      </c>
    </row>
    <row r="24" spans="1:4" x14ac:dyDescent="0.25">
      <c r="A24" t="s">
        <v>38</v>
      </c>
      <c r="B24" t="s">
        <v>48</v>
      </c>
      <c r="C24" t="s">
        <v>48</v>
      </c>
      <c r="D24" t="str">
        <f t="shared" si="0"/>
        <v>Sim</v>
      </c>
    </row>
    <row r="25" spans="1:4" x14ac:dyDescent="0.25">
      <c r="A25" t="s">
        <v>38</v>
      </c>
      <c r="B25" t="s">
        <v>48</v>
      </c>
      <c r="C25" t="s">
        <v>48</v>
      </c>
      <c r="D25" t="str">
        <f t="shared" si="0"/>
        <v>Sim</v>
      </c>
    </row>
    <row r="26" spans="1:4" x14ac:dyDescent="0.25">
      <c r="A26" t="s">
        <v>38</v>
      </c>
      <c r="B26" t="s">
        <v>48</v>
      </c>
      <c r="C26" t="s">
        <v>48</v>
      </c>
      <c r="D26" t="str">
        <f t="shared" si="0"/>
        <v>Sim</v>
      </c>
    </row>
    <row r="27" spans="1:4" x14ac:dyDescent="0.25">
      <c r="A27" t="s">
        <v>38</v>
      </c>
      <c r="B27" t="s">
        <v>48</v>
      </c>
      <c r="C27" t="s">
        <v>48</v>
      </c>
      <c r="D27" t="str">
        <f t="shared" si="0"/>
        <v>Sim</v>
      </c>
    </row>
    <row r="28" spans="1:4" x14ac:dyDescent="0.25">
      <c r="A28" t="s">
        <v>38</v>
      </c>
      <c r="B28" t="s">
        <v>48</v>
      </c>
      <c r="C28" t="s">
        <v>48</v>
      </c>
      <c r="D28" t="str">
        <f t="shared" si="0"/>
        <v>Sim</v>
      </c>
    </row>
    <row r="29" spans="1:4" x14ac:dyDescent="0.25">
      <c r="A29" t="s">
        <v>38</v>
      </c>
      <c r="B29" t="s">
        <v>48</v>
      </c>
      <c r="C29" t="s">
        <v>48</v>
      </c>
      <c r="D29" t="str">
        <f t="shared" si="0"/>
        <v>Sim</v>
      </c>
    </row>
    <row r="30" spans="1:4" x14ac:dyDescent="0.25">
      <c r="A30" t="s">
        <v>38</v>
      </c>
      <c r="B30" t="s">
        <v>48</v>
      </c>
      <c r="C30" t="s">
        <v>48</v>
      </c>
      <c r="D30" t="str">
        <f t="shared" si="0"/>
        <v>Sim</v>
      </c>
    </row>
    <row r="31" spans="1:4" x14ac:dyDescent="0.25">
      <c r="A31" t="s">
        <v>38</v>
      </c>
      <c r="B31" t="s">
        <v>48</v>
      </c>
      <c r="C31" t="s">
        <v>48</v>
      </c>
      <c r="D31" t="str">
        <f t="shared" si="0"/>
        <v>Sim</v>
      </c>
    </row>
    <row r="32" spans="1:4" x14ac:dyDescent="0.25">
      <c r="A32" t="s">
        <v>38</v>
      </c>
      <c r="B32" t="s">
        <v>48</v>
      </c>
      <c r="C32" t="s">
        <v>48</v>
      </c>
      <c r="D32" t="str">
        <f>IF(B32=C32, "Sim", "Não")</f>
        <v>Sim</v>
      </c>
    </row>
    <row r="33" spans="1:4" x14ac:dyDescent="0.25">
      <c r="A33" t="s">
        <v>38</v>
      </c>
      <c r="B33" t="s">
        <v>48</v>
      </c>
      <c r="C33" t="s">
        <v>48</v>
      </c>
      <c r="D33" t="str">
        <f t="shared" si="0"/>
        <v>Sim</v>
      </c>
    </row>
    <row r="34" spans="1:4" x14ac:dyDescent="0.25">
      <c r="A34" t="s">
        <v>44</v>
      </c>
      <c r="B34" t="s">
        <v>211</v>
      </c>
      <c r="C34" t="s">
        <v>211</v>
      </c>
      <c r="D34" t="str">
        <f>IF(B34=C34, "Sim", "Não")</f>
        <v>Sim</v>
      </c>
    </row>
    <row r="35" spans="1:4" x14ac:dyDescent="0.25">
      <c r="A35" t="s">
        <v>44</v>
      </c>
      <c r="B35" t="s">
        <v>707</v>
      </c>
      <c r="C35" t="s">
        <v>707</v>
      </c>
      <c r="D35" t="str">
        <f>IF(B35=C35, "Sim", "Não")</f>
        <v>Sim</v>
      </c>
    </row>
    <row r="36" spans="1:4" x14ac:dyDescent="0.25">
      <c r="A36" t="s">
        <v>44</v>
      </c>
      <c r="B36" t="s">
        <v>711</v>
      </c>
      <c r="C36" t="s">
        <v>711</v>
      </c>
      <c r="D36" t="str">
        <f>IF(B36=C36, "Sim", "Não")</f>
        <v>Sim</v>
      </c>
    </row>
    <row r="37" spans="1:4" x14ac:dyDescent="0.25">
      <c r="A37" t="s">
        <v>44</v>
      </c>
      <c r="B37" t="s">
        <v>365</v>
      </c>
      <c r="C37" t="s">
        <v>365</v>
      </c>
      <c r="D37" t="str">
        <f>IF(B37=C37, "Sim", "Não")</f>
        <v>Sim</v>
      </c>
    </row>
    <row r="38" spans="1:4" x14ac:dyDescent="0.25">
      <c r="A38" t="s">
        <v>44</v>
      </c>
      <c r="B38" t="s">
        <v>704</v>
      </c>
      <c r="C38" t="s">
        <v>704</v>
      </c>
      <c r="D38" t="str">
        <f>IF(B38=C38, "Sim", "Não")</f>
        <v>Sim</v>
      </c>
    </row>
    <row r="39" spans="1:4" x14ac:dyDescent="0.25">
      <c r="A39" t="s">
        <v>44</v>
      </c>
      <c r="B39" t="s">
        <v>699</v>
      </c>
      <c r="C39" t="s">
        <v>699</v>
      </c>
      <c r="D39" t="str">
        <f t="shared" si="0"/>
        <v>Sim</v>
      </c>
    </row>
    <row r="40" spans="1:4" x14ac:dyDescent="0.25">
      <c r="A40" t="s">
        <v>44</v>
      </c>
      <c r="B40" t="s">
        <v>362</v>
      </c>
      <c r="C40" t="s">
        <v>362</v>
      </c>
      <c r="D40" t="str">
        <f>IF(B40=C40, "Sim", "Não")</f>
        <v>Sim</v>
      </c>
    </row>
    <row r="41" spans="1:4" x14ac:dyDescent="0.25">
      <c r="A41" t="s">
        <v>44</v>
      </c>
      <c r="B41" t="s">
        <v>705</v>
      </c>
      <c r="C41" t="s">
        <v>1777</v>
      </c>
      <c r="D41" t="str">
        <f>IF(B41=C41, "Sim", "Não")</f>
        <v>Não</v>
      </c>
    </row>
    <row r="42" spans="1:4" x14ac:dyDescent="0.25">
      <c r="A42" t="s">
        <v>44</v>
      </c>
      <c r="B42" t="s">
        <v>706</v>
      </c>
      <c r="C42" t="s">
        <v>706</v>
      </c>
      <c r="D42" t="str">
        <f>IF(B42=C42, "Sim", "Não")</f>
        <v>Sim</v>
      </c>
    </row>
    <row r="43" spans="1:4" x14ac:dyDescent="0.25">
      <c r="A43" t="s">
        <v>44</v>
      </c>
      <c r="B43" t="s">
        <v>710</v>
      </c>
      <c r="C43" t="s">
        <v>710</v>
      </c>
      <c r="D43" t="str">
        <f>IF(B43=C43, "Sim", "Não")</f>
        <v>Sim</v>
      </c>
    </row>
    <row r="44" spans="1:4" x14ac:dyDescent="0.25">
      <c r="A44" t="s">
        <v>44</v>
      </c>
      <c r="B44" t="s">
        <v>709</v>
      </c>
      <c r="C44" t="s">
        <v>709</v>
      </c>
      <c r="D44" t="str">
        <f>IF(B44=C44, "Sim", "Não")</f>
        <v>Sim</v>
      </c>
    </row>
    <row r="45" spans="1:4" x14ac:dyDescent="0.25">
      <c r="A45" t="s">
        <v>44</v>
      </c>
      <c r="B45" t="s">
        <v>367</v>
      </c>
      <c r="C45" t="s">
        <v>367</v>
      </c>
      <c r="D45" t="str">
        <f t="shared" si="0"/>
        <v>Sim</v>
      </c>
    </row>
    <row r="46" spans="1:4" x14ac:dyDescent="0.25">
      <c r="A46" t="s">
        <v>44</v>
      </c>
      <c r="B46" t="s">
        <v>702</v>
      </c>
      <c r="C46" t="s">
        <v>702</v>
      </c>
      <c r="D46" t="str">
        <f t="shared" si="0"/>
        <v>Sim</v>
      </c>
    </row>
    <row r="47" spans="1:4" x14ac:dyDescent="0.25">
      <c r="A47" t="s">
        <v>44</v>
      </c>
      <c r="B47" t="s">
        <v>163</v>
      </c>
      <c r="C47" t="s">
        <v>163</v>
      </c>
      <c r="D47" t="str">
        <f t="shared" si="0"/>
        <v>Sim</v>
      </c>
    </row>
    <row r="48" spans="1:4" x14ac:dyDescent="0.25">
      <c r="A48" t="s">
        <v>44</v>
      </c>
      <c r="B48" t="s">
        <v>366</v>
      </c>
      <c r="C48" t="s">
        <v>366</v>
      </c>
      <c r="D48" t="str">
        <f>IF(B48=C48, "Sim", "Não")</f>
        <v>Sim</v>
      </c>
    </row>
    <row r="49" spans="1:4" x14ac:dyDescent="0.25">
      <c r="A49" t="s">
        <v>44</v>
      </c>
      <c r="B49" t="s">
        <v>701</v>
      </c>
      <c r="C49" t="s">
        <v>1992</v>
      </c>
      <c r="D49" t="str">
        <f>IF(B49=C49, "Sim", "Não")</f>
        <v>Não</v>
      </c>
    </row>
    <row r="50" spans="1:4" x14ac:dyDescent="0.25">
      <c r="A50" t="s">
        <v>44</v>
      </c>
      <c r="B50" t="s">
        <v>700</v>
      </c>
      <c r="C50" t="s">
        <v>700</v>
      </c>
      <c r="D50" t="str">
        <f>IF(B50=C50, "Sim", "Não")</f>
        <v>Sim</v>
      </c>
    </row>
    <row r="51" spans="1:4" x14ac:dyDescent="0.25">
      <c r="A51" t="s">
        <v>44</v>
      </c>
      <c r="B51" t="s">
        <v>708</v>
      </c>
      <c r="C51" t="s">
        <v>708</v>
      </c>
      <c r="D51" t="str">
        <f>IF(B51=C51, "Sim", "Não")</f>
        <v>Sim</v>
      </c>
    </row>
    <row r="52" spans="1:4" x14ac:dyDescent="0.25">
      <c r="A52" t="s">
        <v>44</v>
      </c>
      <c r="B52" t="s">
        <v>703</v>
      </c>
      <c r="C52" t="s">
        <v>703</v>
      </c>
      <c r="D52" t="str">
        <f>IF(B52=C52, "Sim", "Não")</f>
        <v>Sim</v>
      </c>
    </row>
    <row r="53" spans="1:4" x14ac:dyDescent="0.25">
      <c r="A53" t="s">
        <v>71</v>
      </c>
      <c r="B53" t="s">
        <v>712</v>
      </c>
      <c r="C53" t="s">
        <v>712</v>
      </c>
      <c r="D53" t="str">
        <f t="shared" si="0"/>
        <v>Sim</v>
      </c>
    </row>
    <row r="54" spans="1:4" x14ac:dyDescent="0.25">
      <c r="A54" t="s">
        <v>71</v>
      </c>
      <c r="B54" t="s">
        <v>752</v>
      </c>
      <c r="C54" t="s">
        <v>1991</v>
      </c>
      <c r="D54" t="str">
        <f>IF(B54=C54, "Sim", "Não")</f>
        <v>Não</v>
      </c>
    </row>
    <row r="55" spans="1:4" x14ac:dyDescent="0.25">
      <c r="A55" t="s">
        <v>71</v>
      </c>
      <c r="B55" t="s">
        <v>713</v>
      </c>
      <c r="C55" t="s">
        <v>713</v>
      </c>
      <c r="D55" t="str">
        <f>IF(B55=C55, "Sim", "Não")</f>
        <v>Sim</v>
      </c>
    </row>
    <row r="56" spans="1:4" x14ac:dyDescent="0.25">
      <c r="A56" t="s">
        <v>71</v>
      </c>
      <c r="B56" t="s">
        <v>715</v>
      </c>
      <c r="C56" t="s">
        <v>715</v>
      </c>
      <c r="D56" t="str">
        <f t="shared" si="0"/>
        <v>Sim</v>
      </c>
    </row>
    <row r="57" spans="1:4" x14ac:dyDescent="0.25">
      <c r="A57" t="s">
        <v>71</v>
      </c>
      <c r="B57" t="s">
        <v>716</v>
      </c>
      <c r="C57" t="s">
        <v>716</v>
      </c>
      <c r="D57" t="str">
        <f t="shared" si="0"/>
        <v>Sim</v>
      </c>
    </row>
    <row r="58" spans="1:4" x14ac:dyDescent="0.25">
      <c r="A58" t="s">
        <v>71</v>
      </c>
      <c r="B58" t="s">
        <v>717</v>
      </c>
      <c r="C58" t="s">
        <v>717</v>
      </c>
      <c r="D58" t="str">
        <f t="shared" si="0"/>
        <v>Sim</v>
      </c>
    </row>
    <row r="59" spans="1:4" x14ac:dyDescent="0.25">
      <c r="A59" t="s">
        <v>71</v>
      </c>
      <c r="B59" t="s">
        <v>723</v>
      </c>
      <c r="C59" t="s">
        <v>723</v>
      </c>
      <c r="D59" t="str">
        <f>IF(B59=C59, "Sim", "Não")</f>
        <v>Sim</v>
      </c>
    </row>
    <row r="60" spans="1:4" x14ac:dyDescent="0.25">
      <c r="A60" t="s">
        <v>71</v>
      </c>
      <c r="B60" t="s">
        <v>718</v>
      </c>
      <c r="C60" t="s">
        <v>718</v>
      </c>
      <c r="D60" t="str">
        <f t="shared" si="0"/>
        <v>Sim</v>
      </c>
    </row>
    <row r="61" spans="1:4" x14ac:dyDescent="0.25">
      <c r="A61" t="s">
        <v>347</v>
      </c>
      <c r="B61" t="s">
        <v>720</v>
      </c>
      <c r="C61" t="s">
        <v>720</v>
      </c>
      <c r="D61" t="str">
        <f t="shared" si="0"/>
        <v>Sim</v>
      </c>
    </row>
    <row r="62" spans="1:4" x14ac:dyDescent="0.25">
      <c r="A62" t="s">
        <v>347</v>
      </c>
      <c r="B62" t="s">
        <v>1776</v>
      </c>
      <c r="C62" t="s">
        <v>1776</v>
      </c>
      <c r="D62" t="str">
        <f t="shared" si="0"/>
        <v>Sim</v>
      </c>
    </row>
    <row r="63" spans="1:4" x14ac:dyDescent="0.25">
      <c r="A63" t="s">
        <v>73</v>
      </c>
      <c r="B63" t="s">
        <v>721</v>
      </c>
      <c r="C63" t="s">
        <v>721</v>
      </c>
      <c r="D63" t="str">
        <f t="shared" si="0"/>
        <v>Sim</v>
      </c>
    </row>
    <row r="64" spans="1:4" x14ac:dyDescent="0.25">
      <c r="A64" t="s">
        <v>73</v>
      </c>
      <c r="B64" t="s">
        <v>722</v>
      </c>
      <c r="C64" t="s">
        <v>722</v>
      </c>
      <c r="D64" t="str">
        <f t="shared" si="0"/>
        <v>Sim</v>
      </c>
    </row>
    <row r="65" spans="1:4" x14ac:dyDescent="0.25">
      <c r="A65" t="s">
        <v>73</v>
      </c>
      <c r="B65" t="s">
        <v>724</v>
      </c>
      <c r="C65" t="s">
        <v>724</v>
      </c>
      <c r="D65" t="str">
        <f t="shared" si="0"/>
        <v>Sim</v>
      </c>
    </row>
    <row r="66" spans="1:4" x14ac:dyDescent="0.25">
      <c r="A66" t="s">
        <v>73</v>
      </c>
      <c r="B66" t="s">
        <v>725</v>
      </c>
      <c r="C66" t="s">
        <v>1989</v>
      </c>
      <c r="D66" t="str">
        <f t="shared" si="0"/>
        <v>Não</v>
      </c>
    </row>
    <row r="67" spans="1:4" x14ac:dyDescent="0.25">
      <c r="A67" t="s">
        <v>73</v>
      </c>
      <c r="B67" t="s">
        <v>726</v>
      </c>
      <c r="C67" t="s">
        <v>727</v>
      </c>
      <c r="D67" t="str">
        <f t="shared" ref="D67:D101" si="2">IF(B67=C67, "Sim", "Não")</f>
        <v>Não</v>
      </c>
    </row>
    <row r="68" spans="1:4" x14ac:dyDescent="0.25">
      <c r="A68" t="s">
        <v>73</v>
      </c>
      <c r="B68" t="s">
        <v>2068</v>
      </c>
      <c r="C68" t="s">
        <v>1990</v>
      </c>
      <c r="D68" t="str">
        <f>IF(B68=C68, "Sim", "Não")</f>
        <v>Não</v>
      </c>
    </row>
    <row r="69" spans="1:4" x14ac:dyDescent="0.25">
      <c r="A69" t="s">
        <v>73</v>
      </c>
      <c r="B69" t="s">
        <v>728</v>
      </c>
      <c r="C69" t="s">
        <v>728</v>
      </c>
      <c r="D69" t="str">
        <f t="shared" si="2"/>
        <v>Sim</v>
      </c>
    </row>
    <row r="70" spans="1:4" x14ac:dyDescent="0.25">
      <c r="A70" t="s">
        <v>73</v>
      </c>
      <c r="B70" t="s">
        <v>133</v>
      </c>
      <c r="C70" t="s">
        <v>133</v>
      </c>
      <c r="D70" t="str">
        <f t="shared" si="2"/>
        <v>Sim</v>
      </c>
    </row>
    <row r="71" spans="1:4" x14ac:dyDescent="0.25">
      <c r="A71" t="s">
        <v>73</v>
      </c>
      <c r="B71" t="s">
        <v>729</v>
      </c>
      <c r="C71" t="s">
        <v>729</v>
      </c>
      <c r="D71" t="str">
        <f t="shared" si="2"/>
        <v>Sim</v>
      </c>
    </row>
    <row r="72" spans="1:4" x14ac:dyDescent="0.25">
      <c r="A72" t="s">
        <v>73</v>
      </c>
      <c r="B72" t="s">
        <v>375</v>
      </c>
      <c r="C72" t="s">
        <v>375</v>
      </c>
      <c r="D72" t="str">
        <f t="shared" si="2"/>
        <v>Sim</v>
      </c>
    </row>
    <row r="73" spans="1:4" x14ac:dyDescent="0.25">
      <c r="A73" t="s">
        <v>73</v>
      </c>
      <c r="B73" t="s">
        <v>730</v>
      </c>
      <c r="C73" t="s">
        <v>730</v>
      </c>
      <c r="D73" t="str">
        <f t="shared" si="2"/>
        <v>Sim</v>
      </c>
    </row>
    <row r="74" spans="1:4" x14ac:dyDescent="0.25">
      <c r="A74" t="s">
        <v>73</v>
      </c>
      <c r="B74" t="s">
        <v>731</v>
      </c>
      <c r="C74" t="s">
        <v>731</v>
      </c>
      <c r="D74" t="str">
        <f t="shared" si="2"/>
        <v>Sim</v>
      </c>
    </row>
    <row r="75" spans="1:4" x14ac:dyDescent="0.25">
      <c r="A75" t="s">
        <v>73</v>
      </c>
      <c r="B75" t="s">
        <v>732</v>
      </c>
      <c r="C75" t="s">
        <v>732</v>
      </c>
      <c r="D75" t="str">
        <f t="shared" si="2"/>
        <v>Sim</v>
      </c>
    </row>
    <row r="76" spans="1:4" x14ac:dyDescent="0.25">
      <c r="A76" t="s">
        <v>6</v>
      </c>
      <c r="B76" t="s">
        <v>733</v>
      </c>
      <c r="C76" t="s">
        <v>733</v>
      </c>
      <c r="D76" t="str">
        <f>IF(B76=C76, "Sim", "Não")</f>
        <v>Sim</v>
      </c>
    </row>
    <row r="77" spans="1:4" x14ac:dyDescent="0.25">
      <c r="A77" t="s">
        <v>6</v>
      </c>
      <c r="B77" t="s">
        <v>719</v>
      </c>
      <c r="C77" t="s">
        <v>1993</v>
      </c>
      <c r="D77" t="str">
        <f>IF(B77=C77, "Sim", "Não")</f>
        <v>Não</v>
      </c>
    </row>
    <row r="78" spans="1:4" x14ac:dyDescent="0.25">
      <c r="A78" t="s">
        <v>6</v>
      </c>
      <c r="B78" t="s">
        <v>734</v>
      </c>
      <c r="C78" t="s">
        <v>734</v>
      </c>
      <c r="D78" t="str">
        <f t="shared" si="2"/>
        <v>Sim</v>
      </c>
    </row>
    <row r="79" spans="1:4" x14ac:dyDescent="0.25">
      <c r="A79" t="s">
        <v>6</v>
      </c>
      <c r="B79" t="s">
        <v>735</v>
      </c>
      <c r="C79" t="s">
        <v>735</v>
      </c>
      <c r="D79" t="str">
        <f>IF(B79=C79, "Sim", "Não")</f>
        <v>Sim</v>
      </c>
    </row>
    <row r="80" spans="1:4" x14ac:dyDescent="0.25">
      <c r="A80" t="s">
        <v>6</v>
      </c>
      <c r="B80" t="s">
        <v>736</v>
      </c>
      <c r="C80" t="s">
        <v>736</v>
      </c>
      <c r="D80" t="str">
        <f t="shared" si="2"/>
        <v>Sim</v>
      </c>
    </row>
    <row r="81" spans="1:4" x14ac:dyDescent="0.25">
      <c r="A81" t="s">
        <v>6</v>
      </c>
      <c r="B81" t="s">
        <v>1634</v>
      </c>
      <c r="C81" t="s">
        <v>1634</v>
      </c>
      <c r="D81" t="str">
        <f t="shared" si="2"/>
        <v>Sim</v>
      </c>
    </row>
    <row r="82" spans="1:4" x14ac:dyDescent="0.25">
      <c r="A82" t="s">
        <v>6</v>
      </c>
      <c r="B82" t="s">
        <v>531</v>
      </c>
      <c r="C82" t="s">
        <v>531</v>
      </c>
      <c r="D82" t="str">
        <f t="shared" si="2"/>
        <v>Sim</v>
      </c>
    </row>
    <row r="83" spans="1:4" x14ac:dyDescent="0.25">
      <c r="A83" t="s">
        <v>6</v>
      </c>
      <c r="B83" t="s">
        <v>737</v>
      </c>
      <c r="C83" t="s">
        <v>737</v>
      </c>
      <c r="D83" t="str">
        <f t="shared" si="2"/>
        <v>Sim</v>
      </c>
    </row>
    <row r="84" spans="1:4" x14ac:dyDescent="0.25">
      <c r="A84" t="s">
        <v>6</v>
      </c>
      <c r="B84" t="s">
        <v>714</v>
      </c>
      <c r="C84" t="s">
        <v>714</v>
      </c>
      <c r="D84" t="str">
        <f>IF(B84=C84, "Sim", "Não")</f>
        <v>Sim</v>
      </c>
    </row>
    <row r="85" spans="1:4" x14ac:dyDescent="0.25">
      <c r="A85" t="s">
        <v>6</v>
      </c>
      <c r="B85" t="s">
        <v>738</v>
      </c>
      <c r="C85" t="s">
        <v>738</v>
      </c>
      <c r="D85" t="str">
        <f t="shared" si="2"/>
        <v>Sim</v>
      </c>
    </row>
    <row r="86" spans="1:4" x14ac:dyDescent="0.25">
      <c r="A86" t="s">
        <v>6</v>
      </c>
      <c r="B86" t="s">
        <v>739</v>
      </c>
      <c r="C86" t="s">
        <v>739</v>
      </c>
      <c r="D86" t="str">
        <f t="shared" si="2"/>
        <v>Sim</v>
      </c>
    </row>
    <row r="87" spans="1:4" x14ac:dyDescent="0.25">
      <c r="A87" t="s">
        <v>6</v>
      </c>
      <c r="B87" t="s">
        <v>740</v>
      </c>
      <c r="C87" t="s">
        <v>740</v>
      </c>
      <c r="D87" t="str">
        <f t="shared" si="2"/>
        <v>Sim</v>
      </c>
    </row>
    <row r="88" spans="1:4" x14ac:dyDescent="0.25">
      <c r="A88" t="s">
        <v>6</v>
      </c>
      <c r="B88" t="s">
        <v>741</v>
      </c>
      <c r="C88" t="s">
        <v>741</v>
      </c>
      <c r="D88" t="str">
        <f t="shared" si="2"/>
        <v>Sim</v>
      </c>
    </row>
    <row r="89" spans="1:4" x14ac:dyDescent="0.25">
      <c r="A89" t="s">
        <v>6</v>
      </c>
      <c r="B89" t="s">
        <v>742</v>
      </c>
      <c r="C89" t="s">
        <v>742</v>
      </c>
      <c r="D89" t="str">
        <f t="shared" si="2"/>
        <v>Sim</v>
      </c>
    </row>
    <row r="90" spans="1:4" x14ac:dyDescent="0.25">
      <c r="A90" t="s">
        <v>6</v>
      </c>
      <c r="B90" t="s">
        <v>743</v>
      </c>
      <c r="C90" t="s">
        <v>1351</v>
      </c>
      <c r="D90" t="str">
        <f t="shared" si="2"/>
        <v>Não</v>
      </c>
    </row>
    <row r="91" spans="1:4" x14ac:dyDescent="0.25">
      <c r="A91" t="s">
        <v>6</v>
      </c>
      <c r="B91" t="s">
        <v>744</v>
      </c>
      <c r="C91" t="s">
        <v>744</v>
      </c>
      <c r="D91" t="str">
        <f t="shared" si="2"/>
        <v>Sim</v>
      </c>
    </row>
    <row r="92" spans="1:4" x14ac:dyDescent="0.25">
      <c r="A92" t="s">
        <v>6</v>
      </c>
      <c r="B92" t="s">
        <v>745</v>
      </c>
      <c r="C92" t="s">
        <v>745</v>
      </c>
      <c r="D92" t="str">
        <f t="shared" si="2"/>
        <v>Sim</v>
      </c>
    </row>
    <row r="93" spans="1:4" x14ac:dyDescent="0.25">
      <c r="A93" t="s">
        <v>6</v>
      </c>
      <c r="B93" t="s">
        <v>746</v>
      </c>
      <c r="C93" t="s">
        <v>746</v>
      </c>
      <c r="D93" t="str">
        <f t="shared" si="2"/>
        <v>Sim</v>
      </c>
    </row>
    <row r="94" spans="1:4" x14ac:dyDescent="0.25">
      <c r="A94" t="s">
        <v>6</v>
      </c>
      <c r="B94" t="s">
        <v>747</v>
      </c>
      <c r="C94" t="s">
        <v>1775</v>
      </c>
      <c r="D94" t="str">
        <f t="shared" si="2"/>
        <v>Não</v>
      </c>
    </row>
    <row r="95" spans="1:4" x14ac:dyDescent="0.25">
      <c r="A95" t="s">
        <v>6</v>
      </c>
      <c r="B95" t="s">
        <v>748</v>
      </c>
      <c r="C95" t="s">
        <v>748</v>
      </c>
      <c r="D95" t="str">
        <f t="shared" si="2"/>
        <v>Sim</v>
      </c>
    </row>
    <row r="96" spans="1:4" x14ac:dyDescent="0.25">
      <c r="A96" t="s">
        <v>6</v>
      </c>
      <c r="B96" t="s">
        <v>749</v>
      </c>
      <c r="C96" t="s">
        <v>749</v>
      </c>
      <c r="D96" t="str">
        <f t="shared" si="2"/>
        <v>Sim</v>
      </c>
    </row>
    <row r="97" spans="1:4" x14ac:dyDescent="0.25">
      <c r="A97" t="s">
        <v>6</v>
      </c>
      <c r="B97" t="s">
        <v>750</v>
      </c>
      <c r="C97" t="s">
        <v>750</v>
      </c>
      <c r="D97" t="str">
        <f t="shared" si="2"/>
        <v>Sim</v>
      </c>
    </row>
    <row r="98" spans="1:4" x14ac:dyDescent="0.25">
      <c r="A98" t="s">
        <v>6</v>
      </c>
      <c r="B98" t="s">
        <v>130</v>
      </c>
      <c r="C98" t="s">
        <v>751</v>
      </c>
      <c r="D98" t="str">
        <f t="shared" si="2"/>
        <v>Não</v>
      </c>
    </row>
    <row r="99" spans="1:4" x14ac:dyDescent="0.25">
      <c r="A99" t="s">
        <v>6</v>
      </c>
      <c r="B99" t="s">
        <v>548</v>
      </c>
      <c r="C99" t="s">
        <v>548</v>
      </c>
      <c r="D99" t="str">
        <f t="shared" si="2"/>
        <v>Sim</v>
      </c>
    </row>
    <row r="100" spans="1:4" x14ac:dyDescent="0.25">
      <c r="A100" t="s">
        <v>6</v>
      </c>
      <c r="B100" t="s">
        <v>1778</v>
      </c>
      <c r="C100" t="s">
        <v>1778</v>
      </c>
      <c r="D100" t="str">
        <f t="shared" si="2"/>
        <v>Sim</v>
      </c>
    </row>
    <row r="101" spans="1:4" x14ac:dyDescent="0.25">
      <c r="A101" t="s">
        <v>6</v>
      </c>
      <c r="B101" t="s">
        <v>391</v>
      </c>
      <c r="C101" t="s">
        <v>391</v>
      </c>
      <c r="D101" t="str">
        <f t="shared" si="2"/>
        <v>Sim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871F5-45DA-463C-8695-545A3F46113B}">
  <sheetPr codeName="Planilha16"/>
  <dimension ref="A1:H101"/>
  <sheetViews>
    <sheetView workbookViewId="0">
      <selection activeCell="C49" sqref="C49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  <col min="9" max="9" width="9.85546875" bestFit="1" customWidth="1"/>
  </cols>
  <sheetData>
    <row r="1" spans="1:8" ht="21" x14ac:dyDescent="0.25">
      <c r="A1" s="28" t="s">
        <v>753</v>
      </c>
      <c r="B1" s="28"/>
      <c r="C1" s="28"/>
      <c r="D1" s="28"/>
      <c r="E1" s="28"/>
      <c r="F1" s="28"/>
      <c r="G1" s="28"/>
    </row>
    <row r="2" spans="1:8" x14ac:dyDescent="0.25">
      <c r="A2" s="4" t="s">
        <v>34</v>
      </c>
      <c r="B2" s="4" t="s">
        <v>35</v>
      </c>
      <c r="C2" s="4" t="s">
        <v>36</v>
      </c>
      <c r="D2" s="4" t="s">
        <v>37</v>
      </c>
    </row>
    <row r="3" spans="1:8" x14ac:dyDescent="0.25">
      <c r="A3" s="5" t="s">
        <v>38</v>
      </c>
      <c r="B3" t="s">
        <v>754</v>
      </c>
      <c r="C3" t="s">
        <v>754</v>
      </c>
      <c r="D3" t="str">
        <f>IF(B3=C3, "Sim", "Não")</f>
        <v>Sim</v>
      </c>
      <c r="F3" s="4" t="s">
        <v>39</v>
      </c>
      <c r="G3" s="3">
        <f>COUNTIF(D3:D106,"Não")</f>
        <v>7</v>
      </c>
    </row>
    <row r="4" spans="1:8" x14ac:dyDescent="0.25">
      <c r="A4" s="5" t="s">
        <v>38</v>
      </c>
      <c r="B4" t="s">
        <v>755</v>
      </c>
      <c r="C4" t="s">
        <v>755</v>
      </c>
      <c r="D4" t="str">
        <f t="shared" ref="D4:D71" si="0">IF(B4=C4, "Sim", "Não")</f>
        <v>Sim</v>
      </c>
      <c r="F4" s="4" t="s">
        <v>40</v>
      </c>
      <c r="G4" s="3">
        <f>SUM(G7:G25)</f>
        <v>99</v>
      </c>
    </row>
    <row r="5" spans="1:8" x14ac:dyDescent="0.25">
      <c r="A5" s="5" t="s">
        <v>38</v>
      </c>
      <c r="B5" t="s">
        <v>756</v>
      </c>
      <c r="C5" t="s">
        <v>756</v>
      </c>
      <c r="D5" t="str">
        <f t="shared" si="0"/>
        <v>Sim</v>
      </c>
    </row>
    <row r="6" spans="1:8" x14ac:dyDescent="0.25">
      <c r="A6" s="5" t="s">
        <v>38</v>
      </c>
      <c r="B6" t="s">
        <v>757</v>
      </c>
      <c r="C6" t="s">
        <v>757</v>
      </c>
      <c r="D6" t="str">
        <f t="shared" si="0"/>
        <v>Sim</v>
      </c>
      <c r="F6" s="6" t="s">
        <v>42</v>
      </c>
      <c r="G6" s="1"/>
    </row>
    <row r="7" spans="1:8" x14ac:dyDescent="0.25">
      <c r="A7" s="5" t="s">
        <v>38</v>
      </c>
      <c r="B7" t="s">
        <v>145</v>
      </c>
      <c r="C7" t="s">
        <v>145</v>
      </c>
      <c r="D7" t="str">
        <f>IF(B7=C7, "Sim", "Não")</f>
        <v>Sim</v>
      </c>
      <c r="F7" s="7" t="s">
        <v>38</v>
      </c>
      <c r="G7" s="2">
        <f t="shared" ref="G7:G13" si="1">COUNTIF(A:A,F7)</f>
        <v>33</v>
      </c>
    </row>
    <row r="8" spans="1:8" x14ac:dyDescent="0.25">
      <c r="A8" s="5" t="s">
        <v>38</v>
      </c>
      <c r="B8" t="s">
        <v>758</v>
      </c>
      <c r="C8" t="s">
        <v>758</v>
      </c>
      <c r="D8" t="str">
        <f t="shared" si="0"/>
        <v>Sim</v>
      </c>
      <c r="F8" s="7" t="s">
        <v>44</v>
      </c>
      <c r="G8" s="2">
        <f t="shared" si="1"/>
        <v>3</v>
      </c>
    </row>
    <row r="9" spans="1:8" x14ac:dyDescent="0.25">
      <c r="A9" s="5" t="s">
        <v>38</v>
      </c>
      <c r="B9" t="s">
        <v>759</v>
      </c>
      <c r="C9" t="s">
        <v>759</v>
      </c>
      <c r="D9" t="str">
        <f t="shared" si="0"/>
        <v>Sim</v>
      </c>
      <c r="F9" s="7" t="s">
        <v>45</v>
      </c>
      <c r="G9" s="2">
        <f t="shared" si="1"/>
        <v>22</v>
      </c>
    </row>
    <row r="10" spans="1:8" x14ac:dyDescent="0.25">
      <c r="A10" s="5" t="s">
        <v>38</v>
      </c>
      <c r="B10" t="s">
        <v>760</v>
      </c>
      <c r="C10" t="s">
        <v>760</v>
      </c>
      <c r="D10" t="str">
        <f t="shared" si="0"/>
        <v>Sim</v>
      </c>
      <c r="F10" s="7" t="s">
        <v>52</v>
      </c>
      <c r="G10" s="2">
        <f t="shared" si="1"/>
        <v>20</v>
      </c>
    </row>
    <row r="11" spans="1:8" x14ac:dyDescent="0.25">
      <c r="A11" s="5" t="s">
        <v>38</v>
      </c>
      <c r="B11" t="s">
        <v>761</v>
      </c>
      <c r="C11" t="s">
        <v>761</v>
      </c>
      <c r="D11" t="str">
        <f t="shared" si="0"/>
        <v>Sim</v>
      </c>
      <c r="F11" s="7" t="s">
        <v>46</v>
      </c>
      <c r="G11" s="2">
        <f t="shared" si="1"/>
        <v>7</v>
      </c>
    </row>
    <row r="12" spans="1:8" x14ac:dyDescent="0.25">
      <c r="A12" s="5" t="s">
        <v>38</v>
      </c>
      <c r="B12" t="s">
        <v>420</v>
      </c>
      <c r="C12" t="s">
        <v>420</v>
      </c>
      <c r="D12" t="str">
        <f t="shared" si="0"/>
        <v>Sim</v>
      </c>
      <c r="F12" s="7" t="s">
        <v>762</v>
      </c>
      <c r="G12" s="2">
        <f t="shared" si="1"/>
        <v>13</v>
      </c>
    </row>
    <row r="13" spans="1:8" x14ac:dyDescent="0.25">
      <c r="A13" s="5" t="s">
        <v>38</v>
      </c>
      <c r="B13" t="s">
        <v>763</v>
      </c>
      <c r="C13" t="s">
        <v>763</v>
      </c>
      <c r="D13" t="str">
        <f t="shared" si="0"/>
        <v>Sim</v>
      </c>
      <c r="F13" s="7" t="s">
        <v>493</v>
      </c>
      <c r="G13" s="2">
        <f t="shared" si="1"/>
        <v>1</v>
      </c>
    </row>
    <row r="14" spans="1:8" x14ac:dyDescent="0.25">
      <c r="A14" s="5" t="s">
        <v>38</v>
      </c>
      <c r="B14" t="s">
        <v>426</v>
      </c>
      <c r="C14" t="s">
        <v>426</v>
      </c>
      <c r="D14" t="str">
        <f t="shared" si="0"/>
        <v>Sim</v>
      </c>
      <c r="F14" s="7"/>
      <c r="G14" s="2"/>
      <c r="H14" s="3"/>
    </row>
    <row r="15" spans="1:8" x14ac:dyDescent="0.25">
      <c r="A15" s="5" t="s">
        <v>38</v>
      </c>
      <c r="B15" t="s">
        <v>43</v>
      </c>
      <c r="C15" t="s">
        <v>43</v>
      </c>
      <c r="D15" t="str">
        <f t="shared" si="0"/>
        <v>Sim</v>
      </c>
      <c r="F15" s="4"/>
      <c r="G15" s="2"/>
    </row>
    <row r="16" spans="1:8" x14ac:dyDescent="0.25">
      <c r="A16" s="5" t="s">
        <v>38</v>
      </c>
      <c r="B16" t="s">
        <v>764</v>
      </c>
      <c r="C16" t="s">
        <v>765</v>
      </c>
      <c r="D16" t="str">
        <f t="shared" si="0"/>
        <v>Não</v>
      </c>
      <c r="F16" s="4"/>
      <c r="G16" s="2"/>
    </row>
    <row r="17" spans="1:4" x14ac:dyDescent="0.25">
      <c r="A17" s="5" t="s">
        <v>38</v>
      </c>
      <c r="B17" t="s">
        <v>766</v>
      </c>
      <c r="C17" t="s">
        <v>766</v>
      </c>
      <c r="D17" t="str">
        <f t="shared" si="0"/>
        <v>Sim</v>
      </c>
    </row>
    <row r="18" spans="1:4" x14ac:dyDescent="0.25">
      <c r="A18" s="5" t="s">
        <v>38</v>
      </c>
      <c r="B18" t="s">
        <v>89</v>
      </c>
      <c r="C18" t="s">
        <v>767</v>
      </c>
      <c r="D18" t="str">
        <f t="shared" si="0"/>
        <v>Não</v>
      </c>
    </row>
    <row r="19" spans="1:4" x14ac:dyDescent="0.25">
      <c r="A19" s="5" t="s">
        <v>38</v>
      </c>
      <c r="B19" t="s">
        <v>1627</v>
      </c>
      <c r="C19" t="s">
        <v>1627</v>
      </c>
      <c r="D19" t="str">
        <f t="shared" si="0"/>
        <v>Sim</v>
      </c>
    </row>
    <row r="20" spans="1:4" x14ac:dyDescent="0.25">
      <c r="A20" s="5" t="s">
        <v>38</v>
      </c>
      <c r="B20" t="s">
        <v>89</v>
      </c>
      <c r="C20" t="s">
        <v>89</v>
      </c>
      <c r="D20" t="str">
        <f t="shared" si="0"/>
        <v>Sim</v>
      </c>
    </row>
    <row r="21" spans="1:4" x14ac:dyDescent="0.25">
      <c r="A21" s="5" t="s">
        <v>38</v>
      </c>
      <c r="B21" t="s">
        <v>89</v>
      </c>
      <c r="C21" t="s">
        <v>89</v>
      </c>
      <c r="D21" t="str">
        <f t="shared" si="0"/>
        <v>Sim</v>
      </c>
    </row>
    <row r="22" spans="1:4" x14ac:dyDescent="0.25">
      <c r="A22" s="5" t="s">
        <v>38</v>
      </c>
      <c r="B22" t="s">
        <v>89</v>
      </c>
      <c r="C22" t="s">
        <v>89</v>
      </c>
      <c r="D22" t="str">
        <f t="shared" si="0"/>
        <v>Sim</v>
      </c>
    </row>
    <row r="23" spans="1:4" x14ac:dyDescent="0.25">
      <c r="A23" s="5" t="s">
        <v>38</v>
      </c>
      <c r="B23" t="s">
        <v>89</v>
      </c>
      <c r="C23" t="s">
        <v>89</v>
      </c>
      <c r="D23" t="str">
        <f t="shared" si="0"/>
        <v>Sim</v>
      </c>
    </row>
    <row r="24" spans="1:4" x14ac:dyDescent="0.25">
      <c r="A24" s="5" t="s">
        <v>38</v>
      </c>
      <c r="B24" t="s">
        <v>89</v>
      </c>
      <c r="C24" t="s">
        <v>89</v>
      </c>
      <c r="D24" t="str">
        <f t="shared" si="0"/>
        <v>Sim</v>
      </c>
    </row>
    <row r="25" spans="1:4" x14ac:dyDescent="0.25">
      <c r="A25" s="5" t="s">
        <v>38</v>
      </c>
      <c r="B25" t="s">
        <v>89</v>
      </c>
      <c r="C25" t="s">
        <v>89</v>
      </c>
      <c r="D25" t="str">
        <f t="shared" si="0"/>
        <v>Sim</v>
      </c>
    </row>
    <row r="26" spans="1:4" x14ac:dyDescent="0.25">
      <c r="A26" s="5" t="s">
        <v>38</v>
      </c>
      <c r="B26" t="s">
        <v>89</v>
      </c>
      <c r="C26" t="s">
        <v>89</v>
      </c>
      <c r="D26" t="str">
        <f t="shared" si="0"/>
        <v>Sim</v>
      </c>
    </row>
    <row r="27" spans="1:4" x14ac:dyDescent="0.25">
      <c r="A27" s="5" t="s">
        <v>38</v>
      </c>
      <c r="B27" t="s">
        <v>89</v>
      </c>
      <c r="C27" t="s">
        <v>89</v>
      </c>
      <c r="D27" t="str">
        <f t="shared" si="0"/>
        <v>Sim</v>
      </c>
    </row>
    <row r="28" spans="1:4" x14ac:dyDescent="0.25">
      <c r="A28" s="5" t="s">
        <v>38</v>
      </c>
      <c r="B28" t="s">
        <v>158</v>
      </c>
      <c r="C28" t="s">
        <v>158</v>
      </c>
      <c r="D28" t="str">
        <f t="shared" si="0"/>
        <v>Sim</v>
      </c>
    </row>
    <row r="29" spans="1:4" x14ac:dyDescent="0.25">
      <c r="A29" s="5" t="s">
        <v>38</v>
      </c>
      <c r="B29" t="s">
        <v>158</v>
      </c>
      <c r="C29" t="s">
        <v>158</v>
      </c>
      <c r="D29" t="str">
        <f t="shared" si="0"/>
        <v>Sim</v>
      </c>
    </row>
    <row r="30" spans="1:4" x14ac:dyDescent="0.25">
      <c r="A30" s="5" t="s">
        <v>38</v>
      </c>
      <c r="B30" t="s">
        <v>158</v>
      </c>
      <c r="C30" t="s">
        <v>158</v>
      </c>
      <c r="D30" t="str">
        <f t="shared" si="0"/>
        <v>Sim</v>
      </c>
    </row>
    <row r="31" spans="1:4" x14ac:dyDescent="0.25">
      <c r="A31" s="5" t="s">
        <v>38</v>
      </c>
      <c r="B31" t="s">
        <v>158</v>
      </c>
      <c r="C31" t="s">
        <v>158</v>
      </c>
      <c r="D31" t="str">
        <f t="shared" si="0"/>
        <v>Sim</v>
      </c>
    </row>
    <row r="32" spans="1:4" x14ac:dyDescent="0.25">
      <c r="A32" s="5" t="s">
        <v>38</v>
      </c>
      <c r="B32" t="s">
        <v>158</v>
      </c>
      <c r="C32" t="s">
        <v>158</v>
      </c>
      <c r="D32" t="str">
        <f t="shared" si="0"/>
        <v>Sim</v>
      </c>
    </row>
    <row r="33" spans="1:4" x14ac:dyDescent="0.25">
      <c r="A33" s="5" t="s">
        <v>38</v>
      </c>
      <c r="B33" t="s">
        <v>158</v>
      </c>
      <c r="C33" t="s">
        <v>158</v>
      </c>
      <c r="D33" t="str">
        <f t="shared" si="0"/>
        <v>Sim</v>
      </c>
    </row>
    <row r="34" spans="1:4" x14ac:dyDescent="0.25">
      <c r="A34" s="5" t="s">
        <v>38</v>
      </c>
      <c r="B34" t="s">
        <v>158</v>
      </c>
      <c r="C34" t="s">
        <v>158</v>
      </c>
      <c r="D34" t="str">
        <f t="shared" si="0"/>
        <v>Sim</v>
      </c>
    </row>
    <row r="35" spans="1:4" x14ac:dyDescent="0.25">
      <c r="A35" s="5" t="s">
        <v>38</v>
      </c>
      <c r="B35" t="s">
        <v>158</v>
      </c>
      <c r="C35" t="s">
        <v>158</v>
      </c>
      <c r="D35" t="str">
        <f t="shared" si="0"/>
        <v>Sim</v>
      </c>
    </row>
    <row r="36" spans="1:4" x14ac:dyDescent="0.25">
      <c r="A36" s="5" t="s">
        <v>44</v>
      </c>
      <c r="B36" t="s">
        <v>768</v>
      </c>
      <c r="C36" t="s">
        <v>768</v>
      </c>
      <c r="D36" t="str">
        <f t="shared" si="0"/>
        <v>Sim</v>
      </c>
    </row>
    <row r="37" spans="1:4" x14ac:dyDescent="0.25">
      <c r="A37" s="5" t="s">
        <v>44</v>
      </c>
      <c r="B37" t="s">
        <v>1734</v>
      </c>
      <c r="C37" t="s">
        <v>1734</v>
      </c>
      <c r="D37" t="str">
        <f>IF(B37=C37, "Sim", "Não")</f>
        <v>Sim</v>
      </c>
    </row>
    <row r="38" spans="1:4" x14ac:dyDescent="0.25">
      <c r="A38" s="5" t="s">
        <v>44</v>
      </c>
      <c r="B38" t="s">
        <v>769</v>
      </c>
      <c r="C38" t="s">
        <v>769</v>
      </c>
      <c r="D38" t="str">
        <f t="shared" si="0"/>
        <v>Sim</v>
      </c>
    </row>
    <row r="39" spans="1:4" x14ac:dyDescent="0.25">
      <c r="A39" s="5" t="s">
        <v>493</v>
      </c>
      <c r="B39" t="s">
        <v>770</v>
      </c>
      <c r="C39" t="s">
        <v>770</v>
      </c>
      <c r="D39" t="str">
        <f t="shared" si="0"/>
        <v>Sim</v>
      </c>
    </row>
    <row r="40" spans="1:4" x14ac:dyDescent="0.25">
      <c r="A40" s="5" t="s">
        <v>45</v>
      </c>
      <c r="B40" t="s">
        <v>771</v>
      </c>
      <c r="C40" t="s">
        <v>771</v>
      </c>
      <c r="D40" t="str">
        <f t="shared" si="0"/>
        <v>Sim</v>
      </c>
    </row>
    <row r="41" spans="1:4" x14ac:dyDescent="0.25">
      <c r="A41" s="5" t="s">
        <v>45</v>
      </c>
      <c r="B41" t="s">
        <v>772</v>
      </c>
      <c r="C41" t="s">
        <v>772</v>
      </c>
      <c r="D41" t="str">
        <f t="shared" si="0"/>
        <v>Sim</v>
      </c>
    </row>
    <row r="42" spans="1:4" x14ac:dyDescent="0.25">
      <c r="A42" s="5" t="s">
        <v>45</v>
      </c>
      <c r="B42" t="s">
        <v>773</v>
      </c>
      <c r="C42" t="s">
        <v>773</v>
      </c>
      <c r="D42" t="str">
        <f t="shared" si="0"/>
        <v>Sim</v>
      </c>
    </row>
    <row r="43" spans="1:4" x14ac:dyDescent="0.25">
      <c r="A43" s="5" t="s">
        <v>45</v>
      </c>
      <c r="B43" t="s">
        <v>774</v>
      </c>
      <c r="C43" t="s">
        <v>774</v>
      </c>
      <c r="D43" t="str">
        <f t="shared" si="0"/>
        <v>Sim</v>
      </c>
    </row>
    <row r="44" spans="1:4" x14ac:dyDescent="0.25">
      <c r="A44" s="5" t="s">
        <v>45</v>
      </c>
      <c r="B44" t="s">
        <v>775</v>
      </c>
      <c r="C44" t="s">
        <v>775</v>
      </c>
      <c r="D44" t="str">
        <f t="shared" si="0"/>
        <v>Sim</v>
      </c>
    </row>
    <row r="45" spans="1:4" x14ac:dyDescent="0.25">
      <c r="A45" s="5" t="s">
        <v>45</v>
      </c>
      <c r="B45" t="s">
        <v>776</v>
      </c>
      <c r="C45" t="s">
        <v>776</v>
      </c>
      <c r="D45" t="str">
        <f t="shared" si="0"/>
        <v>Sim</v>
      </c>
    </row>
    <row r="46" spans="1:4" x14ac:dyDescent="0.25">
      <c r="A46" s="5" t="s">
        <v>45</v>
      </c>
      <c r="B46" t="s">
        <v>220</v>
      </c>
      <c r="C46" t="s">
        <v>220</v>
      </c>
      <c r="D46" t="str">
        <f t="shared" si="0"/>
        <v>Sim</v>
      </c>
    </row>
    <row r="47" spans="1:4" x14ac:dyDescent="0.25">
      <c r="A47" s="5" t="s">
        <v>45</v>
      </c>
      <c r="B47" t="s">
        <v>1622</v>
      </c>
      <c r="C47" t="s">
        <v>777</v>
      </c>
      <c r="D47" t="str">
        <f t="shared" si="0"/>
        <v>Não</v>
      </c>
    </row>
    <row r="48" spans="1:4" x14ac:dyDescent="0.25">
      <c r="A48" s="5" t="s">
        <v>45</v>
      </c>
      <c r="B48" t="s">
        <v>778</v>
      </c>
      <c r="C48" t="s">
        <v>778</v>
      </c>
      <c r="D48" t="str">
        <f t="shared" si="0"/>
        <v>Sim</v>
      </c>
    </row>
    <row r="49" spans="1:4" x14ac:dyDescent="0.25">
      <c r="A49" s="5" t="s">
        <v>45</v>
      </c>
      <c r="B49" t="s">
        <v>221</v>
      </c>
      <c r="C49" t="s">
        <v>221</v>
      </c>
      <c r="D49" t="str">
        <f t="shared" si="0"/>
        <v>Sim</v>
      </c>
    </row>
    <row r="50" spans="1:4" x14ac:dyDescent="0.25">
      <c r="A50" s="5" t="s">
        <v>45</v>
      </c>
      <c r="B50" t="s">
        <v>779</v>
      </c>
      <c r="C50" t="s">
        <v>779</v>
      </c>
      <c r="D50" t="str">
        <f t="shared" si="0"/>
        <v>Sim</v>
      </c>
    </row>
    <row r="51" spans="1:4" x14ac:dyDescent="0.25">
      <c r="A51" s="5" t="s">
        <v>45</v>
      </c>
      <c r="B51" t="s">
        <v>780</v>
      </c>
      <c r="C51" t="s">
        <v>780</v>
      </c>
      <c r="D51" t="str">
        <f t="shared" si="0"/>
        <v>Sim</v>
      </c>
    </row>
    <row r="52" spans="1:4" x14ac:dyDescent="0.25">
      <c r="A52" s="5" t="s">
        <v>45</v>
      </c>
      <c r="B52" t="s">
        <v>781</v>
      </c>
      <c r="C52" t="s">
        <v>781</v>
      </c>
      <c r="D52" t="str">
        <f t="shared" si="0"/>
        <v>Sim</v>
      </c>
    </row>
    <row r="53" spans="1:4" x14ac:dyDescent="0.25">
      <c r="A53" s="5" t="s">
        <v>45</v>
      </c>
      <c r="B53" t="s">
        <v>782</v>
      </c>
      <c r="C53" t="s">
        <v>782</v>
      </c>
      <c r="D53" t="str">
        <f t="shared" si="0"/>
        <v>Sim</v>
      </c>
    </row>
    <row r="54" spans="1:4" x14ac:dyDescent="0.25">
      <c r="A54" s="5" t="s">
        <v>45</v>
      </c>
      <c r="B54" t="s">
        <v>783</v>
      </c>
      <c r="C54" t="s">
        <v>783</v>
      </c>
      <c r="D54" t="str">
        <f t="shared" si="0"/>
        <v>Sim</v>
      </c>
    </row>
    <row r="55" spans="1:4" x14ac:dyDescent="0.25">
      <c r="A55" s="5" t="s">
        <v>45</v>
      </c>
      <c r="B55" t="s">
        <v>784</v>
      </c>
      <c r="C55" t="s">
        <v>784</v>
      </c>
      <c r="D55" t="str">
        <f t="shared" si="0"/>
        <v>Sim</v>
      </c>
    </row>
    <row r="56" spans="1:4" x14ac:dyDescent="0.25">
      <c r="A56" s="5" t="s">
        <v>45</v>
      </c>
      <c r="B56" t="s">
        <v>785</v>
      </c>
      <c r="C56" t="s">
        <v>785</v>
      </c>
      <c r="D56" t="str">
        <f>IF(B56=C56, "Sim", "Não")</f>
        <v>Sim</v>
      </c>
    </row>
    <row r="57" spans="1:4" x14ac:dyDescent="0.25">
      <c r="A57" s="5" t="s">
        <v>45</v>
      </c>
      <c r="B57" t="s">
        <v>786</v>
      </c>
      <c r="C57" t="s">
        <v>786</v>
      </c>
      <c r="D57" t="str">
        <f>IF(B57=C57, "Sim", "Não")</f>
        <v>Sim</v>
      </c>
    </row>
    <row r="58" spans="1:4" x14ac:dyDescent="0.25">
      <c r="A58" s="5" t="s">
        <v>45</v>
      </c>
      <c r="B58" t="s">
        <v>1562</v>
      </c>
      <c r="C58" t="s">
        <v>1562</v>
      </c>
      <c r="D58" t="str">
        <f>IF(B58=C58, "Sim", "Não")</f>
        <v>Sim</v>
      </c>
    </row>
    <row r="59" spans="1:4" x14ac:dyDescent="0.25">
      <c r="A59" s="5" t="s">
        <v>45</v>
      </c>
      <c r="B59" t="s">
        <v>787</v>
      </c>
      <c r="C59" t="s">
        <v>787</v>
      </c>
      <c r="D59" t="str">
        <f>IF(B59=C59, "Sim", "Não")</f>
        <v>Sim</v>
      </c>
    </row>
    <row r="60" spans="1:4" x14ac:dyDescent="0.25">
      <c r="A60" s="5" t="s">
        <v>45</v>
      </c>
      <c r="B60" t="s">
        <v>788</v>
      </c>
      <c r="C60" t="s">
        <v>817</v>
      </c>
      <c r="D60" t="str">
        <f t="shared" si="0"/>
        <v>Não</v>
      </c>
    </row>
    <row r="61" spans="1:4" x14ac:dyDescent="0.25">
      <c r="A61" s="5" t="s">
        <v>45</v>
      </c>
      <c r="B61" t="s">
        <v>789</v>
      </c>
      <c r="C61" t="s">
        <v>789</v>
      </c>
      <c r="D61" t="str">
        <f t="shared" si="0"/>
        <v>Sim</v>
      </c>
    </row>
    <row r="62" spans="1:4" x14ac:dyDescent="0.25">
      <c r="A62" s="5" t="s">
        <v>52</v>
      </c>
      <c r="B62" t="s">
        <v>790</v>
      </c>
      <c r="C62" t="s">
        <v>790</v>
      </c>
      <c r="D62" t="str">
        <f t="shared" si="0"/>
        <v>Sim</v>
      </c>
    </row>
    <row r="63" spans="1:4" x14ac:dyDescent="0.25">
      <c r="A63" s="5" t="s">
        <v>52</v>
      </c>
      <c r="B63" t="s">
        <v>791</v>
      </c>
      <c r="C63" t="s">
        <v>791</v>
      </c>
      <c r="D63" t="str">
        <f t="shared" si="0"/>
        <v>Sim</v>
      </c>
    </row>
    <row r="64" spans="1:4" x14ac:dyDescent="0.25">
      <c r="A64" s="5" t="s">
        <v>52</v>
      </c>
      <c r="B64" t="s">
        <v>792</v>
      </c>
      <c r="C64" t="s">
        <v>792</v>
      </c>
      <c r="D64" t="str">
        <f t="shared" si="0"/>
        <v>Sim</v>
      </c>
    </row>
    <row r="65" spans="1:4" x14ac:dyDescent="0.25">
      <c r="A65" s="5" t="s">
        <v>52</v>
      </c>
      <c r="B65" t="s">
        <v>378</v>
      </c>
      <c r="C65" t="s">
        <v>378</v>
      </c>
      <c r="D65" t="str">
        <f t="shared" si="0"/>
        <v>Sim</v>
      </c>
    </row>
    <row r="66" spans="1:4" x14ac:dyDescent="0.25">
      <c r="A66" s="5" t="s">
        <v>52</v>
      </c>
      <c r="B66" t="s">
        <v>793</v>
      </c>
      <c r="C66" t="s">
        <v>793</v>
      </c>
      <c r="D66" t="str">
        <f t="shared" si="0"/>
        <v>Sim</v>
      </c>
    </row>
    <row r="67" spans="1:4" x14ac:dyDescent="0.25">
      <c r="A67" s="5" t="s">
        <v>52</v>
      </c>
      <c r="B67" t="s">
        <v>794</v>
      </c>
      <c r="C67" t="s">
        <v>794</v>
      </c>
      <c r="D67" t="str">
        <f t="shared" si="0"/>
        <v>Sim</v>
      </c>
    </row>
    <row r="68" spans="1:4" x14ac:dyDescent="0.25">
      <c r="A68" s="5" t="s">
        <v>52</v>
      </c>
      <c r="B68" t="s">
        <v>795</v>
      </c>
      <c r="C68" t="s">
        <v>795</v>
      </c>
      <c r="D68" t="str">
        <f t="shared" si="0"/>
        <v>Sim</v>
      </c>
    </row>
    <row r="69" spans="1:4" x14ac:dyDescent="0.25">
      <c r="A69" s="5" t="s">
        <v>52</v>
      </c>
      <c r="B69" t="s">
        <v>796</v>
      </c>
      <c r="C69" t="s">
        <v>797</v>
      </c>
      <c r="D69" t="str">
        <f t="shared" si="0"/>
        <v>Não</v>
      </c>
    </row>
    <row r="70" spans="1:4" x14ac:dyDescent="0.25">
      <c r="A70" s="5" t="s">
        <v>52</v>
      </c>
      <c r="B70" t="s">
        <v>798</v>
      </c>
      <c r="C70" t="s">
        <v>798</v>
      </c>
      <c r="D70" t="str">
        <f t="shared" si="0"/>
        <v>Sim</v>
      </c>
    </row>
    <row r="71" spans="1:4" x14ac:dyDescent="0.25">
      <c r="A71" s="5" t="s">
        <v>52</v>
      </c>
      <c r="B71" t="s">
        <v>722</v>
      </c>
      <c r="C71" t="s">
        <v>722</v>
      </c>
      <c r="D71" t="str">
        <f t="shared" si="0"/>
        <v>Sim</v>
      </c>
    </row>
    <row r="72" spans="1:4" x14ac:dyDescent="0.25">
      <c r="A72" s="5" t="s">
        <v>52</v>
      </c>
      <c r="B72" t="s">
        <v>799</v>
      </c>
      <c r="C72" t="s">
        <v>799</v>
      </c>
      <c r="D72" t="str">
        <f t="shared" ref="D72:D100" si="2">IF(B72=C72, "Sim", "Não")</f>
        <v>Sim</v>
      </c>
    </row>
    <row r="73" spans="1:4" x14ac:dyDescent="0.25">
      <c r="A73" s="5" t="s">
        <v>52</v>
      </c>
      <c r="B73" t="s">
        <v>800</v>
      </c>
      <c r="C73" t="s">
        <v>800</v>
      </c>
      <c r="D73" t="str">
        <f t="shared" si="2"/>
        <v>Sim</v>
      </c>
    </row>
    <row r="74" spans="1:4" x14ac:dyDescent="0.25">
      <c r="A74" s="5" t="s">
        <v>52</v>
      </c>
      <c r="B74" t="s">
        <v>801</v>
      </c>
      <c r="C74" t="s">
        <v>801</v>
      </c>
      <c r="D74" t="str">
        <f>IF(B74=C74, "Sim", "Não")</f>
        <v>Sim</v>
      </c>
    </row>
    <row r="75" spans="1:4" x14ac:dyDescent="0.25">
      <c r="A75" s="5" t="s">
        <v>52</v>
      </c>
      <c r="B75" t="s">
        <v>133</v>
      </c>
      <c r="C75" t="s">
        <v>133</v>
      </c>
      <c r="D75" t="str">
        <f t="shared" si="2"/>
        <v>Sim</v>
      </c>
    </row>
    <row r="76" spans="1:4" x14ac:dyDescent="0.25">
      <c r="A76" s="5" t="s">
        <v>52</v>
      </c>
      <c r="B76" t="s">
        <v>802</v>
      </c>
      <c r="C76" t="s">
        <v>802</v>
      </c>
      <c r="D76" t="str">
        <f t="shared" si="2"/>
        <v>Sim</v>
      </c>
    </row>
    <row r="77" spans="1:4" x14ac:dyDescent="0.25">
      <c r="A77" s="5" t="s">
        <v>52</v>
      </c>
      <c r="B77" t="s">
        <v>803</v>
      </c>
      <c r="C77" t="s">
        <v>803</v>
      </c>
      <c r="D77" t="str">
        <f t="shared" si="2"/>
        <v>Sim</v>
      </c>
    </row>
    <row r="78" spans="1:4" x14ac:dyDescent="0.25">
      <c r="A78" s="5" t="s">
        <v>52</v>
      </c>
      <c r="B78" t="s">
        <v>804</v>
      </c>
      <c r="C78" t="s">
        <v>804</v>
      </c>
      <c r="D78" t="str">
        <f t="shared" si="2"/>
        <v>Sim</v>
      </c>
    </row>
    <row r="79" spans="1:4" x14ac:dyDescent="0.25">
      <c r="A79" s="5" t="s">
        <v>52</v>
      </c>
      <c r="B79" t="s">
        <v>805</v>
      </c>
      <c r="C79" t="s">
        <v>805</v>
      </c>
      <c r="D79" t="str">
        <f t="shared" si="2"/>
        <v>Sim</v>
      </c>
    </row>
    <row r="80" spans="1:4" x14ac:dyDescent="0.25">
      <c r="A80" s="5" t="s">
        <v>52</v>
      </c>
      <c r="B80" t="s">
        <v>806</v>
      </c>
      <c r="C80" t="s">
        <v>806</v>
      </c>
      <c r="D80" t="str">
        <f t="shared" si="2"/>
        <v>Sim</v>
      </c>
    </row>
    <row r="81" spans="1:4" x14ac:dyDescent="0.25">
      <c r="A81" s="5" t="s">
        <v>52</v>
      </c>
      <c r="B81" t="s">
        <v>807</v>
      </c>
      <c r="C81" t="s">
        <v>807</v>
      </c>
      <c r="D81" t="str">
        <f t="shared" si="2"/>
        <v>Sim</v>
      </c>
    </row>
    <row r="82" spans="1:4" x14ac:dyDescent="0.25">
      <c r="A82" s="5" t="s">
        <v>46</v>
      </c>
      <c r="B82" t="s">
        <v>808</v>
      </c>
      <c r="C82" t="s">
        <v>808</v>
      </c>
      <c r="D82" t="str">
        <f t="shared" si="2"/>
        <v>Sim</v>
      </c>
    </row>
    <row r="83" spans="1:4" x14ac:dyDescent="0.25">
      <c r="A83" s="5" t="s">
        <v>46</v>
      </c>
      <c r="B83" t="s">
        <v>809</v>
      </c>
      <c r="C83" t="s">
        <v>809</v>
      </c>
      <c r="D83" t="str">
        <f t="shared" si="2"/>
        <v>Sim</v>
      </c>
    </row>
    <row r="84" spans="1:4" x14ac:dyDescent="0.25">
      <c r="A84" s="5" t="s">
        <v>46</v>
      </c>
      <c r="B84" t="s">
        <v>731</v>
      </c>
      <c r="C84" t="s">
        <v>731</v>
      </c>
      <c r="D84" t="str">
        <f t="shared" si="2"/>
        <v>Sim</v>
      </c>
    </row>
    <row r="85" spans="1:4" x14ac:dyDescent="0.25">
      <c r="A85" s="5" t="s">
        <v>46</v>
      </c>
      <c r="B85" t="s">
        <v>810</v>
      </c>
      <c r="C85" t="s">
        <v>810</v>
      </c>
      <c r="D85" t="str">
        <f t="shared" si="2"/>
        <v>Sim</v>
      </c>
    </row>
    <row r="86" spans="1:4" x14ac:dyDescent="0.25">
      <c r="A86" s="5" t="s">
        <v>46</v>
      </c>
      <c r="B86" t="s">
        <v>811</v>
      </c>
      <c r="C86" t="s">
        <v>811</v>
      </c>
      <c r="D86" t="str">
        <f t="shared" si="2"/>
        <v>Sim</v>
      </c>
    </row>
    <row r="87" spans="1:4" x14ac:dyDescent="0.25">
      <c r="A87" s="5" t="s">
        <v>46</v>
      </c>
      <c r="B87" t="s">
        <v>812</v>
      </c>
      <c r="C87" t="s">
        <v>812</v>
      </c>
      <c r="D87" t="str">
        <f t="shared" si="2"/>
        <v>Sim</v>
      </c>
    </row>
    <row r="88" spans="1:4" x14ac:dyDescent="0.25">
      <c r="A88" s="5" t="s">
        <v>46</v>
      </c>
      <c r="B88" t="s">
        <v>813</v>
      </c>
      <c r="C88" t="s">
        <v>813</v>
      </c>
      <c r="D88" t="str">
        <f t="shared" si="2"/>
        <v>Sim</v>
      </c>
    </row>
    <row r="89" spans="1:4" x14ac:dyDescent="0.25">
      <c r="A89" s="5" t="s">
        <v>762</v>
      </c>
      <c r="B89" t="s">
        <v>814</v>
      </c>
      <c r="C89" t="s">
        <v>1774</v>
      </c>
      <c r="D89" t="str">
        <f>IF(B89=C89, "Sim", "Não")</f>
        <v>Não</v>
      </c>
    </row>
    <row r="90" spans="1:4" x14ac:dyDescent="0.25">
      <c r="A90" s="5" t="s">
        <v>762</v>
      </c>
      <c r="B90" t="s">
        <v>816</v>
      </c>
      <c r="C90" t="s">
        <v>816</v>
      </c>
      <c r="D90" t="str">
        <f t="shared" si="2"/>
        <v>Sim</v>
      </c>
    </row>
    <row r="91" spans="1:4" x14ac:dyDescent="0.25">
      <c r="A91" s="5" t="s">
        <v>762</v>
      </c>
      <c r="B91" t="s">
        <v>89</v>
      </c>
      <c r="C91" t="s">
        <v>815</v>
      </c>
      <c r="D91" t="str">
        <f t="shared" si="2"/>
        <v>Não</v>
      </c>
    </row>
    <row r="92" spans="1:4" x14ac:dyDescent="0.25">
      <c r="A92" s="5" t="s">
        <v>762</v>
      </c>
      <c r="B92" t="s">
        <v>818</v>
      </c>
      <c r="C92" t="s">
        <v>818</v>
      </c>
      <c r="D92" t="str">
        <f>IF(B92=C92, "Sim", "Não")</f>
        <v>Sim</v>
      </c>
    </row>
    <row r="93" spans="1:4" x14ac:dyDescent="0.25">
      <c r="A93" s="5" t="s">
        <v>762</v>
      </c>
      <c r="B93" t="s">
        <v>819</v>
      </c>
      <c r="C93" t="s">
        <v>819</v>
      </c>
      <c r="D93" t="str">
        <f t="shared" si="2"/>
        <v>Sim</v>
      </c>
    </row>
    <row r="94" spans="1:4" x14ac:dyDescent="0.25">
      <c r="A94" s="5" t="s">
        <v>762</v>
      </c>
      <c r="B94" t="s">
        <v>820</v>
      </c>
      <c r="C94" t="s">
        <v>820</v>
      </c>
      <c r="D94" t="str">
        <f>IF(B94=C94, "Sim", "Não")</f>
        <v>Sim</v>
      </c>
    </row>
    <row r="95" spans="1:4" x14ac:dyDescent="0.25">
      <c r="A95" s="5" t="s">
        <v>762</v>
      </c>
      <c r="B95" t="s">
        <v>821</v>
      </c>
      <c r="C95" t="s">
        <v>821</v>
      </c>
      <c r="D95" t="str">
        <f t="shared" si="2"/>
        <v>Sim</v>
      </c>
    </row>
    <row r="96" spans="1:4" x14ac:dyDescent="0.25">
      <c r="A96" s="5" t="s">
        <v>762</v>
      </c>
      <c r="B96" t="s">
        <v>264</v>
      </c>
      <c r="C96" t="s">
        <v>264</v>
      </c>
      <c r="D96" t="str">
        <f t="shared" si="2"/>
        <v>Sim</v>
      </c>
    </row>
    <row r="97" spans="1:4" x14ac:dyDescent="0.25">
      <c r="A97" s="5" t="s">
        <v>762</v>
      </c>
      <c r="B97" t="s">
        <v>130</v>
      </c>
      <c r="C97" t="s">
        <v>130</v>
      </c>
      <c r="D97" t="str">
        <f t="shared" si="2"/>
        <v>Sim</v>
      </c>
    </row>
    <row r="98" spans="1:4" x14ac:dyDescent="0.25">
      <c r="A98" s="5" t="s">
        <v>762</v>
      </c>
      <c r="B98" t="s">
        <v>131</v>
      </c>
      <c r="C98" t="s">
        <v>131</v>
      </c>
      <c r="D98" t="str">
        <f t="shared" si="2"/>
        <v>Sim</v>
      </c>
    </row>
    <row r="99" spans="1:4" x14ac:dyDescent="0.25">
      <c r="A99" s="5" t="s">
        <v>762</v>
      </c>
      <c r="B99" t="s">
        <v>822</v>
      </c>
      <c r="C99" t="s">
        <v>822</v>
      </c>
      <c r="D99" t="str">
        <f t="shared" si="2"/>
        <v>Sim</v>
      </c>
    </row>
    <row r="100" spans="1:4" x14ac:dyDescent="0.25">
      <c r="A100" s="5" t="s">
        <v>762</v>
      </c>
      <c r="B100" t="s">
        <v>823</v>
      </c>
      <c r="C100" t="s">
        <v>823</v>
      </c>
      <c r="D100" t="str">
        <f t="shared" si="2"/>
        <v>Sim</v>
      </c>
    </row>
    <row r="101" spans="1:4" x14ac:dyDescent="0.25">
      <c r="A101" s="5" t="s">
        <v>762</v>
      </c>
      <c r="B101" t="s">
        <v>824</v>
      </c>
      <c r="C101" t="s">
        <v>824</v>
      </c>
      <c r="D101" t="str">
        <f>IF(B101=C101, "Sim", "Não")</f>
        <v>Sim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4074-238F-4E68-9DAA-CBE3D5952917}">
  <sheetPr codeName="Planilha17"/>
  <dimension ref="A1:G101"/>
  <sheetViews>
    <sheetView topLeftCell="A38" workbookViewId="0">
      <selection activeCell="C49" sqref="C49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28" t="s">
        <v>23</v>
      </c>
      <c r="B1" s="28"/>
      <c r="C1" s="28"/>
      <c r="D1" s="28"/>
      <c r="E1" s="28"/>
      <c r="F1" s="28"/>
      <c r="G1" s="28"/>
    </row>
    <row r="2" spans="1:7" x14ac:dyDescent="0.25">
      <c r="A2" s="4" t="s">
        <v>34</v>
      </c>
      <c r="B2" s="4" t="s">
        <v>35</v>
      </c>
      <c r="C2" s="4" t="s">
        <v>36</v>
      </c>
      <c r="D2" s="4" t="s">
        <v>37</v>
      </c>
    </row>
    <row r="3" spans="1:7" x14ac:dyDescent="0.25">
      <c r="A3" t="s">
        <v>38</v>
      </c>
      <c r="B3" t="s">
        <v>825</v>
      </c>
      <c r="C3" t="s">
        <v>825</v>
      </c>
      <c r="D3" t="str">
        <f>IF(B3=C3, "Sim", "Não")</f>
        <v>Sim</v>
      </c>
      <c r="F3" s="4" t="s">
        <v>39</v>
      </c>
      <c r="G3" s="3">
        <f>COUNTIF(D3:D105,"Não")</f>
        <v>5</v>
      </c>
    </row>
    <row r="4" spans="1:7" x14ac:dyDescent="0.25">
      <c r="A4" t="s">
        <v>38</v>
      </c>
      <c r="B4" t="s">
        <v>74</v>
      </c>
      <c r="C4" t="s">
        <v>74</v>
      </c>
      <c r="D4" t="str">
        <f t="shared" ref="D4:D69" si="0">IF(B4=C4, "Sim", "Não")</f>
        <v>Sim</v>
      </c>
      <c r="F4" s="4" t="s">
        <v>40</v>
      </c>
      <c r="G4" s="3">
        <f>SUM(G7:G24)</f>
        <v>99</v>
      </c>
    </row>
    <row r="5" spans="1:7" x14ac:dyDescent="0.25">
      <c r="A5" t="s">
        <v>38</v>
      </c>
      <c r="B5" t="s">
        <v>63</v>
      </c>
      <c r="C5" t="s">
        <v>63</v>
      </c>
      <c r="D5" t="str">
        <f t="shared" si="0"/>
        <v>Sim</v>
      </c>
    </row>
    <row r="6" spans="1:7" x14ac:dyDescent="0.25">
      <c r="A6" t="s">
        <v>38</v>
      </c>
      <c r="B6" t="s">
        <v>43</v>
      </c>
      <c r="C6" t="s">
        <v>43</v>
      </c>
      <c r="D6" t="str">
        <f t="shared" si="0"/>
        <v>Sim</v>
      </c>
      <c r="F6" s="6" t="s">
        <v>42</v>
      </c>
      <c r="G6" s="1"/>
    </row>
    <row r="7" spans="1:7" x14ac:dyDescent="0.25">
      <c r="A7" t="s">
        <v>38</v>
      </c>
      <c r="B7" t="s">
        <v>72</v>
      </c>
      <c r="C7" t="s">
        <v>72</v>
      </c>
      <c r="D7" t="str">
        <f t="shared" si="0"/>
        <v>Sim</v>
      </c>
      <c r="F7" s="1" t="s">
        <v>38</v>
      </c>
      <c r="G7" s="2">
        <f t="shared" ref="G7:G14" si="1">COUNTIF(A:A,F7)</f>
        <v>36</v>
      </c>
    </row>
    <row r="8" spans="1:7" x14ac:dyDescent="0.25">
      <c r="A8" t="s">
        <v>38</v>
      </c>
      <c r="B8" t="s">
        <v>566</v>
      </c>
      <c r="C8" t="s">
        <v>566</v>
      </c>
      <c r="D8" t="str">
        <f t="shared" si="0"/>
        <v>Sim</v>
      </c>
      <c r="F8" s="1" t="s">
        <v>44</v>
      </c>
      <c r="G8" s="2">
        <f t="shared" si="1"/>
        <v>12</v>
      </c>
    </row>
    <row r="9" spans="1:7" x14ac:dyDescent="0.25">
      <c r="A9" t="s">
        <v>38</v>
      </c>
      <c r="B9" t="s">
        <v>284</v>
      </c>
      <c r="C9" t="s">
        <v>284</v>
      </c>
      <c r="D9" t="str">
        <f t="shared" si="0"/>
        <v>Sim</v>
      </c>
      <c r="F9" s="1" t="s">
        <v>45</v>
      </c>
      <c r="G9" s="2">
        <f t="shared" si="1"/>
        <v>11</v>
      </c>
    </row>
    <row r="10" spans="1:7" x14ac:dyDescent="0.25">
      <c r="A10" t="s">
        <v>38</v>
      </c>
      <c r="B10" t="s">
        <v>205</v>
      </c>
      <c r="C10" t="s">
        <v>205</v>
      </c>
      <c r="D10" t="str">
        <f t="shared" si="0"/>
        <v>Sim</v>
      </c>
      <c r="F10" s="1" t="s">
        <v>827</v>
      </c>
      <c r="G10" s="2">
        <f t="shared" si="1"/>
        <v>11</v>
      </c>
    </row>
    <row r="11" spans="1:7" x14ac:dyDescent="0.25">
      <c r="A11" t="s">
        <v>38</v>
      </c>
      <c r="B11" t="s">
        <v>828</v>
      </c>
      <c r="C11" t="s">
        <v>828</v>
      </c>
      <c r="D11" t="str">
        <f t="shared" si="0"/>
        <v>Sim</v>
      </c>
      <c r="F11" s="1" t="s">
        <v>829</v>
      </c>
      <c r="G11" s="2">
        <f t="shared" si="1"/>
        <v>0</v>
      </c>
    </row>
    <row r="12" spans="1:7" x14ac:dyDescent="0.25">
      <c r="A12" t="s">
        <v>38</v>
      </c>
      <c r="B12" t="s">
        <v>201</v>
      </c>
      <c r="C12" t="s">
        <v>201</v>
      </c>
      <c r="D12" t="str">
        <f t="shared" si="0"/>
        <v>Sim</v>
      </c>
      <c r="F12" s="1" t="s">
        <v>73</v>
      </c>
      <c r="G12" s="2">
        <f t="shared" si="1"/>
        <v>14</v>
      </c>
    </row>
    <row r="13" spans="1:7" x14ac:dyDescent="0.25">
      <c r="A13" t="s">
        <v>38</v>
      </c>
      <c r="B13" t="s">
        <v>278</v>
      </c>
      <c r="C13" t="s">
        <v>278</v>
      </c>
      <c r="D13" t="str">
        <f t="shared" si="0"/>
        <v>Sim</v>
      </c>
      <c r="F13" s="1" t="s">
        <v>198</v>
      </c>
      <c r="G13" s="2">
        <f t="shared" si="1"/>
        <v>7</v>
      </c>
    </row>
    <row r="14" spans="1:7" x14ac:dyDescent="0.25">
      <c r="A14" t="s">
        <v>38</v>
      </c>
      <c r="B14" t="s">
        <v>830</v>
      </c>
      <c r="C14" t="s">
        <v>830</v>
      </c>
      <c r="D14" t="str">
        <f t="shared" si="0"/>
        <v>Sim</v>
      </c>
      <c r="F14" s="1" t="s">
        <v>202</v>
      </c>
      <c r="G14" s="2">
        <f t="shared" si="1"/>
        <v>8</v>
      </c>
    </row>
    <row r="15" spans="1:7" x14ac:dyDescent="0.25">
      <c r="A15" t="s">
        <v>38</v>
      </c>
      <c r="B15" t="s">
        <v>831</v>
      </c>
      <c r="C15" t="s">
        <v>831</v>
      </c>
      <c r="D15" t="str">
        <f t="shared" si="0"/>
        <v>Sim</v>
      </c>
      <c r="F15" s="4"/>
      <c r="G15" s="2"/>
    </row>
    <row r="16" spans="1:7" x14ac:dyDescent="0.25">
      <c r="A16" t="s">
        <v>38</v>
      </c>
      <c r="B16" t="s">
        <v>832</v>
      </c>
      <c r="C16" t="s">
        <v>832</v>
      </c>
      <c r="D16" t="str">
        <f t="shared" si="0"/>
        <v>Sim</v>
      </c>
      <c r="F16" s="4"/>
      <c r="G16" s="2"/>
    </row>
    <row r="17" spans="1:4" x14ac:dyDescent="0.25">
      <c r="A17" t="s">
        <v>38</v>
      </c>
      <c r="B17" t="s">
        <v>833</v>
      </c>
      <c r="C17" t="s">
        <v>833</v>
      </c>
      <c r="D17" t="str">
        <f t="shared" si="0"/>
        <v>Sim</v>
      </c>
    </row>
    <row r="18" spans="1:4" x14ac:dyDescent="0.25">
      <c r="A18" t="s">
        <v>38</v>
      </c>
      <c r="B18" t="s">
        <v>47</v>
      </c>
      <c r="C18" t="s">
        <v>270</v>
      </c>
      <c r="D18" t="str">
        <f t="shared" si="0"/>
        <v>Não</v>
      </c>
    </row>
    <row r="19" spans="1:4" x14ac:dyDescent="0.25">
      <c r="A19" t="s">
        <v>38</v>
      </c>
      <c r="B19" t="s">
        <v>834</v>
      </c>
      <c r="C19" t="s">
        <v>834</v>
      </c>
      <c r="D19" t="str">
        <f t="shared" si="0"/>
        <v>Sim</v>
      </c>
    </row>
    <row r="20" spans="1:4" x14ac:dyDescent="0.25">
      <c r="A20" t="s">
        <v>38</v>
      </c>
      <c r="B20" t="s">
        <v>835</v>
      </c>
      <c r="C20" t="s">
        <v>835</v>
      </c>
      <c r="D20" t="str">
        <f t="shared" si="0"/>
        <v>Sim</v>
      </c>
    </row>
    <row r="21" spans="1:4" x14ac:dyDescent="0.25">
      <c r="A21" t="s">
        <v>38</v>
      </c>
      <c r="B21" t="s">
        <v>836</v>
      </c>
      <c r="C21" t="s">
        <v>836</v>
      </c>
      <c r="D21" t="str">
        <f t="shared" si="0"/>
        <v>Sim</v>
      </c>
    </row>
    <row r="22" spans="1:4" x14ac:dyDescent="0.25">
      <c r="A22" t="s">
        <v>38</v>
      </c>
      <c r="B22" t="s">
        <v>837</v>
      </c>
      <c r="C22" t="s">
        <v>837</v>
      </c>
      <c r="D22" t="str">
        <f t="shared" si="0"/>
        <v>Sim</v>
      </c>
    </row>
    <row r="23" spans="1:4" x14ac:dyDescent="0.25">
      <c r="A23" t="s">
        <v>38</v>
      </c>
      <c r="B23" t="s">
        <v>47</v>
      </c>
      <c r="C23" t="s">
        <v>838</v>
      </c>
      <c r="D23" t="str">
        <f t="shared" si="0"/>
        <v>Não</v>
      </c>
    </row>
    <row r="24" spans="1:4" x14ac:dyDescent="0.25">
      <c r="A24" t="s">
        <v>38</v>
      </c>
      <c r="B24" t="s">
        <v>47</v>
      </c>
      <c r="C24" t="s">
        <v>1959</v>
      </c>
      <c r="D24" t="str">
        <f t="shared" si="0"/>
        <v>Não</v>
      </c>
    </row>
    <row r="25" spans="1:4" x14ac:dyDescent="0.25">
      <c r="A25" t="s">
        <v>38</v>
      </c>
      <c r="B25" t="s">
        <v>47</v>
      </c>
      <c r="C25" t="s">
        <v>47</v>
      </c>
      <c r="D25" t="str">
        <f t="shared" si="0"/>
        <v>Sim</v>
      </c>
    </row>
    <row r="26" spans="1:4" x14ac:dyDescent="0.25">
      <c r="A26" t="s">
        <v>38</v>
      </c>
      <c r="B26" t="s">
        <v>47</v>
      </c>
      <c r="C26" t="s">
        <v>47</v>
      </c>
      <c r="D26" t="str">
        <f>IF(B26=C26, "Sim", "Não")</f>
        <v>Sim</v>
      </c>
    </row>
    <row r="27" spans="1:4" x14ac:dyDescent="0.25">
      <c r="A27" t="s">
        <v>38</v>
      </c>
      <c r="B27" t="s">
        <v>47</v>
      </c>
      <c r="C27" t="s">
        <v>47</v>
      </c>
      <c r="D27" t="str">
        <f>IF(B27=C27, "Sim", "Não")</f>
        <v>Sim</v>
      </c>
    </row>
    <row r="28" spans="1:4" x14ac:dyDescent="0.25">
      <c r="A28" t="s">
        <v>38</v>
      </c>
      <c r="B28" t="s">
        <v>47</v>
      </c>
      <c r="C28" t="s">
        <v>47</v>
      </c>
      <c r="D28" t="str">
        <f t="shared" si="0"/>
        <v>Sim</v>
      </c>
    </row>
    <row r="29" spans="1:4" x14ac:dyDescent="0.25">
      <c r="A29" t="s">
        <v>38</v>
      </c>
      <c r="B29" t="s">
        <v>47</v>
      </c>
      <c r="C29" t="s">
        <v>47</v>
      </c>
      <c r="D29" t="str">
        <f t="shared" si="0"/>
        <v>Sim</v>
      </c>
    </row>
    <row r="30" spans="1:4" x14ac:dyDescent="0.25">
      <c r="A30" t="s">
        <v>38</v>
      </c>
      <c r="B30" t="s">
        <v>48</v>
      </c>
      <c r="C30" t="s">
        <v>48</v>
      </c>
      <c r="D30" t="str">
        <f t="shared" si="0"/>
        <v>Sim</v>
      </c>
    </row>
    <row r="31" spans="1:4" x14ac:dyDescent="0.25">
      <c r="A31" t="s">
        <v>38</v>
      </c>
      <c r="B31" t="s">
        <v>48</v>
      </c>
      <c r="C31" t="s">
        <v>48</v>
      </c>
      <c r="D31" t="str">
        <f t="shared" si="0"/>
        <v>Sim</v>
      </c>
    </row>
    <row r="32" spans="1:4" x14ac:dyDescent="0.25">
      <c r="A32" t="s">
        <v>38</v>
      </c>
      <c r="B32" t="s">
        <v>48</v>
      </c>
      <c r="C32" t="s">
        <v>48</v>
      </c>
      <c r="D32" t="str">
        <f t="shared" si="0"/>
        <v>Sim</v>
      </c>
    </row>
    <row r="33" spans="1:4" x14ac:dyDescent="0.25">
      <c r="A33" t="s">
        <v>38</v>
      </c>
      <c r="B33" t="s">
        <v>48</v>
      </c>
      <c r="C33" t="s">
        <v>48</v>
      </c>
      <c r="D33" t="str">
        <f>IF(B33=C33, "Sim", "Não")</f>
        <v>Sim</v>
      </c>
    </row>
    <row r="34" spans="1:4" x14ac:dyDescent="0.25">
      <c r="A34" t="s">
        <v>38</v>
      </c>
      <c r="B34" t="s">
        <v>48</v>
      </c>
      <c r="C34" t="s">
        <v>48</v>
      </c>
      <c r="D34" t="str">
        <f t="shared" si="0"/>
        <v>Sim</v>
      </c>
    </row>
    <row r="35" spans="1:4" x14ac:dyDescent="0.25">
      <c r="A35" t="s">
        <v>38</v>
      </c>
      <c r="B35" t="s">
        <v>50</v>
      </c>
      <c r="C35" t="s">
        <v>50</v>
      </c>
      <c r="D35" t="str">
        <f>IF(B35=C35, "Sim", "Não")</f>
        <v>Sim</v>
      </c>
    </row>
    <row r="36" spans="1:4" x14ac:dyDescent="0.25">
      <c r="A36" t="s">
        <v>38</v>
      </c>
      <c r="B36" t="s">
        <v>50</v>
      </c>
      <c r="C36" t="s">
        <v>50</v>
      </c>
      <c r="D36" t="str">
        <f t="shared" si="0"/>
        <v>Sim</v>
      </c>
    </row>
    <row r="37" spans="1:4" x14ac:dyDescent="0.25">
      <c r="A37" t="s">
        <v>38</v>
      </c>
      <c r="B37" t="s">
        <v>50</v>
      </c>
      <c r="C37" t="s">
        <v>50</v>
      </c>
      <c r="D37" t="str">
        <f t="shared" si="0"/>
        <v>Sim</v>
      </c>
    </row>
    <row r="38" spans="1:4" x14ac:dyDescent="0.25">
      <c r="A38" t="s">
        <v>38</v>
      </c>
      <c r="B38" t="s">
        <v>50</v>
      </c>
      <c r="C38" t="s">
        <v>50</v>
      </c>
      <c r="D38" t="str">
        <f t="shared" si="0"/>
        <v>Sim</v>
      </c>
    </row>
    <row r="39" spans="1:4" x14ac:dyDescent="0.25">
      <c r="A39" t="s">
        <v>44</v>
      </c>
      <c r="B39" t="s">
        <v>211</v>
      </c>
      <c r="C39" t="s">
        <v>211</v>
      </c>
      <c r="D39" t="str">
        <f t="shared" si="0"/>
        <v>Sim</v>
      </c>
    </row>
    <row r="40" spans="1:4" x14ac:dyDescent="0.25">
      <c r="A40" t="s">
        <v>44</v>
      </c>
      <c r="B40" t="s">
        <v>213</v>
      </c>
      <c r="C40" t="s">
        <v>213</v>
      </c>
      <c r="D40" t="str">
        <f t="shared" si="0"/>
        <v>Sim</v>
      </c>
    </row>
    <row r="41" spans="1:4" x14ac:dyDescent="0.25">
      <c r="A41" t="s">
        <v>44</v>
      </c>
      <c r="B41" t="s">
        <v>568</v>
      </c>
      <c r="C41" t="s">
        <v>568</v>
      </c>
      <c r="D41" t="str">
        <f t="shared" si="0"/>
        <v>Sim</v>
      </c>
    </row>
    <row r="42" spans="1:4" x14ac:dyDescent="0.25">
      <c r="A42" t="s">
        <v>44</v>
      </c>
      <c r="B42" t="s">
        <v>567</v>
      </c>
      <c r="C42" t="s">
        <v>567</v>
      </c>
      <c r="D42" t="str">
        <f t="shared" si="0"/>
        <v>Sim</v>
      </c>
    </row>
    <row r="43" spans="1:4" x14ac:dyDescent="0.25">
      <c r="A43" t="s">
        <v>44</v>
      </c>
      <c r="B43" t="s">
        <v>212</v>
      </c>
      <c r="C43" t="s">
        <v>212</v>
      </c>
      <c r="D43" t="str">
        <f t="shared" si="0"/>
        <v>Sim</v>
      </c>
    </row>
    <row r="44" spans="1:4" x14ac:dyDescent="0.25">
      <c r="A44" t="s">
        <v>44</v>
      </c>
      <c r="B44" t="s">
        <v>839</v>
      </c>
      <c r="C44" t="s">
        <v>839</v>
      </c>
      <c r="D44" t="str">
        <f>IF(B44=C44, "Sim", "Não")</f>
        <v>Sim</v>
      </c>
    </row>
    <row r="45" spans="1:4" x14ac:dyDescent="0.25">
      <c r="A45" t="s">
        <v>44</v>
      </c>
      <c r="B45" t="s">
        <v>216</v>
      </c>
      <c r="C45" t="s">
        <v>216</v>
      </c>
      <c r="D45" t="str">
        <f t="shared" si="0"/>
        <v>Sim</v>
      </c>
    </row>
    <row r="46" spans="1:4" x14ac:dyDescent="0.25">
      <c r="A46" t="s">
        <v>44</v>
      </c>
      <c r="B46" t="s">
        <v>219</v>
      </c>
      <c r="C46" t="s">
        <v>219</v>
      </c>
      <c r="D46" t="str">
        <f t="shared" si="0"/>
        <v>Sim</v>
      </c>
    </row>
    <row r="47" spans="1:4" x14ac:dyDescent="0.25">
      <c r="A47" t="s">
        <v>44</v>
      </c>
      <c r="B47" t="s">
        <v>217</v>
      </c>
      <c r="C47" t="s">
        <v>217</v>
      </c>
      <c r="D47" t="str">
        <f t="shared" si="0"/>
        <v>Sim</v>
      </c>
    </row>
    <row r="48" spans="1:4" x14ac:dyDescent="0.25">
      <c r="A48" t="s">
        <v>44</v>
      </c>
      <c r="B48" t="s">
        <v>855</v>
      </c>
      <c r="C48" t="s">
        <v>1968</v>
      </c>
      <c r="D48" t="str">
        <f>IF(B48=C48, "Sim", "Não")</f>
        <v>Não</v>
      </c>
    </row>
    <row r="49" spans="1:6" x14ac:dyDescent="0.25">
      <c r="A49" t="s">
        <v>44</v>
      </c>
      <c r="B49" t="s">
        <v>840</v>
      </c>
      <c r="C49" t="s">
        <v>840</v>
      </c>
      <c r="D49" t="str">
        <f t="shared" si="0"/>
        <v>Sim</v>
      </c>
    </row>
    <row r="50" spans="1:6" x14ac:dyDescent="0.25">
      <c r="A50" t="s">
        <v>44</v>
      </c>
      <c r="B50" t="s">
        <v>841</v>
      </c>
      <c r="C50" t="s">
        <v>841</v>
      </c>
      <c r="D50" t="str">
        <f t="shared" si="0"/>
        <v>Sim</v>
      </c>
    </row>
    <row r="51" spans="1:6" x14ac:dyDescent="0.25">
      <c r="A51" t="s">
        <v>45</v>
      </c>
      <c r="B51" t="s">
        <v>842</v>
      </c>
      <c r="C51" t="s">
        <v>842</v>
      </c>
      <c r="D51" t="str">
        <f t="shared" si="0"/>
        <v>Sim</v>
      </c>
    </row>
    <row r="52" spans="1:6" x14ac:dyDescent="0.25">
      <c r="A52" t="s">
        <v>45</v>
      </c>
      <c r="B52" t="s">
        <v>103</v>
      </c>
      <c r="C52" t="s">
        <v>103</v>
      </c>
      <c r="D52" t="str">
        <f t="shared" si="0"/>
        <v>Sim</v>
      </c>
    </row>
    <row r="53" spans="1:6" x14ac:dyDescent="0.25">
      <c r="A53" t="s">
        <v>45</v>
      </c>
      <c r="B53" t="s">
        <v>843</v>
      </c>
      <c r="C53" t="s">
        <v>843</v>
      </c>
      <c r="D53" t="str">
        <f t="shared" si="0"/>
        <v>Sim</v>
      </c>
      <c r="F53"/>
    </row>
    <row r="54" spans="1:6" x14ac:dyDescent="0.25">
      <c r="A54" t="s">
        <v>45</v>
      </c>
      <c r="B54" t="s">
        <v>1772</v>
      </c>
      <c r="C54" t="s">
        <v>1772</v>
      </c>
      <c r="D54" t="str">
        <f t="shared" si="0"/>
        <v>Sim</v>
      </c>
    </row>
    <row r="55" spans="1:6" x14ac:dyDescent="0.25">
      <c r="A55" t="s">
        <v>45</v>
      </c>
      <c r="B55" t="s">
        <v>844</v>
      </c>
      <c r="C55" t="s">
        <v>844</v>
      </c>
      <c r="D55" t="str">
        <f t="shared" si="0"/>
        <v>Sim</v>
      </c>
    </row>
    <row r="56" spans="1:6" x14ac:dyDescent="0.25">
      <c r="A56" t="s">
        <v>45</v>
      </c>
      <c r="B56" t="s">
        <v>845</v>
      </c>
      <c r="C56" t="s">
        <v>845</v>
      </c>
      <c r="D56" t="str">
        <f t="shared" si="0"/>
        <v>Sim</v>
      </c>
    </row>
    <row r="57" spans="1:6" x14ac:dyDescent="0.25">
      <c r="A57" t="s">
        <v>45</v>
      </c>
      <c r="B57" t="s">
        <v>846</v>
      </c>
      <c r="C57" t="s">
        <v>846</v>
      </c>
      <c r="D57" t="str">
        <f t="shared" si="0"/>
        <v>Sim</v>
      </c>
    </row>
    <row r="58" spans="1:6" x14ac:dyDescent="0.25">
      <c r="A58" t="s">
        <v>45</v>
      </c>
      <c r="B58" t="s">
        <v>847</v>
      </c>
      <c r="C58" t="s">
        <v>847</v>
      </c>
      <c r="D58" t="str">
        <f t="shared" si="0"/>
        <v>Sim</v>
      </c>
    </row>
    <row r="59" spans="1:6" x14ac:dyDescent="0.25">
      <c r="A59" t="s">
        <v>45</v>
      </c>
      <c r="B59" t="s">
        <v>848</v>
      </c>
      <c r="C59" t="s">
        <v>848</v>
      </c>
      <c r="D59" t="str">
        <f t="shared" si="0"/>
        <v>Sim</v>
      </c>
    </row>
    <row r="60" spans="1:6" x14ac:dyDescent="0.25">
      <c r="A60" t="s">
        <v>45</v>
      </c>
      <c r="B60" t="s">
        <v>849</v>
      </c>
      <c r="C60" t="s">
        <v>849</v>
      </c>
      <c r="D60" t="str">
        <f>IF(B60=C60, "Sim", "Não")</f>
        <v>Sim</v>
      </c>
    </row>
    <row r="61" spans="1:6" x14ac:dyDescent="0.25">
      <c r="A61" t="s">
        <v>45</v>
      </c>
      <c r="B61" t="s">
        <v>1633</v>
      </c>
      <c r="C61" t="s">
        <v>1633</v>
      </c>
      <c r="D61" t="str">
        <f>IF(B61=C61, "Sim", "Não")</f>
        <v>Sim</v>
      </c>
    </row>
    <row r="62" spans="1:6" x14ac:dyDescent="0.25">
      <c r="A62" t="s">
        <v>827</v>
      </c>
      <c r="B62" t="s">
        <v>851</v>
      </c>
      <c r="C62" t="s">
        <v>851</v>
      </c>
      <c r="D62" t="str">
        <f t="shared" si="0"/>
        <v>Sim</v>
      </c>
    </row>
    <row r="63" spans="1:6" x14ac:dyDescent="0.25">
      <c r="A63" t="s">
        <v>827</v>
      </c>
      <c r="B63" t="s">
        <v>852</v>
      </c>
      <c r="C63" t="s">
        <v>852</v>
      </c>
      <c r="D63" t="str">
        <f t="shared" si="0"/>
        <v>Sim</v>
      </c>
    </row>
    <row r="64" spans="1:6" x14ac:dyDescent="0.25">
      <c r="A64" t="s">
        <v>827</v>
      </c>
      <c r="B64" t="s">
        <v>853</v>
      </c>
      <c r="C64" t="s">
        <v>853</v>
      </c>
      <c r="D64" t="str">
        <f t="shared" si="0"/>
        <v>Sim</v>
      </c>
    </row>
    <row r="65" spans="1:4" x14ac:dyDescent="0.25">
      <c r="A65" t="s">
        <v>827</v>
      </c>
      <c r="B65" t="s">
        <v>854</v>
      </c>
      <c r="C65" t="s">
        <v>854</v>
      </c>
      <c r="D65" t="str">
        <f t="shared" si="0"/>
        <v>Sim</v>
      </c>
    </row>
    <row r="66" spans="1:4" x14ac:dyDescent="0.25">
      <c r="A66" t="s">
        <v>827</v>
      </c>
      <c r="B66" t="s">
        <v>856</v>
      </c>
      <c r="C66" t="s">
        <v>856</v>
      </c>
      <c r="D66" t="str">
        <f t="shared" si="0"/>
        <v>Sim</v>
      </c>
    </row>
    <row r="67" spans="1:4" x14ac:dyDescent="0.25">
      <c r="A67" t="s">
        <v>827</v>
      </c>
      <c r="B67" t="s">
        <v>857</v>
      </c>
      <c r="C67" t="s">
        <v>857</v>
      </c>
      <c r="D67" t="str">
        <f t="shared" si="0"/>
        <v>Sim</v>
      </c>
    </row>
    <row r="68" spans="1:4" x14ac:dyDescent="0.25">
      <c r="A68" t="s">
        <v>827</v>
      </c>
      <c r="B68" t="s">
        <v>858</v>
      </c>
      <c r="C68" t="s">
        <v>858</v>
      </c>
      <c r="D68" t="str">
        <f t="shared" si="0"/>
        <v>Sim</v>
      </c>
    </row>
    <row r="69" spans="1:4" x14ac:dyDescent="0.25">
      <c r="A69" t="s">
        <v>827</v>
      </c>
      <c r="B69" t="s">
        <v>859</v>
      </c>
      <c r="C69" t="s">
        <v>859</v>
      </c>
      <c r="D69" t="str">
        <f t="shared" si="0"/>
        <v>Sim</v>
      </c>
    </row>
    <row r="70" spans="1:4" x14ac:dyDescent="0.25">
      <c r="A70" t="s">
        <v>827</v>
      </c>
      <c r="B70" t="s">
        <v>261</v>
      </c>
      <c r="C70" t="s">
        <v>261</v>
      </c>
      <c r="D70" t="str">
        <f t="shared" ref="D70:D101" si="2">IF(B70=C70, "Sim", "Não")</f>
        <v>Sim</v>
      </c>
    </row>
    <row r="71" spans="1:4" x14ac:dyDescent="0.25">
      <c r="A71" t="s">
        <v>827</v>
      </c>
      <c r="B71" t="s">
        <v>260</v>
      </c>
      <c r="C71" t="s">
        <v>260</v>
      </c>
      <c r="D71" t="str">
        <f t="shared" si="2"/>
        <v>Sim</v>
      </c>
    </row>
    <row r="72" spans="1:4" x14ac:dyDescent="0.25">
      <c r="A72" t="s">
        <v>827</v>
      </c>
      <c r="B72" t="s">
        <v>312</v>
      </c>
      <c r="C72" t="s">
        <v>312</v>
      </c>
      <c r="D72" t="str">
        <f t="shared" si="2"/>
        <v>Sim</v>
      </c>
    </row>
    <row r="73" spans="1:4" x14ac:dyDescent="0.25">
      <c r="A73" t="s">
        <v>73</v>
      </c>
      <c r="B73" t="s">
        <v>860</v>
      </c>
      <c r="C73" t="s">
        <v>860</v>
      </c>
      <c r="D73" t="str">
        <f t="shared" si="2"/>
        <v>Sim</v>
      </c>
    </row>
    <row r="74" spans="1:4" x14ac:dyDescent="0.25">
      <c r="A74" t="s">
        <v>73</v>
      </c>
      <c r="B74" t="s">
        <v>861</v>
      </c>
      <c r="C74" t="s">
        <v>861</v>
      </c>
      <c r="D74" t="str">
        <f t="shared" si="2"/>
        <v>Sim</v>
      </c>
    </row>
    <row r="75" spans="1:4" x14ac:dyDescent="0.25">
      <c r="A75" t="s">
        <v>73</v>
      </c>
      <c r="B75" t="s">
        <v>862</v>
      </c>
      <c r="C75" t="s">
        <v>862</v>
      </c>
      <c r="D75" t="str">
        <f t="shared" si="2"/>
        <v>Sim</v>
      </c>
    </row>
    <row r="76" spans="1:4" x14ac:dyDescent="0.25">
      <c r="A76" t="s">
        <v>73</v>
      </c>
      <c r="B76" t="s">
        <v>863</v>
      </c>
      <c r="C76" t="s">
        <v>863</v>
      </c>
      <c r="D76" t="str">
        <f t="shared" si="2"/>
        <v>Sim</v>
      </c>
    </row>
    <row r="77" spans="1:4" x14ac:dyDescent="0.25">
      <c r="A77" t="s">
        <v>73</v>
      </c>
      <c r="B77" t="s">
        <v>864</v>
      </c>
      <c r="C77" t="s">
        <v>864</v>
      </c>
      <c r="D77" t="str">
        <f t="shared" si="2"/>
        <v>Sim</v>
      </c>
    </row>
    <row r="78" spans="1:4" x14ac:dyDescent="0.25">
      <c r="A78" t="s">
        <v>73</v>
      </c>
      <c r="B78" t="s">
        <v>865</v>
      </c>
      <c r="C78" t="s">
        <v>865</v>
      </c>
      <c r="D78" t="str">
        <f t="shared" si="2"/>
        <v>Sim</v>
      </c>
    </row>
    <row r="79" spans="1:4" x14ac:dyDescent="0.25">
      <c r="A79" t="s">
        <v>73</v>
      </c>
      <c r="B79" t="s">
        <v>866</v>
      </c>
      <c r="C79" t="s">
        <v>866</v>
      </c>
      <c r="D79" t="str">
        <f t="shared" si="2"/>
        <v>Sim</v>
      </c>
    </row>
    <row r="80" spans="1:4" x14ac:dyDescent="0.25">
      <c r="A80" t="s">
        <v>73</v>
      </c>
      <c r="B80" t="s">
        <v>867</v>
      </c>
      <c r="C80" t="s">
        <v>867</v>
      </c>
      <c r="D80" t="str">
        <f t="shared" si="2"/>
        <v>Sim</v>
      </c>
    </row>
    <row r="81" spans="1:4" x14ac:dyDescent="0.25">
      <c r="A81" t="s">
        <v>73</v>
      </c>
      <c r="B81" t="s">
        <v>868</v>
      </c>
      <c r="C81" t="s">
        <v>868</v>
      </c>
      <c r="D81" t="str">
        <f t="shared" si="2"/>
        <v>Sim</v>
      </c>
    </row>
    <row r="82" spans="1:4" x14ac:dyDescent="0.25">
      <c r="A82" t="s">
        <v>73</v>
      </c>
      <c r="B82" t="s">
        <v>869</v>
      </c>
      <c r="C82" t="s">
        <v>869</v>
      </c>
      <c r="D82" t="str">
        <f t="shared" si="2"/>
        <v>Sim</v>
      </c>
    </row>
    <row r="83" spans="1:4" x14ac:dyDescent="0.25">
      <c r="A83" t="s">
        <v>73</v>
      </c>
      <c r="B83" t="s">
        <v>257</v>
      </c>
      <c r="C83" t="s">
        <v>257</v>
      </c>
      <c r="D83" t="str">
        <f t="shared" si="2"/>
        <v>Sim</v>
      </c>
    </row>
    <row r="84" spans="1:4" x14ac:dyDescent="0.25">
      <c r="A84" t="s">
        <v>73</v>
      </c>
      <c r="B84" t="s">
        <v>731</v>
      </c>
      <c r="C84" t="s">
        <v>731</v>
      </c>
      <c r="D84" t="str">
        <f t="shared" si="2"/>
        <v>Sim</v>
      </c>
    </row>
    <row r="85" spans="1:4" x14ac:dyDescent="0.25">
      <c r="A85" t="s">
        <v>73</v>
      </c>
      <c r="B85" t="s">
        <v>870</v>
      </c>
      <c r="C85" t="s">
        <v>870</v>
      </c>
      <c r="D85" t="str">
        <f t="shared" si="2"/>
        <v>Sim</v>
      </c>
    </row>
    <row r="86" spans="1:4" x14ac:dyDescent="0.25">
      <c r="A86" t="s">
        <v>73</v>
      </c>
      <c r="B86" t="s">
        <v>139</v>
      </c>
      <c r="C86" t="s">
        <v>139</v>
      </c>
      <c r="D86" t="str">
        <f t="shared" si="2"/>
        <v>Sim</v>
      </c>
    </row>
    <row r="87" spans="1:4" x14ac:dyDescent="0.25">
      <c r="A87" t="s">
        <v>202</v>
      </c>
      <c r="B87" t="s">
        <v>871</v>
      </c>
      <c r="C87" t="s">
        <v>871</v>
      </c>
      <c r="D87" t="str">
        <f t="shared" si="2"/>
        <v>Sim</v>
      </c>
    </row>
    <row r="88" spans="1:4" x14ac:dyDescent="0.25">
      <c r="A88" t="s">
        <v>202</v>
      </c>
      <c r="B88" t="s">
        <v>872</v>
      </c>
      <c r="C88" t="s">
        <v>872</v>
      </c>
      <c r="D88" t="str">
        <f t="shared" si="2"/>
        <v>Sim</v>
      </c>
    </row>
    <row r="89" spans="1:4" x14ac:dyDescent="0.25">
      <c r="A89" t="s">
        <v>202</v>
      </c>
      <c r="B89" t="s">
        <v>873</v>
      </c>
      <c r="C89" t="s">
        <v>873</v>
      </c>
      <c r="D89" t="str">
        <f t="shared" si="2"/>
        <v>Sim</v>
      </c>
    </row>
    <row r="90" spans="1:4" x14ac:dyDescent="0.25">
      <c r="A90" t="s">
        <v>202</v>
      </c>
      <c r="B90" t="s">
        <v>874</v>
      </c>
      <c r="C90" t="s">
        <v>1773</v>
      </c>
      <c r="D90" t="str">
        <f t="shared" si="2"/>
        <v>Não</v>
      </c>
    </row>
    <row r="91" spans="1:4" x14ac:dyDescent="0.25">
      <c r="A91" t="s">
        <v>202</v>
      </c>
      <c r="B91" t="s">
        <v>875</v>
      </c>
      <c r="C91" t="s">
        <v>875</v>
      </c>
      <c r="D91" t="str">
        <f t="shared" si="2"/>
        <v>Sim</v>
      </c>
    </row>
    <row r="92" spans="1:4" x14ac:dyDescent="0.25">
      <c r="A92" t="s">
        <v>202</v>
      </c>
      <c r="B92" t="s">
        <v>876</v>
      </c>
      <c r="C92" t="s">
        <v>876</v>
      </c>
      <c r="D92" t="str">
        <f t="shared" si="2"/>
        <v>Sim</v>
      </c>
    </row>
    <row r="93" spans="1:4" x14ac:dyDescent="0.25">
      <c r="A93" t="s">
        <v>202</v>
      </c>
      <c r="B93" t="s">
        <v>877</v>
      </c>
      <c r="C93" t="s">
        <v>877</v>
      </c>
      <c r="D93" t="str">
        <f t="shared" si="2"/>
        <v>Sim</v>
      </c>
    </row>
    <row r="94" spans="1:4" x14ac:dyDescent="0.25">
      <c r="A94" t="s">
        <v>202</v>
      </c>
      <c r="B94" t="s">
        <v>878</v>
      </c>
      <c r="C94" t="s">
        <v>878</v>
      </c>
      <c r="D94" t="str">
        <f t="shared" si="2"/>
        <v>Sim</v>
      </c>
    </row>
    <row r="95" spans="1:4" x14ac:dyDescent="0.25">
      <c r="A95" t="s">
        <v>198</v>
      </c>
      <c r="B95" t="s">
        <v>879</v>
      </c>
      <c r="C95" t="s">
        <v>879</v>
      </c>
      <c r="D95" t="str">
        <f t="shared" si="2"/>
        <v>Sim</v>
      </c>
    </row>
    <row r="96" spans="1:4" x14ac:dyDescent="0.25">
      <c r="A96" t="s">
        <v>198</v>
      </c>
      <c r="B96" t="s">
        <v>880</v>
      </c>
      <c r="C96" t="s">
        <v>880</v>
      </c>
      <c r="D96" t="str">
        <f t="shared" si="2"/>
        <v>Sim</v>
      </c>
    </row>
    <row r="97" spans="1:4" x14ac:dyDescent="0.25">
      <c r="A97" t="s">
        <v>198</v>
      </c>
      <c r="B97" t="s">
        <v>131</v>
      </c>
      <c r="C97" t="s">
        <v>131</v>
      </c>
      <c r="D97" t="str">
        <f t="shared" si="2"/>
        <v>Sim</v>
      </c>
    </row>
    <row r="98" spans="1:4" x14ac:dyDescent="0.25">
      <c r="A98" t="s">
        <v>198</v>
      </c>
      <c r="B98" t="s">
        <v>130</v>
      </c>
      <c r="C98" t="s">
        <v>130</v>
      </c>
      <c r="D98" t="str">
        <f t="shared" si="2"/>
        <v>Sim</v>
      </c>
    </row>
    <row r="99" spans="1:4" x14ac:dyDescent="0.25">
      <c r="A99" t="s">
        <v>198</v>
      </c>
      <c r="B99" t="s">
        <v>111</v>
      </c>
      <c r="C99" t="s">
        <v>111</v>
      </c>
      <c r="D99" t="str">
        <f>IF(B99=C99, "Sim", "Não")</f>
        <v>Sim</v>
      </c>
    </row>
    <row r="100" spans="1:4" x14ac:dyDescent="0.25">
      <c r="A100" t="s">
        <v>198</v>
      </c>
      <c r="B100" t="s">
        <v>881</v>
      </c>
      <c r="C100" t="s">
        <v>881</v>
      </c>
      <c r="D100" t="str">
        <f>IF(B100=C100, "Sim", "Não")</f>
        <v>Sim</v>
      </c>
    </row>
    <row r="101" spans="1:4" x14ac:dyDescent="0.25">
      <c r="A101" t="s">
        <v>198</v>
      </c>
      <c r="B101" t="s">
        <v>882</v>
      </c>
      <c r="C101" t="s">
        <v>882</v>
      </c>
      <c r="D101" t="str">
        <f t="shared" si="2"/>
        <v>Sim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DEC15-FAF5-4647-9F0B-1496C83D3244}">
  <sheetPr codeName="Planilha18"/>
  <dimension ref="A1:G101"/>
  <sheetViews>
    <sheetView topLeftCell="A82" workbookViewId="0">
      <selection activeCell="C22" sqref="C22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28" t="s">
        <v>24</v>
      </c>
      <c r="B1" s="28"/>
      <c r="C1" s="28"/>
      <c r="D1" s="28"/>
      <c r="E1" s="28"/>
      <c r="F1" s="28"/>
      <c r="G1" s="28"/>
    </row>
    <row r="2" spans="1:7" x14ac:dyDescent="0.25">
      <c r="A2" s="4" t="s">
        <v>34</v>
      </c>
      <c r="B2" s="4" t="s">
        <v>35</v>
      </c>
      <c r="C2" s="4" t="s">
        <v>36</v>
      </c>
      <c r="D2" s="4" t="s">
        <v>37</v>
      </c>
    </row>
    <row r="3" spans="1:7" x14ac:dyDescent="0.25">
      <c r="A3" t="s">
        <v>38</v>
      </c>
      <c r="B3" t="s">
        <v>883</v>
      </c>
      <c r="C3" t="s">
        <v>883</v>
      </c>
      <c r="D3" t="str">
        <f>IF(B3=C3, "Sim", "Não")</f>
        <v>Sim</v>
      </c>
      <c r="F3" s="4" t="s">
        <v>39</v>
      </c>
      <c r="G3" s="3">
        <f>COUNTIF(D3:D105,"Não")</f>
        <v>2</v>
      </c>
    </row>
    <row r="4" spans="1:7" x14ac:dyDescent="0.25">
      <c r="A4" t="s">
        <v>38</v>
      </c>
      <c r="B4" t="s">
        <v>884</v>
      </c>
      <c r="C4" t="s">
        <v>884</v>
      </c>
      <c r="D4" t="str">
        <f t="shared" ref="D4:D59" si="0">IF(B4=C4, "Sim", "Não")</f>
        <v>Sim</v>
      </c>
      <c r="F4" s="4" t="s">
        <v>40</v>
      </c>
      <c r="G4" s="3">
        <f>SUM(G7:G25)</f>
        <v>99</v>
      </c>
    </row>
    <row r="5" spans="1:7" x14ac:dyDescent="0.25">
      <c r="A5" t="s">
        <v>38</v>
      </c>
      <c r="B5" t="s">
        <v>885</v>
      </c>
      <c r="C5" t="s">
        <v>885</v>
      </c>
      <c r="D5" t="str">
        <f t="shared" si="0"/>
        <v>Sim</v>
      </c>
    </row>
    <row r="6" spans="1:7" x14ac:dyDescent="0.25">
      <c r="A6" t="s">
        <v>38</v>
      </c>
      <c r="B6" t="s">
        <v>43</v>
      </c>
      <c r="C6" t="s">
        <v>43</v>
      </c>
      <c r="D6" t="str">
        <f t="shared" si="0"/>
        <v>Sim</v>
      </c>
      <c r="F6" s="6" t="s">
        <v>42</v>
      </c>
      <c r="G6" s="1"/>
    </row>
    <row r="7" spans="1:7" x14ac:dyDescent="0.25">
      <c r="A7" t="s">
        <v>38</v>
      </c>
      <c r="B7" t="s">
        <v>886</v>
      </c>
      <c r="C7" t="s">
        <v>886</v>
      </c>
      <c r="D7" t="str">
        <f t="shared" si="0"/>
        <v>Sim</v>
      </c>
      <c r="F7" s="1" t="s">
        <v>38</v>
      </c>
      <c r="G7" s="2">
        <f t="shared" ref="G7:G15" si="1">COUNTIF(A:A,F7)</f>
        <v>34</v>
      </c>
    </row>
    <row r="8" spans="1:7" x14ac:dyDescent="0.25">
      <c r="A8" t="s">
        <v>38</v>
      </c>
      <c r="B8" t="s">
        <v>209</v>
      </c>
      <c r="C8" t="s">
        <v>209</v>
      </c>
      <c r="D8" t="str">
        <f t="shared" si="0"/>
        <v>Sim</v>
      </c>
      <c r="F8" s="1" t="s">
        <v>762</v>
      </c>
      <c r="G8" s="2">
        <f t="shared" si="1"/>
        <v>12</v>
      </c>
    </row>
    <row r="9" spans="1:7" x14ac:dyDescent="0.25">
      <c r="A9" t="s">
        <v>38</v>
      </c>
      <c r="B9" t="s">
        <v>276</v>
      </c>
      <c r="C9" t="s">
        <v>276</v>
      </c>
      <c r="D9" t="str">
        <f t="shared" si="0"/>
        <v>Sim</v>
      </c>
      <c r="F9" s="1" t="s">
        <v>156</v>
      </c>
      <c r="G9" s="2">
        <f t="shared" si="1"/>
        <v>13</v>
      </c>
    </row>
    <row r="10" spans="1:7" x14ac:dyDescent="0.25">
      <c r="A10" t="s">
        <v>38</v>
      </c>
      <c r="B10" t="s">
        <v>887</v>
      </c>
      <c r="C10" t="s">
        <v>887</v>
      </c>
      <c r="D10" t="str">
        <f t="shared" si="0"/>
        <v>Sim</v>
      </c>
      <c r="F10" s="1" t="s">
        <v>53</v>
      </c>
      <c r="G10" s="2">
        <f t="shared" si="1"/>
        <v>4</v>
      </c>
    </row>
    <row r="11" spans="1:7" x14ac:dyDescent="0.25">
      <c r="A11" t="s">
        <v>38</v>
      </c>
      <c r="B11" t="s">
        <v>72</v>
      </c>
      <c r="C11" t="s">
        <v>72</v>
      </c>
      <c r="D11" t="str">
        <f t="shared" si="0"/>
        <v>Sim</v>
      </c>
      <c r="F11" s="1" t="s">
        <v>46</v>
      </c>
      <c r="G11" s="2">
        <f t="shared" si="1"/>
        <v>6</v>
      </c>
    </row>
    <row r="12" spans="1:7" x14ac:dyDescent="0.25">
      <c r="A12" t="s">
        <v>38</v>
      </c>
      <c r="B12" t="s">
        <v>349</v>
      </c>
      <c r="C12" t="s">
        <v>349</v>
      </c>
      <c r="D12" t="str">
        <f t="shared" si="0"/>
        <v>Sim</v>
      </c>
      <c r="F12" s="1" t="s">
        <v>45</v>
      </c>
      <c r="G12" s="2">
        <f t="shared" si="1"/>
        <v>6</v>
      </c>
    </row>
    <row r="13" spans="1:7" x14ac:dyDescent="0.25">
      <c r="A13" t="s">
        <v>38</v>
      </c>
      <c r="B13" t="s">
        <v>888</v>
      </c>
      <c r="C13" t="s">
        <v>888</v>
      </c>
      <c r="D13" t="str">
        <f t="shared" si="0"/>
        <v>Sim</v>
      </c>
      <c r="F13" s="1" t="s">
        <v>202</v>
      </c>
      <c r="G13" s="2">
        <f t="shared" si="1"/>
        <v>8</v>
      </c>
    </row>
    <row r="14" spans="1:7" x14ac:dyDescent="0.25">
      <c r="A14" t="s">
        <v>38</v>
      </c>
      <c r="B14" t="s">
        <v>889</v>
      </c>
      <c r="C14" t="s">
        <v>889</v>
      </c>
      <c r="D14" t="str">
        <f t="shared" si="0"/>
        <v>Sim</v>
      </c>
      <c r="F14" s="1" t="s">
        <v>44</v>
      </c>
      <c r="G14" s="2">
        <f t="shared" si="1"/>
        <v>8</v>
      </c>
    </row>
    <row r="15" spans="1:7" x14ac:dyDescent="0.25">
      <c r="A15" t="s">
        <v>38</v>
      </c>
      <c r="B15" t="s">
        <v>890</v>
      </c>
      <c r="C15" t="s">
        <v>890</v>
      </c>
      <c r="D15" t="str">
        <f t="shared" si="0"/>
        <v>Sim</v>
      </c>
      <c r="F15" s="1" t="s">
        <v>345</v>
      </c>
      <c r="G15" s="2">
        <f t="shared" si="1"/>
        <v>8</v>
      </c>
    </row>
    <row r="16" spans="1:7" x14ac:dyDescent="0.25">
      <c r="A16" t="s">
        <v>38</v>
      </c>
      <c r="B16" t="s">
        <v>281</v>
      </c>
      <c r="C16" t="s">
        <v>281</v>
      </c>
      <c r="D16" t="str">
        <f t="shared" si="0"/>
        <v>Sim</v>
      </c>
      <c r="F16" s="4"/>
      <c r="G16" s="2"/>
    </row>
    <row r="17" spans="1:4" x14ac:dyDescent="0.25">
      <c r="A17" t="s">
        <v>38</v>
      </c>
      <c r="B17" t="s">
        <v>352</v>
      </c>
      <c r="C17" t="s">
        <v>352</v>
      </c>
      <c r="D17" t="str">
        <f t="shared" si="0"/>
        <v>Sim</v>
      </c>
    </row>
    <row r="18" spans="1:4" x14ac:dyDescent="0.25">
      <c r="A18" t="s">
        <v>38</v>
      </c>
      <c r="B18" t="s">
        <v>201</v>
      </c>
      <c r="C18" t="s">
        <v>201</v>
      </c>
      <c r="D18" t="str">
        <f t="shared" si="0"/>
        <v>Sim</v>
      </c>
    </row>
    <row r="19" spans="1:4" x14ac:dyDescent="0.25">
      <c r="A19" t="s">
        <v>38</v>
      </c>
      <c r="B19" t="s">
        <v>283</v>
      </c>
      <c r="C19" t="s">
        <v>283</v>
      </c>
      <c r="D19" t="str">
        <f t="shared" si="0"/>
        <v>Sim</v>
      </c>
    </row>
    <row r="20" spans="1:4" x14ac:dyDescent="0.25">
      <c r="A20" t="s">
        <v>38</v>
      </c>
      <c r="B20" t="s">
        <v>484</v>
      </c>
      <c r="C20" t="s">
        <v>484</v>
      </c>
      <c r="D20" t="str">
        <f t="shared" si="0"/>
        <v>Sim</v>
      </c>
    </row>
    <row r="21" spans="1:4" x14ac:dyDescent="0.25">
      <c r="A21" t="s">
        <v>38</v>
      </c>
      <c r="B21" t="s">
        <v>205</v>
      </c>
      <c r="C21" t="s">
        <v>205</v>
      </c>
      <c r="D21" t="str">
        <f t="shared" si="0"/>
        <v>Sim</v>
      </c>
    </row>
    <row r="22" spans="1:4" x14ac:dyDescent="0.25">
      <c r="A22" t="s">
        <v>38</v>
      </c>
      <c r="B22" t="s">
        <v>51</v>
      </c>
      <c r="C22" t="s">
        <v>346</v>
      </c>
      <c r="D22" t="str">
        <f t="shared" si="0"/>
        <v>Não</v>
      </c>
    </row>
    <row r="23" spans="1:4" x14ac:dyDescent="0.25">
      <c r="A23" t="s">
        <v>38</v>
      </c>
      <c r="B23" t="s">
        <v>891</v>
      </c>
      <c r="C23" t="s">
        <v>891</v>
      </c>
      <c r="D23" t="str">
        <f t="shared" si="0"/>
        <v>Sim</v>
      </c>
    </row>
    <row r="24" spans="1:4" x14ac:dyDescent="0.25">
      <c r="A24" t="s">
        <v>38</v>
      </c>
      <c r="B24" t="s">
        <v>48</v>
      </c>
      <c r="C24" t="s">
        <v>48</v>
      </c>
      <c r="D24" t="str">
        <f t="shared" si="0"/>
        <v>Sim</v>
      </c>
    </row>
    <row r="25" spans="1:4" x14ac:dyDescent="0.25">
      <c r="A25" t="s">
        <v>38</v>
      </c>
      <c r="B25" t="s">
        <v>48</v>
      </c>
      <c r="C25" t="s">
        <v>48</v>
      </c>
      <c r="D25" t="str">
        <f t="shared" si="0"/>
        <v>Sim</v>
      </c>
    </row>
    <row r="26" spans="1:4" x14ac:dyDescent="0.25">
      <c r="A26" t="s">
        <v>38</v>
      </c>
      <c r="B26" t="s">
        <v>48</v>
      </c>
      <c r="C26" t="s">
        <v>48</v>
      </c>
      <c r="D26" t="str">
        <f t="shared" si="0"/>
        <v>Sim</v>
      </c>
    </row>
    <row r="27" spans="1:4" x14ac:dyDescent="0.25">
      <c r="A27" t="s">
        <v>38</v>
      </c>
      <c r="B27" t="s">
        <v>48</v>
      </c>
      <c r="C27" t="s">
        <v>48</v>
      </c>
      <c r="D27" t="str">
        <f t="shared" si="0"/>
        <v>Sim</v>
      </c>
    </row>
    <row r="28" spans="1:4" x14ac:dyDescent="0.25">
      <c r="A28" t="s">
        <v>38</v>
      </c>
      <c r="B28" t="s">
        <v>48</v>
      </c>
      <c r="C28" t="s">
        <v>48</v>
      </c>
      <c r="D28" t="str">
        <f t="shared" si="0"/>
        <v>Sim</v>
      </c>
    </row>
    <row r="29" spans="1:4" x14ac:dyDescent="0.25">
      <c r="A29" t="s">
        <v>38</v>
      </c>
      <c r="B29" t="s">
        <v>51</v>
      </c>
      <c r="C29" t="s">
        <v>51</v>
      </c>
      <c r="D29" t="str">
        <f t="shared" si="0"/>
        <v>Sim</v>
      </c>
    </row>
    <row r="30" spans="1:4" x14ac:dyDescent="0.25">
      <c r="A30" t="s">
        <v>38</v>
      </c>
      <c r="B30" t="s">
        <v>51</v>
      </c>
      <c r="C30" t="s">
        <v>51</v>
      </c>
      <c r="D30" t="str">
        <f t="shared" si="0"/>
        <v>Sim</v>
      </c>
    </row>
    <row r="31" spans="1:4" x14ac:dyDescent="0.25">
      <c r="A31" t="s">
        <v>38</v>
      </c>
      <c r="B31" t="s">
        <v>51</v>
      </c>
      <c r="C31" t="s">
        <v>51</v>
      </c>
      <c r="D31" t="str">
        <f t="shared" si="0"/>
        <v>Sim</v>
      </c>
    </row>
    <row r="32" spans="1:4" x14ac:dyDescent="0.25">
      <c r="A32" t="s">
        <v>38</v>
      </c>
      <c r="B32" t="s">
        <v>51</v>
      </c>
      <c r="C32" t="s">
        <v>51</v>
      </c>
      <c r="D32" t="str">
        <f t="shared" si="0"/>
        <v>Sim</v>
      </c>
    </row>
    <row r="33" spans="1:4" x14ac:dyDescent="0.25">
      <c r="A33" t="s">
        <v>38</v>
      </c>
      <c r="B33" t="s">
        <v>51</v>
      </c>
      <c r="C33" t="s">
        <v>51</v>
      </c>
      <c r="D33" t="str">
        <f t="shared" si="0"/>
        <v>Sim</v>
      </c>
    </row>
    <row r="34" spans="1:4" x14ac:dyDescent="0.25">
      <c r="A34" t="s">
        <v>38</v>
      </c>
      <c r="B34" t="s">
        <v>47</v>
      </c>
      <c r="C34" t="s">
        <v>47</v>
      </c>
      <c r="D34" t="str">
        <f t="shared" si="0"/>
        <v>Sim</v>
      </c>
    </row>
    <row r="35" spans="1:4" x14ac:dyDescent="0.25">
      <c r="A35" t="s">
        <v>38</v>
      </c>
      <c r="B35" t="s">
        <v>47</v>
      </c>
      <c r="C35" t="s">
        <v>47</v>
      </c>
      <c r="D35" t="str">
        <f t="shared" si="0"/>
        <v>Sim</v>
      </c>
    </row>
    <row r="36" spans="1:4" x14ac:dyDescent="0.25">
      <c r="A36" t="s">
        <v>38</v>
      </c>
      <c r="B36" t="s">
        <v>47</v>
      </c>
      <c r="C36" t="s">
        <v>47</v>
      </c>
      <c r="D36" t="str">
        <f t="shared" si="0"/>
        <v>Sim</v>
      </c>
    </row>
    <row r="37" spans="1:4" x14ac:dyDescent="0.25">
      <c r="A37" t="s">
        <v>762</v>
      </c>
      <c r="B37" t="s">
        <v>892</v>
      </c>
      <c r="C37" t="s">
        <v>892</v>
      </c>
      <c r="D37" t="str">
        <f t="shared" si="0"/>
        <v>Sim</v>
      </c>
    </row>
    <row r="38" spans="1:4" x14ac:dyDescent="0.25">
      <c r="A38" t="s">
        <v>762</v>
      </c>
      <c r="B38" t="s">
        <v>893</v>
      </c>
      <c r="C38" t="s">
        <v>893</v>
      </c>
      <c r="D38" t="str">
        <f t="shared" si="0"/>
        <v>Sim</v>
      </c>
    </row>
    <row r="39" spans="1:4" x14ac:dyDescent="0.25">
      <c r="A39" t="s">
        <v>762</v>
      </c>
      <c r="B39" t="s">
        <v>894</v>
      </c>
      <c r="C39" t="s">
        <v>894</v>
      </c>
      <c r="D39" t="str">
        <f t="shared" si="0"/>
        <v>Sim</v>
      </c>
    </row>
    <row r="40" spans="1:4" x14ac:dyDescent="0.25">
      <c r="A40" t="s">
        <v>762</v>
      </c>
      <c r="B40" t="s">
        <v>895</v>
      </c>
      <c r="C40" t="s">
        <v>895</v>
      </c>
      <c r="D40" t="str">
        <f t="shared" si="0"/>
        <v>Sim</v>
      </c>
    </row>
    <row r="41" spans="1:4" x14ac:dyDescent="0.25">
      <c r="A41" t="s">
        <v>762</v>
      </c>
      <c r="B41" t="s">
        <v>896</v>
      </c>
      <c r="C41" t="s">
        <v>896</v>
      </c>
      <c r="D41" t="str">
        <f t="shared" si="0"/>
        <v>Sim</v>
      </c>
    </row>
    <row r="42" spans="1:4" x14ac:dyDescent="0.25">
      <c r="A42" t="s">
        <v>762</v>
      </c>
      <c r="B42" t="s">
        <v>897</v>
      </c>
      <c r="C42" t="s">
        <v>897</v>
      </c>
      <c r="D42" t="str">
        <f t="shared" si="0"/>
        <v>Sim</v>
      </c>
    </row>
    <row r="43" spans="1:4" x14ac:dyDescent="0.25">
      <c r="A43" t="s">
        <v>762</v>
      </c>
      <c r="B43" t="s">
        <v>898</v>
      </c>
      <c r="C43" t="s">
        <v>899</v>
      </c>
      <c r="D43" t="str">
        <f t="shared" si="0"/>
        <v>Não</v>
      </c>
    </row>
    <row r="44" spans="1:4" x14ac:dyDescent="0.25">
      <c r="A44" t="s">
        <v>762</v>
      </c>
      <c r="B44" t="s">
        <v>902</v>
      </c>
      <c r="C44" t="s">
        <v>902</v>
      </c>
      <c r="D44" t="str">
        <f t="shared" si="0"/>
        <v>Sim</v>
      </c>
    </row>
    <row r="45" spans="1:4" x14ac:dyDescent="0.25">
      <c r="A45" t="s">
        <v>762</v>
      </c>
      <c r="B45" t="s">
        <v>903</v>
      </c>
      <c r="C45" t="s">
        <v>903</v>
      </c>
      <c r="D45" t="str">
        <f t="shared" si="0"/>
        <v>Sim</v>
      </c>
    </row>
    <row r="46" spans="1:4" x14ac:dyDescent="0.25">
      <c r="A46" t="s">
        <v>762</v>
      </c>
      <c r="B46" t="s">
        <v>904</v>
      </c>
      <c r="C46" t="s">
        <v>904</v>
      </c>
      <c r="D46" t="str">
        <f t="shared" si="0"/>
        <v>Sim</v>
      </c>
    </row>
    <row r="47" spans="1:4" x14ac:dyDescent="0.25">
      <c r="A47" t="s">
        <v>762</v>
      </c>
      <c r="B47" t="s">
        <v>907</v>
      </c>
      <c r="C47" t="s">
        <v>907</v>
      </c>
      <c r="D47" t="str">
        <f t="shared" si="0"/>
        <v>Sim</v>
      </c>
    </row>
    <row r="48" spans="1:4" x14ac:dyDescent="0.25">
      <c r="A48" t="s">
        <v>762</v>
      </c>
      <c r="B48" t="s">
        <v>909</v>
      </c>
      <c r="C48" t="s">
        <v>909</v>
      </c>
      <c r="D48" t="str">
        <f>IF(B48=C48, "Sim", "Não")</f>
        <v>Sim</v>
      </c>
    </row>
    <row r="49" spans="1:4" x14ac:dyDescent="0.25">
      <c r="A49" t="s">
        <v>156</v>
      </c>
      <c r="B49" t="s">
        <v>911</v>
      </c>
      <c r="C49" t="s">
        <v>911</v>
      </c>
      <c r="D49" t="str">
        <f t="shared" si="0"/>
        <v>Sim</v>
      </c>
    </row>
    <row r="50" spans="1:4" x14ac:dyDescent="0.25">
      <c r="A50" t="s">
        <v>156</v>
      </c>
      <c r="B50" t="s">
        <v>912</v>
      </c>
      <c r="C50" t="s">
        <v>912</v>
      </c>
      <c r="D50" t="str">
        <f t="shared" si="0"/>
        <v>Sim</v>
      </c>
    </row>
    <row r="51" spans="1:4" x14ac:dyDescent="0.25">
      <c r="A51" t="s">
        <v>156</v>
      </c>
      <c r="B51" t="s">
        <v>913</v>
      </c>
      <c r="C51" t="s">
        <v>913</v>
      </c>
      <c r="D51" t="str">
        <f t="shared" si="0"/>
        <v>Sim</v>
      </c>
    </row>
    <row r="52" spans="1:4" x14ac:dyDescent="0.25">
      <c r="A52" t="s">
        <v>156</v>
      </c>
      <c r="B52" t="s">
        <v>914</v>
      </c>
      <c r="C52" t="s">
        <v>914</v>
      </c>
      <c r="D52" t="str">
        <f t="shared" si="0"/>
        <v>Sim</v>
      </c>
    </row>
    <row r="53" spans="1:4" x14ac:dyDescent="0.25">
      <c r="A53" t="s">
        <v>156</v>
      </c>
      <c r="B53" t="s">
        <v>915</v>
      </c>
      <c r="C53" t="s">
        <v>915</v>
      </c>
      <c r="D53" t="str">
        <f t="shared" si="0"/>
        <v>Sim</v>
      </c>
    </row>
    <row r="54" spans="1:4" x14ac:dyDescent="0.25">
      <c r="A54" t="s">
        <v>156</v>
      </c>
      <c r="B54" t="s">
        <v>901</v>
      </c>
      <c r="C54" t="s">
        <v>901</v>
      </c>
      <c r="D54" t="str">
        <f>IF(B54=C54, "Sim", "Não")</f>
        <v>Sim</v>
      </c>
    </row>
    <row r="55" spans="1:4" x14ac:dyDescent="0.25">
      <c r="A55" t="s">
        <v>156</v>
      </c>
      <c r="B55" t="s">
        <v>916</v>
      </c>
      <c r="C55" t="s">
        <v>916</v>
      </c>
      <c r="D55" t="str">
        <f t="shared" si="0"/>
        <v>Sim</v>
      </c>
    </row>
    <row r="56" spans="1:4" x14ac:dyDescent="0.25">
      <c r="A56" t="s">
        <v>156</v>
      </c>
      <c r="B56" t="s">
        <v>917</v>
      </c>
      <c r="C56" t="s">
        <v>917</v>
      </c>
      <c r="D56" t="str">
        <f t="shared" si="0"/>
        <v>Sim</v>
      </c>
    </row>
    <row r="57" spans="1:4" x14ac:dyDescent="0.25">
      <c r="A57" t="s">
        <v>156</v>
      </c>
      <c r="B57" t="s">
        <v>918</v>
      </c>
      <c r="C57" t="s">
        <v>918</v>
      </c>
      <c r="D57" t="str">
        <f t="shared" si="0"/>
        <v>Sim</v>
      </c>
    </row>
    <row r="58" spans="1:4" x14ac:dyDescent="0.25">
      <c r="A58" t="s">
        <v>156</v>
      </c>
      <c r="B58" t="s">
        <v>919</v>
      </c>
      <c r="C58" t="s">
        <v>919</v>
      </c>
      <c r="D58" t="str">
        <f t="shared" si="0"/>
        <v>Sim</v>
      </c>
    </row>
    <row r="59" spans="1:4" x14ac:dyDescent="0.25">
      <c r="A59" t="s">
        <v>156</v>
      </c>
      <c r="B59" s="5" t="s">
        <v>1704</v>
      </c>
      <c r="C59" s="5" t="s">
        <v>1704</v>
      </c>
      <c r="D59" t="str">
        <f t="shared" si="0"/>
        <v>Sim</v>
      </c>
    </row>
    <row r="60" spans="1:4" x14ac:dyDescent="0.25">
      <c r="A60" t="s">
        <v>156</v>
      </c>
      <c r="B60" t="s">
        <v>920</v>
      </c>
      <c r="C60" t="s">
        <v>920</v>
      </c>
      <c r="D60" t="str">
        <f t="shared" ref="D60:D101" si="2">IF(B60=C60, "Sim", "Não")</f>
        <v>Sim</v>
      </c>
    </row>
    <row r="61" spans="1:4" x14ac:dyDescent="0.25">
      <c r="A61" t="s">
        <v>156</v>
      </c>
      <c r="B61" t="s">
        <v>921</v>
      </c>
      <c r="C61" t="s">
        <v>921</v>
      </c>
      <c r="D61" t="str">
        <f t="shared" si="2"/>
        <v>Sim</v>
      </c>
    </row>
    <row r="62" spans="1:4" x14ac:dyDescent="0.25">
      <c r="A62" t="s">
        <v>44</v>
      </c>
      <c r="B62" t="s">
        <v>164</v>
      </c>
      <c r="C62" t="s">
        <v>164</v>
      </c>
      <c r="D62" t="str">
        <f t="shared" si="2"/>
        <v>Sim</v>
      </c>
    </row>
    <row r="63" spans="1:4" x14ac:dyDescent="0.25">
      <c r="A63" t="s">
        <v>44</v>
      </c>
      <c r="B63" t="s">
        <v>166</v>
      </c>
      <c r="C63" t="s">
        <v>166</v>
      </c>
      <c r="D63" t="str">
        <f t="shared" si="2"/>
        <v>Sim</v>
      </c>
    </row>
    <row r="64" spans="1:4" x14ac:dyDescent="0.25">
      <c r="A64" t="s">
        <v>44</v>
      </c>
      <c r="B64" t="s">
        <v>688</v>
      </c>
      <c r="C64" t="s">
        <v>688</v>
      </c>
      <c r="D64" t="str">
        <f t="shared" si="2"/>
        <v>Sim</v>
      </c>
    </row>
    <row r="65" spans="1:4" x14ac:dyDescent="0.25">
      <c r="A65" t="s">
        <v>44</v>
      </c>
      <c r="B65" t="s">
        <v>211</v>
      </c>
      <c r="C65" t="s">
        <v>211</v>
      </c>
      <c r="D65" t="str">
        <f t="shared" si="2"/>
        <v>Sim</v>
      </c>
    </row>
    <row r="66" spans="1:4" x14ac:dyDescent="0.25">
      <c r="A66" t="s">
        <v>44</v>
      </c>
      <c r="B66" t="s">
        <v>922</v>
      </c>
      <c r="C66" t="s">
        <v>922</v>
      </c>
      <c r="D66" t="str">
        <f t="shared" si="2"/>
        <v>Sim</v>
      </c>
    </row>
    <row r="67" spans="1:4" x14ac:dyDescent="0.25">
      <c r="A67" t="s">
        <v>44</v>
      </c>
      <c r="B67" t="s">
        <v>93</v>
      </c>
      <c r="C67" t="s">
        <v>93</v>
      </c>
      <c r="D67" t="str">
        <f t="shared" si="2"/>
        <v>Sim</v>
      </c>
    </row>
    <row r="68" spans="1:4" x14ac:dyDescent="0.25">
      <c r="A68" t="s">
        <v>44</v>
      </c>
      <c r="B68" t="s">
        <v>923</v>
      </c>
      <c r="C68" t="s">
        <v>923</v>
      </c>
      <c r="D68" t="str">
        <f t="shared" si="2"/>
        <v>Sim</v>
      </c>
    </row>
    <row r="69" spans="1:4" x14ac:dyDescent="0.25">
      <c r="A69" t="s">
        <v>53</v>
      </c>
      <c r="B69" t="s">
        <v>924</v>
      </c>
      <c r="C69" t="s">
        <v>924</v>
      </c>
      <c r="D69" t="str">
        <f t="shared" si="2"/>
        <v>Sim</v>
      </c>
    </row>
    <row r="70" spans="1:4" x14ac:dyDescent="0.25">
      <c r="A70" t="s">
        <v>53</v>
      </c>
      <c r="B70" t="s">
        <v>1645</v>
      </c>
      <c r="C70" t="s">
        <v>1645</v>
      </c>
      <c r="D70" t="str">
        <f t="shared" si="2"/>
        <v>Sim</v>
      </c>
    </row>
    <row r="71" spans="1:4" x14ac:dyDescent="0.25">
      <c r="A71" t="s">
        <v>53</v>
      </c>
      <c r="B71" t="s">
        <v>926</v>
      </c>
      <c r="C71" t="s">
        <v>926</v>
      </c>
      <c r="D71" t="str">
        <f t="shared" si="2"/>
        <v>Sim</v>
      </c>
    </row>
    <row r="72" spans="1:4" x14ac:dyDescent="0.25">
      <c r="A72" t="s">
        <v>53</v>
      </c>
      <c r="B72" t="s">
        <v>927</v>
      </c>
      <c r="C72" t="s">
        <v>927</v>
      </c>
      <c r="D72" t="str">
        <f t="shared" si="2"/>
        <v>Sim</v>
      </c>
    </row>
    <row r="73" spans="1:4" x14ac:dyDescent="0.25">
      <c r="A73" t="s">
        <v>202</v>
      </c>
      <c r="B73" s="5" t="s">
        <v>1803</v>
      </c>
      <c r="C73" s="5" t="s">
        <v>1803</v>
      </c>
      <c r="D73" t="str">
        <f t="shared" si="2"/>
        <v>Sim</v>
      </c>
    </row>
    <row r="74" spans="1:4" x14ac:dyDescent="0.25">
      <c r="A74" t="s">
        <v>202</v>
      </c>
      <c r="B74" t="s">
        <v>928</v>
      </c>
      <c r="C74" t="s">
        <v>928</v>
      </c>
      <c r="D74" t="str">
        <f t="shared" si="2"/>
        <v>Sim</v>
      </c>
    </row>
    <row r="75" spans="1:4" x14ac:dyDescent="0.25">
      <c r="A75" t="s">
        <v>44</v>
      </c>
      <c r="B75" t="s">
        <v>929</v>
      </c>
      <c r="C75" t="s">
        <v>929</v>
      </c>
      <c r="D75" t="str">
        <f>IF(B75=C75, "Sim", "Não")</f>
        <v>Sim</v>
      </c>
    </row>
    <row r="76" spans="1:4" x14ac:dyDescent="0.25">
      <c r="A76" t="s">
        <v>202</v>
      </c>
      <c r="B76" t="s">
        <v>930</v>
      </c>
      <c r="C76" t="s">
        <v>930</v>
      </c>
      <c r="D76" t="str">
        <f t="shared" si="2"/>
        <v>Sim</v>
      </c>
    </row>
    <row r="77" spans="1:4" x14ac:dyDescent="0.25">
      <c r="A77" t="s">
        <v>202</v>
      </c>
      <c r="B77" t="s">
        <v>905</v>
      </c>
      <c r="C77" t="s">
        <v>905</v>
      </c>
      <c r="D77" t="str">
        <f>IF(B77=C77, "Sim", "Não")</f>
        <v>Sim</v>
      </c>
    </row>
    <row r="78" spans="1:4" x14ac:dyDescent="0.25">
      <c r="A78" t="s">
        <v>202</v>
      </c>
      <c r="B78" t="s">
        <v>900</v>
      </c>
      <c r="C78" t="s">
        <v>900</v>
      </c>
      <c r="D78" t="str">
        <f>IF(B78=C78, "Sim", "Não")</f>
        <v>Sim</v>
      </c>
    </row>
    <row r="79" spans="1:4" x14ac:dyDescent="0.25">
      <c r="A79" t="s">
        <v>202</v>
      </c>
      <c r="B79" t="s">
        <v>910</v>
      </c>
      <c r="C79" t="s">
        <v>910</v>
      </c>
      <c r="D79" t="str">
        <f>IF(B79=C79, "Sim", "Não")</f>
        <v>Sim</v>
      </c>
    </row>
    <row r="80" spans="1:4" x14ac:dyDescent="0.25">
      <c r="A80" t="s">
        <v>202</v>
      </c>
      <c r="B80" t="s">
        <v>906</v>
      </c>
      <c r="C80" t="s">
        <v>906</v>
      </c>
      <c r="D80" t="str">
        <f>IF(B80=C80, "Sim", "Não")</f>
        <v>Sim</v>
      </c>
    </row>
    <row r="81" spans="1:4" x14ac:dyDescent="0.25">
      <c r="A81" t="s">
        <v>202</v>
      </c>
      <c r="B81" t="s">
        <v>908</v>
      </c>
      <c r="C81" t="s">
        <v>908</v>
      </c>
      <c r="D81" t="str">
        <f>IF(B81=C81, "Sim", "Não")</f>
        <v>Sim</v>
      </c>
    </row>
    <row r="82" spans="1:4" x14ac:dyDescent="0.25">
      <c r="A82" t="s">
        <v>46</v>
      </c>
      <c r="B82" t="s">
        <v>380</v>
      </c>
      <c r="C82" t="s">
        <v>380</v>
      </c>
      <c r="D82" t="str">
        <f t="shared" si="2"/>
        <v>Sim</v>
      </c>
    </row>
    <row r="83" spans="1:4" x14ac:dyDescent="0.25">
      <c r="A83" t="s">
        <v>46</v>
      </c>
      <c r="B83" t="s">
        <v>931</v>
      </c>
      <c r="C83" t="s">
        <v>931</v>
      </c>
      <c r="D83" t="str">
        <f t="shared" si="2"/>
        <v>Sim</v>
      </c>
    </row>
    <row r="84" spans="1:4" x14ac:dyDescent="0.25">
      <c r="A84" t="s">
        <v>46</v>
      </c>
      <c r="B84" t="s">
        <v>258</v>
      </c>
      <c r="C84" t="s">
        <v>258</v>
      </c>
      <c r="D84" t="str">
        <f t="shared" si="2"/>
        <v>Sim</v>
      </c>
    </row>
    <row r="85" spans="1:4" x14ac:dyDescent="0.25">
      <c r="A85" t="s">
        <v>46</v>
      </c>
      <c r="B85" t="s">
        <v>371</v>
      </c>
      <c r="C85" t="s">
        <v>371</v>
      </c>
      <c r="D85" t="str">
        <f t="shared" si="2"/>
        <v>Sim</v>
      </c>
    </row>
    <row r="86" spans="1:4" x14ac:dyDescent="0.25">
      <c r="A86" t="s">
        <v>46</v>
      </c>
      <c r="B86" t="s">
        <v>722</v>
      </c>
      <c r="C86" t="s">
        <v>722</v>
      </c>
      <c r="D86" t="str">
        <f t="shared" si="2"/>
        <v>Sim</v>
      </c>
    </row>
    <row r="87" spans="1:4" x14ac:dyDescent="0.25">
      <c r="A87" t="s">
        <v>46</v>
      </c>
      <c r="B87" t="s">
        <v>932</v>
      </c>
      <c r="C87" t="s">
        <v>932</v>
      </c>
      <c r="D87" t="str">
        <f t="shared" si="2"/>
        <v>Sim</v>
      </c>
    </row>
    <row r="88" spans="1:4" x14ac:dyDescent="0.25">
      <c r="A88" t="s">
        <v>45</v>
      </c>
      <c r="B88" t="s">
        <v>1639</v>
      </c>
      <c r="C88" t="s">
        <v>1639</v>
      </c>
      <c r="D88" t="str">
        <f>IF(B88=C88, "Sim", "Não")</f>
        <v>Sim</v>
      </c>
    </row>
    <row r="89" spans="1:4" x14ac:dyDescent="0.25">
      <c r="A89" t="s">
        <v>45</v>
      </c>
      <c r="B89" t="s">
        <v>934</v>
      </c>
      <c r="C89" t="s">
        <v>934</v>
      </c>
      <c r="D89" t="str">
        <f t="shared" si="2"/>
        <v>Sim</v>
      </c>
    </row>
    <row r="90" spans="1:4" x14ac:dyDescent="0.25">
      <c r="A90" t="s">
        <v>45</v>
      </c>
      <c r="B90" t="s">
        <v>935</v>
      </c>
      <c r="C90" t="s">
        <v>935</v>
      </c>
      <c r="D90" t="str">
        <f>IF(B90=C90, "Sim", "Não")</f>
        <v>Sim</v>
      </c>
    </row>
    <row r="91" spans="1:4" x14ac:dyDescent="0.25">
      <c r="A91" t="s">
        <v>45</v>
      </c>
      <c r="B91" t="s">
        <v>936</v>
      </c>
      <c r="C91" t="s">
        <v>936</v>
      </c>
      <c r="D91" t="str">
        <f t="shared" si="2"/>
        <v>Sim</v>
      </c>
    </row>
    <row r="92" spans="1:4" x14ac:dyDescent="0.25">
      <c r="A92" t="s">
        <v>45</v>
      </c>
      <c r="B92" t="s">
        <v>937</v>
      </c>
      <c r="C92" t="s">
        <v>937</v>
      </c>
      <c r="D92" t="str">
        <f t="shared" si="2"/>
        <v>Sim</v>
      </c>
    </row>
    <row r="93" spans="1:4" x14ac:dyDescent="0.25">
      <c r="A93" t="s">
        <v>45</v>
      </c>
      <c r="B93" t="s">
        <v>938</v>
      </c>
      <c r="C93" t="s">
        <v>938</v>
      </c>
      <c r="D93" t="str">
        <f t="shared" si="2"/>
        <v>Sim</v>
      </c>
    </row>
    <row r="94" spans="1:4" x14ac:dyDescent="0.25">
      <c r="A94" t="s">
        <v>345</v>
      </c>
      <c r="B94" s="5" t="s">
        <v>1804</v>
      </c>
      <c r="C94" s="5" t="s">
        <v>1804</v>
      </c>
      <c r="D94" t="str">
        <f>IF(B94=C94, "Sim", "Não")</f>
        <v>Sim</v>
      </c>
    </row>
    <row r="95" spans="1:4" x14ac:dyDescent="0.25">
      <c r="A95" t="s">
        <v>345</v>
      </c>
      <c r="B95" s="5" t="s">
        <v>1805</v>
      </c>
      <c r="C95" s="5" t="s">
        <v>1805</v>
      </c>
      <c r="D95" t="str">
        <f>IF(B95=C95, "Sim", "Não")</f>
        <v>Sim</v>
      </c>
    </row>
    <row r="96" spans="1:4" x14ac:dyDescent="0.25">
      <c r="A96" t="s">
        <v>345</v>
      </c>
      <c r="B96" t="s">
        <v>939</v>
      </c>
      <c r="C96" t="s">
        <v>939</v>
      </c>
      <c r="D96" t="str">
        <f t="shared" si="2"/>
        <v>Sim</v>
      </c>
    </row>
    <row r="97" spans="1:4" x14ac:dyDescent="0.25">
      <c r="A97" t="s">
        <v>345</v>
      </c>
      <c r="B97" t="s">
        <v>940</v>
      </c>
      <c r="C97" t="s">
        <v>940</v>
      </c>
      <c r="D97" t="str">
        <f t="shared" si="2"/>
        <v>Sim</v>
      </c>
    </row>
    <row r="98" spans="1:4" x14ac:dyDescent="0.25">
      <c r="A98" t="s">
        <v>345</v>
      </c>
      <c r="B98" t="s">
        <v>130</v>
      </c>
      <c r="C98" t="s">
        <v>130</v>
      </c>
      <c r="D98" t="str">
        <f t="shared" si="2"/>
        <v>Sim</v>
      </c>
    </row>
    <row r="99" spans="1:4" x14ac:dyDescent="0.25">
      <c r="A99" t="s">
        <v>345</v>
      </c>
      <c r="B99" t="s">
        <v>131</v>
      </c>
      <c r="C99" t="s">
        <v>131</v>
      </c>
      <c r="D99" t="str">
        <f t="shared" si="2"/>
        <v>Sim</v>
      </c>
    </row>
    <row r="100" spans="1:4" x14ac:dyDescent="0.25">
      <c r="A100" t="s">
        <v>345</v>
      </c>
      <c r="B100" t="s">
        <v>941</v>
      </c>
      <c r="C100" t="s">
        <v>941</v>
      </c>
      <c r="D100" t="str">
        <f t="shared" si="2"/>
        <v>Sim</v>
      </c>
    </row>
    <row r="101" spans="1:4" x14ac:dyDescent="0.25">
      <c r="A101" t="s">
        <v>345</v>
      </c>
      <c r="B101" t="s">
        <v>942</v>
      </c>
      <c r="C101" t="s">
        <v>942</v>
      </c>
      <c r="D101" t="str">
        <f t="shared" si="2"/>
        <v>Sim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87245-12E0-4FC7-9E2A-950CF34AEAEB}">
  <sheetPr codeName="Planilha19"/>
  <dimension ref="A1:G102"/>
  <sheetViews>
    <sheetView workbookViewId="0">
      <selection activeCell="F26" sqref="F26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28" t="s">
        <v>943</v>
      </c>
      <c r="B1" s="28"/>
      <c r="C1" s="28"/>
      <c r="D1" s="28"/>
      <c r="E1" s="28"/>
      <c r="F1" s="28"/>
      <c r="G1" s="28"/>
    </row>
    <row r="2" spans="1:7" x14ac:dyDescent="0.25">
      <c r="A2" s="4" t="s">
        <v>34</v>
      </c>
      <c r="B2" s="4" t="s">
        <v>35</v>
      </c>
      <c r="C2" s="4" t="s">
        <v>36</v>
      </c>
      <c r="D2" s="4" t="s">
        <v>37</v>
      </c>
    </row>
    <row r="3" spans="1:7" x14ac:dyDescent="0.25">
      <c r="A3" s="25" t="s">
        <v>2067</v>
      </c>
      <c r="B3" s="5" t="s">
        <v>943</v>
      </c>
      <c r="C3" s="5" t="s">
        <v>943</v>
      </c>
      <c r="D3" t="str">
        <f>IF(B3=C3, "Sim", "Não")</f>
        <v>Sim</v>
      </c>
    </row>
    <row r="4" spans="1:7" x14ac:dyDescent="0.25">
      <c r="A4" t="s">
        <v>38</v>
      </c>
      <c r="B4" t="s">
        <v>944</v>
      </c>
      <c r="C4" t="s">
        <v>944</v>
      </c>
      <c r="D4" t="str">
        <f>IF(B4=C4, "Sim", "Não")</f>
        <v>Sim</v>
      </c>
      <c r="F4" s="4" t="s">
        <v>39</v>
      </c>
      <c r="G4" s="3">
        <f>COUNTIF(D4:D106,"Não")</f>
        <v>6</v>
      </c>
    </row>
    <row r="5" spans="1:7" x14ac:dyDescent="0.25">
      <c r="A5" t="s">
        <v>38</v>
      </c>
      <c r="B5" t="s">
        <v>349</v>
      </c>
      <c r="C5" t="s">
        <v>349</v>
      </c>
      <c r="D5" t="str">
        <f t="shared" ref="D5:D66" si="0">IF(B5=C5, "Sim", "Não")</f>
        <v>Sim</v>
      </c>
      <c r="F5" s="4" t="s">
        <v>40</v>
      </c>
      <c r="G5" s="3">
        <f>SUM(G8:G26)</f>
        <v>99</v>
      </c>
    </row>
    <row r="6" spans="1:7" x14ac:dyDescent="0.25">
      <c r="A6" t="s">
        <v>38</v>
      </c>
      <c r="B6" t="s">
        <v>197</v>
      </c>
      <c r="C6" t="s">
        <v>197</v>
      </c>
      <c r="D6" t="str">
        <f t="shared" si="0"/>
        <v>Sim</v>
      </c>
    </row>
    <row r="7" spans="1:7" x14ac:dyDescent="0.25">
      <c r="A7" t="s">
        <v>38</v>
      </c>
      <c r="B7" t="s">
        <v>945</v>
      </c>
      <c r="C7" t="s">
        <v>945</v>
      </c>
      <c r="D7" t="str">
        <f t="shared" si="0"/>
        <v>Sim</v>
      </c>
      <c r="F7" s="6" t="s">
        <v>42</v>
      </c>
      <c r="G7" s="1"/>
    </row>
    <row r="8" spans="1:7" x14ac:dyDescent="0.25">
      <c r="A8" t="s">
        <v>38</v>
      </c>
      <c r="B8" t="s">
        <v>43</v>
      </c>
      <c r="C8" t="s">
        <v>43</v>
      </c>
      <c r="D8" t="str">
        <f t="shared" si="0"/>
        <v>Sim</v>
      </c>
      <c r="F8" s="1" t="s">
        <v>38</v>
      </c>
      <c r="G8" s="2">
        <f t="shared" ref="G8:G16" si="1">COUNTIF(A:A,F8)</f>
        <v>32</v>
      </c>
    </row>
    <row r="9" spans="1:7" x14ac:dyDescent="0.25">
      <c r="A9" t="s">
        <v>38</v>
      </c>
      <c r="B9" t="s">
        <v>48</v>
      </c>
      <c r="C9" t="s">
        <v>946</v>
      </c>
      <c r="D9" t="str">
        <f t="shared" si="0"/>
        <v>Não</v>
      </c>
      <c r="F9" s="1" t="s">
        <v>947</v>
      </c>
      <c r="G9" s="2">
        <f t="shared" si="1"/>
        <v>13</v>
      </c>
    </row>
    <row r="10" spans="1:7" x14ac:dyDescent="0.25">
      <c r="A10" t="s">
        <v>38</v>
      </c>
      <c r="B10" t="s">
        <v>48</v>
      </c>
      <c r="C10" t="s">
        <v>1781</v>
      </c>
      <c r="D10" t="str">
        <f t="shared" si="0"/>
        <v>Não</v>
      </c>
      <c r="F10" s="1" t="s">
        <v>53</v>
      </c>
      <c r="G10" s="2">
        <f t="shared" si="1"/>
        <v>7</v>
      </c>
    </row>
    <row r="11" spans="1:7" x14ac:dyDescent="0.25">
      <c r="A11" t="s">
        <v>38</v>
      </c>
      <c r="B11" t="s">
        <v>48</v>
      </c>
      <c r="C11" t="s">
        <v>48</v>
      </c>
      <c r="D11" t="str">
        <f t="shared" si="0"/>
        <v>Sim</v>
      </c>
      <c r="F11" s="1" t="s">
        <v>70</v>
      </c>
      <c r="G11" s="2">
        <f t="shared" si="1"/>
        <v>3</v>
      </c>
    </row>
    <row r="12" spans="1:7" x14ac:dyDescent="0.25">
      <c r="A12" t="s">
        <v>38</v>
      </c>
      <c r="B12" t="s">
        <v>48</v>
      </c>
      <c r="C12" t="s">
        <v>48</v>
      </c>
      <c r="D12" t="str">
        <f t="shared" si="0"/>
        <v>Sim</v>
      </c>
      <c r="F12" s="1" t="s">
        <v>46</v>
      </c>
      <c r="G12" s="2">
        <f t="shared" si="1"/>
        <v>21</v>
      </c>
    </row>
    <row r="13" spans="1:7" x14ac:dyDescent="0.25">
      <c r="A13" t="s">
        <v>38</v>
      </c>
      <c r="B13" t="s">
        <v>48</v>
      </c>
      <c r="C13" t="s">
        <v>48</v>
      </c>
      <c r="D13" t="str">
        <f t="shared" si="0"/>
        <v>Sim</v>
      </c>
      <c r="F13" s="1" t="s">
        <v>948</v>
      </c>
      <c r="G13" s="2">
        <f t="shared" si="1"/>
        <v>5</v>
      </c>
    </row>
    <row r="14" spans="1:7" x14ac:dyDescent="0.25">
      <c r="A14" t="s">
        <v>38</v>
      </c>
      <c r="B14" t="s">
        <v>48</v>
      </c>
      <c r="C14" t="s">
        <v>48</v>
      </c>
      <c r="D14" t="str">
        <f t="shared" si="0"/>
        <v>Sim</v>
      </c>
      <c r="F14" s="1" t="s">
        <v>45</v>
      </c>
      <c r="G14" s="2">
        <f t="shared" si="1"/>
        <v>10</v>
      </c>
    </row>
    <row r="15" spans="1:7" x14ac:dyDescent="0.25">
      <c r="A15" t="s">
        <v>38</v>
      </c>
      <c r="B15" t="s">
        <v>48</v>
      </c>
      <c r="C15" t="s">
        <v>48</v>
      </c>
      <c r="D15" t="str">
        <f t="shared" si="0"/>
        <v>Sim</v>
      </c>
      <c r="F15" s="1" t="s">
        <v>44</v>
      </c>
      <c r="G15" s="2">
        <f t="shared" si="1"/>
        <v>2</v>
      </c>
    </row>
    <row r="16" spans="1:7" x14ac:dyDescent="0.25">
      <c r="A16" t="s">
        <v>38</v>
      </c>
      <c r="B16" t="s">
        <v>48</v>
      </c>
      <c r="C16" t="s">
        <v>48</v>
      </c>
      <c r="D16" t="str">
        <f t="shared" si="0"/>
        <v>Sim</v>
      </c>
      <c r="F16" s="1" t="s">
        <v>18</v>
      </c>
      <c r="G16" s="2">
        <f t="shared" si="1"/>
        <v>6</v>
      </c>
    </row>
    <row r="17" spans="1:7" x14ac:dyDescent="0.25">
      <c r="A17" t="s">
        <v>38</v>
      </c>
      <c r="B17" t="s">
        <v>48</v>
      </c>
      <c r="C17" t="s">
        <v>48</v>
      </c>
      <c r="D17" t="str">
        <f t="shared" si="0"/>
        <v>Sim</v>
      </c>
      <c r="F17" s="4"/>
      <c r="G17" s="2"/>
    </row>
    <row r="18" spans="1:7" x14ac:dyDescent="0.25">
      <c r="A18" t="s">
        <v>38</v>
      </c>
      <c r="B18" t="s">
        <v>48</v>
      </c>
      <c r="C18" t="s">
        <v>48</v>
      </c>
      <c r="D18" t="str">
        <f t="shared" si="0"/>
        <v>Sim</v>
      </c>
    </row>
    <row r="19" spans="1:7" x14ac:dyDescent="0.25">
      <c r="A19" t="s">
        <v>38</v>
      </c>
      <c r="B19" t="s">
        <v>48</v>
      </c>
      <c r="C19" t="s">
        <v>48</v>
      </c>
      <c r="D19" t="str">
        <f t="shared" si="0"/>
        <v>Sim</v>
      </c>
    </row>
    <row r="20" spans="1:7" x14ac:dyDescent="0.25">
      <c r="A20" t="s">
        <v>38</v>
      </c>
      <c r="B20" t="s">
        <v>48</v>
      </c>
      <c r="C20" t="s">
        <v>48</v>
      </c>
      <c r="D20" t="str">
        <f t="shared" si="0"/>
        <v>Sim</v>
      </c>
    </row>
    <row r="21" spans="1:7" x14ac:dyDescent="0.25">
      <c r="A21" t="s">
        <v>38</v>
      </c>
      <c r="B21" t="s">
        <v>48</v>
      </c>
      <c r="C21" t="s">
        <v>48</v>
      </c>
      <c r="D21" t="str">
        <f t="shared" si="0"/>
        <v>Sim</v>
      </c>
    </row>
    <row r="22" spans="1:7" x14ac:dyDescent="0.25">
      <c r="A22" t="s">
        <v>38</v>
      </c>
      <c r="B22" t="s">
        <v>48</v>
      </c>
      <c r="C22" t="s">
        <v>48</v>
      </c>
      <c r="D22" t="str">
        <f t="shared" si="0"/>
        <v>Sim</v>
      </c>
    </row>
    <row r="23" spans="1:7" x14ac:dyDescent="0.25">
      <c r="A23" t="s">
        <v>38</v>
      </c>
      <c r="B23" t="s">
        <v>48</v>
      </c>
      <c r="C23" t="s">
        <v>48</v>
      </c>
      <c r="D23" t="str">
        <f t="shared" si="0"/>
        <v>Sim</v>
      </c>
    </row>
    <row r="24" spans="1:7" x14ac:dyDescent="0.25">
      <c r="A24" t="s">
        <v>38</v>
      </c>
      <c r="B24" t="s">
        <v>49</v>
      </c>
      <c r="C24" t="s">
        <v>49</v>
      </c>
      <c r="D24" t="str">
        <f t="shared" si="0"/>
        <v>Sim</v>
      </c>
    </row>
    <row r="25" spans="1:7" x14ac:dyDescent="0.25">
      <c r="A25" t="s">
        <v>38</v>
      </c>
      <c r="B25" t="s">
        <v>49</v>
      </c>
      <c r="C25" t="s">
        <v>49</v>
      </c>
      <c r="D25" t="str">
        <f t="shared" si="0"/>
        <v>Sim</v>
      </c>
    </row>
    <row r="26" spans="1:7" x14ac:dyDescent="0.25">
      <c r="A26" t="s">
        <v>38</v>
      </c>
      <c r="B26" t="s">
        <v>49</v>
      </c>
      <c r="C26" t="s">
        <v>49</v>
      </c>
      <c r="D26" t="str">
        <f t="shared" si="0"/>
        <v>Sim</v>
      </c>
    </row>
    <row r="27" spans="1:7" x14ac:dyDescent="0.25">
      <c r="A27" t="s">
        <v>38</v>
      </c>
      <c r="B27" t="s">
        <v>49</v>
      </c>
      <c r="C27" t="s">
        <v>49</v>
      </c>
      <c r="D27" t="str">
        <f t="shared" si="0"/>
        <v>Sim</v>
      </c>
    </row>
    <row r="28" spans="1:7" x14ac:dyDescent="0.25">
      <c r="A28" t="s">
        <v>38</v>
      </c>
      <c r="B28" t="s">
        <v>49</v>
      </c>
      <c r="C28" t="s">
        <v>49</v>
      </c>
      <c r="D28" t="str">
        <f t="shared" si="0"/>
        <v>Sim</v>
      </c>
    </row>
    <row r="29" spans="1:7" x14ac:dyDescent="0.25">
      <c r="A29" t="s">
        <v>38</v>
      </c>
      <c r="B29" t="s">
        <v>49</v>
      </c>
      <c r="C29" t="s">
        <v>49</v>
      </c>
      <c r="D29" t="str">
        <f t="shared" si="0"/>
        <v>Sim</v>
      </c>
    </row>
    <row r="30" spans="1:7" x14ac:dyDescent="0.25">
      <c r="A30" t="s">
        <v>38</v>
      </c>
      <c r="B30" t="s">
        <v>49</v>
      </c>
      <c r="C30" t="s">
        <v>49</v>
      </c>
      <c r="D30" t="str">
        <f t="shared" si="0"/>
        <v>Sim</v>
      </c>
    </row>
    <row r="31" spans="1:7" x14ac:dyDescent="0.25">
      <c r="A31" t="s">
        <v>38</v>
      </c>
      <c r="B31" t="s">
        <v>49</v>
      </c>
      <c r="C31" t="s">
        <v>49</v>
      </c>
      <c r="D31" t="str">
        <f t="shared" si="0"/>
        <v>Sim</v>
      </c>
    </row>
    <row r="32" spans="1:7" x14ac:dyDescent="0.25">
      <c r="A32" t="s">
        <v>38</v>
      </c>
      <c r="B32" t="s">
        <v>49</v>
      </c>
      <c r="C32" t="s">
        <v>49</v>
      </c>
      <c r="D32" t="str">
        <f t="shared" si="0"/>
        <v>Sim</v>
      </c>
    </row>
    <row r="33" spans="1:4" x14ac:dyDescent="0.25">
      <c r="A33" t="s">
        <v>38</v>
      </c>
      <c r="B33" t="s">
        <v>49</v>
      </c>
      <c r="C33" t="s">
        <v>49</v>
      </c>
      <c r="D33" t="str">
        <f t="shared" si="0"/>
        <v>Sim</v>
      </c>
    </row>
    <row r="34" spans="1:4" x14ac:dyDescent="0.25">
      <c r="A34" t="s">
        <v>38</v>
      </c>
      <c r="B34" t="s">
        <v>49</v>
      </c>
      <c r="C34" t="s">
        <v>49</v>
      </c>
      <c r="D34" t="str">
        <f t="shared" si="0"/>
        <v>Sim</v>
      </c>
    </row>
    <row r="35" spans="1:4" x14ac:dyDescent="0.25">
      <c r="A35" t="s">
        <v>38</v>
      </c>
      <c r="B35" t="s">
        <v>49</v>
      </c>
      <c r="C35" t="s">
        <v>49</v>
      </c>
      <c r="D35" t="str">
        <f t="shared" si="0"/>
        <v>Sim</v>
      </c>
    </row>
    <row r="36" spans="1:4" x14ac:dyDescent="0.25">
      <c r="A36" t="s">
        <v>947</v>
      </c>
      <c r="B36" t="s">
        <v>949</v>
      </c>
      <c r="C36" t="s">
        <v>949</v>
      </c>
      <c r="D36" t="str">
        <f t="shared" si="0"/>
        <v>Sim</v>
      </c>
    </row>
    <row r="37" spans="1:4" x14ac:dyDescent="0.25">
      <c r="A37" t="s">
        <v>947</v>
      </c>
      <c r="B37" t="s">
        <v>950</v>
      </c>
      <c r="C37" t="s">
        <v>951</v>
      </c>
      <c r="D37" t="str">
        <f>IF(B37=C37, "Sim", "Não")</f>
        <v>Não</v>
      </c>
    </row>
    <row r="38" spans="1:4" x14ac:dyDescent="0.25">
      <c r="A38" t="s">
        <v>947</v>
      </c>
      <c r="B38" t="s">
        <v>952</v>
      </c>
      <c r="C38" t="s">
        <v>952</v>
      </c>
      <c r="D38" t="str">
        <f t="shared" si="0"/>
        <v>Sim</v>
      </c>
    </row>
    <row r="39" spans="1:4" x14ac:dyDescent="0.25">
      <c r="A39" t="s">
        <v>947</v>
      </c>
      <c r="B39" t="s">
        <v>953</v>
      </c>
      <c r="C39" t="s">
        <v>953</v>
      </c>
      <c r="D39" t="str">
        <f t="shared" si="0"/>
        <v>Sim</v>
      </c>
    </row>
    <row r="40" spans="1:4" x14ac:dyDescent="0.25">
      <c r="A40" t="s">
        <v>947</v>
      </c>
      <c r="B40" t="s">
        <v>447</v>
      </c>
      <c r="C40" t="s">
        <v>447</v>
      </c>
      <c r="D40" t="str">
        <f t="shared" si="0"/>
        <v>Sim</v>
      </c>
    </row>
    <row r="41" spans="1:4" x14ac:dyDescent="0.25">
      <c r="A41" t="s">
        <v>947</v>
      </c>
      <c r="B41" t="s">
        <v>954</v>
      </c>
      <c r="C41" t="s">
        <v>954</v>
      </c>
      <c r="D41" t="str">
        <f t="shared" si="0"/>
        <v>Sim</v>
      </c>
    </row>
    <row r="42" spans="1:4" x14ac:dyDescent="0.25">
      <c r="A42" t="s">
        <v>947</v>
      </c>
      <c r="B42" t="s">
        <v>955</v>
      </c>
      <c r="C42" t="s">
        <v>956</v>
      </c>
      <c r="D42" t="str">
        <f>IF(B42=C42, "Sim", "Não")</f>
        <v>Não</v>
      </c>
    </row>
    <row r="43" spans="1:4" x14ac:dyDescent="0.25">
      <c r="A43" t="s">
        <v>947</v>
      </c>
      <c r="B43" t="s">
        <v>957</v>
      </c>
      <c r="C43" t="s">
        <v>957</v>
      </c>
      <c r="D43" t="str">
        <f t="shared" si="0"/>
        <v>Sim</v>
      </c>
    </row>
    <row r="44" spans="1:4" x14ac:dyDescent="0.25">
      <c r="A44" t="s">
        <v>947</v>
      </c>
      <c r="B44" t="s">
        <v>958</v>
      </c>
      <c r="C44" t="s">
        <v>958</v>
      </c>
      <c r="D44" t="str">
        <f t="shared" si="0"/>
        <v>Sim</v>
      </c>
    </row>
    <row r="45" spans="1:4" x14ac:dyDescent="0.25">
      <c r="A45" t="s">
        <v>947</v>
      </c>
      <c r="B45" t="s">
        <v>959</v>
      </c>
      <c r="C45" t="s">
        <v>959</v>
      </c>
      <c r="D45" t="str">
        <f t="shared" si="0"/>
        <v>Sim</v>
      </c>
    </row>
    <row r="46" spans="1:4" x14ac:dyDescent="0.25">
      <c r="A46" t="s">
        <v>947</v>
      </c>
      <c r="B46" t="s">
        <v>960</v>
      </c>
      <c r="C46" t="s">
        <v>960</v>
      </c>
      <c r="D46" t="str">
        <f t="shared" si="0"/>
        <v>Sim</v>
      </c>
    </row>
    <row r="47" spans="1:4" x14ac:dyDescent="0.25">
      <c r="A47" t="s">
        <v>947</v>
      </c>
      <c r="B47" t="s">
        <v>961</v>
      </c>
      <c r="C47" t="s">
        <v>961</v>
      </c>
      <c r="D47" t="str">
        <f t="shared" si="0"/>
        <v>Sim</v>
      </c>
    </row>
    <row r="48" spans="1:4" x14ac:dyDescent="0.25">
      <c r="A48" t="s">
        <v>947</v>
      </c>
      <c r="B48" t="s">
        <v>962</v>
      </c>
      <c r="C48" t="s">
        <v>962</v>
      </c>
      <c r="D48" t="str">
        <f t="shared" si="0"/>
        <v>Sim</v>
      </c>
    </row>
    <row r="49" spans="1:4" x14ac:dyDescent="0.25">
      <c r="A49" t="s">
        <v>70</v>
      </c>
      <c r="B49" t="s">
        <v>963</v>
      </c>
      <c r="C49" t="s">
        <v>963</v>
      </c>
      <c r="D49" t="str">
        <f t="shared" si="0"/>
        <v>Sim</v>
      </c>
    </row>
    <row r="50" spans="1:4" x14ac:dyDescent="0.25">
      <c r="A50" t="s">
        <v>70</v>
      </c>
      <c r="B50" t="s">
        <v>964</v>
      </c>
      <c r="C50" t="s">
        <v>964</v>
      </c>
      <c r="D50" t="str">
        <f t="shared" si="0"/>
        <v>Sim</v>
      </c>
    </row>
    <row r="51" spans="1:4" x14ac:dyDescent="0.25">
      <c r="A51" t="s">
        <v>70</v>
      </c>
      <c r="B51" t="s">
        <v>965</v>
      </c>
      <c r="C51" t="s">
        <v>965</v>
      </c>
      <c r="D51" t="str">
        <f t="shared" si="0"/>
        <v>Sim</v>
      </c>
    </row>
    <row r="52" spans="1:4" x14ac:dyDescent="0.25">
      <c r="A52" t="s">
        <v>948</v>
      </c>
      <c r="B52" t="s">
        <v>966</v>
      </c>
      <c r="C52" t="s">
        <v>966</v>
      </c>
      <c r="D52" t="str">
        <f t="shared" si="0"/>
        <v>Sim</v>
      </c>
    </row>
    <row r="53" spans="1:4" x14ac:dyDescent="0.25">
      <c r="A53" t="s">
        <v>948</v>
      </c>
      <c r="B53" t="s">
        <v>967</v>
      </c>
      <c r="C53" t="s">
        <v>967</v>
      </c>
      <c r="D53" t="str">
        <f t="shared" si="0"/>
        <v>Sim</v>
      </c>
    </row>
    <row r="54" spans="1:4" x14ac:dyDescent="0.25">
      <c r="A54" t="s">
        <v>948</v>
      </c>
      <c r="B54" t="s">
        <v>968</v>
      </c>
      <c r="C54" t="s">
        <v>968</v>
      </c>
      <c r="D54" t="str">
        <f>IF(B54=C54, "Sim", "Não")</f>
        <v>Sim</v>
      </c>
    </row>
    <row r="55" spans="1:4" x14ac:dyDescent="0.25">
      <c r="A55" t="s">
        <v>948</v>
      </c>
      <c r="B55" t="s">
        <v>969</v>
      </c>
      <c r="C55" t="s">
        <v>969</v>
      </c>
      <c r="D55" t="str">
        <f t="shared" si="0"/>
        <v>Sim</v>
      </c>
    </row>
    <row r="56" spans="1:4" x14ac:dyDescent="0.25">
      <c r="A56" t="s">
        <v>948</v>
      </c>
      <c r="B56" t="s">
        <v>970</v>
      </c>
      <c r="C56" t="s">
        <v>970</v>
      </c>
      <c r="D56" t="str">
        <f>IF(B56=C56, "Sim", "Não")</f>
        <v>Sim</v>
      </c>
    </row>
    <row r="57" spans="1:4" x14ac:dyDescent="0.25">
      <c r="A57" t="s">
        <v>53</v>
      </c>
      <c r="B57" t="s">
        <v>971</v>
      </c>
      <c r="C57" t="s">
        <v>971</v>
      </c>
      <c r="D57" t="str">
        <f t="shared" si="0"/>
        <v>Sim</v>
      </c>
    </row>
    <row r="58" spans="1:4" x14ac:dyDescent="0.25">
      <c r="A58" t="s">
        <v>53</v>
      </c>
      <c r="B58" t="s">
        <v>972</v>
      </c>
      <c r="C58" t="s">
        <v>972</v>
      </c>
      <c r="D58" t="str">
        <f t="shared" si="0"/>
        <v>Sim</v>
      </c>
    </row>
    <row r="59" spans="1:4" x14ac:dyDescent="0.25">
      <c r="A59" t="s">
        <v>53</v>
      </c>
      <c r="B59" t="s">
        <v>973</v>
      </c>
      <c r="C59" t="s">
        <v>973</v>
      </c>
      <c r="D59" t="str">
        <f t="shared" si="0"/>
        <v>Sim</v>
      </c>
    </row>
    <row r="60" spans="1:4" x14ac:dyDescent="0.25">
      <c r="A60" t="s">
        <v>53</v>
      </c>
      <c r="B60" t="s">
        <v>974</v>
      </c>
      <c r="C60" t="s">
        <v>974</v>
      </c>
      <c r="D60" t="str">
        <f t="shared" si="0"/>
        <v>Sim</v>
      </c>
    </row>
    <row r="61" spans="1:4" x14ac:dyDescent="0.25">
      <c r="A61" t="s">
        <v>53</v>
      </c>
      <c r="B61" t="s">
        <v>975</v>
      </c>
      <c r="C61" t="s">
        <v>975</v>
      </c>
      <c r="D61" t="str">
        <f t="shared" si="0"/>
        <v>Sim</v>
      </c>
    </row>
    <row r="62" spans="1:4" x14ac:dyDescent="0.25">
      <c r="A62" t="s">
        <v>53</v>
      </c>
      <c r="B62" t="s">
        <v>976</v>
      </c>
      <c r="C62" t="s">
        <v>976</v>
      </c>
      <c r="D62" t="str">
        <f t="shared" si="0"/>
        <v>Sim</v>
      </c>
    </row>
    <row r="63" spans="1:4" x14ac:dyDescent="0.25">
      <c r="A63" t="s">
        <v>53</v>
      </c>
      <c r="B63" t="s">
        <v>977</v>
      </c>
      <c r="C63" t="s">
        <v>1965</v>
      </c>
      <c r="D63" t="str">
        <f t="shared" si="0"/>
        <v>Não</v>
      </c>
    </row>
    <row r="64" spans="1:4" x14ac:dyDescent="0.25">
      <c r="A64" t="s">
        <v>44</v>
      </c>
      <c r="B64" t="s">
        <v>211</v>
      </c>
      <c r="C64" t="s">
        <v>211</v>
      </c>
      <c r="D64" t="str">
        <f t="shared" si="0"/>
        <v>Sim</v>
      </c>
    </row>
    <row r="65" spans="1:4" x14ac:dyDescent="0.25">
      <c r="A65" t="s">
        <v>44</v>
      </c>
      <c r="B65" t="s">
        <v>978</v>
      </c>
      <c r="C65" t="s">
        <v>978</v>
      </c>
      <c r="D65" t="str">
        <f t="shared" si="0"/>
        <v>Sim</v>
      </c>
    </row>
    <row r="66" spans="1:4" x14ac:dyDescent="0.25">
      <c r="A66" t="s">
        <v>18</v>
      </c>
      <c r="B66" t="s">
        <v>979</v>
      </c>
      <c r="C66" t="s">
        <v>979</v>
      </c>
      <c r="D66" t="str">
        <f t="shared" si="0"/>
        <v>Sim</v>
      </c>
    </row>
    <row r="67" spans="1:4" x14ac:dyDescent="0.25">
      <c r="A67" t="s">
        <v>18</v>
      </c>
      <c r="B67" t="s">
        <v>980</v>
      </c>
      <c r="C67" t="s">
        <v>980</v>
      </c>
      <c r="D67" t="str">
        <f t="shared" ref="D67:D102" si="2">IF(B67=C67, "Sim", "Não")</f>
        <v>Sim</v>
      </c>
    </row>
    <row r="68" spans="1:4" x14ac:dyDescent="0.25">
      <c r="A68" t="s">
        <v>18</v>
      </c>
      <c r="B68" t="s">
        <v>981</v>
      </c>
      <c r="C68" t="s">
        <v>981</v>
      </c>
      <c r="D68" t="str">
        <f t="shared" si="2"/>
        <v>Sim</v>
      </c>
    </row>
    <row r="69" spans="1:4" x14ac:dyDescent="0.25">
      <c r="A69" t="s">
        <v>18</v>
      </c>
      <c r="B69" t="s">
        <v>982</v>
      </c>
      <c r="C69" t="s">
        <v>982</v>
      </c>
      <c r="D69" t="str">
        <f t="shared" si="2"/>
        <v>Sim</v>
      </c>
    </row>
    <row r="70" spans="1:4" x14ac:dyDescent="0.25">
      <c r="A70" t="s">
        <v>18</v>
      </c>
      <c r="B70" t="s">
        <v>983</v>
      </c>
      <c r="C70" t="s">
        <v>983</v>
      </c>
      <c r="D70" t="str">
        <f t="shared" si="2"/>
        <v>Sim</v>
      </c>
    </row>
    <row r="71" spans="1:4" x14ac:dyDescent="0.25">
      <c r="A71" t="s">
        <v>18</v>
      </c>
      <c r="B71" t="s">
        <v>984</v>
      </c>
      <c r="C71" t="s">
        <v>984</v>
      </c>
      <c r="D71" t="str">
        <f t="shared" si="2"/>
        <v>Sim</v>
      </c>
    </row>
    <row r="72" spans="1:4" x14ac:dyDescent="0.25">
      <c r="A72" t="s">
        <v>46</v>
      </c>
      <c r="B72" t="s">
        <v>807</v>
      </c>
      <c r="C72" t="s">
        <v>807</v>
      </c>
      <c r="D72" t="str">
        <f t="shared" si="2"/>
        <v>Sim</v>
      </c>
    </row>
    <row r="73" spans="1:4" x14ac:dyDescent="0.25">
      <c r="A73" t="s">
        <v>46</v>
      </c>
      <c r="B73" t="s">
        <v>378</v>
      </c>
      <c r="C73" t="s">
        <v>378</v>
      </c>
      <c r="D73" t="str">
        <f>IF(B73=C73, "Sim", "Não")</f>
        <v>Sim</v>
      </c>
    </row>
    <row r="74" spans="1:4" x14ac:dyDescent="0.25">
      <c r="A74" t="s">
        <v>46</v>
      </c>
      <c r="B74" t="s">
        <v>985</v>
      </c>
      <c r="C74" t="s">
        <v>985</v>
      </c>
      <c r="D74" t="str">
        <f t="shared" si="2"/>
        <v>Sim</v>
      </c>
    </row>
    <row r="75" spans="1:4" x14ac:dyDescent="0.25">
      <c r="A75" t="s">
        <v>46</v>
      </c>
      <c r="B75" t="s">
        <v>986</v>
      </c>
      <c r="C75" t="s">
        <v>986</v>
      </c>
      <c r="D75" t="str">
        <f t="shared" si="2"/>
        <v>Sim</v>
      </c>
    </row>
    <row r="76" spans="1:4" x14ac:dyDescent="0.25">
      <c r="A76" t="s">
        <v>46</v>
      </c>
      <c r="B76" t="s">
        <v>987</v>
      </c>
      <c r="C76" t="s">
        <v>987</v>
      </c>
      <c r="D76" t="str">
        <f t="shared" si="2"/>
        <v>Sim</v>
      </c>
    </row>
    <row r="77" spans="1:4" x14ac:dyDescent="0.25">
      <c r="A77" t="s">
        <v>46</v>
      </c>
      <c r="B77" t="s">
        <v>988</v>
      </c>
      <c r="C77" t="s">
        <v>988</v>
      </c>
      <c r="D77" t="str">
        <f t="shared" si="2"/>
        <v>Sim</v>
      </c>
    </row>
    <row r="78" spans="1:4" x14ac:dyDescent="0.25">
      <c r="A78" t="s">
        <v>46</v>
      </c>
      <c r="B78" t="s">
        <v>810</v>
      </c>
      <c r="C78" t="s">
        <v>810</v>
      </c>
      <c r="D78" t="str">
        <f t="shared" si="2"/>
        <v>Sim</v>
      </c>
    </row>
    <row r="79" spans="1:4" x14ac:dyDescent="0.25">
      <c r="A79" t="s">
        <v>46</v>
      </c>
      <c r="B79" t="s">
        <v>989</v>
      </c>
      <c r="C79" t="s">
        <v>989</v>
      </c>
      <c r="D79" t="str">
        <f t="shared" si="2"/>
        <v>Sim</v>
      </c>
    </row>
    <row r="80" spans="1:4" x14ac:dyDescent="0.25">
      <c r="A80" t="s">
        <v>46</v>
      </c>
      <c r="B80" t="s">
        <v>990</v>
      </c>
      <c r="C80" t="s">
        <v>990</v>
      </c>
      <c r="D80" t="str">
        <f t="shared" si="2"/>
        <v>Sim</v>
      </c>
    </row>
    <row r="81" spans="1:4" x14ac:dyDescent="0.25">
      <c r="A81" t="s">
        <v>46</v>
      </c>
      <c r="B81" t="s">
        <v>991</v>
      </c>
      <c r="C81" t="s">
        <v>992</v>
      </c>
      <c r="D81" t="str">
        <f t="shared" si="2"/>
        <v>Não</v>
      </c>
    </row>
    <row r="82" spans="1:4" x14ac:dyDescent="0.25">
      <c r="A82" t="s">
        <v>46</v>
      </c>
      <c r="B82" t="s">
        <v>993</v>
      </c>
      <c r="C82" t="s">
        <v>993</v>
      </c>
      <c r="D82" t="str">
        <f t="shared" si="2"/>
        <v>Sim</v>
      </c>
    </row>
    <row r="83" spans="1:4" x14ac:dyDescent="0.25">
      <c r="A83" t="s">
        <v>46</v>
      </c>
      <c r="B83" t="s">
        <v>994</v>
      </c>
      <c r="C83" t="s">
        <v>994</v>
      </c>
      <c r="D83" t="str">
        <f t="shared" si="2"/>
        <v>Sim</v>
      </c>
    </row>
    <row r="84" spans="1:4" x14ac:dyDescent="0.25">
      <c r="A84" t="s">
        <v>46</v>
      </c>
      <c r="B84" t="s">
        <v>995</v>
      </c>
      <c r="C84" t="s">
        <v>995</v>
      </c>
      <c r="D84" t="str">
        <f t="shared" si="2"/>
        <v>Sim</v>
      </c>
    </row>
    <row r="85" spans="1:4" x14ac:dyDescent="0.25">
      <c r="A85" t="s">
        <v>46</v>
      </c>
      <c r="B85" t="s">
        <v>726</v>
      </c>
      <c r="C85" t="s">
        <v>726</v>
      </c>
      <c r="D85" t="str">
        <f t="shared" si="2"/>
        <v>Sim</v>
      </c>
    </row>
    <row r="86" spans="1:4" x14ac:dyDescent="0.25">
      <c r="A86" t="s">
        <v>46</v>
      </c>
      <c r="B86" t="s">
        <v>799</v>
      </c>
      <c r="C86" t="s">
        <v>799</v>
      </c>
      <c r="D86" t="str">
        <f t="shared" si="2"/>
        <v>Sim</v>
      </c>
    </row>
    <row r="87" spans="1:4" x14ac:dyDescent="0.25">
      <c r="A87" t="s">
        <v>46</v>
      </c>
      <c r="B87" t="s">
        <v>722</v>
      </c>
      <c r="C87" t="s">
        <v>722</v>
      </c>
      <c r="D87" t="str">
        <f t="shared" si="2"/>
        <v>Sim</v>
      </c>
    </row>
    <row r="88" spans="1:4" x14ac:dyDescent="0.25">
      <c r="A88" t="s">
        <v>46</v>
      </c>
      <c r="B88" t="s">
        <v>133</v>
      </c>
      <c r="C88" t="s">
        <v>133</v>
      </c>
      <c r="D88" t="str">
        <f t="shared" si="2"/>
        <v>Sim</v>
      </c>
    </row>
    <row r="89" spans="1:4" x14ac:dyDescent="0.25">
      <c r="A89" t="s">
        <v>46</v>
      </c>
      <c r="B89" t="s">
        <v>996</v>
      </c>
      <c r="C89" t="s">
        <v>996</v>
      </c>
      <c r="D89" t="str">
        <f t="shared" si="2"/>
        <v>Sim</v>
      </c>
    </row>
    <row r="90" spans="1:4" x14ac:dyDescent="0.25">
      <c r="A90" t="s">
        <v>46</v>
      </c>
      <c r="B90" t="s">
        <v>805</v>
      </c>
      <c r="C90" t="s">
        <v>805</v>
      </c>
      <c r="D90" t="str">
        <f t="shared" si="2"/>
        <v>Sim</v>
      </c>
    </row>
    <row r="91" spans="1:4" x14ac:dyDescent="0.25">
      <c r="A91" t="s">
        <v>46</v>
      </c>
      <c r="B91" t="s">
        <v>260</v>
      </c>
      <c r="C91" t="s">
        <v>260</v>
      </c>
      <c r="D91" t="str">
        <f t="shared" si="2"/>
        <v>Sim</v>
      </c>
    </row>
    <row r="92" spans="1:4" x14ac:dyDescent="0.25">
      <c r="A92" t="s">
        <v>46</v>
      </c>
      <c r="B92" t="s">
        <v>997</v>
      </c>
      <c r="C92" t="s">
        <v>997</v>
      </c>
      <c r="D92" t="str">
        <f>IF(B92=C92, "Sim", "Não")</f>
        <v>Sim</v>
      </c>
    </row>
    <row r="93" spans="1:4" x14ac:dyDescent="0.25">
      <c r="A93" t="s">
        <v>45</v>
      </c>
      <c r="B93" t="s">
        <v>998</v>
      </c>
      <c r="C93" t="s">
        <v>998</v>
      </c>
      <c r="D93" t="str">
        <f t="shared" si="2"/>
        <v>Sim</v>
      </c>
    </row>
    <row r="94" spans="1:4" x14ac:dyDescent="0.25">
      <c r="A94" t="s">
        <v>45</v>
      </c>
      <c r="B94" t="s">
        <v>999</v>
      </c>
      <c r="C94" t="s">
        <v>999</v>
      </c>
      <c r="D94" t="str">
        <f t="shared" si="2"/>
        <v>Sim</v>
      </c>
    </row>
    <row r="95" spans="1:4" x14ac:dyDescent="0.25">
      <c r="A95" t="s">
        <v>45</v>
      </c>
      <c r="B95" t="s">
        <v>842</v>
      </c>
      <c r="C95" t="s">
        <v>842</v>
      </c>
      <c r="D95" t="str">
        <f t="shared" si="2"/>
        <v>Sim</v>
      </c>
    </row>
    <row r="96" spans="1:4" x14ac:dyDescent="0.25">
      <c r="A96" t="s">
        <v>45</v>
      </c>
      <c r="B96" t="s">
        <v>1000</v>
      </c>
      <c r="C96" t="s">
        <v>1000</v>
      </c>
      <c r="D96" t="str">
        <f t="shared" si="2"/>
        <v>Sim</v>
      </c>
    </row>
    <row r="97" spans="1:4" x14ac:dyDescent="0.25">
      <c r="A97" t="s">
        <v>45</v>
      </c>
      <c r="B97" t="s">
        <v>1001</v>
      </c>
      <c r="C97" t="s">
        <v>1001</v>
      </c>
      <c r="D97" t="str">
        <f t="shared" si="2"/>
        <v>Sim</v>
      </c>
    </row>
    <row r="98" spans="1:4" x14ac:dyDescent="0.25">
      <c r="A98" t="s">
        <v>45</v>
      </c>
      <c r="B98" t="s">
        <v>1002</v>
      </c>
      <c r="C98" t="s">
        <v>1002</v>
      </c>
      <c r="D98" t="str">
        <f>IF(B98=C98, "Sim", "Não")</f>
        <v>Sim</v>
      </c>
    </row>
    <row r="99" spans="1:4" x14ac:dyDescent="0.25">
      <c r="A99" t="s">
        <v>45</v>
      </c>
      <c r="B99" t="s">
        <v>1003</v>
      </c>
      <c r="C99" t="s">
        <v>1003</v>
      </c>
      <c r="D99" t="str">
        <f t="shared" si="2"/>
        <v>Sim</v>
      </c>
    </row>
    <row r="100" spans="1:4" x14ac:dyDescent="0.25">
      <c r="A100" t="s">
        <v>45</v>
      </c>
      <c r="B100" t="s">
        <v>1004</v>
      </c>
      <c r="C100" t="s">
        <v>1004</v>
      </c>
      <c r="D100" t="str">
        <f t="shared" si="2"/>
        <v>Sim</v>
      </c>
    </row>
    <row r="101" spans="1:4" x14ac:dyDescent="0.25">
      <c r="A101" t="s">
        <v>45</v>
      </c>
      <c r="B101" t="s">
        <v>1005</v>
      </c>
      <c r="C101" t="s">
        <v>1005</v>
      </c>
      <c r="D101" t="str">
        <f t="shared" si="2"/>
        <v>Sim</v>
      </c>
    </row>
    <row r="102" spans="1:4" x14ac:dyDescent="0.25">
      <c r="A102" t="s">
        <v>45</v>
      </c>
      <c r="B102" t="s">
        <v>1568</v>
      </c>
      <c r="C102" t="s">
        <v>1568</v>
      </c>
      <c r="D102" t="str">
        <f t="shared" si="2"/>
        <v>Sim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89FFD-C65F-440F-96C9-84F08FACEC45}">
  <sheetPr codeName="Planilha20"/>
  <dimension ref="A1:G101"/>
  <sheetViews>
    <sheetView topLeftCell="A85" workbookViewId="0">
      <selection activeCell="F89" sqref="F89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28" t="s">
        <v>26</v>
      </c>
      <c r="B1" s="28"/>
      <c r="C1" s="28"/>
      <c r="D1" s="28"/>
      <c r="E1" s="28"/>
      <c r="F1" s="28"/>
      <c r="G1" s="28"/>
    </row>
    <row r="2" spans="1:7" x14ac:dyDescent="0.25">
      <c r="A2" s="4" t="s">
        <v>34</v>
      </c>
      <c r="B2" s="4" t="s">
        <v>35</v>
      </c>
      <c r="C2" s="4" t="s">
        <v>36</v>
      </c>
      <c r="D2" s="4" t="s">
        <v>37</v>
      </c>
    </row>
    <row r="3" spans="1:7" x14ac:dyDescent="0.25">
      <c r="A3" t="s">
        <v>38</v>
      </c>
      <c r="B3" t="s">
        <v>1006</v>
      </c>
      <c r="C3" t="s">
        <v>1006</v>
      </c>
      <c r="D3" t="str">
        <f>IF(B3=C3, "Sim", "Não")</f>
        <v>Sim</v>
      </c>
      <c r="F3" s="4" t="s">
        <v>39</v>
      </c>
      <c r="G3" s="3">
        <f>COUNTIF(D3:D105,"Não")</f>
        <v>14</v>
      </c>
    </row>
    <row r="4" spans="1:7" x14ac:dyDescent="0.25">
      <c r="A4" t="s">
        <v>38</v>
      </c>
      <c r="B4" t="s">
        <v>74</v>
      </c>
      <c r="C4" t="s">
        <v>74</v>
      </c>
      <c r="D4" t="str">
        <f t="shared" ref="D4:D68" si="0">IF(B4=C4, "Sim", "Não")</f>
        <v>Sim</v>
      </c>
      <c r="F4" s="4" t="s">
        <v>40</v>
      </c>
      <c r="G4" s="3">
        <f>SUM(G7:G27)</f>
        <v>99</v>
      </c>
    </row>
    <row r="5" spans="1:7" x14ac:dyDescent="0.25">
      <c r="A5" t="s">
        <v>38</v>
      </c>
      <c r="B5" t="s">
        <v>90</v>
      </c>
      <c r="C5" t="s">
        <v>1007</v>
      </c>
      <c r="D5" t="str">
        <f t="shared" si="0"/>
        <v>Não</v>
      </c>
    </row>
    <row r="6" spans="1:7" x14ac:dyDescent="0.25">
      <c r="A6" t="s">
        <v>38</v>
      </c>
      <c r="B6" t="s">
        <v>89</v>
      </c>
      <c r="C6" t="s">
        <v>1008</v>
      </c>
      <c r="D6" t="str">
        <f t="shared" si="0"/>
        <v>Não</v>
      </c>
      <c r="F6" s="6" t="s">
        <v>42</v>
      </c>
      <c r="G6" s="1"/>
    </row>
    <row r="7" spans="1:7" x14ac:dyDescent="0.25">
      <c r="A7" t="s">
        <v>38</v>
      </c>
      <c r="B7" t="s">
        <v>1009</v>
      </c>
      <c r="C7" t="s">
        <v>1009</v>
      </c>
      <c r="D7" t="str">
        <f t="shared" si="0"/>
        <v>Sim</v>
      </c>
      <c r="F7" s="1" t="s">
        <v>38</v>
      </c>
      <c r="G7" s="2">
        <f t="shared" ref="G7:G15" si="1">COUNTIF(A:A,F7)</f>
        <v>33</v>
      </c>
    </row>
    <row r="8" spans="1:7" x14ac:dyDescent="0.25">
      <c r="A8" t="s">
        <v>38</v>
      </c>
      <c r="B8" t="s">
        <v>90</v>
      </c>
      <c r="C8" t="s">
        <v>833</v>
      </c>
      <c r="D8" t="str">
        <f t="shared" si="0"/>
        <v>Não</v>
      </c>
      <c r="F8" s="1" t="s">
        <v>343</v>
      </c>
      <c r="G8" s="2">
        <f t="shared" si="1"/>
        <v>0</v>
      </c>
    </row>
    <row r="9" spans="1:7" x14ac:dyDescent="0.25">
      <c r="A9" t="s">
        <v>38</v>
      </c>
      <c r="B9" t="s">
        <v>754</v>
      </c>
      <c r="C9" t="s">
        <v>754</v>
      </c>
      <c r="D9" t="str">
        <f t="shared" si="0"/>
        <v>Sim</v>
      </c>
      <c r="F9" s="1" t="s">
        <v>45</v>
      </c>
      <c r="G9" s="2">
        <f t="shared" si="1"/>
        <v>8</v>
      </c>
    </row>
    <row r="10" spans="1:7" x14ac:dyDescent="0.25">
      <c r="A10" t="s">
        <v>38</v>
      </c>
      <c r="B10" t="s">
        <v>1010</v>
      </c>
      <c r="C10" t="s">
        <v>1010</v>
      </c>
      <c r="D10" t="str">
        <f t="shared" si="0"/>
        <v>Sim</v>
      </c>
      <c r="F10" s="1" t="s">
        <v>1011</v>
      </c>
      <c r="G10" s="2">
        <f t="shared" si="1"/>
        <v>14</v>
      </c>
    </row>
    <row r="11" spans="1:7" x14ac:dyDescent="0.25">
      <c r="A11" t="s">
        <v>38</v>
      </c>
      <c r="B11" t="s">
        <v>63</v>
      </c>
      <c r="C11" t="s">
        <v>63</v>
      </c>
      <c r="D11" t="str">
        <f t="shared" si="0"/>
        <v>Sim</v>
      </c>
      <c r="F11" s="1" t="s">
        <v>46</v>
      </c>
      <c r="G11" s="2">
        <f t="shared" si="1"/>
        <v>13</v>
      </c>
    </row>
    <row r="12" spans="1:7" x14ac:dyDescent="0.25">
      <c r="A12" t="s">
        <v>38</v>
      </c>
      <c r="B12" t="s">
        <v>90</v>
      </c>
      <c r="C12" t="s">
        <v>1012</v>
      </c>
      <c r="D12" t="str">
        <f t="shared" si="0"/>
        <v>Não</v>
      </c>
      <c r="F12" s="1" t="s">
        <v>53</v>
      </c>
      <c r="G12" s="2">
        <f t="shared" si="1"/>
        <v>7</v>
      </c>
    </row>
    <row r="13" spans="1:7" x14ac:dyDescent="0.25">
      <c r="A13" t="s">
        <v>38</v>
      </c>
      <c r="B13" t="s">
        <v>1013</v>
      </c>
      <c r="C13" t="s">
        <v>1013</v>
      </c>
      <c r="D13" t="str">
        <f t="shared" si="0"/>
        <v>Sim</v>
      </c>
      <c r="F13" s="1" t="s">
        <v>1014</v>
      </c>
      <c r="G13" s="2">
        <f t="shared" si="1"/>
        <v>5</v>
      </c>
    </row>
    <row r="14" spans="1:7" x14ac:dyDescent="0.25">
      <c r="A14" t="s">
        <v>38</v>
      </c>
      <c r="B14" t="s">
        <v>43</v>
      </c>
      <c r="C14" t="s">
        <v>43</v>
      </c>
      <c r="D14" t="str">
        <f t="shared" si="0"/>
        <v>Sim</v>
      </c>
      <c r="F14" s="1" t="s">
        <v>345</v>
      </c>
      <c r="G14" s="2">
        <f t="shared" si="1"/>
        <v>13</v>
      </c>
    </row>
    <row r="15" spans="1:7" x14ac:dyDescent="0.25">
      <c r="A15" t="s">
        <v>38</v>
      </c>
      <c r="B15" t="s">
        <v>1015</v>
      </c>
      <c r="C15" t="s">
        <v>1015</v>
      </c>
      <c r="D15" t="str">
        <f t="shared" si="0"/>
        <v>Sim</v>
      </c>
      <c r="F15" s="1" t="s">
        <v>1016</v>
      </c>
      <c r="G15" s="2">
        <f t="shared" si="1"/>
        <v>6</v>
      </c>
    </row>
    <row r="16" spans="1:7" x14ac:dyDescent="0.25">
      <c r="A16" t="s">
        <v>38</v>
      </c>
      <c r="B16" t="s">
        <v>1017</v>
      </c>
      <c r="C16" t="s">
        <v>1017</v>
      </c>
      <c r="D16" t="str">
        <f t="shared" si="0"/>
        <v>Sim</v>
      </c>
      <c r="F16" s="5"/>
      <c r="G16" s="2"/>
    </row>
    <row r="17" spans="1:4" x14ac:dyDescent="0.25">
      <c r="A17" t="s">
        <v>38</v>
      </c>
      <c r="B17" t="s">
        <v>891</v>
      </c>
      <c r="C17" t="s">
        <v>891</v>
      </c>
      <c r="D17" t="str">
        <f t="shared" si="0"/>
        <v>Sim</v>
      </c>
    </row>
    <row r="18" spans="1:4" x14ac:dyDescent="0.25">
      <c r="A18" t="s">
        <v>38</v>
      </c>
      <c r="B18" t="s">
        <v>90</v>
      </c>
      <c r="C18" t="s">
        <v>77</v>
      </c>
      <c r="D18" t="str">
        <f t="shared" si="0"/>
        <v>Não</v>
      </c>
    </row>
    <row r="19" spans="1:4" x14ac:dyDescent="0.25">
      <c r="A19" t="s">
        <v>38</v>
      </c>
      <c r="B19" t="s">
        <v>89</v>
      </c>
      <c r="C19" t="s">
        <v>828</v>
      </c>
      <c r="D19" t="str">
        <f t="shared" si="0"/>
        <v>Não</v>
      </c>
    </row>
    <row r="20" spans="1:4" x14ac:dyDescent="0.25">
      <c r="A20" t="s">
        <v>38</v>
      </c>
      <c r="B20" t="s">
        <v>89</v>
      </c>
      <c r="C20" t="s">
        <v>946</v>
      </c>
      <c r="D20" t="str">
        <f t="shared" si="0"/>
        <v>Não</v>
      </c>
    </row>
    <row r="21" spans="1:4" x14ac:dyDescent="0.25">
      <c r="A21" t="s">
        <v>38</v>
      </c>
      <c r="B21" t="s">
        <v>838</v>
      </c>
      <c r="C21" t="s">
        <v>838</v>
      </c>
      <c r="D21" t="str">
        <f t="shared" si="0"/>
        <v>Sim</v>
      </c>
    </row>
    <row r="22" spans="1:4" x14ac:dyDescent="0.25">
      <c r="A22" t="s">
        <v>38</v>
      </c>
      <c r="B22" t="s">
        <v>1018</v>
      </c>
      <c r="C22" t="s">
        <v>1018</v>
      </c>
      <c r="D22" t="str">
        <f t="shared" si="0"/>
        <v>Sim</v>
      </c>
    </row>
    <row r="23" spans="1:4" x14ac:dyDescent="0.25">
      <c r="A23" t="s">
        <v>38</v>
      </c>
      <c r="B23" t="s">
        <v>89</v>
      </c>
      <c r="C23" t="s">
        <v>89</v>
      </c>
      <c r="D23" t="str">
        <f t="shared" si="0"/>
        <v>Sim</v>
      </c>
    </row>
    <row r="24" spans="1:4" x14ac:dyDescent="0.25">
      <c r="A24" t="s">
        <v>38</v>
      </c>
      <c r="B24" t="s">
        <v>89</v>
      </c>
      <c r="C24" t="s">
        <v>89</v>
      </c>
      <c r="D24" t="str">
        <f t="shared" si="0"/>
        <v>Sim</v>
      </c>
    </row>
    <row r="25" spans="1:4" x14ac:dyDescent="0.25">
      <c r="A25" t="s">
        <v>38</v>
      </c>
      <c r="B25" t="s">
        <v>89</v>
      </c>
      <c r="C25" t="s">
        <v>89</v>
      </c>
      <c r="D25" t="str">
        <f t="shared" si="0"/>
        <v>Sim</v>
      </c>
    </row>
    <row r="26" spans="1:4" x14ac:dyDescent="0.25">
      <c r="A26" t="s">
        <v>38</v>
      </c>
      <c r="B26" t="s">
        <v>89</v>
      </c>
      <c r="C26" t="s">
        <v>89</v>
      </c>
      <c r="D26" t="str">
        <f t="shared" si="0"/>
        <v>Sim</v>
      </c>
    </row>
    <row r="27" spans="1:4" x14ac:dyDescent="0.25">
      <c r="A27" t="s">
        <v>38</v>
      </c>
      <c r="B27" t="s">
        <v>89</v>
      </c>
      <c r="C27" t="s">
        <v>89</v>
      </c>
      <c r="D27" t="str">
        <f t="shared" si="0"/>
        <v>Sim</v>
      </c>
    </row>
    <row r="28" spans="1:4" x14ac:dyDescent="0.25">
      <c r="A28" t="s">
        <v>38</v>
      </c>
      <c r="B28" t="s">
        <v>89</v>
      </c>
      <c r="C28" t="s">
        <v>89</v>
      </c>
      <c r="D28" t="str">
        <f t="shared" si="0"/>
        <v>Sim</v>
      </c>
    </row>
    <row r="29" spans="1:4" x14ac:dyDescent="0.25">
      <c r="A29" t="s">
        <v>38</v>
      </c>
      <c r="B29" t="s">
        <v>89</v>
      </c>
      <c r="C29" t="s">
        <v>89</v>
      </c>
      <c r="D29" t="str">
        <f t="shared" si="0"/>
        <v>Sim</v>
      </c>
    </row>
    <row r="30" spans="1:4" x14ac:dyDescent="0.25">
      <c r="A30" t="s">
        <v>38</v>
      </c>
      <c r="B30" t="s">
        <v>90</v>
      </c>
      <c r="C30" t="s">
        <v>90</v>
      </c>
      <c r="D30" t="str">
        <f t="shared" si="0"/>
        <v>Sim</v>
      </c>
    </row>
    <row r="31" spans="1:4" x14ac:dyDescent="0.25">
      <c r="A31" t="s">
        <v>38</v>
      </c>
      <c r="B31" t="s">
        <v>90</v>
      </c>
      <c r="C31" t="s">
        <v>90</v>
      </c>
      <c r="D31" t="str">
        <f t="shared" si="0"/>
        <v>Sim</v>
      </c>
    </row>
    <row r="32" spans="1:4" x14ac:dyDescent="0.25">
      <c r="A32" t="s">
        <v>38</v>
      </c>
      <c r="B32" t="s">
        <v>90</v>
      </c>
      <c r="C32" t="s">
        <v>90</v>
      </c>
      <c r="D32" t="str">
        <f t="shared" si="0"/>
        <v>Sim</v>
      </c>
    </row>
    <row r="33" spans="1:4" x14ac:dyDescent="0.25">
      <c r="A33" t="s">
        <v>38</v>
      </c>
      <c r="B33" t="s">
        <v>90</v>
      </c>
      <c r="C33" t="s">
        <v>90</v>
      </c>
      <c r="D33" t="str">
        <f t="shared" si="0"/>
        <v>Sim</v>
      </c>
    </row>
    <row r="34" spans="1:4" x14ac:dyDescent="0.25">
      <c r="A34" t="s">
        <v>38</v>
      </c>
      <c r="B34" t="s">
        <v>90</v>
      </c>
      <c r="C34" t="s">
        <v>90</v>
      </c>
      <c r="D34" t="str">
        <f t="shared" si="0"/>
        <v>Sim</v>
      </c>
    </row>
    <row r="35" spans="1:4" x14ac:dyDescent="0.25">
      <c r="A35" t="s">
        <v>38</v>
      </c>
      <c r="B35" t="s">
        <v>90</v>
      </c>
      <c r="C35" t="s">
        <v>90</v>
      </c>
      <c r="D35" t="str">
        <f t="shared" si="0"/>
        <v>Sim</v>
      </c>
    </row>
    <row r="36" spans="1:4" x14ac:dyDescent="0.25">
      <c r="A36" t="s">
        <v>45</v>
      </c>
      <c r="B36" t="s">
        <v>1019</v>
      </c>
      <c r="C36" t="s">
        <v>1019</v>
      </c>
      <c r="D36" t="str">
        <f t="shared" si="0"/>
        <v>Sim</v>
      </c>
    </row>
    <row r="37" spans="1:4" x14ac:dyDescent="0.25">
      <c r="A37" t="s">
        <v>45</v>
      </c>
      <c r="B37" t="s">
        <v>1020</v>
      </c>
      <c r="C37" t="s">
        <v>1783</v>
      </c>
      <c r="D37" t="str">
        <f t="shared" si="0"/>
        <v>Não</v>
      </c>
    </row>
    <row r="38" spans="1:4" x14ac:dyDescent="0.25">
      <c r="A38" t="s">
        <v>45</v>
      </c>
      <c r="B38" t="s">
        <v>1021</v>
      </c>
      <c r="C38" t="s">
        <v>1021</v>
      </c>
      <c r="D38" t="str">
        <f t="shared" si="0"/>
        <v>Sim</v>
      </c>
    </row>
    <row r="39" spans="1:4" x14ac:dyDescent="0.25">
      <c r="A39" t="s">
        <v>45</v>
      </c>
      <c r="B39" t="s">
        <v>719</v>
      </c>
      <c r="C39" t="s">
        <v>719</v>
      </c>
      <c r="D39" t="str">
        <f t="shared" si="0"/>
        <v>Sim</v>
      </c>
    </row>
    <row r="40" spans="1:4" x14ac:dyDescent="0.25">
      <c r="A40" t="s">
        <v>45</v>
      </c>
      <c r="B40" t="s">
        <v>226</v>
      </c>
      <c r="C40" t="s">
        <v>226</v>
      </c>
      <c r="D40" t="str">
        <f t="shared" si="0"/>
        <v>Sim</v>
      </c>
    </row>
    <row r="41" spans="1:4" x14ac:dyDescent="0.25">
      <c r="A41" t="s">
        <v>45</v>
      </c>
      <c r="B41" t="s">
        <v>1022</v>
      </c>
      <c r="C41" t="s">
        <v>1022</v>
      </c>
      <c r="D41" t="str">
        <f>IF(B41=C41, "Sim", "Não")</f>
        <v>Sim</v>
      </c>
    </row>
    <row r="42" spans="1:4" x14ac:dyDescent="0.25">
      <c r="A42" t="s">
        <v>45</v>
      </c>
      <c r="B42" t="s">
        <v>1023</v>
      </c>
      <c r="C42" t="s">
        <v>1023</v>
      </c>
      <c r="D42" t="str">
        <f t="shared" si="0"/>
        <v>Sim</v>
      </c>
    </row>
    <row r="43" spans="1:4" x14ac:dyDescent="0.25">
      <c r="A43" t="s">
        <v>45</v>
      </c>
      <c r="B43" t="s">
        <v>1000</v>
      </c>
      <c r="C43" t="s">
        <v>1000</v>
      </c>
      <c r="D43" t="str">
        <f t="shared" si="0"/>
        <v>Sim</v>
      </c>
    </row>
    <row r="44" spans="1:4" x14ac:dyDescent="0.25">
      <c r="A44" t="s">
        <v>1011</v>
      </c>
      <c r="B44" t="s">
        <v>905</v>
      </c>
      <c r="C44" t="s">
        <v>905</v>
      </c>
      <c r="D44" t="str">
        <f t="shared" si="0"/>
        <v>Sim</v>
      </c>
    </row>
    <row r="45" spans="1:4" x14ac:dyDescent="0.25">
      <c r="A45" t="s">
        <v>1011</v>
      </c>
      <c r="B45" t="s">
        <v>1024</v>
      </c>
      <c r="C45" t="s">
        <v>1024</v>
      </c>
      <c r="D45" t="str">
        <f t="shared" si="0"/>
        <v>Sim</v>
      </c>
    </row>
    <row r="46" spans="1:4" x14ac:dyDescent="0.25">
      <c r="A46" t="s">
        <v>1011</v>
      </c>
      <c r="B46" t="s">
        <v>1025</v>
      </c>
      <c r="C46" t="s">
        <v>1025</v>
      </c>
      <c r="D46" t="str">
        <f t="shared" si="0"/>
        <v>Sim</v>
      </c>
    </row>
    <row r="47" spans="1:4" x14ac:dyDescent="0.25">
      <c r="A47" t="s">
        <v>1011</v>
      </c>
      <c r="B47" t="s">
        <v>1026</v>
      </c>
      <c r="C47" t="s">
        <v>1026</v>
      </c>
      <c r="D47" t="str">
        <f t="shared" si="0"/>
        <v>Sim</v>
      </c>
    </row>
    <row r="48" spans="1:4" x14ac:dyDescent="0.25">
      <c r="A48" t="s">
        <v>1011</v>
      </c>
      <c r="B48" t="s">
        <v>1785</v>
      </c>
      <c r="C48" t="s">
        <v>1785</v>
      </c>
      <c r="D48" t="str">
        <f t="shared" si="0"/>
        <v>Sim</v>
      </c>
    </row>
    <row r="49" spans="1:6" x14ac:dyDescent="0.25">
      <c r="A49" t="s">
        <v>1011</v>
      </c>
      <c r="B49" t="s">
        <v>1027</v>
      </c>
      <c r="C49" t="s">
        <v>1027</v>
      </c>
      <c r="D49" t="str">
        <f t="shared" si="0"/>
        <v>Sim</v>
      </c>
    </row>
    <row r="50" spans="1:6" x14ac:dyDescent="0.25">
      <c r="A50" t="s">
        <v>1011</v>
      </c>
      <c r="B50" t="s">
        <v>1028</v>
      </c>
      <c r="C50" t="s">
        <v>1028</v>
      </c>
      <c r="D50" t="str">
        <f t="shared" si="0"/>
        <v>Sim</v>
      </c>
    </row>
    <row r="51" spans="1:6" x14ac:dyDescent="0.25">
      <c r="A51" t="s">
        <v>1011</v>
      </c>
      <c r="B51" t="s">
        <v>1637</v>
      </c>
      <c r="C51" t="s">
        <v>1637</v>
      </c>
      <c r="D51" t="str">
        <f t="shared" si="0"/>
        <v>Sim</v>
      </c>
    </row>
    <row r="52" spans="1:6" x14ac:dyDescent="0.25">
      <c r="A52" t="s">
        <v>1011</v>
      </c>
      <c r="B52" t="s">
        <v>1029</v>
      </c>
      <c r="C52" t="s">
        <v>1029</v>
      </c>
      <c r="D52" t="str">
        <f t="shared" si="0"/>
        <v>Sim</v>
      </c>
    </row>
    <row r="53" spans="1:6" x14ac:dyDescent="0.25">
      <c r="A53" t="s">
        <v>1011</v>
      </c>
      <c r="B53" t="s">
        <v>1784</v>
      </c>
      <c r="C53" t="s">
        <v>1784</v>
      </c>
      <c r="D53" t="str">
        <f t="shared" si="0"/>
        <v>Sim</v>
      </c>
    </row>
    <row r="54" spans="1:6" x14ac:dyDescent="0.25">
      <c r="A54" t="s">
        <v>1011</v>
      </c>
      <c r="B54" t="s">
        <v>1030</v>
      </c>
      <c r="C54" t="s">
        <v>1030</v>
      </c>
      <c r="D54" t="str">
        <f t="shared" si="0"/>
        <v>Sim</v>
      </c>
    </row>
    <row r="55" spans="1:6" x14ac:dyDescent="0.25">
      <c r="A55" t="s">
        <v>1011</v>
      </c>
      <c r="B55" t="s">
        <v>1031</v>
      </c>
      <c r="C55" t="s">
        <v>1031</v>
      </c>
      <c r="D55" t="str">
        <f t="shared" si="0"/>
        <v>Sim</v>
      </c>
    </row>
    <row r="56" spans="1:6" x14ac:dyDescent="0.25">
      <c r="A56" t="s">
        <v>1011</v>
      </c>
      <c r="B56" t="s">
        <v>1032</v>
      </c>
      <c r="C56" t="s">
        <v>1032</v>
      </c>
      <c r="D56" t="str">
        <f t="shared" si="0"/>
        <v>Sim</v>
      </c>
      <c r="F56"/>
    </row>
    <row r="57" spans="1:6" x14ac:dyDescent="0.25">
      <c r="A57" t="s">
        <v>1011</v>
      </c>
      <c r="B57" t="s">
        <v>1033</v>
      </c>
      <c r="C57" t="s">
        <v>1033</v>
      </c>
      <c r="D57" t="str">
        <f t="shared" si="0"/>
        <v>Sim</v>
      </c>
    </row>
    <row r="58" spans="1:6" x14ac:dyDescent="0.25">
      <c r="A58" t="s">
        <v>1016</v>
      </c>
      <c r="B58" t="s">
        <v>1034</v>
      </c>
      <c r="C58" t="s">
        <v>1034</v>
      </c>
      <c r="D58" t="str">
        <f t="shared" si="0"/>
        <v>Sim</v>
      </c>
    </row>
    <row r="59" spans="1:6" x14ac:dyDescent="0.25">
      <c r="A59" t="s">
        <v>1016</v>
      </c>
      <c r="B59" t="s">
        <v>1035</v>
      </c>
      <c r="C59" t="s">
        <v>1035</v>
      </c>
      <c r="D59" t="str">
        <f t="shared" si="0"/>
        <v>Sim</v>
      </c>
    </row>
    <row r="60" spans="1:6" x14ac:dyDescent="0.25">
      <c r="A60" t="s">
        <v>1016</v>
      </c>
      <c r="B60" t="s">
        <v>1036</v>
      </c>
      <c r="C60" t="s">
        <v>1036</v>
      </c>
      <c r="D60" t="str">
        <f t="shared" si="0"/>
        <v>Sim</v>
      </c>
    </row>
    <row r="61" spans="1:6" x14ac:dyDescent="0.25">
      <c r="A61" t="s">
        <v>1016</v>
      </c>
      <c r="B61" t="s">
        <v>1565</v>
      </c>
      <c r="C61" t="s">
        <v>1565</v>
      </c>
      <c r="D61" t="str">
        <f t="shared" si="0"/>
        <v>Sim</v>
      </c>
    </row>
    <row r="62" spans="1:6" x14ac:dyDescent="0.25">
      <c r="A62" t="s">
        <v>1016</v>
      </c>
      <c r="B62" t="s">
        <v>1037</v>
      </c>
      <c r="C62" t="s">
        <v>1037</v>
      </c>
      <c r="D62" t="str">
        <f t="shared" si="0"/>
        <v>Sim</v>
      </c>
    </row>
    <row r="63" spans="1:6" x14ac:dyDescent="0.25">
      <c r="A63" t="s">
        <v>1016</v>
      </c>
      <c r="B63" t="s">
        <v>1038</v>
      </c>
      <c r="C63" t="s">
        <v>1038</v>
      </c>
      <c r="D63" t="str">
        <f t="shared" si="0"/>
        <v>Sim</v>
      </c>
    </row>
    <row r="64" spans="1:6" x14ac:dyDescent="0.25">
      <c r="A64" t="s">
        <v>53</v>
      </c>
      <c r="B64" s="5" t="s">
        <v>971</v>
      </c>
      <c r="C64" s="5" t="s">
        <v>971</v>
      </c>
      <c r="D64" t="str">
        <f t="shared" si="0"/>
        <v>Sim</v>
      </c>
    </row>
    <row r="65" spans="1:6" x14ac:dyDescent="0.25">
      <c r="A65" t="s">
        <v>53</v>
      </c>
      <c r="B65" t="s">
        <v>973</v>
      </c>
      <c r="C65" t="s">
        <v>973</v>
      </c>
      <c r="D65" t="str">
        <f t="shared" si="0"/>
        <v>Sim</v>
      </c>
      <c r="F65"/>
    </row>
    <row r="66" spans="1:6" x14ac:dyDescent="0.25">
      <c r="A66" t="s">
        <v>53</v>
      </c>
      <c r="B66" t="s">
        <v>972</v>
      </c>
      <c r="C66" t="s">
        <v>1039</v>
      </c>
      <c r="D66" t="str">
        <f t="shared" si="0"/>
        <v>Não</v>
      </c>
    </row>
    <row r="67" spans="1:6" x14ac:dyDescent="0.25">
      <c r="A67" t="s">
        <v>53</v>
      </c>
      <c r="B67" t="s">
        <v>1040</v>
      </c>
      <c r="C67" t="s">
        <v>1040</v>
      </c>
      <c r="D67" t="str">
        <f t="shared" si="0"/>
        <v>Sim</v>
      </c>
    </row>
    <row r="68" spans="1:6" x14ac:dyDescent="0.25">
      <c r="A68" t="s">
        <v>53</v>
      </c>
      <c r="B68" t="s">
        <v>977</v>
      </c>
      <c r="C68" t="s">
        <v>977</v>
      </c>
      <c r="D68" t="str">
        <f t="shared" si="0"/>
        <v>Sim</v>
      </c>
    </row>
    <row r="69" spans="1:6" x14ac:dyDescent="0.25">
      <c r="A69" t="s">
        <v>53</v>
      </c>
      <c r="B69" t="s">
        <v>1041</v>
      </c>
      <c r="C69" t="s">
        <v>1041</v>
      </c>
      <c r="D69" t="str">
        <f t="shared" ref="D69:D101" si="2">IF(B69=C69, "Sim", "Não")</f>
        <v>Sim</v>
      </c>
    </row>
    <row r="70" spans="1:6" x14ac:dyDescent="0.25">
      <c r="A70" t="s">
        <v>53</v>
      </c>
      <c r="B70" t="s">
        <v>1042</v>
      </c>
      <c r="C70" t="s">
        <v>1042</v>
      </c>
      <c r="D70" t="str">
        <f t="shared" si="2"/>
        <v>Sim</v>
      </c>
    </row>
    <row r="71" spans="1:6" x14ac:dyDescent="0.25">
      <c r="A71" t="s">
        <v>46</v>
      </c>
      <c r="B71" t="s">
        <v>1043</v>
      </c>
      <c r="C71" t="s">
        <v>1782</v>
      </c>
      <c r="D71" t="str">
        <f t="shared" si="2"/>
        <v>Não</v>
      </c>
    </row>
    <row r="72" spans="1:6" x14ac:dyDescent="0.25">
      <c r="A72" t="s">
        <v>46</v>
      </c>
      <c r="B72" t="s">
        <v>133</v>
      </c>
      <c r="C72" t="s">
        <v>133</v>
      </c>
      <c r="D72" t="str">
        <f t="shared" si="2"/>
        <v>Sim</v>
      </c>
    </row>
    <row r="73" spans="1:6" x14ac:dyDescent="0.25">
      <c r="A73" t="s">
        <v>46</v>
      </c>
      <c r="B73" t="s">
        <v>1044</v>
      </c>
      <c r="C73" t="s">
        <v>1450</v>
      </c>
      <c r="D73" t="str">
        <f t="shared" si="2"/>
        <v>Não</v>
      </c>
    </row>
    <row r="74" spans="1:6" x14ac:dyDescent="0.25">
      <c r="A74" t="s">
        <v>46</v>
      </c>
      <c r="B74" t="s">
        <v>722</v>
      </c>
      <c r="C74" t="s">
        <v>722</v>
      </c>
      <c r="D74" t="str">
        <f t="shared" si="2"/>
        <v>Sim</v>
      </c>
    </row>
    <row r="75" spans="1:6" x14ac:dyDescent="0.25">
      <c r="A75" t="s">
        <v>46</v>
      </c>
      <c r="B75" t="s">
        <v>795</v>
      </c>
      <c r="C75" t="s">
        <v>795</v>
      </c>
      <c r="D75" t="str">
        <f t="shared" si="2"/>
        <v>Sim</v>
      </c>
    </row>
    <row r="76" spans="1:6" x14ac:dyDescent="0.25">
      <c r="A76" t="s">
        <v>46</v>
      </c>
      <c r="B76" t="s">
        <v>1045</v>
      </c>
      <c r="C76" t="s">
        <v>1045</v>
      </c>
      <c r="D76" t="str">
        <f t="shared" si="2"/>
        <v>Sim</v>
      </c>
    </row>
    <row r="77" spans="1:6" x14ac:dyDescent="0.25">
      <c r="A77" t="s">
        <v>46</v>
      </c>
      <c r="B77" t="s">
        <v>1046</v>
      </c>
      <c r="C77" t="s">
        <v>1046</v>
      </c>
      <c r="D77" t="str">
        <f t="shared" si="2"/>
        <v>Sim</v>
      </c>
    </row>
    <row r="78" spans="1:6" x14ac:dyDescent="0.25">
      <c r="A78" t="s">
        <v>46</v>
      </c>
      <c r="B78" t="s">
        <v>1047</v>
      </c>
      <c r="C78" t="s">
        <v>1047</v>
      </c>
      <c r="D78" t="str">
        <f t="shared" si="2"/>
        <v>Sim</v>
      </c>
    </row>
    <row r="79" spans="1:6" x14ac:dyDescent="0.25">
      <c r="A79" t="s">
        <v>46</v>
      </c>
      <c r="B79" t="s">
        <v>1048</v>
      </c>
      <c r="C79" t="s">
        <v>1048</v>
      </c>
      <c r="D79" t="str">
        <f t="shared" si="2"/>
        <v>Sim</v>
      </c>
    </row>
    <row r="80" spans="1:6" x14ac:dyDescent="0.25">
      <c r="A80" t="s">
        <v>46</v>
      </c>
      <c r="B80" t="s">
        <v>1049</v>
      </c>
      <c r="C80" t="s">
        <v>1049</v>
      </c>
      <c r="D80" t="str">
        <f t="shared" si="2"/>
        <v>Sim</v>
      </c>
    </row>
    <row r="81" spans="1:6" x14ac:dyDescent="0.25">
      <c r="A81" t="s">
        <v>46</v>
      </c>
      <c r="B81" t="s">
        <v>1050</v>
      </c>
      <c r="C81" t="s">
        <v>1050</v>
      </c>
      <c r="D81" t="str">
        <f t="shared" si="2"/>
        <v>Sim</v>
      </c>
    </row>
    <row r="82" spans="1:6" x14ac:dyDescent="0.25">
      <c r="A82" t="s">
        <v>46</v>
      </c>
      <c r="B82" t="s">
        <v>805</v>
      </c>
      <c r="C82" t="s">
        <v>805</v>
      </c>
      <c r="D82" t="str">
        <f t="shared" si="2"/>
        <v>Sim</v>
      </c>
    </row>
    <row r="83" spans="1:6" x14ac:dyDescent="0.25">
      <c r="A83" t="s">
        <v>46</v>
      </c>
      <c r="B83" t="s">
        <v>1051</v>
      </c>
      <c r="C83" t="s">
        <v>1051</v>
      </c>
      <c r="D83" t="str">
        <f t="shared" si="2"/>
        <v>Sim</v>
      </c>
    </row>
    <row r="84" spans="1:6" x14ac:dyDescent="0.25">
      <c r="A84" t="s">
        <v>1014</v>
      </c>
      <c r="B84" t="s">
        <v>1052</v>
      </c>
      <c r="C84" t="s">
        <v>1053</v>
      </c>
      <c r="D84" t="str">
        <f t="shared" si="2"/>
        <v>Não</v>
      </c>
    </row>
    <row r="85" spans="1:6" x14ac:dyDescent="0.25">
      <c r="A85" t="s">
        <v>1014</v>
      </c>
      <c r="B85" t="s">
        <v>1054</v>
      </c>
      <c r="C85" t="s">
        <v>1054</v>
      </c>
      <c r="D85" t="str">
        <f t="shared" si="2"/>
        <v>Sim</v>
      </c>
    </row>
    <row r="86" spans="1:6" x14ac:dyDescent="0.25">
      <c r="A86" t="s">
        <v>1014</v>
      </c>
      <c r="B86" t="s">
        <v>1055</v>
      </c>
      <c r="C86" t="s">
        <v>1055</v>
      </c>
      <c r="D86" t="str">
        <f t="shared" si="2"/>
        <v>Sim</v>
      </c>
    </row>
    <row r="87" spans="1:6" x14ac:dyDescent="0.25">
      <c r="A87" t="s">
        <v>1014</v>
      </c>
      <c r="B87" t="s">
        <v>1056</v>
      </c>
      <c r="C87" t="s">
        <v>1058</v>
      </c>
      <c r="D87" t="str">
        <f t="shared" si="2"/>
        <v>Não</v>
      </c>
    </row>
    <row r="88" spans="1:6" x14ac:dyDescent="0.25">
      <c r="A88" t="s">
        <v>1014</v>
      </c>
      <c r="B88" t="s">
        <v>1057</v>
      </c>
      <c r="C88" t="s">
        <v>1057</v>
      </c>
      <c r="D88" t="str">
        <f t="shared" si="2"/>
        <v>Sim</v>
      </c>
    </row>
    <row r="89" spans="1:6" x14ac:dyDescent="0.25">
      <c r="A89" t="s">
        <v>345</v>
      </c>
      <c r="B89" t="s">
        <v>1636</v>
      </c>
      <c r="C89" t="s">
        <v>1636</v>
      </c>
      <c r="D89" t="str">
        <f t="shared" si="2"/>
        <v>Sim</v>
      </c>
      <c r="F89" s="3" t="s">
        <v>1706</v>
      </c>
    </row>
    <row r="90" spans="1:6" x14ac:dyDescent="0.25">
      <c r="A90" t="s">
        <v>345</v>
      </c>
      <c r="B90" t="s">
        <v>1059</v>
      </c>
      <c r="C90" t="s">
        <v>1059</v>
      </c>
      <c r="D90" t="str">
        <f t="shared" si="2"/>
        <v>Sim</v>
      </c>
    </row>
    <row r="91" spans="1:6" x14ac:dyDescent="0.25">
      <c r="A91" t="s">
        <v>345</v>
      </c>
      <c r="B91" t="s">
        <v>1060</v>
      </c>
      <c r="C91" t="s">
        <v>1060</v>
      </c>
      <c r="D91" t="str">
        <f t="shared" si="2"/>
        <v>Sim</v>
      </c>
    </row>
    <row r="92" spans="1:6" x14ac:dyDescent="0.25">
      <c r="A92" t="s">
        <v>345</v>
      </c>
      <c r="B92" t="s">
        <v>1061</v>
      </c>
      <c r="C92" t="s">
        <v>1061</v>
      </c>
      <c r="D92" t="str">
        <f t="shared" si="2"/>
        <v>Sim</v>
      </c>
    </row>
    <row r="93" spans="1:6" x14ac:dyDescent="0.25">
      <c r="A93" t="s">
        <v>345</v>
      </c>
      <c r="B93" t="s">
        <v>1062</v>
      </c>
      <c r="C93" t="s">
        <v>1062</v>
      </c>
      <c r="D93" t="str">
        <f t="shared" si="2"/>
        <v>Sim</v>
      </c>
    </row>
    <row r="94" spans="1:6" x14ac:dyDescent="0.25">
      <c r="A94" t="s">
        <v>345</v>
      </c>
      <c r="B94" t="s">
        <v>1063</v>
      </c>
      <c r="C94" t="s">
        <v>1063</v>
      </c>
      <c r="D94" t="str">
        <f t="shared" si="2"/>
        <v>Sim</v>
      </c>
    </row>
    <row r="95" spans="1:6" x14ac:dyDescent="0.25">
      <c r="A95" t="s">
        <v>345</v>
      </c>
      <c r="B95" t="s">
        <v>1064</v>
      </c>
      <c r="C95" t="s">
        <v>1064</v>
      </c>
      <c r="D95" t="str">
        <f t="shared" si="2"/>
        <v>Sim</v>
      </c>
    </row>
    <row r="96" spans="1:6" x14ac:dyDescent="0.25">
      <c r="A96" t="s">
        <v>345</v>
      </c>
      <c r="B96" t="s">
        <v>1065</v>
      </c>
      <c r="C96" t="s">
        <v>1065</v>
      </c>
      <c r="D96" t="str">
        <f t="shared" si="2"/>
        <v>Sim</v>
      </c>
    </row>
    <row r="97" spans="1:4" x14ac:dyDescent="0.25">
      <c r="A97" t="s">
        <v>345</v>
      </c>
      <c r="B97" t="s">
        <v>1066</v>
      </c>
      <c r="C97" t="s">
        <v>1066</v>
      </c>
      <c r="D97" t="str">
        <f t="shared" si="2"/>
        <v>Sim</v>
      </c>
    </row>
    <row r="98" spans="1:4" x14ac:dyDescent="0.25">
      <c r="A98" t="s">
        <v>345</v>
      </c>
      <c r="B98" t="s">
        <v>1067</v>
      </c>
      <c r="C98" t="s">
        <v>1067</v>
      </c>
      <c r="D98" t="str">
        <f t="shared" si="2"/>
        <v>Sim</v>
      </c>
    </row>
    <row r="99" spans="1:4" x14ac:dyDescent="0.25">
      <c r="A99" t="s">
        <v>345</v>
      </c>
      <c r="B99" t="s">
        <v>1068</v>
      </c>
      <c r="C99" t="s">
        <v>1068</v>
      </c>
      <c r="D99" t="str">
        <f t="shared" si="2"/>
        <v>Sim</v>
      </c>
    </row>
    <row r="100" spans="1:4" x14ac:dyDescent="0.25">
      <c r="A100" t="s">
        <v>345</v>
      </c>
      <c r="B100" t="s">
        <v>1069</v>
      </c>
      <c r="C100" t="s">
        <v>1566</v>
      </c>
      <c r="D100" t="str">
        <f t="shared" si="2"/>
        <v>Não</v>
      </c>
    </row>
    <row r="101" spans="1:4" x14ac:dyDescent="0.25">
      <c r="A101" t="s">
        <v>345</v>
      </c>
      <c r="B101" t="s">
        <v>1070</v>
      </c>
      <c r="C101" t="s">
        <v>1070</v>
      </c>
      <c r="D101" t="str">
        <f t="shared" si="2"/>
        <v>Sim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B432A-A041-4D66-AD92-9000ED2E2DDB}">
  <sheetPr codeName="Planilha27"/>
  <dimension ref="A1:G100"/>
  <sheetViews>
    <sheetView topLeftCell="A42" workbookViewId="0">
      <selection activeCell="C65" sqref="C65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28" t="s">
        <v>1434</v>
      </c>
      <c r="B1" s="28"/>
      <c r="C1" s="28"/>
      <c r="D1" s="28"/>
      <c r="E1" s="28"/>
      <c r="F1" s="28"/>
      <c r="G1" s="28"/>
    </row>
    <row r="2" spans="1:7" x14ac:dyDescent="0.25">
      <c r="A2" s="4" t="s">
        <v>34</v>
      </c>
      <c r="B2" s="4" t="s">
        <v>35</v>
      </c>
      <c r="C2" s="4" t="s">
        <v>36</v>
      </c>
      <c r="D2" s="4" t="s">
        <v>37</v>
      </c>
    </row>
    <row r="3" spans="1:7" x14ac:dyDescent="0.25">
      <c r="A3" t="s">
        <v>38</v>
      </c>
      <c r="B3" t="s">
        <v>43</v>
      </c>
      <c r="C3" t="s">
        <v>43</v>
      </c>
      <c r="D3" t="str">
        <f>IF(B3=C3, "Sim", "Não")</f>
        <v>Sim</v>
      </c>
      <c r="F3" s="4" t="s">
        <v>39</v>
      </c>
      <c r="G3" s="3">
        <f>COUNTIF(D3:D105,"Não")</f>
        <v>11</v>
      </c>
    </row>
    <row r="4" spans="1:7" x14ac:dyDescent="0.25">
      <c r="A4" t="s">
        <v>38</v>
      </c>
      <c r="B4" t="s">
        <v>72</v>
      </c>
      <c r="C4" t="s">
        <v>72</v>
      </c>
      <c r="D4" t="str">
        <f t="shared" ref="D4:D65" si="0">IF(B4=C4, "Sim", "Não")</f>
        <v>Sim</v>
      </c>
      <c r="F4" s="4" t="s">
        <v>40</v>
      </c>
      <c r="G4" s="3">
        <f>SUM(G7:G25)</f>
        <v>98</v>
      </c>
    </row>
    <row r="5" spans="1:7" x14ac:dyDescent="0.25">
      <c r="A5" t="s">
        <v>38</v>
      </c>
      <c r="B5" t="s">
        <v>63</v>
      </c>
      <c r="C5" t="s">
        <v>63</v>
      </c>
      <c r="D5" t="str">
        <f t="shared" si="0"/>
        <v>Sim</v>
      </c>
    </row>
    <row r="6" spans="1:7" x14ac:dyDescent="0.25">
      <c r="A6" t="s">
        <v>38</v>
      </c>
      <c r="B6" t="s">
        <v>1435</v>
      </c>
      <c r="C6" t="s">
        <v>1435</v>
      </c>
      <c r="D6" t="str">
        <f t="shared" si="0"/>
        <v>Sim</v>
      </c>
      <c r="F6" s="6" t="s">
        <v>42</v>
      </c>
      <c r="G6" s="1"/>
    </row>
    <row r="7" spans="1:7" x14ac:dyDescent="0.25">
      <c r="A7" t="s">
        <v>38</v>
      </c>
      <c r="B7" t="s">
        <v>837</v>
      </c>
      <c r="C7" t="s">
        <v>837</v>
      </c>
      <c r="D7" t="str">
        <f t="shared" si="0"/>
        <v>Sim</v>
      </c>
      <c r="F7" s="1" t="s">
        <v>38</v>
      </c>
      <c r="G7" s="2">
        <f t="shared" ref="G7:G14" si="1">COUNTIF(A:A,F7)</f>
        <v>37</v>
      </c>
    </row>
    <row r="8" spans="1:7" x14ac:dyDescent="0.25">
      <c r="A8" t="s">
        <v>38</v>
      </c>
      <c r="B8" t="s">
        <v>1436</v>
      </c>
      <c r="C8" t="s">
        <v>1436</v>
      </c>
      <c r="D8" t="str">
        <f t="shared" si="0"/>
        <v>Sim</v>
      </c>
      <c r="F8" s="1" t="s">
        <v>44</v>
      </c>
      <c r="G8" s="2">
        <f t="shared" si="1"/>
        <v>10</v>
      </c>
    </row>
    <row r="9" spans="1:7" x14ac:dyDescent="0.25">
      <c r="A9" t="s">
        <v>38</v>
      </c>
      <c r="B9" t="s">
        <v>1125</v>
      </c>
      <c r="C9" t="s">
        <v>1125</v>
      </c>
      <c r="D9" t="str">
        <f t="shared" si="0"/>
        <v>Sim</v>
      </c>
      <c r="F9" s="1" t="s">
        <v>45</v>
      </c>
      <c r="G9" s="2">
        <f t="shared" si="1"/>
        <v>12</v>
      </c>
    </row>
    <row r="10" spans="1:7" x14ac:dyDescent="0.25">
      <c r="A10" t="s">
        <v>38</v>
      </c>
      <c r="B10" t="s">
        <v>74</v>
      </c>
      <c r="C10" t="s">
        <v>74</v>
      </c>
      <c r="D10" t="str">
        <f t="shared" si="0"/>
        <v>Sim</v>
      </c>
      <c r="F10" s="1" t="s">
        <v>46</v>
      </c>
      <c r="G10" s="2">
        <f t="shared" si="1"/>
        <v>10</v>
      </c>
    </row>
    <row r="11" spans="1:7" x14ac:dyDescent="0.25">
      <c r="A11" t="s">
        <v>38</v>
      </c>
      <c r="B11" t="s">
        <v>86</v>
      </c>
      <c r="C11" t="s">
        <v>86</v>
      </c>
      <c r="D11" t="str">
        <f t="shared" si="0"/>
        <v>Sim</v>
      </c>
      <c r="F11" s="1" t="s">
        <v>53</v>
      </c>
      <c r="G11" s="2">
        <f t="shared" si="1"/>
        <v>6</v>
      </c>
    </row>
    <row r="12" spans="1:7" x14ac:dyDescent="0.25">
      <c r="A12" t="s">
        <v>38</v>
      </c>
      <c r="B12" t="s">
        <v>199</v>
      </c>
      <c r="C12" t="s">
        <v>82</v>
      </c>
      <c r="D12" t="str">
        <f t="shared" si="0"/>
        <v>Não</v>
      </c>
      <c r="F12" s="1" t="s">
        <v>52</v>
      </c>
      <c r="G12" s="2">
        <f t="shared" si="1"/>
        <v>5</v>
      </c>
    </row>
    <row r="13" spans="1:7" x14ac:dyDescent="0.25">
      <c r="A13" t="s">
        <v>38</v>
      </c>
      <c r="B13" t="s">
        <v>80</v>
      </c>
      <c r="C13" t="s">
        <v>80</v>
      </c>
      <c r="D13" t="str">
        <f t="shared" si="0"/>
        <v>Sim</v>
      </c>
      <c r="F13" s="1" t="s">
        <v>1733</v>
      </c>
      <c r="G13" s="2">
        <f t="shared" si="1"/>
        <v>11</v>
      </c>
    </row>
    <row r="14" spans="1:7" x14ac:dyDescent="0.25">
      <c r="A14" t="s">
        <v>38</v>
      </c>
      <c r="B14" t="s">
        <v>85</v>
      </c>
      <c r="C14" t="s">
        <v>85</v>
      </c>
      <c r="D14" t="str">
        <f t="shared" si="0"/>
        <v>Sim</v>
      </c>
      <c r="F14" s="1" t="s">
        <v>70</v>
      </c>
      <c r="G14" s="2">
        <f t="shared" si="1"/>
        <v>7</v>
      </c>
    </row>
    <row r="15" spans="1:7" x14ac:dyDescent="0.25">
      <c r="A15" t="s">
        <v>38</v>
      </c>
      <c r="B15" t="s">
        <v>83</v>
      </c>
      <c r="C15" t="s">
        <v>83</v>
      </c>
      <c r="D15" t="str">
        <f t="shared" si="0"/>
        <v>Sim</v>
      </c>
      <c r="F15" s="1"/>
      <c r="G15" s="2"/>
    </row>
    <row r="16" spans="1:7" x14ac:dyDescent="0.25">
      <c r="A16" t="s">
        <v>38</v>
      </c>
      <c r="B16" t="s">
        <v>84</v>
      </c>
      <c r="C16" t="s">
        <v>84</v>
      </c>
      <c r="D16" t="str">
        <f t="shared" si="0"/>
        <v>Sim</v>
      </c>
      <c r="F16" s="4"/>
      <c r="G16" s="2"/>
    </row>
    <row r="17" spans="1:4" x14ac:dyDescent="0.25">
      <c r="A17" t="s">
        <v>38</v>
      </c>
      <c r="B17" t="s">
        <v>81</v>
      </c>
      <c r="C17" t="s">
        <v>81</v>
      </c>
      <c r="D17" t="str">
        <f t="shared" si="0"/>
        <v>Sim</v>
      </c>
    </row>
    <row r="18" spans="1:4" x14ac:dyDescent="0.25">
      <c r="A18" t="s">
        <v>38</v>
      </c>
      <c r="B18" t="s">
        <v>87</v>
      </c>
      <c r="C18" t="s">
        <v>87</v>
      </c>
      <c r="D18" t="str">
        <f t="shared" si="0"/>
        <v>Sim</v>
      </c>
    </row>
    <row r="19" spans="1:4" x14ac:dyDescent="0.25">
      <c r="A19" t="s">
        <v>38</v>
      </c>
      <c r="B19" t="s">
        <v>828</v>
      </c>
      <c r="C19" t="s">
        <v>1437</v>
      </c>
      <c r="D19" t="str">
        <f t="shared" si="0"/>
        <v>Não</v>
      </c>
    </row>
    <row r="20" spans="1:4" x14ac:dyDescent="0.25">
      <c r="A20" t="s">
        <v>38</v>
      </c>
      <c r="B20" t="s">
        <v>88</v>
      </c>
      <c r="C20" t="s">
        <v>88</v>
      </c>
      <c r="D20" t="str">
        <f t="shared" si="0"/>
        <v>Sim</v>
      </c>
    </row>
    <row r="21" spans="1:4" x14ac:dyDescent="0.25">
      <c r="A21" t="s">
        <v>38</v>
      </c>
      <c r="B21" t="s">
        <v>353</v>
      </c>
      <c r="C21" t="s">
        <v>353</v>
      </c>
      <c r="D21" t="str">
        <f t="shared" si="0"/>
        <v>Sim</v>
      </c>
    </row>
    <row r="22" spans="1:4" x14ac:dyDescent="0.25">
      <c r="A22" t="s">
        <v>38</v>
      </c>
      <c r="B22" t="s">
        <v>197</v>
      </c>
      <c r="C22" t="s">
        <v>77</v>
      </c>
      <c r="D22" t="str">
        <f t="shared" si="0"/>
        <v>Não</v>
      </c>
    </row>
    <row r="23" spans="1:4" x14ac:dyDescent="0.25">
      <c r="A23" t="s">
        <v>38</v>
      </c>
      <c r="B23" t="s">
        <v>1438</v>
      </c>
      <c r="C23" t="s">
        <v>1438</v>
      </c>
      <c r="D23" t="str">
        <f t="shared" si="0"/>
        <v>Sim</v>
      </c>
    </row>
    <row r="24" spans="1:4" x14ac:dyDescent="0.25">
      <c r="A24" t="s">
        <v>38</v>
      </c>
      <c r="B24" t="s">
        <v>357</v>
      </c>
      <c r="C24" t="s">
        <v>357</v>
      </c>
      <c r="D24" t="str">
        <f t="shared" si="0"/>
        <v>Sim</v>
      </c>
    </row>
    <row r="25" spans="1:4" x14ac:dyDescent="0.25">
      <c r="A25" t="s">
        <v>38</v>
      </c>
      <c r="B25" t="s">
        <v>356</v>
      </c>
      <c r="C25" t="s">
        <v>356</v>
      </c>
      <c r="D25" t="str">
        <f t="shared" si="0"/>
        <v>Sim</v>
      </c>
    </row>
    <row r="26" spans="1:4" x14ac:dyDescent="0.25">
      <c r="A26" t="s">
        <v>38</v>
      </c>
      <c r="B26" t="s">
        <v>826</v>
      </c>
      <c r="C26" t="s">
        <v>826</v>
      </c>
      <c r="D26" t="str">
        <f t="shared" si="0"/>
        <v>Sim</v>
      </c>
    </row>
    <row r="27" spans="1:4" x14ac:dyDescent="0.25">
      <c r="A27" t="s">
        <v>38</v>
      </c>
      <c r="B27" t="s">
        <v>945</v>
      </c>
      <c r="C27" t="s">
        <v>945</v>
      </c>
      <c r="D27" t="str">
        <f t="shared" si="0"/>
        <v>Sim</v>
      </c>
    </row>
    <row r="28" spans="1:4" x14ac:dyDescent="0.25">
      <c r="A28" t="s">
        <v>38</v>
      </c>
      <c r="B28" t="s">
        <v>1439</v>
      </c>
      <c r="C28" t="s">
        <v>1439</v>
      </c>
      <c r="D28" t="str">
        <f t="shared" si="0"/>
        <v>Sim</v>
      </c>
    </row>
    <row r="29" spans="1:4" x14ac:dyDescent="0.25">
      <c r="A29" t="s">
        <v>38</v>
      </c>
      <c r="B29" t="s">
        <v>193</v>
      </c>
      <c r="C29" t="s">
        <v>193</v>
      </c>
      <c r="D29" t="str">
        <f t="shared" si="0"/>
        <v>Sim</v>
      </c>
    </row>
    <row r="30" spans="1:4" x14ac:dyDescent="0.25">
      <c r="A30" t="s">
        <v>38</v>
      </c>
      <c r="B30" t="s">
        <v>833</v>
      </c>
      <c r="C30" t="s">
        <v>833</v>
      </c>
      <c r="D30" t="str">
        <f t="shared" si="0"/>
        <v>Sim</v>
      </c>
    </row>
    <row r="31" spans="1:4" x14ac:dyDescent="0.25">
      <c r="A31" t="s">
        <v>38</v>
      </c>
      <c r="B31" t="s">
        <v>192</v>
      </c>
      <c r="C31" t="s">
        <v>192</v>
      </c>
      <c r="D31" t="str">
        <f t="shared" si="0"/>
        <v>Sim</v>
      </c>
    </row>
    <row r="32" spans="1:4" x14ac:dyDescent="0.25">
      <c r="A32" t="s">
        <v>38</v>
      </c>
      <c r="B32" t="s">
        <v>48</v>
      </c>
      <c r="C32" t="s">
        <v>1735</v>
      </c>
      <c r="D32" t="str">
        <f>IF(B32=C32, "Sim", "Não")</f>
        <v>Não</v>
      </c>
    </row>
    <row r="33" spans="1:4" x14ac:dyDescent="0.25">
      <c r="A33" t="s">
        <v>38</v>
      </c>
      <c r="B33" t="s">
        <v>50</v>
      </c>
      <c r="C33" t="s">
        <v>195</v>
      </c>
      <c r="D33" t="str">
        <f>IF(B33=C33, "Sim", "Não")</f>
        <v>Não</v>
      </c>
    </row>
    <row r="34" spans="1:4" x14ac:dyDescent="0.25">
      <c r="A34" t="s">
        <v>38</v>
      </c>
      <c r="B34" t="s">
        <v>48</v>
      </c>
      <c r="C34" t="s">
        <v>48</v>
      </c>
      <c r="D34" t="str">
        <f t="shared" si="0"/>
        <v>Sim</v>
      </c>
    </row>
    <row r="35" spans="1:4" x14ac:dyDescent="0.25">
      <c r="A35" t="s">
        <v>38</v>
      </c>
      <c r="B35" t="s">
        <v>49</v>
      </c>
      <c r="C35" t="s">
        <v>49</v>
      </c>
      <c r="D35" t="str">
        <f t="shared" si="0"/>
        <v>Sim</v>
      </c>
    </row>
    <row r="36" spans="1:4" x14ac:dyDescent="0.25">
      <c r="A36" t="s">
        <v>38</v>
      </c>
      <c r="B36" t="s">
        <v>49</v>
      </c>
      <c r="C36" t="s">
        <v>49</v>
      </c>
      <c r="D36" t="str">
        <f t="shared" si="0"/>
        <v>Sim</v>
      </c>
    </row>
    <row r="37" spans="1:4" x14ac:dyDescent="0.25">
      <c r="A37" t="s">
        <v>38</v>
      </c>
      <c r="B37" t="s">
        <v>47</v>
      </c>
      <c r="C37" t="s">
        <v>47</v>
      </c>
      <c r="D37" t="str">
        <f t="shared" si="0"/>
        <v>Sim</v>
      </c>
    </row>
    <row r="38" spans="1:4" x14ac:dyDescent="0.25">
      <c r="A38" t="s">
        <v>38</v>
      </c>
      <c r="B38" t="s">
        <v>47</v>
      </c>
      <c r="C38" t="s">
        <v>47</v>
      </c>
      <c r="D38" t="str">
        <f t="shared" si="0"/>
        <v>Sim</v>
      </c>
    </row>
    <row r="39" spans="1:4" x14ac:dyDescent="0.25">
      <c r="A39" t="s">
        <v>38</v>
      </c>
      <c r="B39" t="s">
        <v>50</v>
      </c>
      <c r="C39" t="s">
        <v>50</v>
      </c>
      <c r="D39" t="str">
        <f t="shared" si="0"/>
        <v>Sim</v>
      </c>
    </row>
    <row r="40" spans="1:4" x14ac:dyDescent="0.25">
      <c r="A40" t="s">
        <v>44</v>
      </c>
      <c r="B40" t="s">
        <v>211</v>
      </c>
      <c r="C40" t="s">
        <v>211</v>
      </c>
      <c r="D40" t="str">
        <f t="shared" si="0"/>
        <v>Sim</v>
      </c>
    </row>
    <row r="41" spans="1:4" x14ac:dyDescent="0.25">
      <c r="A41" t="s">
        <v>44</v>
      </c>
      <c r="B41" t="s">
        <v>212</v>
      </c>
      <c r="C41" t="s">
        <v>212</v>
      </c>
      <c r="D41" t="str">
        <f t="shared" si="0"/>
        <v>Sim</v>
      </c>
    </row>
    <row r="42" spans="1:4" x14ac:dyDescent="0.25">
      <c r="A42" t="s">
        <v>44</v>
      </c>
      <c r="B42" t="s">
        <v>213</v>
      </c>
      <c r="C42" t="s">
        <v>213</v>
      </c>
      <c r="D42" t="str">
        <f t="shared" si="0"/>
        <v>Sim</v>
      </c>
    </row>
    <row r="43" spans="1:4" x14ac:dyDescent="0.25">
      <c r="A43" t="s">
        <v>44</v>
      </c>
      <c r="B43" t="s">
        <v>568</v>
      </c>
      <c r="C43" t="s">
        <v>568</v>
      </c>
      <c r="D43" t="str">
        <f t="shared" si="0"/>
        <v>Sim</v>
      </c>
    </row>
    <row r="44" spans="1:4" x14ac:dyDescent="0.25">
      <c r="A44" t="s">
        <v>44</v>
      </c>
      <c r="B44" t="s">
        <v>162</v>
      </c>
      <c r="C44" t="s">
        <v>162</v>
      </c>
      <c r="D44" t="str">
        <f t="shared" si="0"/>
        <v>Sim</v>
      </c>
    </row>
    <row r="45" spans="1:4" x14ac:dyDescent="0.25">
      <c r="A45" t="s">
        <v>44</v>
      </c>
      <c r="B45" t="s">
        <v>567</v>
      </c>
      <c r="C45" t="s">
        <v>567</v>
      </c>
      <c r="D45" t="str">
        <f>IF(B45=C45, "Sim", "Não")</f>
        <v>Sim</v>
      </c>
    </row>
    <row r="46" spans="1:4" x14ac:dyDescent="0.25">
      <c r="A46" t="s">
        <v>44</v>
      </c>
      <c r="B46" t="s">
        <v>215</v>
      </c>
      <c r="C46" t="s">
        <v>215</v>
      </c>
      <c r="D46" t="str">
        <f t="shared" si="0"/>
        <v>Sim</v>
      </c>
    </row>
    <row r="47" spans="1:4" x14ac:dyDescent="0.25">
      <c r="A47" t="s">
        <v>44</v>
      </c>
      <c r="B47" t="s">
        <v>216</v>
      </c>
      <c r="C47" t="s">
        <v>216</v>
      </c>
      <c r="D47" t="str">
        <f t="shared" si="0"/>
        <v>Sim</v>
      </c>
    </row>
    <row r="48" spans="1:4" x14ac:dyDescent="0.25">
      <c r="A48" t="s">
        <v>44</v>
      </c>
      <c r="B48" t="s">
        <v>1734</v>
      </c>
      <c r="C48" t="s">
        <v>1734</v>
      </c>
      <c r="D48" t="str">
        <f t="shared" si="0"/>
        <v>Sim</v>
      </c>
    </row>
    <row r="49" spans="1:4" x14ac:dyDescent="0.25">
      <c r="A49" t="s">
        <v>44</v>
      </c>
      <c r="B49" t="s">
        <v>217</v>
      </c>
      <c r="C49" t="s">
        <v>217</v>
      </c>
      <c r="D49" t="str">
        <f t="shared" si="0"/>
        <v>Sim</v>
      </c>
    </row>
    <row r="50" spans="1:4" x14ac:dyDescent="0.25">
      <c r="A50" t="s">
        <v>45</v>
      </c>
      <c r="B50" t="s">
        <v>1023</v>
      </c>
      <c r="C50" t="s">
        <v>1023</v>
      </c>
      <c r="D50" t="str">
        <f t="shared" si="0"/>
        <v>Sim</v>
      </c>
    </row>
    <row r="51" spans="1:4" x14ac:dyDescent="0.25">
      <c r="A51" t="s">
        <v>45</v>
      </c>
      <c r="B51" t="s">
        <v>1445</v>
      </c>
      <c r="C51" t="s">
        <v>1445</v>
      </c>
      <c r="D51" t="str">
        <f t="shared" si="0"/>
        <v>Sim</v>
      </c>
    </row>
    <row r="52" spans="1:4" x14ac:dyDescent="0.25">
      <c r="A52" t="s">
        <v>45</v>
      </c>
      <c r="B52" t="s">
        <v>1748</v>
      </c>
      <c r="C52" t="s">
        <v>1748</v>
      </c>
      <c r="D52" t="str">
        <f t="shared" si="0"/>
        <v>Sim</v>
      </c>
    </row>
    <row r="53" spans="1:4" x14ac:dyDescent="0.25">
      <c r="A53" t="s">
        <v>45</v>
      </c>
      <c r="B53" t="s">
        <v>1444</v>
      </c>
      <c r="C53" t="s">
        <v>1444</v>
      </c>
      <c r="D53" t="str">
        <f t="shared" si="0"/>
        <v>Sim</v>
      </c>
    </row>
    <row r="54" spans="1:4" x14ac:dyDescent="0.25">
      <c r="A54" t="s">
        <v>45</v>
      </c>
      <c r="B54" t="s">
        <v>1441</v>
      </c>
      <c r="C54" t="s">
        <v>1441</v>
      </c>
      <c r="D54" t="str">
        <f t="shared" si="0"/>
        <v>Sim</v>
      </c>
    </row>
    <row r="55" spans="1:4" x14ac:dyDescent="0.25">
      <c r="A55" t="s">
        <v>45</v>
      </c>
      <c r="B55" t="s">
        <v>1279</v>
      </c>
      <c r="C55" t="s">
        <v>1279</v>
      </c>
      <c r="D55" t="str">
        <f t="shared" si="0"/>
        <v>Sim</v>
      </c>
    </row>
    <row r="56" spans="1:4" x14ac:dyDescent="0.25">
      <c r="A56" t="s">
        <v>45</v>
      </c>
      <c r="B56" t="s">
        <v>1442</v>
      </c>
      <c r="C56" t="s">
        <v>1442</v>
      </c>
      <c r="D56" t="str">
        <f>IF(B56=C56, "Sim", "Não")</f>
        <v>Sim</v>
      </c>
    </row>
    <row r="57" spans="1:4" x14ac:dyDescent="0.25">
      <c r="A57" t="s">
        <v>45</v>
      </c>
      <c r="B57" t="s">
        <v>103</v>
      </c>
      <c r="C57" t="s">
        <v>103</v>
      </c>
      <c r="D57" t="str">
        <f>IF(B57=C57, "Sim", "Não")</f>
        <v>Sim</v>
      </c>
    </row>
    <row r="58" spans="1:4" x14ac:dyDescent="0.25">
      <c r="A58" t="s">
        <v>45</v>
      </c>
      <c r="B58" t="s">
        <v>1443</v>
      </c>
      <c r="C58" t="s">
        <v>1443</v>
      </c>
      <c r="D58" t="str">
        <f t="shared" si="0"/>
        <v>Sim</v>
      </c>
    </row>
    <row r="59" spans="1:4" x14ac:dyDescent="0.25">
      <c r="A59" t="s">
        <v>45</v>
      </c>
      <c r="B59" t="s">
        <v>1737</v>
      </c>
      <c r="C59" t="s">
        <v>1737</v>
      </c>
      <c r="D59" t="str">
        <f t="shared" si="0"/>
        <v>Sim</v>
      </c>
    </row>
    <row r="60" spans="1:4" x14ac:dyDescent="0.25">
      <c r="A60" t="s">
        <v>45</v>
      </c>
      <c r="B60" t="s">
        <v>1457</v>
      </c>
      <c r="C60" t="s">
        <v>1457</v>
      </c>
      <c r="D60" t="str">
        <f t="shared" si="0"/>
        <v>Sim</v>
      </c>
    </row>
    <row r="61" spans="1:4" x14ac:dyDescent="0.25">
      <c r="A61" t="s">
        <v>45</v>
      </c>
      <c r="B61" t="s">
        <v>1446</v>
      </c>
      <c r="C61" t="s">
        <v>1446</v>
      </c>
      <c r="D61" t="str">
        <f t="shared" si="0"/>
        <v>Sim</v>
      </c>
    </row>
    <row r="62" spans="1:4" x14ac:dyDescent="0.25">
      <c r="A62" t="s">
        <v>46</v>
      </c>
      <c r="B62" t="s">
        <v>1447</v>
      </c>
      <c r="C62" t="s">
        <v>1963</v>
      </c>
      <c r="D62" t="str">
        <f t="shared" si="0"/>
        <v>Não</v>
      </c>
    </row>
    <row r="63" spans="1:4" x14ac:dyDescent="0.25">
      <c r="A63" t="s">
        <v>46</v>
      </c>
      <c r="B63" t="s">
        <v>371</v>
      </c>
      <c r="C63" t="s">
        <v>371</v>
      </c>
      <c r="D63" t="str">
        <f t="shared" si="0"/>
        <v>Sim</v>
      </c>
    </row>
    <row r="64" spans="1:4" x14ac:dyDescent="0.25">
      <c r="A64" t="s">
        <v>46</v>
      </c>
      <c r="B64" t="s">
        <v>255</v>
      </c>
      <c r="C64" t="s">
        <v>255</v>
      </c>
      <c r="D64" t="str">
        <f t="shared" si="0"/>
        <v>Sim</v>
      </c>
    </row>
    <row r="65" spans="1:4" x14ac:dyDescent="0.25">
      <c r="A65" t="s">
        <v>46</v>
      </c>
      <c r="B65" t="s">
        <v>1853</v>
      </c>
      <c r="C65" t="s">
        <v>1749</v>
      </c>
      <c r="D65" t="str">
        <f t="shared" si="0"/>
        <v>Não</v>
      </c>
    </row>
    <row r="66" spans="1:4" x14ac:dyDescent="0.25">
      <c r="A66" t="s">
        <v>46</v>
      </c>
      <c r="B66" t="s">
        <v>1449</v>
      </c>
      <c r="C66" t="s">
        <v>1449</v>
      </c>
      <c r="D66" t="str">
        <f t="shared" ref="D66:D100" si="2">IF(B66=C66, "Sim", "Não")</f>
        <v>Sim</v>
      </c>
    </row>
    <row r="67" spans="1:4" x14ac:dyDescent="0.25">
      <c r="A67" t="s">
        <v>46</v>
      </c>
      <c r="B67" t="s">
        <v>1736</v>
      </c>
      <c r="C67" t="s">
        <v>1736</v>
      </c>
      <c r="D67" t="str">
        <f t="shared" si="2"/>
        <v>Sim</v>
      </c>
    </row>
    <row r="68" spans="1:4" x14ac:dyDescent="0.25">
      <c r="A68" t="s">
        <v>46</v>
      </c>
      <c r="B68" t="s">
        <v>184</v>
      </c>
      <c r="C68" t="s">
        <v>184</v>
      </c>
      <c r="D68" t="str">
        <f t="shared" si="2"/>
        <v>Sim</v>
      </c>
    </row>
    <row r="69" spans="1:4" x14ac:dyDescent="0.25">
      <c r="A69" t="s">
        <v>46</v>
      </c>
      <c r="B69" t="s">
        <v>931</v>
      </c>
      <c r="C69" t="s">
        <v>931</v>
      </c>
      <c r="D69" t="str">
        <f t="shared" si="2"/>
        <v>Sim</v>
      </c>
    </row>
    <row r="70" spans="1:4" x14ac:dyDescent="0.25">
      <c r="A70" t="s">
        <v>46</v>
      </c>
      <c r="B70" t="s">
        <v>1050</v>
      </c>
      <c r="C70" t="s">
        <v>1050</v>
      </c>
      <c r="D70" t="str">
        <f t="shared" si="2"/>
        <v>Sim</v>
      </c>
    </row>
    <row r="71" spans="1:4" x14ac:dyDescent="0.25">
      <c r="A71" t="s">
        <v>46</v>
      </c>
      <c r="B71" t="s">
        <v>810</v>
      </c>
      <c r="C71" t="s">
        <v>810</v>
      </c>
      <c r="D71" t="str">
        <f t="shared" si="2"/>
        <v>Sim</v>
      </c>
    </row>
    <row r="72" spans="1:4" x14ac:dyDescent="0.25">
      <c r="A72" t="s">
        <v>53</v>
      </c>
      <c r="B72" t="s">
        <v>1452</v>
      </c>
      <c r="C72" t="s">
        <v>1452</v>
      </c>
      <c r="D72" t="str">
        <f t="shared" si="2"/>
        <v>Sim</v>
      </c>
    </row>
    <row r="73" spans="1:4" x14ac:dyDescent="0.25">
      <c r="A73" t="s">
        <v>53</v>
      </c>
      <c r="B73" t="s">
        <v>1458</v>
      </c>
      <c r="C73" t="s">
        <v>1458</v>
      </c>
      <c r="D73" t="str">
        <f t="shared" si="2"/>
        <v>Sim</v>
      </c>
    </row>
    <row r="74" spans="1:4" x14ac:dyDescent="0.25">
      <c r="A74" t="s">
        <v>53</v>
      </c>
      <c r="B74" t="s">
        <v>1453</v>
      </c>
      <c r="C74" t="s">
        <v>1453</v>
      </c>
      <c r="D74" t="str">
        <f t="shared" si="2"/>
        <v>Sim</v>
      </c>
    </row>
    <row r="75" spans="1:4" x14ac:dyDescent="0.25">
      <c r="A75" t="s">
        <v>53</v>
      </c>
      <c r="B75" t="s">
        <v>1454</v>
      </c>
      <c r="C75" t="s">
        <v>1454</v>
      </c>
      <c r="D75" t="str">
        <f t="shared" si="2"/>
        <v>Sim</v>
      </c>
    </row>
    <row r="76" spans="1:4" x14ac:dyDescent="0.25">
      <c r="A76" t="s">
        <v>53</v>
      </c>
      <c r="B76" t="s">
        <v>1747</v>
      </c>
      <c r="C76" t="s">
        <v>1747</v>
      </c>
      <c r="D76" t="str">
        <f t="shared" si="2"/>
        <v>Sim</v>
      </c>
    </row>
    <row r="77" spans="1:4" x14ac:dyDescent="0.25">
      <c r="A77" t="s">
        <v>53</v>
      </c>
      <c r="B77" t="s">
        <v>1451</v>
      </c>
      <c r="C77" t="s">
        <v>1451</v>
      </c>
      <c r="D77" t="str">
        <f t="shared" si="2"/>
        <v>Sim</v>
      </c>
    </row>
    <row r="78" spans="1:4" x14ac:dyDescent="0.25">
      <c r="A78" t="s">
        <v>52</v>
      </c>
      <c r="B78" t="s">
        <v>378</v>
      </c>
      <c r="C78" t="s">
        <v>378</v>
      </c>
      <c r="D78" t="str">
        <f t="shared" si="2"/>
        <v>Sim</v>
      </c>
    </row>
    <row r="79" spans="1:4" x14ac:dyDescent="0.25">
      <c r="A79" t="s">
        <v>52</v>
      </c>
      <c r="B79" t="s">
        <v>722</v>
      </c>
      <c r="C79" t="s">
        <v>722</v>
      </c>
      <c r="D79" t="str">
        <f t="shared" si="2"/>
        <v>Sim</v>
      </c>
    </row>
    <row r="80" spans="1:4" x14ac:dyDescent="0.25">
      <c r="A80" t="s">
        <v>52</v>
      </c>
      <c r="B80" t="s">
        <v>257</v>
      </c>
      <c r="C80" t="s">
        <v>257</v>
      </c>
      <c r="D80" t="str">
        <f t="shared" si="2"/>
        <v>Sim</v>
      </c>
    </row>
    <row r="81" spans="1:6" x14ac:dyDescent="0.25">
      <c r="A81" t="s">
        <v>52</v>
      </c>
      <c r="B81" t="s">
        <v>805</v>
      </c>
      <c r="C81" t="s">
        <v>805</v>
      </c>
      <c r="D81" t="str">
        <f t="shared" si="2"/>
        <v>Sim</v>
      </c>
    </row>
    <row r="82" spans="1:6" x14ac:dyDescent="0.25">
      <c r="A82" t="s">
        <v>52</v>
      </c>
      <c r="B82" t="s">
        <v>985</v>
      </c>
      <c r="C82" t="s">
        <v>985</v>
      </c>
      <c r="D82" t="str">
        <f t="shared" si="2"/>
        <v>Sim</v>
      </c>
    </row>
    <row r="83" spans="1:6" x14ac:dyDescent="0.25">
      <c r="A83" t="s">
        <v>1733</v>
      </c>
      <c r="B83" t="s">
        <v>1450</v>
      </c>
      <c r="C83" t="s">
        <v>1964</v>
      </c>
      <c r="D83" t="str">
        <f>IF(B83=C83, "Sim", "Não")</f>
        <v>Não</v>
      </c>
    </row>
    <row r="84" spans="1:6" x14ac:dyDescent="0.25">
      <c r="A84" t="s">
        <v>1733</v>
      </c>
      <c r="B84" t="s">
        <v>1738</v>
      </c>
      <c r="C84" t="s">
        <v>1738</v>
      </c>
      <c r="D84" t="str">
        <f>IF(B84=C84, "Sim", "Não")</f>
        <v>Sim</v>
      </c>
      <c r="F84"/>
    </row>
    <row r="85" spans="1:6" x14ac:dyDescent="0.25">
      <c r="A85" t="s">
        <v>1733</v>
      </c>
      <c r="B85" t="s">
        <v>1744</v>
      </c>
      <c r="C85" t="s">
        <v>1744</v>
      </c>
      <c r="D85" t="str">
        <f>IF(B85=C85, "Sim", "Não")</f>
        <v>Sim</v>
      </c>
      <c r="F85"/>
    </row>
    <row r="86" spans="1:6" x14ac:dyDescent="0.25">
      <c r="A86" t="s">
        <v>1733</v>
      </c>
      <c r="B86" t="s">
        <v>1440</v>
      </c>
      <c r="C86" t="s">
        <v>1745</v>
      </c>
      <c r="D86" t="str">
        <f t="shared" si="2"/>
        <v>Não</v>
      </c>
      <c r="F86"/>
    </row>
    <row r="87" spans="1:6" x14ac:dyDescent="0.25">
      <c r="A87" t="s">
        <v>1733</v>
      </c>
      <c r="B87" t="s">
        <v>1852</v>
      </c>
      <c r="C87" t="s">
        <v>1746</v>
      </c>
      <c r="D87" t="str">
        <f t="shared" si="2"/>
        <v>Não</v>
      </c>
      <c r="F87"/>
    </row>
    <row r="88" spans="1:6" x14ac:dyDescent="0.25">
      <c r="A88" t="s">
        <v>1733</v>
      </c>
      <c r="B88" t="s">
        <v>1739</v>
      </c>
      <c r="C88" t="s">
        <v>1739</v>
      </c>
      <c r="D88" t="str">
        <f t="shared" si="2"/>
        <v>Sim</v>
      </c>
      <c r="F88"/>
    </row>
    <row r="89" spans="1:6" x14ac:dyDescent="0.25">
      <c r="A89" t="s">
        <v>1733</v>
      </c>
      <c r="B89" t="s">
        <v>1741</v>
      </c>
      <c r="C89" t="s">
        <v>1741</v>
      </c>
      <c r="D89" t="str">
        <f t="shared" si="2"/>
        <v>Sim</v>
      </c>
      <c r="F89"/>
    </row>
    <row r="90" spans="1:6" x14ac:dyDescent="0.25">
      <c r="A90" t="s">
        <v>1733</v>
      </c>
      <c r="B90" t="s">
        <v>1461</v>
      </c>
      <c r="C90" t="s">
        <v>1461</v>
      </c>
      <c r="D90" t="str">
        <f t="shared" si="2"/>
        <v>Sim</v>
      </c>
      <c r="F90"/>
    </row>
    <row r="91" spans="1:6" x14ac:dyDescent="0.25">
      <c r="A91" t="s">
        <v>1733</v>
      </c>
      <c r="B91" t="s">
        <v>1743</v>
      </c>
      <c r="C91" t="s">
        <v>1743</v>
      </c>
      <c r="D91" t="str">
        <f>IF(B91=C91, "Sim", "Não")</f>
        <v>Sim</v>
      </c>
      <c r="F91"/>
    </row>
    <row r="92" spans="1:6" x14ac:dyDescent="0.25">
      <c r="A92" t="s">
        <v>1733</v>
      </c>
      <c r="B92" t="s">
        <v>1855</v>
      </c>
      <c r="C92" t="s">
        <v>1742</v>
      </c>
      <c r="D92" t="str">
        <f t="shared" si="2"/>
        <v>Não</v>
      </c>
    </row>
    <row r="93" spans="1:6" x14ac:dyDescent="0.25">
      <c r="A93" t="s">
        <v>1733</v>
      </c>
      <c r="B93" t="s">
        <v>1460</v>
      </c>
      <c r="C93" t="s">
        <v>1460</v>
      </c>
      <c r="D93" t="str">
        <f t="shared" si="2"/>
        <v>Sim</v>
      </c>
    </row>
    <row r="94" spans="1:6" x14ac:dyDescent="0.25">
      <c r="A94" t="s">
        <v>70</v>
      </c>
      <c r="B94" t="s">
        <v>1456</v>
      </c>
      <c r="C94" t="s">
        <v>1456</v>
      </c>
      <c r="D94" t="str">
        <f>IF(B94=C94, "Sim", "Não")</f>
        <v>Sim</v>
      </c>
    </row>
    <row r="95" spans="1:6" x14ac:dyDescent="0.25">
      <c r="A95" t="s">
        <v>70</v>
      </c>
      <c r="B95" t="s">
        <v>1455</v>
      </c>
      <c r="C95" t="s">
        <v>1455</v>
      </c>
      <c r="D95" t="str">
        <f>IF(B95=C95, "Sim", "Não")</f>
        <v>Sim</v>
      </c>
    </row>
    <row r="96" spans="1:6" x14ac:dyDescent="0.25">
      <c r="A96" t="s">
        <v>70</v>
      </c>
      <c r="B96" t="s">
        <v>1459</v>
      </c>
      <c r="C96" t="s">
        <v>1459</v>
      </c>
      <c r="D96" t="str">
        <f>IF(B96=C96, "Sim", "Não")</f>
        <v>Sim</v>
      </c>
    </row>
    <row r="97" spans="1:6" x14ac:dyDescent="0.25">
      <c r="A97" t="s">
        <v>70</v>
      </c>
      <c r="B97" t="s">
        <v>815</v>
      </c>
      <c r="C97" t="s">
        <v>815</v>
      </c>
      <c r="D97" t="str">
        <f>IF(B97=C97, "Sim", "Não")</f>
        <v>Sim</v>
      </c>
      <c r="F97"/>
    </row>
    <row r="98" spans="1:6" x14ac:dyDescent="0.25">
      <c r="A98" t="s">
        <v>70</v>
      </c>
      <c r="B98" t="s">
        <v>1431</v>
      </c>
      <c r="C98" t="s">
        <v>1431</v>
      </c>
      <c r="D98" t="str">
        <f t="shared" si="2"/>
        <v>Sim</v>
      </c>
    </row>
    <row r="99" spans="1:6" x14ac:dyDescent="0.25">
      <c r="A99" t="s">
        <v>70</v>
      </c>
      <c r="B99" t="s">
        <v>1740</v>
      </c>
      <c r="C99" t="s">
        <v>1740</v>
      </c>
      <c r="D99" t="str">
        <f>IF(B99=C99, "Sim", "Não")</f>
        <v>Sim</v>
      </c>
    </row>
    <row r="100" spans="1:6" x14ac:dyDescent="0.25">
      <c r="A100" t="s">
        <v>70</v>
      </c>
      <c r="B100" t="s">
        <v>1206</v>
      </c>
      <c r="C100" t="s">
        <v>1206</v>
      </c>
      <c r="D100" t="str">
        <f t="shared" si="2"/>
        <v>Sim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CF31-27E0-4B75-BAFB-F3D79578772B}">
  <dimension ref="A1:G102"/>
  <sheetViews>
    <sheetView workbookViewId="0">
      <selection activeCell="C13" sqref="C13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28" t="s">
        <v>1854</v>
      </c>
      <c r="B1" s="28"/>
      <c r="C1" s="28"/>
      <c r="D1" s="28"/>
      <c r="E1" s="28"/>
      <c r="F1" s="28"/>
      <c r="G1" s="28"/>
    </row>
    <row r="2" spans="1:7" x14ac:dyDescent="0.25">
      <c r="A2" s="4" t="s">
        <v>34</v>
      </c>
      <c r="B2" s="4" t="s">
        <v>35</v>
      </c>
      <c r="C2" s="4" t="s">
        <v>36</v>
      </c>
      <c r="D2" s="4" t="s">
        <v>37</v>
      </c>
    </row>
    <row r="3" spans="1:7" s="5" customFormat="1" x14ac:dyDescent="0.25">
      <c r="A3" s="5" t="s">
        <v>2067</v>
      </c>
      <c r="C3" s="5" t="s">
        <v>2090</v>
      </c>
      <c r="D3" t="str">
        <f>IF(B3=C3, "Sim", "Não")</f>
        <v>Não</v>
      </c>
    </row>
    <row r="4" spans="1:7" x14ac:dyDescent="0.25">
      <c r="A4" t="s">
        <v>38</v>
      </c>
      <c r="C4" t="s">
        <v>269</v>
      </c>
      <c r="D4" t="str">
        <f>IF(B4=C4, "Sim", "Não")</f>
        <v>Não</v>
      </c>
      <c r="F4" s="4" t="s">
        <v>39</v>
      </c>
      <c r="G4" s="3">
        <f>COUNTIF(D4:D106,"Não")</f>
        <v>56</v>
      </c>
    </row>
    <row r="5" spans="1:7" x14ac:dyDescent="0.25">
      <c r="A5" t="s">
        <v>38</v>
      </c>
      <c r="C5" t="s">
        <v>1845</v>
      </c>
      <c r="D5" t="str">
        <f t="shared" ref="D5:D78" si="0">IF(B5=C5, "Sim", "Não")</f>
        <v>Não</v>
      </c>
      <c r="F5" s="4" t="s">
        <v>40</v>
      </c>
      <c r="G5" s="3">
        <f>SUM(G8:G28)</f>
        <v>86</v>
      </c>
    </row>
    <row r="6" spans="1:7" x14ac:dyDescent="0.25">
      <c r="A6" t="s">
        <v>38</v>
      </c>
      <c r="C6" t="s">
        <v>43</v>
      </c>
      <c r="D6" t="str">
        <f t="shared" si="0"/>
        <v>Não</v>
      </c>
    </row>
    <row r="7" spans="1:7" x14ac:dyDescent="0.25">
      <c r="A7" t="s">
        <v>38</v>
      </c>
      <c r="C7" t="s">
        <v>72</v>
      </c>
      <c r="D7" t="str">
        <f t="shared" si="0"/>
        <v>Não</v>
      </c>
      <c r="F7" s="6" t="s">
        <v>42</v>
      </c>
      <c r="G7" s="1"/>
    </row>
    <row r="8" spans="1:7" x14ac:dyDescent="0.25">
      <c r="A8" t="s">
        <v>38</v>
      </c>
      <c r="C8" t="s">
        <v>274</v>
      </c>
      <c r="D8" t="str">
        <f t="shared" si="0"/>
        <v>Não</v>
      </c>
      <c r="F8" s="1" t="s">
        <v>38</v>
      </c>
      <c r="G8" s="2">
        <f t="shared" ref="G8:G14" si="1">COUNTIF(A:A,F8)</f>
        <v>35</v>
      </c>
    </row>
    <row r="9" spans="1:7" x14ac:dyDescent="0.25">
      <c r="A9" t="s">
        <v>38</v>
      </c>
      <c r="C9" t="s">
        <v>1850</v>
      </c>
      <c r="D9" t="str">
        <f t="shared" si="0"/>
        <v>Não</v>
      </c>
      <c r="F9" s="1" t="s">
        <v>44</v>
      </c>
      <c r="G9" s="2">
        <f t="shared" si="1"/>
        <v>10</v>
      </c>
    </row>
    <row r="10" spans="1:7" x14ac:dyDescent="0.25">
      <c r="A10" t="s">
        <v>38</v>
      </c>
      <c r="B10" t="s">
        <v>628</v>
      </c>
      <c r="C10" t="s">
        <v>628</v>
      </c>
      <c r="D10" t="str">
        <f t="shared" si="0"/>
        <v>Sim</v>
      </c>
      <c r="F10" s="1" t="s">
        <v>45</v>
      </c>
      <c r="G10" s="2">
        <f t="shared" si="1"/>
        <v>5</v>
      </c>
    </row>
    <row r="11" spans="1:7" x14ac:dyDescent="0.25">
      <c r="A11" t="s">
        <v>38</v>
      </c>
      <c r="B11" t="s">
        <v>155</v>
      </c>
      <c r="C11" t="s">
        <v>155</v>
      </c>
      <c r="D11" t="str">
        <f t="shared" si="0"/>
        <v>Sim</v>
      </c>
      <c r="F11" s="1" t="s">
        <v>1811</v>
      </c>
      <c r="G11" s="2">
        <f t="shared" si="1"/>
        <v>10</v>
      </c>
    </row>
    <row r="12" spans="1:7" x14ac:dyDescent="0.25">
      <c r="A12" t="s">
        <v>38</v>
      </c>
      <c r="B12" t="s">
        <v>278</v>
      </c>
      <c r="C12" t="s">
        <v>278</v>
      </c>
      <c r="D12" t="str">
        <f t="shared" si="0"/>
        <v>Sim</v>
      </c>
      <c r="F12" s="1" t="s">
        <v>198</v>
      </c>
      <c r="G12" s="2">
        <f t="shared" si="1"/>
        <v>10</v>
      </c>
    </row>
    <row r="13" spans="1:7" x14ac:dyDescent="0.25">
      <c r="A13" t="s">
        <v>38</v>
      </c>
      <c r="B13" t="s">
        <v>91</v>
      </c>
      <c r="C13" t="s">
        <v>91</v>
      </c>
      <c r="D13" t="str">
        <f t="shared" si="0"/>
        <v>Sim</v>
      </c>
      <c r="F13" s="1" t="s">
        <v>1812</v>
      </c>
      <c r="G13" s="2">
        <f t="shared" si="1"/>
        <v>10</v>
      </c>
    </row>
    <row r="14" spans="1:7" x14ac:dyDescent="0.25">
      <c r="A14" t="s">
        <v>38</v>
      </c>
      <c r="B14" t="s">
        <v>91</v>
      </c>
      <c r="C14" t="s">
        <v>91</v>
      </c>
      <c r="D14" t="str">
        <f t="shared" si="0"/>
        <v>Sim</v>
      </c>
      <c r="F14" s="1" t="s">
        <v>200</v>
      </c>
      <c r="G14" s="2">
        <f t="shared" si="1"/>
        <v>6</v>
      </c>
    </row>
    <row r="15" spans="1:7" x14ac:dyDescent="0.25">
      <c r="A15" t="s">
        <v>38</v>
      </c>
      <c r="B15" t="s">
        <v>91</v>
      </c>
      <c r="C15" t="s">
        <v>91</v>
      </c>
      <c r="D15" t="str">
        <f t="shared" si="0"/>
        <v>Sim</v>
      </c>
      <c r="F15" s="1"/>
      <c r="G15" s="2"/>
    </row>
    <row r="16" spans="1:7" x14ac:dyDescent="0.25">
      <c r="A16" t="s">
        <v>38</v>
      </c>
      <c r="B16" t="s">
        <v>91</v>
      </c>
      <c r="C16" t="s">
        <v>91</v>
      </c>
      <c r="D16" t="str">
        <f t="shared" si="0"/>
        <v>Sim</v>
      </c>
      <c r="F16"/>
      <c r="G16" s="2"/>
    </row>
    <row r="17" spans="1:7" x14ac:dyDescent="0.25">
      <c r="A17" t="s">
        <v>38</v>
      </c>
      <c r="B17" t="s">
        <v>91</v>
      </c>
      <c r="C17" t="s">
        <v>91</v>
      </c>
      <c r="D17" t="str">
        <f t="shared" si="0"/>
        <v>Sim</v>
      </c>
      <c r="F17"/>
      <c r="G17" s="2"/>
    </row>
    <row r="18" spans="1:7" x14ac:dyDescent="0.25">
      <c r="A18" t="s">
        <v>38</v>
      </c>
      <c r="B18" t="s">
        <v>91</v>
      </c>
      <c r="C18" t="s">
        <v>91</v>
      </c>
      <c r="D18" t="str">
        <f t="shared" si="0"/>
        <v>Sim</v>
      </c>
      <c r="F18"/>
    </row>
    <row r="19" spans="1:7" x14ac:dyDescent="0.25">
      <c r="A19" t="s">
        <v>38</v>
      </c>
      <c r="B19" t="s">
        <v>91</v>
      </c>
      <c r="C19" t="s">
        <v>91</v>
      </c>
      <c r="D19" t="str">
        <f t="shared" si="0"/>
        <v>Sim</v>
      </c>
      <c r="F19"/>
    </row>
    <row r="20" spans="1:7" x14ac:dyDescent="0.25">
      <c r="A20" t="s">
        <v>38</v>
      </c>
      <c r="B20" t="s">
        <v>91</v>
      </c>
      <c r="C20" t="s">
        <v>91</v>
      </c>
      <c r="D20" t="str">
        <f t="shared" si="0"/>
        <v>Sim</v>
      </c>
      <c r="F20"/>
    </row>
    <row r="21" spans="1:7" x14ac:dyDescent="0.25">
      <c r="A21" t="s">
        <v>38</v>
      </c>
      <c r="B21" t="s">
        <v>91</v>
      </c>
      <c r="C21" t="s">
        <v>91</v>
      </c>
      <c r="D21" t="str">
        <f t="shared" si="0"/>
        <v>Sim</v>
      </c>
      <c r="F21"/>
    </row>
    <row r="22" spans="1:7" x14ac:dyDescent="0.25">
      <c r="A22" t="s">
        <v>38</v>
      </c>
      <c r="B22" t="s">
        <v>91</v>
      </c>
      <c r="C22" t="s">
        <v>91</v>
      </c>
      <c r="D22" t="str">
        <f t="shared" si="0"/>
        <v>Sim</v>
      </c>
      <c r="F22"/>
    </row>
    <row r="23" spans="1:7" x14ac:dyDescent="0.25">
      <c r="A23" t="s">
        <v>38</v>
      </c>
      <c r="B23" t="s">
        <v>91</v>
      </c>
      <c r="C23" t="s">
        <v>91</v>
      </c>
      <c r="D23" t="str">
        <f t="shared" si="0"/>
        <v>Sim</v>
      </c>
      <c r="F23"/>
    </row>
    <row r="24" spans="1:7" x14ac:dyDescent="0.25">
      <c r="A24" t="s">
        <v>38</v>
      </c>
      <c r="B24" t="s">
        <v>90</v>
      </c>
      <c r="C24" t="s">
        <v>90</v>
      </c>
      <c r="D24" t="str">
        <f t="shared" si="0"/>
        <v>Sim</v>
      </c>
      <c r="F24"/>
    </row>
    <row r="25" spans="1:7" x14ac:dyDescent="0.25">
      <c r="A25" t="s">
        <v>38</v>
      </c>
      <c r="B25" t="s">
        <v>90</v>
      </c>
      <c r="C25" t="s">
        <v>90</v>
      </c>
      <c r="D25" t="str">
        <f t="shared" si="0"/>
        <v>Sim</v>
      </c>
      <c r="F25"/>
    </row>
    <row r="26" spans="1:7" x14ac:dyDescent="0.25">
      <c r="A26" t="s">
        <v>38</v>
      </c>
      <c r="B26" t="s">
        <v>90</v>
      </c>
      <c r="C26" t="s">
        <v>90</v>
      </c>
      <c r="D26" t="str">
        <f t="shared" si="0"/>
        <v>Sim</v>
      </c>
      <c r="F26"/>
    </row>
    <row r="27" spans="1:7" x14ac:dyDescent="0.25">
      <c r="A27" t="s">
        <v>38</v>
      </c>
      <c r="B27" t="s">
        <v>90</v>
      </c>
      <c r="C27" t="s">
        <v>90</v>
      </c>
      <c r="D27" t="str">
        <f t="shared" si="0"/>
        <v>Sim</v>
      </c>
      <c r="F27"/>
    </row>
    <row r="28" spans="1:7" x14ac:dyDescent="0.25">
      <c r="A28" t="s">
        <v>38</v>
      </c>
      <c r="B28" t="s">
        <v>90</v>
      </c>
      <c r="C28" t="s">
        <v>90</v>
      </c>
      <c r="D28" t="str">
        <f t="shared" si="0"/>
        <v>Sim</v>
      </c>
      <c r="F28"/>
    </row>
    <row r="29" spans="1:7" x14ac:dyDescent="0.25">
      <c r="A29" t="s">
        <v>38</v>
      </c>
      <c r="B29" t="s">
        <v>90</v>
      </c>
      <c r="C29" t="s">
        <v>90</v>
      </c>
      <c r="D29" t="str">
        <f t="shared" si="0"/>
        <v>Sim</v>
      </c>
      <c r="F29"/>
    </row>
    <row r="30" spans="1:7" x14ac:dyDescent="0.25">
      <c r="A30" t="s">
        <v>38</v>
      </c>
      <c r="B30" t="s">
        <v>90</v>
      </c>
      <c r="C30" t="s">
        <v>90</v>
      </c>
      <c r="D30" t="str">
        <f t="shared" si="0"/>
        <v>Sim</v>
      </c>
      <c r="F30"/>
    </row>
    <row r="31" spans="1:7" x14ac:dyDescent="0.25">
      <c r="A31" t="s">
        <v>38</v>
      </c>
      <c r="B31" t="s">
        <v>90</v>
      </c>
      <c r="C31" t="s">
        <v>90</v>
      </c>
      <c r="D31" t="str">
        <f t="shared" si="0"/>
        <v>Sim</v>
      </c>
      <c r="F31"/>
    </row>
    <row r="32" spans="1:7" x14ac:dyDescent="0.25">
      <c r="A32" t="s">
        <v>38</v>
      </c>
      <c r="B32" t="s">
        <v>210</v>
      </c>
      <c r="C32" t="s">
        <v>210</v>
      </c>
      <c r="D32" t="str">
        <f t="shared" si="0"/>
        <v>Sim</v>
      </c>
      <c r="F32"/>
    </row>
    <row r="33" spans="1:6" x14ac:dyDescent="0.25">
      <c r="A33" t="s">
        <v>38</v>
      </c>
      <c r="B33" t="s">
        <v>210</v>
      </c>
      <c r="C33" t="s">
        <v>210</v>
      </c>
      <c r="D33" t="str">
        <f t="shared" si="0"/>
        <v>Sim</v>
      </c>
      <c r="F33"/>
    </row>
    <row r="34" spans="1:6" x14ac:dyDescent="0.25">
      <c r="A34" t="s">
        <v>38</v>
      </c>
      <c r="B34" t="s">
        <v>210</v>
      </c>
      <c r="C34" t="s">
        <v>210</v>
      </c>
      <c r="D34" t="str">
        <f t="shared" si="0"/>
        <v>Sim</v>
      </c>
      <c r="F34"/>
    </row>
    <row r="35" spans="1:6" x14ac:dyDescent="0.25">
      <c r="A35" t="s">
        <v>38</v>
      </c>
      <c r="B35" t="s">
        <v>210</v>
      </c>
      <c r="C35" t="s">
        <v>210</v>
      </c>
      <c r="D35" t="str">
        <f t="shared" si="0"/>
        <v>Sim</v>
      </c>
      <c r="F35"/>
    </row>
    <row r="36" spans="1:6" x14ac:dyDescent="0.25">
      <c r="A36" t="s">
        <v>38</v>
      </c>
      <c r="B36" t="s">
        <v>210</v>
      </c>
      <c r="C36" t="s">
        <v>210</v>
      </c>
      <c r="D36" t="str">
        <f t="shared" si="0"/>
        <v>Sim</v>
      </c>
      <c r="F36"/>
    </row>
    <row r="37" spans="1:6" x14ac:dyDescent="0.25">
      <c r="A37" t="s">
        <v>38</v>
      </c>
      <c r="B37" t="s">
        <v>210</v>
      </c>
      <c r="C37" t="s">
        <v>210</v>
      </c>
      <c r="D37" t="str">
        <f t="shared" si="0"/>
        <v>Sim</v>
      </c>
      <c r="F37"/>
    </row>
    <row r="38" spans="1:6" x14ac:dyDescent="0.25">
      <c r="A38" t="s">
        <v>38</v>
      </c>
      <c r="B38" t="s">
        <v>210</v>
      </c>
      <c r="C38" t="s">
        <v>210</v>
      </c>
      <c r="D38" t="str">
        <f t="shared" si="0"/>
        <v>Sim</v>
      </c>
      <c r="F38"/>
    </row>
    <row r="39" spans="1:6" x14ac:dyDescent="0.25">
      <c r="A39" t="s">
        <v>44</v>
      </c>
      <c r="C39" t="s">
        <v>1843</v>
      </c>
      <c r="D39" t="str">
        <f t="shared" si="0"/>
        <v>Não</v>
      </c>
      <c r="F39"/>
    </row>
    <row r="40" spans="1:6" x14ac:dyDescent="0.25">
      <c r="A40" t="s">
        <v>44</v>
      </c>
      <c r="C40" t="s">
        <v>1721</v>
      </c>
      <c r="D40" t="str">
        <f t="shared" si="0"/>
        <v>Não</v>
      </c>
      <c r="F40"/>
    </row>
    <row r="41" spans="1:6" x14ac:dyDescent="0.25">
      <c r="A41" t="s">
        <v>44</v>
      </c>
      <c r="C41" t="s">
        <v>1720</v>
      </c>
      <c r="D41" t="str">
        <f t="shared" si="0"/>
        <v>Não</v>
      </c>
      <c r="F41"/>
    </row>
    <row r="42" spans="1:6" x14ac:dyDescent="0.25">
      <c r="A42" t="s">
        <v>44</v>
      </c>
      <c r="C42" t="s">
        <v>1815</v>
      </c>
      <c r="D42" t="str">
        <f>IF(B42=C42, "Sim", "Não")</f>
        <v>Não</v>
      </c>
    </row>
    <row r="43" spans="1:6" x14ac:dyDescent="0.25">
      <c r="A43" t="s">
        <v>44</v>
      </c>
      <c r="C43" t="s">
        <v>504</v>
      </c>
      <c r="D43" t="str">
        <f t="shared" si="0"/>
        <v>Não</v>
      </c>
    </row>
    <row r="44" spans="1:6" x14ac:dyDescent="0.25">
      <c r="A44" t="s">
        <v>44</v>
      </c>
      <c r="C44" t="s">
        <v>1816</v>
      </c>
      <c r="D44" t="str">
        <f t="shared" si="0"/>
        <v>Não</v>
      </c>
    </row>
    <row r="45" spans="1:6" x14ac:dyDescent="0.25">
      <c r="A45" t="s">
        <v>44</v>
      </c>
      <c r="B45" t="s">
        <v>427</v>
      </c>
      <c r="C45" t="s">
        <v>427</v>
      </c>
      <c r="D45" t="str">
        <f>IF(B45=C45, "Sim", "Não")</f>
        <v>Sim</v>
      </c>
    </row>
    <row r="46" spans="1:6" x14ac:dyDescent="0.25">
      <c r="A46" t="s">
        <v>44</v>
      </c>
      <c r="B46" t="s">
        <v>1824</v>
      </c>
      <c r="C46" t="s">
        <v>1824</v>
      </c>
      <c r="D46" t="str">
        <f t="shared" si="0"/>
        <v>Sim</v>
      </c>
    </row>
    <row r="47" spans="1:6" x14ac:dyDescent="0.25">
      <c r="A47" t="s">
        <v>44</v>
      </c>
      <c r="C47" t="s">
        <v>295</v>
      </c>
      <c r="D47" t="str">
        <f t="shared" si="0"/>
        <v>Não</v>
      </c>
    </row>
    <row r="48" spans="1:6" x14ac:dyDescent="0.25">
      <c r="A48" t="s">
        <v>44</v>
      </c>
      <c r="C48" t="s">
        <v>1835</v>
      </c>
      <c r="D48" t="str">
        <f t="shared" si="0"/>
        <v>Não</v>
      </c>
    </row>
    <row r="49" spans="1:6" x14ac:dyDescent="0.25">
      <c r="A49" t="s">
        <v>45</v>
      </c>
      <c r="C49" t="s">
        <v>1979</v>
      </c>
      <c r="D49" t="str">
        <f t="shared" si="0"/>
        <v>Não</v>
      </c>
    </row>
    <row r="50" spans="1:6" x14ac:dyDescent="0.25">
      <c r="A50" t="s">
        <v>45</v>
      </c>
      <c r="C50" t="s">
        <v>1849</v>
      </c>
      <c r="D50" t="str">
        <f t="shared" si="0"/>
        <v>Não</v>
      </c>
    </row>
    <row r="51" spans="1:6" x14ac:dyDescent="0.25">
      <c r="A51" t="s">
        <v>45</v>
      </c>
      <c r="C51" t="s">
        <v>1978</v>
      </c>
      <c r="D51" t="str">
        <f t="shared" si="0"/>
        <v>Não</v>
      </c>
    </row>
    <row r="52" spans="1:6" x14ac:dyDescent="0.25">
      <c r="A52" t="s">
        <v>45</v>
      </c>
      <c r="B52" t="s">
        <v>1832</v>
      </c>
      <c r="C52" t="s">
        <v>1832</v>
      </c>
      <c r="D52" t="str">
        <f t="shared" si="0"/>
        <v>Sim</v>
      </c>
    </row>
    <row r="53" spans="1:6" x14ac:dyDescent="0.25">
      <c r="A53" t="s">
        <v>45</v>
      </c>
      <c r="B53" t="s">
        <v>1841</v>
      </c>
      <c r="C53" t="s">
        <v>1841</v>
      </c>
      <c r="D53" t="str">
        <f t="shared" si="0"/>
        <v>Sim</v>
      </c>
    </row>
    <row r="54" spans="1:6" x14ac:dyDescent="0.25">
      <c r="A54" t="s">
        <v>1980</v>
      </c>
      <c r="C54" t="s">
        <v>1712</v>
      </c>
      <c r="D54" t="str">
        <f t="shared" si="0"/>
        <v>Não</v>
      </c>
    </row>
    <row r="55" spans="1:6" x14ac:dyDescent="0.25">
      <c r="A55" t="s">
        <v>1980</v>
      </c>
      <c r="C55" t="s">
        <v>1731</v>
      </c>
      <c r="D55" t="str">
        <f>IF(B55=C55, "Sim", "Não")</f>
        <v>Não</v>
      </c>
    </row>
    <row r="56" spans="1:6" x14ac:dyDescent="0.25">
      <c r="A56" t="s">
        <v>1980</v>
      </c>
      <c r="C56" t="s">
        <v>1711</v>
      </c>
      <c r="D56" t="str">
        <f>IF(B56=C56, "Sim", "Não")</f>
        <v>Não</v>
      </c>
      <c r="E56" t="s">
        <v>1848</v>
      </c>
    </row>
    <row r="57" spans="1:6" x14ac:dyDescent="0.25">
      <c r="A57" t="s">
        <v>1980</v>
      </c>
      <c r="C57" t="s">
        <v>1713</v>
      </c>
      <c r="D57" t="str">
        <f>IF(B57=C57, "Sim", "Não")</f>
        <v>Não</v>
      </c>
    </row>
    <row r="58" spans="1:6" x14ac:dyDescent="0.25">
      <c r="A58" t="s">
        <v>1980</v>
      </c>
      <c r="B58" t="s">
        <v>1813</v>
      </c>
      <c r="C58" t="s">
        <v>1813</v>
      </c>
      <c r="D58" t="str">
        <f>IF(B58=C58, "Sim", "Não")</f>
        <v>Sim</v>
      </c>
    </row>
    <row r="59" spans="1:6" x14ac:dyDescent="0.25">
      <c r="A59" t="s">
        <v>1980</v>
      </c>
      <c r="C59" t="s">
        <v>1830</v>
      </c>
      <c r="D59" t="str">
        <f t="shared" si="0"/>
        <v>Não</v>
      </c>
    </row>
    <row r="60" spans="1:6" x14ac:dyDescent="0.25">
      <c r="A60" t="s">
        <v>1980</v>
      </c>
      <c r="C60" t="s">
        <v>1851</v>
      </c>
      <c r="D60" t="str">
        <f t="shared" si="0"/>
        <v>Não</v>
      </c>
    </row>
    <row r="61" spans="1:6" x14ac:dyDescent="0.25">
      <c r="A61" t="s">
        <v>1980</v>
      </c>
      <c r="C61" t="s">
        <v>1827</v>
      </c>
      <c r="D61" t="str">
        <f t="shared" si="0"/>
        <v>Não</v>
      </c>
    </row>
    <row r="62" spans="1:6" x14ac:dyDescent="0.25">
      <c r="A62" t="s">
        <v>1980</v>
      </c>
      <c r="C62" t="s">
        <v>1833</v>
      </c>
      <c r="D62" t="str">
        <f t="shared" si="0"/>
        <v>Não</v>
      </c>
      <c r="F62"/>
    </row>
    <row r="63" spans="1:6" x14ac:dyDescent="0.25">
      <c r="A63" t="s">
        <v>1980</v>
      </c>
      <c r="C63" t="s">
        <v>1823</v>
      </c>
      <c r="D63" t="str">
        <f t="shared" si="0"/>
        <v>Não</v>
      </c>
    </row>
    <row r="64" spans="1:6" x14ac:dyDescent="0.25">
      <c r="A64" t="s">
        <v>1980</v>
      </c>
      <c r="C64" t="s">
        <v>1821</v>
      </c>
      <c r="D64" t="str">
        <f t="shared" si="0"/>
        <v>Não</v>
      </c>
    </row>
    <row r="65" spans="1:6" x14ac:dyDescent="0.25">
      <c r="A65" t="s">
        <v>1980</v>
      </c>
      <c r="C65" t="s">
        <v>1817</v>
      </c>
      <c r="D65" t="str">
        <f t="shared" si="0"/>
        <v>Não</v>
      </c>
    </row>
    <row r="66" spans="1:6" x14ac:dyDescent="0.25">
      <c r="A66" t="s">
        <v>1980</v>
      </c>
      <c r="B66" t="s">
        <v>2085</v>
      </c>
      <c r="C66" t="s">
        <v>2085</v>
      </c>
      <c r="D66" t="str">
        <f t="shared" si="0"/>
        <v>Sim</v>
      </c>
    </row>
    <row r="67" spans="1:6" x14ac:dyDescent="0.25">
      <c r="A67" t="s">
        <v>1811</v>
      </c>
      <c r="C67" t="s">
        <v>1846</v>
      </c>
      <c r="D67" t="str">
        <f t="shared" si="0"/>
        <v>Não</v>
      </c>
    </row>
    <row r="68" spans="1:6" x14ac:dyDescent="0.25">
      <c r="A68" t="s">
        <v>1811</v>
      </c>
      <c r="C68" t="s">
        <v>1715</v>
      </c>
      <c r="D68" t="str">
        <f t="shared" si="0"/>
        <v>Não</v>
      </c>
    </row>
    <row r="69" spans="1:6" x14ac:dyDescent="0.25">
      <c r="A69" t="s">
        <v>1811</v>
      </c>
      <c r="C69" t="s">
        <v>1714</v>
      </c>
      <c r="D69" t="str">
        <f t="shared" si="0"/>
        <v>Não</v>
      </c>
    </row>
    <row r="70" spans="1:6" x14ac:dyDescent="0.25">
      <c r="A70" t="s">
        <v>1811</v>
      </c>
      <c r="C70" t="s">
        <v>1831</v>
      </c>
      <c r="D70" t="str">
        <f>IF(B70=C70, "Sim", "Não")</f>
        <v>Não</v>
      </c>
    </row>
    <row r="71" spans="1:6" x14ac:dyDescent="0.25">
      <c r="A71" t="s">
        <v>1811</v>
      </c>
      <c r="B71" t="s">
        <v>1839</v>
      </c>
      <c r="C71" t="s">
        <v>1839</v>
      </c>
      <c r="D71" t="str">
        <f>IF(B71=C71, "Sim", "Não")</f>
        <v>Sim</v>
      </c>
    </row>
    <row r="72" spans="1:6" x14ac:dyDescent="0.25">
      <c r="A72" t="s">
        <v>1811</v>
      </c>
      <c r="C72" t="s">
        <v>1842</v>
      </c>
      <c r="D72" t="str">
        <f>IF(B72=C72, "Sim", "Não")</f>
        <v>Não</v>
      </c>
    </row>
    <row r="73" spans="1:6" x14ac:dyDescent="0.25">
      <c r="A73" t="s">
        <v>1811</v>
      </c>
      <c r="C73" t="s">
        <v>1961</v>
      </c>
      <c r="D73" t="str">
        <f>IF(B73=C73, "Sim", "Não")</f>
        <v>Não</v>
      </c>
    </row>
    <row r="74" spans="1:6" x14ac:dyDescent="0.25">
      <c r="A74" t="s">
        <v>1811</v>
      </c>
      <c r="B74" s="5"/>
      <c r="C74" t="s">
        <v>1826</v>
      </c>
      <c r="D74" t="str">
        <f t="shared" si="0"/>
        <v>Não</v>
      </c>
    </row>
    <row r="75" spans="1:6" x14ac:dyDescent="0.25">
      <c r="A75" t="s">
        <v>1811</v>
      </c>
      <c r="C75" t="s">
        <v>1829</v>
      </c>
      <c r="D75" t="str">
        <f t="shared" si="0"/>
        <v>Não</v>
      </c>
      <c r="F75"/>
    </row>
    <row r="76" spans="1:6" x14ac:dyDescent="0.25">
      <c r="A76" t="s">
        <v>1811</v>
      </c>
      <c r="C76" t="s">
        <v>1847</v>
      </c>
      <c r="D76" t="str">
        <f t="shared" si="0"/>
        <v>Não</v>
      </c>
    </row>
    <row r="77" spans="1:6" x14ac:dyDescent="0.25">
      <c r="A77" t="s">
        <v>198</v>
      </c>
      <c r="C77" t="s">
        <v>1828</v>
      </c>
      <c r="D77" t="str">
        <f t="shared" si="0"/>
        <v>Não</v>
      </c>
    </row>
    <row r="78" spans="1:6" x14ac:dyDescent="0.25">
      <c r="A78" t="s">
        <v>198</v>
      </c>
      <c r="C78" t="s">
        <v>1840</v>
      </c>
      <c r="D78" t="str">
        <f t="shared" si="0"/>
        <v>Não</v>
      </c>
    </row>
    <row r="79" spans="1:6" x14ac:dyDescent="0.25">
      <c r="A79" t="s">
        <v>198</v>
      </c>
      <c r="C79" t="s">
        <v>1838</v>
      </c>
      <c r="D79" t="str">
        <f t="shared" ref="D79:D102" si="2">IF(B79=C79, "Sim", "Não")</f>
        <v>Não</v>
      </c>
    </row>
    <row r="80" spans="1:6" x14ac:dyDescent="0.25">
      <c r="A80" t="s">
        <v>198</v>
      </c>
      <c r="B80" t="s">
        <v>2062</v>
      </c>
      <c r="C80" t="s">
        <v>2062</v>
      </c>
      <c r="D80" t="str">
        <f t="shared" si="2"/>
        <v>Sim</v>
      </c>
    </row>
    <row r="81" spans="1:6" x14ac:dyDescent="0.25">
      <c r="A81" t="s">
        <v>198</v>
      </c>
      <c r="C81" t="s">
        <v>1820</v>
      </c>
      <c r="D81" t="str">
        <f t="shared" si="2"/>
        <v>Não</v>
      </c>
    </row>
    <row r="82" spans="1:6" x14ac:dyDescent="0.25">
      <c r="A82" t="s">
        <v>198</v>
      </c>
      <c r="C82" t="s">
        <v>1825</v>
      </c>
      <c r="D82" t="str">
        <f t="shared" si="2"/>
        <v>Não</v>
      </c>
    </row>
    <row r="83" spans="1:6" x14ac:dyDescent="0.25">
      <c r="A83" t="s">
        <v>198</v>
      </c>
      <c r="C83" t="s">
        <v>1818</v>
      </c>
      <c r="D83" t="str">
        <f t="shared" si="2"/>
        <v>Não</v>
      </c>
      <c r="F83" s="5"/>
    </row>
    <row r="84" spans="1:6" x14ac:dyDescent="0.25">
      <c r="A84" t="s">
        <v>198</v>
      </c>
      <c r="C84" t="s">
        <v>1717</v>
      </c>
      <c r="D84" t="str">
        <f t="shared" si="2"/>
        <v>Não</v>
      </c>
      <c r="E84" s="5"/>
      <c r="F84" s="5"/>
    </row>
    <row r="85" spans="1:6" x14ac:dyDescent="0.25">
      <c r="A85" t="s">
        <v>198</v>
      </c>
      <c r="C85" t="s">
        <v>1718</v>
      </c>
      <c r="D85" t="str">
        <f t="shared" si="2"/>
        <v>Não</v>
      </c>
      <c r="F85" s="5"/>
    </row>
    <row r="86" spans="1:6" x14ac:dyDescent="0.25">
      <c r="A86" t="s">
        <v>198</v>
      </c>
      <c r="C86" t="s">
        <v>1729</v>
      </c>
      <c r="D86" t="str">
        <f t="shared" si="2"/>
        <v>Não</v>
      </c>
      <c r="F86" s="5"/>
    </row>
    <row r="87" spans="1:6" x14ac:dyDescent="0.25">
      <c r="A87" t="s">
        <v>200</v>
      </c>
      <c r="C87" t="s">
        <v>1710</v>
      </c>
      <c r="D87" t="str">
        <f t="shared" si="2"/>
        <v>Não</v>
      </c>
    </row>
    <row r="88" spans="1:6" x14ac:dyDescent="0.25">
      <c r="A88" t="s">
        <v>200</v>
      </c>
      <c r="C88" t="s">
        <v>1722</v>
      </c>
      <c r="D88" t="str">
        <f t="shared" si="2"/>
        <v>Não</v>
      </c>
    </row>
    <row r="89" spans="1:6" x14ac:dyDescent="0.25">
      <c r="A89" t="s">
        <v>200</v>
      </c>
      <c r="C89" t="s">
        <v>1719</v>
      </c>
      <c r="D89" t="str">
        <f t="shared" si="2"/>
        <v>Não</v>
      </c>
    </row>
    <row r="90" spans="1:6" x14ac:dyDescent="0.25">
      <c r="A90" t="s">
        <v>200</v>
      </c>
      <c r="C90" t="s">
        <v>1836</v>
      </c>
      <c r="D90" t="str">
        <f t="shared" si="2"/>
        <v>Não</v>
      </c>
    </row>
    <row r="91" spans="1:6" x14ac:dyDescent="0.25">
      <c r="A91" t="s">
        <v>200</v>
      </c>
      <c r="C91" t="s">
        <v>1730</v>
      </c>
      <c r="D91" t="str">
        <f t="shared" si="2"/>
        <v>Não</v>
      </c>
    </row>
    <row r="92" spans="1:6" x14ac:dyDescent="0.25">
      <c r="A92" t="s">
        <v>200</v>
      </c>
      <c r="C92" t="s">
        <v>1732</v>
      </c>
      <c r="D92" t="str">
        <f t="shared" si="2"/>
        <v>Não</v>
      </c>
    </row>
    <row r="93" spans="1:6" x14ac:dyDescent="0.25">
      <c r="A93" t="s">
        <v>1812</v>
      </c>
      <c r="C93" t="s">
        <v>1814</v>
      </c>
      <c r="D93" t="str">
        <f t="shared" si="2"/>
        <v>Não</v>
      </c>
    </row>
    <row r="94" spans="1:6" x14ac:dyDescent="0.25">
      <c r="A94" t="s">
        <v>1812</v>
      </c>
      <c r="C94" t="s">
        <v>1819</v>
      </c>
      <c r="D94" t="str">
        <f t="shared" si="2"/>
        <v>Não</v>
      </c>
    </row>
    <row r="95" spans="1:6" x14ac:dyDescent="0.25">
      <c r="A95" t="s">
        <v>1812</v>
      </c>
      <c r="B95" t="s">
        <v>1822</v>
      </c>
      <c r="C95" t="s">
        <v>1822</v>
      </c>
      <c r="D95" t="str">
        <f t="shared" si="2"/>
        <v>Sim</v>
      </c>
    </row>
    <row r="96" spans="1:6" x14ac:dyDescent="0.25">
      <c r="A96" t="s">
        <v>1812</v>
      </c>
      <c r="B96" t="s">
        <v>1834</v>
      </c>
      <c r="C96" t="s">
        <v>1834</v>
      </c>
      <c r="D96" t="str">
        <f t="shared" si="2"/>
        <v>Sim</v>
      </c>
    </row>
    <row r="97" spans="1:4" x14ac:dyDescent="0.25">
      <c r="A97" t="s">
        <v>1812</v>
      </c>
      <c r="B97" t="s">
        <v>1648</v>
      </c>
      <c r="C97" t="s">
        <v>1648</v>
      </c>
      <c r="D97" t="str">
        <f t="shared" si="2"/>
        <v>Sim</v>
      </c>
    </row>
    <row r="98" spans="1:4" x14ac:dyDescent="0.25">
      <c r="A98" t="s">
        <v>1812</v>
      </c>
      <c r="B98" t="s">
        <v>529</v>
      </c>
      <c r="C98" t="s">
        <v>529</v>
      </c>
      <c r="D98" t="str">
        <f t="shared" si="2"/>
        <v>Sim</v>
      </c>
    </row>
    <row r="99" spans="1:4" x14ac:dyDescent="0.25">
      <c r="A99" t="s">
        <v>1812</v>
      </c>
      <c r="C99" t="s">
        <v>1844</v>
      </c>
      <c r="D99" t="str">
        <f t="shared" si="2"/>
        <v>Não</v>
      </c>
    </row>
    <row r="100" spans="1:4" x14ac:dyDescent="0.25">
      <c r="A100" t="s">
        <v>1812</v>
      </c>
      <c r="B100" t="s">
        <v>1837</v>
      </c>
      <c r="C100" t="s">
        <v>1837</v>
      </c>
      <c r="D100" t="str">
        <f t="shared" si="2"/>
        <v>Sim</v>
      </c>
    </row>
    <row r="101" spans="1:4" x14ac:dyDescent="0.25">
      <c r="A101" t="s">
        <v>1812</v>
      </c>
      <c r="C101" t="s">
        <v>1981</v>
      </c>
      <c r="D101" t="str">
        <f t="shared" si="2"/>
        <v>Não</v>
      </c>
    </row>
    <row r="102" spans="1:4" x14ac:dyDescent="0.25">
      <c r="A102" t="s">
        <v>1812</v>
      </c>
      <c r="B102" t="s">
        <v>869</v>
      </c>
      <c r="C102" t="s">
        <v>869</v>
      </c>
      <c r="D102" t="str">
        <f t="shared" si="2"/>
        <v>Sim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8345B-186E-49E1-8614-1028C37C33C5}">
  <sheetPr codeName="Planilha21"/>
  <dimension ref="A1:G101"/>
  <sheetViews>
    <sheetView topLeftCell="A73" workbookViewId="0">
      <selection activeCell="C63" sqref="C63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28" t="s">
        <v>27</v>
      </c>
      <c r="B1" s="28"/>
      <c r="C1" s="28"/>
      <c r="D1" s="28"/>
      <c r="E1" s="28"/>
      <c r="F1" s="28"/>
      <c r="G1" s="28"/>
    </row>
    <row r="2" spans="1:7" x14ac:dyDescent="0.25">
      <c r="A2" s="4" t="s">
        <v>34</v>
      </c>
      <c r="B2" s="4" t="s">
        <v>35</v>
      </c>
      <c r="C2" s="4" t="s">
        <v>36</v>
      </c>
      <c r="D2" s="4" t="s">
        <v>37</v>
      </c>
    </row>
    <row r="3" spans="1:7" x14ac:dyDescent="0.25">
      <c r="A3" t="s">
        <v>38</v>
      </c>
      <c r="B3" t="s">
        <v>49</v>
      </c>
      <c r="C3" t="s">
        <v>1071</v>
      </c>
      <c r="D3" t="str">
        <f>IF(B3=C3, "Sim", "Não")</f>
        <v>Não</v>
      </c>
      <c r="F3" s="4" t="s">
        <v>39</v>
      </c>
      <c r="G3" s="3">
        <f>COUNTIF(D3:D105,"Não")</f>
        <v>3</v>
      </c>
    </row>
    <row r="4" spans="1:7" x14ac:dyDescent="0.25">
      <c r="A4" t="s">
        <v>38</v>
      </c>
      <c r="B4" t="s">
        <v>63</v>
      </c>
      <c r="C4" t="s">
        <v>63</v>
      </c>
      <c r="D4" t="str">
        <f t="shared" ref="D4:D71" si="0">IF(B4=C4, "Sim", "Não")</f>
        <v>Sim</v>
      </c>
      <c r="F4" s="4" t="s">
        <v>40</v>
      </c>
      <c r="G4" s="3">
        <f>SUM(G7:G25)</f>
        <v>99</v>
      </c>
    </row>
    <row r="5" spans="1:7" x14ac:dyDescent="0.25">
      <c r="A5" t="s">
        <v>38</v>
      </c>
      <c r="B5" t="s">
        <v>155</v>
      </c>
      <c r="C5" t="s">
        <v>155</v>
      </c>
      <c r="D5" t="str">
        <f t="shared" si="0"/>
        <v>Sim</v>
      </c>
    </row>
    <row r="6" spans="1:7" x14ac:dyDescent="0.25">
      <c r="A6" t="s">
        <v>38</v>
      </c>
      <c r="B6" t="s">
        <v>628</v>
      </c>
      <c r="C6" t="s">
        <v>628</v>
      </c>
      <c r="D6" t="str">
        <f t="shared" si="0"/>
        <v>Sim</v>
      </c>
      <c r="F6" s="6" t="s">
        <v>42</v>
      </c>
      <c r="G6" s="1"/>
    </row>
    <row r="7" spans="1:7" x14ac:dyDescent="0.25">
      <c r="A7" t="s">
        <v>38</v>
      </c>
      <c r="B7" t="s">
        <v>1072</v>
      </c>
      <c r="C7" t="s">
        <v>1072</v>
      </c>
      <c r="D7" t="str">
        <f t="shared" si="0"/>
        <v>Sim</v>
      </c>
      <c r="F7" s="1" t="s">
        <v>38</v>
      </c>
      <c r="G7" s="2">
        <f t="shared" ref="G7:G16" si="1">COUNTIF(A:A,F7)</f>
        <v>36</v>
      </c>
    </row>
    <row r="8" spans="1:7" x14ac:dyDescent="0.25">
      <c r="A8" t="s">
        <v>38</v>
      </c>
      <c r="B8" t="s">
        <v>43</v>
      </c>
      <c r="C8" t="s">
        <v>43</v>
      </c>
      <c r="D8" t="str">
        <f t="shared" si="0"/>
        <v>Sim</v>
      </c>
      <c r="F8" s="1" t="s">
        <v>44</v>
      </c>
      <c r="G8" s="2">
        <f t="shared" si="1"/>
        <v>10</v>
      </c>
    </row>
    <row r="9" spans="1:7" x14ac:dyDescent="0.25">
      <c r="A9" t="s">
        <v>38</v>
      </c>
      <c r="B9" t="s">
        <v>763</v>
      </c>
      <c r="C9" t="s">
        <v>763</v>
      </c>
      <c r="D9" t="str">
        <f t="shared" si="0"/>
        <v>Sim</v>
      </c>
      <c r="F9" s="1" t="s">
        <v>73</v>
      </c>
      <c r="G9" s="2">
        <f t="shared" si="1"/>
        <v>16</v>
      </c>
    </row>
    <row r="10" spans="1:7" x14ac:dyDescent="0.25">
      <c r="A10" t="s">
        <v>38</v>
      </c>
      <c r="B10" t="s">
        <v>209</v>
      </c>
      <c r="C10" t="s">
        <v>209</v>
      </c>
      <c r="D10" t="str">
        <f t="shared" si="0"/>
        <v>Sim</v>
      </c>
      <c r="F10" s="1" t="s">
        <v>827</v>
      </c>
      <c r="G10" s="2">
        <f t="shared" si="1"/>
        <v>0</v>
      </c>
    </row>
    <row r="11" spans="1:7" x14ac:dyDescent="0.25">
      <c r="A11" t="s">
        <v>38</v>
      </c>
      <c r="B11" t="s">
        <v>344</v>
      </c>
      <c r="C11" t="s">
        <v>344</v>
      </c>
      <c r="D11" t="str">
        <f t="shared" si="0"/>
        <v>Sim</v>
      </c>
      <c r="F11" s="1" t="s">
        <v>560</v>
      </c>
      <c r="G11" s="2">
        <f t="shared" si="1"/>
        <v>4</v>
      </c>
    </row>
    <row r="12" spans="1:7" x14ac:dyDescent="0.25">
      <c r="A12" t="s">
        <v>38</v>
      </c>
      <c r="B12" t="s">
        <v>204</v>
      </c>
      <c r="C12" t="s">
        <v>204</v>
      </c>
      <c r="D12" t="str">
        <f t="shared" si="0"/>
        <v>Sim</v>
      </c>
      <c r="F12" s="1" t="s">
        <v>1073</v>
      </c>
      <c r="G12" s="2">
        <f t="shared" si="1"/>
        <v>12</v>
      </c>
    </row>
    <row r="13" spans="1:7" x14ac:dyDescent="0.25">
      <c r="A13" t="s">
        <v>38</v>
      </c>
      <c r="B13" t="s">
        <v>203</v>
      </c>
      <c r="C13" t="s">
        <v>203</v>
      </c>
      <c r="D13" t="str">
        <f t="shared" si="0"/>
        <v>Sim</v>
      </c>
      <c r="F13" s="1" t="s">
        <v>1074</v>
      </c>
      <c r="G13" s="2">
        <f t="shared" si="1"/>
        <v>0</v>
      </c>
    </row>
    <row r="14" spans="1:7" x14ac:dyDescent="0.25">
      <c r="A14" t="s">
        <v>38</v>
      </c>
      <c r="B14" t="s">
        <v>205</v>
      </c>
      <c r="C14" t="s">
        <v>205</v>
      </c>
      <c r="D14" t="str">
        <f t="shared" si="0"/>
        <v>Sim</v>
      </c>
      <c r="F14" s="1" t="s">
        <v>71</v>
      </c>
      <c r="G14" s="2">
        <f t="shared" si="1"/>
        <v>10</v>
      </c>
    </row>
    <row r="15" spans="1:7" x14ac:dyDescent="0.25">
      <c r="A15" t="s">
        <v>38</v>
      </c>
      <c r="B15" t="s">
        <v>201</v>
      </c>
      <c r="C15" t="s">
        <v>201</v>
      </c>
      <c r="D15" t="str">
        <f t="shared" si="0"/>
        <v>Sim</v>
      </c>
      <c r="F15" s="1" t="s">
        <v>1075</v>
      </c>
      <c r="G15" s="2">
        <f t="shared" si="1"/>
        <v>4</v>
      </c>
    </row>
    <row r="16" spans="1:7" x14ac:dyDescent="0.25">
      <c r="A16" t="s">
        <v>38</v>
      </c>
      <c r="B16" t="s">
        <v>49</v>
      </c>
      <c r="C16" t="s">
        <v>49</v>
      </c>
      <c r="D16" t="str">
        <f t="shared" si="0"/>
        <v>Sim</v>
      </c>
      <c r="F16" s="1" t="s">
        <v>1076</v>
      </c>
      <c r="G16" s="2">
        <f t="shared" si="1"/>
        <v>7</v>
      </c>
    </row>
    <row r="17" spans="1:4" x14ac:dyDescent="0.25">
      <c r="A17" t="s">
        <v>38</v>
      </c>
      <c r="B17" t="s">
        <v>49</v>
      </c>
      <c r="C17" t="s">
        <v>49</v>
      </c>
      <c r="D17" t="str">
        <f t="shared" si="0"/>
        <v>Sim</v>
      </c>
    </row>
    <row r="18" spans="1:4" x14ac:dyDescent="0.25">
      <c r="A18" t="s">
        <v>38</v>
      </c>
      <c r="B18" t="s">
        <v>49</v>
      </c>
      <c r="C18" t="s">
        <v>49</v>
      </c>
      <c r="D18" t="str">
        <f t="shared" si="0"/>
        <v>Sim</v>
      </c>
    </row>
    <row r="19" spans="1:4" x14ac:dyDescent="0.25">
      <c r="A19" t="s">
        <v>38</v>
      </c>
      <c r="B19" t="s">
        <v>49</v>
      </c>
      <c r="C19" t="s">
        <v>49</v>
      </c>
      <c r="D19" t="str">
        <f t="shared" si="0"/>
        <v>Sim</v>
      </c>
    </row>
    <row r="20" spans="1:4" x14ac:dyDescent="0.25">
      <c r="A20" t="s">
        <v>38</v>
      </c>
      <c r="B20" t="s">
        <v>49</v>
      </c>
      <c r="C20" t="s">
        <v>49</v>
      </c>
      <c r="D20" t="str">
        <f t="shared" si="0"/>
        <v>Sim</v>
      </c>
    </row>
    <row r="21" spans="1:4" x14ac:dyDescent="0.25">
      <c r="A21" t="s">
        <v>38</v>
      </c>
      <c r="B21" t="s">
        <v>49</v>
      </c>
      <c r="C21" t="s">
        <v>49</v>
      </c>
      <c r="D21" t="str">
        <f t="shared" si="0"/>
        <v>Sim</v>
      </c>
    </row>
    <row r="22" spans="1:4" x14ac:dyDescent="0.25">
      <c r="A22" t="s">
        <v>38</v>
      </c>
      <c r="B22" t="s">
        <v>49</v>
      </c>
      <c r="C22" t="s">
        <v>49</v>
      </c>
      <c r="D22" t="str">
        <f t="shared" si="0"/>
        <v>Sim</v>
      </c>
    </row>
    <row r="23" spans="1:4" x14ac:dyDescent="0.25">
      <c r="A23" t="s">
        <v>38</v>
      </c>
      <c r="B23" t="s">
        <v>48</v>
      </c>
      <c r="C23" t="s">
        <v>48</v>
      </c>
      <c r="D23" t="str">
        <f t="shared" si="0"/>
        <v>Sim</v>
      </c>
    </row>
    <row r="24" spans="1:4" x14ac:dyDescent="0.25">
      <c r="A24" t="s">
        <v>38</v>
      </c>
      <c r="B24" t="s">
        <v>48</v>
      </c>
      <c r="C24" t="s">
        <v>48</v>
      </c>
      <c r="D24" t="str">
        <f t="shared" si="0"/>
        <v>Sim</v>
      </c>
    </row>
    <row r="25" spans="1:4" x14ac:dyDescent="0.25">
      <c r="A25" t="s">
        <v>38</v>
      </c>
      <c r="B25" t="s">
        <v>48</v>
      </c>
      <c r="C25" t="s">
        <v>48</v>
      </c>
      <c r="D25" t="str">
        <f t="shared" si="0"/>
        <v>Sim</v>
      </c>
    </row>
    <row r="26" spans="1:4" x14ac:dyDescent="0.25">
      <c r="A26" t="s">
        <v>38</v>
      </c>
      <c r="B26" t="s">
        <v>48</v>
      </c>
      <c r="C26" t="s">
        <v>48</v>
      </c>
      <c r="D26" t="str">
        <f t="shared" si="0"/>
        <v>Sim</v>
      </c>
    </row>
    <row r="27" spans="1:4" x14ac:dyDescent="0.25">
      <c r="A27" t="s">
        <v>38</v>
      </c>
      <c r="B27" t="s">
        <v>48</v>
      </c>
      <c r="C27" t="s">
        <v>48</v>
      </c>
      <c r="D27" t="str">
        <f t="shared" si="0"/>
        <v>Sim</v>
      </c>
    </row>
    <row r="28" spans="1:4" x14ac:dyDescent="0.25">
      <c r="A28" t="s">
        <v>38</v>
      </c>
      <c r="B28" t="s">
        <v>48</v>
      </c>
      <c r="C28" t="s">
        <v>48</v>
      </c>
      <c r="D28" t="str">
        <f t="shared" si="0"/>
        <v>Sim</v>
      </c>
    </row>
    <row r="29" spans="1:4" x14ac:dyDescent="0.25">
      <c r="A29" t="s">
        <v>38</v>
      </c>
      <c r="B29" t="s">
        <v>48</v>
      </c>
      <c r="C29" t="s">
        <v>48</v>
      </c>
      <c r="D29" t="str">
        <f t="shared" si="0"/>
        <v>Sim</v>
      </c>
    </row>
    <row r="30" spans="1:4" x14ac:dyDescent="0.25">
      <c r="A30" t="s">
        <v>38</v>
      </c>
      <c r="B30" t="s">
        <v>48</v>
      </c>
      <c r="C30" t="s">
        <v>48</v>
      </c>
      <c r="D30" t="str">
        <f t="shared" si="0"/>
        <v>Sim</v>
      </c>
    </row>
    <row r="31" spans="1:4" x14ac:dyDescent="0.25">
      <c r="A31" t="s">
        <v>38</v>
      </c>
      <c r="B31" t="s">
        <v>48</v>
      </c>
      <c r="C31" t="s">
        <v>48</v>
      </c>
      <c r="D31" t="str">
        <f t="shared" si="0"/>
        <v>Sim</v>
      </c>
    </row>
    <row r="32" spans="1:4" x14ac:dyDescent="0.25">
      <c r="A32" t="s">
        <v>38</v>
      </c>
      <c r="B32" t="s">
        <v>47</v>
      </c>
      <c r="C32" t="s">
        <v>47</v>
      </c>
      <c r="D32" t="str">
        <f t="shared" si="0"/>
        <v>Sim</v>
      </c>
    </row>
    <row r="33" spans="1:4" x14ac:dyDescent="0.25">
      <c r="A33" t="s">
        <v>38</v>
      </c>
      <c r="B33" t="s">
        <v>47</v>
      </c>
      <c r="C33" t="s">
        <v>47</v>
      </c>
      <c r="D33" t="str">
        <f t="shared" si="0"/>
        <v>Sim</v>
      </c>
    </row>
    <row r="34" spans="1:4" x14ac:dyDescent="0.25">
      <c r="A34" t="s">
        <v>38</v>
      </c>
      <c r="B34" t="s">
        <v>47</v>
      </c>
      <c r="C34" t="s">
        <v>47</v>
      </c>
      <c r="D34" t="str">
        <f t="shared" si="0"/>
        <v>Sim</v>
      </c>
    </row>
    <row r="35" spans="1:4" x14ac:dyDescent="0.25">
      <c r="A35" t="s">
        <v>38</v>
      </c>
      <c r="B35" t="s">
        <v>47</v>
      </c>
      <c r="C35" t="s">
        <v>47</v>
      </c>
      <c r="D35" t="str">
        <f t="shared" si="0"/>
        <v>Sim</v>
      </c>
    </row>
    <row r="36" spans="1:4" x14ac:dyDescent="0.25">
      <c r="A36" t="s">
        <v>38</v>
      </c>
      <c r="B36" t="s">
        <v>47</v>
      </c>
      <c r="C36" t="s">
        <v>47</v>
      </c>
      <c r="D36" t="str">
        <f t="shared" si="0"/>
        <v>Sim</v>
      </c>
    </row>
    <row r="37" spans="1:4" x14ac:dyDescent="0.25">
      <c r="A37" t="s">
        <v>38</v>
      </c>
      <c r="B37" t="s">
        <v>47</v>
      </c>
      <c r="C37" t="s">
        <v>47</v>
      </c>
      <c r="D37" t="str">
        <f t="shared" si="0"/>
        <v>Sim</v>
      </c>
    </row>
    <row r="38" spans="1:4" x14ac:dyDescent="0.25">
      <c r="A38" t="s">
        <v>38</v>
      </c>
      <c r="B38" t="s">
        <v>47</v>
      </c>
      <c r="C38" t="s">
        <v>47</v>
      </c>
      <c r="D38" t="str">
        <f t="shared" si="0"/>
        <v>Sim</v>
      </c>
    </row>
    <row r="39" spans="1:4" x14ac:dyDescent="0.25">
      <c r="A39" t="s">
        <v>44</v>
      </c>
      <c r="B39" t="s">
        <v>211</v>
      </c>
      <c r="C39" t="s">
        <v>211</v>
      </c>
      <c r="D39" t="str">
        <f t="shared" si="0"/>
        <v>Sim</v>
      </c>
    </row>
    <row r="40" spans="1:4" x14ac:dyDescent="0.25">
      <c r="A40" t="s">
        <v>44</v>
      </c>
      <c r="B40" t="s">
        <v>217</v>
      </c>
      <c r="C40" t="s">
        <v>217</v>
      </c>
      <c r="D40" t="str">
        <f t="shared" si="0"/>
        <v>Sim</v>
      </c>
    </row>
    <row r="41" spans="1:4" x14ac:dyDescent="0.25">
      <c r="A41" t="s">
        <v>44</v>
      </c>
      <c r="B41" t="s">
        <v>165</v>
      </c>
      <c r="C41" t="s">
        <v>165</v>
      </c>
      <c r="D41" t="str">
        <f t="shared" si="0"/>
        <v>Sim</v>
      </c>
    </row>
    <row r="42" spans="1:4" x14ac:dyDescent="0.25">
      <c r="A42" t="s">
        <v>44</v>
      </c>
      <c r="B42" t="s">
        <v>705</v>
      </c>
      <c r="C42" t="s">
        <v>705</v>
      </c>
      <c r="D42" t="str">
        <f t="shared" si="0"/>
        <v>Sim</v>
      </c>
    </row>
    <row r="43" spans="1:4" x14ac:dyDescent="0.25">
      <c r="A43" t="s">
        <v>44</v>
      </c>
      <c r="B43" t="s">
        <v>1077</v>
      </c>
      <c r="C43" t="s">
        <v>1077</v>
      </c>
      <c r="D43" t="str">
        <f t="shared" si="0"/>
        <v>Sim</v>
      </c>
    </row>
    <row r="44" spans="1:4" x14ac:dyDescent="0.25">
      <c r="A44" t="s">
        <v>44</v>
      </c>
      <c r="B44" t="s">
        <v>213</v>
      </c>
      <c r="C44" t="s">
        <v>213</v>
      </c>
      <c r="D44" t="str">
        <f t="shared" si="0"/>
        <v>Sim</v>
      </c>
    </row>
    <row r="45" spans="1:4" x14ac:dyDescent="0.25">
      <c r="A45" t="s">
        <v>44</v>
      </c>
      <c r="B45" t="s">
        <v>214</v>
      </c>
      <c r="C45" t="s">
        <v>214</v>
      </c>
      <c r="D45" t="str">
        <f t="shared" si="0"/>
        <v>Sim</v>
      </c>
    </row>
    <row r="46" spans="1:4" x14ac:dyDescent="0.25">
      <c r="A46" t="s">
        <v>44</v>
      </c>
      <c r="B46" t="s">
        <v>1078</v>
      </c>
      <c r="C46" t="s">
        <v>1078</v>
      </c>
      <c r="D46" t="str">
        <f>IF(B46=C46, "Sim", "Não")</f>
        <v>Sim</v>
      </c>
    </row>
    <row r="47" spans="1:4" x14ac:dyDescent="0.25">
      <c r="A47" t="s">
        <v>44</v>
      </c>
      <c r="B47" t="s">
        <v>1760</v>
      </c>
      <c r="C47" t="s">
        <v>1760</v>
      </c>
      <c r="D47" t="str">
        <f>IF(B47=C47, "Sim", "Não")</f>
        <v>Sim</v>
      </c>
    </row>
    <row r="48" spans="1:4" x14ac:dyDescent="0.25">
      <c r="A48" t="s">
        <v>44</v>
      </c>
      <c r="B48" t="s">
        <v>215</v>
      </c>
      <c r="C48" t="s">
        <v>215</v>
      </c>
      <c r="D48" t="str">
        <f t="shared" si="0"/>
        <v>Sim</v>
      </c>
    </row>
    <row r="49" spans="1:4" x14ac:dyDescent="0.25">
      <c r="A49" t="s">
        <v>73</v>
      </c>
      <c r="B49" t="s">
        <v>722</v>
      </c>
      <c r="C49" t="s">
        <v>722</v>
      </c>
      <c r="D49" t="str">
        <f t="shared" si="0"/>
        <v>Sim</v>
      </c>
    </row>
    <row r="50" spans="1:4" x14ac:dyDescent="0.25">
      <c r="A50" t="s">
        <v>73</v>
      </c>
      <c r="B50" t="s">
        <v>807</v>
      </c>
      <c r="C50" t="s">
        <v>807</v>
      </c>
      <c r="D50" t="str">
        <f t="shared" si="0"/>
        <v>Sim</v>
      </c>
    </row>
    <row r="51" spans="1:4" x14ac:dyDescent="0.25">
      <c r="A51" t="s">
        <v>73</v>
      </c>
      <c r="B51" t="s">
        <v>1079</v>
      </c>
      <c r="C51" t="s">
        <v>1079</v>
      </c>
      <c r="D51" t="str">
        <f t="shared" si="0"/>
        <v>Sim</v>
      </c>
    </row>
    <row r="52" spans="1:4" x14ac:dyDescent="0.25">
      <c r="A52" t="s">
        <v>73</v>
      </c>
      <c r="B52" t="s">
        <v>259</v>
      </c>
      <c r="C52" t="s">
        <v>259</v>
      </c>
      <c r="D52" t="str">
        <f t="shared" si="0"/>
        <v>Sim</v>
      </c>
    </row>
    <row r="53" spans="1:4" x14ac:dyDescent="0.25">
      <c r="A53" t="s">
        <v>73</v>
      </c>
      <c r="B53" t="s">
        <v>1080</v>
      </c>
      <c r="C53" t="s">
        <v>1080</v>
      </c>
      <c r="D53" t="str">
        <f t="shared" si="0"/>
        <v>Sim</v>
      </c>
    </row>
    <row r="54" spans="1:4" x14ac:dyDescent="0.25">
      <c r="A54" t="s">
        <v>73</v>
      </c>
      <c r="B54" t="s">
        <v>1081</v>
      </c>
      <c r="C54" t="s">
        <v>1081</v>
      </c>
      <c r="D54" t="str">
        <f t="shared" si="0"/>
        <v>Sim</v>
      </c>
    </row>
    <row r="55" spans="1:4" x14ac:dyDescent="0.25">
      <c r="A55" t="s">
        <v>73</v>
      </c>
      <c r="B55" t="s">
        <v>867</v>
      </c>
      <c r="C55" t="s">
        <v>867</v>
      </c>
      <c r="D55" t="str">
        <f t="shared" si="0"/>
        <v>Sim</v>
      </c>
    </row>
    <row r="56" spans="1:4" x14ac:dyDescent="0.25">
      <c r="A56" t="s">
        <v>73</v>
      </c>
      <c r="B56" t="s">
        <v>866</v>
      </c>
      <c r="C56" t="s">
        <v>866</v>
      </c>
      <c r="D56" t="str">
        <f t="shared" si="0"/>
        <v>Sim</v>
      </c>
    </row>
    <row r="57" spans="1:4" x14ac:dyDescent="0.25">
      <c r="A57" t="s">
        <v>73</v>
      </c>
      <c r="B57" t="s">
        <v>868</v>
      </c>
      <c r="C57" t="s">
        <v>868</v>
      </c>
      <c r="D57" t="str">
        <f t="shared" si="0"/>
        <v>Sim</v>
      </c>
    </row>
    <row r="58" spans="1:4" x14ac:dyDescent="0.25">
      <c r="A58" t="s">
        <v>73</v>
      </c>
      <c r="B58" t="s">
        <v>805</v>
      </c>
      <c r="C58" t="s">
        <v>805</v>
      </c>
      <c r="D58" t="str">
        <f t="shared" si="0"/>
        <v>Sim</v>
      </c>
    </row>
    <row r="59" spans="1:4" x14ac:dyDescent="0.25">
      <c r="A59" t="s">
        <v>73</v>
      </c>
      <c r="B59" t="s">
        <v>1083</v>
      </c>
      <c r="C59" t="s">
        <v>1083</v>
      </c>
      <c r="D59" t="str">
        <f t="shared" si="0"/>
        <v>Sim</v>
      </c>
    </row>
    <row r="60" spans="1:4" x14ac:dyDescent="0.25">
      <c r="A60" t="s">
        <v>73</v>
      </c>
      <c r="B60" t="s">
        <v>1084</v>
      </c>
      <c r="C60" t="s">
        <v>2064</v>
      </c>
      <c r="D60" t="str">
        <f t="shared" si="0"/>
        <v>Não</v>
      </c>
    </row>
    <row r="61" spans="1:4" x14ac:dyDescent="0.25">
      <c r="A61" t="s">
        <v>73</v>
      </c>
      <c r="B61" t="s">
        <v>1085</v>
      </c>
      <c r="C61" t="s">
        <v>1085</v>
      </c>
      <c r="D61" t="str">
        <f t="shared" si="0"/>
        <v>Sim</v>
      </c>
    </row>
    <row r="62" spans="1:4" x14ac:dyDescent="0.25">
      <c r="A62" t="s">
        <v>73</v>
      </c>
      <c r="B62" t="s">
        <v>257</v>
      </c>
      <c r="C62" t="s">
        <v>257</v>
      </c>
      <c r="D62" t="str">
        <f t="shared" si="0"/>
        <v>Sim</v>
      </c>
    </row>
    <row r="63" spans="1:4" x14ac:dyDescent="0.25">
      <c r="A63" t="s">
        <v>73</v>
      </c>
      <c r="B63" t="s">
        <v>1086</v>
      </c>
      <c r="C63" t="s">
        <v>1086</v>
      </c>
      <c r="D63" t="str">
        <f>IF(B63=C63, "Sim", "Não")</f>
        <v>Sim</v>
      </c>
    </row>
    <row r="64" spans="1:4" x14ac:dyDescent="0.25">
      <c r="A64" t="s">
        <v>73</v>
      </c>
      <c r="B64" t="s">
        <v>1087</v>
      </c>
      <c r="C64" t="s">
        <v>1087</v>
      </c>
      <c r="D64" t="str">
        <f>IF(B64=C64, "Sim", "Não")</f>
        <v>Sim</v>
      </c>
    </row>
    <row r="65" spans="1:4" x14ac:dyDescent="0.25">
      <c r="A65" t="s">
        <v>1076</v>
      </c>
      <c r="B65" t="s">
        <v>1088</v>
      </c>
      <c r="C65" t="s">
        <v>1088</v>
      </c>
      <c r="D65" t="str">
        <f>IF(B65=C65, "Sim", "Não")</f>
        <v>Sim</v>
      </c>
    </row>
    <row r="66" spans="1:4" x14ac:dyDescent="0.25">
      <c r="A66" t="s">
        <v>1076</v>
      </c>
      <c r="B66" t="s">
        <v>1089</v>
      </c>
      <c r="C66" t="s">
        <v>1089</v>
      </c>
      <c r="D66" t="str">
        <f t="shared" si="0"/>
        <v>Sim</v>
      </c>
    </row>
    <row r="67" spans="1:4" x14ac:dyDescent="0.25">
      <c r="A67" t="s">
        <v>1076</v>
      </c>
      <c r="B67" t="s">
        <v>1090</v>
      </c>
      <c r="C67" t="s">
        <v>1090</v>
      </c>
      <c r="D67" t="str">
        <f t="shared" si="0"/>
        <v>Sim</v>
      </c>
    </row>
    <row r="68" spans="1:4" x14ac:dyDescent="0.25">
      <c r="A68" t="s">
        <v>1076</v>
      </c>
      <c r="B68" t="s">
        <v>1758</v>
      </c>
      <c r="C68" t="s">
        <v>1758</v>
      </c>
      <c r="D68" t="str">
        <f>IF(B68=C68, "Sim", "Não")</f>
        <v>Sim</v>
      </c>
    </row>
    <row r="69" spans="1:4" x14ac:dyDescent="0.25">
      <c r="A69" t="s">
        <v>1076</v>
      </c>
      <c r="B69" t="s">
        <v>1757</v>
      </c>
      <c r="C69" t="s">
        <v>1757</v>
      </c>
      <c r="D69" t="str">
        <f>IF(B69=C69, "Sim", "Não")</f>
        <v>Sim</v>
      </c>
    </row>
    <row r="70" spans="1:4" x14ac:dyDescent="0.25">
      <c r="A70" t="s">
        <v>1076</v>
      </c>
      <c r="B70" t="s">
        <v>1091</v>
      </c>
      <c r="C70" t="s">
        <v>1091</v>
      </c>
      <c r="D70" t="str">
        <f t="shared" si="0"/>
        <v>Sim</v>
      </c>
    </row>
    <row r="71" spans="1:4" x14ac:dyDescent="0.25">
      <c r="A71" t="s">
        <v>1076</v>
      </c>
      <c r="B71" t="s">
        <v>1542</v>
      </c>
      <c r="C71" t="s">
        <v>1542</v>
      </c>
      <c r="D71" t="str">
        <f t="shared" si="0"/>
        <v>Sim</v>
      </c>
    </row>
    <row r="72" spans="1:4" x14ac:dyDescent="0.25">
      <c r="A72" t="s">
        <v>560</v>
      </c>
      <c r="B72" t="s">
        <v>1097</v>
      </c>
      <c r="C72" t="s">
        <v>1097</v>
      </c>
      <c r="D72" t="str">
        <f t="shared" ref="D72:D101" si="2">IF(B72=C72, "Sim", "Não")</f>
        <v>Sim</v>
      </c>
    </row>
    <row r="73" spans="1:4" x14ac:dyDescent="0.25">
      <c r="A73" t="s">
        <v>560</v>
      </c>
      <c r="B73" t="s">
        <v>1098</v>
      </c>
      <c r="C73" t="s">
        <v>1098</v>
      </c>
      <c r="D73" t="str">
        <f t="shared" si="2"/>
        <v>Sim</v>
      </c>
    </row>
    <row r="74" spans="1:4" x14ac:dyDescent="0.25">
      <c r="A74" t="s">
        <v>560</v>
      </c>
      <c r="B74" t="s">
        <v>1099</v>
      </c>
      <c r="C74" t="s">
        <v>1099</v>
      </c>
      <c r="D74" t="str">
        <f t="shared" si="2"/>
        <v>Sim</v>
      </c>
    </row>
    <row r="75" spans="1:4" x14ac:dyDescent="0.25">
      <c r="A75" t="s">
        <v>560</v>
      </c>
      <c r="B75" t="s">
        <v>1100</v>
      </c>
      <c r="C75" t="s">
        <v>1100</v>
      </c>
      <c r="D75" t="str">
        <f t="shared" si="2"/>
        <v>Sim</v>
      </c>
    </row>
    <row r="76" spans="1:4" x14ac:dyDescent="0.25">
      <c r="A76" t="s">
        <v>1073</v>
      </c>
      <c r="B76" t="s">
        <v>1101</v>
      </c>
      <c r="C76" t="s">
        <v>1101</v>
      </c>
      <c r="D76" t="str">
        <f t="shared" si="2"/>
        <v>Sim</v>
      </c>
    </row>
    <row r="77" spans="1:4" x14ac:dyDescent="0.25">
      <c r="A77" t="s">
        <v>1073</v>
      </c>
      <c r="B77" t="s">
        <v>1102</v>
      </c>
      <c r="C77" t="s">
        <v>1102</v>
      </c>
      <c r="D77" t="str">
        <f t="shared" si="2"/>
        <v>Sim</v>
      </c>
    </row>
    <row r="78" spans="1:4" x14ac:dyDescent="0.25">
      <c r="A78" t="s">
        <v>1073</v>
      </c>
      <c r="B78" t="s">
        <v>1103</v>
      </c>
      <c r="C78" t="s">
        <v>1103</v>
      </c>
      <c r="D78" t="str">
        <f t="shared" si="2"/>
        <v>Sim</v>
      </c>
    </row>
    <row r="79" spans="1:4" x14ac:dyDescent="0.25">
      <c r="A79" t="s">
        <v>1073</v>
      </c>
      <c r="B79" t="s">
        <v>1104</v>
      </c>
      <c r="C79" t="s">
        <v>1104</v>
      </c>
      <c r="D79" t="str">
        <f t="shared" si="2"/>
        <v>Sim</v>
      </c>
    </row>
    <row r="80" spans="1:4" x14ac:dyDescent="0.25">
      <c r="A80" t="s">
        <v>1073</v>
      </c>
      <c r="B80" t="s">
        <v>1105</v>
      </c>
      <c r="C80" t="s">
        <v>1105</v>
      </c>
      <c r="D80" t="str">
        <f t="shared" si="2"/>
        <v>Sim</v>
      </c>
    </row>
    <row r="81" spans="1:4" x14ac:dyDescent="0.25">
      <c r="A81" t="s">
        <v>1073</v>
      </c>
      <c r="B81" t="s">
        <v>1106</v>
      </c>
      <c r="C81" t="s">
        <v>1106</v>
      </c>
      <c r="D81" t="str">
        <f t="shared" si="2"/>
        <v>Sim</v>
      </c>
    </row>
    <row r="82" spans="1:4" x14ac:dyDescent="0.25">
      <c r="A82" t="s">
        <v>1073</v>
      </c>
      <c r="B82" t="s">
        <v>1107</v>
      </c>
      <c r="C82" t="s">
        <v>1107</v>
      </c>
      <c r="D82" t="str">
        <f t="shared" si="2"/>
        <v>Sim</v>
      </c>
    </row>
    <row r="83" spans="1:4" x14ac:dyDescent="0.25">
      <c r="A83" t="s">
        <v>1073</v>
      </c>
      <c r="B83" t="s">
        <v>1108</v>
      </c>
      <c r="C83" t="s">
        <v>1108</v>
      </c>
      <c r="D83" t="str">
        <f t="shared" si="2"/>
        <v>Sim</v>
      </c>
    </row>
    <row r="84" spans="1:4" x14ac:dyDescent="0.25">
      <c r="A84" t="s">
        <v>1073</v>
      </c>
      <c r="B84" t="s">
        <v>1109</v>
      </c>
      <c r="C84" t="s">
        <v>1109</v>
      </c>
      <c r="D84" t="str">
        <f t="shared" si="2"/>
        <v>Sim</v>
      </c>
    </row>
    <row r="85" spans="1:4" x14ac:dyDescent="0.25">
      <c r="A85" t="s">
        <v>1073</v>
      </c>
      <c r="B85" t="s">
        <v>1110</v>
      </c>
      <c r="C85" t="s">
        <v>1110</v>
      </c>
      <c r="D85" t="str">
        <f>IF(B85=C85, "Sim", "Não")</f>
        <v>Sim</v>
      </c>
    </row>
    <row r="86" spans="1:4" x14ac:dyDescent="0.25">
      <c r="A86" t="s">
        <v>1073</v>
      </c>
      <c r="B86" t="s">
        <v>1111</v>
      </c>
      <c r="C86" t="s">
        <v>1111</v>
      </c>
      <c r="D86" t="str">
        <f t="shared" si="2"/>
        <v>Sim</v>
      </c>
    </row>
    <row r="87" spans="1:4" x14ac:dyDescent="0.25">
      <c r="A87" t="s">
        <v>1073</v>
      </c>
      <c r="B87" t="s">
        <v>1112</v>
      </c>
      <c r="C87" t="s">
        <v>1112</v>
      </c>
      <c r="D87" t="str">
        <f>IF(B87=C87, "Sim", "Não")</f>
        <v>Sim</v>
      </c>
    </row>
    <row r="88" spans="1:4" x14ac:dyDescent="0.25">
      <c r="A88" t="s">
        <v>71</v>
      </c>
      <c r="B88" t="s">
        <v>1082</v>
      </c>
      <c r="C88" t="s">
        <v>1761</v>
      </c>
      <c r="D88" t="str">
        <f>IF(B88=C88, "Sim", "Não")</f>
        <v>Não</v>
      </c>
    </row>
    <row r="89" spans="1:4" x14ac:dyDescent="0.25">
      <c r="A89" t="s">
        <v>71</v>
      </c>
      <c r="B89" t="s">
        <v>1113</v>
      </c>
      <c r="C89" t="s">
        <v>1113</v>
      </c>
      <c r="D89" t="str">
        <f t="shared" si="2"/>
        <v>Sim</v>
      </c>
    </row>
    <row r="90" spans="1:4" x14ac:dyDescent="0.25">
      <c r="A90" t="s">
        <v>71</v>
      </c>
      <c r="B90" t="s">
        <v>1092</v>
      </c>
      <c r="C90" t="s">
        <v>1092</v>
      </c>
      <c r="D90" t="str">
        <f t="shared" ref="D90:D96" si="3">IF(B90=C90, "Sim", "Não")</f>
        <v>Sim</v>
      </c>
    </row>
    <row r="91" spans="1:4" x14ac:dyDescent="0.25">
      <c r="A91" t="s">
        <v>71</v>
      </c>
      <c r="B91" t="s">
        <v>1093</v>
      </c>
      <c r="C91" t="s">
        <v>1093</v>
      </c>
      <c r="D91" t="str">
        <f t="shared" si="3"/>
        <v>Sim</v>
      </c>
    </row>
    <row r="92" spans="1:4" x14ac:dyDescent="0.25">
      <c r="A92" t="s">
        <v>71</v>
      </c>
      <c r="B92" t="s">
        <v>1094</v>
      </c>
      <c r="C92" t="s">
        <v>1094</v>
      </c>
      <c r="D92" t="str">
        <f t="shared" si="3"/>
        <v>Sim</v>
      </c>
    </row>
    <row r="93" spans="1:4" x14ac:dyDescent="0.25">
      <c r="A93" t="s">
        <v>71</v>
      </c>
      <c r="B93" t="s">
        <v>1095</v>
      </c>
      <c r="C93" t="s">
        <v>1095</v>
      </c>
      <c r="D93" t="str">
        <f t="shared" si="3"/>
        <v>Sim</v>
      </c>
    </row>
    <row r="94" spans="1:4" x14ac:dyDescent="0.25">
      <c r="A94" t="s">
        <v>71</v>
      </c>
      <c r="B94" t="s">
        <v>1096</v>
      </c>
      <c r="C94" t="s">
        <v>1096</v>
      </c>
      <c r="D94" t="str">
        <f t="shared" si="3"/>
        <v>Sim</v>
      </c>
    </row>
    <row r="95" spans="1:4" x14ac:dyDescent="0.25">
      <c r="A95" t="s">
        <v>71</v>
      </c>
      <c r="B95" t="s">
        <v>1759</v>
      </c>
      <c r="C95" t="s">
        <v>1759</v>
      </c>
      <c r="D95" t="str">
        <f t="shared" si="3"/>
        <v>Sim</v>
      </c>
    </row>
    <row r="96" spans="1:4" x14ac:dyDescent="0.25">
      <c r="A96" t="s">
        <v>71</v>
      </c>
      <c r="B96" t="s">
        <v>261</v>
      </c>
      <c r="C96" t="s">
        <v>261</v>
      </c>
      <c r="D96" t="str">
        <f t="shared" si="3"/>
        <v>Sim</v>
      </c>
    </row>
    <row r="97" spans="1:4" x14ac:dyDescent="0.25">
      <c r="A97" t="s">
        <v>71</v>
      </c>
      <c r="B97" t="s">
        <v>1114</v>
      </c>
      <c r="C97" t="s">
        <v>1114</v>
      </c>
      <c r="D97" t="str">
        <f t="shared" si="2"/>
        <v>Sim</v>
      </c>
    </row>
    <row r="98" spans="1:4" x14ac:dyDescent="0.25">
      <c r="A98" t="s">
        <v>1075</v>
      </c>
      <c r="B98" t="s">
        <v>253</v>
      </c>
      <c r="C98" t="s">
        <v>253</v>
      </c>
      <c r="D98" t="str">
        <f t="shared" si="2"/>
        <v>Sim</v>
      </c>
    </row>
    <row r="99" spans="1:4" x14ac:dyDescent="0.25">
      <c r="A99" t="s">
        <v>1075</v>
      </c>
      <c r="B99" t="s">
        <v>1115</v>
      </c>
      <c r="C99" t="s">
        <v>1115</v>
      </c>
      <c r="D99" t="str">
        <f t="shared" si="2"/>
        <v>Sim</v>
      </c>
    </row>
    <row r="100" spans="1:4" x14ac:dyDescent="0.25">
      <c r="A100" t="s">
        <v>1075</v>
      </c>
      <c r="B100" t="s">
        <v>1116</v>
      </c>
      <c r="C100" t="s">
        <v>1116</v>
      </c>
      <c r="D100" t="str">
        <f t="shared" si="2"/>
        <v>Sim</v>
      </c>
    </row>
    <row r="101" spans="1:4" x14ac:dyDescent="0.25">
      <c r="A101" t="s">
        <v>1075</v>
      </c>
      <c r="B101" t="s">
        <v>1117</v>
      </c>
      <c r="C101" t="s">
        <v>1117</v>
      </c>
      <c r="D101" t="str">
        <f t="shared" si="2"/>
        <v>Sim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FBD3E-8E5B-41EA-888D-34F7C2569BBC}">
  <sheetPr codeName="Planilha22"/>
  <dimension ref="A1:G101"/>
  <sheetViews>
    <sheetView topLeftCell="A83" workbookViewId="0">
      <selection activeCell="B102" sqref="B102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28" t="s">
        <v>1118</v>
      </c>
      <c r="B1" s="28"/>
      <c r="C1" s="28"/>
      <c r="D1" s="28"/>
      <c r="E1" s="28"/>
      <c r="F1" s="28"/>
      <c r="G1" s="28"/>
    </row>
    <row r="2" spans="1:7" x14ac:dyDescent="0.25">
      <c r="A2" s="4" t="s">
        <v>34</v>
      </c>
      <c r="B2" s="4" t="s">
        <v>35</v>
      </c>
      <c r="C2" s="4" t="s">
        <v>36</v>
      </c>
      <c r="D2" s="4" t="s">
        <v>37</v>
      </c>
    </row>
    <row r="3" spans="1:7" x14ac:dyDescent="0.25">
      <c r="A3" t="s">
        <v>38</v>
      </c>
      <c r="B3" t="s">
        <v>72</v>
      </c>
      <c r="C3" t="s">
        <v>72</v>
      </c>
      <c r="D3" t="str">
        <f>IF(B3=C3, "Sim", "Não")</f>
        <v>Sim</v>
      </c>
      <c r="F3" s="4" t="s">
        <v>39</v>
      </c>
      <c r="G3" s="3">
        <f>COUNTIF(D3:D105,"Não")</f>
        <v>13</v>
      </c>
    </row>
    <row r="4" spans="1:7" x14ac:dyDescent="0.25">
      <c r="A4" t="s">
        <v>38</v>
      </c>
      <c r="B4" t="s">
        <v>43</v>
      </c>
      <c r="C4" t="s">
        <v>43</v>
      </c>
      <c r="D4" t="str">
        <f t="shared" ref="D4:D70" si="0">IF(B4=C4, "Sim", "Não")</f>
        <v>Sim</v>
      </c>
      <c r="F4" s="4" t="s">
        <v>40</v>
      </c>
      <c r="G4" s="3">
        <f>SUM(G7:G25)</f>
        <v>99</v>
      </c>
    </row>
    <row r="5" spans="1:7" x14ac:dyDescent="0.25">
      <c r="A5" t="s">
        <v>38</v>
      </c>
      <c r="B5" t="s">
        <v>483</v>
      </c>
      <c r="C5" t="s">
        <v>483</v>
      </c>
      <c r="D5" t="str">
        <f t="shared" si="0"/>
        <v>Sim</v>
      </c>
    </row>
    <row r="6" spans="1:7" x14ac:dyDescent="0.25">
      <c r="A6" t="s">
        <v>38</v>
      </c>
      <c r="B6" t="s">
        <v>1119</v>
      </c>
      <c r="C6" t="s">
        <v>1119</v>
      </c>
      <c r="D6" t="str">
        <f t="shared" si="0"/>
        <v>Sim</v>
      </c>
      <c r="F6" s="6" t="s">
        <v>42</v>
      </c>
      <c r="G6" s="1"/>
    </row>
    <row r="7" spans="1:7" x14ac:dyDescent="0.25">
      <c r="A7" t="s">
        <v>38</v>
      </c>
      <c r="B7" t="s">
        <v>155</v>
      </c>
      <c r="C7" t="s">
        <v>155</v>
      </c>
      <c r="D7" t="str">
        <f t="shared" si="0"/>
        <v>Sim</v>
      </c>
      <c r="F7" s="1" t="s">
        <v>38</v>
      </c>
      <c r="G7" s="2">
        <f t="shared" ref="G7:G14" si="1">COUNTIF(A:A,F7)</f>
        <v>35</v>
      </c>
    </row>
    <row r="8" spans="1:7" x14ac:dyDescent="0.25">
      <c r="A8" t="s">
        <v>38</v>
      </c>
      <c r="B8" t="s">
        <v>628</v>
      </c>
      <c r="C8" t="s">
        <v>628</v>
      </c>
      <c r="D8" t="str">
        <f t="shared" si="0"/>
        <v>Sim</v>
      </c>
      <c r="F8" s="1" t="s">
        <v>45</v>
      </c>
      <c r="G8" s="2">
        <f t="shared" si="1"/>
        <v>12</v>
      </c>
    </row>
    <row r="9" spans="1:7" x14ac:dyDescent="0.25">
      <c r="A9" t="s">
        <v>38</v>
      </c>
      <c r="B9" t="s">
        <v>1120</v>
      </c>
      <c r="C9" t="s">
        <v>1120</v>
      </c>
      <c r="D9" t="str">
        <f t="shared" si="0"/>
        <v>Sim</v>
      </c>
      <c r="F9" s="1" t="s">
        <v>1121</v>
      </c>
      <c r="G9" s="2">
        <f t="shared" si="1"/>
        <v>4</v>
      </c>
    </row>
    <row r="10" spans="1:7" x14ac:dyDescent="0.25">
      <c r="A10" t="s">
        <v>38</v>
      </c>
      <c r="B10" t="s">
        <v>48</v>
      </c>
      <c r="C10" t="s">
        <v>63</v>
      </c>
      <c r="D10" t="str">
        <f t="shared" si="0"/>
        <v>Não</v>
      </c>
      <c r="F10" s="1" t="s">
        <v>73</v>
      </c>
      <c r="G10" s="2">
        <f t="shared" si="1"/>
        <v>10</v>
      </c>
    </row>
    <row r="11" spans="1:7" x14ac:dyDescent="0.25">
      <c r="A11" t="s">
        <v>38</v>
      </c>
      <c r="B11" t="s">
        <v>630</v>
      </c>
      <c r="C11" t="s">
        <v>630</v>
      </c>
      <c r="D11" t="str">
        <f t="shared" si="0"/>
        <v>Sim</v>
      </c>
      <c r="F11" s="1" t="s">
        <v>343</v>
      </c>
      <c r="G11" s="2">
        <f t="shared" si="1"/>
        <v>16</v>
      </c>
    </row>
    <row r="12" spans="1:7" x14ac:dyDescent="0.25">
      <c r="A12" t="s">
        <v>38</v>
      </c>
      <c r="B12" t="s">
        <v>766</v>
      </c>
      <c r="C12" t="s">
        <v>766</v>
      </c>
      <c r="D12" t="str">
        <f t="shared" si="0"/>
        <v>Sim</v>
      </c>
      <c r="F12" s="1" t="s">
        <v>46</v>
      </c>
      <c r="G12" s="2">
        <f t="shared" si="1"/>
        <v>7</v>
      </c>
    </row>
    <row r="13" spans="1:7" x14ac:dyDescent="0.25">
      <c r="A13" t="s">
        <v>38</v>
      </c>
      <c r="B13" t="s">
        <v>836</v>
      </c>
      <c r="C13" t="s">
        <v>836</v>
      </c>
      <c r="D13" t="str">
        <f t="shared" si="0"/>
        <v>Sim</v>
      </c>
      <c r="F13" s="1" t="s">
        <v>44</v>
      </c>
      <c r="G13" s="2">
        <f t="shared" si="1"/>
        <v>8</v>
      </c>
    </row>
    <row r="14" spans="1:7" x14ac:dyDescent="0.25">
      <c r="A14" t="s">
        <v>38</v>
      </c>
      <c r="B14" t="s">
        <v>1122</v>
      </c>
      <c r="C14" t="s">
        <v>1122</v>
      </c>
      <c r="D14" t="str">
        <f t="shared" si="0"/>
        <v>Sim</v>
      </c>
      <c r="F14" s="1" t="s">
        <v>198</v>
      </c>
      <c r="G14" s="2">
        <f t="shared" si="1"/>
        <v>7</v>
      </c>
    </row>
    <row r="15" spans="1:7" x14ac:dyDescent="0.25">
      <c r="A15" t="s">
        <v>38</v>
      </c>
      <c r="B15" t="s">
        <v>157</v>
      </c>
      <c r="C15" t="s">
        <v>157</v>
      </c>
      <c r="D15" t="str">
        <f t="shared" si="0"/>
        <v>Sim</v>
      </c>
      <c r="F15" s="1"/>
      <c r="G15" s="2"/>
    </row>
    <row r="16" spans="1:7" x14ac:dyDescent="0.25">
      <c r="A16" t="s">
        <v>38</v>
      </c>
      <c r="B16" t="s">
        <v>550</v>
      </c>
      <c r="C16" t="s">
        <v>550</v>
      </c>
      <c r="D16" t="str">
        <f t="shared" si="0"/>
        <v>Sim</v>
      </c>
      <c r="F16" s="4"/>
      <c r="G16" s="2"/>
    </row>
    <row r="17" spans="1:4" x14ac:dyDescent="0.25">
      <c r="A17" t="s">
        <v>38</v>
      </c>
      <c r="B17" t="s">
        <v>693</v>
      </c>
      <c r="C17" t="s">
        <v>693</v>
      </c>
      <c r="D17" t="str">
        <f t="shared" si="0"/>
        <v>Sim</v>
      </c>
    </row>
    <row r="18" spans="1:4" x14ac:dyDescent="0.25">
      <c r="A18" t="s">
        <v>38</v>
      </c>
      <c r="B18" t="s">
        <v>1123</v>
      </c>
      <c r="C18" t="s">
        <v>1123</v>
      </c>
      <c r="D18" t="str">
        <f t="shared" si="0"/>
        <v>Sim</v>
      </c>
    </row>
    <row r="19" spans="1:4" x14ac:dyDescent="0.25">
      <c r="A19" t="s">
        <v>38</v>
      </c>
      <c r="B19" t="s">
        <v>1124</v>
      </c>
      <c r="C19" t="s">
        <v>74</v>
      </c>
      <c r="D19" t="str">
        <f t="shared" si="0"/>
        <v>Não</v>
      </c>
    </row>
    <row r="20" spans="1:4" x14ac:dyDescent="0.25">
      <c r="A20" t="s">
        <v>38</v>
      </c>
      <c r="B20" t="s">
        <v>50</v>
      </c>
      <c r="C20" t="s">
        <v>1125</v>
      </c>
      <c r="D20" t="str">
        <f t="shared" si="0"/>
        <v>Não</v>
      </c>
    </row>
    <row r="21" spans="1:4" x14ac:dyDescent="0.25">
      <c r="A21" t="s">
        <v>38</v>
      </c>
      <c r="B21" t="s">
        <v>1126</v>
      </c>
      <c r="C21" t="s">
        <v>1126</v>
      </c>
      <c r="D21" t="str">
        <f t="shared" si="0"/>
        <v>Sim</v>
      </c>
    </row>
    <row r="22" spans="1:4" x14ac:dyDescent="0.25">
      <c r="A22" t="s">
        <v>38</v>
      </c>
      <c r="B22" t="s">
        <v>695</v>
      </c>
      <c r="C22" t="s">
        <v>695</v>
      </c>
      <c r="D22" t="str">
        <f t="shared" si="0"/>
        <v>Sim</v>
      </c>
    </row>
    <row r="23" spans="1:4" x14ac:dyDescent="0.25">
      <c r="A23" t="s">
        <v>38</v>
      </c>
      <c r="B23" t="s">
        <v>764</v>
      </c>
      <c r="C23" t="s">
        <v>1127</v>
      </c>
      <c r="D23" t="str">
        <f t="shared" si="0"/>
        <v>Não</v>
      </c>
    </row>
    <row r="24" spans="1:4" x14ac:dyDescent="0.25">
      <c r="A24" t="s">
        <v>38</v>
      </c>
      <c r="B24" t="s">
        <v>1128</v>
      </c>
      <c r="C24" t="s">
        <v>1128</v>
      </c>
      <c r="D24" t="str">
        <f t="shared" si="0"/>
        <v>Sim</v>
      </c>
    </row>
    <row r="25" spans="1:4" x14ac:dyDescent="0.25">
      <c r="A25" t="s">
        <v>38</v>
      </c>
      <c r="B25" t="s">
        <v>634</v>
      </c>
      <c r="C25" t="s">
        <v>634</v>
      </c>
      <c r="D25" t="str">
        <f t="shared" si="0"/>
        <v>Sim</v>
      </c>
    </row>
    <row r="26" spans="1:4" x14ac:dyDescent="0.25">
      <c r="A26" t="s">
        <v>38</v>
      </c>
      <c r="B26" t="s">
        <v>197</v>
      </c>
      <c r="C26" t="s">
        <v>197</v>
      </c>
      <c r="D26" t="str">
        <f t="shared" si="0"/>
        <v>Sim</v>
      </c>
    </row>
    <row r="27" spans="1:4" x14ac:dyDescent="0.25">
      <c r="A27" t="s">
        <v>38</v>
      </c>
      <c r="B27" t="s">
        <v>48</v>
      </c>
      <c r="C27" t="s">
        <v>48</v>
      </c>
      <c r="D27" t="str">
        <f t="shared" si="0"/>
        <v>Sim</v>
      </c>
    </row>
    <row r="28" spans="1:4" x14ac:dyDescent="0.25">
      <c r="A28" t="s">
        <v>38</v>
      </c>
      <c r="B28" t="s">
        <v>48</v>
      </c>
      <c r="C28" t="s">
        <v>48</v>
      </c>
      <c r="D28" t="str">
        <f t="shared" si="0"/>
        <v>Sim</v>
      </c>
    </row>
    <row r="29" spans="1:4" x14ac:dyDescent="0.25">
      <c r="A29" t="s">
        <v>38</v>
      </c>
      <c r="B29" t="s">
        <v>48</v>
      </c>
      <c r="C29" t="s">
        <v>48</v>
      </c>
      <c r="D29" t="str">
        <f t="shared" si="0"/>
        <v>Sim</v>
      </c>
    </row>
    <row r="30" spans="1:4" x14ac:dyDescent="0.25">
      <c r="A30" t="s">
        <v>38</v>
      </c>
      <c r="B30" t="s">
        <v>48</v>
      </c>
      <c r="C30" t="s">
        <v>48</v>
      </c>
      <c r="D30" t="str">
        <f t="shared" si="0"/>
        <v>Sim</v>
      </c>
    </row>
    <row r="31" spans="1:4" x14ac:dyDescent="0.25">
      <c r="A31" t="s">
        <v>38</v>
      </c>
      <c r="B31" t="s">
        <v>49</v>
      </c>
      <c r="C31" t="s">
        <v>49</v>
      </c>
      <c r="D31" t="str">
        <f t="shared" si="0"/>
        <v>Sim</v>
      </c>
    </row>
    <row r="32" spans="1:4" x14ac:dyDescent="0.25">
      <c r="A32" t="s">
        <v>38</v>
      </c>
      <c r="B32" t="s">
        <v>49</v>
      </c>
      <c r="C32" t="s">
        <v>49</v>
      </c>
      <c r="D32" t="str">
        <f t="shared" si="0"/>
        <v>Sim</v>
      </c>
    </row>
    <row r="33" spans="1:4" x14ac:dyDescent="0.25">
      <c r="A33" t="s">
        <v>38</v>
      </c>
      <c r="B33" t="s">
        <v>49</v>
      </c>
      <c r="C33" t="s">
        <v>49</v>
      </c>
      <c r="D33" t="str">
        <f t="shared" si="0"/>
        <v>Sim</v>
      </c>
    </row>
    <row r="34" spans="1:4" x14ac:dyDescent="0.25">
      <c r="A34" t="s">
        <v>38</v>
      </c>
      <c r="B34" t="s">
        <v>50</v>
      </c>
      <c r="C34" t="s">
        <v>50</v>
      </c>
      <c r="D34" t="str">
        <f t="shared" si="0"/>
        <v>Sim</v>
      </c>
    </row>
    <row r="35" spans="1:4" x14ac:dyDescent="0.25">
      <c r="A35" t="s">
        <v>38</v>
      </c>
      <c r="B35" t="s">
        <v>50</v>
      </c>
      <c r="C35" t="s">
        <v>50</v>
      </c>
      <c r="D35" t="str">
        <f t="shared" si="0"/>
        <v>Sim</v>
      </c>
    </row>
    <row r="36" spans="1:4" x14ac:dyDescent="0.25">
      <c r="A36" t="s">
        <v>38</v>
      </c>
      <c r="B36" t="s">
        <v>50</v>
      </c>
      <c r="C36" t="s">
        <v>50</v>
      </c>
      <c r="D36" t="str">
        <f t="shared" si="0"/>
        <v>Sim</v>
      </c>
    </row>
    <row r="37" spans="1:4" x14ac:dyDescent="0.25">
      <c r="A37" t="s">
        <v>38</v>
      </c>
      <c r="B37" t="s">
        <v>50</v>
      </c>
      <c r="C37" t="s">
        <v>50</v>
      </c>
      <c r="D37" t="str">
        <f t="shared" si="0"/>
        <v>Sim</v>
      </c>
    </row>
    <row r="38" spans="1:4" x14ac:dyDescent="0.25">
      <c r="A38" t="s">
        <v>44</v>
      </c>
      <c r="B38" t="s">
        <v>211</v>
      </c>
      <c r="C38" t="s">
        <v>211</v>
      </c>
      <c r="D38" t="str">
        <f t="shared" ref="D38:D45" si="2">IF(B38=C38, "Sim", "Não")</f>
        <v>Sim</v>
      </c>
    </row>
    <row r="39" spans="1:4" x14ac:dyDescent="0.25">
      <c r="A39" t="s">
        <v>44</v>
      </c>
      <c r="B39" t="s">
        <v>568</v>
      </c>
      <c r="C39" t="s">
        <v>568</v>
      </c>
      <c r="D39" t="str">
        <f t="shared" si="2"/>
        <v>Sim</v>
      </c>
    </row>
    <row r="40" spans="1:4" x14ac:dyDescent="0.25">
      <c r="A40" t="s">
        <v>44</v>
      </c>
      <c r="B40" t="s">
        <v>215</v>
      </c>
      <c r="C40" t="s">
        <v>215</v>
      </c>
      <c r="D40" t="str">
        <f t="shared" si="2"/>
        <v>Sim</v>
      </c>
    </row>
    <row r="41" spans="1:4" x14ac:dyDescent="0.25">
      <c r="A41" t="s">
        <v>44</v>
      </c>
      <c r="B41" t="s">
        <v>162</v>
      </c>
      <c r="C41" t="s">
        <v>162</v>
      </c>
      <c r="D41" t="str">
        <f t="shared" si="2"/>
        <v>Sim</v>
      </c>
    </row>
    <row r="42" spans="1:4" x14ac:dyDescent="0.25">
      <c r="A42" t="s">
        <v>44</v>
      </c>
      <c r="B42" t="s">
        <v>711</v>
      </c>
      <c r="C42" t="s">
        <v>212</v>
      </c>
      <c r="D42" t="str">
        <f t="shared" si="2"/>
        <v>Não</v>
      </c>
    </row>
    <row r="43" spans="1:4" x14ac:dyDescent="0.25">
      <c r="A43" t="s">
        <v>44</v>
      </c>
      <c r="B43" t="s">
        <v>1163</v>
      </c>
      <c r="C43" t="s">
        <v>1163</v>
      </c>
      <c r="D43" t="str">
        <f t="shared" si="2"/>
        <v>Sim</v>
      </c>
    </row>
    <row r="44" spans="1:4" x14ac:dyDescent="0.25">
      <c r="A44" t="s">
        <v>44</v>
      </c>
      <c r="B44" t="s">
        <v>1164</v>
      </c>
      <c r="C44" t="s">
        <v>1164</v>
      </c>
      <c r="D44" t="str">
        <f t="shared" si="2"/>
        <v>Sim</v>
      </c>
    </row>
    <row r="45" spans="1:4" x14ac:dyDescent="0.25">
      <c r="A45" t="s">
        <v>44</v>
      </c>
      <c r="B45" t="s">
        <v>364</v>
      </c>
      <c r="C45" t="s">
        <v>364</v>
      </c>
      <c r="D45" t="str">
        <f t="shared" si="2"/>
        <v>Sim</v>
      </c>
    </row>
    <row r="46" spans="1:4" x14ac:dyDescent="0.25">
      <c r="A46" t="s">
        <v>45</v>
      </c>
      <c r="B46" t="s">
        <v>1129</v>
      </c>
      <c r="C46" t="s">
        <v>1129</v>
      </c>
      <c r="D46" t="str">
        <f t="shared" si="0"/>
        <v>Sim</v>
      </c>
    </row>
    <row r="47" spans="1:4" x14ac:dyDescent="0.25">
      <c r="A47" t="s">
        <v>45</v>
      </c>
      <c r="B47" t="s">
        <v>1130</v>
      </c>
      <c r="C47" t="s">
        <v>1130</v>
      </c>
      <c r="D47" t="str">
        <f t="shared" si="0"/>
        <v>Sim</v>
      </c>
    </row>
    <row r="48" spans="1:4" x14ac:dyDescent="0.25">
      <c r="A48" t="s">
        <v>45</v>
      </c>
      <c r="B48" t="s">
        <v>1133</v>
      </c>
      <c r="C48" t="s">
        <v>1133</v>
      </c>
      <c r="D48" t="str">
        <f t="shared" si="0"/>
        <v>Sim</v>
      </c>
    </row>
    <row r="49" spans="1:4" x14ac:dyDescent="0.25">
      <c r="A49" t="s">
        <v>45</v>
      </c>
      <c r="B49" t="s">
        <v>1134</v>
      </c>
      <c r="C49" t="s">
        <v>1566</v>
      </c>
      <c r="D49" t="str">
        <f t="shared" si="0"/>
        <v>Não</v>
      </c>
    </row>
    <row r="50" spans="1:4" x14ac:dyDescent="0.25">
      <c r="A50" t="s">
        <v>45</v>
      </c>
      <c r="B50" t="s">
        <v>1135</v>
      </c>
      <c r="C50" t="s">
        <v>1947</v>
      </c>
      <c r="D50" t="str">
        <f t="shared" si="0"/>
        <v>Não</v>
      </c>
    </row>
    <row r="51" spans="1:4" x14ac:dyDescent="0.25">
      <c r="A51" t="s">
        <v>45</v>
      </c>
      <c r="B51" t="s">
        <v>1139</v>
      </c>
      <c r="C51" t="s">
        <v>1139</v>
      </c>
      <c r="D51" t="str">
        <f t="shared" si="0"/>
        <v>Sim</v>
      </c>
    </row>
    <row r="52" spans="1:4" x14ac:dyDescent="0.25">
      <c r="A52" t="s">
        <v>45</v>
      </c>
      <c r="B52" t="s">
        <v>1140</v>
      </c>
      <c r="C52" t="s">
        <v>1140</v>
      </c>
      <c r="D52" t="str">
        <f t="shared" si="0"/>
        <v>Sim</v>
      </c>
    </row>
    <row r="53" spans="1:4" x14ac:dyDescent="0.25">
      <c r="A53" t="s">
        <v>45</v>
      </c>
      <c r="B53" t="s">
        <v>1141</v>
      </c>
      <c r="C53" t="s">
        <v>1141</v>
      </c>
      <c r="D53" t="str">
        <f t="shared" si="0"/>
        <v>Sim</v>
      </c>
    </row>
    <row r="54" spans="1:4" x14ac:dyDescent="0.25">
      <c r="A54" t="s">
        <v>45</v>
      </c>
      <c r="B54" t="s">
        <v>1142</v>
      </c>
      <c r="C54" t="s">
        <v>1142</v>
      </c>
      <c r="D54" t="str">
        <f t="shared" si="0"/>
        <v>Sim</v>
      </c>
    </row>
    <row r="55" spans="1:4" x14ac:dyDescent="0.25">
      <c r="A55" t="s">
        <v>45</v>
      </c>
      <c r="B55" t="s">
        <v>1132</v>
      </c>
      <c r="C55" t="s">
        <v>1132</v>
      </c>
      <c r="D55" t="str">
        <f>IF(B55=C55, "Sim", "Não")</f>
        <v>Sim</v>
      </c>
    </row>
    <row r="56" spans="1:4" x14ac:dyDescent="0.25">
      <c r="A56" t="s">
        <v>45</v>
      </c>
      <c r="B56" t="s">
        <v>1946</v>
      </c>
      <c r="C56" t="s">
        <v>1946</v>
      </c>
      <c r="D56" t="str">
        <f>IF(B56=C56, "Sim", "Não")</f>
        <v>Sim</v>
      </c>
    </row>
    <row r="57" spans="1:4" x14ac:dyDescent="0.25">
      <c r="A57" t="s">
        <v>45</v>
      </c>
      <c r="B57" t="s">
        <v>1136</v>
      </c>
      <c r="C57" t="s">
        <v>1136</v>
      </c>
      <c r="D57" t="str">
        <f>IF(B57=C57, "Sim", "Não")</f>
        <v>Sim</v>
      </c>
    </row>
    <row r="58" spans="1:4" x14ac:dyDescent="0.25">
      <c r="A58" t="s">
        <v>73</v>
      </c>
      <c r="B58" t="s">
        <v>1143</v>
      </c>
      <c r="C58" t="s">
        <v>1143</v>
      </c>
      <c r="D58" t="str">
        <f t="shared" si="0"/>
        <v>Sim</v>
      </c>
    </row>
    <row r="59" spans="1:4" x14ac:dyDescent="0.25">
      <c r="A59" t="s">
        <v>73</v>
      </c>
      <c r="B59" t="s">
        <v>1144</v>
      </c>
      <c r="C59" t="s">
        <v>1144</v>
      </c>
      <c r="D59" t="str">
        <f t="shared" si="0"/>
        <v>Sim</v>
      </c>
    </row>
    <row r="60" spans="1:4" x14ac:dyDescent="0.25">
      <c r="A60" t="s">
        <v>73</v>
      </c>
      <c r="B60" t="s">
        <v>1145</v>
      </c>
      <c r="C60" t="s">
        <v>1145</v>
      </c>
      <c r="D60" t="str">
        <f t="shared" si="0"/>
        <v>Sim</v>
      </c>
    </row>
    <row r="61" spans="1:4" x14ac:dyDescent="0.25">
      <c r="A61" t="s">
        <v>73</v>
      </c>
      <c r="B61" t="s">
        <v>1146</v>
      </c>
      <c r="C61" t="s">
        <v>1146</v>
      </c>
      <c r="D61" t="str">
        <f t="shared" si="0"/>
        <v>Sim</v>
      </c>
    </row>
    <row r="62" spans="1:4" x14ac:dyDescent="0.25">
      <c r="A62" t="s">
        <v>73</v>
      </c>
      <c r="B62" t="s">
        <v>1147</v>
      </c>
      <c r="C62" t="s">
        <v>1147</v>
      </c>
      <c r="D62" t="str">
        <f t="shared" si="0"/>
        <v>Sim</v>
      </c>
    </row>
    <row r="63" spans="1:4" x14ac:dyDescent="0.25">
      <c r="A63" t="s">
        <v>73</v>
      </c>
      <c r="B63" t="s">
        <v>1148</v>
      </c>
      <c r="C63" t="s">
        <v>1148</v>
      </c>
      <c r="D63" t="str">
        <f t="shared" si="0"/>
        <v>Sim</v>
      </c>
    </row>
    <row r="64" spans="1:4" x14ac:dyDescent="0.25">
      <c r="A64" t="s">
        <v>73</v>
      </c>
      <c r="B64" t="s">
        <v>1149</v>
      </c>
      <c r="C64" t="s">
        <v>1149</v>
      </c>
      <c r="D64" t="str">
        <f t="shared" si="0"/>
        <v>Sim</v>
      </c>
    </row>
    <row r="65" spans="1:4" x14ac:dyDescent="0.25">
      <c r="A65" t="s">
        <v>73</v>
      </c>
      <c r="B65" t="s">
        <v>1150</v>
      </c>
      <c r="C65" t="s">
        <v>1150</v>
      </c>
      <c r="D65" t="str">
        <f t="shared" si="0"/>
        <v>Sim</v>
      </c>
    </row>
    <row r="66" spans="1:4" x14ac:dyDescent="0.25">
      <c r="A66" t="s">
        <v>73</v>
      </c>
      <c r="B66" t="s">
        <v>1151</v>
      </c>
      <c r="C66" t="s">
        <v>1151</v>
      </c>
      <c r="D66" t="str">
        <f t="shared" si="0"/>
        <v>Sim</v>
      </c>
    </row>
    <row r="67" spans="1:4" x14ac:dyDescent="0.25">
      <c r="A67" t="s">
        <v>73</v>
      </c>
      <c r="B67" t="s">
        <v>1152</v>
      </c>
      <c r="C67" t="s">
        <v>1152</v>
      </c>
      <c r="D67" t="str">
        <f t="shared" si="0"/>
        <v>Sim</v>
      </c>
    </row>
    <row r="68" spans="1:4" x14ac:dyDescent="0.25">
      <c r="A68" t="s">
        <v>1121</v>
      </c>
      <c r="B68" t="s">
        <v>1153</v>
      </c>
      <c r="C68" t="s">
        <v>1153</v>
      </c>
      <c r="D68" t="str">
        <f t="shared" si="0"/>
        <v>Sim</v>
      </c>
    </row>
    <row r="69" spans="1:4" x14ac:dyDescent="0.25">
      <c r="A69" t="s">
        <v>1121</v>
      </c>
      <c r="B69" t="s">
        <v>1156</v>
      </c>
      <c r="C69" t="s">
        <v>1156</v>
      </c>
      <c r="D69" t="str">
        <f>IF(B69=C69, "Sim", "Não")</f>
        <v>Sim</v>
      </c>
    </row>
    <row r="70" spans="1:4" x14ac:dyDescent="0.25">
      <c r="A70" t="s">
        <v>1121</v>
      </c>
      <c r="B70" t="s">
        <v>1154</v>
      </c>
      <c r="C70" t="s">
        <v>1154</v>
      </c>
      <c r="D70" t="str">
        <f t="shared" si="0"/>
        <v>Sim</v>
      </c>
    </row>
    <row r="71" spans="1:4" x14ac:dyDescent="0.25">
      <c r="A71" t="s">
        <v>1121</v>
      </c>
      <c r="B71" t="s">
        <v>1155</v>
      </c>
      <c r="C71" t="s">
        <v>1155</v>
      </c>
      <c r="D71" t="str">
        <f t="shared" ref="D71:D101" si="3">IF(B71=C71, "Sim", "Não")</f>
        <v>Sim</v>
      </c>
    </row>
    <row r="72" spans="1:4" x14ac:dyDescent="0.25">
      <c r="A72" t="s">
        <v>343</v>
      </c>
      <c r="B72" t="s">
        <v>1137</v>
      </c>
      <c r="C72" t="s">
        <v>1137</v>
      </c>
      <c r="D72" t="str">
        <f>IF(B72=C72, "Sim", "Não")</f>
        <v>Sim</v>
      </c>
    </row>
    <row r="73" spans="1:4" x14ac:dyDescent="0.25">
      <c r="A73" t="s">
        <v>343</v>
      </c>
      <c r="B73" t="s">
        <v>1138</v>
      </c>
      <c r="C73" t="s">
        <v>1138</v>
      </c>
      <c r="D73" t="str">
        <f>IF(B73=C73, "Sim", "Não")</f>
        <v>Sim</v>
      </c>
    </row>
    <row r="74" spans="1:4" x14ac:dyDescent="0.25">
      <c r="A74" t="s">
        <v>343</v>
      </c>
      <c r="B74" t="s">
        <v>1131</v>
      </c>
      <c r="C74" t="s">
        <v>1943</v>
      </c>
      <c r="D74" t="str">
        <f>IF(B74=C74, "Sim", "Não")</f>
        <v>Não</v>
      </c>
    </row>
    <row r="75" spans="1:4" x14ac:dyDescent="0.25">
      <c r="A75" t="s">
        <v>343</v>
      </c>
      <c r="B75" t="s">
        <v>1157</v>
      </c>
      <c r="C75" t="s">
        <v>1157</v>
      </c>
      <c r="D75" t="str">
        <f t="shared" si="3"/>
        <v>Sim</v>
      </c>
    </row>
    <row r="76" spans="1:4" x14ac:dyDescent="0.25">
      <c r="A76" t="s">
        <v>343</v>
      </c>
      <c r="B76" t="s">
        <v>1158</v>
      </c>
      <c r="C76" t="s">
        <v>1159</v>
      </c>
      <c r="D76" t="str">
        <f t="shared" si="3"/>
        <v>Não</v>
      </c>
    </row>
    <row r="77" spans="1:4" x14ac:dyDescent="0.25">
      <c r="A77" t="s">
        <v>343</v>
      </c>
      <c r="B77" t="s">
        <v>1160</v>
      </c>
      <c r="C77" t="s">
        <v>1160</v>
      </c>
      <c r="D77" t="str">
        <f t="shared" si="3"/>
        <v>Sim</v>
      </c>
    </row>
    <row r="78" spans="1:4" x14ac:dyDescent="0.25">
      <c r="A78" t="s">
        <v>343</v>
      </c>
      <c r="B78" t="s">
        <v>1161</v>
      </c>
      <c r="C78" t="s">
        <v>1161</v>
      </c>
      <c r="D78" t="str">
        <f t="shared" si="3"/>
        <v>Sim</v>
      </c>
    </row>
    <row r="79" spans="1:4" x14ac:dyDescent="0.25">
      <c r="A79" t="s">
        <v>343</v>
      </c>
      <c r="B79" t="s">
        <v>1162</v>
      </c>
      <c r="C79" t="s">
        <v>1162</v>
      </c>
      <c r="D79" t="str">
        <f t="shared" si="3"/>
        <v>Sim</v>
      </c>
    </row>
    <row r="80" spans="1:4" x14ac:dyDescent="0.25">
      <c r="A80" t="s">
        <v>343</v>
      </c>
      <c r="B80" t="s">
        <v>1642</v>
      </c>
      <c r="C80" t="s">
        <v>1941</v>
      </c>
      <c r="D80" t="str">
        <f t="shared" ref="D80:D87" si="4">IF(B80=C80, "Sim", "Não")</f>
        <v>Não</v>
      </c>
    </row>
    <row r="81" spans="1:4" x14ac:dyDescent="0.25">
      <c r="A81" t="s">
        <v>343</v>
      </c>
      <c r="B81" t="s">
        <v>1166</v>
      </c>
      <c r="C81" t="s">
        <v>1940</v>
      </c>
      <c r="D81" t="str">
        <f t="shared" si="4"/>
        <v>Não</v>
      </c>
    </row>
    <row r="82" spans="1:4" x14ac:dyDescent="0.25">
      <c r="A82" t="s">
        <v>343</v>
      </c>
      <c r="B82" t="s">
        <v>1168</v>
      </c>
      <c r="C82" t="s">
        <v>1168</v>
      </c>
      <c r="D82" t="str">
        <f t="shared" si="4"/>
        <v>Sim</v>
      </c>
    </row>
    <row r="83" spans="1:4" x14ac:dyDescent="0.25">
      <c r="A83" t="s">
        <v>343</v>
      </c>
      <c r="B83" t="s">
        <v>1944</v>
      </c>
      <c r="C83" t="s">
        <v>1944</v>
      </c>
      <c r="D83" t="str">
        <f t="shared" si="4"/>
        <v>Sim</v>
      </c>
    </row>
    <row r="84" spans="1:4" x14ac:dyDescent="0.25">
      <c r="A84" t="s">
        <v>343</v>
      </c>
      <c r="B84" t="s">
        <v>310</v>
      </c>
      <c r="C84" t="s">
        <v>310</v>
      </c>
      <c r="D84" t="str">
        <f t="shared" si="4"/>
        <v>Sim</v>
      </c>
    </row>
    <row r="85" spans="1:4" x14ac:dyDescent="0.25">
      <c r="A85" t="s">
        <v>343</v>
      </c>
      <c r="B85" t="s">
        <v>1171</v>
      </c>
      <c r="C85" t="s">
        <v>1171</v>
      </c>
      <c r="D85" t="str">
        <f t="shared" si="4"/>
        <v>Sim</v>
      </c>
    </row>
    <row r="86" spans="1:4" x14ac:dyDescent="0.25">
      <c r="A86" t="s">
        <v>343</v>
      </c>
      <c r="B86" t="s">
        <v>1173</v>
      </c>
      <c r="C86" t="s">
        <v>1173</v>
      </c>
      <c r="D86" t="str">
        <f t="shared" si="4"/>
        <v>Sim</v>
      </c>
    </row>
    <row r="87" spans="1:4" x14ac:dyDescent="0.25">
      <c r="A87" t="s">
        <v>343</v>
      </c>
      <c r="B87" t="s">
        <v>1174</v>
      </c>
      <c r="C87" t="s">
        <v>1174</v>
      </c>
      <c r="D87" t="str">
        <f t="shared" si="4"/>
        <v>Sim</v>
      </c>
    </row>
    <row r="88" spans="1:4" x14ac:dyDescent="0.25">
      <c r="A88" t="s">
        <v>46</v>
      </c>
      <c r="B88" t="s">
        <v>331</v>
      </c>
      <c r="C88" t="s">
        <v>331</v>
      </c>
      <c r="D88" t="str">
        <f t="shared" si="3"/>
        <v>Sim</v>
      </c>
    </row>
    <row r="89" spans="1:4" x14ac:dyDescent="0.25">
      <c r="A89" t="s">
        <v>46</v>
      </c>
      <c r="B89" t="s">
        <v>795</v>
      </c>
      <c r="C89" t="s">
        <v>795</v>
      </c>
      <c r="D89" t="str">
        <f t="shared" si="3"/>
        <v>Sim</v>
      </c>
    </row>
    <row r="90" spans="1:4" x14ac:dyDescent="0.25">
      <c r="A90" t="s">
        <v>46</v>
      </c>
      <c r="B90" t="s">
        <v>722</v>
      </c>
      <c r="C90" t="s">
        <v>722</v>
      </c>
      <c r="D90" t="str">
        <f t="shared" si="3"/>
        <v>Sim</v>
      </c>
    </row>
    <row r="91" spans="1:4" x14ac:dyDescent="0.25">
      <c r="A91" t="s">
        <v>46</v>
      </c>
      <c r="B91" t="s">
        <v>378</v>
      </c>
      <c r="C91" t="s">
        <v>378</v>
      </c>
      <c r="D91" t="str">
        <f t="shared" si="3"/>
        <v>Sim</v>
      </c>
    </row>
    <row r="92" spans="1:4" x14ac:dyDescent="0.25">
      <c r="A92" t="s">
        <v>46</v>
      </c>
      <c r="B92" t="s">
        <v>132</v>
      </c>
      <c r="C92" t="s">
        <v>132</v>
      </c>
      <c r="D92" t="str">
        <f t="shared" si="3"/>
        <v>Sim</v>
      </c>
    </row>
    <row r="93" spans="1:4" x14ac:dyDescent="0.25">
      <c r="A93" t="s">
        <v>46</v>
      </c>
      <c r="B93" t="s">
        <v>184</v>
      </c>
      <c r="C93" t="s">
        <v>184</v>
      </c>
      <c r="D93" t="str">
        <f t="shared" si="3"/>
        <v>Sim</v>
      </c>
    </row>
    <row r="94" spans="1:4" x14ac:dyDescent="0.25">
      <c r="A94" t="s">
        <v>46</v>
      </c>
      <c r="B94" t="s">
        <v>182</v>
      </c>
      <c r="C94" t="s">
        <v>1942</v>
      </c>
      <c r="D94" t="str">
        <f t="shared" si="3"/>
        <v>Não</v>
      </c>
    </row>
    <row r="95" spans="1:4" x14ac:dyDescent="0.25">
      <c r="A95" t="s">
        <v>198</v>
      </c>
      <c r="B95" t="s">
        <v>1948</v>
      </c>
      <c r="C95" t="s">
        <v>1948</v>
      </c>
      <c r="D95" t="str">
        <f t="shared" si="3"/>
        <v>Sim</v>
      </c>
    </row>
    <row r="96" spans="1:4" x14ac:dyDescent="0.25">
      <c r="A96" t="s">
        <v>198</v>
      </c>
      <c r="B96" t="s">
        <v>577</v>
      </c>
      <c r="C96" t="s">
        <v>577</v>
      </c>
      <c r="D96" t="str">
        <f>IF(B96=C96, "Sim", "Não")</f>
        <v>Sim</v>
      </c>
    </row>
    <row r="97" spans="1:4" x14ac:dyDescent="0.25">
      <c r="A97" t="s">
        <v>198</v>
      </c>
      <c r="B97" t="s">
        <v>1169</v>
      </c>
      <c r="C97" t="s">
        <v>1169</v>
      </c>
      <c r="D97" t="str">
        <f>IF(B97=C97, "Sim", "Não")</f>
        <v>Sim</v>
      </c>
    </row>
    <row r="98" spans="1:4" x14ac:dyDescent="0.25">
      <c r="A98" t="s">
        <v>198</v>
      </c>
      <c r="B98" t="s">
        <v>1165</v>
      </c>
      <c r="C98" t="s">
        <v>1165</v>
      </c>
      <c r="D98" t="str">
        <f>IF(B98=C98, "Sim", "Não")</f>
        <v>Sim</v>
      </c>
    </row>
    <row r="99" spans="1:4" x14ac:dyDescent="0.25">
      <c r="A99" t="s">
        <v>198</v>
      </c>
      <c r="B99" t="s">
        <v>1172</v>
      </c>
      <c r="C99" t="s">
        <v>1172</v>
      </c>
      <c r="D99" t="str">
        <f>IF(B99=C99, "Sim", "Não")</f>
        <v>Sim</v>
      </c>
    </row>
    <row r="100" spans="1:4" x14ac:dyDescent="0.25">
      <c r="A100" t="s">
        <v>198</v>
      </c>
      <c r="B100" t="s">
        <v>1167</v>
      </c>
      <c r="C100" t="s">
        <v>1167</v>
      </c>
      <c r="D100" t="str">
        <f>IF(B100=C100, "Sim", "Não")</f>
        <v>Sim</v>
      </c>
    </row>
    <row r="101" spans="1:4" x14ac:dyDescent="0.25">
      <c r="A101" t="s">
        <v>198</v>
      </c>
      <c r="B101" t="s">
        <v>1175</v>
      </c>
      <c r="C101" t="s">
        <v>1176</v>
      </c>
      <c r="D101" t="str">
        <f t="shared" si="3"/>
        <v>Não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34962-DB48-4C8D-A9F7-3CEA30E9EFC3}">
  <sheetPr codeName="Planilha23"/>
  <dimension ref="A1:G101"/>
  <sheetViews>
    <sheetView topLeftCell="A54" workbookViewId="0">
      <selection activeCell="C70" sqref="C70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28" t="s">
        <v>29</v>
      </c>
      <c r="B1" s="28"/>
      <c r="C1" s="28"/>
      <c r="D1" s="28"/>
      <c r="E1" s="28"/>
      <c r="F1" s="28"/>
      <c r="G1" s="28"/>
    </row>
    <row r="2" spans="1:7" x14ac:dyDescent="0.25">
      <c r="A2" s="4" t="s">
        <v>34</v>
      </c>
      <c r="B2" s="4" t="s">
        <v>35</v>
      </c>
      <c r="C2" s="4" t="s">
        <v>36</v>
      </c>
      <c r="D2" s="4" t="s">
        <v>37</v>
      </c>
    </row>
    <row r="3" spans="1:7" x14ac:dyDescent="0.25">
      <c r="A3" t="s">
        <v>38</v>
      </c>
      <c r="B3" t="s">
        <v>1177</v>
      </c>
      <c r="C3" t="s">
        <v>1177</v>
      </c>
      <c r="D3" t="str">
        <f>IF(B3=C3, "Sim", "Não")</f>
        <v>Sim</v>
      </c>
      <c r="F3" s="4" t="s">
        <v>39</v>
      </c>
      <c r="G3" s="3">
        <f>COUNTIF(D3:D105,"Não")</f>
        <v>17</v>
      </c>
    </row>
    <row r="4" spans="1:7" x14ac:dyDescent="0.25">
      <c r="A4" t="s">
        <v>38</v>
      </c>
      <c r="B4" t="s">
        <v>1178</v>
      </c>
      <c r="C4" t="s">
        <v>1178</v>
      </c>
      <c r="D4" t="str">
        <f t="shared" ref="D4:D66" si="0">IF(B4=C4, "Sim", "Não")</f>
        <v>Sim</v>
      </c>
      <c r="F4" s="4" t="s">
        <v>40</v>
      </c>
      <c r="G4" s="3">
        <f>SUM(G7:G25)</f>
        <v>99</v>
      </c>
    </row>
    <row r="5" spans="1:7" x14ac:dyDescent="0.25">
      <c r="A5" t="s">
        <v>38</v>
      </c>
      <c r="B5" t="s">
        <v>485</v>
      </c>
      <c r="C5" t="s">
        <v>485</v>
      </c>
      <c r="D5" t="str">
        <f t="shared" si="0"/>
        <v>Sim</v>
      </c>
    </row>
    <row r="6" spans="1:7" x14ac:dyDescent="0.25">
      <c r="A6" t="s">
        <v>38</v>
      </c>
      <c r="B6" t="s">
        <v>1179</v>
      </c>
      <c r="C6" t="s">
        <v>628</v>
      </c>
      <c r="D6" t="str">
        <f t="shared" si="0"/>
        <v>Não</v>
      </c>
      <c r="F6" s="6" t="s">
        <v>42</v>
      </c>
      <c r="G6" s="1"/>
    </row>
    <row r="7" spans="1:7" x14ac:dyDescent="0.25">
      <c r="A7" t="s">
        <v>38</v>
      </c>
      <c r="B7" t="s">
        <v>1125</v>
      </c>
      <c r="C7" t="s">
        <v>1125</v>
      </c>
      <c r="D7" t="str">
        <f t="shared" si="0"/>
        <v>Sim</v>
      </c>
      <c r="F7" s="1" t="s">
        <v>38</v>
      </c>
      <c r="G7" s="2">
        <f t="shared" ref="G7:G14" si="1">COUNTIF(A:A,F7)</f>
        <v>38</v>
      </c>
    </row>
    <row r="8" spans="1:7" x14ac:dyDescent="0.25">
      <c r="A8" t="s">
        <v>38</v>
      </c>
      <c r="B8" t="s">
        <v>210</v>
      </c>
      <c r="C8" t="s">
        <v>74</v>
      </c>
      <c r="D8" t="str">
        <f t="shared" si="0"/>
        <v>Não</v>
      </c>
      <c r="F8" s="1" t="s">
        <v>45</v>
      </c>
      <c r="G8" s="2">
        <f t="shared" si="1"/>
        <v>12</v>
      </c>
    </row>
    <row r="9" spans="1:7" x14ac:dyDescent="0.25">
      <c r="A9" t="s">
        <v>38</v>
      </c>
      <c r="B9" t="s">
        <v>1180</v>
      </c>
      <c r="C9" t="s">
        <v>1180</v>
      </c>
      <c r="D9" t="str">
        <f t="shared" si="0"/>
        <v>Sim</v>
      </c>
      <c r="F9" s="1" t="s">
        <v>277</v>
      </c>
      <c r="G9" s="2">
        <f t="shared" si="1"/>
        <v>21</v>
      </c>
    </row>
    <row r="10" spans="1:7" x14ac:dyDescent="0.25">
      <c r="A10" t="s">
        <v>38</v>
      </c>
      <c r="B10" t="s">
        <v>1181</v>
      </c>
      <c r="C10" t="s">
        <v>1181</v>
      </c>
      <c r="D10" t="str">
        <f t="shared" si="0"/>
        <v>Sim</v>
      </c>
      <c r="F10" s="1" t="s">
        <v>54</v>
      </c>
      <c r="G10" s="2">
        <f t="shared" si="1"/>
        <v>0</v>
      </c>
    </row>
    <row r="11" spans="1:7" x14ac:dyDescent="0.25">
      <c r="A11" t="s">
        <v>38</v>
      </c>
      <c r="B11" t="s">
        <v>1182</v>
      </c>
      <c r="C11" t="s">
        <v>1182</v>
      </c>
      <c r="D11" t="str">
        <f t="shared" si="0"/>
        <v>Sim</v>
      </c>
      <c r="F11" s="1" t="s">
        <v>345</v>
      </c>
      <c r="G11" s="2">
        <f t="shared" si="1"/>
        <v>7</v>
      </c>
    </row>
    <row r="12" spans="1:7" x14ac:dyDescent="0.25">
      <c r="A12" t="s">
        <v>38</v>
      </c>
      <c r="B12" t="s">
        <v>1183</v>
      </c>
      <c r="C12" t="s">
        <v>1183</v>
      </c>
      <c r="D12" t="str">
        <f t="shared" si="0"/>
        <v>Sim</v>
      </c>
      <c r="F12" s="1" t="s">
        <v>73</v>
      </c>
      <c r="G12" s="2">
        <f t="shared" si="1"/>
        <v>8</v>
      </c>
    </row>
    <row r="13" spans="1:7" x14ac:dyDescent="0.25">
      <c r="A13" t="s">
        <v>38</v>
      </c>
      <c r="B13" t="s">
        <v>1184</v>
      </c>
      <c r="C13" t="s">
        <v>1185</v>
      </c>
      <c r="D13" t="str">
        <f t="shared" si="0"/>
        <v>Não</v>
      </c>
      <c r="F13" s="1" t="s">
        <v>1186</v>
      </c>
      <c r="G13" s="2">
        <f t="shared" si="1"/>
        <v>4</v>
      </c>
    </row>
    <row r="14" spans="1:7" x14ac:dyDescent="0.25">
      <c r="A14" t="s">
        <v>38</v>
      </c>
      <c r="B14" t="s">
        <v>1119</v>
      </c>
      <c r="C14" t="s">
        <v>1119</v>
      </c>
      <c r="D14" t="str">
        <f t="shared" si="0"/>
        <v>Sim</v>
      </c>
      <c r="F14" s="1" t="s">
        <v>1187</v>
      </c>
      <c r="G14" s="2">
        <f t="shared" si="1"/>
        <v>9</v>
      </c>
    </row>
    <row r="15" spans="1:7" x14ac:dyDescent="0.25">
      <c r="A15" t="s">
        <v>38</v>
      </c>
      <c r="B15" t="s">
        <v>43</v>
      </c>
      <c r="C15" t="s">
        <v>43</v>
      </c>
      <c r="D15" t="str">
        <f t="shared" si="0"/>
        <v>Sim</v>
      </c>
      <c r="F15" s="4"/>
      <c r="G15" s="2"/>
    </row>
    <row r="16" spans="1:7" x14ac:dyDescent="0.25">
      <c r="A16" t="s">
        <v>38</v>
      </c>
      <c r="B16" t="s">
        <v>278</v>
      </c>
      <c r="C16" t="s">
        <v>278</v>
      </c>
      <c r="D16" t="str">
        <f t="shared" si="0"/>
        <v>Sim</v>
      </c>
      <c r="F16" s="4"/>
      <c r="G16" s="2"/>
    </row>
    <row r="17" spans="1:4" x14ac:dyDescent="0.25">
      <c r="A17" t="s">
        <v>38</v>
      </c>
      <c r="B17" t="s">
        <v>210</v>
      </c>
      <c r="C17" t="s">
        <v>428</v>
      </c>
      <c r="D17" t="str">
        <f t="shared" si="0"/>
        <v>Não</v>
      </c>
    </row>
    <row r="18" spans="1:4" x14ac:dyDescent="0.25">
      <c r="A18" t="s">
        <v>38</v>
      </c>
      <c r="B18" t="s">
        <v>145</v>
      </c>
      <c r="C18" t="s">
        <v>145</v>
      </c>
      <c r="D18" t="str">
        <f t="shared" si="0"/>
        <v>Sim</v>
      </c>
    </row>
    <row r="19" spans="1:4" x14ac:dyDescent="0.25">
      <c r="A19" t="s">
        <v>38</v>
      </c>
      <c r="B19" t="s">
        <v>1188</v>
      </c>
      <c r="C19" t="s">
        <v>1188</v>
      </c>
      <c r="D19" t="str">
        <f t="shared" si="0"/>
        <v>Sim</v>
      </c>
    </row>
    <row r="20" spans="1:4" x14ac:dyDescent="0.25">
      <c r="A20" t="s">
        <v>38</v>
      </c>
      <c r="B20" t="s">
        <v>72</v>
      </c>
      <c r="C20" t="s">
        <v>72</v>
      </c>
      <c r="D20" t="str">
        <f t="shared" si="0"/>
        <v>Sim</v>
      </c>
    </row>
    <row r="21" spans="1:4" x14ac:dyDescent="0.25">
      <c r="A21" t="s">
        <v>38</v>
      </c>
      <c r="B21" t="s">
        <v>284</v>
      </c>
      <c r="C21" t="s">
        <v>284</v>
      </c>
      <c r="D21" t="str">
        <f t="shared" si="0"/>
        <v>Sim</v>
      </c>
    </row>
    <row r="22" spans="1:4" x14ac:dyDescent="0.25">
      <c r="A22" t="s">
        <v>38</v>
      </c>
      <c r="B22" t="s">
        <v>1189</v>
      </c>
      <c r="C22" t="s">
        <v>1189</v>
      </c>
      <c r="D22" t="str">
        <f t="shared" si="0"/>
        <v>Sim</v>
      </c>
    </row>
    <row r="23" spans="1:4" x14ac:dyDescent="0.25">
      <c r="A23" t="s">
        <v>38</v>
      </c>
      <c r="B23" t="s">
        <v>68</v>
      </c>
      <c r="C23" t="s">
        <v>68</v>
      </c>
      <c r="D23" t="str">
        <f t="shared" ref="D23:D33" si="2">IF(B23=C23, "Sim", "Não")</f>
        <v>Sim</v>
      </c>
    </row>
    <row r="24" spans="1:4" x14ac:dyDescent="0.25">
      <c r="A24" t="s">
        <v>38</v>
      </c>
      <c r="B24" t="s">
        <v>1792</v>
      </c>
      <c r="C24" t="s">
        <v>1792</v>
      </c>
      <c r="D24" t="str">
        <f t="shared" si="2"/>
        <v>Sim</v>
      </c>
    </row>
    <row r="25" spans="1:4" x14ac:dyDescent="0.25">
      <c r="A25" t="s">
        <v>38</v>
      </c>
      <c r="B25" t="s">
        <v>90</v>
      </c>
      <c r="C25" t="s">
        <v>155</v>
      </c>
      <c r="D25" t="str">
        <f t="shared" si="2"/>
        <v>Não</v>
      </c>
    </row>
    <row r="26" spans="1:4" x14ac:dyDescent="0.25">
      <c r="A26" t="s">
        <v>38</v>
      </c>
      <c r="B26" t="s">
        <v>210</v>
      </c>
      <c r="C26" t="s">
        <v>210</v>
      </c>
      <c r="D26" t="str">
        <f t="shared" si="2"/>
        <v>Sim</v>
      </c>
    </row>
    <row r="27" spans="1:4" x14ac:dyDescent="0.25">
      <c r="A27" t="s">
        <v>38</v>
      </c>
      <c r="B27" t="s">
        <v>210</v>
      </c>
      <c r="C27" t="s">
        <v>210</v>
      </c>
      <c r="D27" t="str">
        <f t="shared" si="2"/>
        <v>Sim</v>
      </c>
    </row>
    <row r="28" spans="1:4" x14ac:dyDescent="0.25">
      <c r="A28" t="s">
        <v>38</v>
      </c>
      <c r="B28" t="s">
        <v>210</v>
      </c>
      <c r="C28" t="s">
        <v>210</v>
      </c>
      <c r="D28" t="str">
        <f t="shared" si="2"/>
        <v>Sim</v>
      </c>
    </row>
    <row r="29" spans="1:4" x14ac:dyDescent="0.25">
      <c r="A29" t="s">
        <v>38</v>
      </c>
      <c r="B29" t="s">
        <v>210</v>
      </c>
      <c r="C29" t="s">
        <v>210</v>
      </c>
      <c r="D29" t="str">
        <f t="shared" si="2"/>
        <v>Sim</v>
      </c>
    </row>
    <row r="30" spans="1:4" x14ac:dyDescent="0.25">
      <c r="A30" t="s">
        <v>38</v>
      </c>
      <c r="B30" t="s">
        <v>210</v>
      </c>
      <c r="C30" t="s">
        <v>210</v>
      </c>
      <c r="D30" t="str">
        <f t="shared" si="2"/>
        <v>Sim</v>
      </c>
    </row>
    <row r="31" spans="1:4" x14ac:dyDescent="0.25">
      <c r="A31" t="s">
        <v>38</v>
      </c>
      <c r="B31" t="s">
        <v>210</v>
      </c>
      <c r="C31" t="s">
        <v>210</v>
      </c>
      <c r="D31" t="str">
        <f t="shared" si="2"/>
        <v>Sim</v>
      </c>
    </row>
    <row r="32" spans="1:4" x14ac:dyDescent="0.25">
      <c r="A32" t="s">
        <v>38</v>
      </c>
      <c r="B32" t="s">
        <v>210</v>
      </c>
      <c r="C32" t="s">
        <v>210</v>
      </c>
      <c r="D32" t="str">
        <f t="shared" si="2"/>
        <v>Sim</v>
      </c>
    </row>
    <row r="33" spans="1:4" x14ac:dyDescent="0.25">
      <c r="A33" t="s">
        <v>38</v>
      </c>
      <c r="B33" t="s">
        <v>210</v>
      </c>
      <c r="C33" t="s">
        <v>210</v>
      </c>
      <c r="D33" t="str">
        <f t="shared" si="2"/>
        <v>Sim</v>
      </c>
    </row>
    <row r="34" spans="1:4" x14ac:dyDescent="0.25">
      <c r="A34" t="s">
        <v>38</v>
      </c>
      <c r="B34" t="s">
        <v>210</v>
      </c>
      <c r="C34" t="s">
        <v>210</v>
      </c>
      <c r="D34" t="str">
        <f t="shared" si="0"/>
        <v>Sim</v>
      </c>
    </row>
    <row r="35" spans="1:4" x14ac:dyDescent="0.25">
      <c r="A35" t="s">
        <v>38</v>
      </c>
      <c r="B35" t="s">
        <v>210</v>
      </c>
      <c r="C35" t="s">
        <v>210</v>
      </c>
      <c r="D35" t="str">
        <f t="shared" si="0"/>
        <v>Sim</v>
      </c>
    </row>
    <row r="36" spans="1:4" x14ac:dyDescent="0.25">
      <c r="A36" t="s">
        <v>38</v>
      </c>
      <c r="B36" t="s">
        <v>90</v>
      </c>
      <c r="C36" t="s">
        <v>90</v>
      </c>
      <c r="D36" t="str">
        <f t="shared" si="0"/>
        <v>Sim</v>
      </c>
    </row>
    <row r="37" spans="1:4" x14ac:dyDescent="0.25">
      <c r="A37" t="s">
        <v>38</v>
      </c>
      <c r="B37" t="s">
        <v>90</v>
      </c>
      <c r="C37" t="s">
        <v>90</v>
      </c>
      <c r="D37" t="str">
        <f t="shared" si="0"/>
        <v>Sim</v>
      </c>
    </row>
    <row r="38" spans="1:4" x14ac:dyDescent="0.25">
      <c r="A38" t="s">
        <v>38</v>
      </c>
      <c r="B38" t="s">
        <v>90</v>
      </c>
      <c r="C38" t="s">
        <v>90</v>
      </c>
      <c r="D38" t="str">
        <f>IF(B38=C38, "Sim", "Não")</f>
        <v>Sim</v>
      </c>
    </row>
    <row r="39" spans="1:4" x14ac:dyDescent="0.25">
      <c r="A39" t="s">
        <v>38</v>
      </c>
      <c r="B39" t="s">
        <v>90</v>
      </c>
      <c r="C39" t="s">
        <v>90</v>
      </c>
      <c r="D39" t="str">
        <f>IF(B39=C39, "Sim", "Não")</f>
        <v>Sim</v>
      </c>
    </row>
    <row r="40" spans="1:4" x14ac:dyDescent="0.25">
      <c r="A40" t="s">
        <v>38</v>
      </c>
      <c r="B40" t="s">
        <v>90</v>
      </c>
      <c r="C40" t="s">
        <v>90</v>
      </c>
      <c r="D40" t="str">
        <f>IF(B40=C40, "Sim", "Não")</f>
        <v>Sim</v>
      </c>
    </row>
    <row r="41" spans="1:4" x14ac:dyDescent="0.25">
      <c r="A41" t="s">
        <v>45</v>
      </c>
      <c r="B41" t="s">
        <v>1190</v>
      </c>
      <c r="C41" t="s">
        <v>1190</v>
      </c>
      <c r="D41" t="str">
        <f>IF(B41=C41, "Sim", "Não")</f>
        <v>Sim</v>
      </c>
    </row>
    <row r="42" spans="1:4" x14ac:dyDescent="0.25">
      <c r="A42" t="s">
        <v>45</v>
      </c>
      <c r="B42" t="s">
        <v>1191</v>
      </c>
      <c r="C42" t="s">
        <v>1191</v>
      </c>
      <c r="D42" t="str">
        <f t="shared" si="0"/>
        <v>Sim</v>
      </c>
    </row>
    <row r="43" spans="1:4" x14ac:dyDescent="0.25">
      <c r="A43" t="s">
        <v>45</v>
      </c>
      <c r="B43" t="s">
        <v>103</v>
      </c>
      <c r="C43" t="s">
        <v>103</v>
      </c>
      <c r="D43" t="str">
        <f t="shared" si="0"/>
        <v>Sim</v>
      </c>
    </row>
    <row r="44" spans="1:4" x14ac:dyDescent="0.25">
      <c r="A44" t="s">
        <v>45</v>
      </c>
      <c r="B44" t="s">
        <v>850</v>
      </c>
      <c r="C44" t="s">
        <v>850</v>
      </c>
      <c r="D44" t="str">
        <f t="shared" si="0"/>
        <v>Sim</v>
      </c>
    </row>
    <row r="45" spans="1:4" x14ac:dyDescent="0.25">
      <c r="A45" t="s">
        <v>45</v>
      </c>
      <c r="B45" t="s">
        <v>1737</v>
      </c>
      <c r="C45" t="s">
        <v>1737</v>
      </c>
      <c r="D45" t="str">
        <f t="shared" si="0"/>
        <v>Sim</v>
      </c>
    </row>
    <row r="46" spans="1:4" x14ac:dyDescent="0.25">
      <c r="A46" t="s">
        <v>45</v>
      </c>
      <c r="B46" t="s">
        <v>1192</v>
      </c>
      <c r="C46" t="s">
        <v>1630</v>
      </c>
      <c r="D46" t="str">
        <f t="shared" si="0"/>
        <v>Não</v>
      </c>
    </row>
    <row r="47" spans="1:4" x14ac:dyDescent="0.25">
      <c r="A47" t="s">
        <v>45</v>
      </c>
      <c r="B47" t="s">
        <v>303</v>
      </c>
      <c r="C47" t="s">
        <v>1628</v>
      </c>
      <c r="D47" t="str">
        <f t="shared" si="0"/>
        <v>Não</v>
      </c>
    </row>
    <row r="48" spans="1:4" x14ac:dyDescent="0.25">
      <c r="A48" t="s">
        <v>45</v>
      </c>
      <c r="B48" t="s">
        <v>1193</v>
      </c>
      <c r="C48" t="s">
        <v>1937</v>
      </c>
      <c r="D48" t="str">
        <f t="shared" si="0"/>
        <v>Não</v>
      </c>
    </row>
    <row r="49" spans="1:4" x14ac:dyDescent="0.25">
      <c r="A49" t="s">
        <v>45</v>
      </c>
      <c r="B49" t="s">
        <v>1194</v>
      </c>
      <c r="C49" t="s">
        <v>1194</v>
      </c>
      <c r="D49" t="str">
        <f t="shared" si="0"/>
        <v>Sim</v>
      </c>
    </row>
    <row r="50" spans="1:4" x14ac:dyDescent="0.25">
      <c r="A50" t="s">
        <v>45</v>
      </c>
      <c r="B50" t="s">
        <v>1564</v>
      </c>
      <c r="C50" t="s">
        <v>1564</v>
      </c>
      <c r="D50" t="str">
        <f t="shared" si="0"/>
        <v>Sim</v>
      </c>
    </row>
    <row r="51" spans="1:4" x14ac:dyDescent="0.25">
      <c r="A51" t="s">
        <v>45</v>
      </c>
      <c r="B51" t="s">
        <v>1195</v>
      </c>
      <c r="C51" t="s">
        <v>1195</v>
      </c>
      <c r="D51" t="str">
        <f>IF(B51=C51, "Sim", "Não")</f>
        <v>Sim</v>
      </c>
    </row>
    <row r="52" spans="1:4" x14ac:dyDescent="0.25">
      <c r="A52" t="s">
        <v>45</v>
      </c>
      <c r="B52" t="s">
        <v>1196</v>
      </c>
      <c r="C52" t="s">
        <v>1795</v>
      </c>
      <c r="D52" t="str">
        <f t="shared" si="0"/>
        <v>Não</v>
      </c>
    </row>
    <row r="53" spans="1:4" x14ac:dyDescent="0.25">
      <c r="A53" t="s">
        <v>73</v>
      </c>
      <c r="B53" t="s">
        <v>1197</v>
      </c>
      <c r="C53" t="s">
        <v>1197</v>
      </c>
      <c r="D53" t="str">
        <f t="shared" si="0"/>
        <v>Sim</v>
      </c>
    </row>
    <row r="54" spans="1:4" x14ac:dyDescent="0.25">
      <c r="A54" t="s">
        <v>73</v>
      </c>
      <c r="B54" t="s">
        <v>1198</v>
      </c>
      <c r="C54" t="s">
        <v>1198</v>
      </c>
      <c r="D54" t="str">
        <f t="shared" si="0"/>
        <v>Sim</v>
      </c>
    </row>
    <row r="55" spans="1:4" x14ac:dyDescent="0.25">
      <c r="A55" t="s">
        <v>73</v>
      </c>
      <c r="B55" t="s">
        <v>1199</v>
      </c>
      <c r="C55" t="s">
        <v>1794</v>
      </c>
      <c r="D55" t="str">
        <f t="shared" si="0"/>
        <v>Não</v>
      </c>
    </row>
    <row r="56" spans="1:4" x14ac:dyDescent="0.25">
      <c r="A56" t="s">
        <v>73</v>
      </c>
      <c r="B56" t="s">
        <v>600</v>
      </c>
      <c r="C56" t="s">
        <v>600</v>
      </c>
      <c r="D56" t="str">
        <f t="shared" si="0"/>
        <v>Sim</v>
      </c>
    </row>
    <row r="57" spans="1:4" x14ac:dyDescent="0.25">
      <c r="A57" t="s">
        <v>73</v>
      </c>
      <c r="B57" t="s">
        <v>925</v>
      </c>
      <c r="C57" t="s">
        <v>925</v>
      </c>
      <c r="D57" t="str">
        <f t="shared" si="0"/>
        <v>Sim</v>
      </c>
    </row>
    <row r="58" spans="1:4" x14ac:dyDescent="0.25">
      <c r="A58" t="s">
        <v>73</v>
      </c>
      <c r="B58" t="s">
        <v>1200</v>
      </c>
      <c r="C58" t="s">
        <v>1200</v>
      </c>
      <c r="D58" t="str">
        <f t="shared" si="0"/>
        <v>Sim</v>
      </c>
    </row>
    <row r="59" spans="1:4" x14ac:dyDescent="0.25">
      <c r="A59" t="s">
        <v>73</v>
      </c>
      <c r="B59" t="s">
        <v>1201</v>
      </c>
      <c r="C59" t="s">
        <v>1201</v>
      </c>
      <c r="D59" t="str">
        <f t="shared" si="0"/>
        <v>Sim</v>
      </c>
    </row>
    <row r="60" spans="1:4" x14ac:dyDescent="0.25">
      <c r="A60" t="s">
        <v>73</v>
      </c>
      <c r="B60" t="s">
        <v>1202</v>
      </c>
      <c r="C60" t="s">
        <v>1793</v>
      </c>
      <c r="D60" t="str">
        <f t="shared" si="0"/>
        <v>Não</v>
      </c>
    </row>
    <row r="61" spans="1:4" x14ac:dyDescent="0.25">
      <c r="A61" t="s">
        <v>277</v>
      </c>
      <c r="B61" t="s">
        <v>1203</v>
      </c>
      <c r="C61" t="s">
        <v>1203</v>
      </c>
      <c r="D61" t="str">
        <f t="shared" si="0"/>
        <v>Sim</v>
      </c>
    </row>
    <row r="62" spans="1:4" x14ac:dyDescent="0.25">
      <c r="A62" t="s">
        <v>277</v>
      </c>
      <c r="B62" t="s">
        <v>1204</v>
      </c>
      <c r="C62" t="s">
        <v>1204</v>
      </c>
      <c r="D62" t="str">
        <f t="shared" si="0"/>
        <v>Sim</v>
      </c>
    </row>
    <row r="63" spans="1:4" x14ac:dyDescent="0.25">
      <c r="A63" t="s">
        <v>277</v>
      </c>
      <c r="B63" t="s">
        <v>1205</v>
      </c>
      <c r="C63" t="s">
        <v>1205</v>
      </c>
      <c r="D63" t="str">
        <f t="shared" si="0"/>
        <v>Sim</v>
      </c>
    </row>
    <row r="64" spans="1:4" x14ac:dyDescent="0.25">
      <c r="A64" t="s">
        <v>277</v>
      </c>
      <c r="B64" s="5" t="s">
        <v>1797</v>
      </c>
      <c r="C64" s="5" t="s">
        <v>1797</v>
      </c>
      <c r="D64" t="str">
        <f t="shared" si="0"/>
        <v>Sim</v>
      </c>
    </row>
    <row r="65" spans="1:4" x14ac:dyDescent="0.25">
      <c r="A65" t="s">
        <v>277</v>
      </c>
      <c r="B65" t="s">
        <v>1206</v>
      </c>
      <c r="C65" t="s">
        <v>1206</v>
      </c>
      <c r="D65" t="str">
        <f t="shared" si="0"/>
        <v>Sim</v>
      </c>
    </row>
    <row r="66" spans="1:4" x14ac:dyDescent="0.25">
      <c r="A66" t="s">
        <v>277</v>
      </c>
      <c r="B66" t="s">
        <v>1207</v>
      </c>
      <c r="C66" t="s">
        <v>1207</v>
      </c>
      <c r="D66" t="str">
        <f t="shared" si="0"/>
        <v>Sim</v>
      </c>
    </row>
    <row r="67" spans="1:4" x14ac:dyDescent="0.25">
      <c r="A67" t="s">
        <v>277</v>
      </c>
      <c r="B67" t="s">
        <v>1208</v>
      </c>
      <c r="C67" t="s">
        <v>1209</v>
      </c>
      <c r="D67" t="str">
        <f>IF(B67=C67, "Sim", "Não")</f>
        <v>Não</v>
      </c>
    </row>
    <row r="68" spans="1:4" x14ac:dyDescent="0.25">
      <c r="A68" t="s">
        <v>277</v>
      </c>
      <c r="B68" t="s">
        <v>1210</v>
      </c>
      <c r="C68" t="s">
        <v>1210</v>
      </c>
      <c r="D68" t="str">
        <f t="shared" ref="D68:D101" si="3">IF(B68=C68, "Sim", "Não")</f>
        <v>Sim</v>
      </c>
    </row>
    <row r="69" spans="1:4" x14ac:dyDescent="0.25">
      <c r="A69" t="s">
        <v>277</v>
      </c>
      <c r="B69" t="s">
        <v>1211</v>
      </c>
      <c r="C69" t="s">
        <v>1211</v>
      </c>
      <c r="D69" t="str">
        <f t="shared" si="3"/>
        <v>Sim</v>
      </c>
    </row>
    <row r="70" spans="1:4" x14ac:dyDescent="0.25">
      <c r="A70" t="s">
        <v>277</v>
      </c>
      <c r="B70" t="s">
        <v>1212</v>
      </c>
      <c r="C70" t="s">
        <v>1212</v>
      </c>
      <c r="D70" t="str">
        <f t="shared" si="3"/>
        <v>Sim</v>
      </c>
    </row>
    <row r="71" spans="1:4" x14ac:dyDescent="0.25">
      <c r="A71" t="s">
        <v>277</v>
      </c>
      <c r="B71" t="s">
        <v>1563</v>
      </c>
      <c r="C71" t="s">
        <v>1563</v>
      </c>
      <c r="D71" t="str">
        <f t="shared" si="3"/>
        <v>Sim</v>
      </c>
    </row>
    <row r="72" spans="1:4" x14ac:dyDescent="0.25">
      <c r="A72" t="s">
        <v>277</v>
      </c>
      <c r="B72" t="s">
        <v>1213</v>
      </c>
      <c r="C72" t="s">
        <v>1214</v>
      </c>
      <c r="D72" t="str">
        <f t="shared" si="3"/>
        <v>Não</v>
      </c>
    </row>
    <row r="73" spans="1:4" x14ac:dyDescent="0.25">
      <c r="A73" t="s">
        <v>277</v>
      </c>
      <c r="B73" t="s">
        <v>1215</v>
      </c>
      <c r="C73" t="s">
        <v>1216</v>
      </c>
      <c r="D73" t="str">
        <f t="shared" si="3"/>
        <v>Não</v>
      </c>
    </row>
    <row r="74" spans="1:4" x14ac:dyDescent="0.25">
      <c r="A74" t="s">
        <v>277</v>
      </c>
      <c r="B74" t="s">
        <v>1217</v>
      </c>
      <c r="C74" t="s">
        <v>1987</v>
      </c>
      <c r="D74" t="str">
        <f t="shared" si="3"/>
        <v>Não</v>
      </c>
    </row>
    <row r="75" spans="1:4" x14ac:dyDescent="0.25">
      <c r="A75" t="s">
        <v>277</v>
      </c>
      <c r="B75" t="s">
        <v>1218</v>
      </c>
      <c r="C75" t="s">
        <v>1218</v>
      </c>
      <c r="D75" t="str">
        <f t="shared" si="3"/>
        <v>Sim</v>
      </c>
    </row>
    <row r="76" spans="1:4" x14ac:dyDescent="0.25">
      <c r="A76" t="s">
        <v>277</v>
      </c>
      <c r="B76" t="s">
        <v>2091</v>
      </c>
      <c r="C76" t="s">
        <v>2091</v>
      </c>
      <c r="D76" t="str">
        <f t="shared" si="3"/>
        <v>Sim</v>
      </c>
    </row>
    <row r="77" spans="1:4" x14ac:dyDescent="0.25">
      <c r="A77" t="s">
        <v>277</v>
      </c>
      <c r="B77" t="s">
        <v>1219</v>
      </c>
      <c r="C77" t="s">
        <v>1219</v>
      </c>
      <c r="D77" t="str">
        <f t="shared" si="3"/>
        <v>Sim</v>
      </c>
    </row>
    <row r="78" spans="1:4" x14ac:dyDescent="0.25">
      <c r="A78" t="s">
        <v>277</v>
      </c>
      <c r="B78" t="s">
        <v>1220</v>
      </c>
      <c r="C78" t="s">
        <v>1220</v>
      </c>
      <c r="D78" t="str">
        <f t="shared" si="3"/>
        <v>Sim</v>
      </c>
    </row>
    <row r="79" spans="1:4" x14ac:dyDescent="0.25">
      <c r="A79" t="s">
        <v>277</v>
      </c>
      <c r="B79" t="s">
        <v>1221</v>
      </c>
      <c r="C79" t="s">
        <v>1221</v>
      </c>
      <c r="D79" t="str">
        <f t="shared" si="3"/>
        <v>Sim</v>
      </c>
    </row>
    <row r="80" spans="1:4" x14ac:dyDescent="0.25">
      <c r="A80" t="s">
        <v>277</v>
      </c>
      <c r="B80" t="s">
        <v>1222</v>
      </c>
      <c r="C80" t="s">
        <v>1222</v>
      </c>
      <c r="D80" t="str">
        <f t="shared" si="3"/>
        <v>Sim</v>
      </c>
    </row>
    <row r="81" spans="1:4" x14ac:dyDescent="0.25">
      <c r="A81" t="s">
        <v>277</v>
      </c>
      <c r="B81" t="s">
        <v>1223</v>
      </c>
      <c r="C81" t="s">
        <v>1223</v>
      </c>
      <c r="D81" t="str">
        <f t="shared" si="3"/>
        <v>Sim</v>
      </c>
    </row>
    <row r="82" spans="1:4" x14ac:dyDescent="0.25">
      <c r="A82" t="s">
        <v>1186</v>
      </c>
      <c r="B82" t="s">
        <v>1224</v>
      </c>
      <c r="C82" t="s">
        <v>1224</v>
      </c>
      <c r="D82" t="str">
        <f t="shared" si="3"/>
        <v>Sim</v>
      </c>
    </row>
    <row r="83" spans="1:4" x14ac:dyDescent="0.25">
      <c r="A83" t="s">
        <v>1186</v>
      </c>
      <c r="B83" t="s">
        <v>1225</v>
      </c>
      <c r="C83" t="s">
        <v>1225</v>
      </c>
      <c r="D83" t="str">
        <f t="shared" si="3"/>
        <v>Sim</v>
      </c>
    </row>
    <row r="84" spans="1:4" x14ac:dyDescent="0.25">
      <c r="A84" t="s">
        <v>1186</v>
      </c>
      <c r="B84" t="s">
        <v>1571</v>
      </c>
      <c r="C84" t="s">
        <v>1571</v>
      </c>
      <c r="D84" t="str">
        <f t="shared" si="3"/>
        <v>Sim</v>
      </c>
    </row>
    <row r="85" spans="1:4" x14ac:dyDescent="0.25">
      <c r="A85" t="s">
        <v>1186</v>
      </c>
      <c r="B85" t="s">
        <v>1226</v>
      </c>
      <c r="C85" t="s">
        <v>1226</v>
      </c>
      <c r="D85" t="str">
        <f t="shared" si="3"/>
        <v>Sim</v>
      </c>
    </row>
    <row r="86" spans="1:4" x14ac:dyDescent="0.25">
      <c r="A86" t="s">
        <v>1187</v>
      </c>
      <c r="B86" t="s">
        <v>1227</v>
      </c>
      <c r="C86" t="s">
        <v>1227</v>
      </c>
      <c r="D86" t="str">
        <f t="shared" si="3"/>
        <v>Sim</v>
      </c>
    </row>
    <row r="87" spans="1:4" x14ac:dyDescent="0.25">
      <c r="A87" t="s">
        <v>1187</v>
      </c>
      <c r="B87" t="s">
        <v>1228</v>
      </c>
      <c r="C87" t="s">
        <v>1228</v>
      </c>
      <c r="D87" t="str">
        <f t="shared" si="3"/>
        <v>Sim</v>
      </c>
    </row>
    <row r="88" spans="1:4" x14ac:dyDescent="0.25">
      <c r="A88" t="s">
        <v>1187</v>
      </c>
      <c r="B88" t="s">
        <v>1229</v>
      </c>
      <c r="C88" t="s">
        <v>1229</v>
      </c>
      <c r="D88" t="str">
        <f t="shared" si="3"/>
        <v>Sim</v>
      </c>
    </row>
    <row r="89" spans="1:4" x14ac:dyDescent="0.25">
      <c r="A89" t="s">
        <v>1187</v>
      </c>
      <c r="B89" t="s">
        <v>1230</v>
      </c>
      <c r="C89" t="s">
        <v>1230</v>
      </c>
      <c r="D89" t="str">
        <f t="shared" si="3"/>
        <v>Sim</v>
      </c>
    </row>
    <row r="90" spans="1:4" x14ac:dyDescent="0.25">
      <c r="A90" t="s">
        <v>1187</v>
      </c>
      <c r="B90" t="s">
        <v>1231</v>
      </c>
      <c r="C90" t="s">
        <v>1231</v>
      </c>
      <c r="D90" t="str">
        <f t="shared" si="3"/>
        <v>Sim</v>
      </c>
    </row>
    <row r="91" spans="1:4" x14ac:dyDescent="0.25">
      <c r="A91" t="s">
        <v>1187</v>
      </c>
      <c r="B91" t="s">
        <v>1232</v>
      </c>
      <c r="C91" t="s">
        <v>1988</v>
      </c>
      <c r="D91" t="str">
        <f t="shared" si="3"/>
        <v>Não</v>
      </c>
    </row>
    <row r="92" spans="1:4" x14ac:dyDescent="0.25">
      <c r="A92" t="s">
        <v>1187</v>
      </c>
      <c r="B92" t="s">
        <v>1233</v>
      </c>
      <c r="C92" t="s">
        <v>1233</v>
      </c>
      <c r="D92" t="str">
        <f t="shared" si="3"/>
        <v>Sim</v>
      </c>
    </row>
    <row r="93" spans="1:4" x14ac:dyDescent="0.25">
      <c r="A93" t="s">
        <v>1187</v>
      </c>
      <c r="B93" t="s">
        <v>1234</v>
      </c>
      <c r="C93" t="s">
        <v>1234</v>
      </c>
      <c r="D93" t="str">
        <f t="shared" si="3"/>
        <v>Sim</v>
      </c>
    </row>
    <row r="94" spans="1:4" x14ac:dyDescent="0.25">
      <c r="A94" t="s">
        <v>1187</v>
      </c>
      <c r="B94" t="s">
        <v>1235</v>
      </c>
      <c r="C94" t="s">
        <v>1235</v>
      </c>
      <c r="D94" t="str">
        <f t="shared" si="3"/>
        <v>Sim</v>
      </c>
    </row>
    <row r="95" spans="1:4" x14ac:dyDescent="0.25">
      <c r="A95" t="s">
        <v>345</v>
      </c>
      <c r="B95" t="s">
        <v>1629</v>
      </c>
      <c r="C95" t="s">
        <v>1629</v>
      </c>
      <c r="D95" t="str">
        <f t="shared" si="3"/>
        <v>Sim</v>
      </c>
    </row>
    <row r="96" spans="1:4" x14ac:dyDescent="0.25">
      <c r="A96" t="s">
        <v>345</v>
      </c>
      <c r="B96" t="s">
        <v>1236</v>
      </c>
      <c r="C96" t="s">
        <v>1236</v>
      </c>
      <c r="D96" t="str">
        <f t="shared" si="3"/>
        <v>Sim</v>
      </c>
    </row>
    <row r="97" spans="1:4" x14ac:dyDescent="0.25">
      <c r="A97" t="s">
        <v>345</v>
      </c>
      <c r="B97" t="s">
        <v>1237</v>
      </c>
      <c r="C97" t="s">
        <v>1237</v>
      </c>
      <c r="D97" t="str">
        <f t="shared" si="3"/>
        <v>Sim</v>
      </c>
    </row>
    <row r="98" spans="1:4" x14ac:dyDescent="0.25">
      <c r="A98" t="s">
        <v>345</v>
      </c>
      <c r="B98" t="s">
        <v>1238</v>
      </c>
      <c r="C98" t="s">
        <v>1238</v>
      </c>
      <c r="D98" t="str">
        <f t="shared" si="3"/>
        <v>Sim</v>
      </c>
    </row>
    <row r="99" spans="1:4" x14ac:dyDescent="0.25">
      <c r="A99" t="s">
        <v>345</v>
      </c>
      <c r="B99" t="s">
        <v>301</v>
      </c>
      <c r="C99" t="s">
        <v>301</v>
      </c>
      <c r="D99" t="str">
        <f t="shared" si="3"/>
        <v>Sim</v>
      </c>
    </row>
    <row r="100" spans="1:4" x14ac:dyDescent="0.25">
      <c r="A100" t="s">
        <v>345</v>
      </c>
      <c r="B100" t="s">
        <v>1239</v>
      </c>
      <c r="C100" t="s">
        <v>1239</v>
      </c>
      <c r="D100" t="str">
        <f t="shared" si="3"/>
        <v>Sim</v>
      </c>
    </row>
    <row r="101" spans="1:4" x14ac:dyDescent="0.25">
      <c r="A101" t="s">
        <v>345</v>
      </c>
      <c r="B101" t="s">
        <v>1906</v>
      </c>
      <c r="C101" t="s">
        <v>1796</v>
      </c>
      <c r="D101" t="str">
        <f t="shared" si="3"/>
        <v>Não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7A862-2C2B-4693-8520-25B9A32D4305}">
  <sheetPr codeName="Planilha24"/>
  <dimension ref="A1:G101"/>
  <sheetViews>
    <sheetView workbookViewId="0">
      <selection activeCell="C59" sqref="C59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28" t="s">
        <v>31</v>
      </c>
      <c r="B1" s="28"/>
      <c r="C1" s="28"/>
      <c r="D1" s="28"/>
      <c r="E1" s="28"/>
      <c r="F1" s="28"/>
      <c r="G1" s="28"/>
    </row>
    <row r="2" spans="1:7" x14ac:dyDescent="0.25">
      <c r="A2" s="4" t="s">
        <v>34</v>
      </c>
      <c r="B2" s="4" t="s">
        <v>35</v>
      </c>
      <c r="C2" s="4" t="s">
        <v>36</v>
      </c>
      <c r="D2" s="4" t="s">
        <v>37</v>
      </c>
    </row>
    <row r="3" spans="1:7" x14ac:dyDescent="0.25">
      <c r="A3" t="s">
        <v>38</v>
      </c>
      <c r="B3" t="s">
        <v>144</v>
      </c>
      <c r="C3" t="s">
        <v>144</v>
      </c>
      <c r="D3" t="str">
        <f>IF(B3=C3, "Sim", "Não")</f>
        <v>Sim</v>
      </c>
      <c r="F3" s="4" t="s">
        <v>39</v>
      </c>
      <c r="G3" s="3">
        <f>COUNTIF(D3:D105,"Não")</f>
        <v>9</v>
      </c>
    </row>
    <row r="4" spans="1:7" x14ac:dyDescent="0.25">
      <c r="A4" t="s">
        <v>38</v>
      </c>
      <c r="B4" t="s">
        <v>145</v>
      </c>
      <c r="C4" t="s">
        <v>145</v>
      </c>
      <c r="D4" t="str">
        <f t="shared" ref="D4:D67" si="0">IF(B4=C4, "Sim", "Não")</f>
        <v>Sim</v>
      </c>
      <c r="F4" s="4" t="s">
        <v>40</v>
      </c>
      <c r="G4" s="3">
        <f>SUM(G7:G25)</f>
        <v>99</v>
      </c>
    </row>
    <row r="5" spans="1:7" x14ac:dyDescent="0.25">
      <c r="A5" t="s">
        <v>38</v>
      </c>
      <c r="B5" t="s">
        <v>146</v>
      </c>
      <c r="C5" t="s">
        <v>146</v>
      </c>
      <c r="D5" t="str">
        <f t="shared" si="0"/>
        <v>Sim</v>
      </c>
    </row>
    <row r="6" spans="1:7" x14ac:dyDescent="0.25">
      <c r="A6" t="s">
        <v>38</v>
      </c>
      <c r="B6" t="s">
        <v>147</v>
      </c>
      <c r="C6" t="s">
        <v>147</v>
      </c>
      <c r="D6" t="str">
        <f t="shared" si="0"/>
        <v>Sim</v>
      </c>
      <c r="F6" s="6" t="s">
        <v>42</v>
      </c>
      <c r="G6" s="1"/>
    </row>
    <row r="7" spans="1:7" x14ac:dyDescent="0.25">
      <c r="A7" t="s">
        <v>38</v>
      </c>
      <c r="B7" t="s">
        <v>148</v>
      </c>
      <c r="C7" t="s">
        <v>148</v>
      </c>
      <c r="D7" t="str">
        <f t="shared" si="0"/>
        <v>Sim</v>
      </c>
      <c r="F7" s="1" t="s">
        <v>38</v>
      </c>
      <c r="G7" s="2">
        <f>COUNTIF(A:A,F7)</f>
        <v>35</v>
      </c>
    </row>
    <row r="8" spans="1:7" x14ac:dyDescent="0.25">
      <c r="A8" t="s">
        <v>38</v>
      </c>
      <c r="B8" t="s">
        <v>149</v>
      </c>
      <c r="C8" t="s">
        <v>149</v>
      </c>
      <c r="D8" t="str">
        <f t="shared" si="0"/>
        <v>Sim</v>
      </c>
      <c r="F8" s="1" t="s">
        <v>44</v>
      </c>
      <c r="G8" s="2">
        <f t="shared" ref="G8:G15" si="1">COUNTIF(A:A,F8)</f>
        <v>10</v>
      </c>
    </row>
    <row r="9" spans="1:7" x14ac:dyDescent="0.25">
      <c r="A9" t="s">
        <v>38</v>
      </c>
      <c r="B9" t="s">
        <v>150</v>
      </c>
      <c r="C9" t="s">
        <v>150</v>
      </c>
      <c r="D9" t="str">
        <f t="shared" si="0"/>
        <v>Sim</v>
      </c>
      <c r="F9" s="1" t="s">
        <v>53</v>
      </c>
      <c r="G9" s="2">
        <f t="shared" si="1"/>
        <v>8</v>
      </c>
    </row>
    <row r="10" spans="1:7" x14ac:dyDescent="0.25">
      <c r="A10" t="s">
        <v>38</v>
      </c>
      <c r="B10" t="s">
        <v>151</v>
      </c>
      <c r="C10" t="s">
        <v>151</v>
      </c>
      <c r="D10" t="str">
        <f t="shared" si="0"/>
        <v>Sim</v>
      </c>
      <c r="F10" s="1" t="s">
        <v>282</v>
      </c>
      <c r="G10" s="2">
        <f t="shared" si="1"/>
        <v>10</v>
      </c>
    </row>
    <row r="11" spans="1:7" x14ac:dyDescent="0.25">
      <c r="A11" t="s">
        <v>38</v>
      </c>
      <c r="B11" t="s">
        <v>153</v>
      </c>
      <c r="C11" t="s">
        <v>153</v>
      </c>
      <c r="D11" t="str">
        <f t="shared" si="0"/>
        <v>Sim</v>
      </c>
      <c r="F11" s="1" t="s">
        <v>71</v>
      </c>
      <c r="G11" s="2">
        <f t="shared" si="1"/>
        <v>4</v>
      </c>
    </row>
    <row r="12" spans="1:7" x14ac:dyDescent="0.25">
      <c r="A12" t="s">
        <v>38</v>
      </c>
      <c r="B12" t="s">
        <v>154</v>
      </c>
      <c r="C12" t="s">
        <v>154</v>
      </c>
      <c r="D12" t="str">
        <f t="shared" si="0"/>
        <v>Sim</v>
      </c>
      <c r="F12" s="1" t="s">
        <v>46</v>
      </c>
      <c r="G12" s="2">
        <f t="shared" si="1"/>
        <v>11</v>
      </c>
    </row>
    <row r="13" spans="1:7" x14ac:dyDescent="0.25">
      <c r="A13" t="s">
        <v>38</v>
      </c>
      <c r="B13" t="s">
        <v>155</v>
      </c>
      <c r="C13" t="s">
        <v>155</v>
      </c>
      <c r="D13" t="str">
        <f t="shared" si="0"/>
        <v>Sim</v>
      </c>
      <c r="F13" s="1" t="s">
        <v>45</v>
      </c>
      <c r="G13" s="2">
        <f t="shared" si="1"/>
        <v>8</v>
      </c>
    </row>
    <row r="14" spans="1:7" x14ac:dyDescent="0.25">
      <c r="A14" t="s">
        <v>38</v>
      </c>
      <c r="B14" t="s">
        <v>43</v>
      </c>
      <c r="C14" t="s">
        <v>43</v>
      </c>
      <c r="D14" t="str">
        <f t="shared" si="0"/>
        <v>Sim</v>
      </c>
      <c r="F14" s="1" t="s">
        <v>6</v>
      </c>
      <c r="G14" s="2">
        <f t="shared" si="1"/>
        <v>5</v>
      </c>
    </row>
    <row r="15" spans="1:7" x14ac:dyDescent="0.25">
      <c r="A15" t="s">
        <v>38</v>
      </c>
      <c r="B15" t="s">
        <v>72</v>
      </c>
      <c r="C15" t="s">
        <v>72</v>
      </c>
      <c r="D15" t="str">
        <f t="shared" si="0"/>
        <v>Sim</v>
      </c>
      <c r="F15" s="1" t="s">
        <v>1240</v>
      </c>
      <c r="G15" s="2">
        <f t="shared" si="1"/>
        <v>8</v>
      </c>
    </row>
    <row r="16" spans="1:7" x14ac:dyDescent="0.25">
      <c r="A16" t="s">
        <v>38</v>
      </c>
      <c r="B16" t="s">
        <v>209</v>
      </c>
      <c r="C16" t="s">
        <v>209</v>
      </c>
      <c r="D16" t="str">
        <f t="shared" si="0"/>
        <v>Sim</v>
      </c>
      <c r="F16" s="1"/>
      <c r="G16" s="2"/>
    </row>
    <row r="17" spans="1:4" x14ac:dyDescent="0.25">
      <c r="A17" t="s">
        <v>38</v>
      </c>
      <c r="B17" t="s">
        <v>69</v>
      </c>
      <c r="C17" t="s">
        <v>69</v>
      </c>
      <c r="D17" t="str">
        <f t="shared" si="0"/>
        <v>Sim</v>
      </c>
    </row>
    <row r="18" spans="1:4" x14ac:dyDescent="0.25">
      <c r="A18" t="s">
        <v>38</v>
      </c>
      <c r="B18" t="s">
        <v>1241</v>
      </c>
      <c r="C18" t="s">
        <v>1241</v>
      </c>
      <c r="D18" t="str">
        <f t="shared" si="0"/>
        <v>Sim</v>
      </c>
    </row>
    <row r="19" spans="1:4" x14ac:dyDescent="0.25">
      <c r="A19" t="s">
        <v>38</v>
      </c>
      <c r="B19" t="s">
        <v>90</v>
      </c>
      <c r="C19" t="s">
        <v>90</v>
      </c>
      <c r="D19" t="str">
        <f t="shared" si="0"/>
        <v>Sim</v>
      </c>
    </row>
    <row r="20" spans="1:4" x14ac:dyDescent="0.25">
      <c r="A20" t="s">
        <v>38</v>
      </c>
      <c r="B20" t="s">
        <v>90</v>
      </c>
      <c r="C20" t="s">
        <v>90</v>
      </c>
      <c r="D20" t="str">
        <f t="shared" si="0"/>
        <v>Sim</v>
      </c>
    </row>
    <row r="21" spans="1:4" x14ac:dyDescent="0.25">
      <c r="A21" t="s">
        <v>38</v>
      </c>
      <c r="B21" t="s">
        <v>90</v>
      </c>
      <c r="C21" t="s">
        <v>90</v>
      </c>
      <c r="D21" t="str">
        <f t="shared" si="0"/>
        <v>Sim</v>
      </c>
    </row>
    <row r="22" spans="1:4" x14ac:dyDescent="0.25">
      <c r="A22" t="s">
        <v>38</v>
      </c>
      <c r="B22" t="s">
        <v>90</v>
      </c>
      <c r="C22" t="s">
        <v>90</v>
      </c>
      <c r="D22" t="str">
        <f t="shared" si="0"/>
        <v>Sim</v>
      </c>
    </row>
    <row r="23" spans="1:4" x14ac:dyDescent="0.25">
      <c r="A23" t="s">
        <v>38</v>
      </c>
      <c r="B23" t="s">
        <v>90</v>
      </c>
      <c r="C23" t="s">
        <v>90</v>
      </c>
      <c r="D23" t="str">
        <f t="shared" si="0"/>
        <v>Sim</v>
      </c>
    </row>
    <row r="24" spans="1:4" x14ac:dyDescent="0.25">
      <c r="A24" t="s">
        <v>38</v>
      </c>
      <c r="B24" t="s">
        <v>90</v>
      </c>
      <c r="C24" t="s">
        <v>90</v>
      </c>
      <c r="D24" t="str">
        <f t="shared" si="0"/>
        <v>Sim</v>
      </c>
    </row>
    <row r="25" spans="1:4" x14ac:dyDescent="0.25">
      <c r="A25" t="s">
        <v>38</v>
      </c>
      <c r="B25" t="s">
        <v>158</v>
      </c>
      <c r="C25" t="s">
        <v>158</v>
      </c>
      <c r="D25" t="str">
        <f t="shared" si="0"/>
        <v>Sim</v>
      </c>
    </row>
    <row r="26" spans="1:4" x14ac:dyDescent="0.25">
      <c r="A26" t="s">
        <v>38</v>
      </c>
      <c r="B26" t="s">
        <v>158</v>
      </c>
      <c r="C26" t="s">
        <v>158</v>
      </c>
      <c r="D26" t="str">
        <f t="shared" si="0"/>
        <v>Sim</v>
      </c>
    </row>
    <row r="27" spans="1:4" x14ac:dyDescent="0.25">
      <c r="A27" t="s">
        <v>38</v>
      </c>
      <c r="B27" t="s">
        <v>158</v>
      </c>
      <c r="C27" t="s">
        <v>158</v>
      </c>
      <c r="D27" t="str">
        <f t="shared" si="0"/>
        <v>Sim</v>
      </c>
    </row>
    <row r="28" spans="1:4" x14ac:dyDescent="0.25">
      <c r="A28" t="s">
        <v>38</v>
      </c>
      <c r="B28" t="s">
        <v>158</v>
      </c>
      <c r="C28" t="s">
        <v>158</v>
      </c>
      <c r="D28" t="str">
        <f t="shared" si="0"/>
        <v>Sim</v>
      </c>
    </row>
    <row r="29" spans="1:4" x14ac:dyDescent="0.25">
      <c r="A29" t="s">
        <v>38</v>
      </c>
      <c r="B29" t="s">
        <v>158</v>
      </c>
      <c r="C29" t="s">
        <v>158</v>
      </c>
      <c r="D29" t="str">
        <f t="shared" si="0"/>
        <v>Sim</v>
      </c>
    </row>
    <row r="30" spans="1:4" x14ac:dyDescent="0.25">
      <c r="A30" t="s">
        <v>38</v>
      </c>
      <c r="B30" t="s">
        <v>91</v>
      </c>
      <c r="C30" t="s">
        <v>91</v>
      </c>
      <c r="D30" t="str">
        <f t="shared" si="0"/>
        <v>Sim</v>
      </c>
    </row>
    <row r="31" spans="1:4" x14ac:dyDescent="0.25">
      <c r="A31" t="s">
        <v>38</v>
      </c>
      <c r="B31" t="s">
        <v>91</v>
      </c>
      <c r="C31" t="s">
        <v>91</v>
      </c>
      <c r="D31" t="str">
        <f t="shared" si="0"/>
        <v>Sim</v>
      </c>
    </row>
    <row r="32" spans="1:4" x14ac:dyDescent="0.25">
      <c r="A32" t="s">
        <v>38</v>
      </c>
      <c r="B32" t="s">
        <v>91</v>
      </c>
      <c r="C32" t="s">
        <v>91</v>
      </c>
      <c r="D32" t="str">
        <f t="shared" si="0"/>
        <v>Sim</v>
      </c>
    </row>
    <row r="33" spans="1:4" x14ac:dyDescent="0.25">
      <c r="A33" t="s">
        <v>38</v>
      </c>
      <c r="B33" t="s">
        <v>91</v>
      </c>
      <c r="C33" t="s">
        <v>91</v>
      </c>
      <c r="D33" t="str">
        <f t="shared" si="0"/>
        <v>Sim</v>
      </c>
    </row>
    <row r="34" spans="1:4" x14ac:dyDescent="0.25">
      <c r="A34" t="s">
        <v>38</v>
      </c>
      <c r="B34" t="s">
        <v>91</v>
      </c>
      <c r="C34" t="s">
        <v>91</v>
      </c>
      <c r="D34" t="str">
        <f t="shared" si="0"/>
        <v>Sim</v>
      </c>
    </row>
    <row r="35" spans="1:4" x14ac:dyDescent="0.25">
      <c r="A35" t="s">
        <v>38</v>
      </c>
      <c r="B35" t="s">
        <v>91</v>
      </c>
      <c r="C35" t="s">
        <v>91</v>
      </c>
      <c r="D35" t="str">
        <f t="shared" si="0"/>
        <v>Sim</v>
      </c>
    </row>
    <row r="36" spans="1:4" x14ac:dyDescent="0.25">
      <c r="A36" t="s">
        <v>38</v>
      </c>
      <c r="B36" t="s">
        <v>91</v>
      </c>
      <c r="C36" t="s">
        <v>91</v>
      </c>
      <c r="D36" t="str">
        <f t="shared" si="0"/>
        <v>Sim</v>
      </c>
    </row>
    <row r="37" spans="1:4" x14ac:dyDescent="0.25">
      <c r="A37" t="s">
        <v>38</v>
      </c>
      <c r="B37" t="s">
        <v>91</v>
      </c>
      <c r="C37" t="s">
        <v>91</v>
      </c>
      <c r="D37" t="str">
        <f t="shared" si="0"/>
        <v>Sim</v>
      </c>
    </row>
    <row r="38" spans="1:4" x14ac:dyDescent="0.25">
      <c r="A38" t="s">
        <v>44</v>
      </c>
      <c r="B38" t="s">
        <v>295</v>
      </c>
      <c r="C38" t="s">
        <v>295</v>
      </c>
      <c r="D38" t="str">
        <f t="shared" si="0"/>
        <v>Sim</v>
      </c>
    </row>
    <row r="39" spans="1:4" x14ac:dyDescent="0.25">
      <c r="A39" t="s">
        <v>44</v>
      </c>
      <c r="B39" t="s">
        <v>93</v>
      </c>
      <c r="C39" t="s">
        <v>93</v>
      </c>
      <c r="D39" t="str">
        <f t="shared" si="0"/>
        <v>Sim</v>
      </c>
    </row>
    <row r="40" spans="1:4" x14ac:dyDescent="0.25">
      <c r="A40" t="s">
        <v>44</v>
      </c>
      <c r="B40" t="s">
        <v>1242</v>
      </c>
      <c r="C40" t="s">
        <v>1242</v>
      </c>
      <c r="D40" t="str">
        <f t="shared" si="0"/>
        <v>Sim</v>
      </c>
    </row>
    <row r="41" spans="1:4" x14ac:dyDescent="0.25">
      <c r="A41" t="s">
        <v>44</v>
      </c>
      <c r="B41" t="s">
        <v>164</v>
      </c>
      <c r="C41" t="s">
        <v>164</v>
      </c>
      <c r="D41" t="str">
        <f t="shared" si="0"/>
        <v>Sim</v>
      </c>
    </row>
    <row r="42" spans="1:4" x14ac:dyDescent="0.25">
      <c r="A42" t="s">
        <v>44</v>
      </c>
      <c r="B42" t="s">
        <v>166</v>
      </c>
      <c r="C42" t="s">
        <v>166</v>
      </c>
      <c r="D42" t="str">
        <f t="shared" si="0"/>
        <v>Sim</v>
      </c>
    </row>
    <row r="43" spans="1:4" x14ac:dyDescent="0.25">
      <c r="A43" t="s">
        <v>44</v>
      </c>
      <c r="B43" t="s">
        <v>505</v>
      </c>
      <c r="C43" t="s">
        <v>505</v>
      </c>
      <c r="D43" t="str">
        <f t="shared" si="0"/>
        <v>Sim</v>
      </c>
    </row>
    <row r="44" spans="1:4" x14ac:dyDescent="0.25">
      <c r="A44" t="s">
        <v>44</v>
      </c>
      <c r="B44" t="s">
        <v>503</v>
      </c>
      <c r="C44" t="s">
        <v>503</v>
      </c>
      <c r="D44" t="str">
        <f t="shared" si="0"/>
        <v>Sim</v>
      </c>
    </row>
    <row r="45" spans="1:4" x14ac:dyDescent="0.25">
      <c r="A45" t="s">
        <v>44</v>
      </c>
      <c r="B45" t="s">
        <v>506</v>
      </c>
      <c r="C45" t="s">
        <v>506</v>
      </c>
      <c r="D45" t="str">
        <f t="shared" si="0"/>
        <v>Sim</v>
      </c>
    </row>
    <row r="46" spans="1:4" x14ac:dyDescent="0.25">
      <c r="A46" t="s">
        <v>44</v>
      </c>
      <c r="B46" t="s">
        <v>1243</v>
      </c>
      <c r="C46" t="s">
        <v>1798</v>
      </c>
      <c r="D46" t="str">
        <f t="shared" si="0"/>
        <v>Não</v>
      </c>
    </row>
    <row r="47" spans="1:4" x14ac:dyDescent="0.25">
      <c r="A47" t="s">
        <v>44</v>
      </c>
      <c r="B47" t="s">
        <v>1244</v>
      </c>
      <c r="C47" t="s">
        <v>1244</v>
      </c>
      <c r="D47" t="str">
        <f t="shared" si="0"/>
        <v>Sim</v>
      </c>
    </row>
    <row r="48" spans="1:4" x14ac:dyDescent="0.25">
      <c r="A48" t="s">
        <v>71</v>
      </c>
      <c r="B48" t="s">
        <v>1245</v>
      </c>
      <c r="C48" t="s">
        <v>1245</v>
      </c>
      <c r="D48" t="str">
        <f t="shared" si="0"/>
        <v>Sim</v>
      </c>
    </row>
    <row r="49" spans="1:4" x14ac:dyDescent="0.25">
      <c r="A49" t="s">
        <v>71</v>
      </c>
      <c r="B49" t="s">
        <v>129</v>
      </c>
      <c r="C49" t="s">
        <v>129</v>
      </c>
      <c r="D49" t="str">
        <f t="shared" si="0"/>
        <v>Sim</v>
      </c>
    </row>
    <row r="50" spans="1:4" x14ac:dyDescent="0.25">
      <c r="A50" t="s">
        <v>71</v>
      </c>
      <c r="B50" t="s">
        <v>1246</v>
      </c>
      <c r="C50" t="s">
        <v>1246</v>
      </c>
      <c r="D50" t="str">
        <f t="shared" si="0"/>
        <v>Sim</v>
      </c>
    </row>
    <row r="51" spans="1:4" x14ac:dyDescent="0.25">
      <c r="A51" t="s">
        <v>71</v>
      </c>
      <c r="B51" t="s">
        <v>130</v>
      </c>
      <c r="C51" t="s">
        <v>130</v>
      </c>
      <c r="D51" t="str">
        <f t="shared" si="0"/>
        <v>Sim</v>
      </c>
    </row>
    <row r="52" spans="1:4" x14ac:dyDescent="0.25">
      <c r="A52" t="s">
        <v>46</v>
      </c>
      <c r="B52" t="s">
        <v>1247</v>
      </c>
      <c r="C52" t="s">
        <v>1247</v>
      </c>
      <c r="D52" t="str">
        <f t="shared" si="0"/>
        <v>Sim</v>
      </c>
    </row>
    <row r="53" spans="1:4" x14ac:dyDescent="0.25">
      <c r="A53" t="s">
        <v>46</v>
      </c>
      <c r="B53" t="s">
        <v>1248</v>
      </c>
      <c r="C53" t="s">
        <v>1248</v>
      </c>
      <c r="D53" t="str">
        <f t="shared" si="0"/>
        <v>Sim</v>
      </c>
    </row>
    <row r="54" spans="1:4" x14ac:dyDescent="0.25">
      <c r="A54" t="s">
        <v>46</v>
      </c>
      <c r="B54" t="s">
        <v>1249</v>
      </c>
      <c r="C54" t="s">
        <v>1249</v>
      </c>
      <c r="D54" t="str">
        <f t="shared" si="0"/>
        <v>Sim</v>
      </c>
    </row>
    <row r="55" spans="1:4" x14ac:dyDescent="0.25">
      <c r="A55" t="s">
        <v>46</v>
      </c>
      <c r="B55" t="s">
        <v>181</v>
      </c>
      <c r="C55" t="s">
        <v>181</v>
      </c>
      <c r="D55" t="str">
        <f t="shared" si="0"/>
        <v>Sim</v>
      </c>
    </row>
    <row r="56" spans="1:4" x14ac:dyDescent="0.25">
      <c r="A56" t="s">
        <v>46</v>
      </c>
      <c r="B56" t="s">
        <v>1250</v>
      </c>
      <c r="C56" t="s">
        <v>1250</v>
      </c>
      <c r="D56" t="str">
        <f t="shared" si="0"/>
        <v>Sim</v>
      </c>
    </row>
    <row r="57" spans="1:4" x14ac:dyDescent="0.25">
      <c r="A57" t="s">
        <v>46</v>
      </c>
      <c r="B57" t="s">
        <v>439</v>
      </c>
      <c r="C57" t="s">
        <v>439</v>
      </c>
      <c r="D57" t="str">
        <f t="shared" si="0"/>
        <v>Sim</v>
      </c>
    </row>
    <row r="58" spans="1:4" x14ac:dyDescent="0.25">
      <c r="A58" t="s">
        <v>46</v>
      </c>
      <c r="B58" t="s">
        <v>529</v>
      </c>
      <c r="C58" t="s">
        <v>1958</v>
      </c>
      <c r="D58" t="str">
        <f t="shared" si="0"/>
        <v>Não</v>
      </c>
    </row>
    <row r="59" spans="1:4" x14ac:dyDescent="0.25">
      <c r="A59" t="s">
        <v>46</v>
      </c>
      <c r="B59" t="s">
        <v>1251</v>
      </c>
      <c r="C59" t="s">
        <v>1251</v>
      </c>
      <c r="D59" t="str">
        <f t="shared" si="0"/>
        <v>Sim</v>
      </c>
    </row>
    <row r="60" spans="1:4" x14ac:dyDescent="0.25">
      <c r="A60" t="s">
        <v>46</v>
      </c>
      <c r="B60" t="s">
        <v>1252</v>
      </c>
      <c r="C60" t="s">
        <v>1252</v>
      </c>
      <c r="D60" t="str">
        <f t="shared" si="0"/>
        <v>Sim</v>
      </c>
    </row>
    <row r="61" spans="1:4" x14ac:dyDescent="0.25">
      <c r="A61" t="s">
        <v>46</v>
      </c>
      <c r="B61" t="s">
        <v>1253</v>
      </c>
      <c r="C61" t="s">
        <v>1253</v>
      </c>
      <c r="D61" t="str">
        <f t="shared" si="0"/>
        <v>Sim</v>
      </c>
    </row>
    <row r="62" spans="1:4" x14ac:dyDescent="0.25">
      <c r="A62" t="s">
        <v>46</v>
      </c>
      <c r="B62" t="s">
        <v>1254</v>
      </c>
      <c r="C62" t="s">
        <v>1254</v>
      </c>
      <c r="D62" t="str">
        <f t="shared" si="0"/>
        <v>Sim</v>
      </c>
    </row>
    <row r="63" spans="1:4" x14ac:dyDescent="0.25">
      <c r="A63" t="s">
        <v>282</v>
      </c>
      <c r="B63" t="s">
        <v>1255</v>
      </c>
      <c r="C63" t="s">
        <v>1255</v>
      </c>
      <c r="D63" t="str">
        <f t="shared" si="0"/>
        <v>Sim</v>
      </c>
    </row>
    <row r="64" spans="1:4" x14ac:dyDescent="0.25">
      <c r="A64" t="s">
        <v>282</v>
      </c>
      <c r="B64" t="s">
        <v>1256</v>
      </c>
      <c r="C64" t="s">
        <v>1256</v>
      </c>
      <c r="D64" t="str">
        <f t="shared" si="0"/>
        <v>Sim</v>
      </c>
    </row>
    <row r="65" spans="1:4" x14ac:dyDescent="0.25">
      <c r="A65" t="s">
        <v>282</v>
      </c>
      <c r="B65" t="s">
        <v>1257</v>
      </c>
      <c r="C65" t="s">
        <v>1257</v>
      </c>
      <c r="D65" t="str">
        <f t="shared" si="0"/>
        <v>Sim</v>
      </c>
    </row>
    <row r="66" spans="1:4" x14ac:dyDescent="0.25">
      <c r="A66" t="s">
        <v>282</v>
      </c>
      <c r="B66" t="s">
        <v>1258</v>
      </c>
      <c r="C66" t="s">
        <v>1258</v>
      </c>
      <c r="D66" t="str">
        <f t="shared" si="0"/>
        <v>Sim</v>
      </c>
    </row>
    <row r="67" spans="1:4" x14ac:dyDescent="0.25">
      <c r="A67" t="s">
        <v>282</v>
      </c>
      <c r="B67" t="s">
        <v>1259</v>
      </c>
      <c r="C67" t="s">
        <v>1259</v>
      </c>
      <c r="D67" t="str">
        <f t="shared" si="0"/>
        <v>Sim</v>
      </c>
    </row>
    <row r="68" spans="1:4" x14ac:dyDescent="0.25">
      <c r="A68" t="s">
        <v>282</v>
      </c>
      <c r="B68" t="s">
        <v>1260</v>
      </c>
      <c r="C68" t="s">
        <v>1261</v>
      </c>
      <c r="D68" t="str">
        <f t="shared" ref="D68:D101" si="2">IF(B68=C68, "Sim", "Não")</f>
        <v>Não</v>
      </c>
    </row>
    <row r="69" spans="1:4" x14ac:dyDescent="0.25">
      <c r="A69" t="s">
        <v>282</v>
      </c>
      <c r="B69" t="s">
        <v>1262</v>
      </c>
      <c r="C69" t="s">
        <v>1262</v>
      </c>
      <c r="D69" t="str">
        <f t="shared" si="2"/>
        <v>Sim</v>
      </c>
    </row>
    <row r="70" spans="1:4" x14ac:dyDescent="0.25">
      <c r="A70" t="s">
        <v>282</v>
      </c>
      <c r="B70" t="s">
        <v>1263</v>
      </c>
      <c r="C70" t="s">
        <v>1263</v>
      </c>
      <c r="D70" t="str">
        <f t="shared" si="2"/>
        <v>Sim</v>
      </c>
    </row>
    <row r="71" spans="1:4" x14ac:dyDescent="0.25">
      <c r="A71" t="s">
        <v>282</v>
      </c>
      <c r="B71" t="s">
        <v>1264</v>
      </c>
      <c r="C71" t="s">
        <v>1264</v>
      </c>
      <c r="D71" t="str">
        <f t="shared" si="2"/>
        <v>Sim</v>
      </c>
    </row>
    <row r="72" spans="1:4" x14ac:dyDescent="0.25">
      <c r="A72" t="s">
        <v>282</v>
      </c>
      <c r="B72" t="s">
        <v>1265</v>
      </c>
      <c r="C72" t="s">
        <v>1265</v>
      </c>
      <c r="D72" t="str">
        <f t="shared" si="2"/>
        <v>Sim</v>
      </c>
    </row>
    <row r="73" spans="1:4" x14ac:dyDescent="0.25">
      <c r="A73" t="s">
        <v>53</v>
      </c>
      <c r="B73" t="s">
        <v>1266</v>
      </c>
      <c r="C73" t="s">
        <v>808</v>
      </c>
      <c r="D73" t="str">
        <f t="shared" si="2"/>
        <v>Não</v>
      </c>
    </row>
    <row r="74" spans="1:4" x14ac:dyDescent="0.25">
      <c r="A74" t="s">
        <v>53</v>
      </c>
      <c r="B74" t="s">
        <v>1625</v>
      </c>
      <c r="C74" t="s">
        <v>1625</v>
      </c>
      <c r="D74" t="str">
        <f t="shared" si="2"/>
        <v>Sim</v>
      </c>
    </row>
    <row r="75" spans="1:4" x14ac:dyDescent="0.25">
      <c r="A75" t="s">
        <v>53</v>
      </c>
      <c r="B75" t="s">
        <v>1267</v>
      </c>
      <c r="C75" t="s">
        <v>1267</v>
      </c>
      <c r="D75" t="str">
        <f t="shared" si="2"/>
        <v>Sim</v>
      </c>
    </row>
    <row r="76" spans="1:4" x14ac:dyDescent="0.25">
      <c r="A76" t="s">
        <v>53</v>
      </c>
      <c r="B76" t="s">
        <v>1268</v>
      </c>
      <c r="C76" t="s">
        <v>1268</v>
      </c>
      <c r="D76" t="str">
        <f t="shared" si="2"/>
        <v>Sim</v>
      </c>
    </row>
    <row r="77" spans="1:4" x14ac:dyDescent="0.25">
      <c r="A77" t="s">
        <v>53</v>
      </c>
      <c r="B77" t="s">
        <v>1269</v>
      </c>
      <c r="C77" t="s">
        <v>1800</v>
      </c>
      <c r="D77" t="str">
        <f t="shared" si="2"/>
        <v>Não</v>
      </c>
    </row>
    <row r="78" spans="1:4" x14ac:dyDescent="0.25">
      <c r="A78" t="s">
        <v>53</v>
      </c>
      <c r="B78" t="s">
        <v>1270</v>
      </c>
      <c r="C78" t="s">
        <v>1270</v>
      </c>
      <c r="D78" t="str">
        <f t="shared" si="2"/>
        <v>Sim</v>
      </c>
    </row>
    <row r="79" spans="1:4" x14ac:dyDescent="0.25">
      <c r="A79" t="s">
        <v>53</v>
      </c>
      <c r="B79" t="s">
        <v>1271</v>
      </c>
      <c r="C79" t="s">
        <v>1271</v>
      </c>
      <c r="D79" t="str">
        <f t="shared" si="2"/>
        <v>Sim</v>
      </c>
    </row>
    <row r="80" spans="1:4" x14ac:dyDescent="0.25">
      <c r="A80" t="s">
        <v>53</v>
      </c>
      <c r="B80" t="s">
        <v>1272</v>
      </c>
      <c r="C80" t="s">
        <v>1272</v>
      </c>
      <c r="D80" t="str">
        <f t="shared" si="2"/>
        <v>Sim</v>
      </c>
    </row>
    <row r="81" spans="1:4" x14ac:dyDescent="0.25">
      <c r="A81" t="s">
        <v>45</v>
      </c>
      <c r="B81" t="s">
        <v>1273</v>
      </c>
      <c r="C81" t="s">
        <v>1273</v>
      </c>
      <c r="D81" t="str">
        <f t="shared" si="2"/>
        <v>Sim</v>
      </c>
    </row>
    <row r="82" spans="1:4" x14ac:dyDescent="0.25">
      <c r="A82" t="s">
        <v>45</v>
      </c>
      <c r="B82" t="s">
        <v>1274</v>
      </c>
      <c r="C82" t="s">
        <v>1702</v>
      </c>
      <c r="D82" t="str">
        <f t="shared" si="2"/>
        <v>Não</v>
      </c>
    </row>
    <row r="83" spans="1:4" x14ac:dyDescent="0.25">
      <c r="A83" t="s">
        <v>45</v>
      </c>
      <c r="B83" t="s">
        <v>1275</v>
      </c>
      <c r="C83" t="s">
        <v>1275</v>
      </c>
      <c r="D83" t="str">
        <f t="shared" si="2"/>
        <v>Sim</v>
      </c>
    </row>
    <row r="84" spans="1:4" x14ac:dyDescent="0.25">
      <c r="A84" t="s">
        <v>45</v>
      </c>
      <c r="B84" t="s">
        <v>1276</v>
      </c>
      <c r="C84" t="s">
        <v>1276</v>
      </c>
      <c r="D84" t="str">
        <f t="shared" si="2"/>
        <v>Sim</v>
      </c>
    </row>
    <row r="85" spans="1:4" x14ac:dyDescent="0.25">
      <c r="A85" t="s">
        <v>45</v>
      </c>
      <c r="B85" t="s">
        <v>102</v>
      </c>
      <c r="C85" t="s">
        <v>102</v>
      </c>
      <c r="D85" t="str">
        <f t="shared" si="2"/>
        <v>Sim</v>
      </c>
    </row>
    <row r="86" spans="1:4" x14ac:dyDescent="0.25">
      <c r="A86" t="s">
        <v>45</v>
      </c>
      <c r="B86" t="s">
        <v>1277</v>
      </c>
      <c r="C86" t="s">
        <v>1277</v>
      </c>
      <c r="D86" t="str">
        <f t="shared" si="2"/>
        <v>Sim</v>
      </c>
    </row>
    <row r="87" spans="1:4" x14ac:dyDescent="0.25">
      <c r="A87" t="s">
        <v>45</v>
      </c>
      <c r="B87" t="s">
        <v>1278</v>
      </c>
      <c r="C87" t="s">
        <v>1802</v>
      </c>
      <c r="D87" t="str">
        <f t="shared" si="2"/>
        <v>Não</v>
      </c>
    </row>
    <row r="88" spans="1:4" x14ac:dyDescent="0.25">
      <c r="A88" t="s">
        <v>45</v>
      </c>
      <c r="B88" t="s">
        <v>1279</v>
      </c>
      <c r="C88" t="s">
        <v>1279</v>
      </c>
      <c r="D88" t="str">
        <f t="shared" si="2"/>
        <v>Sim</v>
      </c>
    </row>
    <row r="89" spans="1:4" x14ac:dyDescent="0.25">
      <c r="A89" t="s">
        <v>6</v>
      </c>
      <c r="B89" t="s">
        <v>1280</v>
      </c>
      <c r="C89" t="s">
        <v>1280</v>
      </c>
      <c r="D89" t="str">
        <f t="shared" si="2"/>
        <v>Sim</v>
      </c>
    </row>
    <row r="90" spans="1:4" x14ac:dyDescent="0.25">
      <c r="A90" t="s">
        <v>6</v>
      </c>
      <c r="B90" t="s">
        <v>1281</v>
      </c>
      <c r="C90" t="s">
        <v>1801</v>
      </c>
      <c r="D90" t="str">
        <f t="shared" si="2"/>
        <v>Não</v>
      </c>
    </row>
    <row r="91" spans="1:4" x14ac:dyDescent="0.25">
      <c r="A91" t="s">
        <v>6</v>
      </c>
      <c r="B91" t="s">
        <v>1282</v>
      </c>
      <c r="C91" t="s">
        <v>1799</v>
      </c>
      <c r="D91" t="str">
        <f t="shared" si="2"/>
        <v>Não</v>
      </c>
    </row>
    <row r="92" spans="1:4" x14ac:dyDescent="0.25">
      <c r="A92" t="s">
        <v>6</v>
      </c>
      <c r="B92" t="s">
        <v>1283</v>
      </c>
      <c r="C92" t="s">
        <v>1283</v>
      </c>
      <c r="D92" t="str">
        <f t="shared" si="2"/>
        <v>Sim</v>
      </c>
    </row>
    <row r="93" spans="1:4" x14ac:dyDescent="0.25">
      <c r="A93" t="s">
        <v>6</v>
      </c>
      <c r="B93" t="s">
        <v>1284</v>
      </c>
      <c r="C93" t="s">
        <v>1284</v>
      </c>
      <c r="D93" t="str">
        <f t="shared" si="2"/>
        <v>Sim</v>
      </c>
    </row>
    <row r="94" spans="1:4" x14ac:dyDescent="0.25">
      <c r="A94" t="s">
        <v>1240</v>
      </c>
      <c r="B94" t="s">
        <v>1285</v>
      </c>
      <c r="C94" t="s">
        <v>1285</v>
      </c>
      <c r="D94" t="str">
        <f t="shared" si="2"/>
        <v>Sim</v>
      </c>
    </row>
    <row r="95" spans="1:4" x14ac:dyDescent="0.25">
      <c r="A95" t="s">
        <v>1240</v>
      </c>
      <c r="B95" t="s">
        <v>1286</v>
      </c>
      <c r="C95" t="s">
        <v>1286</v>
      </c>
      <c r="D95" t="str">
        <f t="shared" si="2"/>
        <v>Sim</v>
      </c>
    </row>
    <row r="96" spans="1:4" x14ac:dyDescent="0.25">
      <c r="A96" t="s">
        <v>1240</v>
      </c>
      <c r="B96" t="s">
        <v>1287</v>
      </c>
      <c r="C96" t="s">
        <v>1287</v>
      </c>
      <c r="D96" t="str">
        <f t="shared" si="2"/>
        <v>Sim</v>
      </c>
    </row>
    <row r="97" spans="1:4" x14ac:dyDescent="0.25">
      <c r="A97" t="s">
        <v>1240</v>
      </c>
      <c r="B97" t="s">
        <v>1288</v>
      </c>
      <c r="C97" t="s">
        <v>1288</v>
      </c>
      <c r="D97" t="str">
        <f t="shared" si="2"/>
        <v>Sim</v>
      </c>
    </row>
    <row r="98" spans="1:4" x14ac:dyDescent="0.25">
      <c r="A98" t="s">
        <v>1240</v>
      </c>
      <c r="B98" t="s">
        <v>1289</v>
      </c>
      <c r="C98" t="s">
        <v>1289</v>
      </c>
      <c r="D98" t="str">
        <f t="shared" si="2"/>
        <v>Sim</v>
      </c>
    </row>
    <row r="99" spans="1:4" x14ac:dyDescent="0.25">
      <c r="A99" t="s">
        <v>1240</v>
      </c>
      <c r="B99" t="s">
        <v>1290</v>
      </c>
      <c r="C99" t="s">
        <v>1290</v>
      </c>
      <c r="D99" t="str">
        <f t="shared" si="2"/>
        <v>Sim</v>
      </c>
    </row>
    <row r="100" spans="1:4" x14ac:dyDescent="0.25">
      <c r="A100" t="s">
        <v>1240</v>
      </c>
      <c r="B100" t="s">
        <v>1291</v>
      </c>
      <c r="C100" t="s">
        <v>1291</v>
      </c>
      <c r="D100" t="str">
        <f t="shared" si="2"/>
        <v>Sim</v>
      </c>
    </row>
    <row r="101" spans="1:4" x14ac:dyDescent="0.25">
      <c r="A101" t="s">
        <v>1240</v>
      </c>
      <c r="B101" t="s">
        <v>1292</v>
      </c>
      <c r="C101" t="s">
        <v>1292</v>
      </c>
      <c r="D101" t="str">
        <f t="shared" si="2"/>
        <v>Sim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053AA-B15A-48C2-8C15-C59963A4D3D5}">
  <sheetPr codeName="Planilha25"/>
  <dimension ref="A1:G101"/>
  <sheetViews>
    <sheetView workbookViewId="0">
      <selection activeCell="C91" sqref="C91"/>
    </sheetView>
  </sheetViews>
  <sheetFormatPr defaultRowHeight="15" x14ac:dyDescent="0.25"/>
  <cols>
    <col min="1" max="1" width="12.5703125" style="5" bestFit="1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28" t="s">
        <v>56</v>
      </c>
      <c r="B1" s="28"/>
      <c r="C1" s="28"/>
      <c r="D1" s="28"/>
      <c r="E1" s="28"/>
      <c r="F1" s="28"/>
      <c r="G1" s="28"/>
    </row>
    <row r="2" spans="1:7" x14ac:dyDescent="0.25">
      <c r="A2" s="4" t="s">
        <v>34</v>
      </c>
      <c r="B2" s="4" t="s">
        <v>35</v>
      </c>
      <c r="C2" s="4" t="s">
        <v>36</v>
      </c>
      <c r="D2" s="4" t="s">
        <v>37</v>
      </c>
    </row>
    <row r="3" spans="1:7" x14ac:dyDescent="0.25">
      <c r="A3" t="s">
        <v>38</v>
      </c>
      <c r="B3" t="s">
        <v>1293</v>
      </c>
      <c r="C3" t="s">
        <v>1293</v>
      </c>
      <c r="D3" t="str">
        <f>IF(B3=C3, "Sim", "Não")</f>
        <v>Sim</v>
      </c>
      <c r="F3" s="4" t="s">
        <v>39</v>
      </c>
      <c r="G3" s="3">
        <f>COUNTIF(D3:D105,"Não")</f>
        <v>11</v>
      </c>
    </row>
    <row r="4" spans="1:7" x14ac:dyDescent="0.25">
      <c r="A4" t="s">
        <v>38</v>
      </c>
      <c r="B4" t="s">
        <v>1294</v>
      </c>
      <c r="C4" t="s">
        <v>1294</v>
      </c>
      <c r="D4" t="str">
        <f t="shared" ref="D4:D67" si="0">IF(B4=C4, "Sim", "Não")</f>
        <v>Sim</v>
      </c>
      <c r="F4" s="4" t="s">
        <v>40</v>
      </c>
      <c r="G4" s="3">
        <f>SUM(G7:G25)</f>
        <v>99</v>
      </c>
    </row>
    <row r="5" spans="1:7" x14ac:dyDescent="0.25">
      <c r="A5" t="s">
        <v>38</v>
      </c>
      <c r="B5" t="s">
        <v>624</v>
      </c>
      <c r="C5" t="s">
        <v>624</v>
      </c>
      <c r="D5" t="str">
        <f t="shared" si="0"/>
        <v>Sim</v>
      </c>
    </row>
    <row r="6" spans="1:7" x14ac:dyDescent="0.25">
      <c r="A6" t="s">
        <v>38</v>
      </c>
      <c r="B6" t="s">
        <v>1295</v>
      </c>
      <c r="C6" t="s">
        <v>1295</v>
      </c>
      <c r="D6" t="str">
        <f t="shared" si="0"/>
        <v>Sim</v>
      </c>
      <c r="F6" s="6" t="s">
        <v>42</v>
      </c>
      <c r="G6" s="1"/>
    </row>
    <row r="7" spans="1:7" x14ac:dyDescent="0.25">
      <c r="A7" t="s">
        <v>38</v>
      </c>
      <c r="B7" t="s">
        <v>1296</v>
      </c>
      <c r="C7" t="s">
        <v>1296</v>
      </c>
      <c r="D7" t="str">
        <f t="shared" si="0"/>
        <v>Sim</v>
      </c>
      <c r="F7" s="7" t="s">
        <v>38</v>
      </c>
      <c r="G7" s="2">
        <f>COUNTIF(A:A,F7)</f>
        <v>35</v>
      </c>
    </row>
    <row r="8" spans="1:7" x14ac:dyDescent="0.25">
      <c r="A8" t="s">
        <v>38</v>
      </c>
      <c r="B8" t="s">
        <v>1297</v>
      </c>
      <c r="C8" t="s">
        <v>1297</v>
      </c>
      <c r="D8" t="str">
        <f t="shared" si="0"/>
        <v>Sim</v>
      </c>
      <c r="F8" s="7" t="s">
        <v>44</v>
      </c>
      <c r="G8" s="2">
        <f t="shared" ref="G8:G14" si="1">COUNTIF(A:A,F8)</f>
        <v>12</v>
      </c>
    </row>
    <row r="9" spans="1:7" x14ac:dyDescent="0.25">
      <c r="A9" t="s">
        <v>38</v>
      </c>
      <c r="B9" t="s">
        <v>1072</v>
      </c>
      <c r="C9" t="s">
        <v>1072</v>
      </c>
      <c r="D9" t="str">
        <f t="shared" si="0"/>
        <v>Sim</v>
      </c>
      <c r="F9" s="7" t="s">
        <v>1298</v>
      </c>
      <c r="G9" s="2">
        <f t="shared" si="1"/>
        <v>12</v>
      </c>
    </row>
    <row r="10" spans="1:7" x14ac:dyDescent="0.25">
      <c r="A10" t="s">
        <v>38</v>
      </c>
      <c r="B10" t="s">
        <v>1299</v>
      </c>
      <c r="C10" t="s">
        <v>1299</v>
      </c>
      <c r="D10" t="str">
        <f t="shared" si="0"/>
        <v>Sim</v>
      </c>
      <c r="F10" s="7" t="s">
        <v>1300</v>
      </c>
      <c r="G10" s="2">
        <f t="shared" si="1"/>
        <v>12</v>
      </c>
    </row>
    <row r="11" spans="1:7" x14ac:dyDescent="0.25">
      <c r="A11" t="s">
        <v>38</v>
      </c>
      <c r="B11" t="s">
        <v>1301</v>
      </c>
      <c r="C11" t="s">
        <v>1301</v>
      </c>
      <c r="D11" t="str">
        <f t="shared" si="0"/>
        <v>Sim</v>
      </c>
      <c r="F11" s="7" t="s">
        <v>1302</v>
      </c>
      <c r="G11" s="2">
        <f t="shared" si="1"/>
        <v>8</v>
      </c>
    </row>
    <row r="12" spans="1:7" x14ac:dyDescent="0.25">
      <c r="A12" t="s">
        <v>38</v>
      </c>
      <c r="B12" t="s">
        <v>1303</v>
      </c>
      <c r="C12" t="s">
        <v>1303</v>
      </c>
      <c r="D12" t="str">
        <f t="shared" si="0"/>
        <v>Sim</v>
      </c>
      <c r="F12" s="7" t="s">
        <v>1304</v>
      </c>
      <c r="G12" s="2">
        <f t="shared" si="1"/>
        <v>2</v>
      </c>
    </row>
    <row r="13" spans="1:7" x14ac:dyDescent="0.25">
      <c r="A13" t="s">
        <v>38</v>
      </c>
      <c r="B13" t="s">
        <v>1305</v>
      </c>
      <c r="C13" t="s">
        <v>1305</v>
      </c>
      <c r="D13" t="str">
        <f t="shared" si="0"/>
        <v>Sim</v>
      </c>
      <c r="F13" s="7" t="s">
        <v>156</v>
      </c>
      <c r="G13" s="2">
        <f t="shared" si="1"/>
        <v>18</v>
      </c>
    </row>
    <row r="14" spans="1:7" x14ac:dyDescent="0.25">
      <c r="A14" t="s">
        <v>38</v>
      </c>
      <c r="B14" t="s">
        <v>1018</v>
      </c>
      <c r="C14" t="s">
        <v>1018</v>
      </c>
      <c r="D14" t="str">
        <f t="shared" si="0"/>
        <v>Sim</v>
      </c>
      <c r="F14" s="7" t="s">
        <v>343</v>
      </c>
      <c r="G14" s="2">
        <f t="shared" si="1"/>
        <v>0</v>
      </c>
    </row>
    <row r="15" spans="1:7" x14ac:dyDescent="0.25">
      <c r="A15" t="s">
        <v>38</v>
      </c>
      <c r="B15" t="s">
        <v>1306</v>
      </c>
      <c r="C15" t="s">
        <v>1306</v>
      </c>
      <c r="D15" t="str">
        <f t="shared" si="0"/>
        <v>Sim</v>
      </c>
      <c r="F15" s="4"/>
      <c r="G15" s="2"/>
    </row>
    <row r="16" spans="1:7" x14ac:dyDescent="0.25">
      <c r="A16" t="s">
        <v>38</v>
      </c>
      <c r="B16" t="s">
        <v>1307</v>
      </c>
      <c r="C16" t="s">
        <v>1307</v>
      </c>
      <c r="D16" t="str">
        <f t="shared" si="0"/>
        <v>Sim</v>
      </c>
      <c r="F16" s="4"/>
      <c r="G16" s="2"/>
    </row>
    <row r="17" spans="1:4" x14ac:dyDescent="0.25">
      <c r="A17" t="s">
        <v>38</v>
      </c>
      <c r="B17" t="s">
        <v>287</v>
      </c>
      <c r="C17" t="s">
        <v>287</v>
      </c>
      <c r="D17" t="str">
        <f t="shared" si="0"/>
        <v>Sim</v>
      </c>
    </row>
    <row r="18" spans="1:4" x14ac:dyDescent="0.25">
      <c r="A18" t="s">
        <v>38</v>
      </c>
      <c r="B18" t="s">
        <v>289</v>
      </c>
      <c r="C18" t="s">
        <v>289</v>
      </c>
      <c r="D18" t="str">
        <f t="shared" si="0"/>
        <v>Sim</v>
      </c>
    </row>
    <row r="19" spans="1:4" x14ac:dyDescent="0.25">
      <c r="A19" t="s">
        <v>38</v>
      </c>
      <c r="B19" t="s">
        <v>1308</v>
      </c>
      <c r="C19" t="s">
        <v>1308</v>
      </c>
      <c r="D19" t="str">
        <f t="shared" si="0"/>
        <v>Sim</v>
      </c>
    </row>
    <row r="20" spans="1:4" x14ac:dyDescent="0.25">
      <c r="A20" t="s">
        <v>38</v>
      </c>
      <c r="B20" t="s">
        <v>288</v>
      </c>
      <c r="C20" t="s">
        <v>288</v>
      </c>
      <c r="D20" t="str">
        <f t="shared" si="0"/>
        <v>Sim</v>
      </c>
    </row>
    <row r="21" spans="1:4" x14ac:dyDescent="0.25">
      <c r="A21" t="s">
        <v>38</v>
      </c>
      <c r="B21" t="s">
        <v>1309</v>
      </c>
      <c r="C21" t="s">
        <v>1309</v>
      </c>
      <c r="D21" t="str">
        <f t="shared" si="0"/>
        <v>Sim</v>
      </c>
    </row>
    <row r="22" spans="1:4" x14ac:dyDescent="0.25">
      <c r="A22" t="s">
        <v>38</v>
      </c>
      <c r="B22" t="s">
        <v>1310</v>
      </c>
      <c r="C22" t="s">
        <v>1310</v>
      </c>
      <c r="D22" t="str">
        <f t="shared" si="0"/>
        <v>Sim</v>
      </c>
    </row>
    <row r="23" spans="1:4" x14ac:dyDescent="0.25">
      <c r="A23" t="s">
        <v>38</v>
      </c>
      <c r="B23" t="s">
        <v>63</v>
      </c>
      <c r="C23" t="s">
        <v>63</v>
      </c>
      <c r="D23" t="str">
        <f t="shared" si="0"/>
        <v>Sim</v>
      </c>
    </row>
    <row r="24" spans="1:4" x14ac:dyDescent="0.25">
      <c r="A24" t="s">
        <v>38</v>
      </c>
      <c r="B24" t="s">
        <v>1311</v>
      </c>
      <c r="C24" t="s">
        <v>1311</v>
      </c>
      <c r="D24" t="str">
        <f t="shared" si="0"/>
        <v>Sim</v>
      </c>
    </row>
    <row r="25" spans="1:4" x14ac:dyDescent="0.25">
      <c r="A25" t="s">
        <v>38</v>
      </c>
      <c r="B25" t="s">
        <v>155</v>
      </c>
      <c r="C25" t="s">
        <v>155</v>
      </c>
      <c r="D25" t="str">
        <f t="shared" si="0"/>
        <v>Sim</v>
      </c>
    </row>
    <row r="26" spans="1:4" x14ac:dyDescent="0.25">
      <c r="A26" t="s">
        <v>38</v>
      </c>
      <c r="B26" t="s">
        <v>43</v>
      </c>
      <c r="C26" t="s">
        <v>43</v>
      </c>
      <c r="D26" t="str">
        <f t="shared" si="0"/>
        <v>Sim</v>
      </c>
    </row>
    <row r="27" spans="1:4" x14ac:dyDescent="0.25">
      <c r="A27" t="s">
        <v>38</v>
      </c>
      <c r="B27" t="s">
        <v>72</v>
      </c>
      <c r="C27" t="s">
        <v>72</v>
      </c>
      <c r="D27" t="str">
        <f t="shared" si="0"/>
        <v>Sim</v>
      </c>
    </row>
    <row r="28" spans="1:4" x14ac:dyDescent="0.25">
      <c r="A28" t="s">
        <v>38</v>
      </c>
      <c r="B28" t="s">
        <v>89</v>
      </c>
      <c r="C28" t="s">
        <v>89</v>
      </c>
      <c r="D28" t="str">
        <f t="shared" si="0"/>
        <v>Sim</v>
      </c>
    </row>
    <row r="29" spans="1:4" x14ac:dyDescent="0.25">
      <c r="A29" t="s">
        <v>38</v>
      </c>
      <c r="B29" t="s">
        <v>89</v>
      </c>
      <c r="C29" t="s">
        <v>89</v>
      </c>
      <c r="D29" t="str">
        <f t="shared" si="0"/>
        <v>Sim</v>
      </c>
    </row>
    <row r="30" spans="1:4" x14ac:dyDescent="0.25">
      <c r="A30" t="s">
        <v>38</v>
      </c>
      <c r="B30" t="s">
        <v>91</v>
      </c>
      <c r="C30" t="s">
        <v>91</v>
      </c>
      <c r="D30" t="str">
        <f t="shared" si="0"/>
        <v>Sim</v>
      </c>
    </row>
    <row r="31" spans="1:4" x14ac:dyDescent="0.25">
      <c r="A31" t="s">
        <v>38</v>
      </c>
      <c r="B31" t="s">
        <v>91</v>
      </c>
      <c r="C31" t="s">
        <v>91</v>
      </c>
      <c r="D31" t="str">
        <f t="shared" si="0"/>
        <v>Sim</v>
      </c>
    </row>
    <row r="32" spans="1:4" x14ac:dyDescent="0.25">
      <c r="A32" t="s">
        <v>38</v>
      </c>
      <c r="B32" t="s">
        <v>210</v>
      </c>
      <c r="C32" t="s">
        <v>210</v>
      </c>
      <c r="D32" t="str">
        <f t="shared" si="0"/>
        <v>Sim</v>
      </c>
    </row>
    <row r="33" spans="1:4" x14ac:dyDescent="0.25">
      <c r="A33" t="s">
        <v>38</v>
      </c>
      <c r="B33" t="s">
        <v>210</v>
      </c>
      <c r="C33" t="s">
        <v>210</v>
      </c>
      <c r="D33" t="str">
        <f t="shared" si="0"/>
        <v>Sim</v>
      </c>
    </row>
    <row r="34" spans="1:4" x14ac:dyDescent="0.25">
      <c r="A34" t="s">
        <v>38</v>
      </c>
      <c r="B34" t="s">
        <v>90</v>
      </c>
      <c r="C34" t="s">
        <v>90</v>
      </c>
      <c r="D34" t="str">
        <f t="shared" si="0"/>
        <v>Sim</v>
      </c>
    </row>
    <row r="35" spans="1:4" x14ac:dyDescent="0.25">
      <c r="A35" t="s">
        <v>38</v>
      </c>
      <c r="B35" t="s">
        <v>90</v>
      </c>
      <c r="C35" t="s">
        <v>90</v>
      </c>
      <c r="D35" t="str">
        <f t="shared" si="0"/>
        <v>Sim</v>
      </c>
    </row>
    <row r="36" spans="1:4" x14ac:dyDescent="0.25">
      <c r="A36" t="s">
        <v>38</v>
      </c>
      <c r="B36" t="s">
        <v>158</v>
      </c>
      <c r="C36" t="s">
        <v>158</v>
      </c>
      <c r="D36" t="str">
        <f t="shared" si="0"/>
        <v>Sim</v>
      </c>
    </row>
    <row r="37" spans="1:4" x14ac:dyDescent="0.25">
      <c r="A37" t="s">
        <v>38</v>
      </c>
      <c r="B37" t="s">
        <v>158</v>
      </c>
      <c r="C37" t="s">
        <v>158</v>
      </c>
      <c r="D37" t="str">
        <f t="shared" si="0"/>
        <v>Sim</v>
      </c>
    </row>
    <row r="38" spans="1:4" x14ac:dyDescent="0.25">
      <c r="A38" t="s">
        <v>44</v>
      </c>
      <c r="B38" t="s">
        <v>211</v>
      </c>
      <c r="C38" t="s">
        <v>211</v>
      </c>
      <c r="D38" t="str">
        <f t="shared" si="0"/>
        <v>Sim</v>
      </c>
    </row>
    <row r="39" spans="1:4" x14ac:dyDescent="0.25">
      <c r="A39" t="s">
        <v>44</v>
      </c>
      <c r="B39" t="s">
        <v>212</v>
      </c>
      <c r="C39" t="s">
        <v>212</v>
      </c>
      <c r="D39" t="str">
        <f t="shared" si="0"/>
        <v>Sim</v>
      </c>
    </row>
    <row r="40" spans="1:4" x14ac:dyDescent="0.25">
      <c r="A40" t="s">
        <v>44</v>
      </c>
      <c r="B40" t="s">
        <v>214</v>
      </c>
      <c r="C40" t="s">
        <v>214</v>
      </c>
      <c r="D40" t="str">
        <f t="shared" si="0"/>
        <v>Sim</v>
      </c>
    </row>
    <row r="41" spans="1:4" x14ac:dyDescent="0.25">
      <c r="A41" t="s">
        <v>44</v>
      </c>
      <c r="B41" t="s">
        <v>213</v>
      </c>
      <c r="C41" t="s">
        <v>213</v>
      </c>
      <c r="D41" t="str">
        <f t="shared" si="0"/>
        <v>Sim</v>
      </c>
    </row>
    <row r="42" spans="1:4" x14ac:dyDescent="0.25">
      <c r="A42" t="s">
        <v>44</v>
      </c>
      <c r="B42" t="s">
        <v>567</v>
      </c>
      <c r="C42" t="s">
        <v>567</v>
      </c>
      <c r="D42" t="str">
        <f t="shared" si="0"/>
        <v>Sim</v>
      </c>
    </row>
    <row r="43" spans="1:4" x14ac:dyDescent="0.25">
      <c r="A43" t="s">
        <v>44</v>
      </c>
      <c r="B43" t="s">
        <v>360</v>
      </c>
      <c r="C43" t="s">
        <v>360</v>
      </c>
      <c r="D43" t="str">
        <f t="shared" si="0"/>
        <v>Sim</v>
      </c>
    </row>
    <row r="44" spans="1:4" x14ac:dyDescent="0.25">
      <c r="A44" t="s">
        <v>44</v>
      </c>
      <c r="B44" t="s">
        <v>215</v>
      </c>
      <c r="C44" t="s">
        <v>215</v>
      </c>
      <c r="D44" t="str">
        <f t="shared" si="0"/>
        <v>Sim</v>
      </c>
    </row>
    <row r="45" spans="1:4" x14ac:dyDescent="0.25">
      <c r="A45" t="s">
        <v>44</v>
      </c>
      <c r="B45" t="s">
        <v>361</v>
      </c>
      <c r="C45" t="s">
        <v>361</v>
      </c>
      <c r="D45" t="str">
        <f t="shared" si="0"/>
        <v>Sim</v>
      </c>
    </row>
    <row r="46" spans="1:4" x14ac:dyDescent="0.25">
      <c r="A46" t="s">
        <v>44</v>
      </c>
      <c r="B46" t="s">
        <v>568</v>
      </c>
      <c r="C46" t="s">
        <v>568</v>
      </c>
      <c r="D46" t="str">
        <f t="shared" si="0"/>
        <v>Sim</v>
      </c>
    </row>
    <row r="47" spans="1:4" x14ac:dyDescent="0.25">
      <c r="A47" t="s">
        <v>44</v>
      </c>
      <c r="B47" t="s">
        <v>160</v>
      </c>
      <c r="C47" t="s">
        <v>160</v>
      </c>
      <c r="D47" t="str">
        <f t="shared" si="0"/>
        <v>Sim</v>
      </c>
    </row>
    <row r="48" spans="1:4" x14ac:dyDescent="0.25">
      <c r="A48" t="s">
        <v>44</v>
      </c>
      <c r="B48" t="s">
        <v>162</v>
      </c>
      <c r="C48" t="s">
        <v>162</v>
      </c>
      <c r="D48" t="str">
        <f t="shared" si="0"/>
        <v>Sim</v>
      </c>
    </row>
    <row r="49" spans="1:4" x14ac:dyDescent="0.25">
      <c r="A49" t="s">
        <v>44</v>
      </c>
      <c r="B49" t="s">
        <v>161</v>
      </c>
      <c r="C49" t="s">
        <v>161</v>
      </c>
      <c r="D49" t="str">
        <f t="shared" si="0"/>
        <v>Sim</v>
      </c>
    </row>
    <row r="50" spans="1:4" x14ac:dyDescent="0.25">
      <c r="A50" t="s">
        <v>1298</v>
      </c>
      <c r="B50" t="s">
        <v>1312</v>
      </c>
      <c r="C50" t="s">
        <v>1313</v>
      </c>
      <c r="D50" t="str">
        <f t="shared" si="0"/>
        <v>Não</v>
      </c>
    </row>
    <row r="51" spans="1:4" x14ac:dyDescent="0.25">
      <c r="A51" t="s">
        <v>1298</v>
      </c>
      <c r="B51" t="s">
        <v>1314</v>
      </c>
      <c r="C51" t="s">
        <v>1314</v>
      </c>
      <c r="D51" t="str">
        <f t="shared" si="0"/>
        <v>Sim</v>
      </c>
    </row>
    <row r="52" spans="1:4" x14ac:dyDescent="0.25">
      <c r="A52" t="s">
        <v>1298</v>
      </c>
      <c r="B52" t="s">
        <v>1315</v>
      </c>
      <c r="C52" t="s">
        <v>1315</v>
      </c>
      <c r="D52" t="str">
        <f t="shared" si="0"/>
        <v>Sim</v>
      </c>
    </row>
    <row r="53" spans="1:4" x14ac:dyDescent="0.25">
      <c r="A53" t="s">
        <v>1298</v>
      </c>
      <c r="B53" t="s">
        <v>1316</v>
      </c>
      <c r="C53" t="s">
        <v>1316</v>
      </c>
      <c r="D53" t="str">
        <f t="shared" si="0"/>
        <v>Sim</v>
      </c>
    </row>
    <row r="54" spans="1:4" x14ac:dyDescent="0.25">
      <c r="A54" t="s">
        <v>1298</v>
      </c>
      <c r="B54" t="s">
        <v>1317</v>
      </c>
      <c r="C54" t="s">
        <v>1317</v>
      </c>
      <c r="D54" t="str">
        <f t="shared" si="0"/>
        <v>Sim</v>
      </c>
    </row>
    <row r="55" spans="1:4" x14ac:dyDescent="0.25">
      <c r="A55" t="s">
        <v>1298</v>
      </c>
      <c r="B55" t="s">
        <v>1318</v>
      </c>
      <c r="C55" t="s">
        <v>1319</v>
      </c>
      <c r="D55" t="str">
        <f t="shared" si="0"/>
        <v>Não</v>
      </c>
    </row>
    <row r="56" spans="1:4" x14ac:dyDescent="0.25">
      <c r="A56" t="s">
        <v>1298</v>
      </c>
      <c r="B56" t="s">
        <v>1320</v>
      </c>
      <c r="C56" t="s">
        <v>1320</v>
      </c>
      <c r="D56" t="str">
        <f t="shared" si="0"/>
        <v>Sim</v>
      </c>
    </row>
    <row r="57" spans="1:4" x14ac:dyDescent="0.25">
      <c r="A57" t="s">
        <v>1298</v>
      </c>
      <c r="B57" t="s">
        <v>1321</v>
      </c>
      <c r="C57" t="s">
        <v>1321</v>
      </c>
      <c r="D57" t="str">
        <f t="shared" si="0"/>
        <v>Sim</v>
      </c>
    </row>
    <row r="58" spans="1:4" x14ac:dyDescent="0.25">
      <c r="A58" t="s">
        <v>1298</v>
      </c>
      <c r="B58" t="s">
        <v>541</v>
      </c>
      <c r="C58" t="s">
        <v>541</v>
      </c>
      <c r="D58" t="str">
        <f t="shared" si="0"/>
        <v>Sim</v>
      </c>
    </row>
    <row r="59" spans="1:4" x14ac:dyDescent="0.25">
      <c r="A59" t="s">
        <v>1298</v>
      </c>
      <c r="B59" t="s">
        <v>1322</v>
      </c>
      <c r="C59" t="s">
        <v>1322</v>
      </c>
      <c r="D59" t="str">
        <f t="shared" si="0"/>
        <v>Sim</v>
      </c>
    </row>
    <row r="60" spans="1:4" x14ac:dyDescent="0.25">
      <c r="A60" t="s">
        <v>1298</v>
      </c>
      <c r="B60" t="s">
        <v>1323</v>
      </c>
      <c r="C60" t="s">
        <v>1323</v>
      </c>
      <c r="D60" t="str">
        <f t="shared" si="0"/>
        <v>Sim</v>
      </c>
    </row>
    <row r="61" spans="1:4" x14ac:dyDescent="0.25">
      <c r="A61" t="s">
        <v>1298</v>
      </c>
      <c r="B61" t="s">
        <v>1324</v>
      </c>
      <c r="C61" t="s">
        <v>1324</v>
      </c>
      <c r="D61" t="str">
        <f t="shared" si="0"/>
        <v>Sim</v>
      </c>
    </row>
    <row r="62" spans="1:4" x14ac:dyDescent="0.25">
      <c r="A62" t="s">
        <v>1300</v>
      </c>
      <c r="B62" t="s">
        <v>810</v>
      </c>
      <c r="C62" t="s">
        <v>1325</v>
      </c>
      <c r="D62" t="str">
        <f t="shared" si="0"/>
        <v>Não</v>
      </c>
    </row>
    <row r="63" spans="1:4" x14ac:dyDescent="0.25">
      <c r="A63" t="s">
        <v>1300</v>
      </c>
      <c r="B63" t="s">
        <v>1326</v>
      </c>
      <c r="C63" t="s">
        <v>1327</v>
      </c>
      <c r="D63" t="str">
        <f t="shared" si="0"/>
        <v>Não</v>
      </c>
    </row>
    <row r="64" spans="1:4" x14ac:dyDescent="0.25">
      <c r="A64" t="s">
        <v>1300</v>
      </c>
      <c r="B64" t="s">
        <v>134</v>
      </c>
      <c r="C64" t="s">
        <v>528</v>
      </c>
      <c r="D64" t="str">
        <f t="shared" si="0"/>
        <v>Não</v>
      </c>
    </row>
    <row r="65" spans="1:4" x14ac:dyDescent="0.25">
      <c r="A65" t="s">
        <v>1300</v>
      </c>
      <c r="B65" t="s">
        <v>1328</v>
      </c>
      <c r="C65" t="s">
        <v>1328</v>
      </c>
      <c r="D65" t="str">
        <f t="shared" si="0"/>
        <v>Sim</v>
      </c>
    </row>
    <row r="66" spans="1:4" x14ac:dyDescent="0.25">
      <c r="A66" t="s">
        <v>1300</v>
      </c>
      <c r="B66" t="s">
        <v>1329</v>
      </c>
      <c r="C66" t="s">
        <v>1329</v>
      </c>
      <c r="D66" t="str">
        <f t="shared" si="0"/>
        <v>Sim</v>
      </c>
    </row>
    <row r="67" spans="1:4" x14ac:dyDescent="0.25">
      <c r="A67" t="s">
        <v>1300</v>
      </c>
      <c r="B67" t="s">
        <v>1330</v>
      </c>
      <c r="C67" t="s">
        <v>1330</v>
      </c>
      <c r="D67" t="str">
        <f t="shared" si="0"/>
        <v>Sim</v>
      </c>
    </row>
    <row r="68" spans="1:4" x14ac:dyDescent="0.25">
      <c r="A68" t="s">
        <v>1300</v>
      </c>
      <c r="B68" t="s">
        <v>1331</v>
      </c>
      <c r="C68" t="s">
        <v>1331</v>
      </c>
      <c r="D68" t="str">
        <f t="shared" ref="D68:D101" si="2">IF(B68=C68, "Sim", "Não")</f>
        <v>Sim</v>
      </c>
    </row>
    <row r="69" spans="1:4" x14ac:dyDescent="0.25">
      <c r="A69" t="s">
        <v>1300</v>
      </c>
      <c r="B69" t="s">
        <v>1332</v>
      </c>
      <c r="C69" t="s">
        <v>1332</v>
      </c>
      <c r="D69" t="str">
        <f t="shared" si="2"/>
        <v>Sim</v>
      </c>
    </row>
    <row r="70" spans="1:4" x14ac:dyDescent="0.25">
      <c r="A70" t="s">
        <v>1300</v>
      </c>
      <c r="B70" t="s">
        <v>1333</v>
      </c>
      <c r="C70" t="s">
        <v>1333</v>
      </c>
      <c r="D70" t="str">
        <f t="shared" si="2"/>
        <v>Sim</v>
      </c>
    </row>
    <row r="71" spans="1:4" x14ac:dyDescent="0.25">
      <c r="A71" t="s">
        <v>1300</v>
      </c>
      <c r="B71" t="s">
        <v>1334</v>
      </c>
      <c r="C71" t="s">
        <v>1334</v>
      </c>
      <c r="D71" t="str">
        <f t="shared" si="2"/>
        <v>Sim</v>
      </c>
    </row>
    <row r="72" spans="1:4" x14ac:dyDescent="0.25">
      <c r="A72" t="s">
        <v>1300</v>
      </c>
      <c r="B72" t="s">
        <v>1335</v>
      </c>
      <c r="C72" t="s">
        <v>1336</v>
      </c>
      <c r="D72" t="str">
        <f t="shared" si="2"/>
        <v>Não</v>
      </c>
    </row>
    <row r="73" spans="1:4" x14ac:dyDescent="0.25">
      <c r="A73" t="s">
        <v>1300</v>
      </c>
      <c r="B73" t="s">
        <v>1337</v>
      </c>
      <c r="C73" t="s">
        <v>1995</v>
      </c>
      <c r="D73" t="str">
        <f t="shared" si="2"/>
        <v>Não</v>
      </c>
    </row>
    <row r="74" spans="1:4" x14ac:dyDescent="0.25">
      <c r="A74" t="s">
        <v>1302</v>
      </c>
      <c r="B74" t="s">
        <v>1338</v>
      </c>
      <c r="C74" t="s">
        <v>1339</v>
      </c>
      <c r="D74" t="str">
        <f t="shared" si="2"/>
        <v>Não</v>
      </c>
    </row>
    <row r="75" spans="1:4" x14ac:dyDescent="0.25">
      <c r="A75" t="s">
        <v>1302</v>
      </c>
      <c r="B75" t="s">
        <v>1340</v>
      </c>
      <c r="C75" t="s">
        <v>1340</v>
      </c>
      <c r="D75" t="str">
        <f t="shared" si="2"/>
        <v>Sim</v>
      </c>
    </row>
    <row r="76" spans="1:4" x14ac:dyDescent="0.25">
      <c r="A76" t="s">
        <v>1302</v>
      </c>
      <c r="B76" t="s">
        <v>1341</v>
      </c>
      <c r="C76" t="s">
        <v>1341</v>
      </c>
      <c r="D76" t="str">
        <f t="shared" si="2"/>
        <v>Sim</v>
      </c>
    </row>
    <row r="77" spans="1:4" x14ac:dyDescent="0.25">
      <c r="A77" t="s">
        <v>1302</v>
      </c>
      <c r="B77" t="s">
        <v>376</v>
      </c>
      <c r="C77" t="s">
        <v>1342</v>
      </c>
      <c r="D77" t="str">
        <f t="shared" si="2"/>
        <v>Não</v>
      </c>
    </row>
    <row r="78" spans="1:4" x14ac:dyDescent="0.25">
      <c r="A78" t="s">
        <v>1302</v>
      </c>
      <c r="B78" t="s">
        <v>1343</v>
      </c>
      <c r="C78" t="s">
        <v>1343</v>
      </c>
      <c r="D78" t="str">
        <f t="shared" si="2"/>
        <v>Sim</v>
      </c>
    </row>
    <row r="79" spans="1:4" x14ac:dyDescent="0.25">
      <c r="A79" t="s">
        <v>1302</v>
      </c>
      <c r="B79" t="s">
        <v>1344</v>
      </c>
      <c r="C79" t="s">
        <v>1344</v>
      </c>
      <c r="D79" t="str">
        <f t="shared" si="2"/>
        <v>Sim</v>
      </c>
    </row>
    <row r="80" spans="1:4" x14ac:dyDescent="0.25">
      <c r="A80" t="s">
        <v>1302</v>
      </c>
      <c r="B80" t="s">
        <v>1345</v>
      </c>
      <c r="C80" t="s">
        <v>1345</v>
      </c>
      <c r="D80" t="str">
        <f t="shared" si="2"/>
        <v>Sim</v>
      </c>
    </row>
    <row r="81" spans="1:4" x14ac:dyDescent="0.25">
      <c r="A81" t="s">
        <v>1302</v>
      </c>
      <c r="B81" t="s">
        <v>1346</v>
      </c>
      <c r="C81" t="s">
        <v>1346</v>
      </c>
      <c r="D81" t="str">
        <f t="shared" si="2"/>
        <v>Sim</v>
      </c>
    </row>
    <row r="82" spans="1:4" x14ac:dyDescent="0.25">
      <c r="A82" t="s">
        <v>1304</v>
      </c>
      <c r="B82" t="s">
        <v>1347</v>
      </c>
      <c r="C82" t="s">
        <v>1347</v>
      </c>
      <c r="D82" t="str">
        <f t="shared" si="2"/>
        <v>Sim</v>
      </c>
    </row>
    <row r="83" spans="1:4" x14ac:dyDescent="0.25">
      <c r="A83" t="s">
        <v>1304</v>
      </c>
      <c r="B83" t="s">
        <v>1348</v>
      </c>
      <c r="C83" t="s">
        <v>1348</v>
      </c>
      <c r="D83" t="str">
        <f t="shared" si="2"/>
        <v>Sim</v>
      </c>
    </row>
    <row r="84" spans="1:4" x14ac:dyDescent="0.25">
      <c r="A84" t="s">
        <v>156</v>
      </c>
      <c r="B84" t="s">
        <v>1349</v>
      </c>
      <c r="C84" t="s">
        <v>1349</v>
      </c>
      <c r="D84" t="str">
        <f t="shared" si="2"/>
        <v>Sim</v>
      </c>
    </row>
    <row r="85" spans="1:4" x14ac:dyDescent="0.25">
      <c r="A85" t="s">
        <v>156</v>
      </c>
      <c r="B85" t="s">
        <v>1350</v>
      </c>
      <c r="C85" t="s">
        <v>1350</v>
      </c>
      <c r="D85" t="str">
        <f t="shared" si="2"/>
        <v>Sim</v>
      </c>
    </row>
    <row r="86" spans="1:4" x14ac:dyDescent="0.25">
      <c r="A86" t="s">
        <v>156</v>
      </c>
      <c r="B86" t="s">
        <v>1351</v>
      </c>
      <c r="C86" t="s">
        <v>1351</v>
      </c>
      <c r="D86" t="str">
        <f t="shared" si="2"/>
        <v>Sim</v>
      </c>
    </row>
    <row r="87" spans="1:4" x14ac:dyDescent="0.25">
      <c r="A87" t="s">
        <v>156</v>
      </c>
      <c r="B87" t="s">
        <v>1352</v>
      </c>
      <c r="C87" t="s">
        <v>1353</v>
      </c>
      <c r="D87" t="str">
        <f t="shared" si="2"/>
        <v>Não</v>
      </c>
    </row>
    <row r="88" spans="1:4" x14ac:dyDescent="0.25">
      <c r="A88" t="s">
        <v>156</v>
      </c>
      <c r="B88" t="s">
        <v>1354</v>
      </c>
      <c r="C88" t="s">
        <v>1994</v>
      </c>
      <c r="D88" t="str">
        <f t="shared" si="2"/>
        <v>Não</v>
      </c>
    </row>
    <row r="89" spans="1:4" x14ac:dyDescent="0.25">
      <c r="A89" t="s">
        <v>156</v>
      </c>
      <c r="B89" t="s">
        <v>1355</v>
      </c>
      <c r="C89" t="s">
        <v>1355</v>
      </c>
      <c r="D89" t="str">
        <f t="shared" si="2"/>
        <v>Sim</v>
      </c>
    </row>
    <row r="90" spans="1:4" x14ac:dyDescent="0.25">
      <c r="A90" t="s">
        <v>156</v>
      </c>
      <c r="B90" t="s">
        <v>1356</v>
      </c>
      <c r="C90" t="s">
        <v>1356</v>
      </c>
      <c r="D90" t="str">
        <f t="shared" si="2"/>
        <v>Sim</v>
      </c>
    </row>
    <row r="91" spans="1:4" x14ac:dyDescent="0.25">
      <c r="A91" t="s">
        <v>156</v>
      </c>
      <c r="B91" t="s">
        <v>1357</v>
      </c>
      <c r="C91" t="s">
        <v>1357</v>
      </c>
      <c r="D91" t="str">
        <f t="shared" si="2"/>
        <v>Sim</v>
      </c>
    </row>
    <row r="92" spans="1:4" x14ac:dyDescent="0.25">
      <c r="A92" t="s">
        <v>156</v>
      </c>
      <c r="B92" t="s">
        <v>1358</v>
      </c>
      <c r="C92" t="s">
        <v>1358</v>
      </c>
      <c r="D92" t="str">
        <f t="shared" si="2"/>
        <v>Sim</v>
      </c>
    </row>
    <row r="93" spans="1:4" x14ac:dyDescent="0.25">
      <c r="A93" t="s">
        <v>156</v>
      </c>
      <c r="B93" t="s">
        <v>1359</v>
      </c>
      <c r="C93" t="s">
        <v>1359</v>
      </c>
      <c r="D93" t="str">
        <f t="shared" si="2"/>
        <v>Sim</v>
      </c>
    </row>
    <row r="94" spans="1:4" x14ac:dyDescent="0.25">
      <c r="A94" t="s">
        <v>156</v>
      </c>
      <c r="B94" t="s">
        <v>1360</v>
      </c>
      <c r="C94" t="s">
        <v>1360</v>
      </c>
      <c r="D94" t="str">
        <f t="shared" si="2"/>
        <v>Sim</v>
      </c>
    </row>
    <row r="95" spans="1:4" x14ac:dyDescent="0.25">
      <c r="A95" t="s">
        <v>156</v>
      </c>
      <c r="B95" t="s">
        <v>1361</v>
      </c>
      <c r="C95" t="s">
        <v>1361</v>
      </c>
      <c r="D95" t="str">
        <f t="shared" si="2"/>
        <v>Sim</v>
      </c>
    </row>
    <row r="96" spans="1:4" x14ac:dyDescent="0.25">
      <c r="A96" t="s">
        <v>156</v>
      </c>
      <c r="B96" t="s">
        <v>1362</v>
      </c>
      <c r="C96" t="s">
        <v>1362</v>
      </c>
      <c r="D96" t="str">
        <f t="shared" si="2"/>
        <v>Sim</v>
      </c>
    </row>
    <row r="97" spans="1:4" x14ac:dyDescent="0.25">
      <c r="A97" t="s">
        <v>156</v>
      </c>
      <c r="B97" t="s">
        <v>1363</v>
      </c>
      <c r="C97" t="s">
        <v>1363</v>
      </c>
      <c r="D97" t="str">
        <f t="shared" si="2"/>
        <v>Sim</v>
      </c>
    </row>
    <row r="98" spans="1:4" x14ac:dyDescent="0.25">
      <c r="A98" t="s">
        <v>156</v>
      </c>
      <c r="B98" t="s">
        <v>1364</v>
      </c>
      <c r="C98" t="s">
        <v>1364</v>
      </c>
      <c r="D98" t="str">
        <f t="shared" si="2"/>
        <v>Sim</v>
      </c>
    </row>
    <row r="99" spans="1:4" x14ac:dyDescent="0.25">
      <c r="A99" t="s">
        <v>156</v>
      </c>
      <c r="B99" t="s">
        <v>1365</v>
      </c>
      <c r="C99" t="s">
        <v>1365</v>
      </c>
      <c r="D99" t="str">
        <f t="shared" si="2"/>
        <v>Sim</v>
      </c>
    </row>
    <row r="100" spans="1:4" x14ac:dyDescent="0.25">
      <c r="A100" t="s">
        <v>156</v>
      </c>
      <c r="B100" t="s">
        <v>1366</v>
      </c>
      <c r="C100" t="s">
        <v>1366</v>
      </c>
      <c r="D100" t="str">
        <f t="shared" si="2"/>
        <v>Sim</v>
      </c>
    </row>
    <row r="101" spans="1:4" x14ac:dyDescent="0.25">
      <c r="A101" s="5" t="s">
        <v>156</v>
      </c>
      <c r="B101" t="s">
        <v>1367</v>
      </c>
      <c r="C101" t="s">
        <v>1367</v>
      </c>
      <c r="D101" t="str">
        <f t="shared" si="2"/>
        <v>Sim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79D3E-46DC-42EA-90ED-427B7DF1FEBD}">
  <sheetPr codeName="Planilha26"/>
  <dimension ref="A1:G101"/>
  <sheetViews>
    <sheetView topLeftCell="A28" workbookViewId="0">
      <selection activeCell="B55" sqref="B55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28" t="s">
        <v>1368</v>
      </c>
      <c r="B1" s="28"/>
      <c r="C1" s="28"/>
      <c r="D1" s="28"/>
      <c r="E1" s="28"/>
      <c r="F1" s="28"/>
      <c r="G1" s="28"/>
    </row>
    <row r="2" spans="1:7" x14ac:dyDescent="0.25">
      <c r="A2" s="4" t="s">
        <v>34</v>
      </c>
      <c r="B2" s="4" t="s">
        <v>35</v>
      </c>
      <c r="C2" s="4" t="s">
        <v>36</v>
      </c>
      <c r="D2" s="4" t="s">
        <v>37</v>
      </c>
    </row>
    <row r="3" spans="1:7" x14ac:dyDescent="0.25">
      <c r="A3" t="s">
        <v>38</v>
      </c>
      <c r="B3" t="s">
        <v>1369</v>
      </c>
      <c r="C3" t="s">
        <v>1369</v>
      </c>
      <c r="D3" t="str">
        <f>IF(B3=C3, "Sim", "Não")</f>
        <v>Sim</v>
      </c>
      <c r="F3" s="4" t="s">
        <v>39</v>
      </c>
      <c r="G3" s="3">
        <f>COUNTIF(D3:D105,"Não")</f>
        <v>12</v>
      </c>
    </row>
    <row r="4" spans="1:7" x14ac:dyDescent="0.25">
      <c r="A4" t="s">
        <v>38</v>
      </c>
      <c r="B4" t="s">
        <v>145</v>
      </c>
      <c r="C4" t="s">
        <v>145</v>
      </c>
      <c r="D4" t="str">
        <f t="shared" ref="D4:D65" si="0">IF(B4=C4, "Sim", "Não")</f>
        <v>Sim</v>
      </c>
      <c r="F4" s="4" t="s">
        <v>40</v>
      </c>
      <c r="G4" s="3">
        <f>SUM(G7:G25)</f>
        <v>99</v>
      </c>
    </row>
    <row r="5" spans="1:7" x14ac:dyDescent="0.25">
      <c r="A5" t="s">
        <v>38</v>
      </c>
      <c r="B5" t="s">
        <v>551</v>
      </c>
      <c r="C5" t="s">
        <v>551</v>
      </c>
      <c r="D5" t="str">
        <f t="shared" si="0"/>
        <v>Sim</v>
      </c>
    </row>
    <row r="6" spans="1:7" x14ac:dyDescent="0.25">
      <c r="A6" t="s">
        <v>38</v>
      </c>
      <c r="B6" t="s">
        <v>1370</v>
      </c>
      <c r="C6" t="s">
        <v>1370</v>
      </c>
      <c r="D6" t="str">
        <f t="shared" si="0"/>
        <v>Sim</v>
      </c>
      <c r="F6" s="6" t="s">
        <v>42</v>
      </c>
      <c r="G6" s="1"/>
    </row>
    <row r="7" spans="1:7" x14ac:dyDescent="0.25">
      <c r="A7" t="s">
        <v>38</v>
      </c>
      <c r="B7" t="s">
        <v>204</v>
      </c>
      <c r="C7" t="s">
        <v>204</v>
      </c>
      <c r="D7" t="str">
        <f t="shared" si="0"/>
        <v>Sim</v>
      </c>
      <c r="F7" s="1" t="s">
        <v>38</v>
      </c>
      <c r="G7" s="2">
        <f t="shared" ref="G7:G16" si="1">COUNTIF(A:A,F7)</f>
        <v>34</v>
      </c>
    </row>
    <row r="8" spans="1:7" x14ac:dyDescent="0.25">
      <c r="A8" t="s">
        <v>38</v>
      </c>
      <c r="B8" t="s">
        <v>72</v>
      </c>
      <c r="C8" t="s">
        <v>72</v>
      </c>
      <c r="D8" t="str">
        <f t="shared" si="0"/>
        <v>Sim</v>
      </c>
      <c r="F8" s="1" t="s">
        <v>1371</v>
      </c>
      <c r="G8" s="2">
        <f t="shared" si="1"/>
        <v>11</v>
      </c>
    </row>
    <row r="9" spans="1:7" x14ac:dyDescent="0.25">
      <c r="A9" t="s">
        <v>38</v>
      </c>
      <c r="B9" t="s">
        <v>43</v>
      </c>
      <c r="C9" t="s">
        <v>43</v>
      </c>
      <c r="D9" t="str">
        <f t="shared" si="0"/>
        <v>Sim</v>
      </c>
      <c r="F9" s="1" t="s">
        <v>347</v>
      </c>
      <c r="G9" s="2">
        <f t="shared" si="1"/>
        <v>7</v>
      </c>
    </row>
    <row r="10" spans="1:7" x14ac:dyDescent="0.25">
      <c r="A10" t="s">
        <v>38</v>
      </c>
      <c r="B10" t="s">
        <v>63</v>
      </c>
      <c r="C10" t="s">
        <v>63</v>
      </c>
      <c r="D10" t="str">
        <f t="shared" si="0"/>
        <v>Sim</v>
      </c>
      <c r="F10" s="1" t="s">
        <v>345</v>
      </c>
      <c r="G10" s="2">
        <f t="shared" si="1"/>
        <v>4</v>
      </c>
    </row>
    <row r="11" spans="1:7" x14ac:dyDescent="0.25">
      <c r="A11" t="s">
        <v>38</v>
      </c>
      <c r="B11" t="s">
        <v>157</v>
      </c>
      <c r="C11" t="s">
        <v>157</v>
      </c>
      <c r="D11" t="str">
        <f t="shared" si="0"/>
        <v>Sim</v>
      </c>
      <c r="F11" s="1" t="s">
        <v>46</v>
      </c>
      <c r="G11" s="2">
        <f t="shared" si="1"/>
        <v>5</v>
      </c>
    </row>
    <row r="12" spans="1:7" x14ac:dyDescent="0.25">
      <c r="A12" t="s">
        <v>38</v>
      </c>
      <c r="B12" t="s">
        <v>210</v>
      </c>
      <c r="C12" t="s">
        <v>210</v>
      </c>
      <c r="D12" t="str">
        <f t="shared" si="0"/>
        <v>Sim</v>
      </c>
      <c r="F12" s="1" t="s">
        <v>53</v>
      </c>
      <c r="G12" s="2">
        <f t="shared" si="1"/>
        <v>10</v>
      </c>
    </row>
    <row r="13" spans="1:7" x14ac:dyDescent="0.25">
      <c r="A13" t="s">
        <v>38</v>
      </c>
      <c r="B13" t="s">
        <v>210</v>
      </c>
      <c r="C13" t="s">
        <v>210</v>
      </c>
      <c r="D13" t="str">
        <f t="shared" si="0"/>
        <v>Sim</v>
      </c>
      <c r="F13" s="1" t="s">
        <v>1372</v>
      </c>
      <c r="G13" s="2">
        <f t="shared" si="1"/>
        <v>14</v>
      </c>
    </row>
    <row r="14" spans="1:7" x14ac:dyDescent="0.25">
      <c r="A14" t="s">
        <v>38</v>
      </c>
      <c r="B14" t="s">
        <v>210</v>
      </c>
      <c r="C14" t="s">
        <v>210</v>
      </c>
      <c r="D14" t="str">
        <f t="shared" si="0"/>
        <v>Sim</v>
      </c>
      <c r="F14" s="1" t="s">
        <v>1373</v>
      </c>
      <c r="G14" s="2">
        <f t="shared" si="1"/>
        <v>5</v>
      </c>
    </row>
    <row r="15" spans="1:7" x14ac:dyDescent="0.25">
      <c r="A15" t="s">
        <v>38</v>
      </c>
      <c r="B15" t="s">
        <v>210</v>
      </c>
      <c r="C15" t="s">
        <v>210</v>
      </c>
      <c r="D15" t="str">
        <f t="shared" si="0"/>
        <v>Sim</v>
      </c>
      <c r="F15" s="1" t="s">
        <v>1374</v>
      </c>
      <c r="G15" s="2">
        <f t="shared" si="1"/>
        <v>0</v>
      </c>
    </row>
    <row r="16" spans="1:7" x14ac:dyDescent="0.25">
      <c r="A16" t="s">
        <v>38</v>
      </c>
      <c r="B16" t="s">
        <v>210</v>
      </c>
      <c r="C16" t="s">
        <v>210</v>
      </c>
      <c r="D16" t="str">
        <f t="shared" si="0"/>
        <v>Sim</v>
      </c>
      <c r="F16" s="1" t="s">
        <v>156</v>
      </c>
      <c r="G16" s="2">
        <f t="shared" si="1"/>
        <v>9</v>
      </c>
    </row>
    <row r="17" spans="1:4" x14ac:dyDescent="0.25">
      <c r="A17" t="s">
        <v>38</v>
      </c>
      <c r="B17" t="s">
        <v>210</v>
      </c>
      <c r="C17" t="s">
        <v>210</v>
      </c>
      <c r="D17" t="str">
        <f t="shared" si="0"/>
        <v>Sim</v>
      </c>
    </row>
    <row r="18" spans="1:4" x14ac:dyDescent="0.25">
      <c r="A18" t="s">
        <v>38</v>
      </c>
      <c r="B18" t="s">
        <v>210</v>
      </c>
      <c r="C18" t="s">
        <v>210</v>
      </c>
      <c r="D18" t="str">
        <f t="shared" si="0"/>
        <v>Sim</v>
      </c>
    </row>
    <row r="19" spans="1:4" x14ac:dyDescent="0.25">
      <c r="A19" t="s">
        <v>38</v>
      </c>
      <c r="B19" t="s">
        <v>210</v>
      </c>
      <c r="C19" t="s">
        <v>210</v>
      </c>
      <c r="D19" t="str">
        <f t="shared" si="0"/>
        <v>Sim</v>
      </c>
    </row>
    <row r="20" spans="1:4" x14ac:dyDescent="0.25">
      <c r="A20" t="s">
        <v>38</v>
      </c>
      <c r="B20" t="s">
        <v>210</v>
      </c>
      <c r="C20" t="s">
        <v>210</v>
      </c>
      <c r="D20" t="str">
        <f t="shared" si="0"/>
        <v>Sim</v>
      </c>
    </row>
    <row r="21" spans="1:4" x14ac:dyDescent="0.25">
      <c r="A21" t="s">
        <v>38</v>
      </c>
      <c r="B21" t="s">
        <v>210</v>
      </c>
      <c r="C21" t="s">
        <v>210</v>
      </c>
      <c r="D21" t="str">
        <f t="shared" si="0"/>
        <v>Sim</v>
      </c>
    </row>
    <row r="22" spans="1:4" x14ac:dyDescent="0.25">
      <c r="A22" t="s">
        <v>38</v>
      </c>
      <c r="B22" t="s">
        <v>210</v>
      </c>
      <c r="C22" t="s">
        <v>210</v>
      </c>
      <c r="D22" t="str">
        <f t="shared" si="0"/>
        <v>Sim</v>
      </c>
    </row>
    <row r="23" spans="1:4" x14ac:dyDescent="0.25">
      <c r="A23" t="s">
        <v>38</v>
      </c>
      <c r="B23" t="s">
        <v>210</v>
      </c>
      <c r="C23" t="s">
        <v>210</v>
      </c>
      <c r="D23" t="str">
        <f t="shared" si="0"/>
        <v>Sim</v>
      </c>
    </row>
    <row r="24" spans="1:4" x14ac:dyDescent="0.25">
      <c r="A24" t="s">
        <v>38</v>
      </c>
      <c r="B24" t="s">
        <v>210</v>
      </c>
      <c r="C24" t="s">
        <v>210</v>
      </c>
      <c r="D24" t="str">
        <f t="shared" si="0"/>
        <v>Sim</v>
      </c>
    </row>
    <row r="25" spans="1:4" x14ac:dyDescent="0.25">
      <c r="A25" t="s">
        <v>38</v>
      </c>
      <c r="B25" t="s">
        <v>210</v>
      </c>
      <c r="C25" t="s">
        <v>210</v>
      </c>
      <c r="D25" t="str">
        <f t="shared" si="0"/>
        <v>Sim</v>
      </c>
    </row>
    <row r="26" spans="1:4" x14ac:dyDescent="0.25">
      <c r="A26" t="s">
        <v>38</v>
      </c>
      <c r="B26" t="s">
        <v>158</v>
      </c>
      <c r="C26" t="s">
        <v>158</v>
      </c>
      <c r="D26" t="str">
        <f t="shared" si="0"/>
        <v>Sim</v>
      </c>
    </row>
    <row r="27" spans="1:4" x14ac:dyDescent="0.25">
      <c r="A27" t="s">
        <v>38</v>
      </c>
      <c r="B27" t="s">
        <v>158</v>
      </c>
      <c r="C27" t="s">
        <v>158</v>
      </c>
      <c r="D27" t="str">
        <f t="shared" si="0"/>
        <v>Sim</v>
      </c>
    </row>
    <row r="28" spans="1:4" x14ac:dyDescent="0.25">
      <c r="A28" t="s">
        <v>38</v>
      </c>
      <c r="B28" t="s">
        <v>158</v>
      </c>
      <c r="C28" t="s">
        <v>158</v>
      </c>
      <c r="D28" t="str">
        <f t="shared" si="0"/>
        <v>Sim</v>
      </c>
    </row>
    <row r="29" spans="1:4" x14ac:dyDescent="0.25">
      <c r="A29" t="s">
        <v>38</v>
      </c>
      <c r="B29" t="s">
        <v>158</v>
      </c>
      <c r="C29" t="s">
        <v>158</v>
      </c>
      <c r="D29" t="str">
        <f t="shared" si="0"/>
        <v>Sim</v>
      </c>
    </row>
    <row r="30" spans="1:4" x14ac:dyDescent="0.25">
      <c r="A30" t="s">
        <v>38</v>
      </c>
      <c r="B30" t="s">
        <v>158</v>
      </c>
      <c r="C30" t="s">
        <v>158</v>
      </c>
      <c r="D30" t="str">
        <f t="shared" si="0"/>
        <v>Sim</v>
      </c>
    </row>
    <row r="31" spans="1:4" x14ac:dyDescent="0.25">
      <c r="A31" t="s">
        <v>38</v>
      </c>
      <c r="B31" t="s">
        <v>158</v>
      </c>
      <c r="C31" t="s">
        <v>158</v>
      </c>
      <c r="D31" t="str">
        <f t="shared" si="0"/>
        <v>Sim</v>
      </c>
    </row>
    <row r="32" spans="1:4" x14ac:dyDescent="0.25">
      <c r="A32" t="s">
        <v>38</v>
      </c>
      <c r="B32" t="s">
        <v>158</v>
      </c>
      <c r="C32" t="s">
        <v>158</v>
      </c>
      <c r="D32" t="str">
        <f t="shared" si="0"/>
        <v>Sim</v>
      </c>
    </row>
    <row r="33" spans="1:6" x14ac:dyDescent="0.25">
      <c r="A33" t="s">
        <v>38</v>
      </c>
      <c r="B33" t="s">
        <v>158</v>
      </c>
      <c r="C33" t="s">
        <v>158</v>
      </c>
      <c r="D33" t="str">
        <f t="shared" si="0"/>
        <v>Sim</v>
      </c>
    </row>
    <row r="34" spans="1:6" x14ac:dyDescent="0.25">
      <c r="A34" t="s">
        <v>38</v>
      </c>
      <c r="B34" t="s">
        <v>158</v>
      </c>
      <c r="C34" t="s">
        <v>158</v>
      </c>
      <c r="D34" t="str">
        <f t="shared" si="0"/>
        <v>Sim</v>
      </c>
    </row>
    <row r="35" spans="1:6" x14ac:dyDescent="0.25">
      <c r="A35" t="s">
        <v>38</v>
      </c>
      <c r="B35" t="s">
        <v>158</v>
      </c>
      <c r="C35" t="s">
        <v>158</v>
      </c>
      <c r="D35" t="str">
        <f t="shared" si="0"/>
        <v>Sim</v>
      </c>
    </row>
    <row r="36" spans="1:6" x14ac:dyDescent="0.25">
      <c r="A36" t="s">
        <v>38</v>
      </c>
      <c r="B36" t="s">
        <v>158</v>
      </c>
      <c r="C36" t="s">
        <v>158</v>
      </c>
      <c r="D36" t="str">
        <f t="shared" si="0"/>
        <v>Sim</v>
      </c>
    </row>
    <row r="37" spans="1:6" x14ac:dyDescent="0.25">
      <c r="A37" t="s">
        <v>1371</v>
      </c>
      <c r="B37" t="s">
        <v>1375</v>
      </c>
      <c r="C37" t="s">
        <v>1375</v>
      </c>
      <c r="D37" t="str">
        <f t="shared" si="0"/>
        <v>Sim</v>
      </c>
    </row>
    <row r="38" spans="1:6" x14ac:dyDescent="0.25">
      <c r="A38" t="s">
        <v>1371</v>
      </c>
      <c r="B38" t="s">
        <v>1376</v>
      </c>
      <c r="C38" t="s">
        <v>1376</v>
      </c>
      <c r="D38" t="str">
        <f t="shared" si="0"/>
        <v>Sim</v>
      </c>
    </row>
    <row r="39" spans="1:6" x14ac:dyDescent="0.25">
      <c r="A39" t="s">
        <v>1371</v>
      </c>
      <c r="B39" t="s">
        <v>383</v>
      </c>
      <c r="C39" t="s">
        <v>383</v>
      </c>
      <c r="D39" t="str">
        <f t="shared" si="0"/>
        <v>Sim</v>
      </c>
    </row>
    <row r="40" spans="1:6" x14ac:dyDescent="0.25">
      <c r="A40" t="s">
        <v>1371</v>
      </c>
      <c r="B40" t="s">
        <v>1377</v>
      </c>
      <c r="C40" t="s">
        <v>1752</v>
      </c>
      <c r="D40" t="str">
        <f t="shared" si="0"/>
        <v>Não</v>
      </c>
    </row>
    <row r="41" spans="1:6" x14ac:dyDescent="0.25">
      <c r="A41" t="s">
        <v>1371</v>
      </c>
      <c r="B41" t="s">
        <v>1754</v>
      </c>
      <c r="C41" t="s">
        <v>1754</v>
      </c>
      <c r="D41" t="str">
        <f t="shared" si="0"/>
        <v>Sim</v>
      </c>
      <c r="F41"/>
    </row>
    <row r="42" spans="1:6" x14ac:dyDescent="0.25">
      <c r="A42" t="s">
        <v>1371</v>
      </c>
      <c r="B42" t="s">
        <v>1378</v>
      </c>
      <c r="C42" t="s">
        <v>1378</v>
      </c>
      <c r="D42" t="str">
        <f t="shared" si="0"/>
        <v>Sim</v>
      </c>
    </row>
    <row r="43" spans="1:6" x14ac:dyDescent="0.25">
      <c r="A43" t="s">
        <v>1371</v>
      </c>
      <c r="B43" t="s">
        <v>1379</v>
      </c>
      <c r="C43" t="s">
        <v>1379</v>
      </c>
      <c r="D43" t="str">
        <f t="shared" si="0"/>
        <v>Sim</v>
      </c>
    </row>
    <row r="44" spans="1:6" x14ac:dyDescent="0.25">
      <c r="A44" t="s">
        <v>1371</v>
      </c>
      <c r="B44" t="s">
        <v>1380</v>
      </c>
      <c r="C44" t="s">
        <v>1380</v>
      </c>
      <c r="D44" t="str">
        <f t="shared" si="0"/>
        <v>Sim</v>
      </c>
    </row>
    <row r="45" spans="1:6" x14ac:dyDescent="0.25">
      <c r="A45" t="s">
        <v>1371</v>
      </c>
      <c r="B45" t="s">
        <v>1393</v>
      </c>
      <c r="C45" t="s">
        <v>1393</v>
      </c>
      <c r="D45" t="str">
        <f>IF(B45=C45, "Sim", "Não")</f>
        <v>Sim</v>
      </c>
    </row>
    <row r="46" spans="1:6" x14ac:dyDescent="0.25">
      <c r="A46" t="s">
        <v>1371</v>
      </c>
      <c r="B46" t="s">
        <v>1381</v>
      </c>
      <c r="C46" t="s">
        <v>1381</v>
      </c>
      <c r="D46" t="str">
        <f t="shared" si="0"/>
        <v>Sim</v>
      </c>
    </row>
    <row r="47" spans="1:6" x14ac:dyDescent="0.25">
      <c r="A47" t="s">
        <v>1371</v>
      </c>
      <c r="B47" t="s">
        <v>1382</v>
      </c>
      <c r="C47" t="s">
        <v>1382</v>
      </c>
      <c r="D47" t="str">
        <f t="shared" si="0"/>
        <v>Sim</v>
      </c>
    </row>
    <row r="48" spans="1:6" x14ac:dyDescent="0.25">
      <c r="A48" t="s">
        <v>347</v>
      </c>
      <c r="B48" t="s">
        <v>1394</v>
      </c>
      <c r="C48" t="s">
        <v>1938</v>
      </c>
      <c r="D48" t="str">
        <f>IF(B48=C48, "Sim", "Não")</f>
        <v>Não</v>
      </c>
    </row>
    <row r="49" spans="1:4" x14ac:dyDescent="0.25">
      <c r="A49" t="s">
        <v>347</v>
      </c>
      <c r="B49" t="s">
        <v>1383</v>
      </c>
      <c r="C49" t="s">
        <v>1383</v>
      </c>
      <c r="D49" t="str">
        <f t="shared" si="0"/>
        <v>Sim</v>
      </c>
    </row>
    <row r="50" spans="1:4" x14ac:dyDescent="0.25">
      <c r="A50" t="s">
        <v>347</v>
      </c>
      <c r="B50" t="s">
        <v>1384</v>
      </c>
      <c r="C50" t="s">
        <v>1384</v>
      </c>
      <c r="D50" t="str">
        <f t="shared" si="0"/>
        <v>Sim</v>
      </c>
    </row>
    <row r="51" spans="1:4" x14ac:dyDescent="0.25">
      <c r="A51" t="s">
        <v>347</v>
      </c>
      <c r="B51" t="s">
        <v>1385</v>
      </c>
      <c r="C51" t="s">
        <v>1755</v>
      </c>
      <c r="D51" t="str">
        <f t="shared" si="0"/>
        <v>Não</v>
      </c>
    </row>
    <row r="52" spans="1:4" x14ac:dyDescent="0.25">
      <c r="A52" t="s">
        <v>347</v>
      </c>
      <c r="B52" t="s">
        <v>1387</v>
      </c>
      <c r="C52" t="s">
        <v>1387</v>
      </c>
      <c r="D52" t="str">
        <f t="shared" si="0"/>
        <v>Sim</v>
      </c>
    </row>
    <row r="53" spans="1:4" x14ac:dyDescent="0.25">
      <c r="A53" t="s">
        <v>347</v>
      </c>
      <c r="B53" t="s">
        <v>1388</v>
      </c>
      <c r="C53" t="s">
        <v>1388</v>
      </c>
      <c r="D53" t="str">
        <f t="shared" si="0"/>
        <v>Sim</v>
      </c>
    </row>
    <row r="54" spans="1:4" x14ac:dyDescent="0.25">
      <c r="A54" t="s">
        <v>347</v>
      </c>
      <c r="B54" t="s">
        <v>1425</v>
      </c>
      <c r="C54" t="s">
        <v>1390</v>
      </c>
      <c r="D54" t="str">
        <f>IF(B54=C54, "Sim", "Não")</f>
        <v>Não</v>
      </c>
    </row>
    <row r="55" spans="1:4" x14ac:dyDescent="0.25">
      <c r="A55" t="s">
        <v>345</v>
      </c>
      <c r="B55" t="s">
        <v>1386</v>
      </c>
      <c r="C55" t="s">
        <v>1386</v>
      </c>
      <c r="D55" t="str">
        <f>IF(B55=C55, "Sim", "Não")</f>
        <v>Sim</v>
      </c>
    </row>
    <row r="56" spans="1:4" x14ac:dyDescent="0.25">
      <c r="A56" t="s">
        <v>345</v>
      </c>
      <c r="B56" t="s">
        <v>1391</v>
      </c>
      <c r="C56" t="s">
        <v>1391</v>
      </c>
      <c r="D56" t="str">
        <f t="shared" si="0"/>
        <v>Sim</v>
      </c>
    </row>
    <row r="57" spans="1:4" x14ac:dyDescent="0.25">
      <c r="A57" t="s">
        <v>345</v>
      </c>
      <c r="B57" t="s">
        <v>1392</v>
      </c>
      <c r="C57" t="s">
        <v>1753</v>
      </c>
      <c r="D57" t="str">
        <f>IF(B57=C57, "Sim", "Não")</f>
        <v>Não</v>
      </c>
    </row>
    <row r="58" spans="1:4" x14ac:dyDescent="0.25">
      <c r="A58" t="s">
        <v>345</v>
      </c>
      <c r="B58" t="s">
        <v>407</v>
      </c>
      <c r="C58" t="s">
        <v>407</v>
      </c>
      <c r="D58" t="str">
        <f t="shared" si="0"/>
        <v>Sim</v>
      </c>
    </row>
    <row r="59" spans="1:4" x14ac:dyDescent="0.25">
      <c r="A59" t="s">
        <v>46</v>
      </c>
      <c r="B59" t="s">
        <v>1395</v>
      </c>
      <c r="C59" t="s">
        <v>1395</v>
      </c>
      <c r="D59" t="str">
        <f t="shared" si="0"/>
        <v>Sim</v>
      </c>
    </row>
    <row r="60" spans="1:4" x14ac:dyDescent="0.25">
      <c r="A60" t="s">
        <v>46</v>
      </c>
      <c r="B60" t="s">
        <v>931</v>
      </c>
      <c r="C60" t="s">
        <v>931</v>
      </c>
      <c r="D60" t="str">
        <f t="shared" si="0"/>
        <v>Sim</v>
      </c>
    </row>
    <row r="61" spans="1:4" x14ac:dyDescent="0.25">
      <c r="A61" t="s">
        <v>46</v>
      </c>
      <c r="B61" t="s">
        <v>1396</v>
      </c>
      <c r="C61" t="s">
        <v>1396</v>
      </c>
      <c r="D61" t="str">
        <f t="shared" si="0"/>
        <v>Sim</v>
      </c>
    </row>
    <row r="62" spans="1:4" x14ac:dyDescent="0.25">
      <c r="A62" t="s">
        <v>46</v>
      </c>
      <c r="B62" t="s">
        <v>1397</v>
      </c>
      <c r="C62" t="s">
        <v>1397</v>
      </c>
      <c r="D62" t="str">
        <f t="shared" si="0"/>
        <v>Sim</v>
      </c>
    </row>
    <row r="63" spans="1:4" x14ac:dyDescent="0.25">
      <c r="A63" t="s">
        <v>46</v>
      </c>
      <c r="B63" t="s">
        <v>1398</v>
      </c>
      <c r="C63" t="s">
        <v>1398</v>
      </c>
      <c r="D63" t="str">
        <f t="shared" si="0"/>
        <v>Sim</v>
      </c>
    </row>
    <row r="64" spans="1:4" x14ac:dyDescent="0.25">
      <c r="A64" t="s">
        <v>53</v>
      </c>
      <c r="B64" t="s">
        <v>1083</v>
      </c>
      <c r="C64" t="s">
        <v>1083</v>
      </c>
      <c r="D64" t="str">
        <f t="shared" si="0"/>
        <v>Sim</v>
      </c>
    </row>
    <row r="65" spans="1:6" x14ac:dyDescent="0.25">
      <c r="A65" t="s">
        <v>53</v>
      </c>
      <c r="B65" t="s">
        <v>1399</v>
      </c>
      <c r="C65" t="s">
        <v>1399</v>
      </c>
      <c r="D65" t="str">
        <f t="shared" si="0"/>
        <v>Sim</v>
      </c>
    </row>
    <row r="66" spans="1:6" x14ac:dyDescent="0.25">
      <c r="A66" t="s">
        <v>53</v>
      </c>
      <c r="B66" s="5" t="s">
        <v>1285</v>
      </c>
      <c r="C66" s="5" t="s">
        <v>1285</v>
      </c>
      <c r="D66" t="str">
        <f t="shared" ref="D66:D101" si="2">IF(B66=C66, "Sim", "Não")</f>
        <v>Sim</v>
      </c>
    </row>
    <row r="67" spans="1:6" x14ac:dyDescent="0.25">
      <c r="A67" t="s">
        <v>53</v>
      </c>
      <c r="B67" t="s">
        <v>1400</v>
      </c>
      <c r="C67" t="s">
        <v>1400</v>
      </c>
      <c r="D67" t="str">
        <f t="shared" si="2"/>
        <v>Sim</v>
      </c>
    </row>
    <row r="68" spans="1:6" x14ac:dyDescent="0.25">
      <c r="A68" t="s">
        <v>53</v>
      </c>
      <c r="B68" t="s">
        <v>975</v>
      </c>
      <c r="C68" t="s">
        <v>975</v>
      </c>
      <c r="D68" t="str">
        <f t="shared" si="2"/>
        <v>Sim</v>
      </c>
    </row>
    <row r="69" spans="1:6" x14ac:dyDescent="0.25">
      <c r="A69" t="s">
        <v>53</v>
      </c>
      <c r="B69" s="5" t="s">
        <v>1401</v>
      </c>
      <c r="C69" s="5" t="s">
        <v>1401</v>
      </c>
      <c r="D69" t="str">
        <f t="shared" si="2"/>
        <v>Sim</v>
      </c>
    </row>
    <row r="70" spans="1:6" x14ac:dyDescent="0.25">
      <c r="A70" t="s">
        <v>53</v>
      </c>
      <c r="B70" t="s">
        <v>1402</v>
      </c>
      <c r="C70" t="s">
        <v>1402</v>
      </c>
      <c r="D70" t="str">
        <f t="shared" si="2"/>
        <v>Sim</v>
      </c>
    </row>
    <row r="71" spans="1:6" x14ac:dyDescent="0.25">
      <c r="A71" t="s">
        <v>53</v>
      </c>
      <c r="B71" t="s">
        <v>1403</v>
      </c>
      <c r="C71" t="s">
        <v>1403</v>
      </c>
      <c r="D71" t="str">
        <f t="shared" si="2"/>
        <v>Sim</v>
      </c>
    </row>
    <row r="72" spans="1:6" x14ac:dyDescent="0.25">
      <c r="A72" t="s">
        <v>53</v>
      </c>
      <c r="B72" t="s">
        <v>1404</v>
      </c>
      <c r="C72" t="s">
        <v>1404</v>
      </c>
      <c r="D72" t="str">
        <f t="shared" si="2"/>
        <v>Sim</v>
      </c>
    </row>
    <row r="73" spans="1:6" x14ac:dyDescent="0.25">
      <c r="A73" t="s">
        <v>53</v>
      </c>
      <c r="B73" t="s">
        <v>974</v>
      </c>
      <c r="C73" t="s">
        <v>974</v>
      </c>
      <c r="D73" t="str">
        <f t="shared" si="2"/>
        <v>Sim</v>
      </c>
    </row>
    <row r="74" spans="1:6" x14ac:dyDescent="0.25">
      <c r="A74" t="s">
        <v>1372</v>
      </c>
      <c r="B74" t="s">
        <v>1405</v>
      </c>
      <c r="C74" t="s">
        <v>1406</v>
      </c>
      <c r="D74" t="str">
        <f t="shared" si="2"/>
        <v>Não</v>
      </c>
      <c r="F74"/>
    </row>
    <row r="75" spans="1:6" x14ac:dyDescent="0.25">
      <c r="A75" t="s">
        <v>1372</v>
      </c>
      <c r="B75" t="s">
        <v>1408</v>
      </c>
      <c r="C75" t="s">
        <v>1408</v>
      </c>
      <c r="D75" t="str">
        <f>IF(B75=C75, "Sim", "Não")</f>
        <v>Sim</v>
      </c>
    </row>
    <row r="76" spans="1:6" x14ac:dyDescent="0.25">
      <c r="A76" t="s">
        <v>1372</v>
      </c>
      <c r="B76" t="s">
        <v>1409</v>
      </c>
      <c r="C76" t="s">
        <v>1545</v>
      </c>
      <c r="D76" t="str">
        <f>IF(B76=C76, "Sim", "Não")</f>
        <v>Não</v>
      </c>
    </row>
    <row r="77" spans="1:6" x14ac:dyDescent="0.25">
      <c r="A77" t="s">
        <v>1372</v>
      </c>
      <c r="B77" t="s">
        <v>1283</v>
      </c>
      <c r="C77" t="s">
        <v>1410</v>
      </c>
      <c r="D77" t="str">
        <f t="shared" si="2"/>
        <v>Não</v>
      </c>
      <c r="F77"/>
    </row>
    <row r="78" spans="1:6" x14ac:dyDescent="0.25">
      <c r="A78" t="s">
        <v>1372</v>
      </c>
      <c r="B78" t="s">
        <v>1407</v>
      </c>
      <c r="C78" t="s">
        <v>1411</v>
      </c>
      <c r="D78" t="str">
        <f t="shared" si="2"/>
        <v>Não</v>
      </c>
      <c r="F78"/>
    </row>
    <row r="79" spans="1:6" x14ac:dyDescent="0.25">
      <c r="A79" t="s">
        <v>1372</v>
      </c>
      <c r="B79" t="s">
        <v>1412</v>
      </c>
      <c r="C79" t="s">
        <v>1412</v>
      </c>
      <c r="D79" t="str">
        <f t="shared" si="2"/>
        <v>Sim</v>
      </c>
      <c r="F79"/>
    </row>
    <row r="80" spans="1:6" x14ac:dyDescent="0.25">
      <c r="A80" t="s">
        <v>1372</v>
      </c>
      <c r="B80" t="s">
        <v>1413</v>
      </c>
      <c r="C80" t="s">
        <v>1413</v>
      </c>
      <c r="D80" t="str">
        <f t="shared" si="2"/>
        <v>Sim</v>
      </c>
      <c r="F80"/>
    </row>
    <row r="81" spans="1:6" x14ac:dyDescent="0.25">
      <c r="A81" t="s">
        <v>1372</v>
      </c>
      <c r="B81" t="s">
        <v>1414</v>
      </c>
      <c r="C81" t="s">
        <v>1414</v>
      </c>
      <c r="D81" t="str">
        <f t="shared" si="2"/>
        <v>Sim</v>
      </c>
      <c r="F81"/>
    </row>
    <row r="82" spans="1:6" x14ac:dyDescent="0.25">
      <c r="A82" t="s">
        <v>1372</v>
      </c>
      <c r="B82" t="s">
        <v>1415</v>
      </c>
      <c r="C82" t="s">
        <v>1415</v>
      </c>
      <c r="D82" t="str">
        <f t="shared" si="2"/>
        <v>Sim</v>
      </c>
      <c r="F82"/>
    </row>
    <row r="83" spans="1:6" x14ac:dyDescent="0.25">
      <c r="A83" t="s">
        <v>1372</v>
      </c>
      <c r="B83" t="s">
        <v>1416</v>
      </c>
      <c r="C83" t="s">
        <v>1416</v>
      </c>
      <c r="D83" t="str">
        <f t="shared" si="2"/>
        <v>Sim</v>
      </c>
      <c r="F83"/>
    </row>
    <row r="84" spans="1:6" x14ac:dyDescent="0.25">
      <c r="A84" t="s">
        <v>1372</v>
      </c>
      <c r="B84" t="s">
        <v>1389</v>
      </c>
      <c r="C84" t="s">
        <v>1421</v>
      </c>
      <c r="D84" t="str">
        <f>IF(B84=C84, "Sim", "Não")</f>
        <v>Não</v>
      </c>
    </row>
    <row r="85" spans="1:6" x14ac:dyDescent="0.25">
      <c r="A85" t="s">
        <v>1372</v>
      </c>
      <c r="B85" t="s">
        <v>1422</v>
      </c>
      <c r="C85" t="s">
        <v>1422</v>
      </c>
      <c r="D85" t="str">
        <f>IF(B85=C85, "Sim", "Não")</f>
        <v>Sim</v>
      </c>
    </row>
    <row r="86" spans="1:6" x14ac:dyDescent="0.25">
      <c r="A86" t="s">
        <v>1372</v>
      </c>
      <c r="B86" t="s">
        <v>1417</v>
      </c>
      <c r="C86" t="s">
        <v>1417</v>
      </c>
      <c r="D86" t="str">
        <f t="shared" si="2"/>
        <v>Sim</v>
      </c>
    </row>
    <row r="87" spans="1:6" x14ac:dyDescent="0.25">
      <c r="A87" t="s">
        <v>1372</v>
      </c>
      <c r="B87" t="s">
        <v>1418</v>
      </c>
      <c r="C87" t="s">
        <v>1419</v>
      </c>
      <c r="D87" t="str">
        <f t="shared" si="2"/>
        <v>Não</v>
      </c>
    </row>
    <row r="88" spans="1:6" x14ac:dyDescent="0.25">
      <c r="A88" t="s">
        <v>1373</v>
      </c>
      <c r="B88" t="s">
        <v>1756</v>
      </c>
      <c r="C88" t="s">
        <v>1756</v>
      </c>
      <c r="D88" t="str">
        <f t="shared" si="2"/>
        <v>Sim</v>
      </c>
    </row>
    <row r="89" spans="1:6" x14ac:dyDescent="0.25">
      <c r="A89" t="s">
        <v>1373</v>
      </c>
      <c r="B89" t="s">
        <v>1424</v>
      </c>
      <c r="C89" t="s">
        <v>1424</v>
      </c>
      <c r="D89" t="str">
        <f t="shared" si="2"/>
        <v>Sim</v>
      </c>
    </row>
    <row r="90" spans="1:6" x14ac:dyDescent="0.25">
      <c r="A90" t="s">
        <v>1373</v>
      </c>
      <c r="B90" t="s">
        <v>264</v>
      </c>
      <c r="C90" t="s">
        <v>264</v>
      </c>
      <c r="D90" t="str">
        <f t="shared" si="2"/>
        <v>Sim</v>
      </c>
    </row>
    <row r="91" spans="1:6" x14ac:dyDescent="0.25">
      <c r="A91" t="s">
        <v>1373</v>
      </c>
      <c r="B91" t="s">
        <v>130</v>
      </c>
      <c r="C91" t="s">
        <v>130</v>
      </c>
      <c r="D91" t="str">
        <f t="shared" si="2"/>
        <v>Sim</v>
      </c>
    </row>
    <row r="92" spans="1:6" x14ac:dyDescent="0.25">
      <c r="A92" t="s">
        <v>1373</v>
      </c>
      <c r="B92" t="s">
        <v>1423</v>
      </c>
      <c r="C92" t="s">
        <v>131</v>
      </c>
      <c r="D92" t="str">
        <f>IF(B92=C92, "Sim", "Não")</f>
        <v>Não</v>
      </c>
    </row>
    <row r="93" spans="1:6" x14ac:dyDescent="0.25">
      <c r="A93" t="s">
        <v>156</v>
      </c>
      <c r="B93" t="s">
        <v>1426</v>
      </c>
      <c r="C93" t="s">
        <v>1426</v>
      </c>
      <c r="D93" t="str">
        <f t="shared" si="2"/>
        <v>Sim</v>
      </c>
      <c r="F93"/>
    </row>
    <row r="94" spans="1:6" x14ac:dyDescent="0.25">
      <c r="A94" t="s">
        <v>156</v>
      </c>
      <c r="B94" t="s">
        <v>1427</v>
      </c>
      <c r="C94" t="s">
        <v>1427</v>
      </c>
      <c r="D94" t="str">
        <f t="shared" si="2"/>
        <v>Sim</v>
      </c>
      <c r="F94"/>
    </row>
    <row r="95" spans="1:6" x14ac:dyDescent="0.25">
      <c r="A95" t="s">
        <v>156</v>
      </c>
      <c r="B95" t="s">
        <v>1428</v>
      </c>
      <c r="C95" t="s">
        <v>1428</v>
      </c>
      <c r="D95" t="str">
        <f t="shared" si="2"/>
        <v>Sim</v>
      </c>
    </row>
    <row r="96" spans="1:6" x14ac:dyDescent="0.25">
      <c r="A96" t="s">
        <v>156</v>
      </c>
      <c r="B96" t="s">
        <v>219</v>
      </c>
      <c r="C96" t="s">
        <v>219</v>
      </c>
      <c r="D96" t="str">
        <f t="shared" si="2"/>
        <v>Sim</v>
      </c>
    </row>
    <row r="97" spans="1:4" x14ac:dyDescent="0.25">
      <c r="A97" t="s">
        <v>156</v>
      </c>
      <c r="B97" t="s">
        <v>1420</v>
      </c>
      <c r="C97" t="s">
        <v>1420</v>
      </c>
      <c r="D97" t="str">
        <f t="shared" si="2"/>
        <v>Sim</v>
      </c>
    </row>
    <row r="98" spans="1:4" x14ac:dyDescent="0.25">
      <c r="A98" t="s">
        <v>156</v>
      </c>
      <c r="B98" t="s">
        <v>1430</v>
      </c>
      <c r="C98" t="s">
        <v>1430</v>
      </c>
      <c r="D98" t="str">
        <f t="shared" si="2"/>
        <v>Sim</v>
      </c>
    </row>
    <row r="99" spans="1:4" x14ac:dyDescent="0.25">
      <c r="A99" t="s">
        <v>156</v>
      </c>
      <c r="B99" t="s">
        <v>1431</v>
      </c>
      <c r="C99" t="s">
        <v>1431</v>
      </c>
      <c r="D99" t="str">
        <f t="shared" si="2"/>
        <v>Sim</v>
      </c>
    </row>
    <row r="100" spans="1:4" x14ac:dyDescent="0.25">
      <c r="A100" t="s">
        <v>156</v>
      </c>
      <c r="B100" t="s">
        <v>1432</v>
      </c>
      <c r="C100" t="s">
        <v>1432</v>
      </c>
      <c r="D100" t="str">
        <f t="shared" si="2"/>
        <v>Sim</v>
      </c>
    </row>
    <row r="101" spans="1:4" x14ac:dyDescent="0.25">
      <c r="A101" t="s">
        <v>156</v>
      </c>
      <c r="B101" t="s">
        <v>1433</v>
      </c>
      <c r="C101" t="s">
        <v>1433</v>
      </c>
      <c r="D101" t="str">
        <f t="shared" si="2"/>
        <v>Sim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252BF-0F94-41B2-8DA5-D2D357D36D6F}">
  <sheetPr codeName="Planilha28"/>
  <dimension ref="A1:G101"/>
  <sheetViews>
    <sheetView topLeftCell="A59" workbookViewId="0">
      <selection activeCell="C63" sqref="C63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28" t="s">
        <v>30</v>
      </c>
      <c r="B1" s="28"/>
      <c r="C1" s="28"/>
      <c r="D1" s="28"/>
      <c r="E1" s="28"/>
      <c r="F1" s="28"/>
      <c r="G1" s="28"/>
    </row>
    <row r="2" spans="1:7" x14ac:dyDescent="0.25">
      <c r="A2" s="4" t="s">
        <v>34</v>
      </c>
      <c r="B2" s="4" t="s">
        <v>35</v>
      </c>
      <c r="C2" s="4" t="s">
        <v>36</v>
      </c>
      <c r="D2" s="4" t="s">
        <v>37</v>
      </c>
    </row>
    <row r="3" spans="1:7" x14ac:dyDescent="0.25">
      <c r="A3" t="s">
        <v>38</v>
      </c>
      <c r="B3" t="s">
        <v>50</v>
      </c>
      <c r="C3" t="s">
        <v>1779</v>
      </c>
      <c r="D3" t="str">
        <f>IF(B3=C3, "Sim", "Não")</f>
        <v>Não</v>
      </c>
      <c r="F3" s="4" t="s">
        <v>39</v>
      </c>
      <c r="G3" s="3">
        <f>COUNTIF(D3:D105,"Não")</f>
        <v>9</v>
      </c>
    </row>
    <row r="4" spans="1:7" x14ac:dyDescent="0.25">
      <c r="A4" t="s">
        <v>38</v>
      </c>
      <c r="B4" t="s">
        <v>690</v>
      </c>
      <c r="C4" t="s">
        <v>690</v>
      </c>
      <c r="D4" t="str">
        <f t="shared" ref="D4:D64" si="0">IF(B4=C4, "Sim", "Não")</f>
        <v>Sim</v>
      </c>
      <c r="F4" s="4" t="s">
        <v>40</v>
      </c>
      <c r="G4" s="3">
        <f>SUM(G7:G25)</f>
        <v>99</v>
      </c>
    </row>
    <row r="5" spans="1:7" x14ac:dyDescent="0.25">
      <c r="A5" t="s">
        <v>38</v>
      </c>
      <c r="B5" t="s">
        <v>209</v>
      </c>
      <c r="C5" t="s">
        <v>209</v>
      </c>
      <c r="D5" t="str">
        <f t="shared" si="0"/>
        <v>Sim</v>
      </c>
    </row>
    <row r="6" spans="1:7" x14ac:dyDescent="0.25">
      <c r="A6" t="s">
        <v>38</v>
      </c>
      <c r="B6" t="s">
        <v>836</v>
      </c>
      <c r="C6" t="s">
        <v>836</v>
      </c>
      <c r="D6" t="str">
        <f t="shared" si="0"/>
        <v>Sim</v>
      </c>
      <c r="F6" s="6" t="s">
        <v>42</v>
      </c>
      <c r="G6" s="1"/>
    </row>
    <row r="7" spans="1:7" x14ac:dyDescent="0.25">
      <c r="A7" t="s">
        <v>38</v>
      </c>
      <c r="B7" t="s">
        <v>695</v>
      </c>
      <c r="C7" t="s">
        <v>695</v>
      </c>
      <c r="D7" t="str">
        <f t="shared" si="0"/>
        <v>Sim</v>
      </c>
      <c r="F7" s="1" t="s">
        <v>38</v>
      </c>
      <c r="G7" s="2">
        <f t="shared" ref="G7:G12" si="1">COUNTIF(A:A,F7)</f>
        <v>33</v>
      </c>
    </row>
    <row r="8" spans="1:7" x14ac:dyDescent="0.25">
      <c r="A8" t="s">
        <v>38</v>
      </c>
      <c r="B8" t="s">
        <v>551</v>
      </c>
      <c r="C8" t="s">
        <v>551</v>
      </c>
      <c r="D8" t="str">
        <f t="shared" si="0"/>
        <v>Sim</v>
      </c>
      <c r="F8" s="1" t="s">
        <v>44</v>
      </c>
      <c r="G8" s="2">
        <f t="shared" si="1"/>
        <v>25</v>
      </c>
    </row>
    <row r="9" spans="1:7" x14ac:dyDescent="0.25">
      <c r="A9" t="s">
        <v>38</v>
      </c>
      <c r="B9" t="s">
        <v>43</v>
      </c>
      <c r="C9" t="s">
        <v>43</v>
      </c>
      <c r="D9" t="str">
        <f t="shared" si="0"/>
        <v>Sim</v>
      </c>
      <c r="F9" s="1" t="s">
        <v>6</v>
      </c>
      <c r="G9" s="2">
        <f t="shared" si="1"/>
        <v>11</v>
      </c>
    </row>
    <row r="10" spans="1:7" x14ac:dyDescent="0.25">
      <c r="A10" t="s">
        <v>38</v>
      </c>
      <c r="B10" t="s">
        <v>1462</v>
      </c>
      <c r="C10" t="s">
        <v>1462</v>
      </c>
      <c r="D10" t="str">
        <f t="shared" si="0"/>
        <v>Sim</v>
      </c>
      <c r="F10" s="1" t="s">
        <v>73</v>
      </c>
      <c r="G10" s="2">
        <f t="shared" si="1"/>
        <v>13</v>
      </c>
    </row>
    <row r="11" spans="1:7" x14ac:dyDescent="0.25">
      <c r="A11" t="s">
        <v>38</v>
      </c>
      <c r="B11" t="s">
        <v>72</v>
      </c>
      <c r="C11" t="s">
        <v>72</v>
      </c>
      <c r="D11" t="str">
        <f t="shared" si="0"/>
        <v>Sim</v>
      </c>
      <c r="F11" s="1" t="s">
        <v>45</v>
      </c>
      <c r="G11" s="2">
        <f t="shared" si="1"/>
        <v>9</v>
      </c>
    </row>
    <row r="12" spans="1:7" x14ac:dyDescent="0.25">
      <c r="A12" t="s">
        <v>38</v>
      </c>
      <c r="B12" t="s">
        <v>1463</v>
      </c>
      <c r="C12" t="s">
        <v>1463</v>
      </c>
      <c r="D12" t="str">
        <f t="shared" si="0"/>
        <v>Sim</v>
      </c>
      <c r="F12" s="1" t="s">
        <v>1464</v>
      </c>
      <c r="G12" s="2">
        <f t="shared" si="1"/>
        <v>8</v>
      </c>
    </row>
    <row r="13" spans="1:7" x14ac:dyDescent="0.25">
      <c r="A13" t="s">
        <v>38</v>
      </c>
      <c r="B13" t="s">
        <v>48</v>
      </c>
      <c r="C13" t="s">
        <v>48</v>
      </c>
      <c r="D13" t="str">
        <f t="shared" si="0"/>
        <v>Sim</v>
      </c>
      <c r="F13" s="1"/>
      <c r="G13" s="2"/>
    </row>
    <row r="14" spans="1:7" x14ac:dyDescent="0.25">
      <c r="A14" t="s">
        <v>38</v>
      </c>
      <c r="B14" t="s">
        <v>48</v>
      </c>
      <c r="C14" t="s">
        <v>48</v>
      </c>
      <c r="D14" t="str">
        <f t="shared" si="0"/>
        <v>Sim</v>
      </c>
      <c r="F14" s="1"/>
      <c r="G14" s="2"/>
    </row>
    <row r="15" spans="1:7" x14ac:dyDescent="0.25">
      <c r="A15" t="s">
        <v>38</v>
      </c>
      <c r="B15" t="s">
        <v>48</v>
      </c>
      <c r="C15" t="s">
        <v>48</v>
      </c>
      <c r="D15" t="str">
        <f t="shared" si="0"/>
        <v>Sim</v>
      </c>
      <c r="F15" s="4"/>
      <c r="G15" s="2"/>
    </row>
    <row r="16" spans="1:7" x14ac:dyDescent="0.25">
      <c r="A16" t="s">
        <v>38</v>
      </c>
      <c r="B16" t="s">
        <v>48</v>
      </c>
      <c r="C16" t="s">
        <v>48</v>
      </c>
      <c r="D16" t="str">
        <f t="shared" si="0"/>
        <v>Sim</v>
      </c>
      <c r="F16" s="4"/>
      <c r="G16" s="2"/>
    </row>
    <row r="17" spans="1:4" x14ac:dyDescent="0.25">
      <c r="A17" t="s">
        <v>38</v>
      </c>
      <c r="B17" t="s">
        <v>48</v>
      </c>
      <c r="C17" t="s">
        <v>48</v>
      </c>
      <c r="D17" t="str">
        <f t="shared" si="0"/>
        <v>Sim</v>
      </c>
    </row>
    <row r="18" spans="1:4" x14ac:dyDescent="0.25">
      <c r="A18" t="s">
        <v>38</v>
      </c>
      <c r="B18" t="s">
        <v>48</v>
      </c>
      <c r="C18" t="s">
        <v>48</v>
      </c>
      <c r="D18" t="str">
        <f t="shared" si="0"/>
        <v>Sim</v>
      </c>
    </row>
    <row r="19" spans="1:4" x14ac:dyDescent="0.25">
      <c r="A19" t="s">
        <v>38</v>
      </c>
      <c r="B19" t="s">
        <v>48</v>
      </c>
      <c r="C19" t="s">
        <v>48</v>
      </c>
      <c r="D19" t="str">
        <f t="shared" si="0"/>
        <v>Sim</v>
      </c>
    </row>
    <row r="20" spans="1:4" x14ac:dyDescent="0.25">
      <c r="A20" t="s">
        <v>38</v>
      </c>
      <c r="B20" t="s">
        <v>48</v>
      </c>
      <c r="C20" t="s">
        <v>48</v>
      </c>
      <c r="D20" t="str">
        <f t="shared" si="0"/>
        <v>Sim</v>
      </c>
    </row>
    <row r="21" spans="1:4" x14ac:dyDescent="0.25">
      <c r="A21" t="s">
        <v>38</v>
      </c>
      <c r="B21" t="s">
        <v>48</v>
      </c>
      <c r="C21" t="s">
        <v>48</v>
      </c>
      <c r="D21" t="str">
        <f t="shared" si="0"/>
        <v>Sim</v>
      </c>
    </row>
    <row r="22" spans="1:4" x14ac:dyDescent="0.25">
      <c r="A22" t="s">
        <v>38</v>
      </c>
      <c r="B22" t="s">
        <v>48</v>
      </c>
      <c r="C22" t="s">
        <v>48</v>
      </c>
      <c r="D22" t="str">
        <f t="shared" si="0"/>
        <v>Sim</v>
      </c>
    </row>
    <row r="23" spans="1:4" x14ac:dyDescent="0.25">
      <c r="A23" t="s">
        <v>38</v>
      </c>
      <c r="B23" t="s">
        <v>48</v>
      </c>
      <c r="C23" t="s">
        <v>48</v>
      </c>
      <c r="D23" t="str">
        <f t="shared" si="0"/>
        <v>Sim</v>
      </c>
    </row>
    <row r="24" spans="1:4" x14ac:dyDescent="0.25">
      <c r="A24" t="s">
        <v>38</v>
      </c>
      <c r="B24" t="s">
        <v>48</v>
      </c>
      <c r="C24" t="s">
        <v>48</v>
      </c>
      <c r="D24" t="str">
        <f t="shared" si="0"/>
        <v>Sim</v>
      </c>
    </row>
    <row r="25" spans="1:4" x14ac:dyDescent="0.25">
      <c r="A25" t="s">
        <v>38</v>
      </c>
      <c r="B25" t="s">
        <v>48</v>
      </c>
      <c r="C25" t="s">
        <v>48</v>
      </c>
      <c r="D25" t="str">
        <f t="shared" si="0"/>
        <v>Sim</v>
      </c>
    </row>
    <row r="26" spans="1:4" x14ac:dyDescent="0.25">
      <c r="A26" t="s">
        <v>38</v>
      </c>
      <c r="B26" t="s">
        <v>48</v>
      </c>
      <c r="C26" t="s">
        <v>48</v>
      </c>
      <c r="D26" t="str">
        <f t="shared" si="0"/>
        <v>Sim</v>
      </c>
    </row>
    <row r="27" spans="1:4" x14ac:dyDescent="0.25">
      <c r="A27" t="s">
        <v>38</v>
      </c>
      <c r="B27" t="s">
        <v>50</v>
      </c>
      <c r="C27" t="s">
        <v>50</v>
      </c>
      <c r="D27" t="str">
        <f t="shared" si="0"/>
        <v>Sim</v>
      </c>
    </row>
    <row r="28" spans="1:4" x14ac:dyDescent="0.25">
      <c r="A28" t="s">
        <v>38</v>
      </c>
      <c r="B28" t="s">
        <v>50</v>
      </c>
      <c r="C28" t="s">
        <v>50</v>
      </c>
      <c r="D28" t="str">
        <f t="shared" si="0"/>
        <v>Sim</v>
      </c>
    </row>
    <row r="29" spans="1:4" x14ac:dyDescent="0.25">
      <c r="A29" t="s">
        <v>38</v>
      </c>
      <c r="B29" t="s">
        <v>50</v>
      </c>
      <c r="C29" t="s">
        <v>50</v>
      </c>
      <c r="D29" t="str">
        <f t="shared" si="0"/>
        <v>Sim</v>
      </c>
    </row>
    <row r="30" spans="1:4" x14ac:dyDescent="0.25">
      <c r="A30" t="s">
        <v>38</v>
      </c>
      <c r="B30" t="s">
        <v>50</v>
      </c>
      <c r="C30" t="s">
        <v>50</v>
      </c>
      <c r="D30" t="str">
        <f t="shared" si="0"/>
        <v>Sim</v>
      </c>
    </row>
    <row r="31" spans="1:4" x14ac:dyDescent="0.25">
      <c r="A31" t="s">
        <v>38</v>
      </c>
      <c r="B31" t="s">
        <v>50</v>
      </c>
      <c r="C31" t="s">
        <v>50</v>
      </c>
      <c r="D31" t="str">
        <f t="shared" si="0"/>
        <v>Sim</v>
      </c>
    </row>
    <row r="32" spans="1:4" x14ac:dyDescent="0.25">
      <c r="A32" t="s">
        <v>38</v>
      </c>
      <c r="B32" t="s">
        <v>50</v>
      </c>
      <c r="C32" t="s">
        <v>50</v>
      </c>
      <c r="D32" t="str">
        <f t="shared" si="0"/>
        <v>Sim</v>
      </c>
    </row>
    <row r="33" spans="1:4" x14ac:dyDescent="0.25">
      <c r="A33" t="s">
        <v>38</v>
      </c>
      <c r="B33" t="s">
        <v>50</v>
      </c>
      <c r="C33" t="s">
        <v>50</v>
      </c>
      <c r="D33" t="str">
        <f t="shared" si="0"/>
        <v>Sim</v>
      </c>
    </row>
    <row r="34" spans="1:4" x14ac:dyDescent="0.25">
      <c r="A34" t="s">
        <v>38</v>
      </c>
      <c r="B34" t="s">
        <v>50</v>
      </c>
      <c r="C34" t="s">
        <v>50</v>
      </c>
      <c r="D34" t="str">
        <f t="shared" si="0"/>
        <v>Sim</v>
      </c>
    </row>
    <row r="35" spans="1:4" x14ac:dyDescent="0.25">
      <c r="A35" t="s">
        <v>38</v>
      </c>
      <c r="B35" t="s">
        <v>50</v>
      </c>
      <c r="C35" t="s">
        <v>50</v>
      </c>
      <c r="D35" t="str">
        <f t="shared" si="0"/>
        <v>Sim</v>
      </c>
    </row>
    <row r="36" spans="1:4" x14ac:dyDescent="0.25">
      <c r="A36" t="s">
        <v>44</v>
      </c>
      <c r="B36" t="s">
        <v>211</v>
      </c>
      <c r="C36" t="s">
        <v>211</v>
      </c>
      <c r="D36" t="str">
        <f t="shared" si="0"/>
        <v>Sim</v>
      </c>
    </row>
    <row r="37" spans="1:4" x14ac:dyDescent="0.25">
      <c r="A37" t="s">
        <v>44</v>
      </c>
      <c r="B37" t="s">
        <v>707</v>
      </c>
      <c r="C37" t="s">
        <v>707</v>
      </c>
      <c r="D37" t="str">
        <f>IF(B37=C37, "Sim", "Não")</f>
        <v>Sim</v>
      </c>
    </row>
    <row r="38" spans="1:4" x14ac:dyDescent="0.25">
      <c r="A38" t="s">
        <v>44</v>
      </c>
      <c r="B38" t="s">
        <v>568</v>
      </c>
      <c r="C38" t="s">
        <v>568</v>
      </c>
      <c r="D38" t="str">
        <f t="shared" si="0"/>
        <v>Sim</v>
      </c>
    </row>
    <row r="39" spans="1:4" x14ac:dyDescent="0.25">
      <c r="A39" t="s">
        <v>44</v>
      </c>
      <c r="B39" t="s">
        <v>163</v>
      </c>
      <c r="C39" t="s">
        <v>163</v>
      </c>
      <c r="D39" t="str">
        <f t="shared" si="0"/>
        <v>Sim</v>
      </c>
    </row>
    <row r="40" spans="1:4" x14ac:dyDescent="0.25">
      <c r="A40" t="s">
        <v>44</v>
      </c>
      <c r="B40" t="s">
        <v>165</v>
      </c>
      <c r="C40" t="s">
        <v>165</v>
      </c>
      <c r="D40" t="str">
        <f t="shared" si="0"/>
        <v>Sim</v>
      </c>
    </row>
    <row r="41" spans="1:4" x14ac:dyDescent="0.25">
      <c r="A41" t="s">
        <v>44</v>
      </c>
      <c r="B41" t="s">
        <v>1466</v>
      </c>
      <c r="C41" t="s">
        <v>1466</v>
      </c>
      <c r="D41" t="str">
        <f t="shared" si="0"/>
        <v>Sim</v>
      </c>
    </row>
    <row r="42" spans="1:4" x14ac:dyDescent="0.25">
      <c r="A42" t="s">
        <v>44</v>
      </c>
      <c r="B42" t="s">
        <v>711</v>
      </c>
      <c r="C42" t="s">
        <v>711</v>
      </c>
      <c r="D42" t="str">
        <f t="shared" si="0"/>
        <v>Sim</v>
      </c>
    </row>
    <row r="43" spans="1:4" x14ac:dyDescent="0.25">
      <c r="A43" t="s">
        <v>44</v>
      </c>
      <c r="B43" t="s">
        <v>1467</v>
      </c>
      <c r="C43" t="s">
        <v>1467</v>
      </c>
      <c r="D43" t="str">
        <f t="shared" si="0"/>
        <v>Sim</v>
      </c>
    </row>
    <row r="44" spans="1:4" x14ac:dyDescent="0.25">
      <c r="A44" t="s">
        <v>44</v>
      </c>
      <c r="B44" t="s">
        <v>365</v>
      </c>
      <c r="C44" t="s">
        <v>365</v>
      </c>
      <c r="D44" t="str">
        <f t="shared" si="0"/>
        <v>Sim</v>
      </c>
    </row>
    <row r="45" spans="1:4" x14ac:dyDescent="0.25">
      <c r="A45" t="s">
        <v>44</v>
      </c>
      <c r="B45" t="s">
        <v>1469</v>
      </c>
      <c r="C45" t="s">
        <v>1777</v>
      </c>
      <c r="D45" t="str">
        <f t="shared" ref="D45:D50" si="2">IF(B45=C45, "Sim", "Não")</f>
        <v>Não</v>
      </c>
    </row>
    <row r="46" spans="1:4" x14ac:dyDescent="0.25">
      <c r="A46" t="s">
        <v>44</v>
      </c>
      <c r="B46" t="s">
        <v>1471</v>
      </c>
      <c r="C46" t="s">
        <v>1471</v>
      </c>
      <c r="D46" t="str">
        <f t="shared" si="2"/>
        <v>Sim</v>
      </c>
    </row>
    <row r="47" spans="1:4" x14ac:dyDescent="0.25">
      <c r="A47" t="s">
        <v>44</v>
      </c>
      <c r="B47" t="s">
        <v>1472</v>
      </c>
      <c r="C47" t="s">
        <v>1472</v>
      </c>
      <c r="D47" t="str">
        <f t="shared" si="2"/>
        <v>Sim</v>
      </c>
    </row>
    <row r="48" spans="1:4" x14ac:dyDescent="0.25">
      <c r="A48" t="s">
        <v>44</v>
      </c>
      <c r="B48" t="s">
        <v>839</v>
      </c>
      <c r="C48" t="s">
        <v>839</v>
      </c>
      <c r="D48" t="str">
        <f t="shared" si="2"/>
        <v>Sim</v>
      </c>
    </row>
    <row r="49" spans="1:4" x14ac:dyDescent="0.25">
      <c r="A49" t="s">
        <v>44</v>
      </c>
      <c r="B49" t="s">
        <v>1465</v>
      </c>
      <c r="C49" t="s">
        <v>1974</v>
      </c>
      <c r="D49" t="str">
        <f t="shared" si="2"/>
        <v>Não</v>
      </c>
    </row>
    <row r="50" spans="1:4" x14ac:dyDescent="0.25">
      <c r="A50" t="s">
        <v>44</v>
      </c>
      <c r="B50" t="s">
        <v>709</v>
      </c>
      <c r="C50" t="s">
        <v>709</v>
      </c>
      <c r="D50" t="str">
        <f t="shared" si="2"/>
        <v>Sim</v>
      </c>
    </row>
    <row r="51" spans="1:4" x14ac:dyDescent="0.25">
      <c r="A51" t="s">
        <v>44</v>
      </c>
      <c r="B51" t="s">
        <v>1468</v>
      </c>
      <c r="C51" t="s">
        <v>1468</v>
      </c>
      <c r="D51" t="str">
        <f t="shared" si="0"/>
        <v>Sim</v>
      </c>
    </row>
    <row r="52" spans="1:4" x14ac:dyDescent="0.25">
      <c r="A52" t="s">
        <v>44</v>
      </c>
      <c r="B52" t="s">
        <v>367</v>
      </c>
      <c r="C52" t="s">
        <v>367</v>
      </c>
      <c r="D52" t="str">
        <f t="shared" si="0"/>
        <v>Sim</v>
      </c>
    </row>
    <row r="53" spans="1:4" x14ac:dyDescent="0.25">
      <c r="A53" t="s">
        <v>44</v>
      </c>
      <c r="B53" t="s">
        <v>1470</v>
      </c>
      <c r="C53" t="s">
        <v>1470</v>
      </c>
      <c r="D53" t="str">
        <f t="shared" si="0"/>
        <v>Sim</v>
      </c>
    </row>
    <row r="54" spans="1:4" x14ac:dyDescent="0.25">
      <c r="A54" t="s">
        <v>44</v>
      </c>
      <c r="B54" t="s">
        <v>702</v>
      </c>
      <c r="C54" t="s">
        <v>702</v>
      </c>
      <c r="D54" t="str">
        <f t="shared" si="0"/>
        <v>Sim</v>
      </c>
    </row>
    <row r="55" spans="1:4" x14ac:dyDescent="0.25">
      <c r="A55" t="s">
        <v>44</v>
      </c>
      <c r="B55" t="s">
        <v>366</v>
      </c>
      <c r="C55" t="s">
        <v>366</v>
      </c>
      <c r="D55" t="str">
        <f t="shared" si="0"/>
        <v>Sim</v>
      </c>
    </row>
    <row r="56" spans="1:4" x14ac:dyDescent="0.25">
      <c r="A56" t="s">
        <v>44</v>
      </c>
      <c r="B56" t="s">
        <v>1473</v>
      </c>
      <c r="C56" t="s">
        <v>1473</v>
      </c>
      <c r="D56" t="str">
        <f t="shared" si="0"/>
        <v>Sim</v>
      </c>
    </row>
    <row r="57" spans="1:4" x14ac:dyDescent="0.25">
      <c r="A57" t="s">
        <v>44</v>
      </c>
      <c r="B57" t="s">
        <v>708</v>
      </c>
      <c r="C57" t="s">
        <v>708</v>
      </c>
      <c r="D57" t="str">
        <f t="shared" si="0"/>
        <v>Sim</v>
      </c>
    </row>
    <row r="58" spans="1:4" x14ac:dyDescent="0.25">
      <c r="A58" t="s">
        <v>44</v>
      </c>
      <c r="B58" t="s">
        <v>1474</v>
      </c>
      <c r="C58" t="s">
        <v>1474</v>
      </c>
      <c r="D58" t="str">
        <f t="shared" si="0"/>
        <v>Sim</v>
      </c>
    </row>
    <row r="59" spans="1:4" x14ac:dyDescent="0.25">
      <c r="A59" t="s">
        <v>44</v>
      </c>
      <c r="B59" t="s">
        <v>1475</v>
      </c>
      <c r="C59" t="s">
        <v>1475</v>
      </c>
      <c r="D59" t="str">
        <f t="shared" si="0"/>
        <v>Sim</v>
      </c>
    </row>
    <row r="60" spans="1:4" x14ac:dyDescent="0.25">
      <c r="A60" t="s">
        <v>44</v>
      </c>
      <c r="B60" t="s">
        <v>1476</v>
      </c>
      <c r="C60" t="s">
        <v>1476</v>
      </c>
      <c r="D60" t="str">
        <f>IF(B60=C60, "Sim", "Não")</f>
        <v>Sim</v>
      </c>
    </row>
    <row r="61" spans="1:4" x14ac:dyDescent="0.25">
      <c r="A61" t="s">
        <v>73</v>
      </c>
      <c r="B61" t="s">
        <v>731</v>
      </c>
      <c r="C61" t="s">
        <v>731</v>
      </c>
      <c r="D61" t="str">
        <f t="shared" si="0"/>
        <v>Sim</v>
      </c>
    </row>
    <row r="62" spans="1:4" x14ac:dyDescent="0.25">
      <c r="A62" t="s">
        <v>73</v>
      </c>
      <c r="B62" t="s">
        <v>1477</v>
      </c>
      <c r="C62" t="s">
        <v>1478</v>
      </c>
      <c r="D62" t="str">
        <f t="shared" si="0"/>
        <v>Não</v>
      </c>
    </row>
    <row r="63" spans="1:4" x14ac:dyDescent="0.25">
      <c r="A63" t="s">
        <v>73</v>
      </c>
      <c r="B63" t="s">
        <v>1479</v>
      </c>
      <c r="C63" t="s">
        <v>1479</v>
      </c>
      <c r="D63" t="str">
        <f t="shared" si="0"/>
        <v>Sim</v>
      </c>
    </row>
    <row r="64" spans="1:4" x14ac:dyDescent="0.25">
      <c r="A64" t="s">
        <v>73</v>
      </c>
      <c r="B64" t="s">
        <v>1480</v>
      </c>
      <c r="C64" t="s">
        <v>1480</v>
      </c>
      <c r="D64" t="str">
        <f t="shared" si="0"/>
        <v>Sim</v>
      </c>
    </row>
    <row r="65" spans="1:4" x14ac:dyDescent="0.25">
      <c r="A65" t="s">
        <v>73</v>
      </c>
      <c r="B65" t="s">
        <v>1481</v>
      </c>
      <c r="C65" t="s">
        <v>1481</v>
      </c>
      <c r="D65" t="str">
        <f t="shared" ref="D65:D101" si="3">IF(B65=C65, "Sim", "Não")</f>
        <v>Sim</v>
      </c>
    </row>
    <row r="66" spans="1:4" x14ac:dyDescent="0.25">
      <c r="A66" t="s">
        <v>73</v>
      </c>
      <c r="B66" t="s">
        <v>802</v>
      </c>
      <c r="C66" t="s">
        <v>802</v>
      </c>
      <c r="D66" t="str">
        <f t="shared" si="3"/>
        <v>Sim</v>
      </c>
    </row>
    <row r="67" spans="1:4" x14ac:dyDescent="0.25">
      <c r="A67" t="s">
        <v>73</v>
      </c>
      <c r="B67" t="s">
        <v>1482</v>
      </c>
      <c r="C67" t="s">
        <v>1482</v>
      </c>
      <c r="D67" t="str">
        <f t="shared" si="3"/>
        <v>Sim</v>
      </c>
    </row>
    <row r="68" spans="1:4" x14ac:dyDescent="0.25">
      <c r="A68" t="s">
        <v>73</v>
      </c>
      <c r="B68" t="s">
        <v>133</v>
      </c>
      <c r="C68" t="s">
        <v>133</v>
      </c>
      <c r="D68" t="str">
        <f t="shared" si="3"/>
        <v>Sim</v>
      </c>
    </row>
    <row r="69" spans="1:4" x14ac:dyDescent="0.25">
      <c r="A69" t="s">
        <v>73</v>
      </c>
      <c r="B69" t="s">
        <v>791</v>
      </c>
      <c r="C69" t="s">
        <v>791</v>
      </c>
      <c r="D69" t="str">
        <f t="shared" si="3"/>
        <v>Sim</v>
      </c>
    </row>
    <row r="70" spans="1:4" x14ac:dyDescent="0.25">
      <c r="A70" t="s">
        <v>73</v>
      </c>
      <c r="B70" t="s">
        <v>728</v>
      </c>
      <c r="C70" t="s">
        <v>728</v>
      </c>
      <c r="D70" t="str">
        <f t="shared" si="3"/>
        <v>Sim</v>
      </c>
    </row>
    <row r="71" spans="1:4" x14ac:dyDescent="0.25">
      <c r="A71" t="s">
        <v>73</v>
      </c>
      <c r="B71" t="s">
        <v>805</v>
      </c>
      <c r="C71" t="s">
        <v>805</v>
      </c>
      <c r="D71" t="str">
        <f t="shared" si="3"/>
        <v>Sim</v>
      </c>
    </row>
    <row r="72" spans="1:4" x14ac:dyDescent="0.25">
      <c r="A72" t="s">
        <v>73</v>
      </c>
      <c r="B72" t="s">
        <v>985</v>
      </c>
      <c r="C72" t="s">
        <v>985</v>
      </c>
      <c r="D72" t="str">
        <f t="shared" si="3"/>
        <v>Sim</v>
      </c>
    </row>
    <row r="73" spans="1:4" x14ac:dyDescent="0.25">
      <c r="A73" t="s">
        <v>73</v>
      </c>
      <c r="B73" t="s">
        <v>1448</v>
      </c>
      <c r="C73" t="s">
        <v>1448</v>
      </c>
      <c r="D73" t="str">
        <f>IF(B73=C73, "Sim", "Não")</f>
        <v>Sim</v>
      </c>
    </row>
    <row r="74" spans="1:4" x14ac:dyDescent="0.25">
      <c r="A74" t="s">
        <v>1464</v>
      </c>
      <c r="B74" t="s">
        <v>1483</v>
      </c>
      <c r="C74" t="s">
        <v>1483</v>
      </c>
      <c r="D74" t="str">
        <f t="shared" si="3"/>
        <v>Sim</v>
      </c>
    </row>
    <row r="75" spans="1:4" x14ac:dyDescent="0.25">
      <c r="A75" t="s">
        <v>1464</v>
      </c>
      <c r="B75" t="s">
        <v>1484</v>
      </c>
      <c r="C75" t="s">
        <v>1484</v>
      </c>
      <c r="D75" t="str">
        <f>IF(B75=C75, "Sim", "Não")</f>
        <v>Sim</v>
      </c>
    </row>
    <row r="76" spans="1:4" x14ac:dyDescent="0.25">
      <c r="A76" t="s">
        <v>1464</v>
      </c>
      <c r="B76" t="s">
        <v>1497</v>
      </c>
      <c r="C76" t="s">
        <v>1985</v>
      </c>
      <c r="D76" t="str">
        <f>IF(B76=C76, "Sim", "Não")</f>
        <v>Não</v>
      </c>
    </row>
    <row r="77" spans="1:4" x14ac:dyDescent="0.25">
      <c r="A77" t="s">
        <v>1464</v>
      </c>
      <c r="B77" t="s">
        <v>531</v>
      </c>
      <c r="C77" t="s">
        <v>531</v>
      </c>
      <c r="D77" t="str">
        <f t="shared" si="3"/>
        <v>Sim</v>
      </c>
    </row>
    <row r="78" spans="1:4" x14ac:dyDescent="0.25">
      <c r="A78" t="s">
        <v>1464</v>
      </c>
      <c r="B78" t="s">
        <v>1485</v>
      </c>
      <c r="C78" t="s">
        <v>1485</v>
      </c>
      <c r="D78" t="str">
        <f t="shared" si="3"/>
        <v>Sim</v>
      </c>
    </row>
    <row r="79" spans="1:4" x14ac:dyDescent="0.25">
      <c r="A79" t="s">
        <v>1464</v>
      </c>
      <c r="B79" t="s">
        <v>1486</v>
      </c>
      <c r="C79" t="s">
        <v>1486</v>
      </c>
      <c r="D79" t="str">
        <f t="shared" si="3"/>
        <v>Sim</v>
      </c>
    </row>
    <row r="80" spans="1:4" x14ac:dyDescent="0.25">
      <c r="A80" t="s">
        <v>1464</v>
      </c>
      <c r="B80" t="s">
        <v>744</v>
      </c>
      <c r="C80" t="s">
        <v>744</v>
      </c>
      <c r="D80" t="str">
        <f t="shared" si="3"/>
        <v>Sim</v>
      </c>
    </row>
    <row r="81" spans="1:4" x14ac:dyDescent="0.25">
      <c r="A81" t="s">
        <v>1464</v>
      </c>
      <c r="B81" t="s">
        <v>1487</v>
      </c>
      <c r="C81" t="s">
        <v>1567</v>
      </c>
      <c r="D81" t="str">
        <f t="shared" si="3"/>
        <v>Não</v>
      </c>
    </row>
    <row r="82" spans="1:4" x14ac:dyDescent="0.25">
      <c r="A82" t="s">
        <v>6</v>
      </c>
      <c r="B82" t="s">
        <v>1488</v>
      </c>
      <c r="C82" t="s">
        <v>1488</v>
      </c>
      <c r="D82" t="str">
        <f t="shared" si="3"/>
        <v>Sim</v>
      </c>
    </row>
    <row r="83" spans="1:4" x14ac:dyDescent="0.25">
      <c r="A83" t="s">
        <v>6</v>
      </c>
      <c r="B83" t="s">
        <v>746</v>
      </c>
      <c r="C83" t="s">
        <v>746</v>
      </c>
      <c r="D83" t="str">
        <f t="shared" si="3"/>
        <v>Sim</v>
      </c>
    </row>
    <row r="84" spans="1:4" x14ac:dyDescent="0.25">
      <c r="A84" t="s">
        <v>6</v>
      </c>
      <c r="B84" t="s">
        <v>737</v>
      </c>
      <c r="C84" t="s">
        <v>1778</v>
      </c>
      <c r="D84" t="str">
        <f t="shared" si="3"/>
        <v>Não</v>
      </c>
    </row>
    <row r="85" spans="1:4" x14ac:dyDescent="0.25">
      <c r="A85" t="s">
        <v>6</v>
      </c>
      <c r="B85" t="s">
        <v>1489</v>
      </c>
      <c r="C85" t="s">
        <v>820</v>
      </c>
      <c r="D85" t="str">
        <f>IF(B85=C85, "Sim", "Não")</f>
        <v>Não</v>
      </c>
    </row>
    <row r="86" spans="1:4" x14ac:dyDescent="0.25">
      <c r="A86" t="s">
        <v>6</v>
      </c>
      <c r="B86" t="s">
        <v>391</v>
      </c>
      <c r="C86" t="s">
        <v>391</v>
      </c>
      <c r="D86" t="str">
        <f t="shared" si="3"/>
        <v>Sim</v>
      </c>
    </row>
    <row r="87" spans="1:4" x14ac:dyDescent="0.25">
      <c r="A87" t="s">
        <v>6</v>
      </c>
      <c r="B87" t="s">
        <v>739</v>
      </c>
      <c r="C87" t="s">
        <v>739</v>
      </c>
      <c r="D87" t="str">
        <f>IF(B87=C87, "Sim", "Não")</f>
        <v>Sim</v>
      </c>
    </row>
    <row r="88" spans="1:4" x14ac:dyDescent="0.25">
      <c r="A88" t="s">
        <v>6</v>
      </c>
      <c r="B88" t="s">
        <v>1490</v>
      </c>
      <c r="C88" t="s">
        <v>1490</v>
      </c>
      <c r="D88" t="str">
        <f>IF(B88=C88, "Sim", "Não")</f>
        <v>Sim</v>
      </c>
    </row>
    <row r="89" spans="1:4" x14ac:dyDescent="0.25">
      <c r="A89" t="s">
        <v>6</v>
      </c>
      <c r="B89" t="s">
        <v>121</v>
      </c>
      <c r="C89" t="s">
        <v>121</v>
      </c>
      <c r="D89" t="str">
        <f t="shared" si="3"/>
        <v>Sim</v>
      </c>
    </row>
    <row r="90" spans="1:4" x14ac:dyDescent="0.25">
      <c r="A90" t="s">
        <v>6</v>
      </c>
      <c r="B90" t="s">
        <v>1780</v>
      </c>
      <c r="C90" t="s">
        <v>1780</v>
      </c>
      <c r="D90" t="str">
        <f t="shared" si="3"/>
        <v>Sim</v>
      </c>
    </row>
    <row r="91" spans="1:4" x14ac:dyDescent="0.25">
      <c r="A91" t="s">
        <v>6</v>
      </c>
      <c r="B91" t="s">
        <v>1491</v>
      </c>
      <c r="C91" t="s">
        <v>1491</v>
      </c>
      <c r="D91" t="str">
        <f t="shared" si="3"/>
        <v>Sim</v>
      </c>
    </row>
    <row r="92" spans="1:4" x14ac:dyDescent="0.25">
      <c r="A92" t="s">
        <v>6</v>
      </c>
      <c r="B92" t="s">
        <v>1492</v>
      </c>
      <c r="C92" t="s">
        <v>1492</v>
      </c>
      <c r="D92" t="str">
        <f t="shared" si="3"/>
        <v>Sim</v>
      </c>
    </row>
    <row r="93" spans="1:4" x14ac:dyDescent="0.25">
      <c r="A93" t="s">
        <v>45</v>
      </c>
      <c r="B93" t="s">
        <v>1136</v>
      </c>
      <c r="C93" t="s">
        <v>1986</v>
      </c>
      <c r="D93" t="str">
        <f t="shared" si="3"/>
        <v>Não</v>
      </c>
    </row>
    <row r="94" spans="1:4" x14ac:dyDescent="0.25">
      <c r="A94" t="s">
        <v>45</v>
      </c>
      <c r="B94" t="s">
        <v>574</v>
      </c>
      <c r="C94" t="s">
        <v>574</v>
      </c>
      <c r="D94" t="str">
        <f t="shared" si="3"/>
        <v>Sim</v>
      </c>
    </row>
    <row r="95" spans="1:4" x14ac:dyDescent="0.25">
      <c r="A95" t="s">
        <v>45</v>
      </c>
      <c r="B95" t="s">
        <v>1493</v>
      </c>
      <c r="C95" t="s">
        <v>1493</v>
      </c>
      <c r="D95" t="str">
        <f t="shared" si="3"/>
        <v>Sim</v>
      </c>
    </row>
    <row r="96" spans="1:4" x14ac:dyDescent="0.25">
      <c r="A96" t="s">
        <v>45</v>
      </c>
      <c r="B96" t="s">
        <v>580</v>
      </c>
      <c r="C96" t="s">
        <v>580</v>
      </c>
      <c r="D96" t="str">
        <f t="shared" si="3"/>
        <v>Sim</v>
      </c>
    </row>
    <row r="97" spans="1:4" x14ac:dyDescent="0.25">
      <c r="A97" t="s">
        <v>45</v>
      </c>
      <c r="B97" t="s">
        <v>1494</v>
      </c>
      <c r="C97" t="s">
        <v>1494</v>
      </c>
      <c r="D97" t="str">
        <f t="shared" si="3"/>
        <v>Sim</v>
      </c>
    </row>
    <row r="98" spans="1:4" x14ac:dyDescent="0.25">
      <c r="A98" t="s">
        <v>45</v>
      </c>
      <c r="B98" t="s">
        <v>1495</v>
      </c>
      <c r="C98" t="s">
        <v>1495</v>
      </c>
      <c r="D98" t="str">
        <f t="shared" si="3"/>
        <v>Sim</v>
      </c>
    </row>
    <row r="99" spans="1:4" x14ac:dyDescent="0.25">
      <c r="A99" t="s">
        <v>45</v>
      </c>
      <c r="B99" t="s">
        <v>847</v>
      </c>
      <c r="C99" t="s">
        <v>847</v>
      </c>
      <c r="D99" t="str">
        <f>IF(B99=C99, "Sim", "Não")</f>
        <v>Sim</v>
      </c>
    </row>
    <row r="100" spans="1:4" x14ac:dyDescent="0.25">
      <c r="A100" t="s">
        <v>45</v>
      </c>
      <c r="B100" t="s">
        <v>1496</v>
      </c>
      <c r="C100" t="s">
        <v>1496</v>
      </c>
      <c r="D100" t="str">
        <f t="shared" si="3"/>
        <v>Sim</v>
      </c>
    </row>
    <row r="101" spans="1:4" x14ac:dyDescent="0.25">
      <c r="A101" t="s">
        <v>45</v>
      </c>
      <c r="B101" t="s">
        <v>403</v>
      </c>
      <c r="C101" t="s">
        <v>403</v>
      </c>
      <c r="D101" t="str">
        <f t="shared" si="3"/>
        <v>Sim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27114-425F-4777-B23D-A4E2EF95C144}">
  <sheetPr codeName="Planilha30"/>
  <dimension ref="A1:G101"/>
  <sheetViews>
    <sheetView topLeftCell="A40" workbookViewId="0">
      <selection activeCell="C49" sqref="C49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28" t="s">
        <v>59</v>
      </c>
      <c r="B1" s="28"/>
      <c r="C1" s="28"/>
      <c r="D1" s="28"/>
      <c r="E1" s="28"/>
      <c r="F1" s="28"/>
      <c r="G1" s="28"/>
    </row>
    <row r="2" spans="1:7" x14ac:dyDescent="0.25">
      <c r="A2" s="4" t="s">
        <v>34</v>
      </c>
      <c r="B2" s="4" t="s">
        <v>35</v>
      </c>
      <c r="C2" s="4" t="s">
        <v>36</v>
      </c>
      <c r="D2" s="4" t="s">
        <v>37</v>
      </c>
    </row>
    <row r="3" spans="1:7" x14ac:dyDescent="0.25">
      <c r="A3" t="s">
        <v>38</v>
      </c>
      <c r="B3" t="s">
        <v>89</v>
      </c>
      <c r="C3" t="s">
        <v>63</v>
      </c>
      <c r="D3" t="str">
        <f>IF(B3=C3, "Sim", "Não")</f>
        <v>Não</v>
      </c>
      <c r="F3" s="4" t="s">
        <v>39</v>
      </c>
      <c r="G3" s="3">
        <f>COUNTIF(D3:D105,"Não")</f>
        <v>26</v>
      </c>
    </row>
    <row r="4" spans="1:7" x14ac:dyDescent="0.25">
      <c r="A4" t="s">
        <v>38</v>
      </c>
      <c r="B4" t="s">
        <v>43</v>
      </c>
      <c r="C4" t="s">
        <v>43</v>
      </c>
      <c r="D4" t="str">
        <f t="shared" ref="D4:D67" si="0">IF(B4=C4, "Sim", "Não")</f>
        <v>Sim</v>
      </c>
      <c r="F4" s="4" t="s">
        <v>40</v>
      </c>
      <c r="G4" s="3">
        <f>SUM(G7:G25)</f>
        <v>99</v>
      </c>
    </row>
    <row r="5" spans="1:7" x14ac:dyDescent="0.25">
      <c r="A5" t="s">
        <v>38</v>
      </c>
      <c r="B5" t="s">
        <v>483</v>
      </c>
      <c r="C5" t="s">
        <v>483</v>
      </c>
      <c r="D5" t="str">
        <f t="shared" si="0"/>
        <v>Sim</v>
      </c>
    </row>
    <row r="6" spans="1:7" x14ac:dyDescent="0.25">
      <c r="A6" t="s">
        <v>38</v>
      </c>
      <c r="B6" t="s">
        <v>484</v>
      </c>
      <c r="C6" t="s">
        <v>484</v>
      </c>
      <c r="D6" t="str">
        <f t="shared" si="0"/>
        <v>Sim</v>
      </c>
      <c r="F6" s="6" t="s">
        <v>42</v>
      </c>
      <c r="G6" s="1"/>
    </row>
    <row r="7" spans="1:7" x14ac:dyDescent="0.25">
      <c r="A7" t="s">
        <v>38</v>
      </c>
      <c r="B7" t="s">
        <v>630</v>
      </c>
      <c r="C7" t="s">
        <v>630</v>
      </c>
      <c r="D7" t="str">
        <f t="shared" si="0"/>
        <v>Sim</v>
      </c>
      <c r="F7" s="7" t="s">
        <v>38</v>
      </c>
      <c r="G7" s="2">
        <f t="shared" ref="G7:G12" si="1">COUNTIF(A:A,F7)</f>
        <v>33</v>
      </c>
    </row>
    <row r="8" spans="1:7" x14ac:dyDescent="0.25">
      <c r="A8" t="s">
        <v>38</v>
      </c>
      <c r="B8" t="s">
        <v>91</v>
      </c>
      <c r="C8" t="s">
        <v>91</v>
      </c>
      <c r="D8" t="str">
        <f t="shared" si="0"/>
        <v>Sim</v>
      </c>
      <c r="F8" s="7" t="s">
        <v>44</v>
      </c>
      <c r="G8" s="2">
        <f t="shared" si="1"/>
        <v>10</v>
      </c>
    </row>
    <row r="9" spans="1:7" x14ac:dyDescent="0.25">
      <c r="A9" t="s">
        <v>38</v>
      </c>
      <c r="B9" t="s">
        <v>91</v>
      </c>
      <c r="C9" t="s">
        <v>91</v>
      </c>
      <c r="D9" t="str">
        <f t="shared" si="0"/>
        <v>Sim</v>
      </c>
      <c r="F9" s="7" t="s">
        <v>45</v>
      </c>
      <c r="G9" s="2">
        <f t="shared" si="1"/>
        <v>8</v>
      </c>
    </row>
    <row r="10" spans="1:7" x14ac:dyDescent="0.25">
      <c r="A10" t="s">
        <v>38</v>
      </c>
      <c r="B10" t="s">
        <v>91</v>
      </c>
      <c r="C10" t="s">
        <v>91</v>
      </c>
      <c r="D10" t="str">
        <f t="shared" si="0"/>
        <v>Sim</v>
      </c>
      <c r="F10" s="7" t="s">
        <v>1498</v>
      </c>
      <c r="G10" s="2">
        <f t="shared" si="1"/>
        <v>32</v>
      </c>
    </row>
    <row r="11" spans="1:7" x14ac:dyDescent="0.25">
      <c r="A11" t="s">
        <v>38</v>
      </c>
      <c r="B11" t="s">
        <v>91</v>
      </c>
      <c r="C11" t="s">
        <v>91</v>
      </c>
      <c r="D11" t="str">
        <f t="shared" si="0"/>
        <v>Sim</v>
      </c>
      <c r="F11" s="7" t="s">
        <v>345</v>
      </c>
      <c r="G11" s="2">
        <f t="shared" si="1"/>
        <v>8</v>
      </c>
    </row>
    <row r="12" spans="1:7" x14ac:dyDescent="0.25">
      <c r="A12" t="s">
        <v>38</v>
      </c>
      <c r="B12" t="s">
        <v>91</v>
      </c>
      <c r="C12" t="s">
        <v>91</v>
      </c>
      <c r="D12" t="str">
        <f t="shared" si="0"/>
        <v>Sim</v>
      </c>
      <c r="F12" s="7" t="s">
        <v>46</v>
      </c>
      <c r="G12" s="2">
        <f t="shared" si="1"/>
        <v>8</v>
      </c>
    </row>
    <row r="13" spans="1:7" x14ac:dyDescent="0.25">
      <c r="A13" t="s">
        <v>38</v>
      </c>
      <c r="B13" t="s">
        <v>91</v>
      </c>
      <c r="C13" t="s">
        <v>91</v>
      </c>
      <c r="D13" t="str">
        <f t="shared" si="0"/>
        <v>Sim</v>
      </c>
    </row>
    <row r="14" spans="1:7" x14ac:dyDescent="0.25">
      <c r="A14" t="s">
        <v>38</v>
      </c>
      <c r="B14" t="s">
        <v>91</v>
      </c>
      <c r="C14" t="s">
        <v>91</v>
      </c>
      <c r="D14" t="str">
        <f t="shared" si="0"/>
        <v>Sim</v>
      </c>
      <c r="F14" s="7"/>
      <c r="G14" s="2"/>
    </row>
    <row r="15" spans="1:7" x14ac:dyDescent="0.25">
      <c r="A15" t="s">
        <v>38</v>
      </c>
      <c r="B15" t="s">
        <v>91</v>
      </c>
      <c r="C15" t="s">
        <v>91</v>
      </c>
      <c r="D15" t="str">
        <f t="shared" si="0"/>
        <v>Sim</v>
      </c>
      <c r="F15" s="4"/>
      <c r="G15" s="2"/>
    </row>
    <row r="16" spans="1:7" x14ac:dyDescent="0.25">
      <c r="A16" t="s">
        <v>38</v>
      </c>
      <c r="B16" t="s">
        <v>91</v>
      </c>
      <c r="C16" t="s">
        <v>91</v>
      </c>
      <c r="D16" t="str">
        <f t="shared" si="0"/>
        <v>Sim</v>
      </c>
      <c r="F16" s="4"/>
      <c r="G16" s="2"/>
    </row>
    <row r="17" spans="1:4" x14ac:dyDescent="0.25">
      <c r="A17" t="s">
        <v>38</v>
      </c>
      <c r="B17" t="s">
        <v>91</v>
      </c>
      <c r="C17" t="s">
        <v>91</v>
      </c>
      <c r="D17" t="str">
        <f t="shared" si="0"/>
        <v>Sim</v>
      </c>
    </row>
    <row r="18" spans="1:4" x14ac:dyDescent="0.25">
      <c r="A18" t="s">
        <v>38</v>
      </c>
      <c r="B18" t="s">
        <v>91</v>
      </c>
      <c r="C18" t="s">
        <v>91</v>
      </c>
      <c r="D18" t="str">
        <f t="shared" si="0"/>
        <v>Sim</v>
      </c>
    </row>
    <row r="19" spans="1:4" x14ac:dyDescent="0.25">
      <c r="A19" t="s">
        <v>38</v>
      </c>
      <c r="B19" t="s">
        <v>91</v>
      </c>
      <c r="C19" t="s">
        <v>91</v>
      </c>
      <c r="D19" t="str">
        <f t="shared" si="0"/>
        <v>Sim</v>
      </c>
    </row>
    <row r="20" spans="1:4" x14ac:dyDescent="0.25">
      <c r="A20" t="s">
        <v>38</v>
      </c>
      <c r="B20" t="s">
        <v>91</v>
      </c>
      <c r="C20" t="s">
        <v>91</v>
      </c>
      <c r="D20" t="str">
        <f t="shared" si="0"/>
        <v>Sim</v>
      </c>
    </row>
    <row r="21" spans="1:4" x14ac:dyDescent="0.25">
      <c r="A21" t="s">
        <v>38</v>
      </c>
      <c r="B21" t="s">
        <v>89</v>
      </c>
      <c r="C21" t="s">
        <v>89</v>
      </c>
      <c r="D21" t="str">
        <f t="shared" si="0"/>
        <v>Sim</v>
      </c>
    </row>
    <row r="22" spans="1:4" x14ac:dyDescent="0.25">
      <c r="A22" t="s">
        <v>38</v>
      </c>
      <c r="B22" t="s">
        <v>89</v>
      </c>
      <c r="C22" t="s">
        <v>89</v>
      </c>
      <c r="D22" t="str">
        <f t="shared" si="0"/>
        <v>Sim</v>
      </c>
    </row>
    <row r="23" spans="1:4" x14ac:dyDescent="0.25">
      <c r="A23" t="s">
        <v>38</v>
      </c>
      <c r="B23" t="s">
        <v>89</v>
      </c>
      <c r="C23" t="s">
        <v>89</v>
      </c>
      <c r="D23" t="str">
        <f t="shared" si="0"/>
        <v>Sim</v>
      </c>
    </row>
    <row r="24" spans="1:4" x14ac:dyDescent="0.25">
      <c r="A24" t="s">
        <v>38</v>
      </c>
      <c r="B24" t="s">
        <v>89</v>
      </c>
      <c r="C24" t="s">
        <v>89</v>
      </c>
      <c r="D24" t="str">
        <f t="shared" si="0"/>
        <v>Sim</v>
      </c>
    </row>
    <row r="25" spans="1:4" x14ac:dyDescent="0.25">
      <c r="A25" t="s">
        <v>38</v>
      </c>
      <c r="B25" t="s">
        <v>89</v>
      </c>
      <c r="C25" t="s">
        <v>89</v>
      </c>
      <c r="D25" t="str">
        <f t="shared" si="0"/>
        <v>Sim</v>
      </c>
    </row>
    <row r="26" spans="1:4" x14ac:dyDescent="0.25">
      <c r="A26" t="s">
        <v>38</v>
      </c>
      <c r="B26" t="s">
        <v>89</v>
      </c>
      <c r="C26" t="s">
        <v>89</v>
      </c>
      <c r="D26" t="str">
        <f t="shared" si="0"/>
        <v>Sim</v>
      </c>
    </row>
    <row r="27" spans="1:4" x14ac:dyDescent="0.25">
      <c r="A27" t="s">
        <v>38</v>
      </c>
      <c r="B27" t="s">
        <v>89</v>
      </c>
      <c r="C27" t="s">
        <v>89</v>
      </c>
      <c r="D27" t="str">
        <f t="shared" si="0"/>
        <v>Sim</v>
      </c>
    </row>
    <row r="28" spans="1:4" x14ac:dyDescent="0.25">
      <c r="A28" t="s">
        <v>38</v>
      </c>
      <c r="B28" t="s">
        <v>89</v>
      </c>
      <c r="C28" t="s">
        <v>89</v>
      </c>
      <c r="D28" t="str">
        <f t="shared" si="0"/>
        <v>Sim</v>
      </c>
    </row>
    <row r="29" spans="1:4" x14ac:dyDescent="0.25">
      <c r="A29" t="s">
        <v>38</v>
      </c>
      <c r="B29" t="s">
        <v>89</v>
      </c>
      <c r="C29" t="s">
        <v>89</v>
      </c>
      <c r="D29" t="str">
        <f t="shared" si="0"/>
        <v>Sim</v>
      </c>
    </row>
    <row r="30" spans="1:4" x14ac:dyDescent="0.25">
      <c r="A30" t="s">
        <v>38</v>
      </c>
      <c r="B30" t="s">
        <v>89</v>
      </c>
      <c r="C30" t="s">
        <v>89</v>
      </c>
      <c r="D30" t="str">
        <f t="shared" si="0"/>
        <v>Sim</v>
      </c>
    </row>
    <row r="31" spans="1:4" x14ac:dyDescent="0.25">
      <c r="A31" t="s">
        <v>38</v>
      </c>
      <c r="B31" t="s">
        <v>89</v>
      </c>
      <c r="C31" t="s">
        <v>89</v>
      </c>
      <c r="D31" t="str">
        <f t="shared" si="0"/>
        <v>Sim</v>
      </c>
    </row>
    <row r="32" spans="1:4" x14ac:dyDescent="0.25">
      <c r="A32" t="s">
        <v>38</v>
      </c>
      <c r="B32" t="s">
        <v>89</v>
      </c>
      <c r="C32" t="s">
        <v>89</v>
      </c>
      <c r="D32" t="str">
        <f t="shared" si="0"/>
        <v>Sim</v>
      </c>
    </row>
    <row r="33" spans="1:4" x14ac:dyDescent="0.25">
      <c r="A33" t="s">
        <v>38</v>
      </c>
      <c r="B33" t="s">
        <v>89</v>
      </c>
      <c r="C33" t="s">
        <v>89</v>
      </c>
      <c r="D33" t="str">
        <f t="shared" si="0"/>
        <v>Sim</v>
      </c>
    </row>
    <row r="34" spans="1:4" x14ac:dyDescent="0.25">
      <c r="A34" t="s">
        <v>38</v>
      </c>
      <c r="B34" t="s">
        <v>89</v>
      </c>
      <c r="C34" t="s">
        <v>89</v>
      </c>
      <c r="D34" t="str">
        <f t="shared" si="0"/>
        <v>Sim</v>
      </c>
    </row>
    <row r="35" spans="1:4" x14ac:dyDescent="0.25">
      <c r="A35" t="s">
        <v>38</v>
      </c>
      <c r="B35" t="s">
        <v>89</v>
      </c>
      <c r="C35" t="s">
        <v>89</v>
      </c>
      <c r="D35" t="str">
        <f t="shared" si="0"/>
        <v>Sim</v>
      </c>
    </row>
    <row r="36" spans="1:4" x14ac:dyDescent="0.25">
      <c r="A36" t="s">
        <v>44</v>
      </c>
      <c r="B36" t="s">
        <v>1934</v>
      </c>
      <c r="C36" t="s">
        <v>211</v>
      </c>
      <c r="D36" t="str">
        <f t="shared" si="0"/>
        <v>Não</v>
      </c>
    </row>
    <row r="37" spans="1:4" x14ac:dyDescent="0.25">
      <c r="A37" t="s">
        <v>44</v>
      </c>
      <c r="B37" t="s">
        <v>212</v>
      </c>
      <c r="C37" t="s">
        <v>212</v>
      </c>
      <c r="D37" t="str">
        <f t="shared" si="0"/>
        <v>Sim</v>
      </c>
    </row>
    <row r="38" spans="1:4" x14ac:dyDescent="0.25">
      <c r="A38" t="s">
        <v>44</v>
      </c>
      <c r="B38" t="s">
        <v>93</v>
      </c>
      <c r="C38" t="s">
        <v>93</v>
      </c>
      <c r="D38" t="str">
        <f t="shared" si="0"/>
        <v>Sim</v>
      </c>
    </row>
    <row r="39" spans="1:4" x14ac:dyDescent="0.25">
      <c r="A39" t="s">
        <v>44</v>
      </c>
      <c r="B39" t="s">
        <v>361</v>
      </c>
      <c r="C39" t="s">
        <v>361</v>
      </c>
      <c r="D39" t="str">
        <f t="shared" si="0"/>
        <v>Sim</v>
      </c>
    </row>
    <row r="40" spans="1:4" x14ac:dyDescent="0.25">
      <c r="A40" t="s">
        <v>44</v>
      </c>
      <c r="B40" t="s">
        <v>1499</v>
      </c>
      <c r="C40" t="s">
        <v>1499</v>
      </c>
      <c r="D40" t="str">
        <f t="shared" si="0"/>
        <v>Sim</v>
      </c>
    </row>
    <row r="41" spans="1:4" x14ac:dyDescent="0.25">
      <c r="A41" t="s">
        <v>44</v>
      </c>
      <c r="B41" t="s">
        <v>217</v>
      </c>
      <c r="C41" t="s">
        <v>217</v>
      </c>
      <c r="D41" t="str">
        <f t="shared" si="0"/>
        <v>Sim</v>
      </c>
    </row>
    <row r="42" spans="1:4" x14ac:dyDescent="0.25">
      <c r="A42" t="s">
        <v>44</v>
      </c>
      <c r="B42" t="s">
        <v>163</v>
      </c>
      <c r="C42" t="s">
        <v>163</v>
      </c>
      <c r="D42" t="str">
        <f t="shared" si="0"/>
        <v>Sim</v>
      </c>
    </row>
    <row r="43" spans="1:4" x14ac:dyDescent="0.25">
      <c r="A43" t="s">
        <v>44</v>
      </c>
      <c r="B43" t="s">
        <v>1920</v>
      </c>
      <c r="C43" t="s">
        <v>166</v>
      </c>
      <c r="D43" t="str">
        <f t="shared" si="0"/>
        <v>Não</v>
      </c>
    </row>
    <row r="44" spans="1:4" x14ac:dyDescent="0.25">
      <c r="A44" t="s">
        <v>44</v>
      </c>
      <c r="B44" t="s">
        <v>164</v>
      </c>
      <c r="C44" t="s">
        <v>164</v>
      </c>
      <c r="D44" t="str">
        <f t="shared" si="0"/>
        <v>Sim</v>
      </c>
    </row>
    <row r="45" spans="1:4" x14ac:dyDescent="0.25">
      <c r="A45" t="s">
        <v>44</v>
      </c>
      <c r="B45" t="s">
        <v>1919</v>
      </c>
      <c r="C45" t="s">
        <v>1500</v>
      </c>
      <c r="D45" t="str">
        <f t="shared" si="0"/>
        <v>Não</v>
      </c>
    </row>
    <row r="46" spans="1:4" x14ac:dyDescent="0.25">
      <c r="A46" t="s">
        <v>45</v>
      </c>
      <c r="B46" t="s">
        <v>580</v>
      </c>
      <c r="C46" t="s">
        <v>580</v>
      </c>
      <c r="D46" t="str">
        <f t="shared" si="0"/>
        <v>Sim</v>
      </c>
    </row>
    <row r="47" spans="1:4" x14ac:dyDescent="0.25">
      <c r="A47" t="s">
        <v>45</v>
      </c>
      <c r="B47" t="s">
        <v>1916</v>
      </c>
      <c r="C47" t="s">
        <v>1501</v>
      </c>
      <c r="D47" t="str">
        <f t="shared" si="0"/>
        <v>Não</v>
      </c>
    </row>
    <row r="48" spans="1:4" x14ac:dyDescent="0.25">
      <c r="A48" t="s">
        <v>45</v>
      </c>
      <c r="B48" t="s">
        <v>1502</v>
      </c>
      <c r="C48" t="s">
        <v>1502</v>
      </c>
      <c r="D48" t="str">
        <f t="shared" si="0"/>
        <v>Sim</v>
      </c>
    </row>
    <row r="49" spans="1:4" x14ac:dyDescent="0.25">
      <c r="A49" t="s">
        <v>45</v>
      </c>
      <c r="B49" t="s">
        <v>1503</v>
      </c>
      <c r="C49" t="s">
        <v>1503</v>
      </c>
      <c r="D49" t="str">
        <f t="shared" si="0"/>
        <v>Sim</v>
      </c>
    </row>
    <row r="50" spans="1:4" x14ac:dyDescent="0.25">
      <c r="A50" t="s">
        <v>45</v>
      </c>
      <c r="B50" t="s">
        <v>1504</v>
      </c>
      <c r="C50" t="s">
        <v>1504</v>
      </c>
      <c r="D50" t="str">
        <f t="shared" si="0"/>
        <v>Sim</v>
      </c>
    </row>
    <row r="51" spans="1:4" x14ac:dyDescent="0.25">
      <c r="A51" t="s">
        <v>45</v>
      </c>
      <c r="B51" t="s">
        <v>933</v>
      </c>
      <c r="C51" t="s">
        <v>933</v>
      </c>
      <c r="D51" t="str">
        <f t="shared" si="0"/>
        <v>Sim</v>
      </c>
    </row>
    <row r="52" spans="1:4" x14ac:dyDescent="0.25">
      <c r="A52" t="s">
        <v>45</v>
      </c>
      <c r="B52" t="s">
        <v>1922</v>
      </c>
      <c r="C52" t="s">
        <v>1505</v>
      </c>
      <c r="D52" t="str">
        <f t="shared" si="0"/>
        <v>Não</v>
      </c>
    </row>
    <row r="53" spans="1:4" x14ac:dyDescent="0.25">
      <c r="A53" t="s">
        <v>45</v>
      </c>
      <c r="B53" t="s">
        <v>1933</v>
      </c>
      <c r="C53" t="s">
        <v>687</v>
      </c>
      <c r="D53" t="str">
        <f t="shared" si="0"/>
        <v>Não</v>
      </c>
    </row>
    <row r="54" spans="1:4" x14ac:dyDescent="0.25">
      <c r="A54" t="s">
        <v>1498</v>
      </c>
      <c r="B54" t="s">
        <v>1506</v>
      </c>
      <c r="C54" t="s">
        <v>1506</v>
      </c>
      <c r="D54" t="str">
        <f t="shared" si="0"/>
        <v>Sim</v>
      </c>
    </row>
    <row r="55" spans="1:4" x14ac:dyDescent="0.25">
      <c r="A55" t="s">
        <v>1498</v>
      </c>
      <c r="B55" t="s">
        <v>1507</v>
      </c>
      <c r="C55" t="s">
        <v>1507</v>
      </c>
      <c r="D55" t="str">
        <f t="shared" si="0"/>
        <v>Sim</v>
      </c>
    </row>
    <row r="56" spans="1:4" x14ac:dyDescent="0.25">
      <c r="A56" t="s">
        <v>1498</v>
      </c>
      <c r="B56" t="s">
        <v>115</v>
      </c>
      <c r="C56" t="s">
        <v>115</v>
      </c>
      <c r="D56" t="str">
        <f t="shared" si="0"/>
        <v>Sim</v>
      </c>
    </row>
    <row r="57" spans="1:4" x14ac:dyDescent="0.25">
      <c r="A57" t="s">
        <v>1498</v>
      </c>
      <c r="B57" t="s">
        <v>1508</v>
      </c>
      <c r="C57" t="s">
        <v>1508</v>
      </c>
      <c r="D57" t="str">
        <f t="shared" si="0"/>
        <v>Sim</v>
      </c>
    </row>
    <row r="58" spans="1:4" x14ac:dyDescent="0.25">
      <c r="A58" t="s">
        <v>1498</v>
      </c>
      <c r="B58" t="s">
        <v>1509</v>
      </c>
      <c r="C58" t="s">
        <v>1509</v>
      </c>
      <c r="D58" t="str">
        <f t="shared" si="0"/>
        <v>Sim</v>
      </c>
    </row>
    <row r="59" spans="1:4" x14ac:dyDescent="0.25">
      <c r="A59" t="s">
        <v>1498</v>
      </c>
      <c r="B59" t="s">
        <v>1510</v>
      </c>
      <c r="C59" t="s">
        <v>1510</v>
      </c>
      <c r="D59" t="str">
        <f t="shared" si="0"/>
        <v>Sim</v>
      </c>
    </row>
    <row r="60" spans="1:4" x14ac:dyDescent="0.25">
      <c r="A60" t="s">
        <v>1498</v>
      </c>
      <c r="B60" t="s">
        <v>1924</v>
      </c>
      <c r="C60" t="s">
        <v>1511</v>
      </c>
      <c r="D60" t="str">
        <f t="shared" si="0"/>
        <v>Não</v>
      </c>
    </row>
    <row r="61" spans="1:4" x14ac:dyDescent="0.25">
      <c r="A61" t="s">
        <v>1498</v>
      </c>
      <c r="B61" t="s">
        <v>99</v>
      </c>
      <c r="C61" t="s">
        <v>99</v>
      </c>
      <c r="D61" t="str">
        <f t="shared" si="0"/>
        <v>Sim</v>
      </c>
    </row>
    <row r="62" spans="1:4" x14ac:dyDescent="0.25">
      <c r="A62" t="s">
        <v>1498</v>
      </c>
      <c r="B62" t="s">
        <v>1917</v>
      </c>
      <c r="C62" t="s">
        <v>1512</v>
      </c>
      <c r="D62" t="str">
        <f t="shared" si="0"/>
        <v>Não</v>
      </c>
    </row>
    <row r="63" spans="1:4" x14ac:dyDescent="0.25">
      <c r="A63" t="s">
        <v>1498</v>
      </c>
      <c r="B63" t="s">
        <v>1925</v>
      </c>
      <c r="C63" t="s">
        <v>1513</v>
      </c>
      <c r="D63" t="str">
        <f t="shared" si="0"/>
        <v>Não</v>
      </c>
    </row>
    <row r="64" spans="1:4" x14ac:dyDescent="0.25">
      <c r="A64" t="s">
        <v>1498</v>
      </c>
      <c r="B64" t="s">
        <v>1914</v>
      </c>
      <c r="C64" t="s">
        <v>1514</v>
      </c>
      <c r="D64" t="str">
        <f t="shared" si="0"/>
        <v>Não</v>
      </c>
    </row>
    <row r="65" spans="1:4" x14ac:dyDescent="0.25">
      <c r="A65" t="s">
        <v>1498</v>
      </c>
      <c r="B65" t="s">
        <v>1926</v>
      </c>
      <c r="C65" t="s">
        <v>1515</v>
      </c>
      <c r="D65" t="str">
        <f t="shared" si="0"/>
        <v>Não</v>
      </c>
    </row>
    <row r="66" spans="1:4" x14ac:dyDescent="0.25">
      <c r="A66" t="s">
        <v>1498</v>
      </c>
      <c r="B66" t="s">
        <v>1516</v>
      </c>
      <c r="C66" t="s">
        <v>1516</v>
      </c>
      <c r="D66" t="str">
        <f t="shared" si="0"/>
        <v>Sim</v>
      </c>
    </row>
    <row r="67" spans="1:4" x14ac:dyDescent="0.25">
      <c r="A67" t="s">
        <v>1498</v>
      </c>
      <c r="B67" t="s">
        <v>1517</v>
      </c>
      <c r="C67" t="s">
        <v>1517</v>
      </c>
      <c r="D67" t="str">
        <f t="shared" si="0"/>
        <v>Sim</v>
      </c>
    </row>
    <row r="68" spans="1:4" x14ac:dyDescent="0.25">
      <c r="A68" t="s">
        <v>1498</v>
      </c>
      <c r="B68" t="s">
        <v>1518</v>
      </c>
      <c r="C68" t="s">
        <v>1518</v>
      </c>
      <c r="D68" t="str">
        <f t="shared" ref="D68:D101" si="2">IF(B68=C68, "Sim", "Não")</f>
        <v>Sim</v>
      </c>
    </row>
    <row r="69" spans="1:4" x14ac:dyDescent="0.25">
      <c r="A69" t="s">
        <v>1498</v>
      </c>
      <c r="B69" t="s">
        <v>1544</v>
      </c>
      <c r="C69" t="s">
        <v>1519</v>
      </c>
      <c r="D69" t="str">
        <f t="shared" si="2"/>
        <v>Não</v>
      </c>
    </row>
    <row r="70" spans="1:4" x14ac:dyDescent="0.25">
      <c r="A70" t="s">
        <v>1498</v>
      </c>
      <c r="B70" t="s">
        <v>1927</v>
      </c>
      <c r="C70" t="s">
        <v>1520</v>
      </c>
      <c r="D70" t="str">
        <f t="shared" si="2"/>
        <v>Não</v>
      </c>
    </row>
    <row r="71" spans="1:4" x14ac:dyDescent="0.25">
      <c r="A71" t="s">
        <v>1498</v>
      </c>
      <c r="B71" t="s">
        <v>1521</v>
      </c>
      <c r="C71" t="s">
        <v>1521</v>
      </c>
      <c r="D71" t="str">
        <f t="shared" si="2"/>
        <v>Sim</v>
      </c>
    </row>
    <row r="72" spans="1:4" x14ac:dyDescent="0.25">
      <c r="A72" t="s">
        <v>1498</v>
      </c>
      <c r="B72" t="s">
        <v>1928</v>
      </c>
      <c r="C72" t="s">
        <v>1522</v>
      </c>
      <c r="D72" t="str">
        <f t="shared" si="2"/>
        <v>Não</v>
      </c>
    </row>
    <row r="73" spans="1:4" x14ac:dyDescent="0.25">
      <c r="A73" t="s">
        <v>1498</v>
      </c>
      <c r="B73" t="s">
        <v>1523</v>
      </c>
      <c r="C73" t="s">
        <v>1523</v>
      </c>
      <c r="D73" t="str">
        <f t="shared" si="2"/>
        <v>Sim</v>
      </c>
    </row>
    <row r="74" spans="1:4" x14ac:dyDescent="0.25">
      <c r="A74" t="s">
        <v>1498</v>
      </c>
      <c r="B74" t="s">
        <v>1524</v>
      </c>
      <c r="C74" t="s">
        <v>1524</v>
      </c>
      <c r="D74" t="str">
        <f t="shared" si="2"/>
        <v>Sim</v>
      </c>
    </row>
    <row r="75" spans="1:4" x14ac:dyDescent="0.25">
      <c r="A75" t="s">
        <v>1498</v>
      </c>
      <c r="B75" t="s">
        <v>226</v>
      </c>
      <c r="C75" t="s">
        <v>1525</v>
      </c>
      <c r="D75" t="str">
        <f t="shared" si="2"/>
        <v>Não</v>
      </c>
    </row>
    <row r="76" spans="1:4" x14ac:dyDescent="0.25">
      <c r="A76" t="s">
        <v>1498</v>
      </c>
      <c r="B76" t="s">
        <v>1526</v>
      </c>
      <c r="C76" t="s">
        <v>1526</v>
      </c>
      <c r="D76" t="str">
        <f t="shared" si="2"/>
        <v>Sim</v>
      </c>
    </row>
    <row r="77" spans="1:4" x14ac:dyDescent="0.25">
      <c r="A77" t="s">
        <v>1498</v>
      </c>
      <c r="B77" t="s">
        <v>1935</v>
      </c>
      <c r="C77" t="s">
        <v>1527</v>
      </c>
      <c r="D77" t="str">
        <f t="shared" si="2"/>
        <v>Não</v>
      </c>
    </row>
    <row r="78" spans="1:4" x14ac:dyDescent="0.25">
      <c r="A78" t="s">
        <v>1498</v>
      </c>
      <c r="B78" t="s">
        <v>1528</v>
      </c>
      <c r="C78" t="s">
        <v>1528</v>
      </c>
      <c r="D78" t="str">
        <f t="shared" si="2"/>
        <v>Sim</v>
      </c>
    </row>
    <row r="79" spans="1:4" x14ac:dyDescent="0.25">
      <c r="A79" t="s">
        <v>1498</v>
      </c>
      <c r="B79" t="s">
        <v>1556</v>
      </c>
      <c r="C79" t="s">
        <v>1529</v>
      </c>
      <c r="D79" t="str">
        <f t="shared" si="2"/>
        <v>Não</v>
      </c>
    </row>
    <row r="80" spans="1:4" x14ac:dyDescent="0.25">
      <c r="A80" t="s">
        <v>1498</v>
      </c>
      <c r="B80" t="s">
        <v>1530</v>
      </c>
      <c r="C80" t="s">
        <v>1530</v>
      </c>
      <c r="D80" t="str">
        <f t="shared" si="2"/>
        <v>Sim</v>
      </c>
    </row>
    <row r="81" spans="1:4" x14ac:dyDescent="0.25">
      <c r="A81" t="s">
        <v>1498</v>
      </c>
      <c r="B81" t="s">
        <v>1531</v>
      </c>
      <c r="C81" t="s">
        <v>1531</v>
      </c>
      <c r="D81" t="str">
        <f t="shared" si="2"/>
        <v>Sim</v>
      </c>
    </row>
    <row r="82" spans="1:4" x14ac:dyDescent="0.25">
      <c r="A82" t="s">
        <v>1498</v>
      </c>
      <c r="B82" t="s">
        <v>1532</v>
      </c>
      <c r="C82" t="s">
        <v>1532</v>
      </c>
      <c r="D82" t="str">
        <f t="shared" si="2"/>
        <v>Sim</v>
      </c>
    </row>
    <row r="83" spans="1:4" x14ac:dyDescent="0.25">
      <c r="A83" t="s">
        <v>1498</v>
      </c>
      <c r="B83" t="s">
        <v>1918</v>
      </c>
      <c r="C83" t="s">
        <v>1533</v>
      </c>
      <c r="D83" t="str">
        <f t="shared" si="2"/>
        <v>Não</v>
      </c>
    </row>
    <row r="84" spans="1:4" x14ac:dyDescent="0.25">
      <c r="A84" t="s">
        <v>1498</v>
      </c>
      <c r="B84" t="s">
        <v>628</v>
      </c>
      <c r="C84" t="s">
        <v>1534</v>
      </c>
      <c r="D84" t="str">
        <f t="shared" si="2"/>
        <v>Não</v>
      </c>
    </row>
    <row r="85" spans="1:4" x14ac:dyDescent="0.25">
      <c r="A85" t="s">
        <v>1498</v>
      </c>
      <c r="B85" t="s">
        <v>1932</v>
      </c>
      <c r="C85" t="s">
        <v>1535</v>
      </c>
      <c r="D85" t="str">
        <f t="shared" si="2"/>
        <v>Não</v>
      </c>
    </row>
    <row r="86" spans="1:4" x14ac:dyDescent="0.25">
      <c r="A86" t="s">
        <v>345</v>
      </c>
      <c r="B86" t="s">
        <v>1536</v>
      </c>
      <c r="C86" t="s">
        <v>1536</v>
      </c>
      <c r="D86" t="str">
        <f t="shared" si="2"/>
        <v>Sim</v>
      </c>
    </row>
    <row r="87" spans="1:4" x14ac:dyDescent="0.25">
      <c r="A87" t="s">
        <v>345</v>
      </c>
      <c r="B87" t="s">
        <v>1931</v>
      </c>
      <c r="C87" t="s">
        <v>1537</v>
      </c>
      <c r="D87" t="str">
        <f t="shared" si="2"/>
        <v>Não</v>
      </c>
    </row>
    <row r="88" spans="1:4" x14ac:dyDescent="0.25">
      <c r="A88" t="s">
        <v>345</v>
      </c>
      <c r="B88" t="s">
        <v>1538</v>
      </c>
      <c r="C88" t="s">
        <v>1538</v>
      </c>
      <c r="D88" t="str">
        <f t="shared" si="2"/>
        <v>Sim</v>
      </c>
    </row>
    <row r="89" spans="1:4" x14ac:dyDescent="0.25">
      <c r="A89" t="s">
        <v>345</v>
      </c>
      <c r="B89" t="s">
        <v>1929</v>
      </c>
      <c r="C89" t="s">
        <v>533</v>
      </c>
      <c r="D89" t="str">
        <f t="shared" si="2"/>
        <v>Não</v>
      </c>
    </row>
    <row r="90" spans="1:4" x14ac:dyDescent="0.25">
      <c r="A90" t="s">
        <v>345</v>
      </c>
      <c r="B90" t="s">
        <v>1921</v>
      </c>
      <c r="C90" t="s">
        <v>1921</v>
      </c>
      <c r="D90" t="str">
        <f t="shared" si="2"/>
        <v>Sim</v>
      </c>
    </row>
    <row r="91" spans="1:4" x14ac:dyDescent="0.25">
      <c r="A91" t="s">
        <v>345</v>
      </c>
      <c r="B91" t="s">
        <v>531</v>
      </c>
      <c r="C91" t="s">
        <v>531</v>
      </c>
      <c r="D91" t="str">
        <f t="shared" si="2"/>
        <v>Sim</v>
      </c>
    </row>
    <row r="92" spans="1:4" x14ac:dyDescent="0.25">
      <c r="A92" t="s">
        <v>345</v>
      </c>
      <c r="B92" t="s">
        <v>542</v>
      </c>
      <c r="C92" t="s">
        <v>542</v>
      </c>
      <c r="D92" t="str">
        <f t="shared" si="2"/>
        <v>Sim</v>
      </c>
    </row>
    <row r="93" spans="1:4" x14ac:dyDescent="0.25">
      <c r="A93" t="s">
        <v>345</v>
      </c>
      <c r="B93" t="s">
        <v>1930</v>
      </c>
      <c r="C93" t="s">
        <v>1539</v>
      </c>
      <c r="D93" t="str">
        <f t="shared" si="2"/>
        <v>Não</v>
      </c>
    </row>
    <row r="94" spans="1:4" x14ac:dyDescent="0.25">
      <c r="A94" t="s">
        <v>46</v>
      </c>
      <c r="B94" t="s">
        <v>1915</v>
      </c>
      <c r="C94" t="s">
        <v>1936</v>
      </c>
      <c r="D94" t="str">
        <f t="shared" si="2"/>
        <v>Não</v>
      </c>
    </row>
    <row r="95" spans="1:4" x14ac:dyDescent="0.25">
      <c r="A95" t="s">
        <v>46</v>
      </c>
      <c r="B95" t="s">
        <v>1923</v>
      </c>
      <c r="C95" t="s">
        <v>1923</v>
      </c>
      <c r="D95" t="str">
        <f t="shared" si="2"/>
        <v>Sim</v>
      </c>
    </row>
    <row r="96" spans="1:4" x14ac:dyDescent="0.25">
      <c r="A96" t="s">
        <v>46</v>
      </c>
      <c r="B96" t="s">
        <v>1911</v>
      </c>
      <c r="C96" t="s">
        <v>1911</v>
      </c>
      <c r="D96" t="str">
        <f>IF(B96=C96, "Sim", "Não")</f>
        <v>Sim</v>
      </c>
    </row>
    <row r="97" spans="1:4" x14ac:dyDescent="0.25">
      <c r="A97" t="s">
        <v>46</v>
      </c>
      <c r="B97" t="s">
        <v>1540</v>
      </c>
      <c r="C97" t="s">
        <v>1540</v>
      </c>
      <c r="D97" t="str">
        <f>IF(B97=C97, "Sim", "Não")</f>
        <v>Sim</v>
      </c>
    </row>
    <row r="98" spans="1:4" x14ac:dyDescent="0.25">
      <c r="A98" t="s">
        <v>46</v>
      </c>
      <c r="B98" t="s">
        <v>795</v>
      </c>
      <c r="C98" t="s">
        <v>795</v>
      </c>
      <c r="D98" t="str">
        <f t="shared" si="2"/>
        <v>Sim</v>
      </c>
    </row>
    <row r="99" spans="1:4" x14ac:dyDescent="0.25">
      <c r="A99" t="s">
        <v>46</v>
      </c>
      <c r="B99" t="s">
        <v>133</v>
      </c>
      <c r="C99" t="s">
        <v>133</v>
      </c>
      <c r="D99" t="str">
        <f t="shared" si="2"/>
        <v>Sim</v>
      </c>
    </row>
    <row r="100" spans="1:4" x14ac:dyDescent="0.25">
      <c r="A100" t="s">
        <v>46</v>
      </c>
      <c r="B100" t="s">
        <v>1912</v>
      </c>
      <c r="C100" t="s">
        <v>1912</v>
      </c>
      <c r="D100" t="str">
        <f t="shared" si="2"/>
        <v>Sim</v>
      </c>
    </row>
    <row r="101" spans="1:4" x14ac:dyDescent="0.25">
      <c r="A101" s="5" t="s">
        <v>46</v>
      </c>
      <c r="B101" t="s">
        <v>1913</v>
      </c>
      <c r="C101" t="s">
        <v>134</v>
      </c>
      <c r="D101" t="str">
        <f t="shared" si="2"/>
        <v>Não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35</vt:i4>
      </vt:variant>
    </vt:vector>
  </HeadingPairs>
  <TitlesOfParts>
    <vt:vector size="35" baseType="lpstr">
      <vt:lpstr>COMPRAS</vt:lpstr>
      <vt:lpstr>STATS</vt:lpstr>
      <vt:lpstr>RESUMO</vt:lpstr>
      <vt:lpstr>RESUMO2</vt:lpstr>
      <vt:lpstr>RESUMO3</vt:lpstr>
      <vt:lpstr>RESUMO4</vt:lpstr>
      <vt:lpstr>RESUMO5</vt:lpstr>
      <vt:lpstr>Piratas</vt:lpstr>
      <vt:lpstr>Rani</vt:lpstr>
      <vt:lpstr>Bichão</vt:lpstr>
      <vt:lpstr>OWA</vt:lpstr>
      <vt:lpstr>Zimone</vt:lpstr>
      <vt:lpstr>Narset</vt:lpstr>
      <vt:lpstr>Baylen</vt:lpstr>
      <vt:lpstr>Thrakiri</vt:lpstr>
      <vt:lpstr>Gitrog</vt:lpstr>
      <vt:lpstr>Elfos</vt:lpstr>
      <vt:lpstr>Breya</vt:lpstr>
      <vt:lpstr>Fractius</vt:lpstr>
      <vt:lpstr>Muzzio</vt:lpstr>
      <vt:lpstr>Rielle</vt:lpstr>
      <vt:lpstr>Alela</vt:lpstr>
      <vt:lpstr>Arcades</vt:lpstr>
      <vt:lpstr>Jhoira</vt:lpstr>
      <vt:lpstr>Yuriko</vt:lpstr>
      <vt:lpstr>VialIshai</vt:lpstr>
      <vt:lpstr>Tayam</vt:lpstr>
      <vt:lpstr>Zedruu</vt:lpstr>
      <vt:lpstr>Inalla</vt:lpstr>
      <vt:lpstr>Carlos</vt:lpstr>
      <vt:lpstr>Kresh</vt:lpstr>
      <vt:lpstr>Sisay</vt:lpstr>
      <vt:lpstr>Akiri</vt:lpstr>
      <vt:lpstr>Oona</vt:lpstr>
      <vt:lpstr>Kumena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Marcelo Scalvi</dc:creator>
  <cp:keywords/>
  <dc:description/>
  <cp:lastModifiedBy>Marcelo Fernandes Scalvi</cp:lastModifiedBy>
  <cp:revision/>
  <dcterms:created xsi:type="dcterms:W3CDTF">2021-12-09T15:36:16Z</dcterms:created>
  <dcterms:modified xsi:type="dcterms:W3CDTF">2025-08-07T19:34:10Z</dcterms:modified>
  <cp:category/>
  <cp:contentStatus/>
</cp:coreProperties>
</file>